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Default Extension="png" ContentType="image/png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1.xml" ContentType="application/vnd.openxmlformats-officedocument.drawing+xml"/>
  <Override PartName="/xl/worksheets/sheet14.xml" ContentType="application/vnd.openxmlformats-officedocument.spreadsheetml.worksheet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4815" yWindow="4830" windowWidth="32475" windowHeight="14640" tabRatio="719" activeTab="0"/>
  </bookViews>
  <sheets>
    <sheet name="InpC" sheetId="1" r:id="rId4"/>
    <sheet name="InpS" sheetId="2" r:id="rId5"/>
    <sheet name="Time" sheetId="30" r:id="rId6"/>
    <sheet name="Cons" sheetId="24" r:id="rId7"/>
    <sheet name="Ops" sheetId="27" r:id="rId8"/>
    <sheet name="Assets" sheetId="23" r:id="rId9"/>
    <sheet name="Debt" sheetId="25" r:id="rId10"/>
    <sheet name="Reserves" sheetId="28" r:id="rId11"/>
    <sheet name="Waterfall" sheetId="31" r:id="rId12"/>
    <sheet name="Tax" sheetId="29" r:id="rId13"/>
    <sheet name="Equity" sheetId="26" r:id="rId14"/>
    <sheet name="FS" sheetId="19" r:id="rId15"/>
    <sheet name="Check" sheetId="22" r:id="rId16"/>
    <sheet name="Solve" sheetId="3" r:id="rId17"/>
  </sheets>
  <definedNames>
    <definedName name="_xleta.MAX" hidden="1">#NAME?</definedName>
    <definedName name="ActiveScenario">InpC!$F$4</definedName>
    <definedName name="BaseCase">InpC!$F$6</definedName>
    <definedName name="BaseCaseIndicator">InpC!$J$7:$BM$7</definedName>
    <definedName name="InputStored">InpC!$J$3:$BM$3</definedName>
    <definedName name="fnd_req_paste_copy">Solve!$J$9:$EG$9</definedName>
    <definedName name="sd_capacity_paste_copy">Solve!$F$10</definedName>
    <definedName name="sd_ds_paste_copy">Solve!$J$11:$EG$11</definedName>
    <definedName name="fnd_req_paste">Solve!$J$25:$EG$25</definedName>
    <definedName name="sd_capacity_paste">Solve!$F$26</definedName>
    <definedName name="sd_ds_paste">Solve!$J$27:$EG$27</definedName>
    <definedName name="chk_solver">Solve!$F$46</definedName>
  </definedNames>
  <calcPr calcMode="manual"/>
</workbook>
</file>

<file path=xl/calcChain.xml><?xml version="1.0" encoding="utf-8"?>
<calcChain xmlns="http://schemas.openxmlformats.org/spreadsheetml/2006/main">
  <c r="A1" i="23" l="1"/>
</calcChain>
</file>

<file path=xl/sharedStrings.xml><?xml version="1.0" encoding="utf-8"?>
<sst xmlns="http://schemas.openxmlformats.org/spreadsheetml/2006/main" count="1595" uniqueCount="581">
  <si>
    <t>Base case 1</t>
  </si>
  <si>
    <t>Base case 2</t>
  </si>
  <si>
    <t>Base case 3</t>
  </si>
  <si>
    <t>Scenario 1</t>
  </si>
  <si>
    <t>Scenario 2</t>
  </si>
  <si>
    <t>Active scenario</t>
  </si>
  <si>
    <t>Comparison scenario</t>
  </si>
  <si>
    <t>Base case</t>
  </si>
  <si>
    <t>Input differences</t>
  </si>
  <si>
    <t>Constant</t>
  </si>
  <si>
    <t>Unit</t>
  </si>
  <si>
    <t>Source</t>
  </si>
  <si>
    <t>TIMING ASSUMPTIONS</t>
  </si>
  <si>
    <t>First date of time rulers</t>
  </si>
  <si>
    <t>date</t>
  </si>
  <si>
    <t>Financial year end date of first model period</t>
  </si>
  <si>
    <t>Length of construction period</t>
  </si>
  <si>
    <t>months</t>
  </si>
  <si>
    <t>Length of operating period</t>
  </si>
  <si>
    <t>Financial year end month number</t>
  </si>
  <si>
    <t>month #</t>
  </si>
  <si>
    <t>Escalation period end month</t>
  </si>
  <si>
    <t>month</t>
  </si>
  <si>
    <t>Financial close date</t>
  </si>
  <si>
    <t>Construction period length</t>
  </si>
  <si>
    <t>Operational period</t>
  </si>
  <si>
    <t>years</t>
  </si>
  <si>
    <t>CAPITAL COST ASSUMPTIONS</t>
  </si>
  <si>
    <t>Packages, Contingency and Development</t>
  </si>
  <si>
    <t>Capex package 1 - amount</t>
  </si>
  <si>
    <t>EUR 000s</t>
  </si>
  <si>
    <t>Capex package 2 - amount</t>
  </si>
  <si>
    <t>Capex package 3 - amount</t>
  </si>
  <si>
    <t>Capex package 4 - amount</t>
  </si>
  <si>
    <t>Contingency - share of packages</t>
  </si>
  <si>
    <t>%</t>
  </si>
  <si>
    <t>Development costs - amount at financial close</t>
  </si>
  <si>
    <t>Lease cost - annual amount during construction</t>
  </si>
  <si>
    <t>OPERATIONS PHASE ASSUMPTIONS</t>
  </si>
  <si>
    <t>Revenue</t>
  </si>
  <si>
    <t>Revenue A - annual amount</t>
  </si>
  <si>
    <t>Revenue B - annual amount</t>
  </si>
  <si>
    <t>Operating Costs</t>
  </si>
  <si>
    <t>Opex - fixed annual amount</t>
  </si>
  <si>
    <t>Opex - variable share of revenue</t>
  </si>
  <si>
    <t>Lease Cost</t>
  </si>
  <si>
    <t>Lease cost - fixed annual amount in operations</t>
  </si>
  <si>
    <t>Lease cost - annual revenue threshold for higher share</t>
  </si>
  <si>
    <t>Lease cost - revenue share up to threshold</t>
  </si>
  <si>
    <t>Lease cost - revenue share above threshold</t>
  </si>
  <si>
    <t>Indexation</t>
  </si>
  <si>
    <t>Indexation - base date</t>
  </si>
  <si>
    <t>Revenue index - annual rate</t>
  </si>
  <si>
    <t>% p.a.</t>
  </si>
  <si>
    <t>Opex index - annual rate</t>
  </si>
  <si>
    <t>RPI index - annual rate</t>
  </si>
  <si>
    <t>Fixed opex - share indexed to opex index (rest to RPI)</t>
  </si>
  <si>
    <t>Working Capital</t>
  </si>
  <si>
    <t>Receivables - collection days</t>
  </si>
  <si>
    <t>days</t>
  </si>
  <si>
    <t>Payables - payment days</t>
  </si>
  <si>
    <t>ASSET ASSUMPTIONS</t>
  </si>
  <si>
    <t>Depreciation</t>
  </si>
  <si>
    <t>Fixed assets - accounting life</t>
  </si>
  <si>
    <t>Fixed assets - tax depreciation rate</t>
  </si>
  <si>
    <t>FINANCING ASSUMPTIONS</t>
  </si>
  <si>
    <t>Senior Facility</t>
  </si>
  <si>
    <t>Senior facility - target DSCR</t>
  </si>
  <si>
    <t>ratio</t>
  </si>
  <si>
    <t>Senior facility - repayment tenor</t>
  </si>
  <si>
    <t>Senior facility - interest rate</t>
  </si>
  <si>
    <t>Senior facility - repayment method</t>
  </si>
  <si>
    <t>switch</t>
  </si>
  <si>
    <t>Senior facility - upfront fee rate</t>
  </si>
  <si>
    <t>Senior facility - commitment fee on undrawn</t>
  </si>
  <si>
    <t>Funding Structure</t>
  </si>
  <si>
    <t>Funding - maximum gearing</t>
  </si>
  <si>
    <t>Funding - draw order</t>
  </si>
  <si>
    <t>VAT Facility</t>
  </si>
  <si>
    <t>VAT - rate on capex</t>
  </si>
  <si>
    <t>VAT - refund lag (minimum 1 day)</t>
  </si>
  <si>
    <t>VAT facility - interest rate</t>
  </si>
  <si>
    <t>Junior Facility</t>
  </si>
  <si>
    <t>Junior facility - share of funding requirement</t>
  </si>
  <si>
    <t>Junior facility - interest rate</t>
  </si>
  <si>
    <t>Junior facility - repayment tenor</t>
  </si>
  <si>
    <t>Reserve Accounts</t>
  </si>
  <si>
    <t>DSRA - debt service cover period</t>
  </si>
  <si>
    <t>DSRF - facility in place of cash DSRA</t>
  </si>
  <si>
    <t>DSRF - annual fee on the facility</t>
  </si>
  <si>
    <t>MRA - maintenance cover period</t>
  </si>
  <si>
    <t>MRA - share of upcoming maintenance covered</t>
  </si>
  <si>
    <t>Distributions and Cash Sweep</t>
  </si>
  <si>
    <t>Distributions - minimum cash balance</t>
  </si>
  <si>
    <t>Distributions - lock-up DSCR (historical 12 months)</t>
  </si>
  <si>
    <t>Cash sweep - share of cash after junior debt service</t>
  </si>
  <si>
    <t>Cash sweep - full sweep while locked up</t>
  </si>
  <si>
    <t>Shareholder Funding and Returns</t>
  </si>
  <si>
    <t>Shareholder loan - share of equity funding</t>
  </si>
  <si>
    <t>Shareholder loan - annual coupon</t>
  </si>
  <si>
    <t>Shareholder loan - construction interest rolled up</t>
  </si>
  <si>
    <t>Equity - NPV discount rate</t>
  </si>
  <si>
    <t>CORPORATE TAX ASSUMPTIONS</t>
  </si>
  <si>
    <t>Rate, Interest Cap and Losses</t>
  </si>
  <si>
    <t>Tax - corporate tax rate</t>
  </si>
  <si>
    <t>Tax - interest cap share of tax EBITDA</t>
  </si>
  <si>
    <t>Tax losses - expiry period</t>
  </si>
  <si>
    <t>Tax losses - maximum share of profit offset</t>
  </si>
  <si>
    <t>MODEL TECHNICAL INPUTS - DO NOT CHANGE</t>
  </si>
  <si>
    <t>Months in year</t>
  </si>
  <si>
    <t>Days per year (interest day count)</t>
  </si>
  <si>
    <t>Check tolerance</t>
  </si>
  <si>
    <t>Solver tolerance</t>
  </si>
  <si>
    <t>XIRR - seed outflow on the first period</t>
  </si>
  <si>
    <t>Repayment Method Legend</t>
  </si>
  <si>
    <t>Repayment method - sculpted</t>
  </si>
  <si>
    <t>Repayment method - annuity</t>
  </si>
  <si>
    <t>Repayment method - straight line</t>
  </si>
  <si>
    <t>Draw Order Legend</t>
  </si>
  <si>
    <t>Draw order - equity first</t>
  </si>
  <si>
    <t>Draw order - pro rata</t>
  </si>
  <si>
    <t>DSRF Switch Legend</t>
  </si>
  <si>
    <t>DSRF switch - cash-funded DSRA</t>
  </si>
  <si>
    <t>DSRF switch - facility replaces cash DSRA</t>
  </si>
  <si>
    <t>Lock-up Sweep Legend</t>
  </si>
  <si>
    <t>Lock-up sweep - off</t>
  </si>
  <si>
    <t>Lock-up sweep - on</t>
  </si>
  <si>
    <t>Shareholder Loan Rollup Legend</t>
  </si>
  <si>
    <t>Shareholder loan rollup - interest accrued unpaid</t>
  </si>
  <si>
    <t>Shareholder loan rollup - interest capitalised</t>
  </si>
  <si>
    <t>Timeline label</t>
  </si>
  <si>
    <t>Pre-forecast period</t>
  </si>
  <si>
    <t>Pre-fcst</t>
  </si>
  <si>
    <t>label</t>
  </si>
  <si>
    <t>Financial Close</t>
  </si>
  <si>
    <t>Fin Close</t>
  </si>
  <si>
    <t>Construction</t>
  </si>
  <si>
    <t>Operations</t>
  </si>
  <si>
    <t>Post ops</t>
  </si>
  <si>
    <t>Model period ending</t>
  </si>
  <si>
    <t>Error chks</t>
  </si>
  <si>
    <t>Alerts</t>
  </si>
  <si>
    <t>Financial year</t>
  </si>
  <si>
    <t>Model column counter</t>
  </si>
  <si>
    <t>Total</t>
  </si>
  <si>
    <t>CONSTRUCTION PROFILES</t>
  </si>
  <si>
    <t>Capex package 1 - spend profile</t>
  </si>
  <si>
    <t>Capex package 2 - spend profile</t>
  </si>
  <si>
    <t>Capex package 3 - spend profile</t>
  </si>
  <si>
    <t>Capex package 4 - spend profile</t>
  </si>
  <si>
    <t>MAINTENANCE PROFILE</t>
  </si>
  <si>
    <t>Maintenance cost - real terms</t>
  </si>
  <si>
    <t>TIME RULER</t>
  </si>
  <si>
    <t>First model column</t>
  </si>
  <si>
    <t>counter</t>
  </si>
  <si>
    <t>Model column total</t>
  </si>
  <si>
    <t>columns</t>
  </si>
  <si>
    <t>First model column flag</t>
  </si>
  <si>
    <t>flag</t>
  </si>
  <si>
    <t>Months per model period</t>
  </si>
  <si>
    <t>End of construction period date</t>
  </si>
  <si>
    <t>Number of construction periods</t>
  </si>
  <si>
    <t>Construction grain period flag</t>
  </si>
  <si>
    <t>Primary timeline period flag</t>
  </si>
  <si>
    <t>Model period start date</t>
  </si>
  <si>
    <t>Model period beginning</t>
  </si>
  <si>
    <t>Model period end date</t>
  </si>
  <si>
    <t>FLAGS</t>
  </si>
  <si>
    <t>Financial close date flag</t>
  </si>
  <si>
    <t>First construction period flag</t>
  </si>
  <si>
    <t>End of construction period flag</t>
  </si>
  <si>
    <t>Construction period flag</t>
  </si>
  <si>
    <t>First operating period flag</t>
  </si>
  <si>
    <t>Last operating period flag</t>
  </si>
  <si>
    <t>End of operating period</t>
  </si>
  <si>
    <t>Operating period flag</t>
  </si>
  <si>
    <t>First post operating period flag</t>
  </si>
  <si>
    <t>Escalation period year end flag</t>
  </si>
  <si>
    <t>Escalation year end month flag</t>
  </si>
  <si>
    <t>Contract year end month</t>
  </si>
  <si>
    <t>End of financial year flag</t>
  </si>
  <si>
    <t>Financial year end applicable to period</t>
  </si>
  <si>
    <t>year #</t>
  </si>
  <si>
    <t>Timeline label counter</t>
  </si>
  <si>
    <t>COUNTERS / PERIOD NUMBERS</t>
  </si>
  <si>
    <t>Period number</t>
  </si>
  <si>
    <t>Contract period number</t>
  </si>
  <si>
    <t>Contract period quarter</t>
  </si>
  <si>
    <t>Contract year number</t>
  </si>
  <si>
    <t>CONSTRUCTION QUARTER COUNTER</t>
  </si>
  <si>
    <t>Construction quarter counter</t>
  </si>
  <si>
    <t>DAYS IN PERIOD</t>
  </si>
  <si>
    <t>Days in period</t>
  </si>
  <si>
    <t>LIBRARY CONTRACT</t>
  </si>
  <si>
    <t>Last model period flag</t>
  </si>
  <si>
    <t>Period fraction of a year (operating grain)</t>
  </si>
  <si>
    <t>fraction</t>
  </si>
  <si>
    <t>Year fraction of period</t>
  </si>
  <si>
    <t>CONSTRUCTION COSTS</t>
  </si>
  <si>
    <t>Capex Packages</t>
  </si>
  <si>
    <t>Capex package 1 - spend</t>
  </si>
  <si>
    <t>Capex package 2 - spend</t>
  </si>
  <si>
    <t>Capex package 3 - spend</t>
  </si>
  <si>
    <t>Capex package 4 - spend</t>
  </si>
  <si>
    <t>Contingency, Development and Total</t>
  </si>
  <si>
    <t>Contingency - spend</t>
  </si>
  <si>
    <t>Development costs - spend</t>
  </si>
  <si>
    <t>Lease cost - construction</t>
  </si>
  <si>
    <t>Capex - total</t>
  </si>
  <si>
    <t>VAT FACILITY</t>
  </si>
  <si>
    <t>VAT Paid and Refunded</t>
  </si>
  <si>
    <t>VAT - paid on capex</t>
  </si>
  <si>
    <t>VAT - refund received</t>
  </si>
  <si>
    <t>VAT - receivable balance</t>
  </si>
  <si>
    <t>Facility Balance</t>
  </si>
  <si>
    <t>VAT facility - opening balance</t>
  </si>
  <si>
    <t>VAT facility - repayment</t>
  </si>
  <si>
    <t>VAT facility - closing balance</t>
  </si>
  <si>
    <t>Facility Interest</t>
  </si>
  <si>
    <t>VAT facility - interest</t>
  </si>
  <si>
    <t>VAT facility - capitalised interest</t>
  </si>
  <si>
    <t>VAT facility - interest in operations</t>
  </si>
  <si>
    <t>VAT Checks</t>
  </si>
  <si>
    <t>VAT - receivable left after first operating year</t>
  </si>
  <si>
    <t>check</t>
  </si>
  <si>
    <t>VAT facility - not repaid after first operating year</t>
  </si>
  <si>
    <t>PROJECT FUNDING</t>
  </si>
  <si>
    <t>Funding Sources</t>
  </si>
  <si>
    <t>Funding requirement - total</t>
  </si>
  <si>
    <t>Senior facility - amount</t>
  </si>
  <si>
    <t>Sponsor equity - amount (shareholder loan and share capital)</t>
  </si>
  <si>
    <t>Drawdowns</t>
  </si>
  <si>
    <t>Funding requirement - cumulative</t>
  </si>
  <si>
    <t>Sponsor equity - drawdown</t>
  </si>
  <si>
    <t>Junior facility - drawdown</t>
  </si>
  <si>
    <t>Senior facility - drawdown</t>
  </si>
  <si>
    <t>Financing Costs and Requirement</t>
  </si>
  <si>
    <t>Senior facility - undrawn commitment</t>
  </si>
  <si>
    <t>Senior facility - interest during construction</t>
  </si>
  <si>
    <t>Senior facility - upfront fee</t>
  </si>
  <si>
    <t>Senior facility - commitment fee</t>
  </si>
  <si>
    <t>Financing fees - total</t>
  </si>
  <si>
    <t>Financing costs - capitalised in the period</t>
  </si>
  <si>
    <t>Funding requirement - period</t>
  </si>
  <si>
    <t>CONSTRUCTION CHECKS</t>
  </si>
  <si>
    <t>Funding - sources differ from uses</t>
  </si>
  <si>
    <t>Funding - tranche draws differ from amounts</t>
  </si>
  <si>
    <t>Capex package 1 - profile does not sum to 100%</t>
  </si>
  <si>
    <t>Capex package 2 - profile does not sum to 100%</t>
  </si>
  <si>
    <t>Capex package 3 - profile does not sum to 100%</t>
  </si>
  <si>
    <t>Capex package 4 - profile does not sum to 100%</t>
  </si>
  <si>
    <t>INDEXATION</t>
  </si>
  <si>
    <t>Revenue index - factor</t>
  </si>
  <si>
    <t>index</t>
  </si>
  <si>
    <t>Opex index - factor</t>
  </si>
  <si>
    <t>RPI index - factor</t>
  </si>
  <si>
    <t>Fixed opex index - blended factor</t>
  </si>
  <si>
    <t>REVENUE</t>
  </si>
  <si>
    <t>Revenue A - indexed</t>
  </si>
  <si>
    <t>Revenue B - indexed</t>
  </si>
  <si>
    <t>Revenue - total</t>
  </si>
  <si>
    <t>LEASE COST</t>
  </si>
  <si>
    <t>Lease cost - fixed</t>
  </si>
  <si>
    <t>Lease cost - total</t>
  </si>
  <si>
    <t>OPERATING COSTS</t>
  </si>
  <si>
    <t>Opex - fixed</t>
  </si>
  <si>
    <t>Opex - variable</t>
  </si>
  <si>
    <t>Opex - total</t>
  </si>
  <si>
    <t>EBITDA</t>
  </si>
  <si>
    <t>WORKING CAPITAL</t>
  </si>
  <si>
    <t>Receivables</t>
  </si>
  <si>
    <t>Receivables - closing balance</t>
  </si>
  <si>
    <t>Receivables - movement</t>
  </si>
  <si>
    <t>Payables</t>
  </si>
  <si>
    <t>Payables - closing balance</t>
  </si>
  <si>
    <t>Payables - movement</t>
  </si>
  <si>
    <t>Cash Movement</t>
  </si>
  <si>
    <t>Working capital - cash movement</t>
  </si>
  <si>
    <t>Working capital - balances left at the end</t>
  </si>
  <si>
    <t>FIXED ASSETS</t>
  </si>
  <si>
    <t>Accounting Depreciation</t>
  </si>
  <si>
    <t>Fixed assets - cost at COD (commercial operation date)</t>
  </si>
  <si>
    <t>Fixed assets - accounting depreciation</t>
  </si>
  <si>
    <t>Fixed assets - write-off at operations end</t>
  </si>
  <si>
    <t>Fixed assets - net book value</t>
  </si>
  <si>
    <t>Tax Depreciation</t>
  </si>
  <si>
    <t>Fixed assets - tax depreciation</t>
  </si>
  <si>
    <t>Fixed assets - tax written-down value</t>
  </si>
  <si>
    <t>FINANCING COST ASSET</t>
  </si>
  <si>
    <t>Cost and Repayment Window</t>
  </si>
  <si>
    <t>Financing costs - cost at COD</t>
  </si>
  <si>
    <t>Financing costs - days in amortisation period</t>
  </si>
  <si>
    <t>Financing costs - total days in amortisation window</t>
  </si>
  <si>
    <t>Amortisation</t>
  </si>
  <si>
    <t>Financing costs - amortisation</t>
  </si>
  <si>
    <t>Financing costs - net book value</t>
  </si>
  <si>
    <t>ASSET CHECKS</t>
  </si>
  <si>
    <t>Fixed assets - written off before fully depreciated</t>
  </si>
  <si>
    <t>alert</t>
  </si>
  <si>
    <t>Financing costs - not fully amortised by end of repayment</t>
  </si>
  <si>
    <t>SENIOR FACILITY SIZING</t>
  </si>
  <si>
    <t>Repayment Window</t>
  </si>
  <si>
    <t>Senior facility - repayment period flag</t>
  </si>
  <si>
    <t>Senior facility - number of repayment periods</t>
  </si>
  <si>
    <t>Debt Capacity</t>
  </si>
  <si>
    <t>Senior facility - debt service at target DSCR</t>
  </si>
  <si>
    <t>Senior facility - discount factor</t>
  </si>
  <si>
    <t>factor</t>
  </si>
  <si>
    <t>Senior facility - debt capacity</t>
  </si>
  <si>
    <t>Sculpting Cover</t>
  </si>
  <si>
    <t>Senior facility - balance at COD</t>
  </si>
  <si>
    <t>Senior facility - effective sculpting DSCR</t>
  </si>
  <si>
    <t>Senior facility - sculpted debt service</t>
  </si>
  <si>
    <t>SENIOR FACILITY INTEREST AND REPAYMENT</t>
  </si>
  <si>
    <t>Opening Balance and Interest</t>
  </si>
  <si>
    <t>Senior facility - opening balance</t>
  </si>
  <si>
    <t>Senior facility - interest</t>
  </si>
  <si>
    <t>Repayment Methods</t>
  </si>
  <si>
    <t>Senior facility - sculpted principal</t>
  </si>
  <si>
    <t>Senior facility - annuity payment</t>
  </si>
  <si>
    <t>Senior facility - annuity principal</t>
  </si>
  <si>
    <t>Senior facility - straight-line principal</t>
  </si>
  <si>
    <t>Senior facility - scheduled principal</t>
  </si>
  <si>
    <t>Closing Balance and Debt Service</t>
  </si>
  <si>
    <t>Senior facility - closing balance</t>
  </si>
  <si>
    <t>Senior facility - debt service</t>
  </si>
  <si>
    <t>Senior facility - DSCR</t>
  </si>
  <si>
    <t>Senior facility - debt service above target cover</t>
  </si>
  <si>
    <t>SENIOR FACILITY CHECKS</t>
  </si>
  <si>
    <t>Senior facility - not repaid by maturity</t>
  </si>
  <si>
    <t>Senior facility - DSCR below target</t>
  </si>
  <si>
    <t>JUNIOR FACILITY SIZING</t>
  </si>
  <si>
    <t>Junior facility - repayment period flag</t>
  </si>
  <si>
    <t>Junior facility - repayment period counter</t>
  </si>
  <si>
    <t>Junior facility - number of repayment periods</t>
  </si>
  <si>
    <t>Junior facility - maturity period flag</t>
  </si>
  <si>
    <t>Amount and Scheduled Principal</t>
  </si>
  <si>
    <t>Junior facility - amount</t>
  </si>
  <si>
    <t>Junior facility - balance at COD</t>
  </si>
  <si>
    <t>Junior facility - scheduled principal</t>
  </si>
  <si>
    <t>JUNIOR FACILITY INTEREST</t>
  </si>
  <si>
    <t>Opening Balances</t>
  </si>
  <si>
    <t>Junior facility - opening balance</t>
  </si>
  <si>
    <t>Junior facility - opening interest arrears</t>
  </si>
  <si>
    <t>Junior facility - opening principal arrears</t>
  </si>
  <si>
    <t>Interest Charges</t>
  </si>
  <si>
    <t>Junior facility - interest during construction</t>
  </si>
  <si>
    <t>Junior facility - interest</t>
  </si>
  <si>
    <t>JUNIOR FACILITY PAYMENTS</t>
  </si>
  <si>
    <t>Interest Paid and Arrears</t>
  </si>
  <si>
    <t>Junior facility - interest paid</t>
  </si>
  <si>
    <t>Junior facility - closing interest arrears</t>
  </si>
  <si>
    <t>Principal Paid and Arrears</t>
  </si>
  <si>
    <t>Junior facility - principal paid</t>
  </si>
  <si>
    <t>Junior facility - closing principal arrears</t>
  </si>
  <si>
    <t>Junior facility - closing balance</t>
  </si>
  <si>
    <t>Junior facility - debt service paid</t>
  </si>
  <si>
    <t>JUNIOR FACILITY CHECKS</t>
  </si>
  <si>
    <t>Junior facility - schedule not complete at maturity</t>
  </si>
  <si>
    <t>Junior facility - arrears outstanding</t>
  </si>
  <si>
    <t>DEBT SERVICE RESERVE REQUIREMENT</t>
  </si>
  <si>
    <t>DSRA - senior debt service in the cover period</t>
  </si>
  <si>
    <t>DSRA - balance target</t>
  </si>
  <si>
    <t>DSRA - initial funding at construction end</t>
  </si>
  <si>
    <t>DSRF - fee on the facility</t>
  </si>
  <si>
    <t>DEBT SERVICE RESERVE ACCOUNT</t>
  </si>
  <si>
    <t>Opening Balance and Shortfall Draw</t>
  </si>
  <si>
    <t>DSRA - opening balance</t>
  </si>
  <si>
    <t>DSRA - draw for senior debt service shortfall</t>
  </si>
  <si>
    <t>DSRA - balance after initial funding and draw</t>
  </si>
  <si>
    <t>Release, Deposit and Closing Balance</t>
  </si>
  <si>
    <t>DSRA - release of balance above target</t>
  </si>
  <si>
    <t>DSRA - deposit towards target</t>
  </si>
  <si>
    <t>DSRA - closing balance</t>
  </si>
  <si>
    <t>MAINTENANCE RESERVE REQUIREMENT</t>
  </si>
  <si>
    <t>Maintenance cost - nominal</t>
  </si>
  <si>
    <t>MRA - balance target</t>
  </si>
  <si>
    <t>MAINTENANCE RESERVE ACCOUNT</t>
  </si>
  <si>
    <t>Opening Balance and Maintenance Draw</t>
  </si>
  <si>
    <t>MRA - opening balance</t>
  </si>
  <si>
    <t>MRA - draw for maintenance cost</t>
  </si>
  <si>
    <t>Maintenance cost - not covered by MRA</t>
  </si>
  <si>
    <t>MRA - balance after draw</t>
  </si>
  <si>
    <t>MRA - release of balance above target</t>
  </si>
  <si>
    <t>MRA - deposit towards target</t>
  </si>
  <si>
    <t>MRA - closing balance</t>
  </si>
  <si>
    <t>RESERVE CHECKS</t>
  </si>
  <si>
    <t>DSRA - balance negative</t>
  </si>
  <si>
    <t>MRA - balance negative</t>
  </si>
  <si>
    <t>CASH FLOW AVAILABLE FOR DEBT SERVICE</t>
  </si>
  <si>
    <t>Cash flow available for debt service</t>
  </si>
  <si>
    <t>Cash flow - after senior debt service and DSRF fee</t>
  </si>
  <si>
    <t>RESERVE ACCOUNT MOVEMENTS</t>
  </si>
  <si>
    <t>DSRA Movements</t>
  </si>
  <si>
    <t>Cash available - DSRA deposit</t>
  </si>
  <si>
    <t>Cash flow - after DSRA movements</t>
  </si>
  <si>
    <t>MRA Movements</t>
  </si>
  <si>
    <t>Cash available - MRA deposit</t>
  </si>
  <si>
    <t>Cash flow - after reserve movements</t>
  </si>
  <si>
    <t>JUNIOR DEBT SERVICE</t>
  </si>
  <si>
    <t>Cash available - junior debt service</t>
  </si>
  <si>
    <t>Cash flow - after junior debt service</t>
  </si>
  <si>
    <t>DISTRIBUTION LOCK-UP</t>
  </si>
  <si>
    <t>Historical DSCR</t>
  </si>
  <si>
    <t>CFADS - trailing 12 months</t>
  </si>
  <si>
    <t>Senior debt service - trailing 12 months</t>
  </si>
  <si>
    <t>Senior facility - historical 12-month DSCR</t>
  </si>
  <si>
    <t>Lock-up Test</t>
  </si>
  <si>
    <t>Lock-up - full 12-month window flag</t>
  </si>
  <si>
    <t>Lock-up - distributions blocked flag</t>
  </si>
  <si>
    <t>CASH SWEEP</t>
  </si>
  <si>
    <t>Cash sweep - share applied</t>
  </si>
  <si>
    <t>Senior facility - cash sweep prepayment</t>
  </si>
  <si>
    <t>DISTRIBUTIONS AND CASH BALANCE</t>
  </si>
  <si>
    <t>Distributions and Cash Balance</t>
  </si>
  <si>
    <t>Cash balance - opening</t>
  </si>
  <si>
    <t>Distributions - cash available</t>
  </si>
  <si>
    <t>Distributions - cash released to shareholders</t>
  </si>
  <si>
    <t>Cash balance - closing</t>
  </si>
  <si>
    <t>Trapped Cash</t>
  </si>
  <si>
    <t>Trapped cash - opening balance</t>
  </si>
  <si>
    <t>Trapped cash - retained in the period (net)</t>
  </si>
  <si>
    <t>Trapped cash - released on recovery</t>
  </si>
  <si>
    <t>Trapped cash - closing balance</t>
  </si>
  <si>
    <t>WATERFALL CHECKS</t>
  </si>
  <si>
    <t>Cash balance - negative</t>
  </si>
  <si>
    <t>Cash balance - flows do not reconcile</t>
  </si>
  <si>
    <t>Trapped cash - exceeds the cash balance</t>
  </si>
  <si>
    <t>Distributions - lock-up in force</t>
  </si>
  <si>
    <t>INTEREST CAP</t>
  </si>
  <si>
    <t>Tax EBITDA and Interest Cap</t>
  </si>
  <si>
    <t>Tax EBITDA - after maintenance expensed</t>
  </si>
  <si>
    <t>Interest expense - for tax</t>
  </si>
  <si>
    <t>Interest cap - allowance</t>
  </si>
  <si>
    <t>Disallowed Interest Carried Forward</t>
  </si>
  <si>
    <t>Disallowed interest - opening balance</t>
  </si>
  <si>
    <t>Disallowed interest - added above cap</t>
  </si>
  <si>
    <t>Disallowed interest - used within headroom</t>
  </si>
  <si>
    <t>Disallowed interest - lapsed at operations end</t>
  </si>
  <si>
    <t>Disallowed interest - closing balance</t>
  </si>
  <si>
    <t>Interest - deductible</t>
  </si>
  <si>
    <t>TAX LOSSES</t>
  </si>
  <si>
    <t>Generated and Used</t>
  </si>
  <si>
    <t>Taxable profit - before losses</t>
  </si>
  <si>
    <t>Tax losses - available at start of period</t>
  </si>
  <si>
    <t>Tax losses - generated</t>
  </si>
  <si>
    <t>Tax losses - used</t>
  </si>
  <si>
    <t>Expiry and Balance</t>
  </si>
  <si>
    <t>Tax losses - expired by age</t>
  </si>
  <si>
    <t>Tax losses - lapsed at operations end</t>
  </si>
  <si>
    <t>Tax losses - closing balance</t>
  </si>
  <si>
    <t>TAX PAYABLE</t>
  </si>
  <si>
    <t>Taxable profit - after losses</t>
  </si>
  <si>
    <t>Tax - payable</t>
  </si>
  <si>
    <t>DEFERRED TAX</t>
  </si>
  <si>
    <t>Deferred tax - balance</t>
  </si>
  <si>
    <t>Deferred tax - charge</t>
  </si>
  <si>
    <t>TAX CHECKS</t>
  </si>
  <si>
    <t>Tax losses - balance negative</t>
  </si>
  <si>
    <t>Deferred tax - charges differ from closing balance</t>
  </si>
  <si>
    <t>Tax losses - expired unused</t>
  </si>
  <si>
    <t>Deferred tax - not cleared at operations end</t>
  </si>
  <si>
    <t>Tax attributes - lapsed unused at operations end</t>
  </si>
  <si>
    <t>EQUITY DRAWDOWN SPLIT</t>
  </si>
  <si>
    <t>Shareholder loan - amount drawn</t>
  </si>
  <si>
    <t>Share capital - subscription</t>
  </si>
  <si>
    <t>SUBORDINATED SHAREHOLDER LOAN</t>
  </si>
  <si>
    <t>Interest Accrual</t>
  </si>
  <si>
    <t>Shareholder loan - opening balance</t>
  </si>
  <si>
    <t>Shareholder loan - opening unpaid interest</t>
  </si>
  <si>
    <t>Shareholder loan - interest accrued</t>
  </si>
  <si>
    <t>Shareholder loan - interest capitalised</t>
  </si>
  <si>
    <t>Shareholder loan - interest payable in cash</t>
  </si>
  <si>
    <t>Payments and Balances</t>
  </si>
  <si>
    <t>Shareholder loan - interest settled</t>
  </si>
  <si>
    <t>Shareholder loan - closing unpaid interest</t>
  </si>
  <si>
    <t>Shareholder loan - principal repaid</t>
  </si>
  <si>
    <t>Shareholder loan - closing balance</t>
  </si>
  <si>
    <t>CAPITAL RETURN AND DIVIDENDS</t>
  </si>
  <si>
    <t>Shareholders - cash after shareholder loan</t>
  </si>
  <si>
    <t>Share capital - opening balance</t>
  </si>
  <si>
    <t>Share capital - redeemed from operations end</t>
  </si>
  <si>
    <t>Share capital - closing balance</t>
  </si>
  <si>
    <t>Dividends - paid</t>
  </si>
  <si>
    <t>EQUITY CASH FLOW</t>
  </si>
  <si>
    <t>Shareholders - total cash paid</t>
  </si>
  <si>
    <t>Equity - cash flow (IRR basis)</t>
  </si>
  <si>
    <t>RETURNS</t>
  </si>
  <si>
    <t>Equity Returns</t>
  </si>
  <si>
    <t>Equity - IRR (nominal)</t>
  </si>
  <si>
    <t>Equity - NPV at the discount rate</t>
  </si>
  <si>
    <t>Project Return</t>
  </si>
  <si>
    <t>Project - cash flow after tax, before debt service</t>
  </si>
  <si>
    <t>Project - IRR (post-tax)</t>
  </si>
  <si>
    <t>SENIOR COVER RATIOS</t>
  </si>
  <si>
    <t>Debt Service Cover</t>
  </si>
  <si>
    <t>Senior cover - test period flag</t>
  </si>
  <si>
    <t>Senior cover - minimum DSCR</t>
  </si>
  <si>
    <t>Senior cover - average DSCR</t>
  </si>
  <si>
    <t>Loan Life Cover</t>
  </si>
  <si>
    <t>Senior cover - discount factor at period end</t>
  </si>
  <si>
    <t>Senior cover - CFADS discounted to the first period</t>
  </si>
  <si>
    <t>Senior cover - LLCR</t>
  </si>
  <si>
    <t>Senior cover - minimum LLCR</t>
  </si>
  <si>
    <t>EQUITY CHECKS</t>
  </si>
  <si>
    <t>Shareholder funding - balances do not reconcile</t>
  </si>
  <si>
    <t>Shareholder funding - not returned by the model end</t>
  </si>
  <si>
    <t>Cash balance - left undistributed at the model end</t>
  </si>
  <si>
    <t>PROFIT AND LOSS</t>
  </si>
  <si>
    <t>Profit - EBITDA after maintenance</t>
  </si>
  <si>
    <t>Profit - operating (EBIT)</t>
  </si>
  <si>
    <t>Profit - before tax (PBT)</t>
  </si>
  <si>
    <t>Profit - after tax (PAT)</t>
  </si>
  <si>
    <t>RETAINED EARNINGS</t>
  </si>
  <si>
    <t>Retained earnings - available for distribution</t>
  </si>
  <si>
    <t>Retained earnings - opening balance</t>
  </si>
  <si>
    <t>Retained earnings - closing balance</t>
  </si>
  <si>
    <t>CASH FLOW STATEMENT</t>
  </si>
  <si>
    <t>Cash Flow by Activity</t>
  </si>
  <si>
    <t>Cash flow - operating activities</t>
  </si>
  <si>
    <t>Cash flow - investing activities</t>
  </si>
  <si>
    <t>Cash flow - reserve accounts</t>
  </si>
  <si>
    <t>Cash flow - debt financing</t>
  </si>
  <si>
    <t>Cash flow - shareholder financing</t>
  </si>
  <si>
    <t>Cash flow - net movement</t>
  </si>
  <si>
    <t>Cash at Bank</t>
  </si>
  <si>
    <t>Cash at bank - opening balance</t>
  </si>
  <si>
    <t>Cash at bank - closing balance</t>
  </si>
  <si>
    <t>BALANCE SHEET</t>
  </si>
  <si>
    <t>Assets</t>
  </si>
  <si>
    <t>Assets - non-current</t>
  </si>
  <si>
    <t>Assets - current</t>
  </si>
  <si>
    <t>Assets - total</t>
  </si>
  <si>
    <t>Liabilities and Equity</t>
  </si>
  <si>
    <t>Liabilities - borrowings</t>
  </si>
  <si>
    <t>Liabilities - shareholder loan</t>
  </si>
  <si>
    <t>Liabilities - payables and deferred tax</t>
  </si>
  <si>
    <t>Liabilities - total</t>
  </si>
  <si>
    <t>Net assets - total</t>
  </si>
  <si>
    <t>Equity - share capital and retained earnings</t>
  </si>
  <si>
    <t>ANNUAL SUMMARY</t>
  </si>
  <si>
    <t>Profit and Loss by Financial Year</t>
  </si>
  <si>
    <t>Annual - EBITDA after maintenance</t>
  </si>
  <si>
    <t>Annual - operating profit (EBIT)</t>
  </si>
  <si>
    <t>Annual - profit before tax</t>
  </si>
  <si>
    <t>Annual - profit after tax</t>
  </si>
  <si>
    <t>Cash Flow by Financial Year</t>
  </si>
  <si>
    <t>Annual - operating cash flow</t>
  </si>
  <si>
    <t>Annual - investing cash flow</t>
  </si>
  <si>
    <t>Annual - reserve account cash flow</t>
  </si>
  <si>
    <t>Annual - debt financing cash flow</t>
  </si>
  <si>
    <t>Annual - shareholder financing cash flow</t>
  </si>
  <si>
    <t>Annual - net cash movement</t>
  </si>
  <si>
    <t>Balance Sheet at Financial Year End</t>
  </si>
  <si>
    <t>Annual - total assets at year end</t>
  </si>
  <si>
    <t>Annual - total liabilities at year end</t>
  </si>
  <si>
    <t>Annual - equity at year end</t>
  </si>
  <si>
    <t>Annual - cash at bank at year end</t>
  </si>
  <si>
    <t>STATEMENT CHECKS</t>
  </si>
  <si>
    <t>Balance sheet - net assets less equity</t>
  </si>
  <si>
    <t>Balance sheet - does not balance</t>
  </si>
  <si>
    <t>Cash at bank - statement less waterfall</t>
  </si>
  <si>
    <t>Cash at bank - statement differs from waterfall</t>
  </si>
  <si>
    <t>Retained earnings - flows do not reconcile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</si>
  <si>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</si>
  <si>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</si>
  <si>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</si>
  <si>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</si>
  <si>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</si>
  <si>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</si>
  <si>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</si>
  <si>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CALC LINE ITEMS</t>
  </si>
  <si>
    <t>PASTE LINE ITEMS</t>
  </si>
  <si>
    <t>Funding requirement - solver paste</t>
  </si>
  <si>
    <t>Senior facility - debt capacity solver paste</t>
  </si>
  <si>
    <t>Senior facility - debt service solver paste</t>
  </si>
  <si>
    <t>CHECKS</t>
  </si>
  <si>
    <t>Funding requirement - solver check</t>
  </si>
  <si>
    <t>Senior facility - debt capacity solver check</t>
  </si>
  <si>
    <t>Senior facility - debt service solver check</t>
  </si>
  <si>
    <t>Solver - master check</t>
  </si>
</sst>
</file>

<file path=xl/styles.xml><?xml version="1.0" encoding="utf-8"?>
<styleSheet xmlns="http://schemas.openxmlformats.org/spreadsheetml/2006/main">
  <numFmts count="17">
    <numFmt numFmtId="164" formatCode="#,##0_);\(#,##0\);&quot;-  &quot;;&quot; &quot;@"/>
    <numFmt numFmtId="165" formatCode="dd\ mmm\ yy_);\(###0\);&quot;-  &quot;;&quot; &quot;@&quot; &quot;"/>
    <numFmt numFmtId="166" formatCode="dd\ mmm\ yyyy_);\(###0\);&quot;-  &quot;;&quot; &quot;@&quot; &quot;"/>
    <numFmt numFmtId="167" formatCode="#,##0.0_);\(#,##0.0\);&quot;-  &quot;;&quot; &quot;@"/>
    <numFmt numFmtId="168" formatCode="#,##0.0000_);\(#,##0.0000\);&quot;-  &quot;;&quot; &quot;@&quot; &quot;"/>
    <numFmt numFmtId="169" formatCode="#,##0_);\(#,##0\);&quot;-  &quot;;&quot; &quot;@&quot; &quot;"/>
    <numFmt numFmtId="170" formatCode="###0_);\(###0\);&quot;-  &quot;;&quot; &quot;@&quot; &quot;"/>
    <numFmt numFmtId="171" formatCode="0.00%\ ;\-0.00%\ _);&quot;-  &quot;;&quot; &quot;@&quot; &quot;"/>
    <numFmt numFmtId="172" formatCode="#,##0.000_);\(#,##0.000\);&quot;-  &quot;;&quot; &quot;@"/>
    <numFmt numFmtId="173" formatCode="_(&quot;£&quot;* #,##0.00_);_(&quot;£&quot;* \(#,##0.00\);_(&quot;£&quot;* &quot;-&quot;??_);_(@_)"/>
    <numFmt numFmtId="174" formatCode="_(&quot;£&quot;* #,##0_);_(&quot;£&quot;* \(#,##0\);_(&quot;£&quot;* &quot;-&quot;_);_(@_)"/>
    <numFmt numFmtId="175" formatCode="0.00%_);\-0.00%_);&quot;-  &quot;;&quot; &quot;@&quot; &quot;"/>
    <numFmt numFmtId="176" formatCode="dd mmm yy_);(###0);&quot;-  &quot;;&quot; &quot;@&quot; &quot;"/>
    <numFmt numFmtId="177" formatCode="#,##0_);(#,##0);&quot;-  &quot;;&quot; &quot;@"/>
    <numFmt numFmtId="178" formatCode="0.00% ;-0.00% _);&quot;- &quot;;&quot; &quot;@&quot; &quot;"/>
    <numFmt numFmtId="179" formatCode="#,##0.0000_);(#,##0.0000);&quot;-  &quot;;&quot; &quot;@&quot; &quot;"/>
    <numFmt numFmtId="180" formatCode="#,##0.000_);(#,##0.000);&quot;-  &quot;;&quot; &quot;@"/>
  </numFmts>
  <fonts count="28"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u val="single"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b/>
      <sz val="10"/>
      <color rgb="FF0000FF"/>
      <name val="Arial"/>
      <family val="2"/>
    </font>
    <font>
      <u val="single"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0000"/>
      <name val="Arial"/>
      <family val="2"/>
    </font>
    <font>
      <u val="single"/>
      <sz val="10"/>
      <color rgb="FFFF0000"/>
      <name val="Arial"/>
      <family val="2"/>
    </font>
    <font>
      <sz val="10"/>
      <color rgb="FFFF0000"/>
      <name val="Arial"/>
      <family val="2"/>
    </font>
    <font>
      <sz val="36"/>
      <color theme="0" tint="-0.249970003962517"/>
      <name val="Wingdings 3"/>
      <family val="1"/>
      <charset val="2"/>
    </font>
    <font>
      <b/>
      <sz val="10"/>
      <color rgb="FF000000"/>
      <name val="Arial"/>
      <family val="2"/>
    </font>
    <font>
      <u val="single"/>
      <sz val="10"/>
      <color rgb="FF000000"/>
      <name val="Arial"/>
      <family val="2"/>
    </font>
    <font>
      <sz val="10"/>
      <color rgb="FF000000"/>
      <name val="Arial"/>
      <family val="2"/>
    </font>
    <font>
      <b/>
      <u val="single"/>
      <sz val="10"/>
      <name val="Arial"/>
      <family val="2"/>
    </font>
    <font>
      <sz val="10"/>
      <color theme="0" tint="-0.249939993023872"/>
      <name val="Arial"/>
      <family val="2"/>
    </font>
    <font>
      <sz val="10"/>
      <color theme="0" tint="-0.0499799996614456"/>
      <name val="Arial"/>
      <family val="2"/>
    </font>
    <font>
      <b/>
      <sz val="36"/>
      <name val="Arial"/>
      <family val="2"/>
    </font>
    <font>
      <u val="single"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39993023872"/>
      <name val="Wingdings 3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CC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</border>
    <border>
      <left style="thin">
        <color theme="0" tint="-0.249939993023872"/>
      </left>
      <right style="thin">
        <color theme="0" tint="-0.249939993023872"/>
      </right>
      <top/>
      <bottom style="thin">
        <color theme="0" tint="-0.249939993023872"/>
      </bottom>
    </border>
    <border>
      <left style="thin">
        <color theme="0" tint="-0.249939993023872"/>
      </left>
      <right style="thin">
        <color theme="0" tint="-0.249939993023872"/>
      </right>
      <top style="thin">
        <color theme="0" tint="-0.249939993023872"/>
      </top>
      <bottom style="thin">
        <color theme="0" tint="-0.249939993023872"/>
      </bottom>
    </border>
    <border>
      <left/>
      <right/>
      <top style="thin">
        <color rgb="FF808080"/>
      </top>
      <bottom/>
    </border>
    <border>
      <left/>
      <right/>
      <top/>
      <bottom style="thin">
        <color rgb="FF808080"/>
      </bottom>
    </border>
    <border>
      <left/>
      <right/>
      <top style="thin">
        <color rgb="FF808080"/>
      </top>
      <bottom style="thin">
        <color rgb="FF808080"/>
      </bottom>
    </border>
    <border>
      <left style="thin">
        <color theme="0" tint="-0.249939993023872"/>
      </left>
      <right style="thin">
        <color theme="0" tint="-0.249939993023872"/>
      </right>
      <top style="thin">
        <color theme="0" tint="-0.249939993023872"/>
      </top>
      <bottom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BFBFBF"/>
      </left>
      <right style="thin">
        <color rgb="FFBFBFBF"/>
      </right>
      <top style="thin">
        <color theme="0" tint="-0.249909996986389"/>
      </top>
      <bottom style="thin">
        <color rgb="FFBFBFBF"/>
      </bottom>
    </border>
  </borders>
  <cellStyleXfs count="32">
    <xf numFmtId="164" fontId="0" fillId="0" borderId="0">
      <alignment vertical="top"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173" fontId="0" fillId="0" borderId="0">
      <alignment/>
      <protection/>
    </xf>
    <xf numFmtId="174" fontId="0" fillId="0" borderId="0">
      <alignment/>
      <protection/>
    </xf>
    <xf numFmtId="164" fontId="0" fillId="0" borderId="0">
      <alignment vertical="top"/>
      <protection/>
    </xf>
    <xf numFmtId="41" fontId="0" fillId="0" borderId="0">
      <alignment/>
      <protection/>
    </xf>
    <xf numFmtId="166" fontId="0" fillId="0" borderId="0">
      <alignment vertical="top"/>
      <protection/>
    </xf>
    <xf numFmtId="165" fontId="0" fillId="0" borderId="0">
      <alignment vertical="top"/>
      <protection/>
    </xf>
    <xf numFmtId="168" fontId="0" fillId="0" borderId="0">
      <alignment vertical="top"/>
      <protection/>
    </xf>
    <xf numFmtId="171" fontId="0" fillId="0" borderId="0">
      <alignment vertical="top"/>
      <protection/>
    </xf>
    <xf numFmtId="170" fontId="0" fillId="0" borderId="0">
      <alignment vertical="top"/>
      <protection/>
    </xf>
    <xf numFmtId="169" fontId="0" fillId="0" borderId="0">
      <alignment vertical="top"/>
      <protection/>
    </xf>
    <xf numFmtId="169" fontId="2" fillId="0" borderId="0">
      <alignment vertical="top"/>
      <protection/>
    </xf>
    <xf numFmtId="168" fontId="2" fillId="0" borderId="0">
      <alignment vertical="top"/>
      <protection/>
    </xf>
    <xf numFmtId="175" fontId="2" fillId="0" borderId="0">
      <alignment vertical="top"/>
      <protection/>
    </xf>
    <xf numFmtId="164" fontId="0" fillId="0" borderId="0">
      <alignment vertical="top"/>
      <protection/>
    </xf>
    <xf numFmtId="165" fontId="2" fillId="0" borderId="0">
      <alignment vertical="top"/>
      <protection/>
    </xf>
    <xf numFmtId="164" fontId="0" fillId="0" borderId="0">
      <alignment vertical="top"/>
      <protection/>
    </xf>
  </cellStyleXfs>
  <cellXfs count="587">
    <xf numFmtId="164" fontId="0" fillId="0" borderId="0" xfId="0" applyAlignment="1">
      <alignment vertical="top"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6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6" fontId="6" fillId="0" borderId="0" xfId="20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4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4" fontId="4" fillId="0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7" fillId="0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6" fontId="0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7" fontId="0" fillId="0" borderId="0" xfId="22" applyAlignment="1">
      <alignment vertical="top"/>
      <protection/>
    </xf>
    <xf numFmtId="167" fontId="0" fillId="0" borderId="0" xfId="22" applyAlignment="1">
      <alignment vertical="top"/>
      <protection/>
    </xf>
    <xf numFmtId="164" fontId="4" fillId="0" borderId="0" xfId="0" applyAlignment="1">
      <alignment vertical="top"/>
    </xf>
    <xf numFmtId="164" fontId="0" fillId="0" borderId="0" xfId="0" applyAlignment="1">
      <alignment vertical="top"/>
    </xf>
    <xf numFmtId="164" fontId="0" fillId="0" borderId="0" xfId="0" applyAlignment="1">
      <alignment vertical="top"/>
    </xf>
    <xf numFmtId="164" fontId="5" fillId="0" borderId="0" xfId="0" applyAlignment="1">
      <alignment vertical="top"/>
    </xf>
    <xf numFmtId="164" fontId="4" fillId="0" borderId="0" xfId="0" applyAlignment="1">
      <alignment vertical="top"/>
    </xf>
    <xf numFmtId="164" fontId="0" fillId="0" borderId="0" xfId="0" applyAlignment="1">
      <alignment vertical="top"/>
    </xf>
    <xf numFmtId="165" fontId="0" fillId="0" borderId="0" xfId="21" applyAlignment="1">
      <alignment vertical="top"/>
      <protection/>
    </xf>
    <xf numFmtId="165" fontId="8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1" xfId="0" applyAlignment="1">
      <alignment horizontal="right" vertical="top"/>
    </xf>
    <xf numFmtId="164" fontId="5" fillId="0" borderId="1" xfId="0" applyAlignment="1">
      <alignment vertical="top"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4" fontId="0" fillId="2" borderId="0" xfId="18" applyAlignment="1">
      <alignment horizontal="right" vertical="top"/>
      <protection/>
    </xf>
    <xf numFmtId="166" fontId="0" fillId="0" borderId="0" xfId="20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5" fontId="5" fillId="0" borderId="0" xfId="21" applyAlignment="1">
      <alignment vertical="top"/>
      <protection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4" fontId="5" fillId="0" borderId="0" xfId="0" applyAlignment="1">
      <alignment vertical="top"/>
    </xf>
    <xf numFmtId="167" fontId="5" fillId="0" borderId="0" xfId="22" applyAlignment="1">
      <alignment vertical="top"/>
      <protection/>
    </xf>
    <xf numFmtId="166" fontId="5" fillId="0" borderId="0" xfId="20" applyAlignment="1">
      <alignment vertical="top"/>
      <protection/>
    </xf>
    <xf numFmtId="167" fontId="4" fillId="0" borderId="0" xfId="22" applyAlignment="1">
      <alignment vertical="top"/>
      <protection/>
    </xf>
    <xf numFmtId="167" fontId="0" fillId="0" borderId="0" xfId="22" applyAlignment="1">
      <alignment horizontal="right"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horizontal="right" vertical="top"/>
      <protection/>
    </xf>
    <xf numFmtId="164" fontId="0" fillId="0" borderId="0" xfId="0" applyAlignment="1">
      <alignment horizontal="right" vertical="top"/>
    </xf>
    <xf numFmtId="164" fontId="0" fillId="0" borderId="0" xfId="0" applyAlignment="1">
      <alignment horizontal="right" vertical="top"/>
    </xf>
    <xf numFmtId="167" fontId="5" fillId="0" borderId="0" xfId="18" applyAlignment="1">
      <alignment vertical="top"/>
      <protection/>
    </xf>
    <xf numFmtId="167" fontId="4" fillId="0" borderId="0" xfId="18" applyAlignment="1">
      <alignment vertical="top"/>
      <protection/>
    </xf>
    <xf numFmtId="167" fontId="0" fillId="0" borderId="0" xfId="18" applyAlignment="1">
      <alignment vertical="top"/>
      <protection/>
    </xf>
    <xf numFmtId="167" fontId="0" fillId="0" borderId="0" xfId="18" applyAlignment="1">
      <alignment horizontal="right" vertical="top"/>
      <protection/>
    </xf>
    <xf numFmtId="164" fontId="5" fillId="0" borderId="0" xfId="0" applyAlignment="1">
      <alignment horizontal="right" vertical="top"/>
    </xf>
    <xf numFmtId="164" fontId="4" fillId="0" borderId="0" xfId="0" applyAlignment="1">
      <alignment horizontal="right" vertical="top"/>
    </xf>
    <xf numFmtId="164" fontId="0" fillId="0" borderId="0" xfId="0" applyAlignment="1">
      <alignment horizontal="left" vertical="top"/>
    </xf>
    <xf numFmtId="164" fontId="11" fillId="0" borderId="0" xfId="18" applyAlignment="1">
      <alignment vertical="top"/>
      <protection/>
    </xf>
    <xf numFmtId="166" fontId="0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6" fontId="5" fillId="0" borderId="0" xfId="20" applyAlignment="1">
      <alignment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4" fontId="9" fillId="0" borderId="0" xfId="0" applyAlignment="1">
      <alignment vertical="top"/>
    </xf>
    <xf numFmtId="164" fontId="10" fillId="0" borderId="0" xfId="0" applyAlignment="1">
      <alignment vertical="top"/>
    </xf>
    <xf numFmtId="164" fontId="11" fillId="0" borderId="0" xfId="0" applyAlignment="1">
      <alignment vertical="top"/>
    </xf>
    <xf numFmtId="164" fontId="5" fillId="0" borderId="0" xfId="0" applyAlignment="1">
      <alignment vertical="top"/>
    </xf>
    <xf numFmtId="164" fontId="8" fillId="0" borderId="0" xfId="0" applyAlignment="1">
      <alignment vertical="top"/>
    </xf>
    <xf numFmtId="164" fontId="0" fillId="0" borderId="0" xfId="0" applyAlignment="1">
      <alignment horizontal="right" vertical="top"/>
    </xf>
    <xf numFmtId="168" fontId="0" fillId="0" borderId="0" xfId="22" applyAlignment="1">
      <alignment vertical="top"/>
      <protection/>
    </xf>
    <xf numFmtId="164" fontId="9" fillId="0" borderId="0" xfId="18" applyAlignment="1">
      <alignment vertical="top"/>
      <protection/>
    </xf>
    <xf numFmtId="164" fontId="10" fillId="0" borderId="0" xfId="18" applyAlignment="1">
      <alignment vertical="top"/>
      <protection/>
    </xf>
    <xf numFmtId="164" fontId="11" fillId="0" borderId="0" xfId="18" applyAlignment="1">
      <alignment horizontal="right" vertical="top"/>
      <protection/>
    </xf>
    <xf numFmtId="164" fontId="11" fillId="0" borderId="0" xfId="0" applyAlignment="1">
      <alignment vertical="top"/>
    </xf>
    <xf numFmtId="169" fontId="0" fillId="0" borderId="0" xfId="18" applyAlignment="1">
      <alignment vertical="top"/>
      <protection/>
    </xf>
    <xf numFmtId="169" fontId="11" fillId="0" borderId="0" xfId="21" applyAlignment="1">
      <alignment vertical="top"/>
      <protection/>
    </xf>
    <xf numFmtId="165" fontId="12" fillId="0" borderId="0" xfId="21" applyAlignment="1">
      <alignment vertical="top"/>
      <protection/>
    </xf>
    <xf numFmtId="165" fontId="13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21" applyAlignment="1">
      <alignment vertical="top"/>
      <protection/>
    </xf>
    <xf numFmtId="169" fontId="11" fillId="0" borderId="0" xfId="21" applyAlignment="1">
      <alignment vertical="top"/>
      <protection/>
    </xf>
    <xf numFmtId="165" fontId="14" fillId="0" borderId="0" xfId="21" applyAlignment="1">
      <alignment vertical="top"/>
      <protection/>
    </xf>
    <xf numFmtId="165" fontId="0" fillId="0" borderId="0" xfId="18" applyAlignment="1">
      <alignment vertical="top"/>
      <protection/>
    </xf>
    <xf numFmtId="164" fontId="12" fillId="0" borderId="0" xfId="18" applyAlignment="1">
      <alignment vertical="top"/>
      <protection/>
    </xf>
    <xf numFmtId="164" fontId="13" fillId="0" borderId="0" xfId="18" applyAlignment="1">
      <alignment vertical="top"/>
      <protection/>
    </xf>
    <xf numFmtId="164" fontId="14" fillId="0" borderId="0" xfId="18" applyAlignment="1">
      <alignment horizontal="right" vertical="top"/>
      <protection/>
    </xf>
    <xf numFmtId="164" fontId="14" fillId="0" borderId="0" xfId="18" applyAlignment="1">
      <alignment vertical="top"/>
      <protection/>
    </xf>
    <xf numFmtId="169" fontId="0" fillId="0" borderId="0" xfId="18" applyAlignment="1">
      <alignment vertical="top"/>
      <protection/>
    </xf>
    <xf numFmtId="170" fontId="12" fillId="0" borderId="0" xfId="24" applyAlignment="1">
      <alignment vertical="top"/>
      <protection/>
    </xf>
    <xf numFmtId="170" fontId="13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69" fontId="0" fillId="0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0" applyAlignment="1">
      <alignment vertical="top"/>
    </xf>
    <xf numFmtId="164" fontId="0" fillId="4" borderId="2" xfId="18" applyAlignment="1">
      <alignment horizontal="center" vertical="top"/>
      <protection/>
    </xf>
    <xf numFmtId="166" fontId="0" fillId="4" borderId="3" xfId="20" applyAlignment="1">
      <alignment vertical="top"/>
      <protection/>
    </xf>
    <xf numFmtId="164" fontId="0" fillId="4" borderId="3" xfId="0" applyAlignment="1">
      <alignment vertical="top"/>
    </xf>
    <xf numFmtId="164" fontId="0" fillId="4" borderId="3" xfId="18" applyAlignment="1">
      <alignment horizontal="center" vertical="top"/>
      <protection/>
    </xf>
    <xf numFmtId="164" fontId="5" fillId="4" borderId="2" xfId="0" applyAlignment="1">
      <alignment horizontal="center" vertical="top"/>
    </xf>
    <xf numFmtId="0" fontId="15" fillId="0" borderId="0" xfId="18" applyAlignment="1">
      <alignment horizontal="center" vertical="center"/>
      <protection/>
    </xf>
    <xf numFmtId="166" fontId="0" fillId="0" borderId="3" xfId="20" applyAlignment="1">
      <alignment vertical="top"/>
      <protection/>
    </xf>
    <xf numFmtId="164" fontId="0" fillId="0" borderId="3" xfId="0" applyAlignment="1">
      <alignment vertical="top"/>
    </xf>
    <xf numFmtId="164" fontId="0" fillId="4" borderId="3" xfId="0" applyAlignment="1">
      <alignment vertical="top"/>
    </xf>
    <xf numFmtId="164" fontId="0" fillId="0" borderId="0" xfId="0" applyAlignment="1">
      <alignment vertical="top"/>
    </xf>
    <xf numFmtId="164" fontId="0" fillId="3" borderId="0" xfId="0" applyAlignment="1">
      <alignment vertical="top"/>
    </xf>
    <xf numFmtId="166" fontId="0" fillId="0" borderId="0" xfId="20" applyAlignment="1">
      <alignment vertical="top"/>
      <protection/>
    </xf>
    <xf numFmtId="166" fontId="0" fillId="3" borderId="0" xfId="20" applyAlignment="1">
      <alignment vertical="top"/>
      <protection/>
    </xf>
    <xf numFmtId="164" fontId="0" fillId="0" borderId="3" xfId="0" applyAlignment="1">
      <alignment vertical="top"/>
    </xf>
    <xf numFmtId="171" fontId="0" fillId="3" borderId="0" xfId="23" applyAlignment="1">
      <alignment vertical="top"/>
      <protection/>
    </xf>
    <xf numFmtId="164" fontId="0" fillId="3" borderId="0" xfId="0" applyAlignment="1">
      <alignment vertical="top"/>
    </xf>
    <xf numFmtId="164" fontId="11" fillId="0" borderId="0" xfId="18" applyAlignment="1">
      <alignment vertical="top"/>
      <protection/>
    </xf>
    <xf numFmtId="164" fontId="14" fillId="0" borderId="0" xfId="18" applyAlignment="1">
      <alignment vertical="top"/>
      <protection/>
    </xf>
    <xf numFmtId="164" fontId="14" fillId="0" borderId="0" xfId="0" applyAlignment="1">
      <alignment vertical="top"/>
    </xf>
    <xf numFmtId="169" fontId="11" fillId="0" borderId="0" xfId="18" applyAlignment="1">
      <alignment vertical="top"/>
      <protection/>
    </xf>
    <xf numFmtId="164" fontId="18" fillId="0" borderId="0" xfId="0" applyAlignment="1">
      <alignment vertical="top"/>
    </xf>
    <xf numFmtId="164" fontId="18" fillId="0" borderId="0" xfId="0" applyAlignment="1">
      <alignment vertical="top"/>
    </xf>
    <xf numFmtId="164" fontId="18" fillId="0" borderId="0" xfId="0" applyAlignment="1">
      <alignment vertical="top"/>
    </xf>
    <xf numFmtId="165" fontId="14" fillId="0" borderId="0" xfId="21" applyAlignment="1">
      <alignment horizontal="right" vertical="top"/>
      <protection/>
    </xf>
    <xf numFmtId="170" fontId="0" fillId="0" borderId="0" xfId="18" applyAlignment="1">
      <alignment vertical="top"/>
      <protection/>
    </xf>
    <xf numFmtId="164" fontId="0" fillId="4" borderId="3" xfId="18" applyAlignment="1">
      <alignment vertical="top"/>
      <protection/>
    </xf>
    <xf numFmtId="169" fontId="0" fillId="0" borderId="0" xfId="18" applyAlignment="1">
      <alignment vertical="top"/>
      <protection/>
    </xf>
    <xf numFmtId="166" fontId="5" fillId="0" borderId="0" xfId="18" applyAlignment="1">
      <alignment vertical="top"/>
      <protection/>
    </xf>
    <xf numFmtId="166" fontId="4" fillId="0" borderId="0" xfId="18" applyAlignment="1">
      <alignment vertical="top"/>
      <protection/>
    </xf>
    <xf numFmtId="166" fontId="0" fillId="0" borderId="0" xfId="18" applyAlignment="1">
      <alignment horizontal="right" vertical="top"/>
      <protection/>
    </xf>
    <xf numFmtId="166" fontId="0" fillId="4" borderId="3" xfId="20" applyAlignment="1">
      <alignment vertical="top"/>
      <protection/>
    </xf>
    <xf numFmtId="166" fontId="0" fillId="3" borderId="0" xfId="18" applyAlignment="1">
      <alignment vertical="top"/>
      <protection/>
    </xf>
    <xf numFmtId="166" fontId="11" fillId="0" borderId="0" xfId="20" applyAlignment="1">
      <alignment vertical="top"/>
      <protection/>
    </xf>
    <xf numFmtId="164" fontId="16" fillId="0" borderId="0" xfId="18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18" fillId="0" borderId="0" xfId="18" applyAlignment="1">
      <alignment horizontal="right" vertical="top"/>
      <protection/>
    </xf>
    <xf numFmtId="165" fontId="19" fillId="0" borderId="0" xfId="21" applyAlignment="1">
      <alignment vertical="top"/>
      <protection/>
    </xf>
    <xf numFmtId="165" fontId="5" fillId="0" borderId="0" xfId="21" applyAlignment="1">
      <alignment horizontal="right" vertical="top"/>
      <protection/>
    </xf>
    <xf numFmtId="165" fontId="5" fillId="3" borderId="0" xfId="21" applyAlignment="1">
      <alignment vertical="top"/>
      <protection/>
    </xf>
    <xf numFmtId="165" fontId="5" fillId="4" borderId="3" xfId="21" applyAlignment="1">
      <alignment horizontal="center" vertical="center"/>
      <protection/>
    </xf>
    <xf numFmtId="164" fontId="0" fillId="0" borderId="0" xfId="18" applyAlignment="1">
      <alignment vertical="top"/>
      <protection/>
    </xf>
    <xf numFmtId="164" fontId="0" fillId="5" borderId="0" xfId="18" applyAlignment="1">
      <alignment vertical="top"/>
      <protection/>
    </xf>
    <xf numFmtId="164" fontId="5" fillId="0" borderId="4" xfId="18" applyAlignment="1">
      <alignment vertical="top"/>
      <protection/>
    </xf>
    <xf numFmtId="164" fontId="4" fillId="0" borderId="4" xfId="18" applyAlignment="1">
      <alignment vertical="top"/>
      <protection/>
    </xf>
    <xf numFmtId="164" fontId="0" fillId="0" borderId="4" xfId="18" applyAlignment="1">
      <alignment horizontal="right" vertical="top"/>
      <protection/>
    </xf>
    <xf numFmtId="164" fontId="0" fillId="0" borderId="4" xfId="18" applyAlignment="1">
      <alignment vertical="top"/>
      <protection/>
    </xf>
    <xf numFmtId="164" fontId="0" fillId="0" borderId="4" xfId="18" applyAlignment="1">
      <alignment vertical="top"/>
      <protection/>
    </xf>
    <xf numFmtId="164" fontId="5" fillId="0" borderId="5" xfId="18" applyAlignment="1">
      <alignment vertical="top"/>
      <protection/>
    </xf>
    <xf numFmtId="164" fontId="4" fillId="0" borderId="5" xfId="18" applyAlignment="1">
      <alignment vertical="top"/>
      <protection/>
    </xf>
    <xf numFmtId="164" fontId="0" fillId="0" borderId="5" xfId="18" applyAlignment="1">
      <alignment horizontal="right" vertical="top"/>
      <protection/>
    </xf>
    <xf numFmtId="164" fontId="0" fillId="0" borderId="5" xfId="18" applyAlignment="1">
      <alignment vertical="top"/>
      <protection/>
    </xf>
    <xf numFmtId="164" fontId="0" fillId="0" borderId="5" xfId="18" applyAlignment="1">
      <alignment vertical="top"/>
      <protection/>
    </xf>
    <xf numFmtId="169" fontId="11" fillId="0" borderId="0" xfId="18" applyAlignment="1">
      <alignment vertical="top"/>
      <protection/>
    </xf>
    <xf numFmtId="164" fontId="12" fillId="0" borderId="0" xfId="0" applyAlignment="1">
      <alignment vertical="top"/>
    </xf>
    <xf numFmtId="164" fontId="13" fillId="0" borderId="0" xfId="0" applyAlignment="1">
      <alignment vertical="top"/>
    </xf>
    <xf numFmtId="164" fontId="14" fillId="0" borderId="0" xfId="0" applyAlignment="1">
      <alignment vertical="top"/>
    </xf>
    <xf numFmtId="164" fontId="14" fillId="0" borderId="0" xfId="0" applyAlignment="1">
      <alignment vertical="top"/>
    </xf>
    <xf numFmtId="164" fontId="18" fillId="0" borderId="6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5" fillId="3" borderId="0" xfId="0" applyAlignment="1">
      <alignment vertical="top"/>
    </xf>
    <xf numFmtId="164" fontId="4" fillId="3" borderId="0" xfId="0" applyAlignment="1">
      <alignment vertical="top"/>
    </xf>
    <xf numFmtId="164" fontId="0" fillId="3" borderId="0" xfId="0" applyAlignment="1">
      <alignment horizontal="right" vertical="top"/>
    </xf>
    <xf numFmtId="171" fontId="5" fillId="3" borderId="0" xfId="23" applyAlignment="1">
      <alignment vertical="top"/>
      <protection/>
    </xf>
    <xf numFmtId="171" fontId="4" fillId="3" borderId="0" xfId="23" applyAlignment="1">
      <alignment vertical="top"/>
      <protection/>
    </xf>
    <xf numFmtId="171" fontId="0" fillId="3" borderId="0" xfId="23" applyAlignment="1">
      <alignment vertical="top"/>
      <protection/>
    </xf>
    <xf numFmtId="164" fontId="0" fillId="0" borderId="0" xfId="0" applyAlignment="1">
      <alignment vertical="top"/>
    </xf>
    <xf numFmtId="164" fontId="5" fillId="0" borderId="0" xfId="0" applyAlignment="1">
      <alignment horizontal="right" vertical="top"/>
    </xf>
    <xf numFmtId="164" fontId="5" fillId="0" borderId="0" xfId="0" applyAlignment="1">
      <alignment vertical="top"/>
    </xf>
    <xf numFmtId="164" fontId="0" fillId="3" borderId="0" xfId="18" applyAlignment="1">
      <alignment vertical="top"/>
      <protection/>
    </xf>
    <xf numFmtId="164" fontId="0" fillId="0" borderId="0" xfId="18" applyAlignment="1">
      <alignment horizontal="center" vertical="top"/>
      <protection/>
    </xf>
    <xf numFmtId="164" fontId="5" fillId="0" borderId="7" xfId="0" applyAlignment="1">
      <alignment horizontal="center" vertical="center"/>
    </xf>
    <xf numFmtId="164" fontId="5" fillId="4" borderId="3" xfId="0" applyAlignment="1">
      <alignment horizontal="center" vertical="top"/>
    </xf>
    <xf numFmtId="166" fontId="21" fillId="3" borderId="0" xfId="20" applyAlignment="1">
      <alignment vertical="top"/>
      <protection/>
    </xf>
    <xf numFmtId="164" fontId="21" fillId="3" borderId="0" xfId="0" applyAlignment="1">
      <alignment vertical="top"/>
    </xf>
    <xf numFmtId="164" fontId="21" fillId="3" borderId="0" xfId="18" applyAlignment="1">
      <alignment vertical="top"/>
      <protection/>
    </xf>
    <xf numFmtId="164" fontId="0" fillId="0" borderId="7" xfId="0" applyAlignment="1">
      <alignment horizontal="center" vertical="top"/>
    </xf>
    <xf numFmtId="164" fontId="18" fillId="0" borderId="0" xfId="0" applyAlignment="1">
      <alignment horizontal="center" vertical="top"/>
    </xf>
    <xf numFmtId="164" fontId="0" fillId="6" borderId="0" xfId="0" applyAlignment="1">
      <alignment horizontal="right" vertical="top"/>
    </xf>
    <xf numFmtId="164" fontId="18" fillId="6" borderId="3" xfId="0" applyAlignment="1">
      <alignment horizontal="center" vertical="top"/>
    </xf>
    <xf numFmtId="164" fontId="22" fillId="0" borderId="0" xfId="18" applyAlignment="1">
      <alignment vertical="top"/>
      <protection/>
    </xf>
    <xf numFmtId="164" fontId="23" fillId="0" borderId="0" xfId="18" applyAlignment="1">
      <alignment vertical="top"/>
      <protection/>
    </xf>
    <xf numFmtId="164" fontId="24" fillId="0" borderId="0" xfId="18" applyAlignment="1">
      <alignment horizontal="right" vertical="top"/>
      <protection/>
    </xf>
    <xf numFmtId="164" fontId="24" fillId="0" borderId="0" xfId="18" applyAlignment="1">
      <alignment vertical="top"/>
      <protection/>
    </xf>
    <xf numFmtId="164" fontId="24" fillId="3" borderId="0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0" fillId="4" borderId="3" xfId="18" applyAlignment="1">
      <alignment vertical="top"/>
      <protection/>
    </xf>
    <xf numFmtId="164" fontId="25" fillId="0" borderId="0" xfId="18" applyAlignment="1">
      <alignment vertical="top"/>
      <protection/>
    </xf>
    <xf numFmtId="165" fontId="16" fillId="0" borderId="0" xfId="21" applyAlignment="1">
      <alignment vertical="top"/>
      <protection/>
    </xf>
    <xf numFmtId="165" fontId="17" fillId="0" borderId="0" xfId="21" applyAlignment="1">
      <alignment vertical="top"/>
      <protection/>
    </xf>
    <xf numFmtId="165" fontId="18" fillId="0" borderId="0" xfId="21" applyAlignment="1">
      <alignment horizontal="right" vertical="top"/>
      <protection/>
    </xf>
    <xf numFmtId="165" fontId="16" fillId="0" borderId="0" xfId="21" applyAlignment="1">
      <alignment vertical="top"/>
      <protection/>
    </xf>
    <xf numFmtId="164" fontId="0" fillId="4" borderId="4" xfId="18" applyAlignment="1">
      <alignment vertical="top"/>
      <protection/>
    </xf>
    <xf numFmtId="166" fontId="11" fillId="0" borderId="0" xfId="20" applyAlignment="1">
      <alignment vertical="top"/>
      <protection/>
    </xf>
    <xf numFmtId="164" fontId="0" fillId="4" borderId="3" xfId="24" applyAlignment="1">
      <alignment vertical="top"/>
      <protection/>
    </xf>
    <xf numFmtId="164" fontId="0" fillId="4" borderId="3" xfId="18" applyAlignment="1">
      <alignment horizontal="center" vertical="top"/>
      <protection/>
    </xf>
    <xf numFmtId="164" fontId="0" fillId="0" borderId="2" xfId="18" applyAlignment="1">
      <alignment horizontal="center" vertical="top"/>
      <protection/>
    </xf>
    <xf numFmtId="164" fontId="18" fillId="3" borderId="0" xfId="18" applyAlignment="1">
      <alignment vertical="top"/>
      <protection/>
    </xf>
    <xf numFmtId="170" fontId="0" fillId="0" borderId="0" xfId="24" applyAlignment="1">
      <alignment horizontal="center" vertical="top"/>
      <protection/>
    </xf>
    <xf numFmtId="170" fontId="24" fillId="0" borderId="0" xfId="24" applyAlignment="1">
      <alignment horizontal="center" vertical="top"/>
      <protection/>
    </xf>
    <xf numFmtId="170" fontId="5" fillId="0" borderId="0" xfId="24" applyAlignment="1">
      <alignment horizontal="center" vertical="top"/>
      <protection/>
    </xf>
    <xf numFmtId="170" fontId="20" fillId="0" borderId="3" xfId="24" applyAlignment="1">
      <alignment horizontal="center" vertical="top"/>
      <protection/>
    </xf>
    <xf numFmtId="170" fontId="0" fillId="0" borderId="0" xfId="24" applyAlignment="1">
      <alignment horizontal="center" vertical="top"/>
      <protection/>
    </xf>
    <xf numFmtId="170" fontId="5" fillId="0" borderId="0" xfId="24" applyAlignment="1">
      <alignment horizontal="center" vertical="top"/>
      <protection/>
    </xf>
    <xf numFmtId="170" fontId="27" fillId="0" borderId="0" xfId="24" applyAlignment="1">
      <alignment horizontal="center" vertical="top"/>
      <protection/>
    </xf>
    <xf numFmtId="170" fontId="21" fillId="0" borderId="0" xfId="24" applyAlignment="1">
      <alignment horizontal="center" vertical="top"/>
      <protection/>
    </xf>
    <xf numFmtId="170" fontId="0" fillId="3" borderId="0" xfId="24" applyAlignment="1">
      <alignment horizontal="center" vertical="top"/>
      <protection/>
    </xf>
    <xf numFmtId="170" fontId="0" fillId="0" borderId="0" xfId="24" applyAlignment="1">
      <alignment horizontal="center" vertical="top"/>
      <protection/>
    </xf>
    <xf numFmtId="169" fontId="11" fillId="0" borderId="0" xfId="18" applyAlignment="1">
      <alignment vertical="top"/>
      <protection/>
    </xf>
    <xf numFmtId="164" fontId="12" fillId="0" borderId="0" xfId="0" applyAlignment="1">
      <alignment vertical="top"/>
    </xf>
    <xf numFmtId="170" fontId="18" fillId="0" borderId="0" xfId="24" applyAlignment="1">
      <alignment horizontal="center" vertical="top"/>
      <protection/>
    </xf>
    <xf numFmtId="164" fontId="27" fillId="0" borderId="0" xfId="24" applyAlignment="1">
      <alignment horizontal="center"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6" fillId="0" borderId="0" xfId="0" applyAlignment="1">
      <alignment vertical="top"/>
    </xf>
    <xf numFmtId="169" fontId="0" fillId="4" borderId="3" xfId="18" applyAlignment="1">
      <alignment vertical="top"/>
      <protection/>
    </xf>
    <xf numFmtId="165" fontId="18" fillId="0" borderId="0" xfId="21" applyAlignment="1">
      <alignment vertical="top"/>
      <protection/>
    </xf>
    <xf numFmtId="164" fontId="18" fillId="0" borderId="0" xfId="0" applyAlignment="1">
      <alignment horizontal="right" vertical="top"/>
    </xf>
    <xf numFmtId="165" fontId="26" fillId="0" borderId="0" xfId="21" applyAlignment="1">
      <alignment vertical="top"/>
      <protection/>
    </xf>
    <xf numFmtId="164" fontId="26" fillId="0" borderId="0" xfId="0" applyAlignment="1">
      <alignment vertical="top"/>
    </xf>
    <xf numFmtId="170" fontId="18" fillId="0" borderId="0" xfId="18" applyAlignment="1">
      <alignment vertical="top"/>
      <protection/>
    </xf>
    <xf numFmtId="164" fontId="16" fillId="0" borderId="1" xfId="0" applyAlignment="1">
      <alignment horizontal="right" vertical="top"/>
    </xf>
    <xf numFmtId="164" fontId="16" fillId="0" borderId="1" xfId="0" applyAlignment="1">
      <alignment vertical="top"/>
    </xf>
    <xf numFmtId="164" fontId="14" fillId="0" borderId="0" xfId="0" applyAlignment="1">
      <alignment horizontal="right" vertical="top"/>
    </xf>
    <xf numFmtId="166" fontId="16" fillId="0" borderId="0" xfId="20" applyAlignment="1">
      <alignment vertical="top"/>
      <protection/>
    </xf>
    <xf numFmtId="166" fontId="17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4" fontId="0" fillId="0" borderId="0" xfId="0" applyAlignment="1">
      <alignment vertical="top"/>
    </xf>
    <xf numFmtId="164" fontId="0" fillId="0" borderId="0" xfId="29" applyAlignment="1">
      <alignment vertical="top"/>
      <protection/>
    </xf>
    <xf numFmtId="164" fontId="0" fillId="0" borderId="0" xfId="0" applyAlignment="1">
      <alignment vertical="top"/>
    </xf>
    <xf numFmtId="164" fontId="0" fillId="0" borderId="4" xfId="0" applyAlignment="1">
      <alignment vertical="top"/>
    </xf>
    <xf numFmtId="164" fontId="0" fillId="0" borderId="5" xfId="0" applyAlignment="1">
      <alignment vertical="top"/>
    </xf>
    <xf numFmtId="168" fontId="0" fillId="4" borderId="3" xfId="22" applyAlignment="1">
      <alignment vertical="top"/>
      <protection/>
    </xf>
    <xf numFmtId="164" fontId="18" fillId="4" borderId="3" xfId="18" applyAlignment="1">
      <alignment vertical="top"/>
      <protection/>
    </xf>
    <xf numFmtId="164" fontId="0" fillId="4" borderId="3" xfId="0" applyAlignment="1">
      <alignment horizontal="right" vertical="top"/>
    </xf>
    <xf numFmtId="164" fontId="0" fillId="0" borderId="0" xfId="29" applyAlignment="1">
      <alignment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8" fillId="0" borderId="0" xfId="0" applyAlignment="1">
      <alignment horizontal="right" vertical="top"/>
    </xf>
    <xf numFmtId="164" fontId="11" fillId="0" borderId="0" xfId="0" applyAlignment="1">
      <alignment vertical="top"/>
    </xf>
    <xf numFmtId="164" fontId="5" fillId="0" borderId="0" xfId="29" applyAlignment="1">
      <alignment vertical="top"/>
      <protection/>
    </xf>
    <xf numFmtId="164" fontId="4" fillId="0" borderId="0" xfId="29" applyAlignment="1">
      <alignment vertical="top"/>
      <protection/>
    </xf>
    <xf numFmtId="164" fontId="0" fillId="0" borderId="0" xfId="29" applyAlignment="1">
      <alignment horizontal="right" vertical="top"/>
      <protection/>
    </xf>
    <xf numFmtId="164" fontId="5" fillId="0" borderId="4" xfId="29" applyAlignment="1">
      <alignment vertical="top"/>
      <protection/>
    </xf>
    <xf numFmtId="164" fontId="4" fillId="0" borderId="4" xfId="29" applyAlignment="1">
      <alignment vertical="top"/>
      <protection/>
    </xf>
    <xf numFmtId="164" fontId="0" fillId="0" borderId="4" xfId="29" applyAlignment="1">
      <alignment horizontal="right" vertical="top"/>
      <protection/>
    </xf>
    <xf numFmtId="164" fontId="0" fillId="0" borderId="4" xfId="29" applyAlignment="1">
      <alignment vertical="top"/>
      <protection/>
    </xf>
    <xf numFmtId="164" fontId="0" fillId="0" borderId="4" xfId="29" applyAlignment="1">
      <alignment vertical="top"/>
      <protection/>
    </xf>
    <xf numFmtId="164" fontId="0" fillId="0" borderId="0" xfId="29" applyAlignment="1">
      <alignment vertical="top"/>
      <protection/>
    </xf>
    <xf numFmtId="164" fontId="0" fillId="0" borderId="0" xfId="29" applyAlignment="1">
      <alignment vertical="top"/>
      <protection/>
    </xf>
    <xf numFmtId="164" fontId="9" fillId="0" borderId="0" xfId="29" applyAlignment="1">
      <alignment vertical="top"/>
      <protection/>
    </xf>
    <xf numFmtId="164" fontId="10" fillId="0" borderId="0" xfId="29" applyAlignment="1">
      <alignment vertical="top"/>
      <protection/>
    </xf>
    <xf numFmtId="164" fontId="11" fillId="0" borderId="0" xfId="29" applyAlignment="1">
      <alignment horizontal="right" vertical="top"/>
      <protection/>
    </xf>
    <xf numFmtId="164" fontId="11" fillId="0" borderId="0" xfId="0" applyAlignment="1">
      <alignment vertical="top"/>
    </xf>
    <xf numFmtId="164" fontId="5" fillId="0" borderId="5" xfId="29" applyAlignment="1">
      <alignment vertical="top"/>
      <protection/>
    </xf>
    <xf numFmtId="164" fontId="4" fillId="0" borderId="5" xfId="29" applyAlignment="1">
      <alignment vertical="top"/>
      <protection/>
    </xf>
    <xf numFmtId="164" fontId="0" fillId="0" borderId="5" xfId="29" applyAlignment="1">
      <alignment horizontal="right" vertical="top"/>
      <protection/>
    </xf>
    <xf numFmtId="164" fontId="0" fillId="0" borderId="5" xfId="29" applyAlignment="1">
      <alignment vertical="top"/>
      <protection/>
    </xf>
    <xf numFmtId="164" fontId="0" fillId="0" borderId="5" xfId="29" applyAlignment="1">
      <alignment vertical="top"/>
      <protection/>
    </xf>
    <xf numFmtId="164" fontId="0" fillId="6" borderId="4" xfId="31" applyAlignment="1">
      <alignment horizontal="right" vertical="top"/>
      <protection/>
    </xf>
    <xf numFmtId="164" fontId="0" fillId="6" borderId="0" xfId="31" applyAlignment="1">
      <alignment horizontal="right" vertical="top"/>
      <protection/>
    </xf>
    <xf numFmtId="164" fontId="12" fillId="0" borderId="5" xfId="29" applyAlignment="1">
      <alignment vertical="top"/>
      <protection/>
    </xf>
    <xf numFmtId="164" fontId="13" fillId="0" borderId="5" xfId="29" applyAlignment="1">
      <alignment vertical="top"/>
      <protection/>
    </xf>
    <xf numFmtId="164" fontId="14" fillId="0" borderId="5" xfId="29" applyAlignment="1">
      <alignment vertical="top"/>
      <protection/>
    </xf>
    <xf numFmtId="164" fontId="14" fillId="0" borderId="5" xfId="29" applyAlignment="1">
      <alignment vertical="top"/>
      <protection/>
    </xf>
    <xf numFmtId="164" fontId="11" fillId="0" borderId="0" xfId="29" applyAlignment="1">
      <alignment vertical="top"/>
      <protection/>
    </xf>
    <xf numFmtId="164" fontId="14" fillId="0" borderId="5" xfId="29" applyAlignment="1">
      <alignment horizontal="right" vertical="top"/>
      <protection/>
    </xf>
    <xf numFmtId="164" fontId="18" fillId="0" borderId="5" xfId="29" applyAlignment="1">
      <alignment vertical="top"/>
      <protection/>
    </xf>
    <xf numFmtId="164" fontId="18" fillId="6" borderId="5" xfId="31" applyAlignment="1">
      <alignment horizontal="right" vertical="top"/>
      <protection/>
    </xf>
    <xf numFmtId="172" fontId="0" fillId="0" borderId="4" xfId="29" applyAlignment="1">
      <alignment vertical="top"/>
      <protection/>
    </xf>
    <xf numFmtId="164" fontId="5" fillId="0" borderId="0" xfId="0" applyAlignment="1">
      <alignment vertical="top"/>
    </xf>
    <xf numFmtId="164" fontId="14" fillId="0" borderId="0" xfId="0" applyAlignment="1">
      <alignment vertical="top"/>
    </xf>
    <xf numFmtId="164" fontId="11" fillId="0" borderId="0" xfId="20" applyAlignment="1">
      <alignment vertical="top"/>
      <protection/>
    </xf>
    <xf numFmtId="164" fontId="0" fillId="0" borderId="0" xfId="0" applyAlignment="1">
      <alignment vertical="top"/>
    </xf>
    <xf numFmtId="165" fontId="0" fillId="0" borderId="0" xfId="18" applyAlignment="1">
      <alignment vertical="top"/>
      <protection/>
    </xf>
    <xf numFmtId="164" fontId="0" fillId="0" borderId="6" xfId="18" applyAlignment="1">
      <alignment vertical="top"/>
      <protection/>
    </xf>
    <xf numFmtId="164" fontId="0" fillId="0" borderId="6" xfId="18" applyAlignment="1">
      <alignment vertical="top"/>
      <protection/>
    </xf>
    <xf numFmtId="164" fontId="14" fillId="0" borderId="5" xfId="0" applyAlignment="1">
      <alignment vertical="top"/>
    </xf>
    <xf numFmtId="164" fontId="11" fillId="0" borderId="4" xfId="29" applyAlignment="1">
      <alignment vertical="top"/>
      <protection/>
    </xf>
    <xf numFmtId="164" fontId="0" fillId="7" borderId="4" xfId="29" applyAlignment="1">
      <alignment vertical="top"/>
      <protection/>
    </xf>
    <xf numFmtId="172" fontId="0" fillId="0" borderId="0" xfId="29" applyAlignment="1">
      <alignment vertical="top"/>
      <protection/>
    </xf>
    <xf numFmtId="164" fontId="11" fillId="5" borderId="0" xfId="18" applyAlignment="1">
      <alignment vertical="top"/>
      <protection/>
    </xf>
    <xf numFmtId="164" fontId="11" fillId="5" borderId="0" xfId="0" applyAlignment="1">
      <alignment vertical="top"/>
    </xf>
    <xf numFmtId="164" fontId="14" fillId="5" borderId="0" xfId="0" applyAlignment="1">
      <alignment vertical="top"/>
    </xf>
    <xf numFmtId="164" fontId="0" fillId="0" borderId="6" xfId="0" applyAlignment="1">
      <alignment vertical="top"/>
    </xf>
    <xf numFmtId="164" fontId="14" fillId="0" borderId="0" xfId="0" applyAlignment="1">
      <alignment vertical="top"/>
    </xf>
    <xf numFmtId="164" fontId="0" fillId="0" borderId="6" xfId="0" applyAlignment="1">
      <alignment vertical="top"/>
    </xf>
    <xf numFmtId="164" fontId="11" fillId="0" borderId="0" xfId="0" applyAlignment="1">
      <alignment vertical="top"/>
    </xf>
    <xf numFmtId="164" fontId="14" fillId="5" borderId="0" xfId="0" applyAlignment="1">
      <alignment vertical="top"/>
    </xf>
    <xf numFmtId="164" fontId="0" fillId="7" borderId="0" xfId="29" applyAlignment="1">
      <alignment vertical="top"/>
      <protection/>
    </xf>
    <xf numFmtId="164" fontId="5" fillId="0" borderId="0" xfId="18" applyAlignment="1">
      <alignment vertical="top"/>
      <protection/>
    </xf>
    <xf numFmtId="164" fontId="4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4" fontId="0" fillId="0" borderId="0" xfId="18" applyAlignment="1">
      <alignment vertical="top"/>
      <protection/>
    </xf>
    <xf numFmtId="170" fontId="0" fillId="0" borderId="0" xfId="24" applyAlignment="1">
      <alignment horizontal="center" vertical="top"/>
      <protection/>
    </xf>
    <xf numFmtId="164" fontId="0" fillId="3" borderId="0" xfId="18" applyAlignment="1">
      <alignment vertical="top"/>
      <protection/>
    </xf>
    <xf numFmtId="0" fontId="0" fillId="0" borderId="0" xfId="0">
      <alignment/>
    </xf>
    <xf numFmtId="164" fontId="7" fillId="0" borderId="0" xfId="18" applyAlignment="1">
      <alignment vertical="top"/>
      <protection/>
    </xf>
    <xf numFmtId="164" fontId="22" fillId="0" borderId="0" xfId="18" applyAlignment="1">
      <alignment vertical="top"/>
      <protection/>
    </xf>
    <xf numFmtId="164" fontId="23" fillId="0" borderId="0" xfId="18" applyAlignment="1">
      <alignment vertical="top"/>
      <protection/>
    </xf>
    <xf numFmtId="164" fontId="24" fillId="0" borderId="0" xfId="18" applyAlignment="1">
      <alignment horizontal="right" vertical="top"/>
      <protection/>
    </xf>
    <xf numFmtId="164" fontId="24" fillId="0" borderId="0" xfId="18" applyAlignment="1">
      <alignment vertical="top"/>
      <protection/>
    </xf>
    <xf numFmtId="170" fontId="24" fillId="0" borderId="0" xfId="24" applyAlignment="1">
      <alignment horizontal="center" vertical="top"/>
      <protection/>
    </xf>
    <xf numFmtId="164" fontId="24" fillId="3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5" fontId="19" fillId="0" borderId="0" xfId="21" applyAlignment="1">
      <alignment vertical="top"/>
      <protection/>
    </xf>
    <xf numFmtId="165" fontId="5" fillId="0" borderId="0" xfId="21" applyAlignment="1">
      <alignment horizontal="right" vertical="top"/>
      <protection/>
    </xf>
    <xf numFmtId="164" fontId="5" fillId="0" borderId="7" xfId="0" applyAlignment="1">
      <alignment horizontal="center" vertical="center"/>
    </xf>
    <xf numFmtId="170" fontId="5" fillId="0" borderId="0" xfId="24" applyAlignment="1">
      <alignment horizontal="center" vertical="top"/>
      <protection/>
    </xf>
    <xf numFmtId="165" fontId="5" fillId="3" borderId="0" xfId="21" applyAlignment="1">
      <alignment vertical="top"/>
      <protection/>
    </xf>
    <xf numFmtId="165" fontId="5" fillId="4" borderId="3" xfId="21" applyAlignment="1">
      <alignment horizontal="center" vertical="center"/>
      <protection/>
    </xf>
    <xf numFmtId="164" fontId="0" fillId="0" borderId="0" xfId="18" applyAlignment="1">
      <alignment vertical="top"/>
      <protection/>
    </xf>
    <xf numFmtId="164" fontId="5" fillId="4" borderId="3" xfId="0" applyAlignment="1">
      <alignment horizontal="center" vertical="top"/>
    </xf>
    <xf numFmtId="170" fontId="20" fillId="0" borderId="3" xfId="24" applyAlignment="1">
      <alignment horizontal="center" vertical="top"/>
      <protection/>
    </xf>
    <xf numFmtId="164" fontId="0" fillId="3" borderId="0" xfId="18" applyAlignment="1">
      <alignment vertical="top"/>
      <protection/>
    </xf>
    <xf numFmtId="164" fontId="0" fillId="4" borderId="3" xfId="18" applyAlignment="1">
      <alignment horizontal="center" vertical="top"/>
      <protection/>
    </xf>
    <xf numFmtId="164" fontId="0" fillId="4" borderId="2" xfId="18" applyAlignment="1">
      <alignment horizontal="center" vertical="top"/>
      <protection/>
    </xf>
    <xf numFmtId="164" fontId="0" fillId="0" borderId="0" xfId="18" applyAlignment="1">
      <alignment vertical="top"/>
      <protection/>
    </xf>
    <xf numFmtId="164" fontId="5" fillId="4" borderId="2" xfId="0" applyAlignment="1">
      <alignment horizontal="center" vertical="top"/>
    </xf>
    <xf numFmtId="164" fontId="0" fillId="3" borderId="0" xfId="18" applyAlignment="1">
      <alignment vertical="top"/>
      <protection/>
    </xf>
    <xf numFmtId="164" fontId="0" fillId="0" borderId="7" xfId="0" applyAlignment="1">
      <alignment horizontal="center" vertical="top"/>
    </xf>
    <xf numFmtId="164" fontId="0" fillId="4" borderId="3" xfId="18" applyAlignment="1">
      <alignment horizontal="center" vertical="top"/>
      <protection/>
    </xf>
    <xf numFmtId="164" fontId="18" fillId="6" borderId="3" xfId="0" applyAlignment="1">
      <alignment horizontal="center" vertical="top"/>
    </xf>
    <xf numFmtId="170" fontId="0" fillId="0" borderId="0" xfId="24" applyAlignment="1">
      <alignment horizontal="center" vertical="top"/>
      <protection/>
    </xf>
    <xf numFmtId="164" fontId="0" fillId="0" borderId="2" xfId="18" applyAlignment="1">
      <alignment horizontal="center" vertical="top"/>
      <protection/>
    </xf>
    <xf numFmtId="164" fontId="18" fillId="0" borderId="0" xfId="0" applyAlignment="1">
      <alignment horizontal="center" vertical="top"/>
    </xf>
    <xf numFmtId="164" fontId="0" fillId="0" borderId="0" xfId="18" applyAlignment="1">
      <alignment horizontal="center" vertical="top"/>
      <protection/>
    </xf>
    <xf numFmtId="164" fontId="0" fillId="0" borderId="0" xfId="0" applyAlignment="1">
      <alignment vertical="top"/>
    </xf>
    <xf numFmtId="164" fontId="5" fillId="0" borderId="0" xfId="0" applyAlignment="1">
      <alignment horizontal="right" vertical="top"/>
    </xf>
    <xf numFmtId="164" fontId="5" fillId="0" borderId="0" xfId="0" applyAlignment="1">
      <alignment vertical="top"/>
    </xf>
    <xf numFmtId="166" fontId="5" fillId="0" borderId="0" xfId="20" applyAlignment="1">
      <alignment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6" fontId="0" fillId="0" borderId="3" xfId="20" applyAlignment="1">
      <alignment vertical="top"/>
      <protection/>
    </xf>
    <xf numFmtId="170" fontId="27" fillId="0" borderId="0" xfId="24" applyAlignment="1">
      <alignment horizontal="center" vertical="top"/>
      <protection/>
    </xf>
    <xf numFmtId="166" fontId="21" fillId="3" borderId="0" xfId="20" applyAlignment="1">
      <alignment vertical="top"/>
      <protection/>
    </xf>
    <xf numFmtId="166" fontId="0" fillId="4" borderId="3" xfId="20" applyAlignment="1">
      <alignment vertical="top"/>
      <protection/>
    </xf>
    <xf numFmtId="166" fontId="0" fillId="3" borderId="0" xfId="20" applyAlignment="1">
      <alignment vertical="top"/>
      <protection/>
    </xf>
    <xf numFmtId="166" fontId="5" fillId="0" borderId="0" xfId="18" applyAlignment="1">
      <alignment vertical="top"/>
      <protection/>
    </xf>
    <xf numFmtId="166" fontId="4" fillId="0" borderId="0" xfId="18" applyAlignment="1">
      <alignment vertical="top"/>
      <protection/>
    </xf>
    <xf numFmtId="166" fontId="0" fillId="0" borderId="0" xfId="18" applyAlignment="1">
      <alignment horizontal="right" vertical="top"/>
      <protection/>
    </xf>
    <xf numFmtId="166" fontId="0" fillId="4" borderId="3" xfId="20" applyAlignment="1">
      <alignment vertical="top"/>
      <protection/>
    </xf>
    <xf numFmtId="166" fontId="0" fillId="3" borderId="0" xfId="18" applyAlignment="1">
      <alignment vertical="top"/>
      <protection/>
    </xf>
    <xf numFmtId="164" fontId="0" fillId="0" borderId="0" xfId="0" applyAlignment="1">
      <alignment vertical="top"/>
    </xf>
    <xf numFmtId="164" fontId="0" fillId="0" borderId="3" xfId="0" applyAlignment="1">
      <alignment vertical="top"/>
    </xf>
    <xf numFmtId="164" fontId="0" fillId="4" borderId="3" xfId="0" applyAlignment="1">
      <alignment vertical="top"/>
    </xf>
    <xf numFmtId="164" fontId="4" fillId="0" borderId="0" xfId="0" applyAlignment="1">
      <alignment vertical="top"/>
    </xf>
    <xf numFmtId="164" fontId="0" fillId="3" borderId="0" xfId="0" applyAlignment="1">
      <alignment vertical="top"/>
    </xf>
    <xf numFmtId="164" fontId="0" fillId="0" borderId="0" xfId="18" applyAlignment="1">
      <alignment vertical="top"/>
      <protection/>
    </xf>
    <xf numFmtId="164" fontId="0" fillId="0" borderId="3" xfId="0" applyAlignment="1">
      <alignment vertical="top"/>
    </xf>
    <xf numFmtId="164" fontId="21" fillId="3" borderId="0" xfId="0" applyAlignment="1">
      <alignment vertical="top"/>
    </xf>
    <xf numFmtId="164" fontId="0" fillId="4" borderId="3" xfId="18" applyAlignment="1">
      <alignment vertical="top"/>
      <protection/>
    </xf>
    <xf numFmtId="164" fontId="0" fillId="3" borderId="0" xfId="0" applyAlignment="1">
      <alignment vertical="top"/>
    </xf>
    <xf numFmtId="164" fontId="0" fillId="4" borderId="3" xfId="24" applyAlignment="1">
      <alignment vertical="top"/>
      <protection/>
    </xf>
    <xf numFmtId="170" fontId="21" fillId="0" borderId="0" xfId="24" applyAlignment="1">
      <alignment horizontal="center" vertical="top"/>
      <protection/>
    </xf>
    <xf numFmtId="164" fontId="21" fillId="3" borderId="0" xfId="18" applyAlignment="1">
      <alignment vertical="top"/>
      <protection/>
    </xf>
    <xf numFmtId="164" fontId="27" fillId="0" borderId="0" xfId="24" applyAlignment="1">
      <alignment horizontal="center" vertical="top"/>
      <protection/>
    </xf>
    <xf numFmtId="164" fontId="0" fillId="0" borderId="0" xfId="0" applyAlignment="1">
      <alignment vertical="top"/>
    </xf>
    <xf numFmtId="164" fontId="0" fillId="4" borderId="3" xfId="0" applyAlignment="1">
      <alignment vertical="top"/>
    </xf>
    <xf numFmtId="164" fontId="5" fillId="3" borderId="0" xfId="0" applyAlignment="1">
      <alignment vertical="top"/>
    </xf>
    <xf numFmtId="164" fontId="4" fillId="3" borderId="0" xfId="0" applyAlignment="1">
      <alignment vertical="top"/>
    </xf>
    <xf numFmtId="170" fontId="0" fillId="3" borderId="0" xfId="24" applyAlignment="1">
      <alignment horizontal="center" vertical="top"/>
      <protection/>
    </xf>
    <xf numFmtId="164" fontId="0" fillId="0" borderId="0" xfId="0" applyAlignment="1">
      <alignment horizontal="right" vertical="top"/>
    </xf>
    <xf numFmtId="168" fontId="0" fillId="0" borderId="0" xfId="22" applyAlignment="1">
      <alignment vertical="top"/>
      <protection/>
    </xf>
    <xf numFmtId="168" fontId="0" fillId="4" borderId="3" xfId="22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18" fillId="0" borderId="0" xfId="18" applyAlignment="1">
      <alignment vertical="top"/>
      <protection/>
    </xf>
    <xf numFmtId="164" fontId="18" fillId="4" borderId="3" xfId="18" applyAlignment="1">
      <alignment vertical="top"/>
      <protection/>
    </xf>
    <xf numFmtId="170" fontId="18" fillId="0" borderId="0" xfId="24" applyAlignment="1">
      <alignment horizontal="center" vertical="top"/>
      <protection/>
    </xf>
    <xf numFmtId="164" fontId="18" fillId="3" borderId="0" xfId="18" applyAlignment="1">
      <alignment vertical="top"/>
      <protection/>
    </xf>
    <xf numFmtId="164" fontId="0" fillId="4" borderId="3" xfId="0" applyAlignment="1">
      <alignment horizontal="right" vertical="top"/>
    </xf>
    <xf numFmtId="164" fontId="0" fillId="4" borderId="3" xfId="18" applyAlignment="1">
      <alignment vertical="top"/>
      <protection/>
    </xf>
    <xf numFmtId="164" fontId="0" fillId="3" borderId="0" xfId="18" applyAlignment="1">
      <alignment vertical="top"/>
      <protection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5" fontId="0" fillId="0" borderId="0" xfId="21" applyAlignment="1">
      <alignment vertical="top"/>
      <protection/>
    </xf>
    <xf numFmtId="164" fontId="0" fillId="6" borderId="0" xfId="0" applyAlignment="1">
      <alignment horizontal="right" vertical="top"/>
    </xf>
    <xf numFmtId="165" fontId="8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8" fillId="0" borderId="0" xfId="0" applyAlignment="1">
      <alignment vertical="top"/>
    </xf>
    <xf numFmtId="164" fontId="0" fillId="2" borderId="0" xfId="18" applyAlignment="1">
      <alignment horizontal="right" vertical="top"/>
      <protection/>
    </xf>
    <xf numFmtId="170" fontId="0" fillId="0" borderId="0" xfId="18" applyAlignment="1">
      <alignment vertical="top"/>
      <protection/>
    </xf>
    <xf numFmtId="164" fontId="5" fillId="0" borderId="1" xfId="0" applyAlignment="1">
      <alignment horizontal="right" vertical="top"/>
    </xf>
    <xf numFmtId="164" fontId="5" fillId="0" borderId="1" xfId="0" applyAlignment="1">
      <alignment vertical="top"/>
    </xf>
    <xf numFmtId="164" fontId="5" fillId="0" borderId="0" xfId="29" applyAlignment="1">
      <alignment vertical="top"/>
      <protection/>
    </xf>
    <xf numFmtId="164" fontId="4" fillId="0" borderId="0" xfId="29" applyAlignment="1">
      <alignment vertical="top"/>
      <protection/>
    </xf>
    <xf numFmtId="164" fontId="0" fillId="0" borderId="0" xfId="29" applyAlignment="1">
      <alignment horizontal="right" vertical="top"/>
      <protection/>
    </xf>
    <xf numFmtId="164" fontId="0" fillId="0" borderId="0" xfId="29" applyAlignment="1">
      <alignment vertical="top"/>
      <protection/>
    </xf>
    <xf numFmtId="164" fontId="0" fillId="0" borderId="4" xfId="0" applyAlignment="1">
      <alignment vertical="top"/>
    </xf>
    <xf numFmtId="164" fontId="5" fillId="0" borderId="4" xfId="29" applyAlignment="1">
      <alignment vertical="top"/>
      <protection/>
    </xf>
    <xf numFmtId="164" fontId="4" fillId="0" borderId="4" xfId="29" applyAlignment="1">
      <alignment vertical="top"/>
      <protection/>
    </xf>
    <xf numFmtId="164" fontId="0" fillId="0" borderId="4" xfId="29" applyAlignment="1">
      <alignment horizontal="right" vertical="top"/>
      <protection/>
    </xf>
    <xf numFmtId="164" fontId="11" fillId="0" borderId="4" xfId="29" applyAlignment="1">
      <alignment vertical="top"/>
      <protection/>
    </xf>
    <xf numFmtId="164" fontId="11" fillId="0" borderId="0" xfId="0" applyAlignment="1">
      <alignment vertical="top"/>
    </xf>
    <xf numFmtId="164" fontId="9" fillId="0" borderId="0" xfId="29" applyAlignment="1">
      <alignment vertical="top"/>
      <protection/>
    </xf>
    <xf numFmtId="164" fontId="10" fillId="0" borderId="0" xfId="29" applyAlignment="1">
      <alignment vertical="top"/>
      <protection/>
    </xf>
    <xf numFmtId="164" fontId="11" fillId="0" borderId="0" xfId="29" applyAlignment="1">
      <alignment horizontal="right" vertical="top"/>
      <protection/>
    </xf>
    <xf numFmtId="164" fontId="11" fillId="0" borderId="0" xfId="29" applyAlignment="1">
      <alignment vertical="top"/>
      <protection/>
    </xf>
    <xf numFmtId="164" fontId="0" fillId="0" borderId="5" xfId="0" applyAlignment="1">
      <alignment vertical="top"/>
    </xf>
    <xf numFmtId="164" fontId="5" fillId="0" borderId="5" xfId="29" applyAlignment="1">
      <alignment vertical="top"/>
      <protection/>
    </xf>
    <xf numFmtId="164" fontId="4" fillId="0" borderId="5" xfId="29" applyAlignment="1">
      <alignment vertical="top"/>
      <protection/>
    </xf>
    <xf numFmtId="164" fontId="0" fillId="0" borderId="5" xfId="29" applyAlignment="1">
      <alignment horizontal="right" vertical="top"/>
      <protection/>
    </xf>
    <xf numFmtId="164" fontId="0" fillId="0" borderId="5" xfId="29" applyAlignment="1">
      <alignment vertical="top"/>
      <protection/>
    </xf>
    <xf numFmtId="164" fontId="0" fillId="0" borderId="4" xfId="29" applyAlignment="1">
      <alignment vertical="top"/>
      <protection/>
    </xf>
    <xf numFmtId="164" fontId="0" fillId="7" borderId="4" xfId="29" applyAlignment="1">
      <alignment vertical="top"/>
      <protection/>
    </xf>
    <xf numFmtId="164" fontId="0" fillId="7" borderId="0" xfId="29" applyAlignment="1">
      <alignment vertical="top"/>
      <protection/>
    </xf>
    <xf numFmtId="164" fontId="0" fillId="6" borderId="4" xfId="31" applyAlignment="1">
      <alignment horizontal="right" vertical="top"/>
      <protection/>
    </xf>
    <xf numFmtId="172" fontId="0" fillId="0" borderId="4" xfId="29" applyAlignment="1">
      <alignment vertical="top"/>
      <protection/>
    </xf>
    <xf numFmtId="164" fontId="0" fillId="6" borderId="0" xfId="31" applyAlignment="1">
      <alignment horizontal="right" vertical="top"/>
      <protection/>
    </xf>
    <xf numFmtId="172" fontId="0" fillId="0" borderId="0" xfId="29" applyAlignment="1">
      <alignment vertical="top"/>
      <protection/>
    </xf>
    <xf numFmtId="164" fontId="14" fillId="0" borderId="5" xfId="0" applyAlignment="1">
      <alignment vertical="top"/>
    </xf>
    <xf numFmtId="164" fontId="12" fillId="0" borderId="5" xfId="29" applyAlignment="1">
      <alignment vertical="top"/>
      <protection/>
    </xf>
    <xf numFmtId="164" fontId="13" fillId="0" borderId="5" xfId="29" applyAlignment="1">
      <alignment vertical="top"/>
      <protection/>
    </xf>
    <xf numFmtId="164" fontId="14" fillId="0" borderId="5" xfId="29" applyAlignment="1">
      <alignment horizontal="right" vertical="top"/>
      <protection/>
    </xf>
    <xf numFmtId="164" fontId="18" fillId="0" borderId="5" xfId="29" applyAlignment="1">
      <alignment vertical="top"/>
      <protection/>
    </xf>
    <xf numFmtId="164" fontId="18" fillId="6" borderId="5" xfId="31" applyAlignment="1">
      <alignment horizontal="right" vertical="top"/>
      <protection/>
    </xf>
    <xf numFmtId="164" fontId="14" fillId="0" borderId="5" xfId="29" applyAlignment="1">
      <alignment vertical="top"/>
      <protection/>
    </xf>
    <xf numFmtId="164" fontId="6" fillId="0" borderId="0" xfId="18" applyAlignment="1">
      <alignment vertical="top"/>
      <protection/>
    </xf>
    <xf numFmtId="164" fontId="14" fillId="0" borderId="0" xfId="0" applyAlignment="1">
      <alignment vertical="top"/>
    </xf>
    <xf numFmtId="164" fontId="12" fillId="0" borderId="0" xfId="0" applyAlignment="1">
      <alignment vertical="top"/>
    </xf>
    <xf numFmtId="164" fontId="13" fillId="0" borderId="0" xfId="0" applyAlignment="1">
      <alignment vertical="top"/>
    </xf>
    <xf numFmtId="167" fontId="5" fillId="0" borderId="0" xfId="22" applyAlignment="1">
      <alignment vertical="top"/>
      <protection/>
    </xf>
    <xf numFmtId="167" fontId="4" fillId="0" borderId="0" xfId="22" applyAlignment="1">
      <alignment vertical="top"/>
      <protection/>
    </xf>
    <xf numFmtId="167" fontId="0" fillId="0" borderId="0" xfId="22" applyAlignment="1">
      <alignment horizontal="right" vertical="top"/>
      <protection/>
    </xf>
    <xf numFmtId="167" fontId="0" fillId="0" borderId="0" xfId="22" applyAlignment="1">
      <alignment vertical="top"/>
      <protection/>
    </xf>
    <xf numFmtId="164" fontId="0" fillId="0" borderId="0" xfId="0" applyAlignment="1">
      <alignment vertical="top"/>
    </xf>
    <xf numFmtId="164" fontId="12" fillId="0" borderId="0" xfId="18" applyAlignment="1">
      <alignment vertical="top"/>
      <protection/>
    </xf>
    <xf numFmtId="164" fontId="13" fillId="0" borderId="0" xfId="18" applyAlignment="1">
      <alignment vertical="top"/>
      <protection/>
    </xf>
    <xf numFmtId="164" fontId="14" fillId="0" borderId="0" xfId="18" applyAlignment="1">
      <alignment horizontal="right" vertical="top"/>
      <protection/>
    </xf>
    <xf numFmtId="164" fontId="14" fillId="0" borderId="0" xfId="18" applyAlignment="1">
      <alignment vertical="top"/>
      <protection/>
    </xf>
    <xf numFmtId="166" fontId="0" fillId="0" borderId="0" xfId="20" applyAlignment="1">
      <alignment horizontal="right" vertical="top"/>
      <protection/>
    </xf>
    <xf numFmtId="166" fontId="11" fillId="0" borderId="0" xfId="20" applyAlignment="1">
      <alignment vertical="top"/>
      <protection/>
    </xf>
    <xf numFmtId="164" fontId="11" fillId="0" borderId="0" xfId="20" applyAlignment="1">
      <alignment vertical="top"/>
      <protection/>
    </xf>
    <xf numFmtId="164" fontId="11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18" applyAlignment="1">
      <alignment vertical="top"/>
      <protection/>
    </xf>
    <xf numFmtId="165" fontId="12" fillId="0" borderId="0" xfId="21" applyAlignment="1">
      <alignment vertical="top"/>
      <protection/>
    </xf>
    <xf numFmtId="165" fontId="13" fillId="0" borderId="0" xfId="21" applyAlignment="1">
      <alignment vertical="top"/>
      <protection/>
    </xf>
    <xf numFmtId="165" fontId="14" fillId="0" borderId="0" xfId="21" applyAlignment="1">
      <alignment horizontal="right" vertical="top"/>
      <protection/>
    </xf>
    <xf numFmtId="165" fontId="14" fillId="0" borderId="0" xfId="21" applyAlignment="1">
      <alignment vertical="top"/>
      <protection/>
    </xf>
    <xf numFmtId="166" fontId="6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6" fontId="18" fillId="0" borderId="0" xfId="20" applyAlignment="1">
      <alignment vertical="top"/>
      <protection/>
    </xf>
    <xf numFmtId="166" fontId="16" fillId="0" borderId="0" xfId="20" applyAlignment="1">
      <alignment vertical="top"/>
      <protection/>
    </xf>
    <xf numFmtId="166" fontId="17" fillId="0" borderId="0" xfId="20" applyAlignment="1">
      <alignment vertical="top"/>
      <protection/>
    </xf>
    <xf numFmtId="164" fontId="9" fillId="0" borderId="0" xfId="0" applyAlignment="1">
      <alignment vertical="top"/>
    </xf>
    <xf numFmtId="164" fontId="10" fillId="0" borderId="0" xfId="0" applyAlignment="1">
      <alignment vertical="top"/>
    </xf>
    <xf numFmtId="166" fontId="0" fillId="0" borderId="0" xfId="20" applyAlignment="1">
      <alignment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8" fillId="0" borderId="0" xfId="0" applyAlignment="1">
      <alignment vertical="top"/>
    </xf>
    <xf numFmtId="164" fontId="14" fillId="0" borderId="0" xfId="0" applyAlignment="1">
      <alignment vertical="top"/>
    </xf>
    <xf numFmtId="165" fontId="0" fillId="0" borderId="0" xfId="21" applyAlignment="1">
      <alignment vertical="top"/>
      <protection/>
    </xf>
    <xf numFmtId="164" fontId="14" fillId="0" borderId="0" xfId="0" applyAlignment="1">
      <alignment vertical="top"/>
    </xf>
    <xf numFmtId="170" fontId="12" fillId="0" borderId="0" xfId="24" applyAlignment="1">
      <alignment vertical="top"/>
      <protection/>
    </xf>
    <xf numFmtId="170" fontId="13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67" fontId="5" fillId="0" borderId="0" xfId="18" applyAlignment="1">
      <alignment vertical="top"/>
      <protection/>
    </xf>
    <xf numFmtId="167" fontId="4" fillId="0" borderId="0" xfId="18" applyAlignment="1">
      <alignment vertical="top"/>
      <protection/>
    </xf>
    <xf numFmtId="167" fontId="0" fillId="0" borderId="0" xfId="18" applyAlignment="1">
      <alignment horizontal="right" vertical="top"/>
      <protection/>
    </xf>
    <xf numFmtId="167" fontId="0" fillId="0" borderId="0" xfId="18" applyAlignment="1">
      <alignment vertical="top"/>
      <protection/>
    </xf>
    <xf numFmtId="164" fontId="4" fillId="0" borderId="0" xfId="0" applyAlignment="1">
      <alignment horizontal="right" vertical="top"/>
    </xf>
    <xf numFmtId="164" fontId="0" fillId="0" borderId="0" xfId="0" applyAlignment="1">
      <alignment horizontal="left" vertical="top"/>
    </xf>
    <xf numFmtId="164" fontId="9" fillId="0" borderId="0" xfId="18" applyAlignment="1">
      <alignment vertical="top"/>
      <protection/>
    </xf>
    <xf numFmtId="164" fontId="10" fillId="0" borderId="0" xfId="18" applyAlignment="1">
      <alignment vertical="top"/>
      <protection/>
    </xf>
    <xf numFmtId="164" fontId="11" fillId="0" borderId="0" xfId="18" applyAlignment="1">
      <alignment horizontal="right" vertical="top"/>
      <protection/>
    </xf>
    <xf numFmtId="164" fontId="11" fillId="0" borderId="0" xfId="0" applyAlignment="1">
      <alignment vertical="top"/>
    </xf>
    <xf numFmtId="164" fontId="5" fillId="0" borderId="0" xfId="0" applyAlignment="1">
      <alignment vertical="top"/>
    </xf>
    <xf numFmtId="164" fontId="25" fillId="0" borderId="0" xfId="18" applyAlignment="1">
      <alignment vertical="top"/>
      <protection/>
    </xf>
    <xf numFmtId="164" fontId="14" fillId="5" borderId="0" xfId="0" applyAlignment="1">
      <alignment vertical="top"/>
    </xf>
    <xf numFmtId="164" fontId="14" fillId="5" borderId="0" xfId="0" applyAlignment="1">
      <alignment vertical="top"/>
    </xf>
    <xf numFmtId="165" fontId="16" fillId="0" borderId="0" xfId="21" applyAlignment="1">
      <alignment vertical="top"/>
      <protection/>
    </xf>
    <xf numFmtId="165" fontId="17" fillId="0" borderId="0" xfId="21" applyAlignment="1">
      <alignment vertical="top"/>
      <protection/>
    </xf>
    <xf numFmtId="165" fontId="18" fillId="0" borderId="0" xfId="21" applyAlignment="1">
      <alignment horizontal="right" vertical="top"/>
      <protection/>
    </xf>
    <xf numFmtId="165" fontId="18" fillId="0" borderId="0" xfId="21" applyAlignment="1">
      <alignment vertical="top"/>
      <protection/>
    </xf>
    <xf numFmtId="164" fontId="18" fillId="0" borderId="0" xfId="0" applyAlignment="1">
      <alignment horizontal="right" vertical="top"/>
    </xf>
    <xf numFmtId="165" fontId="26" fillId="0" borderId="0" xfId="21" applyAlignment="1">
      <alignment vertical="top"/>
      <protection/>
    </xf>
    <xf numFmtId="170" fontId="18" fillId="0" borderId="0" xfId="18" applyAlignment="1">
      <alignment vertical="top"/>
      <protection/>
    </xf>
    <xf numFmtId="164" fontId="26" fillId="0" borderId="0" xfId="0" applyAlignment="1">
      <alignment vertical="top"/>
    </xf>
    <xf numFmtId="164" fontId="16" fillId="0" borderId="1" xfId="0" applyAlignment="1">
      <alignment horizontal="right" vertical="top"/>
    </xf>
    <xf numFmtId="164" fontId="16" fillId="0" borderId="1" xfId="0" applyAlignment="1">
      <alignment vertical="top"/>
    </xf>
    <xf numFmtId="164" fontId="11" fillId="5" borderId="0" xfId="0" applyAlignment="1">
      <alignment vertical="top"/>
    </xf>
    <xf numFmtId="164" fontId="0" fillId="0" borderId="6" xfId="18" applyAlignment="1">
      <alignment vertical="top"/>
      <protection/>
    </xf>
    <xf numFmtId="164" fontId="11" fillId="5" borderId="0" xfId="18" applyAlignment="1">
      <alignment vertical="top"/>
      <protection/>
    </xf>
    <xf numFmtId="164" fontId="14" fillId="0" borderId="0" xfId="0" applyAlignment="1">
      <alignment horizontal="right" vertical="top"/>
    </xf>
    <xf numFmtId="164" fontId="0" fillId="0" borderId="6" xfId="0" applyAlignment="1">
      <alignment vertical="top"/>
    </xf>
    <xf numFmtId="164" fontId="18" fillId="0" borderId="6" xfId="18" applyAlignment="1">
      <alignment vertical="top"/>
      <protection/>
    </xf>
    <xf numFmtId="164" fontId="5" fillId="0" borderId="4" xfId="18" applyAlignment="1">
      <alignment vertical="top"/>
      <protection/>
    </xf>
    <xf numFmtId="164" fontId="4" fillId="0" borderId="4" xfId="18" applyAlignment="1">
      <alignment vertical="top"/>
      <protection/>
    </xf>
    <xf numFmtId="164" fontId="0" fillId="0" borderId="4" xfId="18" applyAlignment="1">
      <alignment horizontal="right" vertical="top"/>
      <protection/>
    </xf>
    <xf numFmtId="164" fontId="0" fillId="0" borderId="4" xfId="18" applyAlignment="1">
      <alignment vertical="top"/>
      <protection/>
    </xf>
    <xf numFmtId="164" fontId="0" fillId="5" borderId="0" xfId="18" applyAlignment="1">
      <alignment vertical="top"/>
      <protection/>
    </xf>
    <xf numFmtId="164" fontId="5" fillId="0" borderId="5" xfId="18" applyAlignment="1">
      <alignment vertical="top"/>
      <protection/>
    </xf>
    <xf numFmtId="164" fontId="4" fillId="0" borderId="5" xfId="18" applyAlignment="1">
      <alignment vertical="top"/>
      <protection/>
    </xf>
    <xf numFmtId="164" fontId="0" fillId="0" borderId="5" xfId="18" applyAlignment="1">
      <alignment horizontal="right" vertical="top"/>
      <protection/>
    </xf>
    <xf numFmtId="164" fontId="0" fillId="0" borderId="5" xfId="18" applyAlignment="1">
      <alignment vertical="top"/>
      <protection/>
    </xf>
    <xf numFmtId="164" fontId="0" fillId="4" borderId="4" xfId="18" applyAlignment="1">
      <alignment vertical="top"/>
      <protection/>
    </xf>
    <xf numFmtId="164" fontId="0" fillId="3" borderId="0" xfId="0" applyAlignment="1">
      <alignment vertical="top"/>
    </xf>
    <xf numFmtId="164" fontId="0" fillId="3" borderId="0" xfId="0" applyAlignment="1">
      <alignment horizontal="right" vertical="top"/>
    </xf>
    <xf numFmtId="171" fontId="0" fillId="3" borderId="0" xfId="23" applyAlignment="1">
      <alignment vertical="top"/>
      <protection/>
    </xf>
    <xf numFmtId="171" fontId="5" fillId="3" borderId="0" xfId="23" applyAlignment="1">
      <alignment vertical="top"/>
      <protection/>
    </xf>
    <xf numFmtId="171" fontId="4" fillId="3" borderId="0" xfId="23" applyAlignment="1">
      <alignment vertical="top"/>
      <protection/>
    </xf>
    <xf numFmtId="171" fontId="0" fillId="3" borderId="0" xfId="23" applyAlignment="1">
      <alignment vertical="top"/>
      <protection/>
    </xf>
    <xf numFmtId="164" fontId="4" fillId="0" borderId="0" xfId="0" applyAlignment="1">
      <alignment vertical="top"/>
    </xf>
    <xf numFmtId="167" fontId="0" fillId="0" borderId="0" xfId="0" applyAlignment="1">
      <alignment vertical="top"/>
    </xf>
    <xf numFmtId="164" fontId="0" fillId="4" borderId="3" xfId="0" applyAlignment="1">
      <alignment vertical="top"/>
    </xf>
    <xf numFmtId="164" fontId="0" fillId="4" borderId="3" xfId="0" applyAlignment="1">
      <alignment vertical="top"/>
    </xf>
    <xf numFmtId="164" fontId="0" fillId="0" borderId="3" xfId="0" applyAlignment="1">
      <alignment vertical="top"/>
    </xf>
    <xf numFmtId="170" fontId="27" fillId="0" borderId="0" xfId="0" applyAlignment="1">
      <alignment horizontal="center" vertical="top"/>
    </xf>
    <xf numFmtId="164" fontId="0" fillId="0" borderId="4" xfId="0" applyAlignment="1">
      <alignment vertical="top"/>
    </xf>
    <xf numFmtId="164" fontId="0" fillId="0" borderId="5" xfId="0" applyAlignment="1">
      <alignment vertical="top"/>
    </xf>
    <xf numFmtId="164" fontId="0" fillId="4" borderId="8" xfId="0" applyAlignment="1">
      <alignment vertical="top"/>
    </xf>
    <xf numFmtId="164" fontId="0" fillId="0" borderId="8" xfId="0" applyAlignment="1">
      <alignment vertical="top"/>
    </xf>
    <xf numFmtId="164" fontId="0" fillId="0" borderId="9" xfId="0" applyAlignment="1">
      <alignment vertical="top"/>
    </xf>
    <xf numFmtId="164" fontId="0" fillId="6" borderId="0" xfId="0" applyAlignment="1">
      <alignment horizontal="right" vertical="top"/>
    </xf>
    <xf numFmtId="164" fontId="5" fillId="0" borderId="0" xfId="0" applyNumberFormat="1" applyFont="1" applyFill="1" applyBorder="1" applyAlignment="1">
      <alignment vertical="top"/>
    </xf>
    <xf numFmtId="164" fontId="11" fillId="0" borderId="0" xfId="0" applyNumberFormat="1" applyFont="1" applyFill="1" applyBorder="1" applyAlignment="1">
      <alignment vertical="top"/>
    </xf>
    <xf numFmtId="176" fontId="11" fillId="0" borderId="0" xfId="0" applyNumberFormat="1" applyFont="1" applyFill="1" applyBorder="1" applyAlignment="1">
      <alignment vertical="top"/>
    </xf>
    <xf numFmtId="177" fontId="11" fillId="0" borderId="0" xfId="0" applyNumberFormat="1" applyFont="1" applyFill="1" applyBorder="1" applyAlignment="1">
      <alignment vertical="top"/>
    </xf>
    <xf numFmtId="164" fontId="0" fillId="0" borderId="0" xfId="0" applyNumberFormat="1" applyFont="1" applyFill="1" applyBorder="1" applyAlignment="1">
      <alignment vertical="top"/>
    </xf>
    <xf numFmtId="177" fontId="0" fillId="0" borderId="0" xfId="0" applyNumberFormat="1" applyFont="1" applyFill="1" applyBorder="1" applyAlignment="1">
      <alignment vertical="top"/>
    </xf>
    <xf numFmtId="164" fontId="14" fillId="0" borderId="0" xfId="0" applyNumberFormat="1" applyFont="1" applyFill="1" applyBorder="1" applyAlignment="1">
      <alignment vertical="top"/>
    </xf>
    <xf numFmtId="177" fontId="14" fillId="0" borderId="0" xfId="0" applyNumberFormat="1" applyFont="1" applyFill="1" applyBorder="1" applyAlignment="1">
      <alignment vertical="top"/>
    </xf>
    <xf numFmtId="178" fontId="11" fillId="0" borderId="0" xfId="0" applyNumberFormat="1" applyFont="1" applyFill="1" applyBorder="1" applyAlignment="1">
      <alignment vertical="top"/>
    </xf>
    <xf numFmtId="177" fontId="14" fillId="6" borderId="0" xfId="0" applyNumberFormat="1" applyFont="1" applyFill="1" applyBorder="1" applyAlignment="1">
      <alignment horizontal="right" vertical="top"/>
    </xf>
    <xf numFmtId="177" fontId="0" fillId="6" borderId="0" xfId="0" applyNumberFormat="1" applyFont="1" applyFill="1" applyBorder="1" applyAlignment="1">
      <alignment horizontal="right" vertical="top"/>
    </xf>
    <xf numFmtId="164" fontId="0" fillId="3" borderId="0" xfId="0" applyNumberFormat="1" applyFont="1" applyFill="1" applyBorder="1" applyAlignment="1">
      <alignment vertical="top"/>
    </xf>
    <xf numFmtId="177" fontId="11" fillId="6" borderId="0" xfId="0" applyNumberFormat="1" applyFont="1" applyFill="1" applyBorder="1" applyAlignment="1">
      <alignment horizontal="right" vertical="top"/>
    </xf>
    <xf numFmtId="179" fontId="11" fillId="0" borderId="0" xfId="0" applyNumberFormat="1" applyFont="1" applyFill="1" applyBorder="1" applyAlignment="1">
      <alignment vertical="top"/>
    </xf>
    <xf numFmtId="179" fontId="0" fillId="0" borderId="0" xfId="0" applyNumberFormat="1" applyFont="1" applyFill="1" applyBorder="1" applyAlignment="1">
      <alignment vertical="top"/>
    </xf>
    <xf numFmtId="179" fontId="14" fillId="0" borderId="0" xfId="0" applyNumberFormat="1" applyFont="1" applyFill="1" applyBorder="1" applyAlignment="1">
      <alignment vertical="top"/>
    </xf>
    <xf numFmtId="178" fontId="0" fillId="0" borderId="0" xfId="0" applyNumberFormat="1" applyFont="1" applyFill="1" applyBorder="1" applyAlignment="1">
      <alignment vertical="top"/>
    </xf>
    <xf numFmtId="164" fontId="0" fillId="0" borderId="6" xfId="0" applyNumberFormat="1" applyFont="1" applyFill="1" applyBorder="1" applyAlignment="1">
      <alignment vertical="top"/>
    </xf>
    <xf numFmtId="177" fontId="0" fillId="0" borderId="6" xfId="0" applyNumberFormat="1" applyFont="1" applyFill="1" applyBorder="1" applyAlignment="1">
      <alignment vertical="top"/>
    </xf>
    <xf numFmtId="164" fontId="0" fillId="0" borderId="4" xfId="0" applyNumberFormat="1" applyFont="1" applyFill="1" applyBorder="1" applyAlignment="1">
      <alignment vertical="top"/>
    </xf>
    <xf numFmtId="177" fontId="0" fillId="0" borderId="4" xfId="0" applyNumberFormat="1" applyFont="1" applyFill="1" applyBorder="1" applyAlignment="1">
      <alignment vertical="top"/>
    </xf>
    <xf numFmtId="164" fontId="0" fillId="0" borderId="5" xfId="0" applyNumberFormat="1" applyFont="1" applyFill="1" applyBorder="1" applyAlignment="1">
      <alignment vertical="top"/>
    </xf>
    <xf numFmtId="177" fontId="0" fillId="0" borderId="5" xfId="0" applyNumberFormat="1" applyFont="1" applyFill="1" applyBorder="1" applyAlignment="1">
      <alignment vertical="top"/>
    </xf>
    <xf numFmtId="176" fontId="0" fillId="0" borderId="3" xfId="0" applyNumberFormat="1" applyFont="1" applyFill="1" applyBorder="1" applyAlignment="1">
      <alignment vertical="top"/>
    </xf>
    <xf numFmtId="176" fontId="0" fillId="0" borderId="0" xfId="0" applyNumberFormat="1" applyFont="1" applyFill="1" applyBorder="1" applyAlignment="1">
      <alignment vertical="top"/>
    </xf>
    <xf numFmtId="170" fontId="27" fillId="0" borderId="0" xfId="0" applyNumberFormat="1" applyFont="1" applyFill="1" applyBorder="1" applyAlignment="1">
      <alignment horizontal="center" vertical="top"/>
    </xf>
    <xf numFmtId="176" fontId="0" fillId="4" borderId="3" xfId="0" applyNumberFormat="1" applyFont="1" applyFill="1" applyBorder="1" applyAlignment="1">
      <alignment vertical="top"/>
    </xf>
    <xf numFmtId="177" fontId="0" fillId="0" borderId="3" xfId="0" applyNumberFormat="1" applyFont="1" applyFill="1" applyBorder="1" applyAlignment="1">
      <alignment vertical="top"/>
    </xf>
    <xf numFmtId="177" fontId="0" fillId="4" borderId="3" xfId="0" applyNumberFormat="1" applyFont="1" applyFill="1" applyBorder="1" applyAlignment="1">
      <alignment vertical="top"/>
    </xf>
    <xf numFmtId="178" fontId="0" fillId="0" borderId="3" xfId="0" applyNumberFormat="1" applyFont="1" applyFill="1" applyBorder="1" applyAlignment="1">
      <alignment vertical="top"/>
    </xf>
    <xf numFmtId="178" fontId="0" fillId="4" borderId="3" xfId="0" applyNumberFormat="1" applyFont="1" applyFill="1" applyBorder="1" applyAlignment="1">
      <alignment vertical="top"/>
    </xf>
    <xf numFmtId="179" fontId="0" fillId="0" borderId="3" xfId="0" applyNumberFormat="1" applyFont="1" applyFill="1" applyBorder="1" applyAlignment="1">
      <alignment vertical="top"/>
    </xf>
    <xf numFmtId="179" fontId="0" fillId="4" borderId="3" xfId="0" applyNumberFormat="1" applyFont="1" applyFill="1" applyBorder="1" applyAlignment="1">
      <alignment vertical="top"/>
    </xf>
    <xf numFmtId="164" fontId="5" fillId="3" borderId="0" xfId="0" applyNumberFormat="1" applyFont="1" applyFill="1" applyBorder="1" applyAlignment="1">
      <alignment vertical="top"/>
    </xf>
    <xf numFmtId="178" fontId="0" fillId="4" borderId="8" xfId="0" applyNumberFormat="1" applyFont="1" applyFill="1" applyBorder="1" applyAlignment="1">
      <alignment vertical="top"/>
    </xf>
    <xf numFmtId="177" fontId="0" fillId="4" borderId="8" xfId="0" applyNumberFormat="1" applyFont="1" applyFill="1" applyBorder="1" applyAlignment="1">
      <alignment vertical="top"/>
    </xf>
    <xf numFmtId="164" fontId="11" fillId="0" borderId="4" xfId="0" applyNumberFormat="1" applyFont="1" applyFill="1" applyBorder="1" applyAlignment="1">
      <alignment vertical="top"/>
    </xf>
    <xf numFmtId="177" fontId="11" fillId="0" borderId="4" xfId="0" applyNumberFormat="1" applyFont="1" applyFill="1" applyBorder="1" applyAlignment="1">
      <alignment vertical="top"/>
    </xf>
    <xf numFmtId="164" fontId="11" fillId="0" borderId="5" xfId="0" applyNumberFormat="1" applyFont="1" applyFill="1" applyBorder="1" applyAlignment="1">
      <alignment vertical="top"/>
    </xf>
    <xf numFmtId="177" fontId="11" fillId="0" borderId="5" xfId="0" applyNumberFormat="1" applyFont="1" applyFill="1" applyBorder="1" applyAlignment="1">
      <alignment vertical="top"/>
    </xf>
    <xf numFmtId="164" fontId="14" fillId="0" borderId="4" xfId="0" applyNumberFormat="1" applyFont="1" applyFill="1" applyBorder="1" applyAlignment="1">
      <alignment vertical="top"/>
    </xf>
    <xf numFmtId="177" fontId="14" fillId="0" borderId="4" xfId="0" applyNumberFormat="1" applyFont="1" applyFill="1" applyBorder="1" applyAlignment="1">
      <alignment vertical="top"/>
    </xf>
    <xf numFmtId="177" fontId="14" fillId="7" borderId="4" xfId="0" applyNumberFormat="1" applyFont="1" applyFill="1" applyBorder="1" applyAlignment="1">
      <alignment vertical="top"/>
    </xf>
    <xf numFmtId="177" fontId="14" fillId="7" borderId="0" xfId="0" applyNumberFormat="1" applyFont="1" applyFill="1" applyBorder="1" applyAlignment="1">
      <alignment vertical="top"/>
    </xf>
    <xf numFmtId="164" fontId="14" fillId="0" borderId="5" xfId="0" applyNumberFormat="1" applyFont="1" applyFill="1" applyBorder="1" applyAlignment="1">
      <alignment vertical="top"/>
    </xf>
    <xf numFmtId="177" fontId="14" fillId="0" borderId="5" xfId="0" applyNumberFormat="1" applyFont="1" applyFill="1" applyBorder="1" applyAlignment="1">
      <alignment vertical="top"/>
    </xf>
    <xf numFmtId="177" fontId="14" fillId="7" borderId="5" xfId="0" applyNumberFormat="1" applyFont="1" applyFill="1" applyBorder="1" applyAlignment="1">
      <alignment vertical="top"/>
    </xf>
    <xf numFmtId="164" fontId="0" fillId="6" borderId="4" xfId="0" applyNumberFormat="1" applyFont="1" applyFill="1" applyBorder="1" applyAlignment="1">
      <alignment horizontal="right" vertical="top"/>
    </xf>
    <xf numFmtId="180" fontId="18" fillId="0" borderId="4" xfId="0" applyNumberFormat="1" applyFont="1" applyFill="1" applyBorder="1" applyAlignment="1">
      <alignment horizontal="right" vertical="top"/>
    </xf>
    <xf numFmtId="164" fontId="0" fillId="6" borderId="0" xfId="0" applyNumberFormat="1" applyFont="1" applyFill="1" applyBorder="1" applyAlignment="1">
      <alignment horizontal="right" vertical="top"/>
    </xf>
    <xf numFmtId="180" fontId="18" fillId="0" borderId="0" xfId="0" applyNumberFormat="1" applyFont="1" applyFill="1" applyBorder="1" applyAlignment="1">
      <alignment horizontal="right" vertical="top"/>
    </xf>
    <xf numFmtId="177" fontId="14" fillId="6" borderId="5" xfId="0" applyNumberFormat="1" applyFont="1" applyFill="1" applyBorder="1" applyAlignment="1">
      <alignment horizontal="right" vertical="top"/>
    </xf>
    <xf numFmtId="176" fontId="14" fillId="0" borderId="0" xfId="0" applyNumberFormat="1" applyFont="1" applyFill="1" applyBorder="1" applyAlignment="1">
      <alignment vertical="top"/>
    </xf>
  </cellXfs>
  <cellStyles count="18">
    <cellStyle name="Normal" xfId="0" builtinId="0"/>
    <cellStyle name="Percent" xfId="15" builtinId="5"/>
    <cellStyle name="Currency" xfId="16" hidden="1" builtinId="4"/>
    <cellStyle name="Currency [0]" xfId="17" hidden="1" builtinId="7"/>
    <cellStyle name="Comma" xfId="18" builtinId="3"/>
    <cellStyle name="Comma [0]" xfId="19" hidden="1" builtinId="6"/>
    <cellStyle name="DateLong" xfId="20"/>
    <cellStyle name="DateShort" xfId="21"/>
    <cellStyle name="Factor" xfId="22"/>
    <cellStyle name="Per cent" xfId="23" builtinId="5"/>
    <cellStyle name="Year" xfId="24"/>
    <cellStyle name="Normal 2" xfId="25"/>
    <cellStyle name="Normal 2 2" xfId="26"/>
    <cellStyle name="Factor 3" xfId="27"/>
    <cellStyle name="Percent 2 2" xfId="28"/>
    <cellStyle name="Comma 2" xfId="29"/>
    <cellStyle name="DateShort 3" xfId="30"/>
    <cellStyle name="Normal 3" xfId="31"/>
  </cellStyles>
  <dxfs count="260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1" Type="http://schemas.openxmlformats.org/officeDocument/2006/relationships/worksheet" Target="worksheets/sheet8.xml" /><Relationship Id="rId3" Type="http://schemas.openxmlformats.org/officeDocument/2006/relationships/styles" Target="styles.xml" /><Relationship Id="rId1" Type="http://schemas.openxmlformats.org/officeDocument/2006/relationships/theme" Target="theme/theme1.xml" /><Relationship Id="rId15" Type="http://schemas.openxmlformats.org/officeDocument/2006/relationships/worksheet" Target="worksheets/sheet12.xml" /><Relationship Id="rId10" Type="http://schemas.openxmlformats.org/officeDocument/2006/relationships/worksheet" Target="worksheets/sheet7.xml" /><Relationship Id="rId12" Type="http://schemas.openxmlformats.org/officeDocument/2006/relationships/worksheet" Target="worksheets/sheet9.xml" /><Relationship Id="rId16" Type="http://schemas.openxmlformats.org/officeDocument/2006/relationships/worksheet" Target="worksheets/sheet13.xml" /><Relationship Id="rId17" Type="http://schemas.openxmlformats.org/officeDocument/2006/relationships/worksheet" Target="worksheets/sheet14.xml" /><Relationship Id="rId9" Type="http://schemas.openxmlformats.org/officeDocument/2006/relationships/worksheet" Target="worksheets/sheet6.xml" /><Relationship Id="rId2" Type="http://schemas.microsoft.com/office/2006/relationships/vbaProject" Target="vbaProject.bin" /><Relationship Id="rId4" Type="http://schemas.openxmlformats.org/officeDocument/2006/relationships/worksheet" Target="worksheets/sheet1.xml" /><Relationship Id="rId13" Type="http://schemas.openxmlformats.org/officeDocument/2006/relationships/worksheet" Target="worksheets/sheet10.xml" /><Relationship Id="rId7" Type="http://schemas.openxmlformats.org/officeDocument/2006/relationships/worksheet" Target="worksheets/sheet4.xml" /><Relationship Id="rId18" Type="http://schemas.openxmlformats.org/officeDocument/2006/relationships/sharedStrings" Target="sharedStrings.xml" /><Relationship Id="rId19" Type="http://schemas.openxmlformats.org/officeDocument/2006/relationships/customXml" Target="../customXml/item1.xml" /><Relationship Id="rId14" Type="http://schemas.openxmlformats.org/officeDocument/2006/relationships/worksheet" Target="worksheets/sheet11.xml" /><Relationship Id="rId5" Type="http://schemas.openxmlformats.org/officeDocument/2006/relationships/worksheet" Target="worksheets/sheet2.xml" /><Relationship Id="rId20" Type="http://schemas.openxmlformats.org/officeDocument/2006/relationships/calcChain" Target="calcChain.xml" /><Relationship Id="rId6" Type="http://schemas.openxmlformats.org/officeDocument/2006/relationships/worksheet" Target="worksheets/sheet3.xml" /><Relationship Id="rId8" Type="http://schemas.openxmlformats.org/officeDocument/2006/relationships/worksheet" Target="worksheets/sheet5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75046</xdr:colOff>
      <xdr:row>0</xdr:row>
      <xdr:rowOff>178955</xdr:rowOff>
    </xdr:from>
    <xdr:to>
      <xdr:col>4</xdr:col>
      <xdr:colOff>596901</xdr:colOff>
      <xdr:row>5</xdr:row>
      <xdr:rowOff>106219</xdr:rowOff>
    </xdr:to>
    <xdr:pic macro="[0]!Mastersolve">
      <xdr:nvPicPr>
        <xdr:cNvPr id="3" name="Graphic 2" descr="Abacus outline">
          <a:extLst>
            <a:ext uri="{FF2B5EF4-FFF2-40B4-BE49-F238E27FC236}">
              <a16:creationId xmlns:a16="http://schemas.microsoft.com/office/drawing/2014/main" id="{62ddb8c8-4586-4c8c-9841-6dec5a8b9753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76200" y="180975"/>
          <a:ext cx="866775" cy="904875"/>
        </a:xfrm>
        <a:prstGeom prst="rect"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BM158"/>
  <sheetViews>
    <sheetView showGridLines="0" tabSelected="1" defaultGridColor="0" zoomScale="85" zoomScaleNormal="85" colorId="22" workbookViewId="0" topLeftCell="A1">
      <pane xSplit="10" ySplit="9" topLeftCell="K10" activePane="bottomRight" state="frozen"/>
      <selection pane="topLeft" activeCell="J13" sqref="J13"/>
      <selection pane="bottomLeft" activeCell="J13" sqref="J13"/>
      <selection pane="topRight" activeCell="J13" sqref="J13"/>
      <selection pane="bottomRight" activeCell="Q25" sqref="Q25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7" width="11.5714285714286" style="309" customWidth="1"/>
    <col min="8" max="8" width="22.5714285714286" style="309" customWidth="1"/>
    <col min="9" max="9" width="5" style="310" customWidth="1"/>
    <col min="10" max="10" width="0.428571428571429" style="311" customWidth="1"/>
    <col min="11" max="13" width="12.5714285714286" style="309" customWidth="1"/>
    <col min="14" max="14" width="0.428571428571429" style="311" customWidth="1"/>
    <col min="15" max="16" width="12.5714285714286" style="309" customWidth="1"/>
    <col min="17" max="17" width="0.428571428571429" style="311" customWidth="1"/>
    <col min="18" max="64" width="12.5714285714286" style="309" hidden="1" customWidth="1"/>
    <col min="65" max="65" width="0.428571428571429" style="311" hidden="1" customWidth="1"/>
    <col min="66" max="70" width="12.5714285714286" style="312" hidden="1" customWidth="1"/>
    <col min="71" max="16384" width="9" style="312" hidden="1" customWidth="1"/>
  </cols>
  <sheetData>
    <row r="1" spans="1:16" ht="26.25" customHeight="1">
      <c r="A1" s="313" t="str">
        <f ca="1">RIGHT(CELL("filename",A1),LEN(CELL("filename",A1))-SEARCH("]",CELL("filename",A1)))&amp;" - "&amp;$F$3</f>
        <v>InpC - Base case 1</v>
      </c>
      <c r="K1" s="309"/>
      <c r="L1" s="309"/>
      <c r="M1" s="309"/>
      <c r="O1" s="309"/>
      <c r="P1" s="309"/>
    </row>
    <row r="2" spans="1:16 65:65" ht="39.75" customHeight="1">
      <c r="A2" s="314"/>
      <c r="B2" s="314"/>
      <c r="C2" s="315"/>
      <c r="D2" s="316"/>
      <c r="E2" s="317"/>
      <c r="F2" s="317"/>
      <c r="G2" s="317"/>
      <c r="H2" s="317"/>
      <c r="I2" s="318"/>
      <c r="K2" s="114" t="str">
        <f>IF(K4=$F4,"q","")</f>
        <v>q</v>
      </c>
      <c r="L2" s="114" t="str">
        <f>IF(L4=$F4,"q","")</f>
        <v/>
      </c>
      <c r="M2" s="114" t="str">
        <f>IF(M4=$F4,"q","")</f>
        <v/>
      </c>
      <c r="O2" s="114" t="str">
        <f>IF(O4=$F4,"q","")</f>
        <v/>
      </c>
      <c r="P2" s="114" t="str">
        <f>IF(P4=$F4,"q","")</f>
        <v/>
      </c>
      <c r="BM2" s="319"/>
    </row>
    <row r="3" spans="1:16 65:65" ht="30.75" customHeight="1">
      <c r="A3" s="320"/>
      <c r="B3" s="320"/>
      <c r="C3" s="321"/>
      <c r="D3" s="322"/>
      <c r="E3" s="320"/>
      <c r="F3" s="323" t="str">
        <f>INDEX(J3:Q3,MATCH(F4,J4:Q4))</f>
        <v>Base case 1</v>
      </c>
      <c r="G3" s="306"/>
      <c r="H3" s="320"/>
      <c r="I3" s="324"/>
      <c r="K3" s="326" t="s">
        <v>0</v>
      </c>
      <c r="L3" s="326" t="s">
        <v>1</v>
      </c>
      <c r="M3" s="326" t="s">
        <v>2</v>
      </c>
      <c r="O3" s="326" t="s">
        <v>3</v>
      </c>
      <c r="P3" s="326" t="s">
        <v>4</v>
      </c>
      <c r="BM3" s="325"/>
    </row>
    <row r="4" spans="5:16 65:65" ht="13.35" customHeight="1">
      <c r="E4" s="327" t="s">
        <v>5</v>
      </c>
      <c r="F4" s="328">
        <v>1</v>
      </c>
      <c r="G4" s="327"/>
      <c r="H4" s="327"/>
      <c r="I4" s="329">
        <f>MATCH(F4,$J$4:$Q$4)</f>
        <v>2</v>
      </c>
      <c r="K4" s="331">
        <v>1</v>
      </c>
      <c r="L4" s="331">
        <v>2</v>
      </c>
      <c r="M4" s="331">
        <v>3</v>
      </c>
      <c r="O4" s="332">
        <v>4</v>
      </c>
      <c r="P4" s="332">
        <v>5</v>
      </c>
      <c r="BM4" s="330"/>
    </row>
    <row r="5" spans="5:16 65:65" ht="12.75">
      <c r="E5" s="333" t="s">
        <v>6</v>
      </c>
      <c r="F5" s="334">
        <v>1</v>
      </c>
      <c r="G5" s="333"/>
      <c r="H5" s="333"/>
      <c r="I5" s="329">
        <f>MATCH(F5,$J$4:$Q$4)</f>
        <v>2</v>
      </c>
      <c r="K5" s="333"/>
      <c r="L5" s="333"/>
      <c r="M5" s="333"/>
      <c r="O5" s="333"/>
      <c r="P5" s="333"/>
      <c r="BM5" s="335"/>
    </row>
    <row r="6" spans="5:16 65:65" ht="12.75">
      <c r="E6" s="333" t="s">
        <v>7</v>
      </c>
      <c r="F6" s="336">
        <f>INDEX(J6:Q6,MATCH(F4,J4:Q4,0))</f>
        <v>1</v>
      </c>
      <c r="H6" s="333"/>
      <c r="I6" s="329">
        <f>MATCH(F6,$J$4:$Q$4)</f>
        <v>2</v>
      </c>
      <c r="K6" s="337">
        <v>1</v>
      </c>
      <c r="L6" s="337">
        <v>2</v>
      </c>
      <c r="M6" s="337">
        <v>3</v>
      </c>
      <c r="O6" s="337">
        <v>1</v>
      </c>
      <c r="P6" s="337">
        <v>1</v>
      </c>
      <c r="BM6" s="335"/>
    </row>
    <row r="7" spans="5:16 65:65" ht="12.75">
      <c r="E7" s="333" t="s">
        <v>8</v>
      </c>
      <c r="F7" s="338">
        <f>COUNTIF(I11:I158,"tu")</f>
        <v>0</v>
      </c>
      <c r="H7" s="333"/>
      <c r="I7" s="339"/>
      <c r="K7" s="340" t="str">
        <f>IF(K6=$F$6,"Base case","")</f>
        <v>Base case</v>
      </c>
      <c r="L7" s="340" t="str">
        <f>IF(L6=$F$6,"Base case","")</f>
        <v/>
      </c>
      <c r="M7" s="340" t="str">
        <f>IF(M6=$F$6,"Base case","")</f>
        <v/>
      </c>
      <c r="O7" s="333"/>
      <c r="P7" s="333"/>
      <c r="BM7" s="335"/>
    </row>
    <row r="8" spans="5:16 65:65" ht="12.75">
      <c r="E8" s="333"/>
      <c r="F8" s="341"/>
      <c r="H8" s="333"/>
      <c r="I8" s="339"/>
      <c r="K8" s="342"/>
      <c r="L8" s="342"/>
      <c r="M8" s="342"/>
      <c r="O8" s="333"/>
      <c r="P8" s="333"/>
      <c r="BM8" s="335"/>
    </row>
    <row r="9" spans="1:16 65:65" ht="12.75">
      <c r="A9" s="306"/>
      <c r="B9" s="306"/>
      <c r="C9" s="307"/>
      <c r="D9" s="308"/>
      <c r="E9" s="343"/>
      <c r="F9" s="344" t="s">
        <v>9</v>
      </c>
      <c r="G9" s="345" t="s">
        <v>10</v>
      </c>
      <c r="H9" s="306" t="s">
        <v>11</v>
      </c>
      <c r="I9" s="324"/>
      <c r="K9" s="333"/>
      <c r="L9" s="333"/>
      <c r="M9" s="333"/>
      <c r="O9" s="333"/>
      <c r="P9" s="333"/>
      <c r="BM9" s="335"/>
    </row>
    <row r="11" spans="1:1" ht="12.75">
      <c r="A11" s="534" t="s">
        <v>12</v>
      </c>
    </row>
    <row r="13" spans="5:16" ht="12.75">
      <c r="E13" s="538" t="s">
        <v>13</v>
      </c>
      <c r="F13" s="557">
        <f>IF(INDEX(J13:Q13,$I$4)="",INDEX(J13:P13,$I$6),INDEX(J13:Q13,$I$4))</f>
        <v>46388</v>
      </c>
      <c r="G13" s="558" t="s">
        <v>14</v>
      </c>
      <c r="H13" s="558"/>
      <c r="I13" s="559" t="str">
        <f>IF(INDEX(J13:Q13,I$5)="",IF(INDEX(J13:Q13,I$6)=F13,"vw","tu"),IF(INDEX(J13:Q13,I$5)=F13,"vw","tu"))</f>
        <v>vw</v>
      </c>
      <c r="K13" s="560">
        <v>46388</v>
      </c>
      <c r="L13" s="560">
        <v>46388</v>
      </c>
      <c r="M13" s="560">
        <v>46388</v>
      </c>
      <c r="O13" s="560">
        <v>46388</v>
      </c>
      <c r="P13" s="560">
        <v>46388</v>
      </c>
    </row>
    <row r="14" spans="5:16" ht="12.75">
      <c r="E14" s="538" t="s">
        <v>15</v>
      </c>
      <c r="F14" s="557">
        <f>IF(INDEX(J14:Q14,$I$4)="",INDEX(J14:P14,$I$6),INDEX(J14:Q14,$I$4))</f>
        <v>46752</v>
      </c>
      <c r="G14" s="558" t="s">
        <v>14</v>
      </c>
      <c r="H14" s="558"/>
      <c r="I14" s="559" t="str">
        <f>IF(INDEX(J14:Q14,I$5)="",IF(INDEX(J14:Q14,I$6)=F14,"vw","tu"),IF(INDEX(J14:Q14,I$5)=F14,"vw","tu"))</f>
        <v>vw</v>
      </c>
      <c r="K14" s="560">
        <v>46752</v>
      </c>
      <c r="L14" s="560">
        <v>46752</v>
      </c>
      <c r="M14" s="560">
        <v>46752</v>
      </c>
      <c r="O14" s="560">
        <v>46752</v>
      </c>
      <c r="P14" s="560">
        <v>46752</v>
      </c>
    </row>
    <row r="15" spans="5:16" ht="12.75">
      <c r="E15" s="538" t="s">
        <v>16</v>
      </c>
      <c r="F15" s="561">
        <f>IF(INDEX(J15:Q15,$I$4)="",INDEX(J15:P15,$I$6),INDEX(J15:Q15,$I$4))</f>
        <v>1</v>
      </c>
      <c r="G15" s="539" t="s">
        <v>17</v>
      </c>
      <c r="H15" s="539"/>
      <c r="I15" s="559" t="str">
        <f>IF(INDEX(J15:Q15,I$5)="",IF(INDEX(J15:Q15,I$6)=F15,"vw","tu"),IF(INDEX(J15:Q15,I$5)=F15,"vw","tu"))</f>
        <v>vw</v>
      </c>
      <c r="K15" s="562">
        <v>1</v>
      </c>
      <c r="L15" s="562">
        <v>1</v>
      </c>
      <c r="M15" s="562">
        <v>1</v>
      </c>
      <c r="O15" s="562">
        <v>1</v>
      </c>
      <c r="P15" s="562">
        <v>1</v>
      </c>
    </row>
    <row r="16" spans="5:16" ht="12.75">
      <c r="E16" s="538" t="s">
        <v>18</v>
      </c>
      <c r="F16" s="561">
        <f>IF(INDEX(J16:Q16,$I$4)="",INDEX(J16:P16,$I$6),INDEX(J16:Q16,$I$4))</f>
        <v>3</v>
      </c>
      <c r="G16" s="539" t="s">
        <v>17</v>
      </c>
      <c r="H16" s="539"/>
      <c r="I16" s="559" t="str">
        <f>IF(INDEX(J16:Q16,I$5)="",IF(INDEX(J16:Q16,I$6)=F16,"vw","tu"),IF(INDEX(J16:Q16,I$5)=F16,"vw","tu"))</f>
        <v>vw</v>
      </c>
      <c r="K16" s="562">
        <v>3</v>
      </c>
      <c r="L16" s="562">
        <v>3</v>
      </c>
      <c r="M16" s="562">
        <v>3</v>
      </c>
      <c r="O16" s="562">
        <v>3</v>
      </c>
      <c r="P16" s="562">
        <v>3</v>
      </c>
    </row>
    <row r="17" spans="5:16" ht="12.75">
      <c r="E17" s="538" t="s">
        <v>19</v>
      </c>
      <c r="F17" s="561">
        <f>IF(INDEX(J17:Q17,$I$4)="",INDEX(J17:P17,$I$6),INDEX(J17:Q17,$I$4))</f>
        <v>12</v>
      </c>
      <c r="G17" s="539" t="s">
        <v>20</v>
      </c>
      <c r="H17" s="539"/>
      <c r="I17" s="559" t="str">
        <f>IF(INDEX(J17:Q17,I$5)="",IF(INDEX(J17:Q17,I$6)=F17,"vw","tu"),IF(INDEX(J17:Q17,I$5)=F17,"vw","tu"))</f>
        <v>vw</v>
      </c>
      <c r="K17" s="562">
        <v>12</v>
      </c>
      <c r="L17" s="562">
        <v>12</v>
      </c>
      <c r="M17" s="562">
        <v>12</v>
      </c>
      <c r="O17" s="562">
        <v>12</v>
      </c>
      <c r="P17" s="562">
        <v>12</v>
      </c>
    </row>
    <row r="18" spans="5:16" ht="12.75">
      <c r="E18" s="538" t="s">
        <v>21</v>
      </c>
      <c r="F18" s="561">
        <f>IF(INDEX(J18:Q18,$I$4)="",INDEX(J18:P18,$I$6),INDEX(J18:Q18,$I$4))</f>
        <v>12</v>
      </c>
      <c r="G18" s="539" t="s">
        <v>22</v>
      </c>
      <c r="H18" s="539"/>
      <c r="I18" s="559" t="str">
        <f>IF(INDEX(J18:Q18,I$5)="",IF(INDEX(J18:Q18,I$6)=F18,"vw","tu"),IF(INDEX(J18:Q18,I$5)=F18,"vw","tu"))</f>
        <v>vw</v>
      </c>
      <c r="K18" s="562">
        <v>12</v>
      </c>
      <c r="L18" s="562">
        <v>12</v>
      </c>
      <c r="M18" s="562">
        <v>12</v>
      </c>
      <c r="O18" s="562">
        <v>12</v>
      </c>
      <c r="P18" s="562">
        <v>12</v>
      </c>
    </row>
    <row r="19" spans="5:16" ht="12.75">
      <c r="E19" s="538" t="s">
        <v>23</v>
      </c>
      <c r="F19" s="557">
        <f>IF(INDEX(J19:Q19,$I$4)="",INDEX(J19:P19,$I$6),INDEX(J19:Q19,$I$4))</f>
        <v>46477</v>
      </c>
      <c r="G19" s="558" t="s">
        <v>14</v>
      </c>
      <c r="H19" s="558"/>
      <c r="I19" s="559" t="str">
        <f>IF(INDEX(J19:Q19,I$5)="",IF(INDEX(J19:Q19,I$6)=F19,"vw","tu"),IF(INDEX(J19:Q19,I$5)=F19,"vw","tu"))</f>
        <v>vw</v>
      </c>
      <c r="K19" s="560">
        <v>46477</v>
      </c>
      <c r="L19" s="560">
        <v>46477</v>
      </c>
      <c r="M19" s="560">
        <v>46477</v>
      </c>
      <c r="O19" s="560">
        <v>46477</v>
      </c>
      <c r="P19" s="560">
        <v>46477</v>
      </c>
    </row>
    <row r="20" spans="5:16" ht="12.75">
      <c r="E20" s="538" t="s">
        <v>24</v>
      </c>
      <c r="F20" s="561">
        <f>IF(INDEX(J20:Q20,$I$4)="",INDEX(J20:P20,$I$6),INDEX(J20:Q20,$I$4))</f>
        <v>21</v>
      </c>
      <c r="G20" s="539" t="s">
        <v>17</v>
      </c>
      <c r="H20" s="539"/>
      <c r="I20" s="559" t="str">
        <f>IF(INDEX(J20:Q20,I$5)="",IF(INDEX(J20:Q20,I$6)=F20,"vw","tu"),IF(INDEX(J20:Q20,I$5)=F20,"vw","tu"))</f>
        <v>vw</v>
      </c>
      <c r="K20" s="562">
        <v>21</v>
      </c>
      <c r="L20" s="562">
        <v>21</v>
      </c>
      <c r="M20" s="562">
        <v>21</v>
      </c>
      <c r="O20" s="562">
        <v>21</v>
      </c>
      <c r="P20" s="562">
        <v>21</v>
      </c>
    </row>
    <row r="21" spans="5:16" ht="12.75">
      <c r="E21" s="538" t="s">
        <v>25</v>
      </c>
      <c r="F21" s="561">
        <f>IF(INDEX(J21:Q21,$I$4)="",INDEX(J21:P21,$I$6),INDEX(J21:Q21,$I$4))</f>
        <v>25</v>
      </c>
      <c r="G21" s="539" t="s">
        <v>26</v>
      </c>
      <c r="H21" s="539"/>
      <c r="I21" s="559" t="str">
        <f>IF(INDEX(J21:Q21,I$5)="",IF(INDEX(J21:Q21,I$6)=F21,"vw","tu"),IF(INDEX(J21:Q21,I$5)=F21,"vw","tu"))</f>
        <v>vw</v>
      </c>
      <c r="K21" s="562">
        <v>25</v>
      </c>
      <c r="L21" s="562">
        <v>25</v>
      </c>
      <c r="M21" s="562">
        <v>25</v>
      </c>
      <c r="O21" s="562">
        <v>25</v>
      </c>
      <c r="P21" s="562">
        <v>25</v>
      </c>
    </row>
    <row r="24" spans="1:1" ht="12.75">
      <c r="A24" s="534" t="s">
        <v>27</v>
      </c>
    </row>
    <row r="26" spans="2:2" ht="12.75">
      <c r="B26" s="534" t="s">
        <v>28</v>
      </c>
    </row>
    <row r="27" spans="5:16" ht="12.75">
      <c r="E27" s="538" t="s">
        <v>29</v>
      </c>
      <c r="F27" s="561">
        <f>IF(INDEX(J27:Q27,$I$4)="",INDEX(J27:P27,$I$6),INDEX(J27:Q27,$I$4))</f>
        <v>120000</v>
      </c>
      <c r="G27" s="539" t="s">
        <v>30</v>
      </c>
      <c r="H27" s="539"/>
      <c r="I27" s="559" t="str">
        <f>IF(INDEX(J27:Q27,I$5)="",IF(INDEX(J27:Q27,I$6)=F27,"vw","tu"),IF(INDEX(J27:Q27,I$5)=F27,"vw","tu"))</f>
        <v>vw</v>
      </c>
      <c r="K27" s="562">
        <v>120000</v>
      </c>
      <c r="L27" s="562"/>
      <c r="M27" s="562"/>
      <c r="O27" s="562"/>
      <c r="P27" s="562"/>
    </row>
    <row r="28" spans="5:16" ht="12.75">
      <c r="E28" s="538" t="s">
        <v>31</v>
      </c>
      <c r="F28" s="561">
        <f>IF(INDEX(J28:Q28,$I$4)="",INDEX(J28:P28,$I$6),INDEX(J28:Q28,$I$4))</f>
        <v>80000</v>
      </c>
      <c r="G28" s="539" t="s">
        <v>30</v>
      </c>
      <c r="H28" s="539"/>
      <c r="I28" s="559" t="str">
        <f>IF(INDEX(J28:Q28,I$5)="",IF(INDEX(J28:Q28,I$6)=F28,"vw","tu"),IF(INDEX(J28:Q28,I$5)=F28,"vw","tu"))</f>
        <v>vw</v>
      </c>
      <c r="K28" s="562">
        <v>80000</v>
      </c>
      <c r="L28" s="562"/>
      <c r="M28" s="562"/>
      <c r="O28" s="562"/>
      <c r="P28" s="562"/>
    </row>
    <row r="29" spans="5:16" ht="12.75">
      <c r="E29" s="538" t="s">
        <v>32</v>
      </c>
      <c r="F29" s="561">
        <f>IF(INDEX(J29:Q29,$I$4)="",INDEX(J29:P29,$I$6),INDEX(J29:Q29,$I$4))</f>
        <v>45000</v>
      </c>
      <c r="G29" s="539" t="s">
        <v>30</v>
      </c>
      <c r="H29" s="539"/>
      <c r="I29" s="559" t="str">
        <f>IF(INDEX(J29:Q29,I$5)="",IF(INDEX(J29:Q29,I$6)=F29,"vw","tu"),IF(INDEX(J29:Q29,I$5)=F29,"vw","tu"))</f>
        <v>vw</v>
      </c>
      <c r="K29" s="562">
        <v>45000</v>
      </c>
      <c r="L29" s="562"/>
      <c r="M29" s="562"/>
      <c r="O29" s="562"/>
      <c r="P29" s="562"/>
    </row>
    <row r="30" spans="5:16" ht="12.75">
      <c r="E30" s="538" t="s">
        <v>33</v>
      </c>
      <c r="F30" s="561">
        <f>IF(INDEX(J30:Q30,$I$4)="",INDEX(J30:P30,$I$6),INDEX(J30:Q30,$I$4))</f>
        <v>25000</v>
      </c>
      <c r="G30" s="539" t="s">
        <v>30</v>
      </c>
      <c r="H30" s="539"/>
      <c r="I30" s="559" t="str">
        <f>IF(INDEX(J30:Q30,I$5)="",IF(INDEX(J30:Q30,I$6)=F30,"vw","tu"),IF(INDEX(J30:Q30,I$5)=F30,"vw","tu"))</f>
        <v>vw</v>
      </c>
      <c r="K30" s="562">
        <v>25000</v>
      </c>
      <c r="L30" s="562"/>
      <c r="M30" s="562"/>
      <c r="O30" s="562"/>
      <c r="P30" s="562"/>
    </row>
    <row r="31" spans="5:16" ht="12.75">
      <c r="E31" s="538" t="s">
        <v>34</v>
      </c>
      <c r="F31" s="563">
        <f>IF(INDEX(J31:Q31,$I$4)="",INDEX(J31:P31,$I$6),INDEX(J31:Q31,$I$4))</f>
        <v>0.050000000000000003</v>
      </c>
      <c r="G31" s="550" t="s">
        <v>35</v>
      </c>
      <c r="H31" s="550"/>
      <c r="I31" s="559" t="str">
        <f>IF(INDEX(J31:Q31,I$5)="",IF(INDEX(J31:Q31,I$6)=F31,"vw","tu"),IF(INDEX(J31:Q31,I$5)=F31,"vw","tu"))</f>
        <v>vw</v>
      </c>
      <c r="K31" s="564">
        <v>0.05</v>
      </c>
      <c r="L31" s="564"/>
      <c r="M31" s="564"/>
      <c r="O31" s="564"/>
      <c r="P31" s="564"/>
    </row>
    <row r="32" spans="5:16" ht="12.75">
      <c r="E32" s="538" t="s">
        <v>36</v>
      </c>
      <c r="F32" s="561">
        <f>IF(INDEX(J32:Q32,$I$4)="",INDEX(J32:P32,$I$6),INDEX(J32:Q32,$I$4))</f>
        <v>8000</v>
      </c>
      <c r="G32" s="539" t="s">
        <v>30</v>
      </c>
      <c r="H32" s="539"/>
      <c r="I32" s="559" t="str">
        <f>IF(INDEX(J32:Q32,I$5)="",IF(INDEX(J32:Q32,I$6)=F32,"vw","tu"),IF(INDEX(J32:Q32,I$5)=F32,"vw","tu"))</f>
        <v>vw</v>
      </c>
      <c r="K32" s="562">
        <v>8000</v>
      </c>
      <c r="L32" s="562"/>
      <c r="M32" s="562"/>
      <c r="O32" s="562"/>
      <c r="P32" s="562"/>
    </row>
    <row r="33" spans="5:16" ht="12.75">
      <c r="E33" s="538" t="s">
        <v>37</v>
      </c>
      <c r="F33" s="561">
        <f>IF(INDEX(J33:Q33,$I$4)="",INDEX(J33:P33,$I$6),INDEX(J33:Q33,$I$4))</f>
        <v>30</v>
      </c>
      <c r="G33" s="539" t="s">
        <v>30</v>
      </c>
      <c r="H33" s="539"/>
      <c r="I33" s="559" t="str">
        <f>IF(INDEX(J33:Q33,I$5)="",IF(INDEX(J33:Q33,I$6)=F33,"vw","tu"),IF(INDEX(J33:Q33,I$5)=F33,"vw","tu"))</f>
        <v>vw</v>
      </c>
      <c r="K33" s="562">
        <v>30</v>
      </c>
      <c r="L33" s="562"/>
      <c r="M33" s="562"/>
      <c r="O33" s="562"/>
      <c r="P33" s="562"/>
    </row>
    <row r="36" spans="1:1" ht="12.75">
      <c r="A36" s="534" t="s">
        <v>38</v>
      </c>
    </row>
    <row r="38" spans="2:2" ht="12.75">
      <c r="B38" s="534" t="s">
        <v>39</v>
      </c>
    </row>
    <row r="39" spans="5:16" ht="12.75">
      <c r="E39" s="538" t="s">
        <v>40</v>
      </c>
      <c r="F39" s="561">
        <f>IF(INDEX(J39:Q39,$I$4)="",INDEX(J39:P39,$I$6),INDEX(J39:Q39,$I$4))</f>
        <v>36000</v>
      </c>
      <c r="G39" s="539" t="s">
        <v>30</v>
      </c>
      <c r="H39" s="539"/>
      <c r="I39" s="559" t="str">
        <f>IF(INDEX(J39:Q39,I$5)="",IF(INDEX(J39:Q39,I$6)=F39,"vw","tu"),IF(INDEX(J39:Q39,I$5)=F39,"vw","tu"))</f>
        <v>vw</v>
      </c>
      <c r="K39" s="562">
        <v>36000</v>
      </c>
      <c r="L39" s="562"/>
      <c r="M39" s="562"/>
      <c r="O39" s="562"/>
      <c r="P39" s="562"/>
    </row>
    <row r="40" spans="5:16" ht="12.75">
      <c r="E40" s="538" t="s">
        <v>41</v>
      </c>
      <c r="F40" s="561">
        <f>IF(INDEX(J40:Q40,$I$4)="",INDEX(J40:P40,$I$6),INDEX(J40:Q40,$I$4))</f>
        <v>12000</v>
      </c>
      <c r="G40" s="539" t="s">
        <v>30</v>
      </c>
      <c r="H40" s="539"/>
      <c r="I40" s="559" t="str">
        <f>IF(INDEX(J40:Q40,I$5)="",IF(INDEX(J40:Q40,I$6)=F40,"vw","tu"),IF(INDEX(J40:Q40,I$5)=F40,"vw","tu"))</f>
        <v>vw</v>
      </c>
      <c r="K40" s="562">
        <v>12000</v>
      </c>
      <c r="L40" s="562"/>
      <c r="M40" s="562"/>
      <c r="O40" s="562"/>
      <c r="P40" s="562"/>
    </row>
    <row r="42" spans="2:2" ht="12.75">
      <c r="B42" s="534" t="s">
        <v>42</v>
      </c>
    </row>
    <row r="43" spans="5:16" ht="12.75">
      <c r="E43" s="538" t="s">
        <v>43</v>
      </c>
      <c r="F43" s="561">
        <f>IF(INDEX(J43:Q43,$I$4)="",INDEX(J43:P43,$I$6),INDEX(J43:Q43,$I$4))</f>
        <v>10000</v>
      </c>
      <c r="G43" s="539" t="s">
        <v>30</v>
      </c>
      <c r="H43" s="539"/>
      <c r="I43" s="559" t="str">
        <f>IF(INDEX(J43:Q43,I$5)="",IF(INDEX(J43:Q43,I$6)=F43,"vw","tu"),IF(INDEX(J43:Q43,I$5)=F43,"vw","tu"))</f>
        <v>vw</v>
      </c>
      <c r="K43" s="562">
        <v>10000</v>
      </c>
      <c r="L43" s="562"/>
      <c r="M43" s="562"/>
      <c r="O43" s="562"/>
      <c r="P43" s="562"/>
    </row>
    <row r="44" spans="5:16" ht="12.75">
      <c r="E44" s="538" t="s">
        <v>44</v>
      </c>
      <c r="F44" s="563">
        <f>IF(INDEX(J44:Q44,$I$4)="",INDEX(J44:P44,$I$6),INDEX(J44:Q44,$I$4))</f>
        <v>0.050000000000000003</v>
      </c>
      <c r="G44" s="550" t="s">
        <v>35</v>
      </c>
      <c r="H44" s="550"/>
      <c r="I44" s="559" t="str">
        <f>IF(INDEX(J44:Q44,I$5)="",IF(INDEX(J44:Q44,I$6)=F44,"vw","tu"),IF(INDEX(J44:Q44,I$5)=F44,"vw","tu"))</f>
        <v>vw</v>
      </c>
      <c r="K44" s="564">
        <v>0.05</v>
      </c>
      <c r="L44" s="564"/>
      <c r="M44" s="564"/>
      <c r="O44" s="564"/>
      <c r="P44" s="564"/>
    </row>
    <row r="46" spans="2:2" ht="12.75">
      <c r="B46" s="534" t="s">
        <v>45</v>
      </c>
    </row>
    <row r="47" spans="5:16" ht="12.75">
      <c r="E47" s="538" t="s">
        <v>46</v>
      </c>
      <c r="F47" s="561">
        <f>IF(INDEX(J47:Q47,$I$4)="",INDEX(J47:P47,$I$6),INDEX(J47:Q47,$I$4))</f>
        <v>50</v>
      </c>
      <c r="G47" s="539" t="s">
        <v>30</v>
      </c>
      <c r="H47" s="539"/>
      <c r="I47" s="559" t="str">
        <f>IF(INDEX(J47:Q47,I$5)="",IF(INDEX(J47:Q47,I$6)=F47,"vw","tu"),IF(INDEX(J47:Q47,I$5)=F47,"vw","tu"))</f>
        <v>vw</v>
      </c>
      <c r="K47" s="562">
        <v>50</v>
      </c>
      <c r="L47" s="562"/>
      <c r="M47" s="562"/>
      <c r="O47" s="562"/>
      <c r="P47" s="562"/>
    </row>
    <row r="48" spans="5:16" ht="12.75">
      <c r="E48" s="538" t="s">
        <v>47</v>
      </c>
      <c r="F48" s="561">
        <f>IF(INDEX(J48:Q48,$I$4)="",INDEX(J48:P48,$I$6),INDEX(J48:Q48,$I$4))</f>
        <v>40000</v>
      </c>
      <c r="G48" s="539" t="s">
        <v>30</v>
      </c>
      <c r="H48" s="539"/>
      <c r="I48" s="559" t="str">
        <f>IF(INDEX(J48:Q48,I$5)="",IF(INDEX(J48:Q48,I$6)=F48,"vw","tu"),IF(INDEX(J48:Q48,I$5)=F48,"vw","tu"))</f>
        <v>vw</v>
      </c>
      <c r="K48" s="562">
        <v>40000</v>
      </c>
      <c r="L48" s="562"/>
      <c r="M48" s="562"/>
      <c r="O48" s="562"/>
      <c r="P48" s="562"/>
    </row>
    <row r="49" spans="5:16" ht="12.75">
      <c r="E49" s="538" t="s">
        <v>48</v>
      </c>
      <c r="F49" s="563">
        <f>IF(INDEX(J49:Q49,$I$4)="",INDEX(J49:P49,$I$6),INDEX(J49:Q49,$I$4))</f>
        <v>0.014999999999999999</v>
      </c>
      <c r="G49" s="550" t="s">
        <v>35</v>
      </c>
      <c r="H49" s="550"/>
      <c r="I49" s="559" t="str">
        <f>IF(INDEX(J49:Q49,I$5)="",IF(INDEX(J49:Q49,I$6)=F49,"vw","tu"),IF(INDEX(J49:Q49,I$5)=F49,"vw","tu"))</f>
        <v>vw</v>
      </c>
      <c r="K49" s="564">
        <v>0.015</v>
      </c>
      <c r="L49" s="564"/>
      <c r="M49" s="564"/>
      <c r="O49" s="564"/>
      <c r="P49" s="564"/>
    </row>
    <row r="50" spans="5:16" ht="12.75">
      <c r="E50" s="538" t="s">
        <v>49</v>
      </c>
      <c r="F50" s="563">
        <f>IF(INDEX(J50:Q50,$I$4)="",INDEX(J50:P50,$I$6),INDEX(J50:Q50,$I$4))</f>
        <v>0.025000000000000001</v>
      </c>
      <c r="G50" s="550" t="s">
        <v>35</v>
      </c>
      <c r="H50" s="550"/>
      <c r="I50" s="559" t="str">
        <f>IF(INDEX(J50:Q50,I$5)="",IF(INDEX(J50:Q50,I$6)=F50,"vw","tu"),IF(INDEX(J50:Q50,I$5)=F50,"vw","tu"))</f>
        <v>vw</v>
      </c>
      <c r="K50" s="564">
        <v>0.025</v>
      </c>
      <c r="L50" s="564"/>
      <c r="M50" s="564"/>
      <c r="O50" s="564"/>
      <c r="P50" s="564"/>
    </row>
    <row r="52" spans="2:2" ht="12.75">
      <c r="B52" s="534" t="s">
        <v>50</v>
      </c>
    </row>
    <row r="53" spans="5:16" ht="12.75">
      <c r="E53" s="538" t="s">
        <v>51</v>
      </c>
      <c r="F53" s="557">
        <f>IF(INDEX(J53:Q53,$I$4)="",INDEX(J53:P53,$I$6),INDEX(J53:Q53,$I$4))</f>
        <v>46388</v>
      </c>
      <c r="G53" s="558" t="s">
        <v>14</v>
      </c>
      <c r="H53" s="558"/>
      <c r="I53" s="559" t="str">
        <f>IF(INDEX(J53:Q53,I$5)="",IF(INDEX(J53:Q53,I$6)=F53,"vw","tu"),IF(INDEX(J53:Q53,I$5)=F53,"vw","tu"))</f>
        <v>vw</v>
      </c>
      <c r="K53" s="560">
        <v>46388</v>
      </c>
      <c r="L53" s="560"/>
      <c r="M53" s="560"/>
      <c r="O53" s="560"/>
      <c r="P53" s="560"/>
    </row>
    <row r="54" spans="5:16" ht="12.75">
      <c r="E54" s="538" t="s">
        <v>52</v>
      </c>
      <c r="F54" s="563">
        <f>IF(INDEX(J54:Q54,$I$4)="",INDEX(J54:P54,$I$6),INDEX(J54:Q54,$I$4))</f>
        <v>0.02</v>
      </c>
      <c r="G54" s="550" t="s">
        <v>53</v>
      </c>
      <c r="H54" s="550"/>
      <c r="I54" s="559" t="str">
        <f>IF(INDEX(J54:Q54,I$5)="",IF(INDEX(J54:Q54,I$6)=F54,"vw","tu"),IF(INDEX(J54:Q54,I$5)=F54,"vw","tu"))</f>
        <v>vw</v>
      </c>
      <c r="K54" s="564">
        <v>0.02</v>
      </c>
      <c r="L54" s="564"/>
      <c r="M54" s="564"/>
      <c r="O54" s="564"/>
      <c r="P54" s="564"/>
    </row>
    <row r="55" spans="5:16" ht="12.75">
      <c r="E55" s="538" t="s">
        <v>54</v>
      </c>
      <c r="F55" s="563">
        <f>IF(INDEX(J55:Q55,$I$4)="",INDEX(J55:P55,$I$6),INDEX(J55:Q55,$I$4))</f>
        <v>0.025000000000000001</v>
      </c>
      <c r="G55" s="550" t="s">
        <v>53</v>
      </c>
      <c r="H55" s="550"/>
      <c r="I55" s="559" t="str">
        <f>IF(INDEX(J55:Q55,I$5)="",IF(INDEX(J55:Q55,I$6)=F55,"vw","tu"),IF(INDEX(J55:Q55,I$5)=F55,"vw","tu"))</f>
        <v>vw</v>
      </c>
      <c r="K55" s="564">
        <v>0.025</v>
      </c>
      <c r="L55" s="564"/>
      <c r="M55" s="564"/>
      <c r="O55" s="564"/>
      <c r="P55" s="564"/>
    </row>
    <row r="56" spans="5:16" ht="12.75">
      <c r="E56" s="538" t="s">
        <v>55</v>
      </c>
      <c r="F56" s="563">
        <f>IF(INDEX(J56:Q56,$I$4)="",INDEX(J56:P56,$I$6),INDEX(J56:Q56,$I$4))</f>
        <v>0.029999999999999999</v>
      </c>
      <c r="G56" s="550" t="s">
        <v>53</v>
      </c>
      <c r="H56" s="550"/>
      <c r="I56" s="559" t="str">
        <f>IF(INDEX(J56:Q56,I$5)="",IF(INDEX(J56:Q56,I$6)=F56,"vw","tu"),IF(INDEX(J56:Q56,I$5)=F56,"vw","tu"))</f>
        <v>vw</v>
      </c>
      <c r="K56" s="564">
        <v>0.03</v>
      </c>
      <c r="L56" s="564"/>
      <c r="M56" s="564"/>
      <c r="O56" s="564"/>
      <c r="P56" s="564"/>
    </row>
    <row r="57" spans="5:16" ht="12.75">
      <c r="E57" s="538" t="s">
        <v>56</v>
      </c>
      <c r="F57" s="563">
        <f>IF(INDEX(J57:Q57,$I$4)="",INDEX(J57:P57,$I$6),INDEX(J57:Q57,$I$4))</f>
        <v>0.5</v>
      </c>
      <c r="G57" s="550" t="s">
        <v>35</v>
      </c>
      <c r="H57" s="550"/>
      <c r="I57" s="559" t="str">
        <f>IF(INDEX(J57:Q57,I$5)="",IF(INDEX(J57:Q57,I$6)=F57,"vw","tu"),IF(INDEX(J57:Q57,I$5)=F57,"vw","tu"))</f>
        <v>vw</v>
      </c>
      <c r="K57" s="564">
        <v>0.50</v>
      </c>
      <c r="L57" s="564"/>
      <c r="M57" s="564"/>
      <c r="O57" s="564"/>
      <c r="P57" s="564"/>
    </row>
    <row r="59" spans="2:2" ht="12.75">
      <c r="B59" s="534" t="s">
        <v>57</v>
      </c>
    </row>
    <row r="60" spans="5:16" ht="12.75">
      <c r="E60" s="538" t="s">
        <v>58</v>
      </c>
      <c r="F60" s="561">
        <f>IF(INDEX(J60:Q60,$I$4)="",INDEX(J60:P60,$I$6),INDEX(J60:Q60,$I$4))</f>
        <v>30</v>
      </c>
      <c r="G60" s="539" t="s">
        <v>59</v>
      </c>
      <c r="H60" s="539"/>
      <c r="I60" s="559" t="str">
        <f>IF(INDEX(J60:Q60,I$5)="",IF(INDEX(J60:Q60,I$6)=F60,"vw","tu"),IF(INDEX(J60:Q60,I$5)=F60,"vw","tu"))</f>
        <v>vw</v>
      </c>
      <c r="K60" s="562">
        <v>30</v>
      </c>
      <c r="L60" s="562"/>
      <c r="M60" s="562"/>
      <c r="O60" s="562"/>
      <c r="P60" s="562"/>
    </row>
    <row r="61" spans="5:16" ht="12.75">
      <c r="E61" s="538" t="s">
        <v>60</v>
      </c>
      <c r="F61" s="561">
        <f>IF(INDEX(J61:Q61,$I$4)="",INDEX(J61:P61,$I$6),INDEX(J61:Q61,$I$4))</f>
        <v>60</v>
      </c>
      <c r="G61" s="539" t="s">
        <v>59</v>
      </c>
      <c r="H61" s="539"/>
      <c r="I61" s="559" t="str">
        <f>IF(INDEX(J61:Q61,I$5)="",IF(INDEX(J61:Q61,I$6)=F61,"vw","tu"),IF(INDEX(J61:Q61,I$5)=F61,"vw","tu"))</f>
        <v>vw</v>
      </c>
      <c r="K61" s="562">
        <v>60</v>
      </c>
      <c r="L61" s="562"/>
      <c r="M61" s="562"/>
      <c r="O61" s="562"/>
      <c r="P61" s="562"/>
    </row>
    <row r="64" spans="1:1" ht="12.75">
      <c r="A64" s="534" t="s">
        <v>61</v>
      </c>
    </row>
    <row r="66" spans="2:2" ht="12.75">
      <c r="B66" s="534" t="s">
        <v>62</v>
      </c>
    </row>
    <row r="67" spans="5:16" ht="12.75">
      <c r="E67" s="538" t="s">
        <v>63</v>
      </c>
      <c r="F67" s="561">
        <f>IF(INDEX(J67:Q67,$I$4)="",INDEX(J67:P67,$I$6),INDEX(J67:Q67,$I$4))</f>
        <v>25</v>
      </c>
      <c r="G67" s="539" t="s">
        <v>26</v>
      </c>
      <c r="H67" s="539"/>
      <c r="I67" s="559" t="str">
        <f>IF(INDEX(J67:Q67,I$5)="",IF(INDEX(J67:Q67,I$6)=F67,"vw","tu"),IF(INDEX(J67:Q67,I$5)=F67,"vw","tu"))</f>
        <v>vw</v>
      </c>
      <c r="K67" s="562">
        <v>25</v>
      </c>
      <c r="L67" s="562"/>
      <c r="M67" s="562"/>
      <c r="O67" s="562"/>
      <c r="P67" s="562"/>
    </row>
    <row r="68" spans="5:16" ht="12.75">
      <c r="E68" s="538" t="s">
        <v>64</v>
      </c>
      <c r="F68" s="563">
        <f>IF(INDEX(J68:Q68,$I$4)="",INDEX(J68:P68,$I$6),INDEX(J68:Q68,$I$4))</f>
        <v>0.17999999999999999</v>
      </c>
      <c r="G68" s="550" t="s">
        <v>53</v>
      </c>
      <c r="H68" s="550"/>
      <c r="I68" s="559" t="str">
        <f>IF(INDEX(J68:Q68,I$5)="",IF(INDEX(J68:Q68,I$6)=F68,"vw","tu"),IF(INDEX(J68:Q68,I$5)=F68,"vw","tu"))</f>
        <v>vw</v>
      </c>
      <c r="K68" s="564">
        <v>0.18</v>
      </c>
      <c r="L68" s="564"/>
      <c r="M68" s="564"/>
      <c r="O68" s="564"/>
      <c r="P68" s="564"/>
    </row>
    <row r="71" spans="1:1" ht="12.75">
      <c r="A71" s="534" t="s">
        <v>65</v>
      </c>
    </row>
    <row r="73" spans="2:2" ht="12.75">
      <c r="B73" s="534" t="s">
        <v>66</v>
      </c>
    </row>
    <row r="74" spans="5:16" ht="12.75">
      <c r="E74" s="538" t="s">
        <v>67</v>
      </c>
      <c r="F74" s="565">
        <f>IF(INDEX(J74:Q74,$I$4)="",INDEX(J74:P74,$I$6),INDEX(J74:Q74,$I$4))</f>
        <v>1.3</v>
      </c>
      <c r="G74" s="548" t="s">
        <v>68</v>
      </c>
      <c r="H74" s="548"/>
      <c r="I74" s="559" t="str">
        <f>IF(INDEX(J74:Q74,I$5)="",IF(INDEX(J74:Q74,I$6)=F74,"vw","tu"),IF(INDEX(J74:Q74,I$5)=F74,"vw","tu"))</f>
        <v>vw</v>
      </c>
      <c r="K74" s="566">
        <v>1.30</v>
      </c>
      <c r="L74" s="566"/>
      <c r="M74" s="566"/>
      <c r="O74" s="566"/>
      <c r="P74" s="566"/>
    </row>
    <row r="75" spans="5:16" ht="12.75">
      <c r="E75" s="538" t="s">
        <v>69</v>
      </c>
      <c r="F75" s="561">
        <f>IF(INDEX(J75:Q75,$I$4)="",INDEX(J75:P75,$I$6),INDEX(J75:Q75,$I$4))</f>
        <v>18</v>
      </c>
      <c r="G75" s="539" t="s">
        <v>26</v>
      </c>
      <c r="H75" s="539"/>
      <c r="I75" s="559" t="str">
        <f>IF(INDEX(J75:Q75,I$5)="",IF(INDEX(J75:Q75,I$6)=F75,"vw","tu"),IF(INDEX(J75:Q75,I$5)=F75,"vw","tu"))</f>
        <v>vw</v>
      </c>
      <c r="K75" s="562">
        <v>18</v>
      </c>
      <c r="L75" s="562"/>
      <c r="M75" s="562"/>
      <c r="O75" s="562"/>
      <c r="P75" s="562"/>
    </row>
    <row r="76" spans="5:16" ht="12.75">
      <c r="E76" s="538" t="s">
        <v>70</v>
      </c>
      <c r="F76" s="563">
        <f>IF(INDEX(J76:Q76,$I$4)="",INDEX(J76:P76,$I$6),INDEX(J76:Q76,$I$4))</f>
        <v>0.055</v>
      </c>
      <c r="G76" s="550" t="s">
        <v>53</v>
      </c>
      <c r="H76" s="550"/>
      <c r="I76" s="559" t="str">
        <f>IF(INDEX(J76:Q76,I$5)="",IF(INDEX(J76:Q76,I$6)=F76,"vw","tu"),IF(INDEX(J76:Q76,I$5)=F76,"vw","tu"))</f>
        <v>vw</v>
      </c>
      <c r="K76" s="564">
        <v>0.055</v>
      </c>
      <c r="L76" s="564"/>
      <c r="M76" s="564"/>
      <c r="O76" s="564"/>
      <c r="P76" s="564"/>
    </row>
    <row r="77" spans="5:16" ht="12.75">
      <c r="E77" s="538" t="s">
        <v>71</v>
      </c>
      <c r="F77" s="561">
        <f>IF(INDEX(J77:Q77,$I$4)="",INDEX(J77:P77,$I$6),INDEX(J77:Q77,$I$4))</f>
        <v>1</v>
      </c>
      <c r="G77" s="539" t="s">
        <v>72</v>
      </c>
      <c r="H77" s="539"/>
      <c r="I77" s="559" t="str">
        <f>IF(INDEX(J77:Q77,I$5)="",IF(INDEX(J77:Q77,I$6)=F77,"vw","tu"),IF(INDEX(J77:Q77,I$5)=F77,"vw","tu"))</f>
        <v>vw</v>
      </c>
      <c r="K77" s="562">
        <v>1</v>
      </c>
      <c r="L77" s="562"/>
      <c r="M77" s="562"/>
      <c r="O77" s="562"/>
      <c r="P77" s="562"/>
    </row>
    <row r="78" spans="5:16" ht="12.75">
      <c r="E78" s="538" t="s">
        <v>73</v>
      </c>
      <c r="F78" s="563">
        <f>IF(INDEX(J78:Q78,$I$4)="",INDEX(J78:P78,$I$6),INDEX(J78:Q78,$I$4))</f>
        <v>0.014999999999999999</v>
      </c>
      <c r="G78" s="550" t="s">
        <v>35</v>
      </c>
      <c r="H78" s="550"/>
      <c r="I78" s="559" t="str">
        <f>IF(INDEX(J78:Q78,I$5)="",IF(INDEX(J78:Q78,I$6)=F78,"vw","tu"),IF(INDEX(J78:Q78,I$5)=F78,"vw","tu"))</f>
        <v>vw</v>
      </c>
      <c r="K78" s="564">
        <v>0.015</v>
      </c>
      <c r="L78" s="564"/>
      <c r="M78" s="564"/>
      <c r="O78" s="564"/>
      <c r="P78" s="564"/>
    </row>
    <row r="79" spans="5:16" ht="12.75">
      <c r="E79" s="538" t="s">
        <v>74</v>
      </c>
      <c r="F79" s="563">
        <f>IF(INDEX(J79:Q79,$I$4)="",INDEX(J79:P79,$I$6),INDEX(J79:Q79,$I$4))</f>
        <v>0.0060000000000000001</v>
      </c>
      <c r="G79" s="550" t="s">
        <v>53</v>
      </c>
      <c r="H79" s="550"/>
      <c r="I79" s="559" t="str">
        <f>IF(INDEX(J79:Q79,I$5)="",IF(INDEX(J79:Q79,I$6)=F79,"vw","tu"),IF(INDEX(J79:Q79,I$5)=F79,"vw","tu"))</f>
        <v>vw</v>
      </c>
      <c r="K79" s="564">
        <v>0.0060000000000000001</v>
      </c>
      <c r="L79" s="564"/>
      <c r="M79" s="564"/>
      <c r="O79" s="564"/>
      <c r="P79" s="564"/>
    </row>
    <row r="81" spans="2:2" ht="12.75">
      <c r="B81" s="534" t="s">
        <v>75</v>
      </c>
    </row>
    <row r="82" spans="5:16" ht="12.75">
      <c r="E82" s="538" t="s">
        <v>76</v>
      </c>
      <c r="F82" s="563">
        <f>IF(INDEX(J82:Q82,$I$4)="",INDEX(J82:P82,$I$6),INDEX(J82:Q82,$I$4))</f>
        <v>0.69999999999999996</v>
      </c>
      <c r="G82" s="550" t="s">
        <v>35</v>
      </c>
      <c r="H82" s="550"/>
      <c r="I82" s="559" t="str">
        <f>IF(INDEX(J82:Q82,I$5)="",IF(INDEX(J82:Q82,I$6)=F82,"vw","tu"),IF(INDEX(J82:Q82,I$5)=F82,"vw","tu"))</f>
        <v>vw</v>
      </c>
      <c r="K82" s="564">
        <v>0.70</v>
      </c>
      <c r="L82" s="564"/>
      <c r="M82" s="564"/>
      <c r="O82" s="564"/>
      <c r="P82" s="564"/>
    </row>
    <row r="83" spans="5:16" ht="12.75">
      <c r="E83" s="538" t="s">
        <v>77</v>
      </c>
      <c r="F83" s="561">
        <f>IF(INDEX(J83:Q83,$I$4)="",INDEX(J83:P83,$I$6),INDEX(J83:Q83,$I$4))</f>
        <v>1</v>
      </c>
      <c r="G83" s="539" t="s">
        <v>72</v>
      </c>
      <c r="H83" s="539"/>
      <c r="I83" s="559" t="str">
        <f>IF(INDEX(J83:Q83,I$5)="",IF(INDEX(J83:Q83,I$6)=F83,"vw","tu"),IF(INDEX(J83:Q83,I$5)=F83,"vw","tu"))</f>
        <v>vw</v>
      </c>
      <c r="K83" s="562">
        <v>1</v>
      </c>
      <c r="L83" s="562"/>
      <c r="M83" s="562"/>
      <c r="O83" s="562"/>
      <c r="P83" s="562"/>
    </row>
    <row r="85" spans="2:2" ht="12.75">
      <c r="B85" s="534" t="s">
        <v>78</v>
      </c>
    </row>
    <row r="86" spans="5:16" ht="12.75">
      <c r="E86" s="538" t="s">
        <v>79</v>
      </c>
      <c r="F86" s="563">
        <f>IF(INDEX(J86:Q86,$I$4)="",INDEX(J86:P86,$I$6),INDEX(J86:Q86,$I$4))</f>
        <v>0.20000000000000001</v>
      </c>
      <c r="G86" s="550" t="s">
        <v>35</v>
      </c>
      <c r="H86" s="550"/>
      <c r="I86" s="559" t="str">
        <f>IF(INDEX(J86:Q86,I$5)="",IF(INDEX(J86:Q86,I$6)=F86,"vw","tu"),IF(INDEX(J86:Q86,I$5)=F86,"vw","tu"))</f>
        <v>vw</v>
      </c>
      <c r="K86" s="564">
        <v>0.20</v>
      </c>
      <c r="L86" s="564"/>
      <c r="M86" s="564"/>
      <c r="O86" s="564"/>
      <c r="P86" s="564"/>
    </row>
    <row r="87" spans="5:16" ht="12.75">
      <c r="E87" s="538" t="s">
        <v>80</v>
      </c>
      <c r="F87" s="561">
        <f>IF(INDEX(J87:Q87,$I$4)="",INDEX(J87:P87,$I$6),INDEX(J87:Q87,$I$4))</f>
        <v>90</v>
      </c>
      <c r="G87" s="539" t="s">
        <v>59</v>
      </c>
      <c r="H87" s="539"/>
      <c r="I87" s="559" t="str">
        <f>IF(INDEX(J87:Q87,I$5)="",IF(INDEX(J87:Q87,I$6)=F87,"vw","tu"),IF(INDEX(J87:Q87,I$5)=F87,"vw","tu"))</f>
        <v>vw</v>
      </c>
      <c r="K87" s="562">
        <v>90</v>
      </c>
      <c r="L87" s="562"/>
      <c r="M87" s="562"/>
      <c r="O87" s="562"/>
      <c r="P87" s="562"/>
    </row>
    <row r="88" spans="5:16" ht="12.75">
      <c r="E88" s="538" t="s">
        <v>81</v>
      </c>
      <c r="F88" s="563">
        <f>IF(INDEX(J88:Q88,$I$4)="",INDEX(J88:P88,$I$6),INDEX(J88:Q88,$I$4))</f>
        <v>0.040000000000000001</v>
      </c>
      <c r="G88" s="550" t="s">
        <v>53</v>
      </c>
      <c r="H88" s="550"/>
      <c r="I88" s="559" t="str">
        <f>IF(INDEX(J88:Q88,I$5)="",IF(INDEX(J88:Q88,I$6)=F88,"vw","tu"),IF(INDEX(J88:Q88,I$5)=F88,"vw","tu"))</f>
        <v>vw</v>
      </c>
      <c r="K88" s="564">
        <v>0.04</v>
      </c>
      <c r="L88" s="564"/>
      <c r="M88" s="564"/>
      <c r="O88" s="564"/>
      <c r="P88" s="564"/>
    </row>
    <row r="90" spans="2:2" ht="12.75">
      <c r="B90" s="534" t="s">
        <v>82</v>
      </c>
    </row>
    <row r="91" spans="5:16" ht="12.75">
      <c r="E91" s="538" t="s">
        <v>83</v>
      </c>
      <c r="F91" s="563">
        <f>IF(INDEX(J91:Q91,$I$4)="",INDEX(J91:P91,$I$6),INDEX(J91:Q91,$I$4))</f>
        <v>0.080000000000000002</v>
      </c>
      <c r="G91" s="550" t="s">
        <v>35</v>
      </c>
      <c r="H91" s="550"/>
      <c r="I91" s="559" t="str">
        <f>IF(INDEX(J91:Q91,I$5)="",IF(INDEX(J91:Q91,I$6)=F91,"vw","tu"),IF(INDEX(J91:Q91,I$5)=F91,"vw","tu"))</f>
        <v>vw</v>
      </c>
      <c r="K91" s="564">
        <v>0.08</v>
      </c>
      <c r="L91" s="564"/>
      <c r="M91" s="564"/>
      <c r="O91" s="564"/>
      <c r="P91" s="564"/>
    </row>
    <row r="92" spans="5:16" ht="12.75">
      <c r="E92" s="538" t="s">
        <v>84</v>
      </c>
      <c r="F92" s="563">
        <f>IF(INDEX(J92:Q92,$I$4)="",INDEX(J92:P92,$I$6),INDEX(J92:Q92,$I$4))</f>
        <v>0.089999999999999997</v>
      </c>
      <c r="G92" s="550" t="s">
        <v>53</v>
      </c>
      <c r="H92" s="550"/>
      <c r="I92" s="559" t="str">
        <f>IF(INDEX(J92:Q92,I$5)="",IF(INDEX(J92:Q92,I$6)=F92,"vw","tu"),IF(INDEX(J92:Q92,I$5)=F92,"vw","tu"))</f>
        <v>vw</v>
      </c>
      <c r="K92" s="564">
        <v>0.09</v>
      </c>
      <c r="L92" s="564"/>
      <c r="M92" s="564"/>
      <c r="O92" s="564"/>
      <c r="P92" s="564"/>
    </row>
    <row r="93" spans="5:16" ht="12.75">
      <c r="E93" s="538" t="s">
        <v>85</v>
      </c>
      <c r="F93" s="561">
        <f>IF(INDEX(J93:Q93,$I$4)="",INDEX(J93:P93,$I$6),INDEX(J93:Q93,$I$4))</f>
        <v>12</v>
      </c>
      <c r="G93" s="539" t="s">
        <v>26</v>
      </c>
      <c r="H93" s="539"/>
      <c r="I93" s="559" t="str">
        <f>IF(INDEX(J93:Q93,I$5)="",IF(INDEX(J93:Q93,I$6)=F93,"vw","tu"),IF(INDEX(J93:Q93,I$5)=F93,"vw","tu"))</f>
        <v>vw</v>
      </c>
      <c r="K93" s="562">
        <v>12</v>
      </c>
      <c r="L93" s="562"/>
      <c r="M93" s="562"/>
      <c r="O93" s="562"/>
      <c r="P93" s="562"/>
    </row>
    <row r="95" spans="2:2" ht="12.75">
      <c r="B95" s="534" t="s">
        <v>86</v>
      </c>
    </row>
    <row r="96" spans="5:16" ht="12.75">
      <c r="E96" s="538" t="s">
        <v>87</v>
      </c>
      <c r="F96" s="561">
        <f>IF(INDEX(J96:Q96,$I$4)="",INDEX(J96:P96,$I$6),INDEX(J96:Q96,$I$4))</f>
        <v>6</v>
      </c>
      <c r="G96" s="539" t="s">
        <v>17</v>
      </c>
      <c r="H96" s="539"/>
      <c r="I96" s="559" t="str">
        <f>IF(INDEX(J96:Q96,I$5)="",IF(INDEX(J96:Q96,I$6)=F96,"vw","tu"),IF(INDEX(J96:Q96,I$5)=F96,"vw","tu"))</f>
        <v>vw</v>
      </c>
      <c r="K96" s="562">
        <v>6</v>
      </c>
      <c r="L96" s="562"/>
      <c r="M96" s="562"/>
      <c r="O96" s="562"/>
      <c r="P96" s="562"/>
    </row>
    <row r="97" spans="5:16" ht="12.75">
      <c r="E97" s="538" t="s">
        <v>88</v>
      </c>
      <c r="F97" s="561">
        <f>IF(INDEX(J97:Q97,$I$4)="",INDEX(J97:P97,$I$6),INDEX(J97:Q97,$I$4))</f>
        <v>0</v>
      </c>
      <c r="G97" s="539" t="s">
        <v>72</v>
      </c>
      <c r="H97" s="539"/>
      <c r="I97" s="559" t="str">
        <f>IF(INDEX(J97:Q97,I$5)="",IF(INDEX(J97:Q97,I$6)=F97,"vw","tu"),IF(INDEX(J97:Q97,I$5)=F97,"vw","tu"))</f>
        <v>vw</v>
      </c>
      <c r="K97" s="562">
        <v>0</v>
      </c>
      <c r="L97" s="562"/>
      <c r="M97" s="562"/>
      <c r="O97" s="562"/>
      <c r="P97" s="562"/>
    </row>
    <row r="98" spans="5:16" ht="12.75">
      <c r="E98" s="538" t="s">
        <v>89</v>
      </c>
      <c r="F98" s="563">
        <f>IF(INDEX(J98:Q98,$I$4)="",INDEX(J98:P98,$I$6),INDEX(J98:Q98,$I$4))</f>
        <v>0.01</v>
      </c>
      <c r="G98" s="550" t="s">
        <v>53</v>
      </c>
      <c r="H98" s="550"/>
      <c r="I98" s="559" t="str">
        <f>IF(INDEX(J98:Q98,I$5)="",IF(INDEX(J98:Q98,I$6)=F98,"vw","tu"),IF(INDEX(J98:Q98,I$5)=F98,"vw","tu"))</f>
        <v>vw</v>
      </c>
      <c r="K98" s="564">
        <v>0.01</v>
      </c>
      <c r="L98" s="564"/>
      <c r="M98" s="564"/>
      <c r="O98" s="564"/>
      <c r="P98" s="564"/>
    </row>
    <row r="99" spans="5:16" ht="12.75">
      <c r="E99" s="538" t="s">
        <v>90</v>
      </c>
      <c r="F99" s="561">
        <f>IF(INDEX(J99:Q99,$I$4)="",INDEX(J99:P99,$I$6),INDEX(J99:Q99,$I$4))</f>
        <v>12</v>
      </c>
      <c r="G99" s="539" t="s">
        <v>17</v>
      </c>
      <c r="H99" s="539"/>
      <c r="I99" s="559" t="str">
        <f>IF(INDEX(J99:Q99,I$5)="",IF(INDEX(J99:Q99,I$6)=F99,"vw","tu"),IF(INDEX(J99:Q99,I$5)=F99,"vw","tu"))</f>
        <v>vw</v>
      </c>
      <c r="K99" s="562">
        <v>12</v>
      </c>
      <c r="L99" s="562"/>
      <c r="M99" s="562"/>
      <c r="O99" s="562"/>
      <c r="P99" s="562"/>
    </row>
    <row r="100" spans="5:16" ht="12.75">
      <c r="E100" s="538" t="s">
        <v>91</v>
      </c>
      <c r="F100" s="563">
        <f>IF(INDEX(J100:Q100,$I$4)="",INDEX(J100:P100,$I$6),INDEX(J100:Q100,$I$4))</f>
        <v>1</v>
      </c>
      <c r="G100" s="550" t="s">
        <v>35</v>
      </c>
      <c r="H100" s="550"/>
      <c r="I100" s="559" t="str">
        <f>IF(INDEX(J100:Q100,I$5)="",IF(INDEX(J100:Q100,I$6)=F100,"vw","tu"),IF(INDEX(J100:Q100,I$5)=F100,"vw","tu"))</f>
        <v>vw</v>
      </c>
      <c r="K100" s="564">
        <v>1</v>
      </c>
      <c r="L100" s="564"/>
      <c r="M100" s="564"/>
      <c r="O100" s="564"/>
      <c r="P100" s="564"/>
    </row>
    <row r="102" spans="2:2" ht="12.75">
      <c r="B102" s="534" t="s">
        <v>92</v>
      </c>
    </row>
    <row r="103" spans="5:16" ht="12.75">
      <c r="E103" s="538" t="s">
        <v>93</v>
      </c>
      <c r="F103" s="561">
        <f>IF(INDEX(J103:Q103,$I$4)="",INDEX(J103:P103,$I$6),INDEX(J103:Q103,$I$4))</f>
        <v>0</v>
      </c>
      <c r="G103" s="539" t="s">
        <v>30</v>
      </c>
      <c r="H103" s="539"/>
      <c r="I103" s="559" t="str">
        <f>IF(INDEX(J103:Q103,I$5)="",IF(INDEX(J103:Q103,I$6)=F103,"vw","tu"),IF(INDEX(J103:Q103,I$5)=F103,"vw","tu"))</f>
        <v>vw</v>
      </c>
      <c r="K103" s="562">
        <v>0</v>
      </c>
      <c r="L103" s="562"/>
      <c r="M103" s="562"/>
      <c r="O103" s="562"/>
      <c r="P103" s="562"/>
    </row>
    <row r="104" spans="5:16" ht="12.75">
      <c r="E104" s="538" t="s">
        <v>94</v>
      </c>
      <c r="F104" s="565">
        <f>IF(INDEX(J104:Q104,$I$4)="",INDEX(J104:P104,$I$6),INDEX(J104:Q104,$I$4))</f>
        <v>1.1499999999999999</v>
      </c>
      <c r="G104" s="548" t="s">
        <v>68</v>
      </c>
      <c r="H104" s="548"/>
      <c r="I104" s="559" t="str">
        <f>IF(INDEX(J104:Q104,I$5)="",IF(INDEX(J104:Q104,I$6)=F104,"vw","tu"),IF(INDEX(J104:Q104,I$5)=F104,"vw","tu"))</f>
        <v>vw</v>
      </c>
      <c r="K104" s="566">
        <v>1.15</v>
      </c>
      <c r="L104" s="566"/>
      <c r="M104" s="566"/>
      <c r="O104" s="566"/>
      <c r="P104" s="566"/>
    </row>
    <row r="105" spans="5:16" ht="12.75">
      <c r="E105" s="538" t="s">
        <v>95</v>
      </c>
      <c r="F105" s="563">
        <f>IF(INDEX(J105:Q105,$I$4)="",INDEX(J105:P105,$I$6),INDEX(J105:Q105,$I$4))</f>
        <v>0</v>
      </c>
      <c r="G105" s="550" t="s">
        <v>35</v>
      </c>
      <c r="H105" s="550"/>
      <c r="I105" s="559" t="str">
        <f>IF(INDEX(J105:Q105,I$5)="",IF(INDEX(J105:Q105,I$6)=F105,"vw","tu"),IF(INDEX(J105:Q105,I$5)=F105,"vw","tu"))</f>
        <v>vw</v>
      </c>
      <c r="K105" s="564">
        <v>0</v>
      </c>
      <c r="L105" s="564"/>
      <c r="M105" s="564"/>
      <c r="O105" s="564"/>
      <c r="P105" s="564"/>
    </row>
    <row r="106" spans="5:16" ht="12.75">
      <c r="E106" s="538" t="s">
        <v>96</v>
      </c>
      <c r="F106" s="561">
        <f>IF(INDEX(J106:Q106,$I$4)="",INDEX(J106:P106,$I$6),INDEX(J106:Q106,$I$4))</f>
        <v>1</v>
      </c>
      <c r="G106" s="539" t="s">
        <v>72</v>
      </c>
      <c r="H106" s="539"/>
      <c r="I106" s="559" t="str">
        <f>IF(INDEX(J106:Q106,I$5)="",IF(INDEX(J106:Q106,I$6)=F106,"vw","tu"),IF(INDEX(J106:Q106,I$5)=F106,"vw","tu"))</f>
        <v>vw</v>
      </c>
      <c r="K106" s="562">
        <v>1</v>
      </c>
      <c r="L106" s="562"/>
      <c r="M106" s="562"/>
      <c r="O106" s="562"/>
      <c r="P106" s="562"/>
    </row>
    <row r="108" spans="2:2" ht="12.75">
      <c r="B108" s="534" t="s">
        <v>97</v>
      </c>
    </row>
    <row r="109" spans="5:16" ht="12.75">
      <c r="E109" s="538" t="s">
        <v>98</v>
      </c>
      <c r="F109" s="563">
        <f>IF(INDEX(J109:Q109,$I$4)="",INDEX(J109:P109,$I$6),INDEX(J109:Q109,$I$4))</f>
        <v>0.80000000000000004</v>
      </c>
      <c r="G109" s="550" t="s">
        <v>35</v>
      </c>
      <c r="H109" s="550"/>
      <c r="I109" s="559" t="str">
        <f>IF(INDEX(J109:Q109,I$5)="",IF(INDEX(J109:Q109,I$6)=F109,"vw","tu"),IF(INDEX(J109:Q109,I$5)=F109,"vw","tu"))</f>
        <v>vw</v>
      </c>
      <c r="K109" s="564">
        <v>0.80</v>
      </c>
      <c r="L109" s="564"/>
      <c r="M109" s="564"/>
      <c r="O109" s="564"/>
      <c r="P109" s="564"/>
    </row>
    <row r="110" spans="5:16" ht="12.75">
      <c r="E110" s="538" t="s">
        <v>99</v>
      </c>
      <c r="F110" s="563">
        <f>IF(INDEX(J110:Q110,$I$4)="",INDEX(J110:P110,$I$6),INDEX(J110:Q110,$I$4))</f>
        <v>0.070000000000000007</v>
      </c>
      <c r="G110" s="550" t="s">
        <v>53</v>
      </c>
      <c r="H110" s="550"/>
      <c r="I110" s="559" t="str">
        <f>IF(INDEX(J110:Q110,I$5)="",IF(INDEX(J110:Q110,I$6)=F110,"vw","tu"),IF(INDEX(J110:Q110,I$5)=F110,"vw","tu"))</f>
        <v>vw</v>
      </c>
      <c r="K110" s="564">
        <v>0.07</v>
      </c>
      <c r="L110" s="564"/>
      <c r="M110" s="564"/>
      <c r="O110" s="564"/>
      <c r="P110" s="564"/>
    </row>
    <row r="111" spans="5:16" ht="12.75">
      <c r="E111" s="538" t="s">
        <v>100</v>
      </c>
      <c r="F111" s="561">
        <f>IF(INDEX(J111:Q111,$I$4)="",INDEX(J111:P111,$I$6),INDEX(J111:Q111,$I$4))</f>
        <v>1</v>
      </c>
      <c r="G111" s="539" t="s">
        <v>72</v>
      </c>
      <c r="H111" s="539"/>
      <c r="I111" s="559" t="str">
        <f>IF(INDEX(J111:Q111,I$5)="",IF(INDEX(J111:Q111,I$6)=F111,"vw","tu"),IF(INDEX(J111:Q111,I$5)=F111,"vw","tu"))</f>
        <v>vw</v>
      </c>
      <c r="K111" s="562">
        <v>1</v>
      </c>
      <c r="L111" s="562"/>
      <c r="M111" s="562"/>
      <c r="O111" s="562"/>
      <c r="P111" s="562"/>
    </row>
    <row r="112" spans="5:16" ht="12.75">
      <c r="E112" s="538" t="s">
        <v>101</v>
      </c>
      <c r="F112" s="563">
        <f>IF(INDEX(J112:Q112,$I$4)="",INDEX(J112:P112,$I$6),INDEX(J112:Q112,$I$4))</f>
        <v>0.080000000000000002</v>
      </c>
      <c r="G112" s="550" t="s">
        <v>53</v>
      </c>
      <c r="H112" s="550"/>
      <c r="I112" s="559" t="str">
        <f>IF(INDEX(J112:Q112,I$5)="",IF(INDEX(J112:Q112,I$6)=F112,"vw","tu"),IF(INDEX(J112:Q112,I$5)=F112,"vw","tu"))</f>
        <v>vw</v>
      </c>
      <c r="K112" s="564">
        <v>0.08</v>
      </c>
      <c r="L112" s="564"/>
      <c r="M112" s="564"/>
      <c r="O112" s="564"/>
      <c r="P112" s="564"/>
    </row>
    <row r="115" spans="1:1" ht="12.75">
      <c r="A115" s="534" t="s">
        <v>102</v>
      </c>
    </row>
    <row r="117" spans="2:2" ht="12.75">
      <c r="B117" s="534" t="s">
        <v>103</v>
      </c>
    </row>
    <row r="118" spans="5:16" ht="12.75">
      <c r="E118" s="538" t="s">
        <v>104</v>
      </c>
      <c r="F118" s="563">
        <f>IF(INDEX(J118:Q118,$I$4)="",INDEX(J118:P118,$I$6),INDEX(J118:Q118,$I$4))</f>
        <v>0.25</v>
      </c>
      <c r="G118" s="550" t="s">
        <v>35</v>
      </c>
      <c r="H118" s="550"/>
      <c r="I118" s="559" t="str">
        <f>IF(INDEX(J118:Q118,I$5)="",IF(INDEX(J118:Q118,I$6)=F118,"vw","tu"),IF(INDEX(J118:Q118,I$5)=F118,"vw","tu"))</f>
        <v>vw</v>
      </c>
      <c r="K118" s="564">
        <v>0.25</v>
      </c>
      <c r="L118" s="564"/>
      <c r="M118" s="564"/>
      <c r="O118" s="564"/>
      <c r="P118" s="564"/>
    </row>
    <row r="119" spans="5:16" ht="12.75">
      <c r="E119" s="538" t="s">
        <v>105</v>
      </c>
      <c r="F119" s="563">
        <f>IF(INDEX(J119:Q119,$I$4)="",INDEX(J119:P119,$I$6),INDEX(J119:Q119,$I$4))</f>
        <v>0.29999999999999999</v>
      </c>
      <c r="G119" s="550" t="s">
        <v>35</v>
      </c>
      <c r="H119" s="550"/>
      <c r="I119" s="559" t="str">
        <f>IF(INDEX(J119:Q119,I$5)="",IF(INDEX(J119:Q119,I$6)=F119,"vw","tu"),IF(INDEX(J119:Q119,I$5)=F119,"vw","tu"))</f>
        <v>vw</v>
      </c>
      <c r="K119" s="564">
        <v>0.30</v>
      </c>
      <c r="L119" s="564"/>
      <c r="M119" s="564"/>
      <c r="O119" s="564"/>
      <c r="P119" s="564"/>
    </row>
    <row r="120" spans="5:16" ht="12.75">
      <c r="E120" s="538" t="s">
        <v>106</v>
      </c>
      <c r="F120" s="561">
        <f>IF(INDEX(J120:Q120,$I$4)="",INDEX(J120:P120,$I$6),INDEX(J120:Q120,$I$4))</f>
        <v>8</v>
      </c>
      <c r="G120" s="539" t="s">
        <v>26</v>
      </c>
      <c r="H120" s="539"/>
      <c r="I120" s="559" t="str">
        <f>IF(INDEX(J120:Q120,I$5)="",IF(INDEX(J120:Q120,I$6)=F120,"vw","tu"),IF(INDEX(J120:Q120,I$5)=F120,"vw","tu"))</f>
        <v>vw</v>
      </c>
      <c r="K120" s="562">
        <v>8</v>
      </c>
      <c r="L120" s="562"/>
      <c r="M120" s="562"/>
      <c r="O120" s="562"/>
      <c r="P120" s="562"/>
    </row>
    <row r="121" spans="5:16" ht="12.75">
      <c r="E121" s="538" t="s">
        <v>107</v>
      </c>
      <c r="F121" s="563">
        <f>IF(INDEX(J121:Q121,$I$4)="",INDEX(J121:P121,$I$6),INDEX(J121:Q121,$I$4))</f>
        <v>0.69999999999999996</v>
      </c>
      <c r="G121" s="550" t="s">
        <v>35</v>
      </c>
      <c r="H121" s="550"/>
      <c r="I121" s="559" t="str">
        <f>IF(INDEX(J121:Q121,I$5)="",IF(INDEX(J121:Q121,I$6)=F121,"vw","tu"),IF(INDEX(J121:Q121,I$5)=F121,"vw","tu"))</f>
        <v>vw</v>
      </c>
      <c r="K121" s="564">
        <v>0.70</v>
      </c>
      <c r="L121" s="564"/>
      <c r="M121" s="564"/>
      <c r="O121" s="564"/>
      <c r="P121" s="564"/>
    </row>
    <row r="124" spans="1:17" ht="12.75">
      <c r="A124" s="567" t="s">
        <v>108</v>
      </c>
      <c r="B124" s="545"/>
      <c r="C124" s="545"/>
      <c r="D124" s="545"/>
      <c r="E124" s="545"/>
      <c r="F124" s="545"/>
      <c r="G124" s="545"/>
      <c r="H124" s="545"/>
      <c r="I124" s="545"/>
      <c r="J124" s="545"/>
      <c r="K124" s="545"/>
      <c r="L124" s="545"/>
      <c r="M124" s="545"/>
      <c r="N124" s="545"/>
      <c r="O124" s="545"/>
      <c r="P124" s="545"/>
      <c r="Q124" s="545"/>
    </row>
    <row r="126" spans="5:7" ht="12.75">
      <c r="E126" s="538" t="s">
        <v>109</v>
      </c>
      <c r="F126" s="562">
        <v>12</v>
      </c>
      <c r="G126" s="539" t="s">
        <v>17</v>
      </c>
    </row>
    <row r="127" spans="5:7" ht="12.75">
      <c r="E127" s="538" t="s">
        <v>110</v>
      </c>
      <c r="F127" s="562">
        <v>365</v>
      </c>
      <c r="G127" s="539" t="s">
        <v>59</v>
      </c>
    </row>
    <row r="128" spans="5:7" ht="12.75">
      <c r="E128" s="538" t="s">
        <v>111</v>
      </c>
      <c r="F128" s="562">
        <v>0.001</v>
      </c>
      <c r="G128" s="539" t="s">
        <v>30</v>
      </c>
    </row>
    <row r="129" spans="5:7" ht="12.75">
      <c r="E129" s="538" t="s">
        <v>112</v>
      </c>
      <c r="F129" s="562">
        <v>1E-08</v>
      </c>
      <c r="G129" s="539" t="s">
        <v>30</v>
      </c>
    </row>
    <row r="130" spans="5:7" ht="12.75">
      <c r="E130" s="538" t="s">
        <v>113</v>
      </c>
      <c r="F130" s="562">
        <v>-9.9999999999999995E-07</v>
      </c>
      <c r="G130" s="539" t="s">
        <v>30</v>
      </c>
    </row>
    <row r="132" spans="2:2" ht="12.75">
      <c r="B132" s="534" t="s">
        <v>114</v>
      </c>
    </row>
    <row r="133" spans="5:7" ht="12.75">
      <c r="E133" s="538" t="s">
        <v>115</v>
      </c>
      <c r="F133" s="562">
        <v>1</v>
      </c>
      <c r="G133" s="539" t="s">
        <v>72</v>
      </c>
    </row>
    <row r="134" spans="5:7" ht="12.75">
      <c r="E134" s="538" t="s">
        <v>116</v>
      </c>
      <c r="F134" s="562">
        <v>2</v>
      </c>
      <c r="G134" s="539" t="s">
        <v>72</v>
      </c>
    </row>
    <row r="135" spans="5:7" ht="12.75">
      <c r="E135" s="538" t="s">
        <v>117</v>
      </c>
      <c r="F135" s="562">
        <v>3</v>
      </c>
      <c r="G135" s="539" t="s">
        <v>72</v>
      </c>
    </row>
    <row r="137" spans="2:2" ht="12.75">
      <c r="B137" s="534" t="s">
        <v>118</v>
      </c>
    </row>
    <row r="138" spans="5:7" ht="12.75">
      <c r="E138" s="538" t="s">
        <v>119</v>
      </c>
      <c r="F138" s="562">
        <v>1</v>
      </c>
      <c r="G138" s="539" t="s">
        <v>72</v>
      </c>
    </row>
    <row r="139" spans="5:7" ht="12.75">
      <c r="E139" s="538" t="s">
        <v>120</v>
      </c>
      <c r="F139" s="562">
        <v>2</v>
      </c>
      <c r="G139" s="539" t="s">
        <v>72</v>
      </c>
    </row>
    <row r="141" spans="2:2" ht="12.75">
      <c r="B141" s="534" t="s">
        <v>121</v>
      </c>
    </row>
    <row r="142" spans="5:7" ht="12.75">
      <c r="E142" s="538" t="s">
        <v>122</v>
      </c>
      <c r="F142" s="562">
        <v>0</v>
      </c>
      <c r="G142" s="539" t="s">
        <v>72</v>
      </c>
    </row>
    <row r="143" spans="5:7" ht="12.75">
      <c r="E143" s="538" t="s">
        <v>123</v>
      </c>
      <c r="F143" s="562">
        <v>1</v>
      </c>
      <c r="G143" s="539" t="s">
        <v>72</v>
      </c>
    </row>
    <row r="145" spans="2:2" ht="12.75">
      <c r="B145" s="534" t="s">
        <v>124</v>
      </c>
    </row>
    <row r="146" spans="5:7" ht="12.75">
      <c r="E146" s="538" t="s">
        <v>125</v>
      </c>
      <c r="F146" s="562">
        <v>0</v>
      </c>
      <c r="G146" s="539" t="s">
        <v>72</v>
      </c>
    </row>
    <row r="147" spans="5:7" ht="12.75">
      <c r="E147" s="538" t="s">
        <v>126</v>
      </c>
      <c r="F147" s="562">
        <v>1</v>
      </c>
      <c r="G147" s="539" t="s">
        <v>72</v>
      </c>
    </row>
    <row r="149" spans="2:2" ht="12.75">
      <c r="B149" s="534" t="s">
        <v>127</v>
      </c>
    </row>
    <row r="150" spans="5:7" ht="12.75">
      <c r="E150" s="538" t="s">
        <v>128</v>
      </c>
      <c r="F150" s="562">
        <v>0</v>
      </c>
      <c r="G150" s="539" t="s">
        <v>72</v>
      </c>
    </row>
    <row r="151" spans="5:7" ht="12.75">
      <c r="E151" s="538" t="s">
        <v>129</v>
      </c>
      <c r="F151" s="562">
        <v>1</v>
      </c>
      <c r="G151" s="539" t="s">
        <v>72</v>
      </c>
    </row>
    <row r="153" spans="2:2" ht="12.75">
      <c r="B153" s="534" t="s">
        <v>130</v>
      </c>
    </row>
    <row r="154" spans="5:7" ht="12.75">
      <c r="E154" s="538" t="s">
        <v>131</v>
      </c>
      <c r="F154" s="562" t="s">
        <v>132</v>
      </c>
      <c r="G154" s="539" t="s">
        <v>133</v>
      </c>
    </row>
    <row r="155" spans="5:7" ht="12.75">
      <c r="E155" s="538" t="s">
        <v>134</v>
      </c>
      <c r="F155" s="562" t="s">
        <v>135</v>
      </c>
      <c r="G155" s="539" t="s">
        <v>133</v>
      </c>
    </row>
    <row r="156" spans="5:7" ht="12.75">
      <c r="E156" s="538" t="s">
        <v>136</v>
      </c>
      <c r="F156" s="562" t="s">
        <v>136</v>
      </c>
      <c r="G156" s="539" t="s">
        <v>133</v>
      </c>
    </row>
    <row r="157" spans="5:7" ht="12.75">
      <c r="E157" s="538" t="s">
        <v>137</v>
      </c>
      <c r="F157" s="562" t="s">
        <v>137</v>
      </c>
      <c r="G157" s="539" t="s">
        <v>133</v>
      </c>
    </row>
    <row r="158" spans="5:7" ht="12.75">
      <c r="E158" s="538" t="s">
        <v>138</v>
      </c>
      <c r="F158" s="562" t="s">
        <v>138</v>
      </c>
      <c r="G158" s="539" t="s">
        <v>133</v>
      </c>
    </row>
  </sheetData>
  <conditionalFormatting sqref="I13:I14">
    <cfRule type="cellIs" priority="1" dxfId="254" operator="equal">
      <formula>"tu"</formula>
    </cfRule>
  </conditionalFormatting>
  <conditionalFormatting sqref="O13:P14">
    <cfRule type="cellIs" priority="2" dxfId="259" operator="equal">
      <formula>""</formula>
    </cfRule>
  </conditionalFormatting>
  <conditionalFormatting sqref="I15:I18">
    <cfRule type="cellIs" priority="3" dxfId="254" operator="equal">
      <formula>"tu"</formula>
    </cfRule>
  </conditionalFormatting>
  <conditionalFormatting sqref="O15:P18">
    <cfRule type="cellIs" priority="4" dxfId="259" operator="equal">
      <formula>""</formula>
    </cfRule>
  </conditionalFormatting>
  <conditionalFormatting sqref="I19">
    <cfRule type="cellIs" priority="5" dxfId="254" operator="equal">
      <formula>"tu"</formula>
    </cfRule>
  </conditionalFormatting>
  <conditionalFormatting sqref="O19:P19">
    <cfRule type="cellIs" priority="6" dxfId="259" operator="equal">
      <formula>""</formula>
    </cfRule>
  </conditionalFormatting>
  <conditionalFormatting sqref="I20:I21">
    <cfRule type="cellIs" priority="7" dxfId="254" operator="equal">
      <formula>"tu"</formula>
    </cfRule>
  </conditionalFormatting>
  <conditionalFormatting sqref="O20:P21">
    <cfRule type="cellIs" priority="8" dxfId="259" operator="equal">
      <formula>""</formula>
    </cfRule>
  </conditionalFormatting>
  <conditionalFormatting sqref="I27:I30">
    <cfRule type="cellIs" priority="9" dxfId="254" operator="equal">
      <formula>"tu"</formula>
    </cfRule>
  </conditionalFormatting>
  <conditionalFormatting sqref="O27:P30">
    <cfRule type="cellIs" priority="10" dxfId="259" operator="equal">
      <formula>""</formula>
    </cfRule>
  </conditionalFormatting>
  <conditionalFormatting sqref="I31">
    <cfRule type="cellIs" priority="11" dxfId="254" operator="equal">
      <formula>"tu"</formula>
    </cfRule>
  </conditionalFormatting>
  <conditionalFormatting sqref="O31:P31">
    <cfRule type="cellIs" priority="12" dxfId="259" operator="equal">
      <formula>""</formula>
    </cfRule>
  </conditionalFormatting>
  <conditionalFormatting sqref="I32:I33">
    <cfRule type="cellIs" priority="13" dxfId="254" operator="equal">
      <formula>"tu"</formula>
    </cfRule>
  </conditionalFormatting>
  <conditionalFormatting sqref="O32:P33">
    <cfRule type="cellIs" priority="14" dxfId="259" operator="equal">
      <formula>""</formula>
    </cfRule>
  </conditionalFormatting>
  <conditionalFormatting sqref="I39:I40">
    <cfRule type="cellIs" priority="15" dxfId="254" operator="equal">
      <formula>"tu"</formula>
    </cfRule>
  </conditionalFormatting>
  <conditionalFormatting sqref="O39:P40">
    <cfRule type="cellIs" priority="16" dxfId="259" operator="equal">
      <formula>""</formula>
    </cfRule>
  </conditionalFormatting>
  <conditionalFormatting sqref="I43">
    <cfRule type="cellIs" priority="17" dxfId="254" operator="equal">
      <formula>"tu"</formula>
    </cfRule>
  </conditionalFormatting>
  <conditionalFormatting sqref="O43:P43">
    <cfRule type="cellIs" priority="18" dxfId="259" operator="equal">
      <formula>""</formula>
    </cfRule>
  </conditionalFormatting>
  <conditionalFormatting sqref="I44">
    <cfRule type="cellIs" priority="19" dxfId="254" operator="equal">
      <formula>"tu"</formula>
    </cfRule>
  </conditionalFormatting>
  <conditionalFormatting sqref="O44:P44">
    <cfRule type="cellIs" priority="20" dxfId="259" operator="equal">
      <formula>""</formula>
    </cfRule>
  </conditionalFormatting>
  <conditionalFormatting sqref="I47:I48">
    <cfRule type="cellIs" priority="21" dxfId="254" operator="equal">
      <formula>"tu"</formula>
    </cfRule>
  </conditionalFormatting>
  <conditionalFormatting sqref="O47:P48">
    <cfRule type="cellIs" priority="22" dxfId="259" operator="equal">
      <formula>""</formula>
    </cfRule>
  </conditionalFormatting>
  <conditionalFormatting sqref="I49:I50">
    <cfRule type="cellIs" priority="23" dxfId="254" operator="equal">
      <formula>"tu"</formula>
    </cfRule>
  </conditionalFormatting>
  <conditionalFormatting sqref="O49:P50">
    <cfRule type="cellIs" priority="24" dxfId="259" operator="equal">
      <formula>""</formula>
    </cfRule>
  </conditionalFormatting>
  <conditionalFormatting sqref="I53">
    <cfRule type="cellIs" priority="25" dxfId="254" operator="equal">
      <formula>"tu"</formula>
    </cfRule>
  </conditionalFormatting>
  <conditionalFormatting sqref="O53:P53">
    <cfRule type="cellIs" priority="26" dxfId="259" operator="equal">
      <formula>""</formula>
    </cfRule>
  </conditionalFormatting>
  <conditionalFormatting sqref="I54:I57">
    <cfRule type="cellIs" priority="27" dxfId="254" operator="equal">
      <formula>"tu"</formula>
    </cfRule>
  </conditionalFormatting>
  <conditionalFormatting sqref="O54:P57">
    <cfRule type="cellIs" priority="28" dxfId="259" operator="equal">
      <formula>""</formula>
    </cfRule>
  </conditionalFormatting>
  <conditionalFormatting sqref="I60:I61">
    <cfRule type="cellIs" priority="29" dxfId="254" operator="equal">
      <formula>"tu"</formula>
    </cfRule>
  </conditionalFormatting>
  <conditionalFormatting sqref="O60:P61">
    <cfRule type="cellIs" priority="30" dxfId="259" operator="equal">
      <formula>""</formula>
    </cfRule>
  </conditionalFormatting>
  <conditionalFormatting sqref="I67">
    <cfRule type="cellIs" priority="31" dxfId="254" operator="equal">
      <formula>"tu"</formula>
    </cfRule>
  </conditionalFormatting>
  <conditionalFormatting sqref="O67:P67">
    <cfRule type="cellIs" priority="32" dxfId="259" operator="equal">
      <formula>""</formula>
    </cfRule>
  </conditionalFormatting>
  <conditionalFormatting sqref="I68">
    <cfRule type="cellIs" priority="33" dxfId="254" operator="equal">
      <formula>"tu"</formula>
    </cfRule>
  </conditionalFormatting>
  <conditionalFormatting sqref="O68:P68">
    <cfRule type="cellIs" priority="34" dxfId="259" operator="equal">
      <formula>""</formula>
    </cfRule>
  </conditionalFormatting>
  <conditionalFormatting sqref="I74">
    <cfRule type="cellIs" priority="35" dxfId="254" operator="equal">
      <formula>"tu"</formula>
    </cfRule>
  </conditionalFormatting>
  <conditionalFormatting sqref="O74:P74">
    <cfRule type="cellIs" priority="36" dxfId="259" operator="equal">
      <formula>""</formula>
    </cfRule>
  </conditionalFormatting>
  <conditionalFormatting sqref="I75">
    <cfRule type="cellIs" priority="37" dxfId="254" operator="equal">
      <formula>"tu"</formula>
    </cfRule>
  </conditionalFormatting>
  <conditionalFormatting sqref="O75:P75">
    <cfRule type="cellIs" priority="38" dxfId="259" operator="equal">
      <formula>""</formula>
    </cfRule>
  </conditionalFormatting>
  <conditionalFormatting sqref="I76">
    <cfRule type="cellIs" priority="39" dxfId="254" operator="equal">
      <formula>"tu"</formula>
    </cfRule>
  </conditionalFormatting>
  <conditionalFormatting sqref="O76:P76">
    <cfRule type="cellIs" priority="40" dxfId="259" operator="equal">
      <formula>""</formula>
    </cfRule>
  </conditionalFormatting>
  <conditionalFormatting sqref="I77">
    <cfRule type="cellIs" priority="41" dxfId="254" operator="equal">
      <formula>"tu"</formula>
    </cfRule>
  </conditionalFormatting>
  <conditionalFormatting sqref="O77:P77">
    <cfRule type="cellIs" priority="42" dxfId="259" operator="equal">
      <formula>""</formula>
    </cfRule>
  </conditionalFormatting>
  <conditionalFormatting sqref="I78:I79">
    <cfRule type="cellIs" priority="43" dxfId="254" operator="equal">
      <formula>"tu"</formula>
    </cfRule>
  </conditionalFormatting>
  <conditionalFormatting sqref="O78:P79">
    <cfRule type="cellIs" priority="44" dxfId="259" operator="equal">
      <formula>""</formula>
    </cfRule>
  </conditionalFormatting>
  <conditionalFormatting sqref="I82">
    <cfRule type="cellIs" priority="45" dxfId="254" operator="equal">
      <formula>"tu"</formula>
    </cfRule>
  </conditionalFormatting>
  <conditionalFormatting sqref="O82:P82">
    <cfRule type="cellIs" priority="46" dxfId="259" operator="equal">
      <formula>""</formula>
    </cfRule>
  </conditionalFormatting>
  <conditionalFormatting sqref="I83">
    <cfRule type="cellIs" priority="47" dxfId="254" operator="equal">
      <formula>"tu"</formula>
    </cfRule>
  </conditionalFormatting>
  <conditionalFormatting sqref="O83:P83">
    <cfRule type="cellIs" priority="48" dxfId="259" operator="equal">
      <formula>""</formula>
    </cfRule>
  </conditionalFormatting>
  <conditionalFormatting sqref="I86">
    <cfRule type="cellIs" priority="49" dxfId="254" operator="equal">
      <formula>"tu"</formula>
    </cfRule>
  </conditionalFormatting>
  <conditionalFormatting sqref="O86:P86">
    <cfRule type="cellIs" priority="50" dxfId="259" operator="equal">
      <formula>""</formula>
    </cfRule>
  </conditionalFormatting>
  <conditionalFormatting sqref="I87">
    <cfRule type="cellIs" priority="51" dxfId="254" operator="equal">
      <formula>"tu"</formula>
    </cfRule>
  </conditionalFormatting>
  <conditionalFormatting sqref="O87:P87">
    <cfRule type="cellIs" priority="52" dxfId="259" operator="equal">
      <formula>""</formula>
    </cfRule>
  </conditionalFormatting>
  <conditionalFormatting sqref="I88">
    <cfRule type="cellIs" priority="53" dxfId="254" operator="equal">
      <formula>"tu"</formula>
    </cfRule>
  </conditionalFormatting>
  <conditionalFormatting sqref="O88:P88">
    <cfRule type="cellIs" priority="54" dxfId="259" operator="equal">
      <formula>""</formula>
    </cfRule>
  </conditionalFormatting>
  <conditionalFormatting sqref="I91:I92">
    <cfRule type="cellIs" priority="55" dxfId="254" operator="equal">
      <formula>"tu"</formula>
    </cfRule>
  </conditionalFormatting>
  <conditionalFormatting sqref="O91:P92">
    <cfRule type="cellIs" priority="56" dxfId="259" operator="equal">
      <formula>""</formula>
    </cfRule>
  </conditionalFormatting>
  <conditionalFormatting sqref="I93">
    <cfRule type="cellIs" priority="57" dxfId="254" operator="equal">
      <formula>"tu"</formula>
    </cfRule>
  </conditionalFormatting>
  <conditionalFormatting sqref="O93:P93">
    <cfRule type="cellIs" priority="58" dxfId="259" operator="equal">
      <formula>""</formula>
    </cfRule>
  </conditionalFormatting>
  <conditionalFormatting sqref="I96:I97">
    <cfRule type="cellIs" priority="59" dxfId="254" operator="equal">
      <formula>"tu"</formula>
    </cfRule>
  </conditionalFormatting>
  <conditionalFormatting sqref="O96:P97">
    <cfRule type="cellIs" priority="60" dxfId="259" operator="equal">
      <formula>""</formula>
    </cfRule>
  </conditionalFormatting>
  <conditionalFormatting sqref="I98">
    <cfRule type="cellIs" priority="61" dxfId="254" operator="equal">
      <formula>"tu"</formula>
    </cfRule>
  </conditionalFormatting>
  <conditionalFormatting sqref="O98:P98">
    <cfRule type="cellIs" priority="62" dxfId="259" operator="equal">
      <formula>""</formula>
    </cfRule>
  </conditionalFormatting>
  <conditionalFormatting sqref="I99">
    <cfRule type="cellIs" priority="63" dxfId="254" operator="equal">
      <formula>"tu"</formula>
    </cfRule>
  </conditionalFormatting>
  <conditionalFormatting sqref="O99:P99">
    <cfRule type="cellIs" priority="64" dxfId="259" operator="equal">
      <formula>""</formula>
    </cfRule>
  </conditionalFormatting>
  <conditionalFormatting sqref="I100">
    <cfRule type="cellIs" priority="65" dxfId="254" operator="equal">
      <formula>"tu"</formula>
    </cfRule>
  </conditionalFormatting>
  <conditionalFormatting sqref="O100:P100">
    <cfRule type="cellIs" priority="66" dxfId="259" operator="equal">
      <formula>""</formula>
    </cfRule>
  </conditionalFormatting>
  <conditionalFormatting sqref="I103">
    <cfRule type="cellIs" priority="67" dxfId="254" operator="equal">
      <formula>"tu"</formula>
    </cfRule>
  </conditionalFormatting>
  <conditionalFormatting sqref="O103:P103">
    <cfRule type="cellIs" priority="68" dxfId="259" operator="equal">
      <formula>""</formula>
    </cfRule>
  </conditionalFormatting>
  <conditionalFormatting sqref="I104">
    <cfRule type="cellIs" priority="69" dxfId="254" operator="equal">
      <formula>"tu"</formula>
    </cfRule>
  </conditionalFormatting>
  <conditionalFormatting sqref="O104:P104">
    <cfRule type="cellIs" priority="70" dxfId="259" operator="equal">
      <formula>""</formula>
    </cfRule>
  </conditionalFormatting>
  <conditionalFormatting sqref="I105">
    <cfRule type="cellIs" priority="71" dxfId="254" operator="equal">
      <formula>"tu"</formula>
    </cfRule>
  </conditionalFormatting>
  <conditionalFormatting sqref="O105:P105">
    <cfRule type="cellIs" priority="72" dxfId="259" operator="equal">
      <formula>""</formula>
    </cfRule>
  </conditionalFormatting>
  <conditionalFormatting sqref="I106">
    <cfRule type="cellIs" priority="73" dxfId="254" operator="equal">
      <formula>"tu"</formula>
    </cfRule>
  </conditionalFormatting>
  <conditionalFormatting sqref="O106:P106">
    <cfRule type="cellIs" priority="74" dxfId="259" operator="equal">
      <formula>""</formula>
    </cfRule>
  </conditionalFormatting>
  <conditionalFormatting sqref="I109:I110">
    <cfRule type="cellIs" priority="75" dxfId="254" operator="equal">
      <formula>"tu"</formula>
    </cfRule>
  </conditionalFormatting>
  <conditionalFormatting sqref="O109:P110">
    <cfRule type="cellIs" priority="76" dxfId="259" operator="equal">
      <formula>""</formula>
    </cfRule>
  </conditionalFormatting>
  <conditionalFormatting sqref="I111">
    <cfRule type="cellIs" priority="77" dxfId="254" operator="equal">
      <formula>"tu"</formula>
    </cfRule>
  </conditionalFormatting>
  <conditionalFormatting sqref="O111:P111">
    <cfRule type="cellIs" priority="78" dxfId="259" operator="equal">
      <formula>""</formula>
    </cfRule>
  </conditionalFormatting>
  <conditionalFormatting sqref="I112">
    <cfRule type="cellIs" priority="79" dxfId="254" operator="equal">
      <formula>"tu"</formula>
    </cfRule>
  </conditionalFormatting>
  <conditionalFormatting sqref="O112:P112">
    <cfRule type="cellIs" priority="80" dxfId="259" operator="equal">
      <formula>""</formula>
    </cfRule>
  </conditionalFormatting>
  <conditionalFormatting sqref="I118:I119">
    <cfRule type="cellIs" priority="81" dxfId="254" operator="equal">
      <formula>"tu"</formula>
    </cfRule>
  </conditionalFormatting>
  <conditionalFormatting sqref="O118:P119">
    <cfRule type="cellIs" priority="82" dxfId="259" operator="equal">
      <formula>""</formula>
    </cfRule>
  </conditionalFormatting>
  <conditionalFormatting sqref="I120">
    <cfRule type="cellIs" priority="83" dxfId="254" operator="equal">
      <formula>"tu"</formula>
    </cfRule>
  </conditionalFormatting>
  <conditionalFormatting sqref="O120:P120">
    <cfRule type="cellIs" priority="84" dxfId="259" operator="equal">
      <formula>""</formula>
    </cfRule>
  </conditionalFormatting>
  <conditionalFormatting sqref="I121">
    <cfRule type="cellIs" priority="85" dxfId="254" operator="equal">
      <formula>"tu"</formula>
    </cfRule>
  </conditionalFormatting>
  <conditionalFormatting sqref="O121:P121">
    <cfRule type="cellIs" priority="86" dxfId="259" operator="equal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0">
    <tabColor rgb="FFFFFF99"/>
    <outlinePr summaryBelow="0" summaryRight="0"/>
  </sheetPr>
  <dimension ref="A1:RL17"/>
  <sheetViews>
    <sheetView showGridLines="0" defaultGridColor="0" zoomScale="85" zoomScaleNormal="85" colorId="8" workbookViewId="0" topLeftCell="A1">
      <pane xSplit="9" ySplit="5" topLeftCell="QV6" activePane="bottomRight" state="frozen"/>
      <selection pane="topLeft" activeCell="G68" sqref="G68"/>
      <selection pane="bottomLeft" activeCell="G68" sqref="G68"/>
      <selection pane="topRight" activeCell="G68" sqref="G6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InpS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145</v>
      </c>
    </row>
    <row r="9" spans="5:137" ht="12.75">
      <c r="E9" s="538" t="s">
        <v>146</v>
      </c>
      <c r="G9" s="550" t="s">
        <v>35</v>
      </c>
      <c r="H9" s="550">
        <f>SUM(J9:EG9)</f>
        <v>1</v>
      </c>
      <c r="J9" s="568">
        <v>0</v>
      </c>
      <c r="K9" s="568">
        <v>0</v>
      </c>
      <c r="L9" s="568">
        <v>0</v>
      </c>
      <c r="M9" s="568">
        <v>0.01171875</v>
      </c>
      <c r="N9" s="568">
        <v>0.01953125</v>
      </c>
      <c r="O9" s="568">
        <v>0.02734375</v>
      </c>
      <c r="P9" s="568">
        <v>0.03515625</v>
      </c>
      <c r="Q9" s="568">
        <v>0.04296875</v>
      </c>
      <c r="R9" s="568">
        <v>0.05078125</v>
      </c>
      <c r="S9" s="568">
        <v>0.05859375</v>
      </c>
      <c r="T9" s="568">
        <v>0.06640625</v>
      </c>
      <c r="U9" s="568">
        <v>0.07421875</v>
      </c>
      <c r="V9" s="568">
        <v>0.07421875</v>
      </c>
      <c r="W9" s="568">
        <v>0.078125</v>
      </c>
      <c r="X9" s="568">
        <v>0.07421875</v>
      </c>
      <c r="Y9" s="568">
        <v>0.07421875</v>
      </c>
      <c r="Z9" s="568">
        <v>0.06640625</v>
      </c>
      <c r="AA9" s="568">
        <v>0.05859375</v>
      </c>
      <c r="AB9" s="568">
        <v>0.05078125</v>
      </c>
      <c r="AC9" s="568">
        <v>0.04296875</v>
      </c>
      <c r="AD9" s="568">
        <v>0.03515625</v>
      </c>
      <c r="AE9" s="568">
        <v>0.02734375</v>
      </c>
      <c r="AF9" s="568">
        <v>0.01953125</v>
      </c>
      <c r="AG9" s="568">
        <v>0.01171875</v>
      </c>
      <c r="AH9" s="568">
        <v>0</v>
      </c>
      <c r="AI9" s="568">
        <v>0</v>
      </c>
      <c r="AJ9" s="568">
        <v>0</v>
      </c>
      <c r="AK9" s="568">
        <v>0</v>
      </c>
      <c r="AL9" s="568">
        <v>0</v>
      </c>
      <c r="AM9" s="568">
        <v>0</v>
      </c>
      <c r="AN9" s="568">
        <v>0</v>
      </c>
      <c r="AO9" s="568">
        <v>0</v>
      </c>
      <c r="AP9" s="568">
        <v>0</v>
      </c>
      <c r="AQ9" s="568">
        <v>0</v>
      </c>
      <c r="AR9" s="568">
        <v>0</v>
      </c>
      <c r="AS9" s="568">
        <v>0</v>
      </c>
      <c r="AT9" s="568">
        <v>0</v>
      </c>
      <c r="AU9" s="568">
        <v>0</v>
      </c>
      <c r="AV9" s="568">
        <v>0</v>
      </c>
      <c r="AW9" s="568">
        <v>0</v>
      </c>
      <c r="AX9" s="568">
        <v>0</v>
      </c>
      <c r="AY9" s="568">
        <v>0</v>
      </c>
      <c r="AZ9" s="568">
        <v>0</v>
      </c>
      <c r="BA9" s="568">
        <v>0</v>
      </c>
      <c r="BB9" s="568">
        <v>0</v>
      </c>
      <c r="BC9" s="568">
        <v>0</v>
      </c>
      <c r="BD9" s="568">
        <v>0</v>
      </c>
      <c r="BE9" s="568">
        <v>0</v>
      </c>
      <c r="BF9" s="568">
        <v>0</v>
      </c>
      <c r="BG9" s="568">
        <v>0</v>
      </c>
      <c r="BH9" s="568">
        <v>0</v>
      </c>
      <c r="BI9" s="568">
        <v>0</v>
      </c>
      <c r="BJ9" s="568">
        <v>0</v>
      </c>
      <c r="BK9" s="568">
        <v>0</v>
      </c>
      <c r="BL9" s="568">
        <v>0</v>
      </c>
      <c r="BM9" s="568">
        <v>0</v>
      </c>
      <c r="BN9" s="568">
        <v>0</v>
      </c>
      <c r="BO9" s="568">
        <v>0</v>
      </c>
      <c r="BP9" s="568">
        <v>0</v>
      </c>
      <c r="BQ9" s="568">
        <v>0</v>
      </c>
      <c r="BR9" s="568">
        <v>0</v>
      </c>
      <c r="BS9" s="568">
        <v>0</v>
      </c>
      <c r="BT9" s="568">
        <v>0</v>
      </c>
      <c r="BU9" s="568">
        <v>0</v>
      </c>
      <c r="BV9" s="568">
        <v>0</v>
      </c>
      <c r="BW9" s="568">
        <v>0</v>
      </c>
      <c r="BX9" s="568">
        <v>0</v>
      </c>
      <c r="BY9" s="568">
        <v>0</v>
      </c>
      <c r="BZ9" s="568">
        <v>0</v>
      </c>
      <c r="CA9" s="568">
        <v>0</v>
      </c>
      <c r="CB9" s="568">
        <v>0</v>
      </c>
      <c r="CC9" s="568">
        <v>0</v>
      </c>
      <c r="CD9" s="568">
        <v>0</v>
      </c>
      <c r="CE9" s="568">
        <v>0</v>
      </c>
      <c r="CF9" s="568">
        <v>0</v>
      </c>
      <c r="CG9" s="568">
        <v>0</v>
      </c>
      <c r="CH9" s="568">
        <v>0</v>
      </c>
      <c r="CI9" s="568">
        <v>0</v>
      </c>
      <c r="CJ9" s="568">
        <v>0</v>
      </c>
      <c r="CK9" s="568">
        <v>0</v>
      </c>
      <c r="CL9" s="568">
        <v>0</v>
      </c>
      <c r="CM9" s="568">
        <v>0</v>
      </c>
      <c r="CN9" s="568">
        <v>0</v>
      </c>
      <c r="CO9" s="568">
        <v>0</v>
      </c>
      <c r="CP9" s="568">
        <v>0</v>
      </c>
      <c r="CQ9" s="568">
        <v>0</v>
      </c>
      <c r="CR9" s="568">
        <v>0</v>
      </c>
      <c r="CS9" s="568">
        <v>0</v>
      </c>
      <c r="CT9" s="568">
        <v>0</v>
      </c>
      <c r="CU9" s="568">
        <v>0</v>
      </c>
      <c r="CV9" s="568">
        <v>0</v>
      </c>
      <c r="CW9" s="568">
        <v>0</v>
      </c>
      <c r="CX9" s="568">
        <v>0</v>
      </c>
      <c r="CY9" s="568">
        <v>0</v>
      </c>
      <c r="CZ9" s="568">
        <v>0</v>
      </c>
      <c r="DA9" s="568">
        <v>0</v>
      </c>
      <c r="DB9" s="568">
        <v>0</v>
      </c>
      <c r="DC9" s="568">
        <v>0</v>
      </c>
      <c r="DD9" s="568">
        <v>0</v>
      </c>
      <c r="DE9" s="568">
        <v>0</v>
      </c>
      <c r="DF9" s="568">
        <v>0</v>
      </c>
      <c r="DG9" s="568">
        <v>0</v>
      </c>
      <c r="DH9" s="568">
        <v>0</v>
      </c>
      <c r="DI9" s="568">
        <v>0</v>
      </c>
      <c r="DJ9" s="568">
        <v>0</v>
      </c>
      <c r="DK9" s="568">
        <v>0</v>
      </c>
      <c r="DL9" s="568">
        <v>0</v>
      </c>
      <c r="DM9" s="568">
        <v>0</v>
      </c>
      <c r="DN9" s="568">
        <v>0</v>
      </c>
      <c r="DO9" s="568">
        <v>0</v>
      </c>
      <c r="DP9" s="568">
        <v>0</v>
      </c>
      <c r="DQ9" s="568">
        <v>0</v>
      </c>
      <c r="DR9" s="568">
        <v>0</v>
      </c>
      <c r="DS9" s="568">
        <v>0</v>
      </c>
      <c r="DT9" s="568">
        <v>0</v>
      </c>
      <c r="DU9" s="568">
        <v>0</v>
      </c>
      <c r="DV9" s="568">
        <v>0</v>
      </c>
      <c r="DW9" s="568">
        <v>0</v>
      </c>
      <c r="DX9" s="568">
        <v>0</v>
      </c>
      <c r="DY9" s="568">
        <v>0</v>
      </c>
      <c r="DZ9" s="568">
        <v>0</v>
      </c>
      <c r="EA9" s="568">
        <v>0</v>
      </c>
      <c r="EB9" s="568">
        <v>0</v>
      </c>
      <c r="EC9" s="568">
        <v>0</v>
      </c>
      <c r="ED9" s="568">
        <v>0</v>
      </c>
      <c r="EE9" s="568">
        <v>0</v>
      </c>
      <c r="EF9" s="568">
        <v>0</v>
      </c>
      <c r="EG9" s="568">
        <v>0</v>
      </c>
    </row>
    <row r="10" spans="5:137" ht="12.75">
      <c r="E10" s="538" t="s">
        <v>147</v>
      </c>
      <c r="G10" s="550" t="s">
        <v>35</v>
      </c>
      <c r="H10" s="550">
        <f>SUM(J10:EG10)</f>
        <v>1</v>
      </c>
      <c r="J10" s="568">
        <v>0</v>
      </c>
      <c r="K10" s="568">
        <v>0</v>
      </c>
      <c r="L10" s="568">
        <v>0</v>
      </c>
      <c r="M10" s="568">
        <v>0.140625</v>
      </c>
      <c r="N10" s="568">
        <v>0.1328125</v>
      </c>
      <c r="O10" s="568">
        <v>0.1171875</v>
      </c>
      <c r="P10" s="568">
        <v>0.109375</v>
      </c>
      <c r="Q10" s="568">
        <v>0.09375</v>
      </c>
      <c r="R10" s="568">
        <v>0.0859375</v>
      </c>
      <c r="S10" s="568">
        <v>0.078125</v>
      </c>
      <c r="T10" s="568">
        <v>0.0703125</v>
      </c>
      <c r="U10" s="568">
        <v>0.0625</v>
      </c>
      <c r="V10" s="568">
        <v>0.046875</v>
      </c>
      <c r="W10" s="568">
        <v>0.0390625</v>
      </c>
      <c r="X10" s="568">
        <v>0.0234375</v>
      </c>
      <c r="Y10" s="568">
        <v>0</v>
      </c>
      <c r="Z10" s="568">
        <v>0</v>
      </c>
      <c r="AA10" s="568">
        <v>0</v>
      </c>
      <c r="AB10" s="568">
        <v>0</v>
      </c>
      <c r="AC10" s="568">
        <v>0</v>
      </c>
      <c r="AD10" s="568">
        <v>0</v>
      </c>
      <c r="AE10" s="568">
        <v>0</v>
      </c>
      <c r="AF10" s="568">
        <v>0</v>
      </c>
      <c r="AG10" s="568">
        <v>0</v>
      </c>
      <c r="AH10" s="568">
        <v>0</v>
      </c>
      <c r="AI10" s="568">
        <v>0</v>
      </c>
      <c r="AJ10" s="568">
        <v>0</v>
      </c>
      <c r="AK10" s="568">
        <v>0</v>
      </c>
      <c r="AL10" s="568">
        <v>0</v>
      </c>
      <c r="AM10" s="568">
        <v>0</v>
      </c>
      <c r="AN10" s="568">
        <v>0</v>
      </c>
      <c r="AO10" s="568">
        <v>0</v>
      </c>
      <c r="AP10" s="568">
        <v>0</v>
      </c>
      <c r="AQ10" s="568">
        <v>0</v>
      </c>
      <c r="AR10" s="568">
        <v>0</v>
      </c>
      <c r="AS10" s="568">
        <v>0</v>
      </c>
      <c r="AT10" s="568">
        <v>0</v>
      </c>
      <c r="AU10" s="568">
        <v>0</v>
      </c>
      <c r="AV10" s="568">
        <v>0</v>
      </c>
      <c r="AW10" s="568">
        <v>0</v>
      </c>
      <c r="AX10" s="568">
        <v>0</v>
      </c>
      <c r="AY10" s="568">
        <v>0</v>
      </c>
      <c r="AZ10" s="568">
        <v>0</v>
      </c>
      <c r="BA10" s="568">
        <v>0</v>
      </c>
      <c r="BB10" s="568">
        <v>0</v>
      </c>
      <c r="BC10" s="568">
        <v>0</v>
      </c>
      <c r="BD10" s="568">
        <v>0</v>
      </c>
      <c r="BE10" s="568">
        <v>0</v>
      </c>
      <c r="BF10" s="568">
        <v>0</v>
      </c>
      <c r="BG10" s="568">
        <v>0</v>
      </c>
      <c r="BH10" s="568">
        <v>0</v>
      </c>
      <c r="BI10" s="568">
        <v>0</v>
      </c>
      <c r="BJ10" s="568">
        <v>0</v>
      </c>
      <c r="BK10" s="568">
        <v>0</v>
      </c>
      <c r="BL10" s="568">
        <v>0</v>
      </c>
      <c r="BM10" s="568">
        <v>0</v>
      </c>
      <c r="BN10" s="568">
        <v>0</v>
      </c>
      <c r="BO10" s="568">
        <v>0</v>
      </c>
      <c r="BP10" s="568">
        <v>0</v>
      </c>
      <c r="BQ10" s="568">
        <v>0</v>
      </c>
      <c r="BR10" s="568">
        <v>0</v>
      </c>
      <c r="BS10" s="568">
        <v>0</v>
      </c>
      <c r="BT10" s="568">
        <v>0</v>
      </c>
      <c r="BU10" s="568">
        <v>0</v>
      </c>
      <c r="BV10" s="568">
        <v>0</v>
      </c>
      <c r="BW10" s="568">
        <v>0</v>
      </c>
      <c r="BX10" s="568">
        <v>0</v>
      </c>
      <c r="BY10" s="568">
        <v>0</v>
      </c>
      <c r="BZ10" s="568">
        <v>0</v>
      </c>
      <c r="CA10" s="568">
        <v>0</v>
      </c>
      <c r="CB10" s="568">
        <v>0</v>
      </c>
      <c r="CC10" s="568">
        <v>0</v>
      </c>
      <c r="CD10" s="568">
        <v>0</v>
      </c>
      <c r="CE10" s="568">
        <v>0</v>
      </c>
      <c r="CF10" s="568">
        <v>0</v>
      </c>
      <c r="CG10" s="568">
        <v>0</v>
      </c>
      <c r="CH10" s="568">
        <v>0</v>
      </c>
      <c r="CI10" s="568">
        <v>0</v>
      </c>
      <c r="CJ10" s="568">
        <v>0</v>
      </c>
      <c r="CK10" s="568">
        <v>0</v>
      </c>
      <c r="CL10" s="568">
        <v>0</v>
      </c>
      <c r="CM10" s="568">
        <v>0</v>
      </c>
      <c r="CN10" s="568">
        <v>0</v>
      </c>
      <c r="CO10" s="568">
        <v>0</v>
      </c>
      <c r="CP10" s="568">
        <v>0</v>
      </c>
      <c r="CQ10" s="568">
        <v>0</v>
      </c>
      <c r="CR10" s="568">
        <v>0</v>
      </c>
      <c r="CS10" s="568">
        <v>0</v>
      </c>
      <c r="CT10" s="568">
        <v>0</v>
      </c>
      <c r="CU10" s="568">
        <v>0</v>
      </c>
      <c r="CV10" s="568">
        <v>0</v>
      </c>
      <c r="CW10" s="568">
        <v>0</v>
      </c>
      <c r="CX10" s="568">
        <v>0</v>
      </c>
      <c r="CY10" s="568">
        <v>0</v>
      </c>
      <c r="CZ10" s="568">
        <v>0</v>
      </c>
      <c r="DA10" s="568">
        <v>0</v>
      </c>
      <c r="DB10" s="568">
        <v>0</v>
      </c>
      <c r="DC10" s="568">
        <v>0</v>
      </c>
      <c r="DD10" s="568">
        <v>0</v>
      </c>
      <c r="DE10" s="568">
        <v>0</v>
      </c>
      <c r="DF10" s="568">
        <v>0</v>
      </c>
      <c r="DG10" s="568">
        <v>0</v>
      </c>
      <c r="DH10" s="568">
        <v>0</v>
      </c>
      <c r="DI10" s="568">
        <v>0</v>
      </c>
      <c r="DJ10" s="568">
        <v>0</v>
      </c>
      <c r="DK10" s="568">
        <v>0</v>
      </c>
      <c r="DL10" s="568">
        <v>0</v>
      </c>
      <c r="DM10" s="568">
        <v>0</v>
      </c>
      <c r="DN10" s="568">
        <v>0</v>
      </c>
      <c r="DO10" s="568">
        <v>0</v>
      </c>
      <c r="DP10" s="568">
        <v>0</v>
      </c>
      <c r="DQ10" s="568">
        <v>0</v>
      </c>
      <c r="DR10" s="568">
        <v>0</v>
      </c>
      <c r="DS10" s="568">
        <v>0</v>
      </c>
      <c r="DT10" s="568">
        <v>0</v>
      </c>
      <c r="DU10" s="568">
        <v>0</v>
      </c>
      <c r="DV10" s="568">
        <v>0</v>
      </c>
      <c r="DW10" s="568">
        <v>0</v>
      </c>
      <c r="DX10" s="568">
        <v>0</v>
      </c>
      <c r="DY10" s="568">
        <v>0</v>
      </c>
      <c r="DZ10" s="568">
        <v>0</v>
      </c>
      <c r="EA10" s="568">
        <v>0</v>
      </c>
      <c r="EB10" s="568">
        <v>0</v>
      </c>
      <c r="EC10" s="568">
        <v>0</v>
      </c>
      <c r="ED10" s="568">
        <v>0</v>
      </c>
      <c r="EE10" s="568">
        <v>0</v>
      </c>
      <c r="EF10" s="568">
        <v>0</v>
      </c>
      <c r="EG10" s="568">
        <v>0</v>
      </c>
    </row>
    <row r="11" spans="5:137" ht="12.75">
      <c r="E11" s="538" t="s">
        <v>148</v>
      </c>
      <c r="G11" s="550" t="s">
        <v>35</v>
      </c>
      <c r="H11" s="550">
        <f>SUM(J11:EG11)</f>
        <v>1</v>
      </c>
      <c r="J11" s="568">
        <v>0</v>
      </c>
      <c r="K11" s="568">
        <v>0</v>
      </c>
      <c r="L11" s="568">
        <v>0</v>
      </c>
      <c r="M11" s="568">
        <v>0</v>
      </c>
      <c r="N11" s="568">
        <v>0</v>
      </c>
      <c r="O11" s="568">
        <v>0</v>
      </c>
      <c r="P11" s="568">
        <v>0</v>
      </c>
      <c r="Q11" s="568">
        <v>0</v>
      </c>
      <c r="R11" s="568">
        <v>0.0703125</v>
      </c>
      <c r="S11" s="568">
        <v>0.078125</v>
      </c>
      <c r="T11" s="568">
        <v>0.078125</v>
      </c>
      <c r="U11" s="568">
        <v>0.078125</v>
      </c>
      <c r="V11" s="568">
        <v>0.078125</v>
      </c>
      <c r="W11" s="568">
        <v>0.078125</v>
      </c>
      <c r="X11" s="568">
        <v>0.078125</v>
      </c>
      <c r="Y11" s="568">
        <v>0.078125</v>
      </c>
      <c r="Z11" s="568">
        <v>0.078125</v>
      </c>
      <c r="AA11" s="568">
        <v>0.078125</v>
      </c>
      <c r="AB11" s="568">
        <v>0.078125</v>
      </c>
      <c r="AC11" s="568">
        <v>0.078125</v>
      </c>
      <c r="AD11" s="568">
        <v>0.0703125</v>
      </c>
      <c r="AE11" s="568">
        <v>0</v>
      </c>
      <c r="AF11" s="568">
        <v>0</v>
      </c>
      <c r="AG11" s="568">
        <v>0</v>
      </c>
      <c r="AH11" s="568">
        <v>0</v>
      </c>
      <c r="AI11" s="568">
        <v>0</v>
      </c>
      <c r="AJ11" s="568">
        <v>0</v>
      </c>
      <c r="AK11" s="568">
        <v>0</v>
      </c>
      <c r="AL11" s="568">
        <v>0</v>
      </c>
      <c r="AM11" s="568">
        <v>0</v>
      </c>
      <c r="AN11" s="568">
        <v>0</v>
      </c>
      <c r="AO11" s="568">
        <v>0</v>
      </c>
      <c r="AP11" s="568">
        <v>0</v>
      </c>
      <c r="AQ11" s="568">
        <v>0</v>
      </c>
      <c r="AR11" s="568">
        <v>0</v>
      </c>
      <c r="AS11" s="568">
        <v>0</v>
      </c>
      <c r="AT11" s="568">
        <v>0</v>
      </c>
      <c r="AU11" s="568">
        <v>0</v>
      </c>
      <c r="AV11" s="568">
        <v>0</v>
      </c>
      <c r="AW11" s="568">
        <v>0</v>
      </c>
      <c r="AX11" s="568">
        <v>0</v>
      </c>
      <c r="AY11" s="568">
        <v>0</v>
      </c>
      <c r="AZ11" s="568">
        <v>0</v>
      </c>
      <c r="BA11" s="568">
        <v>0</v>
      </c>
      <c r="BB11" s="568">
        <v>0</v>
      </c>
      <c r="BC11" s="568">
        <v>0</v>
      </c>
      <c r="BD11" s="568">
        <v>0</v>
      </c>
      <c r="BE11" s="568">
        <v>0</v>
      </c>
      <c r="BF11" s="568">
        <v>0</v>
      </c>
      <c r="BG11" s="568">
        <v>0</v>
      </c>
      <c r="BH11" s="568">
        <v>0</v>
      </c>
      <c r="BI11" s="568">
        <v>0</v>
      </c>
      <c r="BJ11" s="568">
        <v>0</v>
      </c>
      <c r="BK11" s="568">
        <v>0</v>
      </c>
      <c r="BL11" s="568">
        <v>0</v>
      </c>
      <c r="BM11" s="568">
        <v>0</v>
      </c>
      <c r="BN11" s="568">
        <v>0</v>
      </c>
      <c r="BO11" s="568">
        <v>0</v>
      </c>
      <c r="BP11" s="568">
        <v>0</v>
      </c>
      <c r="BQ11" s="568">
        <v>0</v>
      </c>
      <c r="BR11" s="568">
        <v>0</v>
      </c>
      <c r="BS11" s="568">
        <v>0</v>
      </c>
      <c r="BT11" s="568">
        <v>0</v>
      </c>
      <c r="BU11" s="568">
        <v>0</v>
      </c>
      <c r="BV11" s="568">
        <v>0</v>
      </c>
      <c r="BW11" s="568">
        <v>0</v>
      </c>
      <c r="BX11" s="568">
        <v>0</v>
      </c>
      <c r="BY11" s="568">
        <v>0</v>
      </c>
      <c r="BZ11" s="568">
        <v>0</v>
      </c>
      <c r="CA11" s="568">
        <v>0</v>
      </c>
      <c r="CB11" s="568">
        <v>0</v>
      </c>
      <c r="CC11" s="568">
        <v>0</v>
      </c>
      <c r="CD11" s="568">
        <v>0</v>
      </c>
      <c r="CE11" s="568">
        <v>0</v>
      </c>
      <c r="CF11" s="568">
        <v>0</v>
      </c>
      <c r="CG11" s="568">
        <v>0</v>
      </c>
      <c r="CH11" s="568">
        <v>0</v>
      </c>
      <c r="CI11" s="568">
        <v>0</v>
      </c>
      <c r="CJ11" s="568">
        <v>0</v>
      </c>
      <c r="CK11" s="568">
        <v>0</v>
      </c>
      <c r="CL11" s="568">
        <v>0</v>
      </c>
      <c r="CM11" s="568">
        <v>0</v>
      </c>
      <c r="CN11" s="568">
        <v>0</v>
      </c>
      <c r="CO11" s="568">
        <v>0</v>
      </c>
      <c r="CP11" s="568">
        <v>0</v>
      </c>
      <c r="CQ11" s="568">
        <v>0</v>
      </c>
      <c r="CR11" s="568">
        <v>0</v>
      </c>
      <c r="CS11" s="568">
        <v>0</v>
      </c>
      <c r="CT11" s="568">
        <v>0</v>
      </c>
      <c r="CU11" s="568">
        <v>0</v>
      </c>
      <c r="CV11" s="568">
        <v>0</v>
      </c>
      <c r="CW11" s="568">
        <v>0</v>
      </c>
      <c r="CX11" s="568">
        <v>0</v>
      </c>
      <c r="CY11" s="568">
        <v>0</v>
      </c>
      <c r="CZ11" s="568">
        <v>0</v>
      </c>
      <c r="DA11" s="568">
        <v>0</v>
      </c>
      <c r="DB11" s="568">
        <v>0</v>
      </c>
      <c r="DC11" s="568">
        <v>0</v>
      </c>
      <c r="DD11" s="568">
        <v>0</v>
      </c>
      <c r="DE11" s="568">
        <v>0</v>
      </c>
      <c r="DF11" s="568">
        <v>0</v>
      </c>
      <c r="DG11" s="568">
        <v>0</v>
      </c>
      <c r="DH11" s="568">
        <v>0</v>
      </c>
      <c r="DI11" s="568">
        <v>0</v>
      </c>
      <c r="DJ11" s="568">
        <v>0</v>
      </c>
      <c r="DK11" s="568">
        <v>0</v>
      </c>
      <c r="DL11" s="568">
        <v>0</v>
      </c>
      <c r="DM11" s="568">
        <v>0</v>
      </c>
      <c r="DN11" s="568">
        <v>0</v>
      </c>
      <c r="DO11" s="568">
        <v>0</v>
      </c>
      <c r="DP11" s="568">
        <v>0</v>
      </c>
      <c r="DQ11" s="568">
        <v>0</v>
      </c>
      <c r="DR11" s="568">
        <v>0</v>
      </c>
      <c r="DS11" s="568">
        <v>0</v>
      </c>
      <c r="DT11" s="568">
        <v>0</v>
      </c>
      <c r="DU11" s="568">
        <v>0</v>
      </c>
      <c r="DV11" s="568">
        <v>0</v>
      </c>
      <c r="DW11" s="568">
        <v>0</v>
      </c>
      <c r="DX11" s="568">
        <v>0</v>
      </c>
      <c r="DY11" s="568">
        <v>0</v>
      </c>
      <c r="DZ11" s="568">
        <v>0</v>
      </c>
      <c r="EA11" s="568">
        <v>0</v>
      </c>
      <c r="EB11" s="568">
        <v>0</v>
      </c>
      <c r="EC11" s="568">
        <v>0</v>
      </c>
      <c r="ED11" s="568">
        <v>0</v>
      </c>
      <c r="EE11" s="568">
        <v>0</v>
      </c>
      <c r="EF11" s="568">
        <v>0</v>
      </c>
      <c r="EG11" s="568">
        <v>0</v>
      </c>
    </row>
    <row r="12" spans="5:137" ht="12.75">
      <c r="E12" s="538" t="s">
        <v>149</v>
      </c>
      <c r="G12" s="550" t="s">
        <v>35</v>
      </c>
      <c r="H12" s="550">
        <f>SUM(J12:EG12)</f>
        <v>1</v>
      </c>
      <c r="J12" s="568">
        <v>0</v>
      </c>
      <c r="K12" s="568">
        <v>0</v>
      </c>
      <c r="L12" s="568">
        <v>0</v>
      </c>
      <c r="M12" s="568">
        <v>0</v>
      </c>
      <c r="N12" s="568">
        <v>0</v>
      </c>
      <c r="O12" s="568">
        <v>0</v>
      </c>
      <c r="P12" s="568">
        <v>0</v>
      </c>
      <c r="Q12" s="568">
        <v>0</v>
      </c>
      <c r="R12" s="568">
        <v>0</v>
      </c>
      <c r="S12" s="568">
        <v>0</v>
      </c>
      <c r="T12" s="568">
        <v>0</v>
      </c>
      <c r="U12" s="568">
        <v>0</v>
      </c>
      <c r="V12" s="568">
        <v>0</v>
      </c>
      <c r="W12" s="568">
        <v>0</v>
      </c>
      <c r="X12" s="568">
        <v>0</v>
      </c>
      <c r="Y12" s="568">
        <v>0</v>
      </c>
      <c r="Z12" s="568">
        <v>0</v>
      </c>
      <c r="AA12" s="568">
        <v>0.09375</v>
      </c>
      <c r="AB12" s="568">
        <v>0.15625</v>
      </c>
      <c r="AC12" s="568">
        <v>0.1875</v>
      </c>
      <c r="AD12" s="568">
        <v>0.1875</v>
      </c>
      <c r="AE12" s="568">
        <v>0.15625</v>
      </c>
      <c r="AF12" s="568">
        <v>0.125</v>
      </c>
      <c r="AG12" s="568">
        <v>0.09375</v>
      </c>
      <c r="AH12" s="568">
        <v>0</v>
      </c>
      <c r="AI12" s="568">
        <v>0</v>
      </c>
      <c r="AJ12" s="568">
        <v>0</v>
      </c>
      <c r="AK12" s="568">
        <v>0</v>
      </c>
      <c r="AL12" s="568">
        <v>0</v>
      </c>
      <c r="AM12" s="568">
        <v>0</v>
      </c>
      <c r="AN12" s="568">
        <v>0</v>
      </c>
      <c r="AO12" s="568">
        <v>0</v>
      </c>
      <c r="AP12" s="568">
        <v>0</v>
      </c>
      <c r="AQ12" s="568">
        <v>0</v>
      </c>
      <c r="AR12" s="568">
        <v>0</v>
      </c>
      <c r="AS12" s="568">
        <v>0</v>
      </c>
      <c r="AT12" s="568">
        <v>0</v>
      </c>
      <c r="AU12" s="568">
        <v>0</v>
      </c>
      <c r="AV12" s="568">
        <v>0</v>
      </c>
      <c r="AW12" s="568">
        <v>0</v>
      </c>
      <c r="AX12" s="568">
        <v>0</v>
      </c>
      <c r="AY12" s="568">
        <v>0</v>
      </c>
      <c r="AZ12" s="568">
        <v>0</v>
      </c>
      <c r="BA12" s="568">
        <v>0</v>
      </c>
      <c r="BB12" s="568">
        <v>0</v>
      </c>
      <c r="BC12" s="568">
        <v>0</v>
      </c>
      <c r="BD12" s="568">
        <v>0</v>
      </c>
      <c r="BE12" s="568">
        <v>0</v>
      </c>
      <c r="BF12" s="568">
        <v>0</v>
      </c>
      <c r="BG12" s="568">
        <v>0</v>
      </c>
      <c r="BH12" s="568">
        <v>0</v>
      </c>
      <c r="BI12" s="568">
        <v>0</v>
      </c>
      <c r="BJ12" s="568">
        <v>0</v>
      </c>
      <c r="BK12" s="568">
        <v>0</v>
      </c>
      <c r="BL12" s="568">
        <v>0</v>
      </c>
      <c r="BM12" s="568">
        <v>0</v>
      </c>
      <c r="BN12" s="568">
        <v>0</v>
      </c>
      <c r="BO12" s="568">
        <v>0</v>
      </c>
      <c r="BP12" s="568">
        <v>0</v>
      </c>
      <c r="BQ12" s="568">
        <v>0</v>
      </c>
      <c r="BR12" s="568">
        <v>0</v>
      </c>
      <c r="BS12" s="568">
        <v>0</v>
      </c>
      <c r="BT12" s="568">
        <v>0</v>
      </c>
      <c r="BU12" s="568">
        <v>0</v>
      </c>
      <c r="BV12" s="568">
        <v>0</v>
      </c>
      <c r="BW12" s="568">
        <v>0</v>
      </c>
      <c r="BX12" s="568">
        <v>0</v>
      </c>
      <c r="BY12" s="568">
        <v>0</v>
      </c>
      <c r="BZ12" s="568">
        <v>0</v>
      </c>
      <c r="CA12" s="568">
        <v>0</v>
      </c>
      <c r="CB12" s="568">
        <v>0</v>
      </c>
      <c r="CC12" s="568">
        <v>0</v>
      </c>
      <c r="CD12" s="568">
        <v>0</v>
      </c>
      <c r="CE12" s="568">
        <v>0</v>
      </c>
      <c r="CF12" s="568">
        <v>0</v>
      </c>
      <c r="CG12" s="568">
        <v>0</v>
      </c>
      <c r="CH12" s="568">
        <v>0</v>
      </c>
      <c r="CI12" s="568">
        <v>0</v>
      </c>
      <c r="CJ12" s="568">
        <v>0</v>
      </c>
      <c r="CK12" s="568">
        <v>0</v>
      </c>
      <c r="CL12" s="568">
        <v>0</v>
      </c>
      <c r="CM12" s="568">
        <v>0</v>
      </c>
      <c r="CN12" s="568">
        <v>0</v>
      </c>
      <c r="CO12" s="568">
        <v>0</v>
      </c>
      <c r="CP12" s="568">
        <v>0</v>
      </c>
      <c r="CQ12" s="568">
        <v>0</v>
      </c>
      <c r="CR12" s="568">
        <v>0</v>
      </c>
      <c r="CS12" s="568">
        <v>0</v>
      </c>
      <c r="CT12" s="568">
        <v>0</v>
      </c>
      <c r="CU12" s="568">
        <v>0</v>
      </c>
      <c r="CV12" s="568">
        <v>0</v>
      </c>
      <c r="CW12" s="568">
        <v>0</v>
      </c>
      <c r="CX12" s="568">
        <v>0</v>
      </c>
      <c r="CY12" s="568">
        <v>0</v>
      </c>
      <c r="CZ12" s="568">
        <v>0</v>
      </c>
      <c r="DA12" s="568">
        <v>0</v>
      </c>
      <c r="DB12" s="568">
        <v>0</v>
      </c>
      <c r="DC12" s="568">
        <v>0</v>
      </c>
      <c r="DD12" s="568">
        <v>0</v>
      </c>
      <c r="DE12" s="568">
        <v>0</v>
      </c>
      <c r="DF12" s="568">
        <v>0</v>
      </c>
      <c r="DG12" s="568">
        <v>0</v>
      </c>
      <c r="DH12" s="568">
        <v>0</v>
      </c>
      <c r="DI12" s="568">
        <v>0</v>
      </c>
      <c r="DJ12" s="568">
        <v>0</v>
      </c>
      <c r="DK12" s="568">
        <v>0</v>
      </c>
      <c r="DL12" s="568">
        <v>0</v>
      </c>
      <c r="DM12" s="568">
        <v>0</v>
      </c>
      <c r="DN12" s="568">
        <v>0</v>
      </c>
      <c r="DO12" s="568">
        <v>0</v>
      </c>
      <c r="DP12" s="568">
        <v>0</v>
      </c>
      <c r="DQ12" s="568">
        <v>0</v>
      </c>
      <c r="DR12" s="568">
        <v>0</v>
      </c>
      <c r="DS12" s="568">
        <v>0</v>
      </c>
      <c r="DT12" s="568">
        <v>0</v>
      </c>
      <c r="DU12" s="568">
        <v>0</v>
      </c>
      <c r="DV12" s="568">
        <v>0</v>
      </c>
      <c r="DW12" s="568">
        <v>0</v>
      </c>
      <c r="DX12" s="568">
        <v>0</v>
      </c>
      <c r="DY12" s="568">
        <v>0</v>
      </c>
      <c r="DZ12" s="568">
        <v>0</v>
      </c>
      <c r="EA12" s="568">
        <v>0</v>
      </c>
      <c r="EB12" s="568">
        <v>0</v>
      </c>
      <c r="EC12" s="568">
        <v>0</v>
      </c>
      <c r="ED12" s="568">
        <v>0</v>
      </c>
      <c r="EE12" s="568">
        <v>0</v>
      </c>
      <c r="EF12" s="568">
        <v>0</v>
      </c>
      <c r="EG12" s="568">
        <v>0</v>
      </c>
    </row>
    <row r="15" spans="1:1" ht="12.75">
      <c r="A15" s="534" t="s">
        <v>150</v>
      </c>
    </row>
    <row r="17" spans="5:137" ht="12.75">
      <c r="E17" s="538" t="s">
        <v>151</v>
      </c>
      <c r="G17" s="539" t="s">
        <v>30</v>
      </c>
      <c r="H17" s="539">
        <f>SUM(J17:EG17)</f>
        <v>24000</v>
      </c>
      <c r="J17" s="569">
        <v>0</v>
      </c>
      <c r="K17" s="569">
        <v>0</v>
      </c>
      <c r="L17" s="569">
        <v>0</v>
      </c>
      <c r="M17" s="569">
        <v>0</v>
      </c>
      <c r="N17" s="569">
        <v>0</v>
      </c>
      <c r="O17" s="569">
        <v>0</v>
      </c>
      <c r="P17" s="569">
        <v>0</v>
      </c>
      <c r="Q17" s="569">
        <v>0</v>
      </c>
      <c r="R17" s="569">
        <v>0</v>
      </c>
      <c r="S17" s="569">
        <v>0</v>
      </c>
      <c r="T17" s="569">
        <v>0</v>
      </c>
      <c r="U17" s="569">
        <v>0</v>
      </c>
      <c r="V17" s="569">
        <v>0</v>
      </c>
      <c r="W17" s="569">
        <v>0</v>
      </c>
      <c r="X17" s="569">
        <v>0</v>
      </c>
      <c r="Y17" s="569">
        <v>0</v>
      </c>
      <c r="Z17" s="569">
        <v>0</v>
      </c>
      <c r="AA17" s="569">
        <v>0</v>
      </c>
      <c r="AB17" s="569">
        <v>0</v>
      </c>
      <c r="AC17" s="569">
        <v>0</v>
      </c>
      <c r="AD17" s="569">
        <v>0</v>
      </c>
      <c r="AE17" s="569">
        <v>0</v>
      </c>
      <c r="AF17" s="569">
        <v>0</v>
      </c>
      <c r="AG17" s="569">
        <v>0</v>
      </c>
      <c r="AH17" s="569">
        <v>0</v>
      </c>
      <c r="AI17" s="569">
        <v>0</v>
      </c>
      <c r="AJ17" s="569">
        <v>0</v>
      </c>
      <c r="AK17" s="569">
        <v>0</v>
      </c>
      <c r="AL17" s="569">
        <v>0</v>
      </c>
      <c r="AM17" s="569">
        <v>0</v>
      </c>
      <c r="AN17" s="569">
        <v>0</v>
      </c>
      <c r="AO17" s="569">
        <v>0</v>
      </c>
      <c r="AP17" s="569">
        <v>0</v>
      </c>
      <c r="AQ17" s="569">
        <v>0</v>
      </c>
      <c r="AR17" s="569">
        <v>0</v>
      </c>
      <c r="AS17" s="569">
        <v>0</v>
      </c>
      <c r="AT17" s="569">
        <v>0</v>
      </c>
      <c r="AU17" s="569">
        <v>0</v>
      </c>
      <c r="AV17" s="569">
        <v>0</v>
      </c>
      <c r="AW17" s="569">
        <v>0</v>
      </c>
      <c r="AX17" s="569">
        <v>1500</v>
      </c>
      <c r="AY17" s="569">
        <v>1500</v>
      </c>
      <c r="AZ17" s="569">
        <v>1500</v>
      </c>
      <c r="BA17" s="569">
        <v>1500</v>
      </c>
      <c r="BB17" s="569">
        <v>0</v>
      </c>
      <c r="BC17" s="569">
        <v>0</v>
      </c>
      <c r="BD17" s="569">
        <v>0</v>
      </c>
      <c r="BE17" s="569">
        <v>0</v>
      </c>
      <c r="BF17" s="569">
        <v>0</v>
      </c>
      <c r="BG17" s="569">
        <v>0</v>
      </c>
      <c r="BH17" s="569">
        <v>0</v>
      </c>
      <c r="BI17" s="569">
        <v>0</v>
      </c>
      <c r="BJ17" s="569">
        <v>0</v>
      </c>
      <c r="BK17" s="569">
        <v>0</v>
      </c>
      <c r="BL17" s="569">
        <v>0</v>
      </c>
      <c r="BM17" s="569">
        <v>0</v>
      </c>
      <c r="BN17" s="569">
        <v>0</v>
      </c>
      <c r="BO17" s="569">
        <v>0</v>
      </c>
      <c r="BP17" s="569">
        <v>0</v>
      </c>
      <c r="BQ17" s="569">
        <v>0</v>
      </c>
      <c r="BR17" s="569">
        <v>1500</v>
      </c>
      <c r="BS17" s="569">
        <v>1500</v>
      </c>
      <c r="BT17" s="569">
        <v>1500</v>
      </c>
      <c r="BU17" s="569">
        <v>1500</v>
      </c>
      <c r="BV17" s="569">
        <v>0</v>
      </c>
      <c r="BW17" s="569">
        <v>0</v>
      </c>
      <c r="BX17" s="569">
        <v>0</v>
      </c>
      <c r="BY17" s="569">
        <v>0</v>
      </c>
      <c r="BZ17" s="569">
        <v>0</v>
      </c>
      <c r="CA17" s="569">
        <v>0</v>
      </c>
      <c r="CB17" s="569">
        <v>0</v>
      </c>
      <c r="CC17" s="569">
        <v>0</v>
      </c>
      <c r="CD17" s="569">
        <v>0</v>
      </c>
      <c r="CE17" s="569">
        <v>0</v>
      </c>
      <c r="CF17" s="569">
        <v>0</v>
      </c>
      <c r="CG17" s="569">
        <v>0</v>
      </c>
      <c r="CH17" s="569">
        <v>0</v>
      </c>
      <c r="CI17" s="569">
        <v>0</v>
      </c>
      <c r="CJ17" s="569">
        <v>0</v>
      </c>
      <c r="CK17" s="569">
        <v>0</v>
      </c>
      <c r="CL17" s="569">
        <v>1500</v>
      </c>
      <c r="CM17" s="569">
        <v>1500</v>
      </c>
      <c r="CN17" s="569">
        <v>1500</v>
      </c>
      <c r="CO17" s="569">
        <v>1500</v>
      </c>
      <c r="CP17" s="569">
        <v>0</v>
      </c>
      <c r="CQ17" s="569">
        <v>0</v>
      </c>
      <c r="CR17" s="569">
        <v>0</v>
      </c>
      <c r="CS17" s="569">
        <v>0</v>
      </c>
      <c r="CT17" s="569">
        <v>0</v>
      </c>
      <c r="CU17" s="569">
        <v>0</v>
      </c>
      <c r="CV17" s="569">
        <v>0</v>
      </c>
      <c r="CW17" s="569">
        <v>0</v>
      </c>
      <c r="CX17" s="569">
        <v>0</v>
      </c>
      <c r="CY17" s="569">
        <v>0</v>
      </c>
      <c r="CZ17" s="569">
        <v>0</v>
      </c>
      <c r="DA17" s="569">
        <v>0</v>
      </c>
      <c r="DB17" s="569">
        <v>0</v>
      </c>
      <c r="DC17" s="569">
        <v>0</v>
      </c>
      <c r="DD17" s="569">
        <v>0</v>
      </c>
      <c r="DE17" s="569">
        <v>0</v>
      </c>
      <c r="DF17" s="569">
        <v>1500</v>
      </c>
      <c r="DG17" s="569">
        <v>1500</v>
      </c>
      <c r="DH17" s="569">
        <v>1500</v>
      </c>
      <c r="DI17" s="569">
        <v>1500</v>
      </c>
      <c r="DJ17" s="569">
        <v>0</v>
      </c>
      <c r="DK17" s="569">
        <v>0</v>
      </c>
      <c r="DL17" s="569">
        <v>0</v>
      </c>
      <c r="DM17" s="569">
        <v>0</v>
      </c>
      <c r="DN17" s="569">
        <v>0</v>
      </c>
      <c r="DO17" s="569">
        <v>0</v>
      </c>
      <c r="DP17" s="569">
        <v>0</v>
      </c>
      <c r="DQ17" s="569">
        <v>0</v>
      </c>
      <c r="DR17" s="569">
        <v>0</v>
      </c>
      <c r="DS17" s="569">
        <v>0</v>
      </c>
      <c r="DT17" s="569">
        <v>0</v>
      </c>
      <c r="DU17" s="569">
        <v>0</v>
      </c>
      <c r="DV17" s="569">
        <v>0</v>
      </c>
      <c r="DW17" s="569">
        <v>0</v>
      </c>
      <c r="DX17" s="569">
        <v>0</v>
      </c>
      <c r="DY17" s="569">
        <v>0</v>
      </c>
      <c r="DZ17" s="569">
        <v>0</v>
      </c>
      <c r="EA17" s="569">
        <v>0</v>
      </c>
      <c r="EB17" s="569">
        <v>0</v>
      </c>
      <c r="EC17" s="569">
        <v>0</v>
      </c>
      <c r="ED17" s="569">
        <v>0</v>
      </c>
      <c r="EE17" s="569">
        <v>0</v>
      </c>
      <c r="EF17" s="569">
        <v>0</v>
      </c>
      <c r="EG17" s="569">
        <v>0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outlinePr summaryBelow="0" summaryRight="0"/>
  </sheetPr>
  <dimension ref="A1:RL178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Time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 t="shared" si="0" ref="J2:EG2">J50</f>
        <v>46418</v>
      </c>
      <c r="K2" s="397">
        <f t="shared" si="0"/>
        <v>46446</v>
      </c>
      <c r="L2" s="397">
        <f t="shared" si="0"/>
        <v>46477</v>
      </c>
      <c r="M2" s="397">
        <f t="shared" si="0"/>
        <v>46507</v>
      </c>
      <c r="N2" s="397">
        <f t="shared" si="0"/>
        <v>46538</v>
      </c>
      <c r="O2" s="397">
        <f t="shared" si="0"/>
        <v>46568</v>
      </c>
      <c r="P2" s="397">
        <f t="shared" si="0"/>
        <v>46599</v>
      </c>
      <c r="Q2" s="397">
        <f t="shared" si="0"/>
        <v>46630</v>
      </c>
      <c r="R2" s="397">
        <f t="shared" si="0"/>
        <v>46660</v>
      </c>
      <c r="S2" s="397">
        <f t="shared" si="0"/>
        <v>46691</v>
      </c>
      <c r="T2" s="397">
        <f t="shared" si="0"/>
        <v>46721</v>
      </c>
      <c r="U2" s="397">
        <f t="shared" si="0"/>
        <v>46752</v>
      </c>
      <c r="V2" s="397">
        <f t="shared" si="0"/>
        <v>46783</v>
      </c>
      <c r="W2" s="397">
        <f t="shared" si="0"/>
        <v>46812</v>
      </c>
      <c r="X2" s="397">
        <f t="shared" si="0"/>
        <v>46843</v>
      </c>
      <c r="Y2" s="397">
        <f t="shared" si="0"/>
        <v>46873</v>
      </c>
      <c r="Z2" s="397">
        <f t="shared" si="0"/>
        <v>46904</v>
      </c>
      <c r="AA2" s="397">
        <f t="shared" si="0"/>
        <v>46934</v>
      </c>
      <c r="AB2" s="397">
        <f t="shared" si="0"/>
        <v>46965</v>
      </c>
      <c r="AC2" s="397">
        <f t="shared" si="0"/>
        <v>46996</v>
      </c>
      <c r="AD2" s="397">
        <f t="shared" si="0"/>
        <v>47026</v>
      </c>
      <c r="AE2" s="397">
        <f t="shared" si="0"/>
        <v>47057</v>
      </c>
      <c r="AF2" s="397">
        <f t="shared" si="0"/>
        <v>47087</v>
      </c>
      <c r="AG2" s="397">
        <f t="shared" si="0"/>
        <v>47118</v>
      </c>
      <c r="AH2" s="397">
        <f t="shared" si="0"/>
        <v>47208</v>
      </c>
      <c r="AI2" s="397">
        <f t="shared" si="0"/>
        <v>47299</v>
      </c>
      <c r="AJ2" s="397">
        <f t="shared" si="0"/>
        <v>47391</v>
      </c>
      <c r="AK2" s="397">
        <f t="shared" si="0"/>
        <v>47483</v>
      </c>
      <c r="AL2" s="397">
        <f t="shared" si="0"/>
        <v>47573</v>
      </c>
      <c r="AM2" s="397">
        <f t="shared" si="0"/>
        <v>47664</v>
      </c>
      <c r="AN2" s="397">
        <f t="shared" si="0"/>
        <v>47756</v>
      </c>
      <c r="AO2" s="397">
        <f t="shared" si="0"/>
        <v>47848</v>
      </c>
      <c r="AP2" s="397">
        <f t="shared" si="0"/>
        <v>47938</v>
      </c>
      <c r="AQ2" s="397">
        <f t="shared" si="0"/>
        <v>48029</v>
      </c>
      <c r="AR2" s="397">
        <f t="shared" si="0"/>
        <v>48121</v>
      </c>
      <c r="AS2" s="397">
        <f t="shared" si="0"/>
        <v>48213</v>
      </c>
      <c r="AT2" s="397">
        <f t="shared" si="0"/>
        <v>48304</v>
      </c>
      <c r="AU2" s="397">
        <f t="shared" si="0"/>
        <v>48395</v>
      </c>
      <c r="AV2" s="397">
        <f t="shared" si="0"/>
        <v>48487</v>
      </c>
      <c r="AW2" s="397">
        <f t="shared" si="0"/>
        <v>48579</v>
      </c>
      <c r="AX2" s="397">
        <f t="shared" si="0"/>
        <v>48669</v>
      </c>
      <c r="AY2" s="397">
        <f t="shared" si="0"/>
        <v>48760</v>
      </c>
      <c r="AZ2" s="397">
        <f t="shared" si="0"/>
        <v>48852</v>
      </c>
      <c r="BA2" s="397">
        <f t="shared" si="0"/>
        <v>48944</v>
      </c>
      <c r="BB2" s="397">
        <f t="shared" si="0"/>
        <v>49034</v>
      </c>
      <c r="BC2" s="397">
        <f t="shared" si="0"/>
        <v>49125</v>
      </c>
      <c r="BD2" s="397">
        <f t="shared" si="0"/>
        <v>49217</v>
      </c>
      <c r="BE2" s="397">
        <f t="shared" si="0"/>
        <v>49309</v>
      </c>
      <c r="BF2" s="397">
        <f t="shared" si="0"/>
        <v>49399</v>
      </c>
      <c r="BG2" s="397">
        <f t="shared" si="0"/>
        <v>49490</v>
      </c>
      <c r="BH2" s="397">
        <f t="shared" si="0"/>
        <v>49582</v>
      </c>
      <c r="BI2" s="397">
        <f t="shared" si="0"/>
        <v>49674</v>
      </c>
      <c r="BJ2" s="397">
        <f t="shared" si="0"/>
        <v>49765</v>
      </c>
      <c r="BK2" s="397">
        <f t="shared" si="0"/>
        <v>49856</v>
      </c>
      <c r="BL2" s="397">
        <f t="shared" si="0"/>
        <v>49948</v>
      </c>
      <c r="BM2" s="397">
        <f t="shared" si="0"/>
        <v>50040</v>
      </c>
      <c r="BN2" s="397">
        <f t="shared" si="0"/>
        <v>50130</v>
      </c>
      <c r="BO2" s="397">
        <f t="shared" si="0"/>
        <v>50221</v>
      </c>
      <c r="BP2" s="397">
        <f t="shared" si="0"/>
        <v>50313</v>
      </c>
      <c r="BQ2" s="397">
        <f t="shared" si="0"/>
        <v>50405</v>
      </c>
      <c r="BR2" s="397">
        <f t="shared" si="0"/>
        <v>50495</v>
      </c>
      <c r="BS2" s="397">
        <f t="shared" si="0"/>
        <v>50586</v>
      </c>
      <c r="BT2" s="397">
        <f t="shared" si="0"/>
        <v>50678</v>
      </c>
      <c r="BU2" s="397">
        <f t="shared" si="0"/>
        <v>50770</v>
      </c>
      <c r="BV2" s="397">
        <f t="shared" si="0"/>
        <v>50860</v>
      </c>
      <c r="BW2" s="397">
        <f t="shared" si="0"/>
        <v>50951</v>
      </c>
      <c r="BX2" s="397">
        <f t="shared" si="0"/>
        <v>51043</v>
      </c>
      <c r="BY2" s="397">
        <f t="shared" si="0"/>
        <v>51135</v>
      </c>
      <c r="BZ2" s="397">
        <f t="shared" si="0"/>
        <v>51226</v>
      </c>
      <c r="CA2" s="397">
        <f t="shared" si="0"/>
        <v>51317</v>
      </c>
      <c r="CB2" s="397">
        <f t="shared" si="0"/>
        <v>51409</v>
      </c>
      <c r="CC2" s="397">
        <f t="shared" si="0"/>
        <v>51501</v>
      </c>
      <c r="CD2" s="397">
        <f t="shared" si="0"/>
        <v>51591</v>
      </c>
      <c r="CE2" s="397">
        <f t="shared" si="0"/>
        <v>51682</v>
      </c>
      <c r="CF2" s="397">
        <f t="shared" si="0"/>
        <v>51774</v>
      </c>
      <c r="CG2" s="397">
        <f t="shared" si="0"/>
        <v>51866</v>
      </c>
      <c r="CH2" s="397">
        <f t="shared" si="0"/>
        <v>51956</v>
      </c>
      <c r="CI2" s="397">
        <f t="shared" si="0"/>
        <v>52047</v>
      </c>
      <c r="CJ2" s="397">
        <f t="shared" si="0"/>
        <v>52139</v>
      </c>
      <c r="CK2" s="397">
        <f t="shared" si="0"/>
        <v>52231</v>
      </c>
      <c r="CL2" s="397">
        <f t="shared" si="0"/>
        <v>52321</v>
      </c>
      <c r="CM2" s="397">
        <f t="shared" si="0"/>
        <v>52412</v>
      </c>
      <c r="CN2" s="397">
        <f t="shared" si="0"/>
        <v>52504</v>
      </c>
      <c r="CO2" s="397">
        <f t="shared" si="0"/>
        <v>52596</v>
      </c>
      <c r="CP2" s="397">
        <f t="shared" si="0"/>
        <v>52687</v>
      </c>
      <c r="CQ2" s="397">
        <f t="shared" si="0"/>
        <v>52778</v>
      </c>
      <c r="CR2" s="397">
        <f t="shared" si="0"/>
        <v>52870</v>
      </c>
      <c r="CS2" s="397">
        <f t="shared" si="0"/>
        <v>52962</v>
      </c>
      <c r="CT2" s="397">
        <f t="shared" si="0"/>
        <v>53052</v>
      </c>
      <c r="CU2" s="397">
        <f t="shared" si="0"/>
        <v>53143</v>
      </c>
      <c r="CV2" s="397">
        <f t="shared" si="0"/>
        <v>53235</v>
      </c>
      <c r="CW2" s="397">
        <f t="shared" si="0"/>
        <v>53327</v>
      </c>
      <c r="CX2" s="397">
        <f t="shared" si="0"/>
        <v>53417</v>
      </c>
      <c r="CY2" s="397">
        <f t="shared" si="0"/>
        <v>53508</v>
      </c>
      <c r="CZ2" s="397">
        <f t="shared" si="0"/>
        <v>53600</v>
      </c>
      <c r="DA2" s="397">
        <f t="shared" si="0"/>
        <v>53692</v>
      </c>
      <c r="DB2" s="397">
        <f t="shared" si="0"/>
        <v>53782</v>
      </c>
      <c r="DC2" s="397">
        <f t="shared" si="0"/>
        <v>53873</v>
      </c>
      <c r="DD2" s="397">
        <f t="shared" si="0"/>
        <v>53965</v>
      </c>
      <c r="DE2" s="397">
        <f t="shared" si="0"/>
        <v>54057</v>
      </c>
      <c r="DF2" s="397">
        <f t="shared" si="0"/>
        <v>54148</v>
      </c>
      <c r="DG2" s="397">
        <f t="shared" si="0"/>
        <v>54239</v>
      </c>
      <c r="DH2" s="397">
        <f t="shared" si="0"/>
        <v>54331</v>
      </c>
      <c r="DI2" s="397">
        <f t="shared" si="0"/>
        <v>54423</v>
      </c>
      <c r="DJ2" s="397">
        <f t="shared" si="0"/>
        <v>54513</v>
      </c>
      <c r="DK2" s="397">
        <f t="shared" si="0"/>
        <v>54604</v>
      </c>
      <c r="DL2" s="397">
        <f t="shared" si="0"/>
        <v>54696</v>
      </c>
      <c r="DM2" s="397">
        <f t="shared" si="0"/>
        <v>54788</v>
      </c>
      <c r="DN2" s="397">
        <f t="shared" si="0"/>
        <v>54878</v>
      </c>
      <c r="DO2" s="397">
        <f t="shared" si="0"/>
        <v>54969</v>
      </c>
      <c r="DP2" s="397">
        <f t="shared" si="0"/>
        <v>55061</v>
      </c>
      <c r="DQ2" s="397">
        <f t="shared" si="0"/>
        <v>55153</v>
      </c>
      <c r="DR2" s="397">
        <f t="shared" si="0"/>
        <v>55243</v>
      </c>
      <c r="DS2" s="397">
        <f t="shared" si="0"/>
        <v>55334</v>
      </c>
      <c r="DT2" s="397">
        <f t="shared" si="0"/>
        <v>55426</v>
      </c>
      <c r="DU2" s="397">
        <f t="shared" si="0"/>
        <v>55518</v>
      </c>
      <c r="DV2" s="397">
        <f t="shared" si="0"/>
        <v>55609</v>
      </c>
      <c r="DW2" s="397">
        <f t="shared" si="0"/>
        <v>55700</v>
      </c>
      <c r="DX2" s="397">
        <f t="shared" si="0"/>
        <v>55792</v>
      </c>
      <c r="DY2" s="397">
        <f t="shared" si="0"/>
        <v>55884</v>
      </c>
      <c r="DZ2" s="397">
        <f t="shared" si="0"/>
        <v>55974</v>
      </c>
      <c r="EA2" s="397">
        <f t="shared" si="0"/>
        <v>56065</v>
      </c>
      <c r="EB2" s="397">
        <f t="shared" si="0"/>
        <v>56157</v>
      </c>
      <c r="EC2" s="397">
        <f t="shared" si="0"/>
        <v>56249</v>
      </c>
      <c r="ED2" s="397">
        <f t="shared" si="0"/>
        <v>56339</v>
      </c>
      <c r="EE2" s="397">
        <f t="shared" si="0"/>
        <v>56430</v>
      </c>
      <c r="EF2" s="397">
        <f t="shared" si="0"/>
        <v>56522</v>
      </c>
      <c r="EG2" s="397">
        <f t="shared" si="0"/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 t="shared" si="1" ref="J3:EG3">J133</f>
        <v>Pre-fcst</v>
      </c>
      <c r="K3" s="399" t="str">
        <f t="shared" si="1"/>
        <v>Pre-fcst</v>
      </c>
      <c r="L3" s="399" t="str">
        <f t="shared" si="1"/>
        <v>Fin Close</v>
      </c>
      <c r="M3" s="399" t="str">
        <f t="shared" si="1"/>
        <v>Construction</v>
      </c>
      <c r="N3" s="399" t="str">
        <f t="shared" si="1"/>
        <v>Construction</v>
      </c>
      <c r="O3" s="399" t="str">
        <f t="shared" si="1"/>
        <v>Construction</v>
      </c>
      <c r="P3" s="399" t="str">
        <f t="shared" si="1"/>
        <v>Construction</v>
      </c>
      <c r="Q3" s="399" t="str">
        <f t="shared" si="1"/>
        <v>Construction</v>
      </c>
      <c r="R3" s="399" t="str">
        <f t="shared" si="1"/>
        <v>Construction</v>
      </c>
      <c r="S3" s="399" t="str">
        <f t="shared" si="1"/>
        <v>Construction</v>
      </c>
      <c r="T3" s="399" t="str">
        <f t="shared" si="1"/>
        <v>Construction</v>
      </c>
      <c r="U3" s="399" t="str">
        <f t="shared" si="1"/>
        <v>Construction</v>
      </c>
      <c r="V3" s="399" t="str">
        <f t="shared" si="1"/>
        <v>Construction</v>
      </c>
      <c r="W3" s="399" t="str">
        <f t="shared" si="1"/>
        <v>Construction</v>
      </c>
      <c r="X3" s="399" t="str">
        <f t="shared" si="1"/>
        <v>Construction</v>
      </c>
      <c r="Y3" s="399" t="str">
        <f t="shared" si="1"/>
        <v>Construction</v>
      </c>
      <c r="Z3" s="399" t="str">
        <f t="shared" si="1"/>
        <v>Construction</v>
      </c>
      <c r="AA3" s="399" t="str">
        <f t="shared" si="1"/>
        <v>Construction</v>
      </c>
      <c r="AB3" s="399" t="str">
        <f t="shared" si="1"/>
        <v>Construction</v>
      </c>
      <c r="AC3" s="399" t="str">
        <f t="shared" si="1"/>
        <v>Construction</v>
      </c>
      <c r="AD3" s="399" t="str">
        <f t="shared" si="1"/>
        <v>Construction</v>
      </c>
      <c r="AE3" s="399" t="str">
        <f t="shared" si="1"/>
        <v>Construction</v>
      </c>
      <c r="AF3" s="399" t="str">
        <f t="shared" si="1"/>
        <v>Construction</v>
      </c>
      <c r="AG3" s="399" t="str">
        <f t="shared" si="1"/>
        <v>Construction</v>
      </c>
      <c r="AH3" s="399" t="str">
        <f t="shared" si="1"/>
        <v>Operations</v>
      </c>
      <c r="AI3" s="399" t="str">
        <f t="shared" si="1"/>
        <v>Operations</v>
      </c>
      <c r="AJ3" s="399" t="str">
        <f t="shared" si="1"/>
        <v>Operations</v>
      </c>
      <c r="AK3" s="399" t="str">
        <f t="shared" si="1"/>
        <v>Operations</v>
      </c>
      <c r="AL3" s="399" t="str">
        <f t="shared" si="1"/>
        <v>Operations</v>
      </c>
      <c r="AM3" s="399" t="str">
        <f t="shared" si="1"/>
        <v>Operations</v>
      </c>
      <c r="AN3" s="399" t="str">
        <f t="shared" si="1"/>
        <v>Operations</v>
      </c>
      <c r="AO3" s="399" t="str">
        <f t="shared" si="1"/>
        <v>Operations</v>
      </c>
      <c r="AP3" s="399" t="str">
        <f t="shared" si="1"/>
        <v>Operations</v>
      </c>
      <c r="AQ3" s="399" t="str">
        <f t="shared" si="1"/>
        <v>Operations</v>
      </c>
      <c r="AR3" s="399" t="str">
        <f t="shared" si="1"/>
        <v>Operations</v>
      </c>
      <c r="AS3" s="399" t="str">
        <f t="shared" si="1"/>
        <v>Operations</v>
      </c>
      <c r="AT3" s="399" t="str">
        <f t="shared" si="1"/>
        <v>Operations</v>
      </c>
      <c r="AU3" s="399" t="str">
        <f t="shared" si="1"/>
        <v>Operations</v>
      </c>
      <c r="AV3" s="399" t="str">
        <f t="shared" si="1"/>
        <v>Operations</v>
      </c>
      <c r="AW3" s="399" t="str">
        <f t="shared" si="1"/>
        <v>Operations</v>
      </c>
      <c r="AX3" s="399" t="str">
        <f t="shared" si="1"/>
        <v>Operations</v>
      </c>
      <c r="AY3" s="399" t="str">
        <f t="shared" si="1"/>
        <v>Operations</v>
      </c>
      <c r="AZ3" s="399" t="str">
        <f t="shared" si="1"/>
        <v>Operations</v>
      </c>
      <c r="BA3" s="399" t="str">
        <f t="shared" si="1"/>
        <v>Operations</v>
      </c>
      <c r="BB3" s="399" t="str">
        <f t="shared" si="1"/>
        <v>Operations</v>
      </c>
      <c r="BC3" s="399" t="str">
        <f t="shared" si="1"/>
        <v>Operations</v>
      </c>
      <c r="BD3" s="399" t="str">
        <f t="shared" si="1"/>
        <v>Operations</v>
      </c>
      <c r="BE3" s="399" t="str">
        <f t="shared" si="1"/>
        <v>Operations</v>
      </c>
      <c r="BF3" s="399" t="str">
        <f t="shared" si="1"/>
        <v>Operations</v>
      </c>
      <c r="BG3" s="399" t="str">
        <f t="shared" si="1"/>
        <v>Operations</v>
      </c>
      <c r="BH3" s="399" t="str">
        <f t="shared" si="1"/>
        <v>Operations</v>
      </c>
      <c r="BI3" s="399" t="str">
        <f t="shared" si="1"/>
        <v>Operations</v>
      </c>
      <c r="BJ3" s="399" t="str">
        <f t="shared" si="1"/>
        <v>Operations</v>
      </c>
      <c r="BK3" s="399" t="str">
        <f t="shared" si="1"/>
        <v>Operations</v>
      </c>
      <c r="BL3" s="399" t="str">
        <f t="shared" si="1"/>
        <v>Operations</v>
      </c>
      <c r="BM3" s="399" t="str">
        <f t="shared" si="1"/>
        <v>Operations</v>
      </c>
      <c r="BN3" s="399" t="str">
        <f t="shared" si="1"/>
        <v>Operations</v>
      </c>
      <c r="BO3" s="399" t="str">
        <f t="shared" si="1"/>
        <v>Operations</v>
      </c>
      <c r="BP3" s="399" t="str">
        <f t="shared" si="1"/>
        <v>Operations</v>
      </c>
      <c r="BQ3" s="399" t="str">
        <f t="shared" si="1"/>
        <v>Operations</v>
      </c>
      <c r="BR3" s="399" t="str">
        <f t="shared" si="1"/>
        <v>Operations</v>
      </c>
      <c r="BS3" s="399" t="str">
        <f t="shared" si="1"/>
        <v>Operations</v>
      </c>
      <c r="BT3" s="399" t="str">
        <f t="shared" si="1"/>
        <v>Operations</v>
      </c>
      <c r="BU3" s="399" t="str">
        <f t="shared" si="1"/>
        <v>Operations</v>
      </c>
      <c r="BV3" s="399" t="str">
        <f t="shared" si="1"/>
        <v>Operations</v>
      </c>
      <c r="BW3" s="399" t="str">
        <f t="shared" si="1"/>
        <v>Operations</v>
      </c>
      <c r="BX3" s="399" t="str">
        <f t="shared" si="1"/>
        <v>Operations</v>
      </c>
      <c r="BY3" s="399" t="str">
        <f t="shared" si="1"/>
        <v>Operations</v>
      </c>
      <c r="BZ3" s="399" t="str">
        <f t="shared" si="1"/>
        <v>Operations</v>
      </c>
      <c r="CA3" s="399" t="str">
        <f t="shared" si="1"/>
        <v>Operations</v>
      </c>
      <c r="CB3" s="399" t="str">
        <f t="shared" si="1"/>
        <v>Operations</v>
      </c>
      <c r="CC3" s="399" t="str">
        <f t="shared" si="1"/>
        <v>Operations</v>
      </c>
      <c r="CD3" s="399" t="str">
        <f t="shared" si="1"/>
        <v>Operations</v>
      </c>
      <c r="CE3" s="399" t="str">
        <f t="shared" si="1"/>
        <v>Operations</v>
      </c>
      <c r="CF3" s="399" t="str">
        <f t="shared" si="1"/>
        <v>Operations</v>
      </c>
      <c r="CG3" s="399" t="str">
        <f t="shared" si="1"/>
        <v>Operations</v>
      </c>
      <c r="CH3" s="399" t="str">
        <f t="shared" si="1"/>
        <v>Operations</v>
      </c>
      <c r="CI3" s="399" t="str">
        <f t="shared" si="1"/>
        <v>Operations</v>
      </c>
      <c r="CJ3" s="399" t="str">
        <f t="shared" si="1"/>
        <v>Operations</v>
      </c>
      <c r="CK3" s="399" t="str">
        <f t="shared" si="1"/>
        <v>Operations</v>
      </c>
      <c r="CL3" s="399" t="str">
        <f t="shared" si="1"/>
        <v>Operations</v>
      </c>
      <c r="CM3" s="399" t="str">
        <f t="shared" si="1"/>
        <v>Operations</v>
      </c>
      <c r="CN3" s="399" t="str">
        <f t="shared" si="1"/>
        <v>Operations</v>
      </c>
      <c r="CO3" s="399" t="str">
        <f t="shared" si="1"/>
        <v>Operations</v>
      </c>
      <c r="CP3" s="399" t="str">
        <f t="shared" si="1"/>
        <v>Operations</v>
      </c>
      <c r="CQ3" s="399" t="str">
        <f t="shared" si="1"/>
        <v>Operations</v>
      </c>
      <c r="CR3" s="399" t="str">
        <f t="shared" si="1"/>
        <v>Operations</v>
      </c>
      <c r="CS3" s="399" t="str">
        <f t="shared" si="1"/>
        <v>Operations</v>
      </c>
      <c r="CT3" s="399" t="str">
        <f t="shared" si="1"/>
        <v>Operations</v>
      </c>
      <c r="CU3" s="399" t="str">
        <f t="shared" si="1"/>
        <v>Operations</v>
      </c>
      <c r="CV3" s="399" t="str">
        <f t="shared" si="1"/>
        <v>Operations</v>
      </c>
      <c r="CW3" s="399" t="str">
        <f t="shared" si="1"/>
        <v>Operations</v>
      </c>
      <c r="CX3" s="399" t="str">
        <f t="shared" si="1"/>
        <v>Operations</v>
      </c>
      <c r="CY3" s="399" t="str">
        <f t="shared" si="1"/>
        <v>Operations</v>
      </c>
      <c r="CZ3" s="399" t="str">
        <f t="shared" si="1"/>
        <v>Operations</v>
      </c>
      <c r="DA3" s="399" t="str">
        <f t="shared" si="1"/>
        <v>Operations</v>
      </c>
      <c r="DB3" s="399" t="str">
        <f t="shared" si="1"/>
        <v>Operations</v>
      </c>
      <c r="DC3" s="399" t="str">
        <f t="shared" si="1"/>
        <v>Operations</v>
      </c>
      <c r="DD3" s="399" t="str">
        <f t="shared" si="1"/>
        <v>Operations</v>
      </c>
      <c r="DE3" s="399" t="str">
        <f t="shared" si="1"/>
        <v>Operations</v>
      </c>
      <c r="DF3" s="399" t="str">
        <f t="shared" si="1"/>
        <v>Operations</v>
      </c>
      <c r="DG3" s="399" t="str">
        <f t="shared" si="1"/>
        <v>Operations</v>
      </c>
      <c r="DH3" s="399" t="str">
        <f t="shared" si="1"/>
        <v>Operations</v>
      </c>
      <c r="DI3" s="399" t="str">
        <f t="shared" si="1"/>
        <v>Operations</v>
      </c>
      <c r="DJ3" s="399" t="str">
        <f t="shared" si="1"/>
        <v>Operations</v>
      </c>
      <c r="DK3" s="399" t="str">
        <f t="shared" si="1"/>
        <v>Operations</v>
      </c>
      <c r="DL3" s="399" t="str">
        <f t="shared" si="1"/>
        <v>Operations</v>
      </c>
      <c r="DM3" s="399" t="str">
        <f t="shared" si="1"/>
        <v>Operations</v>
      </c>
      <c r="DN3" s="399" t="str">
        <f t="shared" si="1"/>
        <v>Operations</v>
      </c>
      <c r="DO3" s="399" t="str">
        <f t="shared" si="1"/>
        <v>Operations</v>
      </c>
      <c r="DP3" s="399" t="str">
        <f t="shared" si="1"/>
        <v>Operations</v>
      </c>
      <c r="DQ3" s="399" t="str">
        <f t="shared" si="1"/>
        <v>Operations</v>
      </c>
      <c r="DR3" s="399" t="str">
        <f t="shared" si="1"/>
        <v>Operations</v>
      </c>
      <c r="DS3" s="399" t="str">
        <f t="shared" si="1"/>
        <v>Operations</v>
      </c>
      <c r="DT3" s="399" t="str">
        <f t="shared" si="1"/>
        <v>Operations</v>
      </c>
      <c r="DU3" s="399" t="str">
        <f t="shared" si="1"/>
        <v>Operations</v>
      </c>
      <c r="DV3" s="399" t="str">
        <f t="shared" si="1"/>
        <v>Operations</v>
      </c>
      <c r="DW3" s="399" t="str">
        <f t="shared" si="1"/>
        <v>Operations</v>
      </c>
      <c r="DX3" s="399" t="str">
        <f t="shared" si="1"/>
        <v>Operations</v>
      </c>
      <c r="DY3" s="399" t="str">
        <f t="shared" si="1"/>
        <v>Operations</v>
      </c>
      <c r="DZ3" s="399" t="str">
        <f t="shared" si="1"/>
        <v>Operations</v>
      </c>
      <c r="EA3" s="399" t="str">
        <f t="shared" si="1"/>
        <v>Operations</v>
      </c>
      <c r="EB3" s="399" t="str">
        <f t="shared" si="1"/>
        <v>Operations</v>
      </c>
      <c r="EC3" s="399" t="str">
        <f t="shared" si="1"/>
        <v>Operations</v>
      </c>
      <c r="ED3" s="399" t="str">
        <f t="shared" si="1"/>
        <v>Post ops</v>
      </c>
      <c r="EE3" s="399" t="str">
        <f t="shared" si="1"/>
        <v>Post ops</v>
      </c>
      <c r="EF3" s="399" t="str">
        <f t="shared" si="1"/>
        <v>Post ops</v>
      </c>
      <c r="EG3" s="399" t="str">
        <f t="shared" si="1"/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 t="shared" si="2" ref="J4:EG4">J117</f>
        <v>2027</v>
      </c>
      <c r="K4" s="400">
        <f t="shared" si="2"/>
        <v>2027</v>
      </c>
      <c r="L4" s="400">
        <f t="shared" si="2"/>
        <v>2027</v>
      </c>
      <c r="M4" s="400">
        <f t="shared" si="2"/>
        <v>2027</v>
      </c>
      <c r="N4" s="400">
        <f t="shared" si="2"/>
        <v>2027</v>
      </c>
      <c r="O4" s="400">
        <f t="shared" si="2"/>
        <v>2027</v>
      </c>
      <c r="P4" s="400">
        <f t="shared" si="2"/>
        <v>2027</v>
      </c>
      <c r="Q4" s="400">
        <f t="shared" si="2"/>
        <v>2027</v>
      </c>
      <c r="R4" s="400">
        <f t="shared" si="2"/>
        <v>2027</v>
      </c>
      <c r="S4" s="400">
        <f t="shared" si="2"/>
        <v>2027</v>
      </c>
      <c r="T4" s="400">
        <f t="shared" si="2"/>
        <v>2027</v>
      </c>
      <c r="U4" s="400">
        <f t="shared" si="2"/>
        <v>2027</v>
      </c>
      <c r="V4" s="400">
        <f t="shared" si="2"/>
        <v>2028</v>
      </c>
      <c r="W4" s="400">
        <f t="shared" si="2"/>
        <v>2028</v>
      </c>
      <c r="X4" s="400">
        <f t="shared" si="2"/>
        <v>2028</v>
      </c>
      <c r="Y4" s="400">
        <f t="shared" si="2"/>
        <v>2028</v>
      </c>
      <c r="Z4" s="400">
        <f t="shared" si="2"/>
        <v>2028</v>
      </c>
      <c r="AA4" s="400">
        <f t="shared" si="2"/>
        <v>2028</v>
      </c>
      <c r="AB4" s="400">
        <f t="shared" si="2"/>
        <v>2028</v>
      </c>
      <c r="AC4" s="400">
        <f t="shared" si="2"/>
        <v>2028</v>
      </c>
      <c r="AD4" s="400">
        <f t="shared" si="2"/>
        <v>2028</v>
      </c>
      <c r="AE4" s="400">
        <f t="shared" si="2"/>
        <v>2028</v>
      </c>
      <c r="AF4" s="400">
        <f t="shared" si="2"/>
        <v>2028</v>
      </c>
      <c r="AG4" s="400">
        <f t="shared" si="2"/>
        <v>2028</v>
      </c>
      <c r="AH4" s="400">
        <f t="shared" si="2"/>
        <v>2029</v>
      </c>
      <c r="AI4" s="400">
        <f t="shared" si="2"/>
        <v>2029</v>
      </c>
      <c r="AJ4" s="400">
        <f t="shared" si="2"/>
        <v>2029</v>
      </c>
      <c r="AK4" s="400">
        <f t="shared" si="2"/>
        <v>2029</v>
      </c>
      <c r="AL4" s="400">
        <f t="shared" si="2"/>
        <v>2030</v>
      </c>
      <c r="AM4" s="400">
        <f t="shared" si="2"/>
        <v>2030</v>
      </c>
      <c r="AN4" s="400">
        <f t="shared" si="2"/>
        <v>2030</v>
      </c>
      <c r="AO4" s="400">
        <f t="shared" si="2"/>
        <v>2030</v>
      </c>
      <c r="AP4" s="400">
        <f t="shared" si="2"/>
        <v>2031</v>
      </c>
      <c r="AQ4" s="400">
        <f t="shared" si="2"/>
        <v>2031</v>
      </c>
      <c r="AR4" s="400">
        <f t="shared" si="2"/>
        <v>2031</v>
      </c>
      <c r="AS4" s="400">
        <f t="shared" si="2"/>
        <v>2031</v>
      </c>
      <c r="AT4" s="400">
        <f t="shared" si="2"/>
        <v>2032</v>
      </c>
      <c r="AU4" s="400">
        <f t="shared" si="2"/>
        <v>2032</v>
      </c>
      <c r="AV4" s="400">
        <f t="shared" si="2"/>
        <v>2032</v>
      </c>
      <c r="AW4" s="400">
        <f t="shared" si="2"/>
        <v>2032</v>
      </c>
      <c r="AX4" s="400">
        <f t="shared" si="2"/>
        <v>2033</v>
      </c>
      <c r="AY4" s="400">
        <f t="shared" si="2"/>
        <v>2033</v>
      </c>
      <c r="AZ4" s="400">
        <f t="shared" si="2"/>
        <v>2033</v>
      </c>
      <c r="BA4" s="400">
        <f t="shared" si="2"/>
        <v>2033</v>
      </c>
      <c r="BB4" s="400">
        <f t="shared" si="2"/>
        <v>2034</v>
      </c>
      <c r="BC4" s="400">
        <f t="shared" si="2"/>
        <v>2034</v>
      </c>
      <c r="BD4" s="400">
        <f t="shared" si="2"/>
        <v>2034</v>
      </c>
      <c r="BE4" s="400">
        <f t="shared" si="2"/>
        <v>2034</v>
      </c>
      <c r="BF4" s="400">
        <f t="shared" si="2"/>
        <v>2035</v>
      </c>
      <c r="BG4" s="400">
        <f t="shared" si="2"/>
        <v>2035</v>
      </c>
      <c r="BH4" s="400">
        <f t="shared" si="2"/>
        <v>2035</v>
      </c>
      <c r="BI4" s="400">
        <f t="shared" si="2"/>
        <v>2035</v>
      </c>
      <c r="BJ4" s="400">
        <f t="shared" si="2"/>
        <v>2036</v>
      </c>
      <c r="BK4" s="400">
        <f t="shared" si="2"/>
        <v>2036</v>
      </c>
      <c r="BL4" s="400">
        <f t="shared" si="2"/>
        <v>2036</v>
      </c>
      <c r="BM4" s="400">
        <f t="shared" si="2"/>
        <v>2036</v>
      </c>
      <c r="BN4" s="400">
        <f t="shared" si="2"/>
        <v>2037</v>
      </c>
      <c r="BO4" s="400">
        <f t="shared" si="2"/>
        <v>2037</v>
      </c>
      <c r="BP4" s="400">
        <f t="shared" si="2"/>
        <v>2037</v>
      </c>
      <c r="BQ4" s="400">
        <f t="shared" si="2"/>
        <v>2037</v>
      </c>
      <c r="BR4" s="400">
        <f t="shared" si="2"/>
        <v>2038</v>
      </c>
      <c r="BS4" s="400">
        <f t="shared" si="2"/>
        <v>2038</v>
      </c>
      <c r="BT4" s="400">
        <f t="shared" si="2"/>
        <v>2038</v>
      </c>
      <c r="BU4" s="400">
        <f t="shared" si="2"/>
        <v>2038</v>
      </c>
      <c r="BV4" s="400">
        <f t="shared" si="2"/>
        <v>2039</v>
      </c>
      <c r="BW4" s="400">
        <f t="shared" si="2"/>
        <v>2039</v>
      </c>
      <c r="BX4" s="400">
        <f t="shared" si="2"/>
        <v>2039</v>
      </c>
      <c r="BY4" s="400">
        <f t="shared" si="2"/>
        <v>2039</v>
      </c>
      <c r="BZ4" s="400">
        <f t="shared" si="2"/>
        <v>2040</v>
      </c>
      <c r="CA4" s="400">
        <f t="shared" si="2"/>
        <v>2040</v>
      </c>
      <c r="CB4" s="400">
        <f t="shared" si="2"/>
        <v>2040</v>
      </c>
      <c r="CC4" s="400">
        <f t="shared" si="2"/>
        <v>2040</v>
      </c>
      <c r="CD4" s="400">
        <f t="shared" si="2"/>
        <v>2041</v>
      </c>
      <c r="CE4" s="400">
        <f t="shared" si="2"/>
        <v>2041</v>
      </c>
      <c r="CF4" s="400">
        <f t="shared" si="2"/>
        <v>2041</v>
      </c>
      <c r="CG4" s="400">
        <f t="shared" si="2"/>
        <v>2041</v>
      </c>
      <c r="CH4" s="400">
        <f t="shared" si="2"/>
        <v>2042</v>
      </c>
      <c r="CI4" s="400">
        <f t="shared" si="2"/>
        <v>2042</v>
      </c>
      <c r="CJ4" s="400">
        <f t="shared" si="2"/>
        <v>2042</v>
      </c>
      <c r="CK4" s="400">
        <f t="shared" si="2"/>
        <v>2042</v>
      </c>
      <c r="CL4" s="400">
        <f t="shared" si="2"/>
        <v>2043</v>
      </c>
      <c r="CM4" s="400">
        <f t="shared" si="2"/>
        <v>2043</v>
      </c>
      <c r="CN4" s="400">
        <f t="shared" si="2"/>
        <v>2043</v>
      </c>
      <c r="CO4" s="400">
        <f t="shared" si="2"/>
        <v>2043</v>
      </c>
      <c r="CP4" s="400">
        <f t="shared" si="2"/>
        <v>2044</v>
      </c>
      <c r="CQ4" s="400">
        <f t="shared" si="2"/>
        <v>2044</v>
      </c>
      <c r="CR4" s="400">
        <f t="shared" si="2"/>
        <v>2044</v>
      </c>
      <c r="CS4" s="400">
        <f t="shared" si="2"/>
        <v>2044</v>
      </c>
      <c r="CT4" s="400">
        <f t="shared" si="2"/>
        <v>2045</v>
      </c>
      <c r="CU4" s="400">
        <f t="shared" si="2"/>
        <v>2045</v>
      </c>
      <c r="CV4" s="400">
        <f t="shared" si="2"/>
        <v>2045</v>
      </c>
      <c r="CW4" s="400">
        <f t="shared" si="2"/>
        <v>2045</v>
      </c>
      <c r="CX4" s="400">
        <f t="shared" si="2"/>
        <v>2046</v>
      </c>
      <c r="CY4" s="400">
        <f t="shared" si="2"/>
        <v>2046</v>
      </c>
      <c r="CZ4" s="400">
        <f t="shared" si="2"/>
        <v>2046</v>
      </c>
      <c r="DA4" s="400">
        <f t="shared" si="2"/>
        <v>2046</v>
      </c>
      <c r="DB4" s="400">
        <f t="shared" si="2"/>
        <v>2047</v>
      </c>
      <c r="DC4" s="400">
        <f t="shared" si="2"/>
        <v>2047</v>
      </c>
      <c r="DD4" s="400">
        <f t="shared" si="2"/>
        <v>2047</v>
      </c>
      <c r="DE4" s="400">
        <f t="shared" si="2"/>
        <v>2047</v>
      </c>
      <c r="DF4" s="400">
        <f t="shared" si="2"/>
        <v>2048</v>
      </c>
      <c r="DG4" s="400">
        <f t="shared" si="2"/>
        <v>2048</v>
      </c>
      <c r="DH4" s="400">
        <f t="shared" si="2"/>
        <v>2048</v>
      </c>
      <c r="DI4" s="400">
        <f t="shared" si="2"/>
        <v>2048</v>
      </c>
      <c r="DJ4" s="400">
        <f t="shared" si="2"/>
        <v>2049</v>
      </c>
      <c r="DK4" s="400">
        <f t="shared" si="2"/>
        <v>2049</v>
      </c>
      <c r="DL4" s="400">
        <f t="shared" si="2"/>
        <v>2049</v>
      </c>
      <c r="DM4" s="400">
        <f t="shared" si="2"/>
        <v>2049</v>
      </c>
      <c r="DN4" s="400">
        <f t="shared" si="2"/>
        <v>2050</v>
      </c>
      <c r="DO4" s="400">
        <f t="shared" si="2"/>
        <v>2050</v>
      </c>
      <c r="DP4" s="400">
        <f t="shared" si="2"/>
        <v>2050</v>
      </c>
      <c r="DQ4" s="400">
        <f t="shared" si="2"/>
        <v>2050</v>
      </c>
      <c r="DR4" s="400">
        <f t="shared" si="2"/>
        <v>2051</v>
      </c>
      <c r="DS4" s="400">
        <f t="shared" si="2"/>
        <v>2051</v>
      </c>
      <c r="DT4" s="400">
        <f t="shared" si="2"/>
        <v>2051</v>
      </c>
      <c r="DU4" s="400">
        <f t="shared" si="2"/>
        <v>2051</v>
      </c>
      <c r="DV4" s="400">
        <f t="shared" si="2"/>
        <v>2052</v>
      </c>
      <c r="DW4" s="400">
        <f t="shared" si="2"/>
        <v>2052</v>
      </c>
      <c r="DX4" s="400">
        <f t="shared" si="2"/>
        <v>2052</v>
      </c>
      <c r="DY4" s="400">
        <f t="shared" si="2"/>
        <v>2052</v>
      </c>
      <c r="DZ4" s="400">
        <f t="shared" si="2"/>
        <v>2053</v>
      </c>
      <c r="EA4" s="400">
        <f t="shared" si="2"/>
        <v>2053</v>
      </c>
      <c r="EB4" s="400">
        <f t="shared" si="2"/>
        <v>2053</v>
      </c>
      <c r="EC4" s="400">
        <f t="shared" si="2"/>
        <v>2053</v>
      </c>
      <c r="ED4" s="400">
        <f t="shared" si="2"/>
        <v>2054</v>
      </c>
      <c r="EE4" s="400">
        <f t="shared" si="2"/>
        <v>2054</v>
      </c>
      <c r="EF4" s="400">
        <f t="shared" si="2"/>
        <v>2054</v>
      </c>
      <c r="EG4" s="400">
        <f t="shared" si="2"/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 t="shared" si="3" ref="J5:EG5">J10</f>
        <v>1</v>
      </c>
      <c r="K5" s="333">
        <f t="shared" si="3"/>
        <v>2</v>
      </c>
      <c r="L5" s="333">
        <f t="shared" si="3"/>
        <v>3</v>
      </c>
      <c r="M5" s="333">
        <f t="shared" si="3"/>
        <v>4</v>
      </c>
      <c r="N5" s="333">
        <f t="shared" si="3"/>
        <v>5</v>
      </c>
      <c r="O5" s="333">
        <f t="shared" si="3"/>
        <v>6</v>
      </c>
      <c r="P5" s="333">
        <f t="shared" si="3"/>
        <v>7</v>
      </c>
      <c r="Q5" s="333">
        <f t="shared" si="3"/>
        <v>8</v>
      </c>
      <c r="R5" s="333">
        <f t="shared" si="3"/>
        <v>9</v>
      </c>
      <c r="S5" s="333">
        <f t="shared" si="3"/>
        <v>10</v>
      </c>
      <c r="T5" s="333">
        <f t="shared" si="3"/>
        <v>11</v>
      </c>
      <c r="U5" s="333">
        <f t="shared" si="3"/>
        <v>12</v>
      </c>
      <c r="V5" s="333">
        <f t="shared" si="3"/>
        <v>13</v>
      </c>
      <c r="W5" s="333">
        <f t="shared" si="3"/>
        <v>14</v>
      </c>
      <c r="X5" s="333">
        <f t="shared" si="3"/>
        <v>15</v>
      </c>
      <c r="Y5" s="333">
        <f t="shared" si="3"/>
        <v>16</v>
      </c>
      <c r="Z5" s="333">
        <f t="shared" si="3"/>
        <v>17</v>
      </c>
      <c r="AA5" s="333">
        <f t="shared" si="3"/>
        <v>18</v>
      </c>
      <c r="AB5" s="333">
        <f t="shared" si="3"/>
        <v>19</v>
      </c>
      <c r="AC5" s="333">
        <f t="shared" si="3"/>
        <v>20</v>
      </c>
      <c r="AD5" s="333">
        <f t="shared" si="3"/>
        <v>21</v>
      </c>
      <c r="AE5" s="333">
        <f t="shared" si="3"/>
        <v>22</v>
      </c>
      <c r="AF5" s="333">
        <f t="shared" si="3"/>
        <v>23</v>
      </c>
      <c r="AG5" s="333">
        <f t="shared" si="3"/>
        <v>24</v>
      </c>
      <c r="AH5" s="333">
        <f t="shared" si="3"/>
        <v>25</v>
      </c>
      <c r="AI5" s="333">
        <f t="shared" si="3"/>
        <v>26</v>
      </c>
      <c r="AJ5" s="333">
        <f t="shared" si="3"/>
        <v>27</v>
      </c>
      <c r="AK5" s="333">
        <f t="shared" si="3"/>
        <v>28</v>
      </c>
      <c r="AL5" s="333">
        <f t="shared" si="3"/>
        <v>29</v>
      </c>
      <c r="AM5" s="333">
        <f t="shared" si="3"/>
        <v>30</v>
      </c>
      <c r="AN5" s="333">
        <f t="shared" si="3"/>
        <v>31</v>
      </c>
      <c r="AO5" s="333">
        <f t="shared" si="3"/>
        <v>32</v>
      </c>
      <c r="AP5" s="333">
        <f t="shared" si="3"/>
        <v>33</v>
      </c>
      <c r="AQ5" s="333">
        <f t="shared" si="3"/>
        <v>34</v>
      </c>
      <c r="AR5" s="333">
        <f t="shared" si="3"/>
        <v>35</v>
      </c>
      <c r="AS5" s="333">
        <f t="shared" si="3"/>
        <v>36</v>
      </c>
      <c r="AT5" s="333">
        <f t="shared" si="3"/>
        <v>37</v>
      </c>
      <c r="AU5" s="333">
        <f t="shared" si="3"/>
        <v>38</v>
      </c>
      <c r="AV5" s="333">
        <f t="shared" si="3"/>
        <v>39</v>
      </c>
      <c r="AW5" s="333">
        <f t="shared" si="3"/>
        <v>40</v>
      </c>
      <c r="AX5" s="333">
        <f t="shared" si="3"/>
        <v>41</v>
      </c>
      <c r="AY5" s="333">
        <f t="shared" si="3"/>
        <v>42</v>
      </c>
      <c r="AZ5" s="333">
        <f t="shared" si="3"/>
        <v>43</v>
      </c>
      <c r="BA5" s="333">
        <f t="shared" si="3"/>
        <v>44</v>
      </c>
      <c r="BB5" s="333">
        <f t="shared" si="3"/>
        <v>45</v>
      </c>
      <c r="BC5" s="333">
        <f t="shared" si="3"/>
        <v>46</v>
      </c>
      <c r="BD5" s="333">
        <f t="shared" si="3"/>
        <v>47</v>
      </c>
      <c r="BE5" s="333">
        <f t="shared" si="3"/>
        <v>48</v>
      </c>
      <c r="BF5" s="333">
        <f t="shared" si="3"/>
        <v>49</v>
      </c>
      <c r="BG5" s="333">
        <f t="shared" si="3"/>
        <v>50</v>
      </c>
      <c r="BH5" s="333">
        <f t="shared" si="3"/>
        <v>51</v>
      </c>
      <c r="BI5" s="333">
        <f t="shared" si="3"/>
        <v>52</v>
      </c>
      <c r="BJ5" s="333">
        <f t="shared" si="3"/>
        <v>53</v>
      </c>
      <c r="BK5" s="333">
        <f t="shared" si="3"/>
        <v>54</v>
      </c>
      <c r="BL5" s="333">
        <f t="shared" si="3"/>
        <v>55</v>
      </c>
      <c r="BM5" s="333">
        <f t="shared" si="3"/>
        <v>56</v>
      </c>
      <c r="BN5" s="333">
        <f t="shared" si="3"/>
        <v>57</v>
      </c>
      <c r="BO5" s="333">
        <f t="shared" si="3"/>
        <v>58</v>
      </c>
      <c r="BP5" s="333">
        <f t="shared" si="3"/>
        <v>59</v>
      </c>
      <c r="BQ5" s="333">
        <f t="shared" si="3"/>
        <v>60</v>
      </c>
      <c r="BR5" s="333">
        <f t="shared" si="3"/>
        <v>61</v>
      </c>
      <c r="BS5" s="333">
        <f t="shared" si="3"/>
        <v>62</v>
      </c>
      <c r="BT5" s="333">
        <f t="shared" si="3"/>
        <v>63</v>
      </c>
      <c r="BU5" s="333">
        <f t="shared" si="3"/>
        <v>64</v>
      </c>
      <c r="BV5" s="333">
        <f t="shared" si="3"/>
        <v>65</v>
      </c>
      <c r="BW5" s="333">
        <f t="shared" si="3"/>
        <v>66</v>
      </c>
      <c r="BX5" s="333">
        <f t="shared" si="3"/>
        <v>67</v>
      </c>
      <c r="BY5" s="333">
        <f t="shared" si="3"/>
        <v>68</v>
      </c>
      <c r="BZ5" s="333">
        <f t="shared" si="3"/>
        <v>69</v>
      </c>
      <c r="CA5" s="333">
        <f t="shared" si="3"/>
        <v>70</v>
      </c>
      <c r="CB5" s="333">
        <f t="shared" si="3"/>
        <v>71</v>
      </c>
      <c r="CC5" s="333">
        <f t="shared" si="3"/>
        <v>72</v>
      </c>
      <c r="CD5" s="333">
        <f t="shared" si="3"/>
        <v>73</v>
      </c>
      <c r="CE5" s="333">
        <f t="shared" si="3"/>
        <v>74</v>
      </c>
      <c r="CF5" s="333">
        <f t="shared" si="3"/>
        <v>75</v>
      </c>
      <c r="CG5" s="333">
        <f t="shared" si="3"/>
        <v>76</v>
      </c>
      <c r="CH5" s="333">
        <f t="shared" si="3"/>
        <v>77</v>
      </c>
      <c r="CI5" s="333">
        <f t="shared" si="3"/>
        <v>78</v>
      </c>
      <c r="CJ5" s="333">
        <f t="shared" si="3"/>
        <v>79</v>
      </c>
      <c r="CK5" s="333">
        <f t="shared" si="3"/>
        <v>80</v>
      </c>
      <c r="CL5" s="333">
        <f t="shared" si="3"/>
        <v>81</v>
      </c>
      <c r="CM5" s="333">
        <f t="shared" si="3"/>
        <v>82</v>
      </c>
      <c r="CN5" s="333">
        <f t="shared" si="3"/>
        <v>83</v>
      </c>
      <c r="CO5" s="333">
        <f t="shared" si="3"/>
        <v>84</v>
      </c>
      <c r="CP5" s="333">
        <f t="shared" si="3"/>
        <v>85</v>
      </c>
      <c r="CQ5" s="333">
        <f t="shared" si="3"/>
        <v>86</v>
      </c>
      <c r="CR5" s="333">
        <f t="shared" si="3"/>
        <v>87</v>
      </c>
      <c r="CS5" s="333">
        <f t="shared" si="3"/>
        <v>88</v>
      </c>
      <c r="CT5" s="333">
        <f t="shared" si="3"/>
        <v>89</v>
      </c>
      <c r="CU5" s="333">
        <f t="shared" si="3"/>
        <v>90</v>
      </c>
      <c r="CV5" s="333">
        <f t="shared" si="3"/>
        <v>91</v>
      </c>
      <c r="CW5" s="333">
        <f t="shared" si="3"/>
        <v>92</v>
      </c>
      <c r="CX5" s="333">
        <f t="shared" si="3"/>
        <v>93</v>
      </c>
      <c r="CY5" s="333">
        <f t="shared" si="3"/>
        <v>94</v>
      </c>
      <c r="CZ5" s="333">
        <f t="shared" si="3"/>
        <v>95</v>
      </c>
      <c r="DA5" s="333">
        <f t="shared" si="3"/>
        <v>96</v>
      </c>
      <c r="DB5" s="333">
        <f t="shared" si="3"/>
        <v>97</v>
      </c>
      <c r="DC5" s="333">
        <f t="shared" si="3"/>
        <v>98</v>
      </c>
      <c r="DD5" s="333">
        <f t="shared" si="3"/>
        <v>99</v>
      </c>
      <c r="DE5" s="333">
        <f t="shared" si="3"/>
        <v>100</v>
      </c>
      <c r="DF5" s="333">
        <f t="shared" si="3"/>
        <v>101</v>
      </c>
      <c r="DG5" s="333">
        <f t="shared" si="3"/>
        <v>102</v>
      </c>
      <c r="DH5" s="333">
        <f t="shared" si="3"/>
        <v>103</v>
      </c>
      <c r="DI5" s="333">
        <f t="shared" si="3"/>
        <v>104</v>
      </c>
      <c r="DJ5" s="333">
        <f t="shared" si="3"/>
        <v>105</v>
      </c>
      <c r="DK5" s="333">
        <f t="shared" si="3"/>
        <v>106</v>
      </c>
      <c r="DL5" s="333">
        <f t="shared" si="3"/>
        <v>107</v>
      </c>
      <c r="DM5" s="333">
        <f t="shared" si="3"/>
        <v>108</v>
      </c>
      <c r="DN5" s="333">
        <f t="shared" si="3"/>
        <v>109</v>
      </c>
      <c r="DO5" s="333">
        <f t="shared" si="3"/>
        <v>110</v>
      </c>
      <c r="DP5" s="333">
        <f t="shared" si="3"/>
        <v>111</v>
      </c>
      <c r="DQ5" s="333">
        <f t="shared" si="3"/>
        <v>112</v>
      </c>
      <c r="DR5" s="333">
        <f t="shared" si="3"/>
        <v>113</v>
      </c>
      <c r="DS5" s="333">
        <f t="shared" si="3"/>
        <v>114</v>
      </c>
      <c r="DT5" s="333">
        <f t="shared" si="3"/>
        <v>115</v>
      </c>
      <c r="DU5" s="333">
        <f t="shared" si="3"/>
        <v>116</v>
      </c>
      <c r="DV5" s="333">
        <f t="shared" si="3"/>
        <v>117</v>
      </c>
      <c r="DW5" s="333">
        <f t="shared" si="3"/>
        <v>118</v>
      </c>
      <c r="DX5" s="333">
        <f t="shared" si="3"/>
        <v>119</v>
      </c>
      <c r="DY5" s="333">
        <f t="shared" si="3"/>
        <v>120</v>
      </c>
      <c r="DZ5" s="333">
        <f t="shared" si="3"/>
        <v>121</v>
      </c>
      <c r="EA5" s="333">
        <f t="shared" si="3"/>
        <v>122</v>
      </c>
      <c r="EB5" s="333">
        <f t="shared" si="3"/>
        <v>123</v>
      </c>
      <c r="EC5" s="333">
        <f t="shared" si="3"/>
        <v>124</v>
      </c>
      <c r="ED5" s="333">
        <f t="shared" si="3"/>
        <v>125</v>
      </c>
      <c r="EE5" s="333">
        <f t="shared" si="3"/>
        <v>126</v>
      </c>
      <c r="EF5" s="333">
        <f t="shared" si="3"/>
        <v>127</v>
      </c>
      <c r="EG5" s="333">
        <f t="shared" si="3"/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152</v>
      </c>
    </row>
    <row r="9" spans="2:2" ht="12.75">
      <c r="B9" s="534" t="s">
        <v>153</v>
      </c>
    </row>
    <row r="10" spans="5:137" ht="12.75">
      <c r="E10" s="538" t="s">
        <v>143</v>
      </c>
      <c r="G10" s="539" t="s">
        <v>154</v>
      </c>
      <c r="H10" s="539">
        <f>SUM(J10:EG10)</f>
        <v>8256</v>
      </c>
      <c r="J10" s="539">
        <f t="shared" si="4" ref="J10:EG10">I10+1</f>
        <v>1</v>
      </c>
      <c r="K10" s="539">
        <f t="shared" si="4"/>
        <v>2</v>
      </c>
      <c r="L10" s="539">
        <f t="shared" si="4"/>
        <v>3</v>
      </c>
      <c r="M10" s="539">
        <f t="shared" si="4"/>
        <v>4</v>
      </c>
      <c r="N10" s="539">
        <f t="shared" si="4"/>
        <v>5</v>
      </c>
      <c r="O10" s="539">
        <f t="shared" si="4"/>
        <v>6</v>
      </c>
      <c r="P10" s="539">
        <f t="shared" si="4"/>
        <v>7</v>
      </c>
      <c r="Q10" s="539">
        <f t="shared" si="4"/>
        <v>8</v>
      </c>
      <c r="R10" s="539">
        <f t="shared" si="4"/>
        <v>9</v>
      </c>
      <c r="S10" s="539">
        <f t="shared" si="4"/>
        <v>10</v>
      </c>
      <c r="T10" s="539">
        <f t="shared" si="4"/>
        <v>11</v>
      </c>
      <c r="U10" s="539">
        <f t="shared" si="4"/>
        <v>12</v>
      </c>
      <c r="V10" s="539">
        <f t="shared" si="4"/>
        <v>13</v>
      </c>
      <c r="W10" s="539">
        <f t="shared" si="4"/>
        <v>14</v>
      </c>
      <c r="X10" s="539">
        <f t="shared" si="4"/>
        <v>15</v>
      </c>
      <c r="Y10" s="539">
        <f t="shared" si="4"/>
        <v>16</v>
      </c>
      <c r="Z10" s="539">
        <f t="shared" si="4"/>
        <v>17</v>
      </c>
      <c r="AA10" s="539">
        <f t="shared" si="4"/>
        <v>18</v>
      </c>
      <c r="AB10" s="539">
        <f t="shared" si="4"/>
        <v>19</v>
      </c>
      <c r="AC10" s="539">
        <f t="shared" si="4"/>
        <v>20</v>
      </c>
      <c r="AD10" s="539">
        <f t="shared" si="4"/>
        <v>21</v>
      </c>
      <c r="AE10" s="539">
        <f t="shared" si="4"/>
        <v>22</v>
      </c>
      <c r="AF10" s="539">
        <f t="shared" si="4"/>
        <v>23</v>
      </c>
      <c r="AG10" s="539">
        <f t="shared" si="4"/>
        <v>24</v>
      </c>
      <c r="AH10" s="539">
        <f t="shared" si="4"/>
        <v>25</v>
      </c>
      <c r="AI10" s="539">
        <f t="shared" si="4"/>
        <v>26</v>
      </c>
      <c r="AJ10" s="539">
        <f t="shared" si="4"/>
        <v>27</v>
      </c>
      <c r="AK10" s="539">
        <f t="shared" si="4"/>
        <v>28</v>
      </c>
      <c r="AL10" s="539">
        <f t="shared" si="4"/>
        <v>29</v>
      </c>
      <c r="AM10" s="539">
        <f t="shared" si="4"/>
        <v>30</v>
      </c>
      <c r="AN10" s="539">
        <f t="shared" si="4"/>
        <v>31</v>
      </c>
      <c r="AO10" s="539">
        <f t="shared" si="4"/>
        <v>32</v>
      </c>
      <c r="AP10" s="539">
        <f t="shared" si="4"/>
        <v>33</v>
      </c>
      <c r="AQ10" s="539">
        <f t="shared" si="4"/>
        <v>34</v>
      </c>
      <c r="AR10" s="539">
        <f t="shared" si="4"/>
        <v>35</v>
      </c>
      <c r="AS10" s="539">
        <f t="shared" si="4"/>
        <v>36</v>
      </c>
      <c r="AT10" s="539">
        <f t="shared" si="4"/>
        <v>37</v>
      </c>
      <c r="AU10" s="539">
        <f t="shared" si="4"/>
        <v>38</v>
      </c>
      <c r="AV10" s="539">
        <f t="shared" si="4"/>
        <v>39</v>
      </c>
      <c r="AW10" s="539">
        <f t="shared" si="4"/>
        <v>40</v>
      </c>
      <c r="AX10" s="539">
        <f t="shared" si="4"/>
        <v>41</v>
      </c>
      <c r="AY10" s="539">
        <f t="shared" si="4"/>
        <v>42</v>
      </c>
      <c r="AZ10" s="539">
        <f t="shared" si="4"/>
        <v>43</v>
      </c>
      <c r="BA10" s="539">
        <f t="shared" si="4"/>
        <v>44</v>
      </c>
      <c r="BB10" s="539">
        <f t="shared" si="4"/>
        <v>45</v>
      </c>
      <c r="BC10" s="539">
        <f t="shared" si="4"/>
        <v>46</v>
      </c>
      <c r="BD10" s="539">
        <f t="shared" si="4"/>
        <v>47</v>
      </c>
      <c r="BE10" s="539">
        <f t="shared" si="4"/>
        <v>48</v>
      </c>
      <c r="BF10" s="539">
        <f t="shared" si="4"/>
        <v>49</v>
      </c>
      <c r="BG10" s="539">
        <f t="shared" si="4"/>
        <v>50</v>
      </c>
      <c r="BH10" s="539">
        <f t="shared" si="4"/>
        <v>51</v>
      </c>
      <c r="BI10" s="539">
        <f t="shared" si="4"/>
        <v>52</v>
      </c>
      <c r="BJ10" s="539">
        <f t="shared" si="4"/>
        <v>53</v>
      </c>
      <c r="BK10" s="539">
        <f t="shared" si="4"/>
        <v>54</v>
      </c>
      <c r="BL10" s="539">
        <f t="shared" si="4"/>
        <v>55</v>
      </c>
      <c r="BM10" s="539">
        <f t="shared" si="4"/>
        <v>56</v>
      </c>
      <c r="BN10" s="539">
        <f t="shared" si="4"/>
        <v>57</v>
      </c>
      <c r="BO10" s="539">
        <f t="shared" si="4"/>
        <v>58</v>
      </c>
      <c r="BP10" s="539">
        <f t="shared" si="4"/>
        <v>59</v>
      </c>
      <c r="BQ10" s="539">
        <f t="shared" si="4"/>
        <v>60</v>
      </c>
      <c r="BR10" s="539">
        <f t="shared" si="4"/>
        <v>61</v>
      </c>
      <c r="BS10" s="539">
        <f t="shared" si="4"/>
        <v>62</v>
      </c>
      <c r="BT10" s="539">
        <f t="shared" si="4"/>
        <v>63</v>
      </c>
      <c r="BU10" s="539">
        <f t="shared" si="4"/>
        <v>64</v>
      </c>
      <c r="BV10" s="539">
        <f t="shared" si="4"/>
        <v>65</v>
      </c>
      <c r="BW10" s="539">
        <f t="shared" si="4"/>
        <v>66</v>
      </c>
      <c r="BX10" s="539">
        <f t="shared" si="4"/>
        <v>67</v>
      </c>
      <c r="BY10" s="539">
        <f t="shared" si="4"/>
        <v>68</v>
      </c>
      <c r="BZ10" s="539">
        <f t="shared" si="4"/>
        <v>69</v>
      </c>
      <c r="CA10" s="539">
        <f t="shared" si="4"/>
        <v>70</v>
      </c>
      <c r="CB10" s="539">
        <f t="shared" si="4"/>
        <v>71</v>
      </c>
      <c r="CC10" s="539">
        <f t="shared" si="4"/>
        <v>72</v>
      </c>
      <c r="CD10" s="539">
        <f t="shared" si="4"/>
        <v>73</v>
      </c>
      <c r="CE10" s="539">
        <f t="shared" si="4"/>
        <v>74</v>
      </c>
      <c r="CF10" s="539">
        <f t="shared" si="4"/>
        <v>75</v>
      </c>
      <c r="CG10" s="539">
        <f t="shared" si="4"/>
        <v>76</v>
      </c>
      <c r="CH10" s="539">
        <f t="shared" si="4"/>
        <v>77</v>
      </c>
      <c r="CI10" s="539">
        <f t="shared" si="4"/>
        <v>78</v>
      </c>
      <c r="CJ10" s="539">
        <f t="shared" si="4"/>
        <v>79</v>
      </c>
      <c r="CK10" s="539">
        <f t="shared" si="4"/>
        <v>80</v>
      </c>
      <c r="CL10" s="539">
        <f t="shared" si="4"/>
        <v>81</v>
      </c>
      <c r="CM10" s="539">
        <f t="shared" si="4"/>
        <v>82</v>
      </c>
      <c r="CN10" s="539">
        <f t="shared" si="4"/>
        <v>83</v>
      </c>
      <c r="CO10" s="539">
        <f t="shared" si="4"/>
        <v>84</v>
      </c>
      <c r="CP10" s="539">
        <f t="shared" si="4"/>
        <v>85</v>
      </c>
      <c r="CQ10" s="539">
        <f t="shared" si="4"/>
        <v>86</v>
      </c>
      <c r="CR10" s="539">
        <f t="shared" si="4"/>
        <v>87</v>
      </c>
      <c r="CS10" s="539">
        <f t="shared" si="4"/>
        <v>88</v>
      </c>
      <c r="CT10" s="539">
        <f t="shared" si="4"/>
        <v>89</v>
      </c>
      <c r="CU10" s="539">
        <f t="shared" si="4"/>
        <v>90</v>
      </c>
      <c r="CV10" s="539">
        <f t="shared" si="4"/>
        <v>91</v>
      </c>
      <c r="CW10" s="539">
        <f t="shared" si="4"/>
        <v>92</v>
      </c>
      <c r="CX10" s="539">
        <f t="shared" si="4"/>
        <v>93</v>
      </c>
      <c r="CY10" s="539">
        <f t="shared" si="4"/>
        <v>94</v>
      </c>
      <c r="CZ10" s="539">
        <f t="shared" si="4"/>
        <v>95</v>
      </c>
      <c r="DA10" s="539">
        <f t="shared" si="4"/>
        <v>96</v>
      </c>
      <c r="DB10" s="539">
        <f t="shared" si="4"/>
        <v>97</v>
      </c>
      <c r="DC10" s="539">
        <f t="shared" si="4"/>
        <v>98</v>
      </c>
      <c r="DD10" s="539">
        <f t="shared" si="4"/>
        <v>99</v>
      </c>
      <c r="DE10" s="539">
        <f t="shared" si="4"/>
        <v>100</v>
      </c>
      <c r="DF10" s="539">
        <f t="shared" si="4"/>
        <v>101</v>
      </c>
      <c r="DG10" s="539">
        <f t="shared" si="4"/>
        <v>102</v>
      </c>
      <c r="DH10" s="539">
        <f t="shared" si="4"/>
        <v>103</v>
      </c>
      <c r="DI10" s="539">
        <f t="shared" si="4"/>
        <v>104</v>
      </c>
      <c r="DJ10" s="539">
        <f t="shared" si="4"/>
        <v>105</v>
      </c>
      <c r="DK10" s="539">
        <f t="shared" si="4"/>
        <v>106</v>
      </c>
      <c r="DL10" s="539">
        <f t="shared" si="4"/>
        <v>107</v>
      </c>
      <c r="DM10" s="539">
        <f t="shared" si="4"/>
        <v>108</v>
      </c>
      <c r="DN10" s="539">
        <f t="shared" si="4"/>
        <v>109</v>
      </c>
      <c r="DO10" s="539">
        <f t="shared" si="4"/>
        <v>110</v>
      </c>
      <c r="DP10" s="539">
        <f t="shared" si="4"/>
        <v>111</v>
      </c>
      <c r="DQ10" s="539">
        <f t="shared" si="4"/>
        <v>112</v>
      </c>
      <c r="DR10" s="539">
        <f t="shared" si="4"/>
        <v>113</v>
      </c>
      <c r="DS10" s="539">
        <f t="shared" si="4"/>
        <v>114</v>
      </c>
      <c r="DT10" s="539">
        <f t="shared" si="4"/>
        <v>115</v>
      </c>
      <c r="DU10" s="539">
        <f t="shared" si="4"/>
        <v>116</v>
      </c>
      <c r="DV10" s="539">
        <f t="shared" si="4"/>
        <v>117</v>
      </c>
      <c r="DW10" s="539">
        <f t="shared" si="4"/>
        <v>118</v>
      </c>
      <c r="DX10" s="539">
        <f t="shared" si="4"/>
        <v>119</v>
      </c>
      <c r="DY10" s="539">
        <f t="shared" si="4"/>
        <v>120</v>
      </c>
      <c r="DZ10" s="539">
        <f t="shared" si="4"/>
        <v>121</v>
      </c>
      <c r="EA10" s="539">
        <f t="shared" si="4"/>
        <v>122</v>
      </c>
      <c r="EB10" s="539">
        <f t="shared" si="4"/>
        <v>123</v>
      </c>
      <c r="EC10" s="539">
        <f t="shared" si="4"/>
        <v>124</v>
      </c>
      <c r="ED10" s="539">
        <f t="shared" si="4"/>
        <v>125</v>
      </c>
      <c r="EE10" s="539">
        <f t="shared" si="4"/>
        <v>126</v>
      </c>
      <c r="EF10" s="539">
        <f t="shared" si="4"/>
        <v>127</v>
      </c>
      <c r="EG10" s="539">
        <f t="shared" si="4"/>
        <v>128</v>
      </c>
    </row>
    <row r="12" spans="5:137" ht="12.75">
      <c r="E12" s="538" t="str">
        <f>E$10</f>
        <v>Model column counter</v>
      </c>
      <c r="G12" s="539" t="str">
        <f>G$10</f>
        <v>counter</v>
      </c>
      <c r="H12" s="539">
        <f>H$10</f>
        <v>8256</v>
      </c>
      <c r="J12" s="539">
        <f t="shared" si="5" ref="J12:EG12">J$10</f>
        <v>1</v>
      </c>
      <c r="K12" s="539">
        <f t="shared" si="5"/>
        <v>2</v>
      </c>
      <c r="L12" s="539">
        <f t="shared" si="5"/>
        <v>3</v>
      </c>
      <c r="M12" s="539">
        <f t="shared" si="5"/>
        <v>4</v>
      </c>
      <c r="N12" s="539">
        <f t="shared" si="5"/>
        <v>5</v>
      </c>
      <c r="O12" s="539">
        <f t="shared" si="5"/>
        <v>6</v>
      </c>
      <c r="P12" s="539">
        <f t="shared" si="5"/>
        <v>7</v>
      </c>
      <c r="Q12" s="539">
        <f t="shared" si="5"/>
        <v>8</v>
      </c>
      <c r="R12" s="539">
        <f t="shared" si="5"/>
        <v>9</v>
      </c>
      <c r="S12" s="539">
        <f t="shared" si="5"/>
        <v>10</v>
      </c>
      <c r="T12" s="539">
        <f t="shared" si="5"/>
        <v>11</v>
      </c>
      <c r="U12" s="539">
        <f t="shared" si="5"/>
        <v>12</v>
      </c>
      <c r="V12" s="539">
        <f t="shared" si="5"/>
        <v>13</v>
      </c>
      <c r="W12" s="539">
        <f t="shared" si="5"/>
        <v>14</v>
      </c>
      <c r="X12" s="539">
        <f t="shared" si="5"/>
        <v>15</v>
      </c>
      <c r="Y12" s="539">
        <f t="shared" si="5"/>
        <v>16</v>
      </c>
      <c r="Z12" s="539">
        <f t="shared" si="5"/>
        <v>17</v>
      </c>
      <c r="AA12" s="539">
        <f t="shared" si="5"/>
        <v>18</v>
      </c>
      <c r="AB12" s="539">
        <f t="shared" si="5"/>
        <v>19</v>
      </c>
      <c r="AC12" s="539">
        <f t="shared" si="5"/>
        <v>20</v>
      </c>
      <c r="AD12" s="539">
        <f t="shared" si="5"/>
        <v>21</v>
      </c>
      <c r="AE12" s="539">
        <f t="shared" si="5"/>
        <v>22</v>
      </c>
      <c r="AF12" s="539">
        <f t="shared" si="5"/>
        <v>23</v>
      </c>
      <c r="AG12" s="539">
        <f t="shared" si="5"/>
        <v>24</v>
      </c>
      <c r="AH12" s="539">
        <f t="shared" si="5"/>
        <v>25</v>
      </c>
      <c r="AI12" s="539">
        <f t="shared" si="5"/>
        <v>26</v>
      </c>
      <c r="AJ12" s="539">
        <f t="shared" si="5"/>
        <v>27</v>
      </c>
      <c r="AK12" s="539">
        <f t="shared" si="5"/>
        <v>28</v>
      </c>
      <c r="AL12" s="539">
        <f t="shared" si="5"/>
        <v>29</v>
      </c>
      <c r="AM12" s="539">
        <f t="shared" si="5"/>
        <v>30</v>
      </c>
      <c r="AN12" s="539">
        <f t="shared" si="5"/>
        <v>31</v>
      </c>
      <c r="AO12" s="539">
        <f t="shared" si="5"/>
        <v>32</v>
      </c>
      <c r="AP12" s="539">
        <f t="shared" si="5"/>
        <v>33</v>
      </c>
      <c r="AQ12" s="539">
        <f t="shared" si="5"/>
        <v>34</v>
      </c>
      <c r="AR12" s="539">
        <f t="shared" si="5"/>
        <v>35</v>
      </c>
      <c r="AS12" s="539">
        <f t="shared" si="5"/>
        <v>36</v>
      </c>
      <c r="AT12" s="539">
        <f t="shared" si="5"/>
        <v>37</v>
      </c>
      <c r="AU12" s="539">
        <f t="shared" si="5"/>
        <v>38</v>
      </c>
      <c r="AV12" s="539">
        <f t="shared" si="5"/>
        <v>39</v>
      </c>
      <c r="AW12" s="539">
        <f t="shared" si="5"/>
        <v>40</v>
      </c>
      <c r="AX12" s="539">
        <f t="shared" si="5"/>
        <v>41</v>
      </c>
      <c r="AY12" s="539">
        <f t="shared" si="5"/>
        <v>42</v>
      </c>
      <c r="AZ12" s="539">
        <f t="shared" si="5"/>
        <v>43</v>
      </c>
      <c r="BA12" s="539">
        <f t="shared" si="5"/>
        <v>44</v>
      </c>
      <c r="BB12" s="539">
        <f t="shared" si="5"/>
        <v>45</v>
      </c>
      <c r="BC12" s="539">
        <f t="shared" si="5"/>
        <v>46</v>
      </c>
      <c r="BD12" s="539">
        <f t="shared" si="5"/>
        <v>47</v>
      </c>
      <c r="BE12" s="539">
        <f t="shared" si="5"/>
        <v>48</v>
      </c>
      <c r="BF12" s="539">
        <f t="shared" si="5"/>
        <v>49</v>
      </c>
      <c r="BG12" s="539">
        <f t="shared" si="5"/>
        <v>50</v>
      </c>
      <c r="BH12" s="539">
        <f t="shared" si="5"/>
        <v>51</v>
      </c>
      <c r="BI12" s="539">
        <f t="shared" si="5"/>
        <v>52</v>
      </c>
      <c r="BJ12" s="539">
        <f t="shared" si="5"/>
        <v>53</v>
      </c>
      <c r="BK12" s="539">
        <f t="shared" si="5"/>
        <v>54</v>
      </c>
      <c r="BL12" s="539">
        <f t="shared" si="5"/>
        <v>55</v>
      </c>
      <c r="BM12" s="539">
        <f t="shared" si="5"/>
        <v>56</v>
      </c>
      <c r="BN12" s="539">
        <f t="shared" si="5"/>
        <v>57</v>
      </c>
      <c r="BO12" s="539">
        <f t="shared" si="5"/>
        <v>58</v>
      </c>
      <c r="BP12" s="539">
        <f t="shared" si="5"/>
        <v>59</v>
      </c>
      <c r="BQ12" s="539">
        <f t="shared" si="5"/>
        <v>60</v>
      </c>
      <c r="BR12" s="539">
        <f t="shared" si="5"/>
        <v>61</v>
      </c>
      <c r="BS12" s="539">
        <f t="shared" si="5"/>
        <v>62</v>
      </c>
      <c r="BT12" s="539">
        <f t="shared" si="5"/>
        <v>63</v>
      </c>
      <c r="BU12" s="539">
        <f t="shared" si="5"/>
        <v>64</v>
      </c>
      <c r="BV12" s="539">
        <f t="shared" si="5"/>
        <v>65</v>
      </c>
      <c r="BW12" s="539">
        <f t="shared" si="5"/>
        <v>66</v>
      </c>
      <c r="BX12" s="539">
        <f t="shared" si="5"/>
        <v>67</v>
      </c>
      <c r="BY12" s="539">
        <f t="shared" si="5"/>
        <v>68</v>
      </c>
      <c r="BZ12" s="539">
        <f t="shared" si="5"/>
        <v>69</v>
      </c>
      <c r="CA12" s="539">
        <f t="shared" si="5"/>
        <v>70</v>
      </c>
      <c r="CB12" s="539">
        <f t="shared" si="5"/>
        <v>71</v>
      </c>
      <c r="CC12" s="539">
        <f t="shared" si="5"/>
        <v>72</v>
      </c>
      <c r="CD12" s="539">
        <f t="shared" si="5"/>
        <v>73</v>
      </c>
      <c r="CE12" s="539">
        <f t="shared" si="5"/>
        <v>74</v>
      </c>
      <c r="CF12" s="539">
        <f t="shared" si="5"/>
        <v>75</v>
      </c>
      <c r="CG12" s="539">
        <f t="shared" si="5"/>
        <v>76</v>
      </c>
      <c r="CH12" s="539">
        <f t="shared" si="5"/>
        <v>77</v>
      </c>
      <c r="CI12" s="539">
        <f t="shared" si="5"/>
        <v>78</v>
      </c>
      <c r="CJ12" s="539">
        <f t="shared" si="5"/>
        <v>79</v>
      </c>
      <c r="CK12" s="539">
        <f t="shared" si="5"/>
        <v>80</v>
      </c>
      <c r="CL12" s="539">
        <f t="shared" si="5"/>
        <v>81</v>
      </c>
      <c r="CM12" s="539">
        <f t="shared" si="5"/>
        <v>82</v>
      </c>
      <c r="CN12" s="539">
        <f t="shared" si="5"/>
        <v>83</v>
      </c>
      <c r="CO12" s="539">
        <f t="shared" si="5"/>
        <v>84</v>
      </c>
      <c r="CP12" s="539">
        <f t="shared" si="5"/>
        <v>85</v>
      </c>
      <c r="CQ12" s="539">
        <f t="shared" si="5"/>
        <v>86</v>
      </c>
      <c r="CR12" s="539">
        <f t="shared" si="5"/>
        <v>87</v>
      </c>
      <c r="CS12" s="539">
        <f t="shared" si="5"/>
        <v>88</v>
      </c>
      <c r="CT12" s="539">
        <f t="shared" si="5"/>
        <v>89</v>
      </c>
      <c r="CU12" s="539">
        <f t="shared" si="5"/>
        <v>90</v>
      </c>
      <c r="CV12" s="539">
        <f t="shared" si="5"/>
        <v>91</v>
      </c>
      <c r="CW12" s="539">
        <f t="shared" si="5"/>
        <v>92</v>
      </c>
      <c r="CX12" s="539">
        <f t="shared" si="5"/>
        <v>93</v>
      </c>
      <c r="CY12" s="539">
        <f t="shared" si="5"/>
        <v>94</v>
      </c>
      <c r="CZ12" s="539">
        <f t="shared" si="5"/>
        <v>95</v>
      </c>
      <c r="DA12" s="539">
        <f t="shared" si="5"/>
        <v>96</v>
      </c>
      <c r="DB12" s="539">
        <f t="shared" si="5"/>
        <v>97</v>
      </c>
      <c r="DC12" s="539">
        <f t="shared" si="5"/>
        <v>98</v>
      </c>
      <c r="DD12" s="539">
        <f t="shared" si="5"/>
        <v>99</v>
      </c>
      <c r="DE12" s="539">
        <f t="shared" si="5"/>
        <v>100</v>
      </c>
      <c r="DF12" s="539">
        <f t="shared" si="5"/>
        <v>101</v>
      </c>
      <c r="DG12" s="539">
        <f t="shared" si="5"/>
        <v>102</v>
      </c>
      <c r="DH12" s="539">
        <f t="shared" si="5"/>
        <v>103</v>
      </c>
      <c r="DI12" s="539">
        <f t="shared" si="5"/>
        <v>104</v>
      </c>
      <c r="DJ12" s="539">
        <f t="shared" si="5"/>
        <v>105</v>
      </c>
      <c r="DK12" s="539">
        <f t="shared" si="5"/>
        <v>106</v>
      </c>
      <c r="DL12" s="539">
        <f t="shared" si="5"/>
        <v>107</v>
      </c>
      <c r="DM12" s="539">
        <f t="shared" si="5"/>
        <v>108</v>
      </c>
      <c r="DN12" s="539">
        <f t="shared" si="5"/>
        <v>109</v>
      </c>
      <c r="DO12" s="539">
        <f t="shared" si="5"/>
        <v>110</v>
      </c>
      <c r="DP12" s="539">
        <f t="shared" si="5"/>
        <v>111</v>
      </c>
      <c r="DQ12" s="539">
        <f t="shared" si="5"/>
        <v>112</v>
      </c>
      <c r="DR12" s="539">
        <f t="shared" si="5"/>
        <v>113</v>
      </c>
      <c r="DS12" s="539">
        <f t="shared" si="5"/>
        <v>114</v>
      </c>
      <c r="DT12" s="539">
        <f t="shared" si="5"/>
        <v>115</v>
      </c>
      <c r="DU12" s="539">
        <f t="shared" si="5"/>
        <v>116</v>
      </c>
      <c r="DV12" s="539">
        <f t="shared" si="5"/>
        <v>117</v>
      </c>
      <c r="DW12" s="539">
        <f t="shared" si="5"/>
        <v>118</v>
      </c>
      <c r="DX12" s="539">
        <f t="shared" si="5"/>
        <v>119</v>
      </c>
      <c r="DY12" s="539">
        <f t="shared" si="5"/>
        <v>120</v>
      </c>
      <c r="DZ12" s="539">
        <f t="shared" si="5"/>
        <v>121</v>
      </c>
      <c r="EA12" s="539">
        <f t="shared" si="5"/>
        <v>122</v>
      </c>
      <c r="EB12" s="539">
        <f t="shared" si="5"/>
        <v>123</v>
      </c>
      <c r="EC12" s="539">
        <f t="shared" si="5"/>
        <v>124</v>
      </c>
      <c r="ED12" s="539">
        <f t="shared" si="5"/>
        <v>125</v>
      </c>
      <c r="EE12" s="539">
        <f t="shared" si="5"/>
        <v>126</v>
      </c>
      <c r="EF12" s="539">
        <f t="shared" si="5"/>
        <v>127</v>
      </c>
      <c r="EG12" s="539">
        <f t="shared" si="5"/>
        <v>128</v>
      </c>
    </row>
    <row r="13" spans="5:7" ht="12.75">
      <c r="E13" s="538" t="s">
        <v>155</v>
      </c>
      <c r="F13" s="539">
        <f>MAX($J12:$EG12)</f>
        <v>128</v>
      </c>
      <c r="G13" s="539" t="s">
        <v>156</v>
      </c>
    </row>
    <row r="15" spans="5:137" ht="12.75">
      <c r="E15" s="538" t="str">
        <f>E$10</f>
        <v>Model column counter</v>
      </c>
      <c r="G15" s="539" t="str">
        <f>G$10</f>
        <v>counter</v>
      </c>
      <c r="H15" s="539">
        <f>H$10</f>
        <v>8256</v>
      </c>
      <c r="J15" s="539">
        <f t="shared" si="6" ref="J15:EG15">J$10</f>
        <v>1</v>
      </c>
      <c r="K15" s="539">
        <f t="shared" si="6"/>
        <v>2</v>
      </c>
      <c r="L15" s="539">
        <f t="shared" si="6"/>
        <v>3</v>
      </c>
      <c r="M15" s="539">
        <f t="shared" si="6"/>
        <v>4</v>
      </c>
      <c r="N15" s="539">
        <f t="shared" si="6"/>
        <v>5</v>
      </c>
      <c r="O15" s="539">
        <f t="shared" si="6"/>
        <v>6</v>
      </c>
      <c r="P15" s="539">
        <f t="shared" si="6"/>
        <v>7</v>
      </c>
      <c r="Q15" s="539">
        <f t="shared" si="6"/>
        <v>8</v>
      </c>
      <c r="R15" s="539">
        <f t="shared" si="6"/>
        <v>9</v>
      </c>
      <c r="S15" s="539">
        <f t="shared" si="6"/>
        <v>10</v>
      </c>
      <c r="T15" s="539">
        <f t="shared" si="6"/>
        <v>11</v>
      </c>
      <c r="U15" s="539">
        <f t="shared" si="6"/>
        <v>12</v>
      </c>
      <c r="V15" s="539">
        <f t="shared" si="6"/>
        <v>13</v>
      </c>
      <c r="W15" s="539">
        <f t="shared" si="6"/>
        <v>14</v>
      </c>
      <c r="X15" s="539">
        <f t="shared" si="6"/>
        <v>15</v>
      </c>
      <c r="Y15" s="539">
        <f t="shared" si="6"/>
        <v>16</v>
      </c>
      <c r="Z15" s="539">
        <f t="shared" si="6"/>
        <v>17</v>
      </c>
      <c r="AA15" s="539">
        <f t="shared" si="6"/>
        <v>18</v>
      </c>
      <c r="AB15" s="539">
        <f t="shared" si="6"/>
        <v>19</v>
      </c>
      <c r="AC15" s="539">
        <f t="shared" si="6"/>
        <v>20</v>
      </c>
      <c r="AD15" s="539">
        <f t="shared" si="6"/>
        <v>21</v>
      </c>
      <c r="AE15" s="539">
        <f t="shared" si="6"/>
        <v>22</v>
      </c>
      <c r="AF15" s="539">
        <f t="shared" si="6"/>
        <v>23</v>
      </c>
      <c r="AG15" s="539">
        <f t="shared" si="6"/>
        <v>24</v>
      </c>
      <c r="AH15" s="539">
        <f t="shared" si="6"/>
        <v>25</v>
      </c>
      <c r="AI15" s="539">
        <f t="shared" si="6"/>
        <v>26</v>
      </c>
      <c r="AJ15" s="539">
        <f t="shared" si="6"/>
        <v>27</v>
      </c>
      <c r="AK15" s="539">
        <f t="shared" si="6"/>
        <v>28</v>
      </c>
      <c r="AL15" s="539">
        <f t="shared" si="6"/>
        <v>29</v>
      </c>
      <c r="AM15" s="539">
        <f t="shared" si="6"/>
        <v>30</v>
      </c>
      <c r="AN15" s="539">
        <f t="shared" si="6"/>
        <v>31</v>
      </c>
      <c r="AO15" s="539">
        <f t="shared" si="6"/>
        <v>32</v>
      </c>
      <c r="AP15" s="539">
        <f t="shared" si="6"/>
        <v>33</v>
      </c>
      <c r="AQ15" s="539">
        <f t="shared" si="6"/>
        <v>34</v>
      </c>
      <c r="AR15" s="539">
        <f t="shared" si="6"/>
        <v>35</v>
      </c>
      <c r="AS15" s="539">
        <f t="shared" si="6"/>
        <v>36</v>
      </c>
      <c r="AT15" s="539">
        <f t="shared" si="6"/>
        <v>37</v>
      </c>
      <c r="AU15" s="539">
        <f t="shared" si="6"/>
        <v>38</v>
      </c>
      <c r="AV15" s="539">
        <f t="shared" si="6"/>
        <v>39</v>
      </c>
      <c r="AW15" s="539">
        <f t="shared" si="6"/>
        <v>40</v>
      </c>
      <c r="AX15" s="539">
        <f t="shared" si="6"/>
        <v>41</v>
      </c>
      <c r="AY15" s="539">
        <f t="shared" si="6"/>
        <v>42</v>
      </c>
      <c r="AZ15" s="539">
        <f t="shared" si="6"/>
        <v>43</v>
      </c>
      <c r="BA15" s="539">
        <f t="shared" si="6"/>
        <v>44</v>
      </c>
      <c r="BB15" s="539">
        <f t="shared" si="6"/>
        <v>45</v>
      </c>
      <c r="BC15" s="539">
        <f t="shared" si="6"/>
        <v>46</v>
      </c>
      <c r="BD15" s="539">
        <f t="shared" si="6"/>
        <v>47</v>
      </c>
      <c r="BE15" s="539">
        <f t="shared" si="6"/>
        <v>48</v>
      </c>
      <c r="BF15" s="539">
        <f t="shared" si="6"/>
        <v>49</v>
      </c>
      <c r="BG15" s="539">
        <f t="shared" si="6"/>
        <v>50</v>
      </c>
      <c r="BH15" s="539">
        <f t="shared" si="6"/>
        <v>51</v>
      </c>
      <c r="BI15" s="539">
        <f t="shared" si="6"/>
        <v>52</v>
      </c>
      <c r="BJ15" s="539">
        <f t="shared" si="6"/>
        <v>53</v>
      </c>
      <c r="BK15" s="539">
        <f t="shared" si="6"/>
        <v>54</v>
      </c>
      <c r="BL15" s="539">
        <f t="shared" si="6"/>
        <v>55</v>
      </c>
      <c r="BM15" s="539">
        <f t="shared" si="6"/>
        <v>56</v>
      </c>
      <c r="BN15" s="539">
        <f t="shared" si="6"/>
        <v>57</v>
      </c>
      <c r="BO15" s="539">
        <f t="shared" si="6"/>
        <v>58</v>
      </c>
      <c r="BP15" s="539">
        <f t="shared" si="6"/>
        <v>59</v>
      </c>
      <c r="BQ15" s="539">
        <f t="shared" si="6"/>
        <v>60</v>
      </c>
      <c r="BR15" s="539">
        <f t="shared" si="6"/>
        <v>61</v>
      </c>
      <c r="BS15" s="539">
        <f t="shared" si="6"/>
        <v>62</v>
      </c>
      <c r="BT15" s="539">
        <f t="shared" si="6"/>
        <v>63</v>
      </c>
      <c r="BU15" s="539">
        <f t="shared" si="6"/>
        <v>64</v>
      </c>
      <c r="BV15" s="539">
        <f t="shared" si="6"/>
        <v>65</v>
      </c>
      <c r="BW15" s="539">
        <f t="shared" si="6"/>
        <v>66</v>
      </c>
      <c r="BX15" s="539">
        <f t="shared" si="6"/>
        <v>67</v>
      </c>
      <c r="BY15" s="539">
        <f t="shared" si="6"/>
        <v>68</v>
      </c>
      <c r="BZ15" s="539">
        <f t="shared" si="6"/>
        <v>69</v>
      </c>
      <c r="CA15" s="539">
        <f t="shared" si="6"/>
        <v>70</v>
      </c>
      <c r="CB15" s="539">
        <f t="shared" si="6"/>
        <v>71</v>
      </c>
      <c r="CC15" s="539">
        <f t="shared" si="6"/>
        <v>72</v>
      </c>
      <c r="CD15" s="539">
        <f t="shared" si="6"/>
        <v>73</v>
      </c>
      <c r="CE15" s="539">
        <f t="shared" si="6"/>
        <v>74</v>
      </c>
      <c r="CF15" s="539">
        <f t="shared" si="6"/>
        <v>75</v>
      </c>
      <c r="CG15" s="539">
        <f t="shared" si="6"/>
        <v>76</v>
      </c>
      <c r="CH15" s="539">
        <f t="shared" si="6"/>
        <v>77</v>
      </c>
      <c r="CI15" s="539">
        <f t="shared" si="6"/>
        <v>78</v>
      </c>
      <c r="CJ15" s="539">
        <f t="shared" si="6"/>
        <v>79</v>
      </c>
      <c r="CK15" s="539">
        <f t="shared" si="6"/>
        <v>80</v>
      </c>
      <c r="CL15" s="539">
        <f t="shared" si="6"/>
        <v>81</v>
      </c>
      <c r="CM15" s="539">
        <f t="shared" si="6"/>
        <v>82</v>
      </c>
      <c r="CN15" s="539">
        <f t="shared" si="6"/>
        <v>83</v>
      </c>
      <c r="CO15" s="539">
        <f t="shared" si="6"/>
        <v>84</v>
      </c>
      <c r="CP15" s="539">
        <f t="shared" si="6"/>
        <v>85</v>
      </c>
      <c r="CQ15" s="539">
        <f t="shared" si="6"/>
        <v>86</v>
      </c>
      <c r="CR15" s="539">
        <f t="shared" si="6"/>
        <v>87</v>
      </c>
      <c r="CS15" s="539">
        <f t="shared" si="6"/>
        <v>88</v>
      </c>
      <c r="CT15" s="539">
        <f t="shared" si="6"/>
        <v>89</v>
      </c>
      <c r="CU15" s="539">
        <f t="shared" si="6"/>
        <v>90</v>
      </c>
      <c r="CV15" s="539">
        <f t="shared" si="6"/>
        <v>91</v>
      </c>
      <c r="CW15" s="539">
        <f t="shared" si="6"/>
        <v>92</v>
      </c>
      <c r="CX15" s="539">
        <f t="shared" si="6"/>
        <v>93</v>
      </c>
      <c r="CY15" s="539">
        <f t="shared" si="6"/>
        <v>94</v>
      </c>
      <c r="CZ15" s="539">
        <f t="shared" si="6"/>
        <v>95</v>
      </c>
      <c r="DA15" s="539">
        <f t="shared" si="6"/>
        <v>96</v>
      </c>
      <c r="DB15" s="539">
        <f t="shared" si="6"/>
        <v>97</v>
      </c>
      <c r="DC15" s="539">
        <f t="shared" si="6"/>
        <v>98</v>
      </c>
      <c r="DD15" s="539">
        <f t="shared" si="6"/>
        <v>99</v>
      </c>
      <c r="DE15" s="539">
        <f t="shared" si="6"/>
        <v>100</v>
      </c>
      <c r="DF15" s="539">
        <f t="shared" si="6"/>
        <v>101</v>
      </c>
      <c r="DG15" s="539">
        <f t="shared" si="6"/>
        <v>102</v>
      </c>
      <c r="DH15" s="539">
        <f t="shared" si="6"/>
        <v>103</v>
      </c>
      <c r="DI15" s="539">
        <f t="shared" si="6"/>
        <v>104</v>
      </c>
      <c r="DJ15" s="539">
        <f t="shared" si="6"/>
        <v>105</v>
      </c>
      <c r="DK15" s="539">
        <f t="shared" si="6"/>
        <v>106</v>
      </c>
      <c r="DL15" s="539">
        <f t="shared" si="6"/>
        <v>107</v>
      </c>
      <c r="DM15" s="539">
        <f t="shared" si="6"/>
        <v>108</v>
      </c>
      <c r="DN15" s="539">
        <f t="shared" si="6"/>
        <v>109</v>
      </c>
      <c r="DO15" s="539">
        <f t="shared" si="6"/>
        <v>110</v>
      </c>
      <c r="DP15" s="539">
        <f t="shared" si="6"/>
        <v>111</v>
      </c>
      <c r="DQ15" s="539">
        <f t="shared" si="6"/>
        <v>112</v>
      </c>
      <c r="DR15" s="539">
        <f t="shared" si="6"/>
        <v>113</v>
      </c>
      <c r="DS15" s="539">
        <f t="shared" si="6"/>
        <v>114</v>
      </c>
      <c r="DT15" s="539">
        <f t="shared" si="6"/>
        <v>115</v>
      </c>
      <c r="DU15" s="539">
        <f t="shared" si="6"/>
        <v>116</v>
      </c>
      <c r="DV15" s="539">
        <f t="shared" si="6"/>
        <v>117</v>
      </c>
      <c r="DW15" s="539">
        <f t="shared" si="6"/>
        <v>118</v>
      </c>
      <c r="DX15" s="539">
        <f t="shared" si="6"/>
        <v>119</v>
      </c>
      <c r="DY15" s="539">
        <f t="shared" si="6"/>
        <v>120</v>
      </c>
      <c r="DZ15" s="539">
        <f t="shared" si="6"/>
        <v>121</v>
      </c>
      <c r="EA15" s="539">
        <f t="shared" si="6"/>
        <v>122</v>
      </c>
      <c r="EB15" s="539">
        <f t="shared" si="6"/>
        <v>123</v>
      </c>
      <c r="EC15" s="539">
        <f t="shared" si="6"/>
        <v>124</v>
      </c>
      <c r="ED15" s="539">
        <f t="shared" si="6"/>
        <v>125</v>
      </c>
      <c r="EE15" s="539">
        <f t="shared" si="6"/>
        <v>126</v>
      </c>
      <c r="EF15" s="539">
        <f t="shared" si="6"/>
        <v>127</v>
      </c>
      <c r="EG15" s="539">
        <f t="shared" si="6"/>
        <v>128</v>
      </c>
    </row>
    <row r="16" spans="5:137" ht="12.75">
      <c r="E16" s="540" t="s">
        <v>157</v>
      </c>
      <c r="G16" s="541" t="s">
        <v>158</v>
      </c>
      <c r="H16" s="541">
        <f>SUM(J16:EG16)</f>
        <v>1</v>
      </c>
      <c r="J16" s="541">
        <f t="shared" si="7" ref="J16:EG16">IF(J15=1,1,0)</f>
        <v>1</v>
      </c>
      <c r="K16" s="541">
        <f t="shared" si="7"/>
        <v>0</v>
      </c>
      <c r="L16" s="541">
        <f t="shared" si="7"/>
        <v>0</v>
      </c>
      <c r="M16" s="541">
        <f t="shared" si="7"/>
        <v>0</v>
      </c>
      <c r="N16" s="541">
        <f t="shared" si="7"/>
        <v>0</v>
      </c>
      <c r="O16" s="541">
        <f t="shared" si="7"/>
        <v>0</v>
      </c>
      <c r="P16" s="541">
        <f t="shared" si="7"/>
        <v>0</v>
      </c>
      <c r="Q16" s="541">
        <f t="shared" si="7"/>
        <v>0</v>
      </c>
      <c r="R16" s="541">
        <f t="shared" si="7"/>
        <v>0</v>
      </c>
      <c r="S16" s="541">
        <f t="shared" si="7"/>
        <v>0</v>
      </c>
      <c r="T16" s="541">
        <f t="shared" si="7"/>
        <v>0</v>
      </c>
      <c r="U16" s="541">
        <f t="shared" si="7"/>
        <v>0</v>
      </c>
      <c r="V16" s="541">
        <f t="shared" si="7"/>
        <v>0</v>
      </c>
      <c r="W16" s="541">
        <f t="shared" si="7"/>
        <v>0</v>
      </c>
      <c r="X16" s="541">
        <f t="shared" si="7"/>
        <v>0</v>
      </c>
      <c r="Y16" s="541">
        <f t="shared" si="7"/>
        <v>0</v>
      </c>
      <c r="Z16" s="541">
        <f t="shared" si="7"/>
        <v>0</v>
      </c>
      <c r="AA16" s="541">
        <f t="shared" si="7"/>
        <v>0</v>
      </c>
      <c r="AB16" s="541">
        <f t="shared" si="7"/>
        <v>0</v>
      </c>
      <c r="AC16" s="541">
        <f t="shared" si="7"/>
        <v>0</v>
      </c>
      <c r="AD16" s="541">
        <f t="shared" si="7"/>
        <v>0</v>
      </c>
      <c r="AE16" s="541">
        <f t="shared" si="7"/>
        <v>0</v>
      </c>
      <c r="AF16" s="541">
        <f t="shared" si="7"/>
        <v>0</v>
      </c>
      <c r="AG16" s="541">
        <f t="shared" si="7"/>
        <v>0</v>
      </c>
      <c r="AH16" s="541">
        <f t="shared" si="7"/>
        <v>0</v>
      </c>
      <c r="AI16" s="541">
        <f t="shared" si="7"/>
        <v>0</v>
      </c>
      <c r="AJ16" s="541">
        <f t="shared" si="7"/>
        <v>0</v>
      </c>
      <c r="AK16" s="541">
        <f t="shared" si="7"/>
        <v>0</v>
      </c>
      <c r="AL16" s="541">
        <f t="shared" si="7"/>
        <v>0</v>
      </c>
      <c r="AM16" s="541">
        <f t="shared" si="7"/>
        <v>0</v>
      </c>
      <c r="AN16" s="541">
        <f t="shared" si="7"/>
        <v>0</v>
      </c>
      <c r="AO16" s="541">
        <f t="shared" si="7"/>
        <v>0</v>
      </c>
      <c r="AP16" s="541">
        <f t="shared" si="7"/>
        <v>0</v>
      </c>
      <c r="AQ16" s="541">
        <f t="shared" si="7"/>
        <v>0</v>
      </c>
      <c r="AR16" s="541">
        <f t="shared" si="7"/>
        <v>0</v>
      </c>
      <c r="AS16" s="541">
        <f t="shared" si="7"/>
        <v>0</v>
      </c>
      <c r="AT16" s="541">
        <f t="shared" si="7"/>
        <v>0</v>
      </c>
      <c r="AU16" s="541">
        <f t="shared" si="7"/>
        <v>0</v>
      </c>
      <c r="AV16" s="541">
        <f t="shared" si="7"/>
        <v>0</v>
      </c>
      <c r="AW16" s="541">
        <f t="shared" si="7"/>
        <v>0</v>
      </c>
      <c r="AX16" s="541">
        <f t="shared" si="7"/>
        <v>0</v>
      </c>
      <c r="AY16" s="541">
        <f t="shared" si="7"/>
        <v>0</v>
      </c>
      <c r="AZ16" s="541">
        <f t="shared" si="7"/>
        <v>0</v>
      </c>
      <c r="BA16" s="541">
        <f t="shared" si="7"/>
        <v>0</v>
      </c>
      <c r="BB16" s="541">
        <f t="shared" si="7"/>
        <v>0</v>
      </c>
      <c r="BC16" s="541">
        <f t="shared" si="7"/>
        <v>0</v>
      </c>
      <c r="BD16" s="541">
        <f t="shared" si="7"/>
        <v>0</v>
      </c>
      <c r="BE16" s="541">
        <f t="shared" si="7"/>
        <v>0</v>
      </c>
      <c r="BF16" s="541">
        <f t="shared" si="7"/>
        <v>0</v>
      </c>
      <c r="BG16" s="541">
        <f t="shared" si="7"/>
        <v>0</v>
      </c>
      <c r="BH16" s="541">
        <f t="shared" si="7"/>
        <v>0</v>
      </c>
      <c r="BI16" s="541">
        <f t="shared" si="7"/>
        <v>0</v>
      </c>
      <c r="BJ16" s="541">
        <f t="shared" si="7"/>
        <v>0</v>
      </c>
      <c r="BK16" s="541">
        <f t="shared" si="7"/>
        <v>0</v>
      </c>
      <c r="BL16" s="541">
        <f t="shared" si="7"/>
        <v>0</v>
      </c>
      <c r="BM16" s="541">
        <f t="shared" si="7"/>
        <v>0</v>
      </c>
      <c r="BN16" s="541">
        <f t="shared" si="7"/>
        <v>0</v>
      </c>
      <c r="BO16" s="541">
        <f t="shared" si="7"/>
        <v>0</v>
      </c>
      <c r="BP16" s="541">
        <f t="shared" si="7"/>
        <v>0</v>
      </c>
      <c r="BQ16" s="541">
        <f t="shared" si="7"/>
        <v>0</v>
      </c>
      <c r="BR16" s="541">
        <f t="shared" si="7"/>
        <v>0</v>
      </c>
      <c r="BS16" s="541">
        <f t="shared" si="7"/>
        <v>0</v>
      </c>
      <c r="BT16" s="541">
        <f t="shared" si="7"/>
        <v>0</v>
      </c>
      <c r="BU16" s="541">
        <f t="shared" si="7"/>
        <v>0</v>
      </c>
      <c r="BV16" s="541">
        <f t="shared" si="7"/>
        <v>0</v>
      </c>
      <c r="BW16" s="541">
        <f t="shared" si="7"/>
        <v>0</v>
      </c>
      <c r="BX16" s="541">
        <f t="shared" si="7"/>
        <v>0</v>
      </c>
      <c r="BY16" s="541">
        <f t="shared" si="7"/>
        <v>0</v>
      </c>
      <c r="BZ16" s="541">
        <f t="shared" si="7"/>
        <v>0</v>
      </c>
      <c r="CA16" s="541">
        <f t="shared" si="7"/>
        <v>0</v>
      </c>
      <c r="CB16" s="541">
        <f t="shared" si="7"/>
        <v>0</v>
      </c>
      <c r="CC16" s="541">
        <f t="shared" si="7"/>
        <v>0</v>
      </c>
      <c r="CD16" s="541">
        <f t="shared" si="7"/>
        <v>0</v>
      </c>
      <c r="CE16" s="541">
        <f t="shared" si="7"/>
        <v>0</v>
      </c>
      <c r="CF16" s="541">
        <f t="shared" si="7"/>
        <v>0</v>
      </c>
      <c r="CG16" s="541">
        <f t="shared" si="7"/>
        <v>0</v>
      </c>
      <c r="CH16" s="541">
        <f t="shared" si="7"/>
        <v>0</v>
      </c>
      <c r="CI16" s="541">
        <f t="shared" si="7"/>
        <v>0</v>
      </c>
      <c r="CJ16" s="541">
        <f t="shared" si="7"/>
        <v>0</v>
      </c>
      <c r="CK16" s="541">
        <f t="shared" si="7"/>
        <v>0</v>
      </c>
      <c r="CL16" s="541">
        <f t="shared" si="7"/>
        <v>0</v>
      </c>
      <c r="CM16" s="541">
        <f t="shared" si="7"/>
        <v>0</v>
      </c>
      <c r="CN16" s="541">
        <f t="shared" si="7"/>
        <v>0</v>
      </c>
      <c r="CO16" s="541">
        <f t="shared" si="7"/>
        <v>0</v>
      </c>
      <c r="CP16" s="541">
        <f t="shared" si="7"/>
        <v>0</v>
      </c>
      <c r="CQ16" s="541">
        <f t="shared" si="7"/>
        <v>0</v>
      </c>
      <c r="CR16" s="541">
        <f t="shared" si="7"/>
        <v>0</v>
      </c>
      <c r="CS16" s="541">
        <f t="shared" si="7"/>
        <v>0</v>
      </c>
      <c r="CT16" s="541">
        <f t="shared" si="7"/>
        <v>0</v>
      </c>
      <c r="CU16" s="541">
        <f t="shared" si="7"/>
        <v>0</v>
      </c>
      <c r="CV16" s="541">
        <f t="shared" si="7"/>
        <v>0</v>
      </c>
      <c r="CW16" s="541">
        <f t="shared" si="7"/>
        <v>0</v>
      </c>
      <c r="CX16" s="541">
        <f t="shared" si="7"/>
        <v>0</v>
      </c>
      <c r="CY16" s="541">
        <f t="shared" si="7"/>
        <v>0</v>
      </c>
      <c r="CZ16" s="541">
        <f t="shared" si="7"/>
        <v>0</v>
      </c>
      <c r="DA16" s="541">
        <f t="shared" si="7"/>
        <v>0</v>
      </c>
      <c r="DB16" s="541">
        <f t="shared" si="7"/>
        <v>0</v>
      </c>
      <c r="DC16" s="541">
        <f t="shared" si="7"/>
        <v>0</v>
      </c>
      <c r="DD16" s="541">
        <f t="shared" si="7"/>
        <v>0</v>
      </c>
      <c r="DE16" s="541">
        <f t="shared" si="7"/>
        <v>0</v>
      </c>
      <c r="DF16" s="541">
        <f t="shared" si="7"/>
        <v>0</v>
      </c>
      <c r="DG16" s="541">
        <f t="shared" si="7"/>
        <v>0</v>
      </c>
      <c r="DH16" s="541">
        <f t="shared" si="7"/>
        <v>0</v>
      </c>
      <c r="DI16" s="541">
        <f t="shared" si="7"/>
        <v>0</v>
      </c>
      <c r="DJ16" s="541">
        <f t="shared" si="7"/>
        <v>0</v>
      </c>
      <c r="DK16" s="541">
        <f t="shared" si="7"/>
        <v>0</v>
      </c>
      <c r="DL16" s="541">
        <f t="shared" si="7"/>
        <v>0</v>
      </c>
      <c r="DM16" s="541">
        <f t="shared" si="7"/>
        <v>0</v>
      </c>
      <c r="DN16" s="541">
        <f t="shared" si="7"/>
        <v>0</v>
      </c>
      <c r="DO16" s="541">
        <f t="shared" si="7"/>
        <v>0</v>
      </c>
      <c r="DP16" s="541">
        <f t="shared" si="7"/>
        <v>0</v>
      </c>
      <c r="DQ16" s="541">
        <f t="shared" si="7"/>
        <v>0</v>
      </c>
      <c r="DR16" s="541">
        <f t="shared" si="7"/>
        <v>0</v>
      </c>
      <c r="DS16" s="541">
        <f t="shared" si="7"/>
        <v>0</v>
      </c>
      <c r="DT16" s="541">
        <f t="shared" si="7"/>
        <v>0</v>
      </c>
      <c r="DU16" s="541">
        <f t="shared" si="7"/>
        <v>0</v>
      </c>
      <c r="DV16" s="541">
        <f t="shared" si="7"/>
        <v>0</v>
      </c>
      <c r="DW16" s="541">
        <f t="shared" si="7"/>
        <v>0</v>
      </c>
      <c r="DX16" s="541">
        <f t="shared" si="7"/>
        <v>0</v>
      </c>
      <c r="DY16" s="541">
        <f t="shared" si="7"/>
        <v>0</v>
      </c>
      <c r="DZ16" s="541">
        <f t="shared" si="7"/>
        <v>0</v>
      </c>
      <c r="EA16" s="541">
        <f t="shared" si="7"/>
        <v>0</v>
      </c>
      <c r="EB16" s="541">
        <f t="shared" si="7"/>
        <v>0</v>
      </c>
      <c r="EC16" s="541">
        <f t="shared" si="7"/>
        <v>0</v>
      </c>
      <c r="ED16" s="541">
        <f t="shared" si="7"/>
        <v>0</v>
      </c>
      <c r="EE16" s="541">
        <f t="shared" si="7"/>
        <v>0</v>
      </c>
      <c r="EF16" s="541">
        <f t="shared" si="7"/>
        <v>0</v>
      </c>
      <c r="EG16" s="541">
        <f t="shared" si="7"/>
        <v>0</v>
      </c>
    </row>
    <row r="18" spans="2:2" ht="12.75">
      <c r="B18" s="534" t="s">
        <v>159</v>
      </c>
    </row>
    <row r="19" spans="5:7" ht="12.75">
      <c r="E19" s="535" t="str">
        <f>InpC!E$19</f>
        <v>Financial close date</v>
      </c>
      <c r="F19" s="536">
        <f>InpC!F$19</f>
        <v>46477</v>
      </c>
      <c r="G19" s="536" t="str">
        <f>InpC!G$19</f>
        <v>date</v>
      </c>
    </row>
    <row r="20" spans="5:7" ht="12.75">
      <c r="E20" s="535" t="str">
        <f>InpC!E$20</f>
        <v>Construction period length</v>
      </c>
      <c r="F20" s="537">
        <f>InpC!F$20</f>
        <v>21</v>
      </c>
      <c r="G20" s="537" t="str">
        <f>InpC!G$20</f>
        <v>months</v>
      </c>
    </row>
    <row r="21" spans="5:7" ht="12.75">
      <c r="E21" s="540" t="s">
        <v>160</v>
      </c>
      <c r="F21" s="586">
        <f>EOMONTH($F19,$F20)</f>
        <v>47118</v>
      </c>
      <c r="G21" s="586" t="s">
        <v>14</v>
      </c>
    </row>
    <row r="23" spans="5:7" ht="12.75">
      <c r="E23" s="535" t="str">
        <f>InpC!E$13</f>
        <v>First date of time rulers</v>
      </c>
      <c r="F23" s="536">
        <f>InpC!F$13</f>
        <v>46388</v>
      </c>
      <c r="G23" s="536" t="str">
        <f>InpC!G$13</f>
        <v>date</v>
      </c>
    </row>
    <row r="24" spans="5:7" ht="12.75">
      <c r="E24" s="535" t="str">
        <f>InpC!E$126</f>
        <v>Months in year</v>
      </c>
      <c r="F24" s="537">
        <f>InpC!F$126</f>
        <v>12</v>
      </c>
      <c r="G24" s="537" t="str">
        <f>InpC!G$126</f>
        <v>months</v>
      </c>
    </row>
    <row r="25" spans="5:7" ht="12.75">
      <c r="E25" s="538" t="str">
        <f>E$21</f>
        <v>End of construction period date</v>
      </c>
      <c r="F25" s="558">
        <f>F$21</f>
        <v>47118</v>
      </c>
      <c r="G25" s="558" t="str">
        <f>G$21</f>
        <v>date</v>
      </c>
    </row>
    <row r="26" spans="5:7" ht="12.75">
      <c r="E26" s="538" t="s">
        <v>161</v>
      </c>
      <c r="F26" s="539">
        <f>ROUND(YEARFRAC(EOMONTH($F23,-1)+1,EOMONTH($F25,0))*$F24,0)</f>
        <v>24</v>
      </c>
      <c r="G26" s="539" t="s">
        <v>17</v>
      </c>
    </row>
    <row r="28" spans="5:7" ht="12.75">
      <c r="E28" s="538" t="str">
        <f>E$26</f>
        <v>Number of construction periods</v>
      </c>
      <c r="F28" s="539">
        <f>F$26</f>
        <v>24</v>
      </c>
      <c r="G28" s="539" t="str">
        <f>G$26</f>
        <v>months</v>
      </c>
    </row>
    <row r="29" spans="5:137" ht="12.75">
      <c r="E29" s="538" t="str">
        <f>E$10</f>
        <v>Model column counter</v>
      </c>
      <c r="G29" s="539" t="str">
        <f>G$10</f>
        <v>counter</v>
      </c>
      <c r="H29" s="539">
        <f>H$10</f>
        <v>8256</v>
      </c>
      <c r="J29" s="539">
        <f t="shared" si="8" ref="J29:EG29">J$10</f>
        <v>1</v>
      </c>
      <c r="K29" s="539">
        <f t="shared" si="8"/>
        <v>2</v>
      </c>
      <c r="L29" s="539">
        <f t="shared" si="8"/>
        <v>3</v>
      </c>
      <c r="M29" s="539">
        <f t="shared" si="8"/>
        <v>4</v>
      </c>
      <c r="N29" s="539">
        <f t="shared" si="8"/>
        <v>5</v>
      </c>
      <c r="O29" s="539">
        <f t="shared" si="8"/>
        <v>6</v>
      </c>
      <c r="P29" s="539">
        <f t="shared" si="8"/>
        <v>7</v>
      </c>
      <c r="Q29" s="539">
        <f t="shared" si="8"/>
        <v>8</v>
      </c>
      <c r="R29" s="539">
        <f t="shared" si="8"/>
        <v>9</v>
      </c>
      <c r="S29" s="539">
        <f t="shared" si="8"/>
        <v>10</v>
      </c>
      <c r="T29" s="539">
        <f t="shared" si="8"/>
        <v>11</v>
      </c>
      <c r="U29" s="539">
        <f t="shared" si="8"/>
        <v>12</v>
      </c>
      <c r="V29" s="539">
        <f t="shared" si="8"/>
        <v>13</v>
      </c>
      <c r="W29" s="539">
        <f t="shared" si="8"/>
        <v>14</v>
      </c>
      <c r="X29" s="539">
        <f t="shared" si="8"/>
        <v>15</v>
      </c>
      <c r="Y29" s="539">
        <f t="shared" si="8"/>
        <v>16</v>
      </c>
      <c r="Z29" s="539">
        <f t="shared" si="8"/>
        <v>17</v>
      </c>
      <c r="AA29" s="539">
        <f t="shared" si="8"/>
        <v>18</v>
      </c>
      <c r="AB29" s="539">
        <f t="shared" si="8"/>
        <v>19</v>
      </c>
      <c r="AC29" s="539">
        <f t="shared" si="8"/>
        <v>20</v>
      </c>
      <c r="AD29" s="539">
        <f t="shared" si="8"/>
        <v>21</v>
      </c>
      <c r="AE29" s="539">
        <f t="shared" si="8"/>
        <v>22</v>
      </c>
      <c r="AF29" s="539">
        <f t="shared" si="8"/>
        <v>23</v>
      </c>
      <c r="AG29" s="539">
        <f t="shared" si="8"/>
        <v>24</v>
      </c>
      <c r="AH29" s="539">
        <f t="shared" si="8"/>
        <v>25</v>
      </c>
      <c r="AI29" s="539">
        <f t="shared" si="8"/>
        <v>26</v>
      </c>
      <c r="AJ29" s="539">
        <f t="shared" si="8"/>
        <v>27</v>
      </c>
      <c r="AK29" s="539">
        <f t="shared" si="8"/>
        <v>28</v>
      </c>
      <c r="AL29" s="539">
        <f t="shared" si="8"/>
        <v>29</v>
      </c>
      <c r="AM29" s="539">
        <f t="shared" si="8"/>
        <v>30</v>
      </c>
      <c r="AN29" s="539">
        <f t="shared" si="8"/>
        <v>31</v>
      </c>
      <c r="AO29" s="539">
        <f t="shared" si="8"/>
        <v>32</v>
      </c>
      <c r="AP29" s="539">
        <f t="shared" si="8"/>
        <v>33</v>
      </c>
      <c r="AQ29" s="539">
        <f t="shared" si="8"/>
        <v>34</v>
      </c>
      <c r="AR29" s="539">
        <f t="shared" si="8"/>
        <v>35</v>
      </c>
      <c r="AS29" s="539">
        <f t="shared" si="8"/>
        <v>36</v>
      </c>
      <c r="AT29" s="539">
        <f t="shared" si="8"/>
        <v>37</v>
      </c>
      <c r="AU29" s="539">
        <f t="shared" si="8"/>
        <v>38</v>
      </c>
      <c r="AV29" s="539">
        <f t="shared" si="8"/>
        <v>39</v>
      </c>
      <c r="AW29" s="539">
        <f t="shared" si="8"/>
        <v>40</v>
      </c>
      <c r="AX29" s="539">
        <f t="shared" si="8"/>
        <v>41</v>
      </c>
      <c r="AY29" s="539">
        <f t="shared" si="8"/>
        <v>42</v>
      </c>
      <c r="AZ29" s="539">
        <f t="shared" si="8"/>
        <v>43</v>
      </c>
      <c r="BA29" s="539">
        <f t="shared" si="8"/>
        <v>44</v>
      </c>
      <c r="BB29" s="539">
        <f t="shared" si="8"/>
        <v>45</v>
      </c>
      <c r="BC29" s="539">
        <f t="shared" si="8"/>
        <v>46</v>
      </c>
      <c r="BD29" s="539">
        <f t="shared" si="8"/>
        <v>47</v>
      </c>
      <c r="BE29" s="539">
        <f t="shared" si="8"/>
        <v>48</v>
      </c>
      <c r="BF29" s="539">
        <f t="shared" si="8"/>
        <v>49</v>
      </c>
      <c r="BG29" s="539">
        <f t="shared" si="8"/>
        <v>50</v>
      </c>
      <c r="BH29" s="539">
        <f t="shared" si="8"/>
        <v>51</v>
      </c>
      <c r="BI29" s="539">
        <f t="shared" si="8"/>
        <v>52</v>
      </c>
      <c r="BJ29" s="539">
        <f t="shared" si="8"/>
        <v>53</v>
      </c>
      <c r="BK29" s="539">
        <f t="shared" si="8"/>
        <v>54</v>
      </c>
      <c r="BL29" s="539">
        <f t="shared" si="8"/>
        <v>55</v>
      </c>
      <c r="BM29" s="539">
        <f t="shared" si="8"/>
        <v>56</v>
      </c>
      <c r="BN29" s="539">
        <f t="shared" si="8"/>
        <v>57</v>
      </c>
      <c r="BO29" s="539">
        <f t="shared" si="8"/>
        <v>58</v>
      </c>
      <c r="BP29" s="539">
        <f t="shared" si="8"/>
        <v>59</v>
      </c>
      <c r="BQ29" s="539">
        <f t="shared" si="8"/>
        <v>60</v>
      </c>
      <c r="BR29" s="539">
        <f t="shared" si="8"/>
        <v>61</v>
      </c>
      <c r="BS29" s="539">
        <f t="shared" si="8"/>
        <v>62</v>
      </c>
      <c r="BT29" s="539">
        <f t="shared" si="8"/>
        <v>63</v>
      </c>
      <c r="BU29" s="539">
        <f t="shared" si="8"/>
        <v>64</v>
      </c>
      <c r="BV29" s="539">
        <f t="shared" si="8"/>
        <v>65</v>
      </c>
      <c r="BW29" s="539">
        <f t="shared" si="8"/>
        <v>66</v>
      </c>
      <c r="BX29" s="539">
        <f t="shared" si="8"/>
        <v>67</v>
      </c>
      <c r="BY29" s="539">
        <f t="shared" si="8"/>
        <v>68</v>
      </c>
      <c r="BZ29" s="539">
        <f t="shared" si="8"/>
        <v>69</v>
      </c>
      <c r="CA29" s="539">
        <f t="shared" si="8"/>
        <v>70</v>
      </c>
      <c r="CB29" s="539">
        <f t="shared" si="8"/>
        <v>71</v>
      </c>
      <c r="CC29" s="539">
        <f t="shared" si="8"/>
        <v>72</v>
      </c>
      <c r="CD29" s="539">
        <f t="shared" si="8"/>
        <v>73</v>
      </c>
      <c r="CE29" s="539">
        <f t="shared" si="8"/>
        <v>74</v>
      </c>
      <c r="CF29" s="539">
        <f t="shared" si="8"/>
        <v>75</v>
      </c>
      <c r="CG29" s="539">
        <f t="shared" si="8"/>
        <v>76</v>
      </c>
      <c r="CH29" s="539">
        <f t="shared" si="8"/>
        <v>77</v>
      </c>
      <c r="CI29" s="539">
        <f t="shared" si="8"/>
        <v>78</v>
      </c>
      <c r="CJ29" s="539">
        <f t="shared" si="8"/>
        <v>79</v>
      </c>
      <c r="CK29" s="539">
        <f t="shared" si="8"/>
        <v>80</v>
      </c>
      <c r="CL29" s="539">
        <f t="shared" si="8"/>
        <v>81</v>
      </c>
      <c r="CM29" s="539">
        <f t="shared" si="8"/>
        <v>82</v>
      </c>
      <c r="CN29" s="539">
        <f t="shared" si="8"/>
        <v>83</v>
      </c>
      <c r="CO29" s="539">
        <f t="shared" si="8"/>
        <v>84</v>
      </c>
      <c r="CP29" s="539">
        <f t="shared" si="8"/>
        <v>85</v>
      </c>
      <c r="CQ29" s="539">
        <f t="shared" si="8"/>
        <v>86</v>
      </c>
      <c r="CR29" s="539">
        <f t="shared" si="8"/>
        <v>87</v>
      </c>
      <c r="CS29" s="539">
        <f t="shared" si="8"/>
        <v>88</v>
      </c>
      <c r="CT29" s="539">
        <f t="shared" si="8"/>
        <v>89</v>
      </c>
      <c r="CU29" s="539">
        <f t="shared" si="8"/>
        <v>90</v>
      </c>
      <c r="CV29" s="539">
        <f t="shared" si="8"/>
        <v>91</v>
      </c>
      <c r="CW29" s="539">
        <f t="shared" si="8"/>
        <v>92</v>
      </c>
      <c r="CX29" s="539">
        <f t="shared" si="8"/>
        <v>93</v>
      </c>
      <c r="CY29" s="539">
        <f t="shared" si="8"/>
        <v>94</v>
      </c>
      <c r="CZ29" s="539">
        <f t="shared" si="8"/>
        <v>95</v>
      </c>
      <c r="DA29" s="539">
        <f t="shared" si="8"/>
        <v>96</v>
      </c>
      <c r="DB29" s="539">
        <f t="shared" si="8"/>
        <v>97</v>
      </c>
      <c r="DC29" s="539">
        <f t="shared" si="8"/>
        <v>98</v>
      </c>
      <c r="DD29" s="539">
        <f t="shared" si="8"/>
        <v>99</v>
      </c>
      <c r="DE29" s="539">
        <f t="shared" si="8"/>
        <v>100</v>
      </c>
      <c r="DF29" s="539">
        <f t="shared" si="8"/>
        <v>101</v>
      </c>
      <c r="DG29" s="539">
        <f t="shared" si="8"/>
        <v>102</v>
      </c>
      <c r="DH29" s="539">
        <f t="shared" si="8"/>
        <v>103</v>
      </c>
      <c r="DI29" s="539">
        <f t="shared" si="8"/>
        <v>104</v>
      </c>
      <c r="DJ29" s="539">
        <f t="shared" si="8"/>
        <v>105</v>
      </c>
      <c r="DK29" s="539">
        <f t="shared" si="8"/>
        <v>106</v>
      </c>
      <c r="DL29" s="539">
        <f t="shared" si="8"/>
        <v>107</v>
      </c>
      <c r="DM29" s="539">
        <f t="shared" si="8"/>
        <v>108</v>
      </c>
      <c r="DN29" s="539">
        <f t="shared" si="8"/>
        <v>109</v>
      </c>
      <c r="DO29" s="539">
        <f t="shared" si="8"/>
        <v>110</v>
      </c>
      <c r="DP29" s="539">
        <f t="shared" si="8"/>
        <v>111</v>
      </c>
      <c r="DQ29" s="539">
        <f t="shared" si="8"/>
        <v>112</v>
      </c>
      <c r="DR29" s="539">
        <f t="shared" si="8"/>
        <v>113</v>
      </c>
      <c r="DS29" s="539">
        <f t="shared" si="8"/>
        <v>114</v>
      </c>
      <c r="DT29" s="539">
        <f t="shared" si="8"/>
        <v>115</v>
      </c>
      <c r="DU29" s="539">
        <f t="shared" si="8"/>
        <v>116</v>
      </c>
      <c r="DV29" s="539">
        <f t="shared" si="8"/>
        <v>117</v>
      </c>
      <c r="DW29" s="539">
        <f t="shared" si="8"/>
        <v>118</v>
      </c>
      <c r="DX29" s="539">
        <f t="shared" si="8"/>
        <v>119</v>
      </c>
      <c r="DY29" s="539">
        <f t="shared" si="8"/>
        <v>120</v>
      </c>
      <c r="DZ29" s="539">
        <f t="shared" si="8"/>
        <v>121</v>
      </c>
      <c r="EA29" s="539">
        <f t="shared" si="8"/>
        <v>122</v>
      </c>
      <c r="EB29" s="539">
        <f t="shared" si="8"/>
        <v>123</v>
      </c>
      <c r="EC29" s="539">
        <f t="shared" si="8"/>
        <v>124</v>
      </c>
      <c r="ED29" s="539">
        <f t="shared" si="8"/>
        <v>125</v>
      </c>
      <c r="EE29" s="539">
        <f t="shared" si="8"/>
        <v>126</v>
      </c>
      <c r="EF29" s="539">
        <f t="shared" si="8"/>
        <v>127</v>
      </c>
      <c r="EG29" s="539">
        <f t="shared" si="8"/>
        <v>128</v>
      </c>
    </row>
    <row r="30" spans="5:137" ht="12.75">
      <c r="E30" s="538" t="s">
        <v>162</v>
      </c>
      <c r="G30" s="539" t="s">
        <v>158</v>
      </c>
      <c r="H30" s="539">
        <f>SUM(J30:EG30)</f>
        <v>24</v>
      </c>
      <c r="J30" s="539">
        <f t="shared" si="9" ref="J30:EG30">IF($F28&gt;=J29,1,0)</f>
        <v>1</v>
      </c>
      <c r="K30" s="539">
        <f t="shared" si="9"/>
        <v>1</v>
      </c>
      <c r="L30" s="539">
        <f t="shared" si="9"/>
        <v>1</v>
      </c>
      <c r="M30" s="539">
        <f t="shared" si="9"/>
        <v>1</v>
      </c>
      <c r="N30" s="539">
        <f t="shared" si="9"/>
        <v>1</v>
      </c>
      <c r="O30" s="539">
        <f t="shared" si="9"/>
        <v>1</v>
      </c>
      <c r="P30" s="539">
        <f t="shared" si="9"/>
        <v>1</v>
      </c>
      <c r="Q30" s="539">
        <f t="shared" si="9"/>
        <v>1</v>
      </c>
      <c r="R30" s="539">
        <f t="shared" si="9"/>
        <v>1</v>
      </c>
      <c r="S30" s="539">
        <f t="shared" si="9"/>
        <v>1</v>
      </c>
      <c r="T30" s="539">
        <f t="shared" si="9"/>
        <v>1</v>
      </c>
      <c r="U30" s="539">
        <f t="shared" si="9"/>
        <v>1</v>
      </c>
      <c r="V30" s="539">
        <f t="shared" si="9"/>
        <v>1</v>
      </c>
      <c r="W30" s="539">
        <f t="shared" si="9"/>
        <v>1</v>
      </c>
      <c r="X30" s="539">
        <f t="shared" si="9"/>
        <v>1</v>
      </c>
      <c r="Y30" s="539">
        <f t="shared" si="9"/>
        <v>1</v>
      </c>
      <c r="Z30" s="539">
        <f t="shared" si="9"/>
        <v>1</v>
      </c>
      <c r="AA30" s="539">
        <f t="shared" si="9"/>
        <v>1</v>
      </c>
      <c r="AB30" s="539">
        <f t="shared" si="9"/>
        <v>1</v>
      </c>
      <c r="AC30" s="539">
        <f t="shared" si="9"/>
        <v>1</v>
      </c>
      <c r="AD30" s="539">
        <f t="shared" si="9"/>
        <v>1</v>
      </c>
      <c r="AE30" s="539">
        <f t="shared" si="9"/>
        <v>1</v>
      </c>
      <c r="AF30" s="539">
        <f t="shared" si="9"/>
        <v>1</v>
      </c>
      <c r="AG30" s="539">
        <f t="shared" si="9"/>
        <v>1</v>
      </c>
      <c r="AH30" s="539">
        <f t="shared" si="9"/>
        <v>0</v>
      </c>
      <c r="AI30" s="539">
        <f t="shared" si="9"/>
        <v>0</v>
      </c>
      <c r="AJ30" s="539">
        <f t="shared" si="9"/>
        <v>0</v>
      </c>
      <c r="AK30" s="539">
        <f t="shared" si="9"/>
        <v>0</v>
      </c>
      <c r="AL30" s="539">
        <f t="shared" si="9"/>
        <v>0</v>
      </c>
      <c r="AM30" s="539">
        <f t="shared" si="9"/>
        <v>0</v>
      </c>
      <c r="AN30" s="539">
        <f t="shared" si="9"/>
        <v>0</v>
      </c>
      <c r="AO30" s="539">
        <f t="shared" si="9"/>
        <v>0</v>
      </c>
      <c r="AP30" s="539">
        <f t="shared" si="9"/>
        <v>0</v>
      </c>
      <c r="AQ30" s="539">
        <f t="shared" si="9"/>
        <v>0</v>
      </c>
      <c r="AR30" s="539">
        <f t="shared" si="9"/>
        <v>0</v>
      </c>
      <c r="AS30" s="539">
        <f t="shared" si="9"/>
        <v>0</v>
      </c>
      <c r="AT30" s="539">
        <f t="shared" si="9"/>
        <v>0</v>
      </c>
      <c r="AU30" s="539">
        <f t="shared" si="9"/>
        <v>0</v>
      </c>
      <c r="AV30" s="539">
        <f t="shared" si="9"/>
        <v>0</v>
      </c>
      <c r="AW30" s="539">
        <f t="shared" si="9"/>
        <v>0</v>
      </c>
      <c r="AX30" s="539">
        <f t="shared" si="9"/>
        <v>0</v>
      </c>
      <c r="AY30" s="539">
        <f t="shared" si="9"/>
        <v>0</v>
      </c>
      <c r="AZ30" s="539">
        <f t="shared" si="9"/>
        <v>0</v>
      </c>
      <c r="BA30" s="539">
        <f t="shared" si="9"/>
        <v>0</v>
      </c>
      <c r="BB30" s="539">
        <f t="shared" si="9"/>
        <v>0</v>
      </c>
      <c r="BC30" s="539">
        <f t="shared" si="9"/>
        <v>0</v>
      </c>
      <c r="BD30" s="539">
        <f t="shared" si="9"/>
        <v>0</v>
      </c>
      <c r="BE30" s="539">
        <f t="shared" si="9"/>
        <v>0</v>
      </c>
      <c r="BF30" s="539">
        <f t="shared" si="9"/>
        <v>0</v>
      </c>
      <c r="BG30" s="539">
        <f t="shared" si="9"/>
        <v>0</v>
      </c>
      <c r="BH30" s="539">
        <f t="shared" si="9"/>
        <v>0</v>
      </c>
      <c r="BI30" s="539">
        <f t="shared" si="9"/>
        <v>0</v>
      </c>
      <c r="BJ30" s="539">
        <f t="shared" si="9"/>
        <v>0</v>
      </c>
      <c r="BK30" s="539">
        <f t="shared" si="9"/>
        <v>0</v>
      </c>
      <c r="BL30" s="539">
        <f t="shared" si="9"/>
        <v>0</v>
      </c>
      <c r="BM30" s="539">
        <f t="shared" si="9"/>
        <v>0</v>
      </c>
      <c r="BN30" s="539">
        <f t="shared" si="9"/>
        <v>0</v>
      </c>
      <c r="BO30" s="539">
        <f t="shared" si="9"/>
        <v>0</v>
      </c>
      <c r="BP30" s="539">
        <f t="shared" si="9"/>
        <v>0</v>
      </c>
      <c r="BQ30" s="539">
        <f t="shared" si="9"/>
        <v>0</v>
      </c>
      <c r="BR30" s="539">
        <f t="shared" si="9"/>
        <v>0</v>
      </c>
      <c r="BS30" s="539">
        <f t="shared" si="9"/>
        <v>0</v>
      </c>
      <c r="BT30" s="539">
        <f t="shared" si="9"/>
        <v>0</v>
      </c>
      <c r="BU30" s="539">
        <f t="shared" si="9"/>
        <v>0</v>
      </c>
      <c r="BV30" s="539">
        <f t="shared" si="9"/>
        <v>0</v>
      </c>
      <c r="BW30" s="539">
        <f t="shared" si="9"/>
        <v>0</v>
      </c>
      <c r="BX30" s="539">
        <f t="shared" si="9"/>
        <v>0</v>
      </c>
      <c r="BY30" s="539">
        <f t="shared" si="9"/>
        <v>0</v>
      </c>
      <c r="BZ30" s="539">
        <f t="shared" si="9"/>
        <v>0</v>
      </c>
      <c r="CA30" s="539">
        <f t="shared" si="9"/>
        <v>0</v>
      </c>
      <c r="CB30" s="539">
        <f t="shared" si="9"/>
        <v>0</v>
      </c>
      <c r="CC30" s="539">
        <f t="shared" si="9"/>
        <v>0</v>
      </c>
      <c r="CD30" s="539">
        <f t="shared" si="9"/>
        <v>0</v>
      </c>
      <c r="CE30" s="539">
        <f t="shared" si="9"/>
        <v>0</v>
      </c>
      <c r="CF30" s="539">
        <f t="shared" si="9"/>
        <v>0</v>
      </c>
      <c r="CG30" s="539">
        <f t="shared" si="9"/>
        <v>0</v>
      </c>
      <c r="CH30" s="539">
        <f t="shared" si="9"/>
        <v>0</v>
      </c>
      <c r="CI30" s="539">
        <f t="shared" si="9"/>
        <v>0</v>
      </c>
      <c r="CJ30" s="539">
        <f t="shared" si="9"/>
        <v>0</v>
      </c>
      <c r="CK30" s="539">
        <f t="shared" si="9"/>
        <v>0</v>
      </c>
      <c r="CL30" s="539">
        <f t="shared" si="9"/>
        <v>0</v>
      </c>
      <c r="CM30" s="539">
        <f t="shared" si="9"/>
        <v>0</v>
      </c>
      <c r="CN30" s="539">
        <f t="shared" si="9"/>
        <v>0</v>
      </c>
      <c r="CO30" s="539">
        <f t="shared" si="9"/>
        <v>0</v>
      </c>
      <c r="CP30" s="539">
        <f t="shared" si="9"/>
        <v>0</v>
      </c>
      <c r="CQ30" s="539">
        <f t="shared" si="9"/>
        <v>0</v>
      </c>
      <c r="CR30" s="539">
        <f t="shared" si="9"/>
        <v>0</v>
      </c>
      <c r="CS30" s="539">
        <f t="shared" si="9"/>
        <v>0</v>
      </c>
      <c r="CT30" s="539">
        <f t="shared" si="9"/>
        <v>0</v>
      </c>
      <c r="CU30" s="539">
        <f t="shared" si="9"/>
        <v>0</v>
      </c>
      <c r="CV30" s="539">
        <f t="shared" si="9"/>
        <v>0</v>
      </c>
      <c r="CW30" s="539">
        <f t="shared" si="9"/>
        <v>0</v>
      </c>
      <c r="CX30" s="539">
        <f t="shared" si="9"/>
        <v>0</v>
      </c>
      <c r="CY30" s="539">
        <f t="shared" si="9"/>
        <v>0</v>
      </c>
      <c r="CZ30" s="539">
        <f t="shared" si="9"/>
        <v>0</v>
      </c>
      <c r="DA30" s="539">
        <f t="shared" si="9"/>
        <v>0</v>
      </c>
      <c r="DB30" s="539">
        <f t="shared" si="9"/>
        <v>0</v>
      </c>
      <c r="DC30" s="539">
        <f t="shared" si="9"/>
        <v>0</v>
      </c>
      <c r="DD30" s="539">
        <f t="shared" si="9"/>
        <v>0</v>
      </c>
      <c r="DE30" s="539">
        <f t="shared" si="9"/>
        <v>0</v>
      </c>
      <c r="DF30" s="539">
        <f t="shared" si="9"/>
        <v>0</v>
      </c>
      <c r="DG30" s="539">
        <f t="shared" si="9"/>
        <v>0</v>
      </c>
      <c r="DH30" s="539">
        <f t="shared" si="9"/>
        <v>0</v>
      </c>
      <c r="DI30" s="539">
        <f t="shared" si="9"/>
        <v>0</v>
      </c>
      <c r="DJ30" s="539">
        <f t="shared" si="9"/>
        <v>0</v>
      </c>
      <c r="DK30" s="539">
        <f t="shared" si="9"/>
        <v>0</v>
      </c>
      <c r="DL30" s="539">
        <f t="shared" si="9"/>
        <v>0</v>
      </c>
      <c r="DM30" s="539">
        <f t="shared" si="9"/>
        <v>0</v>
      </c>
      <c r="DN30" s="539">
        <f t="shared" si="9"/>
        <v>0</v>
      </c>
      <c r="DO30" s="539">
        <f t="shared" si="9"/>
        <v>0</v>
      </c>
      <c r="DP30" s="539">
        <f t="shared" si="9"/>
        <v>0</v>
      </c>
      <c r="DQ30" s="539">
        <f t="shared" si="9"/>
        <v>0</v>
      </c>
      <c r="DR30" s="539">
        <f t="shared" si="9"/>
        <v>0</v>
      </c>
      <c r="DS30" s="539">
        <f t="shared" si="9"/>
        <v>0</v>
      </c>
      <c r="DT30" s="539">
        <f t="shared" si="9"/>
        <v>0</v>
      </c>
      <c r="DU30" s="539">
        <f t="shared" si="9"/>
        <v>0</v>
      </c>
      <c r="DV30" s="539">
        <f t="shared" si="9"/>
        <v>0</v>
      </c>
      <c r="DW30" s="539">
        <f t="shared" si="9"/>
        <v>0</v>
      </c>
      <c r="DX30" s="539">
        <f t="shared" si="9"/>
        <v>0</v>
      </c>
      <c r="DY30" s="539">
        <f t="shared" si="9"/>
        <v>0</v>
      </c>
      <c r="DZ30" s="539">
        <f t="shared" si="9"/>
        <v>0</v>
      </c>
      <c r="EA30" s="539">
        <f t="shared" si="9"/>
        <v>0</v>
      </c>
      <c r="EB30" s="539">
        <f t="shared" si="9"/>
        <v>0</v>
      </c>
      <c r="EC30" s="539">
        <f t="shared" si="9"/>
        <v>0</v>
      </c>
      <c r="ED30" s="539">
        <f t="shared" si="9"/>
        <v>0</v>
      </c>
      <c r="EE30" s="539">
        <f t="shared" si="9"/>
        <v>0</v>
      </c>
      <c r="EF30" s="539">
        <f t="shared" si="9"/>
        <v>0</v>
      </c>
      <c r="EG30" s="539">
        <f t="shared" si="9"/>
        <v>0</v>
      </c>
    </row>
    <row r="32" spans="5:137" ht="12.75">
      <c r="E32" s="538" t="str">
        <f>E$30</f>
        <v>Construction grain period flag</v>
      </c>
      <c r="G32" s="539" t="str">
        <f>G$30</f>
        <v>flag</v>
      </c>
      <c r="H32" s="539">
        <f>H$30</f>
        <v>24</v>
      </c>
      <c r="J32" s="539">
        <f t="shared" si="10" ref="J32:EG32">J$30</f>
        <v>1</v>
      </c>
      <c r="K32" s="539">
        <f t="shared" si="10"/>
        <v>1</v>
      </c>
      <c r="L32" s="539">
        <f t="shared" si="10"/>
        <v>1</v>
      </c>
      <c r="M32" s="539">
        <f t="shared" si="10"/>
        <v>1</v>
      </c>
      <c r="N32" s="539">
        <f t="shared" si="10"/>
        <v>1</v>
      </c>
      <c r="O32" s="539">
        <f t="shared" si="10"/>
        <v>1</v>
      </c>
      <c r="P32" s="539">
        <f t="shared" si="10"/>
        <v>1</v>
      </c>
      <c r="Q32" s="539">
        <f t="shared" si="10"/>
        <v>1</v>
      </c>
      <c r="R32" s="539">
        <f t="shared" si="10"/>
        <v>1</v>
      </c>
      <c r="S32" s="539">
        <f t="shared" si="10"/>
        <v>1</v>
      </c>
      <c r="T32" s="539">
        <f t="shared" si="10"/>
        <v>1</v>
      </c>
      <c r="U32" s="539">
        <f t="shared" si="10"/>
        <v>1</v>
      </c>
      <c r="V32" s="539">
        <f t="shared" si="10"/>
        <v>1</v>
      </c>
      <c r="W32" s="539">
        <f t="shared" si="10"/>
        <v>1</v>
      </c>
      <c r="X32" s="539">
        <f t="shared" si="10"/>
        <v>1</v>
      </c>
      <c r="Y32" s="539">
        <f t="shared" si="10"/>
        <v>1</v>
      </c>
      <c r="Z32" s="539">
        <f t="shared" si="10"/>
        <v>1</v>
      </c>
      <c r="AA32" s="539">
        <f t="shared" si="10"/>
        <v>1</v>
      </c>
      <c r="AB32" s="539">
        <f t="shared" si="10"/>
        <v>1</v>
      </c>
      <c r="AC32" s="539">
        <f t="shared" si="10"/>
        <v>1</v>
      </c>
      <c r="AD32" s="539">
        <f t="shared" si="10"/>
        <v>1</v>
      </c>
      <c r="AE32" s="539">
        <f t="shared" si="10"/>
        <v>1</v>
      </c>
      <c r="AF32" s="539">
        <f t="shared" si="10"/>
        <v>1</v>
      </c>
      <c r="AG32" s="539">
        <f t="shared" si="10"/>
        <v>1</v>
      </c>
      <c r="AH32" s="539">
        <f t="shared" si="10"/>
        <v>0</v>
      </c>
      <c r="AI32" s="539">
        <f t="shared" si="10"/>
        <v>0</v>
      </c>
      <c r="AJ32" s="539">
        <f t="shared" si="10"/>
        <v>0</v>
      </c>
      <c r="AK32" s="539">
        <f t="shared" si="10"/>
        <v>0</v>
      </c>
      <c r="AL32" s="539">
        <f t="shared" si="10"/>
        <v>0</v>
      </c>
      <c r="AM32" s="539">
        <f t="shared" si="10"/>
        <v>0</v>
      </c>
      <c r="AN32" s="539">
        <f t="shared" si="10"/>
        <v>0</v>
      </c>
      <c r="AO32" s="539">
        <f t="shared" si="10"/>
        <v>0</v>
      </c>
      <c r="AP32" s="539">
        <f t="shared" si="10"/>
        <v>0</v>
      </c>
      <c r="AQ32" s="539">
        <f t="shared" si="10"/>
        <v>0</v>
      </c>
      <c r="AR32" s="539">
        <f t="shared" si="10"/>
        <v>0</v>
      </c>
      <c r="AS32" s="539">
        <f t="shared" si="10"/>
        <v>0</v>
      </c>
      <c r="AT32" s="539">
        <f t="shared" si="10"/>
        <v>0</v>
      </c>
      <c r="AU32" s="539">
        <f t="shared" si="10"/>
        <v>0</v>
      </c>
      <c r="AV32" s="539">
        <f t="shared" si="10"/>
        <v>0</v>
      </c>
      <c r="AW32" s="539">
        <f t="shared" si="10"/>
        <v>0</v>
      </c>
      <c r="AX32" s="539">
        <f t="shared" si="10"/>
        <v>0</v>
      </c>
      <c r="AY32" s="539">
        <f t="shared" si="10"/>
        <v>0</v>
      </c>
      <c r="AZ32" s="539">
        <f t="shared" si="10"/>
        <v>0</v>
      </c>
      <c r="BA32" s="539">
        <f t="shared" si="10"/>
        <v>0</v>
      </c>
      <c r="BB32" s="539">
        <f t="shared" si="10"/>
        <v>0</v>
      </c>
      <c r="BC32" s="539">
        <f t="shared" si="10"/>
        <v>0</v>
      </c>
      <c r="BD32" s="539">
        <f t="shared" si="10"/>
        <v>0</v>
      </c>
      <c r="BE32" s="539">
        <f t="shared" si="10"/>
        <v>0</v>
      </c>
      <c r="BF32" s="539">
        <f t="shared" si="10"/>
        <v>0</v>
      </c>
      <c r="BG32" s="539">
        <f t="shared" si="10"/>
        <v>0</v>
      </c>
      <c r="BH32" s="539">
        <f t="shared" si="10"/>
        <v>0</v>
      </c>
      <c r="BI32" s="539">
        <f t="shared" si="10"/>
        <v>0</v>
      </c>
      <c r="BJ32" s="539">
        <f t="shared" si="10"/>
        <v>0</v>
      </c>
      <c r="BK32" s="539">
        <f t="shared" si="10"/>
        <v>0</v>
      </c>
      <c r="BL32" s="539">
        <f t="shared" si="10"/>
        <v>0</v>
      </c>
      <c r="BM32" s="539">
        <f t="shared" si="10"/>
        <v>0</v>
      </c>
      <c r="BN32" s="539">
        <f t="shared" si="10"/>
        <v>0</v>
      </c>
      <c r="BO32" s="539">
        <f t="shared" si="10"/>
        <v>0</v>
      </c>
      <c r="BP32" s="539">
        <f t="shared" si="10"/>
        <v>0</v>
      </c>
      <c r="BQ32" s="539">
        <f t="shared" si="10"/>
        <v>0</v>
      </c>
      <c r="BR32" s="539">
        <f t="shared" si="10"/>
        <v>0</v>
      </c>
      <c r="BS32" s="539">
        <f t="shared" si="10"/>
        <v>0</v>
      </c>
      <c r="BT32" s="539">
        <f t="shared" si="10"/>
        <v>0</v>
      </c>
      <c r="BU32" s="539">
        <f t="shared" si="10"/>
        <v>0</v>
      </c>
      <c r="BV32" s="539">
        <f t="shared" si="10"/>
        <v>0</v>
      </c>
      <c r="BW32" s="539">
        <f t="shared" si="10"/>
        <v>0</v>
      </c>
      <c r="BX32" s="539">
        <f t="shared" si="10"/>
        <v>0</v>
      </c>
      <c r="BY32" s="539">
        <f t="shared" si="10"/>
        <v>0</v>
      </c>
      <c r="BZ32" s="539">
        <f t="shared" si="10"/>
        <v>0</v>
      </c>
      <c r="CA32" s="539">
        <f t="shared" si="10"/>
        <v>0</v>
      </c>
      <c r="CB32" s="539">
        <f t="shared" si="10"/>
        <v>0</v>
      </c>
      <c r="CC32" s="539">
        <f t="shared" si="10"/>
        <v>0</v>
      </c>
      <c r="CD32" s="539">
        <f t="shared" si="10"/>
        <v>0</v>
      </c>
      <c r="CE32" s="539">
        <f t="shared" si="10"/>
        <v>0</v>
      </c>
      <c r="CF32" s="539">
        <f t="shared" si="10"/>
        <v>0</v>
      </c>
      <c r="CG32" s="539">
        <f t="shared" si="10"/>
        <v>0</v>
      </c>
      <c r="CH32" s="539">
        <f t="shared" si="10"/>
        <v>0</v>
      </c>
      <c r="CI32" s="539">
        <f t="shared" si="10"/>
        <v>0</v>
      </c>
      <c r="CJ32" s="539">
        <f t="shared" si="10"/>
        <v>0</v>
      </c>
      <c r="CK32" s="539">
        <f t="shared" si="10"/>
        <v>0</v>
      </c>
      <c r="CL32" s="539">
        <f t="shared" si="10"/>
        <v>0</v>
      </c>
      <c r="CM32" s="539">
        <f t="shared" si="10"/>
        <v>0</v>
      </c>
      <c r="CN32" s="539">
        <f t="shared" si="10"/>
        <v>0</v>
      </c>
      <c r="CO32" s="539">
        <f t="shared" si="10"/>
        <v>0</v>
      </c>
      <c r="CP32" s="539">
        <f t="shared" si="10"/>
        <v>0</v>
      </c>
      <c r="CQ32" s="539">
        <f t="shared" si="10"/>
        <v>0</v>
      </c>
      <c r="CR32" s="539">
        <f t="shared" si="10"/>
        <v>0</v>
      </c>
      <c r="CS32" s="539">
        <f t="shared" si="10"/>
        <v>0</v>
      </c>
      <c r="CT32" s="539">
        <f t="shared" si="10"/>
        <v>0</v>
      </c>
      <c r="CU32" s="539">
        <f t="shared" si="10"/>
        <v>0</v>
      </c>
      <c r="CV32" s="539">
        <f t="shared" si="10"/>
        <v>0</v>
      </c>
      <c r="CW32" s="539">
        <f t="shared" si="10"/>
        <v>0</v>
      </c>
      <c r="CX32" s="539">
        <f t="shared" si="10"/>
        <v>0</v>
      </c>
      <c r="CY32" s="539">
        <f t="shared" si="10"/>
        <v>0</v>
      </c>
      <c r="CZ32" s="539">
        <f t="shared" si="10"/>
        <v>0</v>
      </c>
      <c r="DA32" s="539">
        <f t="shared" si="10"/>
        <v>0</v>
      </c>
      <c r="DB32" s="539">
        <f t="shared" si="10"/>
        <v>0</v>
      </c>
      <c r="DC32" s="539">
        <f t="shared" si="10"/>
        <v>0</v>
      </c>
      <c r="DD32" s="539">
        <f t="shared" si="10"/>
        <v>0</v>
      </c>
      <c r="DE32" s="539">
        <f t="shared" si="10"/>
        <v>0</v>
      </c>
      <c r="DF32" s="539">
        <f t="shared" si="10"/>
        <v>0</v>
      </c>
      <c r="DG32" s="539">
        <f t="shared" si="10"/>
        <v>0</v>
      </c>
      <c r="DH32" s="539">
        <f t="shared" si="10"/>
        <v>0</v>
      </c>
      <c r="DI32" s="539">
        <f t="shared" si="10"/>
        <v>0</v>
      </c>
      <c r="DJ32" s="539">
        <f t="shared" si="10"/>
        <v>0</v>
      </c>
      <c r="DK32" s="539">
        <f t="shared" si="10"/>
        <v>0</v>
      </c>
      <c r="DL32" s="539">
        <f t="shared" si="10"/>
        <v>0</v>
      </c>
      <c r="DM32" s="539">
        <f t="shared" si="10"/>
        <v>0</v>
      </c>
      <c r="DN32" s="539">
        <f t="shared" si="10"/>
        <v>0</v>
      </c>
      <c r="DO32" s="539">
        <f t="shared" si="10"/>
        <v>0</v>
      </c>
      <c r="DP32" s="539">
        <f t="shared" si="10"/>
        <v>0</v>
      </c>
      <c r="DQ32" s="539">
        <f t="shared" si="10"/>
        <v>0</v>
      </c>
      <c r="DR32" s="539">
        <f t="shared" si="10"/>
        <v>0</v>
      </c>
      <c r="DS32" s="539">
        <f t="shared" si="10"/>
        <v>0</v>
      </c>
      <c r="DT32" s="539">
        <f t="shared" si="10"/>
        <v>0</v>
      </c>
      <c r="DU32" s="539">
        <f t="shared" si="10"/>
        <v>0</v>
      </c>
      <c r="DV32" s="539">
        <f t="shared" si="10"/>
        <v>0</v>
      </c>
      <c r="DW32" s="539">
        <f t="shared" si="10"/>
        <v>0</v>
      </c>
      <c r="DX32" s="539">
        <f t="shared" si="10"/>
        <v>0</v>
      </c>
      <c r="DY32" s="539">
        <f t="shared" si="10"/>
        <v>0</v>
      </c>
      <c r="DZ32" s="539">
        <f t="shared" si="10"/>
        <v>0</v>
      </c>
      <c r="EA32" s="539">
        <f t="shared" si="10"/>
        <v>0</v>
      </c>
      <c r="EB32" s="539">
        <f t="shared" si="10"/>
        <v>0</v>
      </c>
      <c r="EC32" s="539">
        <f t="shared" si="10"/>
        <v>0</v>
      </c>
      <c r="ED32" s="539">
        <f t="shared" si="10"/>
        <v>0</v>
      </c>
      <c r="EE32" s="539">
        <f t="shared" si="10"/>
        <v>0</v>
      </c>
      <c r="EF32" s="539">
        <f t="shared" si="10"/>
        <v>0</v>
      </c>
      <c r="EG32" s="539">
        <f t="shared" si="10"/>
        <v>0</v>
      </c>
    </row>
    <row r="33" spans="5:137" ht="12.75">
      <c r="E33" s="538" t="s">
        <v>163</v>
      </c>
      <c r="G33" s="539" t="s">
        <v>158</v>
      </c>
      <c r="H33" s="539">
        <f>SUM(J33:EG33)</f>
        <v>104</v>
      </c>
      <c r="J33" s="539">
        <f t="shared" si="11" ref="J33:EG33">1-J32</f>
        <v>0</v>
      </c>
      <c r="K33" s="539">
        <f t="shared" si="11"/>
        <v>0</v>
      </c>
      <c r="L33" s="539">
        <f t="shared" si="11"/>
        <v>0</v>
      </c>
      <c r="M33" s="539">
        <f t="shared" si="11"/>
        <v>0</v>
      </c>
      <c r="N33" s="539">
        <f t="shared" si="11"/>
        <v>0</v>
      </c>
      <c r="O33" s="539">
        <f t="shared" si="11"/>
        <v>0</v>
      </c>
      <c r="P33" s="539">
        <f t="shared" si="11"/>
        <v>0</v>
      </c>
      <c r="Q33" s="539">
        <f t="shared" si="11"/>
        <v>0</v>
      </c>
      <c r="R33" s="539">
        <f t="shared" si="11"/>
        <v>0</v>
      </c>
      <c r="S33" s="539">
        <f t="shared" si="11"/>
        <v>0</v>
      </c>
      <c r="T33" s="539">
        <f t="shared" si="11"/>
        <v>0</v>
      </c>
      <c r="U33" s="539">
        <f t="shared" si="11"/>
        <v>0</v>
      </c>
      <c r="V33" s="539">
        <f t="shared" si="11"/>
        <v>0</v>
      </c>
      <c r="W33" s="539">
        <f t="shared" si="11"/>
        <v>0</v>
      </c>
      <c r="X33" s="539">
        <f t="shared" si="11"/>
        <v>0</v>
      </c>
      <c r="Y33" s="539">
        <f t="shared" si="11"/>
        <v>0</v>
      </c>
      <c r="Z33" s="539">
        <f t="shared" si="11"/>
        <v>0</v>
      </c>
      <c r="AA33" s="539">
        <f t="shared" si="11"/>
        <v>0</v>
      </c>
      <c r="AB33" s="539">
        <f t="shared" si="11"/>
        <v>0</v>
      </c>
      <c r="AC33" s="539">
        <f t="shared" si="11"/>
        <v>0</v>
      </c>
      <c r="AD33" s="539">
        <f t="shared" si="11"/>
        <v>0</v>
      </c>
      <c r="AE33" s="539">
        <f t="shared" si="11"/>
        <v>0</v>
      </c>
      <c r="AF33" s="539">
        <f t="shared" si="11"/>
        <v>0</v>
      </c>
      <c r="AG33" s="539">
        <f t="shared" si="11"/>
        <v>0</v>
      </c>
      <c r="AH33" s="539">
        <f t="shared" si="11"/>
        <v>1</v>
      </c>
      <c r="AI33" s="539">
        <f t="shared" si="11"/>
        <v>1</v>
      </c>
      <c r="AJ33" s="539">
        <f t="shared" si="11"/>
        <v>1</v>
      </c>
      <c r="AK33" s="539">
        <f t="shared" si="11"/>
        <v>1</v>
      </c>
      <c r="AL33" s="539">
        <f t="shared" si="11"/>
        <v>1</v>
      </c>
      <c r="AM33" s="539">
        <f t="shared" si="11"/>
        <v>1</v>
      </c>
      <c r="AN33" s="539">
        <f t="shared" si="11"/>
        <v>1</v>
      </c>
      <c r="AO33" s="539">
        <f t="shared" si="11"/>
        <v>1</v>
      </c>
      <c r="AP33" s="539">
        <f t="shared" si="11"/>
        <v>1</v>
      </c>
      <c r="AQ33" s="539">
        <f t="shared" si="11"/>
        <v>1</v>
      </c>
      <c r="AR33" s="539">
        <f t="shared" si="11"/>
        <v>1</v>
      </c>
      <c r="AS33" s="539">
        <f t="shared" si="11"/>
        <v>1</v>
      </c>
      <c r="AT33" s="539">
        <f t="shared" si="11"/>
        <v>1</v>
      </c>
      <c r="AU33" s="539">
        <f t="shared" si="11"/>
        <v>1</v>
      </c>
      <c r="AV33" s="539">
        <f t="shared" si="11"/>
        <v>1</v>
      </c>
      <c r="AW33" s="539">
        <f t="shared" si="11"/>
        <v>1</v>
      </c>
      <c r="AX33" s="539">
        <f t="shared" si="11"/>
        <v>1</v>
      </c>
      <c r="AY33" s="539">
        <f t="shared" si="11"/>
        <v>1</v>
      </c>
      <c r="AZ33" s="539">
        <f t="shared" si="11"/>
        <v>1</v>
      </c>
      <c r="BA33" s="539">
        <f t="shared" si="11"/>
        <v>1</v>
      </c>
      <c r="BB33" s="539">
        <f t="shared" si="11"/>
        <v>1</v>
      </c>
      <c r="BC33" s="539">
        <f t="shared" si="11"/>
        <v>1</v>
      </c>
      <c r="BD33" s="539">
        <f t="shared" si="11"/>
        <v>1</v>
      </c>
      <c r="BE33" s="539">
        <f t="shared" si="11"/>
        <v>1</v>
      </c>
      <c r="BF33" s="539">
        <f t="shared" si="11"/>
        <v>1</v>
      </c>
      <c r="BG33" s="539">
        <f t="shared" si="11"/>
        <v>1</v>
      </c>
      <c r="BH33" s="539">
        <f t="shared" si="11"/>
        <v>1</v>
      </c>
      <c r="BI33" s="539">
        <f t="shared" si="11"/>
        <v>1</v>
      </c>
      <c r="BJ33" s="539">
        <f t="shared" si="11"/>
        <v>1</v>
      </c>
      <c r="BK33" s="539">
        <f t="shared" si="11"/>
        <v>1</v>
      </c>
      <c r="BL33" s="539">
        <f t="shared" si="11"/>
        <v>1</v>
      </c>
      <c r="BM33" s="539">
        <f t="shared" si="11"/>
        <v>1</v>
      </c>
      <c r="BN33" s="539">
        <f t="shared" si="11"/>
        <v>1</v>
      </c>
      <c r="BO33" s="539">
        <f t="shared" si="11"/>
        <v>1</v>
      </c>
      <c r="BP33" s="539">
        <f t="shared" si="11"/>
        <v>1</v>
      </c>
      <c r="BQ33" s="539">
        <f t="shared" si="11"/>
        <v>1</v>
      </c>
      <c r="BR33" s="539">
        <f t="shared" si="11"/>
        <v>1</v>
      </c>
      <c r="BS33" s="539">
        <f t="shared" si="11"/>
        <v>1</v>
      </c>
      <c r="BT33" s="539">
        <f t="shared" si="11"/>
        <v>1</v>
      </c>
      <c r="BU33" s="539">
        <f t="shared" si="11"/>
        <v>1</v>
      </c>
      <c r="BV33" s="539">
        <f t="shared" si="11"/>
        <v>1</v>
      </c>
      <c r="BW33" s="539">
        <f t="shared" si="11"/>
        <v>1</v>
      </c>
      <c r="BX33" s="539">
        <f t="shared" si="11"/>
        <v>1</v>
      </c>
      <c r="BY33" s="539">
        <f t="shared" si="11"/>
        <v>1</v>
      </c>
      <c r="BZ33" s="539">
        <f t="shared" si="11"/>
        <v>1</v>
      </c>
      <c r="CA33" s="539">
        <f t="shared" si="11"/>
        <v>1</v>
      </c>
      <c r="CB33" s="539">
        <f t="shared" si="11"/>
        <v>1</v>
      </c>
      <c r="CC33" s="539">
        <f t="shared" si="11"/>
        <v>1</v>
      </c>
      <c r="CD33" s="539">
        <f t="shared" si="11"/>
        <v>1</v>
      </c>
      <c r="CE33" s="539">
        <f t="shared" si="11"/>
        <v>1</v>
      </c>
      <c r="CF33" s="539">
        <f t="shared" si="11"/>
        <v>1</v>
      </c>
      <c r="CG33" s="539">
        <f t="shared" si="11"/>
        <v>1</v>
      </c>
      <c r="CH33" s="539">
        <f t="shared" si="11"/>
        <v>1</v>
      </c>
      <c r="CI33" s="539">
        <f t="shared" si="11"/>
        <v>1</v>
      </c>
      <c r="CJ33" s="539">
        <f t="shared" si="11"/>
        <v>1</v>
      </c>
      <c r="CK33" s="539">
        <f t="shared" si="11"/>
        <v>1</v>
      </c>
      <c r="CL33" s="539">
        <f t="shared" si="11"/>
        <v>1</v>
      </c>
      <c r="CM33" s="539">
        <f t="shared" si="11"/>
        <v>1</v>
      </c>
      <c r="CN33" s="539">
        <f t="shared" si="11"/>
        <v>1</v>
      </c>
      <c r="CO33" s="539">
        <f t="shared" si="11"/>
        <v>1</v>
      </c>
      <c r="CP33" s="539">
        <f t="shared" si="11"/>
        <v>1</v>
      </c>
      <c r="CQ33" s="539">
        <f t="shared" si="11"/>
        <v>1</v>
      </c>
      <c r="CR33" s="539">
        <f t="shared" si="11"/>
        <v>1</v>
      </c>
      <c r="CS33" s="539">
        <f t="shared" si="11"/>
        <v>1</v>
      </c>
      <c r="CT33" s="539">
        <f t="shared" si="11"/>
        <v>1</v>
      </c>
      <c r="CU33" s="539">
        <f t="shared" si="11"/>
        <v>1</v>
      </c>
      <c r="CV33" s="539">
        <f t="shared" si="11"/>
        <v>1</v>
      </c>
      <c r="CW33" s="539">
        <f t="shared" si="11"/>
        <v>1</v>
      </c>
      <c r="CX33" s="539">
        <f t="shared" si="11"/>
        <v>1</v>
      </c>
      <c r="CY33" s="539">
        <f t="shared" si="11"/>
        <v>1</v>
      </c>
      <c r="CZ33" s="539">
        <f t="shared" si="11"/>
        <v>1</v>
      </c>
      <c r="DA33" s="539">
        <f t="shared" si="11"/>
        <v>1</v>
      </c>
      <c r="DB33" s="539">
        <f t="shared" si="11"/>
        <v>1</v>
      </c>
      <c r="DC33" s="539">
        <f t="shared" si="11"/>
        <v>1</v>
      </c>
      <c r="DD33" s="539">
        <f t="shared" si="11"/>
        <v>1</v>
      </c>
      <c r="DE33" s="539">
        <f t="shared" si="11"/>
        <v>1</v>
      </c>
      <c r="DF33" s="539">
        <f t="shared" si="11"/>
        <v>1</v>
      </c>
      <c r="DG33" s="539">
        <f t="shared" si="11"/>
        <v>1</v>
      </c>
      <c r="DH33" s="539">
        <f t="shared" si="11"/>
        <v>1</v>
      </c>
      <c r="DI33" s="539">
        <f t="shared" si="11"/>
        <v>1</v>
      </c>
      <c r="DJ33" s="539">
        <f t="shared" si="11"/>
        <v>1</v>
      </c>
      <c r="DK33" s="539">
        <f t="shared" si="11"/>
        <v>1</v>
      </c>
      <c r="DL33" s="539">
        <f t="shared" si="11"/>
        <v>1</v>
      </c>
      <c r="DM33" s="539">
        <f t="shared" si="11"/>
        <v>1</v>
      </c>
      <c r="DN33" s="539">
        <f t="shared" si="11"/>
        <v>1</v>
      </c>
      <c r="DO33" s="539">
        <f t="shared" si="11"/>
        <v>1</v>
      </c>
      <c r="DP33" s="539">
        <f t="shared" si="11"/>
        <v>1</v>
      </c>
      <c r="DQ33" s="539">
        <f t="shared" si="11"/>
        <v>1</v>
      </c>
      <c r="DR33" s="539">
        <f t="shared" si="11"/>
        <v>1</v>
      </c>
      <c r="DS33" s="539">
        <f t="shared" si="11"/>
        <v>1</v>
      </c>
      <c r="DT33" s="539">
        <f t="shared" si="11"/>
        <v>1</v>
      </c>
      <c r="DU33" s="539">
        <f t="shared" si="11"/>
        <v>1</v>
      </c>
      <c r="DV33" s="539">
        <f t="shared" si="11"/>
        <v>1</v>
      </c>
      <c r="DW33" s="539">
        <f t="shared" si="11"/>
        <v>1</v>
      </c>
      <c r="DX33" s="539">
        <f t="shared" si="11"/>
        <v>1</v>
      </c>
      <c r="DY33" s="539">
        <f t="shared" si="11"/>
        <v>1</v>
      </c>
      <c r="DZ33" s="539">
        <f t="shared" si="11"/>
        <v>1</v>
      </c>
      <c r="EA33" s="539">
        <f t="shared" si="11"/>
        <v>1</v>
      </c>
      <c r="EB33" s="539">
        <f t="shared" si="11"/>
        <v>1</v>
      </c>
      <c r="EC33" s="539">
        <f t="shared" si="11"/>
        <v>1</v>
      </c>
      <c r="ED33" s="539">
        <f t="shared" si="11"/>
        <v>1</v>
      </c>
      <c r="EE33" s="539">
        <f t="shared" si="11"/>
        <v>1</v>
      </c>
      <c r="EF33" s="539">
        <f t="shared" si="11"/>
        <v>1</v>
      </c>
      <c r="EG33" s="539">
        <f t="shared" si="11"/>
        <v>1</v>
      </c>
    </row>
    <row r="35" spans="5:7" ht="12.75">
      <c r="E35" s="535" t="str">
        <f>InpC!E$15</f>
        <v>Length of construction period</v>
      </c>
      <c r="F35" s="537">
        <f>InpC!F$15</f>
        <v>1</v>
      </c>
      <c r="G35" s="537" t="str">
        <f>InpC!G$15</f>
        <v>months</v>
      </c>
    </row>
    <row r="36" spans="5:7" ht="12.75">
      <c r="E36" s="535" t="str">
        <f>InpC!E$16</f>
        <v>Length of operating period</v>
      </c>
      <c r="F36" s="537">
        <f>InpC!F$16</f>
        <v>3</v>
      </c>
      <c r="G36" s="537" t="str">
        <f>InpC!G$16</f>
        <v>months</v>
      </c>
    </row>
    <row r="37" spans="5:137" ht="12.75">
      <c r="E37" s="538" t="str">
        <f>E$30</f>
        <v>Construction grain period flag</v>
      </c>
      <c r="G37" s="539" t="str">
        <f>G$30</f>
        <v>flag</v>
      </c>
      <c r="H37" s="539">
        <f>H$30</f>
        <v>24</v>
      </c>
      <c r="J37" s="539">
        <f t="shared" si="12" ref="J37:EG37">J$30</f>
        <v>1</v>
      </c>
      <c r="K37" s="539">
        <f t="shared" si="12"/>
        <v>1</v>
      </c>
      <c r="L37" s="539">
        <f t="shared" si="12"/>
        <v>1</v>
      </c>
      <c r="M37" s="539">
        <f t="shared" si="12"/>
        <v>1</v>
      </c>
      <c r="N37" s="539">
        <f t="shared" si="12"/>
        <v>1</v>
      </c>
      <c r="O37" s="539">
        <f t="shared" si="12"/>
        <v>1</v>
      </c>
      <c r="P37" s="539">
        <f t="shared" si="12"/>
        <v>1</v>
      </c>
      <c r="Q37" s="539">
        <f t="shared" si="12"/>
        <v>1</v>
      </c>
      <c r="R37" s="539">
        <f t="shared" si="12"/>
        <v>1</v>
      </c>
      <c r="S37" s="539">
        <f t="shared" si="12"/>
        <v>1</v>
      </c>
      <c r="T37" s="539">
        <f t="shared" si="12"/>
        <v>1</v>
      </c>
      <c r="U37" s="539">
        <f t="shared" si="12"/>
        <v>1</v>
      </c>
      <c r="V37" s="539">
        <f t="shared" si="12"/>
        <v>1</v>
      </c>
      <c r="W37" s="539">
        <f t="shared" si="12"/>
        <v>1</v>
      </c>
      <c r="X37" s="539">
        <f t="shared" si="12"/>
        <v>1</v>
      </c>
      <c r="Y37" s="539">
        <f t="shared" si="12"/>
        <v>1</v>
      </c>
      <c r="Z37" s="539">
        <f t="shared" si="12"/>
        <v>1</v>
      </c>
      <c r="AA37" s="539">
        <f t="shared" si="12"/>
        <v>1</v>
      </c>
      <c r="AB37" s="539">
        <f t="shared" si="12"/>
        <v>1</v>
      </c>
      <c r="AC37" s="539">
        <f t="shared" si="12"/>
        <v>1</v>
      </c>
      <c r="AD37" s="539">
        <f t="shared" si="12"/>
        <v>1</v>
      </c>
      <c r="AE37" s="539">
        <f t="shared" si="12"/>
        <v>1</v>
      </c>
      <c r="AF37" s="539">
        <f t="shared" si="12"/>
        <v>1</v>
      </c>
      <c r="AG37" s="539">
        <f t="shared" si="12"/>
        <v>1</v>
      </c>
      <c r="AH37" s="539">
        <f t="shared" si="12"/>
        <v>0</v>
      </c>
      <c r="AI37" s="539">
        <f t="shared" si="12"/>
        <v>0</v>
      </c>
      <c r="AJ37" s="539">
        <f t="shared" si="12"/>
        <v>0</v>
      </c>
      <c r="AK37" s="539">
        <f t="shared" si="12"/>
        <v>0</v>
      </c>
      <c r="AL37" s="539">
        <f t="shared" si="12"/>
        <v>0</v>
      </c>
      <c r="AM37" s="539">
        <f t="shared" si="12"/>
        <v>0</v>
      </c>
      <c r="AN37" s="539">
        <f t="shared" si="12"/>
        <v>0</v>
      </c>
      <c r="AO37" s="539">
        <f t="shared" si="12"/>
        <v>0</v>
      </c>
      <c r="AP37" s="539">
        <f t="shared" si="12"/>
        <v>0</v>
      </c>
      <c r="AQ37" s="539">
        <f t="shared" si="12"/>
        <v>0</v>
      </c>
      <c r="AR37" s="539">
        <f t="shared" si="12"/>
        <v>0</v>
      </c>
      <c r="AS37" s="539">
        <f t="shared" si="12"/>
        <v>0</v>
      </c>
      <c r="AT37" s="539">
        <f t="shared" si="12"/>
        <v>0</v>
      </c>
      <c r="AU37" s="539">
        <f t="shared" si="12"/>
        <v>0</v>
      </c>
      <c r="AV37" s="539">
        <f t="shared" si="12"/>
        <v>0</v>
      </c>
      <c r="AW37" s="539">
        <f t="shared" si="12"/>
        <v>0</v>
      </c>
      <c r="AX37" s="539">
        <f t="shared" si="12"/>
        <v>0</v>
      </c>
      <c r="AY37" s="539">
        <f t="shared" si="12"/>
        <v>0</v>
      </c>
      <c r="AZ37" s="539">
        <f t="shared" si="12"/>
        <v>0</v>
      </c>
      <c r="BA37" s="539">
        <f t="shared" si="12"/>
        <v>0</v>
      </c>
      <c r="BB37" s="539">
        <f t="shared" si="12"/>
        <v>0</v>
      </c>
      <c r="BC37" s="539">
        <f t="shared" si="12"/>
        <v>0</v>
      </c>
      <c r="BD37" s="539">
        <f t="shared" si="12"/>
        <v>0</v>
      </c>
      <c r="BE37" s="539">
        <f t="shared" si="12"/>
        <v>0</v>
      </c>
      <c r="BF37" s="539">
        <f t="shared" si="12"/>
        <v>0</v>
      </c>
      <c r="BG37" s="539">
        <f t="shared" si="12"/>
        <v>0</v>
      </c>
      <c r="BH37" s="539">
        <f t="shared" si="12"/>
        <v>0</v>
      </c>
      <c r="BI37" s="539">
        <f t="shared" si="12"/>
        <v>0</v>
      </c>
      <c r="BJ37" s="539">
        <f t="shared" si="12"/>
        <v>0</v>
      </c>
      <c r="BK37" s="539">
        <f t="shared" si="12"/>
        <v>0</v>
      </c>
      <c r="BL37" s="539">
        <f t="shared" si="12"/>
        <v>0</v>
      </c>
      <c r="BM37" s="539">
        <f t="shared" si="12"/>
        <v>0</v>
      </c>
      <c r="BN37" s="539">
        <f t="shared" si="12"/>
        <v>0</v>
      </c>
      <c r="BO37" s="539">
        <f t="shared" si="12"/>
        <v>0</v>
      </c>
      <c r="BP37" s="539">
        <f t="shared" si="12"/>
        <v>0</v>
      </c>
      <c r="BQ37" s="539">
        <f t="shared" si="12"/>
        <v>0</v>
      </c>
      <c r="BR37" s="539">
        <f t="shared" si="12"/>
        <v>0</v>
      </c>
      <c r="BS37" s="539">
        <f t="shared" si="12"/>
        <v>0</v>
      </c>
      <c r="BT37" s="539">
        <f t="shared" si="12"/>
        <v>0</v>
      </c>
      <c r="BU37" s="539">
        <f t="shared" si="12"/>
        <v>0</v>
      </c>
      <c r="BV37" s="539">
        <f t="shared" si="12"/>
        <v>0</v>
      </c>
      <c r="BW37" s="539">
        <f t="shared" si="12"/>
        <v>0</v>
      </c>
      <c r="BX37" s="539">
        <f t="shared" si="12"/>
        <v>0</v>
      </c>
      <c r="BY37" s="539">
        <f t="shared" si="12"/>
        <v>0</v>
      </c>
      <c r="BZ37" s="539">
        <f t="shared" si="12"/>
        <v>0</v>
      </c>
      <c r="CA37" s="539">
        <f t="shared" si="12"/>
        <v>0</v>
      </c>
      <c r="CB37" s="539">
        <f t="shared" si="12"/>
        <v>0</v>
      </c>
      <c r="CC37" s="539">
        <f t="shared" si="12"/>
        <v>0</v>
      </c>
      <c r="CD37" s="539">
        <f t="shared" si="12"/>
        <v>0</v>
      </c>
      <c r="CE37" s="539">
        <f t="shared" si="12"/>
        <v>0</v>
      </c>
      <c r="CF37" s="539">
        <f t="shared" si="12"/>
        <v>0</v>
      </c>
      <c r="CG37" s="539">
        <f t="shared" si="12"/>
        <v>0</v>
      </c>
      <c r="CH37" s="539">
        <f t="shared" si="12"/>
        <v>0</v>
      </c>
      <c r="CI37" s="539">
        <f t="shared" si="12"/>
        <v>0</v>
      </c>
      <c r="CJ37" s="539">
        <f t="shared" si="12"/>
        <v>0</v>
      </c>
      <c r="CK37" s="539">
        <f t="shared" si="12"/>
        <v>0</v>
      </c>
      <c r="CL37" s="539">
        <f t="shared" si="12"/>
        <v>0</v>
      </c>
      <c r="CM37" s="539">
        <f t="shared" si="12"/>
        <v>0</v>
      </c>
      <c r="CN37" s="539">
        <f t="shared" si="12"/>
        <v>0</v>
      </c>
      <c r="CO37" s="539">
        <f t="shared" si="12"/>
        <v>0</v>
      </c>
      <c r="CP37" s="539">
        <f t="shared" si="12"/>
        <v>0</v>
      </c>
      <c r="CQ37" s="539">
        <f t="shared" si="12"/>
        <v>0</v>
      </c>
      <c r="CR37" s="539">
        <f t="shared" si="12"/>
        <v>0</v>
      </c>
      <c r="CS37" s="539">
        <f t="shared" si="12"/>
        <v>0</v>
      </c>
      <c r="CT37" s="539">
        <f t="shared" si="12"/>
        <v>0</v>
      </c>
      <c r="CU37" s="539">
        <f t="shared" si="12"/>
        <v>0</v>
      </c>
      <c r="CV37" s="539">
        <f t="shared" si="12"/>
        <v>0</v>
      </c>
      <c r="CW37" s="539">
        <f t="shared" si="12"/>
        <v>0</v>
      </c>
      <c r="CX37" s="539">
        <f t="shared" si="12"/>
        <v>0</v>
      </c>
      <c r="CY37" s="539">
        <f t="shared" si="12"/>
        <v>0</v>
      </c>
      <c r="CZ37" s="539">
        <f t="shared" si="12"/>
        <v>0</v>
      </c>
      <c r="DA37" s="539">
        <f t="shared" si="12"/>
        <v>0</v>
      </c>
      <c r="DB37" s="539">
        <f t="shared" si="12"/>
        <v>0</v>
      </c>
      <c r="DC37" s="539">
        <f t="shared" si="12"/>
        <v>0</v>
      </c>
      <c r="DD37" s="539">
        <f t="shared" si="12"/>
        <v>0</v>
      </c>
      <c r="DE37" s="539">
        <f t="shared" si="12"/>
        <v>0</v>
      </c>
      <c r="DF37" s="539">
        <f t="shared" si="12"/>
        <v>0</v>
      </c>
      <c r="DG37" s="539">
        <f t="shared" si="12"/>
        <v>0</v>
      </c>
      <c r="DH37" s="539">
        <f t="shared" si="12"/>
        <v>0</v>
      </c>
      <c r="DI37" s="539">
        <f t="shared" si="12"/>
        <v>0</v>
      </c>
      <c r="DJ37" s="539">
        <f t="shared" si="12"/>
        <v>0</v>
      </c>
      <c r="DK37" s="539">
        <f t="shared" si="12"/>
        <v>0</v>
      </c>
      <c r="DL37" s="539">
        <f t="shared" si="12"/>
        <v>0</v>
      </c>
      <c r="DM37" s="539">
        <f t="shared" si="12"/>
        <v>0</v>
      </c>
      <c r="DN37" s="539">
        <f t="shared" si="12"/>
        <v>0</v>
      </c>
      <c r="DO37" s="539">
        <f t="shared" si="12"/>
        <v>0</v>
      </c>
      <c r="DP37" s="539">
        <f t="shared" si="12"/>
        <v>0</v>
      </c>
      <c r="DQ37" s="539">
        <f t="shared" si="12"/>
        <v>0</v>
      </c>
      <c r="DR37" s="539">
        <f t="shared" si="12"/>
        <v>0</v>
      </c>
      <c r="DS37" s="539">
        <f t="shared" si="12"/>
        <v>0</v>
      </c>
      <c r="DT37" s="539">
        <f t="shared" si="12"/>
        <v>0</v>
      </c>
      <c r="DU37" s="539">
        <f t="shared" si="12"/>
        <v>0</v>
      </c>
      <c r="DV37" s="539">
        <f t="shared" si="12"/>
        <v>0</v>
      </c>
      <c r="DW37" s="539">
        <f t="shared" si="12"/>
        <v>0</v>
      </c>
      <c r="DX37" s="539">
        <f t="shared" si="12"/>
        <v>0</v>
      </c>
      <c r="DY37" s="539">
        <f t="shared" si="12"/>
        <v>0</v>
      </c>
      <c r="DZ37" s="539">
        <f t="shared" si="12"/>
        <v>0</v>
      </c>
      <c r="EA37" s="539">
        <f t="shared" si="12"/>
        <v>0</v>
      </c>
      <c r="EB37" s="539">
        <f t="shared" si="12"/>
        <v>0</v>
      </c>
      <c r="EC37" s="539">
        <f t="shared" si="12"/>
        <v>0</v>
      </c>
      <c r="ED37" s="539">
        <f t="shared" si="12"/>
        <v>0</v>
      </c>
      <c r="EE37" s="539">
        <f t="shared" si="12"/>
        <v>0</v>
      </c>
      <c r="EF37" s="539">
        <f t="shared" si="12"/>
        <v>0</v>
      </c>
      <c r="EG37" s="539">
        <f t="shared" si="12"/>
        <v>0</v>
      </c>
    </row>
    <row r="38" spans="5:137" ht="12.75">
      <c r="E38" s="538" t="str">
        <f>E$33</f>
        <v>Primary timeline period flag</v>
      </c>
      <c r="G38" s="539" t="str">
        <f>G$33</f>
        <v>flag</v>
      </c>
      <c r="H38" s="539">
        <f>H$33</f>
        <v>104</v>
      </c>
      <c r="J38" s="539">
        <f t="shared" si="13" ref="J38:EG38">J$33</f>
        <v>0</v>
      </c>
      <c r="K38" s="539">
        <f t="shared" si="13"/>
        <v>0</v>
      </c>
      <c r="L38" s="539">
        <f t="shared" si="13"/>
        <v>0</v>
      </c>
      <c r="M38" s="539">
        <f t="shared" si="13"/>
        <v>0</v>
      </c>
      <c r="N38" s="539">
        <f t="shared" si="13"/>
        <v>0</v>
      </c>
      <c r="O38" s="539">
        <f t="shared" si="13"/>
        <v>0</v>
      </c>
      <c r="P38" s="539">
        <f t="shared" si="13"/>
        <v>0</v>
      </c>
      <c r="Q38" s="539">
        <f t="shared" si="13"/>
        <v>0</v>
      </c>
      <c r="R38" s="539">
        <f t="shared" si="13"/>
        <v>0</v>
      </c>
      <c r="S38" s="539">
        <f t="shared" si="13"/>
        <v>0</v>
      </c>
      <c r="T38" s="539">
        <f t="shared" si="13"/>
        <v>0</v>
      </c>
      <c r="U38" s="539">
        <f t="shared" si="13"/>
        <v>0</v>
      </c>
      <c r="V38" s="539">
        <f t="shared" si="13"/>
        <v>0</v>
      </c>
      <c r="W38" s="539">
        <f t="shared" si="13"/>
        <v>0</v>
      </c>
      <c r="X38" s="539">
        <f t="shared" si="13"/>
        <v>0</v>
      </c>
      <c r="Y38" s="539">
        <f t="shared" si="13"/>
        <v>0</v>
      </c>
      <c r="Z38" s="539">
        <f t="shared" si="13"/>
        <v>0</v>
      </c>
      <c r="AA38" s="539">
        <f t="shared" si="13"/>
        <v>0</v>
      </c>
      <c r="AB38" s="539">
        <f t="shared" si="13"/>
        <v>0</v>
      </c>
      <c r="AC38" s="539">
        <f t="shared" si="13"/>
        <v>0</v>
      </c>
      <c r="AD38" s="539">
        <f t="shared" si="13"/>
        <v>0</v>
      </c>
      <c r="AE38" s="539">
        <f t="shared" si="13"/>
        <v>0</v>
      </c>
      <c r="AF38" s="539">
        <f t="shared" si="13"/>
        <v>0</v>
      </c>
      <c r="AG38" s="539">
        <f t="shared" si="13"/>
        <v>0</v>
      </c>
      <c r="AH38" s="539">
        <f t="shared" si="13"/>
        <v>1</v>
      </c>
      <c r="AI38" s="539">
        <f t="shared" si="13"/>
        <v>1</v>
      </c>
      <c r="AJ38" s="539">
        <f t="shared" si="13"/>
        <v>1</v>
      </c>
      <c r="AK38" s="539">
        <f t="shared" si="13"/>
        <v>1</v>
      </c>
      <c r="AL38" s="539">
        <f t="shared" si="13"/>
        <v>1</v>
      </c>
      <c r="AM38" s="539">
        <f t="shared" si="13"/>
        <v>1</v>
      </c>
      <c r="AN38" s="539">
        <f t="shared" si="13"/>
        <v>1</v>
      </c>
      <c r="AO38" s="539">
        <f t="shared" si="13"/>
        <v>1</v>
      </c>
      <c r="AP38" s="539">
        <f t="shared" si="13"/>
        <v>1</v>
      </c>
      <c r="AQ38" s="539">
        <f t="shared" si="13"/>
        <v>1</v>
      </c>
      <c r="AR38" s="539">
        <f t="shared" si="13"/>
        <v>1</v>
      </c>
      <c r="AS38" s="539">
        <f t="shared" si="13"/>
        <v>1</v>
      </c>
      <c r="AT38" s="539">
        <f t="shared" si="13"/>
        <v>1</v>
      </c>
      <c r="AU38" s="539">
        <f t="shared" si="13"/>
        <v>1</v>
      </c>
      <c r="AV38" s="539">
        <f t="shared" si="13"/>
        <v>1</v>
      </c>
      <c r="AW38" s="539">
        <f t="shared" si="13"/>
        <v>1</v>
      </c>
      <c r="AX38" s="539">
        <f t="shared" si="13"/>
        <v>1</v>
      </c>
      <c r="AY38" s="539">
        <f t="shared" si="13"/>
        <v>1</v>
      </c>
      <c r="AZ38" s="539">
        <f t="shared" si="13"/>
        <v>1</v>
      </c>
      <c r="BA38" s="539">
        <f t="shared" si="13"/>
        <v>1</v>
      </c>
      <c r="BB38" s="539">
        <f t="shared" si="13"/>
        <v>1</v>
      </c>
      <c r="BC38" s="539">
        <f t="shared" si="13"/>
        <v>1</v>
      </c>
      <c r="BD38" s="539">
        <f t="shared" si="13"/>
        <v>1</v>
      </c>
      <c r="BE38" s="539">
        <f t="shared" si="13"/>
        <v>1</v>
      </c>
      <c r="BF38" s="539">
        <f t="shared" si="13"/>
        <v>1</v>
      </c>
      <c r="BG38" s="539">
        <f t="shared" si="13"/>
        <v>1</v>
      </c>
      <c r="BH38" s="539">
        <f t="shared" si="13"/>
        <v>1</v>
      </c>
      <c r="BI38" s="539">
        <f t="shared" si="13"/>
        <v>1</v>
      </c>
      <c r="BJ38" s="539">
        <f t="shared" si="13"/>
        <v>1</v>
      </c>
      <c r="BK38" s="539">
        <f t="shared" si="13"/>
        <v>1</v>
      </c>
      <c r="BL38" s="539">
        <f t="shared" si="13"/>
        <v>1</v>
      </c>
      <c r="BM38" s="539">
        <f t="shared" si="13"/>
        <v>1</v>
      </c>
      <c r="BN38" s="539">
        <f t="shared" si="13"/>
        <v>1</v>
      </c>
      <c r="BO38" s="539">
        <f t="shared" si="13"/>
        <v>1</v>
      </c>
      <c r="BP38" s="539">
        <f t="shared" si="13"/>
        <v>1</v>
      </c>
      <c r="BQ38" s="539">
        <f t="shared" si="13"/>
        <v>1</v>
      </c>
      <c r="BR38" s="539">
        <f t="shared" si="13"/>
        <v>1</v>
      </c>
      <c r="BS38" s="539">
        <f t="shared" si="13"/>
        <v>1</v>
      </c>
      <c r="BT38" s="539">
        <f t="shared" si="13"/>
        <v>1</v>
      </c>
      <c r="BU38" s="539">
        <f t="shared" si="13"/>
        <v>1</v>
      </c>
      <c r="BV38" s="539">
        <f t="shared" si="13"/>
        <v>1</v>
      </c>
      <c r="BW38" s="539">
        <f t="shared" si="13"/>
        <v>1</v>
      </c>
      <c r="BX38" s="539">
        <f t="shared" si="13"/>
        <v>1</v>
      </c>
      <c r="BY38" s="539">
        <f t="shared" si="13"/>
        <v>1</v>
      </c>
      <c r="BZ38" s="539">
        <f t="shared" si="13"/>
        <v>1</v>
      </c>
      <c r="CA38" s="539">
        <f t="shared" si="13"/>
        <v>1</v>
      </c>
      <c r="CB38" s="539">
        <f t="shared" si="13"/>
        <v>1</v>
      </c>
      <c r="CC38" s="539">
        <f t="shared" si="13"/>
        <v>1</v>
      </c>
      <c r="CD38" s="539">
        <f t="shared" si="13"/>
        <v>1</v>
      </c>
      <c r="CE38" s="539">
        <f t="shared" si="13"/>
        <v>1</v>
      </c>
      <c r="CF38" s="539">
        <f t="shared" si="13"/>
        <v>1</v>
      </c>
      <c r="CG38" s="539">
        <f t="shared" si="13"/>
        <v>1</v>
      </c>
      <c r="CH38" s="539">
        <f t="shared" si="13"/>
        <v>1</v>
      </c>
      <c r="CI38" s="539">
        <f t="shared" si="13"/>
        <v>1</v>
      </c>
      <c r="CJ38" s="539">
        <f t="shared" si="13"/>
        <v>1</v>
      </c>
      <c r="CK38" s="539">
        <f t="shared" si="13"/>
        <v>1</v>
      </c>
      <c r="CL38" s="539">
        <f t="shared" si="13"/>
        <v>1</v>
      </c>
      <c r="CM38" s="539">
        <f t="shared" si="13"/>
        <v>1</v>
      </c>
      <c r="CN38" s="539">
        <f t="shared" si="13"/>
        <v>1</v>
      </c>
      <c r="CO38" s="539">
        <f t="shared" si="13"/>
        <v>1</v>
      </c>
      <c r="CP38" s="539">
        <f t="shared" si="13"/>
        <v>1</v>
      </c>
      <c r="CQ38" s="539">
        <f t="shared" si="13"/>
        <v>1</v>
      </c>
      <c r="CR38" s="539">
        <f t="shared" si="13"/>
        <v>1</v>
      </c>
      <c r="CS38" s="539">
        <f t="shared" si="13"/>
        <v>1</v>
      </c>
      <c r="CT38" s="539">
        <f t="shared" si="13"/>
        <v>1</v>
      </c>
      <c r="CU38" s="539">
        <f t="shared" si="13"/>
        <v>1</v>
      </c>
      <c r="CV38" s="539">
        <f t="shared" si="13"/>
        <v>1</v>
      </c>
      <c r="CW38" s="539">
        <f t="shared" si="13"/>
        <v>1</v>
      </c>
      <c r="CX38" s="539">
        <f t="shared" si="13"/>
        <v>1</v>
      </c>
      <c r="CY38" s="539">
        <f t="shared" si="13"/>
        <v>1</v>
      </c>
      <c r="CZ38" s="539">
        <f t="shared" si="13"/>
        <v>1</v>
      </c>
      <c r="DA38" s="539">
        <f t="shared" si="13"/>
        <v>1</v>
      </c>
      <c r="DB38" s="539">
        <f t="shared" si="13"/>
        <v>1</v>
      </c>
      <c r="DC38" s="539">
        <f t="shared" si="13"/>
        <v>1</v>
      </c>
      <c r="DD38" s="539">
        <f t="shared" si="13"/>
        <v>1</v>
      </c>
      <c r="DE38" s="539">
        <f t="shared" si="13"/>
        <v>1</v>
      </c>
      <c r="DF38" s="539">
        <f t="shared" si="13"/>
        <v>1</v>
      </c>
      <c r="DG38" s="539">
        <f t="shared" si="13"/>
        <v>1</v>
      </c>
      <c r="DH38" s="539">
        <f t="shared" si="13"/>
        <v>1</v>
      </c>
      <c r="DI38" s="539">
        <f t="shared" si="13"/>
        <v>1</v>
      </c>
      <c r="DJ38" s="539">
        <f t="shared" si="13"/>
        <v>1</v>
      </c>
      <c r="DK38" s="539">
        <f t="shared" si="13"/>
        <v>1</v>
      </c>
      <c r="DL38" s="539">
        <f t="shared" si="13"/>
        <v>1</v>
      </c>
      <c r="DM38" s="539">
        <f t="shared" si="13"/>
        <v>1</v>
      </c>
      <c r="DN38" s="539">
        <f t="shared" si="13"/>
        <v>1</v>
      </c>
      <c r="DO38" s="539">
        <f t="shared" si="13"/>
        <v>1</v>
      </c>
      <c r="DP38" s="539">
        <f t="shared" si="13"/>
        <v>1</v>
      </c>
      <c r="DQ38" s="539">
        <f t="shared" si="13"/>
        <v>1</v>
      </c>
      <c r="DR38" s="539">
        <f t="shared" si="13"/>
        <v>1</v>
      </c>
      <c r="DS38" s="539">
        <f t="shared" si="13"/>
        <v>1</v>
      </c>
      <c r="DT38" s="539">
        <f t="shared" si="13"/>
        <v>1</v>
      </c>
      <c r="DU38" s="539">
        <f t="shared" si="13"/>
        <v>1</v>
      </c>
      <c r="DV38" s="539">
        <f t="shared" si="13"/>
        <v>1</v>
      </c>
      <c r="DW38" s="539">
        <f t="shared" si="13"/>
        <v>1</v>
      </c>
      <c r="DX38" s="539">
        <f t="shared" si="13"/>
        <v>1</v>
      </c>
      <c r="DY38" s="539">
        <f t="shared" si="13"/>
        <v>1</v>
      </c>
      <c r="DZ38" s="539">
        <f t="shared" si="13"/>
        <v>1</v>
      </c>
      <c r="EA38" s="539">
        <f t="shared" si="13"/>
        <v>1</v>
      </c>
      <c r="EB38" s="539">
        <f t="shared" si="13"/>
        <v>1</v>
      </c>
      <c r="EC38" s="539">
        <f t="shared" si="13"/>
        <v>1</v>
      </c>
      <c r="ED38" s="539">
        <f t="shared" si="13"/>
        <v>1</v>
      </c>
      <c r="EE38" s="539">
        <f t="shared" si="13"/>
        <v>1</v>
      </c>
      <c r="EF38" s="539">
        <f t="shared" si="13"/>
        <v>1</v>
      </c>
      <c r="EG38" s="539">
        <f t="shared" si="13"/>
        <v>1</v>
      </c>
    </row>
    <row r="39" spans="5:137" ht="12.75">
      <c r="E39" s="538" t="s">
        <v>159</v>
      </c>
      <c r="G39" s="539" t="s">
        <v>17</v>
      </c>
      <c r="H39" s="539">
        <f>SUM(J39:EG39)</f>
        <v>336</v>
      </c>
      <c r="J39" s="539">
        <f t="shared" si="14" ref="J39:EG39">J37*$F35+$F36*J38</f>
        <v>1</v>
      </c>
      <c r="K39" s="539">
        <f t="shared" si="14"/>
        <v>1</v>
      </c>
      <c r="L39" s="539">
        <f t="shared" si="14"/>
        <v>1</v>
      </c>
      <c r="M39" s="539">
        <f t="shared" si="14"/>
        <v>1</v>
      </c>
      <c r="N39" s="539">
        <f t="shared" si="14"/>
        <v>1</v>
      </c>
      <c r="O39" s="539">
        <f t="shared" si="14"/>
        <v>1</v>
      </c>
      <c r="P39" s="539">
        <f t="shared" si="14"/>
        <v>1</v>
      </c>
      <c r="Q39" s="539">
        <f t="shared" si="14"/>
        <v>1</v>
      </c>
      <c r="R39" s="539">
        <f t="shared" si="14"/>
        <v>1</v>
      </c>
      <c r="S39" s="539">
        <f t="shared" si="14"/>
        <v>1</v>
      </c>
      <c r="T39" s="539">
        <f t="shared" si="14"/>
        <v>1</v>
      </c>
      <c r="U39" s="539">
        <f t="shared" si="14"/>
        <v>1</v>
      </c>
      <c r="V39" s="539">
        <f t="shared" si="14"/>
        <v>1</v>
      </c>
      <c r="W39" s="539">
        <f t="shared" si="14"/>
        <v>1</v>
      </c>
      <c r="X39" s="539">
        <f t="shared" si="14"/>
        <v>1</v>
      </c>
      <c r="Y39" s="539">
        <f t="shared" si="14"/>
        <v>1</v>
      </c>
      <c r="Z39" s="539">
        <f t="shared" si="14"/>
        <v>1</v>
      </c>
      <c r="AA39" s="539">
        <f t="shared" si="14"/>
        <v>1</v>
      </c>
      <c r="AB39" s="539">
        <f t="shared" si="14"/>
        <v>1</v>
      </c>
      <c r="AC39" s="539">
        <f t="shared" si="14"/>
        <v>1</v>
      </c>
      <c r="AD39" s="539">
        <f t="shared" si="14"/>
        <v>1</v>
      </c>
      <c r="AE39" s="539">
        <f t="shared" si="14"/>
        <v>1</v>
      </c>
      <c r="AF39" s="539">
        <f t="shared" si="14"/>
        <v>1</v>
      </c>
      <c r="AG39" s="539">
        <f t="shared" si="14"/>
        <v>1</v>
      </c>
      <c r="AH39" s="539">
        <f t="shared" si="14"/>
        <v>3</v>
      </c>
      <c r="AI39" s="539">
        <f t="shared" si="14"/>
        <v>3</v>
      </c>
      <c r="AJ39" s="539">
        <f t="shared" si="14"/>
        <v>3</v>
      </c>
      <c r="AK39" s="539">
        <f t="shared" si="14"/>
        <v>3</v>
      </c>
      <c r="AL39" s="539">
        <f t="shared" si="14"/>
        <v>3</v>
      </c>
      <c r="AM39" s="539">
        <f t="shared" si="14"/>
        <v>3</v>
      </c>
      <c r="AN39" s="539">
        <f t="shared" si="14"/>
        <v>3</v>
      </c>
      <c r="AO39" s="539">
        <f t="shared" si="14"/>
        <v>3</v>
      </c>
      <c r="AP39" s="539">
        <f t="shared" si="14"/>
        <v>3</v>
      </c>
      <c r="AQ39" s="539">
        <f t="shared" si="14"/>
        <v>3</v>
      </c>
      <c r="AR39" s="539">
        <f t="shared" si="14"/>
        <v>3</v>
      </c>
      <c r="AS39" s="539">
        <f t="shared" si="14"/>
        <v>3</v>
      </c>
      <c r="AT39" s="539">
        <f t="shared" si="14"/>
        <v>3</v>
      </c>
      <c r="AU39" s="539">
        <f t="shared" si="14"/>
        <v>3</v>
      </c>
      <c r="AV39" s="539">
        <f t="shared" si="14"/>
        <v>3</v>
      </c>
      <c r="AW39" s="539">
        <f t="shared" si="14"/>
        <v>3</v>
      </c>
      <c r="AX39" s="539">
        <f t="shared" si="14"/>
        <v>3</v>
      </c>
      <c r="AY39" s="539">
        <f t="shared" si="14"/>
        <v>3</v>
      </c>
      <c r="AZ39" s="539">
        <f t="shared" si="14"/>
        <v>3</v>
      </c>
      <c r="BA39" s="539">
        <f t="shared" si="14"/>
        <v>3</v>
      </c>
      <c r="BB39" s="539">
        <f t="shared" si="14"/>
        <v>3</v>
      </c>
      <c r="BC39" s="539">
        <f t="shared" si="14"/>
        <v>3</v>
      </c>
      <c r="BD39" s="539">
        <f t="shared" si="14"/>
        <v>3</v>
      </c>
      <c r="BE39" s="539">
        <f t="shared" si="14"/>
        <v>3</v>
      </c>
      <c r="BF39" s="539">
        <f t="shared" si="14"/>
        <v>3</v>
      </c>
      <c r="BG39" s="539">
        <f t="shared" si="14"/>
        <v>3</v>
      </c>
      <c r="BH39" s="539">
        <f t="shared" si="14"/>
        <v>3</v>
      </c>
      <c r="BI39" s="539">
        <f t="shared" si="14"/>
        <v>3</v>
      </c>
      <c r="BJ39" s="539">
        <f t="shared" si="14"/>
        <v>3</v>
      </c>
      <c r="BK39" s="539">
        <f t="shared" si="14"/>
        <v>3</v>
      </c>
      <c r="BL39" s="539">
        <f t="shared" si="14"/>
        <v>3</v>
      </c>
      <c r="BM39" s="539">
        <f t="shared" si="14"/>
        <v>3</v>
      </c>
      <c r="BN39" s="539">
        <f t="shared" si="14"/>
        <v>3</v>
      </c>
      <c r="BO39" s="539">
        <f t="shared" si="14"/>
        <v>3</v>
      </c>
      <c r="BP39" s="539">
        <f t="shared" si="14"/>
        <v>3</v>
      </c>
      <c r="BQ39" s="539">
        <f t="shared" si="14"/>
        <v>3</v>
      </c>
      <c r="BR39" s="539">
        <f t="shared" si="14"/>
        <v>3</v>
      </c>
      <c r="BS39" s="539">
        <f t="shared" si="14"/>
        <v>3</v>
      </c>
      <c r="BT39" s="539">
        <f t="shared" si="14"/>
        <v>3</v>
      </c>
      <c r="BU39" s="539">
        <f t="shared" si="14"/>
        <v>3</v>
      </c>
      <c r="BV39" s="539">
        <f t="shared" si="14"/>
        <v>3</v>
      </c>
      <c r="BW39" s="539">
        <f t="shared" si="14"/>
        <v>3</v>
      </c>
      <c r="BX39" s="539">
        <f t="shared" si="14"/>
        <v>3</v>
      </c>
      <c r="BY39" s="539">
        <f t="shared" si="14"/>
        <v>3</v>
      </c>
      <c r="BZ39" s="539">
        <f t="shared" si="14"/>
        <v>3</v>
      </c>
      <c r="CA39" s="539">
        <f t="shared" si="14"/>
        <v>3</v>
      </c>
      <c r="CB39" s="539">
        <f t="shared" si="14"/>
        <v>3</v>
      </c>
      <c r="CC39" s="539">
        <f t="shared" si="14"/>
        <v>3</v>
      </c>
      <c r="CD39" s="539">
        <f t="shared" si="14"/>
        <v>3</v>
      </c>
      <c r="CE39" s="539">
        <f t="shared" si="14"/>
        <v>3</v>
      </c>
      <c r="CF39" s="539">
        <f t="shared" si="14"/>
        <v>3</v>
      </c>
      <c r="CG39" s="539">
        <f t="shared" si="14"/>
        <v>3</v>
      </c>
      <c r="CH39" s="539">
        <f t="shared" si="14"/>
        <v>3</v>
      </c>
      <c r="CI39" s="539">
        <f t="shared" si="14"/>
        <v>3</v>
      </c>
      <c r="CJ39" s="539">
        <f t="shared" si="14"/>
        <v>3</v>
      </c>
      <c r="CK39" s="539">
        <f t="shared" si="14"/>
        <v>3</v>
      </c>
      <c r="CL39" s="539">
        <f t="shared" si="14"/>
        <v>3</v>
      </c>
      <c r="CM39" s="539">
        <f t="shared" si="14"/>
        <v>3</v>
      </c>
      <c r="CN39" s="539">
        <f t="shared" si="14"/>
        <v>3</v>
      </c>
      <c r="CO39" s="539">
        <f t="shared" si="14"/>
        <v>3</v>
      </c>
      <c r="CP39" s="539">
        <f t="shared" si="14"/>
        <v>3</v>
      </c>
      <c r="CQ39" s="539">
        <f t="shared" si="14"/>
        <v>3</v>
      </c>
      <c r="CR39" s="539">
        <f t="shared" si="14"/>
        <v>3</v>
      </c>
      <c r="CS39" s="539">
        <f t="shared" si="14"/>
        <v>3</v>
      </c>
      <c r="CT39" s="539">
        <f t="shared" si="14"/>
        <v>3</v>
      </c>
      <c r="CU39" s="539">
        <f t="shared" si="14"/>
        <v>3</v>
      </c>
      <c r="CV39" s="539">
        <f t="shared" si="14"/>
        <v>3</v>
      </c>
      <c r="CW39" s="539">
        <f t="shared" si="14"/>
        <v>3</v>
      </c>
      <c r="CX39" s="539">
        <f t="shared" si="14"/>
        <v>3</v>
      </c>
      <c r="CY39" s="539">
        <f t="shared" si="14"/>
        <v>3</v>
      </c>
      <c r="CZ39" s="539">
        <f t="shared" si="14"/>
        <v>3</v>
      </c>
      <c r="DA39" s="539">
        <f t="shared" si="14"/>
        <v>3</v>
      </c>
      <c r="DB39" s="539">
        <f t="shared" si="14"/>
        <v>3</v>
      </c>
      <c r="DC39" s="539">
        <f t="shared" si="14"/>
        <v>3</v>
      </c>
      <c r="DD39" s="539">
        <f t="shared" si="14"/>
        <v>3</v>
      </c>
      <c r="DE39" s="539">
        <f t="shared" si="14"/>
        <v>3</v>
      </c>
      <c r="DF39" s="539">
        <f t="shared" si="14"/>
        <v>3</v>
      </c>
      <c r="DG39" s="539">
        <f t="shared" si="14"/>
        <v>3</v>
      </c>
      <c r="DH39" s="539">
        <f t="shared" si="14"/>
        <v>3</v>
      </c>
      <c r="DI39" s="539">
        <f t="shared" si="14"/>
        <v>3</v>
      </c>
      <c r="DJ39" s="539">
        <f t="shared" si="14"/>
        <v>3</v>
      </c>
      <c r="DK39" s="539">
        <f t="shared" si="14"/>
        <v>3</v>
      </c>
      <c r="DL39" s="539">
        <f t="shared" si="14"/>
        <v>3</v>
      </c>
      <c r="DM39" s="539">
        <f t="shared" si="14"/>
        <v>3</v>
      </c>
      <c r="DN39" s="539">
        <f t="shared" si="14"/>
        <v>3</v>
      </c>
      <c r="DO39" s="539">
        <f t="shared" si="14"/>
        <v>3</v>
      </c>
      <c r="DP39" s="539">
        <f t="shared" si="14"/>
        <v>3</v>
      </c>
      <c r="DQ39" s="539">
        <f t="shared" si="14"/>
        <v>3</v>
      </c>
      <c r="DR39" s="539">
        <f t="shared" si="14"/>
        <v>3</v>
      </c>
      <c r="DS39" s="539">
        <f t="shared" si="14"/>
        <v>3</v>
      </c>
      <c r="DT39" s="539">
        <f t="shared" si="14"/>
        <v>3</v>
      </c>
      <c r="DU39" s="539">
        <f t="shared" si="14"/>
        <v>3</v>
      </c>
      <c r="DV39" s="539">
        <f t="shared" si="14"/>
        <v>3</v>
      </c>
      <c r="DW39" s="539">
        <f t="shared" si="14"/>
        <v>3</v>
      </c>
      <c r="DX39" s="539">
        <f t="shared" si="14"/>
        <v>3</v>
      </c>
      <c r="DY39" s="539">
        <f t="shared" si="14"/>
        <v>3</v>
      </c>
      <c r="DZ39" s="539">
        <f t="shared" si="14"/>
        <v>3</v>
      </c>
      <c r="EA39" s="539">
        <f t="shared" si="14"/>
        <v>3</v>
      </c>
      <c r="EB39" s="539">
        <f t="shared" si="14"/>
        <v>3</v>
      </c>
      <c r="EC39" s="539">
        <f t="shared" si="14"/>
        <v>3</v>
      </c>
      <c r="ED39" s="539">
        <f t="shared" si="14"/>
        <v>3</v>
      </c>
      <c r="EE39" s="539">
        <f t="shared" si="14"/>
        <v>3</v>
      </c>
      <c r="EF39" s="539">
        <f t="shared" si="14"/>
        <v>3</v>
      </c>
      <c r="EG39" s="539">
        <f t="shared" si="14"/>
        <v>3</v>
      </c>
    </row>
    <row r="41" spans="2:2" ht="12.75">
      <c r="B41" s="534" t="s">
        <v>164</v>
      </c>
    </row>
    <row r="42" spans="5:7" ht="12.75">
      <c r="E42" s="535" t="str">
        <f>InpC!E$13</f>
        <v>First date of time rulers</v>
      </c>
      <c r="F42" s="536">
        <f>InpC!F$13</f>
        <v>46388</v>
      </c>
      <c r="G42" s="536" t="str">
        <f>InpC!G$13</f>
        <v>date</v>
      </c>
    </row>
    <row r="43" spans="5:137" ht="12.75">
      <c r="E43" s="538" t="str">
        <f>E$16</f>
        <v>First model column flag</v>
      </c>
      <c r="G43" s="539" t="str">
        <f>G$16</f>
        <v>flag</v>
      </c>
      <c r="H43" s="539">
        <f>H$16</f>
        <v>1</v>
      </c>
      <c r="J43" s="539">
        <f t="shared" si="15" ref="J43:EG43">J$16</f>
        <v>1</v>
      </c>
      <c r="K43" s="539">
        <f t="shared" si="15"/>
        <v>0</v>
      </c>
      <c r="L43" s="539">
        <f t="shared" si="15"/>
        <v>0</v>
      </c>
      <c r="M43" s="539">
        <f t="shared" si="15"/>
        <v>0</v>
      </c>
      <c r="N43" s="539">
        <f t="shared" si="15"/>
        <v>0</v>
      </c>
      <c r="O43" s="539">
        <f t="shared" si="15"/>
        <v>0</v>
      </c>
      <c r="P43" s="539">
        <f t="shared" si="15"/>
        <v>0</v>
      </c>
      <c r="Q43" s="539">
        <f t="shared" si="15"/>
        <v>0</v>
      </c>
      <c r="R43" s="539">
        <f t="shared" si="15"/>
        <v>0</v>
      </c>
      <c r="S43" s="539">
        <f t="shared" si="15"/>
        <v>0</v>
      </c>
      <c r="T43" s="539">
        <f t="shared" si="15"/>
        <v>0</v>
      </c>
      <c r="U43" s="539">
        <f t="shared" si="15"/>
        <v>0</v>
      </c>
      <c r="V43" s="539">
        <f t="shared" si="15"/>
        <v>0</v>
      </c>
      <c r="W43" s="539">
        <f t="shared" si="15"/>
        <v>0</v>
      </c>
      <c r="X43" s="539">
        <f t="shared" si="15"/>
        <v>0</v>
      </c>
      <c r="Y43" s="539">
        <f t="shared" si="15"/>
        <v>0</v>
      </c>
      <c r="Z43" s="539">
        <f t="shared" si="15"/>
        <v>0</v>
      </c>
      <c r="AA43" s="539">
        <f t="shared" si="15"/>
        <v>0</v>
      </c>
      <c r="AB43" s="539">
        <f t="shared" si="15"/>
        <v>0</v>
      </c>
      <c r="AC43" s="539">
        <f t="shared" si="15"/>
        <v>0</v>
      </c>
      <c r="AD43" s="539">
        <f t="shared" si="15"/>
        <v>0</v>
      </c>
      <c r="AE43" s="539">
        <f t="shared" si="15"/>
        <v>0</v>
      </c>
      <c r="AF43" s="539">
        <f t="shared" si="15"/>
        <v>0</v>
      </c>
      <c r="AG43" s="539">
        <f t="shared" si="15"/>
        <v>0</v>
      </c>
      <c r="AH43" s="539">
        <f t="shared" si="15"/>
        <v>0</v>
      </c>
      <c r="AI43" s="539">
        <f t="shared" si="15"/>
        <v>0</v>
      </c>
      <c r="AJ43" s="539">
        <f t="shared" si="15"/>
        <v>0</v>
      </c>
      <c r="AK43" s="539">
        <f t="shared" si="15"/>
        <v>0</v>
      </c>
      <c r="AL43" s="539">
        <f t="shared" si="15"/>
        <v>0</v>
      </c>
      <c r="AM43" s="539">
        <f t="shared" si="15"/>
        <v>0</v>
      </c>
      <c r="AN43" s="539">
        <f t="shared" si="15"/>
        <v>0</v>
      </c>
      <c r="AO43" s="539">
        <f t="shared" si="15"/>
        <v>0</v>
      </c>
      <c r="AP43" s="539">
        <f t="shared" si="15"/>
        <v>0</v>
      </c>
      <c r="AQ43" s="539">
        <f t="shared" si="15"/>
        <v>0</v>
      </c>
      <c r="AR43" s="539">
        <f t="shared" si="15"/>
        <v>0</v>
      </c>
      <c r="AS43" s="539">
        <f t="shared" si="15"/>
        <v>0</v>
      </c>
      <c r="AT43" s="539">
        <f t="shared" si="15"/>
        <v>0</v>
      </c>
      <c r="AU43" s="539">
        <f t="shared" si="15"/>
        <v>0</v>
      </c>
      <c r="AV43" s="539">
        <f t="shared" si="15"/>
        <v>0</v>
      </c>
      <c r="AW43" s="539">
        <f t="shared" si="15"/>
        <v>0</v>
      </c>
      <c r="AX43" s="539">
        <f t="shared" si="15"/>
        <v>0</v>
      </c>
      <c r="AY43" s="539">
        <f t="shared" si="15"/>
        <v>0</v>
      </c>
      <c r="AZ43" s="539">
        <f t="shared" si="15"/>
        <v>0</v>
      </c>
      <c r="BA43" s="539">
        <f t="shared" si="15"/>
        <v>0</v>
      </c>
      <c r="BB43" s="539">
        <f t="shared" si="15"/>
        <v>0</v>
      </c>
      <c r="BC43" s="539">
        <f t="shared" si="15"/>
        <v>0</v>
      </c>
      <c r="BD43" s="539">
        <f t="shared" si="15"/>
        <v>0</v>
      </c>
      <c r="BE43" s="539">
        <f t="shared" si="15"/>
        <v>0</v>
      </c>
      <c r="BF43" s="539">
        <f t="shared" si="15"/>
        <v>0</v>
      </c>
      <c r="BG43" s="539">
        <f t="shared" si="15"/>
        <v>0</v>
      </c>
      <c r="BH43" s="539">
        <f t="shared" si="15"/>
        <v>0</v>
      </c>
      <c r="BI43" s="539">
        <f t="shared" si="15"/>
        <v>0</v>
      </c>
      <c r="BJ43" s="539">
        <f t="shared" si="15"/>
        <v>0</v>
      </c>
      <c r="BK43" s="539">
        <f t="shared" si="15"/>
        <v>0</v>
      </c>
      <c r="BL43" s="539">
        <f t="shared" si="15"/>
        <v>0</v>
      </c>
      <c r="BM43" s="539">
        <f t="shared" si="15"/>
        <v>0</v>
      </c>
      <c r="BN43" s="539">
        <f t="shared" si="15"/>
        <v>0</v>
      </c>
      <c r="BO43" s="539">
        <f t="shared" si="15"/>
        <v>0</v>
      </c>
      <c r="BP43" s="539">
        <f t="shared" si="15"/>
        <v>0</v>
      </c>
      <c r="BQ43" s="539">
        <f t="shared" si="15"/>
        <v>0</v>
      </c>
      <c r="BR43" s="539">
        <f t="shared" si="15"/>
        <v>0</v>
      </c>
      <c r="BS43" s="539">
        <f t="shared" si="15"/>
        <v>0</v>
      </c>
      <c r="BT43" s="539">
        <f t="shared" si="15"/>
        <v>0</v>
      </c>
      <c r="BU43" s="539">
        <f t="shared" si="15"/>
        <v>0</v>
      </c>
      <c r="BV43" s="539">
        <f t="shared" si="15"/>
        <v>0</v>
      </c>
      <c r="BW43" s="539">
        <f t="shared" si="15"/>
        <v>0</v>
      </c>
      <c r="BX43" s="539">
        <f t="shared" si="15"/>
        <v>0</v>
      </c>
      <c r="BY43" s="539">
        <f t="shared" si="15"/>
        <v>0</v>
      </c>
      <c r="BZ43" s="539">
        <f t="shared" si="15"/>
        <v>0</v>
      </c>
      <c r="CA43" s="539">
        <f t="shared" si="15"/>
        <v>0</v>
      </c>
      <c r="CB43" s="539">
        <f t="shared" si="15"/>
        <v>0</v>
      </c>
      <c r="CC43" s="539">
        <f t="shared" si="15"/>
        <v>0</v>
      </c>
      <c r="CD43" s="539">
        <f t="shared" si="15"/>
        <v>0</v>
      </c>
      <c r="CE43" s="539">
        <f t="shared" si="15"/>
        <v>0</v>
      </c>
      <c r="CF43" s="539">
        <f t="shared" si="15"/>
        <v>0</v>
      </c>
      <c r="CG43" s="539">
        <f t="shared" si="15"/>
        <v>0</v>
      </c>
      <c r="CH43" s="539">
        <f t="shared" si="15"/>
        <v>0</v>
      </c>
      <c r="CI43" s="539">
        <f t="shared" si="15"/>
        <v>0</v>
      </c>
      <c r="CJ43" s="539">
        <f t="shared" si="15"/>
        <v>0</v>
      </c>
      <c r="CK43" s="539">
        <f t="shared" si="15"/>
        <v>0</v>
      </c>
      <c r="CL43" s="539">
        <f t="shared" si="15"/>
        <v>0</v>
      </c>
      <c r="CM43" s="539">
        <f t="shared" si="15"/>
        <v>0</v>
      </c>
      <c r="CN43" s="539">
        <f t="shared" si="15"/>
        <v>0</v>
      </c>
      <c r="CO43" s="539">
        <f t="shared" si="15"/>
        <v>0</v>
      </c>
      <c r="CP43" s="539">
        <f t="shared" si="15"/>
        <v>0</v>
      </c>
      <c r="CQ43" s="539">
        <f t="shared" si="15"/>
        <v>0</v>
      </c>
      <c r="CR43" s="539">
        <f t="shared" si="15"/>
        <v>0</v>
      </c>
      <c r="CS43" s="539">
        <f t="shared" si="15"/>
        <v>0</v>
      </c>
      <c r="CT43" s="539">
        <f t="shared" si="15"/>
        <v>0</v>
      </c>
      <c r="CU43" s="539">
        <f t="shared" si="15"/>
        <v>0</v>
      </c>
      <c r="CV43" s="539">
        <f t="shared" si="15"/>
        <v>0</v>
      </c>
      <c r="CW43" s="539">
        <f t="shared" si="15"/>
        <v>0</v>
      </c>
      <c r="CX43" s="539">
        <f t="shared" si="15"/>
        <v>0</v>
      </c>
      <c r="CY43" s="539">
        <f t="shared" si="15"/>
        <v>0</v>
      </c>
      <c r="CZ43" s="539">
        <f t="shared" si="15"/>
        <v>0</v>
      </c>
      <c r="DA43" s="539">
        <f t="shared" si="15"/>
        <v>0</v>
      </c>
      <c r="DB43" s="539">
        <f t="shared" si="15"/>
        <v>0</v>
      </c>
      <c r="DC43" s="539">
        <f t="shared" si="15"/>
        <v>0</v>
      </c>
      <c r="DD43" s="539">
        <f t="shared" si="15"/>
        <v>0</v>
      </c>
      <c r="DE43" s="539">
        <f t="shared" si="15"/>
        <v>0</v>
      </c>
      <c r="DF43" s="539">
        <f t="shared" si="15"/>
        <v>0</v>
      </c>
      <c r="DG43" s="539">
        <f t="shared" si="15"/>
        <v>0</v>
      </c>
      <c r="DH43" s="539">
        <f t="shared" si="15"/>
        <v>0</v>
      </c>
      <c r="DI43" s="539">
        <f t="shared" si="15"/>
        <v>0</v>
      </c>
      <c r="DJ43" s="539">
        <f t="shared" si="15"/>
        <v>0</v>
      </c>
      <c r="DK43" s="539">
        <f t="shared" si="15"/>
        <v>0</v>
      </c>
      <c r="DL43" s="539">
        <f t="shared" si="15"/>
        <v>0</v>
      </c>
      <c r="DM43" s="539">
        <f t="shared" si="15"/>
        <v>0</v>
      </c>
      <c r="DN43" s="539">
        <f t="shared" si="15"/>
        <v>0</v>
      </c>
      <c r="DO43" s="539">
        <f t="shared" si="15"/>
        <v>0</v>
      </c>
      <c r="DP43" s="539">
        <f t="shared" si="15"/>
        <v>0</v>
      </c>
      <c r="DQ43" s="539">
        <f t="shared" si="15"/>
        <v>0</v>
      </c>
      <c r="DR43" s="539">
        <f t="shared" si="15"/>
        <v>0</v>
      </c>
      <c r="DS43" s="539">
        <f t="shared" si="15"/>
        <v>0</v>
      </c>
      <c r="DT43" s="539">
        <f t="shared" si="15"/>
        <v>0</v>
      </c>
      <c r="DU43" s="539">
        <f t="shared" si="15"/>
        <v>0</v>
      </c>
      <c r="DV43" s="539">
        <f t="shared" si="15"/>
        <v>0</v>
      </c>
      <c r="DW43" s="539">
        <f t="shared" si="15"/>
        <v>0</v>
      </c>
      <c r="DX43" s="539">
        <f t="shared" si="15"/>
        <v>0</v>
      </c>
      <c r="DY43" s="539">
        <f t="shared" si="15"/>
        <v>0</v>
      </c>
      <c r="DZ43" s="539">
        <f t="shared" si="15"/>
        <v>0</v>
      </c>
      <c r="EA43" s="539">
        <f t="shared" si="15"/>
        <v>0</v>
      </c>
      <c r="EB43" s="539">
        <f t="shared" si="15"/>
        <v>0</v>
      </c>
      <c r="EC43" s="539">
        <f t="shared" si="15"/>
        <v>0</v>
      </c>
      <c r="ED43" s="539">
        <f t="shared" si="15"/>
        <v>0</v>
      </c>
      <c r="EE43" s="539">
        <f t="shared" si="15"/>
        <v>0</v>
      </c>
      <c r="EF43" s="539">
        <f t="shared" si="15"/>
        <v>0</v>
      </c>
      <c r="EG43" s="539">
        <f t="shared" si="15"/>
        <v>0</v>
      </c>
    </row>
    <row r="44" spans="5:137" ht="12.75">
      <c r="E44" s="538" t="str">
        <f>E$39</f>
        <v>Months per model period</v>
      </c>
      <c r="G44" s="539" t="str">
        <f>G$39</f>
        <v>months</v>
      </c>
      <c r="H44" s="539">
        <f>H$39</f>
        <v>336</v>
      </c>
      <c r="J44" s="539">
        <f t="shared" si="16" ref="J44:EG44">J$39</f>
        <v>1</v>
      </c>
      <c r="K44" s="539">
        <f t="shared" si="16"/>
        <v>1</v>
      </c>
      <c r="L44" s="539">
        <f t="shared" si="16"/>
        <v>1</v>
      </c>
      <c r="M44" s="539">
        <f t="shared" si="16"/>
        <v>1</v>
      </c>
      <c r="N44" s="539">
        <f t="shared" si="16"/>
        <v>1</v>
      </c>
      <c r="O44" s="539">
        <f t="shared" si="16"/>
        <v>1</v>
      </c>
      <c r="P44" s="539">
        <f t="shared" si="16"/>
        <v>1</v>
      </c>
      <c r="Q44" s="539">
        <f t="shared" si="16"/>
        <v>1</v>
      </c>
      <c r="R44" s="539">
        <f t="shared" si="16"/>
        <v>1</v>
      </c>
      <c r="S44" s="539">
        <f t="shared" si="16"/>
        <v>1</v>
      </c>
      <c r="T44" s="539">
        <f t="shared" si="16"/>
        <v>1</v>
      </c>
      <c r="U44" s="539">
        <f t="shared" si="16"/>
        <v>1</v>
      </c>
      <c r="V44" s="539">
        <f t="shared" si="16"/>
        <v>1</v>
      </c>
      <c r="W44" s="539">
        <f t="shared" si="16"/>
        <v>1</v>
      </c>
      <c r="X44" s="539">
        <f t="shared" si="16"/>
        <v>1</v>
      </c>
      <c r="Y44" s="539">
        <f t="shared" si="16"/>
        <v>1</v>
      </c>
      <c r="Z44" s="539">
        <f t="shared" si="16"/>
        <v>1</v>
      </c>
      <c r="AA44" s="539">
        <f t="shared" si="16"/>
        <v>1</v>
      </c>
      <c r="AB44" s="539">
        <f t="shared" si="16"/>
        <v>1</v>
      </c>
      <c r="AC44" s="539">
        <f t="shared" si="16"/>
        <v>1</v>
      </c>
      <c r="AD44" s="539">
        <f t="shared" si="16"/>
        <v>1</v>
      </c>
      <c r="AE44" s="539">
        <f t="shared" si="16"/>
        <v>1</v>
      </c>
      <c r="AF44" s="539">
        <f t="shared" si="16"/>
        <v>1</v>
      </c>
      <c r="AG44" s="539">
        <f t="shared" si="16"/>
        <v>1</v>
      </c>
      <c r="AH44" s="539">
        <f t="shared" si="16"/>
        <v>3</v>
      </c>
      <c r="AI44" s="539">
        <f t="shared" si="16"/>
        <v>3</v>
      </c>
      <c r="AJ44" s="539">
        <f t="shared" si="16"/>
        <v>3</v>
      </c>
      <c r="AK44" s="539">
        <f t="shared" si="16"/>
        <v>3</v>
      </c>
      <c r="AL44" s="539">
        <f t="shared" si="16"/>
        <v>3</v>
      </c>
      <c r="AM44" s="539">
        <f t="shared" si="16"/>
        <v>3</v>
      </c>
      <c r="AN44" s="539">
        <f t="shared" si="16"/>
        <v>3</v>
      </c>
      <c r="AO44" s="539">
        <f t="shared" si="16"/>
        <v>3</v>
      </c>
      <c r="AP44" s="539">
        <f t="shared" si="16"/>
        <v>3</v>
      </c>
      <c r="AQ44" s="539">
        <f t="shared" si="16"/>
        <v>3</v>
      </c>
      <c r="AR44" s="539">
        <f t="shared" si="16"/>
        <v>3</v>
      </c>
      <c r="AS44" s="539">
        <f t="shared" si="16"/>
        <v>3</v>
      </c>
      <c r="AT44" s="539">
        <f t="shared" si="16"/>
        <v>3</v>
      </c>
      <c r="AU44" s="539">
        <f t="shared" si="16"/>
        <v>3</v>
      </c>
      <c r="AV44" s="539">
        <f t="shared" si="16"/>
        <v>3</v>
      </c>
      <c r="AW44" s="539">
        <f t="shared" si="16"/>
        <v>3</v>
      </c>
      <c r="AX44" s="539">
        <f t="shared" si="16"/>
        <v>3</v>
      </c>
      <c r="AY44" s="539">
        <f t="shared" si="16"/>
        <v>3</v>
      </c>
      <c r="AZ44" s="539">
        <f t="shared" si="16"/>
        <v>3</v>
      </c>
      <c r="BA44" s="539">
        <f t="shared" si="16"/>
        <v>3</v>
      </c>
      <c r="BB44" s="539">
        <f t="shared" si="16"/>
        <v>3</v>
      </c>
      <c r="BC44" s="539">
        <f t="shared" si="16"/>
        <v>3</v>
      </c>
      <c r="BD44" s="539">
        <f t="shared" si="16"/>
        <v>3</v>
      </c>
      <c r="BE44" s="539">
        <f t="shared" si="16"/>
        <v>3</v>
      </c>
      <c r="BF44" s="539">
        <f t="shared" si="16"/>
        <v>3</v>
      </c>
      <c r="BG44" s="539">
        <f t="shared" si="16"/>
        <v>3</v>
      </c>
      <c r="BH44" s="539">
        <f t="shared" si="16"/>
        <v>3</v>
      </c>
      <c r="BI44" s="539">
        <f t="shared" si="16"/>
        <v>3</v>
      </c>
      <c r="BJ44" s="539">
        <f t="shared" si="16"/>
        <v>3</v>
      </c>
      <c r="BK44" s="539">
        <f t="shared" si="16"/>
        <v>3</v>
      </c>
      <c r="BL44" s="539">
        <f t="shared" si="16"/>
        <v>3</v>
      </c>
      <c r="BM44" s="539">
        <f t="shared" si="16"/>
        <v>3</v>
      </c>
      <c r="BN44" s="539">
        <f t="shared" si="16"/>
        <v>3</v>
      </c>
      <c r="BO44" s="539">
        <f t="shared" si="16"/>
        <v>3</v>
      </c>
      <c r="BP44" s="539">
        <f t="shared" si="16"/>
        <v>3</v>
      </c>
      <c r="BQ44" s="539">
        <f t="shared" si="16"/>
        <v>3</v>
      </c>
      <c r="BR44" s="539">
        <f t="shared" si="16"/>
        <v>3</v>
      </c>
      <c r="BS44" s="539">
        <f t="shared" si="16"/>
        <v>3</v>
      </c>
      <c r="BT44" s="539">
        <f t="shared" si="16"/>
        <v>3</v>
      </c>
      <c r="BU44" s="539">
        <f t="shared" si="16"/>
        <v>3</v>
      </c>
      <c r="BV44" s="539">
        <f t="shared" si="16"/>
        <v>3</v>
      </c>
      <c r="BW44" s="539">
        <f t="shared" si="16"/>
        <v>3</v>
      </c>
      <c r="BX44" s="539">
        <f t="shared" si="16"/>
        <v>3</v>
      </c>
      <c r="BY44" s="539">
        <f t="shared" si="16"/>
        <v>3</v>
      </c>
      <c r="BZ44" s="539">
        <f t="shared" si="16"/>
        <v>3</v>
      </c>
      <c r="CA44" s="539">
        <f t="shared" si="16"/>
        <v>3</v>
      </c>
      <c r="CB44" s="539">
        <f t="shared" si="16"/>
        <v>3</v>
      </c>
      <c r="CC44" s="539">
        <f t="shared" si="16"/>
        <v>3</v>
      </c>
      <c r="CD44" s="539">
        <f t="shared" si="16"/>
        <v>3</v>
      </c>
      <c r="CE44" s="539">
        <f t="shared" si="16"/>
        <v>3</v>
      </c>
      <c r="CF44" s="539">
        <f t="shared" si="16"/>
        <v>3</v>
      </c>
      <c r="CG44" s="539">
        <f t="shared" si="16"/>
        <v>3</v>
      </c>
      <c r="CH44" s="539">
        <f t="shared" si="16"/>
        <v>3</v>
      </c>
      <c r="CI44" s="539">
        <f t="shared" si="16"/>
        <v>3</v>
      </c>
      <c r="CJ44" s="539">
        <f t="shared" si="16"/>
        <v>3</v>
      </c>
      <c r="CK44" s="539">
        <f t="shared" si="16"/>
        <v>3</v>
      </c>
      <c r="CL44" s="539">
        <f t="shared" si="16"/>
        <v>3</v>
      </c>
      <c r="CM44" s="539">
        <f t="shared" si="16"/>
        <v>3</v>
      </c>
      <c r="CN44" s="539">
        <f t="shared" si="16"/>
        <v>3</v>
      </c>
      <c r="CO44" s="539">
        <f t="shared" si="16"/>
        <v>3</v>
      </c>
      <c r="CP44" s="539">
        <f t="shared" si="16"/>
        <v>3</v>
      </c>
      <c r="CQ44" s="539">
        <f t="shared" si="16"/>
        <v>3</v>
      </c>
      <c r="CR44" s="539">
        <f t="shared" si="16"/>
        <v>3</v>
      </c>
      <c r="CS44" s="539">
        <f t="shared" si="16"/>
        <v>3</v>
      </c>
      <c r="CT44" s="539">
        <f t="shared" si="16"/>
        <v>3</v>
      </c>
      <c r="CU44" s="539">
        <f t="shared" si="16"/>
        <v>3</v>
      </c>
      <c r="CV44" s="539">
        <f t="shared" si="16"/>
        <v>3</v>
      </c>
      <c r="CW44" s="539">
        <f t="shared" si="16"/>
        <v>3</v>
      </c>
      <c r="CX44" s="539">
        <f t="shared" si="16"/>
        <v>3</v>
      </c>
      <c r="CY44" s="539">
        <f t="shared" si="16"/>
        <v>3</v>
      </c>
      <c r="CZ44" s="539">
        <f t="shared" si="16"/>
        <v>3</v>
      </c>
      <c r="DA44" s="539">
        <f t="shared" si="16"/>
        <v>3</v>
      </c>
      <c r="DB44" s="539">
        <f t="shared" si="16"/>
        <v>3</v>
      </c>
      <c r="DC44" s="539">
        <f t="shared" si="16"/>
        <v>3</v>
      </c>
      <c r="DD44" s="539">
        <f t="shared" si="16"/>
        <v>3</v>
      </c>
      <c r="DE44" s="539">
        <f t="shared" si="16"/>
        <v>3</v>
      </c>
      <c r="DF44" s="539">
        <f t="shared" si="16"/>
        <v>3</v>
      </c>
      <c r="DG44" s="539">
        <f t="shared" si="16"/>
        <v>3</v>
      </c>
      <c r="DH44" s="539">
        <f t="shared" si="16"/>
        <v>3</v>
      </c>
      <c r="DI44" s="539">
        <f t="shared" si="16"/>
        <v>3</v>
      </c>
      <c r="DJ44" s="539">
        <f t="shared" si="16"/>
        <v>3</v>
      </c>
      <c r="DK44" s="539">
        <f t="shared" si="16"/>
        <v>3</v>
      </c>
      <c r="DL44" s="539">
        <f t="shared" si="16"/>
        <v>3</v>
      </c>
      <c r="DM44" s="539">
        <f t="shared" si="16"/>
        <v>3</v>
      </c>
      <c r="DN44" s="539">
        <f t="shared" si="16"/>
        <v>3</v>
      </c>
      <c r="DO44" s="539">
        <f t="shared" si="16"/>
        <v>3</v>
      </c>
      <c r="DP44" s="539">
        <f t="shared" si="16"/>
        <v>3</v>
      </c>
      <c r="DQ44" s="539">
        <f t="shared" si="16"/>
        <v>3</v>
      </c>
      <c r="DR44" s="539">
        <f t="shared" si="16"/>
        <v>3</v>
      </c>
      <c r="DS44" s="539">
        <f t="shared" si="16"/>
        <v>3</v>
      </c>
      <c r="DT44" s="539">
        <f t="shared" si="16"/>
        <v>3</v>
      </c>
      <c r="DU44" s="539">
        <f t="shared" si="16"/>
        <v>3</v>
      </c>
      <c r="DV44" s="539">
        <f t="shared" si="16"/>
        <v>3</v>
      </c>
      <c r="DW44" s="539">
        <f t="shared" si="16"/>
        <v>3</v>
      </c>
      <c r="DX44" s="539">
        <f t="shared" si="16"/>
        <v>3</v>
      </c>
      <c r="DY44" s="539">
        <f t="shared" si="16"/>
        <v>3</v>
      </c>
      <c r="DZ44" s="539">
        <f t="shared" si="16"/>
        <v>3</v>
      </c>
      <c r="EA44" s="539">
        <f t="shared" si="16"/>
        <v>3</v>
      </c>
      <c r="EB44" s="539">
        <f t="shared" si="16"/>
        <v>3</v>
      </c>
      <c r="EC44" s="539">
        <f t="shared" si="16"/>
        <v>3</v>
      </c>
      <c r="ED44" s="539">
        <f t="shared" si="16"/>
        <v>3</v>
      </c>
      <c r="EE44" s="539">
        <f t="shared" si="16"/>
        <v>3</v>
      </c>
      <c r="EF44" s="539">
        <f t="shared" si="16"/>
        <v>3</v>
      </c>
      <c r="EG44" s="539">
        <f t="shared" si="16"/>
        <v>3</v>
      </c>
    </row>
    <row r="45" spans="5:137" ht="12.75">
      <c r="E45" s="538" t="s">
        <v>165</v>
      </c>
      <c r="G45" s="558" t="s">
        <v>14</v>
      </c>
      <c r="J45" s="558">
        <f t="shared" si="17" ref="J45:EG45">IF(J43=1,$F42,EDATE(I45,I44))</f>
        <v>46388</v>
      </c>
      <c r="K45" s="558">
        <f t="shared" si="17"/>
        <v>46419</v>
      </c>
      <c r="L45" s="558">
        <f t="shared" si="17"/>
        <v>46447</v>
      </c>
      <c r="M45" s="558">
        <f t="shared" si="17"/>
        <v>46478</v>
      </c>
      <c r="N45" s="558">
        <f t="shared" si="17"/>
        <v>46508</v>
      </c>
      <c r="O45" s="558">
        <f t="shared" si="17"/>
        <v>46539</v>
      </c>
      <c r="P45" s="558">
        <f t="shared" si="17"/>
        <v>46569</v>
      </c>
      <c r="Q45" s="558">
        <f t="shared" si="17"/>
        <v>46600</v>
      </c>
      <c r="R45" s="558">
        <f t="shared" si="17"/>
        <v>46631</v>
      </c>
      <c r="S45" s="558">
        <f t="shared" si="17"/>
        <v>46661</v>
      </c>
      <c r="T45" s="558">
        <f t="shared" si="17"/>
        <v>46692</v>
      </c>
      <c r="U45" s="558">
        <f t="shared" si="17"/>
        <v>46722</v>
      </c>
      <c r="V45" s="558">
        <f t="shared" si="17"/>
        <v>46753</v>
      </c>
      <c r="W45" s="558">
        <f t="shared" si="17"/>
        <v>46784</v>
      </c>
      <c r="X45" s="558">
        <f t="shared" si="17"/>
        <v>46813</v>
      </c>
      <c r="Y45" s="558">
        <f t="shared" si="17"/>
        <v>46844</v>
      </c>
      <c r="Z45" s="558">
        <f t="shared" si="17"/>
        <v>46874</v>
      </c>
      <c r="AA45" s="558">
        <f t="shared" si="17"/>
        <v>46905</v>
      </c>
      <c r="AB45" s="558">
        <f t="shared" si="17"/>
        <v>46935</v>
      </c>
      <c r="AC45" s="558">
        <f t="shared" si="17"/>
        <v>46966</v>
      </c>
      <c r="AD45" s="558">
        <f t="shared" si="17"/>
        <v>46997</v>
      </c>
      <c r="AE45" s="558">
        <f t="shared" si="17"/>
        <v>47027</v>
      </c>
      <c r="AF45" s="558">
        <f t="shared" si="17"/>
        <v>47058</v>
      </c>
      <c r="AG45" s="558">
        <f t="shared" si="17"/>
        <v>47088</v>
      </c>
      <c r="AH45" s="558">
        <f t="shared" si="17"/>
        <v>47119</v>
      </c>
      <c r="AI45" s="558">
        <f t="shared" si="17"/>
        <v>47209</v>
      </c>
      <c r="AJ45" s="558">
        <f t="shared" si="17"/>
        <v>47300</v>
      </c>
      <c r="AK45" s="558">
        <f t="shared" si="17"/>
        <v>47392</v>
      </c>
      <c r="AL45" s="558">
        <f t="shared" si="17"/>
        <v>47484</v>
      </c>
      <c r="AM45" s="558">
        <f t="shared" si="17"/>
        <v>47574</v>
      </c>
      <c r="AN45" s="558">
        <f t="shared" si="17"/>
        <v>47665</v>
      </c>
      <c r="AO45" s="558">
        <f t="shared" si="17"/>
        <v>47757</v>
      </c>
      <c r="AP45" s="558">
        <f t="shared" si="17"/>
        <v>47849</v>
      </c>
      <c r="AQ45" s="558">
        <f t="shared" si="17"/>
        <v>47939</v>
      </c>
      <c r="AR45" s="558">
        <f t="shared" si="17"/>
        <v>48030</v>
      </c>
      <c r="AS45" s="558">
        <f t="shared" si="17"/>
        <v>48122</v>
      </c>
      <c r="AT45" s="558">
        <f t="shared" si="17"/>
        <v>48214</v>
      </c>
      <c r="AU45" s="558">
        <f t="shared" si="17"/>
        <v>48305</v>
      </c>
      <c r="AV45" s="558">
        <f t="shared" si="17"/>
        <v>48396</v>
      </c>
      <c r="AW45" s="558">
        <f t="shared" si="17"/>
        <v>48488</v>
      </c>
      <c r="AX45" s="558">
        <f t="shared" si="17"/>
        <v>48580</v>
      </c>
      <c r="AY45" s="558">
        <f t="shared" si="17"/>
        <v>48670</v>
      </c>
      <c r="AZ45" s="558">
        <f t="shared" si="17"/>
        <v>48761</v>
      </c>
      <c r="BA45" s="558">
        <f t="shared" si="17"/>
        <v>48853</v>
      </c>
      <c r="BB45" s="558">
        <f t="shared" si="17"/>
        <v>48945</v>
      </c>
      <c r="BC45" s="558">
        <f t="shared" si="17"/>
        <v>49035</v>
      </c>
      <c r="BD45" s="558">
        <f t="shared" si="17"/>
        <v>49126</v>
      </c>
      <c r="BE45" s="558">
        <f t="shared" si="17"/>
        <v>49218</v>
      </c>
      <c r="BF45" s="558">
        <f t="shared" si="17"/>
        <v>49310</v>
      </c>
      <c r="BG45" s="558">
        <f t="shared" si="17"/>
        <v>49400</v>
      </c>
      <c r="BH45" s="558">
        <f t="shared" si="17"/>
        <v>49491</v>
      </c>
      <c r="BI45" s="558">
        <f t="shared" si="17"/>
        <v>49583</v>
      </c>
      <c r="BJ45" s="558">
        <f t="shared" si="17"/>
        <v>49675</v>
      </c>
      <c r="BK45" s="558">
        <f t="shared" si="17"/>
        <v>49766</v>
      </c>
      <c r="BL45" s="558">
        <f t="shared" si="17"/>
        <v>49857</v>
      </c>
      <c r="BM45" s="558">
        <f t="shared" si="17"/>
        <v>49949</v>
      </c>
      <c r="BN45" s="558">
        <f t="shared" si="17"/>
        <v>50041</v>
      </c>
      <c r="BO45" s="558">
        <f t="shared" si="17"/>
        <v>50131</v>
      </c>
      <c r="BP45" s="558">
        <f t="shared" si="17"/>
        <v>50222</v>
      </c>
      <c r="BQ45" s="558">
        <f t="shared" si="17"/>
        <v>50314</v>
      </c>
      <c r="BR45" s="558">
        <f t="shared" si="17"/>
        <v>50406</v>
      </c>
      <c r="BS45" s="558">
        <f t="shared" si="17"/>
        <v>50496</v>
      </c>
      <c r="BT45" s="558">
        <f t="shared" si="17"/>
        <v>50587</v>
      </c>
      <c r="BU45" s="558">
        <f t="shared" si="17"/>
        <v>50679</v>
      </c>
      <c r="BV45" s="558">
        <f t="shared" si="17"/>
        <v>50771</v>
      </c>
      <c r="BW45" s="558">
        <f t="shared" si="17"/>
        <v>50861</v>
      </c>
      <c r="BX45" s="558">
        <f t="shared" si="17"/>
        <v>50952</v>
      </c>
      <c r="BY45" s="558">
        <f t="shared" si="17"/>
        <v>51044</v>
      </c>
      <c r="BZ45" s="558">
        <f t="shared" si="17"/>
        <v>51136</v>
      </c>
      <c r="CA45" s="558">
        <f t="shared" si="17"/>
        <v>51227</v>
      </c>
      <c r="CB45" s="558">
        <f t="shared" si="17"/>
        <v>51318</v>
      </c>
      <c r="CC45" s="558">
        <f t="shared" si="17"/>
        <v>51410</v>
      </c>
      <c r="CD45" s="558">
        <f t="shared" si="17"/>
        <v>51502</v>
      </c>
      <c r="CE45" s="558">
        <f t="shared" si="17"/>
        <v>51592</v>
      </c>
      <c r="CF45" s="558">
        <f t="shared" si="17"/>
        <v>51683</v>
      </c>
      <c r="CG45" s="558">
        <f t="shared" si="17"/>
        <v>51775</v>
      </c>
      <c r="CH45" s="558">
        <f t="shared" si="17"/>
        <v>51867</v>
      </c>
      <c r="CI45" s="558">
        <f t="shared" si="17"/>
        <v>51957</v>
      </c>
      <c r="CJ45" s="558">
        <f t="shared" si="17"/>
        <v>52048</v>
      </c>
      <c r="CK45" s="558">
        <f t="shared" si="17"/>
        <v>52140</v>
      </c>
      <c r="CL45" s="558">
        <f t="shared" si="17"/>
        <v>52232</v>
      </c>
      <c r="CM45" s="558">
        <f t="shared" si="17"/>
        <v>52322</v>
      </c>
      <c r="CN45" s="558">
        <f t="shared" si="17"/>
        <v>52413</v>
      </c>
      <c r="CO45" s="558">
        <f t="shared" si="17"/>
        <v>52505</v>
      </c>
      <c r="CP45" s="558">
        <f t="shared" si="17"/>
        <v>52597</v>
      </c>
      <c r="CQ45" s="558">
        <f t="shared" si="17"/>
        <v>52688</v>
      </c>
      <c r="CR45" s="558">
        <f t="shared" si="17"/>
        <v>52779</v>
      </c>
      <c r="CS45" s="558">
        <f t="shared" si="17"/>
        <v>52871</v>
      </c>
      <c r="CT45" s="558">
        <f t="shared" si="17"/>
        <v>52963</v>
      </c>
      <c r="CU45" s="558">
        <f t="shared" si="17"/>
        <v>53053</v>
      </c>
      <c r="CV45" s="558">
        <f t="shared" si="17"/>
        <v>53144</v>
      </c>
      <c r="CW45" s="558">
        <f t="shared" si="17"/>
        <v>53236</v>
      </c>
      <c r="CX45" s="558">
        <f t="shared" si="17"/>
        <v>53328</v>
      </c>
      <c r="CY45" s="558">
        <f t="shared" si="17"/>
        <v>53418</v>
      </c>
      <c r="CZ45" s="558">
        <f t="shared" si="17"/>
        <v>53509</v>
      </c>
      <c r="DA45" s="558">
        <f t="shared" si="17"/>
        <v>53601</v>
      </c>
      <c r="DB45" s="558">
        <f t="shared" si="17"/>
        <v>53693</v>
      </c>
      <c r="DC45" s="558">
        <f t="shared" si="17"/>
        <v>53783</v>
      </c>
      <c r="DD45" s="558">
        <f t="shared" si="17"/>
        <v>53874</v>
      </c>
      <c r="DE45" s="558">
        <f t="shared" si="17"/>
        <v>53966</v>
      </c>
      <c r="DF45" s="558">
        <f t="shared" si="17"/>
        <v>54058</v>
      </c>
      <c r="DG45" s="558">
        <f t="shared" si="17"/>
        <v>54149</v>
      </c>
      <c r="DH45" s="558">
        <f t="shared" si="17"/>
        <v>54240</v>
      </c>
      <c r="DI45" s="558">
        <f t="shared" si="17"/>
        <v>54332</v>
      </c>
      <c r="DJ45" s="558">
        <f t="shared" si="17"/>
        <v>54424</v>
      </c>
      <c r="DK45" s="558">
        <f t="shared" si="17"/>
        <v>54514</v>
      </c>
      <c r="DL45" s="558">
        <f t="shared" si="17"/>
        <v>54605</v>
      </c>
      <c r="DM45" s="558">
        <f t="shared" si="17"/>
        <v>54697</v>
      </c>
      <c r="DN45" s="558">
        <f t="shared" si="17"/>
        <v>54789</v>
      </c>
      <c r="DO45" s="558">
        <f t="shared" si="17"/>
        <v>54879</v>
      </c>
      <c r="DP45" s="558">
        <f t="shared" si="17"/>
        <v>54970</v>
      </c>
      <c r="DQ45" s="558">
        <f t="shared" si="17"/>
        <v>55062</v>
      </c>
      <c r="DR45" s="558">
        <f t="shared" si="17"/>
        <v>55154</v>
      </c>
      <c r="DS45" s="558">
        <f t="shared" si="17"/>
        <v>55244</v>
      </c>
      <c r="DT45" s="558">
        <f t="shared" si="17"/>
        <v>55335</v>
      </c>
      <c r="DU45" s="558">
        <f t="shared" si="17"/>
        <v>55427</v>
      </c>
      <c r="DV45" s="558">
        <f t="shared" si="17"/>
        <v>55519</v>
      </c>
      <c r="DW45" s="558">
        <f t="shared" si="17"/>
        <v>55610</v>
      </c>
      <c r="DX45" s="558">
        <f t="shared" si="17"/>
        <v>55701</v>
      </c>
      <c r="DY45" s="558">
        <f t="shared" si="17"/>
        <v>55793</v>
      </c>
      <c r="DZ45" s="558">
        <f t="shared" si="17"/>
        <v>55885</v>
      </c>
      <c r="EA45" s="558">
        <f t="shared" si="17"/>
        <v>55975</v>
      </c>
      <c r="EB45" s="558">
        <f t="shared" si="17"/>
        <v>56066</v>
      </c>
      <c r="EC45" s="558">
        <f t="shared" si="17"/>
        <v>56158</v>
      </c>
      <c r="ED45" s="558">
        <f t="shared" si="17"/>
        <v>56250</v>
      </c>
      <c r="EE45" s="558">
        <f t="shared" si="17"/>
        <v>56340</v>
      </c>
      <c r="EF45" s="558">
        <f t="shared" si="17"/>
        <v>56431</v>
      </c>
      <c r="EG45" s="558">
        <f t="shared" si="17"/>
        <v>56523</v>
      </c>
    </row>
    <row r="47" spans="2:2" ht="12.75">
      <c r="B47" s="534" t="s">
        <v>166</v>
      </c>
    </row>
    <row r="48" spans="5:137" ht="12.75">
      <c r="E48" s="538" t="str">
        <f>E$39</f>
        <v>Months per model period</v>
      </c>
      <c r="G48" s="539" t="str">
        <f>G$39</f>
        <v>months</v>
      </c>
      <c r="H48" s="539">
        <f>H$39</f>
        <v>336</v>
      </c>
      <c r="J48" s="539">
        <f t="shared" si="18" ref="J48:EG48">J$39</f>
        <v>1</v>
      </c>
      <c r="K48" s="539">
        <f t="shared" si="18"/>
        <v>1</v>
      </c>
      <c r="L48" s="539">
        <f t="shared" si="18"/>
        <v>1</v>
      </c>
      <c r="M48" s="539">
        <f t="shared" si="18"/>
        <v>1</v>
      </c>
      <c r="N48" s="539">
        <f t="shared" si="18"/>
        <v>1</v>
      </c>
      <c r="O48" s="539">
        <f t="shared" si="18"/>
        <v>1</v>
      </c>
      <c r="P48" s="539">
        <f t="shared" si="18"/>
        <v>1</v>
      </c>
      <c r="Q48" s="539">
        <f t="shared" si="18"/>
        <v>1</v>
      </c>
      <c r="R48" s="539">
        <f t="shared" si="18"/>
        <v>1</v>
      </c>
      <c r="S48" s="539">
        <f t="shared" si="18"/>
        <v>1</v>
      </c>
      <c r="T48" s="539">
        <f t="shared" si="18"/>
        <v>1</v>
      </c>
      <c r="U48" s="539">
        <f t="shared" si="18"/>
        <v>1</v>
      </c>
      <c r="V48" s="539">
        <f t="shared" si="18"/>
        <v>1</v>
      </c>
      <c r="W48" s="539">
        <f t="shared" si="18"/>
        <v>1</v>
      </c>
      <c r="X48" s="539">
        <f t="shared" si="18"/>
        <v>1</v>
      </c>
      <c r="Y48" s="539">
        <f t="shared" si="18"/>
        <v>1</v>
      </c>
      <c r="Z48" s="539">
        <f t="shared" si="18"/>
        <v>1</v>
      </c>
      <c r="AA48" s="539">
        <f t="shared" si="18"/>
        <v>1</v>
      </c>
      <c r="AB48" s="539">
        <f t="shared" si="18"/>
        <v>1</v>
      </c>
      <c r="AC48" s="539">
        <f t="shared" si="18"/>
        <v>1</v>
      </c>
      <c r="AD48" s="539">
        <f t="shared" si="18"/>
        <v>1</v>
      </c>
      <c r="AE48" s="539">
        <f t="shared" si="18"/>
        <v>1</v>
      </c>
      <c r="AF48" s="539">
        <f t="shared" si="18"/>
        <v>1</v>
      </c>
      <c r="AG48" s="539">
        <f t="shared" si="18"/>
        <v>1</v>
      </c>
      <c r="AH48" s="539">
        <f t="shared" si="18"/>
        <v>3</v>
      </c>
      <c r="AI48" s="539">
        <f t="shared" si="18"/>
        <v>3</v>
      </c>
      <c r="AJ48" s="539">
        <f t="shared" si="18"/>
        <v>3</v>
      </c>
      <c r="AK48" s="539">
        <f t="shared" si="18"/>
        <v>3</v>
      </c>
      <c r="AL48" s="539">
        <f t="shared" si="18"/>
        <v>3</v>
      </c>
      <c r="AM48" s="539">
        <f t="shared" si="18"/>
        <v>3</v>
      </c>
      <c r="AN48" s="539">
        <f t="shared" si="18"/>
        <v>3</v>
      </c>
      <c r="AO48" s="539">
        <f t="shared" si="18"/>
        <v>3</v>
      </c>
      <c r="AP48" s="539">
        <f t="shared" si="18"/>
        <v>3</v>
      </c>
      <c r="AQ48" s="539">
        <f t="shared" si="18"/>
        <v>3</v>
      </c>
      <c r="AR48" s="539">
        <f t="shared" si="18"/>
        <v>3</v>
      </c>
      <c r="AS48" s="539">
        <f t="shared" si="18"/>
        <v>3</v>
      </c>
      <c r="AT48" s="539">
        <f t="shared" si="18"/>
        <v>3</v>
      </c>
      <c r="AU48" s="539">
        <f t="shared" si="18"/>
        <v>3</v>
      </c>
      <c r="AV48" s="539">
        <f t="shared" si="18"/>
        <v>3</v>
      </c>
      <c r="AW48" s="539">
        <f t="shared" si="18"/>
        <v>3</v>
      </c>
      <c r="AX48" s="539">
        <f t="shared" si="18"/>
        <v>3</v>
      </c>
      <c r="AY48" s="539">
        <f t="shared" si="18"/>
        <v>3</v>
      </c>
      <c r="AZ48" s="539">
        <f t="shared" si="18"/>
        <v>3</v>
      </c>
      <c r="BA48" s="539">
        <f t="shared" si="18"/>
        <v>3</v>
      </c>
      <c r="BB48" s="539">
        <f t="shared" si="18"/>
        <v>3</v>
      </c>
      <c r="BC48" s="539">
        <f t="shared" si="18"/>
        <v>3</v>
      </c>
      <c r="BD48" s="539">
        <f t="shared" si="18"/>
        <v>3</v>
      </c>
      <c r="BE48" s="539">
        <f t="shared" si="18"/>
        <v>3</v>
      </c>
      <c r="BF48" s="539">
        <f t="shared" si="18"/>
        <v>3</v>
      </c>
      <c r="BG48" s="539">
        <f t="shared" si="18"/>
        <v>3</v>
      </c>
      <c r="BH48" s="539">
        <f t="shared" si="18"/>
        <v>3</v>
      </c>
      <c r="BI48" s="539">
        <f t="shared" si="18"/>
        <v>3</v>
      </c>
      <c r="BJ48" s="539">
        <f t="shared" si="18"/>
        <v>3</v>
      </c>
      <c r="BK48" s="539">
        <f t="shared" si="18"/>
        <v>3</v>
      </c>
      <c r="BL48" s="539">
        <f t="shared" si="18"/>
        <v>3</v>
      </c>
      <c r="BM48" s="539">
        <f t="shared" si="18"/>
        <v>3</v>
      </c>
      <c r="BN48" s="539">
        <f t="shared" si="18"/>
        <v>3</v>
      </c>
      <c r="BO48" s="539">
        <f t="shared" si="18"/>
        <v>3</v>
      </c>
      <c r="BP48" s="539">
        <f t="shared" si="18"/>
        <v>3</v>
      </c>
      <c r="BQ48" s="539">
        <f t="shared" si="18"/>
        <v>3</v>
      </c>
      <c r="BR48" s="539">
        <f t="shared" si="18"/>
        <v>3</v>
      </c>
      <c r="BS48" s="539">
        <f t="shared" si="18"/>
        <v>3</v>
      </c>
      <c r="BT48" s="539">
        <f t="shared" si="18"/>
        <v>3</v>
      </c>
      <c r="BU48" s="539">
        <f t="shared" si="18"/>
        <v>3</v>
      </c>
      <c r="BV48" s="539">
        <f t="shared" si="18"/>
        <v>3</v>
      </c>
      <c r="BW48" s="539">
        <f t="shared" si="18"/>
        <v>3</v>
      </c>
      <c r="BX48" s="539">
        <f t="shared" si="18"/>
        <v>3</v>
      </c>
      <c r="BY48" s="539">
        <f t="shared" si="18"/>
        <v>3</v>
      </c>
      <c r="BZ48" s="539">
        <f t="shared" si="18"/>
        <v>3</v>
      </c>
      <c r="CA48" s="539">
        <f t="shared" si="18"/>
        <v>3</v>
      </c>
      <c r="CB48" s="539">
        <f t="shared" si="18"/>
        <v>3</v>
      </c>
      <c r="CC48" s="539">
        <f t="shared" si="18"/>
        <v>3</v>
      </c>
      <c r="CD48" s="539">
        <f t="shared" si="18"/>
        <v>3</v>
      </c>
      <c r="CE48" s="539">
        <f t="shared" si="18"/>
        <v>3</v>
      </c>
      <c r="CF48" s="539">
        <f t="shared" si="18"/>
        <v>3</v>
      </c>
      <c r="CG48" s="539">
        <f t="shared" si="18"/>
        <v>3</v>
      </c>
      <c r="CH48" s="539">
        <f t="shared" si="18"/>
        <v>3</v>
      </c>
      <c r="CI48" s="539">
        <f t="shared" si="18"/>
        <v>3</v>
      </c>
      <c r="CJ48" s="539">
        <f t="shared" si="18"/>
        <v>3</v>
      </c>
      <c r="CK48" s="539">
        <f t="shared" si="18"/>
        <v>3</v>
      </c>
      <c r="CL48" s="539">
        <f t="shared" si="18"/>
        <v>3</v>
      </c>
      <c r="CM48" s="539">
        <f t="shared" si="18"/>
        <v>3</v>
      </c>
      <c r="CN48" s="539">
        <f t="shared" si="18"/>
        <v>3</v>
      </c>
      <c r="CO48" s="539">
        <f t="shared" si="18"/>
        <v>3</v>
      </c>
      <c r="CP48" s="539">
        <f t="shared" si="18"/>
        <v>3</v>
      </c>
      <c r="CQ48" s="539">
        <f t="shared" si="18"/>
        <v>3</v>
      </c>
      <c r="CR48" s="539">
        <f t="shared" si="18"/>
        <v>3</v>
      </c>
      <c r="CS48" s="539">
        <f t="shared" si="18"/>
        <v>3</v>
      </c>
      <c r="CT48" s="539">
        <f t="shared" si="18"/>
        <v>3</v>
      </c>
      <c r="CU48" s="539">
        <f t="shared" si="18"/>
        <v>3</v>
      </c>
      <c r="CV48" s="539">
        <f t="shared" si="18"/>
        <v>3</v>
      </c>
      <c r="CW48" s="539">
        <f t="shared" si="18"/>
        <v>3</v>
      </c>
      <c r="CX48" s="539">
        <f t="shared" si="18"/>
        <v>3</v>
      </c>
      <c r="CY48" s="539">
        <f t="shared" si="18"/>
        <v>3</v>
      </c>
      <c r="CZ48" s="539">
        <f t="shared" si="18"/>
        <v>3</v>
      </c>
      <c r="DA48" s="539">
        <f t="shared" si="18"/>
        <v>3</v>
      </c>
      <c r="DB48" s="539">
        <f t="shared" si="18"/>
        <v>3</v>
      </c>
      <c r="DC48" s="539">
        <f t="shared" si="18"/>
        <v>3</v>
      </c>
      <c r="DD48" s="539">
        <f t="shared" si="18"/>
        <v>3</v>
      </c>
      <c r="DE48" s="539">
        <f t="shared" si="18"/>
        <v>3</v>
      </c>
      <c r="DF48" s="539">
        <f t="shared" si="18"/>
        <v>3</v>
      </c>
      <c r="DG48" s="539">
        <f t="shared" si="18"/>
        <v>3</v>
      </c>
      <c r="DH48" s="539">
        <f t="shared" si="18"/>
        <v>3</v>
      </c>
      <c r="DI48" s="539">
        <f t="shared" si="18"/>
        <v>3</v>
      </c>
      <c r="DJ48" s="539">
        <f t="shared" si="18"/>
        <v>3</v>
      </c>
      <c r="DK48" s="539">
        <f t="shared" si="18"/>
        <v>3</v>
      </c>
      <c r="DL48" s="539">
        <f t="shared" si="18"/>
        <v>3</v>
      </c>
      <c r="DM48" s="539">
        <f t="shared" si="18"/>
        <v>3</v>
      </c>
      <c r="DN48" s="539">
        <f t="shared" si="18"/>
        <v>3</v>
      </c>
      <c r="DO48" s="539">
        <f t="shared" si="18"/>
        <v>3</v>
      </c>
      <c r="DP48" s="539">
        <f t="shared" si="18"/>
        <v>3</v>
      </c>
      <c r="DQ48" s="539">
        <f t="shared" si="18"/>
        <v>3</v>
      </c>
      <c r="DR48" s="539">
        <f t="shared" si="18"/>
        <v>3</v>
      </c>
      <c r="DS48" s="539">
        <f t="shared" si="18"/>
        <v>3</v>
      </c>
      <c r="DT48" s="539">
        <f t="shared" si="18"/>
        <v>3</v>
      </c>
      <c r="DU48" s="539">
        <f t="shared" si="18"/>
        <v>3</v>
      </c>
      <c r="DV48" s="539">
        <f t="shared" si="18"/>
        <v>3</v>
      </c>
      <c r="DW48" s="539">
        <f t="shared" si="18"/>
        <v>3</v>
      </c>
      <c r="DX48" s="539">
        <f t="shared" si="18"/>
        <v>3</v>
      </c>
      <c r="DY48" s="539">
        <f t="shared" si="18"/>
        <v>3</v>
      </c>
      <c r="DZ48" s="539">
        <f t="shared" si="18"/>
        <v>3</v>
      </c>
      <c r="EA48" s="539">
        <f t="shared" si="18"/>
        <v>3</v>
      </c>
      <c r="EB48" s="539">
        <f t="shared" si="18"/>
        <v>3</v>
      </c>
      <c r="EC48" s="539">
        <f t="shared" si="18"/>
        <v>3</v>
      </c>
      <c r="ED48" s="539">
        <f t="shared" si="18"/>
        <v>3</v>
      </c>
      <c r="EE48" s="539">
        <f t="shared" si="18"/>
        <v>3</v>
      </c>
      <c r="EF48" s="539">
        <f t="shared" si="18"/>
        <v>3</v>
      </c>
      <c r="EG48" s="539">
        <f t="shared" si="18"/>
        <v>3</v>
      </c>
    </row>
    <row r="49" spans="5:137" ht="12.75">
      <c r="E49" s="538" t="str">
        <f>E$45</f>
        <v>Model period beginning</v>
      </c>
      <c r="G49" s="558" t="str">
        <f>G$45</f>
        <v>date</v>
      </c>
      <c r="J49" s="558">
        <f t="shared" si="19" ref="J49:EG49">J$45</f>
        <v>46388</v>
      </c>
      <c r="K49" s="558">
        <f t="shared" si="19"/>
        <v>46419</v>
      </c>
      <c r="L49" s="558">
        <f t="shared" si="19"/>
        <v>46447</v>
      </c>
      <c r="M49" s="558">
        <f t="shared" si="19"/>
        <v>46478</v>
      </c>
      <c r="N49" s="558">
        <f t="shared" si="19"/>
        <v>46508</v>
      </c>
      <c r="O49" s="558">
        <f t="shared" si="19"/>
        <v>46539</v>
      </c>
      <c r="P49" s="558">
        <f t="shared" si="19"/>
        <v>46569</v>
      </c>
      <c r="Q49" s="558">
        <f t="shared" si="19"/>
        <v>46600</v>
      </c>
      <c r="R49" s="558">
        <f t="shared" si="19"/>
        <v>46631</v>
      </c>
      <c r="S49" s="558">
        <f t="shared" si="19"/>
        <v>46661</v>
      </c>
      <c r="T49" s="558">
        <f t="shared" si="19"/>
        <v>46692</v>
      </c>
      <c r="U49" s="558">
        <f t="shared" si="19"/>
        <v>46722</v>
      </c>
      <c r="V49" s="558">
        <f t="shared" si="19"/>
        <v>46753</v>
      </c>
      <c r="W49" s="558">
        <f t="shared" si="19"/>
        <v>46784</v>
      </c>
      <c r="X49" s="558">
        <f t="shared" si="19"/>
        <v>46813</v>
      </c>
      <c r="Y49" s="558">
        <f t="shared" si="19"/>
        <v>46844</v>
      </c>
      <c r="Z49" s="558">
        <f t="shared" si="19"/>
        <v>46874</v>
      </c>
      <c r="AA49" s="558">
        <f t="shared" si="19"/>
        <v>46905</v>
      </c>
      <c r="AB49" s="558">
        <f t="shared" si="19"/>
        <v>46935</v>
      </c>
      <c r="AC49" s="558">
        <f t="shared" si="19"/>
        <v>46966</v>
      </c>
      <c r="AD49" s="558">
        <f t="shared" si="19"/>
        <v>46997</v>
      </c>
      <c r="AE49" s="558">
        <f t="shared" si="19"/>
        <v>47027</v>
      </c>
      <c r="AF49" s="558">
        <f t="shared" si="19"/>
        <v>47058</v>
      </c>
      <c r="AG49" s="558">
        <f t="shared" si="19"/>
        <v>47088</v>
      </c>
      <c r="AH49" s="558">
        <f t="shared" si="19"/>
        <v>47119</v>
      </c>
      <c r="AI49" s="558">
        <f t="shared" si="19"/>
        <v>47209</v>
      </c>
      <c r="AJ49" s="558">
        <f t="shared" si="19"/>
        <v>47300</v>
      </c>
      <c r="AK49" s="558">
        <f t="shared" si="19"/>
        <v>47392</v>
      </c>
      <c r="AL49" s="558">
        <f t="shared" si="19"/>
        <v>47484</v>
      </c>
      <c r="AM49" s="558">
        <f t="shared" si="19"/>
        <v>47574</v>
      </c>
      <c r="AN49" s="558">
        <f t="shared" si="19"/>
        <v>47665</v>
      </c>
      <c r="AO49" s="558">
        <f t="shared" si="19"/>
        <v>47757</v>
      </c>
      <c r="AP49" s="558">
        <f t="shared" si="19"/>
        <v>47849</v>
      </c>
      <c r="AQ49" s="558">
        <f t="shared" si="19"/>
        <v>47939</v>
      </c>
      <c r="AR49" s="558">
        <f t="shared" si="19"/>
        <v>48030</v>
      </c>
      <c r="AS49" s="558">
        <f t="shared" si="19"/>
        <v>48122</v>
      </c>
      <c r="AT49" s="558">
        <f t="shared" si="19"/>
        <v>48214</v>
      </c>
      <c r="AU49" s="558">
        <f t="shared" si="19"/>
        <v>48305</v>
      </c>
      <c r="AV49" s="558">
        <f t="shared" si="19"/>
        <v>48396</v>
      </c>
      <c r="AW49" s="558">
        <f t="shared" si="19"/>
        <v>48488</v>
      </c>
      <c r="AX49" s="558">
        <f t="shared" si="19"/>
        <v>48580</v>
      </c>
      <c r="AY49" s="558">
        <f t="shared" si="19"/>
        <v>48670</v>
      </c>
      <c r="AZ49" s="558">
        <f t="shared" si="19"/>
        <v>48761</v>
      </c>
      <c r="BA49" s="558">
        <f t="shared" si="19"/>
        <v>48853</v>
      </c>
      <c r="BB49" s="558">
        <f t="shared" si="19"/>
        <v>48945</v>
      </c>
      <c r="BC49" s="558">
        <f t="shared" si="19"/>
        <v>49035</v>
      </c>
      <c r="BD49" s="558">
        <f t="shared" si="19"/>
        <v>49126</v>
      </c>
      <c r="BE49" s="558">
        <f t="shared" si="19"/>
        <v>49218</v>
      </c>
      <c r="BF49" s="558">
        <f t="shared" si="19"/>
        <v>49310</v>
      </c>
      <c r="BG49" s="558">
        <f t="shared" si="19"/>
        <v>49400</v>
      </c>
      <c r="BH49" s="558">
        <f t="shared" si="19"/>
        <v>49491</v>
      </c>
      <c r="BI49" s="558">
        <f t="shared" si="19"/>
        <v>49583</v>
      </c>
      <c r="BJ49" s="558">
        <f t="shared" si="19"/>
        <v>49675</v>
      </c>
      <c r="BK49" s="558">
        <f t="shared" si="19"/>
        <v>49766</v>
      </c>
      <c r="BL49" s="558">
        <f t="shared" si="19"/>
        <v>49857</v>
      </c>
      <c r="BM49" s="558">
        <f t="shared" si="19"/>
        <v>49949</v>
      </c>
      <c r="BN49" s="558">
        <f t="shared" si="19"/>
        <v>50041</v>
      </c>
      <c r="BO49" s="558">
        <f t="shared" si="19"/>
        <v>50131</v>
      </c>
      <c r="BP49" s="558">
        <f t="shared" si="19"/>
        <v>50222</v>
      </c>
      <c r="BQ49" s="558">
        <f t="shared" si="19"/>
        <v>50314</v>
      </c>
      <c r="BR49" s="558">
        <f t="shared" si="19"/>
        <v>50406</v>
      </c>
      <c r="BS49" s="558">
        <f t="shared" si="19"/>
        <v>50496</v>
      </c>
      <c r="BT49" s="558">
        <f t="shared" si="19"/>
        <v>50587</v>
      </c>
      <c r="BU49" s="558">
        <f t="shared" si="19"/>
        <v>50679</v>
      </c>
      <c r="BV49" s="558">
        <f t="shared" si="19"/>
        <v>50771</v>
      </c>
      <c r="BW49" s="558">
        <f t="shared" si="19"/>
        <v>50861</v>
      </c>
      <c r="BX49" s="558">
        <f t="shared" si="19"/>
        <v>50952</v>
      </c>
      <c r="BY49" s="558">
        <f t="shared" si="19"/>
        <v>51044</v>
      </c>
      <c r="BZ49" s="558">
        <f t="shared" si="19"/>
        <v>51136</v>
      </c>
      <c r="CA49" s="558">
        <f t="shared" si="19"/>
        <v>51227</v>
      </c>
      <c r="CB49" s="558">
        <f t="shared" si="19"/>
        <v>51318</v>
      </c>
      <c r="CC49" s="558">
        <f t="shared" si="19"/>
        <v>51410</v>
      </c>
      <c r="CD49" s="558">
        <f t="shared" si="19"/>
        <v>51502</v>
      </c>
      <c r="CE49" s="558">
        <f t="shared" si="19"/>
        <v>51592</v>
      </c>
      <c r="CF49" s="558">
        <f t="shared" si="19"/>
        <v>51683</v>
      </c>
      <c r="CG49" s="558">
        <f t="shared" si="19"/>
        <v>51775</v>
      </c>
      <c r="CH49" s="558">
        <f t="shared" si="19"/>
        <v>51867</v>
      </c>
      <c r="CI49" s="558">
        <f t="shared" si="19"/>
        <v>51957</v>
      </c>
      <c r="CJ49" s="558">
        <f t="shared" si="19"/>
        <v>52048</v>
      </c>
      <c r="CK49" s="558">
        <f t="shared" si="19"/>
        <v>52140</v>
      </c>
      <c r="CL49" s="558">
        <f t="shared" si="19"/>
        <v>52232</v>
      </c>
      <c r="CM49" s="558">
        <f t="shared" si="19"/>
        <v>52322</v>
      </c>
      <c r="CN49" s="558">
        <f t="shared" si="19"/>
        <v>52413</v>
      </c>
      <c r="CO49" s="558">
        <f t="shared" si="19"/>
        <v>52505</v>
      </c>
      <c r="CP49" s="558">
        <f t="shared" si="19"/>
        <v>52597</v>
      </c>
      <c r="CQ49" s="558">
        <f t="shared" si="19"/>
        <v>52688</v>
      </c>
      <c r="CR49" s="558">
        <f t="shared" si="19"/>
        <v>52779</v>
      </c>
      <c r="CS49" s="558">
        <f t="shared" si="19"/>
        <v>52871</v>
      </c>
      <c r="CT49" s="558">
        <f t="shared" si="19"/>
        <v>52963</v>
      </c>
      <c r="CU49" s="558">
        <f t="shared" si="19"/>
        <v>53053</v>
      </c>
      <c r="CV49" s="558">
        <f t="shared" si="19"/>
        <v>53144</v>
      </c>
      <c r="CW49" s="558">
        <f t="shared" si="19"/>
        <v>53236</v>
      </c>
      <c r="CX49" s="558">
        <f t="shared" si="19"/>
        <v>53328</v>
      </c>
      <c r="CY49" s="558">
        <f t="shared" si="19"/>
        <v>53418</v>
      </c>
      <c r="CZ49" s="558">
        <f t="shared" si="19"/>
        <v>53509</v>
      </c>
      <c r="DA49" s="558">
        <f t="shared" si="19"/>
        <v>53601</v>
      </c>
      <c r="DB49" s="558">
        <f t="shared" si="19"/>
        <v>53693</v>
      </c>
      <c r="DC49" s="558">
        <f t="shared" si="19"/>
        <v>53783</v>
      </c>
      <c r="DD49" s="558">
        <f t="shared" si="19"/>
        <v>53874</v>
      </c>
      <c r="DE49" s="558">
        <f t="shared" si="19"/>
        <v>53966</v>
      </c>
      <c r="DF49" s="558">
        <f t="shared" si="19"/>
        <v>54058</v>
      </c>
      <c r="DG49" s="558">
        <f t="shared" si="19"/>
        <v>54149</v>
      </c>
      <c r="DH49" s="558">
        <f t="shared" si="19"/>
        <v>54240</v>
      </c>
      <c r="DI49" s="558">
        <f t="shared" si="19"/>
        <v>54332</v>
      </c>
      <c r="DJ49" s="558">
        <f t="shared" si="19"/>
        <v>54424</v>
      </c>
      <c r="DK49" s="558">
        <f t="shared" si="19"/>
        <v>54514</v>
      </c>
      <c r="DL49" s="558">
        <f t="shared" si="19"/>
        <v>54605</v>
      </c>
      <c r="DM49" s="558">
        <f t="shared" si="19"/>
        <v>54697</v>
      </c>
      <c r="DN49" s="558">
        <f t="shared" si="19"/>
        <v>54789</v>
      </c>
      <c r="DO49" s="558">
        <f t="shared" si="19"/>
        <v>54879</v>
      </c>
      <c r="DP49" s="558">
        <f t="shared" si="19"/>
        <v>54970</v>
      </c>
      <c r="DQ49" s="558">
        <f t="shared" si="19"/>
        <v>55062</v>
      </c>
      <c r="DR49" s="558">
        <f t="shared" si="19"/>
        <v>55154</v>
      </c>
      <c r="DS49" s="558">
        <f t="shared" si="19"/>
        <v>55244</v>
      </c>
      <c r="DT49" s="558">
        <f t="shared" si="19"/>
        <v>55335</v>
      </c>
      <c r="DU49" s="558">
        <f t="shared" si="19"/>
        <v>55427</v>
      </c>
      <c r="DV49" s="558">
        <f t="shared" si="19"/>
        <v>55519</v>
      </c>
      <c r="DW49" s="558">
        <f t="shared" si="19"/>
        <v>55610</v>
      </c>
      <c r="DX49" s="558">
        <f t="shared" si="19"/>
        <v>55701</v>
      </c>
      <c r="DY49" s="558">
        <f t="shared" si="19"/>
        <v>55793</v>
      </c>
      <c r="DZ49" s="558">
        <f t="shared" si="19"/>
        <v>55885</v>
      </c>
      <c r="EA49" s="558">
        <f t="shared" si="19"/>
        <v>55975</v>
      </c>
      <c r="EB49" s="558">
        <f t="shared" si="19"/>
        <v>56066</v>
      </c>
      <c r="EC49" s="558">
        <f t="shared" si="19"/>
        <v>56158</v>
      </c>
      <c r="ED49" s="558">
        <f t="shared" si="19"/>
        <v>56250</v>
      </c>
      <c r="EE49" s="558">
        <f t="shared" si="19"/>
        <v>56340</v>
      </c>
      <c r="EF49" s="558">
        <f t="shared" si="19"/>
        <v>56431</v>
      </c>
      <c r="EG49" s="558">
        <f t="shared" si="19"/>
        <v>56523</v>
      </c>
    </row>
    <row r="50" spans="5:137" ht="12.75">
      <c r="E50" s="540" t="s">
        <v>139</v>
      </c>
      <c r="G50" s="586" t="s">
        <v>14</v>
      </c>
      <c r="J50" s="586">
        <f t="shared" si="20" ref="J50:EG50">EOMONTH(J49,J48-1)</f>
        <v>46418</v>
      </c>
      <c r="K50" s="586">
        <f t="shared" si="20"/>
        <v>46446</v>
      </c>
      <c r="L50" s="586">
        <f t="shared" si="20"/>
        <v>46477</v>
      </c>
      <c r="M50" s="586">
        <f t="shared" si="20"/>
        <v>46507</v>
      </c>
      <c r="N50" s="586">
        <f t="shared" si="20"/>
        <v>46538</v>
      </c>
      <c r="O50" s="586">
        <f t="shared" si="20"/>
        <v>46568</v>
      </c>
      <c r="P50" s="586">
        <f t="shared" si="20"/>
        <v>46599</v>
      </c>
      <c r="Q50" s="586">
        <f t="shared" si="20"/>
        <v>46630</v>
      </c>
      <c r="R50" s="586">
        <f t="shared" si="20"/>
        <v>46660</v>
      </c>
      <c r="S50" s="586">
        <f t="shared" si="20"/>
        <v>46691</v>
      </c>
      <c r="T50" s="586">
        <f t="shared" si="20"/>
        <v>46721</v>
      </c>
      <c r="U50" s="586">
        <f t="shared" si="20"/>
        <v>46752</v>
      </c>
      <c r="V50" s="586">
        <f t="shared" si="20"/>
        <v>46783</v>
      </c>
      <c r="W50" s="586">
        <f t="shared" si="20"/>
        <v>46812</v>
      </c>
      <c r="X50" s="586">
        <f t="shared" si="20"/>
        <v>46843</v>
      </c>
      <c r="Y50" s="586">
        <f t="shared" si="20"/>
        <v>46873</v>
      </c>
      <c r="Z50" s="586">
        <f t="shared" si="20"/>
        <v>46904</v>
      </c>
      <c r="AA50" s="586">
        <f t="shared" si="20"/>
        <v>46934</v>
      </c>
      <c r="AB50" s="586">
        <f t="shared" si="20"/>
        <v>46965</v>
      </c>
      <c r="AC50" s="586">
        <f t="shared" si="20"/>
        <v>46996</v>
      </c>
      <c r="AD50" s="586">
        <f t="shared" si="20"/>
        <v>47026</v>
      </c>
      <c r="AE50" s="586">
        <f t="shared" si="20"/>
        <v>47057</v>
      </c>
      <c r="AF50" s="586">
        <f t="shared" si="20"/>
        <v>47087</v>
      </c>
      <c r="AG50" s="586">
        <f t="shared" si="20"/>
        <v>47118</v>
      </c>
      <c r="AH50" s="586">
        <f t="shared" si="20"/>
        <v>47208</v>
      </c>
      <c r="AI50" s="586">
        <f t="shared" si="20"/>
        <v>47299</v>
      </c>
      <c r="AJ50" s="586">
        <f t="shared" si="20"/>
        <v>47391</v>
      </c>
      <c r="AK50" s="586">
        <f t="shared" si="20"/>
        <v>47483</v>
      </c>
      <c r="AL50" s="586">
        <f t="shared" si="20"/>
        <v>47573</v>
      </c>
      <c r="AM50" s="586">
        <f t="shared" si="20"/>
        <v>47664</v>
      </c>
      <c r="AN50" s="586">
        <f t="shared" si="20"/>
        <v>47756</v>
      </c>
      <c r="AO50" s="586">
        <f t="shared" si="20"/>
        <v>47848</v>
      </c>
      <c r="AP50" s="586">
        <f t="shared" si="20"/>
        <v>47938</v>
      </c>
      <c r="AQ50" s="586">
        <f t="shared" si="20"/>
        <v>48029</v>
      </c>
      <c r="AR50" s="586">
        <f t="shared" si="20"/>
        <v>48121</v>
      </c>
      <c r="AS50" s="586">
        <f t="shared" si="20"/>
        <v>48213</v>
      </c>
      <c r="AT50" s="586">
        <f t="shared" si="20"/>
        <v>48304</v>
      </c>
      <c r="AU50" s="586">
        <f t="shared" si="20"/>
        <v>48395</v>
      </c>
      <c r="AV50" s="586">
        <f t="shared" si="20"/>
        <v>48487</v>
      </c>
      <c r="AW50" s="586">
        <f t="shared" si="20"/>
        <v>48579</v>
      </c>
      <c r="AX50" s="586">
        <f t="shared" si="20"/>
        <v>48669</v>
      </c>
      <c r="AY50" s="586">
        <f t="shared" si="20"/>
        <v>48760</v>
      </c>
      <c r="AZ50" s="586">
        <f t="shared" si="20"/>
        <v>48852</v>
      </c>
      <c r="BA50" s="586">
        <f t="shared" si="20"/>
        <v>48944</v>
      </c>
      <c r="BB50" s="586">
        <f t="shared" si="20"/>
        <v>49034</v>
      </c>
      <c r="BC50" s="586">
        <f t="shared" si="20"/>
        <v>49125</v>
      </c>
      <c r="BD50" s="586">
        <f t="shared" si="20"/>
        <v>49217</v>
      </c>
      <c r="BE50" s="586">
        <f t="shared" si="20"/>
        <v>49309</v>
      </c>
      <c r="BF50" s="586">
        <f t="shared" si="20"/>
        <v>49399</v>
      </c>
      <c r="BG50" s="586">
        <f t="shared" si="20"/>
        <v>49490</v>
      </c>
      <c r="BH50" s="586">
        <f t="shared" si="20"/>
        <v>49582</v>
      </c>
      <c r="BI50" s="586">
        <f t="shared" si="20"/>
        <v>49674</v>
      </c>
      <c r="BJ50" s="586">
        <f t="shared" si="20"/>
        <v>49765</v>
      </c>
      <c r="BK50" s="586">
        <f t="shared" si="20"/>
        <v>49856</v>
      </c>
      <c r="BL50" s="586">
        <f t="shared" si="20"/>
        <v>49948</v>
      </c>
      <c r="BM50" s="586">
        <f t="shared" si="20"/>
        <v>50040</v>
      </c>
      <c r="BN50" s="586">
        <f t="shared" si="20"/>
        <v>50130</v>
      </c>
      <c r="BO50" s="586">
        <f t="shared" si="20"/>
        <v>50221</v>
      </c>
      <c r="BP50" s="586">
        <f t="shared" si="20"/>
        <v>50313</v>
      </c>
      <c r="BQ50" s="586">
        <f t="shared" si="20"/>
        <v>50405</v>
      </c>
      <c r="BR50" s="586">
        <f t="shared" si="20"/>
        <v>50495</v>
      </c>
      <c r="BS50" s="586">
        <f t="shared" si="20"/>
        <v>50586</v>
      </c>
      <c r="BT50" s="586">
        <f t="shared" si="20"/>
        <v>50678</v>
      </c>
      <c r="BU50" s="586">
        <f t="shared" si="20"/>
        <v>50770</v>
      </c>
      <c r="BV50" s="586">
        <f t="shared" si="20"/>
        <v>50860</v>
      </c>
      <c r="BW50" s="586">
        <f t="shared" si="20"/>
        <v>50951</v>
      </c>
      <c r="BX50" s="586">
        <f t="shared" si="20"/>
        <v>51043</v>
      </c>
      <c r="BY50" s="586">
        <f t="shared" si="20"/>
        <v>51135</v>
      </c>
      <c r="BZ50" s="586">
        <f t="shared" si="20"/>
        <v>51226</v>
      </c>
      <c r="CA50" s="586">
        <f t="shared" si="20"/>
        <v>51317</v>
      </c>
      <c r="CB50" s="586">
        <f t="shared" si="20"/>
        <v>51409</v>
      </c>
      <c r="CC50" s="586">
        <f t="shared" si="20"/>
        <v>51501</v>
      </c>
      <c r="CD50" s="586">
        <f t="shared" si="20"/>
        <v>51591</v>
      </c>
      <c r="CE50" s="586">
        <f t="shared" si="20"/>
        <v>51682</v>
      </c>
      <c r="CF50" s="586">
        <f t="shared" si="20"/>
        <v>51774</v>
      </c>
      <c r="CG50" s="586">
        <f t="shared" si="20"/>
        <v>51866</v>
      </c>
      <c r="CH50" s="586">
        <f t="shared" si="20"/>
        <v>51956</v>
      </c>
      <c r="CI50" s="586">
        <f t="shared" si="20"/>
        <v>52047</v>
      </c>
      <c r="CJ50" s="586">
        <f t="shared" si="20"/>
        <v>52139</v>
      </c>
      <c r="CK50" s="586">
        <f t="shared" si="20"/>
        <v>52231</v>
      </c>
      <c r="CL50" s="586">
        <f t="shared" si="20"/>
        <v>52321</v>
      </c>
      <c r="CM50" s="586">
        <f t="shared" si="20"/>
        <v>52412</v>
      </c>
      <c r="CN50" s="586">
        <f t="shared" si="20"/>
        <v>52504</v>
      </c>
      <c r="CO50" s="586">
        <f t="shared" si="20"/>
        <v>52596</v>
      </c>
      <c r="CP50" s="586">
        <f t="shared" si="20"/>
        <v>52687</v>
      </c>
      <c r="CQ50" s="586">
        <f t="shared" si="20"/>
        <v>52778</v>
      </c>
      <c r="CR50" s="586">
        <f t="shared" si="20"/>
        <v>52870</v>
      </c>
      <c r="CS50" s="586">
        <f t="shared" si="20"/>
        <v>52962</v>
      </c>
      <c r="CT50" s="586">
        <f t="shared" si="20"/>
        <v>53052</v>
      </c>
      <c r="CU50" s="586">
        <f t="shared" si="20"/>
        <v>53143</v>
      </c>
      <c r="CV50" s="586">
        <f t="shared" si="20"/>
        <v>53235</v>
      </c>
      <c r="CW50" s="586">
        <f t="shared" si="20"/>
        <v>53327</v>
      </c>
      <c r="CX50" s="586">
        <f t="shared" si="20"/>
        <v>53417</v>
      </c>
      <c r="CY50" s="586">
        <f t="shared" si="20"/>
        <v>53508</v>
      </c>
      <c r="CZ50" s="586">
        <f t="shared" si="20"/>
        <v>53600</v>
      </c>
      <c r="DA50" s="586">
        <f t="shared" si="20"/>
        <v>53692</v>
      </c>
      <c r="DB50" s="586">
        <f t="shared" si="20"/>
        <v>53782</v>
      </c>
      <c r="DC50" s="586">
        <f t="shared" si="20"/>
        <v>53873</v>
      </c>
      <c r="DD50" s="586">
        <f t="shared" si="20"/>
        <v>53965</v>
      </c>
      <c r="DE50" s="586">
        <f t="shared" si="20"/>
        <v>54057</v>
      </c>
      <c r="DF50" s="586">
        <f t="shared" si="20"/>
        <v>54148</v>
      </c>
      <c r="DG50" s="586">
        <f t="shared" si="20"/>
        <v>54239</v>
      </c>
      <c r="DH50" s="586">
        <f t="shared" si="20"/>
        <v>54331</v>
      </c>
      <c r="DI50" s="586">
        <f t="shared" si="20"/>
        <v>54423</v>
      </c>
      <c r="DJ50" s="586">
        <f t="shared" si="20"/>
        <v>54513</v>
      </c>
      <c r="DK50" s="586">
        <f t="shared" si="20"/>
        <v>54604</v>
      </c>
      <c r="DL50" s="586">
        <f t="shared" si="20"/>
        <v>54696</v>
      </c>
      <c r="DM50" s="586">
        <f t="shared" si="20"/>
        <v>54788</v>
      </c>
      <c r="DN50" s="586">
        <f t="shared" si="20"/>
        <v>54878</v>
      </c>
      <c r="DO50" s="586">
        <f t="shared" si="20"/>
        <v>54969</v>
      </c>
      <c r="DP50" s="586">
        <f t="shared" si="20"/>
        <v>55061</v>
      </c>
      <c r="DQ50" s="586">
        <f t="shared" si="20"/>
        <v>55153</v>
      </c>
      <c r="DR50" s="586">
        <f t="shared" si="20"/>
        <v>55243</v>
      </c>
      <c r="DS50" s="586">
        <f t="shared" si="20"/>
        <v>55334</v>
      </c>
      <c r="DT50" s="586">
        <f t="shared" si="20"/>
        <v>55426</v>
      </c>
      <c r="DU50" s="586">
        <f t="shared" si="20"/>
        <v>55518</v>
      </c>
      <c r="DV50" s="586">
        <f t="shared" si="20"/>
        <v>55609</v>
      </c>
      <c r="DW50" s="586">
        <f t="shared" si="20"/>
        <v>55700</v>
      </c>
      <c r="DX50" s="586">
        <f t="shared" si="20"/>
        <v>55792</v>
      </c>
      <c r="DY50" s="586">
        <f t="shared" si="20"/>
        <v>55884</v>
      </c>
      <c r="DZ50" s="586">
        <f t="shared" si="20"/>
        <v>55974</v>
      </c>
      <c r="EA50" s="586">
        <f t="shared" si="20"/>
        <v>56065</v>
      </c>
      <c r="EB50" s="586">
        <f t="shared" si="20"/>
        <v>56157</v>
      </c>
      <c r="EC50" s="586">
        <f t="shared" si="20"/>
        <v>56249</v>
      </c>
      <c r="ED50" s="586">
        <f t="shared" si="20"/>
        <v>56339</v>
      </c>
      <c r="EE50" s="586">
        <f t="shared" si="20"/>
        <v>56430</v>
      </c>
      <c r="EF50" s="586">
        <f t="shared" si="20"/>
        <v>56522</v>
      </c>
      <c r="EG50" s="586">
        <f t="shared" si="20"/>
        <v>56614</v>
      </c>
    </row>
    <row r="53" spans="1:1" ht="12.75">
      <c r="A53" s="534" t="s">
        <v>167</v>
      </c>
    </row>
    <row r="55" spans="2:2" ht="12.75">
      <c r="B55" s="534" t="s">
        <v>168</v>
      </c>
    </row>
    <row r="56" spans="5:7" ht="12.75">
      <c r="E56" s="535" t="str">
        <f>InpC!E$19</f>
        <v>Financial close date</v>
      </c>
      <c r="F56" s="536">
        <f>InpC!F$19</f>
        <v>46477</v>
      </c>
      <c r="G56" s="536" t="str">
        <f>InpC!G$19</f>
        <v>date</v>
      </c>
    </row>
    <row r="57" spans="5:137" ht="12.75">
      <c r="E57" s="538" t="str">
        <f>E$50</f>
        <v>Model period ending</v>
      </c>
      <c r="G57" s="558" t="str">
        <f>G$50</f>
        <v>date</v>
      </c>
      <c r="J57" s="558">
        <f t="shared" si="21" ref="J57:EG57">J$50</f>
        <v>46418</v>
      </c>
      <c r="K57" s="558">
        <f t="shared" si="21"/>
        <v>46446</v>
      </c>
      <c r="L57" s="558">
        <f t="shared" si="21"/>
        <v>46477</v>
      </c>
      <c r="M57" s="558">
        <f t="shared" si="21"/>
        <v>46507</v>
      </c>
      <c r="N57" s="558">
        <f t="shared" si="21"/>
        <v>46538</v>
      </c>
      <c r="O57" s="558">
        <f t="shared" si="21"/>
        <v>46568</v>
      </c>
      <c r="P57" s="558">
        <f t="shared" si="21"/>
        <v>46599</v>
      </c>
      <c r="Q57" s="558">
        <f t="shared" si="21"/>
        <v>46630</v>
      </c>
      <c r="R57" s="558">
        <f t="shared" si="21"/>
        <v>46660</v>
      </c>
      <c r="S57" s="558">
        <f t="shared" si="21"/>
        <v>46691</v>
      </c>
      <c r="T57" s="558">
        <f t="shared" si="21"/>
        <v>46721</v>
      </c>
      <c r="U57" s="558">
        <f t="shared" si="21"/>
        <v>46752</v>
      </c>
      <c r="V57" s="558">
        <f t="shared" si="21"/>
        <v>46783</v>
      </c>
      <c r="W57" s="558">
        <f t="shared" si="21"/>
        <v>46812</v>
      </c>
      <c r="X57" s="558">
        <f t="shared" si="21"/>
        <v>46843</v>
      </c>
      <c r="Y57" s="558">
        <f t="shared" si="21"/>
        <v>46873</v>
      </c>
      <c r="Z57" s="558">
        <f t="shared" si="21"/>
        <v>46904</v>
      </c>
      <c r="AA57" s="558">
        <f t="shared" si="21"/>
        <v>46934</v>
      </c>
      <c r="AB57" s="558">
        <f t="shared" si="21"/>
        <v>46965</v>
      </c>
      <c r="AC57" s="558">
        <f t="shared" si="21"/>
        <v>46996</v>
      </c>
      <c r="AD57" s="558">
        <f t="shared" si="21"/>
        <v>47026</v>
      </c>
      <c r="AE57" s="558">
        <f t="shared" si="21"/>
        <v>47057</v>
      </c>
      <c r="AF57" s="558">
        <f t="shared" si="21"/>
        <v>47087</v>
      </c>
      <c r="AG57" s="558">
        <f t="shared" si="21"/>
        <v>47118</v>
      </c>
      <c r="AH57" s="558">
        <f t="shared" si="21"/>
        <v>47208</v>
      </c>
      <c r="AI57" s="558">
        <f t="shared" si="21"/>
        <v>47299</v>
      </c>
      <c r="AJ57" s="558">
        <f t="shared" si="21"/>
        <v>47391</v>
      </c>
      <c r="AK57" s="558">
        <f t="shared" si="21"/>
        <v>47483</v>
      </c>
      <c r="AL57" s="558">
        <f t="shared" si="21"/>
        <v>47573</v>
      </c>
      <c r="AM57" s="558">
        <f t="shared" si="21"/>
        <v>47664</v>
      </c>
      <c r="AN57" s="558">
        <f t="shared" si="21"/>
        <v>47756</v>
      </c>
      <c r="AO57" s="558">
        <f t="shared" si="21"/>
        <v>47848</v>
      </c>
      <c r="AP57" s="558">
        <f t="shared" si="21"/>
        <v>47938</v>
      </c>
      <c r="AQ57" s="558">
        <f t="shared" si="21"/>
        <v>48029</v>
      </c>
      <c r="AR57" s="558">
        <f t="shared" si="21"/>
        <v>48121</v>
      </c>
      <c r="AS57" s="558">
        <f t="shared" si="21"/>
        <v>48213</v>
      </c>
      <c r="AT57" s="558">
        <f t="shared" si="21"/>
        <v>48304</v>
      </c>
      <c r="AU57" s="558">
        <f t="shared" si="21"/>
        <v>48395</v>
      </c>
      <c r="AV57" s="558">
        <f t="shared" si="21"/>
        <v>48487</v>
      </c>
      <c r="AW57" s="558">
        <f t="shared" si="21"/>
        <v>48579</v>
      </c>
      <c r="AX57" s="558">
        <f t="shared" si="21"/>
        <v>48669</v>
      </c>
      <c r="AY57" s="558">
        <f t="shared" si="21"/>
        <v>48760</v>
      </c>
      <c r="AZ57" s="558">
        <f t="shared" si="21"/>
        <v>48852</v>
      </c>
      <c r="BA57" s="558">
        <f t="shared" si="21"/>
        <v>48944</v>
      </c>
      <c r="BB57" s="558">
        <f t="shared" si="21"/>
        <v>49034</v>
      </c>
      <c r="BC57" s="558">
        <f t="shared" si="21"/>
        <v>49125</v>
      </c>
      <c r="BD57" s="558">
        <f t="shared" si="21"/>
        <v>49217</v>
      </c>
      <c r="BE57" s="558">
        <f t="shared" si="21"/>
        <v>49309</v>
      </c>
      <c r="BF57" s="558">
        <f t="shared" si="21"/>
        <v>49399</v>
      </c>
      <c r="BG57" s="558">
        <f t="shared" si="21"/>
        <v>49490</v>
      </c>
      <c r="BH57" s="558">
        <f t="shared" si="21"/>
        <v>49582</v>
      </c>
      <c r="BI57" s="558">
        <f t="shared" si="21"/>
        <v>49674</v>
      </c>
      <c r="BJ57" s="558">
        <f t="shared" si="21"/>
        <v>49765</v>
      </c>
      <c r="BK57" s="558">
        <f t="shared" si="21"/>
        <v>49856</v>
      </c>
      <c r="BL57" s="558">
        <f t="shared" si="21"/>
        <v>49948</v>
      </c>
      <c r="BM57" s="558">
        <f t="shared" si="21"/>
        <v>50040</v>
      </c>
      <c r="BN57" s="558">
        <f t="shared" si="21"/>
        <v>50130</v>
      </c>
      <c r="BO57" s="558">
        <f t="shared" si="21"/>
        <v>50221</v>
      </c>
      <c r="BP57" s="558">
        <f t="shared" si="21"/>
        <v>50313</v>
      </c>
      <c r="BQ57" s="558">
        <f t="shared" si="21"/>
        <v>50405</v>
      </c>
      <c r="BR57" s="558">
        <f t="shared" si="21"/>
        <v>50495</v>
      </c>
      <c r="BS57" s="558">
        <f t="shared" si="21"/>
        <v>50586</v>
      </c>
      <c r="BT57" s="558">
        <f t="shared" si="21"/>
        <v>50678</v>
      </c>
      <c r="BU57" s="558">
        <f t="shared" si="21"/>
        <v>50770</v>
      </c>
      <c r="BV57" s="558">
        <f t="shared" si="21"/>
        <v>50860</v>
      </c>
      <c r="BW57" s="558">
        <f t="shared" si="21"/>
        <v>50951</v>
      </c>
      <c r="BX57" s="558">
        <f t="shared" si="21"/>
        <v>51043</v>
      </c>
      <c r="BY57" s="558">
        <f t="shared" si="21"/>
        <v>51135</v>
      </c>
      <c r="BZ57" s="558">
        <f t="shared" si="21"/>
        <v>51226</v>
      </c>
      <c r="CA57" s="558">
        <f t="shared" si="21"/>
        <v>51317</v>
      </c>
      <c r="CB57" s="558">
        <f t="shared" si="21"/>
        <v>51409</v>
      </c>
      <c r="CC57" s="558">
        <f t="shared" si="21"/>
        <v>51501</v>
      </c>
      <c r="CD57" s="558">
        <f t="shared" si="21"/>
        <v>51591</v>
      </c>
      <c r="CE57" s="558">
        <f t="shared" si="21"/>
        <v>51682</v>
      </c>
      <c r="CF57" s="558">
        <f t="shared" si="21"/>
        <v>51774</v>
      </c>
      <c r="CG57" s="558">
        <f t="shared" si="21"/>
        <v>51866</v>
      </c>
      <c r="CH57" s="558">
        <f t="shared" si="21"/>
        <v>51956</v>
      </c>
      <c r="CI57" s="558">
        <f t="shared" si="21"/>
        <v>52047</v>
      </c>
      <c r="CJ57" s="558">
        <f t="shared" si="21"/>
        <v>52139</v>
      </c>
      <c r="CK57" s="558">
        <f t="shared" si="21"/>
        <v>52231</v>
      </c>
      <c r="CL57" s="558">
        <f t="shared" si="21"/>
        <v>52321</v>
      </c>
      <c r="CM57" s="558">
        <f t="shared" si="21"/>
        <v>52412</v>
      </c>
      <c r="CN57" s="558">
        <f t="shared" si="21"/>
        <v>52504</v>
      </c>
      <c r="CO57" s="558">
        <f t="shared" si="21"/>
        <v>52596</v>
      </c>
      <c r="CP57" s="558">
        <f t="shared" si="21"/>
        <v>52687</v>
      </c>
      <c r="CQ57" s="558">
        <f t="shared" si="21"/>
        <v>52778</v>
      </c>
      <c r="CR57" s="558">
        <f t="shared" si="21"/>
        <v>52870</v>
      </c>
      <c r="CS57" s="558">
        <f t="shared" si="21"/>
        <v>52962</v>
      </c>
      <c r="CT57" s="558">
        <f t="shared" si="21"/>
        <v>53052</v>
      </c>
      <c r="CU57" s="558">
        <f t="shared" si="21"/>
        <v>53143</v>
      </c>
      <c r="CV57" s="558">
        <f t="shared" si="21"/>
        <v>53235</v>
      </c>
      <c r="CW57" s="558">
        <f t="shared" si="21"/>
        <v>53327</v>
      </c>
      <c r="CX57" s="558">
        <f t="shared" si="21"/>
        <v>53417</v>
      </c>
      <c r="CY57" s="558">
        <f t="shared" si="21"/>
        <v>53508</v>
      </c>
      <c r="CZ57" s="558">
        <f t="shared" si="21"/>
        <v>53600</v>
      </c>
      <c r="DA57" s="558">
        <f t="shared" si="21"/>
        <v>53692</v>
      </c>
      <c r="DB57" s="558">
        <f t="shared" si="21"/>
        <v>53782</v>
      </c>
      <c r="DC57" s="558">
        <f t="shared" si="21"/>
        <v>53873</v>
      </c>
      <c r="DD57" s="558">
        <f t="shared" si="21"/>
        <v>53965</v>
      </c>
      <c r="DE57" s="558">
        <f t="shared" si="21"/>
        <v>54057</v>
      </c>
      <c r="DF57" s="558">
        <f t="shared" si="21"/>
        <v>54148</v>
      </c>
      <c r="DG57" s="558">
        <f t="shared" si="21"/>
        <v>54239</v>
      </c>
      <c r="DH57" s="558">
        <f t="shared" si="21"/>
        <v>54331</v>
      </c>
      <c r="DI57" s="558">
        <f t="shared" si="21"/>
        <v>54423</v>
      </c>
      <c r="DJ57" s="558">
        <f t="shared" si="21"/>
        <v>54513</v>
      </c>
      <c r="DK57" s="558">
        <f t="shared" si="21"/>
        <v>54604</v>
      </c>
      <c r="DL57" s="558">
        <f t="shared" si="21"/>
        <v>54696</v>
      </c>
      <c r="DM57" s="558">
        <f t="shared" si="21"/>
        <v>54788</v>
      </c>
      <c r="DN57" s="558">
        <f t="shared" si="21"/>
        <v>54878</v>
      </c>
      <c r="DO57" s="558">
        <f t="shared" si="21"/>
        <v>54969</v>
      </c>
      <c r="DP57" s="558">
        <f t="shared" si="21"/>
        <v>55061</v>
      </c>
      <c r="DQ57" s="558">
        <f t="shared" si="21"/>
        <v>55153</v>
      </c>
      <c r="DR57" s="558">
        <f t="shared" si="21"/>
        <v>55243</v>
      </c>
      <c r="DS57" s="558">
        <f t="shared" si="21"/>
        <v>55334</v>
      </c>
      <c r="DT57" s="558">
        <f t="shared" si="21"/>
        <v>55426</v>
      </c>
      <c r="DU57" s="558">
        <f t="shared" si="21"/>
        <v>55518</v>
      </c>
      <c r="DV57" s="558">
        <f t="shared" si="21"/>
        <v>55609</v>
      </c>
      <c r="DW57" s="558">
        <f t="shared" si="21"/>
        <v>55700</v>
      </c>
      <c r="DX57" s="558">
        <f t="shared" si="21"/>
        <v>55792</v>
      </c>
      <c r="DY57" s="558">
        <f t="shared" si="21"/>
        <v>55884</v>
      </c>
      <c r="DZ57" s="558">
        <f t="shared" si="21"/>
        <v>55974</v>
      </c>
      <c r="EA57" s="558">
        <f t="shared" si="21"/>
        <v>56065</v>
      </c>
      <c r="EB57" s="558">
        <f t="shared" si="21"/>
        <v>56157</v>
      </c>
      <c r="EC57" s="558">
        <f t="shared" si="21"/>
        <v>56249</v>
      </c>
      <c r="ED57" s="558">
        <f t="shared" si="21"/>
        <v>56339</v>
      </c>
      <c r="EE57" s="558">
        <f t="shared" si="21"/>
        <v>56430</v>
      </c>
      <c r="EF57" s="558">
        <f t="shared" si="21"/>
        <v>56522</v>
      </c>
      <c r="EG57" s="558">
        <f t="shared" si="21"/>
        <v>56614</v>
      </c>
    </row>
    <row r="58" spans="5:137" ht="12.75">
      <c r="E58" s="540" t="s">
        <v>168</v>
      </c>
      <c r="G58" s="541" t="s">
        <v>158</v>
      </c>
      <c r="H58" s="541">
        <f>SUM(J58:EG58)</f>
        <v>1</v>
      </c>
      <c r="J58" s="541">
        <f t="shared" si="22" ref="J58:EG58">IF(AND(I57&lt;$F56,J57&gt;=$F56),1,0)</f>
        <v>0</v>
      </c>
      <c r="K58" s="541">
        <f t="shared" si="22"/>
        <v>0</v>
      </c>
      <c r="L58" s="541">
        <f t="shared" si="22"/>
        <v>1</v>
      </c>
      <c r="M58" s="541">
        <f t="shared" si="22"/>
        <v>0</v>
      </c>
      <c r="N58" s="541">
        <f t="shared" si="22"/>
        <v>0</v>
      </c>
      <c r="O58" s="541">
        <f t="shared" si="22"/>
        <v>0</v>
      </c>
      <c r="P58" s="541">
        <f t="shared" si="22"/>
        <v>0</v>
      </c>
      <c r="Q58" s="541">
        <f t="shared" si="22"/>
        <v>0</v>
      </c>
      <c r="R58" s="541">
        <f t="shared" si="22"/>
        <v>0</v>
      </c>
      <c r="S58" s="541">
        <f t="shared" si="22"/>
        <v>0</v>
      </c>
      <c r="T58" s="541">
        <f t="shared" si="22"/>
        <v>0</v>
      </c>
      <c r="U58" s="541">
        <f t="shared" si="22"/>
        <v>0</v>
      </c>
      <c r="V58" s="541">
        <f t="shared" si="22"/>
        <v>0</v>
      </c>
      <c r="W58" s="541">
        <f t="shared" si="22"/>
        <v>0</v>
      </c>
      <c r="X58" s="541">
        <f t="shared" si="22"/>
        <v>0</v>
      </c>
      <c r="Y58" s="541">
        <f t="shared" si="22"/>
        <v>0</v>
      </c>
      <c r="Z58" s="541">
        <f t="shared" si="22"/>
        <v>0</v>
      </c>
      <c r="AA58" s="541">
        <f t="shared" si="22"/>
        <v>0</v>
      </c>
      <c r="AB58" s="541">
        <f t="shared" si="22"/>
        <v>0</v>
      </c>
      <c r="AC58" s="541">
        <f t="shared" si="22"/>
        <v>0</v>
      </c>
      <c r="AD58" s="541">
        <f t="shared" si="22"/>
        <v>0</v>
      </c>
      <c r="AE58" s="541">
        <f t="shared" si="22"/>
        <v>0</v>
      </c>
      <c r="AF58" s="541">
        <f t="shared" si="22"/>
        <v>0</v>
      </c>
      <c r="AG58" s="541">
        <f t="shared" si="22"/>
        <v>0</v>
      </c>
      <c r="AH58" s="541">
        <f t="shared" si="22"/>
        <v>0</v>
      </c>
      <c r="AI58" s="541">
        <f t="shared" si="22"/>
        <v>0</v>
      </c>
      <c r="AJ58" s="541">
        <f t="shared" si="22"/>
        <v>0</v>
      </c>
      <c r="AK58" s="541">
        <f t="shared" si="22"/>
        <v>0</v>
      </c>
      <c r="AL58" s="541">
        <f t="shared" si="22"/>
        <v>0</v>
      </c>
      <c r="AM58" s="541">
        <f t="shared" si="22"/>
        <v>0</v>
      </c>
      <c r="AN58" s="541">
        <f t="shared" si="22"/>
        <v>0</v>
      </c>
      <c r="AO58" s="541">
        <f t="shared" si="22"/>
        <v>0</v>
      </c>
      <c r="AP58" s="541">
        <f t="shared" si="22"/>
        <v>0</v>
      </c>
      <c r="AQ58" s="541">
        <f t="shared" si="22"/>
        <v>0</v>
      </c>
      <c r="AR58" s="541">
        <f t="shared" si="22"/>
        <v>0</v>
      </c>
      <c r="AS58" s="541">
        <f t="shared" si="22"/>
        <v>0</v>
      </c>
      <c r="AT58" s="541">
        <f t="shared" si="22"/>
        <v>0</v>
      </c>
      <c r="AU58" s="541">
        <f t="shared" si="22"/>
        <v>0</v>
      </c>
      <c r="AV58" s="541">
        <f t="shared" si="22"/>
        <v>0</v>
      </c>
      <c r="AW58" s="541">
        <f t="shared" si="22"/>
        <v>0</v>
      </c>
      <c r="AX58" s="541">
        <f t="shared" si="22"/>
        <v>0</v>
      </c>
      <c r="AY58" s="541">
        <f t="shared" si="22"/>
        <v>0</v>
      </c>
      <c r="AZ58" s="541">
        <f t="shared" si="22"/>
        <v>0</v>
      </c>
      <c r="BA58" s="541">
        <f t="shared" si="22"/>
        <v>0</v>
      </c>
      <c r="BB58" s="541">
        <f t="shared" si="22"/>
        <v>0</v>
      </c>
      <c r="BC58" s="541">
        <f t="shared" si="22"/>
        <v>0</v>
      </c>
      <c r="BD58" s="541">
        <f t="shared" si="22"/>
        <v>0</v>
      </c>
      <c r="BE58" s="541">
        <f t="shared" si="22"/>
        <v>0</v>
      </c>
      <c r="BF58" s="541">
        <f t="shared" si="22"/>
        <v>0</v>
      </c>
      <c r="BG58" s="541">
        <f t="shared" si="22"/>
        <v>0</v>
      </c>
      <c r="BH58" s="541">
        <f t="shared" si="22"/>
        <v>0</v>
      </c>
      <c r="BI58" s="541">
        <f t="shared" si="22"/>
        <v>0</v>
      </c>
      <c r="BJ58" s="541">
        <f t="shared" si="22"/>
        <v>0</v>
      </c>
      <c r="BK58" s="541">
        <f t="shared" si="22"/>
        <v>0</v>
      </c>
      <c r="BL58" s="541">
        <f t="shared" si="22"/>
        <v>0</v>
      </c>
      <c r="BM58" s="541">
        <f t="shared" si="22"/>
        <v>0</v>
      </c>
      <c r="BN58" s="541">
        <f t="shared" si="22"/>
        <v>0</v>
      </c>
      <c r="BO58" s="541">
        <f t="shared" si="22"/>
        <v>0</v>
      </c>
      <c r="BP58" s="541">
        <f t="shared" si="22"/>
        <v>0</v>
      </c>
      <c r="BQ58" s="541">
        <f t="shared" si="22"/>
        <v>0</v>
      </c>
      <c r="BR58" s="541">
        <f t="shared" si="22"/>
        <v>0</v>
      </c>
      <c r="BS58" s="541">
        <f t="shared" si="22"/>
        <v>0</v>
      </c>
      <c r="BT58" s="541">
        <f t="shared" si="22"/>
        <v>0</v>
      </c>
      <c r="BU58" s="541">
        <f t="shared" si="22"/>
        <v>0</v>
      </c>
      <c r="BV58" s="541">
        <f t="shared" si="22"/>
        <v>0</v>
      </c>
      <c r="BW58" s="541">
        <f t="shared" si="22"/>
        <v>0</v>
      </c>
      <c r="BX58" s="541">
        <f t="shared" si="22"/>
        <v>0</v>
      </c>
      <c r="BY58" s="541">
        <f t="shared" si="22"/>
        <v>0</v>
      </c>
      <c r="BZ58" s="541">
        <f t="shared" si="22"/>
        <v>0</v>
      </c>
      <c r="CA58" s="541">
        <f t="shared" si="22"/>
        <v>0</v>
      </c>
      <c r="CB58" s="541">
        <f t="shared" si="22"/>
        <v>0</v>
      </c>
      <c r="CC58" s="541">
        <f t="shared" si="22"/>
        <v>0</v>
      </c>
      <c r="CD58" s="541">
        <f t="shared" si="22"/>
        <v>0</v>
      </c>
      <c r="CE58" s="541">
        <f t="shared" si="22"/>
        <v>0</v>
      </c>
      <c r="CF58" s="541">
        <f t="shared" si="22"/>
        <v>0</v>
      </c>
      <c r="CG58" s="541">
        <f t="shared" si="22"/>
        <v>0</v>
      </c>
      <c r="CH58" s="541">
        <f t="shared" si="22"/>
        <v>0</v>
      </c>
      <c r="CI58" s="541">
        <f t="shared" si="22"/>
        <v>0</v>
      </c>
      <c r="CJ58" s="541">
        <f t="shared" si="22"/>
        <v>0</v>
      </c>
      <c r="CK58" s="541">
        <f t="shared" si="22"/>
        <v>0</v>
      </c>
      <c r="CL58" s="541">
        <f t="shared" si="22"/>
        <v>0</v>
      </c>
      <c r="CM58" s="541">
        <f t="shared" si="22"/>
        <v>0</v>
      </c>
      <c r="CN58" s="541">
        <f t="shared" si="22"/>
        <v>0</v>
      </c>
      <c r="CO58" s="541">
        <f t="shared" si="22"/>
        <v>0</v>
      </c>
      <c r="CP58" s="541">
        <f t="shared" si="22"/>
        <v>0</v>
      </c>
      <c r="CQ58" s="541">
        <f t="shared" si="22"/>
        <v>0</v>
      </c>
      <c r="CR58" s="541">
        <f t="shared" si="22"/>
        <v>0</v>
      </c>
      <c r="CS58" s="541">
        <f t="shared" si="22"/>
        <v>0</v>
      </c>
      <c r="CT58" s="541">
        <f t="shared" si="22"/>
        <v>0</v>
      </c>
      <c r="CU58" s="541">
        <f t="shared" si="22"/>
        <v>0</v>
      </c>
      <c r="CV58" s="541">
        <f t="shared" si="22"/>
        <v>0</v>
      </c>
      <c r="CW58" s="541">
        <f t="shared" si="22"/>
        <v>0</v>
      </c>
      <c r="CX58" s="541">
        <f t="shared" si="22"/>
        <v>0</v>
      </c>
      <c r="CY58" s="541">
        <f t="shared" si="22"/>
        <v>0</v>
      </c>
      <c r="CZ58" s="541">
        <f t="shared" si="22"/>
        <v>0</v>
      </c>
      <c r="DA58" s="541">
        <f t="shared" si="22"/>
        <v>0</v>
      </c>
      <c r="DB58" s="541">
        <f t="shared" si="22"/>
        <v>0</v>
      </c>
      <c r="DC58" s="541">
        <f t="shared" si="22"/>
        <v>0</v>
      </c>
      <c r="DD58" s="541">
        <f t="shared" si="22"/>
        <v>0</v>
      </c>
      <c r="DE58" s="541">
        <f t="shared" si="22"/>
        <v>0</v>
      </c>
      <c r="DF58" s="541">
        <f t="shared" si="22"/>
        <v>0</v>
      </c>
      <c r="DG58" s="541">
        <f t="shared" si="22"/>
        <v>0</v>
      </c>
      <c r="DH58" s="541">
        <f t="shared" si="22"/>
        <v>0</v>
      </c>
      <c r="DI58" s="541">
        <f t="shared" si="22"/>
        <v>0</v>
      </c>
      <c r="DJ58" s="541">
        <f t="shared" si="22"/>
        <v>0</v>
      </c>
      <c r="DK58" s="541">
        <f t="shared" si="22"/>
        <v>0</v>
      </c>
      <c r="DL58" s="541">
        <f t="shared" si="22"/>
        <v>0</v>
      </c>
      <c r="DM58" s="541">
        <f t="shared" si="22"/>
        <v>0</v>
      </c>
      <c r="DN58" s="541">
        <f t="shared" si="22"/>
        <v>0</v>
      </c>
      <c r="DO58" s="541">
        <f t="shared" si="22"/>
        <v>0</v>
      </c>
      <c r="DP58" s="541">
        <f t="shared" si="22"/>
        <v>0</v>
      </c>
      <c r="DQ58" s="541">
        <f t="shared" si="22"/>
        <v>0</v>
      </c>
      <c r="DR58" s="541">
        <f t="shared" si="22"/>
        <v>0</v>
      </c>
      <c r="DS58" s="541">
        <f t="shared" si="22"/>
        <v>0</v>
      </c>
      <c r="DT58" s="541">
        <f t="shared" si="22"/>
        <v>0</v>
      </c>
      <c r="DU58" s="541">
        <f t="shared" si="22"/>
        <v>0</v>
      </c>
      <c r="DV58" s="541">
        <f t="shared" si="22"/>
        <v>0</v>
      </c>
      <c r="DW58" s="541">
        <f t="shared" si="22"/>
        <v>0</v>
      </c>
      <c r="DX58" s="541">
        <f t="shared" si="22"/>
        <v>0</v>
      </c>
      <c r="DY58" s="541">
        <f t="shared" si="22"/>
        <v>0</v>
      </c>
      <c r="DZ58" s="541">
        <f t="shared" si="22"/>
        <v>0</v>
      </c>
      <c r="EA58" s="541">
        <f t="shared" si="22"/>
        <v>0</v>
      </c>
      <c r="EB58" s="541">
        <f t="shared" si="22"/>
        <v>0</v>
      </c>
      <c r="EC58" s="541">
        <f t="shared" si="22"/>
        <v>0</v>
      </c>
      <c r="ED58" s="541">
        <f t="shared" si="22"/>
        <v>0</v>
      </c>
      <c r="EE58" s="541">
        <f t="shared" si="22"/>
        <v>0</v>
      </c>
      <c r="EF58" s="541">
        <f t="shared" si="22"/>
        <v>0</v>
      </c>
      <c r="EG58" s="541">
        <f t="shared" si="22"/>
        <v>0</v>
      </c>
    </row>
    <row r="60" spans="2:2" ht="12.75">
      <c r="B60" s="534" t="s">
        <v>169</v>
      </c>
    </row>
    <row r="61" spans="5:137" ht="12.75">
      <c r="E61" s="538" t="str">
        <f>E$58</f>
        <v>Financial close date flag</v>
      </c>
      <c r="G61" s="539" t="str">
        <f>G$58</f>
        <v>flag</v>
      </c>
      <c r="H61" s="539">
        <f>H$58</f>
        <v>1</v>
      </c>
      <c r="J61" s="539">
        <f t="shared" si="23" ref="J61:EG61">J$58</f>
        <v>0</v>
      </c>
      <c r="K61" s="539">
        <f t="shared" si="23"/>
        <v>0</v>
      </c>
      <c r="L61" s="539">
        <f t="shared" si="23"/>
        <v>1</v>
      </c>
      <c r="M61" s="539">
        <f t="shared" si="23"/>
        <v>0</v>
      </c>
      <c r="N61" s="539">
        <f t="shared" si="23"/>
        <v>0</v>
      </c>
      <c r="O61" s="539">
        <f t="shared" si="23"/>
        <v>0</v>
      </c>
      <c r="P61" s="539">
        <f t="shared" si="23"/>
        <v>0</v>
      </c>
      <c r="Q61" s="539">
        <f t="shared" si="23"/>
        <v>0</v>
      </c>
      <c r="R61" s="539">
        <f t="shared" si="23"/>
        <v>0</v>
      </c>
      <c r="S61" s="539">
        <f t="shared" si="23"/>
        <v>0</v>
      </c>
      <c r="T61" s="539">
        <f t="shared" si="23"/>
        <v>0</v>
      </c>
      <c r="U61" s="539">
        <f t="shared" si="23"/>
        <v>0</v>
      </c>
      <c r="V61" s="539">
        <f t="shared" si="23"/>
        <v>0</v>
      </c>
      <c r="W61" s="539">
        <f t="shared" si="23"/>
        <v>0</v>
      </c>
      <c r="X61" s="539">
        <f t="shared" si="23"/>
        <v>0</v>
      </c>
      <c r="Y61" s="539">
        <f t="shared" si="23"/>
        <v>0</v>
      </c>
      <c r="Z61" s="539">
        <f t="shared" si="23"/>
        <v>0</v>
      </c>
      <c r="AA61" s="539">
        <f t="shared" si="23"/>
        <v>0</v>
      </c>
      <c r="AB61" s="539">
        <f t="shared" si="23"/>
        <v>0</v>
      </c>
      <c r="AC61" s="539">
        <f t="shared" si="23"/>
        <v>0</v>
      </c>
      <c r="AD61" s="539">
        <f t="shared" si="23"/>
        <v>0</v>
      </c>
      <c r="AE61" s="539">
        <f t="shared" si="23"/>
        <v>0</v>
      </c>
      <c r="AF61" s="539">
        <f t="shared" si="23"/>
        <v>0</v>
      </c>
      <c r="AG61" s="539">
        <f t="shared" si="23"/>
        <v>0</v>
      </c>
      <c r="AH61" s="539">
        <f t="shared" si="23"/>
        <v>0</v>
      </c>
      <c r="AI61" s="539">
        <f t="shared" si="23"/>
        <v>0</v>
      </c>
      <c r="AJ61" s="539">
        <f t="shared" si="23"/>
        <v>0</v>
      </c>
      <c r="AK61" s="539">
        <f t="shared" si="23"/>
        <v>0</v>
      </c>
      <c r="AL61" s="539">
        <f t="shared" si="23"/>
        <v>0</v>
      </c>
      <c r="AM61" s="539">
        <f t="shared" si="23"/>
        <v>0</v>
      </c>
      <c r="AN61" s="539">
        <f t="shared" si="23"/>
        <v>0</v>
      </c>
      <c r="AO61" s="539">
        <f t="shared" si="23"/>
        <v>0</v>
      </c>
      <c r="AP61" s="539">
        <f t="shared" si="23"/>
        <v>0</v>
      </c>
      <c r="AQ61" s="539">
        <f t="shared" si="23"/>
        <v>0</v>
      </c>
      <c r="AR61" s="539">
        <f t="shared" si="23"/>
        <v>0</v>
      </c>
      <c r="AS61" s="539">
        <f t="shared" si="23"/>
        <v>0</v>
      </c>
      <c r="AT61" s="539">
        <f t="shared" si="23"/>
        <v>0</v>
      </c>
      <c r="AU61" s="539">
        <f t="shared" si="23"/>
        <v>0</v>
      </c>
      <c r="AV61" s="539">
        <f t="shared" si="23"/>
        <v>0</v>
      </c>
      <c r="AW61" s="539">
        <f t="shared" si="23"/>
        <v>0</v>
      </c>
      <c r="AX61" s="539">
        <f t="shared" si="23"/>
        <v>0</v>
      </c>
      <c r="AY61" s="539">
        <f t="shared" si="23"/>
        <v>0</v>
      </c>
      <c r="AZ61" s="539">
        <f t="shared" si="23"/>
        <v>0</v>
      </c>
      <c r="BA61" s="539">
        <f t="shared" si="23"/>
        <v>0</v>
      </c>
      <c r="BB61" s="539">
        <f t="shared" si="23"/>
        <v>0</v>
      </c>
      <c r="BC61" s="539">
        <f t="shared" si="23"/>
        <v>0</v>
      </c>
      <c r="BD61" s="539">
        <f t="shared" si="23"/>
        <v>0</v>
      </c>
      <c r="BE61" s="539">
        <f t="shared" si="23"/>
        <v>0</v>
      </c>
      <c r="BF61" s="539">
        <f t="shared" si="23"/>
        <v>0</v>
      </c>
      <c r="BG61" s="539">
        <f t="shared" si="23"/>
        <v>0</v>
      </c>
      <c r="BH61" s="539">
        <f t="shared" si="23"/>
        <v>0</v>
      </c>
      <c r="BI61" s="539">
        <f t="shared" si="23"/>
        <v>0</v>
      </c>
      <c r="BJ61" s="539">
        <f t="shared" si="23"/>
        <v>0</v>
      </c>
      <c r="BK61" s="539">
        <f t="shared" si="23"/>
        <v>0</v>
      </c>
      <c r="BL61" s="539">
        <f t="shared" si="23"/>
        <v>0</v>
      </c>
      <c r="BM61" s="539">
        <f t="shared" si="23"/>
        <v>0</v>
      </c>
      <c r="BN61" s="539">
        <f t="shared" si="23"/>
        <v>0</v>
      </c>
      <c r="BO61" s="539">
        <f t="shared" si="23"/>
        <v>0</v>
      </c>
      <c r="BP61" s="539">
        <f t="shared" si="23"/>
        <v>0</v>
      </c>
      <c r="BQ61" s="539">
        <f t="shared" si="23"/>
        <v>0</v>
      </c>
      <c r="BR61" s="539">
        <f t="shared" si="23"/>
        <v>0</v>
      </c>
      <c r="BS61" s="539">
        <f t="shared" si="23"/>
        <v>0</v>
      </c>
      <c r="BT61" s="539">
        <f t="shared" si="23"/>
        <v>0</v>
      </c>
      <c r="BU61" s="539">
        <f t="shared" si="23"/>
        <v>0</v>
      </c>
      <c r="BV61" s="539">
        <f t="shared" si="23"/>
        <v>0</v>
      </c>
      <c r="BW61" s="539">
        <f t="shared" si="23"/>
        <v>0</v>
      </c>
      <c r="BX61" s="539">
        <f t="shared" si="23"/>
        <v>0</v>
      </c>
      <c r="BY61" s="539">
        <f t="shared" si="23"/>
        <v>0</v>
      </c>
      <c r="BZ61" s="539">
        <f t="shared" si="23"/>
        <v>0</v>
      </c>
      <c r="CA61" s="539">
        <f t="shared" si="23"/>
        <v>0</v>
      </c>
      <c r="CB61" s="539">
        <f t="shared" si="23"/>
        <v>0</v>
      </c>
      <c r="CC61" s="539">
        <f t="shared" si="23"/>
        <v>0</v>
      </c>
      <c r="CD61" s="539">
        <f t="shared" si="23"/>
        <v>0</v>
      </c>
      <c r="CE61" s="539">
        <f t="shared" si="23"/>
        <v>0</v>
      </c>
      <c r="CF61" s="539">
        <f t="shared" si="23"/>
        <v>0</v>
      </c>
      <c r="CG61" s="539">
        <f t="shared" si="23"/>
        <v>0</v>
      </c>
      <c r="CH61" s="539">
        <f t="shared" si="23"/>
        <v>0</v>
      </c>
      <c r="CI61" s="539">
        <f t="shared" si="23"/>
        <v>0</v>
      </c>
      <c r="CJ61" s="539">
        <f t="shared" si="23"/>
        <v>0</v>
      </c>
      <c r="CK61" s="539">
        <f t="shared" si="23"/>
        <v>0</v>
      </c>
      <c r="CL61" s="539">
        <f t="shared" si="23"/>
        <v>0</v>
      </c>
      <c r="CM61" s="539">
        <f t="shared" si="23"/>
        <v>0</v>
      </c>
      <c r="CN61" s="539">
        <f t="shared" si="23"/>
        <v>0</v>
      </c>
      <c r="CO61" s="539">
        <f t="shared" si="23"/>
        <v>0</v>
      </c>
      <c r="CP61" s="539">
        <f t="shared" si="23"/>
        <v>0</v>
      </c>
      <c r="CQ61" s="539">
        <f t="shared" si="23"/>
        <v>0</v>
      </c>
      <c r="CR61" s="539">
        <f t="shared" si="23"/>
        <v>0</v>
      </c>
      <c r="CS61" s="539">
        <f t="shared" si="23"/>
        <v>0</v>
      </c>
      <c r="CT61" s="539">
        <f t="shared" si="23"/>
        <v>0</v>
      </c>
      <c r="CU61" s="539">
        <f t="shared" si="23"/>
        <v>0</v>
      </c>
      <c r="CV61" s="539">
        <f t="shared" si="23"/>
        <v>0</v>
      </c>
      <c r="CW61" s="539">
        <f t="shared" si="23"/>
        <v>0</v>
      </c>
      <c r="CX61" s="539">
        <f t="shared" si="23"/>
        <v>0</v>
      </c>
      <c r="CY61" s="539">
        <f t="shared" si="23"/>
        <v>0</v>
      </c>
      <c r="CZ61" s="539">
        <f t="shared" si="23"/>
        <v>0</v>
      </c>
      <c r="DA61" s="539">
        <f t="shared" si="23"/>
        <v>0</v>
      </c>
      <c r="DB61" s="539">
        <f t="shared" si="23"/>
        <v>0</v>
      </c>
      <c r="DC61" s="539">
        <f t="shared" si="23"/>
        <v>0</v>
      </c>
      <c r="DD61" s="539">
        <f t="shared" si="23"/>
        <v>0</v>
      </c>
      <c r="DE61" s="539">
        <f t="shared" si="23"/>
        <v>0</v>
      </c>
      <c r="DF61" s="539">
        <f t="shared" si="23"/>
        <v>0</v>
      </c>
      <c r="DG61" s="539">
        <f t="shared" si="23"/>
        <v>0</v>
      </c>
      <c r="DH61" s="539">
        <f t="shared" si="23"/>
        <v>0</v>
      </c>
      <c r="DI61" s="539">
        <f t="shared" si="23"/>
        <v>0</v>
      </c>
      <c r="DJ61" s="539">
        <f t="shared" si="23"/>
        <v>0</v>
      </c>
      <c r="DK61" s="539">
        <f t="shared" si="23"/>
        <v>0</v>
      </c>
      <c r="DL61" s="539">
        <f t="shared" si="23"/>
        <v>0</v>
      </c>
      <c r="DM61" s="539">
        <f t="shared" si="23"/>
        <v>0</v>
      </c>
      <c r="DN61" s="539">
        <f t="shared" si="23"/>
        <v>0</v>
      </c>
      <c r="DO61" s="539">
        <f t="shared" si="23"/>
        <v>0</v>
      </c>
      <c r="DP61" s="539">
        <f t="shared" si="23"/>
        <v>0</v>
      </c>
      <c r="DQ61" s="539">
        <f t="shared" si="23"/>
        <v>0</v>
      </c>
      <c r="DR61" s="539">
        <f t="shared" si="23"/>
        <v>0</v>
      </c>
      <c r="DS61" s="539">
        <f t="shared" si="23"/>
        <v>0</v>
      </c>
      <c r="DT61" s="539">
        <f t="shared" si="23"/>
        <v>0</v>
      </c>
      <c r="DU61" s="539">
        <f t="shared" si="23"/>
        <v>0</v>
      </c>
      <c r="DV61" s="539">
        <f t="shared" si="23"/>
        <v>0</v>
      </c>
      <c r="DW61" s="539">
        <f t="shared" si="23"/>
        <v>0</v>
      </c>
      <c r="DX61" s="539">
        <f t="shared" si="23"/>
        <v>0</v>
      </c>
      <c r="DY61" s="539">
        <f t="shared" si="23"/>
        <v>0</v>
      </c>
      <c r="DZ61" s="539">
        <f t="shared" si="23"/>
        <v>0</v>
      </c>
      <c r="EA61" s="539">
        <f t="shared" si="23"/>
        <v>0</v>
      </c>
      <c r="EB61" s="539">
        <f t="shared" si="23"/>
        <v>0</v>
      </c>
      <c r="EC61" s="539">
        <f t="shared" si="23"/>
        <v>0</v>
      </c>
      <c r="ED61" s="539">
        <f t="shared" si="23"/>
        <v>0</v>
      </c>
      <c r="EE61" s="539">
        <f t="shared" si="23"/>
        <v>0</v>
      </c>
      <c r="EF61" s="539">
        <f t="shared" si="23"/>
        <v>0</v>
      </c>
      <c r="EG61" s="539">
        <f t="shared" si="23"/>
        <v>0</v>
      </c>
    </row>
    <row r="62" spans="5:137" ht="12.75">
      <c r="E62" s="538" t="s">
        <v>169</v>
      </c>
      <c r="G62" s="539" t="s">
        <v>158</v>
      </c>
      <c r="H62" s="539">
        <f>SUM(J62:EG62)</f>
        <v>1</v>
      </c>
      <c r="J62" s="539">
        <f t="shared" si="24" ref="J62:EG62">I61</f>
        <v>0</v>
      </c>
      <c r="K62" s="539">
        <f t="shared" si="24"/>
        <v>0</v>
      </c>
      <c r="L62" s="539">
        <f t="shared" si="24"/>
        <v>0</v>
      </c>
      <c r="M62" s="539">
        <f t="shared" si="24"/>
        <v>1</v>
      </c>
      <c r="N62" s="539">
        <f t="shared" si="24"/>
        <v>0</v>
      </c>
      <c r="O62" s="539">
        <f t="shared" si="24"/>
        <v>0</v>
      </c>
      <c r="P62" s="539">
        <f t="shared" si="24"/>
        <v>0</v>
      </c>
      <c r="Q62" s="539">
        <f t="shared" si="24"/>
        <v>0</v>
      </c>
      <c r="R62" s="539">
        <f t="shared" si="24"/>
        <v>0</v>
      </c>
      <c r="S62" s="539">
        <f t="shared" si="24"/>
        <v>0</v>
      </c>
      <c r="T62" s="539">
        <f t="shared" si="24"/>
        <v>0</v>
      </c>
      <c r="U62" s="539">
        <f t="shared" si="24"/>
        <v>0</v>
      </c>
      <c r="V62" s="539">
        <f t="shared" si="24"/>
        <v>0</v>
      </c>
      <c r="W62" s="539">
        <f t="shared" si="24"/>
        <v>0</v>
      </c>
      <c r="X62" s="539">
        <f t="shared" si="24"/>
        <v>0</v>
      </c>
      <c r="Y62" s="539">
        <f t="shared" si="24"/>
        <v>0</v>
      </c>
      <c r="Z62" s="539">
        <f t="shared" si="24"/>
        <v>0</v>
      </c>
      <c r="AA62" s="539">
        <f t="shared" si="24"/>
        <v>0</v>
      </c>
      <c r="AB62" s="539">
        <f t="shared" si="24"/>
        <v>0</v>
      </c>
      <c r="AC62" s="539">
        <f t="shared" si="24"/>
        <v>0</v>
      </c>
      <c r="AD62" s="539">
        <f t="shared" si="24"/>
        <v>0</v>
      </c>
      <c r="AE62" s="539">
        <f t="shared" si="24"/>
        <v>0</v>
      </c>
      <c r="AF62" s="539">
        <f t="shared" si="24"/>
        <v>0</v>
      </c>
      <c r="AG62" s="539">
        <f t="shared" si="24"/>
        <v>0</v>
      </c>
      <c r="AH62" s="539">
        <f t="shared" si="24"/>
        <v>0</v>
      </c>
      <c r="AI62" s="539">
        <f t="shared" si="24"/>
        <v>0</v>
      </c>
      <c r="AJ62" s="539">
        <f t="shared" si="24"/>
        <v>0</v>
      </c>
      <c r="AK62" s="539">
        <f t="shared" si="24"/>
        <v>0</v>
      </c>
      <c r="AL62" s="539">
        <f t="shared" si="24"/>
        <v>0</v>
      </c>
      <c r="AM62" s="539">
        <f t="shared" si="24"/>
        <v>0</v>
      </c>
      <c r="AN62" s="539">
        <f t="shared" si="24"/>
        <v>0</v>
      </c>
      <c r="AO62" s="539">
        <f t="shared" si="24"/>
        <v>0</v>
      </c>
      <c r="AP62" s="539">
        <f t="shared" si="24"/>
        <v>0</v>
      </c>
      <c r="AQ62" s="539">
        <f t="shared" si="24"/>
        <v>0</v>
      </c>
      <c r="AR62" s="539">
        <f t="shared" si="24"/>
        <v>0</v>
      </c>
      <c r="AS62" s="539">
        <f t="shared" si="24"/>
        <v>0</v>
      </c>
      <c r="AT62" s="539">
        <f t="shared" si="24"/>
        <v>0</v>
      </c>
      <c r="AU62" s="539">
        <f t="shared" si="24"/>
        <v>0</v>
      </c>
      <c r="AV62" s="539">
        <f t="shared" si="24"/>
        <v>0</v>
      </c>
      <c r="AW62" s="539">
        <f t="shared" si="24"/>
        <v>0</v>
      </c>
      <c r="AX62" s="539">
        <f t="shared" si="24"/>
        <v>0</v>
      </c>
      <c r="AY62" s="539">
        <f t="shared" si="24"/>
        <v>0</v>
      </c>
      <c r="AZ62" s="539">
        <f t="shared" si="24"/>
        <v>0</v>
      </c>
      <c r="BA62" s="539">
        <f t="shared" si="24"/>
        <v>0</v>
      </c>
      <c r="BB62" s="539">
        <f t="shared" si="24"/>
        <v>0</v>
      </c>
      <c r="BC62" s="539">
        <f t="shared" si="24"/>
        <v>0</v>
      </c>
      <c r="BD62" s="539">
        <f t="shared" si="24"/>
        <v>0</v>
      </c>
      <c r="BE62" s="539">
        <f t="shared" si="24"/>
        <v>0</v>
      </c>
      <c r="BF62" s="539">
        <f t="shared" si="24"/>
        <v>0</v>
      </c>
      <c r="BG62" s="539">
        <f t="shared" si="24"/>
        <v>0</v>
      </c>
      <c r="BH62" s="539">
        <f t="shared" si="24"/>
        <v>0</v>
      </c>
      <c r="BI62" s="539">
        <f t="shared" si="24"/>
        <v>0</v>
      </c>
      <c r="BJ62" s="539">
        <f t="shared" si="24"/>
        <v>0</v>
      </c>
      <c r="BK62" s="539">
        <f t="shared" si="24"/>
        <v>0</v>
      </c>
      <c r="BL62" s="539">
        <f t="shared" si="24"/>
        <v>0</v>
      </c>
      <c r="BM62" s="539">
        <f t="shared" si="24"/>
        <v>0</v>
      </c>
      <c r="BN62" s="539">
        <f t="shared" si="24"/>
        <v>0</v>
      </c>
      <c r="BO62" s="539">
        <f t="shared" si="24"/>
        <v>0</v>
      </c>
      <c r="BP62" s="539">
        <f t="shared" si="24"/>
        <v>0</v>
      </c>
      <c r="BQ62" s="539">
        <f t="shared" si="24"/>
        <v>0</v>
      </c>
      <c r="BR62" s="539">
        <f t="shared" si="24"/>
        <v>0</v>
      </c>
      <c r="BS62" s="539">
        <f t="shared" si="24"/>
        <v>0</v>
      </c>
      <c r="BT62" s="539">
        <f t="shared" si="24"/>
        <v>0</v>
      </c>
      <c r="BU62" s="539">
        <f t="shared" si="24"/>
        <v>0</v>
      </c>
      <c r="BV62" s="539">
        <f t="shared" si="24"/>
        <v>0</v>
      </c>
      <c r="BW62" s="539">
        <f t="shared" si="24"/>
        <v>0</v>
      </c>
      <c r="BX62" s="539">
        <f t="shared" si="24"/>
        <v>0</v>
      </c>
      <c r="BY62" s="539">
        <f t="shared" si="24"/>
        <v>0</v>
      </c>
      <c r="BZ62" s="539">
        <f t="shared" si="24"/>
        <v>0</v>
      </c>
      <c r="CA62" s="539">
        <f t="shared" si="24"/>
        <v>0</v>
      </c>
      <c r="CB62" s="539">
        <f t="shared" si="24"/>
        <v>0</v>
      </c>
      <c r="CC62" s="539">
        <f t="shared" si="24"/>
        <v>0</v>
      </c>
      <c r="CD62" s="539">
        <f t="shared" si="24"/>
        <v>0</v>
      </c>
      <c r="CE62" s="539">
        <f t="shared" si="24"/>
        <v>0</v>
      </c>
      <c r="CF62" s="539">
        <f t="shared" si="24"/>
        <v>0</v>
      </c>
      <c r="CG62" s="539">
        <f t="shared" si="24"/>
        <v>0</v>
      </c>
      <c r="CH62" s="539">
        <f t="shared" si="24"/>
        <v>0</v>
      </c>
      <c r="CI62" s="539">
        <f t="shared" si="24"/>
        <v>0</v>
      </c>
      <c r="CJ62" s="539">
        <f t="shared" si="24"/>
        <v>0</v>
      </c>
      <c r="CK62" s="539">
        <f t="shared" si="24"/>
        <v>0</v>
      </c>
      <c r="CL62" s="539">
        <f t="shared" si="24"/>
        <v>0</v>
      </c>
      <c r="CM62" s="539">
        <f t="shared" si="24"/>
        <v>0</v>
      </c>
      <c r="CN62" s="539">
        <f t="shared" si="24"/>
        <v>0</v>
      </c>
      <c r="CO62" s="539">
        <f t="shared" si="24"/>
        <v>0</v>
      </c>
      <c r="CP62" s="539">
        <f t="shared" si="24"/>
        <v>0</v>
      </c>
      <c r="CQ62" s="539">
        <f t="shared" si="24"/>
        <v>0</v>
      </c>
      <c r="CR62" s="539">
        <f t="shared" si="24"/>
        <v>0</v>
      </c>
      <c r="CS62" s="539">
        <f t="shared" si="24"/>
        <v>0</v>
      </c>
      <c r="CT62" s="539">
        <f t="shared" si="24"/>
        <v>0</v>
      </c>
      <c r="CU62" s="539">
        <f t="shared" si="24"/>
        <v>0</v>
      </c>
      <c r="CV62" s="539">
        <f t="shared" si="24"/>
        <v>0</v>
      </c>
      <c r="CW62" s="539">
        <f t="shared" si="24"/>
        <v>0</v>
      </c>
      <c r="CX62" s="539">
        <f t="shared" si="24"/>
        <v>0</v>
      </c>
      <c r="CY62" s="539">
        <f t="shared" si="24"/>
        <v>0</v>
      </c>
      <c r="CZ62" s="539">
        <f t="shared" si="24"/>
        <v>0</v>
      </c>
      <c r="DA62" s="539">
        <f t="shared" si="24"/>
        <v>0</v>
      </c>
      <c r="DB62" s="539">
        <f t="shared" si="24"/>
        <v>0</v>
      </c>
      <c r="DC62" s="539">
        <f t="shared" si="24"/>
        <v>0</v>
      </c>
      <c r="DD62" s="539">
        <f t="shared" si="24"/>
        <v>0</v>
      </c>
      <c r="DE62" s="539">
        <f t="shared" si="24"/>
        <v>0</v>
      </c>
      <c r="DF62" s="539">
        <f t="shared" si="24"/>
        <v>0</v>
      </c>
      <c r="DG62" s="539">
        <f t="shared" si="24"/>
        <v>0</v>
      </c>
      <c r="DH62" s="539">
        <f t="shared" si="24"/>
        <v>0</v>
      </c>
      <c r="DI62" s="539">
        <f t="shared" si="24"/>
        <v>0</v>
      </c>
      <c r="DJ62" s="539">
        <f t="shared" si="24"/>
        <v>0</v>
      </c>
      <c r="DK62" s="539">
        <f t="shared" si="24"/>
        <v>0</v>
      </c>
      <c r="DL62" s="539">
        <f t="shared" si="24"/>
        <v>0</v>
      </c>
      <c r="DM62" s="539">
        <f t="shared" si="24"/>
        <v>0</v>
      </c>
      <c r="DN62" s="539">
        <f t="shared" si="24"/>
        <v>0</v>
      </c>
      <c r="DO62" s="539">
        <f t="shared" si="24"/>
        <v>0</v>
      </c>
      <c r="DP62" s="539">
        <f t="shared" si="24"/>
        <v>0</v>
      </c>
      <c r="DQ62" s="539">
        <f t="shared" si="24"/>
        <v>0</v>
      </c>
      <c r="DR62" s="539">
        <f t="shared" si="24"/>
        <v>0</v>
      </c>
      <c r="DS62" s="539">
        <f t="shared" si="24"/>
        <v>0</v>
      </c>
      <c r="DT62" s="539">
        <f t="shared" si="24"/>
        <v>0</v>
      </c>
      <c r="DU62" s="539">
        <f t="shared" si="24"/>
        <v>0</v>
      </c>
      <c r="DV62" s="539">
        <f t="shared" si="24"/>
        <v>0</v>
      </c>
      <c r="DW62" s="539">
        <f t="shared" si="24"/>
        <v>0</v>
      </c>
      <c r="DX62" s="539">
        <f t="shared" si="24"/>
        <v>0</v>
      </c>
      <c r="DY62" s="539">
        <f t="shared" si="24"/>
        <v>0</v>
      </c>
      <c r="DZ62" s="539">
        <f t="shared" si="24"/>
        <v>0</v>
      </c>
      <c r="EA62" s="539">
        <f t="shared" si="24"/>
        <v>0</v>
      </c>
      <c r="EB62" s="539">
        <f t="shared" si="24"/>
        <v>0</v>
      </c>
      <c r="EC62" s="539">
        <f t="shared" si="24"/>
        <v>0</v>
      </c>
      <c r="ED62" s="539">
        <f t="shared" si="24"/>
        <v>0</v>
      </c>
      <c r="EE62" s="539">
        <f t="shared" si="24"/>
        <v>0</v>
      </c>
      <c r="EF62" s="539">
        <f t="shared" si="24"/>
        <v>0</v>
      </c>
      <c r="EG62" s="539">
        <f t="shared" si="24"/>
        <v>0</v>
      </c>
    </row>
    <row r="64" spans="2:2" ht="12.75">
      <c r="B64" s="534" t="s">
        <v>170</v>
      </c>
    </row>
    <row r="65" spans="5:7" ht="12.75">
      <c r="E65" s="538" t="str">
        <f>E$21</f>
        <v>End of construction period date</v>
      </c>
      <c r="F65" s="558">
        <f>F$21</f>
        <v>47118</v>
      </c>
      <c r="G65" s="558" t="str">
        <f>G$21</f>
        <v>date</v>
      </c>
    </row>
    <row r="66" spans="5:137" ht="12.75">
      <c r="E66" s="538" t="str">
        <f>E$50</f>
        <v>Model period ending</v>
      </c>
      <c r="G66" s="558" t="str">
        <f>G$50</f>
        <v>date</v>
      </c>
      <c r="J66" s="558">
        <f t="shared" si="25" ref="J66:EG66">J$50</f>
        <v>46418</v>
      </c>
      <c r="K66" s="558">
        <f t="shared" si="25"/>
        <v>46446</v>
      </c>
      <c r="L66" s="558">
        <f t="shared" si="25"/>
        <v>46477</v>
      </c>
      <c r="M66" s="558">
        <f t="shared" si="25"/>
        <v>46507</v>
      </c>
      <c r="N66" s="558">
        <f t="shared" si="25"/>
        <v>46538</v>
      </c>
      <c r="O66" s="558">
        <f t="shared" si="25"/>
        <v>46568</v>
      </c>
      <c r="P66" s="558">
        <f t="shared" si="25"/>
        <v>46599</v>
      </c>
      <c r="Q66" s="558">
        <f t="shared" si="25"/>
        <v>46630</v>
      </c>
      <c r="R66" s="558">
        <f t="shared" si="25"/>
        <v>46660</v>
      </c>
      <c r="S66" s="558">
        <f t="shared" si="25"/>
        <v>46691</v>
      </c>
      <c r="T66" s="558">
        <f t="shared" si="25"/>
        <v>46721</v>
      </c>
      <c r="U66" s="558">
        <f t="shared" si="25"/>
        <v>46752</v>
      </c>
      <c r="V66" s="558">
        <f t="shared" si="25"/>
        <v>46783</v>
      </c>
      <c r="W66" s="558">
        <f t="shared" si="25"/>
        <v>46812</v>
      </c>
      <c r="X66" s="558">
        <f t="shared" si="25"/>
        <v>46843</v>
      </c>
      <c r="Y66" s="558">
        <f t="shared" si="25"/>
        <v>46873</v>
      </c>
      <c r="Z66" s="558">
        <f t="shared" si="25"/>
        <v>46904</v>
      </c>
      <c r="AA66" s="558">
        <f t="shared" si="25"/>
        <v>46934</v>
      </c>
      <c r="AB66" s="558">
        <f t="shared" si="25"/>
        <v>46965</v>
      </c>
      <c r="AC66" s="558">
        <f t="shared" si="25"/>
        <v>46996</v>
      </c>
      <c r="AD66" s="558">
        <f t="shared" si="25"/>
        <v>47026</v>
      </c>
      <c r="AE66" s="558">
        <f t="shared" si="25"/>
        <v>47057</v>
      </c>
      <c r="AF66" s="558">
        <f t="shared" si="25"/>
        <v>47087</v>
      </c>
      <c r="AG66" s="558">
        <f t="shared" si="25"/>
        <v>47118</v>
      </c>
      <c r="AH66" s="558">
        <f t="shared" si="25"/>
        <v>47208</v>
      </c>
      <c r="AI66" s="558">
        <f t="shared" si="25"/>
        <v>47299</v>
      </c>
      <c r="AJ66" s="558">
        <f t="shared" si="25"/>
        <v>47391</v>
      </c>
      <c r="AK66" s="558">
        <f t="shared" si="25"/>
        <v>47483</v>
      </c>
      <c r="AL66" s="558">
        <f t="shared" si="25"/>
        <v>47573</v>
      </c>
      <c r="AM66" s="558">
        <f t="shared" si="25"/>
        <v>47664</v>
      </c>
      <c r="AN66" s="558">
        <f t="shared" si="25"/>
        <v>47756</v>
      </c>
      <c r="AO66" s="558">
        <f t="shared" si="25"/>
        <v>47848</v>
      </c>
      <c r="AP66" s="558">
        <f t="shared" si="25"/>
        <v>47938</v>
      </c>
      <c r="AQ66" s="558">
        <f t="shared" si="25"/>
        <v>48029</v>
      </c>
      <c r="AR66" s="558">
        <f t="shared" si="25"/>
        <v>48121</v>
      </c>
      <c r="AS66" s="558">
        <f t="shared" si="25"/>
        <v>48213</v>
      </c>
      <c r="AT66" s="558">
        <f t="shared" si="25"/>
        <v>48304</v>
      </c>
      <c r="AU66" s="558">
        <f t="shared" si="25"/>
        <v>48395</v>
      </c>
      <c r="AV66" s="558">
        <f t="shared" si="25"/>
        <v>48487</v>
      </c>
      <c r="AW66" s="558">
        <f t="shared" si="25"/>
        <v>48579</v>
      </c>
      <c r="AX66" s="558">
        <f t="shared" si="25"/>
        <v>48669</v>
      </c>
      <c r="AY66" s="558">
        <f t="shared" si="25"/>
        <v>48760</v>
      </c>
      <c r="AZ66" s="558">
        <f t="shared" si="25"/>
        <v>48852</v>
      </c>
      <c r="BA66" s="558">
        <f t="shared" si="25"/>
        <v>48944</v>
      </c>
      <c r="BB66" s="558">
        <f t="shared" si="25"/>
        <v>49034</v>
      </c>
      <c r="BC66" s="558">
        <f t="shared" si="25"/>
        <v>49125</v>
      </c>
      <c r="BD66" s="558">
        <f t="shared" si="25"/>
        <v>49217</v>
      </c>
      <c r="BE66" s="558">
        <f t="shared" si="25"/>
        <v>49309</v>
      </c>
      <c r="BF66" s="558">
        <f t="shared" si="25"/>
        <v>49399</v>
      </c>
      <c r="BG66" s="558">
        <f t="shared" si="25"/>
        <v>49490</v>
      </c>
      <c r="BH66" s="558">
        <f t="shared" si="25"/>
        <v>49582</v>
      </c>
      <c r="BI66" s="558">
        <f t="shared" si="25"/>
        <v>49674</v>
      </c>
      <c r="BJ66" s="558">
        <f t="shared" si="25"/>
        <v>49765</v>
      </c>
      <c r="BK66" s="558">
        <f t="shared" si="25"/>
        <v>49856</v>
      </c>
      <c r="BL66" s="558">
        <f t="shared" si="25"/>
        <v>49948</v>
      </c>
      <c r="BM66" s="558">
        <f t="shared" si="25"/>
        <v>50040</v>
      </c>
      <c r="BN66" s="558">
        <f t="shared" si="25"/>
        <v>50130</v>
      </c>
      <c r="BO66" s="558">
        <f t="shared" si="25"/>
        <v>50221</v>
      </c>
      <c r="BP66" s="558">
        <f t="shared" si="25"/>
        <v>50313</v>
      </c>
      <c r="BQ66" s="558">
        <f t="shared" si="25"/>
        <v>50405</v>
      </c>
      <c r="BR66" s="558">
        <f t="shared" si="25"/>
        <v>50495</v>
      </c>
      <c r="BS66" s="558">
        <f t="shared" si="25"/>
        <v>50586</v>
      </c>
      <c r="BT66" s="558">
        <f t="shared" si="25"/>
        <v>50678</v>
      </c>
      <c r="BU66" s="558">
        <f t="shared" si="25"/>
        <v>50770</v>
      </c>
      <c r="BV66" s="558">
        <f t="shared" si="25"/>
        <v>50860</v>
      </c>
      <c r="BW66" s="558">
        <f t="shared" si="25"/>
        <v>50951</v>
      </c>
      <c r="BX66" s="558">
        <f t="shared" si="25"/>
        <v>51043</v>
      </c>
      <c r="BY66" s="558">
        <f t="shared" si="25"/>
        <v>51135</v>
      </c>
      <c r="BZ66" s="558">
        <f t="shared" si="25"/>
        <v>51226</v>
      </c>
      <c r="CA66" s="558">
        <f t="shared" si="25"/>
        <v>51317</v>
      </c>
      <c r="CB66" s="558">
        <f t="shared" si="25"/>
        <v>51409</v>
      </c>
      <c r="CC66" s="558">
        <f t="shared" si="25"/>
        <v>51501</v>
      </c>
      <c r="CD66" s="558">
        <f t="shared" si="25"/>
        <v>51591</v>
      </c>
      <c r="CE66" s="558">
        <f t="shared" si="25"/>
        <v>51682</v>
      </c>
      <c r="CF66" s="558">
        <f t="shared" si="25"/>
        <v>51774</v>
      </c>
      <c r="CG66" s="558">
        <f t="shared" si="25"/>
        <v>51866</v>
      </c>
      <c r="CH66" s="558">
        <f t="shared" si="25"/>
        <v>51956</v>
      </c>
      <c r="CI66" s="558">
        <f t="shared" si="25"/>
        <v>52047</v>
      </c>
      <c r="CJ66" s="558">
        <f t="shared" si="25"/>
        <v>52139</v>
      </c>
      <c r="CK66" s="558">
        <f t="shared" si="25"/>
        <v>52231</v>
      </c>
      <c r="CL66" s="558">
        <f t="shared" si="25"/>
        <v>52321</v>
      </c>
      <c r="CM66" s="558">
        <f t="shared" si="25"/>
        <v>52412</v>
      </c>
      <c r="CN66" s="558">
        <f t="shared" si="25"/>
        <v>52504</v>
      </c>
      <c r="CO66" s="558">
        <f t="shared" si="25"/>
        <v>52596</v>
      </c>
      <c r="CP66" s="558">
        <f t="shared" si="25"/>
        <v>52687</v>
      </c>
      <c r="CQ66" s="558">
        <f t="shared" si="25"/>
        <v>52778</v>
      </c>
      <c r="CR66" s="558">
        <f t="shared" si="25"/>
        <v>52870</v>
      </c>
      <c r="CS66" s="558">
        <f t="shared" si="25"/>
        <v>52962</v>
      </c>
      <c r="CT66" s="558">
        <f t="shared" si="25"/>
        <v>53052</v>
      </c>
      <c r="CU66" s="558">
        <f t="shared" si="25"/>
        <v>53143</v>
      </c>
      <c r="CV66" s="558">
        <f t="shared" si="25"/>
        <v>53235</v>
      </c>
      <c r="CW66" s="558">
        <f t="shared" si="25"/>
        <v>53327</v>
      </c>
      <c r="CX66" s="558">
        <f t="shared" si="25"/>
        <v>53417</v>
      </c>
      <c r="CY66" s="558">
        <f t="shared" si="25"/>
        <v>53508</v>
      </c>
      <c r="CZ66" s="558">
        <f t="shared" si="25"/>
        <v>53600</v>
      </c>
      <c r="DA66" s="558">
        <f t="shared" si="25"/>
        <v>53692</v>
      </c>
      <c r="DB66" s="558">
        <f t="shared" si="25"/>
        <v>53782</v>
      </c>
      <c r="DC66" s="558">
        <f t="shared" si="25"/>
        <v>53873</v>
      </c>
      <c r="DD66" s="558">
        <f t="shared" si="25"/>
        <v>53965</v>
      </c>
      <c r="DE66" s="558">
        <f t="shared" si="25"/>
        <v>54057</v>
      </c>
      <c r="DF66" s="558">
        <f t="shared" si="25"/>
        <v>54148</v>
      </c>
      <c r="DG66" s="558">
        <f t="shared" si="25"/>
        <v>54239</v>
      </c>
      <c r="DH66" s="558">
        <f t="shared" si="25"/>
        <v>54331</v>
      </c>
      <c r="DI66" s="558">
        <f t="shared" si="25"/>
        <v>54423</v>
      </c>
      <c r="DJ66" s="558">
        <f t="shared" si="25"/>
        <v>54513</v>
      </c>
      <c r="DK66" s="558">
        <f t="shared" si="25"/>
        <v>54604</v>
      </c>
      <c r="DL66" s="558">
        <f t="shared" si="25"/>
        <v>54696</v>
      </c>
      <c r="DM66" s="558">
        <f t="shared" si="25"/>
        <v>54788</v>
      </c>
      <c r="DN66" s="558">
        <f t="shared" si="25"/>
        <v>54878</v>
      </c>
      <c r="DO66" s="558">
        <f t="shared" si="25"/>
        <v>54969</v>
      </c>
      <c r="DP66" s="558">
        <f t="shared" si="25"/>
        <v>55061</v>
      </c>
      <c r="DQ66" s="558">
        <f t="shared" si="25"/>
        <v>55153</v>
      </c>
      <c r="DR66" s="558">
        <f t="shared" si="25"/>
        <v>55243</v>
      </c>
      <c r="DS66" s="558">
        <f t="shared" si="25"/>
        <v>55334</v>
      </c>
      <c r="DT66" s="558">
        <f t="shared" si="25"/>
        <v>55426</v>
      </c>
      <c r="DU66" s="558">
        <f t="shared" si="25"/>
        <v>55518</v>
      </c>
      <c r="DV66" s="558">
        <f t="shared" si="25"/>
        <v>55609</v>
      </c>
      <c r="DW66" s="558">
        <f t="shared" si="25"/>
        <v>55700</v>
      </c>
      <c r="DX66" s="558">
        <f t="shared" si="25"/>
        <v>55792</v>
      </c>
      <c r="DY66" s="558">
        <f t="shared" si="25"/>
        <v>55884</v>
      </c>
      <c r="DZ66" s="558">
        <f t="shared" si="25"/>
        <v>55974</v>
      </c>
      <c r="EA66" s="558">
        <f t="shared" si="25"/>
        <v>56065</v>
      </c>
      <c r="EB66" s="558">
        <f t="shared" si="25"/>
        <v>56157</v>
      </c>
      <c r="EC66" s="558">
        <f t="shared" si="25"/>
        <v>56249</v>
      </c>
      <c r="ED66" s="558">
        <f t="shared" si="25"/>
        <v>56339</v>
      </c>
      <c r="EE66" s="558">
        <f t="shared" si="25"/>
        <v>56430</v>
      </c>
      <c r="EF66" s="558">
        <f t="shared" si="25"/>
        <v>56522</v>
      </c>
      <c r="EG66" s="558">
        <f t="shared" si="25"/>
        <v>56614</v>
      </c>
    </row>
    <row r="67" spans="5:137" ht="12.75">
      <c r="E67" s="540" t="s">
        <v>170</v>
      </c>
      <c r="G67" s="541" t="s">
        <v>158</v>
      </c>
      <c r="H67" s="541">
        <f>SUM(J67:EG67)</f>
        <v>1</v>
      </c>
      <c r="J67" s="541">
        <f t="shared" si="26" ref="J67:EG67">IF(AND(I66&lt;$F65,J66&gt;=$F65),1,0)</f>
        <v>0</v>
      </c>
      <c r="K67" s="541">
        <f t="shared" si="26"/>
        <v>0</v>
      </c>
      <c r="L67" s="541">
        <f t="shared" si="26"/>
        <v>0</v>
      </c>
      <c r="M67" s="541">
        <f t="shared" si="26"/>
        <v>0</v>
      </c>
      <c r="N67" s="541">
        <f t="shared" si="26"/>
        <v>0</v>
      </c>
      <c r="O67" s="541">
        <f t="shared" si="26"/>
        <v>0</v>
      </c>
      <c r="P67" s="541">
        <f t="shared" si="26"/>
        <v>0</v>
      </c>
      <c r="Q67" s="541">
        <f t="shared" si="26"/>
        <v>0</v>
      </c>
      <c r="R67" s="541">
        <f t="shared" si="26"/>
        <v>0</v>
      </c>
      <c r="S67" s="541">
        <f t="shared" si="26"/>
        <v>0</v>
      </c>
      <c r="T67" s="541">
        <f t="shared" si="26"/>
        <v>0</v>
      </c>
      <c r="U67" s="541">
        <f t="shared" si="26"/>
        <v>0</v>
      </c>
      <c r="V67" s="541">
        <f t="shared" si="26"/>
        <v>0</v>
      </c>
      <c r="W67" s="541">
        <f t="shared" si="26"/>
        <v>0</v>
      </c>
      <c r="X67" s="541">
        <f t="shared" si="26"/>
        <v>0</v>
      </c>
      <c r="Y67" s="541">
        <f t="shared" si="26"/>
        <v>0</v>
      </c>
      <c r="Z67" s="541">
        <f t="shared" si="26"/>
        <v>0</v>
      </c>
      <c r="AA67" s="541">
        <f t="shared" si="26"/>
        <v>0</v>
      </c>
      <c r="AB67" s="541">
        <f t="shared" si="26"/>
        <v>0</v>
      </c>
      <c r="AC67" s="541">
        <f t="shared" si="26"/>
        <v>0</v>
      </c>
      <c r="AD67" s="541">
        <f t="shared" si="26"/>
        <v>0</v>
      </c>
      <c r="AE67" s="541">
        <f t="shared" si="26"/>
        <v>0</v>
      </c>
      <c r="AF67" s="541">
        <f t="shared" si="26"/>
        <v>0</v>
      </c>
      <c r="AG67" s="541">
        <f t="shared" si="26"/>
        <v>1</v>
      </c>
      <c r="AH67" s="541">
        <f t="shared" si="26"/>
        <v>0</v>
      </c>
      <c r="AI67" s="541">
        <f t="shared" si="26"/>
        <v>0</v>
      </c>
      <c r="AJ67" s="541">
        <f t="shared" si="26"/>
        <v>0</v>
      </c>
      <c r="AK67" s="541">
        <f t="shared" si="26"/>
        <v>0</v>
      </c>
      <c r="AL67" s="541">
        <f t="shared" si="26"/>
        <v>0</v>
      </c>
      <c r="AM67" s="541">
        <f t="shared" si="26"/>
        <v>0</v>
      </c>
      <c r="AN67" s="541">
        <f t="shared" si="26"/>
        <v>0</v>
      </c>
      <c r="AO67" s="541">
        <f t="shared" si="26"/>
        <v>0</v>
      </c>
      <c r="AP67" s="541">
        <f t="shared" si="26"/>
        <v>0</v>
      </c>
      <c r="AQ67" s="541">
        <f t="shared" si="26"/>
        <v>0</v>
      </c>
      <c r="AR67" s="541">
        <f t="shared" si="26"/>
        <v>0</v>
      </c>
      <c r="AS67" s="541">
        <f t="shared" si="26"/>
        <v>0</v>
      </c>
      <c r="AT67" s="541">
        <f t="shared" si="26"/>
        <v>0</v>
      </c>
      <c r="AU67" s="541">
        <f t="shared" si="26"/>
        <v>0</v>
      </c>
      <c r="AV67" s="541">
        <f t="shared" si="26"/>
        <v>0</v>
      </c>
      <c r="AW67" s="541">
        <f t="shared" si="26"/>
        <v>0</v>
      </c>
      <c r="AX67" s="541">
        <f t="shared" si="26"/>
        <v>0</v>
      </c>
      <c r="AY67" s="541">
        <f t="shared" si="26"/>
        <v>0</v>
      </c>
      <c r="AZ67" s="541">
        <f t="shared" si="26"/>
        <v>0</v>
      </c>
      <c r="BA67" s="541">
        <f t="shared" si="26"/>
        <v>0</v>
      </c>
      <c r="BB67" s="541">
        <f t="shared" si="26"/>
        <v>0</v>
      </c>
      <c r="BC67" s="541">
        <f t="shared" si="26"/>
        <v>0</v>
      </c>
      <c r="BD67" s="541">
        <f t="shared" si="26"/>
        <v>0</v>
      </c>
      <c r="BE67" s="541">
        <f t="shared" si="26"/>
        <v>0</v>
      </c>
      <c r="BF67" s="541">
        <f t="shared" si="26"/>
        <v>0</v>
      </c>
      <c r="BG67" s="541">
        <f t="shared" si="26"/>
        <v>0</v>
      </c>
      <c r="BH67" s="541">
        <f t="shared" si="26"/>
        <v>0</v>
      </c>
      <c r="BI67" s="541">
        <f t="shared" si="26"/>
        <v>0</v>
      </c>
      <c r="BJ67" s="541">
        <f t="shared" si="26"/>
        <v>0</v>
      </c>
      <c r="BK67" s="541">
        <f t="shared" si="26"/>
        <v>0</v>
      </c>
      <c r="BL67" s="541">
        <f t="shared" si="26"/>
        <v>0</v>
      </c>
      <c r="BM67" s="541">
        <f t="shared" si="26"/>
        <v>0</v>
      </c>
      <c r="BN67" s="541">
        <f t="shared" si="26"/>
        <v>0</v>
      </c>
      <c r="BO67" s="541">
        <f t="shared" si="26"/>
        <v>0</v>
      </c>
      <c r="BP67" s="541">
        <f t="shared" si="26"/>
        <v>0</v>
      </c>
      <c r="BQ67" s="541">
        <f t="shared" si="26"/>
        <v>0</v>
      </c>
      <c r="BR67" s="541">
        <f t="shared" si="26"/>
        <v>0</v>
      </c>
      <c r="BS67" s="541">
        <f t="shared" si="26"/>
        <v>0</v>
      </c>
      <c r="BT67" s="541">
        <f t="shared" si="26"/>
        <v>0</v>
      </c>
      <c r="BU67" s="541">
        <f t="shared" si="26"/>
        <v>0</v>
      </c>
      <c r="BV67" s="541">
        <f t="shared" si="26"/>
        <v>0</v>
      </c>
      <c r="BW67" s="541">
        <f t="shared" si="26"/>
        <v>0</v>
      </c>
      <c r="BX67" s="541">
        <f t="shared" si="26"/>
        <v>0</v>
      </c>
      <c r="BY67" s="541">
        <f t="shared" si="26"/>
        <v>0</v>
      </c>
      <c r="BZ67" s="541">
        <f t="shared" si="26"/>
        <v>0</v>
      </c>
      <c r="CA67" s="541">
        <f t="shared" si="26"/>
        <v>0</v>
      </c>
      <c r="CB67" s="541">
        <f t="shared" si="26"/>
        <v>0</v>
      </c>
      <c r="CC67" s="541">
        <f t="shared" si="26"/>
        <v>0</v>
      </c>
      <c r="CD67" s="541">
        <f t="shared" si="26"/>
        <v>0</v>
      </c>
      <c r="CE67" s="541">
        <f t="shared" si="26"/>
        <v>0</v>
      </c>
      <c r="CF67" s="541">
        <f t="shared" si="26"/>
        <v>0</v>
      </c>
      <c r="CG67" s="541">
        <f t="shared" si="26"/>
        <v>0</v>
      </c>
      <c r="CH67" s="541">
        <f t="shared" si="26"/>
        <v>0</v>
      </c>
      <c r="CI67" s="541">
        <f t="shared" si="26"/>
        <v>0</v>
      </c>
      <c r="CJ67" s="541">
        <f t="shared" si="26"/>
        <v>0</v>
      </c>
      <c r="CK67" s="541">
        <f t="shared" si="26"/>
        <v>0</v>
      </c>
      <c r="CL67" s="541">
        <f t="shared" si="26"/>
        <v>0</v>
      </c>
      <c r="CM67" s="541">
        <f t="shared" si="26"/>
        <v>0</v>
      </c>
      <c r="CN67" s="541">
        <f t="shared" si="26"/>
        <v>0</v>
      </c>
      <c r="CO67" s="541">
        <f t="shared" si="26"/>
        <v>0</v>
      </c>
      <c r="CP67" s="541">
        <f t="shared" si="26"/>
        <v>0</v>
      </c>
      <c r="CQ67" s="541">
        <f t="shared" si="26"/>
        <v>0</v>
      </c>
      <c r="CR67" s="541">
        <f t="shared" si="26"/>
        <v>0</v>
      </c>
      <c r="CS67" s="541">
        <f t="shared" si="26"/>
        <v>0</v>
      </c>
      <c r="CT67" s="541">
        <f t="shared" si="26"/>
        <v>0</v>
      </c>
      <c r="CU67" s="541">
        <f t="shared" si="26"/>
        <v>0</v>
      </c>
      <c r="CV67" s="541">
        <f t="shared" si="26"/>
        <v>0</v>
      </c>
      <c r="CW67" s="541">
        <f t="shared" si="26"/>
        <v>0</v>
      </c>
      <c r="CX67" s="541">
        <f t="shared" si="26"/>
        <v>0</v>
      </c>
      <c r="CY67" s="541">
        <f t="shared" si="26"/>
        <v>0</v>
      </c>
      <c r="CZ67" s="541">
        <f t="shared" si="26"/>
        <v>0</v>
      </c>
      <c r="DA67" s="541">
        <f t="shared" si="26"/>
        <v>0</v>
      </c>
      <c r="DB67" s="541">
        <f t="shared" si="26"/>
        <v>0</v>
      </c>
      <c r="DC67" s="541">
        <f t="shared" si="26"/>
        <v>0</v>
      </c>
      <c r="DD67" s="541">
        <f t="shared" si="26"/>
        <v>0</v>
      </c>
      <c r="DE67" s="541">
        <f t="shared" si="26"/>
        <v>0</v>
      </c>
      <c r="DF67" s="541">
        <f t="shared" si="26"/>
        <v>0</v>
      </c>
      <c r="DG67" s="541">
        <f t="shared" si="26"/>
        <v>0</v>
      </c>
      <c r="DH67" s="541">
        <f t="shared" si="26"/>
        <v>0</v>
      </c>
      <c r="DI67" s="541">
        <f t="shared" si="26"/>
        <v>0</v>
      </c>
      <c r="DJ67" s="541">
        <f t="shared" si="26"/>
        <v>0</v>
      </c>
      <c r="DK67" s="541">
        <f t="shared" si="26"/>
        <v>0</v>
      </c>
      <c r="DL67" s="541">
        <f t="shared" si="26"/>
        <v>0</v>
      </c>
      <c r="DM67" s="541">
        <f t="shared" si="26"/>
        <v>0</v>
      </c>
      <c r="DN67" s="541">
        <f t="shared" si="26"/>
        <v>0</v>
      </c>
      <c r="DO67" s="541">
        <f t="shared" si="26"/>
        <v>0</v>
      </c>
      <c r="DP67" s="541">
        <f t="shared" si="26"/>
        <v>0</v>
      </c>
      <c r="DQ67" s="541">
        <f t="shared" si="26"/>
        <v>0</v>
      </c>
      <c r="DR67" s="541">
        <f t="shared" si="26"/>
        <v>0</v>
      </c>
      <c r="DS67" s="541">
        <f t="shared" si="26"/>
        <v>0</v>
      </c>
      <c r="DT67" s="541">
        <f t="shared" si="26"/>
        <v>0</v>
      </c>
      <c r="DU67" s="541">
        <f t="shared" si="26"/>
        <v>0</v>
      </c>
      <c r="DV67" s="541">
        <f t="shared" si="26"/>
        <v>0</v>
      </c>
      <c r="DW67" s="541">
        <f t="shared" si="26"/>
        <v>0</v>
      </c>
      <c r="DX67" s="541">
        <f t="shared" si="26"/>
        <v>0</v>
      </c>
      <c r="DY67" s="541">
        <f t="shared" si="26"/>
        <v>0</v>
      </c>
      <c r="DZ67" s="541">
        <f t="shared" si="26"/>
        <v>0</v>
      </c>
      <c r="EA67" s="541">
        <f t="shared" si="26"/>
        <v>0</v>
      </c>
      <c r="EB67" s="541">
        <f t="shared" si="26"/>
        <v>0</v>
      </c>
      <c r="EC67" s="541">
        <f t="shared" si="26"/>
        <v>0</v>
      </c>
      <c r="ED67" s="541">
        <f t="shared" si="26"/>
        <v>0</v>
      </c>
      <c r="EE67" s="541">
        <f t="shared" si="26"/>
        <v>0</v>
      </c>
      <c r="EF67" s="541">
        <f t="shared" si="26"/>
        <v>0</v>
      </c>
      <c r="EG67" s="541">
        <f t="shared" si="26"/>
        <v>0</v>
      </c>
    </row>
    <row r="69" spans="2:2" ht="12.75">
      <c r="B69" s="534" t="s">
        <v>171</v>
      </c>
    </row>
    <row r="70" spans="5:137" ht="12.75">
      <c r="E70" s="538" t="str">
        <f>E$62</f>
        <v>First construction period flag</v>
      </c>
      <c r="G70" s="539" t="str">
        <f>G$62</f>
        <v>flag</v>
      </c>
      <c r="H70" s="539">
        <f>H$62</f>
        <v>1</v>
      </c>
      <c r="J70" s="539">
        <f t="shared" si="27" ref="J70:EG70">J$62</f>
        <v>0</v>
      </c>
      <c r="K70" s="539">
        <f t="shared" si="27"/>
        <v>0</v>
      </c>
      <c r="L70" s="539">
        <f t="shared" si="27"/>
        <v>0</v>
      </c>
      <c r="M70" s="539">
        <f t="shared" si="27"/>
        <v>1</v>
      </c>
      <c r="N70" s="539">
        <f t="shared" si="27"/>
        <v>0</v>
      </c>
      <c r="O70" s="539">
        <f t="shared" si="27"/>
        <v>0</v>
      </c>
      <c r="P70" s="539">
        <f t="shared" si="27"/>
        <v>0</v>
      </c>
      <c r="Q70" s="539">
        <f t="shared" si="27"/>
        <v>0</v>
      </c>
      <c r="R70" s="539">
        <f t="shared" si="27"/>
        <v>0</v>
      </c>
      <c r="S70" s="539">
        <f t="shared" si="27"/>
        <v>0</v>
      </c>
      <c r="T70" s="539">
        <f t="shared" si="27"/>
        <v>0</v>
      </c>
      <c r="U70" s="539">
        <f t="shared" si="27"/>
        <v>0</v>
      </c>
      <c r="V70" s="539">
        <f t="shared" si="27"/>
        <v>0</v>
      </c>
      <c r="W70" s="539">
        <f t="shared" si="27"/>
        <v>0</v>
      </c>
      <c r="X70" s="539">
        <f t="shared" si="27"/>
        <v>0</v>
      </c>
      <c r="Y70" s="539">
        <f t="shared" si="27"/>
        <v>0</v>
      </c>
      <c r="Z70" s="539">
        <f t="shared" si="27"/>
        <v>0</v>
      </c>
      <c r="AA70" s="539">
        <f t="shared" si="27"/>
        <v>0</v>
      </c>
      <c r="AB70" s="539">
        <f t="shared" si="27"/>
        <v>0</v>
      </c>
      <c r="AC70" s="539">
        <f t="shared" si="27"/>
        <v>0</v>
      </c>
      <c r="AD70" s="539">
        <f t="shared" si="27"/>
        <v>0</v>
      </c>
      <c r="AE70" s="539">
        <f t="shared" si="27"/>
        <v>0</v>
      </c>
      <c r="AF70" s="539">
        <f t="shared" si="27"/>
        <v>0</v>
      </c>
      <c r="AG70" s="539">
        <f t="shared" si="27"/>
        <v>0</v>
      </c>
      <c r="AH70" s="539">
        <f t="shared" si="27"/>
        <v>0</v>
      </c>
      <c r="AI70" s="539">
        <f t="shared" si="27"/>
        <v>0</v>
      </c>
      <c r="AJ70" s="539">
        <f t="shared" si="27"/>
        <v>0</v>
      </c>
      <c r="AK70" s="539">
        <f t="shared" si="27"/>
        <v>0</v>
      </c>
      <c r="AL70" s="539">
        <f t="shared" si="27"/>
        <v>0</v>
      </c>
      <c r="AM70" s="539">
        <f t="shared" si="27"/>
        <v>0</v>
      </c>
      <c r="AN70" s="539">
        <f t="shared" si="27"/>
        <v>0</v>
      </c>
      <c r="AO70" s="539">
        <f t="shared" si="27"/>
        <v>0</v>
      </c>
      <c r="AP70" s="539">
        <f t="shared" si="27"/>
        <v>0</v>
      </c>
      <c r="AQ70" s="539">
        <f t="shared" si="27"/>
        <v>0</v>
      </c>
      <c r="AR70" s="539">
        <f t="shared" si="27"/>
        <v>0</v>
      </c>
      <c r="AS70" s="539">
        <f t="shared" si="27"/>
        <v>0</v>
      </c>
      <c r="AT70" s="539">
        <f t="shared" si="27"/>
        <v>0</v>
      </c>
      <c r="AU70" s="539">
        <f t="shared" si="27"/>
        <v>0</v>
      </c>
      <c r="AV70" s="539">
        <f t="shared" si="27"/>
        <v>0</v>
      </c>
      <c r="AW70" s="539">
        <f t="shared" si="27"/>
        <v>0</v>
      </c>
      <c r="AX70" s="539">
        <f t="shared" si="27"/>
        <v>0</v>
      </c>
      <c r="AY70" s="539">
        <f t="shared" si="27"/>
        <v>0</v>
      </c>
      <c r="AZ70" s="539">
        <f t="shared" si="27"/>
        <v>0</v>
      </c>
      <c r="BA70" s="539">
        <f t="shared" si="27"/>
        <v>0</v>
      </c>
      <c r="BB70" s="539">
        <f t="shared" si="27"/>
        <v>0</v>
      </c>
      <c r="BC70" s="539">
        <f t="shared" si="27"/>
        <v>0</v>
      </c>
      <c r="BD70" s="539">
        <f t="shared" si="27"/>
        <v>0</v>
      </c>
      <c r="BE70" s="539">
        <f t="shared" si="27"/>
        <v>0</v>
      </c>
      <c r="BF70" s="539">
        <f t="shared" si="27"/>
        <v>0</v>
      </c>
      <c r="BG70" s="539">
        <f t="shared" si="27"/>
        <v>0</v>
      </c>
      <c r="BH70" s="539">
        <f t="shared" si="27"/>
        <v>0</v>
      </c>
      <c r="BI70" s="539">
        <f t="shared" si="27"/>
        <v>0</v>
      </c>
      <c r="BJ70" s="539">
        <f t="shared" si="27"/>
        <v>0</v>
      </c>
      <c r="BK70" s="539">
        <f t="shared" si="27"/>
        <v>0</v>
      </c>
      <c r="BL70" s="539">
        <f t="shared" si="27"/>
        <v>0</v>
      </c>
      <c r="BM70" s="539">
        <f t="shared" si="27"/>
        <v>0</v>
      </c>
      <c r="BN70" s="539">
        <f t="shared" si="27"/>
        <v>0</v>
      </c>
      <c r="BO70" s="539">
        <f t="shared" si="27"/>
        <v>0</v>
      </c>
      <c r="BP70" s="539">
        <f t="shared" si="27"/>
        <v>0</v>
      </c>
      <c r="BQ70" s="539">
        <f t="shared" si="27"/>
        <v>0</v>
      </c>
      <c r="BR70" s="539">
        <f t="shared" si="27"/>
        <v>0</v>
      </c>
      <c r="BS70" s="539">
        <f t="shared" si="27"/>
        <v>0</v>
      </c>
      <c r="BT70" s="539">
        <f t="shared" si="27"/>
        <v>0</v>
      </c>
      <c r="BU70" s="539">
        <f t="shared" si="27"/>
        <v>0</v>
      </c>
      <c r="BV70" s="539">
        <f t="shared" si="27"/>
        <v>0</v>
      </c>
      <c r="BW70" s="539">
        <f t="shared" si="27"/>
        <v>0</v>
      </c>
      <c r="BX70" s="539">
        <f t="shared" si="27"/>
        <v>0</v>
      </c>
      <c r="BY70" s="539">
        <f t="shared" si="27"/>
        <v>0</v>
      </c>
      <c r="BZ70" s="539">
        <f t="shared" si="27"/>
        <v>0</v>
      </c>
      <c r="CA70" s="539">
        <f t="shared" si="27"/>
        <v>0</v>
      </c>
      <c r="CB70" s="539">
        <f t="shared" si="27"/>
        <v>0</v>
      </c>
      <c r="CC70" s="539">
        <f t="shared" si="27"/>
        <v>0</v>
      </c>
      <c r="CD70" s="539">
        <f t="shared" si="27"/>
        <v>0</v>
      </c>
      <c r="CE70" s="539">
        <f t="shared" si="27"/>
        <v>0</v>
      </c>
      <c r="CF70" s="539">
        <f t="shared" si="27"/>
        <v>0</v>
      </c>
      <c r="CG70" s="539">
        <f t="shared" si="27"/>
        <v>0</v>
      </c>
      <c r="CH70" s="539">
        <f t="shared" si="27"/>
        <v>0</v>
      </c>
      <c r="CI70" s="539">
        <f t="shared" si="27"/>
        <v>0</v>
      </c>
      <c r="CJ70" s="539">
        <f t="shared" si="27"/>
        <v>0</v>
      </c>
      <c r="CK70" s="539">
        <f t="shared" si="27"/>
        <v>0</v>
      </c>
      <c r="CL70" s="539">
        <f t="shared" si="27"/>
        <v>0</v>
      </c>
      <c r="CM70" s="539">
        <f t="shared" si="27"/>
        <v>0</v>
      </c>
      <c r="CN70" s="539">
        <f t="shared" si="27"/>
        <v>0</v>
      </c>
      <c r="CO70" s="539">
        <f t="shared" si="27"/>
        <v>0</v>
      </c>
      <c r="CP70" s="539">
        <f t="shared" si="27"/>
        <v>0</v>
      </c>
      <c r="CQ70" s="539">
        <f t="shared" si="27"/>
        <v>0</v>
      </c>
      <c r="CR70" s="539">
        <f t="shared" si="27"/>
        <v>0</v>
      </c>
      <c r="CS70" s="539">
        <f t="shared" si="27"/>
        <v>0</v>
      </c>
      <c r="CT70" s="539">
        <f t="shared" si="27"/>
        <v>0</v>
      </c>
      <c r="CU70" s="539">
        <f t="shared" si="27"/>
        <v>0</v>
      </c>
      <c r="CV70" s="539">
        <f t="shared" si="27"/>
        <v>0</v>
      </c>
      <c r="CW70" s="539">
        <f t="shared" si="27"/>
        <v>0</v>
      </c>
      <c r="CX70" s="539">
        <f t="shared" si="27"/>
        <v>0</v>
      </c>
      <c r="CY70" s="539">
        <f t="shared" si="27"/>
        <v>0</v>
      </c>
      <c r="CZ70" s="539">
        <f t="shared" si="27"/>
        <v>0</v>
      </c>
      <c r="DA70" s="539">
        <f t="shared" si="27"/>
        <v>0</v>
      </c>
      <c r="DB70" s="539">
        <f t="shared" si="27"/>
        <v>0</v>
      </c>
      <c r="DC70" s="539">
        <f t="shared" si="27"/>
        <v>0</v>
      </c>
      <c r="DD70" s="539">
        <f t="shared" si="27"/>
        <v>0</v>
      </c>
      <c r="DE70" s="539">
        <f t="shared" si="27"/>
        <v>0</v>
      </c>
      <c r="DF70" s="539">
        <f t="shared" si="27"/>
        <v>0</v>
      </c>
      <c r="DG70" s="539">
        <f t="shared" si="27"/>
        <v>0</v>
      </c>
      <c r="DH70" s="539">
        <f t="shared" si="27"/>
        <v>0</v>
      </c>
      <c r="DI70" s="539">
        <f t="shared" si="27"/>
        <v>0</v>
      </c>
      <c r="DJ70" s="539">
        <f t="shared" si="27"/>
        <v>0</v>
      </c>
      <c r="DK70" s="539">
        <f t="shared" si="27"/>
        <v>0</v>
      </c>
      <c r="DL70" s="539">
        <f t="shared" si="27"/>
        <v>0</v>
      </c>
      <c r="DM70" s="539">
        <f t="shared" si="27"/>
        <v>0</v>
      </c>
      <c r="DN70" s="539">
        <f t="shared" si="27"/>
        <v>0</v>
      </c>
      <c r="DO70" s="539">
        <f t="shared" si="27"/>
        <v>0</v>
      </c>
      <c r="DP70" s="539">
        <f t="shared" si="27"/>
        <v>0</v>
      </c>
      <c r="DQ70" s="539">
        <f t="shared" si="27"/>
        <v>0</v>
      </c>
      <c r="DR70" s="539">
        <f t="shared" si="27"/>
        <v>0</v>
      </c>
      <c r="DS70" s="539">
        <f t="shared" si="27"/>
        <v>0</v>
      </c>
      <c r="DT70" s="539">
        <f t="shared" si="27"/>
        <v>0</v>
      </c>
      <c r="DU70" s="539">
        <f t="shared" si="27"/>
        <v>0</v>
      </c>
      <c r="DV70" s="539">
        <f t="shared" si="27"/>
        <v>0</v>
      </c>
      <c r="DW70" s="539">
        <f t="shared" si="27"/>
        <v>0</v>
      </c>
      <c r="DX70" s="539">
        <f t="shared" si="27"/>
        <v>0</v>
      </c>
      <c r="DY70" s="539">
        <f t="shared" si="27"/>
        <v>0</v>
      </c>
      <c r="DZ70" s="539">
        <f t="shared" si="27"/>
        <v>0</v>
      </c>
      <c r="EA70" s="539">
        <f t="shared" si="27"/>
        <v>0</v>
      </c>
      <c r="EB70" s="539">
        <f t="shared" si="27"/>
        <v>0</v>
      </c>
      <c r="EC70" s="539">
        <f t="shared" si="27"/>
        <v>0</v>
      </c>
      <c r="ED70" s="539">
        <f t="shared" si="27"/>
        <v>0</v>
      </c>
      <c r="EE70" s="539">
        <f t="shared" si="27"/>
        <v>0</v>
      </c>
      <c r="EF70" s="539">
        <f t="shared" si="27"/>
        <v>0</v>
      </c>
      <c r="EG70" s="539">
        <f t="shared" si="27"/>
        <v>0</v>
      </c>
    </row>
    <row r="71" spans="5:137" ht="12.75">
      <c r="E71" s="538" t="str">
        <f>E$67</f>
        <v>End of construction period flag</v>
      </c>
      <c r="G71" s="539" t="str">
        <f>G$67</f>
        <v>flag</v>
      </c>
      <c r="H71" s="539">
        <f>H$67</f>
        <v>1</v>
      </c>
      <c r="J71" s="539">
        <f t="shared" si="28" ref="J71:EG71">J$67</f>
        <v>0</v>
      </c>
      <c r="K71" s="539">
        <f t="shared" si="28"/>
        <v>0</v>
      </c>
      <c r="L71" s="539">
        <f t="shared" si="28"/>
        <v>0</v>
      </c>
      <c r="M71" s="539">
        <f t="shared" si="28"/>
        <v>0</v>
      </c>
      <c r="N71" s="539">
        <f t="shared" si="28"/>
        <v>0</v>
      </c>
      <c r="O71" s="539">
        <f t="shared" si="28"/>
        <v>0</v>
      </c>
      <c r="P71" s="539">
        <f t="shared" si="28"/>
        <v>0</v>
      </c>
      <c r="Q71" s="539">
        <f t="shared" si="28"/>
        <v>0</v>
      </c>
      <c r="R71" s="539">
        <f t="shared" si="28"/>
        <v>0</v>
      </c>
      <c r="S71" s="539">
        <f t="shared" si="28"/>
        <v>0</v>
      </c>
      <c r="T71" s="539">
        <f t="shared" si="28"/>
        <v>0</v>
      </c>
      <c r="U71" s="539">
        <f t="shared" si="28"/>
        <v>0</v>
      </c>
      <c r="V71" s="539">
        <f t="shared" si="28"/>
        <v>0</v>
      </c>
      <c r="W71" s="539">
        <f t="shared" si="28"/>
        <v>0</v>
      </c>
      <c r="X71" s="539">
        <f t="shared" si="28"/>
        <v>0</v>
      </c>
      <c r="Y71" s="539">
        <f t="shared" si="28"/>
        <v>0</v>
      </c>
      <c r="Z71" s="539">
        <f t="shared" si="28"/>
        <v>0</v>
      </c>
      <c r="AA71" s="539">
        <f t="shared" si="28"/>
        <v>0</v>
      </c>
      <c r="AB71" s="539">
        <f t="shared" si="28"/>
        <v>0</v>
      </c>
      <c r="AC71" s="539">
        <f t="shared" si="28"/>
        <v>0</v>
      </c>
      <c r="AD71" s="539">
        <f t="shared" si="28"/>
        <v>0</v>
      </c>
      <c r="AE71" s="539">
        <f t="shared" si="28"/>
        <v>0</v>
      </c>
      <c r="AF71" s="539">
        <f t="shared" si="28"/>
        <v>0</v>
      </c>
      <c r="AG71" s="539">
        <f t="shared" si="28"/>
        <v>1</v>
      </c>
      <c r="AH71" s="539">
        <f t="shared" si="28"/>
        <v>0</v>
      </c>
      <c r="AI71" s="539">
        <f t="shared" si="28"/>
        <v>0</v>
      </c>
      <c r="AJ71" s="539">
        <f t="shared" si="28"/>
        <v>0</v>
      </c>
      <c r="AK71" s="539">
        <f t="shared" si="28"/>
        <v>0</v>
      </c>
      <c r="AL71" s="539">
        <f t="shared" si="28"/>
        <v>0</v>
      </c>
      <c r="AM71" s="539">
        <f t="shared" si="28"/>
        <v>0</v>
      </c>
      <c r="AN71" s="539">
        <f t="shared" si="28"/>
        <v>0</v>
      </c>
      <c r="AO71" s="539">
        <f t="shared" si="28"/>
        <v>0</v>
      </c>
      <c r="AP71" s="539">
        <f t="shared" si="28"/>
        <v>0</v>
      </c>
      <c r="AQ71" s="539">
        <f t="shared" si="28"/>
        <v>0</v>
      </c>
      <c r="AR71" s="539">
        <f t="shared" si="28"/>
        <v>0</v>
      </c>
      <c r="AS71" s="539">
        <f t="shared" si="28"/>
        <v>0</v>
      </c>
      <c r="AT71" s="539">
        <f t="shared" si="28"/>
        <v>0</v>
      </c>
      <c r="AU71" s="539">
        <f t="shared" si="28"/>
        <v>0</v>
      </c>
      <c r="AV71" s="539">
        <f t="shared" si="28"/>
        <v>0</v>
      </c>
      <c r="AW71" s="539">
        <f t="shared" si="28"/>
        <v>0</v>
      </c>
      <c r="AX71" s="539">
        <f t="shared" si="28"/>
        <v>0</v>
      </c>
      <c r="AY71" s="539">
        <f t="shared" si="28"/>
        <v>0</v>
      </c>
      <c r="AZ71" s="539">
        <f t="shared" si="28"/>
        <v>0</v>
      </c>
      <c r="BA71" s="539">
        <f t="shared" si="28"/>
        <v>0</v>
      </c>
      <c r="BB71" s="539">
        <f t="shared" si="28"/>
        <v>0</v>
      </c>
      <c r="BC71" s="539">
        <f t="shared" si="28"/>
        <v>0</v>
      </c>
      <c r="BD71" s="539">
        <f t="shared" si="28"/>
        <v>0</v>
      </c>
      <c r="BE71" s="539">
        <f t="shared" si="28"/>
        <v>0</v>
      </c>
      <c r="BF71" s="539">
        <f t="shared" si="28"/>
        <v>0</v>
      </c>
      <c r="BG71" s="539">
        <f t="shared" si="28"/>
        <v>0</v>
      </c>
      <c r="BH71" s="539">
        <f t="shared" si="28"/>
        <v>0</v>
      </c>
      <c r="BI71" s="539">
        <f t="shared" si="28"/>
        <v>0</v>
      </c>
      <c r="BJ71" s="539">
        <f t="shared" si="28"/>
        <v>0</v>
      </c>
      <c r="BK71" s="539">
        <f t="shared" si="28"/>
        <v>0</v>
      </c>
      <c r="BL71" s="539">
        <f t="shared" si="28"/>
        <v>0</v>
      </c>
      <c r="BM71" s="539">
        <f t="shared" si="28"/>
        <v>0</v>
      </c>
      <c r="BN71" s="539">
        <f t="shared" si="28"/>
        <v>0</v>
      </c>
      <c r="BO71" s="539">
        <f t="shared" si="28"/>
        <v>0</v>
      </c>
      <c r="BP71" s="539">
        <f t="shared" si="28"/>
        <v>0</v>
      </c>
      <c r="BQ71" s="539">
        <f t="shared" si="28"/>
        <v>0</v>
      </c>
      <c r="BR71" s="539">
        <f t="shared" si="28"/>
        <v>0</v>
      </c>
      <c r="BS71" s="539">
        <f t="shared" si="28"/>
        <v>0</v>
      </c>
      <c r="BT71" s="539">
        <f t="shared" si="28"/>
        <v>0</v>
      </c>
      <c r="BU71" s="539">
        <f t="shared" si="28"/>
        <v>0</v>
      </c>
      <c r="BV71" s="539">
        <f t="shared" si="28"/>
        <v>0</v>
      </c>
      <c r="BW71" s="539">
        <f t="shared" si="28"/>
        <v>0</v>
      </c>
      <c r="BX71" s="539">
        <f t="shared" si="28"/>
        <v>0</v>
      </c>
      <c r="BY71" s="539">
        <f t="shared" si="28"/>
        <v>0</v>
      </c>
      <c r="BZ71" s="539">
        <f t="shared" si="28"/>
        <v>0</v>
      </c>
      <c r="CA71" s="539">
        <f t="shared" si="28"/>
        <v>0</v>
      </c>
      <c r="CB71" s="539">
        <f t="shared" si="28"/>
        <v>0</v>
      </c>
      <c r="CC71" s="539">
        <f t="shared" si="28"/>
        <v>0</v>
      </c>
      <c r="CD71" s="539">
        <f t="shared" si="28"/>
        <v>0</v>
      </c>
      <c r="CE71" s="539">
        <f t="shared" si="28"/>
        <v>0</v>
      </c>
      <c r="CF71" s="539">
        <f t="shared" si="28"/>
        <v>0</v>
      </c>
      <c r="CG71" s="539">
        <f t="shared" si="28"/>
        <v>0</v>
      </c>
      <c r="CH71" s="539">
        <f t="shared" si="28"/>
        <v>0</v>
      </c>
      <c r="CI71" s="539">
        <f t="shared" si="28"/>
        <v>0</v>
      </c>
      <c r="CJ71" s="539">
        <f t="shared" si="28"/>
        <v>0</v>
      </c>
      <c r="CK71" s="539">
        <f t="shared" si="28"/>
        <v>0</v>
      </c>
      <c r="CL71" s="539">
        <f t="shared" si="28"/>
        <v>0</v>
      </c>
      <c r="CM71" s="539">
        <f t="shared" si="28"/>
        <v>0</v>
      </c>
      <c r="CN71" s="539">
        <f t="shared" si="28"/>
        <v>0</v>
      </c>
      <c r="CO71" s="539">
        <f t="shared" si="28"/>
        <v>0</v>
      </c>
      <c r="CP71" s="539">
        <f t="shared" si="28"/>
        <v>0</v>
      </c>
      <c r="CQ71" s="539">
        <f t="shared" si="28"/>
        <v>0</v>
      </c>
      <c r="CR71" s="539">
        <f t="shared" si="28"/>
        <v>0</v>
      </c>
      <c r="CS71" s="539">
        <f t="shared" si="28"/>
        <v>0</v>
      </c>
      <c r="CT71" s="539">
        <f t="shared" si="28"/>
        <v>0</v>
      </c>
      <c r="CU71" s="539">
        <f t="shared" si="28"/>
        <v>0</v>
      </c>
      <c r="CV71" s="539">
        <f t="shared" si="28"/>
        <v>0</v>
      </c>
      <c r="CW71" s="539">
        <f t="shared" si="28"/>
        <v>0</v>
      </c>
      <c r="CX71" s="539">
        <f t="shared" si="28"/>
        <v>0</v>
      </c>
      <c r="CY71" s="539">
        <f t="shared" si="28"/>
        <v>0</v>
      </c>
      <c r="CZ71" s="539">
        <f t="shared" si="28"/>
        <v>0</v>
      </c>
      <c r="DA71" s="539">
        <f t="shared" si="28"/>
        <v>0</v>
      </c>
      <c r="DB71" s="539">
        <f t="shared" si="28"/>
        <v>0</v>
      </c>
      <c r="DC71" s="539">
        <f t="shared" si="28"/>
        <v>0</v>
      </c>
      <c r="DD71" s="539">
        <f t="shared" si="28"/>
        <v>0</v>
      </c>
      <c r="DE71" s="539">
        <f t="shared" si="28"/>
        <v>0</v>
      </c>
      <c r="DF71" s="539">
        <f t="shared" si="28"/>
        <v>0</v>
      </c>
      <c r="DG71" s="539">
        <f t="shared" si="28"/>
        <v>0</v>
      </c>
      <c r="DH71" s="539">
        <f t="shared" si="28"/>
        <v>0</v>
      </c>
      <c r="DI71" s="539">
        <f t="shared" si="28"/>
        <v>0</v>
      </c>
      <c r="DJ71" s="539">
        <f t="shared" si="28"/>
        <v>0</v>
      </c>
      <c r="DK71" s="539">
        <f t="shared" si="28"/>
        <v>0</v>
      </c>
      <c r="DL71" s="539">
        <f t="shared" si="28"/>
        <v>0</v>
      </c>
      <c r="DM71" s="539">
        <f t="shared" si="28"/>
        <v>0</v>
      </c>
      <c r="DN71" s="539">
        <f t="shared" si="28"/>
        <v>0</v>
      </c>
      <c r="DO71" s="539">
        <f t="shared" si="28"/>
        <v>0</v>
      </c>
      <c r="DP71" s="539">
        <f t="shared" si="28"/>
        <v>0</v>
      </c>
      <c r="DQ71" s="539">
        <f t="shared" si="28"/>
        <v>0</v>
      </c>
      <c r="DR71" s="539">
        <f t="shared" si="28"/>
        <v>0</v>
      </c>
      <c r="DS71" s="539">
        <f t="shared" si="28"/>
        <v>0</v>
      </c>
      <c r="DT71" s="539">
        <f t="shared" si="28"/>
        <v>0</v>
      </c>
      <c r="DU71" s="539">
        <f t="shared" si="28"/>
        <v>0</v>
      </c>
      <c r="DV71" s="539">
        <f t="shared" si="28"/>
        <v>0</v>
      </c>
      <c r="DW71" s="539">
        <f t="shared" si="28"/>
        <v>0</v>
      </c>
      <c r="DX71" s="539">
        <f t="shared" si="28"/>
        <v>0</v>
      </c>
      <c r="DY71" s="539">
        <f t="shared" si="28"/>
        <v>0</v>
      </c>
      <c r="DZ71" s="539">
        <f t="shared" si="28"/>
        <v>0</v>
      </c>
      <c r="EA71" s="539">
        <f t="shared" si="28"/>
        <v>0</v>
      </c>
      <c r="EB71" s="539">
        <f t="shared" si="28"/>
        <v>0</v>
      </c>
      <c r="EC71" s="539">
        <f t="shared" si="28"/>
        <v>0</v>
      </c>
      <c r="ED71" s="539">
        <f t="shared" si="28"/>
        <v>0</v>
      </c>
      <c r="EE71" s="539">
        <f t="shared" si="28"/>
        <v>0</v>
      </c>
      <c r="EF71" s="539">
        <f t="shared" si="28"/>
        <v>0</v>
      </c>
      <c r="EG71" s="539">
        <f t="shared" si="28"/>
        <v>0</v>
      </c>
    </row>
    <row r="72" spans="5:137" ht="12.75">
      <c r="E72" s="540" t="s">
        <v>171</v>
      </c>
      <c r="G72" s="541" t="s">
        <v>158</v>
      </c>
      <c r="H72" s="541">
        <f>SUM(J72:EG72)</f>
        <v>21</v>
      </c>
      <c r="J72" s="541">
        <f t="shared" si="29" ref="J72:EG72">I72+J70-I71</f>
        <v>0</v>
      </c>
      <c r="K72" s="541">
        <f t="shared" si="29"/>
        <v>0</v>
      </c>
      <c r="L72" s="541">
        <f t="shared" si="29"/>
        <v>0</v>
      </c>
      <c r="M72" s="541">
        <f t="shared" si="29"/>
        <v>1</v>
      </c>
      <c r="N72" s="541">
        <f t="shared" si="29"/>
        <v>1</v>
      </c>
      <c r="O72" s="541">
        <f t="shared" si="29"/>
        <v>1</v>
      </c>
      <c r="P72" s="541">
        <f t="shared" si="29"/>
        <v>1</v>
      </c>
      <c r="Q72" s="541">
        <f t="shared" si="29"/>
        <v>1</v>
      </c>
      <c r="R72" s="541">
        <f t="shared" si="29"/>
        <v>1</v>
      </c>
      <c r="S72" s="541">
        <f t="shared" si="29"/>
        <v>1</v>
      </c>
      <c r="T72" s="541">
        <f t="shared" si="29"/>
        <v>1</v>
      </c>
      <c r="U72" s="541">
        <f t="shared" si="29"/>
        <v>1</v>
      </c>
      <c r="V72" s="541">
        <f t="shared" si="29"/>
        <v>1</v>
      </c>
      <c r="W72" s="541">
        <f t="shared" si="29"/>
        <v>1</v>
      </c>
      <c r="X72" s="541">
        <f t="shared" si="29"/>
        <v>1</v>
      </c>
      <c r="Y72" s="541">
        <f t="shared" si="29"/>
        <v>1</v>
      </c>
      <c r="Z72" s="541">
        <f t="shared" si="29"/>
        <v>1</v>
      </c>
      <c r="AA72" s="541">
        <f t="shared" si="29"/>
        <v>1</v>
      </c>
      <c r="AB72" s="541">
        <f t="shared" si="29"/>
        <v>1</v>
      </c>
      <c r="AC72" s="541">
        <f t="shared" si="29"/>
        <v>1</v>
      </c>
      <c r="AD72" s="541">
        <f t="shared" si="29"/>
        <v>1</v>
      </c>
      <c r="AE72" s="541">
        <f t="shared" si="29"/>
        <v>1</v>
      </c>
      <c r="AF72" s="541">
        <f t="shared" si="29"/>
        <v>1</v>
      </c>
      <c r="AG72" s="541">
        <f t="shared" si="29"/>
        <v>1</v>
      </c>
      <c r="AH72" s="541">
        <f t="shared" si="29"/>
        <v>0</v>
      </c>
      <c r="AI72" s="541">
        <f t="shared" si="29"/>
        <v>0</v>
      </c>
      <c r="AJ72" s="541">
        <f t="shared" si="29"/>
        <v>0</v>
      </c>
      <c r="AK72" s="541">
        <f t="shared" si="29"/>
        <v>0</v>
      </c>
      <c r="AL72" s="541">
        <f t="shared" si="29"/>
        <v>0</v>
      </c>
      <c r="AM72" s="541">
        <f t="shared" si="29"/>
        <v>0</v>
      </c>
      <c r="AN72" s="541">
        <f t="shared" si="29"/>
        <v>0</v>
      </c>
      <c r="AO72" s="541">
        <f t="shared" si="29"/>
        <v>0</v>
      </c>
      <c r="AP72" s="541">
        <f t="shared" si="29"/>
        <v>0</v>
      </c>
      <c r="AQ72" s="541">
        <f t="shared" si="29"/>
        <v>0</v>
      </c>
      <c r="AR72" s="541">
        <f t="shared" si="29"/>
        <v>0</v>
      </c>
      <c r="AS72" s="541">
        <f t="shared" si="29"/>
        <v>0</v>
      </c>
      <c r="AT72" s="541">
        <f t="shared" si="29"/>
        <v>0</v>
      </c>
      <c r="AU72" s="541">
        <f t="shared" si="29"/>
        <v>0</v>
      </c>
      <c r="AV72" s="541">
        <f t="shared" si="29"/>
        <v>0</v>
      </c>
      <c r="AW72" s="541">
        <f t="shared" si="29"/>
        <v>0</v>
      </c>
      <c r="AX72" s="541">
        <f t="shared" si="29"/>
        <v>0</v>
      </c>
      <c r="AY72" s="541">
        <f t="shared" si="29"/>
        <v>0</v>
      </c>
      <c r="AZ72" s="541">
        <f t="shared" si="29"/>
        <v>0</v>
      </c>
      <c r="BA72" s="541">
        <f t="shared" si="29"/>
        <v>0</v>
      </c>
      <c r="BB72" s="541">
        <f t="shared" si="29"/>
        <v>0</v>
      </c>
      <c r="BC72" s="541">
        <f t="shared" si="29"/>
        <v>0</v>
      </c>
      <c r="BD72" s="541">
        <f t="shared" si="29"/>
        <v>0</v>
      </c>
      <c r="BE72" s="541">
        <f t="shared" si="29"/>
        <v>0</v>
      </c>
      <c r="BF72" s="541">
        <f t="shared" si="29"/>
        <v>0</v>
      </c>
      <c r="BG72" s="541">
        <f t="shared" si="29"/>
        <v>0</v>
      </c>
      <c r="BH72" s="541">
        <f t="shared" si="29"/>
        <v>0</v>
      </c>
      <c r="BI72" s="541">
        <f t="shared" si="29"/>
        <v>0</v>
      </c>
      <c r="BJ72" s="541">
        <f t="shared" si="29"/>
        <v>0</v>
      </c>
      <c r="BK72" s="541">
        <f t="shared" si="29"/>
        <v>0</v>
      </c>
      <c r="BL72" s="541">
        <f t="shared" si="29"/>
        <v>0</v>
      </c>
      <c r="BM72" s="541">
        <f t="shared" si="29"/>
        <v>0</v>
      </c>
      <c r="BN72" s="541">
        <f t="shared" si="29"/>
        <v>0</v>
      </c>
      <c r="BO72" s="541">
        <f t="shared" si="29"/>
        <v>0</v>
      </c>
      <c r="BP72" s="541">
        <f t="shared" si="29"/>
        <v>0</v>
      </c>
      <c r="BQ72" s="541">
        <f t="shared" si="29"/>
        <v>0</v>
      </c>
      <c r="BR72" s="541">
        <f t="shared" si="29"/>
        <v>0</v>
      </c>
      <c r="BS72" s="541">
        <f t="shared" si="29"/>
        <v>0</v>
      </c>
      <c r="BT72" s="541">
        <f t="shared" si="29"/>
        <v>0</v>
      </c>
      <c r="BU72" s="541">
        <f t="shared" si="29"/>
        <v>0</v>
      </c>
      <c r="BV72" s="541">
        <f t="shared" si="29"/>
        <v>0</v>
      </c>
      <c r="BW72" s="541">
        <f t="shared" si="29"/>
        <v>0</v>
      </c>
      <c r="BX72" s="541">
        <f t="shared" si="29"/>
        <v>0</v>
      </c>
      <c r="BY72" s="541">
        <f t="shared" si="29"/>
        <v>0</v>
      </c>
      <c r="BZ72" s="541">
        <f t="shared" si="29"/>
        <v>0</v>
      </c>
      <c r="CA72" s="541">
        <f t="shared" si="29"/>
        <v>0</v>
      </c>
      <c r="CB72" s="541">
        <f t="shared" si="29"/>
        <v>0</v>
      </c>
      <c r="CC72" s="541">
        <f t="shared" si="29"/>
        <v>0</v>
      </c>
      <c r="CD72" s="541">
        <f t="shared" si="29"/>
        <v>0</v>
      </c>
      <c r="CE72" s="541">
        <f t="shared" si="29"/>
        <v>0</v>
      </c>
      <c r="CF72" s="541">
        <f t="shared" si="29"/>
        <v>0</v>
      </c>
      <c r="CG72" s="541">
        <f t="shared" si="29"/>
        <v>0</v>
      </c>
      <c r="CH72" s="541">
        <f t="shared" si="29"/>
        <v>0</v>
      </c>
      <c r="CI72" s="541">
        <f t="shared" si="29"/>
        <v>0</v>
      </c>
      <c r="CJ72" s="541">
        <f t="shared" si="29"/>
        <v>0</v>
      </c>
      <c r="CK72" s="541">
        <f t="shared" si="29"/>
        <v>0</v>
      </c>
      <c r="CL72" s="541">
        <f t="shared" si="29"/>
        <v>0</v>
      </c>
      <c r="CM72" s="541">
        <f t="shared" si="29"/>
        <v>0</v>
      </c>
      <c r="CN72" s="541">
        <f t="shared" si="29"/>
        <v>0</v>
      </c>
      <c r="CO72" s="541">
        <f t="shared" si="29"/>
        <v>0</v>
      </c>
      <c r="CP72" s="541">
        <f t="shared" si="29"/>
        <v>0</v>
      </c>
      <c r="CQ72" s="541">
        <f t="shared" si="29"/>
        <v>0</v>
      </c>
      <c r="CR72" s="541">
        <f t="shared" si="29"/>
        <v>0</v>
      </c>
      <c r="CS72" s="541">
        <f t="shared" si="29"/>
        <v>0</v>
      </c>
      <c r="CT72" s="541">
        <f t="shared" si="29"/>
        <v>0</v>
      </c>
      <c r="CU72" s="541">
        <f t="shared" si="29"/>
        <v>0</v>
      </c>
      <c r="CV72" s="541">
        <f t="shared" si="29"/>
        <v>0</v>
      </c>
      <c r="CW72" s="541">
        <f t="shared" si="29"/>
        <v>0</v>
      </c>
      <c r="CX72" s="541">
        <f t="shared" si="29"/>
        <v>0</v>
      </c>
      <c r="CY72" s="541">
        <f t="shared" si="29"/>
        <v>0</v>
      </c>
      <c r="CZ72" s="541">
        <f t="shared" si="29"/>
        <v>0</v>
      </c>
      <c r="DA72" s="541">
        <f t="shared" si="29"/>
        <v>0</v>
      </c>
      <c r="DB72" s="541">
        <f t="shared" si="29"/>
        <v>0</v>
      </c>
      <c r="DC72" s="541">
        <f t="shared" si="29"/>
        <v>0</v>
      </c>
      <c r="DD72" s="541">
        <f t="shared" si="29"/>
        <v>0</v>
      </c>
      <c r="DE72" s="541">
        <f t="shared" si="29"/>
        <v>0</v>
      </c>
      <c r="DF72" s="541">
        <f t="shared" si="29"/>
        <v>0</v>
      </c>
      <c r="DG72" s="541">
        <f t="shared" si="29"/>
        <v>0</v>
      </c>
      <c r="DH72" s="541">
        <f t="shared" si="29"/>
        <v>0</v>
      </c>
      <c r="DI72" s="541">
        <f t="shared" si="29"/>
        <v>0</v>
      </c>
      <c r="DJ72" s="541">
        <f t="shared" si="29"/>
        <v>0</v>
      </c>
      <c r="DK72" s="541">
        <f t="shared" si="29"/>
        <v>0</v>
      </c>
      <c r="DL72" s="541">
        <f t="shared" si="29"/>
        <v>0</v>
      </c>
      <c r="DM72" s="541">
        <f t="shared" si="29"/>
        <v>0</v>
      </c>
      <c r="DN72" s="541">
        <f t="shared" si="29"/>
        <v>0</v>
      </c>
      <c r="DO72" s="541">
        <f t="shared" si="29"/>
        <v>0</v>
      </c>
      <c r="DP72" s="541">
        <f t="shared" si="29"/>
        <v>0</v>
      </c>
      <c r="DQ72" s="541">
        <f t="shared" si="29"/>
        <v>0</v>
      </c>
      <c r="DR72" s="541">
        <f t="shared" si="29"/>
        <v>0</v>
      </c>
      <c r="DS72" s="541">
        <f t="shared" si="29"/>
        <v>0</v>
      </c>
      <c r="DT72" s="541">
        <f t="shared" si="29"/>
        <v>0</v>
      </c>
      <c r="DU72" s="541">
        <f t="shared" si="29"/>
        <v>0</v>
      </c>
      <c r="DV72" s="541">
        <f t="shared" si="29"/>
        <v>0</v>
      </c>
      <c r="DW72" s="541">
        <f t="shared" si="29"/>
        <v>0</v>
      </c>
      <c r="DX72" s="541">
        <f t="shared" si="29"/>
        <v>0</v>
      </c>
      <c r="DY72" s="541">
        <f t="shared" si="29"/>
        <v>0</v>
      </c>
      <c r="DZ72" s="541">
        <f t="shared" si="29"/>
        <v>0</v>
      </c>
      <c r="EA72" s="541">
        <f t="shared" si="29"/>
        <v>0</v>
      </c>
      <c r="EB72" s="541">
        <f t="shared" si="29"/>
        <v>0</v>
      </c>
      <c r="EC72" s="541">
        <f t="shared" si="29"/>
        <v>0</v>
      </c>
      <c r="ED72" s="541">
        <f t="shared" si="29"/>
        <v>0</v>
      </c>
      <c r="EE72" s="541">
        <f t="shared" si="29"/>
        <v>0</v>
      </c>
      <c r="EF72" s="541">
        <f t="shared" si="29"/>
        <v>0</v>
      </c>
      <c r="EG72" s="541">
        <f t="shared" si="29"/>
        <v>0</v>
      </c>
    </row>
    <row r="74" spans="2:2" ht="12.75">
      <c r="B74" s="534" t="s">
        <v>172</v>
      </c>
    </row>
    <row r="75" spans="5:137" ht="12.75">
      <c r="E75" s="538" t="str">
        <f>E$67</f>
        <v>End of construction period flag</v>
      </c>
      <c r="G75" s="539" t="str">
        <f>G$67</f>
        <v>flag</v>
      </c>
      <c r="H75" s="539">
        <f>H$67</f>
        <v>1</v>
      </c>
      <c r="J75" s="539">
        <f t="shared" si="30" ref="J75:EG75">J$67</f>
        <v>0</v>
      </c>
      <c r="K75" s="539">
        <f t="shared" si="30"/>
        <v>0</v>
      </c>
      <c r="L75" s="539">
        <f t="shared" si="30"/>
        <v>0</v>
      </c>
      <c r="M75" s="539">
        <f t="shared" si="30"/>
        <v>0</v>
      </c>
      <c r="N75" s="539">
        <f t="shared" si="30"/>
        <v>0</v>
      </c>
      <c r="O75" s="539">
        <f t="shared" si="30"/>
        <v>0</v>
      </c>
      <c r="P75" s="539">
        <f t="shared" si="30"/>
        <v>0</v>
      </c>
      <c r="Q75" s="539">
        <f t="shared" si="30"/>
        <v>0</v>
      </c>
      <c r="R75" s="539">
        <f t="shared" si="30"/>
        <v>0</v>
      </c>
      <c r="S75" s="539">
        <f t="shared" si="30"/>
        <v>0</v>
      </c>
      <c r="T75" s="539">
        <f t="shared" si="30"/>
        <v>0</v>
      </c>
      <c r="U75" s="539">
        <f t="shared" si="30"/>
        <v>0</v>
      </c>
      <c r="V75" s="539">
        <f t="shared" si="30"/>
        <v>0</v>
      </c>
      <c r="W75" s="539">
        <f t="shared" si="30"/>
        <v>0</v>
      </c>
      <c r="X75" s="539">
        <f t="shared" si="30"/>
        <v>0</v>
      </c>
      <c r="Y75" s="539">
        <f t="shared" si="30"/>
        <v>0</v>
      </c>
      <c r="Z75" s="539">
        <f t="shared" si="30"/>
        <v>0</v>
      </c>
      <c r="AA75" s="539">
        <f t="shared" si="30"/>
        <v>0</v>
      </c>
      <c r="AB75" s="539">
        <f t="shared" si="30"/>
        <v>0</v>
      </c>
      <c r="AC75" s="539">
        <f t="shared" si="30"/>
        <v>0</v>
      </c>
      <c r="AD75" s="539">
        <f t="shared" si="30"/>
        <v>0</v>
      </c>
      <c r="AE75" s="539">
        <f t="shared" si="30"/>
        <v>0</v>
      </c>
      <c r="AF75" s="539">
        <f t="shared" si="30"/>
        <v>0</v>
      </c>
      <c r="AG75" s="539">
        <f t="shared" si="30"/>
        <v>1</v>
      </c>
      <c r="AH75" s="539">
        <f t="shared" si="30"/>
        <v>0</v>
      </c>
      <c r="AI75" s="539">
        <f t="shared" si="30"/>
        <v>0</v>
      </c>
      <c r="AJ75" s="539">
        <f t="shared" si="30"/>
        <v>0</v>
      </c>
      <c r="AK75" s="539">
        <f t="shared" si="30"/>
        <v>0</v>
      </c>
      <c r="AL75" s="539">
        <f t="shared" si="30"/>
        <v>0</v>
      </c>
      <c r="AM75" s="539">
        <f t="shared" si="30"/>
        <v>0</v>
      </c>
      <c r="AN75" s="539">
        <f t="shared" si="30"/>
        <v>0</v>
      </c>
      <c r="AO75" s="539">
        <f t="shared" si="30"/>
        <v>0</v>
      </c>
      <c r="AP75" s="539">
        <f t="shared" si="30"/>
        <v>0</v>
      </c>
      <c r="AQ75" s="539">
        <f t="shared" si="30"/>
        <v>0</v>
      </c>
      <c r="AR75" s="539">
        <f t="shared" si="30"/>
        <v>0</v>
      </c>
      <c r="AS75" s="539">
        <f t="shared" si="30"/>
        <v>0</v>
      </c>
      <c r="AT75" s="539">
        <f t="shared" si="30"/>
        <v>0</v>
      </c>
      <c r="AU75" s="539">
        <f t="shared" si="30"/>
        <v>0</v>
      </c>
      <c r="AV75" s="539">
        <f t="shared" si="30"/>
        <v>0</v>
      </c>
      <c r="AW75" s="539">
        <f t="shared" si="30"/>
        <v>0</v>
      </c>
      <c r="AX75" s="539">
        <f t="shared" si="30"/>
        <v>0</v>
      </c>
      <c r="AY75" s="539">
        <f t="shared" si="30"/>
        <v>0</v>
      </c>
      <c r="AZ75" s="539">
        <f t="shared" si="30"/>
        <v>0</v>
      </c>
      <c r="BA75" s="539">
        <f t="shared" si="30"/>
        <v>0</v>
      </c>
      <c r="BB75" s="539">
        <f t="shared" si="30"/>
        <v>0</v>
      </c>
      <c r="BC75" s="539">
        <f t="shared" si="30"/>
        <v>0</v>
      </c>
      <c r="BD75" s="539">
        <f t="shared" si="30"/>
        <v>0</v>
      </c>
      <c r="BE75" s="539">
        <f t="shared" si="30"/>
        <v>0</v>
      </c>
      <c r="BF75" s="539">
        <f t="shared" si="30"/>
        <v>0</v>
      </c>
      <c r="BG75" s="539">
        <f t="shared" si="30"/>
        <v>0</v>
      </c>
      <c r="BH75" s="539">
        <f t="shared" si="30"/>
        <v>0</v>
      </c>
      <c r="BI75" s="539">
        <f t="shared" si="30"/>
        <v>0</v>
      </c>
      <c r="BJ75" s="539">
        <f t="shared" si="30"/>
        <v>0</v>
      </c>
      <c r="BK75" s="539">
        <f t="shared" si="30"/>
        <v>0</v>
      </c>
      <c r="BL75" s="539">
        <f t="shared" si="30"/>
        <v>0</v>
      </c>
      <c r="BM75" s="539">
        <f t="shared" si="30"/>
        <v>0</v>
      </c>
      <c r="BN75" s="539">
        <f t="shared" si="30"/>
        <v>0</v>
      </c>
      <c r="BO75" s="539">
        <f t="shared" si="30"/>
        <v>0</v>
      </c>
      <c r="BP75" s="539">
        <f t="shared" si="30"/>
        <v>0</v>
      </c>
      <c r="BQ75" s="539">
        <f t="shared" si="30"/>
        <v>0</v>
      </c>
      <c r="BR75" s="539">
        <f t="shared" si="30"/>
        <v>0</v>
      </c>
      <c r="BS75" s="539">
        <f t="shared" si="30"/>
        <v>0</v>
      </c>
      <c r="BT75" s="539">
        <f t="shared" si="30"/>
        <v>0</v>
      </c>
      <c r="BU75" s="539">
        <f t="shared" si="30"/>
        <v>0</v>
      </c>
      <c r="BV75" s="539">
        <f t="shared" si="30"/>
        <v>0</v>
      </c>
      <c r="BW75" s="539">
        <f t="shared" si="30"/>
        <v>0</v>
      </c>
      <c r="BX75" s="539">
        <f t="shared" si="30"/>
        <v>0</v>
      </c>
      <c r="BY75" s="539">
        <f t="shared" si="30"/>
        <v>0</v>
      </c>
      <c r="BZ75" s="539">
        <f t="shared" si="30"/>
        <v>0</v>
      </c>
      <c r="CA75" s="539">
        <f t="shared" si="30"/>
        <v>0</v>
      </c>
      <c r="CB75" s="539">
        <f t="shared" si="30"/>
        <v>0</v>
      </c>
      <c r="CC75" s="539">
        <f t="shared" si="30"/>
        <v>0</v>
      </c>
      <c r="CD75" s="539">
        <f t="shared" si="30"/>
        <v>0</v>
      </c>
      <c r="CE75" s="539">
        <f t="shared" si="30"/>
        <v>0</v>
      </c>
      <c r="CF75" s="539">
        <f t="shared" si="30"/>
        <v>0</v>
      </c>
      <c r="CG75" s="539">
        <f t="shared" si="30"/>
        <v>0</v>
      </c>
      <c r="CH75" s="539">
        <f t="shared" si="30"/>
        <v>0</v>
      </c>
      <c r="CI75" s="539">
        <f t="shared" si="30"/>
        <v>0</v>
      </c>
      <c r="CJ75" s="539">
        <f t="shared" si="30"/>
        <v>0</v>
      </c>
      <c r="CK75" s="539">
        <f t="shared" si="30"/>
        <v>0</v>
      </c>
      <c r="CL75" s="539">
        <f t="shared" si="30"/>
        <v>0</v>
      </c>
      <c r="CM75" s="539">
        <f t="shared" si="30"/>
        <v>0</v>
      </c>
      <c r="CN75" s="539">
        <f t="shared" si="30"/>
        <v>0</v>
      </c>
      <c r="CO75" s="539">
        <f t="shared" si="30"/>
        <v>0</v>
      </c>
      <c r="CP75" s="539">
        <f t="shared" si="30"/>
        <v>0</v>
      </c>
      <c r="CQ75" s="539">
        <f t="shared" si="30"/>
        <v>0</v>
      </c>
      <c r="CR75" s="539">
        <f t="shared" si="30"/>
        <v>0</v>
      </c>
      <c r="CS75" s="539">
        <f t="shared" si="30"/>
        <v>0</v>
      </c>
      <c r="CT75" s="539">
        <f t="shared" si="30"/>
        <v>0</v>
      </c>
      <c r="CU75" s="539">
        <f t="shared" si="30"/>
        <v>0</v>
      </c>
      <c r="CV75" s="539">
        <f t="shared" si="30"/>
        <v>0</v>
      </c>
      <c r="CW75" s="539">
        <f t="shared" si="30"/>
        <v>0</v>
      </c>
      <c r="CX75" s="539">
        <f t="shared" si="30"/>
        <v>0</v>
      </c>
      <c r="CY75" s="539">
        <f t="shared" si="30"/>
        <v>0</v>
      </c>
      <c r="CZ75" s="539">
        <f t="shared" si="30"/>
        <v>0</v>
      </c>
      <c r="DA75" s="539">
        <f t="shared" si="30"/>
        <v>0</v>
      </c>
      <c r="DB75" s="539">
        <f t="shared" si="30"/>
        <v>0</v>
      </c>
      <c r="DC75" s="539">
        <f t="shared" si="30"/>
        <v>0</v>
      </c>
      <c r="DD75" s="539">
        <f t="shared" si="30"/>
        <v>0</v>
      </c>
      <c r="DE75" s="539">
        <f t="shared" si="30"/>
        <v>0</v>
      </c>
      <c r="DF75" s="539">
        <f t="shared" si="30"/>
        <v>0</v>
      </c>
      <c r="DG75" s="539">
        <f t="shared" si="30"/>
        <v>0</v>
      </c>
      <c r="DH75" s="539">
        <f t="shared" si="30"/>
        <v>0</v>
      </c>
      <c r="DI75" s="539">
        <f t="shared" si="30"/>
        <v>0</v>
      </c>
      <c r="DJ75" s="539">
        <f t="shared" si="30"/>
        <v>0</v>
      </c>
      <c r="DK75" s="539">
        <f t="shared" si="30"/>
        <v>0</v>
      </c>
      <c r="DL75" s="539">
        <f t="shared" si="30"/>
        <v>0</v>
      </c>
      <c r="DM75" s="539">
        <f t="shared" si="30"/>
        <v>0</v>
      </c>
      <c r="DN75" s="539">
        <f t="shared" si="30"/>
        <v>0</v>
      </c>
      <c r="DO75" s="539">
        <f t="shared" si="30"/>
        <v>0</v>
      </c>
      <c r="DP75" s="539">
        <f t="shared" si="30"/>
        <v>0</v>
      </c>
      <c r="DQ75" s="539">
        <f t="shared" si="30"/>
        <v>0</v>
      </c>
      <c r="DR75" s="539">
        <f t="shared" si="30"/>
        <v>0</v>
      </c>
      <c r="DS75" s="539">
        <f t="shared" si="30"/>
        <v>0</v>
      </c>
      <c r="DT75" s="539">
        <f t="shared" si="30"/>
        <v>0</v>
      </c>
      <c r="DU75" s="539">
        <f t="shared" si="30"/>
        <v>0</v>
      </c>
      <c r="DV75" s="539">
        <f t="shared" si="30"/>
        <v>0</v>
      </c>
      <c r="DW75" s="539">
        <f t="shared" si="30"/>
        <v>0</v>
      </c>
      <c r="DX75" s="539">
        <f t="shared" si="30"/>
        <v>0</v>
      </c>
      <c r="DY75" s="539">
        <f t="shared" si="30"/>
        <v>0</v>
      </c>
      <c r="DZ75" s="539">
        <f t="shared" si="30"/>
        <v>0</v>
      </c>
      <c r="EA75" s="539">
        <f t="shared" si="30"/>
        <v>0</v>
      </c>
      <c r="EB75" s="539">
        <f t="shared" si="30"/>
        <v>0</v>
      </c>
      <c r="EC75" s="539">
        <f t="shared" si="30"/>
        <v>0</v>
      </c>
      <c r="ED75" s="539">
        <f t="shared" si="30"/>
        <v>0</v>
      </c>
      <c r="EE75" s="539">
        <f t="shared" si="30"/>
        <v>0</v>
      </c>
      <c r="EF75" s="539">
        <f t="shared" si="30"/>
        <v>0</v>
      </c>
      <c r="EG75" s="539">
        <f t="shared" si="30"/>
        <v>0</v>
      </c>
    </row>
    <row r="76" spans="5:137" ht="12.75">
      <c r="E76" s="540" t="s">
        <v>172</v>
      </c>
      <c r="G76" s="541" t="s">
        <v>158</v>
      </c>
      <c r="H76" s="541">
        <f>SUM(J76:EG76)</f>
        <v>1</v>
      </c>
      <c r="J76" s="541">
        <f t="shared" si="31" ref="J76:EG76">I75</f>
        <v>0</v>
      </c>
      <c r="K76" s="541">
        <f t="shared" si="31"/>
        <v>0</v>
      </c>
      <c r="L76" s="541">
        <f t="shared" si="31"/>
        <v>0</v>
      </c>
      <c r="M76" s="541">
        <f t="shared" si="31"/>
        <v>0</v>
      </c>
      <c r="N76" s="541">
        <f t="shared" si="31"/>
        <v>0</v>
      </c>
      <c r="O76" s="541">
        <f t="shared" si="31"/>
        <v>0</v>
      </c>
      <c r="P76" s="541">
        <f t="shared" si="31"/>
        <v>0</v>
      </c>
      <c r="Q76" s="541">
        <f t="shared" si="31"/>
        <v>0</v>
      </c>
      <c r="R76" s="541">
        <f t="shared" si="31"/>
        <v>0</v>
      </c>
      <c r="S76" s="541">
        <f t="shared" si="31"/>
        <v>0</v>
      </c>
      <c r="T76" s="541">
        <f t="shared" si="31"/>
        <v>0</v>
      </c>
      <c r="U76" s="541">
        <f t="shared" si="31"/>
        <v>0</v>
      </c>
      <c r="V76" s="541">
        <f t="shared" si="31"/>
        <v>0</v>
      </c>
      <c r="W76" s="541">
        <f t="shared" si="31"/>
        <v>0</v>
      </c>
      <c r="X76" s="541">
        <f t="shared" si="31"/>
        <v>0</v>
      </c>
      <c r="Y76" s="541">
        <f t="shared" si="31"/>
        <v>0</v>
      </c>
      <c r="Z76" s="541">
        <f t="shared" si="31"/>
        <v>0</v>
      </c>
      <c r="AA76" s="541">
        <f t="shared" si="31"/>
        <v>0</v>
      </c>
      <c r="AB76" s="541">
        <f t="shared" si="31"/>
        <v>0</v>
      </c>
      <c r="AC76" s="541">
        <f t="shared" si="31"/>
        <v>0</v>
      </c>
      <c r="AD76" s="541">
        <f t="shared" si="31"/>
        <v>0</v>
      </c>
      <c r="AE76" s="541">
        <f t="shared" si="31"/>
        <v>0</v>
      </c>
      <c r="AF76" s="541">
        <f t="shared" si="31"/>
        <v>0</v>
      </c>
      <c r="AG76" s="541">
        <f t="shared" si="31"/>
        <v>0</v>
      </c>
      <c r="AH76" s="541">
        <f t="shared" si="31"/>
        <v>1</v>
      </c>
      <c r="AI76" s="541">
        <f t="shared" si="31"/>
        <v>0</v>
      </c>
      <c r="AJ76" s="541">
        <f t="shared" si="31"/>
        <v>0</v>
      </c>
      <c r="AK76" s="541">
        <f t="shared" si="31"/>
        <v>0</v>
      </c>
      <c r="AL76" s="541">
        <f t="shared" si="31"/>
        <v>0</v>
      </c>
      <c r="AM76" s="541">
        <f t="shared" si="31"/>
        <v>0</v>
      </c>
      <c r="AN76" s="541">
        <f t="shared" si="31"/>
        <v>0</v>
      </c>
      <c r="AO76" s="541">
        <f t="shared" si="31"/>
        <v>0</v>
      </c>
      <c r="AP76" s="541">
        <f t="shared" si="31"/>
        <v>0</v>
      </c>
      <c r="AQ76" s="541">
        <f t="shared" si="31"/>
        <v>0</v>
      </c>
      <c r="AR76" s="541">
        <f t="shared" si="31"/>
        <v>0</v>
      </c>
      <c r="AS76" s="541">
        <f t="shared" si="31"/>
        <v>0</v>
      </c>
      <c r="AT76" s="541">
        <f t="shared" si="31"/>
        <v>0</v>
      </c>
      <c r="AU76" s="541">
        <f t="shared" si="31"/>
        <v>0</v>
      </c>
      <c r="AV76" s="541">
        <f t="shared" si="31"/>
        <v>0</v>
      </c>
      <c r="AW76" s="541">
        <f t="shared" si="31"/>
        <v>0</v>
      </c>
      <c r="AX76" s="541">
        <f t="shared" si="31"/>
        <v>0</v>
      </c>
      <c r="AY76" s="541">
        <f t="shared" si="31"/>
        <v>0</v>
      </c>
      <c r="AZ76" s="541">
        <f t="shared" si="31"/>
        <v>0</v>
      </c>
      <c r="BA76" s="541">
        <f t="shared" si="31"/>
        <v>0</v>
      </c>
      <c r="BB76" s="541">
        <f t="shared" si="31"/>
        <v>0</v>
      </c>
      <c r="BC76" s="541">
        <f t="shared" si="31"/>
        <v>0</v>
      </c>
      <c r="BD76" s="541">
        <f t="shared" si="31"/>
        <v>0</v>
      </c>
      <c r="BE76" s="541">
        <f t="shared" si="31"/>
        <v>0</v>
      </c>
      <c r="BF76" s="541">
        <f t="shared" si="31"/>
        <v>0</v>
      </c>
      <c r="BG76" s="541">
        <f t="shared" si="31"/>
        <v>0</v>
      </c>
      <c r="BH76" s="541">
        <f t="shared" si="31"/>
        <v>0</v>
      </c>
      <c r="BI76" s="541">
        <f t="shared" si="31"/>
        <v>0</v>
      </c>
      <c r="BJ76" s="541">
        <f t="shared" si="31"/>
        <v>0</v>
      </c>
      <c r="BK76" s="541">
        <f t="shared" si="31"/>
        <v>0</v>
      </c>
      <c r="BL76" s="541">
        <f t="shared" si="31"/>
        <v>0</v>
      </c>
      <c r="BM76" s="541">
        <f t="shared" si="31"/>
        <v>0</v>
      </c>
      <c r="BN76" s="541">
        <f t="shared" si="31"/>
        <v>0</v>
      </c>
      <c r="BO76" s="541">
        <f t="shared" si="31"/>
        <v>0</v>
      </c>
      <c r="BP76" s="541">
        <f t="shared" si="31"/>
        <v>0</v>
      </c>
      <c r="BQ76" s="541">
        <f t="shared" si="31"/>
        <v>0</v>
      </c>
      <c r="BR76" s="541">
        <f t="shared" si="31"/>
        <v>0</v>
      </c>
      <c r="BS76" s="541">
        <f t="shared" si="31"/>
        <v>0</v>
      </c>
      <c r="BT76" s="541">
        <f t="shared" si="31"/>
        <v>0</v>
      </c>
      <c r="BU76" s="541">
        <f t="shared" si="31"/>
        <v>0</v>
      </c>
      <c r="BV76" s="541">
        <f t="shared" si="31"/>
        <v>0</v>
      </c>
      <c r="BW76" s="541">
        <f t="shared" si="31"/>
        <v>0</v>
      </c>
      <c r="BX76" s="541">
        <f t="shared" si="31"/>
        <v>0</v>
      </c>
      <c r="BY76" s="541">
        <f t="shared" si="31"/>
        <v>0</v>
      </c>
      <c r="BZ76" s="541">
        <f t="shared" si="31"/>
        <v>0</v>
      </c>
      <c r="CA76" s="541">
        <f t="shared" si="31"/>
        <v>0</v>
      </c>
      <c r="CB76" s="541">
        <f t="shared" si="31"/>
        <v>0</v>
      </c>
      <c r="CC76" s="541">
        <f t="shared" si="31"/>
        <v>0</v>
      </c>
      <c r="CD76" s="541">
        <f t="shared" si="31"/>
        <v>0</v>
      </c>
      <c r="CE76" s="541">
        <f t="shared" si="31"/>
        <v>0</v>
      </c>
      <c r="CF76" s="541">
        <f t="shared" si="31"/>
        <v>0</v>
      </c>
      <c r="CG76" s="541">
        <f t="shared" si="31"/>
        <v>0</v>
      </c>
      <c r="CH76" s="541">
        <f t="shared" si="31"/>
        <v>0</v>
      </c>
      <c r="CI76" s="541">
        <f t="shared" si="31"/>
        <v>0</v>
      </c>
      <c r="CJ76" s="541">
        <f t="shared" si="31"/>
        <v>0</v>
      </c>
      <c r="CK76" s="541">
        <f t="shared" si="31"/>
        <v>0</v>
      </c>
      <c r="CL76" s="541">
        <f t="shared" si="31"/>
        <v>0</v>
      </c>
      <c r="CM76" s="541">
        <f t="shared" si="31"/>
        <v>0</v>
      </c>
      <c r="CN76" s="541">
        <f t="shared" si="31"/>
        <v>0</v>
      </c>
      <c r="CO76" s="541">
        <f t="shared" si="31"/>
        <v>0</v>
      </c>
      <c r="CP76" s="541">
        <f t="shared" si="31"/>
        <v>0</v>
      </c>
      <c r="CQ76" s="541">
        <f t="shared" si="31"/>
        <v>0</v>
      </c>
      <c r="CR76" s="541">
        <f t="shared" si="31"/>
        <v>0</v>
      </c>
      <c r="CS76" s="541">
        <f t="shared" si="31"/>
        <v>0</v>
      </c>
      <c r="CT76" s="541">
        <f t="shared" si="31"/>
        <v>0</v>
      </c>
      <c r="CU76" s="541">
        <f t="shared" si="31"/>
        <v>0</v>
      </c>
      <c r="CV76" s="541">
        <f t="shared" si="31"/>
        <v>0</v>
      </c>
      <c r="CW76" s="541">
        <f t="shared" si="31"/>
        <v>0</v>
      </c>
      <c r="CX76" s="541">
        <f t="shared" si="31"/>
        <v>0</v>
      </c>
      <c r="CY76" s="541">
        <f t="shared" si="31"/>
        <v>0</v>
      </c>
      <c r="CZ76" s="541">
        <f t="shared" si="31"/>
        <v>0</v>
      </c>
      <c r="DA76" s="541">
        <f t="shared" si="31"/>
        <v>0</v>
      </c>
      <c r="DB76" s="541">
        <f t="shared" si="31"/>
        <v>0</v>
      </c>
      <c r="DC76" s="541">
        <f t="shared" si="31"/>
        <v>0</v>
      </c>
      <c r="DD76" s="541">
        <f t="shared" si="31"/>
        <v>0</v>
      </c>
      <c r="DE76" s="541">
        <f t="shared" si="31"/>
        <v>0</v>
      </c>
      <c r="DF76" s="541">
        <f t="shared" si="31"/>
        <v>0</v>
      </c>
      <c r="DG76" s="541">
        <f t="shared" si="31"/>
        <v>0</v>
      </c>
      <c r="DH76" s="541">
        <f t="shared" si="31"/>
        <v>0</v>
      </c>
      <c r="DI76" s="541">
        <f t="shared" si="31"/>
        <v>0</v>
      </c>
      <c r="DJ76" s="541">
        <f t="shared" si="31"/>
        <v>0</v>
      </c>
      <c r="DK76" s="541">
        <f t="shared" si="31"/>
        <v>0</v>
      </c>
      <c r="DL76" s="541">
        <f t="shared" si="31"/>
        <v>0</v>
      </c>
      <c r="DM76" s="541">
        <f t="shared" si="31"/>
        <v>0</v>
      </c>
      <c r="DN76" s="541">
        <f t="shared" si="31"/>
        <v>0</v>
      </c>
      <c r="DO76" s="541">
        <f t="shared" si="31"/>
        <v>0</v>
      </c>
      <c r="DP76" s="541">
        <f t="shared" si="31"/>
        <v>0</v>
      </c>
      <c r="DQ76" s="541">
        <f t="shared" si="31"/>
        <v>0</v>
      </c>
      <c r="DR76" s="541">
        <f t="shared" si="31"/>
        <v>0</v>
      </c>
      <c r="DS76" s="541">
        <f t="shared" si="31"/>
        <v>0</v>
      </c>
      <c r="DT76" s="541">
        <f t="shared" si="31"/>
        <v>0</v>
      </c>
      <c r="DU76" s="541">
        <f t="shared" si="31"/>
        <v>0</v>
      </c>
      <c r="DV76" s="541">
        <f t="shared" si="31"/>
        <v>0</v>
      </c>
      <c r="DW76" s="541">
        <f t="shared" si="31"/>
        <v>0</v>
      </c>
      <c r="DX76" s="541">
        <f t="shared" si="31"/>
        <v>0</v>
      </c>
      <c r="DY76" s="541">
        <f t="shared" si="31"/>
        <v>0</v>
      </c>
      <c r="DZ76" s="541">
        <f t="shared" si="31"/>
        <v>0</v>
      </c>
      <c r="EA76" s="541">
        <f t="shared" si="31"/>
        <v>0</v>
      </c>
      <c r="EB76" s="541">
        <f t="shared" si="31"/>
        <v>0</v>
      </c>
      <c r="EC76" s="541">
        <f t="shared" si="31"/>
        <v>0</v>
      </c>
      <c r="ED76" s="541">
        <f t="shared" si="31"/>
        <v>0</v>
      </c>
      <c r="EE76" s="541">
        <f t="shared" si="31"/>
        <v>0</v>
      </c>
      <c r="EF76" s="541">
        <f t="shared" si="31"/>
        <v>0</v>
      </c>
      <c r="EG76" s="541">
        <f t="shared" si="31"/>
        <v>0</v>
      </c>
    </row>
    <row r="78" spans="2:2" ht="12.75">
      <c r="B78" s="534" t="s">
        <v>173</v>
      </c>
    </row>
    <row r="79" spans="5:7" ht="12.75">
      <c r="E79" s="535" t="str">
        <f>InpC!E$21</f>
        <v>Operational period</v>
      </c>
      <c r="F79" s="537">
        <f>InpC!F$21</f>
        <v>25</v>
      </c>
      <c r="G79" s="537" t="str">
        <f>InpC!G$21</f>
        <v>years</v>
      </c>
    </row>
    <row r="80" spans="5:7" ht="12.75">
      <c r="E80" s="535" t="str">
        <f>InpC!E$126</f>
        <v>Months in year</v>
      </c>
      <c r="F80" s="537">
        <f>InpC!F$126</f>
        <v>12</v>
      </c>
      <c r="G80" s="537" t="str">
        <f>InpC!G$126</f>
        <v>months</v>
      </c>
    </row>
    <row r="81" spans="5:7" ht="12.75">
      <c r="E81" s="538" t="str">
        <f>E$21</f>
        <v>End of construction period date</v>
      </c>
      <c r="F81" s="558">
        <f>F$21</f>
        <v>47118</v>
      </c>
      <c r="G81" s="558" t="str">
        <f>G$21</f>
        <v>date</v>
      </c>
    </row>
    <row r="82" spans="5:7" ht="12.75">
      <c r="E82" s="540" t="s">
        <v>174</v>
      </c>
      <c r="F82" s="586">
        <f>EOMONTH($F81,$F79*$F80)</f>
        <v>56249</v>
      </c>
      <c r="G82" s="586" t="s">
        <v>14</v>
      </c>
    </row>
    <row r="84" spans="5:7" ht="12.75">
      <c r="E84" s="538" t="str">
        <f>E$82</f>
        <v>End of operating period</v>
      </c>
      <c r="F84" s="558">
        <f>F$82</f>
        <v>56249</v>
      </c>
      <c r="G84" s="558" t="str">
        <f>G$82</f>
        <v>date</v>
      </c>
    </row>
    <row r="85" spans="5:137" ht="12.75">
      <c r="E85" s="538" t="str">
        <f>E$50</f>
        <v>Model period ending</v>
      </c>
      <c r="G85" s="558" t="str">
        <f>G$50</f>
        <v>date</v>
      </c>
      <c r="J85" s="558">
        <f t="shared" si="32" ref="J85:EG85">J$50</f>
        <v>46418</v>
      </c>
      <c r="K85" s="558">
        <f t="shared" si="32"/>
        <v>46446</v>
      </c>
      <c r="L85" s="558">
        <f t="shared" si="32"/>
        <v>46477</v>
      </c>
      <c r="M85" s="558">
        <f t="shared" si="32"/>
        <v>46507</v>
      </c>
      <c r="N85" s="558">
        <f t="shared" si="32"/>
        <v>46538</v>
      </c>
      <c r="O85" s="558">
        <f t="shared" si="32"/>
        <v>46568</v>
      </c>
      <c r="P85" s="558">
        <f t="shared" si="32"/>
        <v>46599</v>
      </c>
      <c r="Q85" s="558">
        <f t="shared" si="32"/>
        <v>46630</v>
      </c>
      <c r="R85" s="558">
        <f t="shared" si="32"/>
        <v>46660</v>
      </c>
      <c r="S85" s="558">
        <f t="shared" si="32"/>
        <v>46691</v>
      </c>
      <c r="T85" s="558">
        <f t="shared" si="32"/>
        <v>46721</v>
      </c>
      <c r="U85" s="558">
        <f t="shared" si="32"/>
        <v>46752</v>
      </c>
      <c r="V85" s="558">
        <f t="shared" si="32"/>
        <v>46783</v>
      </c>
      <c r="W85" s="558">
        <f t="shared" si="32"/>
        <v>46812</v>
      </c>
      <c r="X85" s="558">
        <f t="shared" si="32"/>
        <v>46843</v>
      </c>
      <c r="Y85" s="558">
        <f t="shared" si="32"/>
        <v>46873</v>
      </c>
      <c r="Z85" s="558">
        <f t="shared" si="32"/>
        <v>46904</v>
      </c>
      <c r="AA85" s="558">
        <f t="shared" si="32"/>
        <v>46934</v>
      </c>
      <c r="AB85" s="558">
        <f t="shared" si="32"/>
        <v>46965</v>
      </c>
      <c r="AC85" s="558">
        <f t="shared" si="32"/>
        <v>46996</v>
      </c>
      <c r="AD85" s="558">
        <f t="shared" si="32"/>
        <v>47026</v>
      </c>
      <c r="AE85" s="558">
        <f t="shared" si="32"/>
        <v>47057</v>
      </c>
      <c r="AF85" s="558">
        <f t="shared" si="32"/>
        <v>47087</v>
      </c>
      <c r="AG85" s="558">
        <f t="shared" si="32"/>
        <v>47118</v>
      </c>
      <c r="AH85" s="558">
        <f t="shared" si="32"/>
        <v>47208</v>
      </c>
      <c r="AI85" s="558">
        <f t="shared" si="32"/>
        <v>47299</v>
      </c>
      <c r="AJ85" s="558">
        <f t="shared" si="32"/>
        <v>47391</v>
      </c>
      <c r="AK85" s="558">
        <f t="shared" si="32"/>
        <v>47483</v>
      </c>
      <c r="AL85" s="558">
        <f t="shared" si="32"/>
        <v>47573</v>
      </c>
      <c r="AM85" s="558">
        <f t="shared" si="32"/>
        <v>47664</v>
      </c>
      <c r="AN85" s="558">
        <f t="shared" si="32"/>
        <v>47756</v>
      </c>
      <c r="AO85" s="558">
        <f t="shared" si="32"/>
        <v>47848</v>
      </c>
      <c r="AP85" s="558">
        <f t="shared" si="32"/>
        <v>47938</v>
      </c>
      <c r="AQ85" s="558">
        <f t="shared" si="32"/>
        <v>48029</v>
      </c>
      <c r="AR85" s="558">
        <f t="shared" si="32"/>
        <v>48121</v>
      </c>
      <c r="AS85" s="558">
        <f t="shared" si="32"/>
        <v>48213</v>
      </c>
      <c r="AT85" s="558">
        <f t="shared" si="32"/>
        <v>48304</v>
      </c>
      <c r="AU85" s="558">
        <f t="shared" si="32"/>
        <v>48395</v>
      </c>
      <c r="AV85" s="558">
        <f t="shared" si="32"/>
        <v>48487</v>
      </c>
      <c r="AW85" s="558">
        <f t="shared" si="32"/>
        <v>48579</v>
      </c>
      <c r="AX85" s="558">
        <f t="shared" si="32"/>
        <v>48669</v>
      </c>
      <c r="AY85" s="558">
        <f t="shared" si="32"/>
        <v>48760</v>
      </c>
      <c r="AZ85" s="558">
        <f t="shared" si="32"/>
        <v>48852</v>
      </c>
      <c r="BA85" s="558">
        <f t="shared" si="32"/>
        <v>48944</v>
      </c>
      <c r="BB85" s="558">
        <f t="shared" si="32"/>
        <v>49034</v>
      </c>
      <c r="BC85" s="558">
        <f t="shared" si="32"/>
        <v>49125</v>
      </c>
      <c r="BD85" s="558">
        <f t="shared" si="32"/>
        <v>49217</v>
      </c>
      <c r="BE85" s="558">
        <f t="shared" si="32"/>
        <v>49309</v>
      </c>
      <c r="BF85" s="558">
        <f t="shared" si="32"/>
        <v>49399</v>
      </c>
      <c r="BG85" s="558">
        <f t="shared" si="32"/>
        <v>49490</v>
      </c>
      <c r="BH85" s="558">
        <f t="shared" si="32"/>
        <v>49582</v>
      </c>
      <c r="BI85" s="558">
        <f t="shared" si="32"/>
        <v>49674</v>
      </c>
      <c r="BJ85" s="558">
        <f t="shared" si="32"/>
        <v>49765</v>
      </c>
      <c r="BK85" s="558">
        <f t="shared" si="32"/>
        <v>49856</v>
      </c>
      <c r="BL85" s="558">
        <f t="shared" si="32"/>
        <v>49948</v>
      </c>
      <c r="BM85" s="558">
        <f t="shared" si="32"/>
        <v>50040</v>
      </c>
      <c r="BN85" s="558">
        <f t="shared" si="32"/>
        <v>50130</v>
      </c>
      <c r="BO85" s="558">
        <f t="shared" si="32"/>
        <v>50221</v>
      </c>
      <c r="BP85" s="558">
        <f t="shared" si="32"/>
        <v>50313</v>
      </c>
      <c r="BQ85" s="558">
        <f t="shared" si="32"/>
        <v>50405</v>
      </c>
      <c r="BR85" s="558">
        <f t="shared" si="32"/>
        <v>50495</v>
      </c>
      <c r="BS85" s="558">
        <f t="shared" si="32"/>
        <v>50586</v>
      </c>
      <c r="BT85" s="558">
        <f t="shared" si="32"/>
        <v>50678</v>
      </c>
      <c r="BU85" s="558">
        <f t="shared" si="32"/>
        <v>50770</v>
      </c>
      <c r="BV85" s="558">
        <f t="shared" si="32"/>
        <v>50860</v>
      </c>
      <c r="BW85" s="558">
        <f t="shared" si="32"/>
        <v>50951</v>
      </c>
      <c r="BX85" s="558">
        <f t="shared" si="32"/>
        <v>51043</v>
      </c>
      <c r="BY85" s="558">
        <f t="shared" si="32"/>
        <v>51135</v>
      </c>
      <c r="BZ85" s="558">
        <f t="shared" si="32"/>
        <v>51226</v>
      </c>
      <c r="CA85" s="558">
        <f t="shared" si="32"/>
        <v>51317</v>
      </c>
      <c r="CB85" s="558">
        <f t="shared" si="32"/>
        <v>51409</v>
      </c>
      <c r="CC85" s="558">
        <f t="shared" si="32"/>
        <v>51501</v>
      </c>
      <c r="CD85" s="558">
        <f t="shared" si="32"/>
        <v>51591</v>
      </c>
      <c r="CE85" s="558">
        <f t="shared" si="32"/>
        <v>51682</v>
      </c>
      <c r="CF85" s="558">
        <f t="shared" si="32"/>
        <v>51774</v>
      </c>
      <c r="CG85" s="558">
        <f t="shared" si="32"/>
        <v>51866</v>
      </c>
      <c r="CH85" s="558">
        <f t="shared" si="32"/>
        <v>51956</v>
      </c>
      <c r="CI85" s="558">
        <f t="shared" si="32"/>
        <v>52047</v>
      </c>
      <c r="CJ85" s="558">
        <f t="shared" si="32"/>
        <v>52139</v>
      </c>
      <c r="CK85" s="558">
        <f t="shared" si="32"/>
        <v>52231</v>
      </c>
      <c r="CL85" s="558">
        <f t="shared" si="32"/>
        <v>52321</v>
      </c>
      <c r="CM85" s="558">
        <f t="shared" si="32"/>
        <v>52412</v>
      </c>
      <c r="CN85" s="558">
        <f t="shared" si="32"/>
        <v>52504</v>
      </c>
      <c r="CO85" s="558">
        <f t="shared" si="32"/>
        <v>52596</v>
      </c>
      <c r="CP85" s="558">
        <f t="shared" si="32"/>
        <v>52687</v>
      </c>
      <c r="CQ85" s="558">
        <f t="shared" si="32"/>
        <v>52778</v>
      </c>
      <c r="CR85" s="558">
        <f t="shared" si="32"/>
        <v>52870</v>
      </c>
      <c r="CS85" s="558">
        <f t="shared" si="32"/>
        <v>52962</v>
      </c>
      <c r="CT85" s="558">
        <f t="shared" si="32"/>
        <v>53052</v>
      </c>
      <c r="CU85" s="558">
        <f t="shared" si="32"/>
        <v>53143</v>
      </c>
      <c r="CV85" s="558">
        <f t="shared" si="32"/>
        <v>53235</v>
      </c>
      <c r="CW85" s="558">
        <f t="shared" si="32"/>
        <v>53327</v>
      </c>
      <c r="CX85" s="558">
        <f t="shared" si="32"/>
        <v>53417</v>
      </c>
      <c r="CY85" s="558">
        <f t="shared" si="32"/>
        <v>53508</v>
      </c>
      <c r="CZ85" s="558">
        <f t="shared" si="32"/>
        <v>53600</v>
      </c>
      <c r="DA85" s="558">
        <f t="shared" si="32"/>
        <v>53692</v>
      </c>
      <c r="DB85" s="558">
        <f t="shared" si="32"/>
        <v>53782</v>
      </c>
      <c r="DC85" s="558">
        <f t="shared" si="32"/>
        <v>53873</v>
      </c>
      <c r="DD85" s="558">
        <f t="shared" si="32"/>
        <v>53965</v>
      </c>
      <c r="DE85" s="558">
        <f t="shared" si="32"/>
        <v>54057</v>
      </c>
      <c r="DF85" s="558">
        <f t="shared" si="32"/>
        <v>54148</v>
      </c>
      <c r="DG85" s="558">
        <f t="shared" si="32"/>
        <v>54239</v>
      </c>
      <c r="DH85" s="558">
        <f t="shared" si="32"/>
        <v>54331</v>
      </c>
      <c r="DI85" s="558">
        <f t="shared" si="32"/>
        <v>54423</v>
      </c>
      <c r="DJ85" s="558">
        <f t="shared" si="32"/>
        <v>54513</v>
      </c>
      <c r="DK85" s="558">
        <f t="shared" si="32"/>
        <v>54604</v>
      </c>
      <c r="DL85" s="558">
        <f t="shared" si="32"/>
        <v>54696</v>
      </c>
      <c r="DM85" s="558">
        <f t="shared" si="32"/>
        <v>54788</v>
      </c>
      <c r="DN85" s="558">
        <f t="shared" si="32"/>
        <v>54878</v>
      </c>
      <c r="DO85" s="558">
        <f t="shared" si="32"/>
        <v>54969</v>
      </c>
      <c r="DP85" s="558">
        <f t="shared" si="32"/>
        <v>55061</v>
      </c>
      <c r="DQ85" s="558">
        <f t="shared" si="32"/>
        <v>55153</v>
      </c>
      <c r="DR85" s="558">
        <f t="shared" si="32"/>
        <v>55243</v>
      </c>
      <c r="DS85" s="558">
        <f t="shared" si="32"/>
        <v>55334</v>
      </c>
      <c r="DT85" s="558">
        <f t="shared" si="32"/>
        <v>55426</v>
      </c>
      <c r="DU85" s="558">
        <f t="shared" si="32"/>
        <v>55518</v>
      </c>
      <c r="DV85" s="558">
        <f t="shared" si="32"/>
        <v>55609</v>
      </c>
      <c r="DW85" s="558">
        <f t="shared" si="32"/>
        <v>55700</v>
      </c>
      <c r="DX85" s="558">
        <f t="shared" si="32"/>
        <v>55792</v>
      </c>
      <c r="DY85" s="558">
        <f t="shared" si="32"/>
        <v>55884</v>
      </c>
      <c r="DZ85" s="558">
        <f t="shared" si="32"/>
        <v>55974</v>
      </c>
      <c r="EA85" s="558">
        <f t="shared" si="32"/>
        <v>56065</v>
      </c>
      <c r="EB85" s="558">
        <f t="shared" si="32"/>
        <v>56157</v>
      </c>
      <c r="EC85" s="558">
        <f t="shared" si="32"/>
        <v>56249</v>
      </c>
      <c r="ED85" s="558">
        <f t="shared" si="32"/>
        <v>56339</v>
      </c>
      <c r="EE85" s="558">
        <f t="shared" si="32"/>
        <v>56430</v>
      </c>
      <c r="EF85" s="558">
        <f t="shared" si="32"/>
        <v>56522</v>
      </c>
      <c r="EG85" s="558">
        <f t="shared" si="32"/>
        <v>56614</v>
      </c>
    </row>
    <row r="86" spans="5:137" ht="12.75">
      <c r="E86" s="540" t="s">
        <v>173</v>
      </c>
      <c r="G86" s="541" t="s">
        <v>158</v>
      </c>
      <c r="H86" s="541">
        <f>SUM(J86:EG86)</f>
        <v>1</v>
      </c>
      <c r="J86" s="541">
        <f t="shared" si="33" ref="J86:EG86">IF(J85=$F84,1,0)</f>
        <v>0</v>
      </c>
      <c r="K86" s="541">
        <f t="shared" si="33"/>
        <v>0</v>
      </c>
      <c r="L86" s="541">
        <f t="shared" si="33"/>
        <v>0</v>
      </c>
      <c r="M86" s="541">
        <f t="shared" si="33"/>
        <v>0</v>
      </c>
      <c r="N86" s="541">
        <f t="shared" si="33"/>
        <v>0</v>
      </c>
      <c r="O86" s="541">
        <f t="shared" si="33"/>
        <v>0</v>
      </c>
      <c r="P86" s="541">
        <f t="shared" si="33"/>
        <v>0</v>
      </c>
      <c r="Q86" s="541">
        <f t="shared" si="33"/>
        <v>0</v>
      </c>
      <c r="R86" s="541">
        <f t="shared" si="33"/>
        <v>0</v>
      </c>
      <c r="S86" s="541">
        <f t="shared" si="33"/>
        <v>0</v>
      </c>
      <c r="T86" s="541">
        <f t="shared" si="33"/>
        <v>0</v>
      </c>
      <c r="U86" s="541">
        <f t="shared" si="33"/>
        <v>0</v>
      </c>
      <c r="V86" s="541">
        <f t="shared" si="33"/>
        <v>0</v>
      </c>
      <c r="W86" s="541">
        <f t="shared" si="33"/>
        <v>0</v>
      </c>
      <c r="X86" s="541">
        <f t="shared" si="33"/>
        <v>0</v>
      </c>
      <c r="Y86" s="541">
        <f t="shared" si="33"/>
        <v>0</v>
      </c>
      <c r="Z86" s="541">
        <f t="shared" si="33"/>
        <v>0</v>
      </c>
      <c r="AA86" s="541">
        <f t="shared" si="33"/>
        <v>0</v>
      </c>
      <c r="AB86" s="541">
        <f t="shared" si="33"/>
        <v>0</v>
      </c>
      <c r="AC86" s="541">
        <f t="shared" si="33"/>
        <v>0</v>
      </c>
      <c r="AD86" s="541">
        <f t="shared" si="33"/>
        <v>0</v>
      </c>
      <c r="AE86" s="541">
        <f t="shared" si="33"/>
        <v>0</v>
      </c>
      <c r="AF86" s="541">
        <f t="shared" si="33"/>
        <v>0</v>
      </c>
      <c r="AG86" s="541">
        <f t="shared" si="33"/>
        <v>0</v>
      </c>
      <c r="AH86" s="541">
        <f t="shared" si="33"/>
        <v>0</v>
      </c>
      <c r="AI86" s="541">
        <f t="shared" si="33"/>
        <v>0</v>
      </c>
      <c r="AJ86" s="541">
        <f t="shared" si="33"/>
        <v>0</v>
      </c>
      <c r="AK86" s="541">
        <f t="shared" si="33"/>
        <v>0</v>
      </c>
      <c r="AL86" s="541">
        <f t="shared" si="33"/>
        <v>0</v>
      </c>
      <c r="AM86" s="541">
        <f t="shared" si="33"/>
        <v>0</v>
      </c>
      <c r="AN86" s="541">
        <f t="shared" si="33"/>
        <v>0</v>
      </c>
      <c r="AO86" s="541">
        <f t="shared" si="33"/>
        <v>0</v>
      </c>
      <c r="AP86" s="541">
        <f t="shared" si="33"/>
        <v>0</v>
      </c>
      <c r="AQ86" s="541">
        <f t="shared" si="33"/>
        <v>0</v>
      </c>
      <c r="AR86" s="541">
        <f t="shared" si="33"/>
        <v>0</v>
      </c>
      <c r="AS86" s="541">
        <f t="shared" si="33"/>
        <v>0</v>
      </c>
      <c r="AT86" s="541">
        <f t="shared" si="33"/>
        <v>0</v>
      </c>
      <c r="AU86" s="541">
        <f t="shared" si="33"/>
        <v>0</v>
      </c>
      <c r="AV86" s="541">
        <f t="shared" si="33"/>
        <v>0</v>
      </c>
      <c r="AW86" s="541">
        <f t="shared" si="33"/>
        <v>0</v>
      </c>
      <c r="AX86" s="541">
        <f t="shared" si="33"/>
        <v>0</v>
      </c>
      <c r="AY86" s="541">
        <f t="shared" si="33"/>
        <v>0</v>
      </c>
      <c r="AZ86" s="541">
        <f t="shared" si="33"/>
        <v>0</v>
      </c>
      <c r="BA86" s="541">
        <f t="shared" si="33"/>
        <v>0</v>
      </c>
      <c r="BB86" s="541">
        <f t="shared" si="33"/>
        <v>0</v>
      </c>
      <c r="BC86" s="541">
        <f t="shared" si="33"/>
        <v>0</v>
      </c>
      <c r="BD86" s="541">
        <f t="shared" si="33"/>
        <v>0</v>
      </c>
      <c r="BE86" s="541">
        <f t="shared" si="33"/>
        <v>0</v>
      </c>
      <c r="BF86" s="541">
        <f t="shared" si="33"/>
        <v>0</v>
      </c>
      <c r="BG86" s="541">
        <f t="shared" si="33"/>
        <v>0</v>
      </c>
      <c r="BH86" s="541">
        <f t="shared" si="33"/>
        <v>0</v>
      </c>
      <c r="BI86" s="541">
        <f t="shared" si="33"/>
        <v>0</v>
      </c>
      <c r="BJ86" s="541">
        <f t="shared" si="33"/>
        <v>0</v>
      </c>
      <c r="BK86" s="541">
        <f t="shared" si="33"/>
        <v>0</v>
      </c>
      <c r="BL86" s="541">
        <f t="shared" si="33"/>
        <v>0</v>
      </c>
      <c r="BM86" s="541">
        <f t="shared" si="33"/>
        <v>0</v>
      </c>
      <c r="BN86" s="541">
        <f t="shared" si="33"/>
        <v>0</v>
      </c>
      <c r="BO86" s="541">
        <f t="shared" si="33"/>
        <v>0</v>
      </c>
      <c r="BP86" s="541">
        <f t="shared" si="33"/>
        <v>0</v>
      </c>
      <c r="BQ86" s="541">
        <f t="shared" si="33"/>
        <v>0</v>
      </c>
      <c r="BR86" s="541">
        <f t="shared" si="33"/>
        <v>0</v>
      </c>
      <c r="BS86" s="541">
        <f t="shared" si="33"/>
        <v>0</v>
      </c>
      <c r="BT86" s="541">
        <f t="shared" si="33"/>
        <v>0</v>
      </c>
      <c r="BU86" s="541">
        <f t="shared" si="33"/>
        <v>0</v>
      </c>
      <c r="BV86" s="541">
        <f t="shared" si="33"/>
        <v>0</v>
      </c>
      <c r="BW86" s="541">
        <f t="shared" si="33"/>
        <v>0</v>
      </c>
      <c r="BX86" s="541">
        <f t="shared" si="33"/>
        <v>0</v>
      </c>
      <c r="BY86" s="541">
        <f t="shared" si="33"/>
        <v>0</v>
      </c>
      <c r="BZ86" s="541">
        <f t="shared" si="33"/>
        <v>0</v>
      </c>
      <c r="CA86" s="541">
        <f t="shared" si="33"/>
        <v>0</v>
      </c>
      <c r="CB86" s="541">
        <f t="shared" si="33"/>
        <v>0</v>
      </c>
      <c r="CC86" s="541">
        <f t="shared" si="33"/>
        <v>0</v>
      </c>
      <c r="CD86" s="541">
        <f t="shared" si="33"/>
        <v>0</v>
      </c>
      <c r="CE86" s="541">
        <f t="shared" si="33"/>
        <v>0</v>
      </c>
      <c r="CF86" s="541">
        <f t="shared" si="33"/>
        <v>0</v>
      </c>
      <c r="CG86" s="541">
        <f t="shared" si="33"/>
        <v>0</v>
      </c>
      <c r="CH86" s="541">
        <f t="shared" si="33"/>
        <v>0</v>
      </c>
      <c r="CI86" s="541">
        <f t="shared" si="33"/>
        <v>0</v>
      </c>
      <c r="CJ86" s="541">
        <f t="shared" si="33"/>
        <v>0</v>
      </c>
      <c r="CK86" s="541">
        <f t="shared" si="33"/>
        <v>0</v>
      </c>
      <c r="CL86" s="541">
        <f t="shared" si="33"/>
        <v>0</v>
      </c>
      <c r="CM86" s="541">
        <f t="shared" si="33"/>
        <v>0</v>
      </c>
      <c r="CN86" s="541">
        <f t="shared" si="33"/>
        <v>0</v>
      </c>
      <c r="CO86" s="541">
        <f t="shared" si="33"/>
        <v>0</v>
      </c>
      <c r="CP86" s="541">
        <f t="shared" si="33"/>
        <v>0</v>
      </c>
      <c r="CQ86" s="541">
        <f t="shared" si="33"/>
        <v>0</v>
      </c>
      <c r="CR86" s="541">
        <f t="shared" si="33"/>
        <v>0</v>
      </c>
      <c r="CS86" s="541">
        <f t="shared" si="33"/>
        <v>0</v>
      </c>
      <c r="CT86" s="541">
        <f t="shared" si="33"/>
        <v>0</v>
      </c>
      <c r="CU86" s="541">
        <f t="shared" si="33"/>
        <v>0</v>
      </c>
      <c r="CV86" s="541">
        <f t="shared" si="33"/>
        <v>0</v>
      </c>
      <c r="CW86" s="541">
        <f t="shared" si="33"/>
        <v>0</v>
      </c>
      <c r="CX86" s="541">
        <f t="shared" si="33"/>
        <v>0</v>
      </c>
      <c r="CY86" s="541">
        <f t="shared" si="33"/>
        <v>0</v>
      </c>
      <c r="CZ86" s="541">
        <f t="shared" si="33"/>
        <v>0</v>
      </c>
      <c r="DA86" s="541">
        <f t="shared" si="33"/>
        <v>0</v>
      </c>
      <c r="DB86" s="541">
        <f t="shared" si="33"/>
        <v>0</v>
      </c>
      <c r="DC86" s="541">
        <f t="shared" si="33"/>
        <v>0</v>
      </c>
      <c r="DD86" s="541">
        <f t="shared" si="33"/>
        <v>0</v>
      </c>
      <c r="DE86" s="541">
        <f t="shared" si="33"/>
        <v>0</v>
      </c>
      <c r="DF86" s="541">
        <f t="shared" si="33"/>
        <v>0</v>
      </c>
      <c r="DG86" s="541">
        <f t="shared" si="33"/>
        <v>0</v>
      </c>
      <c r="DH86" s="541">
        <f t="shared" si="33"/>
        <v>0</v>
      </c>
      <c r="DI86" s="541">
        <f t="shared" si="33"/>
        <v>0</v>
      </c>
      <c r="DJ86" s="541">
        <f t="shared" si="33"/>
        <v>0</v>
      </c>
      <c r="DK86" s="541">
        <f t="shared" si="33"/>
        <v>0</v>
      </c>
      <c r="DL86" s="541">
        <f t="shared" si="33"/>
        <v>0</v>
      </c>
      <c r="DM86" s="541">
        <f t="shared" si="33"/>
        <v>0</v>
      </c>
      <c r="DN86" s="541">
        <f t="shared" si="33"/>
        <v>0</v>
      </c>
      <c r="DO86" s="541">
        <f t="shared" si="33"/>
        <v>0</v>
      </c>
      <c r="DP86" s="541">
        <f t="shared" si="33"/>
        <v>0</v>
      </c>
      <c r="DQ86" s="541">
        <f t="shared" si="33"/>
        <v>0</v>
      </c>
      <c r="DR86" s="541">
        <f t="shared" si="33"/>
        <v>0</v>
      </c>
      <c r="DS86" s="541">
        <f t="shared" si="33"/>
        <v>0</v>
      </c>
      <c r="DT86" s="541">
        <f t="shared" si="33"/>
        <v>0</v>
      </c>
      <c r="DU86" s="541">
        <f t="shared" si="33"/>
        <v>0</v>
      </c>
      <c r="DV86" s="541">
        <f t="shared" si="33"/>
        <v>0</v>
      </c>
      <c r="DW86" s="541">
        <f t="shared" si="33"/>
        <v>0</v>
      </c>
      <c r="DX86" s="541">
        <f t="shared" si="33"/>
        <v>0</v>
      </c>
      <c r="DY86" s="541">
        <f t="shared" si="33"/>
        <v>0</v>
      </c>
      <c r="DZ86" s="541">
        <f t="shared" si="33"/>
        <v>0</v>
      </c>
      <c r="EA86" s="541">
        <f t="shared" si="33"/>
        <v>0</v>
      </c>
      <c r="EB86" s="541">
        <f t="shared" si="33"/>
        <v>0</v>
      </c>
      <c r="EC86" s="541">
        <f t="shared" si="33"/>
        <v>1</v>
      </c>
      <c r="ED86" s="541">
        <f t="shared" si="33"/>
        <v>0</v>
      </c>
      <c r="EE86" s="541">
        <f t="shared" si="33"/>
        <v>0</v>
      </c>
      <c r="EF86" s="541">
        <f t="shared" si="33"/>
        <v>0</v>
      </c>
      <c r="EG86" s="541">
        <f t="shared" si="33"/>
        <v>0</v>
      </c>
    </row>
    <row r="88" spans="2:2" ht="12.75">
      <c r="B88" s="534" t="s">
        <v>175</v>
      </c>
    </row>
    <row r="89" spans="5:137" ht="12.75">
      <c r="E89" s="538" t="str">
        <f>E$76</f>
        <v>First operating period flag</v>
      </c>
      <c r="G89" s="539" t="str">
        <f>G$76</f>
        <v>flag</v>
      </c>
      <c r="H89" s="539">
        <f>H$76</f>
        <v>1</v>
      </c>
      <c r="J89" s="539">
        <f t="shared" si="34" ref="J89:EG89">J$76</f>
        <v>0</v>
      </c>
      <c r="K89" s="539">
        <f t="shared" si="34"/>
        <v>0</v>
      </c>
      <c r="L89" s="539">
        <f t="shared" si="34"/>
        <v>0</v>
      </c>
      <c r="M89" s="539">
        <f t="shared" si="34"/>
        <v>0</v>
      </c>
      <c r="N89" s="539">
        <f t="shared" si="34"/>
        <v>0</v>
      </c>
      <c r="O89" s="539">
        <f t="shared" si="34"/>
        <v>0</v>
      </c>
      <c r="P89" s="539">
        <f t="shared" si="34"/>
        <v>0</v>
      </c>
      <c r="Q89" s="539">
        <f t="shared" si="34"/>
        <v>0</v>
      </c>
      <c r="R89" s="539">
        <f t="shared" si="34"/>
        <v>0</v>
      </c>
      <c r="S89" s="539">
        <f t="shared" si="34"/>
        <v>0</v>
      </c>
      <c r="T89" s="539">
        <f t="shared" si="34"/>
        <v>0</v>
      </c>
      <c r="U89" s="539">
        <f t="shared" si="34"/>
        <v>0</v>
      </c>
      <c r="V89" s="539">
        <f t="shared" si="34"/>
        <v>0</v>
      </c>
      <c r="W89" s="539">
        <f t="shared" si="34"/>
        <v>0</v>
      </c>
      <c r="X89" s="539">
        <f t="shared" si="34"/>
        <v>0</v>
      </c>
      <c r="Y89" s="539">
        <f t="shared" si="34"/>
        <v>0</v>
      </c>
      <c r="Z89" s="539">
        <f t="shared" si="34"/>
        <v>0</v>
      </c>
      <c r="AA89" s="539">
        <f t="shared" si="34"/>
        <v>0</v>
      </c>
      <c r="AB89" s="539">
        <f t="shared" si="34"/>
        <v>0</v>
      </c>
      <c r="AC89" s="539">
        <f t="shared" si="34"/>
        <v>0</v>
      </c>
      <c r="AD89" s="539">
        <f t="shared" si="34"/>
        <v>0</v>
      </c>
      <c r="AE89" s="539">
        <f t="shared" si="34"/>
        <v>0</v>
      </c>
      <c r="AF89" s="539">
        <f t="shared" si="34"/>
        <v>0</v>
      </c>
      <c r="AG89" s="539">
        <f t="shared" si="34"/>
        <v>0</v>
      </c>
      <c r="AH89" s="539">
        <f t="shared" si="34"/>
        <v>1</v>
      </c>
      <c r="AI89" s="539">
        <f t="shared" si="34"/>
        <v>0</v>
      </c>
      <c r="AJ89" s="539">
        <f t="shared" si="34"/>
        <v>0</v>
      </c>
      <c r="AK89" s="539">
        <f t="shared" si="34"/>
        <v>0</v>
      </c>
      <c r="AL89" s="539">
        <f t="shared" si="34"/>
        <v>0</v>
      </c>
      <c r="AM89" s="539">
        <f t="shared" si="34"/>
        <v>0</v>
      </c>
      <c r="AN89" s="539">
        <f t="shared" si="34"/>
        <v>0</v>
      </c>
      <c r="AO89" s="539">
        <f t="shared" si="34"/>
        <v>0</v>
      </c>
      <c r="AP89" s="539">
        <f t="shared" si="34"/>
        <v>0</v>
      </c>
      <c r="AQ89" s="539">
        <f t="shared" si="34"/>
        <v>0</v>
      </c>
      <c r="AR89" s="539">
        <f t="shared" si="34"/>
        <v>0</v>
      </c>
      <c r="AS89" s="539">
        <f t="shared" si="34"/>
        <v>0</v>
      </c>
      <c r="AT89" s="539">
        <f t="shared" si="34"/>
        <v>0</v>
      </c>
      <c r="AU89" s="539">
        <f t="shared" si="34"/>
        <v>0</v>
      </c>
      <c r="AV89" s="539">
        <f t="shared" si="34"/>
        <v>0</v>
      </c>
      <c r="AW89" s="539">
        <f t="shared" si="34"/>
        <v>0</v>
      </c>
      <c r="AX89" s="539">
        <f t="shared" si="34"/>
        <v>0</v>
      </c>
      <c r="AY89" s="539">
        <f t="shared" si="34"/>
        <v>0</v>
      </c>
      <c r="AZ89" s="539">
        <f t="shared" si="34"/>
        <v>0</v>
      </c>
      <c r="BA89" s="539">
        <f t="shared" si="34"/>
        <v>0</v>
      </c>
      <c r="BB89" s="539">
        <f t="shared" si="34"/>
        <v>0</v>
      </c>
      <c r="BC89" s="539">
        <f t="shared" si="34"/>
        <v>0</v>
      </c>
      <c r="BD89" s="539">
        <f t="shared" si="34"/>
        <v>0</v>
      </c>
      <c r="BE89" s="539">
        <f t="shared" si="34"/>
        <v>0</v>
      </c>
      <c r="BF89" s="539">
        <f t="shared" si="34"/>
        <v>0</v>
      </c>
      <c r="BG89" s="539">
        <f t="shared" si="34"/>
        <v>0</v>
      </c>
      <c r="BH89" s="539">
        <f t="shared" si="34"/>
        <v>0</v>
      </c>
      <c r="BI89" s="539">
        <f t="shared" si="34"/>
        <v>0</v>
      </c>
      <c r="BJ89" s="539">
        <f t="shared" si="34"/>
        <v>0</v>
      </c>
      <c r="BK89" s="539">
        <f t="shared" si="34"/>
        <v>0</v>
      </c>
      <c r="BL89" s="539">
        <f t="shared" si="34"/>
        <v>0</v>
      </c>
      <c r="BM89" s="539">
        <f t="shared" si="34"/>
        <v>0</v>
      </c>
      <c r="BN89" s="539">
        <f t="shared" si="34"/>
        <v>0</v>
      </c>
      <c r="BO89" s="539">
        <f t="shared" si="34"/>
        <v>0</v>
      </c>
      <c r="BP89" s="539">
        <f t="shared" si="34"/>
        <v>0</v>
      </c>
      <c r="BQ89" s="539">
        <f t="shared" si="34"/>
        <v>0</v>
      </c>
      <c r="BR89" s="539">
        <f t="shared" si="34"/>
        <v>0</v>
      </c>
      <c r="BS89" s="539">
        <f t="shared" si="34"/>
        <v>0</v>
      </c>
      <c r="BT89" s="539">
        <f t="shared" si="34"/>
        <v>0</v>
      </c>
      <c r="BU89" s="539">
        <f t="shared" si="34"/>
        <v>0</v>
      </c>
      <c r="BV89" s="539">
        <f t="shared" si="34"/>
        <v>0</v>
      </c>
      <c r="BW89" s="539">
        <f t="shared" si="34"/>
        <v>0</v>
      </c>
      <c r="BX89" s="539">
        <f t="shared" si="34"/>
        <v>0</v>
      </c>
      <c r="BY89" s="539">
        <f t="shared" si="34"/>
        <v>0</v>
      </c>
      <c r="BZ89" s="539">
        <f t="shared" si="34"/>
        <v>0</v>
      </c>
      <c r="CA89" s="539">
        <f t="shared" si="34"/>
        <v>0</v>
      </c>
      <c r="CB89" s="539">
        <f t="shared" si="34"/>
        <v>0</v>
      </c>
      <c r="CC89" s="539">
        <f t="shared" si="34"/>
        <v>0</v>
      </c>
      <c r="CD89" s="539">
        <f t="shared" si="34"/>
        <v>0</v>
      </c>
      <c r="CE89" s="539">
        <f t="shared" si="34"/>
        <v>0</v>
      </c>
      <c r="CF89" s="539">
        <f t="shared" si="34"/>
        <v>0</v>
      </c>
      <c r="CG89" s="539">
        <f t="shared" si="34"/>
        <v>0</v>
      </c>
      <c r="CH89" s="539">
        <f t="shared" si="34"/>
        <v>0</v>
      </c>
      <c r="CI89" s="539">
        <f t="shared" si="34"/>
        <v>0</v>
      </c>
      <c r="CJ89" s="539">
        <f t="shared" si="34"/>
        <v>0</v>
      </c>
      <c r="CK89" s="539">
        <f t="shared" si="34"/>
        <v>0</v>
      </c>
      <c r="CL89" s="539">
        <f t="shared" si="34"/>
        <v>0</v>
      </c>
      <c r="CM89" s="539">
        <f t="shared" si="34"/>
        <v>0</v>
      </c>
      <c r="CN89" s="539">
        <f t="shared" si="34"/>
        <v>0</v>
      </c>
      <c r="CO89" s="539">
        <f t="shared" si="34"/>
        <v>0</v>
      </c>
      <c r="CP89" s="539">
        <f t="shared" si="34"/>
        <v>0</v>
      </c>
      <c r="CQ89" s="539">
        <f t="shared" si="34"/>
        <v>0</v>
      </c>
      <c r="CR89" s="539">
        <f t="shared" si="34"/>
        <v>0</v>
      </c>
      <c r="CS89" s="539">
        <f t="shared" si="34"/>
        <v>0</v>
      </c>
      <c r="CT89" s="539">
        <f t="shared" si="34"/>
        <v>0</v>
      </c>
      <c r="CU89" s="539">
        <f t="shared" si="34"/>
        <v>0</v>
      </c>
      <c r="CV89" s="539">
        <f t="shared" si="34"/>
        <v>0</v>
      </c>
      <c r="CW89" s="539">
        <f t="shared" si="34"/>
        <v>0</v>
      </c>
      <c r="CX89" s="539">
        <f t="shared" si="34"/>
        <v>0</v>
      </c>
      <c r="CY89" s="539">
        <f t="shared" si="34"/>
        <v>0</v>
      </c>
      <c r="CZ89" s="539">
        <f t="shared" si="34"/>
        <v>0</v>
      </c>
      <c r="DA89" s="539">
        <f t="shared" si="34"/>
        <v>0</v>
      </c>
      <c r="DB89" s="539">
        <f t="shared" si="34"/>
        <v>0</v>
      </c>
      <c r="DC89" s="539">
        <f t="shared" si="34"/>
        <v>0</v>
      </c>
      <c r="DD89" s="539">
        <f t="shared" si="34"/>
        <v>0</v>
      </c>
      <c r="DE89" s="539">
        <f t="shared" si="34"/>
        <v>0</v>
      </c>
      <c r="DF89" s="539">
        <f t="shared" si="34"/>
        <v>0</v>
      </c>
      <c r="DG89" s="539">
        <f t="shared" si="34"/>
        <v>0</v>
      </c>
      <c r="DH89" s="539">
        <f t="shared" si="34"/>
        <v>0</v>
      </c>
      <c r="DI89" s="539">
        <f t="shared" si="34"/>
        <v>0</v>
      </c>
      <c r="DJ89" s="539">
        <f t="shared" si="34"/>
        <v>0</v>
      </c>
      <c r="DK89" s="539">
        <f t="shared" si="34"/>
        <v>0</v>
      </c>
      <c r="DL89" s="539">
        <f t="shared" si="34"/>
        <v>0</v>
      </c>
      <c r="DM89" s="539">
        <f t="shared" si="34"/>
        <v>0</v>
      </c>
      <c r="DN89" s="539">
        <f t="shared" si="34"/>
        <v>0</v>
      </c>
      <c r="DO89" s="539">
        <f t="shared" si="34"/>
        <v>0</v>
      </c>
      <c r="DP89" s="539">
        <f t="shared" si="34"/>
        <v>0</v>
      </c>
      <c r="DQ89" s="539">
        <f t="shared" si="34"/>
        <v>0</v>
      </c>
      <c r="DR89" s="539">
        <f t="shared" si="34"/>
        <v>0</v>
      </c>
      <c r="DS89" s="539">
        <f t="shared" si="34"/>
        <v>0</v>
      </c>
      <c r="DT89" s="539">
        <f t="shared" si="34"/>
        <v>0</v>
      </c>
      <c r="DU89" s="539">
        <f t="shared" si="34"/>
        <v>0</v>
      </c>
      <c r="DV89" s="539">
        <f t="shared" si="34"/>
        <v>0</v>
      </c>
      <c r="DW89" s="539">
        <f t="shared" si="34"/>
        <v>0</v>
      </c>
      <c r="DX89" s="539">
        <f t="shared" si="34"/>
        <v>0</v>
      </c>
      <c r="DY89" s="539">
        <f t="shared" si="34"/>
        <v>0</v>
      </c>
      <c r="DZ89" s="539">
        <f t="shared" si="34"/>
        <v>0</v>
      </c>
      <c r="EA89" s="539">
        <f t="shared" si="34"/>
        <v>0</v>
      </c>
      <c r="EB89" s="539">
        <f t="shared" si="34"/>
        <v>0</v>
      </c>
      <c r="EC89" s="539">
        <f t="shared" si="34"/>
        <v>0</v>
      </c>
      <c r="ED89" s="539">
        <f t="shared" si="34"/>
        <v>0</v>
      </c>
      <c r="EE89" s="539">
        <f t="shared" si="34"/>
        <v>0</v>
      </c>
      <c r="EF89" s="539">
        <f t="shared" si="34"/>
        <v>0</v>
      </c>
      <c r="EG89" s="539">
        <f t="shared" si="34"/>
        <v>0</v>
      </c>
    </row>
    <row r="90" spans="5:137" ht="12.75">
      <c r="E90" s="538" t="str">
        <f>E$86</f>
        <v>Last operating period flag</v>
      </c>
      <c r="G90" s="539" t="str">
        <f>G$86</f>
        <v>flag</v>
      </c>
      <c r="H90" s="539">
        <f>H$86</f>
        <v>1</v>
      </c>
      <c r="J90" s="539">
        <f t="shared" si="35" ref="J90:EG90">J$86</f>
        <v>0</v>
      </c>
      <c r="K90" s="539">
        <f t="shared" si="35"/>
        <v>0</v>
      </c>
      <c r="L90" s="539">
        <f t="shared" si="35"/>
        <v>0</v>
      </c>
      <c r="M90" s="539">
        <f t="shared" si="35"/>
        <v>0</v>
      </c>
      <c r="N90" s="539">
        <f t="shared" si="35"/>
        <v>0</v>
      </c>
      <c r="O90" s="539">
        <f t="shared" si="35"/>
        <v>0</v>
      </c>
      <c r="P90" s="539">
        <f t="shared" si="35"/>
        <v>0</v>
      </c>
      <c r="Q90" s="539">
        <f t="shared" si="35"/>
        <v>0</v>
      </c>
      <c r="R90" s="539">
        <f t="shared" si="35"/>
        <v>0</v>
      </c>
      <c r="S90" s="539">
        <f t="shared" si="35"/>
        <v>0</v>
      </c>
      <c r="T90" s="539">
        <f t="shared" si="35"/>
        <v>0</v>
      </c>
      <c r="U90" s="539">
        <f t="shared" si="35"/>
        <v>0</v>
      </c>
      <c r="V90" s="539">
        <f t="shared" si="35"/>
        <v>0</v>
      </c>
      <c r="W90" s="539">
        <f t="shared" si="35"/>
        <v>0</v>
      </c>
      <c r="X90" s="539">
        <f t="shared" si="35"/>
        <v>0</v>
      </c>
      <c r="Y90" s="539">
        <f t="shared" si="35"/>
        <v>0</v>
      </c>
      <c r="Z90" s="539">
        <f t="shared" si="35"/>
        <v>0</v>
      </c>
      <c r="AA90" s="539">
        <f t="shared" si="35"/>
        <v>0</v>
      </c>
      <c r="AB90" s="539">
        <f t="shared" si="35"/>
        <v>0</v>
      </c>
      <c r="AC90" s="539">
        <f t="shared" si="35"/>
        <v>0</v>
      </c>
      <c r="AD90" s="539">
        <f t="shared" si="35"/>
        <v>0</v>
      </c>
      <c r="AE90" s="539">
        <f t="shared" si="35"/>
        <v>0</v>
      </c>
      <c r="AF90" s="539">
        <f t="shared" si="35"/>
        <v>0</v>
      </c>
      <c r="AG90" s="539">
        <f t="shared" si="35"/>
        <v>0</v>
      </c>
      <c r="AH90" s="539">
        <f t="shared" si="35"/>
        <v>0</v>
      </c>
      <c r="AI90" s="539">
        <f t="shared" si="35"/>
        <v>0</v>
      </c>
      <c r="AJ90" s="539">
        <f t="shared" si="35"/>
        <v>0</v>
      </c>
      <c r="AK90" s="539">
        <f t="shared" si="35"/>
        <v>0</v>
      </c>
      <c r="AL90" s="539">
        <f t="shared" si="35"/>
        <v>0</v>
      </c>
      <c r="AM90" s="539">
        <f t="shared" si="35"/>
        <v>0</v>
      </c>
      <c r="AN90" s="539">
        <f t="shared" si="35"/>
        <v>0</v>
      </c>
      <c r="AO90" s="539">
        <f t="shared" si="35"/>
        <v>0</v>
      </c>
      <c r="AP90" s="539">
        <f t="shared" si="35"/>
        <v>0</v>
      </c>
      <c r="AQ90" s="539">
        <f t="shared" si="35"/>
        <v>0</v>
      </c>
      <c r="AR90" s="539">
        <f t="shared" si="35"/>
        <v>0</v>
      </c>
      <c r="AS90" s="539">
        <f t="shared" si="35"/>
        <v>0</v>
      </c>
      <c r="AT90" s="539">
        <f t="shared" si="35"/>
        <v>0</v>
      </c>
      <c r="AU90" s="539">
        <f t="shared" si="35"/>
        <v>0</v>
      </c>
      <c r="AV90" s="539">
        <f t="shared" si="35"/>
        <v>0</v>
      </c>
      <c r="AW90" s="539">
        <f t="shared" si="35"/>
        <v>0</v>
      </c>
      <c r="AX90" s="539">
        <f t="shared" si="35"/>
        <v>0</v>
      </c>
      <c r="AY90" s="539">
        <f t="shared" si="35"/>
        <v>0</v>
      </c>
      <c r="AZ90" s="539">
        <f t="shared" si="35"/>
        <v>0</v>
      </c>
      <c r="BA90" s="539">
        <f t="shared" si="35"/>
        <v>0</v>
      </c>
      <c r="BB90" s="539">
        <f t="shared" si="35"/>
        <v>0</v>
      </c>
      <c r="BC90" s="539">
        <f t="shared" si="35"/>
        <v>0</v>
      </c>
      <c r="BD90" s="539">
        <f t="shared" si="35"/>
        <v>0</v>
      </c>
      <c r="BE90" s="539">
        <f t="shared" si="35"/>
        <v>0</v>
      </c>
      <c r="BF90" s="539">
        <f t="shared" si="35"/>
        <v>0</v>
      </c>
      <c r="BG90" s="539">
        <f t="shared" si="35"/>
        <v>0</v>
      </c>
      <c r="BH90" s="539">
        <f t="shared" si="35"/>
        <v>0</v>
      </c>
      <c r="BI90" s="539">
        <f t="shared" si="35"/>
        <v>0</v>
      </c>
      <c r="BJ90" s="539">
        <f t="shared" si="35"/>
        <v>0</v>
      </c>
      <c r="BK90" s="539">
        <f t="shared" si="35"/>
        <v>0</v>
      </c>
      <c r="BL90" s="539">
        <f t="shared" si="35"/>
        <v>0</v>
      </c>
      <c r="BM90" s="539">
        <f t="shared" si="35"/>
        <v>0</v>
      </c>
      <c r="BN90" s="539">
        <f t="shared" si="35"/>
        <v>0</v>
      </c>
      <c r="BO90" s="539">
        <f t="shared" si="35"/>
        <v>0</v>
      </c>
      <c r="BP90" s="539">
        <f t="shared" si="35"/>
        <v>0</v>
      </c>
      <c r="BQ90" s="539">
        <f t="shared" si="35"/>
        <v>0</v>
      </c>
      <c r="BR90" s="539">
        <f t="shared" si="35"/>
        <v>0</v>
      </c>
      <c r="BS90" s="539">
        <f t="shared" si="35"/>
        <v>0</v>
      </c>
      <c r="BT90" s="539">
        <f t="shared" si="35"/>
        <v>0</v>
      </c>
      <c r="BU90" s="539">
        <f t="shared" si="35"/>
        <v>0</v>
      </c>
      <c r="BV90" s="539">
        <f t="shared" si="35"/>
        <v>0</v>
      </c>
      <c r="BW90" s="539">
        <f t="shared" si="35"/>
        <v>0</v>
      </c>
      <c r="BX90" s="539">
        <f t="shared" si="35"/>
        <v>0</v>
      </c>
      <c r="BY90" s="539">
        <f t="shared" si="35"/>
        <v>0</v>
      </c>
      <c r="BZ90" s="539">
        <f t="shared" si="35"/>
        <v>0</v>
      </c>
      <c r="CA90" s="539">
        <f t="shared" si="35"/>
        <v>0</v>
      </c>
      <c r="CB90" s="539">
        <f t="shared" si="35"/>
        <v>0</v>
      </c>
      <c r="CC90" s="539">
        <f t="shared" si="35"/>
        <v>0</v>
      </c>
      <c r="CD90" s="539">
        <f t="shared" si="35"/>
        <v>0</v>
      </c>
      <c r="CE90" s="539">
        <f t="shared" si="35"/>
        <v>0</v>
      </c>
      <c r="CF90" s="539">
        <f t="shared" si="35"/>
        <v>0</v>
      </c>
      <c r="CG90" s="539">
        <f t="shared" si="35"/>
        <v>0</v>
      </c>
      <c r="CH90" s="539">
        <f t="shared" si="35"/>
        <v>0</v>
      </c>
      <c r="CI90" s="539">
        <f t="shared" si="35"/>
        <v>0</v>
      </c>
      <c r="CJ90" s="539">
        <f t="shared" si="35"/>
        <v>0</v>
      </c>
      <c r="CK90" s="539">
        <f t="shared" si="35"/>
        <v>0</v>
      </c>
      <c r="CL90" s="539">
        <f t="shared" si="35"/>
        <v>0</v>
      </c>
      <c r="CM90" s="539">
        <f t="shared" si="35"/>
        <v>0</v>
      </c>
      <c r="CN90" s="539">
        <f t="shared" si="35"/>
        <v>0</v>
      </c>
      <c r="CO90" s="539">
        <f t="shared" si="35"/>
        <v>0</v>
      </c>
      <c r="CP90" s="539">
        <f t="shared" si="35"/>
        <v>0</v>
      </c>
      <c r="CQ90" s="539">
        <f t="shared" si="35"/>
        <v>0</v>
      </c>
      <c r="CR90" s="539">
        <f t="shared" si="35"/>
        <v>0</v>
      </c>
      <c r="CS90" s="539">
        <f t="shared" si="35"/>
        <v>0</v>
      </c>
      <c r="CT90" s="539">
        <f t="shared" si="35"/>
        <v>0</v>
      </c>
      <c r="CU90" s="539">
        <f t="shared" si="35"/>
        <v>0</v>
      </c>
      <c r="CV90" s="539">
        <f t="shared" si="35"/>
        <v>0</v>
      </c>
      <c r="CW90" s="539">
        <f t="shared" si="35"/>
        <v>0</v>
      </c>
      <c r="CX90" s="539">
        <f t="shared" si="35"/>
        <v>0</v>
      </c>
      <c r="CY90" s="539">
        <f t="shared" si="35"/>
        <v>0</v>
      </c>
      <c r="CZ90" s="539">
        <f t="shared" si="35"/>
        <v>0</v>
      </c>
      <c r="DA90" s="539">
        <f t="shared" si="35"/>
        <v>0</v>
      </c>
      <c r="DB90" s="539">
        <f t="shared" si="35"/>
        <v>0</v>
      </c>
      <c r="DC90" s="539">
        <f t="shared" si="35"/>
        <v>0</v>
      </c>
      <c r="DD90" s="539">
        <f t="shared" si="35"/>
        <v>0</v>
      </c>
      <c r="DE90" s="539">
        <f t="shared" si="35"/>
        <v>0</v>
      </c>
      <c r="DF90" s="539">
        <f t="shared" si="35"/>
        <v>0</v>
      </c>
      <c r="DG90" s="539">
        <f t="shared" si="35"/>
        <v>0</v>
      </c>
      <c r="DH90" s="539">
        <f t="shared" si="35"/>
        <v>0</v>
      </c>
      <c r="DI90" s="539">
        <f t="shared" si="35"/>
        <v>0</v>
      </c>
      <c r="DJ90" s="539">
        <f t="shared" si="35"/>
        <v>0</v>
      </c>
      <c r="DK90" s="539">
        <f t="shared" si="35"/>
        <v>0</v>
      </c>
      <c r="DL90" s="539">
        <f t="shared" si="35"/>
        <v>0</v>
      </c>
      <c r="DM90" s="539">
        <f t="shared" si="35"/>
        <v>0</v>
      </c>
      <c r="DN90" s="539">
        <f t="shared" si="35"/>
        <v>0</v>
      </c>
      <c r="DO90" s="539">
        <f t="shared" si="35"/>
        <v>0</v>
      </c>
      <c r="DP90" s="539">
        <f t="shared" si="35"/>
        <v>0</v>
      </c>
      <c r="DQ90" s="539">
        <f t="shared" si="35"/>
        <v>0</v>
      </c>
      <c r="DR90" s="539">
        <f t="shared" si="35"/>
        <v>0</v>
      </c>
      <c r="DS90" s="539">
        <f t="shared" si="35"/>
        <v>0</v>
      </c>
      <c r="DT90" s="539">
        <f t="shared" si="35"/>
        <v>0</v>
      </c>
      <c r="DU90" s="539">
        <f t="shared" si="35"/>
        <v>0</v>
      </c>
      <c r="DV90" s="539">
        <f t="shared" si="35"/>
        <v>0</v>
      </c>
      <c r="DW90" s="539">
        <f t="shared" si="35"/>
        <v>0</v>
      </c>
      <c r="DX90" s="539">
        <f t="shared" si="35"/>
        <v>0</v>
      </c>
      <c r="DY90" s="539">
        <f t="shared" si="35"/>
        <v>0</v>
      </c>
      <c r="DZ90" s="539">
        <f t="shared" si="35"/>
        <v>0</v>
      </c>
      <c r="EA90" s="539">
        <f t="shared" si="35"/>
        <v>0</v>
      </c>
      <c r="EB90" s="539">
        <f t="shared" si="35"/>
        <v>0</v>
      </c>
      <c r="EC90" s="539">
        <f t="shared" si="35"/>
        <v>1</v>
      </c>
      <c r="ED90" s="539">
        <f t="shared" si="35"/>
        <v>0</v>
      </c>
      <c r="EE90" s="539">
        <f t="shared" si="35"/>
        <v>0</v>
      </c>
      <c r="EF90" s="539">
        <f t="shared" si="35"/>
        <v>0</v>
      </c>
      <c r="EG90" s="539">
        <f t="shared" si="35"/>
        <v>0</v>
      </c>
    </row>
    <row r="91" spans="5:137" ht="12.75">
      <c r="E91" s="540" t="s">
        <v>175</v>
      </c>
      <c r="G91" s="541" t="s">
        <v>158</v>
      </c>
      <c r="H91" s="541">
        <f>SUM(J91:EG91)</f>
        <v>100</v>
      </c>
      <c r="J91" s="541">
        <f t="shared" si="36" ref="J91:EG91">I91+J89-I90</f>
        <v>0</v>
      </c>
      <c r="K91" s="541">
        <f t="shared" si="36"/>
        <v>0</v>
      </c>
      <c r="L91" s="541">
        <f t="shared" si="36"/>
        <v>0</v>
      </c>
      <c r="M91" s="541">
        <f t="shared" si="36"/>
        <v>0</v>
      </c>
      <c r="N91" s="541">
        <f t="shared" si="36"/>
        <v>0</v>
      </c>
      <c r="O91" s="541">
        <f t="shared" si="36"/>
        <v>0</v>
      </c>
      <c r="P91" s="541">
        <f t="shared" si="36"/>
        <v>0</v>
      </c>
      <c r="Q91" s="541">
        <f t="shared" si="36"/>
        <v>0</v>
      </c>
      <c r="R91" s="541">
        <f t="shared" si="36"/>
        <v>0</v>
      </c>
      <c r="S91" s="541">
        <f t="shared" si="36"/>
        <v>0</v>
      </c>
      <c r="T91" s="541">
        <f t="shared" si="36"/>
        <v>0</v>
      </c>
      <c r="U91" s="541">
        <f t="shared" si="36"/>
        <v>0</v>
      </c>
      <c r="V91" s="541">
        <f t="shared" si="36"/>
        <v>0</v>
      </c>
      <c r="W91" s="541">
        <f t="shared" si="36"/>
        <v>0</v>
      </c>
      <c r="X91" s="541">
        <f t="shared" si="36"/>
        <v>0</v>
      </c>
      <c r="Y91" s="541">
        <f t="shared" si="36"/>
        <v>0</v>
      </c>
      <c r="Z91" s="541">
        <f t="shared" si="36"/>
        <v>0</v>
      </c>
      <c r="AA91" s="541">
        <f t="shared" si="36"/>
        <v>0</v>
      </c>
      <c r="AB91" s="541">
        <f t="shared" si="36"/>
        <v>0</v>
      </c>
      <c r="AC91" s="541">
        <f t="shared" si="36"/>
        <v>0</v>
      </c>
      <c r="AD91" s="541">
        <f t="shared" si="36"/>
        <v>0</v>
      </c>
      <c r="AE91" s="541">
        <f t="shared" si="36"/>
        <v>0</v>
      </c>
      <c r="AF91" s="541">
        <f t="shared" si="36"/>
        <v>0</v>
      </c>
      <c r="AG91" s="541">
        <f t="shared" si="36"/>
        <v>0</v>
      </c>
      <c r="AH91" s="541">
        <f t="shared" si="36"/>
        <v>1</v>
      </c>
      <c r="AI91" s="541">
        <f t="shared" si="36"/>
        <v>1</v>
      </c>
      <c r="AJ91" s="541">
        <f t="shared" si="36"/>
        <v>1</v>
      </c>
      <c r="AK91" s="541">
        <f t="shared" si="36"/>
        <v>1</v>
      </c>
      <c r="AL91" s="541">
        <f t="shared" si="36"/>
        <v>1</v>
      </c>
      <c r="AM91" s="541">
        <f t="shared" si="36"/>
        <v>1</v>
      </c>
      <c r="AN91" s="541">
        <f t="shared" si="36"/>
        <v>1</v>
      </c>
      <c r="AO91" s="541">
        <f t="shared" si="36"/>
        <v>1</v>
      </c>
      <c r="AP91" s="541">
        <f t="shared" si="36"/>
        <v>1</v>
      </c>
      <c r="AQ91" s="541">
        <f t="shared" si="36"/>
        <v>1</v>
      </c>
      <c r="AR91" s="541">
        <f t="shared" si="36"/>
        <v>1</v>
      </c>
      <c r="AS91" s="541">
        <f t="shared" si="36"/>
        <v>1</v>
      </c>
      <c r="AT91" s="541">
        <f t="shared" si="36"/>
        <v>1</v>
      </c>
      <c r="AU91" s="541">
        <f t="shared" si="36"/>
        <v>1</v>
      </c>
      <c r="AV91" s="541">
        <f t="shared" si="36"/>
        <v>1</v>
      </c>
      <c r="AW91" s="541">
        <f t="shared" si="36"/>
        <v>1</v>
      </c>
      <c r="AX91" s="541">
        <f t="shared" si="36"/>
        <v>1</v>
      </c>
      <c r="AY91" s="541">
        <f t="shared" si="36"/>
        <v>1</v>
      </c>
      <c r="AZ91" s="541">
        <f t="shared" si="36"/>
        <v>1</v>
      </c>
      <c r="BA91" s="541">
        <f t="shared" si="36"/>
        <v>1</v>
      </c>
      <c r="BB91" s="541">
        <f t="shared" si="36"/>
        <v>1</v>
      </c>
      <c r="BC91" s="541">
        <f t="shared" si="36"/>
        <v>1</v>
      </c>
      <c r="BD91" s="541">
        <f t="shared" si="36"/>
        <v>1</v>
      </c>
      <c r="BE91" s="541">
        <f t="shared" si="36"/>
        <v>1</v>
      </c>
      <c r="BF91" s="541">
        <f t="shared" si="36"/>
        <v>1</v>
      </c>
      <c r="BG91" s="541">
        <f t="shared" si="36"/>
        <v>1</v>
      </c>
      <c r="BH91" s="541">
        <f t="shared" si="36"/>
        <v>1</v>
      </c>
      <c r="BI91" s="541">
        <f t="shared" si="36"/>
        <v>1</v>
      </c>
      <c r="BJ91" s="541">
        <f t="shared" si="36"/>
        <v>1</v>
      </c>
      <c r="BK91" s="541">
        <f t="shared" si="36"/>
        <v>1</v>
      </c>
      <c r="BL91" s="541">
        <f t="shared" si="36"/>
        <v>1</v>
      </c>
      <c r="BM91" s="541">
        <f t="shared" si="36"/>
        <v>1</v>
      </c>
      <c r="BN91" s="541">
        <f t="shared" si="36"/>
        <v>1</v>
      </c>
      <c r="BO91" s="541">
        <f t="shared" si="36"/>
        <v>1</v>
      </c>
      <c r="BP91" s="541">
        <f t="shared" si="36"/>
        <v>1</v>
      </c>
      <c r="BQ91" s="541">
        <f t="shared" si="36"/>
        <v>1</v>
      </c>
      <c r="BR91" s="541">
        <f t="shared" si="36"/>
        <v>1</v>
      </c>
      <c r="BS91" s="541">
        <f t="shared" si="36"/>
        <v>1</v>
      </c>
      <c r="BT91" s="541">
        <f t="shared" si="36"/>
        <v>1</v>
      </c>
      <c r="BU91" s="541">
        <f t="shared" si="36"/>
        <v>1</v>
      </c>
      <c r="BV91" s="541">
        <f t="shared" si="36"/>
        <v>1</v>
      </c>
      <c r="BW91" s="541">
        <f t="shared" si="36"/>
        <v>1</v>
      </c>
      <c r="BX91" s="541">
        <f t="shared" si="36"/>
        <v>1</v>
      </c>
      <c r="BY91" s="541">
        <f t="shared" si="36"/>
        <v>1</v>
      </c>
      <c r="BZ91" s="541">
        <f t="shared" si="36"/>
        <v>1</v>
      </c>
      <c r="CA91" s="541">
        <f t="shared" si="36"/>
        <v>1</v>
      </c>
      <c r="CB91" s="541">
        <f t="shared" si="36"/>
        <v>1</v>
      </c>
      <c r="CC91" s="541">
        <f t="shared" si="36"/>
        <v>1</v>
      </c>
      <c r="CD91" s="541">
        <f t="shared" si="36"/>
        <v>1</v>
      </c>
      <c r="CE91" s="541">
        <f t="shared" si="36"/>
        <v>1</v>
      </c>
      <c r="CF91" s="541">
        <f t="shared" si="36"/>
        <v>1</v>
      </c>
      <c r="CG91" s="541">
        <f t="shared" si="36"/>
        <v>1</v>
      </c>
      <c r="CH91" s="541">
        <f t="shared" si="36"/>
        <v>1</v>
      </c>
      <c r="CI91" s="541">
        <f t="shared" si="36"/>
        <v>1</v>
      </c>
      <c r="CJ91" s="541">
        <f t="shared" si="36"/>
        <v>1</v>
      </c>
      <c r="CK91" s="541">
        <f t="shared" si="36"/>
        <v>1</v>
      </c>
      <c r="CL91" s="541">
        <f t="shared" si="36"/>
        <v>1</v>
      </c>
      <c r="CM91" s="541">
        <f t="shared" si="36"/>
        <v>1</v>
      </c>
      <c r="CN91" s="541">
        <f t="shared" si="36"/>
        <v>1</v>
      </c>
      <c r="CO91" s="541">
        <f t="shared" si="36"/>
        <v>1</v>
      </c>
      <c r="CP91" s="541">
        <f t="shared" si="36"/>
        <v>1</v>
      </c>
      <c r="CQ91" s="541">
        <f t="shared" si="36"/>
        <v>1</v>
      </c>
      <c r="CR91" s="541">
        <f t="shared" si="36"/>
        <v>1</v>
      </c>
      <c r="CS91" s="541">
        <f t="shared" si="36"/>
        <v>1</v>
      </c>
      <c r="CT91" s="541">
        <f t="shared" si="36"/>
        <v>1</v>
      </c>
      <c r="CU91" s="541">
        <f t="shared" si="36"/>
        <v>1</v>
      </c>
      <c r="CV91" s="541">
        <f t="shared" si="36"/>
        <v>1</v>
      </c>
      <c r="CW91" s="541">
        <f t="shared" si="36"/>
        <v>1</v>
      </c>
      <c r="CX91" s="541">
        <f t="shared" si="36"/>
        <v>1</v>
      </c>
      <c r="CY91" s="541">
        <f t="shared" si="36"/>
        <v>1</v>
      </c>
      <c r="CZ91" s="541">
        <f t="shared" si="36"/>
        <v>1</v>
      </c>
      <c r="DA91" s="541">
        <f t="shared" si="36"/>
        <v>1</v>
      </c>
      <c r="DB91" s="541">
        <f t="shared" si="36"/>
        <v>1</v>
      </c>
      <c r="DC91" s="541">
        <f t="shared" si="36"/>
        <v>1</v>
      </c>
      <c r="DD91" s="541">
        <f t="shared" si="36"/>
        <v>1</v>
      </c>
      <c r="DE91" s="541">
        <f t="shared" si="36"/>
        <v>1</v>
      </c>
      <c r="DF91" s="541">
        <f t="shared" si="36"/>
        <v>1</v>
      </c>
      <c r="DG91" s="541">
        <f t="shared" si="36"/>
        <v>1</v>
      </c>
      <c r="DH91" s="541">
        <f t="shared" si="36"/>
        <v>1</v>
      </c>
      <c r="DI91" s="541">
        <f t="shared" si="36"/>
        <v>1</v>
      </c>
      <c r="DJ91" s="541">
        <f t="shared" si="36"/>
        <v>1</v>
      </c>
      <c r="DK91" s="541">
        <f t="shared" si="36"/>
        <v>1</v>
      </c>
      <c r="DL91" s="541">
        <f t="shared" si="36"/>
        <v>1</v>
      </c>
      <c r="DM91" s="541">
        <f t="shared" si="36"/>
        <v>1</v>
      </c>
      <c r="DN91" s="541">
        <f t="shared" si="36"/>
        <v>1</v>
      </c>
      <c r="DO91" s="541">
        <f t="shared" si="36"/>
        <v>1</v>
      </c>
      <c r="DP91" s="541">
        <f t="shared" si="36"/>
        <v>1</v>
      </c>
      <c r="DQ91" s="541">
        <f t="shared" si="36"/>
        <v>1</v>
      </c>
      <c r="DR91" s="541">
        <f t="shared" si="36"/>
        <v>1</v>
      </c>
      <c r="DS91" s="541">
        <f t="shared" si="36"/>
        <v>1</v>
      </c>
      <c r="DT91" s="541">
        <f t="shared" si="36"/>
        <v>1</v>
      </c>
      <c r="DU91" s="541">
        <f t="shared" si="36"/>
        <v>1</v>
      </c>
      <c r="DV91" s="541">
        <f t="shared" si="36"/>
        <v>1</v>
      </c>
      <c r="DW91" s="541">
        <f t="shared" si="36"/>
        <v>1</v>
      </c>
      <c r="DX91" s="541">
        <f t="shared" si="36"/>
        <v>1</v>
      </c>
      <c r="DY91" s="541">
        <f t="shared" si="36"/>
        <v>1</v>
      </c>
      <c r="DZ91" s="541">
        <f t="shared" si="36"/>
        <v>1</v>
      </c>
      <c r="EA91" s="541">
        <f t="shared" si="36"/>
        <v>1</v>
      </c>
      <c r="EB91" s="541">
        <f t="shared" si="36"/>
        <v>1</v>
      </c>
      <c r="EC91" s="541">
        <f t="shared" si="36"/>
        <v>1</v>
      </c>
      <c r="ED91" s="541">
        <f t="shared" si="36"/>
        <v>0</v>
      </c>
      <c r="EE91" s="541">
        <f t="shared" si="36"/>
        <v>0</v>
      </c>
      <c r="EF91" s="541">
        <f t="shared" si="36"/>
        <v>0</v>
      </c>
      <c r="EG91" s="541">
        <f t="shared" si="36"/>
        <v>0</v>
      </c>
    </row>
    <row r="93" spans="2:2" ht="12.75">
      <c r="B93" s="534" t="s">
        <v>176</v>
      </c>
    </row>
    <row r="94" spans="5:137" ht="12.75">
      <c r="E94" s="538" t="str">
        <f>E$86</f>
        <v>Last operating period flag</v>
      </c>
      <c r="G94" s="539" t="str">
        <f>G$86</f>
        <v>flag</v>
      </c>
      <c r="H94" s="539">
        <f>H$86</f>
        <v>1</v>
      </c>
      <c r="J94" s="539">
        <f t="shared" si="37" ref="J94:EG94">J$86</f>
        <v>0</v>
      </c>
      <c r="K94" s="539">
        <f t="shared" si="37"/>
        <v>0</v>
      </c>
      <c r="L94" s="539">
        <f t="shared" si="37"/>
        <v>0</v>
      </c>
      <c r="M94" s="539">
        <f t="shared" si="37"/>
        <v>0</v>
      </c>
      <c r="N94" s="539">
        <f t="shared" si="37"/>
        <v>0</v>
      </c>
      <c r="O94" s="539">
        <f t="shared" si="37"/>
        <v>0</v>
      </c>
      <c r="P94" s="539">
        <f t="shared" si="37"/>
        <v>0</v>
      </c>
      <c r="Q94" s="539">
        <f t="shared" si="37"/>
        <v>0</v>
      </c>
      <c r="R94" s="539">
        <f t="shared" si="37"/>
        <v>0</v>
      </c>
      <c r="S94" s="539">
        <f t="shared" si="37"/>
        <v>0</v>
      </c>
      <c r="T94" s="539">
        <f t="shared" si="37"/>
        <v>0</v>
      </c>
      <c r="U94" s="539">
        <f t="shared" si="37"/>
        <v>0</v>
      </c>
      <c r="V94" s="539">
        <f t="shared" si="37"/>
        <v>0</v>
      </c>
      <c r="W94" s="539">
        <f t="shared" si="37"/>
        <v>0</v>
      </c>
      <c r="X94" s="539">
        <f t="shared" si="37"/>
        <v>0</v>
      </c>
      <c r="Y94" s="539">
        <f t="shared" si="37"/>
        <v>0</v>
      </c>
      <c r="Z94" s="539">
        <f t="shared" si="37"/>
        <v>0</v>
      </c>
      <c r="AA94" s="539">
        <f t="shared" si="37"/>
        <v>0</v>
      </c>
      <c r="AB94" s="539">
        <f t="shared" si="37"/>
        <v>0</v>
      </c>
      <c r="AC94" s="539">
        <f t="shared" si="37"/>
        <v>0</v>
      </c>
      <c r="AD94" s="539">
        <f t="shared" si="37"/>
        <v>0</v>
      </c>
      <c r="AE94" s="539">
        <f t="shared" si="37"/>
        <v>0</v>
      </c>
      <c r="AF94" s="539">
        <f t="shared" si="37"/>
        <v>0</v>
      </c>
      <c r="AG94" s="539">
        <f t="shared" si="37"/>
        <v>0</v>
      </c>
      <c r="AH94" s="539">
        <f t="shared" si="37"/>
        <v>0</v>
      </c>
      <c r="AI94" s="539">
        <f t="shared" si="37"/>
        <v>0</v>
      </c>
      <c r="AJ94" s="539">
        <f t="shared" si="37"/>
        <v>0</v>
      </c>
      <c r="AK94" s="539">
        <f t="shared" si="37"/>
        <v>0</v>
      </c>
      <c r="AL94" s="539">
        <f t="shared" si="37"/>
        <v>0</v>
      </c>
      <c r="AM94" s="539">
        <f t="shared" si="37"/>
        <v>0</v>
      </c>
      <c r="AN94" s="539">
        <f t="shared" si="37"/>
        <v>0</v>
      </c>
      <c r="AO94" s="539">
        <f t="shared" si="37"/>
        <v>0</v>
      </c>
      <c r="AP94" s="539">
        <f t="shared" si="37"/>
        <v>0</v>
      </c>
      <c r="AQ94" s="539">
        <f t="shared" si="37"/>
        <v>0</v>
      </c>
      <c r="AR94" s="539">
        <f t="shared" si="37"/>
        <v>0</v>
      </c>
      <c r="AS94" s="539">
        <f t="shared" si="37"/>
        <v>0</v>
      </c>
      <c r="AT94" s="539">
        <f t="shared" si="37"/>
        <v>0</v>
      </c>
      <c r="AU94" s="539">
        <f t="shared" si="37"/>
        <v>0</v>
      </c>
      <c r="AV94" s="539">
        <f t="shared" si="37"/>
        <v>0</v>
      </c>
      <c r="AW94" s="539">
        <f t="shared" si="37"/>
        <v>0</v>
      </c>
      <c r="AX94" s="539">
        <f t="shared" si="37"/>
        <v>0</v>
      </c>
      <c r="AY94" s="539">
        <f t="shared" si="37"/>
        <v>0</v>
      </c>
      <c r="AZ94" s="539">
        <f t="shared" si="37"/>
        <v>0</v>
      </c>
      <c r="BA94" s="539">
        <f t="shared" si="37"/>
        <v>0</v>
      </c>
      <c r="BB94" s="539">
        <f t="shared" si="37"/>
        <v>0</v>
      </c>
      <c r="BC94" s="539">
        <f t="shared" si="37"/>
        <v>0</v>
      </c>
      <c r="BD94" s="539">
        <f t="shared" si="37"/>
        <v>0</v>
      </c>
      <c r="BE94" s="539">
        <f t="shared" si="37"/>
        <v>0</v>
      </c>
      <c r="BF94" s="539">
        <f t="shared" si="37"/>
        <v>0</v>
      </c>
      <c r="BG94" s="539">
        <f t="shared" si="37"/>
        <v>0</v>
      </c>
      <c r="BH94" s="539">
        <f t="shared" si="37"/>
        <v>0</v>
      </c>
      <c r="BI94" s="539">
        <f t="shared" si="37"/>
        <v>0</v>
      </c>
      <c r="BJ94" s="539">
        <f t="shared" si="37"/>
        <v>0</v>
      </c>
      <c r="BK94" s="539">
        <f t="shared" si="37"/>
        <v>0</v>
      </c>
      <c r="BL94" s="539">
        <f t="shared" si="37"/>
        <v>0</v>
      </c>
      <c r="BM94" s="539">
        <f t="shared" si="37"/>
        <v>0</v>
      </c>
      <c r="BN94" s="539">
        <f t="shared" si="37"/>
        <v>0</v>
      </c>
      <c r="BO94" s="539">
        <f t="shared" si="37"/>
        <v>0</v>
      </c>
      <c r="BP94" s="539">
        <f t="shared" si="37"/>
        <v>0</v>
      </c>
      <c r="BQ94" s="539">
        <f t="shared" si="37"/>
        <v>0</v>
      </c>
      <c r="BR94" s="539">
        <f t="shared" si="37"/>
        <v>0</v>
      </c>
      <c r="BS94" s="539">
        <f t="shared" si="37"/>
        <v>0</v>
      </c>
      <c r="BT94" s="539">
        <f t="shared" si="37"/>
        <v>0</v>
      </c>
      <c r="BU94" s="539">
        <f t="shared" si="37"/>
        <v>0</v>
      </c>
      <c r="BV94" s="539">
        <f t="shared" si="37"/>
        <v>0</v>
      </c>
      <c r="BW94" s="539">
        <f t="shared" si="37"/>
        <v>0</v>
      </c>
      <c r="BX94" s="539">
        <f t="shared" si="37"/>
        <v>0</v>
      </c>
      <c r="BY94" s="539">
        <f t="shared" si="37"/>
        <v>0</v>
      </c>
      <c r="BZ94" s="539">
        <f t="shared" si="37"/>
        <v>0</v>
      </c>
      <c r="CA94" s="539">
        <f t="shared" si="37"/>
        <v>0</v>
      </c>
      <c r="CB94" s="539">
        <f t="shared" si="37"/>
        <v>0</v>
      </c>
      <c r="CC94" s="539">
        <f t="shared" si="37"/>
        <v>0</v>
      </c>
      <c r="CD94" s="539">
        <f t="shared" si="37"/>
        <v>0</v>
      </c>
      <c r="CE94" s="539">
        <f t="shared" si="37"/>
        <v>0</v>
      </c>
      <c r="CF94" s="539">
        <f t="shared" si="37"/>
        <v>0</v>
      </c>
      <c r="CG94" s="539">
        <f t="shared" si="37"/>
        <v>0</v>
      </c>
      <c r="CH94" s="539">
        <f t="shared" si="37"/>
        <v>0</v>
      </c>
      <c r="CI94" s="539">
        <f t="shared" si="37"/>
        <v>0</v>
      </c>
      <c r="CJ94" s="539">
        <f t="shared" si="37"/>
        <v>0</v>
      </c>
      <c r="CK94" s="539">
        <f t="shared" si="37"/>
        <v>0</v>
      </c>
      <c r="CL94" s="539">
        <f t="shared" si="37"/>
        <v>0</v>
      </c>
      <c r="CM94" s="539">
        <f t="shared" si="37"/>
        <v>0</v>
      </c>
      <c r="CN94" s="539">
        <f t="shared" si="37"/>
        <v>0</v>
      </c>
      <c r="CO94" s="539">
        <f t="shared" si="37"/>
        <v>0</v>
      </c>
      <c r="CP94" s="539">
        <f t="shared" si="37"/>
        <v>0</v>
      </c>
      <c r="CQ94" s="539">
        <f t="shared" si="37"/>
        <v>0</v>
      </c>
      <c r="CR94" s="539">
        <f t="shared" si="37"/>
        <v>0</v>
      </c>
      <c r="CS94" s="539">
        <f t="shared" si="37"/>
        <v>0</v>
      </c>
      <c r="CT94" s="539">
        <f t="shared" si="37"/>
        <v>0</v>
      </c>
      <c r="CU94" s="539">
        <f t="shared" si="37"/>
        <v>0</v>
      </c>
      <c r="CV94" s="539">
        <f t="shared" si="37"/>
        <v>0</v>
      </c>
      <c r="CW94" s="539">
        <f t="shared" si="37"/>
        <v>0</v>
      </c>
      <c r="CX94" s="539">
        <f t="shared" si="37"/>
        <v>0</v>
      </c>
      <c r="CY94" s="539">
        <f t="shared" si="37"/>
        <v>0</v>
      </c>
      <c r="CZ94" s="539">
        <f t="shared" si="37"/>
        <v>0</v>
      </c>
      <c r="DA94" s="539">
        <f t="shared" si="37"/>
        <v>0</v>
      </c>
      <c r="DB94" s="539">
        <f t="shared" si="37"/>
        <v>0</v>
      </c>
      <c r="DC94" s="539">
        <f t="shared" si="37"/>
        <v>0</v>
      </c>
      <c r="DD94" s="539">
        <f t="shared" si="37"/>
        <v>0</v>
      </c>
      <c r="DE94" s="539">
        <f t="shared" si="37"/>
        <v>0</v>
      </c>
      <c r="DF94" s="539">
        <f t="shared" si="37"/>
        <v>0</v>
      </c>
      <c r="DG94" s="539">
        <f t="shared" si="37"/>
        <v>0</v>
      </c>
      <c r="DH94" s="539">
        <f t="shared" si="37"/>
        <v>0</v>
      </c>
      <c r="DI94" s="539">
        <f t="shared" si="37"/>
        <v>0</v>
      </c>
      <c r="DJ94" s="539">
        <f t="shared" si="37"/>
        <v>0</v>
      </c>
      <c r="DK94" s="539">
        <f t="shared" si="37"/>
        <v>0</v>
      </c>
      <c r="DL94" s="539">
        <f t="shared" si="37"/>
        <v>0</v>
      </c>
      <c r="DM94" s="539">
        <f t="shared" si="37"/>
        <v>0</v>
      </c>
      <c r="DN94" s="539">
        <f t="shared" si="37"/>
        <v>0</v>
      </c>
      <c r="DO94" s="539">
        <f t="shared" si="37"/>
        <v>0</v>
      </c>
      <c r="DP94" s="539">
        <f t="shared" si="37"/>
        <v>0</v>
      </c>
      <c r="DQ94" s="539">
        <f t="shared" si="37"/>
        <v>0</v>
      </c>
      <c r="DR94" s="539">
        <f t="shared" si="37"/>
        <v>0</v>
      </c>
      <c r="DS94" s="539">
        <f t="shared" si="37"/>
        <v>0</v>
      </c>
      <c r="DT94" s="539">
        <f t="shared" si="37"/>
        <v>0</v>
      </c>
      <c r="DU94" s="539">
        <f t="shared" si="37"/>
        <v>0</v>
      </c>
      <c r="DV94" s="539">
        <f t="shared" si="37"/>
        <v>0</v>
      </c>
      <c r="DW94" s="539">
        <f t="shared" si="37"/>
        <v>0</v>
      </c>
      <c r="DX94" s="539">
        <f t="shared" si="37"/>
        <v>0</v>
      </c>
      <c r="DY94" s="539">
        <f t="shared" si="37"/>
        <v>0</v>
      </c>
      <c r="DZ94" s="539">
        <f t="shared" si="37"/>
        <v>0</v>
      </c>
      <c r="EA94" s="539">
        <f t="shared" si="37"/>
        <v>0</v>
      </c>
      <c r="EB94" s="539">
        <f t="shared" si="37"/>
        <v>0</v>
      </c>
      <c r="EC94" s="539">
        <f t="shared" si="37"/>
        <v>1</v>
      </c>
      <c r="ED94" s="539">
        <f t="shared" si="37"/>
        <v>0</v>
      </c>
      <c r="EE94" s="539">
        <f t="shared" si="37"/>
        <v>0</v>
      </c>
      <c r="EF94" s="539">
        <f t="shared" si="37"/>
        <v>0</v>
      </c>
      <c r="EG94" s="539">
        <f t="shared" si="37"/>
        <v>0</v>
      </c>
    </row>
    <row r="95" spans="5:137" ht="12.75">
      <c r="E95" s="538" t="s">
        <v>176</v>
      </c>
      <c r="G95" s="539" t="s">
        <v>158</v>
      </c>
      <c r="H95" s="539">
        <f>SUM(J95:EG95)</f>
        <v>1</v>
      </c>
      <c r="J95" s="539">
        <f t="shared" si="38" ref="J95:EG95">I94</f>
        <v>0</v>
      </c>
      <c r="K95" s="539">
        <f t="shared" si="38"/>
        <v>0</v>
      </c>
      <c r="L95" s="539">
        <f t="shared" si="38"/>
        <v>0</v>
      </c>
      <c r="M95" s="539">
        <f t="shared" si="38"/>
        <v>0</v>
      </c>
      <c r="N95" s="539">
        <f t="shared" si="38"/>
        <v>0</v>
      </c>
      <c r="O95" s="539">
        <f t="shared" si="38"/>
        <v>0</v>
      </c>
      <c r="P95" s="539">
        <f t="shared" si="38"/>
        <v>0</v>
      </c>
      <c r="Q95" s="539">
        <f t="shared" si="38"/>
        <v>0</v>
      </c>
      <c r="R95" s="539">
        <f t="shared" si="38"/>
        <v>0</v>
      </c>
      <c r="S95" s="539">
        <f t="shared" si="38"/>
        <v>0</v>
      </c>
      <c r="T95" s="539">
        <f t="shared" si="38"/>
        <v>0</v>
      </c>
      <c r="U95" s="539">
        <f t="shared" si="38"/>
        <v>0</v>
      </c>
      <c r="V95" s="539">
        <f t="shared" si="38"/>
        <v>0</v>
      </c>
      <c r="W95" s="539">
        <f t="shared" si="38"/>
        <v>0</v>
      </c>
      <c r="X95" s="539">
        <f t="shared" si="38"/>
        <v>0</v>
      </c>
      <c r="Y95" s="539">
        <f t="shared" si="38"/>
        <v>0</v>
      </c>
      <c r="Z95" s="539">
        <f t="shared" si="38"/>
        <v>0</v>
      </c>
      <c r="AA95" s="539">
        <f t="shared" si="38"/>
        <v>0</v>
      </c>
      <c r="AB95" s="539">
        <f t="shared" si="38"/>
        <v>0</v>
      </c>
      <c r="AC95" s="539">
        <f t="shared" si="38"/>
        <v>0</v>
      </c>
      <c r="AD95" s="539">
        <f t="shared" si="38"/>
        <v>0</v>
      </c>
      <c r="AE95" s="539">
        <f t="shared" si="38"/>
        <v>0</v>
      </c>
      <c r="AF95" s="539">
        <f t="shared" si="38"/>
        <v>0</v>
      </c>
      <c r="AG95" s="539">
        <f t="shared" si="38"/>
        <v>0</v>
      </c>
      <c r="AH95" s="539">
        <f t="shared" si="38"/>
        <v>0</v>
      </c>
      <c r="AI95" s="539">
        <f t="shared" si="38"/>
        <v>0</v>
      </c>
      <c r="AJ95" s="539">
        <f t="shared" si="38"/>
        <v>0</v>
      </c>
      <c r="AK95" s="539">
        <f t="shared" si="38"/>
        <v>0</v>
      </c>
      <c r="AL95" s="539">
        <f t="shared" si="38"/>
        <v>0</v>
      </c>
      <c r="AM95" s="539">
        <f t="shared" si="38"/>
        <v>0</v>
      </c>
      <c r="AN95" s="539">
        <f t="shared" si="38"/>
        <v>0</v>
      </c>
      <c r="AO95" s="539">
        <f t="shared" si="38"/>
        <v>0</v>
      </c>
      <c r="AP95" s="539">
        <f t="shared" si="38"/>
        <v>0</v>
      </c>
      <c r="AQ95" s="539">
        <f t="shared" si="38"/>
        <v>0</v>
      </c>
      <c r="AR95" s="539">
        <f t="shared" si="38"/>
        <v>0</v>
      </c>
      <c r="AS95" s="539">
        <f t="shared" si="38"/>
        <v>0</v>
      </c>
      <c r="AT95" s="539">
        <f t="shared" si="38"/>
        <v>0</v>
      </c>
      <c r="AU95" s="539">
        <f t="shared" si="38"/>
        <v>0</v>
      </c>
      <c r="AV95" s="539">
        <f t="shared" si="38"/>
        <v>0</v>
      </c>
      <c r="AW95" s="539">
        <f t="shared" si="38"/>
        <v>0</v>
      </c>
      <c r="AX95" s="539">
        <f t="shared" si="38"/>
        <v>0</v>
      </c>
      <c r="AY95" s="539">
        <f t="shared" si="38"/>
        <v>0</v>
      </c>
      <c r="AZ95" s="539">
        <f t="shared" si="38"/>
        <v>0</v>
      </c>
      <c r="BA95" s="539">
        <f t="shared" si="38"/>
        <v>0</v>
      </c>
      <c r="BB95" s="539">
        <f t="shared" si="38"/>
        <v>0</v>
      </c>
      <c r="BC95" s="539">
        <f t="shared" si="38"/>
        <v>0</v>
      </c>
      <c r="BD95" s="539">
        <f t="shared" si="38"/>
        <v>0</v>
      </c>
      <c r="BE95" s="539">
        <f t="shared" si="38"/>
        <v>0</v>
      </c>
      <c r="BF95" s="539">
        <f t="shared" si="38"/>
        <v>0</v>
      </c>
      <c r="BG95" s="539">
        <f t="shared" si="38"/>
        <v>0</v>
      </c>
      <c r="BH95" s="539">
        <f t="shared" si="38"/>
        <v>0</v>
      </c>
      <c r="BI95" s="539">
        <f t="shared" si="38"/>
        <v>0</v>
      </c>
      <c r="BJ95" s="539">
        <f t="shared" si="38"/>
        <v>0</v>
      </c>
      <c r="BK95" s="539">
        <f t="shared" si="38"/>
        <v>0</v>
      </c>
      <c r="BL95" s="539">
        <f t="shared" si="38"/>
        <v>0</v>
      </c>
      <c r="BM95" s="539">
        <f t="shared" si="38"/>
        <v>0</v>
      </c>
      <c r="BN95" s="539">
        <f t="shared" si="38"/>
        <v>0</v>
      </c>
      <c r="BO95" s="539">
        <f t="shared" si="38"/>
        <v>0</v>
      </c>
      <c r="BP95" s="539">
        <f t="shared" si="38"/>
        <v>0</v>
      </c>
      <c r="BQ95" s="539">
        <f t="shared" si="38"/>
        <v>0</v>
      </c>
      <c r="BR95" s="539">
        <f t="shared" si="38"/>
        <v>0</v>
      </c>
      <c r="BS95" s="539">
        <f t="shared" si="38"/>
        <v>0</v>
      </c>
      <c r="BT95" s="539">
        <f t="shared" si="38"/>
        <v>0</v>
      </c>
      <c r="BU95" s="539">
        <f t="shared" si="38"/>
        <v>0</v>
      </c>
      <c r="BV95" s="539">
        <f t="shared" si="38"/>
        <v>0</v>
      </c>
      <c r="BW95" s="539">
        <f t="shared" si="38"/>
        <v>0</v>
      </c>
      <c r="BX95" s="539">
        <f t="shared" si="38"/>
        <v>0</v>
      </c>
      <c r="BY95" s="539">
        <f t="shared" si="38"/>
        <v>0</v>
      </c>
      <c r="BZ95" s="539">
        <f t="shared" si="38"/>
        <v>0</v>
      </c>
      <c r="CA95" s="539">
        <f t="shared" si="38"/>
        <v>0</v>
      </c>
      <c r="CB95" s="539">
        <f t="shared" si="38"/>
        <v>0</v>
      </c>
      <c r="CC95" s="539">
        <f t="shared" si="38"/>
        <v>0</v>
      </c>
      <c r="CD95" s="539">
        <f t="shared" si="38"/>
        <v>0</v>
      </c>
      <c r="CE95" s="539">
        <f t="shared" si="38"/>
        <v>0</v>
      </c>
      <c r="CF95" s="539">
        <f t="shared" si="38"/>
        <v>0</v>
      </c>
      <c r="CG95" s="539">
        <f t="shared" si="38"/>
        <v>0</v>
      </c>
      <c r="CH95" s="539">
        <f t="shared" si="38"/>
        <v>0</v>
      </c>
      <c r="CI95" s="539">
        <f t="shared" si="38"/>
        <v>0</v>
      </c>
      <c r="CJ95" s="539">
        <f t="shared" si="38"/>
        <v>0</v>
      </c>
      <c r="CK95" s="539">
        <f t="shared" si="38"/>
        <v>0</v>
      </c>
      <c r="CL95" s="539">
        <f t="shared" si="38"/>
        <v>0</v>
      </c>
      <c r="CM95" s="539">
        <f t="shared" si="38"/>
        <v>0</v>
      </c>
      <c r="CN95" s="539">
        <f t="shared" si="38"/>
        <v>0</v>
      </c>
      <c r="CO95" s="539">
        <f t="shared" si="38"/>
        <v>0</v>
      </c>
      <c r="CP95" s="539">
        <f t="shared" si="38"/>
        <v>0</v>
      </c>
      <c r="CQ95" s="539">
        <f t="shared" si="38"/>
        <v>0</v>
      </c>
      <c r="CR95" s="539">
        <f t="shared" si="38"/>
        <v>0</v>
      </c>
      <c r="CS95" s="539">
        <f t="shared" si="38"/>
        <v>0</v>
      </c>
      <c r="CT95" s="539">
        <f t="shared" si="38"/>
        <v>0</v>
      </c>
      <c r="CU95" s="539">
        <f t="shared" si="38"/>
        <v>0</v>
      </c>
      <c r="CV95" s="539">
        <f t="shared" si="38"/>
        <v>0</v>
      </c>
      <c r="CW95" s="539">
        <f t="shared" si="38"/>
        <v>0</v>
      </c>
      <c r="CX95" s="539">
        <f t="shared" si="38"/>
        <v>0</v>
      </c>
      <c r="CY95" s="539">
        <f t="shared" si="38"/>
        <v>0</v>
      </c>
      <c r="CZ95" s="539">
        <f t="shared" si="38"/>
        <v>0</v>
      </c>
      <c r="DA95" s="539">
        <f t="shared" si="38"/>
        <v>0</v>
      </c>
      <c r="DB95" s="539">
        <f t="shared" si="38"/>
        <v>0</v>
      </c>
      <c r="DC95" s="539">
        <f t="shared" si="38"/>
        <v>0</v>
      </c>
      <c r="DD95" s="539">
        <f t="shared" si="38"/>
        <v>0</v>
      </c>
      <c r="DE95" s="539">
        <f t="shared" si="38"/>
        <v>0</v>
      </c>
      <c r="DF95" s="539">
        <f t="shared" si="38"/>
        <v>0</v>
      </c>
      <c r="DG95" s="539">
        <f t="shared" si="38"/>
        <v>0</v>
      </c>
      <c r="DH95" s="539">
        <f t="shared" si="38"/>
        <v>0</v>
      </c>
      <c r="DI95" s="539">
        <f t="shared" si="38"/>
        <v>0</v>
      </c>
      <c r="DJ95" s="539">
        <f t="shared" si="38"/>
        <v>0</v>
      </c>
      <c r="DK95" s="539">
        <f t="shared" si="38"/>
        <v>0</v>
      </c>
      <c r="DL95" s="539">
        <f t="shared" si="38"/>
        <v>0</v>
      </c>
      <c r="DM95" s="539">
        <f t="shared" si="38"/>
        <v>0</v>
      </c>
      <c r="DN95" s="539">
        <f t="shared" si="38"/>
        <v>0</v>
      </c>
      <c r="DO95" s="539">
        <f t="shared" si="38"/>
        <v>0</v>
      </c>
      <c r="DP95" s="539">
        <f t="shared" si="38"/>
        <v>0</v>
      </c>
      <c r="DQ95" s="539">
        <f t="shared" si="38"/>
        <v>0</v>
      </c>
      <c r="DR95" s="539">
        <f t="shared" si="38"/>
        <v>0</v>
      </c>
      <c r="DS95" s="539">
        <f t="shared" si="38"/>
        <v>0</v>
      </c>
      <c r="DT95" s="539">
        <f t="shared" si="38"/>
        <v>0</v>
      </c>
      <c r="DU95" s="539">
        <f t="shared" si="38"/>
        <v>0</v>
      </c>
      <c r="DV95" s="539">
        <f t="shared" si="38"/>
        <v>0</v>
      </c>
      <c r="DW95" s="539">
        <f t="shared" si="38"/>
        <v>0</v>
      </c>
      <c r="DX95" s="539">
        <f t="shared" si="38"/>
        <v>0</v>
      </c>
      <c r="DY95" s="539">
        <f t="shared" si="38"/>
        <v>0</v>
      </c>
      <c r="DZ95" s="539">
        <f t="shared" si="38"/>
        <v>0</v>
      </c>
      <c r="EA95" s="539">
        <f t="shared" si="38"/>
        <v>0</v>
      </c>
      <c r="EB95" s="539">
        <f t="shared" si="38"/>
        <v>0</v>
      </c>
      <c r="EC95" s="539">
        <f t="shared" si="38"/>
        <v>0</v>
      </c>
      <c r="ED95" s="539">
        <f t="shared" si="38"/>
        <v>1</v>
      </c>
      <c r="EE95" s="539">
        <f t="shared" si="38"/>
        <v>0</v>
      </c>
      <c r="EF95" s="539">
        <f t="shared" si="38"/>
        <v>0</v>
      </c>
      <c r="EG95" s="539">
        <f t="shared" si="38"/>
        <v>0</v>
      </c>
    </row>
    <row r="97" spans="2:2" ht="12.75">
      <c r="B97" s="534" t="s">
        <v>177</v>
      </c>
    </row>
    <row r="98" spans="5:7" ht="12.75">
      <c r="E98" s="535" t="str">
        <f>InpC!E$18</f>
        <v>Escalation period end month</v>
      </c>
      <c r="F98" s="537">
        <f>InpC!F$18</f>
        <v>12</v>
      </c>
      <c r="G98" s="537" t="str">
        <f>InpC!G$18</f>
        <v>month</v>
      </c>
    </row>
    <row r="99" spans="5:137" ht="12.75">
      <c r="E99" s="538" t="str">
        <f>E$50</f>
        <v>Model period ending</v>
      </c>
      <c r="G99" s="558" t="str">
        <f>G$50</f>
        <v>date</v>
      </c>
      <c r="J99" s="558">
        <f t="shared" si="39" ref="J99:EG99">J$50</f>
        <v>46418</v>
      </c>
      <c r="K99" s="558">
        <f t="shared" si="39"/>
        <v>46446</v>
      </c>
      <c r="L99" s="558">
        <f t="shared" si="39"/>
        <v>46477</v>
      </c>
      <c r="M99" s="558">
        <f t="shared" si="39"/>
        <v>46507</v>
      </c>
      <c r="N99" s="558">
        <f t="shared" si="39"/>
        <v>46538</v>
      </c>
      <c r="O99" s="558">
        <f t="shared" si="39"/>
        <v>46568</v>
      </c>
      <c r="P99" s="558">
        <f t="shared" si="39"/>
        <v>46599</v>
      </c>
      <c r="Q99" s="558">
        <f t="shared" si="39"/>
        <v>46630</v>
      </c>
      <c r="R99" s="558">
        <f t="shared" si="39"/>
        <v>46660</v>
      </c>
      <c r="S99" s="558">
        <f t="shared" si="39"/>
        <v>46691</v>
      </c>
      <c r="T99" s="558">
        <f t="shared" si="39"/>
        <v>46721</v>
      </c>
      <c r="U99" s="558">
        <f t="shared" si="39"/>
        <v>46752</v>
      </c>
      <c r="V99" s="558">
        <f t="shared" si="39"/>
        <v>46783</v>
      </c>
      <c r="W99" s="558">
        <f t="shared" si="39"/>
        <v>46812</v>
      </c>
      <c r="X99" s="558">
        <f t="shared" si="39"/>
        <v>46843</v>
      </c>
      <c r="Y99" s="558">
        <f t="shared" si="39"/>
        <v>46873</v>
      </c>
      <c r="Z99" s="558">
        <f t="shared" si="39"/>
        <v>46904</v>
      </c>
      <c r="AA99" s="558">
        <f t="shared" si="39"/>
        <v>46934</v>
      </c>
      <c r="AB99" s="558">
        <f t="shared" si="39"/>
        <v>46965</v>
      </c>
      <c r="AC99" s="558">
        <f t="shared" si="39"/>
        <v>46996</v>
      </c>
      <c r="AD99" s="558">
        <f t="shared" si="39"/>
        <v>47026</v>
      </c>
      <c r="AE99" s="558">
        <f t="shared" si="39"/>
        <v>47057</v>
      </c>
      <c r="AF99" s="558">
        <f t="shared" si="39"/>
        <v>47087</v>
      </c>
      <c r="AG99" s="558">
        <f t="shared" si="39"/>
        <v>47118</v>
      </c>
      <c r="AH99" s="558">
        <f t="shared" si="39"/>
        <v>47208</v>
      </c>
      <c r="AI99" s="558">
        <f t="shared" si="39"/>
        <v>47299</v>
      </c>
      <c r="AJ99" s="558">
        <f t="shared" si="39"/>
        <v>47391</v>
      </c>
      <c r="AK99" s="558">
        <f t="shared" si="39"/>
        <v>47483</v>
      </c>
      <c r="AL99" s="558">
        <f t="shared" si="39"/>
        <v>47573</v>
      </c>
      <c r="AM99" s="558">
        <f t="shared" si="39"/>
        <v>47664</v>
      </c>
      <c r="AN99" s="558">
        <f t="shared" si="39"/>
        <v>47756</v>
      </c>
      <c r="AO99" s="558">
        <f t="shared" si="39"/>
        <v>47848</v>
      </c>
      <c r="AP99" s="558">
        <f t="shared" si="39"/>
        <v>47938</v>
      </c>
      <c r="AQ99" s="558">
        <f t="shared" si="39"/>
        <v>48029</v>
      </c>
      <c r="AR99" s="558">
        <f t="shared" si="39"/>
        <v>48121</v>
      </c>
      <c r="AS99" s="558">
        <f t="shared" si="39"/>
        <v>48213</v>
      </c>
      <c r="AT99" s="558">
        <f t="shared" si="39"/>
        <v>48304</v>
      </c>
      <c r="AU99" s="558">
        <f t="shared" si="39"/>
        <v>48395</v>
      </c>
      <c r="AV99" s="558">
        <f t="shared" si="39"/>
        <v>48487</v>
      </c>
      <c r="AW99" s="558">
        <f t="shared" si="39"/>
        <v>48579</v>
      </c>
      <c r="AX99" s="558">
        <f t="shared" si="39"/>
        <v>48669</v>
      </c>
      <c r="AY99" s="558">
        <f t="shared" si="39"/>
        <v>48760</v>
      </c>
      <c r="AZ99" s="558">
        <f t="shared" si="39"/>
        <v>48852</v>
      </c>
      <c r="BA99" s="558">
        <f t="shared" si="39"/>
        <v>48944</v>
      </c>
      <c r="BB99" s="558">
        <f t="shared" si="39"/>
        <v>49034</v>
      </c>
      <c r="BC99" s="558">
        <f t="shared" si="39"/>
        <v>49125</v>
      </c>
      <c r="BD99" s="558">
        <f t="shared" si="39"/>
        <v>49217</v>
      </c>
      <c r="BE99" s="558">
        <f t="shared" si="39"/>
        <v>49309</v>
      </c>
      <c r="BF99" s="558">
        <f t="shared" si="39"/>
        <v>49399</v>
      </c>
      <c r="BG99" s="558">
        <f t="shared" si="39"/>
        <v>49490</v>
      </c>
      <c r="BH99" s="558">
        <f t="shared" si="39"/>
        <v>49582</v>
      </c>
      <c r="BI99" s="558">
        <f t="shared" si="39"/>
        <v>49674</v>
      </c>
      <c r="BJ99" s="558">
        <f t="shared" si="39"/>
        <v>49765</v>
      </c>
      <c r="BK99" s="558">
        <f t="shared" si="39"/>
        <v>49856</v>
      </c>
      <c r="BL99" s="558">
        <f t="shared" si="39"/>
        <v>49948</v>
      </c>
      <c r="BM99" s="558">
        <f t="shared" si="39"/>
        <v>50040</v>
      </c>
      <c r="BN99" s="558">
        <f t="shared" si="39"/>
        <v>50130</v>
      </c>
      <c r="BO99" s="558">
        <f t="shared" si="39"/>
        <v>50221</v>
      </c>
      <c r="BP99" s="558">
        <f t="shared" si="39"/>
        <v>50313</v>
      </c>
      <c r="BQ99" s="558">
        <f t="shared" si="39"/>
        <v>50405</v>
      </c>
      <c r="BR99" s="558">
        <f t="shared" si="39"/>
        <v>50495</v>
      </c>
      <c r="BS99" s="558">
        <f t="shared" si="39"/>
        <v>50586</v>
      </c>
      <c r="BT99" s="558">
        <f t="shared" si="39"/>
        <v>50678</v>
      </c>
      <c r="BU99" s="558">
        <f t="shared" si="39"/>
        <v>50770</v>
      </c>
      <c r="BV99" s="558">
        <f t="shared" si="39"/>
        <v>50860</v>
      </c>
      <c r="BW99" s="558">
        <f t="shared" si="39"/>
        <v>50951</v>
      </c>
      <c r="BX99" s="558">
        <f t="shared" si="39"/>
        <v>51043</v>
      </c>
      <c r="BY99" s="558">
        <f t="shared" si="39"/>
        <v>51135</v>
      </c>
      <c r="BZ99" s="558">
        <f t="shared" si="39"/>
        <v>51226</v>
      </c>
      <c r="CA99" s="558">
        <f t="shared" si="39"/>
        <v>51317</v>
      </c>
      <c r="CB99" s="558">
        <f t="shared" si="39"/>
        <v>51409</v>
      </c>
      <c r="CC99" s="558">
        <f t="shared" si="39"/>
        <v>51501</v>
      </c>
      <c r="CD99" s="558">
        <f t="shared" si="39"/>
        <v>51591</v>
      </c>
      <c r="CE99" s="558">
        <f t="shared" si="39"/>
        <v>51682</v>
      </c>
      <c r="CF99" s="558">
        <f t="shared" si="39"/>
        <v>51774</v>
      </c>
      <c r="CG99" s="558">
        <f t="shared" si="39"/>
        <v>51866</v>
      </c>
      <c r="CH99" s="558">
        <f t="shared" si="39"/>
        <v>51956</v>
      </c>
      <c r="CI99" s="558">
        <f t="shared" si="39"/>
        <v>52047</v>
      </c>
      <c r="CJ99" s="558">
        <f t="shared" si="39"/>
        <v>52139</v>
      </c>
      <c r="CK99" s="558">
        <f t="shared" si="39"/>
        <v>52231</v>
      </c>
      <c r="CL99" s="558">
        <f t="shared" si="39"/>
        <v>52321</v>
      </c>
      <c r="CM99" s="558">
        <f t="shared" si="39"/>
        <v>52412</v>
      </c>
      <c r="CN99" s="558">
        <f t="shared" si="39"/>
        <v>52504</v>
      </c>
      <c r="CO99" s="558">
        <f t="shared" si="39"/>
        <v>52596</v>
      </c>
      <c r="CP99" s="558">
        <f t="shared" si="39"/>
        <v>52687</v>
      </c>
      <c r="CQ99" s="558">
        <f t="shared" si="39"/>
        <v>52778</v>
      </c>
      <c r="CR99" s="558">
        <f t="shared" si="39"/>
        <v>52870</v>
      </c>
      <c r="CS99" s="558">
        <f t="shared" si="39"/>
        <v>52962</v>
      </c>
      <c r="CT99" s="558">
        <f t="shared" si="39"/>
        <v>53052</v>
      </c>
      <c r="CU99" s="558">
        <f t="shared" si="39"/>
        <v>53143</v>
      </c>
      <c r="CV99" s="558">
        <f t="shared" si="39"/>
        <v>53235</v>
      </c>
      <c r="CW99" s="558">
        <f t="shared" si="39"/>
        <v>53327</v>
      </c>
      <c r="CX99" s="558">
        <f t="shared" si="39"/>
        <v>53417</v>
      </c>
      <c r="CY99" s="558">
        <f t="shared" si="39"/>
        <v>53508</v>
      </c>
      <c r="CZ99" s="558">
        <f t="shared" si="39"/>
        <v>53600</v>
      </c>
      <c r="DA99" s="558">
        <f t="shared" si="39"/>
        <v>53692</v>
      </c>
      <c r="DB99" s="558">
        <f t="shared" si="39"/>
        <v>53782</v>
      </c>
      <c r="DC99" s="558">
        <f t="shared" si="39"/>
        <v>53873</v>
      </c>
      <c r="DD99" s="558">
        <f t="shared" si="39"/>
        <v>53965</v>
      </c>
      <c r="DE99" s="558">
        <f t="shared" si="39"/>
        <v>54057</v>
      </c>
      <c r="DF99" s="558">
        <f t="shared" si="39"/>
        <v>54148</v>
      </c>
      <c r="DG99" s="558">
        <f t="shared" si="39"/>
        <v>54239</v>
      </c>
      <c r="DH99" s="558">
        <f t="shared" si="39"/>
        <v>54331</v>
      </c>
      <c r="DI99" s="558">
        <f t="shared" si="39"/>
        <v>54423</v>
      </c>
      <c r="DJ99" s="558">
        <f t="shared" si="39"/>
        <v>54513</v>
      </c>
      <c r="DK99" s="558">
        <f t="shared" si="39"/>
        <v>54604</v>
      </c>
      <c r="DL99" s="558">
        <f t="shared" si="39"/>
        <v>54696</v>
      </c>
      <c r="DM99" s="558">
        <f t="shared" si="39"/>
        <v>54788</v>
      </c>
      <c r="DN99" s="558">
        <f t="shared" si="39"/>
        <v>54878</v>
      </c>
      <c r="DO99" s="558">
        <f t="shared" si="39"/>
        <v>54969</v>
      </c>
      <c r="DP99" s="558">
        <f t="shared" si="39"/>
        <v>55061</v>
      </c>
      <c r="DQ99" s="558">
        <f t="shared" si="39"/>
        <v>55153</v>
      </c>
      <c r="DR99" s="558">
        <f t="shared" si="39"/>
        <v>55243</v>
      </c>
      <c r="DS99" s="558">
        <f t="shared" si="39"/>
        <v>55334</v>
      </c>
      <c r="DT99" s="558">
        <f t="shared" si="39"/>
        <v>55426</v>
      </c>
      <c r="DU99" s="558">
        <f t="shared" si="39"/>
        <v>55518</v>
      </c>
      <c r="DV99" s="558">
        <f t="shared" si="39"/>
        <v>55609</v>
      </c>
      <c r="DW99" s="558">
        <f t="shared" si="39"/>
        <v>55700</v>
      </c>
      <c r="DX99" s="558">
        <f t="shared" si="39"/>
        <v>55792</v>
      </c>
      <c r="DY99" s="558">
        <f t="shared" si="39"/>
        <v>55884</v>
      </c>
      <c r="DZ99" s="558">
        <f t="shared" si="39"/>
        <v>55974</v>
      </c>
      <c r="EA99" s="558">
        <f t="shared" si="39"/>
        <v>56065</v>
      </c>
      <c r="EB99" s="558">
        <f t="shared" si="39"/>
        <v>56157</v>
      </c>
      <c r="EC99" s="558">
        <f t="shared" si="39"/>
        <v>56249</v>
      </c>
      <c r="ED99" s="558">
        <f t="shared" si="39"/>
        <v>56339</v>
      </c>
      <c r="EE99" s="558">
        <f t="shared" si="39"/>
        <v>56430</v>
      </c>
      <c r="EF99" s="558">
        <f t="shared" si="39"/>
        <v>56522</v>
      </c>
      <c r="EG99" s="558">
        <f t="shared" si="39"/>
        <v>56614</v>
      </c>
    </row>
    <row r="100" spans="5:137" ht="12.75">
      <c r="E100" s="540" t="s">
        <v>178</v>
      </c>
      <c r="G100" s="541" t="s">
        <v>158</v>
      </c>
      <c r="H100" s="541">
        <f>SUM(J100:EG100)</f>
        <v>28</v>
      </c>
      <c r="J100" s="541">
        <f t="shared" si="40" ref="J100:EG100">IF(MONTH(J99)=$F98,1,0)</f>
        <v>0</v>
      </c>
      <c r="K100" s="541">
        <f t="shared" si="40"/>
        <v>0</v>
      </c>
      <c r="L100" s="541">
        <f t="shared" si="40"/>
        <v>0</v>
      </c>
      <c r="M100" s="541">
        <f t="shared" si="40"/>
        <v>0</v>
      </c>
      <c r="N100" s="541">
        <f t="shared" si="40"/>
        <v>0</v>
      </c>
      <c r="O100" s="541">
        <f t="shared" si="40"/>
        <v>0</v>
      </c>
      <c r="P100" s="541">
        <f t="shared" si="40"/>
        <v>0</v>
      </c>
      <c r="Q100" s="541">
        <f t="shared" si="40"/>
        <v>0</v>
      </c>
      <c r="R100" s="541">
        <f t="shared" si="40"/>
        <v>0</v>
      </c>
      <c r="S100" s="541">
        <f t="shared" si="40"/>
        <v>0</v>
      </c>
      <c r="T100" s="541">
        <f t="shared" si="40"/>
        <v>0</v>
      </c>
      <c r="U100" s="541">
        <f t="shared" si="40"/>
        <v>1</v>
      </c>
      <c r="V100" s="541">
        <f t="shared" si="40"/>
        <v>0</v>
      </c>
      <c r="W100" s="541">
        <f t="shared" si="40"/>
        <v>0</v>
      </c>
      <c r="X100" s="541">
        <f t="shared" si="40"/>
        <v>0</v>
      </c>
      <c r="Y100" s="541">
        <f t="shared" si="40"/>
        <v>0</v>
      </c>
      <c r="Z100" s="541">
        <f t="shared" si="40"/>
        <v>0</v>
      </c>
      <c r="AA100" s="541">
        <f t="shared" si="40"/>
        <v>0</v>
      </c>
      <c r="AB100" s="541">
        <f t="shared" si="40"/>
        <v>0</v>
      </c>
      <c r="AC100" s="541">
        <f t="shared" si="40"/>
        <v>0</v>
      </c>
      <c r="AD100" s="541">
        <f t="shared" si="40"/>
        <v>0</v>
      </c>
      <c r="AE100" s="541">
        <f t="shared" si="40"/>
        <v>0</v>
      </c>
      <c r="AF100" s="541">
        <f t="shared" si="40"/>
        <v>0</v>
      </c>
      <c r="AG100" s="541">
        <f t="shared" si="40"/>
        <v>1</v>
      </c>
      <c r="AH100" s="541">
        <f t="shared" si="40"/>
        <v>0</v>
      </c>
      <c r="AI100" s="541">
        <f t="shared" si="40"/>
        <v>0</v>
      </c>
      <c r="AJ100" s="541">
        <f t="shared" si="40"/>
        <v>0</v>
      </c>
      <c r="AK100" s="541">
        <f t="shared" si="40"/>
        <v>1</v>
      </c>
      <c r="AL100" s="541">
        <f t="shared" si="40"/>
        <v>0</v>
      </c>
      <c r="AM100" s="541">
        <f t="shared" si="40"/>
        <v>0</v>
      </c>
      <c r="AN100" s="541">
        <f t="shared" si="40"/>
        <v>0</v>
      </c>
      <c r="AO100" s="541">
        <f t="shared" si="40"/>
        <v>1</v>
      </c>
      <c r="AP100" s="541">
        <f t="shared" si="40"/>
        <v>0</v>
      </c>
      <c r="AQ100" s="541">
        <f t="shared" si="40"/>
        <v>0</v>
      </c>
      <c r="AR100" s="541">
        <f t="shared" si="40"/>
        <v>0</v>
      </c>
      <c r="AS100" s="541">
        <f t="shared" si="40"/>
        <v>1</v>
      </c>
      <c r="AT100" s="541">
        <f t="shared" si="40"/>
        <v>0</v>
      </c>
      <c r="AU100" s="541">
        <f t="shared" si="40"/>
        <v>0</v>
      </c>
      <c r="AV100" s="541">
        <f t="shared" si="40"/>
        <v>0</v>
      </c>
      <c r="AW100" s="541">
        <f t="shared" si="40"/>
        <v>1</v>
      </c>
      <c r="AX100" s="541">
        <f t="shared" si="40"/>
        <v>0</v>
      </c>
      <c r="AY100" s="541">
        <f t="shared" si="40"/>
        <v>0</v>
      </c>
      <c r="AZ100" s="541">
        <f t="shared" si="40"/>
        <v>0</v>
      </c>
      <c r="BA100" s="541">
        <f t="shared" si="40"/>
        <v>1</v>
      </c>
      <c r="BB100" s="541">
        <f t="shared" si="40"/>
        <v>0</v>
      </c>
      <c r="BC100" s="541">
        <f t="shared" si="40"/>
        <v>0</v>
      </c>
      <c r="BD100" s="541">
        <f t="shared" si="40"/>
        <v>0</v>
      </c>
      <c r="BE100" s="541">
        <f t="shared" si="40"/>
        <v>1</v>
      </c>
      <c r="BF100" s="541">
        <f t="shared" si="40"/>
        <v>0</v>
      </c>
      <c r="BG100" s="541">
        <f t="shared" si="40"/>
        <v>0</v>
      </c>
      <c r="BH100" s="541">
        <f t="shared" si="40"/>
        <v>0</v>
      </c>
      <c r="BI100" s="541">
        <f t="shared" si="40"/>
        <v>1</v>
      </c>
      <c r="BJ100" s="541">
        <f t="shared" si="40"/>
        <v>0</v>
      </c>
      <c r="BK100" s="541">
        <f t="shared" si="40"/>
        <v>0</v>
      </c>
      <c r="BL100" s="541">
        <f t="shared" si="40"/>
        <v>0</v>
      </c>
      <c r="BM100" s="541">
        <f t="shared" si="40"/>
        <v>1</v>
      </c>
      <c r="BN100" s="541">
        <f t="shared" si="40"/>
        <v>0</v>
      </c>
      <c r="BO100" s="541">
        <f t="shared" si="40"/>
        <v>0</v>
      </c>
      <c r="BP100" s="541">
        <f t="shared" si="40"/>
        <v>0</v>
      </c>
      <c r="BQ100" s="541">
        <f t="shared" si="40"/>
        <v>1</v>
      </c>
      <c r="BR100" s="541">
        <f t="shared" si="40"/>
        <v>0</v>
      </c>
      <c r="BS100" s="541">
        <f t="shared" si="40"/>
        <v>0</v>
      </c>
      <c r="BT100" s="541">
        <f t="shared" si="40"/>
        <v>0</v>
      </c>
      <c r="BU100" s="541">
        <f t="shared" si="40"/>
        <v>1</v>
      </c>
      <c r="BV100" s="541">
        <f t="shared" si="40"/>
        <v>0</v>
      </c>
      <c r="BW100" s="541">
        <f t="shared" si="40"/>
        <v>0</v>
      </c>
      <c r="BX100" s="541">
        <f t="shared" si="40"/>
        <v>0</v>
      </c>
      <c r="BY100" s="541">
        <f t="shared" si="40"/>
        <v>1</v>
      </c>
      <c r="BZ100" s="541">
        <f t="shared" si="40"/>
        <v>0</v>
      </c>
      <c r="CA100" s="541">
        <f t="shared" si="40"/>
        <v>0</v>
      </c>
      <c r="CB100" s="541">
        <f t="shared" si="40"/>
        <v>0</v>
      </c>
      <c r="CC100" s="541">
        <f t="shared" si="40"/>
        <v>1</v>
      </c>
      <c r="CD100" s="541">
        <f t="shared" si="40"/>
        <v>0</v>
      </c>
      <c r="CE100" s="541">
        <f t="shared" si="40"/>
        <v>0</v>
      </c>
      <c r="CF100" s="541">
        <f t="shared" si="40"/>
        <v>0</v>
      </c>
      <c r="CG100" s="541">
        <f t="shared" si="40"/>
        <v>1</v>
      </c>
      <c r="CH100" s="541">
        <f t="shared" si="40"/>
        <v>0</v>
      </c>
      <c r="CI100" s="541">
        <f t="shared" si="40"/>
        <v>0</v>
      </c>
      <c r="CJ100" s="541">
        <f t="shared" si="40"/>
        <v>0</v>
      </c>
      <c r="CK100" s="541">
        <f t="shared" si="40"/>
        <v>1</v>
      </c>
      <c r="CL100" s="541">
        <f t="shared" si="40"/>
        <v>0</v>
      </c>
      <c r="CM100" s="541">
        <f t="shared" si="40"/>
        <v>0</v>
      </c>
      <c r="CN100" s="541">
        <f t="shared" si="40"/>
        <v>0</v>
      </c>
      <c r="CO100" s="541">
        <f t="shared" si="40"/>
        <v>1</v>
      </c>
      <c r="CP100" s="541">
        <f t="shared" si="40"/>
        <v>0</v>
      </c>
      <c r="CQ100" s="541">
        <f t="shared" si="40"/>
        <v>0</v>
      </c>
      <c r="CR100" s="541">
        <f t="shared" si="40"/>
        <v>0</v>
      </c>
      <c r="CS100" s="541">
        <f t="shared" si="40"/>
        <v>1</v>
      </c>
      <c r="CT100" s="541">
        <f t="shared" si="40"/>
        <v>0</v>
      </c>
      <c r="CU100" s="541">
        <f t="shared" si="40"/>
        <v>0</v>
      </c>
      <c r="CV100" s="541">
        <f t="shared" si="40"/>
        <v>0</v>
      </c>
      <c r="CW100" s="541">
        <f t="shared" si="40"/>
        <v>1</v>
      </c>
      <c r="CX100" s="541">
        <f t="shared" si="40"/>
        <v>0</v>
      </c>
      <c r="CY100" s="541">
        <f t="shared" si="40"/>
        <v>0</v>
      </c>
      <c r="CZ100" s="541">
        <f t="shared" si="40"/>
        <v>0</v>
      </c>
      <c r="DA100" s="541">
        <f t="shared" si="40"/>
        <v>1</v>
      </c>
      <c r="DB100" s="541">
        <f t="shared" si="40"/>
        <v>0</v>
      </c>
      <c r="DC100" s="541">
        <f t="shared" si="40"/>
        <v>0</v>
      </c>
      <c r="DD100" s="541">
        <f t="shared" si="40"/>
        <v>0</v>
      </c>
      <c r="DE100" s="541">
        <f t="shared" si="40"/>
        <v>1</v>
      </c>
      <c r="DF100" s="541">
        <f t="shared" si="40"/>
        <v>0</v>
      </c>
      <c r="DG100" s="541">
        <f t="shared" si="40"/>
        <v>0</v>
      </c>
      <c r="DH100" s="541">
        <f t="shared" si="40"/>
        <v>0</v>
      </c>
      <c r="DI100" s="541">
        <f t="shared" si="40"/>
        <v>1</v>
      </c>
      <c r="DJ100" s="541">
        <f t="shared" si="40"/>
        <v>0</v>
      </c>
      <c r="DK100" s="541">
        <f t="shared" si="40"/>
        <v>0</v>
      </c>
      <c r="DL100" s="541">
        <f t="shared" si="40"/>
        <v>0</v>
      </c>
      <c r="DM100" s="541">
        <f t="shared" si="40"/>
        <v>1</v>
      </c>
      <c r="DN100" s="541">
        <f t="shared" si="40"/>
        <v>0</v>
      </c>
      <c r="DO100" s="541">
        <f t="shared" si="40"/>
        <v>0</v>
      </c>
      <c r="DP100" s="541">
        <f t="shared" si="40"/>
        <v>0</v>
      </c>
      <c r="DQ100" s="541">
        <f t="shared" si="40"/>
        <v>1</v>
      </c>
      <c r="DR100" s="541">
        <f t="shared" si="40"/>
        <v>0</v>
      </c>
      <c r="DS100" s="541">
        <f t="shared" si="40"/>
        <v>0</v>
      </c>
      <c r="DT100" s="541">
        <f t="shared" si="40"/>
        <v>0</v>
      </c>
      <c r="DU100" s="541">
        <f t="shared" si="40"/>
        <v>1</v>
      </c>
      <c r="DV100" s="541">
        <f t="shared" si="40"/>
        <v>0</v>
      </c>
      <c r="DW100" s="541">
        <f t="shared" si="40"/>
        <v>0</v>
      </c>
      <c r="DX100" s="541">
        <f t="shared" si="40"/>
        <v>0</v>
      </c>
      <c r="DY100" s="541">
        <f t="shared" si="40"/>
        <v>1</v>
      </c>
      <c r="DZ100" s="541">
        <f t="shared" si="40"/>
        <v>0</v>
      </c>
      <c r="EA100" s="541">
        <f t="shared" si="40"/>
        <v>0</v>
      </c>
      <c r="EB100" s="541">
        <f t="shared" si="40"/>
        <v>0</v>
      </c>
      <c r="EC100" s="541">
        <f t="shared" si="40"/>
        <v>1</v>
      </c>
      <c r="ED100" s="541">
        <f t="shared" si="40"/>
        <v>0</v>
      </c>
      <c r="EE100" s="541">
        <f t="shared" si="40"/>
        <v>0</v>
      </c>
      <c r="EF100" s="541">
        <f t="shared" si="40"/>
        <v>0</v>
      </c>
      <c r="EG100" s="541">
        <f t="shared" si="40"/>
        <v>1</v>
      </c>
    </row>
    <row r="102" spans="2:2" ht="12.75">
      <c r="B102" s="534" t="s">
        <v>142</v>
      </c>
    </row>
    <row r="103" spans="5:7" ht="12.75">
      <c r="E103" s="538" t="str">
        <f>E$21</f>
        <v>End of construction period date</v>
      </c>
      <c r="F103" s="558">
        <f>F$21</f>
        <v>47118</v>
      </c>
      <c r="G103" s="558" t="str">
        <f>G$21</f>
        <v>date</v>
      </c>
    </row>
    <row r="104" spans="5:7" ht="12.75">
      <c r="E104" s="538" t="s">
        <v>179</v>
      </c>
      <c r="F104" s="539">
        <f>MONTH($F103)</f>
        <v>12</v>
      </c>
      <c r="G104" s="539" t="s">
        <v>22</v>
      </c>
    </row>
    <row r="106" spans="5:7" ht="12.75">
      <c r="E106" s="535" t="str">
        <f>InpC!E$17</f>
        <v>Financial year end month number</v>
      </c>
      <c r="F106" s="537">
        <f>InpC!F$17</f>
        <v>12</v>
      </c>
      <c r="G106" s="537" t="str">
        <f>InpC!G$17</f>
        <v>month #</v>
      </c>
    </row>
    <row r="107" spans="5:137" ht="12.75">
      <c r="E107" s="538" t="str">
        <f>E$50</f>
        <v>Model period ending</v>
      </c>
      <c r="G107" s="558" t="str">
        <f>G$50</f>
        <v>date</v>
      </c>
      <c r="J107" s="558">
        <f t="shared" si="41" ref="J107:EG107">J$50</f>
        <v>46418</v>
      </c>
      <c r="K107" s="558">
        <f t="shared" si="41"/>
        <v>46446</v>
      </c>
      <c r="L107" s="558">
        <f t="shared" si="41"/>
        <v>46477</v>
      </c>
      <c r="M107" s="558">
        <f t="shared" si="41"/>
        <v>46507</v>
      </c>
      <c r="N107" s="558">
        <f t="shared" si="41"/>
        <v>46538</v>
      </c>
      <c r="O107" s="558">
        <f t="shared" si="41"/>
        <v>46568</v>
      </c>
      <c r="P107" s="558">
        <f t="shared" si="41"/>
        <v>46599</v>
      </c>
      <c r="Q107" s="558">
        <f t="shared" si="41"/>
        <v>46630</v>
      </c>
      <c r="R107" s="558">
        <f t="shared" si="41"/>
        <v>46660</v>
      </c>
      <c r="S107" s="558">
        <f t="shared" si="41"/>
        <v>46691</v>
      </c>
      <c r="T107" s="558">
        <f t="shared" si="41"/>
        <v>46721</v>
      </c>
      <c r="U107" s="558">
        <f t="shared" si="41"/>
        <v>46752</v>
      </c>
      <c r="V107" s="558">
        <f t="shared" si="41"/>
        <v>46783</v>
      </c>
      <c r="W107" s="558">
        <f t="shared" si="41"/>
        <v>46812</v>
      </c>
      <c r="X107" s="558">
        <f t="shared" si="41"/>
        <v>46843</v>
      </c>
      <c r="Y107" s="558">
        <f t="shared" si="41"/>
        <v>46873</v>
      </c>
      <c r="Z107" s="558">
        <f t="shared" si="41"/>
        <v>46904</v>
      </c>
      <c r="AA107" s="558">
        <f t="shared" si="41"/>
        <v>46934</v>
      </c>
      <c r="AB107" s="558">
        <f t="shared" si="41"/>
        <v>46965</v>
      </c>
      <c r="AC107" s="558">
        <f t="shared" si="41"/>
        <v>46996</v>
      </c>
      <c r="AD107" s="558">
        <f t="shared" si="41"/>
        <v>47026</v>
      </c>
      <c r="AE107" s="558">
        <f t="shared" si="41"/>
        <v>47057</v>
      </c>
      <c r="AF107" s="558">
        <f t="shared" si="41"/>
        <v>47087</v>
      </c>
      <c r="AG107" s="558">
        <f t="shared" si="41"/>
        <v>47118</v>
      </c>
      <c r="AH107" s="558">
        <f t="shared" si="41"/>
        <v>47208</v>
      </c>
      <c r="AI107" s="558">
        <f t="shared" si="41"/>
        <v>47299</v>
      </c>
      <c r="AJ107" s="558">
        <f t="shared" si="41"/>
        <v>47391</v>
      </c>
      <c r="AK107" s="558">
        <f t="shared" si="41"/>
        <v>47483</v>
      </c>
      <c r="AL107" s="558">
        <f t="shared" si="41"/>
        <v>47573</v>
      </c>
      <c r="AM107" s="558">
        <f t="shared" si="41"/>
        <v>47664</v>
      </c>
      <c r="AN107" s="558">
        <f t="shared" si="41"/>
        <v>47756</v>
      </c>
      <c r="AO107" s="558">
        <f t="shared" si="41"/>
        <v>47848</v>
      </c>
      <c r="AP107" s="558">
        <f t="shared" si="41"/>
        <v>47938</v>
      </c>
      <c r="AQ107" s="558">
        <f t="shared" si="41"/>
        <v>48029</v>
      </c>
      <c r="AR107" s="558">
        <f t="shared" si="41"/>
        <v>48121</v>
      </c>
      <c r="AS107" s="558">
        <f t="shared" si="41"/>
        <v>48213</v>
      </c>
      <c r="AT107" s="558">
        <f t="shared" si="41"/>
        <v>48304</v>
      </c>
      <c r="AU107" s="558">
        <f t="shared" si="41"/>
        <v>48395</v>
      </c>
      <c r="AV107" s="558">
        <f t="shared" si="41"/>
        <v>48487</v>
      </c>
      <c r="AW107" s="558">
        <f t="shared" si="41"/>
        <v>48579</v>
      </c>
      <c r="AX107" s="558">
        <f t="shared" si="41"/>
        <v>48669</v>
      </c>
      <c r="AY107" s="558">
        <f t="shared" si="41"/>
        <v>48760</v>
      </c>
      <c r="AZ107" s="558">
        <f t="shared" si="41"/>
        <v>48852</v>
      </c>
      <c r="BA107" s="558">
        <f t="shared" si="41"/>
        <v>48944</v>
      </c>
      <c r="BB107" s="558">
        <f t="shared" si="41"/>
        <v>49034</v>
      </c>
      <c r="BC107" s="558">
        <f t="shared" si="41"/>
        <v>49125</v>
      </c>
      <c r="BD107" s="558">
        <f t="shared" si="41"/>
        <v>49217</v>
      </c>
      <c r="BE107" s="558">
        <f t="shared" si="41"/>
        <v>49309</v>
      </c>
      <c r="BF107" s="558">
        <f t="shared" si="41"/>
        <v>49399</v>
      </c>
      <c r="BG107" s="558">
        <f t="shared" si="41"/>
        <v>49490</v>
      </c>
      <c r="BH107" s="558">
        <f t="shared" si="41"/>
        <v>49582</v>
      </c>
      <c r="BI107" s="558">
        <f t="shared" si="41"/>
        <v>49674</v>
      </c>
      <c r="BJ107" s="558">
        <f t="shared" si="41"/>
        <v>49765</v>
      </c>
      <c r="BK107" s="558">
        <f t="shared" si="41"/>
        <v>49856</v>
      </c>
      <c r="BL107" s="558">
        <f t="shared" si="41"/>
        <v>49948</v>
      </c>
      <c r="BM107" s="558">
        <f t="shared" si="41"/>
        <v>50040</v>
      </c>
      <c r="BN107" s="558">
        <f t="shared" si="41"/>
        <v>50130</v>
      </c>
      <c r="BO107" s="558">
        <f t="shared" si="41"/>
        <v>50221</v>
      </c>
      <c r="BP107" s="558">
        <f t="shared" si="41"/>
        <v>50313</v>
      </c>
      <c r="BQ107" s="558">
        <f t="shared" si="41"/>
        <v>50405</v>
      </c>
      <c r="BR107" s="558">
        <f t="shared" si="41"/>
        <v>50495</v>
      </c>
      <c r="BS107" s="558">
        <f t="shared" si="41"/>
        <v>50586</v>
      </c>
      <c r="BT107" s="558">
        <f t="shared" si="41"/>
        <v>50678</v>
      </c>
      <c r="BU107" s="558">
        <f t="shared" si="41"/>
        <v>50770</v>
      </c>
      <c r="BV107" s="558">
        <f t="shared" si="41"/>
        <v>50860</v>
      </c>
      <c r="BW107" s="558">
        <f t="shared" si="41"/>
        <v>50951</v>
      </c>
      <c r="BX107" s="558">
        <f t="shared" si="41"/>
        <v>51043</v>
      </c>
      <c r="BY107" s="558">
        <f t="shared" si="41"/>
        <v>51135</v>
      </c>
      <c r="BZ107" s="558">
        <f t="shared" si="41"/>
        <v>51226</v>
      </c>
      <c r="CA107" s="558">
        <f t="shared" si="41"/>
        <v>51317</v>
      </c>
      <c r="CB107" s="558">
        <f t="shared" si="41"/>
        <v>51409</v>
      </c>
      <c r="CC107" s="558">
        <f t="shared" si="41"/>
        <v>51501</v>
      </c>
      <c r="CD107" s="558">
        <f t="shared" si="41"/>
        <v>51591</v>
      </c>
      <c r="CE107" s="558">
        <f t="shared" si="41"/>
        <v>51682</v>
      </c>
      <c r="CF107" s="558">
        <f t="shared" si="41"/>
        <v>51774</v>
      </c>
      <c r="CG107" s="558">
        <f t="shared" si="41"/>
        <v>51866</v>
      </c>
      <c r="CH107" s="558">
        <f t="shared" si="41"/>
        <v>51956</v>
      </c>
      <c r="CI107" s="558">
        <f t="shared" si="41"/>
        <v>52047</v>
      </c>
      <c r="CJ107" s="558">
        <f t="shared" si="41"/>
        <v>52139</v>
      </c>
      <c r="CK107" s="558">
        <f t="shared" si="41"/>
        <v>52231</v>
      </c>
      <c r="CL107" s="558">
        <f t="shared" si="41"/>
        <v>52321</v>
      </c>
      <c r="CM107" s="558">
        <f t="shared" si="41"/>
        <v>52412</v>
      </c>
      <c r="CN107" s="558">
        <f t="shared" si="41"/>
        <v>52504</v>
      </c>
      <c r="CO107" s="558">
        <f t="shared" si="41"/>
        <v>52596</v>
      </c>
      <c r="CP107" s="558">
        <f t="shared" si="41"/>
        <v>52687</v>
      </c>
      <c r="CQ107" s="558">
        <f t="shared" si="41"/>
        <v>52778</v>
      </c>
      <c r="CR107" s="558">
        <f t="shared" si="41"/>
        <v>52870</v>
      </c>
      <c r="CS107" s="558">
        <f t="shared" si="41"/>
        <v>52962</v>
      </c>
      <c r="CT107" s="558">
        <f t="shared" si="41"/>
        <v>53052</v>
      </c>
      <c r="CU107" s="558">
        <f t="shared" si="41"/>
        <v>53143</v>
      </c>
      <c r="CV107" s="558">
        <f t="shared" si="41"/>
        <v>53235</v>
      </c>
      <c r="CW107" s="558">
        <f t="shared" si="41"/>
        <v>53327</v>
      </c>
      <c r="CX107" s="558">
        <f t="shared" si="41"/>
        <v>53417</v>
      </c>
      <c r="CY107" s="558">
        <f t="shared" si="41"/>
        <v>53508</v>
      </c>
      <c r="CZ107" s="558">
        <f t="shared" si="41"/>
        <v>53600</v>
      </c>
      <c r="DA107" s="558">
        <f t="shared" si="41"/>
        <v>53692</v>
      </c>
      <c r="DB107" s="558">
        <f t="shared" si="41"/>
        <v>53782</v>
      </c>
      <c r="DC107" s="558">
        <f t="shared" si="41"/>
        <v>53873</v>
      </c>
      <c r="DD107" s="558">
        <f t="shared" si="41"/>
        <v>53965</v>
      </c>
      <c r="DE107" s="558">
        <f t="shared" si="41"/>
        <v>54057</v>
      </c>
      <c r="DF107" s="558">
        <f t="shared" si="41"/>
        <v>54148</v>
      </c>
      <c r="DG107" s="558">
        <f t="shared" si="41"/>
        <v>54239</v>
      </c>
      <c r="DH107" s="558">
        <f t="shared" si="41"/>
        <v>54331</v>
      </c>
      <c r="DI107" s="558">
        <f t="shared" si="41"/>
        <v>54423</v>
      </c>
      <c r="DJ107" s="558">
        <f t="shared" si="41"/>
        <v>54513</v>
      </c>
      <c r="DK107" s="558">
        <f t="shared" si="41"/>
        <v>54604</v>
      </c>
      <c r="DL107" s="558">
        <f t="shared" si="41"/>
        <v>54696</v>
      </c>
      <c r="DM107" s="558">
        <f t="shared" si="41"/>
        <v>54788</v>
      </c>
      <c r="DN107" s="558">
        <f t="shared" si="41"/>
        <v>54878</v>
      </c>
      <c r="DO107" s="558">
        <f t="shared" si="41"/>
        <v>54969</v>
      </c>
      <c r="DP107" s="558">
        <f t="shared" si="41"/>
        <v>55061</v>
      </c>
      <c r="DQ107" s="558">
        <f t="shared" si="41"/>
        <v>55153</v>
      </c>
      <c r="DR107" s="558">
        <f t="shared" si="41"/>
        <v>55243</v>
      </c>
      <c r="DS107" s="558">
        <f t="shared" si="41"/>
        <v>55334</v>
      </c>
      <c r="DT107" s="558">
        <f t="shared" si="41"/>
        <v>55426</v>
      </c>
      <c r="DU107" s="558">
        <f t="shared" si="41"/>
        <v>55518</v>
      </c>
      <c r="DV107" s="558">
        <f t="shared" si="41"/>
        <v>55609</v>
      </c>
      <c r="DW107" s="558">
        <f t="shared" si="41"/>
        <v>55700</v>
      </c>
      <c r="DX107" s="558">
        <f t="shared" si="41"/>
        <v>55792</v>
      </c>
      <c r="DY107" s="558">
        <f t="shared" si="41"/>
        <v>55884</v>
      </c>
      <c r="DZ107" s="558">
        <f t="shared" si="41"/>
        <v>55974</v>
      </c>
      <c r="EA107" s="558">
        <f t="shared" si="41"/>
        <v>56065</v>
      </c>
      <c r="EB107" s="558">
        <f t="shared" si="41"/>
        <v>56157</v>
      </c>
      <c r="EC107" s="558">
        <f t="shared" si="41"/>
        <v>56249</v>
      </c>
      <c r="ED107" s="558">
        <f t="shared" si="41"/>
        <v>56339</v>
      </c>
      <c r="EE107" s="558">
        <f t="shared" si="41"/>
        <v>56430</v>
      </c>
      <c r="EF107" s="558">
        <f t="shared" si="41"/>
        <v>56522</v>
      </c>
      <c r="EG107" s="558">
        <f t="shared" si="41"/>
        <v>56614</v>
      </c>
    </row>
    <row r="108" spans="5:137" ht="12.75">
      <c r="E108" s="540" t="s">
        <v>180</v>
      </c>
      <c r="G108" s="541" t="s">
        <v>158</v>
      </c>
      <c r="H108" s="541">
        <f>SUM(J108:EG108)</f>
        <v>28</v>
      </c>
      <c r="J108" s="541">
        <f t="shared" si="42" ref="J108:EG108">IF(MONTH(J107)=$F106,1,0)</f>
        <v>0</v>
      </c>
      <c r="K108" s="541">
        <f t="shared" si="42"/>
        <v>0</v>
      </c>
      <c r="L108" s="541">
        <f t="shared" si="42"/>
        <v>0</v>
      </c>
      <c r="M108" s="541">
        <f t="shared" si="42"/>
        <v>0</v>
      </c>
      <c r="N108" s="541">
        <f t="shared" si="42"/>
        <v>0</v>
      </c>
      <c r="O108" s="541">
        <f t="shared" si="42"/>
        <v>0</v>
      </c>
      <c r="P108" s="541">
        <f t="shared" si="42"/>
        <v>0</v>
      </c>
      <c r="Q108" s="541">
        <f t="shared" si="42"/>
        <v>0</v>
      </c>
      <c r="R108" s="541">
        <f t="shared" si="42"/>
        <v>0</v>
      </c>
      <c r="S108" s="541">
        <f t="shared" si="42"/>
        <v>0</v>
      </c>
      <c r="T108" s="541">
        <f t="shared" si="42"/>
        <v>0</v>
      </c>
      <c r="U108" s="541">
        <f t="shared" si="42"/>
        <v>1</v>
      </c>
      <c r="V108" s="541">
        <f t="shared" si="42"/>
        <v>0</v>
      </c>
      <c r="W108" s="541">
        <f t="shared" si="42"/>
        <v>0</v>
      </c>
      <c r="X108" s="541">
        <f t="shared" si="42"/>
        <v>0</v>
      </c>
      <c r="Y108" s="541">
        <f t="shared" si="42"/>
        <v>0</v>
      </c>
      <c r="Z108" s="541">
        <f t="shared" si="42"/>
        <v>0</v>
      </c>
      <c r="AA108" s="541">
        <f t="shared" si="42"/>
        <v>0</v>
      </c>
      <c r="AB108" s="541">
        <f t="shared" si="42"/>
        <v>0</v>
      </c>
      <c r="AC108" s="541">
        <f t="shared" si="42"/>
        <v>0</v>
      </c>
      <c r="AD108" s="541">
        <f t="shared" si="42"/>
        <v>0</v>
      </c>
      <c r="AE108" s="541">
        <f t="shared" si="42"/>
        <v>0</v>
      </c>
      <c r="AF108" s="541">
        <f t="shared" si="42"/>
        <v>0</v>
      </c>
      <c r="AG108" s="541">
        <f t="shared" si="42"/>
        <v>1</v>
      </c>
      <c r="AH108" s="541">
        <f t="shared" si="42"/>
        <v>0</v>
      </c>
      <c r="AI108" s="541">
        <f t="shared" si="42"/>
        <v>0</v>
      </c>
      <c r="AJ108" s="541">
        <f t="shared" si="42"/>
        <v>0</v>
      </c>
      <c r="AK108" s="541">
        <f t="shared" si="42"/>
        <v>1</v>
      </c>
      <c r="AL108" s="541">
        <f t="shared" si="42"/>
        <v>0</v>
      </c>
      <c r="AM108" s="541">
        <f t="shared" si="42"/>
        <v>0</v>
      </c>
      <c r="AN108" s="541">
        <f t="shared" si="42"/>
        <v>0</v>
      </c>
      <c r="AO108" s="541">
        <f t="shared" si="42"/>
        <v>1</v>
      </c>
      <c r="AP108" s="541">
        <f t="shared" si="42"/>
        <v>0</v>
      </c>
      <c r="AQ108" s="541">
        <f t="shared" si="42"/>
        <v>0</v>
      </c>
      <c r="AR108" s="541">
        <f t="shared" si="42"/>
        <v>0</v>
      </c>
      <c r="AS108" s="541">
        <f t="shared" si="42"/>
        <v>1</v>
      </c>
      <c r="AT108" s="541">
        <f t="shared" si="42"/>
        <v>0</v>
      </c>
      <c r="AU108" s="541">
        <f t="shared" si="42"/>
        <v>0</v>
      </c>
      <c r="AV108" s="541">
        <f t="shared" si="42"/>
        <v>0</v>
      </c>
      <c r="AW108" s="541">
        <f t="shared" si="42"/>
        <v>1</v>
      </c>
      <c r="AX108" s="541">
        <f t="shared" si="42"/>
        <v>0</v>
      </c>
      <c r="AY108" s="541">
        <f t="shared" si="42"/>
        <v>0</v>
      </c>
      <c r="AZ108" s="541">
        <f t="shared" si="42"/>
        <v>0</v>
      </c>
      <c r="BA108" s="541">
        <f t="shared" si="42"/>
        <v>1</v>
      </c>
      <c r="BB108" s="541">
        <f t="shared" si="42"/>
        <v>0</v>
      </c>
      <c r="BC108" s="541">
        <f t="shared" si="42"/>
        <v>0</v>
      </c>
      <c r="BD108" s="541">
        <f t="shared" si="42"/>
        <v>0</v>
      </c>
      <c r="BE108" s="541">
        <f t="shared" si="42"/>
        <v>1</v>
      </c>
      <c r="BF108" s="541">
        <f t="shared" si="42"/>
        <v>0</v>
      </c>
      <c r="BG108" s="541">
        <f t="shared" si="42"/>
        <v>0</v>
      </c>
      <c r="BH108" s="541">
        <f t="shared" si="42"/>
        <v>0</v>
      </c>
      <c r="BI108" s="541">
        <f t="shared" si="42"/>
        <v>1</v>
      </c>
      <c r="BJ108" s="541">
        <f t="shared" si="42"/>
        <v>0</v>
      </c>
      <c r="BK108" s="541">
        <f t="shared" si="42"/>
        <v>0</v>
      </c>
      <c r="BL108" s="541">
        <f t="shared" si="42"/>
        <v>0</v>
      </c>
      <c r="BM108" s="541">
        <f t="shared" si="42"/>
        <v>1</v>
      </c>
      <c r="BN108" s="541">
        <f t="shared" si="42"/>
        <v>0</v>
      </c>
      <c r="BO108" s="541">
        <f t="shared" si="42"/>
        <v>0</v>
      </c>
      <c r="BP108" s="541">
        <f t="shared" si="42"/>
        <v>0</v>
      </c>
      <c r="BQ108" s="541">
        <f t="shared" si="42"/>
        <v>1</v>
      </c>
      <c r="BR108" s="541">
        <f t="shared" si="42"/>
        <v>0</v>
      </c>
      <c r="BS108" s="541">
        <f t="shared" si="42"/>
        <v>0</v>
      </c>
      <c r="BT108" s="541">
        <f t="shared" si="42"/>
        <v>0</v>
      </c>
      <c r="BU108" s="541">
        <f t="shared" si="42"/>
        <v>1</v>
      </c>
      <c r="BV108" s="541">
        <f t="shared" si="42"/>
        <v>0</v>
      </c>
      <c r="BW108" s="541">
        <f t="shared" si="42"/>
        <v>0</v>
      </c>
      <c r="BX108" s="541">
        <f t="shared" si="42"/>
        <v>0</v>
      </c>
      <c r="BY108" s="541">
        <f t="shared" si="42"/>
        <v>1</v>
      </c>
      <c r="BZ108" s="541">
        <f t="shared" si="42"/>
        <v>0</v>
      </c>
      <c r="CA108" s="541">
        <f t="shared" si="42"/>
        <v>0</v>
      </c>
      <c r="CB108" s="541">
        <f t="shared" si="42"/>
        <v>0</v>
      </c>
      <c r="CC108" s="541">
        <f t="shared" si="42"/>
        <v>1</v>
      </c>
      <c r="CD108" s="541">
        <f t="shared" si="42"/>
        <v>0</v>
      </c>
      <c r="CE108" s="541">
        <f t="shared" si="42"/>
        <v>0</v>
      </c>
      <c r="CF108" s="541">
        <f t="shared" si="42"/>
        <v>0</v>
      </c>
      <c r="CG108" s="541">
        <f t="shared" si="42"/>
        <v>1</v>
      </c>
      <c r="CH108" s="541">
        <f t="shared" si="42"/>
        <v>0</v>
      </c>
      <c r="CI108" s="541">
        <f t="shared" si="42"/>
        <v>0</v>
      </c>
      <c r="CJ108" s="541">
        <f t="shared" si="42"/>
        <v>0</v>
      </c>
      <c r="CK108" s="541">
        <f t="shared" si="42"/>
        <v>1</v>
      </c>
      <c r="CL108" s="541">
        <f t="shared" si="42"/>
        <v>0</v>
      </c>
      <c r="CM108" s="541">
        <f t="shared" si="42"/>
        <v>0</v>
      </c>
      <c r="CN108" s="541">
        <f t="shared" si="42"/>
        <v>0</v>
      </c>
      <c r="CO108" s="541">
        <f t="shared" si="42"/>
        <v>1</v>
      </c>
      <c r="CP108" s="541">
        <f t="shared" si="42"/>
        <v>0</v>
      </c>
      <c r="CQ108" s="541">
        <f t="shared" si="42"/>
        <v>0</v>
      </c>
      <c r="CR108" s="541">
        <f t="shared" si="42"/>
        <v>0</v>
      </c>
      <c r="CS108" s="541">
        <f t="shared" si="42"/>
        <v>1</v>
      </c>
      <c r="CT108" s="541">
        <f t="shared" si="42"/>
        <v>0</v>
      </c>
      <c r="CU108" s="541">
        <f t="shared" si="42"/>
        <v>0</v>
      </c>
      <c r="CV108" s="541">
        <f t="shared" si="42"/>
        <v>0</v>
      </c>
      <c r="CW108" s="541">
        <f t="shared" si="42"/>
        <v>1</v>
      </c>
      <c r="CX108" s="541">
        <f t="shared" si="42"/>
        <v>0</v>
      </c>
      <c r="CY108" s="541">
        <f t="shared" si="42"/>
        <v>0</v>
      </c>
      <c r="CZ108" s="541">
        <f t="shared" si="42"/>
        <v>0</v>
      </c>
      <c r="DA108" s="541">
        <f t="shared" si="42"/>
        <v>1</v>
      </c>
      <c r="DB108" s="541">
        <f t="shared" si="42"/>
        <v>0</v>
      </c>
      <c r="DC108" s="541">
        <f t="shared" si="42"/>
        <v>0</v>
      </c>
      <c r="DD108" s="541">
        <f t="shared" si="42"/>
        <v>0</v>
      </c>
      <c r="DE108" s="541">
        <f t="shared" si="42"/>
        <v>1</v>
      </c>
      <c r="DF108" s="541">
        <f t="shared" si="42"/>
        <v>0</v>
      </c>
      <c r="DG108" s="541">
        <f t="shared" si="42"/>
        <v>0</v>
      </c>
      <c r="DH108" s="541">
        <f t="shared" si="42"/>
        <v>0</v>
      </c>
      <c r="DI108" s="541">
        <f t="shared" si="42"/>
        <v>1</v>
      </c>
      <c r="DJ108" s="541">
        <f t="shared" si="42"/>
        <v>0</v>
      </c>
      <c r="DK108" s="541">
        <f t="shared" si="42"/>
        <v>0</v>
      </c>
      <c r="DL108" s="541">
        <f t="shared" si="42"/>
        <v>0</v>
      </c>
      <c r="DM108" s="541">
        <f t="shared" si="42"/>
        <v>1</v>
      </c>
      <c r="DN108" s="541">
        <f t="shared" si="42"/>
        <v>0</v>
      </c>
      <c r="DO108" s="541">
        <f t="shared" si="42"/>
        <v>0</v>
      </c>
      <c r="DP108" s="541">
        <f t="shared" si="42"/>
        <v>0</v>
      </c>
      <c r="DQ108" s="541">
        <f t="shared" si="42"/>
        <v>1</v>
      </c>
      <c r="DR108" s="541">
        <f t="shared" si="42"/>
        <v>0</v>
      </c>
      <c r="DS108" s="541">
        <f t="shared" si="42"/>
        <v>0</v>
      </c>
      <c r="DT108" s="541">
        <f t="shared" si="42"/>
        <v>0</v>
      </c>
      <c r="DU108" s="541">
        <f t="shared" si="42"/>
        <v>1</v>
      </c>
      <c r="DV108" s="541">
        <f t="shared" si="42"/>
        <v>0</v>
      </c>
      <c r="DW108" s="541">
        <f t="shared" si="42"/>
        <v>0</v>
      </c>
      <c r="DX108" s="541">
        <f t="shared" si="42"/>
        <v>0</v>
      </c>
      <c r="DY108" s="541">
        <f t="shared" si="42"/>
        <v>1</v>
      </c>
      <c r="DZ108" s="541">
        <f t="shared" si="42"/>
        <v>0</v>
      </c>
      <c r="EA108" s="541">
        <f t="shared" si="42"/>
        <v>0</v>
      </c>
      <c r="EB108" s="541">
        <f t="shared" si="42"/>
        <v>0</v>
      </c>
      <c r="EC108" s="541">
        <f t="shared" si="42"/>
        <v>1</v>
      </c>
      <c r="ED108" s="541">
        <f t="shared" si="42"/>
        <v>0</v>
      </c>
      <c r="EE108" s="541">
        <f t="shared" si="42"/>
        <v>0</v>
      </c>
      <c r="EF108" s="541">
        <f t="shared" si="42"/>
        <v>0</v>
      </c>
      <c r="EG108" s="541">
        <f t="shared" si="42"/>
        <v>1</v>
      </c>
    </row>
    <row r="110" spans="5:7" ht="12.75">
      <c r="E110" s="535" t="str">
        <f>InpC!E$14</f>
        <v>Financial year end date of first model period</v>
      </c>
      <c r="F110" s="536">
        <f>InpC!F$14</f>
        <v>46752</v>
      </c>
      <c r="G110" s="536" t="str">
        <f>InpC!G$14</f>
        <v>date</v>
      </c>
    </row>
    <row r="111" spans="5:7" ht="12.75">
      <c r="E111" s="535" t="str">
        <f>InpC!E$126</f>
        <v>Months in year</v>
      </c>
      <c r="F111" s="537">
        <f>InpC!F$126</f>
        <v>12</v>
      </c>
      <c r="G111" s="537" t="str">
        <f>InpC!G$126</f>
        <v>months</v>
      </c>
    </row>
    <row r="112" spans="5:137" ht="12.75">
      <c r="E112" s="538" t="str">
        <f>E$16</f>
        <v>First model column flag</v>
      </c>
      <c r="G112" s="539" t="str">
        <f>G$16</f>
        <v>flag</v>
      </c>
      <c r="H112" s="539">
        <f>H$16</f>
        <v>1</v>
      </c>
      <c r="J112" s="539">
        <f t="shared" si="43" ref="J112:EG112">J$16</f>
        <v>1</v>
      </c>
      <c r="K112" s="539">
        <f t="shared" si="43"/>
        <v>0</v>
      </c>
      <c r="L112" s="539">
        <f t="shared" si="43"/>
        <v>0</v>
      </c>
      <c r="M112" s="539">
        <f t="shared" si="43"/>
        <v>0</v>
      </c>
      <c r="N112" s="539">
        <f t="shared" si="43"/>
        <v>0</v>
      </c>
      <c r="O112" s="539">
        <f t="shared" si="43"/>
        <v>0</v>
      </c>
      <c r="P112" s="539">
        <f t="shared" si="43"/>
        <v>0</v>
      </c>
      <c r="Q112" s="539">
        <f t="shared" si="43"/>
        <v>0</v>
      </c>
      <c r="R112" s="539">
        <f t="shared" si="43"/>
        <v>0</v>
      </c>
      <c r="S112" s="539">
        <f t="shared" si="43"/>
        <v>0</v>
      </c>
      <c r="T112" s="539">
        <f t="shared" si="43"/>
        <v>0</v>
      </c>
      <c r="U112" s="539">
        <f t="shared" si="43"/>
        <v>0</v>
      </c>
      <c r="V112" s="539">
        <f t="shared" si="43"/>
        <v>0</v>
      </c>
      <c r="W112" s="539">
        <f t="shared" si="43"/>
        <v>0</v>
      </c>
      <c r="X112" s="539">
        <f t="shared" si="43"/>
        <v>0</v>
      </c>
      <c r="Y112" s="539">
        <f t="shared" si="43"/>
        <v>0</v>
      </c>
      <c r="Z112" s="539">
        <f t="shared" si="43"/>
        <v>0</v>
      </c>
      <c r="AA112" s="539">
        <f t="shared" si="43"/>
        <v>0</v>
      </c>
      <c r="AB112" s="539">
        <f t="shared" si="43"/>
        <v>0</v>
      </c>
      <c r="AC112" s="539">
        <f t="shared" si="43"/>
        <v>0</v>
      </c>
      <c r="AD112" s="539">
        <f t="shared" si="43"/>
        <v>0</v>
      </c>
      <c r="AE112" s="539">
        <f t="shared" si="43"/>
        <v>0</v>
      </c>
      <c r="AF112" s="539">
        <f t="shared" si="43"/>
        <v>0</v>
      </c>
      <c r="AG112" s="539">
        <f t="shared" si="43"/>
        <v>0</v>
      </c>
      <c r="AH112" s="539">
        <f t="shared" si="43"/>
        <v>0</v>
      </c>
      <c r="AI112" s="539">
        <f t="shared" si="43"/>
        <v>0</v>
      </c>
      <c r="AJ112" s="539">
        <f t="shared" si="43"/>
        <v>0</v>
      </c>
      <c r="AK112" s="539">
        <f t="shared" si="43"/>
        <v>0</v>
      </c>
      <c r="AL112" s="539">
        <f t="shared" si="43"/>
        <v>0</v>
      </c>
      <c r="AM112" s="539">
        <f t="shared" si="43"/>
        <v>0</v>
      </c>
      <c r="AN112" s="539">
        <f t="shared" si="43"/>
        <v>0</v>
      </c>
      <c r="AO112" s="539">
        <f t="shared" si="43"/>
        <v>0</v>
      </c>
      <c r="AP112" s="539">
        <f t="shared" si="43"/>
        <v>0</v>
      </c>
      <c r="AQ112" s="539">
        <f t="shared" si="43"/>
        <v>0</v>
      </c>
      <c r="AR112" s="539">
        <f t="shared" si="43"/>
        <v>0</v>
      </c>
      <c r="AS112" s="539">
        <f t="shared" si="43"/>
        <v>0</v>
      </c>
      <c r="AT112" s="539">
        <f t="shared" si="43"/>
        <v>0</v>
      </c>
      <c r="AU112" s="539">
        <f t="shared" si="43"/>
        <v>0</v>
      </c>
      <c r="AV112" s="539">
        <f t="shared" si="43"/>
        <v>0</v>
      </c>
      <c r="AW112" s="539">
        <f t="shared" si="43"/>
        <v>0</v>
      </c>
      <c r="AX112" s="539">
        <f t="shared" si="43"/>
        <v>0</v>
      </c>
      <c r="AY112" s="539">
        <f t="shared" si="43"/>
        <v>0</v>
      </c>
      <c r="AZ112" s="539">
        <f t="shared" si="43"/>
        <v>0</v>
      </c>
      <c r="BA112" s="539">
        <f t="shared" si="43"/>
        <v>0</v>
      </c>
      <c r="BB112" s="539">
        <f t="shared" si="43"/>
        <v>0</v>
      </c>
      <c r="BC112" s="539">
        <f t="shared" si="43"/>
        <v>0</v>
      </c>
      <c r="BD112" s="539">
        <f t="shared" si="43"/>
        <v>0</v>
      </c>
      <c r="BE112" s="539">
        <f t="shared" si="43"/>
        <v>0</v>
      </c>
      <c r="BF112" s="539">
        <f t="shared" si="43"/>
        <v>0</v>
      </c>
      <c r="BG112" s="539">
        <f t="shared" si="43"/>
        <v>0</v>
      </c>
      <c r="BH112" s="539">
        <f t="shared" si="43"/>
        <v>0</v>
      </c>
      <c r="BI112" s="539">
        <f t="shared" si="43"/>
        <v>0</v>
      </c>
      <c r="BJ112" s="539">
        <f t="shared" si="43"/>
        <v>0</v>
      </c>
      <c r="BK112" s="539">
        <f t="shared" si="43"/>
        <v>0</v>
      </c>
      <c r="BL112" s="539">
        <f t="shared" si="43"/>
        <v>0</v>
      </c>
      <c r="BM112" s="539">
        <f t="shared" si="43"/>
        <v>0</v>
      </c>
      <c r="BN112" s="539">
        <f t="shared" si="43"/>
        <v>0</v>
      </c>
      <c r="BO112" s="539">
        <f t="shared" si="43"/>
        <v>0</v>
      </c>
      <c r="BP112" s="539">
        <f t="shared" si="43"/>
        <v>0</v>
      </c>
      <c r="BQ112" s="539">
        <f t="shared" si="43"/>
        <v>0</v>
      </c>
      <c r="BR112" s="539">
        <f t="shared" si="43"/>
        <v>0</v>
      </c>
      <c r="BS112" s="539">
        <f t="shared" si="43"/>
        <v>0</v>
      </c>
      <c r="BT112" s="539">
        <f t="shared" si="43"/>
        <v>0</v>
      </c>
      <c r="BU112" s="539">
        <f t="shared" si="43"/>
        <v>0</v>
      </c>
      <c r="BV112" s="539">
        <f t="shared" si="43"/>
        <v>0</v>
      </c>
      <c r="BW112" s="539">
        <f t="shared" si="43"/>
        <v>0</v>
      </c>
      <c r="BX112" s="539">
        <f t="shared" si="43"/>
        <v>0</v>
      </c>
      <c r="BY112" s="539">
        <f t="shared" si="43"/>
        <v>0</v>
      </c>
      <c r="BZ112" s="539">
        <f t="shared" si="43"/>
        <v>0</v>
      </c>
      <c r="CA112" s="539">
        <f t="shared" si="43"/>
        <v>0</v>
      </c>
      <c r="CB112" s="539">
        <f t="shared" si="43"/>
        <v>0</v>
      </c>
      <c r="CC112" s="539">
        <f t="shared" si="43"/>
        <v>0</v>
      </c>
      <c r="CD112" s="539">
        <f t="shared" si="43"/>
        <v>0</v>
      </c>
      <c r="CE112" s="539">
        <f t="shared" si="43"/>
        <v>0</v>
      </c>
      <c r="CF112" s="539">
        <f t="shared" si="43"/>
        <v>0</v>
      </c>
      <c r="CG112" s="539">
        <f t="shared" si="43"/>
        <v>0</v>
      </c>
      <c r="CH112" s="539">
        <f t="shared" si="43"/>
        <v>0</v>
      </c>
      <c r="CI112" s="539">
        <f t="shared" si="43"/>
        <v>0</v>
      </c>
      <c r="CJ112" s="539">
        <f t="shared" si="43"/>
        <v>0</v>
      </c>
      <c r="CK112" s="539">
        <f t="shared" si="43"/>
        <v>0</v>
      </c>
      <c r="CL112" s="539">
        <f t="shared" si="43"/>
        <v>0</v>
      </c>
      <c r="CM112" s="539">
        <f t="shared" si="43"/>
        <v>0</v>
      </c>
      <c r="CN112" s="539">
        <f t="shared" si="43"/>
        <v>0</v>
      </c>
      <c r="CO112" s="539">
        <f t="shared" si="43"/>
        <v>0</v>
      </c>
      <c r="CP112" s="539">
        <f t="shared" si="43"/>
        <v>0</v>
      </c>
      <c r="CQ112" s="539">
        <f t="shared" si="43"/>
        <v>0</v>
      </c>
      <c r="CR112" s="539">
        <f t="shared" si="43"/>
        <v>0</v>
      </c>
      <c r="CS112" s="539">
        <f t="shared" si="43"/>
        <v>0</v>
      </c>
      <c r="CT112" s="539">
        <f t="shared" si="43"/>
        <v>0</v>
      </c>
      <c r="CU112" s="539">
        <f t="shared" si="43"/>
        <v>0</v>
      </c>
      <c r="CV112" s="539">
        <f t="shared" si="43"/>
        <v>0</v>
      </c>
      <c r="CW112" s="539">
        <f t="shared" si="43"/>
        <v>0</v>
      </c>
      <c r="CX112" s="539">
        <f t="shared" si="43"/>
        <v>0</v>
      </c>
      <c r="CY112" s="539">
        <f t="shared" si="43"/>
        <v>0</v>
      </c>
      <c r="CZ112" s="539">
        <f t="shared" si="43"/>
        <v>0</v>
      </c>
      <c r="DA112" s="539">
        <f t="shared" si="43"/>
        <v>0</v>
      </c>
      <c r="DB112" s="539">
        <f t="shared" si="43"/>
        <v>0</v>
      </c>
      <c r="DC112" s="539">
        <f t="shared" si="43"/>
        <v>0</v>
      </c>
      <c r="DD112" s="539">
        <f t="shared" si="43"/>
        <v>0</v>
      </c>
      <c r="DE112" s="539">
        <f t="shared" si="43"/>
        <v>0</v>
      </c>
      <c r="DF112" s="539">
        <f t="shared" si="43"/>
        <v>0</v>
      </c>
      <c r="DG112" s="539">
        <f t="shared" si="43"/>
        <v>0</v>
      </c>
      <c r="DH112" s="539">
        <f t="shared" si="43"/>
        <v>0</v>
      </c>
      <c r="DI112" s="539">
        <f t="shared" si="43"/>
        <v>0</v>
      </c>
      <c r="DJ112" s="539">
        <f t="shared" si="43"/>
        <v>0</v>
      </c>
      <c r="DK112" s="539">
        <f t="shared" si="43"/>
        <v>0</v>
      </c>
      <c r="DL112" s="539">
        <f t="shared" si="43"/>
        <v>0</v>
      </c>
      <c r="DM112" s="539">
        <f t="shared" si="43"/>
        <v>0</v>
      </c>
      <c r="DN112" s="539">
        <f t="shared" si="43"/>
        <v>0</v>
      </c>
      <c r="DO112" s="539">
        <f t="shared" si="43"/>
        <v>0</v>
      </c>
      <c r="DP112" s="539">
        <f t="shared" si="43"/>
        <v>0</v>
      </c>
      <c r="DQ112" s="539">
        <f t="shared" si="43"/>
        <v>0</v>
      </c>
      <c r="DR112" s="539">
        <f t="shared" si="43"/>
        <v>0</v>
      </c>
      <c r="DS112" s="539">
        <f t="shared" si="43"/>
        <v>0</v>
      </c>
      <c r="DT112" s="539">
        <f t="shared" si="43"/>
        <v>0</v>
      </c>
      <c r="DU112" s="539">
        <f t="shared" si="43"/>
        <v>0</v>
      </c>
      <c r="DV112" s="539">
        <f t="shared" si="43"/>
        <v>0</v>
      </c>
      <c r="DW112" s="539">
        <f t="shared" si="43"/>
        <v>0</v>
      </c>
      <c r="DX112" s="539">
        <f t="shared" si="43"/>
        <v>0</v>
      </c>
      <c r="DY112" s="539">
        <f t="shared" si="43"/>
        <v>0</v>
      </c>
      <c r="DZ112" s="539">
        <f t="shared" si="43"/>
        <v>0</v>
      </c>
      <c r="EA112" s="539">
        <f t="shared" si="43"/>
        <v>0</v>
      </c>
      <c r="EB112" s="539">
        <f t="shared" si="43"/>
        <v>0</v>
      </c>
      <c r="EC112" s="539">
        <f t="shared" si="43"/>
        <v>0</v>
      </c>
      <c r="ED112" s="539">
        <f t="shared" si="43"/>
        <v>0</v>
      </c>
      <c r="EE112" s="539">
        <f t="shared" si="43"/>
        <v>0</v>
      </c>
      <c r="EF112" s="539">
        <f t="shared" si="43"/>
        <v>0</v>
      </c>
      <c r="EG112" s="539">
        <f t="shared" si="43"/>
        <v>0</v>
      </c>
    </row>
    <row r="113" spans="5:137" ht="12.75">
      <c r="E113" s="538" t="str">
        <f>E$108</f>
        <v>End of financial year flag</v>
      </c>
      <c r="G113" s="539" t="str">
        <f>G$108</f>
        <v>flag</v>
      </c>
      <c r="H113" s="539">
        <f>H$108</f>
        <v>28</v>
      </c>
      <c r="J113" s="539">
        <f t="shared" si="44" ref="J113:EG113">J$108</f>
        <v>0</v>
      </c>
      <c r="K113" s="539">
        <f t="shared" si="44"/>
        <v>0</v>
      </c>
      <c r="L113" s="539">
        <f t="shared" si="44"/>
        <v>0</v>
      </c>
      <c r="M113" s="539">
        <f t="shared" si="44"/>
        <v>0</v>
      </c>
      <c r="N113" s="539">
        <f t="shared" si="44"/>
        <v>0</v>
      </c>
      <c r="O113" s="539">
        <f t="shared" si="44"/>
        <v>0</v>
      </c>
      <c r="P113" s="539">
        <f t="shared" si="44"/>
        <v>0</v>
      </c>
      <c r="Q113" s="539">
        <f t="shared" si="44"/>
        <v>0</v>
      </c>
      <c r="R113" s="539">
        <f t="shared" si="44"/>
        <v>0</v>
      </c>
      <c r="S113" s="539">
        <f t="shared" si="44"/>
        <v>0</v>
      </c>
      <c r="T113" s="539">
        <f t="shared" si="44"/>
        <v>0</v>
      </c>
      <c r="U113" s="539">
        <f t="shared" si="44"/>
        <v>1</v>
      </c>
      <c r="V113" s="539">
        <f t="shared" si="44"/>
        <v>0</v>
      </c>
      <c r="W113" s="539">
        <f t="shared" si="44"/>
        <v>0</v>
      </c>
      <c r="X113" s="539">
        <f t="shared" si="44"/>
        <v>0</v>
      </c>
      <c r="Y113" s="539">
        <f t="shared" si="44"/>
        <v>0</v>
      </c>
      <c r="Z113" s="539">
        <f t="shared" si="44"/>
        <v>0</v>
      </c>
      <c r="AA113" s="539">
        <f t="shared" si="44"/>
        <v>0</v>
      </c>
      <c r="AB113" s="539">
        <f t="shared" si="44"/>
        <v>0</v>
      </c>
      <c r="AC113" s="539">
        <f t="shared" si="44"/>
        <v>0</v>
      </c>
      <c r="AD113" s="539">
        <f t="shared" si="44"/>
        <v>0</v>
      </c>
      <c r="AE113" s="539">
        <f t="shared" si="44"/>
        <v>0</v>
      </c>
      <c r="AF113" s="539">
        <f t="shared" si="44"/>
        <v>0</v>
      </c>
      <c r="AG113" s="539">
        <f t="shared" si="44"/>
        <v>1</v>
      </c>
      <c r="AH113" s="539">
        <f t="shared" si="44"/>
        <v>0</v>
      </c>
      <c r="AI113" s="539">
        <f t="shared" si="44"/>
        <v>0</v>
      </c>
      <c r="AJ113" s="539">
        <f t="shared" si="44"/>
        <v>0</v>
      </c>
      <c r="AK113" s="539">
        <f t="shared" si="44"/>
        <v>1</v>
      </c>
      <c r="AL113" s="539">
        <f t="shared" si="44"/>
        <v>0</v>
      </c>
      <c r="AM113" s="539">
        <f t="shared" si="44"/>
        <v>0</v>
      </c>
      <c r="AN113" s="539">
        <f t="shared" si="44"/>
        <v>0</v>
      </c>
      <c r="AO113" s="539">
        <f t="shared" si="44"/>
        <v>1</v>
      </c>
      <c r="AP113" s="539">
        <f t="shared" si="44"/>
        <v>0</v>
      </c>
      <c r="AQ113" s="539">
        <f t="shared" si="44"/>
        <v>0</v>
      </c>
      <c r="AR113" s="539">
        <f t="shared" si="44"/>
        <v>0</v>
      </c>
      <c r="AS113" s="539">
        <f t="shared" si="44"/>
        <v>1</v>
      </c>
      <c r="AT113" s="539">
        <f t="shared" si="44"/>
        <v>0</v>
      </c>
      <c r="AU113" s="539">
        <f t="shared" si="44"/>
        <v>0</v>
      </c>
      <c r="AV113" s="539">
        <f t="shared" si="44"/>
        <v>0</v>
      </c>
      <c r="AW113" s="539">
        <f t="shared" si="44"/>
        <v>1</v>
      </c>
      <c r="AX113" s="539">
        <f t="shared" si="44"/>
        <v>0</v>
      </c>
      <c r="AY113" s="539">
        <f t="shared" si="44"/>
        <v>0</v>
      </c>
      <c r="AZ113" s="539">
        <f t="shared" si="44"/>
        <v>0</v>
      </c>
      <c r="BA113" s="539">
        <f t="shared" si="44"/>
        <v>1</v>
      </c>
      <c r="BB113" s="539">
        <f t="shared" si="44"/>
        <v>0</v>
      </c>
      <c r="BC113" s="539">
        <f t="shared" si="44"/>
        <v>0</v>
      </c>
      <c r="BD113" s="539">
        <f t="shared" si="44"/>
        <v>0</v>
      </c>
      <c r="BE113" s="539">
        <f t="shared" si="44"/>
        <v>1</v>
      </c>
      <c r="BF113" s="539">
        <f t="shared" si="44"/>
        <v>0</v>
      </c>
      <c r="BG113" s="539">
        <f t="shared" si="44"/>
        <v>0</v>
      </c>
      <c r="BH113" s="539">
        <f t="shared" si="44"/>
        <v>0</v>
      </c>
      <c r="BI113" s="539">
        <f t="shared" si="44"/>
        <v>1</v>
      </c>
      <c r="BJ113" s="539">
        <f t="shared" si="44"/>
        <v>0</v>
      </c>
      <c r="BK113" s="539">
        <f t="shared" si="44"/>
        <v>0</v>
      </c>
      <c r="BL113" s="539">
        <f t="shared" si="44"/>
        <v>0</v>
      </c>
      <c r="BM113" s="539">
        <f t="shared" si="44"/>
        <v>1</v>
      </c>
      <c r="BN113" s="539">
        <f t="shared" si="44"/>
        <v>0</v>
      </c>
      <c r="BO113" s="539">
        <f t="shared" si="44"/>
        <v>0</v>
      </c>
      <c r="BP113" s="539">
        <f t="shared" si="44"/>
        <v>0</v>
      </c>
      <c r="BQ113" s="539">
        <f t="shared" si="44"/>
        <v>1</v>
      </c>
      <c r="BR113" s="539">
        <f t="shared" si="44"/>
        <v>0</v>
      </c>
      <c r="BS113" s="539">
        <f t="shared" si="44"/>
        <v>0</v>
      </c>
      <c r="BT113" s="539">
        <f t="shared" si="44"/>
        <v>0</v>
      </c>
      <c r="BU113" s="539">
        <f t="shared" si="44"/>
        <v>1</v>
      </c>
      <c r="BV113" s="539">
        <f t="shared" si="44"/>
        <v>0</v>
      </c>
      <c r="BW113" s="539">
        <f t="shared" si="44"/>
        <v>0</v>
      </c>
      <c r="BX113" s="539">
        <f t="shared" si="44"/>
        <v>0</v>
      </c>
      <c r="BY113" s="539">
        <f t="shared" si="44"/>
        <v>1</v>
      </c>
      <c r="BZ113" s="539">
        <f t="shared" si="44"/>
        <v>0</v>
      </c>
      <c r="CA113" s="539">
        <f t="shared" si="44"/>
        <v>0</v>
      </c>
      <c r="CB113" s="539">
        <f t="shared" si="44"/>
        <v>0</v>
      </c>
      <c r="CC113" s="539">
        <f t="shared" si="44"/>
        <v>1</v>
      </c>
      <c r="CD113" s="539">
        <f t="shared" si="44"/>
        <v>0</v>
      </c>
      <c r="CE113" s="539">
        <f t="shared" si="44"/>
        <v>0</v>
      </c>
      <c r="CF113" s="539">
        <f t="shared" si="44"/>
        <v>0</v>
      </c>
      <c r="CG113" s="539">
        <f t="shared" si="44"/>
        <v>1</v>
      </c>
      <c r="CH113" s="539">
        <f t="shared" si="44"/>
        <v>0</v>
      </c>
      <c r="CI113" s="539">
        <f t="shared" si="44"/>
        <v>0</v>
      </c>
      <c r="CJ113" s="539">
        <f t="shared" si="44"/>
        <v>0</v>
      </c>
      <c r="CK113" s="539">
        <f t="shared" si="44"/>
        <v>1</v>
      </c>
      <c r="CL113" s="539">
        <f t="shared" si="44"/>
        <v>0</v>
      </c>
      <c r="CM113" s="539">
        <f t="shared" si="44"/>
        <v>0</v>
      </c>
      <c r="CN113" s="539">
        <f t="shared" si="44"/>
        <v>0</v>
      </c>
      <c r="CO113" s="539">
        <f t="shared" si="44"/>
        <v>1</v>
      </c>
      <c r="CP113" s="539">
        <f t="shared" si="44"/>
        <v>0</v>
      </c>
      <c r="CQ113" s="539">
        <f t="shared" si="44"/>
        <v>0</v>
      </c>
      <c r="CR113" s="539">
        <f t="shared" si="44"/>
        <v>0</v>
      </c>
      <c r="CS113" s="539">
        <f t="shared" si="44"/>
        <v>1</v>
      </c>
      <c r="CT113" s="539">
        <f t="shared" si="44"/>
        <v>0</v>
      </c>
      <c r="CU113" s="539">
        <f t="shared" si="44"/>
        <v>0</v>
      </c>
      <c r="CV113" s="539">
        <f t="shared" si="44"/>
        <v>0</v>
      </c>
      <c r="CW113" s="539">
        <f t="shared" si="44"/>
        <v>1</v>
      </c>
      <c r="CX113" s="539">
        <f t="shared" si="44"/>
        <v>0</v>
      </c>
      <c r="CY113" s="539">
        <f t="shared" si="44"/>
        <v>0</v>
      </c>
      <c r="CZ113" s="539">
        <f t="shared" si="44"/>
        <v>0</v>
      </c>
      <c r="DA113" s="539">
        <f t="shared" si="44"/>
        <v>1</v>
      </c>
      <c r="DB113" s="539">
        <f t="shared" si="44"/>
        <v>0</v>
      </c>
      <c r="DC113" s="539">
        <f t="shared" si="44"/>
        <v>0</v>
      </c>
      <c r="DD113" s="539">
        <f t="shared" si="44"/>
        <v>0</v>
      </c>
      <c r="DE113" s="539">
        <f t="shared" si="44"/>
        <v>1</v>
      </c>
      <c r="DF113" s="539">
        <f t="shared" si="44"/>
        <v>0</v>
      </c>
      <c r="DG113" s="539">
        <f t="shared" si="44"/>
        <v>0</v>
      </c>
      <c r="DH113" s="539">
        <f t="shared" si="44"/>
        <v>0</v>
      </c>
      <c r="DI113" s="539">
        <f t="shared" si="44"/>
        <v>1</v>
      </c>
      <c r="DJ113" s="539">
        <f t="shared" si="44"/>
        <v>0</v>
      </c>
      <c r="DK113" s="539">
        <f t="shared" si="44"/>
        <v>0</v>
      </c>
      <c r="DL113" s="539">
        <f t="shared" si="44"/>
        <v>0</v>
      </c>
      <c r="DM113" s="539">
        <f t="shared" si="44"/>
        <v>1</v>
      </c>
      <c r="DN113" s="539">
        <f t="shared" si="44"/>
        <v>0</v>
      </c>
      <c r="DO113" s="539">
        <f t="shared" si="44"/>
        <v>0</v>
      </c>
      <c r="DP113" s="539">
        <f t="shared" si="44"/>
        <v>0</v>
      </c>
      <c r="DQ113" s="539">
        <f t="shared" si="44"/>
        <v>1</v>
      </c>
      <c r="DR113" s="539">
        <f t="shared" si="44"/>
        <v>0</v>
      </c>
      <c r="DS113" s="539">
        <f t="shared" si="44"/>
        <v>0</v>
      </c>
      <c r="DT113" s="539">
        <f t="shared" si="44"/>
        <v>0</v>
      </c>
      <c r="DU113" s="539">
        <f t="shared" si="44"/>
        <v>1</v>
      </c>
      <c r="DV113" s="539">
        <f t="shared" si="44"/>
        <v>0</v>
      </c>
      <c r="DW113" s="539">
        <f t="shared" si="44"/>
        <v>0</v>
      </c>
      <c r="DX113" s="539">
        <f t="shared" si="44"/>
        <v>0</v>
      </c>
      <c r="DY113" s="539">
        <f t="shared" si="44"/>
        <v>1</v>
      </c>
      <c r="DZ113" s="539">
        <f t="shared" si="44"/>
        <v>0</v>
      </c>
      <c r="EA113" s="539">
        <f t="shared" si="44"/>
        <v>0</v>
      </c>
      <c r="EB113" s="539">
        <f t="shared" si="44"/>
        <v>0</v>
      </c>
      <c r="EC113" s="539">
        <f t="shared" si="44"/>
        <v>1</v>
      </c>
      <c r="ED113" s="539">
        <f t="shared" si="44"/>
        <v>0</v>
      </c>
      <c r="EE113" s="539">
        <f t="shared" si="44"/>
        <v>0</v>
      </c>
      <c r="EF113" s="539">
        <f t="shared" si="44"/>
        <v>0</v>
      </c>
      <c r="EG113" s="539">
        <f t="shared" si="44"/>
        <v>1</v>
      </c>
    </row>
    <row r="114" spans="5:137" ht="12.75">
      <c r="E114" s="538" t="s">
        <v>181</v>
      </c>
      <c r="G114" s="558" t="s">
        <v>14</v>
      </c>
      <c r="J114" s="558">
        <f t="shared" si="45" ref="J114:EG114">IF(J112=1,$F110,IF(I113=1,EOMONTH(I114,$F111),I114))</f>
        <v>46752</v>
      </c>
      <c r="K114" s="558">
        <f t="shared" si="45"/>
        <v>46752</v>
      </c>
      <c r="L114" s="558">
        <f t="shared" si="45"/>
        <v>46752</v>
      </c>
      <c r="M114" s="558">
        <f t="shared" si="45"/>
        <v>46752</v>
      </c>
      <c r="N114" s="558">
        <f t="shared" si="45"/>
        <v>46752</v>
      </c>
      <c r="O114" s="558">
        <f t="shared" si="45"/>
        <v>46752</v>
      </c>
      <c r="P114" s="558">
        <f t="shared" si="45"/>
        <v>46752</v>
      </c>
      <c r="Q114" s="558">
        <f t="shared" si="45"/>
        <v>46752</v>
      </c>
      <c r="R114" s="558">
        <f t="shared" si="45"/>
        <v>46752</v>
      </c>
      <c r="S114" s="558">
        <f t="shared" si="45"/>
        <v>46752</v>
      </c>
      <c r="T114" s="558">
        <f t="shared" si="45"/>
        <v>46752</v>
      </c>
      <c r="U114" s="558">
        <f t="shared" si="45"/>
        <v>46752</v>
      </c>
      <c r="V114" s="558">
        <f t="shared" si="45"/>
        <v>47118</v>
      </c>
      <c r="W114" s="558">
        <f t="shared" si="45"/>
        <v>47118</v>
      </c>
      <c r="X114" s="558">
        <f t="shared" si="45"/>
        <v>47118</v>
      </c>
      <c r="Y114" s="558">
        <f t="shared" si="45"/>
        <v>47118</v>
      </c>
      <c r="Z114" s="558">
        <f t="shared" si="45"/>
        <v>47118</v>
      </c>
      <c r="AA114" s="558">
        <f t="shared" si="45"/>
        <v>47118</v>
      </c>
      <c r="AB114" s="558">
        <f t="shared" si="45"/>
        <v>47118</v>
      </c>
      <c r="AC114" s="558">
        <f t="shared" si="45"/>
        <v>47118</v>
      </c>
      <c r="AD114" s="558">
        <f t="shared" si="45"/>
        <v>47118</v>
      </c>
      <c r="AE114" s="558">
        <f t="shared" si="45"/>
        <v>47118</v>
      </c>
      <c r="AF114" s="558">
        <f t="shared" si="45"/>
        <v>47118</v>
      </c>
      <c r="AG114" s="558">
        <f t="shared" si="45"/>
        <v>47118</v>
      </c>
      <c r="AH114" s="558">
        <f t="shared" si="45"/>
        <v>47483</v>
      </c>
      <c r="AI114" s="558">
        <f t="shared" si="45"/>
        <v>47483</v>
      </c>
      <c r="AJ114" s="558">
        <f t="shared" si="45"/>
        <v>47483</v>
      </c>
      <c r="AK114" s="558">
        <f t="shared" si="45"/>
        <v>47483</v>
      </c>
      <c r="AL114" s="558">
        <f t="shared" si="45"/>
        <v>47848</v>
      </c>
      <c r="AM114" s="558">
        <f t="shared" si="45"/>
        <v>47848</v>
      </c>
      <c r="AN114" s="558">
        <f t="shared" si="45"/>
        <v>47848</v>
      </c>
      <c r="AO114" s="558">
        <f t="shared" si="45"/>
        <v>47848</v>
      </c>
      <c r="AP114" s="558">
        <f t="shared" si="45"/>
        <v>48213</v>
      </c>
      <c r="AQ114" s="558">
        <f t="shared" si="45"/>
        <v>48213</v>
      </c>
      <c r="AR114" s="558">
        <f t="shared" si="45"/>
        <v>48213</v>
      </c>
      <c r="AS114" s="558">
        <f t="shared" si="45"/>
        <v>48213</v>
      </c>
      <c r="AT114" s="558">
        <f t="shared" si="45"/>
        <v>48579</v>
      </c>
      <c r="AU114" s="558">
        <f t="shared" si="45"/>
        <v>48579</v>
      </c>
      <c r="AV114" s="558">
        <f t="shared" si="45"/>
        <v>48579</v>
      </c>
      <c r="AW114" s="558">
        <f t="shared" si="45"/>
        <v>48579</v>
      </c>
      <c r="AX114" s="558">
        <f t="shared" si="45"/>
        <v>48944</v>
      </c>
      <c r="AY114" s="558">
        <f t="shared" si="45"/>
        <v>48944</v>
      </c>
      <c r="AZ114" s="558">
        <f t="shared" si="45"/>
        <v>48944</v>
      </c>
      <c r="BA114" s="558">
        <f t="shared" si="45"/>
        <v>48944</v>
      </c>
      <c r="BB114" s="558">
        <f t="shared" si="45"/>
        <v>49309</v>
      </c>
      <c r="BC114" s="558">
        <f t="shared" si="45"/>
        <v>49309</v>
      </c>
      <c r="BD114" s="558">
        <f t="shared" si="45"/>
        <v>49309</v>
      </c>
      <c r="BE114" s="558">
        <f t="shared" si="45"/>
        <v>49309</v>
      </c>
      <c r="BF114" s="558">
        <f t="shared" si="45"/>
        <v>49674</v>
      </c>
      <c r="BG114" s="558">
        <f t="shared" si="45"/>
        <v>49674</v>
      </c>
      <c r="BH114" s="558">
        <f t="shared" si="45"/>
        <v>49674</v>
      </c>
      <c r="BI114" s="558">
        <f t="shared" si="45"/>
        <v>49674</v>
      </c>
      <c r="BJ114" s="558">
        <f t="shared" si="45"/>
        <v>50040</v>
      </c>
      <c r="BK114" s="558">
        <f t="shared" si="45"/>
        <v>50040</v>
      </c>
      <c r="BL114" s="558">
        <f t="shared" si="45"/>
        <v>50040</v>
      </c>
      <c r="BM114" s="558">
        <f t="shared" si="45"/>
        <v>50040</v>
      </c>
      <c r="BN114" s="558">
        <f t="shared" si="45"/>
        <v>50405</v>
      </c>
      <c r="BO114" s="558">
        <f t="shared" si="45"/>
        <v>50405</v>
      </c>
      <c r="BP114" s="558">
        <f t="shared" si="45"/>
        <v>50405</v>
      </c>
      <c r="BQ114" s="558">
        <f t="shared" si="45"/>
        <v>50405</v>
      </c>
      <c r="BR114" s="558">
        <f t="shared" si="45"/>
        <v>50770</v>
      </c>
      <c r="BS114" s="558">
        <f t="shared" si="45"/>
        <v>50770</v>
      </c>
      <c r="BT114" s="558">
        <f t="shared" si="45"/>
        <v>50770</v>
      </c>
      <c r="BU114" s="558">
        <f t="shared" si="45"/>
        <v>50770</v>
      </c>
      <c r="BV114" s="558">
        <f t="shared" si="45"/>
        <v>51135</v>
      </c>
      <c r="BW114" s="558">
        <f t="shared" si="45"/>
        <v>51135</v>
      </c>
      <c r="BX114" s="558">
        <f t="shared" si="45"/>
        <v>51135</v>
      </c>
      <c r="BY114" s="558">
        <f t="shared" si="45"/>
        <v>51135</v>
      </c>
      <c r="BZ114" s="558">
        <f t="shared" si="45"/>
        <v>51501</v>
      </c>
      <c r="CA114" s="558">
        <f t="shared" si="45"/>
        <v>51501</v>
      </c>
      <c r="CB114" s="558">
        <f t="shared" si="45"/>
        <v>51501</v>
      </c>
      <c r="CC114" s="558">
        <f t="shared" si="45"/>
        <v>51501</v>
      </c>
      <c r="CD114" s="558">
        <f t="shared" si="45"/>
        <v>51866</v>
      </c>
      <c r="CE114" s="558">
        <f t="shared" si="45"/>
        <v>51866</v>
      </c>
      <c r="CF114" s="558">
        <f t="shared" si="45"/>
        <v>51866</v>
      </c>
      <c r="CG114" s="558">
        <f t="shared" si="45"/>
        <v>51866</v>
      </c>
      <c r="CH114" s="558">
        <f t="shared" si="45"/>
        <v>52231</v>
      </c>
      <c r="CI114" s="558">
        <f t="shared" si="45"/>
        <v>52231</v>
      </c>
      <c r="CJ114" s="558">
        <f t="shared" si="45"/>
        <v>52231</v>
      </c>
      <c r="CK114" s="558">
        <f t="shared" si="45"/>
        <v>52231</v>
      </c>
      <c r="CL114" s="558">
        <f t="shared" si="45"/>
        <v>52596</v>
      </c>
      <c r="CM114" s="558">
        <f t="shared" si="45"/>
        <v>52596</v>
      </c>
      <c r="CN114" s="558">
        <f t="shared" si="45"/>
        <v>52596</v>
      </c>
      <c r="CO114" s="558">
        <f t="shared" si="45"/>
        <v>52596</v>
      </c>
      <c r="CP114" s="558">
        <f t="shared" si="45"/>
        <v>52962</v>
      </c>
      <c r="CQ114" s="558">
        <f t="shared" si="45"/>
        <v>52962</v>
      </c>
      <c r="CR114" s="558">
        <f t="shared" si="45"/>
        <v>52962</v>
      </c>
      <c r="CS114" s="558">
        <f t="shared" si="45"/>
        <v>52962</v>
      </c>
      <c r="CT114" s="558">
        <f t="shared" si="45"/>
        <v>53327</v>
      </c>
      <c r="CU114" s="558">
        <f t="shared" si="45"/>
        <v>53327</v>
      </c>
      <c r="CV114" s="558">
        <f t="shared" si="45"/>
        <v>53327</v>
      </c>
      <c r="CW114" s="558">
        <f t="shared" si="45"/>
        <v>53327</v>
      </c>
      <c r="CX114" s="558">
        <f t="shared" si="45"/>
        <v>53692</v>
      </c>
      <c r="CY114" s="558">
        <f t="shared" si="45"/>
        <v>53692</v>
      </c>
      <c r="CZ114" s="558">
        <f t="shared" si="45"/>
        <v>53692</v>
      </c>
      <c r="DA114" s="558">
        <f t="shared" si="45"/>
        <v>53692</v>
      </c>
      <c r="DB114" s="558">
        <f t="shared" si="45"/>
        <v>54057</v>
      </c>
      <c r="DC114" s="558">
        <f t="shared" si="45"/>
        <v>54057</v>
      </c>
      <c r="DD114" s="558">
        <f t="shared" si="45"/>
        <v>54057</v>
      </c>
      <c r="DE114" s="558">
        <f t="shared" si="45"/>
        <v>54057</v>
      </c>
      <c r="DF114" s="558">
        <f t="shared" si="45"/>
        <v>54423</v>
      </c>
      <c r="DG114" s="558">
        <f t="shared" si="45"/>
        <v>54423</v>
      </c>
      <c r="DH114" s="558">
        <f t="shared" si="45"/>
        <v>54423</v>
      </c>
      <c r="DI114" s="558">
        <f t="shared" si="45"/>
        <v>54423</v>
      </c>
      <c r="DJ114" s="558">
        <f t="shared" si="45"/>
        <v>54788</v>
      </c>
      <c r="DK114" s="558">
        <f t="shared" si="45"/>
        <v>54788</v>
      </c>
      <c r="DL114" s="558">
        <f t="shared" si="45"/>
        <v>54788</v>
      </c>
      <c r="DM114" s="558">
        <f t="shared" si="45"/>
        <v>54788</v>
      </c>
      <c r="DN114" s="558">
        <f t="shared" si="45"/>
        <v>55153</v>
      </c>
      <c r="DO114" s="558">
        <f t="shared" si="45"/>
        <v>55153</v>
      </c>
      <c r="DP114" s="558">
        <f t="shared" si="45"/>
        <v>55153</v>
      </c>
      <c r="DQ114" s="558">
        <f t="shared" si="45"/>
        <v>55153</v>
      </c>
      <c r="DR114" s="558">
        <f t="shared" si="45"/>
        <v>55518</v>
      </c>
      <c r="DS114" s="558">
        <f t="shared" si="45"/>
        <v>55518</v>
      </c>
      <c r="DT114" s="558">
        <f t="shared" si="45"/>
        <v>55518</v>
      </c>
      <c r="DU114" s="558">
        <f t="shared" si="45"/>
        <v>55518</v>
      </c>
      <c r="DV114" s="558">
        <f t="shared" si="45"/>
        <v>55884</v>
      </c>
      <c r="DW114" s="558">
        <f t="shared" si="45"/>
        <v>55884</v>
      </c>
      <c r="DX114" s="558">
        <f t="shared" si="45"/>
        <v>55884</v>
      </c>
      <c r="DY114" s="558">
        <f t="shared" si="45"/>
        <v>55884</v>
      </c>
      <c r="DZ114" s="558">
        <f t="shared" si="45"/>
        <v>56249</v>
      </c>
      <c r="EA114" s="558">
        <f t="shared" si="45"/>
        <v>56249</v>
      </c>
      <c r="EB114" s="558">
        <f t="shared" si="45"/>
        <v>56249</v>
      </c>
      <c r="EC114" s="558">
        <f t="shared" si="45"/>
        <v>56249</v>
      </c>
      <c r="ED114" s="558">
        <f t="shared" si="45"/>
        <v>56614</v>
      </c>
      <c r="EE114" s="558">
        <f t="shared" si="45"/>
        <v>56614</v>
      </c>
      <c r="EF114" s="558">
        <f t="shared" si="45"/>
        <v>56614</v>
      </c>
      <c r="EG114" s="558">
        <f t="shared" si="45"/>
        <v>56614</v>
      </c>
    </row>
    <row r="116" spans="5:137" ht="12.75">
      <c r="E116" s="538" t="str">
        <f>E$114</f>
        <v>Financial year end applicable to period</v>
      </c>
      <c r="G116" s="558" t="str">
        <f>G$114</f>
        <v>date</v>
      </c>
      <c r="J116" s="558">
        <f t="shared" si="46" ref="J116:EG116">J$114</f>
        <v>46752</v>
      </c>
      <c r="K116" s="558">
        <f t="shared" si="46"/>
        <v>46752</v>
      </c>
      <c r="L116" s="558">
        <f t="shared" si="46"/>
        <v>46752</v>
      </c>
      <c r="M116" s="558">
        <f t="shared" si="46"/>
        <v>46752</v>
      </c>
      <c r="N116" s="558">
        <f t="shared" si="46"/>
        <v>46752</v>
      </c>
      <c r="O116" s="558">
        <f t="shared" si="46"/>
        <v>46752</v>
      </c>
      <c r="P116" s="558">
        <f t="shared" si="46"/>
        <v>46752</v>
      </c>
      <c r="Q116" s="558">
        <f t="shared" si="46"/>
        <v>46752</v>
      </c>
      <c r="R116" s="558">
        <f t="shared" si="46"/>
        <v>46752</v>
      </c>
      <c r="S116" s="558">
        <f t="shared" si="46"/>
        <v>46752</v>
      </c>
      <c r="T116" s="558">
        <f t="shared" si="46"/>
        <v>46752</v>
      </c>
      <c r="U116" s="558">
        <f t="shared" si="46"/>
        <v>46752</v>
      </c>
      <c r="V116" s="558">
        <f t="shared" si="46"/>
        <v>47118</v>
      </c>
      <c r="W116" s="558">
        <f t="shared" si="46"/>
        <v>47118</v>
      </c>
      <c r="X116" s="558">
        <f t="shared" si="46"/>
        <v>47118</v>
      </c>
      <c r="Y116" s="558">
        <f t="shared" si="46"/>
        <v>47118</v>
      </c>
      <c r="Z116" s="558">
        <f t="shared" si="46"/>
        <v>47118</v>
      </c>
      <c r="AA116" s="558">
        <f t="shared" si="46"/>
        <v>47118</v>
      </c>
      <c r="AB116" s="558">
        <f t="shared" si="46"/>
        <v>47118</v>
      </c>
      <c r="AC116" s="558">
        <f t="shared" si="46"/>
        <v>47118</v>
      </c>
      <c r="AD116" s="558">
        <f t="shared" si="46"/>
        <v>47118</v>
      </c>
      <c r="AE116" s="558">
        <f t="shared" si="46"/>
        <v>47118</v>
      </c>
      <c r="AF116" s="558">
        <f t="shared" si="46"/>
        <v>47118</v>
      </c>
      <c r="AG116" s="558">
        <f t="shared" si="46"/>
        <v>47118</v>
      </c>
      <c r="AH116" s="558">
        <f t="shared" si="46"/>
        <v>47483</v>
      </c>
      <c r="AI116" s="558">
        <f t="shared" si="46"/>
        <v>47483</v>
      </c>
      <c r="AJ116" s="558">
        <f t="shared" si="46"/>
        <v>47483</v>
      </c>
      <c r="AK116" s="558">
        <f t="shared" si="46"/>
        <v>47483</v>
      </c>
      <c r="AL116" s="558">
        <f t="shared" si="46"/>
        <v>47848</v>
      </c>
      <c r="AM116" s="558">
        <f t="shared" si="46"/>
        <v>47848</v>
      </c>
      <c r="AN116" s="558">
        <f t="shared" si="46"/>
        <v>47848</v>
      </c>
      <c r="AO116" s="558">
        <f t="shared" si="46"/>
        <v>47848</v>
      </c>
      <c r="AP116" s="558">
        <f t="shared" si="46"/>
        <v>48213</v>
      </c>
      <c r="AQ116" s="558">
        <f t="shared" si="46"/>
        <v>48213</v>
      </c>
      <c r="AR116" s="558">
        <f t="shared" si="46"/>
        <v>48213</v>
      </c>
      <c r="AS116" s="558">
        <f t="shared" si="46"/>
        <v>48213</v>
      </c>
      <c r="AT116" s="558">
        <f t="shared" si="46"/>
        <v>48579</v>
      </c>
      <c r="AU116" s="558">
        <f t="shared" si="46"/>
        <v>48579</v>
      </c>
      <c r="AV116" s="558">
        <f t="shared" si="46"/>
        <v>48579</v>
      </c>
      <c r="AW116" s="558">
        <f t="shared" si="46"/>
        <v>48579</v>
      </c>
      <c r="AX116" s="558">
        <f t="shared" si="46"/>
        <v>48944</v>
      </c>
      <c r="AY116" s="558">
        <f t="shared" si="46"/>
        <v>48944</v>
      </c>
      <c r="AZ116" s="558">
        <f t="shared" si="46"/>
        <v>48944</v>
      </c>
      <c r="BA116" s="558">
        <f t="shared" si="46"/>
        <v>48944</v>
      </c>
      <c r="BB116" s="558">
        <f t="shared" si="46"/>
        <v>49309</v>
      </c>
      <c r="BC116" s="558">
        <f t="shared" si="46"/>
        <v>49309</v>
      </c>
      <c r="BD116" s="558">
        <f t="shared" si="46"/>
        <v>49309</v>
      </c>
      <c r="BE116" s="558">
        <f t="shared" si="46"/>
        <v>49309</v>
      </c>
      <c r="BF116" s="558">
        <f t="shared" si="46"/>
        <v>49674</v>
      </c>
      <c r="BG116" s="558">
        <f t="shared" si="46"/>
        <v>49674</v>
      </c>
      <c r="BH116" s="558">
        <f t="shared" si="46"/>
        <v>49674</v>
      </c>
      <c r="BI116" s="558">
        <f t="shared" si="46"/>
        <v>49674</v>
      </c>
      <c r="BJ116" s="558">
        <f t="shared" si="46"/>
        <v>50040</v>
      </c>
      <c r="BK116" s="558">
        <f t="shared" si="46"/>
        <v>50040</v>
      </c>
      <c r="BL116" s="558">
        <f t="shared" si="46"/>
        <v>50040</v>
      </c>
      <c r="BM116" s="558">
        <f t="shared" si="46"/>
        <v>50040</v>
      </c>
      <c r="BN116" s="558">
        <f t="shared" si="46"/>
        <v>50405</v>
      </c>
      <c r="BO116" s="558">
        <f t="shared" si="46"/>
        <v>50405</v>
      </c>
      <c r="BP116" s="558">
        <f t="shared" si="46"/>
        <v>50405</v>
      </c>
      <c r="BQ116" s="558">
        <f t="shared" si="46"/>
        <v>50405</v>
      </c>
      <c r="BR116" s="558">
        <f t="shared" si="46"/>
        <v>50770</v>
      </c>
      <c r="BS116" s="558">
        <f t="shared" si="46"/>
        <v>50770</v>
      </c>
      <c r="BT116" s="558">
        <f t="shared" si="46"/>
        <v>50770</v>
      </c>
      <c r="BU116" s="558">
        <f t="shared" si="46"/>
        <v>50770</v>
      </c>
      <c r="BV116" s="558">
        <f t="shared" si="46"/>
        <v>51135</v>
      </c>
      <c r="BW116" s="558">
        <f t="shared" si="46"/>
        <v>51135</v>
      </c>
      <c r="BX116" s="558">
        <f t="shared" si="46"/>
        <v>51135</v>
      </c>
      <c r="BY116" s="558">
        <f t="shared" si="46"/>
        <v>51135</v>
      </c>
      <c r="BZ116" s="558">
        <f t="shared" si="46"/>
        <v>51501</v>
      </c>
      <c r="CA116" s="558">
        <f t="shared" si="46"/>
        <v>51501</v>
      </c>
      <c r="CB116" s="558">
        <f t="shared" si="46"/>
        <v>51501</v>
      </c>
      <c r="CC116" s="558">
        <f t="shared" si="46"/>
        <v>51501</v>
      </c>
      <c r="CD116" s="558">
        <f t="shared" si="46"/>
        <v>51866</v>
      </c>
      <c r="CE116" s="558">
        <f t="shared" si="46"/>
        <v>51866</v>
      </c>
      <c r="CF116" s="558">
        <f t="shared" si="46"/>
        <v>51866</v>
      </c>
      <c r="CG116" s="558">
        <f t="shared" si="46"/>
        <v>51866</v>
      </c>
      <c r="CH116" s="558">
        <f t="shared" si="46"/>
        <v>52231</v>
      </c>
      <c r="CI116" s="558">
        <f t="shared" si="46"/>
        <v>52231</v>
      </c>
      <c r="CJ116" s="558">
        <f t="shared" si="46"/>
        <v>52231</v>
      </c>
      <c r="CK116" s="558">
        <f t="shared" si="46"/>
        <v>52231</v>
      </c>
      <c r="CL116" s="558">
        <f t="shared" si="46"/>
        <v>52596</v>
      </c>
      <c r="CM116" s="558">
        <f t="shared" si="46"/>
        <v>52596</v>
      </c>
      <c r="CN116" s="558">
        <f t="shared" si="46"/>
        <v>52596</v>
      </c>
      <c r="CO116" s="558">
        <f t="shared" si="46"/>
        <v>52596</v>
      </c>
      <c r="CP116" s="558">
        <f t="shared" si="46"/>
        <v>52962</v>
      </c>
      <c r="CQ116" s="558">
        <f t="shared" si="46"/>
        <v>52962</v>
      </c>
      <c r="CR116" s="558">
        <f t="shared" si="46"/>
        <v>52962</v>
      </c>
      <c r="CS116" s="558">
        <f t="shared" si="46"/>
        <v>52962</v>
      </c>
      <c r="CT116" s="558">
        <f t="shared" si="46"/>
        <v>53327</v>
      </c>
      <c r="CU116" s="558">
        <f t="shared" si="46"/>
        <v>53327</v>
      </c>
      <c r="CV116" s="558">
        <f t="shared" si="46"/>
        <v>53327</v>
      </c>
      <c r="CW116" s="558">
        <f t="shared" si="46"/>
        <v>53327</v>
      </c>
      <c r="CX116" s="558">
        <f t="shared" si="46"/>
        <v>53692</v>
      </c>
      <c r="CY116" s="558">
        <f t="shared" si="46"/>
        <v>53692</v>
      </c>
      <c r="CZ116" s="558">
        <f t="shared" si="46"/>
        <v>53692</v>
      </c>
      <c r="DA116" s="558">
        <f t="shared" si="46"/>
        <v>53692</v>
      </c>
      <c r="DB116" s="558">
        <f t="shared" si="46"/>
        <v>54057</v>
      </c>
      <c r="DC116" s="558">
        <f t="shared" si="46"/>
        <v>54057</v>
      </c>
      <c r="DD116" s="558">
        <f t="shared" si="46"/>
        <v>54057</v>
      </c>
      <c r="DE116" s="558">
        <f t="shared" si="46"/>
        <v>54057</v>
      </c>
      <c r="DF116" s="558">
        <f t="shared" si="46"/>
        <v>54423</v>
      </c>
      <c r="DG116" s="558">
        <f t="shared" si="46"/>
        <v>54423</v>
      </c>
      <c r="DH116" s="558">
        <f t="shared" si="46"/>
        <v>54423</v>
      </c>
      <c r="DI116" s="558">
        <f t="shared" si="46"/>
        <v>54423</v>
      </c>
      <c r="DJ116" s="558">
        <f t="shared" si="46"/>
        <v>54788</v>
      </c>
      <c r="DK116" s="558">
        <f t="shared" si="46"/>
        <v>54788</v>
      </c>
      <c r="DL116" s="558">
        <f t="shared" si="46"/>
        <v>54788</v>
      </c>
      <c r="DM116" s="558">
        <f t="shared" si="46"/>
        <v>54788</v>
      </c>
      <c r="DN116" s="558">
        <f t="shared" si="46"/>
        <v>55153</v>
      </c>
      <c r="DO116" s="558">
        <f t="shared" si="46"/>
        <v>55153</v>
      </c>
      <c r="DP116" s="558">
        <f t="shared" si="46"/>
        <v>55153</v>
      </c>
      <c r="DQ116" s="558">
        <f t="shared" si="46"/>
        <v>55153</v>
      </c>
      <c r="DR116" s="558">
        <f t="shared" si="46"/>
        <v>55518</v>
      </c>
      <c r="DS116" s="558">
        <f t="shared" si="46"/>
        <v>55518</v>
      </c>
      <c r="DT116" s="558">
        <f t="shared" si="46"/>
        <v>55518</v>
      </c>
      <c r="DU116" s="558">
        <f t="shared" si="46"/>
        <v>55518</v>
      </c>
      <c r="DV116" s="558">
        <f t="shared" si="46"/>
        <v>55884</v>
      </c>
      <c r="DW116" s="558">
        <f t="shared" si="46"/>
        <v>55884</v>
      </c>
      <c r="DX116" s="558">
        <f t="shared" si="46"/>
        <v>55884</v>
      </c>
      <c r="DY116" s="558">
        <f t="shared" si="46"/>
        <v>55884</v>
      </c>
      <c r="DZ116" s="558">
        <f t="shared" si="46"/>
        <v>56249</v>
      </c>
      <c r="EA116" s="558">
        <f t="shared" si="46"/>
        <v>56249</v>
      </c>
      <c r="EB116" s="558">
        <f t="shared" si="46"/>
        <v>56249</v>
      </c>
      <c r="EC116" s="558">
        <f t="shared" si="46"/>
        <v>56249</v>
      </c>
      <c r="ED116" s="558">
        <f t="shared" si="46"/>
        <v>56614</v>
      </c>
      <c r="EE116" s="558">
        <f t="shared" si="46"/>
        <v>56614</v>
      </c>
      <c r="EF116" s="558">
        <f t="shared" si="46"/>
        <v>56614</v>
      </c>
      <c r="EG116" s="558">
        <f t="shared" si="46"/>
        <v>56614</v>
      </c>
    </row>
    <row r="117" spans="5:137" ht="12.75">
      <c r="E117" s="540" t="s">
        <v>142</v>
      </c>
      <c r="G117" s="541" t="s">
        <v>182</v>
      </c>
      <c r="H117" s="541">
        <f>SUM(J117:EG117)</f>
        <v>260976</v>
      </c>
      <c r="J117" s="541">
        <f t="shared" si="47" ref="J117:EG117">YEAR(J116)</f>
        <v>2027</v>
      </c>
      <c r="K117" s="541">
        <f t="shared" si="47"/>
        <v>2027</v>
      </c>
      <c r="L117" s="541">
        <f t="shared" si="47"/>
        <v>2027</v>
      </c>
      <c r="M117" s="541">
        <f t="shared" si="47"/>
        <v>2027</v>
      </c>
      <c r="N117" s="541">
        <f t="shared" si="47"/>
        <v>2027</v>
      </c>
      <c r="O117" s="541">
        <f t="shared" si="47"/>
        <v>2027</v>
      </c>
      <c r="P117" s="541">
        <f t="shared" si="47"/>
        <v>2027</v>
      </c>
      <c r="Q117" s="541">
        <f t="shared" si="47"/>
        <v>2027</v>
      </c>
      <c r="R117" s="541">
        <f t="shared" si="47"/>
        <v>2027</v>
      </c>
      <c r="S117" s="541">
        <f t="shared" si="47"/>
        <v>2027</v>
      </c>
      <c r="T117" s="541">
        <f t="shared" si="47"/>
        <v>2027</v>
      </c>
      <c r="U117" s="541">
        <f t="shared" si="47"/>
        <v>2027</v>
      </c>
      <c r="V117" s="541">
        <f t="shared" si="47"/>
        <v>2028</v>
      </c>
      <c r="W117" s="541">
        <f t="shared" si="47"/>
        <v>2028</v>
      </c>
      <c r="X117" s="541">
        <f t="shared" si="47"/>
        <v>2028</v>
      </c>
      <c r="Y117" s="541">
        <f t="shared" si="47"/>
        <v>2028</v>
      </c>
      <c r="Z117" s="541">
        <f t="shared" si="47"/>
        <v>2028</v>
      </c>
      <c r="AA117" s="541">
        <f t="shared" si="47"/>
        <v>2028</v>
      </c>
      <c r="AB117" s="541">
        <f t="shared" si="47"/>
        <v>2028</v>
      </c>
      <c r="AC117" s="541">
        <f t="shared" si="47"/>
        <v>2028</v>
      </c>
      <c r="AD117" s="541">
        <f t="shared" si="47"/>
        <v>2028</v>
      </c>
      <c r="AE117" s="541">
        <f t="shared" si="47"/>
        <v>2028</v>
      </c>
      <c r="AF117" s="541">
        <f t="shared" si="47"/>
        <v>2028</v>
      </c>
      <c r="AG117" s="541">
        <f t="shared" si="47"/>
        <v>2028</v>
      </c>
      <c r="AH117" s="541">
        <f t="shared" si="47"/>
        <v>2029</v>
      </c>
      <c r="AI117" s="541">
        <f t="shared" si="47"/>
        <v>2029</v>
      </c>
      <c r="AJ117" s="541">
        <f t="shared" si="47"/>
        <v>2029</v>
      </c>
      <c r="AK117" s="541">
        <f t="shared" si="47"/>
        <v>2029</v>
      </c>
      <c r="AL117" s="541">
        <f t="shared" si="47"/>
        <v>2030</v>
      </c>
      <c r="AM117" s="541">
        <f t="shared" si="47"/>
        <v>2030</v>
      </c>
      <c r="AN117" s="541">
        <f t="shared" si="47"/>
        <v>2030</v>
      </c>
      <c r="AO117" s="541">
        <f t="shared" si="47"/>
        <v>2030</v>
      </c>
      <c r="AP117" s="541">
        <f t="shared" si="47"/>
        <v>2031</v>
      </c>
      <c r="AQ117" s="541">
        <f t="shared" si="47"/>
        <v>2031</v>
      </c>
      <c r="AR117" s="541">
        <f t="shared" si="47"/>
        <v>2031</v>
      </c>
      <c r="AS117" s="541">
        <f t="shared" si="47"/>
        <v>2031</v>
      </c>
      <c r="AT117" s="541">
        <f t="shared" si="47"/>
        <v>2032</v>
      </c>
      <c r="AU117" s="541">
        <f t="shared" si="47"/>
        <v>2032</v>
      </c>
      <c r="AV117" s="541">
        <f t="shared" si="47"/>
        <v>2032</v>
      </c>
      <c r="AW117" s="541">
        <f t="shared" si="47"/>
        <v>2032</v>
      </c>
      <c r="AX117" s="541">
        <f t="shared" si="47"/>
        <v>2033</v>
      </c>
      <c r="AY117" s="541">
        <f t="shared" si="47"/>
        <v>2033</v>
      </c>
      <c r="AZ117" s="541">
        <f t="shared" si="47"/>
        <v>2033</v>
      </c>
      <c r="BA117" s="541">
        <f t="shared" si="47"/>
        <v>2033</v>
      </c>
      <c r="BB117" s="541">
        <f t="shared" si="47"/>
        <v>2034</v>
      </c>
      <c r="BC117" s="541">
        <f t="shared" si="47"/>
        <v>2034</v>
      </c>
      <c r="BD117" s="541">
        <f t="shared" si="47"/>
        <v>2034</v>
      </c>
      <c r="BE117" s="541">
        <f t="shared" si="47"/>
        <v>2034</v>
      </c>
      <c r="BF117" s="541">
        <f t="shared" si="47"/>
        <v>2035</v>
      </c>
      <c r="BG117" s="541">
        <f t="shared" si="47"/>
        <v>2035</v>
      </c>
      <c r="BH117" s="541">
        <f t="shared" si="47"/>
        <v>2035</v>
      </c>
      <c r="BI117" s="541">
        <f t="shared" si="47"/>
        <v>2035</v>
      </c>
      <c r="BJ117" s="541">
        <f t="shared" si="47"/>
        <v>2036</v>
      </c>
      <c r="BK117" s="541">
        <f t="shared" si="47"/>
        <v>2036</v>
      </c>
      <c r="BL117" s="541">
        <f t="shared" si="47"/>
        <v>2036</v>
      </c>
      <c r="BM117" s="541">
        <f t="shared" si="47"/>
        <v>2036</v>
      </c>
      <c r="BN117" s="541">
        <f t="shared" si="47"/>
        <v>2037</v>
      </c>
      <c r="BO117" s="541">
        <f t="shared" si="47"/>
        <v>2037</v>
      </c>
      <c r="BP117" s="541">
        <f t="shared" si="47"/>
        <v>2037</v>
      </c>
      <c r="BQ117" s="541">
        <f t="shared" si="47"/>
        <v>2037</v>
      </c>
      <c r="BR117" s="541">
        <f t="shared" si="47"/>
        <v>2038</v>
      </c>
      <c r="BS117" s="541">
        <f t="shared" si="47"/>
        <v>2038</v>
      </c>
      <c r="BT117" s="541">
        <f t="shared" si="47"/>
        <v>2038</v>
      </c>
      <c r="BU117" s="541">
        <f t="shared" si="47"/>
        <v>2038</v>
      </c>
      <c r="BV117" s="541">
        <f t="shared" si="47"/>
        <v>2039</v>
      </c>
      <c r="BW117" s="541">
        <f t="shared" si="47"/>
        <v>2039</v>
      </c>
      <c r="BX117" s="541">
        <f t="shared" si="47"/>
        <v>2039</v>
      </c>
      <c r="BY117" s="541">
        <f t="shared" si="47"/>
        <v>2039</v>
      </c>
      <c r="BZ117" s="541">
        <f t="shared" si="47"/>
        <v>2040</v>
      </c>
      <c r="CA117" s="541">
        <f t="shared" si="47"/>
        <v>2040</v>
      </c>
      <c r="CB117" s="541">
        <f t="shared" si="47"/>
        <v>2040</v>
      </c>
      <c r="CC117" s="541">
        <f t="shared" si="47"/>
        <v>2040</v>
      </c>
      <c r="CD117" s="541">
        <f t="shared" si="47"/>
        <v>2041</v>
      </c>
      <c r="CE117" s="541">
        <f t="shared" si="47"/>
        <v>2041</v>
      </c>
      <c r="CF117" s="541">
        <f t="shared" si="47"/>
        <v>2041</v>
      </c>
      <c r="CG117" s="541">
        <f t="shared" si="47"/>
        <v>2041</v>
      </c>
      <c r="CH117" s="541">
        <f t="shared" si="47"/>
        <v>2042</v>
      </c>
      <c r="CI117" s="541">
        <f t="shared" si="47"/>
        <v>2042</v>
      </c>
      <c r="CJ117" s="541">
        <f t="shared" si="47"/>
        <v>2042</v>
      </c>
      <c r="CK117" s="541">
        <f t="shared" si="47"/>
        <v>2042</v>
      </c>
      <c r="CL117" s="541">
        <f t="shared" si="47"/>
        <v>2043</v>
      </c>
      <c r="CM117" s="541">
        <f t="shared" si="47"/>
        <v>2043</v>
      </c>
      <c r="CN117" s="541">
        <f t="shared" si="47"/>
        <v>2043</v>
      </c>
      <c r="CO117" s="541">
        <f t="shared" si="47"/>
        <v>2043</v>
      </c>
      <c r="CP117" s="541">
        <f t="shared" si="47"/>
        <v>2044</v>
      </c>
      <c r="CQ117" s="541">
        <f t="shared" si="47"/>
        <v>2044</v>
      </c>
      <c r="CR117" s="541">
        <f t="shared" si="47"/>
        <v>2044</v>
      </c>
      <c r="CS117" s="541">
        <f t="shared" si="47"/>
        <v>2044</v>
      </c>
      <c r="CT117" s="541">
        <f t="shared" si="47"/>
        <v>2045</v>
      </c>
      <c r="CU117" s="541">
        <f t="shared" si="47"/>
        <v>2045</v>
      </c>
      <c r="CV117" s="541">
        <f t="shared" si="47"/>
        <v>2045</v>
      </c>
      <c r="CW117" s="541">
        <f t="shared" si="47"/>
        <v>2045</v>
      </c>
      <c r="CX117" s="541">
        <f t="shared" si="47"/>
        <v>2046</v>
      </c>
      <c r="CY117" s="541">
        <f t="shared" si="47"/>
        <v>2046</v>
      </c>
      <c r="CZ117" s="541">
        <f t="shared" si="47"/>
        <v>2046</v>
      </c>
      <c r="DA117" s="541">
        <f t="shared" si="47"/>
        <v>2046</v>
      </c>
      <c r="DB117" s="541">
        <f t="shared" si="47"/>
        <v>2047</v>
      </c>
      <c r="DC117" s="541">
        <f t="shared" si="47"/>
        <v>2047</v>
      </c>
      <c r="DD117" s="541">
        <f t="shared" si="47"/>
        <v>2047</v>
      </c>
      <c r="DE117" s="541">
        <f t="shared" si="47"/>
        <v>2047</v>
      </c>
      <c r="DF117" s="541">
        <f t="shared" si="47"/>
        <v>2048</v>
      </c>
      <c r="DG117" s="541">
        <f t="shared" si="47"/>
        <v>2048</v>
      </c>
      <c r="DH117" s="541">
        <f t="shared" si="47"/>
        <v>2048</v>
      </c>
      <c r="DI117" s="541">
        <f t="shared" si="47"/>
        <v>2048</v>
      </c>
      <c r="DJ117" s="541">
        <f t="shared" si="47"/>
        <v>2049</v>
      </c>
      <c r="DK117" s="541">
        <f t="shared" si="47"/>
        <v>2049</v>
      </c>
      <c r="DL117" s="541">
        <f t="shared" si="47"/>
        <v>2049</v>
      </c>
      <c r="DM117" s="541">
        <f t="shared" si="47"/>
        <v>2049</v>
      </c>
      <c r="DN117" s="541">
        <f t="shared" si="47"/>
        <v>2050</v>
      </c>
      <c r="DO117" s="541">
        <f t="shared" si="47"/>
        <v>2050</v>
      </c>
      <c r="DP117" s="541">
        <f t="shared" si="47"/>
        <v>2050</v>
      </c>
      <c r="DQ117" s="541">
        <f t="shared" si="47"/>
        <v>2050</v>
      </c>
      <c r="DR117" s="541">
        <f t="shared" si="47"/>
        <v>2051</v>
      </c>
      <c r="DS117" s="541">
        <f t="shared" si="47"/>
        <v>2051</v>
      </c>
      <c r="DT117" s="541">
        <f t="shared" si="47"/>
        <v>2051</v>
      </c>
      <c r="DU117" s="541">
        <f t="shared" si="47"/>
        <v>2051</v>
      </c>
      <c r="DV117" s="541">
        <f t="shared" si="47"/>
        <v>2052</v>
      </c>
      <c r="DW117" s="541">
        <f t="shared" si="47"/>
        <v>2052</v>
      </c>
      <c r="DX117" s="541">
        <f t="shared" si="47"/>
        <v>2052</v>
      </c>
      <c r="DY117" s="541">
        <f t="shared" si="47"/>
        <v>2052</v>
      </c>
      <c r="DZ117" s="541">
        <f t="shared" si="47"/>
        <v>2053</v>
      </c>
      <c r="EA117" s="541">
        <f t="shared" si="47"/>
        <v>2053</v>
      </c>
      <c r="EB117" s="541">
        <f t="shared" si="47"/>
        <v>2053</v>
      </c>
      <c r="EC117" s="541">
        <f t="shared" si="47"/>
        <v>2053</v>
      </c>
      <c r="ED117" s="541">
        <f t="shared" si="47"/>
        <v>2054</v>
      </c>
      <c r="EE117" s="541">
        <f t="shared" si="47"/>
        <v>2054</v>
      </c>
      <c r="EF117" s="541">
        <f t="shared" si="47"/>
        <v>2054</v>
      </c>
      <c r="EG117" s="541">
        <f t="shared" si="47"/>
        <v>2054</v>
      </c>
    </row>
    <row r="119" spans="2:2" ht="12.75">
      <c r="B119" s="534" t="s">
        <v>130</v>
      </c>
    </row>
    <row r="120" spans="5:137" ht="12.75">
      <c r="E120" s="538" t="str">
        <f>E$16</f>
        <v>First model column flag</v>
      </c>
      <c r="G120" s="539" t="str">
        <f>G$16</f>
        <v>flag</v>
      </c>
      <c r="H120" s="539">
        <f>H$16</f>
        <v>1</v>
      </c>
      <c r="J120" s="539">
        <f t="shared" si="48" ref="J120:EG120">J$16</f>
        <v>1</v>
      </c>
      <c r="K120" s="539">
        <f t="shared" si="48"/>
        <v>0</v>
      </c>
      <c r="L120" s="539">
        <f t="shared" si="48"/>
        <v>0</v>
      </c>
      <c r="M120" s="539">
        <f t="shared" si="48"/>
        <v>0</v>
      </c>
      <c r="N120" s="539">
        <f t="shared" si="48"/>
        <v>0</v>
      </c>
      <c r="O120" s="539">
        <f t="shared" si="48"/>
        <v>0</v>
      </c>
      <c r="P120" s="539">
        <f t="shared" si="48"/>
        <v>0</v>
      </c>
      <c r="Q120" s="539">
        <f t="shared" si="48"/>
        <v>0</v>
      </c>
      <c r="R120" s="539">
        <f t="shared" si="48"/>
        <v>0</v>
      </c>
      <c r="S120" s="539">
        <f t="shared" si="48"/>
        <v>0</v>
      </c>
      <c r="T120" s="539">
        <f t="shared" si="48"/>
        <v>0</v>
      </c>
      <c r="U120" s="539">
        <f t="shared" si="48"/>
        <v>0</v>
      </c>
      <c r="V120" s="539">
        <f t="shared" si="48"/>
        <v>0</v>
      </c>
      <c r="W120" s="539">
        <f t="shared" si="48"/>
        <v>0</v>
      </c>
      <c r="X120" s="539">
        <f t="shared" si="48"/>
        <v>0</v>
      </c>
      <c r="Y120" s="539">
        <f t="shared" si="48"/>
        <v>0</v>
      </c>
      <c r="Z120" s="539">
        <f t="shared" si="48"/>
        <v>0</v>
      </c>
      <c r="AA120" s="539">
        <f t="shared" si="48"/>
        <v>0</v>
      </c>
      <c r="AB120" s="539">
        <f t="shared" si="48"/>
        <v>0</v>
      </c>
      <c r="AC120" s="539">
        <f t="shared" si="48"/>
        <v>0</v>
      </c>
      <c r="AD120" s="539">
        <f t="shared" si="48"/>
        <v>0</v>
      </c>
      <c r="AE120" s="539">
        <f t="shared" si="48"/>
        <v>0</v>
      </c>
      <c r="AF120" s="539">
        <f t="shared" si="48"/>
        <v>0</v>
      </c>
      <c r="AG120" s="539">
        <f t="shared" si="48"/>
        <v>0</v>
      </c>
      <c r="AH120" s="539">
        <f t="shared" si="48"/>
        <v>0</v>
      </c>
      <c r="AI120" s="539">
        <f t="shared" si="48"/>
        <v>0</v>
      </c>
      <c r="AJ120" s="539">
        <f t="shared" si="48"/>
        <v>0</v>
      </c>
      <c r="AK120" s="539">
        <f t="shared" si="48"/>
        <v>0</v>
      </c>
      <c r="AL120" s="539">
        <f t="shared" si="48"/>
        <v>0</v>
      </c>
      <c r="AM120" s="539">
        <f t="shared" si="48"/>
        <v>0</v>
      </c>
      <c r="AN120" s="539">
        <f t="shared" si="48"/>
        <v>0</v>
      </c>
      <c r="AO120" s="539">
        <f t="shared" si="48"/>
        <v>0</v>
      </c>
      <c r="AP120" s="539">
        <f t="shared" si="48"/>
        <v>0</v>
      </c>
      <c r="AQ120" s="539">
        <f t="shared" si="48"/>
        <v>0</v>
      </c>
      <c r="AR120" s="539">
        <f t="shared" si="48"/>
        <v>0</v>
      </c>
      <c r="AS120" s="539">
        <f t="shared" si="48"/>
        <v>0</v>
      </c>
      <c r="AT120" s="539">
        <f t="shared" si="48"/>
        <v>0</v>
      </c>
      <c r="AU120" s="539">
        <f t="shared" si="48"/>
        <v>0</v>
      </c>
      <c r="AV120" s="539">
        <f t="shared" si="48"/>
        <v>0</v>
      </c>
      <c r="AW120" s="539">
        <f t="shared" si="48"/>
        <v>0</v>
      </c>
      <c r="AX120" s="539">
        <f t="shared" si="48"/>
        <v>0</v>
      </c>
      <c r="AY120" s="539">
        <f t="shared" si="48"/>
        <v>0</v>
      </c>
      <c r="AZ120" s="539">
        <f t="shared" si="48"/>
        <v>0</v>
      </c>
      <c r="BA120" s="539">
        <f t="shared" si="48"/>
        <v>0</v>
      </c>
      <c r="BB120" s="539">
        <f t="shared" si="48"/>
        <v>0</v>
      </c>
      <c r="BC120" s="539">
        <f t="shared" si="48"/>
        <v>0</v>
      </c>
      <c r="BD120" s="539">
        <f t="shared" si="48"/>
        <v>0</v>
      </c>
      <c r="BE120" s="539">
        <f t="shared" si="48"/>
        <v>0</v>
      </c>
      <c r="BF120" s="539">
        <f t="shared" si="48"/>
        <v>0</v>
      </c>
      <c r="BG120" s="539">
        <f t="shared" si="48"/>
        <v>0</v>
      </c>
      <c r="BH120" s="539">
        <f t="shared" si="48"/>
        <v>0</v>
      </c>
      <c r="BI120" s="539">
        <f t="shared" si="48"/>
        <v>0</v>
      </c>
      <c r="BJ120" s="539">
        <f t="shared" si="48"/>
        <v>0</v>
      </c>
      <c r="BK120" s="539">
        <f t="shared" si="48"/>
        <v>0</v>
      </c>
      <c r="BL120" s="539">
        <f t="shared" si="48"/>
        <v>0</v>
      </c>
      <c r="BM120" s="539">
        <f t="shared" si="48"/>
        <v>0</v>
      </c>
      <c r="BN120" s="539">
        <f t="shared" si="48"/>
        <v>0</v>
      </c>
      <c r="BO120" s="539">
        <f t="shared" si="48"/>
        <v>0</v>
      </c>
      <c r="BP120" s="539">
        <f t="shared" si="48"/>
        <v>0</v>
      </c>
      <c r="BQ120" s="539">
        <f t="shared" si="48"/>
        <v>0</v>
      </c>
      <c r="BR120" s="539">
        <f t="shared" si="48"/>
        <v>0</v>
      </c>
      <c r="BS120" s="539">
        <f t="shared" si="48"/>
        <v>0</v>
      </c>
      <c r="BT120" s="539">
        <f t="shared" si="48"/>
        <v>0</v>
      </c>
      <c r="BU120" s="539">
        <f t="shared" si="48"/>
        <v>0</v>
      </c>
      <c r="BV120" s="539">
        <f t="shared" si="48"/>
        <v>0</v>
      </c>
      <c r="BW120" s="539">
        <f t="shared" si="48"/>
        <v>0</v>
      </c>
      <c r="BX120" s="539">
        <f t="shared" si="48"/>
        <v>0</v>
      </c>
      <c r="BY120" s="539">
        <f t="shared" si="48"/>
        <v>0</v>
      </c>
      <c r="BZ120" s="539">
        <f t="shared" si="48"/>
        <v>0</v>
      </c>
      <c r="CA120" s="539">
        <f t="shared" si="48"/>
        <v>0</v>
      </c>
      <c r="CB120" s="539">
        <f t="shared" si="48"/>
        <v>0</v>
      </c>
      <c r="CC120" s="539">
        <f t="shared" si="48"/>
        <v>0</v>
      </c>
      <c r="CD120" s="539">
        <f t="shared" si="48"/>
        <v>0</v>
      </c>
      <c r="CE120" s="539">
        <f t="shared" si="48"/>
        <v>0</v>
      </c>
      <c r="CF120" s="539">
        <f t="shared" si="48"/>
        <v>0</v>
      </c>
      <c r="CG120" s="539">
        <f t="shared" si="48"/>
        <v>0</v>
      </c>
      <c r="CH120" s="539">
        <f t="shared" si="48"/>
        <v>0</v>
      </c>
      <c r="CI120" s="539">
        <f t="shared" si="48"/>
        <v>0</v>
      </c>
      <c r="CJ120" s="539">
        <f t="shared" si="48"/>
        <v>0</v>
      </c>
      <c r="CK120" s="539">
        <f t="shared" si="48"/>
        <v>0</v>
      </c>
      <c r="CL120" s="539">
        <f t="shared" si="48"/>
        <v>0</v>
      </c>
      <c r="CM120" s="539">
        <f t="shared" si="48"/>
        <v>0</v>
      </c>
      <c r="CN120" s="539">
        <f t="shared" si="48"/>
        <v>0</v>
      </c>
      <c r="CO120" s="539">
        <f t="shared" si="48"/>
        <v>0</v>
      </c>
      <c r="CP120" s="539">
        <f t="shared" si="48"/>
        <v>0</v>
      </c>
      <c r="CQ120" s="539">
        <f t="shared" si="48"/>
        <v>0</v>
      </c>
      <c r="CR120" s="539">
        <f t="shared" si="48"/>
        <v>0</v>
      </c>
      <c r="CS120" s="539">
        <f t="shared" si="48"/>
        <v>0</v>
      </c>
      <c r="CT120" s="539">
        <f t="shared" si="48"/>
        <v>0</v>
      </c>
      <c r="CU120" s="539">
        <f t="shared" si="48"/>
        <v>0</v>
      </c>
      <c r="CV120" s="539">
        <f t="shared" si="48"/>
        <v>0</v>
      </c>
      <c r="CW120" s="539">
        <f t="shared" si="48"/>
        <v>0</v>
      </c>
      <c r="CX120" s="539">
        <f t="shared" si="48"/>
        <v>0</v>
      </c>
      <c r="CY120" s="539">
        <f t="shared" si="48"/>
        <v>0</v>
      </c>
      <c r="CZ120" s="539">
        <f t="shared" si="48"/>
        <v>0</v>
      </c>
      <c r="DA120" s="539">
        <f t="shared" si="48"/>
        <v>0</v>
      </c>
      <c r="DB120" s="539">
        <f t="shared" si="48"/>
        <v>0</v>
      </c>
      <c r="DC120" s="539">
        <f t="shared" si="48"/>
        <v>0</v>
      </c>
      <c r="DD120" s="539">
        <f t="shared" si="48"/>
        <v>0</v>
      </c>
      <c r="DE120" s="539">
        <f t="shared" si="48"/>
        <v>0</v>
      </c>
      <c r="DF120" s="539">
        <f t="shared" si="48"/>
        <v>0</v>
      </c>
      <c r="DG120" s="539">
        <f t="shared" si="48"/>
        <v>0</v>
      </c>
      <c r="DH120" s="539">
        <f t="shared" si="48"/>
        <v>0</v>
      </c>
      <c r="DI120" s="539">
        <f t="shared" si="48"/>
        <v>0</v>
      </c>
      <c r="DJ120" s="539">
        <f t="shared" si="48"/>
        <v>0</v>
      </c>
      <c r="DK120" s="539">
        <f t="shared" si="48"/>
        <v>0</v>
      </c>
      <c r="DL120" s="539">
        <f t="shared" si="48"/>
        <v>0</v>
      </c>
      <c r="DM120" s="539">
        <f t="shared" si="48"/>
        <v>0</v>
      </c>
      <c r="DN120" s="539">
        <f t="shared" si="48"/>
        <v>0</v>
      </c>
      <c r="DO120" s="539">
        <f t="shared" si="48"/>
        <v>0</v>
      </c>
      <c r="DP120" s="539">
        <f t="shared" si="48"/>
        <v>0</v>
      </c>
      <c r="DQ120" s="539">
        <f t="shared" si="48"/>
        <v>0</v>
      </c>
      <c r="DR120" s="539">
        <f t="shared" si="48"/>
        <v>0</v>
      </c>
      <c r="DS120" s="539">
        <f t="shared" si="48"/>
        <v>0</v>
      </c>
      <c r="DT120" s="539">
        <f t="shared" si="48"/>
        <v>0</v>
      </c>
      <c r="DU120" s="539">
        <f t="shared" si="48"/>
        <v>0</v>
      </c>
      <c r="DV120" s="539">
        <f t="shared" si="48"/>
        <v>0</v>
      </c>
      <c r="DW120" s="539">
        <f t="shared" si="48"/>
        <v>0</v>
      </c>
      <c r="DX120" s="539">
        <f t="shared" si="48"/>
        <v>0</v>
      </c>
      <c r="DY120" s="539">
        <f t="shared" si="48"/>
        <v>0</v>
      </c>
      <c r="DZ120" s="539">
        <f t="shared" si="48"/>
        <v>0</v>
      </c>
      <c r="EA120" s="539">
        <f t="shared" si="48"/>
        <v>0</v>
      </c>
      <c r="EB120" s="539">
        <f t="shared" si="48"/>
        <v>0</v>
      </c>
      <c r="EC120" s="539">
        <f t="shared" si="48"/>
        <v>0</v>
      </c>
      <c r="ED120" s="539">
        <f t="shared" si="48"/>
        <v>0</v>
      </c>
      <c r="EE120" s="539">
        <f t="shared" si="48"/>
        <v>0</v>
      </c>
      <c r="EF120" s="539">
        <f t="shared" si="48"/>
        <v>0</v>
      </c>
      <c r="EG120" s="539">
        <f t="shared" si="48"/>
        <v>0</v>
      </c>
    </row>
    <row r="121" spans="5:137" ht="12.75">
      <c r="E121" s="538" t="str">
        <f>E$58</f>
        <v>Financial close date flag</v>
      </c>
      <c r="G121" s="539" t="str">
        <f>G$58</f>
        <v>flag</v>
      </c>
      <c r="H121" s="539">
        <f>H$58</f>
        <v>1</v>
      </c>
      <c r="J121" s="539">
        <f t="shared" si="49" ref="J121:EG121">J$58</f>
        <v>0</v>
      </c>
      <c r="K121" s="539">
        <f t="shared" si="49"/>
        <v>0</v>
      </c>
      <c r="L121" s="539">
        <f t="shared" si="49"/>
        <v>1</v>
      </c>
      <c r="M121" s="539">
        <f t="shared" si="49"/>
        <v>0</v>
      </c>
      <c r="N121" s="539">
        <f t="shared" si="49"/>
        <v>0</v>
      </c>
      <c r="O121" s="539">
        <f t="shared" si="49"/>
        <v>0</v>
      </c>
      <c r="P121" s="539">
        <f t="shared" si="49"/>
        <v>0</v>
      </c>
      <c r="Q121" s="539">
        <f t="shared" si="49"/>
        <v>0</v>
      </c>
      <c r="R121" s="539">
        <f t="shared" si="49"/>
        <v>0</v>
      </c>
      <c r="S121" s="539">
        <f t="shared" si="49"/>
        <v>0</v>
      </c>
      <c r="T121" s="539">
        <f t="shared" si="49"/>
        <v>0</v>
      </c>
      <c r="U121" s="539">
        <f t="shared" si="49"/>
        <v>0</v>
      </c>
      <c r="V121" s="539">
        <f t="shared" si="49"/>
        <v>0</v>
      </c>
      <c r="W121" s="539">
        <f t="shared" si="49"/>
        <v>0</v>
      </c>
      <c r="X121" s="539">
        <f t="shared" si="49"/>
        <v>0</v>
      </c>
      <c r="Y121" s="539">
        <f t="shared" si="49"/>
        <v>0</v>
      </c>
      <c r="Z121" s="539">
        <f t="shared" si="49"/>
        <v>0</v>
      </c>
      <c r="AA121" s="539">
        <f t="shared" si="49"/>
        <v>0</v>
      </c>
      <c r="AB121" s="539">
        <f t="shared" si="49"/>
        <v>0</v>
      </c>
      <c r="AC121" s="539">
        <f t="shared" si="49"/>
        <v>0</v>
      </c>
      <c r="AD121" s="539">
        <f t="shared" si="49"/>
        <v>0</v>
      </c>
      <c r="AE121" s="539">
        <f t="shared" si="49"/>
        <v>0</v>
      </c>
      <c r="AF121" s="539">
        <f t="shared" si="49"/>
        <v>0</v>
      </c>
      <c r="AG121" s="539">
        <f t="shared" si="49"/>
        <v>0</v>
      </c>
      <c r="AH121" s="539">
        <f t="shared" si="49"/>
        <v>0</v>
      </c>
      <c r="AI121" s="539">
        <f t="shared" si="49"/>
        <v>0</v>
      </c>
      <c r="AJ121" s="539">
        <f t="shared" si="49"/>
        <v>0</v>
      </c>
      <c r="AK121" s="539">
        <f t="shared" si="49"/>
        <v>0</v>
      </c>
      <c r="AL121" s="539">
        <f t="shared" si="49"/>
        <v>0</v>
      </c>
      <c r="AM121" s="539">
        <f t="shared" si="49"/>
        <v>0</v>
      </c>
      <c r="AN121" s="539">
        <f t="shared" si="49"/>
        <v>0</v>
      </c>
      <c r="AO121" s="539">
        <f t="shared" si="49"/>
        <v>0</v>
      </c>
      <c r="AP121" s="539">
        <f t="shared" si="49"/>
        <v>0</v>
      </c>
      <c r="AQ121" s="539">
        <f t="shared" si="49"/>
        <v>0</v>
      </c>
      <c r="AR121" s="539">
        <f t="shared" si="49"/>
        <v>0</v>
      </c>
      <c r="AS121" s="539">
        <f t="shared" si="49"/>
        <v>0</v>
      </c>
      <c r="AT121" s="539">
        <f t="shared" si="49"/>
        <v>0</v>
      </c>
      <c r="AU121" s="539">
        <f t="shared" si="49"/>
        <v>0</v>
      </c>
      <c r="AV121" s="539">
        <f t="shared" si="49"/>
        <v>0</v>
      </c>
      <c r="AW121" s="539">
        <f t="shared" si="49"/>
        <v>0</v>
      </c>
      <c r="AX121" s="539">
        <f t="shared" si="49"/>
        <v>0</v>
      </c>
      <c r="AY121" s="539">
        <f t="shared" si="49"/>
        <v>0</v>
      </c>
      <c r="AZ121" s="539">
        <f t="shared" si="49"/>
        <v>0</v>
      </c>
      <c r="BA121" s="539">
        <f t="shared" si="49"/>
        <v>0</v>
      </c>
      <c r="BB121" s="539">
        <f t="shared" si="49"/>
        <v>0</v>
      </c>
      <c r="BC121" s="539">
        <f t="shared" si="49"/>
        <v>0</v>
      </c>
      <c r="BD121" s="539">
        <f t="shared" si="49"/>
        <v>0</v>
      </c>
      <c r="BE121" s="539">
        <f t="shared" si="49"/>
        <v>0</v>
      </c>
      <c r="BF121" s="539">
        <f t="shared" si="49"/>
        <v>0</v>
      </c>
      <c r="BG121" s="539">
        <f t="shared" si="49"/>
        <v>0</v>
      </c>
      <c r="BH121" s="539">
        <f t="shared" si="49"/>
        <v>0</v>
      </c>
      <c r="BI121" s="539">
        <f t="shared" si="49"/>
        <v>0</v>
      </c>
      <c r="BJ121" s="539">
        <f t="shared" si="49"/>
        <v>0</v>
      </c>
      <c r="BK121" s="539">
        <f t="shared" si="49"/>
        <v>0</v>
      </c>
      <c r="BL121" s="539">
        <f t="shared" si="49"/>
        <v>0</v>
      </c>
      <c r="BM121" s="539">
        <f t="shared" si="49"/>
        <v>0</v>
      </c>
      <c r="BN121" s="539">
        <f t="shared" si="49"/>
        <v>0</v>
      </c>
      <c r="BO121" s="539">
        <f t="shared" si="49"/>
        <v>0</v>
      </c>
      <c r="BP121" s="539">
        <f t="shared" si="49"/>
        <v>0</v>
      </c>
      <c r="BQ121" s="539">
        <f t="shared" si="49"/>
        <v>0</v>
      </c>
      <c r="BR121" s="539">
        <f t="shared" si="49"/>
        <v>0</v>
      </c>
      <c r="BS121" s="539">
        <f t="shared" si="49"/>
        <v>0</v>
      </c>
      <c r="BT121" s="539">
        <f t="shared" si="49"/>
        <v>0</v>
      </c>
      <c r="BU121" s="539">
        <f t="shared" si="49"/>
        <v>0</v>
      </c>
      <c r="BV121" s="539">
        <f t="shared" si="49"/>
        <v>0</v>
      </c>
      <c r="BW121" s="539">
        <f t="shared" si="49"/>
        <v>0</v>
      </c>
      <c r="BX121" s="539">
        <f t="shared" si="49"/>
        <v>0</v>
      </c>
      <c r="BY121" s="539">
        <f t="shared" si="49"/>
        <v>0</v>
      </c>
      <c r="BZ121" s="539">
        <f t="shared" si="49"/>
        <v>0</v>
      </c>
      <c r="CA121" s="539">
        <f t="shared" si="49"/>
        <v>0</v>
      </c>
      <c r="CB121" s="539">
        <f t="shared" si="49"/>
        <v>0</v>
      </c>
      <c r="CC121" s="539">
        <f t="shared" si="49"/>
        <v>0</v>
      </c>
      <c r="CD121" s="539">
        <f t="shared" si="49"/>
        <v>0</v>
      </c>
      <c r="CE121" s="539">
        <f t="shared" si="49"/>
        <v>0</v>
      </c>
      <c r="CF121" s="539">
        <f t="shared" si="49"/>
        <v>0</v>
      </c>
      <c r="CG121" s="539">
        <f t="shared" si="49"/>
        <v>0</v>
      </c>
      <c r="CH121" s="539">
        <f t="shared" si="49"/>
        <v>0</v>
      </c>
      <c r="CI121" s="539">
        <f t="shared" si="49"/>
        <v>0</v>
      </c>
      <c r="CJ121" s="539">
        <f t="shared" si="49"/>
        <v>0</v>
      </c>
      <c r="CK121" s="539">
        <f t="shared" si="49"/>
        <v>0</v>
      </c>
      <c r="CL121" s="539">
        <f t="shared" si="49"/>
        <v>0</v>
      </c>
      <c r="CM121" s="539">
        <f t="shared" si="49"/>
        <v>0</v>
      </c>
      <c r="CN121" s="539">
        <f t="shared" si="49"/>
        <v>0</v>
      </c>
      <c r="CO121" s="539">
        <f t="shared" si="49"/>
        <v>0</v>
      </c>
      <c r="CP121" s="539">
        <f t="shared" si="49"/>
        <v>0</v>
      </c>
      <c r="CQ121" s="539">
        <f t="shared" si="49"/>
        <v>0</v>
      </c>
      <c r="CR121" s="539">
        <f t="shared" si="49"/>
        <v>0</v>
      </c>
      <c r="CS121" s="539">
        <f t="shared" si="49"/>
        <v>0</v>
      </c>
      <c r="CT121" s="539">
        <f t="shared" si="49"/>
        <v>0</v>
      </c>
      <c r="CU121" s="539">
        <f t="shared" si="49"/>
        <v>0</v>
      </c>
      <c r="CV121" s="539">
        <f t="shared" si="49"/>
        <v>0</v>
      </c>
      <c r="CW121" s="539">
        <f t="shared" si="49"/>
        <v>0</v>
      </c>
      <c r="CX121" s="539">
        <f t="shared" si="49"/>
        <v>0</v>
      </c>
      <c r="CY121" s="539">
        <f t="shared" si="49"/>
        <v>0</v>
      </c>
      <c r="CZ121" s="539">
        <f t="shared" si="49"/>
        <v>0</v>
      </c>
      <c r="DA121" s="539">
        <f t="shared" si="49"/>
        <v>0</v>
      </c>
      <c r="DB121" s="539">
        <f t="shared" si="49"/>
        <v>0</v>
      </c>
      <c r="DC121" s="539">
        <f t="shared" si="49"/>
        <v>0</v>
      </c>
      <c r="DD121" s="539">
        <f t="shared" si="49"/>
        <v>0</v>
      </c>
      <c r="DE121" s="539">
        <f t="shared" si="49"/>
        <v>0</v>
      </c>
      <c r="DF121" s="539">
        <f t="shared" si="49"/>
        <v>0</v>
      </c>
      <c r="DG121" s="539">
        <f t="shared" si="49"/>
        <v>0</v>
      </c>
      <c r="DH121" s="539">
        <f t="shared" si="49"/>
        <v>0</v>
      </c>
      <c r="DI121" s="539">
        <f t="shared" si="49"/>
        <v>0</v>
      </c>
      <c r="DJ121" s="539">
        <f t="shared" si="49"/>
        <v>0</v>
      </c>
      <c r="DK121" s="539">
        <f t="shared" si="49"/>
        <v>0</v>
      </c>
      <c r="DL121" s="539">
        <f t="shared" si="49"/>
        <v>0</v>
      </c>
      <c r="DM121" s="539">
        <f t="shared" si="49"/>
        <v>0</v>
      </c>
      <c r="DN121" s="539">
        <f t="shared" si="49"/>
        <v>0</v>
      </c>
      <c r="DO121" s="539">
        <f t="shared" si="49"/>
        <v>0</v>
      </c>
      <c r="DP121" s="539">
        <f t="shared" si="49"/>
        <v>0</v>
      </c>
      <c r="DQ121" s="539">
        <f t="shared" si="49"/>
        <v>0</v>
      </c>
      <c r="DR121" s="539">
        <f t="shared" si="49"/>
        <v>0</v>
      </c>
      <c r="DS121" s="539">
        <f t="shared" si="49"/>
        <v>0</v>
      </c>
      <c r="DT121" s="539">
        <f t="shared" si="49"/>
        <v>0</v>
      </c>
      <c r="DU121" s="539">
        <f t="shared" si="49"/>
        <v>0</v>
      </c>
      <c r="DV121" s="539">
        <f t="shared" si="49"/>
        <v>0</v>
      </c>
      <c r="DW121" s="539">
        <f t="shared" si="49"/>
        <v>0</v>
      </c>
      <c r="DX121" s="539">
        <f t="shared" si="49"/>
        <v>0</v>
      </c>
      <c r="DY121" s="539">
        <f t="shared" si="49"/>
        <v>0</v>
      </c>
      <c r="DZ121" s="539">
        <f t="shared" si="49"/>
        <v>0</v>
      </c>
      <c r="EA121" s="539">
        <f t="shared" si="49"/>
        <v>0</v>
      </c>
      <c r="EB121" s="539">
        <f t="shared" si="49"/>
        <v>0</v>
      </c>
      <c r="EC121" s="539">
        <f t="shared" si="49"/>
        <v>0</v>
      </c>
      <c r="ED121" s="539">
        <f t="shared" si="49"/>
        <v>0</v>
      </c>
      <c r="EE121" s="539">
        <f t="shared" si="49"/>
        <v>0</v>
      </c>
      <c r="EF121" s="539">
        <f t="shared" si="49"/>
        <v>0</v>
      </c>
      <c r="EG121" s="539">
        <f t="shared" si="49"/>
        <v>0</v>
      </c>
    </row>
    <row r="122" spans="5:137" ht="12.75">
      <c r="E122" s="538" t="str">
        <f>E$62</f>
        <v>First construction period flag</v>
      </c>
      <c r="G122" s="539" t="str">
        <f>G$62</f>
        <v>flag</v>
      </c>
      <c r="H122" s="539">
        <f>H$62</f>
        <v>1</v>
      </c>
      <c r="J122" s="539">
        <f t="shared" si="50" ref="J122:EG122">J$62</f>
        <v>0</v>
      </c>
      <c r="K122" s="539">
        <f t="shared" si="50"/>
        <v>0</v>
      </c>
      <c r="L122" s="539">
        <f t="shared" si="50"/>
        <v>0</v>
      </c>
      <c r="M122" s="539">
        <f t="shared" si="50"/>
        <v>1</v>
      </c>
      <c r="N122" s="539">
        <f t="shared" si="50"/>
        <v>0</v>
      </c>
      <c r="O122" s="539">
        <f t="shared" si="50"/>
        <v>0</v>
      </c>
      <c r="P122" s="539">
        <f t="shared" si="50"/>
        <v>0</v>
      </c>
      <c r="Q122" s="539">
        <f t="shared" si="50"/>
        <v>0</v>
      </c>
      <c r="R122" s="539">
        <f t="shared" si="50"/>
        <v>0</v>
      </c>
      <c r="S122" s="539">
        <f t="shared" si="50"/>
        <v>0</v>
      </c>
      <c r="T122" s="539">
        <f t="shared" si="50"/>
        <v>0</v>
      </c>
      <c r="U122" s="539">
        <f t="shared" si="50"/>
        <v>0</v>
      </c>
      <c r="V122" s="539">
        <f t="shared" si="50"/>
        <v>0</v>
      </c>
      <c r="W122" s="539">
        <f t="shared" si="50"/>
        <v>0</v>
      </c>
      <c r="X122" s="539">
        <f t="shared" si="50"/>
        <v>0</v>
      </c>
      <c r="Y122" s="539">
        <f t="shared" si="50"/>
        <v>0</v>
      </c>
      <c r="Z122" s="539">
        <f t="shared" si="50"/>
        <v>0</v>
      </c>
      <c r="AA122" s="539">
        <f t="shared" si="50"/>
        <v>0</v>
      </c>
      <c r="AB122" s="539">
        <f t="shared" si="50"/>
        <v>0</v>
      </c>
      <c r="AC122" s="539">
        <f t="shared" si="50"/>
        <v>0</v>
      </c>
      <c r="AD122" s="539">
        <f t="shared" si="50"/>
        <v>0</v>
      </c>
      <c r="AE122" s="539">
        <f t="shared" si="50"/>
        <v>0</v>
      </c>
      <c r="AF122" s="539">
        <f t="shared" si="50"/>
        <v>0</v>
      </c>
      <c r="AG122" s="539">
        <f t="shared" si="50"/>
        <v>0</v>
      </c>
      <c r="AH122" s="539">
        <f t="shared" si="50"/>
        <v>0</v>
      </c>
      <c r="AI122" s="539">
        <f t="shared" si="50"/>
        <v>0</v>
      </c>
      <c r="AJ122" s="539">
        <f t="shared" si="50"/>
        <v>0</v>
      </c>
      <c r="AK122" s="539">
        <f t="shared" si="50"/>
        <v>0</v>
      </c>
      <c r="AL122" s="539">
        <f t="shared" si="50"/>
        <v>0</v>
      </c>
      <c r="AM122" s="539">
        <f t="shared" si="50"/>
        <v>0</v>
      </c>
      <c r="AN122" s="539">
        <f t="shared" si="50"/>
        <v>0</v>
      </c>
      <c r="AO122" s="539">
        <f t="shared" si="50"/>
        <v>0</v>
      </c>
      <c r="AP122" s="539">
        <f t="shared" si="50"/>
        <v>0</v>
      </c>
      <c r="AQ122" s="539">
        <f t="shared" si="50"/>
        <v>0</v>
      </c>
      <c r="AR122" s="539">
        <f t="shared" si="50"/>
        <v>0</v>
      </c>
      <c r="AS122" s="539">
        <f t="shared" si="50"/>
        <v>0</v>
      </c>
      <c r="AT122" s="539">
        <f t="shared" si="50"/>
        <v>0</v>
      </c>
      <c r="AU122" s="539">
        <f t="shared" si="50"/>
        <v>0</v>
      </c>
      <c r="AV122" s="539">
        <f t="shared" si="50"/>
        <v>0</v>
      </c>
      <c r="AW122" s="539">
        <f t="shared" si="50"/>
        <v>0</v>
      </c>
      <c r="AX122" s="539">
        <f t="shared" si="50"/>
        <v>0</v>
      </c>
      <c r="AY122" s="539">
        <f t="shared" si="50"/>
        <v>0</v>
      </c>
      <c r="AZ122" s="539">
        <f t="shared" si="50"/>
        <v>0</v>
      </c>
      <c r="BA122" s="539">
        <f t="shared" si="50"/>
        <v>0</v>
      </c>
      <c r="BB122" s="539">
        <f t="shared" si="50"/>
        <v>0</v>
      </c>
      <c r="BC122" s="539">
        <f t="shared" si="50"/>
        <v>0</v>
      </c>
      <c r="BD122" s="539">
        <f t="shared" si="50"/>
        <v>0</v>
      </c>
      <c r="BE122" s="539">
        <f t="shared" si="50"/>
        <v>0</v>
      </c>
      <c r="BF122" s="539">
        <f t="shared" si="50"/>
        <v>0</v>
      </c>
      <c r="BG122" s="539">
        <f t="shared" si="50"/>
        <v>0</v>
      </c>
      <c r="BH122" s="539">
        <f t="shared" si="50"/>
        <v>0</v>
      </c>
      <c r="BI122" s="539">
        <f t="shared" si="50"/>
        <v>0</v>
      </c>
      <c r="BJ122" s="539">
        <f t="shared" si="50"/>
        <v>0</v>
      </c>
      <c r="BK122" s="539">
        <f t="shared" si="50"/>
        <v>0</v>
      </c>
      <c r="BL122" s="539">
        <f t="shared" si="50"/>
        <v>0</v>
      </c>
      <c r="BM122" s="539">
        <f t="shared" si="50"/>
        <v>0</v>
      </c>
      <c r="BN122" s="539">
        <f t="shared" si="50"/>
        <v>0</v>
      </c>
      <c r="BO122" s="539">
        <f t="shared" si="50"/>
        <v>0</v>
      </c>
      <c r="BP122" s="539">
        <f t="shared" si="50"/>
        <v>0</v>
      </c>
      <c r="BQ122" s="539">
        <f t="shared" si="50"/>
        <v>0</v>
      </c>
      <c r="BR122" s="539">
        <f t="shared" si="50"/>
        <v>0</v>
      </c>
      <c r="BS122" s="539">
        <f t="shared" si="50"/>
        <v>0</v>
      </c>
      <c r="BT122" s="539">
        <f t="shared" si="50"/>
        <v>0</v>
      </c>
      <c r="BU122" s="539">
        <f t="shared" si="50"/>
        <v>0</v>
      </c>
      <c r="BV122" s="539">
        <f t="shared" si="50"/>
        <v>0</v>
      </c>
      <c r="BW122" s="539">
        <f t="shared" si="50"/>
        <v>0</v>
      </c>
      <c r="BX122" s="539">
        <f t="shared" si="50"/>
        <v>0</v>
      </c>
      <c r="BY122" s="539">
        <f t="shared" si="50"/>
        <v>0</v>
      </c>
      <c r="BZ122" s="539">
        <f t="shared" si="50"/>
        <v>0</v>
      </c>
      <c r="CA122" s="539">
        <f t="shared" si="50"/>
        <v>0</v>
      </c>
      <c r="CB122" s="539">
        <f t="shared" si="50"/>
        <v>0</v>
      </c>
      <c r="CC122" s="539">
        <f t="shared" si="50"/>
        <v>0</v>
      </c>
      <c r="CD122" s="539">
        <f t="shared" si="50"/>
        <v>0</v>
      </c>
      <c r="CE122" s="539">
        <f t="shared" si="50"/>
        <v>0</v>
      </c>
      <c r="CF122" s="539">
        <f t="shared" si="50"/>
        <v>0</v>
      </c>
      <c r="CG122" s="539">
        <f t="shared" si="50"/>
        <v>0</v>
      </c>
      <c r="CH122" s="539">
        <f t="shared" si="50"/>
        <v>0</v>
      </c>
      <c r="CI122" s="539">
        <f t="shared" si="50"/>
        <v>0</v>
      </c>
      <c r="CJ122" s="539">
        <f t="shared" si="50"/>
        <v>0</v>
      </c>
      <c r="CK122" s="539">
        <f t="shared" si="50"/>
        <v>0</v>
      </c>
      <c r="CL122" s="539">
        <f t="shared" si="50"/>
        <v>0</v>
      </c>
      <c r="CM122" s="539">
        <f t="shared" si="50"/>
        <v>0</v>
      </c>
      <c r="CN122" s="539">
        <f t="shared" si="50"/>
        <v>0</v>
      </c>
      <c r="CO122" s="539">
        <f t="shared" si="50"/>
        <v>0</v>
      </c>
      <c r="CP122" s="539">
        <f t="shared" si="50"/>
        <v>0</v>
      </c>
      <c r="CQ122" s="539">
        <f t="shared" si="50"/>
        <v>0</v>
      </c>
      <c r="CR122" s="539">
        <f t="shared" si="50"/>
        <v>0</v>
      </c>
      <c r="CS122" s="539">
        <f t="shared" si="50"/>
        <v>0</v>
      </c>
      <c r="CT122" s="539">
        <f t="shared" si="50"/>
        <v>0</v>
      </c>
      <c r="CU122" s="539">
        <f t="shared" si="50"/>
        <v>0</v>
      </c>
      <c r="CV122" s="539">
        <f t="shared" si="50"/>
        <v>0</v>
      </c>
      <c r="CW122" s="539">
        <f t="shared" si="50"/>
        <v>0</v>
      </c>
      <c r="CX122" s="539">
        <f t="shared" si="50"/>
        <v>0</v>
      </c>
      <c r="CY122" s="539">
        <f t="shared" si="50"/>
        <v>0</v>
      </c>
      <c r="CZ122" s="539">
        <f t="shared" si="50"/>
        <v>0</v>
      </c>
      <c r="DA122" s="539">
        <f t="shared" si="50"/>
        <v>0</v>
      </c>
      <c r="DB122" s="539">
        <f t="shared" si="50"/>
        <v>0</v>
      </c>
      <c r="DC122" s="539">
        <f t="shared" si="50"/>
        <v>0</v>
      </c>
      <c r="DD122" s="539">
        <f t="shared" si="50"/>
        <v>0</v>
      </c>
      <c r="DE122" s="539">
        <f t="shared" si="50"/>
        <v>0</v>
      </c>
      <c r="DF122" s="539">
        <f t="shared" si="50"/>
        <v>0</v>
      </c>
      <c r="DG122" s="539">
        <f t="shared" si="50"/>
        <v>0</v>
      </c>
      <c r="DH122" s="539">
        <f t="shared" si="50"/>
        <v>0</v>
      </c>
      <c r="DI122" s="539">
        <f t="shared" si="50"/>
        <v>0</v>
      </c>
      <c r="DJ122" s="539">
        <f t="shared" si="50"/>
        <v>0</v>
      </c>
      <c r="DK122" s="539">
        <f t="shared" si="50"/>
        <v>0</v>
      </c>
      <c r="DL122" s="539">
        <f t="shared" si="50"/>
        <v>0</v>
      </c>
      <c r="DM122" s="539">
        <f t="shared" si="50"/>
        <v>0</v>
      </c>
      <c r="DN122" s="539">
        <f t="shared" si="50"/>
        <v>0</v>
      </c>
      <c r="DO122" s="539">
        <f t="shared" si="50"/>
        <v>0</v>
      </c>
      <c r="DP122" s="539">
        <f t="shared" si="50"/>
        <v>0</v>
      </c>
      <c r="DQ122" s="539">
        <f t="shared" si="50"/>
        <v>0</v>
      </c>
      <c r="DR122" s="539">
        <f t="shared" si="50"/>
        <v>0</v>
      </c>
      <c r="DS122" s="539">
        <f t="shared" si="50"/>
        <v>0</v>
      </c>
      <c r="DT122" s="539">
        <f t="shared" si="50"/>
        <v>0</v>
      </c>
      <c r="DU122" s="539">
        <f t="shared" si="50"/>
        <v>0</v>
      </c>
      <c r="DV122" s="539">
        <f t="shared" si="50"/>
        <v>0</v>
      </c>
      <c r="DW122" s="539">
        <f t="shared" si="50"/>
        <v>0</v>
      </c>
      <c r="DX122" s="539">
        <f t="shared" si="50"/>
        <v>0</v>
      </c>
      <c r="DY122" s="539">
        <f t="shared" si="50"/>
        <v>0</v>
      </c>
      <c r="DZ122" s="539">
        <f t="shared" si="50"/>
        <v>0</v>
      </c>
      <c r="EA122" s="539">
        <f t="shared" si="50"/>
        <v>0</v>
      </c>
      <c r="EB122" s="539">
        <f t="shared" si="50"/>
        <v>0</v>
      </c>
      <c r="EC122" s="539">
        <f t="shared" si="50"/>
        <v>0</v>
      </c>
      <c r="ED122" s="539">
        <f t="shared" si="50"/>
        <v>0</v>
      </c>
      <c r="EE122" s="539">
        <f t="shared" si="50"/>
        <v>0</v>
      </c>
      <c r="EF122" s="539">
        <f t="shared" si="50"/>
        <v>0</v>
      </c>
      <c r="EG122" s="539">
        <f t="shared" si="50"/>
        <v>0</v>
      </c>
    </row>
    <row r="123" spans="5:137" ht="12.75">
      <c r="E123" s="538" t="str">
        <f>E$76</f>
        <v>First operating period flag</v>
      </c>
      <c r="G123" s="539" t="str">
        <f>G$76</f>
        <v>flag</v>
      </c>
      <c r="H123" s="539">
        <f>H$76</f>
        <v>1</v>
      </c>
      <c r="J123" s="539">
        <f t="shared" si="51" ref="J123:EG123">J$76</f>
        <v>0</v>
      </c>
      <c r="K123" s="539">
        <f t="shared" si="51"/>
        <v>0</v>
      </c>
      <c r="L123" s="539">
        <f t="shared" si="51"/>
        <v>0</v>
      </c>
      <c r="M123" s="539">
        <f t="shared" si="51"/>
        <v>0</v>
      </c>
      <c r="N123" s="539">
        <f t="shared" si="51"/>
        <v>0</v>
      </c>
      <c r="O123" s="539">
        <f t="shared" si="51"/>
        <v>0</v>
      </c>
      <c r="P123" s="539">
        <f t="shared" si="51"/>
        <v>0</v>
      </c>
      <c r="Q123" s="539">
        <f t="shared" si="51"/>
        <v>0</v>
      </c>
      <c r="R123" s="539">
        <f t="shared" si="51"/>
        <v>0</v>
      </c>
      <c r="S123" s="539">
        <f t="shared" si="51"/>
        <v>0</v>
      </c>
      <c r="T123" s="539">
        <f t="shared" si="51"/>
        <v>0</v>
      </c>
      <c r="U123" s="539">
        <f t="shared" si="51"/>
        <v>0</v>
      </c>
      <c r="V123" s="539">
        <f t="shared" si="51"/>
        <v>0</v>
      </c>
      <c r="W123" s="539">
        <f t="shared" si="51"/>
        <v>0</v>
      </c>
      <c r="X123" s="539">
        <f t="shared" si="51"/>
        <v>0</v>
      </c>
      <c r="Y123" s="539">
        <f t="shared" si="51"/>
        <v>0</v>
      </c>
      <c r="Z123" s="539">
        <f t="shared" si="51"/>
        <v>0</v>
      </c>
      <c r="AA123" s="539">
        <f t="shared" si="51"/>
        <v>0</v>
      </c>
      <c r="AB123" s="539">
        <f t="shared" si="51"/>
        <v>0</v>
      </c>
      <c r="AC123" s="539">
        <f t="shared" si="51"/>
        <v>0</v>
      </c>
      <c r="AD123" s="539">
        <f t="shared" si="51"/>
        <v>0</v>
      </c>
      <c r="AE123" s="539">
        <f t="shared" si="51"/>
        <v>0</v>
      </c>
      <c r="AF123" s="539">
        <f t="shared" si="51"/>
        <v>0</v>
      </c>
      <c r="AG123" s="539">
        <f t="shared" si="51"/>
        <v>0</v>
      </c>
      <c r="AH123" s="539">
        <f t="shared" si="51"/>
        <v>1</v>
      </c>
      <c r="AI123" s="539">
        <f t="shared" si="51"/>
        <v>0</v>
      </c>
      <c r="AJ123" s="539">
        <f t="shared" si="51"/>
        <v>0</v>
      </c>
      <c r="AK123" s="539">
        <f t="shared" si="51"/>
        <v>0</v>
      </c>
      <c r="AL123" s="539">
        <f t="shared" si="51"/>
        <v>0</v>
      </c>
      <c r="AM123" s="539">
        <f t="shared" si="51"/>
        <v>0</v>
      </c>
      <c r="AN123" s="539">
        <f t="shared" si="51"/>
        <v>0</v>
      </c>
      <c r="AO123" s="539">
        <f t="shared" si="51"/>
        <v>0</v>
      </c>
      <c r="AP123" s="539">
        <f t="shared" si="51"/>
        <v>0</v>
      </c>
      <c r="AQ123" s="539">
        <f t="shared" si="51"/>
        <v>0</v>
      </c>
      <c r="AR123" s="539">
        <f t="shared" si="51"/>
        <v>0</v>
      </c>
      <c r="AS123" s="539">
        <f t="shared" si="51"/>
        <v>0</v>
      </c>
      <c r="AT123" s="539">
        <f t="shared" si="51"/>
        <v>0</v>
      </c>
      <c r="AU123" s="539">
        <f t="shared" si="51"/>
        <v>0</v>
      </c>
      <c r="AV123" s="539">
        <f t="shared" si="51"/>
        <v>0</v>
      </c>
      <c r="AW123" s="539">
        <f t="shared" si="51"/>
        <v>0</v>
      </c>
      <c r="AX123" s="539">
        <f t="shared" si="51"/>
        <v>0</v>
      </c>
      <c r="AY123" s="539">
        <f t="shared" si="51"/>
        <v>0</v>
      </c>
      <c r="AZ123" s="539">
        <f t="shared" si="51"/>
        <v>0</v>
      </c>
      <c r="BA123" s="539">
        <f t="shared" si="51"/>
        <v>0</v>
      </c>
      <c r="BB123" s="539">
        <f t="shared" si="51"/>
        <v>0</v>
      </c>
      <c r="BC123" s="539">
        <f t="shared" si="51"/>
        <v>0</v>
      </c>
      <c r="BD123" s="539">
        <f t="shared" si="51"/>
        <v>0</v>
      </c>
      <c r="BE123" s="539">
        <f t="shared" si="51"/>
        <v>0</v>
      </c>
      <c r="BF123" s="539">
        <f t="shared" si="51"/>
        <v>0</v>
      </c>
      <c r="BG123" s="539">
        <f t="shared" si="51"/>
        <v>0</v>
      </c>
      <c r="BH123" s="539">
        <f t="shared" si="51"/>
        <v>0</v>
      </c>
      <c r="BI123" s="539">
        <f t="shared" si="51"/>
        <v>0</v>
      </c>
      <c r="BJ123" s="539">
        <f t="shared" si="51"/>
        <v>0</v>
      </c>
      <c r="BK123" s="539">
        <f t="shared" si="51"/>
        <v>0</v>
      </c>
      <c r="BL123" s="539">
        <f t="shared" si="51"/>
        <v>0</v>
      </c>
      <c r="BM123" s="539">
        <f t="shared" si="51"/>
        <v>0</v>
      </c>
      <c r="BN123" s="539">
        <f t="shared" si="51"/>
        <v>0</v>
      </c>
      <c r="BO123" s="539">
        <f t="shared" si="51"/>
        <v>0</v>
      </c>
      <c r="BP123" s="539">
        <f t="shared" si="51"/>
        <v>0</v>
      </c>
      <c r="BQ123" s="539">
        <f t="shared" si="51"/>
        <v>0</v>
      </c>
      <c r="BR123" s="539">
        <f t="shared" si="51"/>
        <v>0</v>
      </c>
      <c r="BS123" s="539">
        <f t="shared" si="51"/>
        <v>0</v>
      </c>
      <c r="BT123" s="539">
        <f t="shared" si="51"/>
        <v>0</v>
      </c>
      <c r="BU123" s="539">
        <f t="shared" si="51"/>
        <v>0</v>
      </c>
      <c r="BV123" s="539">
        <f t="shared" si="51"/>
        <v>0</v>
      </c>
      <c r="BW123" s="539">
        <f t="shared" si="51"/>
        <v>0</v>
      </c>
      <c r="BX123" s="539">
        <f t="shared" si="51"/>
        <v>0</v>
      </c>
      <c r="BY123" s="539">
        <f t="shared" si="51"/>
        <v>0</v>
      </c>
      <c r="BZ123" s="539">
        <f t="shared" si="51"/>
        <v>0</v>
      </c>
      <c r="CA123" s="539">
        <f t="shared" si="51"/>
        <v>0</v>
      </c>
      <c r="CB123" s="539">
        <f t="shared" si="51"/>
        <v>0</v>
      </c>
      <c r="CC123" s="539">
        <f t="shared" si="51"/>
        <v>0</v>
      </c>
      <c r="CD123" s="539">
        <f t="shared" si="51"/>
        <v>0</v>
      </c>
      <c r="CE123" s="539">
        <f t="shared" si="51"/>
        <v>0</v>
      </c>
      <c r="CF123" s="539">
        <f t="shared" si="51"/>
        <v>0</v>
      </c>
      <c r="CG123" s="539">
        <f t="shared" si="51"/>
        <v>0</v>
      </c>
      <c r="CH123" s="539">
        <f t="shared" si="51"/>
        <v>0</v>
      </c>
      <c r="CI123" s="539">
        <f t="shared" si="51"/>
        <v>0</v>
      </c>
      <c r="CJ123" s="539">
        <f t="shared" si="51"/>
        <v>0</v>
      </c>
      <c r="CK123" s="539">
        <f t="shared" si="51"/>
        <v>0</v>
      </c>
      <c r="CL123" s="539">
        <f t="shared" si="51"/>
        <v>0</v>
      </c>
      <c r="CM123" s="539">
        <f t="shared" si="51"/>
        <v>0</v>
      </c>
      <c r="CN123" s="539">
        <f t="shared" si="51"/>
        <v>0</v>
      </c>
      <c r="CO123" s="539">
        <f t="shared" si="51"/>
        <v>0</v>
      </c>
      <c r="CP123" s="539">
        <f t="shared" si="51"/>
        <v>0</v>
      </c>
      <c r="CQ123" s="539">
        <f t="shared" si="51"/>
        <v>0</v>
      </c>
      <c r="CR123" s="539">
        <f t="shared" si="51"/>
        <v>0</v>
      </c>
      <c r="CS123" s="539">
        <f t="shared" si="51"/>
        <v>0</v>
      </c>
      <c r="CT123" s="539">
        <f t="shared" si="51"/>
        <v>0</v>
      </c>
      <c r="CU123" s="539">
        <f t="shared" si="51"/>
        <v>0</v>
      </c>
      <c r="CV123" s="539">
        <f t="shared" si="51"/>
        <v>0</v>
      </c>
      <c r="CW123" s="539">
        <f t="shared" si="51"/>
        <v>0</v>
      </c>
      <c r="CX123" s="539">
        <f t="shared" si="51"/>
        <v>0</v>
      </c>
      <c r="CY123" s="539">
        <f t="shared" si="51"/>
        <v>0</v>
      </c>
      <c r="CZ123" s="539">
        <f t="shared" si="51"/>
        <v>0</v>
      </c>
      <c r="DA123" s="539">
        <f t="shared" si="51"/>
        <v>0</v>
      </c>
      <c r="DB123" s="539">
        <f t="shared" si="51"/>
        <v>0</v>
      </c>
      <c r="DC123" s="539">
        <f t="shared" si="51"/>
        <v>0</v>
      </c>
      <c r="DD123" s="539">
        <f t="shared" si="51"/>
        <v>0</v>
      </c>
      <c r="DE123" s="539">
        <f t="shared" si="51"/>
        <v>0</v>
      </c>
      <c r="DF123" s="539">
        <f t="shared" si="51"/>
        <v>0</v>
      </c>
      <c r="DG123" s="539">
        <f t="shared" si="51"/>
        <v>0</v>
      </c>
      <c r="DH123" s="539">
        <f t="shared" si="51"/>
        <v>0</v>
      </c>
      <c r="DI123" s="539">
        <f t="shared" si="51"/>
        <v>0</v>
      </c>
      <c r="DJ123" s="539">
        <f t="shared" si="51"/>
        <v>0</v>
      </c>
      <c r="DK123" s="539">
        <f t="shared" si="51"/>
        <v>0</v>
      </c>
      <c r="DL123" s="539">
        <f t="shared" si="51"/>
        <v>0</v>
      </c>
      <c r="DM123" s="539">
        <f t="shared" si="51"/>
        <v>0</v>
      </c>
      <c r="DN123" s="539">
        <f t="shared" si="51"/>
        <v>0</v>
      </c>
      <c r="DO123" s="539">
        <f t="shared" si="51"/>
        <v>0</v>
      </c>
      <c r="DP123" s="539">
        <f t="shared" si="51"/>
        <v>0</v>
      </c>
      <c r="DQ123" s="539">
        <f t="shared" si="51"/>
        <v>0</v>
      </c>
      <c r="DR123" s="539">
        <f t="shared" si="51"/>
        <v>0</v>
      </c>
      <c r="DS123" s="539">
        <f t="shared" si="51"/>
        <v>0</v>
      </c>
      <c r="DT123" s="539">
        <f t="shared" si="51"/>
        <v>0</v>
      </c>
      <c r="DU123" s="539">
        <f t="shared" si="51"/>
        <v>0</v>
      </c>
      <c r="DV123" s="539">
        <f t="shared" si="51"/>
        <v>0</v>
      </c>
      <c r="DW123" s="539">
        <f t="shared" si="51"/>
        <v>0</v>
      </c>
      <c r="DX123" s="539">
        <f t="shared" si="51"/>
        <v>0</v>
      </c>
      <c r="DY123" s="539">
        <f t="shared" si="51"/>
        <v>0</v>
      </c>
      <c r="DZ123" s="539">
        <f t="shared" si="51"/>
        <v>0</v>
      </c>
      <c r="EA123" s="539">
        <f t="shared" si="51"/>
        <v>0</v>
      </c>
      <c r="EB123" s="539">
        <f t="shared" si="51"/>
        <v>0</v>
      </c>
      <c r="EC123" s="539">
        <f t="shared" si="51"/>
        <v>0</v>
      </c>
      <c r="ED123" s="539">
        <f t="shared" si="51"/>
        <v>0</v>
      </c>
      <c r="EE123" s="539">
        <f t="shared" si="51"/>
        <v>0</v>
      </c>
      <c r="EF123" s="539">
        <f t="shared" si="51"/>
        <v>0</v>
      </c>
      <c r="EG123" s="539">
        <f t="shared" si="51"/>
        <v>0</v>
      </c>
    </row>
    <row r="124" spans="5:137" ht="12.75">
      <c r="E124" s="538" t="str">
        <f>E$95</f>
        <v>First post operating period flag</v>
      </c>
      <c r="G124" s="539" t="str">
        <f>G$95</f>
        <v>flag</v>
      </c>
      <c r="H124" s="539">
        <f>H$95</f>
        <v>1</v>
      </c>
      <c r="J124" s="539">
        <f t="shared" si="52" ref="J124:EG124">J$95</f>
        <v>0</v>
      </c>
      <c r="K124" s="539">
        <f t="shared" si="52"/>
        <v>0</v>
      </c>
      <c r="L124" s="539">
        <f t="shared" si="52"/>
        <v>0</v>
      </c>
      <c r="M124" s="539">
        <f t="shared" si="52"/>
        <v>0</v>
      </c>
      <c r="N124" s="539">
        <f t="shared" si="52"/>
        <v>0</v>
      </c>
      <c r="O124" s="539">
        <f t="shared" si="52"/>
        <v>0</v>
      </c>
      <c r="P124" s="539">
        <f t="shared" si="52"/>
        <v>0</v>
      </c>
      <c r="Q124" s="539">
        <f t="shared" si="52"/>
        <v>0</v>
      </c>
      <c r="R124" s="539">
        <f t="shared" si="52"/>
        <v>0</v>
      </c>
      <c r="S124" s="539">
        <f t="shared" si="52"/>
        <v>0</v>
      </c>
      <c r="T124" s="539">
        <f t="shared" si="52"/>
        <v>0</v>
      </c>
      <c r="U124" s="539">
        <f t="shared" si="52"/>
        <v>0</v>
      </c>
      <c r="V124" s="539">
        <f t="shared" si="52"/>
        <v>0</v>
      </c>
      <c r="W124" s="539">
        <f t="shared" si="52"/>
        <v>0</v>
      </c>
      <c r="X124" s="539">
        <f t="shared" si="52"/>
        <v>0</v>
      </c>
      <c r="Y124" s="539">
        <f t="shared" si="52"/>
        <v>0</v>
      </c>
      <c r="Z124" s="539">
        <f t="shared" si="52"/>
        <v>0</v>
      </c>
      <c r="AA124" s="539">
        <f t="shared" si="52"/>
        <v>0</v>
      </c>
      <c r="AB124" s="539">
        <f t="shared" si="52"/>
        <v>0</v>
      </c>
      <c r="AC124" s="539">
        <f t="shared" si="52"/>
        <v>0</v>
      </c>
      <c r="AD124" s="539">
        <f t="shared" si="52"/>
        <v>0</v>
      </c>
      <c r="AE124" s="539">
        <f t="shared" si="52"/>
        <v>0</v>
      </c>
      <c r="AF124" s="539">
        <f t="shared" si="52"/>
        <v>0</v>
      </c>
      <c r="AG124" s="539">
        <f t="shared" si="52"/>
        <v>0</v>
      </c>
      <c r="AH124" s="539">
        <f t="shared" si="52"/>
        <v>0</v>
      </c>
      <c r="AI124" s="539">
        <f t="shared" si="52"/>
        <v>0</v>
      </c>
      <c r="AJ124" s="539">
        <f t="shared" si="52"/>
        <v>0</v>
      </c>
      <c r="AK124" s="539">
        <f t="shared" si="52"/>
        <v>0</v>
      </c>
      <c r="AL124" s="539">
        <f t="shared" si="52"/>
        <v>0</v>
      </c>
      <c r="AM124" s="539">
        <f t="shared" si="52"/>
        <v>0</v>
      </c>
      <c r="AN124" s="539">
        <f t="shared" si="52"/>
        <v>0</v>
      </c>
      <c r="AO124" s="539">
        <f t="shared" si="52"/>
        <v>0</v>
      </c>
      <c r="AP124" s="539">
        <f t="shared" si="52"/>
        <v>0</v>
      </c>
      <c r="AQ124" s="539">
        <f t="shared" si="52"/>
        <v>0</v>
      </c>
      <c r="AR124" s="539">
        <f t="shared" si="52"/>
        <v>0</v>
      </c>
      <c r="AS124" s="539">
        <f t="shared" si="52"/>
        <v>0</v>
      </c>
      <c r="AT124" s="539">
        <f t="shared" si="52"/>
        <v>0</v>
      </c>
      <c r="AU124" s="539">
        <f t="shared" si="52"/>
        <v>0</v>
      </c>
      <c r="AV124" s="539">
        <f t="shared" si="52"/>
        <v>0</v>
      </c>
      <c r="AW124" s="539">
        <f t="shared" si="52"/>
        <v>0</v>
      </c>
      <c r="AX124" s="539">
        <f t="shared" si="52"/>
        <v>0</v>
      </c>
      <c r="AY124" s="539">
        <f t="shared" si="52"/>
        <v>0</v>
      </c>
      <c r="AZ124" s="539">
        <f t="shared" si="52"/>
        <v>0</v>
      </c>
      <c r="BA124" s="539">
        <f t="shared" si="52"/>
        <v>0</v>
      </c>
      <c r="BB124" s="539">
        <f t="shared" si="52"/>
        <v>0</v>
      </c>
      <c r="BC124" s="539">
        <f t="shared" si="52"/>
        <v>0</v>
      </c>
      <c r="BD124" s="539">
        <f t="shared" si="52"/>
        <v>0</v>
      </c>
      <c r="BE124" s="539">
        <f t="shared" si="52"/>
        <v>0</v>
      </c>
      <c r="BF124" s="539">
        <f t="shared" si="52"/>
        <v>0</v>
      </c>
      <c r="BG124" s="539">
        <f t="shared" si="52"/>
        <v>0</v>
      </c>
      <c r="BH124" s="539">
        <f t="shared" si="52"/>
        <v>0</v>
      </c>
      <c r="BI124" s="539">
        <f t="shared" si="52"/>
        <v>0</v>
      </c>
      <c r="BJ124" s="539">
        <f t="shared" si="52"/>
        <v>0</v>
      </c>
      <c r="BK124" s="539">
        <f t="shared" si="52"/>
        <v>0</v>
      </c>
      <c r="BL124" s="539">
        <f t="shared" si="52"/>
        <v>0</v>
      </c>
      <c r="BM124" s="539">
        <f t="shared" si="52"/>
        <v>0</v>
      </c>
      <c r="BN124" s="539">
        <f t="shared" si="52"/>
        <v>0</v>
      </c>
      <c r="BO124" s="539">
        <f t="shared" si="52"/>
        <v>0</v>
      </c>
      <c r="BP124" s="539">
        <f t="shared" si="52"/>
        <v>0</v>
      </c>
      <c r="BQ124" s="539">
        <f t="shared" si="52"/>
        <v>0</v>
      </c>
      <c r="BR124" s="539">
        <f t="shared" si="52"/>
        <v>0</v>
      </c>
      <c r="BS124" s="539">
        <f t="shared" si="52"/>
        <v>0</v>
      </c>
      <c r="BT124" s="539">
        <f t="shared" si="52"/>
        <v>0</v>
      </c>
      <c r="BU124" s="539">
        <f t="shared" si="52"/>
        <v>0</v>
      </c>
      <c r="BV124" s="539">
        <f t="shared" si="52"/>
        <v>0</v>
      </c>
      <c r="BW124" s="539">
        <f t="shared" si="52"/>
        <v>0</v>
      </c>
      <c r="BX124" s="539">
        <f t="shared" si="52"/>
        <v>0</v>
      </c>
      <c r="BY124" s="539">
        <f t="shared" si="52"/>
        <v>0</v>
      </c>
      <c r="BZ124" s="539">
        <f t="shared" si="52"/>
        <v>0</v>
      </c>
      <c r="CA124" s="539">
        <f t="shared" si="52"/>
        <v>0</v>
      </c>
      <c r="CB124" s="539">
        <f t="shared" si="52"/>
        <v>0</v>
      </c>
      <c r="CC124" s="539">
        <f t="shared" si="52"/>
        <v>0</v>
      </c>
      <c r="CD124" s="539">
        <f t="shared" si="52"/>
        <v>0</v>
      </c>
      <c r="CE124" s="539">
        <f t="shared" si="52"/>
        <v>0</v>
      </c>
      <c r="CF124" s="539">
        <f t="shared" si="52"/>
        <v>0</v>
      </c>
      <c r="CG124" s="539">
        <f t="shared" si="52"/>
        <v>0</v>
      </c>
      <c r="CH124" s="539">
        <f t="shared" si="52"/>
        <v>0</v>
      </c>
      <c r="CI124" s="539">
        <f t="shared" si="52"/>
        <v>0</v>
      </c>
      <c r="CJ124" s="539">
        <f t="shared" si="52"/>
        <v>0</v>
      </c>
      <c r="CK124" s="539">
        <f t="shared" si="52"/>
        <v>0</v>
      </c>
      <c r="CL124" s="539">
        <f t="shared" si="52"/>
        <v>0</v>
      </c>
      <c r="CM124" s="539">
        <f t="shared" si="52"/>
        <v>0</v>
      </c>
      <c r="CN124" s="539">
        <f t="shared" si="52"/>
        <v>0</v>
      </c>
      <c r="CO124" s="539">
        <f t="shared" si="52"/>
        <v>0</v>
      </c>
      <c r="CP124" s="539">
        <f t="shared" si="52"/>
        <v>0</v>
      </c>
      <c r="CQ124" s="539">
        <f t="shared" si="52"/>
        <v>0</v>
      </c>
      <c r="CR124" s="539">
        <f t="shared" si="52"/>
        <v>0</v>
      </c>
      <c r="CS124" s="539">
        <f t="shared" si="52"/>
        <v>0</v>
      </c>
      <c r="CT124" s="539">
        <f t="shared" si="52"/>
        <v>0</v>
      </c>
      <c r="CU124" s="539">
        <f t="shared" si="52"/>
        <v>0</v>
      </c>
      <c r="CV124" s="539">
        <f t="shared" si="52"/>
        <v>0</v>
      </c>
      <c r="CW124" s="539">
        <f t="shared" si="52"/>
        <v>0</v>
      </c>
      <c r="CX124" s="539">
        <f t="shared" si="52"/>
        <v>0</v>
      </c>
      <c r="CY124" s="539">
        <f t="shared" si="52"/>
        <v>0</v>
      </c>
      <c r="CZ124" s="539">
        <f t="shared" si="52"/>
        <v>0</v>
      </c>
      <c r="DA124" s="539">
        <f t="shared" si="52"/>
        <v>0</v>
      </c>
      <c r="DB124" s="539">
        <f t="shared" si="52"/>
        <v>0</v>
      </c>
      <c r="DC124" s="539">
        <f t="shared" si="52"/>
        <v>0</v>
      </c>
      <c r="DD124" s="539">
        <f t="shared" si="52"/>
        <v>0</v>
      </c>
      <c r="DE124" s="539">
        <f t="shared" si="52"/>
        <v>0</v>
      </c>
      <c r="DF124" s="539">
        <f t="shared" si="52"/>
        <v>0</v>
      </c>
      <c r="DG124" s="539">
        <f t="shared" si="52"/>
        <v>0</v>
      </c>
      <c r="DH124" s="539">
        <f t="shared" si="52"/>
        <v>0</v>
      </c>
      <c r="DI124" s="539">
        <f t="shared" si="52"/>
        <v>0</v>
      </c>
      <c r="DJ124" s="539">
        <f t="shared" si="52"/>
        <v>0</v>
      </c>
      <c r="DK124" s="539">
        <f t="shared" si="52"/>
        <v>0</v>
      </c>
      <c r="DL124" s="539">
        <f t="shared" si="52"/>
        <v>0</v>
      </c>
      <c r="DM124" s="539">
        <f t="shared" si="52"/>
        <v>0</v>
      </c>
      <c r="DN124" s="539">
        <f t="shared" si="52"/>
        <v>0</v>
      </c>
      <c r="DO124" s="539">
        <f t="shared" si="52"/>
        <v>0</v>
      </c>
      <c r="DP124" s="539">
        <f t="shared" si="52"/>
        <v>0</v>
      </c>
      <c r="DQ124" s="539">
        <f t="shared" si="52"/>
        <v>0</v>
      </c>
      <c r="DR124" s="539">
        <f t="shared" si="52"/>
        <v>0</v>
      </c>
      <c r="DS124" s="539">
        <f t="shared" si="52"/>
        <v>0</v>
      </c>
      <c r="DT124" s="539">
        <f t="shared" si="52"/>
        <v>0</v>
      </c>
      <c r="DU124" s="539">
        <f t="shared" si="52"/>
        <v>0</v>
      </c>
      <c r="DV124" s="539">
        <f t="shared" si="52"/>
        <v>0</v>
      </c>
      <c r="DW124" s="539">
        <f t="shared" si="52"/>
        <v>0</v>
      </c>
      <c r="DX124" s="539">
        <f t="shared" si="52"/>
        <v>0</v>
      </c>
      <c r="DY124" s="539">
        <f t="shared" si="52"/>
        <v>0</v>
      </c>
      <c r="DZ124" s="539">
        <f t="shared" si="52"/>
        <v>0</v>
      </c>
      <c r="EA124" s="539">
        <f t="shared" si="52"/>
        <v>0</v>
      </c>
      <c r="EB124" s="539">
        <f t="shared" si="52"/>
        <v>0</v>
      </c>
      <c r="EC124" s="539">
        <f t="shared" si="52"/>
        <v>0</v>
      </c>
      <c r="ED124" s="539">
        <f t="shared" si="52"/>
        <v>1</v>
      </c>
      <c r="EE124" s="539">
        <f t="shared" si="52"/>
        <v>0</v>
      </c>
      <c r="EF124" s="539">
        <f t="shared" si="52"/>
        <v>0</v>
      </c>
      <c r="EG124" s="539">
        <f t="shared" si="52"/>
        <v>0</v>
      </c>
    </row>
    <row r="125" spans="5:137" ht="12.75">
      <c r="E125" s="538" t="s">
        <v>183</v>
      </c>
      <c r="G125" s="539" t="s">
        <v>154</v>
      </c>
      <c r="H125" s="539">
        <f>SUM(J125:EG125)</f>
        <v>487</v>
      </c>
      <c r="J125" s="539">
        <f t="shared" si="53" ref="J125:EG125">I125+J120+J121+J122+J123+J124</f>
        <v>1</v>
      </c>
      <c r="K125" s="539">
        <f t="shared" si="53"/>
        <v>1</v>
      </c>
      <c r="L125" s="539">
        <f t="shared" si="53"/>
        <v>2</v>
      </c>
      <c r="M125" s="539">
        <f t="shared" si="53"/>
        <v>3</v>
      </c>
      <c r="N125" s="539">
        <f t="shared" si="53"/>
        <v>3</v>
      </c>
      <c r="O125" s="539">
        <f t="shared" si="53"/>
        <v>3</v>
      </c>
      <c r="P125" s="539">
        <f t="shared" si="53"/>
        <v>3</v>
      </c>
      <c r="Q125" s="539">
        <f t="shared" si="53"/>
        <v>3</v>
      </c>
      <c r="R125" s="539">
        <f t="shared" si="53"/>
        <v>3</v>
      </c>
      <c r="S125" s="539">
        <f t="shared" si="53"/>
        <v>3</v>
      </c>
      <c r="T125" s="539">
        <f t="shared" si="53"/>
        <v>3</v>
      </c>
      <c r="U125" s="539">
        <f t="shared" si="53"/>
        <v>3</v>
      </c>
      <c r="V125" s="539">
        <f t="shared" si="53"/>
        <v>3</v>
      </c>
      <c r="W125" s="539">
        <f t="shared" si="53"/>
        <v>3</v>
      </c>
      <c r="X125" s="539">
        <f t="shared" si="53"/>
        <v>3</v>
      </c>
      <c r="Y125" s="539">
        <f t="shared" si="53"/>
        <v>3</v>
      </c>
      <c r="Z125" s="539">
        <f t="shared" si="53"/>
        <v>3</v>
      </c>
      <c r="AA125" s="539">
        <f t="shared" si="53"/>
        <v>3</v>
      </c>
      <c r="AB125" s="539">
        <f t="shared" si="53"/>
        <v>3</v>
      </c>
      <c r="AC125" s="539">
        <f t="shared" si="53"/>
        <v>3</v>
      </c>
      <c r="AD125" s="539">
        <f t="shared" si="53"/>
        <v>3</v>
      </c>
      <c r="AE125" s="539">
        <f t="shared" si="53"/>
        <v>3</v>
      </c>
      <c r="AF125" s="539">
        <f t="shared" si="53"/>
        <v>3</v>
      </c>
      <c r="AG125" s="539">
        <f t="shared" si="53"/>
        <v>3</v>
      </c>
      <c r="AH125" s="539">
        <f t="shared" si="53"/>
        <v>4</v>
      </c>
      <c r="AI125" s="539">
        <f t="shared" si="53"/>
        <v>4</v>
      </c>
      <c r="AJ125" s="539">
        <f t="shared" si="53"/>
        <v>4</v>
      </c>
      <c r="AK125" s="539">
        <f t="shared" si="53"/>
        <v>4</v>
      </c>
      <c r="AL125" s="539">
        <f t="shared" si="53"/>
        <v>4</v>
      </c>
      <c r="AM125" s="539">
        <f t="shared" si="53"/>
        <v>4</v>
      </c>
      <c r="AN125" s="539">
        <f t="shared" si="53"/>
        <v>4</v>
      </c>
      <c r="AO125" s="539">
        <f t="shared" si="53"/>
        <v>4</v>
      </c>
      <c r="AP125" s="539">
        <f t="shared" si="53"/>
        <v>4</v>
      </c>
      <c r="AQ125" s="539">
        <f t="shared" si="53"/>
        <v>4</v>
      </c>
      <c r="AR125" s="539">
        <f t="shared" si="53"/>
        <v>4</v>
      </c>
      <c r="AS125" s="539">
        <f t="shared" si="53"/>
        <v>4</v>
      </c>
      <c r="AT125" s="539">
        <f t="shared" si="53"/>
        <v>4</v>
      </c>
      <c r="AU125" s="539">
        <f t="shared" si="53"/>
        <v>4</v>
      </c>
      <c r="AV125" s="539">
        <f t="shared" si="53"/>
        <v>4</v>
      </c>
      <c r="AW125" s="539">
        <f t="shared" si="53"/>
        <v>4</v>
      </c>
      <c r="AX125" s="539">
        <f t="shared" si="53"/>
        <v>4</v>
      </c>
      <c r="AY125" s="539">
        <f t="shared" si="53"/>
        <v>4</v>
      </c>
      <c r="AZ125" s="539">
        <f t="shared" si="53"/>
        <v>4</v>
      </c>
      <c r="BA125" s="539">
        <f t="shared" si="53"/>
        <v>4</v>
      </c>
      <c r="BB125" s="539">
        <f t="shared" si="53"/>
        <v>4</v>
      </c>
      <c r="BC125" s="539">
        <f t="shared" si="53"/>
        <v>4</v>
      </c>
      <c r="BD125" s="539">
        <f t="shared" si="53"/>
        <v>4</v>
      </c>
      <c r="BE125" s="539">
        <f t="shared" si="53"/>
        <v>4</v>
      </c>
      <c r="BF125" s="539">
        <f t="shared" si="53"/>
        <v>4</v>
      </c>
      <c r="BG125" s="539">
        <f t="shared" si="53"/>
        <v>4</v>
      </c>
      <c r="BH125" s="539">
        <f t="shared" si="53"/>
        <v>4</v>
      </c>
      <c r="BI125" s="539">
        <f t="shared" si="53"/>
        <v>4</v>
      </c>
      <c r="BJ125" s="539">
        <f t="shared" si="53"/>
        <v>4</v>
      </c>
      <c r="BK125" s="539">
        <f t="shared" si="53"/>
        <v>4</v>
      </c>
      <c r="BL125" s="539">
        <f t="shared" si="53"/>
        <v>4</v>
      </c>
      <c r="BM125" s="539">
        <f t="shared" si="53"/>
        <v>4</v>
      </c>
      <c r="BN125" s="539">
        <f t="shared" si="53"/>
        <v>4</v>
      </c>
      <c r="BO125" s="539">
        <f t="shared" si="53"/>
        <v>4</v>
      </c>
      <c r="BP125" s="539">
        <f t="shared" si="53"/>
        <v>4</v>
      </c>
      <c r="BQ125" s="539">
        <f t="shared" si="53"/>
        <v>4</v>
      </c>
      <c r="BR125" s="539">
        <f t="shared" si="53"/>
        <v>4</v>
      </c>
      <c r="BS125" s="539">
        <f t="shared" si="53"/>
        <v>4</v>
      </c>
      <c r="BT125" s="539">
        <f t="shared" si="53"/>
        <v>4</v>
      </c>
      <c r="BU125" s="539">
        <f t="shared" si="53"/>
        <v>4</v>
      </c>
      <c r="BV125" s="539">
        <f t="shared" si="53"/>
        <v>4</v>
      </c>
      <c r="BW125" s="539">
        <f t="shared" si="53"/>
        <v>4</v>
      </c>
      <c r="BX125" s="539">
        <f t="shared" si="53"/>
        <v>4</v>
      </c>
      <c r="BY125" s="539">
        <f t="shared" si="53"/>
        <v>4</v>
      </c>
      <c r="BZ125" s="539">
        <f t="shared" si="53"/>
        <v>4</v>
      </c>
      <c r="CA125" s="539">
        <f t="shared" si="53"/>
        <v>4</v>
      </c>
      <c r="CB125" s="539">
        <f t="shared" si="53"/>
        <v>4</v>
      </c>
      <c r="CC125" s="539">
        <f t="shared" si="53"/>
        <v>4</v>
      </c>
      <c r="CD125" s="539">
        <f t="shared" si="53"/>
        <v>4</v>
      </c>
      <c r="CE125" s="539">
        <f t="shared" si="53"/>
        <v>4</v>
      </c>
      <c r="CF125" s="539">
        <f t="shared" si="53"/>
        <v>4</v>
      </c>
      <c r="CG125" s="539">
        <f t="shared" si="53"/>
        <v>4</v>
      </c>
      <c r="CH125" s="539">
        <f t="shared" si="53"/>
        <v>4</v>
      </c>
      <c r="CI125" s="539">
        <f t="shared" si="53"/>
        <v>4</v>
      </c>
      <c r="CJ125" s="539">
        <f t="shared" si="53"/>
        <v>4</v>
      </c>
      <c r="CK125" s="539">
        <f t="shared" si="53"/>
        <v>4</v>
      </c>
      <c r="CL125" s="539">
        <f t="shared" si="53"/>
        <v>4</v>
      </c>
      <c r="CM125" s="539">
        <f t="shared" si="53"/>
        <v>4</v>
      </c>
      <c r="CN125" s="539">
        <f t="shared" si="53"/>
        <v>4</v>
      </c>
      <c r="CO125" s="539">
        <f t="shared" si="53"/>
        <v>4</v>
      </c>
      <c r="CP125" s="539">
        <f t="shared" si="53"/>
        <v>4</v>
      </c>
      <c r="CQ125" s="539">
        <f t="shared" si="53"/>
        <v>4</v>
      </c>
      <c r="CR125" s="539">
        <f t="shared" si="53"/>
        <v>4</v>
      </c>
      <c r="CS125" s="539">
        <f t="shared" si="53"/>
        <v>4</v>
      </c>
      <c r="CT125" s="539">
        <f t="shared" si="53"/>
        <v>4</v>
      </c>
      <c r="CU125" s="539">
        <f t="shared" si="53"/>
        <v>4</v>
      </c>
      <c r="CV125" s="539">
        <f t="shared" si="53"/>
        <v>4</v>
      </c>
      <c r="CW125" s="539">
        <f t="shared" si="53"/>
        <v>4</v>
      </c>
      <c r="CX125" s="539">
        <f t="shared" si="53"/>
        <v>4</v>
      </c>
      <c r="CY125" s="539">
        <f t="shared" si="53"/>
        <v>4</v>
      </c>
      <c r="CZ125" s="539">
        <f t="shared" si="53"/>
        <v>4</v>
      </c>
      <c r="DA125" s="539">
        <f t="shared" si="53"/>
        <v>4</v>
      </c>
      <c r="DB125" s="539">
        <f t="shared" si="53"/>
        <v>4</v>
      </c>
      <c r="DC125" s="539">
        <f t="shared" si="53"/>
        <v>4</v>
      </c>
      <c r="DD125" s="539">
        <f t="shared" si="53"/>
        <v>4</v>
      </c>
      <c r="DE125" s="539">
        <f t="shared" si="53"/>
        <v>4</v>
      </c>
      <c r="DF125" s="539">
        <f t="shared" si="53"/>
        <v>4</v>
      </c>
      <c r="DG125" s="539">
        <f t="shared" si="53"/>
        <v>4</v>
      </c>
      <c r="DH125" s="539">
        <f t="shared" si="53"/>
        <v>4</v>
      </c>
      <c r="DI125" s="539">
        <f t="shared" si="53"/>
        <v>4</v>
      </c>
      <c r="DJ125" s="539">
        <f t="shared" si="53"/>
        <v>4</v>
      </c>
      <c r="DK125" s="539">
        <f t="shared" si="53"/>
        <v>4</v>
      </c>
      <c r="DL125" s="539">
        <f t="shared" si="53"/>
        <v>4</v>
      </c>
      <c r="DM125" s="539">
        <f t="shared" si="53"/>
        <v>4</v>
      </c>
      <c r="DN125" s="539">
        <f t="shared" si="53"/>
        <v>4</v>
      </c>
      <c r="DO125" s="539">
        <f t="shared" si="53"/>
        <v>4</v>
      </c>
      <c r="DP125" s="539">
        <f t="shared" si="53"/>
        <v>4</v>
      </c>
      <c r="DQ125" s="539">
        <f t="shared" si="53"/>
        <v>4</v>
      </c>
      <c r="DR125" s="539">
        <f t="shared" si="53"/>
        <v>4</v>
      </c>
      <c r="DS125" s="539">
        <f t="shared" si="53"/>
        <v>4</v>
      </c>
      <c r="DT125" s="539">
        <f t="shared" si="53"/>
        <v>4</v>
      </c>
      <c r="DU125" s="539">
        <f t="shared" si="53"/>
        <v>4</v>
      </c>
      <c r="DV125" s="539">
        <f t="shared" si="53"/>
        <v>4</v>
      </c>
      <c r="DW125" s="539">
        <f t="shared" si="53"/>
        <v>4</v>
      </c>
      <c r="DX125" s="539">
        <f t="shared" si="53"/>
        <v>4</v>
      </c>
      <c r="DY125" s="539">
        <f t="shared" si="53"/>
        <v>4</v>
      </c>
      <c r="DZ125" s="539">
        <f t="shared" si="53"/>
        <v>4</v>
      </c>
      <c r="EA125" s="539">
        <f t="shared" si="53"/>
        <v>4</v>
      </c>
      <c r="EB125" s="539">
        <f t="shared" si="53"/>
        <v>4</v>
      </c>
      <c r="EC125" s="539">
        <f t="shared" si="53"/>
        <v>4</v>
      </c>
      <c r="ED125" s="539">
        <f t="shared" si="53"/>
        <v>5</v>
      </c>
      <c r="EE125" s="539">
        <f t="shared" si="53"/>
        <v>5</v>
      </c>
      <c r="EF125" s="539">
        <f t="shared" si="53"/>
        <v>5</v>
      </c>
      <c r="EG125" s="539">
        <f t="shared" si="53"/>
        <v>5</v>
      </c>
    </row>
    <row r="127" spans="5:7" ht="12.75">
      <c r="E127" s="535" t="str">
        <f>InpC!E$154</f>
        <v>Pre-forecast period</v>
      </c>
      <c r="F127" s="537" t="str">
        <f>InpC!F$154</f>
        <v>Pre-fcst</v>
      </c>
      <c r="G127" s="537" t="str">
        <f>InpC!G$154</f>
        <v>label</v>
      </c>
    </row>
    <row r="128" spans="5:7" ht="12.75">
      <c r="E128" s="535" t="str">
        <f>InpC!E$155</f>
        <v>Financial Close</v>
      </c>
      <c r="F128" s="537" t="str">
        <f>InpC!F$155</f>
        <v>Fin Close</v>
      </c>
      <c r="G128" s="537" t="str">
        <f>InpC!G$155</f>
        <v>label</v>
      </c>
    </row>
    <row r="129" spans="5:7" ht="12.75">
      <c r="E129" s="535" t="str">
        <f>InpC!E$156</f>
        <v>Construction</v>
      </c>
      <c r="F129" s="537" t="str">
        <f>InpC!F$156</f>
        <v>Construction</v>
      </c>
      <c r="G129" s="537" t="str">
        <f>InpC!G$156</f>
        <v>label</v>
      </c>
    </row>
    <row r="130" spans="5:7" ht="12.75">
      <c r="E130" s="535" t="str">
        <f>InpC!E$157</f>
        <v>Operations</v>
      </c>
      <c r="F130" s="537" t="str">
        <f>InpC!F$157</f>
        <v>Operations</v>
      </c>
      <c r="G130" s="537" t="str">
        <f>InpC!G$157</f>
        <v>label</v>
      </c>
    </row>
    <row r="131" spans="5:7" ht="12.75">
      <c r="E131" s="535" t="str">
        <f>InpC!E$158</f>
        <v>Post ops</v>
      </c>
      <c r="F131" s="537" t="str">
        <f>InpC!F$158</f>
        <v>Post ops</v>
      </c>
      <c r="G131" s="537" t="str">
        <f>InpC!G$158</f>
        <v>label</v>
      </c>
    </row>
    <row r="132" spans="5:137" ht="12.75">
      <c r="E132" s="538" t="str">
        <f>E$125</f>
        <v>Timeline label counter</v>
      </c>
      <c r="G132" s="539" t="str">
        <f>G$125</f>
        <v>counter</v>
      </c>
      <c r="H132" s="539">
        <f>H$125</f>
        <v>487</v>
      </c>
      <c r="J132" s="539">
        <f t="shared" si="54" ref="J132:EG132">J$125</f>
        <v>1</v>
      </c>
      <c r="K132" s="539">
        <f t="shared" si="54"/>
        <v>1</v>
      </c>
      <c r="L132" s="539">
        <f t="shared" si="54"/>
        <v>2</v>
      </c>
      <c r="M132" s="539">
        <f t="shared" si="54"/>
        <v>3</v>
      </c>
      <c r="N132" s="539">
        <f t="shared" si="54"/>
        <v>3</v>
      </c>
      <c r="O132" s="539">
        <f t="shared" si="54"/>
        <v>3</v>
      </c>
      <c r="P132" s="539">
        <f t="shared" si="54"/>
        <v>3</v>
      </c>
      <c r="Q132" s="539">
        <f t="shared" si="54"/>
        <v>3</v>
      </c>
      <c r="R132" s="539">
        <f t="shared" si="54"/>
        <v>3</v>
      </c>
      <c r="S132" s="539">
        <f t="shared" si="54"/>
        <v>3</v>
      </c>
      <c r="T132" s="539">
        <f t="shared" si="54"/>
        <v>3</v>
      </c>
      <c r="U132" s="539">
        <f t="shared" si="54"/>
        <v>3</v>
      </c>
      <c r="V132" s="539">
        <f t="shared" si="54"/>
        <v>3</v>
      </c>
      <c r="W132" s="539">
        <f t="shared" si="54"/>
        <v>3</v>
      </c>
      <c r="X132" s="539">
        <f t="shared" si="54"/>
        <v>3</v>
      </c>
      <c r="Y132" s="539">
        <f t="shared" si="54"/>
        <v>3</v>
      </c>
      <c r="Z132" s="539">
        <f t="shared" si="54"/>
        <v>3</v>
      </c>
      <c r="AA132" s="539">
        <f t="shared" si="54"/>
        <v>3</v>
      </c>
      <c r="AB132" s="539">
        <f t="shared" si="54"/>
        <v>3</v>
      </c>
      <c r="AC132" s="539">
        <f t="shared" si="54"/>
        <v>3</v>
      </c>
      <c r="AD132" s="539">
        <f t="shared" si="54"/>
        <v>3</v>
      </c>
      <c r="AE132" s="539">
        <f t="shared" si="54"/>
        <v>3</v>
      </c>
      <c r="AF132" s="539">
        <f t="shared" si="54"/>
        <v>3</v>
      </c>
      <c r="AG132" s="539">
        <f t="shared" si="54"/>
        <v>3</v>
      </c>
      <c r="AH132" s="539">
        <f t="shared" si="54"/>
        <v>4</v>
      </c>
      <c r="AI132" s="539">
        <f t="shared" si="54"/>
        <v>4</v>
      </c>
      <c r="AJ132" s="539">
        <f t="shared" si="54"/>
        <v>4</v>
      </c>
      <c r="AK132" s="539">
        <f t="shared" si="54"/>
        <v>4</v>
      </c>
      <c r="AL132" s="539">
        <f t="shared" si="54"/>
        <v>4</v>
      </c>
      <c r="AM132" s="539">
        <f t="shared" si="54"/>
        <v>4</v>
      </c>
      <c r="AN132" s="539">
        <f t="shared" si="54"/>
        <v>4</v>
      </c>
      <c r="AO132" s="539">
        <f t="shared" si="54"/>
        <v>4</v>
      </c>
      <c r="AP132" s="539">
        <f t="shared" si="54"/>
        <v>4</v>
      </c>
      <c r="AQ132" s="539">
        <f t="shared" si="54"/>
        <v>4</v>
      </c>
      <c r="AR132" s="539">
        <f t="shared" si="54"/>
        <v>4</v>
      </c>
      <c r="AS132" s="539">
        <f t="shared" si="54"/>
        <v>4</v>
      </c>
      <c r="AT132" s="539">
        <f t="shared" si="54"/>
        <v>4</v>
      </c>
      <c r="AU132" s="539">
        <f t="shared" si="54"/>
        <v>4</v>
      </c>
      <c r="AV132" s="539">
        <f t="shared" si="54"/>
        <v>4</v>
      </c>
      <c r="AW132" s="539">
        <f t="shared" si="54"/>
        <v>4</v>
      </c>
      <c r="AX132" s="539">
        <f t="shared" si="54"/>
        <v>4</v>
      </c>
      <c r="AY132" s="539">
        <f t="shared" si="54"/>
        <v>4</v>
      </c>
      <c r="AZ132" s="539">
        <f t="shared" si="54"/>
        <v>4</v>
      </c>
      <c r="BA132" s="539">
        <f t="shared" si="54"/>
        <v>4</v>
      </c>
      <c r="BB132" s="539">
        <f t="shared" si="54"/>
        <v>4</v>
      </c>
      <c r="BC132" s="539">
        <f t="shared" si="54"/>
        <v>4</v>
      </c>
      <c r="BD132" s="539">
        <f t="shared" si="54"/>
        <v>4</v>
      </c>
      <c r="BE132" s="539">
        <f t="shared" si="54"/>
        <v>4</v>
      </c>
      <c r="BF132" s="539">
        <f t="shared" si="54"/>
        <v>4</v>
      </c>
      <c r="BG132" s="539">
        <f t="shared" si="54"/>
        <v>4</v>
      </c>
      <c r="BH132" s="539">
        <f t="shared" si="54"/>
        <v>4</v>
      </c>
      <c r="BI132" s="539">
        <f t="shared" si="54"/>
        <v>4</v>
      </c>
      <c r="BJ132" s="539">
        <f t="shared" si="54"/>
        <v>4</v>
      </c>
      <c r="BK132" s="539">
        <f t="shared" si="54"/>
        <v>4</v>
      </c>
      <c r="BL132" s="539">
        <f t="shared" si="54"/>
        <v>4</v>
      </c>
      <c r="BM132" s="539">
        <f t="shared" si="54"/>
        <v>4</v>
      </c>
      <c r="BN132" s="539">
        <f t="shared" si="54"/>
        <v>4</v>
      </c>
      <c r="BO132" s="539">
        <f t="shared" si="54"/>
        <v>4</v>
      </c>
      <c r="BP132" s="539">
        <f t="shared" si="54"/>
        <v>4</v>
      </c>
      <c r="BQ132" s="539">
        <f t="shared" si="54"/>
        <v>4</v>
      </c>
      <c r="BR132" s="539">
        <f t="shared" si="54"/>
        <v>4</v>
      </c>
      <c r="BS132" s="539">
        <f t="shared" si="54"/>
        <v>4</v>
      </c>
      <c r="BT132" s="539">
        <f t="shared" si="54"/>
        <v>4</v>
      </c>
      <c r="BU132" s="539">
        <f t="shared" si="54"/>
        <v>4</v>
      </c>
      <c r="BV132" s="539">
        <f t="shared" si="54"/>
        <v>4</v>
      </c>
      <c r="BW132" s="539">
        <f t="shared" si="54"/>
        <v>4</v>
      </c>
      <c r="BX132" s="539">
        <f t="shared" si="54"/>
        <v>4</v>
      </c>
      <c r="BY132" s="539">
        <f t="shared" si="54"/>
        <v>4</v>
      </c>
      <c r="BZ132" s="539">
        <f t="shared" si="54"/>
        <v>4</v>
      </c>
      <c r="CA132" s="539">
        <f t="shared" si="54"/>
        <v>4</v>
      </c>
      <c r="CB132" s="539">
        <f t="shared" si="54"/>
        <v>4</v>
      </c>
      <c r="CC132" s="539">
        <f t="shared" si="54"/>
        <v>4</v>
      </c>
      <c r="CD132" s="539">
        <f t="shared" si="54"/>
        <v>4</v>
      </c>
      <c r="CE132" s="539">
        <f t="shared" si="54"/>
        <v>4</v>
      </c>
      <c r="CF132" s="539">
        <f t="shared" si="54"/>
        <v>4</v>
      </c>
      <c r="CG132" s="539">
        <f t="shared" si="54"/>
        <v>4</v>
      </c>
      <c r="CH132" s="539">
        <f t="shared" si="54"/>
        <v>4</v>
      </c>
      <c r="CI132" s="539">
        <f t="shared" si="54"/>
        <v>4</v>
      </c>
      <c r="CJ132" s="539">
        <f t="shared" si="54"/>
        <v>4</v>
      </c>
      <c r="CK132" s="539">
        <f t="shared" si="54"/>
        <v>4</v>
      </c>
      <c r="CL132" s="539">
        <f t="shared" si="54"/>
        <v>4</v>
      </c>
      <c r="CM132" s="539">
        <f t="shared" si="54"/>
        <v>4</v>
      </c>
      <c r="CN132" s="539">
        <f t="shared" si="54"/>
        <v>4</v>
      </c>
      <c r="CO132" s="539">
        <f t="shared" si="54"/>
        <v>4</v>
      </c>
      <c r="CP132" s="539">
        <f t="shared" si="54"/>
        <v>4</v>
      </c>
      <c r="CQ132" s="539">
        <f t="shared" si="54"/>
        <v>4</v>
      </c>
      <c r="CR132" s="539">
        <f t="shared" si="54"/>
        <v>4</v>
      </c>
      <c r="CS132" s="539">
        <f t="shared" si="54"/>
        <v>4</v>
      </c>
      <c r="CT132" s="539">
        <f t="shared" si="54"/>
        <v>4</v>
      </c>
      <c r="CU132" s="539">
        <f t="shared" si="54"/>
        <v>4</v>
      </c>
      <c r="CV132" s="539">
        <f t="shared" si="54"/>
        <v>4</v>
      </c>
      <c r="CW132" s="539">
        <f t="shared" si="54"/>
        <v>4</v>
      </c>
      <c r="CX132" s="539">
        <f t="shared" si="54"/>
        <v>4</v>
      </c>
      <c r="CY132" s="539">
        <f t="shared" si="54"/>
        <v>4</v>
      </c>
      <c r="CZ132" s="539">
        <f t="shared" si="54"/>
        <v>4</v>
      </c>
      <c r="DA132" s="539">
        <f t="shared" si="54"/>
        <v>4</v>
      </c>
      <c r="DB132" s="539">
        <f t="shared" si="54"/>
        <v>4</v>
      </c>
      <c r="DC132" s="539">
        <f t="shared" si="54"/>
        <v>4</v>
      </c>
      <c r="DD132" s="539">
        <f t="shared" si="54"/>
        <v>4</v>
      </c>
      <c r="DE132" s="539">
        <f t="shared" si="54"/>
        <v>4</v>
      </c>
      <c r="DF132" s="539">
        <f t="shared" si="54"/>
        <v>4</v>
      </c>
      <c r="DG132" s="539">
        <f t="shared" si="54"/>
        <v>4</v>
      </c>
      <c r="DH132" s="539">
        <f t="shared" si="54"/>
        <v>4</v>
      </c>
      <c r="DI132" s="539">
        <f t="shared" si="54"/>
        <v>4</v>
      </c>
      <c r="DJ132" s="539">
        <f t="shared" si="54"/>
        <v>4</v>
      </c>
      <c r="DK132" s="539">
        <f t="shared" si="54"/>
        <v>4</v>
      </c>
      <c r="DL132" s="539">
        <f t="shared" si="54"/>
        <v>4</v>
      </c>
      <c r="DM132" s="539">
        <f t="shared" si="54"/>
        <v>4</v>
      </c>
      <c r="DN132" s="539">
        <f t="shared" si="54"/>
        <v>4</v>
      </c>
      <c r="DO132" s="539">
        <f t="shared" si="54"/>
        <v>4</v>
      </c>
      <c r="DP132" s="539">
        <f t="shared" si="54"/>
        <v>4</v>
      </c>
      <c r="DQ132" s="539">
        <f t="shared" si="54"/>
        <v>4</v>
      </c>
      <c r="DR132" s="539">
        <f t="shared" si="54"/>
        <v>4</v>
      </c>
      <c r="DS132" s="539">
        <f t="shared" si="54"/>
        <v>4</v>
      </c>
      <c r="DT132" s="539">
        <f t="shared" si="54"/>
        <v>4</v>
      </c>
      <c r="DU132" s="539">
        <f t="shared" si="54"/>
        <v>4</v>
      </c>
      <c r="DV132" s="539">
        <f t="shared" si="54"/>
        <v>4</v>
      </c>
      <c r="DW132" s="539">
        <f t="shared" si="54"/>
        <v>4</v>
      </c>
      <c r="DX132" s="539">
        <f t="shared" si="54"/>
        <v>4</v>
      </c>
      <c r="DY132" s="539">
        <f t="shared" si="54"/>
        <v>4</v>
      </c>
      <c r="DZ132" s="539">
        <f t="shared" si="54"/>
        <v>4</v>
      </c>
      <c r="EA132" s="539">
        <f t="shared" si="54"/>
        <v>4</v>
      </c>
      <c r="EB132" s="539">
        <f t="shared" si="54"/>
        <v>4</v>
      </c>
      <c r="EC132" s="539">
        <f t="shared" si="54"/>
        <v>4</v>
      </c>
      <c r="ED132" s="539">
        <f t="shared" si="54"/>
        <v>5</v>
      </c>
      <c r="EE132" s="539">
        <f t="shared" si="54"/>
        <v>5</v>
      </c>
      <c r="EF132" s="539">
        <f t="shared" si="54"/>
        <v>5</v>
      </c>
      <c r="EG132" s="539">
        <f t="shared" si="54"/>
        <v>5</v>
      </c>
    </row>
    <row r="133" spans="5:137" ht="12.75">
      <c r="E133" s="538" t="s">
        <v>130</v>
      </c>
      <c r="G133" s="539" t="s">
        <v>133</v>
      </c>
      <c r="H133" s="539">
        <f>SUM(J133:EG133)</f>
        <v>0</v>
      </c>
      <c r="J133" s="539" t="str">
        <f t="shared" si="55" ref="J133:EG133">CHOOSE(J132,$F127,$F128,$F129,$F130,$F131)</f>
        <v>Pre-fcst</v>
      </c>
      <c r="K133" s="539" t="str">
        <f t="shared" si="55"/>
        <v>Pre-fcst</v>
      </c>
      <c r="L133" s="539" t="str">
        <f t="shared" si="55"/>
        <v>Fin Close</v>
      </c>
      <c r="M133" s="539" t="str">
        <f t="shared" si="55"/>
        <v>Construction</v>
      </c>
      <c r="N133" s="539" t="str">
        <f t="shared" si="55"/>
        <v>Construction</v>
      </c>
      <c r="O133" s="539" t="str">
        <f t="shared" si="55"/>
        <v>Construction</v>
      </c>
      <c r="P133" s="539" t="str">
        <f t="shared" si="55"/>
        <v>Construction</v>
      </c>
      <c r="Q133" s="539" t="str">
        <f t="shared" si="55"/>
        <v>Construction</v>
      </c>
      <c r="R133" s="539" t="str">
        <f t="shared" si="55"/>
        <v>Construction</v>
      </c>
      <c r="S133" s="539" t="str">
        <f t="shared" si="55"/>
        <v>Construction</v>
      </c>
      <c r="T133" s="539" t="str">
        <f t="shared" si="55"/>
        <v>Construction</v>
      </c>
      <c r="U133" s="539" t="str">
        <f t="shared" si="55"/>
        <v>Construction</v>
      </c>
      <c r="V133" s="539" t="str">
        <f t="shared" si="55"/>
        <v>Construction</v>
      </c>
      <c r="W133" s="539" t="str">
        <f t="shared" si="55"/>
        <v>Construction</v>
      </c>
      <c r="X133" s="539" t="str">
        <f t="shared" si="55"/>
        <v>Construction</v>
      </c>
      <c r="Y133" s="539" t="str">
        <f t="shared" si="55"/>
        <v>Construction</v>
      </c>
      <c r="Z133" s="539" t="str">
        <f t="shared" si="55"/>
        <v>Construction</v>
      </c>
      <c r="AA133" s="539" t="str">
        <f t="shared" si="55"/>
        <v>Construction</v>
      </c>
      <c r="AB133" s="539" t="str">
        <f t="shared" si="55"/>
        <v>Construction</v>
      </c>
      <c r="AC133" s="539" t="str">
        <f t="shared" si="55"/>
        <v>Construction</v>
      </c>
      <c r="AD133" s="539" t="str">
        <f t="shared" si="55"/>
        <v>Construction</v>
      </c>
      <c r="AE133" s="539" t="str">
        <f t="shared" si="55"/>
        <v>Construction</v>
      </c>
      <c r="AF133" s="539" t="str">
        <f t="shared" si="55"/>
        <v>Construction</v>
      </c>
      <c r="AG133" s="539" t="str">
        <f t="shared" si="55"/>
        <v>Construction</v>
      </c>
      <c r="AH133" s="539" t="str">
        <f t="shared" si="55"/>
        <v>Operations</v>
      </c>
      <c r="AI133" s="539" t="str">
        <f t="shared" si="55"/>
        <v>Operations</v>
      </c>
      <c r="AJ133" s="539" t="str">
        <f t="shared" si="55"/>
        <v>Operations</v>
      </c>
      <c r="AK133" s="539" t="str">
        <f t="shared" si="55"/>
        <v>Operations</v>
      </c>
      <c r="AL133" s="539" t="str">
        <f t="shared" si="55"/>
        <v>Operations</v>
      </c>
      <c r="AM133" s="539" t="str">
        <f t="shared" si="55"/>
        <v>Operations</v>
      </c>
      <c r="AN133" s="539" t="str">
        <f t="shared" si="55"/>
        <v>Operations</v>
      </c>
      <c r="AO133" s="539" t="str">
        <f t="shared" si="55"/>
        <v>Operations</v>
      </c>
      <c r="AP133" s="539" t="str">
        <f t="shared" si="55"/>
        <v>Operations</v>
      </c>
      <c r="AQ133" s="539" t="str">
        <f t="shared" si="55"/>
        <v>Operations</v>
      </c>
      <c r="AR133" s="539" t="str">
        <f t="shared" si="55"/>
        <v>Operations</v>
      </c>
      <c r="AS133" s="539" t="str">
        <f t="shared" si="55"/>
        <v>Operations</v>
      </c>
      <c r="AT133" s="539" t="str">
        <f t="shared" si="55"/>
        <v>Operations</v>
      </c>
      <c r="AU133" s="539" t="str">
        <f t="shared" si="55"/>
        <v>Operations</v>
      </c>
      <c r="AV133" s="539" t="str">
        <f t="shared" si="55"/>
        <v>Operations</v>
      </c>
      <c r="AW133" s="539" t="str">
        <f t="shared" si="55"/>
        <v>Operations</v>
      </c>
      <c r="AX133" s="539" t="str">
        <f t="shared" si="55"/>
        <v>Operations</v>
      </c>
      <c r="AY133" s="539" t="str">
        <f t="shared" si="55"/>
        <v>Operations</v>
      </c>
      <c r="AZ133" s="539" t="str">
        <f t="shared" si="55"/>
        <v>Operations</v>
      </c>
      <c r="BA133" s="539" t="str">
        <f t="shared" si="55"/>
        <v>Operations</v>
      </c>
      <c r="BB133" s="539" t="str">
        <f t="shared" si="55"/>
        <v>Operations</v>
      </c>
      <c r="BC133" s="539" t="str">
        <f t="shared" si="55"/>
        <v>Operations</v>
      </c>
      <c r="BD133" s="539" t="str">
        <f t="shared" si="55"/>
        <v>Operations</v>
      </c>
      <c r="BE133" s="539" t="str">
        <f t="shared" si="55"/>
        <v>Operations</v>
      </c>
      <c r="BF133" s="539" t="str">
        <f t="shared" si="55"/>
        <v>Operations</v>
      </c>
      <c r="BG133" s="539" t="str">
        <f t="shared" si="55"/>
        <v>Operations</v>
      </c>
      <c r="BH133" s="539" t="str">
        <f t="shared" si="55"/>
        <v>Operations</v>
      </c>
      <c r="BI133" s="539" t="str">
        <f t="shared" si="55"/>
        <v>Operations</v>
      </c>
      <c r="BJ133" s="539" t="str">
        <f t="shared" si="55"/>
        <v>Operations</v>
      </c>
      <c r="BK133" s="539" t="str">
        <f t="shared" si="55"/>
        <v>Operations</v>
      </c>
      <c r="BL133" s="539" t="str">
        <f t="shared" si="55"/>
        <v>Operations</v>
      </c>
      <c r="BM133" s="539" t="str">
        <f t="shared" si="55"/>
        <v>Operations</v>
      </c>
      <c r="BN133" s="539" t="str">
        <f t="shared" si="55"/>
        <v>Operations</v>
      </c>
      <c r="BO133" s="539" t="str">
        <f t="shared" si="55"/>
        <v>Operations</v>
      </c>
      <c r="BP133" s="539" t="str">
        <f t="shared" si="55"/>
        <v>Operations</v>
      </c>
      <c r="BQ133" s="539" t="str">
        <f t="shared" si="55"/>
        <v>Operations</v>
      </c>
      <c r="BR133" s="539" t="str">
        <f t="shared" si="55"/>
        <v>Operations</v>
      </c>
      <c r="BS133" s="539" t="str">
        <f t="shared" si="55"/>
        <v>Operations</v>
      </c>
      <c r="BT133" s="539" t="str">
        <f t="shared" si="55"/>
        <v>Operations</v>
      </c>
      <c r="BU133" s="539" t="str">
        <f t="shared" si="55"/>
        <v>Operations</v>
      </c>
      <c r="BV133" s="539" t="str">
        <f t="shared" si="55"/>
        <v>Operations</v>
      </c>
      <c r="BW133" s="539" t="str">
        <f t="shared" si="55"/>
        <v>Operations</v>
      </c>
      <c r="BX133" s="539" t="str">
        <f t="shared" si="55"/>
        <v>Operations</v>
      </c>
      <c r="BY133" s="539" t="str">
        <f t="shared" si="55"/>
        <v>Operations</v>
      </c>
      <c r="BZ133" s="539" t="str">
        <f t="shared" si="55"/>
        <v>Operations</v>
      </c>
      <c r="CA133" s="539" t="str">
        <f t="shared" si="55"/>
        <v>Operations</v>
      </c>
      <c r="CB133" s="539" t="str">
        <f t="shared" si="55"/>
        <v>Operations</v>
      </c>
      <c r="CC133" s="539" t="str">
        <f t="shared" si="55"/>
        <v>Operations</v>
      </c>
      <c r="CD133" s="539" t="str">
        <f t="shared" si="55"/>
        <v>Operations</v>
      </c>
      <c r="CE133" s="539" t="str">
        <f t="shared" si="55"/>
        <v>Operations</v>
      </c>
      <c r="CF133" s="539" t="str">
        <f t="shared" si="55"/>
        <v>Operations</v>
      </c>
      <c r="CG133" s="539" t="str">
        <f t="shared" si="55"/>
        <v>Operations</v>
      </c>
      <c r="CH133" s="539" t="str">
        <f t="shared" si="55"/>
        <v>Operations</v>
      </c>
      <c r="CI133" s="539" t="str">
        <f t="shared" si="55"/>
        <v>Operations</v>
      </c>
      <c r="CJ133" s="539" t="str">
        <f t="shared" si="55"/>
        <v>Operations</v>
      </c>
      <c r="CK133" s="539" t="str">
        <f t="shared" si="55"/>
        <v>Operations</v>
      </c>
      <c r="CL133" s="539" t="str">
        <f t="shared" si="55"/>
        <v>Operations</v>
      </c>
      <c r="CM133" s="539" t="str">
        <f t="shared" si="55"/>
        <v>Operations</v>
      </c>
      <c r="CN133" s="539" t="str">
        <f t="shared" si="55"/>
        <v>Operations</v>
      </c>
      <c r="CO133" s="539" t="str">
        <f t="shared" si="55"/>
        <v>Operations</v>
      </c>
      <c r="CP133" s="539" t="str">
        <f t="shared" si="55"/>
        <v>Operations</v>
      </c>
      <c r="CQ133" s="539" t="str">
        <f t="shared" si="55"/>
        <v>Operations</v>
      </c>
      <c r="CR133" s="539" t="str">
        <f t="shared" si="55"/>
        <v>Operations</v>
      </c>
      <c r="CS133" s="539" t="str">
        <f t="shared" si="55"/>
        <v>Operations</v>
      </c>
      <c r="CT133" s="539" t="str">
        <f t="shared" si="55"/>
        <v>Operations</v>
      </c>
      <c r="CU133" s="539" t="str">
        <f t="shared" si="55"/>
        <v>Operations</v>
      </c>
      <c r="CV133" s="539" t="str">
        <f t="shared" si="55"/>
        <v>Operations</v>
      </c>
      <c r="CW133" s="539" t="str">
        <f t="shared" si="55"/>
        <v>Operations</v>
      </c>
      <c r="CX133" s="539" t="str">
        <f t="shared" si="55"/>
        <v>Operations</v>
      </c>
      <c r="CY133" s="539" t="str">
        <f t="shared" si="55"/>
        <v>Operations</v>
      </c>
      <c r="CZ133" s="539" t="str">
        <f t="shared" si="55"/>
        <v>Operations</v>
      </c>
      <c r="DA133" s="539" t="str">
        <f t="shared" si="55"/>
        <v>Operations</v>
      </c>
      <c r="DB133" s="539" t="str">
        <f t="shared" si="55"/>
        <v>Operations</v>
      </c>
      <c r="DC133" s="539" t="str">
        <f t="shared" si="55"/>
        <v>Operations</v>
      </c>
      <c r="DD133" s="539" t="str">
        <f t="shared" si="55"/>
        <v>Operations</v>
      </c>
      <c r="DE133" s="539" t="str">
        <f t="shared" si="55"/>
        <v>Operations</v>
      </c>
      <c r="DF133" s="539" t="str">
        <f t="shared" si="55"/>
        <v>Operations</v>
      </c>
      <c r="DG133" s="539" t="str">
        <f t="shared" si="55"/>
        <v>Operations</v>
      </c>
      <c r="DH133" s="539" t="str">
        <f t="shared" si="55"/>
        <v>Operations</v>
      </c>
      <c r="DI133" s="539" t="str">
        <f t="shared" si="55"/>
        <v>Operations</v>
      </c>
      <c r="DJ133" s="539" t="str">
        <f t="shared" si="55"/>
        <v>Operations</v>
      </c>
      <c r="DK133" s="539" t="str">
        <f t="shared" si="55"/>
        <v>Operations</v>
      </c>
      <c r="DL133" s="539" t="str">
        <f t="shared" si="55"/>
        <v>Operations</v>
      </c>
      <c r="DM133" s="539" t="str">
        <f t="shared" si="55"/>
        <v>Operations</v>
      </c>
      <c r="DN133" s="539" t="str">
        <f t="shared" si="55"/>
        <v>Operations</v>
      </c>
      <c r="DO133" s="539" t="str">
        <f t="shared" si="55"/>
        <v>Operations</v>
      </c>
      <c r="DP133" s="539" t="str">
        <f t="shared" si="55"/>
        <v>Operations</v>
      </c>
      <c r="DQ133" s="539" t="str">
        <f t="shared" si="55"/>
        <v>Operations</v>
      </c>
      <c r="DR133" s="539" t="str">
        <f t="shared" si="55"/>
        <v>Operations</v>
      </c>
      <c r="DS133" s="539" t="str">
        <f t="shared" si="55"/>
        <v>Operations</v>
      </c>
      <c r="DT133" s="539" t="str">
        <f t="shared" si="55"/>
        <v>Operations</v>
      </c>
      <c r="DU133" s="539" t="str">
        <f t="shared" si="55"/>
        <v>Operations</v>
      </c>
      <c r="DV133" s="539" t="str">
        <f t="shared" si="55"/>
        <v>Operations</v>
      </c>
      <c r="DW133" s="539" t="str">
        <f t="shared" si="55"/>
        <v>Operations</v>
      </c>
      <c r="DX133" s="539" t="str">
        <f t="shared" si="55"/>
        <v>Operations</v>
      </c>
      <c r="DY133" s="539" t="str">
        <f t="shared" si="55"/>
        <v>Operations</v>
      </c>
      <c r="DZ133" s="539" t="str">
        <f t="shared" si="55"/>
        <v>Operations</v>
      </c>
      <c r="EA133" s="539" t="str">
        <f t="shared" si="55"/>
        <v>Operations</v>
      </c>
      <c r="EB133" s="539" t="str">
        <f t="shared" si="55"/>
        <v>Operations</v>
      </c>
      <c r="EC133" s="539" t="str">
        <f t="shared" si="55"/>
        <v>Operations</v>
      </c>
      <c r="ED133" s="539" t="str">
        <f t="shared" si="55"/>
        <v>Post ops</v>
      </c>
      <c r="EE133" s="539" t="str">
        <f t="shared" si="55"/>
        <v>Post ops</v>
      </c>
      <c r="EF133" s="539" t="str">
        <f t="shared" si="55"/>
        <v>Post ops</v>
      </c>
      <c r="EG133" s="539" t="str">
        <f t="shared" si="55"/>
        <v>Post ops</v>
      </c>
    </row>
    <row r="136" spans="1:1" ht="12.75">
      <c r="A136" s="534" t="s">
        <v>184</v>
      </c>
    </row>
    <row r="138" spans="2:2" ht="12.75">
      <c r="B138" s="534" t="s">
        <v>185</v>
      </c>
    </row>
    <row r="139" spans="5:137" ht="12.75">
      <c r="E139" s="538" t="str">
        <f>E$91</f>
        <v>Operating period flag</v>
      </c>
      <c r="G139" s="539" t="str">
        <f>G$91</f>
        <v>flag</v>
      </c>
      <c r="H139" s="539">
        <f>H$91</f>
        <v>100</v>
      </c>
      <c r="J139" s="539">
        <f t="shared" si="56" ref="J139:EG139">J$91</f>
        <v>0</v>
      </c>
      <c r="K139" s="539">
        <f t="shared" si="56"/>
        <v>0</v>
      </c>
      <c r="L139" s="539">
        <f t="shared" si="56"/>
        <v>0</v>
      </c>
      <c r="M139" s="539">
        <f t="shared" si="56"/>
        <v>0</v>
      </c>
      <c r="N139" s="539">
        <f t="shared" si="56"/>
        <v>0</v>
      </c>
      <c r="O139" s="539">
        <f t="shared" si="56"/>
        <v>0</v>
      </c>
      <c r="P139" s="539">
        <f t="shared" si="56"/>
        <v>0</v>
      </c>
      <c r="Q139" s="539">
        <f t="shared" si="56"/>
        <v>0</v>
      </c>
      <c r="R139" s="539">
        <f t="shared" si="56"/>
        <v>0</v>
      </c>
      <c r="S139" s="539">
        <f t="shared" si="56"/>
        <v>0</v>
      </c>
      <c r="T139" s="539">
        <f t="shared" si="56"/>
        <v>0</v>
      </c>
      <c r="U139" s="539">
        <f t="shared" si="56"/>
        <v>0</v>
      </c>
      <c r="V139" s="539">
        <f t="shared" si="56"/>
        <v>0</v>
      </c>
      <c r="W139" s="539">
        <f t="shared" si="56"/>
        <v>0</v>
      </c>
      <c r="X139" s="539">
        <f t="shared" si="56"/>
        <v>0</v>
      </c>
      <c r="Y139" s="539">
        <f t="shared" si="56"/>
        <v>0</v>
      </c>
      <c r="Z139" s="539">
        <f t="shared" si="56"/>
        <v>0</v>
      </c>
      <c r="AA139" s="539">
        <f t="shared" si="56"/>
        <v>0</v>
      </c>
      <c r="AB139" s="539">
        <f t="shared" si="56"/>
        <v>0</v>
      </c>
      <c r="AC139" s="539">
        <f t="shared" si="56"/>
        <v>0</v>
      </c>
      <c r="AD139" s="539">
        <f t="shared" si="56"/>
        <v>0</v>
      </c>
      <c r="AE139" s="539">
        <f t="shared" si="56"/>
        <v>0</v>
      </c>
      <c r="AF139" s="539">
        <f t="shared" si="56"/>
        <v>0</v>
      </c>
      <c r="AG139" s="539">
        <f t="shared" si="56"/>
        <v>0</v>
      </c>
      <c r="AH139" s="539">
        <f t="shared" si="56"/>
        <v>1</v>
      </c>
      <c r="AI139" s="539">
        <f t="shared" si="56"/>
        <v>1</v>
      </c>
      <c r="AJ139" s="539">
        <f t="shared" si="56"/>
        <v>1</v>
      </c>
      <c r="AK139" s="539">
        <f t="shared" si="56"/>
        <v>1</v>
      </c>
      <c r="AL139" s="539">
        <f t="shared" si="56"/>
        <v>1</v>
      </c>
      <c r="AM139" s="539">
        <f t="shared" si="56"/>
        <v>1</v>
      </c>
      <c r="AN139" s="539">
        <f t="shared" si="56"/>
        <v>1</v>
      </c>
      <c r="AO139" s="539">
        <f t="shared" si="56"/>
        <v>1</v>
      </c>
      <c r="AP139" s="539">
        <f t="shared" si="56"/>
        <v>1</v>
      </c>
      <c r="AQ139" s="539">
        <f t="shared" si="56"/>
        <v>1</v>
      </c>
      <c r="AR139" s="539">
        <f t="shared" si="56"/>
        <v>1</v>
      </c>
      <c r="AS139" s="539">
        <f t="shared" si="56"/>
        <v>1</v>
      </c>
      <c r="AT139" s="539">
        <f t="shared" si="56"/>
        <v>1</v>
      </c>
      <c r="AU139" s="539">
        <f t="shared" si="56"/>
        <v>1</v>
      </c>
      <c r="AV139" s="539">
        <f t="shared" si="56"/>
        <v>1</v>
      </c>
      <c r="AW139" s="539">
        <f t="shared" si="56"/>
        <v>1</v>
      </c>
      <c r="AX139" s="539">
        <f t="shared" si="56"/>
        <v>1</v>
      </c>
      <c r="AY139" s="539">
        <f t="shared" si="56"/>
        <v>1</v>
      </c>
      <c r="AZ139" s="539">
        <f t="shared" si="56"/>
        <v>1</v>
      </c>
      <c r="BA139" s="539">
        <f t="shared" si="56"/>
        <v>1</v>
      </c>
      <c r="BB139" s="539">
        <f t="shared" si="56"/>
        <v>1</v>
      </c>
      <c r="BC139" s="539">
        <f t="shared" si="56"/>
        <v>1</v>
      </c>
      <c r="BD139" s="539">
        <f t="shared" si="56"/>
        <v>1</v>
      </c>
      <c r="BE139" s="539">
        <f t="shared" si="56"/>
        <v>1</v>
      </c>
      <c r="BF139" s="539">
        <f t="shared" si="56"/>
        <v>1</v>
      </c>
      <c r="BG139" s="539">
        <f t="shared" si="56"/>
        <v>1</v>
      </c>
      <c r="BH139" s="539">
        <f t="shared" si="56"/>
        <v>1</v>
      </c>
      <c r="BI139" s="539">
        <f t="shared" si="56"/>
        <v>1</v>
      </c>
      <c r="BJ139" s="539">
        <f t="shared" si="56"/>
        <v>1</v>
      </c>
      <c r="BK139" s="539">
        <f t="shared" si="56"/>
        <v>1</v>
      </c>
      <c r="BL139" s="539">
        <f t="shared" si="56"/>
        <v>1</v>
      </c>
      <c r="BM139" s="539">
        <f t="shared" si="56"/>
        <v>1</v>
      </c>
      <c r="BN139" s="539">
        <f t="shared" si="56"/>
        <v>1</v>
      </c>
      <c r="BO139" s="539">
        <f t="shared" si="56"/>
        <v>1</v>
      </c>
      <c r="BP139" s="539">
        <f t="shared" si="56"/>
        <v>1</v>
      </c>
      <c r="BQ139" s="539">
        <f t="shared" si="56"/>
        <v>1</v>
      </c>
      <c r="BR139" s="539">
        <f t="shared" si="56"/>
        <v>1</v>
      </c>
      <c r="BS139" s="539">
        <f t="shared" si="56"/>
        <v>1</v>
      </c>
      <c r="BT139" s="539">
        <f t="shared" si="56"/>
        <v>1</v>
      </c>
      <c r="BU139" s="539">
        <f t="shared" si="56"/>
        <v>1</v>
      </c>
      <c r="BV139" s="539">
        <f t="shared" si="56"/>
        <v>1</v>
      </c>
      <c r="BW139" s="539">
        <f t="shared" si="56"/>
        <v>1</v>
      </c>
      <c r="BX139" s="539">
        <f t="shared" si="56"/>
        <v>1</v>
      </c>
      <c r="BY139" s="539">
        <f t="shared" si="56"/>
        <v>1</v>
      </c>
      <c r="BZ139" s="539">
        <f t="shared" si="56"/>
        <v>1</v>
      </c>
      <c r="CA139" s="539">
        <f t="shared" si="56"/>
        <v>1</v>
      </c>
      <c r="CB139" s="539">
        <f t="shared" si="56"/>
        <v>1</v>
      </c>
      <c r="CC139" s="539">
        <f t="shared" si="56"/>
        <v>1</v>
      </c>
      <c r="CD139" s="539">
        <f t="shared" si="56"/>
        <v>1</v>
      </c>
      <c r="CE139" s="539">
        <f t="shared" si="56"/>
        <v>1</v>
      </c>
      <c r="CF139" s="539">
        <f t="shared" si="56"/>
        <v>1</v>
      </c>
      <c r="CG139" s="539">
        <f t="shared" si="56"/>
        <v>1</v>
      </c>
      <c r="CH139" s="539">
        <f t="shared" si="56"/>
        <v>1</v>
      </c>
      <c r="CI139" s="539">
        <f t="shared" si="56"/>
        <v>1</v>
      </c>
      <c r="CJ139" s="539">
        <f t="shared" si="56"/>
        <v>1</v>
      </c>
      <c r="CK139" s="539">
        <f t="shared" si="56"/>
        <v>1</v>
      </c>
      <c r="CL139" s="539">
        <f t="shared" si="56"/>
        <v>1</v>
      </c>
      <c r="CM139" s="539">
        <f t="shared" si="56"/>
        <v>1</v>
      </c>
      <c r="CN139" s="539">
        <f t="shared" si="56"/>
        <v>1</v>
      </c>
      <c r="CO139" s="539">
        <f t="shared" si="56"/>
        <v>1</v>
      </c>
      <c r="CP139" s="539">
        <f t="shared" si="56"/>
        <v>1</v>
      </c>
      <c r="CQ139" s="539">
        <f t="shared" si="56"/>
        <v>1</v>
      </c>
      <c r="CR139" s="539">
        <f t="shared" si="56"/>
        <v>1</v>
      </c>
      <c r="CS139" s="539">
        <f t="shared" si="56"/>
        <v>1</v>
      </c>
      <c r="CT139" s="539">
        <f t="shared" si="56"/>
        <v>1</v>
      </c>
      <c r="CU139" s="539">
        <f t="shared" si="56"/>
        <v>1</v>
      </c>
      <c r="CV139" s="539">
        <f t="shared" si="56"/>
        <v>1</v>
      </c>
      <c r="CW139" s="539">
        <f t="shared" si="56"/>
        <v>1</v>
      </c>
      <c r="CX139" s="539">
        <f t="shared" si="56"/>
        <v>1</v>
      </c>
      <c r="CY139" s="539">
        <f t="shared" si="56"/>
        <v>1</v>
      </c>
      <c r="CZ139" s="539">
        <f t="shared" si="56"/>
        <v>1</v>
      </c>
      <c r="DA139" s="539">
        <f t="shared" si="56"/>
        <v>1</v>
      </c>
      <c r="DB139" s="539">
        <f t="shared" si="56"/>
        <v>1</v>
      </c>
      <c r="DC139" s="539">
        <f t="shared" si="56"/>
        <v>1</v>
      </c>
      <c r="DD139" s="539">
        <f t="shared" si="56"/>
        <v>1</v>
      </c>
      <c r="DE139" s="539">
        <f t="shared" si="56"/>
        <v>1</v>
      </c>
      <c r="DF139" s="539">
        <f t="shared" si="56"/>
        <v>1</v>
      </c>
      <c r="DG139" s="539">
        <f t="shared" si="56"/>
        <v>1</v>
      </c>
      <c r="DH139" s="539">
        <f t="shared" si="56"/>
        <v>1</v>
      </c>
      <c r="DI139" s="539">
        <f t="shared" si="56"/>
        <v>1</v>
      </c>
      <c r="DJ139" s="539">
        <f t="shared" si="56"/>
        <v>1</v>
      </c>
      <c r="DK139" s="539">
        <f t="shared" si="56"/>
        <v>1</v>
      </c>
      <c r="DL139" s="539">
        <f t="shared" si="56"/>
        <v>1</v>
      </c>
      <c r="DM139" s="539">
        <f t="shared" si="56"/>
        <v>1</v>
      </c>
      <c r="DN139" s="539">
        <f t="shared" si="56"/>
        <v>1</v>
      </c>
      <c r="DO139" s="539">
        <f t="shared" si="56"/>
        <v>1</v>
      </c>
      <c r="DP139" s="539">
        <f t="shared" si="56"/>
        <v>1</v>
      </c>
      <c r="DQ139" s="539">
        <f t="shared" si="56"/>
        <v>1</v>
      </c>
      <c r="DR139" s="539">
        <f t="shared" si="56"/>
        <v>1</v>
      </c>
      <c r="DS139" s="539">
        <f t="shared" si="56"/>
        <v>1</v>
      </c>
      <c r="DT139" s="539">
        <f t="shared" si="56"/>
        <v>1</v>
      </c>
      <c r="DU139" s="539">
        <f t="shared" si="56"/>
        <v>1</v>
      </c>
      <c r="DV139" s="539">
        <f t="shared" si="56"/>
        <v>1</v>
      </c>
      <c r="DW139" s="539">
        <f t="shared" si="56"/>
        <v>1</v>
      </c>
      <c r="DX139" s="539">
        <f t="shared" si="56"/>
        <v>1</v>
      </c>
      <c r="DY139" s="539">
        <f t="shared" si="56"/>
        <v>1</v>
      </c>
      <c r="DZ139" s="539">
        <f t="shared" si="56"/>
        <v>1</v>
      </c>
      <c r="EA139" s="539">
        <f t="shared" si="56"/>
        <v>1</v>
      </c>
      <c r="EB139" s="539">
        <f t="shared" si="56"/>
        <v>1</v>
      </c>
      <c r="EC139" s="539">
        <f t="shared" si="56"/>
        <v>1</v>
      </c>
      <c r="ED139" s="539">
        <f t="shared" si="56"/>
        <v>0</v>
      </c>
      <c r="EE139" s="539">
        <f t="shared" si="56"/>
        <v>0</v>
      </c>
      <c r="EF139" s="539">
        <f t="shared" si="56"/>
        <v>0</v>
      </c>
      <c r="EG139" s="539">
        <f t="shared" si="56"/>
        <v>0</v>
      </c>
    </row>
    <row r="140" spans="5:137" ht="12.75">
      <c r="E140" s="538" t="s">
        <v>186</v>
      </c>
      <c r="G140" s="539" t="s">
        <v>154</v>
      </c>
      <c r="H140" s="539">
        <f>SUM(J140:EG140)</f>
        <v>5450</v>
      </c>
      <c r="J140" s="539">
        <f t="shared" si="57" ref="J140:EG140">I140+J139</f>
        <v>0</v>
      </c>
      <c r="K140" s="539">
        <f t="shared" si="57"/>
        <v>0</v>
      </c>
      <c r="L140" s="539">
        <f t="shared" si="57"/>
        <v>0</v>
      </c>
      <c r="M140" s="539">
        <f t="shared" si="57"/>
        <v>0</v>
      </c>
      <c r="N140" s="539">
        <f t="shared" si="57"/>
        <v>0</v>
      </c>
      <c r="O140" s="539">
        <f t="shared" si="57"/>
        <v>0</v>
      </c>
      <c r="P140" s="539">
        <f t="shared" si="57"/>
        <v>0</v>
      </c>
      <c r="Q140" s="539">
        <f t="shared" si="57"/>
        <v>0</v>
      </c>
      <c r="R140" s="539">
        <f t="shared" si="57"/>
        <v>0</v>
      </c>
      <c r="S140" s="539">
        <f t="shared" si="57"/>
        <v>0</v>
      </c>
      <c r="T140" s="539">
        <f t="shared" si="57"/>
        <v>0</v>
      </c>
      <c r="U140" s="539">
        <f t="shared" si="57"/>
        <v>0</v>
      </c>
      <c r="V140" s="539">
        <f t="shared" si="57"/>
        <v>0</v>
      </c>
      <c r="W140" s="539">
        <f t="shared" si="57"/>
        <v>0</v>
      </c>
      <c r="X140" s="539">
        <f t="shared" si="57"/>
        <v>0</v>
      </c>
      <c r="Y140" s="539">
        <f t="shared" si="57"/>
        <v>0</v>
      </c>
      <c r="Z140" s="539">
        <f t="shared" si="57"/>
        <v>0</v>
      </c>
      <c r="AA140" s="539">
        <f t="shared" si="57"/>
        <v>0</v>
      </c>
      <c r="AB140" s="539">
        <f t="shared" si="57"/>
        <v>0</v>
      </c>
      <c r="AC140" s="539">
        <f t="shared" si="57"/>
        <v>0</v>
      </c>
      <c r="AD140" s="539">
        <f t="shared" si="57"/>
        <v>0</v>
      </c>
      <c r="AE140" s="539">
        <f t="shared" si="57"/>
        <v>0</v>
      </c>
      <c r="AF140" s="539">
        <f t="shared" si="57"/>
        <v>0</v>
      </c>
      <c r="AG140" s="539">
        <f t="shared" si="57"/>
        <v>0</v>
      </c>
      <c r="AH140" s="539">
        <f t="shared" si="57"/>
        <v>1</v>
      </c>
      <c r="AI140" s="539">
        <f t="shared" si="57"/>
        <v>2</v>
      </c>
      <c r="AJ140" s="539">
        <f t="shared" si="57"/>
        <v>3</v>
      </c>
      <c r="AK140" s="539">
        <f t="shared" si="57"/>
        <v>4</v>
      </c>
      <c r="AL140" s="539">
        <f t="shared" si="57"/>
        <v>5</v>
      </c>
      <c r="AM140" s="539">
        <f t="shared" si="57"/>
        <v>6</v>
      </c>
      <c r="AN140" s="539">
        <f t="shared" si="57"/>
        <v>7</v>
      </c>
      <c r="AO140" s="539">
        <f t="shared" si="57"/>
        <v>8</v>
      </c>
      <c r="AP140" s="539">
        <f t="shared" si="57"/>
        <v>9</v>
      </c>
      <c r="AQ140" s="539">
        <f t="shared" si="57"/>
        <v>10</v>
      </c>
      <c r="AR140" s="539">
        <f t="shared" si="57"/>
        <v>11</v>
      </c>
      <c r="AS140" s="539">
        <f t="shared" si="57"/>
        <v>12</v>
      </c>
      <c r="AT140" s="539">
        <f t="shared" si="57"/>
        <v>13</v>
      </c>
      <c r="AU140" s="539">
        <f t="shared" si="57"/>
        <v>14</v>
      </c>
      <c r="AV140" s="539">
        <f t="shared" si="57"/>
        <v>15</v>
      </c>
      <c r="AW140" s="539">
        <f t="shared" si="57"/>
        <v>16</v>
      </c>
      <c r="AX140" s="539">
        <f t="shared" si="57"/>
        <v>17</v>
      </c>
      <c r="AY140" s="539">
        <f t="shared" si="57"/>
        <v>18</v>
      </c>
      <c r="AZ140" s="539">
        <f t="shared" si="57"/>
        <v>19</v>
      </c>
      <c r="BA140" s="539">
        <f t="shared" si="57"/>
        <v>20</v>
      </c>
      <c r="BB140" s="539">
        <f t="shared" si="57"/>
        <v>21</v>
      </c>
      <c r="BC140" s="539">
        <f t="shared" si="57"/>
        <v>22</v>
      </c>
      <c r="BD140" s="539">
        <f t="shared" si="57"/>
        <v>23</v>
      </c>
      <c r="BE140" s="539">
        <f t="shared" si="57"/>
        <v>24</v>
      </c>
      <c r="BF140" s="539">
        <f t="shared" si="57"/>
        <v>25</v>
      </c>
      <c r="BG140" s="539">
        <f t="shared" si="57"/>
        <v>26</v>
      </c>
      <c r="BH140" s="539">
        <f t="shared" si="57"/>
        <v>27</v>
      </c>
      <c r="BI140" s="539">
        <f t="shared" si="57"/>
        <v>28</v>
      </c>
      <c r="BJ140" s="539">
        <f t="shared" si="57"/>
        <v>29</v>
      </c>
      <c r="BK140" s="539">
        <f t="shared" si="57"/>
        <v>30</v>
      </c>
      <c r="BL140" s="539">
        <f t="shared" si="57"/>
        <v>31</v>
      </c>
      <c r="BM140" s="539">
        <f t="shared" si="57"/>
        <v>32</v>
      </c>
      <c r="BN140" s="539">
        <f t="shared" si="57"/>
        <v>33</v>
      </c>
      <c r="BO140" s="539">
        <f t="shared" si="57"/>
        <v>34</v>
      </c>
      <c r="BP140" s="539">
        <f t="shared" si="57"/>
        <v>35</v>
      </c>
      <c r="BQ140" s="539">
        <f t="shared" si="57"/>
        <v>36</v>
      </c>
      <c r="BR140" s="539">
        <f t="shared" si="57"/>
        <v>37</v>
      </c>
      <c r="BS140" s="539">
        <f t="shared" si="57"/>
        <v>38</v>
      </c>
      <c r="BT140" s="539">
        <f t="shared" si="57"/>
        <v>39</v>
      </c>
      <c r="BU140" s="539">
        <f t="shared" si="57"/>
        <v>40</v>
      </c>
      <c r="BV140" s="539">
        <f t="shared" si="57"/>
        <v>41</v>
      </c>
      <c r="BW140" s="539">
        <f t="shared" si="57"/>
        <v>42</v>
      </c>
      <c r="BX140" s="539">
        <f t="shared" si="57"/>
        <v>43</v>
      </c>
      <c r="BY140" s="539">
        <f t="shared" si="57"/>
        <v>44</v>
      </c>
      <c r="BZ140" s="539">
        <f t="shared" si="57"/>
        <v>45</v>
      </c>
      <c r="CA140" s="539">
        <f t="shared" si="57"/>
        <v>46</v>
      </c>
      <c r="CB140" s="539">
        <f t="shared" si="57"/>
        <v>47</v>
      </c>
      <c r="CC140" s="539">
        <f t="shared" si="57"/>
        <v>48</v>
      </c>
      <c r="CD140" s="539">
        <f t="shared" si="57"/>
        <v>49</v>
      </c>
      <c r="CE140" s="539">
        <f t="shared" si="57"/>
        <v>50</v>
      </c>
      <c r="CF140" s="539">
        <f t="shared" si="57"/>
        <v>51</v>
      </c>
      <c r="CG140" s="539">
        <f t="shared" si="57"/>
        <v>52</v>
      </c>
      <c r="CH140" s="539">
        <f t="shared" si="57"/>
        <v>53</v>
      </c>
      <c r="CI140" s="539">
        <f t="shared" si="57"/>
        <v>54</v>
      </c>
      <c r="CJ140" s="539">
        <f t="shared" si="57"/>
        <v>55</v>
      </c>
      <c r="CK140" s="539">
        <f t="shared" si="57"/>
        <v>56</v>
      </c>
      <c r="CL140" s="539">
        <f t="shared" si="57"/>
        <v>57</v>
      </c>
      <c r="CM140" s="539">
        <f t="shared" si="57"/>
        <v>58</v>
      </c>
      <c r="CN140" s="539">
        <f t="shared" si="57"/>
        <v>59</v>
      </c>
      <c r="CO140" s="539">
        <f t="shared" si="57"/>
        <v>60</v>
      </c>
      <c r="CP140" s="539">
        <f t="shared" si="57"/>
        <v>61</v>
      </c>
      <c r="CQ140" s="539">
        <f t="shared" si="57"/>
        <v>62</v>
      </c>
      <c r="CR140" s="539">
        <f t="shared" si="57"/>
        <v>63</v>
      </c>
      <c r="CS140" s="539">
        <f t="shared" si="57"/>
        <v>64</v>
      </c>
      <c r="CT140" s="539">
        <f t="shared" si="57"/>
        <v>65</v>
      </c>
      <c r="CU140" s="539">
        <f t="shared" si="57"/>
        <v>66</v>
      </c>
      <c r="CV140" s="539">
        <f t="shared" si="57"/>
        <v>67</v>
      </c>
      <c r="CW140" s="539">
        <f t="shared" si="57"/>
        <v>68</v>
      </c>
      <c r="CX140" s="539">
        <f t="shared" si="57"/>
        <v>69</v>
      </c>
      <c r="CY140" s="539">
        <f t="shared" si="57"/>
        <v>70</v>
      </c>
      <c r="CZ140" s="539">
        <f t="shared" si="57"/>
        <v>71</v>
      </c>
      <c r="DA140" s="539">
        <f t="shared" si="57"/>
        <v>72</v>
      </c>
      <c r="DB140" s="539">
        <f t="shared" si="57"/>
        <v>73</v>
      </c>
      <c r="DC140" s="539">
        <f t="shared" si="57"/>
        <v>74</v>
      </c>
      <c r="DD140" s="539">
        <f t="shared" si="57"/>
        <v>75</v>
      </c>
      <c r="DE140" s="539">
        <f t="shared" si="57"/>
        <v>76</v>
      </c>
      <c r="DF140" s="539">
        <f t="shared" si="57"/>
        <v>77</v>
      </c>
      <c r="DG140" s="539">
        <f t="shared" si="57"/>
        <v>78</v>
      </c>
      <c r="DH140" s="539">
        <f t="shared" si="57"/>
        <v>79</v>
      </c>
      <c r="DI140" s="539">
        <f t="shared" si="57"/>
        <v>80</v>
      </c>
      <c r="DJ140" s="539">
        <f t="shared" si="57"/>
        <v>81</v>
      </c>
      <c r="DK140" s="539">
        <f t="shared" si="57"/>
        <v>82</v>
      </c>
      <c r="DL140" s="539">
        <f t="shared" si="57"/>
        <v>83</v>
      </c>
      <c r="DM140" s="539">
        <f t="shared" si="57"/>
        <v>84</v>
      </c>
      <c r="DN140" s="539">
        <f t="shared" si="57"/>
        <v>85</v>
      </c>
      <c r="DO140" s="539">
        <f t="shared" si="57"/>
        <v>86</v>
      </c>
      <c r="DP140" s="539">
        <f t="shared" si="57"/>
        <v>87</v>
      </c>
      <c r="DQ140" s="539">
        <f t="shared" si="57"/>
        <v>88</v>
      </c>
      <c r="DR140" s="539">
        <f t="shared" si="57"/>
        <v>89</v>
      </c>
      <c r="DS140" s="539">
        <f t="shared" si="57"/>
        <v>90</v>
      </c>
      <c r="DT140" s="539">
        <f t="shared" si="57"/>
        <v>91</v>
      </c>
      <c r="DU140" s="539">
        <f t="shared" si="57"/>
        <v>92</v>
      </c>
      <c r="DV140" s="539">
        <f t="shared" si="57"/>
        <v>93</v>
      </c>
      <c r="DW140" s="539">
        <f t="shared" si="57"/>
        <v>94</v>
      </c>
      <c r="DX140" s="539">
        <f t="shared" si="57"/>
        <v>95</v>
      </c>
      <c r="DY140" s="539">
        <f t="shared" si="57"/>
        <v>96</v>
      </c>
      <c r="DZ140" s="539">
        <f t="shared" si="57"/>
        <v>97</v>
      </c>
      <c r="EA140" s="539">
        <f t="shared" si="57"/>
        <v>98</v>
      </c>
      <c r="EB140" s="539">
        <f t="shared" si="57"/>
        <v>99</v>
      </c>
      <c r="EC140" s="539">
        <f t="shared" si="57"/>
        <v>100</v>
      </c>
      <c r="ED140" s="539">
        <f t="shared" si="57"/>
        <v>100</v>
      </c>
      <c r="EE140" s="539">
        <f t="shared" si="57"/>
        <v>100</v>
      </c>
      <c r="EF140" s="539">
        <f t="shared" si="57"/>
        <v>100</v>
      </c>
      <c r="EG140" s="539">
        <f t="shared" si="57"/>
        <v>100</v>
      </c>
    </row>
    <row r="142" spans="5:7" ht="12.75">
      <c r="E142" s="535" t="str">
        <f>InpC!E$16</f>
        <v>Length of operating period</v>
      </c>
      <c r="F142" s="537">
        <f>InpC!F$16</f>
        <v>3</v>
      </c>
      <c r="G142" s="537" t="str">
        <f>InpC!G$16</f>
        <v>months</v>
      </c>
    </row>
    <row r="143" spans="5:7" ht="12.75">
      <c r="E143" s="535" t="str">
        <f>InpC!E$126</f>
        <v>Months in year</v>
      </c>
      <c r="F143" s="537">
        <f>InpC!F$126</f>
        <v>12</v>
      </c>
      <c r="G143" s="537" t="str">
        <f>InpC!G$126</f>
        <v>months</v>
      </c>
    </row>
    <row r="144" spans="5:137" ht="12.75">
      <c r="E144" s="538" t="str">
        <f>E$91</f>
        <v>Operating period flag</v>
      </c>
      <c r="G144" s="539" t="str">
        <f>G$91</f>
        <v>flag</v>
      </c>
      <c r="H144" s="539">
        <f>H$91</f>
        <v>100</v>
      </c>
      <c r="J144" s="539">
        <f t="shared" si="58" ref="J144:EG144">J$91</f>
        <v>0</v>
      </c>
      <c r="K144" s="539">
        <f t="shared" si="58"/>
        <v>0</v>
      </c>
      <c r="L144" s="539">
        <f t="shared" si="58"/>
        <v>0</v>
      </c>
      <c r="M144" s="539">
        <f t="shared" si="58"/>
        <v>0</v>
      </c>
      <c r="N144" s="539">
        <f t="shared" si="58"/>
        <v>0</v>
      </c>
      <c r="O144" s="539">
        <f t="shared" si="58"/>
        <v>0</v>
      </c>
      <c r="P144" s="539">
        <f t="shared" si="58"/>
        <v>0</v>
      </c>
      <c r="Q144" s="539">
        <f t="shared" si="58"/>
        <v>0</v>
      </c>
      <c r="R144" s="539">
        <f t="shared" si="58"/>
        <v>0</v>
      </c>
      <c r="S144" s="539">
        <f t="shared" si="58"/>
        <v>0</v>
      </c>
      <c r="T144" s="539">
        <f t="shared" si="58"/>
        <v>0</v>
      </c>
      <c r="U144" s="539">
        <f t="shared" si="58"/>
        <v>0</v>
      </c>
      <c r="V144" s="539">
        <f t="shared" si="58"/>
        <v>0</v>
      </c>
      <c r="W144" s="539">
        <f t="shared" si="58"/>
        <v>0</v>
      </c>
      <c r="X144" s="539">
        <f t="shared" si="58"/>
        <v>0</v>
      </c>
      <c r="Y144" s="539">
        <f t="shared" si="58"/>
        <v>0</v>
      </c>
      <c r="Z144" s="539">
        <f t="shared" si="58"/>
        <v>0</v>
      </c>
      <c r="AA144" s="539">
        <f t="shared" si="58"/>
        <v>0</v>
      </c>
      <c r="AB144" s="539">
        <f t="shared" si="58"/>
        <v>0</v>
      </c>
      <c r="AC144" s="539">
        <f t="shared" si="58"/>
        <v>0</v>
      </c>
      <c r="AD144" s="539">
        <f t="shared" si="58"/>
        <v>0</v>
      </c>
      <c r="AE144" s="539">
        <f t="shared" si="58"/>
        <v>0</v>
      </c>
      <c r="AF144" s="539">
        <f t="shared" si="58"/>
        <v>0</v>
      </c>
      <c r="AG144" s="539">
        <f t="shared" si="58"/>
        <v>0</v>
      </c>
      <c r="AH144" s="539">
        <f t="shared" si="58"/>
        <v>1</v>
      </c>
      <c r="AI144" s="539">
        <f t="shared" si="58"/>
        <v>1</v>
      </c>
      <c r="AJ144" s="539">
        <f t="shared" si="58"/>
        <v>1</v>
      </c>
      <c r="AK144" s="539">
        <f t="shared" si="58"/>
        <v>1</v>
      </c>
      <c r="AL144" s="539">
        <f t="shared" si="58"/>
        <v>1</v>
      </c>
      <c r="AM144" s="539">
        <f t="shared" si="58"/>
        <v>1</v>
      </c>
      <c r="AN144" s="539">
        <f t="shared" si="58"/>
        <v>1</v>
      </c>
      <c r="AO144" s="539">
        <f t="shared" si="58"/>
        <v>1</v>
      </c>
      <c r="AP144" s="539">
        <f t="shared" si="58"/>
        <v>1</v>
      </c>
      <c r="AQ144" s="539">
        <f t="shared" si="58"/>
        <v>1</v>
      </c>
      <c r="AR144" s="539">
        <f t="shared" si="58"/>
        <v>1</v>
      </c>
      <c r="AS144" s="539">
        <f t="shared" si="58"/>
        <v>1</v>
      </c>
      <c r="AT144" s="539">
        <f t="shared" si="58"/>
        <v>1</v>
      </c>
      <c r="AU144" s="539">
        <f t="shared" si="58"/>
        <v>1</v>
      </c>
      <c r="AV144" s="539">
        <f t="shared" si="58"/>
        <v>1</v>
      </c>
      <c r="AW144" s="539">
        <f t="shared" si="58"/>
        <v>1</v>
      </c>
      <c r="AX144" s="539">
        <f t="shared" si="58"/>
        <v>1</v>
      </c>
      <c r="AY144" s="539">
        <f t="shared" si="58"/>
        <v>1</v>
      </c>
      <c r="AZ144" s="539">
        <f t="shared" si="58"/>
        <v>1</v>
      </c>
      <c r="BA144" s="539">
        <f t="shared" si="58"/>
        <v>1</v>
      </c>
      <c r="BB144" s="539">
        <f t="shared" si="58"/>
        <v>1</v>
      </c>
      <c r="BC144" s="539">
        <f t="shared" si="58"/>
        <v>1</v>
      </c>
      <c r="BD144" s="539">
        <f t="shared" si="58"/>
        <v>1</v>
      </c>
      <c r="BE144" s="539">
        <f t="shared" si="58"/>
        <v>1</v>
      </c>
      <c r="BF144" s="539">
        <f t="shared" si="58"/>
        <v>1</v>
      </c>
      <c r="BG144" s="539">
        <f t="shared" si="58"/>
        <v>1</v>
      </c>
      <c r="BH144" s="539">
        <f t="shared" si="58"/>
        <v>1</v>
      </c>
      <c r="BI144" s="539">
        <f t="shared" si="58"/>
        <v>1</v>
      </c>
      <c r="BJ144" s="539">
        <f t="shared" si="58"/>
        <v>1</v>
      </c>
      <c r="BK144" s="539">
        <f t="shared" si="58"/>
        <v>1</v>
      </c>
      <c r="BL144" s="539">
        <f t="shared" si="58"/>
        <v>1</v>
      </c>
      <c r="BM144" s="539">
        <f t="shared" si="58"/>
        <v>1</v>
      </c>
      <c r="BN144" s="539">
        <f t="shared" si="58"/>
        <v>1</v>
      </c>
      <c r="BO144" s="539">
        <f t="shared" si="58"/>
        <v>1</v>
      </c>
      <c r="BP144" s="539">
        <f t="shared" si="58"/>
        <v>1</v>
      </c>
      <c r="BQ144" s="539">
        <f t="shared" si="58"/>
        <v>1</v>
      </c>
      <c r="BR144" s="539">
        <f t="shared" si="58"/>
        <v>1</v>
      </c>
      <c r="BS144" s="539">
        <f t="shared" si="58"/>
        <v>1</v>
      </c>
      <c r="BT144" s="539">
        <f t="shared" si="58"/>
        <v>1</v>
      </c>
      <c r="BU144" s="539">
        <f t="shared" si="58"/>
        <v>1</v>
      </c>
      <c r="BV144" s="539">
        <f t="shared" si="58"/>
        <v>1</v>
      </c>
      <c r="BW144" s="539">
        <f t="shared" si="58"/>
        <v>1</v>
      </c>
      <c r="BX144" s="539">
        <f t="shared" si="58"/>
        <v>1</v>
      </c>
      <c r="BY144" s="539">
        <f t="shared" si="58"/>
        <v>1</v>
      </c>
      <c r="BZ144" s="539">
        <f t="shared" si="58"/>
        <v>1</v>
      </c>
      <c r="CA144" s="539">
        <f t="shared" si="58"/>
        <v>1</v>
      </c>
      <c r="CB144" s="539">
        <f t="shared" si="58"/>
        <v>1</v>
      </c>
      <c r="CC144" s="539">
        <f t="shared" si="58"/>
        <v>1</v>
      </c>
      <c r="CD144" s="539">
        <f t="shared" si="58"/>
        <v>1</v>
      </c>
      <c r="CE144" s="539">
        <f t="shared" si="58"/>
        <v>1</v>
      </c>
      <c r="CF144" s="539">
        <f t="shared" si="58"/>
        <v>1</v>
      </c>
      <c r="CG144" s="539">
        <f t="shared" si="58"/>
        <v>1</v>
      </c>
      <c r="CH144" s="539">
        <f t="shared" si="58"/>
        <v>1</v>
      </c>
      <c r="CI144" s="539">
        <f t="shared" si="58"/>
        <v>1</v>
      </c>
      <c r="CJ144" s="539">
        <f t="shared" si="58"/>
        <v>1</v>
      </c>
      <c r="CK144" s="539">
        <f t="shared" si="58"/>
        <v>1</v>
      </c>
      <c r="CL144" s="539">
        <f t="shared" si="58"/>
        <v>1</v>
      </c>
      <c r="CM144" s="539">
        <f t="shared" si="58"/>
        <v>1</v>
      </c>
      <c r="CN144" s="539">
        <f t="shared" si="58"/>
        <v>1</v>
      </c>
      <c r="CO144" s="539">
        <f t="shared" si="58"/>
        <v>1</v>
      </c>
      <c r="CP144" s="539">
        <f t="shared" si="58"/>
        <v>1</v>
      </c>
      <c r="CQ144" s="539">
        <f t="shared" si="58"/>
        <v>1</v>
      </c>
      <c r="CR144" s="539">
        <f t="shared" si="58"/>
        <v>1</v>
      </c>
      <c r="CS144" s="539">
        <f t="shared" si="58"/>
        <v>1</v>
      </c>
      <c r="CT144" s="539">
        <f t="shared" si="58"/>
        <v>1</v>
      </c>
      <c r="CU144" s="539">
        <f t="shared" si="58"/>
        <v>1</v>
      </c>
      <c r="CV144" s="539">
        <f t="shared" si="58"/>
        <v>1</v>
      </c>
      <c r="CW144" s="539">
        <f t="shared" si="58"/>
        <v>1</v>
      </c>
      <c r="CX144" s="539">
        <f t="shared" si="58"/>
        <v>1</v>
      </c>
      <c r="CY144" s="539">
        <f t="shared" si="58"/>
        <v>1</v>
      </c>
      <c r="CZ144" s="539">
        <f t="shared" si="58"/>
        <v>1</v>
      </c>
      <c r="DA144" s="539">
        <f t="shared" si="58"/>
        <v>1</v>
      </c>
      <c r="DB144" s="539">
        <f t="shared" si="58"/>
        <v>1</v>
      </c>
      <c r="DC144" s="539">
        <f t="shared" si="58"/>
        <v>1</v>
      </c>
      <c r="DD144" s="539">
        <f t="shared" si="58"/>
        <v>1</v>
      </c>
      <c r="DE144" s="539">
        <f t="shared" si="58"/>
        <v>1</v>
      </c>
      <c r="DF144" s="539">
        <f t="shared" si="58"/>
        <v>1</v>
      </c>
      <c r="DG144" s="539">
        <f t="shared" si="58"/>
        <v>1</v>
      </c>
      <c r="DH144" s="539">
        <f t="shared" si="58"/>
        <v>1</v>
      </c>
      <c r="DI144" s="539">
        <f t="shared" si="58"/>
        <v>1</v>
      </c>
      <c r="DJ144" s="539">
        <f t="shared" si="58"/>
        <v>1</v>
      </c>
      <c r="DK144" s="539">
        <f t="shared" si="58"/>
        <v>1</v>
      </c>
      <c r="DL144" s="539">
        <f t="shared" si="58"/>
        <v>1</v>
      </c>
      <c r="DM144" s="539">
        <f t="shared" si="58"/>
        <v>1</v>
      </c>
      <c r="DN144" s="539">
        <f t="shared" si="58"/>
        <v>1</v>
      </c>
      <c r="DO144" s="539">
        <f t="shared" si="58"/>
        <v>1</v>
      </c>
      <c r="DP144" s="539">
        <f t="shared" si="58"/>
        <v>1</v>
      </c>
      <c r="DQ144" s="539">
        <f t="shared" si="58"/>
        <v>1</v>
      </c>
      <c r="DR144" s="539">
        <f t="shared" si="58"/>
        <v>1</v>
      </c>
      <c r="DS144" s="539">
        <f t="shared" si="58"/>
        <v>1</v>
      </c>
      <c r="DT144" s="539">
        <f t="shared" si="58"/>
        <v>1</v>
      </c>
      <c r="DU144" s="539">
        <f t="shared" si="58"/>
        <v>1</v>
      </c>
      <c r="DV144" s="539">
        <f t="shared" si="58"/>
        <v>1</v>
      </c>
      <c r="DW144" s="539">
        <f t="shared" si="58"/>
        <v>1</v>
      </c>
      <c r="DX144" s="539">
        <f t="shared" si="58"/>
        <v>1</v>
      </c>
      <c r="DY144" s="539">
        <f t="shared" si="58"/>
        <v>1</v>
      </c>
      <c r="DZ144" s="539">
        <f t="shared" si="58"/>
        <v>1</v>
      </c>
      <c r="EA144" s="539">
        <f t="shared" si="58"/>
        <v>1</v>
      </c>
      <c r="EB144" s="539">
        <f t="shared" si="58"/>
        <v>1</v>
      </c>
      <c r="EC144" s="539">
        <f t="shared" si="58"/>
        <v>1</v>
      </c>
      <c r="ED144" s="539">
        <f t="shared" si="58"/>
        <v>0</v>
      </c>
      <c r="EE144" s="539">
        <f t="shared" si="58"/>
        <v>0</v>
      </c>
      <c r="EF144" s="539">
        <f t="shared" si="58"/>
        <v>0</v>
      </c>
      <c r="EG144" s="539">
        <f t="shared" si="58"/>
        <v>0</v>
      </c>
    </row>
    <row r="145" spans="5:137" ht="12.75">
      <c r="E145" s="538" t="s">
        <v>187</v>
      </c>
      <c r="G145" s="539" t="s">
        <v>154</v>
      </c>
      <c r="H145" s="539">
        <f>SUM(J145:EG145)</f>
        <v>250</v>
      </c>
      <c r="J145" s="539">
        <f t="shared" si="59" ref="J145:EG145">IF(I145=$F143/$F142,1,I145+1)*J144</f>
        <v>0</v>
      </c>
      <c r="K145" s="539">
        <f t="shared" si="59"/>
        <v>0</v>
      </c>
      <c r="L145" s="539">
        <f t="shared" si="59"/>
        <v>0</v>
      </c>
      <c r="M145" s="539">
        <f t="shared" si="59"/>
        <v>0</v>
      </c>
      <c r="N145" s="539">
        <f t="shared" si="59"/>
        <v>0</v>
      </c>
      <c r="O145" s="539">
        <f t="shared" si="59"/>
        <v>0</v>
      </c>
      <c r="P145" s="539">
        <f t="shared" si="59"/>
        <v>0</v>
      </c>
      <c r="Q145" s="539">
        <f t="shared" si="59"/>
        <v>0</v>
      </c>
      <c r="R145" s="539">
        <f t="shared" si="59"/>
        <v>0</v>
      </c>
      <c r="S145" s="539">
        <f t="shared" si="59"/>
        <v>0</v>
      </c>
      <c r="T145" s="539">
        <f t="shared" si="59"/>
        <v>0</v>
      </c>
      <c r="U145" s="539">
        <f t="shared" si="59"/>
        <v>0</v>
      </c>
      <c r="V145" s="539">
        <f t="shared" si="59"/>
        <v>0</v>
      </c>
      <c r="W145" s="539">
        <f t="shared" si="59"/>
        <v>0</v>
      </c>
      <c r="X145" s="539">
        <f t="shared" si="59"/>
        <v>0</v>
      </c>
      <c r="Y145" s="539">
        <f t="shared" si="59"/>
        <v>0</v>
      </c>
      <c r="Z145" s="539">
        <f t="shared" si="59"/>
        <v>0</v>
      </c>
      <c r="AA145" s="539">
        <f t="shared" si="59"/>
        <v>0</v>
      </c>
      <c r="AB145" s="539">
        <f t="shared" si="59"/>
        <v>0</v>
      </c>
      <c r="AC145" s="539">
        <f t="shared" si="59"/>
        <v>0</v>
      </c>
      <c r="AD145" s="539">
        <f t="shared" si="59"/>
        <v>0</v>
      </c>
      <c r="AE145" s="539">
        <f t="shared" si="59"/>
        <v>0</v>
      </c>
      <c r="AF145" s="539">
        <f t="shared" si="59"/>
        <v>0</v>
      </c>
      <c r="AG145" s="539">
        <f t="shared" si="59"/>
        <v>0</v>
      </c>
      <c r="AH145" s="539">
        <f t="shared" si="59"/>
        <v>1</v>
      </c>
      <c r="AI145" s="539">
        <f t="shared" si="59"/>
        <v>2</v>
      </c>
      <c r="AJ145" s="539">
        <f t="shared" si="59"/>
        <v>3</v>
      </c>
      <c r="AK145" s="539">
        <f t="shared" si="59"/>
        <v>4</v>
      </c>
      <c r="AL145" s="539">
        <f t="shared" si="59"/>
        <v>1</v>
      </c>
      <c r="AM145" s="539">
        <f t="shared" si="59"/>
        <v>2</v>
      </c>
      <c r="AN145" s="539">
        <f t="shared" si="59"/>
        <v>3</v>
      </c>
      <c r="AO145" s="539">
        <f t="shared" si="59"/>
        <v>4</v>
      </c>
      <c r="AP145" s="539">
        <f t="shared" si="59"/>
        <v>1</v>
      </c>
      <c r="AQ145" s="539">
        <f t="shared" si="59"/>
        <v>2</v>
      </c>
      <c r="AR145" s="539">
        <f t="shared" si="59"/>
        <v>3</v>
      </c>
      <c r="AS145" s="539">
        <f t="shared" si="59"/>
        <v>4</v>
      </c>
      <c r="AT145" s="539">
        <f t="shared" si="59"/>
        <v>1</v>
      </c>
      <c r="AU145" s="539">
        <f t="shared" si="59"/>
        <v>2</v>
      </c>
      <c r="AV145" s="539">
        <f t="shared" si="59"/>
        <v>3</v>
      </c>
      <c r="AW145" s="539">
        <f t="shared" si="59"/>
        <v>4</v>
      </c>
      <c r="AX145" s="539">
        <f t="shared" si="59"/>
        <v>1</v>
      </c>
      <c r="AY145" s="539">
        <f t="shared" si="59"/>
        <v>2</v>
      </c>
      <c r="AZ145" s="539">
        <f t="shared" si="59"/>
        <v>3</v>
      </c>
      <c r="BA145" s="539">
        <f t="shared" si="59"/>
        <v>4</v>
      </c>
      <c r="BB145" s="539">
        <f t="shared" si="59"/>
        <v>1</v>
      </c>
      <c r="BC145" s="539">
        <f t="shared" si="59"/>
        <v>2</v>
      </c>
      <c r="BD145" s="539">
        <f t="shared" si="59"/>
        <v>3</v>
      </c>
      <c r="BE145" s="539">
        <f t="shared" si="59"/>
        <v>4</v>
      </c>
      <c r="BF145" s="539">
        <f t="shared" si="59"/>
        <v>1</v>
      </c>
      <c r="BG145" s="539">
        <f t="shared" si="59"/>
        <v>2</v>
      </c>
      <c r="BH145" s="539">
        <f t="shared" si="59"/>
        <v>3</v>
      </c>
      <c r="BI145" s="539">
        <f t="shared" si="59"/>
        <v>4</v>
      </c>
      <c r="BJ145" s="539">
        <f t="shared" si="59"/>
        <v>1</v>
      </c>
      <c r="BK145" s="539">
        <f t="shared" si="59"/>
        <v>2</v>
      </c>
      <c r="BL145" s="539">
        <f t="shared" si="59"/>
        <v>3</v>
      </c>
      <c r="BM145" s="539">
        <f t="shared" si="59"/>
        <v>4</v>
      </c>
      <c r="BN145" s="539">
        <f t="shared" si="59"/>
        <v>1</v>
      </c>
      <c r="BO145" s="539">
        <f t="shared" si="59"/>
        <v>2</v>
      </c>
      <c r="BP145" s="539">
        <f t="shared" si="59"/>
        <v>3</v>
      </c>
      <c r="BQ145" s="539">
        <f t="shared" si="59"/>
        <v>4</v>
      </c>
      <c r="BR145" s="539">
        <f t="shared" si="59"/>
        <v>1</v>
      </c>
      <c r="BS145" s="539">
        <f t="shared" si="59"/>
        <v>2</v>
      </c>
      <c r="BT145" s="539">
        <f t="shared" si="59"/>
        <v>3</v>
      </c>
      <c r="BU145" s="539">
        <f t="shared" si="59"/>
        <v>4</v>
      </c>
      <c r="BV145" s="539">
        <f t="shared" si="59"/>
        <v>1</v>
      </c>
      <c r="BW145" s="539">
        <f t="shared" si="59"/>
        <v>2</v>
      </c>
      <c r="BX145" s="539">
        <f t="shared" si="59"/>
        <v>3</v>
      </c>
      <c r="BY145" s="539">
        <f t="shared" si="59"/>
        <v>4</v>
      </c>
      <c r="BZ145" s="539">
        <f t="shared" si="59"/>
        <v>1</v>
      </c>
      <c r="CA145" s="539">
        <f t="shared" si="59"/>
        <v>2</v>
      </c>
      <c r="CB145" s="539">
        <f t="shared" si="59"/>
        <v>3</v>
      </c>
      <c r="CC145" s="539">
        <f t="shared" si="59"/>
        <v>4</v>
      </c>
      <c r="CD145" s="539">
        <f t="shared" si="59"/>
        <v>1</v>
      </c>
      <c r="CE145" s="539">
        <f t="shared" si="59"/>
        <v>2</v>
      </c>
      <c r="CF145" s="539">
        <f t="shared" si="59"/>
        <v>3</v>
      </c>
      <c r="CG145" s="539">
        <f t="shared" si="59"/>
        <v>4</v>
      </c>
      <c r="CH145" s="539">
        <f t="shared" si="59"/>
        <v>1</v>
      </c>
      <c r="CI145" s="539">
        <f t="shared" si="59"/>
        <v>2</v>
      </c>
      <c r="CJ145" s="539">
        <f t="shared" si="59"/>
        <v>3</v>
      </c>
      <c r="CK145" s="539">
        <f t="shared" si="59"/>
        <v>4</v>
      </c>
      <c r="CL145" s="539">
        <f t="shared" si="59"/>
        <v>1</v>
      </c>
      <c r="CM145" s="539">
        <f t="shared" si="59"/>
        <v>2</v>
      </c>
      <c r="CN145" s="539">
        <f t="shared" si="59"/>
        <v>3</v>
      </c>
      <c r="CO145" s="539">
        <f t="shared" si="59"/>
        <v>4</v>
      </c>
      <c r="CP145" s="539">
        <f t="shared" si="59"/>
        <v>1</v>
      </c>
      <c r="CQ145" s="539">
        <f t="shared" si="59"/>
        <v>2</v>
      </c>
      <c r="CR145" s="539">
        <f t="shared" si="59"/>
        <v>3</v>
      </c>
      <c r="CS145" s="539">
        <f t="shared" si="59"/>
        <v>4</v>
      </c>
      <c r="CT145" s="539">
        <f t="shared" si="59"/>
        <v>1</v>
      </c>
      <c r="CU145" s="539">
        <f t="shared" si="59"/>
        <v>2</v>
      </c>
      <c r="CV145" s="539">
        <f t="shared" si="59"/>
        <v>3</v>
      </c>
      <c r="CW145" s="539">
        <f t="shared" si="59"/>
        <v>4</v>
      </c>
      <c r="CX145" s="539">
        <f t="shared" si="59"/>
        <v>1</v>
      </c>
      <c r="CY145" s="539">
        <f t="shared" si="59"/>
        <v>2</v>
      </c>
      <c r="CZ145" s="539">
        <f t="shared" si="59"/>
        <v>3</v>
      </c>
      <c r="DA145" s="539">
        <f t="shared" si="59"/>
        <v>4</v>
      </c>
      <c r="DB145" s="539">
        <f t="shared" si="59"/>
        <v>1</v>
      </c>
      <c r="DC145" s="539">
        <f t="shared" si="59"/>
        <v>2</v>
      </c>
      <c r="DD145" s="539">
        <f t="shared" si="59"/>
        <v>3</v>
      </c>
      <c r="DE145" s="539">
        <f t="shared" si="59"/>
        <v>4</v>
      </c>
      <c r="DF145" s="539">
        <f t="shared" si="59"/>
        <v>1</v>
      </c>
      <c r="DG145" s="539">
        <f t="shared" si="59"/>
        <v>2</v>
      </c>
      <c r="DH145" s="539">
        <f t="shared" si="59"/>
        <v>3</v>
      </c>
      <c r="DI145" s="539">
        <f t="shared" si="59"/>
        <v>4</v>
      </c>
      <c r="DJ145" s="539">
        <f t="shared" si="59"/>
        <v>1</v>
      </c>
      <c r="DK145" s="539">
        <f t="shared" si="59"/>
        <v>2</v>
      </c>
      <c r="DL145" s="539">
        <f t="shared" si="59"/>
        <v>3</v>
      </c>
      <c r="DM145" s="539">
        <f t="shared" si="59"/>
        <v>4</v>
      </c>
      <c r="DN145" s="539">
        <f t="shared" si="59"/>
        <v>1</v>
      </c>
      <c r="DO145" s="539">
        <f t="shared" si="59"/>
        <v>2</v>
      </c>
      <c r="DP145" s="539">
        <f t="shared" si="59"/>
        <v>3</v>
      </c>
      <c r="DQ145" s="539">
        <f t="shared" si="59"/>
        <v>4</v>
      </c>
      <c r="DR145" s="539">
        <f t="shared" si="59"/>
        <v>1</v>
      </c>
      <c r="DS145" s="539">
        <f t="shared" si="59"/>
        <v>2</v>
      </c>
      <c r="DT145" s="539">
        <f t="shared" si="59"/>
        <v>3</v>
      </c>
      <c r="DU145" s="539">
        <f t="shared" si="59"/>
        <v>4</v>
      </c>
      <c r="DV145" s="539">
        <f t="shared" si="59"/>
        <v>1</v>
      </c>
      <c r="DW145" s="539">
        <f t="shared" si="59"/>
        <v>2</v>
      </c>
      <c r="DX145" s="539">
        <f t="shared" si="59"/>
        <v>3</v>
      </c>
      <c r="DY145" s="539">
        <f t="shared" si="59"/>
        <v>4</v>
      </c>
      <c r="DZ145" s="539">
        <f t="shared" si="59"/>
        <v>1</v>
      </c>
      <c r="EA145" s="539">
        <f t="shared" si="59"/>
        <v>2</v>
      </c>
      <c r="EB145" s="539">
        <f t="shared" si="59"/>
        <v>3</v>
      </c>
      <c r="EC145" s="539">
        <f t="shared" si="59"/>
        <v>4</v>
      </c>
      <c r="ED145" s="539">
        <f t="shared" si="59"/>
        <v>0</v>
      </c>
      <c r="EE145" s="539">
        <f t="shared" si="59"/>
        <v>0</v>
      </c>
      <c r="EF145" s="539">
        <f t="shared" si="59"/>
        <v>0</v>
      </c>
      <c r="EG145" s="539">
        <f t="shared" si="59"/>
        <v>0</v>
      </c>
    </row>
    <row r="147" spans="2:2" ht="12.75">
      <c r="B147" s="534" t="s">
        <v>188</v>
      </c>
    </row>
    <row r="148" spans="5:137" ht="12.75">
      <c r="E148" s="538" t="str">
        <f>E$91</f>
        <v>Operating period flag</v>
      </c>
      <c r="G148" s="539" t="str">
        <f>G$91</f>
        <v>flag</v>
      </c>
      <c r="H148" s="539">
        <f>H$91</f>
        <v>100</v>
      </c>
      <c r="J148" s="539">
        <f t="shared" si="60" ref="J148:EG148">J$91</f>
        <v>0</v>
      </c>
      <c r="K148" s="539">
        <f t="shared" si="60"/>
        <v>0</v>
      </c>
      <c r="L148" s="539">
        <f t="shared" si="60"/>
        <v>0</v>
      </c>
      <c r="M148" s="539">
        <f t="shared" si="60"/>
        <v>0</v>
      </c>
      <c r="N148" s="539">
        <f t="shared" si="60"/>
        <v>0</v>
      </c>
      <c r="O148" s="539">
        <f t="shared" si="60"/>
        <v>0</v>
      </c>
      <c r="P148" s="539">
        <f t="shared" si="60"/>
        <v>0</v>
      </c>
      <c r="Q148" s="539">
        <f t="shared" si="60"/>
        <v>0</v>
      </c>
      <c r="R148" s="539">
        <f t="shared" si="60"/>
        <v>0</v>
      </c>
      <c r="S148" s="539">
        <f t="shared" si="60"/>
        <v>0</v>
      </c>
      <c r="T148" s="539">
        <f t="shared" si="60"/>
        <v>0</v>
      </c>
      <c r="U148" s="539">
        <f t="shared" si="60"/>
        <v>0</v>
      </c>
      <c r="V148" s="539">
        <f t="shared" si="60"/>
        <v>0</v>
      </c>
      <c r="W148" s="539">
        <f t="shared" si="60"/>
        <v>0</v>
      </c>
      <c r="X148" s="539">
        <f t="shared" si="60"/>
        <v>0</v>
      </c>
      <c r="Y148" s="539">
        <f t="shared" si="60"/>
        <v>0</v>
      </c>
      <c r="Z148" s="539">
        <f t="shared" si="60"/>
        <v>0</v>
      </c>
      <c r="AA148" s="539">
        <f t="shared" si="60"/>
        <v>0</v>
      </c>
      <c r="AB148" s="539">
        <f t="shared" si="60"/>
        <v>0</v>
      </c>
      <c r="AC148" s="539">
        <f t="shared" si="60"/>
        <v>0</v>
      </c>
      <c r="AD148" s="539">
        <f t="shared" si="60"/>
        <v>0</v>
      </c>
      <c r="AE148" s="539">
        <f t="shared" si="60"/>
        <v>0</v>
      </c>
      <c r="AF148" s="539">
        <f t="shared" si="60"/>
        <v>0</v>
      </c>
      <c r="AG148" s="539">
        <f t="shared" si="60"/>
        <v>0</v>
      </c>
      <c r="AH148" s="539">
        <f t="shared" si="60"/>
        <v>1</v>
      </c>
      <c r="AI148" s="539">
        <f t="shared" si="60"/>
        <v>1</v>
      </c>
      <c r="AJ148" s="539">
        <f t="shared" si="60"/>
        <v>1</v>
      </c>
      <c r="AK148" s="539">
        <f t="shared" si="60"/>
        <v>1</v>
      </c>
      <c r="AL148" s="539">
        <f t="shared" si="60"/>
        <v>1</v>
      </c>
      <c r="AM148" s="539">
        <f t="shared" si="60"/>
        <v>1</v>
      </c>
      <c r="AN148" s="539">
        <f t="shared" si="60"/>
        <v>1</v>
      </c>
      <c r="AO148" s="539">
        <f t="shared" si="60"/>
        <v>1</v>
      </c>
      <c r="AP148" s="539">
        <f t="shared" si="60"/>
        <v>1</v>
      </c>
      <c r="AQ148" s="539">
        <f t="shared" si="60"/>
        <v>1</v>
      </c>
      <c r="AR148" s="539">
        <f t="shared" si="60"/>
        <v>1</v>
      </c>
      <c r="AS148" s="539">
        <f t="shared" si="60"/>
        <v>1</v>
      </c>
      <c r="AT148" s="539">
        <f t="shared" si="60"/>
        <v>1</v>
      </c>
      <c r="AU148" s="539">
        <f t="shared" si="60"/>
        <v>1</v>
      </c>
      <c r="AV148" s="539">
        <f t="shared" si="60"/>
        <v>1</v>
      </c>
      <c r="AW148" s="539">
        <f t="shared" si="60"/>
        <v>1</v>
      </c>
      <c r="AX148" s="539">
        <f t="shared" si="60"/>
        <v>1</v>
      </c>
      <c r="AY148" s="539">
        <f t="shared" si="60"/>
        <v>1</v>
      </c>
      <c r="AZ148" s="539">
        <f t="shared" si="60"/>
        <v>1</v>
      </c>
      <c r="BA148" s="539">
        <f t="shared" si="60"/>
        <v>1</v>
      </c>
      <c r="BB148" s="539">
        <f t="shared" si="60"/>
        <v>1</v>
      </c>
      <c r="BC148" s="539">
        <f t="shared" si="60"/>
        <v>1</v>
      </c>
      <c r="BD148" s="539">
        <f t="shared" si="60"/>
        <v>1</v>
      </c>
      <c r="BE148" s="539">
        <f t="shared" si="60"/>
        <v>1</v>
      </c>
      <c r="BF148" s="539">
        <f t="shared" si="60"/>
        <v>1</v>
      </c>
      <c r="BG148" s="539">
        <f t="shared" si="60"/>
        <v>1</v>
      </c>
      <c r="BH148" s="539">
        <f t="shared" si="60"/>
        <v>1</v>
      </c>
      <c r="BI148" s="539">
        <f t="shared" si="60"/>
        <v>1</v>
      </c>
      <c r="BJ148" s="539">
        <f t="shared" si="60"/>
        <v>1</v>
      </c>
      <c r="BK148" s="539">
        <f t="shared" si="60"/>
        <v>1</v>
      </c>
      <c r="BL148" s="539">
        <f t="shared" si="60"/>
        <v>1</v>
      </c>
      <c r="BM148" s="539">
        <f t="shared" si="60"/>
        <v>1</v>
      </c>
      <c r="BN148" s="539">
        <f t="shared" si="60"/>
        <v>1</v>
      </c>
      <c r="BO148" s="539">
        <f t="shared" si="60"/>
        <v>1</v>
      </c>
      <c r="BP148" s="539">
        <f t="shared" si="60"/>
        <v>1</v>
      </c>
      <c r="BQ148" s="539">
        <f t="shared" si="60"/>
        <v>1</v>
      </c>
      <c r="BR148" s="539">
        <f t="shared" si="60"/>
        <v>1</v>
      </c>
      <c r="BS148" s="539">
        <f t="shared" si="60"/>
        <v>1</v>
      </c>
      <c r="BT148" s="539">
        <f t="shared" si="60"/>
        <v>1</v>
      </c>
      <c r="BU148" s="539">
        <f t="shared" si="60"/>
        <v>1</v>
      </c>
      <c r="BV148" s="539">
        <f t="shared" si="60"/>
        <v>1</v>
      </c>
      <c r="BW148" s="539">
        <f t="shared" si="60"/>
        <v>1</v>
      </c>
      <c r="BX148" s="539">
        <f t="shared" si="60"/>
        <v>1</v>
      </c>
      <c r="BY148" s="539">
        <f t="shared" si="60"/>
        <v>1</v>
      </c>
      <c r="BZ148" s="539">
        <f t="shared" si="60"/>
        <v>1</v>
      </c>
      <c r="CA148" s="539">
        <f t="shared" si="60"/>
        <v>1</v>
      </c>
      <c r="CB148" s="539">
        <f t="shared" si="60"/>
        <v>1</v>
      </c>
      <c r="CC148" s="539">
        <f t="shared" si="60"/>
        <v>1</v>
      </c>
      <c r="CD148" s="539">
        <f t="shared" si="60"/>
        <v>1</v>
      </c>
      <c r="CE148" s="539">
        <f t="shared" si="60"/>
        <v>1</v>
      </c>
      <c r="CF148" s="539">
        <f t="shared" si="60"/>
        <v>1</v>
      </c>
      <c r="CG148" s="539">
        <f t="shared" si="60"/>
        <v>1</v>
      </c>
      <c r="CH148" s="539">
        <f t="shared" si="60"/>
        <v>1</v>
      </c>
      <c r="CI148" s="539">
        <f t="shared" si="60"/>
        <v>1</v>
      </c>
      <c r="CJ148" s="539">
        <f t="shared" si="60"/>
        <v>1</v>
      </c>
      <c r="CK148" s="539">
        <f t="shared" si="60"/>
        <v>1</v>
      </c>
      <c r="CL148" s="539">
        <f t="shared" si="60"/>
        <v>1</v>
      </c>
      <c r="CM148" s="539">
        <f t="shared" si="60"/>
        <v>1</v>
      </c>
      <c r="CN148" s="539">
        <f t="shared" si="60"/>
        <v>1</v>
      </c>
      <c r="CO148" s="539">
        <f t="shared" si="60"/>
        <v>1</v>
      </c>
      <c r="CP148" s="539">
        <f t="shared" si="60"/>
        <v>1</v>
      </c>
      <c r="CQ148" s="539">
        <f t="shared" si="60"/>
        <v>1</v>
      </c>
      <c r="CR148" s="539">
        <f t="shared" si="60"/>
        <v>1</v>
      </c>
      <c r="CS148" s="539">
        <f t="shared" si="60"/>
        <v>1</v>
      </c>
      <c r="CT148" s="539">
        <f t="shared" si="60"/>
        <v>1</v>
      </c>
      <c r="CU148" s="539">
        <f t="shared" si="60"/>
        <v>1</v>
      </c>
      <c r="CV148" s="539">
        <f t="shared" si="60"/>
        <v>1</v>
      </c>
      <c r="CW148" s="539">
        <f t="shared" si="60"/>
        <v>1</v>
      </c>
      <c r="CX148" s="539">
        <f t="shared" si="60"/>
        <v>1</v>
      </c>
      <c r="CY148" s="539">
        <f t="shared" si="60"/>
        <v>1</v>
      </c>
      <c r="CZ148" s="539">
        <f t="shared" si="60"/>
        <v>1</v>
      </c>
      <c r="DA148" s="539">
        <f t="shared" si="60"/>
        <v>1</v>
      </c>
      <c r="DB148" s="539">
        <f t="shared" si="60"/>
        <v>1</v>
      </c>
      <c r="DC148" s="539">
        <f t="shared" si="60"/>
        <v>1</v>
      </c>
      <c r="DD148" s="539">
        <f t="shared" si="60"/>
        <v>1</v>
      </c>
      <c r="DE148" s="539">
        <f t="shared" si="60"/>
        <v>1</v>
      </c>
      <c r="DF148" s="539">
        <f t="shared" si="60"/>
        <v>1</v>
      </c>
      <c r="DG148" s="539">
        <f t="shared" si="60"/>
        <v>1</v>
      </c>
      <c r="DH148" s="539">
        <f t="shared" si="60"/>
        <v>1</v>
      </c>
      <c r="DI148" s="539">
        <f t="shared" si="60"/>
        <v>1</v>
      </c>
      <c r="DJ148" s="539">
        <f t="shared" si="60"/>
        <v>1</v>
      </c>
      <c r="DK148" s="539">
        <f t="shared" si="60"/>
        <v>1</v>
      </c>
      <c r="DL148" s="539">
        <f t="shared" si="60"/>
        <v>1</v>
      </c>
      <c r="DM148" s="539">
        <f t="shared" si="60"/>
        <v>1</v>
      </c>
      <c r="DN148" s="539">
        <f t="shared" si="60"/>
        <v>1</v>
      </c>
      <c r="DO148" s="539">
        <f t="shared" si="60"/>
        <v>1</v>
      </c>
      <c r="DP148" s="539">
        <f t="shared" si="60"/>
        <v>1</v>
      </c>
      <c r="DQ148" s="539">
        <f t="shared" si="60"/>
        <v>1</v>
      </c>
      <c r="DR148" s="539">
        <f t="shared" si="60"/>
        <v>1</v>
      </c>
      <c r="DS148" s="539">
        <f t="shared" si="60"/>
        <v>1</v>
      </c>
      <c r="DT148" s="539">
        <f t="shared" si="60"/>
        <v>1</v>
      </c>
      <c r="DU148" s="539">
        <f t="shared" si="60"/>
        <v>1</v>
      </c>
      <c r="DV148" s="539">
        <f t="shared" si="60"/>
        <v>1</v>
      </c>
      <c r="DW148" s="539">
        <f t="shared" si="60"/>
        <v>1</v>
      </c>
      <c r="DX148" s="539">
        <f t="shared" si="60"/>
        <v>1</v>
      </c>
      <c r="DY148" s="539">
        <f t="shared" si="60"/>
        <v>1</v>
      </c>
      <c r="DZ148" s="539">
        <f t="shared" si="60"/>
        <v>1</v>
      </c>
      <c r="EA148" s="539">
        <f t="shared" si="60"/>
        <v>1</v>
      </c>
      <c r="EB148" s="539">
        <f t="shared" si="60"/>
        <v>1</v>
      </c>
      <c r="EC148" s="539">
        <f t="shared" si="60"/>
        <v>1</v>
      </c>
      <c r="ED148" s="539">
        <f t="shared" si="60"/>
        <v>0</v>
      </c>
      <c r="EE148" s="539">
        <f t="shared" si="60"/>
        <v>0</v>
      </c>
      <c r="EF148" s="539">
        <f t="shared" si="60"/>
        <v>0</v>
      </c>
      <c r="EG148" s="539">
        <f t="shared" si="60"/>
        <v>0</v>
      </c>
    </row>
    <row r="149" spans="5:137" ht="12.75">
      <c r="E149" s="538" t="str">
        <f>E$108</f>
        <v>End of financial year flag</v>
      </c>
      <c r="G149" s="539" t="str">
        <f>G$108</f>
        <v>flag</v>
      </c>
      <c r="H149" s="539">
        <f>H$108</f>
        <v>28</v>
      </c>
      <c r="J149" s="539">
        <f t="shared" si="61" ref="J149:EG149">J$108</f>
        <v>0</v>
      </c>
      <c r="K149" s="539">
        <f t="shared" si="61"/>
        <v>0</v>
      </c>
      <c r="L149" s="539">
        <f t="shared" si="61"/>
        <v>0</v>
      </c>
      <c r="M149" s="539">
        <f t="shared" si="61"/>
        <v>0</v>
      </c>
      <c r="N149" s="539">
        <f t="shared" si="61"/>
        <v>0</v>
      </c>
      <c r="O149" s="539">
        <f t="shared" si="61"/>
        <v>0</v>
      </c>
      <c r="P149" s="539">
        <f t="shared" si="61"/>
        <v>0</v>
      </c>
      <c r="Q149" s="539">
        <f t="shared" si="61"/>
        <v>0</v>
      </c>
      <c r="R149" s="539">
        <f t="shared" si="61"/>
        <v>0</v>
      </c>
      <c r="S149" s="539">
        <f t="shared" si="61"/>
        <v>0</v>
      </c>
      <c r="T149" s="539">
        <f t="shared" si="61"/>
        <v>0</v>
      </c>
      <c r="U149" s="539">
        <f t="shared" si="61"/>
        <v>1</v>
      </c>
      <c r="V149" s="539">
        <f t="shared" si="61"/>
        <v>0</v>
      </c>
      <c r="W149" s="539">
        <f t="shared" si="61"/>
        <v>0</v>
      </c>
      <c r="X149" s="539">
        <f t="shared" si="61"/>
        <v>0</v>
      </c>
      <c r="Y149" s="539">
        <f t="shared" si="61"/>
        <v>0</v>
      </c>
      <c r="Z149" s="539">
        <f t="shared" si="61"/>
        <v>0</v>
      </c>
      <c r="AA149" s="539">
        <f t="shared" si="61"/>
        <v>0</v>
      </c>
      <c r="AB149" s="539">
        <f t="shared" si="61"/>
        <v>0</v>
      </c>
      <c r="AC149" s="539">
        <f t="shared" si="61"/>
        <v>0</v>
      </c>
      <c r="AD149" s="539">
        <f t="shared" si="61"/>
        <v>0</v>
      </c>
      <c r="AE149" s="539">
        <f t="shared" si="61"/>
        <v>0</v>
      </c>
      <c r="AF149" s="539">
        <f t="shared" si="61"/>
        <v>0</v>
      </c>
      <c r="AG149" s="539">
        <f t="shared" si="61"/>
        <v>1</v>
      </c>
      <c r="AH149" s="539">
        <f t="shared" si="61"/>
        <v>0</v>
      </c>
      <c r="AI149" s="539">
        <f t="shared" si="61"/>
        <v>0</v>
      </c>
      <c r="AJ149" s="539">
        <f t="shared" si="61"/>
        <v>0</v>
      </c>
      <c r="AK149" s="539">
        <f t="shared" si="61"/>
        <v>1</v>
      </c>
      <c r="AL149" s="539">
        <f t="shared" si="61"/>
        <v>0</v>
      </c>
      <c r="AM149" s="539">
        <f t="shared" si="61"/>
        <v>0</v>
      </c>
      <c r="AN149" s="539">
        <f t="shared" si="61"/>
        <v>0</v>
      </c>
      <c r="AO149" s="539">
        <f t="shared" si="61"/>
        <v>1</v>
      </c>
      <c r="AP149" s="539">
        <f t="shared" si="61"/>
        <v>0</v>
      </c>
      <c r="AQ149" s="539">
        <f t="shared" si="61"/>
        <v>0</v>
      </c>
      <c r="AR149" s="539">
        <f t="shared" si="61"/>
        <v>0</v>
      </c>
      <c r="AS149" s="539">
        <f t="shared" si="61"/>
        <v>1</v>
      </c>
      <c r="AT149" s="539">
        <f t="shared" si="61"/>
        <v>0</v>
      </c>
      <c r="AU149" s="539">
        <f t="shared" si="61"/>
        <v>0</v>
      </c>
      <c r="AV149" s="539">
        <f t="shared" si="61"/>
        <v>0</v>
      </c>
      <c r="AW149" s="539">
        <f t="shared" si="61"/>
        <v>1</v>
      </c>
      <c r="AX149" s="539">
        <f t="shared" si="61"/>
        <v>0</v>
      </c>
      <c r="AY149" s="539">
        <f t="shared" si="61"/>
        <v>0</v>
      </c>
      <c r="AZ149" s="539">
        <f t="shared" si="61"/>
        <v>0</v>
      </c>
      <c r="BA149" s="539">
        <f t="shared" si="61"/>
        <v>1</v>
      </c>
      <c r="BB149" s="539">
        <f t="shared" si="61"/>
        <v>0</v>
      </c>
      <c r="BC149" s="539">
        <f t="shared" si="61"/>
        <v>0</v>
      </c>
      <c r="BD149" s="539">
        <f t="shared" si="61"/>
        <v>0</v>
      </c>
      <c r="BE149" s="539">
        <f t="shared" si="61"/>
        <v>1</v>
      </c>
      <c r="BF149" s="539">
        <f t="shared" si="61"/>
        <v>0</v>
      </c>
      <c r="BG149" s="539">
        <f t="shared" si="61"/>
        <v>0</v>
      </c>
      <c r="BH149" s="539">
        <f t="shared" si="61"/>
        <v>0</v>
      </c>
      <c r="BI149" s="539">
        <f t="shared" si="61"/>
        <v>1</v>
      </c>
      <c r="BJ149" s="539">
        <f t="shared" si="61"/>
        <v>0</v>
      </c>
      <c r="BK149" s="539">
        <f t="shared" si="61"/>
        <v>0</v>
      </c>
      <c r="BL149" s="539">
        <f t="shared" si="61"/>
        <v>0</v>
      </c>
      <c r="BM149" s="539">
        <f t="shared" si="61"/>
        <v>1</v>
      </c>
      <c r="BN149" s="539">
        <f t="shared" si="61"/>
        <v>0</v>
      </c>
      <c r="BO149" s="539">
        <f t="shared" si="61"/>
        <v>0</v>
      </c>
      <c r="BP149" s="539">
        <f t="shared" si="61"/>
        <v>0</v>
      </c>
      <c r="BQ149" s="539">
        <f t="shared" si="61"/>
        <v>1</v>
      </c>
      <c r="BR149" s="539">
        <f t="shared" si="61"/>
        <v>0</v>
      </c>
      <c r="BS149" s="539">
        <f t="shared" si="61"/>
        <v>0</v>
      </c>
      <c r="BT149" s="539">
        <f t="shared" si="61"/>
        <v>0</v>
      </c>
      <c r="BU149" s="539">
        <f t="shared" si="61"/>
        <v>1</v>
      </c>
      <c r="BV149" s="539">
        <f t="shared" si="61"/>
        <v>0</v>
      </c>
      <c r="BW149" s="539">
        <f t="shared" si="61"/>
        <v>0</v>
      </c>
      <c r="BX149" s="539">
        <f t="shared" si="61"/>
        <v>0</v>
      </c>
      <c r="BY149" s="539">
        <f t="shared" si="61"/>
        <v>1</v>
      </c>
      <c r="BZ149" s="539">
        <f t="shared" si="61"/>
        <v>0</v>
      </c>
      <c r="CA149" s="539">
        <f t="shared" si="61"/>
        <v>0</v>
      </c>
      <c r="CB149" s="539">
        <f t="shared" si="61"/>
        <v>0</v>
      </c>
      <c r="CC149" s="539">
        <f t="shared" si="61"/>
        <v>1</v>
      </c>
      <c r="CD149" s="539">
        <f t="shared" si="61"/>
        <v>0</v>
      </c>
      <c r="CE149" s="539">
        <f t="shared" si="61"/>
        <v>0</v>
      </c>
      <c r="CF149" s="539">
        <f t="shared" si="61"/>
        <v>0</v>
      </c>
      <c r="CG149" s="539">
        <f t="shared" si="61"/>
        <v>1</v>
      </c>
      <c r="CH149" s="539">
        <f t="shared" si="61"/>
        <v>0</v>
      </c>
      <c r="CI149" s="539">
        <f t="shared" si="61"/>
        <v>0</v>
      </c>
      <c r="CJ149" s="539">
        <f t="shared" si="61"/>
        <v>0</v>
      </c>
      <c r="CK149" s="539">
        <f t="shared" si="61"/>
        <v>1</v>
      </c>
      <c r="CL149" s="539">
        <f t="shared" si="61"/>
        <v>0</v>
      </c>
      <c r="CM149" s="539">
        <f t="shared" si="61"/>
        <v>0</v>
      </c>
      <c r="CN149" s="539">
        <f t="shared" si="61"/>
        <v>0</v>
      </c>
      <c r="CO149" s="539">
        <f t="shared" si="61"/>
        <v>1</v>
      </c>
      <c r="CP149" s="539">
        <f t="shared" si="61"/>
        <v>0</v>
      </c>
      <c r="CQ149" s="539">
        <f t="shared" si="61"/>
        <v>0</v>
      </c>
      <c r="CR149" s="539">
        <f t="shared" si="61"/>
        <v>0</v>
      </c>
      <c r="CS149" s="539">
        <f t="shared" si="61"/>
        <v>1</v>
      </c>
      <c r="CT149" s="539">
        <f t="shared" si="61"/>
        <v>0</v>
      </c>
      <c r="CU149" s="539">
        <f t="shared" si="61"/>
        <v>0</v>
      </c>
      <c r="CV149" s="539">
        <f t="shared" si="61"/>
        <v>0</v>
      </c>
      <c r="CW149" s="539">
        <f t="shared" si="61"/>
        <v>1</v>
      </c>
      <c r="CX149" s="539">
        <f t="shared" si="61"/>
        <v>0</v>
      </c>
      <c r="CY149" s="539">
        <f t="shared" si="61"/>
        <v>0</v>
      </c>
      <c r="CZ149" s="539">
        <f t="shared" si="61"/>
        <v>0</v>
      </c>
      <c r="DA149" s="539">
        <f t="shared" si="61"/>
        <v>1</v>
      </c>
      <c r="DB149" s="539">
        <f t="shared" si="61"/>
        <v>0</v>
      </c>
      <c r="DC149" s="539">
        <f t="shared" si="61"/>
        <v>0</v>
      </c>
      <c r="DD149" s="539">
        <f t="shared" si="61"/>
        <v>0</v>
      </c>
      <c r="DE149" s="539">
        <f t="shared" si="61"/>
        <v>1</v>
      </c>
      <c r="DF149" s="539">
        <f t="shared" si="61"/>
        <v>0</v>
      </c>
      <c r="DG149" s="539">
        <f t="shared" si="61"/>
        <v>0</v>
      </c>
      <c r="DH149" s="539">
        <f t="shared" si="61"/>
        <v>0</v>
      </c>
      <c r="DI149" s="539">
        <f t="shared" si="61"/>
        <v>1</v>
      </c>
      <c r="DJ149" s="539">
        <f t="shared" si="61"/>
        <v>0</v>
      </c>
      <c r="DK149" s="539">
        <f t="shared" si="61"/>
        <v>0</v>
      </c>
      <c r="DL149" s="539">
        <f t="shared" si="61"/>
        <v>0</v>
      </c>
      <c r="DM149" s="539">
        <f t="shared" si="61"/>
        <v>1</v>
      </c>
      <c r="DN149" s="539">
        <f t="shared" si="61"/>
        <v>0</v>
      </c>
      <c r="DO149" s="539">
        <f t="shared" si="61"/>
        <v>0</v>
      </c>
      <c r="DP149" s="539">
        <f t="shared" si="61"/>
        <v>0</v>
      </c>
      <c r="DQ149" s="539">
        <f t="shared" si="61"/>
        <v>1</v>
      </c>
      <c r="DR149" s="539">
        <f t="shared" si="61"/>
        <v>0</v>
      </c>
      <c r="DS149" s="539">
        <f t="shared" si="61"/>
        <v>0</v>
      </c>
      <c r="DT149" s="539">
        <f t="shared" si="61"/>
        <v>0</v>
      </c>
      <c r="DU149" s="539">
        <f t="shared" si="61"/>
        <v>1</v>
      </c>
      <c r="DV149" s="539">
        <f t="shared" si="61"/>
        <v>0</v>
      </c>
      <c r="DW149" s="539">
        <f t="shared" si="61"/>
        <v>0</v>
      </c>
      <c r="DX149" s="539">
        <f t="shared" si="61"/>
        <v>0</v>
      </c>
      <c r="DY149" s="539">
        <f t="shared" si="61"/>
        <v>1</v>
      </c>
      <c r="DZ149" s="539">
        <f t="shared" si="61"/>
        <v>0</v>
      </c>
      <c r="EA149" s="539">
        <f t="shared" si="61"/>
        <v>0</v>
      </c>
      <c r="EB149" s="539">
        <f t="shared" si="61"/>
        <v>0</v>
      </c>
      <c r="EC149" s="539">
        <f t="shared" si="61"/>
        <v>1</v>
      </c>
      <c r="ED149" s="539">
        <f t="shared" si="61"/>
        <v>0</v>
      </c>
      <c r="EE149" s="539">
        <f t="shared" si="61"/>
        <v>0</v>
      </c>
      <c r="EF149" s="539">
        <f t="shared" si="61"/>
        <v>0</v>
      </c>
      <c r="EG149" s="539">
        <f t="shared" si="61"/>
        <v>1</v>
      </c>
    </row>
    <row r="150" spans="5:137" ht="12.75">
      <c r="E150" s="540" t="s">
        <v>188</v>
      </c>
      <c r="G150" s="541" t="s">
        <v>154</v>
      </c>
      <c r="H150" s="541">
        <f>SUM(J150:EG150)</f>
        <v>1300</v>
      </c>
      <c r="J150" s="541">
        <f t="shared" si="62" ref="J150:EG150">(I150+I149)*J148</f>
        <v>0</v>
      </c>
      <c r="K150" s="541">
        <f t="shared" si="62"/>
        <v>0</v>
      </c>
      <c r="L150" s="541">
        <f t="shared" si="62"/>
        <v>0</v>
      </c>
      <c r="M150" s="541">
        <f t="shared" si="62"/>
        <v>0</v>
      </c>
      <c r="N150" s="541">
        <f t="shared" si="62"/>
        <v>0</v>
      </c>
      <c r="O150" s="541">
        <f t="shared" si="62"/>
        <v>0</v>
      </c>
      <c r="P150" s="541">
        <f t="shared" si="62"/>
        <v>0</v>
      </c>
      <c r="Q150" s="541">
        <f t="shared" si="62"/>
        <v>0</v>
      </c>
      <c r="R150" s="541">
        <f t="shared" si="62"/>
        <v>0</v>
      </c>
      <c r="S150" s="541">
        <f t="shared" si="62"/>
        <v>0</v>
      </c>
      <c r="T150" s="541">
        <f t="shared" si="62"/>
        <v>0</v>
      </c>
      <c r="U150" s="541">
        <f t="shared" si="62"/>
        <v>0</v>
      </c>
      <c r="V150" s="541">
        <f t="shared" si="62"/>
        <v>0</v>
      </c>
      <c r="W150" s="541">
        <f t="shared" si="62"/>
        <v>0</v>
      </c>
      <c r="X150" s="541">
        <f t="shared" si="62"/>
        <v>0</v>
      </c>
      <c r="Y150" s="541">
        <f t="shared" si="62"/>
        <v>0</v>
      </c>
      <c r="Z150" s="541">
        <f t="shared" si="62"/>
        <v>0</v>
      </c>
      <c r="AA150" s="541">
        <f t="shared" si="62"/>
        <v>0</v>
      </c>
      <c r="AB150" s="541">
        <f t="shared" si="62"/>
        <v>0</v>
      </c>
      <c r="AC150" s="541">
        <f t="shared" si="62"/>
        <v>0</v>
      </c>
      <c r="AD150" s="541">
        <f t="shared" si="62"/>
        <v>0</v>
      </c>
      <c r="AE150" s="541">
        <f t="shared" si="62"/>
        <v>0</v>
      </c>
      <c r="AF150" s="541">
        <f t="shared" si="62"/>
        <v>0</v>
      </c>
      <c r="AG150" s="541">
        <f t="shared" si="62"/>
        <v>0</v>
      </c>
      <c r="AH150" s="541">
        <f t="shared" si="62"/>
        <v>1</v>
      </c>
      <c r="AI150" s="541">
        <f t="shared" si="62"/>
        <v>1</v>
      </c>
      <c r="AJ150" s="541">
        <f t="shared" si="62"/>
        <v>1</v>
      </c>
      <c r="AK150" s="541">
        <f t="shared" si="62"/>
        <v>1</v>
      </c>
      <c r="AL150" s="541">
        <f t="shared" si="62"/>
        <v>2</v>
      </c>
      <c r="AM150" s="541">
        <f t="shared" si="62"/>
        <v>2</v>
      </c>
      <c r="AN150" s="541">
        <f t="shared" si="62"/>
        <v>2</v>
      </c>
      <c r="AO150" s="541">
        <f t="shared" si="62"/>
        <v>2</v>
      </c>
      <c r="AP150" s="541">
        <f t="shared" si="62"/>
        <v>3</v>
      </c>
      <c r="AQ150" s="541">
        <f t="shared" si="62"/>
        <v>3</v>
      </c>
      <c r="AR150" s="541">
        <f t="shared" si="62"/>
        <v>3</v>
      </c>
      <c r="AS150" s="541">
        <f t="shared" si="62"/>
        <v>3</v>
      </c>
      <c r="AT150" s="541">
        <f t="shared" si="62"/>
        <v>4</v>
      </c>
      <c r="AU150" s="541">
        <f t="shared" si="62"/>
        <v>4</v>
      </c>
      <c r="AV150" s="541">
        <f t="shared" si="62"/>
        <v>4</v>
      </c>
      <c r="AW150" s="541">
        <f t="shared" si="62"/>
        <v>4</v>
      </c>
      <c r="AX150" s="541">
        <f t="shared" si="62"/>
        <v>5</v>
      </c>
      <c r="AY150" s="541">
        <f t="shared" si="62"/>
        <v>5</v>
      </c>
      <c r="AZ150" s="541">
        <f t="shared" si="62"/>
        <v>5</v>
      </c>
      <c r="BA150" s="541">
        <f t="shared" si="62"/>
        <v>5</v>
      </c>
      <c r="BB150" s="541">
        <f t="shared" si="62"/>
        <v>6</v>
      </c>
      <c r="BC150" s="541">
        <f t="shared" si="62"/>
        <v>6</v>
      </c>
      <c r="BD150" s="541">
        <f t="shared" si="62"/>
        <v>6</v>
      </c>
      <c r="BE150" s="541">
        <f t="shared" si="62"/>
        <v>6</v>
      </c>
      <c r="BF150" s="541">
        <f t="shared" si="62"/>
        <v>7</v>
      </c>
      <c r="BG150" s="541">
        <f t="shared" si="62"/>
        <v>7</v>
      </c>
      <c r="BH150" s="541">
        <f t="shared" si="62"/>
        <v>7</v>
      </c>
      <c r="BI150" s="541">
        <f t="shared" si="62"/>
        <v>7</v>
      </c>
      <c r="BJ150" s="541">
        <f t="shared" si="62"/>
        <v>8</v>
      </c>
      <c r="BK150" s="541">
        <f t="shared" si="62"/>
        <v>8</v>
      </c>
      <c r="BL150" s="541">
        <f t="shared" si="62"/>
        <v>8</v>
      </c>
      <c r="BM150" s="541">
        <f t="shared" si="62"/>
        <v>8</v>
      </c>
      <c r="BN150" s="541">
        <f t="shared" si="62"/>
        <v>9</v>
      </c>
      <c r="BO150" s="541">
        <f t="shared" si="62"/>
        <v>9</v>
      </c>
      <c r="BP150" s="541">
        <f t="shared" si="62"/>
        <v>9</v>
      </c>
      <c r="BQ150" s="541">
        <f t="shared" si="62"/>
        <v>9</v>
      </c>
      <c r="BR150" s="541">
        <f t="shared" si="62"/>
        <v>10</v>
      </c>
      <c r="BS150" s="541">
        <f t="shared" si="62"/>
        <v>10</v>
      </c>
      <c r="BT150" s="541">
        <f t="shared" si="62"/>
        <v>10</v>
      </c>
      <c r="BU150" s="541">
        <f t="shared" si="62"/>
        <v>10</v>
      </c>
      <c r="BV150" s="541">
        <f t="shared" si="62"/>
        <v>11</v>
      </c>
      <c r="BW150" s="541">
        <f t="shared" si="62"/>
        <v>11</v>
      </c>
      <c r="BX150" s="541">
        <f t="shared" si="62"/>
        <v>11</v>
      </c>
      <c r="BY150" s="541">
        <f t="shared" si="62"/>
        <v>11</v>
      </c>
      <c r="BZ150" s="541">
        <f t="shared" si="62"/>
        <v>12</v>
      </c>
      <c r="CA150" s="541">
        <f t="shared" si="62"/>
        <v>12</v>
      </c>
      <c r="CB150" s="541">
        <f t="shared" si="62"/>
        <v>12</v>
      </c>
      <c r="CC150" s="541">
        <f t="shared" si="62"/>
        <v>12</v>
      </c>
      <c r="CD150" s="541">
        <f t="shared" si="62"/>
        <v>13</v>
      </c>
      <c r="CE150" s="541">
        <f t="shared" si="62"/>
        <v>13</v>
      </c>
      <c r="CF150" s="541">
        <f t="shared" si="62"/>
        <v>13</v>
      </c>
      <c r="CG150" s="541">
        <f t="shared" si="62"/>
        <v>13</v>
      </c>
      <c r="CH150" s="541">
        <f t="shared" si="62"/>
        <v>14</v>
      </c>
      <c r="CI150" s="541">
        <f t="shared" si="62"/>
        <v>14</v>
      </c>
      <c r="CJ150" s="541">
        <f t="shared" si="62"/>
        <v>14</v>
      </c>
      <c r="CK150" s="541">
        <f t="shared" si="62"/>
        <v>14</v>
      </c>
      <c r="CL150" s="541">
        <f t="shared" si="62"/>
        <v>15</v>
      </c>
      <c r="CM150" s="541">
        <f t="shared" si="62"/>
        <v>15</v>
      </c>
      <c r="CN150" s="541">
        <f t="shared" si="62"/>
        <v>15</v>
      </c>
      <c r="CO150" s="541">
        <f t="shared" si="62"/>
        <v>15</v>
      </c>
      <c r="CP150" s="541">
        <f t="shared" si="62"/>
        <v>16</v>
      </c>
      <c r="CQ150" s="541">
        <f t="shared" si="62"/>
        <v>16</v>
      </c>
      <c r="CR150" s="541">
        <f t="shared" si="62"/>
        <v>16</v>
      </c>
      <c r="CS150" s="541">
        <f t="shared" si="62"/>
        <v>16</v>
      </c>
      <c r="CT150" s="541">
        <f t="shared" si="62"/>
        <v>17</v>
      </c>
      <c r="CU150" s="541">
        <f t="shared" si="62"/>
        <v>17</v>
      </c>
      <c r="CV150" s="541">
        <f t="shared" si="62"/>
        <v>17</v>
      </c>
      <c r="CW150" s="541">
        <f t="shared" si="62"/>
        <v>17</v>
      </c>
      <c r="CX150" s="541">
        <f t="shared" si="62"/>
        <v>18</v>
      </c>
      <c r="CY150" s="541">
        <f t="shared" si="62"/>
        <v>18</v>
      </c>
      <c r="CZ150" s="541">
        <f t="shared" si="62"/>
        <v>18</v>
      </c>
      <c r="DA150" s="541">
        <f t="shared" si="62"/>
        <v>18</v>
      </c>
      <c r="DB150" s="541">
        <f t="shared" si="62"/>
        <v>19</v>
      </c>
      <c r="DC150" s="541">
        <f t="shared" si="62"/>
        <v>19</v>
      </c>
      <c r="DD150" s="541">
        <f t="shared" si="62"/>
        <v>19</v>
      </c>
      <c r="DE150" s="541">
        <f t="shared" si="62"/>
        <v>19</v>
      </c>
      <c r="DF150" s="541">
        <f t="shared" si="62"/>
        <v>20</v>
      </c>
      <c r="DG150" s="541">
        <f t="shared" si="62"/>
        <v>20</v>
      </c>
      <c r="DH150" s="541">
        <f t="shared" si="62"/>
        <v>20</v>
      </c>
      <c r="DI150" s="541">
        <f t="shared" si="62"/>
        <v>20</v>
      </c>
      <c r="DJ150" s="541">
        <f t="shared" si="62"/>
        <v>21</v>
      </c>
      <c r="DK150" s="541">
        <f t="shared" si="62"/>
        <v>21</v>
      </c>
      <c r="DL150" s="541">
        <f t="shared" si="62"/>
        <v>21</v>
      </c>
      <c r="DM150" s="541">
        <f t="shared" si="62"/>
        <v>21</v>
      </c>
      <c r="DN150" s="541">
        <f t="shared" si="62"/>
        <v>22</v>
      </c>
      <c r="DO150" s="541">
        <f t="shared" si="62"/>
        <v>22</v>
      </c>
      <c r="DP150" s="541">
        <f t="shared" si="62"/>
        <v>22</v>
      </c>
      <c r="DQ150" s="541">
        <f t="shared" si="62"/>
        <v>22</v>
      </c>
      <c r="DR150" s="541">
        <f t="shared" si="62"/>
        <v>23</v>
      </c>
      <c r="DS150" s="541">
        <f t="shared" si="62"/>
        <v>23</v>
      </c>
      <c r="DT150" s="541">
        <f t="shared" si="62"/>
        <v>23</v>
      </c>
      <c r="DU150" s="541">
        <f t="shared" si="62"/>
        <v>23</v>
      </c>
      <c r="DV150" s="541">
        <f t="shared" si="62"/>
        <v>24</v>
      </c>
      <c r="DW150" s="541">
        <f t="shared" si="62"/>
        <v>24</v>
      </c>
      <c r="DX150" s="541">
        <f t="shared" si="62"/>
        <v>24</v>
      </c>
      <c r="DY150" s="541">
        <f t="shared" si="62"/>
        <v>24</v>
      </c>
      <c r="DZ150" s="541">
        <f t="shared" si="62"/>
        <v>25</v>
      </c>
      <c r="EA150" s="541">
        <f t="shared" si="62"/>
        <v>25</v>
      </c>
      <c r="EB150" s="541">
        <f t="shared" si="62"/>
        <v>25</v>
      </c>
      <c r="EC150" s="541">
        <f t="shared" si="62"/>
        <v>25</v>
      </c>
      <c r="ED150" s="541">
        <f t="shared" si="62"/>
        <v>0</v>
      </c>
      <c r="EE150" s="541">
        <f t="shared" si="62"/>
        <v>0</v>
      </c>
      <c r="EF150" s="541">
        <f t="shared" si="62"/>
        <v>0</v>
      </c>
      <c r="EG150" s="541">
        <f t="shared" si="62"/>
        <v>0</v>
      </c>
    </row>
    <row r="153" spans="1:1" ht="12.75">
      <c r="A153" s="534" t="s">
        <v>189</v>
      </c>
    </row>
    <row r="155" spans="5:137" ht="12.75">
      <c r="E155" s="538" t="str">
        <f>E$72</f>
        <v>Construction period flag</v>
      </c>
      <c r="G155" s="539" t="str">
        <f>G$72</f>
        <v>flag</v>
      </c>
      <c r="H155" s="539">
        <f>H$72</f>
        <v>21</v>
      </c>
      <c r="J155" s="539">
        <f t="shared" si="63" ref="J155:EG155">J$72</f>
        <v>0</v>
      </c>
      <c r="K155" s="539">
        <f t="shared" si="63"/>
        <v>0</v>
      </c>
      <c r="L155" s="539">
        <f t="shared" si="63"/>
        <v>0</v>
      </c>
      <c r="M155" s="539">
        <f t="shared" si="63"/>
        <v>1</v>
      </c>
      <c r="N155" s="539">
        <f t="shared" si="63"/>
        <v>1</v>
      </c>
      <c r="O155" s="539">
        <f t="shared" si="63"/>
        <v>1</v>
      </c>
      <c r="P155" s="539">
        <f t="shared" si="63"/>
        <v>1</v>
      </c>
      <c r="Q155" s="539">
        <f t="shared" si="63"/>
        <v>1</v>
      </c>
      <c r="R155" s="539">
        <f t="shared" si="63"/>
        <v>1</v>
      </c>
      <c r="S155" s="539">
        <f t="shared" si="63"/>
        <v>1</v>
      </c>
      <c r="T155" s="539">
        <f t="shared" si="63"/>
        <v>1</v>
      </c>
      <c r="U155" s="539">
        <f t="shared" si="63"/>
        <v>1</v>
      </c>
      <c r="V155" s="539">
        <f t="shared" si="63"/>
        <v>1</v>
      </c>
      <c r="W155" s="539">
        <f t="shared" si="63"/>
        <v>1</v>
      </c>
      <c r="X155" s="539">
        <f t="shared" si="63"/>
        <v>1</v>
      </c>
      <c r="Y155" s="539">
        <f t="shared" si="63"/>
        <v>1</v>
      </c>
      <c r="Z155" s="539">
        <f t="shared" si="63"/>
        <v>1</v>
      </c>
      <c r="AA155" s="539">
        <f t="shared" si="63"/>
        <v>1</v>
      </c>
      <c r="AB155" s="539">
        <f t="shared" si="63"/>
        <v>1</v>
      </c>
      <c r="AC155" s="539">
        <f t="shared" si="63"/>
        <v>1</v>
      </c>
      <c r="AD155" s="539">
        <f t="shared" si="63"/>
        <v>1</v>
      </c>
      <c r="AE155" s="539">
        <f t="shared" si="63"/>
        <v>1</v>
      </c>
      <c r="AF155" s="539">
        <f t="shared" si="63"/>
        <v>1</v>
      </c>
      <c r="AG155" s="539">
        <f t="shared" si="63"/>
        <v>1</v>
      </c>
      <c r="AH155" s="539">
        <f t="shared" si="63"/>
        <v>0</v>
      </c>
      <c r="AI155" s="539">
        <f t="shared" si="63"/>
        <v>0</v>
      </c>
      <c r="AJ155" s="539">
        <f t="shared" si="63"/>
        <v>0</v>
      </c>
      <c r="AK155" s="539">
        <f t="shared" si="63"/>
        <v>0</v>
      </c>
      <c r="AL155" s="539">
        <f t="shared" si="63"/>
        <v>0</v>
      </c>
      <c r="AM155" s="539">
        <f t="shared" si="63"/>
        <v>0</v>
      </c>
      <c r="AN155" s="539">
        <f t="shared" si="63"/>
        <v>0</v>
      </c>
      <c r="AO155" s="539">
        <f t="shared" si="63"/>
        <v>0</v>
      </c>
      <c r="AP155" s="539">
        <f t="shared" si="63"/>
        <v>0</v>
      </c>
      <c r="AQ155" s="539">
        <f t="shared" si="63"/>
        <v>0</v>
      </c>
      <c r="AR155" s="539">
        <f t="shared" si="63"/>
        <v>0</v>
      </c>
      <c r="AS155" s="539">
        <f t="shared" si="63"/>
        <v>0</v>
      </c>
      <c r="AT155" s="539">
        <f t="shared" si="63"/>
        <v>0</v>
      </c>
      <c r="AU155" s="539">
        <f t="shared" si="63"/>
        <v>0</v>
      </c>
      <c r="AV155" s="539">
        <f t="shared" si="63"/>
        <v>0</v>
      </c>
      <c r="AW155" s="539">
        <f t="shared" si="63"/>
        <v>0</v>
      </c>
      <c r="AX155" s="539">
        <f t="shared" si="63"/>
        <v>0</v>
      </c>
      <c r="AY155" s="539">
        <f t="shared" si="63"/>
        <v>0</v>
      </c>
      <c r="AZ155" s="539">
        <f t="shared" si="63"/>
        <v>0</v>
      </c>
      <c r="BA155" s="539">
        <f t="shared" si="63"/>
        <v>0</v>
      </c>
      <c r="BB155" s="539">
        <f t="shared" si="63"/>
        <v>0</v>
      </c>
      <c r="BC155" s="539">
        <f t="shared" si="63"/>
        <v>0</v>
      </c>
      <c r="BD155" s="539">
        <f t="shared" si="63"/>
        <v>0</v>
      </c>
      <c r="BE155" s="539">
        <f t="shared" si="63"/>
        <v>0</v>
      </c>
      <c r="BF155" s="539">
        <f t="shared" si="63"/>
        <v>0</v>
      </c>
      <c r="BG155" s="539">
        <f t="shared" si="63"/>
        <v>0</v>
      </c>
      <c r="BH155" s="539">
        <f t="shared" si="63"/>
        <v>0</v>
      </c>
      <c r="BI155" s="539">
        <f t="shared" si="63"/>
        <v>0</v>
      </c>
      <c r="BJ155" s="539">
        <f t="shared" si="63"/>
        <v>0</v>
      </c>
      <c r="BK155" s="539">
        <f t="shared" si="63"/>
        <v>0</v>
      </c>
      <c r="BL155" s="539">
        <f t="shared" si="63"/>
        <v>0</v>
      </c>
      <c r="BM155" s="539">
        <f t="shared" si="63"/>
        <v>0</v>
      </c>
      <c r="BN155" s="539">
        <f t="shared" si="63"/>
        <v>0</v>
      </c>
      <c r="BO155" s="539">
        <f t="shared" si="63"/>
        <v>0</v>
      </c>
      <c r="BP155" s="539">
        <f t="shared" si="63"/>
        <v>0</v>
      </c>
      <c r="BQ155" s="539">
        <f t="shared" si="63"/>
        <v>0</v>
      </c>
      <c r="BR155" s="539">
        <f t="shared" si="63"/>
        <v>0</v>
      </c>
      <c r="BS155" s="539">
        <f t="shared" si="63"/>
        <v>0</v>
      </c>
      <c r="BT155" s="539">
        <f t="shared" si="63"/>
        <v>0</v>
      </c>
      <c r="BU155" s="539">
        <f t="shared" si="63"/>
        <v>0</v>
      </c>
      <c r="BV155" s="539">
        <f t="shared" si="63"/>
        <v>0</v>
      </c>
      <c r="BW155" s="539">
        <f t="shared" si="63"/>
        <v>0</v>
      </c>
      <c r="BX155" s="539">
        <f t="shared" si="63"/>
        <v>0</v>
      </c>
      <c r="BY155" s="539">
        <f t="shared" si="63"/>
        <v>0</v>
      </c>
      <c r="BZ155" s="539">
        <f t="shared" si="63"/>
        <v>0</v>
      </c>
      <c r="CA155" s="539">
        <f t="shared" si="63"/>
        <v>0</v>
      </c>
      <c r="CB155" s="539">
        <f t="shared" si="63"/>
        <v>0</v>
      </c>
      <c r="CC155" s="539">
        <f t="shared" si="63"/>
        <v>0</v>
      </c>
      <c r="CD155" s="539">
        <f t="shared" si="63"/>
        <v>0</v>
      </c>
      <c r="CE155" s="539">
        <f t="shared" si="63"/>
        <v>0</v>
      </c>
      <c r="CF155" s="539">
        <f t="shared" si="63"/>
        <v>0</v>
      </c>
      <c r="CG155" s="539">
        <f t="shared" si="63"/>
        <v>0</v>
      </c>
      <c r="CH155" s="539">
        <f t="shared" si="63"/>
        <v>0</v>
      </c>
      <c r="CI155" s="539">
        <f t="shared" si="63"/>
        <v>0</v>
      </c>
      <c r="CJ155" s="539">
        <f t="shared" si="63"/>
        <v>0</v>
      </c>
      <c r="CK155" s="539">
        <f t="shared" si="63"/>
        <v>0</v>
      </c>
      <c r="CL155" s="539">
        <f t="shared" si="63"/>
        <v>0</v>
      </c>
      <c r="CM155" s="539">
        <f t="shared" si="63"/>
        <v>0</v>
      </c>
      <c r="CN155" s="539">
        <f t="shared" si="63"/>
        <v>0</v>
      </c>
      <c r="CO155" s="539">
        <f t="shared" si="63"/>
        <v>0</v>
      </c>
      <c r="CP155" s="539">
        <f t="shared" si="63"/>
        <v>0</v>
      </c>
      <c r="CQ155" s="539">
        <f t="shared" si="63"/>
        <v>0</v>
      </c>
      <c r="CR155" s="539">
        <f t="shared" si="63"/>
        <v>0</v>
      </c>
      <c r="CS155" s="539">
        <f t="shared" si="63"/>
        <v>0</v>
      </c>
      <c r="CT155" s="539">
        <f t="shared" si="63"/>
        <v>0</v>
      </c>
      <c r="CU155" s="539">
        <f t="shared" si="63"/>
        <v>0</v>
      </c>
      <c r="CV155" s="539">
        <f t="shared" si="63"/>
        <v>0</v>
      </c>
      <c r="CW155" s="539">
        <f t="shared" si="63"/>
        <v>0</v>
      </c>
      <c r="CX155" s="539">
        <f t="shared" si="63"/>
        <v>0</v>
      </c>
      <c r="CY155" s="539">
        <f t="shared" si="63"/>
        <v>0</v>
      </c>
      <c r="CZ155" s="539">
        <f t="shared" si="63"/>
        <v>0</v>
      </c>
      <c r="DA155" s="539">
        <f t="shared" si="63"/>
        <v>0</v>
      </c>
      <c r="DB155" s="539">
        <f t="shared" si="63"/>
        <v>0</v>
      </c>
      <c r="DC155" s="539">
        <f t="shared" si="63"/>
        <v>0</v>
      </c>
      <c r="DD155" s="539">
        <f t="shared" si="63"/>
        <v>0</v>
      </c>
      <c r="DE155" s="539">
        <f t="shared" si="63"/>
        <v>0</v>
      </c>
      <c r="DF155" s="539">
        <f t="shared" si="63"/>
        <v>0</v>
      </c>
      <c r="DG155" s="539">
        <f t="shared" si="63"/>
        <v>0</v>
      </c>
      <c r="DH155" s="539">
        <f t="shared" si="63"/>
        <v>0</v>
      </c>
      <c r="DI155" s="539">
        <f t="shared" si="63"/>
        <v>0</v>
      </c>
      <c r="DJ155" s="539">
        <f t="shared" si="63"/>
        <v>0</v>
      </c>
      <c r="DK155" s="539">
        <f t="shared" si="63"/>
        <v>0</v>
      </c>
      <c r="DL155" s="539">
        <f t="shared" si="63"/>
        <v>0</v>
      </c>
      <c r="DM155" s="539">
        <f t="shared" si="63"/>
        <v>0</v>
      </c>
      <c r="DN155" s="539">
        <f t="shared" si="63"/>
        <v>0</v>
      </c>
      <c r="DO155" s="539">
        <f t="shared" si="63"/>
        <v>0</v>
      </c>
      <c r="DP155" s="539">
        <f t="shared" si="63"/>
        <v>0</v>
      </c>
      <c r="DQ155" s="539">
        <f t="shared" si="63"/>
        <v>0</v>
      </c>
      <c r="DR155" s="539">
        <f t="shared" si="63"/>
        <v>0</v>
      </c>
      <c r="DS155" s="539">
        <f t="shared" si="63"/>
        <v>0</v>
      </c>
      <c r="DT155" s="539">
        <f t="shared" si="63"/>
        <v>0</v>
      </c>
      <c r="DU155" s="539">
        <f t="shared" si="63"/>
        <v>0</v>
      </c>
      <c r="DV155" s="539">
        <f t="shared" si="63"/>
        <v>0</v>
      </c>
      <c r="DW155" s="539">
        <f t="shared" si="63"/>
        <v>0</v>
      </c>
      <c r="DX155" s="539">
        <f t="shared" si="63"/>
        <v>0</v>
      </c>
      <c r="DY155" s="539">
        <f t="shared" si="63"/>
        <v>0</v>
      </c>
      <c r="DZ155" s="539">
        <f t="shared" si="63"/>
        <v>0</v>
      </c>
      <c r="EA155" s="539">
        <f t="shared" si="63"/>
        <v>0</v>
      </c>
      <c r="EB155" s="539">
        <f t="shared" si="63"/>
        <v>0</v>
      </c>
      <c r="EC155" s="539">
        <f t="shared" si="63"/>
        <v>0</v>
      </c>
      <c r="ED155" s="539">
        <f t="shared" si="63"/>
        <v>0</v>
      </c>
      <c r="EE155" s="539">
        <f t="shared" si="63"/>
        <v>0</v>
      </c>
      <c r="EF155" s="539">
        <f t="shared" si="63"/>
        <v>0</v>
      </c>
      <c r="EG155" s="539">
        <f t="shared" si="63"/>
        <v>0</v>
      </c>
    </row>
    <row r="156" spans="5:137" ht="12.75">
      <c r="E156" s="538" t="s">
        <v>190</v>
      </c>
      <c r="G156" s="539" t="s">
        <v>154</v>
      </c>
      <c r="H156" s="539">
        <f>SUM(J156:EG156)</f>
        <v>231</v>
      </c>
      <c r="J156" s="539">
        <f t="shared" si="64" ref="J156:EG156">(I156+J155)*J155</f>
        <v>0</v>
      </c>
      <c r="K156" s="539">
        <f t="shared" si="64"/>
        <v>0</v>
      </c>
      <c r="L156" s="539">
        <f t="shared" si="64"/>
        <v>0</v>
      </c>
      <c r="M156" s="539">
        <f t="shared" si="64"/>
        <v>1</v>
      </c>
      <c r="N156" s="539">
        <f t="shared" si="64"/>
        <v>2</v>
      </c>
      <c r="O156" s="539">
        <f t="shared" si="64"/>
        <v>3</v>
      </c>
      <c r="P156" s="539">
        <f t="shared" si="64"/>
        <v>4</v>
      </c>
      <c r="Q156" s="539">
        <f t="shared" si="64"/>
        <v>5</v>
      </c>
      <c r="R156" s="539">
        <f t="shared" si="64"/>
        <v>6</v>
      </c>
      <c r="S156" s="539">
        <f t="shared" si="64"/>
        <v>7</v>
      </c>
      <c r="T156" s="539">
        <f t="shared" si="64"/>
        <v>8</v>
      </c>
      <c r="U156" s="539">
        <f t="shared" si="64"/>
        <v>9</v>
      </c>
      <c r="V156" s="539">
        <f t="shared" si="64"/>
        <v>10</v>
      </c>
      <c r="W156" s="539">
        <f t="shared" si="64"/>
        <v>11</v>
      </c>
      <c r="X156" s="539">
        <f t="shared" si="64"/>
        <v>12</v>
      </c>
      <c r="Y156" s="539">
        <f t="shared" si="64"/>
        <v>13</v>
      </c>
      <c r="Z156" s="539">
        <f t="shared" si="64"/>
        <v>14</v>
      </c>
      <c r="AA156" s="539">
        <f t="shared" si="64"/>
        <v>15</v>
      </c>
      <c r="AB156" s="539">
        <f t="shared" si="64"/>
        <v>16</v>
      </c>
      <c r="AC156" s="539">
        <f t="shared" si="64"/>
        <v>17</v>
      </c>
      <c r="AD156" s="539">
        <f t="shared" si="64"/>
        <v>18</v>
      </c>
      <c r="AE156" s="539">
        <f t="shared" si="64"/>
        <v>19</v>
      </c>
      <c r="AF156" s="539">
        <f t="shared" si="64"/>
        <v>20</v>
      </c>
      <c r="AG156" s="539">
        <f t="shared" si="64"/>
        <v>21</v>
      </c>
      <c r="AH156" s="539">
        <f t="shared" si="64"/>
        <v>0</v>
      </c>
      <c r="AI156" s="539">
        <f t="shared" si="64"/>
        <v>0</v>
      </c>
      <c r="AJ156" s="539">
        <f t="shared" si="64"/>
        <v>0</v>
      </c>
      <c r="AK156" s="539">
        <f t="shared" si="64"/>
        <v>0</v>
      </c>
      <c r="AL156" s="539">
        <f t="shared" si="64"/>
        <v>0</v>
      </c>
      <c r="AM156" s="539">
        <f t="shared" si="64"/>
        <v>0</v>
      </c>
      <c r="AN156" s="539">
        <f t="shared" si="64"/>
        <v>0</v>
      </c>
      <c r="AO156" s="539">
        <f t="shared" si="64"/>
        <v>0</v>
      </c>
      <c r="AP156" s="539">
        <f t="shared" si="64"/>
        <v>0</v>
      </c>
      <c r="AQ156" s="539">
        <f t="shared" si="64"/>
        <v>0</v>
      </c>
      <c r="AR156" s="539">
        <f t="shared" si="64"/>
        <v>0</v>
      </c>
      <c r="AS156" s="539">
        <f t="shared" si="64"/>
        <v>0</v>
      </c>
      <c r="AT156" s="539">
        <f t="shared" si="64"/>
        <v>0</v>
      </c>
      <c r="AU156" s="539">
        <f t="shared" si="64"/>
        <v>0</v>
      </c>
      <c r="AV156" s="539">
        <f t="shared" si="64"/>
        <v>0</v>
      </c>
      <c r="AW156" s="539">
        <f t="shared" si="64"/>
        <v>0</v>
      </c>
      <c r="AX156" s="539">
        <f t="shared" si="64"/>
        <v>0</v>
      </c>
      <c r="AY156" s="539">
        <f t="shared" si="64"/>
        <v>0</v>
      </c>
      <c r="AZ156" s="539">
        <f t="shared" si="64"/>
        <v>0</v>
      </c>
      <c r="BA156" s="539">
        <f t="shared" si="64"/>
        <v>0</v>
      </c>
      <c r="BB156" s="539">
        <f t="shared" si="64"/>
        <v>0</v>
      </c>
      <c r="BC156" s="539">
        <f t="shared" si="64"/>
        <v>0</v>
      </c>
      <c r="BD156" s="539">
        <f t="shared" si="64"/>
        <v>0</v>
      </c>
      <c r="BE156" s="539">
        <f t="shared" si="64"/>
        <v>0</v>
      </c>
      <c r="BF156" s="539">
        <f t="shared" si="64"/>
        <v>0</v>
      </c>
      <c r="BG156" s="539">
        <f t="shared" si="64"/>
        <v>0</v>
      </c>
      <c r="BH156" s="539">
        <f t="shared" si="64"/>
        <v>0</v>
      </c>
      <c r="BI156" s="539">
        <f t="shared" si="64"/>
        <v>0</v>
      </c>
      <c r="BJ156" s="539">
        <f t="shared" si="64"/>
        <v>0</v>
      </c>
      <c r="BK156" s="539">
        <f t="shared" si="64"/>
        <v>0</v>
      </c>
      <c r="BL156" s="539">
        <f t="shared" si="64"/>
        <v>0</v>
      </c>
      <c r="BM156" s="539">
        <f t="shared" si="64"/>
        <v>0</v>
      </c>
      <c r="BN156" s="539">
        <f t="shared" si="64"/>
        <v>0</v>
      </c>
      <c r="BO156" s="539">
        <f t="shared" si="64"/>
        <v>0</v>
      </c>
      <c r="BP156" s="539">
        <f t="shared" si="64"/>
        <v>0</v>
      </c>
      <c r="BQ156" s="539">
        <f t="shared" si="64"/>
        <v>0</v>
      </c>
      <c r="BR156" s="539">
        <f t="shared" si="64"/>
        <v>0</v>
      </c>
      <c r="BS156" s="539">
        <f t="shared" si="64"/>
        <v>0</v>
      </c>
      <c r="BT156" s="539">
        <f t="shared" si="64"/>
        <v>0</v>
      </c>
      <c r="BU156" s="539">
        <f t="shared" si="64"/>
        <v>0</v>
      </c>
      <c r="BV156" s="539">
        <f t="shared" si="64"/>
        <v>0</v>
      </c>
      <c r="BW156" s="539">
        <f t="shared" si="64"/>
        <v>0</v>
      </c>
      <c r="BX156" s="539">
        <f t="shared" si="64"/>
        <v>0</v>
      </c>
      <c r="BY156" s="539">
        <f t="shared" si="64"/>
        <v>0</v>
      </c>
      <c r="BZ156" s="539">
        <f t="shared" si="64"/>
        <v>0</v>
      </c>
      <c r="CA156" s="539">
        <f t="shared" si="64"/>
        <v>0</v>
      </c>
      <c r="CB156" s="539">
        <f t="shared" si="64"/>
        <v>0</v>
      </c>
      <c r="CC156" s="539">
        <f t="shared" si="64"/>
        <v>0</v>
      </c>
      <c r="CD156" s="539">
        <f t="shared" si="64"/>
        <v>0</v>
      </c>
      <c r="CE156" s="539">
        <f t="shared" si="64"/>
        <v>0</v>
      </c>
      <c r="CF156" s="539">
        <f t="shared" si="64"/>
        <v>0</v>
      </c>
      <c r="CG156" s="539">
        <f t="shared" si="64"/>
        <v>0</v>
      </c>
      <c r="CH156" s="539">
        <f t="shared" si="64"/>
        <v>0</v>
      </c>
      <c r="CI156" s="539">
        <f t="shared" si="64"/>
        <v>0</v>
      </c>
      <c r="CJ156" s="539">
        <f t="shared" si="64"/>
        <v>0</v>
      </c>
      <c r="CK156" s="539">
        <f t="shared" si="64"/>
        <v>0</v>
      </c>
      <c r="CL156" s="539">
        <f t="shared" si="64"/>
        <v>0</v>
      </c>
      <c r="CM156" s="539">
        <f t="shared" si="64"/>
        <v>0</v>
      </c>
      <c r="CN156" s="539">
        <f t="shared" si="64"/>
        <v>0</v>
      </c>
      <c r="CO156" s="539">
        <f t="shared" si="64"/>
        <v>0</v>
      </c>
      <c r="CP156" s="539">
        <f t="shared" si="64"/>
        <v>0</v>
      </c>
      <c r="CQ156" s="539">
        <f t="shared" si="64"/>
        <v>0</v>
      </c>
      <c r="CR156" s="539">
        <f t="shared" si="64"/>
        <v>0</v>
      </c>
      <c r="CS156" s="539">
        <f t="shared" si="64"/>
        <v>0</v>
      </c>
      <c r="CT156" s="539">
        <f t="shared" si="64"/>
        <v>0</v>
      </c>
      <c r="CU156" s="539">
        <f t="shared" si="64"/>
        <v>0</v>
      </c>
      <c r="CV156" s="539">
        <f t="shared" si="64"/>
        <v>0</v>
      </c>
      <c r="CW156" s="539">
        <f t="shared" si="64"/>
        <v>0</v>
      </c>
      <c r="CX156" s="539">
        <f t="shared" si="64"/>
        <v>0</v>
      </c>
      <c r="CY156" s="539">
        <f t="shared" si="64"/>
        <v>0</v>
      </c>
      <c r="CZ156" s="539">
        <f t="shared" si="64"/>
        <v>0</v>
      </c>
      <c r="DA156" s="539">
        <f t="shared" si="64"/>
        <v>0</v>
      </c>
      <c r="DB156" s="539">
        <f t="shared" si="64"/>
        <v>0</v>
      </c>
      <c r="DC156" s="539">
        <f t="shared" si="64"/>
        <v>0</v>
      </c>
      <c r="DD156" s="539">
        <f t="shared" si="64"/>
        <v>0</v>
      </c>
      <c r="DE156" s="539">
        <f t="shared" si="64"/>
        <v>0</v>
      </c>
      <c r="DF156" s="539">
        <f t="shared" si="64"/>
        <v>0</v>
      </c>
      <c r="DG156" s="539">
        <f t="shared" si="64"/>
        <v>0</v>
      </c>
      <c r="DH156" s="539">
        <f t="shared" si="64"/>
        <v>0</v>
      </c>
      <c r="DI156" s="539">
        <f t="shared" si="64"/>
        <v>0</v>
      </c>
      <c r="DJ156" s="539">
        <f t="shared" si="64"/>
        <v>0</v>
      </c>
      <c r="DK156" s="539">
        <f t="shared" si="64"/>
        <v>0</v>
      </c>
      <c r="DL156" s="539">
        <f t="shared" si="64"/>
        <v>0</v>
      </c>
      <c r="DM156" s="539">
        <f t="shared" si="64"/>
        <v>0</v>
      </c>
      <c r="DN156" s="539">
        <f t="shared" si="64"/>
        <v>0</v>
      </c>
      <c r="DO156" s="539">
        <f t="shared" si="64"/>
        <v>0</v>
      </c>
      <c r="DP156" s="539">
        <f t="shared" si="64"/>
        <v>0</v>
      </c>
      <c r="DQ156" s="539">
        <f t="shared" si="64"/>
        <v>0</v>
      </c>
      <c r="DR156" s="539">
        <f t="shared" si="64"/>
        <v>0</v>
      </c>
      <c r="DS156" s="539">
        <f t="shared" si="64"/>
        <v>0</v>
      </c>
      <c r="DT156" s="539">
        <f t="shared" si="64"/>
        <v>0</v>
      </c>
      <c r="DU156" s="539">
        <f t="shared" si="64"/>
        <v>0</v>
      </c>
      <c r="DV156" s="539">
        <f t="shared" si="64"/>
        <v>0</v>
      </c>
      <c r="DW156" s="539">
        <f t="shared" si="64"/>
        <v>0</v>
      </c>
      <c r="DX156" s="539">
        <f t="shared" si="64"/>
        <v>0</v>
      </c>
      <c r="DY156" s="539">
        <f t="shared" si="64"/>
        <v>0</v>
      </c>
      <c r="DZ156" s="539">
        <f t="shared" si="64"/>
        <v>0</v>
      </c>
      <c r="EA156" s="539">
        <f t="shared" si="64"/>
        <v>0</v>
      </c>
      <c r="EB156" s="539">
        <f t="shared" si="64"/>
        <v>0</v>
      </c>
      <c r="EC156" s="539">
        <f t="shared" si="64"/>
        <v>0</v>
      </c>
      <c r="ED156" s="539">
        <f t="shared" si="64"/>
        <v>0</v>
      </c>
      <c r="EE156" s="539">
        <f t="shared" si="64"/>
        <v>0</v>
      </c>
      <c r="EF156" s="539">
        <f t="shared" si="64"/>
        <v>0</v>
      </c>
      <c r="EG156" s="539">
        <f t="shared" si="64"/>
        <v>0</v>
      </c>
    </row>
    <row r="159" spans="1:1" ht="12.75">
      <c r="A159" s="534" t="s">
        <v>191</v>
      </c>
    </row>
    <row r="161" spans="5:137" ht="12.75">
      <c r="E161" s="538" t="str">
        <f>E$45</f>
        <v>Model period beginning</v>
      </c>
      <c r="G161" s="558" t="str">
        <f>G$45</f>
        <v>date</v>
      </c>
      <c r="J161" s="558">
        <f t="shared" si="65" ref="J161:EG161">J$45</f>
        <v>46388</v>
      </c>
      <c r="K161" s="558">
        <f t="shared" si="65"/>
        <v>46419</v>
      </c>
      <c r="L161" s="558">
        <f t="shared" si="65"/>
        <v>46447</v>
      </c>
      <c r="M161" s="558">
        <f t="shared" si="65"/>
        <v>46478</v>
      </c>
      <c r="N161" s="558">
        <f t="shared" si="65"/>
        <v>46508</v>
      </c>
      <c r="O161" s="558">
        <f t="shared" si="65"/>
        <v>46539</v>
      </c>
      <c r="P161" s="558">
        <f t="shared" si="65"/>
        <v>46569</v>
      </c>
      <c r="Q161" s="558">
        <f t="shared" si="65"/>
        <v>46600</v>
      </c>
      <c r="R161" s="558">
        <f t="shared" si="65"/>
        <v>46631</v>
      </c>
      <c r="S161" s="558">
        <f t="shared" si="65"/>
        <v>46661</v>
      </c>
      <c r="T161" s="558">
        <f t="shared" si="65"/>
        <v>46692</v>
      </c>
      <c r="U161" s="558">
        <f t="shared" si="65"/>
        <v>46722</v>
      </c>
      <c r="V161" s="558">
        <f t="shared" si="65"/>
        <v>46753</v>
      </c>
      <c r="W161" s="558">
        <f t="shared" si="65"/>
        <v>46784</v>
      </c>
      <c r="X161" s="558">
        <f t="shared" si="65"/>
        <v>46813</v>
      </c>
      <c r="Y161" s="558">
        <f t="shared" si="65"/>
        <v>46844</v>
      </c>
      <c r="Z161" s="558">
        <f t="shared" si="65"/>
        <v>46874</v>
      </c>
      <c r="AA161" s="558">
        <f t="shared" si="65"/>
        <v>46905</v>
      </c>
      <c r="AB161" s="558">
        <f t="shared" si="65"/>
        <v>46935</v>
      </c>
      <c r="AC161" s="558">
        <f t="shared" si="65"/>
        <v>46966</v>
      </c>
      <c r="AD161" s="558">
        <f t="shared" si="65"/>
        <v>46997</v>
      </c>
      <c r="AE161" s="558">
        <f t="shared" si="65"/>
        <v>47027</v>
      </c>
      <c r="AF161" s="558">
        <f t="shared" si="65"/>
        <v>47058</v>
      </c>
      <c r="AG161" s="558">
        <f t="shared" si="65"/>
        <v>47088</v>
      </c>
      <c r="AH161" s="558">
        <f t="shared" si="65"/>
        <v>47119</v>
      </c>
      <c r="AI161" s="558">
        <f t="shared" si="65"/>
        <v>47209</v>
      </c>
      <c r="AJ161" s="558">
        <f t="shared" si="65"/>
        <v>47300</v>
      </c>
      <c r="AK161" s="558">
        <f t="shared" si="65"/>
        <v>47392</v>
      </c>
      <c r="AL161" s="558">
        <f t="shared" si="65"/>
        <v>47484</v>
      </c>
      <c r="AM161" s="558">
        <f t="shared" si="65"/>
        <v>47574</v>
      </c>
      <c r="AN161" s="558">
        <f t="shared" si="65"/>
        <v>47665</v>
      </c>
      <c r="AO161" s="558">
        <f t="shared" si="65"/>
        <v>47757</v>
      </c>
      <c r="AP161" s="558">
        <f t="shared" si="65"/>
        <v>47849</v>
      </c>
      <c r="AQ161" s="558">
        <f t="shared" si="65"/>
        <v>47939</v>
      </c>
      <c r="AR161" s="558">
        <f t="shared" si="65"/>
        <v>48030</v>
      </c>
      <c r="AS161" s="558">
        <f t="shared" si="65"/>
        <v>48122</v>
      </c>
      <c r="AT161" s="558">
        <f t="shared" si="65"/>
        <v>48214</v>
      </c>
      <c r="AU161" s="558">
        <f t="shared" si="65"/>
        <v>48305</v>
      </c>
      <c r="AV161" s="558">
        <f t="shared" si="65"/>
        <v>48396</v>
      </c>
      <c r="AW161" s="558">
        <f t="shared" si="65"/>
        <v>48488</v>
      </c>
      <c r="AX161" s="558">
        <f t="shared" si="65"/>
        <v>48580</v>
      </c>
      <c r="AY161" s="558">
        <f t="shared" si="65"/>
        <v>48670</v>
      </c>
      <c r="AZ161" s="558">
        <f t="shared" si="65"/>
        <v>48761</v>
      </c>
      <c r="BA161" s="558">
        <f t="shared" si="65"/>
        <v>48853</v>
      </c>
      <c r="BB161" s="558">
        <f t="shared" si="65"/>
        <v>48945</v>
      </c>
      <c r="BC161" s="558">
        <f t="shared" si="65"/>
        <v>49035</v>
      </c>
      <c r="BD161" s="558">
        <f t="shared" si="65"/>
        <v>49126</v>
      </c>
      <c r="BE161" s="558">
        <f t="shared" si="65"/>
        <v>49218</v>
      </c>
      <c r="BF161" s="558">
        <f t="shared" si="65"/>
        <v>49310</v>
      </c>
      <c r="BG161" s="558">
        <f t="shared" si="65"/>
        <v>49400</v>
      </c>
      <c r="BH161" s="558">
        <f t="shared" si="65"/>
        <v>49491</v>
      </c>
      <c r="BI161" s="558">
        <f t="shared" si="65"/>
        <v>49583</v>
      </c>
      <c r="BJ161" s="558">
        <f t="shared" si="65"/>
        <v>49675</v>
      </c>
      <c r="BK161" s="558">
        <f t="shared" si="65"/>
        <v>49766</v>
      </c>
      <c r="BL161" s="558">
        <f t="shared" si="65"/>
        <v>49857</v>
      </c>
      <c r="BM161" s="558">
        <f t="shared" si="65"/>
        <v>49949</v>
      </c>
      <c r="BN161" s="558">
        <f t="shared" si="65"/>
        <v>50041</v>
      </c>
      <c r="BO161" s="558">
        <f t="shared" si="65"/>
        <v>50131</v>
      </c>
      <c r="BP161" s="558">
        <f t="shared" si="65"/>
        <v>50222</v>
      </c>
      <c r="BQ161" s="558">
        <f t="shared" si="65"/>
        <v>50314</v>
      </c>
      <c r="BR161" s="558">
        <f t="shared" si="65"/>
        <v>50406</v>
      </c>
      <c r="BS161" s="558">
        <f t="shared" si="65"/>
        <v>50496</v>
      </c>
      <c r="BT161" s="558">
        <f t="shared" si="65"/>
        <v>50587</v>
      </c>
      <c r="BU161" s="558">
        <f t="shared" si="65"/>
        <v>50679</v>
      </c>
      <c r="BV161" s="558">
        <f t="shared" si="65"/>
        <v>50771</v>
      </c>
      <c r="BW161" s="558">
        <f t="shared" si="65"/>
        <v>50861</v>
      </c>
      <c r="BX161" s="558">
        <f t="shared" si="65"/>
        <v>50952</v>
      </c>
      <c r="BY161" s="558">
        <f t="shared" si="65"/>
        <v>51044</v>
      </c>
      <c r="BZ161" s="558">
        <f t="shared" si="65"/>
        <v>51136</v>
      </c>
      <c r="CA161" s="558">
        <f t="shared" si="65"/>
        <v>51227</v>
      </c>
      <c r="CB161" s="558">
        <f t="shared" si="65"/>
        <v>51318</v>
      </c>
      <c r="CC161" s="558">
        <f t="shared" si="65"/>
        <v>51410</v>
      </c>
      <c r="CD161" s="558">
        <f t="shared" si="65"/>
        <v>51502</v>
      </c>
      <c r="CE161" s="558">
        <f t="shared" si="65"/>
        <v>51592</v>
      </c>
      <c r="CF161" s="558">
        <f t="shared" si="65"/>
        <v>51683</v>
      </c>
      <c r="CG161" s="558">
        <f t="shared" si="65"/>
        <v>51775</v>
      </c>
      <c r="CH161" s="558">
        <f t="shared" si="65"/>
        <v>51867</v>
      </c>
      <c r="CI161" s="558">
        <f t="shared" si="65"/>
        <v>51957</v>
      </c>
      <c r="CJ161" s="558">
        <f t="shared" si="65"/>
        <v>52048</v>
      </c>
      <c r="CK161" s="558">
        <f t="shared" si="65"/>
        <v>52140</v>
      </c>
      <c r="CL161" s="558">
        <f t="shared" si="65"/>
        <v>52232</v>
      </c>
      <c r="CM161" s="558">
        <f t="shared" si="65"/>
        <v>52322</v>
      </c>
      <c r="CN161" s="558">
        <f t="shared" si="65"/>
        <v>52413</v>
      </c>
      <c r="CO161" s="558">
        <f t="shared" si="65"/>
        <v>52505</v>
      </c>
      <c r="CP161" s="558">
        <f t="shared" si="65"/>
        <v>52597</v>
      </c>
      <c r="CQ161" s="558">
        <f t="shared" si="65"/>
        <v>52688</v>
      </c>
      <c r="CR161" s="558">
        <f t="shared" si="65"/>
        <v>52779</v>
      </c>
      <c r="CS161" s="558">
        <f t="shared" si="65"/>
        <v>52871</v>
      </c>
      <c r="CT161" s="558">
        <f t="shared" si="65"/>
        <v>52963</v>
      </c>
      <c r="CU161" s="558">
        <f t="shared" si="65"/>
        <v>53053</v>
      </c>
      <c r="CV161" s="558">
        <f t="shared" si="65"/>
        <v>53144</v>
      </c>
      <c r="CW161" s="558">
        <f t="shared" si="65"/>
        <v>53236</v>
      </c>
      <c r="CX161" s="558">
        <f t="shared" si="65"/>
        <v>53328</v>
      </c>
      <c r="CY161" s="558">
        <f t="shared" si="65"/>
        <v>53418</v>
      </c>
      <c r="CZ161" s="558">
        <f t="shared" si="65"/>
        <v>53509</v>
      </c>
      <c r="DA161" s="558">
        <f t="shared" si="65"/>
        <v>53601</v>
      </c>
      <c r="DB161" s="558">
        <f t="shared" si="65"/>
        <v>53693</v>
      </c>
      <c r="DC161" s="558">
        <f t="shared" si="65"/>
        <v>53783</v>
      </c>
      <c r="DD161" s="558">
        <f t="shared" si="65"/>
        <v>53874</v>
      </c>
      <c r="DE161" s="558">
        <f t="shared" si="65"/>
        <v>53966</v>
      </c>
      <c r="DF161" s="558">
        <f t="shared" si="65"/>
        <v>54058</v>
      </c>
      <c r="DG161" s="558">
        <f t="shared" si="65"/>
        <v>54149</v>
      </c>
      <c r="DH161" s="558">
        <f t="shared" si="65"/>
        <v>54240</v>
      </c>
      <c r="DI161" s="558">
        <f t="shared" si="65"/>
        <v>54332</v>
      </c>
      <c r="DJ161" s="558">
        <f t="shared" si="65"/>
        <v>54424</v>
      </c>
      <c r="DK161" s="558">
        <f t="shared" si="65"/>
        <v>54514</v>
      </c>
      <c r="DL161" s="558">
        <f t="shared" si="65"/>
        <v>54605</v>
      </c>
      <c r="DM161" s="558">
        <f t="shared" si="65"/>
        <v>54697</v>
      </c>
      <c r="DN161" s="558">
        <f t="shared" si="65"/>
        <v>54789</v>
      </c>
      <c r="DO161" s="558">
        <f t="shared" si="65"/>
        <v>54879</v>
      </c>
      <c r="DP161" s="558">
        <f t="shared" si="65"/>
        <v>54970</v>
      </c>
      <c r="DQ161" s="558">
        <f t="shared" si="65"/>
        <v>55062</v>
      </c>
      <c r="DR161" s="558">
        <f t="shared" si="65"/>
        <v>55154</v>
      </c>
      <c r="DS161" s="558">
        <f t="shared" si="65"/>
        <v>55244</v>
      </c>
      <c r="DT161" s="558">
        <f t="shared" si="65"/>
        <v>55335</v>
      </c>
      <c r="DU161" s="558">
        <f t="shared" si="65"/>
        <v>55427</v>
      </c>
      <c r="DV161" s="558">
        <f t="shared" si="65"/>
        <v>55519</v>
      </c>
      <c r="DW161" s="558">
        <f t="shared" si="65"/>
        <v>55610</v>
      </c>
      <c r="DX161" s="558">
        <f t="shared" si="65"/>
        <v>55701</v>
      </c>
      <c r="DY161" s="558">
        <f t="shared" si="65"/>
        <v>55793</v>
      </c>
      <c r="DZ161" s="558">
        <f t="shared" si="65"/>
        <v>55885</v>
      </c>
      <c r="EA161" s="558">
        <f t="shared" si="65"/>
        <v>55975</v>
      </c>
      <c r="EB161" s="558">
        <f t="shared" si="65"/>
        <v>56066</v>
      </c>
      <c r="EC161" s="558">
        <f t="shared" si="65"/>
        <v>56158</v>
      </c>
      <c r="ED161" s="558">
        <f t="shared" si="65"/>
        <v>56250</v>
      </c>
      <c r="EE161" s="558">
        <f t="shared" si="65"/>
        <v>56340</v>
      </c>
      <c r="EF161" s="558">
        <f t="shared" si="65"/>
        <v>56431</v>
      </c>
      <c r="EG161" s="558">
        <f t="shared" si="65"/>
        <v>56523</v>
      </c>
    </row>
    <row r="162" spans="5:137" ht="12.75">
      <c r="E162" s="538" t="str">
        <f>E$50</f>
        <v>Model period ending</v>
      </c>
      <c r="G162" s="558" t="str">
        <f>G$50</f>
        <v>date</v>
      </c>
      <c r="J162" s="558">
        <f t="shared" si="66" ref="J162:EG162">J$50</f>
        <v>46418</v>
      </c>
      <c r="K162" s="558">
        <f t="shared" si="66"/>
        <v>46446</v>
      </c>
      <c r="L162" s="558">
        <f t="shared" si="66"/>
        <v>46477</v>
      </c>
      <c r="M162" s="558">
        <f t="shared" si="66"/>
        <v>46507</v>
      </c>
      <c r="N162" s="558">
        <f t="shared" si="66"/>
        <v>46538</v>
      </c>
      <c r="O162" s="558">
        <f t="shared" si="66"/>
        <v>46568</v>
      </c>
      <c r="P162" s="558">
        <f t="shared" si="66"/>
        <v>46599</v>
      </c>
      <c r="Q162" s="558">
        <f t="shared" si="66"/>
        <v>46630</v>
      </c>
      <c r="R162" s="558">
        <f t="shared" si="66"/>
        <v>46660</v>
      </c>
      <c r="S162" s="558">
        <f t="shared" si="66"/>
        <v>46691</v>
      </c>
      <c r="T162" s="558">
        <f t="shared" si="66"/>
        <v>46721</v>
      </c>
      <c r="U162" s="558">
        <f t="shared" si="66"/>
        <v>46752</v>
      </c>
      <c r="V162" s="558">
        <f t="shared" si="66"/>
        <v>46783</v>
      </c>
      <c r="W162" s="558">
        <f t="shared" si="66"/>
        <v>46812</v>
      </c>
      <c r="X162" s="558">
        <f t="shared" si="66"/>
        <v>46843</v>
      </c>
      <c r="Y162" s="558">
        <f t="shared" si="66"/>
        <v>46873</v>
      </c>
      <c r="Z162" s="558">
        <f t="shared" si="66"/>
        <v>46904</v>
      </c>
      <c r="AA162" s="558">
        <f t="shared" si="66"/>
        <v>46934</v>
      </c>
      <c r="AB162" s="558">
        <f t="shared" si="66"/>
        <v>46965</v>
      </c>
      <c r="AC162" s="558">
        <f t="shared" si="66"/>
        <v>46996</v>
      </c>
      <c r="AD162" s="558">
        <f t="shared" si="66"/>
        <v>47026</v>
      </c>
      <c r="AE162" s="558">
        <f t="shared" si="66"/>
        <v>47057</v>
      </c>
      <c r="AF162" s="558">
        <f t="shared" si="66"/>
        <v>47087</v>
      </c>
      <c r="AG162" s="558">
        <f t="shared" si="66"/>
        <v>47118</v>
      </c>
      <c r="AH162" s="558">
        <f t="shared" si="66"/>
        <v>47208</v>
      </c>
      <c r="AI162" s="558">
        <f t="shared" si="66"/>
        <v>47299</v>
      </c>
      <c r="AJ162" s="558">
        <f t="shared" si="66"/>
        <v>47391</v>
      </c>
      <c r="AK162" s="558">
        <f t="shared" si="66"/>
        <v>47483</v>
      </c>
      <c r="AL162" s="558">
        <f t="shared" si="66"/>
        <v>47573</v>
      </c>
      <c r="AM162" s="558">
        <f t="shared" si="66"/>
        <v>47664</v>
      </c>
      <c r="AN162" s="558">
        <f t="shared" si="66"/>
        <v>47756</v>
      </c>
      <c r="AO162" s="558">
        <f t="shared" si="66"/>
        <v>47848</v>
      </c>
      <c r="AP162" s="558">
        <f t="shared" si="66"/>
        <v>47938</v>
      </c>
      <c r="AQ162" s="558">
        <f t="shared" si="66"/>
        <v>48029</v>
      </c>
      <c r="AR162" s="558">
        <f t="shared" si="66"/>
        <v>48121</v>
      </c>
      <c r="AS162" s="558">
        <f t="shared" si="66"/>
        <v>48213</v>
      </c>
      <c r="AT162" s="558">
        <f t="shared" si="66"/>
        <v>48304</v>
      </c>
      <c r="AU162" s="558">
        <f t="shared" si="66"/>
        <v>48395</v>
      </c>
      <c r="AV162" s="558">
        <f t="shared" si="66"/>
        <v>48487</v>
      </c>
      <c r="AW162" s="558">
        <f t="shared" si="66"/>
        <v>48579</v>
      </c>
      <c r="AX162" s="558">
        <f t="shared" si="66"/>
        <v>48669</v>
      </c>
      <c r="AY162" s="558">
        <f t="shared" si="66"/>
        <v>48760</v>
      </c>
      <c r="AZ162" s="558">
        <f t="shared" si="66"/>
        <v>48852</v>
      </c>
      <c r="BA162" s="558">
        <f t="shared" si="66"/>
        <v>48944</v>
      </c>
      <c r="BB162" s="558">
        <f t="shared" si="66"/>
        <v>49034</v>
      </c>
      <c r="BC162" s="558">
        <f t="shared" si="66"/>
        <v>49125</v>
      </c>
      <c r="BD162" s="558">
        <f t="shared" si="66"/>
        <v>49217</v>
      </c>
      <c r="BE162" s="558">
        <f t="shared" si="66"/>
        <v>49309</v>
      </c>
      <c r="BF162" s="558">
        <f t="shared" si="66"/>
        <v>49399</v>
      </c>
      <c r="BG162" s="558">
        <f t="shared" si="66"/>
        <v>49490</v>
      </c>
      <c r="BH162" s="558">
        <f t="shared" si="66"/>
        <v>49582</v>
      </c>
      <c r="BI162" s="558">
        <f t="shared" si="66"/>
        <v>49674</v>
      </c>
      <c r="BJ162" s="558">
        <f t="shared" si="66"/>
        <v>49765</v>
      </c>
      <c r="BK162" s="558">
        <f t="shared" si="66"/>
        <v>49856</v>
      </c>
      <c r="BL162" s="558">
        <f t="shared" si="66"/>
        <v>49948</v>
      </c>
      <c r="BM162" s="558">
        <f t="shared" si="66"/>
        <v>50040</v>
      </c>
      <c r="BN162" s="558">
        <f t="shared" si="66"/>
        <v>50130</v>
      </c>
      <c r="BO162" s="558">
        <f t="shared" si="66"/>
        <v>50221</v>
      </c>
      <c r="BP162" s="558">
        <f t="shared" si="66"/>
        <v>50313</v>
      </c>
      <c r="BQ162" s="558">
        <f t="shared" si="66"/>
        <v>50405</v>
      </c>
      <c r="BR162" s="558">
        <f t="shared" si="66"/>
        <v>50495</v>
      </c>
      <c r="BS162" s="558">
        <f t="shared" si="66"/>
        <v>50586</v>
      </c>
      <c r="BT162" s="558">
        <f t="shared" si="66"/>
        <v>50678</v>
      </c>
      <c r="BU162" s="558">
        <f t="shared" si="66"/>
        <v>50770</v>
      </c>
      <c r="BV162" s="558">
        <f t="shared" si="66"/>
        <v>50860</v>
      </c>
      <c r="BW162" s="558">
        <f t="shared" si="66"/>
        <v>50951</v>
      </c>
      <c r="BX162" s="558">
        <f t="shared" si="66"/>
        <v>51043</v>
      </c>
      <c r="BY162" s="558">
        <f t="shared" si="66"/>
        <v>51135</v>
      </c>
      <c r="BZ162" s="558">
        <f t="shared" si="66"/>
        <v>51226</v>
      </c>
      <c r="CA162" s="558">
        <f t="shared" si="66"/>
        <v>51317</v>
      </c>
      <c r="CB162" s="558">
        <f t="shared" si="66"/>
        <v>51409</v>
      </c>
      <c r="CC162" s="558">
        <f t="shared" si="66"/>
        <v>51501</v>
      </c>
      <c r="CD162" s="558">
        <f t="shared" si="66"/>
        <v>51591</v>
      </c>
      <c r="CE162" s="558">
        <f t="shared" si="66"/>
        <v>51682</v>
      </c>
      <c r="CF162" s="558">
        <f t="shared" si="66"/>
        <v>51774</v>
      </c>
      <c r="CG162" s="558">
        <f t="shared" si="66"/>
        <v>51866</v>
      </c>
      <c r="CH162" s="558">
        <f t="shared" si="66"/>
        <v>51956</v>
      </c>
      <c r="CI162" s="558">
        <f t="shared" si="66"/>
        <v>52047</v>
      </c>
      <c r="CJ162" s="558">
        <f t="shared" si="66"/>
        <v>52139</v>
      </c>
      <c r="CK162" s="558">
        <f t="shared" si="66"/>
        <v>52231</v>
      </c>
      <c r="CL162" s="558">
        <f t="shared" si="66"/>
        <v>52321</v>
      </c>
      <c r="CM162" s="558">
        <f t="shared" si="66"/>
        <v>52412</v>
      </c>
      <c r="CN162" s="558">
        <f t="shared" si="66"/>
        <v>52504</v>
      </c>
      <c r="CO162" s="558">
        <f t="shared" si="66"/>
        <v>52596</v>
      </c>
      <c r="CP162" s="558">
        <f t="shared" si="66"/>
        <v>52687</v>
      </c>
      <c r="CQ162" s="558">
        <f t="shared" si="66"/>
        <v>52778</v>
      </c>
      <c r="CR162" s="558">
        <f t="shared" si="66"/>
        <v>52870</v>
      </c>
      <c r="CS162" s="558">
        <f t="shared" si="66"/>
        <v>52962</v>
      </c>
      <c r="CT162" s="558">
        <f t="shared" si="66"/>
        <v>53052</v>
      </c>
      <c r="CU162" s="558">
        <f t="shared" si="66"/>
        <v>53143</v>
      </c>
      <c r="CV162" s="558">
        <f t="shared" si="66"/>
        <v>53235</v>
      </c>
      <c r="CW162" s="558">
        <f t="shared" si="66"/>
        <v>53327</v>
      </c>
      <c r="CX162" s="558">
        <f t="shared" si="66"/>
        <v>53417</v>
      </c>
      <c r="CY162" s="558">
        <f t="shared" si="66"/>
        <v>53508</v>
      </c>
      <c r="CZ162" s="558">
        <f t="shared" si="66"/>
        <v>53600</v>
      </c>
      <c r="DA162" s="558">
        <f t="shared" si="66"/>
        <v>53692</v>
      </c>
      <c r="DB162" s="558">
        <f t="shared" si="66"/>
        <v>53782</v>
      </c>
      <c r="DC162" s="558">
        <f t="shared" si="66"/>
        <v>53873</v>
      </c>
      <c r="DD162" s="558">
        <f t="shared" si="66"/>
        <v>53965</v>
      </c>
      <c r="DE162" s="558">
        <f t="shared" si="66"/>
        <v>54057</v>
      </c>
      <c r="DF162" s="558">
        <f t="shared" si="66"/>
        <v>54148</v>
      </c>
      <c r="DG162" s="558">
        <f t="shared" si="66"/>
        <v>54239</v>
      </c>
      <c r="DH162" s="558">
        <f t="shared" si="66"/>
        <v>54331</v>
      </c>
      <c r="DI162" s="558">
        <f t="shared" si="66"/>
        <v>54423</v>
      </c>
      <c r="DJ162" s="558">
        <f t="shared" si="66"/>
        <v>54513</v>
      </c>
      <c r="DK162" s="558">
        <f t="shared" si="66"/>
        <v>54604</v>
      </c>
      <c r="DL162" s="558">
        <f t="shared" si="66"/>
        <v>54696</v>
      </c>
      <c r="DM162" s="558">
        <f t="shared" si="66"/>
        <v>54788</v>
      </c>
      <c r="DN162" s="558">
        <f t="shared" si="66"/>
        <v>54878</v>
      </c>
      <c r="DO162" s="558">
        <f t="shared" si="66"/>
        <v>54969</v>
      </c>
      <c r="DP162" s="558">
        <f t="shared" si="66"/>
        <v>55061</v>
      </c>
      <c r="DQ162" s="558">
        <f t="shared" si="66"/>
        <v>55153</v>
      </c>
      <c r="DR162" s="558">
        <f t="shared" si="66"/>
        <v>55243</v>
      </c>
      <c r="DS162" s="558">
        <f t="shared" si="66"/>
        <v>55334</v>
      </c>
      <c r="DT162" s="558">
        <f t="shared" si="66"/>
        <v>55426</v>
      </c>
      <c r="DU162" s="558">
        <f t="shared" si="66"/>
        <v>55518</v>
      </c>
      <c r="DV162" s="558">
        <f t="shared" si="66"/>
        <v>55609</v>
      </c>
      <c r="DW162" s="558">
        <f t="shared" si="66"/>
        <v>55700</v>
      </c>
      <c r="DX162" s="558">
        <f t="shared" si="66"/>
        <v>55792</v>
      </c>
      <c r="DY162" s="558">
        <f t="shared" si="66"/>
        <v>55884</v>
      </c>
      <c r="DZ162" s="558">
        <f t="shared" si="66"/>
        <v>55974</v>
      </c>
      <c r="EA162" s="558">
        <f t="shared" si="66"/>
        <v>56065</v>
      </c>
      <c r="EB162" s="558">
        <f t="shared" si="66"/>
        <v>56157</v>
      </c>
      <c r="EC162" s="558">
        <f t="shared" si="66"/>
        <v>56249</v>
      </c>
      <c r="ED162" s="558">
        <f t="shared" si="66"/>
        <v>56339</v>
      </c>
      <c r="EE162" s="558">
        <f t="shared" si="66"/>
        <v>56430</v>
      </c>
      <c r="EF162" s="558">
        <f t="shared" si="66"/>
        <v>56522</v>
      </c>
      <c r="EG162" s="558">
        <f t="shared" si="66"/>
        <v>56614</v>
      </c>
    </row>
    <row r="163" spans="5:137" ht="12.75">
      <c r="E163" s="540" t="s">
        <v>192</v>
      </c>
      <c r="G163" s="541" t="s">
        <v>59</v>
      </c>
      <c r="H163" s="541">
        <f>SUM(J163:EG163)</f>
        <v>10227</v>
      </c>
      <c r="J163" s="541">
        <f t="shared" si="67" ref="J163:EG163">J162-J161+1</f>
        <v>31</v>
      </c>
      <c r="K163" s="541">
        <f t="shared" si="67"/>
        <v>28</v>
      </c>
      <c r="L163" s="541">
        <f t="shared" si="67"/>
        <v>31</v>
      </c>
      <c r="M163" s="541">
        <f t="shared" si="67"/>
        <v>30</v>
      </c>
      <c r="N163" s="541">
        <f t="shared" si="67"/>
        <v>31</v>
      </c>
      <c r="O163" s="541">
        <f t="shared" si="67"/>
        <v>30</v>
      </c>
      <c r="P163" s="541">
        <f t="shared" si="67"/>
        <v>31</v>
      </c>
      <c r="Q163" s="541">
        <f t="shared" si="67"/>
        <v>31</v>
      </c>
      <c r="R163" s="541">
        <f t="shared" si="67"/>
        <v>30</v>
      </c>
      <c r="S163" s="541">
        <f t="shared" si="67"/>
        <v>31</v>
      </c>
      <c r="T163" s="541">
        <f t="shared" si="67"/>
        <v>30</v>
      </c>
      <c r="U163" s="541">
        <f t="shared" si="67"/>
        <v>31</v>
      </c>
      <c r="V163" s="541">
        <f t="shared" si="67"/>
        <v>31</v>
      </c>
      <c r="W163" s="541">
        <f t="shared" si="67"/>
        <v>29</v>
      </c>
      <c r="X163" s="541">
        <f t="shared" si="67"/>
        <v>31</v>
      </c>
      <c r="Y163" s="541">
        <f t="shared" si="67"/>
        <v>30</v>
      </c>
      <c r="Z163" s="541">
        <f t="shared" si="67"/>
        <v>31</v>
      </c>
      <c r="AA163" s="541">
        <f t="shared" si="67"/>
        <v>30</v>
      </c>
      <c r="AB163" s="541">
        <f t="shared" si="67"/>
        <v>31</v>
      </c>
      <c r="AC163" s="541">
        <f t="shared" si="67"/>
        <v>31</v>
      </c>
      <c r="AD163" s="541">
        <f t="shared" si="67"/>
        <v>30</v>
      </c>
      <c r="AE163" s="541">
        <f t="shared" si="67"/>
        <v>31</v>
      </c>
      <c r="AF163" s="541">
        <f t="shared" si="67"/>
        <v>30</v>
      </c>
      <c r="AG163" s="541">
        <f t="shared" si="67"/>
        <v>31</v>
      </c>
      <c r="AH163" s="541">
        <f t="shared" si="67"/>
        <v>90</v>
      </c>
      <c r="AI163" s="541">
        <f t="shared" si="67"/>
        <v>91</v>
      </c>
      <c r="AJ163" s="541">
        <f t="shared" si="67"/>
        <v>92</v>
      </c>
      <c r="AK163" s="541">
        <f t="shared" si="67"/>
        <v>92</v>
      </c>
      <c r="AL163" s="541">
        <f t="shared" si="67"/>
        <v>90</v>
      </c>
      <c r="AM163" s="541">
        <f t="shared" si="67"/>
        <v>91</v>
      </c>
      <c r="AN163" s="541">
        <f t="shared" si="67"/>
        <v>92</v>
      </c>
      <c r="AO163" s="541">
        <f t="shared" si="67"/>
        <v>92</v>
      </c>
      <c r="AP163" s="541">
        <f t="shared" si="67"/>
        <v>90</v>
      </c>
      <c r="AQ163" s="541">
        <f t="shared" si="67"/>
        <v>91</v>
      </c>
      <c r="AR163" s="541">
        <f t="shared" si="67"/>
        <v>92</v>
      </c>
      <c r="AS163" s="541">
        <f t="shared" si="67"/>
        <v>92</v>
      </c>
      <c r="AT163" s="541">
        <f t="shared" si="67"/>
        <v>91</v>
      </c>
      <c r="AU163" s="541">
        <f t="shared" si="67"/>
        <v>91</v>
      </c>
      <c r="AV163" s="541">
        <f t="shared" si="67"/>
        <v>92</v>
      </c>
      <c r="AW163" s="541">
        <f t="shared" si="67"/>
        <v>92</v>
      </c>
      <c r="AX163" s="541">
        <f t="shared" si="67"/>
        <v>90</v>
      </c>
      <c r="AY163" s="541">
        <f t="shared" si="67"/>
        <v>91</v>
      </c>
      <c r="AZ163" s="541">
        <f t="shared" si="67"/>
        <v>92</v>
      </c>
      <c r="BA163" s="541">
        <f t="shared" si="67"/>
        <v>92</v>
      </c>
      <c r="BB163" s="541">
        <f t="shared" si="67"/>
        <v>90</v>
      </c>
      <c r="BC163" s="541">
        <f t="shared" si="67"/>
        <v>91</v>
      </c>
      <c r="BD163" s="541">
        <f t="shared" si="67"/>
        <v>92</v>
      </c>
      <c r="BE163" s="541">
        <f t="shared" si="67"/>
        <v>92</v>
      </c>
      <c r="BF163" s="541">
        <f t="shared" si="67"/>
        <v>90</v>
      </c>
      <c r="BG163" s="541">
        <f t="shared" si="67"/>
        <v>91</v>
      </c>
      <c r="BH163" s="541">
        <f t="shared" si="67"/>
        <v>92</v>
      </c>
      <c r="BI163" s="541">
        <f t="shared" si="67"/>
        <v>92</v>
      </c>
      <c r="BJ163" s="541">
        <f t="shared" si="67"/>
        <v>91</v>
      </c>
      <c r="BK163" s="541">
        <f t="shared" si="67"/>
        <v>91</v>
      </c>
      <c r="BL163" s="541">
        <f t="shared" si="67"/>
        <v>92</v>
      </c>
      <c r="BM163" s="541">
        <f t="shared" si="67"/>
        <v>92</v>
      </c>
      <c r="BN163" s="541">
        <f t="shared" si="67"/>
        <v>90</v>
      </c>
      <c r="BO163" s="541">
        <f t="shared" si="67"/>
        <v>91</v>
      </c>
      <c r="BP163" s="541">
        <f t="shared" si="67"/>
        <v>92</v>
      </c>
      <c r="BQ163" s="541">
        <f t="shared" si="67"/>
        <v>92</v>
      </c>
      <c r="BR163" s="541">
        <f t="shared" si="67"/>
        <v>90</v>
      </c>
      <c r="BS163" s="541">
        <f t="shared" si="67"/>
        <v>91</v>
      </c>
      <c r="BT163" s="541">
        <f t="shared" si="67"/>
        <v>92</v>
      </c>
      <c r="BU163" s="541">
        <f t="shared" si="67"/>
        <v>92</v>
      </c>
      <c r="BV163" s="541">
        <f t="shared" si="67"/>
        <v>90</v>
      </c>
      <c r="BW163" s="541">
        <f t="shared" si="67"/>
        <v>91</v>
      </c>
      <c r="BX163" s="541">
        <f t="shared" si="67"/>
        <v>92</v>
      </c>
      <c r="BY163" s="541">
        <f t="shared" si="67"/>
        <v>92</v>
      </c>
      <c r="BZ163" s="541">
        <f t="shared" si="67"/>
        <v>91</v>
      </c>
      <c r="CA163" s="541">
        <f t="shared" si="67"/>
        <v>91</v>
      </c>
      <c r="CB163" s="541">
        <f t="shared" si="67"/>
        <v>92</v>
      </c>
      <c r="CC163" s="541">
        <f t="shared" si="67"/>
        <v>92</v>
      </c>
      <c r="CD163" s="541">
        <f t="shared" si="67"/>
        <v>90</v>
      </c>
      <c r="CE163" s="541">
        <f t="shared" si="67"/>
        <v>91</v>
      </c>
      <c r="CF163" s="541">
        <f t="shared" si="67"/>
        <v>92</v>
      </c>
      <c r="CG163" s="541">
        <f t="shared" si="67"/>
        <v>92</v>
      </c>
      <c r="CH163" s="541">
        <f t="shared" si="67"/>
        <v>90</v>
      </c>
      <c r="CI163" s="541">
        <f t="shared" si="67"/>
        <v>91</v>
      </c>
      <c r="CJ163" s="541">
        <f t="shared" si="67"/>
        <v>92</v>
      </c>
      <c r="CK163" s="541">
        <f t="shared" si="67"/>
        <v>92</v>
      </c>
      <c r="CL163" s="541">
        <f t="shared" si="67"/>
        <v>90</v>
      </c>
      <c r="CM163" s="541">
        <f t="shared" si="67"/>
        <v>91</v>
      </c>
      <c r="CN163" s="541">
        <f t="shared" si="67"/>
        <v>92</v>
      </c>
      <c r="CO163" s="541">
        <f t="shared" si="67"/>
        <v>92</v>
      </c>
      <c r="CP163" s="541">
        <f t="shared" si="67"/>
        <v>91</v>
      </c>
      <c r="CQ163" s="541">
        <f t="shared" si="67"/>
        <v>91</v>
      </c>
      <c r="CR163" s="541">
        <f t="shared" si="67"/>
        <v>92</v>
      </c>
      <c r="CS163" s="541">
        <f t="shared" si="67"/>
        <v>92</v>
      </c>
      <c r="CT163" s="541">
        <f t="shared" si="67"/>
        <v>90</v>
      </c>
      <c r="CU163" s="541">
        <f t="shared" si="67"/>
        <v>91</v>
      </c>
      <c r="CV163" s="541">
        <f t="shared" si="67"/>
        <v>92</v>
      </c>
      <c r="CW163" s="541">
        <f t="shared" si="67"/>
        <v>92</v>
      </c>
      <c r="CX163" s="541">
        <f t="shared" si="67"/>
        <v>90</v>
      </c>
      <c r="CY163" s="541">
        <f t="shared" si="67"/>
        <v>91</v>
      </c>
      <c r="CZ163" s="541">
        <f t="shared" si="67"/>
        <v>92</v>
      </c>
      <c r="DA163" s="541">
        <f t="shared" si="67"/>
        <v>92</v>
      </c>
      <c r="DB163" s="541">
        <f t="shared" si="67"/>
        <v>90</v>
      </c>
      <c r="DC163" s="541">
        <f t="shared" si="67"/>
        <v>91</v>
      </c>
      <c r="DD163" s="541">
        <f t="shared" si="67"/>
        <v>92</v>
      </c>
      <c r="DE163" s="541">
        <f t="shared" si="67"/>
        <v>92</v>
      </c>
      <c r="DF163" s="541">
        <f t="shared" si="67"/>
        <v>91</v>
      </c>
      <c r="DG163" s="541">
        <f t="shared" si="67"/>
        <v>91</v>
      </c>
      <c r="DH163" s="541">
        <f t="shared" si="67"/>
        <v>92</v>
      </c>
      <c r="DI163" s="541">
        <f t="shared" si="67"/>
        <v>92</v>
      </c>
      <c r="DJ163" s="541">
        <f t="shared" si="67"/>
        <v>90</v>
      </c>
      <c r="DK163" s="541">
        <f t="shared" si="67"/>
        <v>91</v>
      </c>
      <c r="DL163" s="541">
        <f t="shared" si="67"/>
        <v>92</v>
      </c>
      <c r="DM163" s="541">
        <f t="shared" si="67"/>
        <v>92</v>
      </c>
      <c r="DN163" s="541">
        <f t="shared" si="67"/>
        <v>90</v>
      </c>
      <c r="DO163" s="541">
        <f t="shared" si="67"/>
        <v>91</v>
      </c>
      <c r="DP163" s="541">
        <f t="shared" si="67"/>
        <v>92</v>
      </c>
      <c r="DQ163" s="541">
        <f t="shared" si="67"/>
        <v>92</v>
      </c>
      <c r="DR163" s="541">
        <f t="shared" si="67"/>
        <v>90</v>
      </c>
      <c r="DS163" s="541">
        <f t="shared" si="67"/>
        <v>91</v>
      </c>
      <c r="DT163" s="541">
        <f t="shared" si="67"/>
        <v>92</v>
      </c>
      <c r="DU163" s="541">
        <f t="shared" si="67"/>
        <v>92</v>
      </c>
      <c r="DV163" s="541">
        <f t="shared" si="67"/>
        <v>91</v>
      </c>
      <c r="DW163" s="541">
        <f t="shared" si="67"/>
        <v>91</v>
      </c>
      <c r="DX163" s="541">
        <f t="shared" si="67"/>
        <v>92</v>
      </c>
      <c r="DY163" s="541">
        <f t="shared" si="67"/>
        <v>92</v>
      </c>
      <c r="DZ163" s="541">
        <f t="shared" si="67"/>
        <v>90</v>
      </c>
      <c r="EA163" s="541">
        <f t="shared" si="67"/>
        <v>91</v>
      </c>
      <c r="EB163" s="541">
        <f t="shared" si="67"/>
        <v>92</v>
      </c>
      <c r="EC163" s="541">
        <f t="shared" si="67"/>
        <v>92</v>
      </c>
      <c r="ED163" s="541">
        <f t="shared" si="67"/>
        <v>90</v>
      </c>
      <c r="EE163" s="541">
        <f t="shared" si="67"/>
        <v>91</v>
      </c>
      <c r="EF163" s="541">
        <f t="shared" si="67"/>
        <v>92</v>
      </c>
      <c r="EG163" s="541">
        <f t="shared" si="67"/>
        <v>92</v>
      </c>
    </row>
    <row r="166" spans="1:1" ht="12.75">
      <c r="A166" s="534" t="s">
        <v>193</v>
      </c>
    </row>
    <row r="168" spans="5:7" ht="12.75">
      <c r="E168" s="538" t="str">
        <f>E$13</f>
        <v>Model column total</v>
      </c>
      <c r="F168" s="539">
        <f>F$13</f>
        <v>128</v>
      </c>
      <c r="G168" s="539" t="str">
        <f>G$13</f>
        <v>columns</v>
      </c>
    </row>
    <row r="169" spans="5:137" ht="12.75">
      <c r="E169" s="538" t="str">
        <f>E$10</f>
        <v>Model column counter</v>
      </c>
      <c r="G169" s="539" t="str">
        <f>G$10</f>
        <v>counter</v>
      </c>
      <c r="H169" s="539">
        <f>H$10</f>
        <v>8256</v>
      </c>
      <c r="J169" s="539">
        <f t="shared" si="68" ref="J169:EG169">J$10</f>
        <v>1</v>
      </c>
      <c r="K169" s="539">
        <f t="shared" si="68"/>
        <v>2</v>
      </c>
      <c r="L169" s="539">
        <f t="shared" si="68"/>
        <v>3</v>
      </c>
      <c r="M169" s="539">
        <f t="shared" si="68"/>
        <v>4</v>
      </c>
      <c r="N169" s="539">
        <f t="shared" si="68"/>
        <v>5</v>
      </c>
      <c r="O169" s="539">
        <f t="shared" si="68"/>
        <v>6</v>
      </c>
      <c r="P169" s="539">
        <f t="shared" si="68"/>
        <v>7</v>
      </c>
      <c r="Q169" s="539">
        <f t="shared" si="68"/>
        <v>8</v>
      </c>
      <c r="R169" s="539">
        <f t="shared" si="68"/>
        <v>9</v>
      </c>
      <c r="S169" s="539">
        <f t="shared" si="68"/>
        <v>10</v>
      </c>
      <c r="T169" s="539">
        <f t="shared" si="68"/>
        <v>11</v>
      </c>
      <c r="U169" s="539">
        <f t="shared" si="68"/>
        <v>12</v>
      </c>
      <c r="V169" s="539">
        <f t="shared" si="68"/>
        <v>13</v>
      </c>
      <c r="W169" s="539">
        <f t="shared" si="68"/>
        <v>14</v>
      </c>
      <c r="X169" s="539">
        <f t="shared" si="68"/>
        <v>15</v>
      </c>
      <c r="Y169" s="539">
        <f t="shared" si="68"/>
        <v>16</v>
      </c>
      <c r="Z169" s="539">
        <f t="shared" si="68"/>
        <v>17</v>
      </c>
      <c r="AA169" s="539">
        <f t="shared" si="68"/>
        <v>18</v>
      </c>
      <c r="AB169" s="539">
        <f t="shared" si="68"/>
        <v>19</v>
      </c>
      <c r="AC169" s="539">
        <f t="shared" si="68"/>
        <v>20</v>
      </c>
      <c r="AD169" s="539">
        <f t="shared" si="68"/>
        <v>21</v>
      </c>
      <c r="AE169" s="539">
        <f t="shared" si="68"/>
        <v>22</v>
      </c>
      <c r="AF169" s="539">
        <f t="shared" si="68"/>
        <v>23</v>
      </c>
      <c r="AG169" s="539">
        <f t="shared" si="68"/>
        <v>24</v>
      </c>
      <c r="AH169" s="539">
        <f t="shared" si="68"/>
        <v>25</v>
      </c>
      <c r="AI169" s="539">
        <f t="shared" si="68"/>
        <v>26</v>
      </c>
      <c r="AJ169" s="539">
        <f t="shared" si="68"/>
        <v>27</v>
      </c>
      <c r="AK169" s="539">
        <f t="shared" si="68"/>
        <v>28</v>
      </c>
      <c r="AL169" s="539">
        <f t="shared" si="68"/>
        <v>29</v>
      </c>
      <c r="AM169" s="539">
        <f t="shared" si="68"/>
        <v>30</v>
      </c>
      <c r="AN169" s="539">
        <f t="shared" si="68"/>
        <v>31</v>
      </c>
      <c r="AO169" s="539">
        <f t="shared" si="68"/>
        <v>32</v>
      </c>
      <c r="AP169" s="539">
        <f t="shared" si="68"/>
        <v>33</v>
      </c>
      <c r="AQ169" s="539">
        <f t="shared" si="68"/>
        <v>34</v>
      </c>
      <c r="AR169" s="539">
        <f t="shared" si="68"/>
        <v>35</v>
      </c>
      <c r="AS169" s="539">
        <f t="shared" si="68"/>
        <v>36</v>
      </c>
      <c r="AT169" s="539">
        <f t="shared" si="68"/>
        <v>37</v>
      </c>
      <c r="AU169" s="539">
        <f t="shared" si="68"/>
        <v>38</v>
      </c>
      <c r="AV169" s="539">
        <f t="shared" si="68"/>
        <v>39</v>
      </c>
      <c r="AW169" s="539">
        <f t="shared" si="68"/>
        <v>40</v>
      </c>
      <c r="AX169" s="539">
        <f t="shared" si="68"/>
        <v>41</v>
      </c>
      <c r="AY169" s="539">
        <f t="shared" si="68"/>
        <v>42</v>
      </c>
      <c r="AZ169" s="539">
        <f t="shared" si="68"/>
        <v>43</v>
      </c>
      <c r="BA169" s="539">
        <f t="shared" si="68"/>
        <v>44</v>
      </c>
      <c r="BB169" s="539">
        <f t="shared" si="68"/>
        <v>45</v>
      </c>
      <c r="BC169" s="539">
        <f t="shared" si="68"/>
        <v>46</v>
      </c>
      <c r="BD169" s="539">
        <f t="shared" si="68"/>
        <v>47</v>
      </c>
      <c r="BE169" s="539">
        <f t="shared" si="68"/>
        <v>48</v>
      </c>
      <c r="BF169" s="539">
        <f t="shared" si="68"/>
        <v>49</v>
      </c>
      <c r="BG169" s="539">
        <f t="shared" si="68"/>
        <v>50</v>
      </c>
      <c r="BH169" s="539">
        <f t="shared" si="68"/>
        <v>51</v>
      </c>
      <c r="BI169" s="539">
        <f t="shared" si="68"/>
        <v>52</v>
      </c>
      <c r="BJ169" s="539">
        <f t="shared" si="68"/>
        <v>53</v>
      </c>
      <c r="BK169" s="539">
        <f t="shared" si="68"/>
        <v>54</v>
      </c>
      <c r="BL169" s="539">
        <f t="shared" si="68"/>
        <v>55</v>
      </c>
      <c r="BM169" s="539">
        <f t="shared" si="68"/>
        <v>56</v>
      </c>
      <c r="BN169" s="539">
        <f t="shared" si="68"/>
        <v>57</v>
      </c>
      <c r="BO169" s="539">
        <f t="shared" si="68"/>
        <v>58</v>
      </c>
      <c r="BP169" s="539">
        <f t="shared" si="68"/>
        <v>59</v>
      </c>
      <c r="BQ169" s="539">
        <f t="shared" si="68"/>
        <v>60</v>
      </c>
      <c r="BR169" s="539">
        <f t="shared" si="68"/>
        <v>61</v>
      </c>
      <c r="BS169" s="539">
        <f t="shared" si="68"/>
        <v>62</v>
      </c>
      <c r="BT169" s="539">
        <f t="shared" si="68"/>
        <v>63</v>
      </c>
      <c r="BU169" s="539">
        <f t="shared" si="68"/>
        <v>64</v>
      </c>
      <c r="BV169" s="539">
        <f t="shared" si="68"/>
        <v>65</v>
      </c>
      <c r="BW169" s="539">
        <f t="shared" si="68"/>
        <v>66</v>
      </c>
      <c r="BX169" s="539">
        <f t="shared" si="68"/>
        <v>67</v>
      </c>
      <c r="BY169" s="539">
        <f t="shared" si="68"/>
        <v>68</v>
      </c>
      <c r="BZ169" s="539">
        <f t="shared" si="68"/>
        <v>69</v>
      </c>
      <c r="CA169" s="539">
        <f t="shared" si="68"/>
        <v>70</v>
      </c>
      <c r="CB169" s="539">
        <f t="shared" si="68"/>
        <v>71</v>
      </c>
      <c r="CC169" s="539">
        <f t="shared" si="68"/>
        <v>72</v>
      </c>
      <c r="CD169" s="539">
        <f t="shared" si="68"/>
        <v>73</v>
      </c>
      <c r="CE169" s="539">
        <f t="shared" si="68"/>
        <v>74</v>
      </c>
      <c r="CF169" s="539">
        <f t="shared" si="68"/>
        <v>75</v>
      </c>
      <c r="CG169" s="539">
        <f t="shared" si="68"/>
        <v>76</v>
      </c>
      <c r="CH169" s="539">
        <f t="shared" si="68"/>
        <v>77</v>
      </c>
      <c r="CI169" s="539">
        <f t="shared" si="68"/>
        <v>78</v>
      </c>
      <c r="CJ169" s="539">
        <f t="shared" si="68"/>
        <v>79</v>
      </c>
      <c r="CK169" s="539">
        <f t="shared" si="68"/>
        <v>80</v>
      </c>
      <c r="CL169" s="539">
        <f t="shared" si="68"/>
        <v>81</v>
      </c>
      <c r="CM169" s="539">
        <f t="shared" si="68"/>
        <v>82</v>
      </c>
      <c r="CN169" s="539">
        <f t="shared" si="68"/>
        <v>83</v>
      </c>
      <c r="CO169" s="539">
        <f t="shared" si="68"/>
        <v>84</v>
      </c>
      <c r="CP169" s="539">
        <f t="shared" si="68"/>
        <v>85</v>
      </c>
      <c r="CQ169" s="539">
        <f t="shared" si="68"/>
        <v>86</v>
      </c>
      <c r="CR169" s="539">
        <f t="shared" si="68"/>
        <v>87</v>
      </c>
      <c r="CS169" s="539">
        <f t="shared" si="68"/>
        <v>88</v>
      </c>
      <c r="CT169" s="539">
        <f t="shared" si="68"/>
        <v>89</v>
      </c>
      <c r="CU169" s="539">
        <f t="shared" si="68"/>
        <v>90</v>
      </c>
      <c r="CV169" s="539">
        <f t="shared" si="68"/>
        <v>91</v>
      </c>
      <c r="CW169" s="539">
        <f t="shared" si="68"/>
        <v>92</v>
      </c>
      <c r="CX169" s="539">
        <f t="shared" si="68"/>
        <v>93</v>
      </c>
      <c r="CY169" s="539">
        <f t="shared" si="68"/>
        <v>94</v>
      </c>
      <c r="CZ169" s="539">
        <f t="shared" si="68"/>
        <v>95</v>
      </c>
      <c r="DA169" s="539">
        <f t="shared" si="68"/>
        <v>96</v>
      </c>
      <c r="DB169" s="539">
        <f t="shared" si="68"/>
        <v>97</v>
      </c>
      <c r="DC169" s="539">
        <f t="shared" si="68"/>
        <v>98</v>
      </c>
      <c r="DD169" s="539">
        <f t="shared" si="68"/>
        <v>99</v>
      </c>
      <c r="DE169" s="539">
        <f t="shared" si="68"/>
        <v>100</v>
      </c>
      <c r="DF169" s="539">
        <f t="shared" si="68"/>
        <v>101</v>
      </c>
      <c r="DG169" s="539">
        <f t="shared" si="68"/>
        <v>102</v>
      </c>
      <c r="DH169" s="539">
        <f t="shared" si="68"/>
        <v>103</v>
      </c>
      <c r="DI169" s="539">
        <f t="shared" si="68"/>
        <v>104</v>
      </c>
      <c r="DJ169" s="539">
        <f t="shared" si="68"/>
        <v>105</v>
      </c>
      <c r="DK169" s="539">
        <f t="shared" si="68"/>
        <v>106</v>
      </c>
      <c r="DL169" s="539">
        <f t="shared" si="68"/>
        <v>107</v>
      </c>
      <c r="DM169" s="539">
        <f t="shared" si="68"/>
        <v>108</v>
      </c>
      <c r="DN169" s="539">
        <f t="shared" si="68"/>
        <v>109</v>
      </c>
      <c r="DO169" s="539">
        <f t="shared" si="68"/>
        <v>110</v>
      </c>
      <c r="DP169" s="539">
        <f t="shared" si="68"/>
        <v>111</v>
      </c>
      <c r="DQ169" s="539">
        <f t="shared" si="68"/>
        <v>112</v>
      </c>
      <c r="DR169" s="539">
        <f t="shared" si="68"/>
        <v>113</v>
      </c>
      <c r="DS169" s="539">
        <f t="shared" si="68"/>
        <v>114</v>
      </c>
      <c r="DT169" s="539">
        <f t="shared" si="68"/>
        <v>115</v>
      </c>
      <c r="DU169" s="539">
        <f t="shared" si="68"/>
        <v>116</v>
      </c>
      <c r="DV169" s="539">
        <f t="shared" si="68"/>
        <v>117</v>
      </c>
      <c r="DW169" s="539">
        <f t="shared" si="68"/>
        <v>118</v>
      </c>
      <c r="DX169" s="539">
        <f t="shared" si="68"/>
        <v>119</v>
      </c>
      <c r="DY169" s="539">
        <f t="shared" si="68"/>
        <v>120</v>
      </c>
      <c r="DZ169" s="539">
        <f t="shared" si="68"/>
        <v>121</v>
      </c>
      <c r="EA169" s="539">
        <f t="shared" si="68"/>
        <v>122</v>
      </c>
      <c r="EB169" s="539">
        <f t="shared" si="68"/>
        <v>123</v>
      </c>
      <c r="EC169" s="539">
        <f t="shared" si="68"/>
        <v>124</v>
      </c>
      <c r="ED169" s="539">
        <f t="shared" si="68"/>
        <v>125</v>
      </c>
      <c r="EE169" s="539">
        <f t="shared" si="68"/>
        <v>126</v>
      </c>
      <c r="EF169" s="539">
        <f t="shared" si="68"/>
        <v>127</v>
      </c>
      <c r="EG169" s="539">
        <f t="shared" si="68"/>
        <v>128</v>
      </c>
    </row>
    <row r="170" spans="5:137" ht="12.75">
      <c r="E170" s="540" t="s">
        <v>194</v>
      </c>
      <c r="G170" s="541" t="s">
        <v>158</v>
      </c>
      <c r="H170" s="541">
        <f>SUM(J170:EG170)</f>
        <v>1</v>
      </c>
      <c r="J170" s="541">
        <f t="shared" si="69" ref="J170:EG170">IF(J169=$F168,1,0)</f>
        <v>0</v>
      </c>
      <c r="K170" s="541">
        <f t="shared" si="69"/>
        <v>0</v>
      </c>
      <c r="L170" s="541">
        <f t="shared" si="69"/>
        <v>0</v>
      </c>
      <c r="M170" s="541">
        <f t="shared" si="69"/>
        <v>0</v>
      </c>
      <c r="N170" s="541">
        <f t="shared" si="69"/>
        <v>0</v>
      </c>
      <c r="O170" s="541">
        <f t="shared" si="69"/>
        <v>0</v>
      </c>
      <c r="P170" s="541">
        <f t="shared" si="69"/>
        <v>0</v>
      </c>
      <c r="Q170" s="541">
        <f t="shared" si="69"/>
        <v>0</v>
      </c>
      <c r="R170" s="541">
        <f t="shared" si="69"/>
        <v>0</v>
      </c>
      <c r="S170" s="541">
        <f t="shared" si="69"/>
        <v>0</v>
      </c>
      <c r="T170" s="541">
        <f t="shared" si="69"/>
        <v>0</v>
      </c>
      <c r="U170" s="541">
        <f t="shared" si="69"/>
        <v>0</v>
      </c>
      <c r="V170" s="541">
        <f t="shared" si="69"/>
        <v>0</v>
      </c>
      <c r="W170" s="541">
        <f t="shared" si="69"/>
        <v>0</v>
      </c>
      <c r="X170" s="541">
        <f t="shared" si="69"/>
        <v>0</v>
      </c>
      <c r="Y170" s="541">
        <f t="shared" si="69"/>
        <v>0</v>
      </c>
      <c r="Z170" s="541">
        <f t="shared" si="69"/>
        <v>0</v>
      </c>
      <c r="AA170" s="541">
        <f t="shared" si="69"/>
        <v>0</v>
      </c>
      <c r="AB170" s="541">
        <f t="shared" si="69"/>
        <v>0</v>
      </c>
      <c r="AC170" s="541">
        <f t="shared" si="69"/>
        <v>0</v>
      </c>
      <c r="AD170" s="541">
        <f t="shared" si="69"/>
        <v>0</v>
      </c>
      <c r="AE170" s="541">
        <f t="shared" si="69"/>
        <v>0</v>
      </c>
      <c r="AF170" s="541">
        <f t="shared" si="69"/>
        <v>0</v>
      </c>
      <c r="AG170" s="541">
        <f t="shared" si="69"/>
        <v>0</v>
      </c>
      <c r="AH170" s="541">
        <f t="shared" si="69"/>
        <v>0</v>
      </c>
      <c r="AI170" s="541">
        <f t="shared" si="69"/>
        <v>0</v>
      </c>
      <c r="AJ170" s="541">
        <f t="shared" si="69"/>
        <v>0</v>
      </c>
      <c r="AK170" s="541">
        <f t="shared" si="69"/>
        <v>0</v>
      </c>
      <c r="AL170" s="541">
        <f t="shared" si="69"/>
        <v>0</v>
      </c>
      <c r="AM170" s="541">
        <f t="shared" si="69"/>
        <v>0</v>
      </c>
      <c r="AN170" s="541">
        <f t="shared" si="69"/>
        <v>0</v>
      </c>
      <c r="AO170" s="541">
        <f t="shared" si="69"/>
        <v>0</v>
      </c>
      <c r="AP170" s="541">
        <f t="shared" si="69"/>
        <v>0</v>
      </c>
      <c r="AQ170" s="541">
        <f t="shared" si="69"/>
        <v>0</v>
      </c>
      <c r="AR170" s="541">
        <f t="shared" si="69"/>
        <v>0</v>
      </c>
      <c r="AS170" s="541">
        <f t="shared" si="69"/>
        <v>0</v>
      </c>
      <c r="AT170" s="541">
        <f t="shared" si="69"/>
        <v>0</v>
      </c>
      <c r="AU170" s="541">
        <f t="shared" si="69"/>
        <v>0</v>
      </c>
      <c r="AV170" s="541">
        <f t="shared" si="69"/>
        <v>0</v>
      </c>
      <c r="AW170" s="541">
        <f t="shared" si="69"/>
        <v>0</v>
      </c>
      <c r="AX170" s="541">
        <f t="shared" si="69"/>
        <v>0</v>
      </c>
      <c r="AY170" s="541">
        <f t="shared" si="69"/>
        <v>0</v>
      </c>
      <c r="AZ170" s="541">
        <f t="shared" si="69"/>
        <v>0</v>
      </c>
      <c r="BA170" s="541">
        <f t="shared" si="69"/>
        <v>0</v>
      </c>
      <c r="BB170" s="541">
        <f t="shared" si="69"/>
        <v>0</v>
      </c>
      <c r="BC170" s="541">
        <f t="shared" si="69"/>
        <v>0</v>
      </c>
      <c r="BD170" s="541">
        <f t="shared" si="69"/>
        <v>0</v>
      </c>
      <c r="BE170" s="541">
        <f t="shared" si="69"/>
        <v>0</v>
      </c>
      <c r="BF170" s="541">
        <f t="shared" si="69"/>
        <v>0</v>
      </c>
      <c r="BG170" s="541">
        <f t="shared" si="69"/>
        <v>0</v>
      </c>
      <c r="BH170" s="541">
        <f t="shared" si="69"/>
        <v>0</v>
      </c>
      <c r="BI170" s="541">
        <f t="shared" si="69"/>
        <v>0</v>
      </c>
      <c r="BJ170" s="541">
        <f t="shared" si="69"/>
        <v>0</v>
      </c>
      <c r="BK170" s="541">
        <f t="shared" si="69"/>
        <v>0</v>
      </c>
      <c r="BL170" s="541">
        <f t="shared" si="69"/>
        <v>0</v>
      </c>
      <c r="BM170" s="541">
        <f t="shared" si="69"/>
        <v>0</v>
      </c>
      <c r="BN170" s="541">
        <f t="shared" si="69"/>
        <v>0</v>
      </c>
      <c r="BO170" s="541">
        <f t="shared" si="69"/>
        <v>0</v>
      </c>
      <c r="BP170" s="541">
        <f t="shared" si="69"/>
        <v>0</v>
      </c>
      <c r="BQ170" s="541">
        <f t="shared" si="69"/>
        <v>0</v>
      </c>
      <c r="BR170" s="541">
        <f t="shared" si="69"/>
        <v>0</v>
      </c>
      <c r="BS170" s="541">
        <f t="shared" si="69"/>
        <v>0</v>
      </c>
      <c r="BT170" s="541">
        <f t="shared" si="69"/>
        <v>0</v>
      </c>
      <c r="BU170" s="541">
        <f t="shared" si="69"/>
        <v>0</v>
      </c>
      <c r="BV170" s="541">
        <f t="shared" si="69"/>
        <v>0</v>
      </c>
      <c r="BW170" s="541">
        <f t="shared" si="69"/>
        <v>0</v>
      </c>
      <c r="BX170" s="541">
        <f t="shared" si="69"/>
        <v>0</v>
      </c>
      <c r="BY170" s="541">
        <f t="shared" si="69"/>
        <v>0</v>
      </c>
      <c r="BZ170" s="541">
        <f t="shared" si="69"/>
        <v>0</v>
      </c>
      <c r="CA170" s="541">
        <f t="shared" si="69"/>
        <v>0</v>
      </c>
      <c r="CB170" s="541">
        <f t="shared" si="69"/>
        <v>0</v>
      </c>
      <c r="CC170" s="541">
        <f t="shared" si="69"/>
        <v>0</v>
      </c>
      <c r="CD170" s="541">
        <f t="shared" si="69"/>
        <v>0</v>
      </c>
      <c r="CE170" s="541">
        <f t="shared" si="69"/>
        <v>0</v>
      </c>
      <c r="CF170" s="541">
        <f t="shared" si="69"/>
        <v>0</v>
      </c>
      <c r="CG170" s="541">
        <f t="shared" si="69"/>
        <v>0</v>
      </c>
      <c r="CH170" s="541">
        <f t="shared" si="69"/>
        <v>0</v>
      </c>
      <c r="CI170" s="541">
        <f t="shared" si="69"/>
        <v>0</v>
      </c>
      <c r="CJ170" s="541">
        <f t="shared" si="69"/>
        <v>0</v>
      </c>
      <c r="CK170" s="541">
        <f t="shared" si="69"/>
        <v>0</v>
      </c>
      <c r="CL170" s="541">
        <f t="shared" si="69"/>
        <v>0</v>
      </c>
      <c r="CM170" s="541">
        <f t="shared" si="69"/>
        <v>0</v>
      </c>
      <c r="CN170" s="541">
        <f t="shared" si="69"/>
        <v>0</v>
      </c>
      <c r="CO170" s="541">
        <f t="shared" si="69"/>
        <v>0</v>
      </c>
      <c r="CP170" s="541">
        <f t="shared" si="69"/>
        <v>0</v>
      </c>
      <c r="CQ170" s="541">
        <f t="shared" si="69"/>
        <v>0</v>
      </c>
      <c r="CR170" s="541">
        <f t="shared" si="69"/>
        <v>0</v>
      </c>
      <c r="CS170" s="541">
        <f t="shared" si="69"/>
        <v>0</v>
      </c>
      <c r="CT170" s="541">
        <f t="shared" si="69"/>
        <v>0</v>
      </c>
      <c r="CU170" s="541">
        <f t="shared" si="69"/>
        <v>0</v>
      </c>
      <c r="CV170" s="541">
        <f t="shared" si="69"/>
        <v>0</v>
      </c>
      <c r="CW170" s="541">
        <f t="shared" si="69"/>
        <v>0</v>
      </c>
      <c r="CX170" s="541">
        <f t="shared" si="69"/>
        <v>0</v>
      </c>
      <c r="CY170" s="541">
        <f t="shared" si="69"/>
        <v>0</v>
      </c>
      <c r="CZ170" s="541">
        <f t="shared" si="69"/>
        <v>0</v>
      </c>
      <c r="DA170" s="541">
        <f t="shared" si="69"/>
        <v>0</v>
      </c>
      <c r="DB170" s="541">
        <f t="shared" si="69"/>
        <v>0</v>
      </c>
      <c r="DC170" s="541">
        <f t="shared" si="69"/>
        <v>0</v>
      </c>
      <c r="DD170" s="541">
        <f t="shared" si="69"/>
        <v>0</v>
      </c>
      <c r="DE170" s="541">
        <f t="shared" si="69"/>
        <v>0</v>
      </c>
      <c r="DF170" s="541">
        <f t="shared" si="69"/>
        <v>0</v>
      </c>
      <c r="DG170" s="541">
        <f t="shared" si="69"/>
        <v>0</v>
      </c>
      <c r="DH170" s="541">
        <f t="shared" si="69"/>
        <v>0</v>
      </c>
      <c r="DI170" s="541">
        <f t="shared" si="69"/>
        <v>0</v>
      </c>
      <c r="DJ170" s="541">
        <f t="shared" si="69"/>
        <v>0</v>
      </c>
      <c r="DK170" s="541">
        <f t="shared" si="69"/>
        <v>0</v>
      </c>
      <c r="DL170" s="541">
        <f t="shared" si="69"/>
        <v>0</v>
      </c>
      <c r="DM170" s="541">
        <f t="shared" si="69"/>
        <v>0</v>
      </c>
      <c r="DN170" s="541">
        <f t="shared" si="69"/>
        <v>0</v>
      </c>
      <c r="DO170" s="541">
        <f t="shared" si="69"/>
        <v>0</v>
      </c>
      <c r="DP170" s="541">
        <f t="shared" si="69"/>
        <v>0</v>
      </c>
      <c r="DQ170" s="541">
        <f t="shared" si="69"/>
        <v>0</v>
      </c>
      <c r="DR170" s="541">
        <f t="shared" si="69"/>
        <v>0</v>
      </c>
      <c r="DS170" s="541">
        <f t="shared" si="69"/>
        <v>0</v>
      </c>
      <c r="DT170" s="541">
        <f t="shared" si="69"/>
        <v>0</v>
      </c>
      <c r="DU170" s="541">
        <f t="shared" si="69"/>
        <v>0</v>
      </c>
      <c r="DV170" s="541">
        <f t="shared" si="69"/>
        <v>0</v>
      </c>
      <c r="DW170" s="541">
        <f t="shared" si="69"/>
        <v>0</v>
      </c>
      <c r="DX170" s="541">
        <f t="shared" si="69"/>
        <v>0</v>
      </c>
      <c r="DY170" s="541">
        <f t="shared" si="69"/>
        <v>0</v>
      </c>
      <c r="DZ170" s="541">
        <f t="shared" si="69"/>
        <v>0</v>
      </c>
      <c r="EA170" s="541">
        <f t="shared" si="69"/>
        <v>0</v>
      </c>
      <c r="EB170" s="541">
        <f t="shared" si="69"/>
        <v>0</v>
      </c>
      <c r="EC170" s="541">
        <f t="shared" si="69"/>
        <v>0</v>
      </c>
      <c r="ED170" s="541">
        <f t="shared" si="69"/>
        <v>0</v>
      </c>
      <c r="EE170" s="541">
        <f t="shared" si="69"/>
        <v>0</v>
      </c>
      <c r="EF170" s="541">
        <f t="shared" si="69"/>
        <v>0</v>
      </c>
      <c r="EG170" s="541">
        <f t="shared" si="69"/>
        <v>1</v>
      </c>
    </row>
    <row r="172" spans="5:7" ht="12.75">
      <c r="E172" s="535" t="str">
        <f>InpC!E$16</f>
        <v>Length of operating period</v>
      </c>
      <c r="F172" s="537">
        <f>InpC!F$16</f>
        <v>3</v>
      </c>
      <c r="G172" s="537" t="str">
        <f>InpC!G$16</f>
        <v>months</v>
      </c>
    </row>
    <row r="173" spans="5:7" ht="12.75">
      <c r="E173" s="535" t="str">
        <f>InpC!E$126</f>
        <v>Months in year</v>
      </c>
      <c r="F173" s="537">
        <f>InpC!F$126</f>
        <v>12</v>
      </c>
      <c r="G173" s="537" t="str">
        <f>InpC!G$126</f>
        <v>months</v>
      </c>
    </row>
    <row r="174" spans="5:7" ht="12.75">
      <c r="E174" s="538" t="s">
        <v>195</v>
      </c>
      <c r="F174" s="539">
        <f>$F172/$F173</f>
        <v>0.25</v>
      </c>
      <c r="G174" s="539" t="s">
        <v>196</v>
      </c>
    </row>
    <row r="176" spans="5:7" ht="12.75">
      <c r="E176" s="535" t="str">
        <f>InpC!E$126</f>
        <v>Months in year</v>
      </c>
      <c r="F176" s="537">
        <f>InpC!F$126</f>
        <v>12</v>
      </c>
      <c r="G176" s="537" t="str">
        <f>InpC!G$126</f>
        <v>months</v>
      </c>
    </row>
    <row r="177" spans="5:137" ht="12.75">
      <c r="E177" s="538" t="str">
        <f>E$39</f>
        <v>Months per model period</v>
      </c>
      <c r="G177" s="539" t="str">
        <f>G$39</f>
        <v>months</v>
      </c>
      <c r="H177" s="539">
        <f>H$39</f>
        <v>336</v>
      </c>
      <c r="J177" s="539">
        <f t="shared" si="70" ref="J177:EG177">J$39</f>
        <v>1</v>
      </c>
      <c r="K177" s="539">
        <f t="shared" si="70"/>
        <v>1</v>
      </c>
      <c r="L177" s="539">
        <f t="shared" si="70"/>
        <v>1</v>
      </c>
      <c r="M177" s="539">
        <f t="shared" si="70"/>
        <v>1</v>
      </c>
      <c r="N177" s="539">
        <f t="shared" si="70"/>
        <v>1</v>
      </c>
      <c r="O177" s="539">
        <f t="shared" si="70"/>
        <v>1</v>
      </c>
      <c r="P177" s="539">
        <f t="shared" si="70"/>
        <v>1</v>
      </c>
      <c r="Q177" s="539">
        <f t="shared" si="70"/>
        <v>1</v>
      </c>
      <c r="R177" s="539">
        <f t="shared" si="70"/>
        <v>1</v>
      </c>
      <c r="S177" s="539">
        <f t="shared" si="70"/>
        <v>1</v>
      </c>
      <c r="T177" s="539">
        <f t="shared" si="70"/>
        <v>1</v>
      </c>
      <c r="U177" s="539">
        <f t="shared" si="70"/>
        <v>1</v>
      </c>
      <c r="V177" s="539">
        <f t="shared" si="70"/>
        <v>1</v>
      </c>
      <c r="W177" s="539">
        <f t="shared" si="70"/>
        <v>1</v>
      </c>
      <c r="X177" s="539">
        <f t="shared" si="70"/>
        <v>1</v>
      </c>
      <c r="Y177" s="539">
        <f t="shared" si="70"/>
        <v>1</v>
      </c>
      <c r="Z177" s="539">
        <f t="shared" si="70"/>
        <v>1</v>
      </c>
      <c r="AA177" s="539">
        <f t="shared" si="70"/>
        <v>1</v>
      </c>
      <c r="AB177" s="539">
        <f t="shared" si="70"/>
        <v>1</v>
      </c>
      <c r="AC177" s="539">
        <f t="shared" si="70"/>
        <v>1</v>
      </c>
      <c r="AD177" s="539">
        <f t="shared" si="70"/>
        <v>1</v>
      </c>
      <c r="AE177" s="539">
        <f t="shared" si="70"/>
        <v>1</v>
      </c>
      <c r="AF177" s="539">
        <f t="shared" si="70"/>
        <v>1</v>
      </c>
      <c r="AG177" s="539">
        <f t="shared" si="70"/>
        <v>1</v>
      </c>
      <c r="AH177" s="539">
        <f t="shared" si="70"/>
        <v>3</v>
      </c>
      <c r="AI177" s="539">
        <f t="shared" si="70"/>
        <v>3</v>
      </c>
      <c r="AJ177" s="539">
        <f t="shared" si="70"/>
        <v>3</v>
      </c>
      <c r="AK177" s="539">
        <f t="shared" si="70"/>
        <v>3</v>
      </c>
      <c r="AL177" s="539">
        <f t="shared" si="70"/>
        <v>3</v>
      </c>
      <c r="AM177" s="539">
        <f t="shared" si="70"/>
        <v>3</v>
      </c>
      <c r="AN177" s="539">
        <f t="shared" si="70"/>
        <v>3</v>
      </c>
      <c r="AO177" s="539">
        <f t="shared" si="70"/>
        <v>3</v>
      </c>
      <c r="AP177" s="539">
        <f t="shared" si="70"/>
        <v>3</v>
      </c>
      <c r="AQ177" s="539">
        <f t="shared" si="70"/>
        <v>3</v>
      </c>
      <c r="AR177" s="539">
        <f t="shared" si="70"/>
        <v>3</v>
      </c>
      <c r="AS177" s="539">
        <f t="shared" si="70"/>
        <v>3</v>
      </c>
      <c r="AT177" s="539">
        <f t="shared" si="70"/>
        <v>3</v>
      </c>
      <c r="AU177" s="539">
        <f t="shared" si="70"/>
        <v>3</v>
      </c>
      <c r="AV177" s="539">
        <f t="shared" si="70"/>
        <v>3</v>
      </c>
      <c r="AW177" s="539">
        <f t="shared" si="70"/>
        <v>3</v>
      </c>
      <c r="AX177" s="539">
        <f t="shared" si="70"/>
        <v>3</v>
      </c>
      <c r="AY177" s="539">
        <f t="shared" si="70"/>
        <v>3</v>
      </c>
      <c r="AZ177" s="539">
        <f t="shared" si="70"/>
        <v>3</v>
      </c>
      <c r="BA177" s="539">
        <f t="shared" si="70"/>
        <v>3</v>
      </c>
      <c r="BB177" s="539">
        <f t="shared" si="70"/>
        <v>3</v>
      </c>
      <c r="BC177" s="539">
        <f t="shared" si="70"/>
        <v>3</v>
      </c>
      <c r="BD177" s="539">
        <f t="shared" si="70"/>
        <v>3</v>
      </c>
      <c r="BE177" s="539">
        <f t="shared" si="70"/>
        <v>3</v>
      </c>
      <c r="BF177" s="539">
        <f t="shared" si="70"/>
        <v>3</v>
      </c>
      <c r="BG177" s="539">
        <f t="shared" si="70"/>
        <v>3</v>
      </c>
      <c r="BH177" s="539">
        <f t="shared" si="70"/>
        <v>3</v>
      </c>
      <c r="BI177" s="539">
        <f t="shared" si="70"/>
        <v>3</v>
      </c>
      <c r="BJ177" s="539">
        <f t="shared" si="70"/>
        <v>3</v>
      </c>
      <c r="BK177" s="539">
        <f t="shared" si="70"/>
        <v>3</v>
      </c>
      <c r="BL177" s="539">
        <f t="shared" si="70"/>
        <v>3</v>
      </c>
      <c r="BM177" s="539">
        <f t="shared" si="70"/>
        <v>3</v>
      </c>
      <c r="BN177" s="539">
        <f t="shared" si="70"/>
        <v>3</v>
      </c>
      <c r="BO177" s="539">
        <f t="shared" si="70"/>
        <v>3</v>
      </c>
      <c r="BP177" s="539">
        <f t="shared" si="70"/>
        <v>3</v>
      </c>
      <c r="BQ177" s="539">
        <f t="shared" si="70"/>
        <v>3</v>
      </c>
      <c r="BR177" s="539">
        <f t="shared" si="70"/>
        <v>3</v>
      </c>
      <c r="BS177" s="539">
        <f t="shared" si="70"/>
        <v>3</v>
      </c>
      <c r="BT177" s="539">
        <f t="shared" si="70"/>
        <v>3</v>
      </c>
      <c r="BU177" s="539">
        <f t="shared" si="70"/>
        <v>3</v>
      </c>
      <c r="BV177" s="539">
        <f t="shared" si="70"/>
        <v>3</v>
      </c>
      <c r="BW177" s="539">
        <f t="shared" si="70"/>
        <v>3</v>
      </c>
      <c r="BX177" s="539">
        <f t="shared" si="70"/>
        <v>3</v>
      </c>
      <c r="BY177" s="539">
        <f t="shared" si="70"/>
        <v>3</v>
      </c>
      <c r="BZ177" s="539">
        <f t="shared" si="70"/>
        <v>3</v>
      </c>
      <c r="CA177" s="539">
        <f t="shared" si="70"/>
        <v>3</v>
      </c>
      <c r="CB177" s="539">
        <f t="shared" si="70"/>
        <v>3</v>
      </c>
      <c r="CC177" s="539">
        <f t="shared" si="70"/>
        <v>3</v>
      </c>
      <c r="CD177" s="539">
        <f t="shared" si="70"/>
        <v>3</v>
      </c>
      <c r="CE177" s="539">
        <f t="shared" si="70"/>
        <v>3</v>
      </c>
      <c r="CF177" s="539">
        <f t="shared" si="70"/>
        <v>3</v>
      </c>
      <c r="CG177" s="539">
        <f t="shared" si="70"/>
        <v>3</v>
      </c>
      <c r="CH177" s="539">
        <f t="shared" si="70"/>
        <v>3</v>
      </c>
      <c r="CI177" s="539">
        <f t="shared" si="70"/>
        <v>3</v>
      </c>
      <c r="CJ177" s="539">
        <f t="shared" si="70"/>
        <v>3</v>
      </c>
      <c r="CK177" s="539">
        <f t="shared" si="70"/>
        <v>3</v>
      </c>
      <c r="CL177" s="539">
        <f t="shared" si="70"/>
        <v>3</v>
      </c>
      <c r="CM177" s="539">
        <f t="shared" si="70"/>
        <v>3</v>
      </c>
      <c r="CN177" s="539">
        <f t="shared" si="70"/>
        <v>3</v>
      </c>
      <c r="CO177" s="539">
        <f t="shared" si="70"/>
        <v>3</v>
      </c>
      <c r="CP177" s="539">
        <f t="shared" si="70"/>
        <v>3</v>
      </c>
      <c r="CQ177" s="539">
        <f t="shared" si="70"/>
        <v>3</v>
      </c>
      <c r="CR177" s="539">
        <f t="shared" si="70"/>
        <v>3</v>
      </c>
      <c r="CS177" s="539">
        <f t="shared" si="70"/>
        <v>3</v>
      </c>
      <c r="CT177" s="539">
        <f t="shared" si="70"/>
        <v>3</v>
      </c>
      <c r="CU177" s="539">
        <f t="shared" si="70"/>
        <v>3</v>
      </c>
      <c r="CV177" s="539">
        <f t="shared" si="70"/>
        <v>3</v>
      </c>
      <c r="CW177" s="539">
        <f t="shared" si="70"/>
        <v>3</v>
      </c>
      <c r="CX177" s="539">
        <f t="shared" si="70"/>
        <v>3</v>
      </c>
      <c r="CY177" s="539">
        <f t="shared" si="70"/>
        <v>3</v>
      </c>
      <c r="CZ177" s="539">
        <f t="shared" si="70"/>
        <v>3</v>
      </c>
      <c r="DA177" s="539">
        <f t="shared" si="70"/>
        <v>3</v>
      </c>
      <c r="DB177" s="539">
        <f t="shared" si="70"/>
        <v>3</v>
      </c>
      <c r="DC177" s="539">
        <f t="shared" si="70"/>
        <v>3</v>
      </c>
      <c r="DD177" s="539">
        <f t="shared" si="70"/>
        <v>3</v>
      </c>
      <c r="DE177" s="539">
        <f t="shared" si="70"/>
        <v>3</v>
      </c>
      <c r="DF177" s="539">
        <f t="shared" si="70"/>
        <v>3</v>
      </c>
      <c r="DG177" s="539">
        <f t="shared" si="70"/>
        <v>3</v>
      </c>
      <c r="DH177" s="539">
        <f t="shared" si="70"/>
        <v>3</v>
      </c>
      <c r="DI177" s="539">
        <f t="shared" si="70"/>
        <v>3</v>
      </c>
      <c r="DJ177" s="539">
        <f t="shared" si="70"/>
        <v>3</v>
      </c>
      <c r="DK177" s="539">
        <f t="shared" si="70"/>
        <v>3</v>
      </c>
      <c r="DL177" s="539">
        <f t="shared" si="70"/>
        <v>3</v>
      </c>
      <c r="DM177" s="539">
        <f t="shared" si="70"/>
        <v>3</v>
      </c>
      <c r="DN177" s="539">
        <f t="shared" si="70"/>
        <v>3</v>
      </c>
      <c r="DO177" s="539">
        <f t="shared" si="70"/>
        <v>3</v>
      </c>
      <c r="DP177" s="539">
        <f t="shared" si="70"/>
        <v>3</v>
      </c>
      <c r="DQ177" s="539">
        <f t="shared" si="70"/>
        <v>3</v>
      </c>
      <c r="DR177" s="539">
        <f t="shared" si="70"/>
        <v>3</v>
      </c>
      <c r="DS177" s="539">
        <f t="shared" si="70"/>
        <v>3</v>
      </c>
      <c r="DT177" s="539">
        <f t="shared" si="70"/>
        <v>3</v>
      </c>
      <c r="DU177" s="539">
        <f t="shared" si="70"/>
        <v>3</v>
      </c>
      <c r="DV177" s="539">
        <f t="shared" si="70"/>
        <v>3</v>
      </c>
      <c r="DW177" s="539">
        <f t="shared" si="70"/>
        <v>3</v>
      </c>
      <c r="DX177" s="539">
        <f t="shared" si="70"/>
        <v>3</v>
      </c>
      <c r="DY177" s="539">
        <f t="shared" si="70"/>
        <v>3</v>
      </c>
      <c r="DZ177" s="539">
        <f t="shared" si="70"/>
        <v>3</v>
      </c>
      <c r="EA177" s="539">
        <f t="shared" si="70"/>
        <v>3</v>
      </c>
      <c r="EB177" s="539">
        <f t="shared" si="70"/>
        <v>3</v>
      </c>
      <c r="EC177" s="539">
        <f t="shared" si="70"/>
        <v>3</v>
      </c>
      <c r="ED177" s="539">
        <f t="shared" si="70"/>
        <v>3</v>
      </c>
      <c r="EE177" s="539">
        <f t="shared" si="70"/>
        <v>3</v>
      </c>
      <c r="EF177" s="539">
        <f t="shared" si="70"/>
        <v>3</v>
      </c>
      <c r="EG177" s="539">
        <f t="shared" si="70"/>
        <v>3</v>
      </c>
    </row>
    <row r="178" spans="5:137" ht="12.75">
      <c r="E178" s="540" t="s">
        <v>197</v>
      </c>
      <c r="G178" s="541" t="s">
        <v>196</v>
      </c>
      <c r="H178" s="541">
        <f>SUM(J178:EG178)</f>
        <v>28</v>
      </c>
      <c r="J178" s="541">
        <f t="shared" si="71" ref="J178:EG178">J177/$F176</f>
        <v>0.083333333333333329</v>
      </c>
      <c r="K178" s="541">
        <f t="shared" si="71"/>
        <v>0.083333333333333329</v>
      </c>
      <c r="L178" s="541">
        <f t="shared" si="71"/>
        <v>0.083333333333333329</v>
      </c>
      <c r="M178" s="541">
        <f t="shared" si="71"/>
        <v>0.083333333333333329</v>
      </c>
      <c r="N178" s="541">
        <f t="shared" si="71"/>
        <v>0.083333333333333329</v>
      </c>
      <c r="O178" s="541">
        <f t="shared" si="71"/>
        <v>0.083333333333333329</v>
      </c>
      <c r="P178" s="541">
        <f t="shared" si="71"/>
        <v>0.083333333333333329</v>
      </c>
      <c r="Q178" s="541">
        <f t="shared" si="71"/>
        <v>0.083333333333333329</v>
      </c>
      <c r="R178" s="541">
        <f t="shared" si="71"/>
        <v>0.083333333333333329</v>
      </c>
      <c r="S178" s="541">
        <f t="shared" si="71"/>
        <v>0.083333333333333329</v>
      </c>
      <c r="T178" s="541">
        <f t="shared" si="71"/>
        <v>0.083333333333333329</v>
      </c>
      <c r="U178" s="541">
        <f t="shared" si="71"/>
        <v>0.083333333333333329</v>
      </c>
      <c r="V178" s="541">
        <f t="shared" si="71"/>
        <v>0.083333333333333329</v>
      </c>
      <c r="W178" s="541">
        <f t="shared" si="71"/>
        <v>0.083333333333333329</v>
      </c>
      <c r="X178" s="541">
        <f t="shared" si="71"/>
        <v>0.083333333333333329</v>
      </c>
      <c r="Y178" s="541">
        <f t="shared" si="71"/>
        <v>0.083333333333333329</v>
      </c>
      <c r="Z178" s="541">
        <f t="shared" si="71"/>
        <v>0.083333333333333329</v>
      </c>
      <c r="AA178" s="541">
        <f t="shared" si="71"/>
        <v>0.083333333333333329</v>
      </c>
      <c r="AB178" s="541">
        <f t="shared" si="71"/>
        <v>0.083333333333333329</v>
      </c>
      <c r="AC178" s="541">
        <f t="shared" si="71"/>
        <v>0.083333333333333329</v>
      </c>
      <c r="AD178" s="541">
        <f t="shared" si="71"/>
        <v>0.083333333333333329</v>
      </c>
      <c r="AE178" s="541">
        <f t="shared" si="71"/>
        <v>0.083333333333333329</v>
      </c>
      <c r="AF178" s="541">
        <f t="shared" si="71"/>
        <v>0.083333333333333329</v>
      </c>
      <c r="AG178" s="541">
        <f t="shared" si="71"/>
        <v>0.083333333333333329</v>
      </c>
      <c r="AH178" s="541">
        <f t="shared" si="71"/>
        <v>0.25</v>
      </c>
      <c r="AI178" s="541">
        <f t="shared" si="71"/>
        <v>0.25</v>
      </c>
      <c r="AJ178" s="541">
        <f t="shared" si="71"/>
        <v>0.25</v>
      </c>
      <c r="AK178" s="541">
        <f t="shared" si="71"/>
        <v>0.25</v>
      </c>
      <c r="AL178" s="541">
        <f t="shared" si="71"/>
        <v>0.25</v>
      </c>
      <c r="AM178" s="541">
        <f t="shared" si="71"/>
        <v>0.25</v>
      </c>
      <c r="AN178" s="541">
        <f t="shared" si="71"/>
        <v>0.25</v>
      </c>
      <c r="AO178" s="541">
        <f t="shared" si="71"/>
        <v>0.25</v>
      </c>
      <c r="AP178" s="541">
        <f t="shared" si="71"/>
        <v>0.25</v>
      </c>
      <c r="AQ178" s="541">
        <f t="shared" si="71"/>
        <v>0.25</v>
      </c>
      <c r="AR178" s="541">
        <f t="shared" si="71"/>
        <v>0.25</v>
      </c>
      <c r="AS178" s="541">
        <f t="shared" si="71"/>
        <v>0.25</v>
      </c>
      <c r="AT178" s="541">
        <f t="shared" si="71"/>
        <v>0.25</v>
      </c>
      <c r="AU178" s="541">
        <f t="shared" si="71"/>
        <v>0.25</v>
      </c>
      <c r="AV178" s="541">
        <f t="shared" si="71"/>
        <v>0.25</v>
      </c>
      <c r="AW178" s="541">
        <f t="shared" si="71"/>
        <v>0.25</v>
      </c>
      <c r="AX178" s="541">
        <f t="shared" si="71"/>
        <v>0.25</v>
      </c>
      <c r="AY178" s="541">
        <f t="shared" si="71"/>
        <v>0.25</v>
      </c>
      <c r="AZ178" s="541">
        <f t="shared" si="71"/>
        <v>0.25</v>
      </c>
      <c r="BA178" s="541">
        <f t="shared" si="71"/>
        <v>0.25</v>
      </c>
      <c r="BB178" s="541">
        <f t="shared" si="71"/>
        <v>0.25</v>
      </c>
      <c r="BC178" s="541">
        <f t="shared" si="71"/>
        <v>0.25</v>
      </c>
      <c r="BD178" s="541">
        <f t="shared" si="71"/>
        <v>0.25</v>
      </c>
      <c r="BE178" s="541">
        <f t="shared" si="71"/>
        <v>0.25</v>
      </c>
      <c r="BF178" s="541">
        <f t="shared" si="71"/>
        <v>0.25</v>
      </c>
      <c r="BG178" s="541">
        <f t="shared" si="71"/>
        <v>0.25</v>
      </c>
      <c r="BH178" s="541">
        <f t="shared" si="71"/>
        <v>0.25</v>
      </c>
      <c r="BI178" s="541">
        <f t="shared" si="71"/>
        <v>0.25</v>
      </c>
      <c r="BJ178" s="541">
        <f t="shared" si="71"/>
        <v>0.25</v>
      </c>
      <c r="BK178" s="541">
        <f t="shared" si="71"/>
        <v>0.25</v>
      </c>
      <c r="BL178" s="541">
        <f t="shared" si="71"/>
        <v>0.25</v>
      </c>
      <c r="BM178" s="541">
        <f t="shared" si="71"/>
        <v>0.25</v>
      </c>
      <c r="BN178" s="541">
        <f t="shared" si="71"/>
        <v>0.25</v>
      </c>
      <c r="BO178" s="541">
        <f t="shared" si="71"/>
        <v>0.25</v>
      </c>
      <c r="BP178" s="541">
        <f t="shared" si="71"/>
        <v>0.25</v>
      </c>
      <c r="BQ178" s="541">
        <f t="shared" si="71"/>
        <v>0.25</v>
      </c>
      <c r="BR178" s="541">
        <f t="shared" si="71"/>
        <v>0.25</v>
      </c>
      <c r="BS178" s="541">
        <f t="shared" si="71"/>
        <v>0.25</v>
      </c>
      <c r="BT178" s="541">
        <f t="shared" si="71"/>
        <v>0.25</v>
      </c>
      <c r="BU178" s="541">
        <f t="shared" si="71"/>
        <v>0.25</v>
      </c>
      <c r="BV178" s="541">
        <f t="shared" si="71"/>
        <v>0.25</v>
      </c>
      <c r="BW178" s="541">
        <f t="shared" si="71"/>
        <v>0.25</v>
      </c>
      <c r="BX178" s="541">
        <f t="shared" si="71"/>
        <v>0.25</v>
      </c>
      <c r="BY178" s="541">
        <f t="shared" si="71"/>
        <v>0.25</v>
      </c>
      <c r="BZ178" s="541">
        <f t="shared" si="71"/>
        <v>0.25</v>
      </c>
      <c r="CA178" s="541">
        <f t="shared" si="71"/>
        <v>0.25</v>
      </c>
      <c r="CB178" s="541">
        <f t="shared" si="71"/>
        <v>0.25</v>
      </c>
      <c r="CC178" s="541">
        <f t="shared" si="71"/>
        <v>0.25</v>
      </c>
      <c r="CD178" s="541">
        <f t="shared" si="71"/>
        <v>0.25</v>
      </c>
      <c r="CE178" s="541">
        <f t="shared" si="71"/>
        <v>0.25</v>
      </c>
      <c r="CF178" s="541">
        <f t="shared" si="71"/>
        <v>0.25</v>
      </c>
      <c r="CG178" s="541">
        <f t="shared" si="71"/>
        <v>0.25</v>
      </c>
      <c r="CH178" s="541">
        <f t="shared" si="71"/>
        <v>0.25</v>
      </c>
      <c r="CI178" s="541">
        <f t="shared" si="71"/>
        <v>0.25</v>
      </c>
      <c r="CJ178" s="541">
        <f t="shared" si="71"/>
        <v>0.25</v>
      </c>
      <c r="CK178" s="541">
        <f t="shared" si="71"/>
        <v>0.25</v>
      </c>
      <c r="CL178" s="541">
        <f t="shared" si="71"/>
        <v>0.25</v>
      </c>
      <c r="CM178" s="541">
        <f t="shared" si="71"/>
        <v>0.25</v>
      </c>
      <c r="CN178" s="541">
        <f t="shared" si="71"/>
        <v>0.25</v>
      </c>
      <c r="CO178" s="541">
        <f t="shared" si="71"/>
        <v>0.25</v>
      </c>
      <c r="CP178" s="541">
        <f t="shared" si="71"/>
        <v>0.25</v>
      </c>
      <c r="CQ178" s="541">
        <f t="shared" si="71"/>
        <v>0.25</v>
      </c>
      <c r="CR178" s="541">
        <f t="shared" si="71"/>
        <v>0.25</v>
      </c>
      <c r="CS178" s="541">
        <f t="shared" si="71"/>
        <v>0.25</v>
      </c>
      <c r="CT178" s="541">
        <f t="shared" si="71"/>
        <v>0.25</v>
      </c>
      <c r="CU178" s="541">
        <f t="shared" si="71"/>
        <v>0.25</v>
      </c>
      <c r="CV178" s="541">
        <f t="shared" si="71"/>
        <v>0.25</v>
      </c>
      <c r="CW178" s="541">
        <f t="shared" si="71"/>
        <v>0.25</v>
      </c>
      <c r="CX178" s="541">
        <f t="shared" si="71"/>
        <v>0.25</v>
      </c>
      <c r="CY178" s="541">
        <f t="shared" si="71"/>
        <v>0.25</v>
      </c>
      <c r="CZ178" s="541">
        <f t="shared" si="71"/>
        <v>0.25</v>
      </c>
      <c r="DA178" s="541">
        <f t="shared" si="71"/>
        <v>0.25</v>
      </c>
      <c r="DB178" s="541">
        <f t="shared" si="71"/>
        <v>0.25</v>
      </c>
      <c r="DC178" s="541">
        <f t="shared" si="71"/>
        <v>0.25</v>
      </c>
      <c r="DD178" s="541">
        <f t="shared" si="71"/>
        <v>0.25</v>
      </c>
      <c r="DE178" s="541">
        <f t="shared" si="71"/>
        <v>0.25</v>
      </c>
      <c r="DF178" s="541">
        <f t="shared" si="71"/>
        <v>0.25</v>
      </c>
      <c r="DG178" s="541">
        <f t="shared" si="71"/>
        <v>0.25</v>
      </c>
      <c r="DH178" s="541">
        <f t="shared" si="71"/>
        <v>0.25</v>
      </c>
      <c r="DI178" s="541">
        <f t="shared" si="71"/>
        <v>0.25</v>
      </c>
      <c r="DJ178" s="541">
        <f t="shared" si="71"/>
        <v>0.25</v>
      </c>
      <c r="DK178" s="541">
        <f t="shared" si="71"/>
        <v>0.25</v>
      </c>
      <c r="DL178" s="541">
        <f t="shared" si="71"/>
        <v>0.25</v>
      </c>
      <c r="DM178" s="541">
        <f t="shared" si="71"/>
        <v>0.25</v>
      </c>
      <c r="DN178" s="541">
        <f t="shared" si="71"/>
        <v>0.25</v>
      </c>
      <c r="DO178" s="541">
        <f t="shared" si="71"/>
        <v>0.25</v>
      </c>
      <c r="DP178" s="541">
        <f t="shared" si="71"/>
        <v>0.25</v>
      </c>
      <c r="DQ178" s="541">
        <f t="shared" si="71"/>
        <v>0.25</v>
      </c>
      <c r="DR178" s="541">
        <f t="shared" si="71"/>
        <v>0.25</v>
      </c>
      <c r="DS178" s="541">
        <f t="shared" si="71"/>
        <v>0.25</v>
      </c>
      <c r="DT178" s="541">
        <f t="shared" si="71"/>
        <v>0.25</v>
      </c>
      <c r="DU178" s="541">
        <f t="shared" si="71"/>
        <v>0.25</v>
      </c>
      <c r="DV178" s="541">
        <f t="shared" si="71"/>
        <v>0.25</v>
      </c>
      <c r="DW178" s="541">
        <f t="shared" si="71"/>
        <v>0.25</v>
      </c>
      <c r="DX178" s="541">
        <f t="shared" si="71"/>
        <v>0.25</v>
      </c>
      <c r="DY178" s="541">
        <f t="shared" si="71"/>
        <v>0.25</v>
      </c>
      <c r="DZ178" s="541">
        <f t="shared" si="71"/>
        <v>0.25</v>
      </c>
      <c r="EA178" s="541">
        <f t="shared" si="71"/>
        <v>0.25</v>
      </c>
      <c r="EB178" s="541">
        <f t="shared" si="71"/>
        <v>0.25</v>
      </c>
      <c r="EC178" s="541">
        <f t="shared" si="71"/>
        <v>0.25</v>
      </c>
      <c r="ED178" s="541">
        <f t="shared" si="71"/>
        <v>0.25</v>
      </c>
      <c r="EE178" s="541">
        <f t="shared" si="71"/>
        <v>0.25</v>
      </c>
      <c r="EF178" s="541">
        <f t="shared" si="71"/>
        <v>0.25</v>
      </c>
      <c r="EG178" s="541">
        <f t="shared" si="71"/>
        <v>0.25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</sheetPr>
  <dimension ref="A1:RL220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Cons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198</v>
      </c>
    </row>
    <row r="9" spans="2:2" ht="12.75">
      <c r="B9" s="534" t="s">
        <v>199</v>
      </c>
    </row>
    <row r="10" spans="5:7" ht="12.75">
      <c r="E10" s="535" t="str">
        <f>InpC!E$27</f>
        <v>Capex package 1 - amount</v>
      </c>
      <c r="F10" s="537">
        <f>InpC!F$27</f>
        <v>120000</v>
      </c>
      <c r="G10" s="537" t="str">
        <f>InpC!G$27</f>
        <v>EUR 000s</v>
      </c>
    </row>
    <row r="11" spans="5:7" ht="12.75">
      <c r="E11" s="535" t="str">
        <f>InpC!E$28</f>
        <v>Capex package 2 - amount</v>
      </c>
      <c r="F11" s="537">
        <f>InpC!F$28</f>
        <v>80000</v>
      </c>
      <c r="G11" s="537" t="str">
        <f>InpC!G$28</f>
        <v>EUR 000s</v>
      </c>
    </row>
    <row r="12" spans="5:7" ht="12.75">
      <c r="E12" s="535" t="str">
        <f>InpC!E$29</f>
        <v>Capex package 3 - amount</v>
      </c>
      <c r="F12" s="537">
        <f>InpC!F$29</f>
        <v>45000</v>
      </c>
      <c r="G12" s="537" t="str">
        <f>InpC!G$29</f>
        <v>EUR 000s</v>
      </c>
    </row>
    <row r="13" spans="5:7" ht="12.75">
      <c r="E13" s="535" t="str">
        <f>InpC!E$30</f>
        <v>Capex package 4 - amount</v>
      </c>
      <c r="F13" s="537">
        <f>InpC!F$30</f>
        <v>25000</v>
      </c>
      <c r="G13" s="537" t="str">
        <f>InpC!G$30</f>
        <v>EUR 000s</v>
      </c>
    </row>
    <row r="14" spans="5:137" ht="12.75">
      <c r="E14" s="535" t="str">
        <f>InpS!E$9</f>
        <v>Capex package 1 - spend profile</v>
      </c>
      <c r="G14" s="542" t="str">
        <f>InpS!G$9</f>
        <v>%</v>
      </c>
      <c r="H14" s="542">
        <f>InpS!H$9</f>
        <v>1</v>
      </c>
      <c r="J14" s="542">
        <f>InpS!J$9</f>
        <v>0</v>
      </c>
      <c r="K14" s="542">
        <f>InpS!K$9</f>
        <v>0</v>
      </c>
      <c r="L14" s="542">
        <f>InpS!L$9</f>
        <v>0</v>
      </c>
      <c r="M14" s="542">
        <f>InpS!M$9</f>
        <v>0.01171875</v>
      </c>
      <c r="N14" s="542">
        <f>InpS!N$9</f>
        <v>0.01953125</v>
      </c>
      <c r="O14" s="542">
        <f>InpS!O$9</f>
        <v>0.02734375</v>
      </c>
      <c r="P14" s="542">
        <f>InpS!P$9</f>
        <v>0.03515625</v>
      </c>
      <c r="Q14" s="542">
        <f>InpS!Q$9</f>
        <v>0.04296875</v>
      </c>
      <c r="R14" s="542">
        <f>InpS!R$9</f>
        <v>0.05078125</v>
      </c>
      <c r="S14" s="542">
        <f>InpS!S$9</f>
        <v>0.05859375</v>
      </c>
      <c r="T14" s="542">
        <f>InpS!T$9</f>
        <v>0.06640625</v>
      </c>
      <c r="U14" s="542">
        <f>InpS!U$9</f>
        <v>0.07421875</v>
      </c>
      <c r="V14" s="542">
        <f>InpS!V$9</f>
        <v>0.07421875</v>
      </c>
      <c r="W14" s="542">
        <f>InpS!W$9</f>
        <v>0.078125</v>
      </c>
      <c r="X14" s="542">
        <f>InpS!X$9</f>
        <v>0.07421875</v>
      </c>
      <c r="Y14" s="542">
        <f>InpS!Y$9</f>
        <v>0.07421875</v>
      </c>
      <c r="Z14" s="542">
        <f>InpS!Z$9</f>
        <v>0.06640625</v>
      </c>
      <c r="AA14" s="542">
        <f>InpS!AA$9</f>
        <v>0.05859375</v>
      </c>
      <c r="AB14" s="542">
        <f>InpS!AB$9</f>
        <v>0.05078125</v>
      </c>
      <c r="AC14" s="542">
        <f>InpS!AC$9</f>
        <v>0.04296875</v>
      </c>
      <c r="AD14" s="542">
        <f>InpS!AD$9</f>
        <v>0.03515625</v>
      </c>
      <c r="AE14" s="542">
        <f>InpS!AE$9</f>
        <v>0.02734375</v>
      </c>
      <c r="AF14" s="542">
        <f>InpS!AF$9</f>
        <v>0.01953125</v>
      </c>
      <c r="AG14" s="542">
        <f>InpS!AG$9</f>
        <v>0.01171875</v>
      </c>
      <c r="AH14" s="542">
        <f>InpS!AH$9</f>
        <v>0</v>
      </c>
      <c r="AI14" s="542">
        <f>InpS!AI$9</f>
        <v>0</v>
      </c>
      <c r="AJ14" s="542">
        <f>InpS!AJ$9</f>
        <v>0</v>
      </c>
      <c r="AK14" s="542">
        <f>InpS!AK$9</f>
        <v>0</v>
      </c>
      <c r="AL14" s="542">
        <f>InpS!AL$9</f>
        <v>0</v>
      </c>
      <c r="AM14" s="542">
        <f>InpS!AM$9</f>
        <v>0</v>
      </c>
      <c r="AN14" s="542">
        <f>InpS!AN$9</f>
        <v>0</v>
      </c>
      <c r="AO14" s="542">
        <f>InpS!AO$9</f>
        <v>0</v>
      </c>
      <c r="AP14" s="542">
        <f>InpS!AP$9</f>
        <v>0</v>
      </c>
      <c r="AQ14" s="542">
        <f>InpS!AQ$9</f>
        <v>0</v>
      </c>
      <c r="AR14" s="542">
        <f>InpS!AR$9</f>
        <v>0</v>
      </c>
      <c r="AS14" s="542">
        <f>InpS!AS$9</f>
        <v>0</v>
      </c>
      <c r="AT14" s="542">
        <f>InpS!AT$9</f>
        <v>0</v>
      </c>
      <c r="AU14" s="542">
        <f>InpS!AU$9</f>
        <v>0</v>
      </c>
      <c r="AV14" s="542">
        <f>InpS!AV$9</f>
        <v>0</v>
      </c>
      <c r="AW14" s="542">
        <f>InpS!AW$9</f>
        <v>0</v>
      </c>
      <c r="AX14" s="542">
        <f>InpS!AX$9</f>
        <v>0</v>
      </c>
      <c r="AY14" s="542">
        <f>InpS!AY$9</f>
        <v>0</v>
      </c>
      <c r="AZ14" s="542">
        <f>InpS!AZ$9</f>
        <v>0</v>
      </c>
      <c r="BA14" s="542">
        <f>InpS!BA$9</f>
        <v>0</v>
      </c>
      <c r="BB14" s="542">
        <f>InpS!BB$9</f>
        <v>0</v>
      </c>
      <c r="BC14" s="542">
        <f>InpS!BC$9</f>
        <v>0</v>
      </c>
      <c r="BD14" s="542">
        <f>InpS!BD$9</f>
        <v>0</v>
      </c>
      <c r="BE14" s="542">
        <f>InpS!BE$9</f>
        <v>0</v>
      </c>
      <c r="BF14" s="542">
        <f>InpS!BF$9</f>
        <v>0</v>
      </c>
      <c r="BG14" s="542">
        <f>InpS!BG$9</f>
        <v>0</v>
      </c>
      <c r="BH14" s="542">
        <f>InpS!BH$9</f>
        <v>0</v>
      </c>
      <c r="BI14" s="542">
        <f>InpS!BI$9</f>
        <v>0</v>
      </c>
      <c r="BJ14" s="542">
        <f>InpS!BJ$9</f>
        <v>0</v>
      </c>
      <c r="BK14" s="542">
        <f>InpS!BK$9</f>
        <v>0</v>
      </c>
      <c r="BL14" s="542">
        <f>InpS!BL$9</f>
        <v>0</v>
      </c>
      <c r="BM14" s="542">
        <f>InpS!BM$9</f>
        <v>0</v>
      </c>
      <c r="BN14" s="542">
        <f>InpS!BN$9</f>
        <v>0</v>
      </c>
      <c r="BO14" s="542">
        <f>InpS!BO$9</f>
        <v>0</v>
      </c>
      <c r="BP14" s="542">
        <f>InpS!BP$9</f>
        <v>0</v>
      </c>
      <c r="BQ14" s="542">
        <f>InpS!BQ$9</f>
        <v>0</v>
      </c>
      <c r="BR14" s="542">
        <f>InpS!BR$9</f>
        <v>0</v>
      </c>
      <c r="BS14" s="542">
        <f>InpS!BS$9</f>
        <v>0</v>
      </c>
      <c r="BT14" s="542">
        <f>InpS!BT$9</f>
        <v>0</v>
      </c>
      <c r="BU14" s="542">
        <f>InpS!BU$9</f>
        <v>0</v>
      </c>
      <c r="BV14" s="542">
        <f>InpS!BV$9</f>
        <v>0</v>
      </c>
      <c r="BW14" s="542">
        <f>InpS!BW$9</f>
        <v>0</v>
      </c>
      <c r="BX14" s="542">
        <f>InpS!BX$9</f>
        <v>0</v>
      </c>
      <c r="BY14" s="542">
        <f>InpS!BY$9</f>
        <v>0</v>
      </c>
      <c r="BZ14" s="542">
        <f>InpS!BZ$9</f>
        <v>0</v>
      </c>
      <c r="CA14" s="542">
        <f>InpS!CA$9</f>
        <v>0</v>
      </c>
      <c r="CB14" s="542">
        <f>InpS!CB$9</f>
        <v>0</v>
      </c>
      <c r="CC14" s="542">
        <f>InpS!CC$9</f>
        <v>0</v>
      </c>
      <c r="CD14" s="542">
        <f>InpS!CD$9</f>
        <v>0</v>
      </c>
      <c r="CE14" s="542">
        <f>InpS!CE$9</f>
        <v>0</v>
      </c>
      <c r="CF14" s="542">
        <f>InpS!CF$9</f>
        <v>0</v>
      </c>
      <c r="CG14" s="542">
        <f>InpS!CG$9</f>
        <v>0</v>
      </c>
      <c r="CH14" s="542">
        <f>InpS!CH$9</f>
        <v>0</v>
      </c>
      <c r="CI14" s="542">
        <f>InpS!CI$9</f>
        <v>0</v>
      </c>
      <c r="CJ14" s="542">
        <f>InpS!CJ$9</f>
        <v>0</v>
      </c>
      <c r="CK14" s="542">
        <f>InpS!CK$9</f>
        <v>0</v>
      </c>
      <c r="CL14" s="542">
        <f>InpS!CL$9</f>
        <v>0</v>
      </c>
      <c r="CM14" s="542">
        <f>InpS!CM$9</f>
        <v>0</v>
      </c>
      <c r="CN14" s="542">
        <f>InpS!CN$9</f>
        <v>0</v>
      </c>
      <c r="CO14" s="542">
        <f>InpS!CO$9</f>
        <v>0</v>
      </c>
      <c r="CP14" s="542">
        <f>InpS!CP$9</f>
        <v>0</v>
      </c>
      <c r="CQ14" s="542">
        <f>InpS!CQ$9</f>
        <v>0</v>
      </c>
      <c r="CR14" s="542">
        <f>InpS!CR$9</f>
        <v>0</v>
      </c>
      <c r="CS14" s="542">
        <f>InpS!CS$9</f>
        <v>0</v>
      </c>
      <c r="CT14" s="542">
        <f>InpS!CT$9</f>
        <v>0</v>
      </c>
      <c r="CU14" s="542">
        <f>InpS!CU$9</f>
        <v>0</v>
      </c>
      <c r="CV14" s="542">
        <f>InpS!CV$9</f>
        <v>0</v>
      </c>
      <c r="CW14" s="542">
        <f>InpS!CW$9</f>
        <v>0</v>
      </c>
      <c r="CX14" s="542">
        <f>InpS!CX$9</f>
        <v>0</v>
      </c>
      <c r="CY14" s="542">
        <f>InpS!CY$9</f>
        <v>0</v>
      </c>
      <c r="CZ14" s="542">
        <f>InpS!CZ$9</f>
        <v>0</v>
      </c>
      <c r="DA14" s="542">
        <f>InpS!DA$9</f>
        <v>0</v>
      </c>
      <c r="DB14" s="542">
        <f>InpS!DB$9</f>
        <v>0</v>
      </c>
      <c r="DC14" s="542">
        <f>InpS!DC$9</f>
        <v>0</v>
      </c>
      <c r="DD14" s="542">
        <f>InpS!DD$9</f>
        <v>0</v>
      </c>
      <c r="DE14" s="542">
        <f>InpS!DE$9</f>
        <v>0</v>
      </c>
      <c r="DF14" s="542">
        <f>InpS!DF$9</f>
        <v>0</v>
      </c>
      <c r="DG14" s="542">
        <f>InpS!DG$9</f>
        <v>0</v>
      </c>
      <c r="DH14" s="542">
        <f>InpS!DH$9</f>
        <v>0</v>
      </c>
      <c r="DI14" s="542">
        <f>InpS!DI$9</f>
        <v>0</v>
      </c>
      <c r="DJ14" s="542">
        <f>InpS!DJ$9</f>
        <v>0</v>
      </c>
      <c r="DK14" s="542">
        <f>InpS!DK$9</f>
        <v>0</v>
      </c>
      <c r="DL14" s="542">
        <f>InpS!DL$9</f>
        <v>0</v>
      </c>
      <c r="DM14" s="542">
        <f>InpS!DM$9</f>
        <v>0</v>
      </c>
      <c r="DN14" s="542">
        <f>InpS!DN$9</f>
        <v>0</v>
      </c>
      <c r="DO14" s="542">
        <f>InpS!DO$9</f>
        <v>0</v>
      </c>
      <c r="DP14" s="542">
        <f>InpS!DP$9</f>
        <v>0</v>
      </c>
      <c r="DQ14" s="542">
        <f>InpS!DQ$9</f>
        <v>0</v>
      </c>
      <c r="DR14" s="542">
        <f>InpS!DR$9</f>
        <v>0</v>
      </c>
      <c r="DS14" s="542">
        <f>InpS!DS$9</f>
        <v>0</v>
      </c>
      <c r="DT14" s="542">
        <f>InpS!DT$9</f>
        <v>0</v>
      </c>
      <c r="DU14" s="542">
        <f>InpS!DU$9</f>
        <v>0</v>
      </c>
      <c r="DV14" s="542">
        <f>InpS!DV$9</f>
        <v>0</v>
      </c>
      <c r="DW14" s="542">
        <f>InpS!DW$9</f>
        <v>0</v>
      </c>
      <c r="DX14" s="542">
        <f>InpS!DX$9</f>
        <v>0</v>
      </c>
      <c r="DY14" s="542">
        <f>InpS!DY$9</f>
        <v>0</v>
      </c>
      <c r="DZ14" s="542">
        <f>InpS!DZ$9</f>
        <v>0</v>
      </c>
      <c r="EA14" s="542">
        <f>InpS!EA$9</f>
        <v>0</v>
      </c>
      <c r="EB14" s="542">
        <f>InpS!EB$9</f>
        <v>0</v>
      </c>
      <c r="EC14" s="542">
        <f>InpS!EC$9</f>
        <v>0</v>
      </c>
      <c r="ED14" s="542">
        <f>InpS!ED$9</f>
        <v>0</v>
      </c>
      <c r="EE14" s="542">
        <f>InpS!EE$9</f>
        <v>0</v>
      </c>
      <c r="EF14" s="542">
        <f>InpS!EF$9</f>
        <v>0</v>
      </c>
      <c r="EG14" s="542">
        <f>InpS!EG$9</f>
        <v>0</v>
      </c>
    </row>
    <row r="15" spans="5:137" ht="12.75">
      <c r="E15" s="535" t="str">
        <f>InpS!E$10</f>
        <v>Capex package 2 - spend profile</v>
      </c>
      <c r="G15" s="542" t="str">
        <f>InpS!G$10</f>
        <v>%</v>
      </c>
      <c r="H15" s="542">
        <f>InpS!H$10</f>
        <v>1</v>
      </c>
      <c r="J15" s="542">
        <f>InpS!J$10</f>
        <v>0</v>
      </c>
      <c r="K15" s="542">
        <f>InpS!K$10</f>
        <v>0</v>
      </c>
      <c r="L15" s="542">
        <f>InpS!L$10</f>
        <v>0</v>
      </c>
      <c r="M15" s="542">
        <f>InpS!M$10</f>
        <v>0.140625</v>
      </c>
      <c r="N15" s="542">
        <f>InpS!N$10</f>
        <v>0.1328125</v>
      </c>
      <c r="O15" s="542">
        <f>InpS!O$10</f>
        <v>0.1171875</v>
      </c>
      <c r="P15" s="542">
        <f>InpS!P$10</f>
        <v>0.109375</v>
      </c>
      <c r="Q15" s="542">
        <f>InpS!Q$10</f>
        <v>0.09375</v>
      </c>
      <c r="R15" s="542">
        <f>InpS!R$10</f>
        <v>0.0859375</v>
      </c>
      <c r="S15" s="542">
        <f>InpS!S$10</f>
        <v>0.078125</v>
      </c>
      <c r="T15" s="542">
        <f>InpS!T$10</f>
        <v>0.0703125</v>
      </c>
      <c r="U15" s="542">
        <f>InpS!U$10</f>
        <v>0.0625</v>
      </c>
      <c r="V15" s="542">
        <f>InpS!V$10</f>
        <v>0.046875</v>
      </c>
      <c r="W15" s="542">
        <f>InpS!W$10</f>
        <v>0.0390625</v>
      </c>
      <c r="X15" s="542">
        <f>InpS!X$10</f>
        <v>0.0234375</v>
      </c>
      <c r="Y15" s="542">
        <f>InpS!Y$10</f>
        <v>0</v>
      </c>
      <c r="Z15" s="542">
        <f>InpS!Z$10</f>
        <v>0</v>
      </c>
      <c r="AA15" s="542">
        <f>InpS!AA$10</f>
        <v>0</v>
      </c>
      <c r="AB15" s="542">
        <f>InpS!AB$10</f>
        <v>0</v>
      </c>
      <c r="AC15" s="542">
        <f>InpS!AC$10</f>
        <v>0</v>
      </c>
      <c r="AD15" s="542">
        <f>InpS!AD$10</f>
        <v>0</v>
      </c>
      <c r="AE15" s="542">
        <f>InpS!AE$10</f>
        <v>0</v>
      </c>
      <c r="AF15" s="542">
        <f>InpS!AF$10</f>
        <v>0</v>
      </c>
      <c r="AG15" s="542">
        <f>InpS!AG$10</f>
        <v>0</v>
      </c>
      <c r="AH15" s="542">
        <f>InpS!AH$10</f>
        <v>0</v>
      </c>
      <c r="AI15" s="542">
        <f>InpS!AI$10</f>
        <v>0</v>
      </c>
      <c r="AJ15" s="542">
        <f>InpS!AJ$10</f>
        <v>0</v>
      </c>
      <c r="AK15" s="542">
        <f>InpS!AK$10</f>
        <v>0</v>
      </c>
      <c r="AL15" s="542">
        <f>InpS!AL$10</f>
        <v>0</v>
      </c>
      <c r="AM15" s="542">
        <f>InpS!AM$10</f>
        <v>0</v>
      </c>
      <c r="AN15" s="542">
        <f>InpS!AN$10</f>
        <v>0</v>
      </c>
      <c r="AO15" s="542">
        <f>InpS!AO$10</f>
        <v>0</v>
      </c>
      <c r="AP15" s="542">
        <f>InpS!AP$10</f>
        <v>0</v>
      </c>
      <c r="AQ15" s="542">
        <f>InpS!AQ$10</f>
        <v>0</v>
      </c>
      <c r="AR15" s="542">
        <f>InpS!AR$10</f>
        <v>0</v>
      </c>
      <c r="AS15" s="542">
        <f>InpS!AS$10</f>
        <v>0</v>
      </c>
      <c r="AT15" s="542">
        <f>InpS!AT$10</f>
        <v>0</v>
      </c>
      <c r="AU15" s="542">
        <f>InpS!AU$10</f>
        <v>0</v>
      </c>
      <c r="AV15" s="542">
        <f>InpS!AV$10</f>
        <v>0</v>
      </c>
      <c r="AW15" s="542">
        <f>InpS!AW$10</f>
        <v>0</v>
      </c>
      <c r="AX15" s="542">
        <f>InpS!AX$10</f>
        <v>0</v>
      </c>
      <c r="AY15" s="542">
        <f>InpS!AY$10</f>
        <v>0</v>
      </c>
      <c r="AZ15" s="542">
        <f>InpS!AZ$10</f>
        <v>0</v>
      </c>
      <c r="BA15" s="542">
        <f>InpS!BA$10</f>
        <v>0</v>
      </c>
      <c r="BB15" s="542">
        <f>InpS!BB$10</f>
        <v>0</v>
      </c>
      <c r="BC15" s="542">
        <f>InpS!BC$10</f>
        <v>0</v>
      </c>
      <c r="BD15" s="542">
        <f>InpS!BD$10</f>
        <v>0</v>
      </c>
      <c r="BE15" s="542">
        <f>InpS!BE$10</f>
        <v>0</v>
      </c>
      <c r="BF15" s="542">
        <f>InpS!BF$10</f>
        <v>0</v>
      </c>
      <c r="BG15" s="542">
        <f>InpS!BG$10</f>
        <v>0</v>
      </c>
      <c r="BH15" s="542">
        <f>InpS!BH$10</f>
        <v>0</v>
      </c>
      <c r="BI15" s="542">
        <f>InpS!BI$10</f>
        <v>0</v>
      </c>
      <c r="BJ15" s="542">
        <f>InpS!BJ$10</f>
        <v>0</v>
      </c>
      <c r="BK15" s="542">
        <f>InpS!BK$10</f>
        <v>0</v>
      </c>
      <c r="BL15" s="542">
        <f>InpS!BL$10</f>
        <v>0</v>
      </c>
      <c r="BM15" s="542">
        <f>InpS!BM$10</f>
        <v>0</v>
      </c>
      <c r="BN15" s="542">
        <f>InpS!BN$10</f>
        <v>0</v>
      </c>
      <c r="BO15" s="542">
        <f>InpS!BO$10</f>
        <v>0</v>
      </c>
      <c r="BP15" s="542">
        <f>InpS!BP$10</f>
        <v>0</v>
      </c>
      <c r="BQ15" s="542">
        <f>InpS!BQ$10</f>
        <v>0</v>
      </c>
      <c r="BR15" s="542">
        <f>InpS!BR$10</f>
        <v>0</v>
      </c>
      <c r="BS15" s="542">
        <f>InpS!BS$10</f>
        <v>0</v>
      </c>
      <c r="BT15" s="542">
        <f>InpS!BT$10</f>
        <v>0</v>
      </c>
      <c r="BU15" s="542">
        <f>InpS!BU$10</f>
        <v>0</v>
      </c>
      <c r="BV15" s="542">
        <f>InpS!BV$10</f>
        <v>0</v>
      </c>
      <c r="BW15" s="542">
        <f>InpS!BW$10</f>
        <v>0</v>
      </c>
      <c r="BX15" s="542">
        <f>InpS!BX$10</f>
        <v>0</v>
      </c>
      <c r="BY15" s="542">
        <f>InpS!BY$10</f>
        <v>0</v>
      </c>
      <c r="BZ15" s="542">
        <f>InpS!BZ$10</f>
        <v>0</v>
      </c>
      <c r="CA15" s="542">
        <f>InpS!CA$10</f>
        <v>0</v>
      </c>
      <c r="CB15" s="542">
        <f>InpS!CB$10</f>
        <v>0</v>
      </c>
      <c r="CC15" s="542">
        <f>InpS!CC$10</f>
        <v>0</v>
      </c>
      <c r="CD15" s="542">
        <f>InpS!CD$10</f>
        <v>0</v>
      </c>
      <c r="CE15" s="542">
        <f>InpS!CE$10</f>
        <v>0</v>
      </c>
      <c r="CF15" s="542">
        <f>InpS!CF$10</f>
        <v>0</v>
      </c>
      <c r="CG15" s="542">
        <f>InpS!CG$10</f>
        <v>0</v>
      </c>
      <c r="CH15" s="542">
        <f>InpS!CH$10</f>
        <v>0</v>
      </c>
      <c r="CI15" s="542">
        <f>InpS!CI$10</f>
        <v>0</v>
      </c>
      <c r="CJ15" s="542">
        <f>InpS!CJ$10</f>
        <v>0</v>
      </c>
      <c r="CK15" s="542">
        <f>InpS!CK$10</f>
        <v>0</v>
      </c>
      <c r="CL15" s="542">
        <f>InpS!CL$10</f>
        <v>0</v>
      </c>
      <c r="CM15" s="542">
        <f>InpS!CM$10</f>
        <v>0</v>
      </c>
      <c r="CN15" s="542">
        <f>InpS!CN$10</f>
        <v>0</v>
      </c>
      <c r="CO15" s="542">
        <f>InpS!CO$10</f>
        <v>0</v>
      </c>
      <c r="CP15" s="542">
        <f>InpS!CP$10</f>
        <v>0</v>
      </c>
      <c r="CQ15" s="542">
        <f>InpS!CQ$10</f>
        <v>0</v>
      </c>
      <c r="CR15" s="542">
        <f>InpS!CR$10</f>
        <v>0</v>
      </c>
      <c r="CS15" s="542">
        <f>InpS!CS$10</f>
        <v>0</v>
      </c>
      <c r="CT15" s="542">
        <f>InpS!CT$10</f>
        <v>0</v>
      </c>
      <c r="CU15" s="542">
        <f>InpS!CU$10</f>
        <v>0</v>
      </c>
      <c r="CV15" s="542">
        <f>InpS!CV$10</f>
        <v>0</v>
      </c>
      <c r="CW15" s="542">
        <f>InpS!CW$10</f>
        <v>0</v>
      </c>
      <c r="CX15" s="542">
        <f>InpS!CX$10</f>
        <v>0</v>
      </c>
      <c r="CY15" s="542">
        <f>InpS!CY$10</f>
        <v>0</v>
      </c>
      <c r="CZ15" s="542">
        <f>InpS!CZ$10</f>
        <v>0</v>
      </c>
      <c r="DA15" s="542">
        <f>InpS!DA$10</f>
        <v>0</v>
      </c>
      <c r="DB15" s="542">
        <f>InpS!DB$10</f>
        <v>0</v>
      </c>
      <c r="DC15" s="542">
        <f>InpS!DC$10</f>
        <v>0</v>
      </c>
      <c r="DD15" s="542">
        <f>InpS!DD$10</f>
        <v>0</v>
      </c>
      <c r="DE15" s="542">
        <f>InpS!DE$10</f>
        <v>0</v>
      </c>
      <c r="DF15" s="542">
        <f>InpS!DF$10</f>
        <v>0</v>
      </c>
      <c r="DG15" s="542">
        <f>InpS!DG$10</f>
        <v>0</v>
      </c>
      <c r="DH15" s="542">
        <f>InpS!DH$10</f>
        <v>0</v>
      </c>
      <c r="DI15" s="542">
        <f>InpS!DI$10</f>
        <v>0</v>
      </c>
      <c r="DJ15" s="542">
        <f>InpS!DJ$10</f>
        <v>0</v>
      </c>
      <c r="DK15" s="542">
        <f>InpS!DK$10</f>
        <v>0</v>
      </c>
      <c r="DL15" s="542">
        <f>InpS!DL$10</f>
        <v>0</v>
      </c>
      <c r="DM15" s="542">
        <f>InpS!DM$10</f>
        <v>0</v>
      </c>
      <c r="DN15" s="542">
        <f>InpS!DN$10</f>
        <v>0</v>
      </c>
      <c r="DO15" s="542">
        <f>InpS!DO$10</f>
        <v>0</v>
      </c>
      <c r="DP15" s="542">
        <f>InpS!DP$10</f>
        <v>0</v>
      </c>
      <c r="DQ15" s="542">
        <f>InpS!DQ$10</f>
        <v>0</v>
      </c>
      <c r="DR15" s="542">
        <f>InpS!DR$10</f>
        <v>0</v>
      </c>
      <c r="DS15" s="542">
        <f>InpS!DS$10</f>
        <v>0</v>
      </c>
      <c r="DT15" s="542">
        <f>InpS!DT$10</f>
        <v>0</v>
      </c>
      <c r="DU15" s="542">
        <f>InpS!DU$10</f>
        <v>0</v>
      </c>
      <c r="DV15" s="542">
        <f>InpS!DV$10</f>
        <v>0</v>
      </c>
      <c r="DW15" s="542">
        <f>InpS!DW$10</f>
        <v>0</v>
      </c>
      <c r="DX15" s="542">
        <f>InpS!DX$10</f>
        <v>0</v>
      </c>
      <c r="DY15" s="542">
        <f>InpS!DY$10</f>
        <v>0</v>
      </c>
      <c r="DZ15" s="542">
        <f>InpS!DZ$10</f>
        <v>0</v>
      </c>
      <c r="EA15" s="542">
        <f>InpS!EA$10</f>
        <v>0</v>
      </c>
      <c r="EB15" s="542">
        <f>InpS!EB$10</f>
        <v>0</v>
      </c>
      <c r="EC15" s="542">
        <f>InpS!EC$10</f>
        <v>0</v>
      </c>
      <c r="ED15" s="542">
        <f>InpS!ED$10</f>
        <v>0</v>
      </c>
      <c r="EE15" s="542">
        <f>InpS!EE$10</f>
        <v>0</v>
      </c>
      <c r="EF15" s="542">
        <f>InpS!EF$10</f>
        <v>0</v>
      </c>
      <c r="EG15" s="542">
        <f>InpS!EG$10</f>
        <v>0</v>
      </c>
    </row>
    <row r="16" spans="5:137" ht="12.75">
      <c r="E16" s="535" t="str">
        <f>InpS!E$11</f>
        <v>Capex package 3 - spend profile</v>
      </c>
      <c r="G16" s="542" t="str">
        <f>InpS!G$11</f>
        <v>%</v>
      </c>
      <c r="H16" s="542">
        <f>InpS!H$11</f>
        <v>1</v>
      </c>
      <c r="J16" s="542">
        <f>InpS!J$11</f>
        <v>0</v>
      </c>
      <c r="K16" s="542">
        <f>InpS!K$11</f>
        <v>0</v>
      </c>
      <c r="L16" s="542">
        <f>InpS!L$11</f>
        <v>0</v>
      </c>
      <c r="M16" s="542">
        <f>InpS!M$11</f>
        <v>0</v>
      </c>
      <c r="N16" s="542">
        <f>InpS!N$11</f>
        <v>0</v>
      </c>
      <c r="O16" s="542">
        <f>InpS!O$11</f>
        <v>0</v>
      </c>
      <c r="P16" s="542">
        <f>InpS!P$11</f>
        <v>0</v>
      </c>
      <c r="Q16" s="542">
        <f>InpS!Q$11</f>
        <v>0</v>
      </c>
      <c r="R16" s="542">
        <f>InpS!R$11</f>
        <v>0.0703125</v>
      </c>
      <c r="S16" s="542">
        <f>InpS!S$11</f>
        <v>0.078125</v>
      </c>
      <c r="T16" s="542">
        <f>InpS!T$11</f>
        <v>0.078125</v>
      </c>
      <c r="U16" s="542">
        <f>InpS!U$11</f>
        <v>0.078125</v>
      </c>
      <c r="V16" s="542">
        <f>InpS!V$11</f>
        <v>0.078125</v>
      </c>
      <c r="W16" s="542">
        <f>InpS!W$11</f>
        <v>0.078125</v>
      </c>
      <c r="X16" s="542">
        <f>InpS!X$11</f>
        <v>0.078125</v>
      </c>
      <c r="Y16" s="542">
        <f>InpS!Y$11</f>
        <v>0.078125</v>
      </c>
      <c r="Z16" s="542">
        <f>InpS!Z$11</f>
        <v>0.078125</v>
      </c>
      <c r="AA16" s="542">
        <f>InpS!AA$11</f>
        <v>0.078125</v>
      </c>
      <c r="AB16" s="542">
        <f>InpS!AB$11</f>
        <v>0.078125</v>
      </c>
      <c r="AC16" s="542">
        <f>InpS!AC$11</f>
        <v>0.078125</v>
      </c>
      <c r="AD16" s="542">
        <f>InpS!AD$11</f>
        <v>0.0703125</v>
      </c>
      <c r="AE16" s="542">
        <f>InpS!AE$11</f>
        <v>0</v>
      </c>
      <c r="AF16" s="542">
        <f>InpS!AF$11</f>
        <v>0</v>
      </c>
      <c r="AG16" s="542">
        <f>InpS!AG$11</f>
        <v>0</v>
      </c>
      <c r="AH16" s="542">
        <f>InpS!AH$11</f>
        <v>0</v>
      </c>
      <c r="AI16" s="542">
        <f>InpS!AI$11</f>
        <v>0</v>
      </c>
      <c r="AJ16" s="542">
        <f>InpS!AJ$11</f>
        <v>0</v>
      </c>
      <c r="AK16" s="542">
        <f>InpS!AK$11</f>
        <v>0</v>
      </c>
      <c r="AL16" s="542">
        <f>InpS!AL$11</f>
        <v>0</v>
      </c>
      <c r="AM16" s="542">
        <f>InpS!AM$11</f>
        <v>0</v>
      </c>
      <c r="AN16" s="542">
        <f>InpS!AN$11</f>
        <v>0</v>
      </c>
      <c r="AO16" s="542">
        <f>InpS!AO$11</f>
        <v>0</v>
      </c>
      <c r="AP16" s="542">
        <f>InpS!AP$11</f>
        <v>0</v>
      </c>
      <c r="AQ16" s="542">
        <f>InpS!AQ$11</f>
        <v>0</v>
      </c>
      <c r="AR16" s="542">
        <f>InpS!AR$11</f>
        <v>0</v>
      </c>
      <c r="AS16" s="542">
        <f>InpS!AS$11</f>
        <v>0</v>
      </c>
      <c r="AT16" s="542">
        <f>InpS!AT$11</f>
        <v>0</v>
      </c>
      <c r="AU16" s="542">
        <f>InpS!AU$11</f>
        <v>0</v>
      </c>
      <c r="AV16" s="542">
        <f>InpS!AV$11</f>
        <v>0</v>
      </c>
      <c r="AW16" s="542">
        <f>InpS!AW$11</f>
        <v>0</v>
      </c>
      <c r="AX16" s="542">
        <f>InpS!AX$11</f>
        <v>0</v>
      </c>
      <c r="AY16" s="542">
        <f>InpS!AY$11</f>
        <v>0</v>
      </c>
      <c r="AZ16" s="542">
        <f>InpS!AZ$11</f>
        <v>0</v>
      </c>
      <c r="BA16" s="542">
        <f>InpS!BA$11</f>
        <v>0</v>
      </c>
      <c r="BB16" s="542">
        <f>InpS!BB$11</f>
        <v>0</v>
      </c>
      <c r="BC16" s="542">
        <f>InpS!BC$11</f>
        <v>0</v>
      </c>
      <c r="BD16" s="542">
        <f>InpS!BD$11</f>
        <v>0</v>
      </c>
      <c r="BE16" s="542">
        <f>InpS!BE$11</f>
        <v>0</v>
      </c>
      <c r="BF16" s="542">
        <f>InpS!BF$11</f>
        <v>0</v>
      </c>
      <c r="BG16" s="542">
        <f>InpS!BG$11</f>
        <v>0</v>
      </c>
      <c r="BH16" s="542">
        <f>InpS!BH$11</f>
        <v>0</v>
      </c>
      <c r="BI16" s="542">
        <f>InpS!BI$11</f>
        <v>0</v>
      </c>
      <c r="BJ16" s="542">
        <f>InpS!BJ$11</f>
        <v>0</v>
      </c>
      <c r="BK16" s="542">
        <f>InpS!BK$11</f>
        <v>0</v>
      </c>
      <c r="BL16" s="542">
        <f>InpS!BL$11</f>
        <v>0</v>
      </c>
      <c r="BM16" s="542">
        <f>InpS!BM$11</f>
        <v>0</v>
      </c>
      <c r="BN16" s="542">
        <f>InpS!BN$11</f>
        <v>0</v>
      </c>
      <c r="BO16" s="542">
        <f>InpS!BO$11</f>
        <v>0</v>
      </c>
      <c r="BP16" s="542">
        <f>InpS!BP$11</f>
        <v>0</v>
      </c>
      <c r="BQ16" s="542">
        <f>InpS!BQ$11</f>
        <v>0</v>
      </c>
      <c r="BR16" s="542">
        <f>InpS!BR$11</f>
        <v>0</v>
      </c>
      <c r="BS16" s="542">
        <f>InpS!BS$11</f>
        <v>0</v>
      </c>
      <c r="BT16" s="542">
        <f>InpS!BT$11</f>
        <v>0</v>
      </c>
      <c r="BU16" s="542">
        <f>InpS!BU$11</f>
        <v>0</v>
      </c>
      <c r="BV16" s="542">
        <f>InpS!BV$11</f>
        <v>0</v>
      </c>
      <c r="BW16" s="542">
        <f>InpS!BW$11</f>
        <v>0</v>
      </c>
      <c r="BX16" s="542">
        <f>InpS!BX$11</f>
        <v>0</v>
      </c>
      <c r="BY16" s="542">
        <f>InpS!BY$11</f>
        <v>0</v>
      </c>
      <c r="BZ16" s="542">
        <f>InpS!BZ$11</f>
        <v>0</v>
      </c>
      <c r="CA16" s="542">
        <f>InpS!CA$11</f>
        <v>0</v>
      </c>
      <c r="CB16" s="542">
        <f>InpS!CB$11</f>
        <v>0</v>
      </c>
      <c r="CC16" s="542">
        <f>InpS!CC$11</f>
        <v>0</v>
      </c>
      <c r="CD16" s="542">
        <f>InpS!CD$11</f>
        <v>0</v>
      </c>
      <c r="CE16" s="542">
        <f>InpS!CE$11</f>
        <v>0</v>
      </c>
      <c r="CF16" s="542">
        <f>InpS!CF$11</f>
        <v>0</v>
      </c>
      <c r="CG16" s="542">
        <f>InpS!CG$11</f>
        <v>0</v>
      </c>
      <c r="CH16" s="542">
        <f>InpS!CH$11</f>
        <v>0</v>
      </c>
      <c r="CI16" s="542">
        <f>InpS!CI$11</f>
        <v>0</v>
      </c>
      <c r="CJ16" s="542">
        <f>InpS!CJ$11</f>
        <v>0</v>
      </c>
      <c r="CK16" s="542">
        <f>InpS!CK$11</f>
        <v>0</v>
      </c>
      <c r="CL16" s="542">
        <f>InpS!CL$11</f>
        <v>0</v>
      </c>
      <c r="CM16" s="542">
        <f>InpS!CM$11</f>
        <v>0</v>
      </c>
      <c r="CN16" s="542">
        <f>InpS!CN$11</f>
        <v>0</v>
      </c>
      <c r="CO16" s="542">
        <f>InpS!CO$11</f>
        <v>0</v>
      </c>
      <c r="CP16" s="542">
        <f>InpS!CP$11</f>
        <v>0</v>
      </c>
      <c r="CQ16" s="542">
        <f>InpS!CQ$11</f>
        <v>0</v>
      </c>
      <c r="CR16" s="542">
        <f>InpS!CR$11</f>
        <v>0</v>
      </c>
      <c r="CS16" s="542">
        <f>InpS!CS$11</f>
        <v>0</v>
      </c>
      <c r="CT16" s="542">
        <f>InpS!CT$11</f>
        <v>0</v>
      </c>
      <c r="CU16" s="542">
        <f>InpS!CU$11</f>
        <v>0</v>
      </c>
      <c r="CV16" s="542">
        <f>InpS!CV$11</f>
        <v>0</v>
      </c>
      <c r="CW16" s="542">
        <f>InpS!CW$11</f>
        <v>0</v>
      </c>
      <c r="CX16" s="542">
        <f>InpS!CX$11</f>
        <v>0</v>
      </c>
      <c r="CY16" s="542">
        <f>InpS!CY$11</f>
        <v>0</v>
      </c>
      <c r="CZ16" s="542">
        <f>InpS!CZ$11</f>
        <v>0</v>
      </c>
      <c r="DA16" s="542">
        <f>InpS!DA$11</f>
        <v>0</v>
      </c>
      <c r="DB16" s="542">
        <f>InpS!DB$11</f>
        <v>0</v>
      </c>
      <c r="DC16" s="542">
        <f>InpS!DC$11</f>
        <v>0</v>
      </c>
      <c r="DD16" s="542">
        <f>InpS!DD$11</f>
        <v>0</v>
      </c>
      <c r="DE16" s="542">
        <f>InpS!DE$11</f>
        <v>0</v>
      </c>
      <c r="DF16" s="542">
        <f>InpS!DF$11</f>
        <v>0</v>
      </c>
      <c r="DG16" s="542">
        <f>InpS!DG$11</f>
        <v>0</v>
      </c>
      <c r="DH16" s="542">
        <f>InpS!DH$11</f>
        <v>0</v>
      </c>
      <c r="DI16" s="542">
        <f>InpS!DI$11</f>
        <v>0</v>
      </c>
      <c r="DJ16" s="542">
        <f>InpS!DJ$11</f>
        <v>0</v>
      </c>
      <c r="DK16" s="542">
        <f>InpS!DK$11</f>
        <v>0</v>
      </c>
      <c r="DL16" s="542">
        <f>InpS!DL$11</f>
        <v>0</v>
      </c>
      <c r="DM16" s="542">
        <f>InpS!DM$11</f>
        <v>0</v>
      </c>
      <c r="DN16" s="542">
        <f>InpS!DN$11</f>
        <v>0</v>
      </c>
      <c r="DO16" s="542">
        <f>InpS!DO$11</f>
        <v>0</v>
      </c>
      <c r="DP16" s="542">
        <f>InpS!DP$11</f>
        <v>0</v>
      </c>
      <c r="DQ16" s="542">
        <f>InpS!DQ$11</f>
        <v>0</v>
      </c>
      <c r="DR16" s="542">
        <f>InpS!DR$11</f>
        <v>0</v>
      </c>
      <c r="DS16" s="542">
        <f>InpS!DS$11</f>
        <v>0</v>
      </c>
      <c r="DT16" s="542">
        <f>InpS!DT$11</f>
        <v>0</v>
      </c>
      <c r="DU16" s="542">
        <f>InpS!DU$11</f>
        <v>0</v>
      </c>
      <c r="DV16" s="542">
        <f>InpS!DV$11</f>
        <v>0</v>
      </c>
      <c r="DW16" s="542">
        <f>InpS!DW$11</f>
        <v>0</v>
      </c>
      <c r="DX16" s="542">
        <f>InpS!DX$11</f>
        <v>0</v>
      </c>
      <c r="DY16" s="542">
        <f>InpS!DY$11</f>
        <v>0</v>
      </c>
      <c r="DZ16" s="542">
        <f>InpS!DZ$11</f>
        <v>0</v>
      </c>
      <c r="EA16" s="542">
        <f>InpS!EA$11</f>
        <v>0</v>
      </c>
      <c r="EB16" s="542">
        <f>InpS!EB$11</f>
        <v>0</v>
      </c>
      <c r="EC16" s="542">
        <f>InpS!EC$11</f>
        <v>0</v>
      </c>
      <c r="ED16" s="542">
        <f>InpS!ED$11</f>
        <v>0</v>
      </c>
      <c r="EE16" s="542">
        <f>InpS!EE$11</f>
        <v>0</v>
      </c>
      <c r="EF16" s="542">
        <f>InpS!EF$11</f>
        <v>0</v>
      </c>
      <c r="EG16" s="542">
        <f>InpS!EG$11</f>
        <v>0</v>
      </c>
    </row>
    <row r="17" spans="5:137" ht="12.75">
      <c r="E17" s="535" t="str">
        <f>InpS!E$12</f>
        <v>Capex package 4 - spend profile</v>
      </c>
      <c r="G17" s="542" t="str">
        <f>InpS!G$12</f>
        <v>%</v>
      </c>
      <c r="H17" s="542">
        <f>InpS!H$12</f>
        <v>1</v>
      </c>
      <c r="J17" s="542">
        <f>InpS!J$12</f>
        <v>0</v>
      </c>
      <c r="K17" s="542">
        <f>InpS!K$12</f>
        <v>0</v>
      </c>
      <c r="L17" s="542">
        <f>InpS!L$12</f>
        <v>0</v>
      </c>
      <c r="M17" s="542">
        <f>InpS!M$12</f>
        <v>0</v>
      </c>
      <c r="N17" s="542">
        <f>InpS!N$12</f>
        <v>0</v>
      </c>
      <c r="O17" s="542">
        <f>InpS!O$12</f>
        <v>0</v>
      </c>
      <c r="P17" s="542">
        <f>InpS!P$12</f>
        <v>0</v>
      </c>
      <c r="Q17" s="542">
        <f>InpS!Q$12</f>
        <v>0</v>
      </c>
      <c r="R17" s="542">
        <f>InpS!R$12</f>
        <v>0</v>
      </c>
      <c r="S17" s="542">
        <f>InpS!S$12</f>
        <v>0</v>
      </c>
      <c r="T17" s="542">
        <f>InpS!T$12</f>
        <v>0</v>
      </c>
      <c r="U17" s="542">
        <f>InpS!U$12</f>
        <v>0</v>
      </c>
      <c r="V17" s="542">
        <f>InpS!V$12</f>
        <v>0</v>
      </c>
      <c r="W17" s="542">
        <f>InpS!W$12</f>
        <v>0</v>
      </c>
      <c r="X17" s="542">
        <f>InpS!X$12</f>
        <v>0</v>
      </c>
      <c r="Y17" s="542">
        <f>InpS!Y$12</f>
        <v>0</v>
      </c>
      <c r="Z17" s="542">
        <f>InpS!Z$12</f>
        <v>0</v>
      </c>
      <c r="AA17" s="542">
        <f>InpS!AA$12</f>
        <v>0.09375</v>
      </c>
      <c r="AB17" s="542">
        <f>InpS!AB$12</f>
        <v>0.15625</v>
      </c>
      <c r="AC17" s="542">
        <f>InpS!AC$12</f>
        <v>0.1875</v>
      </c>
      <c r="AD17" s="542">
        <f>InpS!AD$12</f>
        <v>0.1875</v>
      </c>
      <c r="AE17" s="542">
        <f>InpS!AE$12</f>
        <v>0.15625</v>
      </c>
      <c r="AF17" s="542">
        <f>InpS!AF$12</f>
        <v>0.125</v>
      </c>
      <c r="AG17" s="542">
        <f>InpS!AG$12</f>
        <v>0.09375</v>
      </c>
      <c r="AH17" s="542">
        <f>InpS!AH$12</f>
        <v>0</v>
      </c>
      <c r="AI17" s="542">
        <f>InpS!AI$12</f>
        <v>0</v>
      </c>
      <c r="AJ17" s="542">
        <f>InpS!AJ$12</f>
        <v>0</v>
      </c>
      <c r="AK17" s="542">
        <f>InpS!AK$12</f>
        <v>0</v>
      </c>
      <c r="AL17" s="542">
        <f>InpS!AL$12</f>
        <v>0</v>
      </c>
      <c r="AM17" s="542">
        <f>InpS!AM$12</f>
        <v>0</v>
      </c>
      <c r="AN17" s="542">
        <f>InpS!AN$12</f>
        <v>0</v>
      </c>
      <c r="AO17" s="542">
        <f>InpS!AO$12</f>
        <v>0</v>
      </c>
      <c r="AP17" s="542">
        <f>InpS!AP$12</f>
        <v>0</v>
      </c>
      <c r="AQ17" s="542">
        <f>InpS!AQ$12</f>
        <v>0</v>
      </c>
      <c r="AR17" s="542">
        <f>InpS!AR$12</f>
        <v>0</v>
      </c>
      <c r="AS17" s="542">
        <f>InpS!AS$12</f>
        <v>0</v>
      </c>
      <c r="AT17" s="542">
        <f>InpS!AT$12</f>
        <v>0</v>
      </c>
      <c r="AU17" s="542">
        <f>InpS!AU$12</f>
        <v>0</v>
      </c>
      <c r="AV17" s="542">
        <f>InpS!AV$12</f>
        <v>0</v>
      </c>
      <c r="AW17" s="542">
        <f>InpS!AW$12</f>
        <v>0</v>
      </c>
      <c r="AX17" s="542">
        <f>InpS!AX$12</f>
        <v>0</v>
      </c>
      <c r="AY17" s="542">
        <f>InpS!AY$12</f>
        <v>0</v>
      </c>
      <c r="AZ17" s="542">
        <f>InpS!AZ$12</f>
        <v>0</v>
      </c>
      <c r="BA17" s="542">
        <f>InpS!BA$12</f>
        <v>0</v>
      </c>
      <c r="BB17" s="542">
        <f>InpS!BB$12</f>
        <v>0</v>
      </c>
      <c r="BC17" s="542">
        <f>InpS!BC$12</f>
        <v>0</v>
      </c>
      <c r="BD17" s="542">
        <f>InpS!BD$12</f>
        <v>0</v>
      </c>
      <c r="BE17" s="542">
        <f>InpS!BE$12</f>
        <v>0</v>
      </c>
      <c r="BF17" s="542">
        <f>InpS!BF$12</f>
        <v>0</v>
      </c>
      <c r="BG17" s="542">
        <f>InpS!BG$12</f>
        <v>0</v>
      </c>
      <c r="BH17" s="542">
        <f>InpS!BH$12</f>
        <v>0</v>
      </c>
      <c r="BI17" s="542">
        <f>InpS!BI$12</f>
        <v>0</v>
      </c>
      <c r="BJ17" s="542">
        <f>InpS!BJ$12</f>
        <v>0</v>
      </c>
      <c r="BK17" s="542">
        <f>InpS!BK$12</f>
        <v>0</v>
      </c>
      <c r="BL17" s="542">
        <f>InpS!BL$12</f>
        <v>0</v>
      </c>
      <c r="BM17" s="542">
        <f>InpS!BM$12</f>
        <v>0</v>
      </c>
      <c r="BN17" s="542">
        <f>InpS!BN$12</f>
        <v>0</v>
      </c>
      <c r="BO17" s="542">
        <f>InpS!BO$12</f>
        <v>0</v>
      </c>
      <c r="BP17" s="542">
        <f>InpS!BP$12</f>
        <v>0</v>
      </c>
      <c r="BQ17" s="542">
        <f>InpS!BQ$12</f>
        <v>0</v>
      </c>
      <c r="BR17" s="542">
        <f>InpS!BR$12</f>
        <v>0</v>
      </c>
      <c r="BS17" s="542">
        <f>InpS!BS$12</f>
        <v>0</v>
      </c>
      <c r="BT17" s="542">
        <f>InpS!BT$12</f>
        <v>0</v>
      </c>
      <c r="BU17" s="542">
        <f>InpS!BU$12</f>
        <v>0</v>
      </c>
      <c r="BV17" s="542">
        <f>InpS!BV$12</f>
        <v>0</v>
      </c>
      <c r="BW17" s="542">
        <f>InpS!BW$12</f>
        <v>0</v>
      </c>
      <c r="BX17" s="542">
        <f>InpS!BX$12</f>
        <v>0</v>
      </c>
      <c r="BY17" s="542">
        <f>InpS!BY$12</f>
        <v>0</v>
      </c>
      <c r="BZ17" s="542">
        <f>InpS!BZ$12</f>
        <v>0</v>
      </c>
      <c r="CA17" s="542">
        <f>InpS!CA$12</f>
        <v>0</v>
      </c>
      <c r="CB17" s="542">
        <f>InpS!CB$12</f>
        <v>0</v>
      </c>
      <c r="CC17" s="542">
        <f>InpS!CC$12</f>
        <v>0</v>
      </c>
      <c r="CD17" s="542">
        <f>InpS!CD$12</f>
        <v>0</v>
      </c>
      <c r="CE17" s="542">
        <f>InpS!CE$12</f>
        <v>0</v>
      </c>
      <c r="CF17" s="542">
        <f>InpS!CF$12</f>
        <v>0</v>
      </c>
      <c r="CG17" s="542">
        <f>InpS!CG$12</f>
        <v>0</v>
      </c>
      <c r="CH17" s="542">
        <f>InpS!CH$12</f>
        <v>0</v>
      </c>
      <c r="CI17" s="542">
        <f>InpS!CI$12</f>
        <v>0</v>
      </c>
      <c r="CJ17" s="542">
        <f>InpS!CJ$12</f>
        <v>0</v>
      </c>
      <c r="CK17" s="542">
        <f>InpS!CK$12</f>
        <v>0</v>
      </c>
      <c r="CL17" s="542">
        <f>InpS!CL$12</f>
        <v>0</v>
      </c>
      <c r="CM17" s="542">
        <f>InpS!CM$12</f>
        <v>0</v>
      </c>
      <c r="CN17" s="542">
        <f>InpS!CN$12</f>
        <v>0</v>
      </c>
      <c r="CO17" s="542">
        <f>InpS!CO$12</f>
        <v>0</v>
      </c>
      <c r="CP17" s="542">
        <f>InpS!CP$12</f>
        <v>0</v>
      </c>
      <c r="CQ17" s="542">
        <f>InpS!CQ$12</f>
        <v>0</v>
      </c>
      <c r="CR17" s="542">
        <f>InpS!CR$12</f>
        <v>0</v>
      </c>
      <c r="CS17" s="542">
        <f>InpS!CS$12</f>
        <v>0</v>
      </c>
      <c r="CT17" s="542">
        <f>InpS!CT$12</f>
        <v>0</v>
      </c>
      <c r="CU17" s="542">
        <f>InpS!CU$12</f>
        <v>0</v>
      </c>
      <c r="CV17" s="542">
        <f>InpS!CV$12</f>
        <v>0</v>
      </c>
      <c r="CW17" s="542">
        <f>InpS!CW$12</f>
        <v>0</v>
      </c>
      <c r="CX17" s="542">
        <f>InpS!CX$12</f>
        <v>0</v>
      </c>
      <c r="CY17" s="542">
        <f>InpS!CY$12</f>
        <v>0</v>
      </c>
      <c r="CZ17" s="542">
        <f>InpS!CZ$12</f>
        <v>0</v>
      </c>
      <c r="DA17" s="542">
        <f>InpS!DA$12</f>
        <v>0</v>
      </c>
      <c r="DB17" s="542">
        <f>InpS!DB$12</f>
        <v>0</v>
      </c>
      <c r="DC17" s="542">
        <f>InpS!DC$12</f>
        <v>0</v>
      </c>
      <c r="DD17" s="542">
        <f>InpS!DD$12</f>
        <v>0</v>
      </c>
      <c r="DE17" s="542">
        <f>InpS!DE$12</f>
        <v>0</v>
      </c>
      <c r="DF17" s="542">
        <f>InpS!DF$12</f>
        <v>0</v>
      </c>
      <c r="DG17" s="542">
        <f>InpS!DG$12</f>
        <v>0</v>
      </c>
      <c r="DH17" s="542">
        <f>InpS!DH$12</f>
        <v>0</v>
      </c>
      <c r="DI17" s="542">
        <f>InpS!DI$12</f>
        <v>0</v>
      </c>
      <c r="DJ17" s="542">
        <f>InpS!DJ$12</f>
        <v>0</v>
      </c>
      <c r="DK17" s="542">
        <f>InpS!DK$12</f>
        <v>0</v>
      </c>
      <c r="DL17" s="542">
        <f>InpS!DL$12</f>
        <v>0</v>
      </c>
      <c r="DM17" s="542">
        <f>InpS!DM$12</f>
        <v>0</v>
      </c>
      <c r="DN17" s="542">
        <f>InpS!DN$12</f>
        <v>0</v>
      </c>
      <c r="DO17" s="542">
        <f>InpS!DO$12</f>
        <v>0</v>
      </c>
      <c r="DP17" s="542">
        <f>InpS!DP$12</f>
        <v>0</v>
      </c>
      <c r="DQ17" s="542">
        <f>InpS!DQ$12</f>
        <v>0</v>
      </c>
      <c r="DR17" s="542">
        <f>InpS!DR$12</f>
        <v>0</v>
      </c>
      <c r="DS17" s="542">
        <f>InpS!DS$12</f>
        <v>0</v>
      </c>
      <c r="DT17" s="542">
        <f>InpS!DT$12</f>
        <v>0</v>
      </c>
      <c r="DU17" s="542">
        <f>InpS!DU$12</f>
        <v>0</v>
      </c>
      <c r="DV17" s="542">
        <f>InpS!DV$12</f>
        <v>0</v>
      </c>
      <c r="DW17" s="542">
        <f>InpS!DW$12</f>
        <v>0</v>
      </c>
      <c r="DX17" s="542">
        <f>InpS!DX$12</f>
        <v>0</v>
      </c>
      <c r="DY17" s="542">
        <f>InpS!DY$12</f>
        <v>0</v>
      </c>
      <c r="DZ17" s="542">
        <f>InpS!DZ$12</f>
        <v>0</v>
      </c>
      <c r="EA17" s="542">
        <f>InpS!EA$12</f>
        <v>0</v>
      </c>
      <c r="EB17" s="542">
        <f>InpS!EB$12</f>
        <v>0</v>
      </c>
      <c r="EC17" s="542">
        <f>InpS!EC$12</f>
        <v>0</v>
      </c>
      <c r="ED17" s="542">
        <f>InpS!ED$12</f>
        <v>0</v>
      </c>
      <c r="EE17" s="542">
        <f>InpS!EE$12</f>
        <v>0</v>
      </c>
      <c r="EF17" s="542">
        <f>InpS!EF$12</f>
        <v>0</v>
      </c>
      <c r="EG17" s="542">
        <f>InpS!EG$12</f>
        <v>0</v>
      </c>
    </row>
    <row r="18" spans="5:137" ht="12.75">
      <c r="E18" s="535" t="str">
        <f>Time!E$72</f>
        <v>Construction period flag</v>
      </c>
      <c r="G18" s="537" t="str">
        <f>Time!G$72</f>
        <v>flag</v>
      </c>
      <c r="H18" s="537">
        <f>Time!H$72</f>
        <v>21</v>
      </c>
      <c r="J18" s="537">
        <f>Time!J$72</f>
        <v>0</v>
      </c>
      <c r="K18" s="537">
        <f>Time!K$72</f>
        <v>0</v>
      </c>
      <c r="L18" s="537">
        <f>Time!L$72</f>
        <v>0</v>
      </c>
      <c r="M18" s="537">
        <f>Time!M$72</f>
        <v>1</v>
      </c>
      <c r="N18" s="537">
        <f>Time!N$72</f>
        <v>1</v>
      </c>
      <c r="O18" s="537">
        <f>Time!O$72</f>
        <v>1</v>
      </c>
      <c r="P18" s="537">
        <f>Time!P$72</f>
        <v>1</v>
      </c>
      <c r="Q18" s="537">
        <f>Time!Q$72</f>
        <v>1</v>
      </c>
      <c r="R18" s="537">
        <f>Time!R$72</f>
        <v>1</v>
      </c>
      <c r="S18" s="537">
        <f>Time!S$72</f>
        <v>1</v>
      </c>
      <c r="T18" s="537">
        <f>Time!T$72</f>
        <v>1</v>
      </c>
      <c r="U18" s="537">
        <f>Time!U$72</f>
        <v>1</v>
      </c>
      <c r="V18" s="537">
        <f>Time!V$72</f>
        <v>1</v>
      </c>
      <c r="W18" s="537">
        <f>Time!W$72</f>
        <v>1</v>
      </c>
      <c r="X18" s="537">
        <f>Time!X$72</f>
        <v>1</v>
      </c>
      <c r="Y18" s="537">
        <f>Time!Y$72</f>
        <v>1</v>
      </c>
      <c r="Z18" s="537">
        <f>Time!Z$72</f>
        <v>1</v>
      </c>
      <c r="AA18" s="537">
        <f>Time!AA$72</f>
        <v>1</v>
      </c>
      <c r="AB18" s="537">
        <f>Time!AB$72</f>
        <v>1</v>
      </c>
      <c r="AC18" s="537">
        <f>Time!AC$72</f>
        <v>1</v>
      </c>
      <c r="AD18" s="537">
        <f>Time!AD$72</f>
        <v>1</v>
      </c>
      <c r="AE18" s="537">
        <f>Time!AE$72</f>
        <v>1</v>
      </c>
      <c r="AF18" s="537">
        <f>Time!AF$72</f>
        <v>1</v>
      </c>
      <c r="AG18" s="537">
        <f>Time!AG$72</f>
        <v>1</v>
      </c>
      <c r="AH18" s="537">
        <f>Time!AH$72</f>
        <v>0</v>
      </c>
      <c r="AI18" s="537">
        <f>Time!AI$72</f>
        <v>0</v>
      </c>
      <c r="AJ18" s="537">
        <f>Time!AJ$72</f>
        <v>0</v>
      </c>
      <c r="AK18" s="537">
        <f>Time!AK$72</f>
        <v>0</v>
      </c>
      <c r="AL18" s="537">
        <f>Time!AL$72</f>
        <v>0</v>
      </c>
      <c r="AM18" s="537">
        <f>Time!AM$72</f>
        <v>0</v>
      </c>
      <c r="AN18" s="537">
        <f>Time!AN$72</f>
        <v>0</v>
      </c>
      <c r="AO18" s="537">
        <f>Time!AO$72</f>
        <v>0</v>
      </c>
      <c r="AP18" s="537">
        <f>Time!AP$72</f>
        <v>0</v>
      </c>
      <c r="AQ18" s="537">
        <f>Time!AQ$72</f>
        <v>0</v>
      </c>
      <c r="AR18" s="537">
        <f>Time!AR$72</f>
        <v>0</v>
      </c>
      <c r="AS18" s="537">
        <f>Time!AS$72</f>
        <v>0</v>
      </c>
      <c r="AT18" s="537">
        <f>Time!AT$72</f>
        <v>0</v>
      </c>
      <c r="AU18" s="537">
        <f>Time!AU$72</f>
        <v>0</v>
      </c>
      <c r="AV18" s="537">
        <f>Time!AV$72</f>
        <v>0</v>
      </c>
      <c r="AW18" s="537">
        <f>Time!AW$72</f>
        <v>0</v>
      </c>
      <c r="AX18" s="537">
        <f>Time!AX$72</f>
        <v>0</v>
      </c>
      <c r="AY18" s="537">
        <f>Time!AY$72</f>
        <v>0</v>
      </c>
      <c r="AZ18" s="537">
        <f>Time!AZ$72</f>
        <v>0</v>
      </c>
      <c r="BA18" s="537">
        <f>Time!BA$72</f>
        <v>0</v>
      </c>
      <c r="BB18" s="537">
        <f>Time!BB$72</f>
        <v>0</v>
      </c>
      <c r="BC18" s="537">
        <f>Time!BC$72</f>
        <v>0</v>
      </c>
      <c r="BD18" s="537">
        <f>Time!BD$72</f>
        <v>0</v>
      </c>
      <c r="BE18" s="537">
        <f>Time!BE$72</f>
        <v>0</v>
      </c>
      <c r="BF18" s="537">
        <f>Time!BF$72</f>
        <v>0</v>
      </c>
      <c r="BG18" s="537">
        <f>Time!BG$72</f>
        <v>0</v>
      </c>
      <c r="BH18" s="537">
        <f>Time!BH$72</f>
        <v>0</v>
      </c>
      <c r="BI18" s="537">
        <f>Time!BI$72</f>
        <v>0</v>
      </c>
      <c r="BJ18" s="537">
        <f>Time!BJ$72</f>
        <v>0</v>
      </c>
      <c r="BK18" s="537">
        <f>Time!BK$72</f>
        <v>0</v>
      </c>
      <c r="BL18" s="537">
        <f>Time!BL$72</f>
        <v>0</v>
      </c>
      <c r="BM18" s="537">
        <f>Time!BM$72</f>
        <v>0</v>
      </c>
      <c r="BN18" s="537">
        <f>Time!BN$72</f>
        <v>0</v>
      </c>
      <c r="BO18" s="537">
        <f>Time!BO$72</f>
        <v>0</v>
      </c>
      <c r="BP18" s="537">
        <f>Time!BP$72</f>
        <v>0</v>
      </c>
      <c r="BQ18" s="537">
        <f>Time!BQ$72</f>
        <v>0</v>
      </c>
      <c r="BR18" s="537">
        <f>Time!BR$72</f>
        <v>0</v>
      </c>
      <c r="BS18" s="537">
        <f>Time!BS$72</f>
        <v>0</v>
      </c>
      <c r="BT18" s="537">
        <f>Time!BT$72</f>
        <v>0</v>
      </c>
      <c r="BU18" s="537">
        <f>Time!BU$72</f>
        <v>0</v>
      </c>
      <c r="BV18" s="537">
        <f>Time!BV$72</f>
        <v>0</v>
      </c>
      <c r="BW18" s="537">
        <f>Time!BW$72</f>
        <v>0</v>
      </c>
      <c r="BX18" s="537">
        <f>Time!BX$72</f>
        <v>0</v>
      </c>
      <c r="BY18" s="537">
        <f>Time!BY$72</f>
        <v>0</v>
      </c>
      <c r="BZ18" s="537">
        <f>Time!BZ$72</f>
        <v>0</v>
      </c>
      <c r="CA18" s="537">
        <f>Time!CA$72</f>
        <v>0</v>
      </c>
      <c r="CB18" s="537">
        <f>Time!CB$72</f>
        <v>0</v>
      </c>
      <c r="CC18" s="537">
        <f>Time!CC$72</f>
        <v>0</v>
      </c>
      <c r="CD18" s="537">
        <f>Time!CD$72</f>
        <v>0</v>
      </c>
      <c r="CE18" s="537">
        <f>Time!CE$72</f>
        <v>0</v>
      </c>
      <c r="CF18" s="537">
        <f>Time!CF$72</f>
        <v>0</v>
      </c>
      <c r="CG18" s="537">
        <f>Time!CG$72</f>
        <v>0</v>
      </c>
      <c r="CH18" s="537">
        <f>Time!CH$72</f>
        <v>0</v>
      </c>
      <c r="CI18" s="537">
        <f>Time!CI$72</f>
        <v>0</v>
      </c>
      <c r="CJ18" s="537">
        <f>Time!CJ$72</f>
        <v>0</v>
      </c>
      <c r="CK18" s="537">
        <f>Time!CK$72</f>
        <v>0</v>
      </c>
      <c r="CL18" s="537">
        <f>Time!CL$72</f>
        <v>0</v>
      </c>
      <c r="CM18" s="537">
        <f>Time!CM$72</f>
        <v>0</v>
      </c>
      <c r="CN18" s="537">
        <f>Time!CN$72</f>
        <v>0</v>
      </c>
      <c r="CO18" s="537">
        <f>Time!CO$72</f>
        <v>0</v>
      </c>
      <c r="CP18" s="537">
        <f>Time!CP$72</f>
        <v>0</v>
      </c>
      <c r="CQ18" s="537">
        <f>Time!CQ$72</f>
        <v>0</v>
      </c>
      <c r="CR18" s="537">
        <f>Time!CR$72</f>
        <v>0</v>
      </c>
      <c r="CS18" s="537">
        <f>Time!CS$72</f>
        <v>0</v>
      </c>
      <c r="CT18" s="537">
        <f>Time!CT$72</f>
        <v>0</v>
      </c>
      <c r="CU18" s="537">
        <f>Time!CU$72</f>
        <v>0</v>
      </c>
      <c r="CV18" s="537">
        <f>Time!CV$72</f>
        <v>0</v>
      </c>
      <c r="CW18" s="537">
        <f>Time!CW$72</f>
        <v>0</v>
      </c>
      <c r="CX18" s="537">
        <f>Time!CX$72</f>
        <v>0</v>
      </c>
      <c r="CY18" s="537">
        <f>Time!CY$72</f>
        <v>0</v>
      </c>
      <c r="CZ18" s="537">
        <f>Time!CZ$72</f>
        <v>0</v>
      </c>
      <c r="DA18" s="537">
        <f>Time!DA$72</f>
        <v>0</v>
      </c>
      <c r="DB18" s="537">
        <f>Time!DB$72</f>
        <v>0</v>
      </c>
      <c r="DC18" s="537">
        <f>Time!DC$72</f>
        <v>0</v>
      </c>
      <c r="DD18" s="537">
        <f>Time!DD$72</f>
        <v>0</v>
      </c>
      <c r="DE18" s="537">
        <f>Time!DE$72</f>
        <v>0</v>
      </c>
      <c r="DF18" s="537">
        <f>Time!DF$72</f>
        <v>0</v>
      </c>
      <c r="DG18" s="537">
        <f>Time!DG$72</f>
        <v>0</v>
      </c>
      <c r="DH18" s="537">
        <f>Time!DH$72</f>
        <v>0</v>
      </c>
      <c r="DI18" s="537">
        <f>Time!DI$72</f>
        <v>0</v>
      </c>
      <c r="DJ18" s="537">
        <f>Time!DJ$72</f>
        <v>0</v>
      </c>
      <c r="DK18" s="537">
        <f>Time!DK$72</f>
        <v>0</v>
      </c>
      <c r="DL18" s="537">
        <f>Time!DL$72</f>
        <v>0</v>
      </c>
      <c r="DM18" s="537">
        <f>Time!DM$72</f>
        <v>0</v>
      </c>
      <c r="DN18" s="537">
        <f>Time!DN$72</f>
        <v>0</v>
      </c>
      <c r="DO18" s="537">
        <f>Time!DO$72</f>
        <v>0</v>
      </c>
      <c r="DP18" s="537">
        <f>Time!DP$72</f>
        <v>0</v>
      </c>
      <c r="DQ18" s="537">
        <f>Time!DQ$72</f>
        <v>0</v>
      </c>
      <c r="DR18" s="537">
        <f>Time!DR$72</f>
        <v>0</v>
      </c>
      <c r="DS18" s="537">
        <f>Time!DS$72</f>
        <v>0</v>
      </c>
      <c r="DT18" s="537">
        <f>Time!DT$72</f>
        <v>0</v>
      </c>
      <c r="DU18" s="537">
        <f>Time!DU$72</f>
        <v>0</v>
      </c>
      <c r="DV18" s="537">
        <f>Time!DV$72</f>
        <v>0</v>
      </c>
      <c r="DW18" s="537">
        <f>Time!DW$72</f>
        <v>0</v>
      </c>
      <c r="DX18" s="537">
        <f>Time!DX$72</f>
        <v>0</v>
      </c>
      <c r="DY18" s="537">
        <f>Time!DY$72</f>
        <v>0</v>
      </c>
      <c r="DZ18" s="537">
        <f>Time!DZ$72</f>
        <v>0</v>
      </c>
      <c r="EA18" s="537">
        <f>Time!EA$72</f>
        <v>0</v>
      </c>
      <c r="EB18" s="537">
        <f>Time!EB$72</f>
        <v>0</v>
      </c>
      <c r="EC18" s="537">
        <f>Time!EC$72</f>
        <v>0</v>
      </c>
      <c r="ED18" s="537">
        <f>Time!ED$72</f>
        <v>0</v>
      </c>
      <c r="EE18" s="537">
        <f>Time!EE$72</f>
        <v>0</v>
      </c>
      <c r="EF18" s="537">
        <f>Time!EF$72</f>
        <v>0</v>
      </c>
      <c r="EG18" s="537">
        <f>Time!EG$72</f>
        <v>0</v>
      </c>
    </row>
    <row r="19" spans="5:137" ht="12.75">
      <c r="E19" s="538" t="s">
        <v>200</v>
      </c>
      <c r="G19" s="539" t="s">
        <v>30</v>
      </c>
      <c r="H19" s="539">
        <f>SUM(J19:EG19)</f>
        <v>120000</v>
      </c>
      <c r="J19" s="539">
        <f t="shared" si="0" ref="J19:EG19">$F10*J14*J18</f>
        <v>0</v>
      </c>
      <c r="K19" s="539">
        <f t="shared" si="0"/>
        <v>0</v>
      </c>
      <c r="L19" s="539">
        <f t="shared" si="0"/>
        <v>0</v>
      </c>
      <c r="M19" s="539">
        <f t="shared" si="0"/>
        <v>1406.25</v>
      </c>
      <c r="N19" s="539">
        <f t="shared" si="0"/>
        <v>2343.75</v>
      </c>
      <c r="O19" s="539">
        <f t="shared" si="0"/>
        <v>3281.25</v>
      </c>
      <c r="P19" s="539">
        <f t="shared" si="0"/>
        <v>4218.75</v>
      </c>
      <c r="Q19" s="539">
        <f t="shared" si="0"/>
        <v>5156.25</v>
      </c>
      <c r="R19" s="539">
        <f t="shared" si="0"/>
        <v>6093.75</v>
      </c>
      <c r="S19" s="539">
        <f t="shared" si="0"/>
        <v>7031.25</v>
      </c>
      <c r="T19" s="539">
        <f t="shared" si="0"/>
        <v>7968.75</v>
      </c>
      <c r="U19" s="539">
        <f t="shared" si="0"/>
        <v>8906.25</v>
      </c>
      <c r="V19" s="539">
        <f t="shared" si="0"/>
        <v>8906.25</v>
      </c>
      <c r="W19" s="539">
        <f t="shared" si="0"/>
        <v>9375</v>
      </c>
      <c r="X19" s="539">
        <f t="shared" si="0"/>
        <v>8906.25</v>
      </c>
      <c r="Y19" s="539">
        <f t="shared" si="0"/>
        <v>8906.25</v>
      </c>
      <c r="Z19" s="539">
        <f t="shared" si="0"/>
        <v>7968.75</v>
      </c>
      <c r="AA19" s="539">
        <f t="shared" si="0"/>
        <v>7031.25</v>
      </c>
      <c r="AB19" s="539">
        <f t="shared" si="0"/>
        <v>6093.75</v>
      </c>
      <c r="AC19" s="539">
        <f t="shared" si="0"/>
        <v>5156.25</v>
      </c>
      <c r="AD19" s="539">
        <f t="shared" si="0"/>
        <v>4218.75</v>
      </c>
      <c r="AE19" s="539">
        <f t="shared" si="0"/>
        <v>3281.25</v>
      </c>
      <c r="AF19" s="539">
        <f t="shared" si="0"/>
        <v>2343.75</v>
      </c>
      <c r="AG19" s="539">
        <f t="shared" si="0"/>
        <v>1406.25</v>
      </c>
      <c r="AH19" s="539">
        <f t="shared" si="0"/>
        <v>0</v>
      </c>
      <c r="AI19" s="539">
        <f t="shared" si="0"/>
        <v>0</v>
      </c>
      <c r="AJ19" s="539">
        <f t="shared" si="0"/>
        <v>0</v>
      </c>
      <c r="AK19" s="539">
        <f t="shared" si="0"/>
        <v>0</v>
      </c>
      <c r="AL19" s="539">
        <f t="shared" si="0"/>
        <v>0</v>
      </c>
      <c r="AM19" s="539">
        <f t="shared" si="0"/>
        <v>0</v>
      </c>
      <c r="AN19" s="539">
        <f t="shared" si="0"/>
        <v>0</v>
      </c>
      <c r="AO19" s="539">
        <f t="shared" si="0"/>
        <v>0</v>
      </c>
      <c r="AP19" s="539">
        <f t="shared" si="0"/>
        <v>0</v>
      </c>
      <c r="AQ19" s="539">
        <f t="shared" si="0"/>
        <v>0</v>
      </c>
      <c r="AR19" s="539">
        <f t="shared" si="0"/>
        <v>0</v>
      </c>
      <c r="AS19" s="539">
        <f t="shared" si="0"/>
        <v>0</v>
      </c>
      <c r="AT19" s="539">
        <f t="shared" si="0"/>
        <v>0</v>
      </c>
      <c r="AU19" s="539">
        <f t="shared" si="0"/>
        <v>0</v>
      </c>
      <c r="AV19" s="539">
        <f t="shared" si="0"/>
        <v>0</v>
      </c>
      <c r="AW19" s="539">
        <f t="shared" si="0"/>
        <v>0</v>
      </c>
      <c r="AX19" s="539">
        <f t="shared" si="0"/>
        <v>0</v>
      </c>
      <c r="AY19" s="539">
        <f t="shared" si="0"/>
        <v>0</v>
      </c>
      <c r="AZ19" s="539">
        <f t="shared" si="0"/>
        <v>0</v>
      </c>
      <c r="BA19" s="539">
        <f t="shared" si="0"/>
        <v>0</v>
      </c>
      <c r="BB19" s="539">
        <f t="shared" si="0"/>
        <v>0</v>
      </c>
      <c r="BC19" s="539">
        <f t="shared" si="0"/>
        <v>0</v>
      </c>
      <c r="BD19" s="539">
        <f t="shared" si="0"/>
        <v>0</v>
      </c>
      <c r="BE19" s="539">
        <f t="shared" si="0"/>
        <v>0</v>
      </c>
      <c r="BF19" s="539">
        <f t="shared" si="0"/>
        <v>0</v>
      </c>
      <c r="BG19" s="539">
        <f t="shared" si="0"/>
        <v>0</v>
      </c>
      <c r="BH19" s="539">
        <f t="shared" si="0"/>
        <v>0</v>
      </c>
      <c r="BI19" s="539">
        <f t="shared" si="0"/>
        <v>0</v>
      </c>
      <c r="BJ19" s="539">
        <f t="shared" si="0"/>
        <v>0</v>
      </c>
      <c r="BK19" s="539">
        <f t="shared" si="0"/>
        <v>0</v>
      </c>
      <c r="BL19" s="539">
        <f t="shared" si="0"/>
        <v>0</v>
      </c>
      <c r="BM19" s="539">
        <f t="shared" si="0"/>
        <v>0</v>
      </c>
      <c r="BN19" s="539">
        <f t="shared" si="0"/>
        <v>0</v>
      </c>
      <c r="BO19" s="539">
        <f t="shared" si="0"/>
        <v>0</v>
      </c>
      <c r="BP19" s="539">
        <f t="shared" si="0"/>
        <v>0</v>
      </c>
      <c r="BQ19" s="539">
        <f t="shared" si="0"/>
        <v>0</v>
      </c>
      <c r="BR19" s="539">
        <f t="shared" si="0"/>
        <v>0</v>
      </c>
      <c r="BS19" s="539">
        <f t="shared" si="0"/>
        <v>0</v>
      </c>
      <c r="BT19" s="539">
        <f t="shared" si="0"/>
        <v>0</v>
      </c>
      <c r="BU19" s="539">
        <f t="shared" si="0"/>
        <v>0</v>
      </c>
      <c r="BV19" s="539">
        <f t="shared" si="0"/>
        <v>0</v>
      </c>
      <c r="BW19" s="539">
        <f t="shared" si="0"/>
        <v>0</v>
      </c>
      <c r="BX19" s="539">
        <f t="shared" si="0"/>
        <v>0</v>
      </c>
      <c r="BY19" s="539">
        <f t="shared" si="0"/>
        <v>0</v>
      </c>
      <c r="BZ19" s="539">
        <f t="shared" si="0"/>
        <v>0</v>
      </c>
      <c r="CA19" s="539">
        <f t="shared" si="0"/>
        <v>0</v>
      </c>
      <c r="CB19" s="539">
        <f t="shared" si="0"/>
        <v>0</v>
      </c>
      <c r="CC19" s="539">
        <f t="shared" si="0"/>
        <v>0</v>
      </c>
      <c r="CD19" s="539">
        <f t="shared" si="0"/>
        <v>0</v>
      </c>
      <c r="CE19" s="539">
        <f t="shared" si="0"/>
        <v>0</v>
      </c>
      <c r="CF19" s="539">
        <f t="shared" si="0"/>
        <v>0</v>
      </c>
      <c r="CG19" s="539">
        <f t="shared" si="0"/>
        <v>0</v>
      </c>
      <c r="CH19" s="539">
        <f t="shared" si="0"/>
        <v>0</v>
      </c>
      <c r="CI19" s="539">
        <f t="shared" si="0"/>
        <v>0</v>
      </c>
      <c r="CJ19" s="539">
        <f t="shared" si="0"/>
        <v>0</v>
      </c>
      <c r="CK19" s="539">
        <f t="shared" si="0"/>
        <v>0</v>
      </c>
      <c r="CL19" s="539">
        <f t="shared" si="0"/>
        <v>0</v>
      </c>
      <c r="CM19" s="539">
        <f t="shared" si="0"/>
        <v>0</v>
      </c>
      <c r="CN19" s="539">
        <f t="shared" si="0"/>
        <v>0</v>
      </c>
      <c r="CO19" s="539">
        <f t="shared" si="0"/>
        <v>0</v>
      </c>
      <c r="CP19" s="539">
        <f t="shared" si="0"/>
        <v>0</v>
      </c>
      <c r="CQ19" s="539">
        <f t="shared" si="0"/>
        <v>0</v>
      </c>
      <c r="CR19" s="539">
        <f t="shared" si="0"/>
        <v>0</v>
      </c>
      <c r="CS19" s="539">
        <f t="shared" si="0"/>
        <v>0</v>
      </c>
      <c r="CT19" s="539">
        <f t="shared" si="0"/>
        <v>0</v>
      </c>
      <c r="CU19" s="539">
        <f t="shared" si="0"/>
        <v>0</v>
      </c>
      <c r="CV19" s="539">
        <f t="shared" si="0"/>
        <v>0</v>
      </c>
      <c r="CW19" s="539">
        <f t="shared" si="0"/>
        <v>0</v>
      </c>
      <c r="CX19" s="539">
        <f t="shared" si="0"/>
        <v>0</v>
      </c>
      <c r="CY19" s="539">
        <f t="shared" si="0"/>
        <v>0</v>
      </c>
      <c r="CZ19" s="539">
        <f t="shared" si="0"/>
        <v>0</v>
      </c>
      <c r="DA19" s="539">
        <f t="shared" si="0"/>
        <v>0</v>
      </c>
      <c r="DB19" s="539">
        <f t="shared" si="0"/>
        <v>0</v>
      </c>
      <c r="DC19" s="539">
        <f t="shared" si="0"/>
        <v>0</v>
      </c>
      <c r="DD19" s="539">
        <f t="shared" si="0"/>
        <v>0</v>
      </c>
      <c r="DE19" s="539">
        <f t="shared" si="0"/>
        <v>0</v>
      </c>
      <c r="DF19" s="539">
        <f t="shared" si="0"/>
        <v>0</v>
      </c>
      <c r="DG19" s="539">
        <f t="shared" si="0"/>
        <v>0</v>
      </c>
      <c r="DH19" s="539">
        <f t="shared" si="0"/>
        <v>0</v>
      </c>
      <c r="DI19" s="539">
        <f t="shared" si="0"/>
        <v>0</v>
      </c>
      <c r="DJ19" s="539">
        <f t="shared" si="0"/>
        <v>0</v>
      </c>
      <c r="DK19" s="539">
        <f t="shared" si="0"/>
        <v>0</v>
      </c>
      <c r="DL19" s="539">
        <f t="shared" si="0"/>
        <v>0</v>
      </c>
      <c r="DM19" s="539">
        <f t="shared" si="0"/>
        <v>0</v>
      </c>
      <c r="DN19" s="539">
        <f t="shared" si="0"/>
        <v>0</v>
      </c>
      <c r="DO19" s="539">
        <f t="shared" si="0"/>
        <v>0</v>
      </c>
      <c r="DP19" s="539">
        <f t="shared" si="0"/>
        <v>0</v>
      </c>
      <c r="DQ19" s="539">
        <f t="shared" si="0"/>
        <v>0</v>
      </c>
      <c r="DR19" s="539">
        <f t="shared" si="0"/>
        <v>0</v>
      </c>
      <c r="DS19" s="539">
        <f t="shared" si="0"/>
        <v>0</v>
      </c>
      <c r="DT19" s="539">
        <f t="shared" si="0"/>
        <v>0</v>
      </c>
      <c r="DU19" s="539">
        <f t="shared" si="0"/>
        <v>0</v>
      </c>
      <c r="DV19" s="539">
        <f t="shared" si="0"/>
        <v>0</v>
      </c>
      <c r="DW19" s="539">
        <f t="shared" si="0"/>
        <v>0</v>
      </c>
      <c r="DX19" s="539">
        <f t="shared" si="0"/>
        <v>0</v>
      </c>
      <c r="DY19" s="539">
        <f t="shared" si="0"/>
        <v>0</v>
      </c>
      <c r="DZ19" s="539">
        <f t="shared" si="0"/>
        <v>0</v>
      </c>
      <c r="EA19" s="539">
        <f t="shared" si="0"/>
        <v>0</v>
      </c>
      <c r="EB19" s="539">
        <f t="shared" si="0"/>
        <v>0</v>
      </c>
      <c r="EC19" s="539">
        <f t="shared" si="0"/>
        <v>0</v>
      </c>
      <c r="ED19" s="539">
        <f t="shared" si="0"/>
        <v>0</v>
      </c>
      <c r="EE19" s="539">
        <f t="shared" si="0"/>
        <v>0</v>
      </c>
      <c r="EF19" s="539">
        <f t="shared" si="0"/>
        <v>0</v>
      </c>
      <c r="EG19" s="539">
        <f t="shared" si="0"/>
        <v>0</v>
      </c>
    </row>
    <row r="20" spans="5:137" ht="12.75">
      <c r="E20" s="538" t="s">
        <v>201</v>
      </c>
      <c r="G20" s="539" t="s">
        <v>30</v>
      </c>
      <c r="H20" s="539">
        <f>SUM(J20:EG20)</f>
        <v>80000</v>
      </c>
      <c r="J20" s="539">
        <f t="shared" si="1" ref="J20:EG20">$F11*J15*J18</f>
        <v>0</v>
      </c>
      <c r="K20" s="539">
        <f t="shared" si="1"/>
        <v>0</v>
      </c>
      <c r="L20" s="539">
        <f t="shared" si="1"/>
        <v>0</v>
      </c>
      <c r="M20" s="539">
        <f t="shared" si="1"/>
        <v>11250</v>
      </c>
      <c r="N20" s="539">
        <f t="shared" si="1"/>
        <v>10625</v>
      </c>
      <c r="O20" s="539">
        <f t="shared" si="1"/>
        <v>9375</v>
      </c>
      <c r="P20" s="539">
        <f t="shared" si="1"/>
        <v>8750</v>
      </c>
      <c r="Q20" s="539">
        <f t="shared" si="1"/>
        <v>7500</v>
      </c>
      <c r="R20" s="539">
        <f t="shared" si="1"/>
        <v>6875</v>
      </c>
      <c r="S20" s="539">
        <f t="shared" si="1"/>
        <v>6250</v>
      </c>
      <c r="T20" s="539">
        <f t="shared" si="1"/>
        <v>5625</v>
      </c>
      <c r="U20" s="539">
        <f t="shared" si="1"/>
        <v>5000</v>
      </c>
      <c r="V20" s="539">
        <f t="shared" si="1"/>
        <v>3750</v>
      </c>
      <c r="W20" s="539">
        <f t="shared" si="1"/>
        <v>3125</v>
      </c>
      <c r="X20" s="539">
        <f t="shared" si="1"/>
        <v>1875</v>
      </c>
      <c r="Y20" s="539">
        <f t="shared" si="1"/>
        <v>0</v>
      </c>
      <c r="Z20" s="539">
        <f t="shared" si="1"/>
        <v>0</v>
      </c>
      <c r="AA20" s="539">
        <f t="shared" si="1"/>
        <v>0</v>
      </c>
      <c r="AB20" s="539">
        <f t="shared" si="1"/>
        <v>0</v>
      </c>
      <c r="AC20" s="539">
        <f t="shared" si="1"/>
        <v>0</v>
      </c>
      <c r="AD20" s="539">
        <f t="shared" si="1"/>
        <v>0</v>
      </c>
      <c r="AE20" s="539">
        <f t="shared" si="1"/>
        <v>0</v>
      </c>
      <c r="AF20" s="539">
        <f t="shared" si="1"/>
        <v>0</v>
      </c>
      <c r="AG20" s="539">
        <f t="shared" si="1"/>
        <v>0</v>
      </c>
      <c r="AH20" s="539">
        <f t="shared" si="1"/>
        <v>0</v>
      </c>
      <c r="AI20" s="539">
        <f t="shared" si="1"/>
        <v>0</v>
      </c>
      <c r="AJ20" s="539">
        <f t="shared" si="1"/>
        <v>0</v>
      </c>
      <c r="AK20" s="539">
        <f t="shared" si="1"/>
        <v>0</v>
      </c>
      <c r="AL20" s="539">
        <f t="shared" si="1"/>
        <v>0</v>
      </c>
      <c r="AM20" s="539">
        <f t="shared" si="1"/>
        <v>0</v>
      </c>
      <c r="AN20" s="539">
        <f t="shared" si="1"/>
        <v>0</v>
      </c>
      <c r="AO20" s="539">
        <f t="shared" si="1"/>
        <v>0</v>
      </c>
      <c r="AP20" s="539">
        <f t="shared" si="1"/>
        <v>0</v>
      </c>
      <c r="AQ20" s="539">
        <f t="shared" si="1"/>
        <v>0</v>
      </c>
      <c r="AR20" s="539">
        <f t="shared" si="1"/>
        <v>0</v>
      </c>
      <c r="AS20" s="539">
        <f t="shared" si="1"/>
        <v>0</v>
      </c>
      <c r="AT20" s="539">
        <f t="shared" si="1"/>
        <v>0</v>
      </c>
      <c r="AU20" s="539">
        <f t="shared" si="1"/>
        <v>0</v>
      </c>
      <c r="AV20" s="539">
        <f t="shared" si="1"/>
        <v>0</v>
      </c>
      <c r="AW20" s="539">
        <f t="shared" si="1"/>
        <v>0</v>
      </c>
      <c r="AX20" s="539">
        <f t="shared" si="1"/>
        <v>0</v>
      </c>
      <c r="AY20" s="539">
        <f t="shared" si="1"/>
        <v>0</v>
      </c>
      <c r="AZ20" s="539">
        <f t="shared" si="1"/>
        <v>0</v>
      </c>
      <c r="BA20" s="539">
        <f t="shared" si="1"/>
        <v>0</v>
      </c>
      <c r="BB20" s="539">
        <f t="shared" si="1"/>
        <v>0</v>
      </c>
      <c r="BC20" s="539">
        <f t="shared" si="1"/>
        <v>0</v>
      </c>
      <c r="BD20" s="539">
        <f t="shared" si="1"/>
        <v>0</v>
      </c>
      <c r="BE20" s="539">
        <f t="shared" si="1"/>
        <v>0</v>
      </c>
      <c r="BF20" s="539">
        <f t="shared" si="1"/>
        <v>0</v>
      </c>
      <c r="BG20" s="539">
        <f t="shared" si="1"/>
        <v>0</v>
      </c>
      <c r="BH20" s="539">
        <f t="shared" si="1"/>
        <v>0</v>
      </c>
      <c r="BI20" s="539">
        <f t="shared" si="1"/>
        <v>0</v>
      </c>
      <c r="BJ20" s="539">
        <f t="shared" si="1"/>
        <v>0</v>
      </c>
      <c r="BK20" s="539">
        <f t="shared" si="1"/>
        <v>0</v>
      </c>
      <c r="BL20" s="539">
        <f t="shared" si="1"/>
        <v>0</v>
      </c>
      <c r="BM20" s="539">
        <f t="shared" si="1"/>
        <v>0</v>
      </c>
      <c r="BN20" s="539">
        <f t="shared" si="1"/>
        <v>0</v>
      </c>
      <c r="BO20" s="539">
        <f t="shared" si="1"/>
        <v>0</v>
      </c>
      <c r="BP20" s="539">
        <f t="shared" si="1"/>
        <v>0</v>
      </c>
      <c r="BQ20" s="539">
        <f t="shared" si="1"/>
        <v>0</v>
      </c>
      <c r="BR20" s="539">
        <f t="shared" si="1"/>
        <v>0</v>
      </c>
      <c r="BS20" s="539">
        <f t="shared" si="1"/>
        <v>0</v>
      </c>
      <c r="BT20" s="539">
        <f t="shared" si="1"/>
        <v>0</v>
      </c>
      <c r="BU20" s="539">
        <f t="shared" si="1"/>
        <v>0</v>
      </c>
      <c r="BV20" s="539">
        <f t="shared" si="1"/>
        <v>0</v>
      </c>
      <c r="BW20" s="539">
        <f t="shared" si="1"/>
        <v>0</v>
      </c>
      <c r="BX20" s="539">
        <f t="shared" si="1"/>
        <v>0</v>
      </c>
      <c r="BY20" s="539">
        <f t="shared" si="1"/>
        <v>0</v>
      </c>
      <c r="BZ20" s="539">
        <f t="shared" si="1"/>
        <v>0</v>
      </c>
      <c r="CA20" s="539">
        <f t="shared" si="1"/>
        <v>0</v>
      </c>
      <c r="CB20" s="539">
        <f t="shared" si="1"/>
        <v>0</v>
      </c>
      <c r="CC20" s="539">
        <f t="shared" si="1"/>
        <v>0</v>
      </c>
      <c r="CD20" s="539">
        <f t="shared" si="1"/>
        <v>0</v>
      </c>
      <c r="CE20" s="539">
        <f t="shared" si="1"/>
        <v>0</v>
      </c>
      <c r="CF20" s="539">
        <f t="shared" si="1"/>
        <v>0</v>
      </c>
      <c r="CG20" s="539">
        <f t="shared" si="1"/>
        <v>0</v>
      </c>
      <c r="CH20" s="539">
        <f t="shared" si="1"/>
        <v>0</v>
      </c>
      <c r="CI20" s="539">
        <f t="shared" si="1"/>
        <v>0</v>
      </c>
      <c r="CJ20" s="539">
        <f t="shared" si="1"/>
        <v>0</v>
      </c>
      <c r="CK20" s="539">
        <f t="shared" si="1"/>
        <v>0</v>
      </c>
      <c r="CL20" s="539">
        <f t="shared" si="1"/>
        <v>0</v>
      </c>
      <c r="CM20" s="539">
        <f t="shared" si="1"/>
        <v>0</v>
      </c>
      <c r="CN20" s="539">
        <f t="shared" si="1"/>
        <v>0</v>
      </c>
      <c r="CO20" s="539">
        <f t="shared" si="1"/>
        <v>0</v>
      </c>
      <c r="CP20" s="539">
        <f t="shared" si="1"/>
        <v>0</v>
      </c>
      <c r="CQ20" s="539">
        <f t="shared" si="1"/>
        <v>0</v>
      </c>
      <c r="CR20" s="539">
        <f t="shared" si="1"/>
        <v>0</v>
      </c>
      <c r="CS20" s="539">
        <f t="shared" si="1"/>
        <v>0</v>
      </c>
      <c r="CT20" s="539">
        <f t="shared" si="1"/>
        <v>0</v>
      </c>
      <c r="CU20" s="539">
        <f t="shared" si="1"/>
        <v>0</v>
      </c>
      <c r="CV20" s="539">
        <f t="shared" si="1"/>
        <v>0</v>
      </c>
      <c r="CW20" s="539">
        <f t="shared" si="1"/>
        <v>0</v>
      </c>
      <c r="CX20" s="539">
        <f t="shared" si="1"/>
        <v>0</v>
      </c>
      <c r="CY20" s="539">
        <f t="shared" si="1"/>
        <v>0</v>
      </c>
      <c r="CZ20" s="539">
        <f t="shared" si="1"/>
        <v>0</v>
      </c>
      <c r="DA20" s="539">
        <f t="shared" si="1"/>
        <v>0</v>
      </c>
      <c r="DB20" s="539">
        <f t="shared" si="1"/>
        <v>0</v>
      </c>
      <c r="DC20" s="539">
        <f t="shared" si="1"/>
        <v>0</v>
      </c>
      <c r="DD20" s="539">
        <f t="shared" si="1"/>
        <v>0</v>
      </c>
      <c r="DE20" s="539">
        <f t="shared" si="1"/>
        <v>0</v>
      </c>
      <c r="DF20" s="539">
        <f t="shared" si="1"/>
        <v>0</v>
      </c>
      <c r="DG20" s="539">
        <f t="shared" si="1"/>
        <v>0</v>
      </c>
      <c r="DH20" s="539">
        <f t="shared" si="1"/>
        <v>0</v>
      </c>
      <c r="DI20" s="539">
        <f t="shared" si="1"/>
        <v>0</v>
      </c>
      <c r="DJ20" s="539">
        <f t="shared" si="1"/>
        <v>0</v>
      </c>
      <c r="DK20" s="539">
        <f t="shared" si="1"/>
        <v>0</v>
      </c>
      <c r="DL20" s="539">
        <f t="shared" si="1"/>
        <v>0</v>
      </c>
      <c r="DM20" s="539">
        <f t="shared" si="1"/>
        <v>0</v>
      </c>
      <c r="DN20" s="539">
        <f t="shared" si="1"/>
        <v>0</v>
      </c>
      <c r="DO20" s="539">
        <f t="shared" si="1"/>
        <v>0</v>
      </c>
      <c r="DP20" s="539">
        <f t="shared" si="1"/>
        <v>0</v>
      </c>
      <c r="DQ20" s="539">
        <f t="shared" si="1"/>
        <v>0</v>
      </c>
      <c r="DR20" s="539">
        <f t="shared" si="1"/>
        <v>0</v>
      </c>
      <c r="DS20" s="539">
        <f t="shared" si="1"/>
        <v>0</v>
      </c>
      <c r="DT20" s="539">
        <f t="shared" si="1"/>
        <v>0</v>
      </c>
      <c r="DU20" s="539">
        <f t="shared" si="1"/>
        <v>0</v>
      </c>
      <c r="DV20" s="539">
        <f t="shared" si="1"/>
        <v>0</v>
      </c>
      <c r="DW20" s="539">
        <f t="shared" si="1"/>
        <v>0</v>
      </c>
      <c r="DX20" s="539">
        <f t="shared" si="1"/>
        <v>0</v>
      </c>
      <c r="DY20" s="539">
        <f t="shared" si="1"/>
        <v>0</v>
      </c>
      <c r="DZ20" s="539">
        <f t="shared" si="1"/>
        <v>0</v>
      </c>
      <c r="EA20" s="539">
        <f t="shared" si="1"/>
        <v>0</v>
      </c>
      <c r="EB20" s="539">
        <f t="shared" si="1"/>
        <v>0</v>
      </c>
      <c r="EC20" s="539">
        <f t="shared" si="1"/>
        <v>0</v>
      </c>
      <c r="ED20" s="539">
        <f t="shared" si="1"/>
        <v>0</v>
      </c>
      <c r="EE20" s="539">
        <f t="shared" si="1"/>
        <v>0</v>
      </c>
      <c r="EF20" s="539">
        <f t="shared" si="1"/>
        <v>0</v>
      </c>
      <c r="EG20" s="539">
        <f t="shared" si="1"/>
        <v>0</v>
      </c>
    </row>
    <row r="21" spans="5:137" ht="12.75">
      <c r="E21" s="538" t="s">
        <v>202</v>
      </c>
      <c r="G21" s="539" t="s">
        <v>30</v>
      </c>
      <c r="H21" s="539">
        <f>SUM(J21:EG21)</f>
        <v>45000</v>
      </c>
      <c r="J21" s="539">
        <f t="shared" si="2" ref="J21:EG21">$F12*J16*J18</f>
        <v>0</v>
      </c>
      <c r="K21" s="539">
        <f t="shared" si="2"/>
        <v>0</v>
      </c>
      <c r="L21" s="539">
        <f t="shared" si="2"/>
        <v>0</v>
      </c>
      <c r="M21" s="539">
        <f t="shared" si="2"/>
        <v>0</v>
      </c>
      <c r="N21" s="539">
        <f t="shared" si="2"/>
        <v>0</v>
      </c>
      <c r="O21" s="539">
        <f t="shared" si="2"/>
        <v>0</v>
      </c>
      <c r="P21" s="539">
        <f t="shared" si="2"/>
        <v>0</v>
      </c>
      <c r="Q21" s="539">
        <f t="shared" si="2"/>
        <v>0</v>
      </c>
      <c r="R21" s="539">
        <f t="shared" si="2"/>
        <v>3164.0625</v>
      </c>
      <c r="S21" s="539">
        <f t="shared" si="2"/>
        <v>3515.625</v>
      </c>
      <c r="T21" s="539">
        <f t="shared" si="2"/>
        <v>3515.625</v>
      </c>
      <c r="U21" s="539">
        <f t="shared" si="2"/>
        <v>3515.625</v>
      </c>
      <c r="V21" s="539">
        <f t="shared" si="2"/>
        <v>3515.625</v>
      </c>
      <c r="W21" s="539">
        <f t="shared" si="2"/>
        <v>3515.625</v>
      </c>
      <c r="X21" s="539">
        <f t="shared" si="2"/>
        <v>3515.625</v>
      </c>
      <c r="Y21" s="539">
        <f t="shared" si="2"/>
        <v>3515.625</v>
      </c>
      <c r="Z21" s="539">
        <f t="shared" si="2"/>
        <v>3515.625</v>
      </c>
      <c r="AA21" s="539">
        <f t="shared" si="2"/>
        <v>3515.625</v>
      </c>
      <c r="AB21" s="539">
        <f t="shared" si="2"/>
        <v>3515.625</v>
      </c>
      <c r="AC21" s="539">
        <f t="shared" si="2"/>
        <v>3515.625</v>
      </c>
      <c r="AD21" s="539">
        <f t="shared" si="2"/>
        <v>3164.0625</v>
      </c>
      <c r="AE21" s="539">
        <f t="shared" si="2"/>
        <v>0</v>
      </c>
      <c r="AF21" s="539">
        <f t="shared" si="2"/>
        <v>0</v>
      </c>
      <c r="AG21" s="539">
        <f t="shared" si="2"/>
        <v>0</v>
      </c>
      <c r="AH21" s="539">
        <f t="shared" si="2"/>
        <v>0</v>
      </c>
      <c r="AI21" s="539">
        <f t="shared" si="2"/>
        <v>0</v>
      </c>
      <c r="AJ21" s="539">
        <f t="shared" si="2"/>
        <v>0</v>
      </c>
      <c r="AK21" s="539">
        <f t="shared" si="2"/>
        <v>0</v>
      </c>
      <c r="AL21" s="539">
        <f t="shared" si="2"/>
        <v>0</v>
      </c>
      <c r="AM21" s="539">
        <f t="shared" si="2"/>
        <v>0</v>
      </c>
      <c r="AN21" s="539">
        <f t="shared" si="2"/>
        <v>0</v>
      </c>
      <c r="AO21" s="539">
        <f t="shared" si="2"/>
        <v>0</v>
      </c>
      <c r="AP21" s="539">
        <f t="shared" si="2"/>
        <v>0</v>
      </c>
      <c r="AQ21" s="539">
        <f t="shared" si="2"/>
        <v>0</v>
      </c>
      <c r="AR21" s="539">
        <f t="shared" si="2"/>
        <v>0</v>
      </c>
      <c r="AS21" s="539">
        <f t="shared" si="2"/>
        <v>0</v>
      </c>
      <c r="AT21" s="539">
        <f t="shared" si="2"/>
        <v>0</v>
      </c>
      <c r="AU21" s="539">
        <f t="shared" si="2"/>
        <v>0</v>
      </c>
      <c r="AV21" s="539">
        <f t="shared" si="2"/>
        <v>0</v>
      </c>
      <c r="AW21" s="539">
        <f t="shared" si="2"/>
        <v>0</v>
      </c>
      <c r="AX21" s="539">
        <f t="shared" si="2"/>
        <v>0</v>
      </c>
      <c r="AY21" s="539">
        <f t="shared" si="2"/>
        <v>0</v>
      </c>
      <c r="AZ21" s="539">
        <f t="shared" si="2"/>
        <v>0</v>
      </c>
      <c r="BA21" s="539">
        <f t="shared" si="2"/>
        <v>0</v>
      </c>
      <c r="BB21" s="539">
        <f t="shared" si="2"/>
        <v>0</v>
      </c>
      <c r="BC21" s="539">
        <f t="shared" si="2"/>
        <v>0</v>
      </c>
      <c r="BD21" s="539">
        <f t="shared" si="2"/>
        <v>0</v>
      </c>
      <c r="BE21" s="539">
        <f t="shared" si="2"/>
        <v>0</v>
      </c>
      <c r="BF21" s="539">
        <f t="shared" si="2"/>
        <v>0</v>
      </c>
      <c r="BG21" s="539">
        <f t="shared" si="2"/>
        <v>0</v>
      </c>
      <c r="BH21" s="539">
        <f t="shared" si="2"/>
        <v>0</v>
      </c>
      <c r="BI21" s="539">
        <f t="shared" si="2"/>
        <v>0</v>
      </c>
      <c r="BJ21" s="539">
        <f t="shared" si="2"/>
        <v>0</v>
      </c>
      <c r="BK21" s="539">
        <f t="shared" si="2"/>
        <v>0</v>
      </c>
      <c r="BL21" s="539">
        <f t="shared" si="2"/>
        <v>0</v>
      </c>
      <c r="BM21" s="539">
        <f t="shared" si="2"/>
        <v>0</v>
      </c>
      <c r="BN21" s="539">
        <f t="shared" si="2"/>
        <v>0</v>
      </c>
      <c r="BO21" s="539">
        <f t="shared" si="2"/>
        <v>0</v>
      </c>
      <c r="BP21" s="539">
        <f t="shared" si="2"/>
        <v>0</v>
      </c>
      <c r="BQ21" s="539">
        <f t="shared" si="2"/>
        <v>0</v>
      </c>
      <c r="BR21" s="539">
        <f t="shared" si="2"/>
        <v>0</v>
      </c>
      <c r="BS21" s="539">
        <f t="shared" si="2"/>
        <v>0</v>
      </c>
      <c r="BT21" s="539">
        <f t="shared" si="2"/>
        <v>0</v>
      </c>
      <c r="BU21" s="539">
        <f t="shared" si="2"/>
        <v>0</v>
      </c>
      <c r="BV21" s="539">
        <f t="shared" si="2"/>
        <v>0</v>
      </c>
      <c r="BW21" s="539">
        <f t="shared" si="2"/>
        <v>0</v>
      </c>
      <c r="BX21" s="539">
        <f t="shared" si="2"/>
        <v>0</v>
      </c>
      <c r="BY21" s="539">
        <f t="shared" si="2"/>
        <v>0</v>
      </c>
      <c r="BZ21" s="539">
        <f t="shared" si="2"/>
        <v>0</v>
      </c>
      <c r="CA21" s="539">
        <f t="shared" si="2"/>
        <v>0</v>
      </c>
      <c r="CB21" s="539">
        <f t="shared" si="2"/>
        <v>0</v>
      </c>
      <c r="CC21" s="539">
        <f t="shared" si="2"/>
        <v>0</v>
      </c>
      <c r="CD21" s="539">
        <f t="shared" si="2"/>
        <v>0</v>
      </c>
      <c r="CE21" s="539">
        <f t="shared" si="2"/>
        <v>0</v>
      </c>
      <c r="CF21" s="539">
        <f t="shared" si="2"/>
        <v>0</v>
      </c>
      <c r="CG21" s="539">
        <f t="shared" si="2"/>
        <v>0</v>
      </c>
      <c r="CH21" s="539">
        <f t="shared" si="2"/>
        <v>0</v>
      </c>
      <c r="CI21" s="539">
        <f t="shared" si="2"/>
        <v>0</v>
      </c>
      <c r="CJ21" s="539">
        <f t="shared" si="2"/>
        <v>0</v>
      </c>
      <c r="CK21" s="539">
        <f t="shared" si="2"/>
        <v>0</v>
      </c>
      <c r="CL21" s="539">
        <f t="shared" si="2"/>
        <v>0</v>
      </c>
      <c r="CM21" s="539">
        <f t="shared" si="2"/>
        <v>0</v>
      </c>
      <c r="CN21" s="539">
        <f t="shared" si="2"/>
        <v>0</v>
      </c>
      <c r="CO21" s="539">
        <f t="shared" si="2"/>
        <v>0</v>
      </c>
      <c r="CP21" s="539">
        <f t="shared" si="2"/>
        <v>0</v>
      </c>
      <c r="CQ21" s="539">
        <f t="shared" si="2"/>
        <v>0</v>
      </c>
      <c r="CR21" s="539">
        <f t="shared" si="2"/>
        <v>0</v>
      </c>
      <c r="CS21" s="539">
        <f t="shared" si="2"/>
        <v>0</v>
      </c>
      <c r="CT21" s="539">
        <f t="shared" si="2"/>
        <v>0</v>
      </c>
      <c r="CU21" s="539">
        <f t="shared" si="2"/>
        <v>0</v>
      </c>
      <c r="CV21" s="539">
        <f t="shared" si="2"/>
        <v>0</v>
      </c>
      <c r="CW21" s="539">
        <f t="shared" si="2"/>
        <v>0</v>
      </c>
      <c r="CX21" s="539">
        <f t="shared" si="2"/>
        <v>0</v>
      </c>
      <c r="CY21" s="539">
        <f t="shared" si="2"/>
        <v>0</v>
      </c>
      <c r="CZ21" s="539">
        <f t="shared" si="2"/>
        <v>0</v>
      </c>
      <c r="DA21" s="539">
        <f t="shared" si="2"/>
        <v>0</v>
      </c>
      <c r="DB21" s="539">
        <f t="shared" si="2"/>
        <v>0</v>
      </c>
      <c r="DC21" s="539">
        <f t="shared" si="2"/>
        <v>0</v>
      </c>
      <c r="DD21" s="539">
        <f t="shared" si="2"/>
        <v>0</v>
      </c>
      <c r="DE21" s="539">
        <f t="shared" si="2"/>
        <v>0</v>
      </c>
      <c r="DF21" s="539">
        <f t="shared" si="2"/>
        <v>0</v>
      </c>
      <c r="DG21" s="539">
        <f t="shared" si="2"/>
        <v>0</v>
      </c>
      <c r="DH21" s="539">
        <f t="shared" si="2"/>
        <v>0</v>
      </c>
      <c r="DI21" s="539">
        <f t="shared" si="2"/>
        <v>0</v>
      </c>
      <c r="DJ21" s="539">
        <f t="shared" si="2"/>
        <v>0</v>
      </c>
      <c r="DK21" s="539">
        <f t="shared" si="2"/>
        <v>0</v>
      </c>
      <c r="DL21" s="539">
        <f t="shared" si="2"/>
        <v>0</v>
      </c>
      <c r="DM21" s="539">
        <f t="shared" si="2"/>
        <v>0</v>
      </c>
      <c r="DN21" s="539">
        <f t="shared" si="2"/>
        <v>0</v>
      </c>
      <c r="DO21" s="539">
        <f t="shared" si="2"/>
        <v>0</v>
      </c>
      <c r="DP21" s="539">
        <f t="shared" si="2"/>
        <v>0</v>
      </c>
      <c r="DQ21" s="539">
        <f t="shared" si="2"/>
        <v>0</v>
      </c>
      <c r="DR21" s="539">
        <f t="shared" si="2"/>
        <v>0</v>
      </c>
      <c r="DS21" s="539">
        <f t="shared" si="2"/>
        <v>0</v>
      </c>
      <c r="DT21" s="539">
        <f t="shared" si="2"/>
        <v>0</v>
      </c>
      <c r="DU21" s="539">
        <f t="shared" si="2"/>
        <v>0</v>
      </c>
      <c r="DV21" s="539">
        <f t="shared" si="2"/>
        <v>0</v>
      </c>
      <c r="DW21" s="539">
        <f t="shared" si="2"/>
        <v>0</v>
      </c>
      <c r="DX21" s="539">
        <f t="shared" si="2"/>
        <v>0</v>
      </c>
      <c r="DY21" s="539">
        <f t="shared" si="2"/>
        <v>0</v>
      </c>
      <c r="DZ21" s="539">
        <f t="shared" si="2"/>
        <v>0</v>
      </c>
      <c r="EA21" s="539">
        <f t="shared" si="2"/>
        <v>0</v>
      </c>
      <c r="EB21" s="539">
        <f t="shared" si="2"/>
        <v>0</v>
      </c>
      <c r="EC21" s="539">
        <f t="shared" si="2"/>
        <v>0</v>
      </c>
      <c r="ED21" s="539">
        <f t="shared" si="2"/>
        <v>0</v>
      </c>
      <c r="EE21" s="539">
        <f t="shared" si="2"/>
        <v>0</v>
      </c>
      <c r="EF21" s="539">
        <f t="shared" si="2"/>
        <v>0</v>
      </c>
      <c r="EG21" s="539">
        <f t="shared" si="2"/>
        <v>0</v>
      </c>
    </row>
    <row r="22" spans="5:137" ht="12.75">
      <c r="E22" s="538" t="s">
        <v>203</v>
      </c>
      <c r="G22" s="539" t="s">
        <v>30</v>
      </c>
      <c r="H22" s="539">
        <f>SUM(J22:EG22)</f>
        <v>25000</v>
      </c>
      <c r="J22" s="539">
        <f t="shared" si="3" ref="J22:EG22">$F13*J17*J18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2343.75</v>
      </c>
      <c r="AB22" s="539">
        <f t="shared" si="3"/>
        <v>3906.25</v>
      </c>
      <c r="AC22" s="539">
        <f t="shared" si="3"/>
        <v>4687.5</v>
      </c>
      <c r="AD22" s="539">
        <f t="shared" si="3"/>
        <v>4687.5</v>
      </c>
      <c r="AE22" s="539">
        <f t="shared" si="3"/>
        <v>3906.25</v>
      </c>
      <c r="AF22" s="539">
        <f t="shared" si="3"/>
        <v>3125</v>
      </c>
      <c r="AG22" s="539">
        <f t="shared" si="3"/>
        <v>2343.75</v>
      </c>
      <c r="AH22" s="539">
        <f t="shared" si="3"/>
        <v>0</v>
      </c>
      <c r="AI22" s="539">
        <f t="shared" si="3"/>
        <v>0</v>
      </c>
      <c r="AJ22" s="539">
        <f t="shared" si="3"/>
        <v>0</v>
      </c>
      <c r="AK22" s="539">
        <f t="shared" si="3"/>
        <v>0</v>
      </c>
      <c r="AL22" s="539">
        <f t="shared" si="3"/>
        <v>0</v>
      </c>
      <c r="AM22" s="539">
        <f t="shared" si="3"/>
        <v>0</v>
      </c>
      <c r="AN22" s="539">
        <f t="shared" si="3"/>
        <v>0</v>
      </c>
      <c r="AO22" s="539">
        <f t="shared" si="3"/>
        <v>0</v>
      </c>
      <c r="AP22" s="539">
        <f t="shared" si="3"/>
        <v>0</v>
      </c>
      <c r="AQ22" s="539">
        <f t="shared" si="3"/>
        <v>0</v>
      </c>
      <c r="AR22" s="539">
        <f t="shared" si="3"/>
        <v>0</v>
      </c>
      <c r="AS22" s="539">
        <f t="shared" si="3"/>
        <v>0</v>
      </c>
      <c r="AT22" s="539">
        <f t="shared" si="3"/>
        <v>0</v>
      </c>
      <c r="AU22" s="539">
        <f t="shared" si="3"/>
        <v>0</v>
      </c>
      <c r="AV22" s="539">
        <f t="shared" si="3"/>
        <v>0</v>
      </c>
      <c r="AW22" s="539">
        <f t="shared" si="3"/>
        <v>0</v>
      </c>
      <c r="AX22" s="539">
        <f t="shared" si="3"/>
        <v>0</v>
      </c>
      <c r="AY22" s="539">
        <f t="shared" si="3"/>
        <v>0</v>
      </c>
      <c r="AZ22" s="539">
        <f t="shared" si="3"/>
        <v>0</v>
      </c>
      <c r="BA22" s="539">
        <f t="shared" si="3"/>
        <v>0</v>
      </c>
      <c r="BB22" s="539">
        <f t="shared" si="3"/>
        <v>0</v>
      </c>
      <c r="BC22" s="539">
        <f t="shared" si="3"/>
        <v>0</v>
      </c>
      <c r="BD22" s="539">
        <f t="shared" si="3"/>
        <v>0</v>
      </c>
      <c r="BE22" s="539">
        <f t="shared" si="3"/>
        <v>0</v>
      </c>
      <c r="BF22" s="539">
        <f t="shared" si="3"/>
        <v>0</v>
      </c>
      <c r="BG22" s="539">
        <f t="shared" si="3"/>
        <v>0</v>
      </c>
      <c r="BH22" s="539">
        <f t="shared" si="3"/>
        <v>0</v>
      </c>
      <c r="BI22" s="539">
        <f t="shared" si="3"/>
        <v>0</v>
      </c>
      <c r="BJ22" s="539">
        <f t="shared" si="3"/>
        <v>0</v>
      </c>
      <c r="BK22" s="539">
        <f t="shared" si="3"/>
        <v>0</v>
      </c>
      <c r="BL22" s="539">
        <f t="shared" si="3"/>
        <v>0</v>
      </c>
      <c r="BM22" s="539">
        <f t="shared" si="3"/>
        <v>0</v>
      </c>
      <c r="BN22" s="539">
        <f t="shared" si="3"/>
        <v>0</v>
      </c>
      <c r="BO22" s="539">
        <f t="shared" si="3"/>
        <v>0</v>
      </c>
      <c r="BP22" s="539">
        <f t="shared" si="3"/>
        <v>0</v>
      </c>
      <c r="BQ22" s="539">
        <f t="shared" si="3"/>
        <v>0</v>
      </c>
      <c r="BR22" s="539">
        <f t="shared" si="3"/>
        <v>0</v>
      </c>
      <c r="BS22" s="539">
        <f t="shared" si="3"/>
        <v>0</v>
      </c>
      <c r="BT22" s="539">
        <f t="shared" si="3"/>
        <v>0</v>
      </c>
      <c r="BU22" s="539">
        <f t="shared" si="3"/>
        <v>0</v>
      </c>
      <c r="BV22" s="539">
        <f t="shared" si="3"/>
        <v>0</v>
      </c>
      <c r="BW22" s="539">
        <f t="shared" si="3"/>
        <v>0</v>
      </c>
      <c r="BX22" s="539">
        <f t="shared" si="3"/>
        <v>0</v>
      </c>
      <c r="BY22" s="539">
        <f t="shared" si="3"/>
        <v>0</v>
      </c>
      <c r="BZ22" s="539">
        <f t="shared" si="3"/>
        <v>0</v>
      </c>
      <c r="CA22" s="539">
        <f t="shared" si="3"/>
        <v>0</v>
      </c>
      <c r="CB22" s="539">
        <f t="shared" si="3"/>
        <v>0</v>
      </c>
      <c r="CC22" s="539">
        <f t="shared" si="3"/>
        <v>0</v>
      </c>
      <c r="CD22" s="539">
        <f t="shared" si="3"/>
        <v>0</v>
      </c>
      <c r="CE22" s="539">
        <f t="shared" si="3"/>
        <v>0</v>
      </c>
      <c r="CF22" s="539">
        <f t="shared" si="3"/>
        <v>0</v>
      </c>
      <c r="CG22" s="539">
        <f t="shared" si="3"/>
        <v>0</v>
      </c>
      <c r="CH22" s="539">
        <f t="shared" si="3"/>
        <v>0</v>
      </c>
      <c r="CI22" s="539">
        <f t="shared" si="3"/>
        <v>0</v>
      </c>
      <c r="CJ22" s="539">
        <f t="shared" si="3"/>
        <v>0</v>
      </c>
      <c r="CK22" s="539">
        <f t="shared" si="3"/>
        <v>0</v>
      </c>
      <c r="CL22" s="539">
        <f t="shared" si="3"/>
        <v>0</v>
      </c>
      <c r="CM22" s="539">
        <f t="shared" si="3"/>
        <v>0</v>
      </c>
      <c r="CN22" s="539">
        <f t="shared" si="3"/>
        <v>0</v>
      </c>
      <c r="CO22" s="539">
        <f t="shared" si="3"/>
        <v>0</v>
      </c>
      <c r="CP22" s="539">
        <f t="shared" si="3"/>
        <v>0</v>
      </c>
      <c r="CQ22" s="539">
        <f t="shared" si="3"/>
        <v>0</v>
      </c>
      <c r="CR22" s="539">
        <f t="shared" si="3"/>
        <v>0</v>
      </c>
      <c r="CS22" s="539">
        <f t="shared" si="3"/>
        <v>0</v>
      </c>
      <c r="CT22" s="539">
        <f t="shared" si="3"/>
        <v>0</v>
      </c>
      <c r="CU22" s="539">
        <f t="shared" si="3"/>
        <v>0</v>
      </c>
      <c r="CV22" s="539">
        <f t="shared" si="3"/>
        <v>0</v>
      </c>
      <c r="CW22" s="539">
        <f t="shared" si="3"/>
        <v>0</v>
      </c>
      <c r="CX22" s="539">
        <f t="shared" si="3"/>
        <v>0</v>
      </c>
      <c r="CY22" s="539">
        <f t="shared" si="3"/>
        <v>0</v>
      </c>
      <c r="CZ22" s="539">
        <f t="shared" si="3"/>
        <v>0</v>
      </c>
      <c r="DA22" s="539">
        <f t="shared" si="3"/>
        <v>0</v>
      </c>
      <c r="DB22" s="539">
        <f t="shared" si="3"/>
        <v>0</v>
      </c>
      <c r="DC22" s="539">
        <f t="shared" si="3"/>
        <v>0</v>
      </c>
      <c r="DD22" s="539">
        <f t="shared" si="3"/>
        <v>0</v>
      </c>
      <c r="DE22" s="539">
        <f t="shared" si="3"/>
        <v>0</v>
      </c>
      <c r="DF22" s="539">
        <f t="shared" si="3"/>
        <v>0</v>
      </c>
      <c r="DG22" s="539">
        <f t="shared" si="3"/>
        <v>0</v>
      </c>
      <c r="DH22" s="539">
        <f t="shared" si="3"/>
        <v>0</v>
      </c>
      <c r="DI22" s="539">
        <f t="shared" si="3"/>
        <v>0</v>
      </c>
      <c r="DJ22" s="539">
        <f t="shared" si="3"/>
        <v>0</v>
      </c>
      <c r="DK22" s="539">
        <f t="shared" si="3"/>
        <v>0</v>
      </c>
      <c r="DL22" s="539">
        <f t="shared" si="3"/>
        <v>0</v>
      </c>
      <c r="DM22" s="539">
        <f t="shared" si="3"/>
        <v>0</v>
      </c>
      <c r="DN22" s="539">
        <f t="shared" si="3"/>
        <v>0</v>
      </c>
      <c r="DO22" s="539">
        <f t="shared" si="3"/>
        <v>0</v>
      </c>
      <c r="DP22" s="539">
        <f t="shared" si="3"/>
        <v>0</v>
      </c>
      <c r="DQ22" s="539">
        <f t="shared" si="3"/>
        <v>0</v>
      </c>
      <c r="DR22" s="539">
        <f t="shared" si="3"/>
        <v>0</v>
      </c>
      <c r="DS22" s="539">
        <f t="shared" si="3"/>
        <v>0</v>
      </c>
      <c r="DT22" s="539">
        <f t="shared" si="3"/>
        <v>0</v>
      </c>
      <c r="DU22" s="539">
        <f t="shared" si="3"/>
        <v>0</v>
      </c>
      <c r="DV22" s="539">
        <f t="shared" si="3"/>
        <v>0</v>
      </c>
      <c r="DW22" s="539">
        <f t="shared" si="3"/>
        <v>0</v>
      </c>
      <c r="DX22" s="539">
        <f t="shared" si="3"/>
        <v>0</v>
      </c>
      <c r="DY22" s="539">
        <f t="shared" si="3"/>
        <v>0</v>
      </c>
      <c r="DZ22" s="539">
        <f t="shared" si="3"/>
        <v>0</v>
      </c>
      <c r="EA22" s="539">
        <f t="shared" si="3"/>
        <v>0</v>
      </c>
      <c r="EB22" s="539">
        <f t="shared" si="3"/>
        <v>0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4" spans="2:2" ht="12.75">
      <c r="B24" s="534" t="s">
        <v>204</v>
      </c>
    </row>
    <row r="25" spans="5:7" ht="12.75">
      <c r="E25" s="535" t="str">
        <f>InpC!E$31</f>
        <v>Contingency - share of packages</v>
      </c>
      <c r="F25" s="542">
        <f>InpC!F$31</f>
        <v>0.050000000000000003</v>
      </c>
      <c r="G25" s="542" t="str">
        <f>InpC!G$31</f>
        <v>%</v>
      </c>
    </row>
    <row r="26" spans="5:137" ht="12.75">
      <c r="E26" s="538" t="str">
        <f>E$19</f>
        <v>Capex package 1 - spend</v>
      </c>
      <c r="G26" s="539" t="str">
        <f>G$19</f>
        <v>EUR 000s</v>
      </c>
      <c r="H26" s="539">
        <f>H$19</f>
        <v>120000</v>
      </c>
      <c r="J26" s="539">
        <f t="shared" si="4" ref="J26:EG26">J$19</f>
        <v>0</v>
      </c>
      <c r="K26" s="539">
        <f t="shared" si="4"/>
        <v>0</v>
      </c>
      <c r="L26" s="539">
        <f t="shared" si="4"/>
        <v>0</v>
      </c>
      <c r="M26" s="539">
        <f t="shared" si="4"/>
        <v>1406.25</v>
      </c>
      <c r="N26" s="539">
        <f t="shared" si="4"/>
        <v>2343.75</v>
      </c>
      <c r="O26" s="539">
        <f t="shared" si="4"/>
        <v>3281.25</v>
      </c>
      <c r="P26" s="539">
        <f t="shared" si="4"/>
        <v>4218.75</v>
      </c>
      <c r="Q26" s="539">
        <f t="shared" si="4"/>
        <v>5156.25</v>
      </c>
      <c r="R26" s="539">
        <f t="shared" si="4"/>
        <v>6093.75</v>
      </c>
      <c r="S26" s="539">
        <f t="shared" si="4"/>
        <v>7031.25</v>
      </c>
      <c r="T26" s="539">
        <f t="shared" si="4"/>
        <v>7968.75</v>
      </c>
      <c r="U26" s="539">
        <f t="shared" si="4"/>
        <v>8906.25</v>
      </c>
      <c r="V26" s="539">
        <f t="shared" si="4"/>
        <v>8906.25</v>
      </c>
      <c r="W26" s="539">
        <f t="shared" si="4"/>
        <v>9375</v>
      </c>
      <c r="X26" s="539">
        <f t="shared" si="4"/>
        <v>8906.25</v>
      </c>
      <c r="Y26" s="539">
        <f t="shared" si="4"/>
        <v>8906.25</v>
      </c>
      <c r="Z26" s="539">
        <f t="shared" si="4"/>
        <v>7968.75</v>
      </c>
      <c r="AA26" s="539">
        <f t="shared" si="4"/>
        <v>7031.25</v>
      </c>
      <c r="AB26" s="539">
        <f t="shared" si="4"/>
        <v>6093.75</v>
      </c>
      <c r="AC26" s="539">
        <f t="shared" si="4"/>
        <v>5156.25</v>
      </c>
      <c r="AD26" s="539">
        <f t="shared" si="4"/>
        <v>4218.75</v>
      </c>
      <c r="AE26" s="539">
        <f t="shared" si="4"/>
        <v>3281.25</v>
      </c>
      <c r="AF26" s="539">
        <f t="shared" si="4"/>
        <v>2343.75</v>
      </c>
      <c r="AG26" s="539">
        <f t="shared" si="4"/>
        <v>1406.25</v>
      </c>
      <c r="AH26" s="539">
        <f t="shared" si="4"/>
        <v>0</v>
      </c>
      <c r="AI26" s="539">
        <f t="shared" si="4"/>
        <v>0</v>
      </c>
      <c r="AJ26" s="539">
        <f t="shared" si="4"/>
        <v>0</v>
      </c>
      <c r="AK26" s="539">
        <f t="shared" si="4"/>
        <v>0</v>
      </c>
      <c r="AL26" s="539">
        <f t="shared" si="4"/>
        <v>0</v>
      </c>
      <c r="AM26" s="539">
        <f t="shared" si="4"/>
        <v>0</v>
      </c>
      <c r="AN26" s="539">
        <f t="shared" si="4"/>
        <v>0</v>
      </c>
      <c r="AO26" s="539">
        <f t="shared" si="4"/>
        <v>0</v>
      </c>
      <c r="AP26" s="539">
        <f t="shared" si="4"/>
        <v>0</v>
      </c>
      <c r="AQ26" s="539">
        <f t="shared" si="4"/>
        <v>0</v>
      </c>
      <c r="AR26" s="539">
        <f t="shared" si="4"/>
        <v>0</v>
      </c>
      <c r="AS26" s="539">
        <f t="shared" si="4"/>
        <v>0</v>
      </c>
      <c r="AT26" s="539">
        <f t="shared" si="4"/>
        <v>0</v>
      </c>
      <c r="AU26" s="539">
        <f t="shared" si="4"/>
        <v>0</v>
      </c>
      <c r="AV26" s="539">
        <f t="shared" si="4"/>
        <v>0</v>
      </c>
      <c r="AW26" s="539">
        <f t="shared" si="4"/>
        <v>0</v>
      </c>
      <c r="AX26" s="539">
        <f t="shared" si="4"/>
        <v>0</v>
      </c>
      <c r="AY26" s="539">
        <f t="shared" si="4"/>
        <v>0</v>
      </c>
      <c r="AZ26" s="539">
        <f t="shared" si="4"/>
        <v>0</v>
      </c>
      <c r="BA26" s="539">
        <f t="shared" si="4"/>
        <v>0</v>
      </c>
      <c r="BB26" s="539">
        <f t="shared" si="4"/>
        <v>0</v>
      </c>
      <c r="BC26" s="539">
        <f t="shared" si="4"/>
        <v>0</v>
      </c>
      <c r="BD26" s="539">
        <f t="shared" si="4"/>
        <v>0</v>
      </c>
      <c r="BE26" s="539">
        <f t="shared" si="4"/>
        <v>0</v>
      </c>
      <c r="BF26" s="539">
        <f t="shared" si="4"/>
        <v>0</v>
      </c>
      <c r="BG26" s="539">
        <f t="shared" si="4"/>
        <v>0</v>
      </c>
      <c r="BH26" s="539">
        <f t="shared" si="4"/>
        <v>0</v>
      </c>
      <c r="BI26" s="539">
        <f t="shared" si="4"/>
        <v>0</v>
      </c>
      <c r="BJ26" s="539">
        <f t="shared" si="4"/>
        <v>0</v>
      </c>
      <c r="BK26" s="539">
        <f t="shared" si="4"/>
        <v>0</v>
      </c>
      <c r="BL26" s="539">
        <f t="shared" si="4"/>
        <v>0</v>
      </c>
      <c r="BM26" s="539">
        <f t="shared" si="4"/>
        <v>0</v>
      </c>
      <c r="BN26" s="539">
        <f t="shared" si="4"/>
        <v>0</v>
      </c>
      <c r="BO26" s="539">
        <f t="shared" si="4"/>
        <v>0</v>
      </c>
      <c r="BP26" s="539">
        <f t="shared" si="4"/>
        <v>0</v>
      </c>
      <c r="BQ26" s="539">
        <f t="shared" si="4"/>
        <v>0</v>
      </c>
      <c r="BR26" s="539">
        <f t="shared" si="4"/>
        <v>0</v>
      </c>
      <c r="BS26" s="539">
        <f t="shared" si="4"/>
        <v>0</v>
      </c>
      <c r="BT26" s="539">
        <f t="shared" si="4"/>
        <v>0</v>
      </c>
      <c r="BU26" s="539">
        <f t="shared" si="4"/>
        <v>0</v>
      </c>
      <c r="BV26" s="539">
        <f t="shared" si="4"/>
        <v>0</v>
      </c>
      <c r="BW26" s="539">
        <f t="shared" si="4"/>
        <v>0</v>
      </c>
      <c r="BX26" s="539">
        <f t="shared" si="4"/>
        <v>0</v>
      </c>
      <c r="BY26" s="539">
        <f t="shared" si="4"/>
        <v>0</v>
      </c>
      <c r="BZ26" s="539">
        <f t="shared" si="4"/>
        <v>0</v>
      </c>
      <c r="CA26" s="539">
        <f t="shared" si="4"/>
        <v>0</v>
      </c>
      <c r="CB26" s="539">
        <f t="shared" si="4"/>
        <v>0</v>
      </c>
      <c r="CC26" s="539">
        <f t="shared" si="4"/>
        <v>0</v>
      </c>
      <c r="CD26" s="539">
        <f t="shared" si="4"/>
        <v>0</v>
      </c>
      <c r="CE26" s="539">
        <f t="shared" si="4"/>
        <v>0</v>
      </c>
      <c r="CF26" s="539">
        <f t="shared" si="4"/>
        <v>0</v>
      </c>
      <c r="CG26" s="539">
        <f t="shared" si="4"/>
        <v>0</v>
      </c>
      <c r="CH26" s="539">
        <f t="shared" si="4"/>
        <v>0</v>
      </c>
      <c r="CI26" s="539">
        <f t="shared" si="4"/>
        <v>0</v>
      </c>
      <c r="CJ26" s="539">
        <f t="shared" si="4"/>
        <v>0</v>
      </c>
      <c r="CK26" s="539">
        <f t="shared" si="4"/>
        <v>0</v>
      </c>
      <c r="CL26" s="539">
        <f t="shared" si="4"/>
        <v>0</v>
      </c>
      <c r="CM26" s="539">
        <f t="shared" si="4"/>
        <v>0</v>
      </c>
      <c r="CN26" s="539">
        <f t="shared" si="4"/>
        <v>0</v>
      </c>
      <c r="CO26" s="539">
        <f t="shared" si="4"/>
        <v>0</v>
      </c>
      <c r="CP26" s="539">
        <f t="shared" si="4"/>
        <v>0</v>
      </c>
      <c r="CQ26" s="539">
        <f t="shared" si="4"/>
        <v>0</v>
      </c>
      <c r="CR26" s="539">
        <f t="shared" si="4"/>
        <v>0</v>
      </c>
      <c r="CS26" s="539">
        <f t="shared" si="4"/>
        <v>0</v>
      </c>
      <c r="CT26" s="539">
        <f t="shared" si="4"/>
        <v>0</v>
      </c>
      <c r="CU26" s="539">
        <f t="shared" si="4"/>
        <v>0</v>
      </c>
      <c r="CV26" s="539">
        <f t="shared" si="4"/>
        <v>0</v>
      </c>
      <c r="CW26" s="539">
        <f t="shared" si="4"/>
        <v>0</v>
      </c>
      <c r="CX26" s="539">
        <f t="shared" si="4"/>
        <v>0</v>
      </c>
      <c r="CY26" s="539">
        <f t="shared" si="4"/>
        <v>0</v>
      </c>
      <c r="CZ26" s="539">
        <f t="shared" si="4"/>
        <v>0</v>
      </c>
      <c r="DA26" s="539">
        <f t="shared" si="4"/>
        <v>0</v>
      </c>
      <c r="DB26" s="539">
        <f t="shared" si="4"/>
        <v>0</v>
      </c>
      <c r="DC26" s="539">
        <f t="shared" si="4"/>
        <v>0</v>
      </c>
      <c r="DD26" s="539">
        <f t="shared" si="4"/>
        <v>0</v>
      </c>
      <c r="DE26" s="539">
        <f t="shared" si="4"/>
        <v>0</v>
      </c>
      <c r="DF26" s="539">
        <f t="shared" si="4"/>
        <v>0</v>
      </c>
      <c r="DG26" s="539">
        <f t="shared" si="4"/>
        <v>0</v>
      </c>
      <c r="DH26" s="539">
        <f t="shared" si="4"/>
        <v>0</v>
      </c>
      <c r="DI26" s="539">
        <f t="shared" si="4"/>
        <v>0</v>
      </c>
      <c r="DJ26" s="539">
        <f t="shared" si="4"/>
        <v>0</v>
      </c>
      <c r="DK26" s="539">
        <f t="shared" si="4"/>
        <v>0</v>
      </c>
      <c r="DL26" s="539">
        <f t="shared" si="4"/>
        <v>0</v>
      </c>
      <c r="DM26" s="539">
        <f t="shared" si="4"/>
        <v>0</v>
      </c>
      <c r="DN26" s="539">
        <f t="shared" si="4"/>
        <v>0</v>
      </c>
      <c r="DO26" s="539">
        <f t="shared" si="4"/>
        <v>0</v>
      </c>
      <c r="DP26" s="539">
        <f t="shared" si="4"/>
        <v>0</v>
      </c>
      <c r="DQ26" s="539">
        <f t="shared" si="4"/>
        <v>0</v>
      </c>
      <c r="DR26" s="539">
        <f t="shared" si="4"/>
        <v>0</v>
      </c>
      <c r="DS26" s="539">
        <f t="shared" si="4"/>
        <v>0</v>
      </c>
      <c r="DT26" s="539">
        <f t="shared" si="4"/>
        <v>0</v>
      </c>
      <c r="DU26" s="539">
        <f t="shared" si="4"/>
        <v>0</v>
      </c>
      <c r="DV26" s="539">
        <f t="shared" si="4"/>
        <v>0</v>
      </c>
      <c r="DW26" s="539">
        <f t="shared" si="4"/>
        <v>0</v>
      </c>
      <c r="DX26" s="539">
        <f t="shared" si="4"/>
        <v>0</v>
      </c>
      <c r="DY26" s="539">
        <f t="shared" si="4"/>
        <v>0</v>
      </c>
      <c r="DZ26" s="539">
        <f t="shared" si="4"/>
        <v>0</v>
      </c>
      <c r="EA26" s="539">
        <f t="shared" si="4"/>
        <v>0</v>
      </c>
      <c r="EB26" s="539">
        <f t="shared" si="4"/>
        <v>0</v>
      </c>
      <c r="EC26" s="539">
        <f t="shared" si="4"/>
        <v>0</v>
      </c>
      <c r="ED26" s="539">
        <f t="shared" si="4"/>
        <v>0</v>
      </c>
      <c r="EE26" s="539">
        <f t="shared" si="4"/>
        <v>0</v>
      </c>
      <c r="EF26" s="539">
        <f t="shared" si="4"/>
        <v>0</v>
      </c>
      <c r="EG26" s="539">
        <f t="shared" si="4"/>
        <v>0</v>
      </c>
    </row>
    <row r="27" spans="5:137" ht="12.75">
      <c r="E27" s="538" t="str">
        <f>E$20</f>
        <v>Capex package 2 - spend</v>
      </c>
      <c r="G27" s="539" t="str">
        <f>G$20</f>
        <v>EUR 000s</v>
      </c>
      <c r="H27" s="539">
        <f>H$20</f>
        <v>80000</v>
      </c>
      <c r="J27" s="539">
        <f t="shared" si="5" ref="J27:EG27">J$20</f>
        <v>0</v>
      </c>
      <c r="K27" s="539">
        <f t="shared" si="5"/>
        <v>0</v>
      </c>
      <c r="L27" s="539">
        <f t="shared" si="5"/>
        <v>0</v>
      </c>
      <c r="M27" s="539">
        <f t="shared" si="5"/>
        <v>11250</v>
      </c>
      <c r="N27" s="539">
        <f t="shared" si="5"/>
        <v>10625</v>
      </c>
      <c r="O27" s="539">
        <f t="shared" si="5"/>
        <v>9375</v>
      </c>
      <c r="P27" s="539">
        <f t="shared" si="5"/>
        <v>8750</v>
      </c>
      <c r="Q27" s="539">
        <f t="shared" si="5"/>
        <v>7500</v>
      </c>
      <c r="R27" s="539">
        <f t="shared" si="5"/>
        <v>6875</v>
      </c>
      <c r="S27" s="539">
        <f t="shared" si="5"/>
        <v>6250</v>
      </c>
      <c r="T27" s="539">
        <f t="shared" si="5"/>
        <v>5625</v>
      </c>
      <c r="U27" s="539">
        <f t="shared" si="5"/>
        <v>5000</v>
      </c>
      <c r="V27" s="539">
        <f t="shared" si="5"/>
        <v>3750</v>
      </c>
      <c r="W27" s="539">
        <f t="shared" si="5"/>
        <v>3125</v>
      </c>
      <c r="X27" s="539">
        <f t="shared" si="5"/>
        <v>1875</v>
      </c>
      <c r="Y27" s="539">
        <f t="shared" si="5"/>
        <v>0</v>
      </c>
      <c r="Z27" s="539">
        <f t="shared" si="5"/>
        <v>0</v>
      </c>
      <c r="AA27" s="539">
        <f t="shared" si="5"/>
        <v>0</v>
      </c>
      <c r="AB27" s="539">
        <f t="shared" si="5"/>
        <v>0</v>
      </c>
      <c r="AC27" s="539">
        <f t="shared" si="5"/>
        <v>0</v>
      </c>
      <c r="AD27" s="539">
        <f t="shared" si="5"/>
        <v>0</v>
      </c>
      <c r="AE27" s="539">
        <f t="shared" si="5"/>
        <v>0</v>
      </c>
      <c r="AF27" s="539">
        <f t="shared" si="5"/>
        <v>0</v>
      </c>
      <c r="AG27" s="539">
        <f t="shared" si="5"/>
        <v>0</v>
      </c>
      <c r="AH27" s="539">
        <f t="shared" si="5"/>
        <v>0</v>
      </c>
      <c r="AI27" s="539">
        <f t="shared" si="5"/>
        <v>0</v>
      </c>
      <c r="AJ27" s="539">
        <f t="shared" si="5"/>
        <v>0</v>
      </c>
      <c r="AK27" s="539">
        <f t="shared" si="5"/>
        <v>0</v>
      </c>
      <c r="AL27" s="539">
        <f t="shared" si="5"/>
        <v>0</v>
      </c>
      <c r="AM27" s="539">
        <f t="shared" si="5"/>
        <v>0</v>
      </c>
      <c r="AN27" s="539">
        <f t="shared" si="5"/>
        <v>0</v>
      </c>
      <c r="AO27" s="539">
        <f t="shared" si="5"/>
        <v>0</v>
      </c>
      <c r="AP27" s="539">
        <f t="shared" si="5"/>
        <v>0</v>
      </c>
      <c r="AQ27" s="539">
        <f t="shared" si="5"/>
        <v>0</v>
      </c>
      <c r="AR27" s="539">
        <f t="shared" si="5"/>
        <v>0</v>
      </c>
      <c r="AS27" s="539">
        <f t="shared" si="5"/>
        <v>0</v>
      </c>
      <c r="AT27" s="539">
        <f t="shared" si="5"/>
        <v>0</v>
      </c>
      <c r="AU27" s="539">
        <f t="shared" si="5"/>
        <v>0</v>
      </c>
      <c r="AV27" s="539">
        <f t="shared" si="5"/>
        <v>0</v>
      </c>
      <c r="AW27" s="539">
        <f t="shared" si="5"/>
        <v>0</v>
      </c>
      <c r="AX27" s="539">
        <f t="shared" si="5"/>
        <v>0</v>
      </c>
      <c r="AY27" s="539">
        <f t="shared" si="5"/>
        <v>0</v>
      </c>
      <c r="AZ27" s="539">
        <f t="shared" si="5"/>
        <v>0</v>
      </c>
      <c r="BA27" s="539">
        <f t="shared" si="5"/>
        <v>0</v>
      </c>
      <c r="BB27" s="539">
        <f t="shared" si="5"/>
        <v>0</v>
      </c>
      <c r="BC27" s="539">
        <f t="shared" si="5"/>
        <v>0</v>
      </c>
      <c r="BD27" s="539">
        <f t="shared" si="5"/>
        <v>0</v>
      </c>
      <c r="BE27" s="539">
        <f t="shared" si="5"/>
        <v>0</v>
      </c>
      <c r="BF27" s="539">
        <f t="shared" si="5"/>
        <v>0</v>
      </c>
      <c r="BG27" s="539">
        <f t="shared" si="5"/>
        <v>0</v>
      </c>
      <c r="BH27" s="539">
        <f t="shared" si="5"/>
        <v>0</v>
      </c>
      <c r="BI27" s="539">
        <f t="shared" si="5"/>
        <v>0</v>
      </c>
      <c r="BJ27" s="539">
        <f t="shared" si="5"/>
        <v>0</v>
      </c>
      <c r="BK27" s="539">
        <f t="shared" si="5"/>
        <v>0</v>
      </c>
      <c r="BL27" s="539">
        <f t="shared" si="5"/>
        <v>0</v>
      </c>
      <c r="BM27" s="539">
        <f t="shared" si="5"/>
        <v>0</v>
      </c>
      <c r="BN27" s="539">
        <f t="shared" si="5"/>
        <v>0</v>
      </c>
      <c r="BO27" s="539">
        <f t="shared" si="5"/>
        <v>0</v>
      </c>
      <c r="BP27" s="539">
        <f t="shared" si="5"/>
        <v>0</v>
      </c>
      <c r="BQ27" s="539">
        <f t="shared" si="5"/>
        <v>0</v>
      </c>
      <c r="BR27" s="539">
        <f t="shared" si="5"/>
        <v>0</v>
      </c>
      <c r="BS27" s="539">
        <f t="shared" si="5"/>
        <v>0</v>
      </c>
      <c r="BT27" s="539">
        <f t="shared" si="5"/>
        <v>0</v>
      </c>
      <c r="BU27" s="539">
        <f t="shared" si="5"/>
        <v>0</v>
      </c>
      <c r="BV27" s="539">
        <f t="shared" si="5"/>
        <v>0</v>
      </c>
      <c r="BW27" s="539">
        <f t="shared" si="5"/>
        <v>0</v>
      </c>
      <c r="BX27" s="539">
        <f t="shared" si="5"/>
        <v>0</v>
      </c>
      <c r="BY27" s="539">
        <f t="shared" si="5"/>
        <v>0</v>
      </c>
      <c r="BZ27" s="539">
        <f t="shared" si="5"/>
        <v>0</v>
      </c>
      <c r="CA27" s="539">
        <f t="shared" si="5"/>
        <v>0</v>
      </c>
      <c r="CB27" s="539">
        <f t="shared" si="5"/>
        <v>0</v>
      </c>
      <c r="CC27" s="539">
        <f t="shared" si="5"/>
        <v>0</v>
      </c>
      <c r="CD27" s="539">
        <f t="shared" si="5"/>
        <v>0</v>
      </c>
      <c r="CE27" s="539">
        <f t="shared" si="5"/>
        <v>0</v>
      </c>
      <c r="CF27" s="539">
        <f t="shared" si="5"/>
        <v>0</v>
      </c>
      <c r="CG27" s="539">
        <f t="shared" si="5"/>
        <v>0</v>
      </c>
      <c r="CH27" s="539">
        <f t="shared" si="5"/>
        <v>0</v>
      </c>
      <c r="CI27" s="539">
        <f t="shared" si="5"/>
        <v>0</v>
      </c>
      <c r="CJ27" s="539">
        <f t="shared" si="5"/>
        <v>0</v>
      </c>
      <c r="CK27" s="539">
        <f t="shared" si="5"/>
        <v>0</v>
      </c>
      <c r="CL27" s="539">
        <f t="shared" si="5"/>
        <v>0</v>
      </c>
      <c r="CM27" s="539">
        <f t="shared" si="5"/>
        <v>0</v>
      </c>
      <c r="CN27" s="539">
        <f t="shared" si="5"/>
        <v>0</v>
      </c>
      <c r="CO27" s="539">
        <f t="shared" si="5"/>
        <v>0</v>
      </c>
      <c r="CP27" s="539">
        <f t="shared" si="5"/>
        <v>0</v>
      </c>
      <c r="CQ27" s="539">
        <f t="shared" si="5"/>
        <v>0</v>
      </c>
      <c r="CR27" s="539">
        <f t="shared" si="5"/>
        <v>0</v>
      </c>
      <c r="CS27" s="539">
        <f t="shared" si="5"/>
        <v>0</v>
      </c>
      <c r="CT27" s="539">
        <f t="shared" si="5"/>
        <v>0</v>
      </c>
      <c r="CU27" s="539">
        <f t="shared" si="5"/>
        <v>0</v>
      </c>
      <c r="CV27" s="539">
        <f t="shared" si="5"/>
        <v>0</v>
      </c>
      <c r="CW27" s="539">
        <f t="shared" si="5"/>
        <v>0</v>
      </c>
      <c r="CX27" s="539">
        <f t="shared" si="5"/>
        <v>0</v>
      </c>
      <c r="CY27" s="539">
        <f t="shared" si="5"/>
        <v>0</v>
      </c>
      <c r="CZ27" s="539">
        <f t="shared" si="5"/>
        <v>0</v>
      </c>
      <c r="DA27" s="539">
        <f t="shared" si="5"/>
        <v>0</v>
      </c>
      <c r="DB27" s="539">
        <f t="shared" si="5"/>
        <v>0</v>
      </c>
      <c r="DC27" s="539">
        <f t="shared" si="5"/>
        <v>0</v>
      </c>
      <c r="DD27" s="539">
        <f t="shared" si="5"/>
        <v>0</v>
      </c>
      <c r="DE27" s="539">
        <f t="shared" si="5"/>
        <v>0</v>
      </c>
      <c r="DF27" s="539">
        <f t="shared" si="5"/>
        <v>0</v>
      </c>
      <c r="DG27" s="539">
        <f t="shared" si="5"/>
        <v>0</v>
      </c>
      <c r="DH27" s="539">
        <f t="shared" si="5"/>
        <v>0</v>
      </c>
      <c r="DI27" s="539">
        <f t="shared" si="5"/>
        <v>0</v>
      </c>
      <c r="DJ27" s="539">
        <f t="shared" si="5"/>
        <v>0</v>
      </c>
      <c r="DK27" s="539">
        <f t="shared" si="5"/>
        <v>0</v>
      </c>
      <c r="DL27" s="539">
        <f t="shared" si="5"/>
        <v>0</v>
      </c>
      <c r="DM27" s="539">
        <f t="shared" si="5"/>
        <v>0</v>
      </c>
      <c r="DN27" s="539">
        <f t="shared" si="5"/>
        <v>0</v>
      </c>
      <c r="DO27" s="539">
        <f t="shared" si="5"/>
        <v>0</v>
      </c>
      <c r="DP27" s="539">
        <f t="shared" si="5"/>
        <v>0</v>
      </c>
      <c r="DQ27" s="539">
        <f t="shared" si="5"/>
        <v>0</v>
      </c>
      <c r="DR27" s="539">
        <f t="shared" si="5"/>
        <v>0</v>
      </c>
      <c r="DS27" s="539">
        <f t="shared" si="5"/>
        <v>0</v>
      </c>
      <c r="DT27" s="539">
        <f t="shared" si="5"/>
        <v>0</v>
      </c>
      <c r="DU27" s="539">
        <f t="shared" si="5"/>
        <v>0</v>
      </c>
      <c r="DV27" s="539">
        <f t="shared" si="5"/>
        <v>0</v>
      </c>
      <c r="DW27" s="539">
        <f t="shared" si="5"/>
        <v>0</v>
      </c>
      <c r="DX27" s="539">
        <f t="shared" si="5"/>
        <v>0</v>
      </c>
      <c r="DY27" s="539">
        <f t="shared" si="5"/>
        <v>0</v>
      </c>
      <c r="DZ27" s="539">
        <f t="shared" si="5"/>
        <v>0</v>
      </c>
      <c r="EA27" s="539">
        <f t="shared" si="5"/>
        <v>0</v>
      </c>
      <c r="EB27" s="539">
        <f t="shared" si="5"/>
        <v>0</v>
      </c>
      <c r="EC27" s="539">
        <f t="shared" si="5"/>
        <v>0</v>
      </c>
      <c r="ED27" s="539">
        <f t="shared" si="5"/>
        <v>0</v>
      </c>
      <c r="EE27" s="539">
        <f t="shared" si="5"/>
        <v>0</v>
      </c>
      <c r="EF27" s="539">
        <f t="shared" si="5"/>
        <v>0</v>
      </c>
      <c r="EG27" s="539">
        <f t="shared" si="5"/>
        <v>0</v>
      </c>
    </row>
    <row r="28" spans="5:137" ht="12.75">
      <c r="E28" s="538" t="str">
        <f>E$21</f>
        <v>Capex package 3 - spend</v>
      </c>
      <c r="G28" s="539" t="str">
        <f>G$21</f>
        <v>EUR 000s</v>
      </c>
      <c r="H28" s="539">
        <f>H$21</f>
        <v>45000</v>
      </c>
      <c r="J28" s="539">
        <f t="shared" si="6" ref="J28:EG28">J$21</f>
        <v>0</v>
      </c>
      <c r="K28" s="539">
        <f t="shared" si="6"/>
        <v>0</v>
      </c>
      <c r="L28" s="539">
        <f t="shared" si="6"/>
        <v>0</v>
      </c>
      <c r="M28" s="539">
        <f t="shared" si="6"/>
        <v>0</v>
      </c>
      <c r="N28" s="539">
        <f t="shared" si="6"/>
        <v>0</v>
      </c>
      <c r="O28" s="539">
        <f t="shared" si="6"/>
        <v>0</v>
      </c>
      <c r="P28" s="539">
        <f t="shared" si="6"/>
        <v>0</v>
      </c>
      <c r="Q28" s="539">
        <f t="shared" si="6"/>
        <v>0</v>
      </c>
      <c r="R28" s="539">
        <f t="shared" si="6"/>
        <v>3164.0625</v>
      </c>
      <c r="S28" s="539">
        <f t="shared" si="6"/>
        <v>3515.625</v>
      </c>
      <c r="T28" s="539">
        <f t="shared" si="6"/>
        <v>3515.625</v>
      </c>
      <c r="U28" s="539">
        <f t="shared" si="6"/>
        <v>3515.625</v>
      </c>
      <c r="V28" s="539">
        <f t="shared" si="6"/>
        <v>3515.625</v>
      </c>
      <c r="W28" s="539">
        <f t="shared" si="6"/>
        <v>3515.625</v>
      </c>
      <c r="X28" s="539">
        <f t="shared" si="6"/>
        <v>3515.625</v>
      </c>
      <c r="Y28" s="539">
        <f t="shared" si="6"/>
        <v>3515.625</v>
      </c>
      <c r="Z28" s="539">
        <f t="shared" si="6"/>
        <v>3515.625</v>
      </c>
      <c r="AA28" s="539">
        <f t="shared" si="6"/>
        <v>3515.625</v>
      </c>
      <c r="AB28" s="539">
        <f t="shared" si="6"/>
        <v>3515.625</v>
      </c>
      <c r="AC28" s="539">
        <f t="shared" si="6"/>
        <v>3515.625</v>
      </c>
      <c r="AD28" s="539">
        <f t="shared" si="6"/>
        <v>3164.0625</v>
      </c>
      <c r="AE28" s="539">
        <f t="shared" si="6"/>
        <v>0</v>
      </c>
      <c r="AF28" s="539">
        <f t="shared" si="6"/>
        <v>0</v>
      </c>
      <c r="AG28" s="539">
        <f t="shared" si="6"/>
        <v>0</v>
      </c>
      <c r="AH28" s="539">
        <f t="shared" si="6"/>
        <v>0</v>
      </c>
      <c r="AI28" s="539">
        <f t="shared" si="6"/>
        <v>0</v>
      </c>
      <c r="AJ28" s="539">
        <f t="shared" si="6"/>
        <v>0</v>
      </c>
      <c r="AK28" s="539">
        <f t="shared" si="6"/>
        <v>0</v>
      </c>
      <c r="AL28" s="539">
        <f t="shared" si="6"/>
        <v>0</v>
      </c>
      <c r="AM28" s="539">
        <f t="shared" si="6"/>
        <v>0</v>
      </c>
      <c r="AN28" s="539">
        <f t="shared" si="6"/>
        <v>0</v>
      </c>
      <c r="AO28" s="539">
        <f t="shared" si="6"/>
        <v>0</v>
      </c>
      <c r="AP28" s="539">
        <f t="shared" si="6"/>
        <v>0</v>
      </c>
      <c r="AQ28" s="539">
        <f t="shared" si="6"/>
        <v>0</v>
      </c>
      <c r="AR28" s="539">
        <f t="shared" si="6"/>
        <v>0</v>
      </c>
      <c r="AS28" s="539">
        <f t="shared" si="6"/>
        <v>0</v>
      </c>
      <c r="AT28" s="539">
        <f t="shared" si="6"/>
        <v>0</v>
      </c>
      <c r="AU28" s="539">
        <f t="shared" si="6"/>
        <v>0</v>
      </c>
      <c r="AV28" s="539">
        <f t="shared" si="6"/>
        <v>0</v>
      </c>
      <c r="AW28" s="539">
        <f t="shared" si="6"/>
        <v>0</v>
      </c>
      <c r="AX28" s="539">
        <f t="shared" si="6"/>
        <v>0</v>
      </c>
      <c r="AY28" s="539">
        <f t="shared" si="6"/>
        <v>0</v>
      </c>
      <c r="AZ28" s="539">
        <f t="shared" si="6"/>
        <v>0</v>
      </c>
      <c r="BA28" s="539">
        <f t="shared" si="6"/>
        <v>0</v>
      </c>
      <c r="BB28" s="539">
        <f t="shared" si="6"/>
        <v>0</v>
      </c>
      <c r="BC28" s="539">
        <f t="shared" si="6"/>
        <v>0</v>
      </c>
      <c r="BD28" s="539">
        <f t="shared" si="6"/>
        <v>0</v>
      </c>
      <c r="BE28" s="539">
        <f t="shared" si="6"/>
        <v>0</v>
      </c>
      <c r="BF28" s="539">
        <f t="shared" si="6"/>
        <v>0</v>
      </c>
      <c r="BG28" s="539">
        <f t="shared" si="6"/>
        <v>0</v>
      </c>
      <c r="BH28" s="539">
        <f t="shared" si="6"/>
        <v>0</v>
      </c>
      <c r="BI28" s="539">
        <f t="shared" si="6"/>
        <v>0</v>
      </c>
      <c r="BJ28" s="539">
        <f t="shared" si="6"/>
        <v>0</v>
      </c>
      <c r="BK28" s="539">
        <f t="shared" si="6"/>
        <v>0</v>
      </c>
      <c r="BL28" s="539">
        <f t="shared" si="6"/>
        <v>0</v>
      </c>
      <c r="BM28" s="539">
        <f t="shared" si="6"/>
        <v>0</v>
      </c>
      <c r="BN28" s="539">
        <f t="shared" si="6"/>
        <v>0</v>
      </c>
      <c r="BO28" s="539">
        <f t="shared" si="6"/>
        <v>0</v>
      </c>
      <c r="BP28" s="539">
        <f t="shared" si="6"/>
        <v>0</v>
      </c>
      <c r="BQ28" s="539">
        <f t="shared" si="6"/>
        <v>0</v>
      </c>
      <c r="BR28" s="539">
        <f t="shared" si="6"/>
        <v>0</v>
      </c>
      <c r="BS28" s="539">
        <f t="shared" si="6"/>
        <v>0</v>
      </c>
      <c r="BT28" s="539">
        <f t="shared" si="6"/>
        <v>0</v>
      </c>
      <c r="BU28" s="539">
        <f t="shared" si="6"/>
        <v>0</v>
      </c>
      <c r="BV28" s="539">
        <f t="shared" si="6"/>
        <v>0</v>
      </c>
      <c r="BW28" s="539">
        <f t="shared" si="6"/>
        <v>0</v>
      </c>
      <c r="BX28" s="539">
        <f t="shared" si="6"/>
        <v>0</v>
      </c>
      <c r="BY28" s="539">
        <f t="shared" si="6"/>
        <v>0</v>
      </c>
      <c r="BZ28" s="539">
        <f t="shared" si="6"/>
        <v>0</v>
      </c>
      <c r="CA28" s="539">
        <f t="shared" si="6"/>
        <v>0</v>
      </c>
      <c r="CB28" s="539">
        <f t="shared" si="6"/>
        <v>0</v>
      </c>
      <c r="CC28" s="539">
        <f t="shared" si="6"/>
        <v>0</v>
      </c>
      <c r="CD28" s="539">
        <f t="shared" si="6"/>
        <v>0</v>
      </c>
      <c r="CE28" s="539">
        <f t="shared" si="6"/>
        <v>0</v>
      </c>
      <c r="CF28" s="539">
        <f t="shared" si="6"/>
        <v>0</v>
      </c>
      <c r="CG28" s="539">
        <f t="shared" si="6"/>
        <v>0</v>
      </c>
      <c r="CH28" s="539">
        <f t="shared" si="6"/>
        <v>0</v>
      </c>
      <c r="CI28" s="539">
        <f t="shared" si="6"/>
        <v>0</v>
      </c>
      <c r="CJ28" s="539">
        <f t="shared" si="6"/>
        <v>0</v>
      </c>
      <c r="CK28" s="539">
        <f t="shared" si="6"/>
        <v>0</v>
      </c>
      <c r="CL28" s="539">
        <f t="shared" si="6"/>
        <v>0</v>
      </c>
      <c r="CM28" s="539">
        <f t="shared" si="6"/>
        <v>0</v>
      </c>
      <c r="CN28" s="539">
        <f t="shared" si="6"/>
        <v>0</v>
      </c>
      <c r="CO28" s="539">
        <f t="shared" si="6"/>
        <v>0</v>
      </c>
      <c r="CP28" s="539">
        <f t="shared" si="6"/>
        <v>0</v>
      </c>
      <c r="CQ28" s="539">
        <f t="shared" si="6"/>
        <v>0</v>
      </c>
      <c r="CR28" s="539">
        <f t="shared" si="6"/>
        <v>0</v>
      </c>
      <c r="CS28" s="539">
        <f t="shared" si="6"/>
        <v>0</v>
      </c>
      <c r="CT28" s="539">
        <f t="shared" si="6"/>
        <v>0</v>
      </c>
      <c r="CU28" s="539">
        <f t="shared" si="6"/>
        <v>0</v>
      </c>
      <c r="CV28" s="539">
        <f t="shared" si="6"/>
        <v>0</v>
      </c>
      <c r="CW28" s="539">
        <f t="shared" si="6"/>
        <v>0</v>
      </c>
      <c r="CX28" s="539">
        <f t="shared" si="6"/>
        <v>0</v>
      </c>
      <c r="CY28" s="539">
        <f t="shared" si="6"/>
        <v>0</v>
      </c>
      <c r="CZ28" s="539">
        <f t="shared" si="6"/>
        <v>0</v>
      </c>
      <c r="DA28" s="539">
        <f t="shared" si="6"/>
        <v>0</v>
      </c>
      <c r="DB28" s="539">
        <f t="shared" si="6"/>
        <v>0</v>
      </c>
      <c r="DC28" s="539">
        <f t="shared" si="6"/>
        <v>0</v>
      </c>
      <c r="DD28" s="539">
        <f t="shared" si="6"/>
        <v>0</v>
      </c>
      <c r="DE28" s="539">
        <f t="shared" si="6"/>
        <v>0</v>
      </c>
      <c r="DF28" s="539">
        <f t="shared" si="6"/>
        <v>0</v>
      </c>
      <c r="DG28" s="539">
        <f t="shared" si="6"/>
        <v>0</v>
      </c>
      <c r="DH28" s="539">
        <f t="shared" si="6"/>
        <v>0</v>
      </c>
      <c r="DI28" s="539">
        <f t="shared" si="6"/>
        <v>0</v>
      </c>
      <c r="DJ28" s="539">
        <f t="shared" si="6"/>
        <v>0</v>
      </c>
      <c r="DK28" s="539">
        <f t="shared" si="6"/>
        <v>0</v>
      </c>
      <c r="DL28" s="539">
        <f t="shared" si="6"/>
        <v>0</v>
      </c>
      <c r="DM28" s="539">
        <f t="shared" si="6"/>
        <v>0</v>
      </c>
      <c r="DN28" s="539">
        <f t="shared" si="6"/>
        <v>0</v>
      </c>
      <c r="DO28" s="539">
        <f t="shared" si="6"/>
        <v>0</v>
      </c>
      <c r="DP28" s="539">
        <f t="shared" si="6"/>
        <v>0</v>
      </c>
      <c r="DQ28" s="539">
        <f t="shared" si="6"/>
        <v>0</v>
      </c>
      <c r="DR28" s="539">
        <f t="shared" si="6"/>
        <v>0</v>
      </c>
      <c r="DS28" s="539">
        <f t="shared" si="6"/>
        <v>0</v>
      </c>
      <c r="DT28" s="539">
        <f t="shared" si="6"/>
        <v>0</v>
      </c>
      <c r="DU28" s="539">
        <f t="shared" si="6"/>
        <v>0</v>
      </c>
      <c r="DV28" s="539">
        <f t="shared" si="6"/>
        <v>0</v>
      </c>
      <c r="DW28" s="539">
        <f t="shared" si="6"/>
        <v>0</v>
      </c>
      <c r="DX28" s="539">
        <f t="shared" si="6"/>
        <v>0</v>
      </c>
      <c r="DY28" s="539">
        <f t="shared" si="6"/>
        <v>0</v>
      </c>
      <c r="DZ28" s="539">
        <f t="shared" si="6"/>
        <v>0</v>
      </c>
      <c r="EA28" s="539">
        <f t="shared" si="6"/>
        <v>0</v>
      </c>
      <c r="EB28" s="539">
        <f t="shared" si="6"/>
        <v>0</v>
      </c>
      <c r="EC28" s="539">
        <f t="shared" si="6"/>
        <v>0</v>
      </c>
      <c r="ED28" s="539">
        <f t="shared" si="6"/>
        <v>0</v>
      </c>
      <c r="EE28" s="539">
        <f t="shared" si="6"/>
        <v>0</v>
      </c>
      <c r="EF28" s="539">
        <f t="shared" si="6"/>
        <v>0</v>
      </c>
      <c r="EG28" s="539">
        <f t="shared" si="6"/>
        <v>0</v>
      </c>
    </row>
    <row r="29" spans="5:137" ht="12.75">
      <c r="E29" s="538" t="str">
        <f>E$22</f>
        <v>Capex package 4 - spend</v>
      </c>
      <c r="G29" s="539" t="str">
        <f>G$22</f>
        <v>EUR 000s</v>
      </c>
      <c r="H29" s="539">
        <f>H$22</f>
        <v>25000</v>
      </c>
      <c r="J29" s="539">
        <f t="shared" si="7" ref="J29:EG29">J$22</f>
        <v>0</v>
      </c>
      <c r="K29" s="539">
        <f t="shared" si="7"/>
        <v>0</v>
      </c>
      <c r="L29" s="539">
        <f t="shared" si="7"/>
        <v>0</v>
      </c>
      <c r="M29" s="539">
        <f t="shared" si="7"/>
        <v>0</v>
      </c>
      <c r="N29" s="539">
        <f t="shared" si="7"/>
        <v>0</v>
      </c>
      <c r="O29" s="539">
        <f t="shared" si="7"/>
        <v>0</v>
      </c>
      <c r="P29" s="539">
        <f t="shared" si="7"/>
        <v>0</v>
      </c>
      <c r="Q29" s="539">
        <f t="shared" si="7"/>
        <v>0</v>
      </c>
      <c r="R29" s="539">
        <f t="shared" si="7"/>
        <v>0</v>
      </c>
      <c r="S29" s="539">
        <f t="shared" si="7"/>
        <v>0</v>
      </c>
      <c r="T29" s="539">
        <f t="shared" si="7"/>
        <v>0</v>
      </c>
      <c r="U29" s="539">
        <f t="shared" si="7"/>
        <v>0</v>
      </c>
      <c r="V29" s="539">
        <f t="shared" si="7"/>
        <v>0</v>
      </c>
      <c r="W29" s="539">
        <f t="shared" si="7"/>
        <v>0</v>
      </c>
      <c r="X29" s="539">
        <f t="shared" si="7"/>
        <v>0</v>
      </c>
      <c r="Y29" s="539">
        <f t="shared" si="7"/>
        <v>0</v>
      </c>
      <c r="Z29" s="539">
        <f t="shared" si="7"/>
        <v>0</v>
      </c>
      <c r="AA29" s="539">
        <f t="shared" si="7"/>
        <v>2343.75</v>
      </c>
      <c r="AB29" s="539">
        <f t="shared" si="7"/>
        <v>3906.25</v>
      </c>
      <c r="AC29" s="539">
        <f t="shared" si="7"/>
        <v>4687.5</v>
      </c>
      <c r="AD29" s="539">
        <f t="shared" si="7"/>
        <v>4687.5</v>
      </c>
      <c r="AE29" s="539">
        <f t="shared" si="7"/>
        <v>3906.25</v>
      </c>
      <c r="AF29" s="539">
        <f t="shared" si="7"/>
        <v>3125</v>
      </c>
      <c r="AG29" s="539">
        <f t="shared" si="7"/>
        <v>2343.75</v>
      </c>
      <c r="AH29" s="539">
        <f t="shared" si="7"/>
        <v>0</v>
      </c>
      <c r="AI29" s="539">
        <f t="shared" si="7"/>
        <v>0</v>
      </c>
      <c r="AJ29" s="539">
        <f t="shared" si="7"/>
        <v>0</v>
      </c>
      <c r="AK29" s="539">
        <f t="shared" si="7"/>
        <v>0</v>
      </c>
      <c r="AL29" s="539">
        <f t="shared" si="7"/>
        <v>0</v>
      </c>
      <c r="AM29" s="539">
        <f t="shared" si="7"/>
        <v>0</v>
      </c>
      <c r="AN29" s="539">
        <f t="shared" si="7"/>
        <v>0</v>
      </c>
      <c r="AO29" s="539">
        <f t="shared" si="7"/>
        <v>0</v>
      </c>
      <c r="AP29" s="539">
        <f t="shared" si="7"/>
        <v>0</v>
      </c>
      <c r="AQ29" s="539">
        <f t="shared" si="7"/>
        <v>0</v>
      </c>
      <c r="AR29" s="539">
        <f t="shared" si="7"/>
        <v>0</v>
      </c>
      <c r="AS29" s="539">
        <f t="shared" si="7"/>
        <v>0</v>
      </c>
      <c r="AT29" s="539">
        <f t="shared" si="7"/>
        <v>0</v>
      </c>
      <c r="AU29" s="539">
        <f t="shared" si="7"/>
        <v>0</v>
      </c>
      <c r="AV29" s="539">
        <f t="shared" si="7"/>
        <v>0</v>
      </c>
      <c r="AW29" s="539">
        <f t="shared" si="7"/>
        <v>0</v>
      </c>
      <c r="AX29" s="539">
        <f t="shared" si="7"/>
        <v>0</v>
      </c>
      <c r="AY29" s="539">
        <f t="shared" si="7"/>
        <v>0</v>
      </c>
      <c r="AZ29" s="539">
        <f t="shared" si="7"/>
        <v>0</v>
      </c>
      <c r="BA29" s="539">
        <f t="shared" si="7"/>
        <v>0</v>
      </c>
      <c r="BB29" s="539">
        <f t="shared" si="7"/>
        <v>0</v>
      </c>
      <c r="BC29" s="539">
        <f t="shared" si="7"/>
        <v>0</v>
      </c>
      <c r="BD29" s="539">
        <f t="shared" si="7"/>
        <v>0</v>
      </c>
      <c r="BE29" s="539">
        <f t="shared" si="7"/>
        <v>0</v>
      </c>
      <c r="BF29" s="539">
        <f t="shared" si="7"/>
        <v>0</v>
      </c>
      <c r="BG29" s="539">
        <f t="shared" si="7"/>
        <v>0</v>
      </c>
      <c r="BH29" s="539">
        <f t="shared" si="7"/>
        <v>0</v>
      </c>
      <c r="BI29" s="539">
        <f t="shared" si="7"/>
        <v>0</v>
      </c>
      <c r="BJ29" s="539">
        <f t="shared" si="7"/>
        <v>0</v>
      </c>
      <c r="BK29" s="539">
        <f t="shared" si="7"/>
        <v>0</v>
      </c>
      <c r="BL29" s="539">
        <f t="shared" si="7"/>
        <v>0</v>
      </c>
      <c r="BM29" s="539">
        <f t="shared" si="7"/>
        <v>0</v>
      </c>
      <c r="BN29" s="539">
        <f t="shared" si="7"/>
        <v>0</v>
      </c>
      <c r="BO29" s="539">
        <f t="shared" si="7"/>
        <v>0</v>
      </c>
      <c r="BP29" s="539">
        <f t="shared" si="7"/>
        <v>0</v>
      </c>
      <c r="BQ29" s="539">
        <f t="shared" si="7"/>
        <v>0</v>
      </c>
      <c r="BR29" s="539">
        <f t="shared" si="7"/>
        <v>0</v>
      </c>
      <c r="BS29" s="539">
        <f t="shared" si="7"/>
        <v>0</v>
      </c>
      <c r="BT29" s="539">
        <f t="shared" si="7"/>
        <v>0</v>
      </c>
      <c r="BU29" s="539">
        <f t="shared" si="7"/>
        <v>0</v>
      </c>
      <c r="BV29" s="539">
        <f t="shared" si="7"/>
        <v>0</v>
      </c>
      <c r="BW29" s="539">
        <f t="shared" si="7"/>
        <v>0</v>
      </c>
      <c r="BX29" s="539">
        <f t="shared" si="7"/>
        <v>0</v>
      </c>
      <c r="BY29" s="539">
        <f t="shared" si="7"/>
        <v>0</v>
      </c>
      <c r="BZ29" s="539">
        <f t="shared" si="7"/>
        <v>0</v>
      </c>
      <c r="CA29" s="539">
        <f t="shared" si="7"/>
        <v>0</v>
      </c>
      <c r="CB29" s="539">
        <f t="shared" si="7"/>
        <v>0</v>
      </c>
      <c r="CC29" s="539">
        <f t="shared" si="7"/>
        <v>0</v>
      </c>
      <c r="CD29" s="539">
        <f t="shared" si="7"/>
        <v>0</v>
      </c>
      <c r="CE29" s="539">
        <f t="shared" si="7"/>
        <v>0</v>
      </c>
      <c r="CF29" s="539">
        <f t="shared" si="7"/>
        <v>0</v>
      </c>
      <c r="CG29" s="539">
        <f t="shared" si="7"/>
        <v>0</v>
      </c>
      <c r="CH29" s="539">
        <f t="shared" si="7"/>
        <v>0</v>
      </c>
      <c r="CI29" s="539">
        <f t="shared" si="7"/>
        <v>0</v>
      </c>
      <c r="CJ29" s="539">
        <f t="shared" si="7"/>
        <v>0</v>
      </c>
      <c r="CK29" s="539">
        <f t="shared" si="7"/>
        <v>0</v>
      </c>
      <c r="CL29" s="539">
        <f t="shared" si="7"/>
        <v>0</v>
      </c>
      <c r="CM29" s="539">
        <f t="shared" si="7"/>
        <v>0</v>
      </c>
      <c r="CN29" s="539">
        <f t="shared" si="7"/>
        <v>0</v>
      </c>
      <c r="CO29" s="539">
        <f t="shared" si="7"/>
        <v>0</v>
      </c>
      <c r="CP29" s="539">
        <f t="shared" si="7"/>
        <v>0</v>
      </c>
      <c r="CQ29" s="539">
        <f t="shared" si="7"/>
        <v>0</v>
      </c>
      <c r="CR29" s="539">
        <f t="shared" si="7"/>
        <v>0</v>
      </c>
      <c r="CS29" s="539">
        <f t="shared" si="7"/>
        <v>0</v>
      </c>
      <c r="CT29" s="539">
        <f t="shared" si="7"/>
        <v>0</v>
      </c>
      <c r="CU29" s="539">
        <f t="shared" si="7"/>
        <v>0</v>
      </c>
      <c r="CV29" s="539">
        <f t="shared" si="7"/>
        <v>0</v>
      </c>
      <c r="CW29" s="539">
        <f t="shared" si="7"/>
        <v>0</v>
      </c>
      <c r="CX29" s="539">
        <f t="shared" si="7"/>
        <v>0</v>
      </c>
      <c r="CY29" s="539">
        <f t="shared" si="7"/>
        <v>0</v>
      </c>
      <c r="CZ29" s="539">
        <f t="shared" si="7"/>
        <v>0</v>
      </c>
      <c r="DA29" s="539">
        <f t="shared" si="7"/>
        <v>0</v>
      </c>
      <c r="DB29" s="539">
        <f t="shared" si="7"/>
        <v>0</v>
      </c>
      <c r="DC29" s="539">
        <f t="shared" si="7"/>
        <v>0</v>
      </c>
      <c r="DD29" s="539">
        <f t="shared" si="7"/>
        <v>0</v>
      </c>
      <c r="DE29" s="539">
        <f t="shared" si="7"/>
        <v>0</v>
      </c>
      <c r="DF29" s="539">
        <f t="shared" si="7"/>
        <v>0</v>
      </c>
      <c r="DG29" s="539">
        <f t="shared" si="7"/>
        <v>0</v>
      </c>
      <c r="DH29" s="539">
        <f t="shared" si="7"/>
        <v>0</v>
      </c>
      <c r="DI29" s="539">
        <f t="shared" si="7"/>
        <v>0</v>
      </c>
      <c r="DJ29" s="539">
        <f t="shared" si="7"/>
        <v>0</v>
      </c>
      <c r="DK29" s="539">
        <f t="shared" si="7"/>
        <v>0</v>
      </c>
      <c r="DL29" s="539">
        <f t="shared" si="7"/>
        <v>0</v>
      </c>
      <c r="DM29" s="539">
        <f t="shared" si="7"/>
        <v>0</v>
      </c>
      <c r="DN29" s="539">
        <f t="shared" si="7"/>
        <v>0</v>
      </c>
      <c r="DO29" s="539">
        <f t="shared" si="7"/>
        <v>0</v>
      </c>
      <c r="DP29" s="539">
        <f t="shared" si="7"/>
        <v>0</v>
      </c>
      <c r="DQ29" s="539">
        <f t="shared" si="7"/>
        <v>0</v>
      </c>
      <c r="DR29" s="539">
        <f t="shared" si="7"/>
        <v>0</v>
      </c>
      <c r="DS29" s="539">
        <f t="shared" si="7"/>
        <v>0</v>
      </c>
      <c r="DT29" s="539">
        <f t="shared" si="7"/>
        <v>0</v>
      </c>
      <c r="DU29" s="539">
        <f t="shared" si="7"/>
        <v>0</v>
      </c>
      <c r="DV29" s="539">
        <f t="shared" si="7"/>
        <v>0</v>
      </c>
      <c r="DW29" s="539">
        <f t="shared" si="7"/>
        <v>0</v>
      </c>
      <c r="DX29" s="539">
        <f t="shared" si="7"/>
        <v>0</v>
      </c>
      <c r="DY29" s="539">
        <f t="shared" si="7"/>
        <v>0</v>
      </c>
      <c r="DZ29" s="539">
        <f t="shared" si="7"/>
        <v>0</v>
      </c>
      <c r="EA29" s="539">
        <f t="shared" si="7"/>
        <v>0</v>
      </c>
      <c r="EB29" s="539">
        <f t="shared" si="7"/>
        <v>0</v>
      </c>
      <c r="EC29" s="539">
        <f t="shared" si="7"/>
        <v>0</v>
      </c>
      <c r="ED29" s="539">
        <f t="shared" si="7"/>
        <v>0</v>
      </c>
      <c r="EE29" s="539">
        <f t="shared" si="7"/>
        <v>0</v>
      </c>
      <c r="EF29" s="539">
        <f t="shared" si="7"/>
        <v>0</v>
      </c>
      <c r="EG29" s="539">
        <f t="shared" si="7"/>
        <v>0</v>
      </c>
    </row>
    <row r="30" spans="5:137" ht="12.75">
      <c r="E30" s="538" t="s">
        <v>205</v>
      </c>
      <c r="G30" s="539" t="s">
        <v>30</v>
      </c>
      <c r="H30" s="539">
        <f>SUM(J30:EG30)</f>
        <v>13500</v>
      </c>
      <c r="J30" s="539">
        <f t="shared" si="8" ref="J30:EG30">$F25*SUM(J26:J29)</f>
        <v>0</v>
      </c>
      <c r="K30" s="539">
        <f t="shared" si="8"/>
        <v>0</v>
      </c>
      <c r="L30" s="539">
        <f t="shared" si="8"/>
        <v>0</v>
      </c>
      <c r="M30" s="539">
        <f t="shared" si="8"/>
        <v>632.8125</v>
      </c>
      <c r="N30" s="539">
        <f t="shared" si="8"/>
        <v>648.4375</v>
      </c>
      <c r="O30" s="539">
        <f t="shared" si="8"/>
        <v>632.8125</v>
      </c>
      <c r="P30" s="539">
        <f t="shared" si="8"/>
        <v>648.4375</v>
      </c>
      <c r="Q30" s="539">
        <f t="shared" si="8"/>
        <v>632.8125</v>
      </c>
      <c r="R30" s="539">
        <f t="shared" si="8"/>
        <v>806.640625</v>
      </c>
      <c r="S30" s="539">
        <f t="shared" si="8"/>
        <v>839.84375</v>
      </c>
      <c r="T30" s="539">
        <f t="shared" si="8"/>
        <v>855.46875</v>
      </c>
      <c r="U30" s="539">
        <f t="shared" si="8"/>
        <v>871.09375</v>
      </c>
      <c r="V30" s="539">
        <f t="shared" si="8"/>
        <v>808.59375</v>
      </c>
      <c r="W30" s="539">
        <f t="shared" si="8"/>
        <v>800.78125</v>
      </c>
      <c r="X30" s="539">
        <f t="shared" si="8"/>
        <v>714.84375</v>
      </c>
      <c r="Y30" s="539">
        <f t="shared" si="8"/>
        <v>621.09375</v>
      </c>
      <c r="Z30" s="539">
        <f t="shared" si="8"/>
        <v>574.21875</v>
      </c>
      <c r="AA30" s="539">
        <f t="shared" si="8"/>
        <v>644.53125</v>
      </c>
      <c r="AB30" s="539">
        <f t="shared" si="8"/>
        <v>675.78125</v>
      </c>
      <c r="AC30" s="539">
        <f t="shared" si="8"/>
        <v>667.96875</v>
      </c>
      <c r="AD30" s="539">
        <f t="shared" si="8"/>
        <v>603.515625</v>
      </c>
      <c r="AE30" s="539">
        <f t="shared" si="8"/>
        <v>359.375</v>
      </c>
      <c r="AF30" s="539">
        <f t="shared" si="8"/>
        <v>273.4375</v>
      </c>
      <c r="AG30" s="539">
        <f t="shared" si="8"/>
        <v>187.5</v>
      </c>
      <c r="AH30" s="539">
        <f t="shared" si="8"/>
        <v>0</v>
      </c>
      <c r="AI30" s="539">
        <f t="shared" si="8"/>
        <v>0</v>
      </c>
      <c r="AJ30" s="539">
        <f t="shared" si="8"/>
        <v>0</v>
      </c>
      <c r="AK30" s="539">
        <f t="shared" si="8"/>
        <v>0</v>
      </c>
      <c r="AL30" s="539">
        <f t="shared" si="8"/>
        <v>0</v>
      </c>
      <c r="AM30" s="539">
        <f t="shared" si="8"/>
        <v>0</v>
      </c>
      <c r="AN30" s="539">
        <f t="shared" si="8"/>
        <v>0</v>
      </c>
      <c r="AO30" s="539">
        <f t="shared" si="8"/>
        <v>0</v>
      </c>
      <c r="AP30" s="539">
        <f t="shared" si="8"/>
        <v>0</v>
      </c>
      <c r="AQ30" s="539">
        <f t="shared" si="8"/>
        <v>0</v>
      </c>
      <c r="AR30" s="539">
        <f t="shared" si="8"/>
        <v>0</v>
      </c>
      <c r="AS30" s="539">
        <f t="shared" si="8"/>
        <v>0</v>
      </c>
      <c r="AT30" s="539">
        <f t="shared" si="8"/>
        <v>0</v>
      </c>
      <c r="AU30" s="539">
        <f t="shared" si="8"/>
        <v>0</v>
      </c>
      <c r="AV30" s="539">
        <f t="shared" si="8"/>
        <v>0</v>
      </c>
      <c r="AW30" s="539">
        <f t="shared" si="8"/>
        <v>0</v>
      </c>
      <c r="AX30" s="539">
        <f t="shared" si="8"/>
        <v>0</v>
      </c>
      <c r="AY30" s="539">
        <f t="shared" si="8"/>
        <v>0</v>
      </c>
      <c r="AZ30" s="539">
        <f t="shared" si="8"/>
        <v>0</v>
      </c>
      <c r="BA30" s="539">
        <f t="shared" si="8"/>
        <v>0</v>
      </c>
      <c r="BB30" s="539">
        <f t="shared" si="8"/>
        <v>0</v>
      </c>
      <c r="BC30" s="539">
        <f t="shared" si="8"/>
        <v>0</v>
      </c>
      <c r="BD30" s="539">
        <f t="shared" si="8"/>
        <v>0</v>
      </c>
      <c r="BE30" s="539">
        <f t="shared" si="8"/>
        <v>0</v>
      </c>
      <c r="BF30" s="539">
        <f t="shared" si="8"/>
        <v>0</v>
      </c>
      <c r="BG30" s="539">
        <f t="shared" si="8"/>
        <v>0</v>
      </c>
      <c r="BH30" s="539">
        <f t="shared" si="8"/>
        <v>0</v>
      </c>
      <c r="BI30" s="539">
        <f t="shared" si="8"/>
        <v>0</v>
      </c>
      <c r="BJ30" s="539">
        <f t="shared" si="8"/>
        <v>0</v>
      </c>
      <c r="BK30" s="539">
        <f t="shared" si="8"/>
        <v>0</v>
      </c>
      <c r="BL30" s="539">
        <f t="shared" si="8"/>
        <v>0</v>
      </c>
      <c r="BM30" s="539">
        <f t="shared" si="8"/>
        <v>0</v>
      </c>
      <c r="BN30" s="539">
        <f t="shared" si="8"/>
        <v>0</v>
      </c>
      <c r="BO30" s="539">
        <f t="shared" si="8"/>
        <v>0</v>
      </c>
      <c r="BP30" s="539">
        <f t="shared" si="8"/>
        <v>0</v>
      </c>
      <c r="BQ30" s="539">
        <f t="shared" si="8"/>
        <v>0</v>
      </c>
      <c r="BR30" s="539">
        <f t="shared" si="8"/>
        <v>0</v>
      </c>
      <c r="BS30" s="539">
        <f t="shared" si="8"/>
        <v>0</v>
      </c>
      <c r="BT30" s="539">
        <f t="shared" si="8"/>
        <v>0</v>
      </c>
      <c r="BU30" s="539">
        <f t="shared" si="8"/>
        <v>0</v>
      </c>
      <c r="BV30" s="539">
        <f t="shared" si="8"/>
        <v>0</v>
      </c>
      <c r="BW30" s="539">
        <f t="shared" si="8"/>
        <v>0</v>
      </c>
      <c r="BX30" s="539">
        <f t="shared" si="8"/>
        <v>0</v>
      </c>
      <c r="BY30" s="539">
        <f t="shared" si="8"/>
        <v>0</v>
      </c>
      <c r="BZ30" s="539">
        <f t="shared" si="8"/>
        <v>0</v>
      </c>
      <c r="CA30" s="539">
        <f t="shared" si="8"/>
        <v>0</v>
      </c>
      <c r="CB30" s="539">
        <f t="shared" si="8"/>
        <v>0</v>
      </c>
      <c r="CC30" s="539">
        <f t="shared" si="8"/>
        <v>0</v>
      </c>
      <c r="CD30" s="539">
        <f t="shared" si="8"/>
        <v>0</v>
      </c>
      <c r="CE30" s="539">
        <f t="shared" si="8"/>
        <v>0</v>
      </c>
      <c r="CF30" s="539">
        <f t="shared" si="8"/>
        <v>0</v>
      </c>
      <c r="CG30" s="539">
        <f t="shared" si="8"/>
        <v>0</v>
      </c>
      <c r="CH30" s="539">
        <f t="shared" si="8"/>
        <v>0</v>
      </c>
      <c r="CI30" s="539">
        <f t="shared" si="8"/>
        <v>0</v>
      </c>
      <c r="CJ30" s="539">
        <f t="shared" si="8"/>
        <v>0</v>
      </c>
      <c r="CK30" s="539">
        <f t="shared" si="8"/>
        <v>0</v>
      </c>
      <c r="CL30" s="539">
        <f t="shared" si="8"/>
        <v>0</v>
      </c>
      <c r="CM30" s="539">
        <f t="shared" si="8"/>
        <v>0</v>
      </c>
      <c r="CN30" s="539">
        <f t="shared" si="8"/>
        <v>0</v>
      </c>
      <c r="CO30" s="539">
        <f t="shared" si="8"/>
        <v>0</v>
      </c>
      <c r="CP30" s="539">
        <f t="shared" si="8"/>
        <v>0</v>
      </c>
      <c r="CQ30" s="539">
        <f t="shared" si="8"/>
        <v>0</v>
      </c>
      <c r="CR30" s="539">
        <f t="shared" si="8"/>
        <v>0</v>
      </c>
      <c r="CS30" s="539">
        <f t="shared" si="8"/>
        <v>0</v>
      </c>
      <c r="CT30" s="539">
        <f t="shared" si="8"/>
        <v>0</v>
      </c>
      <c r="CU30" s="539">
        <f t="shared" si="8"/>
        <v>0</v>
      </c>
      <c r="CV30" s="539">
        <f t="shared" si="8"/>
        <v>0</v>
      </c>
      <c r="CW30" s="539">
        <f t="shared" si="8"/>
        <v>0</v>
      </c>
      <c r="CX30" s="539">
        <f t="shared" si="8"/>
        <v>0</v>
      </c>
      <c r="CY30" s="539">
        <f t="shared" si="8"/>
        <v>0</v>
      </c>
      <c r="CZ30" s="539">
        <f t="shared" si="8"/>
        <v>0</v>
      </c>
      <c r="DA30" s="539">
        <f t="shared" si="8"/>
        <v>0</v>
      </c>
      <c r="DB30" s="539">
        <f t="shared" si="8"/>
        <v>0</v>
      </c>
      <c r="DC30" s="539">
        <f t="shared" si="8"/>
        <v>0</v>
      </c>
      <c r="DD30" s="539">
        <f t="shared" si="8"/>
        <v>0</v>
      </c>
      <c r="DE30" s="539">
        <f t="shared" si="8"/>
        <v>0</v>
      </c>
      <c r="DF30" s="539">
        <f t="shared" si="8"/>
        <v>0</v>
      </c>
      <c r="DG30" s="539">
        <f t="shared" si="8"/>
        <v>0</v>
      </c>
      <c r="DH30" s="539">
        <f t="shared" si="8"/>
        <v>0</v>
      </c>
      <c r="DI30" s="539">
        <f t="shared" si="8"/>
        <v>0</v>
      </c>
      <c r="DJ30" s="539">
        <f t="shared" si="8"/>
        <v>0</v>
      </c>
      <c r="DK30" s="539">
        <f t="shared" si="8"/>
        <v>0</v>
      </c>
      <c r="DL30" s="539">
        <f t="shared" si="8"/>
        <v>0</v>
      </c>
      <c r="DM30" s="539">
        <f t="shared" si="8"/>
        <v>0</v>
      </c>
      <c r="DN30" s="539">
        <f t="shared" si="8"/>
        <v>0</v>
      </c>
      <c r="DO30" s="539">
        <f t="shared" si="8"/>
        <v>0</v>
      </c>
      <c r="DP30" s="539">
        <f t="shared" si="8"/>
        <v>0</v>
      </c>
      <c r="DQ30" s="539">
        <f t="shared" si="8"/>
        <v>0</v>
      </c>
      <c r="DR30" s="539">
        <f t="shared" si="8"/>
        <v>0</v>
      </c>
      <c r="DS30" s="539">
        <f t="shared" si="8"/>
        <v>0</v>
      </c>
      <c r="DT30" s="539">
        <f t="shared" si="8"/>
        <v>0</v>
      </c>
      <c r="DU30" s="539">
        <f t="shared" si="8"/>
        <v>0</v>
      </c>
      <c r="DV30" s="539">
        <f t="shared" si="8"/>
        <v>0</v>
      </c>
      <c r="DW30" s="539">
        <f t="shared" si="8"/>
        <v>0</v>
      </c>
      <c r="DX30" s="539">
        <f t="shared" si="8"/>
        <v>0</v>
      </c>
      <c r="DY30" s="539">
        <f t="shared" si="8"/>
        <v>0</v>
      </c>
      <c r="DZ30" s="539">
        <f t="shared" si="8"/>
        <v>0</v>
      </c>
      <c r="EA30" s="539">
        <f t="shared" si="8"/>
        <v>0</v>
      </c>
      <c r="EB30" s="539">
        <f t="shared" si="8"/>
        <v>0</v>
      </c>
      <c r="EC30" s="539">
        <f t="shared" si="8"/>
        <v>0</v>
      </c>
      <c r="ED30" s="539">
        <f t="shared" si="8"/>
        <v>0</v>
      </c>
      <c r="EE30" s="539">
        <f t="shared" si="8"/>
        <v>0</v>
      </c>
      <c r="EF30" s="539">
        <f t="shared" si="8"/>
        <v>0</v>
      </c>
      <c r="EG30" s="539">
        <f t="shared" si="8"/>
        <v>0</v>
      </c>
    </row>
    <row r="32" spans="5:7" ht="12.75">
      <c r="E32" s="535" t="str">
        <f>InpC!E$32</f>
        <v>Development costs - amount at financial close</v>
      </c>
      <c r="F32" s="537">
        <f>InpC!F$32</f>
        <v>8000</v>
      </c>
      <c r="G32" s="537" t="str">
        <f>InpC!G$32</f>
        <v>EUR 000s</v>
      </c>
    </row>
    <row r="33" spans="5:137" ht="12.75">
      <c r="E33" s="535" t="str">
        <f>Time!E$58</f>
        <v>Financial close date flag</v>
      </c>
      <c r="G33" s="537" t="str">
        <f>Time!G$58</f>
        <v>flag</v>
      </c>
      <c r="H33" s="537">
        <f>Time!H$58</f>
        <v>1</v>
      </c>
      <c r="J33" s="537">
        <f>Time!J$58</f>
        <v>0</v>
      </c>
      <c r="K33" s="537">
        <f>Time!K$58</f>
        <v>0</v>
      </c>
      <c r="L33" s="537">
        <f>Time!L$58</f>
        <v>1</v>
      </c>
      <c r="M33" s="537">
        <f>Time!M$58</f>
        <v>0</v>
      </c>
      <c r="N33" s="537">
        <f>Time!N$58</f>
        <v>0</v>
      </c>
      <c r="O33" s="537">
        <f>Time!O$58</f>
        <v>0</v>
      </c>
      <c r="P33" s="537">
        <f>Time!P$58</f>
        <v>0</v>
      </c>
      <c r="Q33" s="537">
        <f>Time!Q$58</f>
        <v>0</v>
      </c>
      <c r="R33" s="537">
        <f>Time!R$58</f>
        <v>0</v>
      </c>
      <c r="S33" s="537">
        <f>Time!S$58</f>
        <v>0</v>
      </c>
      <c r="T33" s="537">
        <f>Time!T$58</f>
        <v>0</v>
      </c>
      <c r="U33" s="537">
        <f>Time!U$58</f>
        <v>0</v>
      </c>
      <c r="V33" s="537">
        <f>Time!V$58</f>
        <v>0</v>
      </c>
      <c r="W33" s="537">
        <f>Time!W$58</f>
        <v>0</v>
      </c>
      <c r="X33" s="537">
        <f>Time!X$58</f>
        <v>0</v>
      </c>
      <c r="Y33" s="537">
        <f>Time!Y$58</f>
        <v>0</v>
      </c>
      <c r="Z33" s="537">
        <f>Time!Z$58</f>
        <v>0</v>
      </c>
      <c r="AA33" s="537">
        <f>Time!AA$58</f>
        <v>0</v>
      </c>
      <c r="AB33" s="537">
        <f>Time!AB$58</f>
        <v>0</v>
      </c>
      <c r="AC33" s="537">
        <f>Time!AC$58</f>
        <v>0</v>
      </c>
      <c r="AD33" s="537">
        <f>Time!AD$58</f>
        <v>0</v>
      </c>
      <c r="AE33" s="537">
        <f>Time!AE$58</f>
        <v>0</v>
      </c>
      <c r="AF33" s="537">
        <f>Time!AF$58</f>
        <v>0</v>
      </c>
      <c r="AG33" s="537">
        <f>Time!AG$58</f>
        <v>0</v>
      </c>
      <c r="AH33" s="537">
        <f>Time!AH$58</f>
        <v>0</v>
      </c>
      <c r="AI33" s="537">
        <f>Time!AI$58</f>
        <v>0</v>
      </c>
      <c r="AJ33" s="537">
        <f>Time!AJ$58</f>
        <v>0</v>
      </c>
      <c r="AK33" s="537">
        <f>Time!AK$58</f>
        <v>0</v>
      </c>
      <c r="AL33" s="537">
        <f>Time!AL$58</f>
        <v>0</v>
      </c>
      <c r="AM33" s="537">
        <f>Time!AM$58</f>
        <v>0</v>
      </c>
      <c r="AN33" s="537">
        <f>Time!AN$58</f>
        <v>0</v>
      </c>
      <c r="AO33" s="537">
        <f>Time!AO$58</f>
        <v>0</v>
      </c>
      <c r="AP33" s="537">
        <f>Time!AP$58</f>
        <v>0</v>
      </c>
      <c r="AQ33" s="537">
        <f>Time!AQ$58</f>
        <v>0</v>
      </c>
      <c r="AR33" s="537">
        <f>Time!AR$58</f>
        <v>0</v>
      </c>
      <c r="AS33" s="537">
        <f>Time!AS$58</f>
        <v>0</v>
      </c>
      <c r="AT33" s="537">
        <f>Time!AT$58</f>
        <v>0</v>
      </c>
      <c r="AU33" s="537">
        <f>Time!AU$58</f>
        <v>0</v>
      </c>
      <c r="AV33" s="537">
        <f>Time!AV$58</f>
        <v>0</v>
      </c>
      <c r="AW33" s="537">
        <f>Time!AW$58</f>
        <v>0</v>
      </c>
      <c r="AX33" s="537">
        <f>Time!AX$58</f>
        <v>0</v>
      </c>
      <c r="AY33" s="537">
        <f>Time!AY$58</f>
        <v>0</v>
      </c>
      <c r="AZ33" s="537">
        <f>Time!AZ$58</f>
        <v>0</v>
      </c>
      <c r="BA33" s="537">
        <f>Time!BA$58</f>
        <v>0</v>
      </c>
      <c r="BB33" s="537">
        <f>Time!BB$58</f>
        <v>0</v>
      </c>
      <c r="BC33" s="537">
        <f>Time!BC$58</f>
        <v>0</v>
      </c>
      <c r="BD33" s="537">
        <f>Time!BD$58</f>
        <v>0</v>
      </c>
      <c r="BE33" s="537">
        <f>Time!BE$58</f>
        <v>0</v>
      </c>
      <c r="BF33" s="537">
        <f>Time!BF$58</f>
        <v>0</v>
      </c>
      <c r="BG33" s="537">
        <f>Time!BG$58</f>
        <v>0</v>
      </c>
      <c r="BH33" s="537">
        <f>Time!BH$58</f>
        <v>0</v>
      </c>
      <c r="BI33" s="537">
        <f>Time!BI$58</f>
        <v>0</v>
      </c>
      <c r="BJ33" s="537">
        <f>Time!BJ$58</f>
        <v>0</v>
      </c>
      <c r="BK33" s="537">
        <f>Time!BK$58</f>
        <v>0</v>
      </c>
      <c r="BL33" s="537">
        <f>Time!BL$58</f>
        <v>0</v>
      </c>
      <c r="BM33" s="537">
        <f>Time!BM$58</f>
        <v>0</v>
      </c>
      <c r="BN33" s="537">
        <f>Time!BN$58</f>
        <v>0</v>
      </c>
      <c r="BO33" s="537">
        <f>Time!BO$58</f>
        <v>0</v>
      </c>
      <c r="BP33" s="537">
        <f>Time!BP$58</f>
        <v>0</v>
      </c>
      <c r="BQ33" s="537">
        <f>Time!BQ$58</f>
        <v>0</v>
      </c>
      <c r="BR33" s="537">
        <f>Time!BR$58</f>
        <v>0</v>
      </c>
      <c r="BS33" s="537">
        <f>Time!BS$58</f>
        <v>0</v>
      </c>
      <c r="BT33" s="537">
        <f>Time!BT$58</f>
        <v>0</v>
      </c>
      <c r="BU33" s="537">
        <f>Time!BU$58</f>
        <v>0</v>
      </c>
      <c r="BV33" s="537">
        <f>Time!BV$58</f>
        <v>0</v>
      </c>
      <c r="BW33" s="537">
        <f>Time!BW$58</f>
        <v>0</v>
      </c>
      <c r="BX33" s="537">
        <f>Time!BX$58</f>
        <v>0</v>
      </c>
      <c r="BY33" s="537">
        <f>Time!BY$58</f>
        <v>0</v>
      </c>
      <c r="BZ33" s="537">
        <f>Time!BZ$58</f>
        <v>0</v>
      </c>
      <c r="CA33" s="537">
        <f>Time!CA$58</f>
        <v>0</v>
      </c>
      <c r="CB33" s="537">
        <f>Time!CB$58</f>
        <v>0</v>
      </c>
      <c r="CC33" s="537">
        <f>Time!CC$58</f>
        <v>0</v>
      </c>
      <c r="CD33" s="537">
        <f>Time!CD$58</f>
        <v>0</v>
      </c>
      <c r="CE33" s="537">
        <f>Time!CE$58</f>
        <v>0</v>
      </c>
      <c r="CF33" s="537">
        <f>Time!CF$58</f>
        <v>0</v>
      </c>
      <c r="CG33" s="537">
        <f>Time!CG$58</f>
        <v>0</v>
      </c>
      <c r="CH33" s="537">
        <f>Time!CH$58</f>
        <v>0</v>
      </c>
      <c r="CI33" s="537">
        <f>Time!CI$58</f>
        <v>0</v>
      </c>
      <c r="CJ33" s="537">
        <f>Time!CJ$58</f>
        <v>0</v>
      </c>
      <c r="CK33" s="537">
        <f>Time!CK$58</f>
        <v>0</v>
      </c>
      <c r="CL33" s="537">
        <f>Time!CL$58</f>
        <v>0</v>
      </c>
      <c r="CM33" s="537">
        <f>Time!CM$58</f>
        <v>0</v>
      </c>
      <c r="CN33" s="537">
        <f>Time!CN$58</f>
        <v>0</v>
      </c>
      <c r="CO33" s="537">
        <f>Time!CO$58</f>
        <v>0</v>
      </c>
      <c r="CP33" s="537">
        <f>Time!CP$58</f>
        <v>0</v>
      </c>
      <c r="CQ33" s="537">
        <f>Time!CQ$58</f>
        <v>0</v>
      </c>
      <c r="CR33" s="537">
        <f>Time!CR$58</f>
        <v>0</v>
      </c>
      <c r="CS33" s="537">
        <f>Time!CS$58</f>
        <v>0</v>
      </c>
      <c r="CT33" s="537">
        <f>Time!CT$58</f>
        <v>0</v>
      </c>
      <c r="CU33" s="537">
        <f>Time!CU$58</f>
        <v>0</v>
      </c>
      <c r="CV33" s="537">
        <f>Time!CV$58</f>
        <v>0</v>
      </c>
      <c r="CW33" s="537">
        <f>Time!CW$58</f>
        <v>0</v>
      </c>
      <c r="CX33" s="537">
        <f>Time!CX$58</f>
        <v>0</v>
      </c>
      <c r="CY33" s="537">
        <f>Time!CY$58</f>
        <v>0</v>
      </c>
      <c r="CZ33" s="537">
        <f>Time!CZ$58</f>
        <v>0</v>
      </c>
      <c r="DA33" s="537">
        <f>Time!DA$58</f>
        <v>0</v>
      </c>
      <c r="DB33" s="537">
        <f>Time!DB$58</f>
        <v>0</v>
      </c>
      <c r="DC33" s="537">
        <f>Time!DC$58</f>
        <v>0</v>
      </c>
      <c r="DD33" s="537">
        <f>Time!DD$58</f>
        <v>0</v>
      </c>
      <c r="DE33" s="537">
        <f>Time!DE$58</f>
        <v>0</v>
      </c>
      <c r="DF33" s="537">
        <f>Time!DF$58</f>
        <v>0</v>
      </c>
      <c r="DG33" s="537">
        <f>Time!DG$58</f>
        <v>0</v>
      </c>
      <c r="DH33" s="537">
        <f>Time!DH$58</f>
        <v>0</v>
      </c>
      <c r="DI33" s="537">
        <f>Time!DI$58</f>
        <v>0</v>
      </c>
      <c r="DJ33" s="537">
        <f>Time!DJ$58</f>
        <v>0</v>
      </c>
      <c r="DK33" s="537">
        <f>Time!DK$58</f>
        <v>0</v>
      </c>
      <c r="DL33" s="537">
        <f>Time!DL$58</f>
        <v>0</v>
      </c>
      <c r="DM33" s="537">
        <f>Time!DM$58</f>
        <v>0</v>
      </c>
      <c r="DN33" s="537">
        <f>Time!DN$58</f>
        <v>0</v>
      </c>
      <c r="DO33" s="537">
        <f>Time!DO$58</f>
        <v>0</v>
      </c>
      <c r="DP33" s="537">
        <f>Time!DP$58</f>
        <v>0</v>
      </c>
      <c r="DQ33" s="537">
        <f>Time!DQ$58</f>
        <v>0</v>
      </c>
      <c r="DR33" s="537">
        <f>Time!DR$58</f>
        <v>0</v>
      </c>
      <c r="DS33" s="537">
        <f>Time!DS$58</f>
        <v>0</v>
      </c>
      <c r="DT33" s="537">
        <f>Time!DT$58</f>
        <v>0</v>
      </c>
      <c r="DU33" s="537">
        <f>Time!DU$58</f>
        <v>0</v>
      </c>
      <c r="DV33" s="537">
        <f>Time!DV$58</f>
        <v>0</v>
      </c>
      <c r="DW33" s="537">
        <f>Time!DW$58</f>
        <v>0</v>
      </c>
      <c r="DX33" s="537">
        <f>Time!DX$58</f>
        <v>0</v>
      </c>
      <c r="DY33" s="537">
        <f>Time!DY$58</f>
        <v>0</v>
      </c>
      <c r="DZ33" s="537">
        <f>Time!DZ$58</f>
        <v>0</v>
      </c>
      <c r="EA33" s="537">
        <f>Time!EA$58</f>
        <v>0</v>
      </c>
      <c r="EB33" s="537">
        <f>Time!EB$58</f>
        <v>0</v>
      </c>
      <c r="EC33" s="537">
        <f>Time!EC$58</f>
        <v>0</v>
      </c>
      <c r="ED33" s="537">
        <f>Time!ED$58</f>
        <v>0</v>
      </c>
      <c r="EE33" s="537">
        <f>Time!EE$58</f>
        <v>0</v>
      </c>
      <c r="EF33" s="537">
        <f>Time!EF$58</f>
        <v>0</v>
      </c>
      <c r="EG33" s="537">
        <f>Time!EG$58</f>
        <v>0</v>
      </c>
    </row>
    <row r="34" spans="5:137" ht="12.75">
      <c r="E34" s="538" t="s">
        <v>206</v>
      </c>
      <c r="G34" s="539" t="s">
        <v>30</v>
      </c>
      <c r="H34" s="539">
        <f>SUM(J34:EG34)</f>
        <v>8000</v>
      </c>
      <c r="J34" s="539">
        <f t="shared" si="9" ref="J34:EG34">$F32*J33</f>
        <v>0</v>
      </c>
      <c r="K34" s="539">
        <f t="shared" si="9"/>
        <v>0</v>
      </c>
      <c r="L34" s="539">
        <f t="shared" si="9"/>
        <v>8000</v>
      </c>
      <c r="M34" s="539">
        <f t="shared" si="9"/>
        <v>0</v>
      </c>
      <c r="N34" s="539">
        <f t="shared" si="9"/>
        <v>0</v>
      </c>
      <c r="O34" s="539">
        <f t="shared" si="9"/>
        <v>0</v>
      </c>
      <c r="P34" s="539">
        <f t="shared" si="9"/>
        <v>0</v>
      </c>
      <c r="Q34" s="539">
        <f t="shared" si="9"/>
        <v>0</v>
      </c>
      <c r="R34" s="539">
        <f t="shared" si="9"/>
        <v>0</v>
      </c>
      <c r="S34" s="539">
        <f t="shared" si="9"/>
        <v>0</v>
      </c>
      <c r="T34" s="539">
        <f t="shared" si="9"/>
        <v>0</v>
      </c>
      <c r="U34" s="539">
        <f t="shared" si="9"/>
        <v>0</v>
      </c>
      <c r="V34" s="539">
        <f t="shared" si="9"/>
        <v>0</v>
      </c>
      <c r="W34" s="539">
        <f t="shared" si="9"/>
        <v>0</v>
      </c>
      <c r="X34" s="539">
        <f t="shared" si="9"/>
        <v>0</v>
      </c>
      <c r="Y34" s="539">
        <f t="shared" si="9"/>
        <v>0</v>
      </c>
      <c r="Z34" s="539">
        <f t="shared" si="9"/>
        <v>0</v>
      </c>
      <c r="AA34" s="539">
        <f t="shared" si="9"/>
        <v>0</v>
      </c>
      <c r="AB34" s="539">
        <f t="shared" si="9"/>
        <v>0</v>
      </c>
      <c r="AC34" s="539">
        <f t="shared" si="9"/>
        <v>0</v>
      </c>
      <c r="AD34" s="539">
        <f t="shared" si="9"/>
        <v>0</v>
      </c>
      <c r="AE34" s="539">
        <f t="shared" si="9"/>
        <v>0</v>
      </c>
      <c r="AF34" s="539">
        <f t="shared" si="9"/>
        <v>0</v>
      </c>
      <c r="AG34" s="539">
        <f t="shared" si="9"/>
        <v>0</v>
      </c>
      <c r="AH34" s="539">
        <f t="shared" si="9"/>
        <v>0</v>
      </c>
      <c r="AI34" s="539">
        <f t="shared" si="9"/>
        <v>0</v>
      </c>
      <c r="AJ34" s="539">
        <f t="shared" si="9"/>
        <v>0</v>
      </c>
      <c r="AK34" s="539">
        <f t="shared" si="9"/>
        <v>0</v>
      </c>
      <c r="AL34" s="539">
        <f t="shared" si="9"/>
        <v>0</v>
      </c>
      <c r="AM34" s="539">
        <f t="shared" si="9"/>
        <v>0</v>
      </c>
      <c r="AN34" s="539">
        <f t="shared" si="9"/>
        <v>0</v>
      </c>
      <c r="AO34" s="539">
        <f t="shared" si="9"/>
        <v>0</v>
      </c>
      <c r="AP34" s="539">
        <f t="shared" si="9"/>
        <v>0</v>
      </c>
      <c r="AQ34" s="539">
        <f t="shared" si="9"/>
        <v>0</v>
      </c>
      <c r="AR34" s="539">
        <f t="shared" si="9"/>
        <v>0</v>
      </c>
      <c r="AS34" s="539">
        <f t="shared" si="9"/>
        <v>0</v>
      </c>
      <c r="AT34" s="539">
        <f t="shared" si="9"/>
        <v>0</v>
      </c>
      <c r="AU34" s="539">
        <f t="shared" si="9"/>
        <v>0</v>
      </c>
      <c r="AV34" s="539">
        <f t="shared" si="9"/>
        <v>0</v>
      </c>
      <c r="AW34" s="539">
        <f t="shared" si="9"/>
        <v>0</v>
      </c>
      <c r="AX34" s="539">
        <f t="shared" si="9"/>
        <v>0</v>
      </c>
      <c r="AY34" s="539">
        <f t="shared" si="9"/>
        <v>0</v>
      </c>
      <c r="AZ34" s="539">
        <f t="shared" si="9"/>
        <v>0</v>
      </c>
      <c r="BA34" s="539">
        <f t="shared" si="9"/>
        <v>0</v>
      </c>
      <c r="BB34" s="539">
        <f t="shared" si="9"/>
        <v>0</v>
      </c>
      <c r="BC34" s="539">
        <f t="shared" si="9"/>
        <v>0</v>
      </c>
      <c r="BD34" s="539">
        <f t="shared" si="9"/>
        <v>0</v>
      </c>
      <c r="BE34" s="539">
        <f t="shared" si="9"/>
        <v>0</v>
      </c>
      <c r="BF34" s="539">
        <f t="shared" si="9"/>
        <v>0</v>
      </c>
      <c r="BG34" s="539">
        <f t="shared" si="9"/>
        <v>0</v>
      </c>
      <c r="BH34" s="539">
        <f t="shared" si="9"/>
        <v>0</v>
      </c>
      <c r="BI34" s="539">
        <f t="shared" si="9"/>
        <v>0</v>
      </c>
      <c r="BJ34" s="539">
        <f t="shared" si="9"/>
        <v>0</v>
      </c>
      <c r="BK34" s="539">
        <f t="shared" si="9"/>
        <v>0</v>
      </c>
      <c r="BL34" s="539">
        <f t="shared" si="9"/>
        <v>0</v>
      </c>
      <c r="BM34" s="539">
        <f t="shared" si="9"/>
        <v>0</v>
      </c>
      <c r="BN34" s="539">
        <f t="shared" si="9"/>
        <v>0</v>
      </c>
      <c r="BO34" s="539">
        <f t="shared" si="9"/>
        <v>0</v>
      </c>
      <c r="BP34" s="539">
        <f t="shared" si="9"/>
        <v>0</v>
      </c>
      <c r="BQ34" s="539">
        <f t="shared" si="9"/>
        <v>0</v>
      </c>
      <c r="BR34" s="539">
        <f t="shared" si="9"/>
        <v>0</v>
      </c>
      <c r="BS34" s="539">
        <f t="shared" si="9"/>
        <v>0</v>
      </c>
      <c r="BT34" s="539">
        <f t="shared" si="9"/>
        <v>0</v>
      </c>
      <c r="BU34" s="539">
        <f t="shared" si="9"/>
        <v>0</v>
      </c>
      <c r="BV34" s="539">
        <f t="shared" si="9"/>
        <v>0</v>
      </c>
      <c r="BW34" s="539">
        <f t="shared" si="9"/>
        <v>0</v>
      </c>
      <c r="BX34" s="539">
        <f t="shared" si="9"/>
        <v>0</v>
      </c>
      <c r="BY34" s="539">
        <f t="shared" si="9"/>
        <v>0</v>
      </c>
      <c r="BZ34" s="539">
        <f t="shared" si="9"/>
        <v>0</v>
      </c>
      <c r="CA34" s="539">
        <f t="shared" si="9"/>
        <v>0</v>
      </c>
      <c r="CB34" s="539">
        <f t="shared" si="9"/>
        <v>0</v>
      </c>
      <c r="CC34" s="539">
        <f t="shared" si="9"/>
        <v>0</v>
      </c>
      <c r="CD34" s="539">
        <f t="shared" si="9"/>
        <v>0</v>
      </c>
      <c r="CE34" s="539">
        <f t="shared" si="9"/>
        <v>0</v>
      </c>
      <c r="CF34" s="539">
        <f t="shared" si="9"/>
        <v>0</v>
      </c>
      <c r="CG34" s="539">
        <f t="shared" si="9"/>
        <v>0</v>
      </c>
      <c r="CH34" s="539">
        <f t="shared" si="9"/>
        <v>0</v>
      </c>
      <c r="CI34" s="539">
        <f t="shared" si="9"/>
        <v>0</v>
      </c>
      <c r="CJ34" s="539">
        <f t="shared" si="9"/>
        <v>0</v>
      </c>
      <c r="CK34" s="539">
        <f t="shared" si="9"/>
        <v>0</v>
      </c>
      <c r="CL34" s="539">
        <f t="shared" si="9"/>
        <v>0</v>
      </c>
      <c r="CM34" s="539">
        <f t="shared" si="9"/>
        <v>0</v>
      </c>
      <c r="CN34" s="539">
        <f t="shared" si="9"/>
        <v>0</v>
      </c>
      <c r="CO34" s="539">
        <f t="shared" si="9"/>
        <v>0</v>
      </c>
      <c r="CP34" s="539">
        <f t="shared" si="9"/>
        <v>0</v>
      </c>
      <c r="CQ34" s="539">
        <f t="shared" si="9"/>
        <v>0</v>
      </c>
      <c r="CR34" s="539">
        <f t="shared" si="9"/>
        <v>0</v>
      </c>
      <c r="CS34" s="539">
        <f t="shared" si="9"/>
        <v>0</v>
      </c>
      <c r="CT34" s="539">
        <f t="shared" si="9"/>
        <v>0</v>
      </c>
      <c r="CU34" s="539">
        <f t="shared" si="9"/>
        <v>0</v>
      </c>
      <c r="CV34" s="539">
        <f t="shared" si="9"/>
        <v>0</v>
      </c>
      <c r="CW34" s="539">
        <f t="shared" si="9"/>
        <v>0</v>
      </c>
      <c r="CX34" s="539">
        <f t="shared" si="9"/>
        <v>0</v>
      </c>
      <c r="CY34" s="539">
        <f t="shared" si="9"/>
        <v>0</v>
      </c>
      <c r="CZ34" s="539">
        <f t="shared" si="9"/>
        <v>0</v>
      </c>
      <c r="DA34" s="539">
        <f t="shared" si="9"/>
        <v>0</v>
      </c>
      <c r="DB34" s="539">
        <f t="shared" si="9"/>
        <v>0</v>
      </c>
      <c r="DC34" s="539">
        <f t="shared" si="9"/>
        <v>0</v>
      </c>
      <c r="DD34" s="539">
        <f t="shared" si="9"/>
        <v>0</v>
      </c>
      <c r="DE34" s="539">
        <f t="shared" si="9"/>
        <v>0</v>
      </c>
      <c r="DF34" s="539">
        <f t="shared" si="9"/>
        <v>0</v>
      </c>
      <c r="DG34" s="539">
        <f t="shared" si="9"/>
        <v>0</v>
      </c>
      <c r="DH34" s="539">
        <f t="shared" si="9"/>
        <v>0</v>
      </c>
      <c r="DI34" s="539">
        <f t="shared" si="9"/>
        <v>0</v>
      </c>
      <c r="DJ34" s="539">
        <f t="shared" si="9"/>
        <v>0</v>
      </c>
      <c r="DK34" s="539">
        <f t="shared" si="9"/>
        <v>0</v>
      </c>
      <c r="DL34" s="539">
        <f t="shared" si="9"/>
        <v>0</v>
      </c>
      <c r="DM34" s="539">
        <f t="shared" si="9"/>
        <v>0</v>
      </c>
      <c r="DN34" s="539">
        <f t="shared" si="9"/>
        <v>0</v>
      </c>
      <c r="DO34" s="539">
        <f t="shared" si="9"/>
        <v>0</v>
      </c>
      <c r="DP34" s="539">
        <f t="shared" si="9"/>
        <v>0</v>
      </c>
      <c r="DQ34" s="539">
        <f t="shared" si="9"/>
        <v>0</v>
      </c>
      <c r="DR34" s="539">
        <f t="shared" si="9"/>
        <v>0</v>
      </c>
      <c r="DS34" s="539">
        <f t="shared" si="9"/>
        <v>0</v>
      </c>
      <c r="DT34" s="539">
        <f t="shared" si="9"/>
        <v>0</v>
      </c>
      <c r="DU34" s="539">
        <f t="shared" si="9"/>
        <v>0</v>
      </c>
      <c r="DV34" s="539">
        <f t="shared" si="9"/>
        <v>0</v>
      </c>
      <c r="DW34" s="539">
        <f t="shared" si="9"/>
        <v>0</v>
      </c>
      <c r="DX34" s="539">
        <f t="shared" si="9"/>
        <v>0</v>
      </c>
      <c r="DY34" s="539">
        <f t="shared" si="9"/>
        <v>0</v>
      </c>
      <c r="DZ34" s="539">
        <f t="shared" si="9"/>
        <v>0</v>
      </c>
      <c r="EA34" s="539">
        <f t="shared" si="9"/>
        <v>0</v>
      </c>
      <c r="EB34" s="539">
        <f t="shared" si="9"/>
        <v>0</v>
      </c>
      <c r="EC34" s="539">
        <f t="shared" si="9"/>
        <v>0</v>
      </c>
      <c r="ED34" s="539">
        <f t="shared" si="9"/>
        <v>0</v>
      </c>
      <c r="EE34" s="539">
        <f t="shared" si="9"/>
        <v>0</v>
      </c>
      <c r="EF34" s="539">
        <f t="shared" si="9"/>
        <v>0</v>
      </c>
      <c r="EG34" s="539">
        <f t="shared" si="9"/>
        <v>0</v>
      </c>
    </row>
    <row r="36" spans="5:7" ht="12.75">
      <c r="E36" s="535" t="str">
        <f>InpC!E$33</f>
        <v>Lease cost - annual amount during construction</v>
      </c>
      <c r="F36" s="537">
        <f>InpC!F$33</f>
        <v>30</v>
      </c>
      <c r="G36" s="537" t="str">
        <f>InpC!G$33</f>
        <v>EUR 000s</v>
      </c>
    </row>
    <row r="37" spans="5:137" ht="12.75">
      <c r="E37" s="535" t="str">
        <f>Time!E$72</f>
        <v>Construction period flag</v>
      </c>
      <c r="G37" s="537" t="str">
        <f>Time!G$72</f>
        <v>flag</v>
      </c>
      <c r="H37" s="537">
        <f>Time!H$72</f>
        <v>21</v>
      </c>
      <c r="J37" s="537">
        <f>Time!J$72</f>
        <v>0</v>
      </c>
      <c r="K37" s="537">
        <f>Time!K$72</f>
        <v>0</v>
      </c>
      <c r="L37" s="537">
        <f>Time!L$72</f>
        <v>0</v>
      </c>
      <c r="M37" s="537">
        <f>Time!M$72</f>
        <v>1</v>
      </c>
      <c r="N37" s="537">
        <f>Time!N$72</f>
        <v>1</v>
      </c>
      <c r="O37" s="537">
        <f>Time!O$72</f>
        <v>1</v>
      </c>
      <c r="P37" s="537">
        <f>Time!P$72</f>
        <v>1</v>
      </c>
      <c r="Q37" s="537">
        <f>Time!Q$72</f>
        <v>1</v>
      </c>
      <c r="R37" s="537">
        <f>Time!R$72</f>
        <v>1</v>
      </c>
      <c r="S37" s="537">
        <f>Time!S$72</f>
        <v>1</v>
      </c>
      <c r="T37" s="537">
        <f>Time!T$72</f>
        <v>1</v>
      </c>
      <c r="U37" s="537">
        <f>Time!U$72</f>
        <v>1</v>
      </c>
      <c r="V37" s="537">
        <f>Time!V$72</f>
        <v>1</v>
      </c>
      <c r="W37" s="537">
        <f>Time!W$72</f>
        <v>1</v>
      </c>
      <c r="X37" s="537">
        <f>Time!X$72</f>
        <v>1</v>
      </c>
      <c r="Y37" s="537">
        <f>Time!Y$72</f>
        <v>1</v>
      </c>
      <c r="Z37" s="537">
        <f>Time!Z$72</f>
        <v>1</v>
      </c>
      <c r="AA37" s="537">
        <f>Time!AA$72</f>
        <v>1</v>
      </c>
      <c r="AB37" s="537">
        <f>Time!AB$72</f>
        <v>1</v>
      </c>
      <c r="AC37" s="537">
        <f>Time!AC$72</f>
        <v>1</v>
      </c>
      <c r="AD37" s="537">
        <f>Time!AD$72</f>
        <v>1</v>
      </c>
      <c r="AE37" s="537">
        <f>Time!AE$72</f>
        <v>1</v>
      </c>
      <c r="AF37" s="537">
        <f>Time!AF$72</f>
        <v>1</v>
      </c>
      <c r="AG37" s="537">
        <f>Time!AG$72</f>
        <v>1</v>
      </c>
      <c r="AH37" s="537">
        <f>Time!AH$72</f>
        <v>0</v>
      </c>
      <c r="AI37" s="537">
        <f>Time!AI$72</f>
        <v>0</v>
      </c>
      <c r="AJ37" s="537">
        <f>Time!AJ$72</f>
        <v>0</v>
      </c>
      <c r="AK37" s="537">
        <f>Time!AK$72</f>
        <v>0</v>
      </c>
      <c r="AL37" s="537">
        <f>Time!AL$72</f>
        <v>0</v>
      </c>
      <c r="AM37" s="537">
        <f>Time!AM$72</f>
        <v>0</v>
      </c>
      <c r="AN37" s="537">
        <f>Time!AN$72</f>
        <v>0</v>
      </c>
      <c r="AO37" s="537">
        <f>Time!AO$72</f>
        <v>0</v>
      </c>
      <c r="AP37" s="537">
        <f>Time!AP$72</f>
        <v>0</v>
      </c>
      <c r="AQ37" s="537">
        <f>Time!AQ$72</f>
        <v>0</v>
      </c>
      <c r="AR37" s="537">
        <f>Time!AR$72</f>
        <v>0</v>
      </c>
      <c r="AS37" s="537">
        <f>Time!AS$72</f>
        <v>0</v>
      </c>
      <c r="AT37" s="537">
        <f>Time!AT$72</f>
        <v>0</v>
      </c>
      <c r="AU37" s="537">
        <f>Time!AU$72</f>
        <v>0</v>
      </c>
      <c r="AV37" s="537">
        <f>Time!AV$72</f>
        <v>0</v>
      </c>
      <c r="AW37" s="537">
        <f>Time!AW$72</f>
        <v>0</v>
      </c>
      <c r="AX37" s="537">
        <f>Time!AX$72</f>
        <v>0</v>
      </c>
      <c r="AY37" s="537">
        <f>Time!AY$72</f>
        <v>0</v>
      </c>
      <c r="AZ37" s="537">
        <f>Time!AZ$72</f>
        <v>0</v>
      </c>
      <c r="BA37" s="537">
        <f>Time!BA$72</f>
        <v>0</v>
      </c>
      <c r="BB37" s="537">
        <f>Time!BB$72</f>
        <v>0</v>
      </c>
      <c r="BC37" s="537">
        <f>Time!BC$72</f>
        <v>0</v>
      </c>
      <c r="BD37" s="537">
        <f>Time!BD$72</f>
        <v>0</v>
      </c>
      <c r="BE37" s="537">
        <f>Time!BE$72</f>
        <v>0</v>
      </c>
      <c r="BF37" s="537">
        <f>Time!BF$72</f>
        <v>0</v>
      </c>
      <c r="BG37" s="537">
        <f>Time!BG$72</f>
        <v>0</v>
      </c>
      <c r="BH37" s="537">
        <f>Time!BH$72</f>
        <v>0</v>
      </c>
      <c r="BI37" s="537">
        <f>Time!BI$72</f>
        <v>0</v>
      </c>
      <c r="BJ37" s="537">
        <f>Time!BJ$72</f>
        <v>0</v>
      </c>
      <c r="BK37" s="537">
        <f>Time!BK$72</f>
        <v>0</v>
      </c>
      <c r="BL37" s="537">
        <f>Time!BL$72</f>
        <v>0</v>
      </c>
      <c r="BM37" s="537">
        <f>Time!BM$72</f>
        <v>0</v>
      </c>
      <c r="BN37" s="537">
        <f>Time!BN$72</f>
        <v>0</v>
      </c>
      <c r="BO37" s="537">
        <f>Time!BO$72</f>
        <v>0</v>
      </c>
      <c r="BP37" s="537">
        <f>Time!BP$72</f>
        <v>0</v>
      </c>
      <c r="BQ37" s="537">
        <f>Time!BQ$72</f>
        <v>0</v>
      </c>
      <c r="BR37" s="537">
        <f>Time!BR$72</f>
        <v>0</v>
      </c>
      <c r="BS37" s="537">
        <f>Time!BS$72</f>
        <v>0</v>
      </c>
      <c r="BT37" s="537">
        <f>Time!BT$72</f>
        <v>0</v>
      </c>
      <c r="BU37" s="537">
        <f>Time!BU$72</f>
        <v>0</v>
      </c>
      <c r="BV37" s="537">
        <f>Time!BV$72</f>
        <v>0</v>
      </c>
      <c r="BW37" s="537">
        <f>Time!BW$72</f>
        <v>0</v>
      </c>
      <c r="BX37" s="537">
        <f>Time!BX$72</f>
        <v>0</v>
      </c>
      <c r="BY37" s="537">
        <f>Time!BY$72</f>
        <v>0</v>
      </c>
      <c r="BZ37" s="537">
        <f>Time!BZ$72</f>
        <v>0</v>
      </c>
      <c r="CA37" s="537">
        <f>Time!CA$72</f>
        <v>0</v>
      </c>
      <c r="CB37" s="537">
        <f>Time!CB$72</f>
        <v>0</v>
      </c>
      <c r="CC37" s="537">
        <f>Time!CC$72</f>
        <v>0</v>
      </c>
      <c r="CD37" s="537">
        <f>Time!CD$72</f>
        <v>0</v>
      </c>
      <c r="CE37" s="537">
        <f>Time!CE$72</f>
        <v>0</v>
      </c>
      <c r="CF37" s="537">
        <f>Time!CF$72</f>
        <v>0</v>
      </c>
      <c r="CG37" s="537">
        <f>Time!CG$72</f>
        <v>0</v>
      </c>
      <c r="CH37" s="537">
        <f>Time!CH$72</f>
        <v>0</v>
      </c>
      <c r="CI37" s="537">
        <f>Time!CI$72</f>
        <v>0</v>
      </c>
      <c r="CJ37" s="537">
        <f>Time!CJ$72</f>
        <v>0</v>
      </c>
      <c r="CK37" s="537">
        <f>Time!CK$72</f>
        <v>0</v>
      </c>
      <c r="CL37" s="537">
        <f>Time!CL$72</f>
        <v>0</v>
      </c>
      <c r="CM37" s="537">
        <f>Time!CM$72</f>
        <v>0</v>
      </c>
      <c r="CN37" s="537">
        <f>Time!CN$72</f>
        <v>0</v>
      </c>
      <c r="CO37" s="537">
        <f>Time!CO$72</f>
        <v>0</v>
      </c>
      <c r="CP37" s="537">
        <f>Time!CP$72</f>
        <v>0</v>
      </c>
      <c r="CQ37" s="537">
        <f>Time!CQ$72</f>
        <v>0</v>
      </c>
      <c r="CR37" s="537">
        <f>Time!CR$72</f>
        <v>0</v>
      </c>
      <c r="CS37" s="537">
        <f>Time!CS$72</f>
        <v>0</v>
      </c>
      <c r="CT37" s="537">
        <f>Time!CT$72</f>
        <v>0</v>
      </c>
      <c r="CU37" s="537">
        <f>Time!CU$72</f>
        <v>0</v>
      </c>
      <c r="CV37" s="537">
        <f>Time!CV$72</f>
        <v>0</v>
      </c>
      <c r="CW37" s="537">
        <f>Time!CW$72</f>
        <v>0</v>
      </c>
      <c r="CX37" s="537">
        <f>Time!CX$72</f>
        <v>0</v>
      </c>
      <c r="CY37" s="537">
        <f>Time!CY$72</f>
        <v>0</v>
      </c>
      <c r="CZ37" s="537">
        <f>Time!CZ$72</f>
        <v>0</v>
      </c>
      <c r="DA37" s="537">
        <f>Time!DA$72</f>
        <v>0</v>
      </c>
      <c r="DB37" s="537">
        <f>Time!DB$72</f>
        <v>0</v>
      </c>
      <c r="DC37" s="537">
        <f>Time!DC$72</f>
        <v>0</v>
      </c>
      <c r="DD37" s="537">
        <f>Time!DD$72</f>
        <v>0</v>
      </c>
      <c r="DE37" s="537">
        <f>Time!DE$72</f>
        <v>0</v>
      </c>
      <c r="DF37" s="537">
        <f>Time!DF$72</f>
        <v>0</v>
      </c>
      <c r="DG37" s="537">
        <f>Time!DG$72</f>
        <v>0</v>
      </c>
      <c r="DH37" s="537">
        <f>Time!DH$72</f>
        <v>0</v>
      </c>
      <c r="DI37" s="537">
        <f>Time!DI$72</f>
        <v>0</v>
      </c>
      <c r="DJ37" s="537">
        <f>Time!DJ$72</f>
        <v>0</v>
      </c>
      <c r="DK37" s="537">
        <f>Time!DK$72</f>
        <v>0</v>
      </c>
      <c r="DL37" s="537">
        <f>Time!DL$72</f>
        <v>0</v>
      </c>
      <c r="DM37" s="537">
        <f>Time!DM$72</f>
        <v>0</v>
      </c>
      <c r="DN37" s="537">
        <f>Time!DN$72</f>
        <v>0</v>
      </c>
      <c r="DO37" s="537">
        <f>Time!DO$72</f>
        <v>0</v>
      </c>
      <c r="DP37" s="537">
        <f>Time!DP$72</f>
        <v>0</v>
      </c>
      <c r="DQ37" s="537">
        <f>Time!DQ$72</f>
        <v>0</v>
      </c>
      <c r="DR37" s="537">
        <f>Time!DR$72</f>
        <v>0</v>
      </c>
      <c r="DS37" s="537">
        <f>Time!DS$72</f>
        <v>0</v>
      </c>
      <c r="DT37" s="537">
        <f>Time!DT$72</f>
        <v>0</v>
      </c>
      <c r="DU37" s="537">
        <f>Time!DU$72</f>
        <v>0</v>
      </c>
      <c r="DV37" s="537">
        <f>Time!DV$72</f>
        <v>0</v>
      </c>
      <c r="DW37" s="537">
        <f>Time!DW$72</f>
        <v>0</v>
      </c>
      <c r="DX37" s="537">
        <f>Time!DX$72</f>
        <v>0</v>
      </c>
      <c r="DY37" s="537">
        <f>Time!DY$72</f>
        <v>0</v>
      </c>
      <c r="DZ37" s="537">
        <f>Time!DZ$72</f>
        <v>0</v>
      </c>
      <c r="EA37" s="537">
        <f>Time!EA$72</f>
        <v>0</v>
      </c>
      <c r="EB37" s="537">
        <f>Time!EB$72</f>
        <v>0</v>
      </c>
      <c r="EC37" s="537">
        <f>Time!EC$72</f>
        <v>0</v>
      </c>
      <c r="ED37" s="537">
        <f>Time!ED$72</f>
        <v>0</v>
      </c>
      <c r="EE37" s="537">
        <f>Time!EE$72</f>
        <v>0</v>
      </c>
      <c r="EF37" s="537">
        <f>Time!EF$72</f>
        <v>0</v>
      </c>
      <c r="EG37" s="537">
        <f>Time!EG$72</f>
        <v>0</v>
      </c>
    </row>
    <row r="38" spans="5:137" ht="12.75">
      <c r="E38" s="535" t="str">
        <f>Time!E$178</f>
        <v>Year fraction of period</v>
      </c>
      <c r="G38" s="537" t="str">
        <f>Time!G$178</f>
        <v>fraction</v>
      </c>
      <c r="H38" s="537">
        <f>Time!H$178</f>
        <v>28</v>
      </c>
      <c r="J38" s="537">
        <f>Time!J$178</f>
        <v>0.083333333333333329</v>
      </c>
      <c r="K38" s="537">
        <f>Time!K$178</f>
        <v>0.083333333333333329</v>
      </c>
      <c r="L38" s="537">
        <f>Time!L$178</f>
        <v>0.083333333333333329</v>
      </c>
      <c r="M38" s="537">
        <f>Time!M$178</f>
        <v>0.083333333333333329</v>
      </c>
      <c r="N38" s="537">
        <f>Time!N$178</f>
        <v>0.083333333333333329</v>
      </c>
      <c r="O38" s="537">
        <f>Time!O$178</f>
        <v>0.083333333333333329</v>
      </c>
      <c r="P38" s="537">
        <f>Time!P$178</f>
        <v>0.083333333333333329</v>
      </c>
      <c r="Q38" s="537">
        <f>Time!Q$178</f>
        <v>0.083333333333333329</v>
      </c>
      <c r="R38" s="537">
        <f>Time!R$178</f>
        <v>0.083333333333333329</v>
      </c>
      <c r="S38" s="537">
        <f>Time!S$178</f>
        <v>0.083333333333333329</v>
      </c>
      <c r="T38" s="537">
        <f>Time!T$178</f>
        <v>0.083333333333333329</v>
      </c>
      <c r="U38" s="537">
        <f>Time!U$178</f>
        <v>0.083333333333333329</v>
      </c>
      <c r="V38" s="537">
        <f>Time!V$178</f>
        <v>0.083333333333333329</v>
      </c>
      <c r="W38" s="537">
        <f>Time!W$178</f>
        <v>0.083333333333333329</v>
      </c>
      <c r="X38" s="537">
        <f>Time!X$178</f>
        <v>0.083333333333333329</v>
      </c>
      <c r="Y38" s="537">
        <f>Time!Y$178</f>
        <v>0.083333333333333329</v>
      </c>
      <c r="Z38" s="537">
        <f>Time!Z$178</f>
        <v>0.083333333333333329</v>
      </c>
      <c r="AA38" s="537">
        <f>Time!AA$178</f>
        <v>0.083333333333333329</v>
      </c>
      <c r="AB38" s="537">
        <f>Time!AB$178</f>
        <v>0.083333333333333329</v>
      </c>
      <c r="AC38" s="537">
        <f>Time!AC$178</f>
        <v>0.083333333333333329</v>
      </c>
      <c r="AD38" s="537">
        <f>Time!AD$178</f>
        <v>0.083333333333333329</v>
      </c>
      <c r="AE38" s="537">
        <f>Time!AE$178</f>
        <v>0.083333333333333329</v>
      </c>
      <c r="AF38" s="537">
        <f>Time!AF$178</f>
        <v>0.083333333333333329</v>
      </c>
      <c r="AG38" s="537">
        <f>Time!AG$178</f>
        <v>0.083333333333333329</v>
      </c>
      <c r="AH38" s="537">
        <f>Time!AH$178</f>
        <v>0.25</v>
      </c>
      <c r="AI38" s="537">
        <f>Time!AI$178</f>
        <v>0.25</v>
      </c>
      <c r="AJ38" s="537">
        <f>Time!AJ$178</f>
        <v>0.25</v>
      </c>
      <c r="AK38" s="537">
        <f>Time!AK$178</f>
        <v>0.25</v>
      </c>
      <c r="AL38" s="537">
        <f>Time!AL$178</f>
        <v>0.25</v>
      </c>
      <c r="AM38" s="537">
        <f>Time!AM$178</f>
        <v>0.25</v>
      </c>
      <c r="AN38" s="537">
        <f>Time!AN$178</f>
        <v>0.25</v>
      </c>
      <c r="AO38" s="537">
        <f>Time!AO$178</f>
        <v>0.25</v>
      </c>
      <c r="AP38" s="537">
        <f>Time!AP$178</f>
        <v>0.25</v>
      </c>
      <c r="AQ38" s="537">
        <f>Time!AQ$178</f>
        <v>0.25</v>
      </c>
      <c r="AR38" s="537">
        <f>Time!AR$178</f>
        <v>0.25</v>
      </c>
      <c r="AS38" s="537">
        <f>Time!AS$178</f>
        <v>0.25</v>
      </c>
      <c r="AT38" s="537">
        <f>Time!AT$178</f>
        <v>0.25</v>
      </c>
      <c r="AU38" s="537">
        <f>Time!AU$178</f>
        <v>0.25</v>
      </c>
      <c r="AV38" s="537">
        <f>Time!AV$178</f>
        <v>0.25</v>
      </c>
      <c r="AW38" s="537">
        <f>Time!AW$178</f>
        <v>0.25</v>
      </c>
      <c r="AX38" s="537">
        <f>Time!AX$178</f>
        <v>0.25</v>
      </c>
      <c r="AY38" s="537">
        <f>Time!AY$178</f>
        <v>0.25</v>
      </c>
      <c r="AZ38" s="537">
        <f>Time!AZ$178</f>
        <v>0.25</v>
      </c>
      <c r="BA38" s="537">
        <f>Time!BA$178</f>
        <v>0.25</v>
      </c>
      <c r="BB38" s="537">
        <f>Time!BB$178</f>
        <v>0.25</v>
      </c>
      <c r="BC38" s="537">
        <f>Time!BC$178</f>
        <v>0.25</v>
      </c>
      <c r="BD38" s="537">
        <f>Time!BD$178</f>
        <v>0.25</v>
      </c>
      <c r="BE38" s="537">
        <f>Time!BE$178</f>
        <v>0.25</v>
      </c>
      <c r="BF38" s="537">
        <f>Time!BF$178</f>
        <v>0.25</v>
      </c>
      <c r="BG38" s="537">
        <f>Time!BG$178</f>
        <v>0.25</v>
      </c>
      <c r="BH38" s="537">
        <f>Time!BH$178</f>
        <v>0.25</v>
      </c>
      <c r="BI38" s="537">
        <f>Time!BI$178</f>
        <v>0.25</v>
      </c>
      <c r="BJ38" s="537">
        <f>Time!BJ$178</f>
        <v>0.25</v>
      </c>
      <c r="BK38" s="537">
        <f>Time!BK$178</f>
        <v>0.25</v>
      </c>
      <c r="BL38" s="537">
        <f>Time!BL$178</f>
        <v>0.25</v>
      </c>
      <c r="BM38" s="537">
        <f>Time!BM$178</f>
        <v>0.25</v>
      </c>
      <c r="BN38" s="537">
        <f>Time!BN$178</f>
        <v>0.25</v>
      </c>
      <c r="BO38" s="537">
        <f>Time!BO$178</f>
        <v>0.25</v>
      </c>
      <c r="BP38" s="537">
        <f>Time!BP$178</f>
        <v>0.25</v>
      </c>
      <c r="BQ38" s="537">
        <f>Time!BQ$178</f>
        <v>0.25</v>
      </c>
      <c r="BR38" s="537">
        <f>Time!BR$178</f>
        <v>0.25</v>
      </c>
      <c r="BS38" s="537">
        <f>Time!BS$178</f>
        <v>0.25</v>
      </c>
      <c r="BT38" s="537">
        <f>Time!BT$178</f>
        <v>0.25</v>
      </c>
      <c r="BU38" s="537">
        <f>Time!BU$178</f>
        <v>0.25</v>
      </c>
      <c r="BV38" s="537">
        <f>Time!BV$178</f>
        <v>0.25</v>
      </c>
      <c r="BW38" s="537">
        <f>Time!BW$178</f>
        <v>0.25</v>
      </c>
      <c r="BX38" s="537">
        <f>Time!BX$178</f>
        <v>0.25</v>
      </c>
      <c r="BY38" s="537">
        <f>Time!BY$178</f>
        <v>0.25</v>
      </c>
      <c r="BZ38" s="537">
        <f>Time!BZ$178</f>
        <v>0.25</v>
      </c>
      <c r="CA38" s="537">
        <f>Time!CA$178</f>
        <v>0.25</v>
      </c>
      <c r="CB38" s="537">
        <f>Time!CB$178</f>
        <v>0.25</v>
      </c>
      <c r="CC38" s="537">
        <f>Time!CC$178</f>
        <v>0.25</v>
      </c>
      <c r="CD38" s="537">
        <f>Time!CD$178</f>
        <v>0.25</v>
      </c>
      <c r="CE38" s="537">
        <f>Time!CE$178</f>
        <v>0.25</v>
      </c>
      <c r="CF38" s="537">
        <f>Time!CF$178</f>
        <v>0.25</v>
      </c>
      <c r="CG38" s="537">
        <f>Time!CG$178</f>
        <v>0.25</v>
      </c>
      <c r="CH38" s="537">
        <f>Time!CH$178</f>
        <v>0.25</v>
      </c>
      <c r="CI38" s="537">
        <f>Time!CI$178</f>
        <v>0.25</v>
      </c>
      <c r="CJ38" s="537">
        <f>Time!CJ$178</f>
        <v>0.25</v>
      </c>
      <c r="CK38" s="537">
        <f>Time!CK$178</f>
        <v>0.25</v>
      </c>
      <c r="CL38" s="537">
        <f>Time!CL$178</f>
        <v>0.25</v>
      </c>
      <c r="CM38" s="537">
        <f>Time!CM$178</f>
        <v>0.25</v>
      </c>
      <c r="CN38" s="537">
        <f>Time!CN$178</f>
        <v>0.25</v>
      </c>
      <c r="CO38" s="537">
        <f>Time!CO$178</f>
        <v>0.25</v>
      </c>
      <c r="CP38" s="537">
        <f>Time!CP$178</f>
        <v>0.25</v>
      </c>
      <c r="CQ38" s="537">
        <f>Time!CQ$178</f>
        <v>0.25</v>
      </c>
      <c r="CR38" s="537">
        <f>Time!CR$178</f>
        <v>0.25</v>
      </c>
      <c r="CS38" s="537">
        <f>Time!CS$178</f>
        <v>0.25</v>
      </c>
      <c r="CT38" s="537">
        <f>Time!CT$178</f>
        <v>0.25</v>
      </c>
      <c r="CU38" s="537">
        <f>Time!CU$178</f>
        <v>0.25</v>
      </c>
      <c r="CV38" s="537">
        <f>Time!CV$178</f>
        <v>0.25</v>
      </c>
      <c r="CW38" s="537">
        <f>Time!CW$178</f>
        <v>0.25</v>
      </c>
      <c r="CX38" s="537">
        <f>Time!CX$178</f>
        <v>0.25</v>
      </c>
      <c r="CY38" s="537">
        <f>Time!CY$178</f>
        <v>0.25</v>
      </c>
      <c r="CZ38" s="537">
        <f>Time!CZ$178</f>
        <v>0.25</v>
      </c>
      <c r="DA38" s="537">
        <f>Time!DA$178</f>
        <v>0.25</v>
      </c>
      <c r="DB38" s="537">
        <f>Time!DB$178</f>
        <v>0.25</v>
      </c>
      <c r="DC38" s="537">
        <f>Time!DC$178</f>
        <v>0.25</v>
      </c>
      <c r="DD38" s="537">
        <f>Time!DD$178</f>
        <v>0.25</v>
      </c>
      <c r="DE38" s="537">
        <f>Time!DE$178</f>
        <v>0.25</v>
      </c>
      <c r="DF38" s="537">
        <f>Time!DF$178</f>
        <v>0.25</v>
      </c>
      <c r="DG38" s="537">
        <f>Time!DG$178</f>
        <v>0.25</v>
      </c>
      <c r="DH38" s="537">
        <f>Time!DH$178</f>
        <v>0.25</v>
      </c>
      <c r="DI38" s="537">
        <f>Time!DI$178</f>
        <v>0.25</v>
      </c>
      <c r="DJ38" s="537">
        <f>Time!DJ$178</f>
        <v>0.25</v>
      </c>
      <c r="DK38" s="537">
        <f>Time!DK$178</f>
        <v>0.25</v>
      </c>
      <c r="DL38" s="537">
        <f>Time!DL$178</f>
        <v>0.25</v>
      </c>
      <c r="DM38" s="537">
        <f>Time!DM$178</f>
        <v>0.25</v>
      </c>
      <c r="DN38" s="537">
        <f>Time!DN$178</f>
        <v>0.25</v>
      </c>
      <c r="DO38" s="537">
        <f>Time!DO$178</f>
        <v>0.25</v>
      </c>
      <c r="DP38" s="537">
        <f>Time!DP$178</f>
        <v>0.25</v>
      </c>
      <c r="DQ38" s="537">
        <f>Time!DQ$178</f>
        <v>0.25</v>
      </c>
      <c r="DR38" s="537">
        <f>Time!DR$178</f>
        <v>0.25</v>
      </c>
      <c r="DS38" s="537">
        <f>Time!DS$178</f>
        <v>0.25</v>
      </c>
      <c r="DT38" s="537">
        <f>Time!DT$178</f>
        <v>0.25</v>
      </c>
      <c r="DU38" s="537">
        <f>Time!DU$178</f>
        <v>0.25</v>
      </c>
      <c r="DV38" s="537">
        <f>Time!DV$178</f>
        <v>0.25</v>
      </c>
      <c r="DW38" s="537">
        <f>Time!DW$178</f>
        <v>0.25</v>
      </c>
      <c r="DX38" s="537">
        <f>Time!DX$178</f>
        <v>0.25</v>
      </c>
      <c r="DY38" s="537">
        <f>Time!DY$178</f>
        <v>0.25</v>
      </c>
      <c r="DZ38" s="537">
        <f>Time!DZ$178</f>
        <v>0.25</v>
      </c>
      <c r="EA38" s="537">
        <f>Time!EA$178</f>
        <v>0.25</v>
      </c>
      <c r="EB38" s="537">
        <f>Time!EB$178</f>
        <v>0.25</v>
      </c>
      <c r="EC38" s="537">
        <f>Time!EC$178</f>
        <v>0.25</v>
      </c>
      <c r="ED38" s="537">
        <f>Time!ED$178</f>
        <v>0.25</v>
      </c>
      <c r="EE38" s="537">
        <f>Time!EE$178</f>
        <v>0.25</v>
      </c>
      <c r="EF38" s="537">
        <f>Time!EF$178</f>
        <v>0.25</v>
      </c>
      <c r="EG38" s="537">
        <f>Time!EG$178</f>
        <v>0.25</v>
      </c>
    </row>
    <row r="39" spans="5:137" ht="12.75">
      <c r="E39" s="538" t="s">
        <v>207</v>
      </c>
      <c r="G39" s="539" t="s">
        <v>30</v>
      </c>
      <c r="H39" s="539">
        <f>SUM(J39:EG39)</f>
        <v>52.5</v>
      </c>
      <c r="J39" s="539">
        <f t="shared" si="10" ref="J39:EG39">$F36*J38*J37</f>
        <v>0</v>
      </c>
      <c r="K39" s="539">
        <f t="shared" si="10"/>
        <v>0</v>
      </c>
      <c r="L39" s="539">
        <f t="shared" si="10"/>
        <v>0</v>
      </c>
      <c r="M39" s="539">
        <f t="shared" si="10"/>
        <v>2.5</v>
      </c>
      <c r="N39" s="539">
        <f t="shared" si="10"/>
        <v>2.5</v>
      </c>
      <c r="O39" s="539">
        <f t="shared" si="10"/>
        <v>2.5</v>
      </c>
      <c r="P39" s="539">
        <f t="shared" si="10"/>
        <v>2.5</v>
      </c>
      <c r="Q39" s="539">
        <f t="shared" si="10"/>
        <v>2.5</v>
      </c>
      <c r="R39" s="539">
        <f t="shared" si="10"/>
        <v>2.5</v>
      </c>
      <c r="S39" s="539">
        <f t="shared" si="10"/>
        <v>2.5</v>
      </c>
      <c r="T39" s="539">
        <f t="shared" si="10"/>
        <v>2.5</v>
      </c>
      <c r="U39" s="539">
        <f t="shared" si="10"/>
        <v>2.5</v>
      </c>
      <c r="V39" s="539">
        <f t="shared" si="10"/>
        <v>2.5</v>
      </c>
      <c r="W39" s="539">
        <f t="shared" si="10"/>
        <v>2.5</v>
      </c>
      <c r="X39" s="539">
        <f t="shared" si="10"/>
        <v>2.5</v>
      </c>
      <c r="Y39" s="539">
        <f t="shared" si="10"/>
        <v>2.5</v>
      </c>
      <c r="Z39" s="539">
        <f t="shared" si="10"/>
        <v>2.5</v>
      </c>
      <c r="AA39" s="539">
        <f t="shared" si="10"/>
        <v>2.5</v>
      </c>
      <c r="AB39" s="539">
        <f t="shared" si="10"/>
        <v>2.5</v>
      </c>
      <c r="AC39" s="539">
        <f t="shared" si="10"/>
        <v>2.5</v>
      </c>
      <c r="AD39" s="539">
        <f t="shared" si="10"/>
        <v>2.5</v>
      </c>
      <c r="AE39" s="539">
        <f t="shared" si="10"/>
        <v>2.5</v>
      </c>
      <c r="AF39" s="539">
        <f t="shared" si="10"/>
        <v>2.5</v>
      </c>
      <c r="AG39" s="539">
        <f t="shared" si="10"/>
        <v>2.5</v>
      </c>
      <c r="AH39" s="539">
        <f t="shared" si="10"/>
        <v>0</v>
      </c>
      <c r="AI39" s="539">
        <f t="shared" si="10"/>
        <v>0</v>
      </c>
      <c r="AJ39" s="539">
        <f t="shared" si="10"/>
        <v>0</v>
      </c>
      <c r="AK39" s="539">
        <f t="shared" si="10"/>
        <v>0</v>
      </c>
      <c r="AL39" s="539">
        <f t="shared" si="10"/>
        <v>0</v>
      </c>
      <c r="AM39" s="539">
        <f t="shared" si="10"/>
        <v>0</v>
      </c>
      <c r="AN39" s="539">
        <f t="shared" si="10"/>
        <v>0</v>
      </c>
      <c r="AO39" s="539">
        <f t="shared" si="10"/>
        <v>0</v>
      </c>
      <c r="AP39" s="539">
        <f t="shared" si="10"/>
        <v>0</v>
      </c>
      <c r="AQ39" s="539">
        <f t="shared" si="10"/>
        <v>0</v>
      </c>
      <c r="AR39" s="539">
        <f t="shared" si="10"/>
        <v>0</v>
      </c>
      <c r="AS39" s="539">
        <f t="shared" si="10"/>
        <v>0</v>
      </c>
      <c r="AT39" s="539">
        <f t="shared" si="10"/>
        <v>0</v>
      </c>
      <c r="AU39" s="539">
        <f t="shared" si="10"/>
        <v>0</v>
      </c>
      <c r="AV39" s="539">
        <f t="shared" si="10"/>
        <v>0</v>
      </c>
      <c r="AW39" s="539">
        <f t="shared" si="10"/>
        <v>0</v>
      </c>
      <c r="AX39" s="539">
        <f t="shared" si="10"/>
        <v>0</v>
      </c>
      <c r="AY39" s="539">
        <f t="shared" si="10"/>
        <v>0</v>
      </c>
      <c r="AZ39" s="539">
        <f t="shared" si="10"/>
        <v>0</v>
      </c>
      <c r="BA39" s="539">
        <f t="shared" si="10"/>
        <v>0</v>
      </c>
      <c r="BB39" s="539">
        <f t="shared" si="10"/>
        <v>0</v>
      </c>
      <c r="BC39" s="539">
        <f t="shared" si="10"/>
        <v>0</v>
      </c>
      <c r="BD39" s="539">
        <f t="shared" si="10"/>
        <v>0</v>
      </c>
      <c r="BE39" s="539">
        <f t="shared" si="10"/>
        <v>0</v>
      </c>
      <c r="BF39" s="539">
        <f t="shared" si="10"/>
        <v>0</v>
      </c>
      <c r="BG39" s="539">
        <f t="shared" si="10"/>
        <v>0</v>
      </c>
      <c r="BH39" s="539">
        <f t="shared" si="10"/>
        <v>0</v>
      </c>
      <c r="BI39" s="539">
        <f t="shared" si="10"/>
        <v>0</v>
      </c>
      <c r="BJ39" s="539">
        <f t="shared" si="10"/>
        <v>0</v>
      </c>
      <c r="BK39" s="539">
        <f t="shared" si="10"/>
        <v>0</v>
      </c>
      <c r="BL39" s="539">
        <f t="shared" si="10"/>
        <v>0</v>
      </c>
      <c r="BM39" s="539">
        <f t="shared" si="10"/>
        <v>0</v>
      </c>
      <c r="BN39" s="539">
        <f t="shared" si="10"/>
        <v>0</v>
      </c>
      <c r="BO39" s="539">
        <f t="shared" si="10"/>
        <v>0</v>
      </c>
      <c r="BP39" s="539">
        <f t="shared" si="10"/>
        <v>0</v>
      </c>
      <c r="BQ39" s="539">
        <f t="shared" si="10"/>
        <v>0</v>
      </c>
      <c r="BR39" s="539">
        <f t="shared" si="10"/>
        <v>0</v>
      </c>
      <c r="BS39" s="539">
        <f t="shared" si="10"/>
        <v>0</v>
      </c>
      <c r="BT39" s="539">
        <f t="shared" si="10"/>
        <v>0</v>
      </c>
      <c r="BU39" s="539">
        <f t="shared" si="10"/>
        <v>0</v>
      </c>
      <c r="BV39" s="539">
        <f t="shared" si="10"/>
        <v>0</v>
      </c>
      <c r="BW39" s="539">
        <f t="shared" si="10"/>
        <v>0</v>
      </c>
      <c r="BX39" s="539">
        <f t="shared" si="10"/>
        <v>0</v>
      </c>
      <c r="BY39" s="539">
        <f t="shared" si="10"/>
        <v>0</v>
      </c>
      <c r="BZ39" s="539">
        <f t="shared" si="10"/>
        <v>0</v>
      </c>
      <c r="CA39" s="539">
        <f t="shared" si="10"/>
        <v>0</v>
      </c>
      <c r="CB39" s="539">
        <f t="shared" si="10"/>
        <v>0</v>
      </c>
      <c r="CC39" s="539">
        <f t="shared" si="10"/>
        <v>0</v>
      </c>
      <c r="CD39" s="539">
        <f t="shared" si="10"/>
        <v>0</v>
      </c>
      <c r="CE39" s="539">
        <f t="shared" si="10"/>
        <v>0</v>
      </c>
      <c r="CF39" s="539">
        <f t="shared" si="10"/>
        <v>0</v>
      </c>
      <c r="CG39" s="539">
        <f t="shared" si="10"/>
        <v>0</v>
      </c>
      <c r="CH39" s="539">
        <f t="shared" si="10"/>
        <v>0</v>
      </c>
      <c r="CI39" s="539">
        <f t="shared" si="10"/>
        <v>0</v>
      </c>
      <c r="CJ39" s="539">
        <f t="shared" si="10"/>
        <v>0</v>
      </c>
      <c r="CK39" s="539">
        <f t="shared" si="10"/>
        <v>0</v>
      </c>
      <c r="CL39" s="539">
        <f t="shared" si="10"/>
        <v>0</v>
      </c>
      <c r="CM39" s="539">
        <f t="shared" si="10"/>
        <v>0</v>
      </c>
      <c r="CN39" s="539">
        <f t="shared" si="10"/>
        <v>0</v>
      </c>
      <c r="CO39" s="539">
        <f t="shared" si="10"/>
        <v>0</v>
      </c>
      <c r="CP39" s="539">
        <f t="shared" si="10"/>
        <v>0</v>
      </c>
      <c r="CQ39" s="539">
        <f t="shared" si="10"/>
        <v>0</v>
      </c>
      <c r="CR39" s="539">
        <f t="shared" si="10"/>
        <v>0</v>
      </c>
      <c r="CS39" s="539">
        <f t="shared" si="10"/>
        <v>0</v>
      </c>
      <c r="CT39" s="539">
        <f t="shared" si="10"/>
        <v>0</v>
      </c>
      <c r="CU39" s="539">
        <f t="shared" si="10"/>
        <v>0</v>
      </c>
      <c r="CV39" s="539">
        <f t="shared" si="10"/>
        <v>0</v>
      </c>
      <c r="CW39" s="539">
        <f t="shared" si="10"/>
        <v>0</v>
      </c>
      <c r="CX39" s="539">
        <f t="shared" si="10"/>
        <v>0</v>
      </c>
      <c r="CY39" s="539">
        <f t="shared" si="10"/>
        <v>0</v>
      </c>
      <c r="CZ39" s="539">
        <f t="shared" si="10"/>
        <v>0</v>
      </c>
      <c r="DA39" s="539">
        <f t="shared" si="10"/>
        <v>0</v>
      </c>
      <c r="DB39" s="539">
        <f t="shared" si="10"/>
        <v>0</v>
      </c>
      <c r="DC39" s="539">
        <f t="shared" si="10"/>
        <v>0</v>
      </c>
      <c r="DD39" s="539">
        <f t="shared" si="10"/>
        <v>0</v>
      </c>
      <c r="DE39" s="539">
        <f t="shared" si="10"/>
        <v>0</v>
      </c>
      <c r="DF39" s="539">
        <f t="shared" si="10"/>
        <v>0</v>
      </c>
      <c r="DG39" s="539">
        <f t="shared" si="10"/>
        <v>0</v>
      </c>
      <c r="DH39" s="539">
        <f t="shared" si="10"/>
        <v>0</v>
      </c>
      <c r="DI39" s="539">
        <f t="shared" si="10"/>
        <v>0</v>
      </c>
      <c r="DJ39" s="539">
        <f t="shared" si="10"/>
        <v>0</v>
      </c>
      <c r="DK39" s="539">
        <f t="shared" si="10"/>
        <v>0</v>
      </c>
      <c r="DL39" s="539">
        <f t="shared" si="10"/>
        <v>0</v>
      </c>
      <c r="DM39" s="539">
        <f t="shared" si="10"/>
        <v>0</v>
      </c>
      <c r="DN39" s="539">
        <f t="shared" si="10"/>
        <v>0</v>
      </c>
      <c r="DO39" s="539">
        <f t="shared" si="10"/>
        <v>0</v>
      </c>
      <c r="DP39" s="539">
        <f t="shared" si="10"/>
        <v>0</v>
      </c>
      <c r="DQ39" s="539">
        <f t="shared" si="10"/>
        <v>0</v>
      </c>
      <c r="DR39" s="539">
        <f t="shared" si="10"/>
        <v>0</v>
      </c>
      <c r="DS39" s="539">
        <f t="shared" si="10"/>
        <v>0</v>
      </c>
      <c r="DT39" s="539">
        <f t="shared" si="10"/>
        <v>0</v>
      </c>
      <c r="DU39" s="539">
        <f t="shared" si="10"/>
        <v>0</v>
      </c>
      <c r="DV39" s="539">
        <f t="shared" si="10"/>
        <v>0</v>
      </c>
      <c r="DW39" s="539">
        <f t="shared" si="10"/>
        <v>0</v>
      </c>
      <c r="DX39" s="539">
        <f t="shared" si="10"/>
        <v>0</v>
      </c>
      <c r="DY39" s="539">
        <f t="shared" si="10"/>
        <v>0</v>
      </c>
      <c r="DZ39" s="539">
        <f t="shared" si="10"/>
        <v>0</v>
      </c>
      <c r="EA39" s="539">
        <f t="shared" si="10"/>
        <v>0</v>
      </c>
      <c r="EB39" s="539">
        <f t="shared" si="10"/>
        <v>0</v>
      </c>
      <c r="EC39" s="539">
        <f t="shared" si="10"/>
        <v>0</v>
      </c>
      <c r="ED39" s="539">
        <f t="shared" si="10"/>
        <v>0</v>
      </c>
      <c r="EE39" s="539">
        <f t="shared" si="10"/>
        <v>0</v>
      </c>
      <c r="EF39" s="539">
        <f t="shared" si="10"/>
        <v>0</v>
      </c>
      <c r="EG39" s="539">
        <f t="shared" si="10"/>
        <v>0</v>
      </c>
    </row>
    <row r="41" spans="5:137" ht="12.75">
      <c r="E41" s="538" t="str">
        <f>E$19</f>
        <v>Capex package 1 - spend</v>
      </c>
      <c r="G41" s="539" t="str">
        <f>G$19</f>
        <v>EUR 000s</v>
      </c>
      <c r="H41" s="539">
        <f>H$19</f>
        <v>120000</v>
      </c>
      <c r="J41" s="539">
        <f t="shared" si="11" ref="J41:EG41">J$19</f>
        <v>0</v>
      </c>
      <c r="K41" s="539">
        <f t="shared" si="11"/>
        <v>0</v>
      </c>
      <c r="L41" s="539">
        <f t="shared" si="11"/>
        <v>0</v>
      </c>
      <c r="M41" s="539">
        <f t="shared" si="11"/>
        <v>1406.25</v>
      </c>
      <c r="N41" s="539">
        <f t="shared" si="11"/>
        <v>2343.75</v>
      </c>
      <c r="O41" s="539">
        <f t="shared" si="11"/>
        <v>3281.25</v>
      </c>
      <c r="P41" s="539">
        <f t="shared" si="11"/>
        <v>4218.75</v>
      </c>
      <c r="Q41" s="539">
        <f t="shared" si="11"/>
        <v>5156.25</v>
      </c>
      <c r="R41" s="539">
        <f t="shared" si="11"/>
        <v>6093.75</v>
      </c>
      <c r="S41" s="539">
        <f t="shared" si="11"/>
        <v>7031.25</v>
      </c>
      <c r="T41" s="539">
        <f t="shared" si="11"/>
        <v>7968.75</v>
      </c>
      <c r="U41" s="539">
        <f t="shared" si="11"/>
        <v>8906.25</v>
      </c>
      <c r="V41" s="539">
        <f t="shared" si="11"/>
        <v>8906.25</v>
      </c>
      <c r="W41" s="539">
        <f t="shared" si="11"/>
        <v>9375</v>
      </c>
      <c r="X41" s="539">
        <f t="shared" si="11"/>
        <v>8906.25</v>
      </c>
      <c r="Y41" s="539">
        <f t="shared" si="11"/>
        <v>8906.25</v>
      </c>
      <c r="Z41" s="539">
        <f t="shared" si="11"/>
        <v>7968.75</v>
      </c>
      <c r="AA41" s="539">
        <f t="shared" si="11"/>
        <v>7031.25</v>
      </c>
      <c r="AB41" s="539">
        <f t="shared" si="11"/>
        <v>6093.75</v>
      </c>
      <c r="AC41" s="539">
        <f t="shared" si="11"/>
        <v>5156.25</v>
      </c>
      <c r="AD41" s="539">
        <f t="shared" si="11"/>
        <v>4218.75</v>
      </c>
      <c r="AE41" s="539">
        <f t="shared" si="11"/>
        <v>3281.25</v>
      </c>
      <c r="AF41" s="539">
        <f t="shared" si="11"/>
        <v>2343.75</v>
      </c>
      <c r="AG41" s="539">
        <f t="shared" si="11"/>
        <v>1406.25</v>
      </c>
      <c r="AH41" s="539">
        <f t="shared" si="11"/>
        <v>0</v>
      </c>
      <c r="AI41" s="539">
        <f t="shared" si="11"/>
        <v>0</v>
      </c>
      <c r="AJ41" s="539">
        <f t="shared" si="11"/>
        <v>0</v>
      </c>
      <c r="AK41" s="539">
        <f t="shared" si="11"/>
        <v>0</v>
      </c>
      <c r="AL41" s="539">
        <f t="shared" si="11"/>
        <v>0</v>
      </c>
      <c r="AM41" s="539">
        <f t="shared" si="11"/>
        <v>0</v>
      </c>
      <c r="AN41" s="539">
        <f t="shared" si="11"/>
        <v>0</v>
      </c>
      <c r="AO41" s="539">
        <f t="shared" si="11"/>
        <v>0</v>
      </c>
      <c r="AP41" s="539">
        <f t="shared" si="11"/>
        <v>0</v>
      </c>
      <c r="AQ41" s="539">
        <f t="shared" si="11"/>
        <v>0</v>
      </c>
      <c r="AR41" s="539">
        <f t="shared" si="11"/>
        <v>0</v>
      </c>
      <c r="AS41" s="539">
        <f t="shared" si="11"/>
        <v>0</v>
      </c>
      <c r="AT41" s="539">
        <f t="shared" si="11"/>
        <v>0</v>
      </c>
      <c r="AU41" s="539">
        <f t="shared" si="11"/>
        <v>0</v>
      </c>
      <c r="AV41" s="539">
        <f t="shared" si="11"/>
        <v>0</v>
      </c>
      <c r="AW41" s="539">
        <f t="shared" si="11"/>
        <v>0</v>
      </c>
      <c r="AX41" s="539">
        <f t="shared" si="11"/>
        <v>0</v>
      </c>
      <c r="AY41" s="539">
        <f t="shared" si="11"/>
        <v>0</v>
      </c>
      <c r="AZ41" s="539">
        <f t="shared" si="11"/>
        <v>0</v>
      </c>
      <c r="BA41" s="539">
        <f t="shared" si="11"/>
        <v>0</v>
      </c>
      <c r="BB41" s="539">
        <f t="shared" si="11"/>
        <v>0</v>
      </c>
      <c r="BC41" s="539">
        <f t="shared" si="11"/>
        <v>0</v>
      </c>
      <c r="BD41" s="539">
        <f t="shared" si="11"/>
        <v>0</v>
      </c>
      <c r="BE41" s="539">
        <f t="shared" si="11"/>
        <v>0</v>
      </c>
      <c r="BF41" s="539">
        <f t="shared" si="11"/>
        <v>0</v>
      </c>
      <c r="BG41" s="539">
        <f t="shared" si="11"/>
        <v>0</v>
      </c>
      <c r="BH41" s="539">
        <f t="shared" si="11"/>
        <v>0</v>
      </c>
      <c r="BI41" s="539">
        <f t="shared" si="11"/>
        <v>0</v>
      </c>
      <c r="BJ41" s="539">
        <f t="shared" si="11"/>
        <v>0</v>
      </c>
      <c r="BK41" s="539">
        <f t="shared" si="11"/>
        <v>0</v>
      </c>
      <c r="BL41" s="539">
        <f t="shared" si="11"/>
        <v>0</v>
      </c>
      <c r="BM41" s="539">
        <f t="shared" si="11"/>
        <v>0</v>
      </c>
      <c r="BN41" s="539">
        <f t="shared" si="11"/>
        <v>0</v>
      </c>
      <c r="BO41" s="539">
        <f t="shared" si="11"/>
        <v>0</v>
      </c>
      <c r="BP41" s="539">
        <f t="shared" si="11"/>
        <v>0</v>
      </c>
      <c r="BQ41" s="539">
        <f t="shared" si="11"/>
        <v>0</v>
      </c>
      <c r="BR41" s="539">
        <f t="shared" si="11"/>
        <v>0</v>
      </c>
      <c r="BS41" s="539">
        <f t="shared" si="11"/>
        <v>0</v>
      </c>
      <c r="BT41" s="539">
        <f t="shared" si="11"/>
        <v>0</v>
      </c>
      <c r="BU41" s="539">
        <f t="shared" si="11"/>
        <v>0</v>
      </c>
      <c r="BV41" s="539">
        <f t="shared" si="11"/>
        <v>0</v>
      </c>
      <c r="BW41" s="539">
        <f t="shared" si="11"/>
        <v>0</v>
      </c>
      <c r="BX41" s="539">
        <f t="shared" si="11"/>
        <v>0</v>
      </c>
      <c r="BY41" s="539">
        <f t="shared" si="11"/>
        <v>0</v>
      </c>
      <c r="BZ41" s="539">
        <f t="shared" si="11"/>
        <v>0</v>
      </c>
      <c r="CA41" s="539">
        <f t="shared" si="11"/>
        <v>0</v>
      </c>
      <c r="CB41" s="539">
        <f t="shared" si="11"/>
        <v>0</v>
      </c>
      <c r="CC41" s="539">
        <f t="shared" si="11"/>
        <v>0</v>
      </c>
      <c r="CD41" s="539">
        <f t="shared" si="11"/>
        <v>0</v>
      </c>
      <c r="CE41" s="539">
        <f t="shared" si="11"/>
        <v>0</v>
      </c>
      <c r="CF41" s="539">
        <f t="shared" si="11"/>
        <v>0</v>
      </c>
      <c r="CG41" s="539">
        <f t="shared" si="11"/>
        <v>0</v>
      </c>
      <c r="CH41" s="539">
        <f t="shared" si="11"/>
        <v>0</v>
      </c>
      <c r="CI41" s="539">
        <f t="shared" si="11"/>
        <v>0</v>
      </c>
      <c r="CJ41" s="539">
        <f t="shared" si="11"/>
        <v>0</v>
      </c>
      <c r="CK41" s="539">
        <f t="shared" si="11"/>
        <v>0</v>
      </c>
      <c r="CL41" s="539">
        <f t="shared" si="11"/>
        <v>0</v>
      </c>
      <c r="CM41" s="539">
        <f t="shared" si="11"/>
        <v>0</v>
      </c>
      <c r="CN41" s="539">
        <f t="shared" si="11"/>
        <v>0</v>
      </c>
      <c r="CO41" s="539">
        <f t="shared" si="11"/>
        <v>0</v>
      </c>
      <c r="CP41" s="539">
        <f t="shared" si="11"/>
        <v>0</v>
      </c>
      <c r="CQ41" s="539">
        <f t="shared" si="11"/>
        <v>0</v>
      </c>
      <c r="CR41" s="539">
        <f t="shared" si="11"/>
        <v>0</v>
      </c>
      <c r="CS41" s="539">
        <f t="shared" si="11"/>
        <v>0</v>
      </c>
      <c r="CT41" s="539">
        <f t="shared" si="11"/>
        <v>0</v>
      </c>
      <c r="CU41" s="539">
        <f t="shared" si="11"/>
        <v>0</v>
      </c>
      <c r="CV41" s="539">
        <f t="shared" si="11"/>
        <v>0</v>
      </c>
      <c r="CW41" s="539">
        <f t="shared" si="11"/>
        <v>0</v>
      </c>
      <c r="CX41" s="539">
        <f t="shared" si="11"/>
        <v>0</v>
      </c>
      <c r="CY41" s="539">
        <f t="shared" si="11"/>
        <v>0</v>
      </c>
      <c r="CZ41" s="539">
        <f t="shared" si="11"/>
        <v>0</v>
      </c>
      <c r="DA41" s="539">
        <f t="shared" si="11"/>
        <v>0</v>
      </c>
      <c r="DB41" s="539">
        <f t="shared" si="11"/>
        <v>0</v>
      </c>
      <c r="DC41" s="539">
        <f t="shared" si="11"/>
        <v>0</v>
      </c>
      <c r="DD41" s="539">
        <f t="shared" si="11"/>
        <v>0</v>
      </c>
      <c r="DE41" s="539">
        <f t="shared" si="11"/>
        <v>0</v>
      </c>
      <c r="DF41" s="539">
        <f t="shared" si="11"/>
        <v>0</v>
      </c>
      <c r="DG41" s="539">
        <f t="shared" si="11"/>
        <v>0</v>
      </c>
      <c r="DH41" s="539">
        <f t="shared" si="11"/>
        <v>0</v>
      </c>
      <c r="DI41" s="539">
        <f t="shared" si="11"/>
        <v>0</v>
      </c>
      <c r="DJ41" s="539">
        <f t="shared" si="11"/>
        <v>0</v>
      </c>
      <c r="DK41" s="539">
        <f t="shared" si="11"/>
        <v>0</v>
      </c>
      <c r="DL41" s="539">
        <f t="shared" si="11"/>
        <v>0</v>
      </c>
      <c r="DM41" s="539">
        <f t="shared" si="11"/>
        <v>0</v>
      </c>
      <c r="DN41" s="539">
        <f t="shared" si="11"/>
        <v>0</v>
      </c>
      <c r="DO41" s="539">
        <f t="shared" si="11"/>
        <v>0</v>
      </c>
      <c r="DP41" s="539">
        <f t="shared" si="11"/>
        <v>0</v>
      </c>
      <c r="DQ41" s="539">
        <f t="shared" si="11"/>
        <v>0</v>
      </c>
      <c r="DR41" s="539">
        <f t="shared" si="11"/>
        <v>0</v>
      </c>
      <c r="DS41" s="539">
        <f t="shared" si="11"/>
        <v>0</v>
      </c>
      <c r="DT41" s="539">
        <f t="shared" si="11"/>
        <v>0</v>
      </c>
      <c r="DU41" s="539">
        <f t="shared" si="11"/>
        <v>0</v>
      </c>
      <c r="DV41" s="539">
        <f t="shared" si="11"/>
        <v>0</v>
      </c>
      <c r="DW41" s="539">
        <f t="shared" si="11"/>
        <v>0</v>
      </c>
      <c r="DX41" s="539">
        <f t="shared" si="11"/>
        <v>0</v>
      </c>
      <c r="DY41" s="539">
        <f t="shared" si="11"/>
        <v>0</v>
      </c>
      <c r="DZ41" s="539">
        <f t="shared" si="11"/>
        <v>0</v>
      </c>
      <c r="EA41" s="539">
        <f t="shared" si="11"/>
        <v>0</v>
      </c>
      <c r="EB41" s="539">
        <f t="shared" si="11"/>
        <v>0</v>
      </c>
      <c r="EC41" s="539">
        <f t="shared" si="11"/>
        <v>0</v>
      </c>
      <c r="ED41" s="539">
        <f t="shared" si="11"/>
        <v>0</v>
      </c>
      <c r="EE41" s="539">
        <f t="shared" si="11"/>
        <v>0</v>
      </c>
      <c r="EF41" s="539">
        <f t="shared" si="11"/>
        <v>0</v>
      </c>
      <c r="EG41" s="539">
        <f t="shared" si="11"/>
        <v>0</v>
      </c>
    </row>
    <row r="42" spans="5:137" ht="12.75">
      <c r="E42" s="538" t="str">
        <f>E$20</f>
        <v>Capex package 2 - spend</v>
      </c>
      <c r="G42" s="539" t="str">
        <f>G$20</f>
        <v>EUR 000s</v>
      </c>
      <c r="H42" s="539">
        <f>H$20</f>
        <v>80000</v>
      </c>
      <c r="J42" s="539">
        <f t="shared" si="12" ref="J42:EG42">J$20</f>
        <v>0</v>
      </c>
      <c r="K42" s="539">
        <f t="shared" si="12"/>
        <v>0</v>
      </c>
      <c r="L42" s="539">
        <f t="shared" si="12"/>
        <v>0</v>
      </c>
      <c r="M42" s="539">
        <f t="shared" si="12"/>
        <v>11250</v>
      </c>
      <c r="N42" s="539">
        <f t="shared" si="12"/>
        <v>10625</v>
      </c>
      <c r="O42" s="539">
        <f t="shared" si="12"/>
        <v>9375</v>
      </c>
      <c r="P42" s="539">
        <f t="shared" si="12"/>
        <v>8750</v>
      </c>
      <c r="Q42" s="539">
        <f t="shared" si="12"/>
        <v>7500</v>
      </c>
      <c r="R42" s="539">
        <f t="shared" si="12"/>
        <v>6875</v>
      </c>
      <c r="S42" s="539">
        <f t="shared" si="12"/>
        <v>6250</v>
      </c>
      <c r="T42" s="539">
        <f t="shared" si="12"/>
        <v>5625</v>
      </c>
      <c r="U42" s="539">
        <f t="shared" si="12"/>
        <v>5000</v>
      </c>
      <c r="V42" s="539">
        <f t="shared" si="12"/>
        <v>3750</v>
      </c>
      <c r="W42" s="539">
        <f t="shared" si="12"/>
        <v>3125</v>
      </c>
      <c r="X42" s="539">
        <f t="shared" si="12"/>
        <v>1875</v>
      </c>
      <c r="Y42" s="539">
        <f t="shared" si="12"/>
        <v>0</v>
      </c>
      <c r="Z42" s="539">
        <f t="shared" si="12"/>
        <v>0</v>
      </c>
      <c r="AA42" s="539">
        <f t="shared" si="12"/>
        <v>0</v>
      </c>
      <c r="AB42" s="539">
        <f t="shared" si="12"/>
        <v>0</v>
      </c>
      <c r="AC42" s="539">
        <f t="shared" si="12"/>
        <v>0</v>
      </c>
      <c r="AD42" s="539">
        <f t="shared" si="12"/>
        <v>0</v>
      </c>
      <c r="AE42" s="539">
        <f t="shared" si="12"/>
        <v>0</v>
      </c>
      <c r="AF42" s="539">
        <f t="shared" si="12"/>
        <v>0</v>
      </c>
      <c r="AG42" s="539">
        <f t="shared" si="12"/>
        <v>0</v>
      </c>
      <c r="AH42" s="539">
        <f t="shared" si="12"/>
        <v>0</v>
      </c>
      <c r="AI42" s="539">
        <f t="shared" si="12"/>
        <v>0</v>
      </c>
      <c r="AJ42" s="539">
        <f t="shared" si="12"/>
        <v>0</v>
      </c>
      <c r="AK42" s="539">
        <f t="shared" si="12"/>
        <v>0</v>
      </c>
      <c r="AL42" s="539">
        <f t="shared" si="12"/>
        <v>0</v>
      </c>
      <c r="AM42" s="539">
        <f t="shared" si="12"/>
        <v>0</v>
      </c>
      <c r="AN42" s="539">
        <f t="shared" si="12"/>
        <v>0</v>
      </c>
      <c r="AO42" s="539">
        <f t="shared" si="12"/>
        <v>0</v>
      </c>
      <c r="AP42" s="539">
        <f t="shared" si="12"/>
        <v>0</v>
      </c>
      <c r="AQ42" s="539">
        <f t="shared" si="12"/>
        <v>0</v>
      </c>
      <c r="AR42" s="539">
        <f t="shared" si="12"/>
        <v>0</v>
      </c>
      <c r="AS42" s="539">
        <f t="shared" si="12"/>
        <v>0</v>
      </c>
      <c r="AT42" s="539">
        <f t="shared" si="12"/>
        <v>0</v>
      </c>
      <c r="AU42" s="539">
        <f t="shared" si="12"/>
        <v>0</v>
      </c>
      <c r="AV42" s="539">
        <f t="shared" si="12"/>
        <v>0</v>
      </c>
      <c r="AW42" s="539">
        <f t="shared" si="12"/>
        <v>0</v>
      </c>
      <c r="AX42" s="539">
        <f t="shared" si="12"/>
        <v>0</v>
      </c>
      <c r="AY42" s="539">
        <f t="shared" si="12"/>
        <v>0</v>
      </c>
      <c r="AZ42" s="539">
        <f t="shared" si="12"/>
        <v>0</v>
      </c>
      <c r="BA42" s="539">
        <f t="shared" si="12"/>
        <v>0</v>
      </c>
      <c r="BB42" s="539">
        <f t="shared" si="12"/>
        <v>0</v>
      </c>
      <c r="BC42" s="539">
        <f t="shared" si="12"/>
        <v>0</v>
      </c>
      <c r="BD42" s="539">
        <f t="shared" si="12"/>
        <v>0</v>
      </c>
      <c r="BE42" s="539">
        <f t="shared" si="12"/>
        <v>0</v>
      </c>
      <c r="BF42" s="539">
        <f t="shared" si="12"/>
        <v>0</v>
      </c>
      <c r="BG42" s="539">
        <f t="shared" si="12"/>
        <v>0</v>
      </c>
      <c r="BH42" s="539">
        <f t="shared" si="12"/>
        <v>0</v>
      </c>
      <c r="BI42" s="539">
        <f t="shared" si="12"/>
        <v>0</v>
      </c>
      <c r="BJ42" s="539">
        <f t="shared" si="12"/>
        <v>0</v>
      </c>
      <c r="BK42" s="539">
        <f t="shared" si="12"/>
        <v>0</v>
      </c>
      <c r="BL42" s="539">
        <f t="shared" si="12"/>
        <v>0</v>
      </c>
      <c r="BM42" s="539">
        <f t="shared" si="12"/>
        <v>0</v>
      </c>
      <c r="BN42" s="539">
        <f t="shared" si="12"/>
        <v>0</v>
      </c>
      <c r="BO42" s="539">
        <f t="shared" si="12"/>
        <v>0</v>
      </c>
      <c r="BP42" s="539">
        <f t="shared" si="12"/>
        <v>0</v>
      </c>
      <c r="BQ42" s="539">
        <f t="shared" si="12"/>
        <v>0</v>
      </c>
      <c r="BR42" s="539">
        <f t="shared" si="12"/>
        <v>0</v>
      </c>
      <c r="BS42" s="539">
        <f t="shared" si="12"/>
        <v>0</v>
      </c>
      <c r="BT42" s="539">
        <f t="shared" si="12"/>
        <v>0</v>
      </c>
      <c r="BU42" s="539">
        <f t="shared" si="12"/>
        <v>0</v>
      </c>
      <c r="BV42" s="539">
        <f t="shared" si="12"/>
        <v>0</v>
      </c>
      <c r="BW42" s="539">
        <f t="shared" si="12"/>
        <v>0</v>
      </c>
      <c r="BX42" s="539">
        <f t="shared" si="12"/>
        <v>0</v>
      </c>
      <c r="BY42" s="539">
        <f t="shared" si="12"/>
        <v>0</v>
      </c>
      <c r="BZ42" s="539">
        <f t="shared" si="12"/>
        <v>0</v>
      </c>
      <c r="CA42" s="539">
        <f t="shared" si="12"/>
        <v>0</v>
      </c>
      <c r="CB42" s="539">
        <f t="shared" si="12"/>
        <v>0</v>
      </c>
      <c r="CC42" s="539">
        <f t="shared" si="12"/>
        <v>0</v>
      </c>
      <c r="CD42" s="539">
        <f t="shared" si="12"/>
        <v>0</v>
      </c>
      <c r="CE42" s="539">
        <f t="shared" si="12"/>
        <v>0</v>
      </c>
      <c r="CF42" s="539">
        <f t="shared" si="12"/>
        <v>0</v>
      </c>
      <c r="CG42" s="539">
        <f t="shared" si="12"/>
        <v>0</v>
      </c>
      <c r="CH42" s="539">
        <f t="shared" si="12"/>
        <v>0</v>
      </c>
      <c r="CI42" s="539">
        <f t="shared" si="12"/>
        <v>0</v>
      </c>
      <c r="CJ42" s="539">
        <f t="shared" si="12"/>
        <v>0</v>
      </c>
      <c r="CK42" s="539">
        <f t="shared" si="12"/>
        <v>0</v>
      </c>
      <c r="CL42" s="539">
        <f t="shared" si="12"/>
        <v>0</v>
      </c>
      <c r="CM42" s="539">
        <f t="shared" si="12"/>
        <v>0</v>
      </c>
      <c r="CN42" s="539">
        <f t="shared" si="12"/>
        <v>0</v>
      </c>
      <c r="CO42" s="539">
        <f t="shared" si="12"/>
        <v>0</v>
      </c>
      <c r="CP42" s="539">
        <f t="shared" si="12"/>
        <v>0</v>
      </c>
      <c r="CQ42" s="539">
        <f t="shared" si="12"/>
        <v>0</v>
      </c>
      <c r="CR42" s="539">
        <f t="shared" si="12"/>
        <v>0</v>
      </c>
      <c r="CS42" s="539">
        <f t="shared" si="12"/>
        <v>0</v>
      </c>
      <c r="CT42" s="539">
        <f t="shared" si="12"/>
        <v>0</v>
      </c>
      <c r="CU42" s="539">
        <f t="shared" si="12"/>
        <v>0</v>
      </c>
      <c r="CV42" s="539">
        <f t="shared" si="12"/>
        <v>0</v>
      </c>
      <c r="CW42" s="539">
        <f t="shared" si="12"/>
        <v>0</v>
      </c>
      <c r="CX42" s="539">
        <f t="shared" si="12"/>
        <v>0</v>
      </c>
      <c r="CY42" s="539">
        <f t="shared" si="12"/>
        <v>0</v>
      </c>
      <c r="CZ42" s="539">
        <f t="shared" si="12"/>
        <v>0</v>
      </c>
      <c r="DA42" s="539">
        <f t="shared" si="12"/>
        <v>0</v>
      </c>
      <c r="DB42" s="539">
        <f t="shared" si="12"/>
        <v>0</v>
      </c>
      <c r="DC42" s="539">
        <f t="shared" si="12"/>
        <v>0</v>
      </c>
      <c r="DD42" s="539">
        <f t="shared" si="12"/>
        <v>0</v>
      </c>
      <c r="DE42" s="539">
        <f t="shared" si="12"/>
        <v>0</v>
      </c>
      <c r="DF42" s="539">
        <f t="shared" si="12"/>
        <v>0</v>
      </c>
      <c r="DG42" s="539">
        <f t="shared" si="12"/>
        <v>0</v>
      </c>
      <c r="DH42" s="539">
        <f t="shared" si="12"/>
        <v>0</v>
      </c>
      <c r="DI42" s="539">
        <f t="shared" si="12"/>
        <v>0</v>
      </c>
      <c r="DJ42" s="539">
        <f t="shared" si="12"/>
        <v>0</v>
      </c>
      <c r="DK42" s="539">
        <f t="shared" si="12"/>
        <v>0</v>
      </c>
      <c r="DL42" s="539">
        <f t="shared" si="12"/>
        <v>0</v>
      </c>
      <c r="DM42" s="539">
        <f t="shared" si="12"/>
        <v>0</v>
      </c>
      <c r="DN42" s="539">
        <f t="shared" si="12"/>
        <v>0</v>
      </c>
      <c r="DO42" s="539">
        <f t="shared" si="12"/>
        <v>0</v>
      </c>
      <c r="DP42" s="539">
        <f t="shared" si="12"/>
        <v>0</v>
      </c>
      <c r="DQ42" s="539">
        <f t="shared" si="12"/>
        <v>0</v>
      </c>
      <c r="DR42" s="539">
        <f t="shared" si="12"/>
        <v>0</v>
      </c>
      <c r="DS42" s="539">
        <f t="shared" si="12"/>
        <v>0</v>
      </c>
      <c r="DT42" s="539">
        <f t="shared" si="12"/>
        <v>0</v>
      </c>
      <c r="DU42" s="539">
        <f t="shared" si="12"/>
        <v>0</v>
      </c>
      <c r="DV42" s="539">
        <f t="shared" si="12"/>
        <v>0</v>
      </c>
      <c r="DW42" s="539">
        <f t="shared" si="12"/>
        <v>0</v>
      </c>
      <c r="DX42" s="539">
        <f t="shared" si="12"/>
        <v>0</v>
      </c>
      <c r="DY42" s="539">
        <f t="shared" si="12"/>
        <v>0</v>
      </c>
      <c r="DZ42" s="539">
        <f t="shared" si="12"/>
        <v>0</v>
      </c>
      <c r="EA42" s="539">
        <f t="shared" si="12"/>
        <v>0</v>
      </c>
      <c r="EB42" s="539">
        <f t="shared" si="12"/>
        <v>0</v>
      </c>
      <c r="EC42" s="539">
        <f t="shared" si="12"/>
        <v>0</v>
      </c>
      <c r="ED42" s="539">
        <f t="shared" si="12"/>
        <v>0</v>
      </c>
      <c r="EE42" s="539">
        <f t="shared" si="12"/>
        <v>0</v>
      </c>
      <c r="EF42" s="539">
        <f t="shared" si="12"/>
        <v>0</v>
      </c>
      <c r="EG42" s="539">
        <f t="shared" si="12"/>
        <v>0</v>
      </c>
    </row>
    <row r="43" spans="5:137" ht="12.75">
      <c r="E43" s="538" t="str">
        <f>E$21</f>
        <v>Capex package 3 - spend</v>
      </c>
      <c r="G43" s="539" t="str">
        <f>G$21</f>
        <v>EUR 000s</v>
      </c>
      <c r="H43" s="539">
        <f>H$21</f>
        <v>45000</v>
      </c>
      <c r="J43" s="539">
        <f t="shared" si="13" ref="J43:EG43">J$21</f>
        <v>0</v>
      </c>
      <c r="K43" s="539">
        <f t="shared" si="13"/>
        <v>0</v>
      </c>
      <c r="L43" s="539">
        <f t="shared" si="13"/>
        <v>0</v>
      </c>
      <c r="M43" s="539">
        <f t="shared" si="13"/>
        <v>0</v>
      </c>
      <c r="N43" s="539">
        <f t="shared" si="13"/>
        <v>0</v>
      </c>
      <c r="O43" s="539">
        <f t="shared" si="13"/>
        <v>0</v>
      </c>
      <c r="P43" s="539">
        <f t="shared" si="13"/>
        <v>0</v>
      </c>
      <c r="Q43" s="539">
        <f t="shared" si="13"/>
        <v>0</v>
      </c>
      <c r="R43" s="539">
        <f t="shared" si="13"/>
        <v>3164.0625</v>
      </c>
      <c r="S43" s="539">
        <f t="shared" si="13"/>
        <v>3515.625</v>
      </c>
      <c r="T43" s="539">
        <f t="shared" si="13"/>
        <v>3515.625</v>
      </c>
      <c r="U43" s="539">
        <f t="shared" si="13"/>
        <v>3515.625</v>
      </c>
      <c r="V43" s="539">
        <f t="shared" si="13"/>
        <v>3515.625</v>
      </c>
      <c r="W43" s="539">
        <f t="shared" si="13"/>
        <v>3515.625</v>
      </c>
      <c r="X43" s="539">
        <f t="shared" si="13"/>
        <v>3515.625</v>
      </c>
      <c r="Y43" s="539">
        <f t="shared" si="13"/>
        <v>3515.625</v>
      </c>
      <c r="Z43" s="539">
        <f t="shared" si="13"/>
        <v>3515.625</v>
      </c>
      <c r="AA43" s="539">
        <f t="shared" si="13"/>
        <v>3515.625</v>
      </c>
      <c r="AB43" s="539">
        <f t="shared" si="13"/>
        <v>3515.625</v>
      </c>
      <c r="AC43" s="539">
        <f t="shared" si="13"/>
        <v>3515.625</v>
      </c>
      <c r="AD43" s="539">
        <f t="shared" si="13"/>
        <v>3164.0625</v>
      </c>
      <c r="AE43" s="539">
        <f t="shared" si="13"/>
        <v>0</v>
      </c>
      <c r="AF43" s="539">
        <f t="shared" si="13"/>
        <v>0</v>
      </c>
      <c r="AG43" s="539">
        <f t="shared" si="13"/>
        <v>0</v>
      </c>
      <c r="AH43" s="539">
        <f t="shared" si="13"/>
        <v>0</v>
      </c>
      <c r="AI43" s="539">
        <f t="shared" si="13"/>
        <v>0</v>
      </c>
      <c r="AJ43" s="539">
        <f t="shared" si="13"/>
        <v>0</v>
      </c>
      <c r="AK43" s="539">
        <f t="shared" si="13"/>
        <v>0</v>
      </c>
      <c r="AL43" s="539">
        <f t="shared" si="13"/>
        <v>0</v>
      </c>
      <c r="AM43" s="539">
        <f t="shared" si="13"/>
        <v>0</v>
      </c>
      <c r="AN43" s="539">
        <f t="shared" si="13"/>
        <v>0</v>
      </c>
      <c r="AO43" s="539">
        <f t="shared" si="13"/>
        <v>0</v>
      </c>
      <c r="AP43" s="539">
        <f t="shared" si="13"/>
        <v>0</v>
      </c>
      <c r="AQ43" s="539">
        <f t="shared" si="13"/>
        <v>0</v>
      </c>
      <c r="AR43" s="539">
        <f t="shared" si="13"/>
        <v>0</v>
      </c>
      <c r="AS43" s="539">
        <f t="shared" si="13"/>
        <v>0</v>
      </c>
      <c r="AT43" s="539">
        <f t="shared" si="13"/>
        <v>0</v>
      </c>
      <c r="AU43" s="539">
        <f t="shared" si="13"/>
        <v>0</v>
      </c>
      <c r="AV43" s="539">
        <f t="shared" si="13"/>
        <v>0</v>
      </c>
      <c r="AW43" s="539">
        <f t="shared" si="13"/>
        <v>0</v>
      </c>
      <c r="AX43" s="539">
        <f t="shared" si="13"/>
        <v>0</v>
      </c>
      <c r="AY43" s="539">
        <f t="shared" si="13"/>
        <v>0</v>
      </c>
      <c r="AZ43" s="539">
        <f t="shared" si="13"/>
        <v>0</v>
      </c>
      <c r="BA43" s="539">
        <f t="shared" si="13"/>
        <v>0</v>
      </c>
      <c r="BB43" s="539">
        <f t="shared" si="13"/>
        <v>0</v>
      </c>
      <c r="BC43" s="539">
        <f t="shared" si="13"/>
        <v>0</v>
      </c>
      <c r="BD43" s="539">
        <f t="shared" si="13"/>
        <v>0</v>
      </c>
      <c r="BE43" s="539">
        <f t="shared" si="13"/>
        <v>0</v>
      </c>
      <c r="BF43" s="539">
        <f t="shared" si="13"/>
        <v>0</v>
      </c>
      <c r="BG43" s="539">
        <f t="shared" si="13"/>
        <v>0</v>
      </c>
      <c r="BH43" s="539">
        <f t="shared" si="13"/>
        <v>0</v>
      </c>
      <c r="BI43" s="539">
        <f t="shared" si="13"/>
        <v>0</v>
      </c>
      <c r="BJ43" s="539">
        <f t="shared" si="13"/>
        <v>0</v>
      </c>
      <c r="BK43" s="539">
        <f t="shared" si="13"/>
        <v>0</v>
      </c>
      <c r="BL43" s="539">
        <f t="shared" si="13"/>
        <v>0</v>
      </c>
      <c r="BM43" s="539">
        <f t="shared" si="13"/>
        <v>0</v>
      </c>
      <c r="BN43" s="539">
        <f t="shared" si="13"/>
        <v>0</v>
      </c>
      <c r="BO43" s="539">
        <f t="shared" si="13"/>
        <v>0</v>
      </c>
      <c r="BP43" s="539">
        <f t="shared" si="13"/>
        <v>0</v>
      </c>
      <c r="BQ43" s="539">
        <f t="shared" si="13"/>
        <v>0</v>
      </c>
      <c r="BR43" s="539">
        <f t="shared" si="13"/>
        <v>0</v>
      </c>
      <c r="BS43" s="539">
        <f t="shared" si="13"/>
        <v>0</v>
      </c>
      <c r="BT43" s="539">
        <f t="shared" si="13"/>
        <v>0</v>
      </c>
      <c r="BU43" s="539">
        <f t="shared" si="13"/>
        <v>0</v>
      </c>
      <c r="BV43" s="539">
        <f t="shared" si="13"/>
        <v>0</v>
      </c>
      <c r="BW43" s="539">
        <f t="shared" si="13"/>
        <v>0</v>
      </c>
      <c r="BX43" s="539">
        <f t="shared" si="13"/>
        <v>0</v>
      </c>
      <c r="BY43" s="539">
        <f t="shared" si="13"/>
        <v>0</v>
      </c>
      <c r="BZ43" s="539">
        <f t="shared" si="13"/>
        <v>0</v>
      </c>
      <c r="CA43" s="539">
        <f t="shared" si="13"/>
        <v>0</v>
      </c>
      <c r="CB43" s="539">
        <f t="shared" si="13"/>
        <v>0</v>
      </c>
      <c r="CC43" s="539">
        <f t="shared" si="13"/>
        <v>0</v>
      </c>
      <c r="CD43" s="539">
        <f t="shared" si="13"/>
        <v>0</v>
      </c>
      <c r="CE43" s="539">
        <f t="shared" si="13"/>
        <v>0</v>
      </c>
      <c r="CF43" s="539">
        <f t="shared" si="13"/>
        <v>0</v>
      </c>
      <c r="CG43" s="539">
        <f t="shared" si="13"/>
        <v>0</v>
      </c>
      <c r="CH43" s="539">
        <f t="shared" si="13"/>
        <v>0</v>
      </c>
      <c r="CI43" s="539">
        <f t="shared" si="13"/>
        <v>0</v>
      </c>
      <c r="CJ43" s="539">
        <f t="shared" si="13"/>
        <v>0</v>
      </c>
      <c r="CK43" s="539">
        <f t="shared" si="13"/>
        <v>0</v>
      </c>
      <c r="CL43" s="539">
        <f t="shared" si="13"/>
        <v>0</v>
      </c>
      <c r="CM43" s="539">
        <f t="shared" si="13"/>
        <v>0</v>
      </c>
      <c r="CN43" s="539">
        <f t="shared" si="13"/>
        <v>0</v>
      </c>
      <c r="CO43" s="539">
        <f t="shared" si="13"/>
        <v>0</v>
      </c>
      <c r="CP43" s="539">
        <f t="shared" si="13"/>
        <v>0</v>
      </c>
      <c r="CQ43" s="539">
        <f t="shared" si="13"/>
        <v>0</v>
      </c>
      <c r="CR43" s="539">
        <f t="shared" si="13"/>
        <v>0</v>
      </c>
      <c r="CS43" s="539">
        <f t="shared" si="13"/>
        <v>0</v>
      </c>
      <c r="CT43" s="539">
        <f t="shared" si="13"/>
        <v>0</v>
      </c>
      <c r="CU43" s="539">
        <f t="shared" si="13"/>
        <v>0</v>
      </c>
      <c r="CV43" s="539">
        <f t="shared" si="13"/>
        <v>0</v>
      </c>
      <c r="CW43" s="539">
        <f t="shared" si="13"/>
        <v>0</v>
      </c>
      <c r="CX43" s="539">
        <f t="shared" si="13"/>
        <v>0</v>
      </c>
      <c r="CY43" s="539">
        <f t="shared" si="13"/>
        <v>0</v>
      </c>
      <c r="CZ43" s="539">
        <f t="shared" si="13"/>
        <v>0</v>
      </c>
      <c r="DA43" s="539">
        <f t="shared" si="13"/>
        <v>0</v>
      </c>
      <c r="DB43" s="539">
        <f t="shared" si="13"/>
        <v>0</v>
      </c>
      <c r="DC43" s="539">
        <f t="shared" si="13"/>
        <v>0</v>
      </c>
      <c r="DD43" s="539">
        <f t="shared" si="13"/>
        <v>0</v>
      </c>
      <c r="DE43" s="539">
        <f t="shared" si="13"/>
        <v>0</v>
      </c>
      <c r="DF43" s="539">
        <f t="shared" si="13"/>
        <v>0</v>
      </c>
      <c r="DG43" s="539">
        <f t="shared" si="13"/>
        <v>0</v>
      </c>
      <c r="DH43" s="539">
        <f t="shared" si="13"/>
        <v>0</v>
      </c>
      <c r="DI43" s="539">
        <f t="shared" si="13"/>
        <v>0</v>
      </c>
      <c r="DJ43" s="539">
        <f t="shared" si="13"/>
        <v>0</v>
      </c>
      <c r="DK43" s="539">
        <f t="shared" si="13"/>
        <v>0</v>
      </c>
      <c r="DL43" s="539">
        <f t="shared" si="13"/>
        <v>0</v>
      </c>
      <c r="DM43" s="539">
        <f t="shared" si="13"/>
        <v>0</v>
      </c>
      <c r="DN43" s="539">
        <f t="shared" si="13"/>
        <v>0</v>
      </c>
      <c r="DO43" s="539">
        <f t="shared" si="13"/>
        <v>0</v>
      </c>
      <c r="DP43" s="539">
        <f t="shared" si="13"/>
        <v>0</v>
      </c>
      <c r="DQ43" s="539">
        <f t="shared" si="13"/>
        <v>0</v>
      </c>
      <c r="DR43" s="539">
        <f t="shared" si="13"/>
        <v>0</v>
      </c>
      <c r="DS43" s="539">
        <f t="shared" si="13"/>
        <v>0</v>
      </c>
      <c r="DT43" s="539">
        <f t="shared" si="13"/>
        <v>0</v>
      </c>
      <c r="DU43" s="539">
        <f t="shared" si="13"/>
        <v>0</v>
      </c>
      <c r="DV43" s="539">
        <f t="shared" si="13"/>
        <v>0</v>
      </c>
      <c r="DW43" s="539">
        <f t="shared" si="13"/>
        <v>0</v>
      </c>
      <c r="DX43" s="539">
        <f t="shared" si="13"/>
        <v>0</v>
      </c>
      <c r="DY43" s="539">
        <f t="shared" si="13"/>
        <v>0</v>
      </c>
      <c r="DZ43" s="539">
        <f t="shared" si="13"/>
        <v>0</v>
      </c>
      <c r="EA43" s="539">
        <f t="shared" si="13"/>
        <v>0</v>
      </c>
      <c r="EB43" s="539">
        <f t="shared" si="13"/>
        <v>0</v>
      </c>
      <c r="EC43" s="539">
        <f t="shared" si="13"/>
        <v>0</v>
      </c>
      <c r="ED43" s="539">
        <f t="shared" si="13"/>
        <v>0</v>
      </c>
      <c r="EE43" s="539">
        <f t="shared" si="13"/>
        <v>0</v>
      </c>
      <c r="EF43" s="539">
        <f t="shared" si="13"/>
        <v>0</v>
      </c>
      <c r="EG43" s="539">
        <f t="shared" si="13"/>
        <v>0</v>
      </c>
    </row>
    <row r="44" spans="5:137" ht="12.75">
      <c r="E44" s="538" t="str">
        <f>E$22</f>
        <v>Capex package 4 - spend</v>
      </c>
      <c r="G44" s="539" t="str">
        <f>G$22</f>
        <v>EUR 000s</v>
      </c>
      <c r="H44" s="539">
        <f>H$22</f>
        <v>25000</v>
      </c>
      <c r="J44" s="539">
        <f t="shared" si="14" ref="J44:EG44">J$22</f>
        <v>0</v>
      </c>
      <c r="K44" s="539">
        <f t="shared" si="14"/>
        <v>0</v>
      </c>
      <c r="L44" s="539">
        <f t="shared" si="14"/>
        <v>0</v>
      </c>
      <c r="M44" s="539">
        <f t="shared" si="14"/>
        <v>0</v>
      </c>
      <c r="N44" s="539">
        <f t="shared" si="14"/>
        <v>0</v>
      </c>
      <c r="O44" s="539">
        <f t="shared" si="14"/>
        <v>0</v>
      </c>
      <c r="P44" s="539">
        <f t="shared" si="14"/>
        <v>0</v>
      </c>
      <c r="Q44" s="539">
        <f t="shared" si="14"/>
        <v>0</v>
      </c>
      <c r="R44" s="539">
        <f t="shared" si="14"/>
        <v>0</v>
      </c>
      <c r="S44" s="539">
        <f t="shared" si="14"/>
        <v>0</v>
      </c>
      <c r="T44" s="539">
        <f t="shared" si="14"/>
        <v>0</v>
      </c>
      <c r="U44" s="539">
        <f t="shared" si="14"/>
        <v>0</v>
      </c>
      <c r="V44" s="539">
        <f t="shared" si="14"/>
        <v>0</v>
      </c>
      <c r="W44" s="539">
        <f t="shared" si="14"/>
        <v>0</v>
      </c>
      <c r="X44" s="539">
        <f t="shared" si="14"/>
        <v>0</v>
      </c>
      <c r="Y44" s="539">
        <f t="shared" si="14"/>
        <v>0</v>
      </c>
      <c r="Z44" s="539">
        <f t="shared" si="14"/>
        <v>0</v>
      </c>
      <c r="AA44" s="539">
        <f t="shared" si="14"/>
        <v>2343.75</v>
      </c>
      <c r="AB44" s="539">
        <f t="shared" si="14"/>
        <v>3906.25</v>
      </c>
      <c r="AC44" s="539">
        <f t="shared" si="14"/>
        <v>4687.5</v>
      </c>
      <c r="AD44" s="539">
        <f t="shared" si="14"/>
        <v>4687.5</v>
      </c>
      <c r="AE44" s="539">
        <f t="shared" si="14"/>
        <v>3906.25</v>
      </c>
      <c r="AF44" s="539">
        <f t="shared" si="14"/>
        <v>3125</v>
      </c>
      <c r="AG44" s="539">
        <f t="shared" si="14"/>
        <v>2343.75</v>
      </c>
      <c r="AH44" s="539">
        <f t="shared" si="14"/>
        <v>0</v>
      </c>
      <c r="AI44" s="539">
        <f t="shared" si="14"/>
        <v>0</v>
      </c>
      <c r="AJ44" s="539">
        <f t="shared" si="14"/>
        <v>0</v>
      </c>
      <c r="AK44" s="539">
        <f t="shared" si="14"/>
        <v>0</v>
      </c>
      <c r="AL44" s="539">
        <f t="shared" si="14"/>
        <v>0</v>
      </c>
      <c r="AM44" s="539">
        <f t="shared" si="14"/>
        <v>0</v>
      </c>
      <c r="AN44" s="539">
        <f t="shared" si="14"/>
        <v>0</v>
      </c>
      <c r="AO44" s="539">
        <f t="shared" si="14"/>
        <v>0</v>
      </c>
      <c r="AP44" s="539">
        <f t="shared" si="14"/>
        <v>0</v>
      </c>
      <c r="AQ44" s="539">
        <f t="shared" si="14"/>
        <v>0</v>
      </c>
      <c r="AR44" s="539">
        <f t="shared" si="14"/>
        <v>0</v>
      </c>
      <c r="AS44" s="539">
        <f t="shared" si="14"/>
        <v>0</v>
      </c>
      <c r="AT44" s="539">
        <f t="shared" si="14"/>
        <v>0</v>
      </c>
      <c r="AU44" s="539">
        <f t="shared" si="14"/>
        <v>0</v>
      </c>
      <c r="AV44" s="539">
        <f t="shared" si="14"/>
        <v>0</v>
      </c>
      <c r="AW44" s="539">
        <f t="shared" si="14"/>
        <v>0</v>
      </c>
      <c r="AX44" s="539">
        <f t="shared" si="14"/>
        <v>0</v>
      </c>
      <c r="AY44" s="539">
        <f t="shared" si="14"/>
        <v>0</v>
      </c>
      <c r="AZ44" s="539">
        <f t="shared" si="14"/>
        <v>0</v>
      </c>
      <c r="BA44" s="539">
        <f t="shared" si="14"/>
        <v>0</v>
      </c>
      <c r="BB44" s="539">
        <f t="shared" si="14"/>
        <v>0</v>
      </c>
      <c r="BC44" s="539">
        <f t="shared" si="14"/>
        <v>0</v>
      </c>
      <c r="BD44" s="539">
        <f t="shared" si="14"/>
        <v>0</v>
      </c>
      <c r="BE44" s="539">
        <f t="shared" si="14"/>
        <v>0</v>
      </c>
      <c r="BF44" s="539">
        <f t="shared" si="14"/>
        <v>0</v>
      </c>
      <c r="BG44" s="539">
        <f t="shared" si="14"/>
        <v>0</v>
      </c>
      <c r="BH44" s="539">
        <f t="shared" si="14"/>
        <v>0</v>
      </c>
      <c r="BI44" s="539">
        <f t="shared" si="14"/>
        <v>0</v>
      </c>
      <c r="BJ44" s="539">
        <f t="shared" si="14"/>
        <v>0</v>
      </c>
      <c r="BK44" s="539">
        <f t="shared" si="14"/>
        <v>0</v>
      </c>
      <c r="BL44" s="539">
        <f t="shared" si="14"/>
        <v>0</v>
      </c>
      <c r="BM44" s="539">
        <f t="shared" si="14"/>
        <v>0</v>
      </c>
      <c r="BN44" s="539">
        <f t="shared" si="14"/>
        <v>0</v>
      </c>
      <c r="BO44" s="539">
        <f t="shared" si="14"/>
        <v>0</v>
      </c>
      <c r="BP44" s="539">
        <f t="shared" si="14"/>
        <v>0</v>
      </c>
      <c r="BQ44" s="539">
        <f t="shared" si="14"/>
        <v>0</v>
      </c>
      <c r="BR44" s="539">
        <f t="shared" si="14"/>
        <v>0</v>
      </c>
      <c r="BS44" s="539">
        <f t="shared" si="14"/>
        <v>0</v>
      </c>
      <c r="BT44" s="539">
        <f t="shared" si="14"/>
        <v>0</v>
      </c>
      <c r="BU44" s="539">
        <f t="shared" si="14"/>
        <v>0</v>
      </c>
      <c r="BV44" s="539">
        <f t="shared" si="14"/>
        <v>0</v>
      </c>
      <c r="BW44" s="539">
        <f t="shared" si="14"/>
        <v>0</v>
      </c>
      <c r="BX44" s="539">
        <f t="shared" si="14"/>
        <v>0</v>
      </c>
      <c r="BY44" s="539">
        <f t="shared" si="14"/>
        <v>0</v>
      </c>
      <c r="BZ44" s="539">
        <f t="shared" si="14"/>
        <v>0</v>
      </c>
      <c r="CA44" s="539">
        <f t="shared" si="14"/>
        <v>0</v>
      </c>
      <c r="CB44" s="539">
        <f t="shared" si="14"/>
        <v>0</v>
      </c>
      <c r="CC44" s="539">
        <f t="shared" si="14"/>
        <v>0</v>
      </c>
      <c r="CD44" s="539">
        <f t="shared" si="14"/>
        <v>0</v>
      </c>
      <c r="CE44" s="539">
        <f t="shared" si="14"/>
        <v>0</v>
      </c>
      <c r="CF44" s="539">
        <f t="shared" si="14"/>
        <v>0</v>
      </c>
      <c r="CG44" s="539">
        <f t="shared" si="14"/>
        <v>0</v>
      </c>
      <c r="CH44" s="539">
        <f t="shared" si="14"/>
        <v>0</v>
      </c>
      <c r="CI44" s="539">
        <f t="shared" si="14"/>
        <v>0</v>
      </c>
      <c r="CJ44" s="539">
        <f t="shared" si="14"/>
        <v>0</v>
      </c>
      <c r="CK44" s="539">
        <f t="shared" si="14"/>
        <v>0</v>
      </c>
      <c r="CL44" s="539">
        <f t="shared" si="14"/>
        <v>0</v>
      </c>
      <c r="CM44" s="539">
        <f t="shared" si="14"/>
        <v>0</v>
      </c>
      <c r="CN44" s="539">
        <f t="shared" si="14"/>
        <v>0</v>
      </c>
      <c r="CO44" s="539">
        <f t="shared" si="14"/>
        <v>0</v>
      </c>
      <c r="CP44" s="539">
        <f t="shared" si="14"/>
        <v>0</v>
      </c>
      <c r="CQ44" s="539">
        <f t="shared" si="14"/>
        <v>0</v>
      </c>
      <c r="CR44" s="539">
        <f t="shared" si="14"/>
        <v>0</v>
      </c>
      <c r="CS44" s="539">
        <f t="shared" si="14"/>
        <v>0</v>
      </c>
      <c r="CT44" s="539">
        <f t="shared" si="14"/>
        <v>0</v>
      </c>
      <c r="CU44" s="539">
        <f t="shared" si="14"/>
        <v>0</v>
      </c>
      <c r="CV44" s="539">
        <f t="shared" si="14"/>
        <v>0</v>
      </c>
      <c r="CW44" s="539">
        <f t="shared" si="14"/>
        <v>0</v>
      </c>
      <c r="CX44" s="539">
        <f t="shared" si="14"/>
        <v>0</v>
      </c>
      <c r="CY44" s="539">
        <f t="shared" si="14"/>
        <v>0</v>
      </c>
      <c r="CZ44" s="539">
        <f t="shared" si="14"/>
        <v>0</v>
      </c>
      <c r="DA44" s="539">
        <f t="shared" si="14"/>
        <v>0</v>
      </c>
      <c r="DB44" s="539">
        <f t="shared" si="14"/>
        <v>0</v>
      </c>
      <c r="DC44" s="539">
        <f t="shared" si="14"/>
        <v>0</v>
      </c>
      <c r="DD44" s="539">
        <f t="shared" si="14"/>
        <v>0</v>
      </c>
      <c r="DE44" s="539">
        <f t="shared" si="14"/>
        <v>0</v>
      </c>
      <c r="DF44" s="539">
        <f t="shared" si="14"/>
        <v>0</v>
      </c>
      <c r="DG44" s="539">
        <f t="shared" si="14"/>
        <v>0</v>
      </c>
      <c r="DH44" s="539">
        <f t="shared" si="14"/>
        <v>0</v>
      </c>
      <c r="DI44" s="539">
        <f t="shared" si="14"/>
        <v>0</v>
      </c>
      <c r="DJ44" s="539">
        <f t="shared" si="14"/>
        <v>0</v>
      </c>
      <c r="DK44" s="539">
        <f t="shared" si="14"/>
        <v>0</v>
      </c>
      <c r="DL44" s="539">
        <f t="shared" si="14"/>
        <v>0</v>
      </c>
      <c r="DM44" s="539">
        <f t="shared" si="14"/>
        <v>0</v>
      </c>
      <c r="DN44" s="539">
        <f t="shared" si="14"/>
        <v>0</v>
      </c>
      <c r="DO44" s="539">
        <f t="shared" si="14"/>
        <v>0</v>
      </c>
      <c r="DP44" s="539">
        <f t="shared" si="14"/>
        <v>0</v>
      </c>
      <c r="DQ44" s="539">
        <f t="shared" si="14"/>
        <v>0</v>
      </c>
      <c r="DR44" s="539">
        <f t="shared" si="14"/>
        <v>0</v>
      </c>
      <c r="DS44" s="539">
        <f t="shared" si="14"/>
        <v>0</v>
      </c>
      <c r="DT44" s="539">
        <f t="shared" si="14"/>
        <v>0</v>
      </c>
      <c r="DU44" s="539">
        <f t="shared" si="14"/>
        <v>0</v>
      </c>
      <c r="DV44" s="539">
        <f t="shared" si="14"/>
        <v>0</v>
      </c>
      <c r="DW44" s="539">
        <f t="shared" si="14"/>
        <v>0</v>
      </c>
      <c r="DX44" s="539">
        <f t="shared" si="14"/>
        <v>0</v>
      </c>
      <c r="DY44" s="539">
        <f t="shared" si="14"/>
        <v>0</v>
      </c>
      <c r="DZ44" s="539">
        <f t="shared" si="14"/>
        <v>0</v>
      </c>
      <c r="EA44" s="539">
        <f t="shared" si="14"/>
        <v>0</v>
      </c>
      <c r="EB44" s="539">
        <f t="shared" si="14"/>
        <v>0</v>
      </c>
      <c r="EC44" s="539">
        <f t="shared" si="14"/>
        <v>0</v>
      </c>
      <c r="ED44" s="539">
        <f t="shared" si="14"/>
        <v>0</v>
      </c>
      <c r="EE44" s="539">
        <f t="shared" si="14"/>
        <v>0</v>
      </c>
      <c r="EF44" s="539">
        <f t="shared" si="14"/>
        <v>0</v>
      </c>
      <c r="EG44" s="539">
        <f t="shared" si="14"/>
        <v>0</v>
      </c>
    </row>
    <row r="45" spans="5:137" ht="12.75">
      <c r="E45" s="538" t="str">
        <f>E$30</f>
        <v>Contingency - spend</v>
      </c>
      <c r="G45" s="539" t="str">
        <f>G$30</f>
        <v>EUR 000s</v>
      </c>
      <c r="H45" s="539">
        <f>H$30</f>
        <v>13500</v>
      </c>
      <c r="J45" s="539">
        <f t="shared" si="15" ref="J45:EG45">J$30</f>
        <v>0</v>
      </c>
      <c r="K45" s="539">
        <f t="shared" si="15"/>
        <v>0</v>
      </c>
      <c r="L45" s="539">
        <f t="shared" si="15"/>
        <v>0</v>
      </c>
      <c r="M45" s="539">
        <f t="shared" si="15"/>
        <v>632.8125</v>
      </c>
      <c r="N45" s="539">
        <f t="shared" si="15"/>
        <v>648.4375</v>
      </c>
      <c r="O45" s="539">
        <f t="shared" si="15"/>
        <v>632.8125</v>
      </c>
      <c r="P45" s="539">
        <f t="shared" si="15"/>
        <v>648.4375</v>
      </c>
      <c r="Q45" s="539">
        <f t="shared" si="15"/>
        <v>632.8125</v>
      </c>
      <c r="R45" s="539">
        <f t="shared" si="15"/>
        <v>806.640625</v>
      </c>
      <c r="S45" s="539">
        <f t="shared" si="15"/>
        <v>839.84375</v>
      </c>
      <c r="T45" s="539">
        <f t="shared" si="15"/>
        <v>855.46875</v>
      </c>
      <c r="U45" s="539">
        <f t="shared" si="15"/>
        <v>871.09375</v>
      </c>
      <c r="V45" s="539">
        <f t="shared" si="15"/>
        <v>808.59375</v>
      </c>
      <c r="W45" s="539">
        <f t="shared" si="15"/>
        <v>800.78125</v>
      </c>
      <c r="X45" s="539">
        <f t="shared" si="15"/>
        <v>714.84375</v>
      </c>
      <c r="Y45" s="539">
        <f t="shared" si="15"/>
        <v>621.09375</v>
      </c>
      <c r="Z45" s="539">
        <f t="shared" si="15"/>
        <v>574.21875</v>
      </c>
      <c r="AA45" s="539">
        <f t="shared" si="15"/>
        <v>644.53125</v>
      </c>
      <c r="AB45" s="539">
        <f t="shared" si="15"/>
        <v>675.78125</v>
      </c>
      <c r="AC45" s="539">
        <f t="shared" si="15"/>
        <v>667.96875</v>
      </c>
      <c r="AD45" s="539">
        <f t="shared" si="15"/>
        <v>603.515625</v>
      </c>
      <c r="AE45" s="539">
        <f t="shared" si="15"/>
        <v>359.375</v>
      </c>
      <c r="AF45" s="539">
        <f t="shared" si="15"/>
        <v>273.4375</v>
      </c>
      <c r="AG45" s="539">
        <f t="shared" si="15"/>
        <v>187.5</v>
      </c>
      <c r="AH45" s="539">
        <f t="shared" si="15"/>
        <v>0</v>
      </c>
      <c r="AI45" s="539">
        <f t="shared" si="15"/>
        <v>0</v>
      </c>
      <c r="AJ45" s="539">
        <f t="shared" si="15"/>
        <v>0</v>
      </c>
      <c r="AK45" s="539">
        <f t="shared" si="15"/>
        <v>0</v>
      </c>
      <c r="AL45" s="539">
        <f t="shared" si="15"/>
        <v>0</v>
      </c>
      <c r="AM45" s="539">
        <f t="shared" si="15"/>
        <v>0</v>
      </c>
      <c r="AN45" s="539">
        <f t="shared" si="15"/>
        <v>0</v>
      </c>
      <c r="AO45" s="539">
        <f t="shared" si="15"/>
        <v>0</v>
      </c>
      <c r="AP45" s="539">
        <f t="shared" si="15"/>
        <v>0</v>
      </c>
      <c r="AQ45" s="539">
        <f t="shared" si="15"/>
        <v>0</v>
      </c>
      <c r="AR45" s="539">
        <f t="shared" si="15"/>
        <v>0</v>
      </c>
      <c r="AS45" s="539">
        <f t="shared" si="15"/>
        <v>0</v>
      </c>
      <c r="AT45" s="539">
        <f t="shared" si="15"/>
        <v>0</v>
      </c>
      <c r="AU45" s="539">
        <f t="shared" si="15"/>
        <v>0</v>
      </c>
      <c r="AV45" s="539">
        <f t="shared" si="15"/>
        <v>0</v>
      </c>
      <c r="AW45" s="539">
        <f t="shared" si="15"/>
        <v>0</v>
      </c>
      <c r="AX45" s="539">
        <f t="shared" si="15"/>
        <v>0</v>
      </c>
      <c r="AY45" s="539">
        <f t="shared" si="15"/>
        <v>0</v>
      </c>
      <c r="AZ45" s="539">
        <f t="shared" si="15"/>
        <v>0</v>
      </c>
      <c r="BA45" s="539">
        <f t="shared" si="15"/>
        <v>0</v>
      </c>
      <c r="BB45" s="539">
        <f t="shared" si="15"/>
        <v>0</v>
      </c>
      <c r="BC45" s="539">
        <f t="shared" si="15"/>
        <v>0</v>
      </c>
      <c r="BD45" s="539">
        <f t="shared" si="15"/>
        <v>0</v>
      </c>
      <c r="BE45" s="539">
        <f t="shared" si="15"/>
        <v>0</v>
      </c>
      <c r="BF45" s="539">
        <f t="shared" si="15"/>
        <v>0</v>
      </c>
      <c r="BG45" s="539">
        <f t="shared" si="15"/>
        <v>0</v>
      </c>
      <c r="BH45" s="539">
        <f t="shared" si="15"/>
        <v>0</v>
      </c>
      <c r="BI45" s="539">
        <f t="shared" si="15"/>
        <v>0</v>
      </c>
      <c r="BJ45" s="539">
        <f t="shared" si="15"/>
        <v>0</v>
      </c>
      <c r="BK45" s="539">
        <f t="shared" si="15"/>
        <v>0</v>
      </c>
      <c r="BL45" s="539">
        <f t="shared" si="15"/>
        <v>0</v>
      </c>
      <c r="BM45" s="539">
        <f t="shared" si="15"/>
        <v>0</v>
      </c>
      <c r="BN45" s="539">
        <f t="shared" si="15"/>
        <v>0</v>
      </c>
      <c r="BO45" s="539">
        <f t="shared" si="15"/>
        <v>0</v>
      </c>
      <c r="BP45" s="539">
        <f t="shared" si="15"/>
        <v>0</v>
      </c>
      <c r="BQ45" s="539">
        <f t="shared" si="15"/>
        <v>0</v>
      </c>
      <c r="BR45" s="539">
        <f t="shared" si="15"/>
        <v>0</v>
      </c>
      <c r="BS45" s="539">
        <f t="shared" si="15"/>
        <v>0</v>
      </c>
      <c r="BT45" s="539">
        <f t="shared" si="15"/>
        <v>0</v>
      </c>
      <c r="BU45" s="539">
        <f t="shared" si="15"/>
        <v>0</v>
      </c>
      <c r="BV45" s="539">
        <f t="shared" si="15"/>
        <v>0</v>
      </c>
      <c r="BW45" s="539">
        <f t="shared" si="15"/>
        <v>0</v>
      </c>
      <c r="BX45" s="539">
        <f t="shared" si="15"/>
        <v>0</v>
      </c>
      <c r="BY45" s="539">
        <f t="shared" si="15"/>
        <v>0</v>
      </c>
      <c r="BZ45" s="539">
        <f t="shared" si="15"/>
        <v>0</v>
      </c>
      <c r="CA45" s="539">
        <f t="shared" si="15"/>
        <v>0</v>
      </c>
      <c r="CB45" s="539">
        <f t="shared" si="15"/>
        <v>0</v>
      </c>
      <c r="CC45" s="539">
        <f t="shared" si="15"/>
        <v>0</v>
      </c>
      <c r="CD45" s="539">
        <f t="shared" si="15"/>
        <v>0</v>
      </c>
      <c r="CE45" s="539">
        <f t="shared" si="15"/>
        <v>0</v>
      </c>
      <c r="CF45" s="539">
        <f t="shared" si="15"/>
        <v>0</v>
      </c>
      <c r="CG45" s="539">
        <f t="shared" si="15"/>
        <v>0</v>
      </c>
      <c r="CH45" s="539">
        <f t="shared" si="15"/>
        <v>0</v>
      </c>
      <c r="CI45" s="539">
        <f t="shared" si="15"/>
        <v>0</v>
      </c>
      <c r="CJ45" s="539">
        <f t="shared" si="15"/>
        <v>0</v>
      </c>
      <c r="CK45" s="539">
        <f t="shared" si="15"/>
        <v>0</v>
      </c>
      <c r="CL45" s="539">
        <f t="shared" si="15"/>
        <v>0</v>
      </c>
      <c r="CM45" s="539">
        <f t="shared" si="15"/>
        <v>0</v>
      </c>
      <c r="CN45" s="539">
        <f t="shared" si="15"/>
        <v>0</v>
      </c>
      <c r="CO45" s="539">
        <f t="shared" si="15"/>
        <v>0</v>
      </c>
      <c r="CP45" s="539">
        <f t="shared" si="15"/>
        <v>0</v>
      </c>
      <c r="CQ45" s="539">
        <f t="shared" si="15"/>
        <v>0</v>
      </c>
      <c r="CR45" s="539">
        <f t="shared" si="15"/>
        <v>0</v>
      </c>
      <c r="CS45" s="539">
        <f t="shared" si="15"/>
        <v>0</v>
      </c>
      <c r="CT45" s="539">
        <f t="shared" si="15"/>
        <v>0</v>
      </c>
      <c r="CU45" s="539">
        <f t="shared" si="15"/>
        <v>0</v>
      </c>
      <c r="CV45" s="539">
        <f t="shared" si="15"/>
        <v>0</v>
      </c>
      <c r="CW45" s="539">
        <f t="shared" si="15"/>
        <v>0</v>
      </c>
      <c r="CX45" s="539">
        <f t="shared" si="15"/>
        <v>0</v>
      </c>
      <c r="CY45" s="539">
        <f t="shared" si="15"/>
        <v>0</v>
      </c>
      <c r="CZ45" s="539">
        <f t="shared" si="15"/>
        <v>0</v>
      </c>
      <c r="DA45" s="539">
        <f t="shared" si="15"/>
        <v>0</v>
      </c>
      <c r="DB45" s="539">
        <f t="shared" si="15"/>
        <v>0</v>
      </c>
      <c r="DC45" s="539">
        <f t="shared" si="15"/>
        <v>0</v>
      </c>
      <c r="DD45" s="539">
        <f t="shared" si="15"/>
        <v>0</v>
      </c>
      <c r="DE45" s="539">
        <f t="shared" si="15"/>
        <v>0</v>
      </c>
      <c r="DF45" s="539">
        <f t="shared" si="15"/>
        <v>0</v>
      </c>
      <c r="DG45" s="539">
        <f t="shared" si="15"/>
        <v>0</v>
      </c>
      <c r="DH45" s="539">
        <f t="shared" si="15"/>
        <v>0</v>
      </c>
      <c r="DI45" s="539">
        <f t="shared" si="15"/>
        <v>0</v>
      </c>
      <c r="DJ45" s="539">
        <f t="shared" si="15"/>
        <v>0</v>
      </c>
      <c r="DK45" s="539">
        <f t="shared" si="15"/>
        <v>0</v>
      </c>
      <c r="DL45" s="539">
        <f t="shared" si="15"/>
        <v>0</v>
      </c>
      <c r="DM45" s="539">
        <f t="shared" si="15"/>
        <v>0</v>
      </c>
      <c r="DN45" s="539">
        <f t="shared" si="15"/>
        <v>0</v>
      </c>
      <c r="DO45" s="539">
        <f t="shared" si="15"/>
        <v>0</v>
      </c>
      <c r="DP45" s="539">
        <f t="shared" si="15"/>
        <v>0</v>
      </c>
      <c r="DQ45" s="539">
        <f t="shared" si="15"/>
        <v>0</v>
      </c>
      <c r="DR45" s="539">
        <f t="shared" si="15"/>
        <v>0</v>
      </c>
      <c r="DS45" s="539">
        <f t="shared" si="15"/>
        <v>0</v>
      </c>
      <c r="DT45" s="539">
        <f t="shared" si="15"/>
        <v>0</v>
      </c>
      <c r="DU45" s="539">
        <f t="shared" si="15"/>
        <v>0</v>
      </c>
      <c r="DV45" s="539">
        <f t="shared" si="15"/>
        <v>0</v>
      </c>
      <c r="DW45" s="539">
        <f t="shared" si="15"/>
        <v>0</v>
      </c>
      <c r="DX45" s="539">
        <f t="shared" si="15"/>
        <v>0</v>
      </c>
      <c r="DY45" s="539">
        <f t="shared" si="15"/>
        <v>0</v>
      </c>
      <c r="DZ45" s="539">
        <f t="shared" si="15"/>
        <v>0</v>
      </c>
      <c r="EA45" s="539">
        <f t="shared" si="15"/>
        <v>0</v>
      </c>
      <c r="EB45" s="539">
        <f t="shared" si="15"/>
        <v>0</v>
      </c>
      <c r="EC45" s="539">
        <f t="shared" si="15"/>
        <v>0</v>
      </c>
      <c r="ED45" s="539">
        <f t="shared" si="15"/>
        <v>0</v>
      </c>
      <c r="EE45" s="539">
        <f t="shared" si="15"/>
        <v>0</v>
      </c>
      <c r="EF45" s="539">
        <f t="shared" si="15"/>
        <v>0</v>
      </c>
      <c r="EG45" s="539">
        <f t="shared" si="15"/>
        <v>0</v>
      </c>
    </row>
    <row r="46" spans="5:137" ht="12.75">
      <c r="E46" s="538" t="str">
        <f>E$34</f>
        <v>Development costs - spend</v>
      </c>
      <c r="G46" s="539" t="str">
        <f>G$34</f>
        <v>EUR 000s</v>
      </c>
      <c r="H46" s="539">
        <f>H$34</f>
        <v>8000</v>
      </c>
      <c r="J46" s="539">
        <f t="shared" si="16" ref="J46:EG46">J$34</f>
        <v>0</v>
      </c>
      <c r="K46" s="539">
        <f t="shared" si="16"/>
        <v>0</v>
      </c>
      <c r="L46" s="539">
        <f t="shared" si="16"/>
        <v>8000</v>
      </c>
      <c r="M46" s="539">
        <f t="shared" si="16"/>
        <v>0</v>
      </c>
      <c r="N46" s="539">
        <f t="shared" si="16"/>
        <v>0</v>
      </c>
      <c r="O46" s="539">
        <f t="shared" si="16"/>
        <v>0</v>
      </c>
      <c r="P46" s="539">
        <f t="shared" si="16"/>
        <v>0</v>
      </c>
      <c r="Q46" s="539">
        <f t="shared" si="16"/>
        <v>0</v>
      </c>
      <c r="R46" s="539">
        <f t="shared" si="16"/>
        <v>0</v>
      </c>
      <c r="S46" s="539">
        <f t="shared" si="16"/>
        <v>0</v>
      </c>
      <c r="T46" s="539">
        <f t="shared" si="16"/>
        <v>0</v>
      </c>
      <c r="U46" s="539">
        <f t="shared" si="16"/>
        <v>0</v>
      </c>
      <c r="V46" s="539">
        <f t="shared" si="16"/>
        <v>0</v>
      </c>
      <c r="W46" s="539">
        <f t="shared" si="16"/>
        <v>0</v>
      </c>
      <c r="X46" s="539">
        <f t="shared" si="16"/>
        <v>0</v>
      </c>
      <c r="Y46" s="539">
        <f t="shared" si="16"/>
        <v>0</v>
      </c>
      <c r="Z46" s="539">
        <f t="shared" si="16"/>
        <v>0</v>
      </c>
      <c r="AA46" s="539">
        <f t="shared" si="16"/>
        <v>0</v>
      </c>
      <c r="AB46" s="539">
        <f t="shared" si="16"/>
        <v>0</v>
      </c>
      <c r="AC46" s="539">
        <f t="shared" si="16"/>
        <v>0</v>
      </c>
      <c r="AD46" s="539">
        <f t="shared" si="16"/>
        <v>0</v>
      </c>
      <c r="AE46" s="539">
        <f t="shared" si="16"/>
        <v>0</v>
      </c>
      <c r="AF46" s="539">
        <f t="shared" si="16"/>
        <v>0</v>
      </c>
      <c r="AG46" s="539">
        <f t="shared" si="16"/>
        <v>0</v>
      </c>
      <c r="AH46" s="539">
        <f t="shared" si="16"/>
        <v>0</v>
      </c>
      <c r="AI46" s="539">
        <f t="shared" si="16"/>
        <v>0</v>
      </c>
      <c r="AJ46" s="539">
        <f t="shared" si="16"/>
        <v>0</v>
      </c>
      <c r="AK46" s="539">
        <f t="shared" si="16"/>
        <v>0</v>
      </c>
      <c r="AL46" s="539">
        <f t="shared" si="16"/>
        <v>0</v>
      </c>
      <c r="AM46" s="539">
        <f t="shared" si="16"/>
        <v>0</v>
      </c>
      <c r="AN46" s="539">
        <f t="shared" si="16"/>
        <v>0</v>
      </c>
      <c r="AO46" s="539">
        <f t="shared" si="16"/>
        <v>0</v>
      </c>
      <c r="AP46" s="539">
        <f t="shared" si="16"/>
        <v>0</v>
      </c>
      <c r="AQ46" s="539">
        <f t="shared" si="16"/>
        <v>0</v>
      </c>
      <c r="AR46" s="539">
        <f t="shared" si="16"/>
        <v>0</v>
      </c>
      <c r="AS46" s="539">
        <f t="shared" si="16"/>
        <v>0</v>
      </c>
      <c r="AT46" s="539">
        <f t="shared" si="16"/>
        <v>0</v>
      </c>
      <c r="AU46" s="539">
        <f t="shared" si="16"/>
        <v>0</v>
      </c>
      <c r="AV46" s="539">
        <f t="shared" si="16"/>
        <v>0</v>
      </c>
      <c r="AW46" s="539">
        <f t="shared" si="16"/>
        <v>0</v>
      </c>
      <c r="AX46" s="539">
        <f t="shared" si="16"/>
        <v>0</v>
      </c>
      <c r="AY46" s="539">
        <f t="shared" si="16"/>
        <v>0</v>
      </c>
      <c r="AZ46" s="539">
        <f t="shared" si="16"/>
        <v>0</v>
      </c>
      <c r="BA46" s="539">
        <f t="shared" si="16"/>
        <v>0</v>
      </c>
      <c r="BB46" s="539">
        <f t="shared" si="16"/>
        <v>0</v>
      </c>
      <c r="BC46" s="539">
        <f t="shared" si="16"/>
        <v>0</v>
      </c>
      <c r="BD46" s="539">
        <f t="shared" si="16"/>
        <v>0</v>
      </c>
      <c r="BE46" s="539">
        <f t="shared" si="16"/>
        <v>0</v>
      </c>
      <c r="BF46" s="539">
        <f t="shared" si="16"/>
        <v>0</v>
      </c>
      <c r="BG46" s="539">
        <f t="shared" si="16"/>
        <v>0</v>
      </c>
      <c r="BH46" s="539">
        <f t="shared" si="16"/>
        <v>0</v>
      </c>
      <c r="BI46" s="539">
        <f t="shared" si="16"/>
        <v>0</v>
      </c>
      <c r="BJ46" s="539">
        <f t="shared" si="16"/>
        <v>0</v>
      </c>
      <c r="BK46" s="539">
        <f t="shared" si="16"/>
        <v>0</v>
      </c>
      <c r="BL46" s="539">
        <f t="shared" si="16"/>
        <v>0</v>
      </c>
      <c r="BM46" s="539">
        <f t="shared" si="16"/>
        <v>0</v>
      </c>
      <c r="BN46" s="539">
        <f t="shared" si="16"/>
        <v>0</v>
      </c>
      <c r="BO46" s="539">
        <f t="shared" si="16"/>
        <v>0</v>
      </c>
      <c r="BP46" s="539">
        <f t="shared" si="16"/>
        <v>0</v>
      </c>
      <c r="BQ46" s="539">
        <f t="shared" si="16"/>
        <v>0</v>
      </c>
      <c r="BR46" s="539">
        <f t="shared" si="16"/>
        <v>0</v>
      </c>
      <c r="BS46" s="539">
        <f t="shared" si="16"/>
        <v>0</v>
      </c>
      <c r="BT46" s="539">
        <f t="shared" si="16"/>
        <v>0</v>
      </c>
      <c r="BU46" s="539">
        <f t="shared" si="16"/>
        <v>0</v>
      </c>
      <c r="BV46" s="539">
        <f t="shared" si="16"/>
        <v>0</v>
      </c>
      <c r="BW46" s="539">
        <f t="shared" si="16"/>
        <v>0</v>
      </c>
      <c r="BX46" s="539">
        <f t="shared" si="16"/>
        <v>0</v>
      </c>
      <c r="BY46" s="539">
        <f t="shared" si="16"/>
        <v>0</v>
      </c>
      <c r="BZ46" s="539">
        <f t="shared" si="16"/>
        <v>0</v>
      </c>
      <c r="CA46" s="539">
        <f t="shared" si="16"/>
        <v>0</v>
      </c>
      <c r="CB46" s="539">
        <f t="shared" si="16"/>
        <v>0</v>
      </c>
      <c r="CC46" s="539">
        <f t="shared" si="16"/>
        <v>0</v>
      </c>
      <c r="CD46" s="539">
        <f t="shared" si="16"/>
        <v>0</v>
      </c>
      <c r="CE46" s="539">
        <f t="shared" si="16"/>
        <v>0</v>
      </c>
      <c r="CF46" s="539">
        <f t="shared" si="16"/>
        <v>0</v>
      </c>
      <c r="CG46" s="539">
        <f t="shared" si="16"/>
        <v>0</v>
      </c>
      <c r="CH46" s="539">
        <f t="shared" si="16"/>
        <v>0</v>
      </c>
      <c r="CI46" s="539">
        <f t="shared" si="16"/>
        <v>0</v>
      </c>
      <c r="CJ46" s="539">
        <f t="shared" si="16"/>
        <v>0</v>
      </c>
      <c r="CK46" s="539">
        <f t="shared" si="16"/>
        <v>0</v>
      </c>
      <c r="CL46" s="539">
        <f t="shared" si="16"/>
        <v>0</v>
      </c>
      <c r="CM46" s="539">
        <f t="shared" si="16"/>
        <v>0</v>
      </c>
      <c r="CN46" s="539">
        <f t="shared" si="16"/>
        <v>0</v>
      </c>
      <c r="CO46" s="539">
        <f t="shared" si="16"/>
        <v>0</v>
      </c>
      <c r="CP46" s="539">
        <f t="shared" si="16"/>
        <v>0</v>
      </c>
      <c r="CQ46" s="539">
        <f t="shared" si="16"/>
        <v>0</v>
      </c>
      <c r="CR46" s="539">
        <f t="shared" si="16"/>
        <v>0</v>
      </c>
      <c r="CS46" s="539">
        <f t="shared" si="16"/>
        <v>0</v>
      </c>
      <c r="CT46" s="539">
        <f t="shared" si="16"/>
        <v>0</v>
      </c>
      <c r="CU46" s="539">
        <f t="shared" si="16"/>
        <v>0</v>
      </c>
      <c r="CV46" s="539">
        <f t="shared" si="16"/>
        <v>0</v>
      </c>
      <c r="CW46" s="539">
        <f t="shared" si="16"/>
        <v>0</v>
      </c>
      <c r="CX46" s="539">
        <f t="shared" si="16"/>
        <v>0</v>
      </c>
      <c r="CY46" s="539">
        <f t="shared" si="16"/>
        <v>0</v>
      </c>
      <c r="CZ46" s="539">
        <f t="shared" si="16"/>
        <v>0</v>
      </c>
      <c r="DA46" s="539">
        <f t="shared" si="16"/>
        <v>0</v>
      </c>
      <c r="DB46" s="539">
        <f t="shared" si="16"/>
        <v>0</v>
      </c>
      <c r="DC46" s="539">
        <f t="shared" si="16"/>
        <v>0</v>
      </c>
      <c r="DD46" s="539">
        <f t="shared" si="16"/>
        <v>0</v>
      </c>
      <c r="DE46" s="539">
        <f t="shared" si="16"/>
        <v>0</v>
      </c>
      <c r="DF46" s="539">
        <f t="shared" si="16"/>
        <v>0</v>
      </c>
      <c r="DG46" s="539">
        <f t="shared" si="16"/>
        <v>0</v>
      </c>
      <c r="DH46" s="539">
        <f t="shared" si="16"/>
        <v>0</v>
      </c>
      <c r="DI46" s="539">
        <f t="shared" si="16"/>
        <v>0</v>
      </c>
      <c r="DJ46" s="539">
        <f t="shared" si="16"/>
        <v>0</v>
      </c>
      <c r="DK46" s="539">
        <f t="shared" si="16"/>
        <v>0</v>
      </c>
      <c r="DL46" s="539">
        <f t="shared" si="16"/>
        <v>0</v>
      </c>
      <c r="DM46" s="539">
        <f t="shared" si="16"/>
        <v>0</v>
      </c>
      <c r="DN46" s="539">
        <f t="shared" si="16"/>
        <v>0</v>
      </c>
      <c r="DO46" s="539">
        <f t="shared" si="16"/>
        <v>0</v>
      </c>
      <c r="DP46" s="539">
        <f t="shared" si="16"/>
        <v>0</v>
      </c>
      <c r="DQ46" s="539">
        <f t="shared" si="16"/>
        <v>0</v>
      </c>
      <c r="DR46" s="539">
        <f t="shared" si="16"/>
        <v>0</v>
      </c>
      <c r="DS46" s="539">
        <f t="shared" si="16"/>
        <v>0</v>
      </c>
      <c r="DT46" s="539">
        <f t="shared" si="16"/>
        <v>0</v>
      </c>
      <c r="DU46" s="539">
        <f t="shared" si="16"/>
        <v>0</v>
      </c>
      <c r="DV46" s="539">
        <f t="shared" si="16"/>
        <v>0</v>
      </c>
      <c r="DW46" s="539">
        <f t="shared" si="16"/>
        <v>0</v>
      </c>
      <c r="DX46" s="539">
        <f t="shared" si="16"/>
        <v>0</v>
      </c>
      <c r="DY46" s="539">
        <f t="shared" si="16"/>
        <v>0</v>
      </c>
      <c r="DZ46" s="539">
        <f t="shared" si="16"/>
        <v>0</v>
      </c>
      <c r="EA46" s="539">
        <f t="shared" si="16"/>
        <v>0</v>
      </c>
      <c r="EB46" s="539">
        <f t="shared" si="16"/>
        <v>0</v>
      </c>
      <c r="EC46" s="539">
        <f t="shared" si="16"/>
        <v>0</v>
      </c>
      <c r="ED46" s="539">
        <f t="shared" si="16"/>
        <v>0</v>
      </c>
      <c r="EE46" s="539">
        <f t="shared" si="16"/>
        <v>0</v>
      </c>
      <c r="EF46" s="539">
        <f t="shared" si="16"/>
        <v>0</v>
      </c>
      <c r="EG46" s="539">
        <f t="shared" si="16"/>
        <v>0</v>
      </c>
    </row>
    <row r="47" spans="5:137" ht="12.75">
      <c r="E47" s="538" t="str">
        <f>E$39</f>
        <v>Lease cost - construction</v>
      </c>
      <c r="G47" s="539" t="str">
        <f>G$39</f>
        <v>EUR 000s</v>
      </c>
      <c r="H47" s="539">
        <f>H$39</f>
        <v>52.5</v>
      </c>
      <c r="J47" s="539">
        <f t="shared" si="17" ref="J47:EG47">J$39</f>
        <v>0</v>
      </c>
      <c r="K47" s="539">
        <f t="shared" si="17"/>
        <v>0</v>
      </c>
      <c r="L47" s="539">
        <f t="shared" si="17"/>
        <v>0</v>
      </c>
      <c r="M47" s="539">
        <f t="shared" si="17"/>
        <v>2.5</v>
      </c>
      <c r="N47" s="539">
        <f t="shared" si="17"/>
        <v>2.5</v>
      </c>
      <c r="O47" s="539">
        <f t="shared" si="17"/>
        <v>2.5</v>
      </c>
      <c r="P47" s="539">
        <f t="shared" si="17"/>
        <v>2.5</v>
      </c>
      <c r="Q47" s="539">
        <f t="shared" si="17"/>
        <v>2.5</v>
      </c>
      <c r="R47" s="539">
        <f t="shared" si="17"/>
        <v>2.5</v>
      </c>
      <c r="S47" s="539">
        <f t="shared" si="17"/>
        <v>2.5</v>
      </c>
      <c r="T47" s="539">
        <f t="shared" si="17"/>
        <v>2.5</v>
      </c>
      <c r="U47" s="539">
        <f t="shared" si="17"/>
        <v>2.5</v>
      </c>
      <c r="V47" s="539">
        <f t="shared" si="17"/>
        <v>2.5</v>
      </c>
      <c r="W47" s="539">
        <f t="shared" si="17"/>
        <v>2.5</v>
      </c>
      <c r="X47" s="539">
        <f t="shared" si="17"/>
        <v>2.5</v>
      </c>
      <c r="Y47" s="539">
        <f t="shared" si="17"/>
        <v>2.5</v>
      </c>
      <c r="Z47" s="539">
        <f t="shared" si="17"/>
        <v>2.5</v>
      </c>
      <c r="AA47" s="539">
        <f t="shared" si="17"/>
        <v>2.5</v>
      </c>
      <c r="AB47" s="539">
        <f t="shared" si="17"/>
        <v>2.5</v>
      </c>
      <c r="AC47" s="539">
        <f t="shared" si="17"/>
        <v>2.5</v>
      </c>
      <c r="AD47" s="539">
        <f t="shared" si="17"/>
        <v>2.5</v>
      </c>
      <c r="AE47" s="539">
        <f t="shared" si="17"/>
        <v>2.5</v>
      </c>
      <c r="AF47" s="539">
        <f t="shared" si="17"/>
        <v>2.5</v>
      </c>
      <c r="AG47" s="539">
        <f t="shared" si="17"/>
        <v>2.5</v>
      </c>
      <c r="AH47" s="539">
        <f t="shared" si="17"/>
        <v>0</v>
      </c>
      <c r="AI47" s="539">
        <f t="shared" si="17"/>
        <v>0</v>
      </c>
      <c r="AJ47" s="539">
        <f t="shared" si="17"/>
        <v>0</v>
      </c>
      <c r="AK47" s="539">
        <f t="shared" si="17"/>
        <v>0</v>
      </c>
      <c r="AL47" s="539">
        <f t="shared" si="17"/>
        <v>0</v>
      </c>
      <c r="AM47" s="539">
        <f t="shared" si="17"/>
        <v>0</v>
      </c>
      <c r="AN47" s="539">
        <f t="shared" si="17"/>
        <v>0</v>
      </c>
      <c r="AO47" s="539">
        <f t="shared" si="17"/>
        <v>0</v>
      </c>
      <c r="AP47" s="539">
        <f t="shared" si="17"/>
        <v>0</v>
      </c>
      <c r="AQ47" s="539">
        <f t="shared" si="17"/>
        <v>0</v>
      </c>
      <c r="AR47" s="539">
        <f t="shared" si="17"/>
        <v>0</v>
      </c>
      <c r="AS47" s="539">
        <f t="shared" si="17"/>
        <v>0</v>
      </c>
      <c r="AT47" s="539">
        <f t="shared" si="17"/>
        <v>0</v>
      </c>
      <c r="AU47" s="539">
        <f t="shared" si="17"/>
        <v>0</v>
      </c>
      <c r="AV47" s="539">
        <f t="shared" si="17"/>
        <v>0</v>
      </c>
      <c r="AW47" s="539">
        <f t="shared" si="17"/>
        <v>0</v>
      </c>
      <c r="AX47" s="539">
        <f t="shared" si="17"/>
        <v>0</v>
      </c>
      <c r="AY47" s="539">
        <f t="shared" si="17"/>
        <v>0</v>
      </c>
      <c r="AZ47" s="539">
        <f t="shared" si="17"/>
        <v>0</v>
      </c>
      <c r="BA47" s="539">
        <f t="shared" si="17"/>
        <v>0</v>
      </c>
      <c r="BB47" s="539">
        <f t="shared" si="17"/>
        <v>0</v>
      </c>
      <c r="BC47" s="539">
        <f t="shared" si="17"/>
        <v>0</v>
      </c>
      <c r="BD47" s="539">
        <f t="shared" si="17"/>
        <v>0</v>
      </c>
      <c r="BE47" s="539">
        <f t="shared" si="17"/>
        <v>0</v>
      </c>
      <c r="BF47" s="539">
        <f t="shared" si="17"/>
        <v>0</v>
      </c>
      <c r="BG47" s="539">
        <f t="shared" si="17"/>
        <v>0</v>
      </c>
      <c r="BH47" s="539">
        <f t="shared" si="17"/>
        <v>0</v>
      </c>
      <c r="BI47" s="539">
        <f t="shared" si="17"/>
        <v>0</v>
      </c>
      <c r="BJ47" s="539">
        <f t="shared" si="17"/>
        <v>0</v>
      </c>
      <c r="BK47" s="539">
        <f t="shared" si="17"/>
        <v>0</v>
      </c>
      <c r="BL47" s="539">
        <f t="shared" si="17"/>
        <v>0</v>
      </c>
      <c r="BM47" s="539">
        <f t="shared" si="17"/>
        <v>0</v>
      </c>
      <c r="BN47" s="539">
        <f t="shared" si="17"/>
        <v>0</v>
      </c>
      <c r="BO47" s="539">
        <f t="shared" si="17"/>
        <v>0</v>
      </c>
      <c r="BP47" s="539">
        <f t="shared" si="17"/>
        <v>0</v>
      </c>
      <c r="BQ47" s="539">
        <f t="shared" si="17"/>
        <v>0</v>
      </c>
      <c r="BR47" s="539">
        <f t="shared" si="17"/>
        <v>0</v>
      </c>
      <c r="BS47" s="539">
        <f t="shared" si="17"/>
        <v>0</v>
      </c>
      <c r="BT47" s="539">
        <f t="shared" si="17"/>
        <v>0</v>
      </c>
      <c r="BU47" s="539">
        <f t="shared" si="17"/>
        <v>0</v>
      </c>
      <c r="BV47" s="539">
        <f t="shared" si="17"/>
        <v>0</v>
      </c>
      <c r="BW47" s="539">
        <f t="shared" si="17"/>
        <v>0</v>
      </c>
      <c r="BX47" s="539">
        <f t="shared" si="17"/>
        <v>0</v>
      </c>
      <c r="BY47" s="539">
        <f t="shared" si="17"/>
        <v>0</v>
      </c>
      <c r="BZ47" s="539">
        <f t="shared" si="17"/>
        <v>0</v>
      </c>
      <c r="CA47" s="539">
        <f t="shared" si="17"/>
        <v>0</v>
      </c>
      <c r="CB47" s="539">
        <f t="shared" si="17"/>
        <v>0</v>
      </c>
      <c r="CC47" s="539">
        <f t="shared" si="17"/>
        <v>0</v>
      </c>
      <c r="CD47" s="539">
        <f t="shared" si="17"/>
        <v>0</v>
      </c>
      <c r="CE47" s="539">
        <f t="shared" si="17"/>
        <v>0</v>
      </c>
      <c r="CF47" s="539">
        <f t="shared" si="17"/>
        <v>0</v>
      </c>
      <c r="CG47" s="539">
        <f t="shared" si="17"/>
        <v>0</v>
      </c>
      <c r="CH47" s="539">
        <f t="shared" si="17"/>
        <v>0</v>
      </c>
      <c r="CI47" s="539">
        <f t="shared" si="17"/>
        <v>0</v>
      </c>
      <c r="CJ47" s="539">
        <f t="shared" si="17"/>
        <v>0</v>
      </c>
      <c r="CK47" s="539">
        <f t="shared" si="17"/>
        <v>0</v>
      </c>
      <c r="CL47" s="539">
        <f t="shared" si="17"/>
        <v>0</v>
      </c>
      <c r="CM47" s="539">
        <f t="shared" si="17"/>
        <v>0</v>
      </c>
      <c r="CN47" s="539">
        <f t="shared" si="17"/>
        <v>0</v>
      </c>
      <c r="CO47" s="539">
        <f t="shared" si="17"/>
        <v>0</v>
      </c>
      <c r="CP47" s="539">
        <f t="shared" si="17"/>
        <v>0</v>
      </c>
      <c r="CQ47" s="539">
        <f t="shared" si="17"/>
        <v>0</v>
      </c>
      <c r="CR47" s="539">
        <f t="shared" si="17"/>
        <v>0</v>
      </c>
      <c r="CS47" s="539">
        <f t="shared" si="17"/>
        <v>0</v>
      </c>
      <c r="CT47" s="539">
        <f t="shared" si="17"/>
        <v>0</v>
      </c>
      <c r="CU47" s="539">
        <f t="shared" si="17"/>
        <v>0</v>
      </c>
      <c r="CV47" s="539">
        <f t="shared" si="17"/>
        <v>0</v>
      </c>
      <c r="CW47" s="539">
        <f t="shared" si="17"/>
        <v>0</v>
      </c>
      <c r="CX47" s="539">
        <f t="shared" si="17"/>
        <v>0</v>
      </c>
      <c r="CY47" s="539">
        <f t="shared" si="17"/>
        <v>0</v>
      </c>
      <c r="CZ47" s="539">
        <f t="shared" si="17"/>
        <v>0</v>
      </c>
      <c r="DA47" s="539">
        <f t="shared" si="17"/>
        <v>0</v>
      </c>
      <c r="DB47" s="539">
        <f t="shared" si="17"/>
        <v>0</v>
      </c>
      <c r="DC47" s="539">
        <f t="shared" si="17"/>
        <v>0</v>
      </c>
      <c r="DD47" s="539">
        <f t="shared" si="17"/>
        <v>0</v>
      </c>
      <c r="DE47" s="539">
        <f t="shared" si="17"/>
        <v>0</v>
      </c>
      <c r="DF47" s="539">
        <f t="shared" si="17"/>
        <v>0</v>
      </c>
      <c r="DG47" s="539">
        <f t="shared" si="17"/>
        <v>0</v>
      </c>
      <c r="DH47" s="539">
        <f t="shared" si="17"/>
        <v>0</v>
      </c>
      <c r="DI47" s="539">
        <f t="shared" si="17"/>
        <v>0</v>
      </c>
      <c r="DJ47" s="539">
        <f t="shared" si="17"/>
        <v>0</v>
      </c>
      <c r="DK47" s="539">
        <f t="shared" si="17"/>
        <v>0</v>
      </c>
      <c r="DL47" s="539">
        <f t="shared" si="17"/>
        <v>0</v>
      </c>
      <c r="DM47" s="539">
        <f t="shared" si="17"/>
        <v>0</v>
      </c>
      <c r="DN47" s="539">
        <f t="shared" si="17"/>
        <v>0</v>
      </c>
      <c r="DO47" s="539">
        <f t="shared" si="17"/>
        <v>0</v>
      </c>
      <c r="DP47" s="539">
        <f t="shared" si="17"/>
        <v>0</v>
      </c>
      <c r="DQ47" s="539">
        <f t="shared" si="17"/>
        <v>0</v>
      </c>
      <c r="DR47" s="539">
        <f t="shared" si="17"/>
        <v>0</v>
      </c>
      <c r="DS47" s="539">
        <f t="shared" si="17"/>
        <v>0</v>
      </c>
      <c r="DT47" s="539">
        <f t="shared" si="17"/>
        <v>0</v>
      </c>
      <c r="DU47" s="539">
        <f t="shared" si="17"/>
        <v>0</v>
      </c>
      <c r="DV47" s="539">
        <f t="shared" si="17"/>
        <v>0</v>
      </c>
      <c r="DW47" s="539">
        <f t="shared" si="17"/>
        <v>0</v>
      </c>
      <c r="DX47" s="539">
        <f t="shared" si="17"/>
        <v>0</v>
      </c>
      <c r="DY47" s="539">
        <f t="shared" si="17"/>
        <v>0</v>
      </c>
      <c r="DZ47" s="539">
        <f t="shared" si="17"/>
        <v>0</v>
      </c>
      <c r="EA47" s="539">
        <f t="shared" si="17"/>
        <v>0</v>
      </c>
      <c r="EB47" s="539">
        <f t="shared" si="17"/>
        <v>0</v>
      </c>
      <c r="EC47" s="539">
        <f t="shared" si="17"/>
        <v>0</v>
      </c>
      <c r="ED47" s="539">
        <f t="shared" si="17"/>
        <v>0</v>
      </c>
      <c r="EE47" s="539">
        <f t="shared" si="17"/>
        <v>0</v>
      </c>
      <c r="EF47" s="539">
        <f t="shared" si="17"/>
        <v>0</v>
      </c>
      <c r="EG47" s="539">
        <f t="shared" si="17"/>
        <v>0</v>
      </c>
    </row>
    <row r="48" spans="5:137" ht="12.75">
      <c r="E48" s="540" t="s">
        <v>208</v>
      </c>
      <c r="G48" s="541" t="s">
        <v>30</v>
      </c>
      <c r="H48" s="541">
        <f>SUM(J48:EG48)</f>
        <v>291552.5</v>
      </c>
      <c r="J48" s="541">
        <f t="shared" si="18" ref="J48:EG48">SUM(J41:J44)+J45+J46+J47</f>
        <v>0</v>
      </c>
      <c r="K48" s="541">
        <f t="shared" si="18"/>
        <v>0</v>
      </c>
      <c r="L48" s="541">
        <f t="shared" si="18"/>
        <v>8000</v>
      </c>
      <c r="M48" s="541">
        <f t="shared" si="18"/>
        <v>13291.5625</v>
      </c>
      <c r="N48" s="541">
        <f t="shared" si="18"/>
        <v>13619.6875</v>
      </c>
      <c r="O48" s="541">
        <f t="shared" si="18"/>
        <v>13291.5625</v>
      </c>
      <c r="P48" s="541">
        <f t="shared" si="18"/>
        <v>13619.6875</v>
      </c>
      <c r="Q48" s="541">
        <f t="shared" si="18"/>
        <v>13291.5625</v>
      </c>
      <c r="R48" s="541">
        <f t="shared" si="18"/>
        <v>16941.953125</v>
      </c>
      <c r="S48" s="541">
        <f t="shared" si="18"/>
        <v>17639.21875</v>
      </c>
      <c r="T48" s="541">
        <f t="shared" si="18"/>
        <v>17967.34375</v>
      </c>
      <c r="U48" s="541">
        <f t="shared" si="18"/>
        <v>18295.46875</v>
      </c>
      <c r="V48" s="541">
        <f t="shared" si="18"/>
        <v>16982.96875</v>
      </c>
      <c r="W48" s="541">
        <f t="shared" si="18"/>
        <v>16818.90625</v>
      </c>
      <c r="X48" s="541">
        <f t="shared" si="18"/>
        <v>15014.21875</v>
      </c>
      <c r="Y48" s="541">
        <f t="shared" si="18"/>
        <v>13045.46875</v>
      </c>
      <c r="Z48" s="541">
        <f t="shared" si="18"/>
        <v>12061.09375</v>
      </c>
      <c r="AA48" s="541">
        <f t="shared" si="18"/>
        <v>13537.65625</v>
      </c>
      <c r="AB48" s="541">
        <f t="shared" si="18"/>
        <v>14193.90625</v>
      </c>
      <c r="AC48" s="541">
        <f t="shared" si="18"/>
        <v>14029.84375</v>
      </c>
      <c r="AD48" s="541">
        <f t="shared" si="18"/>
        <v>12676.328125</v>
      </c>
      <c r="AE48" s="541">
        <f t="shared" si="18"/>
        <v>7549.375</v>
      </c>
      <c r="AF48" s="541">
        <f t="shared" si="18"/>
        <v>5744.6875</v>
      </c>
      <c r="AG48" s="541">
        <f t="shared" si="18"/>
        <v>3940</v>
      </c>
      <c r="AH48" s="541">
        <f t="shared" si="18"/>
        <v>0</v>
      </c>
      <c r="AI48" s="541">
        <f t="shared" si="18"/>
        <v>0</v>
      </c>
      <c r="AJ48" s="541">
        <f t="shared" si="18"/>
        <v>0</v>
      </c>
      <c r="AK48" s="541">
        <f t="shared" si="18"/>
        <v>0</v>
      </c>
      <c r="AL48" s="541">
        <f t="shared" si="18"/>
        <v>0</v>
      </c>
      <c r="AM48" s="541">
        <f t="shared" si="18"/>
        <v>0</v>
      </c>
      <c r="AN48" s="541">
        <f t="shared" si="18"/>
        <v>0</v>
      </c>
      <c r="AO48" s="541">
        <f t="shared" si="18"/>
        <v>0</v>
      </c>
      <c r="AP48" s="541">
        <f t="shared" si="18"/>
        <v>0</v>
      </c>
      <c r="AQ48" s="541">
        <f t="shared" si="18"/>
        <v>0</v>
      </c>
      <c r="AR48" s="541">
        <f t="shared" si="18"/>
        <v>0</v>
      </c>
      <c r="AS48" s="541">
        <f t="shared" si="18"/>
        <v>0</v>
      </c>
      <c r="AT48" s="541">
        <f t="shared" si="18"/>
        <v>0</v>
      </c>
      <c r="AU48" s="541">
        <f t="shared" si="18"/>
        <v>0</v>
      </c>
      <c r="AV48" s="541">
        <f t="shared" si="18"/>
        <v>0</v>
      </c>
      <c r="AW48" s="541">
        <f t="shared" si="18"/>
        <v>0</v>
      </c>
      <c r="AX48" s="541">
        <f t="shared" si="18"/>
        <v>0</v>
      </c>
      <c r="AY48" s="541">
        <f t="shared" si="18"/>
        <v>0</v>
      </c>
      <c r="AZ48" s="541">
        <f t="shared" si="18"/>
        <v>0</v>
      </c>
      <c r="BA48" s="541">
        <f t="shared" si="18"/>
        <v>0</v>
      </c>
      <c r="BB48" s="541">
        <f t="shared" si="18"/>
        <v>0</v>
      </c>
      <c r="BC48" s="541">
        <f t="shared" si="18"/>
        <v>0</v>
      </c>
      <c r="BD48" s="541">
        <f t="shared" si="18"/>
        <v>0</v>
      </c>
      <c r="BE48" s="541">
        <f t="shared" si="18"/>
        <v>0</v>
      </c>
      <c r="BF48" s="541">
        <f t="shared" si="18"/>
        <v>0</v>
      </c>
      <c r="BG48" s="541">
        <f t="shared" si="18"/>
        <v>0</v>
      </c>
      <c r="BH48" s="541">
        <f t="shared" si="18"/>
        <v>0</v>
      </c>
      <c r="BI48" s="541">
        <f t="shared" si="18"/>
        <v>0</v>
      </c>
      <c r="BJ48" s="541">
        <f t="shared" si="18"/>
        <v>0</v>
      </c>
      <c r="BK48" s="541">
        <f t="shared" si="18"/>
        <v>0</v>
      </c>
      <c r="BL48" s="541">
        <f t="shared" si="18"/>
        <v>0</v>
      </c>
      <c r="BM48" s="541">
        <f t="shared" si="18"/>
        <v>0</v>
      </c>
      <c r="BN48" s="541">
        <f t="shared" si="18"/>
        <v>0</v>
      </c>
      <c r="BO48" s="541">
        <f t="shared" si="18"/>
        <v>0</v>
      </c>
      <c r="BP48" s="541">
        <f t="shared" si="18"/>
        <v>0</v>
      </c>
      <c r="BQ48" s="541">
        <f t="shared" si="18"/>
        <v>0</v>
      </c>
      <c r="BR48" s="541">
        <f t="shared" si="18"/>
        <v>0</v>
      </c>
      <c r="BS48" s="541">
        <f t="shared" si="18"/>
        <v>0</v>
      </c>
      <c r="BT48" s="541">
        <f t="shared" si="18"/>
        <v>0</v>
      </c>
      <c r="BU48" s="541">
        <f t="shared" si="18"/>
        <v>0</v>
      </c>
      <c r="BV48" s="541">
        <f t="shared" si="18"/>
        <v>0</v>
      </c>
      <c r="BW48" s="541">
        <f t="shared" si="18"/>
        <v>0</v>
      </c>
      <c r="BX48" s="541">
        <f t="shared" si="18"/>
        <v>0</v>
      </c>
      <c r="BY48" s="541">
        <f t="shared" si="18"/>
        <v>0</v>
      </c>
      <c r="BZ48" s="541">
        <f t="shared" si="18"/>
        <v>0</v>
      </c>
      <c r="CA48" s="541">
        <f t="shared" si="18"/>
        <v>0</v>
      </c>
      <c r="CB48" s="541">
        <f t="shared" si="18"/>
        <v>0</v>
      </c>
      <c r="CC48" s="541">
        <f t="shared" si="18"/>
        <v>0</v>
      </c>
      <c r="CD48" s="541">
        <f t="shared" si="18"/>
        <v>0</v>
      </c>
      <c r="CE48" s="541">
        <f t="shared" si="18"/>
        <v>0</v>
      </c>
      <c r="CF48" s="541">
        <f t="shared" si="18"/>
        <v>0</v>
      </c>
      <c r="CG48" s="541">
        <f t="shared" si="18"/>
        <v>0</v>
      </c>
      <c r="CH48" s="541">
        <f t="shared" si="18"/>
        <v>0</v>
      </c>
      <c r="CI48" s="541">
        <f t="shared" si="18"/>
        <v>0</v>
      </c>
      <c r="CJ48" s="541">
        <f t="shared" si="18"/>
        <v>0</v>
      </c>
      <c r="CK48" s="541">
        <f t="shared" si="18"/>
        <v>0</v>
      </c>
      <c r="CL48" s="541">
        <f t="shared" si="18"/>
        <v>0</v>
      </c>
      <c r="CM48" s="541">
        <f t="shared" si="18"/>
        <v>0</v>
      </c>
      <c r="CN48" s="541">
        <f t="shared" si="18"/>
        <v>0</v>
      </c>
      <c r="CO48" s="541">
        <f t="shared" si="18"/>
        <v>0</v>
      </c>
      <c r="CP48" s="541">
        <f t="shared" si="18"/>
        <v>0</v>
      </c>
      <c r="CQ48" s="541">
        <f t="shared" si="18"/>
        <v>0</v>
      </c>
      <c r="CR48" s="541">
        <f t="shared" si="18"/>
        <v>0</v>
      </c>
      <c r="CS48" s="541">
        <f t="shared" si="18"/>
        <v>0</v>
      </c>
      <c r="CT48" s="541">
        <f t="shared" si="18"/>
        <v>0</v>
      </c>
      <c r="CU48" s="541">
        <f t="shared" si="18"/>
        <v>0</v>
      </c>
      <c r="CV48" s="541">
        <f t="shared" si="18"/>
        <v>0</v>
      </c>
      <c r="CW48" s="541">
        <f t="shared" si="18"/>
        <v>0</v>
      </c>
      <c r="CX48" s="541">
        <f t="shared" si="18"/>
        <v>0</v>
      </c>
      <c r="CY48" s="541">
        <f t="shared" si="18"/>
        <v>0</v>
      </c>
      <c r="CZ48" s="541">
        <f t="shared" si="18"/>
        <v>0</v>
      </c>
      <c r="DA48" s="541">
        <f t="shared" si="18"/>
        <v>0</v>
      </c>
      <c r="DB48" s="541">
        <f t="shared" si="18"/>
        <v>0</v>
      </c>
      <c r="DC48" s="541">
        <f t="shared" si="18"/>
        <v>0</v>
      </c>
      <c r="DD48" s="541">
        <f t="shared" si="18"/>
        <v>0</v>
      </c>
      <c r="DE48" s="541">
        <f t="shared" si="18"/>
        <v>0</v>
      </c>
      <c r="DF48" s="541">
        <f t="shared" si="18"/>
        <v>0</v>
      </c>
      <c r="DG48" s="541">
        <f t="shared" si="18"/>
        <v>0</v>
      </c>
      <c r="DH48" s="541">
        <f t="shared" si="18"/>
        <v>0</v>
      </c>
      <c r="DI48" s="541">
        <f t="shared" si="18"/>
        <v>0</v>
      </c>
      <c r="DJ48" s="541">
        <f t="shared" si="18"/>
        <v>0</v>
      </c>
      <c r="DK48" s="541">
        <f t="shared" si="18"/>
        <v>0</v>
      </c>
      <c r="DL48" s="541">
        <f t="shared" si="18"/>
        <v>0</v>
      </c>
      <c r="DM48" s="541">
        <f t="shared" si="18"/>
        <v>0</v>
      </c>
      <c r="DN48" s="541">
        <f t="shared" si="18"/>
        <v>0</v>
      </c>
      <c r="DO48" s="541">
        <f t="shared" si="18"/>
        <v>0</v>
      </c>
      <c r="DP48" s="541">
        <f t="shared" si="18"/>
        <v>0</v>
      </c>
      <c r="DQ48" s="541">
        <f t="shared" si="18"/>
        <v>0</v>
      </c>
      <c r="DR48" s="541">
        <f t="shared" si="18"/>
        <v>0</v>
      </c>
      <c r="DS48" s="541">
        <f t="shared" si="18"/>
        <v>0</v>
      </c>
      <c r="DT48" s="541">
        <f t="shared" si="18"/>
        <v>0</v>
      </c>
      <c r="DU48" s="541">
        <f t="shared" si="18"/>
        <v>0</v>
      </c>
      <c r="DV48" s="541">
        <f t="shared" si="18"/>
        <v>0</v>
      </c>
      <c r="DW48" s="541">
        <f t="shared" si="18"/>
        <v>0</v>
      </c>
      <c r="DX48" s="541">
        <f t="shared" si="18"/>
        <v>0</v>
      </c>
      <c r="DY48" s="541">
        <f t="shared" si="18"/>
        <v>0</v>
      </c>
      <c r="DZ48" s="541">
        <f t="shared" si="18"/>
        <v>0</v>
      </c>
      <c r="EA48" s="541">
        <f t="shared" si="18"/>
        <v>0</v>
      </c>
      <c r="EB48" s="541">
        <f t="shared" si="18"/>
        <v>0</v>
      </c>
      <c r="EC48" s="541">
        <f t="shared" si="18"/>
        <v>0</v>
      </c>
      <c r="ED48" s="541">
        <f t="shared" si="18"/>
        <v>0</v>
      </c>
      <c r="EE48" s="541">
        <f t="shared" si="18"/>
        <v>0</v>
      </c>
      <c r="EF48" s="541">
        <f t="shared" si="18"/>
        <v>0</v>
      </c>
      <c r="EG48" s="541">
        <f t="shared" si="18"/>
        <v>0</v>
      </c>
    </row>
    <row r="51" spans="1:1" ht="12.75">
      <c r="A51" s="534" t="s">
        <v>209</v>
      </c>
    </row>
    <row r="53" spans="2:2" ht="12.75">
      <c r="B53" s="534" t="s">
        <v>210</v>
      </c>
    </row>
    <row r="54" spans="5:7" ht="12.75">
      <c r="E54" s="535" t="str">
        <f>InpC!E$86</f>
        <v>VAT - rate on capex</v>
      </c>
      <c r="F54" s="542">
        <f>InpC!F$86</f>
        <v>0.20000000000000001</v>
      </c>
      <c r="G54" s="542" t="str">
        <f>InpC!G$86</f>
        <v>%</v>
      </c>
    </row>
    <row r="55" spans="5:137" ht="12.75">
      <c r="E55" s="538" t="str">
        <f>E$34</f>
        <v>Development costs - spend</v>
      </c>
      <c r="G55" s="539" t="str">
        <f>G$34</f>
        <v>EUR 000s</v>
      </c>
      <c r="H55" s="539">
        <f>H$34</f>
        <v>8000</v>
      </c>
      <c r="J55" s="539">
        <f t="shared" si="19" ref="J55:EG55">J$34</f>
        <v>0</v>
      </c>
      <c r="K55" s="539">
        <f t="shared" si="19"/>
        <v>0</v>
      </c>
      <c r="L55" s="539">
        <f t="shared" si="19"/>
        <v>8000</v>
      </c>
      <c r="M55" s="539">
        <f t="shared" si="19"/>
        <v>0</v>
      </c>
      <c r="N55" s="539">
        <f t="shared" si="19"/>
        <v>0</v>
      </c>
      <c r="O55" s="539">
        <f t="shared" si="19"/>
        <v>0</v>
      </c>
      <c r="P55" s="539">
        <f t="shared" si="19"/>
        <v>0</v>
      </c>
      <c r="Q55" s="539">
        <f t="shared" si="19"/>
        <v>0</v>
      </c>
      <c r="R55" s="539">
        <f t="shared" si="19"/>
        <v>0</v>
      </c>
      <c r="S55" s="539">
        <f t="shared" si="19"/>
        <v>0</v>
      </c>
      <c r="T55" s="539">
        <f t="shared" si="19"/>
        <v>0</v>
      </c>
      <c r="U55" s="539">
        <f t="shared" si="19"/>
        <v>0</v>
      </c>
      <c r="V55" s="539">
        <f t="shared" si="19"/>
        <v>0</v>
      </c>
      <c r="W55" s="539">
        <f t="shared" si="19"/>
        <v>0</v>
      </c>
      <c r="X55" s="539">
        <f t="shared" si="19"/>
        <v>0</v>
      </c>
      <c r="Y55" s="539">
        <f t="shared" si="19"/>
        <v>0</v>
      </c>
      <c r="Z55" s="539">
        <f t="shared" si="19"/>
        <v>0</v>
      </c>
      <c r="AA55" s="539">
        <f t="shared" si="19"/>
        <v>0</v>
      </c>
      <c r="AB55" s="539">
        <f t="shared" si="19"/>
        <v>0</v>
      </c>
      <c r="AC55" s="539">
        <f t="shared" si="19"/>
        <v>0</v>
      </c>
      <c r="AD55" s="539">
        <f t="shared" si="19"/>
        <v>0</v>
      </c>
      <c r="AE55" s="539">
        <f t="shared" si="19"/>
        <v>0</v>
      </c>
      <c r="AF55" s="539">
        <f t="shared" si="19"/>
        <v>0</v>
      </c>
      <c r="AG55" s="539">
        <f t="shared" si="19"/>
        <v>0</v>
      </c>
      <c r="AH55" s="539">
        <f t="shared" si="19"/>
        <v>0</v>
      </c>
      <c r="AI55" s="539">
        <f t="shared" si="19"/>
        <v>0</v>
      </c>
      <c r="AJ55" s="539">
        <f t="shared" si="19"/>
        <v>0</v>
      </c>
      <c r="AK55" s="539">
        <f t="shared" si="19"/>
        <v>0</v>
      </c>
      <c r="AL55" s="539">
        <f t="shared" si="19"/>
        <v>0</v>
      </c>
      <c r="AM55" s="539">
        <f t="shared" si="19"/>
        <v>0</v>
      </c>
      <c r="AN55" s="539">
        <f t="shared" si="19"/>
        <v>0</v>
      </c>
      <c r="AO55" s="539">
        <f t="shared" si="19"/>
        <v>0</v>
      </c>
      <c r="AP55" s="539">
        <f t="shared" si="19"/>
        <v>0</v>
      </c>
      <c r="AQ55" s="539">
        <f t="shared" si="19"/>
        <v>0</v>
      </c>
      <c r="AR55" s="539">
        <f t="shared" si="19"/>
        <v>0</v>
      </c>
      <c r="AS55" s="539">
        <f t="shared" si="19"/>
        <v>0</v>
      </c>
      <c r="AT55" s="539">
        <f t="shared" si="19"/>
        <v>0</v>
      </c>
      <c r="AU55" s="539">
        <f t="shared" si="19"/>
        <v>0</v>
      </c>
      <c r="AV55" s="539">
        <f t="shared" si="19"/>
        <v>0</v>
      </c>
      <c r="AW55" s="539">
        <f t="shared" si="19"/>
        <v>0</v>
      </c>
      <c r="AX55" s="539">
        <f t="shared" si="19"/>
        <v>0</v>
      </c>
      <c r="AY55" s="539">
        <f t="shared" si="19"/>
        <v>0</v>
      </c>
      <c r="AZ55" s="539">
        <f t="shared" si="19"/>
        <v>0</v>
      </c>
      <c r="BA55" s="539">
        <f t="shared" si="19"/>
        <v>0</v>
      </c>
      <c r="BB55" s="539">
        <f t="shared" si="19"/>
        <v>0</v>
      </c>
      <c r="BC55" s="539">
        <f t="shared" si="19"/>
        <v>0</v>
      </c>
      <c r="BD55" s="539">
        <f t="shared" si="19"/>
        <v>0</v>
      </c>
      <c r="BE55" s="539">
        <f t="shared" si="19"/>
        <v>0</v>
      </c>
      <c r="BF55" s="539">
        <f t="shared" si="19"/>
        <v>0</v>
      </c>
      <c r="BG55" s="539">
        <f t="shared" si="19"/>
        <v>0</v>
      </c>
      <c r="BH55" s="539">
        <f t="shared" si="19"/>
        <v>0</v>
      </c>
      <c r="BI55" s="539">
        <f t="shared" si="19"/>
        <v>0</v>
      </c>
      <c r="BJ55" s="539">
        <f t="shared" si="19"/>
        <v>0</v>
      </c>
      <c r="BK55" s="539">
        <f t="shared" si="19"/>
        <v>0</v>
      </c>
      <c r="BL55" s="539">
        <f t="shared" si="19"/>
        <v>0</v>
      </c>
      <c r="BM55" s="539">
        <f t="shared" si="19"/>
        <v>0</v>
      </c>
      <c r="BN55" s="539">
        <f t="shared" si="19"/>
        <v>0</v>
      </c>
      <c r="BO55" s="539">
        <f t="shared" si="19"/>
        <v>0</v>
      </c>
      <c r="BP55" s="539">
        <f t="shared" si="19"/>
        <v>0</v>
      </c>
      <c r="BQ55" s="539">
        <f t="shared" si="19"/>
        <v>0</v>
      </c>
      <c r="BR55" s="539">
        <f t="shared" si="19"/>
        <v>0</v>
      </c>
      <c r="BS55" s="539">
        <f t="shared" si="19"/>
        <v>0</v>
      </c>
      <c r="BT55" s="539">
        <f t="shared" si="19"/>
        <v>0</v>
      </c>
      <c r="BU55" s="539">
        <f t="shared" si="19"/>
        <v>0</v>
      </c>
      <c r="BV55" s="539">
        <f t="shared" si="19"/>
        <v>0</v>
      </c>
      <c r="BW55" s="539">
        <f t="shared" si="19"/>
        <v>0</v>
      </c>
      <c r="BX55" s="539">
        <f t="shared" si="19"/>
        <v>0</v>
      </c>
      <c r="BY55" s="539">
        <f t="shared" si="19"/>
        <v>0</v>
      </c>
      <c r="BZ55" s="539">
        <f t="shared" si="19"/>
        <v>0</v>
      </c>
      <c r="CA55" s="539">
        <f t="shared" si="19"/>
        <v>0</v>
      </c>
      <c r="CB55" s="539">
        <f t="shared" si="19"/>
        <v>0</v>
      </c>
      <c r="CC55" s="539">
        <f t="shared" si="19"/>
        <v>0</v>
      </c>
      <c r="CD55" s="539">
        <f t="shared" si="19"/>
        <v>0</v>
      </c>
      <c r="CE55" s="539">
        <f t="shared" si="19"/>
        <v>0</v>
      </c>
      <c r="CF55" s="539">
        <f t="shared" si="19"/>
        <v>0</v>
      </c>
      <c r="CG55" s="539">
        <f t="shared" si="19"/>
        <v>0</v>
      </c>
      <c r="CH55" s="539">
        <f t="shared" si="19"/>
        <v>0</v>
      </c>
      <c r="CI55" s="539">
        <f t="shared" si="19"/>
        <v>0</v>
      </c>
      <c r="CJ55" s="539">
        <f t="shared" si="19"/>
        <v>0</v>
      </c>
      <c r="CK55" s="539">
        <f t="shared" si="19"/>
        <v>0</v>
      </c>
      <c r="CL55" s="539">
        <f t="shared" si="19"/>
        <v>0</v>
      </c>
      <c r="CM55" s="539">
        <f t="shared" si="19"/>
        <v>0</v>
      </c>
      <c r="CN55" s="539">
        <f t="shared" si="19"/>
        <v>0</v>
      </c>
      <c r="CO55" s="539">
        <f t="shared" si="19"/>
        <v>0</v>
      </c>
      <c r="CP55" s="539">
        <f t="shared" si="19"/>
        <v>0</v>
      </c>
      <c r="CQ55" s="539">
        <f t="shared" si="19"/>
        <v>0</v>
      </c>
      <c r="CR55" s="539">
        <f t="shared" si="19"/>
        <v>0</v>
      </c>
      <c r="CS55" s="539">
        <f t="shared" si="19"/>
        <v>0</v>
      </c>
      <c r="CT55" s="539">
        <f t="shared" si="19"/>
        <v>0</v>
      </c>
      <c r="CU55" s="539">
        <f t="shared" si="19"/>
        <v>0</v>
      </c>
      <c r="CV55" s="539">
        <f t="shared" si="19"/>
        <v>0</v>
      </c>
      <c r="CW55" s="539">
        <f t="shared" si="19"/>
        <v>0</v>
      </c>
      <c r="CX55" s="539">
        <f t="shared" si="19"/>
        <v>0</v>
      </c>
      <c r="CY55" s="539">
        <f t="shared" si="19"/>
        <v>0</v>
      </c>
      <c r="CZ55" s="539">
        <f t="shared" si="19"/>
        <v>0</v>
      </c>
      <c r="DA55" s="539">
        <f t="shared" si="19"/>
        <v>0</v>
      </c>
      <c r="DB55" s="539">
        <f t="shared" si="19"/>
        <v>0</v>
      </c>
      <c r="DC55" s="539">
        <f t="shared" si="19"/>
        <v>0</v>
      </c>
      <c r="DD55" s="539">
        <f t="shared" si="19"/>
        <v>0</v>
      </c>
      <c r="DE55" s="539">
        <f t="shared" si="19"/>
        <v>0</v>
      </c>
      <c r="DF55" s="539">
        <f t="shared" si="19"/>
        <v>0</v>
      </c>
      <c r="DG55" s="539">
        <f t="shared" si="19"/>
        <v>0</v>
      </c>
      <c r="DH55" s="539">
        <f t="shared" si="19"/>
        <v>0</v>
      </c>
      <c r="DI55" s="539">
        <f t="shared" si="19"/>
        <v>0</v>
      </c>
      <c r="DJ55" s="539">
        <f t="shared" si="19"/>
        <v>0</v>
      </c>
      <c r="DK55" s="539">
        <f t="shared" si="19"/>
        <v>0</v>
      </c>
      <c r="DL55" s="539">
        <f t="shared" si="19"/>
        <v>0</v>
      </c>
      <c r="DM55" s="539">
        <f t="shared" si="19"/>
        <v>0</v>
      </c>
      <c r="DN55" s="539">
        <f t="shared" si="19"/>
        <v>0</v>
      </c>
      <c r="DO55" s="539">
        <f t="shared" si="19"/>
        <v>0</v>
      </c>
      <c r="DP55" s="539">
        <f t="shared" si="19"/>
        <v>0</v>
      </c>
      <c r="DQ55" s="539">
        <f t="shared" si="19"/>
        <v>0</v>
      </c>
      <c r="DR55" s="539">
        <f t="shared" si="19"/>
        <v>0</v>
      </c>
      <c r="DS55" s="539">
        <f t="shared" si="19"/>
        <v>0</v>
      </c>
      <c r="DT55" s="539">
        <f t="shared" si="19"/>
        <v>0</v>
      </c>
      <c r="DU55" s="539">
        <f t="shared" si="19"/>
        <v>0</v>
      </c>
      <c r="DV55" s="539">
        <f t="shared" si="19"/>
        <v>0</v>
      </c>
      <c r="DW55" s="539">
        <f t="shared" si="19"/>
        <v>0</v>
      </c>
      <c r="DX55" s="539">
        <f t="shared" si="19"/>
        <v>0</v>
      </c>
      <c r="DY55" s="539">
        <f t="shared" si="19"/>
        <v>0</v>
      </c>
      <c r="DZ55" s="539">
        <f t="shared" si="19"/>
        <v>0</v>
      </c>
      <c r="EA55" s="539">
        <f t="shared" si="19"/>
        <v>0</v>
      </c>
      <c r="EB55" s="539">
        <f t="shared" si="19"/>
        <v>0</v>
      </c>
      <c r="EC55" s="539">
        <f t="shared" si="19"/>
        <v>0</v>
      </c>
      <c r="ED55" s="539">
        <f t="shared" si="19"/>
        <v>0</v>
      </c>
      <c r="EE55" s="539">
        <f t="shared" si="19"/>
        <v>0</v>
      </c>
      <c r="EF55" s="539">
        <f t="shared" si="19"/>
        <v>0</v>
      </c>
      <c r="EG55" s="539">
        <f t="shared" si="19"/>
        <v>0</v>
      </c>
    </row>
    <row r="56" spans="5:137" ht="12.75">
      <c r="E56" s="538" t="str">
        <f>E$48</f>
        <v>Capex - total</v>
      </c>
      <c r="G56" s="539" t="str">
        <f>G$48</f>
        <v>EUR 000s</v>
      </c>
      <c r="H56" s="539">
        <f>H$48</f>
        <v>291552.5</v>
      </c>
      <c r="J56" s="539">
        <f t="shared" si="20" ref="J56:EG56">J$48</f>
        <v>0</v>
      </c>
      <c r="K56" s="539">
        <f t="shared" si="20"/>
        <v>0</v>
      </c>
      <c r="L56" s="539">
        <f t="shared" si="20"/>
        <v>8000</v>
      </c>
      <c r="M56" s="539">
        <f t="shared" si="20"/>
        <v>13291.5625</v>
      </c>
      <c r="N56" s="539">
        <f t="shared" si="20"/>
        <v>13619.6875</v>
      </c>
      <c r="O56" s="539">
        <f t="shared" si="20"/>
        <v>13291.5625</v>
      </c>
      <c r="P56" s="539">
        <f t="shared" si="20"/>
        <v>13619.6875</v>
      </c>
      <c r="Q56" s="539">
        <f t="shared" si="20"/>
        <v>13291.5625</v>
      </c>
      <c r="R56" s="539">
        <f t="shared" si="20"/>
        <v>16941.953125</v>
      </c>
      <c r="S56" s="539">
        <f t="shared" si="20"/>
        <v>17639.21875</v>
      </c>
      <c r="T56" s="539">
        <f t="shared" si="20"/>
        <v>17967.34375</v>
      </c>
      <c r="U56" s="539">
        <f t="shared" si="20"/>
        <v>18295.46875</v>
      </c>
      <c r="V56" s="539">
        <f t="shared" si="20"/>
        <v>16982.96875</v>
      </c>
      <c r="W56" s="539">
        <f t="shared" si="20"/>
        <v>16818.90625</v>
      </c>
      <c r="X56" s="539">
        <f t="shared" si="20"/>
        <v>15014.21875</v>
      </c>
      <c r="Y56" s="539">
        <f t="shared" si="20"/>
        <v>13045.46875</v>
      </c>
      <c r="Z56" s="539">
        <f t="shared" si="20"/>
        <v>12061.09375</v>
      </c>
      <c r="AA56" s="539">
        <f t="shared" si="20"/>
        <v>13537.65625</v>
      </c>
      <c r="AB56" s="539">
        <f t="shared" si="20"/>
        <v>14193.90625</v>
      </c>
      <c r="AC56" s="539">
        <f t="shared" si="20"/>
        <v>14029.84375</v>
      </c>
      <c r="AD56" s="539">
        <f t="shared" si="20"/>
        <v>12676.328125</v>
      </c>
      <c r="AE56" s="539">
        <f t="shared" si="20"/>
        <v>7549.375</v>
      </c>
      <c r="AF56" s="539">
        <f t="shared" si="20"/>
        <v>5744.6875</v>
      </c>
      <c r="AG56" s="539">
        <f t="shared" si="20"/>
        <v>3940</v>
      </c>
      <c r="AH56" s="539">
        <f t="shared" si="20"/>
        <v>0</v>
      </c>
      <c r="AI56" s="539">
        <f t="shared" si="20"/>
        <v>0</v>
      </c>
      <c r="AJ56" s="539">
        <f t="shared" si="20"/>
        <v>0</v>
      </c>
      <c r="AK56" s="539">
        <f t="shared" si="20"/>
        <v>0</v>
      </c>
      <c r="AL56" s="539">
        <f t="shared" si="20"/>
        <v>0</v>
      </c>
      <c r="AM56" s="539">
        <f t="shared" si="20"/>
        <v>0</v>
      </c>
      <c r="AN56" s="539">
        <f t="shared" si="20"/>
        <v>0</v>
      </c>
      <c r="AO56" s="539">
        <f t="shared" si="20"/>
        <v>0</v>
      </c>
      <c r="AP56" s="539">
        <f t="shared" si="20"/>
        <v>0</v>
      </c>
      <c r="AQ56" s="539">
        <f t="shared" si="20"/>
        <v>0</v>
      </c>
      <c r="AR56" s="539">
        <f t="shared" si="20"/>
        <v>0</v>
      </c>
      <c r="AS56" s="539">
        <f t="shared" si="20"/>
        <v>0</v>
      </c>
      <c r="AT56" s="539">
        <f t="shared" si="20"/>
        <v>0</v>
      </c>
      <c r="AU56" s="539">
        <f t="shared" si="20"/>
        <v>0</v>
      </c>
      <c r="AV56" s="539">
        <f t="shared" si="20"/>
        <v>0</v>
      </c>
      <c r="AW56" s="539">
        <f t="shared" si="20"/>
        <v>0</v>
      </c>
      <c r="AX56" s="539">
        <f t="shared" si="20"/>
        <v>0</v>
      </c>
      <c r="AY56" s="539">
        <f t="shared" si="20"/>
        <v>0</v>
      </c>
      <c r="AZ56" s="539">
        <f t="shared" si="20"/>
        <v>0</v>
      </c>
      <c r="BA56" s="539">
        <f t="shared" si="20"/>
        <v>0</v>
      </c>
      <c r="BB56" s="539">
        <f t="shared" si="20"/>
        <v>0</v>
      </c>
      <c r="BC56" s="539">
        <f t="shared" si="20"/>
        <v>0</v>
      </c>
      <c r="BD56" s="539">
        <f t="shared" si="20"/>
        <v>0</v>
      </c>
      <c r="BE56" s="539">
        <f t="shared" si="20"/>
        <v>0</v>
      </c>
      <c r="BF56" s="539">
        <f t="shared" si="20"/>
        <v>0</v>
      </c>
      <c r="BG56" s="539">
        <f t="shared" si="20"/>
        <v>0</v>
      </c>
      <c r="BH56" s="539">
        <f t="shared" si="20"/>
        <v>0</v>
      </c>
      <c r="BI56" s="539">
        <f t="shared" si="20"/>
        <v>0</v>
      </c>
      <c r="BJ56" s="539">
        <f t="shared" si="20"/>
        <v>0</v>
      </c>
      <c r="BK56" s="539">
        <f t="shared" si="20"/>
        <v>0</v>
      </c>
      <c r="BL56" s="539">
        <f t="shared" si="20"/>
        <v>0</v>
      </c>
      <c r="BM56" s="539">
        <f t="shared" si="20"/>
        <v>0</v>
      </c>
      <c r="BN56" s="539">
        <f t="shared" si="20"/>
        <v>0</v>
      </c>
      <c r="BO56" s="539">
        <f t="shared" si="20"/>
        <v>0</v>
      </c>
      <c r="BP56" s="539">
        <f t="shared" si="20"/>
        <v>0</v>
      </c>
      <c r="BQ56" s="539">
        <f t="shared" si="20"/>
        <v>0</v>
      </c>
      <c r="BR56" s="539">
        <f t="shared" si="20"/>
        <v>0</v>
      </c>
      <c r="BS56" s="539">
        <f t="shared" si="20"/>
        <v>0</v>
      </c>
      <c r="BT56" s="539">
        <f t="shared" si="20"/>
        <v>0</v>
      </c>
      <c r="BU56" s="539">
        <f t="shared" si="20"/>
        <v>0</v>
      </c>
      <c r="BV56" s="539">
        <f t="shared" si="20"/>
        <v>0</v>
      </c>
      <c r="BW56" s="539">
        <f t="shared" si="20"/>
        <v>0</v>
      </c>
      <c r="BX56" s="539">
        <f t="shared" si="20"/>
        <v>0</v>
      </c>
      <c r="BY56" s="539">
        <f t="shared" si="20"/>
        <v>0</v>
      </c>
      <c r="BZ56" s="539">
        <f t="shared" si="20"/>
        <v>0</v>
      </c>
      <c r="CA56" s="539">
        <f t="shared" si="20"/>
        <v>0</v>
      </c>
      <c r="CB56" s="539">
        <f t="shared" si="20"/>
        <v>0</v>
      </c>
      <c r="CC56" s="539">
        <f t="shared" si="20"/>
        <v>0</v>
      </c>
      <c r="CD56" s="539">
        <f t="shared" si="20"/>
        <v>0</v>
      </c>
      <c r="CE56" s="539">
        <f t="shared" si="20"/>
        <v>0</v>
      </c>
      <c r="CF56" s="539">
        <f t="shared" si="20"/>
        <v>0</v>
      </c>
      <c r="CG56" s="539">
        <f t="shared" si="20"/>
        <v>0</v>
      </c>
      <c r="CH56" s="539">
        <f t="shared" si="20"/>
        <v>0</v>
      </c>
      <c r="CI56" s="539">
        <f t="shared" si="20"/>
        <v>0</v>
      </c>
      <c r="CJ56" s="539">
        <f t="shared" si="20"/>
        <v>0</v>
      </c>
      <c r="CK56" s="539">
        <f t="shared" si="20"/>
        <v>0</v>
      </c>
      <c r="CL56" s="539">
        <f t="shared" si="20"/>
        <v>0</v>
      </c>
      <c r="CM56" s="539">
        <f t="shared" si="20"/>
        <v>0</v>
      </c>
      <c r="CN56" s="539">
        <f t="shared" si="20"/>
        <v>0</v>
      </c>
      <c r="CO56" s="539">
        <f t="shared" si="20"/>
        <v>0</v>
      </c>
      <c r="CP56" s="539">
        <f t="shared" si="20"/>
        <v>0</v>
      </c>
      <c r="CQ56" s="539">
        <f t="shared" si="20"/>
        <v>0</v>
      </c>
      <c r="CR56" s="539">
        <f t="shared" si="20"/>
        <v>0</v>
      </c>
      <c r="CS56" s="539">
        <f t="shared" si="20"/>
        <v>0</v>
      </c>
      <c r="CT56" s="539">
        <f t="shared" si="20"/>
        <v>0</v>
      </c>
      <c r="CU56" s="539">
        <f t="shared" si="20"/>
        <v>0</v>
      </c>
      <c r="CV56" s="539">
        <f t="shared" si="20"/>
        <v>0</v>
      </c>
      <c r="CW56" s="539">
        <f t="shared" si="20"/>
        <v>0</v>
      </c>
      <c r="CX56" s="539">
        <f t="shared" si="20"/>
        <v>0</v>
      </c>
      <c r="CY56" s="539">
        <f t="shared" si="20"/>
        <v>0</v>
      </c>
      <c r="CZ56" s="539">
        <f t="shared" si="20"/>
        <v>0</v>
      </c>
      <c r="DA56" s="539">
        <f t="shared" si="20"/>
        <v>0</v>
      </c>
      <c r="DB56" s="539">
        <f t="shared" si="20"/>
        <v>0</v>
      </c>
      <c r="DC56" s="539">
        <f t="shared" si="20"/>
        <v>0</v>
      </c>
      <c r="DD56" s="539">
        <f t="shared" si="20"/>
        <v>0</v>
      </c>
      <c r="DE56" s="539">
        <f t="shared" si="20"/>
        <v>0</v>
      </c>
      <c r="DF56" s="539">
        <f t="shared" si="20"/>
        <v>0</v>
      </c>
      <c r="DG56" s="539">
        <f t="shared" si="20"/>
        <v>0</v>
      </c>
      <c r="DH56" s="539">
        <f t="shared" si="20"/>
        <v>0</v>
      </c>
      <c r="DI56" s="539">
        <f t="shared" si="20"/>
        <v>0</v>
      </c>
      <c r="DJ56" s="539">
        <f t="shared" si="20"/>
        <v>0</v>
      </c>
      <c r="DK56" s="539">
        <f t="shared" si="20"/>
        <v>0</v>
      </c>
      <c r="DL56" s="539">
        <f t="shared" si="20"/>
        <v>0</v>
      </c>
      <c r="DM56" s="539">
        <f t="shared" si="20"/>
        <v>0</v>
      </c>
      <c r="DN56" s="539">
        <f t="shared" si="20"/>
        <v>0</v>
      </c>
      <c r="DO56" s="539">
        <f t="shared" si="20"/>
        <v>0</v>
      </c>
      <c r="DP56" s="539">
        <f t="shared" si="20"/>
        <v>0</v>
      </c>
      <c r="DQ56" s="539">
        <f t="shared" si="20"/>
        <v>0</v>
      </c>
      <c r="DR56" s="539">
        <f t="shared" si="20"/>
        <v>0</v>
      </c>
      <c r="DS56" s="539">
        <f t="shared" si="20"/>
        <v>0</v>
      </c>
      <c r="DT56" s="539">
        <f t="shared" si="20"/>
        <v>0</v>
      </c>
      <c r="DU56" s="539">
        <f t="shared" si="20"/>
        <v>0</v>
      </c>
      <c r="DV56" s="539">
        <f t="shared" si="20"/>
        <v>0</v>
      </c>
      <c r="DW56" s="539">
        <f t="shared" si="20"/>
        <v>0</v>
      </c>
      <c r="DX56" s="539">
        <f t="shared" si="20"/>
        <v>0</v>
      </c>
      <c r="DY56" s="539">
        <f t="shared" si="20"/>
        <v>0</v>
      </c>
      <c r="DZ56" s="539">
        <f t="shared" si="20"/>
        <v>0</v>
      </c>
      <c r="EA56" s="539">
        <f t="shared" si="20"/>
        <v>0</v>
      </c>
      <c r="EB56" s="539">
        <f t="shared" si="20"/>
        <v>0</v>
      </c>
      <c r="EC56" s="539">
        <f t="shared" si="20"/>
        <v>0</v>
      </c>
      <c r="ED56" s="539">
        <f t="shared" si="20"/>
        <v>0</v>
      </c>
      <c r="EE56" s="539">
        <f t="shared" si="20"/>
        <v>0</v>
      </c>
      <c r="EF56" s="539">
        <f t="shared" si="20"/>
        <v>0</v>
      </c>
      <c r="EG56" s="539">
        <f t="shared" si="20"/>
        <v>0</v>
      </c>
    </row>
    <row r="57" spans="5:137" ht="12.75">
      <c r="E57" s="540" t="s">
        <v>211</v>
      </c>
      <c r="G57" s="541" t="s">
        <v>30</v>
      </c>
      <c r="H57" s="541">
        <f>SUM(J57:EG57)</f>
        <v>56710.5</v>
      </c>
      <c r="J57" s="541">
        <f t="shared" si="21" ref="J57:EG57">(J56-J55)*$F54</f>
        <v>0</v>
      </c>
      <c r="K57" s="541">
        <f t="shared" si="21"/>
        <v>0</v>
      </c>
      <c r="L57" s="541">
        <f t="shared" si="21"/>
        <v>0</v>
      </c>
      <c r="M57" s="541">
        <f t="shared" si="21"/>
        <v>2658.3125</v>
      </c>
      <c r="N57" s="541">
        <f t="shared" si="21"/>
        <v>2723.9375</v>
      </c>
      <c r="O57" s="541">
        <f t="shared" si="21"/>
        <v>2658.3125</v>
      </c>
      <c r="P57" s="541">
        <f t="shared" si="21"/>
        <v>2723.9375</v>
      </c>
      <c r="Q57" s="541">
        <f t="shared" si="21"/>
        <v>2658.3125</v>
      </c>
      <c r="R57" s="541">
        <f t="shared" si="21"/>
        <v>3388.390625</v>
      </c>
      <c r="S57" s="541">
        <f t="shared" si="21"/>
        <v>3527.84375</v>
      </c>
      <c r="T57" s="541">
        <f t="shared" si="21"/>
        <v>3593.46875</v>
      </c>
      <c r="U57" s="541">
        <f t="shared" si="21"/>
        <v>3659.09375</v>
      </c>
      <c r="V57" s="541">
        <f t="shared" si="21"/>
        <v>3396.59375</v>
      </c>
      <c r="W57" s="541">
        <f t="shared" si="21"/>
        <v>3363.78125</v>
      </c>
      <c r="X57" s="541">
        <f t="shared" si="21"/>
        <v>3002.84375</v>
      </c>
      <c r="Y57" s="541">
        <f t="shared" si="21"/>
        <v>2609.09375</v>
      </c>
      <c r="Z57" s="541">
        <f t="shared" si="21"/>
        <v>2412.21875</v>
      </c>
      <c r="AA57" s="541">
        <f t="shared" si="21"/>
        <v>2707.53125</v>
      </c>
      <c r="AB57" s="541">
        <f t="shared" si="21"/>
        <v>2838.78125</v>
      </c>
      <c r="AC57" s="541">
        <f t="shared" si="21"/>
        <v>2805.96875</v>
      </c>
      <c r="AD57" s="541">
        <f t="shared" si="21"/>
        <v>2535.265625</v>
      </c>
      <c r="AE57" s="541">
        <f t="shared" si="21"/>
        <v>1509.875</v>
      </c>
      <c r="AF57" s="541">
        <f t="shared" si="21"/>
        <v>1148.9375</v>
      </c>
      <c r="AG57" s="541">
        <f t="shared" si="21"/>
        <v>788</v>
      </c>
      <c r="AH57" s="541">
        <f t="shared" si="21"/>
        <v>0</v>
      </c>
      <c r="AI57" s="541">
        <f t="shared" si="21"/>
        <v>0</v>
      </c>
      <c r="AJ57" s="541">
        <f t="shared" si="21"/>
        <v>0</v>
      </c>
      <c r="AK57" s="541">
        <f t="shared" si="21"/>
        <v>0</v>
      </c>
      <c r="AL57" s="541">
        <f t="shared" si="21"/>
        <v>0</v>
      </c>
      <c r="AM57" s="541">
        <f t="shared" si="21"/>
        <v>0</v>
      </c>
      <c r="AN57" s="541">
        <f t="shared" si="21"/>
        <v>0</v>
      </c>
      <c r="AO57" s="541">
        <f t="shared" si="21"/>
        <v>0</v>
      </c>
      <c r="AP57" s="541">
        <f t="shared" si="21"/>
        <v>0</v>
      </c>
      <c r="AQ57" s="541">
        <f t="shared" si="21"/>
        <v>0</v>
      </c>
      <c r="AR57" s="541">
        <f t="shared" si="21"/>
        <v>0</v>
      </c>
      <c r="AS57" s="541">
        <f t="shared" si="21"/>
        <v>0</v>
      </c>
      <c r="AT57" s="541">
        <f t="shared" si="21"/>
        <v>0</v>
      </c>
      <c r="AU57" s="541">
        <f t="shared" si="21"/>
        <v>0</v>
      </c>
      <c r="AV57" s="541">
        <f t="shared" si="21"/>
        <v>0</v>
      </c>
      <c r="AW57" s="541">
        <f t="shared" si="21"/>
        <v>0</v>
      </c>
      <c r="AX57" s="541">
        <f t="shared" si="21"/>
        <v>0</v>
      </c>
      <c r="AY57" s="541">
        <f t="shared" si="21"/>
        <v>0</v>
      </c>
      <c r="AZ57" s="541">
        <f t="shared" si="21"/>
        <v>0</v>
      </c>
      <c r="BA57" s="541">
        <f t="shared" si="21"/>
        <v>0</v>
      </c>
      <c r="BB57" s="541">
        <f t="shared" si="21"/>
        <v>0</v>
      </c>
      <c r="BC57" s="541">
        <f t="shared" si="21"/>
        <v>0</v>
      </c>
      <c r="BD57" s="541">
        <f t="shared" si="21"/>
        <v>0</v>
      </c>
      <c r="BE57" s="541">
        <f t="shared" si="21"/>
        <v>0</v>
      </c>
      <c r="BF57" s="541">
        <f t="shared" si="21"/>
        <v>0</v>
      </c>
      <c r="BG57" s="541">
        <f t="shared" si="21"/>
        <v>0</v>
      </c>
      <c r="BH57" s="541">
        <f t="shared" si="21"/>
        <v>0</v>
      </c>
      <c r="BI57" s="541">
        <f t="shared" si="21"/>
        <v>0</v>
      </c>
      <c r="BJ57" s="541">
        <f t="shared" si="21"/>
        <v>0</v>
      </c>
      <c r="BK57" s="541">
        <f t="shared" si="21"/>
        <v>0</v>
      </c>
      <c r="BL57" s="541">
        <f t="shared" si="21"/>
        <v>0</v>
      </c>
      <c r="BM57" s="541">
        <f t="shared" si="21"/>
        <v>0</v>
      </c>
      <c r="BN57" s="541">
        <f t="shared" si="21"/>
        <v>0</v>
      </c>
      <c r="BO57" s="541">
        <f t="shared" si="21"/>
        <v>0</v>
      </c>
      <c r="BP57" s="541">
        <f t="shared" si="21"/>
        <v>0</v>
      </c>
      <c r="BQ57" s="541">
        <f t="shared" si="21"/>
        <v>0</v>
      </c>
      <c r="BR57" s="541">
        <f t="shared" si="21"/>
        <v>0</v>
      </c>
      <c r="BS57" s="541">
        <f t="shared" si="21"/>
        <v>0</v>
      </c>
      <c r="BT57" s="541">
        <f t="shared" si="21"/>
        <v>0</v>
      </c>
      <c r="BU57" s="541">
        <f t="shared" si="21"/>
        <v>0</v>
      </c>
      <c r="BV57" s="541">
        <f t="shared" si="21"/>
        <v>0</v>
      </c>
      <c r="BW57" s="541">
        <f t="shared" si="21"/>
        <v>0</v>
      </c>
      <c r="BX57" s="541">
        <f t="shared" si="21"/>
        <v>0</v>
      </c>
      <c r="BY57" s="541">
        <f t="shared" si="21"/>
        <v>0</v>
      </c>
      <c r="BZ57" s="541">
        <f t="shared" si="21"/>
        <v>0</v>
      </c>
      <c r="CA57" s="541">
        <f t="shared" si="21"/>
        <v>0</v>
      </c>
      <c r="CB57" s="541">
        <f t="shared" si="21"/>
        <v>0</v>
      </c>
      <c r="CC57" s="541">
        <f t="shared" si="21"/>
        <v>0</v>
      </c>
      <c r="CD57" s="541">
        <f t="shared" si="21"/>
        <v>0</v>
      </c>
      <c r="CE57" s="541">
        <f t="shared" si="21"/>
        <v>0</v>
      </c>
      <c r="CF57" s="541">
        <f t="shared" si="21"/>
        <v>0</v>
      </c>
      <c r="CG57" s="541">
        <f t="shared" si="21"/>
        <v>0</v>
      </c>
      <c r="CH57" s="541">
        <f t="shared" si="21"/>
        <v>0</v>
      </c>
      <c r="CI57" s="541">
        <f t="shared" si="21"/>
        <v>0</v>
      </c>
      <c r="CJ57" s="541">
        <f t="shared" si="21"/>
        <v>0</v>
      </c>
      <c r="CK57" s="541">
        <f t="shared" si="21"/>
        <v>0</v>
      </c>
      <c r="CL57" s="541">
        <f t="shared" si="21"/>
        <v>0</v>
      </c>
      <c r="CM57" s="541">
        <f t="shared" si="21"/>
        <v>0</v>
      </c>
      <c r="CN57" s="541">
        <f t="shared" si="21"/>
        <v>0</v>
      </c>
      <c r="CO57" s="541">
        <f t="shared" si="21"/>
        <v>0</v>
      </c>
      <c r="CP57" s="541">
        <f t="shared" si="21"/>
        <v>0</v>
      </c>
      <c r="CQ57" s="541">
        <f t="shared" si="21"/>
        <v>0</v>
      </c>
      <c r="CR57" s="541">
        <f t="shared" si="21"/>
        <v>0</v>
      </c>
      <c r="CS57" s="541">
        <f t="shared" si="21"/>
        <v>0</v>
      </c>
      <c r="CT57" s="541">
        <f t="shared" si="21"/>
        <v>0</v>
      </c>
      <c r="CU57" s="541">
        <f t="shared" si="21"/>
        <v>0</v>
      </c>
      <c r="CV57" s="541">
        <f t="shared" si="21"/>
        <v>0</v>
      </c>
      <c r="CW57" s="541">
        <f t="shared" si="21"/>
        <v>0</v>
      </c>
      <c r="CX57" s="541">
        <f t="shared" si="21"/>
        <v>0</v>
      </c>
      <c r="CY57" s="541">
        <f t="shared" si="21"/>
        <v>0</v>
      </c>
      <c r="CZ57" s="541">
        <f t="shared" si="21"/>
        <v>0</v>
      </c>
      <c r="DA57" s="541">
        <f t="shared" si="21"/>
        <v>0</v>
      </c>
      <c r="DB57" s="541">
        <f t="shared" si="21"/>
        <v>0</v>
      </c>
      <c r="DC57" s="541">
        <f t="shared" si="21"/>
        <v>0</v>
      </c>
      <c r="DD57" s="541">
        <f t="shared" si="21"/>
        <v>0</v>
      </c>
      <c r="DE57" s="541">
        <f t="shared" si="21"/>
        <v>0</v>
      </c>
      <c r="DF57" s="541">
        <f t="shared" si="21"/>
        <v>0</v>
      </c>
      <c r="DG57" s="541">
        <f t="shared" si="21"/>
        <v>0</v>
      </c>
      <c r="DH57" s="541">
        <f t="shared" si="21"/>
        <v>0</v>
      </c>
      <c r="DI57" s="541">
        <f t="shared" si="21"/>
        <v>0</v>
      </c>
      <c r="DJ57" s="541">
        <f t="shared" si="21"/>
        <v>0</v>
      </c>
      <c r="DK57" s="541">
        <f t="shared" si="21"/>
        <v>0</v>
      </c>
      <c r="DL57" s="541">
        <f t="shared" si="21"/>
        <v>0</v>
      </c>
      <c r="DM57" s="541">
        <f t="shared" si="21"/>
        <v>0</v>
      </c>
      <c r="DN57" s="541">
        <f t="shared" si="21"/>
        <v>0</v>
      </c>
      <c r="DO57" s="541">
        <f t="shared" si="21"/>
        <v>0</v>
      </c>
      <c r="DP57" s="541">
        <f t="shared" si="21"/>
        <v>0</v>
      </c>
      <c r="DQ57" s="541">
        <f t="shared" si="21"/>
        <v>0</v>
      </c>
      <c r="DR57" s="541">
        <f t="shared" si="21"/>
        <v>0</v>
      </c>
      <c r="DS57" s="541">
        <f t="shared" si="21"/>
        <v>0</v>
      </c>
      <c r="DT57" s="541">
        <f t="shared" si="21"/>
        <v>0</v>
      </c>
      <c r="DU57" s="541">
        <f t="shared" si="21"/>
        <v>0</v>
      </c>
      <c r="DV57" s="541">
        <f t="shared" si="21"/>
        <v>0</v>
      </c>
      <c r="DW57" s="541">
        <f t="shared" si="21"/>
        <v>0</v>
      </c>
      <c r="DX57" s="541">
        <f t="shared" si="21"/>
        <v>0</v>
      </c>
      <c r="DY57" s="541">
        <f t="shared" si="21"/>
        <v>0</v>
      </c>
      <c r="DZ57" s="541">
        <f t="shared" si="21"/>
        <v>0</v>
      </c>
      <c r="EA57" s="541">
        <f t="shared" si="21"/>
        <v>0</v>
      </c>
      <c r="EB57" s="541">
        <f t="shared" si="21"/>
        <v>0</v>
      </c>
      <c r="EC57" s="541">
        <f t="shared" si="21"/>
        <v>0</v>
      </c>
      <c r="ED57" s="541">
        <f t="shared" si="21"/>
        <v>0</v>
      </c>
      <c r="EE57" s="541">
        <f t="shared" si="21"/>
        <v>0</v>
      </c>
      <c r="EF57" s="541">
        <f t="shared" si="21"/>
        <v>0</v>
      </c>
      <c r="EG57" s="541">
        <f t="shared" si="21"/>
        <v>0</v>
      </c>
    </row>
    <row r="59" spans="5:7" ht="12.75">
      <c r="E59" s="535" t="str">
        <f>InpC!E$87</f>
        <v>VAT - refund lag (minimum 1 day)</v>
      </c>
      <c r="F59" s="537">
        <f>InpC!F$87</f>
        <v>90</v>
      </c>
      <c r="G59" s="537" t="str">
        <f>InpC!G$87</f>
        <v>days</v>
      </c>
    </row>
    <row r="60" spans="5:137" ht="12.75">
      <c r="E60" s="535" t="str">
        <f>Time!E$50</f>
        <v>Model period ending</v>
      </c>
      <c r="G60" s="536" t="str">
        <f>Time!G$50</f>
        <v>date</v>
      </c>
      <c r="J60" s="536">
        <f>Time!J$50</f>
        <v>46418</v>
      </c>
      <c r="K60" s="536">
        <f>Time!K$50</f>
        <v>46446</v>
      </c>
      <c r="L60" s="536">
        <f>Time!L$50</f>
        <v>46477</v>
      </c>
      <c r="M60" s="536">
        <f>Time!M$50</f>
        <v>46507</v>
      </c>
      <c r="N60" s="536">
        <f>Time!N$50</f>
        <v>46538</v>
      </c>
      <c r="O60" s="536">
        <f>Time!O$50</f>
        <v>46568</v>
      </c>
      <c r="P60" s="536">
        <f>Time!P$50</f>
        <v>46599</v>
      </c>
      <c r="Q60" s="536">
        <f>Time!Q$50</f>
        <v>46630</v>
      </c>
      <c r="R60" s="536">
        <f>Time!R$50</f>
        <v>46660</v>
      </c>
      <c r="S60" s="536">
        <f>Time!S$50</f>
        <v>46691</v>
      </c>
      <c r="T60" s="536">
        <f>Time!T$50</f>
        <v>46721</v>
      </c>
      <c r="U60" s="536">
        <f>Time!U$50</f>
        <v>46752</v>
      </c>
      <c r="V60" s="536">
        <f>Time!V$50</f>
        <v>46783</v>
      </c>
      <c r="W60" s="536">
        <f>Time!W$50</f>
        <v>46812</v>
      </c>
      <c r="X60" s="536">
        <f>Time!X$50</f>
        <v>46843</v>
      </c>
      <c r="Y60" s="536">
        <f>Time!Y$50</f>
        <v>46873</v>
      </c>
      <c r="Z60" s="536">
        <f>Time!Z$50</f>
        <v>46904</v>
      </c>
      <c r="AA60" s="536">
        <f>Time!AA$50</f>
        <v>46934</v>
      </c>
      <c r="AB60" s="536">
        <f>Time!AB$50</f>
        <v>46965</v>
      </c>
      <c r="AC60" s="536">
        <f>Time!AC$50</f>
        <v>46996</v>
      </c>
      <c r="AD60" s="536">
        <f>Time!AD$50</f>
        <v>47026</v>
      </c>
      <c r="AE60" s="536">
        <f>Time!AE$50</f>
        <v>47057</v>
      </c>
      <c r="AF60" s="536">
        <f>Time!AF$50</f>
        <v>47087</v>
      </c>
      <c r="AG60" s="536">
        <f>Time!AG$50</f>
        <v>47118</v>
      </c>
      <c r="AH60" s="536">
        <f>Time!AH$50</f>
        <v>47208</v>
      </c>
      <c r="AI60" s="536">
        <f>Time!AI$50</f>
        <v>47299</v>
      </c>
      <c r="AJ60" s="536">
        <f>Time!AJ$50</f>
        <v>47391</v>
      </c>
      <c r="AK60" s="536">
        <f>Time!AK$50</f>
        <v>47483</v>
      </c>
      <c r="AL60" s="536">
        <f>Time!AL$50</f>
        <v>47573</v>
      </c>
      <c r="AM60" s="536">
        <f>Time!AM$50</f>
        <v>47664</v>
      </c>
      <c r="AN60" s="536">
        <f>Time!AN$50</f>
        <v>47756</v>
      </c>
      <c r="AO60" s="536">
        <f>Time!AO$50</f>
        <v>47848</v>
      </c>
      <c r="AP60" s="536">
        <f>Time!AP$50</f>
        <v>47938</v>
      </c>
      <c r="AQ60" s="536">
        <f>Time!AQ$50</f>
        <v>48029</v>
      </c>
      <c r="AR60" s="536">
        <f>Time!AR$50</f>
        <v>48121</v>
      </c>
      <c r="AS60" s="536">
        <f>Time!AS$50</f>
        <v>48213</v>
      </c>
      <c r="AT60" s="536">
        <f>Time!AT$50</f>
        <v>48304</v>
      </c>
      <c r="AU60" s="536">
        <f>Time!AU$50</f>
        <v>48395</v>
      </c>
      <c r="AV60" s="536">
        <f>Time!AV$50</f>
        <v>48487</v>
      </c>
      <c r="AW60" s="536">
        <f>Time!AW$50</f>
        <v>48579</v>
      </c>
      <c r="AX60" s="536">
        <f>Time!AX$50</f>
        <v>48669</v>
      </c>
      <c r="AY60" s="536">
        <f>Time!AY$50</f>
        <v>48760</v>
      </c>
      <c r="AZ60" s="536">
        <f>Time!AZ$50</f>
        <v>48852</v>
      </c>
      <c r="BA60" s="536">
        <f>Time!BA$50</f>
        <v>48944</v>
      </c>
      <c r="BB60" s="536">
        <f>Time!BB$50</f>
        <v>49034</v>
      </c>
      <c r="BC60" s="536">
        <f>Time!BC$50</f>
        <v>49125</v>
      </c>
      <c r="BD60" s="536">
        <f>Time!BD$50</f>
        <v>49217</v>
      </c>
      <c r="BE60" s="536">
        <f>Time!BE$50</f>
        <v>49309</v>
      </c>
      <c r="BF60" s="536">
        <f>Time!BF$50</f>
        <v>49399</v>
      </c>
      <c r="BG60" s="536">
        <f>Time!BG$50</f>
        <v>49490</v>
      </c>
      <c r="BH60" s="536">
        <f>Time!BH$50</f>
        <v>49582</v>
      </c>
      <c r="BI60" s="536">
        <f>Time!BI$50</f>
        <v>49674</v>
      </c>
      <c r="BJ60" s="536">
        <f>Time!BJ$50</f>
        <v>49765</v>
      </c>
      <c r="BK60" s="536">
        <f>Time!BK$50</f>
        <v>49856</v>
      </c>
      <c r="BL60" s="536">
        <f>Time!BL$50</f>
        <v>49948</v>
      </c>
      <c r="BM60" s="536">
        <f>Time!BM$50</f>
        <v>50040</v>
      </c>
      <c r="BN60" s="536">
        <f>Time!BN$50</f>
        <v>50130</v>
      </c>
      <c r="BO60" s="536">
        <f>Time!BO$50</f>
        <v>50221</v>
      </c>
      <c r="BP60" s="536">
        <f>Time!BP$50</f>
        <v>50313</v>
      </c>
      <c r="BQ60" s="536">
        <f>Time!BQ$50</f>
        <v>50405</v>
      </c>
      <c r="BR60" s="536">
        <f>Time!BR$50</f>
        <v>50495</v>
      </c>
      <c r="BS60" s="536">
        <f>Time!BS$50</f>
        <v>50586</v>
      </c>
      <c r="BT60" s="536">
        <f>Time!BT$50</f>
        <v>50678</v>
      </c>
      <c r="BU60" s="536">
        <f>Time!BU$50</f>
        <v>50770</v>
      </c>
      <c r="BV60" s="536">
        <f>Time!BV$50</f>
        <v>50860</v>
      </c>
      <c r="BW60" s="536">
        <f>Time!BW$50</f>
        <v>50951</v>
      </c>
      <c r="BX60" s="536">
        <f>Time!BX$50</f>
        <v>51043</v>
      </c>
      <c r="BY60" s="536">
        <f>Time!BY$50</f>
        <v>51135</v>
      </c>
      <c r="BZ60" s="536">
        <f>Time!BZ$50</f>
        <v>51226</v>
      </c>
      <c r="CA60" s="536">
        <f>Time!CA$50</f>
        <v>51317</v>
      </c>
      <c r="CB60" s="536">
        <f>Time!CB$50</f>
        <v>51409</v>
      </c>
      <c r="CC60" s="536">
        <f>Time!CC$50</f>
        <v>51501</v>
      </c>
      <c r="CD60" s="536">
        <f>Time!CD$50</f>
        <v>51591</v>
      </c>
      <c r="CE60" s="536">
        <f>Time!CE$50</f>
        <v>51682</v>
      </c>
      <c r="CF60" s="536">
        <f>Time!CF$50</f>
        <v>51774</v>
      </c>
      <c r="CG60" s="536">
        <f>Time!CG$50</f>
        <v>51866</v>
      </c>
      <c r="CH60" s="536">
        <f>Time!CH$50</f>
        <v>51956</v>
      </c>
      <c r="CI60" s="536">
        <f>Time!CI$50</f>
        <v>52047</v>
      </c>
      <c r="CJ60" s="536">
        <f>Time!CJ$50</f>
        <v>52139</v>
      </c>
      <c r="CK60" s="536">
        <f>Time!CK$50</f>
        <v>52231</v>
      </c>
      <c r="CL60" s="536">
        <f>Time!CL$50</f>
        <v>52321</v>
      </c>
      <c r="CM60" s="536">
        <f>Time!CM$50</f>
        <v>52412</v>
      </c>
      <c r="CN60" s="536">
        <f>Time!CN$50</f>
        <v>52504</v>
      </c>
      <c r="CO60" s="536">
        <f>Time!CO$50</f>
        <v>52596</v>
      </c>
      <c r="CP60" s="536">
        <f>Time!CP$50</f>
        <v>52687</v>
      </c>
      <c r="CQ60" s="536">
        <f>Time!CQ$50</f>
        <v>52778</v>
      </c>
      <c r="CR60" s="536">
        <f>Time!CR$50</f>
        <v>52870</v>
      </c>
      <c r="CS60" s="536">
        <f>Time!CS$50</f>
        <v>52962</v>
      </c>
      <c r="CT60" s="536">
        <f>Time!CT$50</f>
        <v>53052</v>
      </c>
      <c r="CU60" s="536">
        <f>Time!CU$50</f>
        <v>53143</v>
      </c>
      <c r="CV60" s="536">
        <f>Time!CV$50</f>
        <v>53235</v>
      </c>
      <c r="CW60" s="536">
        <f>Time!CW$50</f>
        <v>53327</v>
      </c>
      <c r="CX60" s="536">
        <f>Time!CX$50</f>
        <v>53417</v>
      </c>
      <c r="CY60" s="536">
        <f>Time!CY$50</f>
        <v>53508</v>
      </c>
      <c r="CZ60" s="536">
        <f>Time!CZ$50</f>
        <v>53600</v>
      </c>
      <c r="DA60" s="536">
        <f>Time!DA$50</f>
        <v>53692</v>
      </c>
      <c r="DB60" s="536">
        <f>Time!DB$50</f>
        <v>53782</v>
      </c>
      <c r="DC60" s="536">
        <f>Time!DC$50</f>
        <v>53873</v>
      </c>
      <c r="DD60" s="536">
        <f>Time!DD$50</f>
        <v>53965</v>
      </c>
      <c r="DE60" s="536">
        <f>Time!DE$50</f>
        <v>54057</v>
      </c>
      <c r="DF60" s="536">
        <f>Time!DF$50</f>
        <v>54148</v>
      </c>
      <c r="DG60" s="536">
        <f>Time!DG$50</f>
        <v>54239</v>
      </c>
      <c r="DH60" s="536">
        <f>Time!DH$50</f>
        <v>54331</v>
      </c>
      <c r="DI60" s="536">
        <f>Time!DI$50</f>
        <v>54423</v>
      </c>
      <c r="DJ60" s="536">
        <f>Time!DJ$50</f>
        <v>54513</v>
      </c>
      <c r="DK60" s="536">
        <f>Time!DK$50</f>
        <v>54604</v>
      </c>
      <c r="DL60" s="536">
        <f>Time!DL$50</f>
        <v>54696</v>
      </c>
      <c r="DM60" s="536">
        <f>Time!DM$50</f>
        <v>54788</v>
      </c>
      <c r="DN60" s="536">
        <f>Time!DN$50</f>
        <v>54878</v>
      </c>
      <c r="DO60" s="536">
        <f>Time!DO$50</f>
        <v>54969</v>
      </c>
      <c r="DP60" s="536">
        <f>Time!DP$50</f>
        <v>55061</v>
      </c>
      <c r="DQ60" s="536">
        <f>Time!DQ$50</f>
        <v>55153</v>
      </c>
      <c r="DR60" s="536">
        <f>Time!DR$50</f>
        <v>55243</v>
      </c>
      <c r="DS60" s="536">
        <f>Time!DS$50</f>
        <v>55334</v>
      </c>
      <c r="DT60" s="536">
        <f>Time!DT$50</f>
        <v>55426</v>
      </c>
      <c r="DU60" s="536">
        <f>Time!DU$50</f>
        <v>55518</v>
      </c>
      <c r="DV60" s="536">
        <f>Time!DV$50</f>
        <v>55609</v>
      </c>
      <c r="DW60" s="536">
        <f>Time!DW$50</f>
        <v>55700</v>
      </c>
      <c r="DX60" s="536">
        <f>Time!DX$50</f>
        <v>55792</v>
      </c>
      <c r="DY60" s="536">
        <f>Time!DY$50</f>
        <v>55884</v>
      </c>
      <c r="DZ60" s="536">
        <f>Time!DZ$50</f>
        <v>55974</v>
      </c>
      <c r="EA60" s="536">
        <f>Time!EA$50</f>
        <v>56065</v>
      </c>
      <c r="EB60" s="536">
        <f>Time!EB$50</f>
        <v>56157</v>
      </c>
      <c r="EC60" s="536">
        <f>Time!EC$50</f>
        <v>56249</v>
      </c>
      <c r="ED60" s="536">
        <f>Time!ED$50</f>
        <v>56339</v>
      </c>
      <c r="EE60" s="536">
        <f>Time!EE$50</f>
        <v>56430</v>
      </c>
      <c r="EF60" s="536">
        <f>Time!EF$50</f>
        <v>56522</v>
      </c>
      <c r="EG60" s="536">
        <f>Time!EG$50</f>
        <v>56614</v>
      </c>
    </row>
    <row r="61" spans="5:137" ht="12.75">
      <c r="E61" s="538" t="str">
        <f>E$57</f>
        <v>VAT - paid on capex</v>
      </c>
      <c r="G61" s="539" t="str">
        <f>G$57</f>
        <v>EUR 000s</v>
      </c>
      <c r="H61" s="539">
        <f>H$57</f>
        <v>56710.5</v>
      </c>
      <c r="J61" s="539">
        <f t="shared" si="22" ref="J61:EG61">J$57</f>
        <v>0</v>
      </c>
      <c r="K61" s="539">
        <f t="shared" si="22"/>
        <v>0</v>
      </c>
      <c r="L61" s="539">
        <f t="shared" si="22"/>
        <v>0</v>
      </c>
      <c r="M61" s="539">
        <f t="shared" si="22"/>
        <v>2658.3125</v>
      </c>
      <c r="N61" s="539">
        <f t="shared" si="22"/>
        <v>2723.9375</v>
      </c>
      <c r="O61" s="539">
        <f t="shared" si="22"/>
        <v>2658.3125</v>
      </c>
      <c r="P61" s="539">
        <f t="shared" si="22"/>
        <v>2723.9375</v>
      </c>
      <c r="Q61" s="539">
        <f t="shared" si="22"/>
        <v>2658.3125</v>
      </c>
      <c r="R61" s="539">
        <f t="shared" si="22"/>
        <v>3388.390625</v>
      </c>
      <c r="S61" s="539">
        <f t="shared" si="22"/>
        <v>3527.84375</v>
      </c>
      <c r="T61" s="539">
        <f t="shared" si="22"/>
        <v>3593.46875</v>
      </c>
      <c r="U61" s="539">
        <f t="shared" si="22"/>
        <v>3659.09375</v>
      </c>
      <c r="V61" s="539">
        <f t="shared" si="22"/>
        <v>3396.59375</v>
      </c>
      <c r="W61" s="539">
        <f t="shared" si="22"/>
        <v>3363.78125</v>
      </c>
      <c r="X61" s="539">
        <f t="shared" si="22"/>
        <v>3002.84375</v>
      </c>
      <c r="Y61" s="539">
        <f t="shared" si="22"/>
        <v>2609.09375</v>
      </c>
      <c r="Z61" s="539">
        <f t="shared" si="22"/>
        <v>2412.21875</v>
      </c>
      <c r="AA61" s="539">
        <f t="shared" si="22"/>
        <v>2707.53125</v>
      </c>
      <c r="AB61" s="539">
        <f t="shared" si="22"/>
        <v>2838.78125</v>
      </c>
      <c r="AC61" s="539">
        <f t="shared" si="22"/>
        <v>2805.96875</v>
      </c>
      <c r="AD61" s="539">
        <f t="shared" si="22"/>
        <v>2535.265625</v>
      </c>
      <c r="AE61" s="539">
        <f t="shared" si="22"/>
        <v>1509.875</v>
      </c>
      <c r="AF61" s="539">
        <f t="shared" si="22"/>
        <v>1148.9375</v>
      </c>
      <c r="AG61" s="539">
        <f t="shared" si="22"/>
        <v>788</v>
      </c>
      <c r="AH61" s="539">
        <f t="shared" si="22"/>
        <v>0</v>
      </c>
      <c r="AI61" s="539">
        <f t="shared" si="22"/>
        <v>0</v>
      </c>
      <c r="AJ61" s="539">
        <f t="shared" si="22"/>
        <v>0</v>
      </c>
      <c r="AK61" s="539">
        <f t="shared" si="22"/>
        <v>0</v>
      </c>
      <c r="AL61" s="539">
        <f t="shared" si="22"/>
        <v>0</v>
      </c>
      <c r="AM61" s="539">
        <f t="shared" si="22"/>
        <v>0</v>
      </c>
      <c r="AN61" s="539">
        <f t="shared" si="22"/>
        <v>0</v>
      </c>
      <c r="AO61" s="539">
        <f t="shared" si="22"/>
        <v>0</v>
      </c>
      <c r="AP61" s="539">
        <f t="shared" si="22"/>
        <v>0</v>
      </c>
      <c r="AQ61" s="539">
        <f t="shared" si="22"/>
        <v>0</v>
      </c>
      <c r="AR61" s="539">
        <f t="shared" si="22"/>
        <v>0</v>
      </c>
      <c r="AS61" s="539">
        <f t="shared" si="22"/>
        <v>0</v>
      </c>
      <c r="AT61" s="539">
        <f t="shared" si="22"/>
        <v>0</v>
      </c>
      <c r="AU61" s="539">
        <f t="shared" si="22"/>
        <v>0</v>
      </c>
      <c r="AV61" s="539">
        <f t="shared" si="22"/>
        <v>0</v>
      </c>
      <c r="AW61" s="539">
        <f t="shared" si="22"/>
        <v>0</v>
      </c>
      <c r="AX61" s="539">
        <f t="shared" si="22"/>
        <v>0</v>
      </c>
      <c r="AY61" s="539">
        <f t="shared" si="22"/>
        <v>0</v>
      </c>
      <c r="AZ61" s="539">
        <f t="shared" si="22"/>
        <v>0</v>
      </c>
      <c r="BA61" s="539">
        <f t="shared" si="22"/>
        <v>0</v>
      </c>
      <c r="BB61" s="539">
        <f t="shared" si="22"/>
        <v>0</v>
      </c>
      <c r="BC61" s="539">
        <f t="shared" si="22"/>
        <v>0</v>
      </c>
      <c r="BD61" s="539">
        <f t="shared" si="22"/>
        <v>0</v>
      </c>
      <c r="BE61" s="539">
        <f t="shared" si="22"/>
        <v>0</v>
      </c>
      <c r="BF61" s="539">
        <f t="shared" si="22"/>
        <v>0</v>
      </c>
      <c r="BG61" s="539">
        <f t="shared" si="22"/>
        <v>0</v>
      </c>
      <c r="BH61" s="539">
        <f t="shared" si="22"/>
        <v>0</v>
      </c>
      <c r="BI61" s="539">
        <f t="shared" si="22"/>
        <v>0</v>
      </c>
      <c r="BJ61" s="539">
        <f t="shared" si="22"/>
        <v>0</v>
      </c>
      <c r="BK61" s="539">
        <f t="shared" si="22"/>
        <v>0</v>
      </c>
      <c r="BL61" s="539">
        <f t="shared" si="22"/>
        <v>0</v>
      </c>
      <c r="BM61" s="539">
        <f t="shared" si="22"/>
        <v>0</v>
      </c>
      <c r="BN61" s="539">
        <f t="shared" si="22"/>
        <v>0</v>
      </c>
      <c r="BO61" s="539">
        <f t="shared" si="22"/>
        <v>0</v>
      </c>
      <c r="BP61" s="539">
        <f t="shared" si="22"/>
        <v>0</v>
      </c>
      <c r="BQ61" s="539">
        <f t="shared" si="22"/>
        <v>0</v>
      </c>
      <c r="BR61" s="539">
        <f t="shared" si="22"/>
        <v>0</v>
      </c>
      <c r="BS61" s="539">
        <f t="shared" si="22"/>
        <v>0</v>
      </c>
      <c r="BT61" s="539">
        <f t="shared" si="22"/>
        <v>0</v>
      </c>
      <c r="BU61" s="539">
        <f t="shared" si="22"/>
        <v>0</v>
      </c>
      <c r="BV61" s="539">
        <f t="shared" si="22"/>
        <v>0</v>
      </c>
      <c r="BW61" s="539">
        <f t="shared" si="22"/>
        <v>0</v>
      </c>
      <c r="BX61" s="539">
        <f t="shared" si="22"/>
        <v>0</v>
      </c>
      <c r="BY61" s="539">
        <f t="shared" si="22"/>
        <v>0</v>
      </c>
      <c r="BZ61" s="539">
        <f t="shared" si="22"/>
        <v>0</v>
      </c>
      <c r="CA61" s="539">
        <f t="shared" si="22"/>
        <v>0</v>
      </c>
      <c r="CB61" s="539">
        <f t="shared" si="22"/>
        <v>0</v>
      </c>
      <c r="CC61" s="539">
        <f t="shared" si="22"/>
        <v>0</v>
      </c>
      <c r="CD61" s="539">
        <f t="shared" si="22"/>
        <v>0</v>
      </c>
      <c r="CE61" s="539">
        <f t="shared" si="22"/>
        <v>0</v>
      </c>
      <c r="CF61" s="539">
        <f t="shared" si="22"/>
        <v>0</v>
      </c>
      <c r="CG61" s="539">
        <f t="shared" si="22"/>
        <v>0</v>
      </c>
      <c r="CH61" s="539">
        <f t="shared" si="22"/>
        <v>0</v>
      </c>
      <c r="CI61" s="539">
        <f t="shared" si="22"/>
        <v>0</v>
      </c>
      <c r="CJ61" s="539">
        <f t="shared" si="22"/>
        <v>0</v>
      </c>
      <c r="CK61" s="539">
        <f t="shared" si="22"/>
        <v>0</v>
      </c>
      <c r="CL61" s="539">
        <f t="shared" si="22"/>
        <v>0</v>
      </c>
      <c r="CM61" s="539">
        <f t="shared" si="22"/>
        <v>0</v>
      </c>
      <c r="CN61" s="539">
        <f t="shared" si="22"/>
        <v>0</v>
      </c>
      <c r="CO61" s="539">
        <f t="shared" si="22"/>
        <v>0</v>
      </c>
      <c r="CP61" s="539">
        <f t="shared" si="22"/>
        <v>0</v>
      </c>
      <c r="CQ61" s="539">
        <f t="shared" si="22"/>
        <v>0</v>
      </c>
      <c r="CR61" s="539">
        <f t="shared" si="22"/>
        <v>0</v>
      </c>
      <c r="CS61" s="539">
        <f t="shared" si="22"/>
        <v>0</v>
      </c>
      <c r="CT61" s="539">
        <f t="shared" si="22"/>
        <v>0</v>
      </c>
      <c r="CU61" s="539">
        <f t="shared" si="22"/>
        <v>0</v>
      </c>
      <c r="CV61" s="539">
        <f t="shared" si="22"/>
        <v>0</v>
      </c>
      <c r="CW61" s="539">
        <f t="shared" si="22"/>
        <v>0</v>
      </c>
      <c r="CX61" s="539">
        <f t="shared" si="22"/>
        <v>0</v>
      </c>
      <c r="CY61" s="539">
        <f t="shared" si="22"/>
        <v>0</v>
      </c>
      <c r="CZ61" s="539">
        <f t="shared" si="22"/>
        <v>0</v>
      </c>
      <c r="DA61" s="539">
        <f t="shared" si="22"/>
        <v>0</v>
      </c>
      <c r="DB61" s="539">
        <f t="shared" si="22"/>
        <v>0</v>
      </c>
      <c r="DC61" s="539">
        <f t="shared" si="22"/>
        <v>0</v>
      </c>
      <c r="DD61" s="539">
        <f t="shared" si="22"/>
        <v>0</v>
      </c>
      <c r="DE61" s="539">
        <f t="shared" si="22"/>
        <v>0</v>
      </c>
      <c r="DF61" s="539">
        <f t="shared" si="22"/>
        <v>0</v>
      </c>
      <c r="DG61" s="539">
        <f t="shared" si="22"/>
        <v>0</v>
      </c>
      <c r="DH61" s="539">
        <f t="shared" si="22"/>
        <v>0</v>
      </c>
      <c r="DI61" s="539">
        <f t="shared" si="22"/>
        <v>0</v>
      </c>
      <c r="DJ61" s="539">
        <f t="shared" si="22"/>
        <v>0</v>
      </c>
      <c r="DK61" s="539">
        <f t="shared" si="22"/>
        <v>0</v>
      </c>
      <c r="DL61" s="539">
        <f t="shared" si="22"/>
        <v>0</v>
      </c>
      <c r="DM61" s="539">
        <f t="shared" si="22"/>
        <v>0</v>
      </c>
      <c r="DN61" s="539">
        <f t="shared" si="22"/>
        <v>0</v>
      </c>
      <c r="DO61" s="539">
        <f t="shared" si="22"/>
        <v>0</v>
      </c>
      <c r="DP61" s="539">
        <f t="shared" si="22"/>
        <v>0</v>
      </c>
      <c r="DQ61" s="539">
        <f t="shared" si="22"/>
        <v>0</v>
      </c>
      <c r="DR61" s="539">
        <f t="shared" si="22"/>
        <v>0</v>
      </c>
      <c r="DS61" s="539">
        <f t="shared" si="22"/>
        <v>0</v>
      </c>
      <c r="DT61" s="539">
        <f t="shared" si="22"/>
        <v>0</v>
      </c>
      <c r="DU61" s="539">
        <f t="shared" si="22"/>
        <v>0</v>
      </c>
      <c r="DV61" s="539">
        <f t="shared" si="22"/>
        <v>0</v>
      </c>
      <c r="DW61" s="539">
        <f t="shared" si="22"/>
        <v>0</v>
      </c>
      <c r="DX61" s="539">
        <f t="shared" si="22"/>
        <v>0</v>
      </c>
      <c r="DY61" s="539">
        <f t="shared" si="22"/>
        <v>0</v>
      </c>
      <c r="DZ61" s="539">
        <f t="shared" si="22"/>
        <v>0</v>
      </c>
      <c r="EA61" s="539">
        <f t="shared" si="22"/>
        <v>0</v>
      </c>
      <c r="EB61" s="539">
        <f t="shared" si="22"/>
        <v>0</v>
      </c>
      <c r="EC61" s="539">
        <f t="shared" si="22"/>
        <v>0</v>
      </c>
      <c r="ED61" s="539">
        <f t="shared" si="22"/>
        <v>0</v>
      </c>
      <c r="EE61" s="539">
        <f t="shared" si="22"/>
        <v>0</v>
      </c>
      <c r="EF61" s="539">
        <f t="shared" si="22"/>
        <v>0</v>
      </c>
      <c r="EG61" s="539">
        <f t="shared" si="22"/>
        <v>0</v>
      </c>
    </row>
    <row r="62" spans="5:137" ht="12.75">
      <c r="E62" s="540" t="s">
        <v>212</v>
      </c>
      <c r="G62" s="541" t="s">
        <v>30</v>
      </c>
      <c r="H62" s="541">
        <f>SUM(J62:EG62)</f>
        <v>56710.5</v>
      </c>
      <c r="J62" s="541">
        <f t="shared" si="23" ref="J62:EG62">SUMIFS($I61:I61,$I60:I60,"&lt;="&amp;J60-$F59,$I60:I60,"&gt;"&amp;I60-$F59)</f>
        <v>0</v>
      </c>
      <c r="K62" s="541">
        <f t="shared" si="23"/>
        <v>0</v>
      </c>
      <c r="L62" s="541">
        <f t="shared" si="23"/>
        <v>0</v>
      </c>
      <c r="M62" s="541">
        <f t="shared" si="23"/>
        <v>0</v>
      </c>
      <c r="N62" s="541">
        <f t="shared" si="23"/>
        <v>0</v>
      </c>
      <c r="O62" s="541">
        <f t="shared" si="23"/>
        <v>0</v>
      </c>
      <c r="P62" s="541">
        <f t="shared" si="23"/>
        <v>2658.3125</v>
      </c>
      <c r="Q62" s="541">
        <f t="shared" si="23"/>
        <v>2723.9375</v>
      </c>
      <c r="R62" s="541">
        <f t="shared" si="23"/>
        <v>2658.3125</v>
      </c>
      <c r="S62" s="541">
        <f t="shared" si="23"/>
        <v>2723.9375</v>
      </c>
      <c r="T62" s="541">
        <f t="shared" si="23"/>
        <v>2658.3125</v>
      </c>
      <c r="U62" s="541">
        <f t="shared" si="23"/>
        <v>3388.390625</v>
      </c>
      <c r="V62" s="541">
        <f t="shared" si="23"/>
        <v>3527.84375</v>
      </c>
      <c r="W62" s="541">
        <f t="shared" si="23"/>
        <v>3593.46875</v>
      </c>
      <c r="X62" s="541">
        <f t="shared" si="23"/>
        <v>3659.09375</v>
      </c>
      <c r="Y62" s="541">
        <f t="shared" si="23"/>
        <v>3396.59375</v>
      </c>
      <c r="Z62" s="541">
        <f t="shared" si="23"/>
        <v>3363.78125</v>
      </c>
      <c r="AA62" s="541">
        <f t="shared" si="23"/>
        <v>3002.84375</v>
      </c>
      <c r="AB62" s="541">
        <f t="shared" si="23"/>
        <v>2609.09375</v>
      </c>
      <c r="AC62" s="541">
        <f t="shared" si="23"/>
        <v>2412.21875</v>
      </c>
      <c r="AD62" s="541">
        <f t="shared" si="23"/>
        <v>2707.53125</v>
      </c>
      <c r="AE62" s="541">
        <f t="shared" si="23"/>
        <v>2838.78125</v>
      </c>
      <c r="AF62" s="541">
        <f t="shared" si="23"/>
        <v>2805.96875</v>
      </c>
      <c r="AG62" s="541">
        <f t="shared" si="23"/>
        <v>2535.265625</v>
      </c>
      <c r="AH62" s="541">
        <f t="shared" si="23"/>
        <v>3446.8125</v>
      </c>
      <c r="AI62" s="541">
        <f t="shared" si="23"/>
        <v>0</v>
      </c>
      <c r="AJ62" s="541">
        <f t="shared" si="23"/>
        <v>0</v>
      </c>
      <c r="AK62" s="541">
        <f t="shared" si="23"/>
        <v>0</v>
      </c>
      <c r="AL62" s="541">
        <f t="shared" si="23"/>
        <v>0</v>
      </c>
      <c r="AM62" s="541">
        <f t="shared" si="23"/>
        <v>0</v>
      </c>
      <c r="AN62" s="541">
        <f t="shared" si="23"/>
        <v>0</v>
      </c>
      <c r="AO62" s="541">
        <f t="shared" si="23"/>
        <v>0</v>
      </c>
      <c r="AP62" s="541">
        <f t="shared" si="23"/>
        <v>0</v>
      </c>
      <c r="AQ62" s="541">
        <f t="shared" si="23"/>
        <v>0</v>
      </c>
      <c r="AR62" s="541">
        <f t="shared" si="23"/>
        <v>0</v>
      </c>
      <c r="AS62" s="541">
        <f t="shared" si="23"/>
        <v>0</v>
      </c>
      <c r="AT62" s="541">
        <f t="shared" si="23"/>
        <v>0</v>
      </c>
      <c r="AU62" s="541">
        <f t="shared" si="23"/>
        <v>0</v>
      </c>
      <c r="AV62" s="541">
        <f t="shared" si="23"/>
        <v>0</v>
      </c>
      <c r="AW62" s="541">
        <f t="shared" si="23"/>
        <v>0</v>
      </c>
      <c r="AX62" s="541">
        <f t="shared" si="23"/>
        <v>0</v>
      </c>
      <c r="AY62" s="541">
        <f t="shared" si="23"/>
        <v>0</v>
      </c>
      <c r="AZ62" s="541">
        <f t="shared" si="23"/>
        <v>0</v>
      </c>
      <c r="BA62" s="541">
        <f t="shared" si="23"/>
        <v>0</v>
      </c>
      <c r="BB62" s="541">
        <f t="shared" si="23"/>
        <v>0</v>
      </c>
      <c r="BC62" s="541">
        <f t="shared" si="23"/>
        <v>0</v>
      </c>
      <c r="BD62" s="541">
        <f t="shared" si="23"/>
        <v>0</v>
      </c>
      <c r="BE62" s="541">
        <f t="shared" si="23"/>
        <v>0</v>
      </c>
      <c r="BF62" s="541">
        <f t="shared" si="23"/>
        <v>0</v>
      </c>
      <c r="BG62" s="541">
        <f t="shared" si="23"/>
        <v>0</v>
      </c>
      <c r="BH62" s="541">
        <f t="shared" si="23"/>
        <v>0</v>
      </c>
      <c r="BI62" s="541">
        <f t="shared" si="23"/>
        <v>0</v>
      </c>
      <c r="BJ62" s="541">
        <f t="shared" si="23"/>
        <v>0</v>
      </c>
      <c r="BK62" s="541">
        <f t="shared" si="23"/>
        <v>0</v>
      </c>
      <c r="BL62" s="541">
        <f t="shared" si="23"/>
        <v>0</v>
      </c>
      <c r="BM62" s="541">
        <f t="shared" si="23"/>
        <v>0</v>
      </c>
      <c r="BN62" s="541">
        <f t="shared" si="23"/>
        <v>0</v>
      </c>
      <c r="BO62" s="541">
        <f t="shared" si="23"/>
        <v>0</v>
      </c>
      <c r="BP62" s="541">
        <f t="shared" si="23"/>
        <v>0</v>
      </c>
      <c r="BQ62" s="541">
        <f t="shared" si="23"/>
        <v>0</v>
      </c>
      <c r="BR62" s="541">
        <f t="shared" si="23"/>
        <v>0</v>
      </c>
      <c r="BS62" s="541">
        <f t="shared" si="23"/>
        <v>0</v>
      </c>
      <c r="BT62" s="541">
        <f t="shared" si="23"/>
        <v>0</v>
      </c>
      <c r="BU62" s="541">
        <f t="shared" si="23"/>
        <v>0</v>
      </c>
      <c r="BV62" s="541">
        <f t="shared" si="23"/>
        <v>0</v>
      </c>
      <c r="BW62" s="541">
        <f t="shared" si="23"/>
        <v>0</v>
      </c>
      <c r="BX62" s="541">
        <f t="shared" si="23"/>
        <v>0</v>
      </c>
      <c r="BY62" s="541">
        <f t="shared" si="23"/>
        <v>0</v>
      </c>
      <c r="BZ62" s="541">
        <f t="shared" si="23"/>
        <v>0</v>
      </c>
      <c r="CA62" s="541">
        <f t="shared" si="23"/>
        <v>0</v>
      </c>
      <c r="CB62" s="541">
        <f t="shared" si="23"/>
        <v>0</v>
      </c>
      <c r="CC62" s="541">
        <f t="shared" si="23"/>
        <v>0</v>
      </c>
      <c r="CD62" s="541">
        <f t="shared" si="23"/>
        <v>0</v>
      </c>
      <c r="CE62" s="541">
        <f t="shared" si="23"/>
        <v>0</v>
      </c>
      <c r="CF62" s="541">
        <f t="shared" si="23"/>
        <v>0</v>
      </c>
      <c r="CG62" s="541">
        <f t="shared" si="23"/>
        <v>0</v>
      </c>
      <c r="CH62" s="541">
        <f t="shared" si="23"/>
        <v>0</v>
      </c>
      <c r="CI62" s="541">
        <f t="shared" si="23"/>
        <v>0</v>
      </c>
      <c r="CJ62" s="541">
        <f t="shared" si="23"/>
        <v>0</v>
      </c>
      <c r="CK62" s="541">
        <f t="shared" si="23"/>
        <v>0</v>
      </c>
      <c r="CL62" s="541">
        <f t="shared" si="23"/>
        <v>0</v>
      </c>
      <c r="CM62" s="541">
        <f t="shared" si="23"/>
        <v>0</v>
      </c>
      <c r="CN62" s="541">
        <f t="shared" si="23"/>
        <v>0</v>
      </c>
      <c r="CO62" s="541">
        <f t="shared" si="23"/>
        <v>0</v>
      </c>
      <c r="CP62" s="541">
        <f t="shared" si="23"/>
        <v>0</v>
      </c>
      <c r="CQ62" s="541">
        <f t="shared" si="23"/>
        <v>0</v>
      </c>
      <c r="CR62" s="541">
        <f t="shared" si="23"/>
        <v>0</v>
      </c>
      <c r="CS62" s="541">
        <f t="shared" si="23"/>
        <v>0</v>
      </c>
      <c r="CT62" s="541">
        <f t="shared" si="23"/>
        <v>0</v>
      </c>
      <c r="CU62" s="541">
        <f t="shared" si="23"/>
        <v>0</v>
      </c>
      <c r="CV62" s="541">
        <f t="shared" si="23"/>
        <v>0</v>
      </c>
      <c r="CW62" s="541">
        <f t="shared" si="23"/>
        <v>0</v>
      </c>
      <c r="CX62" s="541">
        <f t="shared" si="23"/>
        <v>0</v>
      </c>
      <c r="CY62" s="541">
        <f t="shared" si="23"/>
        <v>0</v>
      </c>
      <c r="CZ62" s="541">
        <f t="shared" si="23"/>
        <v>0</v>
      </c>
      <c r="DA62" s="541">
        <f t="shared" si="23"/>
        <v>0</v>
      </c>
      <c r="DB62" s="541">
        <f t="shared" si="23"/>
        <v>0</v>
      </c>
      <c r="DC62" s="541">
        <f t="shared" si="23"/>
        <v>0</v>
      </c>
      <c r="DD62" s="541">
        <f t="shared" si="23"/>
        <v>0</v>
      </c>
      <c r="DE62" s="541">
        <f t="shared" si="23"/>
        <v>0</v>
      </c>
      <c r="DF62" s="541">
        <f t="shared" si="23"/>
        <v>0</v>
      </c>
      <c r="DG62" s="541">
        <f t="shared" si="23"/>
        <v>0</v>
      </c>
      <c r="DH62" s="541">
        <f t="shared" si="23"/>
        <v>0</v>
      </c>
      <c r="DI62" s="541">
        <f t="shared" si="23"/>
        <v>0</v>
      </c>
      <c r="DJ62" s="541">
        <f t="shared" si="23"/>
        <v>0</v>
      </c>
      <c r="DK62" s="541">
        <f t="shared" si="23"/>
        <v>0</v>
      </c>
      <c r="DL62" s="541">
        <f t="shared" si="23"/>
        <v>0</v>
      </c>
      <c r="DM62" s="541">
        <f t="shared" si="23"/>
        <v>0</v>
      </c>
      <c r="DN62" s="541">
        <f t="shared" si="23"/>
        <v>0</v>
      </c>
      <c r="DO62" s="541">
        <f t="shared" si="23"/>
        <v>0</v>
      </c>
      <c r="DP62" s="541">
        <f t="shared" si="23"/>
        <v>0</v>
      </c>
      <c r="DQ62" s="541">
        <f t="shared" si="23"/>
        <v>0</v>
      </c>
      <c r="DR62" s="541">
        <f t="shared" si="23"/>
        <v>0</v>
      </c>
      <c r="DS62" s="541">
        <f t="shared" si="23"/>
        <v>0</v>
      </c>
      <c r="DT62" s="541">
        <f t="shared" si="23"/>
        <v>0</v>
      </c>
      <c r="DU62" s="541">
        <f t="shared" si="23"/>
        <v>0</v>
      </c>
      <c r="DV62" s="541">
        <f t="shared" si="23"/>
        <v>0</v>
      </c>
      <c r="DW62" s="541">
        <f t="shared" si="23"/>
        <v>0</v>
      </c>
      <c r="DX62" s="541">
        <f t="shared" si="23"/>
        <v>0</v>
      </c>
      <c r="DY62" s="541">
        <f t="shared" si="23"/>
        <v>0</v>
      </c>
      <c r="DZ62" s="541">
        <f t="shared" si="23"/>
        <v>0</v>
      </c>
      <c r="EA62" s="541">
        <f t="shared" si="23"/>
        <v>0</v>
      </c>
      <c r="EB62" s="541">
        <f t="shared" si="23"/>
        <v>0</v>
      </c>
      <c r="EC62" s="541">
        <f t="shared" si="23"/>
        <v>0</v>
      </c>
      <c r="ED62" s="541">
        <f t="shared" si="23"/>
        <v>0</v>
      </c>
      <c r="EE62" s="541">
        <f t="shared" si="23"/>
        <v>0</v>
      </c>
      <c r="EF62" s="541">
        <f t="shared" si="23"/>
        <v>0</v>
      </c>
      <c r="EG62" s="541">
        <f t="shared" si="23"/>
        <v>0</v>
      </c>
    </row>
    <row r="64" spans="5:137" ht="12.75">
      <c r="E64" s="538" t="str">
        <f>E$57</f>
        <v>VAT - paid on capex</v>
      </c>
      <c r="G64" s="539" t="str">
        <f>G$57</f>
        <v>EUR 000s</v>
      </c>
      <c r="H64" s="539">
        <f>H$57</f>
        <v>56710.5</v>
      </c>
      <c r="J64" s="539">
        <f t="shared" si="24" ref="J64:EG64">J$57</f>
        <v>0</v>
      </c>
      <c r="K64" s="539">
        <f t="shared" si="24"/>
        <v>0</v>
      </c>
      <c r="L64" s="539">
        <f t="shared" si="24"/>
        <v>0</v>
      </c>
      <c r="M64" s="539">
        <f t="shared" si="24"/>
        <v>2658.3125</v>
      </c>
      <c r="N64" s="539">
        <f t="shared" si="24"/>
        <v>2723.9375</v>
      </c>
      <c r="O64" s="539">
        <f t="shared" si="24"/>
        <v>2658.3125</v>
      </c>
      <c r="P64" s="539">
        <f t="shared" si="24"/>
        <v>2723.9375</v>
      </c>
      <c r="Q64" s="539">
        <f t="shared" si="24"/>
        <v>2658.3125</v>
      </c>
      <c r="R64" s="539">
        <f t="shared" si="24"/>
        <v>3388.390625</v>
      </c>
      <c r="S64" s="539">
        <f t="shared" si="24"/>
        <v>3527.84375</v>
      </c>
      <c r="T64" s="539">
        <f t="shared" si="24"/>
        <v>3593.46875</v>
      </c>
      <c r="U64" s="539">
        <f t="shared" si="24"/>
        <v>3659.09375</v>
      </c>
      <c r="V64" s="539">
        <f t="shared" si="24"/>
        <v>3396.59375</v>
      </c>
      <c r="W64" s="539">
        <f t="shared" si="24"/>
        <v>3363.78125</v>
      </c>
      <c r="X64" s="539">
        <f t="shared" si="24"/>
        <v>3002.84375</v>
      </c>
      <c r="Y64" s="539">
        <f t="shared" si="24"/>
        <v>2609.09375</v>
      </c>
      <c r="Z64" s="539">
        <f t="shared" si="24"/>
        <v>2412.21875</v>
      </c>
      <c r="AA64" s="539">
        <f t="shared" si="24"/>
        <v>2707.53125</v>
      </c>
      <c r="AB64" s="539">
        <f t="shared" si="24"/>
        <v>2838.78125</v>
      </c>
      <c r="AC64" s="539">
        <f t="shared" si="24"/>
        <v>2805.96875</v>
      </c>
      <c r="AD64" s="539">
        <f t="shared" si="24"/>
        <v>2535.265625</v>
      </c>
      <c r="AE64" s="539">
        <f t="shared" si="24"/>
        <v>1509.875</v>
      </c>
      <c r="AF64" s="539">
        <f t="shared" si="24"/>
        <v>1148.9375</v>
      </c>
      <c r="AG64" s="539">
        <f t="shared" si="24"/>
        <v>788</v>
      </c>
      <c r="AH64" s="539">
        <f t="shared" si="24"/>
        <v>0</v>
      </c>
      <c r="AI64" s="539">
        <f t="shared" si="24"/>
        <v>0</v>
      </c>
      <c r="AJ64" s="539">
        <f t="shared" si="24"/>
        <v>0</v>
      </c>
      <c r="AK64" s="539">
        <f t="shared" si="24"/>
        <v>0</v>
      </c>
      <c r="AL64" s="539">
        <f t="shared" si="24"/>
        <v>0</v>
      </c>
      <c r="AM64" s="539">
        <f t="shared" si="24"/>
        <v>0</v>
      </c>
      <c r="AN64" s="539">
        <f t="shared" si="24"/>
        <v>0</v>
      </c>
      <c r="AO64" s="539">
        <f t="shared" si="24"/>
        <v>0</v>
      </c>
      <c r="AP64" s="539">
        <f t="shared" si="24"/>
        <v>0</v>
      </c>
      <c r="AQ64" s="539">
        <f t="shared" si="24"/>
        <v>0</v>
      </c>
      <c r="AR64" s="539">
        <f t="shared" si="24"/>
        <v>0</v>
      </c>
      <c r="AS64" s="539">
        <f t="shared" si="24"/>
        <v>0</v>
      </c>
      <c r="AT64" s="539">
        <f t="shared" si="24"/>
        <v>0</v>
      </c>
      <c r="AU64" s="539">
        <f t="shared" si="24"/>
        <v>0</v>
      </c>
      <c r="AV64" s="539">
        <f t="shared" si="24"/>
        <v>0</v>
      </c>
      <c r="AW64" s="539">
        <f t="shared" si="24"/>
        <v>0</v>
      </c>
      <c r="AX64" s="539">
        <f t="shared" si="24"/>
        <v>0</v>
      </c>
      <c r="AY64" s="539">
        <f t="shared" si="24"/>
        <v>0</v>
      </c>
      <c r="AZ64" s="539">
        <f t="shared" si="24"/>
        <v>0</v>
      </c>
      <c r="BA64" s="539">
        <f t="shared" si="24"/>
        <v>0</v>
      </c>
      <c r="BB64" s="539">
        <f t="shared" si="24"/>
        <v>0</v>
      </c>
      <c r="BC64" s="539">
        <f t="shared" si="24"/>
        <v>0</v>
      </c>
      <c r="BD64" s="539">
        <f t="shared" si="24"/>
        <v>0</v>
      </c>
      <c r="BE64" s="539">
        <f t="shared" si="24"/>
        <v>0</v>
      </c>
      <c r="BF64" s="539">
        <f t="shared" si="24"/>
        <v>0</v>
      </c>
      <c r="BG64" s="539">
        <f t="shared" si="24"/>
        <v>0</v>
      </c>
      <c r="BH64" s="539">
        <f t="shared" si="24"/>
        <v>0</v>
      </c>
      <c r="BI64" s="539">
        <f t="shared" si="24"/>
        <v>0</v>
      </c>
      <c r="BJ64" s="539">
        <f t="shared" si="24"/>
        <v>0</v>
      </c>
      <c r="BK64" s="539">
        <f t="shared" si="24"/>
        <v>0</v>
      </c>
      <c r="BL64" s="539">
        <f t="shared" si="24"/>
        <v>0</v>
      </c>
      <c r="BM64" s="539">
        <f t="shared" si="24"/>
        <v>0</v>
      </c>
      <c r="BN64" s="539">
        <f t="shared" si="24"/>
        <v>0</v>
      </c>
      <c r="BO64" s="539">
        <f t="shared" si="24"/>
        <v>0</v>
      </c>
      <c r="BP64" s="539">
        <f t="shared" si="24"/>
        <v>0</v>
      </c>
      <c r="BQ64" s="539">
        <f t="shared" si="24"/>
        <v>0</v>
      </c>
      <c r="BR64" s="539">
        <f t="shared" si="24"/>
        <v>0</v>
      </c>
      <c r="BS64" s="539">
        <f t="shared" si="24"/>
        <v>0</v>
      </c>
      <c r="BT64" s="539">
        <f t="shared" si="24"/>
        <v>0</v>
      </c>
      <c r="BU64" s="539">
        <f t="shared" si="24"/>
        <v>0</v>
      </c>
      <c r="BV64" s="539">
        <f t="shared" si="24"/>
        <v>0</v>
      </c>
      <c r="BW64" s="539">
        <f t="shared" si="24"/>
        <v>0</v>
      </c>
      <c r="BX64" s="539">
        <f t="shared" si="24"/>
        <v>0</v>
      </c>
      <c r="BY64" s="539">
        <f t="shared" si="24"/>
        <v>0</v>
      </c>
      <c r="BZ64" s="539">
        <f t="shared" si="24"/>
        <v>0</v>
      </c>
      <c r="CA64" s="539">
        <f t="shared" si="24"/>
        <v>0</v>
      </c>
      <c r="CB64" s="539">
        <f t="shared" si="24"/>
        <v>0</v>
      </c>
      <c r="CC64" s="539">
        <f t="shared" si="24"/>
        <v>0</v>
      </c>
      <c r="CD64" s="539">
        <f t="shared" si="24"/>
        <v>0</v>
      </c>
      <c r="CE64" s="539">
        <f t="shared" si="24"/>
        <v>0</v>
      </c>
      <c r="CF64" s="539">
        <f t="shared" si="24"/>
        <v>0</v>
      </c>
      <c r="CG64" s="539">
        <f t="shared" si="24"/>
        <v>0</v>
      </c>
      <c r="CH64" s="539">
        <f t="shared" si="24"/>
        <v>0</v>
      </c>
      <c r="CI64" s="539">
        <f t="shared" si="24"/>
        <v>0</v>
      </c>
      <c r="CJ64" s="539">
        <f t="shared" si="24"/>
        <v>0</v>
      </c>
      <c r="CK64" s="539">
        <f t="shared" si="24"/>
        <v>0</v>
      </c>
      <c r="CL64" s="539">
        <f t="shared" si="24"/>
        <v>0</v>
      </c>
      <c r="CM64" s="539">
        <f t="shared" si="24"/>
        <v>0</v>
      </c>
      <c r="CN64" s="539">
        <f t="shared" si="24"/>
        <v>0</v>
      </c>
      <c r="CO64" s="539">
        <f t="shared" si="24"/>
        <v>0</v>
      </c>
      <c r="CP64" s="539">
        <f t="shared" si="24"/>
        <v>0</v>
      </c>
      <c r="CQ64" s="539">
        <f t="shared" si="24"/>
        <v>0</v>
      </c>
      <c r="CR64" s="539">
        <f t="shared" si="24"/>
        <v>0</v>
      </c>
      <c r="CS64" s="539">
        <f t="shared" si="24"/>
        <v>0</v>
      </c>
      <c r="CT64" s="539">
        <f t="shared" si="24"/>
        <v>0</v>
      </c>
      <c r="CU64" s="539">
        <f t="shared" si="24"/>
        <v>0</v>
      </c>
      <c r="CV64" s="539">
        <f t="shared" si="24"/>
        <v>0</v>
      </c>
      <c r="CW64" s="539">
        <f t="shared" si="24"/>
        <v>0</v>
      </c>
      <c r="CX64" s="539">
        <f t="shared" si="24"/>
        <v>0</v>
      </c>
      <c r="CY64" s="539">
        <f t="shared" si="24"/>
        <v>0</v>
      </c>
      <c r="CZ64" s="539">
        <f t="shared" si="24"/>
        <v>0</v>
      </c>
      <c r="DA64" s="539">
        <f t="shared" si="24"/>
        <v>0</v>
      </c>
      <c r="DB64" s="539">
        <f t="shared" si="24"/>
        <v>0</v>
      </c>
      <c r="DC64" s="539">
        <f t="shared" si="24"/>
        <v>0</v>
      </c>
      <c r="DD64" s="539">
        <f t="shared" si="24"/>
        <v>0</v>
      </c>
      <c r="DE64" s="539">
        <f t="shared" si="24"/>
        <v>0</v>
      </c>
      <c r="DF64" s="539">
        <f t="shared" si="24"/>
        <v>0</v>
      </c>
      <c r="DG64" s="539">
        <f t="shared" si="24"/>
        <v>0</v>
      </c>
      <c r="DH64" s="539">
        <f t="shared" si="24"/>
        <v>0</v>
      </c>
      <c r="DI64" s="539">
        <f t="shared" si="24"/>
        <v>0</v>
      </c>
      <c r="DJ64" s="539">
        <f t="shared" si="24"/>
        <v>0</v>
      </c>
      <c r="DK64" s="539">
        <f t="shared" si="24"/>
        <v>0</v>
      </c>
      <c r="DL64" s="539">
        <f t="shared" si="24"/>
        <v>0</v>
      </c>
      <c r="DM64" s="539">
        <f t="shared" si="24"/>
        <v>0</v>
      </c>
      <c r="DN64" s="539">
        <f t="shared" si="24"/>
        <v>0</v>
      </c>
      <c r="DO64" s="539">
        <f t="shared" si="24"/>
        <v>0</v>
      </c>
      <c r="DP64" s="539">
        <f t="shared" si="24"/>
        <v>0</v>
      </c>
      <c r="DQ64" s="539">
        <f t="shared" si="24"/>
        <v>0</v>
      </c>
      <c r="DR64" s="539">
        <f t="shared" si="24"/>
        <v>0</v>
      </c>
      <c r="DS64" s="539">
        <f t="shared" si="24"/>
        <v>0</v>
      </c>
      <c r="DT64" s="539">
        <f t="shared" si="24"/>
        <v>0</v>
      </c>
      <c r="DU64" s="539">
        <f t="shared" si="24"/>
        <v>0</v>
      </c>
      <c r="DV64" s="539">
        <f t="shared" si="24"/>
        <v>0</v>
      </c>
      <c r="DW64" s="539">
        <f t="shared" si="24"/>
        <v>0</v>
      </c>
      <c r="DX64" s="539">
        <f t="shared" si="24"/>
        <v>0</v>
      </c>
      <c r="DY64" s="539">
        <f t="shared" si="24"/>
        <v>0</v>
      </c>
      <c r="DZ64" s="539">
        <f t="shared" si="24"/>
        <v>0</v>
      </c>
      <c r="EA64" s="539">
        <f t="shared" si="24"/>
        <v>0</v>
      </c>
      <c r="EB64" s="539">
        <f t="shared" si="24"/>
        <v>0</v>
      </c>
      <c r="EC64" s="539">
        <f t="shared" si="24"/>
        <v>0</v>
      </c>
      <c r="ED64" s="539">
        <f t="shared" si="24"/>
        <v>0</v>
      </c>
      <c r="EE64" s="539">
        <f t="shared" si="24"/>
        <v>0</v>
      </c>
      <c r="EF64" s="539">
        <f t="shared" si="24"/>
        <v>0</v>
      </c>
      <c r="EG64" s="539">
        <f t="shared" si="24"/>
        <v>0</v>
      </c>
    </row>
    <row r="65" spans="5:137" ht="12.75">
      <c r="E65" s="538" t="str">
        <f>E$62</f>
        <v>VAT - refund received</v>
      </c>
      <c r="G65" s="539" t="str">
        <f>G$62</f>
        <v>EUR 000s</v>
      </c>
      <c r="H65" s="539">
        <f>H$62</f>
        <v>56710.5</v>
      </c>
      <c r="J65" s="539">
        <f t="shared" si="25" ref="J65:EG65">J$62</f>
        <v>0</v>
      </c>
      <c r="K65" s="539">
        <f t="shared" si="25"/>
        <v>0</v>
      </c>
      <c r="L65" s="539">
        <f t="shared" si="25"/>
        <v>0</v>
      </c>
      <c r="M65" s="539">
        <f t="shared" si="25"/>
        <v>0</v>
      </c>
      <c r="N65" s="539">
        <f t="shared" si="25"/>
        <v>0</v>
      </c>
      <c r="O65" s="539">
        <f t="shared" si="25"/>
        <v>0</v>
      </c>
      <c r="P65" s="539">
        <f t="shared" si="25"/>
        <v>2658.3125</v>
      </c>
      <c r="Q65" s="539">
        <f t="shared" si="25"/>
        <v>2723.9375</v>
      </c>
      <c r="R65" s="539">
        <f t="shared" si="25"/>
        <v>2658.3125</v>
      </c>
      <c r="S65" s="539">
        <f t="shared" si="25"/>
        <v>2723.9375</v>
      </c>
      <c r="T65" s="539">
        <f t="shared" si="25"/>
        <v>2658.3125</v>
      </c>
      <c r="U65" s="539">
        <f t="shared" si="25"/>
        <v>3388.390625</v>
      </c>
      <c r="V65" s="539">
        <f t="shared" si="25"/>
        <v>3527.84375</v>
      </c>
      <c r="W65" s="539">
        <f t="shared" si="25"/>
        <v>3593.46875</v>
      </c>
      <c r="X65" s="539">
        <f t="shared" si="25"/>
        <v>3659.09375</v>
      </c>
      <c r="Y65" s="539">
        <f t="shared" si="25"/>
        <v>3396.59375</v>
      </c>
      <c r="Z65" s="539">
        <f t="shared" si="25"/>
        <v>3363.78125</v>
      </c>
      <c r="AA65" s="539">
        <f t="shared" si="25"/>
        <v>3002.84375</v>
      </c>
      <c r="AB65" s="539">
        <f t="shared" si="25"/>
        <v>2609.09375</v>
      </c>
      <c r="AC65" s="539">
        <f t="shared" si="25"/>
        <v>2412.21875</v>
      </c>
      <c r="AD65" s="539">
        <f t="shared" si="25"/>
        <v>2707.53125</v>
      </c>
      <c r="AE65" s="539">
        <f t="shared" si="25"/>
        <v>2838.78125</v>
      </c>
      <c r="AF65" s="539">
        <f t="shared" si="25"/>
        <v>2805.96875</v>
      </c>
      <c r="AG65" s="539">
        <f t="shared" si="25"/>
        <v>2535.265625</v>
      </c>
      <c r="AH65" s="539">
        <f t="shared" si="25"/>
        <v>3446.8125</v>
      </c>
      <c r="AI65" s="539">
        <f t="shared" si="25"/>
        <v>0</v>
      </c>
      <c r="AJ65" s="539">
        <f t="shared" si="25"/>
        <v>0</v>
      </c>
      <c r="AK65" s="539">
        <f t="shared" si="25"/>
        <v>0</v>
      </c>
      <c r="AL65" s="539">
        <f t="shared" si="25"/>
        <v>0</v>
      </c>
      <c r="AM65" s="539">
        <f t="shared" si="25"/>
        <v>0</v>
      </c>
      <c r="AN65" s="539">
        <f t="shared" si="25"/>
        <v>0</v>
      </c>
      <c r="AO65" s="539">
        <f t="shared" si="25"/>
        <v>0</v>
      </c>
      <c r="AP65" s="539">
        <f t="shared" si="25"/>
        <v>0</v>
      </c>
      <c r="AQ65" s="539">
        <f t="shared" si="25"/>
        <v>0</v>
      </c>
      <c r="AR65" s="539">
        <f t="shared" si="25"/>
        <v>0</v>
      </c>
      <c r="AS65" s="539">
        <f t="shared" si="25"/>
        <v>0</v>
      </c>
      <c r="AT65" s="539">
        <f t="shared" si="25"/>
        <v>0</v>
      </c>
      <c r="AU65" s="539">
        <f t="shared" si="25"/>
        <v>0</v>
      </c>
      <c r="AV65" s="539">
        <f t="shared" si="25"/>
        <v>0</v>
      </c>
      <c r="AW65" s="539">
        <f t="shared" si="25"/>
        <v>0</v>
      </c>
      <c r="AX65" s="539">
        <f t="shared" si="25"/>
        <v>0</v>
      </c>
      <c r="AY65" s="539">
        <f t="shared" si="25"/>
        <v>0</v>
      </c>
      <c r="AZ65" s="539">
        <f t="shared" si="25"/>
        <v>0</v>
      </c>
      <c r="BA65" s="539">
        <f t="shared" si="25"/>
        <v>0</v>
      </c>
      <c r="BB65" s="539">
        <f t="shared" si="25"/>
        <v>0</v>
      </c>
      <c r="BC65" s="539">
        <f t="shared" si="25"/>
        <v>0</v>
      </c>
      <c r="BD65" s="539">
        <f t="shared" si="25"/>
        <v>0</v>
      </c>
      <c r="BE65" s="539">
        <f t="shared" si="25"/>
        <v>0</v>
      </c>
      <c r="BF65" s="539">
        <f t="shared" si="25"/>
        <v>0</v>
      </c>
      <c r="BG65" s="539">
        <f t="shared" si="25"/>
        <v>0</v>
      </c>
      <c r="BH65" s="539">
        <f t="shared" si="25"/>
        <v>0</v>
      </c>
      <c r="BI65" s="539">
        <f t="shared" si="25"/>
        <v>0</v>
      </c>
      <c r="BJ65" s="539">
        <f t="shared" si="25"/>
        <v>0</v>
      </c>
      <c r="BK65" s="539">
        <f t="shared" si="25"/>
        <v>0</v>
      </c>
      <c r="BL65" s="539">
        <f t="shared" si="25"/>
        <v>0</v>
      </c>
      <c r="BM65" s="539">
        <f t="shared" si="25"/>
        <v>0</v>
      </c>
      <c r="BN65" s="539">
        <f t="shared" si="25"/>
        <v>0</v>
      </c>
      <c r="BO65" s="539">
        <f t="shared" si="25"/>
        <v>0</v>
      </c>
      <c r="BP65" s="539">
        <f t="shared" si="25"/>
        <v>0</v>
      </c>
      <c r="BQ65" s="539">
        <f t="shared" si="25"/>
        <v>0</v>
      </c>
      <c r="BR65" s="539">
        <f t="shared" si="25"/>
        <v>0</v>
      </c>
      <c r="BS65" s="539">
        <f t="shared" si="25"/>
        <v>0</v>
      </c>
      <c r="BT65" s="539">
        <f t="shared" si="25"/>
        <v>0</v>
      </c>
      <c r="BU65" s="539">
        <f t="shared" si="25"/>
        <v>0</v>
      </c>
      <c r="BV65" s="539">
        <f t="shared" si="25"/>
        <v>0</v>
      </c>
      <c r="BW65" s="539">
        <f t="shared" si="25"/>
        <v>0</v>
      </c>
      <c r="BX65" s="539">
        <f t="shared" si="25"/>
        <v>0</v>
      </c>
      <c r="BY65" s="539">
        <f t="shared" si="25"/>
        <v>0</v>
      </c>
      <c r="BZ65" s="539">
        <f t="shared" si="25"/>
        <v>0</v>
      </c>
      <c r="CA65" s="539">
        <f t="shared" si="25"/>
        <v>0</v>
      </c>
      <c r="CB65" s="539">
        <f t="shared" si="25"/>
        <v>0</v>
      </c>
      <c r="CC65" s="539">
        <f t="shared" si="25"/>
        <v>0</v>
      </c>
      <c r="CD65" s="539">
        <f t="shared" si="25"/>
        <v>0</v>
      </c>
      <c r="CE65" s="539">
        <f t="shared" si="25"/>
        <v>0</v>
      </c>
      <c r="CF65" s="539">
        <f t="shared" si="25"/>
        <v>0</v>
      </c>
      <c r="CG65" s="539">
        <f t="shared" si="25"/>
        <v>0</v>
      </c>
      <c r="CH65" s="539">
        <f t="shared" si="25"/>
        <v>0</v>
      </c>
      <c r="CI65" s="539">
        <f t="shared" si="25"/>
        <v>0</v>
      </c>
      <c r="CJ65" s="539">
        <f t="shared" si="25"/>
        <v>0</v>
      </c>
      <c r="CK65" s="539">
        <f t="shared" si="25"/>
        <v>0</v>
      </c>
      <c r="CL65" s="539">
        <f t="shared" si="25"/>
        <v>0</v>
      </c>
      <c r="CM65" s="539">
        <f t="shared" si="25"/>
        <v>0</v>
      </c>
      <c r="CN65" s="539">
        <f t="shared" si="25"/>
        <v>0</v>
      </c>
      <c r="CO65" s="539">
        <f t="shared" si="25"/>
        <v>0</v>
      </c>
      <c r="CP65" s="539">
        <f t="shared" si="25"/>
        <v>0</v>
      </c>
      <c r="CQ65" s="539">
        <f t="shared" si="25"/>
        <v>0</v>
      </c>
      <c r="CR65" s="539">
        <f t="shared" si="25"/>
        <v>0</v>
      </c>
      <c r="CS65" s="539">
        <f t="shared" si="25"/>
        <v>0</v>
      </c>
      <c r="CT65" s="539">
        <f t="shared" si="25"/>
        <v>0</v>
      </c>
      <c r="CU65" s="539">
        <f t="shared" si="25"/>
        <v>0</v>
      </c>
      <c r="CV65" s="539">
        <f t="shared" si="25"/>
        <v>0</v>
      </c>
      <c r="CW65" s="539">
        <f t="shared" si="25"/>
        <v>0</v>
      </c>
      <c r="CX65" s="539">
        <f t="shared" si="25"/>
        <v>0</v>
      </c>
      <c r="CY65" s="539">
        <f t="shared" si="25"/>
        <v>0</v>
      </c>
      <c r="CZ65" s="539">
        <f t="shared" si="25"/>
        <v>0</v>
      </c>
      <c r="DA65" s="539">
        <f t="shared" si="25"/>
        <v>0</v>
      </c>
      <c r="DB65" s="539">
        <f t="shared" si="25"/>
        <v>0</v>
      </c>
      <c r="DC65" s="539">
        <f t="shared" si="25"/>
        <v>0</v>
      </c>
      <c r="DD65" s="539">
        <f t="shared" si="25"/>
        <v>0</v>
      </c>
      <c r="DE65" s="539">
        <f t="shared" si="25"/>
        <v>0</v>
      </c>
      <c r="DF65" s="539">
        <f t="shared" si="25"/>
        <v>0</v>
      </c>
      <c r="DG65" s="539">
        <f t="shared" si="25"/>
        <v>0</v>
      </c>
      <c r="DH65" s="539">
        <f t="shared" si="25"/>
        <v>0</v>
      </c>
      <c r="DI65" s="539">
        <f t="shared" si="25"/>
        <v>0</v>
      </c>
      <c r="DJ65" s="539">
        <f t="shared" si="25"/>
        <v>0</v>
      </c>
      <c r="DK65" s="539">
        <f t="shared" si="25"/>
        <v>0</v>
      </c>
      <c r="DL65" s="539">
        <f t="shared" si="25"/>
        <v>0</v>
      </c>
      <c r="DM65" s="539">
        <f t="shared" si="25"/>
        <v>0</v>
      </c>
      <c r="DN65" s="539">
        <f t="shared" si="25"/>
        <v>0</v>
      </c>
      <c r="DO65" s="539">
        <f t="shared" si="25"/>
        <v>0</v>
      </c>
      <c r="DP65" s="539">
        <f t="shared" si="25"/>
        <v>0</v>
      </c>
      <c r="DQ65" s="539">
        <f t="shared" si="25"/>
        <v>0</v>
      </c>
      <c r="DR65" s="539">
        <f t="shared" si="25"/>
        <v>0</v>
      </c>
      <c r="DS65" s="539">
        <f t="shared" si="25"/>
        <v>0</v>
      </c>
      <c r="DT65" s="539">
        <f t="shared" si="25"/>
        <v>0</v>
      </c>
      <c r="DU65" s="539">
        <f t="shared" si="25"/>
        <v>0</v>
      </c>
      <c r="DV65" s="539">
        <f t="shared" si="25"/>
        <v>0</v>
      </c>
      <c r="DW65" s="539">
        <f t="shared" si="25"/>
        <v>0</v>
      </c>
      <c r="DX65" s="539">
        <f t="shared" si="25"/>
        <v>0</v>
      </c>
      <c r="DY65" s="539">
        <f t="shared" si="25"/>
        <v>0</v>
      </c>
      <c r="DZ65" s="539">
        <f t="shared" si="25"/>
        <v>0</v>
      </c>
      <c r="EA65" s="539">
        <f t="shared" si="25"/>
        <v>0</v>
      </c>
      <c r="EB65" s="539">
        <f t="shared" si="25"/>
        <v>0</v>
      </c>
      <c r="EC65" s="539">
        <f t="shared" si="25"/>
        <v>0</v>
      </c>
      <c r="ED65" s="539">
        <f t="shared" si="25"/>
        <v>0</v>
      </c>
      <c r="EE65" s="539">
        <f t="shared" si="25"/>
        <v>0</v>
      </c>
      <c r="EF65" s="539">
        <f t="shared" si="25"/>
        <v>0</v>
      </c>
      <c r="EG65" s="539">
        <f t="shared" si="25"/>
        <v>0</v>
      </c>
    </row>
    <row r="66" spans="5:137" ht="12.75">
      <c r="E66" s="540" t="s">
        <v>213</v>
      </c>
      <c r="G66" s="541" t="s">
        <v>30</v>
      </c>
      <c r="H66" s="541">
        <f>SUM(J66:EG66)</f>
        <v>167406.5625</v>
      </c>
      <c r="J66" s="541">
        <f t="shared" si="26" ref="J66:EG66">I66+J64-J65</f>
        <v>0</v>
      </c>
      <c r="K66" s="541">
        <f t="shared" si="26"/>
        <v>0</v>
      </c>
      <c r="L66" s="541">
        <f t="shared" si="26"/>
        <v>0</v>
      </c>
      <c r="M66" s="541">
        <f t="shared" si="26"/>
        <v>2658.3125</v>
      </c>
      <c r="N66" s="541">
        <f t="shared" si="26"/>
        <v>5382.25</v>
      </c>
      <c r="O66" s="541">
        <f t="shared" si="26"/>
        <v>8040.5625</v>
      </c>
      <c r="P66" s="541">
        <f t="shared" si="26"/>
        <v>8106.1875</v>
      </c>
      <c r="Q66" s="541">
        <f t="shared" si="26"/>
        <v>8040.5625</v>
      </c>
      <c r="R66" s="541">
        <f t="shared" si="26"/>
        <v>8770.640625</v>
      </c>
      <c r="S66" s="541">
        <f t="shared" si="26"/>
        <v>9574.546875</v>
      </c>
      <c r="T66" s="541">
        <f t="shared" si="26"/>
        <v>10509.703125</v>
      </c>
      <c r="U66" s="541">
        <f t="shared" si="26"/>
        <v>10780.40625</v>
      </c>
      <c r="V66" s="541">
        <f t="shared" si="26"/>
        <v>10649.15625</v>
      </c>
      <c r="W66" s="541">
        <f t="shared" si="26"/>
        <v>10419.46875</v>
      </c>
      <c r="X66" s="541">
        <f t="shared" si="26"/>
        <v>9763.21875</v>
      </c>
      <c r="Y66" s="541">
        <f t="shared" si="26"/>
        <v>8975.71875</v>
      </c>
      <c r="Z66" s="541">
        <f t="shared" si="26"/>
        <v>8024.15625</v>
      </c>
      <c r="AA66" s="541">
        <f t="shared" si="26"/>
        <v>7728.84375</v>
      </c>
      <c r="AB66" s="541">
        <f t="shared" si="26"/>
        <v>7958.53125</v>
      </c>
      <c r="AC66" s="541">
        <f t="shared" si="26"/>
        <v>8352.28125</v>
      </c>
      <c r="AD66" s="541">
        <f t="shared" si="26"/>
        <v>8180.015625</v>
      </c>
      <c r="AE66" s="541">
        <f t="shared" si="26"/>
        <v>6851.109375</v>
      </c>
      <c r="AF66" s="541">
        <f t="shared" si="26"/>
        <v>5194.078125</v>
      </c>
      <c r="AG66" s="541">
        <f t="shared" si="26"/>
        <v>3446.8125</v>
      </c>
      <c r="AH66" s="541">
        <f t="shared" si="26"/>
        <v>0</v>
      </c>
      <c r="AI66" s="541">
        <f t="shared" si="26"/>
        <v>0</v>
      </c>
      <c r="AJ66" s="541">
        <f t="shared" si="26"/>
        <v>0</v>
      </c>
      <c r="AK66" s="541">
        <f t="shared" si="26"/>
        <v>0</v>
      </c>
      <c r="AL66" s="541">
        <f t="shared" si="26"/>
        <v>0</v>
      </c>
      <c r="AM66" s="541">
        <f t="shared" si="26"/>
        <v>0</v>
      </c>
      <c r="AN66" s="541">
        <f t="shared" si="26"/>
        <v>0</v>
      </c>
      <c r="AO66" s="541">
        <f t="shared" si="26"/>
        <v>0</v>
      </c>
      <c r="AP66" s="541">
        <f t="shared" si="26"/>
        <v>0</v>
      </c>
      <c r="AQ66" s="541">
        <f t="shared" si="26"/>
        <v>0</v>
      </c>
      <c r="AR66" s="541">
        <f t="shared" si="26"/>
        <v>0</v>
      </c>
      <c r="AS66" s="541">
        <f t="shared" si="26"/>
        <v>0</v>
      </c>
      <c r="AT66" s="541">
        <f t="shared" si="26"/>
        <v>0</v>
      </c>
      <c r="AU66" s="541">
        <f t="shared" si="26"/>
        <v>0</v>
      </c>
      <c r="AV66" s="541">
        <f t="shared" si="26"/>
        <v>0</v>
      </c>
      <c r="AW66" s="541">
        <f t="shared" si="26"/>
        <v>0</v>
      </c>
      <c r="AX66" s="541">
        <f t="shared" si="26"/>
        <v>0</v>
      </c>
      <c r="AY66" s="541">
        <f t="shared" si="26"/>
        <v>0</v>
      </c>
      <c r="AZ66" s="541">
        <f t="shared" si="26"/>
        <v>0</v>
      </c>
      <c r="BA66" s="541">
        <f t="shared" si="26"/>
        <v>0</v>
      </c>
      <c r="BB66" s="541">
        <f t="shared" si="26"/>
        <v>0</v>
      </c>
      <c r="BC66" s="541">
        <f t="shared" si="26"/>
        <v>0</v>
      </c>
      <c r="BD66" s="541">
        <f t="shared" si="26"/>
        <v>0</v>
      </c>
      <c r="BE66" s="541">
        <f t="shared" si="26"/>
        <v>0</v>
      </c>
      <c r="BF66" s="541">
        <f t="shared" si="26"/>
        <v>0</v>
      </c>
      <c r="BG66" s="541">
        <f t="shared" si="26"/>
        <v>0</v>
      </c>
      <c r="BH66" s="541">
        <f t="shared" si="26"/>
        <v>0</v>
      </c>
      <c r="BI66" s="541">
        <f t="shared" si="26"/>
        <v>0</v>
      </c>
      <c r="BJ66" s="541">
        <f t="shared" si="26"/>
        <v>0</v>
      </c>
      <c r="BK66" s="541">
        <f t="shared" si="26"/>
        <v>0</v>
      </c>
      <c r="BL66" s="541">
        <f t="shared" si="26"/>
        <v>0</v>
      </c>
      <c r="BM66" s="541">
        <f t="shared" si="26"/>
        <v>0</v>
      </c>
      <c r="BN66" s="541">
        <f t="shared" si="26"/>
        <v>0</v>
      </c>
      <c r="BO66" s="541">
        <f t="shared" si="26"/>
        <v>0</v>
      </c>
      <c r="BP66" s="541">
        <f t="shared" si="26"/>
        <v>0</v>
      </c>
      <c r="BQ66" s="541">
        <f t="shared" si="26"/>
        <v>0</v>
      </c>
      <c r="BR66" s="541">
        <f t="shared" si="26"/>
        <v>0</v>
      </c>
      <c r="BS66" s="541">
        <f t="shared" si="26"/>
        <v>0</v>
      </c>
      <c r="BT66" s="541">
        <f t="shared" si="26"/>
        <v>0</v>
      </c>
      <c r="BU66" s="541">
        <f t="shared" si="26"/>
        <v>0</v>
      </c>
      <c r="BV66" s="541">
        <f t="shared" si="26"/>
        <v>0</v>
      </c>
      <c r="BW66" s="541">
        <f t="shared" si="26"/>
        <v>0</v>
      </c>
      <c r="BX66" s="541">
        <f t="shared" si="26"/>
        <v>0</v>
      </c>
      <c r="BY66" s="541">
        <f t="shared" si="26"/>
        <v>0</v>
      </c>
      <c r="BZ66" s="541">
        <f t="shared" si="26"/>
        <v>0</v>
      </c>
      <c r="CA66" s="541">
        <f t="shared" si="26"/>
        <v>0</v>
      </c>
      <c r="CB66" s="541">
        <f t="shared" si="26"/>
        <v>0</v>
      </c>
      <c r="CC66" s="541">
        <f t="shared" si="26"/>
        <v>0</v>
      </c>
      <c r="CD66" s="541">
        <f t="shared" si="26"/>
        <v>0</v>
      </c>
      <c r="CE66" s="541">
        <f t="shared" si="26"/>
        <v>0</v>
      </c>
      <c r="CF66" s="541">
        <f t="shared" si="26"/>
        <v>0</v>
      </c>
      <c r="CG66" s="541">
        <f t="shared" si="26"/>
        <v>0</v>
      </c>
      <c r="CH66" s="541">
        <f t="shared" si="26"/>
        <v>0</v>
      </c>
      <c r="CI66" s="541">
        <f t="shared" si="26"/>
        <v>0</v>
      </c>
      <c r="CJ66" s="541">
        <f t="shared" si="26"/>
        <v>0</v>
      </c>
      <c r="CK66" s="541">
        <f t="shared" si="26"/>
        <v>0</v>
      </c>
      <c r="CL66" s="541">
        <f t="shared" si="26"/>
        <v>0</v>
      </c>
      <c r="CM66" s="541">
        <f t="shared" si="26"/>
        <v>0</v>
      </c>
      <c r="CN66" s="541">
        <f t="shared" si="26"/>
        <v>0</v>
      </c>
      <c r="CO66" s="541">
        <f t="shared" si="26"/>
        <v>0</v>
      </c>
      <c r="CP66" s="541">
        <f t="shared" si="26"/>
        <v>0</v>
      </c>
      <c r="CQ66" s="541">
        <f t="shared" si="26"/>
        <v>0</v>
      </c>
      <c r="CR66" s="541">
        <f t="shared" si="26"/>
        <v>0</v>
      </c>
      <c r="CS66" s="541">
        <f t="shared" si="26"/>
        <v>0</v>
      </c>
      <c r="CT66" s="541">
        <f t="shared" si="26"/>
        <v>0</v>
      </c>
      <c r="CU66" s="541">
        <f t="shared" si="26"/>
        <v>0</v>
      </c>
      <c r="CV66" s="541">
        <f t="shared" si="26"/>
        <v>0</v>
      </c>
      <c r="CW66" s="541">
        <f t="shared" si="26"/>
        <v>0</v>
      </c>
      <c r="CX66" s="541">
        <f t="shared" si="26"/>
        <v>0</v>
      </c>
      <c r="CY66" s="541">
        <f t="shared" si="26"/>
        <v>0</v>
      </c>
      <c r="CZ66" s="541">
        <f t="shared" si="26"/>
        <v>0</v>
      </c>
      <c r="DA66" s="541">
        <f t="shared" si="26"/>
        <v>0</v>
      </c>
      <c r="DB66" s="541">
        <f t="shared" si="26"/>
        <v>0</v>
      </c>
      <c r="DC66" s="541">
        <f t="shared" si="26"/>
        <v>0</v>
      </c>
      <c r="DD66" s="541">
        <f t="shared" si="26"/>
        <v>0</v>
      </c>
      <c r="DE66" s="541">
        <f t="shared" si="26"/>
        <v>0</v>
      </c>
      <c r="DF66" s="541">
        <f t="shared" si="26"/>
        <v>0</v>
      </c>
      <c r="DG66" s="541">
        <f t="shared" si="26"/>
        <v>0</v>
      </c>
      <c r="DH66" s="541">
        <f t="shared" si="26"/>
        <v>0</v>
      </c>
      <c r="DI66" s="541">
        <f t="shared" si="26"/>
        <v>0</v>
      </c>
      <c r="DJ66" s="541">
        <f t="shared" si="26"/>
        <v>0</v>
      </c>
      <c r="DK66" s="541">
        <f t="shared" si="26"/>
        <v>0</v>
      </c>
      <c r="DL66" s="541">
        <f t="shared" si="26"/>
        <v>0</v>
      </c>
      <c r="DM66" s="541">
        <f t="shared" si="26"/>
        <v>0</v>
      </c>
      <c r="DN66" s="541">
        <f t="shared" si="26"/>
        <v>0</v>
      </c>
      <c r="DO66" s="541">
        <f t="shared" si="26"/>
        <v>0</v>
      </c>
      <c r="DP66" s="541">
        <f t="shared" si="26"/>
        <v>0</v>
      </c>
      <c r="DQ66" s="541">
        <f t="shared" si="26"/>
        <v>0</v>
      </c>
      <c r="DR66" s="541">
        <f t="shared" si="26"/>
        <v>0</v>
      </c>
      <c r="DS66" s="541">
        <f t="shared" si="26"/>
        <v>0</v>
      </c>
      <c r="DT66" s="541">
        <f t="shared" si="26"/>
        <v>0</v>
      </c>
      <c r="DU66" s="541">
        <f t="shared" si="26"/>
        <v>0</v>
      </c>
      <c r="DV66" s="541">
        <f t="shared" si="26"/>
        <v>0</v>
      </c>
      <c r="DW66" s="541">
        <f t="shared" si="26"/>
        <v>0</v>
      </c>
      <c r="DX66" s="541">
        <f t="shared" si="26"/>
        <v>0</v>
      </c>
      <c r="DY66" s="541">
        <f t="shared" si="26"/>
        <v>0</v>
      </c>
      <c r="DZ66" s="541">
        <f t="shared" si="26"/>
        <v>0</v>
      </c>
      <c r="EA66" s="541">
        <f t="shared" si="26"/>
        <v>0</v>
      </c>
      <c r="EB66" s="541">
        <f t="shared" si="26"/>
        <v>0</v>
      </c>
      <c r="EC66" s="541">
        <f t="shared" si="26"/>
        <v>0</v>
      </c>
      <c r="ED66" s="541">
        <f t="shared" si="26"/>
        <v>0</v>
      </c>
      <c r="EE66" s="541">
        <f t="shared" si="26"/>
        <v>0</v>
      </c>
      <c r="EF66" s="541">
        <f t="shared" si="26"/>
        <v>0</v>
      </c>
      <c r="EG66" s="541">
        <f t="shared" si="26"/>
        <v>0</v>
      </c>
    </row>
    <row r="68" spans="2:2" ht="12.75">
      <c r="B68" s="534" t="s">
        <v>214</v>
      </c>
    </row>
    <row r="69" spans="5:137" ht="12.75">
      <c r="E69" s="538" t="str">
        <f>E$80</f>
        <v>VAT facility - closing balance</v>
      </c>
      <c r="G69" s="539" t="str">
        <f>G$80</f>
        <v>EUR 000s</v>
      </c>
      <c r="H69" s="539">
        <f>H$80</f>
        <v>167406.5625</v>
      </c>
      <c r="J69" s="539">
        <f t="shared" si="27" ref="J69:EG69">J$80</f>
        <v>0</v>
      </c>
      <c r="K69" s="539">
        <f t="shared" si="27"/>
        <v>0</v>
      </c>
      <c r="L69" s="539">
        <f t="shared" si="27"/>
        <v>0</v>
      </c>
      <c r="M69" s="539">
        <f t="shared" si="27"/>
        <v>2658.3125</v>
      </c>
      <c r="N69" s="539">
        <f t="shared" si="27"/>
        <v>5382.25</v>
      </c>
      <c r="O69" s="539">
        <f t="shared" si="27"/>
        <v>8040.5625</v>
      </c>
      <c r="P69" s="539">
        <f t="shared" si="27"/>
        <v>8106.1875</v>
      </c>
      <c r="Q69" s="539">
        <f t="shared" si="27"/>
        <v>8040.5625</v>
      </c>
      <c r="R69" s="539">
        <f t="shared" si="27"/>
        <v>8770.640625</v>
      </c>
      <c r="S69" s="539">
        <f t="shared" si="27"/>
        <v>9574.546875</v>
      </c>
      <c r="T69" s="539">
        <f t="shared" si="27"/>
        <v>10509.703125</v>
      </c>
      <c r="U69" s="539">
        <f t="shared" si="27"/>
        <v>10780.40625</v>
      </c>
      <c r="V69" s="539">
        <f t="shared" si="27"/>
        <v>10649.15625</v>
      </c>
      <c r="W69" s="539">
        <f t="shared" si="27"/>
        <v>10419.46875</v>
      </c>
      <c r="X69" s="539">
        <f t="shared" si="27"/>
        <v>9763.21875</v>
      </c>
      <c r="Y69" s="539">
        <f t="shared" si="27"/>
        <v>8975.71875</v>
      </c>
      <c r="Z69" s="539">
        <f t="shared" si="27"/>
        <v>8024.15625</v>
      </c>
      <c r="AA69" s="539">
        <f t="shared" si="27"/>
        <v>7728.84375</v>
      </c>
      <c r="AB69" s="539">
        <f t="shared" si="27"/>
        <v>7958.53125</v>
      </c>
      <c r="AC69" s="539">
        <f t="shared" si="27"/>
        <v>8352.28125</v>
      </c>
      <c r="AD69" s="539">
        <f t="shared" si="27"/>
        <v>8180.015625</v>
      </c>
      <c r="AE69" s="539">
        <f t="shared" si="27"/>
        <v>6851.109375</v>
      </c>
      <c r="AF69" s="539">
        <f t="shared" si="27"/>
        <v>5194.078125</v>
      </c>
      <c r="AG69" s="539">
        <f t="shared" si="27"/>
        <v>3446.8125</v>
      </c>
      <c r="AH69" s="539">
        <f t="shared" si="27"/>
        <v>0</v>
      </c>
      <c r="AI69" s="539">
        <f t="shared" si="27"/>
        <v>0</v>
      </c>
      <c r="AJ69" s="539">
        <f t="shared" si="27"/>
        <v>0</v>
      </c>
      <c r="AK69" s="539">
        <f t="shared" si="27"/>
        <v>0</v>
      </c>
      <c r="AL69" s="539">
        <f t="shared" si="27"/>
        <v>0</v>
      </c>
      <c r="AM69" s="539">
        <f t="shared" si="27"/>
        <v>0</v>
      </c>
      <c r="AN69" s="539">
        <f t="shared" si="27"/>
        <v>0</v>
      </c>
      <c r="AO69" s="539">
        <f t="shared" si="27"/>
        <v>0</v>
      </c>
      <c r="AP69" s="539">
        <f t="shared" si="27"/>
        <v>0</v>
      </c>
      <c r="AQ69" s="539">
        <f t="shared" si="27"/>
        <v>0</v>
      </c>
      <c r="AR69" s="539">
        <f t="shared" si="27"/>
        <v>0</v>
      </c>
      <c r="AS69" s="539">
        <f t="shared" si="27"/>
        <v>0</v>
      </c>
      <c r="AT69" s="539">
        <f t="shared" si="27"/>
        <v>0</v>
      </c>
      <c r="AU69" s="539">
        <f t="shared" si="27"/>
        <v>0</v>
      </c>
      <c r="AV69" s="539">
        <f t="shared" si="27"/>
        <v>0</v>
      </c>
      <c r="AW69" s="539">
        <f t="shared" si="27"/>
        <v>0</v>
      </c>
      <c r="AX69" s="539">
        <f t="shared" si="27"/>
        <v>0</v>
      </c>
      <c r="AY69" s="539">
        <f t="shared" si="27"/>
        <v>0</v>
      </c>
      <c r="AZ69" s="539">
        <f t="shared" si="27"/>
        <v>0</v>
      </c>
      <c r="BA69" s="539">
        <f t="shared" si="27"/>
        <v>0</v>
      </c>
      <c r="BB69" s="539">
        <f t="shared" si="27"/>
        <v>0</v>
      </c>
      <c r="BC69" s="539">
        <f t="shared" si="27"/>
        <v>0</v>
      </c>
      <c r="BD69" s="539">
        <f t="shared" si="27"/>
        <v>0</v>
      </c>
      <c r="BE69" s="539">
        <f t="shared" si="27"/>
        <v>0</v>
      </c>
      <c r="BF69" s="539">
        <f t="shared" si="27"/>
        <v>0</v>
      </c>
      <c r="BG69" s="539">
        <f t="shared" si="27"/>
        <v>0</v>
      </c>
      <c r="BH69" s="539">
        <f t="shared" si="27"/>
        <v>0</v>
      </c>
      <c r="BI69" s="539">
        <f t="shared" si="27"/>
        <v>0</v>
      </c>
      <c r="BJ69" s="539">
        <f t="shared" si="27"/>
        <v>0</v>
      </c>
      <c r="BK69" s="539">
        <f t="shared" si="27"/>
        <v>0</v>
      </c>
      <c r="BL69" s="539">
        <f t="shared" si="27"/>
        <v>0</v>
      </c>
      <c r="BM69" s="539">
        <f t="shared" si="27"/>
        <v>0</v>
      </c>
      <c r="BN69" s="539">
        <f t="shared" si="27"/>
        <v>0</v>
      </c>
      <c r="BO69" s="539">
        <f t="shared" si="27"/>
        <v>0</v>
      </c>
      <c r="BP69" s="539">
        <f t="shared" si="27"/>
        <v>0</v>
      </c>
      <c r="BQ69" s="539">
        <f t="shared" si="27"/>
        <v>0</v>
      </c>
      <c r="BR69" s="539">
        <f t="shared" si="27"/>
        <v>0</v>
      </c>
      <c r="BS69" s="539">
        <f t="shared" si="27"/>
        <v>0</v>
      </c>
      <c r="BT69" s="539">
        <f t="shared" si="27"/>
        <v>0</v>
      </c>
      <c r="BU69" s="539">
        <f t="shared" si="27"/>
        <v>0</v>
      </c>
      <c r="BV69" s="539">
        <f t="shared" si="27"/>
        <v>0</v>
      </c>
      <c r="BW69" s="539">
        <f t="shared" si="27"/>
        <v>0</v>
      </c>
      <c r="BX69" s="539">
        <f t="shared" si="27"/>
        <v>0</v>
      </c>
      <c r="BY69" s="539">
        <f t="shared" si="27"/>
        <v>0</v>
      </c>
      <c r="BZ69" s="539">
        <f t="shared" si="27"/>
        <v>0</v>
      </c>
      <c r="CA69" s="539">
        <f t="shared" si="27"/>
        <v>0</v>
      </c>
      <c r="CB69" s="539">
        <f t="shared" si="27"/>
        <v>0</v>
      </c>
      <c r="CC69" s="539">
        <f t="shared" si="27"/>
        <v>0</v>
      </c>
      <c r="CD69" s="539">
        <f t="shared" si="27"/>
        <v>0</v>
      </c>
      <c r="CE69" s="539">
        <f t="shared" si="27"/>
        <v>0</v>
      </c>
      <c r="CF69" s="539">
        <f t="shared" si="27"/>
        <v>0</v>
      </c>
      <c r="CG69" s="539">
        <f t="shared" si="27"/>
        <v>0</v>
      </c>
      <c r="CH69" s="539">
        <f t="shared" si="27"/>
        <v>0</v>
      </c>
      <c r="CI69" s="539">
        <f t="shared" si="27"/>
        <v>0</v>
      </c>
      <c r="CJ69" s="539">
        <f t="shared" si="27"/>
        <v>0</v>
      </c>
      <c r="CK69" s="539">
        <f t="shared" si="27"/>
        <v>0</v>
      </c>
      <c r="CL69" s="539">
        <f t="shared" si="27"/>
        <v>0</v>
      </c>
      <c r="CM69" s="539">
        <f t="shared" si="27"/>
        <v>0</v>
      </c>
      <c r="CN69" s="539">
        <f t="shared" si="27"/>
        <v>0</v>
      </c>
      <c r="CO69" s="539">
        <f t="shared" si="27"/>
        <v>0</v>
      </c>
      <c r="CP69" s="539">
        <f t="shared" si="27"/>
        <v>0</v>
      </c>
      <c r="CQ69" s="539">
        <f t="shared" si="27"/>
        <v>0</v>
      </c>
      <c r="CR69" s="539">
        <f t="shared" si="27"/>
        <v>0</v>
      </c>
      <c r="CS69" s="539">
        <f t="shared" si="27"/>
        <v>0</v>
      </c>
      <c r="CT69" s="539">
        <f t="shared" si="27"/>
        <v>0</v>
      </c>
      <c r="CU69" s="539">
        <f t="shared" si="27"/>
        <v>0</v>
      </c>
      <c r="CV69" s="539">
        <f t="shared" si="27"/>
        <v>0</v>
      </c>
      <c r="CW69" s="539">
        <f t="shared" si="27"/>
        <v>0</v>
      </c>
      <c r="CX69" s="539">
        <f t="shared" si="27"/>
        <v>0</v>
      </c>
      <c r="CY69" s="539">
        <f t="shared" si="27"/>
        <v>0</v>
      </c>
      <c r="CZ69" s="539">
        <f t="shared" si="27"/>
        <v>0</v>
      </c>
      <c r="DA69" s="539">
        <f t="shared" si="27"/>
        <v>0</v>
      </c>
      <c r="DB69" s="539">
        <f t="shared" si="27"/>
        <v>0</v>
      </c>
      <c r="DC69" s="539">
        <f t="shared" si="27"/>
        <v>0</v>
      </c>
      <c r="DD69" s="539">
        <f t="shared" si="27"/>
        <v>0</v>
      </c>
      <c r="DE69" s="539">
        <f t="shared" si="27"/>
        <v>0</v>
      </c>
      <c r="DF69" s="539">
        <f t="shared" si="27"/>
        <v>0</v>
      </c>
      <c r="DG69" s="539">
        <f t="shared" si="27"/>
        <v>0</v>
      </c>
      <c r="DH69" s="539">
        <f t="shared" si="27"/>
        <v>0</v>
      </c>
      <c r="DI69" s="539">
        <f t="shared" si="27"/>
        <v>0</v>
      </c>
      <c r="DJ69" s="539">
        <f t="shared" si="27"/>
        <v>0</v>
      </c>
      <c r="DK69" s="539">
        <f t="shared" si="27"/>
        <v>0</v>
      </c>
      <c r="DL69" s="539">
        <f t="shared" si="27"/>
        <v>0</v>
      </c>
      <c r="DM69" s="539">
        <f t="shared" si="27"/>
        <v>0</v>
      </c>
      <c r="DN69" s="539">
        <f t="shared" si="27"/>
        <v>0</v>
      </c>
      <c r="DO69" s="539">
        <f t="shared" si="27"/>
        <v>0</v>
      </c>
      <c r="DP69" s="539">
        <f t="shared" si="27"/>
        <v>0</v>
      </c>
      <c r="DQ69" s="539">
        <f t="shared" si="27"/>
        <v>0</v>
      </c>
      <c r="DR69" s="539">
        <f t="shared" si="27"/>
        <v>0</v>
      </c>
      <c r="DS69" s="539">
        <f t="shared" si="27"/>
        <v>0</v>
      </c>
      <c r="DT69" s="539">
        <f t="shared" si="27"/>
        <v>0</v>
      </c>
      <c r="DU69" s="539">
        <f t="shared" si="27"/>
        <v>0</v>
      </c>
      <c r="DV69" s="539">
        <f t="shared" si="27"/>
        <v>0</v>
      </c>
      <c r="DW69" s="539">
        <f t="shared" si="27"/>
        <v>0</v>
      </c>
      <c r="DX69" s="539">
        <f t="shared" si="27"/>
        <v>0</v>
      </c>
      <c r="DY69" s="539">
        <f t="shared" si="27"/>
        <v>0</v>
      </c>
      <c r="DZ69" s="539">
        <f t="shared" si="27"/>
        <v>0</v>
      </c>
      <c r="EA69" s="539">
        <f t="shared" si="27"/>
        <v>0</v>
      </c>
      <c r="EB69" s="539">
        <f t="shared" si="27"/>
        <v>0</v>
      </c>
      <c r="EC69" s="539">
        <f t="shared" si="27"/>
        <v>0</v>
      </c>
      <c r="ED69" s="539">
        <f t="shared" si="27"/>
        <v>0</v>
      </c>
      <c r="EE69" s="539">
        <f t="shared" si="27"/>
        <v>0</v>
      </c>
      <c r="EF69" s="539">
        <f t="shared" si="27"/>
        <v>0</v>
      </c>
      <c r="EG69" s="539">
        <f t="shared" si="27"/>
        <v>0</v>
      </c>
    </row>
    <row r="70" spans="5:137" ht="12.75">
      <c r="E70" s="538" t="s">
        <v>215</v>
      </c>
      <c r="G70" s="539" t="s">
        <v>30</v>
      </c>
      <c r="H70" s="539">
        <f>SUM(J70:EG70)</f>
        <v>167406.5625</v>
      </c>
      <c r="J70" s="539">
        <f t="shared" si="28" ref="J70:EG70">I69</f>
        <v>0</v>
      </c>
      <c r="K70" s="539">
        <f t="shared" si="28"/>
        <v>0</v>
      </c>
      <c r="L70" s="539">
        <f t="shared" si="28"/>
        <v>0</v>
      </c>
      <c r="M70" s="539">
        <f t="shared" si="28"/>
        <v>0</v>
      </c>
      <c r="N70" s="539">
        <f t="shared" si="28"/>
        <v>2658.3125</v>
      </c>
      <c r="O70" s="539">
        <f t="shared" si="28"/>
        <v>5382.25</v>
      </c>
      <c r="P70" s="539">
        <f t="shared" si="28"/>
        <v>8040.5625</v>
      </c>
      <c r="Q70" s="539">
        <f t="shared" si="28"/>
        <v>8106.1875</v>
      </c>
      <c r="R70" s="539">
        <f t="shared" si="28"/>
        <v>8040.5625</v>
      </c>
      <c r="S70" s="539">
        <f t="shared" si="28"/>
        <v>8770.640625</v>
      </c>
      <c r="T70" s="539">
        <f t="shared" si="28"/>
        <v>9574.546875</v>
      </c>
      <c r="U70" s="539">
        <f t="shared" si="28"/>
        <v>10509.703125</v>
      </c>
      <c r="V70" s="539">
        <f t="shared" si="28"/>
        <v>10780.40625</v>
      </c>
      <c r="W70" s="539">
        <f t="shared" si="28"/>
        <v>10649.15625</v>
      </c>
      <c r="X70" s="539">
        <f t="shared" si="28"/>
        <v>10419.46875</v>
      </c>
      <c r="Y70" s="539">
        <f t="shared" si="28"/>
        <v>9763.21875</v>
      </c>
      <c r="Z70" s="539">
        <f t="shared" si="28"/>
        <v>8975.71875</v>
      </c>
      <c r="AA70" s="539">
        <f t="shared" si="28"/>
        <v>8024.15625</v>
      </c>
      <c r="AB70" s="539">
        <f t="shared" si="28"/>
        <v>7728.84375</v>
      </c>
      <c r="AC70" s="539">
        <f t="shared" si="28"/>
        <v>7958.53125</v>
      </c>
      <c r="AD70" s="539">
        <f t="shared" si="28"/>
        <v>8352.28125</v>
      </c>
      <c r="AE70" s="539">
        <f t="shared" si="28"/>
        <v>8180.015625</v>
      </c>
      <c r="AF70" s="539">
        <f t="shared" si="28"/>
        <v>6851.109375</v>
      </c>
      <c r="AG70" s="539">
        <f t="shared" si="28"/>
        <v>5194.078125</v>
      </c>
      <c r="AH70" s="539">
        <f t="shared" si="28"/>
        <v>3446.8125</v>
      </c>
      <c r="AI70" s="539">
        <f t="shared" si="28"/>
        <v>0</v>
      </c>
      <c r="AJ70" s="539">
        <f t="shared" si="28"/>
        <v>0</v>
      </c>
      <c r="AK70" s="539">
        <f t="shared" si="28"/>
        <v>0</v>
      </c>
      <c r="AL70" s="539">
        <f t="shared" si="28"/>
        <v>0</v>
      </c>
      <c r="AM70" s="539">
        <f t="shared" si="28"/>
        <v>0</v>
      </c>
      <c r="AN70" s="539">
        <f t="shared" si="28"/>
        <v>0</v>
      </c>
      <c r="AO70" s="539">
        <f t="shared" si="28"/>
        <v>0</v>
      </c>
      <c r="AP70" s="539">
        <f t="shared" si="28"/>
        <v>0</v>
      </c>
      <c r="AQ70" s="539">
        <f t="shared" si="28"/>
        <v>0</v>
      </c>
      <c r="AR70" s="539">
        <f t="shared" si="28"/>
        <v>0</v>
      </c>
      <c r="AS70" s="539">
        <f t="shared" si="28"/>
        <v>0</v>
      </c>
      <c r="AT70" s="539">
        <f t="shared" si="28"/>
        <v>0</v>
      </c>
      <c r="AU70" s="539">
        <f t="shared" si="28"/>
        <v>0</v>
      </c>
      <c r="AV70" s="539">
        <f t="shared" si="28"/>
        <v>0</v>
      </c>
      <c r="AW70" s="539">
        <f t="shared" si="28"/>
        <v>0</v>
      </c>
      <c r="AX70" s="539">
        <f t="shared" si="28"/>
        <v>0</v>
      </c>
      <c r="AY70" s="539">
        <f t="shared" si="28"/>
        <v>0</v>
      </c>
      <c r="AZ70" s="539">
        <f t="shared" si="28"/>
        <v>0</v>
      </c>
      <c r="BA70" s="539">
        <f t="shared" si="28"/>
        <v>0</v>
      </c>
      <c r="BB70" s="539">
        <f t="shared" si="28"/>
        <v>0</v>
      </c>
      <c r="BC70" s="539">
        <f t="shared" si="28"/>
        <v>0</v>
      </c>
      <c r="BD70" s="539">
        <f t="shared" si="28"/>
        <v>0</v>
      </c>
      <c r="BE70" s="539">
        <f t="shared" si="28"/>
        <v>0</v>
      </c>
      <c r="BF70" s="539">
        <f t="shared" si="28"/>
        <v>0</v>
      </c>
      <c r="BG70" s="539">
        <f t="shared" si="28"/>
        <v>0</v>
      </c>
      <c r="BH70" s="539">
        <f t="shared" si="28"/>
        <v>0</v>
      </c>
      <c r="BI70" s="539">
        <f t="shared" si="28"/>
        <v>0</v>
      </c>
      <c r="BJ70" s="539">
        <f t="shared" si="28"/>
        <v>0</v>
      </c>
      <c r="BK70" s="539">
        <f t="shared" si="28"/>
        <v>0</v>
      </c>
      <c r="BL70" s="539">
        <f t="shared" si="28"/>
        <v>0</v>
      </c>
      <c r="BM70" s="539">
        <f t="shared" si="28"/>
        <v>0</v>
      </c>
      <c r="BN70" s="539">
        <f t="shared" si="28"/>
        <v>0</v>
      </c>
      <c r="BO70" s="539">
        <f t="shared" si="28"/>
        <v>0</v>
      </c>
      <c r="BP70" s="539">
        <f t="shared" si="28"/>
        <v>0</v>
      </c>
      <c r="BQ70" s="539">
        <f t="shared" si="28"/>
        <v>0</v>
      </c>
      <c r="BR70" s="539">
        <f t="shared" si="28"/>
        <v>0</v>
      </c>
      <c r="BS70" s="539">
        <f t="shared" si="28"/>
        <v>0</v>
      </c>
      <c r="BT70" s="539">
        <f t="shared" si="28"/>
        <v>0</v>
      </c>
      <c r="BU70" s="539">
        <f t="shared" si="28"/>
        <v>0</v>
      </c>
      <c r="BV70" s="539">
        <f t="shared" si="28"/>
        <v>0</v>
      </c>
      <c r="BW70" s="539">
        <f t="shared" si="28"/>
        <v>0</v>
      </c>
      <c r="BX70" s="539">
        <f t="shared" si="28"/>
        <v>0</v>
      </c>
      <c r="BY70" s="539">
        <f t="shared" si="28"/>
        <v>0</v>
      </c>
      <c r="BZ70" s="539">
        <f t="shared" si="28"/>
        <v>0</v>
      </c>
      <c r="CA70" s="539">
        <f t="shared" si="28"/>
        <v>0</v>
      </c>
      <c r="CB70" s="539">
        <f t="shared" si="28"/>
        <v>0</v>
      </c>
      <c r="CC70" s="539">
        <f t="shared" si="28"/>
        <v>0</v>
      </c>
      <c r="CD70" s="539">
        <f t="shared" si="28"/>
        <v>0</v>
      </c>
      <c r="CE70" s="539">
        <f t="shared" si="28"/>
        <v>0</v>
      </c>
      <c r="CF70" s="539">
        <f t="shared" si="28"/>
        <v>0</v>
      </c>
      <c r="CG70" s="539">
        <f t="shared" si="28"/>
        <v>0</v>
      </c>
      <c r="CH70" s="539">
        <f t="shared" si="28"/>
        <v>0</v>
      </c>
      <c r="CI70" s="539">
        <f t="shared" si="28"/>
        <v>0</v>
      </c>
      <c r="CJ70" s="539">
        <f t="shared" si="28"/>
        <v>0</v>
      </c>
      <c r="CK70" s="539">
        <f t="shared" si="28"/>
        <v>0</v>
      </c>
      <c r="CL70" s="539">
        <f t="shared" si="28"/>
        <v>0</v>
      </c>
      <c r="CM70" s="539">
        <f t="shared" si="28"/>
        <v>0</v>
      </c>
      <c r="CN70" s="539">
        <f t="shared" si="28"/>
        <v>0</v>
      </c>
      <c r="CO70" s="539">
        <f t="shared" si="28"/>
        <v>0</v>
      </c>
      <c r="CP70" s="539">
        <f t="shared" si="28"/>
        <v>0</v>
      </c>
      <c r="CQ70" s="539">
        <f t="shared" si="28"/>
        <v>0</v>
      </c>
      <c r="CR70" s="539">
        <f t="shared" si="28"/>
        <v>0</v>
      </c>
      <c r="CS70" s="539">
        <f t="shared" si="28"/>
        <v>0</v>
      </c>
      <c r="CT70" s="539">
        <f t="shared" si="28"/>
        <v>0</v>
      </c>
      <c r="CU70" s="539">
        <f t="shared" si="28"/>
        <v>0</v>
      </c>
      <c r="CV70" s="539">
        <f t="shared" si="28"/>
        <v>0</v>
      </c>
      <c r="CW70" s="539">
        <f t="shared" si="28"/>
        <v>0</v>
      </c>
      <c r="CX70" s="539">
        <f t="shared" si="28"/>
        <v>0</v>
      </c>
      <c r="CY70" s="539">
        <f t="shared" si="28"/>
        <v>0</v>
      </c>
      <c r="CZ70" s="539">
        <f t="shared" si="28"/>
        <v>0</v>
      </c>
      <c r="DA70" s="539">
        <f t="shared" si="28"/>
        <v>0</v>
      </c>
      <c r="DB70" s="539">
        <f t="shared" si="28"/>
        <v>0</v>
      </c>
      <c r="DC70" s="539">
        <f t="shared" si="28"/>
        <v>0</v>
      </c>
      <c r="DD70" s="539">
        <f t="shared" si="28"/>
        <v>0</v>
      </c>
      <c r="DE70" s="539">
        <f t="shared" si="28"/>
        <v>0</v>
      </c>
      <c r="DF70" s="539">
        <f t="shared" si="28"/>
        <v>0</v>
      </c>
      <c r="DG70" s="539">
        <f t="shared" si="28"/>
        <v>0</v>
      </c>
      <c r="DH70" s="539">
        <f t="shared" si="28"/>
        <v>0</v>
      </c>
      <c r="DI70" s="539">
        <f t="shared" si="28"/>
        <v>0</v>
      </c>
      <c r="DJ70" s="539">
        <f t="shared" si="28"/>
        <v>0</v>
      </c>
      <c r="DK70" s="539">
        <f t="shared" si="28"/>
        <v>0</v>
      </c>
      <c r="DL70" s="539">
        <f t="shared" si="28"/>
        <v>0</v>
      </c>
      <c r="DM70" s="539">
        <f t="shared" si="28"/>
        <v>0</v>
      </c>
      <c r="DN70" s="539">
        <f t="shared" si="28"/>
        <v>0</v>
      </c>
      <c r="DO70" s="539">
        <f t="shared" si="28"/>
        <v>0</v>
      </c>
      <c r="DP70" s="539">
        <f t="shared" si="28"/>
        <v>0</v>
      </c>
      <c r="DQ70" s="539">
        <f t="shared" si="28"/>
        <v>0</v>
      </c>
      <c r="DR70" s="539">
        <f t="shared" si="28"/>
        <v>0</v>
      </c>
      <c r="DS70" s="539">
        <f t="shared" si="28"/>
        <v>0</v>
      </c>
      <c r="DT70" s="539">
        <f t="shared" si="28"/>
        <v>0</v>
      </c>
      <c r="DU70" s="539">
        <f t="shared" si="28"/>
        <v>0</v>
      </c>
      <c r="DV70" s="539">
        <f t="shared" si="28"/>
        <v>0</v>
      </c>
      <c r="DW70" s="539">
        <f t="shared" si="28"/>
        <v>0</v>
      </c>
      <c r="DX70" s="539">
        <f t="shared" si="28"/>
        <v>0</v>
      </c>
      <c r="DY70" s="539">
        <f t="shared" si="28"/>
        <v>0</v>
      </c>
      <c r="DZ70" s="539">
        <f t="shared" si="28"/>
        <v>0</v>
      </c>
      <c r="EA70" s="539">
        <f t="shared" si="28"/>
        <v>0</v>
      </c>
      <c r="EB70" s="539">
        <f t="shared" si="28"/>
        <v>0</v>
      </c>
      <c r="EC70" s="539">
        <f t="shared" si="28"/>
        <v>0</v>
      </c>
      <c r="ED70" s="539">
        <f t="shared" si="28"/>
        <v>0</v>
      </c>
      <c r="EE70" s="539">
        <f t="shared" si="28"/>
        <v>0</v>
      </c>
      <c r="EF70" s="539">
        <f t="shared" si="28"/>
        <v>0</v>
      </c>
      <c r="EG70" s="539">
        <f t="shared" si="28"/>
        <v>0</v>
      </c>
    </row>
    <row r="72" spans="5:137" ht="12.75">
      <c r="E72" s="538" t="str">
        <f>E$57</f>
        <v>VAT - paid on capex</v>
      </c>
      <c r="G72" s="539" t="str">
        <f>G$57</f>
        <v>EUR 000s</v>
      </c>
      <c r="H72" s="539">
        <f>H$57</f>
        <v>56710.5</v>
      </c>
      <c r="J72" s="539">
        <f t="shared" si="29" ref="J72:EG72">J$57</f>
        <v>0</v>
      </c>
      <c r="K72" s="539">
        <f t="shared" si="29"/>
        <v>0</v>
      </c>
      <c r="L72" s="539">
        <f t="shared" si="29"/>
        <v>0</v>
      </c>
      <c r="M72" s="539">
        <f t="shared" si="29"/>
        <v>2658.3125</v>
      </c>
      <c r="N72" s="539">
        <f t="shared" si="29"/>
        <v>2723.9375</v>
      </c>
      <c r="O72" s="539">
        <f t="shared" si="29"/>
        <v>2658.3125</v>
      </c>
      <c r="P72" s="539">
        <f t="shared" si="29"/>
        <v>2723.9375</v>
      </c>
      <c r="Q72" s="539">
        <f t="shared" si="29"/>
        <v>2658.3125</v>
      </c>
      <c r="R72" s="539">
        <f t="shared" si="29"/>
        <v>3388.390625</v>
      </c>
      <c r="S72" s="539">
        <f t="shared" si="29"/>
        <v>3527.84375</v>
      </c>
      <c r="T72" s="539">
        <f t="shared" si="29"/>
        <v>3593.46875</v>
      </c>
      <c r="U72" s="539">
        <f t="shared" si="29"/>
        <v>3659.09375</v>
      </c>
      <c r="V72" s="539">
        <f t="shared" si="29"/>
        <v>3396.59375</v>
      </c>
      <c r="W72" s="539">
        <f t="shared" si="29"/>
        <v>3363.78125</v>
      </c>
      <c r="X72" s="539">
        <f t="shared" si="29"/>
        <v>3002.84375</v>
      </c>
      <c r="Y72" s="539">
        <f t="shared" si="29"/>
        <v>2609.09375</v>
      </c>
      <c r="Z72" s="539">
        <f t="shared" si="29"/>
        <v>2412.21875</v>
      </c>
      <c r="AA72" s="539">
        <f t="shared" si="29"/>
        <v>2707.53125</v>
      </c>
      <c r="AB72" s="539">
        <f t="shared" si="29"/>
        <v>2838.78125</v>
      </c>
      <c r="AC72" s="539">
        <f t="shared" si="29"/>
        <v>2805.96875</v>
      </c>
      <c r="AD72" s="539">
        <f t="shared" si="29"/>
        <v>2535.265625</v>
      </c>
      <c r="AE72" s="539">
        <f t="shared" si="29"/>
        <v>1509.875</v>
      </c>
      <c r="AF72" s="539">
        <f t="shared" si="29"/>
        <v>1148.9375</v>
      </c>
      <c r="AG72" s="539">
        <f t="shared" si="29"/>
        <v>788</v>
      </c>
      <c r="AH72" s="539">
        <f t="shared" si="29"/>
        <v>0</v>
      </c>
      <c r="AI72" s="539">
        <f t="shared" si="29"/>
        <v>0</v>
      </c>
      <c r="AJ72" s="539">
        <f t="shared" si="29"/>
        <v>0</v>
      </c>
      <c r="AK72" s="539">
        <f t="shared" si="29"/>
        <v>0</v>
      </c>
      <c r="AL72" s="539">
        <f t="shared" si="29"/>
        <v>0</v>
      </c>
      <c r="AM72" s="539">
        <f t="shared" si="29"/>
        <v>0</v>
      </c>
      <c r="AN72" s="539">
        <f t="shared" si="29"/>
        <v>0</v>
      </c>
      <c r="AO72" s="539">
        <f t="shared" si="29"/>
        <v>0</v>
      </c>
      <c r="AP72" s="539">
        <f t="shared" si="29"/>
        <v>0</v>
      </c>
      <c r="AQ72" s="539">
        <f t="shared" si="29"/>
        <v>0</v>
      </c>
      <c r="AR72" s="539">
        <f t="shared" si="29"/>
        <v>0</v>
      </c>
      <c r="AS72" s="539">
        <f t="shared" si="29"/>
        <v>0</v>
      </c>
      <c r="AT72" s="539">
        <f t="shared" si="29"/>
        <v>0</v>
      </c>
      <c r="AU72" s="539">
        <f t="shared" si="29"/>
        <v>0</v>
      </c>
      <c r="AV72" s="539">
        <f t="shared" si="29"/>
        <v>0</v>
      </c>
      <c r="AW72" s="539">
        <f t="shared" si="29"/>
        <v>0</v>
      </c>
      <c r="AX72" s="539">
        <f t="shared" si="29"/>
        <v>0</v>
      </c>
      <c r="AY72" s="539">
        <f t="shared" si="29"/>
        <v>0</v>
      </c>
      <c r="AZ72" s="539">
        <f t="shared" si="29"/>
        <v>0</v>
      </c>
      <c r="BA72" s="539">
        <f t="shared" si="29"/>
        <v>0</v>
      </c>
      <c r="BB72" s="539">
        <f t="shared" si="29"/>
        <v>0</v>
      </c>
      <c r="BC72" s="539">
        <f t="shared" si="29"/>
        <v>0</v>
      </c>
      <c r="BD72" s="539">
        <f t="shared" si="29"/>
        <v>0</v>
      </c>
      <c r="BE72" s="539">
        <f t="shared" si="29"/>
        <v>0</v>
      </c>
      <c r="BF72" s="539">
        <f t="shared" si="29"/>
        <v>0</v>
      </c>
      <c r="BG72" s="539">
        <f t="shared" si="29"/>
        <v>0</v>
      </c>
      <c r="BH72" s="539">
        <f t="shared" si="29"/>
        <v>0</v>
      </c>
      <c r="BI72" s="539">
        <f t="shared" si="29"/>
        <v>0</v>
      </c>
      <c r="BJ72" s="539">
        <f t="shared" si="29"/>
        <v>0</v>
      </c>
      <c r="BK72" s="539">
        <f t="shared" si="29"/>
        <v>0</v>
      </c>
      <c r="BL72" s="539">
        <f t="shared" si="29"/>
        <v>0</v>
      </c>
      <c r="BM72" s="539">
        <f t="shared" si="29"/>
        <v>0</v>
      </c>
      <c r="BN72" s="539">
        <f t="shared" si="29"/>
        <v>0</v>
      </c>
      <c r="BO72" s="539">
        <f t="shared" si="29"/>
        <v>0</v>
      </c>
      <c r="BP72" s="539">
        <f t="shared" si="29"/>
        <v>0</v>
      </c>
      <c r="BQ72" s="539">
        <f t="shared" si="29"/>
        <v>0</v>
      </c>
      <c r="BR72" s="539">
        <f t="shared" si="29"/>
        <v>0</v>
      </c>
      <c r="BS72" s="539">
        <f t="shared" si="29"/>
        <v>0</v>
      </c>
      <c r="BT72" s="539">
        <f t="shared" si="29"/>
        <v>0</v>
      </c>
      <c r="BU72" s="539">
        <f t="shared" si="29"/>
        <v>0</v>
      </c>
      <c r="BV72" s="539">
        <f t="shared" si="29"/>
        <v>0</v>
      </c>
      <c r="BW72" s="539">
        <f t="shared" si="29"/>
        <v>0</v>
      </c>
      <c r="BX72" s="539">
        <f t="shared" si="29"/>
        <v>0</v>
      </c>
      <c r="BY72" s="539">
        <f t="shared" si="29"/>
        <v>0</v>
      </c>
      <c r="BZ72" s="539">
        <f t="shared" si="29"/>
        <v>0</v>
      </c>
      <c r="CA72" s="539">
        <f t="shared" si="29"/>
        <v>0</v>
      </c>
      <c r="CB72" s="539">
        <f t="shared" si="29"/>
        <v>0</v>
      </c>
      <c r="CC72" s="539">
        <f t="shared" si="29"/>
        <v>0</v>
      </c>
      <c r="CD72" s="539">
        <f t="shared" si="29"/>
        <v>0</v>
      </c>
      <c r="CE72" s="539">
        <f t="shared" si="29"/>
        <v>0</v>
      </c>
      <c r="CF72" s="539">
        <f t="shared" si="29"/>
        <v>0</v>
      </c>
      <c r="CG72" s="539">
        <f t="shared" si="29"/>
        <v>0</v>
      </c>
      <c r="CH72" s="539">
        <f t="shared" si="29"/>
        <v>0</v>
      </c>
      <c r="CI72" s="539">
        <f t="shared" si="29"/>
        <v>0</v>
      </c>
      <c r="CJ72" s="539">
        <f t="shared" si="29"/>
        <v>0</v>
      </c>
      <c r="CK72" s="539">
        <f t="shared" si="29"/>
        <v>0</v>
      </c>
      <c r="CL72" s="539">
        <f t="shared" si="29"/>
        <v>0</v>
      </c>
      <c r="CM72" s="539">
        <f t="shared" si="29"/>
        <v>0</v>
      </c>
      <c r="CN72" s="539">
        <f t="shared" si="29"/>
        <v>0</v>
      </c>
      <c r="CO72" s="539">
        <f t="shared" si="29"/>
        <v>0</v>
      </c>
      <c r="CP72" s="539">
        <f t="shared" si="29"/>
        <v>0</v>
      </c>
      <c r="CQ72" s="539">
        <f t="shared" si="29"/>
        <v>0</v>
      </c>
      <c r="CR72" s="539">
        <f t="shared" si="29"/>
        <v>0</v>
      </c>
      <c r="CS72" s="539">
        <f t="shared" si="29"/>
        <v>0</v>
      </c>
      <c r="CT72" s="539">
        <f t="shared" si="29"/>
        <v>0</v>
      </c>
      <c r="CU72" s="539">
        <f t="shared" si="29"/>
        <v>0</v>
      </c>
      <c r="CV72" s="539">
        <f t="shared" si="29"/>
        <v>0</v>
      </c>
      <c r="CW72" s="539">
        <f t="shared" si="29"/>
        <v>0</v>
      </c>
      <c r="CX72" s="539">
        <f t="shared" si="29"/>
        <v>0</v>
      </c>
      <c r="CY72" s="539">
        <f t="shared" si="29"/>
        <v>0</v>
      </c>
      <c r="CZ72" s="539">
        <f t="shared" si="29"/>
        <v>0</v>
      </c>
      <c r="DA72" s="539">
        <f t="shared" si="29"/>
        <v>0</v>
      </c>
      <c r="DB72" s="539">
        <f t="shared" si="29"/>
        <v>0</v>
      </c>
      <c r="DC72" s="539">
        <f t="shared" si="29"/>
        <v>0</v>
      </c>
      <c r="DD72" s="539">
        <f t="shared" si="29"/>
        <v>0</v>
      </c>
      <c r="DE72" s="539">
        <f t="shared" si="29"/>
        <v>0</v>
      </c>
      <c r="DF72" s="539">
        <f t="shared" si="29"/>
        <v>0</v>
      </c>
      <c r="DG72" s="539">
        <f t="shared" si="29"/>
        <v>0</v>
      </c>
      <c r="DH72" s="539">
        <f t="shared" si="29"/>
        <v>0</v>
      </c>
      <c r="DI72" s="539">
        <f t="shared" si="29"/>
        <v>0</v>
      </c>
      <c r="DJ72" s="539">
        <f t="shared" si="29"/>
        <v>0</v>
      </c>
      <c r="DK72" s="539">
        <f t="shared" si="29"/>
        <v>0</v>
      </c>
      <c r="DL72" s="539">
        <f t="shared" si="29"/>
        <v>0</v>
      </c>
      <c r="DM72" s="539">
        <f t="shared" si="29"/>
        <v>0</v>
      </c>
      <c r="DN72" s="539">
        <f t="shared" si="29"/>
        <v>0</v>
      </c>
      <c r="DO72" s="539">
        <f t="shared" si="29"/>
        <v>0</v>
      </c>
      <c r="DP72" s="539">
        <f t="shared" si="29"/>
        <v>0</v>
      </c>
      <c r="DQ72" s="539">
        <f t="shared" si="29"/>
        <v>0</v>
      </c>
      <c r="DR72" s="539">
        <f t="shared" si="29"/>
        <v>0</v>
      </c>
      <c r="DS72" s="539">
        <f t="shared" si="29"/>
        <v>0</v>
      </c>
      <c r="DT72" s="539">
        <f t="shared" si="29"/>
        <v>0</v>
      </c>
      <c r="DU72" s="539">
        <f t="shared" si="29"/>
        <v>0</v>
      </c>
      <c r="DV72" s="539">
        <f t="shared" si="29"/>
        <v>0</v>
      </c>
      <c r="DW72" s="539">
        <f t="shared" si="29"/>
        <v>0</v>
      </c>
      <c r="DX72" s="539">
        <f t="shared" si="29"/>
        <v>0</v>
      </c>
      <c r="DY72" s="539">
        <f t="shared" si="29"/>
        <v>0</v>
      </c>
      <c r="DZ72" s="539">
        <f t="shared" si="29"/>
        <v>0</v>
      </c>
      <c r="EA72" s="539">
        <f t="shared" si="29"/>
        <v>0</v>
      </c>
      <c r="EB72" s="539">
        <f t="shared" si="29"/>
        <v>0</v>
      </c>
      <c r="EC72" s="539">
        <f t="shared" si="29"/>
        <v>0</v>
      </c>
      <c r="ED72" s="539">
        <f t="shared" si="29"/>
        <v>0</v>
      </c>
      <c r="EE72" s="539">
        <f t="shared" si="29"/>
        <v>0</v>
      </c>
      <c r="EF72" s="539">
        <f t="shared" si="29"/>
        <v>0</v>
      </c>
      <c r="EG72" s="539">
        <f t="shared" si="29"/>
        <v>0</v>
      </c>
    </row>
    <row r="73" spans="5:137" ht="12.75">
      <c r="E73" s="538" t="str">
        <f>E$62</f>
        <v>VAT - refund received</v>
      </c>
      <c r="G73" s="539" t="str">
        <f>G$62</f>
        <v>EUR 000s</v>
      </c>
      <c r="H73" s="539">
        <f>H$62</f>
        <v>56710.5</v>
      </c>
      <c r="J73" s="539">
        <f t="shared" si="30" ref="J73:EG73">J$62</f>
        <v>0</v>
      </c>
      <c r="K73" s="539">
        <f t="shared" si="30"/>
        <v>0</v>
      </c>
      <c r="L73" s="539">
        <f t="shared" si="30"/>
        <v>0</v>
      </c>
      <c r="M73" s="539">
        <f t="shared" si="30"/>
        <v>0</v>
      </c>
      <c r="N73" s="539">
        <f t="shared" si="30"/>
        <v>0</v>
      </c>
      <c r="O73" s="539">
        <f t="shared" si="30"/>
        <v>0</v>
      </c>
      <c r="P73" s="539">
        <f t="shared" si="30"/>
        <v>2658.3125</v>
      </c>
      <c r="Q73" s="539">
        <f t="shared" si="30"/>
        <v>2723.9375</v>
      </c>
      <c r="R73" s="539">
        <f t="shared" si="30"/>
        <v>2658.3125</v>
      </c>
      <c r="S73" s="539">
        <f t="shared" si="30"/>
        <v>2723.9375</v>
      </c>
      <c r="T73" s="539">
        <f t="shared" si="30"/>
        <v>2658.3125</v>
      </c>
      <c r="U73" s="539">
        <f t="shared" si="30"/>
        <v>3388.390625</v>
      </c>
      <c r="V73" s="539">
        <f t="shared" si="30"/>
        <v>3527.84375</v>
      </c>
      <c r="W73" s="539">
        <f t="shared" si="30"/>
        <v>3593.46875</v>
      </c>
      <c r="X73" s="539">
        <f t="shared" si="30"/>
        <v>3659.09375</v>
      </c>
      <c r="Y73" s="539">
        <f t="shared" si="30"/>
        <v>3396.59375</v>
      </c>
      <c r="Z73" s="539">
        <f t="shared" si="30"/>
        <v>3363.78125</v>
      </c>
      <c r="AA73" s="539">
        <f t="shared" si="30"/>
        <v>3002.84375</v>
      </c>
      <c r="AB73" s="539">
        <f t="shared" si="30"/>
        <v>2609.09375</v>
      </c>
      <c r="AC73" s="539">
        <f t="shared" si="30"/>
        <v>2412.21875</v>
      </c>
      <c r="AD73" s="539">
        <f t="shared" si="30"/>
        <v>2707.53125</v>
      </c>
      <c r="AE73" s="539">
        <f t="shared" si="30"/>
        <v>2838.78125</v>
      </c>
      <c r="AF73" s="539">
        <f t="shared" si="30"/>
        <v>2805.96875</v>
      </c>
      <c r="AG73" s="539">
        <f t="shared" si="30"/>
        <v>2535.265625</v>
      </c>
      <c r="AH73" s="539">
        <f t="shared" si="30"/>
        <v>3446.8125</v>
      </c>
      <c r="AI73" s="539">
        <f t="shared" si="30"/>
        <v>0</v>
      </c>
      <c r="AJ73" s="539">
        <f t="shared" si="30"/>
        <v>0</v>
      </c>
      <c r="AK73" s="539">
        <f t="shared" si="30"/>
        <v>0</v>
      </c>
      <c r="AL73" s="539">
        <f t="shared" si="30"/>
        <v>0</v>
      </c>
      <c r="AM73" s="539">
        <f t="shared" si="30"/>
        <v>0</v>
      </c>
      <c r="AN73" s="539">
        <f t="shared" si="30"/>
        <v>0</v>
      </c>
      <c r="AO73" s="539">
        <f t="shared" si="30"/>
        <v>0</v>
      </c>
      <c r="AP73" s="539">
        <f t="shared" si="30"/>
        <v>0</v>
      </c>
      <c r="AQ73" s="539">
        <f t="shared" si="30"/>
        <v>0</v>
      </c>
      <c r="AR73" s="539">
        <f t="shared" si="30"/>
        <v>0</v>
      </c>
      <c r="AS73" s="539">
        <f t="shared" si="30"/>
        <v>0</v>
      </c>
      <c r="AT73" s="539">
        <f t="shared" si="30"/>
        <v>0</v>
      </c>
      <c r="AU73" s="539">
        <f t="shared" si="30"/>
        <v>0</v>
      </c>
      <c r="AV73" s="539">
        <f t="shared" si="30"/>
        <v>0</v>
      </c>
      <c r="AW73" s="539">
        <f t="shared" si="30"/>
        <v>0</v>
      </c>
      <c r="AX73" s="539">
        <f t="shared" si="30"/>
        <v>0</v>
      </c>
      <c r="AY73" s="539">
        <f t="shared" si="30"/>
        <v>0</v>
      </c>
      <c r="AZ73" s="539">
        <f t="shared" si="30"/>
        <v>0</v>
      </c>
      <c r="BA73" s="539">
        <f t="shared" si="30"/>
        <v>0</v>
      </c>
      <c r="BB73" s="539">
        <f t="shared" si="30"/>
        <v>0</v>
      </c>
      <c r="BC73" s="539">
        <f t="shared" si="30"/>
        <v>0</v>
      </c>
      <c r="BD73" s="539">
        <f t="shared" si="30"/>
        <v>0</v>
      </c>
      <c r="BE73" s="539">
        <f t="shared" si="30"/>
        <v>0</v>
      </c>
      <c r="BF73" s="539">
        <f t="shared" si="30"/>
        <v>0</v>
      </c>
      <c r="BG73" s="539">
        <f t="shared" si="30"/>
        <v>0</v>
      </c>
      <c r="BH73" s="539">
        <f t="shared" si="30"/>
        <v>0</v>
      </c>
      <c r="BI73" s="539">
        <f t="shared" si="30"/>
        <v>0</v>
      </c>
      <c r="BJ73" s="539">
        <f t="shared" si="30"/>
        <v>0</v>
      </c>
      <c r="BK73" s="539">
        <f t="shared" si="30"/>
        <v>0</v>
      </c>
      <c r="BL73" s="539">
        <f t="shared" si="30"/>
        <v>0</v>
      </c>
      <c r="BM73" s="539">
        <f t="shared" si="30"/>
        <v>0</v>
      </c>
      <c r="BN73" s="539">
        <f t="shared" si="30"/>
        <v>0</v>
      </c>
      <c r="BO73" s="539">
        <f t="shared" si="30"/>
        <v>0</v>
      </c>
      <c r="BP73" s="539">
        <f t="shared" si="30"/>
        <v>0</v>
      </c>
      <c r="BQ73" s="539">
        <f t="shared" si="30"/>
        <v>0</v>
      </c>
      <c r="BR73" s="539">
        <f t="shared" si="30"/>
        <v>0</v>
      </c>
      <c r="BS73" s="539">
        <f t="shared" si="30"/>
        <v>0</v>
      </c>
      <c r="BT73" s="539">
        <f t="shared" si="30"/>
        <v>0</v>
      </c>
      <c r="BU73" s="539">
        <f t="shared" si="30"/>
        <v>0</v>
      </c>
      <c r="BV73" s="539">
        <f t="shared" si="30"/>
        <v>0</v>
      </c>
      <c r="BW73" s="539">
        <f t="shared" si="30"/>
        <v>0</v>
      </c>
      <c r="BX73" s="539">
        <f t="shared" si="30"/>
        <v>0</v>
      </c>
      <c r="BY73" s="539">
        <f t="shared" si="30"/>
        <v>0</v>
      </c>
      <c r="BZ73" s="539">
        <f t="shared" si="30"/>
        <v>0</v>
      </c>
      <c r="CA73" s="539">
        <f t="shared" si="30"/>
        <v>0</v>
      </c>
      <c r="CB73" s="539">
        <f t="shared" si="30"/>
        <v>0</v>
      </c>
      <c r="CC73" s="539">
        <f t="shared" si="30"/>
        <v>0</v>
      </c>
      <c r="CD73" s="539">
        <f t="shared" si="30"/>
        <v>0</v>
      </c>
      <c r="CE73" s="539">
        <f t="shared" si="30"/>
        <v>0</v>
      </c>
      <c r="CF73" s="539">
        <f t="shared" si="30"/>
        <v>0</v>
      </c>
      <c r="CG73" s="539">
        <f t="shared" si="30"/>
        <v>0</v>
      </c>
      <c r="CH73" s="539">
        <f t="shared" si="30"/>
        <v>0</v>
      </c>
      <c r="CI73" s="539">
        <f t="shared" si="30"/>
        <v>0</v>
      </c>
      <c r="CJ73" s="539">
        <f t="shared" si="30"/>
        <v>0</v>
      </c>
      <c r="CK73" s="539">
        <f t="shared" si="30"/>
        <v>0</v>
      </c>
      <c r="CL73" s="539">
        <f t="shared" si="30"/>
        <v>0</v>
      </c>
      <c r="CM73" s="539">
        <f t="shared" si="30"/>
        <v>0</v>
      </c>
      <c r="CN73" s="539">
        <f t="shared" si="30"/>
        <v>0</v>
      </c>
      <c r="CO73" s="539">
        <f t="shared" si="30"/>
        <v>0</v>
      </c>
      <c r="CP73" s="539">
        <f t="shared" si="30"/>
        <v>0</v>
      </c>
      <c r="CQ73" s="539">
        <f t="shared" si="30"/>
        <v>0</v>
      </c>
      <c r="CR73" s="539">
        <f t="shared" si="30"/>
        <v>0</v>
      </c>
      <c r="CS73" s="539">
        <f t="shared" si="30"/>
        <v>0</v>
      </c>
      <c r="CT73" s="539">
        <f t="shared" si="30"/>
        <v>0</v>
      </c>
      <c r="CU73" s="539">
        <f t="shared" si="30"/>
        <v>0</v>
      </c>
      <c r="CV73" s="539">
        <f t="shared" si="30"/>
        <v>0</v>
      </c>
      <c r="CW73" s="539">
        <f t="shared" si="30"/>
        <v>0</v>
      </c>
      <c r="CX73" s="539">
        <f t="shared" si="30"/>
        <v>0</v>
      </c>
      <c r="CY73" s="539">
        <f t="shared" si="30"/>
        <v>0</v>
      </c>
      <c r="CZ73" s="539">
        <f t="shared" si="30"/>
        <v>0</v>
      </c>
      <c r="DA73" s="539">
        <f t="shared" si="30"/>
        <v>0</v>
      </c>
      <c r="DB73" s="539">
        <f t="shared" si="30"/>
        <v>0</v>
      </c>
      <c r="DC73" s="539">
        <f t="shared" si="30"/>
        <v>0</v>
      </c>
      <c r="DD73" s="539">
        <f t="shared" si="30"/>
        <v>0</v>
      </c>
      <c r="DE73" s="539">
        <f t="shared" si="30"/>
        <v>0</v>
      </c>
      <c r="DF73" s="539">
        <f t="shared" si="30"/>
        <v>0</v>
      </c>
      <c r="DG73" s="539">
        <f t="shared" si="30"/>
        <v>0</v>
      </c>
      <c r="DH73" s="539">
        <f t="shared" si="30"/>
        <v>0</v>
      </c>
      <c r="DI73" s="539">
        <f t="shared" si="30"/>
        <v>0</v>
      </c>
      <c r="DJ73" s="539">
        <f t="shared" si="30"/>
        <v>0</v>
      </c>
      <c r="DK73" s="539">
        <f t="shared" si="30"/>
        <v>0</v>
      </c>
      <c r="DL73" s="539">
        <f t="shared" si="30"/>
        <v>0</v>
      </c>
      <c r="DM73" s="539">
        <f t="shared" si="30"/>
        <v>0</v>
      </c>
      <c r="DN73" s="539">
        <f t="shared" si="30"/>
        <v>0</v>
      </c>
      <c r="DO73" s="539">
        <f t="shared" si="30"/>
        <v>0</v>
      </c>
      <c r="DP73" s="539">
        <f t="shared" si="30"/>
        <v>0</v>
      </c>
      <c r="DQ73" s="539">
        <f t="shared" si="30"/>
        <v>0</v>
      </c>
      <c r="DR73" s="539">
        <f t="shared" si="30"/>
        <v>0</v>
      </c>
      <c r="DS73" s="539">
        <f t="shared" si="30"/>
        <v>0</v>
      </c>
      <c r="DT73" s="539">
        <f t="shared" si="30"/>
        <v>0</v>
      </c>
      <c r="DU73" s="539">
        <f t="shared" si="30"/>
        <v>0</v>
      </c>
      <c r="DV73" s="539">
        <f t="shared" si="30"/>
        <v>0</v>
      </c>
      <c r="DW73" s="539">
        <f t="shared" si="30"/>
        <v>0</v>
      </c>
      <c r="DX73" s="539">
        <f t="shared" si="30"/>
        <v>0</v>
      </c>
      <c r="DY73" s="539">
        <f t="shared" si="30"/>
        <v>0</v>
      </c>
      <c r="DZ73" s="539">
        <f t="shared" si="30"/>
        <v>0</v>
      </c>
      <c r="EA73" s="539">
        <f t="shared" si="30"/>
        <v>0</v>
      </c>
      <c r="EB73" s="539">
        <f t="shared" si="30"/>
        <v>0</v>
      </c>
      <c r="EC73" s="539">
        <f t="shared" si="30"/>
        <v>0</v>
      </c>
      <c r="ED73" s="539">
        <f t="shared" si="30"/>
        <v>0</v>
      </c>
      <c r="EE73" s="539">
        <f t="shared" si="30"/>
        <v>0</v>
      </c>
      <c r="EF73" s="539">
        <f t="shared" si="30"/>
        <v>0</v>
      </c>
      <c r="EG73" s="539">
        <f t="shared" si="30"/>
        <v>0</v>
      </c>
    </row>
    <row r="74" spans="5:137" ht="12.75">
      <c r="E74" s="538" t="str">
        <f>E$70</f>
        <v>VAT facility - opening balance</v>
      </c>
      <c r="G74" s="539" t="str">
        <f>G$70</f>
        <v>EUR 000s</v>
      </c>
      <c r="H74" s="539">
        <f>H$70</f>
        <v>167406.5625</v>
      </c>
      <c r="J74" s="539">
        <f t="shared" si="31" ref="J74:EG74">J$70</f>
        <v>0</v>
      </c>
      <c r="K74" s="539">
        <f t="shared" si="31"/>
        <v>0</v>
      </c>
      <c r="L74" s="539">
        <f t="shared" si="31"/>
        <v>0</v>
      </c>
      <c r="M74" s="539">
        <f t="shared" si="31"/>
        <v>0</v>
      </c>
      <c r="N74" s="539">
        <f t="shared" si="31"/>
        <v>2658.3125</v>
      </c>
      <c r="O74" s="539">
        <f t="shared" si="31"/>
        <v>5382.25</v>
      </c>
      <c r="P74" s="539">
        <f t="shared" si="31"/>
        <v>8040.5625</v>
      </c>
      <c r="Q74" s="539">
        <f t="shared" si="31"/>
        <v>8106.1875</v>
      </c>
      <c r="R74" s="539">
        <f t="shared" si="31"/>
        <v>8040.5625</v>
      </c>
      <c r="S74" s="539">
        <f t="shared" si="31"/>
        <v>8770.640625</v>
      </c>
      <c r="T74" s="539">
        <f t="shared" si="31"/>
        <v>9574.546875</v>
      </c>
      <c r="U74" s="539">
        <f t="shared" si="31"/>
        <v>10509.703125</v>
      </c>
      <c r="V74" s="539">
        <f t="shared" si="31"/>
        <v>10780.40625</v>
      </c>
      <c r="W74" s="539">
        <f t="shared" si="31"/>
        <v>10649.15625</v>
      </c>
      <c r="X74" s="539">
        <f t="shared" si="31"/>
        <v>10419.46875</v>
      </c>
      <c r="Y74" s="539">
        <f t="shared" si="31"/>
        <v>9763.21875</v>
      </c>
      <c r="Z74" s="539">
        <f t="shared" si="31"/>
        <v>8975.71875</v>
      </c>
      <c r="AA74" s="539">
        <f t="shared" si="31"/>
        <v>8024.15625</v>
      </c>
      <c r="AB74" s="539">
        <f t="shared" si="31"/>
        <v>7728.84375</v>
      </c>
      <c r="AC74" s="539">
        <f t="shared" si="31"/>
        <v>7958.53125</v>
      </c>
      <c r="AD74" s="539">
        <f t="shared" si="31"/>
        <v>8352.28125</v>
      </c>
      <c r="AE74" s="539">
        <f t="shared" si="31"/>
        <v>8180.015625</v>
      </c>
      <c r="AF74" s="539">
        <f t="shared" si="31"/>
        <v>6851.109375</v>
      </c>
      <c r="AG74" s="539">
        <f t="shared" si="31"/>
        <v>5194.078125</v>
      </c>
      <c r="AH74" s="539">
        <f t="shared" si="31"/>
        <v>3446.8125</v>
      </c>
      <c r="AI74" s="539">
        <f t="shared" si="31"/>
        <v>0</v>
      </c>
      <c r="AJ74" s="539">
        <f t="shared" si="31"/>
        <v>0</v>
      </c>
      <c r="AK74" s="539">
        <f t="shared" si="31"/>
        <v>0</v>
      </c>
      <c r="AL74" s="539">
        <f t="shared" si="31"/>
        <v>0</v>
      </c>
      <c r="AM74" s="539">
        <f t="shared" si="31"/>
        <v>0</v>
      </c>
      <c r="AN74" s="539">
        <f t="shared" si="31"/>
        <v>0</v>
      </c>
      <c r="AO74" s="539">
        <f t="shared" si="31"/>
        <v>0</v>
      </c>
      <c r="AP74" s="539">
        <f t="shared" si="31"/>
        <v>0</v>
      </c>
      <c r="AQ74" s="539">
        <f t="shared" si="31"/>
        <v>0</v>
      </c>
      <c r="AR74" s="539">
        <f t="shared" si="31"/>
        <v>0</v>
      </c>
      <c r="AS74" s="539">
        <f t="shared" si="31"/>
        <v>0</v>
      </c>
      <c r="AT74" s="539">
        <f t="shared" si="31"/>
        <v>0</v>
      </c>
      <c r="AU74" s="539">
        <f t="shared" si="31"/>
        <v>0</v>
      </c>
      <c r="AV74" s="539">
        <f t="shared" si="31"/>
        <v>0</v>
      </c>
      <c r="AW74" s="539">
        <f t="shared" si="31"/>
        <v>0</v>
      </c>
      <c r="AX74" s="539">
        <f t="shared" si="31"/>
        <v>0</v>
      </c>
      <c r="AY74" s="539">
        <f t="shared" si="31"/>
        <v>0</v>
      </c>
      <c r="AZ74" s="539">
        <f t="shared" si="31"/>
        <v>0</v>
      </c>
      <c r="BA74" s="539">
        <f t="shared" si="31"/>
        <v>0</v>
      </c>
      <c r="BB74" s="539">
        <f t="shared" si="31"/>
        <v>0</v>
      </c>
      <c r="BC74" s="539">
        <f t="shared" si="31"/>
        <v>0</v>
      </c>
      <c r="BD74" s="539">
        <f t="shared" si="31"/>
        <v>0</v>
      </c>
      <c r="BE74" s="539">
        <f t="shared" si="31"/>
        <v>0</v>
      </c>
      <c r="BF74" s="539">
        <f t="shared" si="31"/>
        <v>0</v>
      </c>
      <c r="BG74" s="539">
        <f t="shared" si="31"/>
        <v>0</v>
      </c>
      <c r="BH74" s="539">
        <f t="shared" si="31"/>
        <v>0</v>
      </c>
      <c r="BI74" s="539">
        <f t="shared" si="31"/>
        <v>0</v>
      </c>
      <c r="BJ74" s="539">
        <f t="shared" si="31"/>
        <v>0</v>
      </c>
      <c r="BK74" s="539">
        <f t="shared" si="31"/>
        <v>0</v>
      </c>
      <c r="BL74" s="539">
        <f t="shared" si="31"/>
        <v>0</v>
      </c>
      <c r="BM74" s="539">
        <f t="shared" si="31"/>
        <v>0</v>
      </c>
      <c r="BN74" s="539">
        <f t="shared" si="31"/>
        <v>0</v>
      </c>
      <c r="BO74" s="539">
        <f t="shared" si="31"/>
        <v>0</v>
      </c>
      <c r="BP74" s="539">
        <f t="shared" si="31"/>
        <v>0</v>
      </c>
      <c r="BQ74" s="539">
        <f t="shared" si="31"/>
        <v>0</v>
      </c>
      <c r="BR74" s="539">
        <f t="shared" si="31"/>
        <v>0</v>
      </c>
      <c r="BS74" s="539">
        <f t="shared" si="31"/>
        <v>0</v>
      </c>
      <c r="BT74" s="539">
        <f t="shared" si="31"/>
        <v>0</v>
      </c>
      <c r="BU74" s="539">
        <f t="shared" si="31"/>
        <v>0</v>
      </c>
      <c r="BV74" s="539">
        <f t="shared" si="31"/>
        <v>0</v>
      </c>
      <c r="BW74" s="539">
        <f t="shared" si="31"/>
        <v>0</v>
      </c>
      <c r="BX74" s="539">
        <f t="shared" si="31"/>
        <v>0</v>
      </c>
      <c r="BY74" s="539">
        <f t="shared" si="31"/>
        <v>0</v>
      </c>
      <c r="BZ74" s="539">
        <f t="shared" si="31"/>
        <v>0</v>
      </c>
      <c r="CA74" s="539">
        <f t="shared" si="31"/>
        <v>0</v>
      </c>
      <c r="CB74" s="539">
        <f t="shared" si="31"/>
        <v>0</v>
      </c>
      <c r="CC74" s="539">
        <f t="shared" si="31"/>
        <v>0</v>
      </c>
      <c r="CD74" s="539">
        <f t="shared" si="31"/>
        <v>0</v>
      </c>
      <c r="CE74" s="539">
        <f t="shared" si="31"/>
        <v>0</v>
      </c>
      <c r="CF74" s="539">
        <f t="shared" si="31"/>
        <v>0</v>
      </c>
      <c r="CG74" s="539">
        <f t="shared" si="31"/>
        <v>0</v>
      </c>
      <c r="CH74" s="539">
        <f t="shared" si="31"/>
        <v>0</v>
      </c>
      <c r="CI74" s="539">
        <f t="shared" si="31"/>
        <v>0</v>
      </c>
      <c r="CJ74" s="539">
        <f t="shared" si="31"/>
        <v>0</v>
      </c>
      <c r="CK74" s="539">
        <f t="shared" si="31"/>
        <v>0</v>
      </c>
      <c r="CL74" s="539">
        <f t="shared" si="31"/>
        <v>0</v>
      </c>
      <c r="CM74" s="539">
        <f t="shared" si="31"/>
        <v>0</v>
      </c>
      <c r="CN74" s="539">
        <f t="shared" si="31"/>
        <v>0</v>
      </c>
      <c r="CO74" s="539">
        <f t="shared" si="31"/>
        <v>0</v>
      </c>
      <c r="CP74" s="539">
        <f t="shared" si="31"/>
        <v>0</v>
      </c>
      <c r="CQ74" s="539">
        <f t="shared" si="31"/>
        <v>0</v>
      </c>
      <c r="CR74" s="539">
        <f t="shared" si="31"/>
        <v>0</v>
      </c>
      <c r="CS74" s="539">
        <f t="shared" si="31"/>
        <v>0</v>
      </c>
      <c r="CT74" s="539">
        <f t="shared" si="31"/>
        <v>0</v>
      </c>
      <c r="CU74" s="539">
        <f t="shared" si="31"/>
        <v>0</v>
      </c>
      <c r="CV74" s="539">
        <f t="shared" si="31"/>
        <v>0</v>
      </c>
      <c r="CW74" s="539">
        <f t="shared" si="31"/>
        <v>0</v>
      </c>
      <c r="CX74" s="539">
        <f t="shared" si="31"/>
        <v>0</v>
      </c>
      <c r="CY74" s="539">
        <f t="shared" si="31"/>
        <v>0</v>
      </c>
      <c r="CZ74" s="539">
        <f t="shared" si="31"/>
        <v>0</v>
      </c>
      <c r="DA74" s="539">
        <f t="shared" si="31"/>
        <v>0</v>
      </c>
      <c r="DB74" s="539">
        <f t="shared" si="31"/>
        <v>0</v>
      </c>
      <c r="DC74" s="539">
        <f t="shared" si="31"/>
        <v>0</v>
      </c>
      <c r="DD74" s="539">
        <f t="shared" si="31"/>
        <v>0</v>
      </c>
      <c r="DE74" s="539">
        <f t="shared" si="31"/>
        <v>0</v>
      </c>
      <c r="DF74" s="539">
        <f t="shared" si="31"/>
        <v>0</v>
      </c>
      <c r="DG74" s="539">
        <f t="shared" si="31"/>
        <v>0</v>
      </c>
      <c r="DH74" s="539">
        <f t="shared" si="31"/>
        <v>0</v>
      </c>
      <c r="DI74" s="539">
        <f t="shared" si="31"/>
        <v>0</v>
      </c>
      <c r="DJ74" s="539">
        <f t="shared" si="31"/>
        <v>0</v>
      </c>
      <c r="DK74" s="539">
        <f t="shared" si="31"/>
        <v>0</v>
      </c>
      <c r="DL74" s="539">
        <f t="shared" si="31"/>
        <v>0</v>
      </c>
      <c r="DM74" s="539">
        <f t="shared" si="31"/>
        <v>0</v>
      </c>
      <c r="DN74" s="539">
        <f t="shared" si="31"/>
        <v>0</v>
      </c>
      <c r="DO74" s="539">
        <f t="shared" si="31"/>
        <v>0</v>
      </c>
      <c r="DP74" s="539">
        <f t="shared" si="31"/>
        <v>0</v>
      </c>
      <c r="DQ74" s="539">
        <f t="shared" si="31"/>
        <v>0</v>
      </c>
      <c r="DR74" s="539">
        <f t="shared" si="31"/>
        <v>0</v>
      </c>
      <c r="DS74" s="539">
        <f t="shared" si="31"/>
        <v>0</v>
      </c>
      <c r="DT74" s="539">
        <f t="shared" si="31"/>
        <v>0</v>
      </c>
      <c r="DU74" s="539">
        <f t="shared" si="31"/>
        <v>0</v>
      </c>
      <c r="DV74" s="539">
        <f t="shared" si="31"/>
        <v>0</v>
      </c>
      <c r="DW74" s="539">
        <f t="shared" si="31"/>
        <v>0</v>
      </c>
      <c r="DX74" s="539">
        <f t="shared" si="31"/>
        <v>0</v>
      </c>
      <c r="DY74" s="539">
        <f t="shared" si="31"/>
        <v>0</v>
      </c>
      <c r="DZ74" s="539">
        <f t="shared" si="31"/>
        <v>0</v>
      </c>
      <c r="EA74" s="539">
        <f t="shared" si="31"/>
        <v>0</v>
      </c>
      <c r="EB74" s="539">
        <f t="shared" si="31"/>
        <v>0</v>
      </c>
      <c r="EC74" s="539">
        <f t="shared" si="31"/>
        <v>0</v>
      </c>
      <c r="ED74" s="539">
        <f t="shared" si="31"/>
        <v>0</v>
      </c>
      <c r="EE74" s="539">
        <f t="shared" si="31"/>
        <v>0</v>
      </c>
      <c r="EF74" s="539">
        <f t="shared" si="31"/>
        <v>0</v>
      </c>
      <c r="EG74" s="539">
        <f t="shared" si="31"/>
        <v>0</v>
      </c>
    </row>
    <row r="75" spans="5:137" ht="12.75">
      <c r="E75" s="540" t="s">
        <v>216</v>
      </c>
      <c r="G75" s="541" t="s">
        <v>30</v>
      </c>
      <c r="H75" s="541">
        <f>SUM(J75:EG75)</f>
        <v>56710.5</v>
      </c>
      <c r="J75" s="541">
        <f t="shared" si="32" ref="J75:EG75">MIN(J73,J74+J72)</f>
        <v>0</v>
      </c>
      <c r="K75" s="541">
        <f t="shared" si="32"/>
        <v>0</v>
      </c>
      <c r="L75" s="541">
        <f t="shared" si="32"/>
        <v>0</v>
      </c>
      <c r="M75" s="541">
        <f t="shared" si="32"/>
        <v>0</v>
      </c>
      <c r="N75" s="541">
        <f t="shared" si="32"/>
        <v>0</v>
      </c>
      <c r="O75" s="541">
        <f t="shared" si="32"/>
        <v>0</v>
      </c>
      <c r="P75" s="541">
        <f t="shared" si="32"/>
        <v>2658.3125</v>
      </c>
      <c r="Q75" s="541">
        <f t="shared" si="32"/>
        <v>2723.9375</v>
      </c>
      <c r="R75" s="541">
        <f t="shared" si="32"/>
        <v>2658.3125</v>
      </c>
      <c r="S75" s="541">
        <f t="shared" si="32"/>
        <v>2723.9375</v>
      </c>
      <c r="T75" s="541">
        <f t="shared" si="32"/>
        <v>2658.3125</v>
      </c>
      <c r="U75" s="541">
        <f t="shared" si="32"/>
        <v>3388.390625</v>
      </c>
      <c r="V75" s="541">
        <f t="shared" si="32"/>
        <v>3527.84375</v>
      </c>
      <c r="W75" s="541">
        <f t="shared" si="32"/>
        <v>3593.46875</v>
      </c>
      <c r="X75" s="541">
        <f t="shared" si="32"/>
        <v>3659.09375</v>
      </c>
      <c r="Y75" s="541">
        <f t="shared" si="32"/>
        <v>3396.59375</v>
      </c>
      <c r="Z75" s="541">
        <f t="shared" si="32"/>
        <v>3363.78125</v>
      </c>
      <c r="AA75" s="541">
        <f t="shared" si="32"/>
        <v>3002.84375</v>
      </c>
      <c r="AB75" s="541">
        <f t="shared" si="32"/>
        <v>2609.09375</v>
      </c>
      <c r="AC75" s="541">
        <f t="shared" si="32"/>
        <v>2412.21875</v>
      </c>
      <c r="AD75" s="541">
        <f t="shared" si="32"/>
        <v>2707.53125</v>
      </c>
      <c r="AE75" s="541">
        <f t="shared" si="32"/>
        <v>2838.78125</v>
      </c>
      <c r="AF75" s="541">
        <f t="shared" si="32"/>
        <v>2805.96875</v>
      </c>
      <c r="AG75" s="541">
        <f t="shared" si="32"/>
        <v>2535.265625</v>
      </c>
      <c r="AH75" s="541">
        <f t="shared" si="32"/>
        <v>3446.8125</v>
      </c>
      <c r="AI75" s="541">
        <f t="shared" si="32"/>
        <v>0</v>
      </c>
      <c r="AJ75" s="541">
        <f t="shared" si="32"/>
        <v>0</v>
      </c>
      <c r="AK75" s="541">
        <f t="shared" si="32"/>
        <v>0</v>
      </c>
      <c r="AL75" s="541">
        <f t="shared" si="32"/>
        <v>0</v>
      </c>
      <c r="AM75" s="541">
        <f t="shared" si="32"/>
        <v>0</v>
      </c>
      <c r="AN75" s="541">
        <f t="shared" si="32"/>
        <v>0</v>
      </c>
      <c r="AO75" s="541">
        <f t="shared" si="32"/>
        <v>0</v>
      </c>
      <c r="AP75" s="541">
        <f t="shared" si="32"/>
        <v>0</v>
      </c>
      <c r="AQ75" s="541">
        <f t="shared" si="32"/>
        <v>0</v>
      </c>
      <c r="AR75" s="541">
        <f t="shared" si="32"/>
        <v>0</v>
      </c>
      <c r="AS75" s="541">
        <f t="shared" si="32"/>
        <v>0</v>
      </c>
      <c r="AT75" s="541">
        <f t="shared" si="32"/>
        <v>0</v>
      </c>
      <c r="AU75" s="541">
        <f t="shared" si="32"/>
        <v>0</v>
      </c>
      <c r="AV75" s="541">
        <f t="shared" si="32"/>
        <v>0</v>
      </c>
      <c r="AW75" s="541">
        <f t="shared" si="32"/>
        <v>0</v>
      </c>
      <c r="AX75" s="541">
        <f t="shared" si="32"/>
        <v>0</v>
      </c>
      <c r="AY75" s="541">
        <f t="shared" si="32"/>
        <v>0</v>
      </c>
      <c r="AZ75" s="541">
        <f t="shared" si="32"/>
        <v>0</v>
      </c>
      <c r="BA75" s="541">
        <f t="shared" si="32"/>
        <v>0</v>
      </c>
      <c r="BB75" s="541">
        <f t="shared" si="32"/>
        <v>0</v>
      </c>
      <c r="BC75" s="541">
        <f t="shared" si="32"/>
        <v>0</v>
      </c>
      <c r="BD75" s="541">
        <f t="shared" si="32"/>
        <v>0</v>
      </c>
      <c r="BE75" s="541">
        <f t="shared" si="32"/>
        <v>0</v>
      </c>
      <c r="BF75" s="541">
        <f t="shared" si="32"/>
        <v>0</v>
      </c>
      <c r="BG75" s="541">
        <f t="shared" si="32"/>
        <v>0</v>
      </c>
      <c r="BH75" s="541">
        <f t="shared" si="32"/>
        <v>0</v>
      </c>
      <c r="BI75" s="541">
        <f t="shared" si="32"/>
        <v>0</v>
      </c>
      <c r="BJ75" s="541">
        <f t="shared" si="32"/>
        <v>0</v>
      </c>
      <c r="BK75" s="541">
        <f t="shared" si="32"/>
        <v>0</v>
      </c>
      <c r="BL75" s="541">
        <f t="shared" si="32"/>
        <v>0</v>
      </c>
      <c r="BM75" s="541">
        <f t="shared" si="32"/>
        <v>0</v>
      </c>
      <c r="BN75" s="541">
        <f t="shared" si="32"/>
        <v>0</v>
      </c>
      <c r="BO75" s="541">
        <f t="shared" si="32"/>
        <v>0</v>
      </c>
      <c r="BP75" s="541">
        <f t="shared" si="32"/>
        <v>0</v>
      </c>
      <c r="BQ75" s="541">
        <f t="shared" si="32"/>
        <v>0</v>
      </c>
      <c r="BR75" s="541">
        <f t="shared" si="32"/>
        <v>0</v>
      </c>
      <c r="BS75" s="541">
        <f t="shared" si="32"/>
        <v>0</v>
      </c>
      <c r="BT75" s="541">
        <f t="shared" si="32"/>
        <v>0</v>
      </c>
      <c r="BU75" s="541">
        <f t="shared" si="32"/>
        <v>0</v>
      </c>
      <c r="BV75" s="541">
        <f t="shared" si="32"/>
        <v>0</v>
      </c>
      <c r="BW75" s="541">
        <f t="shared" si="32"/>
        <v>0</v>
      </c>
      <c r="BX75" s="541">
        <f t="shared" si="32"/>
        <v>0</v>
      </c>
      <c r="BY75" s="541">
        <f t="shared" si="32"/>
        <v>0</v>
      </c>
      <c r="BZ75" s="541">
        <f t="shared" si="32"/>
        <v>0</v>
      </c>
      <c r="CA75" s="541">
        <f t="shared" si="32"/>
        <v>0</v>
      </c>
      <c r="CB75" s="541">
        <f t="shared" si="32"/>
        <v>0</v>
      </c>
      <c r="CC75" s="541">
        <f t="shared" si="32"/>
        <v>0</v>
      </c>
      <c r="CD75" s="541">
        <f t="shared" si="32"/>
        <v>0</v>
      </c>
      <c r="CE75" s="541">
        <f t="shared" si="32"/>
        <v>0</v>
      </c>
      <c r="CF75" s="541">
        <f t="shared" si="32"/>
        <v>0</v>
      </c>
      <c r="CG75" s="541">
        <f t="shared" si="32"/>
        <v>0</v>
      </c>
      <c r="CH75" s="541">
        <f t="shared" si="32"/>
        <v>0</v>
      </c>
      <c r="CI75" s="541">
        <f t="shared" si="32"/>
        <v>0</v>
      </c>
      <c r="CJ75" s="541">
        <f t="shared" si="32"/>
        <v>0</v>
      </c>
      <c r="CK75" s="541">
        <f t="shared" si="32"/>
        <v>0</v>
      </c>
      <c r="CL75" s="541">
        <f t="shared" si="32"/>
        <v>0</v>
      </c>
      <c r="CM75" s="541">
        <f t="shared" si="32"/>
        <v>0</v>
      </c>
      <c r="CN75" s="541">
        <f t="shared" si="32"/>
        <v>0</v>
      </c>
      <c r="CO75" s="541">
        <f t="shared" si="32"/>
        <v>0</v>
      </c>
      <c r="CP75" s="541">
        <f t="shared" si="32"/>
        <v>0</v>
      </c>
      <c r="CQ75" s="541">
        <f t="shared" si="32"/>
        <v>0</v>
      </c>
      <c r="CR75" s="541">
        <f t="shared" si="32"/>
        <v>0</v>
      </c>
      <c r="CS75" s="541">
        <f t="shared" si="32"/>
        <v>0</v>
      </c>
      <c r="CT75" s="541">
        <f t="shared" si="32"/>
        <v>0</v>
      </c>
      <c r="CU75" s="541">
        <f t="shared" si="32"/>
        <v>0</v>
      </c>
      <c r="CV75" s="541">
        <f t="shared" si="32"/>
        <v>0</v>
      </c>
      <c r="CW75" s="541">
        <f t="shared" si="32"/>
        <v>0</v>
      </c>
      <c r="CX75" s="541">
        <f t="shared" si="32"/>
        <v>0</v>
      </c>
      <c r="CY75" s="541">
        <f t="shared" si="32"/>
        <v>0</v>
      </c>
      <c r="CZ75" s="541">
        <f t="shared" si="32"/>
        <v>0</v>
      </c>
      <c r="DA75" s="541">
        <f t="shared" si="32"/>
        <v>0</v>
      </c>
      <c r="DB75" s="541">
        <f t="shared" si="32"/>
        <v>0</v>
      </c>
      <c r="DC75" s="541">
        <f t="shared" si="32"/>
        <v>0</v>
      </c>
      <c r="DD75" s="541">
        <f t="shared" si="32"/>
        <v>0</v>
      </c>
      <c r="DE75" s="541">
        <f t="shared" si="32"/>
        <v>0</v>
      </c>
      <c r="DF75" s="541">
        <f t="shared" si="32"/>
        <v>0</v>
      </c>
      <c r="DG75" s="541">
        <f t="shared" si="32"/>
        <v>0</v>
      </c>
      <c r="DH75" s="541">
        <f t="shared" si="32"/>
        <v>0</v>
      </c>
      <c r="DI75" s="541">
        <f t="shared" si="32"/>
        <v>0</v>
      </c>
      <c r="DJ75" s="541">
        <f t="shared" si="32"/>
        <v>0</v>
      </c>
      <c r="DK75" s="541">
        <f t="shared" si="32"/>
        <v>0</v>
      </c>
      <c r="DL75" s="541">
        <f t="shared" si="32"/>
        <v>0</v>
      </c>
      <c r="DM75" s="541">
        <f t="shared" si="32"/>
        <v>0</v>
      </c>
      <c r="DN75" s="541">
        <f t="shared" si="32"/>
        <v>0</v>
      </c>
      <c r="DO75" s="541">
        <f t="shared" si="32"/>
        <v>0</v>
      </c>
      <c r="DP75" s="541">
        <f t="shared" si="32"/>
        <v>0</v>
      </c>
      <c r="DQ75" s="541">
        <f t="shared" si="32"/>
        <v>0</v>
      </c>
      <c r="DR75" s="541">
        <f t="shared" si="32"/>
        <v>0</v>
      </c>
      <c r="DS75" s="541">
        <f t="shared" si="32"/>
        <v>0</v>
      </c>
      <c r="DT75" s="541">
        <f t="shared" si="32"/>
        <v>0</v>
      </c>
      <c r="DU75" s="541">
        <f t="shared" si="32"/>
        <v>0</v>
      </c>
      <c r="DV75" s="541">
        <f t="shared" si="32"/>
        <v>0</v>
      </c>
      <c r="DW75" s="541">
        <f t="shared" si="32"/>
        <v>0</v>
      </c>
      <c r="DX75" s="541">
        <f t="shared" si="32"/>
        <v>0</v>
      </c>
      <c r="DY75" s="541">
        <f t="shared" si="32"/>
        <v>0</v>
      </c>
      <c r="DZ75" s="541">
        <f t="shared" si="32"/>
        <v>0</v>
      </c>
      <c r="EA75" s="541">
        <f t="shared" si="32"/>
        <v>0</v>
      </c>
      <c r="EB75" s="541">
        <f t="shared" si="32"/>
        <v>0</v>
      </c>
      <c r="EC75" s="541">
        <f t="shared" si="32"/>
        <v>0</v>
      </c>
      <c r="ED75" s="541">
        <f t="shared" si="32"/>
        <v>0</v>
      </c>
      <c r="EE75" s="541">
        <f t="shared" si="32"/>
        <v>0</v>
      </c>
      <c r="EF75" s="541">
        <f t="shared" si="32"/>
        <v>0</v>
      </c>
      <c r="EG75" s="541">
        <f t="shared" si="32"/>
        <v>0</v>
      </c>
    </row>
    <row r="77" spans="5:137" ht="12.75">
      <c r="E77" s="538" t="str">
        <f>E$57</f>
        <v>VAT - paid on capex</v>
      </c>
      <c r="G77" s="539" t="str">
        <f>G$57</f>
        <v>EUR 000s</v>
      </c>
      <c r="H77" s="539">
        <f>H$57</f>
        <v>56710.5</v>
      </c>
      <c r="J77" s="539">
        <f t="shared" si="33" ref="J77:EG77">J$57</f>
        <v>0</v>
      </c>
      <c r="K77" s="539">
        <f t="shared" si="33"/>
        <v>0</v>
      </c>
      <c r="L77" s="539">
        <f t="shared" si="33"/>
        <v>0</v>
      </c>
      <c r="M77" s="539">
        <f t="shared" si="33"/>
        <v>2658.3125</v>
      </c>
      <c r="N77" s="539">
        <f t="shared" si="33"/>
        <v>2723.9375</v>
      </c>
      <c r="O77" s="539">
        <f t="shared" si="33"/>
        <v>2658.3125</v>
      </c>
      <c r="P77" s="539">
        <f t="shared" si="33"/>
        <v>2723.9375</v>
      </c>
      <c r="Q77" s="539">
        <f t="shared" si="33"/>
        <v>2658.3125</v>
      </c>
      <c r="R77" s="539">
        <f t="shared" si="33"/>
        <v>3388.390625</v>
      </c>
      <c r="S77" s="539">
        <f t="shared" si="33"/>
        <v>3527.84375</v>
      </c>
      <c r="T77" s="539">
        <f t="shared" si="33"/>
        <v>3593.46875</v>
      </c>
      <c r="U77" s="539">
        <f t="shared" si="33"/>
        <v>3659.09375</v>
      </c>
      <c r="V77" s="539">
        <f t="shared" si="33"/>
        <v>3396.59375</v>
      </c>
      <c r="W77" s="539">
        <f t="shared" si="33"/>
        <v>3363.78125</v>
      </c>
      <c r="X77" s="539">
        <f t="shared" si="33"/>
        <v>3002.84375</v>
      </c>
      <c r="Y77" s="539">
        <f t="shared" si="33"/>
        <v>2609.09375</v>
      </c>
      <c r="Z77" s="539">
        <f t="shared" si="33"/>
        <v>2412.21875</v>
      </c>
      <c r="AA77" s="539">
        <f t="shared" si="33"/>
        <v>2707.53125</v>
      </c>
      <c r="AB77" s="539">
        <f t="shared" si="33"/>
        <v>2838.78125</v>
      </c>
      <c r="AC77" s="539">
        <f t="shared" si="33"/>
        <v>2805.96875</v>
      </c>
      <c r="AD77" s="539">
        <f t="shared" si="33"/>
        <v>2535.265625</v>
      </c>
      <c r="AE77" s="539">
        <f t="shared" si="33"/>
        <v>1509.875</v>
      </c>
      <c r="AF77" s="539">
        <f t="shared" si="33"/>
        <v>1148.9375</v>
      </c>
      <c r="AG77" s="539">
        <f t="shared" si="33"/>
        <v>788</v>
      </c>
      <c r="AH77" s="539">
        <f t="shared" si="33"/>
        <v>0</v>
      </c>
      <c r="AI77" s="539">
        <f t="shared" si="33"/>
        <v>0</v>
      </c>
      <c r="AJ77" s="539">
        <f t="shared" si="33"/>
        <v>0</v>
      </c>
      <c r="AK77" s="539">
        <f t="shared" si="33"/>
        <v>0</v>
      </c>
      <c r="AL77" s="539">
        <f t="shared" si="33"/>
        <v>0</v>
      </c>
      <c r="AM77" s="539">
        <f t="shared" si="33"/>
        <v>0</v>
      </c>
      <c r="AN77" s="539">
        <f t="shared" si="33"/>
        <v>0</v>
      </c>
      <c r="AO77" s="539">
        <f t="shared" si="33"/>
        <v>0</v>
      </c>
      <c r="AP77" s="539">
        <f t="shared" si="33"/>
        <v>0</v>
      </c>
      <c r="AQ77" s="539">
        <f t="shared" si="33"/>
        <v>0</v>
      </c>
      <c r="AR77" s="539">
        <f t="shared" si="33"/>
        <v>0</v>
      </c>
      <c r="AS77" s="539">
        <f t="shared" si="33"/>
        <v>0</v>
      </c>
      <c r="AT77" s="539">
        <f t="shared" si="33"/>
        <v>0</v>
      </c>
      <c r="AU77" s="539">
        <f t="shared" si="33"/>
        <v>0</v>
      </c>
      <c r="AV77" s="539">
        <f t="shared" si="33"/>
        <v>0</v>
      </c>
      <c r="AW77" s="539">
        <f t="shared" si="33"/>
        <v>0</v>
      </c>
      <c r="AX77" s="539">
        <f t="shared" si="33"/>
        <v>0</v>
      </c>
      <c r="AY77" s="539">
        <f t="shared" si="33"/>
        <v>0</v>
      </c>
      <c r="AZ77" s="539">
        <f t="shared" si="33"/>
        <v>0</v>
      </c>
      <c r="BA77" s="539">
        <f t="shared" si="33"/>
        <v>0</v>
      </c>
      <c r="BB77" s="539">
        <f t="shared" si="33"/>
        <v>0</v>
      </c>
      <c r="BC77" s="539">
        <f t="shared" si="33"/>
        <v>0</v>
      </c>
      <c r="BD77" s="539">
        <f t="shared" si="33"/>
        <v>0</v>
      </c>
      <c r="BE77" s="539">
        <f t="shared" si="33"/>
        <v>0</v>
      </c>
      <c r="BF77" s="539">
        <f t="shared" si="33"/>
        <v>0</v>
      </c>
      <c r="BG77" s="539">
        <f t="shared" si="33"/>
        <v>0</v>
      </c>
      <c r="BH77" s="539">
        <f t="shared" si="33"/>
        <v>0</v>
      </c>
      <c r="BI77" s="539">
        <f t="shared" si="33"/>
        <v>0</v>
      </c>
      <c r="BJ77" s="539">
        <f t="shared" si="33"/>
        <v>0</v>
      </c>
      <c r="BK77" s="539">
        <f t="shared" si="33"/>
        <v>0</v>
      </c>
      <c r="BL77" s="539">
        <f t="shared" si="33"/>
        <v>0</v>
      </c>
      <c r="BM77" s="539">
        <f t="shared" si="33"/>
        <v>0</v>
      </c>
      <c r="BN77" s="539">
        <f t="shared" si="33"/>
        <v>0</v>
      </c>
      <c r="BO77" s="539">
        <f t="shared" si="33"/>
        <v>0</v>
      </c>
      <c r="BP77" s="539">
        <f t="shared" si="33"/>
        <v>0</v>
      </c>
      <c r="BQ77" s="539">
        <f t="shared" si="33"/>
        <v>0</v>
      </c>
      <c r="BR77" s="539">
        <f t="shared" si="33"/>
        <v>0</v>
      </c>
      <c r="BS77" s="539">
        <f t="shared" si="33"/>
        <v>0</v>
      </c>
      <c r="BT77" s="539">
        <f t="shared" si="33"/>
        <v>0</v>
      </c>
      <c r="BU77" s="539">
        <f t="shared" si="33"/>
        <v>0</v>
      </c>
      <c r="BV77" s="539">
        <f t="shared" si="33"/>
        <v>0</v>
      </c>
      <c r="BW77" s="539">
        <f t="shared" si="33"/>
        <v>0</v>
      </c>
      <c r="BX77" s="539">
        <f t="shared" si="33"/>
        <v>0</v>
      </c>
      <c r="BY77" s="539">
        <f t="shared" si="33"/>
        <v>0</v>
      </c>
      <c r="BZ77" s="539">
        <f t="shared" si="33"/>
        <v>0</v>
      </c>
      <c r="CA77" s="539">
        <f t="shared" si="33"/>
        <v>0</v>
      </c>
      <c r="CB77" s="539">
        <f t="shared" si="33"/>
        <v>0</v>
      </c>
      <c r="CC77" s="539">
        <f t="shared" si="33"/>
        <v>0</v>
      </c>
      <c r="CD77" s="539">
        <f t="shared" si="33"/>
        <v>0</v>
      </c>
      <c r="CE77" s="539">
        <f t="shared" si="33"/>
        <v>0</v>
      </c>
      <c r="CF77" s="539">
        <f t="shared" si="33"/>
        <v>0</v>
      </c>
      <c r="CG77" s="539">
        <f t="shared" si="33"/>
        <v>0</v>
      </c>
      <c r="CH77" s="539">
        <f t="shared" si="33"/>
        <v>0</v>
      </c>
      <c r="CI77" s="539">
        <f t="shared" si="33"/>
        <v>0</v>
      </c>
      <c r="CJ77" s="539">
        <f t="shared" si="33"/>
        <v>0</v>
      </c>
      <c r="CK77" s="539">
        <f t="shared" si="33"/>
        <v>0</v>
      </c>
      <c r="CL77" s="539">
        <f t="shared" si="33"/>
        <v>0</v>
      </c>
      <c r="CM77" s="539">
        <f t="shared" si="33"/>
        <v>0</v>
      </c>
      <c r="CN77" s="539">
        <f t="shared" si="33"/>
        <v>0</v>
      </c>
      <c r="CO77" s="539">
        <f t="shared" si="33"/>
        <v>0</v>
      </c>
      <c r="CP77" s="539">
        <f t="shared" si="33"/>
        <v>0</v>
      </c>
      <c r="CQ77" s="539">
        <f t="shared" si="33"/>
        <v>0</v>
      </c>
      <c r="CR77" s="539">
        <f t="shared" si="33"/>
        <v>0</v>
      </c>
      <c r="CS77" s="539">
        <f t="shared" si="33"/>
        <v>0</v>
      </c>
      <c r="CT77" s="539">
        <f t="shared" si="33"/>
        <v>0</v>
      </c>
      <c r="CU77" s="539">
        <f t="shared" si="33"/>
        <v>0</v>
      </c>
      <c r="CV77" s="539">
        <f t="shared" si="33"/>
        <v>0</v>
      </c>
      <c r="CW77" s="539">
        <f t="shared" si="33"/>
        <v>0</v>
      </c>
      <c r="CX77" s="539">
        <f t="shared" si="33"/>
        <v>0</v>
      </c>
      <c r="CY77" s="539">
        <f t="shared" si="33"/>
        <v>0</v>
      </c>
      <c r="CZ77" s="539">
        <f t="shared" si="33"/>
        <v>0</v>
      </c>
      <c r="DA77" s="539">
        <f t="shared" si="33"/>
        <v>0</v>
      </c>
      <c r="DB77" s="539">
        <f t="shared" si="33"/>
        <v>0</v>
      </c>
      <c r="DC77" s="539">
        <f t="shared" si="33"/>
        <v>0</v>
      </c>
      <c r="DD77" s="539">
        <f t="shared" si="33"/>
        <v>0</v>
      </c>
      <c r="DE77" s="539">
        <f t="shared" si="33"/>
        <v>0</v>
      </c>
      <c r="DF77" s="539">
        <f t="shared" si="33"/>
        <v>0</v>
      </c>
      <c r="DG77" s="539">
        <f t="shared" si="33"/>
        <v>0</v>
      </c>
      <c r="DH77" s="539">
        <f t="shared" si="33"/>
        <v>0</v>
      </c>
      <c r="DI77" s="539">
        <f t="shared" si="33"/>
        <v>0</v>
      </c>
      <c r="DJ77" s="539">
        <f t="shared" si="33"/>
        <v>0</v>
      </c>
      <c r="DK77" s="539">
        <f t="shared" si="33"/>
        <v>0</v>
      </c>
      <c r="DL77" s="539">
        <f t="shared" si="33"/>
        <v>0</v>
      </c>
      <c r="DM77" s="539">
        <f t="shared" si="33"/>
        <v>0</v>
      </c>
      <c r="DN77" s="539">
        <f t="shared" si="33"/>
        <v>0</v>
      </c>
      <c r="DO77" s="539">
        <f t="shared" si="33"/>
        <v>0</v>
      </c>
      <c r="DP77" s="539">
        <f t="shared" si="33"/>
        <v>0</v>
      </c>
      <c r="DQ77" s="539">
        <f t="shared" si="33"/>
        <v>0</v>
      </c>
      <c r="DR77" s="539">
        <f t="shared" si="33"/>
        <v>0</v>
      </c>
      <c r="DS77" s="539">
        <f t="shared" si="33"/>
        <v>0</v>
      </c>
      <c r="DT77" s="539">
        <f t="shared" si="33"/>
        <v>0</v>
      </c>
      <c r="DU77" s="539">
        <f t="shared" si="33"/>
        <v>0</v>
      </c>
      <c r="DV77" s="539">
        <f t="shared" si="33"/>
        <v>0</v>
      </c>
      <c r="DW77" s="539">
        <f t="shared" si="33"/>
        <v>0</v>
      </c>
      <c r="DX77" s="539">
        <f t="shared" si="33"/>
        <v>0</v>
      </c>
      <c r="DY77" s="539">
        <f t="shared" si="33"/>
        <v>0</v>
      </c>
      <c r="DZ77" s="539">
        <f t="shared" si="33"/>
        <v>0</v>
      </c>
      <c r="EA77" s="539">
        <f t="shared" si="33"/>
        <v>0</v>
      </c>
      <c r="EB77" s="539">
        <f t="shared" si="33"/>
        <v>0</v>
      </c>
      <c r="EC77" s="539">
        <f t="shared" si="33"/>
        <v>0</v>
      </c>
      <c r="ED77" s="539">
        <f t="shared" si="33"/>
        <v>0</v>
      </c>
      <c r="EE77" s="539">
        <f t="shared" si="33"/>
        <v>0</v>
      </c>
      <c r="EF77" s="539">
        <f t="shared" si="33"/>
        <v>0</v>
      </c>
      <c r="EG77" s="539">
        <f t="shared" si="33"/>
        <v>0</v>
      </c>
    </row>
    <row r="78" spans="5:137" ht="12.75">
      <c r="E78" s="538" t="str">
        <f>E$70</f>
        <v>VAT facility - opening balance</v>
      </c>
      <c r="G78" s="539" t="str">
        <f>G$70</f>
        <v>EUR 000s</v>
      </c>
      <c r="H78" s="539">
        <f>H$70</f>
        <v>167406.5625</v>
      </c>
      <c r="J78" s="539">
        <f t="shared" si="34" ref="J78:EG78">J$70</f>
        <v>0</v>
      </c>
      <c r="K78" s="539">
        <f t="shared" si="34"/>
        <v>0</v>
      </c>
      <c r="L78" s="539">
        <f t="shared" si="34"/>
        <v>0</v>
      </c>
      <c r="M78" s="539">
        <f t="shared" si="34"/>
        <v>0</v>
      </c>
      <c r="N78" s="539">
        <f t="shared" si="34"/>
        <v>2658.3125</v>
      </c>
      <c r="O78" s="539">
        <f t="shared" si="34"/>
        <v>5382.25</v>
      </c>
      <c r="P78" s="539">
        <f t="shared" si="34"/>
        <v>8040.5625</v>
      </c>
      <c r="Q78" s="539">
        <f t="shared" si="34"/>
        <v>8106.1875</v>
      </c>
      <c r="R78" s="539">
        <f t="shared" si="34"/>
        <v>8040.5625</v>
      </c>
      <c r="S78" s="539">
        <f t="shared" si="34"/>
        <v>8770.640625</v>
      </c>
      <c r="T78" s="539">
        <f t="shared" si="34"/>
        <v>9574.546875</v>
      </c>
      <c r="U78" s="539">
        <f t="shared" si="34"/>
        <v>10509.703125</v>
      </c>
      <c r="V78" s="539">
        <f t="shared" si="34"/>
        <v>10780.40625</v>
      </c>
      <c r="W78" s="539">
        <f t="shared" si="34"/>
        <v>10649.15625</v>
      </c>
      <c r="X78" s="539">
        <f t="shared" si="34"/>
        <v>10419.46875</v>
      </c>
      <c r="Y78" s="539">
        <f t="shared" si="34"/>
        <v>9763.21875</v>
      </c>
      <c r="Z78" s="539">
        <f t="shared" si="34"/>
        <v>8975.71875</v>
      </c>
      <c r="AA78" s="539">
        <f t="shared" si="34"/>
        <v>8024.15625</v>
      </c>
      <c r="AB78" s="539">
        <f t="shared" si="34"/>
        <v>7728.84375</v>
      </c>
      <c r="AC78" s="539">
        <f t="shared" si="34"/>
        <v>7958.53125</v>
      </c>
      <c r="AD78" s="539">
        <f t="shared" si="34"/>
        <v>8352.28125</v>
      </c>
      <c r="AE78" s="539">
        <f t="shared" si="34"/>
        <v>8180.015625</v>
      </c>
      <c r="AF78" s="539">
        <f t="shared" si="34"/>
        <v>6851.109375</v>
      </c>
      <c r="AG78" s="539">
        <f t="shared" si="34"/>
        <v>5194.078125</v>
      </c>
      <c r="AH78" s="539">
        <f t="shared" si="34"/>
        <v>3446.8125</v>
      </c>
      <c r="AI78" s="539">
        <f t="shared" si="34"/>
        <v>0</v>
      </c>
      <c r="AJ78" s="539">
        <f t="shared" si="34"/>
        <v>0</v>
      </c>
      <c r="AK78" s="539">
        <f t="shared" si="34"/>
        <v>0</v>
      </c>
      <c r="AL78" s="539">
        <f t="shared" si="34"/>
        <v>0</v>
      </c>
      <c r="AM78" s="539">
        <f t="shared" si="34"/>
        <v>0</v>
      </c>
      <c r="AN78" s="539">
        <f t="shared" si="34"/>
        <v>0</v>
      </c>
      <c r="AO78" s="539">
        <f t="shared" si="34"/>
        <v>0</v>
      </c>
      <c r="AP78" s="539">
        <f t="shared" si="34"/>
        <v>0</v>
      </c>
      <c r="AQ78" s="539">
        <f t="shared" si="34"/>
        <v>0</v>
      </c>
      <c r="AR78" s="539">
        <f t="shared" si="34"/>
        <v>0</v>
      </c>
      <c r="AS78" s="539">
        <f t="shared" si="34"/>
        <v>0</v>
      </c>
      <c r="AT78" s="539">
        <f t="shared" si="34"/>
        <v>0</v>
      </c>
      <c r="AU78" s="539">
        <f t="shared" si="34"/>
        <v>0</v>
      </c>
      <c r="AV78" s="539">
        <f t="shared" si="34"/>
        <v>0</v>
      </c>
      <c r="AW78" s="539">
        <f t="shared" si="34"/>
        <v>0</v>
      </c>
      <c r="AX78" s="539">
        <f t="shared" si="34"/>
        <v>0</v>
      </c>
      <c r="AY78" s="539">
        <f t="shared" si="34"/>
        <v>0</v>
      </c>
      <c r="AZ78" s="539">
        <f t="shared" si="34"/>
        <v>0</v>
      </c>
      <c r="BA78" s="539">
        <f t="shared" si="34"/>
        <v>0</v>
      </c>
      <c r="BB78" s="539">
        <f t="shared" si="34"/>
        <v>0</v>
      </c>
      <c r="BC78" s="539">
        <f t="shared" si="34"/>
        <v>0</v>
      </c>
      <c r="BD78" s="539">
        <f t="shared" si="34"/>
        <v>0</v>
      </c>
      <c r="BE78" s="539">
        <f t="shared" si="34"/>
        <v>0</v>
      </c>
      <c r="BF78" s="539">
        <f t="shared" si="34"/>
        <v>0</v>
      </c>
      <c r="BG78" s="539">
        <f t="shared" si="34"/>
        <v>0</v>
      </c>
      <c r="BH78" s="539">
        <f t="shared" si="34"/>
        <v>0</v>
      </c>
      <c r="BI78" s="539">
        <f t="shared" si="34"/>
        <v>0</v>
      </c>
      <c r="BJ78" s="539">
        <f t="shared" si="34"/>
        <v>0</v>
      </c>
      <c r="BK78" s="539">
        <f t="shared" si="34"/>
        <v>0</v>
      </c>
      <c r="BL78" s="539">
        <f t="shared" si="34"/>
        <v>0</v>
      </c>
      <c r="BM78" s="539">
        <f t="shared" si="34"/>
        <v>0</v>
      </c>
      <c r="BN78" s="539">
        <f t="shared" si="34"/>
        <v>0</v>
      </c>
      <c r="BO78" s="539">
        <f t="shared" si="34"/>
        <v>0</v>
      </c>
      <c r="BP78" s="539">
        <f t="shared" si="34"/>
        <v>0</v>
      </c>
      <c r="BQ78" s="539">
        <f t="shared" si="34"/>
        <v>0</v>
      </c>
      <c r="BR78" s="539">
        <f t="shared" si="34"/>
        <v>0</v>
      </c>
      <c r="BS78" s="539">
        <f t="shared" si="34"/>
        <v>0</v>
      </c>
      <c r="BT78" s="539">
        <f t="shared" si="34"/>
        <v>0</v>
      </c>
      <c r="BU78" s="539">
        <f t="shared" si="34"/>
        <v>0</v>
      </c>
      <c r="BV78" s="539">
        <f t="shared" si="34"/>
        <v>0</v>
      </c>
      <c r="BW78" s="539">
        <f t="shared" si="34"/>
        <v>0</v>
      </c>
      <c r="BX78" s="539">
        <f t="shared" si="34"/>
        <v>0</v>
      </c>
      <c r="BY78" s="539">
        <f t="shared" si="34"/>
        <v>0</v>
      </c>
      <c r="BZ78" s="539">
        <f t="shared" si="34"/>
        <v>0</v>
      </c>
      <c r="CA78" s="539">
        <f t="shared" si="34"/>
        <v>0</v>
      </c>
      <c r="CB78" s="539">
        <f t="shared" si="34"/>
        <v>0</v>
      </c>
      <c r="CC78" s="539">
        <f t="shared" si="34"/>
        <v>0</v>
      </c>
      <c r="CD78" s="539">
        <f t="shared" si="34"/>
        <v>0</v>
      </c>
      <c r="CE78" s="539">
        <f t="shared" si="34"/>
        <v>0</v>
      </c>
      <c r="CF78" s="539">
        <f t="shared" si="34"/>
        <v>0</v>
      </c>
      <c r="CG78" s="539">
        <f t="shared" si="34"/>
        <v>0</v>
      </c>
      <c r="CH78" s="539">
        <f t="shared" si="34"/>
        <v>0</v>
      </c>
      <c r="CI78" s="539">
        <f t="shared" si="34"/>
        <v>0</v>
      </c>
      <c r="CJ78" s="539">
        <f t="shared" si="34"/>
        <v>0</v>
      </c>
      <c r="CK78" s="539">
        <f t="shared" si="34"/>
        <v>0</v>
      </c>
      <c r="CL78" s="539">
        <f t="shared" si="34"/>
        <v>0</v>
      </c>
      <c r="CM78" s="539">
        <f t="shared" si="34"/>
        <v>0</v>
      </c>
      <c r="CN78" s="539">
        <f t="shared" si="34"/>
        <v>0</v>
      </c>
      <c r="CO78" s="539">
        <f t="shared" si="34"/>
        <v>0</v>
      </c>
      <c r="CP78" s="539">
        <f t="shared" si="34"/>
        <v>0</v>
      </c>
      <c r="CQ78" s="539">
        <f t="shared" si="34"/>
        <v>0</v>
      </c>
      <c r="CR78" s="539">
        <f t="shared" si="34"/>
        <v>0</v>
      </c>
      <c r="CS78" s="539">
        <f t="shared" si="34"/>
        <v>0</v>
      </c>
      <c r="CT78" s="539">
        <f t="shared" si="34"/>
        <v>0</v>
      </c>
      <c r="CU78" s="539">
        <f t="shared" si="34"/>
        <v>0</v>
      </c>
      <c r="CV78" s="539">
        <f t="shared" si="34"/>
        <v>0</v>
      </c>
      <c r="CW78" s="539">
        <f t="shared" si="34"/>
        <v>0</v>
      </c>
      <c r="CX78" s="539">
        <f t="shared" si="34"/>
        <v>0</v>
      </c>
      <c r="CY78" s="539">
        <f t="shared" si="34"/>
        <v>0</v>
      </c>
      <c r="CZ78" s="539">
        <f t="shared" si="34"/>
        <v>0</v>
      </c>
      <c r="DA78" s="539">
        <f t="shared" si="34"/>
        <v>0</v>
      </c>
      <c r="DB78" s="539">
        <f t="shared" si="34"/>
        <v>0</v>
      </c>
      <c r="DC78" s="539">
        <f t="shared" si="34"/>
        <v>0</v>
      </c>
      <c r="DD78" s="539">
        <f t="shared" si="34"/>
        <v>0</v>
      </c>
      <c r="DE78" s="539">
        <f t="shared" si="34"/>
        <v>0</v>
      </c>
      <c r="DF78" s="539">
        <f t="shared" si="34"/>
        <v>0</v>
      </c>
      <c r="DG78" s="539">
        <f t="shared" si="34"/>
        <v>0</v>
      </c>
      <c r="DH78" s="539">
        <f t="shared" si="34"/>
        <v>0</v>
      </c>
      <c r="DI78" s="539">
        <f t="shared" si="34"/>
        <v>0</v>
      </c>
      <c r="DJ78" s="539">
        <f t="shared" si="34"/>
        <v>0</v>
      </c>
      <c r="DK78" s="539">
        <f t="shared" si="34"/>
        <v>0</v>
      </c>
      <c r="DL78" s="539">
        <f t="shared" si="34"/>
        <v>0</v>
      </c>
      <c r="DM78" s="539">
        <f t="shared" si="34"/>
        <v>0</v>
      </c>
      <c r="DN78" s="539">
        <f t="shared" si="34"/>
        <v>0</v>
      </c>
      <c r="DO78" s="539">
        <f t="shared" si="34"/>
        <v>0</v>
      </c>
      <c r="DP78" s="539">
        <f t="shared" si="34"/>
        <v>0</v>
      </c>
      <c r="DQ78" s="539">
        <f t="shared" si="34"/>
        <v>0</v>
      </c>
      <c r="DR78" s="539">
        <f t="shared" si="34"/>
        <v>0</v>
      </c>
      <c r="DS78" s="539">
        <f t="shared" si="34"/>
        <v>0</v>
      </c>
      <c r="DT78" s="539">
        <f t="shared" si="34"/>
        <v>0</v>
      </c>
      <c r="DU78" s="539">
        <f t="shared" si="34"/>
        <v>0</v>
      </c>
      <c r="DV78" s="539">
        <f t="shared" si="34"/>
        <v>0</v>
      </c>
      <c r="DW78" s="539">
        <f t="shared" si="34"/>
        <v>0</v>
      </c>
      <c r="DX78" s="539">
        <f t="shared" si="34"/>
        <v>0</v>
      </c>
      <c r="DY78" s="539">
        <f t="shared" si="34"/>
        <v>0</v>
      </c>
      <c r="DZ78" s="539">
        <f t="shared" si="34"/>
        <v>0</v>
      </c>
      <c r="EA78" s="539">
        <f t="shared" si="34"/>
        <v>0</v>
      </c>
      <c r="EB78" s="539">
        <f t="shared" si="34"/>
        <v>0</v>
      </c>
      <c r="EC78" s="539">
        <f t="shared" si="34"/>
        <v>0</v>
      </c>
      <c r="ED78" s="539">
        <f t="shared" si="34"/>
        <v>0</v>
      </c>
      <c r="EE78" s="539">
        <f t="shared" si="34"/>
        <v>0</v>
      </c>
      <c r="EF78" s="539">
        <f t="shared" si="34"/>
        <v>0</v>
      </c>
      <c r="EG78" s="539">
        <f t="shared" si="34"/>
        <v>0</v>
      </c>
    </row>
    <row r="79" spans="5:137" ht="12.75">
      <c r="E79" s="538" t="str">
        <f>E$75</f>
        <v>VAT facility - repayment</v>
      </c>
      <c r="G79" s="539" t="str">
        <f>G$75</f>
        <v>EUR 000s</v>
      </c>
      <c r="H79" s="539">
        <f>H$75</f>
        <v>56710.5</v>
      </c>
      <c r="J79" s="539">
        <f t="shared" si="35" ref="J79:EG79">J$75</f>
        <v>0</v>
      </c>
      <c r="K79" s="539">
        <f t="shared" si="35"/>
        <v>0</v>
      </c>
      <c r="L79" s="539">
        <f t="shared" si="35"/>
        <v>0</v>
      </c>
      <c r="M79" s="539">
        <f t="shared" si="35"/>
        <v>0</v>
      </c>
      <c r="N79" s="539">
        <f t="shared" si="35"/>
        <v>0</v>
      </c>
      <c r="O79" s="539">
        <f t="shared" si="35"/>
        <v>0</v>
      </c>
      <c r="P79" s="539">
        <f t="shared" si="35"/>
        <v>2658.3125</v>
      </c>
      <c r="Q79" s="539">
        <f t="shared" si="35"/>
        <v>2723.9375</v>
      </c>
      <c r="R79" s="539">
        <f t="shared" si="35"/>
        <v>2658.3125</v>
      </c>
      <c r="S79" s="539">
        <f t="shared" si="35"/>
        <v>2723.9375</v>
      </c>
      <c r="T79" s="539">
        <f t="shared" si="35"/>
        <v>2658.3125</v>
      </c>
      <c r="U79" s="539">
        <f t="shared" si="35"/>
        <v>3388.390625</v>
      </c>
      <c r="V79" s="539">
        <f t="shared" si="35"/>
        <v>3527.84375</v>
      </c>
      <c r="W79" s="539">
        <f t="shared" si="35"/>
        <v>3593.46875</v>
      </c>
      <c r="X79" s="539">
        <f t="shared" si="35"/>
        <v>3659.09375</v>
      </c>
      <c r="Y79" s="539">
        <f t="shared" si="35"/>
        <v>3396.59375</v>
      </c>
      <c r="Z79" s="539">
        <f t="shared" si="35"/>
        <v>3363.78125</v>
      </c>
      <c r="AA79" s="539">
        <f t="shared" si="35"/>
        <v>3002.84375</v>
      </c>
      <c r="AB79" s="539">
        <f t="shared" si="35"/>
        <v>2609.09375</v>
      </c>
      <c r="AC79" s="539">
        <f t="shared" si="35"/>
        <v>2412.21875</v>
      </c>
      <c r="AD79" s="539">
        <f t="shared" si="35"/>
        <v>2707.53125</v>
      </c>
      <c r="AE79" s="539">
        <f t="shared" si="35"/>
        <v>2838.78125</v>
      </c>
      <c r="AF79" s="539">
        <f t="shared" si="35"/>
        <v>2805.96875</v>
      </c>
      <c r="AG79" s="539">
        <f t="shared" si="35"/>
        <v>2535.265625</v>
      </c>
      <c r="AH79" s="539">
        <f t="shared" si="35"/>
        <v>3446.8125</v>
      </c>
      <c r="AI79" s="539">
        <f t="shared" si="35"/>
        <v>0</v>
      </c>
      <c r="AJ79" s="539">
        <f t="shared" si="35"/>
        <v>0</v>
      </c>
      <c r="AK79" s="539">
        <f t="shared" si="35"/>
        <v>0</v>
      </c>
      <c r="AL79" s="539">
        <f t="shared" si="35"/>
        <v>0</v>
      </c>
      <c r="AM79" s="539">
        <f t="shared" si="35"/>
        <v>0</v>
      </c>
      <c r="AN79" s="539">
        <f t="shared" si="35"/>
        <v>0</v>
      </c>
      <c r="AO79" s="539">
        <f t="shared" si="35"/>
        <v>0</v>
      </c>
      <c r="AP79" s="539">
        <f t="shared" si="35"/>
        <v>0</v>
      </c>
      <c r="AQ79" s="539">
        <f t="shared" si="35"/>
        <v>0</v>
      </c>
      <c r="AR79" s="539">
        <f t="shared" si="35"/>
        <v>0</v>
      </c>
      <c r="AS79" s="539">
        <f t="shared" si="35"/>
        <v>0</v>
      </c>
      <c r="AT79" s="539">
        <f t="shared" si="35"/>
        <v>0</v>
      </c>
      <c r="AU79" s="539">
        <f t="shared" si="35"/>
        <v>0</v>
      </c>
      <c r="AV79" s="539">
        <f t="shared" si="35"/>
        <v>0</v>
      </c>
      <c r="AW79" s="539">
        <f t="shared" si="35"/>
        <v>0</v>
      </c>
      <c r="AX79" s="539">
        <f t="shared" si="35"/>
        <v>0</v>
      </c>
      <c r="AY79" s="539">
        <f t="shared" si="35"/>
        <v>0</v>
      </c>
      <c r="AZ79" s="539">
        <f t="shared" si="35"/>
        <v>0</v>
      </c>
      <c r="BA79" s="539">
        <f t="shared" si="35"/>
        <v>0</v>
      </c>
      <c r="BB79" s="539">
        <f t="shared" si="35"/>
        <v>0</v>
      </c>
      <c r="BC79" s="539">
        <f t="shared" si="35"/>
        <v>0</v>
      </c>
      <c r="BD79" s="539">
        <f t="shared" si="35"/>
        <v>0</v>
      </c>
      <c r="BE79" s="539">
        <f t="shared" si="35"/>
        <v>0</v>
      </c>
      <c r="BF79" s="539">
        <f t="shared" si="35"/>
        <v>0</v>
      </c>
      <c r="BG79" s="539">
        <f t="shared" si="35"/>
        <v>0</v>
      </c>
      <c r="BH79" s="539">
        <f t="shared" si="35"/>
        <v>0</v>
      </c>
      <c r="BI79" s="539">
        <f t="shared" si="35"/>
        <v>0</v>
      </c>
      <c r="BJ79" s="539">
        <f t="shared" si="35"/>
        <v>0</v>
      </c>
      <c r="BK79" s="539">
        <f t="shared" si="35"/>
        <v>0</v>
      </c>
      <c r="BL79" s="539">
        <f t="shared" si="35"/>
        <v>0</v>
      </c>
      <c r="BM79" s="539">
        <f t="shared" si="35"/>
        <v>0</v>
      </c>
      <c r="BN79" s="539">
        <f t="shared" si="35"/>
        <v>0</v>
      </c>
      <c r="BO79" s="539">
        <f t="shared" si="35"/>
        <v>0</v>
      </c>
      <c r="BP79" s="539">
        <f t="shared" si="35"/>
        <v>0</v>
      </c>
      <c r="BQ79" s="539">
        <f t="shared" si="35"/>
        <v>0</v>
      </c>
      <c r="BR79" s="539">
        <f t="shared" si="35"/>
        <v>0</v>
      </c>
      <c r="BS79" s="539">
        <f t="shared" si="35"/>
        <v>0</v>
      </c>
      <c r="BT79" s="539">
        <f t="shared" si="35"/>
        <v>0</v>
      </c>
      <c r="BU79" s="539">
        <f t="shared" si="35"/>
        <v>0</v>
      </c>
      <c r="BV79" s="539">
        <f t="shared" si="35"/>
        <v>0</v>
      </c>
      <c r="BW79" s="539">
        <f t="shared" si="35"/>
        <v>0</v>
      </c>
      <c r="BX79" s="539">
        <f t="shared" si="35"/>
        <v>0</v>
      </c>
      <c r="BY79" s="539">
        <f t="shared" si="35"/>
        <v>0</v>
      </c>
      <c r="BZ79" s="539">
        <f t="shared" si="35"/>
        <v>0</v>
      </c>
      <c r="CA79" s="539">
        <f t="shared" si="35"/>
        <v>0</v>
      </c>
      <c r="CB79" s="539">
        <f t="shared" si="35"/>
        <v>0</v>
      </c>
      <c r="CC79" s="539">
        <f t="shared" si="35"/>
        <v>0</v>
      </c>
      <c r="CD79" s="539">
        <f t="shared" si="35"/>
        <v>0</v>
      </c>
      <c r="CE79" s="539">
        <f t="shared" si="35"/>
        <v>0</v>
      </c>
      <c r="CF79" s="539">
        <f t="shared" si="35"/>
        <v>0</v>
      </c>
      <c r="CG79" s="539">
        <f t="shared" si="35"/>
        <v>0</v>
      </c>
      <c r="CH79" s="539">
        <f t="shared" si="35"/>
        <v>0</v>
      </c>
      <c r="CI79" s="539">
        <f t="shared" si="35"/>
        <v>0</v>
      </c>
      <c r="CJ79" s="539">
        <f t="shared" si="35"/>
        <v>0</v>
      </c>
      <c r="CK79" s="539">
        <f t="shared" si="35"/>
        <v>0</v>
      </c>
      <c r="CL79" s="539">
        <f t="shared" si="35"/>
        <v>0</v>
      </c>
      <c r="CM79" s="539">
        <f t="shared" si="35"/>
        <v>0</v>
      </c>
      <c r="CN79" s="539">
        <f t="shared" si="35"/>
        <v>0</v>
      </c>
      <c r="CO79" s="539">
        <f t="shared" si="35"/>
        <v>0</v>
      </c>
      <c r="CP79" s="539">
        <f t="shared" si="35"/>
        <v>0</v>
      </c>
      <c r="CQ79" s="539">
        <f t="shared" si="35"/>
        <v>0</v>
      </c>
      <c r="CR79" s="539">
        <f t="shared" si="35"/>
        <v>0</v>
      </c>
      <c r="CS79" s="539">
        <f t="shared" si="35"/>
        <v>0</v>
      </c>
      <c r="CT79" s="539">
        <f t="shared" si="35"/>
        <v>0</v>
      </c>
      <c r="CU79" s="539">
        <f t="shared" si="35"/>
        <v>0</v>
      </c>
      <c r="CV79" s="539">
        <f t="shared" si="35"/>
        <v>0</v>
      </c>
      <c r="CW79" s="539">
        <f t="shared" si="35"/>
        <v>0</v>
      </c>
      <c r="CX79" s="539">
        <f t="shared" si="35"/>
        <v>0</v>
      </c>
      <c r="CY79" s="539">
        <f t="shared" si="35"/>
        <v>0</v>
      </c>
      <c r="CZ79" s="539">
        <f t="shared" si="35"/>
        <v>0</v>
      </c>
      <c r="DA79" s="539">
        <f t="shared" si="35"/>
        <v>0</v>
      </c>
      <c r="DB79" s="539">
        <f t="shared" si="35"/>
        <v>0</v>
      </c>
      <c r="DC79" s="539">
        <f t="shared" si="35"/>
        <v>0</v>
      </c>
      <c r="DD79" s="539">
        <f t="shared" si="35"/>
        <v>0</v>
      </c>
      <c r="DE79" s="539">
        <f t="shared" si="35"/>
        <v>0</v>
      </c>
      <c r="DF79" s="539">
        <f t="shared" si="35"/>
        <v>0</v>
      </c>
      <c r="DG79" s="539">
        <f t="shared" si="35"/>
        <v>0</v>
      </c>
      <c r="DH79" s="539">
        <f t="shared" si="35"/>
        <v>0</v>
      </c>
      <c r="DI79" s="539">
        <f t="shared" si="35"/>
        <v>0</v>
      </c>
      <c r="DJ79" s="539">
        <f t="shared" si="35"/>
        <v>0</v>
      </c>
      <c r="DK79" s="539">
        <f t="shared" si="35"/>
        <v>0</v>
      </c>
      <c r="DL79" s="539">
        <f t="shared" si="35"/>
        <v>0</v>
      </c>
      <c r="DM79" s="539">
        <f t="shared" si="35"/>
        <v>0</v>
      </c>
      <c r="DN79" s="539">
        <f t="shared" si="35"/>
        <v>0</v>
      </c>
      <c r="DO79" s="539">
        <f t="shared" si="35"/>
        <v>0</v>
      </c>
      <c r="DP79" s="539">
        <f t="shared" si="35"/>
        <v>0</v>
      </c>
      <c r="DQ79" s="539">
        <f t="shared" si="35"/>
        <v>0</v>
      </c>
      <c r="DR79" s="539">
        <f t="shared" si="35"/>
        <v>0</v>
      </c>
      <c r="DS79" s="539">
        <f t="shared" si="35"/>
        <v>0</v>
      </c>
      <c r="DT79" s="539">
        <f t="shared" si="35"/>
        <v>0</v>
      </c>
      <c r="DU79" s="539">
        <f t="shared" si="35"/>
        <v>0</v>
      </c>
      <c r="DV79" s="539">
        <f t="shared" si="35"/>
        <v>0</v>
      </c>
      <c r="DW79" s="539">
        <f t="shared" si="35"/>
        <v>0</v>
      </c>
      <c r="DX79" s="539">
        <f t="shared" si="35"/>
        <v>0</v>
      </c>
      <c r="DY79" s="539">
        <f t="shared" si="35"/>
        <v>0</v>
      </c>
      <c r="DZ79" s="539">
        <f t="shared" si="35"/>
        <v>0</v>
      </c>
      <c r="EA79" s="539">
        <f t="shared" si="35"/>
        <v>0</v>
      </c>
      <c r="EB79" s="539">
        <f t="shared" si="35"/>
        <v>0</v>
      </c>
      <c r="EC79" s="539">
        <f t="shared" si="35"/>
        <v>0</v>
      </c>
      <c r="ED79" s="539">
        <f t="shared" si="35"/>
        <v>0</v>
      </c>
      <c r="EE79" s="539">
        <f t="shared" si="35"/>
        <v>0</v>
      </c>
      <c r="EF79" s="539">
        <f t="shared" si="35"/>
        <v>0</v>
      </c>
      <c r="EG79" s="539">
        <f t="shared" si="35"/>
        <v>0</v>
      </c>
    </row>
    <row r="80" spans="5:137" ht="12.75">
      <c r="E80" s="540" t="s">
        <v>217</v>
      </c>
      <c r="G80" s="541" t="s">
        <v>30</v>
      </c>
      <c r="H80" s="541">
        <f>SUM(J80:EG80)</f>
        <v>167406.5625</v>
      </c>
      <c r="J80" s="541">
        <f t="shared" si="36" ref="J80:EG80">J78+J77-J79</f>
        <v>0</v>
      </c>
      <c r="K80" s="541">
        <f t="shared" si="36"/>
        <v>0</v>
      </c>
      <c r="L80" s="541">
        <f t="shared" si="36"/>
        <v>0</v>
      </c>
      <c r="M80" s="541">
        <f t="shared" si="36"/>
        <v>2658.3125</v>
      </c>
      <c r="N80" s="541">
        <f t="shared" si="36"/>
        <v>5382.25</v>
      </c>
      <c r="O80" s="541">
        <f t="shared" si="36"/>
        <v>8040.5625</v>
      </c>
      <c r="P80" s="541">
        <f t="shared" si="36"/>
        <v>8106.1875</v>
      </c>
      <c r="Q80" s="541">
        <f t="shared" si="36"/>
        <v>8040.5625</v>
      </c>
      <c r="R80" s="541">
        <f t="shared" si="36"/>
        <v>8770.640625</v>
      </c>
      <c r="S80" s="541">
        <f t="shared" si="36"/>
        <v>9574.546875</v>
      </c>
      <c r="T80" s="541">
        <f t="shared" si="36"/>
        <v>10509.703125</v>
      </c>
      <c r="U80" s="541">
        <f t="shared" si="36"/>
        <v>10780.40625</v>
      </c>
      <c r="V80" s="541">
        <f t="shared" si="36"/>
        <v>10649.15625</v>
      </c>
      <c r="W80" s="541">
        <f t="shared" si="36"/>
        <v>10419.46875</v>
      </c>
      <c r="X80" s="541">
        <f t="shared" si="36"/>
        <v>9763.21875</v>
      </c>
      <c r="Y80" s="541">
        <f t="shared" si="36"/>
        <v>8975.71875</v>
      </c>
      <c r="Z80" s="541">
        <f t="shared" si="36"/>
        <v>8024.15625</v>
      </c>
      <c r="AA80" s="541">
        <f t="shared" si="36"/>
        <v>7728.84375</v>
      </c>
      <c r="AB80" s="541">
        <f t="shared" si="36"/>
        <v>7958.53125</v>
      </c>
      <c r="AC80" s="541">
        <f t="shared" si="36"/>
        <v>8352.28125</v>
      </c>
      <c r="AD80" s="541">
        <f t="shared" si="36"/>
        <v>8180.015625</v>
      </c>
      <c r="AE80" s="541">
        <f t="shared" si="36"/>
        <v>6851.109375</v>
      </c>
      <c r="AF80" s="541">
        <f t="shared" si="36"/>
        <v>5194.078125</v>
      </c>
      <c r="AG80" s="541">
        <f t="shared" si="36"/>
        <v>3446.8125</v>
      </c>
      <c r="AH80" s="541">
        <f t="shared" si="36"/>
        <v>0</v>
      </c>
      <c r="AI80" s="541">
        <f t="shared" si="36"/>
        <v>0</v>
      </c>
      <c r="AJ80" s="541">
        <f t="shared" si="36"/>
        <v>0</v>
      </c>
      <c r="AK80" s="541">
        <f t="shared" si="36"/>
        <v>0</v>
      </c>
      <c r="AL80" s="541">
        <f t="shared" si="36"/>
        <v>0</v>
      </c>
      <c r="AM80" s="541">
        <f t="shared" si="36"/>
        <v>0</v>
      </c>
      <c r="AN80" s="541">
        <f t="shared" si="36"/>
        <v>0</v>
      </c>
      <c r="AO80" s="541">
        <f t="shared" si="36"/>
        <v>0</v>
      </c>
      <c r="AP80" s="541">
        <f t="shared" si="36"/>
        <v>0</v>
      </c>
      <c r="AQ80" s="541">
        <f t="shared" si="36"/>
        <v>0</v>
      </c>
      <c r="AR80" s="541">
        <f t="shared" si="36"/>
        <v>0</v>
      </c>
      <c r="AS80" s="541">
        <f t="shared" si="36"/>
        <v>0</v>
      </c>
      <c r="AT80" s="541">
        <f t="shared" si="36"/>
        <v>0</v>
      </c>
      <c r="AU80" s="541">
        <f t="shared" si="36"/>
        <v>0</v>
      </c>
      <c r="AV80" s="541">
        <f t="shared" si="36"/>
        <v>0</v>
      </c>
      <c r="AW80" s="541">
        <f t="shared" si="36"/>
        <v>0</v>
      </c>
      <c r="AX80" s="541">
        <f t="shared" si="36"/>
        <v>0</v>
      </c>
      <c r="AY80" s="541">
        <f t="shared" si="36"/>
        <v>0</v>
      </c>
      <c r="AZ80" s="541">
        <f t="shared" si="36"/>
        <v>0</v>
      </c>
      <c r="BA80" s="541">
        <f t="shared" si="36"/>
        <v>0</v>
      </c>
      <c r="BB80" s="541">
        <f t="shared" si="36"/>
        <v>0</v>
      </c>
      <c r="BC80" s="541">
        <f t="shared" si="36"/>
        <v>0</v>
      </c>
      <c r="BD80" s="541">
        <f t="shared" si="36"/>
        <v>0</v>
      </c>
      <c r="BE80" s="541">
        <f t="shared" si="36"/>
        <v>0</v>
      </c>
      <c r="BF80" s="541">
        <f t="shared" si="36"/>
        <v>0</v>
      </c>
      <c r="BG80" s="541">
        <f t="shared" si="36"/>
        <v>0</v>
      </c>
      <c r="BH80" s="541">
        <f t="shared" si="36"/>
        <v>0</v>
      </c>
      <c r="BI80" s="541">
        <f t="shared" si="36"/>
        <v>0</v>
      </c>
      <c r="BJ80" s="541">
        <f t="shared" si="36"/>
        <v>0</v>
      </c>
      <c r="BK80" s="541">
        <f t="shared" si="36"/>
        <v>0</v>
      </c>
      <c r="BL80" s="541">
        <f t="shared" si="36"/>
        <v>0</v>
      </c>
      <c r="BM80" s="541">
        <f t="shared" si="36"/>
        <v>0</v>
      </c>
      <c r="BN80" s="541">
        <f t="shared" si="36"/>
        <v>0</v>
      </c>
      <c r="BO80" s="541">
        <f t="shared" si="36"/>
        <v>0</v>
      </c>
      <c r="BP80" s="541">
        <f t="shared" si="36"/>
        <v>0</v>
      </c>
      <c r="BQ80" s="541">
        <f t="shared" si="36"/>
        <v>0</v>
      </c>
      <c r="BR80" s="541">
        <f t="shared" si="36"/>
        <v>0</v>
      </c>
      <c r="BS80" s="541">
        <f t="shared" si="36"/>
        <v>0</v>
      </c>
      <c r="BT80" s="541">
        <f t="shared" si="36"/>
        <v>0</v>
      </c>
      <c r="BU80" s="541">
        <f t="shared" si="36"/>
        <v>0</v>
      </c>
      <c r="BV80" s="541">
        <f t="shared" si="36"/>
        <v>0</v>
      </c>
      <c r="BW80" s="541">
        <f t="shared" si="36"/>
        <v>0</v>
      </c>
      <c r="BX80" s="541">
        <f t="shared" si="36"/>
        <v>0</v>
      </c>
      <c r="BY80" s="541">
        <f t="shared" si="36"/>
        <v>0</v>
      </c>
      <c r="BZ80" s="541">
        <f t="shared" si="36"/>
        <v>0</v>
      </c>
      <c r="CA80" s="541">
        <f t="shared" si="36"/>
        <v>0</v>
      </c>
      <c r="CB80" s="541">
        <f t="shared" si="36"/>
        <v>0</v>
      </c>
      <c r="CC80" s="541">
        <f t="shared" si="36"/>
        <v>0</v>
      </c>
      <c r="CD80" s="541">
        <f t="shared" si="36"/>
        <v>0</v>
      </c>
      <c r="CE80" s="541">
        <f t="shared" si="36"/>
        <v>0</v>
      </c>
      <c r="CF80" s="541">
        <f t="shared" si="36"/>
        <v>0</v>
      </c>
      <c r="CG80" s="541">
        <f t="shared" si="36"/>
        <v>0</v>
      </c>
      <c r="CH80" s="541">
        <f t="shared" si="36"/>
        <v>0</v>
      </c>
      <c r="CI80" s="541">
        <f t="shared" si="36"/>
        <v>0</v>
      </c>
      <c r="CJ80" s="541">
        <f t="shared" si="36"/>
        <v>0</v>
      </c>
      <c r="CK80" s="541">
        <f t="shared" si="36"/>
        <v>0</v>
      </c>
      <c r="CL80" s="541">
        <f t="shared" si="36"/>
        <v>0</v>
      </c>
      <c r="CM80" s="541">
        <f t="shared" si="36"/>
        <v>0</v>
      </c>
      <c r="CN80" s="541">
        <f t="shared" si="36"/>
        <v>0</v>
      </c>
      <c r="CO80" s="541">
        <f t="shared" si="36"/>
        <v>0</v>
      </c>
      <c r="CP80" s="541">
        <f t="shared" si="36"/>
        <v>0</v>
      </c>
      <c r="CQ80" s="541">
        <f t="shared" si="36"/>
        <v>0</v>
      </c>
      <c r="CR80" s="541">
        <f t="shared" si="36"/>
        <v>0</v>
      </c>
      <c r="CS80" s="541">
        <f t="shared" si="36"/>
        <v>0</v>
      </c>
      <c r="CT80" s="541">
        <f t="shared" si="36"/>
        <v>0</v>
      </c>
      <c r="CU80" s="541">
        <f t="shared" si="36"/>
        <v>0</v>
      </c>
      <c r="CV80" s="541">
        <f t="shared" si="36"/>
        <v>0</v>
      </c>
      <c r="CW80" s="541">
        <f t="shared" si="36"/>
        <v>0</v>
      </c>
      <c r="CX80" s="541">
        <f t="shared" si="36"/>
        <v>0</v>
      </c>
      <c r="CY80" s="541">
        <f t="shared" si="36"/>
        <v>0</v>
      </c>
      <c r="CZ80" s="541">
        <f t="shared" si="36"/>
        <v>0</v>
      </c>
      <c r="DA80" s="541">
        <f t="shared" si="36"/>
        <v>0</v>
      </c>
      <c r="DB80" s="541">
        <f t="shared" si="36"/>
        <v>0</v>
      </c>
      <c r="DC80" s="541">
        <f t="shared" si="36"/>
        <v>0</v>
      </c>
      <c r="DD80" s="541">
        <f t="shared" si="36"/>
        <v>0</v>
      </c>
      <c r="DE80" s="541">
        <f t="shared" si="36"/>
        <v>0</v>
      </c>
      <c r="DF80" s="541">
        <f t="shared" si="36"/>
        <v>0</v>
      </c>
      <c r="DG80" s="541">
        <f t="shared" si="36"/>
        <v>0</v>
      </c>
      <c r="DH80" s="541">
        <f t="shared" si="36"/>
        <v>0</v>
      </c>
      <c r="DI80" s="541">
        <f t="shared" si="36"/>
        <v>0</v>
      </c>
      <c r="DJ80" s="541">
        <f t="shared" si="36"/>
        <v>0</v>
      </c>
      <c r="DK80" s="541">
        <f t="shared" si="36"/>
        <v>0</v>
      </c>
      <c r="DL80" s="541">
        <f t="shared" si="36"/>
        <v>0</v>
      </c>
      <c r="DM80" s="541">
        <f t="shared" si="36"/>
        <v>0</v>
      </c>
      <c r="DN80" s="541">
        <f t="shared" si="36"/>
        <v>0</v>
      </c>
      <c r="DO80" s="541">
        <f t="shared" si="36"/>
        <v>0</v>
      </c>
      <c r="DP80" s="541">
        <f t="shared" si="36"/>
        <v>0</v>
      </c>
      <c r="DQ80" s="541">
        <f t="shared" si="36"/>
        <v>0</v>
      </c>
      <c r="DR80" s="541">
        <f t="shared" si="36"/>
        <v>0</v>
      </c>
      <c r="DS80" s="541">
        <f t="shared" si="36"/>
        <v>0</v>
      </c>
      <c r="DT80" s="541">
        <f t="shared" si="36"/>
        <v>0</v>
      </c>
      <c r="DU80" s="541">
        <f t="shared" si="36"/>
        <v>0</v>
      </c>
      <c r="DV80" s="541">
        <f t="shared" si="36"/>
        <v>0</v>
      </c>
      <c r="DW80" s="541">
        <f t="shared" si="36"/>
        <v>0</v>
      </c>
      <c r="DX80" s="541">
        <f t="shared" si="36"/>
        <v>0</v>
      </c>
      <c r="DY80" s="541">
        <f t="shared" si="36"/>
        <v>0</v>
      </c>
      <c r="DZ80" s="541">
        <f t="shared" si="36"/>
        <v>0</v>
      </c>
      <c r="EA80" s="541">
        <f t="shared" si="36"/>
        <v>0</v>
      </c>
      <c r="EB80" s="541">
        <f t="shared" si="36"/>
        <v>0</v>
      </c>
      <c r="EC80" s="541">
        <f t="shared" si="36"/>
        <v>0</v>
      </c>
      <c r="ED80" s="541">
        <f t="shared" si="36"/>
        <v>0</v>
      </c>
      <c r="EE80" s="541">
        <f t="shared" si="36"/>
        <v>0</v>
      </c>
      <c r="EF80" s="541">
        <f t="shared" si="36"/>
        <v>0</v>
      </c>
      <c r="EG80" s="541">
        <f t="shared" si="36"/>
        <v>0</v>
      </c>
    </row>
    <row r="82" spans="2:2" ht="12.75">
      <c r="B82" s="534" t="s">
        <v>218</v>
      </c>
    </row>
    <row r="83" spans="5:7" ht="12.75">
      <c r="E83" s="535" t="str">
        <f>InpC!E$88</f>
        <v>VAT facility - interest rate</v>
      </c>
      <c r="F83" s="542">
        <f>InpC!F$88</f>
        <v>0.040000000000000001</v>
      </c>
      <c r="G83" s="542" t="str">
        <f>InpC!G$88</f>
        <v>% p.a.</v>
      </c>
    </row>
    <row r="84" spans="5:7" ht="12.75">
      <c r="E84" s="535" t="str">
        <f>InpC!E$127</f>
        <v>Days per year (interest day count)</v>
      </c>
      <c r="F84" s="537">
        <f>InpC!F$127</f>
        <v>365</v>
      </c>
      <c r="G84" s="537" t="str">
        <f>InpC!G$127</f>
        <v>days</v>
      </c>
    </row>
    <row r="85" spans="5:137" ht="12.75">
      <c r="E85" s="535" t="str">
        <f>Time!E$163</f>
        <v>Days in period</v>
      </c>
      <c r="G85" s="537" t="str">
        <f>Time!G$163</f>
        <v>days</v>
      </c>
      <c r="H85" s="537">
        <f>Time!H$163</f>
        <v>10227</v>
      </c>
      <c r="J85" s="537">
        <f>Time!J$163</f>
        <v>31</v>
      </c>
      <c r="K85" s="537">
        <f>Time!K$163</f>
        <v>28</v>
      </c>
      <c r="L85" s="537">
        <f>Time!L$163</f>
        <v>31</v>
      </c>
      <c r="M85" s="537">
        <f>Time!M$163</f>
        <v>30</v>
      </c>
      <c r="N85" s="537">
        <f>Time!N$163</f>
        <v>31</v>
      </c>
      <c r="O85" s="537">
        <f>Time!O$163</f>
        <v>30</v>
      </c>
      <c r="P85" s="537">
        <f>Time!P$163</f>
        <v>31</v>
      </c>
      <c r="Q85" s="537">
        <f>Time!Q$163</f>
        <v>31</v>
      </c>
      <c r="R85" s="537">
        <f>Time!R$163</f>
        <v>30</v>
      </c>
      <c r="S85" s="537">
        <f>Time!S$163</f>
        <v>31</v>
      </c>
      <c r="T85" s="537">
        <f>Time!T$163</f>
        <v>30</v>
      </c>
      <c r="U85" s="537">
        <f>Time!U$163</f>
        <v>31</v>
      </c>
      <c r="V85" s="537">
        <f>Time!V$163</f>
        <v>31</v>
      </c>
      <c r="W85" s="537">
        <f>Time!W$163</f>
        <v>29</v>
      </c>
      <c r="X85" s="537">
        <f>Time!X$163</f>
        <v>31</v>
      </c>
      <c r="Y85" s="537">
        <f>Time!Y$163</f>
        <v>30</v>
      </c>
      <c r="Z85" s="537">
        <f>Time!Z$163</f>
        <v>31</v>
      </c>
      <c r="AA85" s="537">
        <f>Time!AA$163</f>
        <v>30</v>
      </c>
      <c r="AB85" s="537">
        <f>Time!AB$163</f>
        <v>31</v>
      </c>
      <c r="AC85" s="537">
        <f>Time!AC$163</f>
        <v>31</v>
      </c>
      <c r="AD85" s="537">
        <f>Time!AD$163</f>
        <v>30</v>
      </c>
      <c r="AE85" s="537">
        <f>Time!AE$163</f>
        <v>31</v>
      </c>
      <c r="AF85" s="537">
        <f>Time!AF$163</f>
        <v>30</v>
      </c>
      <c r="AG85" s="537">
        <f>Time!AG$163</f>
        <v>31</v>
      </c>
      <c r="AH85" s="537">
        <f>Time!AH$163</f>
        <v>90</v>
      </c>
      <c r="AI85" s="537">
        <f>Time!AI$163</f>
        <v>91</v>
      </c>
      <c r="AJ85" s="537">
        <f>Time!AJ$163</f>
        <v>92</v>
      </c>
      <c r="AK85" s="537">
        <f>Time!AK$163</f>
        <v>92</v>
      </c>
      <c r="AL85" s="537">
        <f>Time!AL$163</f>
        <v>90</v>
      </c>
      <c r="AM85" s="537">
        <f>Time!AM$163</f>
        <v>91</v>
      </c>
      <c r="AN85" s="537">
        <f>Time!AN$163</f>
        <v>92</v>
      </c>
      <c r="AO85" s="537">
        <f>Time!AO$163</f>
        <v>92</v>
      </c>
      <c r="AP85" s="537">
        <f>Time!AP$163</f>
        <v>90</v>
      </c>
      <c r="AQ85" s="537">
        <f>Time!AQ$163</f>
        <v>91</v>
      </c>
      <c r="AR85" s="537">
        <f>Time!AR$163</f>
        <v>92</v>
      </c>
      <c r="AS85" s="537">
        <f>Time!AS$163</f>
        <v>92</v>
      </c>
      <c r="AT85" s="537">
        <f>Time!AT$163</f>
        <v>91</v>
      </c>
      <c r="AU85" s="537">
        <f>Time!AU$163</f>
        <v>91</v>
      </c>
      <c r="AV85" s="537">
        <f>Time!AV$163</f>
        <v>92</v>
      </c>
      <c r="AW85" s="537">
        <f>Time!AW$163</f>
        <v>92</v>
      </c>
      <c r="AX85" s="537">
        <f>Time!AX$163</f>
        <v>90</v>
      </c>
      <c r="AY85" s="537">
        <f>Time!AY$163</f>
        <v>91</v>
      </c>
      <c r="AZ85" s="537">
        <f>Time!AZ$163</f>
        <v>92</v>
      </c>
      <c r="BA85" s="537">
        <f>Time!BA$163</f>
        <v>92</v>
      </c>
      <c r="BB85" s="537">
        <f>Time!BB$163</f>
        <v>90</v>
      </c>
      <c r="BC85" s="537">
        <f>Time!BC$163</f>
        <v>91</v>
      </c>
      <c r="BD85" s="537">
        <f>Time!BD$163</f>
        <v>92</v>
      </c>
      <c r="BE85" s="537">
        <f>Time!BE$163</f>
        <v>92</v>
      </c>
      <c r="BF85" s="537">
        <f>Time!BF$163</f>
        <v>90</v>
      </c>
      <c r="BG85" s="537">
        <f>Time!BG$163</f>
        <v>91</v>
      </c>
      <c r="BH85" s="537">
        <f>Time!BH$163</f>
        <v>92</v>
      </c>
      <c r="BI85" s="537">
        <f>Time!BI$163</f>
        <v>92</v>
      </c>
      <c r="BJ85" s="537">
        <f>Time!BJ$163</f>
        <v>91</v>
      </c>
      <c r="BK85" s="537">
        <f>Time!BK$163</f>
        <v>91</v>
      </c>
      <c r="BL85" s="537">
        <f>Time!BL$163</f>
        <v>92</v>
      </c>
      <c r="BM85" s="537">
        <f>Time!BM$163</f>
        <v>92</v>
      </c>
      <c r="BN85" s="537">
        <f>Time!BN$163</f>
        <v>90</v>
      </c>
      <c r="BO85" s="537">
        <f>Time!BO$163</f>
        <v>91</v>
      </c>
      <c r="BP85" s="537">
        <f>Time!BP$163</f>
        <v>92</v>
      </c>
      <c r="BQ85" s="537">
        <f>Time!BQ$163</f>
        <v>92</v>
      </c>
      <c r="BR85" s="537">
        <f>Time!BR$163</f>
        <v>90</v>
      </c>
      <c r="BS85" s="537">
        <f>Time!BS$163</f>
        <v>91</v>
      </c>
      <c r="BT85" s="537">
        <f>Time!BT$163</f>
        <v>92</v>
      </c>
      <c r="BU85" s="537">
        <f>Time!BU$163</f>
        <v>92</v>
      </c>
      <c r="BV85" s="537">
        <f>Time!BV$163</f>
        <v>90</v>
      </c>
      <c r="BW85" s="537">
        <f>Time!BW$163</f>
        <v>91</v>
      </c>
      <c r="BX85" s="537">
        <f>Time!BX$163</f>
        <v>92</v>
      </c>
      <c r="BY85" s="537">
        <f>Time!BY$163</f>
        <v>92</v>
      </c>
      <c r="BZ85" s="537">
        <f>Time!BZ$163</f>
        <v>91</v>
      </c>
      <c r="CA85" s="537">
        <f>Time!CA$163</f>
        <v>91</v>
      </c>
      <c r="CB85" s="537">
        <f>Time!CB$163</f>
        <v>92</v>
      </c>
      <c r="CC85" s="537">
        <f>Time!CC$163</f>
        <v>92</v>
      </c>
      <c r="CD85" s="537">
        <f>Time!CD$163</f>
        <v>90</v>
      </c>
      <c r="CE85" s="537">
        <f>Time!CE$163</f>
        <v>91</v>
      </c>
      <c r="CF85" s="537">
        <f>Time!CF$163</f>
        <v>92</v>
      </c>
      <c r="CG85" s="537">
        <f>Time!CG$163</f>
        <v>92</v>
      </c>
      <c r="CH85" s="537">
        <f>Time!CH$163</f>
        <v>90</v>
      </c>
      <c r="CI85" s="537">
        <f>Time!CI$163</f>
        <v>91</v>
      </c>
      <c r="CJ85" s="537">
        <f>Time!CJ$163</f>
        <v>92</v>
      </c>
      <c r="CK85" s="537">
        <f>Time!CK$163</f>
        <v>92</v>
      </c>
      <c r="CL85" s="537">
        <f>Time!CL$163</f>
        <v>90</v>
      </c>
      <c r="CM85" s="537">
        <f>Time!CM$163</f>
        <v>91</v>
      </c>
      <c r="CN85" s="537">
        <f>Time!CN$163</f>
        <v>92</v>
      </c>
      <c r="CO85" s="537">
        <f>Time!CO$163</f>
        <v>92</v>
      </c>
      <c r="CP85" s="537">
        <f>Time!CP$163</f>
        <v>91</v>
      </c>
      <c r="CQ85" s="537">
        <f>Time!CQ$163</f>
        <v>91</v>
      </c>
      <c r="CR85" s="537">
        <f>Time!CR$163</f>
        <v>92</v>
      </c>
      <c r="CS85" s="537">
        <f>Time!CS$163</f>
        <v>92</v>
      </c>
      <c r="CT85" s="537">
        <f>Time!CT$163</f>
        <v>90</v>
      </c>
      <c r="CU85" s="537">
        <f>Time!CU$163</f>
        <v>91</v>
      </c>
      <c r="CV85" s="537">
        <f>Time!CV$163</f>
        <v>92</v>
      </c>
      <c r="CW85" s="537">
        <f>Time!CW$163</f>
        <v>92</v>
      </c>
      <c r="CX85" s="537">
        <f>Time!CX$163</f>
        <v>90</v>
      </c>
      <c r="CY85" s="537">
        <f>Time!CY$163</f>
        <v>91</v>
      </c>
      <c r="CZ85" s="537">
        <f>Time!CZ$163</f>
        <v>92</v>
      </c>
      <c r="DA85" s="537">
        <f>Time!DA$163</f>
        <v>92</v>
      </c>
      <c r="DB85" s="537">
        <f>Time!DB$163</f>
        <v>90</v>
      </c>
      <c r="DC85" s="537">
        <f>Time!DC$163</f>
        <v>91</v>
      </c>
      <c r="DD85" s="537">
        <f>Time!DD$163</f>
        <v>92</v>
      </c>
      <c r="DE85" s="537">
        <f>Time!DE$163</f>
        <v>92</v>
      </c>
      <c r="DF85" s="537">
        <f>Time!DF$163</f>
        <v>91</v>
      </c>
      <c r="DG85" s="537">
        <f>Time!DG$163</f>
        <v>91</v>
      </c>
      <c r="DH85" s="537">
        <f>Time!DH$163</f>
        <v>92</v>
      </c>
      <c r="DI85" s="537">
        <f>Time!DI$163</f>
        <v>92</v>
      </c>
      <c r="DJ85" s="537">
        <f>Time!DJ$163</f>
        <v>90</v>
      </c>
      <c r="DK85" s="537">
        <f>Time!DK$163</f>
        <v>91</v>
      </c>
      <c r="DL85" s="537">
        <f>Time!DL$163</f>
        <v>92</v>
      </c>
      <c r="DM85" s="537">
        <f>Time!DM$163</f>
        <v>92</v>
      </c>
      <c r="DN85" s="537">
        <f>Time!DN$163</f>
        <v>90</v>
      </c>
      <c r="DO85" s="537">
        <f>Time!DO$163</f>
        <v>91</v>
      </c>
      <c r="DP85" s="537">
        <f>Time!DP$163</f>
        <v>92</v>
      </c>
      <c r="DQ85" s="537">
        <f>Time!DQ$163</f>
        <v>92</v>
      </c>
      <c r="DR85" s="537">
        <f>Time!DR$163</f>
        <v>90</v>
      </c>
      <c r="DS85" s="537">
        <f>Time!DS$163</f>
        <v>91</v>
      </c>
      <c r="DT85" s="537">
        <f>Time!DT$163</f>
        <v>92</v>
      </c>
      <c r="DU85" s="537">
        <f>Time!DU$163</f>
        <v>92</v>
      </c>
      <c r="DV85" s="537">
        <f>Time!DV$163</f>
        <v>91</v>
      </c>
      <c r="DW85" s="537">
        <f>Time!DW$163</f>
        <v>91</v>
      </c>
      <c r="DX85" s="537">
        <f>Time!DX$163</f>
        <v>92</v>
      </c>
      <c r="DY85" s="537">
        <f>Time!DY$163</f>
        <v>92</v>
      </c>
      <c r="DZ85" s="537">
        <f>Time!DZ$163</f>
        <v>90</v>
      </c>
      <c r="EA85" s="537">
        <f>Time!EA$163</f>
        <v>91</v>
      </c>
      <c r="EB85" s="537">
        <f>Time!EB$163</f>
        <v>92</v>
      </c>
      <c r="EC85" s="537">
        <f>Time!EC$163</f>
        <v>92</v>
      </c>
      <c r="ED85" s="537">
        <f>Time!ED$163</f>
        <v>90</v>
      </c>
      <c r="EE85" s="537">
        <f>Time!EE$163</f>
        <v>91</v>
      </c>
      <c r="EF85" s="537">
        <f>Time!EF$163</f>
        <v>92</v>
      </c>
      <c r="EG85" s="537">
        <f>Time!EG$163</f>
        <v>92</v>
      </c>
    </row>
    <row r="86" spans="5:137" ht="12.75">
      <c r="E86" s="538" t="str">
        <f>E$70</f>
        <v>VAT facility - opening balance</v>
      </c>
      <c r="G86" s="539" t="str">
        <f>G$70</f>
        <v>EUR 000s</v>
      </c>
      <c r="H86" s="539">
        <f>H$70</f>
        <v>167406.5625</v>
      </c>
      <c r="J86" s="539">
        <f t="shared" si="37" ref="J86:EG86">J$70</f>
        <v>0</v>
      </c>
      <c r="K86" s="539">
        <f t="shared" si="37"/>
        <v>0</v>
      </c>
      <c r="L86" s="539">
        <f t="shared" si="37"/>
        <v>0</v>
      </c>
      <c r="M86" s="539">
        <f t="shared" si="37"/>
        <v>0</v>
      </c>
      <c r="N86" s="539">
        <f t="shared" si="37"/>
        <v>2658.3125</v>
      </c>
      <c r="O86" s="539">
        <f t="shared" si="37"/>
        <v>5382.25</v>
      </c>
      <c r="P86" s="539">
        <f t="shared" si="37"/>
        <v>8040.5625</v>
      </c>
      <c r="Q86" s="539">
        <f t="shared" si="37"/>
        <v>8106.1875</v>
      </c>
      <c r="R86" s="539">
        <f t="shared" si="37"/>
        <v>8040.5625</v>
      </c>
      <c r="S86" s="539">
        <f t="shared" si="37"/>
        <v>8770.640625</v>
      </c>
      <c r="T86" s="539">
        <f t="shared" si="37"/>
        <v>9574.546875</v>
      </c>
      <c r="U86" s="539">
        <f t="shared" si="37"/>
        <v>10509.703125</v>
      </c>
      <c r="V86" s="539">
        <f t="shared" si="37"/>
        <v>10780.40625</v>
      </c>
      <c r="W86" s="539">
        <f t="shared" si="37"/>
        <v>10649.15625</v>
      </c>
      <c r="X86" s="539">
        <f t="shared" si="37"/>
        <v>10419.46875</v>
      </c>
      <c r="Y86" s="539">
        <f t="shared" si="37"/>
        <v>9763.21875</v>
      </c>
      <c r="Z86" s="539">
        <f t="shared" si="37"/>
        <v>8975.71875</v>
      </c>
      <c r="AA86" s="539">
        <f t="shared" si="37"/>
        <v>8024.15625</v>
      </c>
      <c r="AB86" s="539">
        <f t="shared" si="37"/>
        <v>7728.84375</v>
      </c>
      <c r="AC86" s="539">
        <f t="shared" si="37"/>
        <v>7958.53125</v>
      </c>
      <c r="AD86" s="539">
        <f t="shared" si="37"/>
        <v>8352.28125</v>
      </c>
      <c r="AE86" s="539">
        <f t="shared" si="37"/>
        <v>8180.015625</v>
      </c>
      <c r="AF86" s="539">
        <f t="shared" si="37"/>
        <v>6851.109375</v>
      </c>
      <c r="AG86" s="539">
        <f t="shared" si="37"/>
        <v>5194.078125</v>
      </c>
      <c r="AH86" s="539">
        <f t="shared" si="37"/>
        <v>3446.8125</v>
      </c>
      <c r="AI86" s="539">
        <f t="shared" si="37"/>
        <v>0</v>
      </c>
      <c r="AJ86" s="539">
        <f t="shared" si="37"/>
        <v>0</v>
      </c>
      <c r="AK86" s="539">
        <f t="shared" si="37"/>
        <v>0</v>
      </c>
      <c r="AL86" s="539">
        <f t="shared" si="37"/>
        <v>0</v>
      </c>
      <c r="AM86" s="539">
        <f t="shared" si="37"/>
        <v>0</v>
      </c>
      <c r="AN86" s="539">
        <f t="shared" si="37"/>
        <v>0</v>
      </c>
      <c r="AO86" s="539">
        <f t="shared" si="37"/>
        <v>0</v>
      </c>
      <c r="AP86" s="539">
        <f t="shared" si="37"/>
        <v>0</v>
      </c>
      <c r="AQ86" s="539">
        <f t="shared" si="37"/>
        <v>0</v>
      </c>
      <c r="AR86" s="539">
        <f t="shared" si="37"/>
        <v>0</v>
      </c>
      <c r="AS86" s="539">
        <f t="shared" si="37"/>
        <v>0</v>
      </c>
      <c r="AT86" s="539">
        <f t="shared" si="37"/>
        <v>0</v>
      </c>
      <c r="AU86" s="539">
        <f t="shared" si="37"/>
        <v>0</v>
      </c>
      <c r="AV86" s="539">
        <f t="shared" si="37"/>
        <v>0</v>
      </c>
      <c r="AW86" s="539">
        <f t="shared" si="37"/>
        <v>0</v>
      </c>
      <c r="AX86" s="539">
        <f t="shared" si="37"/>
        <v>0</v>
      </c>
      <c r="AY86" s="539">
        <f t="shared" si="37"/>
        <v>0</v>
      </c>
      <c r="AZ86" s="539">
        <f t="shared" si="37"/>
        <v>0</v>
      </c>
      <c r="BA86" s="539">
        <f t="shared" si="37"/>
        <v>0</v>
      </c>
      <c r="BB86" s="539">
        <f t="shared" si="37"/>
        <v>0</v>
      </c>
      <c r="BC86" s="539">
        <f t="shared" si="37"/>
        <v>0</v>
      </c>
      <c r="BD86" s="539">
        <f t="shared" si="37"/>
        <v>0</v>
      </c>
      <c r="BE86" s="539">
        <f t="shared" si="37"/>
        <v>0</v>
      </c>
      <c r="BF86" s="539">
        <f t="shared" si="37"/>
        <v>0</v>
      </c>
      <c r="BG86" s="539">
        <f t="shared" si="37"/>
        <v>0</v>
      </c>
      <c r="BH86" s="539">
        <f t="shared" si="37"/>
        <v>0</v>
      </c>
      <c r="BI86" s="539">
        <f t="shared" si="37"/>
        <v>0</v>
      </c>
      <c r="BJ86" s="539">
        <f t="shared" si="37"/>
        <v>0</v>
      </c>
      <c r="BK86" s="539">
        <f t="shared" si="37"/>
        <v>0</v>
      </c>
      <c r="BL86" s="539">
        <f t="shared" si="37"/>
        <v>0</v>
      </c>
      <c r="BM86" s="539">
        <f t="shared" si="37"/>
        <v>0</v>
      </c>
      <c r="BN86" s="539">
        <f t="shared" si="37"/>
        <v>0</v>
      </c>
      <c r="BO86" s="539">
        <f t="shared" si="37"/>
        <v>0</v>
      </c>
      <c r="BP86" s="539">
        <f t="shared" si="37"/>
        <v>0</v>
      </c>
      <c r="BQ86" s="539">
        <f t="shared" si="37"/>
        <v>0</v>
      </c>
      <c r="BR86" s="539">
        <f t="shared" si="37"/>
        <v>0</v>
      </c>
      <c r="BS86" s="539">
        <f t="shared" si="37"/>
        <v>0</v>
      </c>
      <c r="BT86" s="539">
        <f t="shared" si="37"/>
        <v>0</v>
      </c>
      <c r="BU86" s="539">
        <f t="shared" si="37"/>
        <v>0</v>
      </c>
      <c r="BV86" s="539">
        <f t="shared" si="37"/>
        <v>0</v>
      </c>
      <c r="BW86" s="539">
        <f t="shared" si="37"/>
        <v>0</v>
      </c>
      <c r="BX86" s="539">
        <f t="shared" si="37"/>
        <v>0</v>
      </c>
      <c r="BY86" s="539">
        <f t="shared" si="37"/>
        <v>0</v>
      </c>
      <c r="BZ86" s="539">
        <f t="shared" si="37"/>
        <v>0</v>
      </c>
      <c r="CA86" s="539">
        <f t="shared" si="37"/>
        <v>0</v>
      </c>
      <c r="CB86" s="539">
        <f t="shared" si="37"/>
        <v>0</v>
      </c>
      <c r="CC86" s="539">
        <f t="shared" si="37"/>
        <v>0</v>
      </c>
      <c r="CD86" s="539">
        <f t="shared" si="37"/>
        <v>0</v>
      </c>
      <c r="CE86" s="539">
        <f t="shared" si="37"/>
        <v>0</v>
      </c>
      <c r="CF86" s="539">
        <f t="shared" si="37"/>
        <v>0</v>
      </c>
      <c r="CG86" s="539">
        <f t="shared" si="37"/>
        <v>0</v>
      </c>
      <c r="CH86" s="539">
        <f t="shared" si="37"/>
        <v>0</v>
      </c>
      <c r="CI86" s="539">
        <f t="shared" si="37"/>
        <v>0</v>
      </c>
      <c r="CJ86" s="539">
        <f t="shared" si="37"/>
        <v>0</v>
      </c>
      <c r="CK86" s="539">
        <f t="shared" si="37"/>
        <v>0</v>
      </c>
      <c r="CL86" s="539">
        <f t="shared" si="37"/>
        <v>0</v>
      </c>
      <c r="CM86" s="539">
        <f t="shared" si="37"/>
        <v>0</v>
      </c>
      <c r="CN86" s="539">
        <f t="shared" si="37"/>
        <v>0</v>
      </c>
      <c r="CO86" s="539">
        <f t="shared" si="37"/>
        <v>0</v>
      </c>
      <c r="CP86" s="539">
        <f t="shared" si="37"/>
        <v>0</v>
      </c>
      <c r="CQ86" s="539">
        <f t="shared" si="37"/>
        <v>0</v>
      </c>
      <c r="CR86" s="539">
        <f t="shared" si="37"/>
        <v>0</v>
      </c>
      <c r="CS86" s="539">
        <f t="shared" si="37"/>
        <v>0</v>
      </c>
      <c r="CT86" s="539">
        <f t="shared" si="37"/>
        <v>0</v>
      </c>
      <c r="CU86" s="539">
        <f t="shared" si="37"/>
        <v>0</v>
      </c>
      <c r="CV86" s="539">
        <f t="shared" si="37"/>
        <v>0</v>
      </c>
      <c r="CW86" s="539">
        <f t="shared" si="37"/>
        <v>0</v>
      </c>
      <c r="CX86" s="539">
        <f t="shared" si="37"/>
        <v>0</v>
      </c>
      <c r="CY86" s="539">
        <f t="shared" si="37"/>
        <v>0</v>
      </c>
      <c r="CZ86" s="539">
        <f t="shared" si="37"/>
        <v>0</v>
      </c>
      <c r="DA86" s="539">
        <f t="shared" si="37"/>
        <v>0</v>
      </c>
      <c r="DB86" s="539">
        <f t="shared" si="37"/>
        <v>0</v>
      </c>
      <c r="DC86" s="539">
        <f t="shared" si="37"/>
        <v>0</v>
      </c>
      <c r="DD86" s="539">
        <f t="shared" si="37"/>
        <v>0</v>
      </c>
      <c r="DE86" s="539">
        <f t="shared" si="37"/>
        <v>0</v>
      </c>
      <c r="DF86" s="539">
        <f t="shared" si="37"/>
        <v>0</v>
      </c>
      <c r="DG86" s="539">
        <f t="shared" si="37"/>
        <v>0</v>
      </c>
      <c r="DH86" s="539">
        <f t="shared" si="37"/>
        <v>0</v>
      </c>
      <c r="DI86" s="539">
        <f t="shared" si="37"/>
        <v>0</v>
      </c>
      <c r="DJ86" s="539">
        <f t="shared" si="37"/>
        <v>0</v>
      </c>
      <c r="DK86" s="539">
        <f t="shared" si="37"/>
        <v>0</v>
      </c>
      <c r="DL86" s="539">
        <f t="shared" si="37"/>
        <v>0</v>
      </c>
      <c r="DM86" s="539">
        <f t="shared" si="37"/>
        <v>0</v>
      </c>
      <c r="DN86" s="539">
        <f t="shared" si="37"/>
        <v>0</v>
      </c>
      <c r="DO86" s="539">
        <f t="shared" si="37"/>
        <v>0</v>
      </c>
      <c r="DP86" s="539">
        <f t="shared" si="37"/>
        <v>0</v>
      </c>
      <c r="DQ86" s="539">
        <f t="shared" si="37"/>
        <v>0</v>
      </c>
      <c r="DR86" s="539">
        <f t="shared" si="37"/>
        <v>0</v>
      </c>
      <c r="DS86" s="539">
        <f t="shared" si="37"/>
        <v>0</v>
      </c>
      <c r="DT86" s="539">
        <f t="shared" si="37"/>
        <v>0</v>
      </c>
      <c r="DU86" s="539">
        <f t="shared" si="37"/>
        <v>0</v>
      </c>
      <c r="DV86" s="539">
        <f t="shared" si="37"/>
        <v>0</v>
      </c>
      <c r="DW86" s="539">
        <f t="shared" si="37"/>
        <v>0</v>
      </c>
      <c r="DX86" s="539">
        <f t="shared" si="37"/>
        <v>0</v>
      </c>
      <c r="DY86" s="539">
        <f t="shared" si="37"/>
        <v>0</v>
      </c>
      <c r="DZ86" s="539">
        <f t="shared" si="37"/>
        <v>0</v>
      </c>
      <c r="EA86" s="539">
        <f t="shared" si="37"/>
        <v>0</v>
      </c>
      <c r="EB86" s="539">
        <f t="shared" si="37"/>
        <v>0</v>
      </c>
      <c r="EC86" s="539">
        <f t="shared" si="37"/>
        <v>0</v>
      </c>
      <c r="ED86" s="539">
        <f t="shared" si="37"/>
        <v>0</v>
      </c>
      <c r="EE86" s="539">
        <f t="shared" si="37"/>
        <v>0</v>
      </c>
      <c r="EF86" s="539">
        <f t="shared" si="37"/>
        <v>0</v>
      </c>
      <c r="EG86" s="539">
        <f t="shared" si="37"/>
        <v>0</v>
      </c>
    </row>
    <row r="87" spans="5:137" ht="12.75">
      <c r="E87" s="538" t="s">
        <v>219</v>
      </c>
      <c r="G87" s="539" t="s">
        <v>30</v>
      </c>
      <c r="H87" s="539">
        <f>SUM(J87:EG87)</f>
        <v>582.54015753424653</v>
      </c>
      <c r="J87" s="539">
        <f t="shared" si="38" ref="J87:EG87">J86*$F83*J85/$F84</f>
        <v>0</v>
      </c>
      <c r="K87" s="539">
        <f t="shared" si="38"/>
        <v>0</v>
      </c>
      <c r="L87" s="539">
        <f t="shared" si="38"/>
        <v>0</v>
      </c>
      <c r="M87" s="539">
        <f t="shared" si="38"/>
        <v>0</v>
      </c>
      <c r="N87" s="539">
        <f t="shared" si="38"/>
        <v>9.0309794520547939</v>
      </c>
      <c r="O87" s="539">
        <f t="shared" si="38"/>
        <v>17.695068493150686</v>
      </c>
      <c r="P87" s="539">
        <f t="shared" si="38"/>
        <v>27.315883561643837</v>
      </c>
      <c r="Q87" s="539">
        <f t="shared" si="38"/>
        <v>27.538828767123288</v>
      </c>
      <c r="R87" s="539">
        <f t="shared" si="38"/>
        <v>26.434726027397257</v>
      </c>
      <c r="S87" s="539">
        <f t="shared" si="38"/>
        <v>29.79614897260274</v>
      </c>
      <c r="T87" s="539">
        <f t="shared" si="38"/>
        <v>31.47796232876712</v>
      </c>
      <c r="U87" s="539">
        <f t="shared" si="38"/>
        <v>35.704196917808218</v>
      </c>
      <c r="V87" s="539">
        <f t="shared" si="38"/>
        <v>36.623845890410962</v>
      </c>
      <c r="W87" s="539">
        <f t="shared" si="38"/>
        <v>33.843893835616434</v>
      </c>
      <c r="X87" s="539">
        <f t="shared" si="38"/>
        <v>35.397647260273978</v>
      </c>
      <c r="Y87" s="539">
        <f t="shared" si="38"/>
        <v>32.098253424657536</v>
      </c>
      <c r="Z87" s="539">
        <f t="shared" si="38"/>
        <v>30.492852739726029</v>
      </c>
      <c r="AA87" s="539">
        <f t="shared" si="38"/>
        <v>26.380787671232873</v>
      </c>
      <c r="AB87" s="539">
        <f t="shared" si="38"/>
        <v>26.256893835616442</v>
      </c>
      <c r="AC87" s="539">
        <f t="shared" si="38"/>
        <v>27.037202054794523</v>
      </c>
      <c r="AD87" s="539">
        <f t="shared" si="38"/>
        <v>27.459554794520546</v>
      </c>
      <c r="AE87" s="539">
        <f t="shared" si="38"/>
        <v>27.789642123287674</v>
      </c>
      <c r="AF87" s="539">
        <f t="shared" si="38"/>
        <v>22.524195205479451</v>
      </c>
      <c r="AG87" s="539">
        <f t="shared" si="38"/>
        <v>17.645635273972601</v>
      </c>
      <c r="AH87" s="539">
        <f t="shared" si="38"/>
        <v>33.995958904109585</v>
      </c>
      <c r="AI87" s="539">
        <f t="shared" si="38"/>
        <v>0</v>
      </c>
      <c r="AJ87" s="539">
        <f t="shared" si="38"/>
        <v>0</v>
      </c>
      <c r="AK87" s="539">
        <f t="shared" si="38"/>
        <v>0</v>
      </c>
      <c r="AL87" s="539">
        <f t="shared" si="38"/>
        <v>0</v>
      </c>
      <c r="AM87" s="539">
        <f t="shared" si="38"/>
        <v>0</v>
      </c>
      <c r="AN87" s="539">
        <f t="shared" si="38"/>
        <v>0</v>
      </c>
      <c r="AO87" s="539">
        <f t="shared" si="38"/>
        <v>0</v>
      </c>
      <c r="AP87" s="539">
        <f t="shared" si="38"/>
        <v>0</v>
      </c>
      <c r="AQ87" s="539">
        <f t="shared" si="38"/>
        <v>0</v>
      </c>
      <c r="AR87" s="539">
        <f t="shared" si="38"/>
        <v>0</v>
      </c>
      <c r="AS87" s="539">
        <f t="shared" si="38"/>
        <v>0</v>
      </c>
      <c r="AT87" s="539">
        <f t="shared" si="38"/>
        <v>0</v>
      </c>
      <c r="AU87" s="539">
        <f t="shared" si="38"/>
        <v>0</v>
      </c>
      <c r="AV87" s="539">
        <f t="shared" si="38"/>
        <v>0</v>
      </c>
      <c r="AW87" s="539">
        <f t="shared" si="38"/>
        <v>0</v>
      </c>
      <c r="AX87" s="539">
        <f t="shared" si="38"/>
        <v>0</v>
      </c>
      <c r="AY87" s="539">
        <f t="shared" si="38"/>
        <v>0</v>
      </c>
      <c r="AZ87" s="539">
        <f t="shared" si="38"/>
        <v>0</v>
      </c>
      <c r="BA87" s="539">
        <f t="shared" si="38"/>
        <v>0</v>
      </c>
      <c r="BB87" s="539">
        <f t="shared" si="38"/>
        <v>0</v>
      </c>
      <c r="BC87" s="539">
        <f t="shared" si="38"/>
        <v>0</v>
      </c>
      <c r="BD87" s="539">
        <f t="shared" si="38"/>
        <v>0</v>
      </c>
      <c r="BE87" s="539">
        <f t="shared" si="38"/>
        <v>0</v>
      </c>
      <c r="BF87" s="539">
        <f t="shared" si="38"/>
        <v>0</v>
      </c>
      <c r="BG87" s="539">
        <f t="shared" si="38"/>
        <v>0</v>
      </c>
      <c r="BH87" s="539">
        <f t="shared" si="38"/>
        <v>0</v>
      </c>
      <c r="BI87" s="539">
        <f t="shared" si="38"/>
        <v>0</v>
      </c>
      <c r="BJ87" s="539">
        <f t="shared" si="38"/>
        <v>0</v>
      </c>
      <c r="BK87" s="539">
        <f t="shared" si="38"/>
        <v>0</v>
      </c>
      <c r="BL87" s="539">
        <f t="shared" si="38"/>
        <v>0</v>
      </c>
      <c r="BM87" s="539">
        <f t="shared" si="38"/>
        <v>0</v>
      </c>
      <c r="BN87" s="539">
        <f t="shared" si="38"/>
        <v>0</v>
      </c>
      <c r="BO87" s="539">
        <f t="shared" si="38"/>
        <v>0</v>
      </c>
      <c r="BP87" s="539">
        <f t="shared" si="38"/>
        <v>0</v>
      </c>
      <c r="BQ87" s="539">
        <f t="shared" si="38"/>
        <v>0</v>
      </c>
      <c r="BR87" s="539">
        <f t="shared" si="38"/>
        <v>0</v>
      </c>
      <c r="BS87" s="539">
        <f t="shared" si="38"/>
        <v>0</v>
      </c>
      <c r="BT87" s="539">
        <f t="shared" si="38"/>
        <v>0</v>
      </c>
      <c r="BU87" s="539">
        <f t="shared" si="38"/>
        <v>0</v>
      </c>
      <c r="BV87" s="539">
        <f t="shared" si="38"/>
        <v>0</v>
      </c>
      <c r="BW87" s="539">
        <f t="shared" si="38"/>
        <v>0</v>
      </c>
      <c r="BX87" s="539">
        <f t="shared" si="38"/>
        <v>0</v>
      </c>
      <c r="BY87" s="539">
        <f t="shared" si="38"/>
        <v>0</v>
      </c>
      <c r="BZ87" s="539">
        <f t="shared" si="38"/>
        <v>0</v>
      </c>
      <c r="CA87" s="539">
        <f t="shared" si="38"/>
        <v>0</v>
      </c>
      <c r="CB87" s="539">
        <f t="shared" si="38"/>
        <v>0</v>
      </c>
      <c r="CC87" s="539">
        <f t="shared" si="38"/>
        <v>0</v>
      </c>
      <c r="CD87" s="539">
        <f t="shared" si="38"/>
        <v>0</v>
      </c>
      <c r="CE87" s="539">
        <f t="shared" si="38"/>
        <v>0</v>
      </c>
      <c r="CF87" s="539">
        <f t="shared" si="38"/>
        <v>0</v>
      </c>
      <c r="CG87" s="539">
        <f t="shared" si="38"/>
        <v>0</v>
      </c>
      <c r="CH87" s="539">
        <f t="shared" si="38"/>
        <v>0</v>
      </c>
      <c r="CI87" s="539">
        <f t="shared" si="38"/>
        <v>0</v>
      </c>
      <c r="CJ87" s="539">
        <f t="shared" si="38"/>
        <v>0</v>
      </c>
      <c r="CK87" s="539">
        <f t="shared" si="38"/>
        <v>0</v>
      </c>
      <c r="CL87" s="539">
        <f t="shared" si="38"/>
        <v>0</v>
      </c>
      <c r="CM87" s="539">
        <f t="shared" si="38"/>
        <v>0</v>
      </c>
      <c r="CN87" s="539">
        <f t="shared" si="38"/>
        <v>0</v>
      </c>
      <c r="CO87" s="539">
        <f t="shared" si="38"/>
        <v>0</v>
      </c>
      <c r="CP87" s="539">
        <f t="shared" si="38"/>
        <v>0</v>
      </c>
      <c r="CQ87" s="539">
        <f t="shared" si="38"/>
        <v>0</v>
      </c>
      <c r="CR87" s="539">
        <f t="shared" si="38"/>
        <v>0</v>
      </c>
      <c r="CS87" s="539">
        <f t="shared" si="38"/>
        <v>0</v>
      </c>
      <c r="CT87" s="539">
        <f t="shared" si="38"/>
        <v>0</v>
      </c>
      <c r="CU87" s="539">
        <f t="shared" si="38"/>
        <v>0</v>
      </c>
      <c r="CV87" s="539">
        <f t="shared" si="38"/>
        <v>0</v>
      </c>
      <c r="CW87" s="539">
        <f t="shared" si="38"/>
        <v>0</v>
      </c>
      <c r="CX87" s="539">
        <f t="shared" si="38"/>
        <v>0</v>
      </c>
      <c r="CY87" s="539">
        <f t="shared" si="38"/>
        <v>0</v>
      </c>
      <c r="CZ87" s="539">
        <f t="shared" si="38"/>
        <v>0</v>
      </c>
      <c r="DA87" s="539">
        <f t="shared" si="38"/>
        <v>0</v>
      </c>
      <c r="DB87" s="539">
        <f t="shared" si="38"/>
        <v>0</v>
      </c>
      <c r="DC87" s="539">
        <f t="shared" si="38"/>
        <v>0</v>
      </c>
      <c r="DD87" s="539">
        <f t="shared" si="38"/>
        <v>0</v>
      </c>
      <c r="DE87" s="539">
        <f t="shared" si="38"/>
        <v>0</v>
      </c>
      <c r="DF87" s="539">
        <f t="shared" si="38"/>
        <v>0</v>
      </c>
      <c r="DG87" s="539">
        <f t="shared" si="38"/>
        <v>0</v>
      </c>
      <c r="DH87" s="539">
        <f t="shared" si="38"/>
        <v>0</v>
      </c>
      <c r="DI87" s="539">
        <f t="shared" si="38"/>
        <v>0</v>
      </c>
      <c r="DJ87" s="539">
        <f t="shared" si="38"/>
        <v>0</v>
      </c>
      <c r="DK87" s="539">
        <f t="shared" si="38"/>
        <v>0</v>
      </c>
      <c r="DL87" s="539">
        <f t="shared" si="38"/>
        <v>0</v>
      </c>
      <c r="DM87" s="539">
        <f t="shared" si="38"/>
        <v>0</v>
      </c>
      <c r="DN87" s="539">
        <f t="shared" si="38"/>
        <v>0</v>
      </c>
      <c r="DO87" s="539">
        <f t="shared" si="38"/>
        <v>0</v>
      </c>
      <c r="DP87" s="539">
        <f t="shared" si="38"/>
        <v>0</v>
      </c>
      <c r="DQ87" s="539">
        <f t="shared" si="38"/>
        <v>0</v>
      </c>
      <c r="DR87" s="539">
        <f t="shared" si="38"/>
        <v>0</v>
      </c>
      <c r="DS87" s="539">
        <f t="shared" si="38"/>
        <v>0</v>
      </c>
      <c r="DT87" s="539">
        <f t="shared" si="38"/>
        <v>0</v>
      </c>
      <c r="DU87" s="539">
        <f t="shared" si="38"/>
        <v>0</v>
      </c>
      <c r="DV87" s="539">
        <f t="shared" si="38"/>
        <v>0</v>
      </c>
      <c r="DW87" s="539">
        <f t="shared" si="38"/>
        <v>0</v>
      </c>
      <c r="DX87" s="539">
        <f t="shared" si="38"/>
        <v>0</v>
      </c>
      <c r="DY87" s="539">
        <f t="shared" si="38"/>
        <v>0</v>
      </c>
      <c r="DZ87" s="539">
        <f t="shared" si="38"/>
        <v>0</v>
      </c>
      <c r="EA87" s="539">
        <f t="shared" si="38"/>
        <v>0</v>
      </c>
      <c r="EB87" s="539">
        <f t="shared" si="38"/>
        <v>0</v>
      </c>
      <c r="EC87" s="539">
        <f t="shared" si="38"/>
        <v>0</v>
      </c>
      <c r="ED87" s="539">
        <f t="shared" si="38"/>
        <v>0</v>
      </c>
      <c r="EE87" s="539">
        <f t="shared" si="38"/>
        <v>0</v>
      </c>
      <c r="EF87" s="539">
        <f t="shared" si="38"/>
        <v>0</v>
      </c>
      <c r="EG87" s="539">
        <f t="shared" si="38"/>
        <v>0</v>
      </c>
    </row>
    <row r="89" spans="5:137" ht="12.75">
      <c r="E89" s="535" t="str">
        <f>Time!E$58</f>
        <v>Financial close date flag</v>
      </c>
      <c r="G89" s="537" t="str">
        <f>Time!G$58</f>
        <v>flag</v>
      </c>
      <c r="H89" s="537">
        <f>Time!H$58</f>
        <v>1</v>
      </c>
      <c r="J89" s="537">
        <f>Time!J$58</f>
        <v>0</v>
      </c>
      <c r="K89" s="537">
        <f>Time!K$58</f>
        <v>0</v>
      </c>
      <c r="L89" s="537">
        <f>Time!L$58</f>
        <v>1</v>
      </c>
      <c r="M89" s="537">
        <f>Time!M$58</f>
        <v>0</v>
      </c>
      <c r="N89" s="537">
        <f>Time!N$58</f>
        <v>0</v>
      </c>
      <c r="O89" s="537">
        <f>Time!O$58</f>
        <v>0</v>
      </c>
      <c r="P89" s="537">
        <f>Time!P$58</f>
        <v>0</v>
      </c>
      <c r="Q89" s="537">
        <f>Time!Q$58</f>
        <v>0</v>
      </c>
      <c r="R89" s="537">
        <f>Time!R$58</f>
        <v>0</v>
      </c>
      <c r="S89" s="537">
        <f>Time!S$58</f>
        <v>0</v>
      </c>
      <c r="T89" s="537">
        <f>Time!T$58</f>
        <v>0</v>
      </c>
      <c r="U89" s="537">
        <f>Time!U$58</f>
        <v>0</v>
      </c>
      <c r="V89" s="537">
        <f>Time!V$58</f>
        <v>0</v>
      </c>
      <c r="W89" s="537">
        <f>Time!W$58</f>
        <v>0</v>
      </c>
      <c r="X89" s="537">
        <f>Time!X$58</f>
        <v>0</v>
      </c>
      <c r="Y89" s="537">
        <f>Time!Y$58</f>
        <v>0</v>
      </c>
      <c r="Z89" s="537">
        <f>Time!Z$58</f>
        <v>0</v>
      </c>
      <c r="AA89" s="537">
        <f>Time!AA$58</f>
        <v>0</v>
      </c>
      <c r="AB89" s="537">
        <f>Time!AB$58</f>
        <v>0</v>
      </c>
      <c r="AC89" s="537">
        <f>Time!AC$58</f>
        <v>0</v>
      </c>
      <c r="AD89" s="537">
        <f>Time!AD$58</f>
        <v>0</v>
      </c>
      <c r="AE89" s="537">
        <f>Time!AE$58</f>
        <v>0</v>
      </c>
      <c r="AF89" s="537">
        <f>Time!AF$58</f>
        <v>0</v>
      </c>
      <c r="AG89" s="537">
        <f>Time!AG$58</f>
        <v>0</v>
      </c>
      <c r="AH89" s="537">
        <f>Time!AH$58</f>
        <v>0</v>
      </c>
      <c r="AI89" s="537">
        <f>Time!AI$58</f>
        <v>0</v>
      </c>
      <c r="AJ89" s="537">
        <f>Time!AJ$58</f>
        <v>0</v>
      </c>
      <c r="AK89" s="537">
        <f>Time!AK$58</f>
        <v>0</v>
      </c>
      <c r="AL89" s="537">
        <f>Time!AL$58</f>
        <v>0</v>
      </c>
      <c r="AM89" s="537">
        <f>Time!AM$58</f>
        <v>0</v>
      </c>
      <c r="AN89" s="537">
        <f>Time!AN$58</f>
        <v>0</v>
      </c>
      <c r="AO89" s="537">
        <f>Time!AO$58</f>
        <v>0</v>
      </c>
      <c r="AP89" s="537">
        <f>Time!AP$58</f>
        <v>0</v>
      </c>
      <c r="AQ89" s="537">
        <f>Time!AQ$58</f>
        <v>0</v>
      </c>
      <c r="AR89" s="537">
        <f>Time!AR$58</f>
        <v>0</v>
      </c>
      <c r="AS89" s="537">
        <f>Time!AS$58</f>
        <v>0</v>
      </c>
      <c r="AT89" s="537">
        <f>Time!AT$58</f>
        <v>0</v>
      </c>
      <c r="AU89" s="537">
        <f>Time!AU$58</f>
        <v>0</v>
      </c>
      <c r="AV89" s="537">
        <f>Time!AV$58</f>
        <v>0</v>
      </c>
      <c r="AW89" s="537">
        <f>Time!AW$58</f>
        <v>0</v>
      </c>
      <c r="AX89" s="537">
        <f>Time!AX$58</f>
        <v>0</v>
      </c>
      <c r="AY89" s="537">
        <f>Time!AY$58</f>
        <v>0</v>
      </c>
      <c r="AZ89" s="537">
        <f>Time!AZ$58</f>
        <v>0</v>
      </c>
      <c r="BA89" s="537">
        <f>Time!BA$58</f>
        <v>0</v>
      </c>
      <c r="BB89" s="537">
        <f>Time!BB$58</f>
        <v>0</v>
      </c>
      <c r="BC89" s="537">
        <f>Time!BC$58</f>
        <v>0</v>
      </c>
      <c r="BD89" s="537">
        <f>Time!BD$58</f>
        <v>0</v>
      </c>
      <c r="BE89" s="537">
        <f>Time!BE$58</f>
        <v>0</v>
      </c>
      <c r="BF89" s="537">
        <f>Time!BF$58</f>
        <v>0</v>
      </c>
      <c r="BG89" s="537">
        <f>Time!BG$58</f>
        <v>0</v>
      </c>
      <c r="BH89" s="537">
        <f>Time!BH$58</f>
        <v>0</v>
      </c>
      <c r="BI89" s="537">
        <f>Time!BI$58</f>
        <v>0</v>
      </c>
      <c r="BJ89" s="537">
        <f>Time!BJ$58</f>
        <v>0</v>
      </c>
      <c r="BK89" s="537">
        <f>Time!BK$58</f>
        <v>0</v>
      </c>
      <c r="BL89" s="537">
        <f>Time!BL$58</f>
        <v>0</v>
      </c>
      <c r="BM89" s="537">
        <f>Time!BM$58</f>
        <v>0</v>
      </c>
      <c r="BN89" s="537">
        <f>Time!BN$58</f>
        <v>0</v>
      </c>
      <c r="BO89" s="537">
        <f>Time!BO$58</f>
        <v>0</v>
      </c>
      <c r="BP89" s="537">
        <f>Time!BP$58</f>
        <v>0</v>
      </c>
      <c r="BQ89" s="537">
        <f>Time!BQ$58</f>
        <v>0</v>
      </c>
      <c r="BR89" s="537">
        <f>Time!BR$58</f>
        <v>0</v>
      </c>
      <c r="BS89" s="537">
        <f>Time!BS$58</f>
        <v>0</v>
      </c>
      <c r="BT89" s="537">
        <f>Time!BT$58</f>
        <v>0</v>
      </c>
      <c r="BU89" s="537">
        <f>Time!BU$58</f>
        <v>0</v>
      </c>
      <c r="BV89" s="537">
        <f>Time!BV$58</f>
        <v>0</v>
      </c>
      <c r="BW89" s="537">
        <f>Time!BW$58</f>
        <v>0</v>
      </c>
      <c r="BX89" s="537">
        <f>Time!BX$58</f>
        <v>0</v>
      </c>
      <c r="BY89" s="537">
        <f>Time!BY$58</f>
        <v>0</v>
      </c>
      <c r="BZ89" s="537">
        <f>Time!BZ$58</f>
        <v>0</v>
      </c>
      <c r="CA89" s="537">
        <f>Time!CA$58</f>
        <v>0</v>
      </c>
      <c r="CB89" s="537">
        <f>Time!CB$58</f>
        <v>0</v>
      </c>
      <c r="CC89" s="537">
        <f>Time!CC$58</f>
        <v>0</v>
      </c>
      <c r="CD89" s="537">
        <f>Time!CD$58</f>
        <v>0</v>
      </c>
      <c r="CE89" s="537">
        <f>Time!CE$58</f>
        <v>0</v>
      </c>
      <c r="CF89" s="537">
        <f>Time!CF$58</f>
        <v>0</v>
      </c>
      <c r="CG89" s="537">
        <f>Time!CG$58</f>
        <v>0</v>
      </c>
      <c r="CH89" s="537">
        <f>Time!CH$58</f>
        <v>0</v>
      </c>
      <c r="CI89" s="537">
        <f>Time!CI$58</f>
        <v>0</v>
      </c>
      <c r="CJ89" s="537">
        <f>Time!CJ$58</f>
        <v>0</v>
      </c>
      <c r="CK89" s="537">
        <f>Time!CK$58</f>
        <v>0</v>
      </c>
      <c r="CL89" s="537">
        <f>Time!CL$58</f>
        <v>0</v>
      </c>
      <c r="CM89" s="537">
        <f>Time!CM$58</f>
        <v>0</v>
      </c>
      <c r="CN89" s="537">
        <f>Time!CN$58</f>
        <v>0</v>
      </c>
      <c r="CO89" s="537">
        <f>Time!CO$58</f>
        <v>0</v>
      </c>
      <c r="CP89" s="537">
        <f>Time!CP$58</f>
        <v>0</v>
      </c>
      <c r="CQ89" s="537">
        <f>Time!CQ$58</f>
        <v>0</v>
      </c>
      <c r="CR89" s="537">
        <f>Time!CR$58</f>
        <v>0</v>
      </c>
      <c r="CS89" s="537">
        <f>Time!CS$58</f>
        <v>0</v>
      </c>
      <c r="CT89" s="537">
        <f>Time!CT$58</f>
        <v>0</v>
      </c>
      <c r="CU89" s="537">
        <f>Time!CU$58</f>
        <v>0</v>
      </c>
      <c r="CV89" s="537">
        <f>Time!CV$58</f>
        <v>0</v>
      </c>
      <c r="CW89" s="537">
        <f>Time!CW$58</f>
        <v>0</v>
      </c>
      <c r="CX89" s="537">
        <f>Time!CX$58</f>
        <v>0</v>
      </c>
      <c r="CY89" s="537">
        <f>Time!CY$58</f>
        <v>0</v>
      </c>
      <c r="CZ89" s="537">
        <f>Time!CZ$58</f>
        <v>0</v>
      </c>
      <c r="DA89" s="537">
        <f>Time!DA$58</f>
        <v>0</v>
      </c>
      <c r="DB89" s="537">
        <f>Time!DB$58</f>
        <v>0</v>
      </c>
      <c r="DC89" s="537">
        <f>Time!DC$58</f>
        <v>0</v>
      </c>
      <c r="DD89" s="537">
        <f>Time!DD$58</f>
        <v>0</v>
      </c>
      <c r="DE89" s="537">
        <f>Time!DE$58</f>
        <v>0</v>
      </c>
      <c r="DF89" s="537">
        <f>Time!DF$58</f>
        <v>0</v>
      </c>
      <c r="DG89" s="537">
        <f>Time!DG$58</f>
        <v>0</v>
      </c>
      <c r="DH89" s="537">
        <f>Time!DH$58</f>
        <v>0</v>
      </c>
      <c r="DI89" s="537">
        <f>Time!DI$58</f>
        <v>0</v>
      </c>
      <c r="DJ89" s="537">
        <f>Time!DJ$58</f>
        <v>0</v>
      </c>
      <c r="DK89" s="537">
        <f>Time!DK$58</f>
        <v>0</v>
      </c>
      <c r="DL89" s="537">
        <f>Time!DL$58</f>
        <v>0</v>
      </c>
      <c r="DM89" s="537">
        <f>Time!DM$58</f>
        <v>0</v>
      </c>
      <c r="DN89" s="537">
        <f>Time!DN$58</f>
        <v>0</v>
      </c>
      <c r="DO89" s="537">
        <f>Time!DO$58</f>
        <v>0</v>
      </c>
      <c r="DP89" s="537">
        <f>Time!DP$58</f>
        <v>0</v>
      </c>
      <c r="DQ89" s="537">
        <f>Time!DQ$58</f>
        <v>0</v>
      </c>
      <c r="DR89" s="537">
        <f>Time!DR$58</f>
        <v>0</v>
      </c>
      <c r="DS89" s="537">
        <f>Time!DS$58</f>
        <v>0</v>
      </c>
      <c r="DT89" s="537">
        <f>Time!DT$58</f>
        <v>0</v>
      </c>
      <c r="DU89" s="537">
        <f>Time!DU$58</f>
        <v>0</v>
      </c>
      <c r="DV89" s="537">
        <f>Time!DV$58</f>
        <v>0</v>
      </c>
      <c r="DW89" s="537">
        <f>Time!DW$58</f>
        <v>0</v>
      </c>
      <c r="DX89" s="537">
        <f>Time!DX$58</f>
        <v>0</v>
      </c>
      <c r="DY89" s="537">
        <f>Time!DY$58</f>
        <v>0</v>
      </c>
      <c r="DZ89" s="537">
        <f>Time!DZ$58</f>
        <v>0</v>
      </c>
      <c r="EA89" s="537">
        <f>Time!EA$58</f>
        <v>0</v>
      </c>
      <c r="EB89" s="537">
        <f>Time!EB$58</f>
        <v>0</v>
      </c>
      <c r="EC89" s="537">
        <f>Time!EC$58</f>
        <v>0</v>
      </c>
      <c r="ED89" s="537">
        <f>Time!ED$58</f>
        <v>0</v>
      </c>
      <c r="EE89" s="537">
        <f>Time!EE$58</f>
        <v>0</v>
      </c>
      <c r="EF89" s="537">
        <f>Time!EF$58</f>
        <v>0</v>
      </c>
      <c r="EG89" s="537">
        <f>Time!EG$58</f>
        <v>0</v>
      </c>
    </row>
    <row r="90" spans="5:137" ht="12.75">
      <c r="E90" s="535" t="str">
        <f>Time!E$72</f>
        <v>Construction period flag</v>
      </c>
      <c r="G90" s="537" t="str">
        <f>Time!G$72</f>
        <v>flag</v>
      </c>
      <c r="H90" s="537">
        <f>Time!H$72</f>
        <v>21</v>
      </c>
      <c r="J90" s="537">
        <f>Time!J$72</f>
        <v>0</v>
      </c>
      <c r="K90" s="537">
        <f>Time!K$72</f>
        <v>0</v>
      </c>
      <c r="L90" s="537">
        <f>Time!L$72</f>
        <v>0</v>
      </c>
      <c r="M90" s="537">
        <f>Time!M$72</f>
        <v>1</v>
      </c>
      <c r="N90" s="537">
        <f>Time!N$72</f>
        <v>1</v>
      </c>
      <c r="O90" s="537">
        <f>Time!O$72</f>
        <v>1</v>
      </c>
      <c r="P90" s="537">
        <f>Time!P$72</f>
        <v>1</v>
      </c>
      <c r="Q90" s="537">
        <f>Time!Q$72</f>
        <v>1</v>
      </c>
      <c r="R90" s="537">
        <f>Time!R$72</f>
        <v>1</v>
      </c>
      <c r="S90" s="537">
        <f>Time!S$72</f>
        <v>1</v>
      </c>
      <c r="T90" s="537">
        <f>Time!T$72</f>
        <v>1</v>
      </c>
      <c r="U90" s="537">
        <f>Time!U$72</f>
        <v>1</v>
      </c>
      <c r="V90" s="537">
        <f>Time!V$72</f>
        <v>1</v>
      </c>
      <c r="W90" s="537">
        <f>Time!W$72</f>
        <v>1</v>
      </c>
      <c r="X90" s="537">
        <f>Time!X$72</f>
        <v>1</v>
      </c>
      <c r="Y90" s="537">
        <f>Time!Y$72</f>
        <v>1</v>
      </c>
      <c r="Z90" s="537">
        <f>Time!Z$72</f>
        <v>1</v>
      </c>
      <c r="AA90" s="537">
        <f>Time!AA$72</f>
        <v>1</v>
      </c>
      <c r="AB90" s="537">
        <f>Time!AB$72</f>
        <v>1</v>
      </c>
      <c r="AC90" s="537">
        <f>Time!AC$72</f>
        <v>1</v>
      </c>
      <c r="AD90" s="537">
        <f>Time!AD$72</f>
        <v>1</v>
      </c>
      <c r="AE90" s="537">
        <f>Time!AE$72</f>
        <v>1</v>
      </c>
      <c r="AF90" s="537">
        <f>Time!AF$72</f>
        <v>1</v>
      </c>
      <c r="AG90" s="537">
        <f>Time!AG$72</f>
        <v>1</v>
      </c>
      <c r="AH90" s="537">
        <f>Time!AH$72</f>
        <v>0</v>
      </c>
      <c r="AI90" s="537">
        <f>Time!AI$72</f>
        <v>0</v>
      </c>
      <c r="AJ90" s="537">
        <f>Time!AJ$72</f>
        <v>0</v>
      </c>
      <c r="AK90" s="537">
        <f>Time!AK$72</f>
        <v>0</v>
      </c>
      <c r="AL90" s="537">
        <f>Time!AL$72</f>
        <v>0</v>
      </c>
      <c r="AM90" s="537">
        <f>Time!AM$72</f>
        <v>0</v>
      </c>
      <c r="AN90" s="537">
        <f>Time!AN$72</f>
        <v>0</v>
      </c>
      <c r="AO90" s="537">
        <f>Time!AO$72</f>
        <v>0</v>
      </c>
      <c r="AP90" s="537">
        <f>Time!AP$72</f>
        <v>0</v>
      </c>
      <c r="AQ90" s="537">
        <f>Time!AQ$72</f>
        <v>0</v>
      </c>
      <c r="AR90" s="537">
        <f>Time!AR$72</f>
        <v>0</v>
      </c>
      <c r="AS90" s="537">
        <f>Time!AS$72</f>
        <v>0</v>
      </c>
      <c r="AT90" s="537">
        <f>Time!AT$72</f>
        <v>0</v>
      </c>
      <c r="AU90" s="537">
        <f>Time!AU$72</f>
        <v>0</v>
      </c>
      <c r="AV90" s="537">
        <f>Time!AV$72</f>
        <v>0</v>
      </c>
      <c r="AW90" s="537">
        <f>Time!AW$72</f>
        <v>0</v>
      </c>
      <c r="AX90" s="537">
        <f>Time!AX$72</f>
        <v>0</v>
      </c>
      <c r="AY90" s="537">
        <f>Time!AY$72</f>
        <v>0</v>
      </c>
      <c r="AZ90" s="537">
        <f>Time!AZ$72</f>
        <v>0</v>
      </c>
      <c r="BA90" s="537">
        <f>Time!BA$72</f>
        <v>0</v>
      </c>
      <c r="BB90" s="537">
        <f>Time!BB$72</f>
        <v>0</v>
      </c>
      <c r="BC90" s="537">
        <f>Time!BC$72</f>
        <v>0</v>
      </c>
      <c r="BD90" s="537">
        <f>Time!BD$72</f>
        <v>0</v>
      </c>
      <c r="BE90" s="537">
        <f>Time!BE$72</f>
        <v>0</v>
      </c>
      <c r="BF90" s="537">
        <f>Time!BF$72</f>
        <v>0</v>
      </c>
      <c r="BG90" s="537">
        <f>Time!BG$72</f>
        <v>0</v>
      </c>
      <c r="BH90" s="537">
        <f>Time!BH$72</f>
        <v>0</v>
      </c>
      <c r="BI90" s="537">
        <f>Time!BI$72</f>
        <v>0</v>
      </c>
      <c r="BJ90" s="537">
        <f>Time!BJ$72</f>
        <v>0</v>
      </c>
      <c r="BK90" s="537">
        <f>Time!BK$72</f>
        <v>0</v>
      </c>
      <c r="BL90" s="537">
        <f>Time!BL$72</f>
        <v>0</v>
      </c>
      <c r="BM90" s="537">
        <f>Time!BM$72</f>
        <v>0</v>
      </c>
      <c r="BN90" s="537">
        <f>Time!BN$72</f>
        <v>0</v>
      </c>
      <c r="BO90" s="537">
        <f>Time!BO$72</f>
        <v>0</v>
      </c>
      <c r="BP90" s="537">
        <f>Time!BP$72</f>
        <v>0</v>
      </c>
      <c r="BQ90" s="537">
        <f>Time!BQ$72</f>
        <v>0</v>
      </c>
      <c r="BR90" s="537">
        <f>Time!BR$72</f>
        <v>0</v>
      </c>
      <c r="BS90" s="537">
        <f>Time!BS$72</f>
        <v>0</v>
      </c>
      <c r="BT90" s="537">
        <f>Time!BT$72</f>
        <v>0</v>
      </c>
      <c r="BU90" s="537">
        <f>Time!BU$72</f>
        <v>0</v>
      </c>
      <c r="BV90" s="537">
        <f>Time!BV$72</f>
        <v>0</v>
      </c>
      <c r="BW90" s="537">
        <f>Time!BW$72</f>
        <v>0</v>
      </c>
      <c r="BX90" s="537">
        <f>Time!BX$72</f>
        <v>0</v>
      </c>
      <c r="BY90" s="537">
        <f>Time!BY$72</f>
        <v>0</v>
      </c>
      <c r="BZ90" s="537">
        <f>Time!BZ$72</f>
        <v>0</v>
      </c>
      <c r="CA90" s="537">
        <f>Time!CA$72</f>
        <v>0</v>
      </c>
      <c r="CB90" s="537">
        <f>Time!CB$72</f>
        <v>0</v>
      </c>
      <c r="CC90" s="537">
        <f>Time!CC$72</f>
        <v>0</v>
      </c>
      <c r="CD90" s="537">
        <f>Time!CD$72</f>
        <v>0</v>
      </c>
      <c r="CE90" s="537">
        <f>Time!CE$72</f>
        <v>0</v>
      </c>
      <c r="CF90" s="537">
        <f>Time!CF$72</f>
        <v>0</v>
      </c>
      <c r="CG90" s="537">
        <f>Time!CG$72</f>
        <v>0</v>
      </c>
      <c r="CH90" s="537">
        <f>Time!CH$72</f>
        <v>0</v>
      </c>
      <c r="CI90" s="537">
        <f>Time!CI$72</f>
        <v>0</v>
      </c>
      <c r="CJ90" s="537">
        <f>Time!CJ$72</f>
        <v>0</v>
      </c>
      <c r="CK90" s="537">
        <f>Time!CK$72</f>
        <v>0</v>
      </c>
      <c r="CL90" s="537">
        <f>Time!CL$72</f>
        <v>0</v>
      </c>
      <c r="CM90" s="537">
        <f>Time!CM$72</f>
        <v>0</v>
      </c>
      <c r="CN90" s="537">
        <f>Time!CN$72</f>
        <v>0</v>
      </c>
      <c r="CO90" s="537">
        <f>Time!CO$72</f>
        <v>0</v>
      </c>
      <c r="CP90" s="537">
        <f>Time!CP$72</f>
        <v>0</v>
      </c>
      <c r="CQ90" s="537">
        <f>Time!CQ$72</f>
        <v>0</v>
      </c>
      <c r="CR90" s="537">
        <f>Time!CR$72</f>
        <v>0</v>
      </c>
      <c r="CS90" s="537">
        <f>Time!CS$72</f>
        <v>0</v>
      </c>
      <c r="CT90" s="537">
        <f>Time!CT$72</f>
        <v>0</v>
      </c>
      <c r="CU90" s="537">
        <f>Time!CU$72</f>
        <v>0</v>
      </c>
      <c r="CV90" s="537">
        <f>Time!CV$72</f>
        <v>0</v>
      </c>
      <c r="CW90" s="537">
        <f>Time!CW$72</f>
        <v>0</v>
      </c>
      <c r="CX90" s="537">
        <f>Time!CX$72</f>
        <v>0</v>
      </c>
      <c r="CY90" s="537">
        <f>Time!CY$72</f>
        <v>0</v>
      </c>
      <c r="CZ90" s="537">
        <f>Time!CZ$72</f>
        <v>0</v>
      </c>
      <c r="DA90" s="537">
        <f>Time!DA$72</f>
        <v>0</v>
      </c>
      <c r="DB90" s="537">
        <f>Time!DB$72</f>
        <v>0</v>
      </c>
      <c r="DC90" s="537">
        <f>Time!DC$72</f>
        <v>0</v>
      </c>
      <c r="DD90" s="537">
        <f>Time!DD$72</f>
        <v>0</v>
      </c>
      <c r="DE90" s="537">
        <f>Time!DE$72</f>
        <v>0</v>
      </c>
      <c r="DF90" s="537">
        <f>Time!DF$72</f>
        <v>0</v>
      </c>
      <c r="DG90" s="537">
        <f>Time!DG$72</f>
        <v>0</v>
      </c>
      <c r="DH90" s="537">
        <f>Time!DH$72</f>
        <v>0</v>
      </c>
      <c r="DI90" s="537">
        <f>Time!DI$72</f>
        <v>0</v>
      </c>
      <c r="DJ90" s="537">
        <f>Time!DJ$72</f>
        <v>0</v>
      </c>
      <c r="DK90" s="537">
        <f>Time!DK$72</f>
        <v>0</v>
      </c>
      <c r="DL90" s="537">
        <f>Time!DL$72</f>
        <v>0</v>
      </c>
      <c r="DM90" s="537">
        <f>Time!DM$72</f>
        <v>0</v>
      </c>
      <c r="DN90" s="537">
        <f>Time!DN$72</f>
        <v>0</v>
      </c>
      <c r="DO90" s="537">
        <f>Time!DO$72</f>
        <v>0</v>
      </c>
      <c r="DP90" s="537">
        <f>Time!DP$72</f>
        <v>0</v>
      </c>
      <c r="DQ90" s="537">
        <f>Time!DQ$72</f>
        <v>0</v>
      </c>
      <c r="DR90" s="537">
        <f>Time!DR$72</f>
        <v>0</v>
      </c>
      <c r="DS90" s="537">
        <f>Time!DS$72</f>
        <v>0</v>
      </c>
      <c r="DT90" s="537">
        <f>Time!DT$72</f>
        <v>0</v>
      </c>
      <c r="DU90" s="537">
        <f>Time!DU$72</f>
        <v>0</v>
      </c>
      <c r="DV90" s="537">
        <f>Time!DV$72</f>
        <v>0</v>
      </c>
      <c r="DW90" s="537">
        <f>Time!DW$72</f>
        <v>0</v>
      </c>
      <c r="DX90" s="537">
        <f>Time!DX$72</f>
        <v>0</v>
      </c>
      <c r="DY90" s="537">
        <f>Time!DY$72</f>
        <v>0</v>
      </c>
      <c r="DZ90" s="537">
        <f>Time!DZ$72</f>
        <v>0</v>
      </c>
      <c r="EA90" s="537">
        <f>Time!EA$72</f>
        <v>0</v>
      </c>
      <c r="EB90" s="537">
        <f>Time!EB$72</f>
        <v>0</v>
      </c>
      <c r="EC90" s="537">
        <f>Time!EC$72</f>
        <v>0</v>
      </c>
      <c r="ED90" s="537">
        <f>Time!ED$72</f>
        <v>0</v>
      </c>
      <c r="EE90" s="537">
        <f>Time!EE$72</f>
        <v>0</v>
      </c>
      <c r="EF90" s="537">
        <f>Time!EF$72</f>
        <v>0</v>
      </c>
      <c r="EG90" s="537">
        <f>Time!EG$72</f>
        <v>0</v>
      </c>
    </row>
    <row r="91" spans="5:137" ht="12.75">
      <c r="E91" s="538" t="str">
        <f>E$87</f>
        <v>VAT facility - interest</v>
      </c>
      <c r="G91" s="539" t="str">
        <f>G$87</f>
        <v>EUR 000s</v>
      </c>
      <c r="H91" s="539">
        <f>H$87</f>
        <v>582.54015753424653</v>
      </c>
      <c r="J91" s="539">
        <f t="shared" si="39" ref="J91:EG91">J$87</f>
        <v>0</v>
      </c>
      <c r="K91" s="539">
        <f t="shared" si="39"/>
        <v>0</v>
      </c>
      <c r="L91" s="539">
        <f t="shared" si="39"/>
        <v>0</v>
      </c>
      <c r="M91" s="539">
        <f t="shared" si="39"/>
        <v>0</v>
      </c>
      <c r="N91" s="539">
        <f t="shared" si="39"/>
        <v>9.0309794520547939</v>
      </c>
      <c r="O91" s="539">
        <f t="shared" si="39"/>
        <v>17.695068493150686</v>
      </c>
      <c r="P91" s="539">
        <f t="shared" si="39"/>
        <v>27.315883561643837</v>
      </c>
      <c r="Q91" s="539">
        <f t="shared" si="39"/>
        <v>27.538828767123288</v>
      </c>
      <c r="R91" s="539">
        <f t="shared" si="39"/>
        <v>26.434726027397257</v>
      </c>
      <c r="S91" s="539">
        <f t="shared" si="39"/>
        <v>29.79614897260274</v>
      </c>
      <c r="T91" s="539">
        <f t="shared" si="39"/>
        <v>31.47796232876712</v>
      </c>
      <c r="U91" s="539">
        <f t="shared" si="39"/>
        <v>35.704196917808218</v>
      </c>
      <c r="V91" s="539">
        <f t="shared" si="39"/>
        <v>36.623845890410962</v>
      </c>
      <c r="W91" s="539">
        <f t="shared" si="39"/>
        <v>33.843893835616434</v>
      </c>
      <c r="X91" s="539">
        <f t="shared" si="39"/>
        <v>35.397647260273978</v>
      </c>
      <c r="Y91" s="539">
        <f t="shared" si="39"/>
        <v>32.098253424657536</v>
      </c>
      <c r="Z91" s="539">
        <f t="shared" si="39"/>
        <v>30.492852739726029</v>
      </c>
      <c r="AA91" s="539">
        <f t="shared" si="39"/>
        <v>26.380787671232873</v>
      </c>
      <c r="AB91" s="539">
        <f t="shared" si="39"/>
        <v>26.256893835616442</v>
      </c>
      <c r="AC91" s="539">
        <f t="shared" si="39"/>
        <v>27.037202054794523</v>
      </c>
      <c r="AD91" s="539">
        <f t="shared" si="39"/>
        <v>27.459554794520546</v>
      </c>
      <c r="AE91" s="539">
        <f t="shared" si="39"/>
        <v>27.789642123287674</v>
      </c>
      <c r="AF91" s="539">
        <f t="shared" si="39"/>
        <v>22.524195205479451</v>
      </c>
      <c r="AG91" s="539">
        <f t="shared" si="39"/>
        <v>17.645635273972601</v>
      </c>
      <c r="AH91" s="539">
        <f t="shared" si="39"/>
        <v>33.995958904109585</v>
      </c>
      <c r="AI91" s="539">
        <f t="shared" si="39"/>
        <v>0</v>
      </c>
      <c r="AJ91" s="539">
        <f t="shared" si="39"/>
        <v>0</v>
      </c>
      <c r="AK91" s="539">
        <f t="shared" si="39"/>
        <v>0</v>
      </c>
      <c r="AL91" s="539">
        <f t="shared" si="39"/>
        <v>0</v>
      </c>
      <c r="AM91" s="539">
        <f t="shared" si="39"/>
        <v>0</v>
      </c>
      <c r="AN91" s="539">
        <f t="shared" si="39"/>
        <v>0</v>
      </c>
      <c r="AO91" s="539">
        <f t="shared" si="39"/>
        <v>0</v>
      </c>
      <c r="AP91" s="539">
        <f t="shared" si="39"/>
        <v>0</v>
      </c>
      <c r="AQ91" s="539">
        <f t="shared" si="39"/>
        <v>0</v>
      </c>
      <c r="AR91" s="539">
        <f t="shared" si="39"/>
        <v>0</v>
      </c>
      <c r="AS91" s="539">
        <f t="shared" si="39"/>
        <v>0</v>
      </c>
      <c r="AT91" s="539">
        <f t="shared" si="39"/>
        <v>0</v>
      </c>
      <c r="AU91" s="539">
        <f t="shared" si="39"/>
        <v>0</v>
      </c>
      <c r="AV91" s="539">
        <f t="shared" si="39"/>
        <v>0</v>
      </c>
      <c r="AW91" s="539">
        <f t="shared" si="39"/>
        <v>0</v>
      </c>
      <c r="AX91" s="539">
        <f t="shared" si="39"/>
        <v>0</v>
      </c>
      <c r="AY91" s="539">
        <f t="shared" si="39"/>
        <v>0</v>
      </c>
      <c r="AZ91" s="539">
        <f t="shared" si="39"/>
        <v>0</v>
      </c>
      <c r="BA91" s="539">
        <f t="shared" si="39"/>
        <v>0</v>
      </c>
      <c r="BB91" s="539">
        <f t="shared" si="39"/>
        <v>0</v>
      </c>
      <c r="BC91" s="539">
        <f t="shared" si="39"/>
        <v>0</v>
      </c>
      <c r="BD91" s="539">
        <f t="shared" si="39"/>
        <v>0</v>
      </c>
      <c r="BE91" s="539">
        <f t="shared" si="39"/>
        <v>0</v>
      </c>
      <c r="BF91" s="539">
        <f t="shared" si="39"/>
        <v>0</v>
      </c>
      <c r="BG91" s="539">
        <f t="shared" si="39"/>
        <v>0</v>
      </c>
      <c r="BH91" s="539">
        <f t="shared" si="39"/>
        <v>0</v>
      </c>
      <c r="BI91" s="539">
        <f t="shared" si="39"/>
        <v>0</v>
      </c>
      <c r="BJ91" s="539">
        <f t="shared" si="39"/>
        <v>0</v>
      </c>
      <c r="BK91" s="539">
        <f t="shared" si="39"/>
        <v>0</v>
      </c>
      <c r="BL91" s="539">
        <f t="shared" si="39"/>
        <v>0</v>
      </c>
      <c r="BM91" s="539">
        <f t="shared" si="39"/>
        <v>0</v>
      </c>
      <c r="BN91" s="539">
        <f t="shared" si="39"/>
        <v>0</v>
      </c>
      <c r="BO91" s="539">
        <f t="shared" si="39"/>
        <v>0</v>
      </c>
      <c r="BP91" s="539">
        <f t="shared" si="39"/>
        <v>0</v>
      </c>
      <c r="BQ91" s="539">
        <f t="shared" si="39"/>
        <v>0</v>
      </c>
      <c r="BR91" s="539">
        <f t="shared" si="39"/>
        <v>0</v>
      </c>
      <c r="BS91" s="539">
        <f t="shared" si="39"/>
        <v>0</v>
      </c>
      <c r="BT91" s="539">
        <f t="shared" si="39"/>
        <v>0</v>
      </c>
      <c r="BU91" s="539">
        <f t="shared" si="39"/>
        <v>0</v>
      </c>
      <c r="BV91" s="539">
        <f t="shared" si="39"/>
        <v>0</v>
      </c>
      <c r="BW91" s="539">
        <f t="shared" si="39"/>
        <v>0</v>
      </c>
      <c r="BX91" s="539">
        <f t="shared" si="39"/>
        <v>0</v>
      </c>
      <c r="BY91" s="539">
        <f t="shared" si="39"/>
        <v>0</v>
      </c>
      <c r="BZ91" s="539">
        <f t="shared" si="39"/>
        <v>0</v>
      </c>
      <c r="CA91" s="539">
        <f t="shared" si="39"/>
        <v>0</v>
      </c>
      <c r="CB91" s="539">
        <f t="shared" si="39"/>
        <v>0</v>
      </c>
      <c r="CC91" s="539">
        <f t="shared" si="39"/>
        <v>0</v>
      </c>
      <c r="CD91" s="539">
        <f t="shared" si="39"/>
        <v>0</v>
      </c>
      <c r="CE91" s="539">
        <f t="shared" si="39"/>
        <v>0</v>
      </c>
      <c r="CF91" s="539">
        <f t="shared" si="39"/>
        <v>0</v>
      </c>
      <c r="CG91" s="539">
        <f t="shared" si="39"/>
        <v>0</v>
      </c>
      <c r="CH91" s="539">
        <f t="shared" si="39"/>
        <v>0</v>
      </c>
      <c r="CI91" s="539">
        <f t="shared" si="39"/>
        <v>0</v>
      </c>
      <c r="CJ91" s="539">
        <f t="shared" si="39"/>
        <v>0</v>
      </c>
      <c r="CK91" s="539">
        <f t="shared" si="39"/>
        <v>0</v>
      </c>
      <c r="CL91" s="539">
        <f t="shared" si="39"/>
        <v>0</v>
      </c>
      <c r="CM91" s="539">
        <f t="shared" si="39"/>
        <v>0</v>
      </c>
      <c r="CN91" s="539">
        <f t="shared" si="39"/>
        <v>0</v>
      </c>
      <c r="CO91" s="539">
        <f t="shared" si="39"/>
        <v>0</v>
      </c>
      <c r="CP91" s="539">
        <f t="shared" si="39"/>
        <v>0</v>
      </c>
      <c r="CQ91" s="539">
        <f t="shared" si="39"/>
        <v>0</v>
      </c>
      <c r="CR91" s="539">
        <f t="shared" si="39"/>
        <v>0</v>
      </c>
      <c r="CS91" s="539">
        <f t="shared" si="39"/>
        <v>0</v>
      </c>
      <c r="CT91" s="539">
        <f t="shared" si="39"/>
        <v>0</v>
      </c>
      <c r="CU91" s="539">
        <f t="shared" si="39"/>
        <v>0</v>
      </c>
      <c r="CV91" s="539">
        <f t="shared" si="39"/>
        <v>0</v>
      </c>
      <c r="CW91" s="539">
        <f t="shared" si="39"/>
        <v>0</v>
      </c>
      <c r="CX91" s="539">
        <f t="shared" si="39"/>
        <v>0</v>
      </c>
      <c r="CY91" s="539">
        <f t="shared" si="39"/>
        <v>0</v>
      </c>
      <c r="CZ91" s="539">
        <f t="shared" si="39"/>
        <v>0</v>
      </c>
      <c r="DA91" s="539">
        <f t="shared" si="39"/>
        <v>0</v>
      </c>
      <c r="DB91" s="539">
        <f t="shared" si="39"/>
        <v>0</v>
      </c>
      <c r="DC91" s="539">
        <f t="shared" si="39"/>
        <v>0</v>
      </c>
      <c r="DD91" s="539">
        <f t="shared" si="39"/>
        <v>0</v>
      </c>
      <c r="DE91" s="539">
        <f t="shared" si="39"/>
        <v>0</v>
      </c>
      <c r="DF91" s="539">
        <f t="shared" si="39"/>
        <v>0</v>
      </c>
      <c r="DG91" s="539">
        <f t="shared" si="39"/>
        <v>0</v>
      </c>
      <c r="DH91" s="539">
        <f t="shared" si="39"/>
        <v>0</v>
      </c>
      <c r="DI91" s="539">
        <f t="shared" si="39"/>
        <v>0</v>
      </c>
      <c r="DJ91" s="539">
        <f t="shared" si="39"/>
        <v>0</v>
      </c>
      <c r="DK91" s="539">
        <f t="shared" si="39"/>
        <v>0</v>
      </c>
      <c r="DL91" s="539">
        <f t="shared" si="39"/>
        <v>0</v>
      </c>
      <c r="DM91" s="539">
        <f t="shared" si="39"/>
        <v>0</v>
      </c>
      <c r="DN91" s="539">
        <f t="shared" si="39"/>
        <v>0</v>
      </c>
      <c r="DO91" s="539">
        <f t="shared" si="39"/>
        <v>0</v>
      </c>
      <c r="DP91" s="539">
        <f t="shared" si="39"/>
        <v>0</v>
      </c>
      <c r="DQ91" s="539">
        <f t="shared" si="39"/>
        <v>0</v>
      </c>
      <c r="DR91" s="539">
        <f t="shared" si="39"/>
        <v>0</v>
      </c>
      <c r="DS91" s="539">
        <f t="shared" si="39"/>
        <v>0</v>
      </c>
      <c r="DT91" s="539">
        <f t="shared" si="39"/>
        <v>0</v>
      </c>
      <c r="DU91" s="539">
        <f t="shared" si="39"/>
        <v>0</v>
      </c>
      <c r="DV91" s="539">
        <f t="shared" si="39"/>
        <v>0</v>
      </c>
      <c r="DW91" s="539">
        <f t="shared" si="39"/>
        <v>0</v>
      </c>
      <c r="DX91" s="539">
        <f t="shared" si="39"/>
        <v>0</v>
      </c>
      <c r="DY91" s="539">
        <f t="shared" si="39"/>
        <v>0</v>
      </c>
      <c r="DZ91" s="539">
        <f t="shared" si="39"/>
        <v>0</v>
      </c>
      <c r="EA91" s="539">
        <f t="shared" si="39"/>
        <v>0</v>
      </c>
      <c r="EB91" s="539">
        <f t="shared" si="39"/>
        <v>0</v>
      </c>
      <c r="EC91" s="539">
        <f t="shared" si="39"/>
        <v>0</v>
      </c>
      <c r="ED91" s="539">
        <f t="shared" si="39"/>
        <v>0</v>
      </c>
      <c r="EE91" s="539">
        <f t="shared" si="39"/>
        <v>0</v>
      </c>
      <c r="EF91" s="539">
        <f t="shared" si="39"/>
        <v>0</v>
      </c>
      <c r="EG91" s="539">
        <f t="shared" si="39"/>
        <v>0</v>
      </c>
    </row>
    <row r="92" spans="5:137" ht="12.75">
      <c r="E92" s="538" t="s">
        <v>220</v>
      </c>
      <c r="G92" s="539" t="s">
        <v>30</v>
      </c>
      <c r="H92" s="539">
        <f>SUM(J92:EG92)</f>
        <v>548.54419863013698</v>
      </c>
      <c r="J92" s="539">
        <f t="shared" si="40" ref="J92:EG92">J91*(J89+J90)</f>
        <v>0</v>
      </c>
      <c r="K92" s="539">
        <f t="shared" si="40"/>
        <v>0</v>
      </c>
      <c r="L92" s="539">
        <f t="shared" si="40"/>
        <v>0</v>
      </c>
      <c r="M92" s="539">
        <f t="shared" si="40"/>
        <v>0</v>
      </c>
      <c r="N92" s="539">
        <f t="shared" si="40"/>
        <v>9.0309794520547939</v>
      </c>
      <c r="O92" s="539">
        <f t="shared" si="40"/>
        <v>17.695068493150686</v>
      </c>
      <c r="P92" s="539">
        <f t="shared" si="40"/>
        <v>27.315883561643837</v>
      </c>
      <c r="Q92" s="539">
        <f t="shared" si="40"/>
        <v>27.538828767123288</v>
      </c>
      <c r="R92" s="539">
        <f t="shared" si="40"/>
        <v>26.434726027397257</v>
      </c>
      <c r="S92" s="539">
        <f t="shared" si="40"/>
        <v>29.79614897260274</v>
      </c>
      <c r="T92" s="539">
        <f t="shared" si="40"/>
        <v>31.47796232876712</v>
      </c>
      <c r="U92" s="539">
        <f t="shared" si="40"/>
        <v>35.704196917808218</v>
      </c>
      <c r="V92" s="539">
        <f t="shared" si="40"/>
        <v>36.623845890410962</v>
      </c>
      <c r="W92" s="539">
        <f t="shared" si="40"/>
        <v>33.843893835616434</v>
      </c>
      <c r="X92" s="539">
        <f t="shared" si="40"/>
        <v>35.397647260273978</v>
      </c>
      <c r="Y92" s="539">
        <f t="shared" si="40"/>
        <v>32.098253424657536</v>
      </c>
      <c r="Z92" s="539">
        <f t="shared" si="40"/>
        <v>30.492852739726029</v>
      </c>
      <c r="AA92" s="539">
        <f t="shared" si="40"/>
        <v>26.380787671232873</v>
      </c>
      <c r="AB92" s="539">
        <f t="shared" si="40"/>
        <v>26.256893835616442</v>
      </c>
      <c r="AC92" s="539">
        <f t="shared" si="40"/>
        <v>27.037202054794523</v>
      </c>
      <c r="AD92" s="539">
        <f t="shared" si="40"/>
        <v>27.459554794520546</v>
      </c>
      <c r="AE92" s="539">
        <f t="shared" si="40"/>
        <v>27.789642123287674</v>
      </c>
      <c r="AF92" s="539">
        <f t="shared" si="40"/>
        <v>22.524195205479451</v>
      </c>
      <c r="AG92" s="539">
        <f t="shared" si="40"/>
        <v>17.645635273972601</v>
      </c>
      <c r="AH92" s="539">
        <f t="shared" si="40"/>
        <v>0</v>
      </c>
      <c r="AI92" s="539">
        <f t="shared" si="40"/>
        <v>0</v>
      </c>
      <c r="AJ92" s="539">
        <f t="shared" si="40"/>
        <v>0</v>
      </c>
      <c r="AK92" s="539">
        <f t="shared" si="40"/>
        <v>0</v>
      </c>
      <c r="AL92" s="539">
        <f t="shared" si="40"/>
        <v>0</v>
      </c>
      <c r="AM92" s="539">
        <f t="shared" si="40"/>
        <v>0</v>
      </c>
      <c r="AN92" s="539">
        <f t="shared" si="40"/>
        <v>0</v>
      </c>
      <c r="AO92" s="539">
        <f t="shared" si="40"/>
        <v>0</v>
      </c>
      <c r="AP92" s="539">
        <f t="shared" si="40"/>
        <v>0</v>
      </c>
      <c r="AQ92" s="539">
        <f t="shared" si="40"/>
        <v>0</v>
      </c>
      <c r="AR92" s="539">
        <f t="shared" si="40"/>
        <v>0</v>
      </c>
      <c r="AS92" s="539">
        <f t="shared" si="40"/>
        <v>0</v>
      </c>
      <c r="AT92" s="539">
        <f t="shared" si="40"/>
        <v>0</v>
      </c>
      <c r="AU92" s="539">
        <f t="shared" si="40"/>
        <v>0</v>
      </c>
      <c r="AV92" s="539">
        <f t="shared" si="40"/>
        <v>0</v>
      </c>
      <c r="AW92" s="539">
        <f t="shared" si="40"/>
        <v>0</v>
      </c>
      <c r="AX92" s="539">
        <f t="shared" si="40"/>
        <v>0</v>
      </c>
      <c r="AY92" s="539">
        <f t="shared" si="40"/>
        <v>0</v>
      </c>
      <c r="AZ92" s="539">
        <f t="shared" si="40"/>
        <v>0</v>
      </c>
      <c r="BA92" s="539">
        <f t="shared" si="40"/>
        <v>0</v>
      </c>
      <c r="BB92" s="539">
        <f t="shared" si="40"/>
        <v>0</v>
      </c>
      <c r="BC92" s="539">
        <f t="shared" si="40"/>
        <v>0</v>
      </c>
      <c r="BD92" s="539">
        <f t="shared" si="40"/>
        <v>0</v>
      </c>
      <c r="BE92" s="539">
        <f t="shared" si="40"/>
        <v>0</v>
      </c>
      <c r="BF92" s="539">
        <f t="shared" si="40"/>
        <v>0</v>
      </c>
      <c r="BG92" s="539">
        <f t="shared" si="40"/>
        <v>0</v>
      </c>
      <c r="BH92" s="539">
        <f t="shared" si="40"/>
        <v>0</v>
      </c>
      <c r="BI92" s="539">
        <f t="shared" si="40"/>
        <v>0</v>
      </c>
      <c r="BJ92" s="539">
        <f t="shared" si="40"/>
        <v>0</v>
      </c>
      <c r="BK92" s="539">
        <f t="shared" si="40"/>
        <v>0</v>
      </c>
      <c r="BL92" s="539">
        <f t="shared" si="40"/>
        <v>0</v>
      </c>
      <c r="BM92" s="539">
        <f t="shared" si="40"/>
        <v>0</v>
      </c>
      <c r="BN92" s="539">
        <f t="shared" si="40"/>
        <v>0</v>
      </c>
      <c r="BO92" s="539">
        <f t="shared" si="40"/>
        <v>0</v>
      </c>
      <c r="BP92" s="539">
        <f t="shared" si="40"/>
        <v>0</v>
      </c>
      <c r="BQ92" s="539">
        <f t="shared" si="40"/>
        <v>0</v>
      </c>
      <c r="BR92" s="539">
        <f t="shared" si="40"/>
        <v>0</v>
      </c>
      <c r="BS92" s="539">
        <f t="shared" si="40"/>
        <v>0</v>
      </c>
      <c r="BT92" s="539">
        <f t="shared" si="40"/>
        <v>0</v>
      </c>
      <c r="BU92" s="539">
        <f t="shared" si="40"/>
        <v>0</v>
      </c>
      <c r="BV92" s="539">
        <f t="shared" si="40"/>
        <v>0</v>
      </c>
      <c r="BW92" s="539">
        <f t="shared" si="40"/>
        <v>0</v>
      </c>
      <c r="BX92" s="539">
        <f t="shared" si="40"/>
        <v>0</v>
      </c>
      <c r="BY92" s="539">
        <f t="shared" si="40"/>
        <v>0</v>
      </c>
      <c r="BZ92" s="539">
        <f t="shared" si="40"/>
        <v>0</v>
      </c>
      <c r="CA92" s="539">
        <f t="shared" si="40"/>
        <v>0</v>
      </c>
      <c r="CB92" s="539">
        <f t="shared" si="40"/>
        <v>0</v>
      </c>
      <c r="CC92" s="539">
        <f t="shared" si="40"/>
        <v>0</v>
      </c>
      <c r="CD92" s="539">
        <f t="shared" si="40"/>
        <v>0</v>
      </c>
      <c r="CE92" s="539">
        <f t="shared" si="40"/>
        <v>0</v>
      </c>
      <c r="CF92" s="539">
        <f t="shared" si="40"/>
        <v>0</v>
      </c>
      <c r="CG92" s="539">
        <f t="shared" si="40"/>
        <v>0</v>
      </c>
      <c r="CH92" s="539">
        <f t="shared" si="40"/>
        <v>0</v>
      </c>
      <c r="CI92" s="539">
        <f t="shared" si="40"/>
        <v>0</v>
      </c>
      <c r="CJ92" s="539">
        <f t="shared" si="40"/>
        <v>0</v>
      </c>
      <c r="CK92" s="539">
        <f t="shared" si="40"/>
        <v>0</v>
      </c>
      <c r="CL92" s="539">
        <f t="shared" si="40"/>
        <v>0</v>
      </c>
      <c r="CM92" s="539">
        <f t="shared" si="40"/>
        <v>0</v>
      </c>
      <c r="CN92" s="539">
        <f t="shared" si="40"/>
        <v>0</v>
      </c>
      <c r="CO92" s="539">
        <f t="shared" si="40"/>
        <v>0</v>
      </c>
      <c r="CP92" s="539">
        <f t="shared" si="40"/>
        <v>0</v>
      </c>
      <c r="CQ92" s="539">
        <f t="shared" si="40"/>
        <v>0</v>
      </c>
      <c r="CR92" s="539">
        <f t="shared" si="40"/>
        <v>0</v>
      </c>
      <c r="CS92" s="539">
        <f t="shared" si="40"/>
        <v>0</v>
      </c>
      <c r="CT92" s="539">
        <f t="shared" si="40"/>
        <v>0</v>
      </c>
      <c r="CU92" s="539">
        <f t="shared" si="40"/>
        <v>0</v>
      </c>
      <c r="CV92" s="539">
        <f t="shared" si="40"/>
        <v>0</v>
      </c>
      <c r="CW92" s="539">
        <f t="shared" si="40"/>
        <v>0</v>
      </c>
      <c r="CX92" s="539">
        <f t="shared" si="40"/>
        <v>0</v>
      </c>
      <c r="CY92" s="539">
        <f t="shared" si="40"/>
        <v>0</v>
      </c>
      <c r="CZ92" s="539">
        <f t="shared" si="40"/>
        <v>0</v>
      </c>
      <c r="DA92" s="539">
        <f t="shared" si="40"/>
        <v>0</v>
      </c>
      <c r="DB92" s="539">
        <f t="shared" si="40"/>
        <v>0</v>
      </c>
      <c r="DC92" s="539">
        <f t="shared" si="40"/>
        <v>0</v>
      </c>
      <c r="DD92" s="539">
        <f t="shared" si="40"/>
        <v>0</v>
      </c>
      <c r="DE92" s="539">
        <f t="shared" si="40"/>
        <v>0</v>
      </c>
      <c r="DF92" s="539">
        <f t="shared" si="40"/>
        <v>0</v>
      </c>
      <c r="DG92" s="539">
        <f t="shared" si="40"/>
        <v>0</v>
      </c>
      <c r="DH92" s="539">
        <f t="shared" si="40"/>
        <v>0</v>
      </c>
      <c r="DI92" s="539">
        <f t="shared" si="40"/>
        <v>0</v>
      </c>
      <c r="DJ92" s="539">
        <f t="shared" si="40"/>
        <v>0</v>
      </c>
      <c r="DK92" s="539">
        <f t="shared" si="40"/>
        <v>0</v>
      </c>
      <c r="DL92" s="539">
        <f t="shared" si="40"/>
        <v>0</v>
      </c>
      <c r="DM92" s="539">
        <f t="shared" si="40"/>
        <v>0</v>
      </c>
      <c r="DN92" s="539">
        <f t="shared" si="40"/>
        <v>0</v>
      </c>
      <c r="DO92" s="539">
        <f t="shared" si="40"/>
        <v>0</v>
      </c>
      <c r="DP92" s="539">
        <f t="shared" si="40"/>
        <v>0</v>
      </c>
      <c r="DQ92" s="539">
        <f t="shared" si="40"/>
        <v>0</v>
      </c>
      <c r="DR92" s="539">
        <f t="shared" si="40"/>
        <v>0</v>
      </c>
      <c r="DS92" s="539">
        <f t="shared" si="40"/>
        <v>0</v>
      </c>
      <c r="DT92" s="539">
        <f t="shared" si="40"/>
        <v>0</v>
      </c>
      <c r="DU92" s="539">
        <f t="shared" si="40"/>
        <v>0</v>
      </c>
      <c r="DV92" s="539">
        <f t="shared" si="40"/>
        <v>0</v>
      </c>
      <c r="DW92" s="539">
        <f t="shared" si="40"/>
        <v>0</v>
      </c>
      <c r="DX92" s="539">
        <f t="shared" si="40"/>
        <v>0</v>
      </c>
      <c r="DY92" s="539">
        <f t="shared" si="40"/>
        <v>0</v>
      </c>
      <c r="DZ92" s="539">
        <f t="shared" si="40"/>
        <v>0</v>
      </c>
      <c r="EA92" s="539">
        <f t="shared" si="40"/>
        <v>0</v>
      </c>
      <c r="EB92" s="539">
        <f t="shared" si="40"/>
        <v>0</v>
      </c>
      <c r="EC92" s="539">
        <f t="shared" si="40"/>
        <v>0</v>
      </c>
      <c r="ED92" s="539">
        <f t="shared" si="40"/>
        <v>0</v>
      </c>
      <c r="EE92" s="539">
        <f t="shared" si="40"/>
        <v>0</v>
      </c>
      <c r="EF92" s="539">
        <f t="shared" si="40"/>
        <v>0</v>
      </c>
      <c r="EG92" s="539">
        <f t="shared" si="40"/>
        <v>0</v>
      </c>
    </row>
    <row r="94" spans="5:137" ht="12.75">
      <c r="E94" s="535" t="str">
        <f>Time!E$91</f>
        <v>Operating period flag</v>
      </c>
      <c r="G94" s="537" t="str">
        <f>Time!G$91</f>
        <v>flag</v>
      </c>
      <c r="H94" s="537">
        <f>Time!H$91</f>
        <v>100</v>
      </c>
      <c r="J94" s="537">
        <f>Time!J$91</f>
        <v>0</v>
      </c>
      <c r="K94" s="537">
        <f>Time!K$91</f>
        <v>0</v>
      </c>
      <c r="L94" s="537">
        <f>Time!L$91</f>
        <v>0</v>
      </c>
      <c r="M94" s="537">
        <f>Time!M$91</f>
        <v>0</v>
      </c>
      <c r="N94" s="537">
        <f>Time!N$91</f>
        <v>0</v>
      </c>
      <c r="O94" s="537">
        <f>Time!O$91</f>
        <v>0</v>
      </c>
      <c r="P94" s="537">
        <f>Time!P$91</f>
        <v>0</v>
      </c>
      <c r="Q94" s="537">
        <f>Time!Q$91</f>
        <v>0</v>
      </c>
      <c r="R94" s="537">
        <f>Time!R$91</f>
        <v>0</v>
      </c>
      <c r="S94" s="537">
        <f>Time!S$91</f>
        <v>0</v>
      </c>
      <c r="T94" s="537">
        <f>Time!T$91</f>
        <v>0</v>
      </c>
      <c r="U94" s="537">
        <f>Time!U$91</f>
        <v>0</v>
      </c>
      <c r="V94" s="537">
        <f>Time!V$91</f>
        <v>0</v>
      </c>
      <c r="W94" s="537">
        <f>Time!W$91</f>
        <v>0</v>
      </c>
      <c r="X94" s="537">
        <f>Time!X$91</f>
        <v>0</v>
      </c>
      <c r="Y94" s="537">
        <f>Time!Y$91</f>
        <v>0</v>
      </c>
      <c r="Z94" s="537">
        <f>Time!Z$91</f>
        <v>0</v>
      </c>
      <c r="AA94" s="537">
        <f>Time!AA$91</f>
        <v>0</v>
      </c>
      <c r="AB94" s="537">
        <f>Time!AB$91</f>
        <v>0</v>
      </c>
      <c r="AC94" s="537">
        <f>Time!AC$91</f>
        <v>0</v>
      </c>
      <c r="AD94" s="537">
        <f>Time!AD$91</f>
        <v>0</v>
      </c>
      <c r="AE94" s="537">
        <f>Time!AE$91</f>
        <v>0</v>
      </c>
      <c r="AF94" s="537">
        <f>Time!AF$91</f>
        <v>0</v>
      </c>
      <c r="AG94" s="537">
        <f>Time!AG$91</f>
        <v>0</v>
      </c>
      <c r="AH94" s="537">
        <f>Time!AH$91</f>
        <v>1</v>
      </c>
      <c r="AI94" s="537">
        <f>Time!AI$91</f>
        <v>1</v>
      </c>
      <c r="AJ94" s="537">
        <f>Time!AJ$91</f>
        <v>1</v>
      </c>
      <c r="AK94" s="537">
        <f>Time!AK$91</f>
        <v>1</v>
      </c>
      <c r="AL94" s="537">
        <f>Time!AL$91</f>
        <v>1</v>
      </c>
      <c r="AM94" s="537">
        <f>Time!AM$91</f>
        <v>1</v>
      </c>
      <c r="AN94" s="537">
        <f>Time!AN$91</f>
        <v>1</v>
      </c>
      <c r="AO94" s="537">
        <f>Time!AO$91</f>
        <v>1</v>
      </c>
      <c r="AP94" s="537">
        <f>Time!AP$91</f>
        <v>1</v>
      </c>
      <c r="AQ94" s="537">
        <f>Time!AQ$91</f>
        <v>1</v>
      </c>
      <c r="AR94" s="537">
        <f>Time!AR$91</f>
        <v>1</v>
      </c>
      <c r="AS94" s="537">
        <f>Time!AS$91</f>
        <v>1</v>
      </c>
      <c r="AT94" s="537">
        <f>Time!AT$91</f>
        <v>1</v>
      </c>
      <c r="AU94" s="537">
        <f>Time!AU$91</f>
        <v>1</v>
      </c>
      <c r="AV94" s="537">
        <f>Time!AV$91</f>
        <v>1</v>
      </c>
      <c r="AW94" s="537">
        <f>Time!AW$91</f>
        <v>1</v>
      </c>
      <c r="AX94" s="537">
        <f>Time!AX$91</f>
        <v>1</v>
      </c>
      <c r="AY94" s="537">
        <f>Time!AY$91</f>
        <v>1</v>
      </c>
      <c r="AZ94" s="537">
        <f>Time!AZ$91</f>
        <v>1</v>
      </c>
      <c r="BA94" s="537">
        <f>Time!BA$91</f>
        <v>1</v>
      </c>
      <c r="BB94" s="537">
        <f>Time!BB$91</f>
        <v>1</v>
      </c>
      <c r="BC94" s="537">
        <f>Time!BC$91</f>
        <v>1</v>
      </c>
      <c r="BD94" s="537">
        <f>Time!BD$91</f>
        <v>1</v>
      </c>
      <c r="BE94" s="537">
        <f>Time!BE$91</f>
        <v>1</v>
      </c>
      <c r="BF94" s="537">
        <f>Time!BF$91</f>
        <v>1</v>
      </c>
      <c r="BG94" s="537">
        <f>Time!BG$91</f>
        <v>1</v>
      </c>
      <c r="BH94" s="537">
        <f>Time!BH$91</f>
        <v>1</v>
      </c>
      <c r="BI94" s="537">
        <f>Time!BI$91</f>
        <v>1</v>
      </c>
      <c r="BJ94" s="537">
        <f>Time!BJ$91</f>
        <v>1</v>
      </c>
      <c r="BK94" s="537">
        <f>Time!BK$91</f>
        <v>1</v>
      </c>
      <c r="BL94" s="537">
        <f>Time!BL$91</f>
        <v>1</v>
      </c>
      <c r="BM94" s="537">
        <f>Time!BM$91</f>
        <v>1</v>
      </c>
      <c r="BN94" s="537">
        <f>Time!BN$91</f>
        <v>1</v>
      </c>
      <c r="BO94" s="537">
        <f>Time!BO$91</f>
        <v>1</v>
      </c>
      <c r="BP94" s="537">
        <f>Time!BP$91</f>
        <v>1</v>
      </c>
      <c r="BQ94" s="537">
        <f>Time!BQ$91</f>
        <v>1</v>
      </c>
      <c r="BR94" s="537">
        <f>Time!BR$91</f>
        <v>1</v>
      </c>
      <c r="BS94" s="537">
        <f>Time!BS$91</f>
        <v>1</v>
      </c>
      <c r="BT94" s="537">
        <f>Time!BT$91</f>
        <v>1</v>
      </c>
      <c r="BU94" s="537">
        <f>Time!BU$91</f>
        <v>1</v>
      </c>
      <c r="BV94" s="537">
        <f>Time!BV$91</f>
        <v>1</v>
      </c>
      <c r="BW94" s="537">
        <f>Time!BW$91</f>
        <v>1</v>
      </c>
      <c r="BX94" s="537">
        <f>Time!BX$91</f>
        <v>1</v>
      </c>
      <c r="BY94" s="537">
        <f>Time!BY$91</f>
        <v>1</v>
      </c>
      <c r="BZ94" s="537">
        <f>Time!BZ$91</f>
        <v>1</v>
      </c>
      <c r="CA94" s="537">
        <f>Time!CA$91</f>
        <v>1</v>
      </c>
      <c r="CB94" s="537">
        <f>Time!CB$91</f>
        <v>1</v>
      </c>
      <c r="CC94" s="537">
        <f>Time!CC$91</f>
        <v>1</v>
      </c>
      <c r="CD94" s="537">
        <f>Time!CD$91</f>
        <v>1</v>
      </c>
      <c r="CE94" s="537">
        <f>Time!CE$91</f>
        <v>1</v>
      </c>
      <c r="CF94" s="537">
        <f>Time!CF$91</f>
        <v>1</v>
      </c>
      <c r="CG94" s="537">
        <f>Time!CG$91</f>
        <v>1</v>
      </c>
      <c r="CH94" s="537">
        <f>Time!CH$91</f>
        <v>1</v>
      </c>
      <c r="CI94" s="537">
        <f>Time!CI$91</f>
        <v>1</v>
      </c>
      <c r="CJ94" s="537">
        <f>Time!CJ$91</f>
        <v>1</v>
      </c>
      <c r="CK94" s="537">
        <f>Time!CK$91</f>
        <v>1</v>
      </c>
      <c r="CL94" s="537">
        <f>Time!CL$91</f>
        <v>1</v>
      </c>
      <c r="CM94" s="537">
        <f>Time!CM$91</f>
        <v>1</v>
      </c>
      <c r="CN94" s="537">
        <f>Time!CN$91</f>
        <v>1</v>
      </c>
      <c r="CO94" s="537">
        <f>Time!CO$91</f>
        <v>1</v>
      </c>
      <c r="CP94" s="537">
        <f>Time!CP$91</f>
        <v>1</v>
      </c>
      <c r="CQ94" s="537">
        <f>Time!CQ$91</f>
        <v>1</v>
      </c>
      <c r="CR94" s="537">
        <f>Time!CR$91</f>
        <v>1</v>
      </c>
      <c r="CS94" s="537">
        <f>Time!CS$91</f>
        <v>1</v>
      </c>
      <c r="CT94" s="537">
        <f>Time!CT$91</f>
        <v>1</v>
      </c>
      <c r="CU94" s="537">
        <f>Time!CU$91</f>
        <v>1</v>
      </c>
      <c r="CV94" s="537">
        <f>Time!CV$91</f>
        <v>1</v>
      </c>
      <c r="CW94" s="537">
        <f>Time!CW$91</f>
        <v>1</v>
      </c>
      <c r="CX94" s="537">
        <f>Time!CX$91</f>
        <v>1</v>
      </c>
      <c r="CY94" s="537">
        <f>Time!CY$91</f>
        <v>1</v>
      </c>
      <c r="CZ94" s="537">
        <f>Time!CZ$91</f>
        <v>1</v>
      </c>
      <c r="DA94" s="537">
        <f>Time!DA$91</f>
        <v>1</v>
      </c>
      <c r="DB94" s="537">
        <f>Time!DB$91</f>
        <v>1</v>
      </c>
      <c r="DC94" s="537">
        <f>Time!DC$91</f>
        <v>1</v>
      </c>
      <c r="DD94" s="537">
        <f>Time!DD$91</f>
        <v>1</v>
      </c>
      <c r="DE94" s="537">
        <f>Time!DE$91</f>
        <v>1</v>
      </c>
      <c r="DF94" s="537">
        <f>Time!DF$91</f>
        <v>1</v>
      </c>
      <c r="DG94" s="537">
        <f>Time!DG$91</f>
        <v>1</v>
      </c>
      <c r="DH94" s="537">
        <f>Time!DH$91</f>
        <v>1</v>
      </c>
      <c r="DI94" s="537">
        <f>Time!DI$91</f>
        <v>1</v>
      </c>
      <c r="DJ94" s="537">
        <f>Time!DJ$91</f>
        <v>1</v>
      </c>
      <c r="DK94" s="537">
        <f>Time!DK$91</f>
        <v>1</v>
      </c>
      <c r="DL94" s="537">
        <f>Time!DL$91</f>
        <v>1</v>
      </c>
      <c r="DM94" s="537">
        <f>Time!DM$91</f>
        <v>1</v>
      </c>
      <c r="DN94" s="537">
        <f>Time!DN$91</f>
        <v>1</v>
      </c>
      <c r="DO94" s="537">
        <f>Time!DO$91</f>
        <v>1</v>
      </c>
      <c r="DP94" s="537">
        <f>Time!DP$91</f>
        <v>1</v>
      </c>
      <c r="DQ94" s="537">
        <f>Time!DQ$91</f>
        <v>1</v>
      </c>
      <c r="DR94" s="537">
        <f>Time!DR$91</f>
        <v>1</v>
      </c>
      <c r="DS94" s="537">
        <f>Time!DS$91</f>
        <v>1</v>
      </c>
      <c r="DT94" s="537">
        <f>Time!DT$91</f>
        <v>1</v>
      </c>
      <c r="DU94" s="537">
        <f>Time!DU$91</f>
        <v>1</v>
      </c>
      <c r="DV94" s="537">
        <f>Time!DV$91</f>
        <v>1</v>
      </c>
      <c r="DW94" s="537">
        <f>Time!DW$91</f>
        <v>1</v>
      </c>
      <c r="DX94" s="537">
        <f>Time!DX$91</f>
        <v>1</v>
      </c>
      <c r="DY94" s="537">
        <f>Time!DY$91</f>
        <v>1</v>
      </c>
      <c r="DZ94" s="537">
        <f>Time!DZ$91</f>
        <v>1</v>
      </c>
      <c r="EA94" s="537">
        <f>Time!EA$91</f>
        <v>1</v>
      </c>
      <c r="EB94" s="537">
        <f>Time!EB$91</f>
        <v>1</v>
      </c>
      <c r="EC94" s="537">
        <f>Time!EC$91</f>
        <v>1</v>
      </c>
      <c r="ED94" s="537">
        <f>Time!ED$91</f>
        <v>0</v>
      </c>
      <c r="EE94" s="537">
        <f>Time!EE$91</f>
        <v>0</v>
      </c>
      <c r="EF94" s="537">
        <f>Time!EF$91</f>
        <v>0</v>
      </c>
      <c r="EG94" s="537">
        <f>Time!EG$91</f>
        <v>0</v>
      </c>
    </row>
    <row r="95" spans="5:137" ht="12.75">
      <c r="E95" s="538" t="str">
        <f>E$87</f>
        <v>VAT facility - interest</v>
      </c>
      <c r="G95" s="539" t="str">
        <f>G$87</f>
        <v>EUR 000s</v>
      </c>
      <c r="H95" s="539">
        <f>H$87</f>
        <v>582.54015753424653</v>
      </c>
      <c r="J95" s="539">
        <f t="shared" si="41" ref="J95:EG95">J$87</f>
        <v>0</v>
      </c>
      <c r="K95" s="539">
        <f t="shared" si="41"/>
        <v>0</v>
      </c>
      <c r="L95" s="539">
        <f t="shared" si="41"/>
        <v>0</v>
      </c>
      <c r="M95" s="539">
        <f t="shared" si="41"/>
        <v>0</v>
      </c>
      <c r="N95" s="539">
        <f t="shared" si="41"/>
        <v>9.0309794520547939</v>
      </c>
      <c r="O95" s="539">
        <f t="shared" si="41"/>
        <v>17.695068493150686</v>
      </c>
      <c r="P95" s="539">
        <f t="shared" si="41"/>
        <v>27.315883561643837</v>
      </c>
      <c r="Q95" s="539">
        <f t="shared" si="41"/>
        <v>27.538828767123288</v>
      </c>
      <c r="R95" s="539">
        <f t="shared" si="41"/>
        <v>26.434726027397257</v>
      </c>
      <c r="S95" s="539">
        <f t="shared" si="41"/>
        <v>29.79614897260274</v>
      </c>
      <c r="T95" s="539">
        <f t="shared" si="41"/>
        <v>31.47796232876712</v>
      </c>
      <c r="U95" s="539">
        <f t="shared" si="41"/>
        <v>35.704196917808218</v>
      </c>
      <c r="V95" s="539">
        <f t="shared" si="41"/>
        <v>36.623845890410962</v>
      </c>
      <c r="W95" s="539">
        <f t="shared" si="41"/>
        <v>33.843893835616434</v>
      </c>
      <c r="X95" s="539">
        <f t="shared" si="41"/>
        <v>35.397647260273978</v>
      </c>
      <c r="Y95" s="539">
        <f t="shared" si="41"/>
        <v>32.098253424657536</v>
      </c>
      <c r="Z95" s="539">
        <f t="shared" si="41"/>
        <v>30.492852739726029</v>
      </c>
      <c r="AA95" s="539">
        <f t="shared" si="41"/>
        <v>26.380787671232873</v>
      </c>
      <c r="AB95" s="539">
        <f t="shared" si="41"/>
        <v>26.256893835616442</v>
      </c>
      <c r="AC95" s="539">
        <f t="shared" si="41"/>
        <v>27.037202054794523</v>
      </c>
      <c r="AD95" s="539">
        <f t="shared" si="41"/>
        <v>27.459554794520546</v>
      </c>
      <c r="AE95" s="539">
        <f t="shared" si="41"/>
        <v>27.789642123287674</v>
      </c>
      <c r="AF95" s="539">
        <f t="shared" si="41"/>
        <v>22.524195205479451</v>
      </c>
      <c r="AG95" s="539">
        <f t="shared" si="41"/>
        <v>17.645635273972601</v>
      </c>
      <c r="AH95" s="539">
        <f t="shared" si="41"/>
        <v>33.995958904109585</v>
      </c>
      <c r="AI95" s="539">
        <f t="shared" si="41"/>
        <v>0</v>
      </c>
      <c r="AJ95" s="539">
        <f t="shared" si="41"/>
        <v>0</v>
      </c>
      <c r="AK95" s="539">
        <f t="shared" si="41"/>
        <v>0</v>
      </c>
      <c r="AL95" s="539">
        <f t="shared" si="41"/>
        <v>0</v>
      </c>
      <c r="AM95" s="539">
        <f t="shared" si="41"/>
        <v>0</v>
      </c>
      <c r="AN95" s="539">
        <f t="shared" si="41"/>
        <v>0</v>
      </c>
      <c r="AO95" s="539">
        <f t="shared" si="41"/>
        <v>0</v>
      </c>
      <c r="AP95" s="539">
        <f t="shared" si="41"/>
        <v>0</v>
      </c>
      <c r="AQ95" s="539">
        <f t="shared" si="41"/>
        <v>0</v>
      </c>
      <c r="AR95" s="539">
        <f t="shared" si="41"/>
        <v>0</v>
      </c>
      <c r="AS95" s="539">
        <f t="shared" si="41"/>
        <v>0</v>
      </c>
      <c r="AT95" s="539">
        <f t="shared" si="41"/>
        <v>0</v>
      </c>
      <c r="AU95" s="539">
        <f t="shared" si="41"/>
        <v>0</v>
      </c>
      <c r="AV95" s="539">
        <f t="shared" si="41"/>
        <v>0</v>
      </c>
      <c r="AW95" s="539">
        <f t="shared" si="41"/>
        <v>0</v>
      </c>
      <c r="AX95" s="539">
        <f t="shared" si="41"/>
        <v>0</v>
      </c>
      <c r="AY95" s="539">
        <f t="shared" si="41"/>
        <v>0</v>
      </c>
      <c r="AZ95" s="539">
        <f t="shared" si="41"/>
        <v>0</v>
      </c>
      <c r="BA95" s="539">
        <f t="shared" si="41"/>
        <v>0</v>
      </c>
      <c r="BB95" s="539">
        <f t="shared" si="41"/>
        <v>0</v>
      </c>
      <c r="BC95" s="539">
        <f t="shared" si="41"/>
        <v>0</v>
      </c>
      <c r="BD95" s="539">
        <f t="shared" si="41"/>
        <v>0</v>
      </c>
      <c r="BE95" s="539">
        <f t="shared" si="41"/>
        <v>0</v>
      </c>
      <c r="BF95" s="539">
        <f t="shared" si="41"/>
        <v>0</v>
      </c>
      <c r="BG95" s="539">
        <f t="shared" si="41"/>
        <v>0</v>
      </c>
      <c r="BH95" s="539">
        <f t="shared" si="41"/>
        <v>0</v>
      </c>
      <c r="BI95" s="539">
        <f t="shared" si="41"/>
        <v>0</v>
      </c>
      <c r="BJ95" s="539">
        <f t="shared" si="41"/>
        <v>0</v>
      </c>
      <c r="BK95" s="539">
        <f t="shared" si="41"/>
        <v>0</v>
      </c>
      <c r="BL95" s="539">
        <f t="shared" si="41"/>
        <v>0</v>
      </c>
      <c r="BM95" s="539">
        <f t="shared" si="41"/>
        <v>0</v>
      </c>
      <c r="BN95" s="539">
        <f t="shared" si="41"/>
        <v>0</v>
      </c>
      <c r="BO95" s="539">
        <f t="shared" si="41"/>
        <v>0</v>
      </c>
      <c r="BP95" s="539">
        <f t="shared" si="41"/>
        <v>0</v>
      </c>
      <c r="BQ95" s="539">
        <f t="shared" si="41"/>
        <v>0</v>
      </c>
      <c r="BR95" s="539">
        <f t="shared" si="41"/>
        <v>0</v>
      </c>
      <c r="BS95" s="539">
        <f t="shared" si="41"/>
        <v>0</v>
      </c>
      <c r="BT95" s="539">
        <f t="shared" si="41"/>
        <v>0</v>
      </c>
      <c r="BU95" s="539">
        <f t="shared" si="41"/>
        <v>0</v>
      </c>
      <c r="BV95" s="539">
        <f t="shared" si="41"/>
        <v>0</v>
      </c>
      <c r="BW95" s="539">
        <f t="shared" si="41"/>
        <v>0</v>
      </c>
      <c r="BX95" s="539">
        <f t="shared" si="41"/>
        <v>0</v>
      </c>
      <c r="BY95" s="539">
        <f t="shared" si="41"/>
        <v>0</v>
      </c>
      <c r="BZ95" s="539">
        <f t="shared" si="41"/>
        <v>0</v>
      </c>
      <c r="CA95" s="539">
        <f t="shared" si="41"/>
        <v>0</v>
      </c>
      <c r="CB95" s="539">
        <f t="shared" si="41"/>
        <v>0</v>
      </c>
      <c r="CC95" s="539">
        <f t="shared" si="41"/>
        <v>0</v>
      </c>
      <c r="CD95" s="539">
        <f t="shared" si="41"/>
        <v>0</v>
      </c>
      <c r="CE95" s="539">
        <f t="shared" si="41"/>
        <v>0</v>
      </c>
      <c r="CF95" s="539">
        <f t="shared" si="41"/>
        <v>0</v>
      </c>
      <c r="CG95" s="539">
        <f t="shared" si="41"/>
        <v>0</v>
      </c>
      <c r="CH95" s="539">
        <f t="shared" si="41"/>
        <v>0</v>
      </c>
      <c r="CI95" s="539">
        <f t="shared" si="41"/>
        <v>0</v>
      </c>
      <c r="CJ95" s="539">
        <f t="shared" si="41"/>
        <v>0</v>
      </c>
      <c r="CK95" s="539">
        <f t="shared" si="41"/>
        <v>0</v>
      </c>
      <c r="CL95" s="539">
        <f t="shared" si="41"/>
        <v>0</v>
      </c>
      <c r="CM95" s="539">
        <f t="shared" si="41"/>
        <v>0</v>
      </c>
      <c r="CN95" s="539">
        <f t="shared" si="41"/>
        <v>0</v>
      </c>
      <c r="CO95" s="539">
        <f t="shared" si="41"/>
        <v>0</v>
      </c>
      <c r="CP95" s="539">
        <f t="shared" si="41"/>
        <v>0</v>
      </c>
      <c r="CQ95" s="539">
        <f t="shared" si="41"/>
        <v>0</v>
      </c>
      <c r="CR95" s="539">
        <f t="shared" si="41"/>
        <v>0</v>
      </c>
      <c r="CS95" s="539">
        <f t="shared" si="41"/>
        <v>0</v>
      </c>
      <c r="CT95" s="539">
        <f t="shared" si="41"/>
        <v>0</v>
      </c>
      <c r="CU95" s="539">
        <f t="shared" si="41"/>
        <v>0</v>
      </c>
      <c r="CV95" s="539">
        <f t="shared" si="41"/>
        <v>0</v>
      </c>
      <c r="CW95" s="539">
        <f t="shared" si="41"/>
        <v>0</v>
      </c>
      <c r="CX95" s="539">
        <f t="shared" si="41"/>
        <v>0</v>
      </c>
      <c r="CY95" s="539">
        <f t="shared" si="41"/>
        <v>0</v>
      </c>
      <c r="CZ95" s="539">
        <f t="shared" si="41"/>
        <v>0</v>
      </c>
      <c r="DA95" s="539">
        <f t="shared" si="41"/>
        <v>0</v>
      </c>
      <c r="DB95" s="539">
        <f t="shared" si="41"/>
        <v>0</v>
      </c>
      <c r="DC95" s="539">
        <f t="shared" si="41"/>
        <v>0</v>
      </c>
      <c r="DD95" s="539">
        <f t="shared" si="41"/>
        <v>0</v>
      </c>
      <c r="DE95" s="539">
        <f t="shared" si="41"/>
        <v>0</v>
      </c>
      <c r="DF95" s="539">
        <f t="shared" si="41"/>
        <v>0</v>
      </c>
      <c r="DG95" s="539">
        <f t="shared" si="41"/>
        <v>0</v>
      </c>
      <c r="DH95" s="539">
        <f t="shared" si="41"/>
        <v>0</v>
      </c>
      <c r="DI95" s="539">
        <f t="shared" si="41"/>
        <v>0</v>
      </c>
      <c r="DJ95" s="539">
        <f t="shared" si="41"/>
        <v>0</v>
      </c>
      <c r="DK95" s="539">
        <f t="shared" si="41"/>
        <v>0</v>
      </c>
      <c r="DL95" s="539">
        <f t="shared" si="41"/>
        <v>0</v>
      </c>
      <c r="DM95" s="539">
        <f t="shared" si="41"/>
        <v>0</v>
      </c>
      <c r="DN95" s="539">
        <f t="shared" si="41"/>
        <v>0</v>
      </c>
      <c r="DO95" s="539">
        <f t="shared" si="41"/>
        <v>0</v>
      </c>
      <c r="DP95" s="539">
        <f t="shared" si="41"/>
        <v>0</v>
      </c>
      <c r="DQ95" s="539">
        <f t="shared" si="41"/>
        <v>0</v>
      </c>
      <c r="DR95" s="539">
        <f t="shared" si="41"/>
        <v>0</v>
      </c>
      <c r="DS95" s="539">
        <f t="shared" si="41"/>
        <v>0</v>
      </c>
      <c r="DT95" s="539">
        <f t="shared" si="41"/>
        <v>0</v>
      </c>
      <c r="DU95" s="539">
        <f t="shared" si="41"/>
        <v>0</v>
      </c>
      <c r="DV95" s="539">
        <f t="shared" si="41"/>
        <v>0</v>
      </c>
      <c r="DW95" s="539">
        <f t="shared" si="41"/>
        <v>0</v>
      </c>
      <c r="DX95" s="539">
        <f t="shared" si="41"/>
        <v>0</v>
      </c>
      <c r="DY95" s="539">
        <f t="shared" si="41"/>
        <v>0</v>
      </c>
      <c r="DZ95" s="539">
        <f t="shared" si="41"/>
        <v>0</v>
      </c>
      <c r="EA95" s="539">
        <f t="shared" si="41"/>
        <v>0</v>
      </c>
      <c r="EB95" s="539">
        <f t="shared" si="41"/>
        <v>0</v>
      </c>
      <c r="EC95" s="539">
        <f t="shared" si="41"/>
        <v>0</v>
      </c>
      <c r="ED95" s="539">
        <f t="shared" si="41"/>
        <v>0</v>
      </c>
      <c r="EE95" s="539">
        <f t="shared" si="41"/>
        <v>0</v>
      </c>
      <c r="EF95" s="539">
        <f t="shared" si="41"/>
        <v>0</v>
      </c>
      <c r="EG95" s="539">
        <f t="shared" si="41"/>
        <v>0</v>
      </c>
    </row>
    <row r="96" spans="5:137" ht="12.75">
      <c r="E96" s="540" t="s">
        <v>221</v>
      </c>
      <c r="G96" s="541" t="s">
        <v>30</v>
      </c>
      <c r="H96" s="541">
        <f>SUM(J96:EG96)</f>
        <v>33.995958904109585</v>
      </c>
      <c r="J96" s="541">
        <f t="shared" si="42" ref="J96:EG96">J95*J94</f>
        <v>0</v>
      </c>
      <c r="K96" s="541">
        <f t="shared" si="42"/>
        <v>0</v>
      </c>
      <c r="L96" s="541">
        <f t="shared" si="42"/>
        <v>0</v>
      </c>
      <c r="M96" s="541">
        <f t="shared" si="42"/>
        <v>0</v>
      </c>
      <c r="N96" s="541">
        <f t="shared" si="42"/>
        <v>0</v>
      </c>
      <c r="O96" s="541">
        <f t="shared" si="42"/>
        <v>0</v>
      </c>
      <c r="P96" s="541">
        <f t="shared" si="42"/>
        <v>0</v>
      </c>
      <c r="Q96" s="541">
        <f t="shared" si="42"/>
        <v>0</v>
      </c>
      <c r="R96" s="541">
        <f t="shared" si="42"/>
        <v>0</v>
      </c>
      <c r="S96" s="541">
        <f t="shared" si="42"/>
        <v>0</v>
      </c>
      <c r="T96" s="541">
        <f t="shared" si="42"/>
        <v>0</v>
      </c>
      <c r="U96" s="541">
        <f t="shared" si="42"/>
        <v>0</v>
      </c>
      <c r="V96" s="541">
        <f t="shared" si="42"/>
        <v>0</v>
      </c>
      <c r="W96" s="541">
        <f t="shared" si="42"/>
        <v>0</v>
      </c>
      <c r="X96" s="541">
        <f t="shared" si="42"/>
        <v>0</v>
      </c>
      <c r="Y96" s="541">
        <f t="shared" si="42"/>
        <v>0</v>
      </c>
      <c r="Z96" s="541">
        <f t="shared" si="42"/>
        <v>0</v>
      </c>
      <c r="AA96" s="541">
        <f t="shared" si="42"/>
        <v>0</v>
      </c>
      <c r="AB96" s="541">
        <f t="shared" si="42"/>
        <v>0</v>
      </c>
      <c r="AC96" s="541">
        <f t="shared" si="42"/>
        <v>0</v>
      </c>
      <c r="AD96" s="541">
        <f t="shared" si="42"/>
        <v>0</v>
      </c>
      <c r="AE96" s="541">
        <f t="shared" si="42"/>
        <v>0</v>
      </c>
      <c r="AF96" s="541">
        <f t="shared" si="42"/>
        <v>0</v>
      </c>
      <c r="AG96" s="541">
        <f t="shared" si="42"/>
        <v>0</v>
      </c>
      <c r="AH96" s="541">
        <f t="shared" si="42"/>
        <v>33.995958904109585</v>
      </c>
      <c r="AI96" s="541">
        <f t="shared" si="42"/>
        <v>0</v>
      </c>
      <c r="AJ96" s="541">
        <f t="shared" si="42"/>
        <v>0</v>
      </c>
      <c r="AK96" s="541">
        <f t="shared" si="42"/>
        <v>0</v>
      </c>
      <c r="AL96" s="541">
        <f t="shared" si="42"/>
        <v>0</v>
      </c>
      <c r="AM96" s="541">
        <f t="shared" si="42"/>
        <v>0</v>
      </c>
      <c r="AN96" s="541">
        <f t="shared" si="42"/>
        <v>0</v>
      </c>
      <c r="AO96" s="541">
        <f t="shared" si="42"/>
        <v>0</v>
      </c>
      <c r="AP96" s="541">
        <f t="shared" si="42"/>
        <v>0</v>
      </c>
      <c r="AQ96" s="541">
        <f t="shared" si="42"/>
        <v>0</v>
      </c>
      <c r="AR96" s="541">
        <f t="shared" si="42"/>
        <v>0</v>
      </c>
      <c r="AS96" s="541">
        <f t="shared" si="42"/>
        <v>0</v>
      </c>
      <c r="AT96" s="541">
        <f t="shared" si="42"/>
        <v>0</v>
      </c>
      <c r="AU96" s="541">
        <f t="shared" si="42"/>
        <v>0</v>
      </c>
      <c r="AV96" s="541">
        <f t="shared" si="42"/>
        <v>0</v>
      </c>
      <c r="AW96" s="541">
        <f t="shared" si="42"/>
        <v>0</v>
      </c>
      <c r="AX96" s="541">
        <f t="shared" si="42"/>
        <v>0</v>
      </c>
      <c r="AY96" s="541">
        <f t="shared" si="42"/>
        <v>0</v>
      </c>
      <c r="AZ96" s="541">
        <f t="shared" si="42"/>
        <v>0</v>
      </c>
      <c r="BA96" s="541">
        <f t="shared" si="42"/>
        <v>0</v>
      </c>
      <c r="BB96" s="541">
        <f t="shared" si="42"/>
        <v>0</v>
      </c>
      <c r="BC96" s="541">
        <f t="shared" si="42"/>
        <v>0</v>
      </c>
      <c r="BD96" s="541">
        <f t="shared" si="42"/>
        <v>0</v>
      </c>
      <c r="BE96" s="541">
        <f t="shared" si="42"/>
        <v>0</v>
      </c>
      <c r="BF96" s="541">
        <f t="shared" si="42"/>
        <v>0</v>
      </c>
      <c r="BG96" s="541">
        <f t="shared" si="42"/>
        <v>0</v>
      </c>
      <c r="BH96" s="541">
        <f t="shared" si="42"/>
        <v>0</v>
      </c>
      <c r="BI96" s="541">
        <f t="shared" si="42"/>
        <v>0</v>
      </c>
      <c r="BJ96" s="541">
        <f t="shared" si="42"/>
        <v>0</v>
      </c>
      <c r="BK96" s="541">
        <f t="shared" si="42"/>
        <v>0</v>
      </c>
      <c r="BL96" s="541">
        <f t="shared" si="42"/>
        <v>0</v>
      </c>
      <c r="BM96" s="541">
        <f t="shared" si="42"/>
        <v>0</v>
      </c>
      <c r="BN96" s="541">
        <f t="shared" si="42"/>
        <v>0</v>
      </c>
      <c r="BO96" s="541">
        <f t="shared" si="42"/>
        <v>0</v>
      </c>
      <c r="BP96" s="541">
        <f t="shared" si="42"/>
        <v>0</v>
      </c>
      <c r="BQ96" s="541">
        <f t="shared" si="42"/>
        <v>0</v>
      </c>
      <c r="BR96" s="541">
        <f t="shared" si="42"/>
        <v>0</v>
      </c>
      <c r="BS96" s="541">
        <f t="shared" si="42"/>
        <v>0</v>
      </c>
      <c r="BT96" s="541">
        <f t="shared" si="42"/>
        <v>0</v>
      </c>
      <c r="BU96" s="541">
        <f t="shared" si="42"/>
        <v>0</v>
      </c>
      <c r="BV96" s="541">
        <f t="shared" si="42"/>
        <v>0</v>
      </c>
      <c r="BW96" s="541">
        <f t="shared" si="42"/>
        <v>0</v>
      </c>
      <c r="BX96" s="541">
        <f t="shared" si="42"/>
        <v>0</v>
      </c>
      <c r="BY96" s="541">
        <f t="shared" si="42"/>
        <v>0</v>
      </c>
      <c r="BZ96" s="541">
        <f t="shared" si="42"/>
        <v>0</v>
      </c>
      <c r="CA96" s="541">
        <f t="shared" si="42"/>
        <v>0</v>
      </c>
      <c r="CB96" s="541">
        <f t="shared" si="42"/>
        <v>0</v>
      </c>
      <c r="CC96" s="541">
        <f t="shared" si="42"/>
        <v>0</v>
      </c>
      <c r="CD96" s="541">
        <f t="shared" si="42"/>
        <v>0</v>
      </c>
      <c r="CE96" s="541">
        <f t="shared" si="42"/>
        <v>0</v>
      </c>
      <c r="CF96" s="541">
        <f t="shared" si="42"/>
        <v>0</v>
      </c>
      <c r="CG96" s="541">
        <f t="shared" si="42"/>
        <v>0</v>
      </c>
      <c r="CH96" s="541">
        <f t="shared" si="42"/>
        <v>0</v>
      </c>
      <c r="CI96" s="541">
        <f t="shared" si="42"/>
        <v>0</v>
      </c>
      <c r="CJ96" s="541">
        <f t="shared" si="42"/>
        <v>0</v>
      </c>
      <c r="CK96" s="541">
        <f t="shared" si="42"/>
        <v>0</v>
      </c>
      <c r="CL96" s="541">
        <f t="shared" si="42"/>
        <v>0</v>
      </c>
      <c r="CM96" s="541">
        <f t="shared" si="42"/>
        <v>0</v>
      </c>
      <c r="CN96" s="541">
        <f t="shared" si="42"/>
        <v>0</v>
      </c>
      <c r="CO96" s="541">
        <f t="shared" si="42"/>
        <v>0</v>
      </c>
      <c r="CP96" s="541">
        <f t="shared" si="42"/>
        <v>0</v>
      </c>
      <c r="CQ96" s="541">
        <f t="shared" si="42"/>
        <v>0</v>
      </c>
      <c r="CR96" s="541">
        <f t="shared" si="42"/>
        <v>0</v>
      </c>
      <c r="CS96" s="541">
        <f t="shared" si="42"/>
        <v>0</v>
      </c>
      <c r="CT96" s="541">
        <f t="shared" si="42"/>
        <v>0</v>
      </c>
      <c r="CU96" s="541">
        <f t="shared" si="42"/>
        <v>0</v>
      </c>
      <c r="CV96" s="541">
        <f t="shared" si="42"/>
        <v>0</v>
      </c>
      <c r="CW96" s="541">
        <f t="shared" si="42"/>
        <v>0</v>
      </c>
      <c r="CX96" s="541">
        <f t="shared" si="42"/>
        <v>0</v>
      </c>
      <c r="CY96" s="541">
        <f t="shared" si="42"/>
        <v>0</v>
      </c>
      <c r="CZ96" s="541">
        <f t="shared" si="42"/>
        <v>0</v>
      </c>
      <c r="DA96" s="541">
        <f t="shared" si="42"/>
        <v>0</v>
      </c>
      <c r="DB96" s="541">
        <f t="shared" si="42"/>
        <v>0</v>
      </c>
      <c r="DC96" s="541">
        <f t="shared" si="42"/>
        <v>0</v>
      </c>
      <c r="DD96" s="541">
        <f t="shared" si="42"/>
        <v>0</v>
      </c>
      <c r="DE96" s="541">
        <f t="shared" si="42"/>
        <v>0</v>
      </c>
      <c r="DF96" s="541">
        <f t="shared" si="42"/>
        <v>0</v>
      </c>
      <c r="DG96" s="541">
        <f t="shared" si="42"/>
        <v>0</v>
      </c>
      <c r="DH96" s="541">
        <f t="shared" si="42"/>
        <v>0</v>
      </c>
      <c r="DI96" s="541">
        <f t="shared" si="42"/>
        <v>0</v>
      </c>
      <c r="DJ96" s="541">
        <f t="shared" si="42"/>
        <v>0</v>
      </c>
      <c r="DK96" s="541">
        <f t="shared" si="42"/>
        <v>0</v>
      </c>
      <c r="DL96" s="541">
        <f t="shared" si="42"/>
        <v>0</v>
      </c>
      <c r="DM96" s="541">
        <f t="shared" si="42"/>
        <v>0</v>
      </c>
      <c r="DN96" s="541">
        <f t="shared" si="42"/>
        <v>0</v>
      </c>
      <c r="DO96" s="541">
        <f t="shared" si="42"/>
        <v>0</v>
      </c>
      <c r="DP96" s="541">
        <f t="shared" si="42"/>
        <v>0</v>
      </c>
      <c r="DQ96" s="541">
        <f t="shared" si="42"/>
        <v>0</v>
      </c>
      <c r="DR96" s="541">
        <f t="shared" si="42"/>
        <v>0</v>
      </c>
      <c r="DS96" s="541">
        <f t="shared" si="42"/>
        <v>0</v>
      </c>
      <c r="DT96" s="541">
        <f t="shared" si="42"/>
        <v>0</v>
      </c>
      <c r="DU96" s="541">
        <f t="shared" si="42"/>
        <v>0</v>
      </c>
      <c r="DV96" s="541">
        <f t="shared" si="42"/>
        <v>0</v>
      </c>
      <c r="DW96" s="541">
        <f t="shared" si="42"/>
        <v>0</v>
      </c>
      <c r="DX96" s="541">
        <f t="shared" si="42"/>
        <v>0</v>
      </c>
      <c r="DY96" s="541">
        <f t="shared" si="42"/>
        <v>0</v>
      </c>
      <c r="DZ96" s="541">
        <f t="shared" si="42"/>
        <v>0</v>
      </c>
      <c r="EA96" s="541">
        <f t="shared" si="42"/>
        <v>0</v>
      </c>
      <c r="EB96" s="541">
        <f t="shared" si="42"/>
        <v>0</v>
      </c>
      <c r="EC96" s="541">
        <f t="shared" si="42"/>
        <v>0</v>
      </c>
      <c r="ED96" s="541">
        <f t="shared" si="42"/>
        <v>0</v>
      </c>
      <c r="EE96" s="541">
        <f t="shared" si="42"/>
        <v>0</v>
      </c>
      <c r="EF96" s="541">
        <f t="shared" si="42"/>
        <v>0</v>
      </c>
      <c r="EG96" s="541">
        <f t="shared" si="42"/>
        <v>0</v>
      </c>
    </row>
    <row r="98" spans="2:2" ht="12.75">
      <c r="B98" s="534" t="s">
        <v>222</v>
      </c>
    </row>
    <row r="99" spans="5:137" ht="12.75">
      <c r="E99" s="538" t="str">
        <f>E$66</f>
        <v>VAT - receivable balance</v>
      </c>
      <c r="G99" s="539" t="str">
        <f>G$66</f>
        <v>EUR 000s</v>
      </c>
      <c r="H99" s="539">
        <f>H$66</f>
        <v>167406.5625</v>
      </c>
      <c r="J99" s="539">
        <f t="shared" si="43" ref="J99:EG99">J$66</f>
        <v>0</v>
      </c>
      <c r="K99" s="539">
        <f t="shared" si="43"/>
        <v>0</v>
      </c>
      <c r="L99" s="539">
        <f t="shared" si="43"/>
        <v>0</v>
      </c>
      <c r="M99" s="539">
        <f t="shared" si="43"/>
        <v>2658.3125</v>
      </c>
      <c r="N99" s="539">
        <f t="shared" si="43"/>
        <v>5382.25</v>
      </c>
      <c r="O99" s="539">
        <f t="shared" si="43"/>
        <v>8040.5625</v>
      </c>
      <c r="P99" s="539">
        <f t="shared" si="43"/>
        <v>8106.1875</v>
      </c>
      <c r="Q99" s="539">
        <f t="shared" si="43"/>
        <v>8040.5625</v>
      </c>
      <c r="R99" s="539">
        <f t="shared" si="43"/>
        <v>8770.640625</v>
      </c>
      <c r="S99" s="539">
        <f t="shared" si="43"/>
        <v>9574.546875</v>
      </c>
      <c r="T99" s="539">
        <f t="shared" si="43"/>
        <v>10509.703125</v>
      </c>
      <c r="U99" s="539">
        <f t="shared" si="43"/>
        <v>10780.40625</v>
      </c>
      <c r="V99" s="539">
        <f t="shared" si="43"/>
        <v>10649.15625</v>
      </c>
      <c r="W99" s="539">
        <f t="shared" si="43"/>
        <v>10419.46875</v>
      </c>
      <c r="X99" s="539">
        <f t="shared" si="43"/>
        <v>9763.21875</v>
      </c>
      <c r="Y99" s="539">
        <f t="shared" si="43"/>
        <v>8975.71875</v>
      </c>
      <c r="Z99" s="539">
        <f t="shared" si="43"/>
        <v>8024.15625</v>
      </c>
      <c r="AA99" s="539">
        <f t="shared" si="43"/>
        <v>7728.84375</v>
      </c>
      <c r="AB99" s="539">
        <f t="shared" si="43"/>
        <v>7958.53125</v>
      </c>
      <c r="AC99" s="539">
        <f t="shared" si="43"/>
        <v>8352.28125</v>
      </c>
      <c r="AD99" s="539">
        <f t="shared" si="43"/>
        <v>8180.015625</v>
      </c>
      <c r="AE99" s="539">
        <f t="shared" si="43"/>
        <v>6851.109375</v>
      </c>
      <c r="AF99" s="539">
        <f t="shared" si="43"/>
        <v>5194.078125</v>
      </c>
      <c r="AG99" s="539">
        <f t="shared" si="43"/>
        <v>3446.8125</v>
      </c>
      <c r="AH99" s="539">
        <f t="shared" si="43"/>
        <v>0</v>
      </c>
      <c r="AI99" s="539">
        <f t="shared" si="43"/>
        <v>0</v>
      </c>
      <c r="AJ99" s="539">
        <f t="shared" si="43"/>
        <v>0</v>
      </c>
      <c r="AK99" s="539">
        <f t="shared" si="43"/>
        <v>0</v>
      </c>
      <c r="AL99" s="539">
        <f t="shared" si="43"/>
        <v>0</v>
      </c>
      <c r="AM99" s="539">
        <f t="shared" si="43"/>
        <v>0</v>
      </c>
      <c r="AN99" s="539">
        <f t="shared" si="43"/>
        <v>0</v>
      </c>
      <c r="AO99" s="539">
        <f t="shared" si="43"/>
        <v>0</v>
      </c>
      <c r="AP99" s="539">
        <f t="shared" si="43"/>
        <v>0</v>
      </c>
      <c r="AQ99" s="539">
        <f t="shared" si="43"/>
        <v>0</v>
      </c>
      <c r="AR99" s="539">
        <f t="shared" si="43"/>
        <v>0</v>
      </c>
      <c r="AS99" s="539">
        <f t="shared" si="43"/>
        <v>0</v>
      </c>
      <c r="AT99" s="539">
        <f t="shared" si="43"/>
        <v>0</v>
      </c>
      <c r="AU99" s="539">
        <f t="shared" si="43"/>
        <v>0</v>
      </c>
      <c r="AV99" s="539">
        <f t="shared" si="43"/>
        <v>0</v>
      </c>
      <c r="AW99" s="539">
        <f t="shared" si="43"/>
        <v>0</v>
      </c>
      <c r="AX99" s="539">
        <f t="shared" si="43"/>
        <v>0</v>
      </c>
      <c r="AY99" s="539">
        <f t="shared" si="43"/>
        <v>0</v>
      </c>
      <c r="AZ99" s="539">
        <f t="shared" si="43"/>
        <v>0</v>
      </c>
      <c r="BA99" s="539">
        <f t="shared" si="43"/>
        <v>0</v>
      </c>
      <c r="BB99" s="539">
        <f t="shared" si="43"/>
        <v>0</v>
      </c>
      <c r="BC99" s="539">
        <f t="shared" si="43"/>
        <v>0</v>
      </c>
      <c r="BD99" s="539">
        <f t="shared" si="43"/>
        <v>0</v>
      </c>
      <c r="BE99" s="539">
        <f t="shared" si="43"/>
        <v>0</v>
      </c>
      <c r="BF99" s="539">
        <f t="shared" si="43"/>
        <v>0</v>
      </c>
      <c r="BG99" s="539">
        <f t="shared" si="43"/>
        <v>0</v>
      </c>
      <c r="BH99" s="539">
        <f t="shared" si="43"/>
        <v>0</v>
      </c>
      <c r="BI99" s="539">
        <f t="shared" si="43"/>
        <v>0</v>
      </c>
      <c r="BJ99" s="539">
        <f t="shared" si="43"/>
        <v>0</v>
      </c>
      <c r="BK99" s="539">
        <f t="shared" si="43"/>
        <v>0</v>
      </c>
      <c r="BL99" s="539">
        <f t="shared" si="43"/>
        <v>0</v>
      </c>
      <c r="BM99" s="539">
        <f t="shared" si="43"/>
        <v>0</v>
      </c>
      <c r="BN99" s="539">
        <f t="shared" si="43"/>
        <v>0</v>
      </c>
      <c r="BO99" s="539">
        <f t="shared" si="43"/>
        <v>0</v>
      </c>
      <c r="BP99" s="539">
        <f t="shared" si="43"/>
        <v>0</v>
      </c>
      <c r="BQ99" s="539">
        <f t="shared" si="43"/>
        <v>0</v>
      </c>
      <c r="BR99" s="539">
        <f t="shared" si="43"/>
        <v>0</v>
      </c>
      <c r="BS99" s="539">
        <f t="shared" si="43"/>
        <v>0</v>
      </c>
      <c r="BT99" s="539">
        <f t="shared" si="43"/>
        <v>0</v>
      </c>
      <c r="BU99" s="539">
        <f t="shared" si="43"/>
        <v>0</v>
      </c>
      <c r="BV99" s="539">
        <f t="shared" si="43"/>
        <v>0</v>
      </c>
      <c r="BW99" s="539">
        <f t="shared" si="43"/>
        <v>0</v>
      </c>
      <c r="BX99" s="539">
        <f t="shared" si="43"/>
        <v>0</v>
      </c>
      <c r="BY99" s="539">
        <f t="shared" si="43"/>
        <v>0</v>
      </c>
      <c r="BZ99" s="539">
        <f t="shared" si="43"/>
        <v>0</v>
      </c>
      <c r="CA99" s="539">
        <f t="shared" si="43"/>
        <v>0</v>
      </c>
      <c r="CB99" s="539">
        <f t="shared" si="43"/>
        <v>0</v>
      </c>
      <c r="CC99" s="539">
        <f t="shared" si="43"/>
        <v>0</v>
      </c>
      <c r="CD99" s="539">
        <f t="shared" si="43"/>
        <v>0</v>
      </c>
      <c r="CE99" s="539">
        <f t="shared" si="43"/>
        <v>0</v>
      </c>
      <c r="CF99" s="539">
        <f t="shared" si="43"/>
        <v>0</v>
      </c>
      <c r="CG99" s="539">
        <f t="shared" si="43"/>
        <v>0</v>
      </c>
      <c r="CH99" s="539">
        <f t="shared" si="43"/>
        <v>0</v>
      </c>
      <c r="CI99" s="539">
        <f t="shared" si="43"/>
        <v>0</v>
      </c>
      <c r="CJ99" s="539">
        <f t="shared" si="43"/>
        <v>0</v>
      </c>
      <c r="CK99" s="539">
        <f t="shared" si="43"/>
        <v>0</v>
      </c>
      <c r="CL99" s="539">
        <f t="shared" si="43"/>
        <v>0</v>
      </c>
      <c r="CM99" s="539">
        <f t="shared" si="43"/>
        <v>0</v>
      </c>
      <c r="CN99" s="539">
        <f t="shared" si="43"/>
        <v>0</v>
      </c>
      <c r="CO99" s="539">
        <f t="shared" si="43"/>
        <v>0</v>
      </c>
      <c r="CP99" s="539">
        <f t="shared" si="43"/>
        <v>0</v>
      </c>
      <c r="CQ99" s="539">
        <f t="shared" si="43"/>
        <v>0</v>
      </c>
      <c r="CR99" s="539">
        <f t="shared" si="43"/>
        <v>0</v>
      </c>
      <c r="CS99" s="539">
        <f t="shared" si="43"/>
        <v>0</v>
      </c>
      <c r="CT99" s="539">
        <f t="shared" si="43"/>
        <v>0</v>
      </c>
      <c r="CU99" s="539">
        <f t="shared" si="43"/>
        <v>0</v>
      </c>
      <c r="CV99" s="539">
        <f t="shared" si="43"/>
        <v>0</v>
      </c>
      <c r="CW99" s="539">
        <f t="shared" si="43"/>
        <v>0</v>
      </c>
      <c r="CX99" s="539">
        <f t="shared" si="43"/>
        <v>0</v>
      </c>
      <c r="CY99" s="539">
        <f t="shared" si="43"/>
        <v>0</v>
      </c>
      <c r="CZ99" s="539">
        <f t="shared" si="43"/>
        <v>0</v>
      </c>
      <c r="DA99" s="539">
        <f t="shared" si="43"/>
        <v>0</v>
      </c>
      <c r="DB99" s="539">
        <f t="shared" si="43"/>
        <v>0</v>
      </c>
      <c r="DC99" s="539">
        <f t="shared" si="43"/>
        <v>0</v>
      </c>
      <c r="DD99" s="539">
        <f t="shared" si="43"/>
        <v>0</v>
      </c>
      <c r="DE99" s="539">
        <f t="shared" si="43"/>
        <v>0</v>
      </c>
      <c r="DF99" s="539">
        <f t="shared" si="43"/>
        <v>0</v>
      </c>
      <c r="DG99" s="539">
        <f t="shared" si="43"/>
        <v>0</v>
      </c>
      <c r="DH99" s="539">
        <f t="shared" si="43"/>
        <v>0</v>
      </c>
      <c r="DI99" s="539">
        <f t="shared" si="43"/>
        <v>0</v>
      </c>
      <c r="DJ99" s="539">
        <f t="shared" si="43"/>
        <v>0</v>
      </c>
      <c r="DK99" s="539">
        <f t="shared" si="43"/>
        <v>0</v>
      </c>
      <c r="DL99" s="539">
        <f t="shared" si="43"/>
        <v>0</v>
      </c>
      <c r="DM99" s="539">
        <f t="shared" si="43"/>
        <v>0</v>
      </c>
      <c r="DN99" s="539">
        <f t="shared" si="43"/>
        <v>0</v>
      </c>
      <c r="DO99" s="539">
        <f t="shared" si="43"/>
        <v>0</v>
      </c>
      <c r="DP99" s="539">
        <f t="shared" si="43"/>
        <v>0</v>
      </c>
      <c r="DQ99" s="539">
        <f t="shared" si="43"/>
        <v>0</v>
      </c>
      <c r="DR99" s="539">
        <f t="shared" si="43"/>
        <v>0</v>
      </c>
      <c r="DS99" s="539">
        <f t="shared" si="43"/>
        <v>0</v>
      </c>
      <c r="DT99" s="539">
        <f t="shared" si="43"/>
        <v>0</v>
      </c>
      <c r="DU99" s="539">
        <f t="shared" si="43"/>
        <v>0</v>
      </c>
      <c r="DV99" s="539">
        <f t="shared" si="43"/>
        <v>0</v>
      </c>
      <c r="DW99" s="539">
        <f t="shared" si="43"/>
        <v>0</v>
      </c>
      <c r="DX99" s="539">
        <f t="shared" si="43"/>
        <v>0</v>
      </c>
      <c r="DY99" s="539">
        <f t="shared" si="43"/>
        <v>0</v>
      </c>
      <c r="DZ99" s="539">
        <f t="shared" si="43"/>
        <v>0</v>
      </c>
      <c r="EA99" s="539">
        <f t="shared" si="43"/>
        <v>0</v>
      </c>
      <c r="EB99" s="539">
        <f t="shared" si="43"/>
        <v>0</v>
      </c>
      <c r="EC99" s="539">
        <f t="shared" si="43"/>
        <v>0</v>
      </c>
      <c r="ED99" s="539">
        <f t="shared" si="43"/>
        <v>0</v>
      </c>
      <c r="EE99" s="539">
        <f t="shared" si="43"/>
        <v>0</v>
      </c>
      <c r="EF99" s="539">
        <f t="shared" si="43"/>
        <v>0</v>
      </c>
      <c r="EG99" s="539">
        <f t="shared" si="43"/>
        <v>0</v>
      </c>
    </row>
    <row r="100" spans="5:137" ht="12.75">
      <c r="E100" s="538" t="str">
        <f>E$80</f>
        <v>VAT facility - closing balance</v>
      </c>
      <c r="G100" s="539" t="str">
        <f>G$80</f>
        <v>EUR 000s</v>
      </c>
      <c r="H100" s="539">
        <f>H$80</f>
        <v>167406.5625</v>
      </c>
      <c r="J100" s="539">
        <f t="shared" si="44" ref="J100:EG100">J$80</f>
        <v>0</v>
      </c>
      <c r="K100" s="539">
        <f t="shared" si="44"/>
        <v>0</v>
      </c>
      <c r="L100" s="539">
        <f t="shared" si="44"/>
        <v>0</v>
      </c>
      <c r="M100" s="539">
        <f t="shared" si="44"/>
        <v>2658.3125</v>
      </c>
      <c r="N100" s="539">
        <f t="shared" si="44"/>
        <v>5382.25</v>
      </c>
      <c r="O100" s="539">
        <f t="shared" si="44"/>
        <v>8040.5625</v>
      </c>
      <c r="P100" s="539">
        <f t="shared" si="44"/>
        <v>8106.1875</v>
      </c>
      <c r="Q100" s="539">
        <f t="shared" si="44"/>
        <v>8040.5625</v>
      </c>
      <c r="R100" s="539">
        <f t="shared" si="44"/>
        <v>8770.640625</v>
      </c>
      <c r="S100" s="539">
        <f t="shared" si="44"/>
        <v>9574.546875</v>
      </c>
      <c r="T100" s="539">
        <f t="shared" si="44"/>
        <v>10509.703125</v>
      </c>
      <c r="U100" s="539">
        <f t="shared" si="44"/>
        <v>10780.40625</v>
      </c>
      <c r="V100" s="539">
        <f t="shared" si="44"/>
        <v>10649.15625</v>
      </c>
      <c r="W100" s="539">
        <f t="shared" si="44"/>
        <v>10419.46875</v>
      </c>
      <c r="X100" s="539">
        <f t="shared" si="44"/>
        <v>9763.21875</v>
      </c>
      <c r="Y100" s="539">
        <f t="shared" si="44"/>
        <v>8975.71875</v>
      </c>
      <c r="Z100" s="539">
        <f t="shared" si="44"/>
        <v>8024.15625</v>
      </c>
      <c r="AA100" s="539">
        <f t="shared" si="44"/>
        <v>7728.84375</v>
      </c>
      <c r="AB100" s="539">
        <f t="shared" si="44"/>
        <v>7958.53125</v>
      </c>
      <c r="AC100" s="539">
        <f t="shared" si="44"/>
        <v>8352.28125</v>
      </c>
      <c r="AD100" s="539">
        <f t="shared" si="44"/>
        <v>8180.015625</v>
      </c>
      <c r="AE100" s="539">
        <f t="shared" si="44"/>
        <v>6851.109375</v>
      </c>
      <c r="AF100" s="539">
        <f t="shared" si="44"/>
        <v>5194.078125</v>
      </c>
      <c r="AG100" s="539">
        <f t="shared" si="44"/>
        <v>3446.8125</v>
      </c>
      <c r="AH100" s="539">
        <f t="shared" si="44"/>
        <v>0</v>
      </c>
      <c r="AI100" s="539">
        <f t="shared" si="44"/>
        <v>0</v>
      </c>
      <c r="AJ100" s="539">
        <f t="shared" si="44"/>
        <v>0</v>
      </c>
      <c r="AK100" s="539">
        <f t="shared" si="44"/>
        <v>0</v>
      </c>
      <c r="AL100" s="539">
        <f t="shared" si="44"/>
        <v>0</v>
      </c>
      <c r="AM100" s="539">
        <f t="shared" si="44"/>
        <v>0</v>
      </c>
      <c r="AN100" s="539">
        <f t="shared" si="44"/>
        <v>0</v>
      </c>
      <c r="AO100" s="539">
        <f t="shared" si="44"/>
        <v>0</v>
      </c>
      <c r="AP100" s="539">
        <f t="shared" si="44"/>
        <v>0</v>
      </c>
      <c r="AQ100" s="539">
        <f t="shared" si="44"/>
        <v>0</v>
      </c>
      <c r="AR100" s="539">
        <f t="shared" si="44"/>
        <v>0</v>
      </c>
      <c r="AS100" s="539">
        <f t="shared" si="44"/>
        <v>0</v>
      </c>
      <c r="AT100" s="539">
        <f t="shared" si="44"/>
        <v>0</v>
      </c>
      <c r="AU100" s="539">
        <f t="shared" si="44"/>
        <v>0</v>
      </c>
      <c r="AV100" s="539">
        <f t="shared" si="44"/>
        <v>0</v>
      </c>
      <c r="AW100" s="539">
        <f t="shared" si="44"/>
        <v>0</v>
      </c>
      <c r="AX100" s="539">
        <f t="shared" si="44"/>
        <v>0</v>
      </c>
      <c r="AY100" s="539">
        <f t="shared" si="44"/>
        <v>0</v>
      </c>
      <c r="AZ100" s="539">
        <f t="shared" si="44"/>
        <v>0</v>
      </c>
      <c r="BA100" s="539">
        <f t="shared" si="44"/>
        <v>0</v>
      </c>
      <c r="BB100" s="539">
        <f t="shared" si="44"/>
        <v>0</v>
      </c>
      <c r="BC100" s="539">
        <f t="shared" si="44"/>
        <v>0</v>
      </c>
      <c r="BD100" s="539">
        <f t="shared" si="44"/>
        <v>0</v>
      </c>
      <c r="BE100" s="539">
        <f t="shared" si="44"/>
        <v>0</v>
      </c>
      <c r="BF100" s="539">
        <f t="shared" si="44"/>
        <v>0</v>
      </c>
      <c r="BG100" s="539">
        <f t="shared" si="44"/>
        <v>0</v>
      </c>
      <c r="BH100" s="539">
        <f t="shared" si="44"/>
        <v>0</v>
      </c>
      <c r="BI100" s="539">
        <f t="shared" si="44"/>
        <v>0</v>
      </c>
      <c r="BJ100" s="539">
        <f t="shared" si="44"/>
        <v>0</v>
      </c>
      <c r="BK100" s="539">
        <f t="shared" si="44"/>
        <v>0</v>
      </c>
      <c r="BL100" s="539">
        <f t="shared" si="44"/>
        <v>0</v>
      </c>
      <c r="BM100" s="539">
        <f t="shared" si="44"/>
        <v>0</v>
      </c>
      <c r="BN100" s="539">
        <f t="shared" si="44"/>
        <v>0</v>
      </c>
      <c r="BO100" s="539">
        <f t="shared" si="44"/>
        <v>0</v>
      </c>
      <c r="BP100" s="539">
        <f t="shared" si="44"/>
        <v>0</v>
      </c>
      <c r="BQ100" s="539">
        <f t="shared" si="44"/>
        <v>0</v>
      </c>
      <c r="BR100" s="539">
        <f t="shared" si="44"/>
        <v>0</v>
      </c>
      <c r="BS100" s="539">
        <f t="shared" si="44"/>
        <v>0</v>
      </c>
      <c r="BT100" s="539">
        <f t="shared" si="44"/>
        <v>0</v>
      </c>
      <c r="BU100" s="539">
        <f t="shared" si="44"/>
        <v>0</v>
      </c>
      <c r="BV100" s="539">
        <f t="shared" si="44"/>
        <v>0</v>
      </c>
      <c r="BW100" s="539">
        <f t="shared" si="44"/>
        <v>0</v>
      </c>
      <c r="BX100" s="539">
        <f t="shared" si="44"/>
        <v>0</v>
      </c>
      <c r="BY100" s="539">
        <f t="shared" si="44"/>
        <v>0</v>
      </c>
      <c r="BZ100" s="539">
        <f t="shared" si="44"/>
        <v>0</v>
      </c>
      <c r="CA100" s="539">
        <f t="shared" si="44"/>
        <v>0</v>
      </c>
      <c r="CB100" s="539">
        <f t="shared" si="44"/>
        <v>0</v>
      </c>
      <c r="CC100" s="539">
        <f t="shared" si="44"/>
        <v>0</v>
      </c>
      <c r="CD100" s="539">
        <f t="shared" si="44"/>
        <v>0</v>
      </c>
      <c r="CE100" s="539">
        <f t="shared" si="44"/>
        <v>0</v>
      </c>
      <c r="CF100" s="539">
        <f t="shared" si="44"/>
        <v>0</v>
      </c>
      <c r="CG100" s="539">
        <f t="shared" si="44"/>
        <v>0</v>
      </c>
      <c r="CH100" s="539">
        <f t="shared" si="44"/>
        <v>0</v>
      </c>
      <c r="CI100" s="539">
        <f t="shared" si="44"/>
        <v>0</v>
      </c>
      <c r="CJ100" s="539">
        <f t="shared" si="44"/>
        <v>0</v>
      </c>
      <c r="CK100" s="539">
        <f t="shared" si="44"/>
        <v>0</v>
      </c>
      <c r="CL100" s="539">
        <f t="shared" si="44"/>
        <v>0</v>
      </c>
      <c r="CM100" s="539">
        <f t="shared" si="44"/>
        <v>0</v>
      </c>
      <c r="CN100" s="539">
        <f t="shared" si="44"/>
        <v>0</v>
      </c>
      <c r="CO100" s="539">
        <f t="shared" si="44"/>
        <v>0</v>
      </c>
      <c r="CP100" s="539">
        <f t="shared" si="44"/>
        <v>0</v>
      </c>
      <c r="CQ100" s="539">
        <f t="shared" si="44"/>
        <v>0</v>
      </c>
      <c r="CR100" s="539">
        <f t="shared" si="44"/>
        <v>0</v>
      </c>
      <c r="CS100" s="539">
        <f t="shared" si="44"/>
        <v>0</v>
      </c>
      <c r="CT100" s="539">
        <f t="shared" si="44"/>
        <v>0</v>
      </c>
      <c r="CU100" s="539">
        <f t="shared" si="44"/>
        <v>0</v>
      </c>
      <c r="CV100" s="539">
        <f t="shared" si="44"/>
        <v>0</v>
      </c>
      <c r="CW100" s="539">
        <f t="shared" si="44"/>
        <v>0</v>
      </c>
      <c r="CX100" s="539">
        <f t="shared" si="44"/>
        <v>0</v>
      </c>
      <c r="CY100" s="539">
        <f t="shared" si="44"/>
        <v>0</v>
      </c>
      <c r="CZ100" s="539">
        <f t="shared" si="44"/>
        <v>0</v>
      </c>
      <c r="DA100" s="539">
        <f t="shared" si="44"/>
        <v>0</v>
      </c>
      <c r="DB100" s="539">
        <f t="shared" si="44"/>
        <v>0</v>
      </c>
      <c r="DC100" s="539">
        <f t="shared" si="44"/>
        <v>0</v>
      </c>
      <c r="DD100" s="539">
        <f t="shared" si="44"/>
        <v>0</v>
      </c>
      <c r="DE100" s="539">
        <f t="shared" si="44"/>
        <v>0</v>
      </c>
      <c r="DF100" s="539">
        <f t="shared" si="44"/>
        <v>0</v>
      </c>
      <c r="DG100" s="539">
        <f t="shared" si="44"/>
        <v>0</v>
      </c>
      <c r="DH100" s="539">
        <f t="shared" si="44"/>
        <v>0</v>
      </c>
      <c r="DI100" s="539">
        <f t="shared" si="44"/>
        <v>0</v>
      </c>
      <c r="DJ100" s="539">
        <f t="shared" si="44"/>
        <v>0</v>
      </c>
      <c r="DK100" s="539">
        <f t="shared" si="44"/>
        <v>0</v>
      </c>
      <c r="DL100" s="539">
        <f t="shared" si="44"/>
        <v>0</v>
      </c>
      <c r="DM100" s="539">
        <f t="shared" si="44"/>
        <v>0</v>
      </c>
      <c r="DN100" s="539">
        <f t="shared" si="44"/>
        <v>0</v>
      </c>
      <c r="DO100" s="539">
        <f t="shared" si="44"/>
        <v>0</v>
      </c>
      <c r="DP100" s="539">
        <f t="shared" si="44"/>
        <v>0</v>
      </c>
      <c r="DQ100" s="539">
        <f t="shared" si="44"/>
        <v>0</v>
      </c>
      <c r="DR100" s="539">
        <f t="shared" si="44"/>
        <v>0</v>
      </c>
      <c r="DS100" s="539">
        <f t="shared" si="44"/>
        <v>0</v>
      </c>
      <c r="DT100" s="539">
        <f t="shared" si="44"/>
        <v>0</v>
      </c>
      <c r="DU100" s="539">
        <f t="shared" si="44"/>
        <v>0</v>
      </c>
      <c r="DV100" s="539">
        <f t="shared" si="44"/>
        <v>0</v>
      </c>
      <c r="DW100" s="539">
        <f t="shared" si="44"/>
        <v>0</v>
      </c>
      <c r="DX100" s="539">
        <f t="shared" si="44"/>
        <v>0</v>
      </c>
      <c r="DY100" s="539">
        <f t="shared" si="44"/>
        <v>0</v>
      </c>
      <c r="DZ100" s="539">
        <f t="shared" si="44"/>
        <v>0</v>
      </c>
      <c r="EA100" s="539">
        <f t="shared" si="44"/>
        <v>0</v>
      </c>
      <c r="EB100" s="539">
        <f t="shared" si="44"/>
        <v>0</v>
      </c>
      <c r="EC100" s="539">
        <f t="shared" si="44"/>
        <v>0</v>
      </c>
      <c r="ED100" s="539">
        <f t="shared" si="44"/>
        <v>0</v>
      </c>
      <c r="EE100" s="539">
        <f t="shared" si="44"/>
        <v>0</v>
      </c>
      <c r="EF100" s="539">
        <f t="shared" si="44"/>
        <v>0</v>
      </c>
      <c r="EG100" s="539">
        <f t="shared" si="44"/>
        <v>0</v>
      </c>
    </row>
    <row r="101" spans="5:7" ht="12.75">
      <c r="E101" s="535" t="str">
        <f>InpC!E$128</f>
        <v>Check tolerance</v>
      </c>
      <c r="F101" s="537">
        <f>InpC!F$128</f>
        <v>0.001</v>
      </c>
      <c r="G101" s="537" t="str">
        <f>InpC!G$128</f>
        <v>EUR 000s</v>
      </c>
    </row>
    <row r="102" spans="5:137" ht="12.75">
      <c r="E102" s="535" t="str">
        <f>Time!E$150</f>
        <v>Contract year number</v>
      </c>
      <c r="G102" s="537" t="str">
        <f>Time!G$150</f>
        <v>counter</v>
      </c>
      <c r="H102" s="537">
        <f>Time!H$150</f>
        <v>1300</v>
      </c>
      <c r="J102" s="537">
        <f>Time!J$150</f>
        <v>0</v>
      </c>
      <c r="K102" s="537">
        <f>Time!K$150</f>
        <v>0</v>
      </c>
      <c r="L102" s="537">
        <f>Time!L$150</f>
        <v>0</v>
      </c>
      <c r="M102" s="537">
        <f>Time!M$150</f>
        <v>0</v>
      </c>
      <c r="N102" s="537">
        <f>Time!N$150</f>
        <v>0</v>
      </c>
      <c r="O102" s="537">
        <f>Time!O$150</f>
        <v>0</v>
      </c>
      <c r="P102" s="537">
        <f>Time!P$150</f>
        <v>0</v>
      </c>
      <c r="Q102" s="537">
        <f>Time!Q$150</f>
        <v>0</v>
      </c>
      <c r="R102" s="537">
        <f>Time!R$150</f>
        <v>0</v>
      </c>
      <c r="S102" s="537">
        <f>Time!S$150</f>
        <v>0</v>
      </c>
      <c r="T102" s="537">
        <f>Time!T$150</f>
        <v>0</v>
      </c>
      <c r="U102" s="537">
        <f>Time!U$150</f>
        <v>0</v>
      </c>
      <c r="V102" s="537">
        <f>Time!V$150</f>
        <v>0</v>
      </c>
      <c r="W102" s="537">
        <f>Time!W$150</f>
        <v>0</v>
      </c>
      <c r="X102" s="537">
        <f>Time!X$150</f>
        <v>0</v>
      </c>
      <c r="Y102" s="537">
        <f>Time!Y$150</f>
        <v>0</v>
      </c>
      <c r="Z102" s="537">
        <f>Time!Z$150</f>
        <v>0</v>
      </c>
      <c r="AA102" s="537">
        <f>Time!AA$150</f>
        <v>0</v>
      </c>
      <c r="AB102" s="537">
        <f>Time!AB$150</f>
        <v>0</v>
      </c>
      <c r="AC102" s="537">
        <f>Time!AC$150</f>
        <v>0</v>
      </c>
      <c r="AD102" s="537">
        <f>Time!AD$150</f>
        <v>0</v>
      </c>
      <c r="AE102" s="537">
        <f>Time!AE$150</f>
        <v>0</v>
      </c>
      <c r="AF102" s="537">
        <f>Time!AF$150</f>
        <v>0</v>
      </c>
      <c r="AG102" s="537">
        <f>Time!AG$150</f>
        <v>0</v>
      </c>
      <c r="AH102" s="537">
        <f>Time!AH$150</f>
        <v>1</v>
      </c>
      <c r="AI102" s="537">
        <f>Time!AI$150</f>
        <v>1</v>
      </c>
      <c r="AJ102" s="537">
        <f>Time!AJ$150</f>
        <v>1</v>
      </c>
      <c r="AK102" s="537">
        <f>Time!AK$150</f>
        <v>1</v>
      </c>
      <c r="AL102" s="537">
        <f>Time!AL$150</f>
        <v>2</v>
      </c>
      <c r="AM102" s="537">
        <f>Time!AM$150</f>
        <v>2</v>
      </c>
      <c r="AN102" s="537">
        <f>Time!AN$150</f>
        <v>2</v>
      </c>
      <c r="AO102" s="537">
        <f>Time!AO$150</f>
        <v>2</v>
      </c>
      <c r="AP102" s="537">
        <f>Time!AP$150</f>
        <v>3</v>
      </c>
      <c r="AQ102" s="537">
        <f>Time!AQ$150</f>
        <v>3</v>
      </c>
      <c r="AR102" s="537">
        <f>Time!AR$150</f>
        <v>3</v>
      </c>
      <c r="AS102" s="537">
        <f>Time!AS$150</f>
        <v>3</v>
      </c>
      <c r="AT102" s="537">
        <f>Time!AT$150</f>
        <v>4</v>
      </c>
      <c r="AU102" s="537">
        <f>Time!AU$150</f>
        <v>4</v>
      </c>
      <c r="AV102" s="537">
        <f>Time!AV$150</f>
        <v>4</v>
      </c>
      <c r="AW102" s="537">
        <f>Time!AW$150</f>
        <v>4</v>
      </c>
      <c r="AX102" s="537">
        <f>Time!AX$150</f>
        <v>5</v>
      </c>
      <c r="AY102" s="537">
        <f>Time!AY$150</f>
        <v>5</v>
      </c>
      <c r="AZ102" s="537">
        <f>Time!AZ$150</f>
        <v>5</v>
      </c>
      <c r="BA102" s="537">
        <f>Time!BA$150</f>
        <v>5</v>
      </c>
      <c r="BB102" s="537">
        <f>Time!BB$150</f>
        <v>6</v>
      </c>
      <c r="BC102" s="537">
        <f>Time!BC$150</f>
        <v>6</v>
      </c>
      <c r="BD102" s="537">
        <f>Time!BD$150</f>
        <v>6</v>
      </c>
      <c r="BE102" s="537">
        <f>Time!BE$150</f>
        <v>6</v>
      </c>
      <c r="BF102" s="537">
        <f>Time!BF$150</f>
        <v>7</v>
      </c>
      <c r="BG102" s="537">
        <f>Time!BG$150</f>
        <v>7</v>
      </c>
      <c r="BH102" s="537">
        <f>Time!BH$150</f>
        <v>7</v>
      </c>
      <c r="BI102" s="537">
        <f>Time!BI$150</f>
        <v>7</v>
      </c>
      <c r="BJ102" s="537">
        <f>Time!BJ$150</f>
        <v>8</v>
      </c>
      <c r="BK102" s="537">
        <f>Time!BK$150</f>
        <v>8</v>
      </c>
      <c r="BL102" s="537">
        <f>Time!BL$150</f>
        <v>8</v>
      </c>
      <c r="BM102" s="537">
        <f>Time!BM$150</f>
        <v>8</v>
      </c>
      <c r="BN102" s="537">
        <f>Time!BN$150</f>
        <v>9</v>
      </c>
      <c r="BO102" s="537">
        <f>Time!BO$150</f>
        <v>9</v>
      </c>
      <c r="BP102" s="537">
        <f>Time!BP$150</f>
        <v>9</v>
      </c>
      <c r="BQ102" s="537">
        <f>Time!BQ$150</f>
        <v>9</v>
      </c>
      <c r="BR102" s="537">
        <f>Time!BR$150</f>
        <v>10</v>
      </c>
      <c r="BS102" s="537">
        <f>Time!BS$150</f>
        <v>10</v>
      </c>
      <c r="BT102" s="537">
        <f>Time!BT$150</f>
        <v>10</v>
      </c>
      <c r="BU102" s="537">
        <f>Time!BU$150</f>
        <v>10</v>
      </c>
      <c r="BV102" s="537">
        <f>Time!BV$150</f>
        <v>11</v>
      </c>
      <c r="BW102" s="537">
        <f>Time!BW$150</f>
        <v>11</v>
      </c>
      <c r="BX102" s="537">
        <f>Time!BX$150</f>
        <v>11</v>
      </c>
      <c r="BY102" s="537">
        <f>Time!BY$150</f>
        <v>11</v>
      </c>
      <c r="BZ102" s="537">
        <f>Time!BZ$150</f>
        <v>12</v>
      </c>
      <c r="CA102" s="537">
        <f>Time!CA$150</f>
        <v>12</v>
      </c>
      <c r="CB102" s="537">
        <f>Time!CB$150</f>
        <v>12</v>
      </c>
      <c r="CC102" s="537">
        <f>Time!CC$150</f>
        <v>12</v>
      </c>
      <c r="CD102" s="537">
        <f>Time!CD$150</f>
        <v>13</v>
      </c>
      <c r="CE102" s="537">
        <f>Time!CE$150</f>
        <v>13</v>
      </c>
      <c r="CF102" s="537">
        <f>Time!CF$150</f>
        <v>13</v>
      </c>
      <c r="CG102" s="537">
        <f>Time!CG$150</f>
        <v>13</v>
      </c>
      <c r="CH102" s="537">
        <f>Time!CH$150</f>
        <v>14</v>
      </c>
      <c r="CI102" s="537">
        <f>Time!CI$150</f>
        <v>14</v>
      </c>
      <c r="CJ102" s="537">
        <f>Time!CJ$150</f>
        <v>14</v>
      </c>
      <c r="CK102" s="537">
        <f>Time!CK$150</f>
        <v>14</v>
      </c>
      <c r="CL102" s="537">
        <f>Time!CL$150</f>
        <v>15</v>
      </c>
      <c r="CM102" s="537">
        <f>Time!CM$150</f>
        <v>15</v>
      </c>
      <c r="CN102" s="537">
        <f>Time!CN$150</f>
        <v>15</v>
      </c>
      <c r="CO102" s="537">
        <f>Time!CO$150</f>
        <v>15</v>
      </c>
      <c r="CP102" s="537">
        <f>Time!CP$150</f>
        <v>16</v>
      </c>
      <c r="CQ102" s="537">
        <f>Time!CQ$150</f>
        <v>16</v>
      </c>
      <c r="CR102" s="537">
        <f>Time!CR$150</f>
        <v>16</v>
      </c>
      <c r="CS102" s="537">
        <f>Time!CS$150</f>
        <v>16</v>
      </c>
      <c r="CT102" s="537">
        <f>Time!CT$150</f>
        <v>17</v>
      </c>
      <c r="CU102" s="537">
        <f>Time!CU$150</f>
        <v>17</v>
      </c>
      <c r="CV102" s="537">
        <f>Time!CV$150</f>
        <v>17</v>
      </c>
      <c r="CW102" s="537">
        <f>Time!CW$150</f>
        <v>17</v>
      </c>
      <c r="CX102" s="537">
        <f>Time!CX$150</f>
        <v>18</v>
      </c>
      <c r="CY102" s="537">
        <f>Time!CY$150</f>
        <v>18</v>
      </c>
      <c r="CZ102" s="537">
        <f>Time!CZ$150</f>
        <v>18</v>
      </c>
      <c r="DA102" s="537">
        <f>Time!DA$150</f>
        <v>18</v>
      </c>
      <c r="DB102" s="537">
        <f>Time!DB$150</f>
        <v>19</v>
      </c>
      <c r="DC102" s="537">
        <f>Time!DC$150</f>
        <v>19</v>
      </c>
      <c r="DD102" s="537">
        <f>Time!DD$150</f>
        <v>19</v>
      </c>
      <c r="DE102" s="537">
        <f>Time!DE$150</f>
        <v>19</v>
      </c>
      <c r="DF102" s="537">
        <f>Time!DF$150</f>
        <v>20</v>
      </c>
      <c r="DG102" s="537">
        <f>Time!DG$150</f>
        <v>20</v>
      </c>
      <c r="DH102" s="537">
        <f>Time!DH$150</f>
        <v>20</v>
      </c>
      <c r="DI102" s="537">
        <f>Time!DI$150</f>
        <v>20</v>
      </c>
      <c r="DJ102" s="537">
        <f>Time!DJ$150</f>
        <v>21</v>
      </c>
      <c r="DK102" s="537">
        <f>Time!DK$150</f>
        <v>21</v>
      </c>
      <c r="DL102" s="537">
        <f>Time!DL$150</f>
        <v>21</v>
      </c>
      <c r="DM102" s="537">
        <f>Time!DM$150</f>
        <v>21</v>
      </c>
      <c r="DN102" s="537">
        <f>Time!DN$150</f>
        <v>22</v>
      </c>
      <c r="DO102" s="537">
        <f>Time!DO$150</f>
        <v>22</v>
      </c>
      <c r="DP102" s="537">
        <f>Time!DP$150</f>
        <v>22</v>
      </c>
      <c r="DQ102" s="537">
        <f>Time!DQ$150</f>
        <v>22</v>
      </c>
      <c r="DR102" s="537">
        <f>Time!DR$150</f>
        <v>23</v>
      </c>
      <c r="DS102" s="537">
        <f>Time!DS$150</f>
        <v>23</v>
      </c>
      <c r="DT102" s="537">
        <f>Time!DT$150</f>
        <v>23</v>
      </c>
      <c r="DU102" s="537">
        <f>Time!DU$150</f>
        <v>23</v>
      </c>
      <c r="DV102" s="537">
        <f>Time!DV$150</f>
        <v>24</v>
      </c>
      <c r="DW102" s="537">
        <f>Time!DW$150</f>
        <v>24</v>
      </c>
      <c r="DX102" s="537">
        <f>Time!DX$150</f>
        <v>24</v>
      </c>
      <c r="DY102" s="537">
        <f>Time!DY$150</f>
        <v>24</v>
      </c>
      <c r="DZ102" s="537">
        <f>Time!DZ$150</f>
        <v>25</v>
      </c>
      <c r="EA102" s="537">
        <f>Time!EA$150</f>
        <v>25</v>
      </c>
      <c r="EB102" s="537">
        <f>Time!EB$150</f>
        <v>25</v>
      </c>
      <c r="EC102" s="537">
        <f>Time!EC$150</f>
        <v>25</v>
      </c>
      <c r="ED102" s="537">
        <f>Time!ED$150</f>
        <v>0</v>
      </c>
      <c r="EE102" s="537">
        <f>Time!EE$150</f>
        <v>0</v>
      </c>
      <c r="EF102" s="537">
        <f>Time!EF$150</f>
        <v>0</v>
      </c>
      <c r="EG102" s="537">
        <f>Time!EG$150</f>
        <v>0</v>
      </c>
    </row>
    <row r="103" spans="5:137" ht="12.75">
      <c r="E103" s="535" t="str">
        <f>Time!E$108</f>
        <v>End of financial year flag</v>
      </c>
      <c r="G103" s="537" t="str">
        <f>Time!G$108</f>
        <v>flag</v>
      </c>
      <c r="H103" s="537">
        <f>Time!H$108</f>
        <v>28</v>
      </c>
      <c r="J103" s="537">
        <f>Time!J$108</f>
        <v>0</v>
      </c>
      <c r="K103" s="537">
        <f>Time!K$108</f>
        <v>0</v>
      </c>
      <c r="L103" s="537">
        <f>Time!L$108</f>
        <v>0</v>
      </c>
      <c r="M103" s="537">
        <f>Time!M$108</f>
        <v>0</v>
      </c>
      <c r="N103" s="537">
        <f>Time!N$108</f>
        <v>0</v>
      </c>
      <c r="O103" s="537">
        <f>Time!O$108</f>
        <v>0</v>
      </c>
      <c r="P103" s="537">
        <f>Time!P$108</f>
        <v>0</v>
      </c>
      <c r="Q103" s="537">
        <f>Time!Q$108</f>
        <v>0</v>
      </c>
      <c r="R103" s="537">
        <f>Time!R$108</f>
        <v>0</v>
      </c>
      <c r="S103" s="537">
        <f>Time!S$108</f>
        <v>0</v>
      </c>
      <c r="T103" s="537">
        <f>Time!T$108</f>
        <v>0</v>
      </c>
      <c r="U103" s="537">
        <f>Time!U$108</f>
        <v>1</v>
      </c>
      <c r="V103" s="537">
        <f>Time!V$108</f>
        <v>0</v>
      </c>
      <c r="W103" s="537">
        <f>Time!W$108</f>
        <v>0</v>
      </c>
      <c r="X103" s="537">
        <f>Time!X$108</f>
        <v>0</v>
      </c>
      <c r="Y103" s="537">
        <f>Time!Y$108</f>
        <v>0</v>
      </c>
      <c r="Z103" s="537">
        <f>Time!Z$108</f>
        <v>0</v>
      </c>
      <c r="AA103" s="537">
        <f>Time!AA$108</f>
        <v>0</v>
      </c>
      <c r="AB103" s="537">
        <f>Time!AB$108</f>
        <v>0</v>
      </c>
      <c r="AC103" s="537">
        <f>Time!AC$108</f>
        <v>0</v>
      </c>
      <c r="AD103" s="537">
        <f>Time!AD$108</f>
        <v>0</v>
      </c>
      <c r="AE103" s="537">
        <f>Time!AE$108</f>
        <v>0</v>
      </c>
      <c r="AF103" s="537">
        <f>Time!AF$108</f>
        <v>0</v>
      </c>
      <c r="AG103" s="537">
        <f>Time!AG$108</f>
        <v>1</v>
      </c>
      <c r="AH103" s="537">
        <f>Time!AH$108</f>
        <v>0</v>
      </c>
      <c r="AI103" s="537">
        <f>Time!AI$108</f>
        <v>0</v>
      </c>
      <c r="AJ103" s="537">
        <f>Time!AJ$108</f>
        <v>0</v>
      </c>
      <c r="AK103" s="537">
        <f>Time!AK$108</f>
        <v>1</v>
      </c>
      <c r="AL103" s="537">
        <f>Time!AL$108</f>
        <v>0</v>
      </c>
      <c r="AM103" s="537">
        <f>Time!AM$108</f>
        <v>0</v>
      </c>
      <c r="AN103" s="537">
        <f>Time!AN$108</f>
        <v>0</v>
      </c>
      <c r="AO103" s="537">
        <f>Time!AO$108</f>
        <v>1</v>
      </c>
      <c r="AP103" s="537">
        <f>Time!AP$108</f>
        <v>0</v>
      </c>
      <c r="AQ103" s="537">
        <f>Time!AQ$108</f>
        <v>0</v>
      </c>
      <c r="AR103" s="537">
        <f>Time!AR$108</f>
        <v>0</v>
      </c>
      <c r="AS103" s="537">
        <f>Time!AS$108</f>
        <v>1</v>
      </c>
      <c r="AT103" s="537">
        <f>Time!AT$108</f>
        <v>0</v>
      </c>
      <c r="AU103" s="537">
        <f>Time!AU$108</f>
        <v>0</v>
      </c>
      <c r="AV103" s="537">
        <f>Time!AV$108</f>
        <v>0</v>
      </c>
      <c r="AW103" s="537">
        <f>Time!AW$108</f>
        <v>1</v>
      </c>
      <c r="AX103" s="537">
        <f>Time!AX$108</f>
        <v>0</v>
      </c>
      <c r="AY103" s="537">
        <f>Time!AY$108</f>
        <v>0</v>
      </c>
      <c r="AZ103" s="537">
        <f>Time!AZ$108</f>
        <v>0</v>
      </c>
      <c r="BA103" s="537">
        <f>Time!BA$108</f>
        <v>1</v>
      </c>
      <c r="BB103" s="537">
        <f>Time!BB$108</f>
        <v>0</v>
      </c>
      <c r="BC103" s="537">
        <f>Time!BC$108</f>
        <v>0</v>
      </c>
      <c r="BD103" s="537">
        <f>Time!BD$108</f>
        <v>0</v>
      </c>
      <c r="BE103" s="537">
        <f>Time!BE$108</f>
        <v>1</v>
      </c>
      <c r="BF103" s="537">
        <f>Time!BF$108</f>
        <v>0</v>
      </c>
      <c r="BG103" s="537">
        <f>Time!BG$108</f>
        <v>0</v>
      </c>
      <c r="BH103" s="537">
        <f>Time!BH$108</f>
        <v>0</v>
      </c>
      <c r="BI103" s="537">
        <f>Time!BI$108</f>
        <v>1</v>
      </c>
      <c r="BJ103" s="537">
        <f>Time!BJ$108</f>
        <v>0</v>
      </c>
      <c r="BK103" s="537">
        <f>Time!BK$108</f>
        <v>0</v>
      </c>
      <c r="BL103" s="537">
        <f>Time!BL$108</f>
        <v>0</v>
      </c>
      <c r="BM103" s="537">
        <f>Time!BM$108</f>
        <v>1</v>
      </c>
      <c r="BN103" s="537">
        <f>Time!BN$108</f>
        <v>0</v>
      </c>
      <c r="BO103" s="537">
        <f>Time!BO$108</f>
        <v>0</v>
      </c>
      <c r="BP103" s="537">
        <f>Time!BP$108</f>
        <v>0</v>
      </c>
      <c r="BQ103" s="537">
        <f>Time!BQ$108</f>
        <v>1</v>
      </c>
      <c r="BR103" s="537">
        <f>Time!BR$108</f>
        <v>0</v>
      </c>
      <c r="BS103" s="537">
        <f>Time!BS$108</f>
        <v>0</v>
      </c>
      <c r="BT103" s="537">
        <f>Time!BT$108</f>
        <v>0</v>
      </c>
      <c r="BU103" s="537">
        <f>Time!BU$108</f>
        <v>1</v>
      </c>
      <c r="BV103" s="537">
        <f>Time!BV$108</f>
        <v>0</v>
      </c>
      <c r="BW103" s="537">
        <f>Time!BW$108</f>
        <v>0</v>
      </c>
      <c r="BX103" s="537">
        <f>Time!BX$108</f>
        <v>0</v>
      </c>
      <c r="BY103" s="537">
        <f>Time!BY$108</f>
        <v>1</v>
      </c>
      <c r="BZ103" s="537">
        <f>Time!BZ$108</f>
        <v>0</v>
      </c>
      <c r="CA103" s="537">
        <f>Time!CA$108</f>
        <v>0</v>
      </c>
      <c r="CB103" s="537">
        <f>Time!CB$108</f>
        <v>0</v>
      </c>
      <c r="CC103" s="537">
        <f>Time!CC$108</f>
        <v>1</v>
      </c>
      <c r="CD103" s="537">
        <f>Time!CD$108</f>
        <v>0</v>
      </c>
      <c r="CE103" s="537">
        <f>Time!CE$108</f>
        <v>0</v>
      </c>
      <c r="CF103" s="537">
        <f>Time!CF$108</f>
        <v>0</v>
      </c>
      <c r="CG103" s="537">
        <f>Time!CG$108</f>
        <v>1</v>
      </c>
      <c r="CH103" s="537">
        <f>Time!CH$108</f>
        <v>0</v>
      </c>
      <c r="CI103" s="537">
        <f>Time!CI$108</f>
        <v>0</v>
      </c>
      <c r="CJ103" s="537">
        <f>Time!CJ$108</f>
        <v>0</v>
      </c>
      <c r="CK103" s="537">
        <f>Time!CK$108</f>
        <v>1</v>
      </c>
      <c r="CL103" s="537">
        <f>Time!CL$108</f>
        <v>0</v>
      </c>
      <c r="CM103" s="537">
        <f>Time!CM$108</f>
        <v>0</v>
      </c>
      <c r="CN103" s="537">
        <f>Time!CN$108</f>
        <v>0</v>
      </c>
      <c r="CO103" s="537">
        <f>Time!CO$108</f>
        <v>1</v>
      </c>
      <c r="CP103" s="537">
        <f>Time!CP$108</f>
        <v>0</v>
      </c>
      <c r="CQ103" s="537">
        <f>Time!CQ$108</f>
        <v>0</v>
      </c>
      <c r="CR103" s="537">
        <f>Time!CR$108</f>
        <v>0</v>
      </c>
      <c r="CS103" s="537">
        <f>Time!CS$108</f>
        <v>1</v>
      </c>
      <c r="CT103" s="537">
        <f>Time!CT$108</f>
        <v>0</v>
      </c>
      <c r="CU103" s="537">
        <f>Time!CU$108</f>
        <v>0</v>
      </c>
      <c r="CV103" s="537">
        <f>Time!CV$108</f>
        <v>0</v>
      </c>
      <c r="CW103" s="537">
        <f>Time!CW$108</f>
        <v>1</v>
      </c>
      <c r="CX103" s="537">
        <f>Time!CX$108</f>
        <v>0</v>
      </c>
      <c r="CY103" s="537">
        <f>Time!CY$108</f>
        <v>0</v>
      </c>
      <c r="CZ103" s="537">
        <f>Time!CZ$108</f>
        <v>0</v>
      </c>
      <c r="DA103" s="537">
        <f>Time!DA$108</f>
        <v>1</v>
      </c>
      <c r="DB103" s="537">
        <f>Time!DB$108</f>
        <v>0</v>
      </c>
      <c r="DC103" s="537">
        <f>Time!DC$108</f>
        <v>0</v>
      </c>
      <c r="DD103" s="537">
        <f>Time!DD$108</f>
        <v>0</v>
      </c>
      <c r="DE103" s="537">
        <f>Time!DE$108</f>
        <v>1</v>
      </c>
      <c r="DF103" s="537">
        <f>Time!DF$108</f>
        <v>0</v>
      </c>
      <c r="DG103" s="537">
        <f>Time!DG$108</f>
        <v>0</v>
      </c>
      <c r="DH103" s="537">
        <f>Time!DH$108</f>
        <v>0</v>
      </c>
      <c r="DI103" s="537">
        <f>Time!DI$108</f>
        <v>1</v>
      </c>
      <c r="DJ103" s="537">
        <f>Time!DJ$108</f>
        <v>0</v>
      </c>
      <c r="DK103" s="537">
        <f>Time!DK$108</f>
        <v>0</v>
      </c>
      <c r="DL103" s="537">
        <f>Time!DL$108</f>
        <v>0</v>
      </c>
      <c r="DM103" s="537">
        <f>Time!DM$108</f>
        <v>1</v>
      </c>
      <c r="DN103" s="537">
        <f>Time!DN$108</f>
        <v>0</v>
      </c>
      <c r="DO103" s="537">
        <f>Time!DO$108</f>
        <v>0</v>
      </c>
      <c r="DP103" s="537">
        <f>Time!DP$108</f>
        <v>0</v>
      </c>
      <c r="DQ103" s="537">
        <f>Time!DQ$108</f>
        <v>1</v>
      </c>
      <c r="DR103" s="537">
        <f>Time!DR$108</f>
        <v>0</v>
      </c>
      <c r="DS103" s="537">
        <f>Time!DS$108</f>
        <v>0</v>
      </c>
      <c r="DT103" s="537">
        <f>Time!DT$108</f>
        <v>0</v>
      </c>
      <c r="DU103" s="537">
        <f>Time!DU$108</f>
        <v>1</v>
      </c>
      <c r="DV103" s="537">
        <f>Time!DV$108</f>
        <v>0</v>
      </c>
      <c r="DW103" s="537">
        <f>Time!DW$108</f>
        <v>0</v>
      </c>
      <c r="DX103" s="537">
        <f>Time!DX$108</f>
        <v>0</v>
      </c>
      <c r="DY103" s="537">
        <f>Time!DY$108</f>
        <v>1</v>
      </c>
      <c r="DZ103" s="537">
        <f>Time!DZ$108</f>
        <v>0</v>
      </c>
      <c r="EA103" s="537">
        <f>Time!EA$108</f>
        <v>0</v>
      </c>
      <c r="EB103" s="537">
        <f>Time!EB$108</f>
        <v>0</v>
      </c>
      <c r="EC103" s="537">
        <f>Time!EC$108</f>
        <v>1</v>
      </c>
      <c r="ED103" s="537">
        <f>Time!ED$108</f>
        <v>0</v>
      </c>
      <c r="EE103" s="537">
        <f>Time!EE$108</f>
        <v>0</v>
      </c>
      <c r="EF103" s="537">
        <f>Time!EF$108</f>
        <v>0</v>
      </c>
      <c r="EG103" s="537">
        <f>Time!EG$108</f>
        <v>1</v>
      </c>
    </row>
    <row r="104" spans="5:7" ht="12.75">
      <c r="E104" s="540" t="s">
        <v>223</v>
      </c>
      <c r="F104" s="543">
        <f>IF(ABS(SUMIFS($J99:$EG99,$J102:$EG102,1,$J103:$EG103,1))&gt;$F101,1,0)</f>
        <v>0</v>
      </c>
      <c r="G104" s="541" t="s">
        <v>224</v>
      </c>
    </row>
    <row r="105" spans="5:7" ht="12.75">
      <c r="E105" s="540" t="s">
        <v>225</v>
      </c>
      <c r="F105" s="543">
        <f>IF(ABS(SUMIFS($J100:$EG100,$J102:$EG102,1,$J103:$EG103,1))&gt;$F101,1,0)</f>
        <v>0</v>
      </c>
      <c r="G105" s="541" t="s">
        <v>224</v>
      </c>
    </row>
    <row r="108" spans="1:1" ht="12.75">
      <c r="A108" s="534" t="s">
        <v>226</v>
      </c>
    </row>
    <row r="110" spans="2:2" ht="12.75">
      <c r="B110" s="534" t="s">
        <v>227</v>
      </c>
    </row>
    <row r="111" spans="5:137" ht="12.75">
      <c r="E111" s="535" t="str">
        <f>Solve!E$25</f>
        <v>Funding requirement - solver paste</v>
      </c>
      <c r="G111" s="537" t="str">
        <f>Solve!G$25</f>
        <v>EUR 000s</v>
      </c>
      <c r="H111" s="537">
        <f>Solve!H$25</f>
        <v>316123.78273007384</v>
      </c>
      <c r="J111" s="537">
        <f>Solve!J$25</f>
        <v>0</v>
      </c>
      <c r="K111" s="537">
        <f>Solve!K$25</f>
        <v>0</v>
      </c>
      <c r="L111" s="537">
        <f>Solve!L$25</f>
        <v>11319.299718665801</v>
      </c>
      <c r="M111" s="537">
        <f>Solve!M$25</f>
        <v>13400.690161983533</v>
      </c>
      <c r="N111" s="537">
        <f>Solve!N$25</f>
        <v>13741.483730168373</v>
      </c>
      <c r="O111" s="537">
        <f>Solve!O$25</f>
        <v>13418.385230476684</v>
      </c>
      <c r="P111" s="537">
        <f>Solve!P$25</f>
        <v>13759.768634277962</v>
      </c>
      <c r="Q111" s="537">
        <f>Solve!Q$25</f>
        <v>13431.866579483441</v>
      </c>
      <c r="R111" s="537">
        <f>Solve!R$25</f>
        <v>17147.968956865683</v>
      </c>
      <c r="S111" s="537">
        <f>Solve!S$25</f>
        <v>17980.844765662525</v>
      </c>
      <c r="T111" s="537">
        <f>Solve!T$25</f>
        <v>18373.00855600759</v>
      </c>
      <c r="U111" s="537">
        <f>Solve!U$25</f>
        <v>18794.294603184764</v>
      </c>
      <c r="V111" s="537">
        <f>Solve!V$25</f>
        <v>17560.929412437468</v>
      </c>
      <c r="W111" s="537">
        <f>Solve!W$25</f>
        <v>17427.529348846478</v>
      </c>
      <c r="X111" s="537">
        <f>Solve!X$25</f>
        <v>15736.56271752895</v>
      </c>
      <c r="Y111" s="537">
        <f>Solve!Y$25</f>
        <v>13805.731154549694</v>
      </c>
      <c r="Z111" s="537">
        <f>Solve!Z$25</f>
        <v>12901.477428191107</v>
      </c>
      <c r="AA111" s="537">
        <f>Solve!AA$25</f>
        <v>14399.761727471965</v>
      </c>
      <c r="AB111" s="537">
        <f>Solve!AB$25</f>
        <v>15143.672002923853</v>
      </c>
      <c r="AC111" s="537">
        <f>Solve!AC$25</f>
        <v>15043.412380382597</v>
      </c>
      <c r="AD111" s="537">
        <f>Solve!AD$25</f>
        <v>13719.08131146606</v>
      </c>
      <c r="AE111" s="537">
        <f>Solve!AE$25</f>
        <v>8683.3953250207269</v>
      </c>
      <c r="AF111" s="537">
        <f>Solve!AF$25</f>
        <v>6872.7289999061568</v>
      </c>
      <c r="AG111" s="537">
        <f>Solve!AG$25</f>
        <v>13461.889984572472</v>
      </c>
      <c r="AH111" s="537">
        <f>Solve!AH$25</f>
        <v>0</v>
      </c>
      <c r="AI111" s="537">
        <f>Solve!AI$25</f>
        <v>0</v>
      </c>
      <c r="AJ111" s="537">
        <f>Solve!AJ$25</f>
        <v>0</v>
      </c>
      <c r="AK111" s="537">
        <f>Solve!AK$25</f>
        <v>0</v>
      </c>
      <c r="AL111" s="537">
        <f>Solve!AL$25</f>
        <v>0</v>
      </c>
      <c r="AM111" s="537">
        <f>Solve!AM$25</f>
        <v>0</v>
      </c>
      <c r="AN111" s="537">
        <f>Solve!AN$25</f>
        <v>0</v>
      </c>
      <c r="AO111" s="537">
        <f>Solve!AO$25</f>
        <v>0</v>
      </c>
      <c r="AP111" s="537">
        <f>Solve!AP$25</f>
        <v>0</v>
      </c>
      <c r="AQ111" s="537">
        <f>Solve!AQ$25</f>
        <v>0</v>
      </c>
      <c r="AR111" s="537">
        <f>Solve!AR$25</f>
        <v>0</v>
      </c>
      <c r="AS111" s="537">
        <f>Solve!AS$25</f>
        <v>0</v>
      </c>
      <c r="AT111" s="537">
        <f>Solve!AT$25</f>
        <v>0</v>
      </c>
      <c r="AU111" s="537">
        <f>Solve!AU$25</f>
        <v>0</v>
      </c>
      <c r="AV111" s="537">
        <f>Solve!AV$25</f>
        <v>0</v>
      </c>
      <c r="AW111" s="537">
        <f>Solve!AW$25</f>
        <v>0</v>
      </c>
      <c r="AX111" s="537">
        <f>Solve!AX$25</f>
        <v>0</v>
      </c>
      <c r="AY111" s="537">
        <f>Solve!AY$25</f>
        <v>0</v>
      </c>
      <c r="AZ111" s="537">
        <f>Solve!AZ$25</f>
        <v>0</v>
      </c>
      <c r="BA111" s="537">
        <f>Solve!BA$25</f>
        <v>0</v>
      </c>
      <c r="BB111" s="537">
        <f>Solve!BB$25</f>
        <v>0</v>
      </c>
      <c r="BC111" s="537">
        <f>Solve!BC$25</f>
        <v>0</v>
      </c>
      <c r="BD111" s="537">
        <f>Solve!BD$25</f>
        <v>0</v>
      </c>
      <c r="BE111" s="537">
        <f>Solve!BE$25</f>
        <v>0</v>
      </c>
      <c r="BF111" s="537">
        <f>Solve!BF$25</f>
        <v>0</v>
      </c>
      <c r="BG111" s="537">
        <f>Solve!BG$25</f>
        <v>0</v>
      </c>
      <c r="BH111" s="537">
        <f>Solve!BH$25</f>
        <v>0</v>
      </c>
      <c r="BI111" s="537">
        <f>Solve!BI$25</f>
        <v>0</v>
      </c>
      <c r="BJ111" s="537">
        <f>Solve!BJ$25</f>
        <v>0</v>
      </c>
      <c r="BK111" s="537">
        <f>Solve!BK$25</f>
        <v>0</v>
      </c>
      <c r="BL111" s="537">
        <f>Solve!BL$25</f>
        <v>0</v>
      </c>
      <c r="BM111" s="537">
        <f>Solve!BM$25</f>
        <v>0</v>
      </c>
      <c r="BN111" s="537">
        <f>Solve!BN$25</f>
        <v>0</v>
      </c>
      <c r="BO111" s="537">
        <f>Solve!BO$25</f>
        <v>0</v>
      </c>
      <c r="BP111" s="537">
        <f>Solve!BP$25</f>
        <v>0</v>
      </c>
      <c r="BQ111" s="537">
        <f>Solve!BQ$25</f>
        <v>0</v>
      </c>
      <c r="BR111" s="537">
        <f>Solve!BR$25</f>
        <v>0</v>
      </c>
      <c r="BS111" s="537">
        <f>Solve!BS$25</f>
        <v>0</v>
      </c>
      <c r="BT111" s="537">
        <f>Solve!BT$25</f>
        <v>0</v>
      </c>
      <c r="BU111" s="537">
        <f>Solve!BU$25</f>
        <v>0</v>
      </c>
      <c r="BV111" s="537">
        <f>Solve!BV$25</f>
        <v>0</v>
      </c>
      <c r="BW111" s="537">
        <f>Solve!BW$25</f>
        <v>0</v>
      </c>
      <c r="BX111" s="537">
        <f>Solve!BX$25</f>
        <v>0</v>
      </c>
      <c r="BY111" s="537">
        <f>Solve!BY$25</f>
        <v>0</v>
      </c>
      <c r="BZ111" s="537">
        <f>Solve!BZ$25</f>
        <v>0</v>
      </c>
      <c r="CA111" s="537">
        <f>Solve!CA$25</f>
        <v>0</v>
      </c>
      <c r="CB111" s="537">
        <f>Solve!CB$25</f>
        <v>0</v>
      </c>
      <c r="CC111" s="537">
        <f>Solve!CC$25</f>
        <v>0</v>
      </c>
      <c r="CD111" s="537">
        <f>Solve!CD$25</f>
        <v>0</v>
      </c>
      <c r="CE111" s="537">
        <f>Solve!CE$25</f>
        <v>0</v>
      </c>
      <c r="CF111" s="537">
        <f>Solve!CF$25</f>
        <v>0</v>
      </c>
      <c r="CG111" s="537">
        <f>Solve!CG$25</f>
        <v>0</v>
      </c>
      <c r="CH111" s="537">
        <f>Solve!CH$25</f>
        <v>0</v>
      </c>
      <c r="CI111" s="537">
        <f>Solve!CI$25</f>
        <v>0</v>
      </c>
      <c r="CJ111" s="537">
        <f>Solve!CJ$25</f>
        <v>0</v>
      </c>
      <c r="CK111" s="537">
        <f>Solve!CK$25</f>
        <v>0</v>
      </c>
      <c r="CL111" s="537">
        <f>Solve!CL$25</f>
        <v>0</v>
      </c>
      <c r="CM111" s="537">
        <f>Solve!CM$25</f>
        <v>0</v>
      </c>
      <c r="CN111" s="537">
        <f>Solve!CN$25</f>
        <v>0</v>
      </c>
      <c r="CO111" s="537">
        <f>Solve!CO$25</f>
        <v>0</v>
      </c>
      <c r="CP111" s="537">
        <f>Solve!CP$25</f>
        <v>0</v>
      </c>
      <c r="CQ111" s="537">
        <f>Solve!CQ$25</f>
        <v>0</v>
      </c>
      <c r="CR111" s="537">
        <f>Solve!CR$25</f>
        <v>0</v>
      </c>
      <c r="CS111" s="537">
        <f>Solve!CS$25</f>
        <v>0</v>
      </c>
      <c r="CT111" s="537">
        <f>Solve!CT$25</f>
        <v>0</v>
      </c>
      <c r="CU111" s="537">
        <f>Solve!CU$25</f>
        <v>0</v>
      </c>
      <c r="CV111" s="537">
        <f>Solve!CV$25</f>
        <v>0</v>
      </c>
      <c r="CW111" s="537">
        <f>Solve!CW$25</f>
        <v>0</v>
      </c>
      <c r="CX111" s="537">
        <f>Solve!CX$25</f>
        <v>0</v>
      </c>
      <c r="CY111" s="537">
        <f>Solve!CY$25</f>
        <v>0</v>
      </c>
      <c r="CZ111" s="537">
        <f>Solve!CZ$25</f>
        <v>0</v>
      </c>
      <c r="DA111" s="537">
        <f>Solve!DA$25</f>
        <v>0</v>
      </c>
      <c r="DB111" s="537">
        <f>Solve!DB$25</f>
        <v>0</v>
      </c>
      <c r="DC111" s="537">
        <f>Solve!DC$25</f>
        <v>0</v>
      </c>
      <c r="DD111" s="537">
        <f>Solve!DD$25</f>
        <v>0</v>
      </c>
      <c r="DE111" s="537">
        <f>Solve!DE$25</f>
        <v>0</v>
      </c>
      <c r="DF111" s="537">
        <f>Solve!DF$25</f>
        <v>0</v>
      </c>
      <c r="DG111" s="537">
        <f>Solve!DG$25</f>
        <v>0</v>
      </c>
      <c r="DH111" s="537">
        <f>Solve!DH$25</f>
        <v>0</v>
      </c>
      <c r="DI111" s="537">
        <f>Solve!DI$25</f>
        <v>0</v>
      </c>
      <c r="DJ111" s="537">
        <f>Solve!DJ$25</f>
        <v>0</v>
      </c>
      <c r="DK111" s="537">
        <f>Solve!DK$25</f>
        <v>0</v>
      </c>
      <c r="DL111" s="537">
        <f>Solve!DL$25</f>
        <v>0</v>
      </c>
      <c r="DM111" s="537">
        <f>Solve!DM$25</f>
        <v>0</v>
      </c>
      <c r="DN111" s="537">
        <f>Solve!DN$25</f>
        <v>0</v>
      </c>
      <c r="DO111" s="537">
        <f>Solve!DO$25</f>
        <v>0</v>
      </c>
      <c r="DP111" s="537">
        <f>Solve!DP$25</f>
        <v>0</v>
      </c>
      <c r="DQ111" s="537">
        <f>Solve!DQ$25</f>
        <v>0</v>
      </c>
      <c r="DR111" s="537">
        <f>Solve!DR$25</f>
        <v>0</v>
      </c>
      <c r="DS111" s="537">
        <f>Solve!DS$25</f>
        <v>0</v>
      </c>
      <c r="DT111" s="537">
        <f>Solve!DT$25</f>
        <v>0</v>
      </c>
      <c r="DU111" s="537">
        <f>Solve!DU$25</f>
        <v>0</v>
      </c>
      <c r="DV111" s="537">
        <f>Solve!DV$25</f>
        <v>0</v>
      </c>
      <c r="DW111" s="537">
        <f>Solve!DW$25</f>
        <v>0</v>
      </c>
      <c r="DX111" s="537">
        <f>Solve!DX$25</f>
        <v>0</v>
      </c>
      <c r="DY111" s="537">
        <f>Solve!DY$25</f>
        <v>0</v>
      </c>
      <c r="DZ111" s="537">
        <f>Solve!DZ$25</f>
        <v>0</v>
      </c>
      <c r="EA111" s="537">
        <f>Solve!EA$25</f>
        <v>0</v>
      </c>
      <c r="EB111" s="537">
        <f>Solve!EB$25</f>
        <v>0</v>
      </c>
      <c r="EC111" s="537">
        <f>Solve!EC$25</f>
        <v>0</v>
      </c>
      <c r="ED111" s="537">
        <f>Solve!ED$25</f>
        <v>0</v>
      </c>
      <c r="EE111" s="537">
        <f>Solve!EE$25</f>
        <v>0</v>
      </c>
      <c r="EF111" s="537">
        <f>Solve!EF$25</f>
        <v>0</v>
      </c>
      <c r="EG111" s="537">
        <f>Solve!EG$25</f>
        <v>0</v>
      </c>
    </row>
    <row r="112" spans="5:7" ht="12.75">
      <c r="E112" s="540" t="s">
        <v>228</v>
      </c>
      <c r="F112" s="541">
        <f>SUM($J111:$EG111)</f>
        <v>316123.78273007384</v>
      </c>
      <c r="G112" s="541" t="s">
        <v>30</v>
      </c>
    </row>
    <row r="114" spans="5:7" ht="12.75">
      <c r="E114" s="535" t="str">
        <f>InpC!E$82</f>
        <v>Funding - maximum gearing</v>
      </c>
      <c r="F114" s="542">
        <f>InpC!F$82</f>
        <v>0.69999999999999996</v>
      </c>
      <c r="G114" s="542" t="str">
        <f>InpC!G$82</f>
        <v>%</v>
      </c>
    </row>
    <row r="115" spans="5:7" ht="12.75">
      <c r="E115" s="535" t="str">
        <f>Solve!E$26</f>
        <v>Senior facility - debt capacity solver paste</v>
      </c>
      <c r="F115" s="537">
        <f>Solve!F$26</f>
        <v>329732.58586017729</v>
      </c>
      <c r="G115" s="537" t="str">
        <f>Solve!G$26</f>
        <v>EUR 000s</v>
      </c>
    </row>
    <row r="116" spans="5:7" ht="12.75">
      <c r="E116" s="538" t="str">
        <f>E$112</f>
        <v>Funding requirement - total</v>
      </c>
      <c r="F116" s="539">
        <f>F$112</f>
        <v>316123.78273007384</v>
      </c>
      <c r="G116" s="539" t="str">
        <f>G$112</f>
        <v>EUR 000s</v>
      </c>
    </row>
    <row r="117" spans="5:7" ht="12.75">
      <c r="E117" s="538" t="s">
        <v>229</v>
      </c>
      <c r="F117" s="539">
        <f>MAX(0,MIN($F115,$F114*$F116))</f>
        <v>221286.64791105167</v>
      </c>
      <c r="G117" s="539" t="s">
        <v>30</v>
      </c>
    </row>
    <row r="119" spans="5:7" ht="12.75">
      <c r="E119" s="535" t="str">
        <f>Debt!E$155</f>
        <v>Junior facility - amount</v>
      </c>
      <c r="F119" s="537">
        <f>Debt!F$155</f>
        <v>25289.902618405908</v>
      </c>
      <c r="G119" s="537" t="str">
        <f>Debt!G$155</f>
        <v>EUR 000s</v>
      </c>
    </row>
    <row r="120" spans="5:7" ht="12.75">
      <c r="E120" s="538" t="str">
        <f>E$112</f>
        <v>Funding requirement - total</v>
      </c>
      <c r="F120" s="539">
        <f>F$112</f>
        <v>316123.78273007384</v>
      </c>
      <c r="G120" s="539" t="str">
        <f>G$112</f>
        <v>EUR 000s</v>
      </c>
    </row>
    <row r="121" spans="5:7" ht="12.75">
      <c r="E121" s="538" t="str">
        <f>E$117</f>
        <v>Senior facility - amount</v>
      </c>
      <c r="F121" s="539">
        <f>F$117</f>
        <v>221286.64791105167</v>
      </c>
      <c r="G121" s="539" t="str">
        <f>G$117</f>
        <v>EUR 000s</v>
      </c>
    </row>
    <row r="122" spans="5:7" ht="12.75">
      <c r="E122" s="538" t="s">
        <v>230</v>
      </c>
      <c r="F122" s="539">
        <f>$F120-$F121-$F119</f>
        <v>69547.232200616272</v>
      </c>
      <c r="G122" s="539" t="s">
        <v>30</v>
      </c>
    </row>
    <row r="124" spans="2:2" ht="12.75">
      <c r="B124" s="534" t="s">
        <v>231</v>
      </c>
    </row>
    <row r="125" spans="5:137" ht="12.75">
      <c r="E125" s="535" t="str">
        <f>Solve!E$25</f>
        <v>Funding requirement - solver paste</v>
      </c>
      <c r="G125" s="537" t="str">
        <f>Solve!G$25</f>
        <v>EUR 000s</v>
      </c>
      <c r="H125" s="537">
        <f>Solve!H$25</f>
        <v>316123.78273007384</v>
      </c>
      <c r="J125" s="537">
        <f>Solve!J$25</f>
        <v>0</v>
      </c>
      <c r="K125" s="537">
        <f>Solve!K$25</f>
        <v>0</v>
      </c>
      <c r="L125" s="537">
        <f>Solve!L$25</f>
        <v>11319.299718665801</v>
      </c>
      <c r="M125" s="537">
        <f>Solve!M$25</f>
        <v>13400.690161983533</v>
      </c>
      <c r="N125" s="537">
        <f>Solve!N$25</f>
        <v>13741.483730168373</v>
      </c>
      <c r="O125" s="537">
        <f>Solve!O$25</f>
        <v>13418.385230476684</v>
      </c>
      <c r="P125" s="537">
        <f>Solve!P$25</f>
        <v>13759.768634277962</v>
      </c>
      <c r="Q125" s="537">
        <f>Solve!Q$25</f>
        <v>13431.866579483441</v>
      </c>
      <c r="R125" s="537">
        <f>Solve!R$25</f>
        <v>17147.968956865683</v>
      </c>
      <c r="S125" s="537">
        <f>Solve!S$25</f>
        <v>17980.844765662525</v>
      </c>
      <c r="T125" s="537">
        <f>Solve!T$25</f>
        <v>18373.00855600759</v>
      </c>
      <c r="U125" s="537">
        <f>Solve!U$25</f>
        <v>18794.294603184764</v>
      </c>
      <c r="V125" s="537">
        <f>Solve!V$25</f>
        <v>17560.929412437468</v>
      </c>
      <c r="W125" s="537">
        <f>Solve!W$25</f>
        <v>17427.529348846478</v>
      </c>
      <c r="X125" s="537">
        <f>Solve!X$25</f>
        <v>15736.56271752895</v>
      </c>
      <c r="Y125" s="537">
        <f>Solve!Y$25</f>
        <v>13805.731154549694</v>
      </c>
      <c r="Z125" s="537">
        <f>Solve!Z$25</f>
        <v>12901.477428191107</v>
      </c>
      <c r="AA125" s="537">
        <f>Solve!AA$25</f>
        <v>14399.761727471965</v>
      </c>
      <c r="AB125" s="537">
        <f>Solve!AB$25</f>
        <v>15143.672002923853</v>
      </c>
      <c r="AC125" s="537">
        <f>Solve!AC$25</f>
        <v>15043.412380382597</v>
      </c>
      <c r="AD125" s="537">
        <f>Solve!AD$25</f>
        <v>13719.08131146606</v>
      </c>
      <c r="AE125" s="537">
        <f>Solve!AE$25</f>
        <v>8683.3953250207269</v>
      </c>
      <c r="AF125" s="537">
        <f>Solve!AF$25</f>
        <v>6872.7289999061568</v>
      </c>
      <c r="AG125" s="537">
        <f>Solve!AG$25</f>
        <v>13461.889984572472</v>
      </c>
      <c r="AH125" s="537">
        <f>Solve!AH$25</f>
        <v>0</v>
      </c>
      <c r="AI125" s="537">
        <f>Solve!AI$25</f>
        <v>0</v>
      </c>
      <c r="AJ125" s="537">
        <f>Solve!AJ$25</f>
        <v>0</v>
      </c>
      <c r="AK125" s="537">
        <f>Solve!AK$25</f>
        <v>0</v>
      </c>
      <c r="AL125" s="537">
        <f>Solve!AL$25</f>
        <v>0</v>
      </c>
      <c r="AM125" s="537">
        <f>Solve!AM$25</f>
        <v>0</v>
      </c>
      <c r="AN125" s="537">
        <f>Solve!AN$25</f>
        <v>0</v>
      </c>
      <c r="AO125" s="537">
        <f>Solve!AO$25</f>
        <v>0</v>
      </c>
      <c r="AP125" s="537">
        <f>Solve!AP$25</f>
        <v>0</v>
      </c>
      <c r="AQ125" s="537">
        <f>Solve!AQ$25</f>
        <v>0</v>
      </c>
      <c r="AR125" s="537">
        <f>Solve!AR$25</f>
        <v>0</v>
      </c>
      <c r="AS125" s="537">
        <f>Solve!AS$25</f>
        <v>0</v>
      </c>
      <c r="AT125" s="537">
        <f>Solve!AT$25</f>
        <v>0</v>
      </c>
      <c r="AU125" s="537">
        <f>Solve!AU$25</f>
        <v>0</v>
      </c>
      <c r="AV125" s="537">
        <f>Solve!AV$25</f>
        <v>0</v>
      </c>
      <c r="AW125" s="537">
        <f>Solve!AW$25</f>
        <v>0</v>
      </c>
      <c r="AX125" s="537">
        <f>Solve!AX$25</f>
        <v>0</v>
      </c>
      <c r="AY125" s="537">
        <f>Solve!AY$25</f>
        <v>0</v>
      </c>
      <c r="AZ125" s="537">
        <f>Solve!AZ$25</f>
        <v>0</v>
      </c>
      <c r="BA125" s="537">
        <f>Solve!BA$25</f>
        <v>0</v>
      </c>
      <c r="BB125" s="537">
        <f>Solve!BB$25</f>
        <v>0</v>
      </c>
      <c r="BC125" s="537">
        <f>Solve!BC$25</f>
        <v>0</v>
      </c>
      <c r="BD125" s="537">
        <f>Solve!BD$25</f>
        <v>0</v>
      </c>
      <c r="BE125" s="537">
        <f>Solve!BE$25</f>
        <v>0</v>
      </c>
      <c r="BF125" s="537">
        <f>Solve!BF$25</f>
        <v>0</v>
      </c>
      <c r="BG125" s="537">
        <f>Solve!BG$25</f>
        <v>0</v>
      </c>
      <c r="BH125" s="537">
        <f>Solve!BH$25</f>
        <v>0</v>
      </c>
      <c r="BI125" s="537">
        <f>Solve!BI$25</f>
        <v>0</v>
      </c>
      <c r="BJ125" s="537">
        <f>Solve!BJ$25</f>
        <v>0</v>
      </c>
      <c r="BK125" s="537">
        <f>Solve!BK$25</f>
        <v>0</v>
      </c>
      <c r="BL125" s="537">
        <f>Solve!BL$25</f>
        <v>0</v>
      </c>
      <c r="BM125" s="537">
        <f>Solve!BM$25</f>
        <v>0</v>
      </c>
      <c r="BN125" s="537">
        <f>Solve!BN$25</f>
        <v>0</v>
      </c>
      <c r="BO125" s="537">
        <f>Solve!BO$25</f>
        <v>0</v>
      </c>
      <c r="BP125" s="537">
        <f>Solve!BP$25</f>
        <v>0</v>
      </c>
      <c r="BQ125" s="537">
        <f>Solve!BQ$25</f>
        <v>0</v>
      </c>
      <c r="BR125" s="537">
        <f>Solve!BR$25</f>
        <v>0</v>
      </c>
      <c r="BS125" s="537">
        <f>Solve!BS$25</f>
        <v>0</v>
      </c>
      <c r="BT125" s="537">
        <f>Solve!BT$25</f>
        <v>0</v>
      </c>
      <c r="BU125" s="537">
        <f>Solve!BU$25</f>
        <v>0</v>
      </c>
      <c r="BV125" s="537">
        <f>Solve!BV$25</f>
        <v>0</v>
      </c>
      <c r="BW125" s="537">
        <f>Solve!BW$25</f>
        <v>0</v>
      </c>
      <c r="BX125" s="537">
        <f>Solve!BX$25</f>
        <v>0</v>
      </c>
      <c r="BY125" s="537">
        <f>Solve!BY$25</f>
        <v>0</v>
      </c>
      <c r="BZ125" s="537">
        <f>Solve!BZ$25</f>
        <v>0</v>
      </c>
      <c r="CA125" s="537">
        <f>Solve!CA$25</f>
        <v>0</v>
      </c>
      <c r="CB125" s="537">
        <f>Solve!CB$25</f>
        <v>0</v>
      </c>
      <c r="CC125" s="537">
        <f>Solve!CC$25</f>
        <v>0</v>
      </c>
      <c r="CD125" s="537">
        <f>Solve!CD$25</f>
        <v>0</v>
      </c>
      <c r="CE125" s="537">
        <f>Solve!CE$25</f>
        <v>0</v>
      </c>
      <c r="CF125" s="537">
        <f>Solve!CF$25</f>
        <v>0</v>
      </c>
      <c r="CG125" s="537">
        <f>Solve!CG$25</f>
        <v>0</v>
      </c>
      <c r="CH125" s="537">
        <f>Solve!CH$25</f>
        <v>0</v>
      </c>
      <c r="CI125" s="537">
        <f>Solve!CI$25</f>
        <v>0</v>
      </c>
      <c r="CJ125" s="537">
        <f>Solve!CJ$25</f>
        <v>0</v>
      </c>
      <c r="CK125" s="537">
        <f>Solve!CK$25</f>
        <v>0</v>
      </c>
      <c r="CL125" s="537">
        <f>Solve!CL$25</f>
        <v>0</v>
      </c>
      <c r="CM125" s="537">
        <f>Solve!CM$25</f>
        <v>0</v>
      </c>
      <c r="CN125" s="537">
        <f>Solve!CN$25</f>
        <v>0</v>
      </c>
      <c r="CO125" s="537">
        <f>Solve!CO$25</f>
        <v>0</v>
      </c>
      <c r="CP125" s="537">
        <f>Solve!CP$25</f>
        <v>0</v>
      </c>
      <c r="CQ125" s="537">
        <f>Solve!CQ$25</f>
        <v>0</v>
      </c>
      <c r="CR125" s="537">
        <f>Solve!CR$25</f>
        <v>0</v>
      </c>
      <c r="CS125" s="537">
        <f>Solve!CS$25</f>
        <v>0</v>
      </c>
      <c r="CT125" s="537">
        <f>Solve!CT$25</f>
        <v>0</v>
      </c>
      <c r="CU125" s="537">
        <f>Solve!CU$25</f>
        <v>0</v>
      </c>
      <c r="CV125" s="537">
        <f>Solve!CV$25</f>
        <v>0</v>
      </c>
      <c r="CW125" s="537">
        <f>Solve!CW$25</f>
        <v>0</v>
      </c>
      <c r="CX125" s="537">
        <f>Solve!CX$25</f>
        <v>0</v>
      </c>
      <c r="CY125" s="537">
        <f>Solve!CY$25</f>
        <v>0</v>
      </c>
      <c r="CZ125" s="537">
        <f>Solve!CZ$25</f>
        <v>0</v>
      </c>
      <c r="DA125" s="537">
        <f>Solve!DA$25</f>
        <v>0</v>
      </c>
      <c r="DB125" s="537">
        <f>Solve!DB$25</f>
        <v>0</v>
      </c>
      <c r="DC125" s="537">
        <f>Solve!DC$25</f>
        <v>0</v>
      </c>
      <c r="DD125" s="537">
        <f>Solve!DD$25</f>
        <v>0</v>
      </c>
      <c r="DE125" s="537">
        <f>Solve!DE$25</f>
        <v>0</v>
      </c>
      <c r="DF125" s="537">
        <f>Solve!DF$25</f>
        <v>0</v>
      </c>
      <c r="DG125" s="537">
        <f>Solve!DG$25</f>
        <v>0</v>
      </c>
      <c r="DH125" s="537">
        <f>Solve!DH$25</f>
        <v>0</v>
      </c>
      <c r="DI125" s="537">
        <f>Solve!DI$25</f>
        <v>0</v>
      </c>
      <c r="DJ125" s="537">
        <f>Solve!DJ$25</f>
        <v>0</v>
      </c>
      <c r="DK125" s="537">
        <f>Solve!DK$25</f>
        <v>0</v>
      </c>
      <c r="DL125" s="537">
        <f>Solve!DL$25</f>
        <v>0</v>
      </c>
      <c r="DM125" s="537">
        <f>Solve!DM$25</f>
        <v>0</v>
      </c>
      <c r="DN125" s="537">
        <f>Solve!DN$25</f>
        <v>0</v>
      </c>
      <c r="DO125" s="537">
        <f>Solve!DO$25</f>
        <v>0</v>
      </c>
      <c r="DP125" s="537">
        <f>Solve!DP$25</f>
        <v>0</v>
      </c>
      <c r="DQ125" s="537">
        <f>Solve!DQ$25</f>
        <v>0</v>
      </c>
      <c r="DR125" s="537">
        <f>Solve!DR$25</f>
        <v>0</v>
      </c>
      <c r="DS125" s="537">
        <f>Solve!DS$25</f>
        <v>0</v>
      </c>
      <c r="DT125" s="537">
        <f>Solve!DT$25</f>
        <v>0</v>
      </c>
      <c r="DU125" s="537">
        <f>Solve!DU$25</f>
        <v>0</v>
      </c>
      <c r="DV125" s="537">
        <f>Solve!DV$25</f>
        <v>0</v>
      </c>
      <c r="DW125" s="537">
        <f>Solve!DW$25</f>
        <v>0</v>
      </c>
      <c r="DX125" s="537">
        <f>Solve!DX$25</f>
        <v>0</v>
      </c>
      <c r="DY125" s="537">
        <f>Solve!DY$25</f>
        <v>0</v>
      </c>
      <c r="DZ125" s="537">
        <f>Solve!DZ$25</f>
        <v>0</v>
      </c>
      <c r="EA125" s="537">
        <f>Solve!EA$25</f>
        <v>0</v>
      </c>
      <c r="EB125" s="537">
        <f>Solve!EB$25</f>
        <v>0</v>
      </c>
      <c r="EC125" s="537">
        <f>Solve!EC$25</f>
        <v>0</v>
      </c>
      <c r="ED125" s="537">
        <f>Solve!ED$25</f>
        <v>0</v>
      </c>
      <c r="EE125" s="537">
        <f>Solve!EE$25</f>
        <v>0</v>
      </c>
      <c r="EF125" s="537">
        <f>Solve!EF$25</f>
        <v>0</v>
      </c>
      <c r="EG125" s="537">
        <f>Solve!EG$25</f>
        <v>0</v>
      </c>
    </row>
    <row r="126" spans="5:137" ht="12.75">
      <c r="E126" s="538" t="s">
        <v>232</v>
      </c>
      <c r="G126" s="539" t="s">
        <v>30</v>
      </c>
      <c r="H126" s="539">
        <f>SUM(J126:EG126)</f>
        <v>36621011.464806274</v>
      </c>
      <c r="J126" s="539">
        <f t="shared" si="45" ref="J126:EG126">I126+J125</f>
        <v>0</v>
      </c>
      <c r="K126" s="539">
        <f t="shared" si="45"/>
        <v>0</v>
      </c>
      <c r="L126" s="539">
        <f t="shared" si="45"/>
        <v>11319.299718665801</v>
      </c>
      <c r="M126" s="539">
        <f t="shared" si="45"/>
        <v>24719.989880649337</v>
      </c>
      <c r="N126" s="539">
        <f t="shared" si="45"/>
        <v>38461.473610817709</v>
      </c>
      <c r="O126" s="539">
        <f t="shared" si="45"/>
        <v>51879.858841294394</v>
      </c>
      <c r="P126" s="539">
        <f t="shared" si="45"/>
        <v>65639.627475572357</v>
      </c>
      <c r="Q126" s="539">
        <f t="shared" si="45"/>
        <v>79071.494055055795</v>
      </c>
      <c r="R126" s="539">
        <f t="shared" si="45"/>
        <v>96219.463011921471</v>
      </c>
      <c r="S126" s="539">
        <f t="shared" si="45"/>
        <v>114200.30777758399</v>
      </c>
      <c r="T126" s="539">
        <f t="shared" si="45"/>
        <v>132573.31633359159</v>
      </c>
      <c r="U126" s="539">
        <f t="shared" si="45"/>
        <v>151367.61093677636</v>
      </c>
      <c r="V126" s="539">
        <f t="shared" si="45"/>
        <v>168928.54034921381</v>
      </c>
      <c r="W126" s="539">
        <f t="shared" si="45"/>
        <v>186356.06969806028</v>
      </c>
      <c r="X126" s="539">
        <f t="shared" si="45"/>
        <v>202092.63241558924</v>
      </c>
      <c r="Y126" s="539">
        <f t="shared" si="45"/>
        <v>215898.36357013893</v>
      </c>
      <c r="Z126" s="539">
        <f t="shared" si="45"/>
        <v>228799.84099833004</v>
      </c>
      <c r="AA126" s="539">
        <f t="shared" si="45"/>
        <v>243199.60272580199</v>
      </c>
      <c r="AB126" s="539">
        <f t="shared" si="45"/>
        <v>258343.27472872584</v>
      </c>
      <c r="AC126" s="539">
        <f t="shared" si="45"/>
        <v>273386.68710910843</v>
      </c>
      <c r="AD126" s="539">
        <f t="shared" si="45"/>
        <v>287105.76842057449</v>
      </c>
      <c r="AE126" s="539">
        <f t="shared" si="45"/>
        <v>295789.1637455952</v>
      </c>
      <c r="AF126" s="539">
        <f t="shared" si="45"/>
        <v>302661.89274550136</v>
      </c>
      <c r="AG126" s="539">
        <f t="shared" si="45"/>
        <v>316123.78273007384</v>
      </c>
      <c r="AH126" s="539">
        <f t="shared" si="45"/>
        <v>316123.78273007384</v>
      </c>
      <c r="AI126" s="539">
        <f t="shared" si="45"/>
        <v>316123.78273007384</v>
      </c>
      <c r="AJ126" s="539">
        <f t="shared" si="45"/>
        <v>316123.78273007384</v>
      </c>
      <c r="AK126" s="539">
        <f t="shared" si="45"/>
        <v>316123.78273007384</v>
      </c>
      <c r="AL126" s="539">
        <f t="shared" si="45"/>
        <v>316123.78273007384</v>
      </c>
      <c r="AM126" s="539">
        <f t="shared" si="45"/>
        <v>316123.78273007384</v>
      </c>
      <c r="AN126" s="539">
        <f t="shared" si="45"/>
        <v>316123.78273007384</v>
      </c>
      <c r="AO126" s="539">
        <f t="shared" si="45"/>
        <v>316123.78273007384</v>
      </c>
      <c r="AP126" s="539">
        <f t="shared" si="45"/>
        <v>316123.78273007384</v>
      </c>
      <c r="AQ126" s="539">
        <f t="shared" si="45"/>
        <v>316123.78273007384</v>
      </c>
      <c r="AR126" s="539">
        <f t="shared" si="45"/>
        <v>316123.78273007384</v>
      </c>
      <c r="AS126" s="539">
        <f t="shared" si="45"/>
        <v>316123.78273007384</v>
      </c>
      <c r="AT126" s="539">
        <f t="shared" si="45"/>
        <v>316123.78273007384</v>
      </c>
      <c r="AU126" s="539">
        <f t="shared" si="45"/>
        <v>316123.78273007384</v>
      </c>
      <c r="AV126" s="539">
        <f t="shared" si="45"/>
        <v>316123.78273007384</v>
      </c>
      <c r="AW126" s="539">
        <f t="shared" si="45"/>
        <v>316123.78273007384</v>
      </c>
      <c r="AX126" s="539">
        <f t="shared" si="45"/>
        <v>316123.78273007384</v>
      </c>
      <c r="AY126" s="539">
        <f t="shared" si="45"/>
        <v>316123.78273007384</v>
      </c>
      <c r="AZ126" s="539">
        <f t="shared" si="45"/>
        <v>316123.78273007384</v>
      </c>
      <c r="BA126" s="539">
        <f t="shared" si="45"/>
        <v>316123.78273007384</v>
      </c>
      <c r="BB126" s="539">
        <f t="shared" si="45"/>
        <v>316123.78273007384</v>
      </c>
      <c r="BC126" s="539">
        <f t="shared" si="45"/>
        <v>316123.78273007384</v>
      </c>
      <c r="BD126" s="539">
        <f t="shared" si="45"/>
        <v>316123.78273007384</v>
      </c>
      <c r="BE126" s="539">
        <f t="shared" si="45"/>
        <v>316123.78273007384</v>
      </c>
      <c r="BF126" s="539">
        <f t="shared" si="45"/>
        <v>316123.78273007384</v>
      </c>
      <c r="BG126" s="539">
        <f t="shared" si="45"/>
        <v>316123.78273007384</v>
      </c>
      <c r="BH126" s="539">
        <f t="shared" si="45"/>
        <v>316123.78273007384</v>
      </c>
      <c r="BI126" s="539">
        <f t="shared" si="45"/>
        <v>316123.78273007384</v>
      </c>
      <c r="BJ126" s="539">
        <f t="shared" si="45"/>
        <v>316123.78273007384</v>
      </c>
      <c r="BK126" s="539">
        <f t="shared" si="45"/>
        <v>316123.78273007384</v>
      </c>
      <c r="BL126" s="539">
        <f t="shared" si="45"/>
        <v>316123.78273007384</v>
      </c>
      <c r="BM126" s="539">
        <f t="shared" si="45"/>
        <v>316123.78273007384</v>
      </c>
      <c r="BN126" s="539">
        <f t="shared" si="45"/>
        <v>316123.78273007384</v>
      </c>
      <c r="BO126" s="539">
        <f t="shared" si="45"/>
        <v>316123.78273007384</v>
      </c>
      <c r="BP126" s="539">
        <f t="shared" si="45"/>
        <v>316123.78273007384</v>
      </c>
      <c r="BQ126" s="539">
        <f t="shared" si="45"/>
        <v>316123.78273007384</v>
      </c>
      <c r="BR126" s="539">
        <f t="shared" si="45"/>
        <v>316123.78273007384</v>
      </c>
      <c r="BS126" s="539">
        <f t="shared" si="45"/>
        <v>316123.78273007384</v>
      </c>
      <c r="BT126" s="539">
        <f t="shared" si="45"/>
        <v>316123.78273007384</v>
      </c>
      <c r="BU126" s="539">
        <f t="shared" si="45"/>
        <v>316123.78273007384</v>
      </c>
      <c r="BV126" s="539">
        <f t="shared" si="45"/>
        <v>316123.78273007384</v>
      </c>
      <c r="BW126" s="539">
        <f t="shared" si="45"/>
        <v>316123.78273007384</v>
      </c>
      <c r="BX126" s="539">
        <f t="shared" si="45"/>
        <v>316123.78273007384</v>
      </c>
      <c r="BY126" s="539">
        <f t="shared" si="45"/>
        <v>316123.78273007384</v>
      </c>
      <c r="BZ126" s="539">
        <f t="shared" si="45"/>
        <v>316123.78273007384</v>
      </c>
      <c r="CA126" s="539">
        <f t="shared" si="45"/>
        <v>316123.78273007384</v>
      </c>
      <c r="CB126" s="539">
        <f t="shared" si="45"/>
        <v>316123.78273007384</v>
      </c>
      <c r="CC126" s="539">
        <f t="shared" si="45"/>
        <v>316123.78273007384</v>
      </c>
      <c r="CD126" s="539">
        <f t="shared" si="45"/>
        <v>316123.78273007384</v>
      </c>
      <c r="CE126" s="539">
        <f t="shared" si="45"/>
        <v>316123.78273007384</v>
      </c>
      <c r="CF126" s="539">
        <f t="shared" si="45"/>
        <v>316123.78273007384</v>
      </c>
      <c r="CG126" s="539">
        <f t="shared" si="45"/>
        <v>316123.78273007384</v>
      </c>
      <c r="CH126" s="539">
        <f t="shared" si="45"/>
        <v>316123.78273007384</v>
      </c>
      <c r="CI126" s="539">
        <f t="shared" si="45"/>
        <v>316123.78273007384</v>
      </c>
      <c r="CJ126" s="539">
        <f t="shared" si="45"/>
        <v>316123.78273007384</v>
      </c>
      <c r="CK126" s="539">
        <f t="shared" si="45"/>
        <v>316123.78273007384</v>
      </c>
      <c r="CL126" s="539">
        <f t="shared" si="45"/>
        <v>316123.78273007384</v>
      </c>
      <c r="CM126" s="539">
        <f t="shared" si="45"/>
        <v>316123.78273007384</v>
      </c>
      <c r="CN126" s="539">
        <f t="shared" si="45"/>
        <v>316123.78273007384</v>
      </c>
      <c r="CO126" s="539">
        <f t="shared" si="45"/>
        <v>316123.78273007384</v>
      </c>
      <c r="CP126" s="539">
        <f t="shared" si="45"/>
        <v>316123.78273007384</v>
      </c>
      <c r="CQ126" s="539">
        <f t="shared" si="45"/>
        <v>316123.78273007384</v>
      </c>
      <c r="CR126" s="539">
        <f t="shared" si="45"/>
        <v>316123.78273007384</v>
      </c>
      <c r="CS126" s="539">
        <f t="shared" si="45"/>
        <v>316123.78273007384</v>
      </c>
      <c r="CT126" s="539">
        <f t="shared" si="45"/>
        <v>316123.78273007384</v>
      </c>
      <c r="CU126" s="539">
        <f t="shared" si="45"/>
        <v>316123.78273007384</v>
      </c>
      <c r="CV126" s="539">
        <f t="shared" si="45"/>
        <v>316123.78273007384</v>
      </c>
      <c r="CW126" s="539">
        <f t="shared" si="45"/>
        <v>316123.78273007384</v>
      </c>
      <c r="CX126" s="539">
        <f t="shared" si="45"/>
        <v>316123.78273007384</v>
      </c>
      <c r="CY126" s="539">
        <f t="shared" si="45"/>
        <v>316123.78273007384</v>
      </c>
      <c r="CZ126" s="539">
        <f t="shared" si="45"/>
        <v>316123.78273007384</v>
      </c>
      <c r="DA126" s="539">
        <f t="shared" si="45"/>
        <v>316123.78273007384</v>
      </c>
      <c r="DB126" s="539">
        <f t="shared" si="45"/>
        <v>316123.78273007384</v>
      </c>
      <c r="DC126" s="539">
        <f t="shared" si="45"/>
        <v>316123.78273007384</v>
      </c>
      <c r="DD126" s="539">
        <f t="shared" si="45"/>
        <v>316123.78273007384</v>
      </c>
      <c r="DE126" s="539">
        <f t="shared" si="45"/>
        <v>316123.78273007384</v>
      </c>
      <c r="DF126" s="539">
        <f t="shared" si="45"/>
        <v>316123.78273007384</v>
      </c>
      <c r="DG126" s="539">
        <f t="shared" si="45"/>
        <v>316123.78273007384</v>
      </c>
      <c r="DH126" s="539">
        <f t="shared" si="45"/>
        <v>316123.78273007384</v>
      </c>
      <c r="DI126" s="539">
        <f t="shared" si="45"/>
        <v>316123.78273007384</v>
      </c>
      <c r="DJ126" s="539">
        <f t="shared" si="45"/>
        <v>316123.78273007384</v>
      </c>
      <c r="DK126" s="539">
        <f t="shared" si="45"/>
        <v>316123.78273007384</v>
      </c>
      <c r="DL126" s="539">
        <f t="shared" si="45"/>
        <v>316123.78273007384</v>
      </c>
      <c r="DM126" s="539">
        <f t="shared" si="45"/>
        <v>316123.78273007384</v>
      </c>
      <c r="DN126" s="539">
        <f t="shared" si="45"/>
        <v>316123.78273007384</v>
      </c>
      <c r="DO126" s="539">
        <f t="shared" si="45"/>
        <v>316123.78273007384</v>
      </c>
      <c r="DP126" s="539">
        <f t="shared" si="45"/>
        <v>316123.78273007384</v>
      </c>
      <c r="DQ126" s="539">
        <f t="shared" si="45"/>
        <v>316123.78273007384</v>
      </c>
      <c r="DR126" s="539">
        <f t="shared" si="45"/>
        <v>316123.78273007384</v>
      </c>
      <c r="DS126" s="539">
        <f t="shared" si="45"/>
        <v>316123.78273007384</v>
      </c>
      <c r="DT126" s="539">
        <f t="shared" si="45"/>
        <v>316123.78273007384</v>
      </c>
      <c r="DU126" s="539">
        <f t="shared" si="45"/>
        <v>316123.78273007384</v>
      </c>
      <c r="DV126" s="539">
        <f t="shared" si="45"/>
        <v>316123.78273007384</v>
      </c>
      <c r="DW126" s="539">
        <f t="shared" si="45"/>
        <v>316123.78273007384</v>
      </c>
      <c r="DX126" s="539">
        <f t="shared" si="45"/>
        <v>316123.78273007384</v>
      </c>
      <c r="DY126" s="539">
        <f t="shared" si="45"/>
        <v>316123.78273007384</v>
      </c>
      <c r="DZ126" s="539">
        <f t="shared" si="45"/>
        <v>316123.78273007384</v>
      </c>
      <c r="EA126" s="539">
        <f t="shared" si="45"/>
        <v>316123.78273007384</v>
      </c>
      <c r="EB126" s="539">
        <f t="shared" si="45"/>
        <v>316123.78273007384</v>
      </c>
      <c r="EC126" s="539">
        <f t="shared" si="45"/>
        <v>316123.78273007384</v>
      </c>
      <c r="ED126" s="539">
        <f t="shared" si="45"/>
        <v>316123.78273007384</v>
      </c>
      <c r="EE126" s="539">
        <f t="shared" si="45"/>
        <v>316123.78273007384</v>
      </c>
      <c r="EF126" s="539">
        <f t="shared" si="45"/>
        <v>316123.78273007384</v>
      </c>
      <c r="EG126" s="539">
        <f t="shared" si="45"/>
        <v>316123.78273007384</v>
      </c>
    </row>
    <row r="128" spans="5:7" ht="12.75">
      <c r="E128" s="535" t="str">
        <f>InpC!E$83</f>
        <v>Funding - draw order</v>
      </c>
      <c r="F128" s="537">
        <f>InpC!F$83</f>
        <v>1</v>
      </c>
      <c r="G128" s="537" t="str">
        <f>InpC!G$83</f>
        <v>switch</v>
      </c>
    </row>
    <row r="129" spans="5:7" ht="12.75">
      <c r="E129" s="535" t="str">
        <f>InpC!E$138</f>
        <v>Draw order - equity first</v>
      </c>
      <c r="F129" s="537">
        <f>InpC!F$138</f>
        <v>1</v>
      </c>
      <c r="G129" s="537" t="str">
        <f>InpC!G$138</f>
        <v>switch</v>
      </c>
    </row>
    <row r="130" spans="5:7" ht="12.75">
      <c r="E130" s="538" t="str">
        <f>E$112</f>
        <v>Funding requirement - total</v>
      </c>
      <c r="F130" s="539">
        <f>F$112</f>
        <v>316123.78273007384</v>
      </c>
      <c r="G130" s="539" t="str">
        <f>G$112</f>
        <v>EUR 000s</v>
      </c>
    </row>
    <row r="131" spans="5:7" ht="12.75">
      <c r="E131" s="538" t="str">
        <f>E$122</f>
        <v>Sponsor equity - amount (shareholder loan and share capital)</v>
      </c>
      <c r="F131" s="539">
        <f>F$122</f>
        <v>69547.232200616272</v>
      </c>
      <c r="G131" s="539" t="str">
        <f>G$122</f>
        <v>EUR 000s</v>
      </c>
    </row>
    <row r="132" spans="5:137" ht="12.75">
      <c r="E132" s="535" t="str">
        <f>Solve!E$25</f>
        <v>Funding requirement - solver paste</v>
      </c>
      <c r="G132" s="537" t="str">
        <f>Solve!G$25</f>
        <v>EUR 000s</v>
      </c>
      <c r="H132" s="537">
        <f>Solve!H$25</f>
        <v>316123.78273007384</v>
      </c>
      <c r="J132" s="537">
        <f>Solve!J$25</f>
        <v>0</v>
      </c>
      <c r="K132" s="537">
        <f>Solve!K$25</f>
        <v>0</v>
      </c>
      <c r="L132" s="537">
        <f>Solve!L$25</f>
        <v>11319.299718665801</v>
      </c>
      <c r="M132" s="537">
        <f>Solve!M$25</f>
        <v>13400.690161983533</v>
      </c>
      <c r="N132" s="537">
        <f>Solve!N$25</f>
        <v>13741.483730168373</v>
      </c>
      <c r="O132" s="537">
        <f>Solve!O$25</f>
        <v>13418.385230476684</v>
      </c>
      <c r="P132" s="537">
        <f>Solve!P$25</f>
        <v>13759.768634277962</v>
      </c>
      <c r="Q132" s="537">
        <f>Solve!Q$25</f>
        <v>13431.866579483441</v>
      </c>
      <c r="R132" s="537">
        <f>Solve!R$25</f>
        <v>17147.968956865683</v>
      </c>
      <c r="S132" s="537">
        <f>Solve!S$25</f>
        <v>17980.844765662525</v>
      </c>
      <c r="T132" s="537">
        <f>Solve!T$25</f>
        <v>18373.00855600759</v>
      </c>
      <c r="U132" s="537">
        <f>Solve!U$25</f>
        <v>18794.294603184764</v>
      </c>
      <c r="V132" s="537">
        <f>Solve!V$25</f>
        <v>17560.929412437468</v>
      </c>
      <c r="W132" s="537">
        <f>Solve!W$25</f>
        <v>17427.529348846478</v>
      </c>
      <c r="X132" s="537">
        <f>Solve!X$25</f>
        <v>15736.56271752895</v>
      </c>
      <c r="Y132" s="537">
        <f>Solve!Y$25</f>
        <v>13805.731154549694</v>
      </c>
      <c r="Z132" s="537">
        <f>Solve!Z$25</f>
        <v>12901.477428191107</v>
      </c>
      <c r="AA132" s="537">
        <f>Solve!AA$25</f>
        <v>14399.761727471965</v>
      </c>
      <c r="AB132" s="537">
        <f>Solve!AB$25</f>
        <v>15143.672002923853</v>
      </c>
      <c r="AC132" s="537">
        <f>Solve!AC$25</f>
        <v>15043.412380382597</v>
      </c>
      <c r="AD132" s="537">
        <f>Solve!AD$25</f>
        <v>13719.08131146606</v>
      </c>
      <c r="AE132" s="537">
        <f>Solve!AE$25</f>
        <v>8683.3953250207269</v>
      </c>
      <c r="AF132" s="537">
        <f>Solve!AF$25</f>
        <v>6872.7289999061568</v>
      </c>
      <c r="AG132" s="537">
        <f>Solve!AG$25</f>
        <v>13461.889984572472</v>
      </c>
      <c r="AH132" s="537">
        <f>Solve!AH$25</f>
        <v>0</v>
      </c>
      <c r="AI132" s="537">
        <f>Solve!AI$25</f>
        <v>0</v>
      </c>
      <c r="AJ132" s="537">
        <f>Solve!AJ$25</f>
        <v>0</v>
      </c>
      <c r="AK132" s="537">
        <f>Solve!AK$25</f>
        <v>0</v>
      </c>
      <c r="AL132" s="537">
        <f>Solve!AL$25</f>
        <v>0</v>
      </c>
      <c r="AM132" s="537">
        <f>Solve!AM$25</f>
        <v>0</v>
      </c>
      <c r="AN132" s="537">
        <f>Solve!AN$25</f>
        <v>0</v>
      </c>
      <c r="AO132" s="537">
        <f>Solve!AO$25</f>
        <v>0</v>
      </c>
      <c r="AP132" s="537">
        <f>Solve!AP$25</f>
        <v>0</v>
      </c>
      <c r="AQ132" s="537">
        <f>Solve!AQ$25</f>
        <v>0</v>
      </c>
      <c r="AR132" s="537">
        <f>Solve!AR$25</f>
        <v>0</v>
      </c>
      <c r="AS132" s="537">
        <f>Solve!AS$25</f>
        <v>0</v>
      </c>
      <c r="AT132" s="537">
        <f>Solve!AT$25</f>
        <v>0</v>
      </c>
      <c r="AU132" s="537">
        <f>Solve!AU$25</f>
        <v>0</v>
      </c>
      <c r="AV132" s="537">
        <f>Solve!AV$25</f>
        <v>0</v>
      </c>
      <c r="AW132" s="537">
        <f>Solve!AW$25</f>
        <v>0</v>
      </c>
      <c r="AX132" s="537">
        <f>Solve!AX$25</f>
        <v>0</v>
      </c>
      <c r="AY132" s="537">
        <f>Solve!AY$25</f>
        <v>0</v>
      </c>
      <c r="AZ132" s="537">
        <f>Solve!AZ$25</f>
        <v>0</v>
      </c>
      <c r="BA132" s="537">
        <f>Solve!BA$25</f>
        <v>0</v>
      </c>
      <c r="BB132" s="537">
        <f>Solve!BB$25</f>
        <v>0</v>
      </c>
      <c r="BC132" s="537">
        <f>Solve!BC$25</f>
        <v>0</v>
      </c>
      <c r="BD132" s="537">
        <f>Solve!BD$25</f>
        <v>0</v>
      </c>
      <c r="BE132" s="537">
        <f>Solve!BE$25</f>
        <v>0</v>
      </c>
      <c r="BF132" s="537">
        <f>Solve!BF$25</f>
        <v>0</v>
      </c>
      <c r="BG132" s="537">
        <f>Solve!BG$25</f>
        <v>0</v>
      </c>
      <c r="BH132" s="537">
        <f>Solve!BH$25</f>
        <v>0</v>
      </c>
      <c r="BI132" s="537">
        <f>Solve!BI$25</f>
        <v>0</v>
      </c>
      <c r="BJ132" s="537">
        <f>Solve!BJ$25</f>
        <v>0</v>
      </c>
      <c r="BK132" s="537">
        <f>Solve!BK$25</f>
        <v>0</v>
      </c>
      <c r="BL132" s="537">
        <f>Solve!BL$25</f>
        <v>0</v>
      </c>
      <c r="BM132" s="537">
        <f>Solve!BM$25</f>
        <v>0</v>
      </c>
      <c r="BN132" s="537">
        <f>Solve!BN$25</f>
        <v>0</v>
      </c>
      <c r="BO132" s="537">
        <f>Solve!BO$25</f>
        <v>0</v>
      </c>
      <c r="BP132" s="537">
        <f>Solve!BP$25</f>
        <v>0</v>
      </c>
      <c r="BQ132" s="537">
        <f>Solve!BQ$25</f>
        <v>0</v>
      </c>
      <c r="BR132" s="537">
        <f>Solve!BR$25</f>
        <v>0</v>
      </c>
      <c r="BS132" s="537">
        <f>Solve!BS$25</f>
        <v>0</v>
      </c>
      <c r="BT132" s="537">
        <f>Solve!BT$25</f>
        <v>0</v>
      </c>
      <c r="BU132" s="537">
        <f>Solve!BU$25</f>
        <v>0</v>
      </c>
      <c r="BV132" s="537">
        <f>Solve!BV$25</f>
        <v>0</v>
      </c>
      <c r="BW132" s="537">
        <f>Solve!BW$25</f>
        <v>0</v>
      </c>
      <c r="BX132" s="537">
        <f>Solve!BX$25</f>
        <v>0</v>
      </c>
      <c r="BY132" s="537">
        <f>Solve!BY$25</f>
        <v>0</v>
      </c>
      <c r="BZ132" s="537">
        <f>Solve!BZ$25</f>
        <v>0</v>
      </c>
      <c r="CA132" s="537">
        <f>Solve!CA$25</f>
        <v>0</v>
      </c>
      <c r="CB132" s="537">
        <f>Solve!CB$25</f>
        <v>0</v>
      </c>
      <c r="CC132" s="537">
        <f>Solve!CC$25</f>
        <v>0</v>
      </c>
      <c r="CD132" s="537">
        <f>Solve!CD$25</f>
        <v>0</v>
      </c>
      <c r="CE132" s="537">
        <f>Solve!CE$25</f>
        <v>0</v>
      </c>
      <c r="CF132" s="537">
        <f>Solve!CF$25</f>
        <v>0</v>
      </c>
      <c r="CG132" s="537">
        <f>Solve!CG$25</f>
        <v>0</v>
      </c>
      <c r="CH132" s="537">
        <f>Solve!CH$25</f>
        <v>0</v>
      </c>
      <c r="CI132" s="537">
        <f>Solve!CI$25</f>
        <v>0</v>
      </c>
      <c r="CJ132" s="537">
        <f>Solve!CJ$25</f>
        <v>0</v>
      </c>
      <c r="CK132" s="537">
        <f>Solve!CK$25</f>
        <v>0</v>
      </c>
      <c r="CL132" s="537">
        <f>Solve!CL$25</f>
        <v>0</v>
      </c>
      <c r="CM132" s="537">
        <f>Solve!CM$25</f>
        <v>0</v>
      </c>
      <c r="CN132" s="537">
        <f>Solve!CN$25</f>
        <v>0</v>
      </c>
      <c r="CO132" s="537">
        <f>Solve!CO$25</f>
        <v>0</v>
      </c>
      <c r="CP132" s="537">
        <f>Solve!CP$25</f>
        <v>0</v>
      </c>
      <c r="CQ132" s="537">
        <f>Solve!CQ$25</f>
        <v>0</v>
      </c>
      <c r="CR132" s="537">
        <f>Solve!CR$25</f>
        <v>0</v>
      </c>
      <c r="CS132" s="537">
        <f>Solve!CS$25</f>
        <v>0</v>
      </c>
      <c r="CT132" s="537">
        <f>Solve!CT$25</f>
        <v>0</v>
      </c>
      <c r="CU132" s="537">
        <f>Solve!CU$25</f>
        <v>0</v>
      </c>
      <c r="CV132" s="537">
        <f>Solve!CV$25</f>
        <v>0</v>
      </c>
      <c r="CW132" s="537">
        <f>Solve!CW$25</f>
        <v>0</v>
      </c>
      <c r="CX132" s="537">
        <f>Solve!CX$25</f>
        <v>0</v>
      </c>
      <c r="CY132" s="537">
        <f>Solve!CY$25</f>
        <v>0</v>
      </c>
      <c r="CZ132" s="537">
        <f>Solve!CZ$25</f>
        <v>0</v>
      </c>
      <c r="DA132" s="537">
        <f>Solve!DA$25</f>
        <v>0</v>
      </c>
      <c r="DB132" s="537">
        <f>Solve!DB$25</f>
        <v>0</v>
      </c>
      <c r="DC132" s="537">
        <f>Solve!DC$25</f>
        <v>0</v>
      </c>
      <c r="DD132" s="537">
        <f>Solve!DD$25</f>
        <v>0</v>
      </c>
      <c r="DE132" s="537">
        <f>Solve!DE$25</f>
        <v>0</v>
      </c>
      <c r="DF132" s="537">
        <f>Solve!DF$25</f>
        <v>0</v>
      </c>
      <c r="DG132" s="537">
        <f>Solve!DG$25</f>
        <v>0</v>
      </c>
      <c r="DH132" s="537">
        <f>Solve!DH$25</f>
        <v>0</v>
      </c>
      <c r="DI132" s="537">
        <f>Solve!DI$25</f>
        <v>0</v>
      </c>
      <c r="DJ132" s="537">
        <f>Solve!DJ$25</f>
        <v>0</v>
      </c>
      <c r="DK132" s="537">
        <f>Solve!DK$25</f>
        <v>0</v>
      </c>
      <c r="DL132" s="537">
        <f>Solve!DL$25</f>
        <v>0</v>
      </c>
      <c r="DM132" s="537">
        <f>Solve!DM$25</f>
        <v>0</v>
      </c>
      <c r="DN132" s="537">
        <f>Solve!DN$25</f>
        <v>0</v>
      </c>
      <c r="DO132" s="537">
        <f>Solve!DO$25</f>
        <v>0</v>
      </c>
      <c r="DP132" s="537">
        <f>Solve!DP$25</f>
        <v>0</v>
      </c>
      <c r="DQ132" s="537">
        <f>Solve!DQ$25</f>
        <v>0</v>
      </c>
      <c r="DR132" s="537">
        <f>Solve!DR$25</f>
        <v>0</v>
      </c>
      <c r="DS132" s="537">
        <f>Solve!DS$25</f>
        <v>0</v>
      </c>
      <c r="DT132" s="537">
        <f>Solve!DT$25</f>
        <v>0</v>
      </c>
      <c r="DU132" s="537">
        <f>Solve!DU$25</f>
        <v>0</v>
      </c>
      <c r="DV132" s="537">
        <f>Solve!DV$25</f>
        <v>0</v>
      </c>
      <c r="DW132" s="537">
        <f>Solve!DW$25</f>
        <v>0</v>
      </c>
      <c r="DX132" s="537">
        <f>Solve!DX$25</f>
        <v>0</v>
      </c>
      <c r="DY132" s="537">
        <f>Solve!DY$25</f>
        <v>0</v>
      </c>
      <c r="DZ132" s="537">
        <f>Solve!DZ$25</f>
        <v>0</v>
      </c>
      <c r="EA132" s="537">
        <f>Solve!EA$25</f>
        <v>0</v>
      </c>
      <c r="EB132" s="537">
        <f>Solve!EB$25</f>
        <v>0</v>
      </c>
      <c r="EC132" s="537">
        <f>Solve!EC$25</f>
        <v>0</v>
      </c>
      <c r="ED132" s="537">
        <f>Solve!ED$25</f>
        <v>0</v>
      </c>
      <c r="EE132" s="537">
        <f>Solve!EE$25</f>
        <v>0</v>
      </c>
      <c r="EF132" s="537">
        <f>Solve!EF$25</f>
        <v>0</v>
      </c>
      <c r="EG132" s="537">
        <f>Solve!EG$25</f>
        <v>0</v>
      </c>
    </row>
    <row r="133" spans="5:137" ht="12.75">
      <c r="E133" s="538" t="str">
        <f>E$126</f>
        <v>Funding requirement - cumulative</v>
      </c>
      <c r="G133" s="539" t="str">
        <f>G$126</f>
        <v>EUR 000s</v>
      </c>
      <c r="H133" s="539">
        <f>H$126</f>
        <v>36621011.464806274</v>
      </c>
      <c r="J133" s="539">
        <f t="shared" si="46" ref="J133:EG133">J$126</f>
        <v>0</v>
      </c>
      <c r="K133" s="539">
        <f t="shared" si="46"/>
        <v>0</v>
      </c>
      <c r="L133" s="539">
        <f t="shared" si="46"/>
        <v>11319.299718665801</v>
      </c>
      <c r="M133" s="539">
        <f t="shared" si="46"/>
        <v>24719.989880649337</v>
      </c>
      <c r="N133" s="539">
        <f t="shared" si="46"/>
        <v>38461.473610817709</v>
      </c>
      <c r="O133" s="539">
        <f t="shared" si="46"/>
        <v>51879.858841294394</v>
      </c>
      <c r="P133" s="539">
        <f t="shared" si="46"/>
        <v>65639.627475572357</v>
      </c>
      <c r="Q133" s="539">
        <f t="shared" si="46"/>
        <v>79071.494055055795</v>
      </c>
      <c r="R133" s="539">
        <f t="shared" si="46"/>
        <v>96219.463011921471</v>
      </c>
      <c r="S133" s="539">
        <f t="shared" si="46"/>
        <v>114200.30777758399</v>
      </c>
      <c r="T133" s="539">
        <f t="shared" si="46"/>
        <v>132573.31633359159</v>
      </c>
      <c r="U133" s="539">
        <f t="shared" si="46"/>
        <v>151367.61093677636</v>
      </c>
      <c r="V133" s="539">
        <f t="shared" si="46"/>
        <v>168928.54034921381</v>
      </c>
      <c r="W133" s="539">
        <f t="shared" si="46"/>
        <v>186356.06969806028</v>
      </c>
      <c r="X133" s="539">
        <f t="shared" si="46"/>
        <v>202092.63241558924</v>
      </c>
      <c r="Y133" s="539">
        <f t="shared" si="46"/>
        <v>215898.36357013893</v>
      </c>
      <c r="Z133" s="539">
        <f t="shared" si="46"/>
        <v>228799.84099833004</v>
      </c>
      <c r="AA133" s="539">
        <f t="shared" si="46"/>
        <v>243199.60272580199</v>
      </c>
      <c r="AB133" s="539">
        <f t="shared" si="46"/>
        <v>258343.27472872584</v>
      </c>
      <c r="AC133" s="539">
        <f t="shared" si="46"/>
        <v>273386.68710910843</v>
      </c>
      <c r="AD133" s="539">
        <f t="shared" si="46"/>
        <v>287105.76842057449</v>
      </c>
      <c r="AE133" s="539">
        <f t="shared" si="46"/>
        <v>295789.1637455952</v>
      </c>
      <c r="AF133" s="539">
        <f t="shared" si="46"/>
        <v>302661.89274550136</v>
      </c>
      <c r="AG133" s="539">
        <f t="shared" si="46"/>
        <v>316123.78273007384</v>
      </c>
      <c r="AH133" s="539">
        <f t="shared" si="46"/>
        <v>316123.78273007384</v>
      </c>
      <c r="AI133" s="539">
        <f t="shared" si="46"/>
        <v>316123.78273007384</v>
      </c>
      <c r="AJ133" s="539">
        <f t="shared" si="46"/>
        <v>316123.78273007384</v>
      </c>
      <c r="AK133" s="539">
        <f t="shared" si="46"/>
        <v>316123.78273007384</v>
      </c>
      <c r="AL133" s="539">
        <f t="shared" si="46"/>
        <v>316123.78273007384</v>
      </c>
      <c r="AM133" s="539">
        <f t="shared" si="46"/>
        <v>316123.78273007384</v>
      </c>
      <c r="AN133" s="539">
        <f t="shared" si="46"/>
        <v>316123.78273007384</v>
      </c>
      <c r="AO133" s="539">
        <f t="shared" si="46"/>
        <v>316123.78273007384</v>
      </c>
      <c r="AP133" s="539">
        <f t="shared" si="46"/>
        <v>316123.78273007384</v>
      </c>
      <c r="AQ133" s="539">
        <f t="shared" si="46"/>
        <v>316123.78273007384</v>
      </c>
      <c r="AR133" s="539">
        <f t="shared" si="46"/>
        <v>316123.78273007384</v>
      </c>
      <c r="AS133" s="539">
        <f t="shared" si="46"/>
        <v>316123.78273007384</v>
      </c>
      <c r="AT133" s="539">
        <f t="shared" si="46"/>
        <v>316123.78273007384</v>
      </c>
      <c r="AU133" s="539">
        <f t="shared" si="46"/>
        <v>316123.78273007384</v>
      </c>
      <c r="AV133" s="539">
        <f t="shared" si="46"/>
        <v>316123.78273007384</v>
      </c>
      <c r="AW133" s="539">
        <f t="shared" si="46"/>
        <v>316123.78273007384</v>
      </c>
      <c r="AX133" s="539">
        <f t="shared" si="46"/>
        <v>316123.78273007384</v>
      </c>
      <c r="AY133" s="539">
        <f t="shared" si="46"/>
        <v>316123.78273007384</v>
      </c>
      <c r="AZ133" s="539">
        <f t="shared" si="46"/>
        <v>316123.78273007384</v>
      </c>
      <c r="BA133" s="539">
        <f t="shared" si="46"/>
        <v>316123.78273007384</v>
      </c>
      <c r="BB133" s="539">
        <f t="shared" si="46"/>
        <v>316123.78273007384</v>
      </c>
      <c r="BC133" s="539">
        <f t="shared" si="46"/>
        <v>316123.78273007384</v>
      </c>
      <c r="BD133" s="539">
        <f t="shared" si="46"/>
        <v>316123.78273007384</v>
      </c>
      <c r="BE133" s="539">
        <f t="shared" si="46"/>
        <v>316123.78273007384</v>
      </c>
      <c r="BF133" s="539">
        <f t="shared" si="46"/>
        <v>316123.78273007384</v>
      </c>
      <c r="BG133" s="539">
        <f t="shared" si="46"/>
        <v>316123.78273007384</v>
      </c>
      <c r="BH133" s="539">
        <f t="shared" si="46"/>
        <v>316123.78273007384</v>
      </c>
      <c r="BI133" s="539">
        <f t="shared" si="46"/>
        <v>316123.78273007384</v>
      </c>
      <c r="BJ133" s="539">
        <f t="shared" si="46"/>
        <v>316123.78273007384</v>
      </c>
      <c r="BK133" s="539">
        <f t="shared" si="46"/>
        <v>316123.78273007384</v>
      </c>
      <c r="BL133" s="539">
        <f t="shared" si="46"/>
        <v>316123.78273007384</v>
      </c>
      <c r="BM133" s="539">
        <f t="shared" si="46"/>
        <v>316123.78273007384</v>
      </c>
      <c r="BN133" s="539">
        <f t="shared" si="46"/>
        <v>316123.78273007384</v>
      </c>
      <c r="BO133" s="539">
        <f t="shared" si="46"/>
        <v>316123.78273007384</v>
      </c>
      <c r="BP133" s="539">
        <f t="shared" si="46"/>
        <v>316123.78273007384</v>
      </c>
      <c r="BQ133" s="539">
        <f t="shared" si="46"/>
        <v>316123.78273007384</v>
      </c>
      <c r="BR133" s="539">
        <f t="shared" si="46"/>
        <v>316123.78273007384</v>
      </c>
      <c r="BS133" s="539">
        <f t="shared" si="46"/>
        <v>316123.78273007384</v>
      </c>
      <c r="BT133" s="539">
        <f t="shared" si="46"/>
        <v>316123.78273007384</v>
      </c>
      <c r="BU133" s="539">
        <f t="shared" si="46"/>
        <v>316123.78273007384</v>
      </c>
      <c r="BV133" s="539">
        <f t="shared" si="46"/>
        <v>316123.78273007384</v>
      </c>
      <c r="BW133" s="539">
        <f t="shared" si="46"/>
        <v>316123.78273007384</v>
      </c>
      <c r="BX133" s="539">
        <f t="shared" si="46"/>
        <v>316123.78273007384</v>
      </c>
      <c r="BY133" s="539">
        <f t="shared" si="46"/>
        <v>316123.78273007384</v>
      </c>
      <c r="BZ133" s="539">
        <f t="shared" si="46"/>
        <v>316123.78273007384</v>
      </c>
      <c r="CA133" s="539">
        <f t="shared" si="46"/>
        <v>316123.78273007384</v>
      </c>
      <c r="CB133" s="539">
        <f t="shared" si="46"/>
        <v>316123.78273007384</v>
      </c>
      <c r="CC133" s="539">
        <f t="shared" si="46"/>
        <v>316123.78273007384</v>
      </c>
      <c r="CD133" s="539">
        <f t="shared" si="46"/>
        <v>316123.78273007384</v>
      </c>
      <c r="CE133" s="539">
        <f t="shared" si="46"/>
        <v>316123.78273007384</v>
      </c>
      <c r="CF133" s="539">
        <f t="shared" si="46"/>
        <v>316123.78273007384</v>
      </c>
      <c r="CG133" s="539">
        <f t="shared" si="46"/>
        <v>316123.78273007384</v>
      </c>
      <c r="CH133" s="539">
        <f t="shared" si="46"/>
        <v>316123.78273007384</v>
      </c>
      <c r="CI133" s="539">
        <f t="shared" si="46"/>
        <v>316123.78273007384</v>
      </c>
      <c r="CJ133" s="539">
        <f t="shared" si="46"/>
        <v>316123.78273007384</v>
      </c>
      <c r="CK133" s="539">
        <f t="shared" si="46"/>
        <v>316123.78273007384</v>
      </c>
      <c r="CL133" s="539">
        <f t="shared" si="46"/>
        <v>316123.78273007384</v>
      </c>
      <c r="CM133" s="539">
        <f t="shared" si="46"/>
        <v>316123.78273007384</v>
      </c>
      <c r="CN133" s="539">
        <f t="shared" si="46"/>
        <v>316123.78273007384</v>
      </c>
      <c r="CO133" s="539">
        <f t="shared" si="46"/>
        <v>316123.78273007384</v>
      </c>
      <c r="CP133" s="539">
        <f t="shared" si="46"/>
        <v>316123.78273007384</v>
      </c>
      <c r="CQ133" s="539">
        <f t="shared" si="46"/>
        <v>316123.78273007384</v>
      </c>
      <c r="CR133" s="539">
        <f t="shared" si="46"/>
        <v>316123.78273007384</v>
      </c>
      <c r="CS133" s="539">
        <f t="shared" si="46"/>
        <v>316123.78273007384</v>
      </c>
      <c r="CT133" s="539">
        <f t="shared" si="46"/>
        <v>316123.78273007384</v>
      </c>
      <c r="CU133" s="539">
        <f t="shared" si="46"/>
        <v>316123.78273007384</v>
      </c>
      <c r="CV133" s="539">
        <f t="shared" si="46"/>
        <v>316123.78273007384</v>
      </c>
      <c r="CW133" s="539">
        <f t="shared" si="46"/>
        <v>316123.78273007384</v>
      </c>
      <c r="CX133" s="539">
        <f t="shared" si="46"/>
        <v>316123.78273007384</v>
      </c>
      <c r="CY133" s="539">
        <f t="shared" si="46"/>
        <v>316123.78273007384</v>
      </c>
      <c r="CZ133" s="539">
        <f t="shared" si="46"/>
        <v>316123.78273007384</v>
      </c>
      <c r="DA133" s="539">
        <f t="shared" si="46"/>
        <v>316123.78273007384</v>
      </c>
      <c r="DB133" s="539">
        <f t="shared" si="46"/>
        <v>316123.78273007384</v>
      </c>
      <c r="DC133" s="539">
        <f t="shared" si="46"/>
        <v>316123.78273007384</v>
      </c>
      <c r="DD133" s="539">
        <f t="shared" si="46"/>
        <v>316123.78273007384</v>
      </c>
      <c r="DE133" s="539">
        <f t="shared" si="46"/>
        <v>316123.78273007384</v>
      </c>
      <c r="DF133" s="539">
        <f t="shared" si="46"/>
        <v>316123.78273007384</v>
      </c>
      <c r="DG133" s="539">
        <f t="shared" si="46"/>
        <v>316123.78273007384</v>
      </c>
      <c r="DH133" s="539">
        <f t="shared" si="46"/>
        <v>316123.78273007384</v>
      </c>
      <c r="DI133" s="539">
        <f t="shared" si="46"/>
        <v>316123.78273007384</v>
      </c>
      <c r="DJ133" s="539">
        <f t="shared" si="46"/>
        <v>316123.78273007384</v>
      </c>
      <c r="DK133" s="539">
        <f t="shared" si="46"/>
        <v>316123.78273007384</v>
      </c>
      <c r="DL133" s="539">
        <f t="shared" si="46"/>
        <v>316123.78273007384</v>
      </c>
      <c r="DM133" s="539">
        <f t="shared" si="46"/>
        <v>316123.78273007384</v>
      </c>
      <c r="DN133" s="539">
        <f t="shared" si="46"/>
        <v>316123.78273007384</v>
      </c>
      <c r="DO133" s="539">
        <f t="shared" si="46"/>
        <v>316123.78273007384</v>
      </c>
      <c r="DP133" s="539">
        <f t="shared" si="46"/>
        <v>316123.78273007384</v>
      </c>
      <c r="DQ133" s="539">
        <f t="shared" si="46"/>
        <v>316123.78273007384</v>
      </c>
      <c r="DR133" s="539">
        <f t="shared" si="46"/>
        <v>316123.78273007384</v>
      </c>
      <c r="DS133" s="539">
        <f t="shared" si="46"/>
        <v>316123.78273007384</v>
      </c>
      <c r="DT133" s="539">
        <f t="shared" si="46"/>
        <v>316123.78273007384</v>
      </c>
      <c r="DU133" s="539">
        <f t="shared" si="46"/>
        <v>316123.78273007384</v>
      </c>
      <c r="DV133" s="539">
        <f t="shared" si="46"/>
        <v>316123.78273007384</v>
      </c>
      <c r="DW133" s="539">
        <f t="shared" si="46"/>
        <v>316123.78273007384</v>
      </c>
      <c r="DX133" s="539">
        <f t="shared" si="46"/>
        <v>316123.78273007384</v>
      </c>
      <c r="DY133" s="539">
        <f t="shared" si="46"/>
        <v>316123.78273007384</v>
      </c>
      <c r="DZ133" s="539">
        <f t="shared" si="46"/>
        <v>316123.78273007384</v>
      </c>
      <c r="EA133" s="539">
        <f t="shared" si="46"/>
        <v>316123.78273007384</v>
      </c>
      <c r="EB133" s="539">
        <f t="shared" si="46"/>
        <v>316123.78273007384</v>
      </c>
      <c r="EC133" s="539">
        <f t="shared" si="46"/>
        <v>316123.78273007384</v>
      </c>
      <c r="ED133" s="539">
        <f t="shared" si="46"/>
        <v>316123.78273007384</v>
      </c>
      <c r="EE133" s="539">
        <f t="shared" si="46"/>
        <v>316123.78273007384</v>
      </c>
      <c r="EF133" s="539">
        <f t="shared" si="46"/>
        <v>316123.78273007384</v>
      </c>
      <c r="EG133" s="539">
        <f t="shared" si="46"/>
        <v>316123.78273007384</v>
      </c>
    </row>
    <row r="134" spans="5:137" ht="12.75">
      <c r="E134" s="540" t="s">
        <v>233</v>
      </c>
      <c r="G134" s="541" t="s">
        <v>30</v>
      </c>
      <c r="H134" s="541">
        <f>SUM(J134:EG134)</f>
        <v>69547.232200616272</v>
      </c>
      <c r="J134" s="541">
        <f t="shared" si="47" ref="J134:EG134">IF($F128=$F129,MIN(J133,$F131)-MIN(J133-J132,$F131),IF($F130=0,0,J132*$F131/$F130))</f>
        <v>0</v>
      </c>
      <c r="K134" s="541">
        <f t="shared" si="47"/>
        <v>0</v>
      </c>
      <c r="L134" s="541">
        <f t="shared" si="47"/>
        <v>11319.299718665801</v>
      </c>
      <c r="M134" s="541">
        <f t="shared" si="47"/>
        <v>13400.690161983533</v>
      </c>
      <c r="N134" s="541">
        <f t="shared" si="47"/>
        <v>13741.483730168373</v>
      </c>
      <c r="O134" s="541">
        <f t="shared" si="47"/>
        <v>13418.385230476684</v>
      </c>
      <c r="P134" s="541">
        <f t="shared" si="47"/>
        <v>13759.768634277963</v>
      </c>
      <c r="Q134" s="541">
        <f t="shared" si="47"/>
        <v>3907.6047250439151</v>
      </c>
      <c r="R134" s="541">
        <f t="shared" si="47"/>
        <v>0</v>
      </c>
      <c r="S134" s="541">
        <f t="shared" si="47"/>
        <v>0</v>
      </c>
      <c r="T134" s="541">
        <f t="shared" si="47"/>
        <v>0</v>
      </c>
      <c r="U134" s="541">
        <f t="shared" si="47"/>
        <v>0</v>
      </c>
      <c r="V134" s="541">
        <f t="shared" si="47"/>
        <v>0</v>
      </c>
      <c r="W134" s="541">
        <f t="shared" si="47"/>
        <v>0</v>
      </c>
      <c r="X134" s="541">
        <f t="shared" si="47"/>
        <v>0</v>
      </c>
      <c r="Y134" s="541">
        <f t="shared" si="47"/>
        <v>0</v>
      </c>
      <c r="Z134" s="541">
        <f t="shared" si="47"/>
        <v>0</v>
      </c>
      <c r="AA134" s="541">
        <f t="shared" si="47"/>
        <v>0</v>
      </c>
      <c r="AB134" s="541">
        <f t="shared" si="47"/>
        <v>0</v>
      </c>
      <c r="AC134" s="541">
        <f t="shared" si="47"/>
        <v>0</v>
      </c>
      <c r="AD134" s="541">
        <f t="shared" si="47"/>
        <v>0</v>
      </c>
      <c r="AE134" s="541">
        <f t="shared" si="47"/>
        <v>0</v>
      </c>
      <c r="AF134" s="541">
        <f t="shared" si="47"/>
        <v>0</v>
      </c>
      <c r="AG134" s="541">
        <f t="shared" si="47"/>
        <v>0</v>
      </c>
      <c r="AH134" s="541">
        <f t="shared" si="47"/>
        <v>0</v>
      </c>
      <c r="AI134" s="541">
        <f t="shared" si="47"/>
        <v>0</v>
      </c>
      <c r="AJ134" s="541">
        <f t="shared" si="47"/>
        <v>0</v>
      </c>
      <c r="AK134" s="541">
        <f t="shared" si="47"/>
        <v>0</v>
      </c>
      <c r="AL134" s="541">
        <f t="shared" si="47"/>
        <v>0</v>
      </c>
      <c r="AM134" s="541">
        <f t="shared" si="47"/>
        <v>0</v>
      </c>
      <c r="AN134" s="541">
        <f t="shared" si="47"/>
        <v>0</v>
      </c>
      <c r="AO134" s="541">
        <f t="shared" si="47"/>
        <v>0</v>
      </c>
      <c r="AP134" s="541">
        <f t="shared" si="47"/>
        <v>0</v>
      </c>
      <c r="AQ134" s="541">
        <f t="shared" si="47"/>
        <v>0</v>
      </c>
      <c r="AR134" s="541">
        <f t="shared" si="47"/>
        <v>0</v>
      </c>
      <c r="AS134" s="541">
        <f t="shared" si="47"/>
        <v>0</v>
      </c>
      <c r="AT134" s="541">
        <f t="shared" si="47"/>
        <v>0</v>
      </c>
      <c r="AU134" s="541">
        <f t="shared" si="47"/>
        <v>0</v>
      </c>
      <c r="AV134" s="541">
        <f t="shared" si="47"/>
        <v>0</v>
      </c>
      <c r="AW134" s="541">
        <f t="shared" si="47"/>
        <v>0</v>
      </c>
      <c r="AX134" s="541">
        <f t="shared" si="47"/>
        <v>0</v>
      </c>
      <c r="AY134" s="541">
        <f t="shared" si="47"/>
        <v>0</v>
      </c>
      <c r="AZ134" s="541">
        <f t="shared" si="47"/>
        <v>0</v>
      </c>
      <c r="BA134" s="541">
        <f t="shared" si="47"/>
        <v>0</v>
      </c>
      <c r="BB134" s="541">
        <f t="shared" si="47"/>
        <v>0</v>
      </c>
      <c r="BC134" s="541">
        <f t="shared" si="47"/>
        <v>0</v>
      </c>
      <c r="BD134" s="541">
        <f t="shared" si="47"/>
        <v>0</v>
      </c>
      <c r="BE134" s="541">
        <f t="shared" si="47"/>
        <v>0</v>
      </c>
      <c r="BF134" s="541">
        <f t="shared" si="47"/>
        <v>0</v>
      </c>
      <c r="BG134" s="541">
        <f t="shared" si="47"/>
        <v>0</v>
      </c>
      <c r="BH134" s="541">
        <f t="shared" si="47"/>
        <v>0</v>
      </c>
      <c r="BI134" s="541">
        <f t="shared" si="47"/>
        <v>0</v>
      </c>
      <c r="BJ134" s="541">
        <f t="shared" si="47"/>
        <v>0</v>
      </c>
      <c r="BK134" s="541">
        <f t="shared" si="47"/>
        <v>0</v>
      </c>
      <c r="BL134" s="541">
        <f t="shared" si="47"/>
        <v>0</v>
      </c>
      <c r="BM134" s="541">
        <f t="shared" si="47"/>
        <v>0</v>
      </c>
      <c r="BN134" s="541">
        <f t="shared" si="47"/>
        <v>0</v>
      </c>
      <c r="BO134" s="541">
        <f t="shared" si="47"/>
        <v>0</v>
      </c>
      <c r="BP134" s="541">
        <f t="shared" si="47"/>
        <v>0</v>
      </c>
      <c r="BQ134" s="541">
        <f t="shared" si="47"/>
        <v>0</v>
      </c>
      <c r="BR134" s="541">
        <f t="shared" si="47"/>
        <v>0</v>
      </c>
      <c r="BS134" s="541">
        <f t="shared" si="47"/>
        <v>0</v>
      </c>
      <c r="BT134" s="541">
        <f t="shared" si="47"/>
        <v>0</v>
      </c>
      <c r="BU134" s="541">
        <f t="shared" si="47"/>
        <v>0</v>
      </c>
      <c r="BV134" s="541">
        <f t="shared" si="47"/>
        <v>0</v>
      </c>
      <c r="BW134" s="541">
        <f t="shared" si="47"/>
        <v>0</v>
      </c>
      <c r="BX134" s="541">
        <f t="shared" si="47"/>
        <v>0</v>
      </c>
      <c r="BY134" s="541">
        <f t="shared" si="47"/>
        <v>0</v>
      </c>
      <c r="BZ134" s="541">
        <f t="shared" si="47"/>
        <v>0</v>
      </c>
      <c r="CA134" s="541">
        <f t="shared" si="47"/>
        <v>0</v>
      </c>
      <c r="CB134" s="541">
        <f t="shared" si="47"/>
        <v>0</v>
      </c>
      <c r="CC134" s="541">
        <f t="shared" si="47"/>
        <v>0</v>
      </c>
      <c r="CD134" s="541">
        <f t="shared" si="47"/>
        <v>0</v>
      </c>
      <c r="CE134" s="541">
        <f t="shared" si="47"/>
        <v>0</v>
      </c>
      <c r="CF134" s="541">
        <f t="shared" si="47"/>
        <v>0</v>
      </c>
      <c r="CG134" s="541">
        <f t="shared" si="47"/>
        <v>0</v>
      </c>
      <c r="CH134" s="541">
        <f t="shared" si="47"/>
        <v>0</v>
      </c>
      <c r="CI134" s="541">
        <f t="shared" si="47"/>
        <v>0</v>
      </c>
      <c r="CJ134" s="541">
        <f t="shared" si="47"/>
        <v>0</v>
      </c>
      <c r="CK134" s="541">
        <f t="shared" si="47"/>
        <v>0</v>
      </c>
      <c r="CL134" s="541">
        <f t="shared" si="47"/>
        <v>0</v>
      </c>
      <c r="CM134" s="541">
        <f t="shared" si="47"/>
        <v>0</v>
      </c>
      <c r="CN134" s="541">
        <f t="shared" si="47"/>
        <v>0</v>
      </c>
      <c r="CO134" s="541">
        <f t="shared" si="47"/>
        <v>0</v>
      </c>
      <c r="CP134" s="541">
        <f t="shared" si="47"/>
        <v>0</v>
      </c>
      <c r="CQ134" s="541">
        <f t="shared" si="47"/>
        <v>0</v>
      </c>
      <c r="CR134" s="541">
        <f t="shared" si="47"/>
        <v>0</v>
      </c>
      <c r="CS134" s="541">
        <f t="shared" si="47"/>
        <v>0</v>
      </c>
      <c r="CT134" s="541">
        <f t="shared" si="47"/>
        <v>0</v>
      </c>
      <c r="CU134" s="541">
        <f t="shared" si="47"/>
        <v>0</v>
      </c>
      <c r="CV134" s="541">
        <f t="shared" si="47"/>
        <v>0</v>
      </c>
      <c r="CW134" s="541">
        <f t="shared" si="47"/>
        <v>0</v>
      </c>
      <c r="CX134" s="541">
        <f t="shared" si="47"/>
        <v>0</v>
      </c>
      <c r="CY134" s="541">
        <f t="shared" si="47"/>
        <v>0</v>
      </c>
      <c r="CZ134" s="541">
        <f t="shared" si="47"/>
        <v>0</v>
      </c>
      <c r="DA134" s="541">
        <f t="shared" si="47"/>
        <v>0</v>
      </c>
      <c r="DB134" s="541">
        <f t="shared" si="47"/>
        <v>0</v>
      </c>
      <c r="DC134" s="541">
        <f t="shared" si="47"/>
        <v>0</v>
      </c>
      <c r="DD134" s="541">
        <f t="shared" si="47"/>
        <v>0</v>
      </c>
      <c r="DE134" s="541">
        <f t="shared" si="47"/>
        <v>0</v>
      </c>
      <c r="DF134" s="541">
        <f t="shared" si="47"/>
        <v>0</v>
      </c>
      <c r="DG134" s="541">
        <f t="shared" si="47"/>
        <v>0</v>
      </c>
      <c r="DH134" s="541">
        <f t="shared" si="47"/>
        <v>0</v>
      </c>
      <c r="DI134" s="541">
        <f t="shared" si="47"/>
        <v>0</v>
      </c>
      <c r="DJ134" s="541">
        <f t="shared" si="47"/>
        <v>0</v>
      </c>
      <c r="DK134" s="541">
        <f t="shared" si="47"/>
        <v>0</v>
      </c>
      <c r="DL134" s="541">
        <f t="shared" si="47"/>
        <v>0</v>
      </c>
      <c r="DM134" s="541">
        <f t="shared" si="47"/>
        <v>0</v>
      </c>
      <c r="DN134" s="541">
        <f t="shared" si="47"/>
        <v>0</v>
      </c>
      <c r="DO134" s="541">
        <f t="shared" si="47"/>
        <v>0</v>
      </c>
      <c r="DP134" s="541">
        <f t="shared" si="47"/>
        <v>0</v>
      </c>
      <c r="DQ134" s="541">
        <f t="shared" si="47"/>
        <v>0</v>
      </c>
      <c r="DR134" s="541">
        <f t="shared" si="47"/>
        <v>0</v>
      </c>
      <c r="DS134" s="541">
        <f t="shared" si="47"/>
        <v>0</v>
      </c>
      <c r="DT134" s="541">
        <f t="shared" si="47"/>
        <v>0</v>
      </c>
      <c r="DU134" s="541">
        <f t="shared" si="47"/>
        <v>0</v>
      </c>
      <c r="DV134" s="541">
        <f t="shared" si="47"/>
        <v>0</v>
      </c>
      <c r="DW134" s="541">
        <f t="shared" si="47"/>
        <v>0</v>
      </c>
      <c r="DX134" s="541">
        <f t="shared" si="47"/>
        <v>0</v>
      </c>
      <c r="DY134" s="541">
        <f t="shared" si="47"/>
        <v>0</v>
      </c>
      <c r="DZ134" s="541">
        <f t="shared" si="47"/>
        <v>0</v>
      </c>
      <c r="EA134" s="541">
        <f t="shared" si="47"/>
        <v>0</v>
      </c>
      <c r="EB134" s="541">
        <f t="shared" si="47"/>
        <v>0</v>
      </c>
      <c r="EC134" s="541">
        <f t="shared" si="47"/>
        <v>0</v>
      </c>
      <c r="ED134" s="541">
        <f t="shared" si="47"/>
        <v>0</v>
      </c>
      <c r="EE134" s="541">
        <f t="shared" si="47"/>
        <v>0</v>
      </c>
      <c r="EF134" s="541">
        <f t="shared" si="47"/>
        <v>0</v>
      </c>
      <c r="EG134" s="541">
        <f t="shared" si="47"/>
        <v>0</v>
      </c>
    </row>
    <row r="136" spans="5:7" ht="12.75">
      <c r="E136" s="535" t="str">
        <f>Debt!E$155</f>
        <v>Junior facility - amount</v>
      </c>
      <c r="F136" s="537">
        <f>Debt!F$155</f>
        <v>25289.902618405908</v>
      </c>
      <c r="G136" s="537" t="str">
        <f>Debt!G$155</f>
        <v>EUR 000s</v>
      </c>
    </row>
    <row r="137" spans="5:7" ht="12.75">
      <c r="E137" s="535" t="str">
        <f>InpC!E$83</f>
        <v>Funding - draw order</v>
      </c>
      <c r="F137" s="537">
        <f>InpC!F$83</f>
        <v>1</v>
      </c>
      <c r="G137" s="537" t="str">
        <f>InpC!G$83</f>
        <v>switch</v>
      </c>
    </row>
    <row r="138" spans="5:7" ht="12.75">
      <c r="E138" s="535" t="str">
        <f>InpC!E$138</f>
        <v>Draw order - equity first</v>
      </c>
      <c r="F138" s="537">
        <f>InpC!F$138</f>
        <v>1</v>
      </c>
      <c r="G138" s="537" t="str">
        <f>InpC!G$138</f>
        <v>switch</v>
      </c>
    </row>
    <row r="139" spans="5:7" ht="12.75">
      <c r="E139" s="538" t="str">
        <f>E$112</f>
        <v>Funding requirement - total</v>
      </c>
      <c r="F139" s="539">
        <f>F$112</f>
        <v>316123.78273007384</v>
      </c>
      <c r="G139" s="539" t="str">
        <f>G$112</f>
        <v>EUR 000s</v>
      </c>
    </row>
    <row r="140" spans="5:7" ht="12.75">
      <c r="E140" s="538" t="str">
        <f>E$122</f>
        <v>Sponsor equity - amount (shareholder loan and share capital)</v>
      </c>
      <c r="F140" s="539">
        <f>F$122</f>
        <v>69547.232200616272</v>
      </c>
      <c r="G140" s="539" t="str">
        <f>G$122</f>
        <v>EUR 000s</v>
      </c>
    </row>
    <row r="141" spans="5:137" ht="12.75">
      <c r="E141" s="535" t="str">
        <f>Solve!E$25</f>
        <v>Funding requirement - solver paste</v>
      </c>
      <c r="G141" s="537" t="str">
        <f>Solve!G$25</f>
        <v>EUR 000s</v>
      </c>
      <c r="H141" s="537">
        <f>Solve!H$25</f>
        <v>316123.78273007384</v>
      </c>
      <c r="J141" s="537">
        <f>Solve!J$25</f>
        <v>0</v>
      </c>
      <c r="K141" s="537">
        <f>Solve!K$25</f>
        <v>0</v>
      </c>
      <c r="L141" s="537">
        <f>Solve!L$25</f>
        <v>11319.299718665801</v>
      </c>
      <c r="M141" s="537">
        <f>Solve!M$25</f>
        <v>13400.690161983533</v>
      </c>
      <c r="N141" s="537">
        <f>Solve!N$25</f>
        <v>13741.483730168373</v>
      </c>
      <c r="O141" s="537">
        <f>Solve!O$25</f>
        <v>13418.385230476684</v>
      </c>
      <c r="P141" s="537">
        <f>Solve!P$25</f>
        <v>13759.768634277962</v>
      </c>
      <c r="Q141" s="537">
        <f>Solve!Q$25</f>
        <v>13431.866579483441</v>
      </c>
      <c r="R141" s="537">
        <f>Solve!R$25</f>
        <v>17147.968956865683</v>
      </c>
      <c r="S141" s="537">
        <f>Solve!S$25</f>
        <v>17980.844765662525</v>
      </c>
      <c r="T141" s="537">
        <f>Solve!T$25</f>
        <v>18373.00855600759</v>
      </c>
      <c r="U141" s="537">
        <f>Solve!U$25</f>
        <v>18794.294603184764</v>
      </c>
      <c r="V141" s="537">
        <f>Solve!V$25</f>
        <v>17560.929412437468</v>
      </c>
      <c r="W141" s="537">
        <f>Solve!W$25</f>
        <v>17427.529348846478</v>
      </c>
      <c r="X141" s="537">
        <f>Solve!X$25</f>
        <v>15736.56271752895</v>
      </c>
      <c r="Y141" s="537">
        <f>Solve!Y$25</f>
        <v>13805.731154549694</v>
      </c>
      <c r="Z141" s="537">
        <f>Solve!Z$25</f>
        <v>12901.477428191107</v>
      </c>
      <c r="AA141" s="537">
        <f>Solve!AA$25</f>
        <v>14399.761727471965</v>
      </c>
      <c r="AB141" s="537">
        <f>Solve!AB$25</f>
        <v>15143.672002923853</v>
      </c>
      <c r="AC141" s="537">
        <f>Solve!AC$25</f>
        <v>15043.412380382597</v>
      </c>
      <c r="AD141" s="537">
        <f>Solve!AD$25</f>
        <v>13719.08131146606</v>
      </c>
      <c r="AE141" s="537">
        <f>Solve!AE$25</f>
        <v>8683.3953250207269</v>
      </c>
      <c r="AF141" s="537">
        <f>Solve!AF$25</f>
        <v>6872.7289999061568</v>
      </c>
      <c r="AG141" s="537">
        <f>Solve!AG$25</f>
        <v>13461.889984572472</v>
      </c>
      <c r="AH141" s="537">
        <f>Solve!AH$25</f>
        <v>0</v>
      </c>
      <c r="AI141" s="537">
        <f>Solve!AI$25</f>
        <v>0</v>
      </c>
      <c r="AJ141" s="537">
        <f>Solve!AJ$25</f>
        <v>0</v>
      </c>
      <c r="AK141" s="537">
        <f>Solve!AK$25</f>
        <v>0</v>
      </c>
      <c r="AL141" s="537">
        <f>Solve!AL$25</f>
        <v>0</v>
      </c>
      <c r="AM141" s="537">
        <f>Solve!AM$25</f>
        <v>0</v>
      </c>
      <c r="AN141" s="537">
        <f>Solve!AN$25</f>
        <v>0</v>
      </c>
      <c r="AO141" s="537">
        <f>Solve!AO$25</f>
        <v>0</v>
      </c>
      <c r="AP141" s="537">
        <f>Solve!AP$25</f>
        <v>0</v>
      </c>
      <c r="AQ141" s="537">
        <f>Solve!AQ$25</f>
        <v>0</v>
      </c>
      <c r="AR141" s="537">
        <f>Solve!AR$25</f>
        <v>0</v>
      </c>
      <c r="AS141" s="537">
        <f>Solve!AS$25</f>
        <v>0</v>
      </c>
      <c r="AT141" s="537">
        <f>Solve!AT$25</f>
        <v>0</v>
      </c>
      <c r="AU141" s="537">
        <f>Solve!AU$25</f>
        <v>0</v>
      </c>
      <c r="AV141" s="537">
        <f>Solve!AV$25</f>
        <v>0</v>
      </c>
      <c r="AW141" s="537">
        <f>Solve!AW$25</f>
        <v>0</v>
      </c>
      <c r="AX141" s="537">
        <f>Solve!AX$25</f>
        <v>0</v>
      </c>
      <c r="AY141" s="537">
        <f>Solve!AY$25</f>
        <v>0</v>
      </c>
      <c r="AZ141" s="537">
        <f>Solve!AZ$25</f>
        <v>0</v>
      </c>
      <c r="BA141" s="537">
        <f>Solve!BA$25</f>
        <v>0</v>
      </c>
      <c r="BB141" s="537">
        <f>Solve!BB$25</f>
        <v>0</v>
      </c>
      <c r="BC141" s="537">
        <f>Solve!BC$25</f>
        <v>0</v>
      </c>
      <c r="BD141" s="537">
        <f>Solve!BD$25</f>
        <v>0</v>
      </c>
      <c r="BE141" s="537">
        <f>Solve!BE$25</f>
        <v>0</v>
      </c>
      <c r="BF141" s="537">
        <f>Solve!BF$25</f>
        <v>0</v>
      </c>
      <c r="BG141" s="537">
        <f>Solve!BG$25</f>
        <v>0</v>
      </c>
      <c r="BH141" s="537">
        <f>Solve!BH$25</f>
        <v>0</v>
      </c>
      <c r="BI141" s="537">
        <f>Solve!BI$25</f>
        <v>0</v>
      </c>
      <c r="BJ141" s="537">
        <f>Solve!BJ$25</f>
        <v>0</v>
      </c>
      <c r="BK141" s="537">
        <f>Solve!BK$25</f>
        <v>0</v>
      </c>
      <c r="BL141" s="537">
        <f>Solve!BL$25</f>
        <v>0</v>
      </c>
      <c r="BM141" s="537">
        <f>Solve!BM$25</f>
        <v>0</v>
      </c>
      <c r="BN141" s="537">
        <f>Solve!BN$25</f>
        <v>0</v>
      </c>
      <c r="BO141" s="537">
        <f>Solve!BO$25</f>
        <v>0</v>
      </c>
      <c r="BP141" s="537">
        <f>Solve!BP$25</f>
        <v>0</v>
      </c>
      <c r="BQ141" s="537">
        <f>Solve!BQ$25</f>
        <v>0</v>
      </c>
      <c r="BR141" s="537">
        <f>Solve!BR$25</f>
        <v>0</v>
      </c>
      <c r="BS141" s="537">
        <f>Solve!BS$25</f>
        <v>0</v>
      </c>
      <c r="BT141" s="537">
        <f>Solve!BT$25</f>
        <v>0</v>
      </c>
      <c r="BU141" s="537">
        <f>Solve!BU$25</f>
        <v>0</v>
      </c>
      <c r="BV141" s="537">
        <f>Solve!BV$25</f>
        <v>0</v>
      </c>
      <c r="BW141" s="537">
        <f>Solve!BW$25</f>
        <v>0</v>
      </c>
      <c r="BX141" s="537">
        <f>Solve!BX$25</f>
        <v>0</v>
      </c>
      <c r="BY141" s="537">
        <f>Solve!BY$25</f>
        <v>0</v>
      </c>
      <c r="BZ141" s="537">
        <f>Solve!BZ$25</f>
        <v>0</v>
      </c>
      <c r="CA141" s="537">
        <f>Solve!CA$25</f>
        <v>0</v>
      </c>
      <c r="CB141" s="537">
        <f>Solve!CB$25</f>
        <v>0</v>
      </c>
      <c r="CC141" s="537">
        <f>Solve!CC$25</f>
        <v>0</v>
      </c>
      <c r="CD141" s="537">
        <f>Solve!CD$25</f>
        <v>0</v>
      </c>
      <c r="CE141" s="537">
        <f>Solve!CE$25</f>
        <v>0</v>
      </c>
      <c r="CF141" s="537">
        <f>Solve!CF$25</f>
        <v>0</v>
      </c>
      <c r="CG141" s="537">
        <f>Solve!CG$25</f>
        <v>0</v>
      </c>
      <c r="CH141" s="537">
        <f>Solve!CH$25</f>
        <v>0</v>
      </c>
      <c r="CI141" s="537">
        <f>Solve!CI$25</f>
        <v>0</v>
      </c>
      <c r="CJ141" s="537">
        <f>Solve!CJ$25</f>
        <v>0</v>
      </c>
      <c r="CK141" s="537">
        <f>Solve!CK$25</f>
        <v>0</v>
      </c>
      <c r="CL141" s="537">
        <f>Solve!CL$25</f>
        <v>0</v>
      </c>
      <c r="CM141" s="537">
        <f>Solve!CM$25</f>
        <v>0</v>
      </c>
      <c r="CN141" s="537">
        <f>Solve!CN$25</f>
        <v>0</v>
      </c>
      <c r="CO141" s="537">
        <f>Solve!CO$25</f>
        <v>0</v>
      </c>
      <c r="CP141" s="537">
        <f>Solve!CP$25</f>
        <v>0</v>
      </c>
      <c r="CQ141" s="537">
        <f>Solve!CQ$25</f>
        <v>0</v>
      </c>
      <c r="CR141" s="537">
        <f>Solve!CR$25</f>
        <v>0</v>
      </c>
      <c r="CS141" s="537">
        <f>Solve!CS$25</f>
        <v>0</v>
      </c>
      <c r="CT141" s="537">
        <f>Solve!CT$25</f>
        <v>0</v>
      </c>
      <c r="CU141" s="537">
        <f>Solve!CU$25</f>
        <v>0</v>
      </c>
      <c r="CV141" s="537">
        <f>Solve!CV$25</f>
        <v>0</v>
      </c>
      <c r="CW141" s="537">
        <f>Solve!CW$25</f>
        <v>0</v>
      </c>
      <c r="CX141" s="537">
        <f>Solve!CX$25</f>
        <v>0</v>
      </c>
      <c r="CY141" s="537">
        <f>Solve!CY$25</f>
        <v>0</v>
      </c>
      <c r="CZ141" s="537">
        <f>Solve!CZ$25</f>
        <v>0</v>
      </c>
      <c r="DA141" s="537">
        <f>Solve!DA$25</f>
        <v>0</v>
      </c>
      <c r="DB141" s="537">
        <f>Solve!DB$25</f>
        <v>0</v>
      </c>
      <c r="DC141" s="537">
        <f>Solve!DC$25</f>
        <v>0</v>
      </c>
      <c r="DD141" s="537">
        <f>Solve!DD$25</f>
        <v>0</v>
      </c>
      <c r="DE141" s="537">
        <f>Solve!DE$25</f>
        <v>0</v>
      </c>
      <c r="DF141" s="537">
        <f>Solve!DF$25</f>
        <v>0</v>
      </c>
      <c r="DG141" s="537">
        <f>Solve!DG$25</f>
        <v>0</v>
      </c>
      <c r="DH141" s="537">
        <f>Solve!DH$25</f>
        <v>0</v>
      </c>
      <c r="DI141" s="537">
        <f>Solve!DI$25</f>
        <v>0</v>
      </c>
      <c r="DJ141" s="537">
        <f>Solve!DJ$25</f>
        <v>0</v>
      </c>
      <c r="DK141" s="537">
        <f>Solve!DK$25</f>
        <v>0</v>
      </c>
      <c r="DL141" s="537">
        <f>Solve!DL$25</f>
        <v>0</v>
      </c>
      <c r="DM141" s="537">
        <f>Solve!DM$25</f>
        <v>0</v>
      </c>
      <c r="DN141" s="537">
        <f>Solve!DN$25</f>
        <v>0</v>
      </c>
      <c r="DO141" s="537">
        <f>Solve!DO$25</f>
        <v>0</v>
      </c>
      <c r="DP141" s="537">
        <f>Solve!DP$25</f>
        <v>0</v>
      </c>
      <c r="DQ141" s="537">
        <f>Solve!DQ$25</f>
        <v>0</v>
      </c>
      <c r="DR141" s="537">
        <f>Solve!DR$25</f>
        <v>0</v>
      </c>
      <c r="DS141" s="537">
        <f>Solve!DS$25</f>
        <v>0</v>
      </c>
      <c r="DT141" s="537">
        <f>Solve!DT$25</f>
        <v>0</v>
      </c>
      <c r="DU141" s="537">
        <f>Solve!DU$25</f>
        <v>0</v>
      </c>
      <c r="DV141" s="537">
        <f>Solve!DV$25</f>
        <v>0</v>
      </c>
      <c r="DW141" s="537">
        <f>Solve!DW$25</f>
        <v>0</v>
      </c>
      <c r="DX141" s="537">
        <f>Solve!DX$25</f>
        <v>0</v>
      </c>
      <c r="DY141" s="537">
        <f>Solve!DY$25</f>
        <v>0</v>
      </c>
      <c r="DZ141" s="537">
        <f>Solve!DZ$25</f>
        <v>0</v>
      </c>
      <c r="EA141" s="537">
        <f>Solve!EA$25</f>
        <v>0</v>
      </c>
      <c r="EB141" s="537">
        <f>Solve!EB$25</f>
        <v>0</v>
      </c>
      <c r="EC141" s="537">
        <f>Solve!EC$25</f>
        <v>0</v>
      </c>
      <c r="ED141" s="537">
        <f>Solve!ED$25</f>
        <v>0</v>
      </c>
      <c r="EE141" s="537">
        <f>Solve!EE$25</f>
        <v>0</v>
      </c>
      <c r="EF141" s="537">
        <f>Solve!EF$25</f>
        <v>0</v>
      </c>
      <c r="EG141" s="537">
        <f>Solve!EG$25</f>
        <v>0</v>
      </c>
    </row>
    <row r="142" spans="5:137" ht="12.75">
      <c r="E142" s="538" t="str">
        <f>E$126</f>
        <v>Funding requirement - cumulative</v>
      </c>
      <c r="G142" s="539" t="str">
        <f>G$126</f>
        <v>EUR 000s</v>
      </c>
      <c r="H142" s="539">
        <f>H$126</f>
        <v>36621011.464806274</v>
      </c>
      <c r="J142" s="539">
        <f t="shared" si="48" ref="J142:EG142">J$126</f>
        <v>0</v>
      </c>
      <c r="K142" s="539">
        <f t="shared" si="48"/>
        <v>0</v>
      </c>
      <c r="L142" s="539">
        <f t="shared" si="48"/>
        <v>11319.299718665801</v>
      </c>
      <c r="M142" s="539">
        <f t="shared" si="48"/>
        <v>24719.989880649337</v>
      </c>
      <c r="N142" s="539">
        <f t="shared" si="48"/>
        <v>38461.473610817709</v>
      </c>
      <c r="O142" s="539">
        <f t="shared" si="48"/>
        <v>51879.858841294394</v>
      </c>
      <c r="P142" s="539">
        <f t="shared" si="48"/>
        <v>65639.627475572357</v>
      </c>
      <c r="Q142" s="539">
        <f t="shared" si="48"/>
        <v>79071.494055055795</v>
      </c>
      <c r="R142" s="539">
        <f t="shared" si="48"/>
        <v>96219.463011921471</v>
      </c>
      <c r="S142" s="539">
        <f t="shared" si="48"/>
        <v>114200.30777758399</v>
      </c>
      <c r="T142" s="539">
        <f t="shared" si="48"/>
        <v>132573.31633359159</v>
      </c>
      <c r="U142" s="539">
        <f t="shared" si="48"/>
        <v>151367.61093677636</v>
      </c>
      <c r="V142" s="539">
        <f t="shared" si="48"/>
        <v>168928.54034921381</v>
      </c>
      <c r="W142" s="539">
        <f t="shared" si="48"/>
        <v>186356.06969806028</v>
      </c>
      <c r="X142" s="539">
        <f t="shared" si="48"/>
        <v>202092.63241558924</v>
      </c>
      <c r="Y142" s="539">
        <f t="shared" si="48"/>
        <v>215898.36357013893</v>
      </c>
      <c r="Z142" s="539">
        <f t="shared" si="48"/>
        <v>228799.84099833004</v>
      </c>
      <c r="AA142" s="539">
        <f t="shared" si="48"/>
        <v>243199.60272580199</v>
      </c>
      <c r="AB142" s="539">
        <f t="shared" si="48"/>
        <v>258343.27472872584</v>
      </c>
      <c r="AC142" s="539">
        <f t="shared" si="48"/>
        <v>273386.68710910843</v>
      </c>
      <c r="AD142" s="539">
        <f t="shared" si="48"/>
        <v>287105.76842057449</v>
      </c>
      <c r="AE142" s="539">
        <f t="shared" si="48"/>
        <v>295789.1637455952</v>
      </c>
      <c r="AF142" s="539">
        <f t="shared" si="48"/>
        <v>302661.89274550136</v>
      </c>
      <c r="AG142" s="539">
        <f t="shared" si="48"/>
        <v>316123.78273007384</v>
      </c>
      <c r="AH142" s="539">
        <f t="shared" si="48"/>
        <v>316123.78273007384</v>
      </c>
      <c r="AI142" s="539">
        <f t="shared" si="48"/>
        <v>316123.78273007384</v>
      </c>
      <c r="AJ142" s="539">
        <f t="shared" si="48"/>
        <v>316123.78273007384</v>
      </c>
      <c r="AK142" s="539">
        <f t="shared" si="48"/>
        <v>316123.78273007384</v>
      </c>
      <c r="AL142" s="539">
        <f t="shared" si="48"/>
        <v>316123.78273007384</v>
      </c>
      <c r="AM142" s="539">
        <f t="shared" si="48"/>
        <v>316123.78273007384</v>
      </c>
      <c r="AN142" s="539">
        <f t="shared" si="48"/>
        <v>316123.78273007384</v>
      </c>
      <c r="AO142" s="539">
        <f t="shared" si="48"/>
        <v>316123.78273007384</v>
      </c>
      <c r="AP142" s="539">
        <f t="shared" si="48"/>
        <v>316123.78273007384</v>
      </c>
      <c r="AQ142" s="539">
        <f t="shared" si="48"/>
        <v>316123.78273007384</v>
      </c>
      <c r="AR142" s="539">
        <f t="shared" si="48"/>
        <v>316123.78273007384</v>
      </c>
      <c r="AS142" s="539">
        <f t="shared" si="48"/>
        <v>316123.78273007384</v>
      </c>
      <c r="AT142" s="539">
        <f t="shared" si="48"/>
        <v>316123.78273007384</v>
      </c>
      <c r="AU142" s="539">
        <f t="shared" si="48"/>
        <v>316123.78273007384</v>
      </c>
      <c r="AV142" s="539">
        <f t="shared" si="48"/>
        <v>316123.78273007384</v>
      </c>
      <c r="AW142" s="539">
        <f t="shared" si="48"/>
        <v>316123.78273007384</v>
      </c>
      <c r="AX142" s="539">
        <f t="shared" si="48"/>
        <v>316123.78273007384</v>
      </c>
      <c r="AY142" s="539">
        <f t="shared" si="48"/>
        <v>316123.78273007384</v>
      </c>
      <c r="AZ142" s="539">
        <f t="shared" si="48"/>
        <v>316123.78273007384</v>
      </c>
      <c r="BA142" s="539">
        <f t="shared" si="48"/>
        <v>316123.78273007384</v>
      </c>
      <c r="BB142" s="539">
        <f t="shared" si="48"/>
        <v>316123.78273007384</v>
      </c>
      <c r="BC142" s="539">
        <f t="shared" si="48"/>
        <v>316123.78273007384</v>
      </c>
      <c r="BD142" s="539">
        <f t="shared" si="48"/>
        <v>316123.78273007384</v>
      </c>
      <c r="BE142" s="539">
        <f t="shared" si="48"/>
        <v>316123.78273007384</v>
      </c>
      <c r="BF142" s="539">
        <f t="shared" si="48"/>
        <v>316123.78273007384</v>
      </c>
      <c r="BG142" s="539">
        <f t="shared" si="48"/>
        <v>316123.78273007384</v>
      </c>
      <c r="BH142" s="539">
        <f t="shared" si="48"/>
        <v>316123.78273007384</v>
      </c>
      <c r="BI142" s="539">
        <f t="shared" si="48"/>
        <v>316123.78273007384</v>
      </c>
      <c r="BJ142" s="539">
        <f t="shared" si="48"/>
        <v>316123.78273007384</v>
      </c>
      <c r="BK142" s="539">
        <f t="shared" si="48"/>
        <v>316123.78273007384</v>
      </c>
      <c r="BL142" s="539">
        <f t="shared" si="48"/>
        <v>316123.78273007384</v>
      </c>
      <c r="BM142" s="539">
        <f t="shared" si="48"/>
        <v>316123.78273007384</v>
      </c>
      <c r="BN142" s="539">
        <f t="shared" si="48"/>
        <v>316123.78273007384</v>
      </c>
      <c r="BO142" s="539">
        <f t="shared" si="48"/>
        <v>316123.78273007384</v>
      </c>
      <c r="BP142" s="539">
        <f t="shared" si="48"/>
        <v>316123.78273007384</v>
      </c>
      <c r="BQ142" s="539">
        <f t="shared" si="48"/>
        <v>316123.78273007384</v>
      </c>
      <c r="BR142" s="539">
        <f t="shared" si="48"/>
        <v>316123.78273007384</v>
      </c>
      <c r="BS142" s="539">
        <f t="shared" si="48"/>
        <v>316123.78273007384</v>
      </c>
      <c r="BT142" s="539">
        <f t="shared" si="48"/>
        <v>316123.78273007384</v>
      </c>
      <c r="BU142" s="539">
        <f t="shared" si="48"/>
        <v>316123.78273007384</v>
      </c>
      <c r="BV142" s="539">
        <f t="shared" si="48"/>
        <v>316123.78273007384</v>
      </c>
      <c r="BW142" s="539">
        <f t="shared" si="48"/>
        <v>316123.78273007384</v>
      </c>
      <c r="BX142" s="539">
        <f t="shared" si="48"/>
        <v>316123.78273007384</v>
      </c>
      <c r="BY142" s="539">
        <f t="shared" si="48"/>
        <v>316123.78273007384</v>
      </c>
      <c r="BZ142" s="539">
        <f t="shared" si="48"/>
        <v>316123.78273007384</v>
      </c>
      <c r="CA142" s="539">
        <f t="shared" si="48"/>
        <v>316123.78273007384</v>
      </c>
      <c r="CB142" s="539">
        <f t="shared" si="48"/>
        <v>316123.78273007384</v>
      </c>
      <c r="CC142" s="539">
        <f t="shared" si="48"/>
        <v>316123.78273007384</v>
      </c>
      <c r="CD142" s="539">
        <f t="shared" si="48"/>
        <v>316123.78273007384</v>
      </c>
      <c r="CE142" s="539">
        <f t="shared" si="48"/>
        <v>316123.78273007384</v>
      </c>
      <c r="CF142" s="539">
        <f t="shared" si="48"/>
        <v>316123.78273007384</v>
      </c>
      <c r="CG142" s="539">
        <f t="shared" si="48"/>
        <v>316123.78273007384</v>
      </c>
      <c r="CH142" s="539">
        <f t="shared" si="48"/>
        <v>316123.78273007384</v>
      </c>
      <c r="CI142" s="539">
        <f t="shared" si="48"/>
        <v>316123.78273007384</v>
      </c>
      <c r="CJ142" s="539">
        <f t="shared" si="48"/>
        <v>316123.78273007384</v>
      </c>
      <c r="CK142" s="539">
        <f t="shared" si="48"/>
        <v>316123.78273007384</v>
      </c>
      <c r="CL142" s="539">
        <f t="shared" si="48"/>
        <v>316123.78273007384</v>
      </c>
      <c r="CM142" s="539">
        <f t="shared" si="48"/>
        <v>316123.78273007384</v>
      </c>
      <c r="CN142" s="539">
        <f t="shared" si="48"/>
        <v>316123.78273007384</v>
      </c>
      <c r="CO142" s="539">
        <f t="shared" si="48"/>
        <v>316123.78273007384</v>
      </c>
      <c r="CP142" s="539">
        <f t="shared" si="48"/>
        <v>316123.78273007384</v>
      </c>
      <c r="CQ142" s="539">
        <f t="shared" si="48"/>
        <v>316123.78273007384</v>
      </c>
      <c r="CR142" s="539">
        <f t="shared" si="48"/>
        <v>316123.78273007384</v>
      </c>
      <c r="CS142" s="539">
        <f t="shared" si="48"/>
        <v>316123.78273007384</v>
      </c>
      <c r="CT142" s="539">
        <f t="shared" si="48"/>
        <v>316123.78273007384</v>
      </c>
      <c r="CU142" s="539">
        <f t="shared" si="48"/>
        <v>316123.78273007384</v>
      </c>
      <c r="CV142" s="539">
        <f t="shared" si="48"/>
        <v>316123.78273007384</v>
      </c>
      <c r="CW142" s="539">
        <f t="shared" si="48"/>
        <v>316123.78273007384</v>
      </c>
      <c r="CX142" s="539">
        <f t="shared" si="48"/>
        <v>316123.78273007384</v>
      </c>
      <c r="CY142" s="539">
        <f t="shared" si="48"/>
        <v>316123.78273007384</v>
      </c>
      <c r="CZ142" s="539">
        <f t="shared" si="48"/>
        <v>316123.78273007384</v>
      </c>
      <c r="DA142" s="539">
        <f t="shared" si="48"/>
        <v>316123.78273007384</v>
      </c>
      <c r="DB142" s="539">
        <f t="shared" si="48"/>
        <v>316123.78273007384</v>
      </c>
      <c r="DC142" s="539">
        <f t="shared" si="48"/>
        <v>316123.78273007384</v>
      </c>
      <c r="DD142" s="539">
        <f t="shared" si="48"/>
        <v>316123.78273007384</v>
      </c>
      <c r="DE142" s="539">
        <f t="shared" si="48"/>
        <v>316123.78273007384</v>
      </c>
      <c r="DF142" s="539">
        <f t="shared" si="48"/>
        <v>316123.78273007384</v>
      </c>
      <c r="DG142" s="539">
        <f t="shared" si="48"/>
        <v>316123.78273007384</v>
      </c>
      <c r="DH142" s="539">
        <f t="shared" si="48"/>
        <v>316123.78273007384</v>
      </c>
      <c r="DI142" s="539">
        <f t="shared" si="48"/>
        <v>316123.78273007384</v>
      </c>
      <c r="DJ142" s="539">
        <f t="shared" si="48"/>
        <v>316123.78273007384</v>
      </c>
      <c r="DK142" s="539">
        <f t="shared" si="48"/>
        <v>316123.78273007384</v>
      </c>
      <c r="DL142" s="539">
        <f t="shared" si="48"/>
        <v>316123.78273007384</v>
      </c>
      <c r="DM142" s="539">
        <f t="shared" si="48"/>
        <v>316123.78273007384</v>
      </c>
      <c r="DN142" s="539">
        <f t="shared" si="48"/>
        <v>316123.78273007384</v>
      </c>
      <c r="DO142" s="539">
        <f t="shared" si="48"/>
        <v>316123.78273007384</v>
      </c>
      <c r="DP142" s="539">
        <f t="shared" si="48"/>
        <v>316123.78273007384</v>
      </c>
      <c r="DQ142" s="539">
        <f t="shared" si="48"/>
        <v>316123.78273007384</v>
      </c>
      <c r="DR142" s="539">
        <f t="shared" si="48"/>
        <v>316123.78273007384</v>
      </c>
      <c r="DS142" s="539">
        <f t="shared" si="48"/>
        <v>316123.78273007384</v>
      </c>
      <c r="DT142" s="539">
        <f t="shared" si="48"/>
        <v>316123.78273007384</v>
      </c>
      <c r="DU142" s="539">
        <f t="shared" si="48"/>
        <v>316123.78273007384</v>
      </c>
      <c r="DV142" s="539">
        <f t="shared" si="48"/>
        <v>316123.78273007384</v>
      </c>
      <c r="DW142" s="539">
        <f t="shared" si="48"/>
        <v>316123.78273007384</v>
      </c>
      <c r="DX142" s="539">
        <f t="shared" si="48"/>
        <v>316123.78273007384</v>
      </c>
      <c r="DY142" s="539">
        <f t="shared" si="48"/>
        <v>316123.78273007384</v>
      </c>
      <c r="DZ142" s="539">
        <f t="shared" si="48"/>
        <v>316123.78273007384</v>
      </c>
      <c r="EA142" s="539">
        <f t="shared" si="48"/>
        <v>316123.78273007384</v>
      </c>
      <c r="EB142" s="539">
        <f t="shared" si="48"/>
        <v>316123.78273007384</v>
      </c>
      <c r="EC142" s="539">
        <f t="shared" si="48"/>
        <v>316123.78273007384</v>
      </c>
      <c r="ED142" s="539">
        <f t="shared" si="48"/>
        <v>316123.78273007384</v>
      </c>
      <c r="EE142" s="539">
        <f t="shared" si="48"/>
        <v>316123.78273007384</v>
      </c>
      <c r="EF142" s="539">
        <f t="shared" si="48"/>
        <v>316123.78273007384</v>
      </c>
      <c r="EG142" s="539">
        <f t="shared" si="48"/>
        <v>316123.78273007384</v>
      </c>
    </row>
    <row r="143" spans="5:137" ht="12.75">
      <c r="E143" s="538" t="str">
        <f>E$134</f>
        <v>Sponsor equity - drawdown</v>
      </c>
      <c r="G143" s="539" t="str">
        <f>G$134</f>
        <v>EUR 000s</v>
      </c>
      <c r="H143" s="539">
        <f>H$134</f>
        <v>69547.232200616272</v>
      </c>
      <c r="J143" s="539">
        <f t="shared" si="49" ref="J143:EG143">J$134</f>
        <v>0</v>
      </c>
      <c r="K143" s="539">
        <f t="shared" si="49"/>
        <v>0</v>
      </c>
      <c r="L143" s="539">
        <f t="shared" si="49"/>
        <v>11319.299718665801</v>
      </c>
      <c r="M143" s="539">
        <f t="shared" si="49"/>
        <v>13400.690161983533</v>
      </c>
      <c r="N143" s="539">
        <f t="shared" si="49"/>
        <v>13741.483730168373</v>
      </c>
      <c r="O143" s="539">
        <f t="shared" si="49"/>
        <v>13418.385230476684</v>
      </c>
      <c r="P143" s="539">
        <f t="shared" si="49"/>
        <v>13759.768634277963</v>
      </c>
      <c r="Q143" s="539">
        <f t="shared" si="49"/>
        <v>3907.6047250439151</v>
      </c>
      <c r="R143" s="539">
        <f t="shared" si="49"/>
        <v>0</v>
      </c>
      <c r="S143" s="539">
        <f t="shared" si="49"/>
        <v>0</v>
      </c>
      <c r="T143" s="539">
        <f t="shared" si="49"/>
        <v>0</v>
      </c>
      <c r="U143" s="539">
        <f t="shared" si="49"/>
        <v>0</v>
      </c>
      <c r="V143" s="539">
        <f t="shared" si="49"/>
        <v>0</v>
      </c>
      <c r="W143" s="539">
        <f t="shared" si="49"/>
        <v>0</v>
      </c>
      <c r="X143" s="539">
        <f t="shared" si="49"/>
        <v>0</v>
      </c>
      <c r="Y143" s="539">
        <f t="shared" si="49"/>
        <v>0</v>
      </c>
      <c r="Z143" s="539">
        <f t="shared" si="49"/>
        <v>0</v>
      </c>
      <c r="AA143" s="539">
        <f t="shared" si="49"/>
        <v>0</v>
      </c>
      <c r="AB143" s="539">
        <f t="shared" si="49"/>
        <v>0</v>
      </c>
      <c r="AC143" s="539">
        <f t="shared" si="49"/>
        <v>0</v>
      </c>
      <c r="AD143" s="539">
        <f t="shared" si="49"/>
        <v>0</v>
      </c>
      <c r="AE143" s="539">
        <f t="shared" si="49"/>
        <v>0</v>
      </c>
      <c r="AF143" s="539">
        <f t="shared" si="49"/>
        <v>0</v>
      </c>
      <c r="AG143" s="539">
        <f t="shared" si="49"/>
        <v>0</v>
      </c>
      <c r="AH143" s="539">
        <f t="shared" si="49"/>
        <v>0</v>
      </c>
      <c r="AI143" s="539">
        <f t="shared" si="49"/>
        <v>0</v>
      </c>
      <c r="AJ143" s="539">
        <f t="shared" si="49"/>
        <v>0</v>
      </c>
      <c r="AK143" s="539">
        <f t="shared" si="49"/>
        <v>0</v>
      </c>
      <c r="AL143" s="539">
        <f t="shared" si="49"/>
        <v>0</v>
      </c>
      <c r="AM143" s="539">
        <f t="shared" si="49"/>
        <v>0</v>
      </c>
      <c r="AN143" s="539">
        <f t="shared" si="49"/>
        <v>0</v>
      </c>
      <c r="AO143" s="539">
        <f t="shared" si="49"/>
        <v>0</v>
      </c>
      <c r="AP143" s="539">
        <f t="shared" si="49"/>
        <v>0</v>
      </c>
      <c r="AQ143" s="539">
        <f t="shared" si="49"/>
        <v>0</v>
      </c>
      <c r="AR143" s="539">
        <f t="shared" si="49"/>
        <v>0</v>
      </c>
      <c r="AS143" s="539">
        <f t="shared" si="49"/>
        <v>0</v>
      </c>
      <c r="AT143" s="539">
        <f t="shared" si="49"/>
        <v>0</v>
      </c>
      <c r="AU143" s="539">
        <f t="shared" si="49"/>
        <v>0</v>
      </c>
      <c r="AV143" s="539">
        <f t="shared" si="49"/>
        <v>0</v>
      </c>
      <c r="AW143" s="539">
        <f t="shared" si="49"/>
        <v>0</v>
      </c>
      <c r="AX143" s="539">
        <f t="shared" si="49"/>
        <v>0</v>
      </c>
      <c r="AY143" s="539">
        <f t="shared" si="49"/>
        <v>0</v>
      </c>
      <c r="AZ143" s="539">
        <f t="shared" si="49"/>
        <v>0</v>
      </c>
      <c r="BA143" s="539">
        <f t="shared" si="49"/>
        <v>0</v>
      </c>
      <c r="BB143" s="539">
        <f t="shared" si="49"/>
        <v>0</v>
      </c>
      <c r="BC143" s="539">
        <f t="shared" si="49"/>
        <v>0</v>
      </c>
      <c r="BD143" s="539">
        <f t="shared" si="49"/>
        <v>0</v>
      </c>
      <c r="BE143" s="539">
        <f t="shared" si="49"/>
        <v>0</v>
      </c>
      <c r="BF143" s="539">
        <f t="shared" si="49"/>
        <v>0</v>
      </c>
      <c r="BG143" s="539">
        <f t="shared" si="49"/>
        <v>0</v>
      </c>
      <c r="BH143" s="539">
        <f t="shared" si="49"/>
        <v>0</v>
      </c>
      <c r="BI143" s="539">
        <f t="shared" si="49"/>
        <v>0</v>
      </c>
      <c r="BJ143" s="539">
        <f t="shared" si="49"/>
        <v>0</v>
      </c>
      <c r="BK143" s="539">
        <f t="shared" si="49"/>
        <v>0</v>
      </c>
      <c r="BL143" s="539">
        <f t="shared" si="49"/>
        <v>0</v>
      </c>
      <c r="BM143" s="539">
        <f t="shared" si="49"/>
        <v>0</v>
      </c>
      <c r="BN143" s="539">
        <f t="shared" si="49"/>
        <v>0</v>
      </c>
      <c r="BO143" s="539">
        <f t="shared" si="49"/>
        <v>0</v>
      </c>
      <c r="BP143" s="539">
        <f t="shared" si="49"/>
        <v>0</v>
      </c>
      <c r="BQ143" s="539">
        <f t="shared" si="49"/>
        <v>0</v>
      </c>
      <c r="BR143" s="539">
        <f t="shared" si="49"/>
        <v>0</v>
      </c>
      <c r="BS143" s="539">
        <f t="shared" si="49"/>
        <v>0</v>
      </c>
      <c r="BT143" s="539">
        <f t="shared" si="49"/>
        <v>0</v>
      </c>
      <c r="BU143" s="539">
        <f t="shared" si="49"/>
        <v>0</v>
      </c>
      <c r="BV143" s="539">
        <f t="shared" si="49"/>
        <v>0</v>
      </c>
      <c r="BW143" s="539">
        <f t="shared" si="49"/>
        <v>0</v>
      </c>
      <c r="BX143" s="539">
        <f t="shared" si="49"/>
        <v>0</v>
      </c>
      <c r="BY143" s="539">
        <f t="shared" si="49"/>
        <v>0</v>
      </c>
      <c r="BZ143" s="539">
        <f t="shared" si="49"/>
        <v>0</v>
      </c>
      <c r="CA143" s="539">
        <f t="shared" si="49"/>
        <v>0</v>
      </c>
      <c r="CB143" s="539">
        <f t="shared" si="49"/>
        <v>0</v>
      </c>
      <c r="CC143" s="539">
        <f t="shared" si="49"/>
        <v>0</v>
      </c>
      <c r="CD143" s="539">
        <f t="shared" si="49"/>
        <v>0</v>
      </c>
      <c r="CE143" s="539">
        <f t="shared" si="49"/>
        <v>0</v>
      </c>
      <c r="CF143" s="539">
        <f t="shared" si="49"/>
        <v>0</v>
      </c>
      <c r="CG143" s="539">
        <f t="shared" si="49"/>
        <v>0</v>
      </c>
      <c r="CH143" s="539">
        <f t="shared" si="49"/>
        <v>0</v>
      </c>
      <c r="CI143" s="539">
        <f t="shared" si="49"/>
        <v>0</v>
      </c>
      <c r="CJ143" s="539">
        <f t="shared" si="49"/>
        <v>0</v>
      </c>
      <c r="CK143" s="539">
        <f t="shared" si="49"/>
        <v>0</v>
      </c>
      <c r="CL143" s="539">
        <f t="shared" si="49"/>
        <v>0</v>
      </c>
      <c r="CM143" s="539">
        <f t="shared" si="49"/>
        <v>0</v>
      </c>
      <c r="CN143" s="539">
        <f t="shared" si="49"/>
        <v>0</v>
      </c>
      <c r="CO143" s="539">
        <f t="shared" si="49"/>
        <v>0</v>
      </c>
      <c r="CP143" s="539">
        <f t="shared" si="49"/>
        <v>0</v>
      </c>
      <c r="CQ143" s="539">
        <f t="shared" si="49"/>
        <v>0</v>
      </c>
      <c r="CR143" s="539">
        <f t="shared" si="49"/>
        <v>0</v>
      </c>
      <c r="CS143" s="539">
        <f t="shared" si="49"/>
        <v>0</v>
      </c>
      <c r="CT143" s="539">
        <f t="shared" si="49"/>
        <v>0</v>
      </c>
      <c r="CU143" s="539">
        <f t="shared" si="49"/>
        <v>0</v>
      </c>
      <c r="CV143" s="539">
        <f t="shared" si="49"/>
        <v>0</v>
      </c>
      <c r="CW143" s="539">
        <f t="shared" si="49"/>
        <v>0</v>
      </c>
      <c r="CX143" s="539">
        <f t="shared" si="49"/>
        <v>0</v>
      </c>
      <c r="CY143" s="539">
        <f t="shared" si="49"/>
        <v>0</v>
      </c>
      <c r="CZ143" s="539">
        <f t="shared" si="49"/>
        <v>0</v>
      </c>
      <c r="DA143" s="539">
        <f t="shared" si="49"/>
        <v>0</v>
      </c>
      <c r="DB143" s="539">
        <f t="shared" si="49"/>
        <v>0</v>
      </c>
      <c r="DC143" s="539">
        <f t="shared" si="49"/>
        <v>0</v>
      </c>
      <c r="DD143" s="539">
        <f t="shared" si="49"/>
        <v>0</v>
      </c>
      <c r="DE143" s="539">
        <f t="shared" si="49"/>
        <v>0</v>
      </c>
      <c r="DF143" s="539">
        <f t="shared" si="49"/>
        <v>0</v>
      </c>
      <c r="DG143" s="539">
        <f t="shared" si="49"/>
        <v>0</v>
      </c>
      <c r="DH143" s="539">
        <f t="shared" si="49"/>
        <v>0</v>
      </c>
      <c r="DI143" s="539">
        <f t="shared" si="49"/>
        <v>0</v>
      </c>
      <c r="DJ143" s="539">
        <f t="shared" si="49"/>
        <v>0</v>
      </c>
      <c r="DK143" s="539">
        <f t="shared" si="49"/>
        <v>0</v>
      </c>
      <c r="DL143" s="539">
        <f t="shared" si="49"/>
        <v>0</v>
      </c>
      <c r="DM143" s="539">
        <f t="shared" si="49"/>
        <v>0</v>
      </c>
      <c r="DN143" s="539">
        <f t="shared" si="49"/>
        <v>0</v>
      </c>
      <c r="DO143" s="539">
        <f t="shared" si="49"/>
        <v>0</v>
      </c>
      <c r="DP143" s="539">
        <f t="shared" si="49"/>
        <v>0</v>
      </c>
      <c r="DQ143" s="539">
        <f t="shared" si="49"/>
        <v>0</v>
      </c>
      <c r="DR143" s="539">
        <f t="shared" si="49"/>
        <v>0</v>
      </c>
      <c r="DS143" s="539">
        <f t="shared" si="49"/>
        <v>0</v>
      </c>
      <c r="DT143" s="539">
        <f t="shared" si="49"/>
        <v>0</v>
      </c>
      <c r="DU143" s="539">
        <f t="shared" si="49"/>
        <v>0</v>
      </c>
      <c r="DV143" s="539">
        <f t="shared" si="49"/>
        <v>0</v>
      </c>
      <c r="DW143" s="539">
        <f t="shared" si="49"/>
        <v>0</v>
      </c>
      <c r="DX143" s="539">
        <f t="shared" si="49"/>
        <v>0</v>
      </c>
      <c r="DY143" s="539">
        <f t="shared" si="49"/>
        <v>0</v>
      </c>
      <c r="DZ143" s="539">
        <f t="shared" si="49"/>
        <v>0</v>
      </c>
      <c r="EA143" s="539">
        <f t="shared" si="49"/>
        <v>0</v>
      </c>
      <c r="EB143" s="539">
        <f t="shared" si="49"/>
        <v>0</v>
      </c>
      <c r="EC143" s="539">
        <f t="shared" si="49"/>
        <v>0</v>
      </c>
      <c r="ED143" s="539">
        <f t="shared" si="49"/>
        <v>0</v>
      </c>
      <c r="EE143" s="539">
        <f t="shared" si="49"/>
        <v>0</v>
      </c>
      <c r="EF143" s="539">
        <f t="shared" si="49"/>
        <v>0</v>
      </c>
      <c r="EG143" s="539">
        <f t="shared" si="49"/>
        <v>0</v>
      </c>
    </row>
    <row r="144" spans="5:137" ht="12.75">
      <c r="E144" s="540" t="s">
        <v>234</v>
      </c>
      <c r="G144" s="541" t="s">
        <v>30</v>
      </c>
      <c r="H144" s="541">
        <f>SUM(J144:EG144)</f>
        <v>25289.902618405918</v>
      </c>
      <c r="J144" s="541">
        <f t="shared" si="50" ref="J144:EG144">IF($F137=$F138,MIN(J142,$F140+$F136)-MIN(J142-J141,$F140+$F136)-J143,IF($F139=0,0,J141*$F136/$F139))</f>
        <v>0</v>
      </c>
      <c r="K144" s="541">
        <f t="shared" si="50"/>
        <v>0</v>
      </c>
      <c r="L144" s="541">
        <f t="shared" si="50"/>
        <v>0</v>
      </c>
      <c r="M144" s="541">
        <f t="shared" si="50"/>
        <v>0</v>
      </c>
      <c r="N144" s="541">
        <f t="shared" si="50"/>
        <v>0</v>
      </c>
      <c r="O144" s="541">
        <f t="shared" si="50"/>
        <v>0</v>
      </c>
      <c r="P144" s="541">
        <f t="shared" si="50"/>
        <v>0</v>
      </c>
      <c r="Q144" s="541">
        <f t="shared" si="50"/>
        <v>9524.2618544395227</v>
      </c>
      <c r="R144" s="541">
        <f t="shared" si="50"/>
        <v>15765.640763966396</v>
      </c>
      <c r="S144" s="541">
        <f t="shared" si="50"/>
        <v>0</v>
      </c>
      <c r="T144" s="541">
        <f t="shared" si="50"/>
        <v>0</v>
      </c>
      <c r="U144" s="541">
        <f t="shared" si="50"/>
        <v>0</v>
      </c>
      <c r="V144" s="541">
        <f t="shared" si="50"/>
        <v>0</v>
      </c>
      <c r="W144" s="541">
        <f t="shared" si="50"/>
        <v>0</v>
      </c>
      <c r="X144" s="541">
        <f t="shared" si="50"/>
        <v>0</v>
      </c>
      <c r="Y144" s="541">
        <f t="shared" si="50"/>
        <v>0</v>
      </c>
      <c r="Z144" s="541">
        <f t="shared" si="50"/>
        <v>0</v>
      </c>
      <c r="AA144" s="541">
        <f t="shared" si="50"/>
        <v>0</v>
      </c>
      <c r="AB144" s="541">
        <f t="shared" si="50"/>
        <v>0</v>
      </c>
      <c r="AC144" s="541">
        <f t="shared" si="50"/>
        <v>0</v>
      </c>
      <c r="AD144" s="541">
        <f t="shared" si="50"/>
        <v>0</v>
      </c>
      <c r="AE144" s="541">
        <f t="shared" si="50"/>
        <v>0</v>
      </c>
      <c r="AF144" s="541">
        <f t="shared" si="50"/>
        <v>0</v>
      </c>
      <c r="AG144" s="541">
        <f t="shared" si="50"/>
        <v>0</v>
      </c>
      <c r="AH144" s="541">
        <f t="shared" si="50"/>
        <v>0</v>
      </c>
      <c r="AI144" s="541">
        <f t="shared" si="50"/>
        <v>0</v>
      </c>
      <c r="AJ144" s="541">
        <f t="shared" si="50"/>
        <v>0</v>
      </c>
      <c r="AK144" s="541">
        <f t="shared" si="50"/>
        <v>0</v>
      </c>
      <c r="AL144" s="541">
        <f t="shared" si="50"/>
        <v>0</v>
      </c>
      <c r="AM144" s="541">
        <f t="shared" si="50"/>
        <v>0</v>
      </c>
      <c r="AN144" s="541">
        <f t="shared" si="50"/>
        <v>0</v>
      </c>
      <c r="AO144" s="541">
        <f t="shared" si="50"/>
        <v>0</v>
      </c>
      <c r="AP144" s="541">
        <f t="shared" si="50"/>
        <v>0</v>
      </c>
      <c r="AQ144" s="541">
        <f t="shared" si="50"/>
        <v>0</v>
      </c>
      <c r="AR144" s="541">
        <f t="shared" si="50"/>
        <v>0</v>
      </c>
      <c r="AS144" s="541">
        <f t="shared" si="50"/>
        <v>0</v>
      </c>
      <c r="AT144" s="541">
        <f t="shared" si="50"/>
        <v>0</v>
      </c>
      <c r="AU144" s="541">
        <f t="shared" si="50"/>
        <v>0</v>
      </c>
      <c r="AV144" s="541">
        <f t="shared" si="50"/>
        <v>0</v>
      </c>
      <c r="AW144" s="541">
        <f t="shared" si="50"/>
        <v>0</v>
      </c>
      <c r="AX144" s="541">
        <f t="shared" si="50"/>
        <v>0</v>
      </c>
      <c r="AY144" s="541">
        <f t="shared" si="50"/>
        <v>0</v>
      </c>
      <c r="AZ144" s="541">
        <f t="shared" si="50"/>
        <v>0</v>
      </c>
      <c r="BA144" s="541">
        <f t="shared" si="50"/>
        <v>0</v>
      </c>
      <c r="BB144" s="541">
        <f t="shared" si="50"/>
        <v>0</v>
      </c>
      <c r="BC144" s="541">
        <f t="shared" si="50"/>
        <v>0</v>
      </c>
      <c r="BD144" s="541">
        <f t="shared" si="50"/>
        <v>0</v>
      </c>
      <c r="BE144" s="541">
        <f t="shared" si="50"/>
        <v>0</v>
      </c>
      <c r="BF144" s="541">
        <f t="shared" si="50"/>
        <v>0</v>
      </c>
      <c r="BG144" s="541">
        <f t="shared" si="50"/>
        <v>0</v>
      </c>
      <c r="BH144" s="541">
        <f t="shared" si="50"/>
        <v>0</v>
      </c>
      <c r="BI144" s="541">
        <f t="shared" si="50"/>
        <v>0</v>
      </c>
      <c r="BJ144" s="541">
        <f t="shared" si="50"/>
        <v>0</v>
      </c>
      <c r="BK144" s="541">
        <f t="shared" si="50"/>
        <v>0</v>
      </c>
      <c r="BL144" s="541">
        <f t="shared" si="50"/>
        <v>0</v>
      </c>
      <c r="BM144" s="541">
        <f t="shared" si="50"/>
        <v>0</v>
      </c>
      <c r="BN144" s="541">
        <f t="shared" si="50"/>
        <v>0</v>
      </c>
      <c r="BO144" s="541">
        <f t="shared" si="50"/>
        <v>0</v>
      </c>
      <c r="BP144" s="541">
        <f t="shared" si="50"/>
        <v>0</v>
      </c>
      <c r="BQ144" s="541">
        <f t="shared" si="50"/>
        <v>0</v>
      </c>
      <c r="BR144" s="541">
        <f t="shared" si="50"/>
        <v>0</v>
      </c>
      <c r="BS144" s="541">
        <f t="shared" si="50"/>
        <v>0</v>
      </c>
      <c r="BT144" s="541">
        <f t="shared" si="50"/>
        <v>0</v>
      </c>
      <c r="BU144" s="541">
        <f t="shared" si="50"/>
        <v>0</v>
      </c>
      <c r="BV144" s="541">
        <f t="shared" si="50"/>
        <v>0</v>
      </c>
      <c r="BW144" s="541">
        <f t="shared" si="50"/>
        <v>0</v>
      </c>
      <c r="BX144" s="541">
        <f t="shared" si="50"/>
        <v>0</v>
      </c>
      <c r="BY144" s="541">
        <f t="shared" si="50"/>
        <v>0</v>
      </c>
      <c r="BZ144" s="541">
        <f t="shared" si="50"/>
        <v>0</v>
      </c>
      <c r="CA144" s="541">
        <f t="shared" si="50"/>
        <v>0</v>
      </c>
      <c r="CB144" s="541">
        <f t="shared" si="50"/>
        <v>0</v>
      </c>
      <c r="CC144" s="541">
        <f t="shared" si="50"/>
        <v>0</v>
      </c>
      <c r="CD144" s="541">
        <f t="shared" si="50"/>
        <v>0</v>
      </c>
      <c r="CE144" s="541">
        <f t="shared" si="50"/>
        <v>0</v>
      </c>
      <c r="CF144" s="541">
        <f t="shared" si="50"/>
        <v>0</v>
      </c>
      <c r="CG144" s="541">
        <f t="shared" si="50"/>
        <v>0</v>
      </c>
      <c r="CH144" s="541">
        <f t="shared" si="50"/>
        <v>0</v>
      </c>
      <c r="CI144" s="541">
        <f t="shared" si="50"/>
        <v>0</v>
      </c>
      <c r="CJ144" s="541">
        <f t="shared" si="50"/>
        <v>0</v>
      </c>
      <c r="CK144" s="541">
        <f t="shared" si="50"/>
        <v>0</v>
      </c>
      <c r="CL144" s="541">
        <f t="shared" si="50"/>
        <v>0</v>
      </c>
      <c r="CM144" s="541">
        <f t="shared" si="50"/>
        <v>0</v>
      </c>
      <c r="CN144" s="541">
        <f t="shared" si="50"/>
        <v>0</v>
      </c>
      <c r="CO144" s="541">
        <f t="shared" si="50"/>
        <v>0</v>
      </c>
      <c r="CP144" s="541">
        <f t="shared" si="50"/>
        <v>0</v>
      </c>
      <c r="CQ144" s="541">
        <f t="shared" si="50"/>
        <v>0</v>
      </c>
      <c r="CR144" s="541">
        <f t="shared" si="50"/>
        <v>0</v>
      </c>
      <c r="CS144" s="541">
        <f t="shared" si="50"/>
        <v>0</v>
      </c>
      <c r="CT144" s="541">
        <f t="shared" si="50"/>
        <v>0</v>
      </c>
      <c r="CU144" s="541">
        <f t="shared" si="50"/>
        <v>0</v>
      </c>
      <c r="CV144" s="541">
        <f t="shared" si="50"/>
        <v>0</v>
      </c>
      <c r="CW144" s="541">
        <f t="shared" si="50"/>
        <v>0</v>
      </c>
      <c r="CX144" s="541">
        <f t="shared" si="50"/>
        <v>0</v>
      </c>
      <c r="CY144" s="541">
        <f t="shared" si="50"/>
        <v>0</v>
      </c>
      <c r="CZ144" s="541">
        <f t="shared" si="50"/>
        <v>0</v>
      </c>
      <c r="DA144" s="541">
        <f t="shared" si="50"/>
        <v>0</v>
      </c>
      <c r="DB144" s="541">
        <f t="shared" si="50"/>
        <v>0</v>
      </c>
      <c r="DC144" s="541">
        <f t="shared" si="50"/>
        <v>0</v>
      </c>
      <c r="DD144" s="541">
        <f t="shared" si="50"/>
        <v>0</v>
      </c>
      <c r="DE144" s="541">
        <f t="shared" si="50"/>
        <v>0</v>
      </c>
      <c r="DF144" s="541">
        <f t="shared" si="50"/>
        <v>0</v>
      </c>
      <c r="DG144" s="541">
        <f t="shared" si="50"/>
        <v>0</v>
      </c>
      <c r="DH144" s="541">
        <f t="shared" si="50"/>
        <v>0</v>
      </c>
      <c r="DI144" s="541">
        <f t="shared" si="50"/>
        <v>0</v>
      </c>
      <c r="DJ144" s="541">
        <f t="shared" si="50"/>
        <v>0</v>
      </c>
      <c r="DK144" s="541">
        <f t="shared" si="50"/>
        <v>0</v>
      </c>
      <c r="DL144" s="541">
        <f t="shared" si="50"/>
        <v>0</v>
      </c>
      <c r="DM144" s="541">
        <f t="shared" si="50"/>
        <v>0</v>
      </c>
      <c r="DN144" s="541">
        <f t="shared" si="50"/>
        <v>0</v>
      </c>
      <c r="DO144" s="541">
        <f t="shared" si="50"/>
        <v>0</v>
      </c>
      <c r="DP144" s="541">
        <f t="shared" si="50"/>
        <v>0</v>
      </c>
      <c r="DQ144" s="541">
        <f t="shared" si="50"/>
        <v>0</v>
      </c>
      <c r="DR144" s="541">
        <f t="shared" si="50"/>
        <v>0</v>
      </c>
      <c r="DS144" s="541">
        <f t="shared" si="50"/>
        <v>0</v>
      </c>
      <c r="DT144" s="541">
        <f t="shared" si="50"/>
        <v>0</v>
      </c>
      <c r="DU144" s="541">
        <f t="shared" si="50"/>
        <v>0</v>
      </c>
      <c r="DV144" s="541">
        <f t="shared" si="50"/>
        <v>0</v>
      </c>
      <c r="DW144" s="541">
        <f t="shared" si="50"/>
        <v>0</v>
      </c>
      <c r="DX144" s="541">
        <f t="shared" si="50"/>
        <v>0</v>
      </c>
      <c r="DY144" s="541">
        <f t="shared" si="50"/>
        <v>0</v>
      </c>
      <c r="DZ144" s="541">
        <f t="shared" si="50"/>
        <v>0</v>
      </c>
      <c r="EA144" s="541">
        <f t="shared" si="50"/>
        <v>0</v>
      </c>
      <c r="EB144" s="541">
        <f t="shared" si="50"/>
        <v>0</v>
      </c>
      <c r="EC144" s="541">
        <f t="shared" si="50"/>
        <v>0</v>
      </c>
      <c r="ED144" s="541">
        <f t="shared" si="50"/>
        <v>0</v>
      </c>
      <c r="EE144" s="541">
        <f t="shared" si="50"/>
        <v>0</v>
      </c>
      <c r="EF144" s="541">
        <f t="shared" si="50"/>
        <v>0</v>
      </c>
      <c r="EG144" s="541">
        <f t="shared" si="50"/>
        <v>0</v>
      </c>
    </row>
    <row r="146" spans="5:137" ht="12.75">
      <c r="E146" s="535" t="str">
        <f>Solve!E$25</f>
        <v>Funding requirement - solver paste</v>
      </c>
      <c r="G146" s="537" t="str">
        <f>Solve!G$25</f>
        <v>EUR 000s</v>
      </c>
      <c r="H146" s="537">
        <f>Solve!H$25</f>
        <v>316123.78273007384</v>
      </c>
      <c r="J146" s="537">
        <f>Solve!J$25</f>
        <v>0</v>
      </c>
      <c r="K146" s="537">
        <f>Solve!K$25</f>
        <v>0</v>
      </c>
      <c r="L146" s="537">
        <f>Solve!L$25</f>
        <v>11319.299718665801</v>
      </c>
      <c r="M146" s="537">
        <f>Solve!M$25</f>
        <v>13400.690161983533</v>
      </c>
      <c r="N146" s="537">
        <f>Solve!N$25</f>
        <v>13741.483730168373</v>
      </c>
      <c r="O146" s="537">
        <f>Solve!O$25</f>
        <v>13418.385230476684</v>
      </c>
      <c r="P146" s="537">
        <f>Solve!P$25</f>
        <v>13759.768634277962</v>
      </c>
      <c r="Q146" s="537">
        <f>Solve!Q$25</f>
        <v>13431.866579483441</v>
      </c>
      <c r="R146" s="537">
        <f>Solve!R$25</f>
        <v>17147.968956865683</v>
      </c>
      <c r="S146" s="537">
        <f>Solve!S$25</f>
        <v>17980.844765662525</v>
      </c>
      <c r="T146" s="537">
        <f>Solve!T$25</f>
        <v>18373.00855600759</v>
      </c>
      <c r="U146" s="537">
        <f>Solve!U$25</f>
        <v>18794.294603184764</v>
      </c>
      <c r="V146" s="537">
        <f>Solve!V$25</f>
        <v>17560.929412437468</v>
      </c>
      <c r="W146" s="537">
        <f>Solve!W$25</f>
        <v>17427.529348846478</v>
      </c>
      <c r="X146" s="537">
        <f>Solve!X$25</f>
        <v>15736.56271752895</v>
      </c>
      <c r="Y146" s="537">
        <f>Solve!Y$25</f>
        <v>13805.731154549694</v>
      </c>
      <c r="Z146" s="537">
        <f>Solve!Z$25</f>
        <v>12901.477428191107</v>
      </c>
      <c r="AA146" s="537">
        <f>Solve!AA$25</f>
        <v>14399.761727471965</v>
      </c>
      <c r="AB146" s="537">
        <f>Solve!AB$25</f>
        <v>15143.672002923853</v>
      </c>
      <c r="AC146" s="537">
        <f>Solve!AC$25</f>
        <v>15043.412380382597</v>
      </c>
      <c r="AD146" s="537">
        <f>Solve!AD$25</f>
        <v>13719.08131146606</v>
      </c>
      <c r="AE146" s="537">
        <f>Solve!AE$25</f>
        <v>8683.3953250207269</v>
      </c>
      <c r="AF146" s="537">
        <f>Solve!AF$25</f>
        <v>6872.7289999061568</v>
      </c>
      <c r="AG146" s="537">
        <f>Solve!AG$25</f>
        <v>13461.889984572472</v>
      </c>
      <c r="AH146" s="537">
        <f>Solve!AH$25</f>
        <v>0</v>
      </c>
      <c r="AI146" s="537">
        <f>Solve!AI$25</f>
        <v>0</v>
      </c>
      <c r="AJ146" s="537">
        <f>Solve!AJ$25</f>
        <v>0</v>
      </c>
      <c r="AK146" s="537">
        <f>Solve!AK$25</f>
        <v>0</v>
      </c>
      <c r="AL146" s="537">
        <f>Solve!AL$25</f>
        <v>0</v>
      </c>
      <c r="AM146" s="537">
        <f>Solve!AM$25</f>
        <v>0</v>
      </c>
      <c r="AN146" s="537">
        <f>Solve!AN$25</f>
        <v>0</v>
      </c>
      <c r="AO146" s="537">
        <f>Solve!AO$25</f>
        <v>0</v>
      </c>
      <c r="AP146" s="537">
        <f>Solve!AP$25</f>
        <v>0</v>
      </c>
      <c r="AQ146" s="537">
        <f>Solve!AQ$25</f>
        <v>0</v>
      </c>
      <c r="AR146" s="537">
        <f>Solve!AR$25</f>
        <v>0</v>
      </c>
      <c r="AS146" s="537">
        <f>Solve!AS$25</f>
        <v>0</v>
      </c>
      <c r="AT146" s="537">
        <f>Solve!AT$25</f>
        <v>0</v>
      </c>
      <c r="AU146" s="537">
        <f>Solve!AU$25</f>
        <v>0</v>
      </c>
      <c r="AV146" s="537">
        <f>Solve!AV$25</f>
        <v>0</v>
      </c>
      <c r="AW146" s="537">
        <f>Solve!AW$25</f>
        <v>0</v>
      </c>
      <c r="AX146" s="537">
        <f>Solve!AX$25</f>
        <v>0</v>
      </c>
      <c r="AY146" s="537">
        <f>Solve!AY$25</f>
        <v>0</v>
      </c>
      <c r="AZ146" s="537">
        <f>Solve!AZ$25</f>
        <v>0</v>
      </c>
      <c r="BA146" s="537">
        <f>Solve!BA$25</f>
        <v>0</v>
      </c>
      <c r="BB146" s="537">
        <f>Solve!BB$25</f>
        <v>0</v>
      </c>
      <c r="BC146" s="537">
        <f>Solve!BC$25</f>
        <v>0</v>
      </c>
      <c r="BD146" s="537">
        <f>Solve!BD$25</f>
        <v>0</v>
      </c>
      <c r="BE146" s="537">
        <f>Solve!BE$25</f>
        <v>0</v>
      </c>
      <c r="BF146" s="537">
        <f>Solve!BF$25</f>
        <v>0</v>
      </c>
      <c r="BG146" s="537">
        <f>Solve!BG$25</f>
        <v>0</v>
      </c>
      <c r="BH146" s="537">
        <f>Solve!BH$25</f>
        <v>0</v>
      </c>
      <c r="BI146" s="537">
        <f>Solve!BI$25</f>
        <v>0</v>
      </c>
      <c r="BJ146" s="537">
        <f>Solve!BJ$25</f>
        <v>0</v>
      </c>
      <c r="BK146" s="537">
        <f>Solve!BK$25</f>
        <v>0</v>
      </c>
      <c r="BL146" s="537">
        <f>Solve!BL$25</f>
        <v>0</v>
      </c>
      <c r="BM146" s="537">
        <f>Solve!BM$25</f>
        <v>0</v>
      </c>
      <c r="BN146" s="537">
        <f>Solve!BN$25</f>
        <v>0</v>
      </c>
      <c r="BO146" s="537">
        <f>Solve!BO$25</f>
        <v>0</v>
      </c>
      <c r="BP146" s="537">
        <f>Solve!BP$25</f>
        <v>0</v>
      </c>
      <c r="BQ146" s="537">
        <f>Solve!BQ$25</f>
        <v>0</v>
      </c>
      <c r="BR146" s="537">
        <f>Solve!BR$25</f>
        <v>0</v>
      </c>
      <c r="BS146" s="537">
        <f>Solve!BS$25</f>
        <v>0</v>
      </c>
      <c r="BT146" s="537">
        <f>Solve!BT$25</f>
        <v>0</v>
      </c>
      <c r="BU146" s="537">
        <f>Solve!BU$25</f>
        <v>0</v>
      </c>
      <c r="BV146" s="537">
        <f>Solve!BV$25</f>
        <v>0</v>
      </c>
      <c r="BW146" s="537">
        <f>Solve!BW$25</f>
        <v>0</v>
      </c>
      <c r="BX146" s="537">
        <f>Solve!BX$25</f>
        <v>0</v>
      </c>
      <c r="BY146" s="537">
        <f>Solve!BY$25</f>
        <v>0</v>
      </c>
      <c r="BZ146" s="537">
        <f>Solve!BZ$25</f>
        <v>0</v>
      </c>
      <c r="CA146" s="537">
        <f>Solve!CA$25</f>
        <v>0</v>
      </c>
      <c r="CB146" s="537">
        <f>Solve!CB$25</f>
        <v>0</v>
      </c>
      <c r="CC146" s="537">
        <f>Solve!CC$25</f>
        <v>0</v>
      </c>
      <c r="CD146" s="537">
        <f>Solve!CD$25</f>
        <v>0</v>
      </c>
      <c r="CE146" s="537">
        <f>Solve!CE$25</f>
        <v>0</v>
      </c>
      <c r="CF146" s="537">
        <f>Solve!CF$25</f>
        <v>0</v>
      </c>
      <c r="CG146" s="537">
        <f>Solve!CG$25</f>
        <v>0</v>
      </c>
      <c r="CH146" s="537">
        <f>Solve!CH$25</f>
        <v>0</v>
      </c>
      <c r="CI146" s="537">
        <f>Solve!CI$25</f>
        <v>0</v>
      </c>
      <c r="CJ146" s="537">
        <f>Solve!CJ$25</f>
        <v>0</v>
      </c>
      <c r="CK146" s="537">
        <f>Solve!CK$25</f>
        <v>0</v>
      </c>
      <c r="CL146" s="537">
        <f>Solve!CL$25</f>
        <v>0</v>
      </c>
      <c r="CM146" s="537">
        <f>Solve!CM$25</f>
        <v>0</v>
      </c>
      <c r="CN146" s="537">
        <f>Solve!CN$25</f>
        <v>0</v>
      </c>
      <c r="CO146" s="537">
        <f>Solve!CO$25</f>
        <v>0</v>
      </c>
      <c r="CP146" s="537">
        <f>Solve!CP$25</f>
        <v>0</v>
      </c>
      <c r="CQ146" s="537">
        <f>Solve!CQ$25</f>
        <v>0</v>
      </c>
      <c r="CR146" s="537">
        <f>Solve!CR$25</f>
        <v>0</v>
      </c>
      <c r="CS146" s="537">
        <f>Solve!CS$25</f>
        <v>0</v>
      </c>
      <c r="CT146" s="537">
        <f>Solve!CT$25</f>
        <v>0</v>
      </c>
      <c r="CU146" s="537">
        <f>Solve!CU$25</f>
        <v>0</v>
      </c>
      <c r="CV146" s="537">
        <f>Solve!CV$25</f>
        <v>0</v>
      </c>
      <c r="CW146" s="537">
        <f>Solve!CW$25</f>
        <v>0</v>
      </c>
      <c r="CX146" s="537">
        <f>Solve!CX$25</f>
        <v>0</v>
      </c>
      <c r="CY146" s="537">
        <f>Solve!CY$25</f>
        <v>0</v>
      </c>
      <c r="CZ146" s="537">
        <f>Solve!CZ$25</f>
        <v>0</v>
      </c>
      <c r="DA146" s="537">
        <f>Solve!DA$25</f>
        <v>0</v>
      </c>
      <c r="DB146" s="537">
        <f>Solve!DB$25</f>
        <v>0</v>
      </c>
      <c r="DC146" s="537">
        <f>Solve!DC$25</f>
        <v>0</v>
      </c>
      <c r="DD146" s="537">
        <f>Solve!DD$25</f>
        <v>0</v>
      </c>
      <c r="DE146" s="537">
        <f>Solve!DE$25</f>
        <v>0</v>
      </c>
      <c r="DF146" s="537">
        <f>Solve!DF$25</f>
        <v>0</v>
      </c>
      <c r="DG146" s="537">
        <f>Solve!DG$25</f>
        <v>0</v>
      </c>
      <c r="DH146" s="537">
        <f>Solve!DH$25</f>
        <v>0</v>
      </c>
      <c r="DI146" s="537">
        <f>Solve!DI$25</f>
        <v>0</v>
      </c>
      <c r="DJ146" s="537">
        <f>Solve!DJ$25</f>
        <v>0</v>
      </c>
      <c r="DK146" s="537">
        <f>Solve!DK$25</f>
        <v>0</v>
      </c>
      <c r="DL146" s="537">
        <f>Solve!DL$25</f>
        <v>0</v>
      </c>
      <c r="DM146" s="537">
        <f>Solve!DM$25</f>
        <v>0</v>
      </c>
      <c r="DN146" s="537">
        <f>Solve!DN$25</f>
        <v>0</v>
      </c>
      <c r="DO146" s="537">
        <f>Solve!DO$25</f>
        <v>0</v>
      </c>
      <c r="DP146" s="537">
        <f>Solve!DP$25</f>
        <v>0</v>
      </c>
      <c r="DQ146" s="537">
        <f>Solve!DQ$25</f>
        <v>0</v>
      </c>
      <c r="DR146" s="537">
        <f>Solve!DR$25</f>
        <v>0</v>
      </c>
      <c r="DS146" s="537">
        <f>Solve!DS$25</f>
        <v>0</v>
      </c>
      <c r="DT146" s="537">
        <f>Solve!DT$25</f>
        <v>0</v>
      </c>
      <c r="DU146" s="537">
        <f>Solve!DU$25</f>
        <v>0</v>
      </c>
      <c r="DV146" s="537">
        <f>Solve!DV$25</f>
        <v>0</v>
      </c>
      <c r="DW146" s="537">
        <f>Solve!DW$25</f>
        <v>0</v>
      </c>
      <c r="DX146" s="537">
        <f>Solve!DX$25</f>
        <v>0</v>
      </c>
      <c r="DY146" s="537">
        <f>Solve!DY$25</f>
        <v>0</v>
      </c>
      <c r="DZ146" s="537">
        <f>Solve!DZ$25</f>
        <v>0</v>
      </c>
      <c r="EA146" s="537">
        <f>Solve!EA$25</f>
        <v>0</v>
      </c>
      <c r="EB146" s="537">
        <f>Solve!EB$25</f>
        <v>0</v>
      </c>
      <c r="EC146" s="537">
        <f>Solve!EC$25</f>
        <v>0</v>
      </c>
      <c r="ED146" s="537">
        <f>Solve!ED$25</f>
        <v>0</v>
      </c>
      <c r="EE146" s="537">
        <f>Solve!EE$25</f>
        <v>0</v>
      </c>
      <c r="EF146" s="537">
        <f>Solve!EF$25</f>
        <v>0</v>
      </c>
      <c r="EG146" s="537">
        <f>Solve!EG$25</f>
        <v>0</v>
      </c>
    </row>
    <row r="147" spans="5:137" ht="12.75">
      <c r="E147" s="538" t="str">
        <f>E$134</f>
        <v>Sponsor equity - drawdown</v>
      </c>
      <c r="G147" s="539" t="str">
        <f>G$134</f>
        <v>EUR 000s</v>
      </c>
      <c r="H147" s="539">
        <f>H$134</f>
        <v>69547.232200616272</v>
      </c>
      <c r="J147" s="539">
        <f t="shared" si="51" ref="J147:EG147">J$134</f>
        <v>0</v>
      </c>
      <c r="K147" s="539">
        <f t="shared" si="51"/>
        <v>0</v>
      </c>
      <c r="L147" s="539">
        <f t="shared" si="51"/>
        <v>11319.299718665801</v>
      </c>
      <c r="M147" s="539">
        <f t="shared" si="51"/>
        <v>13400.690161983533</v>
      </c>
      <c r="N147" s="539">
        <f t="shared" si="51"/>
        <v>13741.483730168373</v>
      </c>
      <c r="O147" s="539">
        <f t="shared" si="51"/>
        <v>13418.385230476684</v>
      </c>
      <c r="P147" s="539">
        <f t="shared" si="51"/>
        <v>13759.768634277963</v>
      </c>
      <c r="Q147" s="539">
        <f t="shared" si="51"/>
        <v>3907.6047250439151</v>
      </c>
      <c r="R147" s="539">
        <f t="shared" si="51"/>
        <v>0</v>
      </c>
      <c r="S147" s="539">
        <f t="shared" si="51"/>
        <v>0</v>
      </c>
      <c r="T147" s="539">
        <f t="shared" si="51"/>
        <v>0</v>
      </c>
      <c r="U147" s="539">
        <f t="shared" si="51"/>
        <v>0</v>
      </c>
      <c r="V147" s="539">
        <f t="shared" si="51"/>
        <v>0</v>
      </c>
      <c r="W147" s="539">
        <f t="shared" si="51"/>
        <v>0</v>
      </c>
      <c r="X147" s="539">
        <f t="shared" si="51"/>
        <v>0</v>
      </c>
      <c r="Y147" s="539">
        <f t="shared" si="51"/>
        <v>0</v>
      </c>
      <c r="Z147" s="539">
        <f t="shared" si="51"/>
        <v>0</v>
      </c>
      <c r="AA147" s="539">
        <f t="shared" si="51"/>
        <v>0</v>
      </c>
      <c r="AB147" s="539">
        <f t="shared" si="51"/>
        <v>0</v>
      </c>
      <c r="AC147" s="539">
        <f t="shared" si="51"/>
        <v>0</v>
      </c>
      <c r="AD147" s="539">
        <f t="shared" si="51"/>
        <v>0</v>
      </c>
      <c r="AE147" s="539">
        <f t="shared" si="51"/>
        <v>0</v>
      </c>
      <c r="AF147" s="539">
        <f t="shared" si="51"/>
        <v>0</v>
      </c>
      <c r="AG147" s="539">
        <f t="shared" si="51"/>
        <v>0</v>
      </c>
      <c r="AH147" s="539">
        <f t="shared" si="51"/>
        <v>0</v>
      </c>
      <c r="AI147" s="539">
        <f t="shared" si="51"/>
        <v>0</v>
      </c>
      <c r="AJ147" s="539">
        <f t="shared" si="51"/>
        <v>0</v>
      </c>
      <c r="AK147" s="539">
        <f t="shared" si="51"/>
        <v>0</v>
      </c>
      <c r="AL147" s="539">
        <f t="shared" si="51"/>
        <v>0</v>
      </c>
      <c r="AM147" s="539">
        <f t="shared" si="51"/>
        <v>0</v>
      </c>
      <c r="AN147" s="539">
        <f t="shared" si="51"/>
        <v>0</v>
      </c>
      <c r="AO147" s="539">
        <f t="shared" si="51"/>
        <v>0</v>
      </c>
      <c r="AP147" s="539">
        <f t="shared" si="51"/>
        <v>0</v>
      </c>
      <c r="AQ147" s="539">
        <f t="shared" si="51"/>
        <v>0</v>
      </c>
      <c r="AR147" s="539">
        <f t="shared" si="51"/>
        <v>0</v>
      </c>
      <c r="AS147" s="539">
        <f t="shared" si="51"/>
        <v>0</v>
      </c>
      <c r="AT147" s="539">
        <f t="shared" si="51"/>
        <v>0</v>
      </c>
      <c r="AU147" s="539">
        <f t="shared" si="51"/>
        <v>0</v>
      </c>
      <c r="AV147" s="539">
        <f t="shared" si="51"/>
        <v>0</v>
      </c>
      <c r="AW147" s="539">
        <f t="shared" si="51"/>
        <v>0</v>
      </c>
      <c r="AX147" s="539">
        <f t="shared" si="51"/>
        <v>0</v>
      </c>
      <c r="AY147" s="539">
        <f t="shared" si="51"/>
        <v>0</v>
      </c>
      <c r="AZ147" s="539">
        <f t="shared" si="51"/>
        <v>0</v>
      </c>
      <c r="BA147" s="539">
        <f t="shared" si="51"/>
        <v>0</v>
      </c>
      <c r="BB147" s="539">
        <f t="shared" si="51"/>
        <v>0</v>
      </c>
      <c r="BC147" s="539">
        <f t="shared" si="51"/>
        <v>0</v>
      </c>
      <c r="BD147" s="539">
        <f t="shared" si="51"/>
        <v>0</v>
      </c>
      <c r="BE147" s="539">
        <f t="shared" si="51"/>
        <v>0</v>
      </c>
      <c r="BF147" s="539">
        <f t="shared" si="51"/>
        <v>0</v>
      </c>
      <c r="BG147" s="539">
        <f t="shared" si="51"/>
        <v>0</v>
      </c>
      <c r="BH147" s="539">
        <f t="shared" si="51"/>
        <v>0</v>
      </c>
      <c r="BI147" s="539">
        <f t="shared" si="51"/>
        <v>0</v>
      </c>
      <c r="BJ147" s="539">
        <f t="shared" si="51"/>
        <v>0</v>
      </c>
      <c r="BK147" s="539">
        <f t="shared" si="51"/>
        <v>0</v>
      </c>
      <c r="BL147" s="539">
        <f t="shared" si="51"/>
        <v>0</v>
      </c>
      <c r="BM147" s="539">
        <f t="shared" si="51"/>
        <v>0</v>
      </c>
      <c r="BN147" s="539">
        <f t="shared" si="51"/>
        <v>0</v>
      </c>
      <c r="BO147" s="539">
        <f t="shared" si="51"/>
        <v>0</v>
      </c>
      <c r="BP147" s="539">
        <f t="shared" si="51"/>
        <v>0</v>
      </c>
      <c r="BQ147" s="539">
        <f t="shared" si="51"/>
        <v>0</v>
      </c>
      <c r="BR147" s="539">
        <f t="shared" si="51"/>
        <v>0</v>
      </c>
      <c r="BS147" s="539">
        <f t="shared" si="51"/>
        <v>0</v>
      </c>
      <c r="BT147" s="539">
        <f t="shared" si="51"/>
        <v>0</v>
      </c>
      <c r="BU147" s="539">
        <f t="shared" si="51"/>
        <v>0</v>
      </c>
      <c r="BV147" s="539">
        <f t="shared" si="51"/>
        <v>0</v>
      </c>
      <c r="BW147" s="539">
        <f t="shared" si="51"/>
        <v>0</v>
      </c>
      <c r="BX147" s="539">
        <f t="shared" si="51"/>
        <v>0</v>
      </c>
      <c r="BY147" s="539">
        <f t="shared" si="51"/>
        <v>0</v>
      </c>
      <c r="BZ147" s="539">
        <f t="shared" si="51"/>
        <v>0</v>
      </c>
      <c r="CA147" s="539">
        <f t="shared" si="51"/>
        <v>0</v>
      </c>
      <c r="CB147" s="539">
        <f t="shared" si="51"/>
        <v>0</v>
      </c>
      <c r="CC147" s="539">
        <f t="shared" si="51"/>
        <v>0</v>
      </c>
      <c r="CD147" s="539">
        <f t="shared" si="51"/>
        <v>0</v>
      </c>
      <c r="CE147" s="539">
        <f t="shared" si="51"/>
        <v>0</v>
      </c>
      <c r="CF147" s="539">
        <f t="shared" si="51"/>
        <v>0</v>
      </c>
      <c r="CG147" s="539">
        <f t="shared" si="51"/>
        <v>0</v>
      </c>
      <c r="CH147" s="539">
        <f t="shared" si="51"/>
        <v>0</v>
      </c>
      <c r="CI147" s="539">
        <f t="shared" si="51"/>
        <v>0</v>
      </c>
      <c r="CJ147" s="539">
        <f t="shared" si="51"/>
        <v>0</v>
      </c>
      <c r="CK147" s="539">
        <f t="shared" si="51"/>
        <v>0</v>
      </c>
      <c r="CL147" s="539">
        <f t="shared" si="51"/>
        <v>0</v>
      </c>
      <c r="CM147" s="539">
        <f t="shared" si="51"/>
        <v>0</v>
      </c>
      <c r="CN147" s="539">
        <f t="shared" si="51"/>
        <v>0</v>
      </c>
      <c r="CO147" s="539">
        <f t="shared" si="51"/>
        <v>0</v>
      </c>
      <c r="CP147" s="539">
        <f t="shared" si="51"/>
        <v>0</v>
      </c>
      <c r="CQ147" s="539">
        <f t="shared" si="51"/>
        <v>0</v>
      </c>
      <c r="CR147" s="539">
        <f t="shared" si="51"/>
        <v>0</v>
      </c>
      <c r="CS147" s="539">
        <f t="shared" si="51"/>
        <v>0</v>
      </c>
      <c r="CT147" s="539">
        <f t="shared" si="51"/>
        <v>0</v>
      </c>
      <c r="CU147" s="539">
        <f t="shared" si="51"/>
        <v>0</v>
      </c>
      <c r="CV147" s="539">
        <f t="shared" si="51"/>
        <v>0</v>
      </c>
      <c r="CW147" s="539">
        <f t="shared" si="51"/>
        <v>0</v>
      </c>
      <c r="CX147" s="539">
        <f t="shared" si="51"/>
        <v>0</v>
      </c>
      <c r="CY147" s="539">
        <f t="shared" si="51"/>
        <v>0</v>
      </c>
      <c r="CZ147" s="539">
        <f t="shared" si="51"/>
        <v>0</v>
      </c>
      <c r="DA147" s="539">
        <f t="shared" si="51"/>
        <v>0</v>
      </c>
      <c r="DB147" s="539">
        <f t="shared" si="51"/>
        <v>0</v>
      </c>
      <c r="DC147" s="539">
        <f t="shared" si="51"/>
        <v>0</v>
      </c>
      <c r="DD147" s="539">
        <f t="shared" si="51"/>
        <v>0</v>
      </c>
      <c r="DE147" s="539">
        <f t="shared" si="51"/>
        <v>0</v>
      </c>
      <c r="DF147" s="539">
        <f t="shared" si="51"/>
        <v>0</v>
      </c>
      <c r="DG147" s="539">
        <f t="shared" si="51"/>
        <v>0</v>
      </c>
      <c r="DH147" s="539">
        <f t="shared" si="51"/>
        <v>0</v>
      </c>
      <c r="DI147" s="539">
        <f t="shared" si="51"/>
        <v>0</v>
      </c>
      <c r="DJ147" s="539">
        <f t="shared" si="51"/>
        <v>0</v>
      </c>
      <c r="DK147" s="539">
        <f t="shared" si="51"/>
        <v>0</v>
      </c>
      <c r="DL147" s="539">
        <f t="shared" si="51"/>
        <v>0</v>
      </c>
      <c r="DM147" s="539">
        <f t="shared" si="51"/>
        <v>0</v>
      </c>
      <c r="DN147" s="539">
        <f t="shared" si="51"/>
        <v>0</v>
      </c>
      <c r="DO147" s="539">
        <f t="shared" si="51"/>
        <v>0</v>
      </c>
      <c r="DP147" s="539">
        <f t="shared" si="51"/>
        <v>0</v>
      </c>
      <c r="DQ147" s="539">
        <f t="shared" si="51"/>
        <v>0</v>
      </c>
      <c r="DR147" s="539">
        <f t="shared" si="51"/>
        <v>0</v>
      </c>
      <c r="DS147" s="539">
        <f t="shared" si="51"/>
        <v>0</v>
      </c>
      <c r="DT147" s="539">
        <f t="shared" si="51"/>
        <v>0</v>
      </c>
      <c r="DU147" s="539">
        <f t="shared" si="51"/>
        <v>0</v>
      </c>
      <c r="DV147" s="539">
        <f t="shared" si="51"/>
        <v>0</v>
      </c>
      <c r="DW147" s="539">
        <f t="shared" si="51"/>
        <v>0</v>
      </c>
      <c r="DX147" s="539">
        <f t="shared" si="51"/>
        <v>0</v>
      </c>
      <c r="DY147" s="539">
        <f t="shared" si="51"/>
        <v>0</v>
      </c>
      <c r="DZ147" s="539">
        <f t="shared" si="51"/>
        <v>0</v>
      </c>
      <c r="EA147" s="539">
        <f t="shared" si="51"/>
        <v>0</v>
      </c>
      <c r="EB147" s="539">
        <f t="shared" si="51"/>
        <v>0</v>
      </c>
      <c r="EC147" s="539">
        <f t="shared" si="51"/>
        <v>0</v>
      </c>
      <c r="ED147" s="539">
        <f t="shared" si="51"/>
        <v>0</v>
      </c>
      <c r="EE147" s="539">
        <f t="shared" si="51"/>
        <v>0</v>
      </c>
      <c r="EF147" s="539">
        <f t="shared" si="51"/>
        <v>0</v>
      </c>
      <c r="EG147" s="539">
        <f t="shared" si="51"/>
        <v>0</v>
      </c>
    </row>
    <row r="148" spans="5:137" ht="12.75">
      <c r="E148" s="538" t="str">
        <f>E$144</f>
        <v>Junior facility - drawdown</v>
      </c>
      <c r="G148" s="539" t="str">
        <f>G$144</f>
        <v>EUR 000s</v>
      </c>
      <c r="H148" s="539">
        <f>H$144</f>
        <v>25289.902618405918</v>
      </c>
      <c r="J148" s="539">
        <f t="shared" si="52" ref="J148:EG148">J$144</f>
        <v>0</v>
      </c>
      <c r="K148" s="539">
        <f t="shared" si="52"/>
        <v>0</v>
      </c>
      <c r="L148" s="539">
        <f t="shared" si="52"/>
        <v>0</v>
      </c>
      <c r="M148" s="539">
        <f t="shared" si="52"/>
        <v>0</v>
      </c>
      <c r="N148" s="539">
        <f t="shared" si="52"/>
        <v>0</v>
      </c>
      <c r="O148" s="539">
        <f t="shared" si="52"/>
        <v>0</v>
      </c>
      <c r="P148" s="539">
        <f t="shared" si="52"/>
        <v>0</v>
      </c>
      <c r="Q148" s="539">
        <f t="shared" si="52"/>
        <v>9524.2618544395227</v>
      </c>
      <c r="R148" s="539">
        <f t="shared" si="52"/>
        <v>15765.640763966396</v>
      </c>
      <c r="S148" s="539">
        <f t="shared" si="52"/>
        <v>0</v>
      </c>
      <c r="T148" s="539">
        <f t="shared" si="52"/>
        <v>0</v>
      </c>
      <c r="U148" s="539">
        <f t="shared" si="52"/>
        <v>0</v>
      </c>
      <c r="V148" s="539">
        <f t="shared" si="52"/>
        <v>0</v>
      </c>
      <c r="W148" s="539">
        <f t="shared" si="52"/>
        <v>0</v>
      </c>
      <c r="X148" s="539">
        <f t="shared" si="52"/>
        <v>0</v>
      </c>
      <c r="Y148" s="539">
        <f t="shared" si="52"/>
        <v>0</v>
      </c>
      <c r="Z148" s="539">
        <f t="shared" si="52"/>
        <v>0</v>
      </c>
      <c r="AA148" s="539">
        <f t="shared" si="52"/>
        <v>0</v>
      </c>
      <c r="AB148" s="539">
        <f t="shared" si="52"/>
        <v>0</v>
      </c>
      <c r="AC148" s="539">
        <f t="shared" si="52"/>
        <v>0</v>
      </c>
      <c r="AD148" s="539">
        <f t="shared" si="52"/>
        <v>0</v>
      </c>
      <c r="AE148" s="539">
        <f t="shared" si="52"/>
        <v>0</v>
      </c>
      <c r="AF148" s="539">
        <f t="shared" si="52"/>
        <v>0</v>
      </c>
      <c r="AG148" s="539">
        <f t="shared" si="52"/>
        <v>0</v>
      </c>
      <c r="AH148" s="539">
        <f t="shared" si="52"/>
        <v>0</v>
      </c>
      <c r="AI148" s="539">
        <f t="shared" si="52"/>
        <v>0</v>
      </c>
      <c r="AJ148" s="539">
        <f t="shared" si="52"/>
        <v>0</v>
      </c>
      <c r="AK148" s="539">
        <f t="shared" si="52"/>
        <v>0</v>
      </c>
      <c r="AL148" s="539">
        <f t="shared" si="52"/>
        <v>0</v>
      </c>
      <c r="AM148" s="539">
        <f t="shared" si="52"/>
        <v>0</v>
      </c>
      <c r="AN148" s="539">
        <f t="shared" si="52"/>
        <v>0</v>
      </c>
      <c r="AO148" s="539">
        <f t="shared" si="52"/>
        <v>0</v>
      </c>
      <c r="AP148" s="539">
        <f t="shared" si="52"/>
        <v>0</v>
      </c>
      <c r="AQ148" s="539">
        <f t="shared" si="52"/>
        <v>0</v>
      </c>
      <c r="AR148" s="539">
        <f t="shared" si="52"/>
        <v>0</v>
      </c>
      <c r="AS148" s="539">
        <f t="shared" si="52"/>
        <v>0</v>
      </c>
      <c r="AT148" s="539">
        <f t="shared" si="52"/>
        <v>0</v>
      </c>
      <c r="AU148" s="539">
        <f t="shared" si="52"/>
        <v>0</v>
      </c>
      <c r="AV148" s="539">
        <f t="shared" si="52"/>
        <v>0</v>
      </c>
      <c r="AW148" s="539">
        <f t="shared" si="52"/>
        <v>0</v>
      </c>
      <c r="AX148" s="539">
        <f t="shared" si="52"/>
        <v>0</v>
      </c>
      <c r="AY148" s="539">
        <f t="shared" si="52"/>
        <v>0</v>
      </c>
      <c r="AZ148" s="539">
        <f t="shared" si="52"/>
        <v>0</v>
      </c>
      <c r="BA148" s="539">
        <f t="shared" si="52"/>
        <v>0</v>
      </c>
      <c r="BB148" s="539">
        <f t="shared" si="52"/>
        <v>0</v>
      </c>
      <c r="BC148" s="539">
        <f t="shared" si="52"/>
        <v>0</v>
      </c>
      <c r="BD148" s="539">
        <f t="shared" si="52"/>
        <v>0</v>
      </c>
      <c r="BE148" s="539">
        <f t="shared" si="52"/>
        <v>0</v>
      </c>
      <c r="BF148" s="539">
        <f t="shared" si="52"/>
        <v>0</v>
      </c>
      <c r="BG148" s="539">
        <f t="shared" si="52"/>
        <v>0</v>
      </c>
      <c r="BH148" s="539">
        <f t="shared" si="52"/>
        <v>0</v>
      </c>
      <c r="BI148" s="539">
        <f t="shared" si="52"/>
        <v>0</v>
      </c>
      <c r="BJ148" s="539">
        <f t="shared" si="52"/>
        <v>0</v>
      </c>
      <c r="BK148" s="539">
        <f t="shared" si="52"/>
        <v>0</v>
      </c>
      <c r="BL148" s="539">
        <f t="shared" si="52"/>
        <v>0</v>
      </c>
      <c r="BM148" s="539">
        <f t="shared" si="52"/>
        <v>0</v>
      </c>
      <c r="BN148" s="539">
        <f t="shared" si="52"/>
        <v>0</v>
      </c>
      <c r="BO148" s="539">
        <f t="shared" si="52"/>
        <v>0</v>
      </c>
      <c r="BP148" s="539">
        <f t="shared" si="52"/>
        <v>0</v>
      </c>
      <c r="BQ148" s="539">
        <f t="shared" si="52"/>
        <v>0</v>
      </c>
      <c r="BR148" s="539">
        <f t="shared" si="52"/>
        <v>0</v>
      </c>
      <c r="BS148" s="539">
        <f t="shared" si="52"/>
        <v>0</v>
      </c>
      <c r="BT148" s="539">
        <f t="shared" si="52"/>
        <v>0</v>
      </c>
      <c r="BU148" s="539">
        <f t="shared" si="52"/>
        <v>0</v>
      </c>
      <c r="BV148" s="539">
        <f t="shared" si="52"/>
        <v>0</v>
      </c>
      <c r="BW148" s="539">
        <f t="shared" si="52"/>
        <v>0</v>
      </c>
      <c r="BX148" s="539">
        <f t="shared" si="52"/>
        <v>0</v>
      </c>
      <c r="BY148" s="539">
        <f t="shared" si="52"/>
        <v>0</v>
      </c>
      <c r="BZ148" s="539">
        <f t="shared" si="52"/>
        <v>0</v>
      </c>
      <c r="CA148" s="539">
        <f t="shared" si="52"/>
        <v>0</v>
      </c>
      <c r="CB148" s="539">
        <f t="shared" si="52"/>
        <v>0</v>
      </c>
      <c r="CC148" s="539">
        <f t="shared" si="52"/>
        <v>0</v>
      </c>
      <c r="CD148" s="539">
        <f t="shared" si="52"/>
        <v>0</v>
      </c>
      <c r="CE148" s="539">
        <f t="shared" si="52"/>
        <v>0</v>
      </c>
      <c r="CF148" s="539">
        <f t="shared" si="52"/>
        <v>0</v>
      </c>
      <c r="CG148" s="539">
        <f t="shared" si="52"/>
        <v>0</v>
      </c>
      <c r="CH148" s="539">
        <f t="shared" si="52"/>
        <v>0</v>
      </c>
      <c r="CI148" s="539">
        <f t="shared" si="52"/>
        <v>0</v>
      </c>
      <c r="CJ148" s="539">
        <f t="shared" si="52"/>
        <v>0</v>
      </c>
      <c r="CK148" s="539">
        <f t="shared" si="52"/>
        <v>0</v>
      </c>
      <c r="CL148" s="539">
        <f t="shared" si="52"/>
        <v>0</v>
      </c>
      <c r="CM148" s="539">
        <f t="shared" si="52"/>
        <v>0</v>
      </c>
      <c r="CN148" s="539">
        <f t="shared" si="52"/>
        <v>0</v>
      </c>
      <c r="CO148" s="539">
        <f t="shared" si="52"/>
        <v>0</v>
      </c>
      <c r="CP148" s="539">
        <f t="shared" si="52"/>
        <v>0</v>
      </c>
      <c r="CQ148" s="539">
        <f t="shared" si="52"/>
        <v>0</v>
      </c>
      <c r="CR148" s="539">
        <f t="shared" si="52"/>
        <v>0</v>
      </c>
      <c r="CS148" s="539">
        <f t="shared" si="52"/>
        <v>0</v>
      </c>
      <c r="CT148" s="539">
        <f t="shared" si="52"/>
        <v>0</v>
      </c>
      <c r="CU148" s="539">
        <f t="shared" si="52"/>
        <v>0</v>
      </c>
      <c r="CV148" s="539">
        <f t="shared" si="52"/>
        <v>0</v>
      </c>
      <c r="CW148" s="539">
        <f t="shared" si="52"/>
        <v>0</v>
      </c>
      <c r="CX148" s="539">
        <f t="shared" si="52"/>
        <v>0</v>
      </c>
      <c r="CY148" s="539">
        <f t="shared" si="52"/>
        <v>0</v>
      </c>
      <c r="CZ148" s="539">
        <f t="shared" si="52"/>
        <v>0</v>
      </c>
      <c r="DA148" s="539">
        <f t="shared" si="52"/>
        <v>0</v>
      </c>
      <c r="DB148" s="539">
        <f t="shared" si="52"/>
        <v>0</v>
      </c>
      <c r="DC148" s="539">
        <f t="shared" si="52"/>
        <v>0</v>
      </c>
      <c r="DD148" s="539">
        <f t="shared" si="52"/>
        <v>0</v>
      </c>
      <c r="DE148" s="539">
        <f t="shared" si="52"/>
        <v>0</v>
      </c>
      <c r="DF148" s="539">
        <f t="shared" si="52"/>
        <v>0</v>
      </c>
      <c r="DG148" s="539">
        <f t="shared" si="52"/>
        <v>0</v>
      </c>
      <c r="DH148" s="539">
        <f t="shared" si="52"/>
        <v>0</v>
      </c>
      <c r="DI148" s="539">
        <f t="shared" si="52"/>
        <v>0</v>
      </c>
      <c r="DJ148" s="539">
        <f t="shared" si="52"/>
        <v>0</v>
      </c>
      <c r="DK148" s="539">
        <f t="shared" si="52"/>
        <v>0</v>
      </c>
      <c r="DL148" s="539">
        <f t="shared" si="52"/>
        <v>0</v>
      </c>
      <c r="DM148" s="539">
        <f t="shared" si="52"/>
        <v>0</v>
      </c>
      <c r="DN148" s="539">
        <f t="shared" si="52"/>
        <v>0</v>
      </c>
      <c r="DO148" s="539">
        <f t="shared" si="52"/>
        <v>0</v>
      </c>
      <c r="DP148" s="539">
        <f t="shared" si="52"/>
        <v>0</v>
      </c>
      <c r="DQ148" s="539">
        <f t="shared" si="52"/>
        <v>0</v>
      </c>
      <c r="DR148" s="539">
        <f t="shared" si="52"/>
        <v>0</v>
      </c>
      <c r="DS148" s="539">
        <f t="shared" si="52"/>
        <v>0</v>
      </c>
      <c r="DT148" s="539">
        <f t="shared" si="52"/>
        <v>0</v>
      </c>
      <c r="DU148" s="539">
        <f t="shared" si="52"/>
        <v>0</v>
      </c>
      <c r="DV148" s="539">
        <f t="shared" si="52"/>
        <v>0</v>
      </c>
      <c r="DW148" s="539">
        <f t="shared" si="52"/>
        <v>0</v>
      </c>
      <c r="DX148" s="539">
        <f t="shared" si="52"/>
        <v>0</v>
      </c>
      <c r="DY148" s="539">
        <f t="shared" si="52"/>
        <v>0</v>
      </c>
      <c r="DZ148" s="539">
        <f t="shared" si="52"/>
        <v>0</v>
      </c>
      <c r="EA148" s="539">
        <f t="shared" si="52"/>
        <v>0</v>
      </c>
      <c r="EB148" s="539">
        <f t="shared" si="52"/>
        <v>0</v>
      </c>
      <c r="EC148" s="539">
        <f t="shared" si="52"/>
        <v>0</v>
      </c>
      <c r="ED148" s="539">
        <f t="shared" si="52"/>
        <v>0</v>
      </c>
      <c r="EE148" s="539">
        <f t="shared" si="52"/>
        <v>0</v>
      </c>
      <c r="EF148" s="539">
        <f t="shared" si="52"/>
        <v>0</v>
      </c>
      <c r="EG148" s="539">
        <f t="shared" si="52"/>
        <v>0</v>
      </c>
    </row>
    <row r="149" spans="5:137" ht="12.75">
      <c r="E149" s="540" t="s">
        <v>235</v>
      </c>
      <c r="G149" s="541" t="s">
        <v>30</v>
      </c>
      <c r="H149" s="541">
        <f>SUM(J149:EG149)</f>
        <v>221286.6479110517</v>
      </c>
      <c r="J149" s="541">
        <f t="shared" si="53" ref="J149:EG149">J146-J147-J148</f>
        <v>0</v>
      </c>
      <c r="K149" s="541">
        <f t="shared" si="53"/>
        <v>0</v>
      </c>
      <c r="L149" s="541">
        <f t="shared" si="53"/>
        <v>0</v>
      </c>
      <c r="M149" s="541">
        <f t="shared" si="53"/>
        <v>0</v>
      </c>
      <c r="N149" s="541">
        <f t="shared" si="53"/>
        <v>0</v>
      </c>
      <c r="O149" s="541">
        <f t="shared" si="53"/>
        <v>0</v>
      </c>
      <c r="P149" s="541">
        <f t="shared" si="53"/>
        <v>-1.8189894035458565E-12</v>
      </c>
      <c r="Q149" s="541">
        <f t="shared" si="53"/>
        <v>0</v>
      </c>
      <c r="R149" s="541">
        <f t="shared" si="53"/>
        <v>1382.3281928992874</v>
      </c>
      <c r="S149" s="541">
        <f t="shared" si="53"/>
        <v>17980.844765662525</v>
      </c>
      <c r="T149" s="541">
        <f t="shared" si="53"/>
        <v>18373.00855600759</v>
      </c>
      <c r="U149" s="541">
        <f t="shared" si="53"/>
        <v>18794.294603184764</v>
      </c>
      <c r="V149" s="541">
        <f t="shared" si="53"/>
        <v>17560.929412437468</v>
      </c>
      <c r="W149" s="541">
        <f t="shared" si="53"/>
        <v>17427.529348846478</v>
      </c>
      <c r="X149" s="541">
        <f t="shared" si="53"/>
        <v>15736.56271752895</v>
      </c>
      <c r="Y149" s="541">
        <f t="shared" si="53"/>
        <v>13805.731154549694</v>
      </c>
      <c r="Z149" s="541">
        <f t="shared" si="53"/>
        <v>12901.477428191107</v>
      </c>
      <c r="AA149" s="541">
        <f t="shared" si="53"/>
        <v>14399.761727471965</v>
      </c>
      <c r="AB149" s="541">
        <f t="shared" si="53"/>
        <v>15143.672002923853</v>
      </c>
      <c r="AC149" s="541">
        <f t="shared" si="53"/>
        <v>15043.412380382597</v>
      </c>
      <c r="AD149" s="541">
        <f t="shared" si="53"/>
        <v>13719.08131146606</v>
      </c>
      <c r="AE149" s="541">
        <f t="shared" si="53"/>
        <v>8683.3953250207269</v>
      </c>
      <c r="AF149" s="541">
        <f t="shared" si="53"/>
        <v>6872.7289999061568</v>
      </c>
      <c r="AG149" s="541">
        <f t="shared" si="53"/>
        <v>13461.889984572472</v>
      </c>
      <c r="AH149" s="541">
        <f t="shared" si="53"/>
        <v>0</v>
      </c>
      <c r="AI149" s="541">
        <f t="shared" si="53"/>
        <v>0</v>
      </c>
      <c r="AJ149" s="541">
        <f t="shared" si="53"/>
        <v>0</v>
      </c>
      <c r="AK149" s="541">
        <f t="shared" si="53"/>
        <v>0</v>
      </c>
      <c r="AL149" s="541">
        <f t="shared" si="53"/>
        <v>0</v>
      </c>
      <c r="AM149" s="541">
        <f t="shared" si="53"/>
        <v>0</v>
      </c>
      <c r="AN149" s="541">
        <f t="shared" si="53"/>
        <v>0</v>
      </c>
      <c r="AO149" s="541">
        <f t="shared" si="53"/>
        <v>0</v>
      </c>
      <c r="AP149" s="541">
        <f t="shared" si="53"/>
        <v>0</v>
      </c>
      <c r="AQ149" s="541">
        <f t="shared" si="53"/>
        <v>0</v>
      </c>
      <c r="AR149" s="541">
        <f t="shared" si="53"/>
        <v>0</v>
      </c>
      <c r="AS149" s="541">
        <f t="shared" si="53"/>
        <v>0</v>
      </c>
      <c r="AT149" s="541">
        <f t="shared" si="53"/>
        <v>0</v>
      </c>
      <c r="AU149" s="541">
        <f t="shared" si="53"/>
        <v>0</v>
      </c>
      <c r="AV149" s="541">
        <f t="shared" si="53"/>
        <v>0</v>
      </c>
      <c r="AW149" s="541">
        <f t="shared" si="53"/>
        <v>0</v>
      </c>
      <c r="AX149" s="541">
        <f t="shared" si="53"/>
        <v>0</v>
      </c>
      <c r="AY149" s="541">
        <f t="shared" si="53"/>
        <v>0</v>
      </c>
      <c r="AZ149" s="541">
        <f t="shared" si="53"/>
        <v>0</v>
      </c>
      <c r="BA149" s="541">
        <f t="shared" si="53"/>
        <v>0</v>
      </c>
      <c r="BB149" s="541">
        <f t="shared" si="53"/>
        <v>0</v>
      </c>
      <c r="BC149" s="541">
        <f t="shared" si="53"/>
        <v>0</v>
      </c>
      <c r="BD149" s="541">
        <f t="shared" si="53"/>
        <v>0</v>
      </c>
      <c r="BE149" s="541">
        <f t="shared" si="53"/>
        <v>0</v>
      </c>
      <c r="BF149" s="541">
        <f t="shared" si="53"/>
        <v>0</v>
      </c>
      <c r="BG149" s="541">
        <f t="shared" si="53"/>
        <v>0</v>
      </c>
      <c r="BH149" s="541">
        <f t="shared" si="53"/>
        <v>0</v>
      </c>
      <c r="BI149" s="541">
        <f t="shared" si="53"/>
        <v>0</v>
      </c>
      <c r="BJ149" s="541">
        <f t="shared" si="53"/>
        <v>0</v>
      </c>
      <c r="BK149" s="541">
        <f t="shared" si="53"/>
        <v>0</v>
      </c>
      <c r="BL149" s="541">
        <f t="shared" si="53"/>
        <v>0</v>
      </c>
      <c r="BM149" s="541">
        <f t="shared" si="53"/>
        <v>0</v>
      </c>
      <c r="BN149" s="541">
        <f t="shared" si="53"/>
        <v>0</v>
      </c>
      <c r="BO149" s="541">
        <f t="shared" si="53"/>
        <v>0</v>
      </c>
      <c r="BP149" s="541">
        <f t="shared" si="53"/>
        <v>0</v>
      </c>
      <c r="BQ149" s="541">
        <f t="shared" si="53"/>
        <v>0</v>
      </c>
      <c r="BR149" s="541">
        <f t="shared" si="53"/>
        <v>0</v>
      </c>
      <c r="BS149" s="541">
        <f t="shared" si="53"/>
        <v>0</v>
      </c>
      <c r="BT149" s="541">
        <f t="shared" si="53"/>
        <v>0</v>
      </c>
      <c r="BU149" s="541">
        <f t="shared" si="53"/>
        <v>0</v>
      </c>
      <c r="BV149" s="541">
        <f t="shared" si="53"/>
        <v>0</v>
      </c>
      <c r="BW149" s="541">
        <f t="shared" si="53"/>
        <v>0</v>
      </c>
      <c r="BX149" s="541">
        <f t="shared" si="53"/>
        <v>0</v>
      </c>
      <c r="BY149" s="541">
        <f t="shared" si="53"/>
        <v>0</v>
      </c>
      <c r="BZ149" s="541">
        <f t="shared" si="53"/>
        <v>0</v>
      </c>
      <c r="CA149" s="541">
        <f t="shared" si="53"/>
        <v>0</v>
      </c>
      <c r="CB149" s="541">
        <f t="shared" si="53"/>
        <v>0</v>
      </c>
      <c r="CC149" s="541">
        <f t="shared" si="53"/>
        <v>0</v>
      </c>
      <c r="CD149" s="541">
        <f t="shared" si="53"/>
        <v>0</v>
      </c>
      <c r="CE149" s="541">
        <f t="shared" si="53"/>
        <v>0</v>
      </c>
      <c r="CF149" s="541">
        <f t="shared" si="53"/>
        <v>0</v>
      </c>
      <c r="CG149" s="541">
        <f t="shared" si="53"/>
        <v>0</v>
      </c>
      <c r="CH149" s="541">
        <f t="shared" si="53"/>
        <v>0</v>
      </c>
      <c r="CI149" s="541">
        <f t="shared" si="53"/>
        <v>0</v>
      </c>
      <c r="CJ149" s="541">
        <f t="shared" si="53"/>
        <v>0</v>
      </c>
      <c r="CK149" s="541">
        <f t="shared" si="53"/>
        <v>0</v>
      </c>
      <c r="CL149" s="541">
        <f t="shared" si="53"/>
        <v>0</v>
      </c>
      <c r="CM149" s="541">
        <f t="shared" si="53"/>
        <v>0</v>
      </c>
      <c r="CN149" s="541">
        <f t="shared" si="53"/>
        <v>0</v>
      </c>
      <c r="CO149" s="541">
        <f t="shared" si="53"/>
        <v>0</v>
      </c>
      <c r="CP149" s="541">
        <f t="shared" si="53"/>
        <v>0</v>
      </c>
      <c r="CQ149" s="541">
        <f t="shared" si="53"/>
        <v>0</v>
      </c>
      <c r="CR149" s="541">
        <f t="shared" si="53"/>
        <v>0</v>
      </c>
      <c r="CS149" s="541">
        <f t="shared" si="53"/>
        <v>0</v>
      </c>
      <c r="CT149" s="541">
        <f t="shared" si="53"/>
        <v>0</v>
      </c>
      <c r="CU149" s="541">
        <f t="shared" si="53"/>
        <v>0</v>
      </c>
      <c r="CV149" s="541">
        <f t="shared" si="53"/>
        <v>0</v>
      </c>
      <c r="CW149" s="541">
        <f t="shared" si="53"/>
        <v>0</v>
      </c>
      <c r="CX149" s="541">
        <f t="shared" si="53"/>
        <v>0</v>
      </c>
      <c r="CY149" s="541">
        <f t="shared" si="53"/>
        <v>0</v>
      </c>
      <c r="CZ149" s="541">
        <f t="shared" si="53"/>
        <v>0</v>
      </c>
      <c r="DA149" s="541">
        <f t="shared" si="53"/>
        <v>0</v>
      </c>
      <c r="DB149" s="541">
        <f t="shared" si="53"/>
        <v>0</v>
      </c>
      <c r="DC149" s="541">
        <f t="shared" si="53"/>
        <v>0</v>
      </c>
      <c r="DD149" s="541">
        <f t="shared" si="53"/>
        <v>0</v>
      </c>
      <c r="DE149" s="541">
        <f t="shared" si="53"/>
        <v>0</v>
      </c>
      <c r="DF149" s="541">
        <f t="shared" si="53"/>
        <v>0</v>
      </c>
      <c r="DG149" s="541">
        <f t="shared" si="53"/>
        <v>0</v>
      </c>
      <c r="DH149" s="541">
        <f t="shared" si="53"/>
        <v>0</v>
      </c>
      <c r="DI149" s="541">
        <f t="shared" si="53"/>
        <v>0</v>
      </c>
      <c r="DJ149" s="541">
        <f t="shared" si="53"/>
        <v>0</v>
      </c>
      <c r="DK149" s="541">
        <f t="shared" si="53"/>
        <v>0</v>
      </c>
      <c r="DL149" s="541">
        <f t="shared" si="53"/>
        <v>0</v>
      </c>
      <c r="DM149" s="541">
        <f t="shared" si="53"/>
        <v>0</v>
      </c>
      <c r="DN149" s="541">
        <f t="shared" si="53"/>
        <v>0</v>
      </c>
      <c r="DO149" s="541">
        <f t="shared" si="53"/>
        <v>0</v>
      </c>
      <c r="DP149" s="541">
        <f t="shared" si="53"/>
        <v>0</v>
      </c>
      <c r="DQ149" s="541">
        <f t="shared" si="53"/>
        <v>0</v>
      </c>
      <c r="DR149" s="541">
        <f t="shared" si="53"/>
        <v>0</v>
      </c>
      <c r="DS149" s="541">
        <f t="shared" si="53"/>
        <v>0</v>
      </c>
      <c r="DT149" s="541">
        <f t="shared" si="53"/>
        <v>0</v>
      </c>
      <c r="DU149" s="541">
        <f t="shared" si="53"/>
        <v>0</v>
      </c>
      <c r="DV149" s="541">
        <f t="shared" si="53"/>
        <v>0</v>
      </c>
      <c r="DW149" s="541">
        <f t="shared" si="53"/>
        <v>0</v>
      </c>
      <c r="DX149" s="541">
        <f t="shared" si="53"/>
        <v>0</v>
      </c>
      <c r="DY149" s="541">
        <f t="shared" si="53"/>
        <v>0</v>
      </c>
      <c r="DZ149" s="541">
        <f t="shared" si="53"/>
        <v>0</v>
      </c>
      <c r="EA149" s="541">
        <f t="shared" si="53"/>
        <v>0</v>
      </c>
      <c r="EB149" s="541">
        <f t="shared" si="53"/>
        <v>0</v>
      </c>
      <c r="EC149" s="541">
        <f t="shared" si="53"/>
        <v>0</v>
      </c>
      <c r="ED149" s="541">
        <f t="shared" si="53"/>
        <v>0</v>
      </c>
      <c r="EE149" s="541">
        <f t="shared" si="53"/>
        <v>0</v>
      </c>
      <c r="EF149" s="541">
        <f t="shared" si="53"/>
        <v>0</v>
      </c>
      <c r="EG149" s="541">
        <f t="shared" si="53"/>
        <v>0</v>
      </c>
    </row>
    <row r="151" spans="2:2" ht="12.75">
      <c r="B151" s="534" t="s">
        <v>236</v>
      </c>
    </row>
    <row r="152" spans="5:7" ht="12.75">
      <c r="E152" s="538" t="str">
        <f>E$117</f>
        <v>Senior facility - amount</v>
      </c>
      <c r="F152" s="539">
        <f>F$117</f>
        <v>221286.64791105167</v>
      </c>
      <c r="G152" s="539" t="str">
        <f>G$117</f>
        <v>EUR 000s</v>
      </c>
    </row>
    <row r="153" spans="5:137" ht="12.75">
      <c r="E153" s="535" t="str">
        <f>Debt!E$57</f>
        <v>Senior facility - opening balance</v>
      </c>
      <c r="G153" s="537" t="str">
        <f>Debt!G$57</f>
        <v>EUR 000s</v>
      </c>
      <c r="H153" s="537">
        <f>Debt!H$57</f>
        <v>11123186.810732836</v>
      </c>
      <c r="J153" s="537">
        <f>Debt!J$57</f>
        <v>0</v>
      </c>
      <c r="K153" s="537">
        <f>Debt!K$57</f>
        <v>0</v>
      </c>
      <c r="L153" s="537">
        <f>Debt!L$57</f>
        <v>0</v>
      </c>
      <c r="M153" s="537">
        <f>Debt!M$57</f>
        <v>0</v>
      </c>
      <c r="N153" s="537">
        <f>Debt!N$57</f>
        <v>0</v>
      </c>
      <c r="O153" s="537">
        <f>Debt!O$57</f>
        <v>0</v>
      </c>
      <c r="P153" s="537">
        <f>Debt!P$57</f>
        <v>0</v>
      </c>
      <c r="Q153" s="537">
        <f>Debt!Q$57</f>
        <v>0</v>
      </c>
      <c r="R153" s="537">
        <f>Debt!R$57</f>
        <v>0</v>
      </c>
      <c r="S153" s="537">
        <f>Debt!S$57</f>
        <v>1382.3281928992874</v>
      </c>
      <c r="T153" s="537">
        <f>Debt!T$57</f>
        <v>19363.172958561812</v>
      </c>
      <c r="U153" s="537">
        <f>Debt!U$57</f>
        <v>37736.181514569398</v>
      </c>
      <c r="V153" s="537">
        <f>Debt!V$57</f>
        <v>56530.476117754166</v>
      </c>
      <c r="W153" s="537">
        <f>Debt!W$57</f>
        <v>74091.405530191638</v>
      </c>
      <c r="X153" s="537">
        <f>Debt!X$57</f>
        <v>91518.934879038119</v>
      </c>
      <c r="Y153" s="537">
        <f>Debt!Y$57</f>
        <v>107255.49759656707</v>
      </c>
      <c r="Z153" s="537">
        <f>Debt!Z$57</f>
        <v>121061.22875111677</v>
      </c>
      <c r="AA153" s="537">
        <f>Debt!AA$57</f>
        <v>133962.70617930786</v>
      </c>
      <c r="AB153" s="537">
        <f>Debt!AB$57</f>
        <v>148362.46790677981</v>
      </c>
      <c r="AC153" s="537">
        <f>Debt!AC$57</f>
        <v>163506.13990970366</v>
      </c>
      <c r="AD153" s="537">
        <f>Debt!AD$57</f>
        <v>178549.55229008626</v>
      </c>
      <c r="AE153" s="537">
        <f>Debt!AE$57</f>
        <v>192268.63360155231</v>
      </c>
      <c r="AF153" s="537">
        <f>Debt!AF$57</f>
        <v>200952.02892657305</v>
      </c>
      <c r="AG153" s="537">
        <f>Debt!AG$57</f>
        <v>207824.75792647921</v>
      </c>
      <c r="AH153" s="537">
        <f>Debt!AH$57</f>
        <v>221286.6479110517</v>
      </c>
      <c r="AI153" s="537">
        <f>Debt!AI$57</f>
        <v>220608.823757429</v>
      </c>
      <c r="AJ153" s="537">
        <f>Debt!AJ$57</f>
        <v>218979.44471839062</v>
      </c>
      <c r="AK153" s="537">
        <f>Debt!AK$57</f>
        <v>217360.94638439317</v>
      </c>
      <c r="AL153" s="537">
        <f>Debt!AL$57</f>
        <v>215730.19804249654</v>
      </c>
      <c r="AM153" s="537">
        <f>Debt!AM$57</f>
        <v>213962.26862143833</v>
      </c>
      <c r="AN153" s="537">
        <f>Debt!AN$57</f>
        <v>212160.04600216408</v>
      </c>
      <c r="AO153" s="537">
        <f>Debt!AO$57</f>
        <v>210365.30914698011</v>
      </c>
      <c r="AP153" s="537">
        <f>Debt!AP$57</f>
        <v>208556.00183225214</v>
      </c>
      <c r="AQ153" s="537">
        <f>Debt!AQ$57</f>
        <v>206608.1421623468</v>
      </c>
      <c r="AR153" s="537">
        <f>Debt!AR$57</f>
        <v>204622.0325392868</v>
      </c>
      <c r="AS153" s="537">
        <f>Debt!AS$57</f>
        <v>202639.75403211112</v>
      </c>
      <c r="AT153" s="537">
        <f>Debt!AT$57</f>
        <v>200640.42828787459</v>
      </c>
      <c r="AU153" s="537">
        <f>Debt!AU$57</f>
        <v>198520.66321847215</v>
      </c>
      <c r="AV153" s="537">
        <f>Debt!AV$57</f>
        <v>196350.0423303475</v>
      </c>
      <c r="AW153" s="537">
        <f>Debt!AW$57</f>
        <v>194168.68761815928</v>
      </c>
      <c r="AX153" s="537">
        <f>Debt!AX$57</f>
        <v>191969.90220643775</v>
      </c>
      <c r="AY153" s="537">
        <f>Debt!AY$57</f>
        <v>189627.72643192843</v>
      </c>
      <c r="AZ153" s="537">
        <f>Debt!AZ$57</f>
        <v>187238.5892801146</v>
      </c>
      <c r="BA153" s="537">
        <f>Debt!BA$57</f>
        <v>184845.14286697507</v>
      </c>
      <c r="BB153" s="537">
        <f>Debt!BB$57</f>
        <v>182431.62986282675</v>
      </c>
      <c r="BC153" s="537">
        <f>Debt!BC$57</f>
        <v>179936.99651467081</v>
      </c>
      <c r="BD153" s="537">
        <f>Debt!BD$57</f>
        <v>177400.57976910818</v>
      </c>
      <c r="BE153" s="537">
        <f>Debt!BE$57</f>
        <v>174865.04661232483</v>
      </c>
      <c r="BF153" s="537">
        <f>Debt!BF$57</f>
        <v>172313.4684083091</v>
      </c>
      <c r="BG153" s="537">
        <f>Debt!BG$57</f>
        <v>169632.07902517688</v>
      </c>
      <c r="BH153" s="537">
        <f>Debt!BH$57</f>
        <v>166902.89896300616</v>
      </c>
      <c r="BI153" s="537">
        <f>Debt!BI$57</f>
        <v>164168.91807115515</v>
      </c>
      <c r="BJ153" s="537">
        <f>Debt!BJ$57</f>
        <v>161414.86878840948</v>
      </c>
      <c r="BK153" s="537">
        <f>Debt!BK$57</f>
        <v>158542.07659269078</v>
      </c>
      <c r="BL153" s="537">
        <f>Debt!BL$57</f>
        <v>155613.84125510571</v>
      </c>
      <c r="BM153" s="537">
        <f>Debt!BM$57</f>
        <v>152663.86316474082</v>
      </c>
      <c r="BN153" s="537">
        <f>Debt!BN$57</f>
        <v>149689.78500478482</v>
      </c>
      <c r="BO153" s="537">
        <f>Debt!BO$57</f>
        <v>146582.18825556862</v>
      </c>
      <c r="BP153" s="537">
        <f>Debt!BP$57</f>
        <v>143414.45037753851</v>
      </c>
      <c r="BQ153" s="537">
        <f>Debt!BQ$57</f>
        <v>140230.13643606377</v>
      </c>
      <c r="BR153" s="537">
        <f>Debt!BR$57</f>
        <v>137017.63189573269</v>
      </c>
      <c r="BS153" s="537">
        <f>Debt!BS$57</f>
        <v>133616.70893983805</v>
      </c>
      <c r="BT153" s="537">
        <f>Debt!BT$57</f>
        <v>130148.4594856113</v>
      </c>
      <c r="BU153" s="537">
        <f>Debt!BU$57</f>
        <v>126656.67559847518</v>
      </c>
      <c r="BV153" s="537">
        <f>Debt!BV$57</f>
        <v>123131.75917005076</v>
      </c>
      <c r="BW153" s="537">
        <f>Debt!BW$57</f>
        <v>119608.92849224193</v>
      </c>
      <c r="BX153" s="537">
        <f>Debt!BX$57</f>
        <v>116425.03572762878</v>
      </c>
      <c r="BY153" s="537">
        <f>Debt!BY$57</f>
        <v>113226.81814732924</v>
      </c>
      <c r="BZ153" s="537">
        <f>Debt!BZ$57</f>
        <v>110006.70537313426</v>
      </c>
      <c r="CA153" s="537">
        <f>Debt!CA$57</f>
        <v>106679.6446537234</v>
      </c>
      <c r="CB153" s="537">
        <f>Debt!CB$57</f>
        <v>103294.20127478741</v>
      </c>
      <c r="CC153" s="537">
        <f>Debt!CC$57</f>
        <v>99911.910581940261</v>
      </c>
      <c r="CD153" s="537">
        <f>Debt!CD$57</f>
        <v>96679.218965814158</v>
      </c>
      <c r="CE153" s="537">
        <f>Debt!CE$57</f>
        <v>93354.866903009097</v>
      </c>
      <c r="CF153" s="537">
        <f>Debt!CF$57</f>
        <v>89964.772122112496</v>
      </c>
      <c r="CG153" s="537">
        <f>Debt!CG$57</f>
        <v>86553.919799695548</v>
      </c>
      <c r="CH153" s="537">
        <f>Debt!CH$57</f>
        <v>83121.179559975688</v>
      </c>
      <c r="CI153" s="537">
        <f>Debt!CI$57</f>
        <v>79593.959452813389</v>
      </c>
      <c r="CJ153" s="537">
        <f>Debt!CJ$57</f>
        <v>75995.047897345838</v>
      </c>
      <c r="CK153" s="537">
        <f>Debt!CK$57</f>
        <v>72369.711752529605</v>
      </c>
      <c r="CL153" s="537">
        <f>Debt!CL$57</f>
        <v>68718.73893250621</v>
      </c>
      <c r="CM153" s="537">
        <f>Debt!CM$57</f>
        <v>64684.850956016817</v>
      </c>
      <c r="CN153" s="537">
        <f>Debt!CN$57</f>
        <v>60569.829778725034</v>
      </c>
      <c r="CO153" s="537">
        <f>Debt!CO$57</f>
        <v>56419.081896961972</v>
      </c>
      <c r="CP153" s="537">
        <f>Debt!CP$57</f>
        <v>52235.409698162868</v>
      </c>
      <c r="CQ153" s="537">
        <f>Debt!CQ$57</f>
        <v>48233.700504559805</v>
      </c>
      <c r="CR153" s="537">
        <f>Debt!CR$57</f>
        <v>44165.862871224701</v>
      </c>
      <c r="CS153" s="537">
        <f>Debt!CS$57</f>
        <v>40047.476011156585</v>
      </c>
      <c r="CT153" s="537">
        <f>Debt!CT$57</f>
        <v>35895.790506489262</v>
      </c>
      <c r="CU153" s="537">
        <f>Debt!CU$57</f>
        <v>31647.260735279633</v>
      </c>
      <c r="CV153" s="537">
        <f>Debt!CV$57</f>
        <v>27308.313550612747</v>
      </c>
      <c r="CW153" s="537">
        <f>Debt!CW$57</f>
        <v>22924.904066388648</v>
      </c>
      <c r="CX153" s="537">
        <f>Debt!CX$57</f>
        <v>18504.379611735581</v>
      </c>
      <c r="CY153" s="537">
        <f>Debt!CY$57</f>
        <v>13986.578233532302</v>
      </c>
      <c r="CZ153" s="537">
        <f>Debt!CZ$57</f>
        <v>9371.8894561927991</v>
      </c>
      <c r="DA153" s="537">
        <f>Debt!DA$57</f>
        <v>4706.4513561860967</v>
      </c>
      <c r="DB153" s="537">
        <f>Debt!DB$57</f>
        <v>0</v>
      </c>
      <c r="DC153" s="537">
        <f>Debt!DC$57</f>
        <v>0</v>
      </c>
      <c r="DD153" s="537">
        <f>Debt!DD$57</f>
        <v>0</v>
      </c>
      <c r="DE153" s="537">
        <f>Debt!DE$57</f>
        <v>0</v>
      </c>
      <c r="DF153" s="537">
        <f>Debt!DF$57</f>
        <v>0</v>
      </c>
      <c r="DG153" s="537">
        <f>Debt!DG$57</f>
        <v>0</v>
      </c>
      <c r="DH153" s="537">
        <f>Debt!DH$57</f>
        <v>0</v>
      </c>
      <c r="DI153" s="537">
        <f>Debt!DI$57</f>
        <v>0</v>
      </c>
      <c r="DJ153" s="537">
        <f>Debt!DJ$57</f>
        <v>0</v>
      </c>
      <c r="DK153" s="537">
        <f>Debt!DK$57</f>
        <v>0</v>
      </c>
      <c r="DL153" s="537">
        <f>Debt!DL$57</f>
        <v>0</v>
      </c>
      <c r="DM153" s="537">
        <f>Debt!DM$57</f>
        <v>0</v>
      </c>
      <c r="DN153" s="537">
        <f>Debt!DN$57</f>
        <v>0</v>
      </c>
      <c r="DO153" s="537">
        <f>Debt!DO$57</f>
        <v>0</v>
      </c>
      <c r="DP153" s="537">
        <f>Debt!DP$57</f>
        <v>0</v>
      </c>
      <c r="DQ153" s="537">
        <f>Debt!DQ$57</f>
        <v>0</v>
      </c>
      <c r="DR153" s="537">
        <f>Debt!DR$57</f>
        <v>0</v>
      </c>
      <c r="DS153" s="537">
        <f>Debt!DS$57</f>
        <v>0</v>
      </c>
      <c r="DT153" s="537">
        <f>Debt!DT$57</f>
        <v>0</v>
      </c>
      <c r="DU153" s="537">
        <f>Debt!DU$57</f>
        <v>0</v>
      </c>
      <c r="DV153" s="537">
        <f>Debt!DV$57</f>
        <v>0</v>
      </c>
      <c r="DW153" s="537">
        <f>Debt!DW$57</f>
        <v>0</v>
      </c>
      <c r="DX153" s="537">
        <f>Debt!DX$57</f>
        <v>0</v>
      </c>
      <c r="DY153" s="537">
        <f>Debt!DY$57</f>
        <v>0</v>
      </c>
      <c r="DZ153" s="537">
        <f>Debt!DZ$57</f>
        <v>0</v>
      </c>
      <c r="EA153" s="537">
        <f>Debt!EA$57</f>
        <v>0</v>
      </c>
      <c r="EB153" s="537">
        <f>Debt!EB$57</f>
        <v>0</v>
      </c>
      <c r="EC153" s="537">
        <f>Debt!EC$57</f>
        <v>0</v>
      </c>
      <c r="ED153" s="537">
        <f>Debt!ED$57</f>
        <v>0</v>
      </c>
      <c r="EE153" s="537">
        <f>Debt!EE$57</f>
        <v>0</v>
      </c>
      <c r="EF153" s="537">
        <f>Debt!EF$57</f>
        <v>0</v>
      </c>
      <c r="EG153" s="537">
        <f>Debt!EG$57</f>
        <v>0</v>
      </c>
    </row>
    <row r="154" spans="5:137" ht="12.75">
      <c r="E154" s="535" t="str">
        <f>Time!E$58</f>
        <v>Financial close date flag</v>
      </c>
      <c r="G154" s="537" t="str">
        <f>Time!G$58</f>
        <v>flag</v>
      </c>
      <c r="H154" s="537">
        <f>Time!H$58</f>
        <v>1</v>
      </c>
      <c r="J154" s="537">
        <f>Time!J$58</f>
        <v>0</v>
      </c>
      <c r="K154" s="537">
        <f>Time!K$58</f>
        <v>0</v>
      </c>
      <c r="L154" s="537">
        <f>Time!L$58</f>
        <v>1</v>
      </c>
      <c r="M154" s="537">
        <f>Time!M$58</f>
        <v>0</v>
      </c>
      <c r="N154" s="537">
        <f>Time!N$58</f>
        <v>0</v>
      </c>
      <c r="O154" s="537">
        <f>Time!O$58</f>
        <v>0</v>
      </c>
      <c r="P154" s="537">
        <f>Time!P$58</f>
        <v>0</v>
      </c>
      <c r="Q154" s="537">
        <f>Time!Q$58</f>
        <v>0</v>
      </c>
      <c r="R154" s="537">
        <f>Time!R$58</f>
        <v>0</v>
      </c>
      <c r="S154" s="537">
        <f>Time!S$58</f>
        <v>0</v>
      </c>
      <c r="T154" s="537">
        <f>Time!T$58</f>
        <v>0</v>
      </c>
      <c r="U154" s="537">
        <f>Time!U$58</f>
        <v>0</v>
      </c>
      <c r="V154" s="537">
        <f>Time!V$58</f>
        <v>0</v>
      </c>
      <c r="W154" s="537">
        <f>Time!W$58</f>
        <v>0</v>
      </c>
      <c r="X154" s="537">
        <f>Time!X$58</f>
        <v>0</v>
      </c>
      <c r="Y154" s="537">
        <f>Time!Y$58</f>
        <v>0</v>
      </c>
      <c r="Z154" s="537">
        <f>Time!Z$58</f>
        <v>0</v>
      </c>
      <c r="AA154" s="537">
        <f>Time!AA$58</f>
        <v>0</v>
      </c>
      <c r="AB154" s="537">
        <f>Time!AB$58</f>
        <v>0</v>
      </c>
      <c r="AC154" s="537">
        <f>Time!AC$58</f>
        <v>0</v>
      </c>
      <c r="AD154" s="537">
        <f>Time!AD$58</f>
        <v>0</v>
      </c>
      <c r="AE154" s="537">
        <f>Time!AE$58</f>
        <v>0</v>
      </c>
      <c r="AF154" s="537">
        <f>Time!AF$58</f>
        <v>0</v>
      </c>
      <c r="AG154" s="537">
        <f>Time!AG$58</f>
        <v>0</v>
      </c>
      <c r="AH154" s="537">
        <f>Time!AH$58</f>
        <v>0</v>
      </c>
      <c r="AI154" s="537">
        <f>Time!AI$58</f>
        <v>0</v>
      </c>
      <c r="AJ154" s="537">
        <f>Time!AJ$58</f>
        <v>0</v>
      </c>
      <c r="AK154" s="537">
        <f>Time!AK$58</f>
        <v>0</v>
      </c>
      <c r="AL154" s="537">
        <f>Time!AL$58</f>
        <v>0</v>
      </c>
      <c r="AM154" s="537">
        <f>Time!AM$58</f>
        <v>0</v>
      </c>
      <c r="AN154" s="537">
        <f>Time!AN$58</f>
        <v>0</v>
      </c>
      <c r="AO154" s="537">
        <f>Time!AO$58</f>
        <v>0</v>
      </c>
      <c r="AP154" s="537">
        <f>Time!AP$58</f>
        <v>0</v>
      </c>
      <c r="AQ154" s="537">
        <f>Time!AQ$58</f>
        <v>0</v>
      </c>
      <c r="AR154" s="537">
        <f>Time!AR$58</f>
        <v>0</v>
      </c>
      <c r="AS154" s="537">
        <f>Time!AS$58</f>
        <v>0</v>
      </c>
      <c r="AT154" s="537">
        <f>Time!AT$58</f>
        <v>0</v>
      </c>
      <c r="AU154" s="537">
        <f>Time!AU$58</f>
        <v>0</v>
      </c>
      <c r="AV154" s="537">
        <f>Time!AV$58</f>
        <v>0</v>
      </c>
      <c r="AW154" s="537">
        <f>Time!AW$58</f>
        <v>0</v>
      </c>
      <c r="AX154" s="537">
        <f>Time!AX$58</f>
        <v>0</v>
      </c>
      <c r="AY154" s="537">
        <f>Time!AY$58</f>
        <v>0</v>
      </c>
      <c r="AZ154" s="537">
        <f>Time!AZ$58</f>
        <v>0</v>
      </c>
      <c r="BA154" s="537">
        <f>Time!BA$58</f>
        <v>0</v>
      </c>
      <c r="BB154" s="537">
        <f>Time!BB$58</f>
        <v>0</v>
      </c>
      <c r="BC154" s="537">
        <f>Time!BC$58</f>
        <v>0</v>
      </c>
      <c r="BD154" s="537">
        <f>Time!BD$58</f>
        <v>0</v>
      </c>
      <c r="BE154" s="537">
        <f>Time!BE$58</f>
        <v>0</v>
      </c>
      <c r="BF154" s="537">
        <f>Time!BF$58</f>
        <v>0</v>
      </c>
      <c r="BG154" s="537">
        <f>Time!BG$58</f>
        <v>0</v>
      </c>
      <c r="BH154" s="537">
        <f>Time!BH$58</f>
        <v>0</v>
      </c>
      <c r="BI154" s="537">
        <f>Time!BI$58</f>
        <v>0</v>
      </c>
      <c r="BJ154" s="537">
        <f>Time!BJ$58</f>
        <v>0</v>
      </c>
      <c r="BK154" s="537">
        <f>Time!BK$58</f>
        <v>0</v>
      </c>
      <c r="BL154" s="537">
        <f>Time!BL$58</f>
        <v>0</v>
      </c>
      <c r="BM154" s="537">
        <f>Time!BM$58</f>
        <v>0</v>
      </c>
      <c r="BN154" s="537">
        <f>Time!BN$58</f>
        <v>0</v>
      </c>
      <c r="BO154" s="537">
        <f>Time!BO$58</f>
        <v>0</v>
      </c>
      <c r="BP154" s="537">
        <f>Time!BP$58</f>
        <v>0</v>
      </c>
      <c r="BQ154" s="537">
        <f>Time!BQ$58</f>
        <v>0</v>
      </c>
      <c r="BR154" s="537">
        <f>Time!BR$58</f>
        <v>0</v>
      </c>
      <c r="BS154" s="537">
        <f>Time!BS$58</f>
        <v>0</v>
      </c>
      <c r="BT154" s="537">
        <f>Time!BT$58</f>
        <v>0</v>
      </c>
      <c r="BU154" s="537">
        <f>Time!BU$58</f>
        <v>0</v>
      </c>
      <c r="BV154" s="537">
        <f>Time!BV$58</f>
        <v>0</v>
      </c>
      <c r="BW154" s="537">
        <f>Time!BW$58</f>
        <v>0</v>
      </c>
      <c r="BX154" s="537">
        <f>Time!BX$58</f>
        <v>0</v>
      </c>
      <c r="BY154" s="537">
        <f>Time!BY$58</f>
        <v>0</v>
      </c>
      <c r="BZ154" s="537">
        <f>Time!BZ$58</f>
        <v>0</v>
      </c>
      <c r="CA154" s="537">
        <f>Time!CA$58</f>
        <v>0</v>
      </c>
      <c r="CB154" s="537">
        <f>Time!CB$58</f>
        <v>0</v>
      </c>
      <c r="CC154" s="537">
        <f>Time!CC$58</f>
        <v>0</v>
      </c>
      <c r="CD154" s="537">
        <f>Time!CD$58</f>
        <v>0</v>
      </c>
      <c r="CE154" s="537">
        <f>Time!CE$58</f>
        <v>0</v>
      </c>
      <c r="CF154" s="537">
        <f>Time!CF$58</f>
        <v>0</v>
      </c>
      <c r="CG154" s="537">
        <f>Time!CG$58</f>
        <v>0</v>
      </c>
      <c r="CH154" s="537">
        <f>Time!CH$58</f>
        <v>0</v>
      </c>
      <c r="CI154" s="537">
        <f>Time!CI$58</f>
        <v>0</v>
      </c>
      <c r="CJ154" s="537">
        <f>Time!CJ$58</f>
        <v>0</v>
      </c>
      <c r="CK154" s="537">
        <f>Time!CK$58</f>
        <v>0</v>
      </c>
      <c r="CL154" s="537">
        <f>Time!CL$58</f>
        <v>0</v>
      </c>
      <c r="CM154" s="537">
        <f>Time!CM$58</f>
        <v>0</v>
      </c>
      <c r="CN154" s="537">
        <f>Time!CN$58</f>
        <v>0</v>
      </c>
      <c r="CO154" s="537">
        <f>Time!CO$58</f>
        <v>0</v>
      </c>
      <c r="CP154" s="537">
        <f>Time!CP$58</f>
        <v>0</v>
      </c>
      <c r="CQ154" s="537">
        <f>Time!CQ$58</f>
        <v>0</v>
      </c>
      <c r="CR154" s="537">
        <f>Time!CR$58</f>
        <v>0</v>
      </c>
      <c r="CS154" s="537">
        <f>Time!CS$58</f>
        <v>0</v>
      </c>
      <c r="CT154" s="537">
        <f>Time!CT$58</f>
        <v>0</v>
      </c>
      <c r="CU154" s="537">
        <f>Time!CU$58</f>
        <v>0</v>
      </c>
      <c r="CV154" s="537">
        <f>Time!CV$58</f>
        <v>0</v>
      </c>
      <c r="CW154" s="537">
        <f>Time!CW$58</f>
        <v>0</v>
      </c>
      <c r="CX154" s="537">
        <f>Time!CX$58</f>
        <v>0</v>
      </c>
      <c r="CY154" s="537">
        <f>Time!CY$58</f>
        <v>0</v>
      </c>
      <c r="CZ154" s="537">
        <f>Time!CZ$58</f>
        <v>0</v>
      </c>
      <c r="DA154" s="537">
        <f>Time!DA$58</f>
        <v>0</v>
      </c>
      <c r="DB154" s="537">
        <f>Time!DB$58</f>
        <v>0</v>
      </c>
      <c r="DC154" s="537">
        <f>Time!DC$58</f>
        <v>0</v>
      </c>
      <c r="DD154" s="537">
        <f>Time!DD$58</f>
        <v>0</v>
      </c>
      <c r="DE154" s="537">
        <f>Time!DE$58</f>
        <v>0</v>
      </c>
      <c r="DF154" s="537">
        <f>Time!DF$58</f>
        <v>0</v>
      </c>
      <c r="DG154" s="537">
        <f>Time!DG$58</f>
        <v>0</v>
      </c>
      <c r="DH154" s="537">
        <f>Time!DH$58</f>
        <v>0</v>
      </c>
      <c r="DI154" s="537">
        <f>Time!DI$58</f>
        <v>0</v>
      </c>
      <c r="DJ154" s="537">
        <f>Time!DJ$58</f>
        <v>0</v>
      </c>
      <c r="DK154" s="537">
        <f>Time!DK$58</f>
        <v>0</v>
      </c>
      <c r="DL154" s="537">
        <f>Time!DL$58</f>
        <v>0</v>
      </c>
      <c r="DM154" s="537">
        <f>Time!DM$58</f>
        <v>0</v>
      </c>
      <c r="DN154" s="537">
        <f>Time!DN$58</f>
        <v>0</v>
      </c>
      <c r="DO154" s="537">
        <f>Time!DO$58</f>
        <v>0</v>
      </c>
      <c r="DP154" s="537">
        <f>Time!DP$58</f>
        <v>0</v>
      </c>
      <c r="DQ154" s="537">
        <f>Time!DQ$58</f>
        <v>0</v>
      </c>
      <c r="DR154" s="537">
        <f>Time!DR$58</f>
        <v>0</v>
      </c>
      <c r="DS154" s="537">
        <f>Time!DS$58</f>
        <v>0</v>
      </c>
      <c r="DT154" s="537">
        <f>Time!DT$58</f>
        <v>0</v>
      </c>
      <c r="DU154" s="537">
        <f>Time!DU$58</f>
        <v>0</v>
      </c>
      <c r="DV154" s="537">
        <f>Time!DV$58</f>
        <v>0</v>
      </c>
      <c r="DW154" s="537">
        <f>Time!DW$58</f>
        <v>0</v>
      </c>
      <c r="DX154" s="537">
        <f>Time!DX$58</f>
        <v>0</v>
      </c>
      <c r="DY154" s="537">
        <f>Time!DY$58</f>
        <v>0</v>
      </c>
      <c r="DZ154" s="537">
        <f>Time!DZ$58</f>
        <v>0</v>
      </c>
      <c r="EA154" s="537">
        <f>Time!EA$58</f>
        <v>0</v>
      </c>
      <c r="EB154" s="537">
        <f>Time!EB$58</f>
        <v>0</v>
      </c>
      <c r="EC154" s="537">
        <f>Time!EC$58</f>
        <v>0</v>
      </c>
      <c r="ED154" s="537">
        <f>Time!ED$58</f>
        <v>0</v>
      </c>
      <c r="EE154" s="537">
        <f>Time!EE$58</f>
        <v>0</v>
      </c>
      <c r="EF154" s="537">
        <f>Time!EF$58</f>
        <v>0</v>
      </c>
      <c r="EG154" s="537">
        <f>Time!EG$58</f>
        <v>0</v>
      </c>
    </row>
    <row r="155" spans="5:137" ht="12.75">
      <c r="E155" s="535" t="str">
        <f>Time!E$72</f>
        <v>Construction period flag</v>
      </c>
      <c r="G155" s="537" t="str">
        <f>Time!G$72</f>
        <v>flag</v>
      </c>
      <c r="H155" s="537">
        <f>Time!H$72</f>
        <v>21</v>
      </c>
      <c r="J155" s="537">
        <f>Time!J$72</f>
        <v>0</v>
      </c>
      <c r="K155" s="537">
        <f>Time!K$72</f>
        <v>0</v>
      </c>
      <c r="L155" s="537">
        <f>Time!L$72</f>
        <v>0</v>
      </c>
      <c r="M155" s="537">
        <f>Time!M$72</f>
        <v>1</v>
      </c>
      <c r="N155" s="537">
        <f>Time!N$72</f>
        <v>1</v>
      </c>
      <c r="O155" s="537">
        <f>Time!O$72</f>
        <v>1</v>
      </c>
      <c r="P155" s="537">
        <f>Time!P$72</f>
        <v>1</v>
      </c>
      <c r="Q155" s="537">
        <f>Time!Q$72</f>
        <v>1</v>
      </c>
      <c r="R155" s="537">
        <f>Time!R$72</f>
        <v>1</v>
      </c>
      <c r="S155" s="537">
        <f>Time!S$72</f>
        <v>1</v>
      </c>
      <c r="T155" s="537">
        <f>Time!T$72</f>
        <v>1</v>
      </c>
      <c r="U155" s="537">
        <f>Time!U$72</f>
        <v>1</v>
      </c>
      <c r="V155" s="537">
        <f>Time!V$72</f>
        <v>1</v>
      </c>
      <c r="W155" s="537">
        <f>Time!W$72</f>
        <v>1</v>
      </c>
      <c r="X155" s="537">
        <f>Time!X$72</f>
        <v>1</v>
      </c>
      <c r="Y155" s="537">
        <f>Time!Y$72</f>
        <v>1</v>
      </c>
      <c r="Z155" s="537">
        <f>Time!Z$72</f>
        <v>1</v>
      </c>
      <c r="AA155" s="537">
        <f>Time!AA$72</f>
        <v>1</v>
      </c>
      <c r="AB155" s="537">
        <f>Time!AB$72</f>
        <v>1</v>
      </c>
      <c r="AC155" s="537">
        <f>Time!AC$72</f>
        <v>1</v>
      </c>
      <c r="AD155" s="537">
        <f>Time!AD$72</f>
        <v>1</v>
      </c>
      <c r="AE155" s="537">
        <f>Time!AE$72</f>
        <v>1</v>
      </c>
      <c r="AF155" s="537">
        <f>Time!AF$72</f>
        <v>1</v>
      </c>
      <c r="AG155" s="537">
        <f>Time!AG$72</f>
        <v>1</v>
      </c>
      <c r="AH155" s="537">
        <f>Time!AH$72</f>
        <v>0</v>
      </c>
      <c r="AI155" s="537">
        <f>Time!AI$72</f>
        <v>0</v>
      </c>
      <c r="AJ155" s="537">
        <f>Time!AJ$72</f>
        <v>0</v>
      </c>
      <c r="AK155" s="537">
        <f>Time!AK$72</f>
        <v>0</v>
      </c>
      <c r="AL155" s="537">
        <f>Time!AL$72</f>
        <v>0</v>
      </c>
      <c r="AM155" s="537">
        <f>Time!AM$72</f>
        <v>0</v>
      </c>
      <c r="AN155" s="537">
        <f>Time!AN$72</f>
        <v>0</v>
      </c>
      <c r="AO155" s="537">
        <f>Time!AO$72</f>
        <v>0</v>
      </c>
      <c r="AP155" s="537">
        <f>Time!AP$72</f>
        <v>0</v>
      </c>
      <c r="AQ155" s="537">
        <f>Time!AQ$72</f>
        <v>0</v>
      </c>
      <c r="AR155" s="537">
        <f>Time!AR$72</f>
        <v>0</v>
      </c>
      <c r="AS155" s="537">
        <f>Time!AS$72</f>
        <v>0</v>
      </c>
      <c r="AT155" s="537">
        <f>Time!AT$72</f>
        <v>0</v>
      </c>
      <c r="AU155" s="537">
        <f>Time!AU$72</f>
        <v>0</v>
      </c>
      <c r="AV155" s="537">
        <f>Time!AV$72</f>
        <v>0</v>
      </c>
      <c r="AW155" s="537">
        <f>Time!AW$72</f>
        <v>0</v>
      </c>
      <c r="AX155" s="537">
        <f>Time!AX$72</f>
        <v>0</v>
      </c>
      <c r="AY155" s="537">
        <f>Time!AY$72</f>
        <v>0</v>
      </c>
      <c r="AZ155" s="537">
        <f>Time!AZ$72</f>
        <v>0</v>
      </c>
      <c r="BA155" s="537">
        <f>Time!BA$72</f>
        <v>0</v>
      </c>
      <c r="BB155" s="537">
        <f>Time!BB$72</f>
        <v>0</v>
      </c>
      <c r="BC155" s="537">
        <f>Time!BC$72</f>
        <v>0</v>
      </c>
      <c r="BD155" s="537">
        <f>Time!BD$72</f>
        <v>0</v>
      </c>
      <c r="BE155" s="537">
        <f>Time!BE$72</f>
        <v>0</v>
      </c>
      <c r="BF155" s="537">
        <f>Time!BF$72</f>
        <v>0</v>
      </c>
      <c r="BG155" s="537">
        <f>Time!BG$72</f>
        <v>0</v>
      </c>
      <c r="BH155" s="537">
        <f>Time!BH$72</f>
        <v>0</v>
      </c>
      <c r="BI155" s="537">
        <f>Time!BI$72</f>
        <v>0</v>
      </c>
      <c r="BJ155" s="537">
        <f>Time!BJ$72</f>
        <v>0</v>
      </c>
      <c r="BK155" s="537">
        <f>Time!BK$72</f>
        <v>0</v>
      </c>
      <c r="BL155" s="537">
        <f>Time!BL$72</f>
        <v>0</v>
      </c>
      <c r="BM155" s="537">
        <f>Time!BM$72</f>
        <v>0</v>
      </c>
      <c r="BN155" s="537">
        <f>Time!BN$72</f>
        <v>0</v>
      </c>
      <c r="BO155" s="537">
        <f>Time!BO$72</f>
        <v>0</v>
      </c>
      <c r="BP155" s="537">
        <f>Time!BP$72</f>
        <v>0</v>
      </c>
      <c r="BQ155" s="537">
        <f>Time!BQ$72</f>
        <v>0</v>
      </c>
      <c r="BR155" s="537">
        <f>Time!BR$72</f>
        <v>0</v>
      </c>
      <c r="BS155" s="537">
        <f>Time!BS$72</f>
        <v>0</v>
      </c>
      <c r="BT155" s="537">
        <f>Time!BT$72</f>
        <v>0</v>
      </c>
      <c r="BU155" s="537">
        <f>Time!BU$72</f>
        <v>0</v>
      </c>
      <c r="BV155" s="537">
        <f>Time!BV$72</f>
        <v>0</v>
      </c>
      <c r="BW155" s="537">
        <f>Time!BW$72</f>
        <v>0</v>
      </c>
      <c r="BX155" s="537">
        <f>Time!BX$72</f>
        <v>0</v>
      </c>
      <c r="BY155" s="537">
        <f>Time!BY$72</f>
        <v>0</v>
      </c>
      <c r="BZ155" s="537">
        <f>Time!BZ$72</f>
        <v>0</v>
      </c>
      <c r="CA155" s="537">
        <f>Time!CA$72</f>
        <v>0</v>
      </c>
      <c r="CB155" s="537">
        <f>Time!CB$72</f>
        <v>0</v>
      </c>
      <c r="CC155" s="537">
        <f>Time!CC$72</f>
        <v>0</v>
      </c>
      <c r="CD155" s="537">
        <f>Time!CD$72</f>
        <v>0</v>
      </c>
      <c r="CE155" s="537">
        <f>Time!CE$72</f>
        <v>0</v>
      </c>
      <c r="CF155" s="537">
        <f>Time!CF$72</f>
        <v>0</v>
      </c>
      <c r="CG155" s="537">
        <f>Time!CG$72</f>
        <v>0</v>
      </c>
      <c r="CH155" s="537">
        <f>Time!CH$72</f>
        <v>0</v>
      </c>
      <c r="CI155" s="537">
        <f>Time!CI$72</f>
        <v>0</v>
      </c>
      <c r="CJ155" s="537">
        <f>Time!CJ$72</f>
        <v>0</v>
      </c>
      <c r="CK155" s="537">
        <f>Time!CK$72</f>
        <v>0</v>
      </c>
      <c r="CL155" s="537">
        <f>Time!CL$72</f>
        <v>0</v>
      </c>
      <c r="CM155" s="537">
        <f>Time!CM$72</f>
        <v>0</v>
      </c>
      <c r="CN155" s="537">
        <f>Time!CN$72</f>
        <v>0</v>
      </c>
      <c r="CO155" s="537">
        <f>Time!CO$72</f>
        <v>0</v>
      </c>
      <c r="CP155" s="537">
        <f>Time!CP$72</f>
        <v>0</v>
      </c>
      <c r="CQ155" s="537">
        <f>Time!CQ$72</f>
        <v>0</v>
      </c>
      <c r="CR155" s="537">
        <f>Time!CR$72</f>
        <v>0</v>
      </c>
      <c r="CS155" s="537">
        <f>Time!CS$72</f>
        <v>0</v>
      </c>
      <c r="CT155" s="537">
        <f>Time!CT$72</f>
        <v>0</v>
      </c>
      <c r="CU155" s="537">
        <f>Time!CU$72</f>
        <v>0</v>
      </c>
      <c r="CV155" s="537">
        <f>Time!CV$72</f>
        <v>0</v>
      </c>
      <c r="CW155" s="537">
        <f>Time!CW$72</f>
        <v>0</v>
      </c>
      <c r="CX155" s="537">
        <f>Time!CX$72</f>
        <v>0</v>
      </c>
      <c r="CY155" s="537">
        <f>Time!CY$72</f>
        <v>0</v>
      </c>
      <c r="CZ155" s="537">
        <f>Time!CZ$72</f>
        <v>0</v>
      </c>
      <c r="DA155" s="537">
        <f>Time!DA$72</f>
        <v>0</v>
      </c>
      <c r="DB155" s="537">
        <f>Time!DB$72</f>
        <v>0</v>
      </c>
      <c r="DC155" s="537">
        <f>Time!DC$72</f>
        <v>0</v>
      </c>
      <c r="DD155" s="537">
        <f>Time!DD$72</f>
        <v>0</v>
      </c>
      <c r="DE155" s="537">
        <f>Time!DE$72</f>
        <v>0</v>
      </c>
      <c r="DF155" s="537">
        <f>Time!DF$72</f>
        <v>0</v>
      </c>
      <c r="DG155" s="537">
        <f>Time!DG$72</f>
        <v>0</v>
      </c>
      <c r="DH155" s="537">
        <f>Time!DH$72</f>
        <v>0</v>
      </c>
      <c r="DI155" s="537">
        <f>Time!DI$72</f>
        <v>0</v>
      </c>
      <c r="DJ155" s="537">
        <f>Time!DJ$72</f>
        <v>0</v>
      </c>
      <c r="DK155" s="537">
        <f>Time!DK$72</f>
        <v>0</v>
      </c>
      <c r="DL155" s="537">
        <f>Time!DL$72</f>
        <v>0</v>
      </c>
      <c r="DM155" s="537">
        <f>Time!DM$72</f>
        <v>0</v>
      </c>
      <c r="DN155" s="537">
        <f>Time!DN$72</f>
        <v>0</v>
      </c>
      <c r="DO155" s="537">
        <f>Time!DO$72</f>
        <v>0</v>
      </c>
      <c r="DP155" s="537">
        <f>Time!DP$72</f>
        <v>0</v>
      </c>
      <c r="DQ155" s="537">
        <f>Time!DQ$72</f>
        <v>0</v>
      </c>
      <c r="DR155" s="537">
        <f>Time!DR$72</f>
        <v>0</v>
      </c>
      <c r="DS155" s="537">
        <f>Time!DS$72</f>
        <v>0</v>
      </c>
      <c r="DT155" s="537">
        <f>Time!DT$72</f>
        <v>0</v>
      </c>
      <c r="DU155" s="537">
        <f>Time!DU$72</f>
        <v>0</v>
      </c>
      <c r="DV155" s="537">
        <f>Time!DV$72</f>
        <v>0</v>
      </c>
      <c r="DW155" s="537">
        <f>Time!DW$72</f>
        <v>0</v>
      </c>
      <c r="DX155" s="537">
        <f>Time!DX$72</f>
        <v>0</v>
      </c>
      <c r="DY155" s="537">
        <f>Time!DY$72</f>
        <v>0</v>
      </c>
      <c r="DZ155" s="537">
        <f>Time!DZ$72</f>
        <v>0</v>
      </c>
      <c r="EA155" s="537">
        <f>Time!EA$72</f>
        <v>0</v>
      </c>
      <c r="EB155" s="537">
        <f>Time!EB$72</f>
        <v>0</v>
      </c>
      <c r="EC155" s="537">
        <f>Time!EC$72</f>
        <v>0</v>
      </c>
      <c r="ED155" s="537">
        <f>Time!ED$72</f>
        <v>0</v>
      </c>
      <c r="EE155" s="537">
        <f>Time!EE$72</f>
        <v>0</v>
      </c>
      <c r="EF155" s="537">
        <f>Time!EF$72</f>
        <v>0</v>
      </c>
      <c r="EG155" s="537">
        <f>Time!EG$72</f>
        <v>0</v>
      </c>
    </row>
    <row r="156" spans="5:137" ht="12.75">
      <c r="E156" s="538" t="s">
        <v>237</v>
      </c>
      <c r="G156" s="539" t="s">
        <v>30</v>
      </c>
      <c r="H156" s="539">
        <f>SUM(J156:EG156)</f>
        <v>3133940.7417619568</v>
      </c>
      <c r="J156" s="539">
        <f t="shared" si="54" ref="J156:EG156">MAX(0,$F152-J153)*(J154+J155)</f>
        <v>0</v>
      </c>
      <c r="K156" s="539">
        <f t="shared" si="54"/>
        <v>0</v>
      </c>
      <c r="L156" s="539">
        <f t="shared" si="54"/>
        <v>221286.64791105167</v>
      </c>
      <c r="M156" s="539">
        <f t="shared" si="54"/>
        <v>221286.64791105167</v>
      </c>
      <c r="N156" s="539">
        <f t="shared" si="54"/>
        <v>221286.64791105167</v>
      </c>
      <c r="O156" s="539">
        <f t="shared" si="54"/>
        <v>221286.64791105167</v>
      </c>
      <c r="P156" s="539">
        <f t="shared" si="54"/>
        <v>221286.64791105167</v>
      </c>
      <c r="Q156" s="539">
        <f t="shared" si="54"/>
        <v>221286.64791105167</v>
      </c>
      <c r="R156" s="539">
        <f t="shared" si="54"/>
        <v>221286.64791105167</v>
      </c>
      <c r="S156" s="539">
        <f t="shared" si="54"/>
        <v>219904.31971815237</v>
      </c>
      <c r="T156" s="539">
        <f t="shared" si="54"/>
        <v>201923.47495248987</v>
      </c>
      <c r="U156" s="539">
        <f t="shared" si="54"/>
        <v>183550.46639648225</v>
      </c>
      <c r="V156" s="539">
        <f t="shared" si="54"/>
        <v>164756.17179329752</v>
      </c>
      <c r="W156" s="539">
        <f t="shared" si="54"/>
        <v>147195.24238086003</v>
      </c>
      <c r="X156" s="539">
        <f t="shared" si="54"/>
        <v>129767.71303201355</v>
      </c>
      <c r="Y156" s="539">
        <f t="shared" si="54"/>
        <v>114031.15031448459</v>
      </c>
      <c r="Z156" s="539">
        <f t="shared" si="54"/>
        <v>100225.4191599349</v>
      </c>
      <c r="AA156" s="539">
        <f t="shared" si="54"/>
        <v>87323.941731743806</v>
      </c>
      <c r="AB156" s="539">
        <f t="shared" si="54"/>
        <v>72924.180004271853</v>
      </c>
      <c r="AC156" s="539">
        <f t="shared" si="54"/>
        <v>57780.508001348004</v>
      </c>
      <c r="AD156" s="539">
        <f t="shared" si="54"/>
        <v>42737.09562096541</v>
      </c>
      <c r="AE156" s="539">
        <f t="shared" si="54"/>
        <v>29018.014309499355</v>
      </c>
      <c r="AF156" s="539">
        <f t="shared" si="54"/>
        <v>20334.618984478613</v>
      </c>
      <c r="AG156" s="539">
        <f t="shared" si="54"/>
        <v>13461.889984572452</v>
      </c>
      <c r="AH156" s="539">
        <f t="shared" si="54"/>
        <v>0</v>
      </c>
      <c r="AI156" s="539">
        <f t="shared" si="54"/>
        <v>0</v>
      </c>
      <c r="AJ156" s="539">
        <f t="shared" si="54"/>
        <v>0</v>
      </c>
      <c r="AK156" s="539">
        <f t="shared" si="54"/>
        <v>0</v>
      </c>
      <c r="AL156" s="539">
        <f t="shared" si="54"/>
        <v>0</v>
      </c>
      <c r="AM156" s="539">
        <f t="shared" si="54"/>
        <v>0</v>
      </c>
      <c r="AN156" s="539">
        <f t="shared" si="54"/>
        <v>0</v>
      </c>
      <c r="AO156" s="539">
        <f t="shared" si="54"/>
        <v>0</v>
      </c>
      <c r="AP156" s="539">
        <f t="shared" si="54"/>
        <v>0</v>
      </c>
      <c r="AQ156" s="539">
        <f t="shared" si="54"/>
        <v>0</v>
      </c>
      <c r="AR156" s="539">
        <f t="shared" si="54"/>
        <v>0</v>
      </c>
      <c r="AS156" s="539">
        <f t="shared" si="54"/>
        <v>0</v>
      </c>
      <c r="AT156" s="539">
        <f t="shared" si="54"/>
        <v>0</v>
      </c>
      <c r="AU156" s="539">
        <f t="shared" si="54"/>
        <v>0</v>
      </c>
      <c r="AV156" s="539">
        <f t="shared" si="54"/>
        <v>0</v>
      </c>
      <c r="AW156" s="539">
        <f t="shared" si="54"/>
        <v>0</v>
      </c>
      <c r="AX156" s="539">
        <f t="shared" si="54"/>
        <v>0</v>
      </c>
      <c r="AY156" s="539">
        <f t="shared" si="54"/>
        <v>0</v>
      </c>
      <c r="AZ156" s="539">
        <f t="shared" si="54"/>
        <v>0</v>
      </c>
      <c r="BA156" s="539">
        <f t="shared" si="54"/>
        <v>0</v>
      </c>
      <c r="BB156" s="539">
        <f t="shared" si="54"/>
        <v>0</v>
      </c>
      <c r="BC156" s="539">
        <f t="shared" si="54"/>
        <v>0</v>
      </c>
      <c r="BD156" s="539">
        <f t="shared" si="54"/>
        <v>0</v>
      </c>
      <c r="BE156" s="539">
        <f t="shared" si="54"/>
        <v>0</v>
      </c>
      <c r="BF156" s="539">
        <f t="shared" si="54"/>
        <v>0</v>
      </c>
      <c r="BG156" s="539">
        <f t="shared" si="54"/>
        <v>0</v>
      </c>
      <c r="BH156" s="539">
        <f t="shared" si="54"/>
        <v>0</v>
      </c>
      <c r="BI156" s="539">
        <f t="shared" si="54"/>
        <v>0</v>
      </c>
      <c r="BJ156" s="539">
        <f t="shared" si="54"/>
        <v>0</v>
      </c>
      <c r="BK156" s="539">
        <f t="shared" si="54"/>
        <v>0</v>
      </c>
      <c r="BL156" s="539">
        <f t="shared" si="54"/>
        <v>0</v>
      </c>
      <c r="BM156" s="539">
        <f t="shared" si="54"/>
        <v>0</v>
      </c>
      <c r="BN156" s="539">
        <f t="shared" si="54"/>
        <v>0</v>
      </c>
      <c r="BO156" s="539">
        <f t="shared" si="54"/>
        <v>0</v>
      </c>
      <c r="BP156" s="539">
        <f t="shared" si="54"/>
        <v>0</v>
      </c>
      <c r="BQ156" s="539">
        <f t="shared" si="54"/>
        <v>0</v>
      </c>
      <c r="BR156" s="539">
        <f t="shared" si="54"/>
        <v>0</v>
      </c>
      <c r="BS156" s="539">
        <f t="shared" si="54"/>
        <v>0</v>
      </c>
      <c r="BT156" s="539">
        <f t="shared" si="54"/>
        <v>0</v>
      </c>
      <c r="BU156" s="539">
        <f t="shared" si="54"/>
        <v>0</v>
      </c>
      <c r="BV156" s="539">
        <f t="shared" si="54"/>
        <v>0</v>
      </c>
      <c r="BW156" s="539">
        <f t="shared" si="54"/>
        <v>0</v>
      </c>
      <c r="BX156" s="539">
        <f t="shared" si="54"/>
        <v>0</v>
      </c>
      <c r="BY156" s="539">
        <f t="shared" si="54"/>
        <v>0</v>
      </c>
      <c r="BZ156" s="539">
        <f t="shared" si="54"/>
        <v>0</v>
      </c>
      <c r="CA156" s="539">
        <f t="shared" si="54"/>
        <v>0</v>
      </c>
      <c r="CB156" s="539">
        <f t="shared" si="54"/>
        <v>0</v>
      </c>
      <c r="CC156" s="539">
        <f t="shared" si="54"/>
        <v>0</v>
      </c>
      <c r="CD156" s="539">
        <f t="shared" si="54"/>
        <v>0</v>
      </c>
      <c r="CE156" s="539">
        <f t="shared" si="54"/>
        <v>0</v>
      </c>
      <c r="CF156" s="539">
        <f t="shared" si="54"/>
        <v>0</v>
      </c>
      <c r="CG156" s="539">
        <f t="shared" si="54"/>
        <v>0</v>
      </c>
      <c r="CH156" s="539">
        <f t="shared" si="54"/>
        <v>0</v>
      </c>
      <c r="CI156" s="539">
        <f t="shared" si="54"/>
        <v>0</v>
      </c>
      <c r="CJ156" s="539">
        <f t="shared" si="54"/>
        <v>0</v>
      </c>
      <c r="CK156" s="539">
        <f t="shared" si="54"/>
        <v>0</v>
      </c>
      <c r="CL156" s="539">
        <f t="shared" si="54"/>
        <v>0</v>
      </c>
      <c r="CM156" s="539">
        <f t="shared" si="54"/>
        <v>0</v>
      </c>
      <c r="CN156" s="539">
        <f t="shared" si="54"/>
        <v>0</v>
      </c>
      <c r="CO156" s="539">
        <f t="shared" si="54"/>
        <v>0</v>
      </c>
      <c r="CP156" s="539">
        <f t="shared" si="54"/>
        <v>0</v>
      </c>
      <c r="CQ156" s="539">
        <f t="shared" si="54"/>
        <v>0</v>
      </c>
      <c r="CR156" s="539">
        <f t="shared" si="54"/>
        <v>0</v>
      </c>
      <c r="CS156" s="539">
        <f t="shared" si="54"/>
        <v>0</v>
      </c>
      <c r="CT156" s="539">
        <f t="shared" si="54"/>
        <v>0</v>
      </c>
      <c r="CU156" s="539">
        <f t="shared" si="54"/>
        <v>0</v>
      </c>
      <c r="CV156" s="539">
        <f t="shared" si="54"/>
        <v>0</v>
      </c>
      <c r="CW156" s="539">
        <f t="shared" si="54"/>
        <v>0</v>
      </c>
      <c r="CX156" s="539">
        <f t="shared" si="54"/>
        <v>0</v>
      </c>
      <c r="CY156" s="539">
        <f t="shared" si="54"/>
        <v>0</v>
      </c>
      <c r="CZ156" s="539">
        <f t="shared" si="54"/>
        <v>0</v>
      </c>
      <c r="DA156" s="539">
        <f t="shared" si="54"/>
        <v>0</v>
      </c>
      <c r="DB156" s="539">
        <f t="shared" si="54"/>
        <v>0</v>
      </c>
      <c r="DC156" s="539">
        <f t="shared" si="54"/>
        <v>0</v>
      </c>
      <c r="DD156" s="539">
        <f t="shared" si="54"/>
        <v>0</v>
      </c>
      <c r="DE156" s="539">
        <f t="shared" si="54"/>
        <v>0</v>
      </c>
      <c r="DF156" s="539">
        <f t="shared" si="54"/>
        <v>0</v>
      </c>
      <c r="DG156" s="539">
        <f t="shared" si="54"/>
        <v>0</v>
      </c>
      <c r="DH156" s="539">
        <f t="shared" si="54"/>
        <v>0</v>
      </c>
      <c r="DI156" s="539">
        <f t="shared" si="54"/>
        <v>0</v>
      </c>
      <c r="DJ156" s="539">
        <f t="shared" si="54"/>
        <v>0</v>
      </c>
      <c r="DK156" s="539">
        <f t="shared" si="54"/>
        <v>0</v>
      </c>
      <c r="DL156" s="539">
        <f t="shared" si="54"/>
        <v>0</v>
      </c>
      <c r="DM156" s="539">
        <f t="shared" si="54"/>
        <v>0</v>
      </c>
      <c r="DN156" s="539">
        <f t="shared" si="54"/>
        <v>0</v>
      </c>
      <c r="DO156" s="539">
        <f t="shared" si="54"/>
        <v>0</v>
      </c>
      <c r="DP156" s="539">
        <f t="shared" si="54"/>
        <v>0</v>
      </c>
      <c r="DQ156" s="539">
        <f t="shared" si="54"/>
        <v>0</v>
      </c>
      <c r="DR156" s="539">
        <f t="shared" si="54"/>
        <v>0</v>
      </c>
      <c r="DS156" s="539">
        <f t="shared" si="54"/>
        <v>0</v>
      </c>
      <c r="DT156" s="539">
        <f t="shared" si="54"/>
        <v>0</v>
      </c>
      <c r="DU156" s="539">
        <f t="shared" si="54"/>
        <v>0</v>
      </c>
      <c r="DV156" s="539">
        <f t="shared" si="54"/>
        <v>0</v>
      </c>
      <c r="DW156" s="539">
        <f t="shared" si="54"/>
        <v>0</v>
      </c>
      <c r="DX156" s="539">
        <f t="shared" si="54"/>
        <v>0</v>
      </c>
      <c r="DY156" s="539">
        <f t="shared" si="54"/>
        <v>0</v>
      </c>
      <c r="DZ156" s="539">
        <f t="shared" si="54"/>
        <v>0</v>
      </c>
      <c r="EA156" s="539">
        <f t="shared" si="54"/>
        <v>0</v>
      </c>
      <c r="EB156" s="539">
        <f t="shared" si="54"/>
        <v>0</v>
      </c>
      <c r="EC156" s="539">
        <f t="shared" si="54"/>
        <v>0</v>
      </c>
      <c r="ED156" s="539">
        <f t="shared" si="54"/>
        <v>0</v>
      </c>
      <c r="EE156" s="539">
        <f t="shared" si="54"/>
        <v>0</v>
      </c>
      <c r="EF156" s="539">
        <f t="shared" si="54"/>
        <v>0</v>
      </c>
      <c r="EG156" s="539">
        <f t="shared" si="54"/>
        <v>0</v>
      </c>
    </row>
    <row r="158" spans="5:7" ht="12.75">
      <c r="E158" s="535" t="str">
        <f>InpC!E$76</f>
        <v>Senior facility - interest rate</v>
      </c>
      <c r="F158" s="542">
        <f>InpC!F$76</f>
        <v>0.055</v>
      </c>
      <c r="G158" s="542" t="str">
        <f>InpC!G$76</f>
        <v>% p.a.</v>
      </c>
    </row>
    <row r="159" spans="5:7" ht="12.75">
      <c r="E159" s="535" t="str">
        <f>InpC!E$127</f>
        <v>Days per year (interest day count)</v>
      </c>
      <c r="F159" s="537">
        <f>InpC!F$127</f>
        <v>365</v>
      </c>
      <c r="G159" s="537" t="str">
        <f>InpC!G$127</f>
        <v>days</v>
      </c>
    </row>
    <row r="160" spans="5:137" ht="12.75">
      <c r="E160" s="535" t="str">
        <f>Debt!E$57</f>
        <v>Senior facility - opening balance</v>
      </c>
      <c r="G160" s="537" t="str">
        <f>Debt!G$57</f>
        <v>EUR 000s</v>
      </c>
      <c r="H160" s="537">
        <f>Debt!H$57</f>
        <v>11123186.810732836</v>
      </c>
      <c r="J160" s="537">
        <f>Debt!J$57</f>
        <v>0</v>
      </c>
      <c r="K160" s="537">
        <f>Debt!K$57</f>
        <v>0</v>
      </c>
      <c r="L160" s="537">
        <f>Debt!L$57</f>
        <v>0</v>
      </c>
      <c r="M160" s="537">
        <f>Debt!M$57</f>
        <v>0</v>
      </c>
      <c r="N160" s="537">
        <f>Debt!N$57</f>
        <v>0</v>
      </c>
      <c r="O160" s="537">
        <f>Debt!O$57</f>
        <v>0</v>
      </c>
      <c r="P160" s="537">
        <f>Debt!P$57</f>
        <v>0</v>
      </c>
      <c r="Q160" s="537">
        <f>Debt!Q$57</f>
        <v>0</v>
      </c>
      <c r="R160" s="537">
        <f>Debt!R$57</f>
        <v>0</v>
      </c>
      <c r="S160" s="537">
        <f>Debt!S$57</f>
        <v>1382.3281928992874</v>
      </c>
      <c r="T160" s="537">
        <f>Debt!T$57</f>
        <v>19363.172958561812</v>
      </c>
      <c r="U160" s="537">
        <f>Debt!U$57</f>
        <v>37736.181514569398</v>
      </c>
      <c r="V160" s="537">
        <f>Debt!V$57</f>
        <v>56530.476117754166</v>
      </c>
      <c r="W160" s="537">
        <f>Debt!W$57</f>
        <v>74091.405530191638</v>
      </c>
      <c r="X160" s="537">
        <f>Debt!X$57</f>
        <v>91518.934879038119</v>
      </c>
      <c r="Y160" s="537">
        <f>Debt!Y$57</f>
        <v>107255.49759656707</v>
      </c>
      <c r="Z160" s="537">
        <f>Debt!Z$57</f>
        <v>121061.22875111677</v>
      </c>
      <c r="AA160" s="537">
        <f>Debt!AA$57</f>
        <v>133962.70617930786</v>
      </c>
      <c r="AB160" s="537">
        <f>Debt!AB$57</f>
        <v>148362.46790677981</v>
      </c>
      <c r="AC160" s="537">
        <f>Debt!AC$57</f>
        <v>163506.13990970366</v>
      </c>
      <c r="AD160" s="537">
        <f>Debt!AD$57</f>
        <v>178549.55229008626</v>
      </c>
      <c r="AE160" s="537">
        <f>Debt!AE$57</f>
        <v>192268.63360155231</v>
      </c>
      <c r="AF160" s="537">
        <f>Debt!AF$57</f>
        <v>200952.02892657305</v>
      </c>
      <c r="AG160" s="537">
        <f>Debt!AG$57</f>
        <v>207824.75792647921</v>
      </c>
      <c r="AH160" s="537">
        <f>Debt!AH$57</f>
        <v>221286.6479110517</v>
      </c>
      <c r="AI160" s="537">
        <f>Debt!AI$57</f>
        <v>220608.823757429</v>
      </c>
      <c r="AJ160" s="537">
        <f>Debt!AJ$57</f>
        <v>218979.44471839062</v>
      </c>
      <c r="AK160" s="537">
        <f>Debt!AK$57</f>
        <v>217360.94638439317</v>
      </c>
      <c r="AL160" s="537">
        <f>Debt!AL$57</f>
        <v>215730.19804249654</v>
      </c>
      <c r="AM160" s="537">
        <f>Debt!AM$57</f>
        <v>213962.26862143833</v>
      </c>
      <c r="AN160" s="537">
        <f>Debt!AN$57</f>
        <v>212160.04600216408</v>
      </c>
      <c r="AO160" s="537">
        <f>Debt!AO$57</f>
        <v>210365.30914698011</v>
      </c>
      <c r="AP160" s="537">
        <f>Debt!AP$57</f>
        <v>208556.00183225214</v>
      </c>
      <c r="AQ160" s="537">
        <f>Debt!AQ$57</f>
        <v>206608.1421623468</v>
      </c>
      <c r="AR160" s="537">
        <f>Debt!AR$57</f>
        <v>204622.0325392868</v>
      </c>
      <c r="AS160" s="537">
        <f>Debt!AS$57</f>
        <v>202639.75403211112</v>
      </c>
      <c r="AT160" s="537">
        <f>Debt!AT$57</f>
        <v>200640.42828787459</v>
      </c>
      <c r="AU160" s="537">
        <f>Debt!AU$57</f>
        <v>198520.66321847215</v>
      </c>
      <c r="AV160" s="537">
        <f>Debt!AV$57</f>
        <v>196350.0423303475</v>
      </c>
      <c r="AW160" s="537">
        <f>Debt!AW$57</f>
        <v>194168.68761815928</v>
      </c>
      <c r="AX160" s="537">
        <f>Debt!AX$57</f>
        <v>191969.90220643775</v>
      </c>
      <c r="AY160" s="537">
        <f>Debt!AY$57</f>
        <v>189627.72643192843</v>
      </c>
      <c r="AZ160" s="537">
        <f>Debt!AZ$57</f>
        <v>187238.5892801146</v>
      </c>
      <c r="BA160" s="537">
        <f>Debt!BA$57</f>
        <v>184845.14286697507</v>
      </c>
      <c r="BB160" s="537">
        <f>Debt!BB$57</f>
        <v>182431.62986282675</v>
      </c>
      <c r="BC160" s="537">
        <f>Debt!BC$57</f>
        <v>179936.99651467081</v>
      </c>
      <c r="BD160" s="537">
        <f>Debt!BD$57</f>
        <v>177400.57976910818</v>
      </c>
      <c r="BE160" s="537">
        <f>Debt!BE$57</f>
        <v>174865.04661232483</v>
      </c>
      <c r="BF160" s="537">
        <f>Debt!BF$57</f>
        <v>172313.4684083091</v>
      </c>
      <c r="BG160" s="537">
        <f>Debt!BG$57</f>
        <v>169632.07902517688</v>
      </c>
      <c r="BH160" s="537">
        <f>Debt!BH$57</f>
        <v>166902.89896300616</v>
      </c>
      <c r="BI160" s="537">
        <f>Debt!BI$57</f>
        <v>164168.91807115515</v>
      </c>
      <c r="BJ160" s="537">
        <f>Debt!BJ$57</f>
        <v>161414.86878840948</v>
      </c>
      <c r="BK160" s="537">
        <f>Debt!BK$57</f>
        <v>158542.07659269078</v>
      </c>
      <c r="BL160" s="537">
        <f>Debt!BL$57</f>
        <v>155613.84125510571</v>
      </c>
      <c r="BM160" s="537">
        <f>Debt!BM$57</f>
        <v>152663.86316474082</v>
      </c>
      <c r="BN160" s="537">
        <f>Debt!BN$57</f>
        <v>149689.78500478482</v>
      </c>
      <c r="BO160" s="537">
        <f>Debt!BO$57</f>
        <v>146582.18825556862</v>
      </c>
      <c r="BP160" s="537">
        <f>Debt!BP$57</f>
        <v>143414.45037753851</v>
      </c>
      <c r="BQ160" s="537">
        <f>Debt!BQ$57</f>
        <v>140230.13643606377</v>
      </c>
      <c r="BR160" s="537">
        <f>Debt!BR$57</f>
        <v>137017.63189573269</v>
      </c>
      <c r="BS160" s="537">
        <f>Debt!BS$57</f>
        <v>133616.70893983805</v>
      </c>
      <c r="BT160" s="537">
        <f>Debt!BT$57</f>
        <v>130148.4594856113</v>
      </c>
      <c r="BU160" s="537">
        <f>Debt!BU$57</f>
        <v>126656.67559847518</v>
      </c>
      <c r="BV160" s="537">
        <f>Debt!BV$57</f>
        <v>123131.75917005076</v>
      </c>
      <c r="BW160" s="537">
        <f>Debt!BW$57</f>
        <v>119608.92849224193</v>
      </c>
      <c r="BX160" s="537">
        <f>Debt!BX$57</f>
        <v>116425.03572762878</v>
      </c>
      <c r="BY160" s="537">
        <f>Debt!BY$57</f>
        <v>113226.81814732924</v>
      </c>
      <c r="BZ160" s="537">
        <f>Debt!BZ$57</f>
        <v>110006.70537313426</v>
      </c>
      <c r="CA160" s="537">
        <f>Debt!CA$57</f>
        <v>106679.6446537234</v>
      </c>
      <c r="CB160" s="537">
        <f>Debt!CB$57</f>
        <v>103294.20127478741</v>
      </c>
      <c r="CC160" s="537">
        <f>Debt!CC$57</f>
        <v>99911.910581940261</v>
      </c>
      <c r="CD160" s="537">
        <f>Debt!CD$57</f>
        <v>96679.218965814158</v>
      </c>
      <c r="CE160" s="537">
        <f>Debt!CE$57</f>
        <v>93354.866903009097</v>
      </c>
      <c r="CF160" s="537">
        <f>Debt!CF$57</f>
        <v>89964.772122112496</v>
      </c>
      <c r="CG160" s="537">
        <f>Debt!CG$57</f>
        <v>86553.919799695548</v>
      </c>
      <c r="CH160" s="537">
        <f>Debt!CH$57</f>
        <v>83121.179559975688</v>
      </c>
      <c r="CI160" s="537">
        <f>Debt!CI$57</f>
        <v>79593.959452813389</v>
      </c>
      <c r="CJ160" s="537">
        <f>Debt!CJ$57</f>
        <v>75995.047897345838</v>
      </c>
      <c r="CK160" s="537">
        <f>Debt!CK$57</f>
        <v>72369.711752529605</v>
      </c>
      <c r="CL160" s="537">
        <f>Debt!CL$57</f>
        <v>68718.73893250621</v>
      </c>
      <c r="CM160" s="537">
        <f>Debt!CM$57</f>
        <v>64684.850956016817</v>
      </c>
      <c r="CN160" s="537">
        <f>Debt!CN$57</f>
        <v>60569.829778725034</v>
      </c>
      <c r="CO160" s="537">
        <f>Debt!CO$57</f>
        <v>56419.081896961972</v>
      </c>
      <c r="CP160" s="537">
        <f>Debt!CP$57</f>
        <v>52235.409698162868</v>
      </c>
      <c r="CQ160" s="537">
        <f>Debt!CQ$57</f>
        <v>48233.700504559805</v>
      </c>
      <c r="CR160" s="537">
        <f>Debt!CR$57</f>
        <v>44165.862871224701</v>
      </c>
      <c r="CS160" s="537">
        <f>Debt!CS$57</f>
        <v>40047.476011156585</v>
      </c>
      <c r="CT160" s="537">
        <f>Debt!CT$57</f>
        <v>35895.790506489262</v>
      </c>
      <c r="CU160" s="537">
        <f>Debt!CU$57</f>
        <v>31647.260735279633</v>
      </c>
      <c r="CV160" s="537">
        <f>Debt!CV$57</f>
        <v>27308.313550612747</v>
      </c>
      <c r="CW160" s="537">
        <f>Debt!CW$57</f>
        <v>22924.904066388648</v>
      </c>
      <c r="CX160" s="537">
        <f>Debt!CX$57</f>
        <v>18504.379611735581</v>
      </c>
      <c r="CY160" s="537">
        <f>Debt!CY$57</f>
        <v>13986.578233532302</v>
      </c>
      <c r="CZ160" s="537">
        <f>Debt!CZ$57</f>
        <v>9371.8894561927991</v>
      </c>
      <c r="DA160" s="537">
        <f>Debt!DA$57</f>
        <v>4706.4513561860967</v>
      </c>
      <c r="DB160" s="537">
        <f>Debt!DB$57</f>
        <v>0</v>
      </c>
      <c r="DC160" s="537">
        <f>Debt!DC$57</f>
        <v>0</v>
      </c>
      <c r="DD160" s="537">
        <f>Debt!DD$57</f>
        <v>0</v>
      </c>
      <c r="DE160" s="537">
        <f>Debt!DE$57</f>
        <v>0</v>
      </c>
      <c r="DF160" s="537">
        <f>Debt!DF$57</f>
        <v>0</v>
      </c>
      <c r="DG160" s="537">
        <f>Debt!DG$57</f>
        <v>0</v>
      </c>
      <c r="DH160" s="537">
        <f>Debt!DH$57</f>
        <v>0</v>
      </c>
      <c r="DI160" s="537">
        <f>Debt!DI$57</f>
        <v>0</v>
      </c>
      <c r="DJ160" s="537">
        <f>Debt!DJ$57</f>
        <v>0</v>
      </c>
      <c r="DK160" s="537">
        <f>Debt!DK$57</f>
        <v>0</v>
      </c>
      <c r="DL160" s="537">
        <f>Debt!DL$57</f>
        <v>0</v>
      </c>
      <c r="DM160" s="537">
        <f>Debt!DM$57</f>
        <v>0</v>
      </c>
      <c r="DN160" s="537">
        <f>Debt!DN$57</f>
        <v>0</v>
      </c>
      <c r="DO160" s="537">
        <f>Debt!DO$57</f>
        <v>0</v>
      </c>
      <c r="DP160" s="537">
        <f>Debt!DP$57</f>
        <v>0</v>
      </c>
      <c r="DQ160" s="537">
        <f>Debt!DQ$57</f>
        <v>0</v>
      </c>
      <c r="DR160" s="537">
        <f>Debt!DR$57</f>
        <v>0</v>
      </c>
      <c r="DS160" s="537">
        <f>Debt!DS$57</f>
        <v>0</v>
      </c>
      <c r="DT160" s="537">
        <f>Debt!DT$57</f>
        <v>0</v>
      </c>
      <c r="DU160" s="537">
        <f>Debt!DU$57</f>
        <v>0</v>
      </c>
      <c r="DV160" s="537">
        <f>Debt!DV$57</f>
        <v>0</v>
      </c>
      <c r="DW160" s="537">
        <f>Debt!DW$57</f>
        <v>0</v>
      </c>
      <c r="DX160" s="537">
        <f>Debt!DX$57</f>
        <v>0</v>
      </c>
      <c r="DY160" s="537">
        <f>Debt!DY$57</f>
        <v>0</v>
      </c>
      <c r="DZ160" s="537">
        <f>Debt!DZ$57</f>
        <v>0</v>
      </c>
      <c r="EA160" s="537">
        <f>Debt!EA$57</f>
        <v>0</v>
      </c>
      <c r="EB160" s="537">
        <f>Debt!EB$57</f>
        <v>0</v>
      </c>
      <c r="EC160" s="537">
        <f>Debt!EC$57</f>
        <v>0</v>
      </c>
      <c r="ED160" s="537">
        <f>Debt!ED$57</f>
        <v>0</v>
      </c>
      <c r="EE160" s="537">
        <f>Debt!EE$57</f>
        <v>0</v>
      </c>
      <c r="EF160" s="537">
        <f>Debt!EF$57</f>
        <v>0</v>
      </c>
      <c r="EG160" s="537">
        <f>Debt!EG$57</f>
        <v>0</v>
      </c>
    </row>
    <row r="161" spans="5:137" ht="12.75">
      <c r="E161" s="535" t="str">
        <f>Time!E$72</f>
        <v>Construction period flag</v>
      </c>
      <c r="G161" s="537" t="str">
        <f>Time!G$72</f>
        <v>flag</v>
      </c>
      <c r="H161" s="537">
        <f>Time!H$72</f>
        <v>21</v>
      </c>
      <c r="J161" s="537">
        <f>Time!J$72</f>
        <v>0</v>
      </c>
      <c r="K161" s="537">
        <f>Time!K$72</f>
        <v>0</v>
      </c>
      <c r="L161" s="537">
        <f>Time!L$72</f>
        <v>0</v>
      </c>
      <c r="M161" s="537">
        <f>Time!M$72</f>
        <v>1</v>
      </c>
      <c r="N161" s="537">
        <f>Time!N$72</f>
        <v>1</v>
      </c>
      <c r="O161" s="537">
        <f>Time!O$72</f>
        <v>1</v>
      </c>
      <c r="P161" s="537">
        <f>Time!P$72</f>
        <v>1</v>
      </c>
      <c r="Q161" s="537">
        <f>Time!Q$72</f>
        <v>1</v>
      </c>
      <c r="R161" s="537">
        <f>Time!R$72</f>
        <v>1</v>
      </c>
      <c r="S161" s="537">
        <f>Time!S$72</f>
        <v>1</v>
      </c>
      <c r="T161" s="537">
        <f>Time!T$72</f>
        <v>1</v>
      </c>
      <c r="U161" s="537">
        <f>Time!U$72</f>
        <v>1</v>
      </c>
      <c r="V161" s="537">
        <f>Time!V$72</f>
        <v>1</v>
      </c>
      <c r="W161" s="537">
        <f>Time!W$72</f>
        <v>1</v>
      </c>
      <c r="X161" s="537">
        <f>Time!X$72</f>
        <v>1</v>
      </c>
      <c r="Y161" s="537">
        <f>Time!Y$72</f>
        <v>1</v>
      </c>
      <c r="Z161" s="537">
        <f>Time!Z$72</f>
        <v>1</v>
      </c>
      <c r="AA161" s="537">
        <f>Time!AA$72</f>
        <v>1</v>
      </c>
      <c r="AB161" s="537">
        <f>Time!AB$72</f>
        <v>1</v>
      </c>
      <c r="AC161" s="537">
        <f>Time!AC$72</f>
        <v>1</v>
      </c>
      <c r="AD161" s="537">
        <f>Time!AD$72</f>
        <v>1</v>
      </c>
      <c r="AE161" s="537">
        <f>Time!AE$72</f>
        <v>1</v>
      </c>
      <c r="AF161" s="537">
        <f>Time!AF$72</f>
        <v>1</v>
      </c>
      <c r="AG161" s="537">
        <f>Time!AG$72</f>
        <v>1</v>
      </c>
      <c r="AH161" s="537">
        <f>Time!AH$72</f>
        <v>0</v>
      </c>
      <c r="AI161" s="537">
        <f>Time!AI$72</f>
        <v>0</v>
      </c>
      <c r="AJ161" s="537">
        <f>Time!AJ$72</f>
        <v>0</v>
      </c>
      <c r="AK161" s="537">
        <f>Time!AK$72</f>
        <v>0</v>
      </c>
      <c r="AL161" s="537">
        <f>Time!AL$72</f>
        <v>0</v>
      </c>
      <c r="AM161" s="537">
        <f>Time!AM$72</f>
        <v>0</v>
      </c>
      <c r="AN161" s="537">
        <f>Time!AN$72</f>
        <v>0</v>
      </c>
      <c r="AO161" s="537">
        <f>Time!AO$72</f>
        <v>0</v>
      </c>
      <c r="AP161" s="537">
        <f>Time!AP$72</f>
        <v>0</v>
      </c>
      <c r="AQ161" s="537">
        <f>Time!AQ$72</f>
        <v>0</v>
      </c>
      <c r="AR161" s="537">
        <f>Time!AR$72</f>
        <v>0</v>
      </c>
      <c r="AS161" s="537">
        <f>Time!AS$72</f>
        <v>0</v>
      </c>
      <c r="AT161" s="537">
        <f>Time!AT$72</f>
        <v>0</v>
      </c>
      <c r="AU161" s="537">
        <f>Time!AU$72</f>
        <v>0</v>
      </c>
      <c r="AV161" s="537">
        <f>Time!AV$72</f>
        <v>0</v>
      </c>
      <c r="AW161" s="537">
        <f>Time!AW$72</f>
        <v>0</v>
      </c>
      <c r="AX161" s="537">
        <f>Time!AX$72</f>
        <v>0</v>
      </c>
      <c r="AY161" s="537">
        <f>Time!AY$72</f>
        <v>0</v>
      </c>
      <c r="AZ161" s="537">
        <f>Time!AZ$72</f>
        <v>0</v>
      </c>
      <c r="BA161" s="537">
        <f>Time!BA$72</f>
        <v>0</v>
      </c>
      <c r="BB161" s="537">
        <f>Time!BB$72</f>
        <v>0</v>
      </c>
      <c r="BC161" s="537">
        <f>Time!BC$72</f>
        <v>0</v>
      </c>
      <c r="BD161" s="537">
        <f>Time!BD$72</f>
        <v>0</v>
      </c>
      <c r="BE161" s="537">
        <f>Time!BE$72</f>
        <v>0</v>
      </c>
      <c r="BF161" s="537">
        <f>Time!BF$72</f>
        <v>0</v>
      </c>
      <c r="BG161" s="537">
        <f>Time!BG$72</f>
        <v>0</v>
      </c>
      <c r="BH161" s="537">
        <f>Time!BH$72</f>
        <v>0</v>
      </c>
      <c r="BI161" s="537">
        <f>Time!BI$72</f>
        <v>0</v>
      </c>
      <c r="BJ161" s="537">
        <f>Time!BJ$72</f>
        <v>0</v>
      </c>
      <c r="BK161" s="537">
        <f>Time!BK$72</f>
        <v>0</v>
      </c>
      <c r="BL161" s="537">
        <f>Time!BL$72</f>
        <v>0</v>
      </c>
      <c r="BM161" s="537">
        <f>Time!BM$72</f>
        <v>0</v>
      </c>
      <c r="BN161" s="537">
        <f>Time!BN$72</f>
        <v>0</v>
      </c>
      <c r="BO161" s="537">
        <f>Time!BO$72</f>
        <v>0</v>
      </c>
      <c r="BP161" s="537">
        <f>Time!BP$72</f>
        <v>0</v>
      </c>
      <c r="BQ161" s="537">
        <f>Time!BQ$72</f>
        <v>0</v>
      </c>
      <c r="BR161" s="537">
        <f>Time!BR$72</f>
        <v>0</v>
      </c>
      <c r="BS161" s="537">
        <f>Time!BS$72</f>
        <v>0</v>
      </c>
      <c r="BT161" s="537">
        <f>Time!BT$72</f>
        <v>0</v>
      </c>
      <c r="BU161" s="537">
        <f>Time!BU$72</f>
        <v>0</v>
      </c>
      <c r="BV161" s="537">
        <f>Time!BV$72</f>
        <v>0</v>
      </c>
      <c r="BW161" s="537">
        <f>Time!BW$72</f>
        <v>0</v>
      </c>
      <c r="BX161" s="537">
        <f>Time!BX$72</f>
        <v>0</v>
      </c>
      <c r="BY161" s="537">
        <f>Time!BY$72</f>
        <v>0</v>
      </c>
      <c r="BZ161" s="537">
        <f>Time!BZ$72</f>
        <v>0</v>
      </c>
      <c r="CA161" s="537">
        <f>Time!CA$72</f>
        <v>0</v>
      </c>
      <c r="CB161" s="537">
        <f>Time!CB$72</f>
        <v>0</v>
      </c>
      <c r="CC161" s="537">
        <f>Time!CC$72</f>
        <v>0</v>
      </c>
      <c r="CD161" s="537">
        <f>Time!CD$72</f>
        <v>0</v>
      </c>
      <c r="CE161" s="537">
        <f>Time!CE$72</f>
        <v>0</v>
      </c>
      <c r="CF161" s="537">
        <f>Time!CF$72</f>
        <v>0</v>
      </c>
      <c r="CG161" s="537">
        <f>Time!CG$72</f>
        <v>0</v>
      </c>
      <c r="CH161" s="537">
        <f>Time!CH$72</f>
        <v>0</v>
      </c>
      <c r="CI161" s="537">
        <f>Time!CI$72</f>
        <v>0</v>
      </c>
      <c r="CJ161" s="537">
        <f>Time!CJ$72</f>
        <v>0</v>
      </c>
      <c r="CK161" s="537">
        <f>Time!CK$72</f>
        <v>0</v>
      </c>
      <c r="CL161" s="537">
        <f>Time!CL$72</f>
        <v>0</v>
      </c>
      <c r="CM161" s="537">
        <f>Time!CM$72</f>
        <v>0</v>
      </c>
      <c r="CN161" s="537">
        <f>Time!CN$72</f>
        <v>0</v>
      </c>
      <c r="CO161" s="537">
        <f>Time!CO$72</f>
        <v>0</v>
      </c>
      <c r="CP161" s="537">
        <f>Time!CP$72</f>
        <v>0</v>
      </c>
      <c r="CQ161" s="537">
        <f>Time!CQ$72</f>
        <v>0</v>
      </c>
      <c r="CR161" s="537">
        <f>Time!CR$72</f>
        <v>0</v>
      </c>
      <c r="CS161" s="537">
        <f>Time!CS$72</f>
        <v>0</v>
      </c>
      <c r="CT161" s="537">
        <f>Time!CT$72</f>
        <v>0</v>
      </c>
      <c r="CU161" s="537">
        <f>Time!CU$72</f>
        <v>0</v>
      </c>
      <c r="CV161" s="537">
        <f>Time!CV$72</f>
        <v>0</v>
      </c>
      <c r="CW161" s="537">
        <f>Time!CW$72</f>
        <v>0</v>
      </c>
      <c r="CX161" s="537">
        <f>Time!CX$72</f>
        <v>0</v>
      </c>
      <c r="CY161" s="537">
        <f>Time!CY$72</f>
        <v>0</v>
      </c>
      <c r="CZ161" s="537">
        <f>Time!CZ$72</f>
        <v>0</v>
      </c>
      <c r="DA161" s="537">
        <f>Time!DA$72</f>
        <v>0</v>
      </c>
      <c r="DB161" s="537">
        <f>Time!DB$72</f>
        <v>0</v>
      </c>
      <c r="DC161" s="537">
        <f>Time!DC$72</f>
        <v>0</v>
      </c>
      <c r="DD161" s="537">
        <f>Time!DD$72</f>
        <v>0</v>
      </c>
      <c r="DE161" s="537">
        <f>Time!DE$72</f>
        <v>0</v>
      </c>
      <c r="DF161" s="537">
        <f>Time!DF$72</f>
        <v>0</v>
      </c>
      <c r="DG161" s="537">
        <f>Time!DG$72</f>
        <v>0</v>
      </c>
      <c r="DH161" s="537">
        <f>Time!DH$72</f>
        <v>0</v>
      </c>
      <c r="DI161" s="537">
        <f>Time!DI$72</f>
        <v>0</v>
      </c>
      <c r="DJ161" s="537">
        <f>Time!DJ$72</f>
        <v>0</v>
      </c>
      <c r="DK161" s="537">
        <f>Time!DK$72</f>
        <v>0</v>
      </c>
      <c r="DL161" s="537">
        <f>Time!DL$72</f>
        <v>0</v>
      </c>
      <c r="DM161" s="537">
        <f>Time!DM$72</f>
        <v>0</v>
      </c>
      <c r="DN161" s="537">
        <f>Time!DN$72</f>
        <v>0</v>
      </c>
      <c r="DO161" s="537">
        <f>Time!DO$72</f>
        <v>0</v>
      </c>
      <c r="DP161" s="537">
        <f>Time!DP$72</f>
        <v>0</v>
      </c>
      <c r="DQ161" s="537">
        <f>Time!DQ$72</f>
        <v>0</v>
      </c>
      <c r="DR161" s="537">
        <f>Time!DR$72</f>
        <v>0</v>
      </c>
      <c r="DS161" s="537">
        <f>Time!DS$72</f>
        <v>0</v>
      </c>
      <c r="DT161" s="537">
        <f>Time!DT$72</f>
        <v>0</v>
      </c>
      <c r="DU161" s="537">
        <f>Time!DU$72</f>
        <v>0</v>
      </c>
      <c r="DV161" s="537">
        <f>Time!DV$72</f>
        <v>0</v>
      </c>
      <c r="DW161" s="537">
        <f>Time!DW$72</f>
        <v>0</v>
      </c>
      <c r="DX161" s="537">
        <f>Time!DX$72</f>
        <v>0</v>
      </c>
      <c r="DY161" s="537">
        <f>Time!DY$72</f>
        <v>0</v>
      </c>
      <c r="DZ161" s="537">
        <f>Time!DZ$72</f>
        <v>0</v>
      </c>
      <c r="EA161" s="537">
        <f>Time!EA$72</f>
        <v>0</v>
      </c>
      <c r="EB161" s="537">
        <f>Time!EB$72</f>
        <v>0</v>
      </c>
      <c r="EC161" s="537">
        <f>Time!EC$72</f>
        <v>0</v>
      </c>
      <c r="ED161" s="537">
        <f>Time!ED$72</f>
        <v>0</v>
      </c>
      <c r="EE161" s="537">
        <f>Time!EE$72</f>
        <v>0</v>
      </c>
      <c r="EF161" s="537">
        <f>Time!EF$72</f>
        <v>0</v>
      </c>
      <c r="EG161" s="537">
        <f>Time!EG$72</f>
        <v>0</v>
      </c>
    </row>
    <row r="162" spans="5:137" ht="12.75">
      <c r="E162" s="535" t="str">
        <f>Time!E$163</f>
        <v>Days in period</v>
      </c>
      <c r="G162" s="537" t="str">
        <f>Time!G$163</f>
        <v>days</v>
      </c>
      <c r="H162" s="537">
        <f>Time!H$163</f>
        <v>10227</v>
      </c>
      <c r="J162" s="537">
        <f>Time!J$163</f>
        <v>31</v>
      </c>
      <c r="K162" s="537">
        <f>Time!K$163</f>
        <v>28</v>
      </c>
      <c r="L162" s="537">
        <f>Time!L$163</f>
        <v>31</v>
      </c>
      <c r="M162" s="537">
        <f>Time!M$163</f>
        <v>30</v>
      </c>
      <c r="N162" s="537">
        <f>Time!N$163</f>
        <v>31</v>
      </c>
      <c r="O162" s="537">
        <f>Time!O$163</f>
        <v>30</v>
      </c>
      <c r="P162" s="537">
        <f>Time!P$163</f>
        <v>31</v>
      </c>
      <c r="Q162" s="537">
        <f>Time!Q$163</f>
        <v>31</v>
      </c>
      <c r="R162" s="537">
        <f>Time!R$163</f>
        <v>30</v>
      </c>
      <c r="S162" s="537">
        <f>Time!S$163</f>
        <v>31</v>
      </c>
      <c r="T162" s="537">
        <f>Time!T$163</f>
        <v>30</v>
      </c>
      <c r="U162" s="537">
        <f>Time!U$163</f>
        <v>31</v>
      </c>
      <c r="V162" s="537">
        <f>Time!V$163</f>
        <v>31</v>
      </c>
      <c r="W162" s="537">
        <f>Time!W$163</f>
        <v>29</v>
      </c>
      <c r="X162" s="537">
        <f>Time!X$163</f>
        <v>31</v>
      </c>
      <c r="Y162" s="537">
        <f>Time!Y$163</f>
        <v>30</v>
      </c>
      <c r="Z162" s="537">
        <f>Time!Z$163</f>
        <v>31</v>
      </c>
      <c r="AA162" s="537">
        <f>Time!AA$163</f>
        <v>30</v>
      </c>
      <c r="AB162" s="537">
        <f>Time!AB$163</f>
        <v>31</v>
      </c>
      <c r="AC162" s="537">
        <f>Time!AC$163</f>
        <v>31</v>
      </c>
      <c r="AD162" s="537">
        <f>Time!AD$163</f>
        <v>30</v>
      </c>
      <c r="AE162" s="537">
        <f>Time!AE$163</f>
        <v>31</v>
      </c>
      <c r="AF162" s="537">
        <f>Time!AF$163</f>
        <v>30</v>
      </c>
      <c r="AG162" s="537">
        <f>Time!AG$163</f>
        <v>31</v>
      </c>
      <c r="AH162" s="537">
        <f>Time!AH$163</f>
        <v>90</v>
      </c>
      <c r="AI162" s="537">
        <f>Time!AI$163</f>
        <v>91</v>
      </c>
      <c r="AJ162" s="537">
        <f>Time!AJ$163</f>
        <v>92</v>
      </c>
      <c r="AK162" s="537">
        <f>Time!AK$163</f>
        <v>92</v>
      </c>
      <c r="AL162" s="537">
        <f>Time!AL$163</f>
        <v>90</v>
      </c>
      <c r="AM162" s="537">
        <f>Time!AM$163</f>
        <v>91</v>
      </c>
      <c r="AN162" s="537">
        <f>Time!AN$163</f>
        <v>92</v>
      </c>
      <c r="AO162" s="537">
        <f>Time!AO$163</f>
        <v>92</v>
      </c>
      <c r="AP162" s="537">
        <f>Time!AP$163</f>
        <v>90</v>
      </c>
      <c r="AQ162" s="537">
        <f>Time!AQ$163</f>
        <v>91</v>
      </c>
      <c r="AR162" s="537">
        <f>Time!AR$163</f>
        <v>92</v>
      </c>
      <c r="AS162" s="537">
        <f>Time!AS$163</f>
        <v>92</v>
      </c>
      <c r="AT162" s="537">
        <f>Time!AT$163</f>
        <v>91</v>
      </c>
      <c r="AU162" s="537">
        <f>Time!AU$163</f>
        <v>91</v>
      </c>
      <c r="AV162" s="537">
        <f>Time!AV$163</f>
        <v>92</v>
      </c>
      <c r="AW162" s="537">
        <f>Time!AW$163</f>
        <v>92</v>
      </c>
      <c r="AX162" s="537">
        <f>Time!AX$163</f>
        <v>90</v>
      </c>
      <c r="AY162" s="537">
        <f>Time!AY$163</f>
        <v>91</v>
      </c>
      <c r="AZ162" s="537">
        <f>Time!AZ$163</f>
        <v>92</v>
      </c>
      <c r="BA162" s="537">
        <f>Time!BA$163</f>
        <v>92</v>
      </c>
      <c r="BB162" s="537">
        <f>Time!BB$163</f>
        <v>90</v>
      </c>
      <c r="BC162" s="537">
        <f>Time!BC$163</f>
        <v>91</v>
      </c>
      <c r="BD162" s="537">
        <f>Time!BD$163</f>
        <v>92</v>
      </c>
      <c r="BE162" s="537">
        <f>Time!BE$163</f>
        <v>92</v>
      </c>
      <c r="BF162" s="537">
        <f>Time!BF$163</f>
        <v>90</v>
      </c>
      <c r="BG162" s="537">
        <f>Time!BG$163</f>
        <v>91</v>
      </c>
      <c r="BH162" s="537">
        <f>Time!BH$163</f>
        <v>92</v>
      </c>
      <c r="BI162" s="537">
        <f>Time!BI$163</f>
        <v>92</v>
      </c>
      <c r="BJ162" s="537">
        <f>Time!BJ$163</f>
        <v>91</v>
      </c>
      <c r="BK162" s="537">
        <f>Time!BK$163</f>
        <v>91</v>
      </c>
      <c r="BL162" s="537">
        <f>Time!BL$163</f>
        <v>92</v>
      </c>
      <c r="BM162" s="537">
        <f>Time!BM$163</f>
        <v>92</v>
      </c>
      <c r="BN162" s="537">
        <f>Time!BN$163</f>
        <v>90</v>
      </c>
      <c r="BO162" s="537">
        <f>Time!BO$163</f>
        <v>91</v>
      </c>
      <c r="BP162" s="537">
        <f>Time!BP$163</f>
        <v>92</v>
      </c>
      <c r="BQ162" s="537">
        <f>Time!BQ$163</f>
        <v>92</v>
      </c>
      <c r="BR162" s="537">
        <f>Time!BR$163</f>
        <v>90</v>
      </c>
      <c r="BS162" s="537">
        <f>Time!BS$163</f>
        <v>91</v>
      </c>
      <c r="BT162" s="537">
        <f>Time!BT$163</f>
        <v>92</v>
      </c>
      <c r="BU162" s="537">
        <f>Time!BU$163</f>
        <v>92</v>
      </c>
      <c r="BV162" s="537">
        <f>Time!BV$163</f>
        <v>90</v>
      </c>
      <c r="BW162" s="537">
        <f>Time!BW$163</f>
        <v>91</v>
      </c>
      <c r="BX162" s="537">
        <f>Time!BX$163</f>
        <v>92</v>
      </c>
      <c r="BY162" s="537">
        <f>Time!BY$163</f>
        <v>92</v>
      </c>
      <c r="BZ162" s="537">
        <f>Time!BZ$163</f>
        <v>91</v>
      </c>
      <c r="CA162" s="537">
        <f>Time!CA$163</f>
        <v>91</v>
      </c>
      <c r="CB162" s="537">
        <f>Time!CB$163</f>
        <v>92</v>
      </c>
      <c r="CC162" s="537">
        <f>Time!CC$163</f>
        <v>92</v>
      </c>
      <c r="CD162" s="537">
        <f>Time!CD$163</f>
        <v>90</v>
      </c>
      <c r="CE162" s="537">
        <f>Time!CE$163</f>
        <v>91</v>
      </c>
      <c r="CF162" s="537">
        <f>Time!CF$163</f>
        <v>92</v>
      </c>
      <c r="CG162" s="537">
        <f>Time!CG$163</f>
        <v>92</v>
      </c>
      <c r="CH162" s="537">
        <f>Time!CH$163</f>
        <v>90</v>
      </c>
      <c r="CI162" s="537">
        <f>Time!CI$163</f>
        <v>91</v>
      </c>
      <c r="CJ162" s="537">
        <f>Time!CJ$163</f>
        <v>92</v>
      </c>
      <c r="CK162" s="537">
        <f>Time!CK$163</f>
        <v>92</v>
      </c>
      <c r="CL162" s="537">
        <f>Time!CL$163</f>
        <v>90</v>
      </c>
      <c r="CM162" s="537">
        <f>Time!CM$163</f>
        <v>91</v>
      </c>
      <c r="CN162" s="537">
        <f>Time!CN$163</f>
        <v>92</v>
      </c>
      <c r="CO162" s="537">
        <f>Time!CO$163</f>
        <v>92</v>
      </c>
      <c r="CP162" s="537">
        <f>Time!CP$163</f>
        <v>91</v>
      </c>
      <c r="CQ162" s="537">
        <f>Time!CQ$163</f>
        <v>91</v>
      </c>
      <c r="CR162" s="537">
        <f>Time!CR$163</f>
        <v>92</v>
      </c>
      <c r="CS162" s="537">
        <f>Time!CS$163</f>
        <v>92</v>
      </c>
      <c r="CT162" s="537">
        <f>Time!CT$163</f>
        <v>90</v>
      </c>
      <c r="CU162" s="537">
        <f>Time!CU$163</f>
        <v>91</v>
      </c>
      <c r="CV162" s="537">
        <f>Time!CV$163</f>
        <v>92</v>
      </c>
      <c r="CW162" s="537">
        <f>Time!CW$163</f>
        <v>92</v>
      </c>
      <c r="CX162" s="537">
        <f>Time!CX$163</f>
        <v>90</v>
      </c>
      <c r="CY162" s="537">
        <f>Time!CY$163</f>
        <v>91</v>
      </c>
      <c r="CZ162" s="537">
        <f>Time!CZ$163</f>
        <v>92</v>
      </c>
      <c r="DA162" s="537">
        <f>Time!DA$163</f>
        <v>92</v>
      </c>
      <c r="DB162" s="537">
        <f>Time!DB$163</f>
        <v>90</v>
      </c>
      <c r="DC162" s="537">
        <f>Time!DC$163</f>
        <v>91</v>
      </c>
      <c r="DD162" s="537">
        <f>Time!DD$163</f>
        <v>92</v>
      </c>
      <c r="DE162" s="537">
        <f>Time!DE$163</f>
        <v>92</v>
      </c>
      <c r="DF162" s="537">
        <f>Time!DF$163</f>
        <v>91</v>
      </c>
      <c r="DG162" s="537">
        <f>Time!DG$163</f>
        <v>91</v>
      </c>
      <c r="DH162" s="537">
        <f>Time!DH$163</f>
        <v>92</v>
      </c>
      <c r="DI162" s="537">
        <f>Time!DI$163</f>
        <v>92</v>
      </c>
      <c r="DJ162" s="537">
        <f>Time!DJ$163</f>
        <v>90</v>
      </c>
      <c r="DK162" s="537">
        <f>Time!DK$163</f>
        <v>91</v>
      </c>
      <c r="DL162" s="537">
        <f>Time!DL$163</f>
        <v>92</v>
      </c>
      <c r="DM162" s="537">
        <f>Time!DM$163</f>
        <v>92</v>
      </c>
      <c r="DN162" s="537">
        <f>Time!DN$163</f>
        <v>90</v>
      </c>
      <c r="DO162" s="537">
        <f>Time!DO$163</f>
        <v>91</v>
      </c>
      <c r="DP162" s="537">
        <f>Time!DP$163</f>
        <v>92</v>
      </c>
      <c r="DQ162" s="537">
        <f>Time!DQ$163</f>
        <v>92</v>
      </c>
      <c r="DR162" s="537">
        <f>Time!DR$163</f>
        <v>90</v>
      </c>
      <c r="DS162" s="537">
        <f>Time!DS$163</f>
        <v>91</v>
      </c>
      <c r="DT162" s="537">
        <f>Time!DT$163</f>
        <v>92</v>
      </c>
      <c r="DU162" s="537">
        <f>Time!DU$163</f>
        <v>92</v>
      </c>
      <c r="DV162" s="537">
        <f>Time!DV$163</f>
        <v>91</v>
      </c>
      <c r="DW162" s="537">
        <f>Time!DW$163</f>
        <v>91</v>
      </c>
      <c r="DX162" s="537">
        <f>Time!DX$163</f>
        <v>92</v>
      </c>
      <c r="DY162" s="537">
        <f>Time!DY$163</f>
        <v>92</v>
      </c>
      <c r="DZ162" s="537">
        <f>Time!DZ$163</f>
        <v>90</v>
      </c>
      <c r="EA162" s="537">
        <f>Time!EA$163</f>
        <v>91</v>
      </c>
      <c r="EB162" s="537">
        <f>Time!EB$163</f>
        <v>92</v>
      </c>
      <c r="EC162" s="537">
        <f>Time!EC$163</f>
        <v>92</v>
      </c>
      <c r="ED162" s="537">
        <f>Time!ED$163</f>
        <v>90</v>
      </c>
      <c r="EE162" s="537">
        <f>Time!EE$163</f>
        <v>91</v>
      </c>
      <c r="EF162" s="537">
        <f>Time!EF$163</f>
        <v>92</v>
      </c>
      <c r="EG162" s="537">
        <f>Time!EG$163</f>
        <v>92</v>
      </c>
    </row>
    <row r="163" spans="5:137" ht="12.75">
      <c r="E163" s="538" t="s">
        <v>238</v>
      </c>
      <c r="G163" s="539" t="s">
        <v>30</v>
      </c>
      <c r="H163" s="539">
        <f>SUM(J163:EG163)</f>
        <v>7982.8454277911824</v>
      </c>
      <c r="J163" s="539">
        <f t="shared" si="55" ref="J163:EG163">J160*$F158*J162/$F159*J161</f>
        <v>0</v>
      </c>
      <c r="K163" s="539">
        <f t="shared" si="55"/>
        <v>0</v>
      </c>
      <c r="L163" s="539">
        <f t="shared" si="55"/>
        <v>0</v>
      </c>
      <c r="M163" s="539">
        <f t="shared" si="55"/>
        <v>0</v>
      </c>
      <c r="N163" s="539">
        <f t="shared" si="55"/>
        <v>0</v>
      </c>
      <c r="O163" s="539">
        <f t="shared" si="55"/>
        <v>0</v>
      </c>
      <c r="P163" s="539">
        <f t="shared" si="55"/>
        <v>0</v>
      </c>
      <c r="Q163" s="539">
        <f t="shared" si="55"/>
        <v>0</v>
      </c>
      <c r="R163" s="539">
        <f t="shared" si="55"/>
        <v>0</v>
      </c>
      <c r="S163" s="539">
        <f t="shared" si="55"/>
        <v>6.4571769010774931</v>
      </c>
      <c r="T163" s="539">
        <f t="shared" si="55"/>
        <v>87.532151730484898</v>
      </c>
      <c r="U163" s="539">
        <f t="shared" si="55"/>
        <v>176.27449173244059</v>
      </c>
      <c r="V163" s="539">
        <f t="shared" si="55"/>
        <v>264.06701857745435</v>
      </c>
      <c r="W163" s="539">
        <f t="shared" si="55"/>
        <v>323.76929265933057</v>
      </c>
      <c r="X163" s="539">
        <f t="shared" si="55"/>
        <v>427.50625744865749</v>
      </c>
      <c r="Y163" s="539">
        <f t="shared" si="55"/>
        <v>484.85361927215251</v>
      </c>
      <c r="Z163" s="539">
        <f t="shared" si="55"/>
        <v>565.50519183740846</v>
      </c>
      <c r="AA163" s="539">
        <f t="shared" si="55"/>
        <v>605.58483615303555</v>
      </c>
      <c r="AB163" s="539">
        <f t="shared" si="55"/>
        <v>693.03563775632767</v>
      </c>
      <c r="AC163" s="539">
        <f t="shared" si="55"/>
        <v>763.77525629053366</v>
      </c>
      <c r="AD163" s="539">
        <f t="shared" si="55"/>
        <v>807.14181172230781</v>
      </c>
      <c r="AE163" s="539">
        <f t="shared" si="55"/>
        <v>898.13156244012794</v>
      </c>
      <c r="AF163" s="539">
        <f t="shared" si="55"/>
        <v>908.41328144889189</v>
      </c>
      <c r="AG163" s="539">
        <f t="shared" si="55"/>
        <v>970.79784182095091</v>
      </c>
      <c r="AH163" s="539">
        <f t="shared" si="55"/>
        <v>0</v>
      </c>
      <c r="AI163" s="539">
        <f t="shared" si="55"/>
        <v>0</v>
      </c>
      <c r="AJ163" s="539">
        <f t="shared" si="55"/>
        <v>0</v>
      </c>
      <c r="AK163" s="539">
        <f t="shared" si="55"/>
        <v>0</v>
      </c>
      <c r="AL163" s="539">
        <f t="shared" si="55"/>
        <v>0</v>
      </c>
      <c r="AM163" s="539">
        <f t="shared" si="55"/>
        <v>0</v>
      </c>
      <c r="AN163" s="539">
        <f t="shared" si="55"/>
        <v>0</v>
      </c>
      <c r="AO163" s="539">
        <f t="shared" si="55"/>
        <v>0</v>
      </c>
      <c r="AP163" s="539">
        <f t="shared" si="55"/>
        <v>0</v>
      </c>
      <c r="AQ163" s="539">
        <f t="shared" si="55"/>
        <v>0</v>
      </c>
      <c r="AR163" s="539">
        <f t="shared" si="55"/>
        <v>0</v>
      </c>
      <c r="AS163" s="539">
        <f t="shared" si="55"/>
        <v>0</v>
      </c>
      <c r="AT163" s="539">
        <f t="shared" si="55"/>
        <v>0</v>
      </c>
      <c r="AU163" s="539">
        <f t="shared" si="55"/>
        <v>0</v>
      </c>
      <c r="AV163" s="539">
        <f t="shared" si="55"/>
        <v>0</v>
      </c>
      <c r="AW163" s="539">
        <f t="shared" si="55"/>
        <v>0</v>
      </c>
      <c r="AX163" s="539">
        <f t="shared" si="55"/>
        <v>0</v>
      </c>
      <c r="AY163" s="539">
        <f t="shared" si="55"/>
        <v>0</v>
      </c>
      <c r="AZ163" s="539">
        <f t="shared" si="55"/>
        <v>0</v>
      </c>
      <c r="BA163" s="539">
        <f t="shared" si="55"/>
        <v>0</v>
      </c>
      <c r="BB163" s="539">
        <f t="shared" si="55"/>
        <v>0</v>
      </c>
      <c r="BC163" s="539">
        <f t="shared" si="55"/>
        <v>0</v>
      </c>
      <c r="BD163" s="539">
        <f t="shared" si="55"/>
        <v>0</v>
      </c>
      <c r="BE163" s="539">
        <f t="shared" si="55"/>
        <v>0</v>
      </c>
      <c r="BF163" s="539">
        <f t="shared" si="55"/>
        <v>0</v>
      </c>
      <c r="BG163" s="539">
        <f t="shared" si="55"/>
        <v>0</v>
      </c>
      <c r="BH163" s="539">
        <f t="shared" si="55"/>
        <v>0</v>
      </c>
      <c r="BI163" s="539">
        <f t="shared" si="55"/>
        <v>0</v>
      </c>
      <c r="BJ163" s="539">
        <f t="shared" si="55"/>
        <v>0</v>
      </c>
      <c r="BK163" s="539">
        <f t="shared" si="55"/>
        <v>0</v>
      </c>
      <c r="BL163" s="539">
        <f t="shared" si="55"/>
        <v>0</v>
      </c>
      <c r="BM163" s="539">
        <f t="shared" si="55"/>
        <v>0</v>
      </c>
      <c r="BN163" s="539">
        <f t="shared" si="55"/>
        <v>0</v>
      </c>
      <c r="BO163" s="539">
        <f t="shared" si="55"/>
        <v>0</v>
      </c>
      <c r="BP163" s="539">
        <f t="shared" si="55"/>
        <v>0</v>
      </c>
      <c r="BQ163" s="539">
        <f t="shared" si="55"/>
        <v>0</v>
      </c>
      <c r="BR163" s="539">
        <f t="shared" si="55"/>
        <v>0</v>
      </c>
      <c r="BS163" s="539">
        <f t="shared" si="55"/>
        <v>0</v>
      </c>
      <c r="BT163" s="539">
        <f t="shared" si="55"/>
        <v>0</v>
      </c>
      <c r="BU163" s="539">
        <f t="shared" si="55"/>
        <v>0</v>
      </c>
      <c r="BV163" s="539">
        <f t="shared" si="55"/>
        <v>0</v>
      </c>
      <c r="BW163" s="539">
        <f t="shared" si="55"/>
        <v>0</v>
      </c>
      <c r="BX163" s="539">
        <f t="shared" si="55"/>
        <v>0</v>
      </c>
      <c r="BY163" s="539">
        <f t="shared" si="55"/>
        <v>0</v>
      </c>
      <c r="BZ163" s="539">
        <f t="shared" si="55"/>
        <v>0</v>
      </c>
      <c r="CA163" s="539">
        <f t="shared" si="55"/>
        <v>0</v>
      </c>
      <c r="CB163" s="539">
        <f t="shared" si="55"/>
        <v>0</v>
      </c>
      <c r="CC163" s="539">
        <f t="shared" si="55"/>
        <v>0</v>
      </c>
      <c r="CD163" s="539">
        <f t="shared" si="55"/>
        <v>0</v>
      </c>
      <c r="CE163" s="539">
        <f t="shared" si="55"/>
        <v>0</v>
      </c>
      <c r="CF163" s="539">
        <f t="shared" si="55"/>
        <v>0</v>
      </c>
      <c r="CG163" s="539">
        <f t="shared" si="55"/>
        <v>0</v>
      </c>
      <c r="CH163" s="539">
        <f t="shared" si="55"/>
        <v>0</v>
      </c>
      <c r="CI163" s="539">
        <f t="shared" si="55"/>
        <v>0</v>
      </c>
      <c r="CJ163" s="539">
        <f t="shared" si="55"/>
        <v>0</v>
      </c>
      <c r="CK163" s="539">
        <f t="shared" si="55"/>
        <v>0</v>
      </c>
      <c r="CL163" s="539">
        <f t="shared" si="55"/>
        <v>0</v>
      </c>
      <c r="CM163" s="539">
        <f t="shared" si="55"/>
        <v>0</v>
      </c>
      <c r="CN163" s="539">
        <f t="shared" si="55"/>
        <v>0</v>
      </c>
      <c r="CO163" s="539">
        <f t="shared" si="55"/>
        <v>0</v>
      </c>
      <c r="CP163" s="539">
        <f t="shared" si="55"/>
        <v>0</v>
      </c>
      <c r="CQ163" s="539">
        <f t="shared" si="55"/>
        <v>0</v>
      </c>
      <c r="CR163" s="539">
        <f t="shared" si="55"/>
        <v>0</v>
      </c>
      <c r="CS163" s="539">
        <f t="shared" si="55"/>
        <v>0</v>
      </c>
      <c r="CT163" s="539">
        <f t="shared" si="55"/>
        <v>0</v>
      </c>
      <c r="CU163" s="539">
        <f t="shared" si="55"/>
        <v>0</v>
      </c>
      <c r="CV163" s="539">
        <f t="shared" si="55"/>
        <v>0</v>
      </c>
      <c r="CW163" s="539">
        <f t="shared" si="55"/>
        <v>0</v>
      </c>
      <c r="CX163" s="539">
        <f t="shared" si="55"/>
        <v>0</v>
      </c>
      <c r="CY163" s="539">
        <f t="shared" si="55"/>
        <v>0</v>
      </c>
      <c r="CZ163" s="539">
        <f t="shared" si="55"/>
        <v>0</v>
      </c>
      <c r="DA163" s="539">
        <f t="shared" si="55"/>
        <v>0</v>
      </c>
      <c r="DB163" s="539">
        <f t="shared" si="55"/>
        <v>0</v>
      </c>
      <c r="DC163" s="539">
        <f t="shared" si="55"/>
        <v>0</v>
      </c>
      <c r="DD163" s="539">
        <f t="shared" si="55"/>
        <v>0</v>
      </c>
      <c r="DE163" s="539">
        <f t="shared" si="55"/>
        <v>0</v>
      </c>
      <c r="DF163" s="539">
        <f t="shared" si="55"/>
        <v>0</v>
      </c>
      <c r="DG163" s="539">
        <f t="shared" si="55"/>
        <v>0</v>
      </c>
      <c r="DH163" s="539">
        <f t="shared" si="55"/>
        <v>0</v>
      </c>
      <c r="DI163" s="539">
        <f t="shared" si="55"/>
        <v>0</v>
      </c>
      <c r="DJ163" s="539">
        <f t="shared" si="55"/>
        <v>0</v>
      </c>
      <c r="DK163" s="539">
        <f t="shared" si="55"/>
        <v>0</v>
      </c>
      <c r="DL163" s="539">
        <f t="shared" si="55"/>
        <v>0</v>
      </c>
      <c r="DM163" s="539">
        <f t="shared" si="55"/>
        <v>0</v>
      </c>
      <c r="DN163" s="539">
        <f t="shared" si="55"/>
        <v>0</v>
      </c>
      <c r="DO163" s="539">
        <f t="shared" si="55"/>
        <v>0</v>
      </c>
      <c r="DP163" s="539">
        <f t="shared" si="55"/>
        <v>0</v>
      </c>
      <c r="DQ163" s="539">
        <f t="shared" si="55"/>
        <v>0</v>
      </c>
      <c r="DR163" s="539">
        <f t="shared" si="55"/>
        <v>0</v>
      </c>
      <c r="DS163" s="539">
        <f t="shared" si="55"/>
        <v>0</v>
      </c>
      <c r="DT163" s="539">
        <f t="shared" si="55"/>
        <v>0</v>
      </c>
      <c r="DU163" s="539">
        <f t="shared" si="55"/>
        <v>0</v>
      </c>
      <c r="DV163" s="539">
        <f t="shared" si="55"/>
        <v>0</v>
      </c>
      <c r="DW163" s="539">
        <f t="shared" si="55"/>
        <v>0</v>
      </c>
      <c r="DX163" s="539">
        <f t="shared" si="55"/>
        <v>0</v>
      </c>
      <c r="DY163" s="539">
        <f t="shared" si="55"/>
        <v>0</v>
      </c>
      <c r="DZ163" s="539">
        <f t="shared" si="55"/>
        <v>0</v>
      </c>
      <c r="EA163" s="539">
        <f t="shared" si="55"/>
        <v>0</v>
      </c>
      <c r="EB163" s="539">
        <f t="shared" si="55"/>
        <v>0</v>
      </c>
      <c r="EC163" s="539">
        <f t="shared" si="55"/>
        <v>0</v>
      </c>
      <c r="ED163" s="539">
        <f t="shared" si="55"/>
        <v>0</v>
      </c>
      <c r="EE163" s="539">
        <f t="shared" si="55"/>
        <v>0</v>
      </c>
      <c r="EF163" s="539">
        <f t="shared" si="55"/>
        <v>0</v>
      </c>
      <c r="EG163" s="539">
        <f t="shared" si="55"/>
        <v>0</v>
      </c>
    </row>
    <row r="165" spans="5:7" ht="12.75">
      <c r="E165" s="535" t="str">
        <f>InpC!E$78</f>
        <v>Senior facility - upfront fee rate</v>
      </c>
      <c r="F165" s="542">
        <f>InpC!F$78</f>
        <v>0.014999999999999999</v>
      </c>
      <c r="G165" s="542" t="str">
        <f>InpC!G$78</f>
        <v>%</v>
      </c>
    </row>
    <row r="166" spans="5:7" ht="12.75">
      <c r="E166" s="538" t="str">
        <f>E$117</f>
        <v>Senior facility - amount</v>
      </c>
      <c r="F166" s="539">
        <f>F$117</f>
        <v>221286.64791105167</v>
      </c>
      <c r="G166" s="539" t="str">
        <f>G$117</f>
        <v>EUR 000s</v>
      </c>
    </row>
    <row r="167" spans="5:137" ht="12.75">
      <c r="E167" s="535" t="str">
        <f>Time!E$58</f>
        <v>Financial close date flag</v>
      </c>
      <c r="G167" s="537" t="str">
        <f>Time!G$58</f>
        <v>flag</v>
      </c>
      <c r="H167" s="537">
        <f>Time!H$58</f>
        <v>1</v>
      </c>
      <c r="J167" s="537">
        <f>Time!J$58</f>
        <v>0</v>
      </c>
      <c r="K167" s="537">
        <f>Time!K$58</f>
        <v>0</v>
      </c>
      <c r="L167" s="537">
        <f>Time!L$58</f>
        <v>1</v>
      </c>
      <c r="M167" s="537">
        <f>Time!M$58</f>
        <v>0</v>
      </c>
      <c r="N167" s="537">
        <f>Time!N$58</f>
        <v>0</v>
      </c>
      <c r="O167" s="537">
        <f>Time!O$58</f>
        <v>0</v>
      </c>
      <c r="P167" s="537">
        <f>Time!P$58</f>
        <v>0</v>
      </c>
      <c r="Q167" s="537">
        <f>Time!Q$58</f>
        <v>0</v>
      </c>
      <c r="R167" s="537">
        <f>Time!R$58</f>
        <v>0</v>
      </c>
      <c r="S167" s="537">
        <f>Time!S$58</f>
        <v>0</v>
      </c>
      <c r="T167" s="537">
        <f>Time!T$58</f>
        <v>0</v>
      </c>
      <c r="U167" s="537">
        <f>Time!U$58</f>
        <v>0</v>
      </c>
      <c r="V167" s="537">
        <f>Time!V$58</f>
        <v>0</v>
      </c>
      <c r="W167" s="537">
        <f>Time!W$58</f>
        <v>0</v>
      </c>
      <c r="X167" s="537">
        <f>Time!X$58</f>
        <v>0</v>
      </c>
      <c r="Y167" s="537">
        <f>Time!Y$58</f>
        <v>0</v>
      </c>
      <c r="Z167" s="537">
        <f>Time!Z$58</f>
        <v>0</v>
      </c>
      <c r="AA167" s="537">
        <f>Time!AA$58</f>
        <v>0</v>
      </c>
      <c r="AB167" s="537">
        <f>Time!AB$58</f>
        <v>0</v>
      </c>
      <c r="AC167" s="537">
        <f>Time!AC$58</f>
        <v>0</v>
      </c>
      <c r="AD167" s="537">
        <f>Time!AD$58</f>
        <v>0</v>
      </c>
      <c r="AE167" s="537">
        <f>Time!AE$58</f>
        <v>0</v>
      </c>
      <c r="AF167" s="537">
        <f>Time!AF$58</f>
        <v>0</v>
      </c>
      <c r="AG167" s="537">
        <f>Time!AG$58</f>
        <v>0</v>
      </c>
      <c r="AH167" s="537">
        <f>Time!AH$58</f>
        <v>0</v>
      </c>
      <c r="AI167" s="537">
        <f>Time!AI$58</f>
        <v>0</v>
      </c>
      <c r="AJ167" s="537">
        <f>Time!AJ$58</f>
        <v>0</v>
      </c>
      <c r="AK167" s="537">
        <f>Time!AK$58</f>
        <v>0</v>
      </c>
      <c r="AL167" s="537">
        <f>Time!AL$58</f>
        <v>0</v>
      </c>
      <c r="AM167" s="537">
        <f>Time!AM$58</f>
        <v>0</v>
      </c>
      <c r="AN167" s="537">
        <f>Time!AN$58</f>
        <v>0</v>
      </c>
      <c r="AO167" s="537">
        <f>Time!AO$58</f>
        <v>0</v>
      </c>
      <c r="AP167" s="537">
        <f>Time!AP$58</f>
        <v>0</v>
      </c>
      <c r="AQ167" s="537">
        <f>Time!AQ$58</f>
        <v>0</v>
      </c>
      <c r="AR167" s="537">
        <f>Time!AR$58</f>
        <v>0</v>
      </c>
      <c r="AS167" s="537">
        <f>Time!AS$58</f>
        <v>0</v>
      </c>
      <c r="AT167" s="537">
        <f>Time!AT$58</f>
        <v>0</v>
      </c>
      <c r="AU167" s="537">
        <f>Time!AU$58</f>
        <v>0</v>
      </c>
      <c r="AV167" s="537">
        <f>Time!AV$58</f>
        <v>0</v>
      </c>
      <c r="AW167" s="537">
        <f>Time!AW$58</f>
        <v>0</v>
      </c>
      <c r="AX167" s="537">
        <f>Time!AX$58</f>
        <v>0</v>
      </c>
      <c r="AY167" s="537">
        <f>Time!AY$58</f>
        <v>0</v>
      </c>
      <c r="AZ167" s="537">
        <f>Time!AZ$58</f>
        <v>0</v>
      </c>
      <c r="BA167" s="537">
        <f>Time!BA$58</f>
        <v>0</v>
      </c>
      <c r="BB167" s="537">
        <f>Time!BB$58</f>
        <v>0</v>
      </c>
      <c r="BC167" s="537">
        <f>Time!BC$58</f>
        <v>0</v>
      </c>
      <c r="BD167" s="537">
        <f>Time!BD$58</f>
        <v>0</v>
      </c>
      <c r="BE167" s="537">
        <f>Time!BE$58</f>
        <v>0</v>
      </c>
      <c r="BF167" s="537">
        <f>Time!BF$58</f>
        <v>0</v>
      </c>
      <c r="BG167" s="537">
        <f>Time!BG$58</f>
        <v>0</v>
      </c>
      <c r="BH167" s="537">
        <f>Time!BH$58</f>
        <v>0</v>
      </c>
      <c r="BI167" s="537">
        <f>Time!BI$58</f>
        <v>0</v>
      </c>
      <c r="BJ167" s="537">
        <f>Time!BJ$58</f>
        <v>0</v>
      </c>
      <c r="BK167" s="537">
        <f>Time!BK$58</f>
        <v>0</v>
      </c>
      <c r="BL167" s="537">
        <f>Time!BL$58</f>
        <v>0</v>
      </c>
      <c r="BM167" s="537">
        <f>Time!BM$58</f>
        <v>0</v>
      </c>
      <c r="BN167" s="537">
        <f>Time!BN$58</f>
        <v>0</v>
      </c>
      <c r="BO167" s="537">
        <f>Time!BO$58</f>
        <v>0</v>
      </c>
      <c r="BP167" s="537">
        <f>Time!BP$58</f>
        <v>0</v>
      </c>
      <c r="BQ167" s="537">
        <f>Time!BQ$58</f>
        <v>0</v>
      </c>
      <c r="BR167" s="537">
        <f>Time!BR$58</f>
        <v>0</v>
      </c>
      <c r="BS167" s="537">
        <f>Time!BS$58</f>
        <v>0</v>
      </c>
      <c r="BT167" s="537">
        <f>Time!BT$58</f>
        <v>0</v>
      </c>
      <c r="BU167" s="537">
        <f>Time!BU$58</f>
        <v>0</v>
      </c>
      <c r="BV167" s="537">
        <f>Time!BV$58</f>
        <v>0</v>
      </c>
      <c r="BW167" s="537">
        <f>Time!BW$58</f>
        <v>0</v>
      </c>
      <c r="BX167" s="537">
        <f>Time!BX$58</f>
        <v>0</v>
      </c>
      <c r="BY167" s="537">
        <f>Time!BY$58</f>
        <v>0</v>
      </c>
      <c r="BZ167" s="537">
        <f>Time!BZ$58</f>
        <v>0</v>
      </c>
      <c r="CA167" s="537">
        <f>Time!CA$58</f>
        <v>0</v>
      </c>
      <c r="CB167" s="537">
        <f>Time!CB$58</f>
        <v>0</v>
      </c>
      <c r="CC167" s="537">
        <f>Time!CC$58</f>
        <v>0</v>
      </c>
      <c r="CD167" s="537">
        <f>Time!CD$58</f>
        <v>0</v>
      </c>
      <c r="CE167" s="537">
        <f>Time!CE$58</f>
        <v>0</v>
      </c>
      <c r="CF167" s="537">
        <f>Time!CF$58</f>
        <v>0</v>
      </c>
      <c r="CG167" s="537">
        <f>Time!CG$58</f>
        <v>0</v>
      </c>
      <c r="CH167" s="537">
        <f>Time!CH$58</f>
        <v>0</v>
      </c>
      <c r="CI167" s="537">
        <f>Time!CI$58</f>
        <v>0</v>
      </c>
      <c r="CJ167" s="537">
        <f>Time!CJ$58</f>
        <v>0</v>
      </c>
      <c r="CK167" s="537">
        <f>Time!CK$58</f>
        <v>0</v>
      </c>
      <c r="CL167" s="537">
        <f>Time!CL$58</f>
        <v>0</v>
      </c>
      <c r="CM167" s="537">
        <f>Time!CM$58</f>
        <v>0</v>
      </c>
      <c r="CN167" s="537">
        <f>Time!CN$58</f>
        <v>0</v>
      </c>
      <c r="CO167" s="537">
        <f>Time!CO$58</f>
        <v>0</v>
      </c>
      <c r="CP167" s="537">
        <f>Time!CP$58</f>
        <v>0</v>
      </c>
      <c r="CQ167" s="537">
        <f>Time!CQ$58</f>
        <v>0</v>
      </c>
      <c r="CR167" s="537">
        <f>Time!CR$58</f>
        <v>0</v>
      </c>
      <c r="CS167" s="537">
        <f>Time!CS$58</f>
        <v>0</v>
      </c>
      <c r="CT167" s="537">
        <f>Time!CT$58</f>
        <v>0</v>
      </c>
      <c r="CU167" s="537">
        <f>Time!CU$58</f>
        <v>0</v>
      </c>
      <c r="CV167" s="537">
        <f>Time!CV$58</f>
        <v>0</v>
      </c>
      <c r="CW167" s="537">
        <f>Time!CW$58</f>
        <v>0</v>
      </c>
      <c r="CX167" s="537">
        <f>Time!CX$58</f>
        <v>0</v>
      </c>
      <c r="CY167" s="537">
        <f>Time!CY$58</f>
        <v>0</v>
      </c>
      <c r="CZ167" s="537">
        <f>Time!CZ$58</f>
        <v>0</v>
      </c>
      <c r="DA167" s="537">
        <f>Time!DA$58</f>
        <v>0</v>
      </c>
      <c r="DB167" s="537">
        <f>Time!DB$58</f>
        <v>0</v>
      </c>
      <c r="DC167" s="537">
        <f>Time!DC$58</f>
        <v>0</v>
      </c>
      <c r="DD167" s="537">
        <f>Time!DD$58</f>
        <v>0</v>
      </c>
      <c r="DE167" s="537">
        <f>Time!DE$58</f>
        <v>0</v>
      </c>
      <c r="DF167" s="537">
        <f>Time!DF$58</f>
        <v>0</v>
      </c>
      <c r="DG167" s="537">
        <f>Time!DG$58</f>
        <v>0</v>
      </c>
      <c r="DH167" s="537">
        <f>Time!DH$58</f>
        <v>0</v>
      </c>
      <c r="DI167" s="537">
        <f>Time!DI$58</f>
        <v>0</v>
      </c>
      <c r="DJ167" s="537">
        <f>Time!DJ$58</f>
        <v>0</v>
      </c>
      <c r="DK167" s="537">
        <f>Time!DK$58</f>
        <v>0</v>
      </c>
      <c r="DL167" s="537">
        <f>Time!DL$58</f>
        <v>0</v>
      </c>
      <c r="DM167" s="537">
        <f>Time!DM$58</f>
        <v>0</v>
      </c>
      <c r="DN167" s="537">
        <f>Time!DN$58</f>
        <v>0</v>
      </c>
      <c r="DO167" s="537">
        <f>Time!DO$58</f>
        <v>0</v>
      </c>
      <c r="DP167" s="537">
        <f>Time!DP$58</f>
        <v>0</v>
      </c>
      <c r="DQ167" s="537">
        <f>Time!DQ$58</f>
        <v>0</v>
      </c>
      <c r="DR167" s="537">
        <f>Time!DR$58</f>
        <v>0</v>
      </c>
      <c r="DS167" s="537">
        <f>Time!DS$58</f>
        <v>0</v>
      </c>
      <c r="DT167" s="537">
        <f>Time!DT$58</f>
        <v>0</v>
      </c>
      <c r="DU167" s="537">
        <f>Time!DU$58</f>
        <v>0</v>
      </c>
      <c r="DV167" s="537">
        <f>Time!DV$58</f>
        <v>0</v>
      </c>
      <c r="DW167" s="537">
        <f>Time!DW$58</f>
        <v>0</v>
      </c>
      <c r="DX167" s="537">
        <f>Time!DX$58</f>
        <v>0</v>
      </c>
      <c r="DY167" s="537">
        <f>Time!DY$58</f>
        <v>0</v>
      </c>
      <c r="DZ167" s="537">
        <f>Time!DZ$58</f>
        <v>0</v>
      </c>
      <c r="EA167" s="537">
        <f>Time!EA$58</f>
        <v>0</v>
      </c>
      <c r="EB167" s="537">
        <f>Time!EB$58</f>
        <v>0</v>
      </c>
      <c r="EC167" s="537">
        <f>Time!EC$58</f>
        <v>0</v>
      </c>
      <c r="ED167" s="537">
        <f>Time!ED$58</f>
        <v>0</v>
      </c>
      <c r="EE167" s="537">
        <f>Time!EE$58</f>
        <v>0</v>
      </c>
      <c r="EF167" s="537">
        <f>Time!EF$58</f>
        <v>0</v>
      </c>
      <c r="EG167" s="537">
        <f>Time!EG$58</f>
        <v>0</v>
      </c>
    </row>
    <row r="168" spans="5:137" ht="12.75">
      <c r="E168" s="538" t="s">
        <v>239</v>
      </c>
      <c r="G168" s="539" t="s">
        <v>30</v>
      </c>
      <c r="H168" s="539">
        <f>SUM(J168:EG168)</f>
        <v>3319.2997186657749</v>
      </c>
      <c r="J168" s="539">
        <f t="shared" si="56" ref="J168:EG168">$F166*$F165*J167</f>
        <v>0</v>
      </c>
      <c r="K168" s="539">
        <f t="shared" si="56"/>
        <v>0</v>
      </c>
      <c r="L168" s="539">
        <f t="shared" si="56"/>
        <v>3319.2997186657749</v>
      </c>
      <c r="M168" s="539">
        <f t="shared" si="56"/>
        <v>0</v>
      </c>
      <c r="N168" s="539">
        <f t="shared" si="56"/>
        <v>0</v>
      </c>
      <c r="O168" s="539">
        <f t="shared" si="56"/>
        <v>0</v>
      </c>
      <c r="P168" s="539">
        <f t="shared" si="56"/>
        <v>0</v>
      </c>
      <c r="Q168" s="539">
        <f t="shared" si="56"/>
        <v>0</v>
      </c>
      <c r="R168" s="539">
        <f t="shared" si="56"/>
        <v>0</v>
      </c>
      <c r="S168" s="539">
        <f t="shared" si="56"/>
        <v>0</v>
      </c>
      <c r="T168" s="539">
        <f t="shared" si="56"/>
        <v>0</v>
      </c>
      <c r="U168" s="539">
        <f t="shared" si="56"/>
        <v>0</v>
      </c>
      <c r="V168" s="539">
        <f t="shared" si="56"/>
        <v>0</v>
      </c>
      <c r="W168" s="539">
        <f t="shared" si="56"/>
        <v>0</v>
      </c>
      <c r="X168" s="539">
        <f t="shared" si="56"/>
        <v>0</v>
      </c>
      <c r="Y168" s="539">
        <f t="shared" si="56"/>
        <v>0</v>
      </c>
      <c r="Z168" s="539">
        <f t="shared" si="56"/>
        <v>0</v>
      </c>
      <c r="AA168" s="539">
        <f t="shared" si="56"/>
        <v>0</v>
      </c>
      <c r="AB168" s="539">
        <f t="shared" si="56"/>
        <v>0</v>
      </c>
      <c r="AC168" s="539">
        <f t="shared" si="56"/>
        <v>0</v>
      </c>
      <c r="AD168" s="539">
        <f t="shared" si="56"/>
        <v>0</v>
      </c>
      <c r="AE168" s="539">
        <f t="shared" si="56"/>
        <v>0</v>
      </c>
      <c r="AF168" s="539">
        <f t="shared" si="56"/>
        <v>0</v>
      </c>
      <c r="AG168" s="539">
        <f t="shared" si="56"/>
        <v>0</v>
      </c>
      <c r="AH168" s="539">
        <f t="shared" si="56"/>
        <v>0</v>
      </c>
      <c r="AI168" s="539">
        <f t="shared" si="56"/>
        <v>0</v>
      </c>
      <c r="AJ168" s="539">
        <f t="shared" si="56"/>
        <v>0</v>
      </c>
      <c r="AK168" s="539">
        <f t="shared" si="56"/>
        <v>0</v>
      </c>
      <c r="AL168" s="539">
        <f t="shared" si="56"/>
        <v>0</v>
      </c>
      <c r="AM168" s="539">
        <f t="shared" si="56"/>
        <v>0</v>
      </c>
      <c r="AN168" s="539">
        <f t="shared" si="56"/>
        <v>0</v>
      </c>
      <c r="AO168" s="539">
        <f t="shared" si="56"/>
        <v>0</v>
      </c>
      <c r="AP168" s="539">
        <f t="shared" si="56"/>
        <v>0</v>
      </c>
      <c r="AQ168" s="539">
        <f t="shared" si="56"/>
        <v>0</v>
      </c>
      <c r="AR168" s="539">
        <f t="shared" si="56"/>
        <v>0</v>
      </c>
      <c r="AS168" s="539">
        <f t="shared" si="56"/>
        <v>0</v>
      </c>
      <c r="AT168" s="539">
        <f t="shared" si="56"/>
        <v>0</v>
      </c>
      <c r="AU168" s="539">
        <f t="shared" si="56"/>
        <v>0</v>
      </c>
      <c r="AV168" s="539">
        <f t="shared" si="56"/>
        <v>0</v>
      </c>
      <c r="AW168" s="539">
        <f t="shared" si="56"/>
        <v>0</v>
      </c>
      <c r="AX168" s="539">
        <f t="shared" si="56"/>
        <v>0</v>
      </c>
      <c r="AY168" s="539">
        <f t="shared" si="56"/>
        <v>0</v>
      </c>
      <c r="AZ168" s="539">
        <f t="shared" si="56"/>
        <v>0</v>
      </c>
      <c r="BA168" s="539">
        <f t="shared" si="56"/>
        <v>0</v>
      </c>
      <c r="BB168" s="539">
        <f t="shared" si="56"/>
        <v>0</v>
      </c>
      <c r="BC168" s="539">
        <f t="shared" si="56"/>
        <v>0</v>
      </c>
      <c r="BD168" s="539">
        <f t="shared" si="56"/>
        <v>0</v>
      </c>
      <c r="BE168" s="539">
        <f t="shared" si="56"/>
        <v>0</v>
      </c>
      <c r="BF168" s="539">
        <f t="shared" si="56"/>
        <v>0</v>
      </c>
      <c r="BG168" s="539">
        <f t="shared" si="56"/>
        <v>0</v>
      </c>
      <c r="BH168" s="539">
        <f t="shared" si="56"/>
        <v>0</v>
      </c>
      <c r="BI168" s="539">
        <f t="shared" si="56"/>
        <v>0</v>
      </c>
      <c r="BJ168" s="539">
        <f t="shared" si="56"/>
        <v>0</v>
      </c>
      <c r="BK168" s="539">
        <f t="shared" si="56"/>
        <v>0</v>
      </c>
      <c r="BL168" s="539">
        <f t="shared" si="56"/>
        <v>0</v>
      </c>
      <c r="BM168" s="539">
        <f t="shared" si="56"/>
        <v>0</v>
      </c>
      <c r="BN168" s="539">
        <f t="shared" si="56"/>
        <v>0</v>
      </c>
      <c r="BO168" s="539">
        <f t="shared" si="56"/>
        <v>0</v>
      </c>
      <c r="BP168" s="539">
        <f t="shared" si="56"/>
        <v>0</v>
      </c>
      <c r="BQ168" s="539">
        <f t="shared" si="56"/>
        <v>0</v>
      </c>
      <c r="BR168" s="539">
        <f t="shared" si="56"/>
        <v>0</v>
      </c>
      <c r="BS168" s="539">
        <f t="shared" si="56"/>
        <v>0</v>
      </c>
      <c r="BT168" s="539">
        <f t="shared" si="56"/>
        <v>0</v>
      </c>
      <c r="BU168" s="539">
        <f t="shared" si="56"/>
        <v>0</v>
      </c>
      <c r="BV168" s="539">
        <f t="shared" si="56"/>
        <v>0</v>
      </c>
      <c r="BW168" s="539">
        <f t="shared" si="56"/>
        <v>0</v>
      </c>
      <c r="BX168" s="539">
        <f t="shared" si="56"/>
        <v>0</v>
      </c>
      <c r="BY168" s="539">
        <f t="shared" si="56"/>
        <v>0</v>
      </c>
      <c r="BZ168" s="539">
        <f t="shared" si="56"/>
        <v>0</v>
      </c>
      <c r="CA168" s="539">
        <f t="shared" si="56"/>
        <v>0</v>
      </c>
      <c r="CB168" s="539">
        <f t="shared" si="56"/>
        <v>0</v>
      </c>
      <c r="CC168" s="539">
        <f t="shared" si="56"/>
        <v>0</v>
      </c>
      <c r="CD168" s="539">
        <f t="shared" si="56"/>
        <v>0</v>
      </c>
      <c r="CE168" s="539">
        <f t="shared" si="56"/>
        <v>0</v>
      </c>
      <c r="CF168" s="539">
        <f t="shared" si="56"/>
        <v>0</v>
      </c>
      <c r="CG168" s="539">
        <f t="shared" si="56"/>
        <v>0</v>
      </c>
      <c r="CH168" s="539">
        <f t="shared" si="56"/>
        <v>0</v>
      </c>
      <c r="CI168" s="539">
        <f t="shared" si="56"/>
        <v>0</v>
      </c>
      <c r="CJ168" s="539">
        <f t="shared" si="56"/>
        <v>0</v>
      </c>
      <c r="CK168" s="539">
        <f t="shared" si="56"/>
        <v>0</v>
      </c>
      <c r="CL168" s="539">
        <f t="shared" si="56"/>
        <v>0</v>
      </c>
      <c r="CM168" s="539">
        <f t="shared" si="56"/>
        <v>0</v>
      </c>
      <c r="CN168" s="539">
        <f t="shared" si="56"/>
        <v>0</v>
      </c>
      <c r="CO168" s="539">
        <f t="shared" si="56"/>
        <v>0</v>
      </c>
      <c r="CP168" s="539">
        <f t="shared" si="56"/>
        <v>0</v>
      </c>
      <c r="CQ168" s="539">
        <f t="shared" si="56"/>
        <v>0</v>
      </c>
      <c r="CR168" s="539">
        <f t="shared" si="56"/>
        <v>0</v>
      </c>
      <c r="CS168" s="539">
        <f t="shared" si="56"/>
        <v>0</v>
      </c>
      <c r="CT168" s="539">
        <f t="shared" si="56"/>
        <v>0</v>
      </c>
      <c r="CU168" s="539">
        <f t="shared" si="56"/>
        <v>0</v>
      </c>
      <c r="CV168" s="539">
        <f t="shared" si="56"/>
        <v>0</v>
      </c>
      <c r="CW168" s="539">
        <f t="shared" si="56"/>
        <v>0</v>
      </c>
      <c r="CX168" s="539">
        <f t="shared" si="56"/>
        <v>0</v>
      </c>
      <c r="CY168" s="539">
        <f t="shared" si="56"/>
        <v>0</v>
      </c>
      <c r="CZ168" s="539">
        <f t="shared" si="56"/>
        <v>0</v>
      </c>
      <c r="DA168" s="539">
        <f t="shared" si="56"/>
        <v>0</v>
      </c>
      <c r="DB168" s="539">
        <f t="shared" si="56"/>
        <v>0</v>
      </c>
      <c r="DC168" s="539">
        <f t="shared" si="56"/>
        <v>0</v>
      </c>
      <c r="DD168" s="539">
        <f t="shared" si="56"/>
        <v>0</v>
      </c>
      <c r="DE168" s="539">
        <f t="shared" si="56"/>
        <v>0</v>
      </c>
      <c r="DF168" s="539">
        <f t="shared" si="56"/>
        <v>0</v>
      </c>
      <c r="DG168" s="539">
        <f t="shared" si="56"/>
        <v>0</v>
      </c>
      <c r="DH168" s="539">
        <f t="shared" si="56"/>
        <v>0</v>
      </c>
      <c r="DI168" s="539">
        <f t="shared" si="56"/>
        <v>0</v>
      </c>
      <c r="DJ168" s="539">
        <f t="shared" si="56"/>
        <v>0</v>
      </c>
      <c r="DK168" s="539">
        <f t="shared" si="56"/>
        <v>0</v>
      </c>
      <c r="DL168" s="539">
        <f t="shared" si="56"/>
        <v>0</v>
      </c>
      <c r="DM168" s="539">
        <f t="shared" si="56"/>
        <v>0</v>
      </c>
      <c r="DN168" s="539">
        <f t="shared" si="56"/>
        <v>0</v>
      </c>
      <c r="DO168" s="539">
        <f t="shared" si="56"/>
        <v>0</v>
      </c>
      <c r="DP168" s="539">
        <f t="shared" si="56"/>
        <v>0</v>
      </c>
      <c r="DQ168" s="539">
        <f t="shared" si="56"/>
        <v>0</v>
      </c>
      <c r="DR168" s="539">
        <f t="shared" si="56"/>
        <v>0</v>
      </c>
      <c r="DS168" s="539">
        <f t="shared" si="56"/>
        <v>0</v>
      </c>
      <c r="DT168" s="539">
        <f t="shared" si="56"/>
        <v>0</v>
      </c>
      <c r="DU168" s="539">
        <f t="shared" si="56"/>
        <v>0</v>
      </c>
      <c r="DV168" s="539">
        <f t="shared" si="56"/>
        <v>0</v>
      </c>
      <c r="DW168" s="539">
        <f t="shared" si="56"/>
        <v>0</v>
      </c>
      <c r="DX168" s="539">
        <f t="shared" si="56"/>
        <v>0</v>
      </c>
      <c r="DY168" s="539">
        <f t="shared" si="56"/>
        <v>0</v>
      </c>
      <c r="DZ168" s="539">
        <f t="shared" si="56"/>
        <v>0</v>
      </c>
      <c r="EA168" s="539">
        <f t="shared" si="56"/>
        <v>0</v>
      </c>
      <c r="EB168" s="539">
        <f t="shared" si="56"/>
        <v>0</v>
      </c>
      <c r="EC168" s="539">
        <f t="shared" si="56"/>
        <v>0</v>
      </c>
      <c r="ED168" s="539">
        <f t="shared" si="56"/>
        <v>0</v>
      </c>
      <c r="EE168" s="539">
        <f t="shared" si="56"/>
        <v>0</v>
      </c>
      <c r="EF168" s="539">
        <f t="shared" si="56"/>
        <v>0</v>
      </c>
      <c r="EG168" s="539">
        <f t="shared" si="56"/>
        <v>0</v>
      </c>
    </row>
    <row r="170" spans="5:7" ht="12.75">
      <c r="E170" s="535" t="str">
        <f>InpC!E$79</f>
        <v>Senior facility - commitment fee on undrawn</v>
      </c>
      <c r="F170" s="542">
        <f>InpC!F$79</f>
        <v>0.0060000000000000001</v>
      </c>
      <c r="G170" s="542" t="str">
        <f>InpC!G$79</f>
        <v>% p.a.</v>
      </c>
    </row>
    <row r="171" spans="5:7" ht="12.75">
      <c r="E171" s="535" t="str">
        <f>InpC!E$127</f>
        <v>Days per year (interest day count)</v>
      </c>
      <c r="F171" s="537">
        <f>InpC!F$127</f>
        <v>365</v>
      </c>
      <c r="G171" s="537" t="str">
        <f>InpC!G$127</f>
        <v>days</v>
      </c>
    </row>
    <row r="172" spans="5:137" ht="12.75">
      <c r="E172" s="535" t="str">
        <f>Time!E$72</f>
        <v>Construction period flag</v>
      </c>
      <c r="G172" s="537" t="str">
        <f>Time!G$72</f>
        <v>flag</v>
      </c>
      <c r="H172" s="537">
        <f>Time!H$72</f>
        <v>21</v>
      </c>
      <c r="J172" s="537">
        <f>Time!J$72</f>
        <v>0</v>
      </c>
      <c r="K172" s="537">
        <f>Time!K$72</f>
        <v>0</v>
      </c>
      <c r="L172" s="537">
        <f>Time!L$72</f>
        <v>0</v>
      </c>
      <c r="M172" s="537">
        <f>Time!M$72</f>
        <v>1</v>
      </c>
      <c r="N172" s="537">
        <f>Time!N$72</f>
        <v>1</v>
      </c>
      <c r="O172" s="537">
        <f>Time!O$72</f>
        <v>1</v>
      </c>
      <c r="P172" s="537">
        <f>Time!P$72</f>
        <v>1</v>
      </c>
      <c r="Q172" s="537">
        <f>Time!Q$72</f>
        <v>1</v>
      </c>
      <c r="R172" s="537">
        <f>Time!R$72</f>
        <v>1</v>
      </c>
      <c r="S172" s="537">
        <f>Time!S$72</f>
        <v>1</v>
      </c>
      <c r="T172" s="537">
        <f>Time!T$72</f>
        <v>1</v>
      </c>
      <c r="U172" s="537">
        <f>Time!U$72</f>
        <v>1</v>
      </c>
      <c r="V172" s="537">
        <f>Time!V$72</f>
        <v>1</v>
      </c>
      <c r="W172" s="537">
        <f>Time!W$72</f>
        <v>1</v>
      </c>
      <c r="X172" s="537">
        <f>Time!X$72</f>
        <v>1</v>
      </c>
      <c r="Y172" s="537">
        <f>Time!Y$72</f>
        <v>1</v>
      </c>
      <c r="Z172" s="537">
        <f>Time!Z$72</f>
        <v>1</v>
      </c>
      <c r="AA172" s="537">
        <f>Time!AA$72</f>
        <v>1</v>
      </c>
      <c r="AB172" s="537">
        <f>Time!AB$72</f>
        <v>1</v>
      </c>
      <c r="AC172" s="537">
        <f>Time!AC$72</f>
        <v>1</v>
      </c>
      <c r="AD172" s="537">
        <f>Time!AD$72</f>
        <v>1</v>
      </c>
      <c r="AE172" s="537">
        <f>Time!AE$72</f>
        <v>1</v>
      </c>
      <c r="AF172" s="537">
        <f>Time!AF$72</f>
        <v>1</v>
      </c>
      <c r="AG172" s="537">
        <f>Time!AG$72</f>
        <v>1</v>
      </c>
      <c r="AH172" s="537">
        <f>Time!AH$72</f>
        <v>0</v>
      </c>
      <c r="AI172" s="537">
        <f>Time!AI$72</f>
        <v>0</v>
      </c>
      <c r="AJ172" s="537">
        <f>Time!AJ$72</f>
        <v>0</v>
      </c>
      <c r="AK172" s="537">
        <f>Time!AK$72</f>
        <v>0</v>
      </c>
      <c r="AL172" s="537">
        <f>Time!AL$72</f>
        <v>0</v>
      </c>
      <c r="AM172" s="537">
        <f>Time!AM$72</f>
        <v>0</v>
      </c>
      <c r="AN172" s="537">
        <f>Time!AN$72</f>
        <v>0</v>
      </c>
      <c r="AO172" s="537">
        <f>Time!AO$72</f>
        <v>0</v>
      </c>
      <c r="AP172" s="537">
        <f>Time!AP$72</f>
        <v>0</v>
      </c>
      <c r="AQ172" s="537">
        <f>Time!AQ$72</f>
        <v>0</v>
      </c>
      <c r="AR172" s="537">
        <f>Time!AR$72</f>
        <v>0</v>
      </c>
      <c r="AS172" s="537">
        <f>Time!AS$72</f>
        <v>0</v>
      </c>
      <c r="AT172" s="537">
        <f>Time!AT$72</f>
        <v>0</v>
      </c>
      <c r="AU172" s="537">
        <f>Time!AU$72</f>
        <v>0</v>
      </c>
      <c r="AV172" s="537">
        <f>Time!AV$72</f>
        <v>0</v>
      </c>
      <c r="AW172" s="537">
        <f>Time!AW$72</f>
        <v>0</v>
      </c>
      <c r="AX172" s="537">
        <f>Time!AX$72</f>
        <v>0</v>
      </c>
      <c r="AY172" s="537">
        <f>Time!AY$72</f>
        <v>0</v>
      </c>
      <c r="AZ172" s="537">
        <f>Time!AZ$72</f>
        <v>0</v>
      </c>
      <c r="BA172" s="537">
        <f>Time!BA$72</f>
        <v>0</v>
      </c>
      <c r="BB172" s="537">
        <f>Time!BB$72</f>
        <v>0</v>
      </c>
      <c r="BC172" s="537">
        <f>Time!BC$72</f>
        <v>0</v>
      </c>
      <c r="BD172" s="537">
        <f>Time!BD$72</f>
        <v>0</v>
      </c>
      <c r="BE172" s="537">
        <f>Time!BE$72</f>
        <v>0</v>
      </c>
      <c r="BF172" s="537">
        <f>Time!BF$72</f>
        <v>0</v>
      </c>
      <c r="BG172" s="537">
        <f>Time!BG$72</f>
        <v>0</v>
      </c>
      <c r="BH172" s="537">
        <f>Time!BH$72</f>
        <v>0</v>
      </c>
      <c r="BI172" s="537">
        <f>Time!BI$72</f>
        <v>0</v>
      </c>
      <c r="BJ172" s="537">
        <f>Time!BJ$72</f>
        <v>0</v>
      </c>
      <c r="BK172" s="537">
        <f>Time!BK$72</f>
        <v>0</v>
      </c>
      <c r="BL172" s="537">
        <f>Time!BL$72</f>
        <v>0</v>
      </c>
      <c r="BM172" s="537">
        <f>Time!BM$72</f>
        <v>0</v>
      </c>
      <c r="BN172" s="537">
        <f>Time!BN$72</f>
        <v>0</v>
      </c>
      <c r="BO172" s="537">
        <f>Time!BO$72</f>
        <v>0</v>
      </c>
      <c r="BP172" s="537">
        <f>Time!BP$72</f>
        <v>0</v>
      </c>
      <c r="BQ172" s="537">
        <f>Time!BQ$72</f>
        <v>0</v>
      </c>
      <c r="BR172" s="537">
        <f>Time!BR$72</f>
        <v>0</v>
      </c>
      <c r="BS172" s="537">
        <f>Time!BS$72</f>
        <v>0</v>
      </c>
      <c r="BT172" s="537">
        <f>Time!BT$72</f>
        <v>0</v>
      </c>
      <c r="BU172" s="537">
        <f>Time!BU$72</f>
        <v>0</v>
      </c>
      <c r="BV172" s="537">
        <f>Time!BV$72</f>
        <v>0</v>
      </c>
      <c r="BW172" s="537">
        <f>Time!BW$72</f>
        <v>0</v>
      </c>
      <c r="BX172" s="537">
        <f>Time!BX$72</f>
        <v>0</v>
      </c>
      <c r="BY172" s="537">
        <f>Time!BY$72</f>
        <v>0</v>
      </c>
      <c r="BZ172" s="537">
        <f>Time!BZ$72</f>
        <v>0</v>
      </c>
      <c r="CA172" s="537">
        <f>Time!CA$72</f>
        <v>0</v>
      </c>
      <c r="CB172" s="537">
        <f>Time!CB$72</f>
        <v>0</v>
      </c>
      <c r="CC172" s="537">
        <f>Time!CC$72</f>
        <v>0</v>
      </c>
      <c r="CD172" s="537">
        <f>Time!CD$72</f>
        <v>0</v>
      </c>
      <c r="CE172" s="537">
        <f>Time!CE$72</f>
        <v>0</v>
      </c>
      <c r="CF172" s="537">
        <f>Time!CF$72</f>
        <v>0</v>
      </c>
      <c r="CG172" s="537">
        <f>Time!CG$72</f>
        <v>0</v>
      </c>
      <c r="CH172" s="537">
        <f>Time!CH$72</f>
        <v>0</v>
      </c>
      <c r="CI172" s="537">
        <f>Time!CI$72</f>
        <v>0</v>
      </c>
      <c r="CJ172" s="537">
        <f>Time!CJ$72</f>
        <v>0</v>
      </c>
      <c r="CK172" s="537">
        <f>Time!CK$72</f>
        <v>0</v>
      </c>
      <c r="CL172" s="537">
        <f>Time!CL$72</f>
        <v>0</v>
      </c>
      <c r="CM172" s="537">
        <f>Time!CM$72</f>
        <v>0</v>
      </c>
      <c r="CN172" s="537">
        <f>Time!CN$72</f>
        <v>0</v>
      </c>
      <c r="CO172" s="537">
        <f>Time!CO$72</f>
        <v>0</v>
      </c>
      <c r="CP172" s="537">
        <f>Time!CP$72</f>
        <v>0</v>
      </c>
      <c r="CQ172" s="537">
        <f>Time!CQ$72</f>
        <v>0</v>
      </c>
      <c r="CR172" s="537">
        <f>Time!CR$72</f>
        <v>0</v>
      </c>
      <c r="CS172" s="537">
        <f>Time!CS$72</f>
        <v>0</v>
      </c>
      <c r="CT172" s="537">
        <f>Time!CT$72</f>
        <v>0</v>
      </c>
      <c r="CU172" s="537">
        <f>Time!CU$72</f>
        <v>0</v>
      </c>
      <c r="CV172" s="537">
        <f>Time!CV$72</f>
        <v>0</v>
      </c>
      <c r="CW172" s="537">
        <f>Time!CW$72</f>
        <v>0</v>
      </c>
      <c r="CX172" s="537">
        <f>Time!CX$72</f>
        <v>0</v>
      </c>
      <c r="CY172" s="537">
        <f>Time!CY$72</f>
        <v>0</v>
      </c>
      <c r="CZ172" s="537">
        <f>Time!CZ$72</f>
        <v>0</v>
      </c>
      <c r="DA172" s="537">
        <f>Time!DA$72</f>
        <v>0</v>
      </c>
      <c r="DB172" s="537">
        <f>Time!DB$72</f>
        <v>0</v>
      </c>
      <c r="DC172" s="537">
        <f>Time!DC$72</f>
        <v>0</v>
      </c>
      <c r="DD172" s="537">
        <f>Time!DD$72</f>
        <v>0</v>
      </c>
      <c r="DE172" s="537">
        <f>Time!DE$72</f>
        <v>0</v>
      </c>
      <c r="DF172" s="537">
        <f>Time!DF$72</f>
        <v>0</v>
      </c>
      <c r="DG172" s="537">
        <f>Time!DG$72</f>
        <v>0</v>
      </c>
      <c r="DH172" s="537">
        <f>Time!DH$72</f>
        <v>0</v>
      </c>
      <c r="DI172" s="537">
        <f>Time!DI$72</f>
        <v>0</v>
      </c>
      <c r="DJ172" s="537">
        <f>Time!DJ$72</f>
        <v>0</v>
      </c>
      <c r="DK172" s="537">
        <f>Time!DK$72</f>
        <v>0</v>
      </c>
      <c r="DL172" s="537">
        <f>Time!DL$72</f>
        <v>0</v>
      </c>
      <c r="DM172" s="537">
        <f>Time!DM$72</f>
        <v>0</v>
      </c>
      <c r="DN172" s="537">
        <f>Time!DN$72</f>
        <v>0</v>
      </c>
      <c r="DO172" s="537">
        <f>Time!DO$72</f>
        <v>0</v>
      </c>
      <c r="DP172" s="537">
        <f>Time!DP$72</f>
        <v>0</v>
      </c>
      <c r="DQ172" s="537">
        <f>Time!DQ$72</f>
        <v>0</v>
      </c>
      <c r="DR172" s="537">
        <f>Time!DR$72</f>
        <v>0</v>
      </c>
      <c r="DS172" s="537">
        <f>Time!DS$72</f>
        <v>0</v>
      </c>
      <c r="DT172" s="537">
        <f>Time!DT$72</f>
        <v>0</v>
      </c>
      <c r="DU172" s="537">
        <f>Time!DU$72</f>
        <v>0</v>
      </c>
      <c r="DV172" s="537">
        <f>Time!DV$72</f>
        <v>0</v>
      </c>
      <c r="DW172" s="537">
        <f>Time!DW$72</f>
        <v>0</v>
      </c>
      <c r="DX172" s="537">
        <f>Time!DX$72</f>
        <v>0</v>
      </c>
      <c r="DY172" s="537">
        <f>Time!DY$72</f>
        <v>0</v>
      </c>
      <c r="DZ172" s="537">
        <f>Time!DZ$72</f>
        <v>0</v>
      </c>
      <c r="EA172" s="537">
        <f>Time!EA$72</f>
        <v>0</v>
      </c>
      <c r="EB172" s="537">
        <f>Time!EB$72</f>
        <v>0</v>
      </c>
      <c r="EC172" s="537">
        <f>Time!EC$72</f>
        <v>0</v>
      </c>
      <c r="ED172" s="537">
        <f>Time!ED$72</f>
        <v>0</v>
      </c>
      <c r="EE172" s="537">
        <f>Time!EE$72</f>
        <v>0</v>
      </c>
      <c r="EF172" s="537">
        <f>Time!EF$72</f>
        <v>0</v>
      </c>
      <c r="EG172" s="537">
        <f>Time!EG$72</f>
        <v>0</v>
      </c>
    </row>
    <row r="173" spans="5:137" ht="12.75">
      <c r="E173" s="535" t="str">
        <f>Time!E$163</f>
        <v>Days in period</v>
      </c>
      <c r="G173" s="537" t="str">
        <f>Time!G$163</f>
        <v>days</v>
      </c>
      <c r="H173" s="537">
        <f>Time!H$163</f>
        <v>10227</v>
      </c>
      <c r="J173" s="537">
        <f>Time!J$163</f>
        <v>31</v>
      </c>
      <c r="K173" s="537">
        <f>Time!K$163</f>
        <v>28</v>
      </c>
      <c r="L173" s="537">
        <f>Time!L$163</f>
        <v>31</v>
      </c>
      <c r="M173" s="537">
        <f>Time!M$163</f>
        <v>30</v>
      </c>
      <c r="N173" s="537">
        <f>Time!N$163</f>
        <v>31</v>
      </c>
      <c r="O173" s="537">
        <f>Time!O$163</f>
        <v>30</v>
      </c>
      <c r="P173" s="537">
        <f>Time!P$163</f>
        <v>31</v>
      </c>
      <c r="Q173" s="537">
        <f>Time!Q$163</f>
        <v>31</v>
      </c>
      <c r="R173" s="537">
        <f>Time!R$163</f>
        <v>30</v>
      </c>
      <c r="S173" s="537">
        <f>Time!S$163</f>
        <v>31</v>
      </c>
      <c r="T173" s="537">
        <f>Time!T$163</f>
        <v>30</v>
      </c>
      <c r="U173" s="537">
        <f>Time!U$163</f>
        <v>31</v>
      </c>
      <c r="V173" s="537">
        <f>Time!V$163</f>
        <v>31</v>
      </c>
      <c r="W173" s="537">
        <f>Time!W$163</f>
        <v>29</v>
      </c>
      <c r="X173" s="537">
        <f>Time!X$163</f>
        <v>31</v>
      </c>
      <c r="Y173" s="537">
        <f>Time!Y$163</f>
        <v>30</v>
      </c>
      <c r="Z173" s="537">
        <f>Time!Z$163</f>
        <v>31</v>
      </c>
      <c r="AA173" s="537">
        <f>Time!AA$163</f>
        <v>30</v>
      </c>
      <c r="AB173" s="537">
        <f>Time!AB$163</f>
        <v>31</v>
      </c>
      <c r="AC173" s="537">
        <f>Time!AC$163</f>
        <v>31</v>
      </c>
      <c r="AD173" s="537">
        <f>Time!AD$163</f>
        <v>30</v>
      </c>
      <c r="AE173" s="537">
        <f>Time!AE$163</f>
        <v>31</v>
      </c>
      <c r="AF173" s="537">
        <f>Time!AF$163</f>
        <v>30</v>
      </c>
      <c r="AG173" s="537">
        <f>Time!AG$163</f>
        <v>31</v>
      </c>
      <c r="AH173" s="537">
        <f>Time!AH$163</f>
        <v>90</v>
      </c>
      <c r="AI173" s="537">
        <f>Time!AI$163</f>
        <v>91</v>
      </c>
      <c r="AJ173" s="537">
        <f>Time!AJ$163</f>
        <v>92</v>
      </c>
      <c r="AK173" s="537">
        <f>Time!AK$163</f>
        <v>92</v>
      </c>
      <c r="AL173" s="537">
        <f>Time!AL$163</f>
        <v>90</v>
      </c>
      <c r="AM173" s="537">
        <f>Time!AM$163</f>
        <v>91</v>
      </c>
      <c r="AN173" s="537">
        <f>Time!AN$163</f>
        <v>92</v>
      </c>
      <c r="AO173" s="537">
        <f>Time!AO$163</f>
        <v>92</v>
      </c>
      <c r="AP173" s="537">
        <f>Time!AP$163</f>
        <v>90</v>
      </c>
      <c r="AQ173" s="537">
        <f>Time!AQ$163</f>
        <v>91</v>
      </c>
      <c r="AR173" s="537">
        <f>Time!AR$163</f>
        <v>92</v>
      </c>
      <c r="AS173" s="537">
        <f>Time!AS$163</f>
        <v>92</v>
      </c>
      <c r="AT173" s="537">
        <f>Time!AT$163</f>
        <v>91</v>
      </c>
      <c r="AU173" s="537">
        <f>Time!AU$163</f>
        <v>91</v>
      </c>
      <c r="AV173" s="537">
        <f>Time!AV$163</f>
        <v>92</v>
      </c>
      <c r="AW173" s="537">
        <f>Time!AW$163</f>
        <v>92</v>
      </c>
      <c r="AX173" s="537">
        <f>Time!AX$163</f>
        <v>90</v>
      </c>
      <c r="AY173" s="537">
        <f>Time!AY$163</f>
        <v>91</v>
      </c>
      <c r="AZ173" s="537">
        <f>Time!AZ$163</f>
        <v>92</v>
      </c>
      <c r="BA173" s="537">
        <f>Time!BA$163</f>
        <v>92</v>
      </c>
      <c r="BB173" s="537">
        <f>Time!BB$163</f>
        <v>90</v>
      </c>
      <c r="BC173" s="537">
        <f>Time!BC$163</f>
        <v>91</v>
      </c>
      <c r="BD173" s="537">
        <f>Time!BD$163</f>
        <v>92</v>
      </c>
      <c r="BE173" s="537">
        <f>Time!BE$163</f>
        <v>92</v>
      </c>
      <c r="BF173" s="537">
        <f>Time!BF$163</f>
        <v>90</v>
      </c>
      <c r="BG173" s="537">
        <f>Time!BG$163</f>
        <v>91</v>
      </c>
      <c r="BH173" s="537">
        <f>Time!BH$163</f>
        <v>92</v>
      </c>
      <c r="BI173" s="537">
        <f>Time!BI$163</f>
        <v>92</v>
      </c>
      <c r="BJ173" s="537">
        <f>Time!BJ$163</f>
        <v>91</v>
      </c>
      <c r="BK173" s="537">
        <f>Time!BK$163</f>
        <v>91</v>
      </c>
      <c r="BL173" s="537">
        <f>Time!BL$163</f>
        <v>92</v>
      </c>
      <c r="BM173" s="537">
        <f>Time!BM$163</f>
        <v>92</v>
      </c>
      <c r="BN173" s="537">
        <f>Time!BN$163</f>
        <v>90</v>
      </c>
      <c r="BO173" s="537">
        <f>Time!BO$163</f>
        <v>91</v>
      </c>
      <c r="BP173" s="537">
        <f>Time!BP$163</f>
        <v>92</v>
      </c>
      <c r="BQ173" s="537">
        <f>Time!BQ$163</f>
        <v>92</v>
      </c>
      <c r="BR173" s="537">
        <f>Time!BR$163</f>
        <v>90</v>
      </c>
      <c r="BS173" s="537">
        <f>Time!BS$163</f>
        <v>91</v>
      </c>
      <c r="BT173" s="537">
        <f>Time!BT$163</f>
        <v>92</v>
      </c>
      <c r="BU173" s="537">
        <f>Time!BU$163</f>
        <v>92</v>
      </c>
      <c r="BV173" s="537">
        <f>Time!BV$163</f>
        <v>90</v>
      </c>
      <c r="BW173" s="537">
        <f>Time!BW$163</f>
        <v>91</v>
      </c>
      <c r="BX173" s="537">
        <f>Time!BX$163</f>
        <v>92</v>
      </c>
      <c r="BY173" s="537">
        <f>Time!BY$163</f>
        <v>92</v>
      </c>
      <c r="BZ173" s="537">
        <f>Time!BZ$163</f>
        <v>91</v>
      </c>
      <c r="CA173" s="537">
        <f>Time!CA$163</f>
        <v>91</v>
      </c>
      <c r="CB173" s="537">
        <f>Time!CB$163</f>
        <v>92</v>
      </c>
      <c r="CC173" s="537">
        <f>Time!CC$163</f>
        <v>92</v>
      </c>
      <c r="CD173" s="537">
        <f>Time!CD$163</f>
        <v>90</v>
      </c>
      <c r="CE173" s="537">
        <f>Time!CE$163</f>
        <v>91</v>
      </c>
      <c r="CF173" s="537">
        <f>Time!CF$163</f>
        <v>92</v>
      </c>
      <c r="CG173" s="537">
        <f>Time!CG$163</f>
        <v>92</v>
      </c>
      <c r="CH173" s="537">
        <f>Time!CH$163</f>
        <v>90</v>
      </c>
      <c r="CI173" s="537">
        <f>Time!CI$163</f>
        <v>91</v>
      </c>
      <c r="CJ173" s="537">
        <f>Time!CJ$163</f>
        <v>92</v>
      </c>
      <c r="CK173" s="537">
        <f>Time!CK$163</f>
        <v>92</v>
      </c>
      <c r="CL173" s="537">
        <f>Time!CL$163</f>
        <v>90</v>
      </c>
      <c r="CM173" s="537">
        <f>Time!CM$163</f>
        <v>91</v>
      </c>
      <c r="CN173" s="537">
        <f>Time!CN$163</f>
        <v>92</v>
      </c>
      <c r="CO173" s="537">
        <f>Time!CO$163</f>
        <v>92</v>
      </c>
      <c r="CP173" s="537">
        <f>Time!CP$163</f>
        <v>91</v>
      </c>
      <c r="CQ173" s="537">
        <f>Time!CQ$163</f>
        <v>91</v>
      </c>
      <c r="CR173" s="537">
        <f>Time!CR$163</f>
        <v>92</v>
      </c>
      <c r="CS173" s="537">
        <f>Time!CS$163</f>
        <v>92</v>
      </c>
      <c r="CT173" s="537">
        <f>Time!CT$163</f>
        <v>90</v>
      </c>
      <c r="CU173" s="537">
        <f>Time!CU$163</f>
        <v>91</v>
      </c>
      <c r="CV173" s="537">
        <f>Time!CV$163</f>
        <v>92</v>
      </c>
      <c r="CW173" s="537">
        <f>Time!CW$163</f>
        <v>92</v>
      </c>
      <c r="CX173" s="537">
        <f>Time!CX$163</f>
        <v>90</v>
      </c>
      <c r="CY173" s="537">
        <f>Time!CY$163</f>
        <v>91</v>
      </c>
      <c r="CZ173" s="537">
        <f>Time!CZ$163</f>
        <v>92</v>
      </c>
      <c r="DA173" s="537">
        <f>Time!DA$163</f>
        <v>92</v>
      </c>
      <c r="DB173" s="537">
        <f>Time!DB$163</f>
        <v>90</v>
      </c>
      <c r="DC173" s="537">
        <f>Time!DC$163</f>
        <v>91</v>
      </c>
      <c r="DD173" s="537">
        <f>Time!DD$163</f>
        <v>92</v>
      </c>
      <c r="DE173" s="537">
        <f>Time!DE$163</f>
        <v>92</v>
      </c>
      <c r="DF173" s="537">
        <f>Time!DF$163</f>
        <v>91</v>
      </c>
      <c r="DG173" s="537">
        <f>Time!DG$163</f>
        <v>91</v>
      </c>
      <c r="DH173" s="537">
        <f>Time!DH$163</f>
        <v>92</v>
      </c>
      <c r="DI173" s="537">
        <f>Time!DI$163</f>
        <v>92</v>
      </c>
      <c r="DJ173" s="537">
        <f>Time!DJ$163</f>
        <v>90</v>
      </c>
      <c r="DK173" s="537">
        <f>Time!DK$163</f>
        <v>91</v>
      </c>
      <c r="DL173" s="537">
        <f>Time!DL$163</f>
        <v>92</v>
      </c>
      <c r="DM173" s="537">
        <f>Time!DM$163</f>
        <v>92</v>
      </c>
      <c r="DN173" s="537">
        <f>Time!DN$163</f>
        <v>90</v>
      </c>
      <c r="DO173" s="537">
        <f>Time!DO$163</f>
        <v>91</v>
      </c>
      <c r="DP173" s="537">
        <f>Time!DP$163</f>
        <v>92</v>
      </c>
      <c r="DQ173" s="537">
        <f>Time!DQ$163</f>
        <v>92</v>
      </c>
      <c r="DR173" s="537">
        <f>Time!DR$163</f>
        <v>90</v>
      </c>
      <c r="DS173" s="537">
        <f>Time!DS$163</f>
        <v>91</v>
      </c>
      <c r="DT173" s="537">
        <f>Time!DT$163</f>
        <v>92</v>
      </c>
      <c r="DU173" s="537">
        <f>Time!DU$163</f>
        <v>92</v>
      </c>
      <c r="DV173" s="537">
        <f>Time!DV$163</f>
        <v>91</v>
      </c>
      <c r="DW173" s="537">
        <f>Time!DW$163</f>
        <v>91</v>
      </c>
      <c r="DX173" s="537">
        <f>Time!DX$163</f>
        <v>92</v>
      </c>
      <c r="DY173" s="537">
        <f>Time!DY$163</f>
        <v>92</v>
      </c>
      <c r="DZ173" s="537">
        <f>Time!DZ$163</f>
        <v>90</v>
      </c>
      <c r="EA173" s="537">
        <f>Time!EA$163</f>
        <v>91</v>
      </c>
      <c r="EB173" s="537">
        <f>Time!EB$163</f>
        <v>92</v>
      </c>
      <c r="EC173" s="537">
        <f>Time!EC$163</f>
        <v>92</v>
      </c>
      <c r="ED173" s="537">
        <f>Time!ED$163</f>
        <v>90</v>
      </c>
      <c r="EE173" s="537">
        <f>Time!EE$163</f>
        <v>91</v>
      </c>
      <c r="EF173" s="537">
        <f>Time!EF$163</f>
        <v>92</v>
      </c>
      <c r="EG173" s="537">
        <f>Time!EG$163</f>
        <v>92</v>
      </c>
    </row>
    <row r="174" spans="5:137" ht="12.75">
      <c r="E174" s="538" t="str">
        <f>E$156</f>
        <v>Senior facility - undrawn commitment</v>
      </c>
      <c r="G174" s="539" t="str">
        <f>G$156</f>
        <v>EUR 000s</v>
      </c>
      <c r="H174" s="539">
        <f>H$156</f>
        <v>3133940.7417619568</v>
      </c>
      <c r="J174" s="539">
        <f t="shared" si="57" ref="J174:EG174">J$156</f>
        <v>0</v>
      </c>
      <c r="K174" s="539">
        <f t="shared" si="57"/>
        <v>0</v>
      </c>
      <c r="L174" s="539">
        <f t="shared" si="57"/>
        <v>221286.64791105167</v>
      </c>
      <c r="M174" s="539">
        <f t="shared" si="57"/>
        <v>221286.64791105167</v>
      </c>
      <c r="N174" s="539">
        <f t="shared" si="57"/>
        <v>221286.64791105167</v>
      </c>
      <c r="O174" s="539">
        <f t="shared" si="57"/>
        <v>221286.64791105167</v>
      </c>
      <c r="P174" s="539">
        <f t="shared" si="57"/>
        <v>221286.64791105167</v>
      </c>
      <c r="Q174" s="539">
        <f t="shared" si="57"/>
        <v>221286.64791105167</v>
      </c>
      <c r="R174" s="539">
        <f t="shared" si="57"/>
        <v>221286.64791105167</v>
      </c>
      <c r="S174" s="539">
        <f t="shared" si="57"/>
        <v>219904.31971815237</v>
      </c>
      <c r="T174" s="539">
        <f t="shared" si="57"/>
        <v>201923.47495248987</v>
      </c>
      <c r="U174" s="539">
        <f t="shared" si="57"/>
        <v>183550.46639648225</v>
      </c>
      <c r="V174" s="539">
        <f t="shared" si="57"/>
        <v>164756.17179329752</v>
      </c>
      <c r="W174" s="539">
        <f t="shared" si="57"/>
        <v>147195.24238086003</v>
      </c>
      <c r="X174" s="539">
        <f t="shared" si="57"/>
        <v>129767.71303201355</v>
      </c>
      <c r="Y174" s="539">
        <f t="shared" si="57"/>
        <v>114031.15031448459</v>
      </c>
      <c r="Z174" s="539">
        <f t="shared" si="57"/>
        <v>100225.4191599349</v>
      </c>
      <c r="AA174" s="539">
        <f t="shared" si="57"/>
        <v>87323.941731743806</v>
      </c>
      <c r="AB174" s="539">
        <f t="shared" si="57"/>
        <v>72924.180004271853</v>
      </c>
      <c r="AC174" s="539">
        <f t="shared" si="57"/>
        <v>57780.508001348004</v>
      </c>
      <c r="AD174" s="539">
        <f t="shared" si="57"/>
        <v>42737.09562096541</v>
      </c>
      <c r="AE174" s="539">
        <f t="shared" si="57"/>
        <v>29018.014309499355</v>
      </c>
      <c r="AF174" s="539">
        <f t="shared" si="57"/>
        <v>20334.618984478613</v>
      </c>
      <c r="AG174" s="539">
        <f t="shared" si="57"/>
        <v>13461.889984572452</v>
      </c>
      <c r="AH174" s="539">
        <f t="shared" si="57"/>
        <v>0</v>
      </c>
      <c r="AI174" s="539">
        <f t="shared" si="57"/>
        <v>0</v>
      </c>
      <c r="AJ174" s="539">
        <f t="shared" si="57"/>
        <v>0</v>
      </c>
      <c r="AK174" s="539">
        <f t="shared" si="57"/>
        <v>0</v>
      </c>
      <c r="AL174" s="539">
        <f t="shared" si="57"/>
        <v>0</v>
      </c>
      <c r="AM174" s="539">
        <f t="shared" si="57"/>
        <v>0</v>
      </c>
      <c r="AN174" s="539">
        <f t="shared" si="57"/>
        <v>0</v>
      </c>
      <c r="AO174" s="539">
        <f t="shared" si="57"/>
        <v>0</v>
      </c>
      <c r="AP174" s="539">
        <f t="shared" si="57"/>
        <v>0</v>
      </c>
      <c r="AQ174" s="539">
        <f t="shared" si="57"/>
        <v>0</v>
      </c>
      <c r="AR174" s="539">
        <f t="shared" si="57"/>
        <v>0</v>
      </c>
      <c r="AS174" s="539">
        <f t="shared" si="57"/>
        <v>0</v>
      </c>
      <c r="AT174" s="539">
        <f t="shared" si="57"/>
        <v>0</v>
      </c>
      <c r="AU174" s="539">
        <f t="shared" si="57"/>
        <v>0</v>
      </c>
      <c r="AV174" s="539">
        <f t="shared" si="57"/>
        <v>0</v>
      </c>
      <c r="AW174" s="539">
        <f t="shared" si="57"/>
        <v>0</v>
      </c>
      <c r="AX174" s="539">
        <f t="shared" si="57"/>
        <v>0</v>
      </c>
      <c r="AY174" s="539">
        <f t="shared" si="57"/>
        <v>0</v>
      </c>
      <c r="AZ174" s="539">
        <f t="shared" si="57"/>
        <v>0</v>
      </c>
      <c r="BA174" s="539">
        <f t="shared" si="57"/>
        <v>0</v>
      </c>
      <c r="BB174" s="539">
        <f t="shared" si="57"/>
        <v>0</v>
      </c>
      <c r="BC174" s="539">
        <f t="shared" si="57"/>
        <v>0</v>
      </c>
      <c r="BD174" s="539">
        <f t="shared" si="57"/>
        <v>0</v>
      </c>
      <c r="BE174" s="539">
        <f t="shared" si="57"/>
        <v>0</v>
      </c>
      <c r="BF174" s="539">
        <f t="shared" si="57"/>
        <v>0</v>
      </c>
      <c r="BG174" s="539">
        <f t="shared" si="57"/>
        <v>0</v>
      </c>
      <c r="BH174" s="539">
        <f t="shared" si="57"/>
        <v>0</v>
      </c>
      <c r="BI174" s="539">
        <f t="shared" si="57"/>
        <v>0</v>
      </c>
      <c r="BJ174" s="539">
        <f t="shared" si="57"/>
        <v>0</v>
      </c>
      <c r="BK174" s="539">
        <f t="shared" si="57"/>
        <v>0</v>
      </c>
      <c r="BL174" s="539">
        <f t="shared" si="57"/>
        <v>0</v>
      </c>
      <c r="BM174" s="539">
        <f t="shared" si="57"/>
        <v>0</v>
      </c>
      <c r="BN174" s="539">
        <f t="shared" si="57"/>
        <v>0</v>
      </c>
      <c r="BO174" s="539">
        <f t="shared" si="57"/>
        <v>0</v>
      </c>
      <c r="BP174" s="539">
        <f t="shared" si="57"/>
        <v>0</v>
      </c>
      <c r="BQ174" s="539">
        <f t="shared" si="57"/>
        <v>0</v>
      </c>
      <c r="BR174" s="539">
        <f t="shared" si="57"/>
        <v>0</v>
      </c>
      <c r="BS174" s="539">
        <f t="shared" si="57"/>
        <v>0</v>
      </c>
      <c r="BT174" s="539">
        <f t="shared" si="57"/>
        <v>0</v>
      </c>
      <c r="BU174" s="539">
        <f t="shared" si="57"/>
        <v>0</v>
      </c>
      <c r="BV174" s="539">
        <f t="shared" si="57"/>
        <v>0</v>
      </c>
      <c r="BW174" s="539">
        <f t="shared" si="57"/>
        <v>0</v>
      </c>
      <c r="BX174" s="539">
        <f t="shared" si="57"/>
        <v>0</v>
      </c>
      <c r="BY174" s="539">
        <f t="shared" si="57"/>
        <v>0</v>
      </c>
      <c r="BZ174" s="539">
        <f t="shared" si="57"/>
        <v>0</v>
      </c>
      <c r="CA174" s="539">
        <f t="shared" si="57"/>
        <v>0</v>
      </c>
      <c r="CB174" s="539">
        <f t="shared" si="57"/>
        <v>0</v>
      </c>
      <c r="CC174" s="539">
        <f t="shared" si="57"/>
        <v>0</v>
      </c>
      <c r="CD174" s="539">
        <f t="shared" si="57"/>
        <v>0</v>
      </c>
      <c r="CE174" s="539">
        <f t="shared" si="57"/>
        <v>0</v>
      </c>
      <c r="CF174" s="539">
        <f t="shared" si="57"/>
        <v>0</v>
      </c>
      <c r="CG174" s="539">
        <f t="shared" si="57"/>
        <v>0</v>
      </c>
      <c r="CH174" s="539">
        <f t="shared" si="57"/>
        <v>0</v>
      </c>
      <c r="CI174" s="539">
        <f t="shared" si="57"/>
        <v>0</v>
      </c>
      <c r="CJ174" s="539">
        <f t="shared" si="57"/>
        <v>0</v>
      </c>
      <c r="CK174" s="539">
        <f t="shared" si="57"/>
        <v>0</v>
      </c>
      <c r="CL174" s="539">
        <f t="shared" si="57"/>
        <v>0</v>
      </c>
      <c r="CM174" s="539">
        <f t="shared" si="57"/>
        <v>0</v>
      </c>
      <c r="CN174" s="539">
        <f t="shared" si="57"/>
        <v>0</v>
      </c>
      <c r="CO174" s="539">
        <f t="shared" si="57"/>
        <v>0</v>
      </c>
      <c r="CP174" s="539">
        <f t="shared" si="57"/>
        <v>0</v>
      </c>
      <c r="CQ174" s="539">
        <f t="shared" si="57"/>
        <v>0</v>
      </c>
      <c r="CR174" s="539">
        <f t="shared" si="57"/>
        <v>0</v>
      </c>
      <c r="CS174" s="539">
        <f t="shared" si="57"/>
        <v>0</v>
      </c>
      <c r="CT174" s="539">
        <f t="shared" si="57"/>
        <v>0</v>
      </c>
      <c r="CU174" s="539">
        <f t="shared" si="57"/>
        <v>0</v>
      </c>
      <c r="CV174" s="539">
        <f t="shared" si="57"/>
        <v>0</v>
      </c>
      <c r="CW174" s="539">
        <f t="shared" si="57"/>
        <v>0</v>
      </c>
      <c r="CX174" s="539">
        <f t="shared" si="57"/>
        <v>0</v>
      </c>
      <c r="CY174" s="539">
        <f t="shared" si="57"/>
        <v>0</v>
      </c>
      <c r="CZ174" s="539">
        <f t="shared" si="57"/>
        <v>0</v>
      </c>
      <c r="DA174" s="539">
        <f t="shared" si="57"/>
        <v>0</v>
      </c>
      <c r="DB174" s="539">
        <f t="shared" si="57"/>
        <v>0</v>
      </c>
      <c r="DC174" s="539">
        <f t="shared" si="57"/>
        <v>0</v>
      </c>
      <c r="DD174" s="539">
        <f t="shared" si="57"/>
        <v>0</v>
      </c>
      <c r="DE174" s="539">
        <f t="shared" si="57"/>
        <v>0</v>
      </c>
      <c r="DF174" s="539">
        <f t="shared" si="57"/>
        <v>0</v>
      </c>
      <c r="DG174" s="539">
        <f t="shared" si="57"/>
        <v>0</v>
      </c>
      <c r="DH174" s="539">
        <f t="shared" si="57"/>
        <v>0</v>
      </c>
      <c r="DI174" s="539">
        <f t="shared" si="57"/>
        <v>0</v>
      </c>
      <c r="DJ174" s="539">
        <f t="shared" si="57"/>
        <v>0</v>
      </c>
      <c r="DK174" s="539">
        <f t="shared" si="57"/>
        <v>0</v>
      </c>
      <c r="DL174" s="539">
        <f t="shared" si="57"/>
        <v>0</v>
      </c>
      <c r="DM174" s="539">
        <f t="shared" si="57"/>
        <v>0</v>
      </c>
      <c r="DN174" s="539">
        <f t="shared" si="57"/>
        <v>0</v>
      </c>
      <c r="DO174" s="539">
        <f t="shared" si="57"/>
        <v>0</v>
      </c>
      <c r="DP174" s="539">
        <f t="shared" si="57"/>
        <v>0</v>
      </c>
      <c r="DQ174" s="539">
        <f t="shared" si="57"/>
        <v>0</v>
      </c>
      <c r="DR174" s="539">
        <f t="shared" si="57"/>
        <v>0</v>
      </c>
      <c r="DS174" s="539">
        <f t="shared" si="57"/>
        <v>0</v>
      </c>
      <c r="DT174" s="539">
        <f t="shared" si="57"/>
        <v>0</v>
      </c>
      <c r="DU174" s="539">
        <f t="shared" si="57"/>
        <v>0</v>
      </c>
      <c r="DV174" s="539">
        <f t="shared" si="57"/>
        <v>0</v>
      </c>
      <c r="DW174" s="539">
        <f t="shared" si="57"/>
        <v>0</v>
      </c>
      <c r="DX174" s="539">
        <f t="shared" si="57"/>
        <v>0</v>
      </c>
      <c r="DY174" s="539">
        <f t="shared" si="57"/>
        <v>0</v>
      </c>
      <c r="DZ174" s="539">
        <f t="shared" si="57"/>
        <v>0</v>
      </c>
      <c r="EA174" s="539">
        <f t="shared" si="57"/>
        <v>0</v>
      </c>
      <c r="EB174" s="539">
        <f t="shared" si="57"/>
        <v>0</v>
      </c>
      <c r="EC174" s="539">
        <f t="shared" si="57"/>
        <v>0</v>
      </c>
      <c r="ED174" s="539">
        <f t="shared" si="57"/>
        <v>0</v>
      </c>
      <c r="EE174" s="539">
        <f t="shared" si="57"/>
        <v>0</v>
      </c>
      <c r="EF174" s="539">
        <f t="shared" si="57"/>
        <v>0</v>
      </c>
      <c r="EG174" s="539">
        <f t="shared" si="57"/>
        <v>0</v>
      </c>
    </row>
    <row r="175" spans="5:137" ht="12.75">
      <c r="E175" s="538" t="s">
        <v>240</v>
      </c>
      <c r="G175" s="539" t="s">
        <v>30</v>
      </c>
      <c r="H175" s="539">
        <f>SUM(J175:EG175)</f>
        <v>1460.8385128648606</v>
      </c>
      <c r="J175" s="539">
        <f t="shared" si="58" ref="J175:EG175">J174*$F170*J173/$F171*J172</f>
        <v>0</v>
      </c>
      <c r="K175" s="539">
        <f t="shared" si="58"/>
        <v>0</v>
      </c>
      <c r="L175" s="539">
        <f t="shared" si="58"/>
        <v>0</v>
      </c>
      <c r="M175" s="539">
        <f t="shared" si="58"/>
        <v>109.12766198353233</v>
      </c>
      <c r="N175" s="539">
        <f t="shared" si="58"/>
        <v>112.76525071631674</v>
      </c>
      <c r="O175" s="539">
        <f t="shared" si="58"/>
        <v>109.12766198353233</v>
      </c>
      <c r="P175" s="539">
        <f t="shared" si="58"/>
        <v>112.76525071631674</v>
      </c>
      <c r="Q175" s="539">
        <f t="shared" si="58"/>
        <v>112.76525071631674</v>
      </c>
      <c r="R175" s="539">
        <f t="shared" si="58"/>
        <v>109.12766198353233</v>
      </c>
      <c r="S175" s="539">
        <f t="shared" si="58"/>
        <v>112.06083141801737</v>
      </c>
      <c r="T175" s="539">
        <f t="shared" si="58"/>
        <v>99.578699976570334</v>
      </c>
      <c r="U175" s="539">
        <f t="shared" si="58"/>
        <v>93.535306163686855</v>
      </c>
      <c r="V175" s="539">
        <f t="shared" si="58"/>
        <v>83.957939598776278</v>
      </c>
      <c r="W175" s="539">
        <f t="shared" si="58"/>
        <v>70.169786778820949</v>
      </c>
      <c r="X175" s="539">
        <f t="shared" si="58"/>
        <v>66.128204449190463</v>
      </c>
      <c r="Y175" s="539">
        <f t="shared" si="58"/>
        <v>56.234539881115687</v>
      </c>
      <c r="Z175" s="539">
        <f t="shared" si="58"/>
        <v>51.073775243144908</v>
      </c>
      <c r="AA175" s="539">
        <f t="shared" si="58"/>
        <v>43.06386167592845</v>
      </c>
      <c r="AB175" s="539">
        <f t="shared" si="58"/>
        <v>37.161362961081004</v>
      </c>
      <c r="AC175" s="539">
        <f t="shared" si="58"/>
        <v>29.444313666440351</v>
      </c>
      <c r="AD175" s="539">
        <f t="shared" si="58"/>
        <v>21.075827977462392</v>
      </c>
      <c r="AE175" s="539">
        <f t="shared" si="58"/>
        <v>14.787262086484603</v>
      </c>
      <c r="AF175" s="539">
        <f t="shared" si="58"/>
        <v>10.028031280016851</v>
      </c>
      <c r="AG175" s="539">
        <f t="shared" si="58"/>
        <v>6.8600316085766471</v>
      </c>
      <c r="AH175" s="539">
        <f t="shared" si="58"/>
        <v>0</v>
      </c>
      <c r="AI175" s="539">
        <f t="shared" si="58"/>
        <v>0</v>
      </c>
      <c r="AJ175" s="539">
        <f t="shared" si="58"/>
        <v>0</v>
      </c>
      <c r="AK175" s="539">
        <f t="shared" si="58"/>
        <v>0</v>
      </c>
      <c r="AL175" s="539">
        <f t="shared" si="58"/>
        <v>0</v>
      </c>
      <c r="AM175" s="539">
        <f t="shared" si="58"/>
        <v>0</v>
      </c>
      <c r="AN175" s="539">
        <f t="shared" si="58"/>
        <v>0</v>
      </c>
      <c r="AO175" s="539">
        <f t="shared" si="58"/>
        <v>0</v>
      </c>
      <c r="AP175" s="539">
        <f t="shared" si="58"/>
        <v>0</v>
      </c>
      <c r="AQ175" s="539">
        <f t="shared" si="58"/>
        <v>0</v>
      </c>
      <c r="AR175" s="539">
        <f t="shared" si="58"/>
        <v>0</v>
      </c>
      <c r="AS175" s="539">
        <f t="shared" si="58"/>
        <v>0</v>
      </c>
      <c r="AT175" s="539">
        <f t="shared" si="58"/>
        <v>0</v>
      </c>
      <c r="AU175" s="539">
        <f t="shared" si="58"/>
        <v>0</v>
      </c>
      <c r="AV175" s="539">
        <f t="shared" si="58"/>
        <v>0</v>
      </c>
      <c r="AW175" s="539">
        <f t="shared" si="58"/>
        <v>0</v>
      </c>
      <c r="AX175" s="539">
        <f t="shared" si="58"/>
        <v>0</v>
      </c>
      <c r="AY175" s="539">
        <f t="shared" si="58"/>
        <v>0</v>
      </c>
      <c r="AZ175" s="539">
        <f t="shared" si="58"/>
        <v>0</v>
      </c>
      <c r="BA175" s="539">
        <f t="shared" si="58"/>
        <v>0</v>
      </c>
      <c r="BB175" s="539">
        <f t="shared" si="58"/>
        <v>0</v>
      </c>
      <c r="BC175" s="539">
        <f t="shared" si="58"/>
        <v>0</v>
      </c>
      <c r="BD175" s="539">
        <f t="shared" si="58"/>
        <v>0</v>
      </c>
      <c r="BE175" s="539">
        <f t="shared" si="58"/>
        <v>0</v>
      </c>
      <c r="BF175" s="539">
        <f t="shared" si="58"/>
        <v>0</v>
      </c>
      <c r="BG175" s="539">
        <f t="shared" si="58"/>
        <v>0</v>
      </c>
      <c r="BH175" s="539">
        <f t="shared" si="58"/>
        <v>0</v>
      </c>
      <c r="BI175" s="539">
        <f t="shared" si="58"/>
        <v>0</v>
      </c>
      <c r="BJ175" s="539">
        <f t="shared" si="58"/>
        <v>0</v>
      </c>
      <c r="BK175" s="539">
        <f t="shared" si="58"/>
        <v>0</v>
      </c>
      <c r="BL175" s="539">
        <f t="shared" si="58"/>
        <v>0</v>
      </c>
      <c r="BM175" s="539">
        <f t="shared" si="58"/>
        <v>0</v>
      </c>
      <c r="BN175" s="539">
        <f t="shared" si="58"/>
        <v>0</v>
      </c>
      <c r="BO175" s="539">
        <f t="shared" si="58"/>
        <v>0</v>
      </c>
      <c r="BP175" s="539">
        <f t="shared" si="58"/>
        <v>0</v>
      </c>
      <c r="BQ175" s="539">
        <f t="shared" si="58"/>
        <v>0</v>
      </c>
      <c r="BR175" s="539">
        <f t="shared" si="58"/>
        <v>0</v>
      </c>
      <c r="BS175" s="539">
        <f t="shared" si="58"/>
        <v>0</v>
      </c>
      <c r="BT175" s="539">
        <f t="shared" si="58"/>
        <v>0</v>
      </c>
      <c r="BU175" s="539">
        <f t="shared" si="58"/>
        <v>0</v>
      </c>
      <c r="BV175" s="539">
        <f t="shared" si="58"/>
        <v>0</v>
      </c>
      <c r="BW175" s="539">
        <f t="shared" si="58"/>
        <v>0</v>
      </c>
      <c r="BX175" s="539">
        <f t="shared" si="58"/>
        <v>0</v>
      </c>
      <c r="BY175" s="539">
        <f t="shared" si="58"/>
        <v>0</v>
      </c>
      <c r="BZ175" s="539">
        <f t="shared" si="58"/>
        <v>0</v>
      </c>
      <c r="CA175" s="539">
        <f t="shared" si="58"/>
        <v>0</v>
      </c>
      <c r="CB175" s="539">
        <f t="shared" si="58"/>
        <v>0</v>
      </c>
      <c r="CC175" s="539">
        <f t="shared" si="58"/>
        <v>0</v>
      </c>
      <c r="CD175" s="539">
        <f t="shared" si="58"/>
        <v>0</v>
      </c>
      <c r="CE175" s="539">
        <f t="shared" si="58"/>
        <v>0</v>
      </c>
      <c r="CF175" s="539">
        <f t="shared" si="58"/>
        <v>0</v>
      </c>
      <c r="CG175" s="539">
        <f t="shared" si="58"/>
        <v>0</v>
      </c>
      <c r="CH175" s="539">
        <f t="shared" si="58"/>
        <v>0</v>
      </c>
      <c r="CI175" s="539">
        <f t="shared" si="58"/>
        <v>0</v>
      </c>
      <c r="CJ175" s="539">
        <f t="shared" si="58"/>
        <v>0</v>
      </c>
      <c r="CK175" s="539">
        <f t="shared" si="58"/>
        <v>0</v>
      </c>
      <c r="CL175" s="539">
        <f t="shared" si="58"/>
        <v>0</v>
      </c>
      <c r="CM175" s="539">
        <f t="shared" si="58"/>
        <v>0</v>
      </c>
      <c r="CN175" s="539">
        <f t="shared" si="58"/>
        <v>0</v>
      </c>
      <c r="CO175" s="539">
        <f t="shared" si="58"/>
        <v>0</v>
      </c>
      <c r="CP175" s="539">
        <f t="shared" si="58"/>
        <v>0</v>
      </c>
      <c r="CQ175" s="539">
        <f t="shared" si="58"/>
        <v>0</v>
      </c>
      <c r="CR175" s="539">
        <f t="shared" si="58"/>
        <v>0</v>
      </c>
      <c r="CS175" s="539">
        <f t="shared" si="58"/>
        <v>0</v>
      </c>
      <c r="CT175" s="539">
        <f t="shared" si="58"/>
        <v>0</v>
      </c>
      <c r="CU175" s="539">
        <f t="shared" si="58"/>
        <v>0</v>
      </c>
      <c r="CV175" s="539">
        <f t="shared" si="58"/>
        <v>0</v>
      </c>
      <c r="CW175" s="539">
        <f t="shared" si="58"/>
        <v>0</v>
      </c>
      <c r="CX175" s="539">
        <f t="shared" si="58"/>
        <v>0</v>
      </c>
      <c r="CY175" s="539">
        <f t="shared" si="58"/>
        <v>0</v>
      </c>
      <c r="CZ175" s="539">
        <f t="shared" si="58"/>
        <v>0</v>
      </c>
      <c r="DA175" s="539">
        <f t="shared" si="58"/>
        <v>0</v>
      </c>
      <c r="DB175" s="539">
        <f t="shared" si="58"/>
        <v>0</v>
      </c>
      <c r="DC175" s="539">
        <f t="shared" si="58"/>
        <v>0</v>
      </c>
      <c r="DD175" s="539">
        <f t="shared" si="58"/>
        <v>0</v>
      </c>
      <c r="DE175" s="539">
        <f t="shared" si="58"/>
        <v>0</v>
      </c>
      <c r="DF175" s="539">
        <f t="shared" si="58"/>
        <v>0</v>
      </c>
      <c r="DG175" s="539">
        <f t="shared" si="58"/>
        <v>0</v>
      </c>
      <c r="DH175" s="539">
        <f t="shared" si="58"/>
        <v>0</v>
      </c>
      <c r="DI175" s="539">
        <f t="shared" si="58"/>
        <v>0</v>
      </c>
      <c r="DJ175" s="539">
        <f t="shared" si="58"/>
        <v>0</v>
      </c>
      <c r="DK175" s="539">
        <f t="shared" si="58"/>
        <v>0</v>
      </c>
      <c r="DL175" s="539">
        <f t="shared" si="58"/>
        <v>0</v>
      </c>
      <c r="DM175" s="539">
        <f t="shared" si="58"/>
        <v>0</v>
      </c>
      <c r="DN175" s="539">
        <f t="shared" si="58"/>
        <v>0</v>
      </c>
      <c r="DO175" s="539">
        <f t="shared" si="58"/>
        <v>0</v>
      </c>
      <c r="DP175" s="539">
        <f t="shared" si="58"/>
        <v>0</v>
      </c>
      <c r="DQ175" s="539">
        <f t="shared" si="58"/>
        <v>0</v>
      </c>
      <c r="DR175" s="539">
        <f t="shared" si="58"/>
        <v>0</v>
      </c>
      <c r="DS175" s="539">
        <f t="shared" si="58"/>
        <v>0</v>
      </c>
      <c r="DT175" s="539">
        <f t="shared" si="58"/>
        <v>0</v>
      </c>
      <c r="DU175" s="539">
        <f t="shared" si="58"/>
        <v>0</v>
      </c>
      <c r="DV175" s="539">
        <f t="shared" si="58"/>
        <v>0</v>
      </c>
      <c r="DW175" s="539">
        <f t="shared" si="58"/>
        <v>0</v>
      </c>
      <c r="DX175" s="539">
        <f t="shared" si="58"/>
        <v>0</v>
      </c>
      <c r="DY175" s="539">
        <f t="shared" si="58"/>
        <v>0</v>
      </c>
      <c r="DZ175" s="539">
        <f t="shared" si="58"/>
        <v>0</v>
      </c>
      <c r="EA175" s="539">
        <f t="shared" si="58"/>
        <v>0</v>
      </c>
      <c r="EB175" s="539">
        <f t="shared" si="58"/>
        <v>0</v>
      </c>
      <c r="EC175" s="539">
        <f t="shared" si="58"/>
        <v>0</v>
      </c>
      <c r="ED175" s="539">
        <f t="shared" si="58"/>
        <v>0</v>
      </c>
      <c r="EE175" s="539">
        <f t="shared" si="58"/>
        <v>0</v>
      </c>
      <c r="EF175" s="539">
        <f t="shared" si="58"/>
        <v>0</v>
      </c>
      <c r="EG175" s="539">
        <f t="shared" si="58"/>
        <v>0</v>
      </c>
    </row>
    <row r="177" spans="5:137" ht="12.75">
      <c r="E177" s="538" t="str">
        <f>E$168</f>
        <v>Senior facility - upfront fee</v>
      </c>
      <c r="G177" s="539" t="str">
        <f>G$168</f>
        <v>EUR 000s</v>
      </c>
      <c r="H177" s="539">
        <f>H$168</f>
        <v>3319.2997186657749</v>
      </c>
      <c r="J177" s="539">
        <f t="shared" si="59" ref="J177:EG177">J$168</f>
        <v>0</v>
      </c>
      <c r="K177" s="539">
        <f t="shared" si="59"/>
        <v>0</v>
      </c>
      <c r="L177" s="539">
        <f t="shared" si="59"/>
        <v>3319.2997186657749</v>
      </c>
      <c r="M177" s="539">
        <f t="shared" si="59"/>
        <v>0</v>
      </c>
      <c r="N177" s="539">
        <f t="shared" si="59"/>
        <v>0</v>
      </c>
      <c r="O177" s="539">
        <f t="shared" si="59"/>
        <v>0</v>
      </c>
      <c r="P177" s="539">
        <f t="shared" si="59"/>
        <v>0</v>
      </c>
      <c r="Q177" s="539">
        <f t="shared" si="59"/>
        <v>0</v>
      </c>
      <c r="R177" s="539">
        <f t="shared" si="59"/>
        <v>0</v>
      </c>
      <c r="S177" s="539">
        <f t="shared" si="59"/>
        <v>0</v>
      </c>
      <c r="T177" s="539">
        <f t="shared" si="59"/>
        <v>0</v>
      </c>
      <c r="U177" s="539">
        <f t="shared" si="59"/>
        <v>0</v>
      </c>
      <c r="V177" s="539">
        <f t="shared" si="59"/>
        <v>0</v>
      </c>
      <c r="W177" s="539">
        <f t="shared" si="59"/>
        <v>0</v>
      </c>
      <c r="X177" s="539">
        <f t="shared" si="59"/>
        <v>0</v>
      </c>
      <c r="Y177" s="539">
        <f t="shared" si="59"/>
        <v>0</v>
      </c>
      <c r="Z177" s="539">
        <f t="shared" si="59"/>
        <v>0</v>
      </c>
      <c r="AA177" s="539">
        <f t="shared" si="59"/>
        <v>0</v>
      </c>
      <c r="AB177" s="539">
        <f t="shared" si="59"/>
        <v>0</v>
      </c>
      <c r="AC177" s="539">
        <f t="shared" si="59"/>
        <v>0</v>
      </c>
      <c r="AD177" s="539">
        <f t="shared" si="59"/>
        <v>0</v>
      </c>
      <c r="AE177" s="539">
        <f t="shared" si="59"/>
        <v>0</v>
      </c>
      <c r="AF177" s="539">
        <f t="shared" si="59"/>
        <v>0</v>
      </c>
      <c r="AG177" s="539">
        <f t="shared" si="59"/>
        <v>0</v>
      </c>
      <c r="AH177" s="539">
        <f t="shared" si="59"/>
        <v>0</v>
      </c>
      <c r="AI177" s="539">
        <f t="shared" si="59"/>
        <v>0</v>
      </c>
      <c r="AJ177" s="539">
        <f t="shared" si="59"/>
        <v>0</v>
      </c>
      <c r="AK177" s="539">
        <f t="shared" si="59"/>
        <v>0</v>
      </c>
      <c r="AL177" s="539">
        <f t="shared" si="59"/>
        <v>0</v>
      </c>
      <c r="AM177" s="539">
        <f t="shared" si="59"/>
        <v>0</v>
      </c>
      <c r="AN177" s="539">
        <f t="shared" si="59"/>
        <v>0</v>
      </c>
      <c r="AO177" s="539">
        <f t="shared" si="59"/>
        <v>0</v>
      </c>
      <c r="AP177" s="539">
        <f t="shared" si="59"/>
        <v>0</v>
      </c>
      <c r="AQ177" s="539">
        <f t="shared" si="59"/>
        <v>0</v>
      </c>
      <c r="AR177" s="539">
        <f t="shared" si="59"/>
        <v>0</v>
      </c>
      <c r="AS177" s="539">
        <f t="shared" si="59"/>
        <v>0</v>
      </c>
      <c r="AT177" s="539">
        <f t="shared" si="59"/>
        <v>0</v>
      </c>
      <c r="AU177" s="539">
        <f t="shared" si="59"/>
        <v>0</v>
      </c>
      <c r="AV177" s="539">
        <f t="shared" si="59"/>
        <v>0</v>
      </c>
      <c r="AW177" s="539">
        <f t="shared" si="59"/>
        <v>0</v>
      </c>
      <c r="AX177" s="539">
        <f t="shared" si="59"/>
        <v>0</v>
      </c>
      <c r="AY177" s="539">
        <f t="shared" si="59"/>
        <v>0</v>
      </c>
      <c r="AZ177" s="539">
        <f t="shared" si="59"/>
        <v>0</v>
      </c>
      <c r="BA177" s="539">
        <f t="shared" si="59"/>
        <v>0</v>
      </c>
      <c r="BB177" s="539">
        <f t="shared" si="59"/>
        <v>0</v>
      </c>
      <c r="BC177" s="539">
        <f t="shared" si="59"/>
        <v>0</v>
      </c>
      <c r="BD177" s="539">
        <f t="shared" si="59"/>
        <v>0</v>
      </c>
      <c r="BE177" s="539">
        <f t="shared" si="59"/>
        <v>0</v>
      </c>
      <c r="BF177" s="539">
        <f t="shared" si="59"/>
        <v>0</v>
      </c>
      <c r="BG177" s="539">
        <f t="shared" si="59"/>
        <v>0</v>
      </c>
      <c r="BH177" s="539">
        <f t="shared" si="59"/>
        <v>0</v>
      </c>
      <c r="BI177" s="539">
        <f t="shared" si="59"/>
        <v>0</v>
      </c>
      <c r="BJ177" s="539">
        <f t="shared" si="59"/>
        <v>0</v>
      </c>
      <c r="BK177" s="539">
        <f t="shared" si="59"/>
        <v>0</v>
      </c>
      <c r="BL177" s="539">
        <f t="shared" si="59"/>
        <v>0</v>
      </c>
      <c r="BM177" s="539">
        <f t="shared" si="59"/>
        <v>0</v>
      </c>
      <c r="BN177" s="539">
        <f t="shared" si="59"/>
        <v>0</v>
      </c>
      <c r="BO177" s="539">
        <f t="shared" si="59"/>
        <v>0</v>
      </c>
      <c r="BP177" s="539">
        <f t="shared" si="59"/>
        <v>0</v>
      </c>
      <c r="BQ177" s="539">
        <f t="shared" si="59"/>
        <v>0</v>
      </c>
      <c r="BR177" s="539">
        <f t="shared" si="59"/>
        <v>0</v>
      </c>
      <c r="BS177" s="539">
        <f t="shared" si="59"/>
        <v>0</v>
      </c>
      <c r="BT177" s="539">
        <f t="shared" si="59"/>
        <v>0</v>
      </c>
      <c r="BU177" s="539">
        <f t="shared" si="59"/>
        <v>0</v>
      </c>
      <c r="BV177" s="539">
        <f t="shared" si="59"/>
        <v>0</v>
      </c>
      <c r="BW177" s="539">
        <f t="shared" si="59"/>
        <v>0</v>
      </c>
      <c r="BX177" s="539">
        <f t="shared" si="59"/>
        <v>0</v>
      </c>
      <c r="BY177" s="539">
        <f t="shared" si="59"/>
        <v>0</v>
      </c>
      <c r="BZ177" s="539">
        <f t="shared" si="59"/>
        <v>0</v>
      </c>
      <c r="CA177" s="539">
        <f t="shared" si="59"/>
        <v>0</v>
      </c>
      <c r="CB177" s="539">
        <f t="shared" si="59"/>
        <v>0</v>
      </c>
      <c r="CC177" s="539">
        <f t="shared" si="59"/>
        <v>0</v>
      </c>
      <c r="CD177" s="539">
        <f t="shared" si="59"/>
        <v>0</v>
      </c>
      <c r="CE177" s="539">
        <f t="shared" si="59"/>
        <v>0</v>
      </c>
      <c r="CF177" s="539">
        <f t="shared" si="59"/>
        <v>0</v>
      </c>
      <c r="CG177" s="539">
        <f t="shared" si="59"/>
        <v>0</v>
      </c>
      <c r="CH177" s="539">
        <f t="shared" si="59"/>
        <v>0</v>
      </c>
      <c r="CI177" s="539">
        <f t="shared" si="59"/>
        <v>0</v>
      </c>
      <c r="CJ177" s="539">
        <f t="shared" si="59"/>
        <v>0</v>
      </c>
      <c r="CK177" s="539">
        <f t="shared" si="59"/>
        <v>0</v>
      </c>
      <c r="CL177" s="539">
        <f t="shared" si="59"/>
        <v>0</v>
      </c>
      <c r="CM177" s="539">
        <f t="shared" si="59"/>
        <v>0</v>
      </c>
      <c r="CN177" s="539">
        <f t="shared" si="59"/>
        <v>0</v>
      </c>
      <c r="CO177" s="539">
        <f t="shared" si="59"/>
        <v>0</v>
      </c>
      <c r="CP177" s="539">
        <f t="shared" si="59"/>
        <v>0</v>
      </c>
      <c r="CQ177" s="539">
        <f t="shared" si="59"/>
        <v>0</v>
      </c>
      <c r="CR177" s="539">
        <f t="shared" si="59"/>
        <v>0</v>
      </c>
      <c r="CS177" s="539">
        <f t="shared" si="59"/>
        <v>0</v>
      </c>
      <c r="CT177" s="539">
        <f t="shared" si="59"/>
        <v>0</v>
      </c>
      <c r="CU177" s="539">
        <f t="shared" si="59"/>
        <v>0</v>
      </c>
      <c r="CV177" s="539">
        <f t="shared" si="59"/>
        <v>0</v>
      </c>
      <c r="CW177" s="539">
        <f t="shared" si="59"/>
        <v>0</v>
      </c>
      <c r="CX177" s="539">
        <f t="shared" si="59"/>
        <v>0</v>
      </c>
      <c r="CY177" s="539">
        <f t="shared" si="59"/>
        <v>0</v>
      </c>
      <c r="CZ177" s="539">
        <f t="shared" si="59"/>
        <v>0</v>
      </c>
      <c r="DA177" s="539">
        <f t="shared" si="59"/>
        <v>0</v>
      </c>
      <c r="DB177" s="539">
        <f t="shared" si="59"/>
        <v>0</v>
      </c>
      <c r="DC177" s="539">
        <f t="shared" si="59"/>
        <v>0</v>
      </c>
      <c r="DD177" s="539">
        <f t="shared" si="59"/>
        <v>0</v>
      </c>
      <c r="DE177" s="539">
        <f t="shared" si="59"/>
        <v>0</v>
      </c>
      <c r="DF177" s="539">
        <f t="shared" si="59"/>
        <v>0</v>
      </c>
      <c r="DG177" s="539">
        <f t="shared" si="59"/>
        <v>0</v>
      </c>
      <c r="DH177" s="539">
        <f t="shared" si="59"/>
        <v>0</v>
      </c>
      <c r="DI177" s="539">
        <f t="shared" si="59"/>
        <v>0</v>
      </c>
      <c r="DJ177" s="539">
        <f t="shared" si="59"/>
        <v>0</v>
      </c>
      <c r="DK177" s="539">
        <f t="shared" si="59"/>
        <v>0</v>
      </c>
      <c r="DL177" s="539">
        <f t="shared" si="59"/>
        <v>0</v>
      </c>
      <c r="DM177" s="539">
        <f t="shared" si="59"/>
        <v>0</v>
      </c>
      <c r="DN177" s="539">
        <f t="shared" si="59"/>
        <v>0</v>
      </c>
      <c r="DO177" s="539">
        <f t="shared" si="59"/>
        <v>0</v>
      </c>
      <c r="DP177" s="539">
        <f t="shared" si="59"/>
        <v>0</v>
      </c>
      <c r="DQ177" s="539">
        <f t="shared" si="59"/>
        <v>0</v>
      </c>
      <c r="DR177" s="539">
        <f t="shared" si="59"/>
        <v>0</v>
      </c>
      <c r="DS177" s="539">
        <f t="shared" si="59"/>
        <v>0</v>
      </c>
      <c r="DT177" s="539">
        <f t="shared" si="59"/>
        <v>0</v>
      </c>
      <c r="DU177" s="539">
        <f t="shared" si="59"/>
        <v>0</v>
      </c>
      <c r="DV177" s="539">
        <f t="shared" si="59"/>
        <v>0</v>
      </c>
      <c r="DW177" s="539">
        <f t="shared" si="59"/>
        <v>0</v>
      </c>
      <c r="DX177" s="539">
        <f t="shared" si="59"/>
        <v>0</v>
      </c>
      <c r="DY177" s="539">
        <f t="shared" si="59"/>
        <v>0</v>
      </c>
      <c r="DZ177" s="539">
        <f t="shared" si="59"/>
        <v>0</v>
      </c>
      <c r="EA177" s="539">
        <f t="shared" si="59"/>
        <v>0</v>
      </c>
      <c r="EB177" s="539">
        <f t="shared" si="59"/>
        <v>0</v>
      </c>
      <c r="EC177" s="539">
        <f t="shared" si="59"/>
        <v>0</v>
      </c>
      <c r="ED177" s="539">
        <f t="shared" si="59"/>
        <v>0</v>
      </c>
      <c r="EE177" s="539">
        <f t="shared" si="59"/>
        <v>0</v>
      </c>
      <c r="EF177" s="539">
        <f t="shared" si="59"/>
        <v>0</v>
      </c>
      <c r="EG177" s="539">
        <f t="shared" si="59"/>
        <v>0</v>
      </c>
    </row>
    <row r="178" spans="5:137" ht="12.75">
      <c r="E178" s="538" t="str">
        <f>E$175</f>
        <v>Senior facility - commitment fee</v>
      </c>
      <c r="G178" s="539" t="str">
        <f>G$175</f>
        <v>EUR 000s</v>
      </c>
      <c r="H178" s="539">
        <f>H$175</f>
        <v>1460.8385128648606</v>
      </c>
      <c r="J178" s="539">
        <f t="shared" si="60" ref="J178:EG178">J$175</f>
        <v>0</v>
      </c>
      <c r="K178" s="539">
        <f t="shared" si="60"/>
        <v>0</v>
      </c>
      <c r="L178" s="539">
        <f t="shared" si="60"/>
        <v>0</v>
      </c>
      <c r="M178" s="539">
        <f t="shared" si="60"/>
        <v>109.12766198353233</v>
      </c>
      <c r="N178" s="539">
        <f t="shared" si="60"/>
        <v>112.76525071631674</v>
      </c>
      <c r="O178" s="539">
        <f t="shared" si="60"/>
        <v>109.12766198353233</v>
      </c>
      <c r="P178" s="539">
        <f t="shared" si="60"/>
        <v>112.76525071631674</v>
      </c>
      <c r="Q178" s="539">
        <f t="shared" si="60"/>
        <v>112.76525071631674</v>
      </c>
      <c r="R178" s="539">
        <f t="shared" si="60"/>
        <v>109.12766198353233</v>
      </c>
      <c r="S178" s="539">
        <f t="shared" si="60"/>
        <v>112.06083141801737</v>
      </c>
      <c r="T178" s="539">
        <f t="shared" si="60"/>
        <v>99.578699976570334</v>
      </c>
      <c r="U178" s="539">
        <f t="shared" si="60"/>
        <v>93.535306163686855</v>
      </c>
      <c r="V178" s="539">
        <f t="shared" si="60"/>
        <v>83.957939598776278</v>
      </c>
      <c r="W178" s="539">
        <f t="shared" si="60"/>
        <v>70.169786778820949</v>
      </c>
      <c r="X178" s="539">
        <f t="shared" si="60"/>
        <v>66.128204449190463</v>
      </c>
      <c r="Y178" s="539">
        <f t="shared" si="60"/>
        <v>56.234539881115687</v>
      </c>
      <c r="Z178" s="539">
        <f t="shared" si="60"/>
        <v>51.073775243144908</v>
      </c>
      <c r="AA178" s="539">
        <f t="shared" si="60"/>
        <v>43.06386167592845</v>
      </c>
      <c r="AB178" s="539">
        <f t="shared" si="60"/>
        <v>37.161362961081004</v>
      </c>
      <c r="AC178" s="539">
        <f t="shared" si="60"/>
        <v>29.444313666440351</v>
      </c>
      <c r="AD178" s="539">
        <f t="shared" si="60"/>
        <v>21.075827977462392</v>
      </c>
      <c r="AE178" s="539">
        <f t="shared" si="60"/>
        <v>14.787262086484603</v>
      </c>
      <c r="AF178" s="539">
        <f t="shared" si="60"/>
        <v>10.028031280016851</v>
      </c>
      <c r="AG178" s="539">
        <f t="shared" si="60"/>
        <v>6.8600316085766471</v>
      </c>
      <c r="AH178" s="539">
        <f t="shared" si="60"/>
        <v>0</v>
      </c>
      <c r="AI178" s="539">
        <f t="shared" si="60"/>
        <v>0</v>
      </c>
      <c r="AJ178" s="539">
        <f t="shared" si="60"/>
        <v>0</v>
      </c>
      <c r="AK178" s="539">
        <f t="shared" si="60"/>
        <v>0</v>
      </c>
      <c r="AL178" s="539">
        <f t="shared" si="60"/>
        <v>0</v>
      </c>
      <c r="AM178" s="539">
        <f t="shared" si="60"/>
        <v>0</v>
      </c>
      <c r="AN178" s="539">
        <f t="shared" si="60"/>
        <v>0</v>
      </c>
      <c r="AO178" s="539">
        <f t="shared" si="60"/>
        <v>0</v>
      </c>
      <c r="AP178" s="539">
        <f t="shared" si="60"/>
        <v>0</v>
      </c>
      <c r="AQ178" s="539">
        <f t="shared" si="60"/>
        <v>0</v>
      </c>
      <c r="AR178" s="539">
        <f t="shared" si="60"/>
        <v>0</v>
      </c>
      <c r="AS178" s="539">
        <f t="shared" si="60"/>
        <v>0</v>
      </c>
      <c r="AT178" s="539">
        <f t="shared" si="60"/>
        <v>0</v>
      </c>
      <c r="AU178" s="539">
        <f t="shared" si="60"/>
        <v>0</v>
      </c>
      <c r="AV178" s="539">
        <f t="shared" si="60"/>
        <v>0</v>
      </c>
      <c r="AW178" s="539">
        <f t="shared" si="60"/>
        <v>0</v>
      </c>
      <c r="AX178" s="539">
        <f t="shared" si="60"/>
        <v>0</v>
      </c>
      <c r="AY178" s="539">
        <f t="shared" si="60"/>
        <v>0</v>
      </c>
      <c r="AZ178" s="539">
        <f t="shared" si="60"/>
        <v>0</v>
      </c>
      <c r="BA178" s="539">
        <f t="shared" si="60"/>
        <v>0</v>
      </c>
      <c r="BB178" s="539">
        <f t="shared" si="60"/>
        <v>0</v>
      </c>
      <c r="BC178" s="539">
        <f t="shared" si="60"/>
        <v>0</v>
      </c>
      <c r="BD178" s="539">
        <f t="shared" si="60"/>
        <v>0</v>
      </c>
      <c r="BE178" s="539">
        <f t="shared" si="60"/>
        <v>0</v>
      </c>
      <c r="BF178" s="539">
        <f t="shared" si="60"/>
        <v>0</v>
      </c>
      <c r="BG178" s="539">
        <f t="shared" si="60"/>
        <v>0</v>
      </c>
      <c r="BH178" s="539">
        <f t="shared" si="60"/>
        <v>0</v>
      </c>
      <c r="BI178" s="539">
        <f t="shared" si="60"/>
        <v>0</v>
      </c>
      <c r="BJ178" s="539">
        <f t="shared" si="60"/>
        <v>0</v>
      </c>
      <c r="BK178" s="539">
        <f t="shared" si="60"/>
        <v>0</v>
      </c>
      <c r="BL178" s="539">
        <f t="shared" si="60"/>
        <v>0</v>
      </c>
      <c r="BM178" s="539">
        <f t="shared" si="60"/>
        <v>0</v>
      </c>
      <c r="BN178" s="539">
        <f t="shared" si="60"/>
        <v>0</v>
      </c>
      <c r="BO178" s="539">
        <f t="shared" si="60"/>
        <v>0</v>
      </c>
      <c r="BP178" s="539">
        <f t="shared" si="60"/>
        <v>0</v>
      </c>
      <c r="BQ178" s="539">
        <f t="shared" si="60"/>
        <v>0</v>
      </c>
      <c r="BR178" s="539">
        <f t="shared" si="60"/>
        <v>0</v>
      </c>
      <c r="BS178" s="539">
        <f t="shared" si="60"/>
        <v>0</v>
      </c>
      <c r="BT178" s="539">
        <f t="shared" si="60"/>
        <v>0</v>
      </c>
      <c r="BU178" s="539">
        <f t="shared" si="60"/>
        <v>0</v>
      </c>
      <c r="BV178" s="539">
        <f t="shared" si="60"/>
        <v>0</v>
      </c>
      <c r="BW178" s="539">
        <f t="shared" si="60"/>
        <v>0</v>
      </c>
      <c r="BX178" s="539">
        <f t="shared" si="60"/>
        <v>0</v>
      </c>
      <c r="BY178" s="539">
        <f t="shared" si="60"/>
        <v>0</v>
      </c>
      <c r="BZ178" s="539">
        <f t="shared" si="60"/>
        <v>0</v>
      </c>
      <c r="CA178" s="539">
        <f t="shared" si="60"/>
        <v>0</v>
      </c>
      <c r="CB178" s="539">
        <f t="shared" si="60"/>
        <v>0</v>
      </c>
      <c r="CC178" s="539">
        <f t="shared" si="60"/>
        <v>0</v>
      </c>
      <c r="CD178" s="539">
        <f t="shared" si="60"/>
        <v>0</v>
      </c>
      <c r="CE178" s="539">
        <f t="shared" si="60"/>
        <v>0</v>
      </c>
      <c r="CF178" s="539">
        <f t="shared" si="60"/>
        <v>0</v>
      </c>
      <c r="CG178" s="539">
        <f t="shared" si="60"/>
        <v>0</v>
      </c>
      <c r="CH178" s="539">
        <f t="shared" si="60"/>
        <v>0</v>
      </c>
      <c r="CI178" s="539">
        <f t="shared" si="60"/>
        <v>0</v>
      </c>
      <c r="CJ178" s="539">
        <f t="shared" si="60"/>
        <v>0</v>
      </c>
      <c r="CK178" s="539">
        <f t="shared" si="60"/>
        <v>0</v>
      </c>
      <c r="CL178" s="539">
        <f t="shared" si="60"/>
        <v>0</v>
      </c>
      <c r="CM178" s="539">
        <f t="shared" si="60"/>
        <v>0</v>
      </c>
      <c r="CN178" s="539">
        <f t="shared" si="60"/>
        <v>0</v>
      </c>
      <c r="CO178" s="539">
        <f t="shared" si="60"/>
        <v>0</v>
      </c>
      <c r="CP178" s="539">
        <f t="shared" si="60"/>
        <v>0</v>
      </c>
      <c r="CQ178" s="539">
        <f t="shared" si="60"/>
        <v>0</v>
      </c>
      <c r="CR178" s="539">
        <f t="shared" si="60"/>
        <v>0</v>
      </c>
      <c r="CS178" s="539">
        <f t="shared" si="60"/>
        <v>0</v>
      </c>
      <c r="CT178" s="539">
        <f t="shared" si="60"/>
        <v>0</v>
      </c>
      <c r="CU178" s="539">
        <f t="shared" si="60"/>
        <v>0</v>
      </c>
      <c r="CV178" s="539">
        <f t="shared" si="60"/>
        <v>0</v>
      </c>
      <c r="CW178" s="539">
        <f t="shared" si="60"/>
        <v>0</v>
      </c>
      <c r="CX178" s="539">
        <f t="shared" si="60"/>
        <v>0</v>
      </c>
      <c r="CY178" s="539">
        <f t="shared" si="60"/>
        <v>0</v>
      </c>
      <c r="CZ178" s="539">
        <f t="shared" si="60"/>
        <v>0</v>
      </c>
      <c r="DA178" s="539">
        <f t="shared" si="60"/>
        <v>0</v>
      </c>
      <c r="DB178" s="539">
        <f t="shared" si="60"/>
        <v>0</v>
      </c>
      <c r="DC178" s="539">
        <f t="shared" si="60"/>
        <v>0</v>
      </c>
      <c r="DD178" s="539">
        <f t="shared" si="60"/>
        <v>0</v>
      </c>
      <c r="DE178" s="539">
        <f t="shared" si="60"/>
        <v>0</v>
      </c>
      <c r="DF178" s="539">
        <f t="shared" si="60"/>
        <v>0</v>
      </c>
      <c r="DG178" s="539">
        <f t="shared" si="60"/>
        <v>0</v>
      </c>
      <c r="DH178" s="539">
        <f t="shared" si="60"/>
        <v>0</v>
      </c>
      <c r="DI178" s="539">
        <f t="shared" si="60"/>
        <v>0</v>
      </c>
      <c r="DJ178" s="539">
        <f t="shared" si="60"/>
        <v>0</v>
      </c>
      <c r="DK178" s="539">
        <f t="shared" si="60"/>
        <v>0</v>
      </c>
      <c r="DL178" s="539">
        <f t="shared" si="60"/>
        <v>0</v>
      </c>
      <c r="DM178" s="539">
        <f t="shared" si="60"/>
        <v>0</v>
      </c>
      <c r="DN178" s="539">
        <f t="shared" si="60"/>
        <v>0</v>
      </c>
      <c r="DO178" s="539">
        <f t="shared" si="60"/>
        <v>0</v>
      </c>
      <c r="DP178" s="539">
        <f t="shared" si="60"/>
        <v>0</v>
      </c>
      <c r="DQ178" s="539">
        <f t="shared" si="60"/>
        <v>0</v>
      </c>
      <c r="DR178" s="539">
        <f t="shared" si="60"/>
        <v>0</v>
      </c>
      <c r="DS178" s="539">
        <f t="shared" si="60"/>
        <v>0</v>
      </c>
      <c r="DT178" s="539">
        <f t="shared" si="60"/>
        <v>0</v>
      </c>
      <c r="DU178" s="539">
        <f t="shared" si="60"/>
        <v>0</v>
      </c>
      <c r="DV178" s="539">
        <f t="shared" si="60"/>
        <v>0</v>
      </c>
      <c r="DW178" s="539">
        <f t="shared" si="60"/>
        <v>0</v>
      </c>
      <c r="DX178" s="539">
        <f t="shared" si="60"/>
        <v>0</v>
      </c>
      <c r="DY178" s="539">
        <f t="shared" si="60"/>
        <v>0</v>
      </c>
      <c r="DZ178" s="539">
        <f t="shared" si="60"/>
        <v>0</v>
      </c>
      <c r="EA178" s="539">
        <f t="shared" si="60"/>
        <v>0</v>
      </c>
      <c r="EB178" s="539">
        <f t="shared" si="60"/>
        <v>0</v>
      </c>
      <c r="EC178" s="539">
        <f t="shared" si="60"/>
        <v>0</v>
      </c>
      <c r="ED178" s="539">
        <f t="shared" si="60"/>
        <v>0</v>
      </c>
      <c r="EE178" s="539">
        <f t="shared" si="60"/>
        <v>0</v>
      </c>
      <c r="EF178" s="539">
        <f t="shared" si="60"/>
        <v>0</v>
      </c>
      <c r="EG178" s="539">
        <f t="shared" si="60"/>
        <v>0</v>
      </c>
    </row>
    <row r="179" spans="5:137" ht="12.75">
      <c r="E179" s="538" t="s">
        <v>241</v>
      </c>
      <c r="G179" s="539" t="s">
        <v>30</v>
      </c>
      <c r="H179" s="539">
        <f>SUM(J179:EG179)</f>
        <v>4780.1382315306373</v>
      </c>
      <c r="J179" s="539">
        <f t="shared" si="61" ref="J179:EG179">J177+J178</f>
        <v>0</v>
      </c>
      <c r="K179" s="539">
        <f t="shared" si="61"/>
        <v>0</v>
      </c>
      <c r="L179" s="539">
        <f t="shared" si="61"/>
        <v>3319.2997186657749</v>
      </c>
      <c r="M179" s="539">
        <f t="shared" si="61"/>
        <v>109.12766198353233</v>
      </c>
      <c r="N179" s="539">
        <f t="shared" si="61"/>
        <v>112.76525071631674</v>
      </c>
      <c r="O179" s="539">
        <f t="shared" si="61"/>
        <v>109.12766198353233</v>
      </c>
      <c r="P179" s="539">
        <f t="shared" si="61"/>
        <v>112.76525071631674</v>
      </c>
      <c r="Q179" s="539">
        <f t="shared" si="61"/>
        <v>112.76525071631674</v>
      </c>
      <c r="R179" s="539">
        <f t="shared" si="61"/>
        <v>109.12766198353233</v>
      </c>
      <c r="S179" s="539">
        <f t="shared" si="61"/>
        <v>112.06083141801737</v>
      </c>
      <c r="T179" s="539">
        <f t="shared" si="61"/>
        <v>99.578699976570334</v>
      </c>
      <c r="U179" s="539">
        <f t="shared" si="61"/>
        <v>93.535306163686855</v>
      </c>
      <c r="V179" s="539">
        <f t="shared" si="61"/>
        <v>83.957939598776278</v>
      </c>
      <c r="W179" s="539">
        <f t="shared" si="61"/>
        <v>70.169786778820949</v>
      </c>
      <c r="X179" s="539">
        <f t="shared" si="61"/>
        <v>66.128204449190463</v>
      </c>
      <c r="Y179" s="539">
        <f t="shared" si="61"/>
        <v>56.234539881115687</v>
      </c>
      <c r="Z179" s="539">
        <f t="shared" si="61"/>
        <v>51.073775243144908</v>
      </c>
      <c r="AA179" s="539">
        <f t="shared" si="61"/>
        <v>43.06386167592845</v>
      </c>
      <c r="AB179" s="539">
        <f t="shared" si="61"/>
        <v>37.161362961081004</v>
      </c>
      <c r="AC179" s="539">
        <f t="shared" si="61"/>
        <v>29.444313666440351</v>
      </c>
      <c r="AD179" s="539">
        <f t="shared" si="61"/>
        <v>21.075827977462392</v>
      </c>
      <c r="AE179" s="539">
        <f t="shared" si="61"/>
        <v>14.787262086484603</v>
      </c>
      <c r="AF179" s="539">
        <f t="shared" si="61"/>
        <v>10.028031280016851</v>
      </c>
      <c r="AG179" s="539">
        <f t="shared" si="61"/>
        <v>6.8600316085766471</v>
      </c>
      <c r="AH179" s="539">
        <f t="shared" si="61"/>
        <v>0</v>
      </c>
      <c r="AI179" s="539">
        <f t="shared" si="61"/>
        <v>0</v>
      </c>
      <c r="AJ179" s="539">
        <f t="shared" si="61"/>
        <v>0</v>
      </c>
      <c r="AK179" s="539">
        <f t="shared" si="61"/>
        <v>0</v>
      </c>
      <c r="AL179" s="539">
        <f t="shared" si="61"/>
        <v>0</v>
      </c>
      <c r="AM179" s="539">
        <f t="shared" si="61"/>
        <v>0</v>
      </c>
      <c r="AN179" s="539">
        <f t="shared" si="61"/>
        <v>0</v>
      </c>
      <c r="AO179" s="539">
        <f t="shared" si="61"/>
        <v>0</v>
      </c>
      <c r="AP179" s="539">
        <f t="shared" si="61"/>
        <v>0</v>
      </c>
      <c r="AQ179" s="539">
        <f t="shared" si="61"/>
        <v>0</v>
      </c>
      <c r="AR179" s="539">
        <f t="shared" si="61"/>
        <v>0</v>
      </c>
      <c r="AS179" s="539">
        <f t="shared" si="61"/>
        <v>0</v>
      </c>
      <c r="AT179" s="539">
        <f t="shared" si="61"/>
        <v>0</v>
      </c>
      <c r="AU179" s="539">
        <f t="shared" si="61"/>
        <v>0</v>
      </c>
      <c r="AV179" s="539">
        <f t="shared" si="61"/>
        <v>0</v>
      </c>
      <c r="AW179" s="539">
        <f t="shared" si="61"/>
        <v>0</v>
      </c>
      <c r="AX179" s="539">
        <f t="shared" si="61"/>
        <v>0</v>
      </c>
      <c r="AY179" s="539">
        <f t="shared" si="61"/>
        <v>0</v>
      </c>
      <c r="AZ179" s="539">
        <f t="shared" si="61"/>
        <v>0</v>
      </c>
      <c r="BA179" s="539">
        <f t="shared" si="61"/>
        <v>0</v>
      </c>
      <c r="BB179" s="539">
        <f t="shared" si="61"/>
        <v>0</v>
      </c>
      <c r="BC179" s="539">
        <f t="shared" si="61"/>
        <v>0</v>
      </c>
      <c r="BD179" s="539">
        <f t="shared" si="61"/>
        <v>0</v>
      </c>
      <c r="BE179" s="539">
        <f t="shared" si="61"/>
        <v>0</v>
      </c>
      <c r="BF179" s="539">
        <f t="shared" si="61"/>
        <v>0</v>
      </c>
      <c r="BG179" s="539">
        <f t="shared" si="61"/>
        <v>0</v>
      </c>
      <c r="BH179" s="539">
        <f t="shared" si="61"/>
        <v>0</v>
      </c>
      <c r="BI179" s="539">
        <f t="shared" si="61"/>
        <v>0</v>
      </c>
      <c r="BJ179" s="539">
        <f t="shared" si="61"/>
        <v>0</v>
      </c>
      <c r="BK179" s="539">
        <f t="shared" si="61"/>
        <v>0</v>
      </c>
      <c r="BL179" s="539">
        <f t="shared" si="61"/>
        <v>0</v>
      </c>
      <c r="BM179" s="539">
        <f t="shared" si="61"/>
        <v>0</v>
      </c>
      <c r="BN179" s="539">
        <f t="shared" si="61"/>
        <v>0</v>
      </c>
      <c r="BO179" s="539">
        <f t="shared" si="61"/>
        <v>0</v>
      </c>
      <c r="BP179" s="539">
        <f t="shared" si="61"/>
        <v>0</v>
      </c>
      <c r="BQ179" s="539">
        <f t="shared" si="61"/>
        <v>0</v>
      </c>
      <c r="BR179" s="539">
        <f t="shared" si="61"/>
        <v>0</v>
      </c>
      <c r="BS179" s="539">
        <f t="shared" si="61"/>
        <v>0</v>
      </c>
      <c r="BT179" s="539">
        <f t="shared" si="61"/>
        <v>0</v>
      </c>
      <c r="BU179" s="539">
        <f t="shared" si="61"/>
        <v>0</v>
      </c>
      <c r="BV179" s="539">
        <f t="shared" si="61"/>
        <v>0</v>
      </c>
      <c r="BW179" s="539">
        <f t="shared" si="61"/>
        <v>0</v>
      </c>
      <c r="BX179" s="539">
        <f t="shared" si="61"/>
        <v>0</v>
      </c>
      <c r="BY179" s="539">
        <f t="shared" si="61"/>
        <v>0</v>
      </c>
      <c r="BZ179" s="539">
        <f t="shared" si="61"/>
        <v>0</v>
      </c>
      <c r="CA179" s="539">
        <f t="shared" si="61"/>
        <v>0</v>
      </c>
      <c r="CB179" s="539">
        <f t="shared" si="61"/>
        <v>0</v>
      </c>
      <c r="CC179" s="539">
        <f t="shared" si="61"/>
        <v>0</v>
      </c>
      <c r="CD179" s="539">
        <f t="shared" si="61"/>
        <v>0</v>
      </c>
      <c r="CE179" s="539">
        <f t="shared" si="61"/>
        <v>0</v>
      </c>
      <c r="CF179" s="539">
        <f t="shared" si="61"/>
        <v>0</v>
      </c>
      <c r="CG179" s="539">
        <f t="shared" si="61"/>
        <v>0</v>
      </c>
      <c r="CH179" s="539">
        <f t="shared" si="61"/>
        <v>0</v>
      </c>
      <c r="CI179" s="539">
        <f t="shared" si="61"/>
        <v>0</v>
      </c>
      <c r="CJ179" s="539">
        <f t="shared" si="61"/>
        <v>0</v>
      </c>
      <c r="CK179" s="539">
        <f t="shared" si="61"/>
        <v>0</v>
      </c>
      <c r="CL179" s="539">
        <f t="shared" si="61"/>
        <v>0</v>
      </c>
      <c r="CM179" s="539">
        <f t="shared" si="61"/>
        <v>0</v>
      </c>
      <c r="CN179" s="539">
        <f t="shared" si="61"/>
        <v>0</v>
      </c>
      <c r="CO179" s="539">
        <f t="shared" si="61"/>
        <v>0</v>
      </c>
      <c r="CP179" s="539">
        <f t="shared" si="61"/>
        <v>0</v>
      </c>
      <c r="CQ179" s="539">
        <f t="shared" si="61"/>
        <v>0</v>
      </c>
      <c r="CR179" s="539">
        <f t="shared" si="61"/>
        <v>0</v>
      </c>
      <c r="CS179" s="539">
        <f t="shared" si="61"/>
        <v>0</v>
      </c>
      <c r="CT179" s="539">
        <f t="shared" si="61"/>
        <v>0</v>
      </c>
      <c r="CU179" s="539">
        <f t="shared" si="61"/>
        <v>0</v>
      </c>
      <c r="CV179" s="539">
        <f t="shared" si="61"/>
        <v>0</v>
      </c>
      <c r="CW179" s="539">
        <f t="shared" si="61"/>
        <v>0</v>
      </c>
      <c r="CX179" s="539">
        <f t="shared" si="61"/>
        <v>0</v>
      </c>
      <c r="CY179" s="539">
        <f t="shared" si="61"/>
        <v>0</v>
      </c>
      <c r="CZ179" s="539">
        <f t="shared" si="61"/>
        <v>0</v>
      </c>
      <c r="DA179" s="539">
        <f t="shared" si="61"/>
        <v>0</v>
      </c>
      <c r="DB179" s="539">
        <f t="shared" si="61"/>
        <v>0</v>
      </c>
      <c r="DC179" s="539">
        <f t="shared" si="61"/>
        <v>0</v>
      </c>
      <c r="DD179" s="539">
        <f t="shared" si="61"/>
        <v>0</v>
      </c>
      <c r="DE179" s="539">
        <f t="shared" si="61"/>
        <v>0</v>
      </c>
      <c r="DF179" s="539">
        <f t="shared" si="61"/>
        <v>0</v>
      </c>
      <c r="DG179" s="539">
        <f t="shared" si="61"/>
        <v>0</v>
      </c>
      <c r="DH179" s="539">
        <f t="shared" si="61"/>
        <v>0</v>
      </c>
      <c r="DI179" s="539">
        <f t="shared" si="61"/>
        <v>0</v>
      </c>
      <c r="DJ179" s="539">
        <f t="shared" si="61"/>
        <v>0</v>
      </c>
      <c r="DK179" s="539">
        <f t="shared" si="61"/>
        <v>0</v>
      </c>
      <c r="DL179" s="539">
        <f t="shared" si="61"/>
        <v>0</v>
      </c>
      <c r="DM179" s="539">
        <f t="shared" si="61"/>
        <v>0</v>
      </c>
      <c r="DN179" s="539">
        <f t="shared" si="61"/>
        <v>0</v>
      </c>
      <c r="DO179" s="539">
        <f t="shared" si="61"/>
        <v>0</v>
      </c>
      <c r="DP179" s="539">
        <f t="shared" si="61"/>
        <v>0</v>
      </c>
      <c r="DQ179" s="539">
        <f t="shared" si="61"/>
        <v>0</v>
      </c>
      <c r="DR179" s="539">
        <f t="shared" si="61"/>
        <v>0</v>
      </c>
      <c r="DS179" s="539">
        <f t="shared" si="61"/>
        <v>0</v>
      </c>
      <c r="DT179" s="539">
        <f t="shared" si="61"/>
        <v>0</v>
      </c>
      <c r="DU179" s="539">
        <f t="shared" si="61"/>
        <v>0</v>
      </c>
      <c r="DV179" s="539">
        <f t="shared" si="61"/>
        <v>0</v>
      </c>
      <c r="DW179" s="539">
        <f t="shared" si="61"/>
        <v>0</v>
      </c>
      <c r="DX179" s="539">
        <f t="shared" si="61"/>
        <v>0</v>
      </c>
      <c r="DY179" s="539">
        <f t="shared" si="61"/>
        <v>0</v>
      </c>
      <c r="DZ179" s="539">
        <f t="shared" si="61"/>
        <v>0</v>
      </c>
      <c r="EA179" s="539">
        <f t="shared" si="61"/>
        <v>0</v>
      </c>
      <c r="EB179" s="539">
        <f t="shared" si="61"/>
        <v>0</v>
      </c>
      <c r="EC179" s="539">
        <f t="shared" si="61"/>
        <v>0</v>
      </c>
      <c r="ED179" s="539">
        <f t="shared" si="61"/>
        <v>0</v>
      </c>
      <c r="EE179" s="539">
        <f t="shared" si="61"/>
        <v>0</v>
      </c>
      <c r="EF179" s="539">
        <f t="shared" si="61"/>
        <v>0</v>
      </c>
      <c r="EG179" s="539">
        <f t="shared" si="61"/>
        <v>0</v>
      </c>
    </row>
    <row r="181" spans="5:137" ht="12.75">
      <c r="E181" s="535" t="str">
        <f>Debt!E$182</f>
        <v>Junior facility - interest during construction</v>
      </c>
      <c r="G181" s="537" t="str">
        <f>Debt!G$182</f>
        <v>EUR 000s</v>
      </c>
      <c r="H181" s="537">
        <f>Debt!H$182</f>
        <v>2926.480254623777</v>
      </c>
      <c r="J181" s="537">
        <f>Debt!J$182</f>
        <v>0</v>
      </c>
      <c r="K181" s="537">
        <f>Debt!K$182</f>
        <v>0</v>
      </c>
      <c r="L181" s="537">
        <f>Debt!L$182</f>
        <v>0</v>
      </c>
      <c r="M181" s="537">
        <f>Debt!M$182</f>
        <v>0</v>
      </c>
      <c r="N181" s="537">
        <f>Debt!N$182</f>
        <v>0</v>
      </c>
      <c r="O181" s="537">
        <f>Debt!O$182</f>
        <v>0</v>
      </c>
      <c r="P181" s="537">
        <f>Debt!P$182</f>
        <v>0</v>
      </c>
      <c r="Q181" s="537">
        <f>Debt!Q$182</f>
        <v>0</v>
      </c>
      <c r="R181" s="537">
        <f>Debt!R$182</f>
        <v>70.453443854758106</v>
      </c>
      <c r="S181" s="537">
        <f>Debt!S$182</f>
        <v>193.31185837082879</v>
      </c>
      <c r="T181" s="537">
        <f>Debt!T$182</f>
        <v>187.07599197176981</v>
      </c>
      <c r="U181" s="537">
        <f>Debt!U$182</f>
        <v>193.31185837082879</v>
      </c>
      <c r="V181" s="537">
        <f>Debt!V$182</f>
        <v>193.31185837082879</v>
      </c>
      <c r="W181" s="537">
        <f>Debt!W$182</f>
        <v>180.8401255727108</v>
      </c>
      <c r="X181" s="537">
        <f>Debt!X$182</f>
        <v>193.31185837082879</v>
      </c>
      <c r="Y181" s="537">
        <f>Debt!Y$182</f>
        <v>187.07599197176981</v>
      </c>
      <c r="Z181" s="537">
        <f>Debt!Z$182</f>
        <v>193.31185837082879</v>
      </c>
      <c r="AA181" s="537">
        <f>Debt!AA$182</f>
        <v>187.07599197176981</v>
      </c>
      <c r="AB181" s="537">
        <f>Debt!AB$182</f>
        <v>193.31185837082879</v>
      </c>
      <c r="AC181" s="537">
        <f>Debt!AC$182</f>
        <v>193.31185837082879</v>
      </c>
      <c r="AD181" s="537">
        <f>Debt!AD$182</f>
        <v>187.07599197176981</v>
      </c>
      <c r="AE181" s="537">
        <f>Debt!AE$182</f>
        <v>193.31185837082879</v>
      </c>
      <c r="AF181" s="537">
        <f>Debt!AF$182</f>
        <v>187.07599197176981</v>
      </c>
      <c r="AG181" s="537">
        <f>Debt!AG$182</f>
        <v>193.31185837082879</v>
      </c>
      <c r="AH181" s="537">
        <f>Debt!AH$182</f>
        <v>0</v>
      </c>
      <c r="AI181" s="537">
        <f>Debt!AI$182</f>
        <v>0</v>
      </c>
      <c r="AJ181" s="537">
        <f>Debt!AJ$182</f>
        <v>0</v>
      </c>
      <c r="AK181" s="537">
        <f>Debt!AK$182</f>
        <v>0</v>
      </c>
      <c r="AL181" s="537">
        <f>Debt!AL$182</f>
        <v>0</v>
      </c>
      <c r="AM181" s="537">
        <f>Debt!AM$182</f>
        <v>0</v>
      </c>
      <c r="AN181" s="537">
        <f>Debt!AN$182</f>
        <v>0</v>
      </c>
      <c r="AO181" s="537">
        <f>Debt!AO$182</f>
        <v>0</v>
      </c>
      <c r="AP181" s="537">
        <f>Debt!AP$182</f>
        <v>0</v>
      </c>
      <c r="AQ181" s="537">
        <f>Debt!AQ$182</f>
        <v>0</v>
      </c>
      <c r="AR181" s="537">
        <f>Debt!AR$182</f>
        <v>0</v>
      </c>
      <c r="AS181" s="537">
        <f>Debt!AS$182</f>
        <v>0</v>
      </c>
      <c r="AT181" s="537">
        <f>Debt!AT$182</f>
        <v>0</v>
      </c>
      <c r="AU181" s="537">
        <f>Debt!AU$182</f>
        <v>0</v>
      </c>
      <c r="AV181" s="537">
        <f>Debt!AV$182</f>
        <v>0</v>
      </c>
      <c r="AW181" s="537">
        <f>Debt!AW$182</f>
        <v>0</v>
      </c>
      <c r="AX181" s="537">
        <f>Debt!AX$182</f>
        <v>0</v>
      </c>
      <c r="AY181" s="537">
        <f>Debt!AY$182</f>
        <v>0</v>
      </c>
      <c r="AZ181" s="537">
        <f>Debt!AZ$182</f>
        <v>0</v>
      </c>
      <c r="BA181" s="537">
        <f>Debt!BA$182</f>
        <v>0</v>
      </c>
      <c r="BB181" s="537">
        <f>Debt!BB$182</f>
        <v>0</v>
      </c>
      <c r="BC181" s="537">
        <f>Debt!BC$182</f>
        <v>0</v>
      </c>
      <c r="BD181" s="537">
        <f>Debt!BD$182</f>
        <v>0</v>
      </c>
      <c r="BE181" s="537">
        <f>Debt!BE$182</f>
        <v>0</v>
      </c>
      <c r="BF181" s="537">
        <f>Debt!BF$182</f>
        <v>0</v>
      </c>
      <c r="BG181" s="537">
        <f>Debt!BG$182</f>
        <v>0</v>
      </c>
      <c r="BH181" s="537">
        <f>Debt!BH$182</f>
        <v>0</v>
      </c>
      <c r="BI181" s="537">
        <f>Debt!BI$182</f>
        <v>0</v>
      </c>
      <c r="BJ181" s="537">
        <f>Debt!BJ$182</f>
        <v>0</v>
      </c>
      <c r="BK181" s="537">
        <f>Debt!BK$182</f>
        <v>0</v>
      </c>
      <c r="BL181" s="537">
        <f>Debt!BL$182</f>
        <v>0</v>
      </c>
      <c r="BM181" s="537">
        <f>Debt!BM$182</f>
        <v>0</v>
      </c>
      <c r="BN181" s="537">
        <f>Debt!BN$182</f>
        <v>0</v>
      </c>
      <c r="BO181" s="537">
        <f>Debt!BO$182</f>
        <v>0</v>
      </c>
      <c r="BP181" s="537">
        <f>Debt!BP$182</f>
        <v>0</v>
      </c>
      <c r="BQ181" s="537">
        <f>Debt!BQ$182</f>
        <v>0</v>
      </c>
      <c r="BR181" s="537">
        <f>Debt!BR$182</f>
        <v>0</v>
      </c>
      <c r="BS181" s="537">
        <f>Debt!BS$182</f>
        <v>0</v>
      </c>
      <c r="BT181" s="537">
        <f>Debt!BT$182</f>
        <v>0</v>
      </c>
      <c r="BU181" s="537">
        <f>Debt!BU$182</f>
        <v>0</v>
      </c>
      <c r="BV181" s="537">
        <f>Debt!BV$182</f>
        <v>0</v>
      </c>
      <c r="BW181" s="537">
        <f>Debt!BW$182</f>
        <v>0</v>
      </c>
      <c r="BX181" s="537">
        <f>Debt!BX$182</f>
        <v>0</v>
      </c>
      <c r="BY181" s="537">
        <f>Debt!BY$182</f>
        <v>0</v>
      </c>
      <c r="BZ181" s="537">
        <f>Debt!BZ$182</f>
        <v>0</v>
      </c>
      <c r="CA181" s="537">
        <f>Debt!CA$182</f>
        <v>0</v>
      </c>
      <c r="CB181" s="537">
        <f>Debt!CB$182</f>
        <v>0</v>
      </c>
      <c r="CC181" s="537">
        <f>Debt!CC$182</f>
        <v>0</v>
      </c>
      <c r="CD181" s="537">
        <f>Debt!CD$182</f>
        <v>0</v>
      </c>
      <c r="CE181" s="537">
        <f>Debt!CE$182</f>
        <v>0</v>
      </c>
      <c r="CF181" s="537">
        <f>Debt!CF$182</f>
        <v>0</v>
      </c>
      <c r="CG181" s="537">
        <f>Debt!CG$182</f>
        <v>0</v>
      </c>
      <c r="CH181" s="537">
        <f>Debt!CH$182</f>
        <v>0</v>
      </c>
      <c r="CI181" s="537">
        <f>Debt!CI$182</f>
        <v>0</v>
      </c>
      <c r="CJ181" s="537">
        <f>Debt!CJ$182</f>
        <v>0</v>
      </c>
      <c r="CK181" s="537">
        <f>Debt!CK$182</f>
        <v>0</v>
      </c>
      <c r="CL181" s="537">
        <f>Debt!CL$182</f>
        <v>0</v>
      </c>
      <c r="CM181" s="537">
        <f>Debt!CM$182</f>
        <v>0</v>
      </c>
      <c r="CN181" s="537">
        <f>Debt!CN$182</f>
        <v>0</v>
      </c>
      <c r="CO181" s="537">
        <f>Debt!CO$182</f>
        <v>0</v>
      </c>
      <c r="CP181" s="537">
        <f>Debt!CP$182</f>
        <v>0</v>
      </c>
      <c r="CQ181" s="537">
        <f>Debt!CQ$182</f>
        <v>0</v>
      </c>
      <c r="CR181" s="537">
        <f>Debt!CR$182</f>
        <v>0</v>
      </c>
      <c r="CS181" s="537">
        <f>Debt!CS$182</f>
        <v>0</v>
      </c>
      <c r="CT181" s="537">
        <f>Debt!CT$182</f>
        <v>0</v>
      </c>
      <c r="CU181" s="537">
        <f>Debt!CU$182</f>
        <v>0</v>
      </c>
      <c r="CV181" s="537">
        <f>Debt!CV$182</f>
        <v>0</v>
      </c>
      <c r="CW181" s="537">
        <f>Debt!CW$182</f>
        <v>0</v>
      </c>
      <c r="CX181" s="537">
        <f>Debt!CX$182</f>
        <v>0</v>
      </c>
      <c r="CY181" s="537">
        <f>Debt!CY$182</f>
        <v>0</v>
      </c>
      <c r="CZ181" s="537">
        <f>Debt!CZ$182</f>
        <v>0</v>
      </c>
      <c r="DA181" s="537">
        <f>Debt!DA$182</f>
        <v>0</v>
      </c>
      <c r="DB181" s="537">
        <f>Debt!DB$182</f>
        <v>0</v>
      </c>
      <c r="DC181" s="537">
        <f>Debt!DC$182</f>
        <v>0</v>
      </c>
      <c r="DD181" s="537">
        <f>Debt!DD$182</f>
        <v>0</v>
      </c>
      <c r="DE181" s="537">
        <f>Debt!DE$182</f>
        <v>0</v>
      </c>
      <c r="DF181" s="537">
        <f>Debt!DF$182</f>
        <v>0</v>
      </c>
      <c r="DG181" s="537">
        <f>Debt!DG$182</f>
        <v>0</v>
      </c>
      <c r="DH181" s="537">
        <f>Debt!DH$182</f>
        <v>0</v>
      </c>
      <c r="DI181" s="537">
        <f>Debt!DI$182</f>
        <v>0</v>
      </c>
      <c r="DJ181" s="537">
        <f>Debt!DJ$182</f>
        <v>0</v>
      </c>
      <c r="DK181" s="537">
        <f>Debt!DK$182</f>
        <v>0</v>
      </c>
      <c r="DL181" s="537">
        <f>Debt!DL$182</f>
        <v>0</v>
      </c>
      <c r="DM181" s="537">
        <f>Debt!DM$182</f>
        <v>0</v>
      </c>
      <c r="DN181" s="537">
        <f>Debt!DN$182</f>
        <v>0</v>
      </c>
      <c r="DO181" s="537">
        <f>Debt!DO$182</f>
        <v>0</v>
      </c>
      <c r="DP181" s="537">
        <f>Debt!DP$182</f>
        <v>0</v>
      </c>
      <c r="DQ181" s="537">
        <f>Debt!DQ$182</f>
        <v>0</v>
      </c>
      <c r="DR181" s="537">
        <f>Debt!DR$182</f>
        <v>0</v>
      </c>
      <c r="DS181" s="537">
        <f>Debt!DS$182</f>
        <v>0</v>
      </c>
      <c r="DT181" s="537">
        <f>Debt!DT$182</f>
        <v>0</v>
      </c>
      <c r="DU181" s="537">
        <f>Debt!DU$182</f>
        <v>0</v>
      </c>
      <c r="DV181" s="537">
        <f>Debt!DV$182</f>
        <v>0</v>
      </c>
      <c r="DW181" s="537">
        <f>Debt!DW$182</f>
        <v>0</v>
      </c>
      <c r="DX181" s="537">
        <f>Debt!DX$182</f>
        <v>0</v>
      </c>
      <c r="DY181" s="537">
        <f>Debt!DY$182</f>
        <v>0</v>
      </c>
      <c r="DZ181" s="537">
        <f>Debt!DZ$182</f>
        <v>0</v>
      </c>
      <c r="EA181" s="537">
        <f>Debt!EA$182</f>
        <v>0</v>
      </c>
      <c r="EB181" s="537">
        <f>Debt!EB$182</f>
        <v>0</v>
      </c>
      <c r="EC181" s="537">
        <f>Debt!EC$182</f>
        <v>0</v>
      </c>
      <c r="ED181" s="537">
        <f>Debt!ED$182</f>
        <v>0</v>
      </c>
      <c r="EE181" s="537">
        <f>Debt!EE$182</f>
        <v>0</v>
      </c>
      <c r="EF181" s="537">
        <f>Debt!EF$182</f>
        <v>0</v>
      </c>
      <c r="EG181" s="537">
        <f>Debt!EG$182</f>
        <v>0</v>
      </c>
    </row>
    <row r="182" spans="5:137" ht="12.75">
      <c r="E182" s="538" t="str">
        <f>E$92</f>
        <v>VAT facility - capitalised interest</v>
      </c>
      <c r="G182" s="539" t="str">
        <f>G$92</f>
        <v>EUR 000s</v>
      </c>
      <c r="H182" s="539">
        <f>H$92</f>
        <v>548.54419863013698</v>
      </c>
      <c r="J182" s="539">
        <f t="shared" si="62" ref="J182:EG182">J$92</f>
        <v>0</v>
      </c>
      <c r="K182" s="539">
        <f t="shared" si="62"/>
        <v>0</v>
      </c>
      <c r="L182" s="539">
        <f t="shared" si="62"/>
        <v>0</v>
      </c>
      <c r="M182" s="539">
        <f t="shared" si="62"/>
        <v>0</v>
      </c>
      <c r="N182" s="539">
        <f t="shared" si="62"/>
        <v>9.0309794520547939</v>
      </c>
      <c r="O182" s="539">
        <f t="shared" si="62"/>
        <v>17.695068493150686</v>
      </c>
      <c r="P182" s="539">
        <f t="shared" si="62"/>
        <v>27.315883561643837</v>
      </c>
      <c r="Q182" s="539">
        <f t="shared" si="62"/>
        <v>27.538828767123288</v>
      </c>
      <c r="R182" s="539">
        <f t="shared" si="62"/>
        <v>26.434726027397257</v>
      </c>
      <c r="S182" s="539">
        <f t="shared" si="62"/>
        <v>29.79614897260274</v>
      </c>
      <c r="T182" s="539">
        <f t="shared" si="62"/>
        <v>31.47796232876712</v>
      </c>
      <c r="U182" s="539">
        <f t="shared" si="62"/>
        <v>35.704196917808218</v>
      </c>
      <c r="V182" s="539">
        <f t="shared" si="62"/>
        <v>36.623845890410962</v>
      </c>
      <c r="W182" s="539">
        <f t="shared" si="62"/>
        <v>33.843893835616434</v>
      </c>
      <c r="X182" s="539">
        <f t="shared" si="62"/>
        <v>35.397647260273978</v>
      </c>
      <c r="Y182" s="539">
        <f t="shared" si="62"/>
        <v>32.098253424657536</v>
      </c>
      <c r="Z182" s="539">
        <f t="shared" si="62"/>
        <v>30.492852739726029</v>
      </c>
      <c r="AA182" s="539">
        <f t="shared" si="62"/>
        <v>26.380787671232873</v>
      </c>
      <c r="AB182" s="539">
        <f t="shared" si="62"/>
        <v>26.256893835616442</v>
      </c>
      <c r="AC182" s="539">
        <f t="shared" si="62"/>
        <v>27.037202054794523</v>
      </c>
      <c r="AD182" s="539">
        <f t="shared" si="62"/>
        <v>27.459554794520546</v>
      </c>
      <c r="AE182" s="539">
        <f t="shared" si="62"/>
        <v>27.789642123287674</v>
      </c>
      <c r="AF182" s="539">
        <f t="shared" si="62"/>
        <v>22.524195205479451</v>
      </c>
      <c r="AG182" s="539">
        <f t="shared" si="62"/>
        <v>17.645635273972601</v>
      </c>
      <c r="AH182" s="539">
        <f t="shared" si="62"/>
        <v>0</v>
      </c>
      <c r="AI182" s="539">
        <f t="shared" si="62"/>
        <v>0</v>
      </c>
      <c r="AJ182" s="539">
        <f t="shared" si="62"/>
        <v>0</v>
      </c>
      <c r="AK182" s="539">
        <f t="shared" si="62"/>
        <v>0</v>
      </c>
      <c r="AL182" s="539">
        <f t="shared" si="62"/>
        <v>0</v>
      </c>
      <c r="AM182" s="539">
        <f t="shared" si="62"/>
        <v>0</v>
      </c>
      <c r="AN182" s="539">
        <f t="shared" si="62"/>
        <v>0</v>
      </c>
      <c r="AO182" s="539">
        <f t="shared" si="62"/>
        <v>0</v>
      </c>
      <c r="AP182" s="539">
        <f t="shared" si="62"/>
        <v>0</v>
      </c>
      <c r="AQ182" s="539">
        <f t="shared" si="62"/>
        <v>0</v>
      </c>
      <c r="AR182" s="539">
        <f t="shared" si="62"/>
        <v>0</v>
      </c>
      <c r="AS182" s="539">
        <f t="shared" si="62"/>
        <v>0</v>
      </c>
      <c r="AT182" s="539">
        <f t="shared" si="62"/>
        <v>0</v>
      </c>
      <c r="AU182" s="539">
        <f t="shared" si="62"/>
        <v>0</v>
      </c>
      <c r="AV182" s="539">
        <f t="shared" si="62"/>
        <v>0</v>
      </c>
      <c r="AW182" s="539">
        <f t="shared" si="62"/>
        <v>0</v>
      </c>
      <c r="AX182" s="539">
        <f t="shared" si="62"/>
        <v>0</v>
      </c>
      <c r="AY182" s="539">
        <f t="shared" si="62"/>
        <v>0</v>
      </c>
      <c r="AZ182" s="539">
        <f t="shared" si="62"/>
        <v>0</v>
      </c>
      <c r="BA182" s="539">
        <f t="shared" si="62"/>
        <v>0</v>
      </c>
      <c r="BB182" s="539">
        <f t="shared" si="62"/>
        <v>0</v>
      </c>
      <c r="BC182" s="539">
        <f t="shared" si="62"/>
        <v>0</v>
      </c>
      <c r="BD182" s="539">
        <f t="shared" si="62"/>
        <v>0</v>
      </c>
      <c r="BE182" s="539">
        <f t="shared" si="62"/>
        <v>0</v>
      </c>
      <c r="BF182" s="539">
        <f t="shared" si="62"/>
        <v>0</v>
      </c>
      <c r="BG182" s="539">
        <f t="shared" si="62"/>
        <v>0</v>
      </c>
      <c r="BH182" s="539">
        <f t="shared" si="62"/>
        <v>0</v>
      </c>
      <c r="BI182" s="539">
        <f t="shared" si="62"/>
        <v>0</v>
      </c>
      <c r="BJ182" s="539">
        <f t="shared" si="62"/>
        <v>0</v>
      </c>
      <c r="BK182" s="539">
        <f t="shared" si="62"/>
        <v>0</v>
      </c>
      <c r="BL182" s="539">
        <f t="shared" si="62"/>
        <v>0</v>
      </c>
      <c r="BM182" s="539">
        <f t="shared" si="62"/>
        <v>0</v>
      </c>
      <c r="BN182" s="539">
        <f t="shared" si="62"/>
        <v>0</v>
      </c>
      <c r="BO182" s="539">
        <f t="shared" si="62"/>
        <v>0</v>
      </c>
      <c r="BP182" s="539">
        <f t="shared" si="62"/>
        <v>0</v>
      </c>
      <c r="BQ182" s="539">
        <f t="shared" si="62"/>
        <v>0</v>
      </c>
      <c r="BR182" s="539">
        <f t="shared" si="62"/>
        <v>0</v>
      </c>
      <c r="BS182" s="539">
        <f t="shared" si="62"/>
        <v>0</v>
      </c>
      <c r="BT182" s="539">
        <f t="shared" si="62"/>
        <v>0</v>
      </c>
      <c r="BU182" s="539">
        <f t="shared" si="62"/>
        <v>0</v>
      </c>
      <c r="BV182" s="539">
        <f t="shared" si="62"/>
        <v>0</v>
      </c>
      <c r="BW182" s="539">
        <f t="shared" si="62"/>
        <v>0</v>
      </c>
      <c r="BX182" s="539">
        <f t="shared" si="62"/>
        <v>0</v>
      </c>
      <c r="BY182" s="539">
        <f t="shared" si="62"/>
        <v>0</v>
      </c>
      <c r="BZ182" s="539">
        <f t="shared" si="62"/>
        <v>0</v>
      </c>
      <c r="CA182" s="539">
        <f t="shared" si="62"/>
        <v>0</v>
      </c>
      <c r="CB182" s="539">
        <f t="shared" si="62"/>
        <v>0</v>
      </c>
      <c r="CC182" s="539">
        <f t="shared" si="62"/>
        <v>0</v>
      </c>
      <c r="CD182" s="539">
        <f t="shared" si="62"/>
        <v>0</v>
      </c>
      <c r="CE182" s="539">
        <f t="shared" si="62"/>
        <v>0</v>
      </c>
      <c r="CF182" s="539">
        <f t="shared" si="62"/>
        <v>0</v>
      </c>
      <c r="CG182" s="539">
        <f t="shared" si="62"/>
        <v>0</v>
      </c>
      <c r="CH182" s="539">
        <f t="shared" si="62"/>
        <v>0</v>
      </c>
      <c r="CI182" s="539">
        <f t="shared" si="62"/>
        <v>0</v>
      </c>
      <c r="CJ182" s="539">
        <f t="shared" si="62"/>
        <v>0</v>
      </c>
      <c r="CK182" s="539">
        <f t="shared" si="62"/>
        <v>0</v>
      </c>
      <c r="CL182" s="539">
        <f t="shared" si="62"/>
        <v>0</v>
      </c>
      <c r="CM182" s="539">
        <f t="shared" si="62"/>
        <v>0</v>
      </c>
      <c r="CN182" s="539">
        <f t="shared" si="62"/>
        <v>0</v>
      </c>
      <c r="CO182" s="539">
        <f t="shared" si="62"/>
        <v>0</v>
      </c>
      <c r="CP182" s="539">
        <f t="shared" si="62"/>
        <v>0</v>
      </c>
      <c r="CQ182" s="539">
        <f t="shared" si="62"/>
        <v>0</v>
      </c>
      <c r="CR182" s="539">
        <f t="shared" si="62"/>
        <v>0</v>
      </c>
      <c r="CS182" s="539">
        <f t="shared" si="62"/>
        <v>0</v>
      </c>
      <c r="CT182" s="539">
        <f t="shared" si="62"/>
        <v>0</v>
      </c>
      <c r="CU182" s="539">
        <f t="shared" si="62"/>
        <v>0</v>
      </c>
      <c r="CV182" s="539">
        <f t="shared" si="62"/>
        <v>0</v>
      </c>
      <c r="CW182" s="539">
        <f t="shared" si="62"/>
        <v>0</v>
      </c>
      <c r="CX182" s="539">
        <f t="shared" si="62"/>
        <v>0</v>
      </c>
      <c r="CY182" s="539">
        <f t="shared" si="62"/>
        <v>0</v>
      </c>
      <c r="CZ182" s="539">
        <f t="shared" si="62"/>
        <v>0</v>
      </c>
      <c r="DA182" s="539">
        <f t="shared" si="62"/>
        <v>0</v>
      </c>
      <c r="DB182" s="539">
        <f t="shared" si="62"/>
        <v>0</v>
      </c>
      <c r="DC182" s="539">
        <f t="shared" si="62"/>
        <v>0</v>
      </c>
      <c r="DD182" s="539">
        <f t="shared" si="62"/>
        <v>0</v>
      </c>
      <c r="DE182" s="539">
        <f t="shared" si="62"/>
        <v>0</v>
      </c>
      <c r="DF182" s="539">
        <f t="shared" si="62"/>
        <v>0</v>
      </c>
      <c r="DG182" s="539">
        <f t="shared" si="62"/>
        <v>0</v>
      </c>
      <c r="DH182" s="539">
        <f t="shared" si="62"/>
        <v>0</v>
      </c>
      <c r="DI182" s="539">
        <f t="shared" si="62"/>
        <v>0</v>
      </c>
      <c r="DJ182" s="539">
        <f t="shared" si="62"/>
        <v>0</v>
      </c>
      <c r="DK182" s="539">
        <f t="shared" si="62"/>
        <v>0</v>
      </c>
      <c r="DL182" s="539">
        <f t="shared" si="62"/>
        <v>0</v>
      </c>
      <c r="DM182" s="539">
        <f t="shared" si="62"/>
        <v>0</v>
      </c>
      <c r="DN182" s="539">
        <f t="shared" si="62"/>
        <v>0</v>
      </c>
      <c r="DO182" s="539">
        <f t="shared" si="62"/>
        <v>0</v>
      </c>
      <c r="DP182" s="539">
        <f t="shared" si="62"/>
        <v>0</v>
      </c>
      <c r="DQ182" s="539">
        <f t="shared" si="62"/>
        <v>0</v>
      </c>
      <c r="DR182" s="539">
        <f t="shared" si="62"/>
        <v>0</v>
      </c>
      <c r="DS182" s="539">
        <f t="shared" si="62"/>
        <v>0</v>
      </c>
      <c r="DT182" s="539">
        <f t="shared" si="62"/>
        <v>0</v>
      </c>
      <c r="DU182" s="539">
        <f t="shared" si="62"/>
        <v>0</v>
      </c>
      <c r="DV182" s="539">
        <f t="shared" si="62"/>
        <v>0</v>
      </c>
      <c r="DW182" s="539">
        <f t="shared" si="62"/>
        <v>0</v>
      </c>
      <c r="DX182" s="539">
        <f t="shared" si="62"/>
        <v>0</v>
      </c>
      <c r="DY182" s="539">
        <f t="shared" si="62"/>
        <v>0</v>
      </c>
      <c r="DZ182" s="539">
        <f t="shared" si="62"/>
        <v>0</v>
      </c>
      <c r="EA182" s="539">
        <f t="shared" si="62"/>
        <v>0</v>
      </c>
      <c r="EB182" s="539">
        <f t="shared" si="62"/>
        <v>0</v>
      </c>
      <c r="EC182" s="539">
        <f t="shared" si="62"/>
        <v>0</v>
      </c>
      <c r="ED182" s="539">
        <f t="shared" si="62"/>
        <v>0</v>
      </c>
      <c r="EE182" s="539">
        <f t="shared" si="62"/>
        <v>0</v>
      </c>
      <c r="EF182" s="539">
        <f t="shared" si="62"/>
        <v>0</v>
      </c>
      <c r="EG182" s="539">
        <f t="shared" si="62"/>
        <v>0</v>
      </c>
    </row>
    <row r="183" spans="5:137" ht="12.75">
      <c r="E183" s="538" t="str">
        <f>E$163</f>
        <v>Senior facility - interest during construction</v>
      </c>
      <c r="G183" s="539" t="str">
        <f>G$163</f>
        <v>EUR 000s</v>
      </c>
      <c r="H183" s="539">
        <f>H$163</f>
        <v>7982.8454277911824</v>
      </c>
      <c r="J183" s="539">
        <f t="shared" si="63" ref="J183:EG183">J$163</f>
        <v>0</v>
      </c>
      <c r="K183" s="539">
        <f t="shared" si="63"/>
        <v>0</v>
      </c>
      <c r="L183" s="539">
        <f t="shared" si="63"/>
        <v>0</v>
      </c>
      <c r="M183" s="539">
        <f t="shared" si="63"/>
        <v>0</v>
      </c>
      <c r="N183" s="539">
        <f t="shared" si="63"/>
        <v>0</v>
      </c>
      <c r="O183" s="539">
        <f t="shared" si="63"/>
        <v>0</v>
      </c>
      <c r="P183" s="539">
        <f t="shared" si="63"/>
        <v>0</v>
      </c>
      <c r="Q183" s="539">
        <f t="shared" si="63"/>
        <v>0</v>
      </c>
      <c r="R183" s="539">
        <f t="shared" si="63"/>
        <v>0</v>
      </c>
      <c r="S183" s="539">
        <f t="shared" si="63"/>
        <v>6.4571769010774931</v>
      </c>
      <c r="T183" s="539">
        <f t="shared" si="63"/>
        <v>87.532151730484898</v>
      </c>
      <c r="U183" s="539">
        <f t="shared" si="63"/>
        <v>176.27449173244059</v>
      </c>
      <c r="V183" s="539">
        <f t="shared" si="63"/>
        <v>264.06701857745435</v>
      </c>
      <c r="W183" s="539">
        <f t="shared" si="63"/>
        <v>323.76929265933057</v>
      </c>
      <c r="X183" s="539">
        <f t="shared" si="63"/>
        <v>427.50625744865749</v>
      </c>
      <c r="Y183" s="539">
        <f t="shared" si="63"/>
        <v>484.85361927215251</v>
      </c>
      <c r="Z183" s="539">
        <f t="shared" si="63"/>
        <v>565.50519183740846</v>
      </c>
      <c r="AA183" s="539">
        <f t="shared" si="63"/>
        <v>605.58483615303555</v>
      </c>
      <c r="AB183" s="539">
        <f t="shared" si="63"/>
        <v>693.03563775632767</v>
      </c>
      <c r="AC183" s="539">
        <f t="shared" si="63"/>
        <v>763.77525629053366</v>
      </c>
      <c r="AD183" s="539">
        <f t="shared" si="63"/>
        <v>807.14181172230781</v>
      </c>
      <c r="AE183" s="539">
        <f t="shared" si="63"/>
        <v>898.13156244012794</v>
      </c>
      <c r="AF183" s="539">
        <f t="shared" si="63"/>
        <v>908.41328144889189</v>
      </c>
      <c r="AG183" s="539">
        <f t="shared" si="63"/>
        <v>970.79784182095091</v>
      </c>
      <c r="AH183" s="539">
        <f t="shared" si="63"/>
        <v>0</v>
      </c>
      <c r="AI183" s="539">
        <f t="shared" si="63"/>
        <v>0</v>
      </c>
      <c r="AJ183" s="539">
        <f t="shared" si="63"/>
        <v>0</v>
      </c>
      <c r="AK183" s="539">
        <f t="shared" si="63"/>
        <v>0</v>
      </c>
      <c r="AL183" s="539">
        <f t="shared" si="63"/>
        <v>0</v>
      </c>
      <c r="AM183" s="539">
        <f t="shared" si="63"/>
        <v>0</v>
      </c>
      <c r="AN183" s="539">
        <f t="shared" si="63"/>
        <v>0</v>
      </c>
      <c r="AO183" s="539">
        <f t="shared" si="63"/>
        <v>0</v>
      </c>
      <c r="AP183" s="539">
        <f t="shared" si="63"/>
        <v>0</v>
      </c>
      <c r="AQ183" s="539">
        <f t="shared" si="63"/>
        <v>0</v>
      </c>
      <c r="AR183" s="539">
        <f t="shared" si="63"/>
        <v>0</v>
      </c>
      <c r="AS183" s="539">
        <f t="shared" si="63"/>
        <v>0</v>
      </c>
      <c r="AT183" s="539">
        <f t="shared" si="63"/>
        <v>0</v>
      </c>
      <c r="AU183" s="539">
        <f t="shared" si="63"/>
        <v>0</v>
      </c>
      <c r="AV183" s="539">
        <f t="shared" si="63"/>
        <v>0</v>
      </c>
      <c r="AW183" s="539">
        <f t="shared" si="63"/>
        <v>0</v>
      </c>
      <c r="AX183" s="539">
        <f t="shared" si="63"/>
        <v>0</v>
      </c>
      <c r="AY183" s="539">
        <f t="shared" si="63"/>
        <v>0</v>
      </c>
      <c r="AZ183" s="539">
        <f t="shared" si="63"/>
        <v>0</v>
      </c>
      <c r="BA183" s="539">
        <f t="shared" si="63"/>
        <v>0</v>
      </c>
      <c r="BB183" s="539">
        <f t="shared" si="63"/>
        <v>0</v>
      </c>
      <c r="BC183" s="539">
        <f t="shared" si="63"/>
        <v>0</v>
      </c>
      <c r="BD183" s="539">
        <f t="shared" si="63"/>
        <v>0</v>
      </c>
      <c r="BE183" s="539">
        <f t="shared" si="63"/>
        <v>0</v>
      </c>
      <c r="BF183" s="539">
        <f t="shared" si="63"/>
        <v>0</v>
      </c>
      <c r="BG183" s="539">
        <f t="shared" si="63"/>
        <v>0</v>
      </c>
      <c r="BH183" s="539">
        <f t="shared" si="63"/>
        <v>0</v>
      </c>
      <c r="BI183" s="539">
        <f t="shared" si="63"/>
        <v>0</v>
      </c>
      <c r="BJ183" s="539">
        <f t="shared" si="63"/>
        <v>0</v>
      </c>
      <c r="BK183" s="539">
        <f t="shared" si="63"/>
        <v>0</v>
      </c>
      <c r="BL183" s="539">
        <f t="shared" si="63"/>
        <v>0</v>
      </c>
      <c r="BM183" s="539">
        <f t="shared" si="63"/>
        <v>0</v>
      </c>
      <c r="BN183" s="539">
        <f t="shared" si="63"/>
        <v>0</v>
      </c>
      <c r="BO183" s="539">
        <f t="shared" si="63"/>
        <v>0</v>
      </c>
      <c r="BP183" s="539">
        <f t="shared" si="63"/>
        <v>0</v>
      </c>
      <c r="BQ183" s="539">
        <f t="shared" si="63"/>
        <v>0</v>
      </c>
      <c r="BR183" s="539">
        <f t="shared" si="63"/>
        <v>0</v>
      </c>
      <c r="BS183" s="539">
        <f t="shared" si="63"/>
        <v>0</v>
      </c>
      <c r="BT183" s="539">
        <f t="shared" si="63"/>
        <v>0</v>
      </c>
      <c r="BU183" s="539">
        <f t="shared" si="63"/>
        <v>0</v>
      </c>
      <c r="BV183" s="539">
        <f t="shared" si="63"/>
        <v>0</v>
      </c>
      <c r="BW183" s="539">
        <f t="shared" si="63"/>
        <v>0</v>
      </c>
      <c r="BX183" s="539">
        <f t="shared" si="63"/>
        <v>0</v>
      </c>
      <c r="BY183" s="539">
        <f t="shared" si="63"/>
        <v>0</v>
      </c>
      <c r="BZ183" s="539">
        <f t="shared" si="63"/>
        <v>0</v>
      </c>
      <c r="CA183" s="539">
        <f t="shared" si="63"/>
        <v>0</v>
      </c>
      <c r="CB183" s="539">
        <f t="shared" si="63"/>
        <v>0</v>
      </c>
      <c r="CC183" s="539">
        <f t="shared" si="63"/>
        <v>0</v>
      </c>
      <c r="CD183" s="539">
        <f t="shared" si="63"/>
        <v>0</v>
      </c>
      <c r="CE183" s="539">
        <f t="shared" si="63"/>
        <v>0</v>
      </c>
      <c r="CF183" s="539">
        <f t="shared" si="63"/>
        <v>0</v>
      </c>
      <c r="CG183" s="539">
        <f t="shared" si="63"/>
        <v>0</v>
      </c>
      <c r="CH183" s="539">
        <f t="shared" si="63"/>
        <v>0</v>
      </c>
      <c r="CI183" s="539">
        <f t="shared" si="63"/>
        <v>0</v>
      </c>
      <c r="CJ183" s="539">
        <f t="shared" si="63"/>
        <v>0</v>
      </c>
      <c r="CK183" s="539">
        <f t="shared" si="63"/>
        <v>0</v>
      </c>
      <c r="CL183" s="539">
        <f t="shared" si="63"/>
        <v>0</v>
      </c>
      <c r="CM183" s="539">
        <f t="shared" si="63"/>
        <v>0</v>
      </c>
      <c r="CN183" s="539">
        <f t="shared" si="63"/>
        <v>0</v>
      </c>
      <c r="CO183" s="539">
        <f t="shared" si="63"/>
        <v>0</v>
      </c>
      <c r="CP183" s="539">
        <f t="shared" si="63"/>
        <v>0</v>
      </c>
      <c r="CQ183" s="539">
        <f t="shared" si="63"/>
        <v>0</v>
      </c>
      <c r="CR183" s="539">
        <f t="shared" si="63"/>
        <v>0</v>
      </c>
      <c r="CS183" s="539">
        <f t="shared" si="63"/>
        <v>0</v>
      </c>
      <c r="CT183" s="539">
        <f t="shared" si="63"/>
        <v>0</v>
      </c>
      <c r="CU183" s="539">
        <f t="shared" si="63"/>
        <v>0</v>
      </c>
      <c r="CV183" s="539">
        <f t="shared" si="63"/>
        <v>0</v>
      </c>
      <c r="CW183" s="539">
        <f t="shared" si="63"/>
        <v>0</v>
      </c>
      <c r="CX183" s="539">
        <f t="shared" si="63"/>
        <v>0</v>
      </c>
      <c r="CY183" s="539">
        <f t="shared" si="63"/>
        <v>0</v>
      </c>
      <c r="CZ183" s="539">
        <f t="shared" si="63"/>
        <v>0</v>
      </c>
      <c r="DA183" s="539">
        <f t="shared" si="63"/>
        <v>0</v>
      </c>
      <c r="DB183" s="539">
        <f t="shared" si="63"/>
        <v>0</v>
      </c>
      <c r="DC183" s="539">
        <f t="shared" si="63"/>
        <v>0</v>
      </c>
      <c r="DD183" s="539">
        <f t="shared" si="63"/>
        <v>0</v>
      </c>
      <c r="DE183" s="539">
        <f t="shared" si="63"/>
        <v>0</v>
      </c>
      <c r="DF183" s="539">
        <f t="shared" si="63"/>
        <v>0</v>
      </c>
      <c r="DG183" s="539">
        <f t="shared" si="63"/>
        <v>0</v>
      </c>
      <c r="DH183" s="539">
        <f t="shared" si="63"/>
        <v>0</v>
      </c>
      <c r="DI183" s="539">
        <f t="shared" si="63"/>
        <v>0</v>
      </c>
      <c r="DJ183" s="539">
        <f t="shared" si="63"/>
        <v>0</v>
      </c>
      <c r="DK183" s="539">
        <f t="shared" si="63"/>
        <v>0</v>
      </c>
      <c r="DL183" s="539">
        <f t="shared" si="63"/>
        <v>0</v>
      </c>
      <c r="DM183" s="539">
        <f t="shared" si="63"/>
        <v>0</v>
      </c>
      <c r="DN183" s="539">
        <f t="shared" si="63"/>
        <v>0</v>
      </c>
      <c r="DO183" s="539">
        <f t="shared" si="63"/>
        <v>0</v>
      </c>
      <c r="DP183" s="539">
        <f t="shared" si="63"/>
        <v>0</v>
      </c>
      <c r="DQ183" s="539">
        <f t="shared" si="63"/>
        <v>0</v>
      </c>
      <c r="DR183" s="539">
        <f t="shared" si="63"/>
        <v>0</v>
      </c>
      <c r="DS183" s="539">
        <f t="shared" si="63"/>
        <v>0</v>
      </c>
      <c r="DT183" s="539">
        <f t="shared" si="63"/>
        <v>0</v>
      </c>
      <c r="DU183" s="539">
        <f t="shared" si="63"/>
        <v>0</v>
      </c>
      <c r="DV183" s="539">
        <f t="shared" si="63"/>
        <v>0</v>
      </c>
      <c r="DW183" s="539">
        <f t="shared" si="63"/>
        <v>0</v>
      </c>
      <c r="DX183" s="539">
        <f t="shared" si="63"/>
        <v>0</v>
      </c>
      <c r="DY183" s="539">
        <f t="shared" si="63"/>
        <v>0</v>
      </c>
      <c r="DZ183" s="539">
        <f t="shared" si="63"/>
        <v>0</v>
      </c>
      <c r="EA183" s="539">
        <f t="shared" si="63"/>
        <v>0</v>
      </c>
      <c r="EB183" s="539">
        <f t="shared" si="63"/>
        <v>0</v>
      </c>
      <c r="EC183" s="539">
        <f t="shared" si="63"/>
        <v>0</v>
      </c>
      <c r="ED183" s="539">
        <f t="shared" si="63"/>
        <v>0</v>
      </c>
      <c r="EE183" s="539">
        <f t="shared" si="63"/>
        <v>0</v>
      </c>
      <c r="EF183" s="539">
        <f t="shared" si="63"/>
        <v>0</v>
      </c>
      <c r="EG183" s="539">
        <f t="shared" si="63"/>
        <v>0</v>
      </c>
    </row>
    <row r="184" spans="5:137" ht="12.75">
      <c r="E184" s="538" t="str">
        <f>E$179</f>
        <v>Financing fees - total</v>
      </c>
      <c r="G184" s="539" t="str">
        <f>G$179</f>
        <v>EUR 000s</v>
      </c>
      <c r="H184" s="539">
        <f>H$179</f>
        <v>4780.1382315306373</v>
      </c>
      <c r="J184" s="539">
        <f t="shared" si="64" ref="J184:EG184">J$179</f>
        <v>0</v>
      </c>
      <c r="K184" s="539">
        <f t="shared" si="64"/>
        <v>0</v>
      </c>
      <c r="L184" s="539">
        <f t="shared" si="64"/>
        <v>3319.2997186657749</v>
      </c>
      <c r="M184" s="539">
        <f t="shared" si="64"/>
        <v>109.12766198353233</v>
      </c>
      <c r="N184" s="539">
        <f t="shared" si="64"/>
        <v>112.76525071631674</v>
      </c>
      <c r="O184" s="539">
        <f t="shared" si="64"/>
        <v>109.12766198353233</v>
      </c>
      <c r="P184" s="539">
        <f t="shared" si="64"/>
        <v>112.76525071631674</v>
      </c>
      <c r="Q184" s="539">
        <f t="shared" si="64"/>
        <v>112.76525071631674</v>
      </c>
      <c r="R184" s="539">
        <f t="shared" si="64"/>
        <v>109.12766198353233</v>
      </c>
      <c r="S184" s="539">
        <f t="shared" si="64"/>
        <v>112.06083141801737</v>
      </c>
      <c r="T184" s="539">
        <f t="shared" si="64"/>
        <v>99.578699976570334</v>
      </c>
      <c r="U184" s="539">
        <f t="shared" si="64"/>
        <v>93.535306163686855</v>
      </c>
      <c r="V184" s="539">
        <f t="shared" si="64"/>
        <v>83.957939598776278</v>
      </c>
      <c r="W184" s="539">
        <f t="shared" si="64"/>
        <v>70.169786778820949</v>
      </c>
      <c r="X184" s="539">
        <f t="shared" si="64"/>
        <v>66.128204449190463</v>
      </c>
      <c r="Y184" s="539">
        <f t="shared" si="64"/>
        <v>56.234539881115687</v>
      </c>
      <c r="Z184" s="539">
        <f t="shared" si="64"/>
        <v>51.073775243144908</v>
      </c>
      <c r="AA184" s="539">
        <f t="shared" si="64"/>
        <v>43.06386167592845</v>
      </c>
      <c r="AB184" s="539">
        <f t="shared" si="64"/>
        <v>37.161362961081004</v>
      </c>
      <c r="AC184" s="539">
        <f t="shared" si="64"/>
        <v>29.444313666440351</v>
      </c>
      <c r="AD184" s="539">
        <f t="shared" si="64"/>
        <v>21.075827977462392</v>
      </c>
      <c r="AE184" s="539">
        <f t="shared" si="64"/>
        <v>14.787262086484603</v>
      </c>
      <c r="AF184" s="539">
        <f t="shared" si="64"/>
        <v>10.028031280016851</v>
      </c>
      <c r="AG184" s="539">
        <f t="shared" si="64"/>
        <v>6.8600316085766471</v>
      </c>
      <c r="AH184" s="539">
        <f t="shared" si="64"/>
        <v>0</v>
      </c>
      <c r="AI184" s="539">
        <f t="shared" si="64"/>
        <v>0</v>
      </c>
      <c r="AJ184" s="539">
        <f t="shared" si="64"/>
        <v>0</v>
      </c>
      <c r="AK184" s="539">
        <f t="shared" si="64"/>
        <v>0</v>
      </c>
      <c r="AL184" s="539">
        <f t="shared" si="64"/>
        <v>0</v>
      </c>
      <c r="AM184" s="539">
        <f t="shared" si="64"/>
        <v>0</v>
      </c>
      <c r="AN184" s="539">
        <f t="shared" si="64"/>
        <v>0</v>
      </c>
      <c r="AO184" s="539">
        <f t="shared" si="64"/>
        <v>0</v>
      </c>
      <c r="AP184" s="539">
        <f t="shared" si="64"/>
        <v>0</v>
      </c>
      <c r="AQ184" s="539">
        <f t="shared" si="64"/>
        <v>0</v>
      </c>
      <c r="AR184" s="539">
        <f t="shared" si="64"/>
        <v>0</v>
      </c>
      <c r="AS184" s="539">
        <f t="shared" si="64"/>
        <v>0</v>
      </c>
      <c r="AT184" s="539">
        <f t="shared" si="64"/>
        <v>0</v>
      </c>
      <c r="AU184" s="539">
        <f t="shared" si="64"/>
        <v>0</v>
      </c>
      <c r="AV184" s="539">
        <f t="shared" si="64"/>
        <v>0</v>
      </c>
      <c r="AW184" s="539">
        <f t="shared" si="64"/>
        <v>0</v>
      </c>
      <c r="AX184" s="539">
        <f t="shared" si="64"/>
        <v>0</v>
      </c>
      <c r="AY184" s="539">
        <f t="shared" si="64"/>
        <v>0</v>
      </c>
      <c r="AZ184" s="539">
        <f t="shared" si="64"/>
        <v>0</v>
      </c>
      <c r="BA184" s="539">
        <f t="shared" si="64"/>
        <v>0</v>
      </c>
      <c r="BB184" s="539">
        <f t="shared" si="64"/>
        <v>0</v>
      </c>
      <c r="BC184" s="539">
        <f t="shared" si="64"/>
        <v>0</v>
      </c>
      <c r="BD184" s="539">
        <f t="shared" si="64"/>
        <v>0</v>
      </c>
      <c r="BE184" s="539">
        <f t="shared" si="64"/>
        <v>0</v>
      </c>
      <c r="BF184" s="539">
        <f t="shared" si="64"/>
        <v>0</v>
      </c>
      <c r="BG184" s="539">
        <f t="shared" si="64"/>
        <v>0</v>
      </c>
      <c r="BH184" s="539">
        <f t="shared" si="64"/>
        <v>0</v>
      </c>
      <c r="BI184" s="539">
        <f t="shared" si="64"/>
        <v>0</v>
      </c>
      <c r="BJ184" s="539">
        <f t="shared" si="64"/>
        <v>0</v>
      </c>
      <c r="BK184" s="539">
        <f t="shared" si="64"/>
        <v>0</v>
      </c>
      <c r="BL184" s="539">
        <f t="shared" si="64"/>
        <v>0</v>
      </c>
      <c r="BM184" s="539">
        <f t="shared" si="64"/>
        <v>0</v>
      </c>
      <c r="BN184" s="539">
        <f t="shared" si="64"/>
        <v>0</v>
      </c>
      <c r="BO184" s="539">
        <f t="shared" si="64"/>
        <v>0</v>
      </c>
      <c r="BP184" s="539">
        <f t="shared" si="64"/>
        <v>0</v>
      </c>
      <c r="BQ184" s="539">
        <f t="shared" si="64"/>
        <v>0</v>
      </c>
      <c r="BR184" s="539">
        <f t="shared" si="64"/>
        <v>0</v>
      </c>
      <c r="BS184" s="539">
        <f t="shared" si="64"/>
        <v>0</v>
      </c>
      <c r="BT184" s="539">
        <f t="shared" si="64"/>
        <v>0</v>
      </c>
      <c r="BU184" s="539">
        <f t="shared" si="64"/>
        <v>0</v>
      </c>
      <c r="BV184" s="539">
        <f t="shared" si="64"/>
        <v>0</v>
      </c>
      <c r="BW184" s="539">
        <f t="shared" si="64"/>
        <v>0</v>
      </c>
      <c r="BX184" s="539">
        <f t="shared" si="64"/>
        <v>0</v>
      </c>
      <c r="BY184" s="539">
        <f t="shared" si="64"/>
        <v>0</v>
      </c>
      <c r="BZ184" s="539">
        <f t="shared" si="64"/>
        <v>0</v>
      </c>
      <c r="CA184" s="539">
        <f t="shared" si="64"/>
        <v>0</v>
      </c>
      <c r="CB184" s="539">
        <f t="shared" si="64"/>
        <v>0</v>
      </c>
      <c r="CC184" s="539">
        <f t="shared" si="64"/>
        <v>0</v>
      </c>
      <c r="CD184" s="539">
        <f t="shared" si="64"/>
        <v>0</v>
      </c>
      <c r="CE184" s="539">
        <f t="shared" si="64"/>
        <v>0</v>
      </c>
      <c r="CF184" s="539">
        <f t="shared" si="64"/>
        <v>0</v>
      </c>
      <c r="CG184" s="539">
        <f t="shared" si="64"/>
        <v>0</v>
      </c>
      <c r="CH184" s="539">
        <f t="shared" si="64"/>
        <v>0</v>
      </c>
      <c r="CI184" s="539">
        <f t="shared" si="64"/>
        <v>0</v>
      </c>
      <c r="CJ184" s="539">
        <f t="shared" si="64"/>
        <v>0</v>
      </c>
      <c r="CK184" s="539">
        <f t="shared" si="64"/>
        <v>0</v>
      </c>
      <c r="CL184" s="539">
        <f t="shared" si="64"/>
        <v>0</v>
      </c>
      <c r="CM184" s="539">
        <f t="shared" si="64"/>
        <v>0</v>
      </c>
      <c r="CN184" s="539">
        <f t="shared" si="64"/>
        <v>0</v>
      </c>
      <c r="CO184" s="539">
        <f t="shared" si="64"/>
        <v>0</v>
      </c>
      <c r="CP184" s="539">
        <f t="shared" si="64"/>
        <v>0</v>
      </c>
      <c r="CQ184" s="539">
        <f t="shared" si="64"/>
        <v>0</v>
      </c>
      <c r="CR184" s="539">
        <f t="shared" si="64"/>
        <v>0</v>
      </c>
      <c r="CS184" s="539">
        <f t="shared" si="64"/>
        <v>0</v>
      </c>
      <c r="CT184" s="539">
        <f t="shared" si="64"/>
        <v>0</v>
      </c>
      <c r="CU184" s="539">
        <f t="shared" si="64"/>
        <v>0</v>
      </c>
      <c r="CV184" s="539">
        <f t="shared" si="64"/>
        <v>0</v>
      </c>
      <c r="CW184" s="539">
        <f t="shared" si="64"/>
        <v>0</v>
      </c>
      <c r="CX184" s="539">
        <f t="shared" si="64"/>
        <v>0</v>
      </c>
      <c r="CY184" s="539">
        <f t="shared" si="64"/>
        <v>0</v>
      </c>
      <c r="CZ184" s="539">
        <f t="shared" si="64"/>
        <v>0</v>
      </c>
      <c r="DA184" s="539">
        <f t="shared" si="64"/>
        <v>0</v>
      </c>
      <c r="DB184" s="539">
        <f t="shared" si="64"/>
        <v>0</v>
      </c>
      <c r="DC184" s="539">
        <f t="shared" si="64"/>
        <v>0</v>
      </c>
      <c r="DD184" s="539">
        <f t="shared" si="64"/>
        <v>0</v>
      </c>
      <c r="DE184" s="539">
        <f t="shared" si="64"/>
        <v>0</v>
      </c>
      <c r="DF184" s="539">
        <f t="shared" si="64"/>
        <v>0</v>
      </c>
      <c r="DG184" s="539">
        <f t="shared" si="64"/>
        <v>0</v>
      </c>
      <c r="DH184" s="539">
        <f t="shared" si="64"/>
        <v>0</v>
      </c>
      <c r="DI184" s="539">
        <f t="shared" si="64"/>
        <v>0</v>
      </c>
      <c r="DJ184" s="539">
        <f t="shared" si="64"/>
        <v>0</v>
      </c>
      <c r="DK184" s="539">
        <f t="shared" si="64"/>
        <v>0</v>
      </c>
      <c r="DL184" s="539">
        <f t="shared" si="64"/>
        <v>0</v>
      </c>
      <c r="DM184" s="539">
        <f t="shared" si="64"/>
        <v>0</v>
      </c>
      <c r="DN184" s="539">
        <f t="shared" si="64"/>
        <v>0</v>
      </c>
      <c r="DO184" s="539">
        <f t="shared" si="64"/>
        <v>0</v>
      </c>
      <c r="DP184" s="539">
        <f t="shared" si="64"/>
        <v>0</v>
      </c>
      <c r="DQ184" s="539">
        <f t="shared" si="64"/>
        <v>0</v>
      </c>
      <c r="DR184" s="539">
        <f t="shared" si="64"/>
        <v>0</v>
      </c>
      <c r="DS184" s="539">
        <f t="shared" si="64"/>
        <v>0</v>
      </c>
      <c r="DT184" s="539">
        <f t="shared" si="64"/>
        <v>0</v>
      </c>
      <c r="DU184" s="539">
        <f t="shared" si="64"/>
        <v>0</v>
      </c>
      <c r="DV184" s="539">
        <f t="shared" si="64"/>
        <v>0</v>
      </c>
      <c r="DW184" s="539">
        <f t="shared" si="64"/>
        <v>0</v>
      </c>
      <c r="DX184" s="539">
        <f t="shared" si="64"/>
        <v>0</v>
      </c>
      <c r="DY184" s="539">
        <f t="shared" si="64"/>
        <v>0</v>
      </c>
      <c r="DZ184" s="539">
        <f t="shared" si="64"/>
        <v>0</v>
      </c>
      <c r="EA184" s="539">
        <f t="shared" si="64"/>
        <v>0</v>
      </c>
      <c r="EB184" s="539">
        <f t="shared" si="64"/>
        <v>0</v>
      </c>
      <c r="EC184" s="539">
        <f t="shared" si="64"/>
        <v>0</v>
      </c>
      <c r="ED184" s="539">
        <f t="shared" si="64"/>
        <v>0</v>
      </c>
      <c r="EE184" s="539">
        <f t="shared" si="64"/>
        <v>0</v>
      </c>
      <c r="EF184" s="539">
        <f t="shared" si="64"/>
        <v>0</v>
      </c>
      <c r="EG184" s="539">
        <f t="shared" si="64"/>
        <v>0</v>
      </c>
    </row>
    <row r="185" spans="5:137" ht="12.75">
      <c r="E185" s="540" t="s">
        <v>242</v>
      </c>
      <c r="G185" s="541" t="s">
        <v>30</v>
      </c>
      <c r="H185" s="541">
        <f>SUM(J185:EG185)</f>
        <v>16238.00811257573</v>
      </c>
      <c r="J185" s="541">
        <f t="shared" si="65" ref="J185:EG185">J183+J181+J184+J182</f>
        <v>0</v>
      </c>
      <c r="K185" s="541">
        <f t="shared" si="65"/>
        <v>0</v>
      </c>
      <c r="L185" s="541">
        <f t="shared" si="65"/>
        <v>3319.2997186657749</v>
      </c>
      <c r="M185" s="541">
        <f t="shared" si="65"/>
        <v>109.12766198353233</v>
      </c>
      <c r="N185" s="541">
        <f t="shared" si="65"/>
        <v>121.79623016837154</v>
      </c>
      <c r="O185" s="541">
        <f t="shared" si="65"/>
        <v>126.82273047668302</v>
      </c>
      <c r="P185" s="541">
        <f t="shared" si="65"/>
        <v>140.08113427796059</v>
      </c>
      <c r="Q185" s="541">
        <f t="shared" si="65"/>
        <v>140.30407948344003</v>
      </c>
      <c r="R185" s="541">
        <f t="shared" si="65"/>
        <v>206.01583186568772</v>
      </c>
      <c r="S185" s="541">
        <f t="shared" si="65"/>
        <v>341.62601566252641</v>
      </c>
      <c r="T185" s="541">
        <f t="shared" si="65"/>
        <v>405.66480600759223</v>
      </c>
      <c r="U185" s="541">
        <f t="shared" si="65"/>
        <v>498.82585318476447</v>
      </c>
      <c r="V185" s="541">
        <f t="shared" si="65"/>
        <v>577.96066243747043</v>
      </c>
      <c r="W185" s="541">
        <f t="shared" si="65"/>
        <v>608.6230988464788</v>
      </c>
      <c r="X185" s="541">
        <f t="shared" si="65"/>
        <v>722.34396752895066</v>
      </c>
      <c r="Y185" s="541">
        <f t="shared" si="65"/>
        <v>760.26240454969547</v>
      </c>
      <c r="Z185" s="541">
        <f t="shared" si="65"/>
        <v>840.38367819110817</v>
      </c>
      <c r="AA185" s="541">
        <f t="shared" si="65"/>
        <v>862.10547747196665</v>
      </c>
      <c r="AB185" s="541">
        <f t="shared" si="65"/>
        <v>949.76575292385382</v>
      </c>
      <c r="AC185" s="541">
        <f t="shared" si="65"/>
        <v>1013.5686303825973</v>
      </c>
      <c r="AD185" s="541">
        <f t="shared" si="65"/>
        <v>1042.7531864660605</v>
      </c>
      <c r="AE185" s="541">
        <f t="shared" si="65"/>
        <v>1134.0203250207289</v>
      </c>
      <c r="AF185" s="541">
        <f t="shared" si="65"/>
        <v>1128.0414999061579</v>
      </c>
      <c r="AG185" s="541">
        <f t="shared" si="65"/>
        <v>1188.615367074329</v>
      </c>
      <c r="AH185" s="541">
        <f t="shared" si="65"/>
        <v>0</v>
      </c>
      <c r="AI185" s="541">
        <f t="shared" si="65"/>
        <v>0</v>
      </c>
      <c r="AJ185" s="541">
        <f t="shared" si="65"/>
        <v>0</v>
      </c>
      <c r="AK185" s="541">
        <f t="shared" si="65"/>
        <v>0</v>
      </c>
      <c r="AL185" s="541">
        <f t="shared" si="65"/>
        <v>0</v>
      </c>
      <c r="AM185" s="541">
        <f t="shared" si="65"/>
        <v>0</v>
      </c>
      <c r="AN185" s="541">
        <f t="shared" si="65"/>
        <v>0</v>
      </c>
      <c r="AO185" s="541">
        <f t="shared" si="65"/>
        <v>0</v>
      </c>
      <c r="AP185" s="541">
        <f t="shared" si="65"/>
        <v>0</v>
      </c>
      <c r="AQ185" s="541">
        <f t="shared" si="65"/>
        <v>0</v>
      </c>
      <c r="AR185" s="541">
        <f t="shared" si="65"/>
        <v>0</v>
      </c>
      <c r="AS185" s="541">
        <f t="shared" si="65"/>
        <v>0</v>
      </c>
      <c r="AT185" s="541">
        <f t="shared" si="65"/>
        <v>0</v>
      </c>
      <c r="AU185" s="541">
        <f t="shared" si="65"/>
        <v>0</v>
      </c>
      <c r="AV185" s="541">
        <f t="shared" si="65"/>
        <v>0</v>
      </c>
      <c r="AW185" s="541">
        <f t="shared" si="65"/>
        <v>0</v>
      </c>
      <c r="AX185" s="541">
        <f t="shared" si="65"/>
        <v>0</v>
      </c>
      <c r="AY185" s="541">
        <f t="shared" si="65"/>
        <v>0</v>
      </c>
      <c r="AZ185" s="541">
        <f t="shared" si="65"/>
        <v>0</v>
      </c>
      <c r="BA185" s="541">
        <f t="shared" si="65"/>
        <v>0</v>
      </c>
      <c r="BB185" s="541">
        <f t="shared" si="65"/>
        <v>0</v>
      </c>
      <c r="BC185" s="541">
        <f t="shared" si="65"/>
        <v>0</v>
      </c>
      <c r="BD185" s="541">
        <f t="shared" si="65"/>
        <v>0</v>
      </c>
      <c r="BE185" s="541">
        <f t="shared" si="65"/>
        <v>0</v>
      </c>
      <c r="BF185" s="541">
        <f t="shared" si="65"/>
        <v>0</v>
      </c>
      <c r="BG185" s="541">
        <f t="shared" si="65"/>
        <v>0</v>
      </c>
      <c r="BH185" s="541">
        <f t="shared" si="65"/>
        <v>0</v>
      </c>
      <c r="BI185" s="541">
        <f t="shared" si="65"/>
        <v>0</v>
      </c>
      <c r="BJ185" s="541">
        <f t="shared" si="65"/>
        <v>0</v>
      </c>
      <c r="BK185" s="541">
        <f t="shared" si="65"/>
        <v>0</v>
      </c>
      <c r="BL185" s="541">
        <f t="shared" si="65"/>
        <v>0</v>
      </c>
      <c r="BM185" s="541">
        <f t="shared" si="65"/>
        <v>0</v>
      </c>
      <c r="BN185" s="541">
        <f t="shared" si="65"/>
        <v>0</v>
      </c>
      <c r="BO185" s="541">
        <f t="shared" si="65"/>
        <v>0</v>
      </c>
      <c r="BP185" s="541">
        <f t="shared" si="65"/>
        <v>0</v>
      </c>
      <c r="BQ185" s="541">
        <f t="shared" si="65"/>
        <v>0</v>
      </c>
      <c r="BR185" s="541">
        <f t="shared" si="65"/>
        <v>0</v>
      </c>
      <c r="BS185" s="541">
        <f t="shared" si="65"/>
        <v>0</v>
      </c>
      <c r="BT185" s="541">
        <f t="shared" si="65"/>
        <v>0</v>
      </c>
      <c r="BU185" s="541">
        <f t="shared" si="65"/>
        <v>0</v>
      </c>
      <c r="BV185" s="541">
        <f t="shared" si="65"/>
        <v>0</v>
      </c>
      <c r="BW185" s="541">
        <f t="shared" si="65"/>
        <v>0</v>
      </c>
      <c r="BX185" s="541">
        <f t="shared" si="65"/>
        <v>0</v>
      </c>
      <c r="BY185" s="541">
        <f t="shared" si="65"/>
        <v>0</v>
      </c>
      <c r="BZ185" s="541">
        <f t="shared" si="65"/>
        <v>0</v>
      </c>
      <c r="CA185" s="541">
        <f t="shared" si="65"/>
        <v>0</v>
      </c>
      <c r="CB185" s="541">
        <f t="shared" si="65"/>
        <v>0</v>
      </c>
      <c r="CC185" s="541">
        <f t="shared" si="65"/>
        <v>0</v>
      </c>
      <c r="CD185" s="541">
        <f t="shared" si="65"/>
        <v>0</v>
      </c>
      <c r="CE185" s="541">
        <f t="shared" si="65"/>
        <v>0</v>
      </c>
      <c r="CF185" s="541">
        <f t="shared" si="65"/>
        <v>0</v>
      </c>
      <c r="CG185" s="541">
        <f t="shared" si="65"/>
        <v>0</v>
      </c>
      <c r="CH185" s="541">
        <f t="shared" si="65"/>
        <v>0</v>
      </c>
      <c r="CI185" s="541">
        <f t="shared" si="65"/>
        <v>0</v>
      </c>
      <c r="CJ185" s="541">
        <f t="shared" si="65"/>
        <v>0</v>
      </c>
      <c r="CK185" s="541">
        <f t="shared" si="65"/>
        <v>0</v>
      </c>
      <c r="CL185" s="541">
        <f t="shared" si="65"/>
        <v>0</v>
      </c>
      <c r="CM185" s="541">
        <f t="shared" si="65"/>
        <v>0</v>
      </c>
      <c r="CN185" s="541">
        <f t="shared" si="65"/>
        <v>0</v>
      </c>
      <c r="CO185" s="541">
        <f t="shared" si="65"/>
        <v>0</v>
      </c>
      <c r="CP185" s="541">
        <f t="shared" si="65"/>
        <v>0</v>
      </c>
      <c r="CQ185" s="541">
        <f t="shared" si="65"/>
        <v>0</v>
      </c>
      <c r="CR185" s="541">
        <f t="shared" si="65"/>
        <v>0</v>
      </c>
      <c r="CS185" s="541">
        <f t="shared" si="65"/>
        <v>0</v>
      </c>
      <c r="CT185" s="541">
        <f t="shared" si="65"/>
        <v>0</v>
      </c>
      <c r="CU185" s="541">
        <f t="shared" si="65"/>
        <v>0</v>
      </c>
      <c r="CV185" s="541">
        <f t="shared" si="65"/>
        <v>0</v>
      </c>
      <c r="CW185" s="541">
        <f t="shared" si="65"/>
        <v>0</v>
      </c>
      <c r="CX185" s="541">
        <f t="shared" si="65"/>
        <v>0</v>
      </c>
      <c r="CY185" s="541">
        <f t="shared" si="65"/>
        <v>0</v>
      </c>
      <c r="CZ185" s="541">
        <f t="shared" si="65"/>
        <v>0</v>
      </c>
      <c r="DA185" s="541">
        <f t="shared" si="65"/>
        <v>0</v>
      </c>
      <c r="DB185" s="541">
        <f t="shared" si="65"/>
        <v>0</v>
      </c>
      <c r="DC185" s="541">
        <f t="shared" si="65"/>
        <v>0</v>
      </c>
      <c r="DD185" s="541">
        <f t="shared" si="65"/>
        <v>0</v>
      </c>
      <c r="DE185" s="541">
        <f t="shared" si="65"/>
        <v>0</v>
      </c>
      <c r="DF185" s="541">
        <f t="shared" si="65"/>
        <v>0</v>
      </c>
      <c r="DG185" s="541">
        <f t="shared" si="65"/>
        <v>0</v>
      </c>
      <c r="DH185" s="541">
        <f t="shared" si="65"/>
        <v>0</v>
      </c>
      <c r="DI185" s="541">
        <f t="shared" si="65"/>
        <v>0</v>
      </c>
      <c r="DJ185" s="541">
        <f t="shared" si="65"/>
        <v>0</v>
      </c>
      <c r="DK185" s="541">
        <f t="shared" si="65"/>
        <v>0</v>
      </c>
      <c r="DL185" s="541">
        <f t="shared" si="65"/>
        <v>0</v>
      </c>
      <c r="DM185" s="541">
        <f t="shared" si="65"/>
        <v>0</v>
      </c>
      <c r="DN185" s="541">
        <f t="shared" si="65"/>
        <v>0</v>
      </c>
      <c r="DO185" s="541">
        <f t="shared" si="65"/>
        <v>0</v>
      </c>
      <c r="DP185" s="541">
        <f t="shared" si="65"/>
        <v>0</v>
      </c>
      <c r="DQ185" s="541">
        <f t="shared" si="65"/>
        <v>0</v>
      </c>
      <c r="DR185" s="541">
        <f t="shared" si="65"/>
        <v>0</v>
      </c>
      <c r="DS185" s="541">
        <f t="shared" si="65"/>
        <v>0</v>
      </c>
      <c r="DT185" s="541">
        <f t="shared" si="65"/>
        <v>0</v>
      </c>
      <c r="DU185" s="541">
        <f t="shared" si="65"/>
        <v>0</v>
      </c>
      <c r="DV185" s="541">
        <f t="shared" si="65"/>
        <v>0</v>
      </c>
      <c r="DW185" s="541">
        <f t="shared" si="65"/>
        <v>0</v>
      </c>
      <c r="DX185" s="541">
        <f t="shared" si="65"/>
        <v>0</v>
      </c>
      <c r="DY185" s="541">
        <f t="shared" si="65"/>
        <v>0</v>
      </c>
      <c r="DZ185" s="541">
        <f t="shared" si="65"/>
        <v>0</v>
      </c>
      <c r="EA185" s="541">
        <f t="shared" si="65"/>
        <v>0</v>
      </c>
      <c r="EB185" s="541">
        <f t="shared" si="65"/>
        <v>0</v>
      </c>
      <c r="EC185" s="541">
        <f t="shared" si="65"/>
        <v>0</v>
      </c>
      <c r="ED185" s="541">
        <f t="shared" si="65"/>
        <v>0</v>
      </c>
      <c r="EE185" s="541">
        <f t="shared" si="65"/>
        <v>0</v>
      </c>
      <c r="EF185" s="541">
        <f t="shared" si="65"/>
        <v>0</v>
      </c>
      <c r="EG185" s="541">
        <f t="shared" si="65"/>
        <v>0</v>
      </c>
    </row>
    <row r="187" spans="5:137" ht="12.75">
      <c r="E187" s="535" t="str">
        <f>Reserves!E$23</f>
        <v>DSRA - initial funding at construction end</v>
      </c>
      <c r="G187" s="537" t="str">
        <f>Reserves!G$23</f>
        <v>EUR 000s</v>
      </c>
      <c r="H187" s="537">
        <f>Reserves!H$23</f>
        <v>8333.2746174985332</v>
      </c>
      <c r="J187" s="537">
        <f>Reserves!J$23</f>
        <v>0</v>
      </c>
      <c r="K187" s="537">
        <f>Reserves!K$23</f>
        <v>0</v>
      </c>
      <c r="L187" s="537">
        <f>Reserves!L$23</f>
        <v>0</v>
      </c>
      <c r="M187" s="537">
        <f>Reserves!M$23</f>
        <v>0</v>
      </c>
      <c r="N187" s="537">
        <f>Reserves!N$23</f>
        <v>0</v>
      </c>
      <c r="O187" s="537">
        <f>Reserves!O$23</f>
        <v>0</v>
      </c>
      <c r="P187" s="537">
        <f>Reserves!P$23</f>
        <v>0</v>
      </c>
      <c r="Q187" s="537">
        <f>Reserves!Q$23</f>
        <v>0</v>
      </c>
      <c r="R187" s="537">
        <f>Reserves!R$23</f>
        <v>0</v>
      </c>
      <c r="S187" s="537">
        <f>Reserves!S$23</f>
        <v>0</v>
      </c>
      <c r="T187" s="537">
        <f>Reserves!T$23</f>
        <v>0</v>
      </c>
      <c r="U187" s="537">
        <f>Reserves!U$23</f>
        <v>0</v>
      </c>
      <c r="V187" s="537">
        <f>Reserves!V$23</f>
        <v>0</v>
      </c>
      <c r="W187" s="537">
        <f>Reserves!W$23</f>
        <v>0</v>
      </c>
      <c r="X187" s="537">
        <f>Reserves!X$23</f>
        <v>0</v>
      </c>
      <c r="Y187" s="537">
        <f>Reserves!Y$23</f>
        <v>0</v>
      </c>
      <c r="Z187" s="537">
        <f>Reserves!Z$23</f>
        <v>0</v>
      </c>
      <c r="AA187" s="537">
        <f>Reserves!AA$23</f>
        <v>0</v>
      </c>
      <c r="AB187" s="537">
        <f>Reserves!AB$23</f>
        <v>0</v>
      </c>
      <c r="AC187" s="537">
        <f>Reserves!AC$23</f>
        <v>0</v>
      </c>
      <c r="AD187" s="537">
        <f>Reserves!AD$23</f>
        <v>0</v>
      </c>
      <c r="AE187" s="537">
        <f>Reserves!AE$23</f>
        <v>0</v>
      </c>
      <c r="AF187" s="537">
        <f>Reserves!AF$23</f>
        <v>0</v>
      </c>
      <c r="AG187" s="537">
        <f>Reserves!AG$23</f>
        <v>8333.2746174985332</v>
      </c>
      <c r="AH187" s="537">
        <f>Reserves!AH$23</f>
        <v>0</v>
      </c>
      <c r="AI187" s="537">
        <f>Reserves!AI$23</f>
        <v>0</v>
      </c>
      <c r="AJ187" s="537">
        <f>Reserves!AJ$23</f>
        <v>0</v>
      </c>
      <c r="AK187" s="537">
        <f>Reserves!AK$23</f>
        <v>0</v>
      </c>
      <c r="AL187" s="537">
        <f>Reserves!AL$23</f>
        <v>0</v>
      </c>
      <c r="AM187" s="537">
        <f>Reserves!AM$23</f>
        <v>0</v>
      </c>
      <c r="AN187" s="537">
        <f>Reserves!AN$23</f>
        <v>0</v>
      </c>
      <c r="AO187" s="537">
        <f>Reserves!AO$23</f>
        <v>0</v>
      </c>
      <c r="AP187" s="537">
        <f>Reserves!AP$23</f>
        <v>0</v>
      </c>
      <c r="AQ187" s="537">
        <f>Reserves!AQ$23</f>
        <v>0</v>
      </c>
      <c r="AR187" s="537">
        <f>Reserves!AR$23</f>
        <v>0</v>
      </c>
      <c r="AS187" s="537">
        <f>Reserves!AS$23</f>
        <v>0</v>
      </c>
      <c r="AT187" s="537">
        <f>Reserves!AT$23</f>
        <v>0</v>
      </c>
      <c r="AU187" s="537">
        <f>Reserves!AU$23</f>
        <v>0</v>
      </c>
      <c r="AV187" s="537">
        <f>Reserves!AV$23</f>
        <v>0</v>
      </c>
      <c r="AW187" s="537">
        <f>Reserves!AW$23</f>
        <v>0</v>
      </c>
      <c r="AX187" s="537">
        <f>Reserves!AX$23</f>
        <v>0</v>
      </c>
      <c r="AY187" s="537">
        <f>Reserves!AY$23</f>
        <v>0</v>
      </c>
      <c r="AZ187" s="537">
        <f>Reserves!AZ$23</f>
        <v>0</v>
      </c>
      <c r="BA187" s="537">
        <f>Reserves!BA$23</f>
        <v>0</v>
      </c>
      <c r="BB187" s="537">
        <f>Reserves!BB$23</f>
        <v>0</v>
      </c>
      <c r="BC187" s="537">
        <f>Reserves!BC$23</f>
        <v>0</v>
      </c>
      <c r="BD187" s="537">
        <f>Reserves!BD$23</f>
        <v>0</v>
      </c>
      <c r="BE187" s="537">
        <f>Reserves!BE$23</f>
        <v>0</v>
      </c>
      <c r="BF187" s="537">
        <f>Reserves!BF$23</f>
        <v>0</v>
      </c>
      <c r="BG187" s="537">
        <f>Reserves!BG$23</f>
        <v>0</v>
      </c>
      <c r="BH187" s="537">
        <f>Reserves!BH$23</f>
        <v>0</v>
      </c>
      <c r="BI187" s="537">
        <f>Reserves!BI$23</f>
        <v>0</v>
      </c>
      <c r="BJ187" s="537">
        <f>Reserves!BJ$23</f>
        <v>0</v>
      </c>
      <c r="BK187" s="537">
        <f>Reserves!BK$23</f>
        <v>0</v>
      </c>
      <c r="BL187" s="537">
        <f>Reserves!BL$23</f>
        <v>0</v>
      </c>
      <c r="BM187" s="537">
        <f>Reserves!BM$23</f>
        <v>0</v>
      </c>
      <c r="BN187" s="537">
        <f>Reserves!BN$23</f>
        <v>0</v>
      </c>
      <c r="BO187" s="537">
        <f>Reserves!BO$23</f>
        <v>0</v>
      </c>
      <c r="BP187" s="537">
        <f>Reserves!BP$23</f>
        <v>0</v>
      </c>
      <c r="BQ187" s="537">
        <f>Reserves!BQ$23</f>
        <v>0</v>
      </c>
      <c r="BR187" s="537">
        <f>Reserves!BR$23</f>
        <v>0</v>
      </c>
      <c r="BS187" s="537">
        <f>Reserves!BS$23</f>
        <v>0</v>
      </c>
      <c r="BT187" s="537">
        <f>Reserves!BT$23</f>
        <v>0</v>
      </c>
      <c r="BU187" s="537">
        <f>Reserves!BU$23</f>
        <v>0</v>
      </c>
      <c r="BV187" s="537">
        <f>Reserves!BV$23</f>
        <v>0</v>
      </c>
      <c r="BW187" s="537">
        <f>Reserves!BW$23</f>
        <v>0</v>
      </c>
      <c r="BX187" s="537">
        <f>Reserves!BX$23</f>
        <v>0</v>
      </c>
      <c r="BY187" s="537">
        <f>Reserves!BY$23</f>
        <v>0</v>
      </c>
      <c r="BZ187" s="537">
        <f>Reserves!BZ$23</f>
        <v>0</v>
      </c>
      <c r="CA187" s="537">
        <f>Reserves!CA$23</f>
        <v>0</v>
      </c>
      <c r="CB187" s="537">
        <f>Reserves!CB$23</f>
        <v>0</v>
      </c>
      <c r="CC187" s="537">
        <f>Reserves!CC$23</f>
        <v>0</v>
      </c>
      <c r="CD187" s="537">
        <f>Reserves!CD$23</f>
        <v>0</v>
      </c>
      <c r="CE187" s="537">
        <f>Reserves!CE$23</f>
        <v>0</v>
      </c>
      <c r="CF187" s="537">
        <f>Reserves!CF$23</f>
        <v>0</v>
      </c>
      <c r="CG187" s="537">
        <f>Reserves!CG$23</f>
        <v>0</v>
      </c>
      <c r="CH187" s="537">
        <f>Reserves!CH$23</f>
        <v>0</v>
      </c>
      <c r="CI187" s="537">
        <f>Reserves!CI$23</f>
        <v>0</v>
      </c>
      <c r="CJ187" s="537">
        <f>Reserves!CJ$23</f>
        <v>0</v>
      </c>
      <c r="CK187" s="537">
        <f>Reserves!CK$23</f>
        <v>0</v>
      </c>
      <c r="CL187" s="537">
        <f>Reserves!CL$23</f>
        <v>0</v>
      </c>
      <c r="CM187" s="537">
        <f>Reserves!CM$23</f>
        <v>0</v>
      </c>
      <c r="CN187" s="537">
        <f>Reserves!CN$23</f>
        <v>0</v>
      </c>
      <c r="CO187" s="537">
        <f>Reserves!CO$23</f>
        <v>0</v>
      </c>
      <c r="CP187" s="537">
        <f>Reserves!CP$23</f>
        <v>0</v>
      </c>
      <c r="CQ187" s="537">
        <f>Reserves!CQ$23</f>
        <v>0</v>
      </c>
      <c r="CR187" s="537">
        <f>Reserves!CR$23</f>
        <v>0</v>
      </c>
      <c r="CS187" s="537">
        <f>Reserves!CS$23</f>
        <v>0</v>
      </c>
      <c r="CT187" s="537">
        <f>Reserves!CT$23</f>
        <v>0</v>
      </c>
      <c r="CU187" s="537">
        <f>Reserves!CU$23</f>
        <v>0</v>
      </c>
      <c r="CV187" s="537">
        <f>Reserves!CV$23</f>
        <v>0</v>
      </c>
      <c r="CW187" s="537">
        <f>Reserves!CW$23</f>
        <v>0</v>
      </c>
      <c r="CX187" s="537">
        <f>Reserves!CX$23</f>
        <v>0</v>
      </c>
      <c r="CY187" s="537">
        <f>Reserves!CY$23</f>
        <v>0</v>
      </c>
      <c r="CZ187" s="537">
        <f>Reserves!CZ$23</f>
        <v>0</v>
      </c>
      <c r="DA187" s="537">
        <f>Reserves!DA$23</f>
        <v>0</v>
      </c>
      <c r="DB187" s="537">
        <f>Reserves!DB$23</f>
        <v>0</v>
      </c>
      <c r="DC187" s="537">
        <f>Reserves!DC$23</f>
        <v>0</v>
      </c>
      <c r="DD187" s="537">
        <f>Reserves!DD$23</f>
        <v>0</v>
      </c>
      <c r="DE187" s="537">
        <f>Reserves!DE$23</f>
        <v>0</v>
      </c>
      <c r="DF187" s="537">
        <f>Reserves!DF$23</f>
        <v>0</v>
      </c>
      <c r="DG187" s="537">
        <f>Reserves!DG$23</f>
        <v>0</v>
      </c>
      <c r="DH187" s="537">
        <f>Reserves!DH$23</f>
        <v>0</v>
      </c>
      <c r="DI187" s="537">
        <f>Reserves!DI$23</f>
        <v>0</v>
      </c>
      <c r="DJ187" s="537">
        <f>Reserves!DJ$23</f>
        <v>0</v>
      </c>
      <c r="DK187" s="537">
        <f>Reserves!DK$23</f>
        <v>0</v>
      </c>
      <c r="DL187" s="537">
        <f>Reserves!DL$23</f>
        <v>0</v>
      </c>
      <c r="DM187" s="537">
        <f>Reserves!DM$23</f>
        <v>0</v>
      </c>
      <c r="DN187" s="537">
        <f>Reserves!DN$23</f>
        <v>0</v>
      </c>
      <c r="DO187" s="537">
        <f>Reserves!DO$23</f>
        <v>0</v>
      </c>
      <c r="DP187" s="537">
        <f>Reserves!DP$23</f>
        <v>0</v>
      </c>
      <c r="DQ187" s="537">
        <f>Reserves!DQ$23</f>
        <v>0</v>
      </c>
      <c r="DR187" s="537">
        <f>Reserves!DR$23</f>
        <v>0</v>
      </c>
      <c r="DS187" s="537">
        <f>Reserves!DS$23</f>
        <v>0</v>
      </c>
      <c r="DT187" s="537">
        <f>Reserves!DT$23</f>
        <v>0</v>
      </c>
      <c r="DU187" s="537">
        <f>Reserves!DU$23</f>
        <v>0</v>
      </c>
      <c r="DV187" s="537">
        <f>Reserves!DV$23</f>
        <v>0</v>
      </c>
      <c r="DW187" s="537">
        <f>Reserves!DW$23</f>
        <v>0</v>
      </c>
      <c r="DX187" s="537">
        <f>Reserves!DX$23</f>
        <v>0</v>
      </c>
      <c r="DY187" s="537">
        <f>Reserves!DY$23</f>
        <v>0</v>
      </c>
      <c r="DZ187" s="537">
        <f>Reserves!DZ$23</f>
        <v>0</v>
      </c>
      <c r="EA187" s="537">
        <f>Reserves!EA$23</f>
        <v>0</v>
      </c>
      <c r="EB187" s="537">
        <f>Reserves!EB$23</f>
        <v>0</v>
      </c>
      <c r="EC187" s="537">
        <f>Reserves!EC$23</f>
        <v>0</v>
      </c>
      <c r="ED187" s="537">
        <f>Reserves!ED$23</f>
        <v>0</v>
      </c>
      <c r="EE187" s="537">
        <f>Reserves!EE$23</f>
        <v>0</v>
      </c>
      <c r="EF187" s="537">
        <f>Reserves!EF$23</f>
        <v>0</v>
      </c>
      <c r="EG187" s="537">
        <f>Reserves!EG$23</f>
        <v>0</v>
      </c>
    </row>
    <row r="188" spans="5:137" ht="12.75">
      <c r="E188" s="538" t="str">
        <f>E$48</f>
        <v>Capex - total</v>
      </c>
      <c r="G188" s="539" t="str">
        <f>G$48</f>
        <v>EUR 000s</v>
      </c>
      <c r="H188" s="539">
        <f>H$48</f>
        <v>291552.5</v>
      </c>
      <c r="J188" s="539">
        <f t="shared" si="66" ref="J188:EG188">J$48</f>
        <v>0</v>
      </c>
      <c r="K188" s="539">
        <f t="shared" si="66"/>
        <v>0</v>
      </c>
      <c r="L188" s="539">
        <f t="shared" si="66"/>
        <v>8000</v>
      </c>
      <c r="M188" s="539">
        <f t="shared" si="66"/>
        <v>13291.5625</v>
      </c>
      <c r="N188" s="539">
        <f t="shared" si="66"/>
        <v>13619.6875</v>
      </c>
      <c r="O188" s="539">
        <f t="shared" si="66"/>
        <v>13291.5625</v>
      </c>
      <c r="P188" s="539">
        <f t="shared" si="66"/>
        <v>13619.6875</v>
      </c>
      <c r="Q188" s="539">
        <f t="shared" si="66"/>
        <v>13291.5625</v>
      </c>
      <c r="R188" s="539">
        <f t="shared" si="66"/>
        <v>16941.953125</v>
      </c>
      <c r="S188" s="539">
        <f t="shared" si="66"/>
        <v>17639.21875</v>
      </c>
      <c r="T188" s="539">
        <f t="shared" si="66"/>
        <v>17967.34375</v>
      </c>
      <c r="U188" s="539">
        <f t="shared" si="66"/>
        <v>18295.46875</v>
      </c>
      <c r="V188" s="539">
        <f t="shared" si="66"/>
        <v>16982.96875</v>
      </c>
      <c r="W188" s="539">
        <f t="shared" si="66"/>
        <v>16818.90625</v>
      </c>
      <c r="X188" s="539">
        <f t="shared" si="66"/>
        <v>15014.21875</v>
      </c>
      <c r="Y188" s="539">
        <f t="shared" si="66"/>
        <v>13045.46875</v>
      </c>
      <c r="Z188" s="539">
        <f t="shared" si="66"/>
        <v>12061.09375</v>
      </c>
      <c r="AA188" s="539">
        <f t="shared" si="66"/>
        <v>13537.65625</v>
      </c>
      <c r="AB188" s="539">
        <f t="shared" si="66"/>
        <v>14193.90625</v>
      </c>
      <c r="AC188" s="539">
        <f t="shared" si="66"/>
        <v>14029.84375</v>
      </c>
      <c r="AD188" s="539">
        <f t="shared" si="66"/>
        <v>12676.328125</v>
      </c>
      <c r="AE188" s="539">
        <f t="shared" si="66"/>
        <v>7549.375</v>
      </c>
      <c r="AF188" s="539">
        <f t="shared" si="66"/>
        <v>5744.6875</v>
      </c>
      <c r="AG188" s="539">
        <f t="shared" si="66"/>
        <v>3940</v>
      </c>
      <c r="AH188" s="539">
        <f t="shared" si="66"/>
        <v>0</v>
      </c>
      <c r="AI188" s="539">
        <f t="shared" si="66"/>
        <v>0</v>
      </c>
      <c r="AJ188" s="539">
        <f t="shared" si="66"/>
        <v>0</v>
      </c>
      <c r="AK188" s="539">
        <f t="shared" si="66"/>
        <v>0</v>
      </c>
      <c r="AL188" s="539">
        <f t="shared" si="66"/>
        <v>0</v>
      </c>
      <c r="AM188" s="539">
        <f t="shared" si="66"/>
        <v>0</v>
      </c>
      <c r="AN188" s="539">
        <f t="shared" si="66"/>
        <v>0</v>
      </c>
      <c r="AO188" s="539">
        <f t="shared" si="66"/>
        <v>0</v>
      </c>
      <c r="AP188" s="539">
        <f t="shared" si="66"/>
        <v>0</v>
      </c>
      <c r="AQ188" s="539">
        <f t="shared" si="66"/>
        <v>0</v>
      </c>
      <c r="AR188" s="539">
        <f t="shared" si="66"/>
        <v>0</v>
      </c>
      <c r="AS188" s="539">
        <f t="shared" si="66"/>
        <v>0</v>
      </c>
      <c r="AT188" s="539">
        <f t="shared" si="66"/>
        <v>0</v>
      </c>
      <c r="AU188" s="539">
        <f t="shared" si="66"/>
        <v>0</v>
      </c>
      <c r="AV188" s="539">
        <f t="shared" si="66"/>
        <v>0</v>
      </c>
      <c r="AW188" s="539">
        <f t="shared" si="66"/>
        <v>0</v>
      </c>
      <c r="AX188" s="539">
        <f t="shared" si="66"/>
        <v>0</v>
      </c>
      <c r="AY188" s="539">
        <f t="shared" si="66"/>
        <v>0</v>
      </c>
      <c r="AZ188" s="539">
        <f t="shared" si="66"/>
        <v>0</v>
      </c>
      <c r="BA188" s="539">
        <f t="shared" si="66"/>
        <v>0</v>
      </c>
      <c r="BB188" s="539">
        <f t="shared" si="66"/>
        <v>0</v>
      </c>
      <c r="BC188" s="539">
        <f t="shared" si="66"/>
        <v>0</v>
      </c>
      <c r="BD188" s="539">
        <f t="shared" si="66"/>
        <v>0</v>
      </c>
      <c r="BE188" s="539">
        <f t="shared" si="66"/>
        <v>0</v>
      </c>
      <c r="BF188" s="539">
        <f t="shared" si="66"/>
        <v>0</v>
      </c>
      <c r="BG188" s="539">
        <f t="shared" si="66"/>
        <v>0</v>
      </c>
      <c r="BH188" s="539">
        <f t="shared" si="66"/>
        <v>0</v>
      </c>
      <c r="BI188" s="539">
        <f t="shared" si="66"/>
        <v>0</v>
      </c>
      <c r="BJ188" s="539">
        <f t="shared" si="66"/>
        <v>0</v>
      </c>
      <c r="BK188" s="539">
        <f t="shared" si="66"/>
        <v>0</v>
      </c>
      <c r="BL188" s="539">
        <f t="shared" si="66"/>
        <v>0</v>
      </c>
      <c r="BM188" s="539">
        <f t="shared" si="66"/>
        <v>0</v>
      </c>
      <c r="BN188" s="539">
        <f t="shared" si="66"/>
        <v>0</v>
      </c>
      <c r="BO188" s="539">
        <f t="shared" si="66"/>
        <v>0</v>
      </c>
      <c r="BP188" s="539">
        <f t="shared" si="66"/>
        <v>0</v>
      </c>
      <c r="BQ188" s="539">
        <f t="shared" si="66"/>
        <v>0</v>
      </c>
      <c r="BR188" s="539">
        <f t="shared" si="66"/>
        <v>0</v>
      </c>
      <c r="BS188" s="539">
        <f t="shared" si="66"/>
        <v>0</v>
      </c>
      <c r="BT188" s="539">
        <f t="shared" si="66"/>
        <v>0</v>
      </c>
      <c r="BU188" s="539">
        <f t="shared" si="66"/>
        <v>0</v>
      </c>
      <c r="BV188" s="539">
        <f t="shared" si="66"/>
        <v>0</v>
      </c>
      <c r="BW188" s="539">
        <f t="shared" si="66"/>
        <v>0</v>
      </c>
      <c r="BX188" s="539">
        <f t="shared" si="66"/>
        <v>0</v>
      </c>
      <c r="BY188" s="539">
        <f t="shared" si="66"/>
        <v>0</v>
      </c>
      <c r="BZ188" s="539">
        <f t="shared" si="66"/>
        <v>0</v>
      </c>
      <c r="CA188" s="539">
        <f t="shared" si="66"/>
        <v>0</v>
      </c>
      <c r="CB188" s="539">
        <f t="shared" si="66"/>
        <v>0</v>
      </c>
      <c r="CC188" s="539">
        <f t="shared" si="66"/>
        <v>0</v>
      </c>
      <c r="CD188" s="539">
        <f t="shared" si="66"/>
        <v>0</v>
      </c>
      <c r="CE188" s="539">
        <f t="shared" si="66"/>
        <v>0</v>
      </c>
      <c r="CF188" s="539">
        <f t="shared" si="66"/>
        <v>0</v>
      </c>
      <c r="CG188" s="539">
        <f t="shared" si="66"/>
        <v>0</v>
      </c>
      <c r="CH188" s="539">
        <f t="shared" si="66"/>
        <v>0</v>
      </c>
      <c r="CI188" s="539">
        <f t="shared" si="66"/>
        <v>0</v>
      </c>
      <c r="CJ188" s="539">
        <f t="shared" si="66"/>
        <v>0</v>
      </c>
      <c r="CK188" s="539">
        <f t="shared" si="66"/>
        <v>0</v>
      </c>
      <c r="CL188" s="539">
        <f t="shared" si="66"/>
        <v>0</v>
      </c>
      <c r="CM188" s="539">
        <f t="shared" si="66"/>
        <v>0</v>
      </c>
      <c r="CN188" s="539">
        <f t="shared" si="66"/>
        <v>0</v>
      </c>
      <c r="CO188" s="539">
        <f t="shared" si="66"/>
        <v>0</v>
      </c>
      <c r="CP188" s="539">
        <f t="shared" si="66"/>
        <v>0</v>
      </c>
      <c r="CQ188" s="539">
        <f t="shared" si="66"/>
        <v>0</v>
      </c>
      <c r="CR188" s="539">
        <f t="shared" si="66"/>
        <v>0</v>
      </c>
      <c r="CS188" s="539">
        <f t="shared" si="66"/>
        <v>0</v>
      </c>
      <c r="CT188" s="539">
        <f t="shared" si="66"/>
        <v>0</v>
      </c>
      <c r="CU188" s="539">
        <f t="shared" si="66"/>
        <v>0</v>
      </c>
      <c r="CV188" s="539">
        <f t="shared" si="66"/>
        <v>0</v>
      </c>
      <c r="CW188" s="539">
        <f t="shared" si="66"/>
        <v>0</v>
      </c>
      <c r="CX188" s="539">
        <f t="shared" si="66"/>
        <v>0</v>
      </c>
      <c r="CY188" s="539">
        <f t="shared" si="66"/>
        <v>0</v>
      </c>
      <c r="CZ188" s="539">
        <f t="shared" si="66"/>
        <v>0</v>
      </c>
      <c r="DA188" s="539">
        <f t="shared" si="66"/>
        <v>0</v>
      </c>
      <c r="DB188" s="539">
        <f t="shared" si="66"/>
        <v>0</v>
      </c>
      <c r="DC188" s="539">
        <f t="shared" si="66"/>
        <v>0</v>
      </c>
      <c r="DD188" s="539">
        <f t="shared" si="66"/>
        <v>0</v>
      </c>
      <c r="DE188" s="539">
        <f t="shared" si="66"/>
        <v>0</v>
      </c>
      <c r="DF188" s="539">
        <f t="shared" si="66"/>
        <v>0</v>
      </c>
      <c r="DG188" s="539">
        <f t="shared" si="66"/>
        <v>0</v>
      </c>
      <c r="DH188" s="539">
        <f t="shared" si="66"/>
        <v>0</v>
      </c>
      <c r="DI188" s="539">
        <f t="shared" si="66"/>
        <v>0</v>
      </c>
      <c r="DJ188" s="539">
        <f t="shared" si="66"/>
        <v>0</v>
      </c>
      <c r="DK188" s="539">
        <f t="shared" si="66"/>
        <v>0</v>
      </c>
      <c r="DL188" s="539">
        <f t="shared" si="66"/>
        <v>0</v>
      </c>
      <c r="DM188" s="539">
        <f t="shared" si="66"/>
        <v>0</v>
      </c>
      <c r="DN188" s="539">
        <f t="shared" si="66"/>
        <v>0</v>
      </c>
      <c r="DO188" s="539">
        <f t="shared" si="66"/>
        <v>0</v>
      </c>
      <c r="DP188" s="539">
        <f t="shared" si="66"/>
        <v>0</v>
      </c>
      <c r="DQ188" s="539">
        <f t="shared" si="66"/>
        <v>0</v>
      </c>
      <c r="DR188" s="539">
        <f t="shared" si="66"/>
        <v>0</v>
      </c>
      <c r="DS188" s="539">
        <f t="shared" si="66"/>
        <v>0</v>
      </c>
      <c r="DT188" s="539">
        <f t="shared" si="66"/>
        <v>0</v>
      </c>
      <c r="DU188" s="539">
        <f t="shared" si="66"/>
        <v>0</v>
      </c>
      <c r="DV188" s="539">
        <f t="shared" si="66"/>
        <v>0</v>
      </c>
      <c r="DW188" s="539">
        <f t="shared" si="66"/>
        <v>0</v>
      </c>
      <c r="DX188" s="539">
        <f t="shared" si="66"/>
        <v>0</v>
      </c>
      <c r="DY188" s="539">
        <f t="shared" si="66"/>
        <v>0</v>
      </c>
      <c r="DZ188" s="539">
        <f t="shared" si="66"/>
        <v>0</v>
      </c>
      <c r="EA188" s="539">
        <f t="shared" si="66"/>
        <v>0</v>
      </c>
      <c r="EB188" s="539">
        <f t="shared" si="66"/>
        <v>0</v>
      </c>
      <c r="EC188" s="539">
        <f t="shared" si="66"/>
        <v>0</v>
      </c>
      <c r="ED188" s="539">
        <f t="shared" si="66"/>
        <v>0</v>
      </c>
      <c r="EE188" s="539">
        <f t="shared" si="66"/>
        <v>0</v>
      </c>
      <c r="EF188" s="539">
        <f t="shared" si="66"/>
        <v>0</v>
      </c>
      <c r="EG188" s="539">
        <f t="shared" si="66"/>
        <v>0</v>
      </c>
    </row>
    <row r="189" spans="5:137" ht="12.75">
      <c r="E189" s="538" t="str">
        <f>E$185</f>
        <v>Financing costs - capitalised in the period</v>
      </c>
      <c r="G189" s="539" t="str">
        <f>G$185</f>
        <v>EUR 000s</v>
      </c>
      <c r="H189" s="539">
        <f>H$185</f>
        <v>16238.00811257573</v>
      </c>
      <c r="J189" s="539">
        <f t="shared" si="67" ref="J189:EG189">J$185</f>
        <v>0</v>
      </c>
      <c r="K189" s="539">
        <f t="shared" si="67"/>
        <v>0</v>
      </c>
      <c r="L189" s="539">
        <f t="shared" si="67"/>
        <v>3319.2997186657749</v>
      </c>
      <c r="M189" s="539">
        <f t="shared" si="67"/>
        <v>109.12766198353233</v>
      </c>
      <c r="N189" s="539">
        <f t="shared" si="67"/>
        <v>121.79623016837154</v>
      </c>
      <c r="O189" s="539">
        <f t="shared" si="67"/>
        <v>126.82273047668302</v>
      </c>
      <c r="P189" s="539">
        <f t="shared" si="67"/>
        <v>140.08113427796059</v>
      </c>
      <c r="Q189" s="539">
        <f t="shared" si="67"/>
        <v>140.30407948344003</v>
      </c>
      <c r="R189" s="539">
        <f t="shared" si="67"/>
        <v>206.01583186568772</v>
      </c>
      <c r="S189" s="539">
        <f t="shared" si="67"/>
        <v>341.62601566252641</v>
      </c>
      <c r="T189" s="539">
        <f t="shared" si="67"/>
        <v>405.66480600759223</v>
      </c>
      <c r="U189" s="539">
        <f t="shared" si="67"/>
        <v>498.82585318476447</v>
      </c>
      <c r="V189" s="539">
        <f t="shared" si="67"/>
        <v>577.96066243747043</v>
      </c>
      <c r="W189" s="539">
        <f t="shared" si="67"/>
        <v>608.6230988464788</v>
      </c>
      <c r="X189" s="539">
        <f t="shared" si="67"/>
        <v>722.34396752895066</v>
      </c>
      <c r="Y189" s="539">
        <f t="shared" si="67"/>
        <v>760.26240454969547</v>
      </c>
      <c r="Z189" s="539">
        <f t="shared" si="67"/>
        <v>840.38367819110817</v>
      </c>
      <c r="AA189" s="539">
        <f t="shared" si="67"/>
        <v>862.10547747196665</v>
      </c>
      <c r="AB189" s="539">
        <f t="shared" si="67"/>
        <v>949.76575292385382</v>
      </c>
      <c r="AC189" s="539">
        <f t="shared" si="67"/>
        <v>1013.5686303825973</v>
      </c>
      <c r="AD189" s="539">
        <f t="shared" si="67"/>
        <v>1042.7531864660605</v>
      </c>
      <c r="AE189" s="539">
        <f t="shared" si="67"/>
        <v>1134.0203250207289</v>
      </c>
      <c r="AF189" s="539">
        <f t="shared" si="67"/>
        <v>1128.0414999061579</v>
      </c>
      <c r="AG189" s="539">
        <f t="shared" si="67"/>
        <v>1188.615367074329</v>
      </c>
      <c r="AH189" s="539">
        <f t="shared" si="67"/>
        <v>0</v>
      </c>
      <c r="AI189" s="539">
        <f t="shared" si="67"/>
        <v>0</v>
      </c>
      <c r="AJ189" s="539">
        <f t="shared" si="67"/>
        <v>0</v>
      </c>
      <c r="AK189" s="539">
        <f t="shared" si="67"/>
        <v>0</v>
      </c>
      <c r="AL189" s="539">
        <f t="shared" si="67"/>
        <v>0</v>
      </c>
      <c r="AM189" s="539">
        <f t="shared" si="67"/>
        <v>0</v>
      </c>
      <c r="AN189" s="539">
        <f t="shared" si="67"/>
        <v>0</v>
      </c>
      <c r="AO189" s="539">
        <f t="shared" si="67"/>
        <v>0</v>
      </c>
      <c r="AP189" s="539">
        <f t="shared" si="67"/>
        <v>0</v>
      </c>
      <c r="AQ189" s="539">
        <f t="shared" si="67"/>
        <v>0</v>
      </c>
      <c r="AR189" s="539">
        <f t="shared" si="67"/>
        <v>0</v>
      </c>
      <c r="AS189" s="539">
        <f t="shared" si="67"/>
        <v>0</v>
      </c>
      <c r="AT189" s="539">
        <f t="shared" si="67"/>
        <v>0</v>
      </c>
      <c r="AU189" s="539">
        <f t="shared" si="67"/>
        <v>0</v>
      </c>
      <c r="AV189" s="539">
        <f t="shared" si="67"/>
        <v>0</v>
      </c>
      <c r="AW189" s="539">
        <f t="shared" si="67"/>
        <v>0</v>
      </c>
      <c r="AX189" s="539">
        <f t="shared" si="67"/>
        <v>0</v>
      </c>
      <c r="AY189" s="539">
        <f t="shared" si="67"/>
        <v>0</v>
      </c>
      <c r="AZ189" s="539">
        <f t="shared" si="67"/>
        <v>0</v>
      </c>
      <c r="BA189" s="539">
        <f t="shared" si="67"/>
        <v>0</v>
      </c>
      <c r="BB189" s="539">
        <f t="shared" si="67"/>
        <v>0</v>
      </c>
      <c r="BC189" s="539">
        <f t="shared" si="67"/>
        <v>0</v>
      </c>
      <c r="BD189" s="539">
        <f t="shared" si="67"/>
        <v>0</v>
      </c>
      <c r="BE189" s="539">
        <f t="shared" si="67"/>
        <v>0</v>
      </c>
      <c r="BF189" s="539">
        <f t="shared" si="67"/>
        <v>0</v>
      </c>
      <c r="BG189" s="539">
        <f t="shared" si="67"/>
        <v>0</v>
      </c>
      <c r="BH189" s="539">
        <f t="shared" si="67"/>
        <v>0</v>
      </c>
      <c r="BI189" s="539">
        <f t="shared" si="67"/>
        <v>0</v>
      </c>
      <c r="BJ189" s="539">
        <f t="shared" si="67"/>
        <v>0</v>
      </c>
      <c r="BK189" s="539">
        <f t="shared" si="67"/>
        <v>0</v>
      </c>
      <c r="BL189" s="539">
        <f t="shared" si="67"/>
        <v>0</v>
      </c>
      <c r="BM189" s="539">
        <f t="shared" si="67"/>
        <v>0</v>
      </c>
      <c r="BN189" s="539">
        <f t="shared" si="67"/>
        <v>0</v>
      </c>
      <c r="BO189" s="539">
        <f t="shared" si="67"/>
        <v>0</v>
      </c>
      <c r="BP189" s="539">
        <f t="shared" si="67"/>
        <v>0</v>
      </c>
      <c r="BQ189" s="539">
        <f t="shared" si="67"/>
        <v>0</v>
      </c>
      <c r="BR189" s="539">
        <f t="shared" si="67"/>
        <v>0</v>
      </c>
      <c r="BS189" s="539">
        <f t="shared" si="67"/>
        <v>0</v>
      </c>
      <c r="BT189" s="539">
        <f t="shared" si="67"/>
        <v>0</v>
      </c>
      <c r="BU189" s="539">
        <f t="shared" si="67"/>
        <v>0</v>
      </c>
      <c r="BV189" s="539">
        <f t="shared" si="67"/>
        <v>0</v>
      </c>
      <c r="BW189" s="539">
        <f t="shared" si="67"/>
        <v>0</v>
      </c>
      <c r="BX189" s="539">
        <f t="shared" si="67"/>
        <v>0</v>
      </c>
      <c r="BY189" s="539">
        <f t="shared" si="67"/>
        <v>0</v>
      </c>
      <c r="BZ189" s="539">
        <f t="shared" si="67"/>
        <v>0</v>
      </c>
      <c r="CA189" s="539">
        <f t="shared" si="67"/>
        <v>0</v>
      </c>
      <c r="CB189" s="539">
        <f t="shared" si="67"/>
        <v>0</v>
      </c>
      <c r="CC189" s="539">
        <f t="shared" si="67"/>
        <v>0</v>
      </c>
      <c r="CD189" s="539">
        <f t="shared" si="67"/>
        <v>0</v>
      </c>
      <c r="CE189" s="539">
        <f t="shared" si="67"/>
        <v>0</v>
      </c>
      <c r="CF189" s="539">
        <f t="shared" si="67"/>
        <v>0</v>
      </c>
      <c r="CG189" s="539">
        <f t="shared" si="67"/>
        <v>0</v>
      </c>
      <c r="CH189" s="539">
        <f t="shared" si="67"/>
        <v>0</v>
      </c>
      <c r="CI189" s="539">
        <f t="shared" si="67"/>
        <v>0</v>
      </c>
      <c r="CJ189" s="539">
        <f t="shared" si="67"/>
        <v>0</v>
      </c>
      <c r="CK189" s="539">
        <f t="shared" si="67"/>
        <v>0</v>
      </c>
      <c r="CL189" s="539">
        <f t="shared" si="67"/>
        <v>0</v>
      </c>
      <c r="CM189" s="539">
        <f t="shared" si="67"/>
        <v>0</v>
      </c>
      <c r="CN189" s="539">
        <f t="shared" si="67"/>
        <v>0</v>
      </c>
      <c r="CO189" s="539">
        <f t="shared" si="67"/>
        <v>0</v>
      </c>
      <c r="CP189" s="539">
        <f t="shared" si="67"/>
        <v>0</v>
      </c>
      <c r="CQ189" s="539">
        <f t="shared" si="67"/>
        <v>0</v>
      </c>
      <c r="CR189" s="539">
        <f t="shared" si="67"/>
        <v>0</v>
      </c>
      <c r="CS189" s="539">
        <f t="shared" si="67"/>
        <v>0</v>
      </c>
      <c r="CT189" s="539">
        <f t="shared" si="67"/>
        <v>0</v>
      </c>
      <c r="CU189" s="539">
        <f t="shared" si="67"/>
        <v>0</v>
      </c>
      <c r="CV189" s="539">
        <f t="shared" si="67"/>
        <v>0</v>
      </c>
      <c r="CW189" s="539">
        <f t="shared" si="67"/>
        <v>0</v>
      </c>
      <c r="CX189" s="539">
        <f t="shared" si="67"/>
        <v>0</v>
      </c>
      <c r="CY189" s="539">
        <f t="shared" si="67"/>
        <v>0</v>
      </c>
      <c r="CZ189" s="539">
        <f t="shared" si="67"/>
        <v>0</v>
      </c>
      <c r="DA189" s="539">
        <f t="shared" si="67"/>
        <v>0</v>
      </c>
      <c r="DB189" s="539">
        <f t="shared" si="67"/>
        <v>0</v>
      </c>
      <c r="DC189" s="539">
        <f t="shared" si="67"/>
        <v>0</v>
      </c>
      <c r="DD189" s="539">
        <f t="shared" si="67"/>
        <v>0</v>
      </c>
      <c r="DE189" s="539">
        <f t="shared" si="67"/>
        <v>0</v>
      </c>
      <c r="DF189" s="539">
        <f t="shared" si="67"/>
        <v>0</v>
      </c>
      <c r="DG189" s="539">
        <f t="shared" si="67"/>
        <v>0</v>
      </c>
      <c r="DH189" s="539">
        <f t="shared" si="67"/>
        <v>0</v>
      </c>
      <c r="DI189" s="539">
        <f t="shared" si="67"/>
        <v>0</v>
      </c>
      <c r="DJ189" s="539">
        <f t="shared" si="67"/>
        <v>0</v>
      </c>
      <c r="DK189" s="539">
        <f t="shared" si="67"/>
        <v>0</v>
      </c>
      <c r="DL189" s="539">
        <f t="shared" si="67"/>
        <v>0</v>
      </c>
      <c r="DM189" s="539">
        <f t="shared" si="67"/>
        <v>0</v>
      </c>
      <c r="DN189" s="539">
        <f t="shared" si="67"/>
        <v>0</v>
      </c>
      <c r="DO189" s="539">
        <f t="shared" si="67"/>
        <v>0</v>
      </c>
      <c r="DP189" s="539">
        <f t="shared" si="67"/>
        <v>0</v>
      </c>
      <c r="DQ189" s="539">
        <f t="shared" si="67"/>
        <v>0</v>
      </c>
      <c r="DR189" s="539">
        <f t="shared" si="67"/>
        <v>0</v>
      </c>
      <c r="DS189" s="539">
        <f t="shared" si="67"/>
        <v>0</v>
      </c>
      <c r="DT189" s="539">
        <f t="shared" si="67"/>
        <v>0</v>
      </c>
      <c r="DU189" s="539">
        <f t="shared" si="67"/>
        <v>0</v>
      </c>
      <c r="DV189" s="539">
        <f t="shared" si="67"/>
        <v>0</v>
      </c>
      <c r="DW189" s="539">
        <f t="shared" si="67"/>
        <v>0</v>
      </c>
      <c r="DX189" s="539">
        <f t="shared" si="67"/>
        <v>0</v>
      </c>
      <c r="DY189" s="539">
        <f t="shared" si="67"/>
        <v>0</v>
      </c>
      <c r="DZ189" s="539">
        <f t="shared" si="67"/>
        <v>0</v>
      </c>
      <c r="EA189" s="539">
        <f t="shared" si="67"/>
        <v>0</v>
      </c>
      <c r="EB189" s="539">
        <f t="shared" si="67"/>
        <v>0</v>
      </c>
      <c r="EC189" s="539">
        <f t="shared" si="67"/>
        <v>0</v>
      </c>
      <c r="ED189" s="539">
        <f t="shared" si="67"/>
        <v>0</v>
      </c>
      <c r="EE189" s="539">
        <f t="shared" si="67"/>
        <v>0</v>
      </c>
      <c r="EF189" s="539">
        <f t="shared" si="67"/>
        <v>0</v>
      </c>
      <c r="EG189" s="539">
        <f t="shared" si="67"/>
        <v>0</v>
      </c>
    </row>
    <row r="190" spans="5:137" ht="12.75">
      <c r="E190" s="540" t="s">
        <v>243</v>
      </c>
      <c r="G190" s="541" t="s">
        <v>30</v>
      </c>
      <c r="H190" s="541">
        <f>SUM(J190:EG190)</f>
        <v>316123.78273007425</v>
      </c>
      <c r="J190" s="541">
        <f t="shared" si="68" ref="J190:EG190">J188+J189+J187</f>
        <v>0</v>
      </c>
      <c r="K190" s="541">
        <f t="shared" si="68"/>
        <v>0</v>
      </c>
      <c r="L190" s="541">
        <f t="shared" si="68"/>
        <v>11319.299718665774</v>
      </c>
      <c r="M190" s="541">
        <f t="shared" si="68"/>
        <v>13400.690161983532</v>
      </c>
      <c r="N190" s="541">
        <f t="shared" si="68"/>
        <v>13741.483730168371</v>
      </c>
      <c r="O190" s="541">
        <f t="shared" si="68"/>
        <v>13418.385230476682</v>
      </c>
      <c r="P190" s="541">
        <f t="shared" si="68"/>
        <v>13759.76863427796</v>
      </c>
      <c r="Q190" s="541">
        <f t="shared" si="68"/>
        <v>13431.86657948344</v>
      </c>
      <c r="R190" s="541">
        <f t="shared" si="68"/>
        <v>17147.968956865687</v>
      </c>
      <c r="S190" s="541">
        <f t="shared" si="68"/>
        <v>17980.844765662525</v>
      </c>
      <c r="T190" s="541">
        <f t="shared" si="68"/>
        <v>18373.008556007593</v>
      </c>
      <c r="U190" s="541">
        <f t="shared" si="68"/>
        <v>18794.294603184764</v>
      </c>
      <c r="V190" s="541">
        <f t="shared" si="68"/>
        <v>17560.929412437472</v>
      </c>
      <c r="W190" s="541">
        <f t="shared" si="68"/>
        <v>17427.529348846478</v>
      </c>
      <c r="X190" s="541">
        <f t="shared" si="68"/>
        <v>15736.56271752895</v>
      </c>
      <c r="Y190" s="541">
        <f t="shared" si="68"/>
        <v>13805.731154549696</v>
      </c>
      <c r="Z190" s="541">
        <f t="shared" si="68"/>
        <v>12901.477428191109</v>
      </c>
      <c r="AA190" s="541">
        <f t="shared" si="68"/>
        <v>14399.761727471967</v>
      </c>
      <c r="AB190" s="541">
        <f t="shared" si="68"/>
        <v>15143.672002923853</v>
      </c>
      <c r="AC190" s="541">
        <f t="shared" si="68"/>
        <v>15043.412380382597</v>
      </c>
      <c r="AD190" s="541">
        <f t="shared" si="68"/>
        <v>13719.08131146606</v>
      </c>
      <c r="AE190" s="541">
        <f t="shared" si="68"/>
        <v>8683.3953250207287</v>
      </c>
      <c r="AF190" s="541">
        <f t="shared" si="68"/>
        <v>6872.7289999061577</v>
      </c>
      <c r="AG190" s="541">
        <f t="shared" si="68"/>
        <v>13461.889984572863</v>
      </c>
      <c r="AH190" s="541">
        <f t="shared" si="68"/>
        <v>0</v>
      </c>
      <c r="AI190" s="541">
        <f t="shared" si="68"/>
        <v>0</v>
      </c>
      <c r="AJ190" s="541">
        <f t="shared" si="68"/>
        <v>0</v>
      </c>
      <c r="AK190" s="541">
        <f t="shared" si="68"/>
        <v>0</v>
      </c>
      <c r="AL190" s="541">
        <f t="shared" si="68"/>
        <v>0</v>
      </c>
      <c r="AM190" s="541">
        <f t="shared" si="68"/>
        <v>0</v>
      </c>
      <c r="AN190" s="541">
        <f t="shared" si="68"/>
        <v>0</v>
      </c>
      <c r="AO190" s="541">
        <f t="shared" si="68"/>
        <v>0</v>
      </c>
      <c r="AP190" s="541">
        <f t="shared" si="68"/>
        <v>0</v>
      </c>
      <c r="AQ190" s="541">
        <f t="shared" si="68"/>
        <v>0</v>
      </c>
      <c r="AR190" s="541">
        <f t="shared" si="68"/>
        <v>0</v>
      </c>
      <c r="AS190" s="541">
        <f t="shared" si="68"/>
        <v>0</v>
      </c>
      <c r="AT190" s="541">
        <f t="shared" si="68"/>
        <v>0</v>
      </c>
      <c r="AU190" s="541">
        <f t="shared" si="68"/>
        <v>0</v>
      </c>
      <c r="AV190" s="541">
        <f t="shared" si="68"/>
        <v>0</v>
      </c>
      <c r="AW190" s="541">
        <f t="shared" si="68"/>
        <v>0</v>
      </c>
      <c r="AX190" s="541">
        <f t="shared" si="68"/>
        <v>0</v>
      </c>
      <c r="AY190" s="541">
        <f t="shared" si="68"/>
        <v>0</v>
      </c>
      <c r="AZ190" s="541">
        <f t="shared" si="68"/>
        <v>0</v>
      </c>
      <c r="BA190" s="541">
        <f t="shared" si="68"/>
        <v>0</v>
      </c>
      <c r="BB190" s="541">
        <f t="shared" si="68"/>
        <v>0</v>
      </c>
      <c r="BC190" s="541">
        <f t="shared" si="68"/>
        <v>0</v>
      </c>
      <c r="BD190" s="541">
        <f t="shared" si="68"/>
        <v>0</v>
      </c>
      <c r="BE190" s="541">
        <f t="shared" si="68"/>
        <v>0</v>
      </c>
      <c r="BF190" s="541">
        <f t="shared" si="68"/>
        <v>0</v>
      </c>
      <c r="BG190" s="541">
        <f t="shared" si="68"/>
        <v>0</v>
      </c>
      <c r="BH190" s="541">
        <f t="shared" si="68"/>
        <v>0</v>
      </c>
      <c r="BI190" s="541">
        <f t="shared" si="68"/>
        <v>0</v>
      </c>
      <c r="BJ190" s="541">
        <f t="shared" si="68"/>
        <v>0</v>
      </c>
      <c r="BK190" s="541">
        <f t="shared" si="68"/>
        <v>0</v>
      </c>
      <c r="BL190" s="541">
        <f t="shared" si="68"/>
        <v>0</v>
      </c>
      <c r="BM190" s="541">
        <f t="shared" si="68"/>
        <v>0</v>
      </c>
      <c r="BN190" s="541">
        <f t="shared" si="68"/>
        <v>0</v>
      </c>
      <c r="BO190" s="541">
        <f t="shared" si="68"/>
        <v>0</v>
      </c>
      <c r="BP190" s="541">
        <f t="shared" si="68"/>
        <v>0</v>
      </c>
      <c r="BQ190" s="541">
        <f t="shared" si="68"/>
        <v>0</v>
      </c>
      <c r="BR190" s="541">
        <f t="shared" si="68"/>
        <v>0</v>
      </c>
      <c r="BS190" s="541">
        <f t="shared" si="68"/>
        <v>0</v>
      </c>
      <c r="BT190" s="541">
        <f t="shared" si="68"/>
        <v>0</v>
      </c>
      <c r="BU190" s="541">
        <f t="shared" si="68"/>
        <v>0</v>
      </c>
      <c r="BV190" s="541">
        <f t="shared" si="68"/>
        <v>0</v>
      </c>
      <c r="BW190" s="541">
        <f t="shared" si="68"/>
        <v>0</v>
      </c>
      <c r="BX190" s="541">
        <f t="shared" si="68"/>
        <v>0</v>
      </c>
      <c r="BY190" s="541">
        <f t="shared" si="68"/>
        <v>0</v>
      </c>
      <c r="BZ190" s="541">
        <f t="shared" si="68"/>
        <v>0</v>
      </c>
      <c r="CA190" s="541">
        <f t="shared" si="68"/>
        <v>0</v>
      </c>
      <c r="CB190" s="541">
        <f t="shared" si="68"/>
        <v>0</v>
      </c>
      <c r="CC190" s="541">
        <f t="shared" si="68"/>
        <v>0</v>
      </c>
      <c r="CD190" s="541">
        <f t="shared" si="68"/>
        <v>0</v>
      </c>
      <c r="CE190" s="541">
        <f t="shared" si="68"/>
        <v>0</v>
      </c>
      <c r="CF190" s="541">
        <f t="shared" si="68"/>
        <v>0</v>
      </c>
      <c r="CG190" s="541">
        <f t="shared" si="68"/>
        <v>0</v>
      </c>
      <c r="CH190" s="541">
        <f t="shared" si="68"/>
        <v>0</v>
      </c>
      <c r="CI190" s="541">
        <f t="shared" si="68"/>
        <v>0</v>
      </c>
      <c r="CJ190" s="541">
        <f t="shared" si="68"/>
        <v>0</v>
      </c>
      <c r="CK190" s="541">
        <f t="shared" si="68"/>
        <v>0</v>
      </c>
      <c r="CL190" s="541">
        <f t="shared" si="68"/>
        <v>0</v>
      </c>
      <c r="CM190" s="541">
        <f t="shared" si="68"/>
        <v>0</v>
      </c>
      <c r="CN190" s="541">
        <f t="shared" si="68"/>
        <v>0</v>
      </c>
      <c r="CO190" s="541">
        <f t="shared" si="68"/>
        <v>0</v>
      </c>
      <c r="CP190" s="541">
        <f t="shared" si="68"/>
        <v>0</v>
      </c>
      <c r="CQ190" s="541">
        <f t="shared" si="68"/>
        <v>0</v>
      </c>
      <c r="CR190" s="541">
        <f t="shared" si="68"/>
        <v>0</v>
      </c>
      <c r="CS190" s="541">
        <f t="shared" si="68"/>
        <v>0</v>
      </c>
      <c r="CT190" s="541">
        <f t="shared" si="68"/>
        <v>0</v>
      </c>
      <c r="CU190" s="541">
        <f t="shared" si="68"/>
        <v>0</v>
      </c>
      <c r="CV190" s="541">
        <f t="shared" si="68"/>
        <v>0</v>
      </c>
      <c r="CW190" s="541">
        <f t="shared" si="68"/>
        <v>0</v>
      </c>
      <c r="CX190" s="541">
        <f t="shared" si="68"/>
        <v>0</v>
      </c>
      <c r="CY190" s="541">
        <f t="shared" si="68"/>
        <v>0</v>
      </c>
      <c r="CZ190" s="541">
        <f t="shared" si="68"/>
        <v>0</v>
      </c>
      <c r="DA190" s="541">
        <f t="shared" si="68"/>
        <v>0</v>
      </c>
      <c r="DB190" s="541">
        <f t="shared" si="68"/>
        <v>0</v>
      </c>
      <c r="DC190" s="541">
        <f t="shared" si="68"/>
        <v>0</v>
      </c>
      <c r="DD190" s="541">
        <f t="shared" si="68"/>
        <v>0</v>
      </c>
      <c r="DE190" s="541">
        <f t="shared" si="68"/>
        <v>0</v>
      </c>
      <c r="DF190" s="541">
        <f t="shared" si="68"/>
        <v>0</v>
      </c>
      <c r="DG190" s="541">
        <f t="shared" si="68"/>
        <v>0</v>
      </c>
      <c r="DH190" s="541">
        <f t="shared" si="68"/>
        <v>0</v>
      </c>
      <c r="DI190" s="541">
        <f t="shared" si="68"/>
        <v>0</v>
      </c>
      <c r="DJ190" s="541">
        <f t="shared" si="68"/>
        <v>0</v>
      </c>
      <c r="DK190" s="541">
        <f t="shared" si="68"/>
        <v>0</v>
      </c>
      <c r="DL190" s="541">
        <f t="shared" si="68"/>
        <v>0</v>
      </c>
      <c r="DM190" s="541">
        <f t="shared" si="68"/>
        <v>0</v>
      </c>
      <c r="DN190" s="541">
        <f t="shared" si="68"/>
        <v>0</v>
      </c>
      <c r="DO190" s="541">
        <f t="shared" si="68"/>
        <v>0</v>
      </c>
      <c r="DP190" s="541">
        <f t="shared" si="68"/>
        <v>0</v>
      </c>
      <c r="DQ190" s="541">
        <f t="shared" si="68"/>
        <v>0</v>
      </c>
      <c r="DR190" s="541">
        <f t="shared" si="68"/>
        <v>0</v>
      </c>
      <c r="DS190" s="541">
        <f t="shared" si="68"/>
        <v>0</v>
      </c>
      <c r="DT190" s="541">
        <f t="shared" si="68"/>
        <v>0</v>
      </c>
      <c r="DU190" s="541">
        <f t="shared" si="68"/>
        <v>0</v>
      </c>
      <c r="DV190" s="541">
        <f t="shared" si="68"/>
        <v>0</v>
      </c>
      <c r="DW190" s="541">
        <f t="shared" si="68"/>
        <v>0</v>
      </c>
      <c r="DX190" s="541">
        <f t="shared" si="68"/>
        <v>0</v>
      </c>
      <c r="DY190" s="541">
        <f t="shared" si="68"/>
        <v>0</v>
      </c>
      <c r="DZ190" s="541">
        <f t="shared" si="68"/>
        <v>0</v>
      </c>
      <c r="EA190" s="541">
        <f t="shared" si="68"/>
        <v>0</v>
      </c>
      <c r="EB190" s="541">
        <f t="shared" si="68"/>
        <v>0</v>
      </c>
      <c r="EC190" s="541">
        <f t="shared" si="68"/>
        <v>0</v>
      </c>
      <c r="ED190" s="541">
        <f t="shared" si="68"/>
        <v>0</v>
      </c>
      <c r="EE190" s="541">
        <f t="shared" si="68"/>
        <v>0</v>
      </c>
      <c r="EF190" s="541">
        <f t="shared" si="68"/>
        <v>0</v>
      </c>
      <c r="EG190" s="541">
        <f t="shared" si="68"/>
        <v>0</v>
      </c>
    </row>
    <row r="193" spans="1:1" ht="12.75">
      <c r="A193" s="534" t="s">
        <v>244</v>
      </c>
    </row>
    <row r="195" spans="5:7" ht="12.75">
      <c r="E195" s="535" t="str">
        <f>InpC!E$128</f>
        <v>Check tolerance</v>
      </c>
      <c r="F195" s="537">
        <f>InpC!F$128</f>
        <v>0.001</v>
      </c>
      <c r="G195" s="537" t="str">
        <f>InpC!G$128</f>
        <v>EUR 000s</v>
      </c>
    </row>
    <row r="196" spans="5:137" ht="12.75">
      <c r="E196" s="538" t="str">
        <f>E$134</f>
        <v>Sponsor equity - drawdown</v>
      </c>
      <c r="G196" s="539" t="str">
        <f>G$134</f>
        <v>EUR 000s</v>
      </c>
      <c r="H196" s="539">
        <f>H$134</f>
        <v>69547.232200616272</v>
      </c>
      <c r="J196" s="539">
        <f t="shared" si="69" ref="J196:EG196">J$134</f>
        <v>0</v>
      </c>
      <c r="K196" s="539">
        <f t="shared" si="69"/>
        <v>0</v>
      </c>
      <c r="L196" s="539">
        <f t="shared" si="69"/>
        <v>11319.299718665801</v>
      </c>
      <c r="M196" s="539">
        <f t="shared" si="69"/>
        <v>13400.690161983533</v>
      </c>
      <c r="N196" s="539">
        <f t="shared" si="69"/>
        <v>13741.483730168373</v>
      </c>
      <c r="O196" s="539">
        <f t="shared" si="69"/>
        <v>13418.385230476684</v>
      </c>
      <c r="P196" s="539">
        <f t="shared" si="69"/>
        <v>13759.768634277963</v>
      </c>
      <c r="Q196" s="539">
        <f t="shared" si="69"/>
        <v>3907.6047250439151</v>
      </c>
      <c r="R196" s="539">
        <f t="shared" si="69"/>
        <v>0</v>
      </c>
      <c r="S196" s="539">
        <f t="shared" si="69"/>
        <v>0</v>
      </c>
      <c r="T196" s="539">
        <f t="shared" si="69"/>
        <v>0</v>
      </c>
      <c r="U196" s="539">
        <f t="shared" si="69"/>
        <v>0</v>
      </c>
      <c r="V196" s="539">
        <f t="shared" si="69"/>
        <v>0</v>
      </c>
      <c r="W196" s="539">
        <f t="shared" si="69"/>
        <v>0</v>
      </c>
      <c r="X196" s="539">
        <f t="shared" si="69"/>
        <v>0</v>
      </c>
      <c r="Y196" s="539">
        <f t="shared" si="69"/>
        <v>0</v>
      </c>
      <c r="Z196" s="539">
        <f t="shared" si="69"/>
        <v>0</v>
      </c>
      <c r="AA196" s="539">
        <f t="shared" si="69"/>
        <v>0</v>
      </c>
      <c r="AB196" s="539">
        <f t="shared" si="69"/>
        <v>0</v>
      </c>
      <c r="AC196" s="539">
        <f t="shared" si="69"/>
        <v>0</v>
      </c>
      <c r="AD196" s="539">
        <f t="shared" si="69"/>
        <v>0</v>
      </c>
      <c r="AE196" s="539">
        <f t="shared" si="69"/>
        <v>0</v>
      </c>
      <c r="AF196" s="539">
        <f t="shared" si="69"/>
        <v>0</v>
      </c>
      <c r="AG196" s="539">
        <f t="shared" si="69"/>
        <v>0</v>
      </c>
      <c r="AH196" s="539">
        <f t="shared" si="69"/>
        <v>0</v>
      </c>
      <c r="AI196" s="539">
        <f t="shared" si="69"/>
        <v>0</v>
      </c>
      <c r="AJ196" s="539">
        <f t="shared" si="69"/>
        <v>0</v>
      </c>
      <c r="AK196" s="539">
        <f t="shared" si="69"/>
        <v>0</v>
      </c>
      <c r="AL196" s="539">
        <f t="shared" si="69"/>
        <v>0</v>
      </c>
      <c r="AM196" s="539">
        <f t="shared" si="69"/>
        <v>0</v>
      </c>
      <c r="AN196" s="539">
        <f t="shared" si="69"/>
        <v>0</v>
      </c>
      <c r="AO196" s="539">
        <f t="shared" si="69"/>
        <v>0</v>
      </c>
      <c r="AP196" s="539">
        <f t="shared" si="69"/>
        <v>0</v>
      </c>
      <c r="AQ196" s="539">
        <f t="shared" si="69"/>
        <v>0</v>
      </c>
      <c r="AR196" s="539">
        <f t="shared" si="69"/>
        <v>0</v>
      </c>
      <c r="AS196" s="539">
        <f t="shared" si="69"/>
        <v>0</v>
      </c>
      <c r="AT196" s="539">
        <f t="shared" si="69"/>
        <v>0</v>
      </c>
      <c r="AU196" s="539">
        <f t="shared" si="69"/>
        <v>0</v>
      </c>
      <c r="AV196" s="539">
        <f t="shared" si="69"/>
        <v>0</v>
      </c>
      <c r="AW196" s="539">
        <f t="shared" si="69"/>
        <v>0</v>
      </c>
      <c r="AX196" s="539">
        <f t="shared" si="69"/>
        <v>0</v>
      </c>
      <c r="AY196" s="539">
        <f t="shared" si="69"/>
        <v>0</v>
      </c>
      <c r="AZ196" s="539">
        <f t="shared" si="69"/>
        <v>0</v>
      </c>
      <c r="BA196" s="539">
        <f t="shared" si="69"/>
        <v>0</v>
      </c>
      <c r="BB196" s="539">
        <f t="shared" si="69"/>
        <v>0</v>
      </c>
      <c r="BC196" s="539">
        <f t="shared" si="69"/>
        <v>0</v>
      </c>
      <c r="BD196" s="539">
        <f t="shared" si="69"/>
        <v>0</v>
      </c>
      <c r="BE196" s="539">
        <f t="shared" si="69"/>
        <v>0</v>
      </c>
      <c r="BF196" s="539">
        <f t="shared" si="69"/>
        <v>0</v>
      </c>
      <c r="BG196" s="539">
        <f t="shared" si="69"/>
        <v>0</v>
      </c>
      <c r="BH196" s="539">
        <f t="shared" si="69"/>
        <v>0</v>
      </c>
      <c r="BI196" s="539">
        <f t="shared" si="69"/>
        <v>0</v>
      </c>
      <c r="BJ196" s="539">
        <f t="shared" si="69"/>
        <v>0</v>
      </c>
      <c r="BK196" s="539">
        <f t="shared" si="69"/>
        <v>0</v>
      </c>
      <c r="BL196" s="539">
        <f t="shared" si="69"/>
        <v>0</v>
      </c>
      <c r="BM196" s="539">
        <f t="shared" si="69"/>
        <v>0</v>
      </c>
      <c r="BN196" s="539">
        <f t="shared" si="69"/>
        <v>0</v>
      </c>
      <c r="BO196" s="539">
        <f t="shared" si="69"/>
        <v>0</v>
      </c>
      <c r="BP196" s="539">
        <f t="shared" si="69"/>
        <v>0</v>
      </c>
      <c r="BQ196" s="539">
        <f t="shared" si="69"/>
        <v>0</v>
      </c>
      <c r="BR196" s="539">
        <f t="shared" si="69"/>
        <v>0</v>
      </c>
      <c r="BS196" s="539">
        <f t="shared" si="69"/>
        <v>0</v>
      </c>
      <c r="BT196" s="539">
        <f t="shared" si="69"/>
        <v>0</v>
      </c>
      <c r="BU196" s="539">
        <f t="shared" si="69"/>
        <v>0</v>
      </c>
      <c r="BV196" s="539">
        <f t="shared" si="69"/>
        <v>0</v>
      </c>
      <c r="BW196" s="539">
        <f t="shared" si="69"/>
        <v>0</v>
      </c>
      <c r="BX196" s="539">
        <f t="shared" si="69"/>
        <v>0</v>
      </c>
      <c r="BY196" s="539">
        <f t="shared" si="69"/>
        <v>0</v>
      </c>
      <c r="BZ196" s="539">
        <f t="shared" si="69"/>
        <v>0</v>
      </c>
      <c r="CA196" s="539">
        <f t="shared" si="69"/>
        <v>0</v>
      </c>
      <c r="CB196" s="539">
        <f t="shared" si="69"/>
        <v>0</v>
      </c>
      <c r="CC196" s="539">
        <f t="shared" si="69"/>
        <v>0</v>
      </c>
      <c r="CD196" s="539">
        <f t="shared" si="69"/>
        <v>0</v>
      </c>
      <c r="CE196" s="539">
        <f t="shared" si="69"/>
        <v>0</v>
      </c>
      <c r="CF196" s="539">
        <f t="shared" si="69"/>
        <v>0</v>
      </c>
      <c r="CG196" s="539">
        <f t="shared" si="69"/>
        <v>0</v>
      </c>
      <c r="CH196" s="539">
        <f t="shared" si="69"/>
        <v>0</v>
      </c>
      <c r="CI196" s="539">
        <f t="shared" si="69"/>
        <v>0</v>
      </c>
      <c r="CJ196" s="539">
        <f t="shared" si="69"/>
        <v>0</v>
      </c>
      <c r="CK196" s="539">
        <f t="shared" si="69"/>
        <v>0</v>
      </c>
      <c r="CL196" s="539">
        <f t="shared" si="69"/>
        <v>0</v>
      </c>
      <c r="CM196" s="539">
        <f t="shared" si="69"/>
        <v>0</v>
      </c>
      <c r="CN196" s="539">
        <f t="shared" si="69"/>
        <v>0</v>
      </c>
      <c r="CO196" s="539">
        <f t="shared" si="69"/>
        <v>0</v>
      </c>
      <c r="CP196" s="539">
        <f t="shared" si="69"/>
        <v>0</v>
      </c>
      <c r="CQ196" s="539">
        <f t="shared" si="69"/>
        <v>0</v>
      </c>
      <c r="CR196" s="539">
        <f t="shared" si="69"/>
        <v>0</v>
      </c>
      <c r="CS196" s="539">
        <f t="shared" si="69"/>
        <v>0</v>
      </c>
      <c r="CT196" s="539">
        <f t="shared" si="69"/>
        <v>0</v>
      </c>
      <c r="CU196" s="539">
        <f t="shared" si="69"/>
        <v>0</v>
      </c>
      <c r="CV196" s="539">
        <f t="shared" si="69"/>
        <v>0</v>
      </c>
      <c r="CW196" s="539">
        <f t="shared" si="69"/>
        <v>0</v>
      </c>
      <c r="CX196" s="539">
        <f t="shared" si="69"/>
        <v>0</v>
      </c>
      <c r="CY196" s="539">
        <f t="shared" si="69"/>
        <v>0</v>
      </c>
      <c r="CZ196" s="539">
        <f t="shared" si="69"/>
        <v>0</v>
      </c>
      <c r="DA196" s="539">
        <f t="shared" si="69"/>
        <v>0</v>
      </c>
      <c r="DB196" s="539">
        <f t="shared" si="69"/>
        <v>0</v>
      </c>
      <c r="DC196" s="539">
        <f t="shared" si="69"/>
        <v>0</v>
      </c>
      <c r="DD196" s="539">
        <f t="shared" si="69"/>
        <v>0</v>
      </c>
      <c r="DE196" s="539">
        <f t="shared" si="69"/>
        <v>0</v>
      </c>
      <c r="DF196" s="539">
        <f t="shared" si="69"/>
        <v>0</v>
      </c>
      <c r="DG196" s="539">
        <f t="shared" si="69"/>
        <v>0</v>
      </c>
      <c r="DH196" s="539">
        <f t="shared" si="69"/>
        <v>0</v>
      </c>
      <c r="DI196" s="539">
        <f t="shared" si="69"/>
        <v>0</v>
      </c>
      <c r="DJ196" s="539">
        <f t="shared" si="69"/>
        <v>0</v>
      </c>
      <c r="DK196" s="539">
        <f t="shared" si="69"/>
        <v>0</v>
      </c>
      <c r="DL196" s="539">
        <f t="shared" si="69"/>
        <v>0</v>
      </c>
      <c r="DM196" s="539">
        <f t="shared" si="69"/>
        <v>0</v>
      </c>
      <c r="DN196" s="539">
        <f t="shared" si="69"/>
        <v>0</v>
      </c>
      <c r="DO196" s="539">
        <f t="shared" si="69"/>
        <v>0</v>
      </c>
      <c r="DP196" s="539">
        <f t="shared" si="69"/>
        <v>0</v>
      </c>
      <c r="DQ196" s="539">
        <f t="shared" si="69"/>
        <v>0</v>
      </c>
      <c r="DR196" s="539">
        <f t="shared" si="69"/>
        <v>0</v>
      </c>
      <c r="DS196" s="539">
        <f t="shared" si="69"/>
        <v>0</v>
      </c>
      <c r="DT196" s="539">
        <f t="shared" si="69"/>
        <v>0</v>
      </c>
      <c r="DU196" s="539">
        <f t="shared" si="69"/>
        <v>0</v>
      </c>
      <c r="DV196" s="539">
        <f t="shared" si="69"/>
        <v>0</v>
      </c>
      <c r="DW196" s="539">
        <f t="shared" si="69"/>
        <v>0</v>
      </c>
      <c r="DX196" s="539">
        <f t="shared" si="69"/>
        <v>0</v>
      </c>
      <c r="DY196" s="539">
        <f t="shared" si="69"/>
        <v>0</v>
      </c>
      <c r="DZ196" s="539">
        <f t="shared" si="69"/>
        <v>0</v>
      </c>
      <c r="EA196" s="539">
        <f t="shared" si="69"/>
        <v>0</v>
      </c>
      <c r="EB196" s="539">
        <f t="shared" si="69"/>
        <v>0</v>
      </c>
      <c r="EC196" s="539">
        <f t="shared" si="69"/>
        <v>0</v>
      </c>
      <c r="ED196" s="539">
        <f t="shared" si="69"/>
        <v>0</v>
      </c>
      <c r="EE196" s="539">
        <f t="shared" si="69"/>
        <v>0</v>
      </c>
      <c r="EF196" s="539">
        <f t="shared" si="69"/>
        <v>0</v>
      </c>
      <c r="EG196" s="539">
        <f t="shared" si="69"/>
        <v>0</v>
      </c>
    </row>
    <row r="197" spans="5:137" ht="12.75">
      <c r="E197" s="538" t="str">
        <f>E$144</f>
        <v>Junior facility - drawdown</v>
      </c>
      <c r="G197" s="539" t="str">
        <f>G$144</f>
        <v>EUR 000s</v>
      </c>
      <c r="H197" s="539">
        <f>H$144</f>
        <v>25289.902618405918</v>
      </c>
      <c r="J197" s="539">
        <f t="shared" si="70" ref="J197:EG197">J$144</f>
        <v>0</v>
      </c>
      <c r="K197" s="539">
        <f t="shared" si="70"/>
        <v>0</v>
      </c>
      <c r="L197" s="539">
        <f t="shared" si="70"/>
        <v>0</v>
      </c>
      <c r="M197" s="539">
        <f t="shared" si="70"/>
        <v>0</v>
      </c>
      <c r="N197" s="539">
        <f t="shared" si="70"/>
        <v>0</v>
      </c>
      <c r="O197" s="539">
        <f t="shared" si="70"/>
        <v>0</v>
      </c>
      <c r="P197" s="539">
        <f t="shared" si="70"/>
        <v>0</v>
      </c>
      <c r="Q197" s="539">
        <f t="shared" si="70"/>
        <v>9524.2618544395227</v>
      </c>
      <c r="R197" s="539">
        <f t="shared" si="70"/>
        <v>15765.640763966396</v>
      </c>
      <c r="S197" s="539">
        <f t="shared" si="70"/>
        <v>0</v>
      </c>
      <c r="T197" s="539">
        <f t="shared" si="70"/>
        <v>0</v>
      </c>
      <c r="U197" s="539">
        <f t="shared" si="70"/>
        <v>0</v>
      </c>
      <c r="V197" s="539">
        <f t="shared" si="70"/>
        <v>0</v>
      </c>
      <c r="W197" s="539">
        <f t="shared" si="70"/>
        <v>0</v>
      </c>
      <c r="X197" s="539">
        <f t="shared" si="70"/>
        <v>0</v>
      </c>
      <c r="Y197" s="539">
        <f t="shared" si="70"/>
        <v>0</v>
      </c>
      <c r="Z197" s="539">
        <f t="shared" si="70"/>
        <v>0</v>
      </c>
      <c r="AA197" s="539">
        <f t="shared" si="70"/>
        <v>0</v>
      </c>
      <c r="AB197" s="539">
        <f t="shared" si="70"/>
        <v>0</v>
      </c>
      <c r="AC197" s="539">
        <f t="shared" si="70"/>
        <v>0</v>
      </c>
      <c r="AD197" s="539">
        <f t="shared" si="70"/>
        <v>0</v>
      </c>
      <c r="AE197" s="539">
        <f t="shared" si="70"/>
        <v>0</v>
      </c>
      <c r="AF197" s="539">
        <f t="shared" si="70"/>
        <v>0</v>
      </c>
      <c r="AG197" s="539">
        <f t="shared" si="70"/>
        <v>0</v>
      </c>
      <c r="AH197" s="539">
        <f t="shared" si="70"/>
        <v>0</v>
      </c>
      <c r="AI197" s="539">
        <f t="shared" si="70"/>
        <v>0</v>
      </c>
      <c r="AJ197" s="539">
        <f t="shared" si="70"/>
        <v>0</v>
      </c>
      <c r="AK197" s="539">
        <f t="shared" si="70"/>
        <v>0</v>
      </c>
      <c r="AL197" s="539">
        <f t="shared" si="70"/>
        <v>0</v>
      </c>
      <c r="AM197" s="539">
        <f t="shared" si="70"/>
        <v>0</v>
      </c>
      <c r="AN197" s="539">
        <f t="shared" si="70"/>
        <v>0</v>
      </c>
      <c r="AO197" s="539">
        <f t="shared" si="70"/>
        <v>0</v>
      </c>
      <c r="AP197" s="539">
        <f t="shared" si="70"/>
        <v>0</v>
      </c>
      <c r="AQ197" s="539">
        <f t="shared" si="70"/>
        <v>0</v>
      </c>
      <c r="AR197" s="539">
        <f t="shared" si="70"/>
        <v>0</v>
      </c>
      <c r="AS197" s="539">
        <f t="shared" si="70"/>
        <v>0</v>
      </c>
      <c r="AT197" s="539">
        <f t="shared" si="70"/>
        <v>0</v>
      </c>
      <c r="AU197" s="539">
        <f t="shared" si="70"/>
        <v>0</v>
      </c>
      <c r="AV197" s="539">
        <f t="shared" si="70"/>
        <v>0</v>
      </c>
      <c r="AW197" s="539">
        <f t="shared" si="70"/>
        <v>0</v>
      </c>
      <c r="AX197" s="539">
        <f t="shared" si="70"/>
        <v>0</v>
      </c>
      <c r="AY197" s="539">
        <f t="shared" si="70"/>
        <v>0</v>
      </c>
      <c r="AZ197" s="539">
        <f t="shared" si="70"/>
        <v>0</v>
      </c>
      <c r="BA197" s="539">
        <f t="shared" si="70"/>
        <v>0</v>
      </c>
      <c r="BB197" s="539">
        <f t="shared" si="70"/>
        <v>0</v>
      </c>
      <c r="BC197" s="539">
        <f t="shared" si="70"/>
        <v>0</v>
      </c>
      <c r="BD197" s="539">
        <f t="shared" si="70"/>
        <v>0</v>
      </c>
      <c r="BE197" s="539">
        <f t="shared" si="70"/>
        <v>0</v>
      </c>
      <c r="BF197" s="539">
        <f t="shared" si="70"/>
        <v>0</v>
      </c>
      <c r="BG197" s="539">
        <f t="shared" si="70"/>
        <v>0</v>
      </c>
      <c r="BH197" s="539">
        <f t="shared" si="70"/>
        <v>0</v>
      </c>
      <c r="BI197" s="539">
        <f t="shared" si="70"/>
        <v>0</v>
      </c>
      <c r="BJ197" s="539">
        <f t="shared" si="70"/>
        <v>0</v>
      </c>
      <c r="BK197" s="539">
        <f t="shared" si="70"/>
        <v>0</v>
      </c>
      <c r="BL197" s="539">
        <f t="shared" si="70"/>
        <v>0</v>
      </c>
      <c r="BM197" s="539">
        <f t="shared" si="70"/>
        <v>0</v>
      </c>
      <c r="BN197" s="539">
        <f t="shared" si="70"/>
        <v>0</v>
      </c>
      <c r="BO197" s="539">
        <f t="shared" si="70"/>
        <v>0</v>
      </c>
      <c r="BP197" s="539">
        <f t="shared" si="70"/>
        <v>0</v>
      </c>
      <c r="BQ197" s="539">
        <f t="shared" si="70"/>
        <v>0</v>
      </c>
      <c r="BR197" s="539">
        <f t="shared" si="70"/>
        <v>0</v>
      </c>
      <c r="BS197" s="539">
        <f t="shared" si="70"/>
        <v>0</v>
      </c>
      <c r="BT197" s="539">
        <f t="shared" si="70"/>
        <v>0</v>
      </c>
      <c r="BU197" s="539">
        <f t="shared" si="70"/>
        <v>0</v>
      </c>
      <c r="BV197" s="539">
        <f t="shared" si="70"/>
        <v>0</v>
      </c>
      <c r="BW197" s="539">
        <f t="shared" si="70"/>
        <v>0</v>
      </c>
      <c r="BX197" s="539">
        <f t="shared" si="70"/>
        <v>0</v>
      </c>
      <c r="BY197" s="539">
        <f t="shared" si="70"/>
        <v>0</v>
      </c>
      <c r="BZ197" s="539">
        <f t="shared" si="70"/>
        <v>0</v>
      </c>
      <c r="CA197" s="539">
        <f t="shared" si="70"/>
        <v>0</v>
      </c>
      <c r="CB197" s="539">
        <f t="shared" si="70"/>
        <v>0</v>
      </c>
      <c r="CC197" s="539">
        <f t="shared" si="70"/>
        <v>0</v>
      </c>
      <c r="CD197" s="539">
        <f t="shared" si="70"/>
        <v>0</v>
      </c>
      <c r="CE197" s="539">
        <f t="shared" si="70"/>
        <v>0</v>
      </c>
      <c r="CF197" s="539">
        <f t="shared" si="70"/>
        <v>0</v>
      </c>
      <c r="CG197" s="539">
        <f t="shared" si="70"/>
        <v>0</v>
      </c>
      <c r="CH197" s="539">
        <f t="shared" si="70"/>
        <v>0</v>
      </c>
      <c r="CI197" s="539">
        <f t="shared" si="70"/>
        <v>0</v>
      </c>
      <c r="CJ197" s="539">
        <f t="shared" si="70"/>
        <v>0</v>
      </c>
      <c r="CK197" s="539">
        <f t="shared" si="70"/>
        <v>0</v>
      </c>
      <c r="CL197" s="539">
        <f t="shared" si="70"/>
        <v>0</v>
      </c>
      <c r="CM197" s="539">
        <f t="shared" si="70"/>
        <v>0</v>
      </c>
      <c r="CN197" s="539">
        <f t="shared" si="70"/>
        <v>0</v>
      </c>
      <c r="CO197" s="539">
        <f t="shared" si="70"/>
        <v>0</v>
      </c>
      <c r="CP197" s="539">
        <f t="shared" si="70"/>
        <v>0</v>
      </c>
      <c r="CQ197" s="539">
        <f t="shared" si="70"/>
        <v>0</v>
      </c>
      <c r="CR197" s="539">
        <f t="shared" si="70"/>
        <v>0</v>
      </c>
      <c r="CS197" s="539">
        <f t="shared" si="70"/>
        <v>0</v>
      </c>
      <c r="CT197" s="539">
        <f t="shared" si="70"/>
        <v>0</v>
      </c>
      <c r="CU197" s="539">
        <f t="shared" si="70"/>
        <v>0</v>
      </c>
      <c r="CV197" s="539">
        <f t="shared" si="70"/>
        <v>0</v>
      </c>
      <c r="CW197" s="539">
        <f t="shared" si="70"/>
        <v>0</v>
      </c>
      <c r="CX197" s="539">
        <f t="shared" si="70"/>
        <v>0</v>
      </c>
      <c r="CY197" s="539">
        <f t="shared" si="70"/>
        <v>0</v>
      </c>
      <c r="CZ197" s="539">
        <f t="shared" si="70"/>
        <v>0</v>
      </c>
      <c r="DA197" s="539">
        <f t="shared" si="70"/>
        <v>0</v>
      </c>
      <c r="DB197" s="539">
        <f t="shared" si="70"/>
        <v>0</v>
      </c>
      <c r="DC197" s="539">
        <f t="shared" si="70"/>
        <v>0</v>
      </c>
      <c r="DD197" s="539">
        <f t="shared" si="70"/>
        <v>0</v>
      </c>
      <c r="DE197" s="539">
        <f t="shared" si="70"/>
        <v>0</v>
      </c>
      <c r="DF197" s="539">
        <f t="shared" si="70"/>
        <v>0</v>
      </c>
      <c r="DG197" s="539">
        <f t="shared" si="70"/>
        <v>0</v>
      </c>
      <c r="DH197" s="539">
        <f t="shared" si="70"/>
        <v>0</v>
      </c>
      <c r="DI197" s="539">
        <f t="shared" si="70"/>
        <v>0</v>
      </c>
      <c r="DJ197" s="539">
        <f t="shared" si="70"/>
        <v>0</v>
      </c>
      <c r="DK197" s="539">
        <f t="shared" si="70"/>
        <v>0</v>
      </c>
      <c r="DL197" s="539">
        <f t="shared" si="70"/>
        <v>0</v>
      </c>
      <c r="DM197" s="539">
        <f t="shared" si="70"/>
        <v>0</v>
      </c>
      <c r="DN197" s="539">
        <f t="shared" si="70"/>
        <v>0</v>
      </c>
      <c r="DO197" s="539">
        <f t="shared" si="70"/>
        <v>0</v>
      </c>
      <c r="DP197" s="539">
        <f t="shared" si="70"/>
        <v>0</v>
      </c>
      <c r="DQ197" s="539">
        <f t="shared" si="70"/>
        <v>0</v>
      </c>
      <c r="DR197" s="539">
        <f t="shared" si="70"/>
        <v>0</v>
      </c>
      <c r="DS197" s="539">
        <f t="shared" si="70"/>
        <v>0</v>
      </c>
      <c r="DT197" s="539">
        <f t="shared" si="70"/>
        <v>0</v>
      </c>
      <c r="DU197" s="539">
        <f t="shared" si="70"/>
        <v>0</v>
      </c>
      <c r="DV197" s="539">
        <f t="shared" si="70"/>
        <v>0</v>
      </c>
      <c r="DW197" s="539">
        <f t="shared" si="70"/>
        <v>0</v>
      </c>
      <c r="DX197" s="539">
        <f t="shared" si="70"/>
        <v>0</v>
      </c>
      <c r="DY197" s="539">
        <f t="shared" si="70"/>
        <v>0</v>
      </c>
      <c r="DZ197" s="539">
        <f t="shared" si="70"/>
        <v>0</v>
      </c>
      <c r="EA197" s="539">
        <f t="shared" si="70"/>
        <v>0</v>
      </c>
      <c r="EB197" s="539">
        <f t="shared" si="70"/>
        <v>0</v>
      </c>
      <c r="EC197" s="539">
        <f t="shared" si="70"/>
        <v>0</v>
      </c>
      <c r="ED197" s="539">
        <f t="shared" si="70"/>
        <v>0</v>
      </c>
      <c r="EE197" s="539">
        <f t="shared" si="70"/>
        <v>0</v>
      </c>
      <c r="EF197" s="539">
        <f t="shared" si="70"/>
        <v>0</v>
      </c>
      <c r="EG197" s="539">
        <f t="shared" si="70"/>
        <v>0</v>
      </c>
    </row>
    <row r="198" spans="5:137" ht="12.75">
      <c r="E198" s="538" t="str">
        <f>E$149</f>
        <v>Senior facility - drawdown</v>
      </c>
      <c r="G198" s="539" t="str">
        <f>G$149</f>
        <v>EUR 000s</v>
      </c>
      <c r="H198" s="539">
        <f>H$149</f>
        <v>221286.6479110517</v>
      </c>
      <c r="J198" s="539">
        <f t="shared" si="71" ref="J198:EG198">J$149</f>
        <v>0</v>
      </c>
      <c r="K198" s="539">
        <f t="shared" si="71"/>
        <v>0</v>
      </c>
      <c r="L198" s="539">
        <f t="shared" si="71"/>
        <v>0</v>
      </c>
      <c r="M198" s="539">
        <f t="shared" si="71"/>
        <v>0</v>
      </c>
      <c r="N198" s="539">
        <f t="shared" si="71"/>
        <v>0</v>
      </c>
      <c r="O198" s="539">
        <f t="shared" si="71"/>
        <v>0</v>
      </c>
      <c r="P198" s="539">
        <f t="shared" si="71"/>
        <v>-1.8189894035458565E-12</v>
      </c>
      <c r="Q198" s="539">
        <f t="shared" si="71"/>
        <v>0</v>
      </c>
      <c r="R198" s="539">
        <f t="shared" si="71"/>
        <v>1382.3281928992874</v>
      </c>
      <c r="S198" s="539">
        <f t="shared" si="71"/>
        <v>17980.844765662525</v>
      </c>
      <c r="T198" s="539">
        <f t="shared" si="71"/>
        <v>18373.00855600759</v>
      </c>
      <c r="U198" s="539">
        <f t="shared" si="71"/>
        <v>18794.294603184764</v>
      </c>
      <c r="V198" s="539">
        <f t="shared" si="71"/>
        <v>17560.929412437468</v>
      </c>
      <c r="W198" s="539">
        <f t="shared" si="71"/>
        <v>17427.529348846478</v>
      </c>
      <c r="X198" s="539">
        <f t="shared" si="71"/>
        <v>15736.56271752895</v>
      </c>
      <c r="Y198" s="539">
        <f t="shared" si="71"/>
        <v>13805.731154549694</v>
      </c>
      <c r="Z198" s="539">
        <f t="shared" si="71"/>
        <v>12901.477428191107</v>
      </c>
      <c r="AA198" s="539">
        <f t="shared" si="71"/>
        <v>14399.761727471965</v>
      </c>
      <c r="AB198" s="539">
        <f t="shared" si="71"/>
        <v>15143.672002923853</v>
      </c>
      <c r="AC198" s="539">
        <f t="shared" si="71"/>
        <v>15043.412380382597</v>
      </c>
      <c r="AD198" s="539">
        <f t="shared" si="71"/>
        <v>13719.08131146606</v>
      </c>
      <c r="AE198" s="539">
        <f t="shared" si="71"/>
        <v>8683.3953250207269</v>
      </c>
      <c r="AF198" s="539">
        <f t="shared" si="71"/>
        <v>6872.7289999061568</v>
      </c>
      <c r="AG198" s="539">
        <f t="shared" si="71"/>
        <v>13461.889984572472</v>
      </c>
      <c r="AH198" s="539">
        <f t="shared" si="71"/>
        <v>0</v>
      </c>
      <c r="AI198" s="539">
        <f t="shared" si="71"/>
        <v>0</v>
      </c>
      <c r="AJ198" s="539">
        <f t="shared" si="71"/>
        <v>0</v>
      </c>
      <c r="AK198" s="539">
        <f t="shared" si="71"/>
        <v>0</v>
      </c>
      <c r="AL198" s="539">
        <f t="shared" si="71"/>
        <v>0</v>
      </c>
      <c r="AM198" s="539">
        <f t="shared" si="71"/>
        <v>0</v>
      </c>
      <c r="AN198" s="539">
        <f t="shared" si="71"/>
        <v>0</v>
      </c>
      <c r="AO198" s="539">
        <f t="shared" si="71"/>
        <v>0</v>
      </c>
      <c r="AP198" s="539">
        <f t="shared" si="71"/>
        <v>0</v>
      </c>
      <c r="AQ198" s="539">
        <f t="shared" si="71"/>
        <v>0</v>
      </c>
      <c r="AR198" s="539">
        <f t="shared" si="71"/>
        <v>0</v>
      </c>
      <c r="AS198" s="539">
        <f t="shared" si="71"/>
        <v>0</v>
      </c>
      <c r="AT198" s="539">
        <f t="shared" si="71"/>
        <v>0</v>
      </c>
      <c r="AU198" s="539">
        <f t="shared" si="71"/>
        <v>0</v>
      </c>
      <c r="AV198" s="539">
        <f t="shared" si="71"/>
        <v>0</v>
      </c>
      <c r="AW198" s="539">
        <f t="shared" si="71"/>
        <v>0</v>
      </c>
      <c r="AX198" s="539">
        <f t="shared" si="71"/>
        <v>0</v>
      </c>
      <c r="AY198" s="539">
        <f t="shared" si="71"/>
        <v>0</v>
      </c>
      <c r="AZ198" s="539">
        <f t="shared" si="71"/>
        <v>0</v>
      </c>
      <c r="BA198" s="539">
        <f t="shared" si="71"/>
        <v>0</v>
      </c>
      <c r="BB198" s="539">
        <f t="shared" si="71"/>
        <v>0</v>
      </c>
      <c r="BC198" s="539">
        <f t="shared" si="71"/>
        <v>0</v>
      </c>
      <c r="BD198" s="539">
        <f t="shared" si="71"/>
        <v>0</v>
      </c>
      <c r="BE198" s="539">
        <f t="shared" si="71"/>
        <v>0</v>
      </c>
      <c r="BF198" s="539">
        <f t="shared" si="71"/>
        <v>0</v>
      </c>
      <c r="BG198" s="539">
        <f t="shared" si="71"/>
        <v>0</v>
      </c>
      <c r="BH198" s="539">
        <f t="shared" si="71"/>
        <v>0</v>
      </c>
      <c r="BI198" s="539">
        <f t="shared" si="71"/>
        <v>0</v>
      </c>
      <c r="BJ198" s="539">
        <f t="shared" si="71"/>
        <v>0</v>
      </c>
      <c r="BK198" s="539">
        <f t="shared" si="71"/>
        <v>0</v>
      </c>
      <c r="BL198" s="539">
        <f t="shared" si="71"/>
        <v>0</v>
      </c>
      <c r="BM198" s="539">
        <f t="shared" si="71"/>
        <v>0</v>
      </c>
      <c r="BN198" s="539">
        <f t="shared" si="71"/>
        <v>0</v>
      </c>
      <c r="BO198" s="539">
        <f t="shared" si="71"/>
        <v>0</v>
      </c>
      <c r="BP198" s="539">
        <f t="shared" si="71"/>
        <v>0</v>
      </c>
      <c r="BQ198" s="539">
        <f t="shared" si="71"/>
        <v>0</v>
      </c>
      <c r="BR198" s="539">
        <f t="shared" si="71"/>
        <v>0</v>
      </c>
      <c r="BS198" s="539">
        <f t="shared" si="71"/>
        <v>0</v>
      </c>
      <c r="BT198" s="539">
        <f t="shared" si="71"/>
        <v>0</v>
      </c>
      <c r="BU198" s="539">
        <f t="shared" si="71"/>
        <v>0</v>
      </c>
      <c r="BV198" s="539">
        <f t="shared" si="71"/>
        <v>0</v>
      </c>
      <c r="BW198" s="539">
        <f t="shared" si="71"/>
        <v>0</v>
      </c>
      <c r="BX198" s="539">
        <f t="shared" si="71"/>
        <v>0</v>
      </c>
      <c r="BY198" s="539">
        <f t="shared" si="71"/>
        <v>0</v>
      </c>
      <c r="BZ198" s="539">
        <f t="shared" si="71"/>
        <v>0</v>
      </c>
      <c r="CA198" s="539">
        <f t="shared" si="71"/>
        <v>0</v>
      </c>
      <c r="CB198" s="539">
        <f t="shared" si="71"/>
        <v>0</v>
      </c>
      <c r="CC198" s="539">
        <f t="shared" si="71"/>
        <v>0</v>
      </c>
      <c r="CD198" s="539">
        <f t="shared" si="71"/>
        <v>0</v>
      </c>
      <c r="CE198" s="539">
        <f t="shared" si="71"/>
        <v>0</v>
      </c>
      <c r="CF198" s="539">
        <f t="shared" si="71"/>
        <v>0</v>
      </c>
      <c r="CG198" s="539">
        <f t="shared" si="71"/>
        <v>0</v>
      </c>
      <c r="CH198" s="539">
        <f t="shared" si="71"/>
        <v>0</v>
      </c>
      <c r="CI198" s="539">
        <f t="shared" si="71"/>
        <v>0</v>
      </c>
      <c r="CJ198" s="539">
        <f t="shared" si="71"/>
        <v>0</v>
      </c>
      <c r="CK198" s="539">
        <f t="shared" si="71"/>
        <v>0</v>
      </c>
      <c r="CL198" s="539">
        <f t="shared" si="71"/>
        <v>0</v>
      </c>
      <c r="CM198" s="539">
        <f t="shared" si="71"/>
        <v>0</v>
      </c>
      <c r="CN198" s="539">
        <f t="shared" si="71"/>
        <v>0</v>
      </c>
      <c r="CO198" s="539">
        <f t="shared" si="71"/>
        <v>0</v>
      </c>
      <c r="CP198" s="539">
        <f t="shared" si="71"/>
        <v>0</v>
      </c>
      <c r="CQ198" s="539">
        <f t="shared" si="71"/>
        <v>0</v>
      </c>
      <c r="CR198" s="539">
        <f t="shared" si="71"/>
        <v>0</v>
      </c>
      <c r="CS198" s="539">
        <f t="shared" si="71"/>
        <v>0</v>
      </c>
      <c r="CT198" s="539">
        <f t="shared" si="71"/>
        <v>0</v>
      </c>
      <c r="CU198" s="539">
        <f t="shared" si="71"/>
        <v>0</v>
      </c>
      <c r="CV198" s="539">
        <f t="shared" si="71"/>
        <v>0</v>
      </c>
      <c r="CW198" s="539">
        <f t="shared" si="71"/>
        <v>0</v>
      </c>
      <c r="CX198" s="539">
        <f t="shared" si="71"/>
        <v>0</v>
      </c>
      <c r="CY198" s="539">
        <f t="shared" si="71"/>
        <v>0</v>
      </c>
      <c r="CZ198" s="539">
        <f t="shared" si="71"/>
        <v>0</v>
      </c>
      <c r="DA198" s="539">
        <f t="shared" si="71"/>
        <v>0</v>
      </c>
      <c r="DB198" s="539">
        <f t="shared" si="71"/>
        <v>0</v>
      </c>
      <c r="DC198" s="539">
        <f t="shared" si="71"/>
        <v>0</v>
      </c>
      <c r="DD198" s="539">
        <f t="shared" si="71"/>
        <v>0</v>
      </c>
      <c r="DE198" s="539">
        <f t="shared" si="71"/>
        <v>0</v>
      </c>
      <c r="DF198" s="539">
        <f t="shared" si="71"/>
        <v>0</v>
      </c>
      <c r="DG198" s="539">
        <f t="shared" si="71"/>
        <v>0</v>
      </c>
      <c r="DH198" s="539">
        <f t="shared" si="71"/>
        <v>0</v>
      </c>
      <c r="DI198" s="539">
        <f t="shared" si="71"/>
        <v>0</v>
      </c>
      <c r="DJ198" s="539">
        <f t="shared" si="71"/>
        <v>0</v>
      </c>
      <c r="DK198" s="539">
        <f t="shared" si="71"/>
        <v>0</v>
      </c>
      <c r="DL198" s="539">
        <f t="shared" si="71"/>
        <v>0</v>
      </c>
      <c r="DM198" s="539">
        <f t="shared" si="71"/>
        <v>0</v>
      </c>
      <c r="DN198" s="539">
        <f t="shared" si="71"/>
        <v>0</v>
      </c>
      <c r="DO198" s="539">
        <f t="shared" si="71"/>
        <v>0</v>
      </c>
      <c r="DP198" s="539">
        <f t="shared" si="71"/>
        <v>0</v>
      </c>
      <c r="DQ198" s="539">
        <f t="shared" si="71"/>
        <v>0</v>
      </c>
      <c r="DR198" s="539">
        <f t="shared" si="71"/>
        <v>0</v>
      </c>
      <c r="DS198" s="539">
        <f t="shared" si="71"/>
        <v>0</v>
      </c>
      <c r="DT198" s="539">
        <f t="shared" si="71"/>
        <v>0</v>
      </c>
      <c r="DU198" s="539">
        <f t="shared" si="71"/>
        <v>0</v>
      </c>
      <c r="DV198" s="539">
        <f t="shared" si="71"/>
        <v>0</v>
      </c>
      <c r="DW198" s="539">
        <f t="shared" si="71"/>
        <v>0</v>
      </c>
      <c r="DX198" s="539">
        <f t="shared" si="71"/>
        <v>0</v>
      </c>
      <c r="DY198" s="539">
        <f t="shared" si="71"/>
        <v>0</v>
      </c>
      <c r="DZ198" s="539">
        <f t="shared" si="71"/>
        <v>0</v>
      </c>
      <c r="EA198" s="539">
        <f t="shared" si="71"/>
        <v>0</v>
      </c>
      <c r="EB198" s="539">
        <f t="shared" si="71"/>
        <v>0</v>
      </c>
      <c r="EC198" s="539">
        <f t="shared" si="71"/>
        <v>0</v>
      </c>
      <c r="ED198" s="539">
        <f t="shared" si="71"/>
        <v>0</v>
      </c>
      <c r="EE198" s="539">
        <f t="shared" si="71"/>
        <v>0</v>
      </c>
      <c r="EF198" s="539">
        <f t="shared" si="71"/>
        <v>0</v>
      </c>
      <c r="EG198" s="539">
        <f t="shared" si="71"/>
        <v>0</v>
      </c>
    </row>
    <row r="199" spans="5:137" ht="12.75">
      <c r="E199" s="538" t="str">
        <f>E$190</f>
        <v>Funding requirement - period</v>
      </c>
      <c r="G199" s="539" t="str">
        <f>G$190</f>
        <v>EUR 000s</v>
      </c>
      <c r="H199" s="539">
        <f>H$190</f>
        <v>316123.78273007425</v>
      </c>
      <c r="J199" s="539">
        <f t="shared" si="72" ref="J199:EG199">J$190</f>
        <v>0</v>
      </c>
      <c r="K199" s="539">
        <f t="shared" si="72"/>
        <v>0</v>
      </c>
      <c r="L199" s="539">
        <f t="shared" si="72"/>
        <v>11319.299718665774</v>
      </c>
      <c r="M199" s="539">
        <f t="shared" si="72"/>
        <v>13400.690161983532</v>
      </c>
      <c r="N199" s="539">
        <f t="shared" si="72"/>
        <v>13741.483730168371</v>
      </c>
      <c r="O199" s="539">
        <f t="shared" si="72"/>
        <v>13418.385230476682</v>
      </c>
      <c r="P199" s="539">
        <f t="shared" si="72"/>
        <v>13759.76863427796</v>
      </c>
      <c r="Q199" s="539">
        <f t="shared" si="72"/>
        <v>13431.86657948344</v>
      </c>
      <c r="R199" s="539">
        <f t="shared" si="72"/>
        <v>17147.968956865687</v>
      </c>
      <c r="S199" s="539">
        <f t="shared" si="72"/>
        <v>17980.844765662525</v>
      </c>
      <c r="T199" s="539">
        <f t="shared" si="72"/>
        <v>18373.008556007593</v>
      </c>
      <c r="U199" s="539">
        <f t="shared" si="72"/>
        <v>18794.294603184764</v>
      </c>
      <c r="V199" s="539">
        <f t="shared" si="72"/>
        <v>17560.929412437472</v>
      </c>
      <c r="W199" s="539">
        <f t="shared" si="72"/>
        <v>17427.529348846478</v>
      </c>
      <c r="X199" s="539">
        <f t="shared" si="72"/>
        <v>15736.56271752895</v>
      </c>
      <c r="Y199" s="539">
        <f t="shared" si="72"/>
        <v>13805.731154549696</v>
      </c>
      <c r="Z199" s="539">
        <f t="shared" si="72"/>
        <v>12901.477428191109</v>
      </c>
      <c r="AA199" s="539">
        <f t="shared" si="72"/>
        <v>14399.761727471967</v>
      </c>
      <c r="AB199" s="539">
        <f t="shared" si="72"/>
        <v>15143.672002923853</v>
      </c>
      <c r="AC199" s="539">
        <f t="shared" si="72"/>
        <v>15043.412380382597</v>
      </c>
      <c r="AD199" s="539">
        <f t="shared" si="72"/>
        <v>13719.08131146606</v>
      </c>
      <c r="AE199" s="539">
        <f t="shared" si="72"/>
        <v>8683.3953250207287</v>
      </c>
      <c r="AF199" s="539">
        <f t="shared" si="72"/>
        <v>6872.7289999061577</v>
      </c>
      <c r="AG199" s="539">
        <f t="shared" si="72"/>
        <v>13461.889984572863</v>
      </c>
      <c r="AH199" s="539">
        <f t="shared" si="72"/>
        <v>0</v>
      </c>
      <c r="AI199" s="539">
        <f t="shared" si="72"/>
        <v>0</v>
      </c>
      <c r="AJ199" s="539">
        <f t="shared" si="72"/>
        <v>0</v>
      </c>
      <c r="AK199" s="539">
        <f t="shared" si="72"/>
        <v>0</v>
      </c>
      <c r="AL199" s="539">
        <f t="shared" si="72"/>
        <v>0</v>
      </c>
      <c r="AM199" s="539">
        <f t="shared" si="72"/>
        <v>0</v>
      </c>
      <c r="AN199" s="539">
        <f t="shared" si="72"/>
        <v>0</v>
      </c>
      <c r="AO199" s="539">
        <f t="shared" si="72"/>
        <v>0</v>
      </c>
      <c r="AP199" s="539">
        <f t="shared" si="72"/>
        <v>0</v>
      </c>
      <c r="AQ199" s="539">
        <f t="shared" si="72"/>
        <v>0</v>
      </c>
      <c r="AR199" s="539">
        <f t="shared" si="72"/>
        <v>0</v>
      </c>
      <c r="AS199" s="539">
        <f t="shared" si="72"/>
        <v>0</v>
      </c>
      <c r="AT199" s="539">
        <f t="shared" si="72"/>
        <v>0</v>
      </c>
      <c r="AU199" s="539">
        <f t="shared" si="72"/>
        <v>0</v>
      </c>
      <c r="AV199" s="539">
        <f t="shared" si="72"/>
        <v>0</v>
      </c>
      <c r="AW199" s="539">
        <f t="shared" si="72"/>
        <v>0</v>
      </c>
      <c r="AX199" s="539">
        <f t="shared" si="72"/>
        <v>0</v>
      </c>
      <c r="AY199" s="539">
        <f t="shared" si="72"/>
        <v>0</v>
      </c>
      <c r="AZ199" s="539">
        <f t="shared" si="72"/>
        <v>0</v>
      </c>
      <c r="BA199" s="539">
        <f t="shared" si="72"/>
        <v>0</v>
      </c>
      <c r="BB199" s="539">
        <f t="shared" si="72"/>
        <v>0</v>
      </c>
      <c r="BC199" s="539">
        <f t="shared" si="72"/>
        <v>0</v>
      </c>
      <c r="BD199" s="539">
        <f t="shared" si="72"/>
        <v>0</v>
      </c>
      <c r="BE199" s="539">
        <f t="shared" si="72"/>
        <v>0</v>
      </c>
      <c r="BF199" s="539">
        <f t="shared" si="72"/>
        <v>0</v>
      </c>
      <c r="BG199" s="539">
        <f t="shared" si="72"/>
        <v>0</v>
      </c>
      <c r="BH199" s="539">
        <f t="shared" si="72"/>
        <v>0</v>
      </c>
      <c r="BI199" s="539">
        <f t="shared" si="72"/>
        <v>0</v>
      </c>
      <c r="BJ199" s="539">
        <f t="shared" si="72"/>
        <v>0</v>
      </c>
      <c r="BK199" s="539">
        <f t="shared" si="72"/>
        <v>0</v>
      </c>
      <c r="BL199" s="539">
        <f t="shared" si="72"/>
        <v>0</v>
      </c>
      <c r="BM199" s="539">
        <f t="shared" si="72"/>
        <v>0</v>
      </c>
      <c r="BN199" s="539">
        <f t="shared" si="72"/>
        <v>0</v>
      </c>
      <c r="BO199" s="539">
        <f t="shared" si="72"/>
        <v>0</v>
      </c>
      <c r="BP199" s="539">
        <f t="shared" si="72"/>
        <v>0</v>
      </c>
      <c r="BQ199" s="539">
        <f t="shared" si="72"/>
        <v>0</v>
      </c>
      <c r="BR199" s="539">
        <f t="shared" si="72"/>
        <v>0</v>
      </c>
      <c r="BS199" s="539">
        <f t="shared" si="72"/>
        <v>0</v>
      </c>
      <c r="BT199" s="539">
        <f t="shared" si="72"/>
        <v>0</v>
      </c>
      <c r="BU199" s="539">
        <f t="shared" si="72"/>
        <v>0</v>
      </c>
      <c r="BV199" s="539">
        <f t="shared" si="72"/>
        <v>0</v>
      </c>
      <c r="BW199" s="539">
        <f t="shared" si="72"/>
        <v>0</v>
      </c>
      <c r="BX199" s="539">
        <f t="shared" si="72"/>
        <v>0</v>
      </c>
      <c r="BY199" s="539">
        <f t="shared" si="72"/>
        <v>0</v>
      </c>
      <c r="BZ199" s="539">
        <f t="shared" si="72"/>
        <v>0</v>
      </c>
      <c r="CA199" s="539">
        <f t="shared" si="72"/>
        <v>0</v>
      </c>
      <c r="CB199" s="539">
        <f t="shared" si="72"/>
        <v>0</v>
      </c>
      <c r="CC199" s="539">
        <f t="shared" si="72"/>
        <v>0</v>
      </c>
      <c r="CD199" s="539">
        <f t="shared" si="72"/>
        <v>0</v>
      </c>
      <c r="CE199" s="539">
        <f t="shared" si="72"/>
        <v>0</v>
      </c>
      <c r="CF199" s="539">
        <f t="shared" si="72"/>
        <v>0</v>
      </c>
      <c r="CG199" s="539">
        <f t="shared" si="72"/>
        <v>0</v>
      </c>
      <c r="CH199" s="539">
        <f t="shared" si="72"/>
        <v>0</v>
      </c>
      <c r="CI199" s="539">
        <f t="shared" si="72"/>
        <v>0</v>
      </c>
      <c r="CJ199" s="539">
        <f t="shared" si="72"/>
        <v>0</v>
      </c>
      <c r="CK199" s="539">
        <f t="shared" si="72"/>
        <v>0</v>
      </c>
      <c r="CL199" s="539">
        <f t="shared" si="72"/>
        <v>0</v>
      </c>
      <c r="CM199" s="539">
        <f t="shared" si="72"/>
        <v>0</v>
      </c>
      <c r="CN199" s="539">
        <f t="shared" si="72"/>
        <v>0</v>
      </c>
      <c r="CO199" s="539">
        <f t="shared" si="72"/>
        <v>0</v>
      </c>
      <c r="CP199" s="539">
        <f t="shared" si="72"/>
        <v>0</v>
      </c>
      <c r="CQ199" s="539">
        <f t="shared" si="72"/>
        <v>0</v>
      </c>
      <c r="CR199" s="539">
        <f t="shared" si="72"/>
        <v>0</v>
      </c>
      <c r="CS199" s="539">
        <f t="shared" si="72"/>
        <v>0</v>
      </c>
      <c r="CT199" s="539">
        <f t="shared" si="72"/>
        <v>0</v>
      </c>
      <c r="CU199" s="539">
        <f t="shared" si="72"/>
        <v>0</v>
      </c>
      <c r="CV199" s="539">
        <f t="shared" si="72"/>
        <v>0</v>
      </c>
      <c r="CW199" s="539">
        <f t="shared" si="72"/>
        <v>0</v>
      </c>
      <c r="CX199" s="539">
        <f t="shared" si="72"/>
        <v>0</v>
      </c>
      <c r="CY199" s="539">
        <f t="shared" si="72"/>
        <v>0</v>
      </c>
      <c r="CZ199" s="539">
        <f t="shared" si="72"/>
        <v>0</v>
      </c>
      <c r="DA199" s="539">
        <f t="shared" si="72"/>
        <v>0</v>
      </c>
      <c r="DB199" s="539">
        <f t="shared" si="72"/>
        <v>0</v>
      </c>
      <c r="DC199" s="539">
        <f t="shared" si="72"/>
        <v>0</v>
      </c>
      <c r="DD199" s="539">
        <f t="shared" si="72"/>
        <v>0</v>
      </c>
      <c r="DE199" s="539">
        <f t="shared" si="72"/>
        <v>0</v>
      </c>
      <c r="DF199" s="539">
        <f t="shared" si="72"/>
        <v>0</v>
      </c>
      <c r="DG199" s="539">
        <f t="shared" si="72"/>
        <v>0</v>
      </c>
      <c r="DH199" s="539">
        <f t="shared" si="72"/>
        <v>0</v>
      </c>
      <c r="DI199" s="539">
        <f t="shared" si="72"/>
        <v>0</v>
      </c>
      <c r="DJ199" s="539">
        <f t="shared" si="72"/>
        <v>0</v>
      </c>
      <c r="DK199" s="539">
        <f t="shared" si="72"/>
        <v>0</v>
      </c>
      <c r="DL199" s="539">
        <f t="shared" si="72"/>
        <v>0</v>
      </c>
      <c r="DM199" s="539">
        <f t="shared" si="72"/>
        <v>0</v>
      </c>
      <c r="DN199" s="539">
        <f t="shared" si="72"/>
        <v>0</v>
      </c>
      <c r="DO199" s="539">
        <f t="shared" si="72"/>
        <v>0</v>
      </c>
      <c r="DP199" s="539">
        <f t="shared" si="72"/>
        <v>0</v>
      </c>
      <c r="DQ199" s="539">
        <f t="shared" si="72"/>
        <v>0</v>
      </c>
      <c r="DR199" s="539">
        <f t="shared" si="72"/>
        <v>0</v>
      </c>
      <c r="DS199" s="539">
        <f t="shared" si="72"/>
        <v>0</v>
      </c>
      <c r="DT199" s="539">
        <f t="shared" si="72"/>
        <v>0</v>
      </c>
      <c r="DU199" s="539">
        <f t="shared" si="72"/>
        <v>0</v>
      </c>
      <c r="DV199" s="539">
        <f t="shared" si="72"/>
        <v>0</v>
      </c>
      <c r="DW199" s="539">
        <f t="shared" si="72"/>
        <v>0</v>
      </c>
      <c r="DX199" s="539">
        <f t="shared" si="72"/>
        <v>0</v>
      </c>
      <c r="DY199" s="539">
        <f t="shared" si="72"/>
        <v>0</v>
      </c>
      <c r="DZ199" s="539">
        <f t="shared" si="72"/>
        <v>0</v>
      </c>
      <c r="EA199" s="539">
        <f t="shared" si="72"/>
        <v>0</v>
      </c>
      <c r="EB199" s="539">
        <f t="shared" si="72"/>
        <v>0</v>
      </c>
      <c r="EC199" s="539">
        <f t="shared" si="72"/>
        <v>0</v>
      </c>
      <c r="ED199" s="539">
        <f t="shared" si="72"/>
        <v>0</v>
      </c>
      <c r="EE199" s="539">
        <f t="shared" si="72"/>
        <v>0</v>
      </c>
      <c r="EF199" s="539">
        <f t="shared" si="72"/>
        <v>0</v>
      </c>
      <c r="EG199" s="539">
        <f t="shared" si="72"/>
        <v>0</v>
      </c>
    </row>
    <row r="200" spans="5:7" ht="12.75">
      <c r="E200" s="540" t="s">
        <v>245</v>
      </c>
      <c r="F200" s="543">
        <f>IF(ABS(SUM($J196:$EG196)+SUM($J197:$EG197)+SUM($J198:$EG198)-SUM($J199:$EG199))&gt;$F195,1,0)</f>
        <v>0</v>
      </c>
      <c r="G200" s="541" t="s">
        <v>224</v>
      </c>
    </row>
    <row r="202" spans="5:7" ht="12.75">
      <c r="E202" s="535" t="str">
        <f>Debt!E$155</f>
        <v>Junior facility - amount</v>
      </c>
      <c r="F202" s="537">
        <f>Debt!F$155</f>
        <v>25289.902618405908</v>
      </c>
      <c r="G202" s="537" t="str">
        <f>Debt!G$155</f>
        <v>EUR 000s</v>
      </c>
    </row>
    <row r="203" spans="5:7" ht="12.75">
      <c r="E203" s="535" t="str">
        <f>InpC!E$128</f>
        <v>Check tolerance</v>
      </c>
      <c r="F203" s="537">
        <f>InpC!F$128</f>
        <v>0.001</v>
      </c>
      <c r="G203" s="537" t="str">
        <f>InpC!G$128</f>
        <v>EUR 000s</v>
      </c>
    </row>
    <row r="204" spans="5:7" ht="12.75">
      <c r="E204" s="538" t="str">
        <f>E$117</f>
        <v>Senior facility - amount</v>
      </c>
      <c r="F204" s="539">
        <f>F$117</f>
        <v>221286.64791105167</v>
      </c>
      <c r="G204" s="539" t="str">
        <f>G$117</f>
        <v>EUR 000s</v>
      </c>
    </row>
    <row r="205" spans="5:7" ht="12.75">
      <c r="E205" s="538" t="str">
        <f>E$122</f>
        <v>Sponsor equity - amount (shareholder loan and share capital)</v>
      </c>
      <c r="F205" s="539">
        <f>F$122</f>
        <v>69547.232200616272</v>
      </c>
      <c r="G205" s="539" t="str">
        <f>G$122</f>
        <v>EUR 000s</v>
      </c>
    </row>
    <row r="206" spans="5:137" ht="12.75">
      <c r="E206" s="538" t="str">
        <f>E$134</f>
        <v>Sponsor equity - drawdown</v>
      </c>
      <c r="G206" s="539" t="str">
        <f>G$134</f>
        <v>EUR 000s</v>
      </c>
      <c r="H206" s="539">
        <f>H$134</f>
        <v>69547.232200616272</v>
      </c>
      <c r="J206" s="539">
        <f t="shared" si="73" ref="J206:EG206">J$134</f>
        <v>0</v>
      </c>
      <c r="K206" s="539">
        <f t="shared" si="73"/>
        <v>0</v>
      </c>
      <c r="L206" s="539">
        <f t="shared" si="73"/>
        <v>11319.299718665801</v>
      </c>
      <c r="M206" s="539">
        <f t="shared" si="73"/>
        <v>13400.690161983533</v>
      </c>
      <c r="N206" s="539">
        <f t="shared" si="73"/>
        <v>13741.483730168373</v>
      </c>
      <c r="O206" s="539">
        <f t="shared" si="73"/>
        <v>13418.385230476684</v>
      </c>
      <c r="P206" s="539">
        <f t="shared" si="73"/>
        <v>13759.768634277963</v>
      </c>
      <c r="Q206" s="539">
        <f t="shared" si="73"/>
        <v>3907.6047250439151</v>
      </c>
      <c r="R206" s="539">
        <f t="shared" si="73"/>
        <v>0</v>
      </c>
      <c r="S206" s="539">
        <f t="shared" si="73"/>
        <v>0</v>
      </c>
      <c r="T206" s="539">
        <f t="shared" si="73"/>
        <v>0</v>
      </c>
      <c r="U206" s="539">
        <f t="shared" si="73"/>
        <v>0</v>
      </c>
      <c r="V206" s="539">
        <f t="shared" si="73"/>
        <v>0</v>
      </c>
      <c r="W206" s="539">
        <f t="shared" si="73"/>
        <v>0</v>
      </c>
      <c r="X206" s="539">
        <f t="shared" si="73"/>
        <v>0</v>
      </c>
      <c r="Y206" s="539">
        <f t="shared" si="73"/>
        <v>0</v>
      </c>
      <c r="Z206" s="539">
        <f t="shared" si="73"/>
        <v>0</v>
      </c>
      <c r="AA206" s="539">
        <f t="shared" si="73"/>
        <v>0</v>
      </c>
      <c r="AB206" s="539">
        <f t="shared" si="73"/>
        <v>0</v>
      </c>
      <c r="AC206" s="539">
        <f t="shared" si="73"/>
        <v>0</v>
      </c>
      <c r="AD206" s="539">
        <f t="shared" si="73"/>
        <v>0</v>
      </c>
      <c r="AE206" s="539">
        <f t="shared" si="73"/>
        <v>0</v>
      </c>
      <c r="AF206" s="539">
        <f t="shared" si="73"/>
        <v>0</v>
      </c>
      <c r="AG206" s="539">
        <f t="shared" si="73"/>
        <v>0</v>
      </c>
      <c r="AH206" s="539">
        <f t="shared" si="73"/>
        <v>0</v>
      </c>
      <c r="AI206" s="539">
        <f t="shared" si="73"/>
        <v>0</v>
      </c>
      <c r="AJ206" s="539">
        <f t="shared" si="73"/>
        <v>0</v>
      </c>
      <c r="AK206" s="539">
        <f t="shared" si="73"/>
        <v>0</v>
      </c>
      <c r="AL206" s="539">
        <f t="shared" si="73"/>
        <v>0</v>
      </c>
      <c r="AM206" s="539">
        <f t="shared" si="73"/>
        <v>0</v>
      </c>
      <c r="AN206" s="539">
        <f t="shared" si="73"/>
        <v>0</v>
      </c>
      <c r="AO206" s="539">
        <f t="shared" si="73"/>
        <v>0</v>
      </c>
      <c r="AP206" s="539">
        <f t="shared" si="73"/>
        <v>0</v>
      </c>
      <c r="AQ206" s="539">
        <f t="shared" si="73"/>
        <v>0</v>
      </c>
      <c r="AR206" s="539">
        <f t="shared" si="73"/>
        <v>0</v>
      </c>
      <c r="AS206" s="539">
        <f t="shared" si="73"/>
        <v>0</v>
      </c>
      <c r="AT206" s="539">
        <f t="shared" si="73"/>
        <v>0</v>
      </c>
      <c r="AU206" s="539">
        <f t="shared" si="73"/>
        <v>0</v>
      </c>
      <c r="AV206" s="539">
        <f t="shared" si="73"/>
        <v>0</v>
      </c>
      <c r="AW206" s="539">
        <f t="shared" si="73"/>
        <v>0</v>
      </c>
      <c r="AX206" s="539">
        <f t="shared" si="73"/>
        <v>0</v>
      </c>
      <c r="AY206" s="539">
        <f t="shared" si="73"/>
        <v>0</v>
      </c>
      <c r="AZ206" s="539">
        <f t="shared" si="73"/>
        <v>0</v>
      </c>
      <c r="BA206" s="539">
        <f t="shared" si="73"/>
        <v>0</v>
      </c>
      <c r="BB206" s="539">
        <f t="shared" si="73"/>
        <v>0</v>
      </c>
      <c r="BC206" s="539">
        <f t="shared" si="73"/>
        <v>0</v>
      </c>
      <c r="BD206" s="539">
        <f t="shared" si="73"/>
        <v>0</v>
      </c>
      <c r="BE206" s="539">
        <f t="shared" si="73"/>
        <v>0</v>
      </c>
      <c r="BF206" s="539">
        <f t="shared" si="73"/>
        <v>0</v>
      </c>
      <c r="BG206" s="539">
        <f t="shared" si="73"/>
        <v>0</v>
      </c>
      <c r="BH206" s="539">
        <f t="shared" si="73"/>
        <v>0</v>
      </c>
      <c r="BI206" s="539">
        <f t="shared" si="73"/>
        <v>0</v>
      </c>
      <c r="BJ206" s="539">
        <f t="shared" si="73"/>
        <v>0</v>
      </c>
      <c r="BK206" s="539">
        <f t="shared" si="73"/>
        <v>0</v>
      </c>
      <c r="BL206" s="539">
        <f t="shared" si="73"/>
        <v>0</v>
      </c>
      <c r="BM206" s="539">
        <f t="shared" si="73"/>
        <v>0</v>
      </c>
      <c r="BN206" s="539">
        <f t="shared" si="73"/>
        <v>0</v>
      </c>
      <c r="BO206" s="539">
        <f t="shared" si="73"/>
        <v>0</v>
      </c>
      <c r="BP206" s="539">
        <f t="shared" si="73"/>
        <v>0</v>
      </c>
      <c r="BQ206" s="539">
        <f t="shared" si="73"/>
        <v>0</v>
      </c>
      <c r="BR206" s="539">
        <f t="shared" si="73"/>
        <v>0</v>
      </c>
      <c r="BS206" s="539">
        <f t="shared" si="73"/>
        <v>0</v>
      </c>
      <c r="BT206" s="539">
        <f t="shared" si="73"/>
        <v>0</v>
      </c>
      <c r="BU206" s="539">
        <f t="shared" si="73"/>
        <v>0</v>
      </c>
      <c r="BV206" s="539">
        <f t="shared" si="73"/>
        <v>0</v>
      </c>
      <c r="BW206" s="539">
        <f t="shared" si="73"/>
        <v>0</v>
      </c>
      <c r="BX206" s="539">
        <f t="shared" si="73"/>
        <v>0</v>
      </c>
      <c r="BY206" s="539">
        <f t="shared" si="73"/>
        <v>0</v>
      </c>
      <c r="BZ206" s="539">
        <f t="shared" si="73"/>
        <v>0</v>
      </c>
      <c r="CA206" s="539">
        <f t="shared" si="73"/>
        <v>0</v>
      </c>
      <c r="CB206" s="539">
        <f t="shared" si="73"/>
        <v>0</v>
      </c>
      <c r="CC206" s="539">
        <f t="shared" si="73"/>
        <v>0</v>
      </c>
      <c r="CD206" s="539">
        <f t="shared" si="73"/>
        <v>0</v>
      </c>
      <c r="CE206" s="539">
        <f t="shared" si="73"/>
        <v>0</v>
      </c>
      <c r="CF206" s="539">
        <f t="shared" si="73"/>
        <v>0</v>
      </c>
      <c r="CG206" s="539">
        <f t="shared" si="73"/>
        <v>0</v>
      </c>
      <c r="CH206" s="539">
        <f t="shared" si="73"/>
        <v>0</v>
      </c>
      <c r="CI206" s="539">
        <f t="shared" si="73"/>
        <v>0</v>
      </c>
      <c r="CJ206" s="539">
        <f t="shared" si="73"/>
        <v>0</v>
      </c>
      <c r="CK206" s="539">
        <f t="shared" si="73"/>
        <v>0</v>
      </c>
      <c r="CL206" s="539">
        <f t="shared" si="73"/>
        <v>0</v>
      </c>
      <c r="CM206" s="539">
        <f t="shared" si="73"/>
        <v>0</v>
      </c>
      <c r="CN206" s="539">
        <f t="shared" si="73"/>
        <v>0</v>
      </c>
      <c r="CO206" s="539">
        <f t="shared" si="73"/>
        <v>0</v>
      </c>
      <c r="CP206" s="539">
        <f t="shared" si="73"/>
        <v>0</v>
      </c>
      <c r="CQ206" s="539">
        <f t="shared" si="73"/>
        <v>0</v>
      </c>
      <c r="CR206" s="539">
        <f t="shared" si="73"/>
        <v>0</v>
      </c>
      <c r="CS206" s="539">
        <f t="shared" si="73"/>
        <v>0</v>
      </c>
      <c r="CT206" s="539">
        <f t="shared" si="73"/>
        <v>0</v>
      </c>
      <c r="CU206" s="539">
        <f t="shared" si="73"/>
        <v>0</v>
      </c>
      <c r="CV206" s="539">
        <f t="shared" si="73"/>
        <v>0</v>
      </c>
      <c r="CW206" s="539">
        <f t="shared" si="73"/>
        <v>0</v>
      </c>
      <c r="CX206" s="539">
        <f t="shared" si="73"/>
        <v>0</v>
      </c>
      <c r="CY206" s="539">
        <f t="shared" si="73"/>
        <v>0</v>
      </c>
      <c r="CZ206" s="539">
        <f t="shared" si="73"/>
        <v>0</v>
      </c>
      <c r="DA206" s="539">
        <f t="shared" si="73"/>
        <v>0</v>
      </c>
      <c r="DB206" s="539">
        <f t="shared" si="73"/>
        <v>0</v>
      </c>
      <c r="DC206" s="539">
        <f t="shared" si="73"/>
        <v>0</v>
      </c>
      <c r="DD206" s="539">
        <f t="shared" si="73"/>
        <v>0</v>
      </c>
      <c r="DE206" s="539">
        <f t="shared" si="73"/>
        <v>0</v>
      </c>
      <c r="DF206" s="539">
        <f t="shared" si="73"/>
        <v>0</v>
      </c>
      <c r="DG206" s="539">
        <f t="shared" si="73"/>
        <v>0</v>
      </c>
      <c r="DH206" s="539">
        <f t="shared" si="73"/>
        <v>0</v>
      </c>
      <c r="DI206" s="539">
        <f t="shared" si="73"/>
        <v>0</v>
      </c>
      <c r="DJ206" s="539">
        <f t="shared" si="73"/>
        <v>0</v>
      </c>
      <c r="DK206" s="539">
        <f t="shared" si="73"/>
        <v>0</v>
      </c>
      <c r="DL206" s="539">
        <f t="shared" si="73"/>
        <v>0</v>
      </c>
      <c r="DM206" s="539">
        <f t="shared" si="73"/>
        <v>0</v>
      </c>
      <c r="DN206" s="539">
        <f t="shared" si="73"/>
        <v>0</v>
      </c>
      <c r="DO206" s="539">
        <f t="shared" si="73"/>
        <v>0</v>
      </c>
      <c r="DP206" s="539">
        <f t="shared" si="73"/>
        <v>0</v>
      </c>
      <c r="DQ206" s="539">
        <f t="shared" si="73"/>
        <v>0</v>
      </c>
      <c r="DR206" s="539">
        <f t="shared" si="73"/>
        <v>0</v>
      </c>
      <c r="DS206" s="539">
        <f t="shared" si="73"/>
        <v>0</v>
      </c>
      <c r="DT206" s="539">
        <f t="shared" si="73"/>
        <v>0</v>
      </c>
      <c r="DU206" s="539">
        <f t="shared" si="73"/>
        <v>0</v>
      </c>
      <c r="DV206" s="539">
        <f t="shared" si="73"/>
        <v>0</v>
      </c>
      <c r="DW206" s="539">
        <f t="shared" si="73"/>
        <v>0</v>
      </c>
      <c r="DX206" s="539">
        <f t="shared" si="73"/>
        <v>0</v>
      </c>
      <c r="DY206" s="539">
        <f t="shared" si="73"/>
        <v>0</v>
      </c>
      <c r="DZ206" s="539">
        <f t="shared" si="73"/>
        <v>0</v>
      </c>
      <c r="EA206" s="539">
        <f t="shared" si="73"/>
        <v>0</v>
      </c>
      <c r="EB206" s="539">
        <f t="shared" si="73"/>
        <v>0</v>
      </c>
      <c r="EC206" s="539">
        <f t="shared" si="73"/>
        <v>0</v>
      </c>
      <c r="ED206" s="539">
        <f t="shared" si="73"/>
        <v>0</v>
      </c>
      <c r="EE206" s="539">
        <f t="shared" si="73"/>
        <v>0</v>
      </c>
      <c r="EF206" s="539">
        <f t="shared" si="73"/>
        <v>0</v>
      </c>
      <c r="EG206" s="539">
        <f t="shared" si="73"/>
        <v>0</v>
      </c>
    </row>
    <row r="207" spans="5:137" ht="12.75">
      <c r="E207" s="538" t="str">
        <f>E$144</f>
        <v>Junior facility - drawdown</v>
      </c>
      <c r="G207" s="539" t="str">
        <f>G$144</f>
        <v>EUR 000s</v>
      </c>
      <c r="H207" s="539">
        <f>H$144</f>
        <v>25289.902618405918</v>
      </c>
      <c r="J207" s="539">
        <f t="shared" si="74" ref="J207:EG207">J$144</f>
        <v>0</v>
      </c>
      <c r="K207" s="539">
        <f t="shared" si="74"/>
        <v>0</v>
      </c>
      <c r="L207" s="539">
        <f t="shared" si="74"/>
        <v>0</v>
      </c>
      <c r="M207" s="539">
        <f t="shared" si="74"/>
        <v>0</v>
      </c>
      <c r="N207" s="539">
        <f t="shared" si="74"/>
        <v>0</v>
      </c>
      <c r="O207" s="539">
        <f t="shared" si="74"/>
        <v>0</v>
      </c>
      <c r="P207" s="539">
        <f t="shared" si="74"/>
        <v>0</v>
      </c>
      <c r="Q207" s="539">
        <f t="shared" si="74"/>
        <v>9524.2618544395227</v>
      </c>
      <c r="R207" s="539">
        <f t="shared" si="74"/>
        <v>15765.640763966396</v>
      </c>
      <c r="S207" s="539">
        <f t="shared" si="74"/>
        <v>0</v>
      </c>
      <c r="T207" s="539">
        <f t="shared" si="74"/>
        <v>0</v>
      </c>
      <c r="U207" s="539">
        <f t="shared" si="74"/>
        <v>0</v>
      </c>
      <c r="V207" s="539">
        <f t="shared" si="74"/>
        <v>0</v>
      </c>
      <c r="W207" s="539">
        <f t="shared" si="74"/>
        <v>0</v>
      </c>
      <c r="X207" s="539">
        <f t="shared" si="74"/>
        <v>0</v>
      </c>
      <c r="Y207" s="539">
        <f t="shared" si="74"/>
        <v>0</v>
      </c>
      <c r="Z207" s="539">
        <f t="shared" si="74"/>
        <v>0</v>
      </c>
      <c r="AA207" s="539">
        <f t="shared" si="74"/>
        <v>0</v>
      </c>
      <c r="AB207" s="539">
        <f t="shared" si="74"/>
        <v>0</v>
      </c>
      <c r="AC207" s="539">
        <f t="shared" si="74"/>
        <v>0</v>
      </c>
      <c r="AD207" s="539">
        <f t="shared" si="74"/>
        <v>0</v>
      </c>
      <c r="AE207" s="539">
        <f t="shared" si="74"/>
        <v>0</v>
      </c>
      <c r="AF207" s="539">
        <f t="shared" si="74"/>
        <v>0</v>
      </c>
      <c r="AG207" s="539">
        <f t="shared" si="74"/>
        <v>0</v>
      </c>
      <c r="AH207" s="539">
        <f t="shared" si="74"/>
        <v>0</v>
      </c>
      <c r="AI207" s="539">
        <f t="shared" si="74"/>
        <v>0</v>
      </c>
      <c r="AJ207" s="539">
        <f t="shared" si="74"/>
        <v>0</v>
      </c>
      <c r="AK207" s="539">
        <f t="shared" si="74"/>
        <v>0</v>
      </c>
      <c r="AL207" s="539">
        <f t="shared" si="74"/>
        <v>0</v>
      </c>
      <c r="AM207" s="539">
        <f t="shared" si="74"/>
        <v>0</v>
      </c>
      <c r="AN207" s="539">
        <f t="shared" si="74"/>
        <v>0</v>
      </c>
      <c r="AO207" s="539">
        <f t="shared" si="74"/>
        <v>0</v>
      </c>
      <c r="AP207" s="539">
        <f t="shared" si="74"/>
        <v>0</v>
      </c>
      <c r="AQ207" s="539">
        <f t="shared" si="74"/>
        <v>0</v>
      </c>
      <c r="AR207" s="539">
        <f t="shared" si="74"/>
        <v>0</v>
      </c>
      <c r="AS207" s="539">
        <f t="shared" si="74"/>
        <v>0</v>
      </c>
      <c r="AT207" s="539">
        <f t="shared" si="74"/>
        <v>0</v>
      </c>
      <c r="AU207" s="539">
        <f t="shared" si="74"/>
        <v>0</v>
      </c>
      <c r="AV207" s="539">
        <f t="shared" si="74"/>
        <v>0</v>
      </c>
      <c r="AW207" s="539">
        <f t="shared" si="74"/>
        <v>0</v>
      </c>
      <c r="AX207" s="539">
        <f t="shared" si="74"/>
        <v>0</v>
      </c>
      <c r="AY207" s="539">
        <f t="shared" si="74"/>
        <v>0</v>
      </c>
      <c r="AZ207" s="539">
        <f t="shared" si="74"/>
        <v>0</v>
      </c>
      <c r="BA207" s="539">
        <f t="shared" si="74"/>
        <v>0</v>
      </c>
      <c r="BB207" s="539">
        <f t="shared" si="74"/>
        <v>0</v>
      </c>
      <c r="BC207" s="539">
        <f t="shared" si="74"/>
        <v>0</v>
      </c>
      <c r="BD207" s="539">
        <f t="shared" si="74"/>
        <v>0</v>
      </c>
      <c r="BE207" s="539">
        <f t="shared" si="74"/>
        <v>0</v>
      </c>
      <c r="BF207" s="539">
        <f t="shared" si="74"/>
        <v>0</v>
      </c>
      <c r="BG207" s="539">
        <f t="shared" si="74"/>
        <v>0</v>
      </c>
      <c r="BH207" s="539">
        <f t="shared" si="74"/>
        <v>0</v>
      </c>
      <c r="BI207" s="539">
        <f t="shared" si="74"/>
        <v>0</v>
      </c>
      <c r="BJ207" s="539">
        <f t="shared" si="74"/>
        <v>0</v>
      </c>
      <c r="BK207" s="539">
        <f t="shared" si="74"/>
        <v>0</v>
      </c>
      <c r="BL207" s="539">
        <f t="shared" si="74"/>
        <v>0</v>
      </c>
      <c r="BM207" s="539">
        <f t="shared" si="74"/>
        <v>0</v>
      </c>
      <c r="BN207" s="539">
        <f t="shared" si="74"/>
        <v>0</v>
      </c>
      <c r="BO207" s="539">
        <f t="shared" si="74"/>
        <v>0</v>
      </c>
      <c r="BP207" s="539">
        <f t="shared" si="74"/>
        <v>0</v>
      </c>
      <c r="BQ207" s="539">
        <f t="shared" si="74"/>
        <v>0</v>
      </c>
      <c r="BR207" s="539">
        <f t="shared" si="74"/>
        <v>0</v>
      </c>
      <c r="BS207" s="539">
        <f t="shared" si="74"/>
        <v>0</v>
      </c>
      <c r="BT207" s="539">
        <f t="shared" si="74"/>
        <v>0</v>
      </c>
      <c r="BU207" s="539">
        <f t="shared" si="74"/>
        <v>0</v>
      </c>
      <c r="BV207" s="539">
        <f t="shared" si="74"/>
        <v>0</v>
      </c>
      <c r="BW207" s="539">
        <f t="shared" si="74"/>
        <v>0</v>
      </c>
      <c r="BX207" s="539">
        <f t="shared" si="74"/>
        <v>0</v>
      </c>
      <c r="BY207" s="539">
        <f t="shared" si="74"/>
        <v>0</v>
      </c>
      <c r="BZ207" s="539">
        <f t="shared" si="74"/>
        <v>0</v>
      </c>
      <c r="CA207" s="539">
        <f t="shared" si="74"/>
        <v>0</v>
      </c>
      <c r="CB207" s="539">
        <f t="shared" si="74"/>
        <v>0</v>
      </c>
      <c r="CC207" s="539">
        <f t="shared" si="74"/>
        <v>0</v>
      </c>
      <c r="CD207" s="539">
        <f t="shared" si="74"/>
        <v>0</v>
      </c>
      <c r="CE207" s="539">
        <f t="shared" si="74"/>
        <v>0</v>
      </c>
      <c r="CF207" s="539">
        <f t="shared" si="74"/>
        <v>0</v>
      </c>
      <c r="CG207" s="539">
        <f t="shared" si="74"/>
        <v>0</v>
      </c>
      <c r="CH207" s="539">
        <f t="shared" si="74"/>
        <v>0</v>
      </c>
      <c r="CI207" s="539">
        <f t="shared" si="74"/>
        <v>0</v>
      </c>
      <c r="CJ207" s="539">
        <f t="shared" si="74"/>
        <v>0</v>
      </c>
      <c r="CK207" s="539">
        <f t="shared" si="74"/>
        <v>0</v>
      </c>
      <c r="CL207" s="539">
        <f t="shared" si="74"/>
        <v>0</v>
      </c>
      <c r="CM207" s="539">
        <f t="shared" si="74"/>
        <v>0</v>
      </c>
      <c r="CN207" s="539">
        <f t="shared" si="74"/>
        <v>0</v>
      </c>
      <c r="CO207" s="539">
        <f t="shared" si="74"/>
        <v>0</v>
      </c>
      <c r="CP207" s="539">
        <f t="shared" si="74"/>
        <v>0</v>
      </c>
      <c r="CQ207" s="539">
        <f t="shared" si="74"/>
        <v>0</v>
      </c>
      <c r="CR207" s="539">
        <f t="shared" si="74"/>
        <v>0</v>
      </c>
      <c r="CS207" s="539">
        <f t="shared" si="74"/>
        <v>0</v>
      </c>
      <c r="CT207" s="539">
        <f t="shared" si="74"/>
        <v>0</v>
      </c>
      <c r="CU207" s="539">
        <f t="shared" si="74"/>
        <v>0</v>
      </c>
      <c r="CV207" s="539">
        <f t="shared" si="74"/>
        <v>0</v>
      </c>
      <c r="CW207" s="539">
        <f t="shared" si="74"/>
        <v>0</v>
      </c>
      <c r="CX207" s="539">
        <f t="shared" si="74"/>
        <v>0</v>
      </c>
      <c r="CY207" s="539">
        <f t="shared" si="74"/>
        <v>0</v>
      </c>
      <c r="CZ207" s="539">
        <f t="shared" si="74"/>
        <v>0</v>
      </c>
      <c r="DA207" s="539">
        <f t="shared" si="74"/>
        <v>0</v>
      </c>
      <c r="DB207" s="539">
        <f t="shared" si="74"/>
        <v>0</v>
      </c>
      <c r="DC207" s="539">
        <f t="shared" si="74"/>
        <v>0</v>
      </c>
      <c r="DD207" s="539">
        <f t="shared" si="74"/>
        <v>0</v>
      </c>
      <c r="DE207" s="539">
        <f t="shared" si="74"/>
        <v>0</v>
      </c>
      <c r="DF207" s="539">
        <f t="shared" si="74"/>
        <v>0</v>
      </c>
      <c r="DG207" s="539">
        <f t="shared" si="74"/>
        <v>0</v>
      </c>
      <c r="DH207" s="539">
        <f t="shared" si="74"/>
        <v>0</v>
      </c>
      <c r="DI207" s="539">
        <f t="shared" si="74"/>
        <v>0</v>
      </c>
      <c r="DJ207" s="539">
        <f t="shared" si="74"/>
        <v>0</v>
      </c>
      <c r="DK207" s="539">
        <f t="shared" si="74"/>
        <v>0</v>
      </c>
      <c r="DL207" s="539">
        <f t="shared" si="74"/>
        <v>0</v>
      </c>
      <c r="DM207" s="539">
        <f t="shared" si="74"/>
        <v>0</v>
      </c>
      <c r="DN207" s="539">
        <f t="shared" si="74"/>
        <v>0</v>
      </c>
      <c r="DO207" s="539">
        <f t="shared" si="74"/>
        <v>0</v>
      </c>
      <c r="DP207" s="539">
        <f t="shared" si="74"/>
        <v>0</v>
      </c>
      <c r="DQ207" s="539">
        <f t="shared" si="74"/>
        <v>0</v>
      </c>
      <c r="DR207" s="539">
        <f t="shared" si="74"/>
        <v>0</v>
      </c>
      <c r="DS207" s="539">
        <f t="shared" si="74"/>
        <v>0</v>
      </c>
      <c r="DT207" s="539">
        <f t="shared" si="74"/>
        <v>0</v>
      </c>
      <c r="DU207" s="539">
        <f t="shared" si="74"/>
        <v>0</v>
      </c>
      <c r="DV207" s="539">
        <f t="shared" si="74"/>
        <v>0</v>
      </c>
      <c r="DW207" s="539">
        <f t="shared" si="74"/>
        <v>0</v>
      </c>
      <c r="DX207" s="539">
        <f t="shared" si="74"/>
        <v>0</v>
      </c>
      <c r="DY207" s="539">
        <f t="shared" si="74"/>
        <v>0</v>
      </c>
      <c r="DZ207" s="539">
        <f t="shared" si="74"/>
        <v>0</v>
      </c>
      <c r="EA207" s="539">
        <f t="shared" si="74"/>
        <v>0</v>
      </c>
      <c r="EB207" s="539">
        <f t="shared" si="74"/>
        <v>0</v>
      </c>
      <c r="EC207" s="539">
        <f t="shared" si="74"/>
        <v>0</v>
      </c>
      <c r="ED207" s="539">
        <f t="shared" si="74"/>
        <v>0</v>
      </c>
      <c r="EE207" s="539">
        <f t="shared" si="74"/>
        <v>0</v>
      </c>
      <c r="EF207" s="539">
        <f t="shared" si="74"/>
        <v>0</v>
      </c>
      <c r="EG207" s="539">
        <f t="shared" si="74"/>
        <v>0</v>
      </c>
    </row>
    <row r="208" spans="5:137" ht="12.75">
      <c r="E208" s="538" t="str">
        <f>E$149</f>
        <v>Senior facility - drawdown</v>
      </c>
      <c r="G208" s="539" t="str">
        <f>G$149</f>
        <v>EUR 000s</v>
      </c>
      <c r="H208" s="539">
        <f>H$149</f>
        <v>221286.6479110517</v>
      </c>
      <c r="J208" s="539">
        <f t="shared" si="75" ref="J208:EG208">J$149</f>
        <v>0</v>
      </c>
      <c r="K208" s="539">
        <f t="shared" si="75"/>
        <v>0</v>
      </c>
      <c r="L208" s="539">
        <f t="shared" si="75"/>
        <v>0</v>
      </c>
      <c r="M208" s="539">
        <f t="shared" si="75"/>
        <v>0</v>
      </c>
      <c r="N208" s="539">
        <f t="shared" si="75"/>
        <v>0</v>
      </c>
      <c r="O208" s="539">
        <f t="shared" si="75"/>
        <v>0</v>
      </c>
      <c r="P208" s="539">
        <f t="shared" si="75"/>
        <v>-1.8189894035458565E-12</v>
      </c>
      <c r="Q208" s="539">
        <f t="shared" si="75"/>
        <v>0</v>
      </c>
      <c r="R208" s="539">
        <f t="shared" si="75"/>
        <v>1382.3281928992874</v>
      </c>
      <c r="S208" s="539">
        <f t="shared" si="75"/>
        <v>17980.844765662525</v>
      </c>
      <c r="T208" s="539">
        <f t="shared" si="75"/>
        <v>18373.00855600759</v>
      </c>
      <c r="U208" s="539">
        <f t="shared" si="75"/>
        <v>18794.294603184764</v>
      </c>
      <c r="V208" s="539">
        <f t="shared" si="75"/>
        <v>17560.929412437468</v>
      </c>
      <c r="W208" s="539">
        <f t="shared" si="75"/>
        <v>17427.529348846478</v>
      </c>
      <c r="X208" s="539">
        <f t="shared" si="75"/>
        <v>15736.56271752895</v>
      </c>
      <c r="Y208" s="539">
        <f t="shared" si="75"/>
        <v>13805.731154549694</v>
      </c>
      <c r="Z208" s="539">
        <f t="shared" si="75"/>
        <v>12901.477428191107</v>
      </c>
      <c r="AA208" s="539">
        <f t="shared" si="75"/>
        <v>14399.761727471965</v>
      </c>
      <c r="AB208" s="539">
        <f t="shared" si="75"/>
        <v>15143.672002923853</v>
      </c>
      <c r="AC208" s="539">
        <f t="shared" si="75"/>
        <v>15043.412380382597</v>
      </c>
      <c r="AD208" s="539">
        <f t="shared" si="75"/>
        <v>13719.08131146606</v>
      </c>
      <c r="AE208" s="539">
        <f t="shared" si="75"/>
        <v>8683.3953250207269</v>
      </c>
      <c r="AF208" s="539">
        <f t="shared" si="75"/>
        <v>6872.7289999061568</v>
      </c>
      <c r="AG208" s="539">
        <f t="shared" si="75"/>
        <v>13461.889984572472</v>
      </c>
      <c r="AH208" s="539">
        <f t="shared" si="75"/>
        <v>0</v>
      </c>
      <c r="AI208" s="539">
        <f t="shared" si="75"/>
        <v>0</v>
      </c>
      <c r="AJ208" s="539">
        <f t="shared" si="75"/>
        <v>0</v>
      </c>
      <c r="AK208" s="539">
        <f t="shared" si="75"/>
        <v>0</v>
      </c>
      <c r="AL208" s="539">
        <f t="shared" si="75"/>
        <v>0</v>
      </c>
      <c r="AM208" s="539">
        <f t="shared" si="75"/>
        <v>0</v>
      </c>
      <c r="AN208" s="539">
        <f t="shared" si="75"/>
        <v>0</v>
      </c>
      <c r="AO208" s="539">
        <f t="shared" si="75"/>
        <v>0</v>
      </c>
      <c r="AP208" s="539">
        <f t="shared" si="75"/>
        <v>0</v>
      </c>
      <c r="AQ208" s="539">
        <f t="shared" si="75"/>
        <v>0</v>
      </c>
      <c r="AR208" s="539">
        <f t="shared" si="75"/>
        <v>0</v>
      </c>
      <c r="AS208" s="539">
        <f t="shared" si="75"/>
        <v>0</v>
      </c>
      <c r="AT208" s="539">
        <f t="shared" si="75"/>
        <v>0</v>
      </c>
      <c r="AU208" s="539">
        <f t="shared" si="75"/>
        <v>0</v>
      </c>
      <c r="AV208" s="539">
        <f t="shared" si="75"/>
        <v>0</v>
      </c>
      <c r="AW208" s="539">
        <f t="shared" si="75"/>
        <v>0</v>
      </c>
      <c r="AX208" s="539">
        <f t="shared" si="75"/>
        <v>0</v>
      </c>
      <c r="AY208" s="539">
        <f t="shared" si="75"/>
        <v>0</v>
      </c>
      <c r="AZ208" s="539">
        <f t="shared" si="75"/>
        <v>0</v>
      </c>
      <c r="BA208" s="539">
        <f t="shared" si="75"/>
        <v>0</v>
      </c>
      <c r="BB208" s="539">
        <f t="shared" si="75"/>
        <v>0</v>
      </c>
      <c r="BC208" s="539">
        <f t="shared" si="75"/>
        <v>0</v>
      </c>
      <c r="BD208" s="539">
        <f t="shared" si="75"/>
        <v>0</v>
      </c>
      <c r="BE208" s="539">
        <f t="shared" si="75"/>
        <v>0</v>
      </c>
      <c r="BF208" s="539">
        <f t="shared" si="75"/>
        <v>0</v>
      </c>
      <c r="BG208" s="539">
        <f t="shared" si="75"/>
        <v>0</v>
      </c>
      <c r="BH208" s="539">
        <f t="shared" si="75"/>
        <v>0</v>
      </c>
      <c r="BI208" s="539">
        <f t="shared" si="75"/>
        <v>0</v>
      </c>
      <c r="BJ208" s="539">
        <f t="shared" si="75"/>
        <v>0</v>
      </c>
      <c r="BK208" s="539">
        <f t="shared" si="75"/>
        <v>0</v>
      </c>
      <c r="BL208" s="539">
        <f t="shared" si="75"/>
        <v>0</v>
      </c>
      <c r="BM208" s="539">
        <f t="shared" si="75"/>
        <v>0</v>
      </c>
      <c r="BN208" s="539">
        <f t="shared" si="75"/>
        <v>0</v>
      </c>
      <c r="BO208" s="539">
        <f t="shared" si="75"/>
        <v>0</v>
      </c>
      <c r="BP208" s="539">
        <f t="shared" si="75"/>
        <v>0</v>
      </c>
      <c r="BQ208" s="539">
        <f t="shared" si="75"/>
        <v>0</v>
      </c>
      <c r="BR208" s="539">
        <f t="shared" si="75"/>
        <v>0</v>
      </c>
      <c r="BS208" s="539">
        <f t="shared" si="75"/>
        <v>0</v>
      </c>
      <c r="BT208" s="539">
        <f t="shared" si="75"/>
        <v>0</v>
      </c>
      <c r="BU208" s="539">
        <f t="shared" si="75"/>
        <v>0</v>
      </c>
      <c r="BV208" s="539">
        <f t="shared" si="75"/>
        <v>0</v>
      </c>
      <c r="BW208" s="539">
        <f t="shared" si="75"/>
        <v>0</v>
      </c>
      <c r="BX208" s="539">
        <f t="shared" si="75"/>
        <v>0</v>
      </c>
      <c r="BY208" s="539">
        <f t="shared" si="75"/>
        <v>0</v>
      </c>
      <c r="BZ208" s="539">
        <f t="shared" si="75"/>
        <v>0</v>
      </c>
      <c r="CA208" s="539">
        <f t="shared" si="75"/>
        <v>0</v>
      </c>
      <c r="CB208" s="539">
        <f t="shared" si="75"/>
        <v>0</v>
      </c>
      <c r="CC208" s="539">
        <f t="shared" si="75"/>
        <v>0</v>
      </c>
      <c r="CD208" s="539">
        <f t="shared" si="75"/>
        <v>0</v>
      </c>
      <c r="CE208" s="539">
        <f t="shared" si="75"/>
        <v>0</v>
      </c>
      <c r="CF208" s="539">
        <f t="shared" si="75"/>
        <v>0</v>
      </c>
      <c r="CG208" s="539">
        <f t="shared" si="75"/>
        <v>0</v>
      </c>
      <c r="CH208" s="539">
        <f t="shared" si="75"/>
        <v>0</v>
      </c>
      <c r="CI208" s="539">
        <f t="shared" si="75"/>
        <v>0</v>
      </c>
      <c r="CJ208" s="539">
        <f t="shared" si="75"/>
        <v>0</v>
      </c>
      <c r="CK208" s="539">
        <f t="shared" si="75"/>
        <v>0</v>
      </c>
      <c r="CL208" s="539">
        <f t="shared" si="75"/>
        <v>0</v>
      </c>
      <c r="CM208" s="539">
        <f t="shared" si="75"/>
        <v>0</v>
      </c>
      <c r="CN208" s="539">
        <f t="shared" si="75"/>
        <v>0</v>
      </c>
      <c r="CO208" s="539">
        <f t="shared" si="75"/>
        <v>0</v>
      </c>
      <c r="CP208" s="539">
        <f t="shared" si="75"/>
        <v>0</v>
      </c>
      <c r="CQ208" s="539">
        <f t="shared" si="75"/>
        <v>0</v>
      </c>
      <c r="CR208" s="539">
        <f t="shared" si="75"/>
        <v>0</v>
      </c>
      <c r="CS208" s="539">
        <f t="shared" si="75"/>
        <v>0</v>
      </c>
      <c r="CT208" s="539">
        <f t="shared" si="75"/>
        <v>0</v>
      </c>
      <c r="CU208" s="539">
        <f t="shared" si="75"/>
        <v>0</v>
      </c>
      <c r="CV208" s="539">
        <f t="shared" si="75"/>
        <v>0</v>
      </c>
      <c r="CW208" s="539">
        <f t="shared" si="75"/>
        <v>0</v>
      </c>
      <c r="CX208" s="539">
        <f t="shared" si="75"/>
        <v>0</v>
      </c>
      <c r="CY208" s="539">
        <f t="shared" si="75"/>
        <v>0</v>
      </c>
      <c r="CZ208" s="539">
        <f t="shared" si="75"/>
        <v>0</v>
      </c>
      <c r="DA208" s="539">
        <f t="shared" si="75"/>
        <v>0</v>
      </c>
      <c r="DB208" s="539">
        <f t="shared" si="75"/>
        <v>0</v>
      </c>
      <c r="DC208" s="539">
        <f t="shared" si="75"/>
        <v>0</v>
      </c>
      <c r="DD208" s="539">
        <f t="shared" si="75"/>
        <v>0</v>
      </c>
      <c r="DE208" s="539">
        <f t="shared" si="75"/>
        <v>0</v>
      </c>
      <c r="DF208" s="539">
        <f t="shared" si="75"/>
        <v>0</v>
      </c>
      <c r="DG208" s="539">
        <f t="shared" si="75"/>
        <v>0</v>
      </c>
      <c r="DH208" s="539">
        <f t="shared" si="75"/>
        <v>0</v>
      </c>
      <c r="DI208" s="539">
        <f t="shared" si="75"/>
        <v>0</v>
      </c>
      <c r="DJ208" s="539">
        <f t="shared" si="75"/>
        <v>0</v>
      </c>
      <c r="DK208" s="539">
        <f t="shared" si="75"/>
        <v>0</v>
      </c>
      <c r="DL208" s="539">
        <f t="shared" si="75"/>
        <v>0</v>
      </c>
      <c r="DM208" s="539">
        <f t="shared" si="75"/>
        <v>0</v>
      </c>
      <c r="DN208" s="539">
        <f t="shared" si="75"/>
        <v>0</v>
      </c>
      <c r="DO208" s="539">
        <f t="shared" si="75"/>
        <v>0</v>
      </c>
      <c r="DP208" s="539">
        <f t="shared" si="75"/>
        <v>0</v>
      </c>
      <c r="DQ208" s="539">
        <f t="shared" si="75"/>
        <v>0</v>
      </c>
      <c r="DR208" s="539">
        <f t="shared" si="75"/>
        <v>0</v>
      </c>
      <c r="DS208" s="539">
        <f t="shared" si="75"/>
        <v>0</v>
      </c>
      <c r="DT208" s="539">
        <f t="shared" si="75"/>
        <v>0</v>
      </c>
      <c r="DU208" s="539">
        <f t="shared" si="75"/>
        <v>0</v>
      </c>
      <c r="DV208" s="539">
        <f t="shared" si="75"/>
        <v>0</v>
      </c>
      <c r="DW208" s="539">
        <f t="shared" si="75"/>
        <v>0</v>
      </c>
      <c r="DX208" s="539">
        <f t="shared" si="75"/>
        <v>0</v>
      </c>
      <c r="DY208" s="539">
        <f t="shared" si="75"/>
        <v>0</v>
      </c>
      <c r="DZ208" s="539">
        <f t="shared" si="75"/>
        <v>0</v>
      </c>
      <c r="EA208" s="539">
        <f t="shared" si="75"/>
        <v>0</v>
      </c>
      <c r="EB208" s="539">
        <f t="shared" si="75"/>
        <v>0</v>
      </c>
      <c r="EC208" s="539">
        <f t="shared" si="75"/>
        <v>0</v>
      </c>
      <c r="ED208" s="539">
        <f t="shared" si="75"/>
        <v>0</v>
      </c>
      <c r="EE208" s="539">
        <f t="shared" si="75"/>
        <v>0</v>
      </c>
      <c r="EF208" s="539">
        <f t="shared" si="75"/>
        <v>0</v>
      </c>
      <c r="EG208" s="539">
        <f t="shared" si="75"/>
        <v>0</v>
      </c>
    </row>
    <row r="209" spans="5:7" ht="12.75">
      <c r="E209" s="540" t="s">
        <v>246</v>
      </c>
      <c r="F209" s="543">
        <f>IF(ABS(SUM($J208:$EG208)-$F204)+ABS(SUM($J206:$EG206)-$F205)+ABS(SUM($J207:$EG207)-$F202)&gt;$F203,1,0)</f>
        <v>0</v>
      </c>
      <c r="G209" s="541" t="s">
        <v>224</v>
      </c>
    </row>
    <row r="211" spans="5:137" ht="12.75">
      <c r="E211" s="535" t="str">
        <f>InpS!E$9</f>
        <v>Capex package 1 - spend profile</v>
      </c>
      <c r="G211" s="542" t="str">
        <f>InpS!G$9</f>
        <v>%</v>
      </c>
      <c r="H211" s="542">
        <f>InpS!H$9</f>
        <v>1</v>
      </c>
      <c r="J211" s="542">
        <f>InpS!J$9</f>
        <v>0</v>
      </c>
      <c r="K211" s="542">
        <f>InpS!K$9</f>
        <v>0</v>
      </c>
      <c r="L211" s="542">
        <f>InpS!L$9</f>
        <v>0</v>
      </c>
      <c r="M211" s="542">
        <f>InpS!M$9</f>
        <v>0.01171875</v>
      </c>
      <c r="N211" s="542">
        <f>InpS!N$9</f>
        <v>0.01953125</v>
      </c>
      <c r="O211" s="542">
        <f>InpS!O$9</f>
        <v>0.02734375</v>
      </c>
      <c r="P211" s="542">
        <f>InpS!P$9</f>
        <v>0.03515625</v>
      </c>
      <c r="Q211" s="542">
        <f>InpS!Q$9</f>
        <v>0.04296875</v>
      </c>
      <c r="R211" s="542">
        <f>InpS!R$9</f>
        <v>0.05078125</v>
      </c>
      <c r="S211" s="542">
        <f>InpS!S$9</f>
        <v>0.05859375</v>
      </c>
      <c r="T211" s="542">
        <f>InpS!T$9</f>
        <v>0.06640625</v>
      </c>
      <c r="U211" s="542">
        <f>InpS!U$9</f>
        <v>0.07421875</v>
      </c>
      <c r="V211" s="542">
        <f>InpS!V$9</f>
        <v>0.07421875</v>
      </c>
      <c r="W211" s="542">
        <f>InpS!W$9</f>
        <v>0.078125</v>
      </c>
      <c r="X211" s="542">
        <f>InpS!X$9</f>
        <v>0.07421875</v>
      </c>
      <c r="Y211" s="542">
        <f>InpS!Y$9</f>
        <v>0.07421875</v>
      </c>
      <c r="Z211" s="542">
        <f>InpS!Z$9</f>
        <v>0.06640625</v>
      </c>
      <c r="AA211" s="542">
        <f>InpS!AA$9</f>
        <v>0.05859375</v>
      </c>
      <c r="AB211" s="542">
        <f>InpS!AB$9</f>
        <v>0.05078125</v>
      </c>
      <c r="AC211" s="542">
        <f>InpS!AC$9</f>
        <v>0.04296875</v>
      </c>
      <c r="AD211" s="542">
        <f>InpS!AD$9</f>
        <v>0.03515625</v>
      </c>
      <c r="AE211" s="542">
        <f>InpS!AE$9</f>
        <v>0.02734375</v>
      </c>
      <c r="AF211" s="542">
        <f>InpS!AF$9</f>
        <v>0.01953125</v>
      </c>
      <c r="AG211" s="542">
        <f>InpS!AG$9</f>
        <v>0.01171875</v>
      </c>
      <c r="AH211" s="542">
        <f>InpS!AH$9</f>
        <v>0</v>
      </c>
      <c r="AI211" s="542">
        <f>InpS!AI$9</f>
        <v>0</v>
      </c>
      <c r="AJ211" s="542">
        <f>InpS!AJ$9</f>
        <v>0</v>
      </c>
      <c r="AK211" s="542">
        <f>InpS!AK$9</f>
        <v>0</v>
      </c>
      <c r="AL211" s="542">
        <f>InpS!AL$9</f>
        <v>0</v>
      </c>
      <c r="AM211" s="542">
        <f>InpS!AM$9</f>
        <v>0</v>
      </c>
      <c r="AN211" s="542">
        <f>InpS!AN$9</f>
        <v>0</v>
      </c>
      <c r="AO211" s="542">
        <f>InpS!AO$9</f>
        <v>0</v>
      </c>
      <c r="AP211" s="542">
        <f>InpS!AP$9</f>
        <v>0</v>
      </c>
      <c r="AQ211" s="542">
        <f>InpS!AQ$9</f>
        <v>0</v>
      </c>
      <c r="AR211" s="542">
        <f>InpS!AR$9</f>
        <v>0</v>
      </c>
      <c r="AS211" s="542">
        <f>InpS!AS$9</f>
        <v>0</v>
      </c>
      <c r="AT211" s="542">
        <f>InpS!AT$9</f>
        <v>0</v>
      </c>
      <c r="AU211" s="542">
        <f>InpS!AU$9</f>
        <v>0</v>
      </c>
      <c r="AV211" s="542">
        <f>InpS!AV$9</f>
        <v>0</v>
      </c>
      <c r="AW211" s="542">
        <f>InpS!AW$9</f>
        <v>0</v>
      </c>
      <c r="AX211" s="542">
        <f>InpS!AX$9</f>
        <v>0</v>
      </c>
      <c r="AY211" s="542">
        <f>InpS!AY$9</f>
        <v>0</v>
      </c>
      <c r="AZ211" s="542">
        <f>InpS!AZ$9</f>
        <v>0</v>
      </c>
      <c r="BA211" s="542">
        <f>InpS!BA$9</f>
        <v>0</v>
      </c>
      <c r="BB211" s="542">
        <f>InpS!BB$9</f>
        <v>0</v>
      </c>
      <c r="BC211" s="542">
        <f>InpS!BC$9</f>
        <v>0</v>
      </c>
      <c r="BD211" s="542">
        <f>InpS!BD$9</f>
        <v>0</v>
      </c>
      <c r="BE211" s="542">
        <f>InpS!BE$9</f>
        <v>0</v>
      </c>
      <c r="BF211" s="542">
        <f>InpS!BF$9</f>
        <v>0</v>
      </c>
      <c r="BG211" s="542">
        <f>InpS!BG$9</f>
        <v>0</v>
      </c>
      <c r="BH211" s="542">
        <f>InpS!BH$9</f>
        <v>0</v>
      </c>
      <c r="BI211" s="542">
        <f>InpS!BI$9</f>
        <v>0</v>
      </c>
      <c r="BJ211" s="542">
        <f>InpS!BJ$9</f>
        <v>0</v>
      </c>
      <c r="BK211" s="542">
        <f>InpS!BK$9</f>
        <v>0</v>
      </c>
      <c r="BL211" s="542">
        <f>InpS!BL$9</f>
        <v>0</v>
      </c>
      <c r="BM211" s="542">
        <f>InpS!BM$9</f>
        <v>0</v>
      </c>
      <c r="BN211" s="542">
        <f>InpS!BN$9</f>
        <v>0</v>
      </c>
      <c r="BO211" s="542">
        <f>InpS!BO$9</f>
        <v>0</v>
      </c>
      <c r="BP211" s="542">
        <f>InpS!BP$9</f>
        <v>0</v>
      </c>
      <c r="BQ211" s="542">
        <f>InpS!BQ$9</f>
        <v>0</v>
      </c>
      <c r="BR211" s="542">
        <f>InpS!BR$9</f>
        <v>0</v>
      </c>
      <c r="BS211" s="542">
        <f>InpS!BS$9</f>
        <v>0</v>
      </c>
      <c r="BT211" s="542">
        <f>InpS!BT$9</f>
        <v>0</v>
      </c>
      <c r="BU211" s="542">
        <f>InpS!BU$9</f>
        <v>0</v>
      </c>
      <c r="BV211" s="542">
        <f>InpS!BV$9</f>
        <v>0</v>
      </c>
      <c r="BW211" s="542">
        <f>InpS!BW$9</f>
        <v>0</v>
      </c>
      <c r="BX211" s="542">
        <f>InpS!BX$9</f>
        <v>0</v>
      </c>
      <c r="BY211" s="542">
        <f>InpS!BY$9</f>
        <v>0</v>
      </c>
      <c r="BZ211" s="542">
        <f>InpS!BZ$9</f>
        <v>0</v>
      </c>
      <c r="CA211" s="542">
        <f>InpS!CA$9</f>
        <v>0</v>
      </c>
      <c r="CB211" s="542">
        <f>InpS!CB$9</f>
        <v>0</v>
      </c>
      <c r="CC211" s="542">
        <f>InpS!CC$9</f>
        <v>0</v>
      </c>
      <c r="CD211" s="542">
        <f>InpS!CD$9</f>
        <v>0</v>
      </c>
      <c r="CE211" s="542">
        <f>InpS!CE$9</f>
        <v>0</v>
      </c>
      <c r="CF211" s="542">
        <f>InpS!CF$9</f>
        <v>0</v>
      </c>
      <c r="CG211" s="542">
        <f>InpS!CG$9</f>
        <v>0</v>
      </c>
      <c r="CH211" s="542">
        <f>InpS!CH$9</f>
        <v>0</v>
      </c>
      <c r="CI211" s="542">
        <f>InpS!CI$9</f>
        <v>0</v>
      </c>
      <c r="CJ211" s="542">
        <f>InpS!CJ$9</f>
        <v>0</v>
      </c>
      <c r="CK211" s="542">
        <f>InpS!CK$9</f>
        <v>0</v>
      </c>
      <c r="CL211" s="542">
        <f>InpS!CL$9</f>
        <v>0</v>
      </c>
      <c r="CM211" s="542">
        <f>InpS!CM$9</f>
        <v>0</v>
      </c>
      <c r="CN211" s="542">
        <f>InpS!CN$9</f>
        <v>0</v>
      </c>
      <c r="CO211" s="542">
        <f>InpS!CO$9</f>
        <v>0</v>
      </c>
      <c r="CP211" s="542">
        <f>InpS!CP$9</f>
        <v>0</v>
      </c>
      <c r="CQ211" s="542">
        <f>InpS!CQ$9</f>
        <v>0</v>
      </c>
      <c r="CR211" s="542">
        <f>InpS!CR$9</f>
        <v>0</v>
      </c>
      <c r="CS211" s="542">
        <f>InpS!CS$9</f>
        <v>0</v>
      </c>
      <c r="CT211" s="542">
        <f>InpS!CT$9</f>
        <v>0</v>
      </c>
      <c r="CU211" s="542">
        <f>InpS!CU$9</f>
        <v>0</v>
      </c>
      <c r="CV211" s="542">
        <f>InpS!CV$9</f>
        <v>0</v>
      </c>
      <c r="CW211" s="542">
        <f>InpS!CW$9</f>
        <v>0</v>
      </c>
      <c r="CX211" s="542">
        <f>InpS!CX$9</f>
        <v>0</v>
      </c>
      <c r="CY211" s="542">
        <f>InpS!CY$9</f>
        <v>0</v>
      </c>
      <c r="CZ211" s="542">
        <f>InpS!CZ$9</f>
        <v>0</v>
      </c>
      <c r="DA211" s="542">
        <f>InpS!DA$9</f>
        <v>0</v>
      </c>
      <c r="DB211" s="542">
        <f>InpS!DB$9</f>
        <v>0</v>
      </c>
      <c r="DC211" s="542">
        <f>InpS!DC$9</f>
        <v>0</v>
      </c>
      <c r="DD211" s="542">
        <f>InpS!DD$9</f>
        <v>0</v>
      </c>
      <c r="DE211" s="542">
        <f>InpS!DE$9</f>
        <v>0</v>
      </c>
      <c r="DF211" s="542">
        <f>InpS!DF$9</f>
        <v>0</v>
      </c>
      <c r="DG211" s="542">
        <f>InpS!DG$9</f>
        <v>0</v>
      </c>
      <c r="DH211" s="542">
        <f>InpS!DH$9</f>
        <v>0</v>
      </c>
      <c r="DI211" s="542">
        <f>InpS!DI$9</f>
        <v>0</v>
      </c>
      <c r="DJ211" s="542">
        <f>InpS!DJ$9</f>
        <v>0</v>
      </c>
      <c r="DK211" s="542">
        <f>InpS!DK$9</f>
        <v>0</v>
      </c>
      <c r="DL211" s="542">
        <f>InpS!DL$9</f>
        <v>0</v>
      </c>
      <c r="DM211" s="542">
        <f>InpS!DM$9</f>
        <v>0</v>
      </c>
      <c r="DN211" s="542">
        <f>InpS!DN$9</f>
        <v>0</v>
      </c>
      <c r="DO211" s="542">
        <f>InpS!DO$9</f>
        <v>0</v>
      </c>
      <c r="DP211" s="542">
        <f>InpS!DP$9</f>
        <v>0</v>
      </c>
      <c r="DQ211" s="542">
        <f>InpS!DQ$9</f>
        <v>0</v>
      </c>
      <c r="DR211" s="542">
        <f>InpS!DR$9</f>
        <v>0</v>
      </c>
      <c r="DS211" s="542">
        <f>InpS!DS$9</f>
        <v>0</v>
      </c>
      <c r="DT211" s="542">
        <f>InpS!DT$9</f>
        <v>0</v>
      </c>
      <c r="DU211" s="542">
        <f>InpS!DU$9</f>
        <v>0</v>
      </c>
      <c r="DV211" s="542">
        <f>InpS!DV$9</f>
        <v>0</v>
      </c>
      <c r="DW211" s="542">
        <f>InpS!DW$9</f>
        <v>0</v>
      </c>
      <c r="DX211" s="542">
        <f>InpS!DX$9</f>
        <v>0</v>
      </c>
      <c r="DY211" s="542">
        <f>InpS!DY$9</f>
        <v>0</v>
      </c>
      <c r="DZ211" s="542">
        <f>InpS!DZ$9</f>
        <v>0</v>
      </c>
      <c r="EA211" s="542">
        <f>InpS!EA$9</f>
        <v>0</v>
      </c>
      <c r="EB211" s="542">
        <f>InpS!EB$9</f>
        <v>0</v>
      </c>
      <c r="EC211" s="542">
        <f>InpS!EC$9</f>
        <v>0</v>
      </c>
      <c r="ED211" s="542">
        <f>InpS!ED$9</f>
        <v>0</v>
      </c>
      <c r="EE211" s="542">
        <f>InpS!EE$9</f>
        <v>0</v>
      </c>
      <c r="EF211" s="542">
        <f>InpS!EF$9</f>
        <v>0</v>
      </c>
      <c r="EG211" s="542">
        <f>InpS!EG$9</f>
        <v>0</v>
      </c>
    </row>
    <row r="212" spans="5:137" ht="12.75">
      <c r="E212" s="535" t="str">
        <f>InpS!E$10</f>
        <v>Capex package 2 - spend profile</v>
      </c>
      <c r="G212" s="542" t="str">
        <f>InpS!G$10</f>
        <v>%</v>
      </c>
      <c r="H212" s="542">
        <f>InpS!H$10</f>
        <v>1</v>
      </c>
      <c r="J212" s="542">
        <f>InpS!J$10</f>
        <v>0</v>
      </c>
      <c r="K212" s="542">
        <f>InpS!K$10</f>
        <v>0</v>
      </c>
      <c r="L212" s="542">
        <f>InpS!L$10</f>
        <v>0</v>
      </c>
      <c r="M212" s="542">
        <f>InpS!M$10</f>
        <v>0.140625</v>
      </c>
      <c r="N212" s="542">
        <f>InpS!N$10</f>
        <v>0.1328125</v>
      </c>
      <c r="O212" s="542">
        <f>InpS!O$10</f>
        <v>0.1171875</v>
      </c>
      <c r="P212" s="542">
        <f>InpS!P$10</f>
        <v>0.109375</v>
      </c>
      <c r="Q212" s="542">
        <f>InpS!Q$10</f>
        <v>0.09375</v>
      </c>
      <c r="R212" s="542">
        <f>InpS!R$10</f>
        <v>0.0859375</v>
      </c>
      <c r="S212" s="542">
        <f>InpS!S$10</f>
        <v>0.078125</v>
      </c>
      <c r="T212" s="542">
        <f>InpS!T$10</f>
        <v>0.0703125</v>
      </c>
      <c r="U212" s="542">
        <f>InpS!U$10</f>
        <v>0.0625</v>
      </c>
      <c r="V212" s="542">
        <f>InpS!V$10</f>
        <v>0.046875</v>
      </c>
      <c r="W212" s="542">
        <f>InpS!W$10</f>
        <v>0.0390625</v>
      </c>
      <c r="X212" s="542">
        <f>InpS!X$10</f>
        <v>0.0234375</v>
      </c>
      <c r="Y212" s="542">
        <f>InpS!Y$10</f>
        <v>0</v>
      </c>
      <c r="Z212" s="542">
        <f>InpS!Z$10</f>
        <v>0</v>
      </c>
      <c r="AA212" s="542">
        <f>InpS!AA$10</f>
        <v>0</v>
      </c>
      <c r="AB212" s="542">
        <f>InpS!AB$10</f>
        <v>0</v>
      </c>
      <c r="AC212" s="542">
        <f>InpS!AC$10</f>
        <v>0</v>
      </c>
      <c r="AD212" s="542">
        <f>InpS!AD$10</f>
        <v>0</v>
      </c>
      <c r="AE212" s="542">
        <f>InpS!AE$10</f>
        <v>0</v>
      </c>
      <c r="AF212" s="542">
        <f>InpS!AF$10</f>
        <v>0</v>
      </c>
      <c r="AG212" s="542">
        <f>InpS!AG$10</f>
        <v>0</v>
      </c>
      <c r="AH212" s="542">
        <f>InpS!AH$10</f>
        <v>0</v>
      </c>
      <c r="AI212" s="542">
        <f>InpS!AI$10</f>
        <v>0</v>
      </c>
      <c r="AJ212" s="542">
        <f>InpS!AJ$10</f>
        <v>0</v>
      </c>
      <c r="AK212" s="542">
        <f>InpS!AK$10</f>
        <v>0</v>
      </c>
      <c r="AL212" s="542">
        <f>InpS!AL$10</f>
        <v>0</v>
      </c>
      <c r="AM212" s="542">
        <f>InpS!AM$10</f>
        <v>0</v>
      </c>
      <c r="AN212" s="542">
        <f>InpS!AN$10</f>
        <v>0</v>
      </c>
      <c r="AO212" s="542">
        <f>InpS!AO$10</f>
        <v>0</v>
      </c>
      <c r="AP212" s="542">
        <f>InpS!AP$10</f>
        <v>0</v>
      </c>
      <c r="AQ212" s="542">
        <f>InpS!AQ$10</f>
        <v>0</v>
      </c>
      <c r="AR212" s="542">
        <f>InpS!AR$10</f>
        <v>0</v>
      </c>
      <c r="AS212" s="542">
        <f>InpS!AS$10</f>
        <v>0</v>
      </c>
      <c r="AT212" s="542">
        <f>InpS!AT$10</f>
        <v>0</v>
      </c>
      <c r="AU212" s="542">
        <f>InpS!AU$10</f>
        <v>0</v>
      </c>
      <c r="AV212" s="542">
        <f>InpS!AV$10</f>
        <v>0</v>
      </c>
      <c r="AW212" s="542">
        <f>InpS!AW$10</f>
        <v>0</v>
      </c>
      <c r="AX212" s="542">
        <f>InpS!AX$10</f>
        <v>0</v>
      </c>
      <c r="AY212" s="542">
        <f>InpS!AY$10</f>
        <v>0</v>
      </c>
      <c r="AZ212" s="542">
        <f>InpS!AZ$10</f>
        <v>0</v>
      </c>
      <c r="BA212" s="542">
        <f>InpS!BA$10</f>
        <v>0</v>
      </c>
      <c r="BB212" s="542">
        <f>InpS!BB$10</f>
        <v>0</v>
      </c>
      <c r="BC212" s="542">
        <f>InpS!BC$10</f>
        <v>0</v>
      </c>
      <c r="BD212" s="542">
        <f>InpS!BD$10</f>
        <v>0</v>
      </c>
      <c r="BE212" s="542">
        <f>InpS!BE$10</f>
        <v>0</v>
      </c>
      <c r="BF212" s="542">
        <f>InpS!BF$10</f>
        <v>0</v>
      </c>
      <c r="BG212" s="542">
        <f>InpS!BG$10</f>
        <v>0</v>
      </c>
      <c r="BH212" s="542">
        <f>InpS!BH$10</f>
        <v>0</v>
      </c>
      <c r="BI212" s="542">
        <f>InpS!BI$10</f>
        <v>0</v>
      </c>
      <c r="BJ212" s="542">
        <f>InpS!BJ$10</f>
        <v>0</v>
      </c>
      <c r="BK212" s="542">
        <f>InpS!BK$10</f>
        <v>0</v>
      </c>
      <c r="BL212" s="542">
        <f>InpS!BL$10</f>
        <v>0</v>
      </c>
      <c r="BM212" s="542">
        <f>InpS!BM$10</f>
        <v>0</v>
      </c>
      <c r="BN212" s="542">
        <f>InpS!BN$10</f>
        <v>0</v>
      </c>
      <c r="BO212" s="542">
        <f>InpS!BO$10</f>
        <v>0</v>
      </c>
      <c r="BP212" s="542">
        <f>InpS!BP$10</f>
        <v>0</v>
      </c>
      <c r="BQ212" s="542">
        <f>InpS!BQ$10</f>
        <v>0</v>
      </c>
      <c r="BR212" s="542">
        <f>InpS!BR$10</f>
        <v>0</v>
      </c>
      <c r="BS212" s="542">
        <f>InpS!BS$10</f>
        <v>0</v>
      </c>
      <c r="BT212" s="542">
        <f>InpS!BT$10</f>
        <v>0</v>
      </c>
      <c r="BU212" s="542">
        <f>InpS!BU$10</f>
        <v>0</v>
      </c>
      <c r="BV212" s="542">
        <f>InpS!BV$10</f>
        <v>0</v>
      </c>
      <c r="BW212" s="542">
        <f>InpS!BW$10</f>
        <v>0</v>
      </c>
      <c r="BX212" s="542">
        <f>InpS!BX$10</f>
        <v>0</v>
      </c>
      <c r="BY212" s="542">
        <f>InpS!BY$10</f>
        <v>0</v>
      </c>
      <c r="BZ212" s="542">
        <f>InpS!BZ$10</f>
        <v>0</v>
      </c>
      <c r="CA212" s="542">
        <f>InpS!CA$10</f>
        <v>0</v>
      </c>
      <c r="CB212" s="542">
        <f>InpS!CB$10</f>
        <v>0</v>
      </c>
      <c r="CC212" s="542">
        <f>InpS!CC$10</f>
        <v>0</v>
      </c>
      <c r="CD212" s="542">
        <f>InpS!CD$10</f>
        <v>0</v>
      </c>
      <c r="CE212" s="542">
        <f>InpS!CE$10</f>
        <v>0</v>
      </c>
      <c r="CF212" s="542">
        <f>InpS!CF$10</f>
        <v>0</v>
      </c>
      <c r="CG212" s="542">
        <f>InpS!CG$10</f>
        <v>0</v>
      </c>
      <c r="CH212" s="542">
        <f>InpS!CH$10</f>
        <v>0</v>
      </c>
      <c r="CI212" s="542">
        <f>InpS!CI$10</f>
        <v>0</v>
      </c>
      <c r="CJ212" s="542">
        <f>InpS!CJ$10</f>
        <v>0</v>
      </c>
      <c r="CK212" s="542">
        <f>InpS!CK$10</f>
        <v>0</v>
      </c>
      <c r="CL212" s="542">
        <f>InpS!CL$10</f>
        <v>0</v>
      </c>
      <c r="CM212" s="542">
        <f>InpS!CM$10</f>
        <v>0</v>
      </c>
      <c r="CN212" s="542">
        <f>InpS!CN$10</f>
        <v>0</v>
      </c>
      <c r="CO212" s="542">
        <f>InpS!CO$10</f>
        <v>0</v>
      </c>
      <c r="CP212" s="542">
        <f>InpS!CP$10</f>
        <v>0</v>
      </c>
      <c r="CQ212" s="542">
        <f>InpS!CQ$10</f>
        <v>0</v>
      </c>
      <c r="CR212" s="542">
        <f>InpS!CR$10</f>
        <v>0</v>
      </c>
      <c r="CS212" s="542">
        <f>InpS!CS$10</f>
        <v>0</v>
      </c>
      <c r="CT212" s="542">
        <f>InpS!CT$10</f>
        <v>0</v>
      </c>
      <c r="CU212" s="542">
        <f>InpS!CU$10</f>
        <v>0</v>
      </c>
      <c r="CV212" s="542">
        <f>InpS!CV$10</f>
        <v>0</v>
      </c>
      <c r="CW212" s="542">
        <f>InpS!CW$10</f>
        <v>0</v>
      </c>
      <c r="CX212" s="542">
        <f>InpS!CX$10</f>
        <v>0</v>
      </c>
      <c r="CY212" s="542">
        <f>InpS!CY$10</f>
        <v>0</v>
      </c>
      <c r="CZ212" s="542">
        <f>InpS!CZ$10</f>
        <v>0</v>
      </c>
      <c r="DA212" s="542">
        <f>InpS!DA$10</f>
        <v>0</v>
      </c>
      <c r="DB212" s="542">
        <f>InpS!DB$10</f>
        <v>0</v>
      </c>
      <c r="DC212" s="542">
        <f>InpS!DC$10</f>
        <v>0</v>
      </c>
      <c r="DD212" s="542">
        <f>InpS!DD$10</f>
        <v>0</v>
      </c>
      <c r="DE212" s="542">
        <f>InpS!DE$10</f>
        <v>0</v>
      </c>
      <c r="DF212" s="542">
        <f>InpS!DF$10</f>
        <v>0</v>
      </c>
      <c r="DG212" s="542">
        <f>InpS!DG$10</f>
        <v>0</v>
      </c>
      <c r="DH212" s="542">
        <f>InpS!DH$10</f>
        <v>0</v>
      </c>
      <c r="DI212" s="542">
        <f>InpS!DI$10</f>
        <v>0</v>
      </c>
      <c r="DJ212" s="542">
        <f>InpS!DJ$10</f>
        <v>0</v>
      </c>
      <c r="DK212" s="542">
        <f>InpS!DK$10</f>
        <v>0</v>
      </c>
      <c r="DL212" s="542">
        <f>InpS!DL$10</f>
        <v>0</v>
      </c>
      <c r="DM212" s="542">
        <f>InpS!DM$10</f>
        <v>0</v>
      </c>
      <c r="DN212" s="542">
        <f>InpS!DN$10</f>
        <v>0</v>
      </c>
      <c r="DO212" s="542">
        <f>InpS!DO$10</f>
        <v>0</v>
      </c>
      <c r="DP212" s="542">
        <f>InpS!DP$10</f>
        <v>0</v>
      </c>
      <c r="DQ212" s="542">
        <f>InpS!DQ$10</f>
        <v>0</v>
      </c>
      <c r="DR212" s="542">
        <f>InpS!DR$10</f>
        <v>0</v>
      </c>
      <c r="DS212" s="542">
        <f>InpS!DS$10</f>
        <v>0</v>
      </c>
      <c r="DT212" s="542">
        <f>InpS!DT$10</f>
        <v>0</v>
      </c>
      <c r="DU212" s="542">
        <f>InpS!DU$10</f>
        <v>0</v>
      </c>
      <c r="DV212" s="542">
        <f>InpS!DV$10</f>
        <v>0</v>
      </c>
      <c r="DW212" s="542">
        <f>InpS!DW$10</f>
        <v>0</v>
      </c>
      <c r="DX212" s="542">
        <f>InpS!DX$10</f>
        <v>0</v>
      </c>
      <c r="DY212" s="542">
        <f>InpS!DY$10</f>
        <v>0</v>
      </c>
      <c r="DZ212" s="542">
        <f>InpS!DZ$10</f>
        <v>0</v>
      </c>
      <c r="EA212" s="542">
        <f>InpS!EA$10</f>
        <v>0</v>
      </c>
      <c r="EB212" s="542">
        <f>InpS!EB$10</f>
        <v>0</v>
      </c>
      <c r="EC212" s="542">
        <f>InpS!EC$10</f>
        <v>0</v>
      </c>
      <c r="ED212" s="542">
        <f>InpS!ED$10</f>
        <v>0</v>
      </c>
      <c r="EE212" s="542">
        <f>InpS!EE$10</f>
        <v>0</v>
      </c>
      <c r="EF212" s="542">
        <f>InpS!EF$10</f>
        <v>0</v>
      </c>
      <c r="EG212" s="542">
        <f>InpS!EG$10</f>
        <v>0</v>
      </c>
    </row>
    <row r="213" spans="5:137" ht="12.75">
      <c r="E213" s="535" t="str">
        <f>InpS!E$11</f>
        <v>Capex package 3 - spend profile</v>
      </c>
      <c r="G213" s="542" t="str">
        <f>InpS!G$11</f>
        <v>%</v>
      </c>
      <c r="H213" s="542">
        <f>InpS!H$11</f>
        <v>1</v>
      </c>
      <c r="J213" s="542">
        <f>InpS!J$11</f>
        <v>0</v>
      </c>
      <c r="K213" s="542">
        <f>InpS!K$11</f>
        <v>0</v>
      </c>
      <c r="L213" s="542">
        <f>InpS!L$11</f>
        <v>0</v>
      </c>
      <c r="M213" s="542">
        <f>InpS!M$11</f>
        <v>0</v>
      </c>
      <c r="N213" s="542">
        <f>InpS!N$11</f>
        <v>0</v>
      </c>
      <c r="O213" s="542">
        <f>InpS!O$11</f>
        <v>0</v>
      </c>
      <c r="P213" s="542">
        <f>InpS!P$11</f>
        <v>0</v>
      </c>
      <c r="Q213" s="542">
        <f>InpS!Q$11</f>
        <v>0</v>
      </c>
      <c r="R213" s="542">
        <f>InpS!R$11</f>
        <v>0.0703125</v>
      </c>
      <c r="S213" s="542">
        <f>InpS!S$11</f>
        <v>0.078125</v>
      </c>
      <c r="T213" s="542">
        <f>InpS!T$11</f>
        <v>0.078125</v>
      </c>
      <c r="U213" s="542">
        <f>InpS!U$11</f>
        <v>0.078125</v>
      </c>
      <c r="V213" s="542">
        <f>InpS!V$11</f>
        <v>0.078125</v>
      </c>
      <c r="W213" s="542">
        <f>InpS!W$11</f>
        <v>0.078125</v>
      </c>
      <c r="X213" s="542">
        <f>InpS!X$11</f>
        <v>0.078125</v>
      </c>
      <c r="Y213" s="542">
        <f>InpS!Y$11</f>
        <v>0.078125</v>
      </c>
      <c r="Z213" s="542">
        <f>InpS!Z$11</f>
        <v>0.078125</v>
      </c>
      <c r="AA213" s="542">
        <f>InpS!AA$11</f>
        <v>0.078125</v>
      </c>
      <c r="AB213" s="542">
        <f>InpS!AB$11</f>
        <v>0.078125</v>
      </c>
      <c r="AC213" s="542">
        <f>InpS!AC$11</f>
        <v>0.078125</v>
      </c>
      <c r="AD213" s="542">
        <f>InpS!AD$11</f>
        <v>0.0703125</v>
      </c>
      <c r="AE213" s="542">
        <f>InpS!AE$11</f>
        <v>0</v>
      </c>
      <c r="AF213" s="542">
        <f>InpS!AF$11</f>
        <v>0</v>
      </c>
      <c r="AG213" s="542">
        <f>InpS!AG$11</f>
        <v>0</v>
      </c>
      <c r="AH213" s="542">
        <f>InpS!AH$11</f>
        <v>0</v>
      </c>
      <c r="AI213" s="542">
        <f>InpS!AI$11</f>
        <v>0</v>
      </c>
      <c r="AJ213" s="542">
        <f>InpS!AJ$11</f>
        <v>0</v>
      </c>
      <c r="AK213" s="542">
        <f>InpS!AK$11</f>
        <v>0</v>
      </c>
      <c r="AL213" s="542">
        <f>InpS!AL$11</f>
        <v>0</v>
      </c>
      <c r="AM213" s="542">
        <f>InpS!AM$11</f>
        <v>0</v>
      </c>
      <c r="AN213" s="542">
        <f>InpS!AN$11</f>
        <v>0</v>
      </c>
      <c r="AO213" s="542">
        <f>InpS!AO$11</f>
        <v>0</v>
      </c>
      <c r="AP213" s="542">
        <f>InpS!AP$11</f>
        <v>0</v>
      </c>
      <c r="AQ213" s="542">
        <f>InpS!AQ$11</f>
        <v>0</v>
      </c>
      <c r="AR213" s="542">
        <f>InpS!AR$11</f>
        <v>0</v>
      </c>
      <c r="AS213" s="542">
        <f>InpS!AS$11</f>
        <v>0</v>
      </c>
      <c r="AT213" s="542">
        <f>InpS!AT$11</f>
        <v>0</v>
      </c>
      <c r="AU213" s="542">
        <f>InpS!AU$11</f>
        <v>0</v>
      </c>
      <c r="AV213" s="542">
        <f>InpS!AV$11</f>
        <v>0</v>
      </c>
      <c r="AW213" s="542">
        <f>InpS!AW$11</f>
        <v>0</v>
      </c>
      <c r="AX213" s="542">
        <f>InpS!AX$11</f>
        <v>0</v>
      </c>
      <c r="AY213" s="542">
        <f>InpS!AY$11</f>
        <v>0</v>
      </c>
      <c r="AZ213" s="542">
        <f>InpS!AZ$11</f>
        <v>0</v>
      </c>
      <c r="BA213" s="542">
        <f>InpS!BA$11</f>
        <v>0</v>
      </c>
      <c r="BB213" s="542">
        <f>InpS!BB$11</f>
        <v>0</v>
      </c>
      <c r="BC213" s="542">
        <f>InpS!BC$11</f>
        <v>0</v>
      </c>
      <c r="BD213" s="542">
        <f>InpS!BD$11</f>
        <v>0</v>
      </c>
      <c r="BE213" s="542">
        <f>InpS!BE$11</f>
        <v>0</v>
      </c>
      <c r="BF213" s="542">
        <f>InpS!BF$11</f>
        <v>0</v>
      </c>
      <c r="BG213" s="542">
        <f>InpS!BG$11</f>
        <v>0</v>
      </c>
      <c r="BH213" s="542">
        <f>InpS!BH$11</f>
        <v>0</v>
      </c>
      <c r="BI213" s="542">
        <f>InpS!BI$11</f>
        <v>0</v>
      </c>
      <c r="BJ213" s="542">
        <f>InpS!BJ$11</f>
        <v>0</v>
      </c>
      <c r="BK213" s="542">
        <f>InpS!BK$11</f>
        <v>0</v>
      </c>
      <c r="BL213" s="542">
        <f>InpS!BL$11</f>
        <v>0</v>
      </c>
      <c r="BM213" s="542">
        <f>InpS!BM$11</f>
        <v>0</v>
      </c>
      <c r="BN213" s="542">
        <f>InpS!BN$11</f>
        <v>0</v>
      </c>
      <c r="BO213" s="542">
        <f>InpS!BO$11</f>
        <v>0</v>
      </c>
      <c r="BP213" s="542">
        <f>InpS!BP$11</f>
        <v>0</v>
      </c>
      <c r="BQ213" s="542">
        <f>InpS!BQ$11</f>
        <v>0</v>
      </c>
      <c r="BR213" s="542">
        <f>InpS!BR$11</f>
        <v>0</v>
      </c>
      <c r="BS213" s="542">
        <f>InpS!BS$11</f>
        <v>0</v>
      </c>
      <c r="BT213" s="542">
        <f>InpS!BT$11</f>
        <v>0</v>
      </c>
      <c r="BU213" s="542">
        <f>InpS!BU$11</f>
        <v>0</v>
      </c>
      <c r="BV213" s="542">
        <f>InpS!BV$11</f>
        <v>0</v>
      </c>
      <c r="BW213" s="542">
        <f>InpS!BW$11</f>
        <v>0</v>
      </c>
      <c r="BX213" s="542">
        <f>InpS!BX$11</f>
        <v>0</v>
      </c>
      <c r="BY213" s="542">
        <f>InpS!BY$11</f>
        <v>0</v>
      </c>
      <c r="BZ213" s="542">
        <f>InpS!BZ$11</f>
        <v>0</v>
      </c>
      <c r="CA213" s="542">
        <f>InpS!CA$11</f>
        <v>0</v>
      </c>
      <c r="CB213" s="542">
        <f>InpS!CB$11</f>
        <v>0</v>
      </c>
      <c r="CC213" s="542">
        <f>InpS!CC$11</f>
        <v>0</v>
      </c>
      <c r="CD213" s="542">
        <f>InpS!CD$11</f>
        <v>0</v>
      </c>
      <c r="CE213" s="542">
        <f>InpS!CE$11</f>
        <v>0</v>
      </c>
      <c r="CF213" s="542">
        <f>InpS!CF$11</f>
        <v>0</v>
      </c>
      <c r="CG213" s="542">
        <f>InpS!CG$11</f>
        <v>0</v>
      </c>
      <c r="CH213" s="542">
        <f>InpS!CH$11</f>
        <v>0</v>
      </c>
      <c r="CI213" s="542">
        <f>InpS!CI$11</f>
        <v>0</v>
      </c>
      <c r="CJ213" s="542">
        <f>InpS!CJ$11</f>
        <v>0</v>
      </c>
      <c r="CK213" s="542">
        <f>InpS!CK$11</f>
        <v>0</v>
      </c>
      <c r="CL213" s="542">
        <f>InpS!CL$11</f>
        <v>0</v>
      </c>
      <c r="CM213" s="542">
        <f>InpS!CM$11</f>
        <v>0</v>
      </c>
      <c r="CN213" s="542">
        <f>InpS!CN$11</f>
        <v>0</v>
      </c>
      <c r="CO213" s="542">
        <f>InpS!CO$11</f>
        <v>0</v>
      </c>
      <c r="CP213" s="542">
        <f>InpS!CP$11</f>
        <v>0</v>
      </c>
      <c r="CQ213" s="542">
        <f>InpS!CQ$11</f>
        <v>0</v>
      </c>
      <c r="CR213" s="542">
        <f>InpS!CR$11</f>
        <v>0</v>
      </c>
      <c r="CS213" s="542">
        <f>InpS!CS$11</f>
        <v>0</v>
      </c>
      <c r="CT213" s="542">
        <f>InpS!CT$11</f>
        <v>0</v>
      </c>
      <c r="CU213" s="542">
        <f>InpS!CU$11</f>
        <v>0</v>
      </c>
      <c r="CV213" s="542">
        <f>InpS!CV$11</f>
        <v>0</v>
      </c>
      <c r="CW213" s="542">
        <f>InpS!CW$11</f>
        <v>0</v>
      </c>
      <c r="CX213" s="542">
        <f>InpS!CX$11</f>
        <v>0</v>
      </c>
      <c r="CY213" s="542">
        <f>InpS!CY$11</f>
        <v>0</v>
      </c>
      <c r="CZ213" s="542">
        <f>InpS!CZ$11</f>
        <v>0</v>
      </c>
      <c r="DA213" s="542">
        <f>InpS!DA$11</f>
        <v>0</v>
      </c>
      <c r="DB213" s="542">
        <f>InpS!DB$11</f>
        <v>0</v>
      </c>
      <c r="DC213" s="542">
        <f>InpS!DC$11</f>
        <v>0</v>
      </c>
      <c r="DD213" s="542">
        <f>InpS!DD$11</f>
        <v>0</v>
      </c>
      <c r="DE213" s="542">
        <f>InpS!DE$11</f>
        <v>0</v>
      </c>
      <c r="DF213" s="542">
        <f>InpS!DF$11</f>
        <v>0</v>
      </c>
      <c r="DG213" s="542">
        <f>InpS!DG$11</f>
        <v>0</v>
      </c>
      <c r="DH213" s="542">
        <f>InpS!DH$11</f>
        <v>0</v>
      </c>
      <c r="DI213" s="542">
        <f>InpS!DI$11</f>
        <v>0</v>
      </c>
      <c r="DJ213" s="542">
        <f>InpS!DJ$11</f>
        <v>0</v>
      </c>
      <c r="DK213" s="542">
        <f>InpS!DK$11</f>
        <v>0</v>
      </c>
      <c r="DL213" s="542">
        <f>InpS!DL$11</f>
        <v>0</v>
      </c>
      <c r="DM213" s="542">
        <f>InpS!DM$11</f>
        <v>0</v>
      </c>
      <c r="DN213" s="542">
        <f>InpS!DN$11</f>
        <v>0</v>
      </c>
      <c r="DO213" s="542">
        <f>InpS!DO$11</f>
        <v>0</v>
      </c>
      <c r="DP213" s="542">
        <f>InpS!DP$11</f>
        <v>0</v>
      </c>
      <c r="DQ213" s="542">
        <f>InpS!DQ$11</f>
        <v>0</v>
      </c>
      <c r="DR213" s="542">
        <f>InpS!DR$11</f>
        <v>0</v>
      </c>
      <c r="DS213" s="542">
        <f>InpS!DS$11</f>
        <v>0</v>
      </c>
      <c r="DT213" s="542">
        <f>InpS!DT$11</f>
        <v>0</v>
      </c>
      <c r="DU213" s="542">
        <f>InpS!DU$11</f>
        <v>0</v>
      </c>
      <c r="DV213" s="542">
        <f>InpS!DV$11</f>
        <v>0</v>
      </c>
      <c r="DW213" s="542">
        <f>InpS!DW$11</f>
        <v>0</v>
      </c>
      <c r="DX213" s="542">
        <f>InpS!DX$11</f>
        <v>0</v>
      </c>
      <c r="DY213" s="542">
        <f>InpS!DY$11</f>
        <v>0</v>
      </c>
      <c r="DZ213" s="542">
        <f>InpS!DZ$11</f>
        <v>0</v>
      </c>
      <c r="EA213" s="542">
        <f>InpS!EA$11</f>
        <v>0</v>
      </c>
      <c r="EB213" s="542">
        <f>InpS!EB$11</f>
        <v>0</v>
      </c>
      <c r="EC213" s="542">
        <f>InpS!EC$11</f>
        <v>0</v>
      </c>
      <c r="ED213" s="542">
        <f>InpS!ED$11</f>
        <v>0</v>
      </c>
      <c r="EE213" s="542">
        <f>InpS!EE$11</f>
        <v>0</v>
      </c>
      <c r="EF213" s="542">
        <f>InpS!EF$11</f>
        <v>0</v>
      </c>
      <c r="EG213" s="542">
        <f>InpS!EG$11</f>
        <v>0</v>
      </c>
    </row>
    <row r="214" spans="5:137" ht="12.75">
      <c r="E214" s="535" t="str">
        <f>InpS!E$12</f>
        <v>Capex package 4 - spend profile</v>
      </c>
      <c r="G214" s="542" t="str">
        <f>InpS!G$12</f>
        <v>%</v>
      </c>
      <c r="H214" s="542">
        <f>InpS!H$12</f>
        <v>1</v>
      </c>
      <c r="J214" s="542">
        <f>InpS!J$12</f>
        <v>0</v>
      </c>
      <c r="K214" s="542">
        <f>InpS!K$12</f>
        <v>0</v>
      </c>
      <c r="L214" s="542">
        <f>InpS!L$12</f>
        <v>0</v>
      </c>
      <c r="M214" s="542">
        <f>InpS!M$12</f>
        <v>0</v>
      </c>
      <c r="N214" s="542">
        <f>InpS!N$12</f>
        <v>0</v>
      </c>
      <c r="O214" s="542">
        <f>InpS!O$12</f>
        <v>0</v>
      </c>
      <c r="P214" s="542">
        <f>InpS!P$12</f>
        <v>0</v>
      </c>
      <c r="Q214" s="542">
        <f>InpS!Q$12</f>
        <v>0</v>
      </c>
      <c r="R214" s="542">
        <f>InpS!R$12</f>
        <v>0</v>
      </c>
      <c r="S214" s="542">
        <f>InpS!S$12</f>
        <v>0</v>
      </c>
      <c r="T214" s="542">
        <f>InpS!T$12</f>
        <v>0</v>
      </c>
      <c r="U214" s="542">
        <f>InpS!U$12</f>
        <v>0</v>
      </c>
      <c r="V214" s="542">
        <f>InpS!V$12</f>
        <v>0</v>
      </c>
      <c r="W214" s="542">
        <f>InpS!W$12</f>
        <v>0</v>
      </c>
      <c r="X214" s="542">
        <f>InpS!X$12</f>
        <v>0</v>
      </c>
      <c r="Y214" s="542">
        <f>InpS!Y$12</f>
        <v>0</v>
      </c>
      <c r="Z214" s="542">
        <f>InpS!Z$12</f>
        <v>0</v>
      </c>
      <c r="AA214" s="542">
        <f>InpS!AA$12</f>
        <v>0.09375</v>
      </c>
      <c r="AB214" s="542">
        <f>InpS!AB$12</f>
        <v>0.15625</v>
      </c>
      <c r="AC214" s="542">
        <f>InpS!AC$12</f>
        <v>0.1875</v>
      </c>
      <c r="AD214" s="542">
        <f>InpS!AD$12</f>
        <v>0.1875</v>
      </c>
      <c r="AE214" s="542">
        <f>InpS!AE$12</f>
        <v>0.15625</v>
      </c>
      <c r="AF214" s="542">
        <f>InpS!AF$12</f>
        <v>0.125</v>
      </c>
      <c r="AG214" s="542">
        <f>InpS!AG$12</f>
        <v>0.09375</v>
      </c>
      <c r="AH214" s="542">
        <f>InpS!AH$12</f>
        <v>0</v>
      </c>
      <c r="AI214" s="542">
        <f>InpS!AI$12</f>
        <v>0</v>
      </c>
      <c r="AJ214" s="542">
        <f>InpS!AJ$12</f>
        <v>0</v>
      </c>
      <c r="AK214" s="542">
        <f>InpS!AK$12</f>
        <v>0</v>
      </c>
      <c r="AL214" s="542">
        <f>InpS!AL$12</f>
        <v>0</v>
      </c>
      <c r="AM214" s="542">
        <f>InpS!AM$12</f>
        <v>0</v>
      </c>
      <c r="AN214" s="542">
        <f>InpS!AN$12</f>
        <v>0</v>
      </c>
      <c r="AO214" s="542">
        <f>InpS!AO$12</f>
        <v>0</v>
      </c>
      <c r="AP214" s="542">
        <f>InpS!AP$12</f>
        <v>0</v>
      </c>
      <c r="AQ214" s="542">
        <f>InpS!AQ$12</f>
        <v>0</v>
      </c>
      <c r="AR214" s="542">
        <f>InpS!AR$12</f>
        <v>0</v>
      </c>
      <c r="AS214" s="542">
        <f>InpS!AS$12</f>
        <v>0</v>
      </c>
      <c r="AT214" s="542">
        <f>InpS!AT$12</f>
        <v>0</v>
      </c>
      <c r="AU214" s="542">
        <f>InpS!AU$12</f>
        <v>0</v>
      </c>
      <c r="AV214" s="542">
        <f>InpS!AV$12</f>
        <v>0</v>
      </c>
      <c r="AW214" s="542">
        <f>InpS!AW$12</f>
        <v>0</v>
      </c>
      <c r="AX214" s="542">
        <f>InpS!AX$12</f>
        <v>0</v>
      </c>
      <c r="AY214" s="542">
        <f>InpS!AY$12</f>
        <v>0</v>
      </c>
      <c r="AZ214" s="542">
        <f>InpS!AZ$12</f>
        <v>0</v>
      </c>
      <c r="BA214" s="542">
        <f>InpS!BA$12</f>
        <v>0</v>
      </c>
      <c r="BB214" s="542">
        <f>InpS!BB$12</f>
        <v>0</v>
      </c>
      <c r="BC214" s="542">
        <f>InpS!BC$12</f>
        <v>0</v>
      </c>
      <c r="BD214" s="542">
        <f>InpS!BD$12</f>
        <v>0</v>
      </c>
      <c r="BE214" s="542">
        <f>InpS!BE$12</f>
        <v>0</v>
      </c>
      <c r="BF214" s="542">
        <f>InpS!BF$12</f>
        <v>0</v>
      </c>
      <c r="BG214" s="542">
        <f>InpS!BG$12</f>
        <v>0</v>
      </c>
      <c r="BH214" s="542">
        <f>InpS!BH$12</f>
        <v>0</v>
      </c>
      <c r="BI214" s="542">
        <f>InpS!BI$12</f>
        <v>0</v>
      </c>
      <c r="BJ214" s="542">
        <f>InpS!BJ$12</f>
        <v>0</v>
      </c>
      <c r="BK214" s="542">
        <f>InpS!BK$12</f>
        <v>0</v>
      </c>
      <c r="BL214" s="542">
        <f>InpS!BL$12</f>
        <v>0</v>
      </c>
      <c r="BM214" s="542">
        <f>InpS!BM$12</f>
        <v>0</v>
      </c>
      <c r="BN214" s="542">
        <f>InpS!BN$12</f>
        <v>0</v>
      </c>
      <c r="BO214" s="542">
        <f>InpS!BO$12</f>
        <v>0</v>
      </c>
      <c r="BP214" s="542">
        <f>InpS!BP$12</f>
        <v>0</v>
      </c>
      <c r="BQ214" s="542">
        <f>InpS!BQ$12</f>
        <v>0</v>
      </c>
      <c r="BR214" s="542">
        <f>InpS!BR$12</f>
        <v>0</v>
      </c>
      <c r="BS214" s="542">
        <f>InpS!BS$12</f>
        <v>0</v>
      </c>
      <c r="BT214" s="542">
        <f>InpS!BT$12</f>
        <v>0</v>
      </c>
      <c r="BU214" s="542">
        <f>InpS!BU$12</f>
        <v>0</v>
      </c>
      <c r="BV214" s="542">
        <f>InpS!BV$12</f>
        <v>0</v>
      </c>
      <c r="BW214" s="542">
        <f>InpS!BW$12</f>
        <v>0</v>
      </c>
      <c r="BX214" s="542">
        <f>InpS!BX$12</f>
        <v>0</v>
      </c>
      <c r="BY214" s="542">
        <f>InpS!BY$12</f>
        <v>0</v>
      </c>
      <c r="BZ214" s="542">
        <f>InpS!BZ$12</f>
        <v>0</v>
      </c>
      <c r="CA214" s="542">
        <f>InpS!CA$12</f>
        <v>0</v>
      </c>
      <c r="CB214" s="542">
        <f>InpS!CB$12</f>
        <v>0</v>
      </c>
      <c r="CC214" s="542">
        <f>InpS!CC$12</f>
        <v>0</v>
      </c>
      <c r="CD214" s="542">
        <f>InpS!CD$12</f>
        <v>0</v>
      </c>
      <c r="CE214" s="542">
        <f>InpS!CE$12</f>
        <v>0</v>
      </c>
      <c r="CF214" s="542">
        <f>InpS!CF$12</f>
        <v>0</v>
      </c>
      <c r="CG214" s="542">
        <f>InpS!CG$12</f>
        <v>0</v>
      </c>
      <c r="CH214" s="542">
        <f>InpS!CH$12</f>
        <v>0</v>
      </c>
      <c r="CI214" s="542">
        <f>InpS!CI$12</f>
        <v>0</v>
      </c>
      <c r="CJ214" s="542">
        <f>InpS!CJ$12</f>
        <v>0</v>
      </c>
      <c r="CK214" s="542">
        <f>InpS!CK$12</f>
        <v>0</v>
      </c>
      <c r="CL214" s="542">
        <f>InpS!CL$12</f>
        <v>0</v>
      </c>
      <c r="CM214" s="542">
        <f>InpS!CM$12</f>
        <v>0</v>
      </c>
      <c r="CN214" s="542">
        <f>InpS!CN$12</f>
        <v>0</v>
      </c>
      <c r="CO214" s="542">
        <f>InpS!CO$12</f>
        <v>0</v>
      </c>
      <c r="CP214" s="542">
        <f>InpS!CP$12</f>
        <v>0</v>
      </c>
      <c r="CQ214" s="542">
        <f>InpS!CQ$12</f>
        <v>0</v>
      </c>
      <c r="CR214" s="542">
        <f>InpS!CR$12</f>
        <v>0</v>
      </c>
      <c r="CS214" s="542">
        <f>InpS!CS$12</f>
        <v>0</v>
      </c>
      <c r="CT214" s="542">
        <f>InpS!CT$12</f>
        <v>0</v>
      </c>
      <c r="CU214" s="542">
        <f>InpS!CU$12</f>
        <v>0</v>
      </c>
      <c r="CV214" s="542">
        <f>InpS!CV$12</f>
        <v>0</v>
      </c>
      <c r="CW214" s="542">
        <f>InpS!CW$12</f>
        <v>0</v>
      </c>
      <c r="CX214" s="542">
        <f>InpS!CX$12</f>
        <v>0</v>
      </c>
      <c r="CY214" s="542">
        <f>InpS!CY$12</f>
        <v>0</v>
      </c>
      <c r="CZ214" s="542">
        <f>InpS!CZ$12</f>
        <v>0</v>
      </c>
      <c r="DA214" s="542">
        <f>InpS!DA$12</f>
        <v>0</v>
      </c>
      <c r="DB214" s="542">
        <f>InpS!DB$12</f>
        <v>0</v>
      </c>
      <c r="DC214" s="542">
        <f>InpS!DC$12</f>
        <v>0</v>
      </c>
      <c r="DD214" s="542">
        <f>InpS!DD$12</f>
        <v>0</v>
      </c>
      <c r="DE214" s="542">
        <f>InpS!DE$12</f>
        <v>0</v>
      </c>
      <c r="DF214" s="542">
        <f>InpS!DF$12</f>
        <v>0</v>
      </c>
      <c r="DG214" s="542">
        <f>InpS!DG$12</f>
        <v>0</v>
      </c>
      <c r="DH214" s="542">
        <f>InpS!DH$12</f>
        <v>0</v>
      </c>
      <c r="DI214" s="542">
        <f>InpS!DI$12</f>
        <v>0</v>
      </c>
      <c r="DJ214" s="542">
        <f>InpS!DJ$12</f>
        <v>0</v>
      </c>
      <c r="DK214" s="542">
        <f>InpS!DK$12</f>
        <v>0</v>
      </c>
      <c r="DL214" s="542">
        <f>InpS!DL$12</f>
        <v>0</v>
      </c>
      <c r="DM214" s="542">
        <f>InpS!DM$12</f>
        <v>0</v>
      </c>
      <c r="DN214" s="542">
        <f>InpS!DN$12</f>
        <v>0</v>
      </c>
      <c r="DO214" s="542">
        <f>InpS!DO$12</f>
        <v>0</v>
      </c>
      <c r="DP214" s="542">
        <f>InpS!DP$12</f>
        <v>0</v>
      </c>
      <c r="DQ214" s="542">
        <f>InpS!DQ$12</f>
        <v>0</v>
      </c>
      <c r="DR214" s="542">
        <f>InpS!DR$12</f>
        <v>0</v>
      </c>
      <c r="DS214" s="542">
        <f>InpS!DS$12</f>
        <v>0</v>
      </c>
      <c r="DT214" s="542">
        <f>InpS!DT$12</f>
        <v>0</v>
      </c>
      <c r="DU214" s="542">
        <f>InpS!DU$12</f>
        <v>0</v>
      </c>
      <c r="DV214" s="542">
        <f>InpS!DV$12</f>
        <v>0</v>
      </c>
      <c r="DW214" s="542">
        <f>InpS!DW$12</f>
        <v>0</v>
      </c>
      <c r="DX214" s="542">
        <f>InpS!DX$12</f>
        <v>0</v>
      </c>
      <c r="DY214" s="542">
        <f>InpS!DY$12</f>
        <v>0</v>
      </c>
      <c r="DZ214" s="542">
        <f>InpS!DZ$12</f>
        <v>0</v>
      </c>
      <c r="EA214" s="542">
        <f>InpS!EA$12</f>
        <v>0</v>
      </c>
      <c r="EB214" s="542">
        <f>InpS!EB$12</f>
        <v>0</v>
      </c>
      <c r="EC214" s="542">
        <f>InpS!EC$12</f>
        <v>0</v>
      </c>
      <c r="ED214" s="542">
        <f>InpS!ED$12</f>
        <v>0</v>
      </c>
      <c r="EE214" s="542">
        <f>InpS!EE$12</f>
        <v>0</v>
      </c>
      <c r="EF214" s="542">
        <f>InpS!EF$12</f>
        <v>0</v>
      </c>
      <c r="EG214" s="542">
        <f>InpS!EG$12</f>
        <v>0</v>
      </c>
    </row>
    <row r="215" spans="5:7" ht="12.75">
      <c r="E215" s="535" t="str">
        <f>InpC!E$128</f>
        <v>Check tolerance</v>
      </c>
      <c r="F215" s="537">
        <f>InpC!F$128</f>
        <v>0.001</v>
      </c>
      <c r="G215" s="537" t="str">
        <f>InpC!G$128</f>
        <v>EUR 000s</v>
      </c>
    </row>
    <row r="216" spans="5:137" ht="12.75">
      <c r="E216" s="535" t="str">
        <f>Time!E$72</f>
        <v>Construction period flag</v>
      </c>
      <c r="G216" s="537" t="str">
        <f>Time!G$72</f>
        <v>flag</v>
      </c>
      <c r="H216" s="537">
        <f>Time!H$72</f>
        <v>21</v>
      </c>
      <c r="J216" s="537">
        <f>Time!J$72</f>
        <v>0</v>
      </c>
      <c r="K216" s="537">
        <f>Time!K$72</f>
        <v>0</v>
      </c>
      <c r="L216" s="537">
        <f>Time!L$72</f>
        <v>0</v>
      </c>
      <c r="M216" s="537">
        <f>Time!M$72</f>
        <v>1</v>
      </c>
      <c r="N216" s="537">
        <f>Time!N$72</f>
        <v>1</v>
      </c>
      <c r="O216" s="537">
        <f>Time!O$72</f>
        <v>1</v>
      </c>
      <c r="P216" s="537">
        <f>Time!P$72</f>
        <v>1</v>
      </c>
      <c r="Q216" s="537">
        <f>Time!Q$72</f>
        <v>1</v>
      </c>
      <c r="R216" s="537">
        <f>Time!R$72</f>
        <v>1</v>
      </c>
      <c r="S216" s="537">
        <f>Time!S$72</f>
        <v>1</v>
      </c>
      <c r="T216" s="537">
        <f>Time!T$72</f>
        <v>1</v>
      </c>
      <c r="U216" s="537">
        <f>Time!U$72</f>
        <v>1</v>
      </c>
      <c r="V216" s="537">
        <f>Time!V$72</f>
        <v>1</v>
      </c>
      <c r="W216" s="537">
        <f>Time!W$72</f>
        <v>1</v>
      </c>
      <c r="X216" s="537">
        <f>Time!X$72</f>
        <v>1</v>
      </c>
      <c r="Y216" s="537">
        <f>Time!Y$72</f>
        <v>1</v>
      </c>
      <c r="Z216" s="537">
        <f>Time!Z$72</f>
        <v>1</v>
      </c>
      <c r="AA216" s="537">
        <f>Time!AA$72</f>
        <v>1</v>
      </c>
      <c r="AB216" s="537">
        <f>Time!AB$72</f>
        <v>1</v>
      </c>
      <c r="AC216" s="537">
        <f>Time!AC$72</f>
        <v>1</v>
      </c>
      <c r="AD216" s="537">
        <f>Time!AD$72</f>
        <v>1</v>
      </c>
      <c r="AE216" s="537">
        <f>Time!AE$72</f>
        <v>1</v>
      </c>
      <c r="AF216" s="537">
        <f>Time!AF$72</f>
        <v>1</v>
      </c>
      <c r="AG216" s="537">
        <f>Time!AG$72</f>
        <v>1</v>
      </c>
      <c r="AH216" s="537">
        <f>Time!AH$72</f>
        <v>0</v>
      </c>
      <c r="AI216" s="537">
        <f>Time!AI$72</f>
        <v>0</v>
      </c>
      <c r="AJ216" s="537">
        <f>Time!AJ$72</f>
        <v>0</v>
      </c>
      <c r="AK216" s="537">
        <f>Time!AK$72</f>
        <v>0</v>
      </c>
      <c r="AL216" s="537">
        <f>Time!AL$72</f>
        <v>0</v>
      </c>
      <c r="AM216" s="537">
        <f>Time!AM$72</f>
        <v>0</v>
      </c>
      <c r="AN216" s="537">
        <f>Time!AN$72</f>
        <v>0</v>
      </c>
      <c r="AO216" s="537">
        <f>Time!AO$72</f>
        <v>0</v>
      </c>
      <c r="AP216" s="537">
        <f>Time!AP$72</f>
        <v>0</v>
      </c>
      <c r="AQ216" s="537">
        <f>Time!AQ$72</f>
        <v>0</v>
      </c>
      <c r="AR216" s="537">
        <f>Time!AR$72</f>
        <v>0</v>
      </c>
      <c r="AS216" s="537">
        <f>Time!AS$72</f>
        <v>0</v>
      </c>
      <c r="AT216" s="537">
        <f>Time!AT$72</f>
        <v>0</v>
      </c>
      <c r="AU216" s="537">
        <f>Time!AU$72</f>
        <v>0</v>
      </c>
      <c r="AV216" s="537">
        <f>Time!AV$72</f>
        <v>0</v>
      </c>
      <c r="AW216" s="537">
        <f>Time!AW$72</f>
        <v>0</v>
      </c>
      <c r="AX216" s="537">
        <f>Time!AX$72</f>
        <v>0</v>
      </c>
      <c r="AY216" s="537">
        <f>Time!AY$72</f>
        <v>0</v>
      </c>
      <c r="AZ216" s="537">
        <f>Time!AZ$72</f>
        <v>0</v>
      </c>
      <c r="BA216" s="537">
        <f>Time!BA$72</f>
        <v>0</v>
      </c>
      <c r="BB216" s="537">
        <f>Time!BB$72</f>
        <v>0</v>
      </c>
      <c r="BC216" s="537">
        <f>Time!BC$72</f>
        <v>0</v>
      </c>
      <c r="BD216" s="537">
        <f>Time!BD$72</f>
        <v>0</v>
      </c>
      <c r="BE216" s="537">
        <f>Time!BE$72</f>
        <v>0</v>
      </c>
      <c r="BF216" s="537">
        <f>Time!BF$72</f>
        <v>0</v>
      </c>
      <c r="BG216" s="537">
        <f>Time!BG$72</f>
        <v>0</v>
      </c>
      <c r="BH216" s="537">
        <f>Time!BH$72</f>
        <v>0</v>
      </c>
      <c r="BI216" s="537">
        <f>Time!BI$72</f>
        <v>0</v>
      </c>
      <c r="BJ216" s="537">
        <f>Time!BJ$72</f>
        <v>0</v>
      </c>
      <c r="BK216" s="537">
        <f>Time!BK$72</f>
        <v>0</v>
      </c>
      <c r="BL216" s="537">
        <f>Time!BL$72</f>
        <v>0</v>
      </c>
      <c r="BM216" s="537">
        <f>Time!BM$72</f>
        <v>0</v>
      </c>
      <c r="BN216" s="537">
        <f>Time!BN$72</f>
        <v>0</v>
      </c>
      <c r="BO216" s="537">
        <f>Time!BO$72</f>
        <v>0</v>
      </c>
      <c r="BP216" s="537">
        <f>Time!BP$72</f>
        <v>0</v>
      </c>
      <c r="BQ216" s="537">
        <f>Time!BQ$72</f>
        <v>0</v>
      </c>
      <c r="BR216" s="537">
        <f>Time!BR$72</f>
        <v>0</v>
      </c>
      <c r="BS216" s="537">
        <f>Time!BS$72</f>
        <v>0</v>
      </c>
      <c r="BT216" s="537">
        <f>Time!BT$72</f>
        <v>0</v>
      </c>
      <c r="BU216" s="537">
        <f>Time!BU$72</f>
        <v>0</v>
      </c>
      <c r="BV216" s="537">
        <f>Time!BV$72</f>
        <v>0</v>
      </c>
      <c r="BW216" s="537">
        <f>Time!BW$72</f>
        <v>0</v>
      </c>
      <c r="BX216" s="537">
        <f>Time!BX$72</f>
        <v>0</v>
      </c>
      <c r="BY216" s="537">
        <f>Time!BY$72</f>
        <v>0</v>
      </c>
      <c r="BZ216" s="537">
        <f>Time!BZ$72</f>
        <v>0</v>
      </c>
      <c r="CA216" s="537">
        <f>Time!CA$72</f>
        <v>0</v>
      </c>
      <c r="CB216" s="537">
        <f>Time!CB$72</f>
        <v>0</v>
      </c>
      <c r="CC216" s="537">
        <f>Time!CC$72</f>
        <v>0</v>
      </c>
      <c r="CD216" s="537">
        <f>Time!CD$72</f>
        <v>0</v>
      </c>
      <c r="CE216" s="537">
        <f>Time!CE$72</f>
        <v>0</v>
      </c>
      <c r="CF216" s="537">
        <f>Time!CF$72</f>
        <v>0</v>
      </c>
      <c r="CG216" s="537">
        <f>Time!CG$72</f>
        <v>0</v>
      </c>
      <c r="CH216" s="537">
        <f>Time!CH$72</f>
        <v>0</v>
      </c>
      <c r="CI216" s="537">
        <f>Time!CI$72</f>
        <v>0</v>
      </c>
      <c r="CJ216" s="537">
        <f>Time!CJ$72</f>
        <v>0</v>
      </c>
      <c r="CK216" s="537">
        <f>Time!CK$72</f>
        <v>0</v>
      </c>
      <c r="CL216" s="537">
        <f>Time!CL$72</f>
        <v>0</v>
      </c>
      <c r="CM216" s="537">
        <f>Time!CM$72</f>
        <v>0</v>
      </c>
      <c r="CN216" s="537">
        <f>Time!CN$72</f>
        <v>0</v>
      </c>
      <c r="CO216" s="537">
        <f>Time!CO$72</f>
        <v>0</v>
      </c>
      <c r="CP216" s="537">
        <f>Time!CP$72</f>
        <v>0</v>
      </c>
      <c r="CQ216" s="537">
        <f>Time!CQ$72</f>
        <v>0</v>
      </c>
      <c r="CR216" s="537">
        <f>Time!CR$72</f>
        <v>0</v>
      </c>
      <c r="CS216" s="537">
        <f>Time!CS$72</f>
        <v>0</v>
      </c>
      <c r="CT216" s="537">
        <f>Time!CT$72</f>
        <v>0</v>
      </c>
      <c r="CU216" s="537">
        <f>Time!CU$72</f>
        <v>0</v>
      </c>
      <c r="CV216" s="537">
        <f>Time!CV$72</f>
        <v>0</v>
      </c>
      <c r="CW216" s="537">
        <f>Time!CW$72</f>
        <v>0</v>
      </c>
      <c r="CX216" s="537">
        <f>Time!CX$72</f>
        <v>0</v>
      </c>
      <c r="CY216" s="537">
        <f>Time!CY$72</f>
        <v>0</v>
      </c>
      <c r="CZ216" s="537">
        <f>Time!CZ$72</f>
        <v>0</v>
      </c>
      <c r="DA216" s="537">
        <f>Time!DA$72</f>
        <v>0</v>
      </c>
      <c r="DB216" s="537">
        <f>Time!DB$72</f>
        <v>0</v>
      </c>
      <c r="DC216" s="537">
        <f>Time!DC$72</f>
        <v>0</v>
      </c>
      <c r="DD216" s="537">
        <f>Time!DD$72</f>
        <v>0</v>
      </c>
      <c r="DE216" s="537">
        <f>Time!DE$72</f>
        <v>0</v>
      </c>
      <c r="DF216" s="537">
        <f>Time!DF$72</f>
        <v>0</v>
      </c>
      <c r="DG216" s="537">
        <f>Time!DG$72</f>
        <v>0</v>
      </c>
      <c r="DH216" s="537">
        <f>Time!DH$72</f>
        <v>0</v>
      </c>
      <c r="DI216" s="537">
        <f>Time!DI$72</f>
        <v>0</v>
      </c>
      <c r="DJ216" s="537">
        <f>Time!DJ$72</f>
        <v>0</v>
      </c>
      <c r="DK216" s="537">
        <f>Time!DK$72</f>
        <v>0</v>
      </c>
      <c r="DL216" s="537">
        <f>Time!DL$72</f>
        <v>0</v>
      </c>
      <c r="DM216" s="537">
        <f>Time!DM$72</f>
        <v>0</v>
      </c>
      <c r="DN216" s="537">
        <f>Time!DN$72</f>
        <v>0</v>
      </c>
      <c r="DO216" s="537">
        <f>Time!DO$72</f>
        <v>0</v>
      </c>
      <c r="DP216" s="537">
        <f>Time!DP$72</f>
        <v>0</v>
      </c>
      <c r="DQ216" s="537">
        <f>Time!DQ$72</f>
        <v>0</v>
      </c>
      <c r="DR216" s="537">
        <f>Time!DR$72</f>
        <v>0</v>
      </c>
      <c r="DS216" s="537">
        <f>Time!DS$72</f>
        <v>0</v>
      </c>
      <c r="DT216" s="537">
        <f>Time!DT$72</f>
        <v>0</v>
      </c>
      <c r="DU216" s="537">
        <f>Time!DU$72</f>
        <v>0</v>
      </c>
      <c r="DV216" s="537">
        <f>Time!DV$72</f>
        <v>0</v>
      </c>
      <c r="DW216" s="537">
        <f>Time!DW$72</f>
        <v>0</v>
      </c>
      <c r="DX216" s="537">
        <f>Time!DX$72</f>
        <v>0</v>
      </c>
      <c r="DY216" s="537">
        <f>Time!DY$72</f>
        <v>0</v>
      </c>
      <c r="DZ216" s="537">
        <f>Time!DZ$72</f>
        <v>0</v>
      </c>
      <c r="EA216" s="537">
        <f>Time!EA$72</f>
        <v>0</v>
      </c>
      <c r="EB216" s="537">
        <f>Time!EB$72</f>
        <v>0</v>
      </c>
      <c r="EC216" s="537">
        <f>Time!EC$72</f>
        <v>0</v>
      </c>
      <c r="ED216" s="537">
        <f>Time!ED$72</f>
        <v>0</v>
      </c>
      <c r="EE216" s="537">
        <f>Time!EE$72</f>
        <v>0</v>
      </c>
      <c r="EF216" s="537">
        <f>Time!EF$72</f>
        <v>0</v>
      </c>
      <c r="EG216" s="537">
        <f>Time!EG$72</f>
        <v>0</v>
      </c>
    </row>
    <row r="217" spans="5:7" ht="12.75">
      <c r="E217" s="540" t="s">
        <v>247</v>
      </c>
      <c r="F217" s="543">
        <f>IF(ABS(SUMIFS($J211:$EG211,$J216:$EG216,1)-1)&gt;$F215,1,0)</f>
        <v>0</v>
      </c>
      <c r="G217" s="541" t="s">
        <v>224</v>
      </c>
    </row>
    <row r="218" spans="5:7" ht="12.75">
      <c r="E218" s="540" t="s">
        <v>248</v>
      </c>
      <c r="F218" s="543">
        <f>IF(ABS(SUMIFS($J212:$EG212,$J216:$EG216,1)-1)&gt;$F215,1,0)</f>
        <v>0</v>
      </c>
      <c r="G218" s="541" t="s">
        <v>224</v>
      </c>
    </row>
    <row r="219" spans="5:7" ht="12.75">
      <c r="E219" s="540" t="s">
        <v>249</v>
      </c>
      <c r="F219" s="543">
        <f>IF(ABS(SUMIFS($J213:$EG213,$J216:$EG216,1)-1)&gt;$F215,1,0)</f>
        <v>0</v>
      </c>
      <c r="G219" s="541" t="s">
        <v>224</v>
      </c>
    </row>
    <row r="220" spans="5:7" ht="12.75">
      <c r="E220" s="540" t="s">
        <v>250</v>
      </c>
      <c r="F220" s="543">
        <f>IF(ABS(SUMIFS($J214:$EG214,$J216:$EG216,1)-1)&gt;$F215,1,0)</f>
        <v>0</v>
      </c>
      <c r="G220" s="541" t="s">
        <v>224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04:F105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200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209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217:F220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outlinePr summaryBelow="0" summaryRight="0"/>
  </sheetPr>
  <dimension ref="A1:RL135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Ops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251</v>
      </c>
    </row>
    <row r="9" spans="5:7" ht="12.75">
      <c r="E9" s="535" t="str">
        <f>InpC!E$53</f>
        <v>Indexation - base date</v>
      </c>
      <c r="F9" s="536">
        <f>InpC!F$53</f>
        <v>46388</v>
      </c>
      <c r="G9" s="536" t="str">
        <f>InpC!G$53</f>
        <v>date</v>
      </c>
    </row>
    <row r="10" spans="5:7" ht="12.75">
      <c r="E10" s="535" t="str">
        <f>InpC!E$54</f>
        <v>Revenue index - annual rate</v>
      </c>
      <c r="F10" s="542">
        <f>InpC!F$54</f>
        <v>0.02</v>
      </c>
      <c r="G10" s="542" t="str">
        <f>InpC!G$54</f>
        <v>% p.a.</v>
      </c>
    </row>
    <row r="11" spans="5:137" ht="12.75">
      <c r="E11" s="535" t="str">
        <f>Time!E$16</f>
        <v>First model column flag</v>
      </c>
      <c r="G11" s="537" t="str">
        <f>Time!G$16</f>
        <v>flag</v>
      </c>
      <c r="H11" s="537">
        <f>Time!H$16</f>
        <v>1</v>
      </c>
      <c r="J11" s="537">
        <f>Time!J$16</f>
        <v>1</v>
      </c>
      <c r="K11" s="537">
        <f>Time!K$16</f>
        <v>0</v>
      </c>
      <c r="L11" s="537">
        <f>Time!L$16</f>
        <v>0</v>
      </c>
      <c r="M11" s="537">
        <f>Time!M$16</f>
        <v>0</v>
      </c>
      <c r="N11" s="537">
        <f>Time!N$16</f>
        <v>0</v>
      </c>
      <c r="O11" s="537">
        <f>Time!O$16</f>
        <v>0</v>
      </c>
      <c r="P11" s="537">
        <f>Time!P$16</f>
        <v>0</v>
      </c>
      <c r="Q11" s="537">
        <f>Time!Q$16</f>
        <v>0</v>
      </c>
      <c r="R11" s="537">
        <f>Time!R$16</f>
        <v>0</v>
      </c>
      <c r="S11" s="537">
        <f>Time!S$16</f>
        <v>0</v>
      </c>
      <c r="T11" s="537">
        <f>Time!T$16</f>
        <v>0</v>
      </c>
      <c r="U11" s="537">
        <f>Time!U$16</f>
        <v>0</v>
      </c>
      <c r="V11" s="537">
        <f>Time!V$16</f>
        <v>0</v>
      </c>
      <c r="W11" s="537">
        <f>Time!W$16</f>
        <v>0</v>
      </c>
      <c r="X11" s="537">
        <f>Time!X$16</f>
        <v>0</v>
      </c>
      <c r="Y11" s="537">
        <f>Time!Y$16</f>
        <v>0</v>
      </c>
      <c r="Z11" s="537">
        <f>Time!Z$16</f>
        <v>0</v>
      </c>
      <c r="AA11" s="537">
        <f>Time!AA$16</f>
        <v>0</v>
      </c>
      <c r="AB11" s="537">
        <f>Time!AB$16</f>
        <v>0</v>
      </c>
      <c r="AC11" s="537">
        <f>Time!AC$16</f>
        <v>0</v>
      </c>
      <c r="AD11" s="537">
        <f>Time!AD$16</f>
        <v>0</v>
      </c>
      <c r="AE11" s="537">
        <f>Time!AE$16</f>
        <v>0</v>
      </c>
      <c r="AF11" s="537">
        <f>Time!AF$16</f>
        <v>0</v>
      </c>
      <c r="AG11" s="537">
        <f>Time!AG$16</f>
        <v>0</v>
      </c>
      <c r="AH11" s="537">
        <f>Time!AH$16</f>
        <v>0</v>
      </c>
      <c r="AI11" s="537">
        <f>Time!AI$16</f>
        <v>0</v>
      </c>
      <c r="AJ11" s="537">
        <f>Time!AJ$16</f>
        <v>0</v>
      </c>
      <c r="AK11" s="537">
        <f>Time!AK$16</f>
        <v>0</v>
      </c>
      <c r="AL11" s="537">
        <f>Time!AL$16</f>
        <v>0</v>
      </c>
      <c r="AM11" s="537">
        <f>Time!AM$16</f>
        <v>0</v>
      </c>
      <c r="AN11" s="537">
        <f>Time!AN$16</f>
        <v>0</v>
      </c>
      <c r="AO11" s="537">
        <f>Time!AO$16</f>
        <v>0</v>
      </c>
      <c r="AP11" s="537">
        <f>Time!AP$16</f>
        <v>0</v>
      </c>
      <c r="AQ11" s="537">
        <f>Time!AQ$16</f>
        <v>0</v>
      </c>
      <c r="AR11" s="537">
        <f>Time!AR$16</f>
        <v>0</v>
      </c>
      <c r="AS11" s="537">
        <f>Time!AS$16</f>
        <v>0</v>
      </c>
      <c r="AT11" s="537">
        <f>Time!AT$16</f>
        <v>0</v>
      </c>
      <c r="AU11" s="537">
        <f>Time!AU$16</f>
        <v>0</v>
      </c>
      <c r="AV11" s="537">
        <f>Time!AV$16</f>
        <v>0</v>
      </c>
      <c r="AW11" s="537">
        <f>Time!AW$16</f>
        <v>0</v>
      </c>
      <c r="AX11" s="537">
        <f>Time!AX$16</f>
        <v>0</v>
      </c>
      <c r="AY11" s="537">
        <f>Time!AY$16</f>
        <v>0</v>
      </c>
      <c r="AZ11" s="537">
        <f>Time!AZ$16</f>
        <v>0</v>
      </c>
      <c r="BA11" s="537">
        <f>Time!BA$16</f>
        <v>0</v>
      </c>
      <c r="BB11" s="537">
        <f>Time!BB$16</f>
        <v>0</v>
      </c>
      <c r="BC11" s="537">
        <f>Time!BC$16</f>
        <v>0</v>
      </c>
      <c r="BD11" s="537">
        <f>Time!BD$16</f>
        <v>0</v>
      </c>
      <c r="BE11" s="537">
        <f>Time!BE$16</f>
        <v>0</v>
      </c>
      <c r="BF11" s="537">
        <f>Time!BF$16</f>
        <v>0</v>
      </c>
      <c r="BG11" s="537">
        <f>Time!BG$16</f>
        <v>0</v>
      </c>
      <c r="BH11" s="537">
        <f>Time!BH$16</f>
        <v>0</v>
      </c>
      <c r="BI11" s="537">
        <f>Time!BI$16</f>
        <v>0</v>
      </c>
      <c r="BJ11" s="537">
        <f>Time!BJ$16</f>
        <v>0</v>
      </c>
      <c r="BK11" s="537">
        <f>Time!BK$16</f>
        <v>0</v>
      </c>
      <c r="BL11" s="537">
        <f>Time!BL$16</f>
        <v>0</v>
      </c>
      <c r="BM11" s="537">
        <f>Time!BM$16</f>
        <v>0</v>
      </c>
      <c r="BN11" s="537">
        <f>Time!BN$16</f>
        <v>0</v>
      </c>
      <c r="BO11" s="537">
        <f>Time!BO$16</f>
        <v>0</v>
      </c>
      <c r="BP11" s="537">
        <f>Time!BP$16</f>
        <v>0</v>
      </c>
      <c r="BQ11" s="537">
        <f>Time!BQ$16</f>
        <v>0</v>
      </c>
      <c r="BR11" s="537">
        <f>Time!BR$16</f>
        <v>0</v>
      </c>
      <c r="BS11" s="537">
        <f>Time!BS$16</f>
        <v>0</v>
      </c>
      <c r="BT11" s="537">
        <f>Time!BT$16</f>
        <v>0</v>
      </c>
      <c r="BU11" s="537">
        <f>Time!BU$16</f>
        <v>0</v>
      </c>
      <c r="BV11" s="537">
        <f>Time!BV$16</f>
        <v>0</v>
      </c>
      <c r="BW11" s="537">
        <f>Time!BW$16</f>
        <v>0</v>
      </c>
      <c r="BX11" s="537">
        <f>Time!BX$16</f>
        <v>0</v>
      </c>
      <c r="BY11" s="537">
        <f>Time!BY$16</f>
        <v>0</v>
      </c>
      <c r="BZ11" s="537">
        <f>Time!BZ$16</f>
        <v>0</v>
      </c>
      <c r="CA11" s="537">
        <f>Time!CA$16</f>
        <v>0</v>
      </c>
      <c r="CB11" s="537">
        <f>Time!CB$16</f>
        <v>0</v>
      </c>
      <c r="CC11" s="537">
        <f>Time!CC$16</f>
        <v>0</v>
      </c>
      <c r="CD11" s="537">
        <f>Time!CD$16</f>
        <v>0</v>
      </c>
      <c r="CE11" s="537">
        <f>Time!CE$16</f>
        <v>0</v>
      </c>
      <c r="CF11" s="537">
        <f>Time!CF$16</f>
        <v>0</v>
      </c>
      <c r="CG11" s="537">
        <f>Time!CG$16</f>
        <v>0</v>
      </c>
      <c r="CH11" s="537">
        <f>Time!CH$16</f>
        <v>0</v>
      </c>
      <c r="CI11" s="537">
        <f>Time!CI$16</f>
        <v>0</v>
      </c>
      <c r="CJ11" s="537">
        <f>Time!CJ$16</f>
        <v>0</v>
      </c>
      <c r="CK11" s="537">
        <f>Time!CK$16</f>
        <v>0</v>
      </c>
      <c r="CL11" s="537">
        <f>Time!CL$16</f>
        <v>0</v>
      </c>
      <c r="CM11" s="537">
        <f>Time!CM$16</f>
        <v>0</v>
      </c>
      <c r="CN11" s="537">
        <f>Time!CN$16</f>
        <v>0</v>
      </c>
      <c r="CO11" s="537">
        <f>Time!CO$16</f>
        <v>0</v>
      </c>
      <c r="CP11" s="537">
        <f>Time!CP$16</f>
        <v>0</v>
      </c>
      <c r="CQ11" s="537">
        <f>Time!CQ$16</f>
        <v>0</v>
      </c>
      <c r="CR11" s="537">
        <f>Time!CR$16</f>
        <v>0</v>
      </c>
      <c r="CS11" s="537">
        <f>Time!CS$16</f>
        <v>0</v>
      </c>
      <c r="CT11" s="537">
        <f>Time!CT$16</f>
        <v>0</v>
      </c>
      <c r="CU11" s="537">
        <f>Time!CU$16</f>
        <v>0</v>
      </c>
      <c r="CV11" s="537">
        <f>Time!CV$16</f>
        <v>0</v>
      </c>
      <c r="CW11" s="537">
        <f>Time!CW$16</f>
        <v>0</v>
      </c>
      <c r="CX11" s="537">
        <f>Time!CX$16</f>
        <v>0</v>
      </c>
      <c r="CY11" s="537">
        <f>Time!CY$16</f>
        <v>0</v>
      </c>
      <c r="CZ11" s="537">
        <f>Time!CZ$16</f>
        <v>0</v>
      </c>
      <c r="DA11" s="537">
        <f>Time!DA$16</f>
        <v>0</v>
      </c>
      <c r="DB11" s="537">
        <f>Time!DB$16</f>
        <v>0</v>
      </c>
      <c r="DC11" s="537">
        <f>Time!DC$16</f>
        <v>0</v>
      </c>
      <c r="DD11" s="537">
        <f>Time!DD$16</f>
        <v>0</v>
      </c>
      <c r="DE11" s="537">
        <f>Time!DE$16</f>
        <v>0</v>
      </c>
      <c r="DF11" s="537">
        <f>Time!DF$16</f>
        <v>0</v>
      </c>
      <c r="DG11" s="537">
        <f>Time!DG$16</f>
        <v>0</v>
      </c>
      <c r="DH11" s="537">
        <f>Time!DH$16</f>
        <v>0</v>
      </c>
      <c r="DI11" s="537">
        <f>Time!DI$16</f>
        <v>0</v>
      </c>
      <c r="DJ11" s="537">
        <f>Time!DJ$16</f>
        <v>0</v>
      </c>
      <c r="DK11" s="537">
        <f>Time!DK$16</f>
        <v>0</v>
      </c>
      <c r="DL11" s="537">
        <f>Time!DL$16</f>
        <v>0</v>
      </c>
      <c r="DM11" s="537">
        <f>Time!DM$16</f>
        <v>0</v>
      </c>
      <c r="DN11" s="537">
        <f>Time!DN$16</f>
        <v>0</v>
      </c>
      <c r="DO11" s="537">
        <f>Time!DO$16</f>
        <v>0</v>
      </c>
      <c r="DP11" s="537">
        <f>Time!DP$16</f>
        <v>0</v>
      </c>
      <c r="DQ11" s="537">
        <f>Time!DQ$16</f>
        <v>0</v>
      </c>
      <c r="DR11" s="537">
        <f>Time!DR$16</f>
        <v>0</v>
      </c>
      <c r="DS11" s="537">
        <f>Time!DS$16</f>
        <v>0</v>
      </c>
      <c r="DT11" s="537">
        <f>Time!DT$16</f>
        <v>0</v>
      </c>
      <c r="DU11" s="537">
        <f>Time!DU$16</f>
        <v>0</v>
      </c>
      <c r="DV11" s="537">
        <f>Time!DV$16</f>
        <v>0</v>
      </c>
      <c r="DW11" s="537">
        <f>Time!DW$16</f>
        <v>0</v>
      </c>
      <c r="DX11" s="537">
        <f>Time!DX$16</f>
        <v>0</v>
      </c>
      <c r="DY11" s="537">
        <f>Time!DY$16</f>
        <v>0</v>
      </c>
      <c r="DZ11" s="537">
        <f>Time!DZ$16</f>
        <v>0</v>
      </c>
      <c r="EA11" s="537">
        <f>Time!EA$16</f>
        <v>0</v>
      </c>
      <c r="EB11" s="537">
        <f>Time!EB$16</f>
        <v>0</v>
      </c>
      <c r="EC11" s="537">
        <f>Time!EC$16</f>
        <v>0</v>
      </c>
      <c r="ED11" s="537">
        <f>Time!ED$16</f>
        <v>0</v>
      </c>
      <c r="EE11" s="537">
        <f>Time!EE$16</f>
        <v>0</v>
      </c>
      <c r="EF11" s="537">
        <f>Time!EF$16</f>
        <v>0</v>
      </c>
      <c r="EG11" s="537">
        <f>Time!EG$16</f>
        <v>0</v>
      </c>
    </row>
    <row r="12" spans="5:137" ht="12.75">
      <c r="E12" s="535" t="str">
        <f>Time!E$50</f>
        <v>Model period ending</v>
      </c>
      <c r="G12" s="536" t="str">
        <f>Time!G$50</f>
        <v>date</v>
      </c>
      <c r="J12" s="536">
        <f>Time!J$50</f>
        <v>46418</v>
      </c>
      <c r="K12" s="536">
        <f>Time!K$50</f>
        <v>46446</v>
      </c>
      <c r="L12" s="536">
        <f>Time!L$50</f>
        <v>46477</v>
      </c>
      <c r="M12" s="536">
        <f>Time!M$50</f>
        <v>46507</v>
      </c>
      <c r="N12" s="536">
        <f>Time!N$50</f>
        <v>46538</v>
      </c>
      <c r="O12" s="536">
        <f>Time!O$50</f>
        <v>46568</v>
      </c>
      <c r="P12" s="536">
        <f>Time!P$50</f>
        <v>46599</v>
      </c>
      <c r="Q12" s="536">
        <f>Time!Q$50</f>
        <v>46630</v>
      </c>
      <c r="R12" s="536">
        <f>Time!R$50</f>
        <v>46660</v>
      </c>
      <c r="S12" s="536">
        <f>Time!S$50</f>
        <v>46691</v>
      </c>
      <c r="T12" s="536">
        <f>Time!T$50</f>
        <v>46721</v>
      </c>
      <c r="U12" s="536">
        <f>Time!U$50</f>
        <v>46752</v>
      </c>
      <c r="V12" s="536">
        <f>Time!V$50</f>
        <v>46783</v>
      </c>
      <c r="W12" s="536">
        <f>Time!W$50</f>
        <v>46812</v>
      </c>
      <c r="X12" s="536">
        <f>Time!X$50</f>
        <v>46843</v>
      </c>
      <c r="Y12" s="536">
        <f>Time!Y$50</f>
        <v>46873</v>
      </c>
      <c r="Z12" s="536">
        <f>Time!Z$50</f>
        <v>46904</v>
      </c>
      <c r="AA12" s="536">
        <f>Time!AA$50</f>
        <v>46934</v>
      </c>
      <c r="AB12" s="536">
        <f>Time!AB$50</f>
        <v>46965</v>
      </c>
      <c r="AC12" s="536">
        <f>Time!AC$50</f>
        <v>46996</v>
      </c>
      <c r="AD12" s="536">
        <f>Time!AD$50</f>
        <v>47026</v>
      </c>
      <c r="AE12" s="536">
        <f>Time!AE$50</f>
        <v>47057</v>
      </c>
      <c r="AF12" s="536">
        <f>Time!AF$50</f>
        <v>47087</v>
      </c>
      <c r="AG12" s="536">
        <f>Time!AG$50</f>
        <v>47118</v>
      </c>
      <c r="AH12" s="536">
        <f>Time!AH$50</f>
        <v>47208</v>
      </c>
      <c r="AI12" s="536">
        <f>Time!AI$50</f>
        <v>47299</v>
      </c>
      <c r="AJ12" s="536">
        <f>Time!AJ$50</f>
        <v>47391</v>
      </c>
      <c r="AK12" s="536">
        <f>Time!AK$50</f>
        <v>47483</v>
      </c>
      <c r="AL12" s="536">
        <f>Time!AL$50</f>
        <v>47573</v>
      </c>
      <c r="AM12" s="536">
        <f>Time!AM$50</f>
        <v>47664</v>
      </c>
      <c r="AN12" s="536">
        <f>Time!AN$50</f>
        <v>47756</v>
      </c>
      <c r="AO12" s="536">
        <f>Time!AO$50</f>
        <v>47848</v>
      </c>
      <c r="AP12" s="536">
        <f>Time!AP$50</f>
        <v>47938</v>
      </c>
      <c r="AQ12" s="536">
        <f>Time!AQ$50</f>
        <v>48029</v>
      </c>
      <c r="AR12" s="536">
        <f>Time!AR$50</f>
        <v>48121</v>
      </c>
      <c r="AS12" s="536">
        <f>Time!AS$50</f>
        <v>48213</v>
      </c>
      <c r="AT12" s="536">
        <f>Time!AT$50</f>
        <v>48304</v>
      </c>
      <c r="AU12" s="536">
        <f>Time!AU$50</f>
        <v>48395</v>
      </c>
      <c r="AV12" s="536">
        <f>Time!AV$50</f>
        <v>48487</v>
      </c>
      <c r="AW12" s="536">
        <f>Time!AW$50</f>
        <v>48579</v>
      </c>
      <c r="AX12" s="536">
        <f>Time!AX$50</f>
        <v>48669</v>
      </c>
      <c r="AY12" s="536">
        <f>Time!AY$50</f>
        <v>48760</v>
      </c>
      <c r="AZ12" s="536">
        <f>Time!AZ$50</f>
        <v>48852</v>
      </c>
      <c r="BA12" s="536">
        <f>Time!BA$50</f>
        <v>48944</v>
      </c>
      <c r="BB12" s="536">
        <f>Time!BB$50</f>
        <v>49034</v>
      </c>
      <c r="BC12" s="536">
        <f>Time!BC$50</f>
        <v>49125</v>
      </c>
      <c r="BD12" s="536">
        <f>Time!BD$50</f>
        <v>49217</v>
      </c>
      <c r="BE12" s="536">
        <f>Time!BE$50</f>
        <v>49309</v>
      </c>
      <c r="BF12" s="536">
        <f>Time!BF$50</f>
        <v>49399</v>
      </c>
      <c r="BG12" s="536">
        <f>Time!BG$50</f>
        <v>49490</v>
      </c>
      <c r="BH12" s="536">
        <f>Time!BH$50</f>
        <v>49582</v>
      </c>
      <c r="BI12" s="536">
        <f>Time!BI$50</f>
        <v>49674</v>
      </c>
      <c r="BJ12" s="536">
        <f>Time!BJ$50</f>
        <v>49765</v>
      </c>
      <c r="BK12" s="536">
        <f>Time!BK$50</f>
        <v>49856</v>
      </c>
      <c r="BL12" s="536">
        <f>Time!BL$50</f>
        <v>49948</v>
      </c>
      <c r="BM12" s="536">
        <f>Time!BM$50</f>
        <v>50040</v>
      </c>
      <c r="BN12" s="536">
        <f>Time!BN$50</f>
        <v>50130</v>
      </c>
      <c r="BO12" s="536">
        <f>Time!BO$50</f>
        <v>50221</v>
      </c>
      <c r="BP12" s="536">
        <f>Time!BP$50</f>
        <v>50313</v>
      </c>
      <c r="BQ12" s="536">
        <f>Time!BQ$50</f>
        <v>50405</v>
      </c>
      <c r="BR12" s="536">
        <f>Time!BR$50</f>
        <v>50495</v>
      </c>
      <c r="BS12" s="536">
        <f>Time!BS$50</f>
        <v>50586</v>
      </c>
      <c r="BT12" s="536">
        <f>Time!BT$50</f>
        <v>50678</v>
      </c>
      <c r="BU12" s="536">
        <f>Time!BU$50</f>
        <v>50770</v>
      </c>
      <c r="BV12" s="536">
        <f>Time!BV$50</f>
        <v>50860</v>
      </c>
      <c r="BW12" s="536">
        <f>Time!BW$50</f>
        <v>50951</v>
      </c>
      <c r="BX12" s="536">
        <f>Time!BX$50</f>
        <v>51043</v>
      </c>
      <c r="BY12" s="536">
        <f>Time!BY$50</f>
        <v>51135</v>
      </c>
      <c r="BZ12" s="536">
        <f>Time!BZ$50</f>
        <v>51226</v>
      </c>
      <c r="CA12" s="536">
        <f>Time!CA$50</f>
        <v>51317</v>
      </c>
      <c r="CB12" s="536">
        <f>Time!CB$50</f>
        <v>51409</v>
      </c>
      <c r="CC12" s="536">
        <f>Time!CC$50</f>
        <v>51501</v>
      </c>
      <c r="CD12" s="536">
        <f>Time!CD$50</f>
        <v>51591</v>
      </c>
      <c r="CE12" s="536">
        <f>Time!CE$50</f>
        <v>51682</v>
      </c>
      <c r="CF12" s="536">
        <f>Time!CF$50</f>
        <v>51774</v>
      </c>
      <c r="CG12" s="536">
        <f>Time!CG$50</f>
        <v>51866</v>
      </c>
      <c r="CH12" s="536">
        <f>Time!CH$50</f>
        <v>51956</v>
      </c>
      <c r="CI12" s="536">
        <f>Time!CI$50</f>
        <v>52047</v>
      </c>
      <c r="CJ12" s="536">
        <f>Time!CJ$50</f>
        <v>52139</v>
      </c>
      <c r="CK12" s="536">
        <f>Time!CK$50</f>
        <v>52231</v>
      </c>
      <c r="CL12" s="536">
        <f>Time!CL$50</f>
        <v>52321</v>
      </c>
      <c r="CM12" s="536">
        <f>Time!CM$50</f>
        <v>52412</v>
      </c>
      <c r="CN12" s="536">
        <f>Time!CN$50</f>
        <v>52504</v>
      </c>
      <c r="CO12" s="536">
        <f>Time!CO$50</f>
        <v>52596</v>
      </c>
      <c r="CP12" s="536">
        <f>Time!CP$50</f>
        <v>52687</v>
      </c>
      <c r="CQ12" s="536">
        <f>Time!CQ$50</f>
        <v>52778</v>
      </c>
      <c r="CR12" s="536">
        <f>Time!CR$50</f>
        <v>52870</v>
      </c>
      <c r="CS12" s="536">
        <f>Time!CS$50</f>
        <v>52962</v>
      </c>
      <c r="CT12" s="536">
        <f>Time!CT$50</f>
        <v>53052</v>
      </c>
      <c r="CU12" s="536">
        <f>Time!CU$50</f>
        <v>53143</v>
      </c>
      <c r="CV12" s="536">
        <f>Time!CV$50</f>
        <v>53235</v>
      </c>
      <c r="CW12" s="536">
        <f>Time!CW$50</f>
        <v>53327</v>
      </c>
      <c r="CX12" s="536">
        <f>Time!CX$50</f>
        <v>53417</v>
      </c>
      <c r="CY12" s="536">
        <f>Time!CY$50</f>
        <v>53508</v>
      </c>
      <c r="CZ12" s="536">
        <f>Time!CZ$50</f>
        <v>53600</v>
      </c>
      <c r="DA12" s="536">
        <f>Time!DA$50</f>
        <v>53692</v>
      </c>
      <c r="DB12" s="536">
        <f>Time!DB$50</f>
        <v>53782</v>
      </c>
      <c r="DC12" s="536">
        <f>Time!DC$50</f>
        <v>53873</v>
      </c>
      <c r="DD12" s="536">
        <f>Time!DD$50</f>
        <v>53965</v>
      </c>
      <c r="DE12" s="536">
        <f>Time!DE$50</f>
        <v>54057</v>
      </c>
      <c r="DF12" s="536">
        <f>Time!DF$50</f>
        <v>54148</v>
      </c>
      <c r="DG12" s="536">
        <f>Time!DG$50</f>
        <v>54239</v>
      </c>
      <c r="DH12" s="536">
        <f>Time!DH$50</f>
        <v>54331</v>
      </c>
      <c r="DI12" s="536">
        <f>Time!DI$50</f>
        <v>54423</v>
      </c>
      <c r="DJ12" s="536">
        <f>Time!DJ$50</f>
        <v>54513</v>
      </c>
      <c r="DK12" s="536">
        <f>Time!DK$50</f>
        <v>54604</v>
      </c>
      <c r="DL12" s="536">
        <f>Time!DL$50</f>
        <v>54696</v>
      </c>
      <c r="DM12" s="536">
        <f>Time!DM$50</f>
        <v>54788</v>
      </c>
      <c r="DN12" s="536">
        <f>Time!DN$50</f>
        <v>54878</v>
      </c>
      <c r="DO12" s="536">
        <f>Time!DO$50</f>
        <v>54969</v>
      </c>
      <c r="DP12" s="536">
        <f>Time!DP$50</f>
        <v>55061</v>
      </c>
      <c r="DQ12" s="536">
        <f>Time!DQ$50</f>
        <v>55153</v>
      </c>
      <c r="DR12" s="536">
        <f>Time!DR$50</f>
        <v>55243</v>
      </c>
      <c r="DS12" s="536">
        <f>Time!DS$50</f>
        <v>55334</v>
      </c>
      <c r="DT12" s="536">
        <f>Time!DT$50</f>
        <v>55426</v>
      </c>
      <c r="DU12" s="536">
        <f>Time!DU$50</f>
        <v>55518</v>
      </c>
      <c r="DV12" s="536">
        <f>Time!DV$50</f>
        <v>55609</v>
      </c>
      <c r="DW12" s="536">
        <f>Time!DW$50</f>
        <v>55700</v>
      </c>
      <c r="DX12" s="536">
        <f>Time!DX$50</f>
        <v>55792</v>
      </c>
      <c r="DY12" s="536">
        <f>Time!DY$50</f>
        <v>55884</v>
      </c>
      <c r="DZ12" s="536">
        <f>Time!DZ$50</f>
        <v>55974</v>
      </c>
      <c r="EA12" s="536">
        <f>Time!EA$50</f>
        <v>56065</v>
      </c>
      <c r="EB12" s="536">
        <f>Time!EB$50</f>
        <v>56157</v>
      </c>
      <c r="EC12" s="536">
        <f>Time!EC$50</f>
        <v>56249</v>
      </c>
      <c r="ED12" s="536">
        <f>Time!ED$50</f>
        <v>56339</v>
      </c>
      <c r="EE12" s="536">
        <f>Time!EE$50</f>
        <v>56430</v>
      </c>
      <c r="EF12" s="536">
        <f>Time!EF$50</f>
        <v>56522</v>
      </c>
      <c r="EG12" s="536">
        <f>Time!EG$50</f>
        <v>56614</v>
      </c>
    </row>
    <row r="13" spans="5:137" ht="12.75">
      <c r="E13" s="535" t="str">
        <f>Time!E$100</f>
        <v>Escalation year end month flag</v>
      </c>
      <c r="G13" s="537" t="str">
        <f>Time!G$100</f>
        <v>flag</v>
      </c>
      <c r="H13" s="537">
        <f>Time!H$100</f>
        <v>28</v>
      </c>
      <c r="J13" s="537">
        <f>Time!J$100</f>
        <v>0</v>
      </c>
      <c r="K13" s="537">
        <f>Time!K$100</f>
        <v>0</v>
      </c>
      <c r="L13" s="537">
        <f>Time!L$100</f>
        <v>0</v>
      </c>
      <c r="M13" s="537">
        <f>Time!M$100</f>
        <v>0</v>
      </c>
      <c r="N13" s="537">
        <f>Time!N$100</f>
        <v>0</v>
      </c>
      <c r="O13" s="537">
        <f>Time!O$100</f>
        <v>0</v>
      </c>
      <c r="P13" s="537">
        <f>Time!P$100</f>
        <v>0</v>
      </c>
      <c r="Q13" s="537">
        <f>Time!Q$100</f>
        <v>0</v>
      </c>
      <c r="R13" s="537">
        <f>Time!R$100</f>
        <v>0</v>
      </c>
      <c r="S13" s="537">
        <f>Time!S$100</f>
        <v>0</v>
      </c>
      <c r="T13" s="537">
        <f>Time!T$100</f>
        <v>0</v>
      </c>
      <c r="U13" s="537">
        <f>Time!U$100</f>
        <v>1</v>
      </c>
      <c r="V13" s="537">
        <f>Time!V$100</f>
        <v>0</v>
      </c>
      <c r="W13" s="537">
        <f>Time!W$100</f>
        <v>0</v>
      </c>
      <c r="X13" s="537">
        <f>Time!X$100</f>
        <v>0</v>
      </c>
      <c r="Y13" s="537">
        <f>Time!Y$100</f>
        <v>0</v>
      </c>
      <c r="Z13" s="537">
        <f>Time!Z$100</f>
        <v>0</v>
      </c>
      <c r="AA13" s="537">
        <f>Time!AA$100</f>
        <v>0</v>
      </c>
      <c r="AB13" s="537">
        <f>Time!AB$100</f>
        <v>0</v>
      </c>
      <c r="AC13" s="537">
        <f>Time!AC$100</f>
        <v>0</v>
      </c>
      <c r="AD13" s="537">
        <f>Time!AD$100</f>
        <v>0</v>
      </c>
      <c r="AE13" s="537">
        <f>Time!AE$100</f>
        <v>0</v>
      </c>
      <c r="AF13" s="537">
        <f>Time!AF$100</f>
        <v>0</v>
      </c>
      <c r="AG13" s="537">
        <f>Time!AG$100</f>
        <v>1</v>
      </c>
      <c r="AH13" s="537">
        <f>Time!AH$100</f>
        <v>0</v>
      </c>
      <c r="AI13" s="537">
        <f>Time!AI$100</f>
        <v>0</v>
      </c>
      <c r="AJ13" s="537">
        <f>Time!AJ$100</f>
        <v>0</v>
      </c>
      <c r="AK13" s="537">
        <f>Time!AK$100</f>
        <v>1</v>
      </c>
      <c r="AL13" s="537">
        <f>Time!AL$100</f>
        <v>0</v>
      </c>
      <c r="AM13" s="537">
        <f>Time!AM$100</f>
        <v>0</v>
      </c>
      <c r="AN13" s="537">
        <f>Time!AN$100</f>
        <v>0</v>
      </c>
      <c r="AO13" s="537">
        <f>Time!AO$100</f>
        <v>1</v>
      </c>
      <c r="AP13" s="537">
        <f>Time!AP$100</f>
        <v>0</v>
      </c>
      <c r="AQ13" s="537">
        <f>Time!AQ$100</f>
        <v>0</v>
      </c>
      <c r="AR13" s="537">
        <f>Time!AR$100</f>
        <v>0</v>
      </c>
      <c r="AS13" s="537">
        <f>Time!AS$100</f>
        <v>1</v>
      </c>
      <c r="AT13" s="537">
        <f>Time!AT$100</f>
        <v>0</v>
      </c>
      <c r="AU13" s="537">
        <f>Time!AU$100</f>
        <v>0</v>
      </c>
      <c r="AV13" s="537">
        <f>Time!AV$100</f>
        <v>0</v>
      </c>
      <c r="AW13" s="537">
        <f>Time!AW$100</f>
        <v>1</v>
      </c>
      <c r="AX13" s="537">
        <f>Time!AX$100</f>
        <v>0</v>
      </c>
      <c r="AY13" s="537">
        <f>Time!AY$100</f>
        <v>0</v>
      </c>
      <c r="AZ13" s="537">
        <f>Time!AZ$100</f>
        <v>0</v>
      </c>
      <c r="BA13" s="537">
        <f>Time!BA$100</f>
        <v>1</v>
      </c>
      <c r="BB13" s="537">
        <f>Time!BB$100</f>
        <v>0</v>
      </c>
      <c r="BC13" s="537">
        <f>Time!BC$100</f>
        <v>0</v>
      </c>
      <c r="BD13" s="537">
        <f>Time!BD$100</f>
        <v>0</v>
      </c>
      <c r="BE13" s="537">
        <f>Time!BE$100</f>
        <v>1</v>
      </c>
      <c r="BF13" s="537">
        <f>Time!BF$100</f>
        <v>0</v>
      </c>
      <c r="BG13" s="537">
        <f>Time!BG$100</f>
        <v>0</v>
      </c>
      <c r="BH13" s="537">
        <f>Time!BH$100</f>
        <v>0</v>
      </c>
      <c r="BI13" s="537">
        <f>Time!BI$100</f>
        <v>1</v>
      </c>
      <c r="BJ13" s="537">
        <f>Time!BJ$100</f>
        <v>0</v>
      </c>
      <c r="BK13" s="537">
        <f>Time!BK$100</f>
        <v>0</v>
      </c>
      <c r="BL13" s="537">
        <f>Time!BL$100</f>
        <v>0</v>
      </c>
      <c r="BM13" s="537">
        <f>Time!BM$100</f>
        <v>1</v>
      </c>
      <c r="BN13" s="537">
        <f>Time!BN$100</f>
        <v>0</v>
      </c>
      <c r="BO13" s="537">
        <f>Time!BO$100</f>
        <v>0</v>
      </c>
      <c r="BP13" s="537">
        <f>Time!BP$100</f>
        <v>0</v>
      </c>
      <c r="BQ13" s="537">
        <f>Time!BQ$100</f>
        <v>1</v>
      </c>
      <c r="BR13" s="537">
        <f>Time!BR$100</f>
        <v>0</v>
      </c>
      <c r="BS13" s="537">
        <f>Time!BS$100</f>
        <v>0</v>
      </c>
      <c r="BT13" s="537">
        <f>Time!BT$100</f>
        <v>0</v>
      </c>
      <c r="BU13" s="537">
        <f>Time!BU$100</f>
        <v>1</v>
      </c>
      <c r="BV13" s="537">
        <f>Time!BV$100</f>
        <v>0</v>
      </c>
      <c r="BW13" s="537">
        <f>Time!BW$100</f>
        <v>0</v>
      </c>
      <c r="BX13" s="537">
        <f>Time!BX$100</f>
        <v>0</v>
      </c>
      <c r="BY13" s="537">
        <f>Time!BY$100</f>
        <v>1</v>
      </c>
      <c r="BZ13" s="537">
        <f>Time!BZ$100</f>
        <v>0</v>
      </c>
      <c r="CA13" s="537">
        <f>Time!CA$100</f>
        <v>0</v>
      </c>
      <c r="CB13" s="537">
        <f>Time!CB$100</f>
        <v>0</v>
      </c>
      <c r="CC13" s="537">
        <f>Time!CC$100</f>
        <v>1</v>
      </c>
      <c r="CD13" s="537">
        <f>Time!CD$100</f>
        <v>0</v>
      </c>
      <c r="CE13" s="537">
        <f>Time!CE$100</f>
        <v>0</v>
      </c>
      <c r="CF13" s="537">
        <f>Time!CF$100</f>
        <v>0</v>
      </c>
      <c r="CG13" s="537">
        <f>Time!CG$100</f>
        <v>1</v>
      </c>
      <c r="CH13" s="537">
        <f>Time!CH$100</f>
        <v>0</v>
      </c>
      <c r="CI13" s="537">
        <f>Time!CI$100</f>
        <v>0</v>
      </c>
      <c r="CJ13" s="537">
        <f>Time!CJ$100</f>
        <v>0</v>
      </c>
      <c r="CK13" s="537">
        <f>Time!CK$100</f>
        <v>1</v>
      </c>
      <c r="CL13" s="537">
        <f>Time!CL$100</f>
        <v>0</v>
      </c>
      <c r="CM13" s="537">
        <f>Time!CM$100</f>
        <v>0</v>
      </c>
      <c r="CN13" s="537">
        <f>Time!CN$100</f>
        <v>0</v>
      </c>
      <c r="CO13" s="537">
        <f>Time!CO$100</f>
        <v>1</v>
      </c>
      <c r="CP13" s="537">
        <f>Time!CP$100</f>
        <v>0</v>
      </c>
      <c r="CQ13" s="537">
        <f>Time!CQ$100</f>
        <v>0</v>
      </c>
      <c r="CR13" s="537">
        <f>Time!CR$100</f>
        <v>0</v>
      </c>
      <c r="CS13" s="537">
        <f>Time!CS$100</f>
        <v>1</v>
      </c>
      <c r="CT13" s="537">
        <f>Time!CT$100</f>
        <v>0</v>
      </c>
      <c r="CU13" s="537">
        <f>Time!CU$100</f>
        <v>0</v>
      </c>
      <c r="CV13" s="537">
        <f>Time!CV$100</f>
        <v>0</v>
      </c>
      <c r="CW13" s="537">
        <f>Time!CW$100</f>
        <v>1</v>
      </c>
      <c r="CX13" s="537">
        <f>Time!CX$100</f>
        <v>0</v>
      </c>
      <c r="CY13" s="537">
        <f>Time!CY$100</f>
        <v>0</v>
      </c>
      <c r="CZ13" s="537">
        <f>Time!CZ$100</f>
        <v>0</v>
      </c>
      <c r="DA13" s="537">
        <f>Time!DA$100</f>
        <v>1</v>
      </c>
      <c r="DB13" s="537">
        <f>Time!DB$100</f>
        <v>0</v>
      </c>
      <c r="DC13" s="537">
        <f>Time!DC$100</f>
        <v>0</v>
      </c>
      <c r="DD13" s="537">
        <f>Time!DD$100</f>
        <v>0</v>
      </c>
      <c r="DE13" s="537">
        <f>Time!DE$100</f>
        <v>1</v>
      </c>
      <c r="DF13" s="537">
        <f>Time!DF$100</f>
        <v>0</v>
      </c>
      <c r="DG13" s="537">
        <f>Time!DG$100</f>
        <v>0</v>
      </c>
      <c r="DH13" s="537">
        <f>Time!DH$100</f>
        <v>0</v>
      </c>
      <c r="DI13" s="537">
        <f>Time!DI$100</f>
        <v>1</v>
      </c>
      <c r="DJ13" s="537">
        <f>Time!DJ$100</f>
        <v>0</v>
      </c>
      <c r="DK13" s="537">
        <f>Time!DK$100</f>
        <v>0</v>
      </c>
      <c r="DL13" s="537">
        <f>Time!DL$100</f>
        <v>0</v>
      </c>
      <c r="DM13" s="537">
        <f>Time!DM$100</f>
        <v>1</v>
      </c>
      <c r="DN13" s="537">
        <f>Time!DN$100</f>
        <v>0</v>
      </c>
      <c r="DO13" s="537">
        <f>Time!DO$100</f>
        <v>0</v>
      </c>
      <c r="DP13" s="537">
        <f>Time!DP$100</f>
        <v>0</v>
      </c>
      <c r="DQ13" s="537">
        <f>Time!DQ$100</f>
        <v>1</v>
      </c>
      <c r="DR13" s="537">
        <f>Time!DR$100</f>
        <v>0</v>
      </c>
      <c r="DS13" s="537">
        <f>Time!DS$100</f>
        <v>0</v>
      </c>
      <c r="DT13" s="537">
        <f>Time!DT$100</f>
        <v>0</v>
      </c>
      <c r="DU13" s="537">
        <f>Time!DU$100</f>
        <v>1</v>
      </c>
      <c r="DV13" s="537">
        <f>Time!DV$100</f>
        <v>0</v>
      </c>
      <c r="DW13" s="537">
        <f>Time!DW$100</f>
        <v>0</v>
      </c>
      <c r="DX13" s="537">
        <f>Time!DX$100</f>
        <v>0</v>
      </c>
      <c r="DY13" s="537">
        <f>Time!DY$100</f>
        <v>1</v>
      </c>
      <c r="DZ13" s="537">
        <f>Time!DZ$100</f>
        <v>0</v>
      </c>
      <c r="EA13" s="537">
        <f>Time!EA$100</f>
        <v>0</v>
      </c>
      <c r="EB13" s="537">
        <f>Time!EB$100</f>
        <v>0</v>
      </c>
      <c r="EC13" s="537">
        <f>Time!EC$100</f>
        <v>1</v>
      </c>
      <c r="ED13" s="537">
        <f>Time!ED$100</f>
        <v>0</v>
      </c>
      <c r="EE13" s="537">
        <f>Time!EE$100</f>
        <v>0</v>
      </c>
      <c r="EF13" s="537">
        <f>Time!EF$100</f>
        <v>0</v>
      </c>
      <c r="EG13" s="537">
        <f>Time!EG$100</f>
        <v>1</v>
      </c>
    </row>
    <row r="14" spans="5:137" ht="12.75">
      <c r="E14" s="538" t="s">
        <v>252</v>
      </c>
      <c r="G14" s="548" t="s">
        <v>253</v>
      </c>
      <c r="H14" s="548">
        <f>SUM(J14:EG14)</f>
        <v>164.36484123478544</v>
      </c>
      <c r="J14" s="548">
        <f t="shared" si="0" ref="J14:EG14">IF(J11=1,1,I14*(1+$F10*I13*IF(I12&gt;=$F9,1,0)))</f>
        <v>1</v>
      </c>
      <c r="K14" s="548">
        <f t="shared" si="0"/>
        <v>1</v>
      </c>
      <c r="L14" s="548">
        <f t="shared" si="0"/>
        <v>1</v>
      </c>
      <c r="M14" s="548">
        <f t="shared" si="0"/>
        <v>1</v>
      </c>
      <c r="N14" s="548">
        <f t="shared" si="0"/>
        <v>1</v>
      </c>
      <c r="O14" s="548">
        <f t="shared" si="0"/>
        <v>1</v>
      </c>
      <c r="P14" s="548">
        <f t="shared" si="0"/>
        <v>1</v>
      </c>
      <c r="Q14" s="548">
        <f t="shared" si="0"/>
        <v>1</v>
      </c>
      <c r="R14" s="548">
        <f t="shared" si="0"/>
        <v>1</v>
      </c>
      <c r="S14" s="548">
        <f t="shared" si="0"/>
        <v>1</v>
      </c>
      <c r="T14" s="548">
        <f t="shared" si="0"/>
        <v>1</v>
      </c>
      <c r="U14" s="548">
        <f t="shared" si="0"/>
        <v>1</v>
      </c>
      <c r="V14" s="548">
        <f t="shared" si="0"/>
        <v>1.02</v>
      </c>
      <c r="W14" s="548">
        <f t="shared" si="0"/>
        <v>1.02</v>
      </c>
      <c r="X14" s="548">
        <f t="shared" si="0"/>
        <v>1.02</v>
      </c>
      <c r="Y14" s="548">
        <f t="shared" si="0"/>
        <v>1.02</v>
      </c>
      <c r="Z14" s="548">
        <f t="shared" si="0"/>
        <v>1.02</v>
      </c>
      <c r="AA14" s="548">
        <f t="shared" si="0"/>
        <v>1.02</v>
      </c>
      <c r="AB14" s="548">
        <f t="shared" si="0"/>
        <v>1.02</v>
      </c>
      <c r="AC14" s="548">
        <f t="shared" si="0"/>
        <v>1.02</v>
      </c>
      <c r="AD14" s="548">
        <f t="shared" si="0"/>
        <v>1.02</v>
      </c>
      <c r="AE14" s="548">
        <f t="shared" si="0"/>
        <v>1.02</v>
      </c>
      <c r="AF14" s="548">
        <f t="shared" si="0"/>
        <v>1.02</v>
      </c>
      <c r="AG14" s="548">
        <f t="shared" si="0"/>
        <v>1.02</v>
      </c>
      <c r="AH14" s="548">
        <f t="shared" si="0"/>
        <v>1.0404</v>
      </c>
      <c r="AI14" s="548">
        <f t="shared" si="0"/>
        <v>1.0404</v>
      </c>
      <c r="AJ14" s="548">
        <f t="shared" si="0"/>
        <v>1.0404</v>
      </c>
      <c r="AK14" s="548">
        <f t="shared" si="0"/>
        <v>1.0404</v>
      </c>
      <c r="AL14" s="548">
        <f t="shared" si="0"/>
        <v>1.0612079999999999</v>
      </c>
      <c r="AM14" s="548">
        <f t="shared" si="0"/>
        <v>1.0612079999999999</v>
      </c>
      <c r="AN14" s="548">
        <f t="shared" si="0"/>
        <v>1.0612079999999999</v>
      </c>
      <c r="AO14" s="548">
        <f t="shared" si="0"/>
        <v>1.0612079999999999</v>
      </c>
      <c r="AP14" s="548">
        <f t="shared" si="0"/>
        <v>1.08243216</v>
      </c>
      <c r="AQ14" s="548">
        <f t="shared" si="0"/>
        <v>1.08243216</v>
      </c>
      <c r="AR14" s="548">
        <f t="shared" si="0"/>
        <v>1.08243216</v>
      </c>
      <c r="AS14" s="548">
        <f t="shared" si="0"/>
        <v>1.08243216</v>
      </c>
      <c r="AT14" s="548">
        <f t="shared" si="0"/>
        <v>1.1040808032</v>
      </c>
      <c r="AU14" s="548">
        <f t="shared" si="0"/>
        <v>1.1040808032</v>
      </c>
      <c r="AV14" s="548">
        <f t="shared" si="0"/>
        <v>1.1040808032</v>
      </c>
      <c r="AW14" s="548">
        <f t="shared" si="0"/>
        <v>1.1040808032</v>
      </c>
      <c r="AX14" s="548">
        <f t="shared" si="0"/>
        <v>1.1261624192640001</v>
      </c>
      <c r="AY14" s="548">
        <f t="shared" si="0"/>
        <v>1.1261624192640001</v>
      </c>
      <c r="AZ14" s="548">
        <f t="shared" si="0"/>
        <v>1.1261624192640001</v>
      </c>
      <c r="BA14" s="548">
        <f t="shared" si="0"/>
        <v>1.1261624192640001</v>
      </c>
      <c r="BB14" s="548">
        <f t="shared" si="0"/>
        <v>1.14868566764928</v>
      </c>
      <c r="BC14" s="548">
        <f t="shared" si="0"/>
        <v>1.14868566764928</v>
      </c>
      <c r="BD14" s="548">
        <f t="shared" si="0"/>
        <v>1.14868566764928</v>
      </c>
      <c r="BE14" s="548">
        <f t="shared" si="0"/>
        <v>1.14868566764928</v>
      </c>
      <c r="BF14" s="548">
        <f t="shared" si="0"/>
        <v>1.1716593810022657</v>
      </c>
      <c r="BG14" s="548">
        <f t="shared" si="0"/>
        <v>1.1716593810022657</v>
      </c>
      <c r="BH14" s="548">
        <f t="shared" si="0"/>
        <v>1.1716593810022657</v>
      </c>
      <c r="BI14" s="548">
        <f t="shared" si="0"/>
        <v>1.1716593810022657</v>
      </c>
      <c r="BJ14" s="548">
        <f t="shared" si="0"/>
        <v>1.1950925686223111</v>
      </c>
      <c r="BK14" s="548">
        <f t="shared" si="0"/>
        <v>1.1950925686223111</v>
      </c>
      <c r="BL14" s="548">
        <f t="shared" si="0"/>
        <v>1.1950925686223111</v>
      </c>
      <c r="BM14" s="548">
        <f t="shared" si="0"/>
        <v>1.1950925686223111</v>
      </c>
      <c r="BN14" s="548">
        <f t="shared" si="0"/>
        <v>1.2189944199947573</v>
      </c>
      <c r="BO14" s="548">
        <f t="shared" si="0"/>
        <v>1.2189944199947573</v>
      </c>
      <c r="BP14" s="548">
        <f t="shared" si="0"/>
        <v>1.2189944199947573</v>
      </c>
      <c r="BQ14" s="548">
        <f t="shared" si="0"/>
        <v>1.2189944199947573</v>
      </c>
      <c r="BR14" s="548">
        <f t="shared" si="0"/>
        <v>1.2433743083946525</v>
      </c>
      <c r="BS14" s="548">
        <f t="shared" si="0"/>
        <v>1.2433743083946525</v>
      </c>
      <c r="BT14" s="548">
        <f t="shared" si="0"/>
        <v>1.2433743083946525</v>
      </c>
      <c r="BU14" s="548">
        <f t="shared" si="0"/>
        <v>1.2433743083946525</v>
      </c>
      <c r="BV14" s="548">
        <f t="shared" si="0"/>
        <v>1.2682417945625455</v>
      </c>
      <c r="BW14" s="548">
        <f t="shared" si="0"/>
        <v>1.2682417945625455</v>
      </c>
      <c r="BX14" s="548">
        <f t="shared" si="0"/>
        <v>1.2682417945625455</v>
      </c>
      <c r="BY14" s="548">
        <f t="shared" si="0"/>
        <v>1.2682417945625455</v>
      </c>
      <c r="BZ14" s="548">
        <f t="shared" si="0"/>
        <v>1.2936066304537963</v>
      </c>
      <c r="CA14" s="548">
        <f t="shared" si="0"/>
        <v>1.2936066304537963</v>
      </c>
      <c r="CB14" s="548">
        <f t="shared" si="0"/>
        <v>1.2936066304537963</v>
      </c>
      <c r="CC14" s="548">
        <f t="shared" si="0"/>
        <v>1.2936066304537963</v>
      </c>
      <c r="CD14" s="548">
        <f t="shared" si="0"/>
        <v>1.3194787630628724</v>
      </c>
      <c r="CE14" s="548">
        <f t="shared" si="0"/>
        <v>1.3194787630628724</v>
      </c>
      <c r="CF14" s="548">
        <f t="shared" si="0"/>
        <v>1.3194787630628724</v>
      </c>
      <c r="CG14" s="548">
        <f t="shared" si="0"/>
        <v>1.3194787630628724</v>
      </c>
      <c r="CH14" s="548">
        <f t="shared" si="0"/>
        <v>1.3458683383241299</v>
      </c>
      <c r="CI14" s="548">
        <f t="shared" si="0"/>
        <v>1.3458683383241299</v>
      </c>
      <c r="CJ14" s="548">
        <f t="shared" si="0"/>
        <v>1.3458683383241299</v>
      </c>
      <c r="CK14" s="548">
        <f t="shared" si="0"/>
        <v>1.3458683383241299</v>
      </c>
      <c r="CL14" s="548">
        <f t="shared" si="0"/>
        <v>1.3727857050906125</v>
      </c>
      <c r="CM14" s="548">
        <f t="shared" si="0"/>
        <v>1.3727857050906125</v>
      </c>
      <c r="CN14" s="548">
        <f t="shared" si="0"/>
        <v>1.3727857050906125</v>
      </c>
      <c r="CO14" s="548">
        <f t="shared" si="0"/>
        <v>1.3727857050906125</v>
      </c>
      <c r="CP14" s="548">
        <f t="shared" si="0"/>
        <v>1.4002414191924248</v>
      </c>
      <c r="CQ14" s="548">
        <f t="shared" si="0"/>
        <v>1.4002414191924248</v>
      </c>
      <c r="CR14" s="548">
        <f t="shared" si="0"/>
        <v>1.4002414191924248</v>
      </c>
      <c r="CS14" s="548">
        <f t="shared" si="0"/>
        <v>1.4002414191924248</v>
      </c>
      <c r="CT14" s="548">
        <f t="shared" si="0"/>
        <v>1.4282462475762734</v>
      </c>
      <c r="CU14" s="548">
        <f t="shared" si="0"/>
        <v>1.4282462475762734</v>
      </c>
      <c r="CV14" s="548">
        <f t="shared" si="0"/>
        <v>1.4282462475762734</v>
      </c>
      <c r="CW14" s="548">
        <f t="shared" si="0"/>
        <v>1.4282462475762734</v>
      </c>
      <c r="CX14" s="548">
        <f t="shared" si="0"/>
        <v>1.4568111725277988</v>
      </c>
      <c r="CY14" s="548">
        <f t="shared" si="0"/>
        <v>1.4568111725277988</v>
      </c>
      <c r="CZ14" s="548">
        <f t="shared" si="0"/>
        <v>1.4568111725277988</v>
      </c>
      <c r="DA14" s="548">
        <f t="shared" si="0"/>
        <v>1.4568111725277988</v>
      </c>
      <c r="DB14" s="548">
        <f t="shared" si="0"/>
        <v>1.4859473959783549</v>
      </c>
      <c r="DC14" s="548">
        <f t="shared" si="0"/>
        <v>1.4859473959783549</v>
      </c>
      <c r="DD14" s="548">
        <f t="shared" si="0"/>
        <v>1.4859473959783549</v>
      </c>
      <c r="DE14" s="548">
        <f t="shared" si="0"/>
        <v>1.4859473959783549</v>
      </c>
      <c r="DF14" s="548">
        <f t="shared" si="0"/>
        <v>1.5156663438979221</v>
      </c>
      <c r="DG14" s="548">
        <f t="shared" si="0"/>
        <v>1.5156663438979221</v>
      </c>
      <c r="DH14" s="548">
        <f t="shared" si="0"/>
        <v>1.5156663438979221</v>
      </c>
      <c r="DI14" s="548">
        <f t="shared" si="0"/>
        <v>1.5156663438979221</v>
      </c>
      <c r="DJ14" s="548">
        <f t="shared" si="0"/>
        <v>1.5459796707758806</v>
      </c>
      <c r="DK14" s="548">
        <f t="shared" si="0"/>
        <v>1.5459796707758806</v>
      </c>
      <c r="DL14" s="548">
        <f t="shared" si="0"/>
        <v>1.5459796707758806</v>
      </c>
      <c r="DM14" s="548">
        <f t="shared" si="0"/>
        <v>1.5459796707758806</v>
      </c>
      <c r="DN14" s="548">
        <f t="shared" si="0"/>
        <v>1.5768992641913981</v>
      </c>
      <c r="DO14" s="548">
        <f t="shared" si="0"/>
        <v>1.5768992641913981</v>
      </c>
      <c r="DP14" s="548">
        <f t="shared" si="0"/>
        <v>1.5768992641913981</v>
      </c>
      <c r="DQ14" s="548">
        <f t="shared" si="0"/>
        <v>1.5768992641913981</v>
      </c>
      <c r="DR14" s="548">
        <f t="shared" si="0"/>
        <v>1.6084372494752261</v>
      </c>
      <c r="DS14" s="548">
        <f t="shared" si="0"/>
        <v>1.6084372494752261</v>
      </c>
      <c r="DT14" s="548">
        <f t="shared" si="0"/>
        <v>1.6084372494752261</v>
      </c>
      <c r="DU14" s="548">
        <f t="shared" si="0"/>
        <v>1.6084372494752261</v>
      </c>
      <c r="DV14" s="548">
        <f t="shared" si="0"/>
        <v>1.6406059944647307</v>
      </c>
      <c r="DW14" s="548">
        <f t="shared" si="0"/>
        <v>1.6406059944647307</v>
      </c>
      <c r="DX14" s="548">
        <f t="shared" si="0"/>
        <v>1.6406059944647307</v>
      </c>
      <c r="DY14" s="548">
        <f t="shared" si="0"/>
        <v>1.6406059944647307</v>
      </c>
      <c r="DZ14" s="548">
        <f t="shared" si="0"/>
        <v>1.6734181143540252</v>
      </c>
      <c r="EA14" s="548">
        <f t="shared" si="0"/>
        <v>1.6734181143540252</v>
      </c>
      <c r="EB14" s="548">
        <f t="shared" si="0"/>
        <v>1.6734181143540252</v>
      </c>
      <c r="EC14" s="548">
        <f t="shared" si="0"/>
        <v>1.6734181143540252</v>
      </c>
      <c r="ED14" s="548">
        <f t="shared" si="0"/>
        <v>1.7068864766411058</v>
      </c>
      <c r="EE14" s="548">
        <f t="shared" si="0"/>
        <v>1.7068864766411058</v>
      </c>
      <c r="EF14" s="548">
        <f t="shared" si="0"/>
        <v>1.7068864766411058</v>
      </c>
      <c r="EG14" s="548">
        <f t="shared" si="0"/>
        <v>1.7068864766411058</v>
      </c>
    </row>
    <row r="16" spans="5:7" ht="12.75">
      <c r="E16" s="535" t="str">
        <f>InpC!E$53</f>
        <v>Indexation - base date</v>
      </c>
      <c r="F16" s="536">
        <f>InpC!F$53</f>
        <v>46388</v>
      </c>
      <c r="G16" s="536" t="str">
        <f>InpC!G$53</f>
        <v>date</v>
      </c>
    </row>
    <row r="17" spans="5:7" ht="12.75">
      <c r="E17" s="535" t="str">
        <f>InpC!E$55</f>
        <v>Opex index - annual rate</v>
      </c>
      <c r="F17" s="542">
        <f>InpC!F$55</f>
        <v>0.025000000000000001</v>
      </c>
      <c r="G17" s="542" t="str">
        <f>InpC!G$55</f>
        <v>% p.a.</v>
      </c>
    </row>
    <row r="18" spans="5:137" ht="12.75">
      <c r="E18" s="535" t="str">
        <f>Time!E$16</f>
        <v>First model column flag</v>
      </c>
      <c r="G18" s="537" t="str">
        <f>Time!G$16</f>
        <v>flag</v>
      </c>
      <c r="H18" s="537">
        <f>Time!H$16</f>
        <v>1</v>
      </c>
      <c r="J18" s="537">
        <f>Time!J$16</f>
        <v>1</v>
      </c>
      <c r="K18" s="537">
        <f>Time!K$16</f>
        <v>0</v>
      </c>
      <c r="L18" s="537">
        <f>Time!L$16</f>
        <v>0</v>
      </c>
      <c r="M18" s="537">
        <f>Time!M$16</f>
        <v>0</v>
      </c>
      <c r="N18" s="537">
        <f>Time!N$16</f>
        <v>0</v>
      </c>
      <c r="O18" s="537">
        <f>Time!O$16</f>
        <v>0</v>
      </c>
      <c r="P18" s="537">
        <f>Time!P$16</f>
        <v>0</v>
      </c>
      <c r="Q18" s="537">
        <f>Time!Q$16</f>
        <v>0</v>
      </c>
      <c r="R18" s="537">
        <f>Time!R$16</f>
        <v>0</v>
      </c>
      <c r="S18" s="537">
        <f>Time!S$16</f>
        <v>0</v>
      </c>
      <c r="T18" s="537">
        <f>Time!T$16</f>
        <v>0</v>
      </c>
      <c r="U18" s="537">
        <f>Time!U$16</f>
        <v>0</v>
      </c>
      <c r="V18" s="537">
        <f>Time!V$16</f>
        <v>0</v>
      </c>
      <c r="W18" s="537">
        <f>Time!W$16</f>
        <v>0</v>
      </c>
      <c r="X18" s="537">
        <f>Time!X$16</f>
        <v>0</v>
      </c>
      <c r="Y18" s="537">
        <f>Time!Y$16</f>
        <v>0</v>
      </c>
      <c r="Z18" s="537">
        <f>Time!Z$16</f>
        <v>0</v>
      </c>
      <c r="AA18" s="537">
        <f>Time!AA$16</f>
        <v>0</v>
      </c>
      <c r="AB18" s="537">
        <f>Time!AB$16</f>
        <v>0</v>
      </c>
      <c r="AC18" s="537">
        <f>Time!AC$16</f>
        <v>0</v>
      </c>
      <c r="AD18" s="537">
        <f>Time!AD$16</f>
        <v>0</v>
      </c>
      <c r="AE18" s="537">
        <f>Time!AE$16</f>
        <v>0</v>
      </c>
      <c r="AF18" s="537">
        <f>Time!AF$16</f>
        <v>0</v>
      </c>
      <c r="AG18" s="537">
        <f>Time!AG$16</f>
        <v>0</v>
      </c>
      <c r="AH18" s="537">
        <f>Time!AH$16</f>
        <v>0</v>
      </c>
      <c r="AI18" s="537">
        <f>Time!AI$16</f>
        <v>0</v>
      </c>
      <c r="AJ18" s="537">
        <f>Time!AJ$16</f>
        <v>0</v>
      </c>
      <c r="AK18" s="537">
        <f>Time!AK$16</f>
        <v>0</v>
      </c>
      <c r="AL18" s="537">
        <f>Time!AL$16</f>
        <v>0</v>
      </c>
      <c r="AM18" s="537">
        <f>Time!AM$16</f>
        <v>0</v>
      </c>
      <c r="AN18" s="537">
        <f>Time!AN$16</f>
        <v>0</v>
      </c>
      <c r="AO18" s="537">
        <f>Time!AO$16</f>
        <v>0</v>
      </c>
      <c r="AP18" s="537">
        <f>Time!AP$16</f>
        <v>0</v>
      </c>
      <c r="AQ18" s="537">
        <f>Time!AQ$16</f>
        <v>0</v>
      </c>
      <c r="AR18" s="537">
        <f>Time!AR$16</f>
        <v>0</v>
      </c>
      <c r="AS18" s="537">
        <f>Time!AS$16</f>
        <v>0</v>
      </c>
      <c r="AT18" s="537">
        <f>Time!AT$16</f>
        <v>0</v>
      </c>
      <c r="AU18" s="537">
        <f>Time!AU$16</f>
        <v>0</v>
      </c>
      <c r="AV18" s="537">
        <f>Time!AV$16</f>
        <v>0</v>
      </c>
      <c r="AW18" s="537">
        <f>Time!AW$16</f>
        <v>0</v>
      </c>
      <c r="AX18" s="537">
        <f>Time!AX$16</f>
        <v>0</v>
      </c>
      <c r="AY18" s="537">
        <f>Time!AY$16</f>
        <v>0</v>
      </c>
      <c r="AZ18" s="537">
        <f>Time!AZ$16</f>
        <v>0</v>
      </c>
      <c r="BA18" s="537">
        <f>Time!BA$16</f>
        <v>0</v>
      </c>
      <c r="BB18" s="537">
        <f>Time!BB$16</f>
        <v>0</v>
      </c>
      <c r="BC18" s="537">
        <f>Time!BC$16</f>
        <v>0</v>
      </c>
      <c r="BD18" s="537">
        <f>Time!BD$16</f>
        <v>0</v>
      </c>
      <c r="BE18" s="537">
        <f>Time!BE$16</f>
        <v>0</v>
      </c>
      <c r="BF18" s="537">
        <f>Time!BF$16</f>
        <v>0</v>
      </c>
      <c r="BG18" s="537">
        <f>Time!BG$16</f>
        <v>0</v>
      </c>
      <c r="BH18" s="537">
        <f>Time!BH$16</f>
        <v>0</v>
      </c>
      <c r="BI18" s="537">
        <f>Time!BI$16</f>
        <v>0</v>
      </c>
      <c r="BJ18" s="537">
        <f>Time!BJ$16</f>
        <v>0</v>
      </c>
      <c r="BK18" s="537">
        <f>Time!BK$16</f>
        <v>0</v>
      </c>
      <c r="BL18" s="537">
        <f>Time!BL$16</f>
        <v>0</v>
      </c>
      <c r="BM18" s="537">
        <f>Time!BM$16</f>
        <v>0</v>
      </c>
      <c r="BN18" s="537">
        <f>Time!BN$16</f>
        <v>0</v>
      </c>
      <c r="BO18" s="537">
        <f>Time!BO$16</f>
        <v>0</v>
      </c>
      <c r="BP18" s="537">
        <f>Time!BP$16</f>
        <v>0</v>
      </c>
      <c r="BQ18" s="537">
        <f>Time!BQ$16</f>
        <v>0</v>
      </c>
      <c r="BR18" s="537">
        <f>Time!BR$16</f>
        <v>0</v>
      </c>
      <c r="BS18" s="537">
        <f>Time!BS$16</f>
        <v>0</v>
      </c>
      <c r="BT18" s="537">
        <f>Time!BT$16</f>
        <v>0</v>
      </c>
      <c r="BU18" s="537">
        <f>Time!BU$16</f>
        <v>0</v>
      </c>
      <c r="BV18" s="537">
        <f>Time!BV$16</f>
        <v>0</v>
      </c>
      <c r="BW18" s="537">
        <f>Time!BW$16</f>
        <v>0</v>
      </c>
      <c r="BX18" s="537">
        <f>Time!BX$16</f>
        <v>0</v>
      </c>
      <c r="BY18" s="537">
        <f>Time!BY$16</f>
        <v>0</v>
      </c>
      <c r="BZ18" s="537">
        <f>Time!BZ$16</f>
        <v>0</v>
      </c>
      <c r="CA18" s="537">
        <f>Time!CA$16</f>
        <v>0</v>
      </c>
      <c r="CB18" s="537">
        <f>Time!CB$16</f>
        <v>0</v>
      </c>
      <c r="CC18" s="537">
        <f>Time!CC$16</f>
        <v>0</v>
      </c>
      <c r="CD18" s="537">
        <f>Time!CD$16</f>
        <v>0</v>
      </c>
      <c r="CE18" s="537">
        <f>Time!CE$16</f>
        <v>0</v>
      </c>
      <c r="CF18" s="537">
        <f>Time!CF$16</f>
        <v>0</v>
      </c>
      <c r="CG18" s="537">
        <f>Time!CG$16</f>
        <v>0</v>
      </c>
      <c r="CH18" s="537">
        <f>Time!CH$16</f>
        <v>0</v>
      </c>
      <c r="CI18" s="537">
        <f>Time!CI$16</f>
        <v>0</v>
      </c>
      <c r="CJ18" s="537">
        <f>Time!CJ$16</f>
        <v>0</v>
      </c>
      <c r="CK18" s="537">
        <f>Time!CK$16</f>
        <v>0</v>
      </c>
      <c r="CL18" s="537">
        <f>Time!CL$16</f>
        <v>0</v>
      </c>
      <c r="CM18" s="537">
        <f>Time!CM$16</f>
        <v>0</v>
      </c>
      <c r="CN18" s="537">
        <f>Time!CN$16</f>
        <v>0</v>
      </c>
      <c r="CO18" s="537">
        <f>Time!CO$16</f>
        <v>0</v>
      </c>
      <c r="CP18" s="537">
        <f>Time!CP$16</f>
        <v>0</v>
      </c>
      <c r="CQ18" s="537">
        <f>Time!CQ$16</f>
        <v>0</v>
      </c>
      <c r="CR18" s="537">
        <f>Time!CR$16</f>
        <v>0</v>
      </c>
      <c r="CS18" s="537">
        <f>Time!CS$16</f>
        <v>0</v>
      </c>
      <c r="CT18" s="537">
        <f>Time!CT$16</f>
        <v>0</v>
      </c>
      <c r="CU18" s="537">
        <f>Time!CU$16</f>
        <v>0</v>
      </c>
      <c r="CV18" s="537">
        <f>Time!CV$16</f>
        <v>0</v>
      </c>
      <c r="CW18" s="537">
        <f>Time!CW$16</f>
        <v>0</v>
      </c>
      <c r="CX18" s="537">
        <f>Time!CX$16</f>
        <v>0</v>
      </c>
      <c r="CY18" s="537">
        <f>Time!CY$16</f>
        <v>0</v>
      </c>
      <c r="CZ18" s="537">
        <f>Time!CZ$16</f>
        <v>0</v>
      </c>
      <c r="DA18" s="537">
        <f>Time!DA$16</f>
        <v>0</v>
      </c>
      <c r="DB18" s="537">
        <f>Time!DB$16</f>
        <v>0</v>
      </c>
      <c r="DC18" s="537">
        <f>Time!DC$16</f>
        <v>0</v>
      </c>
      <c r="DD18" s="537">
        <f>Time!DD$16</f>
        <v>0</v>
      </c>
      <c r="DE18" s="537">
        <f>Time!DE$16</f>
        <v>0</v>
      </c>
      <c r="DF18" s="537">
        <f>Time!DF$16</f>
        <v>0</v>
      </c>
      <c r="DG18" s="537">
        <f>Time!DG$16</f>
        <v>0</v>
      </c>
      <c r="DH18" s="537">
        <f>Time!DH$16</f>
        <v>0</v>
      </c>
      <c r="DI18" s="537">
        <f>Time!DI$16</f>
        <v>0</v>
      </c>
      <c r="DJ18" s="537">
        <f>Time!DJ$16</f>
        <v>0</v>
      </c>
      <c r="DK18" s="537">
        <f>Time!DK$16</f>
        <v>0</v>
      </c>
      <c r="DL18" s="537">
        <f>Time!DL$16</f>
        <v>0</v>
      </c>
      <c r="DM18" s="537">
        <f>Time!DM$16</f>
        <v>0</v>
      </c>
      <c r="DN18" s="537">
        <f>Time!DN$16</f>
        <v>0</v>
      </c>
      <c r="DO18" s="537">
        <f>Time!DO$16</f>
        <v>0</v>
      </c>
      <c r="DP18" s="537">
        <f>Time!DP$16</f>
        <v>0</v>
      </c>
      <c r="DQ18" s="537">
        <f>Time!DQ$16</f>
        <v>0</v>
      </c>
      <c r="DR18" s="537">
        <f>Time!DR$16</f>
        <v>0</v>
      </c>
      <c r="DS18" s="537">
        <f>Time!DS$16</f>
        <v>0</v>
      </c>
      <c r="DT18" s="537">
        <f>Time!DT$16</f>
        <v>0</v>
      </c>
      <c r="DU18" s="537">
        <f>Time!DU$16</f>
        <v>0</v>
      </c>
      <c r="DV18" s="537">
        <f>Time!DV$16</f>
        <v>0</v>
      </c>
      <c r="DW18" s="537">
        <f>Time!DW$16</f>
        <v>0</v>
      </c>
      <c r="DX18" s="537">
        <f>Time!DX$16</f>
        <v>0</v>
      </c>
      <c r="DY18" s="537">
        <f>Time!DY$16</f>
        <v>0</v>
      </c>
      <c r="DZ18" s="537">
        <f>Time!DZ$16</f>
        <v>0</v>
      </c>
      <c r="EA18" s="537">
        <f>Time!EA$16</f>
        <v>0</v>
      </c>
      <c r="EB18" s="537">
        <f>Time!EB$16</f>
        <v>0</v>
      </c>
      <c r="EC18" s="537">
        <f>Time!EC$16</f>
        <v>0</v>
      </c>
      <c r="ED18" s="537">
        <f>Time!ED$16</f>
        <v>0</v>
      </c>
      <c r="EE18" s="537">
        <f>Time!EE$16</f>
        <v>0</v>
      </c>
      <c r="EF18" s="537">
        <f>Time!EF$16</f>
        <v>0</v>
      </c>
      <c r="EG18" s="537">
        <f>Time!EG$16</f>
        <v>0</v>
      </c>
    </row>
    <row r="19" spans="5:137" ht="12.75">
      <c r="E19" s="535" t="str">
        <f>Time!E$50</f>
        <v>Model period ending</v>
      </c>
      <c r="G19" s="536" t="str">
        <f>Time!G$50</f>
        <v>date</v>
      </c>
      <c r="J19" s="536">
        <f>Time!J$50</f>
        <v>46418</v>
      </c>
      <c r="K19" s="536">
        <f>Time!K$50</f>
        <v>46446</v>
      </c>
      <c r="L19" s="536">
        <f>Time!L$50</f>
        <v>46477</v>
      </c>
      <c r="M19" s="536">
        <f>Time!M$50</f>
        <v>46507</v>
      </c>
      <c r="N19" s="536">
        <f>Time!N$50</f>
        <v>46538</v>
      </c>
      <c r="O19" s="536">
        <f>Time!O$50</f>
        <v>46568</v>
      </c>
      <c r="P19" s="536">
        <f>Time!P$50</f>
        <v>46599</v>
      </c>
      <c r="Q19" s="536">
        <f>Time!Q$50</f>
        <v>46630</v>
      </c>
      <c r="R19" s="536">
        <f>Time!R$50</f>
        <v>46660</v>
      </c>
      <c r="S19" s="536">
        <f>Time!S$50</f>
        <v>46691</v>
      </c>
      <c r="T19" s="536">
        <f>Time!T$50</f>
        <v>46721</v>
      </c>
      <c r="U19" s="536">
        <f>Time!U$50</f>
        <v>46752</v>
      </c>
      <c r="V19" s="536">
        <f>Time!V$50</f>
        <v>46783</v>
      </c>
      <c r="W19" s="536">
        <f>Time!W$50</f>
        <v>46812</v>
      </c>
      <c r="X19" s="536">
        <f>Time!X$50</f>
        <v>46843</v>
      </c>
      <c r="Y19" s="536">
        <f>Time!Y$50</f>
        <v>46873</v>
      </c>
      <c r="Z19" s="536">
        <f>Time!Z$50</f>
        <v>46904</v>
      </c>
      <c r="AA19" s="536">
        <f>Time!AA$50</f>
        <v>46934</v>
      </c>
      <c r="AB19" s="536">
        <f>Time!AB$50</f>
        <v>46965</v>
      </c>
      <c r="AC19" s="536">
        <f>Time!AC$50</f>
        <v>46996</v>
      </c>
      <c r="AD19" s="536">
        <f>Time!AD$50</f>
        <v>47026</v>
      </c>
      <c r="AE19" s="536">
        <f>Time!AE$50</f>
        <v>47057</v>
      </c>
      <c r="AF19" s="536">
        <f>Time!AF$50</f>
        <v>47087</v>
      </c>
      <c r="AG19" s="536">
        <f>Time!AG$50</f>
        <v>47118</v>
      </c>
      <c r="AH19" s="536">
        <f>Time!AH$50</f>
        <v>47208</v>
      </c>
      <c r="AI19" s="536">
        <f>Time!AI$50</f>
        <v>47299</v>
      </c>
      <c r="AJ19" s="536">
        <f>Time!AJ$50</f>
        <v>47391</v>
      </c>
      <c r="AK19" s="536">
        <f>Time!AK$50</f>
        <v>47483</v>
      </c>
      <c r="AL19" s="536">
        <f>Time!AL$50</f>
        <v>47573</v>
      </c>
      <c r="AM19" s="536">
        <f>Time!AM$50</f>
        <v>47664</v>
      </c>
      <c r="AN19" s="536">
        <f>Time!AN$50</f>
        <v>47756</v>
      </c>
      <c r="AO19" s="536">
        <f>Time!AO$50</f>
        <v>47848</v>
      </c>
      <c r="AP19" s="536">
        <f>Time!AP$50</f>
        <v>47938</v>
      </c>
      <c r="AQ19" s="536">
        <f>Time!AQ$50</f>
        <v>48029</v>
      </c>
      <c r="AR19" s="536">
        <f>Time!AR$50</f>
        <v>48121</v>
      </c>
      <c r="AS19" s="536">
        <f>Time!AS$50</f>
        <v>48213</v>
      </c>
      <c r="AT19" s="536">
        <f>Time!AT$50</f>
        <v>48304</v>
      </c>
      <c r="AU19" s="536">
        <f>Time!AU$50</f>
        <v>48395</v>
      </c>
      <c r="AV19" s="536">
        <f>Time!AV$50</f>
        <v>48487</v>
      </c>
      <c r="AW19" s="536">
        <f>Time!AW$50</f>
        <v>48579</v>
      </c>
      <c r="AX19" s="536">
        <f>Time!AX$50</f>
        <v>48669</v>
      </c>
      <c r="AY19" s="536">
        <f>Time!AY$50</f>
        <v>48760</v>
      </c>
      <c r="AZ19" s="536">
        <f>Time!AZ$50</f>
        <v>48852</v>
      </c>
      <c r="BA19" s="536">
        <f>Time!BA$50</f>
        <v>48944</v>
      </c>
      <c r="BB19" s="536">
        <f>Time!BB$50</f>
        <v>49034</v>
      </c>
      <c r="BC19" s="536">
        <f>Time!BC$50</f>
        <v>49125</v>
      </c>
      <c r="BD19" s="536">
        <f>Time!BD$50</f>
        <v>49217</v>
      </c>
      <c r="BE19" s="536">
        <f>Time!BE$50</f>
        <v>49309</v>
      </c>
      <c r="BF19" s="536">
        <f>Time!BF$50</f>
        <v>49399</v>
      </c>
      <c r="BG19" s="536">
        <f>Time!BG$50</f>
        <v>49490</v>
      </c>
      <c r="BH19" s="536">
        <f>Time!BH$50</f>
        <v>49582</v>
      </c>
      <c r="BI19" s="536">
        <f>Time!BI$50</f>
        <v>49674</v>
      </c>
      <c r="BJ19" s="536">
        <f>Time!BJ$50</f>
        <v>49765</v>
      </c>
      <c r="BK19" s="536">
        <f>Time!BK$50</f>
        <v>49856</v>
      </c>
      <c r="BL19" s="536">
        <f>Time!BL$50</f>
        <v>49948</v>
      </c>
      <c r="BM19" s="536">
        <f>Time!BM$50</f>
        <v>50040</v>
      </c>
      <c r="BN19" s="536">
        <f>Time!BN$50</f>
        <v>50130</v>
      </c>
      <c r="BO19" s="536">
        <f>Time!BO$50</f>
        <v>50221</v>
      </c>
      <c r="BP19" s="536">
        <f>Time!BP$50</f>
        <v>50313</v>
      </c>
      <c r="BQ19" s="536">
        <f>Time!BQ$50</f>
        <v>50405</v>
      </c>
      <c r="BR19" s="536">
        <f>Time!BR$50</f>
        <v>50495</v>
      </c>
      <c r="BS19" s="536">
        <f>Time!BS$50</f>
        <v>50586</v>
      </c>
      <c r="BT19" s="536">
        <f>Time!BT$50</f>
        <v>50678</v>
      </c>
      <c r="BU19" s="536">
        <f>Time!BU$50</f>
        <v>50770</v>
      </c>
      <c r="BV19" s="536">
        <f>Time!BV$50</f>
        <v>50860</v>
      </c>
      <c r="BW19" s="536">
        <f>Time!BW$50</f>
        <v>50951</v>
      </c>
      <c r="BX19" s="536">
        <f>Time!BX$50</f>
        <v>51043</v>
      </c>
      <c r="BY19" s="536">
        <f>Time!BY$50</f>
        <v>51135</v>
      </c>
      <c r="BZ19" s="536">
        <f>Time!BZ$50</f>
        <v>51226</v>
      </c>
      <c r="CA19" s="536">
        <f>Time!CA$50</f>
        <v>51317</v>
      </c>
      <c r="CB19" s="536">
        <f>Time!CB$50</f>
        <v>51409</v>
      </c>
      <c r="CC19" s="536">
        <f>Time!CC$50</f>
        <v>51501</v>
      </c>
      <c r="CD19" s="536">
        <f>Time!CD$50</f>
        <v>51591</v>
      </c>
      <c r="CE19" s="536">
        <f>Time!CE$50</f>
        <v>51682</v>
      </c>
      <c r="CF19" s="536">
        <f>Time!CF$50</f>
        <v>51774</v>
      </c>
      <c r="CG19" s="536">
        <f>Time!CG$50</f>
        <v>51866</v>
      </c>
      <c r="CH19" s="536">
        <f>Time!CH$50</f>
        <v>51956</v>
      </c>
      <c r="CI19" s="536">
        <f>Time!CI$50</f>
        <v>52047</v>
      </c>
      <c r="CJ19" s="536">
        <f>Time!CJ$50</f>
        <v>52139</v>
      </c>
      <c r="CK19" s="536">
        <f>Time!CK$50</f>
        <v>52231</v>
      </c>
      <c r="CL19" s="536">
        <f>Time!CL$50</f>
        <v>52321</v>
      </c>
      <c r="CM19" s="536">
        <f>Time!CM$50</f>
        <v>52412</v>
      </c>
      <c r="CN19" s="536">
        <f>Time!CN$50</f>
        <v>52504</v>
      </c>
      <c r="CO19" s="536">
        <f>Time!CO$50</f>
        <v>52596</v>
      </c>
      <c r="CP19" s="536">
        <f>Time!CP$50</f>
        <v>52687</v>
      </c>
      <c r="CQ19" s="536">
        <f>Time!CQ$50</f>
        <v>52778</v>
      </c>
      <c r="CR19" s="536">
        <f>Time!CR$50</f>
        <v>52870</v>
      </c>
      <c r="CS19" s="536">
        <f>Time!CS$50</f>
        <v>52962</v>
      </c>
      <c r="CT19" s="536">
        <f>Time!CT$50</f>
        <v>53052</v>
      </c>
      <c r="CU19" s="536">
        <f>Time!CU$50</f>
        <v>53143</v>
      </c>
      <c r="CV19" s="536">
        <f>Time!CV$50</f>
        <v>53235</v>
      </c>
      <c r="CW19" s="536">
        <f>Time!CW$50</f>
        <v>53327</v>
      </c>
      <c r="CX19" s="536">
        <f>Time!CX$50</f>
        <v>53417</v>
      </c>
      <c r="CY19" s="536">
        <f>Time!CY$50</f>
        <v>53508</v>
      </c>
      <c r="CZ19" s="536">
        <f>Time!CZ$50</f>
        <v>53600</v>
      </c>
      <c r="DA19" s="536">
        <f>Time!DA$50</f>
        <v>53692</v>
      </c>
      <c r="DB19" s="536">
        <f>Time!DB$50</f>
        <v>53782</v>
      </c>
      <c r="DC19" s="536">
        <f>Time!DC$50</f>
        <v>53873</v>
      </c>
      <c r="DD19" s="536">
        <f>Time!DD$50</f>
        <v>53965</v>
      </c>
      <c r="DE19" s="536">
        <f>Time!DE$50</f>
        <v>54057</v>
      </c>
      <c r="DF19" s="536">
        <f>Time!DF$50</f>
        <v>54148</v>
      </c>
      <c r="DG19" s="536">
        <f>Time!DG$50</f>
        <v>54239</v>
      </c>
      <c r="DH19" s="536">
        <f>Time!DH$50</f>
        <v>54331</v>
      </c>
      <c r="DI19" s="536">
        <f>Time!DI$50</f>
        <v>54423</v>
      </c>
      <c r="DJ19" s="536">
        <f>Time!DJ$50</f>
        <v>54513</v>
      </c>
      <c r="DK19" s="536">
        <f>Time!DK$50</f>
        <v>54604</v>
      </c>
      <c r="DL19" s="536">
        <f>Time!DL$50</f>
        <v>54696</v>
      </c>
      <c r="DM19" s="536">
        <f>Time!DM$50</f>
        <v>54788</v>
      </c>
      <c r="DN19" s="536">
        <f>Time!DN$50</f>
        <v>54878</v>
      </c>
      <c r="DO19" s="536">
        <f>Time!DO$50</f>
        <v>54969</v>
      </c>
      <c r="DP19" s="536">
        <f>Time!DP$50</f>
        <v>55061</v>
      </c>
      <c r="DQ19" s="536">
        <f>Time!DQ$50</f>
        <v>55153</v>
      </c>
      <c r="DR19" s="536">
        <f>Time!DR$50</f>
        <v>55243</v>
      </c>
      <c r="DS19" s="536">
        <f>Time!DS$50</f>
        <v>55334</v>
      </c>
      <c r="DT19" s="536">
        <f>Time!DT$50</f>
        <v>55426</v>
      </c>
      <c r="DU19" s="536">
        <f>Time!DU$50</f>
        <v>55518</v>
      </c>
      <c r="DV19" s="536">
        <f>Time!DV$50</f>
        <v>55609</v>
      </c>
      <c r="DW19" s="536">
        <f>Time!DW$50</f>
        <v>55700</v>
      </c>
      <c r="DX19" s="536">
        <f>Time!DX$50</f>
        <v>55792</v>
      </c>
      <c r="DY19" s="536">
        <f>Time!DY$50</f>
        <v>55884</v>
      </c>
      <c r="DZ19" s="536">
        <f>Time!DZ$50</f>
        <v>55974</v>
      </c>
      <c r="EA19" s="536">
        <f>Time!EA$50</f>
        <v>56065</v>
      </c>
      <c r="EB19" s="536">
        <f>Time!EB$50</f>
        <v>56157</v>
      </c>
      <c r="EC19" s="536">
        <f>Time!EC$50</f>
        <v>56249</v>
      </c>
      <c r="ED19" s="536">
        <f>Time!ED$50</f>
        <v>56339</v>
      </c>
      <c r="EE19" s="536">
        <f>Time!EE$50</f>
        <v>56430</v>
      </c>
      <c r="EF19" s="536">
        <f>Time!EF$50</f>
        <v>56522</v>
      </c>
      <c r="EG19" s="536">
        <f>Time!EG$50</f>
        <v>56614</v>
      </c>
    </row>
    <row r="20" spans="5:137" ht="12.75">
      <c r="E20" s="535" t="str">
        <f>Time!E$100</f>
        <v>Escalation year end month flag</v>
      </c>
      <c r="G20" s="537" t="str">
        <f>Time!G$100</f>
        <v>flag</v>
      </c>
      <c r="H20" s="537">
        <f>Time!H$100</f>
        <v>28</v>
      </c>
      <c r="J20" s="537">
        <f>Time!J$100</f>
        <v>0</v>
      </c>
      <c r="K20" s="537">
        <f>Time!K$100</f>
        <v>0</v>
      </c>
      <c r="L20" s="537">
        <f>Time!L$100</f>
        <v>0</v>
      </c>
      <c r="M20" s="537">
        <f>Time!M$100</f>
        <v>0</v>
      </c>
      <c r="N20" s="537">
        <f>Time!N$100</f>
        <v>0</v>
      </c>
      <c r="O20" s="537">
        <f>Time!O$100</f>
        <v>0</v>
      </c>
      <c r="P20" s="537">
        <f>Time!P$100</f>
        <v>0</v>
      </c>
      <c r="Q20" s="537">
        <f>Time!Q$100</f>
        <v>0</v>
      </c>
      <c r="R20" s="537">
        <f>Time!R$100</f>
        <v>0</v>
      </c>
      <c r="S20" s="537">
        <f>Time!S$100</f>
        <v>0</v>
      </c>
      <c r="T20" s="537">
        <f>Time!T$100</f>
        <v>0</v>
      </c>
      <c r="U20" s="537">
        <f>Time!U$100</f>
        <v>1</v>
      </c>
      <c r="V20" s="537">
        <f>Time!V$100</f>
        <v>0</v>
      </c>
      <c r="W20" s="537">
        <f>Time!W$100</f>
        <v>0</v>
      </c>
      <c r="X20" s="537">
        <f>Time!X$100</f>
        <v>0</v>
      </c>
      <c r="Y20" s="537">
        <f>Time!Y$100</f>
        <v>0</v>
      </c>
      <c r="Z20" s="537">
        <f>Time!Z$100</f>
        <v>0</v>
      </c>
      <c r="AA20" s="537">
        <f>Time!AA$100</f>
        <v>0</v>
      </c>
      <c r="AB20" s="537">
        <f>Time!AB$100</f>
        <v>0</v>
      </c>
      <c r="AC20" s="537">
        <f>Time!AC$100</f>
        <v>0</v>
      </c>
      <c r="AD20" s="537">
        <f>Time!AD$100</f>
        <v>0</v>
      </c>
      <c r="AE20" s="537">
        <f>Time!AE$100</f>
        <v>0</v>
      </c>
      <c r="AF20" s="537">
        <f>Time!AF$100</f>
        <v>0</v>
      </c>
      <c r="AG20" s="537">
        <f>Time!AG$100</f>
        <v>1</v>
      </c>
      <c r="AH20" s="537">
        <f>Time!AH$100</f>
        <v>0</v>
      </c>
      <c r="AI20" s="537">
        <f>Time!AI$100</f>
        <v>0</v>
      </c>
      <c r="AJ20" s="537">
        <f>Time!AJ$100</f>
        <v>0</v>
      </c>
      <c r="AK20" s="537">
        <f>Time!AK$100</f>
        <v>1</v>
      </c>
      <c r="AL20" s="537">
        <f>Time!AL$100</f>
        <v>0</v>
      </c>
      <c r="AM20" s="537">
        <f>Time!AM$100</f>
        <v>0</v>
      </c>
      <c r="AN20" s="537">
        <f>Time!AN$100</f>
        <v>0</v>
      </c>
      <c r="AO20" s="537">
        <f>Time!AO$100</f>
        <v>1</v>
      </c>
      <c r="AP20" s="537">
        <f>Time!AP$100</f>
        <v>0</v>
      </c>
      <c r="AQ20" s="537">
        <f>Time!AQ$100</f>
        <v>0</v>
      </c>
      <c r="AR20" s="537">
        <f>Time!AR$100</f>
        <v>0</v>
      </c>
      <c r="AS20" s="537">
        <f>Time!AS$100</f>
        <v>1</v>
      </c>
      <c r="AT20" s="537">
        <f>Time!AT$100</f>
        <v>0</v>
      </c>
      <c r="AU20" s="537">
        <f>Time!AU$100</f>
        <v>0</v>
      </c>
      <c r="AV20" s="537">
        <f>Time!AV$100</f>
        <v>0</v>
      </c>
      <c r="AW20" s="537">
        <f>Time!AW$100</f>
        <v>1</v>
      </c>
      <c r="AX20" s="537">
        <f>Time!AX$100</f>
        <v>0</v>
      </c>
      <c r="AY20" s="537">
        <f>Time!AY$100</f>
        <v>0</v>
      </c>
      <c r="AZ20" s="537">
        <f>Time!AZ$100</f>
        <v>0</v>
      </c>
      <c r="BA20" s="537">
        <f>Time!BA$100</f>
        <v>1</v>
      </c>
      <c r="BB20" s="537">
        <f>Time!BB$100</f>
        <v>0</v>
      </c>
      <c r="BC20" s="537">
        <f>Time!BC$100</f>
        <v>0</v>
      </c>
      <c r="BD20" s="537">
        <f>Time!BD$100</f>
        <v>0</v>
      </c>
      <c r="BE20" s="537">
        <f>Time!BE$100</f>
        <v>1</v>
      </c>
      <c r="BF20" s="537">
        <f>Time!BF$100</f>
        <v>0</v>
      </c>
      <c r="BG20" s="537">
        <f>Time!BG$100</f>
        <v>0</v>
      </c>
      <c r="BH20" s="537">
        <f>Time!BH$100</f>
        <v>0</v>
      </c>
      <c r="BI20" s="537">
        <f>Time!BI$100</f>
        <v>1</v>
      </c>
      <c r="BJ20" s="537">
        <f>Time!BJ$100</f>
        <v>0</v>
      </c>
      <c r="BK20" s="537">
        <f>Time!BK$100</f>
        <v>0</v>
      </c>
      <c r="BL20" s="537">
        <f>Time!BL$100</f>
        <v>0</v>
      </c>
      <c r="BM20" s="537">
        <f>Time!BM$100</f>
        <v>1</v>
      </c>
      <c r="BN20" s="537">
        <f>Time!BN$100</f>
        <v>0</v>
      </c>
      <c r="BO20" s="537">
        <f>Time!BO$100</f>
        <v>0</v>
      </c>
      <c r="BP20" s="537">
        <f>Time!BP$100</f>
        <v>0</v>
      </c>
      <c r="BQ20" s="537">
        <f>Time!BQ$100</f>
        <v>1</v>
      </c>
      <c r="BR20" s="537">
        <f>Time!BR$100</f>
        <v>0</v>
      </c>
      <c r="BS20" s="537">
        <f>Time!BS$100</f>
        <v>0</v>
      </c>
      <c r="BT20" s="537">
        <f>Time!BT$100</f>
        <v>0</v>
      </c>
      <c r="BU20" s="537">
        <f>Time!BU$100</f>
        <v>1</v>
      </c>
      <c r="BV20" s="537">
        <f>Time!BV$100</f>
        <v>0</v>
      </c>
      <c r="BW20" s="537">
        <f>Time!BW$100</f>
        <v>0</v>
      </c>
      <c r="BX20" s="537">
        <f>Time!BX$100</f>
        <v>0</v>
      </c>
      <c r="BY20" s="537">
        <f>Time!BY$100</f>
        <v>1</v>
      </c>
      <c r="BZ20" s="537">
        <f>Time!BZ$100</f>
        <v>0</v>
      </c>
      <c r="CA20" s="537">
        <f>Time!CA$100</f>
        <v>0</v>
      </c>
      <c r="CB20" s="537">
        <f>Time!CB$100</f>
        <v>0</v>
      </c>
      <c r="CC20" s="537">
        <f>Time!CC$100</f>
        <v>1</v>
      </c>
      <c r="CD20" s="537">
        <f>Time!CD$100</f>
        <v>0</v>
      </c>
      <c r="CE20" s="537">
        <f>Time!CE$100</f>
        <v>0</v>
      </c>
      <c r="CF20" s="537">
        <f>Time!CF$100</f>
        <v>0</v>
      </c>
      <c r="CG20" s="537">
        <f>Time!CG$100</f>
        <v>1</v>
      </c>
      <c r="CH20" s="537">
        <f>Time!CH$100</f>
        <v>0</v>
      </c>
      <c r="CI20" s="537">
        <f>Time!CI$100</f>
        <v>0</v>
      </c>
      <c r="CJ20" s="537">
        <f>Time!CJ$100</f>
        <v>0</v>
      </c>
      <c r="CK20" s="537">
        <f>Time!CK$100</f>
        <v>1</v>
      </c>
      <c r="CL20" s="537">
        <f>Time!CL$100</f>
        <v>0</v>
      </c>
      <c r="CM20" s="537">
        <f>Time!CM$100</f>
        <v>0</v>
      </c>
      <c r="CN20" s="537">
        <f>Time!CN$100</f>
        <v>0</v>
      </c>
      <c r="CO20" s="537">
        <f>Time!CO$100</f>
        <v>1</v>
      </c>
      <c r="CP20" s="537">
        <f>Time!CP$100</f>
        <v>0</v>
      </c>
      <c r="CQ20" s="537">
        <f>Time!CQ$100</f>
        <v>0</v>
      </c>
      <c r="CR20" s="537">
        <f>Time!CR$100</f>
        <v>0</v>
      </c>
      <c r="CS20" s="537">
        <f>Time!CS$100</f>
        <v>1</v>
      </c>
      <c r="CT20" s="537">
        <f>Time!CT$100</f>
        <v>0</v>
      </c>
      <c r="CU20" s="537">
        <f>Time!CU$100</f>
        <v>0</v>
      </c>
      <c r="CV20" s="537">
        <f>Time!CV$100</f>
        <v>0</v>
      </c>
      <c r="CW20" s="537">
        <f>Time!CW$100</f>
        <v>1</v>
      </c>
      <c r="CX20" s="537">
        <f>Time!CX$100</f>
        <v>0</v>
      </c>
      <c r="CY20" s="537">
        <f>Time!CY$100</f>
        <v>0</v>
      </c>
      <c r="CZ20" s="537">
        <f>Time!CZ$100</f>
        <v>0</v>
      </c>
      <c r="DA20" s="537">
        <f>Time!DA$100</f>
        <v>1</v>
      </c>
      <c r="DB20" s="537">
        <f>Time!DB$100</f>
        <v>0</v>
      </c>
      <c r="DC20" s="537">
        <f>Time!DC$100</f>
        <v>0</v>
      </c>
      <c r="DD20" s="537">
        <f>Time!DD$100</f>
        <v>0</v>
      </c>
      <c r="DE20" s="537">
        <f>Time!DE$100</f>
        <v>1</v>
      </c>
      <c r="DF20" s="537">
        <f>Time!DF$100</f>
        <v>0</v>
      </c>
      <c r="DG20" s="537">
        <f>Time!DG$100</f>
        <v>0</v>
      </c>
      <c r="DH20" s="537">
        <f>Time!DH$100</f>
        <v>0</v>
      </c>
      <c r="DI20" s="537">
        <f>Time!DI$100</f>
        <v>1</v>
      </c>
      <c r="DJ20" s="537">
        <f>Time!DJ$100</f>
        <v>0</v>
      </c>
      <c r="DK20" s="537">
        <f>Time!DK$100</f>
        <v>0</v>
      </c>
      <c r="DL20" s="537">
        <f>Time!DL$100</f>
        <v>0</v>
      </c>
      <c r="DM20" s="537">
        <f>Time!DM$100</f>
        <v>1</v>
      </c>
      <c r="DN20" s="537">
        <f>Time!DN$100</f>
        <v>0</v>
      </c>
      <c r="DO20" s="537">
        <f>Time!DO$100</f>
        <v>0</v>
      </c>
      <c r="DP20" s="537">
        <f>Time!DP$100</f>
        <v>0</v>
      </c>
      <c r="DQ20" s="537">
        <f>Time!DQ$100</f>
        <v>1</v>
      </c>
      <c r="DR20" s="537">
        <f>Time!DR$100</f>
        <v>0</v>
      </c>
      <c r="DS20" s="537">
        <f>Time!DS$100</f>
        <v>0</v>
      </c>
      <c r="DT20" s="537">
        <f>Time!DT$100</f>
        <v>0</v>
      </c>
      <c r="DU20" s="537">
        <f>Time!DU$100</f>
        <v>1</v>
      </c>
      <c r="DV20" s="537">
        <f>Time!DV$100</f>
        <v>0</v>
      </c>
      <c r="DW20" s="537">
        <f>Time!DW$100</f>
        <v>0</v>
      </c>
      <c r="DX20" s="537">
        <f>Time!DX$100</f>
        <v>0</v>
      </c>
      <c r="DY20" s="537">
        <f>Time!DY$100</f>
        <v>1</v>
      </c>
      <c r="DZ20" s="537">
        <f>Time!DZ$100</f>
        <v>0</v>
      </c>
      <c r="EA20" s="537">
        <f>Time!EA$100</f>
        <v>0</v>
      </c>
      <c r="EB20" s="537">
        <f>Time!EB$100</f>
        <v>0</v>
      </c>
      <c r="EC20" s="537">
        <f>Time!EC$100</f>
        <v>1</v>
      </c>
      <c r="ED20" s="537">
        <f>Time!ED$100</f>
        <v>0</v>
      </c>
      <c r="EE20" s="537">
        <f>Time!EE$100</f>
        <v>0</v>
      </c>
      <c r="EF20" s="537">
        <f>Time!EF$100</f>
        <v>0</v>
      </c>
      <c r="EG20" s="537">
        <f>Time!EG$100</f>
        <v>1</v>
      </c>
    </row>
    <row r="21" spans="5:137" ht="12.75">
      <c r="E21" s="540" t="s">
        <v>254</v>
      </c>
      <c r="G21" s="549" t="s">
        <v>253</v>
      </c>
      <c r="H21" s="549">
        <f>SUM(J21:EG21)</f>
        <v>175.63920300115302</v>
      </c>
      <c r="J21" s="549">
        <f t="shared" si="1" ref="J21:EG21">IF(J18=1,1,I21*(1+$F17*I20*IF(I19&gt;=$F16,1,0)))</f>
        <v>1</v>
      </c>
      <c r="K21" s="549">
        <f t="shared" si="1"/>
        <v>1</v>
      </c>
      <c r="L21" s="549">
        <f t="shared" si="1"/>
        <v>1</v>
      </c>
      <c r="M21" s="549">
        <f t="shared" si="1"/>
        <v>1</v>
      </c>
      <c r="N21" s="549">
        <f t="shared" si="1"/>
        <v>1</v>
      </c>
      <c r="O21" s="549">
        <f t="shared" si="1"/>
        <v>1</v>
      </c>
      <c r="P21" s="549">
        <f t="shared" si="1"/>
        <v>1</v>
      </c>
      <c r="Q21" s="549">
        <f t="shared" si="1"/>
        <v>1</v>
      </c>
      <c r="R21" s="549">
        <f t="shared" si="1"/>
        <v>1</v>
      </c>
      <c r="S21" s="549">
        <f t="shared" si="1"/>
        <v>1</v>
      </c>
      <c r="T21" s="549">
        <f t="shared" si="1"/>
        <v>1</v>
      </c>
      <c r="U21" s="549">
        <f t="shared" si="1"/>
        <v>1</v>
      </c>
      <c r="V21" s="549">
        <f t="shared" si="1"/>
        <v>1.0249999999999999</v>
      </c>
      <c r="W21" s="549">
        <f t="shared" si="1"/>
        <v>1.0249999999999999</v>
      </c>
      <c r="X21" s="549">
        <f t="shared" si="1"/>
        <v>1.0249999999999999</v>
      </c>
      <c r="Y21" s="549">
        <f t="shared" si="1"/>
        <v>1.0249999999999999</v>
      </c>
      <c r="Z21" s="549">
        <f t="shared" si="1"/>
        <v>1.0249999999999999</v>
      </c>
      <c r="AA21" s="549">
        <f t="shared" si="1"/>
        <v>1.0249999999999999</v>
      </c>
      <c r="AB21" s="549">
        <f t="shared" si="1"/>
        <v>1.0249999999999999</v>
      </c>
      <c r="AC21" s="549">
        <f t="shared" si="1"/>
        <v>1.0249999999999999</v>
      </c>
      <c r="AD21" s="549">
        <f t="shared" si="1"/>
        <v>1.0249999999999999</v>
      </c>
      <c r="AE21" s="549">
        <f t="shared" si="1"/>
        <v>1.0249999999999999</v>
      </c>
      <c r="AF21" s="549">
        <f t="shared" si="1"/>
        <v>1.0249999999999999</v>
      </c>
      <c r="AG21" s="549">
        <f t="shared" si="1"/>
        <v>1.0249999999999999</v>
      </c>
      <c r="AH21" s="549">
        <f t="shared" si="1"/>
        <v>1.0506249999999999</v>
      </c>
      <c r="AI21" s="549">
        <f t="shared" si="1"/>
        <v>1.0506249999999999</v>
      </c>
      <c r="AJ21" s="549">
        <f t="shared" si="1"/>
        <v>1.0506249999999999</v>
      </c>
      <c r="AK21" s="549">
        <f t="shared" si="1"/>
        <v>1.0506249999999999</v>
      </c>
      <c r="AL21" s="549">
        <f t="shared" si="1"/>
        <v>1.0768906249999999</v>
      </c>
      <c r="AM21" s="549">
        <f t="shared" si="1"/>
        <v>1.0768906249999999</v>
      </c>
      <c r="AN21" s="549">
        <f t="shared" si="1"/>
        <v>1.0768906249999999</v>
      </c>
      <c r="AO21" s="549">
        <f t="shared" si="1"/>
        <v>1.0768906249999999</v>
      </c>
      <c r="AP21" s="549">
        <f t="shared" si="1"/>
        <v>1.1038128906249998</v>
      </c>
      <c r="AQ21" s="549">
        <f t="shared" si="1"/>
        <v>1.1038128906249998</v>
      </c>
      <c r="AR21" s="549">
        <f t="shared" si="1"/>
        <v>1.1038128906249998</v>
      </c>
      <c r="AS21" s="549">
        <f t="shared" si="1"/>
        <v>1.1038128906249998</v>
      </c>
      <c r="AT21" s="549">
        <f t="shared" si="1"/>
        <v>1.1314082128906247</v>
      </c>
      <c r="AU21" s="549">
        <f t="shared" si="1"/>
        <v>1.1314082128906247</v>
      </c>
      <c r="AV21" s="549">
        <f t="shared" si="1"/>
        <v>1.1314082128906247</v>
      </c>
      <c r="AW21" s="549">
        <f t="shared" si="1"/>
        <v>1.1314082128906247</v>
      </c>
      <c r="AX21" s="549">
        <f t="shared" si="1"/>
        <v>1.1596934182128902</v>
      </c>
      <c r="AY21" s="549">
        <f t="shared" si="1"/>
        <v>1.1596934182128902</v>
      </c>
      <c r="AZ21" s="549">
        <f t="shared" si="1"/>
        <v>1.1596934182128902</v>
      </c>
      <c r="BA21" s="549">
        <f t="shared" si="1"/>
        <v>1.1596934182128902</v>
      </c>
      <c r="BB21" s="549">
        <f t="shared" si="1"/>
        <v>1.1886857536682123</v>
      </c>
      <c r="BC21" s="549">
        <f t="shared" si="1"/>
        <v>1.1886857536682123</v>
      </c>
      <c r="BD21" s="549">
        <f t="shared" si="1"/>
        <v>1.1886857536682123</v>
      </c>
      <c r="BE21" s="549">
        <f t="shared" si="1"/>
        <v>1.1886857536682123</v>
      </c>
      <c r="BF21" s="549">
        <f t="shared" si="1"/>
        <v>1.2184028975099175</v>
      </c>
      <c r="BG21" s="549">
        <f t="shared" si="1"/>
        <v>1.2184028975099175</v>
      </c>
      <c r="BH21" s="549">
        <f t="shared" si="1"/>
        <v>1.2184028975099175</v>
      </c>
      <c r="BI21" s="549">
        <f t="shared" si="1"/>
        <v>1.2184028975099175</v>
      </c>
      <c r="BJ21" s="549">
        <f t="shared" si="1"/>
        <v>1.2488629699476652</v>
      </c>
      <c r="BK21" s="549">
        <f t="shared" si="1"/>
        <v>1.2488629699476652</v>
      </c>
      <c r="BL21" s="549">
        <f t="shared" si="1"/>
        <v>1.2488629699476652</v>
      </c>
      <c r="BM21" s="549">
        <f t="shared" si="1"/>
        <v>1.2488629699476652</v>
      </c>
      <c r="BN21" s="549">
        <f t="shared" si="1"/>
        <v>1.2800845441963566</v>
      </c>
      <c r="BO21" s="549">
        <f t="shared" si="1"/>
        <v>1.2800845441963566</v>
      </c>
      <c r="BP21" s="549">
        <f t="shared" si="1"/>
        <v>1.2800845441963566</v>
      </c>
      <c r="BQ21" s="549">
        <f t="shared" si="1"/>
        <v>1.2800845441963566</v>
      </c>
      <c r="BR21" s="549">
        <f t="shared" si="1"/>
        <v>1.3120866578012655</v>
      </c>
      <c r="BS21" s="549">
        <f t="shared" si="1"/>
        <v>1.3120866578012655</v>
      </c>
      <c r="BT21" s="549">
        <f t="shared" si="1"/>
        <v>1.3120866578012655</v>
      </c>
      <c r="BU21" s="549">
        <f t="shared" si="1"/>
        <v>1.3120866578012655</v>
      </c>
      <c r="BV21" s="549">
        <f t="shared" si="1"/>
        <v>1.3448888242462971</v>
      </c>
      <c r="BW21" s="549">
        <f t="shared" si="1"/>
        <v>1.3448888242462971</v>
      </c>
      <c r="BX21" s="549">
        <f t="shared" si="1"/>
        <v>1.3448888242462971</v>
      </c>
      <c r="BY21" s="549">
        <f t="shared" si="1"/>
        <v>1.3448888242462971</v>
      </c>
      <c r="BZ21" s="549">
        <f t="shared" si="1"/>
        <v>1.3785110448524545</v>
      </c>
      <c r="CA21" s="549">
        <f t="shared" si="1"/>
        <v>1.3785110448524545</v>
      </c>
      <c r="CB21" s="549">
        <f t="shared" si="1"/>
        <v>1.3785110448524545</v>
      </c>
      <c r="CC21" s="549">
        <f t="shared" si="1"/>
        <v>1.3785110448524545</v>
      </c>
      <c r="CD21" s="549">
        <f t="shared" si="1"/>
        <v>1.4129738209737657</v>
      </c>
      <c r="CE21" s="549">
        <f t="shared" si="1"/>
        <v>1.4129738209737657</v>
      </c>
      <c r="CF21" s="549">
        <f t="shared" si="1"/>
        <v>1.4129738209737657</v>
      </c>
      <c r="CG21" s="549">
        <f t="shared" si="1"/>
        <v>1.4129738209737657</v>
      </c>
      <c r="CH21" s="549">
        <f t="shared" si="1"/>
        <v>1.4482981664981096</v>
      </c>
      <c r="CI21" s="549">
        <f t="shared" si="1"/>
        <v>1.4482981664981096</v>
      </c>
      <c r="CJ21" s="549">
        <f t="shared" si="1"/>
        <v>1.4482981664981096</v>
      </c>
      <c r="CK21" s="549">
        <f t="shared" si="1"/>
        <v>1.4482981664981096</v>
      </c>
      <c r="CL21" s="549">
        <f t="shared" si="1"/>
        <v>1.4845056206605622</v>
      </c>
      <c r="CM21" s="549">
        <f t="shared" si="1"/>
        <v>1.4845056206605622</v>
      </c>
      <c r="CN21" s="549">
        <f t="shared" si="1"/>
        <v>1.4845056206605622</v>
      </c>
      <c r="CO21" s="549">
        <f t="shared" si="1"/>
        <v>1.4845056206605622</v>
      </c>
      <c r="CP21" s="549">
        <f t="shared" si="1"/>
        <v>1.5216182611770761</v>
      </c>
      <c r="CQ21" s="549">
        <f t="shared" si="1"/>
        <v>1.5216182611770761</v>
      </c>
      <c r="CR21" s="549">
        <f t="shared" si="1"/>
        <v>1.5216182611770761</v>
      </c>
      <c r="CS21" s="549">
        <f t="shared" si="1"/>
        <v>1.5216182611770761</v>
      </c>
      <c r="CT21" s="549">
        <f t="shared" si="1"/>
        <v>1.5596587177065029</v>
      </c>
      <c r="CU21" s="549">
        <f t="shared" si="1"/>
        <v>1.5596587177065029</v>
      </c>
      <c r="CV21" s="549">
        <f t="shared" si="1"/>
        <v>1.5596587177065029</v>
      </c>
      <c r="CW21" s="549">
        <f t="shared" si="1"/>
        <v>1.5596587177065029</v>
      </c>
      <c r="CX21" s="549">
        <f t="shared" si="1"/>
        <v>1.5986501856491653</v>
      </c>
      <c r="CY21" s="549">
        <f t="shared" si="1"/>
        <v>1.5986501856491653</v>
      </c>
      <c r="CZ21" s="549">
        <f t="shared" si="1"/>
        <v>1.5986501856491653</v>
      </c>
      <c r="DA21" s="549">
        <f t="shared" si="1"/>
        <v>1.5986501856491653</v>
      </c>
      <c r="DB21" s="549">
        <f t="shared" si="1"/>
        <v>1.6386164402903942</v>
      </c>
      <c r="DC21" s="549">
        <f t="shared" si="1"/>
        <v>1.6386164402903942</v>
      </c>
      <c r="DD21" s="549">
        <f t="shared" si="1"/>
        <v>1.6386164402903942</v>
      </c>
      <c r="DE21" s="549">
        <f t="shared" si="1"/>
        <v>1.6386164402903942</v>
      </c>
      <c r="DF21" s="549">
        <f t="shared" si="1"/>
        <v>1.6795818512976539</v>
      </c>
      <c r="DG21" s="549">
        <f t="shared" si="1"/>
        <v>1.6795818512976539</v>
      </c>
      <c r="DH21" s="549">
        <f t="shared" si="1"/>
        <v>1.6795818512976539</v>
      </c>
      <c r="DI21" s="549">
        <f t="shared" si="1"/>
        <v>1.6795818512976539</v>
      </c>
      <c r="DJ21" s="549">
        <f t="shared" si="1"/>
        <v>1.721571397580095</v>
      </c>
      <c r="DK21" s="549">
        <f t="shared" si="1"/>
        <v>1.721571397580095</v>
      </c>
      <c r="DL21" s="549">
        <f t="shared" si="1"/>
        <v>1.721571397580095</v>
      </c>
      <c r="DM21" s="549">
        <f t="shared" si="1"/>
        <v>1.721571397580095</v>
      </c>
      <c r="DN21" s="549">
        <f t="shared" si="1"/>
        <v>1.7646106825195973</v>
      </c>
      <c r="DO21" s="549">
        <f t="shared" si="1"/>
        <v>1.7646106825195973</v>
      </c>
      <c r="DP21" s="549">
        <f t="shared" si="1"/>
        <v>1.7646106825195973</v>
      </c>
      <c r="DQ21" s="549">
        <f t="shared" si="1"/>
        <v>1.7646106825195973</v>
      </c>
      <c r="DR21" s="549">
        <f t="shared" si="1"/>
        <v>1.8087259495825871</v>
      </c>
      <c r="DS21" s="549">
        <f t="shared" si="1"/>
        <v>1.8087259495825871</v>
      </c>
      <c r="DT21" s="549">
        <f t="shared" si="1"/>
        <v>1.8087259495825871</v>
      </c>
      <c r="DU21" s="549">
        <f t="shared" si="1"/>
        <v>1.8087259495825871</v>
      </c>
      <c r="DV21" s="549">
        <f t="shared" si="1"/>
        <v>1.8539440983221516</v>
      </c>
      <c r="DW21" s="549">
        <f t="shared" si="1"/>
        <v>1.8539440983221516</v>
      </c>
      <c r="DX21" s="549">
        <f t="shared" si="1"/>
        <v>1.8539440983221516</v>
      </c>
      <c r="DY21" s="549">
        <f t="shared" si="1"/>
        <v>1.8539440983221516</v>
      </c>
      <c r="DZ21" s="549">
        <f t="shared" si="1"/>
        <v>1.9002927007802053</v>
      </c>
      <c r="EA21" s="549">
        <f t="shared" si="1"/>
        <v>1.9002927007802053</v>
      </c>
      <c r="EB21" s="549">
        <f t="shared" si="1"/>
        <v>1.9002927007802053</v>
      </c>
      <c r="EC21" s="549">
        <f t="shared" si="1"/>
        <v>1.9002927007802053</v>
      </c>
      <c r="ED21" s="549">
        <f t="shared" si="1"/>
        <v>1.9478000182997102</v>
      </c>
      <c r="EE21" s="549">
        <f t="shared" si="1"/>
        <v>1.9478000182997102</v>
      </c>
      <c r="EF21" s="549">
        <f t="shared" si="1"/>
        <v>1.9478000182997102</v>
      </c>
      <c r="EG21" s="549">
        <f t="shared" si="1"/>
        <v>1.9478000182997102</v>
      </c>
    </row>
    <row r="23" spans="5:7" ht="12.75">
      <c r="E23" s="535" t="str">
        <f>InpC!E$53</f>
        <v>Indexation - base date</v>
      </c>
      <c r="F23" s="536">
        <f>InpC!F$53</f>
        <v>46388</v>
      </c>
      <c r="G23" s="536" t="str">
        <f>InpC!G$53</f>
        <v>date</v>
      </c>
    </row>
    <row r="24" spans="5:7" ht="12.75">
      <c r="E24" s="535" t="str">
        <f>InpC!E$56</f>
        <v>RPI index - annual rate</v>
      </c>
      <c r="F24" s="542">
        <f>InpC!F$56</f>
        <v>0.029999999999999999</v>
      </c>
      <c r="G24" s="542" t="str">
        <f>InpC!G$56</f>
        <v>% p.a.</v>
      </c>
    </row>
    <row r="25" spans="5:137" ht="12.75">
      <c r="E25" s="535" t="str">
        <f>Time!E$16</f>
        <v>First model column flag</v>
      </c>
      <c r="G25" s="537" t="str">
        <f>Time!G$16</f>
        <v>flag</v>
      </c>
      <c r="H25" s="537">
        <f>Time!H$16</f>
        <v>1</v>
      </c>
      <c r="J25" s="537">
        <f>Time!J$16</f>
        <v>1</v>
      </c>
      <c r="K25" s="537">
        <f>Time!K$16</f>
        <v>0</v>
      </c>
      <c r="L25" s="537">
        <f>Time!L$16</f>
        <v>0</v>
      </c>
      <c r="M25" s="537">
        <f>Time!M$16</f>
        <v>0</v>
      </c>
      <c r="N25" s="537">
        <f>Time!N$16</f>
        <v>0</v>
      </c>
      <c r="O25" s="537">
        <f>Time!O$16</f>
        <v>0</v>
      </c>
      <c r="P25" s="537">
        <f>Time!P$16</f>
        <v>0</v>
      </c>
      <c r="Q25" s="537">
        <f>Time!Q$16</f>
        <v>0</v>
      </c>
      <c r="R25" s="537">
        <f>Time!R$16</f>
        <v>0</v>
      </c>
      <c r="S25" s="537">
        <f>Time!S$16</f>
        <v>0</v>
      </c>
      <c r="T25" s="537">
        <f>Time!T$16</f>
        <v>0</v>
      </c>
      <c r="U25" s="537">
        <f>Time!U$16</f>
        <v>0</v>
      </c>
      <c r="V25" s="537">
        <f>Time!V$16</f>
        <v>0</v>
      </c>
      <c r="W25" s="537">
        <f>Time!W$16</f>
        <v>0</v>
      </c>
      <c r="X25" s="537">
        <f>Time!X$16</f>
        <v>0</v>
      </c>
      <c r="Y25" s="537">
        <f>Time!Y$16</f>
        <v>0</v>
      </c>
      <c r="Z25" s="537">
        <f>Time!Z$16</f>
        <v>0</v>
      </c>
      <c r="AA25" s="537">
        <f>Time!AA$16</f>
        <v>0</v>
      </c>
      <c r="AB25" s="537">
        <f>Time!AB$16</f>
        <v>0</v>
      </c>
      <c r="AC25" s="537">
        <f>Time!AC$16</f>
        <v>0</v>
      </c>
      <c r="AD25" s="537">
        <f>Time!AD$16</f>
        <v>0</v>
      </c>
      <c r="AE25" s="537">
        <f>Time!AE$16</f>
        <v>0</v>
      </c>
      <c r="AF25" s="537">
        <f>Time!AF$16</f>
        <v>0</v>
      </c>
      <c r="AG25" s="537">
        <f>Time!AG$16</f>
        <v>0</v>
      </c>
      <c r="AH25" s="537">
        <f>Time!AH$16</f>
        <v>0</v>
      </c>
      <c r="AI25" s="537">
        <f>Time!AI$16</f>
        <v>0</v>
      </c>
      <c r="AJ25" s="537">
        <f>Time!AJ$16</f>
        <v>0</v>
      </c>
      <c r="AK25" s="537">
        <f>Time!AK$16</f>
        <v>0</v>
      </c>
      <c r="AL25" s="537">
        <f>Time!AL$16</f>
        <v>0</v>
      </c>
      <c r="AM25" s="537">
        <f>Time!AM$16</f>
        <v>0</v>
      </c>
      <c r="AN25" s="537">
        <f>Time!AN$16</f>
        <v>0</v>
      </c>
      <c r="AO25" s="537">
        <f>Time!AO$16</f>
        <v>0</v>
      </c>
      <c r="AP25" s="537">
        <f>Time!AP$16</f>
        <v>0</v>
      </c>
      <c r="AQ25" s="537">
        <f>Time!AQ$16</f>
        <v>0</v>
      </c>
      <c r="AR25" s="537">
        <f>Time!AR$16</f>
        <v>0</v>
      </c>
      <c r="AS25" s="537">
        <f>Time!AS$16</f>
        <v>0</v>
      </c>
      <c r="AT25" s="537">
        <f>Time!AT$16</f>
        <v>0</v>
      </c>
      <c r="AU25" s="537">
        <f>Time!AU$16</f>
        <v>0</v>
      </c>
      <c r="AV25" s="537">
        <f>Time!AV$16</f>
        <v>0</v>
      </c>
      <c r="AW25" s="537">
        <f>Time!AW$16</f>
        <v>0</v>
      </c>
      <c r="AX25" s="537">
        <f>Time!AX$16</f>
        <v>0</v>
      </c>
      <c r="AY25" s="537">
        <f>Time!AY$16</f>
        <v>0</v>
      </c>
      <c r="AZ25" s="537">
        <f>Time!AZ$16</f>
        <v>0</v>
      </c>
      <c r="BA25" s="537">
        <f>Time!BA$16</f>
        <v>0</v>
      </c>
      <c r="BB25" s="537">
        <f>Time!BB$16</f>
        <v>0</v>
      </c>
      <c r="BC25" s="537">
        <f>Time!BC$16</f>
        <v>0</v>
      </c>
      <c r="BD25" s="537">
        <f>Time!BD$16</f>
        <v>0</v>
      </c>
      <c r="BE25" s="537">
        <f>Time!BE$16</f>
        <v>0</v>
      </c>
      <c r="BF25" s="537">
        <f>Time!BF$16</f>
        <v>0</v>
      </c>
      <c r="BG25" s="537">
        <f>Time!BG$16</f>
        <v>0</v>
      </c>
      <c r="BH25" s="537">
        <f>Time!BH$16</f>
        <v>0</v>
      </c>
      <c r="BI25" s="537">
        <f>Time!BI$16</f>
        <v>0</v>
      </c>
      <c r="BJ25" s="537">
        <f>Time!BJ$16</f>
        <v>0</v>
      </c>
      <c r="BK25" s="537">
        <f>Time!BK$16</f>
        <v>0</v>
      </c>
      <c r="BL25" s="537">
        <f>Time!BL$16</f>
        <v>0</v>
      </c>
      <c r="BM25" s="537">
        <f>Time!BM$16</f>
        <v>0</v>
      </c>
      <c r="BN25" s="537">
        <f>Time!BN$16</f>
        <v>0</v>
      </c>
      <c r="BO25" s="537">
        <f>Time!BO$16</f>
        <v>0</v>
      </c>
      <c r="BP25" s="537">
        <f>Time!BP$16</f>
        <v>0</v>
      </c>
      <c r="BQ25" s="537">
        <f>Time!BQ$16</f>
        <v>0</v>
      </c>
      <c r="BR25" s="537">
        <f>Time!BR$16</f>
        <v>0</v>
      </c>
      <c r="BS25" s="537">
        <f>Time!BS$16</f>
        <v>0</v>
      </c>
      <c r="BT25" s="537">
        <f>Time!BT$16</f>
        <v>0</v>
      </c>
      <c r="BU25" s="537">
        <f>Time!BU$16</f>
        <v>0</v>
      </c>
      <c r="BV25" s="537">
        <f>Time!BV$16</f>
        <v>0</v>
      </c>
      <c r="BW25" s="537">
        <f>Time!BW$16</f>
        <v>0</v>
      </c>
      <c r="BX25" s="537">
        <f>Time!BX$16</f>
        <v>0</v>
      </c>
      <c r="BY25" s="537">
        <f>Time!BY$16</f>
        <v>0</v>
      </c>
      <c r="BZ25" s="537">
        <f>Time!BZ$16</f>
        <v>0</v>
      </c>
      <c r="CA25" s="537">
        <f>Time!CA$16</f>
        <v>0</v>
      </c>
      <c r="CB25" s="537">
        <f>Time!CB$16</f>
        <v>0</v>
      </c>
      <c r="CC25" s="537">
        <f>Time!CC$16</f>
        <v>0</v>
      </c>
      <c r="CD25" s="537">
        <f>Time!CD$16</f>
        <v>0</v>
      </c>
      <c r="CE25" s="537">
        <f>Time!CE$16</f>
        <v>0</v>
      </c>
      <c r="CF25" s="537">
        <f>Time!CF$16</f>
        <v>0</v>
      </c>
      <c r="CG25" s="537">
        <f>Time!CG$16</f>
        <v>0</v>
      </c>
      <c r="CH25" s="537">
        <f>Time!CH$16</f>
        <v>0</v>
      </c>
      <c r="CI25" s="537">
        <f>Time!CI$16</f>
        <v>0</v>
      </c>
      <c r="CJ25" s="537">
        <f>Time!CJ$16</f>
        <v>0</v>
      </c>
      <c r="CK25" s="537">
        <f>Time!CK$16</f>
        <v>0</v>
      </c>
      <c r="CL25" s="537">
        <f>Time!CL$16</f>
        <v>0</v>
      </c>
      <c r="CM25" s="537">
        <f>Time!CM$16</f>
        <v>0</v>
      </c>
      <c r="CN25" s="537">
        <f>Time!CN$16</f>
        <v>0</v>
      </c>
      <c r="CO25" s="537">
        <f>Time!CO$16</f>
        <v>0</v>
      </c>
      <c r="CP25" s="537">
        <f>Time!CP$16</f>
        <v>0</v>
      </c>
      <c r="CQ25" s="537">
        <f>Time!CQ$16</f>
        <v>0</v>
      </c>
      <c r="CR25" s="537">
        <f>Time!CR$16</f>
        <v>0</v>
      </c>
      <c r="CS25" s="537">
        <f>Time!CS$16</f>
        <v>0</v>
      </c>
      <c r="CT25" s="537">
        <f>Time!CT$16</f>
        <v>0</v>
      </c>
      <c r="CU25" s="537">
        <f>Time!CU$16</f>
        <v>0</v>
      </c>
      <c r="CV25" s="537">
        <f>Time!CV$16</f>
        <v>0</v>
      </c>
      <c r="CW25" s="537">
        <f>Time!CW$16</f>
        <v>0</v>
      </c>
      <c r="CX25" s="537">
        <f>Time!CX$16</f>
        <v>0</v>
      </c>
      <c r="CY25" s="537">
        <f>Time!CY$16</f>
        <v>0</v>
      </c>
      <c r="CZ25" s="537">
        <f>Time!CZ$16</f>
        <v>0</v>
      </c>
      <c r="DA25" s="537">
        <f>Time!DA$16</f>
        <v>0</v>
      </c>
      <c r="DB25" s="537">
        <f>Time!DB$16</f>
        <v>0</v>
      </c>
      <c r="DC25" s="537">
        <f>Time!DC$16</f>
        <v>0</v>
      </c>
      <c r="DD25" s="537">
        <f>Time!DD$16</f>
        <v>0</v>
      </c>
      <c r="DE25" s="537">
        <f>Time!DE$16</f>
        <v>0</v>
      </c>
      <c r="DF25" s="537">
        <f>Time!DF$16</f>
        <v>0</v>
      </c>
      <c r="DG25" s="537">
        <f>Time!DG$16</f>
        <v>0</v>
      </c>
      <c r="DH25" s="537">
        <f>Time!DH$16</f>
        <v>0</v>
      </c>
      <c r="DI25" s="537">
        <f>Time!DI$16</f>
        <v>0</v>
      </c>
      <c r="DJ25" s="537">
        <f>Time!DJ$16</f>
        <v>0</v>
      </c>
      <c r="DK25" s="537">
        <f>Time!DK$16</f>
        <v>0</v>
      </c>
      <c r="DL25" s="537">
        <f>Time!DL$16</f>
        <v>0</v>
      </c>
      <c r="DM25" s="537">
        <f>Time!DM$16</f>
        <v>0</v>
      </c>
      <c r="DN25" s="537">
        <f>Time!DN$16</f>
        <v>0</v>
      </c>
      <c r="DO25" s="537">
        <f>Time!DO$16</f>
        <v>0</v>
      </c>
      <c r="DP25" s="537">
        <f>Time!DP$16</f>
        <v>0</v>
      </c>
      <c r="DQ25" s="537">
        <f>Time!DQ$16</f>
        <v>0</v>
      </c>
      <c r="DR25" s="537">
        <f>Time!DR$16</f>
        <v>0</v>
      </c>
      <c r="DS25" s="537">
        <f>Time!DS$16</f>
        <v>0</v>
      </c>
      <c r="DT25" s="537">
        <f>Time!DT$16</f>
        <v>0</v>
      </c>
      <c r="DU25" s="537">
        <f>Time!DU$16</f>
        <v>0</v>
      </c>
      <c r="DV25" s="537">
        <f>Time!DV$16</f>
        <v>0</v>
      </c>
      <c r="DW25" s="537">
        <f>Time!DW$16</f>
        <v>0</v>
      </c>
      <c r="DX25" s="537">
        <f>Time!DX$16</f>
        <v>0</v>
      </c>
      <c r="DY25" s="537">
        <f>Time!DY$16</f>
        <v>0</v>
      </c>
      <c r="DZ25" s="537">
        <f>Time!DZ$16</f>
        <v>0</v>
      </c>
      <c r="EA25" s="537">
        <f>Time!EA$16</f>
        <v>0</v>
      </c>
      <c r="EB25" s="537">
        <f>Time!EB$16</f>
        <v>0</v>
      </c>
      <c r="EC25" s="537">
        <f>Time!EC$16</f>
        <v>0</v>
      </c>
      <c r="ED25" s="537">
        <f>Time!ED$16</f>
        <v>0</v>
      </c>
      <c r="EE25" s="537">
        <f>Time!EE$16</f>
        <v>0</v>
      </c>
      <c r="EF25" s="537">
        <f>Time!EF$16</f>
        <v>0</v>
      </c>
      <c r="EG25" s="537">
        <f>Time!EG$16</f>
        <v>0</v>
      </c>
    </row>
    <row r="26" spans="5:137" ht="12.75">
      <c r="E26" s="535" t="str">
        <f>Time!E$50</f>
        <v>Model period ending</v>
      </c>
      <c r="G26" s="536" t="str">
        <f>Time!G$50</f>
        <v>date</v>
      </c>
      <c r="J26" s="536">
        <f>Time!J$50</f>
        <v>46418</v>
      </c>
      <c r="K26" s="536">
        <f>Time!K$50</f>
        <v>46446</v>
      </c>
      <c r="L26" s="536">
        <f>Time!L$50</f>
        <v>46477</v>
      </c>
      <c r="M26" s="536">
        <f>Time!M$50</f>
        <v>46507</v>
      </c>
      <c r="N26" s="536">
        <f>Time!N$50</f>
        <v>46538</v>
      </c>
      <c r="O26" s="536">
        <f>Time!O$50</f>
        <v>46568</v>
      </c>
      <c r="P26" s="536">
        <f>Time!P$50</f>
        <v>46599</v>
      </c>
      <c r="Q26" s="536">
        <f>Time!Q$50</f>
        <v>46630</v>
      </c>
      <c r="R26" s="536">
        <f>Time!R$50</f>
        <v>46660</v>
      </c>
      <c r="S26" s="536">
        <f>Time!S$50</f>
        <v>46691</v>
      </c>
      <c r="T26" s="536">
        <f>Time!T$50</f>
        <v>46721</v>
      </c>
      <c r="U26" s="536">
        <f>Time!U$50</f>
        <v>46752</v>
      </c>
      <c r="V26" s="536">
        <f>Time!V$50</f>
        <v>46783</v>
      </c>
      <c r="W26" s="536">
        <f>Time!W$50</f>
        <v>46812</v>
      </c>
      <c r="X26" s="536">
        <f>Time!X$50</f>
        <v>46843</v>
      </c>
      <c r="Y26" s="536">
        <f>Time!Y$50</f>
        <v>46873</v>
      </c>
      <c r="Z26" s="536">
        <f>Time!Z$50</f>
        <v>46904</v>
      </c>
      <c r="AA26" s="536">
        <f>Time!AA$50</f>
        <v>46934</v>
      </c>
      <c r="AB26" s="536">
        <f>Time!AB$50</f>
        <v>46965</v>
      </c>
      <c r="AC26" s="536">
        <f>Time!AC$50</f>
        <v>46996</v>
      </c>
      <c r="AD26" s="536">
        <f>Time!AD$50</f>
        <v>47026</v>
      </c>
      <c r="AE26" s="536">
        <f>Time!AE$50</f>
        <v>47057</v>
      </c>
      <c r="AF26" s="536">
        <f>Time!AF$50</f>
        <v>47087</v>
      </c>
      <c r="AG26" s="536">
        <f>Time!AG$50</f>
        <v>47118</v>
      </c>
      <c r="AH26" s="536">
        <f>Time!AH$50</f>
        <v>47208</v>
      </c>
      <c r="AI26" s="536">
        <f>Time!AI$50</f>
        <v>47299</v>
      </c>
      <c r="AJ26" s="536">
        <f>Time!AJ$50</f>
        <v>47391</v>
      </c>
      <c r="AK26" s="536">
        <f>Time!AK$50</f>
        <v>47483</v>
      </c>
      <c r="AL26" s="536">
        <f>Time!AL$50</f>
        <v>47573</v>
      </c>
      <c r="AM26" s="536">
        <f>Time!AM$50</f>
        <v>47664</v>
      </c>
      <c r="AN26" s="536">
        <f>Time!AN$50</f>
        <v>47756</v>
      </c>
      <c r="AO26" s="536">
        <f>Time!AO$50</f>
        <v>47848</v>
      </c>
      <c r="AP26" s="536">
        <f>Time!AP$50</f>
        <v>47938</v>
      </c>
      <c r="AQ26" s="536">
        <f>Time!AQ$50</f>
        <v>48029</v>
      </c>
      <c r="AR26" s="536">
        <f>Time!AR$50</f>
        <v>48121</v>
      </c>
      <c r="AS26" s="536">
        <f>Time!AS$50</f>
        <v>48213</v>
      </c>
      <c r="AT26" s="536">
        <f>Time!AT$50</f>
        <v>48304</v>
      </c>
      <c r="AU26" s="536">
        <f>Time!AU$50</f>
        <v>48395</v>
      </c>
      <c r="AV26" s="536">
        <f>Time!AV$50</f>
        <v>48487</v>
      </c>
      <c r="AW26" s="536">
        <f>Time!AW$50</f>
        <v>48579</v>
      </c>
      <c r="AX26" s="536">
        <f>Time!AX$50</f>
        <v>48669</v>
      </c>
      <c r="AY26" s="536">
        <f>Time!AY$50</f>
        <v>48760</v>
      </c>
      <c r="AZ26" s="536">
        <f>Time!AZ$50</f>
        <v>48852</v>
      </c>
      <c r="BA26" s="536">
        <f>Time!BA$50</f>
        <v>48944</v>
      </c>
      <c r="BB26" s="536">
        <f>Time!BB$50</f>
        <v>49034</v>
      </c>
      <c r="BC26" s="536">
        <f>Time!BC$50</f>
        <v>49125</v>
      </c>
      <c r="BD26" s="536">
        <f>Time!BD$50</f>
        <v>49217</v>
      </c>
      <c r="BE26" s="536">
        <f>Time!BE$50</f>
        <v>49309</v>
      </c>
      <c r="BF26" s="536">
        <f>Time!BF$50</f>
        <v>49399</v>
      </c>
      <c r="BG26" s="536">
        <f>Time!BG$50</f>
        <v>49490</v>
      </c>
      <c r="BH26" s="536">
        <f>Time!BH$50</f>
        <v>49582</v>
      </c>
      <c r="BI26" s="536">
        <f>Time!BI$50</f>
        <v>49674</v>
      </c>
      <c r="BJ26" s="536">
        <f>Time!BJ$50</f>
        <v>49765</v>
      </c>
      <c r="BK26" s="536">
        <f>Time!BK$50</f>
        <v>49856</v>
      </c>
      <c r="BL26" s="536">
        <f>Time!BL$50</f>
        <v>49948</v>
      </c>
      <c r="BM26" s="536">
        <f>Time!BM$50</f>
        <v>50040</v>
      </c>
      <c r="BN26" s="536">
        <f>Time!BN$50</f>
        <v>50130</v>
      </c>
      <c r="BO26" s="536">
        <f>Time!BO$50</f>
        <v>50221</v>
      </c>
      <c r="BP26" s="536">
        <f>Time!BP$50</f>
        <v>50313</v>
      </c>
      <c r="BQ26" s="536">
        <f>Time!BQ$50</f>
        <v>50405</v>
      </c>
      <c r="BR26" s="536">
        <f>Time!BR$50</f>
        <v>50495</v>
      </c>
      <c r="BS26" s="536">
        <f>Time!BS$50</f>
        <v>50586</v>
      </c>
      <c r="BT26" s="536">
        <f>Time!BT$50</f>
        <v>50678</v>
      </c>
      <c r="BU26" s="536">
        <f>Time!BU$50</f>
        <v>50770</v>
      </c>
      <c r="BV26" s="536">
        <f>Time!BV$50</f>
        <v>50860</v>
      </c>
      <c r="BW26" s="536">
        <f>Time!BW$50</f>
        <v>50951</v>
      </c>
      <c r="BX26" s="536">
        <f>Time!BX$50</f>
        <v>51043</v>
      </c>
      <c r="BY26" s="536">
        <f>Time!BY$50</f>
        <v>51135</v>
      </c>
      <c r="BZ26" s="536">
        <f>Time!BZ$50</f>
        <v>51226</v>
      </c>
      <c r="CA26" s="536">
        <f>Time!CA$50</f>
        <v>51317</v>
      </c>
      <c r="CB26" s="536">
        <f>Time!CB$50</f>
        <v>51409</v>
      </c>
      <c r="CC26" s="536">
        <f>Time!CC$50</f>
        <v>51501</v>
      </c>
      <c r="CD26" s="536">
        <f>Time!CD$50</f>
        <v>51591</v>
      </c>
      <c r="CE26" s="536">
        <f>Time!CE$50</f>
        <v>51682</v>
      </c>
      <c r="CF26" s="536">
        <f>Time!CF$50</f>
        <v>51774</v>
      </c>
      <c r="CG26" s="536">
        <f>Time!CG$50</f>
        <v>51866</v>
      </c>
      <c r="CH26" s="536">
        <f>Time!CH$50</f>
        <v>51956</v>
      </c>
      <c r="CI26" s="536">
        <f>Time!CI$50</f>
        <v>52047</v>
      </c>
      <c r="CJ26" s="536">
        <f>Time!CJ$50</f>
        <v>52139</v>
      </c>
      <c r="CK26" s="536">
        <f>Time!CK$50</f>
        <v>52231</v>
      </c>
      <c r="CL26" s="536">
        <f>Time!CL$50</f>
        <v>52321</v>
      </c>
      <c r="CM26" s="536">
        <f>Time!CM$50</f>
        <v>52412</v>
      </c>
      <c r="CN26" s="536">
        <f>Time!CN$50</f>
        <v>52504</v>
      </c>
      <c r="CO26" s="536">
        <f>Time!CO$50</f>
        <v>52596</v>
      </c>
      <c r="CP26" s="536">
        <f>Time!CP$50</f>
        <v>52687</v>
      </c>
      <c r="CQ26" s="536">
        <f>Time!CQ$50</f>
        <v>52778</v>
      </c>
      <c r="CR26" s="536">
        <f>Time!CR$50</f>
        <v>52870</v>
      </c>
      <c r="CS26" s="536">
        <f>Time!CS$50</f>
        <v>52962</v>
      </c>
      <c r="CT26" s="536">
        <f>Time!CT$50</f>
        <v>53052</v>
      </c>
      <c r="CU26" s="536">
        <f>Time!CU$50</f>
        <v>53143</v>
      </c>
      <c r="CV26" s="536">
        <f>Time!CV$50</f>
        <v>53235</v>
      </c>
      <c r="CW26" s="536">
        <f>Time!CW$50</f>
        <v>53327</v>
      </c>
      <c r="CX26" s="536">
        <f>Time!CX$50</f>
        <v>53417</v>
      </c>
      <c r="CY26" s="536">
        <f>Time!CY$50</f>
        <v>53508</v>
      </c>
      <c r="CZ26" s="536">
        <f>Time!CZ$50</f>
        <v>53600</v>
      </c>
      <c r="DA26" s="536">
        <f>Time!DA$50</f>
        <v>53692</v>
      </c>
      <c r="DB26" s="536">
        <f>Time!DB$50</f>
        <v>53782</v>
      </c>
      <c r="DC26" s="536">
        <f>Time!DC$50</f>
        <v>53873</v>
      </c>
      <c r="DD26" s="536">
        <f>Time!DD$50</f>
        <v>53965</v>
      </c>
      <c r="DE26" s="536">
        <f>Time!DE$50</f>
        <v>54057</v>
      </c>
      <c r="DF26" s="536">
        <f>Time!DF$50</f>
        <v>54148</v>
      </c>
      <c r="DG26" s="536">
        <f>Time!DG$50</f>
        <v>54239</v>
      </c>
      <c r="DH26" s="536">
        <f>Time!DH$50</f>
        <v>54331</v>
      </c>
      <c r="DI26" s="536">
        <f>Time!DI$50</f>
        <v>54423</v>
      </c>
      <c r="DJ26" s="536">
        <f>Time!DJ$50</f>
        <v>54513</v>
      </c>
      <c r="DK26" s="536">
        <f>Time!DK$50</f>
        <v>54604</v>
      </c>
      <c r="DL26" s="536">
        <f>Time!DL$50</f>
        <v>54696</v>
      </c>
      <c r="DM26" s="536">
        <f>Time!DM$50</f>
        <v>54788</v>
      </c>
      <c r="DN26" s="536">
        <f>Time!DN$50</f>
        <v>54878</v>
      </c>
      <c r="DO26" s="536">
        <f>Time!DO$50</f>
        <v>54969</v>
      </c>
      <c r="DP26" s="536">
        <f>Time!DP$50</f>
        <v>55061</v>
      </c>
      <c r="DQ26" s="536">
        <f>Time!DQ$50</f>
        <v>55153</v>
      </c>
      <c r="DR26" s="536">
        <f>Time!DR$50</f>
        <v>55243</v>
      </c>
      <c r="DS26" s="536">
        <f>Time!DS$50</f>
        <v>55334</v>
      </c>
      <c r="DT26" s="536">
        <f>Time!DT$50</f>
        <v>55426</v>
      </c>
      <c r="DU26" s="536">
        <f>Time!DU$50</f>
        <v>55518</v>
      </c>
      <c r="DV26" s="536">
        <f>Time!DV$50</f>
        <v>55609</v>
      </c>
      <c r="DW26" s="536">
        <f>Time!DW$50</f>
        <v>55700</v>
      </c>
      <c r="DX26" s="536">
        <f>Time!DX$50</f>
        <v>55792</v>
      </c>
      <c r="DY26" s="536">
        <f>Time!DY$50</f>
        <v>55884</v>
      </c>
      <c r="DZ26" s="536">
        <f>Time!DZ$50</f>
        <v>55974</v>
      </c>
      <c r="EA26" s="536">
        <f>Time!EA$50</f>
        <v>56065</v>
      </c>
      <c r="EB26" s="536">
        <f>Time!EB$50</f>
        <v>56157</v>
      </c>
      <c r="EC26" s="536">
        <f>Time!EC$50</f>
        <v>56249</v>
      </c>
      <c r="ED26" s="536">
        <f>Time!ED$50</f>
        <v>56339</v>
      </c>
      <c r="EE26" s="536">
        <f>Time!EE$50</f>
        <v>56430</v>
      </c>
      <c r="EF26" s="536">
        <f>Time!EF$50</f>
        <v>56522</v>
      </c>
      <c r="EG26" s="536">
        <f>Time!EG$50</f>
        <v>56614</v>
      </c>
    </row>
    <row r="27" spans="5:137" ht="12.75">
      <c r="E27" s="535" t="str">
        <f>Time!E$100</f>
        <v>Escalation year end month flag</v>
      </c>
      <c r="G27" s="537" t="str">
        <f>Time!G$100</f>
        <v>flag</v>
      </c>
      <c r="H27" s="537">
        <f>Time!H$100</f>
        <v>28</v>
      </c>
      <c r="J27" s="537">
        <f>Time!J$100</f>
        <v>0</v>
      </c>
      <c r="K27" s="537">
        <f>Time!K$100</f>
        <v>0</v>
      </c>
      <c r="L27" s="537">
        <f>Time!L$100</f>
        <v>0</v>
      </c>
      <c r="M27" s="537">
        <f>Time!M$100</f>
        <v>0</v>
      </c>
      <c r="N27" s="537">
        <f>Time!N$100</f>
        <v>0</v>
      </c>
      <c r="O27" s="537">
        <f>Time!O$100</f>
        <v>0</v>
      </c>
      <c r="P27" s="537">
        <f>Time!P$100</f>
        <v>0</v>
      </c>
      <c r="Q27" s="537">
        <f>Time!Q$100</f>
        <v>0</v>
      </c>
      <c r="R27" s="537">
        <f>Time!R$100</f>
        <v>0</v>
      </c>
      <c r="S27" s="537">
        <f>Time!S$100</f>
        <v>0</v>
      </c>
      <c r="T27" s="537">
        <f>Time!T$100</f>
        <v>0</v>
      </c>
      <c r="U27" s="537">
        <f>Time!U$100</f>
        <v>1</v>
      </c>
      <c r="V27" s="537">
        <f>Time!V$100</f>
        <v>0</v>
      </c>
      <c r="W27" s="537">
        <f>Time!W$100</f>
        <v>0</v>
      </c>
      <c r="X27" s="537">
        <f>Time!X$100</f>
        <v>0</v>
      </c>
      <c r="Y27" s="537">
        <f>Time!Y$100</f>
        <v>0</v>
      </c>
      <c r="Z27" s="537">
        <f>Time!Z$100</f>
        <v>0</v>
      </c>
      <c r="AA27" s="537">
        <f>Time!AA$100</f>
        <v>0</v>
      </c>
      <c r="AB27" s="537">
        <f>Time!AB$100</f>
        <v>0</v>
      </c>
      <c r="AC27" s="537">
        <f>Time!AC$100</f>
        <v>0</v>
      </c>
      <c r="AD27" s="537">
        <f>Time!AD$100</f>
        <v>0</v>
      </c>
      <c r="AE27" s="537">
        <f>Time!AE$100</f>
        <v>0</v>
      </c>
      <c r="AF27" s="537">
        <f>Time!AF$100</f>
        <v>0</v>
      </c>
      <c r="AG27" s="537">
        <f>Time!AG$100</f>
        <v>1</v>
      </c>
      <c r="AH27" s="537">
        <f>Time!AH$100</f>
        <v>0</v>
      </c>
      <c r="AI27" s="537">
        <f>Time!AI$100</f>
        <v>0</v>
      </c>
      <c r="AJ27" s="537">
        <f>Time!AJ$100</f>
        <v>0</v>
      </c>
      <c r="AK27" s="537">
        <f>Time!AK$100</f>
        <v>1</v>
      </c>
      <c r="AL27" s="537">
        <f>Time!AL$100</f>
        <v>0</v>
      </c>
      <c r="AM27" s="537">
        <f>Time!AM$100</f>
        <v>0</v>
      </c>
      <c r="AN27" s="537">
        <f>Time!AN$100</f>
        <v>0</v>
      </c>
      <c r="AO27" s="537">
        <f>Time!AO$100</f>
        <v>1</v>
      </c>
      <c r="AP27" s="537">
        <f>Time!AP$100</f>
        <v>0</v>
      </c>
      <c r="AQ27" s="537">
        <f>Time!AQ$100</f>
        <v>0</v>
      </c>
      <c r="AR27" s="537">
        <f>Time!AR$100</f>
        <v>0</v>
      </c>
      <c r="AS27" s="537">
        <f>Time!AS$100</f>
        <v>1</v>
      </c>
      <c r="AT27" s="537">
        <f>Time!AT$100</f>
        <v>0</v>
      </c>
      <c r="AU27" s="537">
        <f>Time!AU$100</f>
        <v>0</v>
      </c>
      <c r="AV27" s="537">
        <f>Time!AV$100</f>
        <v>0</v>
      </c>
      <c r="AW27" s="537">
        <f>Time!AW$100</f>
        <v>1</v>
      </c>
      <c r="AX27" s="537">
        <f>Time!AX$100</f>
        <v>0</v>
      </c>
      <c r="AY27" s="537">
        <f>Time!AY$100</f>
        <v>0</v>
      </c>
      <c r="AZ27" s="537">
        <f>Time!AZ$100</f>
        <v>0</v>
      </c>
      <c r="BA27" s="537">
        <f>Time!BA$100</f>
        <v>1</v>
      </c>
      <c r="BB27" s="537">
        <f>Time!BB$100</f>
        <v>0</v>
      </c>
      <c r="BC27" s="537">
        <f>Time!BC$100</f>
        <v>0</v>
      </c>
      <c r="BD27" s="537">
        <f>Time!BD$100</f>
        <v>0</v>
      </c>
      <c r="BE27" s="537">
        <f>Time!BE$100</f>
        <v>1</v>
      </c>
      <c r="BF27" s="537">
        <f>Time!BF$100</f>
        <v>0</v>
      </c>
      <c r="BG27" s="537">
        <f>Time!BG$100</f>
        <v>0</v>
      </c>
      <c r="BH27" s="537">
        <f>Time!BH$100</f>
        <v>0</v>
      </c>
      <c r="BI27" s="537">
        <f>Time!BI$100</f>
        <v>1</v>
      </c>
      <c r="BJ27" s="537">
        <f>Time!BJ$100</f>
        <v>0</v>
      </c>
      <c r="BK27" s="537">
        <f>Time!BK$100</f>
        <v>0</v>
      </c>
      <c r="BL27" s="537">
        <f>Time!BL$100</f>
        <v>0</v>
      </c>
      <c r="BM27" s="537">
        <f>Time!BM$100</f>
        <v>1</v>
      </c>
      <c r="BN27" s="537">
        <f>Time!BN$100</f>
        <v>0</v>
      </c>
      <c r="BO27" s="537">
        <f>Time!BO$100</f>
        <v>0</v>
      </c>
      <c r="BP27" s="537">
        <f>Time!BP$100</f>
        <v>0</v>
      </c>
      <c r="BQ27" s="537">
        <f>Time!BQ$100</f>
        <v>1</v>
      </c>
      <c r="BR27" s="537">
        <f>Time!BR$100</f>
        <v>0</v>
      </c>
      <c r="BS27" s="537">
        <f>Time!BS$100</f>
        <v>0</v>
      </c>
      <c r="BT27" s="537">
        <f>Time!BT$100</f>
        <v>0</v>
      </c>
      <c r="BU27" s="537">
        <f>Time!BU$100</f>
        <v>1</v>
      </c>
      <c r="BV27" s="537">
        <f>Time!BV$100</f>
        <v>0</v>
      </c>
      <c r="BW27" s="537">
        <f>Time!BW$100</f>
        <v>0</v>
      </c>
      <c r="BX27" s="537">
        <f>Time!BX$100</f>
        <v>0</v>
      </c>
      <c r="BY27" s="537">
        <f>Time!BY$100</f>
        <v>1</v>
      </c>
      <c r="BZ27" s="537">
        <f>Time!BZ$100</f>
        <v>0</v>
      </c>
      <c r="CA27" s="537">
        <f>Time!CA$100</f>
        <v>0</v>
      </c>
      <c r="CB27" s="537">
        <f>Time!CB$100</f>
        <v>0</v>
      </c>
      <c r="CC27" s="537">
        <f>Time!CC$100</f>
        <v>1</v>
      </c>
      <c r="CD27" s="537">
        <f>Time!CD$100</f>
        <v>0</v>
      </c>
      <c r="CE27" s="537">
        <f>Time!CE$100</f>
        <v>0</v>
      </c>
      <c r="CF27" s="537">
        <f>Time!CF$100</f>
        <v>0</v>
      </c>
      <c r="CG27" s="537">
        <f>Time!CG$100</f>
        <v>1</v>
      </c>
      <c r="CH27" s="537">
        <f>Time!CH$100</f>
        <v>0</v>
      </c>
      <c r="CI27" s="537">
        <f>Time!CI$100</f>
        <v>0</v>
      </c>
      <c r="CJ27" s="537">
        <f>Time!CJ$100</f>
        <v>0</v>
      </c>
      <c r="CK27" s="537">
        <f>Time!CK$100</f>
        <v>1</v>
      </c>
      <c r="CL27" s="537">
        <f>Time!CL$100</f>
        <v>0</v>
      </c>
      <c r="CM27" s="537">
        <f>Time!CM$100</f>
        <v>0</v>
      </c>
      <c r="CN27" s="537">
        <f>Time!CN$100</f>
        <v>0</v>
      </c>
      <c r="CO27" s="537">
        <f>Time!CO$100</f>
        <v>1</v>
      </c>
      <c r="CP27" s="537">
        <f>Time!CP$100</f>
        <v>0</v>
      </c>
      <c r="CQ27" s="537">
        <f>Time!CQ$100</f>
        <v>0</v>
      </c>
      <c r="CR27" s="537">
        <f>Time!CR$100</f>
        <v>0</v>
      </c>
      <c r="CS27" s="537">
        <f>Time!CS$100</f>
        <v>1</v>
      </c>
      <c r="CT27" s="537">
        <f>Time!CT$100</f>
        <v>0</v>
      </c>
      <c r="CU27" s="537">
        <f>Time!CU$100</f>
        <v>0</v>
      </c>
      <c r="CV27" s="537">
        <f>Time!CV$100</f>
        <v>0</v>
      </c>
      <c r="CW27" s="537">
        <f>Time!CW$100</f>
        <v>1</v>
      </c>
      <c r="CX27" s="537">
        <f>Time!CX$100</f>
        <v>0</v>
      </c>
      <c r="CY27" s="537">
        <f>Time!CY$100</f>
        <v>0</v>
      </c>
      <c r="CZ27" s="537">
        <f>Time!CZ$100</f>
        <v>0</v>
      </c>
      <c r="DA27" s="537">
        <f>Time!DA$100</f>
        <v>1</v>
      </c>
      <c r="DB27" s="537">
        <f>Time!DB$100</f>
        <v>0</v>
      </c>
      <c r="DC27" s="537">
        <f>Time!DC$100</f>
        <v>0</v>
      </c>
      <c r="DD27" s="537">
        <f>Time!DD$100</f>
        <v>0</v>
      </c>
      <c r="DE27" s="537">
        <f>Time!DE$100</f>
        <v>1</v>
      </c>
      <c r="DF27" s="537">
        <f>Time!DF$100</f>
        <v>0</v>
      </c>
      <c r="DG27" s="537">
        <f>Time!DG$100</f>
        <v>0</v>
      </c>
      <c r="DH27" s="537">
        <f>Time!DH$100</f>
        <v>0</v>
      </c>
      <c r="DI27" s="537">
        <f>Time!DI$100</f>
        <v>1</v>
      </c>
      <c r="DJ27" s="537">
        <f>Time!DJ$100</f>
        <v>0</v>
      </c>
      <c r="DK27" s="537">
        <f>Time!DK$100</f>
        <v>0</v>
      </c>
      <c r="DL27" s="537">
        <f>Time!DL$100</f>
        <v>0</v>
      </c>
      <c r="DM27" s="537">
        <f>Time!DM$100</f>
        <v>1</v>
      </c>
      <c r="DN27" s="537">
        <f>Time!DN$100</f>
        <v>0</v>
      </c>
      <c r="DO27" s="537">
        <f>Time!DO$100</f>
        <v>0</v>
      </c>
      <c r="DP27" s="537">
        <f>Time!DP$100</f>
        <v>0</v>
      </c>
      <c r="DQ27" s="537">
        <f>Time!DQ$100</f>
        <v>1</v>
      </c>
      <c r="DR27" s="537">
        <f>Time!DR$100</f>
        <v>0</v>
      </c>
      <c r="DS27" s="537">
        <f>Time!DS$100</f>
        <v>0</v>
      </c>
      <c r="DT27" s="537">
        <f>Time!DT$100</f>
        <v>0</v>
      </c>
      <c r="DU27" s="537">
        <f>Time!DU$100</f>
        <v>1</v>
      </c>
      <c r="DV27" s="537">
        <f>Time!DV$100</f>
        <v>0</v>
      </c>
      <c r="DW27" s="537">
        <f>Time!DW$100</f>
        <v>0</v>
      </c>
      <c r="DX27" s="537">
        <f>Time!DX$100</f>
        <v>0</v>
      </c>
      <c r="DY27" s="537">
        <f>Time!DY$100</f>
        <v>1</v>
      </c>
      <c r="DZ27" s="537">
        <f>Time!DZ$100</f>
        <v>0</v>
      </c>
      <c r="EA27" s="537">
        <f>Time!EA$100</f>
        <v>0</v>
      </c>
      <c r="EB27" s="537">
        <f>Time!EB$100</f>
        <v>0</v>
      </c>
      <c r="EC27" s="537">
        <f>Time!EC$100</f>
        <v>1</v>
      </c>
      <c r="ED27" s="537">
        <f>Time!ED$100</f>
        <v>0</v>
      </c>
      <c r="EE27" s="537">
        <f>Time!EE$100</f>
        <v>0</v>
      </c>
      <c r="EF27" s="537">
        <f>Time!EF$100</f>
        <v>0</v>
      </c>
      <c r="EG27" s="537">
        <f>Time!EG$100</f>
        <v>1</v>
      </c>
    </row>
    <row r="28" spans="5:137" ht="12.75">
      <c r="E28" s="538" t="s">
        <v>255</v>
      </c>
      <c r="G28" s="548" t="s">
        <v>253</v>
      </c>
      <c r="H28" s="548">
        <f>SUM(J28:EG28)</f>
        <v>187.96369009830147</v>
      </c>
      <c r="J28" s="548">
        <f t="shared" si="2" ref="J28:EG28">IF(J25=1,1,I28*(1+$F24*I27*IF(I26&gt;=$F23,1,0)))</f>
        <v>1</v>
      </c>
      <c r="K28" s="548">
        <f t="shared" si="2"/>
        <v>1</v>
      </c>
      <c r="L28" s="548">
        <f t="shared" si="2"/>
        <v>1</v>
      </c>
      <c r="M28" s="548">
        <f t="shared" si="2"/>
        <v>1</v>
      </c>
      <c r="N28" s="548">
        <f t="shared" si="2"/>
        <v>1</v>
      </c>
      <c r="O28" s="548">
        <f t="shared" si="2"/>
        <v>1</v>
      </c>
      <c r="P28" s="548">
        <f t="shared" si="2"/>
        <v>1</v>
      </c>
      <c r="Q28" s="548">
        <f t="shared" si="2"/>
        <v>1</v>
      </c>
      <c r="R28" s="548">
        <f t="shared" si="2"/>
        <v>1</v>
      </c>
      <c r="S28" s="548">
        <f t="shared" si="2"/>
        <v>1</v>
      </c>
      <c r="T28" s="548">
        <f t="shared" si="2"/>
        <v>1</v>
      </c>
      <c r="U28" s="548">
        <f t="shared" si="2"/>
        <v>1</v>
      </c>
      <c r="V28" s="548">
        <f t="shared" si="2"/>
        <v>1.03</v>
      </c>
      <c r="W28" s="548">
        <f t="shared" si="2"/>
        <v>1.03</v>
      </c>
      <c r="X28" s="548">
        <f t="shared" si="2"/>
        <v>1.03</v>
      </c>
      <c r="Y28" s="548">
        <f t="shared" si="2"/>
        <v>1.03</v>
      </c>
      <c r="Z28" s="548">
        <f t="shared" si="2"/>
        <v>1.03</v>
      </c>
      <c r="AA28" s="548">
        <f t="shared" si="2"/>
        <v>1.03</v>
      </c>
      <c r="AB28" s="548">
        <f t="shared" si="2"/>
        <v>1.03</v>
      </c>
      <c r="AC28" s="548">
        <f t="shared" si="2"/>
        <v>1.03</v>
      </c>
      <c r="AD28" s="548">
        <f t="shared" si="2"/>
        <v>1.03</v>
      </c>
      <c r="AE28" s="548">
        <f t="shared" si="2"/>
        <v>1.03</v>
      </c>
      <c r="AF28" s="548">
        <f t="shared" si="2"/>
        <v>1.03</v>
      </c>
      <c r="AG28" s="548">
        <f t="shared" si="2"/>
        <v>1.03</v>
      </c>
      <c r="AH28" s="548">
        <f t="shared" si="2"/>
        <v>1.0609</v>
      </c>
      <c r="AI28" s="548">
        <f t="shared" si="2"/>
        <v>1.0609</v>
      </c>
      <c r="AJ28" s="548">
        <f t="shared" si="2"/>
        <v>1.0609</v>
      </c>
      <c r="AK28" s="548">
        <f t="shared" si="2"/>
        <v>1.0609</v>
      </c>
      <c r="AL28" s="548">
        <f t="shared" si="2"/>
        <v>1.092727</v>
      </c>
      <c r="AM28" s="548">
        <f t="shared" si="2"/>
        <v>1.092727</v>
      </c>
      <c r="AN28" s="548">
        <f t="shared" si="2"/>
        <v>1.092727</v>
      </c>
      <c r="AO28" s="548">
        <f t="shared" si="2"/>
        <v>1.092727</v>
      </c>
      <c r="AP28" s="548">
        <f t="shared" si="2"/>
        <v>1.1255088100000001</v>
      </c>
      <c r="AQ28" s="548">
        <f t="shared" si="2"/>
        <v>1.1255088100000001</v>
      </c>
      <c r="AR28" s="548">
        <f t="shared" si="2"/>
        <v>1.1255088100000001</v>
      </c>
      <c r="AS28" s="548">
        <f t="shared" si="2"/>
        <v>1.1255088100000001</v>
      </c>
      <c r="AT28" s="548">
        <f t="shared" si="2"/>
        <v>1.1592740743000001</v>
      </c>
      <c r="AU28" s="548">
        <f t="shared" si="2"/>
        <v>1.1592740743000001</v>
      </c>
      <c r="AV28" s="548">
        <f t="shared" si="2"/>
        <v>1.1592740743000001</v>
      </c>
      <c r="AW28" s="548">
        <f t="shared" si="2"/>
        <v>1.1592740743000001</v>
      </c>
      <c r="AX28" s="548">
        <f t="shared" si="2"/>
        <v>1.1940522965290001</v>
      </c>
      <c r="AY28" s="548">
        <f t="shared" si="2"/>
        <v>1.1940522965290001</v>
      </c>
      <c r="AZ28" s="548">
        <f t="shared" si="2"/>
        <v>1.1940522965290001</v>
      </c>
      <c r="BA28" s="548">
        <f t="shared" si="2"/>
        <v>1.1940522965290001</v>
      </c>
      <c r="BB28" s="548">
        <f t="shared" si="2"/>
        <v>1.2298738654248702</v>
      </c>
      <c r="BC28" s="548">
        <f t="shared" si="2"/>
        <v>1.2298738654248702</v>
      </c>
      <c r="BD28" s="548">
        <f t="shared" si="2"/>
        <v>1.2298738654248702</v>
      </c>
      <c r="BE28" s="548">
        <f t="shared" si="2"/>
        <v>1.2298738654248702</v>
      </c>
      <c r="BF28" s="548">
        <f t="shared" si="2"/>
        <v>1.2667700813876164</v>
      </c>
      <c r="BG28" s="548">
        <f t="shared" si="2"/>
        <v>1.2667700813876164</v>
      </c>
      <c r="BH28" s="548">
        <f t="shared" si="2"/>
        <v>1.2667700813876164</v>
      </c>
      <c r="BI28" s="548">
        <f t="shared" si="2"/>
        <v>1.2667700813876164</v>
      </c>
      <c r="BJ28" s="548">
        <f t="shared" si="2"/>
        <v>1.3047731838292449</v>
      </c>
      <c r="BK28" s="548">
        <f t="shared" si="2"/>
        <v>1.3047731838292449</v>
      </c>
      <c r="BL28" s="548">
        <f t="shared" si="2"/>
        <v>1.3047731838292449</v>
      </c>
      <c r="BM28" s="548">
        <f t="shared" si="2"/>
        <v>1.3047731838292449</v>
      </c>
      <c r="BN28" s="548">
        <f t="shared" si="2"/>
        <v>1.3439163793441222</v>
      </c>
      <c r="BO28" s="548">
        <f t="shared" si="2"/>
        <v>1.3439163793441222</v>
      </c>
      <c r="BP28" s="548">
        <f t="shared" si="2"/>
        <v>1.3439163793441222</v>
      </c>
      <c r="BQ28" s="548">
        <f t="shared" si="2"/>
        <v>1.3439163793441222</v>
      </c>
      <c r="BR28" s="548">
        <f t="shared" si="2"/>
        <v>1.3842338707244459</v>
      </c>
      <c r="BS28" s="548">
        <f t="shared" si="2"/>
        <v>1.3842338707244459</v>
      </c>
      <c r="BT28" s="548">
        <f t="shared" si="2"/>
        <v>1.3842338707244459</v>
      </c>
      <c r="BU28" s="548">
        <f t="shared" si="2"/>
        <v>1.3842338707244459</v>
      </c>
      <c r="BV28" s="548">
        <f t="shared" si="2"/>
        <v>1.4257608868461793</v>
      </c>
      <c r="BW28" s="548">
        <f t="shared" si="2"/>
        <v>1.4257608868461793</v>
      </c>
      <c r="BX28" s="548">
        <f t="shared" si="2"/>
        <v>1.4257608868461793</v>
      </c>
      <c r="BY28" s="548">
        <f t="shared" si="2"/>
        <v>1.4257608868461793</v>
      </c>
      <c r="BZ28" s="548">
        <f t="shared" si="2"/>
        <v>1.4685337134515648</v>
      </c>
      <c r="CA28" s="548">
        <f t="shared" si="2"/>
        <v>1.4685337134515648</v>
      </c>
      <c r="CB28" s="548">
        <f t="shared" si="2"/>
        <v>1.4685337134515648</v>
      </c>
      <c r="CC28" s="548">
        <f t="shared" si="2"/>
        <v>1.4685337134515648</v>
      </c>
      <c r="CD28" s="548">
        <f t="shared" si="2"/>
        <v>1.5125897248551119</v>
      </c>
      <c r="CE28" s="548">
        <f t="shared" si="2"/>
        <v>1.5125897248551119</v>
      </c>
      <c r="CF28" s="548">
        <f t="shared" si="2"/>
        <v>1.5125897248551119</v>
      </c>
      <c r="CG28" s="548">
        <f t="shared" si="2"/>
        <v>1.5125897248551119</v>
      </c>
      <c r="CH28" s="548">
        <f t="shared" si="2"/>
        <v>1.5579674166007653</v>
      </c>
      <c r="CI28" s="548">
        <f t="shared" si="2"/>
        <v>1.5579674166007653</v>
      </c>
      <c r="CJ28" s="548">
        <f t="shared" si="2"/>
        <v>1.5579674166007653</v>
      </c>
      <c r="CK28" s="548">
        <f t="shared" si="2"/>
        <v>1.5579674166007653</v>
      </c>
      <c r="CL28" s="548">
        <f t="shared" si="2"/>
        <v>1.6047064390987884</v>
      </c>
      <c r="CM28" s="548">
        <f t="shared" si="2"/>
        <v>1.6047064390987884</v>
      </c>
      <c r="CN28" s="548">
        <f t="shared" si="2"/>
        <v>1.6047064390987884</v>
      </c>
      <c r="CO28" s="548">
        <f t="shared" si="2"/>
        <v>1.6047064390987884</v>
      </c>
      <c r="CP28" s="548">
        <f t="shared" si="2"/>
        <v>1.652847632271752</v>
      </c>
      <c r="CQ28" s="548">
        <f t="shared" si="2"/>
        <v>1.652847632271752</v>
      </c>
      <c r="CR28" s="548">
        <f t="shared" si="2"/>
        <v>1.652847632271752</v>
      </c>
      <c r="CS28" s="548">
        <f t="shared" si="2"/>
        <v>1.652847632271752</v>
      </c>
      <c r="CT28" s="548">
        <f t="shared" si="2"/>
        <v>1.7024330612399046</v>
      </c>
      <c r="CU28" s="548">
        <f t="shared" si="2"/>
        <v>1.7024330612399046</v>
      </c>
      <c r="CV28" s="548">
        <f t="shared" si="2"/>
        <v>1.7024330612399046</v>
      </c>
      <c r="CW28" s="548">
        <f t="shared" si="2"/>
        <v>1.7024330612399046</v>
      </c>
      <c r="CX28" s="548">
        <f t="shared" si="2"/>
        <v>1.7535060530771018</v>
      </c>
      <c r="CY28" s="548">
        <f t="shared" si="2"/>
        <v>1.7535060530771018</v>
      </c>
      <c r="CZ28" s="548">
        <f t="shared" si="2"/>
        <v>1.7535060530771018</v>
      </c>
      <c r="DA28" s="548">
        <f t="shared" si="2"/>
        <v>1.7535060530771018</v>
      </c>
      <c r="DB28" s="548">
        <f t="shared" si="2"/>
        <v>1.806111234669415</v>
      </c>
      <c r="DC28" s="548">
        <f t="shared" si="2"/>
        <v>1.806111234669415</v>
      </c>
      <c r="DD28" s="548">
        <f t="shared" si="2"/>
        <v>1.806111234669415</v>
      </c>
      <c r="DE28" s="548">
        <f t="shared" si="2"/>
        <v>1.806111234669415</v>
      </c>
      <c r="DF28" s="548">
        <f t="shared" si="2"/>
        <v>1.8602945717094976</v>
      </c>
      <c r="DG28" s="548">
        <f t="shared" si="2"/>
        <v>1.8602945717094976</v>
      </c>
      <c r="DH28" s="548">
        <f t="shared" si="2"/>
        <v>1.8602945717094976</v>
      </c>
      <c r="DI28" s="548">
        <f t="shared" si="2"/>
        <v>1.8602945717094976</v>
      </c>
      <c r="DJ28" s="548">
        <f t="shared" si="2"/>
        <v>1.9161034088607827</v>
      </c>
      <c r="DK28" s="548">
        <f t="shared" si="2"/>
        <v>1.9161034088607827</v>
      </c>
      <c r="DL28" s="548">
        <f t="shared" si="2"/>
        <v>1.9161034088607827</v>
      </c>
      <c r="DM28" s="548">
        <f t="shared" si="2"/>
        <v>1.9161034088607827</v>
      </c>
      <c r="DN28" s="548">
        <f t="shared" si="2"/>
        <v>1.9735865111266062</v>
      </c>
      <c r="DO28" s="548">
        <f t="shared" si="2"/>
        <v>1.9735865111266062</v>
      </c>
      <c r="DP28" s="548">
        <f t="shared" si="2"/>
        <v>1.9735865111266062</v>
      </c>
      <c r="DQ28" s="548">
        <f t="shared" si="2"/>
        <v>1.9735865111266062</v>
      </c>
      <c r="DR28" s="548">
        <f t="shared" si="2"/>
        <v>2.0327941064604045</v>
      </c>
      <c r="DS28" s="548">
        <f t="shared" si="2"/>
        <v>2.0327941064604045</v>
      </c>
      <c r="DT28" s="548">
        <f t="shared" si="2"/>
        <v>2.0327941064604045</v>
      </c>
      <c r="DU28" s="548">
        <f t="shared" si="2"/>
        <v>2.0327941064604045</v>
      </c>
      <c r="DV28" s="548">
        <f t="shared" si="2"/>
        <v>2.0937779296542165</v>
      </c>
      <c r="DW28" s="548">
        <f t="shared" si="2"/>
        <v>2.0937779296542165</v>
      </c>
      <c r="DX28" s="548">
        <f t="shared" si="2"/>
        <v>2.0937779296542165</v>
      </c>
      <c r="DY28" s="548">
        <f t="shared" si="2"/>
        <v>2.0937779296542165</v>
      </c>
      <c r="DZ28" s="548">
        <f t="shared" si="2"/>
        <v>2.1565912675438432</v>
      </c>
      <c r="EA28" s="548">
        <f t="shared" si="2"/>
        <v>2.1565912675438432</v>
      </c>
      <c r="EB28" s="548">
        <f t="shared" si="2"/>
        <v>2.1565912675438432</v>
      </c>
      <c r="EC28" s="548">
        <f t="shared" si="2"/>
        <v>2.1565912675438432</v>
      </c>
      <c r="ED28" s="548">
        <f t="shared" si="2"/>
        <v>2.2212890055701586</v>
      </c>
      <c r="EE28" s="548">
        <f t="shared" si="2"/>
        <v>2.2212890055701586</v>
      </c>
      <c r="EF28" s="548">
        <f t="shared" si="2"/>
        <v>2.2212890055701586</v>
      </c>
      <c r="EG28" s="548">
        <f t="shared" si="2"/>
        <v>2.2212890055701586</v>
      </c>
    </row>
    <row r="30" spans="5:7" ht="12.75">
      <c r="E30" s="535" t="str">
        <f>InpC!E$57</f>
        <v>Fixed opex - share indexed to opex index (rest to RPI)</v>
      </c>
      <c r="F30" s="542">
        <f>InpC!F$57</f>
        <v>0.5</v>
      </c>
      <c r="G30" s="542" t="str">
        <f>InpC!G$57</f>
        <v>%</v>
      </c>
    </row>
    <row r="31" spans="5:137" ht="12.75">
      <c r="E31" s="538" t="str">
        <f>E$21</f>
        <v>Opex index - factor</v>
      </c>
      <c r="G31" s="548" t="str">
        <f>G$21</f>
        <v>index</v>
      </c>
      <c r="H31" s="548">
        <f>H$21</f>
        <v>175.63920300115302</v>
      </c>
      <c r="J31" s="548">
        <f t="shared" si="3" ref="J31:EG31">J$21</f>
        <v>1</v>
      </c>
      <c r="K31" s="548">
        <f t="shared" si="3"/>
        <v>1</v>
      </c>
      <c r="L31" s="548">
        <f t="shared" si="3"/>
        <v>1</v>
      </c>
      <c r="M31" s="548">
        <f t="shared" si="3"/>
        <v>1</v>
      </c>
      <c r="N31" s="548">
        <f t="shared" si="3"/>
        <v>1</v>
      </c>
      <c r="O31" s="548">
        <f t="shared" si="3"/>
        <v>1</v>
      </c>
      <c r="P31" s="548">
        <f t="shared" si="3"/>
        <v>1</v>
      </c>
      <c r="Q31" s="548">
        <f t="shared" si="3"/>
        <v>1</v>
      </c>
      <c r="R31" s="548">
        <f t="shared" si="3"/>
        <v>1</v>
      </c>
      <c r="S31" s="548">
        <f t="shared" si="3"/>
        <v>1</v>
      </c>
      <c r="T31" s="548">
        <f t="shared" si="3"/>
        <v>1</v>
      </c>
      <c r="U31" s="548">
        <f t="shared" si="3"/>
        <v>1</v>
      </c>
      <c r="V31" s="548">
        <f t="shared" si="3"/>
        <v>1.0249999999999999</v>
      </c>
      <c r="W31" s="548">
        <f t="shared" si="3"/>
        <v>1.0249999999999999</v>
      </c>
      <c r="X31" s="548">
        <f t="shared" si="3"/>
        <v>1.0249999999999999</v>
      </c>
      <c r="Y31" s="548">
        <f t="shared" si="3"/>
        <v>1.0249999999999999</v>
      </c>
      <c r="Z31" s="548">
        <f t="shared" si="3"/>
        <v>1.0249999999999999</v>
      </c>
      <c r="AA31" s="548">
        <f t="shared" si="3"/>
        <v>1.0249999999999999</v>
      </c>
      <c r="AB31" s="548">
        <f t="shared" si="3"/>
        <v>1.0249999999999999</v>
      </c>
      <c r="AC31" s="548">
        <f t="shared" si="3"/>
        <v>1.0249999999999999</v>
      </c>
      <c r="AD31" s="548">
        <f t="shared" si="3"/>
        <v>1.0249999999999999</v>
      </c>
      <c r="AE31" s="548">
        <f t="shared" si="3"/>
        <v>1.0249999999999999</v>
      </c>
      <c r="AF31" s="548">
        <f t="shared" si="3"/>
        <v>1.0249999999999999</v>
      </c>
      <c r="AG31" s="548">
        <f t="shared" si="3"/>
        <v>1.0249999999999999</v>
      </c>
      <c r="AH31" s="548">
        <f t="shared" si="3"/>
        <v>1.0506249999999999</v>
      </c>
      <c r="AI31" s="548">
        <f t="shared" si="3"/>
        <v>1.0506249999999999</v>
      </c>
      <c r="AJ31" s="548">
        <f t="shared" si="3"/>
        <v>1.0506249999999999</v>
      </c>
      <c r="AK31" s="548">
        <f t="shared" si="3"/>
        <v>1.0506249999999999</v>
      </c>
      <c r="AL31" s="548">
        <f t="shared" si="3"/>
        <v>1.0768906249999999</v>
      </c>
      <c r="AM31" s="548">
        <f t="shared" si="3"/>
        <v>1.0768906249999999</v>
      </c>
      <c r="AN31" s="548">
        <f t="shared" si="3"/>
        <v>1.0768906249999999</v>
      </c>
      <c r="AO31" s="548">
        <f t="shared" si="3"/>
        <v>1.0768906249999999</v>
      </c>
      <c r="AP31" s="548">
        <f t="shared" si="3"/>
        <v>1.1038128906249998</v>
      </c>
      <c r="AQ31" s="548">
        <f t="shared" si="3"/>
        <v>1.1038128906249998</v>
      </c>
      <c r="AR31" s="548">
        <f t="shared" si="3"/>
        <v>1.1038128906249998</v>
      </c>
      <c r="AS31" s="548">
        <f t="shared" si="3"/>
        <v>1.1038128906249998</v>
      </c>
      <c r="AT31" s="548">
        <f t="shared" si="3"/>
        <v>1.1314082128906247</v>
      </c>
      <c r="AU31" s="548">
        <f t="shared" si="3"/>
        <v>1.1314082128906247</v>
      </c>
      <c r="AV31" s="548">
        <f t="shared" si="3"/>
        <v>1.1314082128906247</v>
      </c>
      <c r="AW31" s="548">
        <f t="shared" si="3"/>
        <v>1.1314082128906247</v>
      </c>
      <c r="AX31" s="548">
        <f t="shared" si="3"/>
        <v>1.1596934182128902</v>
      </c>
      <c r="AY31" s="548">
        <f t="shared" si="3"/>
        <v>1.1596934182128902</v>
      </c>
      <c r="AZ31" s="548">
        <f t="shared" si="3"/>
        <v>1.1596934182128902</v>
      </c>
      <c r="BA31" s="548">
        <f t="shared" si="3"/>
        <v>1.1596934182128902</v>
      </c>
      <c r="BB31" s="548">
        <f t="shared" si="3"/>
        <v>1.1886857536682123</v>
      </c>
      <c r="BC31" s="548">
        <f t="shared" si="3"/>
        <v>1.1886857536682123</v>
      </c>
      <c r="BD31" s="548">
        <f t="shared" si="3"/>
        <v>1.1886857536682123</v>
      </c>
      <c r="BE31" s="548">
        <f t="shared" si="3"/>
        <v>1.1886857536682123</v>
      </c>
      <c r="BF31" s="548">
        <f t="shared" si="3"/>
        <v>1.2184028975099175</v>
      </c>
      <c r="BG31" s="548">
        <f t="shared" si="3"/>
        <v>1.2184028975099175</v>
      </c>
      <c r="BH31" s="548">
        <f t="shared" si="3"/>
        <v>1.2184028975099175</v>
      </c>
      <c r="BI31" s="548">
        <f t="shared" si="3"/>
        <v>1.2184028975099175</v>
      </c>
      <c r="BJ31" s="548">
        <f t="shared" si="3"/>
        <v>1.2488629699476652</v>
      </c>
      <c r="BK31" s="548">
        <f t="shared" si="3"/>
        <v>1.2488629699476652</v>
      </c>
      <c r="BL31" s="548">
        <f t="shared" si="3"/>
        <v>1.2488629699476652</v>
      </c>
      <c r="BM31" s="548">
        <f t="shared" si="3"/>
        <v>1.2488629699476652</v>
      </c>
      <c r="BN31" s="548">
        <f t="shared" si="3"/>
        <v>1.2800845441963566</v>
      </c>
      <c r="BO31" s="548">
        <f t="shared" si="3"/>
        <v>1.2800845441963566</v>
      </c>
      <c r="BP31" s="548">
        <f t="shared" si="3"/>
        <v>1.2800845441963566</v>
      </c>
      <c r="BQ31" s="548">
        <f t="shared" si="3"/>
        <v>1.2800845441963566</v>
      </c>
      <c r="BR31" s="548">
        <f t="shared" si="3"/>
        <v>1.3120866578012655</v>
      </c>
      <c r="BS31" s="548">
        <f t="shared" si="3"/>
        <v>1.3120866578012655</v>
      </c>
      <c r="BT31" s="548">
        <f t="shared" si="3"/>
        <v>1.3120866578012655</v>
      </c>
      <c r="BU31" s="548">
        <f t="shared" si="3"/>
        <v>1.3120866578012655</v>
      </c>
      <c r="BV31" s="548">
        <f t="shared" si="3"/>
        <v>1.3448888242462971</v>
      </c>
      <c r="BW31" s="548">
        <f t="shared" si="3"/>
        <v>1.3448888242462971</v>
      </c>
      <c r="BX31" s="548">
        <f t="shared" si="3"/>
        <v>1.3448888242462971</v>
      </c>
      <c r="BY31" s="548">
        <f t="shared" si="3"/>
        <v>1.3448888242462971</v>
      </c>
      <c r="BZ31" s="548">
        <f t="shared" si="3"/>
        <v>1.3785110448524545</v>
      </c>
      <c r="CA31" s="548">
        <f t="shared" si="3"/>
        <v>1.3785110448524545</v>
      </c>
      <c r="CB31" s="548">
        <f t="shared" si="3"/>
        <v>1.3785110448524545</v>
      </c>
      <c r="CC31" s="548">
        <f t="shared" si="3"/>
        <v>1.3785110448524545</v>
      </c>
      <c r="CD31" s="548">
        <f t="shared" si="3"/>
        <v>1.4129738209737657</v>
      </c>
      <c r="CE31" s="548">
        <f t="shared" si="3"/>
        <v>1.4129738209737657</v>
      </c>
      <c r="CF31" s="548">
        <f t="shared" si="3"/>
        <v>1.4129738209737657</v>
      </c>
      <c r="CG31" s="548">
        <f t="shared" si="3"/>
        <v>1.4129738209737657</v>
      </c>
      <c r="CH31" s="548">
        <f t="shared" si="3"/>
        <v>1.4482981664981096</v>
      </c>
      <c r="CI31" s="548">
        <f t="shared" si="3"/>
        <v>1.4482981664981096</v>
      </c>
      <c r="CJ31" s="548">
        <f t="shared" si="3"/>
        <v>1.4482981664981096</v>
      </c>
      <c r="CK31" s="548">
        <f t="shared" si="3"/>
        <v>1.4482981664981096</v>
      </c>
      <c r="CL31" s="548">
        <f t="shared" si="3"/>
        <v>1.4845056206605622</v>
      </c>
      <c r="CM31" s="548">
        <f t="shared" si="3"/>
        <v>1.4845056206605622</v>
      </c>
      <c r="CN31" s="548">
        <f t="shared" si="3"/>
        <v>1.4845056206605622</v>
      </c>
      <c r="CO31" s="548">
        <f t="shared" si="3"/>
        <v>1.4845056206605622</v>
      </c>
      <c r="CP31" s="548">
        <f t="shared" si="3"/>
        <v>1.5216182611770761</v>
      </c>
      <c r="CQ31" s="548">
        <f t="shared" si="3"/>
        <v>1.5216182611770761</v>
      </c>
      <c r="CR31" s="548">
        <f t="shared" si="3"/>
        <v>1.5216182611770761</v>
      </c>
      <c r="CS31" s="548">
        <f t="shared" si="3"/>
        <v>1.5216182611770761</v>
      </c>
      <c r="CT31" s="548">
        <f t="shared" si="3"/>
        <v>1.5596587177065029</v>
      </c>
      <c r="CU31" s="548">
        <f t="shared" si="3"/>
        <v>1.5596587177065029</v>
      </c>
      <c r="CV31" s="548">
        <f t="shared" si="3"/>
        <v>1.5596587177065029</v>
      </c>
      <c r="CW31" s="548">
        <f t="shared" si="3"/>
        <v>1.5596587177065029</v>
      </c>
      <c r="CX31" s="548">
        <f t="shared" si="3"/>
        <v>1.5986501856491653</v>
      </c>
      <c r="CY31" s="548">
        <f t="shared" si="3"/>
        <v>1.5986501856491653</v>
      </c>
      <c r="CZ31" s="548">
        <f t="shared" si="3"/>
        <v>1.5986501856491653</v>
      </c>
      <c r="DA31" s="548">
        <f t="shared" si="3"/>
        <v>1.5986501856491653</v>
      </c>
      <c r="DB31" s="548">
        <f t="shared" si="3"/>
        <v>1.6386164402903942</v>
      </c>
      <c r="DC31" s="548">
        <f t="shared" si="3"/>
        <v>1.6386164402903942</v>
      </c>
      <c r="DD31" s="548">
        <f t="shared" si="3"/>
        <v>1.6386164402903942</v>
      </c>
      <c r="DE31" s="548">
        <f t="shared" si="3"/>
        <v>1.6386164402903942</v>
      </c>
      <c r="DF31" s="548">
        <f t="shared" si="3"/>
        <v>1.6795818512976539</v>
      </c>
      <c r="DG31" s="548">
        <f t="shared" si="3"/>
        <v>1.6795818512976539</v>
      </c>
      <c r="DH31" s="548">
        <f t="shared" si="3"/>
        <v>1.6795818512976539</v>
      </c>
      <c r="DI31" s="548">
        <f t="shared" si="3"/>
        <v>1.6795818512976539</v>
      </c>
      <c r="DJ31" s="548">
        <f t="shared" si="3"/>
        <v>1.721571397580095</v>
      </c>
      <c r="DK31" s="548">
        <f t="shared" si="3"/>
        <v>1.721571397580095</v>
      </c>
      <c r="DL31" s="548">
        <f t="shared" si="3"/>
        <v>1.721571397580095</v>
      </c>
      <c r="DM31" s="548">
        <f t="shared" si="3"/>
        <v>1.721571397580095</v>
      </c>
      <c r="DN31" s="548">
        <f t="shared" si="3"/>
        <v>1.7646106825195973</v>
      </c>
      <c r="DO31" s="548">
        <f t="shared" si="3"/>
        <v>1.7646106825195973</v>
      </c>
      <c r="DP31" s="548">
        <f t="shared" si="3"/>
        <v>1.7646106825195973</v>
      </c>
      <c r="DQ31" s="548">
        <f t="shared" si="3"/>
        <v>1.7646106825195973</v>
      </c>
      <c r="DR31" s="548">
        <f t="shared" si="3"/>
        <v>1.8087259495825871</v>
      </c>
      <c r="DS31" s="548">
        <f t="shared" si="3"/>
        <v>1.8087259495825871</v>
      </c>
      <c r="DT31" s="548">
        <f t="shared" si="3"/>
        <v>1.8087259495825871</v>
      </c>
      <c r="DU31" s="548">
        <f t="shared" si="3"/>
        <v>1.8087259495825871</v>
      </c>
      <c r="DV31" s="548">
        <f t="shared" si="3"/>
        <v>1.8539440983221516</v>
      </c>
      <c r="DW31" s="548">
        <f t="shared" si="3"/>
        <v>1.8539440983221516</v>
      </c>
      <c r="DX31" s="548">
        <f t="shared" si="3"/>
        <v>1.8539440983221516</v>
      </c>
      <c r="DY31" s="548">
        <f t="shared" si="3"/>
        <v>1.8539440983221516</v>
      </c>
      <c r="DZ31" s="548">
        <f t="shared" si="3"/>
        <v>1.9002927007802053</v>
      </c>
      <c r="EA31" s="548">
        <f t="shared" si="3"/>
        <v>1.9002927007802053</v>
      </c>
      <c r="EB31" s="548">
        <f t="shared" si="3"/>
        <v>1.9002927007802053</v>
      </c>
      <c r="EC31" s="548">
        <f t="shared" si="3"/>
        <v>1.9002927007802053</v>
      </c>
      <c r="ED31" s="548">
        <f t="shared" si="3"/>
        <v>1.9478000182997102</v>
      </c>
      <c r="EE31" s="548">
        <f t="shared" si="3"/>
        <v>1.9478000182997102</v>
      </c>
      <c r="EF31" s="548">
        <f t="shared" si="3"/>
        <v>1.9478000182997102</v>
      </c>
      <c r="EG31" s="548">
        <f t="shared" si="3"/>
        <v>1.9478000182997102</v>
      </c>
    </row>
    <row r="32" spans="5:137" ht="12.75">
      <c r="E32" s="538" t="str">
        <f>E$28</f>
        <v>RPI index - factor</v>
      </c>
      <c r="G32" s="548" t="str">
        <f>G$28</f>
        <v>index</v>
      </c>
      <c r="H32" s="548">
        <f>H$28</f>
        <v>187.96369009830147</v>
      </c>
      <c r="J32" s="548">
        <f t="shared" si="4" ref="J32:EG32">J$28</f>
        <v>1</v>
      </c>
      <c r="K32" s="548">
        <f t="shared" si="4"/>
        <v>1</v>
      </c>
      <c r="L32" s="548">
        <f t="shared" si="4"/>
        <v>1</v>
      </c>
      <c r="M32" s="548">
        <f t="shared" si="4"/>
        <v>1</v>
      </c>
      <c r="N32" s="548">
        <f t="shared" si="4"/>
        <v>1</v>
      </c>
      <c r="O32" s="548">
        <f t="shared" si="4"/>
        <v>1</v>
      </c>
      <c r="P32" s="548">
        <f t="shared" si="4"/>
        <v>1</v>
      </c>
      <c r="Q32" s="548">
        <f t="shared" si="4"/>
        <v>1</v>
      </c>
      <c r="R32" s="548">
        <f t="shared" si="4"/>
        <v>1</v>
      </c>
      <c r="S32" s="548">
        <f t="shared" si="4"/>
        <v>1</v>
      </c>
      <c r="T32" s="548">
        <f t="shared" si="4"/>
        <v>1</v>
      </c>
      <c r="U32" s="548">
        <f t="shared" si="4"/>
        <v>1</v>
      </c>
      <c r="V32" s="548">
        <f t="shared" si="4"/>
        <v>1.03</v>
      </c>
      <c r="W32" s="548">
        <f t="shared" si="4"/>
        <v>1.03</v>
      </c>
      <c r="X32" s="548">
        <f t="shared" si="4"/>
        <v>1.03</v>
      </c>
      <c r="Y32" s="548">
        <f t="shared" si="4"/>
        <v>1.03</v>
      </c>
      <c r="Z32" s="548">
        <f t="shared" si="4"/>
        <v>1.03</v>
      </c>
      <c r="AA32" s="548">
        <f t="shared" si="4"/>
        <v>1.03</v>
      </c>
      <c r="AB32" s="548">
        <f t="shared" si="4"/>
        <v>1.03</v>
      </c>
      <c r="AC32" s="548">
        <f t="shared" si="4"/>
        <v>1.03</v>
      </c>
      <c r="AD32" s="548">
        <f t="shared" si="4"/>
        <v>1.03</v>
      </c>
      <c r="AE32" s="548">
        <f t="shared" si="4"/>
        <v>1.03</v>
      </c>
      <c r="AF32" s="548">
        <f t="shared" si="4"/>
        <v>1.03</v>
      </c>
      <c r="AG32" s="548">
        <f t="shared" si="4"/>
        <v>1.03</v>
      </c>
      <c r="AH32" s="548">
        <f t="shared" si="4"/>
        <v>1.0609</v>
      </c>
      <c r="AI32" s="548">
        <f t="shared" si="4"/>
        <v>1.0609</v>
      </c>
      <c r="AJ32" s="548">
        <f t="shared" si="4"/>
        <v>1.0609</v>
      </c>
      <c r="AK32" s="548">
        <f t="shared" si="4"/>
        <v>1.0609</v>
      </c>
      <c r="AL32" s="548">
        <f t="shared" si="4"/>
        <v>1.092727</v>
      </c>
      <c r="AM32" s="548">
        <f t="shared" si="4"/>
        <v>1.092727</v>
      </c>
      <c r="AN32" s="548">
        <f t="shared" si="4"/>
        <v>1.092727</v>
      </c>
      <c r="AO32" s="548">
        <f t="shared" si="4"/>
        <v>1.092727</v>
      </c>
      <c r="AP32" s="548">
        <f t="shared" si="4"/>
        <v>1.1255088100000001</v>
      </c>
      <c r="AQ32" s="548">
        <f t="shared" si="4"/>
        <v>1.1255088100000001</v>
      </c>
      <c r="AR32" s="548">
        <f t="shared" si="4"/>
        <v>1.1255088100000001</v>
      </c>
      <c r="AS32" s="548">
        <f t="shared" si="4"/>
        <v>1.1255088100000001</v>
      </c>
      <c r="AT32" s="548">
        <f t="shared" si="4"/>
        <v>1.1592740743000001</v>
      </c>
      <c r="AU32" s="548">
        <f t="shared" si="4"/>
        <v>1.1592740743000001</v>
      </c>
      <c r="AV32" s="548">
        <f t="shared" si="4"/>
        <v>1.1592740743000001</v>
      </c>
      <c r="AW32" s="548">
        <f t="shared" si="4"/>
        <v>1.1592740743000001</v>
      </c>
      <c r="AX32" s="548">
        <f t="shared" si="4"/>
        <v>1.1940522965290001</v>
      </c>
      <c r="AY32" s="548">
        <f t="shared" si="4"/>
        <v>1.1940522965290001</v>
      </c>
      <c r="AZ32" s="548">
        <f t="shared" si="4"/>
        <v>1.1940522965290001</v>
      </c>
      <c r="BA32" s="548">
        <f t="shared" si="4"/>
        <v>1.1940522965290001</v>
      </c>
      <c r="BB32" s="548">
        <f t="shared" si="4"/>
        <v>1.2298738654248702</v>
      </c>
      <c r="BC32" s="548">
        <f t="shared" si="4"/>
        <v>1.2298738654248702</v>
      </c>
      <c r="BD32" s="548">
        <f t="shared" si="4"/>
        <v>1.2298738654248702</v>
      </c>
      <c r="BE32" s="548">
        <f t="shared" si="4"/>
        <v>1.2298738654248702</v>
      </c>
      <c r="BF32" s="548">
        <f t="shared" si="4"/>
        <v>1.2667700813876164</v>
      </c>
      <c r="BG32" s="548">
        <f t="shared" si="4"/>
        <v>1.2667700813876164</v>
      </c>
      <c r="BH32" s="548">
        <f t="shared" si="4"/>
        <v>1.2667700813876164</v>
      </c>
      <c r="BI32" s="548">
        <f t="shared" si="4"/>
        <v>1.2667700813876164</v>
      </c>
      <c r="BJ32" s="548">
        <f t="shared" si="4"/>
        <v>1.3047731838292449</v>
      </c>
      <c r="BK32" s="548">
        <f t="shared" si="4"/>
        <v>1.3047731838292449</v>
      </c>
      <c r="BL32" s="548">
        <f t="shared" si="4"/>
        <v>1.3047731838292449</v>
      </c>
      <c r="BM32" s="548">
        <f t="shared" si="4"/>
        <v>1.3047731838292449</v>
      </c>
      <c r="BN32" s="548">
        <f t="shared" si="4"/>
        <v>1.3439163793441222</v>
      </c>
      <c r="BO32" s="548">
        <f t="shared" si="4"/>
        <v>1.3439163793441222</v>
      </c>
      <c r="BP32" s="548">
        <f t="shared" si="4"/>
        <v>1.3439163793441222</v>
      </c>
      <c r="BQ32" s="548">
        <f t="shared" si="4"/>
        <v>1.3439163793441222</v>
      </c>
      <c r="BR32" s="548">
        <f t="shared" si="4"/>
        <v>1.3842338707244459</v>
      </c>
      <c r="BS32" s="548">
        <f t="shared" si="4"/>
        <v>1.3842338707244459</v>
      </c>
      <c r="BT32" s="548">
        <f t="shared" si="4"/>
        <v>1.3842338707244459</v>
      </c>
      <c r="BU32" s="548">
        <f t="shared" si="4"/>
        <v>1.3842338707244459</v>
      </c>
      <c r="BV32" s="548">
        <f t="shared" si="4"/>
        <v>1.4257608868461793</v>
      </c>
      <c r="BW32" s="548">
        <f t="shared" si="4"/>
        <v>1.4257608868461793</v>
      </c>
      <c r="BX32" s="548">
        <f t="shared" si="4"/>
        <v>1.4257608868461793</v>
      </c>
      <c r="BY32" s="548">
        <f t="shared" si="4"/>
        <v>1.4257608868461793</v>
      </c>
      <c r="BZ32" s="548">
        <f t="shared" si="4"/>
        <v>1.4685337134515648</v>
      </c>
      <c r="CA32" s="548">
        <f t="shared" si="4"/>
        <v>1.4685337134515648</v>
      </c>
      <c r="CB32" s="548">
        <f t="shared" si="4"/>
        <v>1.4685337134515648</v>
      </c>
      <c r="CC32" s="548">
        <f t="shared" si="4"/>
        <v>1.4685337134515648</v>
      </c>
      <c r="CD32" s="548">
        <f t="shared" si="4"/>
        <v>1.5125897248551119</v>
      </c>
      <c r="CE32" s="548">
        <f t="shared" si="4"/>
        <v>1.5125897248551119</v>
      </c>
      <c r="CF32" s="548">
        <f t="shared" si="4"/>
        <v>1.5125897248551119</v>
      </c>
      <c r="CG32" s="548">
        <f t="shared" si="4"/>
        <v>1.5125897248551119</v>
      </c>
      <c r="CH32" s="548">
        <f t="shared" si="4"/>
        <v>1.5579674166007653</v>
      </c>
      <c r="CI32" s="548">
        <f t="shared" si="4"/>
        <v>1.5579674166007653</v>
      </c>
      <c r="CJ32" s="548">
        <f t="shared" si="4"/>
        <v>1.5579674166007653</v>
      </c>
      <c r="CK32" s="548">
        <f t="shared" si="4"/>
        <v>1.5579674166007653</v>
      </c>
      <c r="CL32" s="548">
        <f t="shared" si="4"/>
        <v>1.6047064390987884</v>
      </c>
      <c r="CM32" s="548">
        <f t="shared" si="4"/>
        <v>1.6047064390987884</v>
      </c>
      <c r="CN32" s="548">
        <f t="shared" si="4"/>
        <v>1.6047064390987884</v>
      </c>
      <c r="CO32" s="548">
        <f t="shared" si="4"/>
        <v>1.6047064390987884</v>
      </c>
      <c r="CP32" s="548">
        <f t="shared" si="4"/>
        <v>1.652847632271752</v>
      </c>
      <c r="CQ32" s="548">
        <f t="shared" si="4"/>
        <v>1.652847632271752</v>
      </c>
      <c r="CR32" s="548">
        <f t="shared" si="4"/>
        <v>1.652847632271752</v>
      </c>
      <c r="CS32" s="548">
        <f t="shared" si="4"/>
        <v>1.652847632271752</v>
      </c>
      <c r="CT32" s="548">
        <f t="shared" si="4"/>
        <v>1.7024330612399046</v>
      </c>
      <c r="CU32" s="548">
        <f t="shared" si="4"/>
        <v>1.7024330612399046</v>
      </c>
      <c r="CV32" s="548">
        <f t="shared" si="4"/>
        <v>1.7024330612399046</v>
      </c>
      <c r="CW32" s="548">
        <f t="shared" si="4"/>
        <v>1.7024330612399046</v>
      </c>
      <c r="CX32" s="548">
        <f t="shared" si="4"/>
        <v>1.7535060530771018</v>
      </c>
      <c r="CY32" s="548">
        <f t="shared" si="4"/>
        <v>1.7535060530771018</v>
      </c>
      <c r="CZ32" s="548">
        <f t="shared" si="4"/>
        <v>1.7535060530771018</v>
      </c>
      <c r="DA32" s="548">
        <f t="shared" si="4"/>
        <v>1.7535060530771018</v>
      </c>
      <c r="DB32" s="548">
        <f t="shared" si="4"/>
        <v>1.806111234669415</v>
      </c>
      <c r="DC32" s="548">
        <f t="shared" si="4"/>
        <v>1.806111234669415</v>
      </c>
      <c r="DD32" s="548">
        <f t="shared" si="4"/>
        <v>1.806111234669415</v>
      </c>
      <c r="DE32" s="548">
        <f t="shared" si="4"/>
        <v>1.806111234669415</v>
      </c>
      <c r="DF32" s="548">
        <f t="shared" si="4"/>
        <v>1.8602945717094976</v>
      </c>
      <c r="DG32" s="548">
        <f t="shared" si="4"/>
        <v>1.8602945717094976</v>
      </c>
      <c r="DH32" s="548">
        <f t="shared" si="4"/>
        <v>1.8602945717094976</v>
      </c>
      <c r="DI32" s="548">
        <f t="shared" si="4"/>
        <v>1.8602945717094976</v>
      </c>
      <c r="DJ32" s="548">
        <f t="shared" si="4"/>
        <v>1.9161034088607827</v>
      </c>
      <c r="DK32" s="548">
        <f t="shared" si="4"/>
        <v>1.9161034088607827</v>
      </c>
      <c r="DL32" s="548">
        <f t="shared" si="4"/>
        <v>1.9161034088607827</v>
      </c>
      <c r="DM32" s="548">
        <f t="shared" si="4"/>
        <v>1.9161034088607827</v>
      </c>
      <c r="DN32" s="548">
        <f t="shared" si="4"/>
        <v>1.9735865111266062</v>
      </c>
      <c r="DO32" s="548">
        <f t="shared" si="4"/>
        <v>1.9735865111266062</v>
      </c>
      <c r="DP32" s="548">
        <f t="shared" si="4"/>
        <v>1.9735865111266062</v>
      </c>
      <c r="DQ32" s="548">
        <f t="shared" si="4"/>
        <v>1.9735865111266062</v>
      </c>
      <c r="DR32" s="548">
        <f t="shared" si="4"/>
        <v>2.0327941064604045</v>
      </c>
      <c r="DS32" s="548">
        <f t="shared" si="4"/>
        <v>2.0327941064604045</v>
      </c>
      <c r="DT32" s="548">
        <f t="shared" si="4"/>
        <v>2.0327941064604045</v>
      </c>
      <c r="DU32" s="548">
        <f t="shared" si="4"/>
        <v>2.0327941064604045</v>
      </c>
      <c r="DV32" s="548">
        <f t="shared" si="4"/>
        <v>2.0937779296542165</v>
      </c>
      <c r="DW32" s="548">
        <f t="shared" si="4"/>
        <v>2.0937779296542165</v>
      </c>
      <c r="DX32" s="548">
        <f t="shared" si="4"/>
        <v>2.0937779296542165</v>
      </c>
      <c r="DY32" s="548">
        <f t="shared" si="4"/>
        <v>2.0937779296542165</v>
      </c>
      <c r="DZ32" s="548">
        <f t="shared" si="4"/>
        <v>2.1565912675438432</v>
      </c>
      <c r="EA32" s="548">
        <f t="shared" si="4"/>
        <v>2.1565912675438432</v>
      </c>
      <c r="EB32" s="548">
        <f t="shared" si="4"/>
        <v>2.1565912675438432</v>
      </c>
      <c r="EC32" s="548">
        <f t="shared" si="4"/>
        <v>2.1565912675438432</v>
      </c>
      <c r="ED32" s="548">
        <f t="shared" si="4"/>
        <v>2.2212890055701586</v>
      </c>
      <c r="EE32" s="548">
        <f t="shared" si="4"/>
        <v>2.2212890055701586</v>
      </c>
      <c r="EF32" s="548">
        <f t="shared" si="4"/>
        <v>2.2212890055701586</v>
      </c>
      <c r="EG32" s="548">
        <f t="shared" si="4"/>
        <v>2.2212890055701586</v>
      </c>
    </row>
    <row r="33" spans="5:137" ht="12.75">
      <c r="E33" s="538" t="s">
        <v>256</v>
      </c>
      <c r="G33" s="548" t="s">
        <v>253</v>
      </c>
      <c r="H33" s="548">
        <f>SUM(J33:EG33)</f>
        <v>181.80144654972725</v>
      </c>
      <c r="J33" s="548">
        <f t="shared" si="5" ref="J33:EG33">$F30*J31+(1-$F30)*J32</f>
        <v>1</v>
      </c>
      <c r="K33" s="548">
        <f t="shared" si="5"/>
        <v>1</v>
      </c>
      <c r="L33" s="548">
        <f t="shared" si="5"/>
        <v>1</v>
      </c>
      <c r="M33" s="548">
        <f t="shared" si="5"/>
        <v>1</v>
      </c>
      <c r="N33" s="548">
        <f t="shared" si="5"/>
        <v>1</v>
      </c>
      <c r="O33" s="548">
        <f t="shared" si="5"/>
        <v>1</v>
      </c>
      <c r="P33" s="548">
        <f t="shared" si="5"/>
        <v>1</v>
      </c>
      <c r="Q33" s="548">
        <f t="shared" si="5"/>
        <v>1</v>
      </c>
      <c r="R33" s="548">
        <f t="shared" si="5"/>
        <v>1</v>
      </c>
      <c r="S33" s="548">
        <f t="shared" si="5"/>
        <v>1</v>
      </c>
      <c r="T33" s="548">
        <f t="shared" si="5"/>
        <v>1</v>
      </c>
      <c r="U33" s="548">
        <f t="shared" si="5"/>
        <v>1</v>
      </c>
      <c r="V33" s="548">
        <f t="shared" si="5"/>
        <v>1.0274999999999999</v>
      </c>
      <c r="W33" s="548">
        <f t="shared" si="5"/>
        <v>1.0274999999999999</v>
      </c>
      <c r="X33" s="548">
        <f t="shared" si="5"/>
        <v>1.0274999999999999</v>
      </c>
      <c r="Y33" s="548">
        <f t="shared" si="5"/>
        <v>1.0274999999999999</v>
      </c>
      <c r="Z33" s="548">
        <f t="shared" si="5"/>
        <v>1.0274999999999999</v>
      </c>
      <c r="AA33" s="548">
        <f t="shared" si="5"/>
        <v>1.0274999999999999</v>
      </c>
      <c r="AB33" s="548">
        <f t="shared" si="5"/>
        <v>1.0274999999999999</v>
      </c>
      <c r="AC33" s="548">
        <f t="shared" si="5"/>
        <v>1.0274999999999999</v>
      </c>
      <c r="AD33" s="548">
        <f t="shared" si="5"/>
        <v>1.0274999999999999</v>
      </c>
      <c r="AE33" s="548">
        <f t="shared" si="5"/>
        <v>1.0274999999999999</v>
      </c>
      <c r="AF33" s="548">
        <f t="shared" si="5"/>
        <v>1.0274999999999999</v>
      </c>
      <c r="AG33" s="548">
        <f t="shared" si="5"/>
        <v>1.0274999999999999</v>
      </c>
      <c r="AH33" s="548">
        <f t="shared" si="5"/>
        <v>1.0557624999999999</v>
      </c>
      <c r="AI33" s="548">
        <f t="shared" si="5"/>
        <v>1.0557624999999999</v>
      </c>
      <c r="AJ33" s="548">
        <f t="shared" si="5"/>
        <v>1.0557624999999999</v>
      </c>
      <c r="AK33" s="548">
        <f t="shared" si="5"/>
        <v>1.0557624999999999</v>
      </c>
      <c r="AL33" s="548">
        <f t="shared" si="5"/>
        <v>1.0848088124999999</v>
      </c>
      <c r="AM33" s="548">
        <f t="shared" si="5"/>
        <v>1.0848088124999999</v>
      </c>
      <c r="AN33" s="548">
        <f t="shared" si="5"/>
        <v>1.0848088124999999</v>
      </c>
      <c r="AO33" s="548">
        <f t="shared" si="5"/>
        <v>1.0848088124999999</v>
      </c>
      <c r="AP33" s="548">
        <f t="shared" si="5"/>
        <v>1.1146608503125</v>
      </c>
      <c r="AQ33" s="548">
        <f t="shared" si="5"/>
        <v>1.1146608503125</v>
      </c>
      <c r="AR33" s="548">
        <f t="shared" si="5"/>
        <v>1.1146608503125</v>
      </c>
      <c r="AS33" s="548">
        <f t="shared" si="5"/>
        <v>1.1146608503125</v>
      </c>
      <c r="AT33" s="548">
        <f t="shared" si="5"/>
        <v>1.1453411435953122</v>
      </c>
      <c r="AU33" s="548">
        <f t="shared" si="5"/>
        <v>1.1453411435953122</v>
      </c>
      <c r="AV33" s="548">
        <f t="shared" si="5"/>
        <v>1.1453411435953122</v>
      </c>
      <c r="AW33" s="548">
        <f t="shared" si="5"/>
        <v>1.1453411435953122</v>
      </c>
      <c r="AX33" s="548">
        <f t="shared" si="5"/>
        <v>1.1768728573709453</v>
      </c>
      <c r="AY33" s="548">
        <f t="shared" si="5"/>
        <v>1.1768728573709453</v>
      </c>
      <c r="AZ33" s="548">
        <f t="shared" si="5"/>
        <v>1.1768728573709453</v>
      </c>
      <c r="BA33" s="548">
        <f t="shared" si="5"/>
        <v>1.1768728573709453</v>
      </c>
      <c r="BB33" s="548">
        <f t="shared" si="5"/>
        <v>1.2092798095465414</v>
      </c>
      <c r="BC33" s="548">
        <f t="shared" si="5"/>
        <v>1.2092798095465414</v>
      </c>
      <c r="BD33" s="548">
        <f t="shared" si="5"/>
        <v>1.2092798095465414</v>
      </c>
      <c r="BE33" s="548">
        <f t="shared" si="5"/>
        <v>1.2092798095465414</v>
      </c>
      <c r="BF33" s="548">
        <f t="shared" si="5"/>
        <v>1.242586489448767</v>
      </c>
      <c r="BG33" s="548">
        <f t="shared" si="5"/>
        <v>1.242586489448767</v>
      </c>
      <c r="BH33" s="548">
        <f t="shared" si="5"/>
        <v>1.242586489448767</v>
      </c>
      <c r="BI33" s="548">
        <f t="shared" si="5"/>
        <v>1.242586489448767</v>
      </c>
      <c r="BJ33" s="548">
        <f t="shared" si="5"/>
        <v>1.2768180768884552</v>
      </c>
      <c r="BK33" s="548">
        <f t="shared" si="5"/>
        <v>1.2768180768884552</v>
      </c>
      <c r="BL33" s="548">
        <f t="shared" si="5"/>
        <v>1.2768180768884552</v>
      </c>
      <c r="BM33" s="548">
        <f t="shared" si="5"/>
        <v>1.2768180768884552</v>
      </c>
      <c r="BN33" s="548">
        <f t="shared" si="5"/>
        <v>1.3120004617702394</v>
      </c>
      <c r="BO33" s="548">
        <f t="shared" si="5"/>
        <v>1.3120004617702394</v>
      </c>
      <c r="BP33" s="548">
        <f t="shared" si="5"/>
        <v>1.3120004617702394</v>
      </c>
      <c r="BQ33" s="548">
        <f t="shared" si="5"/>
        <v>1.3120004617702394</v>
      </c>
      <c r="BR33" s="548">
        <f t="shared" si="5"/>
        <v>1.3481602642628556</v>
      </c>
      <c r="BS33" s="548">
        <f t="shared" si="5"/>
        <v>1.3481602642628556</v>
      </c>
      <c r="BT33" s="548">
        <f t="shared" si="5"/>
        <v>1.3481602642628556</v>
      </c>
      <c r="BU33" s="548">
        <f t="shared" si="5"/>
        <v>1.3481602642628556</v>
      </c>
      <c r="BV33" s="548">
        <f t="shared" si="5"/>
        <v>1.3853248555462381</v>
      </c>
      <c r="BW33" s="548">
        <f t="shared" si="5"/>
        <v>1.3853248555462381</v>
      </c>
      <c r="BX33" s="548">
        <f t="shared" si="5"/>
        <v>1.3853248555462381</v>
      </c>
      <c r="BY33" s="548">
        <f t="shared" si="5"/>
        <v>1.3853248555462381</v>
      </c>
      <c r="BZ33" s="548">
        <f t="shared" si="5"/>
        <v>1.4235223791520095</v>
      </c>
      <c r="CA33" s="548">
        <f t="shared" si="5"/>
        <v>1.4235223791520095</v>
      </c>
      <c r="CB33" s="548">
        <f t="shared" si="5"/>
        <v>1.4235223791520095</v>
      </c>
      <c r="CC33" s="548">
        <f t="shared" si="5"/>
        <v>1.4235223791520095</v>
      </c>
      <c r="CD33" s="548">
        <f t="shared" si="5"/>
        <v>1.4627817729144388</v>
      </c>
      <c r="CE33" s="548">
        <f t="shared" si="5"/>
        <v>1.4627817729144388</v>
      </c>
      <c r="CF33" s="548">
        <f t="shared" si="5"/>
        <v>1.4627817729144388</v>
      </c>
      <c r="CG33" s="548">
        <f t="shared" si="5"/>
        <v>1.4627817729144388</v>
      </c>
      <c r="CH33" s="548">
        <f t="shared" si="5"/>
        <v>1.5031327915494375</v>
      </c>
      <c r="CI33" s="548">
        <f t="shared" si="5"/>
        <v>1.5031327915494375</v>
      </c>
      <c r="CJ33" s="548">
        <f t="shared" si="5"/>
        <v>1.5031327915494375</v>
      </c>
      <c r="CK33" s="548">
        <f t="shared" si="5"/>
        <v>1.5031327915494375</v>
      </c>
      <c r="CL33" s="548">
        <f t="shared" si="5"/>
        <v>1.5446060298796753</v>
      </c>
      <c r="CM33" s="548">
        <f t="shared" si="5"/>
        <v>1.5446060298796753</v>
      </c>
      <c r="CN33" s="548">
        <f t="shared" si="5"/>
        <v>1.5446060298796753</v>
      </c>
      <c r="CO33" s="548">
        <f t="shared" si="5"/>
        <v>1.5446060298796753</v>
      </c>
      <c r="CP33" s="548">
        <f t="shared" si="5"/>
        <v>1.5872329467244142</v>
      </c>
      <c r="CQ33" s="548">
        <f t="shared" si="5"/>
        <v>1.5872329467244142</v>
      </c>
      <c r="CR33" s="548">
        <f t="shared" si="5"/>
        <v>1.5872329467244142</v>
      </c>
      <c r="CS33" s="548">
        <f t="shared" si="5"/>
        <v>1.5872329467244142</v>
      </c>
      <c r="CT33" s="548">
        <f t="shared" si="5"/>
        <v>1.6310458894732038</v>
      </c>
      <c r="CU33" s="548">
        <f t="shared" si="5"/>
        <v>1.6310458894732038</v>
      </c>
      <c r="CV33" s="548">
        <f t="shared" si="5"/>
        <v>1.6310458894732038</v>
      </c>
      <c r="CW33" s="548">
        <f t="shared" si="5"/>
        <v>1.6310458894732038</v>
      </c>
      <c r="CX33" s="548">
        <f t="shared" si="5"/>
        <v>1.6760781193631336</v>
      </c>
      <c r="CY33" s="548">
        <f t="shared" si="5"/>
        <v>1.6760781193631336</v>
      </c>
      <c r="CZ33" s="548">
        <f t="shared" si="5"/>
        <v>1.6760781193631336</v>
      </c>
      <c r="DA33" s="548">
        <f t="shared" si="5"/>
        <v>1.6760781193631336</v>
      </c>
      <c r="DB33" s="548">
        <f t="shared" si="5"/>
        <v>1.7223638374799046</v>
      </c>
      <c r="DC33" s="548">
        <f t="shared" si="5"/>
        <v>1.7223638374799046</v>
      </c>
      <c r="DD33" s="548">
        <f t="shared" si="5"/>
        <v>1.7223638374799046</v>
      </c>
      <c r="DE33" s="548">
        <f t="shared" si="5"/>
        <v>1.7223638374799046</v>
      </c>
      <c r="DF33" s="548">
        <f t="shared" si="5"/>
        <v>1.7699382115035758</v>
      </c>
      <c r="DG33" s="548">
        <f t="shared" si="5"/>
        <v>1.7699382115035758</v>
      </c>
      <c r="DH33" s="548">
        <f t="shared" si="5"/>
        <v>1.7699382115035758</v>
      </c>
      <c r="DI33" s="548">
        <f t="shared" si="5"/>
        <v>1.7699382115035758</v>
      </c>
      <c r="DJ33" s="548">
        <f t="shared" si="5"/>
        <v>1.8188374032204389</v>
      </c>
      <c r="DK33" s="548">
        <f t="shared" si="5"/>
        <v>1.8188374032204389</v>
      </c>
      <c r="DL33" s="548">
        <f t="shared" si="5"/>
        <v>1.8188374032204389</v>
      </c>
      <c r="DM33" s="548">
        <f t="shared" si="5"/>
        <v>1.8188374032204389</v>
      </c>
      <c r="DN33" s="548">
        <f t="shared" si="5"/>
        <v>1.8690985968231018</v>
      </c>
      <c r="DO33" s="548">
        <f t="shared" si="5"/>
        <v>1.8690985968231018</v>
      </c>
      <c r="DP33" s="548">
        <f t="shared" si="5"/>
        <v>1.8690985968231018</v>
      </c>
      <c r="DQ33" s="548">
        <f t="shared" si="5"/>
        <v>1.8690985968231018</v>
      </c>
      <c r="DR33" s="548">
        <f t="shared" si="5"/>
        <v>1.9207600280214958</v>
      </c>
      <c r="DS33" s="548">
        <f t="shared" si="5"/>
        <v>1.9207600280214958</v>
      </c>
      <c r="DT33" s="548">
        <f t="shared" si="5"/>
        <v>1.9207600280214958</v>
      </c>
      <c r="DU33" s="548">
        <f t="shared" si="5"/>
        <v>1.9207600280214958</v>
      </c>
      <c r="DV33" s="548">
        <f t="shared" si="5"/>
        <v>1.973861013988184</v>
      </c>
      <c r="DW33" s="548">
        <f t="shared" si="5"/>
        <v>1.973861013988184</v>
      </c>
      <c r="DX33" s="548">
        <f t="shared" si="5"/>
        <v>1.973861013988184</v>
      </c>
      <c r="DY33" s="548">
        <f t="shared" si="5"/>
        <v>1.973861013988184</v>
      </c>
      <c r="DZ33" s="548">
        <f t="shared" si="5"/>
        <v>2.0284419841620243</v>
      </c>
      <c r="EA33" s="548">
        <f t="shared" si="5"/>
        <v>2.0284419841620243</v>
      </c>
      <c r="EB33" s="548">
        <f t="shared" si="5"/>
        <v>2.0284419841620243</v>
      </c>
      <c r="EC33" s="548">
        <f t="shared" si="5"/>
        <v>2.0284419841620243</v>
      </c>
      <c r="ED33" s="548">
        <f t="shared" si="5"/>
        <v>2.0845445119349346</v>
      </c>
      <c r="EE33" s="548">
        <f t="shared" si="5"/>
        <v>2.0845445119349346</v>
      </c>
      <c r="EF33" s="548">
        <f t="shared" si="5"/>
        <v>2.0845445119349346</v>
      </c>
      <c r="EG33" s="548">
        <f t="shared" si="5"/>
        <v>2.0845445119349346</v>
      </c>
    </row>
    <row r="36" spans="1:1" ht="12.75">
      <c r="A36" s="534" t="s">
        <v>257</v>
      </c>
    </row>
    <row r="38" spans="5:7" ht="12.75">
      <c r="E38" s="535" t="str">
        <f>InpC!E$39</f>
        <v>Revenue A - annual amount</v>
      </c>
      <c r="F38" s="537">
        <f>InpC!F$39</f>
        <v>36000</v>
      </c>
      <c r="G38" s="537" t="str">
        <f>InpC!G$39</f>
        <v>EUR 000s</v>
      </c>
    </row>
    <row r="39" spans="5:7" ht="12.75">
      <c r="E39" s="535" t="str">
        <f>InpC!E$40</f>
        <v>Revenue B - annual amount</v>
      </c>
      <c r="F39" s="537">
        <f>InpC!F$40</f>
        <v>12000</v>
      </c>
      <c r="G39" s="537" t="str">
        <f>InpC!G$40</f>
        <v>EUR 000s</v>
      </c>
    </row>
    <row r="40" spans="5:137" ht="12.75">
      <c r="E40" s="535" t="str">
        <f>Time!E$178</f>
        <v>Year fraction of period</v>
      </c>
      <c r="G40" s="537" t="str">
        <f>Time!G$178</f>
        <v>fraction</v>
      </c>
      <c r="H40" s="537">
        <f>Time!H$178</f>
        <v>28</v>
      </c>
      <c r="J40" s="537">
        <f>Time!J$178</f>
        <v>0.083333333333333329</v>
      </c>
      <c r="K40" s="537">
        <f>Time!K$178</f>
        <v>0.083333333333333329</v>
      </c>
      <c r="L40" s="537">
        <f>Time!L$178</f>
        <v>0.083333333333333329</v>
      </c>
      <c r="M40" s="537">
        <f>Time!M$178</f>
        <v>0.083333333333333329</v>
      </c>
      <c r="N40" s="537">
        <f>Time!N$178</f>
        <v>0.083333333333333329</v>
      </c>
      <c r="O40" s="537">
        <f>Time!O$178</f>
        <v>0.083333333333333329</v>
      </c>
      <c r="P40" s="537">
        <f>Time!P$178</f>
        <v>0.083333333333333329</v>
      </c>
      <c r="Q40" s="537">
        <f>Time!Q$178</f>
        <v>0.083333333333333329</v>
      </c>
      <c r="R40" s="537">
        <f>Time!R$178</f>
        <v>0.083333333333333329</v>
      </c>
      <c r="S40" s="537">
        <f>Time!S$178</f>
        <v>0.083333333333333329</v>
      </c>
      <c r="T40" s="537">
        <f>Time!T$178</f>
        <v>0.083333333333333329</v>
      </c>
      <c r="U40" s="537">
        <f>Time!U$178</f>
        <v>0.083333333333333329</v>
      </c>
      <c r="V40" s="537">
        <f>Time!V$178</f>
        <v>0.083333333333333329</v>
      </c>
      <c r="W40" s="537">
        <f>Time!W$178</f>
        <v>0.083333333333333329</v>
      </c>
      <c r="X40" s="537">
        <f>Time!X$178</f>
        <v>0.083333333333333329</v>
      </c>
      <c r="Y40" s="537">
        <f>Time!Y$178</f>
        <v>0.083333333333333329</v>
      </c>
      <c r="Z40" s="537">
        <f>Time!Z$178</f>
        <v>0.083333333333333329</v>
      </c>
      <c r="AA40" s="537">
        <f>Time!AA$178</f>
        <v>0.083333333333333329</v>
      </c>
      <c r="AB40" s="537">
        <f>Time!AB$178</f>
        <v>0.083333333333333329</v>
      </c>
      <c r="AC40" s="537">
        <f>Time!AC$178</f>
        <v>0.083333333333333329</v>
      </c>
      <c r="AD40" s="537">
        <f>Time!AD$178</f>
        <v>0.083333333333333329</v>
      </c>
      <c r="AE40" s="537">
        <f>Time!AE$178</f>
        <v>0.083333333333333329</v>
      </c>
      <c r="AF40" s="537">
        <f>Time!AF$178</f>
        <v>0.083333333333333329</v>
      </c>
      <c r="AG40" s="537">
        <f>Time!AG$178</f>
        <v>0.083333333333333329</v>
      </c>
      <c r="AH40" s="537">
        <f>Time!AH$178</f>
        <v>0.25</v>
      </c>
      <c r="AI40" s="537">
        <f>Time!AI$178</f>
        <v>0.25</v>
      </c>
      <c r="AJ40" s="537">
        <f>Time!AJ$178</f>
        <v>0.25</v>
      </c>
      <c r="AK40" s="537">
        <f>Time!AK$178</f>
        <v>0.25</v>
      </c>
      <c r="AL40" s="537">
        <f>Time!AL$178</f>
        <v>0.25</v>
      </c>
      <c r="AM40" s="537">
        <f>Time!AM$178</f>
        <v>0.25</v>
      </c>
      <c r="AN40" s="537">
        <f>Time!AN$178</f>
        <v>0.25</v>
      </c>
      <c r="AO40" s="537">
        <f>Time!AO$178</f>
        <v>0.25</v>
      </c>
      <c r="AP40" s="537">
        <f>Time!AP$178</f>
        <v>0.25</v>
      </c>
      <c r="AQ40" s="537">
        <f>Time!AQ$178</f>
        <v>0.25</v>
      </c>
      <c r="AR40" s="537">
        <f>Time!AR$178</f>
        <v>0.25</v>
      </c>
      <c r="AS40" s="537">
        <f>Time!AS$178</f>
        <v>0.25</v>
      </c>
      <c r="AT40" s="537">
        <f>Time!AT$178</f>
        <v>0.25</v>
      </c>
      <c r="AU40" s="537">
        <f>Time!AU$178</f>
        <v>0.25</v>
      </c>
      <c r="AV40" s="537">
        <f>Time!AV$178</f>
        <v>0.25</v>
      </c>
      <c r="AW40" s="537">
        <f>Time!AW$178</f>
        <v>0.25</v>
      </c>
      <c r="AX40" s="537">
        <f>Time!AX$178</f>
        <v>0.25</v>
      </c>
      <c r="AY40" s="537">
        <f>Time!AY$178</f>
        <v>0.25</v>
      </c>
      <c r="AZ40" s="537">
        <f>Time!AZ$178</f>
        <v>0.25</v>
      </c>
      <c r="BA40" s="537">
        <f>Time!BA$178</f>
        <v>0.25</v>
      </c>
      <c r="BB40" s="537">
        <f>Time!BB$178</f>
        <v>0.25</v>
      </c>
      <c r="BC40" s="537">
        <f>Time!BC$178</f>
        <v>0.25</v>
      </c>
      <c r="BD40" s="537">
        <f>Time!BD$178</f>
        <v>0.25</v>
      </c>
      <c r="BE40" s="537">
        <f>Time!BE$178</f>
        <v>0.25</v>
      </c>
      <c r="BF40" s="537">
        <f>Time!BF$178</f>
        <v>0.25</v>
      </c>
      <c r="BG40" s="537">
        <f>Time!BG$178</f>
        <v>0.25</v>
      </c>
      <c r="BH40" s="537">
        <f>Time!BH$178</f>
        <v>0.25</v>
      </c>
      <c r="BI40" s="537">
        <f>Time!BI$178</f>
        <v>0.25</v>
      </c>
      <c r="BJ40" s="537">
        <f>Time!BJ$178</f>
        <v>0.25</v>
      </c>
      <c r="BK40" s="537">
        <f>Time!BK$178</f>
        <v>0.25</v>
      </c>
      <c r="BL40" s="537">
        <f>Time!BL$178</f>
        <v>0.25</v>
      </c>
      <c r="BM40" s="537">
        <f>Time!BM$178</f>
        <v>0.25</v>
      </c>
      <c r="BN40" s="537">
        <f>Time!BN$178</f>
        <v>0.25</v>
      </c>
      <c r="BO40" s="537">
        <f>Time!BO$178</f>
        <v>0.25</v>
      </c>
      <c r="BP40" s="537">
        <f>Time!BP$178</f>
        <v>0.25</v>
      </c>
      <c r="BQ40" s="537">
        <f>Time!BQ$178</f>
        <v>0.25</v>
      </c>
      <c r="BR40" s="537">
        <f>Time!BR$178</f>
        <v>0.25</v>
      </c>
      <c r="BS40" s="537">
        <f>Time!BS$178</f>
        <v>0.25</v>
      </c>
      <c r="BT40" s="537">
        <f>Time!BT$178</f>
        <v>0.25</v>
      </c>
      <c r="BU40" s="537">
        <f>Time!BU$178</f>
        <v>0.25</v>
      </c>
      <c r="BV40" s="537">
        <f>Time!BV$178</f>
        <v>0.25</v>
      </c>
      <c r="BW40" s="537">
        <f>Time!BW$178</f>
        <v>0.25</v>
      </c>
      <c r="BX40" s="537">
        <f>Time!BX$178</f>
        <v>0.25</v>
      </c>
      <c r="BY40" s="537">
        <f>Time!BY$178</f>
        <v>0.25</v>
      </c>
      <c r="BZ40" s="537">
        <f>Time!BZ$178</f>
        <v>0.25</v>
      </c>
      <c r="CA40" s="537">
        <f>Time!CA$178</f>
        <v>0.25</v>
      </c>
      <c r="CB40" s="537">
        <f>Time!CB$178</f>
        <v>0.25</v>
      </c>
      <c r="CC40" s="537">
        <f>Time!CC$178</f>
        <v>0.25</v>
      </c>
      <c r="CD40" s="537">
        <f>Time!CD$178</f>
        <v>0.25</v>
      </c>
      <c r="CE40" s="537">
        <f>Time!CE$178</f>
        <v>0.25</v>
      </c>
      <c r="CF40" s="537">
        <f>Time!CF$178</f>
        <v>0.25</v>
      </c>
      <c r="CG40" s="537">
        <f>Time!CG$178</f>
        <v>0.25</v>
      </c>
      <c r="CH40" s="537">
        <f>Time!CH$178</f>
        <v>0.25</v>
      </c>
      <c r="CI40" s="537">
        <f>Time!CI$178</f>
        <v>0.25</v>
      </c>
      <c r="CJ40" s="537">
        <f>Time!CJ$178</f>
        <v>0.25</v>
      </c>
      <c r="CK40" s="537">
        <f>Time!CK$178</f>
        <v>0.25</v>
      </c>
      <c r="CL40" s="537">
        <f>Time!CL$178</f>
        <v>0.25</v>
      </c>
      <c r="CM40" s="537">
        <f>Time!CM$178</f>
        <v>0.25</v>
      </c>
      <c r="CN40" s="537">
        <f>Time!CN$178</f>
        <v>0.25</v>
      </c>
      <c r="CO40" s="537">
        <f>Time!CO$178</f>
        <v>0.25</v>
      </c>
      <c r="CP40" s="537">
        <f>Time!CP$178</f>
        <v>0.25</v>
      </c>
      <c r="CQ40" s="537">
        <f>Time!CQ$178</f>
        <v>0.25</v>
      </c>
      <c r="CR40" s="537">
        <f>Time!CR$178</f>
        <v>0.25</v>
      </c>
      <c r="CS40" s="537">
        <f>Time!CS$178</f>
        <v>0.25</v>
      </c>
      <c r="CT40" s="537">
        <f>Time!CT$178</f>
        <v>0.25</v>
      </c>
      <c r="CU40" s="537">
        <f>Time!CU$178</f>
        <v>0.25</v>
      </c>
      <c r="CV40" s="537">
        <f>Time!CV$178</f>
        <v>0.25</v>
      </c>
      <c r="CW40" s="537">
        <f>Time!CW$178</f>
        <v>0.25</v>
      </c>
      <c r="CX40" s="537">
        <f>Time!CX$178</f>
        <v>0.25</v>
      </c>
      <c r="CY40" s="537">
        <f>Time!CY$178</f>
        <v>0.25</v>
      </c>
      <c r="CZ40" s="537">
        <f>Time!CZ$178</f>
        <v>0.25</v>
      </c>
      <c r="DA40" s="537">
        <f>Time!DA$178</f>
        <v>0.25</v>
      </c>
      <c r="DB40" s="537">
        <f>Time!DB$178</f>
        <v>0.25</v>
      </c>
      <c r="DC40" s="537">
        <f>Time!DC$178</f>
        <v>0.25</v>
      </c>
      <c r="DD40" s="537">
        <f>Time!DD$178</f>
        <v>0.25</v>
      </c>
      <c r="DE40" s="537">
        <f>Time!DE$178</f>
        <v>0.25</v>
      </c>
      <c r="DF40" s="537">
        <f>Time!DF$178</f>
        <v>0.25</v>
      </c>
      <c r="DG40" s="537">
        <f>Time!DG$178</f>
        <v>0.25</v>
      </c>
      <c r="DH40" s="537">
        <f>Time!DH$178</f>
        <v>0.25</v>
      </c>
      <c r="DI40" s="537">
        <f>Time!DI$178</f>
        <v>0.25</v>
      </c>
      <c r="DJ40" s="537">
        <f>Time!DJ$178</f>
        <v>0.25</v>
      </c>
      <c r="DK40" s="537">
        <f>Time!DK$178</f>
        <v>0.25</v>
      </c>
      <c r="DL40" s="537">
        <f>Time!DL$178</f>
        <v>0.25</v>
      </c>
      <c r="DM40" s="537">
        <f>Time!DM$178</f>
        <v>0.25</v>
      </c>
      <c r="DN40" s="537">
        <f>Time!DN$178</f>
        <v>0.25</v>
      </c>
      <c r="DO40" s="537">
        <f>Time!DO$178</f>
        <v>0.25</v>
      </c>
      <c r="DP40" s="537">
        <f>Time!DP$178</f>
        <v>0.25</v>
      </c>
      <c r="DQ40" s="537">
        <f>Time!DQ$178</f>
        <v>0.25</v>
      </c>
      <c r="DR40" s="537">
        <f>Time!DR$178</f>
        <v>0.25</v>
      </c>
      <c r="DS40" s="537">
        <f>Time!DS$178</f>
        <v>0.25</v>
      </c>
      <c r="DT40" s="537">
        <f>Time!DT$178</f>
        <v>0.25</v>
      </c>
      <c r="DU40" s="537">
        <f>Time!DU$178</f>
        <v>0.25</v>
      </c>
      <c r="DV40" s="537">
        <f>Time!DV$178</f>
        <v>0.25</v>
      </c>
      <c r="DW40" s="537">
        <f>Time!DW$178</f>
        <v>0.25</v>
      </c>
      <c r="DX40" s="537">
        <f>Time!DX$178</f>
        <v>0.25</v>
      </c>
      <c r="DY40" s="537">
        <f>Time!DY$178</f>
        <v>0.25</v>
      </c>
      <c r="DZ40" s="537">
        <f>Time!DZ$178</f>
        <v>0.25</v>
      </c>
      <c r="EA40" s="537">
        <f>Time!EA$178</f>
        <v>0.25</v>
      </c>
      <c r="EB40" s="537">
        <f>Time!EB$178</f>
        <v>0.25</v>
      </c>
      <c r="EC40" s="537">
        <f>Time!EC$178</f>
        <v>0.25</v>
      </c>
      <c r="ED40" s="537">
        <f>Time!ED$178</f>
        <v>0.25</v>
      </c>
      <c r="EE40" s="537">
        <f>Time!EE$178</f>
        <v>0.25</v>
      </c>
      <c r="EF40" s="537">
        <f>Time!EF$178</f>
        <v>0.25</v>
      </c>
      <c r="EG40" s="537">
        <f>Time!EG$178</f>
        <v>0.25</v>
      </c>
    </row>
    <row r="41" spans="5:137" ht="12.75">
      <c r="E41" s="538" t="str">
        <f>E$14</f>
        <v>Revenue index - factor</v>
      </c>
      <c r="G41" s="548" t="str">
        <f>G$14</f>
        <v>index</v>
      </c>
      <c r="H41" s="548">
        <f>H$14</f>
        <v>164.36484123478544</v>
      </c>
      <c r="J41" s="548">
        <f t="shared" si="6" ref="J41:EG41">J$14</f>
        <v>1</v>
      </c>
      <c r="K41" s="548">
        <f t="shared" si="6"/>
        <v>1</v>
      </c>
      <c r="L41" s="548">
        <f t="shared" si="6"/>
        <v>1</v>
      </c>
      <c r="M41" s="548">
        <f t="shared" si="6"/>
        <v>1</v>
      </c>
      <c r="N41" s="548">
        <f t="shared" si="6"/>
        <v>1</v>
      </c>
      <c r="O41" s="548">
        <f t="shared" si="6"/>
        <v>1</v>
      </c>
      <c r="P41" s="548">
        <f t="shared" si="6"/>
        <v>1</v>
      </c>
      <c r="Q41" s="548">
        <f t="shared" si="6"/>
        <v>1</v>
      </c>
      <c r="R41" s="548">
        <f t="shared" si="6"/>
        <v>1</v>
      </c>
      <c r="S41" s="548">
        <f t="shared" si="6"/>
        <v>1</v>
      </c>
      <c r="T41" s="548">
        <f t="shared" si="6"/>
        <v>1</v>
      </c>
      <c r="U41" s="548">
        <f t="shared" si="6"/>
        <v>1</v>
      </c>
      <c r="V41" s="548">
        <f t="shared" si="6"/>
        <v>1.02</v>
      </c>
      <c r="W41" s="548">
        <f t="shared" si="6"/>
        <v>1.02</v>
      </c>
      <c r="X41" s="548">
        <f t="shared" si="6"/>
        <v>1.02</v>
      </c>
      <c r="Y41" s="548">
        <f t="shared" si="6"/>
        <v>1.02</v>
      </c>
      <c r="Z41" s="548">
        <f t="shared" si="6"/>
        <v>1.02</v>
      </c>
      <c r="AA41" s="548">
        <f t="shared" si="6"/>
        <v>1.02</v>
      </c>
      <c r="AB41" s="548">
        <f t="shared" si="6"/>
        <v>1.02</v>
      </c>
      <c r="AC41" s="548">
        <f t="shared" si="6"/>
        <v>1.02</v>
      </c>
      <c r="AD41" s="548">
        <f t="shared" si="6"/>
        <v>1.02</v>
      </c>
      <c r="AE41" s="548">
        <f t="shared" si="6"/>
        <v>1.02</v>
      </c>
      <c r="AF41" s="548">
        <f t="shared" si="6"/>
        <v>1.02</v>
      </c>
      <c r="AG41" s="548">
        <f t="shared" si="6"/>
        <v>1.02</v>
      </c>
      <c r="AH41" s="548">
        <f t="shared" si="6"/>
        <v>1.0404</v>
      </c>
      <c r="AI41" s="548">
        <f t="shared" si="6"/>
        <v>1.0404</v>
      </c>
      <c r="AJ41" s="548">
        <f t="shared" si="6"/>
        <v>1.0404</v>
      </c>
      <c r="AK41" s="548">
        <f t="shared" si="6"/>
        <v>1.0404</v>
      </c>
      <c r="AL41" s="548">
        <f t="shared" si="6"/>
        <v>1.0612079999999999</v>
      </c>
      <c r="AM41" s="548">
        <f t="shared" si="6"/>
        <v>1.0612079999999999</v>
      </c>
      <c r="AN41" s="548">
        <f t="shared" si="6"/>
        <v>1.0612079999999999</v>
      </c>
      <c r="AO41" s="548">
        <f t="shared" si="6"/>
        <v>1.0612079999999999</v>
      </c>
      <c r="AP41" s="548">
        <f t="shared" si="6"/>
        <v>1.08243216</v>
      </c>
      <c r="AQ41" s="548">
        <f t="shared" si="6"/>
        <v>1.08243216</v>
      </c>
      <c r="AR41" s="548">
        <f t="shared" si="6"/>
        <v>1.08243216</v>
      </c>
      <c r="AS41" s="548">
        <f t="shared" si="6"/>
        <v>1.08243216</v>
      </c>
      <c r="AT41" s="548">
        <f t="shared" si="6"/>
        <v>1.1040808032</v>
      </c>
      <c r="AU41" s="548">
        <f t="shared" si="6"/>
        <v>1.1040808032</v>
      </c>
      <c r="AV41" s="548">
        <f t="shared" si="6"/>
        <v>1.1040808032</v>
      </c>
      <c r="AW41" s="548">
        <f t="shared" si="6"/>
        <v>1.1040808032</v>
      </c>
      <c r="AX41" s="548">
        <f t="shared" si="6"/>
        <v>1.1261624192640001</v>
      </c>
      <c r="AY41" s="548">
        <f t="shared" si="6"/>
        <v>1.1261624192640001</v>
      </c>
      <c r="AZ41" s="548">
        <f t="shared" si="6"/>
        <v>1.1261624192640001</v>
      </c>
      <c r="BA41" s="548">
        <f t="shared" si="6"/>
        <v>1.1261624192640001</v>
      </c>
      <c r="BB41" s="548">
        <f t="shared" si="6"/>
        <v>1.14868566764928</v>
      </c>
      <c r="BC41" s="548">
        <f t="shared" si="6"/>
        <v>1.14868566764928</v>
      </c>
      <c r="BD41" s="548">
        <f t="shared" si="6"/>
        <v>1.14868566764928</v>
      </c>
      <c r="BE41" s="548">
        <f t="shared" si="6"/>
        <v>1.14868566764928</v>
      </c>
      <c r="BF41" s="548">
        <f t="shared" si="6"/>
        <v>1.1716593810022657</v>
      </c>
      <c r="BG41" s="548">
        <f t="shared" si="6"/>
        <v>1.1716593810022657</v>
      </c>
      <c r="BH41" s="548">
        <f t="shared" si="6"/>
        <v>1.1716593810022657</v>
      </c>
      <c r="BI41" s="548">
        <f t="shared" si="6"/>
        <v>1.1716593810022657</v>
      </c>
      <c r="BJ41" s="548">
        <f t="shared" si="6"/>
        <v>1.1950925686223111</v>
      </c>
      <c r="BK41" s="548">
        <f t="shared" si="6"/>
        <v>1.1950925686223111</v>
      </c>
      <c r="BL41" s="548">
        <f t="shared" si="6"/>
        <v>1.1950925686223111</v>
      </c>
      <c r="BM41" s="548">
        <f t="shared" si="6"/>
        <v>1.1950925686223111</v>
      </c>
      <c r="BN41" s="548">
        <f t="shared" si="6"/>
        <v>1.2189944199947573</v>
      </c>
      <c r="BO41" s="548">
        <f t="shared" si="6"/>
        <v>1.2189944199947573</v>
      </c>
      <c r="BP41" s="548">
        <f t="shared" si="6"/>
        <v>1.2189944199947573</v>
      </c>
      <c r="BQ41" s="548">
        <f t="shared" si="6"/>
        <v>1.2189944199947573</v>
      </c>
      <c r="BR41" s="548">
        <f t="shared" si="6"/>
        <v>1.2433743083946525</v>
      </c>
      <c r="BS41" s="548">
        <f t="shared" si="6"/>
        <v>1.2433743083946525</v>
      </c>
      <c r="BT41" s="548">
        <f t="shared" si="6"/>
        <v>1.2433743083946525</v>
      </c>
      <c r="BU41" s="548">
        <f t="shared" si="6"/>
        <v>1.2433743083946525</v>
      </c>
      <c r="BV41" s="548">
        <f t="shared" si="6"/>
        <v>1.2682417945625455</v>
      </c>
      <c r="BW41" s="548">
        <f t="shared" si="6"/>
        <v>1.2682417945625455</v>
      </c>
      <c r="BX41" s="548">
        <f t="shared" si="6"/>
        <v>1.2682417945625455</v>
      </c>
      <c r="BY41" s="548">
        <f t="shared" si="6"/>
        <v>1.2682417945625455</v>
      </c>
      <c r="BZ41" s="548">
        <f t="shared" si="6"/>
        <v>1.2936066304537963</v>
      </c>
      <c r="CA41" s="548">
        <f t="shared" si="6"/>
        <v>1.2936066304537963</v>
      </c>
      <c r="CB41" s="548">
        <f t="shared" si="6"/>
        <v>1.2936066304537963</v>
      </c>
      <c r="CC41" s="548">
        <f t="shared" si="6"/>
        <v>1.2936066304537963</v>
      </c>
      <c r="CD41" s="548">
        <f t="shared" si="6"/>
        <v>1.3194787630628724</v>
      </c>
      <c r="CE41" s="548">
        <f t="shared" si="6"/>
        <v>1.3194787630628724</v>
      </c>
      <c r="CF41" s="548">
        <f t="shared" si="6"/>
        <v>1.3194787630628724</v>
      </c>
      <c r="CG41" s="548">
        <f t="shared" si="6"/>
        <v>1.3194787630628724</v>
      </c>
      <c r="CH41" s="548">
        <f t="shared" si="6"/>
        <v>1.3458683383241299</v>
      </c>
      <c r="CI41" s="548">
        <f t="shared" si="6"/>
        <v>1.3458683383241299</v>
      </c>
      <c r="CJ41" s="548">
        <f t="shared" si="6"/>
        <v>1.3458683383241299</v>
      </c>
      <c r="CK41" s="548">
        <f t="shared" si="6"/>
        <v>1.3458683383241299</v>
      </c>
      <c r="CL41" s="548">
        <f t="shared" si="6"/>
        <v>1.3727857050906125</v>
      </c>
      <c r="CM41" s="548">
        <f t="shared" si="6"/>
        <v>1.3727857050906125</v>
      </c>
      <c r="CN41" s="548">
        <f t="shared" si="6"/>
        <v>1.3727857050906125</v>
      </c>
      <c r="CO41" s="548">
        <f t="shared" si="6"/>
        <v>1.3727857050906125</v>
      </c>
      <c r="CP41" s="548">
        <f t="shared" si="6"/>
        <v>1.4002414191924248</v>
      </c>
      <c r="CQ41" s="548">
        <f t="shared" si="6"/>
        <v>1.4002414191924248</v>
      </c>
      <c r="CR41" s="548">
        <f t="shared" si="6"/>
        <v>1.4002414191924248</v>
      </c>
      <c r="CS41" s="548">
        <f t="shared" si="6"/>
        <v>1.4002414191924248</v>
      </c>
      <c r="CT41" s="548">
        <f t="shared" si="6"/>
        <v>1.4282462475762734</v>
      </c>
      <c r="CU41" s="548">
        <f t="shared" si="6"/>
        <v>1.4282462475762734</v>
      </c>
      <c r="CV41" s="548">
        <f t="shared" si="6"/>
        <v>1.4282462475762734</v>
      </c>
      <c r="CW41" s="548">
        <f t="shared" si="6"/>
        <v>1.4282462475762734</v>
      </c>
      <c r="CX41" s="548">
        <f t="shared" si="6"/>
        <v>1.4568111725277988</v>
      </c>
      <c r="CY41" s="548">
        <f t="shared" si="6"/>
        <v>1.4568111725277988</v>
      </c>
      <c r="CZ41" s="548">
        <f t="shared" si="6"/>
        <v>1.4568111725277988</v>
      </c>
      <c r="DA41" s="548">
        <f t="shared" si="6"/>
        <v>1.4568111725277988</v>
      </c>
      <c r="DB41" s="548">
        <f t="shared" si="6"/>
        <v>1.4859473959783549</v>
      </c>
      <c r="DC41" s="548">
        <f t="shared" si="6"/>
        <v>1.4859473959783549</v>
      </c>
      <c r="DD41" s="548">
        <f t="shared" si="6"/>
        <v>1.4859473959783549</v>
      </c>
      <c r="DE41" s="548">
        <f t="shared" si="6"/>
        <v>1.4859473959783549</v>
      </c>
      <c r="DF41" s="548">
        <f t="shared" si="6"/>
        <v>1.5156663438979221</v>
      </c>
      <c r="DG41" s="548">
        <f t="shared" si="6"/>
        <v>1.5156663438979221</v>
      </c>
      <c r="DH41" s="548">
        <f t="shared" si="6"/>
        <v>1.5156663438979221</v>
      </c>
      <c r="DI41" s="548">
        <f t="shared" si="6"/>
        <v>1.5156663438979221</v>
      </c>
      <c r="DJ41" s="548">
        <f t="shared" si="6"/>
        <v>1.5459796707758806</v>
      </c>
      <c r="DK41" s="548">
        <f t="shared" si="6"/>
        <v>1.5459796707758806</v>
      </c>
      <c r="DL41" s="548">
        <f t="shared" si="6"/>
        <v>1.5459796707758806</v>
      </c>
      <c r="DM41" s="548">
        <f t="shared" si="6"/>
        <v>1.5459796707758806</v>
      </c>
      <c r="DN41" s="548">
        <f t="shared" si="6"/>
        <v>1.5768992641913981</v>
      </c>
      <c r="DO41" s="548">
        <f t="shared" si="6"/>
        <v>1.5768992641913981</v>
      </c>
      <c r="DP41" s="548">
        <f t="shared" si="6"/>
        <v>1.5768992641913981</v>
      </c>
      <c r="DQ41" s="548">
        <f t="shared" si="6"/>
        <v>1.5768992641913981</v>
      </c>
      <c r="DR41" s="548">
        <f t="shared" si="6"/>
        <v>1.6084372494752261</v>
      </c>
      <c r="DS41" s="548">
        <f t="shared" si="6"/>
        <v>1.6084372494752261</v>
      </c>
      <c r="DT41" s="548">
        <f t="shared" si="6"/>
        <v>1.6084372494752261</v>
      </c>
      <c r="DU41" s="548">
        <f t="shared" si="6"/>
        <v>1.6084372494752261</v>
      </c>
      <c r="DV41" s="548">
        <f t="shared" si="6"/>
        <v>1.6406059944647307</v>
      </c>
      <c r="DW41" s="548">
        <f t="shared" si="6"/>
        <v>1.6406059944647307</v>
      </c>
      <c r="DX41" s="548">
        <f t="shared" si="6"/>
        <v>1.6406059944647307</v>
      </c>
      <c r="DY41" s="548">
        <f t="shared" si="6"/>
        <v>1.6406059944647307</v>
      </c>
      <c r="DZ41" s="548">
        <f t="shared" si="6"/>
        <v>1.6734181143540252</v>
      </c>
      <c r="EA41" s="548">
        <f t="shared" si="6"/>
        <v>1.6734181143540252</v>
      </c>
      <c r="EB41" s="548">
        <f t="shared" si="6"/>
        <v>1.6734181143540252</v>
      </c>
      <c r="EC41" s="548">
        <f t="shared" si="6"/>
        <v>1.6734181143540252</v>
      </c>
      <c r="ED41" s="548">
        <f t="shared" si="6"/>
        <v>1.7068864766411058</v>
      </c>
      <c r="EE41" s="548">
        <f t="shared" si="6"/>
        <v>1.7068864766411058</v>
      </c>
      <c r="EF41" s="548">
        <f t="shared" si="6"/>
        <v>1.7068864766411058</v>
      </c>
      <c r="EG41" s="548">
        <f t="shared" si="6"/>
        <v>1.7068864766411058</v>
      </c>
    </row>
    <row r="42" spans="5:137" ht="12.75">
      <c r="E42" s="535" t="str">
        <f>Time!E$91</f>
        <v>Operating period flag</v>
      </c>
      <c r="G42" s="537" t="str">
        <f>Time!G$91</f>
        <v>flag</v>
      </c>
      <c r="H42" s="537">
        <f>Time!H$91</f>
        <v>100</v>
      </c>
      <c r="J42" s="537">
        <f>Time!J$91</f>
        <v>0</v>
      </c>
      <c r="K42" s="537">
        <f>Time!K$91</f>
        <v>0</v>
      </c>
      <c r="L42" s="537">
        <f>Time!L$91</f>
        <v>0</v>
      </c>
      <c r="M42" s="537">
        <f>Time!M$91</f>
        <v>0</v>
      </c>
      <c r="N42" s="537">
        <f>Time!N$91</f>
        <v>0</v>
      </c>
      <c r="O42" s="537">
        <f>Time!O$91</f>
        <v>0</v>
      </c>
      <c r="P42" s="537">
        <f>Time!P$91</f>
        <v>0</v>
      </c>
      <c r="Q42" s="537">
        <f>Time!Q$91</f>
        <v>0</v>
      </c>
      <c r="R42" s="537">
        <f>Time!R$91</f>
        <v>0</v>
      </c>
      <c r="S42" s="537">
        <f>Time!S$91</f>
        <v>0</v>
      </c>
      <c r="T42" s="537">
        <f>Time!T$91</f>
        <v>0</v>
      </c>
      <c r="U42" s="537">
        <f>Time!U$91</f>
        <v>0</v>
      </c>
      <c r="V42" s="537">
        <f>Time!V$91</f>
        <v>0</v>
      </c>
      <c r="W42" s="537">
        <f>Time!W$91</f>
        <v>0</v>
      </c>
      <c r="X42" s="537">
        <f>Time!X$91</f>
        <v>0</v>
      </c>
      <c r="Y42" s="537">
        <f>Time!Y$91</f>
        <v>0</v>
      </c>
      <c r="Z42" s="537">
        <f>Time!Z$91</f>
        <v>0</v>
      </c>
      <c r="AA42" s="537">
        <f>Time!AA$91</f>
        <v>0</v>
      </c>
      <c r="AB42" s="537">
        <f>Time!AB$91</f>
        <v>0</v>
      </c>
      <c r="AC42" s="537">
        <f>Time!AC$91</f>
        <v>0</v>
      </c>
      <c r="AD42" s="537">
        <f>Time!AD$91</f>
        <v>0</v>
      </c>
      <c r="AE42" s="537">
        <f>Time!AE$91</f>
        <v>0</v>
      </c>
      <c r="AF42" s="537">
        <f>Time!AF$91</f>
        <v>0</v>
      </c>
      <c r="AG42" s="537">
        <f>Time!AG$91</f>
        <v>0</v>
      </c>
      <c r="AH42" s="537">
        <f>Time!AH$91</f>
        <v>1</v>
      </c>
      <c r="AI42" s="537">
        <f>Time!AI$91</f>
        <v>1</v>
      </c>
      <c r="AJ42" s="537">
        <f>Time!AJ$91</f>
        <v>1</v>
      </c>
      <c r="AK42" s="537">
        <f>Time!AK$91</f>
        <v>1</v>
      </c>
      <c r="AL42" s="537">
        <f>Time!AL$91</f>
        <v>1</v>
      </c>
      <c r="AM42" s="537">
        <f>Time!AM$91</f>
        <v>1</v>
      </c>
      <c r="AN42" s="537">
        <f>Time!AN$91</f>
        <v>1</v>
      </c>
      <c r="AO42" s="537">
        <f>Time!AO$91</f>
        <v>1</v>
      </c>
      <c r="AP42" s="537">
        <f>Time!AP$91</f>
        <v>1</v>
      </c>
      <c r="AQ42" s="537">
        <f>Time!AQ$91</f>
        <v>1</v>
      </c>
      <c r="AR42" s="537">
        <f>Time!AR$91</f>
        <v>1</v>
      </c>
      <c r="AS42" s="537">
        <f>Time!AS$91</f>
        <v>1</v>
      </c>
      <c r="AT42" s="537">
        <f>Time!AT$91</f>
        <v>1</v>
      </c>
      <c r="AU42" s="537">
        <f>Time!AU$91</f>
        <v>1</v>
      </c>
      <c r="AV42" s="537">
        <f>Time!AV$91</f>
        <v>1</v>
      </c>
      <c r="AW42" s="537">
        <f>Time!AW$91</f>
        <v>1</v>
      </c>
      <c r="AX42" s="537">
        <f>Time!AX$91</f>
        <v>1</v>
      </c>
      <c r="AY42" s="537">
        <f>Time!AY$91</f>
        <v>1</v>
      </c>
      <c r="AZ42" s="537">
        <f>Time!AZ$91</f>
        <v>1</v>
      </c>
      <c r="BA42" s="537">
        <f>Time!BA$91</f>
        <v>1</v>
      </c>
      <c r="BB42" s="537">
        <f>Time!BB$91</f>
        <v>1</v>
      </c>
      <c r="BC42" s="537">
        <f>Time!BC$91</f>
        <v>1</v>
      </c>
      <c r="BD42" s="537">
        <f>Time!BD$91</f>
        <v>1</v>
      </c>
      <c r="BE42" s="537">
        <f>Time!BE$91</f>
        <v>1</v>
      </c>
      <c r="BF42" s="537">
        <f>Time!BF$91</f>
        <v>1</v>
      </c>
      <c r="BG42" s="537">
        <f>Time!BG$91</f>
        <v>1</v>
      </c>
      <c r="BH42" s="537">
        <f>Time!BH$91</f>
        <v>1</v>
      </c>
      <c r="BI42" s="537">
        <f>Time!BI$91</f>
        <v>1</v>
      </c>
      <c r="BJ42" s="537">
        <f>Time!BJ$91</f>
        <v>1</v>
      </c>
      <c r="BK42" s="537">
        <f>Time!BK$91</f>
        <v>1</v>
      </c>
      <c r="BL42" s="537">
        <f>Time!BL$91</f>
        <v>1</v>
      </c>
      <c r="BM42" s="537">
        <f>Time!BM$91</f>
        <v>1</v>
      </c>
      <c r="BN42" s="537">
        <f>Time!BN$91</f>
        <v>1</v>
      </c>
      <c r="BO42" s="537">
        <f>Time!BO$91</f>
        <v>1</v>
      </c>
      <c r="BP42" s="537">
        <f>Time!BP$91</f>
        <v>1</v>
      </c>
      <c r="BQ42" s="537">
        <f>Time!BQ$91</f>
        <v>1</v>
      </c>
      <c r="BR42" s="537">
        <f>Time!BR$91</f>
        <v>1</v>
      </c>
      <c r="BS42" s="537">
        <f>Time!BS$91</f>
        <v>1</v>
      </c>
      <c r="BT42" s="537">
        <f>Time!BT$91</f>
        <v>1</v>
      </c>
      <c r="BU42" s="537">
        <f>Time!BU$91</f>
        <v>1</v>
      </c>
      <c r="BV42" s="537">
        <f>Time!BV$91</f>
        <v>1</v>
      </c>
      <c r="BW42" s="537">
        <f>Time!BW$91</f>
        <v>1</v>
      </c>
      <c r="BX42" s="537">
        <f>Time!BX$91</f>
        <v>1</v>
      </c>
      <c r="BY42" s="537">
        <f>Time!BY$91</f>
        <v>1</v>
      </c>
      <c r="BZ42" s="537">
        <f>Time!BZ$91</f>
        <v>1</v>
      </c>
      <c r="CA42" s="537">
        <f>Time!CA$91</f>
        <v>1</v>
      </c>
      <c r="CB42" s="537">
        <f>Time!CB$91</f>
        <v>1</v>
      </c>
      <c r="CC42" s="537">
        <f>Time!CC$91</f>
        <v>1</v>
      </c>
      <c r="CD42" s="537">
        <f>Time!CD$91</f>
        <v>1</v>
      </c>
      <c r="CE42" s="537">
        <f>Time!CE$91</f>
        <v>1</v>
      </c>
      <c r="CF42" s="537">
        <f>Time!CF$91</f>
        <v>1</v>
      </c>
      <c r="CG42" s="537">
        <f>Time!CG$91</f>
        <v>1</v>
      </c>
      <c r="CH42" s="537">
        <f>Time!CH$91</f>
        <v>1</v>
      </c>
      <c r="CI42" s="537">
        <f>Time!CI$91</f>
        <v>1</v>
      </c>
      <c r="CJ42" s="537">
        <f>Time!CJ$91</f>
        <v>1</v>
      </c>
      <c r="CK42" s="537">
        <f>Time!CK$91</f>
        <v>1</v>
      </c>
      <c r="CL42" s="537">
        <f>Time!CL$91</f>
        <v>1</v>
      </c>
      <c r="CM42" s="537">
        <f>Time!CM$91</f>
        <v>1</v>
      </c>
      <c r="CN42" s="537">
        <f>Time!CN$91</f>
        <v>1</v>
      </c>
      <c r="CO42" s="537">
        <f>Time!CO$91</f>
        <v>1</v>
      </c>
      <c r="CP42" s="537">
        <f>Time!CP$91</f>
        <v>1</v>
      </c>
      <c r="CQ42" s="537">
        <f>Time!CQ$91</f>
        <v>1</v>
      </c>
      <c r="CR42" s="537">
        <f>Time!CR$91</f>
        <v>1</v>
      </c>
      <c r="CS42" s="537">
        <f>Time!CS$91</f>
        <v>1</v>
      </c>
      <c r="CT42" s="537">
        <f>Time!CT$91</f>
        <v>1</v>
      </c>
      <c r="CU42" s="537">
        <f>Time!CU$91</f>
        <v>1</v>
      </c>
      <c r="CV42" s="537">
        <f>Time!CV$91</f>
        <v>1</v>
      </c>
      <c r="CW42" s="537">
        <f>Time!CW$91</f>
        <v>1</v>
      </c>
      <c r="CX42" s="537">
        <f>Time!CX$91</f>
        <v>1</v>
      </c>
      <c r="CY42" s="537">
        <f>Time!CY$91</f>
        <v>1</v>
      </c>
      <c r="CZ42" s="537">
        <f>Time!CZ$91</f>
        <v>1</v>
      </c>
      <c r="DA42" s="537">
        <f>Time!DA$91</f>
        <v>1</v>
      </c>
      <c r="DB42" s="537">
        <f>Time!DB$91</f>
        <v>1</v>
      </c>
      <c r="DC42" s="537">
        <f>Time!DC$91</f>
        <v>1</v>
      </c>
      <c r="DD42" s="537">
        <f>Time!DD$91</f>
        <v>1</v>
      </c>
      <c r="DE42" s="537">
        <f>Time!DE$91</f>
        <v>1</v>
      </c>
      <c r="DF42" s="537">
        <f>Time!DF$91</f>
        <v>1</v>
      </c>
      <c r="DG42" s="537">
        <f>Time!DG$91</f>
        <v>1</v>
      </c>
      <c r="DH42" s="537">
        <f>Time!DH$91</f>
        <v>1</v>
      </c>
      <c r="DI42" s="537">
        <f>Time!DI$91</f>
        <v>1</v>
      </c>
      <c r="DJ42" s="537">
        <f>Time!DJ$91</f>
        <v>1</v>
      </c>
      <c r="DK42" s="537">
        <f>Time!DK$91</f>
        <v>1</v>
      </c>
      <c r="DL42" s="537">
        <f>Time!DL$91</f>
        <v>1</v>
      </c>
      <c r="DM42" s="537">
        <f>Time!DM$91</f>
        <v>1</v>
      </c>
      <c r="DN42" s="537">
        <f>Time!DN$91</f>
        <v>1</v>
      </c>
      <c r="DO42" s="537">
        <f>Time!DO$91</f>
        <v>1</v>
      </c>
      <c r="DP42" s="537">
        <f>Time!DP$91</f>
        <v>1</v>
      </c>
      <c r="DQ42" s="537">
        <f>Time!DQ$91</f>
        <v>1</v>
      </c>
      <c r="DR42" s="537">
        <f>Time!DR$91</f>
        <v>1</v>
      </c>
      <c r="DS42" s="537">
        <f>Time!DS$91</f>
        <v>1</v>
      </c>
      <c r="DT42" s="537">
        <f>Time!DT$91</f>
        <v>1</v>
      </c>
      <c r="DU42" s="537">
        <f>Time!DU$91</f>
        <v>1</v>
      </c>
      <c r="DV42" s="537">
        <f>Time!DV$91</f>
        <v>1</v>
      </c>
      <c r="DW42" s="537">
        <f>Time!DW$91</f>
        <v>1</v>
      </c>
      <c r="DX42" s="537">
        <f>Time!DX$91</f>
        <v>1</v>
      </c>
      <c r="DY42" s="537">
        <f>Time!DY$91</f>
        <v>1</v>
      </c>
      <c r="DZ42" s="537">
        <f>Time!DZ$91</f>
        <v>1</v>
      </c>
      <c r="EA42" s="537">
        <f>Time!EA$91</f>
        <v>1</v>
      </c>
      <c r="EB42" s="537">
        <f>Time!EB$91</f>
        <v>1</v>
      </c>
      <c r="EC42" s="537">
        <f>Time!EC$91</f>
        <v>1</v>
      </c>
      <c r="ED42" s="537">
        <f>Time!ED$91</f>
        <v>0</v>
      </c>
      <c r="EE42" s="537">
        <f>Time!EE$91</f>
        <v>0</v>
      </c>
      <c r="EF42" s="537">
        <f>Time!EF$91</f>
        <v>0</v>
      </c>
      <c r="EG42" s="537">
        <f>Time!EG$91</f>
        <v>0</v>
      </c>
    </row>
    <row r="43" spans="5:137" ht="12.75">
      <c r="E43" s="538" t="s">
        <v>258</v>
      </c>
      <c r="G43" s="539" t="s">
        <v>30</v>
      </c>
      <c r="H43" s="539">
        <f>SUM(J43:EG43)</f>
        <v>1199675.6579539899</v>
      </c>
      <c r="J43" s="539">
        <f t="shared" si="7" ref="J43:EG43">$F38*J40*J41*J42</f>
        <v>0</v>
      </c>
      <c r="K43" s="539">
        <f t="shared" si="7"/>
        <v>0</v>
      </c>
      <c r="L43" s="539">
        <f t="shared" si="7"/>
        <v>0</v>
      </c>
      <c r="M43" s="539">
        <f t="shared" si="7"/>
        <v>0</v>
      </c>
      <c r="N43" s="539">
        <f t="shared" si="7"/>
        <v>0</v>
      </c>
      <c r="O43" s="539">
        <f t="shared" si="7"/>
        <v>0</v>
      </c>
      <c r="P43" s="539">
        <f t="shared" si="7"/>
        <v>0</v>
      </c>
      <c r="Q43" s="539">
        <f t="shared" si="7"/>
        <v>0</v>
      </c>
      <c r="R43" s="539">
        <f t="shared" si="7"/>
        <v>0</v>
      </c>
      <c r="S43" s="539">
        <f t="shared" si="7"/>
        <v>0</v>
      </c>
      <c r="T43" s="539">
        <f t="shared" si="7"/>
        <v>0</v>
      </c>
      <c r="U43" s="539">
        <f t="shared" si="7"/>
        <v>0</v>
      </c>
      <c r="V43" s="539">
        <f t="shared" si="7"/>
        <v>0</v>
      </c>
      <c r="W43" s="539">
        <f t="shared" si="7"/>
        <v>0</v>
      </c>
      <c r="X43" s="539">
        <f t="shared" si="7"/>
        <v>0</v>
      </c>
      <c r="Y43" s="539">
        <f t="shared" si="7"/>
        <v>0</v>
      </c>
      <c r="Z43" s="539">
        <f t="shared" si="7"/>
        <v>0</v>
      </c>
      <c r="AA43" s="539">
        <f t="shared" si="7"/>
        <v>0</v>
      </c>
      <c r="AB43" s="539">
        <f t="shared" si="7"/>
        <v>0</v>
      </c>
      <c r="AC43" s="539">
        <f t="shared" si="7"/>
        <v>0</v>
      </c>
      <c r="AD43" s="539">
        <f t="shared" si="7"/>
        <v>0</v>
      </c>
      <c r="AE43" s="539">
        <f t="shared" si="7"/>
        <v>0</v>
      </c>
      <c r="AF43" s="539">
        <f t="shared" si="7"/>
        <v>0</v>
      </c>
      <c r="AG43" s="539">
        <f t="shared" si="7"/>
        <v>0</v>
      </c>
      <c r="AH43" s="539">
        <f t="shared" si="7"/>
        <v>9363.6000000000004</v>
      </c>
      <c r="AI43" s="539">
        <f t="shared" si="7"/>
        <v>9363.6000000000004</v>
      </c>
      <c r="AJ43" s="539">
        <f t="shared" si="7"/>
        <v>9363.6000000000004</v>
      </c>
      <c r="AK43" s="539">
        <f t="shared" si="7"/>
        <v>9363.6000000000004</v>
      </c>
      <c r="AL43" s="539">
        <f t="shared" si="7"/>
        <v>9550.8719999999994</v>
      </c>
      <c r="AM43" s="539">
        <f t="shared" si="7"/>
        <v>9550.8719999999994</v>
      </c>
      <c r="AN43" s="539">
        <f t="shared" si="7"/>
        <v>9550.8719999999994</v>
      </c>
      <c r="AO43" s="539">
        <f t="shared" si="7"/>
        <v>9550.8719999999994</v>
      </c>
      <c r="AP43" s="539">
        <f t="shared" si="7"/>
        <v>9741.889439999999</v>
      </c>
      <c r="AQ43" s="539">
        <f t="shared" si="7"/>
        <v>9741.889439999999</v>
      </c>
      <c r="AR43" s="539">
        <f t="shared" si="7"/>
        <v>9741.889439999999</v>
      </c>
      <c r="AS43" s="539">
        <f t="shared" si="7"/>
        <v>9741.889439999999</v>
      </c>
      <c r="AT43" s="539">
        <f t="shared" si="7"/>
        <v>9936.7272288000004</v>
      </c>
      <c r="AU43" s="539">
        <f t="shared" si="7"/>
        <v>9936.7272288000004</v>
      </c>
      <c r="AV43" s="539">
        <f t="shared" si="7"/>
        <v>9936.7272288000004</v>
      </c>
      <c r="AW43" s="539">
        <f t="shared" si="7"/>
        <v>9936.7272288000004</v>
      </c>
      <c r="AX43" s="539">
        <f t="shared" si="7"/>
        <v>10135.461773376001</v>
      </c>
      <c r="AY43" s="539">
        <f t="shared" si="7"/>
        <v>10135.461773376001</v>
      </c>
      <c r="AZ43" s="539">
        <f t="shared" si="7"/>
        <v>10135.461773376001</v>
      </c>
      <c r="BA43" s="539">
        <f t="shared" si="7"/>
        <v>10135.461773376001</v>
      </c>
      <c r="BB43" s="539">
        <f t="shared" si="7"/>
        <v>10338.171008843521</v>
      </c>
      <c r="BC43" s="539">
        <f t="shared" si="7"/>
        <v>10338.171008843521</v>
      </c>
      <c r="BD43" s="539">
        <f t="shared" si="7"/>
        <v>10338.171008843521</v>
      </c>
      <c r="BE43" s="539">
        <f t="shared" si="7"/>
        <v>10338.171008843521</v>
      </c>
      <c r="BF43" s="539">
        <f t="shared" si="7"/>
        <v>10544.934429020392</v>
      </c>
      <c r="BG43" s="539">
        <f t="shared" si="7"/>
        <v>10544.934429020392</v>
      </c>
      <c r="BH43" s="539">
        <f t="shared" si="7"/>
        <v>10544.934429020392</v>
      </c>
      <c r="BI43" s="539">
        <f t="shared" si="7"/>
        <v>10544.934429020392</v>
      </c>
      <c r="BJ43" s="539">
        <f t="shared" si="7"/>
        <v>10755.8331176008</v>
      </c>
      <c r="BK43" s="539">
        <f t="shared" si="7"/>
        <v>10755.8331176008</v>
      </c>
      <c r="BL43" s="539">
        <f t="shared" si="7"/>
        <v>10755.8331176008</v>
      </c>
      <c r="BM43" s="539">
        <f t="shared" si="7"/>
        <v>10755.8331176008</v>
      </c>
      <c r="BN43" s="539">
        <f t="shared" si="7"/>
        <v>10970.949779952816</v>
      </c>
      <c r="BO43" s="539">
        <f t="shared" si="7"/>
        <v>10970.949779952816</v>
      </c>
      <c r="BP43" s="539">
        <f t="shared" si="7"/>
        <v>10970.949779952816</v>
      </c>
      <c r="BQ43" s="539">
        <f t="shared" si="7"/>
        <v>10970.949779952816</v>
      </c>
      <c r="BR43" s="539">
        <f t="shared" si="7"/>
        <v>11190.368775551871</v>
      </c>
      <c r="BS43" s="539">
        <f t="shared" si="7"/>
        <v>11190.368775551871</v>
      </c>
      <c r="BT43" s="539">
        <f t="shared" si="7"/>
        <v>11190.368775551871</v>
      </c>
      <c r="BU43" s="539">
        <f t="shared" si="7"/>
        <v>11190.368775551871</v>
      </c>
      <c r="BV43" s="539">
        <f t="shared" si="7"/>
        <v>11414.176151062909</v>
      </c>
      <c r="BW43" s="539">
        <f t="shared" si="7"/>
        <v>11414.176151062909</v>
      </c>
      <c r="BX43" s="539">
        <f t="shared" si="7"/>
        <v>11414.176151062909</v>
      </c>
      <c r="BY43" s="539">
        <f t="shared" si="7"/>
        <v>11414.176151062909</v>
      </c>
      <c r="BZ43" s="539">
        <f t="shared" si="7"/>
        <v>11642.459674084166</v>
      </c>
      <c r="CA43" s="539">
        <f t="shared" si="7"/>
        <v>11642.459674084166</v>
      </c>
      <c r="CB43" s="539">
        <f t="shared" si="7"/>
        <v>11642.459674084166</v>
      </c>
      <c r="CC43" s="539">
        <f t="shared" si="7"/>
        <v>11642.459674084166</v>
      </c>
      <c r="CD43" s="539">
        <f t="shared" si="7"/>
        <v>11875.308867565851</v>
      </c>
      <c r="CE43" s="539">
        <f t="shared" si="7"/>
        <v>11875.308867565851</v>
      </c>
      <c r="CF43" s="539">
        <f t="shared" si="7"/>
        <v>11875.308867565851</v>
      </c>
      <c r="CG43" s="539">
        <f t="shared" si="7"/>
        <v>11875.308867565851</v>
      </c>
      <c r="CH43" s="539">
        <f t="shared" si="7"/>
        <v>12112.81504491717</v>
      </c>
      <c r="CI43" s="539">
        <f t="shared" si="7"/>
        <v>12112.81504491717</v>
      </c>
      <c r="CJ43" s="539">
        <f t="shared" si="7"/>
        <v>12112.81504491717</v>
      </c>
      <c r="CK43" s="539">
        <f t="shared" si="7"/>
        <v>12112.81504491717</v>
      </c>
      <c r="CL43" s="539">
        <f t="shared" si="7"/>
        <v>12355.071345815513</v>
      </c>
      <c r="CM43" s="539">
        <f t="shared" si="7"/>
        <v>12355.071345815513</v>
      </c>
      <c r="CN43" s="539">
        <f t="shared" si="7"/>
        <v>12355.071345815513</v>
      </c>
      <c r="CO43" s="539">
        <f t="shared" si="7"/>
        <v>12355.071345815513</v>
      </c>
      <c r="CP43" s="539">
        <f t="shared" si="7"/>
        <v>12602.172772731823</v>
      </c>
      <c r="CQ43" s="539">
        <f t="shared" si="7"/>
        <v>12602.172772731823</v>
      </c>
      <c r="CR43" s="539">
        <f t="shared" si="7"/>
        <v>12602.172772731823</v>
      </c>
      <c r="CS43" s="539">
        <f t="shared" si="7"/>
        <v>12602.172772731823</v>
      </c>
      <c r="CT43" s="539">
        <f t="shared" si="7"/>
        <v>12854.21622818646</v>
      </c>
      <c r="CU43" s="539">
        <f t="shared" si="7"/>
        <v>12854.21622818646</v>
      </c>
      <c r="CV43" s="539">
        <f t="shared" si="7"/>
        <v>12854.21622818646</v>
      </c>
      <c r="CW43" s="539">
        <f t="shared" si="7"/>
        <v>12854.21622818646</v>
      </c>
      <c r="CX43" s="539">
        <f t="shared" si="7"/>
        <v>13111.30055275019</v>
      </c>
      <c r="CY43" s="539">
        <f t="shared" si="7"/>
        <v>13111.30055275019</v>
      </c>
      <c r="CZ43" s="539">
        <f t="shared" si="7"/>
        <v>13111.30055275019</v>
      </c>
      <c r="DA43" s="539">
        <f t="shared" si="7"/>
        <v>13111.30055275019</v>
      </c>
      <c r="DB43" s="539">
        <f t="shared" si="7"/>
        <v>13373.526563805193</v>
      </c>
      <c r="DC43" s="539">
        <f t="shared" si="7"/>
        <v>13373.526563805193</v>
      </c>
      <c r="DD43" s="539">
        <f t="shared" si="7"/>
        <v>13373.526563805193</v>
      </c>
      <c r="DE43" s="539">
        <f t="shared" si="7"/>
        <v>13373.526563805193</v>
      </c>
      <c r="DF43" s="539">
        <f t="shared" si="7"/>
        <v>13640.997095081299</v>
      </c>
      <c r="DG43" s="539">
        <f t="shared" si="7"/>
        <v>13640.997095081299</v>
      </c>
      <c r="DH43" s="539">
        <f t="shared" si="7"/>
        <v>13640.997095081299</v>
      </c>
      <c r="DI43" s="539">
        <f t="shared" si="7"/>
        <v>13640.997095081299</v>
      </c>
      <c r="DJ43" s="539">
        <f t="shared" si="7"/>
        <v>13913.817036982926</v>
      </c>
      <c r="DK43" s="539">
        <f t="shared" si="7"/>
        <v>13913.817036982926</v>
      </c>
      <c r="DL43" s="539">
        <f t="shared" si="7"/>
        <v>13913.817036982926</v>
      </c>
      <c r="DM43" s="539">
        <f t="shared" si="7"/>
        <v>13913.817036982926</v>
      </c>
      <c r="DN43" s="539">
        <f t="shared" si="7"/>
        <v>14192.093377722584</v>
      </c>
      <c r="DO43" s="539">
        <f t="shared" si="7"/>
        <v>14192.093377722584</v>
      </c>
      <c r="DP43" s="539">
        <f t="shared" si="7"/>
        <v>14192.093377722584</v>
      </c>
      <c r="DQ43" s="539">
        <f t="shared" si="7"/>
        <v>14192.093377722584</v>
      </c>
      <c r="DR43" s="539">
        <f t="shared" si="7"/>
        <v>14475.935245277034</v>
      </c>
      <c r="DS43" s="539">
        <f t="shared" si="7"/>
        <v>14475.935245277034</v>
      </c>
      <c r="DT43" s="539">
        <f t="shared" si="7"/>
        <v>14475.935245277034</v>
      </c>
      <c r="DU43" s="539">
        <f t="shared" si="7"/>
        <v>14475.935245277034</v>
      </c>
      <c r="DV43" s="539">
        <f t="shared" si="7"/>
        <v>14765.453950182577</v>
      </c>
      <c r="DW43" s="539">
        <f t="shared" si="7"/>
        <v>14765.453950182577</v>
      </c>
      <c r="DX43" s="539">
        <f t="shared" si="7"/>
        <v>14765.453950182577</v>
      </c>
      <c r="DY43" s="539">
        <f t="shared" si="7"/>
        <v>14765.453950182577</v>
      </c>
      <c r="DZ43" s="539">
        <f t="shared" si="7"/>
        <v>15060.763029186226</v>
      </c>
      <c r="EA43" s="539">
        <f t="shared" si="7"/>
        <v>15060.763029186226</v>
      </c>
      <c r="EB43" s="539">
        <f t="shared" si="7"/>
        <v>15060.763029186226</v>
      </c>
      <c r="EC43" s="539">
        <f t="shared" si="7"/>
        <v>15060.763029186226</v>
      </c>
      <c r="ED43" s="539">
        <f t="shared" si="7"/>
        <v>0</v>
      </c>
      <c r="EE43" s="539">
        <f t="shared" si="7"/>
        <v>0</v>
      </c>
      <c r="EF43" s="539">
        <f t="shared" si="7"/>
        <v>0</v>
      </c>
      <c r="EG43" s="539">
        <f t="shared" si="7"/>
        <v>0</v>
      </c>
    </row>
    <row r="44" spans="5:137" ht="12.75">
      <c r="E44" s="538" t="s">
        <v>259</v>
      </c>
      <c r="G44" s="539" t="s">
        <v>30</v>
      </c>
      <c r="H44" s="539">
        <f>SUM(J44:EG44)</f>
        <v>399891.88598466327</v>
      </c>
      <c r="J44" s="539">
        <f t="shared" si="8" ref="J44:EG44">$F39*J40*J41*J42</f>
        <v>0</v>
      </c>
      <c r="K44" s="539">
        <f t="shared" si="8"/>
        <v>0</v>
      </c>
      <c r="L44" s="539">
        <f t="shared" si="8"/>
        <v>0</v>
      </c>
      <c r="M44" s="539">
        <f t="shared" si="8"/>
        <v>0</v>
      </c>
      <c r="N44" s="539">
        <f t="shared" si="8"/>
        <v>0</v>
      </c>
      <c r="O44" s="539">
        <f t="shared" si="8"/>
        <v>0</v>
      </c>
      <c r="P44" s="539">
        <f t="shared" si="8"/>
        <v>0</v>
      </c>
      <c r="Q44" s="539">
        <f t="shared" si="8"/>
        <v>0</v>
      </c>
      <c r="R44" s="539">
        <f t="shared" si="8"/>
        <v>0</v>
      </c>
      <c r="S44" s="539">
        <f t="shared" si="8"/>
        <v>0</v>
      </c>
      <c r="T44" s="539">
        <f t="shared" si="8"/>
        <v>0</v>
      </c>
      <c r="U44" s="539">
        <f t="shared" si="8"/>
        <v>0</v>
      </c>
      <c r="V44" s="539">
        <f t="shared" si="8"/>
        <v>0</v>
      </c>
      <c r="W44" s="539">
        <f t="shared" si="8"/>
        <v>0</v>
      </c>
      <c r="X44" s="539">
        <f t="shared" si="8"/>
        <v>0</v>
      </c>
      <c r="Y44" s="539">
        <f t="shared" si="8"/>
        <v>0</v>
      </c>
      <c r="Z44" s="539">
        <f t="shared" si="8"/>
        <v>0</v>
      </c>
      <c r="AA44" s="539">
        <f t="shared" si="8"/>
        <v>0</v>
      </c>
      <c r="AB44" s="539">
        <f t="shared" si="8"/>
        <v>0</v>
      </c>
      <c r="AC44" s="539">
        <f t="shared" si="8"/>
        <v>0</v>
      </c>
      <c r="AD44" s="539">
        <f t="shared" si="8"/>
        <v>0</v>
      </c>
      <c r="AE44" s="539">
        <f t="shared" si="8"/>
        <v>0</v>
      </c>
      <c r="AF44" s="539">
        <f t="shared" si="8"/>
        <v>0</v>
      </c>
      <c r="AG44" s="539">
        <f t="shared" si="8"/>
        <v>0</v>
      </c>
      <c r="AH44" s="539">
        <f t="shared" si="8"/>
        <v>3121.1999999999998</v>
      </c>
      <c r="AI44" s="539">
        <f t="shared" si="8"/>
        <v>3121.1999999999998</v>
      </c>
      <c r="AJ44" s="539">
        <f t="shared" si="8"/>
        <v>3121.1999999999998</v>
      </c>
      <c r="AK44" s="539">
        <f t="shared" si="8"/>
        <v>3121.1999999999998</v>
      </c>
      <c r="AL44" s="539">
        <f t="shared" si="8"/>
        <v>3183.6239999999998</v>
      </c>
      <c r="AM44" s="539">
        <f t="shared" si="8"/>
        <v>3183.6239999999998</v>
      </c>
      <c r="AN44" s="539">
        <f t="shared" si="8"/>
        <v>3183.6239999999998</v>
      </c>
      <c r="AO44" s="539">
        <f t="shared" si="8"/>
        <v>3183.6239999999998</v>
      </c>
      <c r="AP44" s="539">
        <f t="shared" si="8"/>
        <v>3247.29648</v>
      </c>
      <c r="AQ44" s="539">
        <f t="shared" si="8"/>
        <v>3247.29648</v>
      </c>
      <c r="AR44" s="539">
        <f t="shared" si="8"/>
        <v>3247.29648</v>
      </c>
      <c r="AS44" s="539">
        <f t="shared" si="8"/>
        <v>3247.29648</v>
      </c>
      <c r="AT44" s="539">
        <f t="shared" si="8"/>
        <v>3312.2424096</v>
      </c>
      <c r="AU44" s="539">
        <f t="shared" si="8"/>
        <v>3312.2424096</v>
      </c>
      <c r="AV44" s="539">
        <f t="shared" si="8"/>
        <v>3312.2424096</v>
      </c>
      <c r="AW44" s="539">
        <f t="shared" si="8"/>
        <v>3312.2424096</v>
      </c>
      <c r="AX44" s="539">
        <f t="shared" si="8"/>
        <v>3378.487257792</v>
      </c>
      <c r="AY44" s="539">
        <f t="shared" si="8"/>
        <v>3378.487257792</v>
      </c>
      <c r="AZ44" s="539">
        <f t="shared" si="8"/>
        <v>3378.487257792</v>
      </c>
      <c r="BA44" s="539">
        <f t="shared" si="8"/>
        <v>3378.487257792</v>
      </c>
      <c r="BB44" s="539">
        <f t="shared" si="8"/>
        <v>3446.0570029478399</v>
      </c>
      <c r="BC44" s="539">
        <f t="shared" si="8"/>
        <v>3446.0570029478399</v>
      </c>
      <c r="BD44" s="539">
        <f t="shared" si="8"/>
        <v>3446.0570029478399</v>
      </c>
      <c r="BE44" s="539">
        <f t="shared" si="8"/>
        <v>3446.0570029478399</v>
      </c>
      <c r="BF44" s="539">
        <f t="shared" si="8"/>
        <v>3514.9781430067974</v>
      </c>
      <c r="BG44" s="539">
        <f t="shared" si="8"/>
        <v>3514.9781430067974</v>
      </c>
      <c r="BH44" s="539">
        <f t="shared" si="8"/>
        <v>3514.9781430067974</v>
      </c>
      <c r="BI44" s="539">
        <f t="shared" si="8"/>
        <v>3514.9781430067974</v>
      </c>
      <c r="BJ44" s="539">
        <f t="shared" si="8"/>
        <v>3585.277705866933</v>
      </c>
      <c r="BK44" s="539">
        <f t="shared" si="8"/>
        <v>3585.277705866933</v>
      </c>
      <c r="BL44" s="539">
        <f t="shared" si="8"/>
        <v>3585.277705866933</v>
      </c>
      <c r="BM44" s="539">
        <f t="shared" si="8"/>
        <v>3585.277705866933</v>
      </c>
      <c r="BN44" s="539">
        <f t="shared" si="8"/>
        <v>3656.9832599842721</v>
      </c>
      <c r="BO44" s="539">
        <f t="shared" si="8"/>
        <v>3656.9832599842721</v>
      </c>
      <c r="BP44" s="539">
        <f t="shared" si="8"/>
        <v>3656.9832599842721</v>
      </c>
      <c r="BQ44" s="539">
        <f t="shared" si="8"/>
        <v>3656.9832599842721</v>
      </c>
      <c r="BR44" s="539">
        <f t="shared" si="8"/>
        <v>3730.1229251839572</v>
      </c>
      <c r="BS44" s="539">
        <f t="shared" si="8"/>
        <v>3730.1229251839572</v>
      </c>
      <c r="BT44" s="539">
        <f t="shared" si="8"/>
        <v>3730.1229251839572</v>
      </c>
      <c r="BU44" s="539">
        <f t="shared" si="8"/>
        <v>3730.1229251839572</v>
      </c>
      <c r="BV44" s="539">
        <f t="shared" si="8"/>
        <v>3804.7253836876366</v>
      </c>
      <c r="BW44" s="539">
        <f t="shared" si="8"/>
        <v>3804.7253836876366</v>
      </c>
      <c r="BX44" s="539">
        <f t="shared" si="8"/>
        <v>3804.7253836876366</v>
      </c>
      <c r="BY44" s="539">
        <f t="shared" si="8"/>
        <v>3804.7253836876366</v>
      </c>
      <c r="BZ44" s="539">
        <f t="shared" si="8"/>
        <v>3880.8198913613887</v>
      </c>
      <c r="CA44" s="539">
        <f t="shared" si="8"/>
        <v>3880.8198913613887</v>
      </c>
      <c r="CB44" s="539">
        <f t="shared" si="8"/>
        <v>3880.8198913613887</v>
      </c>
      <c r="CC44" s="539">
        <f t="shared" si="8"/>
        <v>3880.8198913613887</v>
      </c>
      <c r="CD44" s="539">
        <f t="shared" si="8"/>
        <v>3958.4362891886171</v>
      </c>
      <c r="CE44" s="539">
        <f t="shared" si="8"/>
        <v>3958.4362891886171</v>
      </c>
      <c r="CF44" s="539">
        <f t="shared" si="8"/>
        <v>3958.4362891886171</v>
      </c>
      <c r="CG44" s="539">
        <f t="shared" si="8"/>
        <v>3958.4362891886171</v>
      </c>
      <c r="CH44" s="539">
        <f t="shared" si="8"/>
        <v>4037.6050149723897</v>
      </c>
      <c r="CI44" s="539">
        <f t="shared" si="8"/>
        <v>4037.6050149723897</v>
      </c>
      <c r="CJ44" s="539">
        <f t="shared" si="8"/>
        <v>4037.6050149723897</v>
      </c>
      <c r="CK44" s="539">
        <f t="shared" si="8"/>
        <v>4037.6050149723897</v>
      </c>
      <c r="CL44" s="539">
        <f t="shared" si="8"/>
        <v>4118.3571152718378</v>
      </c>
      <c r="CM44" s="539">
        <f t="shared" si="8"/>
        <v>4118.3571152718378</v>
      </c>
      <c r="CN44" s="539">
        <f t="shared" si="8"/>
        <v>4118.3571152718378</v>
      </c>
      <c r="CO44" s="539">
        <f t="shared" si="8"/>
        <v>4118.3571152718378</v>
      </c>
      <c r="CP44" s="539">
        <f t="shared" si="8"/>
        <v>4200.7242575772743</v>
      </c>
      <c r="CQ44" s="539">
        <f t="shared" si="8"/>
        <v>4200.7242575772743</v>
      </c>
      <c r="CR44" s="539">
        <f t="shared" si="8"/>
        <v>4200.7242575772743</v>
      </c>
      <c r="CS44" s="539">
        <f t="shared" si="8"/>
        <v>4200.7242575772743</v>
      </c>
      <c r="CT44" s="539">
        <f t="shared" si="8"/>
        <v>4284.7387427288204</v>
      </c>
      <c r="CU44" s="539">
        <f t="shared" si="8"/>
        <v>4284.7387427288204</v>
      </c>
      <c r="CV44" s="539">
        <f t="shared" si="8"/>
        <v>4284.7387427288204</v>
      </c>
      <c r="CW44" s="539">
        <f t="shared" si="8"/>
        <v>4284.7387427288204</v>
      </c>
      <c r="CX44" s="539">
        <f t="shared" si="8"/>
        <v>4370.4335175833967</v>
      </c>
      <c r="CY44" s="539">
        <f t="shared" si="8"/>
        <v>4370.4335175833967</v>
      </c>
      <c r="CZ44" s="539">
        <f t="shared" si="8"/>
        <v>4370.4335175833967</v>
      </c>
      <c r="DA44" s="539">
        <f t="shared" si="8"/>
        <v>4370.4335175833967</v>
      </c>
      <c r="DB44" s="539">
        <f t="shared" si="8"/>
        <v>4457.8421879350644</v>
      </c>
      <c r="DC44" s="539">
        <f t="shared" si="8"/>
        <v>4457.8421879350644</v>
      </c>
      <c r="DD44" s="539">
        <f t="shared" si="8"/>
        <v>4457.8421879350644</v>
      </c>
      <c r="DE44" s="539">
        <f t="shared" si="8"/>
        <v>4457.8421879350644</v>
      </c>
      <c r="DF44" s="539">
        <f t="shared" si="8"/>
        <v>4546.9990316937665</v>
      </c>
      <c r="DG44" s="539">
        <f t="shared" si="8"/>
        <v>4546.9990316937665</v>
      </c>
      <c r="DH44" s="539">
        <f t="shared" si="8"/>
        <v>4546.9990316937665</v>
      </c>
      <c r="DI44" s="539">
        <f t="shared" si="8"/>
        <v>4546.9990316937665</v>
      </c>
      <c r="DJ44" s="539">
        <f t="shared" si="8"/>
        <v>4637.9390123276416</v>
      </c>
      <c r="DK44" s="539">
        <f t="shared" si="8"/>
        <v>4637.9390123276416</v>
      </c>
      <c r="DL44" s="539">
        <f t="shared" si="8"/>
        <v>4637.9390123276416</v>
      </c>
      <c r="DM44" s="539">
        <f t="shared" si="8"/>
        <v>4637.9390123276416</v>
      </c>
      <c r="DN44" s="539">
        <f t="shared" si="8"/>
        <v>4730.6977925741949</v>
      </c>
      <c r="DO44" s="539">
        <f t="shared" si="8"/>
        <v>4730.6977925741949</v>
      </c>
      <c r="DP44" s="539">
        <f t="shared" si="8"/>
        <v>4730.6977925741949</v>
      </c>
      <c r="DQ44" s="539">
        <f t="shared" si="8"/>
        <v>4730.6977925741949</v>
      </c>
      <c r="DR44" s="539">
        <f t="shared" si="8"/>
        <v>4825.3117484256782</v>
      </c>
      <c r="DS44" s="539">
        <f t="shared" si="8"/>
        <v>4825.3117484256782</v>
      </c>
      <c r="DT44" s="539">
        <f t="shared" si="8"/>
        <v>4825.3117484256782</v>
      </c>
      <c r="DU44" s="539">
        <f t="shared" si="8"/>
        <v>4825.3117484256782</v>
      </c>
      <c r="DV44" s="539">
        <f t="shared" si="8"/>
        <v>4921.8179833941922</v>
      </c>
      <c r="DW44" s="539">
        <f t="shared" si="8"/>
        <v>4921.8179833941922</v>
      </c>
      <c r="DX44" s="539">
        <f t="shared" si="8"/>
        <v>4921.8179833941922</v>
      </c>
      <c r="DY44" s="539">
        <f t="shared" si="8"/>
        <v>4921.8179833941922</v>
      </c>
      <c r="DZ44" s="539">
        <f t="shared" si="8"/>
        <v>5020.2543430620753</v>
      </c>
      <c r="EA44" s="539">
        <f t="shared" si="8"/>
        <v>5020.2543430620753</v>
      </c>
      <c r="EB44" s="539">
        <f t="shared" si="8"/>
        <v>5020.2543430620753</v>
      </c>
      <c r="EC44" s="539">
        <f t="shared" si="8"/>
        <v>5020.2543430620753</v>
      </c>
      <c r="ED44" s="539">
        <f t="shared" si="8"/>
        <v>0</v>
      </c>
      <c r="EE44" s="539">
        <f t="shared" si="8"/>
        <v>0</v>
      </c>
      <c r="EF44" s="539">
        <f t="shared" si="8"/>
        <v>0</v>
      </c>
      <c r="EG44" s="539">
        <f t="shared" si="8"/>
        <v>0</v>
      </c>
    </row>
    <row r="46" spans="5:137" ht="12.75">
      <c r="E46" s="538" t="str">
        <f>E$43</f>
        <v>Revenue A - indexed</v>
      </c>
      <c r="G46" s="539" t="str">
        <f>G$43</f>
        <v>EUR 000s</v>
      </c>
      <c r="H46" s="539">
        <f>H$43</f>
        <v>1199675.6579539899</v>
      </c>
      <c r="J46" s="539">
        <f t="shared" si="9" ref="J46:EG46">J$43</f>
        <v>0</v>
      </c>
      <c r="K46" s="539">
        <f t="shared" si="9"/>
        <v>0</v>
      </c>
      <c r="L46" s="539">
        <f t="shared" si="9"/>
        <v>0</v>
      </c>
      <c r="M46" s="539">
        <f t="shared" si="9"/>
        <v>0</v>
      </c>
      <c r="N46" s="539">
        <f t="shared" si="9"/>
        <v>0</v>
      </c>
      <c r="O46" s="539">
        <f t="shared" si="9"/>
        <v>0</v>
      </c>
      <c r="P46" s="539">
        <f t="shared" si="9"/>
        <v>0</v>
      </c>
      <c r="Q46" s="539">
        <f t="shared" si="9"/>
        <v>0</v>
      </c>
      <c r="R46" s="539">
        <f t="shared" si="9"/>
        <v>0</v>
      </c>
      <c r="S46" s="539">
        <f t="shared" si="9"/>
        <v>0</v>
      </c>
      <c r="T46" s="539">
        <f t="shared" si="9"/>
        <v>0</v>
      </c>
      <c r="U46" s="539">
        <f t="shared" si="9"/>
        <v>0</v>
      </c>
      <c r="V46" s="539">
        <f t="shared" si="9"/>
        <v>0</v>
      </c>
      <c r="W46" s="539">
        <f t="shared" si="9"/>
        <v>0</v>
      </c>
      <c r="X46" s="539">
        <f t="shared" si="9"/>
        <v>0</v>
      </c>
      <c r="Y46" s="539">
        <f t="shared" si="9"/>
        <v>0</v>
      </c>
      <c r="Z46" s="539">
        <f t="shared" si="9"/>
        <v>0</v>
      </c>
      <c r="AA46" s="539">
        <f t="shared" si="9"/>
        <v>0</v>
      </c>
      <c r="AB46" s="539">
        <f t="shared" si="9"/>
        <v>0</v>
      </c>
      <c r="AC46" s="539">
        <f t="shared" si="9"/>
        <v>0</v>
      </c>
      <c r="AD46" s="539">
        <f t="shared" si="9"/>
        <v>0</v>
      </c>
      <c r="AE46" s="539">
        <f t="shared" si="9"/>
        <v>0</v>
      </c>
      <c r="AF46" s="539">
        <f t="shared" si="9"/>
        <v>0</v>
      </c>
      <c r="AG46" s="539">
        <f t="shared" si="9"/>
        <v>0</v>
      </c>
      <c r="AH46" s="539">
        <f t="shared" si="9"/>
        <v>9363.6000000000004</v>
      </c>
      <c r="AI46" s="539">
        <f t="shared" si="9"/>
        <v>9363.6000000000004</v>
      </c>
      <c r="AJ46" s="539">
        <f t="shared" si="9"/>
        <v>9363.6000000000004</v>
      </c>
      <c r="AK46" s="539">
        <f t="shared" si="9"/>
        <v>9363.6000000000004</v>
      </c>
      <c r="AL46" s="539">
        <f t="shared" si="9"/>
        <v>9550.8719999999994</v>
      </c>
      <c r="AM46" s="539">
        <f t="shared" si="9"/>
        <v>9550.8719999999994</v>
      </c>
      <c r="AN46" s="539">
        <f t="shared" si="9"/>
        <v>9550.8719999999994</v>
      </c>
      <c r="AO46" s="539">
        <f t="shared" si="9"/>
        <v>9550.8719999999994</v>
      </c>
      <c r="AP46" s="539">
        <f t="shared" si="9"/>
        <v>9741.889439999999</v>
      </c>
      <c r="AQ46" s="539">
        <f t="shared" si="9"/>
        <v>9741.889439999999</v>
      </c>
      <c r="AR46" s="539">
        <f t="shared" si="9"/>
        <v>9741.889439999999</v>
      </c>
      <c r="AS46" s="539">
        <f t="shared" si="9"/>
        <v>9741.889439999999</v>
      </c>
      <c r="AT46" s="539">
        <f t="shared" si="9"/>
        <v>9936.7272288000004</v>
      </c>
      <c r="AU46" s="539">
        <f t="shared" si="9"/>
        <v>9936.7272288000004</v>
      </c>
      <c r="AV46" s="539">
        <f t="shared" si="9"/>
        <v>9936.7272288000004</v>
      </c>
      <c r="AW46" s="539">
        <f t="shared" si="9"/>
        <v>9936.7272288000004</v>
      </c>
      <c r="AX46" s="539">
        <f t="shared" si="9"/>
        <v>10135.461773376001</v>
      </c>
      <c r="AY46" s="539">
        <f t="shared" si="9"/>
        <v>10135.461773376001</v>
      </c>
      <c r="AZ46" s="539">
        <f t="shared" si="9"/>
        <v>10135.461773376001</v>
      </c>
      <c r="BA46" s="539">
        <f t="shared" si="9"/>
        <v>10135.461773376001</v>
      </c>
      <c r="BB46" s="539">
        <f t="shared" si="9"/>
        <v>10338.171008843521</v>
      </c>
      <c r="BC46" s="539">
        <f t="shared" si="9"/>
        <v>10338.171008843521</v>
      </c>
      <c r="BD46" s="539">
        <f t="shared" si="9"/>
        <v>10338.171008843521</v>
      </c>
      <c r="BE46" s="539">
        <f t="shared" si="9"/>
        <v>10338.171008843521</v>
      </c>
      <c r="BF46" s="539">
        <f t="shared" si="9"/>
        <v>10544.934429020392</v>
      </c>
      <c r="BG46" s="539">
        <f t="shared" si="9"/>
        <v>10544.934429020392</v>
      </c>
      <c r="BH46" s="539">
        <f t="shared" si="9"/>
        <v>10544.934429020392</v>
      </c>
      <c r="BI46" s="539">
        <f t="shared" si="9"/>
        <v>10544.934429020392</v>
      </c>
      <c r="BJ46" s="539">
        <f t="shared" si="9"/>
        <v>10755.8331176008</v>
      </c>
      <c r="BK46" s="539">
        <f t="shared" si="9"/>
        <v>10755.8331176008</v>
      </c>
      <c r="BL46" s="539">
        <f t="shared" si="9"/>
        <v>10755.8331176008</v>
      </c>
      <c r="BM46" s="539">
        <f t="shared" si="9"/>
        <v>10755.8331176008</v>
      </c>
      <c r="BN46" s="539">
        <f t="shared" si="9"/>
        <v>10970.949779952816</v>
      </c>
      <c r="BO46" s="539">
        <f t="shared" si="9"/>
        <v>10970.949779952816</v>
      </c>
      <c r="BP46" s="539">
        <f t="shared" si="9"/>
        <v>10970.949779952816</v>
      </c>
      <c r="BQ46" s="539">
        <f t="shared" si="9"/>
        <v>10970.949779952816</v>
      </c>
      <c r="BR46" s="539">
        <f t="shared" si="9"/>
        <v>11190.368775551871</v>
      </c>
      <c r="BS46" s="539">
        <f t="shared" si="9"/>
        <v>11190.368775551871</v>
      </c>
      <c r="BT46" s="539">
        <f t="shared" si="9"/>
        <v>11190.368775551871</v>
      </c>
      <c r="BU46" s="539">
        <f t="shared" si="9"/>
        <v>11190.368775551871</v>
      </c>
      <c r="BV46" s="539">
        <f t="shared" si="9"/>
        <v>11414.176151062909</v>
      </c>
      <c r="BW46" s="539">
        <f t="shared" si="9"/>
        <v>11414.176151062909</v>
      </c>
      <c r="BX46" s="539">
        <f t="shared" si="9"/>
        <v>11414.176151062909</v>
      </c>
      <c r="BY46" s="539">
        <f t="shared" si="9"/>
        <v>11414.176151062909</v>
      </c>
      <c r="BZ46" s="539">
        <f t="shared" si="9"/>
        <v>11642.459674084166</v>
      </c>
      <c r="CA46" s="539">
        <f t="shared" si="9"/>
        <v>11642.459674084166</v>
      </c>
      <c r="CB46" s="539">
        <f t="shared" si="9"/>
        <v>11642.459674084166</v>
      </c>
      <c r="CC46" s="539">
        <f t="shared" si="9"/>
        <v>11642.459674084166</v>
      </c>
      <c r="CD46" s="539">
        <f t="shared" si="9"/>
        <v>11875.308867565851</v>
      </c>
      <c r="CE46" s="539">
        <f t="shared" si="9"/>
        <v>11875.308867565851</v>
      </c>
      <c r="CF46" s="539">
        <f t="shared" si="9"/>
        <v>11875.308867565851</v>
      </c>
      <c r="CG46" s="539">
        <f t="shared" si="9"/>
        <v>11875.308867565851</v>
      </c>
      <c r="CH46" s="539">
        <f t="shared" si="9"/>
        <v>12112.81504491717</v>
      </c>
      <c r="CI46" s="539">
        <f t="shared" si="9"/>
        <v>12112.81504491717</v>
      </c>
      <c r="CJ46" s="539">
        <f t="shared" si="9"/>
        <v>12112.81504491717</v>
      </c>
      <c r="CK46" s="539">
        <f t="shared" si="9"/>
        <v>12112.81504491717</v>
      </c>
      <c r="CL46" s="539">
        <f t="shared" si="9"/>
        <v>12355.071345815513</v>
      </c>
      <c r="CM46" s="539">
        <f t="shared" si="9"/>
        <v>12355.071345815513</v>
      </c>
      <c r="CN46" s="539">
        <f t="shared" si="9"/>
        <v>12355.071345815513</v>
      </c>
      <c r="CO46" s="539">
        <f t="shared" si="9"/>
        <v>12355.071345815513</v>
      </c>
      <c r="CP46" s="539">
        <f t="shared" si="9"/>
        <v>12602.172772731823</v>
      </c>
      <c r="CQ46" s="539">
        <f t="shared" si="9"/>
        <v>12602.172772731823</v>
      </c>
      <c r="CR46" s="539">
        <f t="shared" si="9"/>
        <v>12602.172772731823</v>
      </c>
      <c r="CS46" s="539">
        <f t="shared" si="9"/>
        <v>12602.172772731823</v>
      </c>
      <c r="CT46" s="539">
        <f t="shared" si="9"/>
        <v>12854.21622818646</v>
      </c>
      <c r="CU46" s="539">
        <f t="shared" si="9"/>
        <v>12854.21622818646</v>
      </c>
      <c r="CV46" s="539">
        <f t="shared" si="9"/>
        <v>12854.21622818646</v>
      </c>
      <c r="CW46" s="539">
        <f t="shared" si="9"/>
        <v>12854.21622818646</v>
      </c>
      <c r="CX46" s="539">
        <f t="shared" si="9"/>
        <v>13111.30055275019</v>
      </c>
      <c r="CY46" s="539">
        <f t="shared" si="9"/>
        <v>13111.30055275019</v>
      </c>
      <c r="CZ46" s="539">
        <f t="shared" si="9"/>
        <v>13111.30055275019</v>
      </c>
      <c r="DA46" s="539">
        <f t="shared" si="9"/>
        <v>13111.30055275019</v>
      </c>
      <c r="DB46" s="539">
        <f t="shared" si="9"/>
        <v>13373.526563805193</v>
      </c>
      <c r="DC46" s="539">
        <f t="shared" si="9"/>
        <v>13373.526563805193</v>
      </c>
      <c r="DD46" s="539">
        <f t="shared" si="9"/>
        <v>13373.526563805193</v>
      </c>
      <c r="DE46" s="539">
        <f t="shared" si="9"/>
        <v>13373.526563805193</v>
      </c>
      <c r="DF46" s="539">
        <f t="shared" si="9"/>
        <v>13640.997095081299</v>
      </c>
      <c r="DG46" s="539">
        <f t="shared" si="9"/>
        <v>13640.997095081299</v>
      </c>
      <c r="DH46" s="539">
        <f t="shared" si="9"/>
        <v>13640.997095081299</v>
      </c>
      <c r="DI46" s="539">
        <f t="shared" si="9"/>
        <v>13640.997095081299</v>
      </c>
      <c r="DJ46" s="539">
        <f t="shared" si="9"/>
        <v>13913.817036982926</v>
      </c>
      <c r="DK46" s="539">
        <f t="shared" si="9"/>
        <v>13913.817036982926</v>
      </c>
      <c r="DL46" s="539">
        <f t="shared" si="9"/>
        <v>13913.817036982926</v>
      </c>
      <c r="DM46" s="539">
        <f t="shared" si="9"/>
        <v>13913.817036982926</v>
      </c>
      <c r="DN46" s="539">
        <f t="shared" si="9"/>
        <v>14192.093377722584</v>
      </c>
      <c r="DO46" s="539">
        <f t="shared" si="9"/>
        <v>14192.093377722584</v>
      </c>
      <c r="DP46" s="539">
        <f t="shared" si="9"/>
        <v>14192.093377722584</v>
      </c>
      <c r="DQ46" s="539">
        <f t="shared" si="9"/>
        <v>14192.093377722584</v>
      </c>
      <c r="DR46" s="539">
        <f t="shared" si="9"/>
        <v>14475.935245277034</v>
      </c>
      <c r="DS46" s="539">
        <f t="shared" si="9"/>
        <v>14475.935245277034</v>
      </c>
      <c r="DT46" s="539">
        <f t="shared" si="9"/>
        <v>14475.935245277034</v>
      </c>
      <c r="DU46" s="539">
        <f t="shared" si="9"/>
        <v>14475.935245277034</v>
      </c>
      <c r="DV46" s="539">
        <f t="shared" si="9"/>
        <v>14765.453950182577</v>
      </c>
      <c r="DW46" s="539">
        <f t="shared" si="9"/>
        <v>14765.453950182577</v>
      </c>
      <c r="DX46" s="539">
        <f t="shared" si="9"/>
        <v>14765.453950182577</v>
      </c>
      <c r="DY46" s="539">
        <f t="shared" si="9"/>
        <v>14765.453950182577</v>
      </c>
      <c r="DZ46" s="539">
        <f t="shared" si="9"/>
        <v>15060.763029186226</v>
      </c>
      <c r="EA46" s="539">
        <f t="shared" si="9"/>
        <v>15060.763029186226</v>
      </c>
      <c r="EB46" s="539">
        <f t="shared" si="9"/>
        <v>15060.763029186226</v>
      </c>
      <c r="EC46" s="539">
        <f t="shared" si="9"/>
        <v>15060.763029186226</v>
      </c>
      <c r="ED46" s="539">
        <f t="shared" si="9"/>
        <v>0</v>
      </c>
      <c r="EE46" s="539">
        <f t="shared" si="9"/>
        <v>0</v>
      </c>
      <c r="EF46" s="539">
        <f t="shared" si="9"/>
        <v>0</v>
      </c>
      <c r="EG46" s="539">
        <f t="shared" si="9"/>
        <v>0</v>
      </c>
    </row>
    <row r="47" spans="5:137" ht="12.75">
      <c r="E47" s="538" t="str">
        <f>E$44</f>
        <v>Revenue B - indexed</v>
      </c>
      <c r="G47" s="539" t="str">
        <f>G$44</f>
        <v>EUR 000s</v>
      </c>
      <c r="H47" s="539">
        <f>H$44</f>
        <v>399891.88598466327</v>
      </c>
      <c r="J47" s="539">
        <f t="shared" si="10" ref="J47:EG47">J$44</f>
        <v>0</v>
      </c>
      <c r="K47" s="539">
        <f t="shared" si="10"/>
        <v>0</v>
      </c>
      <c r="L47" s="539">
        <f t="shared" si="10"/>
        <v>0</v>
      </c>
      <c r="M47" s="539">
        <f t="shared" si="10"/>
        <v>0</v>
      </c>
      <c r="N47" s="539">
        <f t="shared" si="10"/>
        <v>0</v>
      </c>
      <c r="O47" s="539">
        <f t="shared" si="10"/>
        <v>0</v>
      </c>
      <c r="P47" s="539">
        <f t="shared" si="10"/>
        <v>0</v>
      </c>
      <c r="Q47" s="539">
        <f t="shared" si="10"/>
        <v>0</v>
      </c>
      <c r="R47" s="539">
        <f t="shared" si="10"/>
        <v>0</v>
      </c>
      <c r="S47" s="539">
        <f t="shared" si="10"/>
        <v>0</v>
      </c>
      <c r="T47" s="539">
        <f t="shared" si="10"/>
        <v>0</v>
      </c>
      <c r="U47" s="539">
        <f t="shared" si="10"/>
        <v>0</v>
      </c>
      <c r="V47" s="539">
        <f t="shared" si="10"/>
        <v>0</v>
      </c>
      <c r="W47" s="539">
        <f t="shared" si="10"/>
        <v>0</v>
      </c>
      <c r="X47" s="539">
        <f t="shared" si="10"/>
        <v>0</v>
      </c>
      <c r="Y47" s="539">
        <f t="shared" si="10"/>
        <v>0</v>
      </c>
      <c r="Z47" s="539">
        <f t="shared" si="10"/>
        <v>0</v>
      </c>
      <c r="AA47" s="539">
        <f t="shared" si="10"/>
        <v>0</v>
      </c>
      <c r="AB47" s="539">
        <f t="shared" si="10"/>
        <v>0</v>
      </c>
      <c r="AC47" s="539">
        <f t="shared" si="10"/>
        <v>0</v>
      </c>
      <c r="AD47" s="539">
        <f t="shared" si="10"/>
        <v>0</v>
      </c>
      <c r="AE47" s="539">
        <f t="shared" si="10"/>
        <v>0</v>
      </c>
      <c r="AF47" s="539">
        <f t="shared" si="10"/>
        <v>0</v>
      </c>
      <c r="AG47" s="539">
        <f t="shared" si="10"/>
        <v>0</v>
      </c>
      <c r="AH47" s="539">
        <f t="shared" si="10"/>
        <v>3121.1999999999998</v>
      </c>
      <c r="AI47" s="539">
        <f t="shared" si="10"/>
        <v>3121.1999999999998</v>
      </c>
      <c r="AJ47" s="539">
        <f t="shared" si="10"/>
        <v>3121.1999999999998</v>
      </c>
      <c r="AK47" s="539">
        <f t="shared" si="10"/>
        <v>3121.1999999999998</v>
      </c>
      <c r="AL47" s="539">
        <f t="shared" si="10"/>
        <v>3183.6239999999998</v>
      </c>
      <c r="AM47" s="539">
        <f t="shared" si="10"/>
        <v>3183.6239999999998</v>
      </c>
      <c r="AN47" s="539">
        <f t="shared" si="10"/>
        <v>3183.6239999999998</v>
      </c>
      <c r="AO47" s="539">
        <f t="shared" si="10"/>
        <v>3183.6239999999998</v>
      </c>
      <c r="AP47" s="539">
        <f t="shared" si="10"/>
        <v>3247.29648</v>
      </c>
      <c r="AQ47" s="539">
        <f t="shared" si="10"/>
        <v>3247.29648</v>
      </c>
      <c r="AR47" s="539">
        <f t="shared" si="10"/>
        <v>3247.29648</v>
      </c>
      <c r="AS47" s="539">
        <f t="shared" si="10"/>
        <v>3247.29648</v>
      </c>
      <c r="AT47" s="539">
        <f t="shared" si="10"/>
        <v>3312.2424096</v>
      </c>
      <c r="AU47" s="539">
        <f t="shared" si="10"/>
        <v>3312.2424096</v>
      </c>
      <c r="AV47" s="539">
        <f t="shared" si="10"/>
        <v>3312.2424096</v>
      </c>
      <c r="AW47" s="539">
        <f t="shared" si="10"/>
        <v>3312.2424096</v>
      </c>
      <c r="AX47" s="539">
        <f t="shared" si="10"/>
        <v>3378.487257792</v>
      </c>
      <c r="AY47" s="539">
        <f t="shared" si="10"/>
        <v>3378.487257792</v>
      </c>
      <c r="AZ47" s="539">
        <f t="shared" si="10"/>
        <v>3378.487257792</v>
      </c>
      <c r="BA47" s="539">
        <f t="shared" si="10"/>
        <v>3378.487257792</v>
      </c>
      <c r="BB47" s="539">
        <f t="shared" si="10"/>
        <v>3446.0570029478399</v>
      </c>
      <c r="BC47" s="539">
        <f t="shared" si="10"/>
        <v>3446.0570029478399</v>
      </c>
      <c r="BD47" s="539">
        <f t="shared" si="10"/>
        <v>3446.0570029478399</v>
      </c>
      <c r="BE47" s="539">
        <f t="shared" si="10"/>
        <v>3446.0570029478399</v>
      </c>
      <c r="BF47" s="539">
        <f t="shared" si="10"/>
        <v>3514.9781430067974</v>
      </c>
      <c r="BG47" s="539">
        <f t="shared" si="10"/>
        <v>3514.9781430067974</v>
      </c>
      <c r="BH47" s="539">
        <f t="shared" si="10"/>
        <v>3514.9781430067974</v>
      </c>
      <c r="BI47" s="539">
        <f t="shared" si="10"/>
        <v>3514.9781430067974</v>
      </c>
      <c r="BJ47" s="539">
        <f t="shared" si="10"/>
        <v>3585.277705866933</v>
      </c>
      <c r="BK47" s="539">
        <f t="shared" si="10"/>
        <v>3585.277705866933</v>
      </c>
      <c r="BL47" s="539">
        <f t="shared" si="10"/>
        <v>3585.277705866933</v>
      </c>
      <c r="BM47" s="539">
        <f t="shared" si="10"/>
        <v>3585.277705866933</v>
      </c>
      <c r="BN47" s="539">
        <f t="shared" si="10"/>
        <v>3656.9832599842721</v>
      </c>
      <c r="BO47" s="539">
        <f t="shared" si="10"/>
        <v>3656.9832599842721</v>
      </c>
      <c r="BP47" s="539">
        <f t="shared" si="10"/>
        <v>3656.9832599842721</v>
      </c>
      <c r="BQ47" s="539">
        <f t="shared" si="10"/>
        <v>3656.9832599842721</v>
      </c>
      <c r="BR47" s="539">
        <f t="shared" si="10"/>
        <v>3730.1229251839572</v>
      </c>
      <c r="BS47" s="539">
        <f t="shared" si="10"/>
        <v>3730.1229251839572</v>
      </c>
      <c r="BT47" s="539">
        <f t="shared" si="10"/>
        <v>3730.1229251839572</v>
      </c>
      <c r="BU47" s="539">
        <f t="shared" si="10"/>
        <v>3730.1229251839572</v>
      </c>
      <c r="BV47" s="539">
        <f t="shared" si="10"/>
        <v>3804.7253836876366</v>
      </c>
      <c r="BW47" s="539">
        <f t="shared" si="10"/>
        <v>3804.7253836876366</v>
      </c>
      <c r="BX47" s="539">
        <f t="shared" si="10"/>
        <v>3804.7253836876366</v>
      </c>
      <c r="BY47" s="539">
        <f t="shared" si="10"/>
        <v>3804.7253836876366</v>
      </c>
      <c r="BZ47" s="539">
        <f t="shared" si="10"/>
        <v>3880.8198913613887</v>
      </c>
      <c r="CA47" s="539">
        <f t="shared" si="10"/>
        <v>3880.8198913613887</v>
      </c>
      <c r="CB47" s="539">
        <f t="shared" si="10"/>
        <v>3880.8198913613887</v>
      </c>
      <c r="CC47" s="539">
        <f t="shared" si="10"/>
        <v>3880.8198913613887</v>
      </c>
      <c r="CD47" s="539">
        <f t="shared" si="10"/>
        <v>3958.4362891886171</v>
      </c>
      <c r="CE47" s="539">
        <f t="shared" si="10"/>
        <v>3958.4362891886171</v>
      </c>
      <c r="CF47" s="539">
        <f t="shared" si="10"/>
        <v>3958.4362891886171</v>
      </c>
      <c r="CG47" s="539">
        <f t="shared" si="10"/>
        <v>3958.4362891886171</v>
      </c>
      <c r="CH47" s="539">
        <f t="shared" si="10"/>
        <v>4037.6050149723897</v>
      </c>
      <c r="CI47" s="539">
        <f t="shared" si="10"/>
        <v>4037.6050149723897</v>
      </c>
      <c r="CJ47" s="539">
        <f t="shared" si="10"/>
        <v>4037.6050149723897</v>
      </c>
      <c r="CK47" s="539">
        <f t="shared" si="10"/>
        <v>4037.6050149723897</v>
      </c>
      <c r="CL47" s="539">
        <f t="shared" si="10"/>
        <v>4118.3571152718378</v>
      </c>
      <c r="CM47" s="539">
        <f t="shared" si="10"/>
        <v>4118.3571152718378</v>
      </c>
      <c r="CN47" s="539">
        <f t="shared" si="10"/>
        <v>4118.3571152718378</v>
      </c>
      <c r="CO47" s="539">
        <f t="shared" si="10"/>
        <v>4118.3571152718378</v>
      </c>
      <c r="CP47" s="539">
        <f t="shared" si="10"/>
        <v>4200.7242575772743</v>
      </c>
      <c r="CQ47" s="539">
        <f t="shared" si="10"/>
        <v>4200.7242575772743</v>
      </c>
      <c r="CR47" s="539">
        <f t="shared" si="10"/>
        <v>4200.7242575772743</v>
      </c>
      <c r="CS47" s="539">
        <f t="shared" si="10"/>
        <v>4200.7242575772743</v>
      </c>
      <c r="CT47" s="539">
        <f t="shared" si="10"/>
        <v>4284.7387427288204</v>
      </c>
      <c r="CU47" s="539">
        <f t="shared" si="10"/>
        <v>4284.7387427288204</v>
      </c>
      <c r="CV47" s="539">
        <f t="shared" si="10"/>
        <v>4284.7387427288204</v>
      </c>
      <c r="CW47" s="539">
        <f t="shared" si="10"/>
        <v>4284.7387427288204</v>
      </c>
      <c r="CX47" s="539">
        <f t="shared" si="10"/>
        <v>4370.4335175833967</v>
      </c>
      <c r="CY47" s="539">
        <f t="shared" si="10"/>
        <v>4370.4335175833967</v>
      </c>
      <c r="CZ47" s="539">
        <f t="shared" si="10"/>
        <v>4370.4335175833967</v>
      </c>
      <c r="DA47" s="539">
        <f t="shared" si="10"/>
        <v>4370.4335175833967</v>
      </c>
      <c r="DB47" s="539">
        <f t="shared" si="10"/>
        <v>4457.8421879350644</v>
      </c>
      <c r="DC47" s="539">
        <f t="shared" si="10"/>
        <v>4457.8421879350644</v>
      </c>
      <c r="DD47" s="539">
        <f t="shared" si="10"/>
        <v>4457.8421879350644</v>
      </c>
      <c r="DE47" s="539">
        <f t="shared" si="10"/>
        <v>4457.8421879350644</v>
      </c>
      <c r="DF47" s="539">
        <f t="shared" si="10"/>
        <v>4546.9990316937665</v>
      </c>
      <c r="DG47" s="539">
        <f t="shared" si="10"/>
        <v>4546.9990316937665</v>
      </c>
      <c r="DH47" s="539">
        <f t="shared" si="10"/>
        <v>4546.9990316937665</v>
      </c>
      <c r="DI47" s="539">
        <f t="shared" si="10"/>
        <v>4546.9990316937665</v>
      </c>
      <c r="DJ47" s="539">
        <f t="shared" si="10"/>
        <v>4637.9390123276416</v>
      </c>
      <c r="DK47" s="539">
        <f t="shared" si="10"/>
        <v>4637.9390123276416</v>
      </c>
      <c r="DL47" s="539">
        <f t="shared" si="10"/>
        <v>4637.9390123276416</v>
      </c>
      <c r="DM47" s="539">
        <f t="shared" si="10"/>
        <v>4637.9390123276416</v>
      </c>
      <c r="DN47" s="539">
        <f t="shared" si="10"/>
        <v>4730.6977925741949</v>
      </c>
      <c r="DO47" s="539">
        <f t="shared" si="10"/>
        <v>4730.6977925741949</v>
      </c>
      <c r="DP47" s="539">
        <f t="shared" si="10"/>
        <v>4730.6977925741949</v>
      </c>
      <c r="DQ47" s="539">
        <f t="shared" si="10"/>
        <v>4730.6977925741949</v>
      </c>
      <c r="DR47" s="539">
        <f t="shared" si="10"/>
        <v>4825.3117484256782</v>
      </c>
      <c r="DS47" s="539">
        <f t="shared" si="10"/>
        <v>4825.3117484256782</v>
      </c>
      <c r="DT47" s="539">
        <f t="shared" si="10"/>
        <v>4825.3117484256782</v>
      </c>
      <c r="DU47" s="539">
        <f t="shared" si="10"/>
        <v>4825.3117484256782</v>
      </c>
      <c r="DV47" s="539">
        <f t="shared" si="10"/>
        <v>4921.8179833941922</v>
      </c>
      <c r="DW47" s="539">
        <f t="shared" si="10"/>
        <v>4921.8179833941922</v>
      </c>
      <c r="DX47" s="539">
        <f t="shared" si="10"/>
        <v>4921.8179833941922</v>
      </c>
      <c r="DY47" s="539">
        <f t="shared" si="10"/>
        <v>4921.8179833941922</v>
      </c>
      <c r="DZ47" s="539">
        <f t="shared" si="10"/>
        <v>5020.2543430620753</v>
      </c>
      <c r="EA47" s="539">
        <f t="shared" si="10"/>
        <v>5020.2543430620753</v>
      </c>
      <c r="EB47" s="539">
        <f t="shared" si="10"/>
        <v>5020.2543430620753</v>
      </c>
      <c r="EC47" s="539">
        <f t="shared" si="10"/>
        <v>5020.2543430620753</v>
      </c>
      <c r="ED47" s="539">
        <f t="shared" si="10"/>
        <v>0</v>
      </c>
      <c r="EE47" s="539">
        <f t="shared" si="10"/>
        <v>0</v>
      </c>
      <c r="EF47" s="539">
        <f t="shared" si="10"/>
        <v>0</v>
      </c>
      <c r="EG47" s="539">
        <f t="shared" si="10"/>
        <v>0</v>
      </c>
    </row>
    <row r="48" spans="5:137" ht="12.75">
      <c r="E48" s="540" t="s">
        <v>260</v>
      </c>
      <c r="G48" s="541" t="s">
        <v>30</v>
      </c>
      <c r="H48" s="541">
        <f>SUM(J48:EG48)</f>
        <v>1599567.5439386531</v>
      </c>
      <c r="J48" s="541">
        <f t="shared" si="11" ref="J48:EG48">J46+J47</f>
        <v>0</v>
      </c>
      <c r="K48" s="541">
        <f t="shared" si="11"/>
        <v>0</v>
      </c>
      <c r="L48" s="541">
        <f t="shared" si="11"/>
        <v>0</v>
      </c>
      <c r="M48" s="541">
        <f t="shared" si="11"/>
        <v>0</v>
      </c>
      <c r="N48" s="541">
        <f t="shared" si="11"/>
        <v>0</v>
      </c>
      <c r="O48" s="541">
        <f t="shared" si="11"/>
        <v>0</v>
      </c>
      <c r="P48" s="541">
        <f t="shared" si="11"/>
        <v>0</v>
      </c>
      <c r="Q48" s="541">
        <f t="shared" si="11"/>
        <v>0</v>
      </c>
      <c r="R48" s="541">
        <f t="shared" si="11"/>
        <v>0</v>
      </c>
      <c r="S48" s="541">
        <f t="shared" si="11"/>
        <v>0</v>
      </c>
      <c r="T48" s="541">
        <f t="shared" si="11"/>
        <v>0</v>
      </c>
      <c r="U48" s="541">
        <f t="shared" si="11"/>
        <v>0</v>
      </c>
      <c r="V48" s="541">
        <f t="shared" si="11"/>
        <v>0</v>
      </c>
      <c r="W48" s="541">
        <f t="shared" si="11"/>
        <v>0</v>
      </c>
      <c r="X48" s="541">
        <f t="shared" si="11"/>
        <v>0</v>
      </c>
      <c r="Y48" s="541">
        <f t="shared" si="11"/>
        <v>0</v>
      </c>
      <c r="Z48" s="541">
        <f t="shared" si="11"/>
        <v>0</v>
      </c>
      <c r="AA48" s="541">
        <f t="shared" si="11"/>
        <v>0</v>
      </c>
      <c r="AB48" s="541">
        <f t="shared" si="11"/>
        <v>0</v>
      </c>
      <c r="AC48" s="541">
        <f t="shared" si="11"/>
        <v>0</v>
      </c>
      <c r="AD48" s="541">
        <f t="shared" si="11"/>
        <v>0</v>
      </c>
      <c r="AE48" s="541">
        <f t="shared" si="11"/>
        <v>0</v>
      </c>
      <c r="AF48" s="541">
        <f t="shared" si="11"/>
        <v>0</v>
      </c>
      <c r="AG48" s="541">
        <f t="shared" si="11"/>
        <v>0</v>
      </c>
      <c r="AH48" s="541">
        <f t="shared" si="11"/>
        <v>12484.799999999999</v>
      </c>
      <c r="AI48" s="541">
        <f t="shared" si="11"/>
        <v>12484.799999999999</v>
      </c>
      <c r="AJ48" s="541">
        <f t="shared" si="11"/>
        <v>12484.799999999999</v>
      </c>
      <c r="AK48" s="541">
        <f t="shared" si="11"/>
        <v>12484.799999999999</v>
      </c>
      <c r="AL48" s="541">
        <f t="shared" si="11"/>
        <v>12734.495999999999</v>
      </c>
      <c r="AM48" s="541">
        <f t="shared" si="11"/>
        <v>12734.495999999999</v>
      </c>
      <c r="AN48" s="541">
        <f t="shared" si="11"/>
        <v>12734.495999999999</v>
      </c>
      <c r="AO48" s="541">
        <f t="shared" si="11"/>
        <v>12734.495999999999</v>
      </c>
      <c r="AP48" s="541">
        <f t="shared" si="11"/>
        <v>12989.18592</v>
      </c>
      <c r="AQ48" s="541">
        <f t="shared" si="11"/>
        <v>12989.18592</v>
      </c>
      <c r="AR48" s="541">
        <f t="shared" si="11"/>
        <v>12989.18592</v>
      </c>
      <c r="AS48" s="541">
        <f t="shared" si="11"/>
        <v>12989.18592</v>
      </c>
      <c r="AT48" s="541">
        <f t="shared" si="11"/>
        <v>13248.9696384</v>
      </c>
      <c r="AU48" s="541">
        <f t="shared" si="11"/>
        <v>13248.9696384</v>
      </c>
      <c r="AV48" s="541">
        <f t="shared" si="11"/>
        <v>13248.9696384</v>
      </c>
      <c r="AW48" s="541">
        <f t="shared" si="11"/>
        <v>13248.9696384</v>
      </c>
      <c r="AX48" s="541">
        <f t="shared" si="11"/>
        <v>13513.949031168</v>
      </c>
      <c r="AY48" s="541">
        <f t="shared" si="11"/>
        <v>13513.949031168</v>
      </c>
      <c r="AZ48" s="541">
        <f t="shared" si="11"/>
        <v>13513.949031168</v>
      </c>
      <c r="BA48" s="541">
        <f t="shared" si="11"/>
        <v>13513.949031168</v>
      </c>
      <c r="BB48" s="541">
        <f t="shared" si="11"/>
        <v>13784.228011791361</v>
      </c>
      <c r="BC48" s="541">
        <f t="shared" si="11"/>
        <v>13784.228011791361</v>
      </c>
      <c r="BD48" s="541">
        <f t="shared" si="11"/>
        <v>13784.228011791361</v>
      </c>
      <c r="BE48" s="541">
        <f t="shared" si="11"/>
        <v>13784.228011791361</v>
      </c>
      <c r="BF48" s="541">
        <f t="shared" si="11"/>
        <v>14059.91257202719</v>
      </c>
      <c r="BG48" s="541">
        <f t="shared" si="11"/>
        <v>14059.91257202719</v>
      </c>
      <c r="BH48" s="541">
        <f t="shared" si="11"/>
        <v>14059.91257202719</v>
      </c>
      <c r="BI48" s="541">
        <f t="shared" si="11"/>
        <v>14059.91257202719</v>
      </c>
      <c r="BJ48" s="541">
        <f t="shared" si="11"/>
        <v>14341.110823467732</v>
      </c>
      <c r="BK48" s="541">
        <f t="shared" si="11"/>
        <v>14341.110823467732</v>
      </c>
      <c r="BL48" s="541">
        <f t="shared" si="11"/>
        <v>14341.110823467732</v>
      </c>
      <c r="BM48" s="541">
        <f t="shared" si="11"/>
        <v>14341.110823467732</v>
      </c>
      <c r="BN48" s="541">
        <f t="shared" si="11"/>
        <v>14627.933039937088</v>
      </c>
      <c r="BO48" s="541">
        <f t="shared" si="11"/>
        <v>14627.933039937088</v>
      </c>
      <c r="BP48" s="541">
        <f t="shared" si="11"/>
        <v>14627.933039937088</v>
      </c>
      <c r="BQ48" s="541">
        <f t="shared" si="11"/>
        <v>14627.933039937088</v>
      </c>
      <c r="BR48" s="541">
        <f t="shared" si="11"/>
        <v>14920.491700735829</v>
      </c>
      <c r="BS48" s="541">
        <f t="shared" si="11"/>
        <v>14920.491700735829</v>
      </c>
      <c r="BT48" s="541">
        <f t="shared" si="11"/>
        <v>14920.491700735829</v>
      </c>
      <c r="BU48" s="541">
        <f t="shared" si="11"/>
        <v>14920.491700735829</v>
      </c>
      <c r="BV48" s="541">
        <f t="shared" si="11"/>
        <v>15218.901534750546</v>
      </c>
      <c r="BW48" s="541">
        <f t="shared" si="11"/>
        <v>15218.901534750546</v>
      </c>
      <c r="BX48" s="541">
        <f t="shared" si="11"/>
        <v>15218.901534750546</v>
      </c>
      <c r="BY48" s="541">
        <f t="shared" si="11"/>
        <v>15218.901534750546</v>
      </c>
      <c r="BZ48" s="541">
        <f t="shared" si="11"/>
        <v>15523.279565445555</v>
      </c>
      <c r="CA48" s="541">
        <f t="shared" si="11"/>
        <v>15523.279565445555</v>
      </c>
      <c r="CB48" s="541">
        <f t="shared" si="11"/>
        <v>15523.279565445555</v>
      </c>
      <c r="CC48" s="541">
        <f t="shared" si="11"/>
        <v>15523.279565445555</v>
      </c>
      <c r="CD48" s="541">
        <f t="shared" si="11"/>
        <v>15833.745156754469</v>
      </c>
      <c r="CE48" s="541">
        <f t="shared" si="11"/>
        <v>15833.745156754469</v>
      </c>
      <c r="CF48" s="541">
        <f t="shared" si="11"/>
        <v>15833.745156754469</v>
      </c>
      <c r="CG48" s="541">
        <f t="shared" si="11"/>
        <v>15833.745156754469</v>
      </c>
      <c r="CH48" s="541">
        <f t="shared" si="11"/>
        <v>16150.420059889559</v>
      </c>
      <c r="CI48" s="541">
        <f t="shared" si="11"/>
        <v>16150.420059889559</v>
      </c>
      <c r="CJ48" s="541">
        <f t="shared" si="11"/>
        <v>16150.420059889559</v>
      </c>
      <c r="CK48" s="541">
        <f t="shared" si="11"/>
        <v>16150.420059889559</v>
      </c>
      <c r="CL48" s="541">
        <f t="shared" si="11"/>
        <v>16473.428461087351</v>
      </c>
      <c r="CM48" s="541">
        <f t="shared" si="11"/>
        <v>16473.428461087351</v>
      </c>
      <c r="CN48" s="541">
        <f t="shared" si="11"/>
        <v>16473.428461087351</v>
      </c>
      <c r="CO48" s="541">
        <f t="shared" si="11"/>
        <v>16473.428461087351</v>
      </c>
      <c r="CP48" s="541">
        <f t="shared" si="11"/>
        <v>16802.897030309097</v>
      </c>
      <c r="CQ48" s="541">
        <f t="shared" si="11"/>
        <v>16802.897030309097</v>
      </c>
      <c r="CR48" s="541">
        <f t="shared" si="11"/>
        <v>16802.897030309097</v>
      </c>
      <c r="CS48" s="541">
        <f t="shared" si="11"/>
        <v>16802.897030309097</v>
      </c>
      <c r="CT48" s="541">
        <f t="shared" si="11"/>
        <v>17138.954970915282</v>
      </c>
      <c r="CU48" s="541">
        <f t="shared" si="11"/>
        <v>17138.954970915282</v>
      </c>
      <c r="CV48" s="541">
        <f t="shared" si="11"/>
        <v>17138.954970915282</v>
      </c>
      <c r="CW48" s="541">
        <f t="shared" si="11"/>
        <v>17138.954970915282</v>
      </c>
      <c r="CX48" s="541">
        <f t="shared" si="11"/>
        <v>17481.734070333587</v>
      </c>
      <c r="CY48" s="541">
        <f t="shared" si="11"/>
        <v>17481.734070333587</v>
      </c>
      <c r="CZ48" s="541">
        <f t="shared" si="11"/>
        <v>17481.734070333587</v>
      </c>
      <c r="DA48" s="541">
        <f t="shared" si="11"/>
        <v>17481.734070333587</v>
      </c>
      <c r="DB48" s="541">
        <f t="shared" si="11"/>
        <v>17831.368751740258</v>
      </c>
      <c r="DC48" s="541">
        <f t="shared" si="11"/>
        <v>17831.368751740258</v>
      </c>
      <c r="DD48" s="541">
        <f t="shared" si="11"/>
        <v>17831.368751740258</v>
      </c>
      <c r="DE48" s="541">
        <f t="shared" si="11"/>
        <v>17831.368751740258</v>
      </c>
      <c r="DF48" s="541">
        <f t="shared" si="11"/>
        <v>18187.996126775066</v>
      </c>
      <c r="DG48" s="541">
        <f t="shared" si="11"/>
        <v>18187.996126775066</v>
      </c>
      <c r="DH48" s="541">
        <f t="shared" si="11"/>
        <v>18187.996126775066</v>
      </c>
      <c r="DI48" s="541">
        <f t="shared" si="11"/>
        <v>18187.996126775066</v>
      </c>
      <c r="DJ48" s="541">
        <f t="shared" si="11"/>
        <v>18551.756049310567</v>
      </c>
      <c r="DK48" s="541">
        <f t="shared" si="11"/>
        <v>18551.756049310567</v>
      </c>
      <c r="DL48" s="541">
        <f t="shared" si="11"/>
        <v>18551.756049310567</v>
      </c>
      <c r="DM48" s="541">
        <f t="shared" si="11"/>
        <v>18551.756049310567</v>
      </c>
      <c r="DN48" s="541">
        <f t="shared" si="11"/>
        <v>18922.791170296779</v>
      </c>
      <c r="DO48" s="541">
        <f t="shared" si="11"/>
        <v>18922.791170296779</v>
      </c>
      <c r="DP48" s="541">
        <f t="shared" si="11"/>
        <v>18922.791170296779</v>
      </c>
      <c r="DQ48" s="541">
        <f t="shared" si="11"/>
        <v>18922.791170296779</v>
      </c>
      <c r="DR48" s="541">
        <f t="shared" si="11"/>
        <v>19301.246993702713</v>
      </c>
      <c r="DS48" s="541">
        <f t="shared" si="11"/>
        <v>19301.246993702713</v>
      </c>
      <c r="DT48" s="541">
        <f t="shared" si="11"/>
        <v>19301.246993702713</v>
      </c>
      <c r="DU48" s="541">
        <f t="shared" si="11"/>
        <v>19301.246993702713</v>
      </c>
      <c r="DV48" s="541">
        <f t="shared" si="11"/>
        <v>19687.271933576769</v>
      </c>
      <c r="DW48" s="541">
        <f t="shared" si="11"/>
        <v>19687.271933576769</v>
      </c>
      <c r="DX48" s="541">
        <f t="shared" si="11"/>
        <v>19687.271933576769</v>
      </c>
      <c r="DY48" s="541">
        <f t="shared" si="11"/>
        <v>19687.271933576769</v>
      </c>
      <c r="DZ48" s="541">
        <f t="shared" si="11"/>
        <v>20081.017372248301</v>
      </c>
      <c r="EA48" s="541">
        <f t="shared" si="11"/>
        <v>20081.017372248301</v>
      </c>
      <c r="EB48" s="541">
        <f t="shared" si="11"/>
        <v>20081.017372248301</v>
      </c>
      <c r="EC48" s="541">
        <f t="shared" si="11"/>
        <v>20081.017372248301</v>
      </c>
      <c r="ED48" s="541">
        <f t="shared" si="11"/>
        <v>0</v>
      </c>
      <c r="EE48" s="541">
        <f t="shared" si="11"/>
        <v>0</v>
      </c>
      <c r="EF48" s="541">
        <f t="shared" si="11"/>
        <v>0</v>
      </c>
      <c r="EG48" s="541">
        <f t="shared" si="11"/>
        <v>0</v>
      </c>
    </row>
    <row r="51" spans="1:1" ht="12.75">
      <c r="A51" s="534" t="s">
        <v>261</v>
      </c>
    </row>
    <row r="53" spans="5:7" ht="12.75">
      <c r="E53" s="535" t="str">
        <f>InpC!E$47</f>
        <v>Lease cost - fixed annual amount in operations</v>
      </c>
      <c r="F53" s="537">
        <f>InpC!F$47</f>
        <v>50</v>
      </c>
      <c r="G53" s="537" t="str">
        <f>InpC!G$47</f>
        <v>EUR 000s</v>
      </c>
    </row>
    <row r="54" spans="5:137" ht="12.75">
      <c r="E54" s="535" t="str">
        <f>Time!E$91</f>
        <v>Operating period flag</v>
      </c>
      <c r="G54" s="537" t="str">
        <f>Time!G$91</f>
        <v>flag</v>
      </c>
      <c r="H54" s="537">
        <f>Time!H$91</f>
        <v>100</v>
      </c>
      <c r="J54" s="537">
        <f>Time!J$91</f>
        <v>0</v>
      </c>
      <c r="K54" s="537">
        <f>Time!K$91</f>
        <v>0</v>
      </c>
      <c r="L54" s="537">
        <f>Time!L$91</f>
        <v>0</v>
      </c>
      <c r="M54" s="537">
        <f>Time!M$91</f>
        <v>0</v>
      </c>
      <c r="N54" s="537">
        <f>Time!N$91</f>
        <v>0</v>
      </c>
      <c r="O54" s="537">
        <f>Time!O$91</f>
        <v>0</v>
      </c>
      <c r="P54" s="537">
        <f>Time!P$91</f>
        <v>0</v>
      </c>
      <c r="Q54" s="537">
        <f>Time!Q$91</f>
        <v>0</v>
      </c>
      <c r="R54" s="537">
        <f>Time!R$91</f>
        <v>0</v>
      </c>
      <c r="S54" s="537">
        <f>Time!S$91</f>
        <v>0</v>
      </c>
      <c r="T54" s="537">
        <f>Time!T$91</f>
        <v>0</v>
      </c>
      <c r="U54" s="537">
        <f>Time!U$91</f>
        <v>0</v>
      </c>
      <c r="V54" s="537">
        <f>Time!V$91</f>
        <v>0</v>
      </c>
      <c r="W54" s="537">
        <f>Time!W$91</f>
        <v>0</v>
      </c>
      <c r="X54" s="537">
        <f>Time!X$91</f>
        <v>0</v>
      </c>
      <c r="Y54" s="537">
        <f>Time!Y$91</f>
        <v>0</v>
      </c>
      <c r="Z54" s="537">
        <f>Time!Z$91</f>
        <v>0</v>
      </c>
      <c r="AA54" s="537">
        <f>Time!AA$91</f>
        <v>0</v>
      </c>
      <c r="AB54" s="537">
        <f>Time!AB$91</f>
        <v>0</v>
      </c>
      <c r="AC54" s="537">
        <f>Time!AC$91</f>
        <v>0</v>
      </c>
      <c r="AD54" s="537">
        <f>Time!AD$91</f>
        <v>0</v>
      </c>
      <c r="AE54" s="537">
        <f>Time!AE$91</f>
        <v>0</v>
      </c>
      <c r="AF54" s="537">
        <f>Time!AF$91</f>
        <v>0</v>
      </c>
      <c r="AG54" s="537">
        <f>Time!AG$91</f>
        <v>0</v>
      </c>
      <c r="AH54" s="537">
        <f>Time!AH$91</f>
        <v>1</v>
      </c>
      <c r="AI54" s="537">
        <f>Time!AI$91</f>
        <v>1</v>
      </c>
      <c r="AJ54" s="537">
        <f>Time!AJ$91</f>
        <v>1</v>
      </c>
      <c r="AK54" s="537">
        <f>Time!AK$91</f>
        <v>1</v>
      </c>
      <c r="AL54" s="537">
        <f>Time!AL$91</f>
        <v>1</v>
      </c>
      <c r="AM54" s="537">
        <f>Time!AM$91</f>
        <v>1</v>
      </c>
      <c r="AN54" s="537">
        <f>Time!AN$91</f>
        <v>1</v>
      </c>
      <c r="AO54" s="537">
        <f>Time!AO$91</f>
        <v>1</v>
      </c>
      <c r="AP54" s="537">
        <f>Time!AP$91</f>
        <v>1</v>
      </c>
      <c r="AQ54" s="537">
        <f>Time!AQ$91</f>
        <v>1</v>
      </c>
      <c r="AR54" s="537">
        <f>Time!AR$91</f>
        <v>1</v>
      </c>
      <c r="AS54" s="537">
        <f>Time!AS$91</f>
        <v>1</v>
      </c>
      <c r="AT54" s="537">
        <f>Time!AT$91</f>
        <v>1</v>
      </c>
      <c r="AU54" s="537">
        <f>Time!AU$91</f>
        <v>1</v>
      </c>
      <c r="AV54" s="537">
        <f>Time!AV$91</f>
        <v>1</v>
      </c>
      <c r="AW54" s="537">
        <f>Time!AW$91</f>
        <v>1</v>
      </c>
      <c r="AX54" s="537">
        <f>Time!AX$91</f>
        <v>1</v>
      </c>
      <c r="AY54" s="537">
        <f>Time!AY$91</f>
        <v>1</v>
      </c>
      <c r="AZ54" s="537">
        <f>Time!AZ$91</f>
        <v>1</v>
      </c>
      <c r="BA54" s="537">
        <f>Time!BA$91</f>
        <v>1</v>
      </c>
      <c r="BB54" s="537">
        <f>Time!BB$91</f>
        <v>1</v>
      </c>
      <c r="BC54" s="537">
        <f>Time!BC$91</f>
        <v>1</v>
      </c>
      <c r="BD54" s="537">
        <f>Time!BD$91</f>
        <v>1</v>
      </c>
      <c r="BE54" s="537">
        <f>Time!BE$91</f>
        <v>1</v>
      </c>
      <c r="BF54" s="537">
        <f>Time!BF$91</f>
        <v>1</v>
      </c>
      <c r="BG54" s="537">
        <f>Time!BG$91</f>
        <v>1</v>
      </c>
      <c r="BH54" s="537">
        <f>Time!BH$91</f>
        <v>1</v>
      </c>
      <c r="BI54" s="537">
        <f>Time!BI$91</f>
        <v>1</v>
      </c>
      <c r="BJ54" s="537">
        <f>Time!BJ$91</f>
        <v>1</v>
      </c>
      <c r="BK54" s="537">
        <f>Time!BK$91</f>
        <v>1</v>
      </c>
      <c r="BL54" s="537">
        <f>Time!BL$91</f>
        <v>1</v>
      </c>
      <c r="BM54" s="537">
        <f>Time!BM$91</f>
        <v>1</v>
      </c>
      <c r="BN54" s="537">
        <f>Time!BN$91</f>
        <v>1</v>
      </c>
      <c r="BO54" s="537">
        <f>Time!BO$91</f>
        <v>1</v>
      </c>
      <c r="BP54" s="537">
        <f>Time!BP$91</f>
        <v>1</v>
      </c>
      <c r="BQ54" s="537">
        <f>Time!BQ$91</f>
        <v>1</v>
      </c>
      <c r="BR54" s="537">
        <f>Time!BR$91</f>
        <v>1</v>
      </c>
      <c r="BS54" s="537">
        <f>Time!BS$91</f>
        <v>1</v>
      </c>
      <c r="BT54" s="537">
        <f>Time!BT$91</f>
        <v>1</v>
      </c>
      <c r="BU54" s="537">
        <f>Time!BU$91</f>
        <v>1</v>
      </c>
      <c r="BV54" s="537">
        <f>Time!BV$91</f>
        <v>1</v>
      </c>
      <c r="BW54" s="537">
        <f>Time!BW$91</f>
        <v>1</v>
      </c>
      <c r="BX54" s="537">
        <f>Time!BX$91</f>
        <v>1</v>
      </c>
      <c r="BY54" s="537">
        <f>Time!BY$91</f>
        <v>1</v>
      </c>
      <c r="BZ54" s="537">
        <f>Time!BZ$91</f>
        <v>1</v>
      </c>
      <c r="CA54" s="537">
        <f>Time!CA$91</f>
        <v>1</v>
      </c>
      <c r="CB54" s="537">
        <f>Time!CB$91</f>
        <v>1</v>
      </c>
      <c r="CC54" s="537">
        <f>Time!CC$91</f>
        <v>1</v>
      </c>
      <c r="CD54" s="537">
        <f>Time!CD$91</f>
        <v>1</v>
      </c>
      <c r="CE54" s="537">
        <f>Time!CE$91</f>
        <v>1</v>
      </c>
      <c r="CF54" s="537">
        <f>Time!CF$91</f>
        <v>1</v>
      </c>
      <c r="CG54" s="537">
        <f>Time!CG$91</f>
        <v>1</v>
      </c>
      <c r="CH54" s="537">
        <f>Time!CH$91</f>
        <v>1</v>
      </c>
      <c r="CI54" s="537">
        <f>Time!CI$91</f>
        <v>1</v>
      </c>
      <c r="CJ54" s="537">
        <f>Time!CJ$91</f>
        <v>1</v>
      </c>
      <c r="CK54" s="537">
        <f>Time!CK$91</f>
        <v>1</v>
      </c>
      <c r="CL54" s="537">
        <f>Time!CL$91</f>
        <v>1</v>
      </c>
      <c r="CM54" s="537">
        <f>Time!CM$91</f>
        <v>1</v>
      </c>
      <c r="CN54" s="537">
        <f>Time!CN$91</f>
        <v>1</v>
      </c>
      <c r="CO54" s="537">
        <f>Time!CO$91</f>
        <v>1</v>
      </c>
      <c r="CP54" s="537">
        <f>Time!CP$91</f>
        <v>1</v>
      </c>
      <c r="CQ54" s="537">
        <f>Time!CQ$91</f>
        <v>1</v>
      </c>
      <c r="CR54" s="537">
        <f>Time!CR$91</f>
        <v>1</v>
      </c>
      <c r="CS54" s="537">
        <f>Time!CS$91</f>
        <v>1</v>
      </c>
      <c r="CT54" s="537">
        <f>Time!CT$91</f>
        <v>1</v>
      </c>
      <c r="CU54" s="537">
        <f>Time!CU$91</f>
        <v>1</v>
      </c>
      <c r="CV54" s="537">
        <f>Time!CV$91</f>
        <v>1</v>
      </c>
      <c r="CW54" s="537">
        <f>Time!CW$91</f>
        <v>1</v>
      </c>
      <c r="CX54" s="537">
        <f>Time!CX$91</f>
        <v>1</v>
      </c>
      <c r="CY54" s="537">
        <f>Time!CY$91</f>
        <v>1</v>
      </c>
      <c r="CZ54" s="537">
        <f>Time!CZ$91</f>
        <v>1</v>
      </c>
      <c r="DA54" s="537">
        <f>Time!DA$91</f>
        <v>1</v>
      </c>
      <c r="DB54" s="537">
        <f>Time!DB$91</f>
        <v>1</v>
      </c>
      <c r="DC54" s="537">
        <f>Time!DC$91</f>
        <v>1</v>
      </c>
      <c r="DD54" s="537">
        <f>Time!DD$91</f>
        <v>1</v>
      </c>
      <c r="DE54" s="537">
        <f>Time!DE$91</f>
        <v>1</v>
      </c>
      <c r="DF54" s="537">
        <f>Time!DF$91</f>
        <v>1</v>
      </c>
      <c r="DG54" s="537">
        <f>Time!DG$91</f>
        <v>1</v>
      </c>
      <c r="DH54" s="537">
        <f>Time!DH$91</f>
        <v>1</v>
      </c>
      <c r="DI54" s="537">
        <f>Time!DI$91</f>
        <v>1</v>
      </c>
      <c r="DJ54" s="537">
        <f>Time!DJ$91</f>
        <v>1</v>
      </c>
      <c r="DK54" s="537">
        <f>Time!DK$91</f>
        <v>1</v>
      </c>
      <c r="DL54" s="537">
        <f>Time!DL$91</f>
        <v>1</v>
      </c>
      <c r="DM54" s="537">
        <f>Time!DM$91</f>
        <v>1</v>
      </c>
      <c r="DN54" s="537">
        <f>Time!DN$91</f>
        <v>1</v>
      </c>
      <c r="DO54" s="537">
        <f>Time!DO$91</f>
        <v>1</v>
      </c>
      <c r="DP54" s="537">
        <f>Time!DP$91</f>
        <v>1</v>
      </c>
      <c r="DQ54" s="537">
        <f>Time!DQ$91</f>
        <v>1</v>
      </c>
      <c r="DR54" s="537">
        <f>Time!DR$91</f>
        <v>1</v>
      </c>
      <c r="DS54" s="537">
        <f>Time!DS$91</f>
        <v>1</v>
      </c>
      <c r="DT54" s="537">
        <f>Time!DT$91</f>
        <v>1</v>
      </c>
      <c r="DU54" s="537">
        <f>Time!DU$91</f>
        <v>1</v>
      </c>
      <c r="DV54" s="537">
        <f>Time!DV$91</f>
        <v>1</v>
      </c>
      <c r="DW54" s="537">
        <f>Time!DW$91</f>
        <v>1</v>
      </c>
      <c r="DX54" s="537">
        <f>Time!DX$91</f>
        <v>1</v>
      </c>
      <c r="DY54" s="537">
        <f>Time!DY$91</f>
        <v>1</v>
      </c>
      <c r="DZ54" s="537">
        <f>Time!DZ$91</f>
        <v>1</v>
      </c>
      <c r="EA54" s="537">
        <f>Time!EA$91</f>
        <v>1</v>
      </c>
      <c r="EB54" s="537">
        <f>Time!EB$91</f>
        <v>1</v>
      </c>
      <c r="EC54" s="537">
        <f>Time!EC$91</f>
        <v>1</v>
      </c>
      <c r="ED54" s="537">
        <f>Time!ED$91</f>
        <v>0</v>
      </c>
      <c r="EE54" s="537">
        <f>Time!EE$91</f>
        <v>0</v>
      </c>
      <c r="EF54" s="537">
        <f>Time!EF$91</f>
        <v>0</v>
      </c>
      <c r="EG54" s="537">
        <f>Time!EG$91</f>
        <v>0</v>
      </c>
    </row>
    <row r="55" spans="5:137" ht="12.75">
      <c r="E55" s="535" t="str">
        <f>Time!E$178</f>
        <v>Year fraction of period</v>
      </c>
      <c r="G55" s="537" t="str">
        <f>Time!G$178</f>
        <v>fraction</v>
      </c>
      <c r="H55" s="537">
        <f>Time!H$178</f>
        <v>28</v>
      </c>
      <c r="J55" s="537">
        <f>Time!J$178</f>
        <v>0.083333333333333329</v>
      </c>
      <c r="K55" s="537">
        <f>Time!K$178</f>
        <v>0.083333333333333329</v>
      </c>
      <c r="L55" s="537">
        <f>Time!L$178</f>
        <v>0.083333333333333329</v>
      </c>
      <c r="M55" s="537">
        <f>Time!M$178</f>
        <v>0.083333333333333329</v>
      </c>
      <c r="N55" s="537">
        <f>Time!N$178</f>
        <v>0.083333333333333329</v>
      </c>
      <c r="O55" s="537">
        <f>Time!O$178</f>
        <v>0.083333333333333329</v>
      </c>
      <c r="P55" s="537">
        <f>Time!P$178</f>
        <v>0.083333333333333329</v>
      </c>
      <c r="Q55" s="537">
        <f>Time!Q$178</f>
        <v>0.083333333333333329</v>
      </c>
      <c r="R55" s="537">
        <f>Time!R$178</f>
        <v>0.083333333333333329</v>
      </c>
      <c r="S55" s="537">
        <f>Time!S$178</f>
        <v>0.083333333333333329</v>
      </c>
      <c r="T55" s="537">
        <f>Time!T$178</f>
        <v>0.083333333333333329</v>
      </c>
      <c r="U55" s="537">
        <f>Time!U$178</f>
        <v>0.083333333333333329</v>
      </c>
      <c r="V55" s="537">
        <f>Time!V$178</f>
        <v>0.083333333333333329</v>
      </c>
      <c r="W55" s="537">
        <f>Time!W$178</f>
        <v>0.083333333333333329</v>
      </c>
      <c r="X55" s="537">
        <f>Time!X$178</f>
        <v>0.083333333333333329</v>
      </c>
      <c r="Y55" s="537">
        <f>Time!Y$178</f>
        <v>0.083333333333333329</v>
      </c>
      <c r="Z55" s="537">
        <f>Time!Z$178</f>
        <v>0.083333333333333329</v>
      </c>
      <c r="AA55" s="537">
        <f>Time!AA$178</f>
        <v>0.083333333333333329</v>
      </c>
      <c r="AB55" s="537">
        <f>Time!AB$178</f>
        <v>0.083333333333333329</v>
      </c>
      <c r="AC55" s="537">
        <f>Time!AC$178</f>
        <v>0.083333333333333329</v>
      </c>
      <c r="AD55" s="537">
        <f>Time!AD$178</f>
        <v>0.083333333333333329</v>
      </c>
      <c r="AE55" s="537">
        <f>Time!AE$178</f>
        <v>0.083333333333333329</v>
      </c>
      <c r="AF55" s="537">
        <f>Time!AF$178</f>
        <v>0.083333333333333329</v>
      </c>
      <c r="AG55" s="537">
        <f>Time!AG$178</f>
        <v>0.083333333333333329</v>
      </c>
      <c r="AH55" s="537">
        <f>Time!AH$178</f>
        <v>0.25</v>
      </c>
      <c r="AI55" s="537">
        <f>Time!AI$178</f>
        <v>0.25</v>
      </c>
      <c r="AJ55" s="537">
        <f>Time!AJ$178</f>
        <v>0.25</v>
      </c>
      <c r="AK55" s="537">
        <f>Time!AK$178</f>
        <v>0.25</v>
      </c>
      <c r="AL55" s="537">
        <f>Time!AL$178</f>
        <v>0.25</v>
      </c>
      <c r="AM55" s="537">
        <f>Time!AM$178</f>
        <v>0.25</v>
      </c>
      <c r="AN55" s="537">
        <f>Time!AN$178</f>
        <v>0.25</v>
      </c>
      <c r="AO55" s="537">
        <f>Time!AO$178</f>
        <v>0.25</v>
      </c>
      <c r="AP55" s="537">
        <f>Time!AP$178</f>
        <v>0.25</v>
      </c>
      <c r="AQ55" s="537">
        <f>Time!AQ$178</f>
        <v>0.25</v>
      </c>
      <c r="AR55" s="537">
        <f>Time!AR$178</f>
        <v>0.25</v>
      </c>
      <c r="AS55" s="537">
        <f>Time!AS$178</f>
        <v>0.25</v>
      </c>
      <c r="AT55" s="537">
        <f>Time!AT$178</f>
        <v>0.25</v>
      </c>
      <c r="AU55" s="537">
        <f>Time!AU$178</f>
        <v>0.25</v>
      </c>
      <c r="AV55" s="537">
        <f>Time!AV$178</f>
        <v>0.25</v>
      </c>
      <c r="AW55" s="537">
        <f>Time!AW$178</f>
        <v>0.25</v>
      </c>
      <c r="AX55" s="537">
        <f>Time!AX$178</f>
        <v>0.25</v>
      </c>
      <c r="AY55" s="537">
        <f>Time!AY$178</f>
        <v>0.25</v>
      </c>
      <c r="AZ55" s="537">
        <f>Time!AZ$178</f>
        <v>0.25</v>
      </c>
      <c r="BA55" s="537">
        <f>Time!BA$178</f>
        <v>0.25</v>
      </c>
      <c r="BB55" s="537">
        <f>Time!BB$178</f>
        <v>0.25</v>
      </c>
      <c r="BC55" s="537">
        <f>Time!BC$178</f>
        <v>0.25</v>
      </c>
      <c r="BD55" s="537">
        <f>Time!BD$178</f>
        <v>0.25</v>
      </c>
      <c r="BE55" s="537">
        <f>Time!BE$178</f>
        <v>0.25</v>
      </c>
      <c r="BF55" s="537">
        <f>Time!BF$178</f>
        <v>0.25</v>
      </c>
      <c r="BG55" s="537">
        <f>Time!BG$178</f>
        <v>0.25</v>
      </c>
      <c r="BH55" s="537">
        <f>Time!BH$178</f>
        <v>0.25</v>
      </c>
      <c r="BI55" s="537">
        <f>Time!BI$178</f>
        <v>0.25</v>
      </c>
      <c r="BJ55" s="537">
        <f>Time!BJ$178</f>
        <v>0.25</v>
      </c>
      <c r="BK55" s="537">
        <f>Time!BK$178</f>
        <v>0.25</v>
      </c>
      <c r="BL55" s="537">
        <f>Time!BL$178</f>
        <v>0.25</v>
      </c>
      <c r="BM55" s="537">
        <f>Time!BM$178</f>
        <v>0.25</v>
      </c>
      <c r="BN55" s="537">
        <f>Time!BN$178</f>
        <v>0.25</v>
      </c>
      <c r="BO55" s="537">
        <f>Time!BO$178</f>
        <v>0.25</v>
      </c>
      <c r="BP55" s="537">
        <f>Time!BP$178</f>
        <v>0.25</v>
      </c>
      <c r="BQ55" s="537">
        <f>Time!BQ$178</f>
        <v>0.25</v>
      </c>
      <c r="BR55" s="537">
        <f>Time!BR$178</f>
        <v>0.25</v>
      </c>
      <c r="BS55" s="537">
        <f>Time!BS$178</f>
        <v>0.25</v>
      </c>
      <c r="BT55" s="537">
        <f>Time!BT$178</f>
        <v>0.25</v>
      </c>
      <c r="BU55" s="537">
        <f>Time!BU$178</f>
        <v>0.25</v>
      </c>
      <c r="BV55" s="537">
        <f>Time!BV$178</f>
        <v>0.25</v>
      </c>
      <c r="BW55" s="537">
        <f>Time!BW$178</f>
        <v>0.25</v>
      </c>
      <c r="BX55" s="537">
        <f>Time!BX$178</f>
        <v>0.25</v>
      </c>
      <c r="BY55" s="537">
        <f>Time!BY$178</f>
        <v>0.25</v>
      </c>
      <c r="BZ55" s="537">
        <f>Time!BZ$178</f>
        <v>0.25</v>
      </c>
      <c r="CA55" s="537">
        <f>Time!CA$178</f>
        <v>0.25</v>
      </c>
      <c r="CB55" s="537">
        <f>Time!CB$178</f>
        <v>0.25</v>
      </c>
      <c r="CC55" s="537">
        <f>Time!CC$178</f>
        <v>0.25</v>
      </c>
      <c r="CD55" s="537">
        <f>Time!CD$178</f>
        <v>0.25</v>
      </c>
      <c r="CE55" s="537">
        <f>Time!CE$178</f>
        <v>0.25</v>
      </c>
      <c r="CF55" s="537">
        <f>Time!CF$178</f>
        <v>0.25</v>
      </c>
      <c r="CG55" s="537">
        <f>Time!CG$178</f>
        <v>0.25</v>
      </c>
      <c r="CH55" s="537">
        <f>Time!CH$178</f>
        <v>0.25</v>
      </c>
      <c r="CI55" s="537">
        <f>Time!CI$178</f>
        <v>0.25</v>
      </c>
      <c r="CJ55" s="537">
        <f>Time!CJ$178</f>
        <v>0.25</v>
      </c>
      <c r="CK55" s="537">
        <f>Time!CK$178</f>
        <v>0.25</v>
      </c>
      <c r="CL55" s="537">
        <f>Time!CL$178</f>
        <v>0.25</v>
      </c>
      <c r="CM55" s="537">
        <f>Time!CM$178</f>
        <v>0.25</v>
      </c>
      <c r="CN55" s="537">
        <f>Time!CN$178</f>
        <v>0.25</v>
      </c>
      <c r="CO55" s="537">
        <f>Time!CO$178</f>
        <v>0.25</v>
      </c>
      <c r="CP55" s="537">
        <f>Time!CP$178</f>
        <v>0.25</v>
      </c>
      <c r="CQ55" s="537">
        <f>Time!CQ$178</f>
        <v>0.25</v>
      </c>
      <c r="CR55" s="537">
        <f>Time!CR$178</f>
        <v>0.25</v>
      </c>
      <c r="CS55" s="537">
        <f>Time!CS$178</f>
        <v>0.25</v>
      </c>
      <c r="CT55" s="537">
        <f>Time!CT$178</f>
        <v>0.25</v>
      </c>
      <c r="CU55" s="537">
        <f>Time!CU$178</f>
        <v>0.25</v>
      </c>
      <c r="CV55" s="537">
        <f>Time!CV$178</f>
        <v>0.25</v>
      </c>
      <c r="CW55" s="537">
        <f>Time!CW$178</f>
        <v>0.25</v>
      </c>
      <c r="CX55" s="537">
        <f>Time!CX$178</f>
        <v>0.25</v>
      </c>
      <c r="CY55" s="537">
        <f>Time!CY$178</f>
        <v>0.25</v>
      </c>
      <c r="CZ55" s="537">
        <f>Time!CZ$178</f>
        <v>0.25</v>
      </c>
      <c r="DA55" s="537">
        <f>Time!DA$178</f>
        <v>0.25</v>
      </c>
      <c r="DB55" s="537">
        <f>Time!DB$178</f>
        <v>0.25</v>
      </c>
      <c r="DC55" s="537">
        <f>Time!DC$178</f>
        <v>0.25</v>
      </c>
      <c r="DD55" s="537">
        <f>Time!DD$178</f>
        <v>0.25</v>
      </c>
      <c r="DE55" s="537">
        <f>Time!DE$178</f>
        <v>0.25</v>
      </c>
      <c r="DF55" s="537">
        <f>Time!DF$178</f>
        <v>0.25</v>
      </c>
      <c r="DG55" s="537">
        <f>Time!DG$178</f>
        <v>0.25</v>
      </c>
      <c r="DH55" s="537">
        <f>Time!DH$178</f>
        <v>0.25</v>
      </c>
      <c r="DI55" s="537">
        <f>Time!DI$178</f>
        <v>0.25</v>
      </c>
      <c r="DJ55" s="537">
        <f>Time!DJ$178</f>
        <v>0.25</v>
      </c>
      <c r="DK55" s="537">
        <f>Time!DK$178</f>
        <v>0.25</v>
      </c>
      <c r="DL55" s="537">
        <f>Time!DL$178</f>
        <v>0.25</v>
      </c>
      <c r="DM55" s="537">
        <f>Time!DM$178</f>
        <v>0.25</v>
      </c>
      <c r="DN55" s="537">
        <f>Time!DN$178</f>
        <v>0.25</v>
      </c>
      <c r="DO55" s="537">
        <f>Time!DO$178</f>
        <v>0.25</v>
      </c>
      <c r="DP55" s="537">
        <f>Time!DP$178</f>
        <v>0.25</v>
      </c>
      <c r="DQ55" s="537">
        <f>Time!DQ$178</f>
        <v>0.25</v>
      </c>
      <c r="DR55" s="537">
        <f>Time!DR$178</f>
        <v>0.25</v>
      </c>
      <c r="DS55" s="537">
        <f>Time!DS$178</f>
        <v>0.25</v>
      </c>
      <c r="DT55" s="537">
        <f>Time!DT$178</f>
        <v>0.25</v>
      </c>
      <c r="DU55" s="537">
        <f>Time!DU$178</f>
        <v>0.25</v>
      </c>
      <c r="DV55" s="537">
        <f>Time!DV$178</f>
        <v>0.25</v>
      </c>
      <c r="DW55" s="537">
        <f>Time!DW$178</f>
        <v>0.25</v>
      </c>
      <c r="DX55" s="537">
        <f>Time!DX$178</f>
        <v>0.25</v>
      </c>
      <c r="DY55" s="537">
        <f>Time!DY$178</f>
        <v>0.25</v>
      </c>
      <c r="DZ55" s="537">
        <f>Time!DZ$178</f>
        <v>0.25</v>
      </c>
      <c r="EA55" s="537">
        <f>Time!EA$178</f>
        <v>0.25</v>
      </c>
      <c r="EB55" s="537">
        <f>Time!EB$178</f>
        <v>0.25</v>
      </c>
      <c r="EC55" s="537">
        <f>Time!EC$178</f>
        <v>0.25</v>
      </c>
      <c r="ED55" s="537">
        <f>Time!ED$178</f>
        <v>0.25</v>
      </c>
      <c r="EE55" s="537">
        <f>Time!EE$178</f>
        <v>0.25</v>
      </c>
      <c r="EF55" s="537">
        <f>Time!EF$178</f>
        <v>0.25</v>
      </c>
      <c r="EG55" s="537">
        <f>Time!EG$178</f>
        <v>0.25</v>
      </c>
    </row>
    <row r="56" spans="5:137" ht="12.75">
      <c r="E56" s="538" t="str">
        <f>E$21</f>
        <v>Opex index - factor</v>
      </c>
      <c r="G56" s="548" t="str">
        <f>G$21</f>
        <v>index</v>
      </c>
      <c r="H56" s="548">
        <f>H$21</f>
        <v>175.63920300115302</v>
      </c>
      <c r="J56" s="548">
        <f t="shared" si="12" ref="J56:EG56">J$21</f>
        <v>1</v>
      </c>
      <c r="K56" s="548">
        <f t="shared" si="12"/>
        <v>1</v>
      </c>
      <c r="L56" s="548">
        <f t="shared" si="12"/>
        <v>1</v>
      </c>
      <c r="M56" s="548">
        <f t="shared" si="12"/>
        <v>1</v>
      </c>
      <c r="N56" s="548">
        <f t="shared" si="12"/>
        <v>1</v>
      </c>
      <c r="O56" s="548">
        <f t="shared" si="12"/>
        <v>1</v>
      </c>
      <c r="P56" s="548">
        <f t="shared" si="12"/>
        <v>1</v>
      </c>
      <c r="Q56" s="548">
        <f t="shared" si="12"/>
        <v>1</v>
      </c>
      <c r="R56" s="548">
        <f t="shared" si="12"/>
        <v>1</v>
      </c>
      <c r="S56" s="548">
        <f t="shared" si="12"/>
        <v>1</v>
      </c>
      <c r="T56" s="548">
        <f t="shared" si="12"/>
        <v>1</v>
      </c>
      <c r="U56" s="548">
        <f t="shared" si="12"/>
        <v>1</v>
      </c>
      <c r="V56" s="548">
        <f t="shared" si="12"/>
        <v>1.0249999999999999</v>
      </c>
      <c r="W56" s="548">
        <f t="shared" si="12"/>
        <v>1.0249999999999999</v>
      </c>
      <c r="X56" s="548">
        <f t="shared" si="12"/>
        <v>1.0249999999999999</v>
      </c>
      <c r="Y56" s="548">
        <f t="shared" si="12"/>
        <v>1.0249999999999999</v>
      </c>
      <c r="Z56" s="548">
        <f t="shared" si="12"/>
        <v>1.0249999999999999</v>
      </c>
      <c r="AA56" s="548">
        <f t="shared" si="12"/>
        <v>1.0249999999999999</v>
      </c>
      <c r="AB56" s="548">
        <f t="shared" si="12"/>
        <v>1.0249999999999999</v>
      </c>
      <c r="AC56" s="548">
        <f t="shared" si="12"/>
        <v>1.0249999999999999</v>
      </c>
      <c r="AD56" s="548">
        <f t="shared" si="12"/>
        <v>1.0249999999999999</v>
      </c>
      <c r="AE56" s="548">
        <f t="shared" si="12"/>
        <v>1.0249999999999999</v>
      </c>
      <c r="AF56" s="548">
        <f t="shared" si="12"/>
        <v>1.0249999999999999</v>
      </c>
      <c r="AG56" s="548">
        <f t="shared" si="12"/>
        <v>1.0249999999999999</v>
      </c>
      <c r="AH56" s="548">
        <f t="shared" si="12"/>
        <v>1.0506249999999999</v>
      </c>
      <c r="AI56" s="548">
        <f t="shared" si="12"/>
        <v>1.0506249999999999</v>
      </c>
      <c r="AJ56" s="548">
        <f t="shared" si="12"/>
        <v>1.0506249999999999</v>
      </c>
      <c r="AK56" s="548">
        <f t="shared" si="12"/>
        <v>1.0506249999999999</v>
      </c>
      <c r="AL56" s="548">
        <f t="shared" si="12"/>
        <v>1.0768906249999999</v>
      </c>
      <c r="AM56" s="548">
        <f t="shared" si="12"/>
        <v>1.0768906249999999</v>
      </c>
      <c r="AN56" s="548">
        <f t="shared" si="12"/>
        <v>1.0768906249999999</v>
      </c>
      <c r="AO56" s="548">
        <f t="shared" si="12"/>
        <v>1.0768906249999999</v>
      </c>
      <c r="AP56" s="548">
        <f t="shared" si="12"/>
        <v>1.1038128906249998</v>
      </c>
      <c r="AQ56" s="548">
        <f t="shared" si="12"/>
        <v>1.1038128906249998</v>
      </c>
      <c r="AR56" s="548">
        <f t="shared" si="12"/>
        <v>1.1038128906249998</v>
      </c>
      <c r="AS56" s="548">
        <f t="shared" si="12"/>
        <v>1.1038128906249998</v>
      </c>
      <c r="AT56" s="548">
        <f t="shared" si="12"/>
        <v>1.1314082128906247</v>
      </c>
      <c r="AU56" s="548">
        <f t="shared" si="12"/>
        <v>1.1314082128906247</v>
      </c>
      <c r="AV56" s="548">
        <f t="shared" si="12"/>
        <v>1.1314082128906247</v>
      </c>
      <c r="AW56" s="548">
        <f t="shared" si="12"/>
        <v>1.1314082128906247</v>
      </c>
      <c r="AX56" s="548">
        <f t="shared" si="12"/>
        <v>1.1596934182128902</v>
      </c>
      <c r="AY56" s="548">
        <f t="shared" si="12"/>
        <v>1.1596934182128902</v>
      </c>
      <c r="AZ56" s="548">
        <f t="shared" si="12"/>
        <v>1.1596934182128902</v>
      </c>
      <c r="BA56" s="548">
        <f t="shared" si="12"/>
        <v>1.1596934182128902</v>
      </c>
      <c r="BB56" s="548">
        <f t="shared" si="12"/>
        <v>1.1886857536682123</v>
      </c>
      <c r="BC56" s="548">
        <f t="shared" si="12"/>
        <v>1.1886857536682123</v>
      </c>
      <c r="BD56" s="548">
        <f t="shared" si="12"/>
        <v>1.1886857536682123</v>
      </c>
      <c r="BE56" s="548">
        <f t="shared" si="12"/>
        <v>1.1886857536682123</v>
      </c>
      <c r="BF56" s="548">
        <f t="shared" si="12"/>
        <v>1.2184028975099175</v>
      </c>
      <c r="BG56" s="548">
        <f t="shared" si="12"/>
        <v>1.2184028975099175</v>
      </c>
      <c r="BH56" s="548">
        <f t="shared" si="12"/>
        <v>1.2184028975099175</v>
      </c>
      <c r="BI56" s="548">
        <f t="shared" si="12"/>
        <v>1.2184028975099175</v>
      </c>
      <c r="BJ56" s="548">
        <f t="shared" si="12"/>
        <v>1.2488629699476652</v>
      </c>
      <c r="BK56" s="548">
        <f t="shared" si="12"/>
        <v>1.2488629699476652</v>
      </c>
      <c r="BL56" s="548">
        <f t="shared" si="12"/>
        <v>1.2488629699476652</v>
      </c>
      <c r="BM56" s="548">
        <f t="shared" si="12"/>
        <v>1.2488629699476652</v>
      </c>
      <c r="BN56" s="548">
        <f t="shared" si="12"/>
        <v>1.2800845441963566</v>
      </c>
      <c r="BO56" s="548">
        <f t="shared" si="12"/>
        <v>1.2800845441963566</v>
      </c>
      <c r="BP56" s="548">
        <f t="shared" si="12"/>
        <v>1.2800845441963566</v>
      </c>
      <c r="BQ56" s="548">
        <f t="shared" si="12"/>
        <v>1.2800845441963566</v>
      </c>
      <c r="BR56" s="548">
        <f t="shared" si="12"/>
        <v>1.3120866578012655</v>
      </c>
      <c r="BS56" s="548">
        <f t="shared" si="12"/>
        <v>1.3120866578012655</v>
      </c>
      <c r="BT56" s="548">
        <f t="shared" si="12"/>
        <v>1.3120866578012655</v>
      </c>
      <c r="BU56" s="548">
        <f t="shared" si="12"/>
        <v>1.3120866578012655</v>
      </c>
      <c r="BV56" s="548">
        <f t="shared" si="12"/>
        <v>1.3448888242462971</v>
      </c>
      <c r="BW56" s="548">
        <f t="shared" si="12"/>
        <v>1.3448888242462971</v>
      </c>
      <c r="BX56" s="548">
        <f t="shared" si="12"/>
        <v>1.3448888242462971</v>
      </c>
      <c r="BY56" s="548">
        <f t="shared" si="12"/>
        <v>1.3448888242462971</v>
      </c>
      <c r="BZ56" s="548">
        <f t="shared" si="12"/>
        <v>1.3785110448524545</v>
      </c>
      <c r="CA56" s="548">
        <f t="shared" si="12"/>
        <v>1.3785110448524545</v>
      </c>
      <c r="CB56" s="548">
        <f t="shared" si="12"/>
        <v>1.3785110448524545</v>
      </c>
      <c r="CC56" s="548">
        <f t="shared" si="12"/>
        <v>1.3785110448524545</v>
      </c>
      <c r="CD56" s="548">
        <f t="shared" si="12"/>
        <v>1.4129738209737657</v>
      </c>
      <c r="CE56" s="548">
        <f t="shared" si="12"/>
        <v>1.4129738209737657</v>
      </c>
      <c r="CF56" s="548">
        <f t="shared" si="12"/>
        <v>1.4129738209737657</v>
      </c>
      <c r="CG56" s="548">
        <f t="shared" si="12"/>
        <v>1.4129738209737657</v>
      </c>
      <c r="CH56" s="548">
        <f t="shared" si="12"/>
        <v>1.4482981664981096</v>
      </c>
      <c r="CI56" s="548">
        <f t="shared" si="12"/>
        <v>1.4482981664981096</v>
      </c>
      <c r="CJ56" s="548">
        <f t="shared" si="12"/>
        <v>1.4482981664981096</v>
      </c>
      <c r="CK56" s="548">
        <f t="shared" si="12"/>
        <v>1.4482981664981096</v>
      </c>
      <c r="CL56" s="548">
        <f t="shared" si="12"/>
        <v>1.4845056206605622</v>
      </c>
      <c r="CM56" s="548">
        <f t="shared" si="12"/>
        <v>1.4845056206605622</v>
      </c>
      <c r="CN56" s="548">
        <f t="shared" si="12"/>
        <v>1.4845056206605622</v>
      </c>
      <c r="CO56" s="548">
        <f t="shared" si="12"/>
        <v>1.4845056206605622</v>
      </c>
      <c r="CP56" s="548">
        <f t="shared" si="12"/>
        <v>1.5216182611770761</v>
      </c>
      <c r="CQ56" s="548">
        <f t="shared" si="12"/>
        <v>1.5216182611770761</v>
      </c>
      <c r="CR56" s="548">
        <f t="shared" si="12"/>
        <v>1.5216182611770761</v>
      </c>
      <c r="CS56" s="548">
        <f t="shared" si="12"/>
        <v>1.5216182611770761</v>
      </c>
      <c r="CT56" s="548">
        <f t="shared" si="12"/>
        <v>1.5596587177065029</v>
      </c>
      <c r="CU56" s="548">
        <f t="shared" si="12"/>
        <v>1.5596587177065029</v>
      </c>
      <c r="CV56" s="548">
        <f t="shared" si="12"/>
        <v>1.5596587177065029</v>
      </c>
      <c r="CW56" s="548">
        <f t="shared" si="12"/>
        <v>1.5596587177065029</v>
      </c>
      <c r="CX56" s="548">
        <f t="shared" si="12"/>
        <v>1.5986501856491653</v>
      </c>
      <c r="CY56" s="548">
        <f t="shared" si="12"/>
        <v>1.5986501856491653</v>
      </c>
      <c r="CZ56" s="548">
        <f t="shared" si="12"/>
        <v>1.5986501856491653</v>
      </c>
      <c r="DA56" s="548">
        <f t="shared" si="12"/>
        <v>1.5986501856491653</v>
      </c>
      <c r="DB56" s="548">
        <f t="shared" si="12"/>
        <v>1.6386164402903942</v>
      </c>
      <c r="DC56" s="548">
        <f t="shared" si="12"/>
        <v>1.6386164402903942</v>
      </c>
      <c r="DD56" s="548">
        <f t="shared" si="12"/>
        <v>1.6386164402903942</v>
      </c>
      <c r="DE56" s="548">
        <f t="shared" si="12"/>
        <v>1.6386164402903942</v>
      </c>
      <c r="DF56" s="548">
        <f t="shared" si="12"/>
        <v>1.6795818512976539</v>
      </c>
      <c r="DG56" s="548">
        <f t="shared" si="12"/>
        <v>1.6795818512976539</v>
      </c>
      <c r="DH56" s="548">
        <f t="shared" si="12"/>
        <v>1.6795818512976539</v>
      </c>
      <c r="DI56" s="548">
        <f t="shared" si="12"/>
        <v>1.6795818512976539</v>
      </c>
      <c r="DJ56" s="548">
        <f t="shared" si="12"/>
        <v>1.721571397580095</v>
      </c>
      <c r="DK56" s="548">
        <f t="shared" si="12"/>
        <v>1.721571397580095</v>
      </c>
      <c r="DL56" s="548">
        <f t="shared" si="12"/>
        <v>1.721571397580095</v>
      </c>
      <c r="DM56" s="548">
        <f t="shared" si="12"/>
        <v>1.721571397580095</v>
      </c>
      <c r="DN56" s="548">
        <f t="shared" si="12"/>
        <v>1.7646106825195973</v>
      </c>
      <c r="DO56" s="548">
        <f t="shared" si="12"/>
        <v>1.7646106825195973</v>
      </c>
      <c r="DP56" s="548">
        <f t="shared" si="12"/>
        <v>1.7646106825195973</v>
      </c>
      <c r="DQ56" s="548">
        <f t="shared" si="12"/>
        <v>1.7646106825195973</v>
      </c>
      <c r="DR56" s="548">
        <f t="shared" si="12"/>
        <v>1.8087259495825871</v>
      </c>
      <c r="DS56" s="548">
        <f t="shared" si="12"/>
        <v>1.8087259495825871</v>
      </c>
      <c r="DT56" s="548">
        <f t="shared" si="12"/>
        <v>1.8087259495825871</v>
      </c>
      <c r="DU56" s="548">
        <f t="shared" si="12"/>
        <v>1.8087259495825871</v>
      </c>
      <c r="DV56" s="548">
        <f t="shared" si="12"/>
        <v>1.8539440983221516</v>
      </c>
      <c r="DW56" s="548">
        <f t="shared" si="12"/>
        <v>1.8539440983221516</v>
      </c>
      <c r="DX56" s="548">
        <f t="shared" si="12"/>
        <v>1.8539440983221516</v>
      </c>
      <c r="DY56" s="548">
        <f t="shared" si="12"/>
        <v>1.8539440983221516</v>
      </c>
      <c r="DZ56" s="548">
        <f t="shared" si="12"/>
        <v>1.9002927007802053</v>
      </c>
      <c r="EA56" s="548">
        <f t="shared" si="12"/>
        <v>1.9002927007802053</v>
      </c>
      <c r="EB56" s="548">
        <f t="shared" si="12"/>
        <v>1.9002927007802053</v>
      </c>
      <c r="EC56" s="548">
        <f t="shared" si="12"/>
        <v>1.9002927007802053</v>
      </c>
      <c r="ED56" s="548">
        <f t="shared" si="12"/>
        <v>1.9478000182997102</v>
      </c>
      <c r="EE56" s="548">
        <f t="shared" si="12"/>
        <v>1.9478000182997102</v>
      </c>
      <c r="EF56" s="548">
        <f t="shared" si="12"/>
        <v>1.9478000182997102</v>
      </c>
      <c r="EG56" s="548">
        <f t="shared" si="12"/>
        <v>1.9478000182997102</v>
      </c>
    </row>
    <row r="57" spans="5:137" ht="12.75">
      <c r="E57" s="538" t="s">
        <v>262</v>
      </c>
      <c r="G57" s="539" t="s">
        <v>30</v>
      </c>
      <c r="H57" s="539">
        <f>SUM(J57:EG57)</f>
        <v>1794.3500365994282</v>
      </c>
      <c r="J57" s="539">
        <f t="shared" si="13" ref="J57:EG57">$F53*J55*J56*J54</f>
        <v>0</v>
      </c>
      <c r="K57" s="539">
        <f t="shared" si="13"/>
        <v>0</v>
      </c>
      <c r="L57" s="539">
        <f t="shared" si="13"/>
        <v>0</v>
      </c>
      <c r="M57" s="539">
        <f t="shared" si="13"/>
        <v>0</v>
      </c>
      <c r="N57" s="539">
        <f t="shared" si="13"/>
        <v>0</v>
      </c>
      <c r="O57" s="539">
        <f t="shared" si="13"/>
        <v>0</v>
      </c>
      <c r="P57" s="539">
        <f t="shared" si="13"/>
        <v>0</v>
      </c>
      <c r="Q57" s="539">
        <f t="shared" si="13"/>
        <v>0</v>
      </c>
      <c r="R57" s="539">
        <f t="shared" si="13"/>
        <v>0</v>
      </c>
      <c r="S57" s="539">
        <f t="shared" si="13"/>
        <v>0</v>
      </c>
      <c r="T57" s="539">
        <f t="shared" si="13"/>
        <v>0</v>
      </c>
      <c r="U57" s="539">
        <f t="shared" si="13"/>
        <v>0</v>
      </c>
      <c r="V57" s="539">
        <f t="shared" si="13"/>
        <v>0</v>
      </c>
      <c r="W57" s="539">
        <f t="shared" si="13"/>
        <v>0</v>
      </c>
      <c r="X57" s="539">
        <f t="shared" si="13"/>
        <v>0</v>
      </c>
      <c r="Y57" s="539">
        <f t="shared" si="13"/>
        <v>0</v>
      </c>
      <c r="Z57" s="539">
        <f t="shared" si="13"/>
        <v>0</v>
      </c>
      <c r="AA57" s="539">
        <f t="shared" si="13"/>
        <v>0</v>
      </c>
      <c r="AB57" s="539">
        <f t="shared" si="13"/>
        <v>0</v>
      </c>
      <c r="AC57" s="539">
        <f t="shared" si="13"/>
        <v>0</v>
      </c>
      <c r="AD57" s="539">
        <f t="shared" si="13"/>
        <v>0</v>
      </c>
      <c r="AE57" s="539">
        <f t="shared" si="13"/>
        <v>0</v>
      </c>
      <c r="AF57" s="539">
        <f t="shared" si="13"/>
        <v>0</v>
      </c>
      <c r="AG57" s="539">
        <f t="shared" si="13"/>
        <v>0</v>
      </c>
      <c r="AH57" s="539">
        <f t="shared" si="13"/>
        <v>13.132812499999998</v>
      </c>
      <c r="AI57" s="539">
        <f t="shared" si="13"/>
        <v>13.132812499999998</v>
      </c>
      <c r="AJ57" s="539">
        <f t="shared" si="13"/>
        <v>13.132812499999998</v>
      </c>
      <c r="AK57" s="539">
        <f t="shared" si="13"/>
        <v>13.132812499999998</v>
      </c>
      <c r="AL57" s="539">
        <f t="shared" si="13"/>
        <v>13.461132812499999</v>
      </c>
      <c r="AM57" s="539">
        <f t="shared" si="13"/>
        <v>13.461132812499999</v>
      </c>
      <c r="AN57" s="539">
        <f t="shared" si="13"/>
        <v>13.461132812499999</v>
      </c>
      <c r="AO57" s="539">
        <f t="shared" si="13"/>
        <v>13.461132812499999</v>
      </c>
      <c r="AP57" s="539">
        <f t="shared" si="13"/>
        <v>13.797661132812497</v>
      </c>
      <c r="AQ57" s="539">
        <f t="shared" si="13"/>
        <v>13.797661132812497</v>
      </c>
      <c r="AR57" s="539">
        <f t="shared" si="13"/>
        <v>13.797661132812497</v>
      </c>
      <c r="AS57" s="539">
        <f t="shared" si="13"/>
        <v>13.797661132812497</v>
      </c>
      <c r="AT57" s="539">
        <f t="shared" si="13"/>
        <v>14.142602661132809</v>
      </c>
      <c r="AU57" s="539">
        <f t="shared" si="13"/>
        <v>14.142602661132809</v>
      </c>
      <c r="AV57" s="539">
        <f t="shared" si="13"/>
        <v>14.142602661132809</v>
      </c>
      <c r="AW57" s="539">
        <f t="shared" si="13"/>
        <v>14.142602661132809</v>
      </c>
      <c r="AX57" s="539">
        <f t="shared" si="13"/>
        <v>14.496167727661128</v>
      </c>
      <c r="AY57" s="539">
        <f t="shared" si="13"/>
        <v>14.496167727661128</v>
      </c>
      <c r="AZ57" s="539">
        <f t="shared" si="13"/>
        <v>14.496167727661128</v>
      </c>
      <c r="BA57" s="539">
        <f t="shared" si="13"/>
        <v>14.496167727661128</v>
      </c>
      <c r="BB57" s="539">
        <f t="shared" si="13"/>
        <v>14.858571920852654</v>
      </c>
      <c r="BC57" s="539">
        <f t="shared" si="13"/>
        <v>14.858571920852654</v>
      </c>
      <c r="BD57" s="539">
        <f t="shared" si="13"/>
        <v>14.858571920852654</v>
      </c>
      <c r="BE57" s="539">
        <f t="shared" si="13"/>
        <v>14.858571920852654</v>
      </c>
      <c r="BF57" s="539">
        <f t="shared" si="13"/>
        <v>15.230036218873968</v>
      </c>
      <c r="BG57" s="539">
        <f t="shared" si="13"/>
        <v>15.230036218873968</v>
      </c>
      <c r="BH57" s="539">
        <f t="shared" si="13"/>
        <v>15.230036218873968</v>
      </c>
      <c r="BI57" s="539">
        <f t="shared" si="13"/>
        <v>15.230036218873968</v>
      </c>
      <c r="BJ57" s="539">
        <f t="shared" si="13"/>
        <v>15.610787124345816</v>
      </c>
      <c r="BK57" s="539">
        <f t="shared" si="13"/>
        <v>15.610787124345816</v>
      </c>
      <c r="BL57" s="539">
        <f t="shared" si="13"/>
        <v>15.610787124345816</v>
      </c>
      <c r="BM57" s="539">
        <f t="shared" si="13"/>
        <v>15.610787124345816</v>
      </c>
      <c r="BN57" s="539">
        <f t="shared" si="13"/>
        <v>16.001056802454457</v>
      </c>
      <c r="BO57" s="539">
        <f t="shared" si="13"/>
        <v>16.001056802454457</v>
      </c>
      <c r="BP57" s="539">
        <f t="shared" si="13"/>
        <v>16.001056802454457</v>
      </c>
      <c r="BQ57" s="539">
        <f t="shared" si="13"/>
        <v>16.001056802454457</v>
      </c>
      <c r="BR57" s="539">
        <f t="shared" si="13"/>
        <v>16.401083222515819</v>
      </c>
      <c r="BS57" s="539">
        <f t="shared" si="13"/>
        <v>16.401083222515819</v>
      </c>
      <c r="BT57" s="539">
        <f t="shared" si="13"/>
        <v>16.401083222515819</v>
      </c>
      <c r="BU57" s="539">
        <f t="shared" si="13"/>
        <v>16.401083222515819</v>
      </c>
      <c r="BV57" s="539">
        <f t="shared" si="13"/>
        <v>16.811110303078713</v>
      </c>
      <c r="BW57" s="539">
        <f t="shared" si="13"/>
        <v>16.811110303078713</v>
      </c>
      <c r="BX57" s="539">
        <f t="shared" si="13"/>
        <v>16.811110303078713</v>
      </c>
      <c r="BY57" s="539">
        <f t="shared" si="13"/>
        <v>16.811110303078713</v>
      </c>
      <c r="BZ57" s="539">
        <f t="shared" si="13"/>
        <v>17.231388060655682</v>
      </c>
      <c r="CA57" s="539">
        <f t="shared" si="13"/>
        <v>17.231388060655682</v>
      </c>
      <c r="CB57" s="539">
        <f t="shared" si="13"/>
        <v>17.231388060655682</v>
      </c>
      <c r="CC57" s="539">
        <f t="shared" si="13"/>
        <v>17.231388060655682</v>
      </c>
      <c r="CD57" s="539">
        <f t="shared" si="13"/>
        <v>17.662172762172069</v>
      </c>
      <c r="CE57" s="539">
        <f t="shared" si="13"/>
        <v>17.662172762172069</v>
      </c>
      <c r="CF57" s="539">
        <f t="shared" si="13"/>
        <v>17.662172762172069</v>
      </c>
      <c r="CG57" s="539">
        <f t="shared" si="13"/>
        <v>17.662172762172069</v>
      </c>
      <c r="CH57" s="539">
        <f t="shared" si="13"/>
        <v>18.103727081226371</v>
      </c>
      <c r="CI57" s="539">
        <f t="shared" si="13"/>
        <v>18.103727081226371</v>
      </c>
      <c r="CJ57" s="539">
        <f t="shared" si="13"/>
        <v>18.103727081226371</v>
      </c>
      <c r="CK57" s="539">
        <f t="shared" si="13"/>
        <v>18.103727081226371</v>
      </c>
      <c r="CL57" s="539">
        <f t="shared" si="13"/>
        <v>18.556320258257028</v>
      </c>
      <c r="CM57" s="539">
        <f t="shared" si="13"/>
        <v>18.556320258257028</v>
      </c>
      <c r="CN57" s="539">
        <f t="shared" si="13"/>
        <v>18.556320258257028</v>
      </c>
      <c r="CO57" s="539">
        <f t="shared" si="13"/>
        <v>18.556320258257028</v>
      </c>
      <c r="CP57" s="539">
        <f t="shared" si="13"/>
        <v>19.020228264713452</v>
      </c>
      <c r="CQ57" s="539">
        <f t="shared" si="13"/>
        <v>19.020228264713452</v>
      </c>
      <c r="CR57" s="539">
        <f t="shared" si="13"/>
        <v>19.020228264713452</v>
      </c>
      <c r="CS57" s="539">
        <f t="shared" si="13"/>
        <v>19.020228264713452</v>
      </c>
      <c r="CT57" s="539">
        <f t="shared" si="13"/>
        <v>19.495733971331287</v>
      </c>
      <c r="CU57" s="539">
        <f t="shared" si="13"/>
        <v>19.495733971331287</v>
      </c>
      <c r="CV57" s="539">
        <f t="shared" si="13"/>
        <v>19.495733971331287</v>
      </c>
      <c r="CW57" s="539">
        <f t="shared" si="13"/>
        <v>19.495733971331287</v>
      </c>
      <c r="CX57" s="539">
        <f t="shared" si="13"/>
        <v>19.983127320614567</v>
      </c>
      <c r="CY57" s="539">
        <f t="shared" si="13"/>
        <v>19.983127320614567</v>
      </c>
      <c r="CZ57" s="539">
        <f t="shared" si="13"/>
        <v>19.983127320614567</v>
      </c>
      <c r="DA57" s="539">
        <f t="shared" si="13"/>
        <v>19.983127320614567</v>
      </c>
      <c r="DB57" s="539">
        <f t="shared" si="13"/>
        <v>20.482705503629926</v>
      </c>
      <c r="DC57" s="539">
        <f t="shared" si="13"/>
        <v>20.482705503629926</v>
      </c>
      <c r="DD57" s="539">
        <f t="shared" si="13"/>
        <v>20.482705503629926</v>
      </c>
      <c r="DE57" s="539">
        <f t="shared" si="13"/>
        <v>20.482705503629926</v>
      </c>
      <c r="DF57" s="539">
        <f t="shared" si="13"/>
        <v>20.994773141220673</v>
      </c>
      <c r="DG57" s="539">
        <f t="shared" si="13"/>
        <v>20.994773141220673</v>
      </c>
      <c r="DH57" s="539">
        <f t="shared" si="13"/>
        <v>20.994773141220673</v>
      </c>
      <c r="DI57" s="539">
        <f t="shared" si="13"/>
        <v>20.994773141220673</v>
      </c>
      <c r="DJ57" s="539">
        <f t="shared" si="13"/>
        <v>21.519642469751187</v>
      </c>
      <c r="DK57" s="539">
        <f t="shared" si="13"/>
        <v>21.519642469751187</v>
      </c>
      <c r="DL57" s="539">
        <f t="shared" si="13"/>
        <v>21.519642469751187</v>
      </c>
      <c r="DM57" s="539">
        <f t="shared" si="13"/>
        <v>21.519642469751187</v>
      </c>
      <c r="DN57" s="539">
        <f t="shared" si="13"/>
        <v>22.057633531494965</v>
      </c>
      <c r="DO57" s="539">
        <f t="shared" si="13"/>
        <v>22.057633531494965</v>
      </c>
      <c r="DP57" s="539">
        <f t="shared" si="13"/>
        <v>22.057633531494965</v>
      </c>
      <c r="DQ57" s="539">
        <f t="shared" si="13"/>
        <v>22.057633531494965</v>
      </c>
      <c r="DR57" s="539">
        <f t="shared" si="13"/>
        <v>22.609074369782338</v>
      </c>
      <c r="DS57" s="539">
        <f t="shared" si="13"/>
        <v>22.609074369782338</v>
      </c>
      <c r="DT57" s="539">
        <f t="shared" si="13"/>
        <v>22.609074369782338</v>
      </c>
      <c r="DU57" s="539">
        <f t="shared" si="13"/>
        <v>22.609074369782338</v>
      </c>
      <c r="DV57" s="539">
        <f t="shared" si="13"/>
        <v>23.174301229026895</v>
      </c>
      <c r="DW57" s="539">
        <f t="shared" si="13"/>
        <v>23.174301229026895</v>
      </c>
      <c r="DX57" s="539">
        <f t="shared" si="13"/>
        <v>23.174301229026895</v>
      </c>
      <c r="DY57" s="539">
        <f t="shared" si="13"/>
        <v>23.174301229026895</v>
      </c>
      <c r="DZ57" s="539">
        <f t="shared" si="13"/>
        <v>23.753658759752565</v>
      </c>
      <c r="EA57" s="539">
        <f t="shared" si="13"/>
        <v>23.753658759752565</v>
      </c>
      <c r="EB57" s="539">
        <f t="shared" si="13"/>
        <v>23.753658759752565</v>
      </c>
      <c r="EC57" s="539">
        <f t="shared" si="13"/>
        <v>23.753658759752565</v>
      </c>
      <c r="ED57" s="539">
        <f t="shared" si="13"/>
        <v>0</v>
      </c>
      <c r="EE57" s="539">
        <f t="shared" si="13"/>
        <v>0</v>
      </c>
      <c r="EF57" s="539">
        <f t="shared" si="13"/>
        <v>0</v>
      </c>
      <c r="EG57" s="539">
        <f t="shared" si="13"/>
        <v>0</v>
      </c>
    </row>
    <row r="59" spans="5:7" ht="12.75">
      <c r="E59" s="535" t="str">
        <f>InpC!E$48</f>
        <v>Lease cost - annual revenue threshold for higher share</v>
      </c>
      <c r="F59" s="537">
        <f>InpC!F$48</f>
        <v>40000</v>
      </c>
      <c r="G59" s="537" t="str">
        <f>InpC!G$48</f>
        <v>EUR 000s</v>
      </c>
    </row>
    <row r="60" spans="5:7" ht="12.75">
      <c r="E60" s="535" t="str">
        <f>InpC!E$49</f>
        <v>Lease cost - revenue share up to threshold</v>
      </c>
      <c r="F60" s="542">
        <f>InpC!F$49</f>
        <v>0.014999999999999999</v>
      </c>
      <c r="G60" s="542" t="str">
        <f>InpC!G$49</f>
        <v>%</v>
      </c>
    </row>
    <row r="61" spans="5:137" ht="12.75">
      <c r="E61" s="535" t="str">
        <f>Time!E$91</f>
        <v>Operating period flag</v>
      </c>
      <c r="G61" s="537" t="str">
        <f>Time!G$91</f>
        <v>flag</v>
      </c>
      <c r="H61" s="537">
        <f>Time!H$91</f>
        <v>100</v>
      </c>
      <c r="J61" s="537">
        <f>Time!J$91</f>
        <v>0</v>
      </c>
      <c r="K61" s="537">
        <f>Time!K$91</f>
        <v>0</v>
      </c>
      <c r="L61" s="537">
        <f>Time!L$91</f>
        <v>0</v>
      </c>
      <c r="M61" s="537">
        <f>Time!M$91</f>
        <v>0</v>
      </c>
      <c r="N61" s="537">
        <f>Time!N$91</f>
        <v>0</v>
      </c>
      <c r="O61" s="537">
        <f>Time!O$91</f>
        <v>0</v>
      </c>
      <c r="P61" s="537">
        <f>Time!P$91</f>
        <v>0</v>
      </c>
      <c r="Q61" s="537">
        <f>Time!Q$91</f>
        <v>0</v>
      </c>
      <c r="R61" s="537">
        <f>Time!R$91</f>
        <v>0</v>
      </c>
      <c r="S61" s="537">
        <f>Time!S$91</f>
        <v>0</v>
      </c>
      <c r="T61" s="537">
        <f>Time!T$91</f>
        <v>0</v>
      </c>
      <c r="U61" s="537">
        <f>Time!U$91</f>
        <v>0</v>
      </c>
      <c r="V61" s="537">
        <f>Time!V$91</f>
        <v>0</v>
      </c>
      <c r="W61" s="537">
        <f>Time!W$91</f>
        <v>0</v>
      </c>
      <c r="X61" s="537">
        <f>Time!X$91</f>
        <v>0</v>
      </c>
      <c r="Y61" s="537">
        <f>Time!Y$91</f>
        <v>0</v>
      </c>
      <c r="Z61" s="537">
        <f>Time!Z$91</f>
        <v>0</v>
      </c>
      <c r="AA61" s="537">
        <f>Time!AA$91</f>
        <v>0</v>
      </c>
      <c r="AB61" s="537">
        <f>Time!AB$91</f>
        <v>0</v>
      </c>
      <c r="AC61" s="537">
        <f>Time!AC$91</f>
        <v>0</v>
      </c>
      <c r="AD61" s="537">
        <f>Time!AD$91</f>
        <v>0</v>
      </c>
      <c r="AE61" s="537">
        <f>Time!AE$91</f>
        <v>0</v>
      </c>
      <c r="AF61" s="537">
        <f>Time!AF$91</f>
        <v>0</v>
      </c>
      <c r="AG61" s="537">
        <f>Time!AG$91</f>
        <v>0</v>
      </c>
      <c r="AH61" s="537">
        <f>Time!AH$91</f>
        <v>1</v>
      </c>
      <c r="AI61" s="537">
        <f>Time!AI$91</f>
        <v>1</v>
      </c>
      <c r="AJ61" s="537">
        <f>Time!AJ$91</f>
        <v>1</v>
      </c>
      <c r="AK61" s="537">
        <f>Time!AK$91</f>
        <v>1</v>
      </c>
      <c r="AL61" s="537">
        <f>Time!AL$91</f>
        <v>1</v>
      </c>
      <c r="AM61" s="537">
        <f>Time!AM$91</f>
        <v>1</v>
      </c>
      <c r="AN61" s="537">
        <f>Time!AN$91</f>
        <v>1</v>
      </c>
      <c r="AO61" s="537">
        <f>Time!AO$91</f>
        <v>1</v>
      </c>
      <c r="AP61" s="537">
        <f>Time!AP$91</f>
        <v>1</v>
      </c>
      <c r="AQ61" s="537">
        <f>Time!AQ$91</f>
        <v>1</v>
      </c>
      <c r="AR61" s="537">
        <f>Time!AR$91</f>
        <v>1</v>
      </c>
      <c r="AS61" s="537">
        <f>Time!AS$91</f>
        <v>1</v>
      </c>
      <c r="AT61" s="537">
        <f>Time!AT$91</f>
        <v>1</v>
      </c>
      <c r="AU61" s="537">
        <f>Time!AU$91</f>
        <v>1</v>
      </c>
      <c r="AV61" s="537">
        <f>Time!AV$91</f>
        <v>1</v>
      </c>
      <c r="AW61" s="537">
        <f>Time!AW$91</f>
        <v>1</v>
      </c>
      <c r="AX61" s="537">
        <f>Time!AX$91</f>
        <v>1</v>
      </c>
      <c r="AY61" s="537">
        <f>Time!AY$91</f>
        <v>1</v>
      </c>
      <c r="AZ61" s="537">
        <f>Time!AZ$91</f>
        <v>1</v>
      </c>
      <c r="BA61" s="537">
        <f>Time!BA$91</f>
        <v>1</v>
      </c>
      <c r="BB61" s="537">
        <f>Time!BB$91</f>
        <v>1</v>
      </c>
      <c r="BC61" s="537">
        <f>Time!BC$91</f>
        <v>1</v>
      </c>
      <c r="BD61" s="537">
        <f>Time!BD$91</f>
        <v>1</v>
      </c>
      <c r="BE61" s="537">
        <f>Time!BE$91</f>
        <v>1</v>
      </c>
      <c r="BF61" s="537">
        <f>Time!BF$91</f>
        <v>1</v>
      </c>
      <c r="BG61" s="537">
        <f>Time!BG$91</f>
        <v>1</v>
      </c>
      <c r="BH61" s="537">
        <f>Time!BH$91</f>
        <v>1</v>
      </c>
      <c r="BI61" s="537">
        <f>Time!BI$91</f>
        <v>1</v>
      </c>
      <c r="BJ61" s="537">
        <f>Time!BJ$91</f>
        <v>1</v>
      </c>
      <c r="BK61" s="537">
        <f>Time!BK$91</f>
        <v>1</v>
      </c>
      <c r="BL61" s="537">
        <f>Time!BL$91</f>
        <v>1</v>
      </c>
      <c r="BM61" s="537">
        <f>Time!BM$91</f>
        <v>1</v>
      </c>
      <c r="BN61" s="537">
        <f>Time!BN$91</f>
        <v>1</v>
      </c>
      <c r="BO61" s="537">
        <f>Time!BO$91</f>
        <v>1</v>
      </c>
      <c r="BP61" s="537">
        <f>Time!BP$91</f>
        <v>1</v>
      </c>
      <c r="BQ61" s="537">
        <f>Time!BQ$91</f>
        <v>1</v>
      </c>
      <c r="BR61" s="537">
        <f>Time!BR$91</f>
        <v>1</v>
      </c>
      <c r="BS61" s="537">
        <f>Time!BS$91</f>
        <v>1</v>
      </c>
      <c r="BT61" s="537">
        <f>Time!BT$91</f>
        <v>1</v>
      </c>
      <c r="BU61" s="537">
        <f>Time!BU$91</f>
        <v>1</v>
      </c>
      <c r="BV61" s="537">
        <f>Time!BV$91</f>
        <v>1</v>
      </c>
      <c r="BW61" s="537">
        <f>Time!BW$91</f>
        <v>1</v>
      </c>
      <c r="BX61" s="537">
        <f>Time!BX$91</f>
        <v>1</v>
      </c>
      <c r="BY61" s="537">
        <f>Time!BY$91</f>
        <v>1</v>
      </c>
      <c r="BZ61" s="537">
        <f>Time!BZ$91</f>
        <v>1</v>
      </c>
      <c r="CA61" s="537">
        <f>Time!CA$91</f>
        <v>1</v>
      </c>
      <c r="CB61" s="537">
        <f>Time!CB$91</f>
        <v>1</v>
      </c>
      <c r="CC61" s="537">
        <f>Time!CC$91</f>
        <v>1</v>
      </c>
      <c r="CD61" s="537">
        <f>Time!CD$91</f>
        <v>1</v>
      </c>
      <c r="CE61" s="537">
        <f>Time!CE$91</f>
        <v>1</v>
      </c>
      <c r="CF61" s="537">
        <f>Time!CF$91</f>
        <v>1</v>
      </c>
      <c r="CG61" s="537">
        <f>Time!CG$91</f>
        <v>1</v>
      </c>
      <c r="CH61" s="537">
        <f>Time!CH$91</f>
        <v>1</v>
      </c>
      <c r="CI61" s="537">
        <f>Time!CI$91</f>
        <v>1</v>
      </c>
      <c r="CJ61" s="537">
        <f>Time!CJ$91</f>
        <v>1</v>
      </c>
      <c r="CK61" s="537">
        <f>Time!CK$91</f>
        <v>1</v>
      </c>
      <c r="CL61" s="537">
        <f>Time!CL$91</f>
        <v>1</v>
      </c>
      <c r="CM61" s="537">
        <f>Time!CM$91</f>
        <v>1</v>
      </c>
      <c r="CN61" s="537">
        <f>Time!CN$91</f>
        <v>1</v>
      </c>
      <c r="CO61" s="537">
        <f>Time!CO$91</f>
        <v>1</v>
      </c>
      <c r="CP61" s="537">
        <f>Time!CP$91</f>
        <v>1</v>
      </c>
      <c r="CQ61" s="537">
        <f>Time!CQ$91</f>
        <v>1</v>
      </c>
      <c r="CR61" s="537">
        <f>Time!CR$91</f>
        <v>1</v>
      </c>
      <c r="CS61" s="537">
        <f>Time!CS$91</f>
        <v>1</v>
      </c>
      <c r="CT61" s="537">
        <f>Time!CT$91</f>
        <v>1</v>
      </c>
      <c r="CU61" s="537">
        <f>Time!CU$91</f>
        <v>1</v>
      </c>
      <c r="CV61" s="537">
        <f>Time!CV$91</f>
        <v>1</v>
      </c>
      <c r="CW61" s="537">
        <f>Time!CW$91</f>
        <v>1</v>
      </c>
      <c r="CX61" s="537">
        <f>Time!CX$91</f>
        <v>1</v>
      </c>
      <c r="CY61" s="537">
        <f>Time!CY$91</f>
        <v>1</v>
      </c>
      <c r="CZ61" s="537">
        <f>Time!CZ$91</f>
        <v>1</v>
      </c>
      <c r="DA61" s="537">
        <f>Time!DA$91</f>
        <v>1</v>
      </c>
      <c r="DB61" s="537">
        <f>Time!DB$91</f>
        <v>1</v>
      </c>
      <c r="DC61" s="537">
        <f>Time!DC$91</f>
        <v>1</v>
      </c>
      <c r="DD61" s="537">
        <f>Time!DD$91</f>
        <v>1</v>
      </c>
      <c r="DE61" s="537">
        <f>Time!DE$91</f>
        <v>1</v>
      </c>
      <c r="DF61" s="537">
        <f>Time!DF$91</f>
        <v>1</v>
      </c>
      <c r="DG61" s="537">
        <f>Time!DG$91</f>
        <v>1</v>
      </c>
      <c r="DH61" s="537">
        <f>Time!DH$91</f>
        <v>1</v>
      </c>
      <c r="DI61" s="537">
        <f>Time!DI$91</f>
        <v>1</v>
      </c>
      <c r="DJ61" s="537">
        <f>Time!DJ$91</f>
        <v>1</v>
      </c>
      <c r="DK61" s="537">
        <f>Time!DK$91</f>
        <v>1</v>
      </c>
      <c r="DL61" s="537">
        <f>Time!DL$91</f>
        <v>1</v>
      </c>
      <c r="DM61" s="537">
        <f>Time!DM$91</f>
        <v>1</v>
      </c>
      <c r="DN61" s="537">
        <f>Time!DN$91</f>
        <v>1</v>
      </c>
      <c r="DO61" s="537">
        <f>Time!DO$91</f>
        <v>1</v>
      </c>
      <c r="DP61" s="537">
        <f>Time!DP$91</f>
        <v>1</v>
      </c>
      <c r="DQ61" s="537">
        <f>Time!DQ$91</f>
        <v>1</v>
      </c>
      <c r="DR61" s="537">
        <f>Time!DR$91</f>
        <v>1</v>
      </c>
      <c r="DS61" s="537">
        <f>Time!DS$91</f>
        <v>1</v>
      </c>
      <c r="DT61" s="537">
        <f>Time!DT$91</f>
        <v>1</v>
      </c>
      <c r="DU61" s="537">
        <f>Time!DU$91</f>
        <v>1</v>
      </c>
      <c r="DV61" s="537">
        <f>Time!DV$91</f>
        <v>1</v>
      </c>
      <c r="DW61" s="537">
        <f>Time!DW$91</f>
        <v>1</v>
      </c>
      <c r="DX61" s="537">
        <f>Time!DX$91</f>
        <v>1</v>
      </c>
      <c r="DY61" s="537">
        <f>Time!DY$91</f>
        <v>1</v>
      </c>
      <c r="DZ61" s="537">
        <f>Time!DZ$91</f>
        <v>1</v>
      </c>
      <c r="EA61" s="537">
        <f>Time!EA$91</f>
        <v>1</v>
      </c>
      <c r="EB61" s="537">
        <f>Time!EB$91</f>
        <v>1</v>
      </c>
      <c r="EC61" s="537">
        <f>Time!EC$91</f>
        <v>1</v>
      </c>
      <c r="ED61" s="537">
        <f>Time!ED$91</f>
        <v>0</v>
      </c>
      <c r="EE61" s="537">
        <f>Time!EE$91</f>
        <v>0</v>
      </c>
      <c r="EF61" s="537">
        <f>Time!EF$91</f>
        <v>0</v>
      </c>
      <c r="EG61" s="537">
        <f>Time!EG$91</f>
        <v>0</v>
      </c>
    </row>
    <row r="62" spans="5:137" ht="12.75">
      <c r="E62" s="535" t="str">
        <f>Time!E$178</f>
        <v>Year fraction of period</v>
      </c>
      <c r="G62" s="537" t="str">
        <f>Time!G$178</f>
        <v>fraction</v>
      </c>
      <c r="H62" s="537">
        <f>Time!H$178</f>
        <v>28</v>
      </c>
      <c r="J62" s="537">
        <f>Time!J$178</f>
        <v>0.083333333333333329</v>
      </c>
      <c r="K62" s="537">
        <f>Time!K$178</f>
        <v>0.083333333333333329</v>
      </c>
      <c r="L62" s="537">
        <f>Time!L$178</f>
        <v>0.083333333333333329</v>
      </c>
      <c r="M62" s="537">
        <f>Time!M$178</f>
        <v>0.083333333333333329</v>
      </c>
      <c r="N62" s="537">
        <f>Time!N$178</f>
        <v>0.083333333333333329</v>
      </c>
      <c r="O62" s="537">
        <f>Time!O$178</f>
        <v>0.083333333333333329</v>
      </c>
      <c r="P62" s="537">
        <f>Time!P$178</f>
        <v>0.083333333333333329</v>
      </c>
      <c r="Q62" s="537">
        <f>Time!Q$178</f>
        <v>0.083333333333333329</v>
      </c>
      <c r="R62" s="537">
        <f>Time!R$178</f>
        <v>0.083333333333333329</v>
      </c>
      <c r="S62" s="537">
        <f>Time!S$178</f>
        <v>0.083333333333333329</v>
      </c>
      <c r="T62" s="537">
        <f>Time!T$178</f>
        <v>0.083333333333333329</v>
      </c>
      <c r="U62" s="537">
        <f>Time!U$178</f>
        <v>0.083333333333333329</v>
      </c>
      <c r="V62" s="537">
        <f>Time!V$178</f>
        <v>0.083333333333333329</v>
      </c>
      <c r="W62" s="537">
        <f>Time!W$178</f>
        <v>0.083333333333333329</v>
      </c>
      <c r="X62" s="537">
        <f>Time!X$178</f>
        <v>0.083333333333333329</v>
      </c>
      <c r="Y62" s="537">
        <f>Time!Y$178</f>
        <v>0.083333333333333329</v>
      </c>
      <c r="Z62" s="537">
        <f>Time!Z$178</f>
        <v>0.083333333333333329</v>
      </c>
      <c r="AA62" s="537">
        <f>Time!AA$178</f>
        <v>0.083333333333333329</v>
      </c>
      <c r="AB62" s="537">
        <f>Time!AB$178</f>
        <v>0.083333333333333329</v>
      </c>
      <c r="AC62" s="537">
        <f>Time!AC$178</f>
        <v>0.083333333333333329</v>
      </c>
      <c r="AD62" s="537">
        <f>Time!AD$178</f>
        <v>0.083333333333333329</v>
      </c>
      <c r="AE62" s="537">
        <f>Time!AE$178</f>
        <v>0.083333333333333329</v>
      </c>
      <c r="AF62" s="537">
        <f>Time!AF$178</f>
        <v>0.083333333333333329</v>
      </c>
      <c r="AG62" s="537">
        <f>Time!AG$178</f>
        <v>0.083333333333333329</v>
      </c>
      <c r="AH62" s="537">
        <f>Time!AH$178</f>
        <v>0.25</v>
      </c>
      <c r="AI62" s="537">
        <f>Time!AI$178</f>
        <v>0.25</v>
      </c>
      <c r="AJ62" s="537">
        <f>Time!AJ$178</f>
        <v>0.25</v>
      </c>
      <c r="AK62" s="537">
        <f>Time!AK$178</f>
        <v>0.25</v>
      </c>
      <c r="AL62" s="537">
        <f>Time!AL$178</f>
        <v>0.25</v>
      </c>
      <c r="AM62" s="537">
        <f>Time!AM$178</f>
        <v>0.25</v>
      </c>
      <c r="AN62" s="537">
        <f>Time!AN$178</f>
        <v>0.25</v>
      </c>
      <c r="AO62" s="537">
        <f>Time!AO$178</f>
        <v>0.25</v>
      </c>
      <c r="AP62" s="537">
        <f>Time!AP$178</f>
        <v>0.25</v>
      </c>
      <c r="AQ62" s="537">
        <f>Time!AQ$178</f>
        <v>0.25</v>
      </c>
      <c r="AR62" s="537">
        <f>Time!AR$178</f>
        <v>0.25</v>
      </c>
      <c r="AS62" s="537">
        <f>Time!AS$178</f>
        <v>0.25</v>
      </c>
      <c r="AT62" s="537">
        <f>Time!AT$178</f>
        <v>0.25</v>
      </c>
      <c r="AU62" s="537">
        <f>Time!AU$178</f>
        <v>0.25</v>
      </c>
      <c r="AV62" s="537">
        <f>Time!AV$178</f>
        <v>0.25</v>
      </c>
      <c r="AW62" s="537">
        <f>Time!AW$178</f>
        <v>0.25</v>
      </c>
      <c r="AX62" s="537">
        <f>Time!AX$178</f>
        <v>0.25</v>
      </c>
      <c r="AY62" s="537">
        <f>Time!AY$178</f>
        <v>0.25</v>
      </c>
      <c r="AZ62" s="537">
        <f>Time!AZ$178</f>
        <v>0.25</v>
      </c>
      <c r="BA62" s="537">
        <f>Time!BA$178</f>
        <v>0.25</v>
      </c>
      <c r="BB62" s="537">
        <f>Time!BB$178</f>
        <v>0.25</v>
      </c>
      <c r="BC62" s="537">
        <f>Time!BC$178</f>
        <v>0.25</v>
      </c>
      <c r="BD62" s="537">
        <f>Time!BD$178</f>
        <v>0.25</v>
      </c>
      <c r="BE62" s="537">
        <f>Time!BE$178</f>
        <v>0.25</v>
      </c>
      <c r="BF62" s="537">
        <f>Time!BF$178</f>
        <v>0.25</v>
      </c>
      <c r="BG62" s="537">
        <f>Time!BG$178</f>
        <v>0.25</v>
      </c>
      <c r="BH62" s="537">
        <f>Time!BH$178</f>
        <v>0.25</v>
      </c>
      <c r="BI62" s="537">
        <f>Time!BI$178</f>
        <v>0.25</v>
      </c>
      <c r="BJ62" s="537">
        <f>Time!BJ$178</f>
        <v>0.25</v>
      </c>
      <c r="BK62" s="537">
        <f>Time!BK$178</f>
        <v>0.25</v>
      </c>
      <c r="BL62" s="537">
        <f>Time!BL$178</f>
        <v>0.25</v>
      </c>
      <c r="BM62" s="537">
        <f>Time!BM$178</f>
        <v>0.25</v>
      </c>
      <c r="BN62" s="537">
        <f>Time!BN$178</f>
        <v>0.25</v>
      </c>
      <c r="BO62" s="537">
        <f>Time!BO$178</f>
        <v>0.25</v>
      </c>
      <c r="BP62" s="537">
        <f>Time!BP$178</f>
        <v>0.25</v>
      </c>
      <c r="BQ62" s="537">
        <f>Time!BQ$178</f>
        <v>0.25</v>
      </c>
      <c r="BR62" s="537">
        <f>Time!BR$178</f>
        <v>0.25</v>
      </c>
      <c r="BS62" s="537">
        <f>Time!BS$178</f>
        <v>0.25</v>
      </c>
      <c r="BT62" s="537">
        <f>Time!BT$178</f>
        <v>0.25</v>
      </c>
      <c r="BU62" s="537">
        <f>Time!BU$178</f>
        <v>0.25</v>
      </c>
      <c r="BV62" s="537">
        <f>Time!BV$178</f>
        <v>0.25</v>
      </c>
      <c r="BW62" s="537">
        <f>Time!BW$178</f>
        <v>0.25</v>
      </c>
      <c r="BX62" s="537">
        <f>Time!BX$178</f>
        <v>0.25</v>
      </c>
      <c r="BY62" s="537">
        <f>Time!BY$178</f>
        <v>0.25</v>
      </c>
      <c r="BZ62" s="537">
        <f>Time!BZ$178</f>
        <v>0.25</v>
      </c>
      <c r="CA62" s="537">
        <f>Time!CA$178</f>
        <v>0.25</v>
      </c>
      <c r="CB62" s="537">
        <f>Time!CB$178</f>
        <v>0.25</v>
      </c>
      <c r="CC62" s="537">
        <f>Time!CC$178</f>
        <v>0.25</v>
      </c>
      <c r="CD62" s="537">
        <f>Time!CD$178</f>
        <v>0.25</v>
      </c>
      <c r="CE62" s="537">
        <f>Time!CE$178</f>
        <v>0.25</v>
      </c>
      <c r="CF62" s="537">
        <f>Time!CF$178</f>
        <v>0.25</v>
      </c>
      <c r="CG62" s="537">
        <f>Time!CG$178</f>
        <v>0.25</v>
      </c>
      <c r="CH62" s="537">
        <f>Time!CH$178</f>
        <v>0.25</v>
      </c>
      <c r="CI62" s="537">
        <f>Time!CI$178</f>
        <v>0.25</v>
      </c>
      <c r="CJ62" s="537">
        <f>Time!CJ$178</f>
        <v>0.25</v>
      </c>
      <c r="CK62" s="537">
        <f>Time!CK$178</f>
        <v>0.25</v>
      </c>
      <c r="CL62" s="537">
        <f>Time!CL$178</f>
        <v>0.25</v>
      </c>
      <c r="CM62" s="537">
        <f>Time!CM$178</f>
        <v>0.25</v>
      </c>
      <c r="CN62" s="537">
        <f>Time!CN$178</f>
        <v>0.25</v>
      </c>
      <c r="CO62" s="537">
        <f>Time!CO$178</f>
        <v>0.25</v>
      </c>
      <c r="CP62" s="537">
        <f>Time!CP$178</f>
        <v>0.25</v>
      </c>
      <c r="CQ62" s="537">
        <f>Time!CQ$178</f>
        <v>0.25</v>
      </c>
      <c r="CR62" s="537">
        <f>Time!CR$178</f>
        <v>0.25</v>
      </c>
      <c r="CS62" s="537">
        <f>Time!CS$178</f>
        <v>0.25</v>
      </c>
      <c r="CT62" s="537">
        <f>Time!CT$178</f>
        <v>0.25</v>
      </c>
      <c r="CU62" s="537">
        <f>Time!CU$178</f>
        <v>0.25</v>
      </c>
      <c r="CV62" s="537">
        <f>Time!CV$178</f>
        <v>0.25</v>
      </c>
      <c r="CW62" s="537">
        <f>Time!CW$178</f>
        <v>0.25</v>
      </c>
      <c r="CX62" s="537">
        <f>Time!CX$178</f>
        <v>0.25</v>
      </c>
      <c r="CY62" s="537">
        <f>Time!CY$178</f>
        <v>0.25</v>
      </c>
      <c r="CZ62" s="537">
        <f>Time!CZ$178</f>
        <v>0.25</v>
      </c>
      <c r="DA62" s="537">
        <f>Time!DA$178</f>
        <v>0.25</v>
      </c>
      <c r="DB62" s="537">
        <f>Time!DB$178</f>
        <v>0.25</v>
      </c>
      <c r="DC62" s="537">
        <f>Time!DC$178</f>
        <v>0.25</v>
      </c>
      <c r="DD62" s="537">
        <f>Time!DD$178</f>
        <v>0.25</v>
      </c>
      <c r="DE62" s="537">
        <f>Time!DE$178</f>
        <v>0.25</v>
      </c>
      <c r="DF62" s="537">
        <f>Time!DF$178</f>
        <v>0.25</v>
      </c>
      <c r="DG62" s="537">
        <f>Time!DG$178</f>
        <v>0.25</v>
      </c>
      <c r="DH62" s="537">
        <f>Time!DH$178</f>
        <v>0.25</v>
      </c>
      <c r="DI62" s="537">
        <f>Time!DI$178</f>
        <v>0.25</v>
      </c>
      <c r="DJ62" s="537">
        <f>Time!DJ$178</f>
        <v>0.25</v>
      </c>
      <c r="DK62" s="537">
        <f>Time!DK$178</f>
        <v>0.25</v>
      </c>
      <c r="DL62" s="537">
        <f>Time!DL$178</f>
        <v>0.25</v>
      </c>
      <c r="DM62" s="537">
        <f>Time!DM$178</f>
        <v>0.25</v>
      </c>
      <c r="DN62" s="537">
        <f>Time!DN$178</f>
        <v>0.25</v>
      </c>
      <c r="DO62" s="537">
        <f>Time!DO$178</f>
        <v>0.25</v>
      </c>
      <c r="DP62" s="537">
        <f>Time!DP$178</f>
        <v>0.25</v>
      </c>
      <c r="DQ62" s="537">
        <f>Time!DQ$178</f>
        <v>0.25</v>
      </c>
      <c r="DR62" s="537">
        <f>Time!DR$178</f>
        <v>0.25</v>
      </c>
      <c r="DS62" s="537">
        <f>Time!DS$178</f>
        <v>0.25</v>
      </c>
      <c r="DT62" s="537">
        <f>Time!DT$178</f>
        <v>0.25</v>
      </c>
      <c r="DU62" s="537">
        <f>Time!DU$178</f>
        <v>0.25</v>
      </c>
      <c r="DV62" s="537">
        <f>Time!DV$178</f>
        <v>0.25</v>
      </c>
      <c r="DW62" s="537">
        <f>Time!DW$178</f>
        <v>0.25</v>
      </c>
      <c r="DX62" s="537">
        <f>Time!DX$178</f>
        <v>0.25</v>
      </c>
      <c r="DY62" s="537">
        <f>Time!DY$178</f>
        <v>0.25</v>
      </c>
      <c r="DZ62" s="537">
        <f>Time!DZ$178</f>
        <v>0.25</v>
      </c>
      <c r="EA62" s="537">
        <f>Time!EA$178</f>
        <v>0.25</v>
      </c>
      <c r="EB62" s="537">
        <f>Time!EB$178</f>
        <v>0.25</v>
      </c>
      <c r="EC62" s="537">
        <f>Time!EC$178</f>
        <v>0.25</v>
      </c>
      <c r="ED62" s="537">
        <f>Time!ED$178</f>
        <v>0.25</v>
      </c>
      <c r="EE62" s="537">
        <f>Time!EE$178</f>
        <v>0.25</v>
      </c>
      <c r="EF62" s="537">
        <f>Time!EF$178</f>
        <v>0.25</v>
      </c>
      <c r="EG62" s="537">
        <f>Time!EG$178</f>
        <v>0.25</v>
      </c>
    </row>
    <row r="63" spans="5:137" ht="12.75">
      <c r="E63" s="538" t="str">
        <f>E$48</f>
        <v>Revenue - total</v>
      </c>
      <c r="G63" s="539" t="str">
        <f>G$48</f>
        <v>EUR 000s</v>
      </c>
      <c r="H63" s="539">
        <f>H$48</f>
        <v>1599567.5439386531</v>
      </c>
      <c r="J63" s="539">
        <f t="shared" si="14" ref="J63:EG63">J$48</f>
        <v>0</v>
      </c>
      <c r="K63" s="539">
        <f t="shared" si="14"/>
        <v>0</v>
      </c>
      <c r="L63" s="539">
        <f t="shared" si="14"/>
        <v>0</v>
      </c>
      <c r="M63" s="539">
        <f t="shared" si="14"/>
        <v>0</v>
      </c>
      <c r="N63" s="539">
        <f t="shared" si="14"/>
        <v>0</v>
      </c>
      <c r="O63" s="539">
        <f t="shared" si="14"/>
        <v>0</v>
      </c>
      <c r="P63" s="539">
        <f t="shared" si="14"/>
        <v>0</v>
      </c>
      <c r="Q63" s="539">
        <f t="shared" si="14"/>
        <v>0</v>
      </c>
      <c r="R63" s="539">
        <f t="shared" si="14"/>
        <v>0</v>
      </c>
      <c r="S63" s="539">
        <f t="shared" si="14"/>
        <v>0</v>
      </c>
      <c r="T63" s="539">
        <f t="shared" si="14"/>
        <v>0</v>
      </c>
      <c r="U63" s="539">
        <f t="shared" si="14"/>
        <v>0</v>
      </c>
      <c r="V63" s="539">
        <f t="shared" si="14"/>
        <v>0</v>
      </c>
      <c r="W63" s="539">
        <f t="shared" si="14"/>
        <v>0</v>
      </c>
      <c r="X63" s="539">
        <f t="shared" si="14"/>
        <v>0</v>
      </c>
      <c r="Y63" s="539">
        <f t="shared" si="14"/>
        <v>0</v>
      </c>
      <c r="Z63" s="539">
        <f t="shared" si="14"/>
        <v>0</v>
      </c>
      <c r="AA63" s="539">
        <f t="shared" si="14"/>
        <v>0</v>
      </c>
      <c r="AB63" s="539">
        <f t="shared" si="14"/>
        <v>0</v>
      </c>
      <c r="AC63" s="539">
        <f t="shared" si="14"/>
        <v>0</v>
      </c>
      <c r="AD63" s="539">
        <f t="shared" si="14"/>
        <v>0</v>
      </c>
      <c r="AE63" s="539">
        <f t="shared" si="14"/>
        <v>0</v>
      </c>
      <c r="AF63" s="539">
        <f t="shared" si="14"/>
        <v>0</v>
      </c>
      <c r="AG63" s="539">
        <f t="shared" si="14"/>
        <v>0</v>
      </c>
      <c r="AH63" s="539">
        <f t="shared" si="14"/>
        <v>12484.799999999999</v>
      </c>
      <c r="AI63" s="539">
        <f t="shared" si="14"/>
        <v>12484.799999999999</v>
      </c>
      <c r="AJ63" s="539">
        <f t="shared" si="14"/>
        <v>12484.799999999999</v>
      </c>
      <c r="AK63" s="539">
        <f t="shared" si="14"/>
        <v>12484.799999999999</v>
      </c>
      <c r="AL63" s="539">
        <f t="shared" si="14"/>
        <v>12734.495999999999</v>
      </c>
      <c r="AM63" s="539">
        <f t="shared" si="14"/>
        <v>12734.495999999999</v>
      </c>
      <c r="AN63" s="539">
        <f t="shared" si="14"/>
        <v>12734.495999999999</v>
      </c>
      <c r="AO63" s="539">
        <f t="shared" si="14"/>
        <v>12734.495999999999</v>
      </c>
      <c r="AP63" s="539">
        <f t="shared" si="14"/>
        <v>12989.18592</v>
      </c>
      <c r="AQ63" s="539">
        <f t="shared" si="14"/>
        <v>12989.18592</v>
      </c>
      <c r="AR63" s="539">
        <f t="shared" si="14"/>
        <v>12989.18592</v>
      </c>
      <c r="AS63" s="539">
        <f t="shared" si="14"/>
        <v>12989.18592</v>
      </c>
      <c r="AT63" s="539">
        <f t="shared" si="14"/>
        <v>13248.9696384</v>
      </c>
      <c r="AU63" s="539">
        <f t="shared" si="14"/>
        <v>13248.9696384</v>
      </c>
      <c r="AV63" s="539">
        <f t="shared" si="14"/>
        <v>13248.9696384</v>
      </c>
      <c r="AW63" s="539">
        <f t="shared" si="14"/>
        <v>13248.9696384</v>
      </c>
      <c r="AX63" s="539">
        <f t="shared" si="14"/>
        <v>13513.949031168</v>
      </c>
      <c r="AY63" s="539">
        <f t="shared" si="14"/>
        <v>13513.949031168</v>
      </c>
      <c r="AZ63" s="539">
        <f t="shared" si="14"/>
        <v>13513.949031168</v>
      </c>
      <c r="BA63" s="539">
        <f t="shared" si="14"/>
        <v>13513.949031168</v>
      </c>
      <c r="BB63" s="539">
        <f t="shared" si="14"/>
        <v>13784.228011791361</v>
      </c>
      <c r="BC63" s="539">
        <f t="shared" si="14"/>
        <v>13784.228011791361</v>
      </c>
      <c r="BD63" s="539">
        <f t="shared" si="14"/>
        <v>13784.228011791361</v>
      </c>
      <c r="BE63" s="539">
        <f t="shared" si="14"/>
        <v>13784.228011791361</v>
      </c>
      <c r="BF63" s="539">
        <f t="shared" si="14"/>
        <v>14059.91257202719</v>
      </c>
      <c r="BG63" s="539">
        <f t="shared" si="14"/>
        <v>14059.91257202719</v>
      </c>
      <c r="BH63" s="539">
        <f t="shared" si="14"/>
        <v>14059.91257202719</v>
      </c>
      <c r="BI63" s="539">
        <f t="shared" si="14"/>
        <v>14059.91257202719</v>
      </c>
      <c r="BJ63" s="539">
        <f t="shared" si="14"/>
        <v>14341.110823467732</v>
      </c>
      <c r="BK63" s="539">
        <f t="shared" si="14"/>
        <v>14341.110823467732</v>
      </c>
      <c r="BL63" s="539">
        <f t="shared" si="14"/>
        <v>14341.110823467732</v>
      </c>
      <c r="BM63" s="539">
        <f t="shared" si="14"/>
        <v>14341.110823467732</v>
      </c>
      <c r="BN63" s="539">
        <f t="shared" si="14"/>
        <v>14627.933039937088</v>
      </c>
      <c r="BO63" s="539">
        <f t="shared" si="14"/>
        <v>14627.933039937088</v>
      </c>
      <c r="BP63" s="539">
        <f t="shared" si="14"/>
        <v>14627.933039937088</v>
      </c>
      <c r="BQ63" s="539">
        <f t="shared" si="14"/>
        <v>14627.933039937088</v>
      </c>
      <c r="BR63" s="539">
        <f t="shared" si="14"/>
        <v>14920.491700735829</v>
      </c>
      <c r="BS63" s="539">
        <f t="shared" si="14"/>
        <v>14920.491700735829</v>
      </c>
      <c r="BT63" s="539">
        <f t="shared" si="14"/>
        <v>14920.491700735829</v>
      </c>
      <c r="BU63" s="539">
        <f t="shared" si="14"/>
        <v>14920.491700735829</v>
      </c>
      <c r="BV63" s="539">
        <f t="shared" si="14"/>
        <v>15218.901534750546</v>
      </c>
      <c r="BW63" s="539">
        <f t="shared" si="14"/>
        <v>15218.901534750546</v>
      </c>
      <c r="BX63" s="539">
        <f t="shared" si="14"/>
        <v>15218.901534750546</v>
      </c>
      <c r="BY63" s="539">
        <f t="shared" si="14"/>
        <v>15218.901534750546</v>
      </c>
      <c r="BZ63" s="539">
        <f t="shared" si="14"/>
        <v>15523.279565445555</v>
      </c>
      <c r="CA63" s="539">
        <f t="shared" si="14"/>
        <v>15523.279565445555</v>
      </c>
      <c r="CB63" s="539">
        <f t="shared" si="14"/>
        <v>15523.279565445555</v>
      </c>
      <c r="CC63" s="539">
        <f t="shared" si="14"/>
        <v>15523.279565445555</v>
      </c>
      <c r="CD63" s="539">
        <f t="shared" si="14"/>
        <v>15833.745156754469</v>
      </c>
      <c r="CE63" s="539">
        <f t="shared" si="14"/>
        <v>15833.745156754469</v>
      </c>
      <c r="CF63" s="539">
        <f t="shared" si="14"/>
        <v>15833.745156754469</v>
      </c>
      <c r="CG63" s="539">
        <f t="shared" si="14"/>
        <v>15833.745156754469</v>
      </c>
      <c r="CH63" s="539">
        <f t="shared" si="14"/>
        <v>16150.420059889559</v>
      </c>
      <c r="CI63" s="539">
        <f t="shared" si="14"/>
        <v>16150.420059889559</v>
      </c>
      <c r="CJ63" s="539">
        <f t="shared" si="14"/>
        <v>16150.420059889559</v>
      </c>
      <c r="CK63" s="539">
        <f t="shared" si="14"/>
        <v>16150.420059889559</v>
      </c>
      <c r="CL63" s="539">
        <f t="shared" si="14"/>
        <v>16473.428461087351</v>
      </c>
      <c r="CM63" s="539">
        <f t="shared" si="14"/>
        <v>16473.428461087351</v>
      </c>
      <c r="CN63" s="539">
        <f t="shared" si="14"/>
        <v>16473.428461087351</v>
      </c>
      <c r="CO63" s="539">
        <f t="shared" si="14"/>
        <v>16473.428461087351</v>
      </c>
      <c r="CP63" s="539">
        <f t="shared" si="14"/>
        <v>16802.897030309097</v>
      </c>
      <c r="CQ63" s="539">
        <f t="shared" si="14"/>
        <v>16802.897030309097</v>
      </c>
      <c r="CR63" s="539">
        <f t="shared" si="14"/>
        <v>16802.897030309097</v>
      </c>
      <c r="CS63" s="539">
        <f t="shared" si="14"/>
        <v>16802.897030309097</v>
      </c>
      <c r="CT63" s="539">
        <f t="shared" si="14"/>
        <v>17138.954970915282</v>
      </c>
      <c r="CU63" s="539">
        <f t="shared" si="14"/>
        <v>17138.954970915282</v>
      </c>
      <c r="CV63" s="539">
        <f t="shared" si="14"/>
        <v>17138.954970915282</v>
      </c>
      <c r="CW63" s="539">
        <f t="shared" si="14"/>
        <v>17138.954970915282</v>
      </c>
      <c r="CX63" s="539">
        <f t="shared" si="14"/>
        <v>17481.734070333587</v>
      </c>
      <c r="CY63" s="539">
        <f t="shared" si="14"/>
        <v>17481.734070333587</v>
      </c>
      <c r="CZ63" s="539">
        <f t="shared" si="14"/>
        <v>17481.734070333587</v>
      </c>
      <c r="DA63" s="539">
        <f t="shared" si="14"/>
        <v>17481.734070333587</v>
      </c>
      <c r="DB63" s="539">
        <f t="shared" si="14"/>
        <v>17831.368751740258</v>
      </c>
      <c r="DC63" s="539">
        <f t="shared" si="14"/>
        <v>17831.368751740258</v>
      </c>
      <c r="DD63" s="539">
        <f t="shared" si="14"/>
        <v>17831.368751740258</v>
      </c>
      <c r="DE63" s="539">
        <f t="shared" si="14"/>
        <v>17831.368751740258</v>
      </c>
      <c r="DF63" s="539">
        <f t="shared" si="14"/>
        <v>18187.996126775066</v>
      </c>
      <c r="DG63" s="539">
        <f t="shared" si="14"/>
        <v>18187.996126775066</v>
      </c>
      <c r="DH63" s="539">
        <f t="shared" si="14"/>
        <v>18187.996126775066</v>
      </c>
      <c r="DI63" s="539">
        <f t="shared" si="14"/>
        <v>18187.996126775066</v>
      </c>
      <c r="DJ63" s="539">
        <f t="shared" si="14"/>
        <v>18551.756049310567</v>
      </c>
      <c r="DK63" s="539">
        <f t="shared" si="14"/>
        <v>18551.756049310567</v>
      </c>
      <c r="DL63" s="539">
        <f t="shared" si="14"/>
        <v>18551.756049310567</v>
      </c>
      <c r="DM63" s="539">
        <f t="shared" si="14"/>
        <v>18551.756049310567</v>
      </c>
      <c r="DN63" s="539">
        <f t="shared" si="14"/>
        <v>18922.791170296779</v>
      </c>
      <c r="DO63" s="539">
        <f t="shared" si="14"/>
        <v>18922.791170296779</v>
      </c>
      <c r="DP63" s="539">
        <f t="shared" si="14"/>
        <v>18922.791170296779</v>
      </c>
      <c r="DQ63" s="539">
        <f t="shared" si="14"/>
        <v>18922.791170296779</v>
      </c>
      <c r="DR63" s="539">
        <f t="shared" si="14"/>
        <v>19301.246993702713</v>
      </c>
      <c r="DS63" s="539">
        <f t="shared" si="14"/>
        <v>19301.246993702713</v>
      </c>
      <c r="DT63" s="539">
        <f t="shared" si="14"/>
        <v>19301.246993702713</v>
      </c>
      <c r="DU63" s="539">
        <f t="shared" si="14"/>
        <v>19301.246993702713</v>
      </c>
      <c r="DV63" s="539">
        <f t="shared" si="14"/>
        <v>19687.271933576769</v>
      </c>
      <c r="DW63" s="539">
        <f t="shared" si="14"/>
        <v>19687.271933576769</v>
      </c>
      <c r="DX63" s="539">
        <f t="shared" si="14"/>
        <v>19687.271933576769</v>
      </c>
      <c r="DY63" s="539">
        <f t="shared" si="14"/>
        <v>19687.271933576769</v>
      </c>
      <c r="DZ63" s="539">
        <f t="shared" si="14"/>
        <v>20081.017372248301</v>
      </c>
      <c r="EA63" s="539">
        <f t="shared" si="14"/>
        <v>20081.017372248301</v>
      </c>
      <c r="EB63" s="539">
        <f t="shared" si="14"/>
        <v>20081.017372248301</v>
      </c>
      <c r="EC63" s="539">
        <f t="shared" si="14"/>
        <v>20081.017372248301</v>
      </c>
      <c r="ED63" s="539">
        <f t="shared" si="14"/>
        <v>0</v>
      </c>
      <c r="EE63" s="539">
        <f t="shared" si="14"/>
        <v>0</v>
      </c>
      <c r="EF63" s="539">
        <f t="shared" si="14"/>
        <v>0</v>
      </c>
      <c r="EG63" s="539">
        <f t="shared" si="14"/>
        <v>0</v>
      </c>
    </row>
    <row r="64" spans="5:137" ht="12.75">
      <c r="E64" s="538" t="s">
        <v>48</v>
      </c>
      <c r="G64" s="539" t="s">
        <v>30</v>
      </c>
      <c r="H64" s="539">
        <f>SUM(J64:EG64)</f>
        <v>15000</v>
      </c>
      <c r="J64" s="539">
        <f t="shared" si="15" ref="J64:EG64">$F60*MIN(J63,$F59*J62)*J61</f>
        <v>0</v>
      </c>
      <c r="K64" s="539">
        <f t="shared" si="15"/>
        <v>0</v>
      </c>
      <c r="L64" s="539">
        <f t="shared" si="15"/>
        <v>0</v>
      </c>
      <c r="M64" s="539">
        <f t="shared" si="15"/>
        <v>0</v>
      </c>
      <c r="N64" s="539">
        <f t="shared" si="15"/>
        <v>0</v>
      </c>
      <c r="O64" s="539">
        <f t="shared" si="15"/>
        <v>0</v>
      </c>
      <c r="P64" s="539">
        <f t="shared" si="15"/>
        <v>0</v>
      </c>
      <c r="Q64" s="539">
        <f t="shared" si="15"/>
        <v>0</v>
      </c>
      <c r="R64" s="539">
        <f t="shared" si="15"/>
        <v>0</v>
      </c>
      <c r="S64" s="539">
        <f t="shared" si="15"/>
        <v>0</v>
      </c>
      <c r="T64" s="539">
        <f t="shared" si="15"/>
        <v>0</v>
      </c>
      <c r="U64" s="539">
        <f t="shared" si="15"/>
        <v>0</v>
      </c>
      <c r="V64" s="539">
        <f t="shared" si="15"/>
        <v>0</v>
      </c>
      <c r="W64" s="539">
        <f t="shared" si="15"/>
        <v>0</v>
      </c>
      <c r="X64" s="539">
        <f t="shared" si="15"/>
        <v>0</v>
      </c>
      <c r="Y64" s="539">
        <f t="shared" si="15"/>
        <v>0</v>
      </c>
      <c r="Z64" s="539">
        <f t="shared" si="15"/>
        <v>0</v>
      </c>
      <c r="AA64" s="539">
        <f t="shared" si="15"/>
        <v>0</v>
      </c>
      <c r="AB64" s="539">
        <f t="shared" si="15"/>
        <v>0</v>
      </c>
      <c r="AC64" s="539">
        <f t="shared" si="15"/>
        <v>0</v>
      </c>
      <c r="AD64" s="539">
        <f t="shared" si="15"/>
        <v>0</v>
      </c>
      <c r="AE64" s="539">
        <f t="shared" si="15"/>
        <v>0</v>
      </c>
      <c r="AF64" s="539">
        <f t="shared" si="15"/>
        <v>0</v>
      </c>
      <c r="AG64" s="539">
        <f t="shared" si="15"/>
        <v>0</v>
      </c>
      <c r="AH64" s="539">
        <f t="shared" si="15"/>
        <v>150</v>
      </c>
      <c r="AI64" s="539">
        <f t="shared" si="15"/>
        <v>150</v>
      </c>
      <c r="AJ64" s="539">
        <f t="shared" si="15"/>
        <v>150</v>
      </c>
      <c r="AK64" s="539">
        <f t="shared" si="15"/>
        <v>150</v>
      </c>
      <c r="AL64" s="539">
        <f t="shared" si="15"/>
        <v>150</v>
      </c>
      <c r="AM64" s="539">
        <f t="shared" si="15"/>
        <v>150</v>
      </c>
      <c r="AN64" s="539">
        <f t="shared" si="15"/>
        <v>150</v>
      </c>
      <c r="AO64" s="539">
        <f t="shared" si="15"/>
        <v>150</v>
      </c>
      <c r="AP64" s="539">
        <f t="shared" si="15"/>
        <v>150</v>
      </c>
      <c r="AQ64" s="539">
        <f t="shared" si="15"/>
        <v>150</v>
      </c>
      <c r="AR64" s="539">
        <f t="shared" si="15"/>
        <v>150</v>
      </c>
      <c r="AS64" s="539">
        <f t="shared" si="15"/>
        <v>150</v>
      </c>
      <c r="AT64" s="539">
        <f t="shared" si="15"/>
        <v>150</v>
      </c>
      <c r="AU64" s="539">
        <f t="shared" si="15"/>
        <v>150</v>
      </c>
      <c r="AV64" s="539">
        <f t="shared" si="15"/>
        <v>150</v>
      </c>
      <c r="AW64" s="539">
        <f t="shared" si="15"/>
        <v>150</v>
      </c>
      <c r="AX64" s="539">
        <f t="shared" si="15"/>
        <v>150</v>
      </c>
      <c r="AY64" s="539">
        <f t="shared" si="15"/>
        <v>150</v>
      </c>
      <c r="AZ64" s="539">
        <f t="shared" si="15"/>
        <v>150</v>
      </c>
      <c r="BA64" s="539">
        <f t="shared" si="15"/>
        <v>150</v>
      </c>
      <c r="BB64" s="539">
        <f t="shared" si="15"/>
        <v>150</v>
      </c>
      <c r="BC64" s="539">
        <f t="shared" si="15"/>
        <v>150</v>
      </c>
      <c r="BD64" s="539">
        <f t="shared" si="15"/>
        <v>150</v>
      </c>
      <c r="BE64" s="539">
        <f t="shared" si="15"/>
        <v>150</v>
      </c>
      <c r="BF64" s="539">
        <f t="shared" si="15"/>
        <v>150</v>
      </c>
      <c r="BG64" s="539">
        <f t="shared" si="15"/>
        <v>150</v>
      </c>
      <c r="BH64" s="539">
        <f t="shared" si="15"/>
        <v>150</v>
      </c>
      <c r="BI64" s="539">
        <f t="shared" si="15"/>
        <v>150</v>
      </c>
      <c r="BJ64" s="539">
        <f t="shared" si="15"/>
        <v>150</v>
      </c>
      <c r="BK64" s="539">
        <f t="shared" si="15"/>
        <v>150</v>
      </c>
      <c r="BL64" s="539">
        <f t="shared" si="15"/>
        <v>150</v>
      </c>
      <c r="BM64" s="539">
        <f t="shared" si="15"/>
        <v>150</v>
      </c>
      <c r="BN64" s="539">
        <f t="shared" si="15"/>
        <v>150</v>
      </c>
      <c r="BO64" s="539">
        <f t="shared" si="15"/>
        <v>150</v>
      </c>
      <c r="BP64" s="539">
        <f t="shared" si="15"/>
        <v>150</v>
      </c>
      <c r="BQ64" s="539">
        <f t="shared" si="15"/>
        <v>150</v>
      </c>
      <c r="BR64" s="539">
        <f t="shared" si="15"/>
        <v>150</v>
      </c>
      <c r="BS64" s="539">
        <f t="shared" si="15"/>
        <v>150</v>
      </c>
      <c r="BT64" s="539">
        <f t="shared" si="15"/>
        <v>150</v>
      </c>
      <c r="BU64" s="539">
        <f t="shared" si="15"/>
        <v>150</v>
      </c>
      <c r="BV64" s="539">
        <f t="shared" si="15"/>
        <v>150</v>
      </c>
      <c r="BW64" s="539">
        <f t="shared" si="15"/>
        <v>150</v>
      </c>
      <c r="BX64" s="539">
        <f t="shared" si="15"/>
        <v>150</v>
      </c>
      <c r="BY64" s="539">
        <f t="shared" si="15"/>
        <v>150</v>
      </c>
      <c r="BZ64" s="539">
        <f t="shared" si="15"/>
        <v>150</v>
      </c>
      <c r="CA64" s="539">
        <f t="shared" si="15"/>
        <v>150</v>
      </c>
      <c r="CB64" s="539">
        <f t="shared" si="15"/>
        <v>150</v>
      </c>
      <c r="CC64" s="539">
        <f t="shared" si="15"/>
        <v>150</v>
      </c>
      <c r="CD64" s="539">
        <f t="shared" si="15"/>
        <v>150</v>
      </c>
      <c r="CE64" s="539">
        <f t="shared" si="15"/>
        <v>150</v>
      </c>
      <c r="CF64" s="539">
        <f t="shared" si="15"/>
        <v>150</v>
      </c>
      <c r="CG64" s="539">
        <f t="shared" si="15"/>
        <v>150</v>
      </c>
      <c r="CH64" s="539">
        <f t="shared" si="15"/>
        <v>150</v>
      </c>
      <c r="CI64" s="539">
        <f t="shared" si="15"/>
        <v>150</v>
      </c>
      <c r="CJ64" s="539">
        <f t="shared" si="15"/>
        <v>150</v>
      </c>
      <c r="CK64" s="539">
        <f t="shared" si="15"/>
        <v>150</v>
      </c>
      <c r="CL64" s="539">
        <f t="shared" si="15"/>
        <v>150</v>
      </c>
      <c r="CM64" s="539">
        <f t="shared" si="15"/>
        <v>150</v>
      </c>
      <c r="CN64" s="539">
        <f t="shared" si="15"/>
        <v>150</v>
      </c>
      <c r="CO64" s="539">
        <f t="shared" si="15"/>
        <v>150</v>
      </c>
      <c r="CP64" s="539">
        <f t="shared" si="15"/>
        <v>150</v>
      </c>
      <c r="CQ64" s="539">
        <f t="shared" si="15"/>
        <v>150</v>
      </c>
      <c r="CR64" s="539">
        <f t="shared" si="15"/>
        <v>150</v>
      </c>
      <c r="CS64" s="539">
        <f t="shared" si="15"/>
        <v>150</v>
      </c>
      <c r="CT64" s="539">
        <f t="shared" si="15"/>
        <v>150</v>
      </c>
      <c r="CU64" s="539">
        <f t="shared" si="15"/>
        <v>150</v>
      </c>
      <c r="CV64" s="539">
        <f t="shared" si="15"/>
        <v>150</v>
      </c>
      <c r="CW64" s="539">
        <f t="shared" si="15"/>
        <v>150</v>
      </c>
      <c r="CX64" s="539">
        <f t="shared" si="15"/>
        <v>150</v>
      </c>
      <c r="CY64" s="539">
        <f t="shared" si="15"/>
        <v>150</v>
      </c>
      <c r="CZ64" s="539">
        <f t="shared" si="15"/>
        <v>150</v>
      </c>
      <c r="DA64" s="539">
        <f t="shared" si="15"/>
        <v>150</v>
      </c>
      <c r="DB64" s="539">
        <f t="shared" si="15"/>
        <v>150</v>
      </c>
      <c r="DC64" s="539">
        <f t="shared" si="15"/>
        <v>150</v>
      </c>
      <c r="DD64" s="539">
        <f t="shared" si="15"/>
        <v>150</v>
      </c>
      <c r="DE64" s="539">
        <f t="shared" si="15"/>
        <v>150</v>
      </c>
      <c r="DF64" s="539">
        <f t="shared" si="15"/>
        <v>150</v>
      </c>
      <c r="DG64" s="539">
        <f t="shared" si="15"/>
        <v>150</v>
      </c>
      <c r="DH64" s="539">
        <f t="shared" si="15"/>
        <v>150</v>
      </c>
      <c r="DI64" s="539">
        <f t="shared" si="15"/>
        <v>150</v>
      </c>
      <c r="DJ64" s="539">
        <f t="shared" si="15"/>
        <v>150</v>
      </c>
      <c r="DK64" s="539">
        <f t="shared" si="15"/>
        <v>150</v>
      </c>
      <c r="DL64" s="539">
        <f t="shared" si="15"/>
        <v>150</v>
      </c>
      <c r="DM64" s="539">
        <f t="shared" si="15"/>
        <v>150</v>
      </c>
      <c r="DN64" s="539">
        <f t="shared" si="15"/>
        <v>150</v>
      </c>
      <c r="DO64" s="539">
        <f t="shared" si="15"/>
        <v>150</v>
      </c>
      <c r="DP64" s="539">
        <f t="shared" si="15"/>
        <v>150</v>
      </c>
      <c r="DQ64" s="539">
        <f t="shared" si="15"/>
        <v>150</v>
      </c>
      <c r="DR64" s="539">
        <f t="shared" si="15"/>
        <v>150</v>
      </c>
      <c r="DS64" s="539">
        <f t="shared" si="15"/>
        <v>150</v>
      </c>
      <c r="DT64" s="539">
        <f t="shared" si="15"/>
        <v>150</v>
      </c>
      <c r="DU64" s="539">
        <f t="shared" si="15"/>
        <v>150</v>
      </c>
      <c r="DV64" s="539">
        <f t="shared" si="15"/>
        <v>150</v>
      </c>
      <c r="DW64" s="539">
        <f t="shared" si="15"/>
        <v>150</v>
      </c>
      <c r="DX64" s="539">
        <f t="shared" si="15"/>
        <v>150</v>
      </c>
      <c r="DY64" s="539">
        <f t="shared" si="15"/>
        <v>150</v>
      </c>
      <c r="DZ64" s="539">
        <f t="shared" si="15"/>
        <v>150</v>
      </c>
      <c r="EA64" s="539">
        <f t="shared" si="15"/>
        <v>150</v>
      </c>
      <c r="EB64" s="539">
        <f t="shared" si="15"/>
        <v>150</v>
      </c>
      <c r="EC64" s="539">
        <f t="shared" si="15"/>
        <v>150</v>
      </c>
      <c r="ED64" s="539">
        <f t="shared" si="15"/>
        <v>0</v>
      </c>
      <c r="EE64" s="539">
        <f t="shared" si="15"/>
        <v>0</v>
      </c>
      <c r="EF64" s="539">
        <f t="shared" si="15"/>
        <v>0</v>
      </c>
      <c r="EG64" s="539">
        <f t="shared" si="15"/>
        <v>0</v>
      </c>
    </row>
    <row r="66" spans="5:7" ht="12.75">
      <c r="E66" s="535" t="str">
        <f>InpC!E$48</f>
        <v>Lease cost - annual revenue threshold for higher share</v>
      </c>
      <c r="F66" s="537">
        <f>InpC!F$48</f>
        <v>40000</v>
      </c>
      <c r="G66" s="537" t="str">
        <f>InpC!G$48</f>
        <v>EUR 000s</v>
      </c>
    </row>
    <row r="67" spans="5:7" ht="12.75">
      <c r="E67" s="535" t="str">
        <f>InpC!E$50</f>
        <v>Lease cost - revenue share above threshold</v>
      </c>
      <c r="F67" s="542">
        <f>InpC!F$50</f>
        <v>0.025000000000000001</v>
      </c>
      <c r="G67" s="542" t="str">
        <f>InpC!G$50</f>
        <v>%</v>
      </c>
    </row>
    <row r="68" spans="5:137" ht="12.75">
      <c r="E68" s="535" t="str">
        <f>Time!E$91</f>
        <v>Operating period flag</v>
      </c>
      <c r="G68" s="537" t="str">
        <f>Time!G$91</f>
        <v>flag</v>
      </c>
      <c r="H68" s="537">
        <f>Time!H$91</f>
        <v>100</v>
      </c>
      <c r="J68" s="537">
        <f>Time!J$91</f>
        <v>0</v>
      </c>
      <c r="K68" s="537">
        <f>Time!K$91</f>
        <v>0</v>
      </c>
      <c r="L68" s="537">
        <f>Time!L$91</f>
        <v>0</v>
      </c>
      <c r="M68" s="537">
        <f>Time!M$91</f>
        <v>0</v>
      </c>
      <c r="N68" s="537">
        <f>Time!N$91</f>
        <v>0</v>
      </c>
      <c r="O68" s="537">
        <f>Time!O$91</f>
        <v>0</v>
      </c>
      <c r="P68" s="537">
        <f>Time!P$91</f>
        <v>0</v>
      </c>
      <c r="Q68" s="537">
        <f>Time!Q$91</f>
        <v>0</v>
      </c>
      <c r="R68" s="537">
        <f>Time!R$91</f>
        <v>0</v>
      </c>
      <c r="S68" s="537">
        <f>Time!S$91</f>
        <v>0</v>
      </c>
      <c r="T68" s="537">
        <f>Time!T$91</f>
        <v>0</v>
      </c>
      <c r="U68" s="537">
        <f>Time!U$91</f>
        <v>0</v>
      </c>
      <c r="V68" s="537">
        <f>Time!V$91</f>
        <v>0</v>
      </c>
      <c r="W68" s="537">
        <f>Time!W$91</f>
        <v>0</v>
      </c>
      <c r="X68" s="537">
        <f>Time!X$91</f>
        <v>0</v>
      </c>
      <c r="Y68" s="537">
        <f>Time!Y$91</f>
        <v>0</v>
      </c>
      <c r="Z68" s="537">
        <f>Time!Z$91</f>
        <v>0</v>
      </c>
      <c r="AA68" s="537">
        <f>Time!AA$91</f>
        <v>0</v>
      </c>
      <c r="AB68" s="537">
        <f>Time!AB$91</f>
        <v>0</v>
      </c>
      <c r="AC68" s="537">
        <f>Time!AC$91</f>
        <v>0</v>
      </c>
      <c r="AD68" s="537">
        <f>Time!AD$91</f>
        <v>0</v>
      </c>
      <c r="AE68" s="537">
        <f>Time!AE$91</f>
        <v>0</v>
      </c>
      <c r="AF68" s="537">
        <f>Time!AF$91</f>
        <v>0</v>
      </c>
      <c r="AG68" s="537">
        <f>Time!AG$91</f>
        <v>0</v>
      </c>
      <c r="AH68" s="537">
        <f>Time!AH$91</f>
        <v>1</v>
      </c>
      <c r="AI68" s="537">
        <f>Time!AI$91</f>
        <v>1</v>
      </c>
      <c r="AJ68" s="537">
        <f>Time!AJ$91</f>
        <v>1</v>
      </c>
      <c r="AK68" s="537">
        <f>Time!AK$91</f>
        <v>1</v>
      </c>
      <c r="AL68" s="537">
        <f>Time!AL$91</f>
        <v>1</v>
      </c>
      <c r="AM68" s="537">
        <f>Time!AM$91</f>
        <v>1</v>
      </c>
      <c r="AN68" s="537">
        <f>Time!AN$91</f>
        <v>1</v>
      </c>
      <c r="AO68" s="537">
        <f>Time!AO$91</f>
        <v>1</v>
      </c>
      <c r="AP68" s="537">
        <f>Time!AP$91</f>
        <v>1</v>
      </c>
      <c r="AQ68" s="537">
        <f>Time!AQ$91</f>
        <v>1</v>
      </c>
      <c r="AR68" s="537">
        <f>Time!AR$91</f>
        <v>1</v>
      </c>
      <c r="AS68" s="537">
        <f>Time!AS$91</f>
        <v>1</v>
      </c>
      <c r="AT68" s="537">
        <f>Time!AT$91</f>
        <v>1</v>
      </c>
      <c r="AU68" s="537">
        <f>Time!AU$91</f>
        <v>1</v>
      </c>
      <c r="AV68" s="537">
        <f>Time!AV$91</f>
        <v>1</v>
      </c>
      <c r="AW68" s="537">
        <f>Time!AW$91</f>
        <v>1</v>
      </c>
      <c r="AX68" s="537">
        <f>Time!AX$91</f>
        <v>1</v>
      </c>
      <c r="AY68" s="537">
        <f>Time!AY$91</f>
        <v>1</v>
      </c>
      <c r="AZ68" s="537">
        <f>Time!AZ$91</f>
        <v>1</v>
      </c>
      <c r="BA68" s="537">
        <f>Time!BA$91</f>
        <v>1</v>
      </c>
      <c r="BB68" s="537">
        <f>Time!BB$91</f>
        <v>1</v>
      </c>
      <c r="BC68" s="537">
        <f>Time!BC$91</f>
        <v>1</v>
      </c>
      <c r="BD68" s="537">
        <f>Time!BD$91</f>
        <v>1</v>
      </c>
      <c r="BE68" s="537">
        <f>Time!BE$91</f>
        <v>1</v>
      </c>
      <c r="BF68" s="537">
        <f>Time!BF$91</f>
        <v>1</v>
      </c>
      <c r="BG68" s="537">
        <f>Time!BG$91</f>
        <v>1</v>
      </c>
      <c r="BH68" s="537">
        <f>Time!BH$91</f>
        <v>1</v>
      </c>
      <c r="BI68" s="537">
        <f>Time!BI$91</f>
        <v>1</v>
      </c>
      <c r="BJ68" s="537">
        <f>Time!BJ$91</f>
        <v>1</v>
      </c>
      <c r="BK68" s="537">
        <f>Time!BK$91</f>
        <v>1</v>
      </c>
      <c r="BL68" s="537">
        <f>Time!BL$91</f>
        <v>1</v>
      </c>
      <c r="BM68" s="537">
        <f>Time!BM$91</f>
        <v>1</v>
      </c>
      <c r="BN68" s="537">
        <f>Time!BN$91</f>
        <v>1</v>
      </c>
      <c r="BO68" s="537">
        <f>Time!BO$91</f>
        <v>1</v>
      </c>
      <c r="BP68" s="537">
        <f>Time!BP$91</f>
        <v>1</v>
      </c>
      <c r="BQ68" s="537">
        <f>Time!BQ$91</f>
        <v>1</v>
      </c>
      <c r="BR68" s="537">
        <f>Time!BR$91</f>
        <v>1</v>
      </c>
      <c r="BS68" s="537">
        <f>Time!BS$91</f>
        <v>1</v>
      </c>
      <c r="BT68" s="537">
        <f>Time!BT$91</f>
        <v>1</v>
      </c>
      <c r="BU68" s="537">
        <f>Time!BU$91</f>
        <v>1</v>
      </c>
      <c r="BV68" s="537">
        <f>Time!BV$91</f>
        <v>1</v>
      </c>
      <c r="BW68" s="537">
        <f>Time!BW$91</f>
        <v>1</v>
      </c>
      <c r="BX68" s="537">
        <f>Time!BX$91</f>
        <v>1</v>
      </c>
      <c r="BY68" s="537">
        <f>Time!BY$91</f>
        <v>1</v>
      </c>
      <c r="BZ68" s="537">
        <f>Time!BZ$91</f>
        <v>1</v>
      </c>
      <c r="CA68" s="537">
        <f>Time!CA$91</f>
        <v>1</v>
      </c>
      <c r="CB68" s="537">
        <f>Time!CB$91</f>
        <v>1</v>
      </c>
      <c r="CC68" s="537">
        <f>Time!CC$91</f>
        <v>1</v>
      </c>
      <c r="CD68" s="537">
        <f>Time!CD$91</f>
        <v>1</v>
      </c>
      <c r="CE68" s="537">
        <f>Time!CE$91</f>
        <v>1</v>
      </c>
      <c r="CF68" s="537">
        <f>Time!CF$91</f>
        <v>1</v>
      </c>
      <c r="CG68" s="537">
        <f>Time!CG$91</f>
        <v>1</v>
      </c>
      <c r="CH68" s="537">
        <f>Time!CH$91</f>
        <v>1</v>
      </c>
      <c r="CI68" s="537">
        <f>Time!CI$91</f>
        <v>1</v>
      </c>
      <c r="CJ68" s="537">
        <f>Time!CJ$91</f>
        <v>1</v>
      </c>
      <c r="CK68" s="537">
        <f>Time!CK$91</f>
        <v>1</v>
      </c>
      <c r="CL68" s="537">
        <f>Time!CL$91</f>
        <v>1</v>
      </c>
      <c r="CM68" s="537">
        <f>Time!CM$91</f>
        <v>1</v>
      </c>
      <c r="CN68" s="537">
        <f>Time!CN$91</f>
        <v>1</v>
      </c>
      <c r="CO68" s="537">
        <f>Time!CO$91</f>
        <v>1</v>
      </c>
      <c r="CP68" s="537">
        <f>Time!CP$91</f>
        <v>1</v>
      </c>
      <c r="CQ68" s="537">
        <f>Time!CQ$91</f>
        <v>1</v>
      </c>
      <c r="CR68" s="537">
        <f>Time!CR$91</f>
        <v>1</v>
      </c>
      <c r="CS68" s="537">
        <f>Time!CS$91</f>
        <v>1</v>
      </c>
      <c r="CT68" s="537">
        <f>Time!CT$91</f>
        <v>1</v>
      </c>
      <c r="CU68" s="537">
        <f>Time!CU$91</f>
        <v>1</v>
      </c>
      <c r="CV68" s="537">
        <f>Time!CV$91</f>
        <v>1</v>
      </c>
      <c r="CW68" s="537">
        <f>Time!CW$91</f>
        <v>1</v>
      </c>
      <c r="CX68" s="537">
        <f>Time!CX$91</f>
        <v>1</v>
      </c>
      <c r="CY68" s="537">
        <f>Time!CY$91</f>
        <v>1</v>
      </c>
      <c r="CZ68" s="537">
        <f>Time!CZ$91</f>
        <v>1</v>
      </c>
      <c r="DA68" s="537">
        <f>Time!DA$91</f>
        <v>1</v>
      </c>
      <c r="DB68" s="537">
        <f>Time!DB$91</f>
        <v>1</v>
      </c>
      <c r="DC68" s="537">
        <f>Time!DC$91</f>
        <v>1</v>
      </c>
      <c r="DD68" s="537">
        <f>Time!DD$91</f>
        <v>1</v>
      </c>
      <c r="DE68" s="537">
        <f>Time!DE$91</f>
        <v>1</v>
      </c>
      <c r="DF68" s="537">
        <f>Time!DF$91</f>
        <v>1</v>
      </c>
      <c r="DG68" s="537">
        <f>Time!DG$91</f>
        <v>1</v>
      </c>
      <c r="DH68" s="537">
        <f>Time!DH$91</f>
        <v>1</v>
      </c>
      <c r="DI68" s="537">
        <f>Time!DI$91</f>
        <v>1</v>
      </c>
      <c r="DJ68" s="537">
        <f>Time!DJ$91</f>
        <v>1</v>
      </c>
      <c r="DK68" s="537">
        <f>Time!DK$91</f>
        <v>1</v>
      </c>
      <c r="DL68" s="537">
        <f>Time!DL$91</f>
        <v>1</v>
      </c>
      <c r="DM68" s="537">
        <f>Time!DM$91</f>
        <v>1</v>
      </c>
      <c r="DN68" s="537">
        <f>Time!DN$91</f>
        <v>1</v>
      </c>
      <c r="DO68" s="537">
        <f>Time!DO$91</f>
        <v>1</v>
      </c>
      <c r="DP68" s="537">
        <f>Time!DP$91</f>
        <v>1</v>
      </c>
      <c r="DQ68" s="537">
        <f>Time!DQ$91</f>
        <v>1</v>
      </c>
      <c r="DR68" s="537">
        <f>Time!DR$91</f>
        <v>1</v>
      </c>
      <c r="DS68" s="537">
        <f>Time!DS$91</f>
        <v>1</v>
      </c>
      <c r="DT68" s="537">
        <f>Time!DT$91</f>
        <v>1</v>
      </c>
      <c r="DU68" s="537">
        <f>Time!DU$91</f>
        <v>1</v>
      </c>
      <c r="DV68" s="537">
        <f>Time!DV$91</f>
        <v>1</v>
      </c>
      <c r="DW68" s="537">
        <f>Time!DW$91</f>
        <v>1</v>
      </c>
      <c r="DX68" s="537">
        <f>Time!DX$91</f>
        <v>1</v>
      </c>
      <c r="DY68" s="537">
        <f>Time!DY$91</f>
        <v>1</v>
      </c>
      <c r="DZ68" s="537">
        <f>Time!DZ$91</f>
        <v>1</v>
      </c>
      <c r="EA68" s="537">
        <f>Time!EA$91</f>
        <v>1</v>
      </c>
      <c r="EB68" s="537">
        <f>Time!EB$91</f>
        <v>1</v>
      </c>
      <c r="EC68" s="537">
        <f>Time!EC$91</f>
        <v>1</v>
      </c>
      <c r="ED68" s="537">
        <f>Time!ED$91</f>
        <v>0</v>
      </c>
      <c r="EE68" s="537">
        <f>Time!EE$91</f>
        <v>0</v>
      </c>
      <c r="EF68" s="537">
        <f>Time!EF$91</f>
        <v>0</v>
      </c>
      <c r="EG68" s="537">
        <f>Time!EG$91</f>
        <v>0</v>
      </c>
    </row>
    <row r="69" spans="5:137" ht="12.75">
      <c r="E69" s="535" t="str">
        <f>Time!E$178</f>
        <v>Year fraction of period</v>
      </c>
      <c r="G69" s="537" t="str">
        <f>Time!G$178</f>
        <v>fraction</v>
      </c>
      <c r="H69" s="537">
        <f>Time!H$178</f>
        <v>28</v>
      </c>
      <c r="J69" s="537">
        <f>Time!J$178</f>
        <v>0.083333333333333329</v>
      </c>
      <c r="K69" s="537">
        <f>Time!K$178</f>
        <v>0.083333333333333329</v>
      </c>
      <c r="L69" s="537">
        <f>Time!L$178</f>
        <v>0.083333333333333329</v>
      </c>
      <c r="M69" s="537">
        <f>Time!M$178</f>
        <v>0.083333333333333329</v>
      </c>
      <c r="N69" s="537">
        <f>Time!N$178</f>
        <v>0.083333333333333329</v>
      </c>
      <c r="O69" s="537">
        <f>Time!O$178</f>
        <v>0.083333333333333329</v>
      </c>
      <c r="P69" s="537">
        <f>Time!P$178</f>
        <v>0.083333333333333329</v>
      </c>
      <c r="Q69" s="537">
        <f>Time!Q$178</f>
        <v>0.083333333333333329</v>
      </c>
      <c r="R69" s="537">
        <f>Time!R$178</f>
        <v>0.083333333333333329</v>
      </c>
      <c r="S69" s="537">
        <f>Time!S$178</f>
        <v>0.083333333333333329</v>
      </c>
      <c r="T69" s="537">
        <f>Time!T$178</f>
        <v>0.083333333333333329</v>
      </c>
      <c r="U69" s="537">
        <f>Time!U$178</f>
        <v>0.083333333333333329</v>
      </c>
      <c r="V69" s="537">
        <f>Time!V$178</f>
        <v>0.083333333333333329</v>
      </c>
      <c r="W69" s="537">
        <f>Time!W$178</f>
        <v>0.083333333333333329</v>
      </c>
      <c r="X69" s="537">
        <f>Time!X$178</f>
        <v>0.083333333333333329</v>
      </c>
      <c r="Y69" s="537">
        <f>Time!Y$178</f>
        <v>0.083333333333333329</v>
      </c>
      <c r="Z69" s="537">
        <f>Time!Z$178</f>
        <v>0.083333333333333329</v>
      </c>
      <c r="AA69" s="537">
        <f>Time!AA$178</f>
        <v>0.083333333333333329</v>
      </c>
      <c r="AB69" s="537">
        <f>Time!AB$178</f>
        <v>0.083333333333333329</v>
      </c>
      <c r="AC69" s="537">
        <f>Time!AC$178</f>
        <v>0.083333333333333329</v>
      </c>
      <c r="AD69" s="537">
        <f>Time!AD$178</f>
        <v>0.083333333333333329</v>
      </c>
      <c r="AE69" s="537">
        <f>Time!AE$178</f>
        <v>0.083333333333333329</v>
      </c>
      <c r="AF69" s="537">
        <f>Time!AF$178</f>
        <v>0.083333333333333329</v>
      </c>
      <c r="AG69" s="537">
        <f>Time!AG$178</f>
        <v>0.083333333333333329</v>
      </c>
      <c r="AH69" s="537">
        <f>Time!AH$178</f>
        <v>0.25</v>
      </c>
      <c r="AI69" s="537">
        <f>Time!AI$178</f>
        <v>0.25</v>
      </c>
      <c r="AJ69" s="537">
        <f>Time!AJ$178</f>
        <v>0.25</v>
      </c>
      <c r="AK69" s="537">
        <f>Time!AK$178</f>
        <v>0.25</v>
      </c>
      <c r="AL69" s="537">
        <f>Time!AL$178</f>
        <v>0.25</v>
      </c>
      <c r="AM69" s="537">
        <f>Time!AM$178</f>
        <v>0.25</v>
      </c>
      <c r="AN69" s="537">
        <f>Time!AN$178</f>
        <v>0.25</v>
      </c>
      <c r="AO69" s="537">
        <f>Time!AO$178</f>
        <v>0.25</v>
      </c>
      <c r="AP69" s="537">
        <f>Time!AP$178</f>
        <v>0.25</v>
      </c>
      <c r="AQ69" s="537">
        <f>Time!AQ$178</f>
        <v>0.25</v>
      </c>
      <c r="AR69" s="537">
        <f>Time!AR$178</f>
        <v>0.25</v>
      </c>
      <c r="AS69" s="537">
        <f>Time!AS$178</f>
        <v>0.25</v>
      </c>
      <c r="AT69" s="537">
        <f>Time!AT$178</f>
        <v>0.25</v>
      </c>
      <c r="AU69" s="537">
        <f>Time!AU$178</f>
        <v>0.25</v>
      </c>
      <c r="AV69" s="537">
        <f>Time!AV$178</f>
        <v>0.25</v>
      </c>
      <c r="AW69" s="537">
        <f>Time!AW$178</f>
        <v>0.25</v>
      </c>
      <c r="AX69" s="537">
        <f>Time!AX$178</f>
        <v>0.25</v>
      </c>
      <c r="AY69" s="537">
        <f>Time!AY$178</f>
        <v>0.25</v>
      </c>
      <c r="AZ69" s="537">
        <f>Time!AZ$178</f>
        <v>0.25</v>
      </c>
      <c r="BA69" s="537">
        <f>Time!BA$178</f>
        <v>0.25</v>
      </c>
      <c r="BB69" s="537">
        <f>Time!BB$178</f>
        <v>0.25</v>
      </c>
      <c r="BC69" s="537">
        <f>Time!BC$178</f>
        <v>0.25</v>
      </c>
      <c r="BD69" s="537">
        <f>Time!BD$178</f>
        <v>0.25</v>
      </c>
      <c r="BE69" s="537">
        <f>Time!BE$178</f>
        <v>0.25</v>
      </c>
      <c r="BF69" s="537">
        <f>Time!BF$178</f>
        <v>0.25</v>
      </c>
      <c r="BG69" s="537">
        <f>Time!BG$178</f>
        <v>0.25</v>
      </c>
      <c r="BH69" s="537">
        <f>Time!BH$178</f>
        <v>0.25</v>
      </c>
      <c r="BI69" s="537">
        <f>Time!BI$178</f>
        <v>0.25</v>
      </c>
      <c r="BJ69" s="537">
        <f>Time!BJ$178</f>
        <v>0.25</v>
      </c>
      <c r="BK69" s="537">
        <f>Time!BK$178</f>
        <v>0.25</v>
      </c>
      <c r="BL69" s="537">
        <f>Time!BL$178</f>
        <v>0.25</v>
      </c>
      <c r="BM69" s="537">
        <f>Time!BM$178</f>
        <v>0.25</v>
      </c>
      <c r="BN69" s="537">
        <f>Time!BN$178</f>
        <v>0.25</v>
      </c>
      <c r="BO69" s="537">
        <f>Time!BO$178</f>
        <v>0.25</v>
      </c>
      <c r="BP69" s="537">
        <f>Time!BP$178</f>
        <v>0.25</v>
      </c>
      <c r="BQ69" s="537">
        <f>Time!BQ$178</f>
        <v>0.25</v>
      </c>
      <c r="BR69" s="537">
        <f>Time!BR$178</f>
        <v>0.25</v>
      </c>
      <c r="BS69" s="537">
        <f>Time!BS$178</f>
        <v>0.25</v>
      </c>
      <c r="BT69" s="537">
        <f>Time!BT$178</f>
        <v>0.25</v>
      </c>
      <c r="BU69" s="537">
        <f>Time!BU$178</f>
        <v>0.25</v>
      </c>
      <c r="BV69" s="537">
        <f>Time!BV$178</f>
        <v>0.25</v>
      </c>
      <c r="BW69" s="537">
        <f>Time!BW$178</f>
        <v>0.25</v>
      </c>
      <c r="BX69" s="537">
        <f>Time!BX$178</f>
        <v>0.25</v>
      </c>
      <c r="BY69" s="537">
        <f>Time!BY$178</f>
        <v>0.25</v>
      </c>
      <c r="BZ69" s="537">
        <f>Time!BZ$178</f>
        <v>0.25</v>
      </c>
      <c r="CA69" s="537">
        <f>Time!CA$178</f>
        <v>0.25</v>
      </c>
      <c r="CB69" s="537">
        <f>Time!CB$178</f>
        <v>0.25</v>
      </c>
      <c r="CC69" s="537">
        <f>Time!CC$178</f>
        <v>0.25</v>
      </c>
      <c r="CD69" s="537">
        <f>Time!CD$178</f>
        <v>0.25</v>
      </c>
      <c r="CE69" s="537">
        <f>Time!CE$178</f>
        <v>0.25</v>
      </c>
      <c r="CF69" s="537">
        <f>Time!CF$178</f>
        <v>0.25</v>
      </c>
      <c r="CG69" s="537">
        <f>Time!CG$178</f>
        <v>0.25</v>
      </c>
      <c r="CH69" s="537">
        <f>Time!CH$178</f>
        <v>0.25</v>
      </c>
      <c r="CI69" s="537">
        <f>Time!CI$178</f>
        <v>0.25</v>
      </c>
      <c r="CJ69" s="537">
        <f>Time!CJ$178</f>
        <v>0.25</v>
      </c>
      <c r="CK69" s="537">
        <f>Time!CK$178</f>
        <v>0.25</v>
      </c>
      <c r="CL69" s="537">
        <f>Time!CL$178</f>
        <v>0.25</v>
      </c>
      <c r="CM69" s="537">
        <f>Time!CM$178</f>
        <v>0.25</v>
      </c>
      <c r="CN69" s="537">
        <f>Time!CN$178</f>
        <v>0.25</v>
      </c>
      <c r="CO69" s="537">
        <f>Time!CO$178</f>
        <v>0.25</v>
      </c>
      <c r="CP69" s="537">
        <f>Time!CP$178</f>
        <v>0.25</v>
      </c>
      <c r="CQ69" s="537">
        <f>Time!CQ$178</f>
        <v>0.25</v>
      </c>
      <c r="CR69" s="537">
        <f>Time!CR$178</f>
        <v>0.25</v>
      </c>
      <c r="CS69" s="537">
        <f>Time!CS$178</f>
        <v>0.25</v>
      </c>
      <c r="CT69" s="537">
        <f>Time!CT$178</f>
        <v>0.25</v>
      </c>
      <c r="CU69" s="537">
        <f>Time!CU$178</f>
        <v>0.25</v>
      </c>
      <c r="CV69" s="537">
        <f>Time!CV$178</f>
        <v>0.25</v>
      </c>
      <c r="CW69" s="537">
        <f>Time!CW$178</f>
        <v>0.25</v>
      </c>
      <c r="CX69" s="537">
        <f>Time!CX$178</f>
        <v>0.25</v>
      </c>
      <c r="CY69" s="537">
        <f>Time!CY$178</f>
        <v>0.25</v>
      </c>
      <c r="CZ69" s="537">
        <f>Time!CZ$178</f>
        <v>0.25</v>
      </c>
      <c r="DA69" s="537">
        <f>Time!DA$178</f>
        <v>0.25</v>
      </c>
      <c r="DB69" s="537">
        <f>Time!DB$178</f>
        <v>0.25</v>
      </c>
      <c r="DC69" s="537">
        <f>Time!DC$178</f>
        <v>0.25</v>
      </c>
      <c r="DD69" s="537">
        <f>Time!DD$178</f>
        <v>0.25</v>
      </c>
      <c r="DE69" s="537">
        <f>Time!DE$178</f>
        <v>0.25</v>
      </c>
      <c r="DF69" s="537">
        <f>Time!DF$178</f>
        <v>0.25</v>
      </c>
      <c r="DG69" s="537">
        <f>Time!DG$178</f>
        <v>0.25</v>
      </c>
      <c r="DH69" s="537">
        <f>Time!DH$178</f>
        <v>0.25</v>
      </c>
      <c r="DI69" s="537">
        <f>Time!DI$178</f>
        <v>0.25</v>
      </c>
      <c r="DJ69" s="537">
        <f>Time!DJ$178</f>
        <v>0.25</v>
      </c>
      <c r="DK69" s="537">
        <f>Time!DK$178</f>
        <v>0.25</v>
      </c>
      <c r="DL69" s="537">
        <f>Time!DL$178</f>
        <v>0.25</v>
      </c>
      <c r="DM69" s="537">
        <f>Time!DM$178</f>
        <v>0.25</v>
      </c>
      <c r="DN69" s="537">
        <f>Time!DN$178</f>
        <v>0.25</v>
      </c>
      <c r="DO69" s="537">
        <f>Time!DO$178</f>
        <v>0.25</v>
      </c>
      <c r="DP69" s="537">
        <f>Time!DP$178</f>
        <v>0.25</v>
      </c>
      <c r="DQ69" s="537">
        <f>Time!DQ$178</f>
        <v>0.25</v>
      </c>
      <c r="DR69" s="537">
        <f>Time!DR$178</f>
        <v>0.25</v>
      </c>
      <c r="DS69" s="537">
        <f>Time!DS$178</f>
        <v>0.25</v>
      </c>
      <c r="DT69" s="537">
        <f>Time!DT$178</f>
        <v>0.25</v>
      </c>
      <c r="DU69" s="537">
        <f>Time!DU$178</f>
        <v>0.25</v>
      </c>
      <c r="DV69" s="537">
        <f>Time!DV$178</f>
        <v>0.25</v>
      </c>
      <c r="DW69" s="537">
        <f>Time!DW$178</f>
        <v>0.25</v>
      </c>
      <c r="DX69" s="537">
        <f>Time!DX$178</f>
        <v>0.25</v>
      </c>
      <c r="DY69" s="537">
        <f>Time!DY$178</f>
        <v>0.25</v>
      </c>
      <c r="DZ69" s="537">
        <f>Time!DZ$178</f>
        <v>0.25</v>
      </c>
      <c r="EA69" s="537">
        <f>Time!EA$178</f>
        <v>0.25</v>
      </c>
      <c r="EB69" s="537">
        <f>Time!EB$178</f>
        <v>0.25</v>
      </c>
      <c r="EC69" s="537">
        <f>Time!EC$178</f>
        <v>0.25</v>
      </c>
      <c r="ED69" s="537">
        <f>Time!ED$178</f>
        <v>0.25</v>
      </c>
      <c r="EE69" s="537">
        <f>Time!EE$178</f>
        <v>0.25</v>
      </c>
      <c r="EF69" s="537">
        <f>Time!EF$178</f>
        <v>0.25</v>
      </c>
      <c r="EG69" s="537">
        <f>Time!EG$178</f>
        <v>0.25</v>
      </c>
    </row>
    <row r="70" spans="5:137" ht="12.75">
      <c r="E70" s="538" t="str">
        <f>E$48</f>
        <v>Revenue - total</v>
      </c>
      <c r="G70" s="539" t="str">
        <f>G$48</f>
        <v>EUR 000s</v>
      </c>
      <c r="H70" s="539">
        <f>H$48</f>
        <v>1599567.5439386531</v>
      </c>
      <c r="J70" s="539">
        <f t="shared" si="16" ref="J70:EG70">J$48</f>
        <v>0</v>
      </c>
      <c r="K70" s="539">
        <f t="shared" si="16"/>
        <v>0</v>
      </c>
      <c r="L70" s="539">
        <f t="shared" si="16"/>
        <v>0</v>
      </c>
      <c r="M70" s="539">
        <f t="shared" si="16"/>
        <v>0</v>
      </c>
      <c r="N70" s="539">
        <f t="shared" si="16"/>
        <v>0</v>
      </c>
      <c r="O70" s="539">
        <f t="shared" si="16"/>
        <v>0</v>
      </c>
      <c r="P70" s="539">
        <f t="shared" si="16"/>
        <v>0</v>
      </c>
      <c r="Q70" s="539">
        <f t="shared" si="16"/>
        <v>0</v>
      </c>
      <c r="R70" s="539">
        <f t="shared" si="16"/>
        <v>0</v>
      </c>
      <c r="S70" s="539">
        <f t="shared" si="16"/>
        <v>0</v>
      </c>
      <c r="T70" s="539">
        <f t="shared" si="16"/>
        <v>0</v>
      </c>
      <c r="U70" s="539">
        <f t="shared" si="16"/>
        <v>0</v>
      </c>
      <c r="V70" s="539">
        <f t="shared" si="16"/>
        <v>0</v>
      </c>
      <c r="W70" s="539">
        <f t="shared" si="16"/>
        <v>0</v>
      </c>
      <c r="X70" s="539">
        <f t="shared" si="16"/>
        <v>0</v>
      </c>
      <c r="Y70" s="539">
        <f t="shared" si="16"/>
        <v>0</v>
      </c>
      <c r="Z70" s="539">
        <f t="shared" si="16"/>
        <v>0</v>
      </c>
      <c r="AA70" s="539">
        <f t="shared" si="16"/>
        <v>0</v>
      </c>
      <c r="AB70" s="539">
        <f t="shared" si="16"/>
        <v>0</v>
      </c>
      <c r="AC70" s="539">
        <f t="shared" si="16"/>
        <v>0</v>
      </c>
      <c r="AD70" s="539">
        <f t="shared" si="16"/>
        <v>0</v>
      </c>
      <c r="AE70" s="539">
        <f t="shared" si="16"/>
        <v>0</v>
      </c>
      <c r="AF70" s="539">
        <f t="shared" si="16"/>
        <v>0</v>
      </c>
      <c r="AG70" s="539">
        <f t="shared" si="16"/>
        <v>0</v>
      </c>
      <c r="AH70" s="539">
        <f t="shared" si="16"/>
        <v>12484.799999999999</v>
      </c>
      <c r="AI70" s="539">
        <f t="shared" si="16"/>
        <v>12484.799999999999</v>
      </c>
      <c r="AJ70" s="539">
        <f t="shared" si="16"/>
        <v>12484.799999999999</v>
      </c>
      <c r="AK70" s="539">
        <f t="shared" si="16"/>
        <v>12484.799999999999</v>
      </c>
      <c r="AL70" s="539">
        <f t="shared" si="16"/>
        <v>12734.495999999999</v>
      </c>
      <c r="AM70" s="539">
        <f t="shared" si="16"/>
        <v>12734.495999999999</v>
      </c>
      <c r="AN70" s="539">
        <f t="shared" si="16"/>
        <v>12734.495999999999</v>
      </c>
      <c r="AO70" s="539">
        <f t="shared" si="16"/>
        <v>12734.495999999999</v>
      </c>
      <c r="AP70" s="539">
        <f t="shared" si="16"/>
        <v>12989.18592</v>
      </c>
      <c r="AQ70" s="539">
        <f t="shared" si="16"/>
        <v>12989.18592</v>
      </c>
      <c r="AR70" s="539">
        <f t="shared" si="16"/>
        <v>12989.18592</v>
      </c>
      <c r="AS70" s="539">
        <f t="shared" si="16"/>
        <v>12989.18592</v>
      </c>
      <c r="AT70" s="539">
        <f t="shared" si="16"/>
        <v>13248.9696384</v>
      </c>
      <c r="AU70" s="539">
        <f t="shared" si="16"/>
        <v>13248.9696384</v>
      </c>
      <c r="AV70" s="539">
        <f t="shared" si="16"/>
        <v>13248.9696384</v>
      </c>
      <c r="AW70" s="539">
        <f t="shared" si="16"/>
        <v>13248.9696384</v>
      </c>
      <c r="AX70" s="539">
        <f t="shared" si="16"/>
        <v>13513.949031168</v>
      </c>
      <c r="AY70" s="539">
        <f t="shared" si="16"/>
        <v>13513.949031168</v>
      </c>
      <c r="AZ70" s="539">
        <f t="shared" si="16"/>
        <v>13513.949031168</v>
      </c>
      <c r="BA70" s="539">
        <f t="shared" si="16"/>
        <v>13513.949031168</v>
      </c>
      <c r="BB70" s="539">
        <f t="shared" si="16"/>
        <v>13784.228011791361</v>
      </c>
      <c r="BC70" s="539">
        <f t="shared" si="16"/>
        <v>13784.228011791361</v>
      </c>
      <c r="BD70" s="539">
        <f t="shared" si="16"/>
        <v>13784.228011791361</v>
      </c>
      <c r="BE70" s="539">
        <f t="shared" si="16"/>
        <v>13784.228011791361</v>
      </c>
      <c r="BF70" s="539">
        <f t="shared" si="16"/>
        <v>14059.91257202719</v>
      </c>
      <c r="BG70" s="539">
        <f t="shared" si="16"/>
        <v>14059.91257202719</v>
      </c>
      <c r="BH70" s="539">
        <f t="shared" si="16"/>
        <v>14059.91257202719</v>
      </c>
      <c r="BI70" s="539">
        <f t="shared" si="16"/>
        <v>14059.91257202719</v>
      </c>
      <c r="BJ70" s="539">
        <f t="shared" si="16"/>
        <v>14341.110823467732</v>
      </c>
      <c r="BK70" s="539">
        <f t="shared" si="16"/>
        <v>14341.110823467732</v>
      </c>
      <c r="BL70" s="539">
        <f t="shared" si="16"/>
        <v>14341.110823467732</v>
      </c>
      <c r="BM70" s="539">
        <f t="shared" si="16"/>
        <v>14341.110823467732</v>
      </c>
      <c r="BN70" s="539">
        <f t="shared" si="16"/>
        <v>14627.933039937088</v>
      </c>
      <c r="BO70" s="539">
        <f t="shared" si="16"/>
        <v>14627.933039937088</v>
      </c>
      <c r="BP70" s="539">
        <f t="shared" si="16"/>
        <v>14627.933039937088</v>
      </c>
      <c r="BQ70" s="539">
        <f t="shared" si="16"/>
        <v>14627.933039937088</v>
      </c>
      <c r="BR70" s="539">
        <f t="shared" si="16"/>
        <v>14920.491700735829</v>
      </c>
      <c r="BS70" s="539">
        <f t="shared" si="16"/>
        <v>14920.491700735829</v>
      </c>
      <c r="BT70" s="539">
        <f t="shared" si="16"/>
        <v>14920.491700735829</v>
      </c>
      <c r="BU70" s="539">
        <f t="shared" si="16"/>
        <v>14920.491700735829</v>
      </c>
      <c r="BV70" s="539">
        <f t="shared" si="16"/>
        <v>15218.901534750546</v>
      </c>
      <c r="BW70" s="539">
        <f t="shared" si="16"/>
        <v>15218.901534750546</v>
      </c>
      <c r="BX70" s="539">
        <f t="shared" si="16"/>
        <v>15218.901534750546</v>
      </c>
      <c r="BY70" s="539">
        <f t="shared" si="16"/>
        <v>15218.901534750546</v>
      </c>
      <c r="BZ70" s="539">
        <f t="shared" si="16"/>
        <v>15523.279565445555</v>
      </c>
      <c r="CA70" s="539">
        <f t="shared" si="16"/>
        <v>15523.279565445555</v>
      </c>
      <c r="CB70" s="539">
        <f t="shared" si="16"/>
        <v>15523.279565445555</v>
      </c>
      <c r="CC70" s="539">
        <f t="shared" si="16"/>
        <v>15523.279565445555</v>
      </c>
      <c r="CD70" s="539">
        <f t="shared" si="16"/>
        <v>15833.745156754469</v>
      </c>
      <c r="CE70" s="539">
        <f t="shared" si="16"/>
        <v>15833.745156754469</v>
      </c>
      <c r="CF70" s="539">
        <f t="shared" si="16"/>
        <v>15833.745156754469</v>
      </c>
      <c r="CG70" s="539">
        <f t="shared" si="16"/>
        <v>15833.745156754469</v>
      </c>
      <c r="CH70" s="539">
        <f t="shared" si="16"/>
        <v>16150.420059889559</v>
      </c>
      <c r="CI70" s="539">
        <f t="shared" si="16"/>
        <v>16150.420059889559</v>
      </c>
      <c r="CJ70" s="539">
        <f t="shared" si="16"/>
        <v>16150.420059889559</v>
      </c>
      <c r="CK70" s="539">
        <f t="shared" si="16"/>
        <v>16150.420059889559</v>
      </c>
      <c r="CL70" s="539">
        <f t="shared" si="16"/>
        <v>16473.428461087351</v>
      </c>
      <c r="CM70" s="539">
        <f t="shared" si="16"/>
        <v>16473.428461087351</v>
      </c>
      <c r="CN70" s="539">
        <f t="shared" si="16"/>
        <v>16473.428461087351</v>
      </c>
      <c r="CO70" s="539">
        <f t="shared" si="16"/>
        <v>16473.428461087351</v>
      </c>
      <c r="CP70" s="539">
        <f t="shared" si="16"/>
        <v>16802.897030309097</v>
      </c>
      <c r="CQ70" s="539">
        <f t="shared" si="16"/>
        <v>16802.897030309097</v>
      </c>
      <c r="CR70" s="539">
        <f t="shared" si="16"/>
        <v>16802.897030309097</v>
      </c>
      <c r="CS70" s="539">
        <f t="shared" si="16"/>
        <v>16802.897030309097</v>
      </c>
      <c r="CT70" s="539">
        <f t="shared" si="16"/>
        <v>17138.954970915282</v>
      </c>
      <c r="CU70" s="539">
        <f t="shared" si="16"/>
        <v>17138.954970915282</v>
      </c>
      <c r="CV70" s="539">
        <f t="shared" si="16"/>
        <v>17138.954970915282</v>
      </c>
      <c r="CW70" s="539">
        <f t="shared" si="16"/>
        <v>17138.954970915282</v>
      </c>
      <c r="CX70" s="539">
        <f t="shared" si="16"/>
        <v>17481.734070333587</v>
      </c>
      <c r="CY70" s="539">
        <f t="shared" si="16"/>
        <v>17481.734070333587</v>
      </c>
      <c r="CZ70" s="539">
        <f t="shared" si="16"/>
        <v>17481.734070333587</v>
      </c>
      <c r="DA70" s="539">
        <f t="shared" si="16"/>
        <v>17481.734070333587</v>
      </c>
      <c r="DB70" s="539">
        <f t="shared" si="16"/>
        <v>17831.368751740258</v>
      </c>
      <c r="DC70" s="539">
        <f t="shared" si="16"/>
        <v>17831.368751740258</v>
      </c>
      <c r="DD70" s="539">
        <f t="shared" si="16"/>
        <v>17831.368751740258</v>
      </c>
      <c r="DE70" s="539">
        <f t="shared" si="16"/>
        <v>17831.368751740258</v>
      </c>
      <c r="DF70" s="539">
        <f t="shared" si="16"/>
        <v>18187.996126775066</v>
      </c>
      <c r="DG70" s="539">
        <f t="shared" si="16"/>
        <v>18187.996126775066</v>
      </c>
      <c r="DH70" s="539">
        <f t="shared" si="16"/>
        <v>18187.996126775066</v>
      </c>
      <c r="DI70" s="539">
        <f t="shared" si="16"/>
        <v>18187.996126775066</v>
      </c>
      <c r="DJ70" s="539">
        <f t="shared" si="16"/>
        <v>18551.756049310567</v>
      </c>
      <c r="DK70" s="539">
        <f t="shared" si="16"/>
        <v>18551.756049310567</v>
      </c>
      <c r="DL70" s="539">
        <f t="shared" si="16"/>
        <v>18551.756049310567</v>
      </c>
      <c r="DM70" s="539">
        <f t="shared" si="16"/>
        <v>18551.756049310567</v>
      </c>
      <c r="DN70" s="539">
        <f t="shared" si="16"/>
        <v>18922.791170296779</v>
      </c>
      <c r="DO70" s="539">
        <f t="shared" si="16"/>
        <v>18922.791170296779</v>
      </c>
      <c r="DP70" s="539">
        <f t="shared" si="16"/>
        <v>18922.791170296779</v>
      </c>
      <c r="DQ70" s="539">
        <f t="shared" si="16"/>
        <v>18922.791170296779</v>
      </c>
      <c r="DR70" s="539">
        <f t="shared" si="16"/>
        <v>19301.246993702713</v>
      </c>
      <c r="DS70" s="539">
        <f t="shared" si="16"/>
        <v>19301.246993702713</v>
      </c>
      <c r="DT70" s="539">
        <f t="shared" si="16"/>
        <v>19301.246993702713</v>
      </c>
      <c r="DU70" s="539">
        <f t="shared" si="16"/>
        <v>19301.246993702713</v>
      </c>
      <c r="DV70" s="539">
        <f t="shared" si="16"/>
        <v>19687.271933576769</v>
      </c>
      <c r="DW70" s="539">
        <f t="shared" si="16"/>
        <v>19687.271933576769</v>
      </c>
      <c r="DX70" s="539">
        <f t="shared" si="16"/>
        <v>19687.271933576769</v>
      </c>
      <c r="DY70" s="539">
        <f t="shared" si="16"/>
        <v>19687.271933576769</v>
      </c>
      <c r="DZ70" s="539">
        <f t="shared" si="16"/>
        <v>20081.017372248301</v>
      </c>
      <c r="EA70" s="539">
        <f t="shared" si="16"/>
        <v>20081.017372248301</v>
      </c>
      <c r="EB70" s="539">
        <f t="shared" si="16"/>
        <v>20081.017372248301</v>
      </c>
      <c r="EC70" s="539">
        <f t="shared" si="16"/>
        <v>20081.017372248301</v>
      </c>
      <c r="ED70" s="539">
        <f t="shared" si="16"/>
        <v>0</v>
      </c>
      <c r="EE70" s="539">
        <f t="shared" si="16"/>
        <v>0</v>
      </c>
      <c r="EF70" s="539">
        <f t="shared" si="16"/>
        <v>0</v>
      </c>
      <c r="EG70" s="539">
        <f t="shared" si="16"/>
        <v>0</v>
      </c>
    </row>
    <row r="71" spans="5:137" ht="12.75">
      <c r="E71" s="538" t="s">
        <v>49</v>
      </c>
      <c r="G71" s="539" t="s">
        <v>30</v>
      </c>
      <c r="H71" s="539">
        <f>SUM(J71:EG71)</f>
        <v>14989.188598466313</v>
      </c>
      <c r="J71" s="539">
        <f t="shared" si="17" ref="J71:EG71">$F67*MAX(0,J70-$F66*J69)*J68</f>
        <v>0</v>
      </c>
      <c r="K71" s="539">
        <f t="shared" si="17"/>
        <v>0</v>
      </c>
      <c r="L71" s="539">
        <f t="shared" si="17"/>
        <v>0</v>
      </c>
      <c r="M71" s="539">
        <f t="shared" si="17"/>
        <v>0</v>
      </c>
      <c r="N71" s="539">
        <f t="shared" si="17"/>
        <v>0</v>
      </c>
      <c r="O71" s="539">
        <f t="shared" si="17"/>
        <v>0</v>
      </c>
      <c r="P71" s="539">
        <f t="shared" si="17"/>
        <v>0</v>
      </c>
      <c r="Q71" s="539">
        <f t="shared" si="17"/>
        <v>0</v>
      </c>
      <c r="R71" s="539">
        <f t="shared" si="17"/>
        <v>0</v>
      </c>
      <c r="S71" s="539">
        <f t="shared" si="17"/>
        <v>0</v>
      </c>
      <c r="T71" s="539">
        <f t="shared" si="17"/>
        <v>0</v>
      </c>
      <c r="U71" s="539">
        <f t="shared" si="17"/>
        <v>0</v>
      </c>
      <c r="V71" s="539">
        <f t="shared" si="17"/>
        <v>0</v>
      </c>
      <c r="W71" s="539">
        <f t="shared" si="17"/>
        <v>0</v>
      </c>
      <c r="X71" s="539">
        <f t="shared" si="17"/>
        <v>0</v>
      </c>
      <c r="Y71" s="539">
        <f t="shared" si="17"/>
        <v>0</v>
      </c>
      <c r="Z71" s="539">
        <f t="shared" si="17"/>
        <v>0</v>
      </c>
      <c r="AA71" s="539">
        <f t="shared" si="17"/>
        <v>0</v>
      </c>
      <c r="AB71" s="539">
        <f t="shared" si="17"/>
        <v>0</v>
      </c>
      <c r="AC71" s="539">
        <f t="shared" si="17"/>
        <v>0</v>
      </c>
      <c r="AD71" s="539">
        <f t="shared" si="17"/>
        <v>0</v>
      </c>
      <c r="AE71" s="539">
        <f t="shared" si="17"/>
        <v>0</v>
      </c>
      <c r="AF71" s="539">
        <f t="shared" si="17"/>
        <v>0</v>
      </c>
      <c r="AG71" s="539">
        <f t="shared" si="17"/>
        <v>0</v>
      </c>
      <c r="AH71" s="539">
        <f t="shared" si="17"/>
        <v>62.119999999999983</v>
      </c>
      <c r="AI71" s="539">
        <f t="shared" si="17"/>
        <v>62.119999999999983</v>
      </c>
      <c r="AJ71" s="539">
        <f t="shared" si="17"/>
        <v>62.119999999999983</v>
      </c>
      <c r="AK71" s="539">
        <f t="shared" si="17"/>
        <v>62.119999999999983</v>
      </c>
      <c r="AL71" s="539">
        <f t="shared" si="17"/>
        <v>68.36239999999998</v>
      </c>
      <c r="AM71" s="539">
        <f t="shared" si="17"/>
        <v>68.36239999999998</v>
      </c>
      <c r="AN71" s="539">
        <f t="shared" si="17"/>
        <v>68.36239999999998</v>
      </c>
      <c r="AO71" s="539">
        <f t="shared" si="17"/>
        <v>68.36239999999998</v>
      </c>
      <c r="AP71" s="539">
        <f t="shared" si="17"/>
        <v>74.729647999999997</v>
      </c>
      <c r="AQ71" s="539">
        <f t="shared" si="17"/>
        <v>74.729647999999997</v>
      </c>
      <c r="AR71" s="539">
        <f t="shared" si="17"/>
        <v>74.729647999999997</v>
      </c>
      <c r="AS71" s="539">
        <f t="shared" si="17"/>
        <v>74.729647999999997</v>
      </c>
      <c r="AT71" s="539">
        <f t="shared" si="17"/>
        <v>81.224240960000003</v>
      </c>
      <c r="AU71" s="539">
        <f t="shared" si="17"/>
        <v>81.224240960000003</v>
      </c>
      <c r="AV71" s="539">
        <f t="shared" si="17"/>
        <v>81.224240960000003</v>
      </c>
      <c r="AW71" s="539">
        <f t="shared" si="17"/>
        <v>81.224240960000003</v>
      </c>
      <c r="AX71" s="539">
        <f t="shared" si="17"/>
        <v>87.848725779200009</v>
      </c>
      <c r="AY71" s="539">
        <f t="shared" si="17"/>
        <v>87.848725779200009</v>
      </c>
      <c r="AZ71" s="539">
        <f t="shared" si="17"/>
        <v>87.848725779200009</v>
      </c>
      <c r="BA71" s="539">
        <f t="shared" si="17"/>
        <v>87.848725779200009</v>
      </c>
      <c r="BB71" s="539">
        <f t="shared" si="17"/>
        <v>94.605700294784043</v>
      </c>
      <c r="BC71" s="539">
        <f t="shared" si="17"/>
        <v>94.605700294784043</v>
      </c>
      <c r="BD71" s="539">
        <f t="shared" si="17"/>
        <v>94.605700294784043</v>
      </c>
      <c r="BE71" s="539">
        <f t="shared" si="17"/>
        <v>94.605700294784043</v>
      </c>
      <c r="BF71" s="539">
        <f t="shared" si="17"/>
        <v>101.49781430067975</v>
      </c>
      <c r="BG71" s="539">
        <f t="shared" si="17"/>
        <v>101.49781430067975</v>
      </c>
      <c r="BH71" s="539">
        <f t="shared" si="17"/>
        <v>101.49781430067975</v>
      </c>
      <c r="BI71" s="539">
        <f t="shared" si="17"/>
        <v>101.49781430067975</v>
      </c>
      <c r="BJ71" s="539">
        <f t="shared" si="17"/>
        <v>108.52777058669331</v>
      </c>
      <c r="BK71" s="539">
        <f t="shared" si="17"/>
        <v>108.52777058669331</v>
      </c>
      <c r="BL71" s="539">
        <f t="shared" si="17"/>
        <v>108.52777058669331</v>
      </c>
      <c r="BM71" s="539">
        <f t="shared" si="17"/>
        <v>108.52777058669331</v>
      </c>
      <c r="BN71" s="539">
        <f t="shared" si="17"/>
        <v>115.69832599842721</v>
      </c>
      <c r="BO71" s="539">
        <f t="shared" si="17"/>
        <v>115.69832599842721</v>
      </c>
      <c r="BP71" s="539">
        <f t="shared" si="17"/>
        <v>115.69832599842721</v>
      </c>
      <c r="BQ71" s="539">
        <f t="shared" si="17"/>
        <v>115.69832599842721</v>
      </c>
      <c r="BR71" s="539">
        <f t="shared" si="17"/>
        <v>123.01229251839572</v>
      </c>
      <c r="BS71" s="539">
        <f t="shared" si="17"/>
        <v>123.01229251839572</v>
      </c>
      <c r="BT71" s="539">
        <f t="shared" si="17"/>
        <v>123.01229251839572</v>
      </c>
      <c r="BU71" s="539">
        <f t="shared" si="17"/>
        <v>123.01229251839572</v>
      </c>
      <c r="BV71" s="539">
        <f t="shared" si="17"/>
        <v>130.47253836876368</v>
      </c>
      <c r="BW71" s="539">
        <f t="shared" si="17"/>
        <v>130.47253836876368</v>
      </c>
      <c r="BX71" s="539">
        <f t="shared" si="17"/>
        <v>130.47253836876368</v>
      </c>
      <c r="BY71" s="539">
        <f t="shared" si="17"/>
        <v>130.47253836876368</v>
      </c>
      <c r="BZ71" s="539">
        <f t="shared" si="17"/>
        <v>138.08198913613887</v>
      </c>
      <c r="CA71" s="539">
        <f t="shared" si="17"/>
        <v>138.08198913613887</v>
      </c>
      <c r="CB71" s="539">
        <f t="shared" si="17"/>
        <v>138.08198913613887</v>
      </c>
      <c r="CC71" s="539">
        <f t="shared" si="17"/>
        <v>138.08198913613887</v>
      </c>
      <c r="CD71" s="539">
        <f t="shared" si="17"/>
        <v>145.84362891886173</v>
      </c>
      <c r="CE71" s="539">
        <f t="shared" si="17"/>
        <v>145.84362891886173</v>
      </c>
      <c r="CF71" s="539">
        <f t="shared" si="17"/>
        <v>145.84362891886173</v>
      </c>
      <c r="CG71" s="539">
        <f t="shared" si="17"/>
        <v>145.84362891886173</v>
      </c>
      <c r="CH71" s="539">
        <f t="shared" si="17"/>
        <v>153.76050149723898</v>
      </c>
      <c r="CI71" s="539">
        <f t="shared" si="17"/>
        <v>153.76050149723898</v>
      </c>
      <c r="CJ71" s="539">
        <f t="shared" si="17"/>
        <v>153.76050149723898</v>
      </c>
      <c r="CK71" s="539">
        <f t="shared" si="17"/>
        <v>153.76050149723898</v>
      </c>
      <c r="CL71" s="539">
        <f t="shared" si="17"/>
        <v>161.83571152718378</v>
      </c>
      <c r="CM71" s="539">
        <f t="shared" si="17"/>
        <v>161.83571152718378</v>
      </c>
      <c r="CN71" s="539">
        <f t="shared" si="17"/>
        <v>161.83571152718378</v>
      </c>
      <c r="CO71" s="539">
        <f t="shared" si="17"/>
        <v>161.83571152718378</v>
      </c>
      <c r="CP71" s="539">
        <f t="shared" si="17"/>
        <v>170.07242575772744</v>
      </c>
      <c r="CQ71" s="539">
        <f t="shared" si="17"/>
        <v>170.07242575772744</v>
      </c>
      <c r="CR71" s="539">
        <f t="shared" si="17"/>
        <v>170.07242575772744</v>
      </c>
      <c r="CS71" s="539">
        <f t="shared" si="17"/>
        <v>170.07242575772744</v>
      </c>
      <c r="CT71" s="539">
        <f t="shared" si="17"/>
        <v>178.47387427288206</v>
      </c>
      <c r="CU71" s="539">
        <f t="shared" si="17"/>
        <v>178.47387427288206</v>
      </c>
      <c r="CV71" s="539">
        <f t="shared" si="17"/>
        <v>178.47387427288206</v>
      </c>
      <c r="CW71" s="539">
        <f t="shared" si="17"/>
        <v>178.47387427288206</v>
      </c>
      <c r="CX71" s="539">
        <f t="shared" si="17"/>
        <v>187.04335175833967</v>
      </c>
      <c r="CY71" s="539">
        <f t="shared" si="17"/>
        <v>187.04335175833967</v>
      </c>
      <c r="CZ71" s="539">
        <f t="shared" si="17"/>
        <v>187.04335175833967</v>
      </c>
      <c r="DA71" s="539">
        <f t="shared" si="17"/>
        <v>187.04335175833967</v>
      </c>
      <c r="DB71" s="539">
        <f t="shared" si="17"/>
        <v>195.78421879350645</v>
      </c>
      <c r="DC71" s="539">
        <f t="shared" si="17"/>
        <v>195.78421879350645</v>
      </c>
      <c r="DD71" s="539">
        <f t="shared" si="17"/>
        <v>195.78421879350645</v>
      </c>
      <c r="DE71" s="539">
        <f t="shared" si="17"/>
        <v>195.78421879350645</v>
      </c>
      <c r="DF71" s="539">
        <f t="shared" si="17"/>
        <v>204.69990316937665</v>
      </c>
      <c r="DG71" s="539">
        <f t="shared" si="17"/>
        <v>204.69990316937665</v>
      </c>
      <c r="DH71" s="539">
        <f t="shared" si="17"/>
        <v>204.69990316937665</v>
      </c>
      <c r="DI71" s="539">
        <f t="shared" si="17"/>
        <v>204.69990316937665</v>
      </c>
      <c r="DJ71" s="539">
        <f t="shared" si="17"/>
        <v>213.79390123276417</v>
      </c>
      <c r="DK71" s="539">
        <f t="shared" si="17"/>
        <v>213.79390123276417</v>
      </c>
      <c r="DL71" s="539">
        <f t="shared" si="17"/>
        <v>213.79390123276417</v>
      </c>
      <c r="DM71" s="539">
        <f t="shared" si="17"/>
        <v>213.79390123276417</v>
      </c>
      <c r="DN71" s="539">
        <f t="shared" si="17"/>
        <v>223.0697792574195</v>
      </c>
      <c r="DO71" s="539">
        <f t="shared" si="17"/>
        <v>223.0697792574195</v>
      </c>
      <c r="DP71" s="539">
        <f t="shared" si="17"/>
        <v>223.0697792574195</v>
      </c>
      <c r="DQ71" s="539">
        <f t="shared" si="17"/>
        <v>223.0697792574195</v>
      </c>
      <c r="DR71" s="539">
        <f t="shared" si="17"/>
        <v>232.53117484256782</v>
      </c>
      <c r="DS71" s="539">
        <f t="shared" si="17"/>
        <v>232.53117484256782</v>
      </c>
      <c r="DT71" s="539">
        <f t="shared" si="17"/>
        <v>232.53117484256782</v>
      </c>
      <c r="DU71" s="539">
        <f t="shared" si="17"/>
        <v>232.53117484256782</v>
      </c>
      <c r="DV71" s="539">
        <f t="shared" si="17"/>
        <v>242.18179833941923</v>
      </c>
      <c r="DW71" s="539">
        <f t="shared" si="17"/>
        <v>242.18179833941923</v>
      </c>
      <c r="DX71" s="539">
        <f t="shared" si="17"/>
        <v>242.18179833941923</v>
      </c>
      <c r="DY71" s="539">
        <f t="shared" si="17"/>
        <v>242.18179833941923</v>
      </c>
      <c r="DZ71" s="539">
        <f t="shared" si="17"/>
        <v>252.02543430620756</v>
      </c>
      <c r="EA71" s="539">
        <f t="shared" si="17"/>
        <v>252.02543430620756</v>
      </c>
      <c r="EB71" s="539">
        <f t="shared" si="17"/>
        <v>252.02543430620756</v>
      </c>
      <c r="EC71" s="539">
        <f t="shared" si="17"/>
        <v>252.02543430620756</v>
      </c>
      <c r="ED71" s="539">
        <f t="shared" si="17"/>
        <v>0</v>
      </c>
      <c r="EE71" s="539">
        <f t="shared" si="17"/>
        <v>0</v>
      </c>
      <c r="EF71" s="539">
        <f t="shared" si="17"/>
        <v>0</v>
      </c>
      <c r="EG71" s="539">
        <f t="shared" si="17"/>
        <v>0</v>
      </c>
    </row>
    <row r="73" spans="5:137" ht="12.75">
      <c r="E73" s="538" t="str">
        <f>E$57</f>
        <v>Lease cost - fixed</v>
      </c>
      <c r="G73" s="539" t="str">
        <f>G$57</f>
        <v>EUR 000s</v>
      </c>
      <c r="H73" s="539">
        <f>H$57</f>
        <v>1794.3500365994282</v>
      </c>
      <c r="J73" s="539">
        <f t="shared" si="18" ref="J73:EG73">J$57</f>
        <v>0</v>
      </c>
      <c r="K73" s="539">
        <f t="shared" si="18"/>
        <v>0</v>
      </c>
      <c r="L73" s="539">
        <f t="shared" si="18"/>
        <v>0</v>
      </c>
      <c r="M73" s="539">
        <f t="shared" si="18"/>
        <v>0</v>
      </c>
      <c r="N73" s="539">
        <f t="shared" si="18"/>
        <v>0</v>
      </c>
      <c r="O73" s="539">
        <f t="shared" si="18"/>
        <v>0</v>
      </c>
      <c r="P73" s="539">
        <f t="shared" si="18"/>
        <v>0</v>
      </c>
      <c r="Q73" s="539">
        <f t="shared" si="18"/>
        <v>0</v>
      </c>
      <c r="R73" s="539">
        <f t="shared" si="18"/>
        <v>0</v>
      </c>
      <c r="S73" s="539">
        <f t="shared" si="18"/>
        <v>0</v>
      </c>
      <c r="T73" s="539">
        <f t="shared" si="18"/>
        <v>0</v>
      </c>
      <c r="U73" s="539">
        <f t="shared" si="18"/>
        <v>0</v>
      </c>
      <c r="V73" s="539">
        <f t="shared" si="18"/>
        <v>0</v>
      </c>
      <c r="W73" s="539">
        <f t="shared" si="18"/>
        <v>0</v>
      </c>
      <c r="X73" s="539">
        <f t="shared" si="18"/>
        <v>0</v>
      </c>
      <c r="Y73" s="539">
        <f t="shared" si="18"/>
        <v>0</v>
      </c>
      <c r="Z73" s="539">
        <f t="shared" si="18"/>
        <v>0</v>
      </c>
      <c r="AA73" s="539">
        <f t="shared" si="18"/>
        <v>0</v>
      </c>
      <c r="AB73" s="539">
        <f t="shared" si="18"/>
        <v>0</v>
      </c>
      <c r="AC73" s="539">
        <f t="shared" si="18"/>
        <v>0</v>
      </c>
      <c r="AD73" s="539">
        <f t="shared" si="18"/>
        <v>0</v>
      </c>
      <c r="AE73" s="539">
        <f t="shared" si="18"/>
        <v>0</v>
      </c>
      <c r="AF73" s="539">
        <f t="shared" si="18"/>
        <v>0</v>
      </c>
      <c r="AG73" s="539">
        <f t="shared" si="18"/>
        <v>0</v>
      </c>
      <c r="AH73" s="539">
        <f t="shared" si="18"/>
        <v>13.132812499999998</v>
      </c>
      <c r="AI73" s="539">
        <f t="shared" si="18"/>
        <v>13.132812499999998</v>
      </c>
      <c r="AJ73" s="539">
        <f t="shared" si="18"/>
        <v>13.132812499999998</v>
      </c>
      <c r="AK73" s="539">
        <f t="shared" si="18"/>
        <v>13.132812499999998</v>
      </c>
      <c r="AL73" s="539">
        <f t="shared" si="18"/>
        <v>13.461132812499999</v>
      </c>
      <c r="AM73" s="539">
        <f t="shared" si="18"/>
        <v>13.461132812499999</v>
      </c>
      <c r="AN73" s="539">
        <f t="shared" si="18"/>
        <v>13.461132812499999</v>
      </c>
      <c r="AO73" s="539">
        <f t="shared" si="18"/>
        <v>13.461132812499999</v>
      </c>
      <c r="AP73" s="539">
        <f t="shared" si="18"/>
        <v>13.797661132812497</v>
      </c>
      <c r="AQ73" s="539">
        <f t="shared" si="18"/>
        <v>13.797661132812497</v>
      </c>
      <c r="AR73" s="539">
        <f t="shared" si="18"/>
        <v>13.797661132812497</v>
      </c>
      <c r="AS73" s="539">
        <f t="shared" si="18"/>
        <v>13.797661132812497</v>
      </c>
      <c r="AT73" s="539">
        <f t="shared" si="18"/>
        <v>14.142602661132809</v>
      </c>
      <c r="AU73" s="539">
        <f t="shared" si="18"/>
        <v>14.142602661132809</v>
      </c>
      <c r="AV73" s="539">
        <f t="shared" si="18"/>
        <v>14.142602661132809</v>
      </c>
      <c r="AW73" s="539">
        <f t="shared" si="18"/>
        <v>14.142602661132809</v>
      </c>
      <c r="AX73" s="539">
        <f t="shared" si="18"/>
        <v>14.496167727661128</v>
      </c>
      <c r="AY73" s="539">
        <f t="shared" si="18"/>
        <v>14.496167727661128</v>
      </c>
      <c r="AZ73" s="539">
        <f t="shared" si="18"/>
        <v>14.496167727661128</v>
      </c>
      <c r="BA73" s="539">
        <f t="shared" si="18"/>
        <v>14.496167727661128</v>
      </c>
      <c r="BB73" s="539">
        <f t="shared" si="18"/>
        <v>14.858571920852654</v>
      </c>
      <c r="BC73" s="539">
        <f t="shared" si="18"/>
        <v>14.858571920852654</v>
      </c>
      <c r="BD73" s="539">
        <f t="shared" si="18"/>
        <v>14.858571920852654</v>
      </c>
      <c r="BE73" s="539">
        <f t="shared" si="18"/>
        <v>14.858571920852654</v>
      </c>
      <c r="BF73" s="539">
        <f t="shared" si="18"/>
        <v>15.230036218873968</v>
      </c>
      <c r="BG73" s="539">
        <f t="shared" si="18"/>
        <v>15.230036218873968</v>
      </c>
      <c r="BH73" s="539">
        <f t="shared" si="18"/>
        <v>15.230036218873968</v>
      </c>
      <c r="BI73" s="539">
        <f t="shared" si="18"/>
        <v>15.230036218873968</v>
      </c>
      <c r="BJ73" s="539">
        <f t="shared" si="18"/>
        <v>15.610787124345816</v>
      </c>
      <c r="BK73" s="539">
        <f t="shared" si="18"/>
        <v>15.610787124345816</v>
      </c>
      <c r="BL73" s="539">
        <f t="shared" si="18"/>
        <v>15.610787124345816</v>
      </c>
      <c r="BM73" s="539">
        <f t="shared" si="18"/>
        <v>15.610787124345816</v>
      </c>
      <c r="BN73" s="539">
        <f t="shared" si="18"/>
        <v>16.001056802454457</v>
      </c>
      <c r="BO73" s="539">
        <f t="shared" si="18"/>
        <v>16.001056802454457</v>
      </c>
      <c r="BP73" s="539">
        <f t="shared" si="18"/>
        <v>16.001056802454457</v>
      </c>
      <c r="BQ73" s="539">
        <f t="shared" si="18"/>
        <v>16.001056802454457</v>
      </c>
      <c r="BR73" s="539">
        <f t="shared" si="18"/>
        <v>16.401083222515819</v>
      </c>
      <c r="BS73" s="539">
        <f t="shared" si="18"/>
        <v>16.401083222515819</v>
      </c>
      <c r="BT73" s="539">
        <f t="shared" si="18"/>
        <v>16.401083222515819</v>
      </c>
      <c r="BU73" s="539">
        <f t="shared" si="18"/>
        <v>16.401083222515819</v>
      </c>
      <c r="BV73" s="539">
        <f t="shared" si="18"/>
        <v>16.811110303078713</v>
      </c>
      <c r="BW73" s="539">
        <f t="shared" si="18"/>
        <v>16.811110303078713</v>
      </c>
      <c r="BX73" s="539">
        <f t="shared" si="18"/>
        <v>16.811110303078713</v>
      </c>
      <c r="BY73" s="539">
        <f t="shared" si="18"/>
        <v>16.811110303078713</v>
      </c>
      <c r="BZ73" s="539">
        <f t="shared" si="18"/>
        <v>17.231388060655682</v>
      </c>
      <c r="CA73" s="539">
        <f t="shared" si="18"/>
        <v>17.231388060655682</v>
      </c>
      <c r="CB73" s="539">
        <f t="shared" si="18"/>
        <v>17.231388060655682</v>
      </c>
      <c r="CC73" s="539">
        <f t="shared" si="18"/>
        <v>17.231388060655682</v>
      </c>
      <c r="CD73" s="539">
        <f t="shared" si="18"/>
        <v>17.662172762172069</v>
      </c>
      <c r="CE73" s="539">
        <f t="shared" si="18"/>
        <v>17.662172762172069</v>
      </c>
      <c r="CF73" s="539">
        <f t="shared" si="18"/>
        <v>17.662172762172069</v>
      </c>
      <c r="CG73" s="539">
        <f t="shared" si="18"/>
        <v>17.662172762172069</v>
      </c>
      <c r="CH73" s="539">
        <f t="shared" si="18"/>
        <v>18.103727081226371</v>
      </c>
      <c r="CI73" s="539">
        <f t="shared" si="18"/>
        <v>18.103727081226371</v>
      </c>
      <c r="CJ73" s="539">
        <f t="shared" si="18"/>
        <v>18.103727081226371</v>
      </c>
      <c r="CK73" s="539">
        <f t="shared" si="18"/>
        <v>18.103727081226371</v>
      </c>
      <c r="CL73" s="539">
        <f t="shared" si="18"/>
        <v>18.556320258257028</v>
      </c>
      <c r="CM73" s="539">
        <f t="shared" si="18"/>
        <v>18.556320258257028</v>
      </c>
      <c r="CN73" s="539">
        <f t="shared" si="18"/>
        <v>18.556320258257028</v>
      </c>
      <c r="CO73" s="539">
        <f t="shared" si="18"/>
        <v>18.556320258257028</v>
      </c>
      <c r="CP73" s="539">
        <f t="shared" si="18"/>
        <v>19.020228264713452</v>
      </c>
      <c r="CQ73" s="539">
        <f t="shared" si="18"/>
        <v>19.020228264713452</v>
      </c>
      <c r="CR73" s="539">
        <f t="shared" si="18"/>
        <v>19.020228264713452</v>
      </c>
      <c r="CS73" s="539">
        <f t="shared" si="18"/>
        <v>19.020228264713452</v>
      </c>
      <c r="CT73" s="539">
        <f t="shared" si="18"/>
        <v>19.495733971331287</v>
      </c>
      <c r="CU73" s="539">
        <f t="shared" si="18"/>
        <v>19.495733971331287</v>
      </c>
      <c r="CV73" s="539">
        <f t="shared" si="18"/>
        <v>19.495733971331287</v>
      </c>
      <c r="CW73" s="539">
        <f t="shared" si="18"/>
        <v>19.495733971331287</v>
      </c>
      <c r="CX73" s="539">
        <f t="shared" si="18"/>
        <v>19.983127320614567</v>
      </c>
      <c r="CY73" s="539">
        <f t="shared" si="18"/>
        <v>19.983127320614567</v>
      </c>
      <c r="CZ73" s="539">
        <f t="shared" si="18"/>
        <v>19.983127320614567</v>
      </c>
      <c r="DA73" s="539">
        <f t="shared" si="18"/>
        <v>19.983127320614567</v>
      </c>
      <c r="DB73" s="539">
        <f t="shared" si="18"/>
        <v>20.482705503629926</v>
      </c>
      <c r="DC73" s="539">
        <f t="shared" si="18"/>
        <v>20.482705503629926</v>
      </c>
      <c r="DD73" s="539">
        <f t="shared" si="18"/>
        <v>20.482705503629926</v>
      </c>
      <c r="DE73" s="539">
        <f t="shared" si="18"/>
        <v>20.482705503629926</v>
      </c>
      <c r="DF73" s="539">
        <f t="shared" si="18"/>
        <v>20.994773141220673</v>
      </c>
      <c r="DG73" s="539">
        <f t="shared" si="18"/>
        <v>20.994773141220673</v>
      </c>
      <c r="DH73" s="539">
        <f t="shared" si="18"/>
        <v>20.994773141220673</v>
      </c>
      <c r="DI73" s="539">
        <f t="shared" si="18"/>
        <v>20.994773141220673</v>
      </c>
      <c r="DJ73" s="539">
        <f t="shared" si="18"/>
        <v>21.519642469751187</v>
      </c>
      <c r="DK73" s="539">
        <f t="shared" si="18"/>
        <v>21.519642469751187</v>
      </c>
      <c r="DL73" s="539">
        <f t="shared" si="18"/>
        <v>21.519642469751187</v>
      </c>
      <c r="DM73" s="539">
        <f t="shared" si="18"/>
        <v>21.519642469751187</v>
      </c>
      <c r="DN73" s="539">
        <f t="shared" si="18"/>
        <v>22.057633531494965</v>
      </c>
      <c r="DO73" s="539">
        <f t="shared" si="18"/>
        <v>22.057633531494965</v>
      </c>
      <c r="DP73" s="539">
        <f t="shared" si="18"/>
        <v>22.057633531494965</v>
      </c>
      <c r="DQ73" s="539">
        <f t="shared" si="18"/>
        <v>22.057633531494965</v>
      </c>
      <c r="DR73" s="539">
        <f t="shared" si="18"/>
        <v>22.609074369782338</v>
      </c>
      <c r="DS73" s="539">
        <f t="shared" si="18"/>
        <v>22.609074369782338</v>
      </c>
      <c r="DT73" s="539">
        <f t="shared" si="18"/>
        <v>22.609074369782338</v>
      </c>
      <c r="DU73" s="539">
        <f t="shared" si="18"/>
        <v>22.609074369782338</v>
      </c>
      <c r="DV73" s="539">
        <f t="shared" si="18"/>
        <v>23.174301229026895</v>
      </c>
      <c r="DW73" s="539">
        <f t="shared" si="18"/>
        <v>23.174301229026895</v>
      </c>
      <c r="DX73" s="539">
        <f t="shared" si="18"/>
        <v>23.174301229026895</v>
      </c>
      <c r="DY73" s="539">
        <f t="shared" si="18"/>
        <v>23.174301229026895</v>
      </c>
      <c r="DZ73" s="539">
        <f t="shared" si="18"/>
        <v>23.753658759752565</v>
      </c>
      <c r="EA73" s="539">
        <f t="shared" si="18"/>
        <v>23.753658759752565</v>
      </c>
      <c r="EB73" s="539">
        <f t="shared" si="18"/>
        <v>23.753658759752565</v>
      </c>
      <c r="EC73" s="539">
        <f t="shared" si="18"/>
        <v>23.753658759752565</v>
      </c>
      <c r="ED73" s="539">
        <f t="shared" si="18"/>
        <v>0</v>
      </c>
      <c r="EE73" s="539">
        <f t="shared" si="18"/>
        <v>0</v>
      </c>
      <c r="EF73" s="539">
        <f t="shared" si="18"/>
        <v>0</v>
      </c>
      <c r="EG73" s="539">
        <f t="shared" si="18"/>
        <v>0</v>
      </c>
    </row>
    <row r="74" spans="5:137" ht="12.75">
      <c r="E74" s="538" t="str">
        <f>E$64</f>
        <v>Lease cost - revenue share up to threshold</v>
      </c>
      <c r="G74" s="539" t="str">
        <f>G$64</f>
        <v>EUR 000s</v>
      </c>
      <c r="H74" s="539">
        <f>H$64</f>
        <v>15000</v>
      </c>
      <c r="J74" s="539">
        <f t="shared" si="19" ref="J74:EG74">J$64</f>
        <v>0</v>
      </c>
      <c r="K74" s="539">
        <f t="shared" si="19"/>
        <v>0</v>
      </c>
      <c r="L74" s="539">
        <f t="shared" si="19"/>
        <v>0</v>
      </c>
      <c r="M74" s="539">
        <f t="shared" si="19"/>
        <v>0</v>
      </c>
      <c r="N74" s="539">
        <f t="shared" si="19"/>
        <v>0</v>
      </c>
      <c r="O74" s="539">
        <f t="shared" si="19"/>
        <v>0</v>
      </c>
      <c r="P74" s="539">
        <f t="shared" si="19"/>
        <v>0</v>
      </c>
      <c r="Q74" s="539">
        <f t="shared" si="19"/>
        <v>0</v>
      </c>
      <c r="R74" s="539">
        <f t="shared" si="19"/>
        <v>0</v>
      </c>
      <c r="S74" s="539">
        <f t="shared" si="19"/>
        <v>0</v>
      </c>
      <c r="T74" s="539">
        <f t="shared" si="19"/>
        <v>0</v>
      </c>
      <c r="U74" s="539">
        <f t="shared" si="19"/>
        <v>0</v>
      </c>
      <c r="V74" s="539">
        <f t="shared" si="19"/>
        <v>0</v>
      </c>
      <c r="W74" s="539">
        <f t="shared" si="19"/>
        <v>0</v>
      </c>
      <c r="X74" s="539">
        <f t="shared" si="19"/>
        <v>0</v>
      </c>
      <c r="Y74" s="539">
        <f t="shared" si="19"/>
        <v>0</v>
      </c>
      <c r="Z74" s="539">
        <f t="shared" si="19"/>
        <v>0</v>
      </c>
      <c r="AA74" s="539">
        <f t="shared" si="19"/>
        <v>0</v>
      </c>
      <c r="AB74" s="539">
        <f t="shared" si="19"/>
        <v>0</v>
      </c>
      <c r="AC74" s="539">
        <f t="shared" si="19"/>
        <v>0</v>
      </c>
      <c r="AD74" s="539">
        <f t="shared" si="19"/>
        <v>0</v>
      </c>
      <c r="AE74" s="539">
        <f t="shared" si="19"/>
        <v>0</v>
      </c>
      <c r="AF74" s="539">
        <f t="shared" si="19"/>
        <v>0</v>
      </c>
      <c r="AG74" s="539">
        <f t="shared" si="19"/>
        <v>0</v>
      </c>
      <c r="AH74" s="539">
        <f t="shared" si="19"/>
        <v>150</v>
      </c>
      <c r="AI74" s="539">
        <f t="shared" si="19"/>
        <v>150</v>
      </c>
      <c r="AJ74" s="539">
        <f t="shared" si="19"/>
        <v>150</v>
      </c>
      <c r="AK74" s="539">
        <f t="shared" si="19"/>
        <v>150</v>
      </c>
      <c r="AL74" s="539">
        <f t="shared" si="19"/>
        <v>150</v>
      </c>
      <c r="AM74" s="539">
        <f t="shared" si="19"/>
        <v>150</v>
      </c>
      <c r="AN74" s="539">
        <f t="shared" si="19"/>
        <v>150</v>
      </c>
      <c r="AO74" s="539">
        <f t="shared" si="19"/>
        <v>150</v>
      </c>
      <c r="AP74" s="539">
        <f t="shared" si="19"/>
        <v>150</v>
      </c>
      <c r="AQ74" s="539">
        <f t="shared" si="19"/>
        <v>150</v>
      </c>
      <c r="AR74" s="539">
        <f t="shared" si="19"/>
        <v>150</v>
      </c>
      <c r="AS74" s="539">
        <f t="shared" si="19"/>
        <v>150</v>
      </c>
      <c r="AT74" s="539">
        <f t="shared" si="19"/>
        <v>150</v>
      </c>
      <c r="AU74" s="539">
        <f t="shared" si="19"/>
        <v>150</v>
      </c>
      <c r="AV74" s="539">
        <f t="shared" si="19"/>
        <v>150</v>
      </c>
      <c r="AW74" s="539">
        <f t="shared" si="19"/>
        <v>150</v>
      </c>
      <c r="AX74" s="539">
        <f t="shared" si="19"/>
        <v>150</v>
      </c>
      <c r="AY74" s="539">
        <f t="shared" si="19"/>
        <v>150</v>
      </c>
      <c r="AZ74" s="539">
        <f t="shared" si="19"/>
        <v>150</v>
      </c>
      <c r="BA74" s="539">
        <f t="shared" si="19"/>
        <v>150</v>
      </c>
      <c r="BB74" s="539">
        <f t="shared" si="19"/>
        <v>150</v>
      </c>
      <c r="BC74" s="539">
        <f t="shared" si="19"/>
        <v>150</v>
      </c>
      <c r="BD74" s="539">
        <f t="shared" si="19"/>
        <v>150</v>
      </c>
      <c r="BE74" s="539">
        <f t="shared" si="19"/>
        <v>150</v>
      </c>
      <c r="BF74" s="539">
        <f t="shared" si="19"/>
        <v>150</v>
      </c>
      <c r="BG74" s="539">
        <f t="shared" si="19"/>
        <v>150</v>
      </c>
      <c r="BH74" s="539">
        <f t="shared" si="19"/>
        <v>150</v>
      </c>
      <c r="BI74" s="539">
        <f t="shared" si="19"/>
        <v>150</v>
      </c>
      <c r="BJ74" s="539">
        <f t="shared" si="19"/>
        <v>150</v>
      </c>
      <c r="BK74" s="539">
        <f t="shared" si="19"/>
        <v>150</v>
      </c>
      <c r="BL74" s="539">
        <f t="shared" si="19"/>
        <v>150</v>
      </c>
      <c r="BM74" s="539">
        <f t="shared" si="19"/>
        <v>150</v>
      </c>
      <c r="BN74" s="539">
        <f t="shared" si="19"/>
        <v>150</v>
      </c>
      <c r="BO74" s="539">
        <f t="shared" si="19"/>
        <v>150</v>
      </c>
      <c r="BP74" s="539">
        <f t="shared" si="19"/>
        <v>150</v>
      </c>
      <c r="BQ74" s="539">
        <f t="shared" si="19"/>
        <v>150</v>
      </c>
      <c r="BR74" s="539">
        <f t="shared" si="19"/>
        <v>150</v>
      </c>
      <c r="BS74" s="539">
        <f t="shared" si="19"/>
        <v>150</v>
      </c>
      <c r="BT74" s="539">
        <f t="shared" si="19"/>
        <v>150</v>
      </c>
      <c r="BU74" s="539">
        <f t="shared" si="19"/>
        <v>150</v>
      </c>
      <c r="BV74" s="539">
        <f t="shared" si="19"/>
        <v>150</v>
      </c>
      <c r="BW74" s="539">
        <f t="shared" si="19"/>
        <v>150</v>
      </c>
      <c r="BX74" s="539">
        <f t="shared" si="19"/>
        <v>150</v>
      </c>
      <c r="BY74" s="539">
        <f t="shared" si="19"/>
        <v>150</v>
      </c>
      <c r="BZ74" s="539">
        <f t="shared" si="19"/>
        <v>150</v>
      </c>
      <c r="CA74" s="539">
        <f t="shared" si="19"/>
        <v>150</v>
      </c>
      <c r="CB74" s="539">
        <f t="shared" si="19"/>
        <v>150</v>
      </c>
      <c r="CC74" s="539">
        <f t="shared" si="19"/>
        <v>150</v>
      </c>
      <c r="CD74" s="539">
        <f t="shared" si="19"/>
        <v>150</v>
      </c>
      <c r="CE74" s="539">
        <f t="shared" si="19"/>
        <v>150</v>
      </c>
      <c r="CF74" s="539">
        <f t="shared" si="19"/>
        <v>150</v>
      </c>
      <c r="CG74" s="539">
        <f t="shared" si="19"/>
        <v>150</v>
      </c>
      <c r="CH74" s="539">
        <f t="shared" si="19"/>
        <v>150</v>
      </c>
      <c r="CI74" s="539">
        <f t="shared" si="19"/>
        <v>150</v>
      </c>
      <c r="CJ74" s="539">
        <f t="shared" si="19"/>
        <v>150</v>
      </c>
      <c r="CK74" s="539">
        <f t="shared" si="19"/>
        <v>150</v>
      </c>
      <c r="CL74" s="539">
        <f t="shared" si="19"/>
        <v>150</v>
      </c>
      <c r="CM74" s="539">
        <f t="shared" si="19"/>
        <v>150</v>
      </c>
      <c r="CN74" s="539">
        <f t="shared" si="19"/>
        <v>150</v>
      </c>
      <c r="CO74" s="539">
        <f t="shared" si="19"/>
        <v>150</v>
      </c>
      <c r="CP74" s="539">
        <f t="shared" si="19"/>
        <v>150</v>
      </c>
      <c r="CQ74" s="539">
        <f t="shared" si="19"/>
        <v>150</v>
      </c>
      <c r="CR74" s="539">
        <f t="shared" si="19"/>
        <v>150</v>
      </c>
      <c r="CS74" s="539">
        <f t="shared" si="19"/>
        <v>150</v>
      </c>
      <c r="CT74" s="539">
        <f t="shared" si="19"/>
        <v>150</v>
      </c>
      <c r="CU74" s="539">
        <f t="shared" si="19"/>
        <v>150</v>
      </c>
      <c r="CV74" s="539">
        <f t="shared" si="19"/>
        <v>150</v>
      </c>
      <c r="CW74" s="539">
        <f t="shared" si="19"/>
        <v>150</v>
      </c>
      <c r="CX74" s="539">
        <f t="shared" si="19"/>
        <v>150</v>
      </c>
      <c r="CY74" s="539">
        <f t="shared" si="19"/>
        <v>150</v>
      </c>
      <c r="CZ74" s="539">
        <f t="shared" si="19"/>
        <v>150</v>
      </c>
      <c r="DA74" s="539">
        <f t="shared" si="19"/>
        <v>150</v>
      </c>
      <c r="DB74" s="539">
        <f t="shared" si="19"/>
        <v>150</v>
      </c>
      <c r="DC74" s="539">
        <f t="shared" si="19"/>
        <v>150</v>
      </c>
      <c r="DD74" s="539">
        <f t="shared" si="19"/>
        <v>150</v>
      </c>
      <c r="DE74" s="539">
        <f t="shared" si="19"/>
        <v>150</v>
      </c>
      <c r="DF74" s="539">
        <f t="shared" si="19"/>
        <v>150</v>
      </c>
      <c r="DG74" s="539">
        <f t="shared" si="19"/>
        <v>150</v>
      </c>
      <c r="DH74" s="539">
        <f t="shared" si="19"/>
        <v>150</v>
      </c>
      <c r="DI74" s="539">
        <f t="shared" si="19"/>
        <v>150</v>
      </c>
      <c r="DJ74" s="539">
        <f t="shared" si="19"/>
        <v>150</v>
      </c>
      <c r="DK74" s="539">
        <f t="shared" si="19"/>
        <v>150</v>
      </c>
      <c r="DL74" s="539">
        <f t="shared" si="19"/>
        <v>150</v>
      </c>
      <c r="DM74" s="539">
        <f t="shared" si="19"/>
        <v>150</v>
      </c>
      <c r="DN74" s="539">
        <f t="shared" si="19"/>
        <v>150</v>
      </c>
      <c r="DO74" s="539">
        <f t="shared" si="19"/>
        <v>150</v>
      </c>
      <c r="DP74" s="539">
        <f t="shared" si="19"/>
        <v>150</v>
      </c>
      <c r="DQ74" s="539">
        <f t="shared" si="19"/>
        <v>150</v>
      </c>
      <c r="DR74" s="539">
        <f t="shared" si="19"/>
        <v>150</v>
      </c>
      <c r="DS74" s="539">
        <f t="shared" si="19"/>
        <v>150</v>
      </c>
      <c r="DT74" s="539">
        <f t="shared" si="19"/>
        <v>150</v>
      </c>
      <c r="DU74" s="539">
        <f t="shared" si="19"/>
        <v>150</v>
      </c>
      <c r="DV74" s="539">
        <f t="shared" si="19"/>
        <v>150</v>
      </c>
      <c r="DW74" s="539">
        <f t="shared" si="19"/>
        <v>150</v>
      </c>
      <c r="DX74" s="539">
        <f t="shared" si="19"/>
        <v>150</v>
      </c>
      <c r="DY74" s="539">
        <f t="shared" si="19"/>
        <v>150</v>
      </c>
      <c r="DZ74" s="539">
        <f t="shared" si="19"/>
        <v>150</v>
      </c>
      <c r="EA74" s="539">
        <f t="shared" si="19"/>
        <v>150</v>
      </c>
      <c r="EB74" s="539">
        <f t="shared" si="19"/>
        <v>150</v>
      </c>
      <c r="EC74" s="539">
        <f t="shared" si="19"/>
        <v>150</v>
      </c>
      <c r="ED74" s="539">
        <f t="shared" si="19"/>
        <v>0</v>
      </c>
      <c r="EE74" s="539">
        <f t="shared" si="19"/>
        <v>0</v>
      </c>
      <c r="EF74" s="539">
        <f t="shared" si="19"/>
        <v>0</v>
      </c>
      <c r="EG74" s="539">
        <f t="shared" si="19"/>
        <v>0</v>
      </c>
    </row>
    <row r="75" spans="5:137" ht="12.75">
      <c r="E75" s="538" t="str">
        <f>E$71</f>
        <v>Lease cost - revenue share above threshold</v>
      </c>
      <c r="G75" s="539" t="str">
        <f>G$71</f>
        <v>EUR 000s</v>
      </c>
      <c r="H75" s="539">
        <f>H$71</f>
        <v>14989.188598466313</v>
      </c>
      <c r="J75" s="539">
        <f t="shared" si="20" ref="J75:EG75">J$71</f>
        <v>0</v>
      </c>
      <c r="K75" s="539">
        <f t="shared" si="20"/>
        <v>0</v>
      </c>
      <c r="L75" s="539">
        <f t="shared" si="20"/>
        <v>0</v>
      </c>
      <c r="M75" s="539">
        <f t="shared" si="20"/>
        <v>0</v>
      </c>
      <c r="N75" s="539">
        <f t="shared" si="20"/>
        <v>0</v>
      </c>
      <c r="O75" s="539">
        <f t="shared" si="20"/>
        <v>0</v>
      </c>
      <c r="P75" s="539">
        <f t="shared" si="20"/>
        <v>0</v>
      </c>
      <c r="Q75" s="539">
        <f t="shared" si="20"/>
        <v>0</v>
      </c>
      <c r="R75" s="539">
        <f t="shared" si="20"/>
        <v>0</v>
      </c>
      <c r="S75" s="539">
        <f t="shared" si="20"/>
        <v>0</v>
      </c>
      <c r="T75" s="539">
        <f t="shared" si="20"/>
        <v>0</v>
      </c>
      <c r="U75" s="539">
        <f t="shared" si="20"/>
        <v>0</v>
      </c>
      <c r="V75" s="539">
        <f t="shared" si="20"/>
        <v>0</v>
      </c>
      <c r="W75" s="539">
        <f t="shared" si="20"/>
        <v>0</v>
      </c>
      <c r="X75" s="539">
        <f t="shared" si="20"/>
        <v>0</v>
      </c>
      <c r="Y75" s="539">
        <f t="shared" si="20"/>
        <v>0</v>
      </c>
      <c r="Z75" s="539">
        <f t="shared" si="20"/>
        <v>0</v>
      </c>
      <c r="AA75" s="539">
        <f t="shared" si="20"/>
        <v>0</v>
      </c>
      <c r="AB75" s="539">
        <f t="shared" si="20"/>
        <v>0</v>
      </c>
      <c r="AC75" s="539">
        <f t="shared" si="20"/>
        <v>0</v>
      </c>
      <c r="AD75" s="539">
        <f t="shared" si="20"/>
        <v>0</v>
      </c>
      <c r="AE75" s="539">
        <f t="shared" si="20"/>
        <v>0</v>
      </c>
      <c r="AF75" s="539">
        <f t="shared" si="20"/>
        <v>0</v>
      </c>
      <c r="AG75" s="539">
        <f t="shared" si="20"/>
        <v>0</v>
      </c>
      <c r="AH75" s="539">
        <f t="shared" si="20"/>
        <v>62.119999999999983</v>
      </c>
      <c r="AI75" s="539">
        <f t="shared" si="20"/>
        <v>62.119999999999983</v>
      </c>
      <c r="AJ75" s="539">
        <f t="shared" si="20"/>
        <v>62.119999999999983</v>
      </c>
      <c r="AK75" s="539">
        <f t="shared" si="20"/>
        <v>62.119999999999983</v>
      </c>
      <c r="AL75" s="539">
        <f t="shared" si="20"/>
        <v>68.36239999999998</v>
      </c>
      <c r="AM75" s="539">
        <f t="shared" si="20"/>
        <v>68.36239999999998</v>
      </c>
      <c r="AN75" s="539">
        <f t="shared" si="20"/>
        <v>68.36239999999998</v>
      </c>
      <c r="AO75" s="539">
        <f t="shared" si="20"/>
        <v>68.36239999999998</v>
      </c>
      <c r="AP75" s="539">
        <f t="shared" si="20"/>
        <v>74.729647999999997</v>
      </c>
      <c r="AQ75" s="539">
        <f t="shared" si="20"/>
        <v>74.729647999999997</v>
      </c>
      <c r="AR75" s="539">
        <f t="shared" si="20"/>
        <v>74.729647999999997</v>
      </c>
      <c r="AS75" s="539">
        <f t="shared" si="20"/>
        <v>74.729647999999997</v>
      </c>
      <c r="AT75" s="539">
        <f t="shared" si="20"/>
        <v>81.224240960000003</v>
      </c>
      <c r="AU75" s="539">
        <f t="shared" si="20"/>
        <v>81.224240960000003</v>
      </c>
      <c r="AV75" s="539">
        <f t="shared" si="20"/>
        <v>81.224240960000003</v>
      </c>
      <c r="AW75" s="539">
        <f t="shared" si="20"/>
        <v>81.224240960000003</v>
      </c>
      <c r="AX75" s="539">
        <f t="shared" si="20"/>
        <v>87.848725779200009</v>
      </c>
      <c r="AY75" s="539">
        <f t="shared" si="20"/>
        <v>87.848725779200009</v>
      </c>
      <c r="AZ75" s="539">
        <f t="shared" si="20"/>
        <v>87.848725779200009</v>
      </c>
      <c r="BA75" s="539">
        <f t="shared" si="20"/>
        <v>87.848725779200009</v>
      </c>
      <c r="BB75" s="539">
        <f t="shared" si="20"/>
        <v>94.605700294784043</v>
      </c>
      <c r="BC75" s="539">
        <f t="shared" si="20"/>
        <v>94.605700294784043</v>
      </c>
      <c r="BD75" s="539">
        <f t="shared" si="20"/>
        <v>94.605700294784043</v>
      </c>
      <c r="BE75" s="539">
        <f t="shared" si="20"/>
        <v>94.605700294784043</v>
      </c>
      <c r="BF75" s="539">
        <f t="shared" si="20"/>
        <v>101.49781430067975</v>
      </c>
      <c r="BG75" s="539">
        <f t="shared" si="20"/>
        <v>101.49781430067975</v>
      </c>
      <c r="BH75" s="539">
        <f t="shared" si="20"/>
        <v>101.49781430067975</v>
      </c>
      <c r="BI75" s="539">
        <f t="shared" si="20"/>
        <v>101.49781430067975</v>
      </c>
      <c r="BJ75" s="539">
        <f t="shared" si="20"/>
        <v>108.52777058669331</v>
      </c>
      <c r="BK75" s="539">
        <f t="shared" si="20"/>
        <v>108.52777058669331</v>
      </c>
      <c r="BL75" s="539">
        <f t="shared" si="20"/>
        <v>108.52777058669331</v>
      </c>
      <c r="BM75" s="539">
        <f t="shared" si="20"/>
        <v>108.52777058669331</v>
      </c>
      <c r="BN75" s="539">
        <f t="shared" si="20"/>
        <v>115.69832599842721</v>
      </c>
      <c r="BO75" s="539">
        <f t="shared" si="20"/>
        <v>115.69832599842721</v>
      </c>
      <c r="BP75" s="539">
        <f t="shared" si="20"/>
        <v>115.69832599842721</v>
      </c>
      <c r="BQ75" s="539">
        <f t="shared" si="20"/>
        <v>115.69832599842721</v>
      </c>
      <c r="BR75" s="539">
        <f t="shared" si="20"/>
        <v>123.01229251839572</v>
      </c>
      <c r="BS75" s="539">
        <f t="shared" si="20"/>
        <v>123.01229251839572</v>
      </c>
      <c r="BT75" s="539">
        <f t="shared" si="20"/>
        <v>123.01229251839572</v>
      </c>
      <c r="BU75" s="539">
        <f t="shared" si="20"/>
        <v>123.01229251839572</v>
      </c>
      <c r="BV75" s="539">
        <f t="shared" si="20"/>
        <v>130.47253836876368</v>
      </c>
      <c r="BW75" s="539">
        <f t="shared" si="20"/>
        <v>130.47253836876368</v>
      </c>
      <c r="BX75" s="539">
        <f t="shared" si="20"/>
        <v>130.47253836876368</v>
      </c>
      <c r="BY75" s="539">
        <f t="shared" si="20"/>
        <v>130.47253836876368</v>
      </c>
      <c r="BZ75" s="539">
        <f t="shared" si="20"/>
        <v>138.08198913613887</v>
      </c>
      <c r="CA75" s="539">
        <f t="shared" si="20"/>
        <v>138.08198913613887</v>
      </c>
      <c r="CB75" s="539">
        <f t="shared" si="20"/>
        <v>138.08198913613887</v>
      </c>
      <c r="CC75" s="539">
        <f t="shared" si="20"/>
        <v>138.08198913613887</v>
      </c>
      <c r="CD75" s="539">
        <f t="shared" si="20"/>
        <v>145.84362891886173</v>
      </c>
      <c r="CE75" s="539">
        <f t="shared" si="20"/>
        <v>145.84362891886173</v>
      </c>
      <c r="CF75" s="539">
        <f t="shared" si="20"/>
        <v>145.84362891886173</v>
      </c>
      <c r="CG75" s="539">
        <f t="shared" si="20"/>
        <v>145.84362891886173</v>
      </c>
      <c r="CH75" s="539">
        <f t="shared" si="20"/>
        <v>153.76050149723898</v>
      </c>
      <c r="CI75" s="539">
        <f t="shared" si="20"/>
        <v>153.76050149723898</v>
      </c>
      <c r="CJ75" s="539">
        <f t="shared" si="20"/>
        <v>153.76050149723898</v>
      </c>
      <c r="CK75" s="539">
        <f t="shared" si="20"/>
        <v>153.76050149723898</v>
      </c>
      <c r="CL75" s="539">
        <f t="shared" si="20"/>
        <v>161.83571152718378</v>
      </c>
      <c r="CM75" s="539">
        <f t="shared" si="20"/>
        <v>161.83571152718378</v>
      </c>
      <c r="CN75" s="539">
        <f t="shared" si="20"/>
        <v>161.83571152718378</v>
      </c>
      <c r="CO75" s="539">
        <f t="shared" si="20"/>
        <v>161.83571152718378</v>
      </c>
      <c r="CP75" s="539">
        <f t="shared" si="20"/>
        <v>170.07242575772744</v>
      </c>
      <c r="CQ75" s="539">
        <f t="shared" si="20"/>
        <v>170.07242575772744</v>
      </c>
      <c r="CR75" s="539">
        <f t="shared" si="20"/>
        <v>170.07242575772744</v>
      </c>
      <c r="CS75" s="539">
        <f t="shared" si="20"/>
        <v>170.07242575772744</v>
      </c>
      <c r="CT75" s="539">
        <f t="shared" si="20"/>
        <v>178.47387427288206</v>
      </c>
      <c r="CU75" s="539">
        <f t="shared" si="20"/>
        <v>178.47387427288206</v>
      </c>
      <c r="CV75" s="539">
        <f t="shared" si="20"/>
        <v>178.47387427288206</v>
      </c>
      <c r="CW75" s="539">
        <f t="shared" si="20"/>
        <v>178.47387427288206</v>
      </c>
      <c r="CX75" s="539">
        <f t="shared" si="20"/>
        <v>187.04335175833967</v>
      </c>
      <c r="CY75" s="539">
        <f t="shared" si="20"/>
        <v>187.04335175833967</v>
      </c>
      <c r="CZ75" s="539">
        <f t="shared" si="20"/>
        <v>187.04335175833967</v>
      </c>
      <c r="DA75" s="539">
        <f t="shared" si="20"/>
        <v>187.04335175833967</v>
      </c>
      <c r="DB75" s="539">
        <f t="shared" si="20"/>
        <v>195.78421879350645</v>
      </c>
      <c r="DC75" s="539">
        <f t="shared" si="20"/>
        <v>195.78421879350645</v>
      </c>
      <c r="DD75" s="539">
        <f t="shared" si="20"/>
        <v>195.78421879350645</v>
      </c>
      <c r="DE75" s="539">
        <f t="shared" si="20"/>
        <v>195.78421879350645</v>
      </c>
      <c r="DF75" s="539">
        <f t="shared" si="20"/>
        <v>204.69990316937665</v>
      </c>
      <c r="DG75" s="539">
        <f t="shared" si="20"/>
        <v>204.69990316937665</v>
      </c>
      <c r="DH75" s="539">
        <f t="shared" si="20"/>
        <v>204.69990316937665</v>
      </c>
      <c r="DI75" s="539">
        <f t="shared" si="20"/>
        <v>204.69990316937665</v>
      </c>
      <c r="DJ75" s="539">
        <f t="shared" si="20"/>
        <v>213.79390123276417</v>
      </c>
      <c r="DK75" s="539">
        <f t="shared" si="20"/>
        <v>213.79390123276417</v>
      </c>
      <c r="DL75" s="539">
        <f t="shared" si="20"/>
        <v>213.79390123276417</v>
      </c>
      <c r="DM75" s="539">
        <f t="shared" si="20"/>
        <v>213.79390123276417</v>
      </c>
      <c r="DN75" s="539">
        <f t="shared" si="20"/>
        <v>223.0697792574195</v>
      </c>
      <c r="DO75" s="539">
        <f t="shared" si="20"/>
        <v>223.0697792574195</v>
      </c>
      <c r="DP75" s="539">
        <f t="shared" si="20"/>
        <v>223.0697792574195</v>
      </c>
      <c r="DQ75" s="539">
        <f t="shared" si="20"/>
        <v>223.0697792574195</v>
      </c>
      <c r="DR75" s="539">
        <f t="shared" si="20"/>
        <v>232.53117484256782</v>
      </c>
      <c r="DS75" s="539">
        <f t="shared" si="20"/>
        <v>232.53117484256782</v>
      </c>
      <c r="DT75" s="539">
        <f t="shared" si="20"/>
        <v>232.53117484256782</v>
      </c>
      <c r="DU75" s="539">
        <f t="shared" si="20"/>
        <v>232.53117484256782</v>
      </c>
      <c r="DV75" s="539">
        <f t="shared" si="20"/>
        <v>242.18179833941923</v>
      </c>
      <c r="DW75" s="539">
        <f t="shared" si="20"/>
        <v>242.18179833941923</v>
      </c>
      <c r="DX75" s="539">
        <f t="shared" si="20"/>
        <v>242.18179833941923</v>
      </c>
      <c r="DY75" s="539">
        <f t="shared" si="20"/>
        <v>242.18179833941923</v>
      </c>
      <c r="DZ75" s="539">
        <f t="shared" si="20"/>
        <v>252.02543430620756</v>
      </c>
      <c r="EA75" s="539">
        <f t="shared" si="20"/>
        <v>252.02543430620756</v>
      </c>
      <c r="EB75" s="539">
        <f t="shared" si="20"/>
        <v>252.02543430620756</v>
      </c>
      <c r="EC75" s="539">
        <f t="shared" si="20"/>
        <v>252.02543430620756</v>
      </c>
      <c r="ED75" s="539">
        <f t="shared" si="20"/>
        <v>0</v>
      </c>
      <c r="EE75" s="539">
        <f t="shared" si="20"/>
        <v>0</v>
      </c>
      <c r="EF75" s="539">
        <f t="shared" si="20"/>
        <v>0</v>
      </c>
      <c r="EG75" s="539">
        <f t="shared" si="20"/>
        <v>0</v>
      </c>
    </row>
    <row r="76" spans="5:137" ht="12.75">
      <c r="E76" s="538" t="s">
        <v>263</v>
      </c>
      <c r="G76" s="539" t="s">
        <v>30</v>
      </c>
      <c r="H76" s="539">
        <f>SUM(J76:EG76)</f>
        <v>31783.53863506575</v>
      </c>
      <c r="J76" s="539">
        <f t="shared" si="21" ref="J76:EG76">J73+J74+J75</f>
        <v>0</v>
      </c>
      <c r="K76" s="539">
        <f t="shared" si="21"/>
        <v>0</v>
      </c>
      <c r="L76" s="539">
        <f t="shared" si="21"/>
        <v>0</v>
      </c>
      <c r="M76" s="539">
        <f t="shared" si="21"/>
        <v>0</v>
      </c>
      <c r="N76" s="539">
        <f t="shared" si="21"/>
        <v>0</v>
      </c>
      <c r="O76" s="539">
        <f t="shared" si="21"/>
        <v>0</v>
      </c>
      <c r="P76" s="539">
        <f t="shared" si="21"/>
        <v>0</v>
      </c>
      <c r="Q76" s="539">
        <f t="shared" si="21"/>
        <v>0</v>
      </c>
      <c r="R76" s="539">
        <f t="shared" si="21"/>
        <v>0</v>
      </c>
      <c r="S76" s="539">
        <f t="shared" si="21"/>
        <v>0</v>
      </c>
      <c r="T76" s="539">
        <f t="shared" si="21"/>
        <v>0</v>
      </c>
      <c r="U76" s="539">
        <f t="shared" si="21"/>
        <v>0</v>
      </c>
      <c r="V76" s="539">
        <f t="shared" si="21"/>
        <v>0</v>
      </c>
      <c r="W76" s="539">
        <f t="shared" si="21"/>
        <v>0</v>
      </c>
      <c r="X76" s="539">
        <f t="shared" si="21"/>
        <v>0</v>
      </c>
      <c r="Y76" s="539">
        <f t="shared" si="21"/>
        <v>0</v>
      </c>
      <c r="Z76" s="539">
        <f t="shared" si="21"/>
        <v>0</v>
      </c>
      <c r="AA76" s="539">
        <f t="shared" si="21"/>
        <v>0</v>
      </c>
      <c r="AB76" s="539">
        <f t="shared" si="21"/>
        <v>0</v>
      </c>
      <c r="AC76" s="539">
        <f t="shared" si="21"/>
        <v>0</v>
      </c>
      <c r="AD76" s="539">
        <f t="shared" si="21"/>
        <v>0</v>
      </c>
      <c r="AE76" s="539">
        <f t="shared" si="21"/>
        <v>0</v>
      </c>
      <c r="AF76" s="539">
        <f t="shared" si="21"/>
        <v>0</v>
      </c>
      <c r="AG76" s="539">
        <f t="shared" si="21"/>
        <v>0</v>
      </c>
      <c r="AH76" s="539">
        <f t="shared" si="21"/>
        <v>225.25281249999998</v>
      </c>
      <c r="AI76" s="539">
        <f t="shared" si="21"/>
        <v>225.25281249999998</v>
      </c>
      <c r="AJ76" s="539">
        <f t="shared" si="21"/>
        <v>225.25281249999998</v>
      </c>
      <c r="AK76" s="539">
        <f t="shared" si="21"/>
        <v>225.25281249999998</v>
      </c>
      <c r="AL76" s="539">
        <f t="shared" si="21"/>
        <v>231.82353281249999</v>
      </c>
      <c r="AM76" s="539">
        <f t="shared" si="21"/>
        <v>231.82353281249999</v>
      </c>
      <c r="AN76" s="539">
        <f t="shared" si="21"/>
        <v>231.82353281249999</v>
      </c>
      <c r="AO76" s="539">
        <f t="shared" si="21"/>
        <v>231.82353281249999</v>
      </c>
      <c r="AP76" s="539">
        <f t="shared" si="21"/>
        <v>238.52730913281249</v>
      </c>
      <c r="AQ76" s="539">
        <f t="shared" si="21"/>
        <v>238.52730913281249</v>
      </c>
      <c r="AR76" s="539">
        <f t="shared" si="21"/>
        <v>238.52730913281249</v>
      </c>
      <c r="AS76" s="539">
        <f t="shared" si="21"/>
        <v>238.52730913281249</v>
      </c>
      <c r="AT76" s="539">
        <f t="shared" si="21"/>
        <v>245.3668436211328</v>
      </c>
      <c r="AU76" s="539">
        <f t="shared" si="21"/>
        <v>245.3668436211328</v>
      </c>
      <c r="AV76" s="539">
        <f t="shared" si="21"/>
        <v>245.3668436211328</v>
      </c>
      <c r="AW76" s="539">
        <f t="shared" si="21"/>
        <v>245.3668436211328</v>
      </c>
      <c r="AX76" s="539">
        <f t="shared" si="21"/>
        <v>252.34489350686113</v>
      </c>
      <c r="AY76" s="539">
        <f t="shared" si="21"/>
        <v>252.34489350686113</v>
      </c>
      <c r="AZ76" s="539">
        <f t="shared" si="21"/>
        <v>252.34489350686113</v>
      </c>
      <c r="BA76" s="539">
        <f t="shared" si="21"/>
        <v>252.34489350686113</v>
      </c>
      <c r="BB76" s="539">
        <f t="shared" si="21"/>
        <v>259.4642722156367</v>
      </c>
      <c r="BC76" s="539">
        <f t="shared" si="21"/>
        <v>259.4642722156367</v>
      </c>
      <c r="BD76" s="539">
        <f t="shared" si="21"/>
        <v>259.4642722156367</v>
      </c>
      <c r="BE76" s="539">
        <f t="shared" si="21"/>
        <v>259.4642722156367</v>
      </c>
      <c r="BF76" s="539">
        <f t="shared" si="21"/>
        <v>266.72785051955373</v>
      </c>
      <c r="BG76" s="539">
        <f t="shared" si="21"/>
        <v>266.72785051955373</v>
      </c>
      <c r="BH76" s="539">
        <f t="shared" si="21"/>
        <v>266.72785051955373</v>
      </c>
      <c r="BI76" s="539">
        <f t="shared" si="21"/>
        <v>266.72785051955373</v>
      </c>
      <c r="BJ76" s="539">
        <f t="shared" si="21"/>
        <v>274.13855771103914</v>
      </c>
      <c r="BK76" s="539">
        <f t="shared" si="21"/>
        <v>274.13855771103914</v>
      </c>
      <c r="BL76" s="539">
        <f t="shared" si="21"/>
        <v>274.13855771103914</v>
      </c>
      <c r="BM76" s="539">
        <f t="shared" si="21"/>
        <v>274.13855771103914</v>
      </c>
      <c r="BN76" s="539">
        <f t="shared" si="21"/>
        <v>281.69938280088166</v>
      </c>
      <c r="BO76" s="539">
        <f t="shared" si="21"/>
        <v>281.69938280088166</v>
      </c>
      <c r="BP76" s="539">
        <f t="shared" si="21"/>
        <v>281.69938280088166</v>
      </c>
      <c r="BQ76" s="539">
        <f t="shared" si="21"/>
        <v>281.69938280088166</v>
      </c>
      <c r="BR76" s="539">
        <f t="shared" si="21"/>
        <v>289.41337574091153</v>
      </c>
      <c r="BS76" s="539">
        <f t="shared" si="21"/>
        <v>289.41337574091153</v>
      </c>
      <c r="BT76" s="539">
        <f t="shared" si="21"/>
        <v>289.41337574091153</v>
      </c>
      <c r="BU76" s="539">
        <f t="shared" si="21"/>
        <v>289.41337574091153</v>
      </c>
      <c r="BV76" s="539">
        <f t="shared" si="21"/>
        <v>297.2836486718424</v>
      </c>
      <c r="BW76" s="539">
        <f t="shared" si="21"/>
        <v>297.2836486718424</v>
      </c>
      <c r="BX76" s="539">
        <f t="shared" si="21"/>
        <v>297.2836486718424</v>
      </c>
      <c r="BY76" s="539">
        <f t="shared" si="21"/>
        <v>297.2836486718424</v>
      </c>
      <c r="BZ76" s="539">
        <f t="shared" si="21"/>
        <v>305.31337719679459</v>
      </c>
      <c r="CA76" s="539">
        <f t="shared" si="21"/>
        <v>305.31337719679459</v>
      </c>
      <c r="CB76" s="539">
        <f t="shared" si="21"/>
        <v>305.31337719679459</v>
      </c>
      <c r="CC76" s="539">
        <f t="shared" si="21"/>
        <v>305.31337719679459</v>
      </c>
      <c r="CD76" s="539">
        <f t="shared" si="21"/>
        <v>313.5058016810338</v>
      </c>
      <c r="CE76" s="539">
        <f t="shared" si="21"/>
        <v>313.5058016810338</v>
      </c>
      <c r="CF76" s="539">
        <f t="shared" si="21"/>
        <v>313.5058016810338</v>
      </c>
      <c r="CG76" s="539">
        <f t="shared" si="21"/>
        <v>313.5058016810338</v>
      </c>
      <c r="CH76" s="539">
        <f t="shared" si="21"/>
        <v>321.86422857846537</v>
      </c>
      <c r="CI76" s="539">
        <f t="shared" si="21"/>
        <v>321.86422857846537</v>
      </c>
      <c r="CJ76" s="539">
        <f t="shared" si="21"/>
        <v>321.86422857846537</v>
      </c>
      <c r="CK76" s="539">
        <f t="shared" si="21"/>
        <v>321.86422857846537</v>
      </c>
      <c r="CL76" s="539">
        <f t="shared" si="21"/>
        <v>330.39203178544079</v>
      </c>
      <c r="CM76" s="539">
        <f t="shared" si="21"/>
        <v>330.39203178544079</v>
      </c>
      <c r="CN76" s="539">
        <f t="shared" si="21"/>
        <v>330.39203178544079</v>
      </c>
      <c r="CO76" s="539">
        <f t="shared" si="21"/>
        <v>330.39203178544079</v>
      </c>
      <c r="CP76" s="539">
        <f t="shared" si="21"/>
        <v>339.09265402244091</v>
      </c>
      <c r="CQ76" s="539">
        <f t="shared" si="21"/>
        <v>339.09265402244091</v>
      </c>
      <c r="CR76" s="539">
        <f t="shared" si="21"/>
        <v>339.09265402244091</v>
      </c>
      <c r="CS76" s="539">
        <f t="shared" si="21"/>
        <v>339.09265402244091</v>
      </c>
      <c r="CT76" s="539">
        <f t="shared" si="21"/>
        <v>347.9696082442133</v>
      </c>
      <c r="CU76" s="539">
        <f t="shared" si="21"/>
        <v>347.9696082442133</v>
      </c>
      <c r="CV76" s="539">
        <f t="shared" si="21"/>
        <v>347.9696082442133</v>
      </c>
      <c r="CW76" s="539">
        <f t="shared" si="21"/>
        <v>347.9696082442133</v>
      </c>
      <c r="CX76" s="539">
        <f t="shared" si="21"/>
        <v>357.02647907895425</v>
      </c>
      <c r="CY76" s="539">
        <f t="shared" si="21"/>
        <v>357.02647907895425</v>
      </c>
      <c r="CZ76" s="539">
        <f t="shared" si="21"/>
        <v>357.02647907895425</v>
      </c>
      <c r="DA76" s="539">
        <f t="shared" si="21"/>
        <v>357.02647907895425</v>
      </c>
      <c r="DB76" s="539">
        <f t="shared" si="21"/>
        <v>366.26692429713637</v>
      </c>
      <c r="DC76" s="539">
        <f t="shared" si="21"/>
        <v>366.26692429713637</v>
      </c>
      <c r="DD76" s="539">
        <f t="shared" si="21"/>
        <v>366.26692429713637</v>
      </c>
      <c r="DE76" s="539">
        <f t="shared" si="21"/>
        <v>366.26692429713637</v>
      </c>
      <c r="DF76" s="539">
        <f t="shared" si="21"/>
        <v>375.69467631059729</v>
      </c>
      <c r="DG76" s="539">
        <f t="shared" si="21"/>
        <v>375.69467631059729</v>
      </c>
      <c r="DH76" s="539">
        <f t="shared" si="21"/>
        <v>375.69467631059729</v>
      </c>
      <c r="DI76" s="539">
        <f t="shared" si="21"/>
        <v>375.69467631059729</v>
      </c>
      <c r="DJ76" s="539">
        <f t="shared" si="21"/>
        <v>385.31354370251535</v>
      </c>
      <c r="DK76" s="539">
        <f t="shared" si="21"/>
        <v>385.31354370251535</v>
      </c>
      <c r="DL76" s="539">
        <f t="shared" si="21"/>
        <v>385.31354370251535</v>
      </c>
      <c r="DM76" s="539">
        <f t="shared" si="21"/>
        <v>385.31354370251535</v>
      </c>
      <c r="DN76" s="539">
        <f t="shared" si="21"/>
        <v>395.12741278891446</v>
      </c>
      <c r="DO76" s="539">
        <f t="shared" si="21"/>
        <v>395.12741278891446</v>
      </c>
      <c r="DP76" s="539">
        <f t="shared" si="21"/>
        <v>395.12741278891446</v>
      </c>
      <c r="DQ76" s="539">
        <f t="shared" si="21"/>
        <v>395.12741278891446</v>
      </c>
      <c r="DR76" s="539">
        <f t="shared" si="21"/>
        <v>405.14024921235017</v>
      </c>
      <c r="DS76" s="539">
        <f t="shared" si="21"/>
        <v>405.14024921235017</v>
      </c>
      <c r="DT76" s="539">
        <f t="shared" si="21"/>
        <v>405.14024921235017</v>
      </c>
      <c r="DU76" s="539">
        <f t="shared" si="21"/>
        <v>405.14024921235017</v>
      </c>
      <c r="DV76" s="539">
        <f t="shared" si="21"/>
        <v>415.3560995684461</v>
      </c>
      <c r="DW76" s="539">
        <f t="shared" si="21"/>
        <v>415.3560995684461</v>
      </c>
      <c r="DX76" s="539">
        <f t="shared" si="21"/>
        <v>415.3560995684461</v>
      </c>
      <c r="DY76" s="539">
        <f t="shared" si="21"/>
        <v>415.3560995684461</v>
      </c>
      <c r="DZ76" s="539">
        <f t="shared" si="21"/>
        <v>425.77909306596013</v>
      </c>
      <c r="EA76" s="539">
        <f t="shared" si="21"/>
        <v>425.77909306596013</v>
      </c>
      <c r="EB76" s="539">
        <f t="shared" si="21"/>
        <v>425.77909306596013</v>
      </c>
      <c r="EC76" s="539">
        <f t="shared" si="21"/>
        <v>425.77909306596013</v>
      </c>
      <c r="ED76" s="539">
        <f t="shared" si="21"/>
        <v>0</v>
      </c>
      <c r="EE76" s="539">
        <f t="shared" si="21"/>
        <v>0</v>
      </c>
      <c r="EF76" s="539">
        <f t="shared" si="21"/>
        <v>0</v>
      </c>
      <c r="EG76" s="539">
        <f t="shared" si="21"/>
        <v>0</v>
      </c>
    </row>
    <row r="79" spans="1:1" ht="12.75">
      <c r="A79" s="534" t="s">
        <v>264</v>
      </c>
    </row>
    <row r="81" spans="5:7" ht="12.75">
      <c r="E81" s="535" t="str">
        <f>InpC!E$43</f>
        <v>Opex - fixed annual amount</v>
      </c>
      <c r="F81" s="537">
        <f>InpC!F$43</f>
        <v>10000</v>
      </c>
      <c r="G81" s="537" t="str">
        <f>InpC!G$43</f>
        <v>EUR 000s</v>
      </c>
    </row>
    <row r="82" spans="5:137" ht="12.75">
      <c r="E82" s="535" t="str">
        <f>Time!E$91</f>
        <v>Operating period flag</v>
      </c>
      <c r="G82" s="537" t="str">
        <f>Time!G$91</f>
        <v>flag</v>
      </c>
      <c r="H82" s="537">
        <f>Time!H$91</f>
        <v>100</v>
      </c>
      <c r="J82" s="537">
        <f>Time!J$91</f>
        <v>0</v>
      </c>
      <c r="K82" s="537">
        <f>Time!K$91</f>
        <v>0</v>
      </c>
      <c r="L82" s="537">
        <f>Time!L$91</f>
        <v>0</v>
      </c>
      <c r="M82" s="537">
        <f>Time!M$91</f>
        <v>0</v>
      </c>
      <c r="N82" s="537">
        <f>Time!N$91</f>
        <v>0</v>
      </c>
      <c r="O82" s="537">
        <f>Time!O$91</f>
        <v>0</v>
      </c>
      <c r="P82" s="537">
        <f>Time!P$91</f>
        <v>0</v>
      </c>
      <c r="Q82" s="537">
        <f>Time!Q$91</f>
        <v>0</v>
      </c>
      <c r="R82" s="537">
        <f>Time!R$91</f>
        <v>0</v>
      </c>
      <c r="S82" s="537">
        <f>Time!S$91</f>
        <v>0</v>
      </c>
      <c r="T82" s="537">
        <f>Time!T$91</f>
        <v>0</v>
      </c>
      <c r="U82" s="537">
        <f>Time!U$91</f>
        <v>0</v>
      </c>
      <c r="V82" s="537">
        <f>Time!V$91</f>
        <v>0</v>
      </c>
      <c r="W82" s="537">
        <f>Time!W$91</f>
        <v>0</v>
      </c>
      <c r="X82" s="537">
        <f>Time!X$91</f>
        <v>0</v>
      </c>
      <c r="Y82" s="537">
        <f>Time!Y$91</f>
        <v>0</v>
      </c>
      <c r="Z82" s="537">
        <f>Time!Z$91</f>
        <v>0</v>
      </c>
      <c r="AA82" s="537">
        <f>Time!AA$91</f>
        <v>0</v>
      </c>
      <c r="AB82" s="537">
        <f>Time!AB$91</f>
        <v>0</v>
      </c>
      <c r="AC82" s="537">
        <f>Time!AC$91</f>
        <v>0</v>
      </c>
      <c r="AD82" s="537">
        <f>Time!AD$91</f>
        <v>0</v>
      </c>
      <c r="AE82" s="537">
        <f>Time!AE$91</f>
        <v>0</v>
      </c>
      <c r="AF82" s="537">
        <f>Time!AF$91</f>
        <v>0</v>
      </c>
      <c r="AG82" s="537">
        <f>Time!AG$91</f>
        <v>0</v>
      </c>
      <c r="AH82" s="537">
        <f>Time!AH$91</f>
        <v>1</v>
      </c>
      <c r="AI82" s="537">
        <f>Time!AI$91</f>
        <v>1</v>
      </c>
      <c r="AJ82" s="537">
        <f>Time!AJ$91</f>
        <v>1</v>
      </c>
      <c r="AK82" s="537">
        <f>Time!AK$91</f>
        <v>1</v>
      </c>
      <c r="AL82" s="537">
        <f>Time!AL$91</f>
        <v>1</v>
      </c>
      <c r="AM82" s="537">
        <f>Time!AM$91</f>
        <v>1</v>
      </c>
      <c r="AN82" s="537">
        <f>Time!AN$91</f>
        <v>1</v>
      </c>
      <c r="AO82" s="537">
        <f>Time!AO$91</f>
        <v>1</v>
      </c>
      <c r="AP82" s="537">
        <f>Time!AP$91</f>
        <v>1</v>
      </c>
      <c r="AQ82" s="537">
        <f>Time!AQ$91</f>
        <v>1</v>
      </c>
      <c r="AR82" s="537">
        <f>Time!AR$91</f>
        <v>1</v>
      </c>
      <c r="AS82" s="537">
        <f>Time!AS$91</f>
        <v>1</v>
      </c>
      <c r="AT82" s="537">
        <f>Time!AT$91</f>
        <v>1</v>
      </c>
      <c r="AU82" s="537">
        <f>Time!AU$91</f>
        <v>1</v>
      </c>
      <c r="AV82" s="537">
        <f>Time!AV$91</f>
        <v>1</v>
      </c>
      <c r="AW82" s="537">
        <f>Time!AW$91</f>
        <v>1</v>
      </c>
      <c r="AX82" s="537">
        <f>Time!AX$91</f>
        <v>1</v>
      </c>
      <c r="AY82" s="537">
        <f>Time!AY$91</f>
        <v>1</v>
      </c>
      <c r="AZ82" s="537">
        <f>Time!AZ$91</f>
        <v>1</v>
      </c>
      <c r="BA82" s="537">
        <f>Time!BA$91</f>
        <v>1</v>
      </c>
      <c r="BB82" s="537">
        <f>Time!BB$91</f>
        <v>1</v>
      </c>
      <c r="BC82" s="537">
        <f>Time!BC$91</f>
        <v>1</v>
      </c>
      <c r="BD82" s="537">
        <f>Time!BD$91</f>
        <v>1</v>
      </c>
      <c r="BE82" s="537">
        <f>Time!BE$91</f>
        <v>1</v>
      </c>
      <c r="BF82" s="537">
        <f>Time!BF$91</f>
        <v>1</v>
      </c>
      <c r="BG82" s="537">
        <f>Time!BG$91</f>
        <v>1</v>
      </c>
      <c r="BH82" s="537">
        <f>Time!BH$91</f>
        <v>1</v>
      </c>
      <c r="BI82" s="537">
        <f>Time!BI$91</f>
        <v>1</v>
      </c>
      <c r="BJ82" s="537">
        <f>Time!BJ$91</f>
        <v>1</v>
      </c>
      <c r="BK82" s="537">
        <f>Time!BK$91</f>
        <v>1</v>
      </c>
      <c r="BL82" s="537">
        <f>Time!BL$91</f>
        <v>1</v>
      </c>
      <c r="BM82" s="537">
        <f>Time!BM$91</f>
        <v>1</v>
      </c>
      <c r="BN82" s="537">
        <f>Time!BN$91</f>
        <v>1</v>
      </c>
      <c r="BO82" s="537">
        <f>Time!BO$91</f>
        <v>1</v>
      </c>
      <c r="BP82" s="537">
        <f>Time!BP$91</f>
        <v>1</v>
      </c>
      <c r="BQ82" s="537">
        <f>Time!BQ$91</f>
        <v>1</v>
      </c>
      <c r="BR82" s="537">
        <f>Time!BR$91</f>
        <v>1</v>
      </c>
      <c r="BS82" s="537">
        <f>Time!BS$91</f>
        <v>1</v>
      </c>
      <c r="BT82" s="537">
        <f>Time!BT$91</f>
        <v>1</v>
      </c>
      <c r="BU82" s="537">
        <f>Time!BU$91</f>
        <v>1</v>
      </c>
      <c r="BV82" s="537">
        <f>Time!BV$91</f>
        <v>1</v>
      </c>
      <c r="BW82" s="537">
        <f>Time!BW$91</f>
        <v>1</v>
      </c>
      <c r="BX82" s="537">
        <f>Time!BX$91</f>
        <v>1</v>
      </c>
      <c r="BY82" s="537">
        <f>Time!BY$91</f>
        <v>1</v>
      </c>
      <c r="BZ82" s="537">
        <f>Time!BZ$91</f>
        <v>1</v>
      </c>
      <c r="CA82" s="537">
        <f>Time!CA$91</f>
        <v>1</v>
      </c>
      <c r="CB82" s="537">
        <f>Time!CB$91</f>
        <v>1</v>
      </c>
      <c r="CC82" s="537">
        <f>Time!CC$91</f>
        <v>1</v>
      </c>
      <c r="CD82" s="537">
        <f>Time!CD$91</f>
        <v>1</v>
      </c>
      <c r="CE82" s="537">
        <f>Time!CE$91</f>
        <v>1</v>
      </c>
      <c r="CF82" s="537">
        <f>Time!CF$91</f>
        <v>1</v>
      </c>
      <c r="CG82" s="537">
        <f>Time!CG$91</f>
        <v>1</v>
      </c>
      <c r="CH82" s="537">
        <f>Time!CH$91</f>
        <v>1</v>
      </c>
      <c r="CI82" s="537">
        <f>Time!CI$91</f>
        <v>1</v>
      </c>
      <c r="CJ82" s="537">
        <f>Time!CJ$91</f>
        <v>1</v>
      </c>
      <c r="CK82" s="537">
        <f>Time!CK$91</f>
        <v>1</v>
      </c>
      <c r="CL82" s="537">
        <f>Time!CL$91</f>
        <v>1</v>
      </c>
      <c r="CM82" s="537">
        <f>Time!CM$91</f>
        <v>1</v>
      </c>
      <c r="CN82" s="537">
        <f>Time!CN$91</f>
        <v>1</v>
      </c>
      <c r="CO82" s="537">
        <f>Time!CO$91</f>
        <v>1</v>
      </c>
      <c r="CP82" s="537">
        <f>Time!CP$91</f>
        <v>1</v>
      </c>
      <c r="CQ82" s="537">
        <f>Time!CQ$91</f>
        <v>1</v>
      </c>
      <c r="CR82" s="537">
        <f>Time!CR$91</f>
        <v>1</v>
      </c>
      <c r="CS82" s="537">
        <f>Time!CS$91</f>
        <v>1</v>
      </c>
      <c r="CT82" s="537">
        <f>Time!CT$91</f>
        <v>1</v>
      </c>
      <c r="CU82" s="537">
        <f>Time!CU$91</f>
        <v>1</v>
      </c>
      <c r="CV82" s="537">
        <f>Time!CV$91</f>
        <v>1</v>
      </c>
      <c r="CW82" s="537">
        <f>Time!CW$91</f>
        <v>1</v>
      </c>
      <c r="CX82" s="537">
        <f>Time!CX$91</f>
        <v>1</v>
      </c>
      <c r="CY82" s="537">
        <f>Time!CY$91</f>
        <v>1</v>
      </c>
      <c r="CZ82" s="537">
        <f>Time!CZ$91</f>
        <v>1</v>
      </c>
      <c r="DA82" s="537">
        <f>Time!DA$91</f>
        <v>1</v>
      </c>
      <c r="DB82" s="537">
        <f>Time!DB$91</f>
        <v>1</v>
      </c>
      <c r="DC82" s="537">
        <f>Time!DC$91</f>
        <v>1</v>
      </c>
      <c r="DD82" s="537">
        <f>Time!DD$91</f>
        <v>1</v>
      </c>
      <c r="DE82" s="537">
        <f>Time!DE$91</f>
        <v>1</v>
      </c>
      <c r="DF82" s="537">
        <f>Time!DF$91</f>
        <v>1</v>
      </c>
      <c r="DG82" s="537">
        <f>Time!DG$91</f>
        <v>1</v>
      </c>
      <c r="DH82" s="537">
        <f>Time!DH$91</f>
        <v>1</v>
      </c>
      <c r="DI82" s="537">
        <f>Time!DI$91</f>
        <v>1</v>
      </c>
      <c r="DJ82" s="537">
        <f>Time!DJ$91</f>
        <v>1</v>
      </c>
      <c r="DK82" s="537">
        <f>Time!DK$91</f>
        <v>1</v>
      </c>
      <c r="DL82" s="537">
        <f>Time!DL$91</f>
        <v>1</v>
      </c>
      <c r="DM82" s="537">
        <f>Time!DM$91</f>
        <v>1</v>
      </c>
      <c r="DN82" s="537">
        <f>Time!DN$91</f>
        <v>1</v>
      </c>
      <c r="DO82" s="537">
        <f>Time!DO$91</f>
        <v>1</v>
      </c>
      <c r="DP82" s="537">
        <f>Time!DP$91</f>
        <v>1</v>
      </c>
      <c r="DQ82" s="537">
        <f>Time!DQ$91</f>
        <v>1</v>
      </c>
      <c r="DR82" s="537">
        <f>Time!DR$91</f>
        <v>1</v>
      </c>
      <c r="DS82" s="537">
        <f>Time!DS$91</f>
        <v>1</v>
      </c>
      <c r="DT82" s="537">
        <f>Time!DT$91</f>
        <v>1</v>
      </c>
      <c r="DU82" s="537">
        <f>Time!DU$91</f>
        <v>1</v>
      </c>
      <c r="DV82" s="537">
        <f>Time!DV$91</f>
        <v>1</v>
      </c>
      <c r="DW82" s="537">
        <f>Time!DW$91</f>
        <v>1</v>
      </c>
      <c r="DX82" s="537">
        <f>Time!DX$91</f>
        <v>1</v>
      </c>
      <c r="DY82" s="537">
        <f>Time!DY$91</f>
        <v>1</v>
      </c>
      <c r="DZ82" s="537">
        <f>Time!DZ$91</f>
        <v>1</v>
      </c>
      <c r="EA82" s="537">
        <f>Time!EA$91</f>
        <v>1</v>
      </c>
      <c r="EB82" s="537">
        <f>Time!EB$91</f>
        <v>1</v>
      </c>
      <c r="EC82" s="537">
        <f>Time!EC$91</f>
        <v>1</v>
      </c>
      <c r="ED82" s="537">
        <f>Time!ED$91</f>
        <v>0</v>
      </c>
      <c r="EE82" s="537">
        <f>Time!EE$91</f>
        <v>0</v>
      </c>
      <c r="EF82" s="537">
        <f>Time!EF$91</f>
        <v>0</v>
      </c>
      <c r="EG82" s="537">
        <f>Time!EG$91</f>
        <v>0</v>
      </c>
    </row>
    <row r="83" spans="5:137" ht="12.75">
      <c r="E83" s="535" t="str">
        <f>Time!E$178</f>
        <v>Year fraction of period</v>
      </c>
      <c r="G83" s="537" t="str">
        <f>Time!G$178</f>
        <v>fraction</v>
      </c>
      <c r="H83" s="537">
        <f>Time!H$178</f>
        <v>28</v>
      </c>
      <c r="J83" s="537">
        <f>Time!J$178</f>
        <v>0.083333333333333329</v>
      </c>
      <c r="K83" s="537">
        <f>Time!K$178</f>
        <v>0.083333333333333329</v>
      </c>
      <c r="L83" s="537">
        <f>Time!L$178</f>
        <v>0.083333333333333329</v>
      </c>
      <c r="M83" s="537">
        <f>Time!M$178</f>
        <v>0.083333333333333329</v>
      </c>
      <c r="N83" s="537">
        <f>Time!N$178</f>
        <v>0.083333333333333329</v>
      </c>
      <c r="O83" s="537">
        <f>Time!O$178</f>
        <v>0.083333333333333329</v>
      </c>
      <c r="P83" s="537">
        <f>Time!P$178</f>
        <v>0.083333333333333329</v>
      </c>
      <c r="Q83" s="537">
        <f>Time!Q$178</f>
        <v>0.083333333333333329</v>
      </c>
      <c r="R83" s="537">
        <f>Time!R$178</f>
        <v>0.083333333333333329</v>
      </c>
      <c r="S83" s="537">
        <f>Time!S$178</f>
        <v>0.083333333333333329</v>
      </c>
      <c r="T83" s="537">
        <f>Time!T$178</f>
        <v>0.083333333333333329</v>
      </c>
      <c r="U83" s="537">
        <f>Time!U$178</f>
        <v>0.083333333333333329</v>
      </c>
      <c r="V83" s="537">
        <f>Time!V$178</f>
        <v>0.083333333333333329</v>
      </c>
      <c r="W83" s="537">
        <f>Time!W$178</f>
        <v>0.083333333333333329</v>
      </c>
      <c r="X83" s="537">
        <f>Time!X$178</f>
        <v>0.083333333333333329</v>
      </c>
      <c r="Y83" s="537">
        <f>Time!Y$178</f>
        <v>0.083333333333333329</v>
      </c>
      <c r="Z83" s="537">
        <f>Time!Z$178</f>
        <v>0.083333333333333329</v>
      </c>
      <c r="AA83" s="537">
        <f>Time!AA$178</f>
        <v>0.083333333333333329</v>
      </c>
      <c r="AB83" s="537">
        <f>Time!AB$178</f>
        <v>0.083333333333333329</v>
      </c>
      <c r="AC83" s="537">
        <f>Time!AC$178</f>
        <v>0.083333333333333329</v>
      </c>
      <c r="AD83" s="537">
        <f>Time!AD$178</f>
        <v>0.083333333333333329</v>
      </c>
      <c r="AE83" s="537">
        <f>Time!AE$178</f>
        <v>0.083333333333333329</v>
      </c>
      <c r="AF83" s="537">
        <f>Time!AF$178</f>
        <v>0.083333333333333329</v>
      </c>
      <c r="AG83" s="537">
        <f>Time!AG$178</f>
        <v>0.083333333333333329</v>
      </c>
      <c r="AH83" s="537">
        <f>Time!AH$178</f>
        <v>0.25</v>
      </c>
      <c r="AI83" s="537">
        <f>Time!AI$178</f>
        <v>0.25</v>
      </c>
      <c r="AJ83" s="537">
        <f>Time!AJ$178</f>
        <v>0.25</v>
      </c>
      <c r="AK83" s="537">
        <f>Time!AK$178</f>
        <v>0.25</v>
      </c>
      <c r="AL83" s="537">
        <f>Time!AL$178</f>
        <v>0.25</v>
      </c>
      <c r="AM83" s="537">
        <f>Time!AM$178</f>
        <v>0.25</v>
      </c>
      <c r="AN83" s="537">
        <f>Time!AN$178</f>
        <v>0.25</v>
      </c>
      <c r="AO83" s="537">
        <f>Time!AO$178</f>
        <v>0.25</v>
      </c>
      <c r="AP83" s="537">
        <f>Time!AP$178</f>
        <v>0.25</v>
      </c>
      <c r="AQ83" s="537">
        <f>Time!AQ$178</f>
        <v>0.25</v>
      </c>
      <c r="AR83" s="537">
        <f>Time!AR$178</f>
        <v>0.25</v>
      </c>
      <c r="AS83" s="537">
        <f>Time!AS$178</f>
        <v>0.25</v>
      </c>
      <c r="AT83" s="537">
        <f>Time!AT$178</f>
        <v>0.25</v>
      </c>
      <c r="AU83" s="537">
        <f>Time!AU$178</f>
        <v>0.25</v>
      </c>
      <c r="AV83" s="537">
        <f>Time!AV$178</f>
        <v>0.25</v>
      </c>
      <c r="AW83" s="537">
        <f>Time!AW$178</f>
        <v>0.25</v>
      </c>
      <c r="AX83" s="537">
        <f>Time!AX$178</f>
        <v>0.25</v>
      </c>
      <c r="AY83" s="537">
        <f>Time!AY$178</f>
        <v>0.25</v>
      </c>
      <c r="AZ83" s="537">
        <f>Time!AZ$178</f>
        <v>0.25</v>
      </c>
      <c r="BA83" s="537">
        <f>Time!BA$178</f>
        <v>0.25</v>
      </c>
      <c r="BB83" s="537">
        <f>Time!BB$178</f>
        <v>0.25</v>
      </c>
      <c r="BC83" s="537">
        <f>Time!BC$178</f>
        <v>0.25</v>
      </c>
      <c r="BD83" s="537">
        <f>Time!BD$178</f>
        <v>0.25</v>
      </c>
      <c r="BE83" s="537">
        <f>Time!BE$178</f>
        <v>0.25</v>
      </c>
      <c r="BF83" s="537">
        <f>Time!BF$178</f>
        <v>0.25</v>
      </c>
      <c r="BG83" s="537">
        <f>Time!BG$178</f>
        <v>0.25</v>
      </c>
      <c r="BH83" s="537">
        <f>Time!BH$178</f>
        <v>0.25</v>
      </c>
      <c r="BI83" s="537">
        <f>Time!BI$178</f>
        <v>0.25</v>
      </c>
      <c r="BJ83" s="537">
        <f>Time!BJ$178</f>
        <v>0.25</v>
      </c>
      <c r="BK83" s="537">
        <f>Time!BK$178</f>
        <v>0.25</v>
      </c>
      <c r="BL83" s="537">
        <f>Time!BL$178</f>
        <v>0.25</v>
      </c>
      <c r="BM83" s="537">
        <f>Time!BM$178</f>
        <v>0.25</v>
      </c>
      <c r="BN83" s="537">
        <f>Time!BN$178</f>
        <v>0.25</v>
      </c>
      <c r="BO83" s="537">
        <f>Time!BO$178</f>
        <v>0.25</v>
      </c>
      <c r="BP83" s="537">
        <f>Time!BP$178</f>
        <v>0.25</v>
      </c>
      <c r="BQ83" s="537">
        <f>Time!BQ$178</f>
        <v>0.25</v>
      </c>
      <c r="BR83" s="537">
        <f>Time!BR$178</f>
        <v>0.25</v>
      </c>
      <c r="BS83" s="537">
        <f>Time!BS$178</f>
        <v>0.25</v>
      </c>
      <c r="BT83" s="537">
        <f>Time!BT$178</f>
        <v>0.25</v>
      </c>
      <c r="BU83" s="537">
        <f>Time!BU$178</f>
        <v>0.25</v>
      </c>
      <c r="BV83" s="537">
        <f>Time!BV$178</f>
        <v>0.25</v>
      </c>
      <c r="BW83" s="537">
        <f>Time!BW$178</f>
        <v>0.25</v>
      </c>
      <c r="BX83" s="537">
        <f>Time!BX$178</f>
        <v>0.25</v>
      </c>
      <c r="BY83" s="537">
        <f>Time!BY$178</f>
        <v>0.25</v>
      </c>
      <c r="BZ83" s="537">
        <f>Time!BZ$178</f>
        <v>0.25</v>
      </c>
      <c r="CA83" s="537">
        <f>Time!CA$178</f>
        <v>0.25</v>
      </c>
      <c r="CB83" s="537">
        <f>Time!CB$178</f>
        <v>0.25</v>
      </c>
      <c r="CC83" s="537">
        <f>Time!CC$178</f>
        <v>0.25</v>
      </c>
      <c r="CD83" s="537">
        <f>Time!CD$178</f>
        <v>0.25</v>
      </c>
      <c r="CE83" s="537">
        <f>Time!CE$178</f>
        <v>0.25</v>
      </c>
      <c r="CF83" s="537">
        <f>Time!CF$178</f>
        <v>0.25</v>
      </c>
      <c r="CG83" s="537">
        <f>Time!CG$178</f>
        <v>0.25</v>
      </c>
      <c r="CH83" s="537">
        <f>Time!CH$178</f>
        <v>0.25</v>
      </c>
      <c r="CI83" s="537">
        <f>Time!CI$178</f>
        <v>0.25</v>
      </c>
      <c r="CJ83" s="537">
        <f>Time!CJ$178</f>
        <v>0.25</v>
      </c>
      <c r="CK83" s="537">
        <f>Time!CK$178</f>
        <v>0.25</v>
      </c>
      <c r="CL83" s="537">
        <f>Time!CL$178</f>
        <v>0.25</v>
      </c>
      <c r="CM83" s="537">
        <f>Time!CM$178</f>
        <v>0.25</v>
      </c>
      <c r="CN83" s="537">
        <f>Time!CN$178</f>
        <v>0.25</v>
      </c>
      <c r="CO83" s="537">
        <f>Time!CO$178</f>
        <v>0.25</v>
      </c>
      <c r="CP83" s="537">
        <f>Time!CP$178</f>
        <v>0.25</v>
      </c>
      <c r="CQ83" s="537">
        <f>Time!CQ$178</f>
        <v>0.25</v>
      </c>
      <c r="CR83" s="537">
        <f>Time!CR$178</f>
        <v>0.25</v>
      </c>
      <c r="CS83" s="537">
        <f>Time!CS$178</f>
        <v>0.25</v>
      </c>
      <c r="CT83" s="537">
        <f>Time!CT$178</f>
        <v>0.25</v>
      </c>
      <c r="CU83" s="537">
        <f>Time!CU$178</f>
        <v>0.25</v>
      </c>
      <c r="CV83" s="537">
        <f>Time!CV$178</f>
        <v>0.25</v>
      </c>
      <c r="CW83" s="537">
        <f>Time!CW$178</f>
        <v>0.25</v>
      </c>
      <c r="CX83" s="537">
        <f>Time!CX$178</f>
        <v>0.25</v>
      </c>
      <c r="CY83" s="537">
        <f>Time!CY$178</f>
        <v>0.25</v>
      </c>
      <c r="CZ83" s="537">
        <f>Time!CZ$178</f>
        <v>0.25</v>
      </c>
      <c r="DA83" s="537">
        <f>Time!DA$178</f>
        <v>0.25</v>
      </c>
      <c r="DB83" s="537">
        <f>Time!DB$178</f>
        <v>0.25</v>
      </c>
      <c r="DC83" s="537">
        <f>Time!DC$178</f>
        <v>0.25</v>
      </c>
      <c r="DD83" s="537">
        <f>Time!DD$178</f>
        <v>0.25</v>
      </c>
      <c r="DE83" s="537">
        <f>Time!DE$178</f>
        <v>0.25</v>
      </c>
      <c r="DF83" s="537">
        <f>Time!DF$178</f>
        <v>0.25</v>
      </c>
      <c r="DG83" s="537">
        <f>Time!DG$178</f>
        <v>0.25</v>
      </c>
      <c r="DH83" s="537">
        <f>Time!DH$178</f>
        <v>0.25</v>
      </c>
      <c r="DI83" s="537">
        <f>Time!DI$178</f>
        <v>0.25</v>
      </c>
      <c r="DJ83" s="537">
        <f>Time!DJ$178</f>
        <v>0.25</v>
      </c>
      <c r="DK83" s="537">
        <f>Time!DK$178</f>
        <v>0.25</v>
      </c>
      <c r="DL83" s="537">
        <f>Time!DL$178</f>
        <v>0.25</v>
      </c>
      <c r="DM83" s="537">
        <f>Time!DM$178</f>
        <v>0.25</v>
      </c>
      <c r="DN83" s="537">
        <f>Time!DN$178</f>
        <v>0.25</v>
      </c>
      <c r="DO83" s="537">
        <f>Time!DO$178</f>
        <v>0.25</v>
      </c>
      <c r="DP83" s="537">
        <f>Time!DP$178</f>
        <v>0.25</v>
      </c>
      <c r="DQ83" s="537">
        <f>Time!DQ$178</f>
        <v>0.25</v>
      </c>
      <c r="DR83" s="537">
        <f>Time!DR$178</f>
        <v>0.25</v>
      </c>
      <c r="DS83" s="537">
        <f>Time!DS$178</f>
        <v>0.25</v>
      </c>
      <c r="DT83" s="537">
        <f>Time!DT$178</f>
        <v>0.25</v>
      </c>
      <c r="DU83" s="537">
        <f>Time!DU$178</f>
        <v>0.25</v>
      </c>
      <c r="DV83" s="537">
        <f>Time!DV$178</f>
        <v>0.25</v>
      </c>
      <c r="DW83" s="537">
        <f>Time!DW$178</f>
        <v>0.25</v>
      </c>
      <c r="DX83" s="537">
        <f>Time!DX$178</f>
        <v>0.25</v>
      </c>
      <c r="DY83" s="537">
        <f>Time!DY$178</f>
        <v>0.25</v>
      </c>
      <c r="DZ83" s="537">
        <f>Time!DZ$178</f>
        <v>0.25</v>
      </c>
      <c r="EA83" s="537">
        <f>Time!EA$178</f>
        <v>0.25</v>
      </c>
      <c r="EB83" s="537">
        <f>Time!EB$178</f>
        <v>0.25</v>
      </c>
      <c r="EC83" s="537">
        <f>Time!EC$178</f>
        <v>0.25</v>
      </c>
      <c r="ED83" s="537">
        <f>Time!ED$178</f>
        <v>0.25</v>
      </c>
      <c r="EE83" s="537">
        <f>Time!EE$178</f>
        <v>0.25</v>
      </c>
      <c r="EF83" s="537">
        <f>Time!EF$178</f>
        <v>0.25</v>
      </c>
      <c r="EG83" s="537">
        <f>Time!EG$178</f>
        <v>0.25</v>
      </c>
    </row>
    <row r="84" spans="5:137" ht="12.75">
      <c r="E84" s="538" t="str">
        <f>E$33</f>
        <v>Fixed opex index - blended factor</v>
      </c>
      <c r="G84" s="548" t="str">
        <f>G$33</f>
        <v>index</v>
      </c>
      <c r="H84" s="548">
        <f>H$33</f>
        <v>181.80144654972725</v>
      </c>
      <c r="J84" s="548">
        <f t="shared" si="22" ref="J84:EG84">J$33</f>
        <v>1</v>
      </c>
      <c r="K84" s="548">
        <f t="shared" si="22"/>
        <v>1</v>
      </c>
      <c r="L84" s="548">
        <f t="shared" si="22"/>
        <v>1</v>
      </c>
      <c r="M84" s="548">
        <f t="shared" si="22"/>
        <v>1</v>
      </c>
      <c r="N84" s="548">
        <f t="shared" si="22"/>
        <v>1</v>
      </c>
      <c r="O84" s="548">
        <f t="shared" si="22"/>
        <v>1</v>
      </c>
      <c r="P84" s="548">
        <f t="shared" si="22"/>
        <v>1</v>
      </c>
      <c r="Q84" s="548">
        <f t="shared" si="22"/>
        <v>1</v>
      </c>
      <c r="R84" s="548">
        <f t="shared" si="22"/>
        <v>1</v>
      </c>
      <c r="S84" s="548">
        <f t="shared" si="22"/>
        <v>1</v>
      </c>
      <c r="T84" s="548">
        <f t="shared" si="22"/>
        <v>1</v>
      </c>
      <c r="U84" s="548">
        <f t="shared" si="22"/>
        <v>1</v>
      </c>
      <c r="V84" s="548">
        <f t="shared" si="22"/>
        <v>1.0274999999999999</v>
      </c>
      <c r="W84" s="548">
        <f t="shared" si="22"/>
        <v>1.0274999999999999</v>
      </c>
      <c r="X84" s="548">
        <f t="shared" si="22"/>
        <v>1.0274999999999999</v>
      </c>
      <c r="Y84" s="548">
        <f t="shared" si="22"/>
        <v>1.0274999999999999</v>
      </c>
      <c r="Z84" s="548">
        <f t="shared" si="22"/>
        <v>1.0274999999999999</v>
      </c>
      <c r="AA84" s="548">
        <f t="shared" si="22"/>
        <v>1.0274999999999999</v>
      </c>
      <c r="AB84" s="548">
        <f t="shared" si="22"/>
        <v>1.0274999999999999</v>
      </c>
      <c r="AC84" s="548">
        <f t="shared" si="22"/>
        <v>1.0274999999999999</v>
      </c>
      <c r="AD84" s="548">
        <f t="shared" si="22"/>
        <v>1.0274999999999999</v>
      </c>
      <c r="AE84" s="548">
        <f t="shared" si="22"/>
        <v>1.0274999999999999</v>
      </c>
      <c r="AF84" s="548">
        <f t="shared" si="22"/>
        <v>1.0274999999999999</v>
      </c>
      <c r="AG84" s="548">
        <f t="shared" si="22"/>
        <v>1.0274999999999999</v>
      </c>
      <c r="AH84" s="548">
        <f t="shared" si="22"/>
        <v>1.0557624999999999</v>
      </c>
      <c r="AI84" s="548">
        <f t="shared" si="22"/>
        <v>1.0557624999999999</v>
      </c>
      <c r="AJ84" s="548">
        <f t="shared" si="22"/>
        <v>1.0557624999999999</v>
      </c>
      <c r="AK84" s="548">
        <f t="shared" si="22"/>
        <v>1.0557624999999999</v>
      </c>
      <c r="AL84" s="548">
        <f t="shared" si="22"/>
        <v>1.0848088124999999</v>
      </c>
      <c r="AM84" s="548">
        <f t="shared" si="22"/>
        <v>1.0848088124999999</v>
      </c>
      <c r="AN84" s="548">
        <f t="shared" si="22"/>
        <v>1.0848088124999999</v>
      </c>
      <c r="AO84" s="548">
        <f t="shared" si="22"/>
        <v>1.0848088124999999</v>
      </c>
      <c r="AP84" s="548">
        <f t="shared" si="22"/>
        <v>1.1146608503125</v>
      </c>
      <c r="AQ84" s="548">
        <f t="shared" si="22"/>
        <v>1.1146608503125</v>
      </c>
      <c r="AR84" s="548">
        <f t="shared" si="22"/>
        <v>1.1146608503125</v>
      </c>
      <c r="AS84" s="548">
        <f t="shared" si="22"/>
        <v>1.1146608503125</v>
      </c>
      <c r="AT84" s="548">
        <f t="shared" si="22"/>
        <v>1.1453411435953122</v>
      </c>
      <c r="AU84" s="548">
        <f t="shared" si="22"/>
        <v>1.1453411435953122</v>
      </c>
      <c r="AV84" s="548">
        <f t="shared" si="22"/>
        <v>1.1453411435953122</v>
      </c>
      <c r="AW84" s="548">
        <f t="shared" si="22"/>
        <v>1.1453411435953122</v>
      </c>
      <c r="AX84" s="548">
        <f t="shared" si="22"/>
        <v>1.1768728573709453</v>
      </c>
      <c r="AY84" s="548">
        <f t="shared" si="22"/>
        <v>1.1768728573709453</v>
      </c>
      <c r="AZ84" s="548">
        <f t="shared" si="22"/>
        <v>1.1768728573709453</v>
      </c>
      <c r="BA84" s="548">
        <f t="shared" si="22"/>
        <v>1.1768728573709453</v>
      </c>
      <c r="BB84" s="548">
        <f t="shared" si="22"/>
        <v>1.2092798095465414</v>
      </c>
      <c r="BC84" s="548">
        <f t="shared" si="22"/>
        <v>1.2092798095465414</v>
      </c>
      <c r="BD84" s="548">
        <f t="shared" si="22"/>
        <v>1.2092798095465414</v>
      </c>
      <c r="BE84" s="548">
        <f t="shared" si="22"/>
        <v>1.2092798095465414</v>
      </c>
      <c r="BF84" s="548">
        <f t="shared" si="22"/>
        <v>1.242586489448767</v>
      </c>
      <c r="BG84" s="548">
        <f t="shared" si="22"/>
        <v>1.242586489448767</v>
      </c>
      <c r="BH84" s="548">
        <f t="shared" si="22"/>
        <v>1.242586489448767</v>
      </c>
      <c r="BI84" s="548">
        <f t="shared" si="22"/>
        <v>1.242586489448767</v>
      </c>
      <c r="BJ84" s="548">
        <f t="shared" si="22"/>
        <v>1.2768180768884552</v>
      </c>
      <c r="BK84" s="548">
        <f t="shared" si="22"/>
        <v>1.2768180768884552</v>
      </c>
      <c r="BL84" s="548">
        <f t="shared" si="22"/>
        <v>1.2768180768884552</v>
      </c>
      <c r="BM84" s="548">
        <f t="shared" si="22"/>
        <v>1.2768180768884552</v>
      </c>
      <c r="BN84" s="548">
        <f t="shared" si="22"/>
        <v>1.3120004617702394</v>
      </c>
      <c r="BO84" s="548">
        <f t="shared" si="22"/>
        <v>1.3120004617702394</v>
      </c>
      <c r="BP84" s="548">
        <f t="shared" si="22"/>
        <v>1.3120004617702394</v>
      </c>
      <c r="BQ84" s="548">
        <f t="shared" si="22"/>
        <v>1.3120004617702394</v>
      </c>
      <c r="BR84" s="548">
        <f t="shared" si="22"/>
        <v>1.3481602642628556</v>
      </c>
      <c r="BS84" s="548">
        <f t="shared" si="22"/>
        <v>1.3481602642628556</v>
      </c>
      <c r="BT84" s="548">
        <f t="shared" si="22"/>
        <v>1.3481602642628556</v>
      </c>
      <c r="BU84" s="548">
        <f t="shared" si="22"/>
        <v>1.3481602642628556</v>
      </c>
      <c r="BV84" s="548">
        <f t="shared" si="22"/>
        <v>1.3853248555462381</v>
      </c>
      <c r="BW84" s="548">
        <f t="shared" si="22"/>
        <v>1.3853248555462381</v>
      </c>
      <c r="BX84" s="548">
        <f t="shared" si="22"/>
        <v>1.3853248555462381</v>
      </c>
      <c r="BY84" s="548">
        <f t="shared" si="22"/>
        <v>1.3853248555462381</v>
      </c>
      <c r="BZ84" s="548">
        <f t="shared" si="22"/>
        <v>1.4235223791520095</v>
      </c>
      <c r="CA84" s="548">
        <f t="shared" si="22"/>
        <v>1.4235223791520095</v>
      </c>
      <c r="CB84" s="548">
        <f t="shared" si="22"/>
        <v>1.4235223791520095</v>
      </c>
      <c r="CC84" s="548">
        <f t="shared" si="22"/>
        <v>1.4235223791520095</v>
      </c>
      <c r="CD84" s="548">
        <f t="shared" si="22"/>
        <v>1.4627817729144388</v>
      </c>
      <c r="CE84" s="548">
        <f t="shared" si="22"/>
        <v>1.4627817729144388</v>
      </c>
      <c r="CF84" s="548">
        <f t="shared" si="22"/>
        <v>1.4627817729144388</v>
      </c>
      <c r="CG84" s="548">
        <f t="shared" si="22"/>
        <v>1.4627817729144388</v>
      </c>
      <c r="CH84" s="548">
        <f t="shared" si="22"/>
        <v>1.5031327915494375</v>
      </c>
      <c r="CI84" s="548">
        <f t="shared" si="22"/>
        <v>1.5031327915494375</v>
      </c>
      <c r="CJ84" s="548">
        <f t="shared" si="22"/>
        <v>1.5031327915494375</v>
      </c>
      <c r="CK84" s="548">
        <f t="shared" si="22"/>
        <v>1.5031327915494375</v>
      </c>
      <c r="CL84" s="548">
        <f t="shared" si="22"/>
        <v>1.5446060298796753</v>
      </c>
      <c r="CM84" s="548">
        <f t="shared" si="22"/>
        <v>1.5446060298796753</v>
      </c>
      <c r="CN84" s="548">
        <f t="shared" si="22"/>
        <v>1.5446060298796753</v>
      </c>
      <c r="CO84" s="548">
        <f t="shared" si="22"/>
        <v>1.5446060298796753</v>
      </c>
      <c r="CP84" s="548">
        <f t="shared" si="22"/>
        <v>1.5872329467244142</v>
      </c>
      <c r="CQ84" s="548">
        <f t="shared" si="22"/>
        <v>1.5872329467244142</v>
      </c>
      <c r="CR84" s="548">
        <f t="shared" si="22"/>
        <v>1.5872329467244142</v>
      </c>
      <c r="CS84" s="548">
        <f t="shared" si="22"/>
        <v>1.5872329467244142</v>
      </c>
      <c r="CT84" s="548">
        <f t="shared" si="22"/>
        <v>1.6310458894732038</v>
      </c>
      <c r="CU84" s="548">
        <f t="shared" si="22"/>
        <v>1.6310458894732038</v>
      </c>
      <c r="CV84" s="548">
        <f t="shared" si="22"/>
        <v>1.6310458894732038</v>
      </c>
      <c r="CW84" s="548">
        <f t="shared" si="22"/>
        <v>1.6310458894732038</v>
      </c>
      <c r="CX84" s="548">
        <f t="shared" si="22"/>
        <v>1.6760781193631336</v>
      </c>
      <c r="CY84" s="548">
        <f t="shared" si="22"/>
        <v>1.6760781193631336</v>
      </c>
      <c r="CZ84" s="548">
        <f t="shared" si="22"/>
        <v>1.6760781193631336</v>
      </c>
      <c r="DA84" s="548">
        <f t="shared" si="22"/>
        <v>1.6760781193631336</v>
      </c>
      <c r="DB84" s="548">
        <f t="shared" si="22"/>
        <v>1.7223638374799046</v>
      </c>
      <c r="DC84" s="548">
        <f t="shared" si="22"/>
        <v>1.7223638374799046</v>
      </c>
      <c r="DD84" s="548">
        <f t="shared" si="22"/>
        <v>1.7223638374799046</v>
      </c>
      <c r="DE84" s="548">
        <f t="shared" si="22"/>
        <v>1.7223638374799046</v>
      </c>
      <c r="DF84" s="548">
        <f t="shared" si="22"/>
        <v>1.7699382115035758</v>
      </c>
      <c r="DG84" s="548">
        <f t="shared" si="22"/>
        <v>1.7699382115035758</v>
      </c>
      <c r="DH84" s="548">
        <f t="shared" si="22"/>
        <v>1.7699382115035758</v>
      </c>
      <c r="DI84" s="548">
        <f t="shared" si="22"/>
        <v>1.7699382115035758</v>
      </c>
      <c r="DJ84" s="548">
        <f t="shared" si="22"/>
        <v>1.8188374032204389</v>
      </c>
      <c r="DK84" s="548">
        <f t="shared" si="22"/>
        <v>1.8188374032204389</v>
      </c>
      <c r="DL84" s="548">
        <f t="shared" si="22"/>
        <v>1.8188374032204389</v>
      </c>
      <c r="DM84" s="548">
        <f t="shared" si="22"/>
        <v>1.8188374032204389</v>
      </c>
      <c r="DN84" s="548">
        <f t="shared" si="22"/>
        <v>1.8690985968231018</v>
      </c>
      <c r="DO84" s="548">
        <f t="shared" si="22"/>
        <v>1.8690985968231018</v>
      </c>
      <c r="DP84" s="548">
        <f t="shared" si="22"/>
        <v>1.8690985968231018</v>
      </c>
      <c r="DQ84" s="548">
        <f t="shared" si="22"/>
        <v>1.8690985968231018</v>
      </c>
      <c r="DR84" s="548">
        <f t="shared" si="22"/>
        <v>1.9207600280214958</v>
      </c>
      <c r="DS84" s="548">
        <f t="shared" si="22"/>
        <v>1.9207600280214958</v>
      </c>
      <c r="DT84" s="548">
        <f t="shared" si="22"/>
        <v>1.9207600280214958</v>
      </c>
      <c r="DU84" s="548">
        <f t="shared" si="22"/>
        <v>1.9207600280214958</v>
      </c>
      <c r="DV84" s="548">
        <f t="shared" si="22"/>
        <v>1.973861013988184</v>
      </c>
      <c r="DW84" s="548">
        <f t="shared" si="22"/>
        <v>1.973861013988184</v>
      </c>
      <c r="DX84" s="548">
        <f t="shared" si="22"/>
        <v>1.973861013988184</v>
      </c>
      <c r="DY84" s="548">
        <f t="shared" si="22"/>
        <v>1.973861013988184</v>
      </c>
      <c r="DZ84" s="548">
        <f t="shared" si="22"/>
        <v>2.0284419841620243</v>
      </c>
      <c r="EA84" s="548">
        <f t="shared" si="22"/>
        <v>2.0284419841620243</v>
      </c>
      <c r="EB84" s="548">
        <f t="shared" si="22"/>
        <v>2.0284419841620243</v>
      </c>
      <c r="EC84" s="548">
        <f t="shared" si="22"/>
        <v>2.0284419841620243</v>
      </c>
      <c r="ED84" s="548">
        <f t="shared" si="22"/>
        <v>2.0845445119349346</v>
      </c>
      <c r="EE84" s="548">
        <f t="shared" si="22"/>
        <v>2.0845445119349346</v>
      </c>
      <c r="EF84" s="548">
        <f t="shared" si="22"/>
        <v>2.0845445119349346</v>
      </c>
      <c r="EG84" s="548">
        <f t="shared" si="22"/>
        <v>2.0845445119349346</v>
      </c>
    </row>
    <row r="85" spans="5:137" ht="12.75">
      <c r="E85" s="538" t="s">
        <v>265</v>
      </c>
      <c r="G85" s="539" t="s">
        <v>30</v>
      </c>
      <c r="H85" s="539">
        <f>SUM(J85:EG85)</f>
        <v>372833.17125496874</v>
      </c>
      <c r="J85" s="539">
        <f t="shared" si="23" ref="J85:EG85">$F81*J83*J84*J82</f>
        <v>0</v>
      </c>
      <c r="K85" s="539">
        <f t="shared" si="23"/>
        <v>0</v>
      </c>
      <c r="L85" s="539">
        <f t="shared" si="23"/>
        <v>0</v>
      </c>
      <c r="M85" s="539">
        <f t="shared" si="23"/>
        <v>0</v>
      </c>
      <c r="N85" s="539">
        <f t="shared" si="23"/>
        <v>0</v>
      </c>
      <c r="O85" s="539">
        <f t="shared" si="23"/>
        <v>0</v>
      </c>
      <c r="P85" s="539">
        <f t="shared" si="23"/>
        <v>0</v>
      </c>
      <c r="Q85" s="539">
        <f t="shared" si="23"/>
        <v>0</v>
      </c>
      <c r="R85" s="539">
        <f t="shared" si="23"/>
        <v>0</v>
      </c>
      <c r="S85" s="539">
        <f t="shared" si="23"/>
        <v>0</v>
      </c>
      <c r="T85" s="539">
        <f t="shared" si="23"/>
        <v>0</v>
      </c>
      <c r="U85" s="539">
        <f t="shared" si="23"/>
        <v>0</v>
      </c>
      <c r="V85" s="539">
        <f t="shared" si="23"/>
        <v>0</v>
      </c>
      <c r="W85" s="539">
        <f t="shared" si="23"/>
        <v>0</v>
      </c>
      <c r="X85" s="539">
        <f t="shared" si="23"/>
        <v>0</v>
      </c>
      <c r="Y85" s="539">
        <f t="shared" si="23"/>
        <v>0</v>
      </c>
      <c r="Z85" s="539">
        <f t="shared" si="23"/>
        <v>0</v>
      </c>
      <c r="AA85" s="539">
        <f t="shared" si="23"/>
        <v>0</v>
      </c>
      <c r="AB85" s="539">
        <f t="shared" si="23"/>
        <v>0</v>
      </c>
      <c r="AC85" s="539">
        <f t="shared" si="23"/>
        <v>0</v>
      </c>
      <c r="AD85" s="539">
        <f t="shared" si="23"/>
        <v>0</v>
      </c>
      <c r="AE85" s="539">
        <f t="shared" si="23"/>
        <v>0</v>
      </c>
      <c r="AF85" s="539">
        <f t="shared" si="23"/>
        <v>0</v>
      </c>
      <c r="AG85" s="539">
        <f t="shared" si="23"/>
        <v>0</v>
      </c>
      <c r="AH85" s="539">
        <f t="shared" si="23"/>
        <v>2639.40625</v>
      </c>
      <c r="AI85" s="539">
        <f t="shared" si="23"/>
        <v>2639.40625</v>
      </c>
      <c r="AJ85" s="539">
        <f t="shared" si="23"/>
        <v>2639.40625</v>
      </c>
      <c r="AK85" s="539">
        <f t="shared" si="23"/>
        <v>2639.40625</v>
      </c>
      <c r="AL85" s="539">
        <f t="shared" si="23"/>
        <v>2712.0220312500001</v>
      </c>
      <c r="AM85" s="539">
        <f t="shared" si="23"/>
        <v>2712.0220312500001</v>
      </c>
      <c r="AN85" s="539">
        <f t="shared" si="23"/>
        <v>2712.0220312500001</v>
      </c>
      <c r="AO85" s="539">
        <f t="shared" si="23"/>
        <v>2712.0220312500001</v>
      </c>
      <c r="AP85" s="539">
        <f t="shared" si="23"/>
        <v>2786.6521257812497</v>
      </c>
      <c r="AQ85" s="539">
        <f t="shared" si="23"/>
        <v>2786.6521257812497</v>
      </c>
      <c r="AR85" s="539">
        <f t="shared" si="23"/>
        <v>2786.6521257812497</v>
      </c>
      <c r="AS85" s="539">
        <f t="shared" si="23"/>
        <v>2786.6521257812497</v>
      </c>
      <c r="AT85" s="539">
        <f t="shared" si="23"/>
        <v>2863.3528589882808</v>
      </c>
      <c r="AU85" s="539">
        <f t="shared" si="23"/>
        <v>2863.3528589882808</v>
      </c>
      <c r="AV85" s="539">
        <f t="shared" si="23"/>
        <v>2863.3528589882808</v>
      </c>
      <c r="AW85" s="539">
        <f t="shared" si="23"/>
        <v>2863.3528589882808</v>
      </c>
      <c r="AX85" s="539">
        <f t="shared" si="23"/>
        <v>2942.1821434273634</v>
      </c>
      <c r="AY85" s="539">
        <f t="shared" si="23"/>
        <v>2942.1821434273634</v>
      </c>
      <c r="AZ85" s="539">
        <f t="shared" si="23"/>
        <v>2942.1821434273634</v>
      </c>
      <c r="BA85" s="539">
        <f t="shared" si="23"/>
        <v>2942.1821434273634</v>
      </c>
      <c r="BB85" s="539">
        <f t="shared" si="23"/>
        <v>3023.1995238663535</v>
      </c>
      <c r="BC85" s="539">
        <f t="shared" si="23"/>
        <v>3023.1995238663535</v>
      </c>
      <c r="BD85" s="539">
        <f t="shared" si="23"/>
        <v>3023.1995238663535</v>
      </c>
      <c r="BE85" s="539">
        <f t="shared" si="23"/>
        <v>3023.1995238663535</v>
      </c>
      <c r="BF85" s="539">
        <f t="shared" si="23"/>
        <v>3106.4662236219174</v>
      </c>
      <c r="BG85" s="539">
        <f t="shared" si="23"/>
        <v>3106.4662236219174</v>
      </c>
      <c r="BH85" s="539">
        <f t="shared" si="23"/>
        <v>3106.4662236219174</v>
      </c>
      <c r="BI85" s="539">
        <f t="shared" si="23"/>
        <v>3106.4662236219174</v>
      </c>
      <c r="BJ85" s="539">
        <f t="shared" si="23"/>
        <v>3192.0451922211378</v>
      </c>
      <c r="BK85" s="539">
        <f t="shared" si="23"/>
        <v>3192.0451922211378</v>
      </c>
      <c r="BL85" s="539">
        <f t="shared" si="23"/>
        <v>3192.0451922211378</v>
      </c>
      <c r="BM85" s="539">
        <f t="shared" si="23"/>
        <v>3192.0451922211378</v>
      </c>
      <c r="BN85" s="539">
        <f t="shared" si="23"/>
        <v>3280.0011544255985</v>
      </c>
      <c r="BO85" s="539">
        <f t="shared" si="23"/>
        <v>3280.0011544255985</v>
      </c>
      <c r="BP85" s="539">
        <f t="shared" si="23"/>
        <v>3280.0011544255985</v>
      </c>
      <c r="BQ85" s="539">
        <f t="shared" si="23"/>
        <v>3280.0011544255985</v>
      </c>
      <c r="BR85" s="539">
        <f t="shared" si="23"/>
        <v>3370.4006606571393</v>
      </c>
      <c r="BS85" s="539">
        <f t="shared" si="23"/>
        <v>3370.4006606571393</v>
      </c>
      <c r="BT85" s="539">
        <f t="shared" si="23"/>
        <v>3370.4006606571393</v>
      </c>
      <c r="BU85" s="539">
        <f t="shared" si="23"/>
        <v>3370.4006606571393</v>
      </c>
      <c r="BV85" s="539">
        <f t="shared" si="23"/>
        <v>3463.312138865595</v>
      </c>
      <c r="BW85" s="539">
        <f t="shared" si="23"/>
        <v>3463.312138865595</v>
      </c>
      <c r="BX85" s="539">
        <f t="shared" si="23"/>
        <v>3463.312138865595</v>
      </c>
      <c r="BY85" s="539">
        <f t="shared" si="23"/>
        <v>3463.312138865595</v>
      </c>
      <c r="BZ85" s="539">
        <f t="shared" si="23"/>
        <v>3558.8059478800237</v>
      </c>
      <c r="CA85" s="539">
        <f t="shared" si="23"/>
        <v>3558.8059478800237</v>
      </c>
      <c r="CB85" s="539">
        <f t="shared" si="23"/>
        <v>3558.8059478800237</v>
      </c>
      <c r="CC85" s="539">
        <f t="shared" si="23"/>
        <v>3558.8059478800237</v>
      </c>
      <c r="CD85" s="539">
        <f t="shared" si="23"/>
        <v>3656.954432286097</v>
      </c>
      <c r="CE85" s="539">
        <f t="shared" si="23"/>
        <v>3656.954432286097</v>
      </c>
      <c r="CF85" s="539">
        <f t="shared" si="23"/>
        <v>3656.954432286097</v>
      </c>
      <c r="CG85" s="539">
        <f t="shared" si="23"/>
        <v>3656.954432286097</v>
      </c>
      <c r="CH85" s="539">
        <f t="shared" si="23"/>
        <v>3757.8319788735935</v>
      </c>
      <c r="CI85" s="539">
        <f t="shared" si="23"/>
        <v>3757.8319788735935</v>
      </c>
      <c r="CJ85" s="539">
        <f t="shared" si="23"/>
        <v>3757.8319788735935</v>
      </c>
      <c r="CK85" s="539">
        <f t="shared" si="23"/>
        <v>3757.8319788735935</v>
      </c>
      <c r="CL85" s="539">
        <f t="shared" si="23"/>
        <v>3861.5150746991885</v>
      </c>
      <c r="CM85" s="539">
        <f t="shared" si="23"/>
        <v>3861.5150746991885</v>
      </c>
      <c r="CN85" s="539">
        <f t="shared" si="23"/>
        <v>3861.5150746991885</v>
      </c>
      <c r="CO85" s="539">
        <f t="shared" si="23"/>
        <v>3861.5150746991885</v>
      </c>
      <c r="CP85" s="539">
        <f t="shared" si="23"/>
        <v>3968.0823668110356</v>
      </c>
      <c r="CQ85" s="539">
        <f t="shared" si="23"/>
        <v>3968.0823668110356</v>
      </c>
      <c r="CR85" s="539">
        <f t="shared" si="23"/>
        <v>3968.0823668110356</v>
      </c>
      <c r="CS85" s="539">
        <f t="shared" si="23"/>
        <v>3968.0823668110356</v>
      </c>
      <c r="CT85" s="539">
        <f t="shared" si="23"/>
        <v>4077.6147236830097</v>
      </c>
      <c r="CU85" s="539">
        <f t="shared" si="23"/>
        <v>4077.6147236830097</v>
      </c>
      <c r="CV85" s="539">
        <f t="shared" si="23"/>
        <v>4077.6147236830097</v>
      </c>
      <c r="CW85" s="539">
        <f t="shared" si="23"/>
        <v>4077.6147236830097</v>
      </c>
      <c r="CX85" s="539">
        <f t="shared" si="23"/>
        <v>4190.1952984078343</v>
      </c>
      <c r="CY85" s="539">
        <f t="shared" si="23"/>
        <v>4190.1952984078343</v>
      </c>
      <c r="CZ85" s="539">
        <f t="shared" si="23"/>
        <v>4190.1952984078343</v>
      </c>
      <c r="DA85" s="539">
        <f t="shared" si="23"/>
        <v>4190.1952984078343</v>
      </c>
      <c r="DB85" s="539">
        <f t="shared" si="23"/>
        <v>4305.9095936997619</v>
      </c>
      <c r="DC85" s="539">
        <f t="shared" si="23"/>
        <v>4305.9095936997619</v>
      </c>
      <c r="DD85" s="539">
        <f t="shared" si="23"/>
        <v>4305.9095936997619</v>
      </c>
      <c r="DE85" s="539">
        <f t="shared" si="23"/>
        <v>4305.9095936997619</v>
      </c>
      <c r="DF85" s="539">
        <f t="shared" si="23"/>
        <v>4424.8455287589395</v>
      </c>
      <c r="DG85" s="539">
        <f t="shared" si="23"/>
        <v>4424.8455287589395</v>
      </c>
      <c r="DH85" s="539">
        <f t="shared" si="23"/>
        <v>4424.8455287589395</v>
      </c>
      <c r="DI85" s="539">
        <f t="shared" si="23"/>
        <v>4424.8455287589395</v>
      </c>
      <c r="DJ85" s="539">
        <f t="shared" si="23"/>
        <v>4547.0935080510972</v>
      </c>
      <c r="DK85" s="539">
        <f t="shared" si="23"/>
        <v>4547.0935080510972</v>
      </c>
      <c r="DL85" s="539">
        <f t="shared" si="23"/>
        <v>4547.0935080510972</v>
      </c>
      <c r="DM85" s="539">
        <f t="shared" si="23"/>
        <v>4547.0935080510972</v>
      </c>
      <c r="DN85" s="539">
        <f t="shared" si="23"/>
        <v>4672.746492057754</v>
      </c>
      <c r="DO85" s="539">
        <f t="shared" si="23"/>
        <v>4672.746492057754</v>
      </c>
      <c r="DP85" s="539">
        <f t="shared" si="23"/>
        <v>4672.746492057754</v>
      </c>
      <c r="DQ85" s="539">
        <f t="shared" si="23"/>
        <v>4672.746492057754</v>
      </c>
      <c r="DR85" s="539">
        <f t="shared" si="23"/>
        <v>4801.9000700537399</v>
      </c>
      <c r="DS85" s="539">
        <f t="shared" si="23"/>
        <v>4801.9000700537399</v>
      </c>
      <c r="DT85" s="539">
        <f t="shared" si="23"/>
        <v>4801.9000700537399</v>
      </c>
      <c r="DU85" s="539">
        <f t="shared" si="23"/>
        <v>4801.9000700537399</v>
      </c>
      <c r="DV85" s="539">
        <f t="shared" si="23"/>
        <v>4934.6525349704598</v>
      </c>
      <c r="DW85" s="539">
        <f t="shared" si="23"/>
        <v>4934.6525349704598</v>
      </c>
      <c r="DX85" s="539">
        <f t="shared" si="23"/>
        <v>4934.6525349704598</v>
      </c>
      <c r="DY85" s="539">
        <f t="shared" si="23"/>
        <v>4934.6525349704598</v>
      </c>
      <c r="DZ85" s="539">
        <f t="shared" si="23"/>
        <v>5071.1049604050604</v>
      </c>
      <c r="EA85" s="539">
        <f t="shared" si="23"/>
        <v>5071.1049604050604</v>
      </c>
      <c r="EB85" s="539">
        <f t="shared" si="23"/>
        <v>5071.1049604050604</v>
      </c>
      <c r="EC85" s="539">
        <f t="shared" si="23"/>
        <v>5071.1049604050604</v>
      </c>
      <c r="ED85" s="539">
        <f t="shared" si="23"/>
        <v>0</v>
      </c>
      <c r="EE85" s="539">
        <f t="shared" si="23"/>
        <v>0</v>
      </c>
      <c r="EF85" s="539">
        <f t="shared" si="23"/>
        <v>0</v>
      </c>
      <c r="EG85" s="539">
        <f t="shared" si="23"/>
        <v>0</v>
      </c>
    </row>
    <row r="87" spans="5:7" ht="12.75">
      <c r="E87" s="535" t="str">
        <f>InpC!E$44</f>
        <v>Opex - variable share of revenue</v>
      </c>
      <c r="F87" s="542">
        <f>InpC!F$44</f>
        <v>0.050000000000000003</v>
      </c>
      <c r="G87" s="542" t="str">
        <f>InpC!G$44</f>
        <v>%</v>
      </c>
    </row>
    <row r="88" spans="5:137" ht="12.75">
      <c r="E88" s="538" t="str">
        <f>E$48</f>
        <v>Revenue - total</v>
      </c>
      <c r="G88" s="539" t="str">
        <f>G$48</f>
        <v>EUR 000s</v>
      </c>
      <c r="H88" s="539">
        <f>H$48</f>
        <v>1599567.5439386531</v>
      </c>
      <c r="J88" s="539">
        <f t="shared" si="24" ref="J88:EG88">J$48</f>
        <v>0</v>
      </c>
      <c r="K88" s="539">
        <f t="shared" si="24"/>
        <v>0</v>
      </c>
      <c r="L88" s="539">
        <f t="shared" si="24"/>
        <v>0</v>
      </c>
      <c r="M88" s="539">
        <f t="shared" si="24"/>
        <v>0</v>
      </c>
      <c r="N88" s="539">
        <f t="shared" si="24"/>
        <v>0</v>
      </c>
      <c r="O88" s="539">
        <f t="shared" si="24"/>
        <v>0</v>
      </c>
      <c r="P88" s="539">
        <f t="shared" si="24"/>
        <v>0</v>
      </c>
      <c r="Q88" s="539">
        <f t="shared" si="24"/>
        <v>0</v>
      </c>
      <c r="R88" s="539">
        <f t="shared" si="24"/>
        <v>0</v>
      </c>
      <c r="S88" s="539">
        <f t="shared" si="24"/>
        <v>0</v>
      </c>
      <c r="T88" s="539">
        <f t="shared" si="24"/>
        <v>0</v>
      </c>
      <c r="U88" s="539">
        <f t="shared" si="24"/>
        <v>0</v>
      </c>
      <c r="V88" s="539">
        <f t="shared" si="24"/>
        <v>0</v>
      </c>
      <c r="W88" s="539">
        <f t="shared" si="24"/>
        <v>0</v>
      </c>
      <c r="X88" s="539">
        <f t="shared" si="24"/>
        <v>0</v>
      </c>
      <c r="Y88" s="539">
        <f t="shared" si="24"/>
        <v>0</v>
      </c>
      <c r="Z88" s="539">
        <f t="shared" si="24"/>
        <v>0</v>
      </c>
      <c r="AA88" s="539">
        <f t="shared" si="24"/>
        <v>0</v>
      </c>
      <c r="AB88" s="539">
        <f t="shared" si="24"/>
        <v>0</v>
      </c>
      <c r="AC88" s="539">
        <f t="shared" si="24"/>
        <v>0</v>
      </c>
      <c r="AD88" s="539">
        <f t="shared" si="24"/>
        <v>0</v>
      </c>
      <c r="AE88" s="539">
        <f t="shared" si="24"/>
        <v>0</v>
      </c>
      <c r="AF88" s="539">
        <f t="shared" si="24"/>
        <v>0</v>
      </c>
      <c r="AG88" s="539">
        <f t="shared" si="24"/>
        <v>0</v>
      </c>
      <c r="AH88" s="539">
        <f t="shared" si="24"/>
        <v>12484.799999999999</v>
      </c>
      <c r="AI88" s="539">
        <f t="shared" si="24"/>
        <v>12484.799999999999</v>
      </c>
      <c r="AJ88" s="539">
        <f t="shared" si="24"/>
        <v>12484.799999999999</v>
      </c>
      <c r="AK88" s="539">
        <f t="shared" si="24"/>
        <v>12484.799999999999</v>
      </c>
      <c r="AL88" s="539">
        <f t="shared" si="24"/>
        <v>12734.495999999999</v>
      </c>
      <c r="AM88" s="539">
        <f t="shared" si="24"/>
        <v>12734.495999999999</v>
      </c>
      <c r="AN88" s="539">
        <f t="shared" si="24"/>
        <v>12734.495999999999</v>
      </c>
      <c r="AO88" s="539">
        <f t="shared" si="24"/>
        <v>12734.495999999999</v>
      </c>
      <c r="AP88" s="539">
        <f t="shared" si="24"/>
        <v>12989.18592</v>
      </c>
      <c r="AQ88" s="539">
        <f t="shared" si="24"/>
        <v>12989.18592</v>
      </c>
      <c r="AR88" s="539">
        <f t="shared" si="24"/>
        <v>12989.18592</v>
      </c>
      <c r="AS88" s="539">
        <f t="shared" si="24"/>
        <v>12989.18592</v>
      </c>
      <c r="AT88" s="539">
        <f t="shared" si="24"/>
        <v>13248.9696384</v>
      </c>
      <c r="AU88" s="539">
        <f t="shared" si="24"/>
        <v>13248.9696384</v>
      </c>
      <c r="AV88" s="539">
        <f t="shared" si="24"/>
        <v>13248.9696384</v>
      </c>
      <c r="AW88" s="539">
        <f t="shared" si="24"/>
        <v>13248.9696384</v>
      </c>
      <c r="AX88" s="539">
        <f t="shared" si="24"/>
        <v>13513.949031168</v>
      </c>
      <c r="AY88" s="539">
        <f t="shared" si="24"/>
        <v>13513.949031168</v>
      </c>
      <c r="AZ88" s="539">
        <f t="shared" si="24"/>
        <v>13513.949031168</v>
      </c>
      <c r="BA88" s="539">
        <f t="shared" si="24"/>
        <v>13513.949031168</v>
      </c>
      <c r="BB88" s="539">
        <f t="shared" si="24"/>
        <v>13784.228011791361</v>
      </c>
      <c r="BC88" s="539">
        <f t="shared" si="24"/>
        <v>13784.228011791361</v>
      </c>
      <c r="BD88" s="539">
        <f t="shared" si="24"/>
        <v>13784.228011791361</v>
      </c>
      <c r="BE88" s="539">
        <f t="shared" si="24"/>
        <v>13784.228011791361</v>
      </c>
      <c r="BF88" s="539">
        <f t="shared" si="24"/>
        <v>14059.91257202719</v>
      </c>
      <c r="BG88" s="539">
        <f t="shared" si="24"/>
        <v>14059.91257202719</v>
      </c>
      <c r="BH88" s="539">
        <f t="shared" si="24"/>
        <v>14059.91257202719</v>
      </c>
      <c r="BI88" s="539">
        <f t="shared" si="24"/>
        <v>14059.91257202719</v>
      </c>
      <c r="BJ88" s="539">
        <f t="shared" si="24"/>
        <v>14341.110823467732</v>
      </c>
      <c r="BK88" s="539">
        <f t="shared" si="24"/>
        <v>14341.110823467732</v>
      </c>
      <c r="BL88" s="539">
        <f t="shared" si="24"/>
        <v>14341.110823467732</v>
      </c>
      <c r="BM88" s="539">
        <f t="shared" si="24"/>
        <v>14341.110823467732</v>
      </c>
      <c r="BN88" s="539">
        <f t="shared" si="24"/>
        <v>14627.933039937088</v>
      </c>
      <c r="BO88" s="539">
        <f t="shared" si="24"/>
        <v>14627.933039937088</v>
      </c>
      <c r="BP88" s="539">
        <f t="shared" si="24"/>
        <v>14627.933039937088</v>
      </c>
      <c r="BQ88" s="539">
        <f t="shared" si="24"/>
        <v>14627.933039937088</v>
      </c>
      <c r="BR88" s="539">
        <f t="shared" si="24"/>
        <v>14920.491700735829</v>
      </c>
      <c r="BS88" s="539">
        <f t="shared" si="24"/>
        <v>14920.491700735829</v>
      </c>
      <c r="BT88" s="539">
        <f t="shared" si="24"/>
        <v>14920.491700735829</v>
      </c>
      <c r="BU88" s="539">
        <f t="shared" si="24"/>
        <v>14920.491700735829</v>
      </c>
      <c r="BV88" s="539">
        <f t="shared" si="24"/>
        <v>15218.901534750546</v>
      </c>
      <c r="BW88" s="539">
        <f t="shared" si="24"/>
        <v>15218.901534750546</v>
      </c>
      <c r="BX88" s="539">
        <f t="shared" si="24"/>
        <v>15218.901534750546</v>
      </c>
      <c r="BY88" s="539">
        <f t="shared" si="24"/>
        <v>15218.901534750546</v>
      </c>
      <c r="BZ88" s="539">
        <f t="shared" si="24"/>
        <v>15523.279565445555</v>
      </c>
      <c r="CA88" s="539">
        <f t="shared" si="24"/>
        <v>15523.279565445555</v>
      </c>
      <c r="CB88" s="539">
        <f t="shared" si="24"/>
        <v>15523.279565445555</v>
      </c>
      <c r="CC88" s="539">
        <f t="shared" si="24"/>
        <v>15523.279565445555</v>
      </c>
      <c r="CD88" s="539">
        <f t="shared" si="24"/>
        <v>15833.745156754469</v>
      </c>
      <c r="CE88" s="539">
        <f t="shared" si="24"/>
        <v>15833.745156754469</v>
      </c>
      <c r="CF88" s="539">
        <f t="shared" si="24"/>
        <v>15833.745156754469</v>
      </c>
      <c r="CG88" s="539">
        <f t="shared" si="24"/>
        <v>15833.745156754469</v>
      </c>
      <c r="CH88" s="539">
        <f t="shared" si="24"/>
        <v>16150.420059889559</v>
      </c>
      <c r="CI88" s="539">
        <f t="shared" si="24"/>
        <v>16150.420059889559</v>
      </c>
      <c r="CJ88" s="539">
        <f t="shared" si="24"/>
        <v>16150.420059889559</v>
      </c>
      <c r="CK88" s="539">
        <f t="shared" si="24"/>
        <v>16150.420059889559</v>
      </c>
      <c r="CL88" s="539">
        <f t="shared" si="24"/>
        <v>16473.428461087351</v>
      </c>
      <c r="CM88" s="539">
        <f t="shared" si="24"/>
        <v>16473.428461087351</v>
      </c>
      <c r="CN88" s="539">
        <f t="shared" si="24"/>
        <v>16473.428461087351</v>
      </c>
      <c r="CO88" s="539">
        <f t="shared" si="24"/>
        <v>16473.428461087351</v>
      </c>
      <c r="CP88" s="539">
        <f t="shared" si="24"/>
        <v>16802.897030309097</v>
      </c>
      <c r="CQ88" s="539">
        <f t="shared" si="24"/>
        <v>16802.897030309097</v>
      </c>
      <c r="CR88" s="539">
        <f t="shared" si="24"/>
        <v>16802.897030309097</v>
      </c>
      <c r="CS88" s="539">
        <f t="shared" si="24"/>
        <v>16802.897030309097</v>
      </c>
      <c r="CT88" s="539">
        <f t="shared" si="24"/>
        <v>17138.954970915282</v>
      </c>
      <c r="CU88" s="539">
        <f t="shared" si="24"/>
        <v>17138.954970915282</v>
      </c>
      <c r="CV88" s="539">
        <f t="shared" si="24"/>
        <v>17138.954970915282</v>
      </c>
      <c r="CW88" s="539">
        <f t="shared" si="24"/>
        <v>17138.954970915282</v>
      </c>
      <c r="CX88" s="539">
        <f t="shared" si="24"/>
        <v>17481.734070333587</v>
      </c>
      <c r="CY88" s="539">
        <f t="shared" si="24"/>
        <v>17481.734070333587</v>
      </c>
      <c r="CZ88" s="539">
        <f t="shared" si="24"/>
        <v>17481.734070333587</v>
      </c>
      <c r="DA88" s="539">
        <f t="shared" si="24"/>
        <v>17481.734070333587</v>
      </c>
      <c r="DB88" s="539">
        <f t="shared" si="24"/>
        <v>17831.368751740258</v>
      </c>
      <c r="DC88" s="539">
        <f t="shared" si="24"/>
        <v>17831.368751740258</v>
      </c>
      <c r="DD88" s="539">
        <f t="shared" si="24"/>
        <v>17831.368751740258</v>
      </c>
      <c r="DE88" s="539">
        <f t="shared" si="24"/>
        <v>17831.368751740258</v>
      </c>
      <c r="DF88" s="539">
        <f t="shared" si="24"/>
        <v>18187.996126775066</v>
      </c>
      <c r="DG88" s="539">
        <f t="shared" si="24"/>
        <v>18187.996126775066</v>
      </c>
      <c r="DH88" s="539">
        <f t="shared" si="24"/>
        <v>18187.996126775066</v>
      </c>
      <c r="DI88" s="539">
        <f t="shared" si="24"/>
        <v>18187.996126775066</v>
      </c>
      <c r="DJ88" s="539">
        <f t="shared" si="24"/>
        <v>18551.756049310567</v>
      </c>
      <c r="DK88" s="539">
        <f t="shared" si="24"/>
        <v>18551.756049310567</v>
      </c>
      <c r="DL88" s="539">
        <f t="shared" si="24"/>
        <v>18551.756049310567</v>
      </c>
      <c r="DM88" s="539">
        <f t="shared" si="24"/>
        <v>18551.756049310567</v>
      </c>
      <c r="DN88" s="539">
        <f t="shared" si="24"/>
        <v>18922.791170296779</v>
      </c>
      <c r="DO88" s="539">
        <f t="shared" si="24"/>
        <v>18922.791170296779</v>
      </c>
      <c r="DP88" s="539">
        <f t="shared" si="24"/>
        <v>18922.791170296779</v>
      </c>
      <c r="DQ88" s="539">
        <f t="shared" si="24"/>
        <v>18922.791170296779</v>
      </c>
      <c r="DR88" s="539">
        <f t="shared" si="24"/>
        <v>19301.246993702713</v>
      </c>
      <c r="DS88" s="539">
        <f t="shared" si="24"/>
        <v>19301.246993702713</v>
      </c>
      <c r="DT88" s="539">
        <f t="shared" si="24"/>
        <v>19301.246993702713</v>
      </c>
      <c r="DU88" s="539">
        <f t="shared" si="24"/>
        <v>19301.246993702713</v>
      </c>
      <c r="DV88" s="539">
        <f t="shared" si="24"/>
        <v>19687.271933576769</v>
      </c>
      <c r="DW88" s="539">
        <f t="shared" si="24"/>
        <v>19687.271933576769</v>
      </c>
      <c r="DX88" s="539">
        <f t="shared" si="24"/>
        <v>19687.271933576769</v>
      </c>
      <c r="DY88" s="539">
        <f t="shared" si="24"/>
        <v>19687.271933576769</v>
      </c>
      <c r="DZ88" s="539">
        <f t="shared" si="24"/>
        <v>20081.017372248301</v>
      </c>
      <c r="EA88" s="539">
        <f t="shared" si="24"/>
        <v>20081.017372248301</v>
      </c>
      <c r="EB88" s="539">
        <f t="shared" si="24"/>
        <v>20081.017372248301</v>
      </c>
      <c r="EC88" s="539">
        <f t="shared" si="24"/>
        <v>20081.017372248301</v>
      </c>
      <c r="ED88" s="539">
        <f t="shared" si="24"/>
        <v>0</v>
      </c>
      <c r="EE88" s="539">
        <f t="shared" si="24"/>
        <v>0</v>
      </c>
      <c r="EF88" s="539">
        <f t="shared" si="24"/>
        <v>0</v>
      </c>
      <c r="EG88" s="539">
        <f t="shared" si="24"/>
        <v>0</v>
      </c>
    </row>
    <row r="89" spans="5:137" ht="12.75">
      <c r="E89" s="538" t="s">
        <v>266</v>
      </c>
      <c r="G89" s="539" t="s">
        <v>30</v>
      </c>
      <c r="H89" s="539">
        <f>SUM(J89:EG89)</f>
        <v>79978.377196932575</v>
      </c>
      <c r="J89" s="539">
        <f t="shared" si="25" ref="J89:EG89">J88*$F87</f>
        <v>0</v>
      </c>
      <c r="K89" s="539">
        <f t="shared" si="25"/>
        <v>0</v>
      </c>
      <c r="L89" s="539">
        <f t="shared" si="25"/>
        <v>0</v>
      </c>
      <c r="M89" s="539">
        <f t="shared" si="25"/>
        <v>0</v>
      </c>
      <c r="N89" s="539">
        <f t="shared" si="25"/>
        <v>0</v>
      </c>
      <c r="O89" s="539">
        <f t="shared" si="25"/>
        <v>0</v>
      </c>
      <c r="P89" s="539">
        <f t="shared" si="25"/>
        <v>0</v>
      </c>
      <c r="Q89" s="539">
        <f t="shared" si="25"/>
        <v>0</v>
      </c>
      <c r="R89" s="539">
        <f t="shared" si="25"/>
        <v>0</v>
      </c>
      <c r="S89" s="539">
        <f t="shared" si="25"/>
        <v>0</v>
      </c>
      <c r="T89" s="539">
        <f t="shared" si="25"/>
        <v>0</v>
      </c>
      <c r="U89" s="539">
        <f t="shared" si="25"/>
        <v>0</v>
      </c>
      <c r="V89" s="539">
        <f t="shared" si="25"/>
        <v>0</v>
      </c>
      <c r="W89" s="539">
        <f t="shared" si="25"/>
        <v>0</v>
      </c>
      <c r="X89" s="539">
        <f t="shared" si="25"/>
        <v>0</v>
      </c>
      <c r="Y89" s="539">
        <f t="shared" si="25"/>
        <v>0</v>
      </c>
      <c r="Z89" s="539">
        <f t="shared" si="25"/>
        <v>0</v>
      </c>
      <c r="AA89" s="539">
        <f t="shared" si="25"/>
        <v>0</v>
      </c>
      <c r="AB89" s="539">
        <f t="shared" si="25"/>
        <v>0</v>
      </c>
      <c r="AC89" s="539">
        <f t="shared" si="25"/>
        <v>0</v>
      </c>
      <c r="AD89" s="539">
        <f t="shared" si="25"/>
        <v>0</v>
      </c>
      <c r="AE89" s="539">
        <f t="shared" si="25"/>
        <v>0</v>
      </c>
      <c r="AF89" s="539">
        <f t="shared" si="25"/>
        <v>0</v>
      </c>
      <c r="AG89" s="539">
        <f t="shared" si="25"/>
        <v>0</v>
      </c>
      <c r="AH89" s="539">
        <f t="shared" si="25"/>
        <v>624.24000000000001</v>
      </c>
      <c r="AI89" s="539">
        <f t="shared" si="25"/>
        <v>624.24000000000001</v>
      </c>
      <c r="AJ89" s="539">
        <f t="shared" si="25"/>
        <v>624.24000000000001</v>
      </c>
      <c r="AK89" s="539">
        <f t="shared" si="25"/>
        <v>624.24000000000001</v>
      </c>
      <c r="AL89" s="539">
        <f t="shared" si="25"/>
        <v>636.72479999999996</v>
      </c>
      <c r="AM89" s="539">
        <f t="shared" si="25"/>
        <v>636.72479999999996</v>
      </c>
      <c r="AN89" s="539">
        <f t="shared" si="25"/>
        <v>636.72479999999996</v>
      </c>
      <c r="AO89" s="539">
        <f t="shared" si="25"/>
        <v>636.72479999999996</v>
      </c>
      <c r="AP89" s="539">
        <f t="shared" si="25"/>
        <v>649.45929599999999</v>
      </c>
      <c r="AQ89" s="539">
        <f t="shared" si="25"/>
        <v>649.45929599999999</v>
      </c>
      <c r="AR89" s="539">
        <f t="shared" si="25"/>
        <v>649.45929599999999</v>
      </c>
      <c r="AS89" s="539">
        <f t="shared" si="25"/>
        <v>649.45929599999999</v>
      </c>
      <c r="AT89" s="539">
        <f t="shared" si="25"/>
        <v>662.44848192000006</v>
      </c>
      <c r="AU89" s="539">
        <f t="shared" si="25"/>
        <v>662.44848192000006</v>
      </c>
      <c r="AV89" s="539">
        <f t="shared" si="25"/>
        <v>662.44848192000006</v>
      </c>
      <c r="AW89" s="539">
        <f t="shared" si="25"/>
        <v>662.44848192000006</v>
      </c>
      <c r="AX89" s="539">
        <f t="shared" si="25"/>
        <v>675.69745155840008</v>
      </c>
      <c r="AY89" s="539">
        <f t="shared" si="25"/>
        <v>675.69745155840008</v>
      </c>
      <c r="AZ89" s="539">
        <f t="shared" si="25"/>
        <v>675.69745155840008</v>
      </c>
      <c r="BA89" s="539">
        <f t="shared" si="25"/>
        <v>675.69745155840008</v>
      </c>
      <c r="BB89" s="539">
        <f t="shared" si="25"/>
        <v>689.21140058956814</v>
      </c>
      <c r="BC89" s="539">
        <f t="shared" si="25"/>
        <v>689.21140058956814</v>
      </c>
      <c r="BD89" s="539">
        <f t="shared" si="25"/>
        <v>689.21140058956814</v>
      </c>
      <c r="BE89" s="539">
        <f t="shared" si="25"/>
        <v>689.21140058956814</v>
      </c>
      <c r="BF89" s="539">
        <f t="shared" si="25"/>
        <v>702.9956286013595</v>
      </c>
      <c r="BG89" s="539">
        <f t="shared" si="25"/>
        <v>702.9956286013595</v>
      </c>
      <c r="BH89" s="539">
        <f t="shared" si="25"/>
        <v>702.9956286013595</v>
      </c>
      <c r="BI89" s="539">
        <f t="shared" si="25"/>
        <v>702.9956286013595</v>
      </c>
      <c r="BJ89" s="539">
        <f t="shared" si="25"/>
        <v>717.0555411733867</v>
      </c>
      <c r="BK89" s="539">
        <f t="shared" si="25"/>
        <v>717.0555411733867</v>
      </c>
      <c r="BL89" s="539">
        <f t="shared" si="25"/>
        <v>717.0555411733867</v>
      </c>
      <c r="BM89" s="539">
        <f t="shared" si="25"/>
        <v>717.0555411733867</v>
      </c>
      <c r="BN89" s="539">
        <f t="shared" si="25"/>
        <v>731.39665199685442</v>
      </c>
      <c r="BO89" s="539">
        <f t="shared" si="25"/>
        <v>731.39665199685442</v>
      </c>
      <c r="BP89" s="539">
        <f t="shared" si="25"/>
        <v>731.39665199685442</v>
      </c>
      <c r="BQ89" s="539">
        <f t="shared" si="25"/>
        <v>731.39665199685442</v>
      </c>
      <c r="BR89" s="539">
        <f t="shared" si="25"/>
        <v>746.02458503679145</v>
      </c>
      <c r="BS89" s="539">
        <f t="shared" si="25"/>
        <v>746.02458503679145</v>
      </c>
      <c r="BT89" s="539">
        <f t="shared" si="25"/>
        <v>746.02458503679145</v>
      </c>
      <c r="BU89" s="539">
        <f t="shared" si="25"/>
        <v>746.02458503679145</v>
      </c>
      <c r="BV89" s="539">
        <f t="shared" si="25"/>
        <v>760.94507673752742</v>
      </c>
      <c r="BW89" s="539">
        <f t="shared" si="25"/>
        <v>760.94507673752742</v>
      </c>
      <c r="BX89" s="539">
        <f t="shared" si="25"/>
        <v>760.94507673752742</v>
      </c>
      <c r="BY89" s="539">
        <f t="shared" si="25"/>
        <v>760.94507673752742</v>
      </c>
      <c r="BZ89" s="539">
        <f t="shared" si="25"/>
        <v>776.16397827227775</v>
      </c>
      <c r="CA89" s="539">
        <f t="shared" si="25"/>
        <v>776.16397827227775</v>
      </c>
      <c r="CB89" s="539">
        <f t="shared" si="25"/>
        <v>776.16397827227775</v>
      </c>
      <c r="CC89" s="539">
        <f t="shared" si="25"/>
        <v>776.16397827227775</v>
      </c>
      <c r="CD89" s="539">
        <f t="shared" si="25"/>
        <v>791.68725783772345</v>
      </c>
      <c r="CE89" s="539">
        <f t="shared" si="25"/>
        <v>791.68725783772345</v>
      </c>
      <c r="CF89" s="539">
        <f t="shared" si="25"/>
        <v>791.68725783772345</v>
      </c>
      <c r="CG89" s="539">
        <f t="shared" si="25"/>
        <v>791.68725783772345</v>
      </c>
      <c r="CH89" s="539">
        <f t="shared" si="25"/>
        <v>807.52100299447795</v>
      </c>
      <c r="CI89" s="539">
        <f t="shared" si="25"/>
        <v>807.52100299447795</v>
      </c>
      <c r="CJ89" s="539">
        <f t="shared" si="25"/>
        <v>807.52100299447795</v>
      </c>
      <c r="CK89" s="539">
        <f t="shared" si="25"/>
        <v>807.52100299447795</v>
      </c>
      <c r="CL89" s="539">
        <f t="shared" si="25"/>
        <v>823.67142305436755</v>
      </c>
      <c r="CM89" s="539">
        <f t="shared" si="25"/>
        <v>823.67142305436755</v>
      </c>
      <c r="CN89" s="539">
        <f t="shared" si="25"/>
        <v>823.67142305436755</v>
      </c>
      <c r="CO89" s="539">
        <f t="shared" si="25"/>
        <v>823.67142305436755</v>
      </c>
      <c r="CP89" s="539">
        <f t="shared" si="25"/>
        <v>840.14485151545489</v>
      </c>
      <c r="CQ89" s="539">
        <f t="shared" si="25"/>
        <v>840.14485151545489</v>
      </c>
      <c r="CR89" s="539">
        <f t="shared" si="25"/>
        <v>840.14485151545489</v>
      </c>
      <c r="CS89" s="539">
        <f t="shared" si="25"/>
        <v>840.14485151545489</v>
      </c>
      <c r="CT89" s="539">
        <f t="shared" si="25"/>
        <v>856.94774854576417</v>
      </c>
      <c r="CU89" s="539">
        <f t="shared" si="25"/>
        <v>856.94774854576417</v>
      </c>
      <c r="CV89" s="539">
        <f t="shared" si="25"/>
        <v>856.94774854576417</v>
      </c>
      <c r="CW89" s="539">
        <f t="shared" si="25"/>
        <v>856.94774854576417</v>
      </c>
      <c r="CX89" s="539">
        <f t="shared" si="25"/>
        <v>874.08670351667934</v>
      </c>
      <c r="CY89" s="539">
        <f t="shared" si="25"/>
        <v>874.08670351667934</v>
      </c>
      <c r="CZ89" s="539">
        <f t="shared" si="25"/>
        <v>874.08670351667934</v>
      </c>
      <c r="DA89" s="539">
        <f t="shared" si="25"/>
        <v>874.08670351667934</v>
      </c>
      <c r="DB89" s="539">
        <f t="shared" si="25"/>
        <v>891.56843758701291</v>
      </c>
      <c r="DC89" s="539">
        <f t="shared" si="25"/>
        <v>891.56843758701291</v>
      </c>
      <c r="DD89" s="539">
        <f t="shared" si="25"/>
        <v>891.56843758701291</v>
      </c>
      <c r="DE89" s="539">
        <f t="shared" si="25"/>
        <v>891.56843758701291</v>
      </c>
      <c r="DF89" s="539">
        <f t="shared" si="25"/>
        <v>909.39980633875336</v>
      </c>
      <c r="DG89" s="539">
        <f t="shared" si="25"/>
        <v>909.39980633875336</v>
      </c>
      <c r="DH89" s="539">
        <f t="shared" si="25"/>
        <v>909.39980633875336</v>
      </c>
      <c r="DI89" s="539">
        <f t="shared" si="25"/>
        <v>909.39980633875336</v>
      </c>
      <c r="DJ89" s="539">
        <f t="shared" si="25"/>
        <v>927.5878024655284</v>
      </c>
      <c r="DK89" s="539">
        <f t="shared" si="25"/>
        <v>927.5878024655284</v>
      </c>
      <c r="DL89" s="539">
        <f t="shared" si="25"/>
        <v>927.5878024655284</v>
      </c>
      <c r="DM89" s="539">
        <f t="shared" si="25"/>
        <v>927.5878024655284</v>
      </c>
      <c r="DN89" s="539">
        <f t="shared" si="25"/>
        <v>946.139558514839</v>
      </c>
      <c r="DO89" s="539">
        <f t="shared" si="25"/>
        <v>946.139558514839</v>
      </c>
      <c r="DP89" s="539">
        <f t="shared" si="25"/>
        <v>946.139558514839</v>
      </c>
      <c r="DQ89" s="539">
        <f t="shared" si="25"/>
        <v>946.139558514839</v>
      </c>
      <c r="DR89" s="539">
        <f t="shared" si="25"/>
        <v>965.0623496851357</v>
      </c>
      <c r="DS89" s="539">
        <f t="shared" si="25"/>
        <v>965.0623496851357</v>
      </c>
      <c r="DT89" s="539">
        <f t="shared" si="25"/>
        <v>965.0623496851357</v>
      </c>
      <c r="DU89" s="539">
        <f t="shared" si="25"/>
        <v>965.0623496851357</v>
      </c>
      <c r="DV89" s="539">
        <f t="shared" si="25"/>
        <v>984.36359667883846</v>
      </c>
      <c r="DW89" s="539">
        <f t="shared" si="25"/>
        <v>984.36359667883846</v>
      </c>
      <c r="DX89" s="539">
        <f t="shared" si="25"/>
        <v>984.36359667883846</v>
      </c>
      <c r="DY89" s="539">
        <f t="shared" si="25"/>
        <v>984.36359667883846</v>
      </c>
      <c r="DZ89" s="539">
        <f t="shared" si="25"/>
        <v>1004.0508686124151</v>
      </c>
      <c r="EA89" s="539">
        <f t="shared" si="25"/>
        <v>1004.0508686124151</v>
      </c>
      <c r="EB89" s="539">
        <f t="shared" si="25"/>
        <v>1004.0508686124151</v>
      </c>
      <c r="EC89" s="539">
        <f t="shared" si="25"/>
        <v>1004.0508686124151</v>
      </c>
      <c r="ED89" s="539">
        <f t="shared" si="25"/>
        <v>0</v>
      </c>
      <c r="EE89" s="539">
        <f t="shared" si="25"/>
        <v>0</v>
      </c>
      <c r="EF89" s="539">
        <f t="shared" si="25"/>
        <v>0</v>
      </c>
      <c r="EG89" s="539">
        <f t="shared" si="25"/>
        <v>0</v>
      </c>
    </row>
    <row r="91" spans="5:137" ht="12.75">
      <c r="E91" s="538" t="str">
        <f>E$76</f>
        <v>Lease cost - total</v>
      </c>
      <c r="G91" s="539" t="str">
        <f>G$76</f>
        <v>EUR 000s</v>
      </c>
      <c r="H91" s="539">
        <f>H$76</f>
        <v>31783.53863506575</v>
      </c>
      <c r="J91" s="539">
        <f t="shared" si="26" ref="J91:EG91">J$76</f>
        <v>0</v>
      </c>
      <c r="K91" s="539">
        <f t="shared" si="26"/>
        <v>0</v>
      </c>
      <c r="L91" s="539">
        <f t="shared" si="26"/>
        <v>0</v>
      </c>
      <c r="M91" s="539">
        <f t="shared" si="26"/>
        <v>0</v>
      </c>
      <c r="N91" s="539">
        <f t="shared" si="26"/>
        <v>0</v>
      </c>
      <c r="O91" s="539">
        <f t="shared" si="26"/>
        <v>0</v>
      </c>
      <c r="P91" s="539">
        <f t="shared" si="26"/>
        <v>0</v>
      </c>
      <c r="Q91" s="539">
        <f t="shared" si="26"/>
        <v>0</v>
      </c>
      <c r="R91" s="539">
        <f t="shared" si="26"/>
        <v>0</v>
      </c>
      <c r="S91" s="539">
        <f t="shared" si="26"/>
        <v>0</v>
      </c>
      <c r="T91" s="539">
        <f t="shared" si="26"/>
        <v>0</v>
      </c>
      <c r="U91" s="539">
        <f t="shared" si="26"/>
        <v>0</v>
      </c>
      <c r="V91" s="539">
        <f t="shared" si="26"/>
        <v>0</v>
      </c>
      <c r="W91" s="539">
        <f t="shared" si="26"/>
        <v>0</v>
      </c>
      <c r="X91" s="539">
        <f t="shared" si="26"/>
        <v>0</v>
      </c>
      <c r="Y91" s="539">
        <f t="shared" si="26"/>
        <v>0</v>
      </c>
      <c r="Z91" s="539">
        <f t="shared" si="26"/>
        <v>0</v>
      </c>
      <c r="AA91" s="539">
        <f t="shared" si="26"/>
        <v>0</v>
      </c>
      <c r="AB91" s="539">
        <f t="shared" si="26"/>
        <v>0</v>
      </c>
      <c r="AC91" s="539">
        <f t="shared" si="26"/>
        <v>0</v>
      </c>
      <c r="AD91" s="539">
        <f t="shared" si="26"/>
        <v>0</v>
      </c>
      <c r="AE91" s="539">
        <f t="shared" si="26"/>
        <v>0</v>
      </c>
      <c r="AF91" s="539">
        <f t="shared" si="26"/>
        <v>0</v>
      </c>
      <c r="AG91" s="539">
        <f t="shared" si="26"/>
        <v>0</v>
      </c>
      <c r="AH91" s="539">
        <f t="shared" si="26"/>
        <v>225.25281249999998</v>
      </c>
      <c r="AI91" s="539">
        <f t="shared" si="26"/>
        <v>225.25281249999998</v>
      </c>
      <c r="AJ91" s="539">
        <f t="shared" si="26"/>
        <v>225.25281249999998</v>
      </c>
      <c r="AK91" s="539">
        <f t="shared" si="26"/>
        <v>225.25281249999998</v>
      </c>
      <c r="AL91" s="539">
        <f t="shared" si="26"/>
        <v>231.82353281249999</v>
      </c>
      <c r="AM91" s="539">
        <f t="shared" si="26"/>
        <v>231.82353281249999</v>
      </c>
      <c r="AN91" s="539">
        <f t="shared" si="26"/>
        <v>231.82353281249999</v>
      </c>
      <c r="AO91" s="539">
        <f t="shared" si="26"/>
        <v>231.82353281249999</v>
      </c>
      <c r="AP91" s="539">
        <f t="shared" si="26"/>
        <v>238.52730913281249</v>
      </c>
      <c r="AQ91" s="539">
        <f t="shared" si="26"/>
        <v>238.52730913281249</v>
      </c>
      <c r="AR91" s="539">
        <f t="shared" si="26"/>
        <v>238.52730913281249</v>
      </c>
      <c r="AS91" s="539">
        <f t="shared" si="26"/>
        <v>238.52730913281249</v>
      </c>
      <c r="AT91" s="539">
        <f t="shared" si="26"/>
        <v>245.3668436211328</v>
      </c>
      <c r="AU91" s="539">
        <f t="shared" si="26"/>
        <v>245.3668436211328</v>
      </c>
      <c r="AV91" s="539">
        <f t="shared" si="26"/>
        <v>245.3668436211328</v>
      </c>
      <c r="AW91" s="539">
        <f t="shared" si="26"/>
        <v>245.3668436211328</v>
      </c>
      <c r="AX91" s="539">
        <f t="shared" si="26"/>
        <v>252.34489350686113</v>
      </c>
      <c r="AY91" s="539">
        <f t="shared" si="26"/>
        <v>252.34489350686113</v>
      </c>
      <c r="AZ91" s="539">
        <f t="shared" si="26"/>
        <v>252.34489350686113</v>
      </c>
      <c r="BA91" s="539">
        <f t="shared" si="26"/>
        <v>252.34489350686113</v>
      </c>
      <c r="BB91" s="539">
        <f t="shared" si="26"/>
        <v>259.4642722156367</v>
      </c>
      <c r="BC91" s="539">
        <f t="shared" si="26"/>
        <v>259.4642722156367</v>
      </c>
      <c r="BD91" s="539">
        <f t="shared" si="26"/>
        <v>259.4642722156367</v>
      </c>
      <c r="BE91" s="539">
        <f t="shared" si="26"/>
        <v>259.4642722156367</v>
      </c>
      <c r="BF91" s="539">
        <f t="shared" si="26"/>
        <v>266.72785051955373</v>
      </c>
      <c r="BG91" s="539">
        <f t="shared" si="26"/>
        <v>266.72785051955373</v>
      </c>
      <c r="BH91" s="539">
        <f t="shared" si="26"/>
        <v>266.72785051955373</v>
      </c>
      <c r="BI91" s="539">
        <f t="shared" si="26"/>
        <v>266.72785051955373</v>
      </c>
      <c r="BJ91" s="539">
        <f t="shared" si="26"/>
        <v>274.13855771103914</v>
      </c>
      <c r="BK91" s="539">
        <f t="shared" si="26"/>
        <v>274.13855771103914</v>
      </c>
      <c r="BL91" s="539">
        <f t="shared" si="26"/>
        <v>274.13855771103914</v>
      </c>
      <c r="BM91" s="539">
        <f t="shared" si="26"/>
        <v>274.13855771103914</v>
      </c>
      <c r="BN91" s="539">
        <f t="shared" si="26"/>
        <v>281.69938280088166</v>
      </c>
      <c r="BO91" s="539">
        <f t="shared" si="26"/>
        <v>281.69938280088166</v>
      </c>
      <c r="BP91" s="539">
        <f t="shared" si="26"/>
        <v>281.69938280088166</v>
      </c>
      <c r="BQ91" s="539">
        <f t="shared" si="26"/>
        <v>281.69938280088166</v>
      </c>
      <c r="BR91" s="539">
        <f t="shared" si="26"/>
        <v>289.41337574091153</v>
      </c>
      <c r="BS91" s="539">
        <f t="shared" si="26"/>
        <v>289.41337574091153</v>
      </c>
      <c r="BT91" s="539">
        <f t="shared" si="26"/>
        <v>289.41337574091153</v>
      </c>
      <c r="BU91" s="539">
        <f t="shared" si="26"/>
        <v>289.41337574091153</v>
      </c>
      <c r="BV91" s="539">
        <f t="shared" si="26"/>
        <v>297.2836486718424</v>
      </c>
      <c r="BW91" s="539">
        <f t="shared" si="26"/>
        <v>297.2836486718424</v>
      </c>
      <c r="BX91" s="539">
        <f t="shared" si="26"/>
        <v>297.2836486718424</v>
      </c>
      <c r="BY91" s="539">
        <f t="shared" si="26"/>
        <v>297.2836486718424</v>
      </c>
      <c r="BZ91" s="539">
        <f t="shared" si="26"/>
        <v>305.31337719679459</v>
      </c>
      <c r="CA91" s="539">
        <f t="shared" si="26"/>
        <v>305.31337719679459</v>
      </c>
      <c r="CB91" s="539">
        <f t="shared" si="26"/>
        <v>305.31337719679459</v>
      </c>
      <c r="CC91" s="539">
        <f t="shared" si="26"/>
        <v>305.31337719679459</v>
      </c>
      <c r="CD91" s="539">
        <f t="shared" si="26"/>
        <v>313.5058016810338</v>
      </c>
      <c r="CE91" s="539">
        <f t="shared" si="26"/>
        <v>313.5058016810338</v>
      </c>
      <c r="CF91" s="539">
        <f t="shared" si="26"/>
        <v>313.5058016810338</v>
      </c>
      <c r="CG91" s="539">
        <f t="shared" si="26"/>
        <v>313.5058016810338</v>
      </c>
      <c r="CH91" s="539">
        <f t="shared" si="26"/>
        <v>321.86422857846537</v>
      </c>
      <c r="CI91" s="539">
        <f t="shared" si="26"/>
        <v>321.86422857846537</v>
      </c>
      <c r="CJ91" s="539">
        <f t="shared" si="26"/>
        <v>321.86422857846537</v>
      </c>
      <c r="CK91" s="539">
        <f t="shared" si="26"/>
        <v>321.86422857846537</v>
      </c>
      <c r="CL91" s="539">
        <f t="shared" si="26"/>
        <v>330.39203178544079</v>
      </c>
      <c r="CM91" s="539">
        <f t="shared" si="26"/>
        <v>330.39203178544079</v>
      </c>
      <c r="CN91" s="539">
        <f t="shared" si="26"/>
        <v>330.39203178544079</v>
      </c>
      <c r="CO91" s="539">
        <f t="shared" si="26"/>
        <v>330.39203178544079</v>
      </c>
      <c r="CP91" s="539">
        <f t="shared" si="26"/>
        <v>339.09265402244091</v>
      </c>
      <c r="CQ91" s="539">
        <f t="shared" si="26"/>
        <v>339.09265402244091</v>
      </c>
      <c r="CR91" s="539">
        <f t="shared" si="26"/>
        <v>339.09265402244091</v>
      </c>
      <c r="CS91" s="539">
        <f t="shared" si="26"/>
        <v>339.09265402244091</v>
      </c>
      <c r="CT91" s="539">
        <f t="shared" si="26"/>
        <v>347.9696082442133</v>
      </c>
      <c r="CU91" s="539">
        <f t="shared" si="26"/>
        <v>347.9696082442133</v>
      </c>
      <c r="CV91" s="539">
        <f t="shared" si="26"/>
        <v>347.9696082442133</v>
      </c>
      <c r="CW91" s="539">
        <f t="shared" si="26"/>
        <v>347.9696082442133</v>
      </c>
      <c r="CX91" s="539">
        <f t="shared" si="26"/>
        <v>357.02647907895425</v>
      </c>
      <c r="CY91" s="539">
        <f t="shared" si="26"/>
        <v>357.02647907895425</v>
      </c>
      <c r="CZ91" s="539">
        <f t="shared" si="26"/>
        <v>357.02647907895425</v>
      </c>
      <c r="DA91" s="539">
        <f t="shared" si="26"/>
        <v>357.02647907895425</v>
      </c>
      <c r="DB91" s="539">
        <f t="shared" si="26"/>
        <v>366.26692429713637</v>
      </c>
      <c r="DC91" s="539">
        <f t="shared" si="26"/>
        <v>366.26692429713637</v>
      </c>
      <c r="DD91" s="539">
        <f t="shared" si="26"/>
        <v>366.26692429713637</v>
      </c>
      <c r="DE91" s="539">
        <f t="shared" si="26"/>
        <v>366.26692429713637</v>
      </c>
      <c r="DF91" s="539">
        <f t="shared" si="26"/>
        <v>375.69467631059729</v>
      </c>
      <c r="DG91" s="539">
        <f t="shared" si="26"/>
        <v>375.69467631059729</v>
      </c>
      <c r="DH91" s="539">
        <f t="shared" si="26"/>
        <v>375.69467631059729</v>
      </c>
      <c r="DI91" s="539">
        <f t="shared" si="26"/>
        <v>375.69467631059729</v>
      </c>
      <c r="DJ91" s="539">
        <f t="shared" si="26"/>
        <v>385.31354370251535</v>
      </c>
      <c r="DK91" s="539">
        <f t="shared" si="26"/>
        <v>385.31354370251535</v>
      </c>
      <c r="DL91" s="539">
        <f t="shared" si="26"/>
        <v>385.31354370251535</v>
      </c>
      <c r="DM91" s="539">
        <f t="shared" si="26"/>
        <v>385.31354370251535</v>
      </c>
      <c r="DN91" s="539">
        <f t="shared" si="26"/>
        <v>395.12741278891446</v>
      </c>
      <c r="DO91" s="539">
        <f t="shared" si="26"/>
        <v>395.12741278891446</v>
      </c>
      <c r="DP91" s="539">
        <f t="shared" si="26"/>
        <v>395.12741278891446</v>
      </c>
      <c r="DQ91" s="539">
        <f t="shared" si="26"/>
        <v>395.12741278891446</v>
      </c>
      <c r="DR91" s="539">
        <f t="shared" si="26"/>
        <v>405.14024921235017</v>
      </c>
      <c r="DS91" s="539">
        <f t="shared" si="26"/>
        <v>405.14024921235017</v>
      </c>
      <c r="DT91" s="539">
        <f t="shared" si="26"/>
        <v>405.14024921235017</v>
      </c>
      <c r="DU91" s="539">
        <f t="shared" si="26"/>
        <v>405.14024921235017</v>
      </c>
      <c r="DV91" s="539">
        <f t="shared" si="26"/>
        <v>415.3560995684461</v>
      </c>
      <c r="DW91" s="539">
        <f t="shared" si="26"/>
        <v>415.3560995684461</v>
      </c>
      <c r="DX91" s="539">
        <f t="shared" si="26"/>
        <v>415.3560995684461</v>
      </c>
      <c r="DY91" s="539">
        <f t="shared" si="26"/>
        <v>415.3560995684461</v>
      </c>
      <c r="DZ91" s="539">
        <f t="shared" si="26"/>
        <v>425.77909306596013</v>
      </c>
      <c r="EA91" s="539">
        <f t="shared" si="26"/>
        <v>425.77909306596013</v>
      </c>
      <c r="EB91" s="539">
        <f t="shared" si="26"/>
        <v>425.77909306596013</v>
      </c>
      <c r="EC91" s="539">
        <f t="shared" si="26"/>
        <v>425.77909306596013</v>
      </c>
      <c r="ED91" s="539">
        <f t="shared" si="26"/>
        <v>0</v>
      </c>
      <c r="EE91" s="539">
        <f t="shared" si="26"/>
        <v>0</v>
      </c>
      <c r="EF91" s="539">
        <f t="shared" si="26"/>
        <v>0</v>
      </c>
      <c r="EG91" s="539">
        <f t="shared" si="26"/>
        <v>0</v>
      </c>
    </row>
    <row r="92" spans="5:137" ht="12.75">
      <c r="E92" s="538" t="str">
        <f>E$85</f>
        <v>Opex - fixed</v>
      </c>
      <c r="G92" s="539" t="str">
        <f>G$85</f>
        <v>EUR 000s</v>
      </c>
      <c r="H92" s="539">
        <f>H$85</f>
        <v>372833.17125496874</v>
      </c>
      <c r="J92" s="539">
        <f t="shared" si="27" ref="J92:EG92">J$85</f>
        <v>0</v>
      </c>
      <c r="K92" s="539">
        <f t="shared" si="27"/>
        <v>0</v>
      </c>
      <c r="L92" s="539">
        <f t="shared" si="27"/>
        <v>0</v>
      </c>
      <c r="M92" s="539">
        <f t="shared" si="27"/>
        <v>0</v>
      </c>
      <c r="N92" s="539">
        <f t="shared" si="27"/>
        <v>0</v>
      </c>
      <c r="O92" s="539">
        <f t="shared" si="27"/>
        <v>0</v>
      </c>
      <c r="P92" s="539">
        <f t="shared" si="27"/>
        <v>0</v>
      </c>
      <c r="Q92" s="539">
        <f t="shared" si="27"/>
        <v>0</v>
      </c>
      <c r="R92" s="539">
        <f t="shared" si="27"/>
        <v>0</v>
      </c>
      <c r="S92" s="539">
        <f t="shared" si="27"/>
        <v>0</v>
      </c>
      <c r="T92" s="539">
        <f t="shared" si="27"/>
        <v>0</v>
      </c>
      <c r="U92" s="539">
        <f t="shared" si="27"/>
        <v>0</v>
      </c>
      <c r="V92" s="539">
        <f t="shared" si="27"/>
        <v>0</v>
      </c>
      <c r="W92" s="539">
        <f t="shared" si="27"/>
        <v>0</v>
      </c>
      <c r="X92" s="539">
        <f t="shared" si="27"/>
        <v>0</v>
      </c>
      <c r="Y92" s="539">
        <f t="shared" si="27"/>
        <v>0</v>
      </c>
      <c r="Z92" s="539">
        <f t="shared" si="27"/>
        <v>0</v>
      </c>
      <c r="AA92" s="539">
        <f t="shared" si="27"/>
        <v>0</v>
      </c>
      <c r="AB92" s="539">
        <f t="shared" si="27"/>
        <v>0</v>
      </c>
      <c r="AC92" s="539">
        <f t="shared" si="27"/>
        <v>0</v>
      </c>
      <c r="AD92" s="539">
        <f t="shared" si="27"/>
        <v>0</v>
      </c>
      <c r="AE92" s="539">
        <f t="shared" si="27"/>
        <v>0</v>
      </c>
      <c r="AF92" s="539">
        <f t="shared" si="27"/>
        <v>0</v>
      </c>
      <c r="AG92" s="539">
        <f t="shared" si="27"/>
        <v>0</v>
      </c>
      <c r="AH92" s="539">
        <f t="shared" si="27"/>
        <v>2639.40625</v>
      </c>
      <c r="AI92" s="539">
        <f t="shared" si="27"/>
        <v>2639.40625</v>
      </c>
      <c r="AJ92" s="539">
        <f t="shared" si="27"/>
        <v>2639.40625</v>
      </c>
      <c r="AK92" s="539">
        <f t="shared" si="27"/>
        <v>2639.40625</v>
      </c>
      <c r="AL92" s="539">
        <f t="shared" si="27"/>
        <v>2712.0220312500001</v>
      </c>
      <c r="AM92" s="539">
        <f t="shared" si="27"/>
        <v>2712.0220312500001</v>
      </c>
      <c r="AN92" s="539">
        <f t="shared" si="27"/>
        <v>2712.0220312500001</v>
      </c>
      <c r="AO92" s="539">
        <f t="shared" si="27"/>
        <v>2712.0220312500001</v>
      </c>
      <c r="AP92" s="539">
        <f t="shared" si="27"/>
        <v>2786.6521257812497</v>
      </c>
      <c r="AQ92" s="539">
        <f t="shared" si="27"/>
        <v>2786.6521257812497</v>
      </c>
      <c r="AR92" s="539">
        <f t="shared" si="27"/>
        <v>2786.6521257812497</v>
      </c>
      <c r="AS92" s="539">
        <f t="shared" si="27"/>
        <v>2786.6521257812497</v>
      </c>
      <c r="AT92" s="539">
        <f t="shared" si="27"/>
        <v>2863.3528589882808</v>
      </c>
      <c r="AU92" s="539">
        <f t="shared" si="27"/>
        <v>2863.3528589882808</v>
      </c>
      <c r="AV92" s="539">
        <f t="shared" si="27"/>
        <v>2863.3528589882808</v>
      </c>
      <c r="AW92" s="539">
        <f t="shared" si="27"/>
        <v>2863.3528589882808</v>
      </c>
      <c r="AX92" s="539">
        <f t="shared" si="27"/>
        <v>2942.1821434273634</v>
      </c>
      <c r="AY92" s="539">
        <f t="shared" si="27"/>
        <v>2942.1821434273634</v>
      </c>
      <c r="AZ92" s="539">
        <f t="shared" si="27"/>
        <v>2942.1821434273634</v>
      </c>
      <c r="BA92" s="539">
        <f t="shared" si="27"/>
        <v>2942.1821434273634</v>
      </c>
      <c r="BB92" s="539">
        <f t="shared" si="27"/>
        <v>3023.1995238663535</v>
      </c>
      <c r="BC92" s="539">
        <f t="shared" si="27"/>
        <v>3023.1995238663535</v>
      </c>
      <c r="BD92" s="539">
        <f t="shared" si="27"/>
        <v>3023.1995238663535</v>
      </c>
      <c r="BE92" s="539">
        <f t="shared" si="27"/>
        <v>3023.1995238663535</v>
      </c>
      <c r="BF92" s="539">
        <f t="shared" si="27"/>
        <v>3106.4662236219174</v>
      </c>
      <c r="BG92" s="539">
        <f t="shared" si="27"/>
        <v>3106.4662236219174</v>
      </c>
      <c r="BH92" s="539">
        <f t="shared" si="27"/>
        <v>3106.4662236219174</v>
      </c>
      <c r="BI92" s="539">
        <f t="shared" si="27"/>
        <v>3106.4662236219174</v>
      </c>
      <c r="BJ92" s="539">
        <f t="shared" si="27"/>
        <v>3192.0451922211378</v>
      </c>
      <c r="BK92" s="539">
        <f t="shared" si="27"/>
        <v>3192.0451922211378</v>
      </c>
      <c r="BL92" s="539">
        <f t="shared" si="27"/>
        <v>3192.0451922211378</v>
      </c>
      <c r="BM92" s="539">
        <f t="shared" si="27"/>
        <v>3192.0451922211378</v>
      </c>
      <c r="BN92" s="539">
        <f t="shared" si="27"/>
        <v>3280.0011544255985</v>
      </c>
      <c r="BO92" s="539">
        <f t="shared" si="27"/>
        <v>3280.0011544255985</v>
      </c>
      <c r="BP92" s="539">
        <f t="shared" si="27"/>
        <v>3280.0011544255985</v>
      </c>
      <c r="BQ92" s="539">
        <f t="shared" si="27"/>
        <v>3280.0011544255985</v>
      </c>
      <c r="BR92" s="539">
        <f t="shared" si="27"/>
        <v>3370.4006606571393</v>
      </c>
      <c r="BS92" s="539">
        <f t="shared" si="27"/>
        <v>3370.4006606571393</v>
      </c>
      <c r="BT92" s="539">
        <f t="shared" si="27"/>
        <v>3370.4006606571393</v>
      </c>
      <c r="BU92" s="539">
        <f t="shared" si="27"/>
        <v>3370.4006606571393</v>
      </c>
      <c r="BV92" s="539">
        <f t="shared" si="27"/>
        <v>3463.312138865595</v>
      </c>
      <c r="BW92" s="539">
        <f t="shared" si="27"/>
        <v>3463.312138865595</v>
      </c>
      <c r="BX92" s="539">
        <f t="shared" si="27"/>
        <v>3463.312138865595</v>
      </c>
      <c r="BY92" s="539">
        <f t="shared" si="27"/>
        <v>3463.312138865595</v>
      </c>
      <c r="BZ92" s="539">
        <f t="shared" si="27"/>
        <v>3558.8059478800237</v>
      </c>
      <c r="CA92" s="539">
        <f t="shared" si="27"/>
        <v>3558.8059478800237</v>
      </c>
      <c r="CB92" s="539">
        <f t="shared" si="27"/>
        <v>3558.8059478800237</v>
      </c>
      <c r="CC92" s="539">
        <f t="shared" si="27"/>
        <v>3558.8059478800237</v>
      </c>
      <c r="CD92" s="539">
        <f t="shared" si="27"/>
        <v>3656.954432286097</v>
      </c>
      <c r="CE92" s="539">
        <f t="shared" si="27"/>
        <v>3656.954432286097</v>
      </c>
      <c r="CF92" s="539">
        <f t="shared" si="27"/>
        <v>3656.954432286097</v>
      </c>
      <c r="CG92" s="539">
        <f t="shared" si="27"/>
        <v>3656.954432286097</v>
      </c>
      <c r="CH92" s="539">
        <f t="shared" si="27"/>
        <v>3757.8319788735935</v>
      </c>
      <c r="CI92" s="539">
        <f t="shared" si="27"/>
        <v>3757.8319788735935</v>
      </c>
      <c r="CJ92" s="539">
        <f t="shared" si="27"/>
        <v>3757.8319788735935</v>
      </c>
      <c r="CK92" s="539">
        <f t="shared" si="27"/>
        <v>3757.8319788735935</v>
      </c>
      <c r="CL92" s="539">
        <f t="shared" si="27"/>
        <v>3861.5150746991885</v>
      </c>
      <c r="CM92" s="539">
        <f t="shared" si="27"/>
        <v>3861.5150746991885</v>
      </c>
      <c r="CN92" s="539">
        <f t="shared" si="27"/>
        <v>3861.5150746991885</v>
      </c>
      <c r="CO92" s="539">
        <f t="shared" si="27"/>
        <v>3861.5150746991885</v>
      </c>
      <c r="CP92" s="539">
        <f t="shared" si="27"/>
        <v>3968.0823668110356</v>
      </c>
      <c r="CQ92" s="539">
        <f t="shared" si="27"/>
        <v>3968.0823668110356</v>
      </c>
      <c r="CR92" s="539">
        <f t="shared" si="27"/>
        <v>3968.0823668110356</v>
      </c>
      <c r="CS92" s="539">
        <f t="shared" si="27"/>
        <v>3968.0823668110356</v>
      </c>
      <c r="CT92" s="539">
        <f t="shared" si="27"/>
        <v>4077.6147236830097</v>
      </c>
      <c r="CU92" s="539">
        <f t="shared" si="27"/>
        <v>4077.6147236830097</v>
      </c>
      <c r="CV92" s="539">
        <f t="shared" si="27"/>
        <v>4077.6147236830097</v>
      </c>
      <c r="CW92" s="539">
        <f t="shared" si="27"/>
        <v>4077.6147236830097</v>
      </c>
      <c r="CX92" s="539">
        <f t="shared" si="27"/>
        <v>4190.1952984078343</v>
      </c>
      <c r="CY92" s="539">
        <f t="shared" si="27"/>
        <v>4190.1952984078343</v>
      </c>
      <c r="CZ92" s="539">
        <f t="shared" si="27"/>
        <v>4190.1952984078343</v>
      </c>
      <c r="DA92" s="539">
        <f t="shared" si="27"/>
        <v>4190.1952984078343</v>
      </c>
      <c r="DB92" s="539">
        <f t="shared" si="27"/>
        <v>4305.9095936997619</v>
      </c>
      <c r="DC92" s="539">
        <f t="shared" si="27"/>
        <v>4305.9095936997619</v>
      </c>
      <c r="DD92" s="539">
        <f t="shared" si="27"/>
        <v>4305.9095936997619</v>
      </c>
      <c r="DE92" s="539">
        <f t="shared" si="27"/>
        <v>4305.9095936997619</v>
      </c>
      <c r="DF92" s="539">
        <f t="shared" si="27"/>
        <v>4424.8455287589395</v>
      </c>
      <c r="DG92" s="539">
        <f t="shared" si="27"/>
        <v>4424.8455287589395</v>
      </c>
      <c r="DH92" s="539">
        <f t="shared" si="27"/>
        <v>4424.8455287589395</v>
      </c>
      <c r="DI92" s="539">
        <f t="shared" si="27"/>
        <v>4424.8455287589395</v>
      </c>
      <c r="DJ92" s="539">
        <f t="shared" si="27"/>
        <v>4547.0935080510972</v>
      </c>
      <c r="DK92" s="539">
        <f t="shared" si="27"/>
        <v>4547.0935080510972</v>
      </c>
      <c r="DL92" s="539">
        <f t="shared" si="27"/>
        <v>4547.0935080510972</v>
      </c>
      <c r="DM92" s="539">
        <f t="shared" si="27"/>
        <v>4547.0935080510972</v>
      </c>
      <c r="DN92" s="539">
        <f t="shared" si="27"/>
        <v>4672.746492057754</v>
      </c>
      <c r="DO92" s="539">
        <f t="shared" si="27"/>
        <v>4672.746492057754</v>
      </c>
      <c r="DP92" s="539">
        <f t="shared" si="27"/>
        <v>4672.746492057754</v>
      </c>
      <c r="DQ92" s="539">
        <f t="shared" si="27"/>
        <v>4672.746492057754</v>
      </c>
      <c r="DR92" s="539">
        <f t="shared" si="27"/>
        <v>4801.9000700537399</v>
      </c>
      <c r="DS92" s="539">
        <f t="shared" si="27"/>
        <v>4801.9000700537399</v>
      </c>
      <c r="DT92" s="539">
        <f t="shared" si="27"/>
        <v>4801.9000700537399</v>
      </c>
      <c r="DU92" s="539">
        <f t="shared" si="27"/>
        <v>4801.9000700537399</v>
      </c>
      <c r="DV92" s="539">
        <f t="shared" si="27"/>
        <v>4934.6525349704598</v>
      </c>
      <c r="DW92" s="539">
        <f t="shared" si="27"/>
        <v>4934.6525349704598</v>
      </c>
      <c r="DX92" s="539">
        <f t="shared" si="27"/>
        <v>4934.6525349704598</v>
      </c>
      <c r="DY92" s="539">
        <f t="shared" si="27"/>
        <v>4934.6525349704598</v>
      </c>
      <c r="DZ92" s="539">
        <f t="shared" si="27"/>
        <v>5071.1049604050604</v>
      </c>
      <c r="EA92" s="539">
        <f t="shared" si="27"/>
        <v>5071.1049604050604</v>
      </c>
      <c r="EB92" s="539">
        <f t="shared" si="27"/>
        <v>5071.1049604050604</v>
      </c>
      <c r="EC92" s="539">
        <f t="shared" si="27"/>
        <v>5071.1049604050604</v>
      </c>
      <c r="ED92" s="539">
        <f t="shared" si="27"/>
        <v>0</v>
      </c>
      <c r="EE92" s="539">
        <f t="shared" si="27"/>
        <v>0</v>
      </c>
      <c r="EF92" s="539">
        <f t="shared" si="27"/>
        <v>0</v>
      </c>
      <c r="EG92" s="539">
        <f t="shared" si="27"/>
        <v>0</v>
      </c>
    </row>
    <row r="93" spans="5:137" ht="12.75">
      <c r="E93" s="538" t="str">
        <f>E$89</f>
        <v>Opex - variable</v>
      </c>
      <c r="G93" s="539" t="str">
        <f>G$89</f>
        <v>EUR 000s</v>
      </c>
      <c r="H93" s="539">
        <f>H$89</f>
        <v>79978.377196932575</v>
      </c>
      <c r="J93" s="539">
        <f t="shared" si="28" ref="J93:EG93">J$89</f>
        <v>0</v>
      </c>
      <c r="K93" s="539">
        <f t="shared" si="28"/>
        <v>0</v>
      </c>
      <c r="L93" s="539">
        <f t="shared" si="28"/>
        <v>0</v>
      </c>
      <c r="M93" s="539">
        <f t="shared" si="28"/>
        <v>0</v>
      </c>
      <c r="N93" s="539">
        <f t="shared" si="28"/>
        <v>0</v>
      </c>
      <c r="O93" s="539">
        <f t="shared" si="28"/>
        <v>0</v>
      </c>
      <c r="P93" s="539">
        <f t="shared" si="28"/>
        <v>0</v>
      </c>
      <c r="Q93" s="539">
        <f t="shared" si="28"/>
        <v>0</v>
      </c>
      <c r="R93" s="539">
        <f t="shared" si="28"/>
        <v>0</v>
      </c>
      <c r="S93" s="539">
        <f t="shared" si="28"/>
        <v>0</v>
      </c>
      <c r="T93" s="539">
        <f t="shared" si="28"/>
        <v>0</v>
      </c>
      <c r="U93" s="539">
        <f t="shared" si="28"/>
        <v>0</v>
      </c>
      <c r="V93" s="539">
        <f t="shared" si="28"/>
        <v>0</v>
      </c>
      <c r="W93" s="539">
        <f t="shared" si="28"/>
        <v>0</v>
      </c>
      <c r="X93" s="539">
        <f t="shared" si="28"/>
        <v>0</v>
      </c>
      <c r="Y93" s="539">
        <f t="shared" si="28"/>
        <v>0</v>
      </c>
      <c r="Z93" s="539">
        <f t="shared" si="28"/>
        <v>0</v>
      </c>
      <c r="AA93" s="539">
        <f t="shared" si="28"/>
        <v>0</v>
      </c>
      <c r="AB93" s="539">
        <f t="shared" si="28"/>
        <v>0</v>
      </c>
      <c r="AC93" s="539">
        <f t="shared" si="28"/>
        <v>0</v>
      </c>
      <c r="AD93" s="539">
        <f t="shared" si="28"/>
        <v>0</v>
      </c>
      <c r="AE93" s="539">
        <f t="shared" si="28"/>
        <v>0</v>
      </c>
      <c r="AF93" s="539">
        <f t="shared" si="28"/>
        <v>0</v>
      </c>
      <c r="AG93" s="539">
        <f t="shared" si="28"/>
        <v>0</v>
      </c>
      <c r="AH93" s="539">
        <f t="shared" si="28"/>
        <v>624.24000000000001</v>
      </c>
      <c r="AI93" s="539">
        <f t="shared" si="28"/>
        <v>624.24000000000001</v>
      </c>
      <c r="AJ93" s="539">
        <f t="shared" si="28"/>
        <v>624.24000000000001</v>
      </c>
      <c r="AK93" s="539">
        <f t="shared" si="28"/>
        <v>624.24000000000001</v>
      </c>
      <c r="AL93" s="539">
        <f t="shared" si="28"/>
        <v>636.72479999999996</v>
      </c>
      <c r="AM93" s="539">
        <f t="shared" si="28"/>
        <v>636.72479999999996</v>
      </c>
      <c r="AN93" s="539">
        <f t="shared" si="28"/>
        <v>636.72479999999996</v>
      </c>
      <c r="AO93" s="539">
        <f t="shared" si="28"/>
        <v>636.72479999999996</v>
      </c>
      <c r="AP93" s="539">
        <f t="shared" si="28"/>
        <v>649.45929599999999</v>
      </c>
      <c r="AQ93" s="539">
        <f t="shared" si="28"/>
        <v>649.45929599999999</v>
      </c>
      <c r="AR93" s="539">
        <f t="shared" si="28"/>
        <v>649.45929599999999</v>
      </c>
      <c r="AS93" s="539">
        <f t="shared" si="28"/>
        <v>649.45929599999999</v>
      </c>
      <c r="AT93" s="539">
        <f t="shared" si="28"/>
        <v>662.44848192000006</v>
      </c>
      <c r="AU93" s="539">
        <f t="shared" si="28"/>
        <v>662.44848192000006</v>
      </c>
      <c r="AV93" s="539">
        <f t="shared" si="28"/>
        <v>662.44848192000006</v>
      </c>
      <c r="AW93" s="539">
        <f t="shared" si="28"/>
        <v>662.44848192000006</v>
      </c>
      <c r="AX93" s="539">
        <f t="shared" si="28"/>
        <v>675.69745155840008</v>
      </c>
      <c r="AY93" s="539">
        <f t="shared" si="28"/>
        <v>675.69745155840008</v>
      </c>
      <c r="AZ93" s="539">
        <f t="shared" si="28"/>
        <v>675.69745155840008</v>
      </c>
      <c r="BA93" s="539">
        <f t="shared" si="28"/>
        <v>675.69745155840008</v>
      </c>
      <c r="BB93" s="539">
        <f t="shared" si="28"/>
        <v>689.21140058956814</v>
      </c>
      <c r="BC93" s="539">
        <f t="shared" si="28"/>
        <v>689.21140058956814</v>
      </c>
      <c r="BD93" s="539">
        <f t="shared" si="28"/>
        <v>689.21140058956814</v>
      </c>
      <c r="BE93" s="539">
        <f t="shared" si="28"/>
        <v>689.21140058956814</v>
      </c>
      <c r="BF93" s="539">
        <f t="shared" si="28"/>
        <v>702.9956286013595</v>
      </c>
      <c r="BG93" s="539">
        <f t="shared" si="28"/>
        <v>702.9956286013595</v>
      </c>
      <c r="BH93" s="539">
        <f t="shared" si="28"/>
        <v>702.9956286013595</v>
      </c>
      <c r="BI93" s="539">
        <f t="shared" si="28"/>
        <v>702.9956286013595</v>
      </c>
      <c r="BJ93" s="539">
        <f t="shared" si="28"/>
        <v>717.0555411733867</v>
      </c>
      <c r="BK93" s="539">
        <f t="shared" si="28"/>
        <v>717.0555411733867</v>
      </c>
      <c r="BL93" s="539">
        <f t="shared" si="28"/>
        <v>717.0555411733867</v>
      </c>
      <c r="BM93" s="539">
        <f t="shared" si="28"/>
        <v>717.0555411733867</v>
      </c>
      <c r="BN93" s="539">
        <f t="shared" si="28"/>
        <v>731.39665199685442</v>
      </c>
      <c r="BO93" s="539">
        <f t="shared" si="28"/>
        <v>731.39665199685442</v>
      </c>
      <c r="BP93" s="539">
        <f t="shared" si="28"/>
        <v>731.39665199685442</v>
      </c>
      <c r="BQ93" s="539">
        <f t="shared" si="28"/>
        <v>731.39665199685442</v>
      </c>
      <c r="BR93" s="539">
        <f t="shared" si="28"/>
        <v>746.02458503679145</v>
      </c>
      <c r="BS93" s="539">
        <f t="shared" si="28"/>
        <v>746.02458503679145</v>
      </c>
      <c r="BT93" s="539">
        <f t="shared" si="28"/>
        <v>746.02458503679145</v>
      </c>
      <c r="BU93" s="539">
        <f t="shared" si="28"/>
        <v>746.02458503679145</v>
      </c>
      <c r="BV93" s="539">
        <f t="shared" si="28"/>
        <v>760.94507673752742</v>
      </c>
      <c r="BW93" s="539">
        <f t="shared" si="28"/>
        <v>760.94507673752742</v>
      </c>
      <c r="BX93" s="539">
        <f t="shared" si="28"/>
        <v>760.94507673752742</v>
      </c>
      <c r="BY93" s="539">
        <f t="shared" si="28"/>
        <v>760.94507673752742</v>
      </c>
      <c r="BZ93" s="539">
        <f t="shared" si="28"/>
        <v>776.16397827227775</v>
      </c>
      <c r="CA93" s="539">
        <f t="shared" si="28"/>
        <v>776.16397827227775</v>
      </c>
      <c r="CB93" s="539">
        <f t="shared" si="28"/>
        <v>776.16397827227775</v>
      </c>
      <c r="CC93" s="539">
        <f t="shared" si="28"/>
        <v>776.16397827227775</v>
      </c>
      <c r="CD93" s="539">
        <f t="shared" si="28"/>
        <v>791.68725783772345</v>
      </c>
      <c r="CE93" s="539">
        <f t="shared" si="28"/>
        <v>791.68725783772345</v>
      </c>
      <c r="CF93" s="539">
        <f t="shared" si="28"/>
        <v>791.68725783772345</v>
      </c>
      <c r="CG93" s="539">
        <f t="shared" si="28"/>
        <v>791.68725783772345</v>
      </c>
      <c r="CH93" s="539">
        <f t="shared" si="28"/>
        <v>807.52100299447795</v>
      </c>
      <c r="CI93" s="539">
        <f t="shared" si="28"/>
        <v>807.52100299447795</v>
      </c>
      <c r="CJ93" s="539">
        <f t="shared" si="28"/>
        <v>807.52100299447795</v>
      </c>
      <c r="CK93" s="539">
        <f t="shared" si="28"/>
        <v>807.52100299447795</v>
      </c>
      <c r="CL93" s="539">
        <f t="shared" si="28"/>
        <v>823.67142305436755</v>
      </c>
      <c r="CM93" s="539">
        <f t="shared" si="28"/>
        <v>823.67142305436755</v>
      </c>
      <c r="CN93" s="539">
        <f t="shared" si="28"/>
        <v>823.67142305436755</v>
      </c>
      <c r="CO93" s="539">
        <f t="shared" si="28"/>
        <v>823.67142305436755</v>
      </c>
      <c r="CP93" s="539">
        <f t="shared" si="28"/>
        <v>840.14485151545489</v>
      </c>
      <c r="CQ93" s="539">
        <f t="shared" si="28"/>
        <v>840.14485151545489</v>
      </c>
      <c r="CR93" s="539">
        <f t="shared" si="28"/>
        <v>840.14485151545489</v>
      </c>
      <c r="CS93" s="539">
        <f t="shared" si="28"/>
        <v>840.14485151545489</v>
      </c>
      <c r="CT93" s="539">
        <f t="shared" si="28"/>
        <v>856.94774854576417</v>
      </c>
      <c r="CU93" s="539">
        <f t="shared" si="28"/>
        <v>856.94774854576417</v>
      </c>
      <c r="CV93" s="539">
        <f t="shared" si="28"/>
        <v>856.94774854576417</v>
      </c>
      <c r="CW93" s="539">
        <f t="shared" si="28"/>
        <v>856.94774854576417</v>
      </c>
      <c r="CX93" s="539">
        <f t="shared" si="28"/>
        <v>874.08670351667934</v>
      </c>
      <c r="CY93" s="539">
        <f t="shared" si="28"/>
        <v>874.08670351667934</v>
      </c>
      <c r="CZ93" s="539">
        <f t="shared" si="28"/>
        <v>874.08670351667934</v>
      </c>
      <c r="DA93" s="539">
        <f t="shared" si="28"/>
        <v>874.08670351667934</v>
      </c>
      <c r="DB93" s="539">
        <f t="shared" si="28"/>
        <v>891.56843758701291</v>
      </c>
      <c r="DC93" s="539">
        <f t="shared" si="28"/>
        <v>891.56843758701291</v>
      </c>
      <c r="DD93" s="539">
        <f t="shared" si="28"/>
        <v>891.56843758701291</v>
      </c>
      <c r="DE93" s="539">
        <f t="shared" si="28"/>
        <v>891.56843758701291</v>
      </c>
      <c r="DF93" s="539">
        <f t="shared" si="28"/>
        <v>909.39980633875336</v>
      </c>
      <c r="DG93" s="539">
        <f t="shared" si="28"/>
        <v>909.39980633875336</v>
      </c>
      <c r="DH93" s="539">
        <f t="shared" si="28"/>
        <v>909.39980633875336</v>
      </c>
      <c r="DI93" s="539">
        <f t="shared" si="28"/>
        <v>909.39980633875336</v>
      </c>
      <c r="DJ93" s="539">
        <f t="shared" si="28"/>
        <v>927.5878024655284</v>
      </c>
      <c r="DK93" s="539">
        <f t="shared" si="28"/>
        <v>927.5878024655284</v>
      </c>
      <c r="DL93" s="539">
        <f t="shared" si="28"/>
        <v>927.5878024655284</v>
      </c>
      <c r="DM93" s="539">
        <f t="shared" si="28"/>
        <v>927.5878024655284</v>
      </c>
      <c r="DN93" s="539">
        <f t="shared" si="28"/>
        <v>946.139558514839</v>
      </c>
      <c r="DO93" s="539">
        <f t="shared" si="28"/>
        <v>946.139558514839</v>
      </c>
      <c r="DP93" s="539">
        <f t="shared" si="28"/>
        <v>946.139558514839</v>
      </c>
      <c r="DQ93" s="539">
        <f t="shared" si="28"/>
        <v>946.139558514839</v>
      </c>
      <c r="DR93" s="539">
        <f t="shared" si="28"/>
        <v>965.0623496851357</v>
      </c>
      <c r="DS93" s="539">
        <f t="shared" si="28"/>
        <v>965.0623496851357</v>
      </c>
      <c r="DT93" s="539">
        <f t="shared" si="28"/>
        <v>965.0623496851357</v>
      </c>
      <c r="DU93" s="539">
        <f t="shared" si="28"/>
        <v>965.0623496851357</v>
      </c>
      <c r="DV93" s="539">
        <f t="shared" si="28"/>
        <v>984.36359667883846</v>
      </c>
      <c r="DW93" s="539">
        <f t="shared" si="28"/>
        <v>984.36359667883846</v>
      </c>
      <c r="DX93" s="539">
        <f t="shared" si="28"/>
        <v>984.36359667883846</v>
      </c>
      <c r="DY93" s="539">
        <f t="shared" si="28"/>
        <v>984.36359667883846</v>
      </c>
      <c r="DZ93" s="539">
        <f t="shared" si="28"/>
        <v>1004.0508686124151</v>
      </c>
      <c r="EA93" s="539">
        <f t="shared" si="28"/>
        <v>1004.0508686124151</v>
      </c>
      <c r="EB93" s="539">
        <f t="shared" si="28"/>
        <v>1004.0508686124151</v>
      </c>
      <c r="EC93" s="539">
        <f t="shared" si="28"/>
        <v>1004.0508686124151</v>
      </c>
      <c r="ED93" s="539">
        <f t="shared" si="28"/>
        <v>0</v>
      </c>
      <c r="EE93" s="539">
        <f t="shared" si="28"/>
        <v>0</v>
      </c>
      <c r="EF93" s="539">
        <f t="shared" si="28"/>
        <v>0</v>
      </c>
      <c r="EG93" s="539">
        <f t="shared" si="28"/>
        <v>0</v>
      </c>
    </row>
    <row r="94" spans="5:137" ht="12.75">
      <c r="E94" s="540" t="s">
        <v>267</v>
      </c>
      <c r="G94" s="541" t="s">
        <v>30</v>
      </c>
      <c r="H94" s="541">
        <f>SUM(J94:EG94)</f>
        <v>484595.0870869669</v>
      </c>
      <c r="J94" s="541">
        <f t="shared" si="29" ref="J94:EG94">J92+J93+J91</f>
        <v>0</v>
      </c>
      <c r="K94" s="541">
        <f t="shared" si="29"/>
        <v>0</v>
      </c>
      <c r="L94" s="541">
        <f t="shared" si="29"/>
        <v>0</v>
      </c>
      <c r="M94" s="541">
        <f t="shared" si="29"/>
        <v>0</v>
      </c>
      <c r="N94" s="541">
        <f t="shared" si="29"/>
        <v>0</v>
      </c>
      <c r="O94" s="541">
        <f t="shared" si="29"/>
        <v>0</v>
      </c>
      <c r="P94" s="541">
        <f t="shared" si="29"/>
        <v>0</v>
      </c>
      <c r="Q94" s="541">
        <f t="shared" si="29"/>
        <v>0</v>
      </c>
      <c r="R94" s="541">
        <f t="shared" si="29"/>
        <v>0</v>
      </c>
      <c r="S94" s="541">
        <f t="shared" si="29"/>
        <v>0</v>
      </c>
      <c r="T94" s="541">
        <f t="shared" si="29"/>
        <v>0</v>
      </c>
      <c r="U94" s="541">
        <f t="shared" si="29"/>
        <v>0</v>
      </c>
      <c r="V94" s="541">
        <f t="shared" si="29"/>
        <v>0</v>
      </c>
      <c r="W94" s="541">
        <f t="shared" si="29"/>
        <v>0</v>
      </c>
      <c r="X94" s="541">
        <f t="shared" si="29"/>
        <v>0</v>
      </c>
      <c r="Y94" s="541">
        <f t="shared" si="29"/>
        <v>0</v>
      </c>
      <c r="Z94" s="541">
        <f t="shared" si="29"/>
        <v>0</v>
      </c>
      <c r="AA94" s="541">
        <f t="shared" si="29"/>
        <v>0</v>
      </c>
      <c r="AB94" s="541">
        <f t="shared" si="29"/>
        <v>0</v>
      </c>
      <c r="AC94" s="541">
        <f t="shared" si="29"/>
        <v>0</v>
      </c>
      <c r="AD94" s="541">
        <f t="shared" si="29"/>
        <v>0</v>
      </c>
      <c r="AE94" s="541">
        <f t="shared" si="29"/>
        <v>0</v>
      </c>
      <c r="AF94" s="541">
        <f t="shared" si="29"/>
        <v>0</v>
      </c>
      <c r="AG94" s="541">
        <f t="shared" si="29"/>
        <v>0</v>
      </c>
      <c r="AH94" s="541">
        <f t="shared" si="29"/>
        <v>3488.8990624999997</v>
      </c>
      <c r="AI94" s="541">
        <f t="shared" si="29"/>
        <v>3488.8990624999997</v>
      </c>
      <c r="AJ94" s="541">
        <f t="shared" si="29"/>
        <v>3488.8990624999997</v>
      </c>
      <c r="AK94" s="541">
        <f t="shared" si="29"/>
        <v>3488.8990624999997</v>
      </c>
      <c r="AL94" s="541">
        <f t="shared" si="29"/>
        <v>3580.5703640625002</v>
      </c>
      <c r="AM94" s="541">
        <f t="shared" si="29"/>
        <v>3580.5703640625002</v>
      </c>
      <c r="AN94" s="541">
        <f t="shared" si="29"/>
        <v>3580.5703640625002</v>
      </c>
      <c r="AO94" s="541">
        <f t="shared" si="29"/>
        <v>3580.5703640625002</v>
      </c>
      <c r="AP94" s="541">
        <f t="shared" si="29"/>
        <v>3674.6387309140623</v>
      </c>
      <c r="AQ94" s="541">
        <f t="shared" si="29"/>
        <v>3674.6387309140623</v>
      </c>
      <c r="AR94" s="541">
        <f t="shared" si="29"/>
        <v>3674.6387309140623</v>
      </c>
      <c r="AS94" s="541">
        <f t="shared" si="29"/>
        <v>3674.6387309140623</v>
      </c>
      <c r="AT94" s="541">
        <f t="shared" si="29"/>
        <v>3771.1681845294138</v>
      </c>
      <c r="AU94" s="541">
        <f t="shared" si="29"/>
        <v>3771.1681845294138</v>
      </c>
      <c r="AV94" s="541">
        <f t="shared" si="29"/>
        <v>3771.1681845294138</v>
      </c>
      <c r="AW94" s="541">
        <f t="shared" si="29"/>
        <v>3771.1681845294138</v>
      </c>
      <c r="AX94" s="541">
        <f t="shared" si="29"/>
        <v>3870.2244884926249</v>
      </c>
      <c r="AY94" s="541">
        <f t="shared" si="29"/>
        <v>3870.2244884926249</v>
      </c>
      <c r="AZ94" s="541">
        <f t="shared" si="29"/>
        <v>3870.2244884926249</v>
      </c>
      <c r="BA94" s="541">
        <f t="shared" si="29"/>
        <v>3870.2244884926249</v>
      </c>
      <c r="BB94" s="541">
        <f t="shared" si="29"/>
        <v>3971.8751966715586</v>
      </c>
      <c r="BC94" s="541">
        <f t="shared" si="29"/>
        <v>3971.8751966715586</v>
      </c>
      <c r="BD94" s="541">
        <f t="shared" si="29"/>
        <v>3971.8751966715586</v>
      </c>
      <c r="BE94" s="541">
        <f t="shared" si="29"/>
        <v>3971.8751966715586</v>
      </c>
      <c r="BF94" s="541">
        <f t="shared" si="29"/>
        <v>4076.1897027428304</v>
      </c>
      <c r="BG94" s="541">
        <f t="shared" si="29"/>
        <v>4076.1897027428304</v>
      </c>
      <c r="BH94" s="541">
        <f t="shared" si="29"/>
        <v>4076.1897027428304</v>
      </c>
      <c r="BI94" s="541">
        <f t="shared" si="29"/>
        <v>4076.1897027428304</v>
      </c>
      <c r="BJ94" s="541">
        <f t="shared" si="29"/>
        <v>4183.239291105564</v>
      </c>
      <c r="BK94" s="541">
        <f t="shared" si="29"/>
        <v>4183.239291105564</v>
      </c>
      <c r="BL94" s="541">
        <f t="shared" si="29"/>
        <v>4183.239291105564</v>
      </c>
      <c r="BM94" s="541">
        <f t="shared" si="29"/>
        <v>4183.239291105564</v>
      </c>
      <c r="BN94" s="541">
        <f t="shared" si="29"/>
        <v>4293.0971892233347</v>
      </c>
      <c r="BO94" s="541">
        <f t="shared" si="29"/>
        <v>4293.0971892233347</v>
      </c>
      <c r="BP94" s="541">
        <f t="shared" si="29"/>
        <v>4293.0971892233347</v>
      </c>
      <c r="BQ94" s="541">
        <f t="shared" si="29"/>
        <v>4293.0971892233347</v>
      </c>
      <c r="BR94" s="541">
        <f t="shared" si="29"/>
        <v>4405.838621434842</v>
      </c>
      <c r="BS94" s="541">
        <f t="shared" si="29"/>
        <v>4405.838621434842</v>
      </c>
      <c r="BT94" s="541">
        <f t="shared" si="29"/>
        <v>4405.838621434842</v>
      </c>
      <c r="BU94" s="541">
        <f t="shared" si="29"/>
        <v>4405.838621434842</v>
      </c>
      <c r="BV94" s="541">
        <f t="shared" si="29"/>
        <v>4521.5408642749644</v>
      </c>
      <c r="BW94" s="541">
        <f t="shared" si="29"/>
        <v>4521.5408642749644</v>
      </c>
      <c r="BX94" s="541">
        <f t="shared" si="29"/>
        <v>4521.5408642749644</v>
      </c>
      <c r="BY94" s="541">
        <f t="shared" si="29"/>
        <v>4521.5408642749644</v>
      </c>
      <c r="BZ94" s="541">
        <f t="shared" si="29"/>
        <v>4640.283303349097</v>
      </c>
      <c r="CA94" s="541">
        <f t="shared" si="29"/>
        <v>4640.283303349097</v>
      </c>
      <c r="CB94" s="541">
        <f t="shared" si="29"/>
        <v>4640.283303349097</v>
      </c>
      <c r="CC94" s="541">
        <f t="shared" si="29"/>
        <v>4640.283303349097</v>
      </c>
      <c r="CD94" s="541">
        <f t="shared" si="29"/>
        <v>4762.1474918048543</v>
      </c>
      <c r="CE94" s="541">
        <f t="shared" si="29"/>
        <v>4762.1474918048543</v>
      </c>
      <c r="CF94" s="541">
        <f t="shared" si="29"/>
        <v>4762.1474918048543</v>
      </c>
      <c r="CG94" s="541">
        <f t="shared" si="29"/>
        <v>4762.1474918048543</v>
      </c>
      <c r="CH94" s="541">
        <f t="shared" si="29"/>
        <v>4887.2172104465371</v>
      </c>
      <c r="CI94" s="541">
        <f t="shared" si="29"/>
        <v>4887.2172104465371</v>
      </c>
      <c r="CJ94" s="541">
        <f t="shared" si="29"/>
        <v>4887.2172104465371</v>
      </c>
      <c r="CK94" s="541">
        <f t="shared" si="29"/>
        <v>4887.2172104465371</v>
      </c>
      <c r="CL94" s="541">
        <f t="shared" si="29"/>
        <v>5015.5785295389969</v>
      </c>
      <c r="CM94" s="541">
        <f t="shared" si="29"/>
        <v>5015.5785295389969</v>
      </c>
      <c r="CN94" s="541">
        <f t="shared" si="29"/>
        <v>5015.5785295389969</v>
      </c>
      <c r="CO94" s="541">
        <f t="shared" si="29"/>
        <v>5015.5785295389969</v>
      </c>
      <c r="CP94" s="541">
        <f t="shared" si="29"/>
        <v>5147.3198723489313</v>
      </c>
      <c r="CQ94" s="541">
        <f t="shared" si="29"/>
        <v>5147.3198723489313</v>
      </c>
      <c r="CR94" s="541">
        <f t="shared" si="29"/>
        <v>5147.3198723489313</v>
      </c>
      <c r="CS94" s="541">
        <f t="shared" si="29"/>
        <v>5147.3198723489313</v>
      </c>
      <c r="CT94" s="541">
        <f t="shared" si="29"/>
        <v>5282.5320804729872</v>
      </c>
      <c r="CU94" s="541">
        <f t="shared" si="29"/>
        <v>5282.5320804729872</v>
      </c>
      <c r="CV94" s="541">
        <f t="shared" si="29"/>
        <v>5282.5320804729872</v>
      </c>
      <c r="CW94" s="541">
        <f t="shared" si="29"/>
        <v>5282.5320804729872</v>
      </c>
      <c r="CX94" s="541">
        <f t="shared" si="29"/>
        <v>5421.3084810034679</v>
      </c>
      <c r="CY94" s="541">
        <f t="shared" si="29"/>
        <v>5421.3084810034679</v>
      </c>
      <c r="CZ94" s="541">
        <f t="shared" si="29"/>
        <v>5421.3084810034679</v>
      </c>
      <c r="DA94" s="541">
        <f t="shared" si="29"/>
        <v>5421.3084810034679</v>
      </c>
      <c r="DB94" s="541">
        <f t="shared" si="29"/>
        <v>5563.7449555839112</v>
      </c>
      <c r="DC94" s="541">
        <f t="shared" si="29"/>
        <v>5563.7449555839112</v>
      </c>
      <c r="DD94" s="541">
        <f t="shared" si="29"/>
        <v>5563.7449555839112</v>
      </c>
      <c r="DE94" s="541">
        <f t="shared" si="29"/>
        <v>5563.7449555839112</v>
      </c>
      <c r="DF94" s="541">
        <f t="shared" si="29"/>
        <v>5709.94001140829</v>
      </c>
      <c r="DG94" s="541">
        <f t="shared" si="29"/>
        <v>5709.94001140829</v>
      </c>
      <c r="DH94" s="541">
        <f t="shared" si="29"/>
        <v>5709.94001140829</v>
      </c>
      <c r="DI94" s="541">
        <f t="shared" si="29"/>
        <v>5709.94001140829</v>
      </c>
      <c r="DJ94" s="541">
        <f t="shared" si="29"/>
        <v>5859.9948542191414</v>
      </c>
      <c r="DK94" s="541">
        <f t="shared" si="29"/>
        <v>5859.9948542191414</v>
      </c>
      <c r="DL94" s="541">
        <f t="shared" si="29"/>
        <v>5859.9948542191414</v>
      </c>
      <c r="DM94" s="541">
        <f t="shared" si="29"/>
        <v>5859.9948542191414</v>
      </c>
      <c r="DN94" s="541">
        <f t="shared" si="29"/>
        <v>6014.013463361508</v>
      </c>
      <c r="DO94" s="541">
        <f t="shared" si="29"/>
        <v>6014.013463361508</v>
      </c>
      <c r="DP94" s="541">
        <f t="shared" si="29"/>
        <v>6014.013463361508</v>
      </c>
      <c r="DQ94" s="541">
        <f t="shared" si="29"/>
        <v>6014.013463361508</v>
      </c>
      <c r="DR94" s="541">
        <f t="shared" si="29"/>
        <v>6172.1026689512255</v>
      </c>
      <c r="DS94" s="541">
        <f t="shared" si="29"/>
        <v>6172.1026689512255</v>
      </c>
      <c r="DT94" s="541">
        <f t="shared" si="29"/>
        <v>6172.1026689512255</v>
      </c>
      <c r="DU94" s="541">
        <f t="shared" si="29"/>
        <v>6172.1026689512255</v>
      </c>
      <c r="DV94" s="541">
        <f t="shared" si="29"/>
        <v>6334.3722312177451</v>
      </c>
      <c r="DW94" s="541">
        <f t="shared" si="29"/>
        <v>6334.3722312177451</v>
      </c>
      <c r="DX94" s="541">
        <f t="shared" si="29"/>
        <v>6334.3722312177451</v>
      </c>
      <c r="DY94" s="541">
        <f t="shared" si="29"/>
        <v>6334.3722312177451</v>
      </c>
      <c r="DZ94" s="541">
        <f t="shared" si="29"/>
        <v>6500.9349220834356</v>
      </c>
      <c r="EA94" s="541">
        <f t="shared" si="29"/>
        <v>6500.9349220834356</v>
      </c>
      <c r="EB94" s="541">
        <f t="shared" si="29"/>
        <v>6500.9349220834356</v>
      </c>
      <c r="EC94" s="541">
        <f t="shared" si="29"/>
        <v>6500.9349220834356</v>
      </c>
      <c r="ED94" s="541">
        <f t="shared" si="29"/>
        <v>0</v>
      </c>
      <c r="EE94" s="541">
        <f t="shared" si="29"/>
        <v>0</v>
      </c>
      <c r="EF94" s="541">
        <f t="shared" si="29"/>
        <v>0</v>
      </c>
      <c r="EG94" s="541">
        <f t="shared" si="29"/>
        <v>0</v>
      </c>
    </row>
    <row r="97" spans="1:1" ht="12.75">
      <c r="A97" s="534" t="s">
        <v>268</v>
      </c>
    </row>
    <row r="99" spans="5:137" ht="12.75">
      <c r="E99" s="538" t="str">
        <f>E$48</f>
        <v>Revenue - total</v>
      </c>
      <c r="G99" s="539" t="str">
        <f>G$48</f>
        <v>EUR 000s</v>
      </c>
      <c r="H99" s="539">
        <f>H$48</f>
        <v>1599567.5439386531</v>
      </c>
      <c r="J99" s="539">
        <f t="shared" si="30" ref="J99:EG99">J$48</f>
        <v>0</v>
      </c>
      <c r="K99" s="539">
        <f t="shared" si="30"/>
        <v>0</v>
      </c>
      <c r="L99" s="539">
        <f t="shared" si="30"/>
        <v>0</v>
      </c>
      <c r="M99" s="539">
        <f t="shared" si="30"/>
        <v>0</v>
      </c>
      <c r="N99" s="539">
        <f t="shared" si="30"/>
        <v>0</v>
      </c>
      <c r="O99" s="539">
        <f t="shared" si="30"/>
        <v>0</v>
      </c>
      <c r="P99" s="539">
        <f t="shared" si="30"/>
        <v>0</v>
      </c>
      <c r="Q99" s="539">
        <f t="shared" si="30"/>
        <v>0</v>
      </c>
      <c r="R99" s="539">
        <f t="shared" si="30"/>
        <v>0</v>
      </c>
      <c r="S99" s="539">
        <f t="shared" si="30"/>
        <v>0</v>
      </c>
      <c r="T99" s="539">
        <f t="shared" si="30"/>
        <v>0</v>
      </c>
      <c r="U99" s="539">
        <f t="shared" si="30"/>
        <v>0</v>
      </c>
      <c r="V99" s="539">
        <f t="shared" si="30"/>
        <v>0</v>
      </c>
      <c r="W99" s="539">
        <f t="shared" si="30"/>
        <v>0</v>
      </c>
      <c r="X99" s="539">
        <f t="shared" si="30"/>
        <v>0</v>
      </c>
      <c r="Y99" s="539">
        <f t="shared" si="30"/>
        <v>0</v>
      </c>
      <c r="Z99" s="539">
        <f t="shared" si="30"/>
        <v>0</v>
      </c>
      <c r="AA99" s="539">
        <f t="shared" si="30"/>
        <v>0</v>
      </c>
      <c r="AB99" s="539">
        <f t="shared" si="30"/>
        <v>0</v>
      </c>
      <c r="AC99" s="539">
        <f t="shared" si="30"/>
        <v>0</v>
      </c>
      <c r="AD99" s="539">
        <f t="shared" si="30"/>
        <v>0</v>
      </c>
      <c r="AE99" s="539">
        <f t="shared" si="30"/>
        <v>0</v>
      </c>
      <c r="AF99" s="539">
        <f t="shared" si="30"/>
        <v>0</v>
      </c>
      <c r="AG99" s="539">
        <f t="shared" si="30"/>
        <v>0</v>
      </c>
      <c r="AH99" s="539">
        <f t="shared" si="30"/>
        <v>12484.799999999999</v>
      </c>
      <c r="AI99" s="539">
        <f t="shared" si="30"/>
        <v>12484.799999999999</v>
      </c>
      <c r="AJ99" s="539">
        <f t="shared" si="30"/>
        <v>12484.799999999999</v>
      </c>
      <c r="AK99" s="539">
        <f t="shared" si="30"/>
        <v>12484.799999999999</v>
      </c>
      <c r="AL99" s="539">
        <f t="shared" si="30"/>
        <v>12734.495999999999</v>
      </c>
      <c r="AM99" s="539">
        <f t="shared" si="30"/>
        <v>12734.495999999999</v>
      </c>
      <c r="AN99" s="539">
        <f t="shared" si="30"/>
        <v>12734.495999999999</v>
      </c>
      <c r="AO99" s="539">
        <f t="shared" si="30"/>
        <v>12734.495999999999</v>
      </c>
      <c r="AP99" s="539">
        <f t="shared" si="30"/>
        <v>12989.18592</v>
      </c>
      <c r="AQ99" s="539">
        <f t="shared" si="30"/>
        <v>12989.18592</v>
      </c>
      <c r="AR99" s="539">
        <f t="shared" si="30"/>
        <v>12989.18592</v>
      </c>
      <c r="AS99" s="539">
        <f t="shared" si="30"/>
        <v>12989.18592</v>
      </c>
      <c r="AT99" s="539">
        <f t="shared" si="30"/>
        <v>13248.9696384</v>
      </c>
      <c r="AU99" s="539">
        <f t="shared" si="30"/>
        <v>13248.9696384</v>
      </c>
      <c r="AV99" s="539">
        <f t="shared" si="30"/>
        <v>13248.9696384</v>
      </c>
      <c r="AW99" s="539">
        <f t="shared" si="30"/>
        <v>13248.9696384</v>
      </c>
      <c r="AX99" s="539">
        <f t="shared" si="30"/>
        <v>13513.949031168</v>
      </c>
      <c r="AY99" s="539">
        <f t="shared" si="30"/>
        <v>13513.949031168</v>
      </c>
      <c r="AZ99" s="539">
        <f t="shared" si="30"/>
        <v>13513.949031168</v>
      </c>
      <c r="BA99" s="539">
        <f t="shared" si="30"/>
        <v>13513.949031168</v>
      </c>
      <c r="BB99" s="539">
        <f t="shared" si="30"/>
        <v>13784.228011791361</v>
      </c>
      <c r="BC99" s="539">
        <f t="shared" si="30"/>
        <v>13784.228011791361</v>
      </c>
      <c r="BD99" s="539">
        <f t="shared" si="30"/>
        <v>13784.228011791361</v>
      </c>
      <c r="BE99" s="539">
        <f t="shared" si="30"/>
        <v>13784.228011791361</v>
      </c>
      <c r="BF99" s="539">
        <f t="shared" si="30"/>
        <v>14059.91257202719</v>
      </c>
      <c r="BG99" s="539">
        <f t="shared" si="30"/>
        <v>14059.91257202719</v>
      </c>
      <c r="BH99" s="539">
        <f t="shared" si="30"/>
        <v>14059.91257202719</v>
      </c>
      <c r="BI99" s="539">
        <f t="shared" si="30"/>
        <v>14059.91257202719</v>
      </c>
      <c r="BJ99" s="539">
        <f t="shared" si="30"/>
        <v>14341.110823467732</v>
      </c>
      <c r="BK99" s="539">
        <f t="shared" si="30"/>
        <v>14341.110823467732</v>
      </c>
      <c r="BL99" s="539">
        <f t="shared" si="30"/>
        <v>14341.110823467732</v>
      </c>
      <c r="BM99" s="539">
        <f t="shared" si="30"/>
        <v>14341.110823467732</v>
      </c>
      <c r="BN99" s="539">
        <f t="shared" si="30"/>
        <v>14627.933039937088</v>
      </c>
      <c r="BO99" s="539">
        <f t="shared" si="30"/>
        <v>14627.933039937088</v>
      </c>
      <c r="BP99" s="539">
        <f t="shared" si="30"/>
        <v>14627.933039937088</v>
      </c>
      <c r="BQ99" s="539">
        <f t="shared" si="30"/>
        <v>14627.933039937088</v>
      </c>
      <c r="BR99" s="539">
        <f t="shared" si="30"/>
        <v>14920.491700735829</v>
      </c>
      <c r="BS99" s="539">
        <f t="shared" si="30"/>
        <v>14920.491700735829</v>
      </c>
      <c r="BT99" s="539">
        <f t="shared" si="30"/>
        <v>14920.491700735829</v>
      </c>
      <c r="BU99" s="539">
        <f t="shared" si="30"/>
        <v>14920.491700735829</v>
      </c>
      <c r="BV99" s="539">
        <f t="shared" si="30"/>
        <v>15218.901534750546</v>
      </c>
      <c r="BW99" s="539">
        <f t="shared" si="30"/>
        <v>15218.901534750546</v>
      </c>
      <c r="BX99" s="539">
        <f t="shared" si="30"/>
        <v>15218.901534750546</v>
      </c>
      <c r="BY99" s="539">
        <f t="shared" si="30"/>
        <v>15218.901534750546</v>
      </c>
      <c r="BZ99" s="539">
        <f t="shared" si="30"/>
        <v>15523.279565445555</v>
      </c>
      <c r="CA99" s="539">
        <f t="shared" si="30"/>
        <v>15523.279565445555</v>
      </c>
      <c r="CB99" s="539">
        <f t="shared" si="30"/>
        <v>15523.279565445555</v>
      </c>
      <c r="CC99" s="539">
        <f t="shared" si="30"/>
        <v>15523.279565445555</v>
      </c>
      <c r="CD99" s="539">
        <f t="shared" si="30"/>
        <v>15833.745156754469</v>
      </c>
      <c r="CE99" s="539">
        <f t="shared" si="30"/>
        <v>15833.745156754469</v>
      </c>
      <c r="CF99" s="539">
        <f t="shared" si="30"/>
        <v>15833.745156754469</v>
      </c>
      <c r="CG99" s="539">
        <f t="shared" si="30"/>
        <v>15833.745156754469</v>
      </c>
      <c r="CH99" s="539">
        <f t="shared" si="30"/>
        <v>16150.420059889559</v>
      </c>
      <c r="CI99" s="539">
        <f t="shared" si="30"/>
        <v>16150.420059889559</v>
      </c>
      <c r="CJ99" s="539">
        <f t="shared" si="30"/>
        <v>16150.420059889559</v>
      </c>
      <c r="CK99" s="539">
        <f t="shared" si="30"/>
        <v>16150.420059889559</v>
      </c>
      <c r="CL99" s="539">
        <f t="shared" si="30"/>
        <v>16473.428461087351</v>
      </c>
      <c r="CM99" s="539">
        <f t="shared" si="30"/>
        <v>16473.428461087351</v>
      </c>
      <c r="CN99" s="539">
        <f t="shared" si="30"/>
        <v>16473.428461087351</v>
      </c>
      <c r="CO99" s="539">
        <f t="shared" si="30"/>
        <v>16473.428461087351</v>
      </c>
      <c r="CP99" s="539">
        <f t="shared" si="30"/>
        <v>16802.897030309097</v>
      </c>
      <c r="CQ99" s="539">
        <f t="shared" si="30"/>
        <v>16802.897030309097</v>
      </c>
      <c r="CR99" s="539">
        <f t="shared" si="30"/>
        <v>16802.897030309097</v>
      </c>
      <c r="CS99" s="539">
        <f t="shared" si="30"/>
        <v>16802.897030309097</v>
      </c>
      <c r="CT99" s="539">
        <f t="shared" si="30"/>
        <v>17138.954970915282</v>
      </c>
      <c r="CU99" s="539">
        <f t="shared" si="30"/>
        <v>17138.954970915282</v>
      </c>
      <c r="CV99" s="539">
        <f t="shared" si="30"/>
        <v>17138.954970915282</v>
      </c>
      <c r="CW99" s="539">
        <f t="shared" si="30"/>
        <v>17138.954970915282</v>
      </c>
      <c r="CX99" s="539">
        <f t="shared" si="30"/>
        <v>17481.734070333587</v>
      </c>
      <c r="CY99" s="539">
        <f t="shared" si="30"/>
        <v>17481.734070333587</v>
      </c>
      <c r="CZ99" s="539">
        <f t="shared" si="30"/>
        <v>17481.734070333587</v>
      </c>
      <c r="DA99" s="539">
        <f t="shared" si="30"/>
        <v>17481.734070333587</v>
      </c>
      <c r="DB99" s="539">
        <f t="shared" si="30"/>
        <v>17831.368751740258</v>
      </c>
      <c r="DC99" s="539">
        <f t="shared" si="30"/>
        <v>17831.368751740258</v>
      </c>
      <c r="DD99" s="539">
        <f t="shared" si="30"/>
        <v>17831.368751740258</v>
      </c>
      <c r="DE99" s="539">
        <f t="shared" si="30"/>
        <v>17831.368751740258</v>
      </c>
      <c r="DF99" s="539">
        <f t="shared" si="30"/>
        <v>18187.996126775066</v>
      </c>
      <c r="DG99" s="539">
        <f t="shared" si="30"/>
        <v>18187.996126775066</v>
      </c>
      <c r="DH99" s="539">
        <f t="shared" si="30"/>
        <v>18187.996126775066</v>
      </c>
      <c r="DI99" s="539">
        <f t="shared" si="30"/>
        <v>18187.996126775066</v>
      </c>
      <c r="DJ99" s="539">
        <f t="shared" si="30"/>
        <v>18551.756049310567</v>
      </c>
      <c r="DK99" s="539">
        <f t="shared" si="30"/>
        <v>18551.756049310567</v>
      </c>
      <c r="DL99" s="539">
        <f t="shared" si="30"/>
        <v>18551.756049310567</v>
      </c>
      <c r="DM99" s="539">
        <f t="shared" si="30"/>
        <v>18551.756049310567</v>
      </c>
      <c r="DN99" s="539">
        <f t="shared" si="30"/>
        <v>18922.791170296779</v>
      </c>
      <c r="DO99" s="539">
        <f t="shared" si="30"/>
        <v>18922.791170296779</v>
      </c>
      <c r="DP99" s="539">
        <f t="shared" si="30"/>
        <v>18922.791170296779</v>
      </c>
      <c r="DQ99" s="539">
        <f t="shared" si="30"/>
        <v>18922.791170296779</v>
      </c>
      <c r="DR99" s="539">
        <f t="shared" si="30"/>
        <v>19301.246993702713</v>
      </c>
      <c r="DS99" s="539">
        <f t="shared" si="30"/>
        <v>19301.246993702713</v>
      </c>
      <c r="DT99" s="539">
        <f t="shared" si="30"/>
        <v>19301.246993702713</v>
      </c>
      <c r="DU99" s="539">
        <f t="shared" si="30"/>
        <v>19301.246993702713</v>
      </c>
      <c r="DV99" s="539">
        <f t="shared" si="30"/>
        <v>19687.271933576769</v>
      </c>
      <c r="DW99" s="539">
        <f t="shared" si="30"/>
        <v>19687.271933576769</v>
      </c>
      <c r="DX99" s="539">
        <f t="shared" si="30"/>
        <v>19687.271933576769</v>
      </c>
      <c r="DY99" s="539">
        <f t="shared" si="30"/>
        <v>19687.271933576769</v>
      </c>
      <c r="DZ99" s="539">
        <f t="shared" si="30"/>
        <v>20081.017372248301</v>
      </c>
      <c r="EA99" s="539">
        <f t="shared" si="30"/>
        <v>20081.017372248301</v>
      </c>
      <c r="EB99" s="539">
        <f t="shared" si="30"/>
        <v>20081.017372248301</v>
      </c>
      <c r="EC99" s="539">
        <f t="shared" si="30"/>
        <v>20081.017372248301</v>
      </c>
      <c r="ED99" s="539">
        <f t="shared" si="30"/>
        <v>0</v>
      </c>
      <c r="EE99" s="539">
        <f t="shared" si="30"/>
        <v>0</v>
      </c>
      <c r="EF99" s="539">
        <f t="shared" si="30"/>
        <v>0</v>
      </c>
      <c r="EG99" s="539">
        <f t="shared" si="30"/>
        <v>0</v>
      </c>
    </row>
    <row r="100" spans="5:137" ht="12.75">
      <c r="E100" s="538" t="str">
        <f>E$94</f>
        <v>Opex - total</v>
      </c>
      <c r="G100" s="539" t="str">
        <f>G$94</f>
        <v>EUR 000s</v>
      </c>
      <c r="H100" s="539">
        <f>H$94</f>
        <v>484595.0870869669</v>
      </c>
      <c r="J100" s="539">
        <f t="shared" si="31" ref="J100:EG100">J$94</f>
        <v>0</v>
      </c>
      <c r="K100" s="539">
        <f t="shared" si="31"/>
        <v>0</v>
      </c>
      <c r="L100" s="539">
        <f t="shared" si="31"/>
        <v>0</v>
      </c>
      <c r="M100" s="539">
        <f t="shared" si="31"/>
        <v>0</v>
      </c>
      <c r="N100" s="539">
        <f t="shared" si="31"/>
        <v>0</v>
      </c>
      <c r="O100" s="539">
        <f t="shared" si="31"/>
        <v>0</v>
      </c>
      <c r="P100" s="539">
        <f t="shared" si="31"/>
        <v>0</v>
      </c>
      <c r="Q100" s="539">
        <f t="shared" si="31"/>
        <v>0</v>
      </c>
      <c r="R100" s="539">
        <f t="shared" si="31"/>
        <v>0</v>
      </c>
      <c r="S100" s="539">
        <f t="shared" si="31"/>
        <v>0</v>
      </c>
      <c r="T100" s="539">
        <f t="shared" si="31"/>
        <v>0</v>
      </c>
      <c r="U100" s="539">
        <f t="shared" si="31"/>
        <v>0</v>
      </c>
      <c r="V100" s="539">
        <f t="shared" si="31"/>
        <v>0</v>
      </c>
      <c r="W100" s="539">
        <f t="shared" si="31"/>
        <v>0</v>
      </c>
      <c r="X100" s="539">
        <f t="shared" si="31"/>
        <v>0</v>
      </c>
      <c r="Y100" s="539">
        <f t="shared" si="31"/>
        <v>0</v>
      </c>
      <c r="Z100" s="539">
        <f t="shared" si="31"/>
        <v>0</v>
      </c>
      <c r="AA100" s="539">
        <f t="shared" si="31"/>
        <v>0</v>
      </c>
      <c r="AB100" s="539">
        <f t="shared" si="31"/>
        <v>0</v>
      </c>
      <c r="AC100" s="539">
        <f t="shared" si="31"/>
        <v>0</v>
      </c>
      <c r="AD100" s="539">
        <f t="shared" si="31"/>
        <v>0</v>
      </c>
      <c r="AE100" s="539">
        <f t="shared" si="31"/>
        <v>0</v>
      </c>
      <c r="AF100" s="539">
        <f t="shared" si="31"/>
        <v>0</v>
      </c>
      <c r="AG100" s="539">
        <f t="shared" si="31"/>
        <v>0</v>
      </c>
      <c r="AH100" s="539">
        <f t="shared" si="31"/>
        <v>3488.8990624999997</v>
      </c>
      <c r="AI100" s="539">
        <f t="shared" si="31"/>
        <v>3488.8990624999997</v>
      </c>
      <c r="AJ100" s="539">
        <f t="shared" si="31"/>
        <v>3488.8990624999997</v>
      </c>
      <c r="AK100" s="539">
        <f t="shared" si="31"/>
        <v>3488.8990624999997</v>
      </c>
      <c r="AL100" s="539">
        <f t="shared" si="31"/>
        <v>3580.5703640625002</v>
      </c>
      <c r="AM100" s="539">
        <f t="shared" si="31"/>
        <v>3580.5703640625002</v>
      </c>
      <c r="AN100" s="539">
        <f t="shared" si="31"/>
        <v>3580.5703640625002</v>
      </c>
      <c r="AO100" s="539">
        <f t="shared" si="31"/>
        <v>3580.5703640625002</v>
      </c>
      <c r="AP100" s="539">
        <f t="shared" si="31"/>
        <v>3674.6387309140623</v>
      </c>
      <c r="AQ100" s="539">
        <f t="shared" si="31"/>
        <v>3674.6387309140623</v>
      </c>
      <c r="AR100" s="539">
        <f t="shared" si="31"/>
        <v>3674.6387309140623</v>
      </c>
      <c r="AS100" s="539">
        <f t="shared" si="31"/>
        <v>3674.6387309140623</v>
      </c>
      <c r="AT100" s="539">
        <f t="shared" si="31"/>
        <v>3771.1681845294138</v>
      </c>
      <c r="AU100" s="539">
        <f t="shared" si="31"/>
        <v>3771.1681845294138</v>
      </c>
      <c r="AV100" s="539">
        <f t="shared" si="31"/>
        <v>3771.1681845294138</v>
      </c>
      <c r="AW100" s="539">
        <f t="shared" si="31"/>
        <v>3771.1681845294138</v>
      </c>
      <c r="AX100" s="539">
        <f t="shared" si="31"/>
        <v>3870.2244884926249</v>
      </c>
      <c r="AY100" s="539">
        <f t="shared" si="31"/>
        <v>3870.2244884926249</v>
      </c>
      <c r="AZ100" s="539">
        <f t="shared" si="31"/>
        <v>3870.2244884926249</v>
      </c>
      <c r="BA100" s="539">
        <f t="shared" si="31"/>
        <v>3870.2244884926249</v>
      </c>
      <c r="BB100" s="539">
        <f t="shared" si="31"/>
        <v>3971.8751966715586</v>
      </c>
      <c r="BC100" s="539">
        <f t="shared" si="31"/>
        <v>3971.8751966715586</v>
      </c>
      <c r="BD100" s="539">
        <f t="shared" si="31"/>
        <v>3971.8751966715586</v>
      </c>
      <c r="BE100" s="539">
        <f t="shared" si="31"/>
        <v>3971.8751966715586</v>
      </c>
      <c r="BF100" s="539">
        <f t="shared" si="31"/>
        <v>4076.1897027428304</v>
      </c>
      <c r="BG100" s="539">
        <f t="shared" si="31"/>
        <v>4076.1897027428304</v>
      </c>
      <c r="BH100" s="539">
        <f t="shared" si="31"/>
        <v>4076.1897027428304</v>
      </c>
      <c r="BI100" s="539">
        <f t="shared" si="31"/>
        <v>4076.1897027428304</v>
      </c>
      <c r="BJ100" s="539">
        <f t="shared" si="31"/>
        <v>4183.239291105564</v>
      </c>
      <c r="BK100" s="539">
        <f t="shared" si="31"/>
        <v>4183.239291105564</v>
      </c>
      <c r="BL100" s="539">
        <f t="shared" si="31"/>
        <v>4183.239291105564</v>
      </c>
      <c r="BM100" s="539">
        <f t="shared" si="31"/>
        <v>4183.239291105564</v>
      </c>
      <c r="BN100" s="539">
        <f t="shared" si="31"/>
        <v>4293.0971892233347</v>
      </c>
      <c r="BO100" s="539">
        <f t="shared" si="31"/>
        <v>4293.0971892233347</v>
      </c>
      <c r="BP100" s="539">
        <f t="shared" si="31"/>
        <v>4293.0971892233347</v>
      </c>
      <c r="BQ100" s="539">
        <f t="shared" si="31"/>
        <v>4293.0971892233347</v>
      </c>
      <c r="BR100" s="539">
        <f t="shared" si="31"/>
        <v>4405.838621434842</v>
      </c>
      <c r="BS100" s="539">
        <f t="shared" si="31"/>
        <v>4405.838621434842</v>
      </c>
      <c r="BT100" s="539">
        <f t="shared" si="31"/>
        <v>4405.838621434842</v>
      </c>
      <c r="BU100" s="539">
        <f t="shared" si="31"/>
        <v>4405.838621434842</v>
      </c>
      <c r="BV100" s="539">
        <f t="shared" si="31"/>
        <v>4521.5408642749644</v>
      </c>
      <c r="BW100" s="539">
        <f t="shared" si="31"/>
        <v>4521.5408642749644</v>
      </c>
      <c r="BX100" s="539">
        <f t="shared" si="31"/>
        <v>4521.5408642749644</v>
      </c>
      <c r="BY100" s="539">
        <f t="shared" si="31"/>
        <v>4521.5408642749644</v>
      </c>
      <c r="BZ100" s="539">
        <f t="shared" si="31"/>
        <v>4640.283303349097</v>
      </c>
      <c r="CA100" s="539">
        <f t="shared" si="31"/>
        <v>4640.283303349097</v>
      </c>
      <c r="CB100" s="539">
        <f t="shared" si="31"/>
        <v>4640.283303349097</v>
      </c>
      <c r="CC100" s="539">
        <f t="shared" si="31"/>
        <v>4640.283303349097</v>
      </c>
      <c r="CD100" s="539">
        <f t="shared" si="31"/>
        <v>4762.1474918048543</v>
      </c>
      <c r="CE100" s="539">
        <f t="shared" si="31"/>
        <v>4762.1474918048543</v>
      </c>
      <c r="CF100" s="539">
        <f t="shared" si="31"/>
        <v>4762.1474918048543</v>
      </c>
      <c r="CG100" s="539">
        <f t="shared" si="31"/>
        <v>4762.1474918048543</v>
      </c>
      <c r="CH100" s="539">
        <f t="shared" si="31"/>
        <v>4887.2172104465371</v>
      </c>
      <c r="CI100" s="539">
        <f t="shared" si="31"/>
        <v>4887.2172104465371</v>
      </c>
      <c r="CJ100" s="539">
        <f t="shared" si="31"/>
        <v>4887.2172104465371</v>
      </c>
      <c r="CK100" s="539">
        <f t="shared" si="31"/>
        <v>4887.2172104465371</v>
      </c>
      <c r="CL100" s="539">
        <f t="shared" si="31"/>
        <v>5015.5785295389969</v>
      </c>
      <c r="CM100" s="539">
        <f t="shared" si="31"/>
        <v>5015.5785295389969</v>
      </c>
      <c r="CN100" s="539">
        <f t="shared" si="31"/>
        <v>5015.5785295389969</v>
      </c>
      <c r="CO100" s="539">
        <f t="shared" si="31"/>
        <v>5015.5785295389969</v>
      </c>
      <c r="CP100" s="539">
        <f t="shared" si="31"/>
        <v>5147.3198723489313</v>
      </c>
      <c r="CQ100" s="539">
        <f t="shared" si="31"/>
        <v>5147.3198723489313</v>
      </c>
      <c r="CR100" s="539">
        <f t="shared" si="31"/>
        <v>5147.3198723489313</v>
      </c>
      <c r="CS100" s="539">
        <f t="shared" si="31"/>
        <v>5147.3198723489313</v>
      </c>
      <c r="CT100" s="539">
        <f t="shared" si="31"/>
        <v>5282.5320804729872</v>
      </c>
      <c r="CU100" s="539">
        <f t="shared" si="31"/>
        <v>5282.5320804729872</v>
      </c>
      <c r="CV100" s="539">
        <f t="shared" si="31"/>
        <v>5282.5320804729872</v>
      </c>
      <c r="CW100" s="539">
        <f t="shared" si="31"/>
        <v>5282.5320804729872</v>
      </c>
      <c r="CX100" s="539">
        <f t="shared" si="31"/>
        <v>5421.3084810034679</v>
      </c>
      <c r="CY100" s="539">
        <f t="shared" si="31"/>
        <v>5421.3084810034679</v>
      </c>
      <c r="CZ100" s="539">
        <f t="shared" si="31"/>
        <v>5421.3084810034679</v>
      </c>
      <c r="DA100" s="539">
        <f t="shared" si="31"/>
        <v>5421.3084810034679</v>
      </c>
      <c r="DB100" s="539">
        <f t="shared" si="31"/>
        <v>5563.7449555839112</v>
      </c>
      <c r="DC100" s="539">
        <f t="shared" si="31"/>
        <v>5563.7449555839112</v>
      </c>
      <c r="DD100" s="539">
        <f t="shared" si="31"/>
        <v>5563.7449555839112</v>
      </c>
      <c r="DE100" s="539">
        <f t="shared" si="31"/>
        <v>5563.7449555839112</v>
      </c>
      <c r="DF100" s="539">
        <f t="shared" si="31"/>
        <v>5709.94001140829</v>
      </c>
      <c r="DG100" s="539">
        <f t="shared" si="31"/>
        <v>5709.94001140829</v>
      </c>
      <c r="DH100" s="539">
        <f t="shared" si="31"/>
        <v>5709.94001140829</v>
      </c>
      <c r="DI100" s="539">
        <f t="shared" si="31"/>
        <v>5709.94001140829</v>
      </c>
      <c r="DJ100" s="539">
        <f t="shared" si="31"/>
        <v>5859.9948542191414</v>
      </c>
      <c r="DK100" s="539">
        <f t="shared" si="31"/>
        <v>5859.9948542191414</v>
      </c>
      <c r="DL100" s="539">
        <f t="shared" si="31"/>
        <v>5859.9948542191414</v>
      </c>
      <c r="DM100" s="539">
        <f t="shared" si="31"/>
        <v>5859.9948542191414</v>
      </c>
      <c r="DN100" s="539">
        <f t="shared" si="31"/>
        <v>6014.013463361508</v>
      </c>
      <c r="DO100" s="539">
        <f t="shared" si="31"/>
        <v>6014.013463361508</v>
      </c>
      <c r="DP100" s="539">
        <f t="shared" si="31"/>
        <v>6014.013463361508</v>
      </c>
      <c r="DQ100" s="539">
        <f t="shared" si="31"/>
        <v>6014.013463361508</v>
      </c>
      <c r="DR100" s="539">
        <f t="shared" si="31"/>
        <v>6172.1026689512255</v>
      </c>
      <c r="DS100" s="539">
        <f t="shared" si="31"/>
        <v>6172.1026689512255</v>
      </c>
      <c r="DT100" s="539">
        <f t="shared" si="31"/>
        <v>6172.1026689512255</v>
      </c>
      <c r="DU100" s="539">
        <f t="shared" si="31"/>
        <v>6172.1026689512255</v>
      </c>
      <c r="DV100" s="539">
        <f t="shared" si="31"/>
        <v>6334.3722312177451</v>
      </c>
      <c r="DW100" s="539">
        <f t="shared" si="31"/>
        <v>6334.3722312177451</v>
      </c>
      <c r="DX100" s="539">
        <f t="shared" si="31"/>
        <v>6334.3722312177451</v>
      </c>
      <c r="DY100" s="539">
        <f t="shared" si="31"/>
        <v>6334.3722312177451</v>
      </c>
      <c r="DZ100" s="539">
        <f t="shared" si="31"/>
        <v>6500.9349220834356</v>
      </c>
      <c r="EA100" s="539">
        <f t="shared" si="31"/>
        <v>6500.9349220834356</v>
      </c>
      <c r="EB100" s="539">
        <f t="shared" si="31"/>
        <v>6500.9349220834356</v>
      </c>
      <c r="EC100" s="539">
        <f t="shared" si="31"/>
        <v>6500.9349220834356</v>
      </c>
      <c r="ED100" s="539">
        <f t="shared" si="31"/>
        <v>0</v>
      </c>
      <c r="EE100" s="539">
        <f t="shared" si="31"/>
        <v>0</v>
      </c>
      <c r="EF100" s="539">
        <f t="shared" si="31"/>
        <v>0</v>
      </c>
      <c r="EG100" s="539">
        <f t="shared" si="31"/>
        <v>0</v>
      </c>
    </row>
    <row r="101" spans="5:137" ht="12.75">
      <c r="E101" s="540" t="s">
        <v>268</v>
      </c>
      <c r="G101" s="541" t="s">
        <v>30</v>
      </c>
      <c r="H101" s="541">
        <f>SUM(J101:EG101)</f>
        <v>1114972.4568516857</v>
      </c>
      <c r="J101" s="541">
        <f t="shared" si="32" ref="J101:EG101">J99-J100</f>
        <v>0</v>
      </c>
      <c r="K101" s="541">
        <f t="shared" si="32"/>
        <v>0</v>
      </c>
      <c r="L101" s="541">
        <f t="shared" si="32"/>
        <v>0</v>
      </c>
      <c r="M101" s="541">
        <f t="shared" si="32"/>
        <v>0</v>
      </c>
      <c r="N101" s="541">
        <f t="shared" si="32"/>
        <v>0</v>
      </c>
      <c r="O101" s="541">
        <f t="shared" si="32"/>
        <v>0</v>
      </c>
      <c r="P101" s="541">
        <f t="shared" si="32"/>
        <v>0</v>
      </c>
      <c r="Q101" s="541">
        <f t="shared" si="32"/>
        <v>0</v>
      </c>
      <c r="R101" s="541">
        <f t="shared" si="32"/>
        <v>0</v>
      </c>
      <c r="S101" s="541">
        <f t="shared" si="32"/>
        <v>0</v>
      </c>
      <c r="T101" s="541">
        <f t="shared" si="32"/>
        <v>0</v>
      </c>
      <c r="U101" s="541">
        <f t="shared" si="32"/>
        <v>0</v>
      </c>
      <c r="V101" s="541">
        <f t="shared" si="32"/>
        <v>0</v>
      </c>
      <c r="W101" s="541">
        <f t="shared" si="32"/>
        <v>0</v>
      </c>
      <c r="X101" s="541">
        <f t="shared" si="32"/>
        <v>0</v>
      </c>
      <c r="Y101" s="541">
        <f t="shared" si="32"/>
        <v>0</v>
      </c>
      <c r="Z101" s="541">
        <f t="shared" si="32"/>
        <v>0</v>
      </c>
      <c r="AA101" s="541">
        <f t="shared" si="32"/>
        <v>0</v>
      </c>
      <c r="AB101" s="541">
        <f t="shared" si="32"/>
        <v>0</v>
      </c>
      <c r="AC101" s="541">
        <f t="shared" si="32"/>
        <v>0</v>
      </c>
      <c r="AD101" s="541">
        <f t="shared" si="32"/>
        <v>0</v>
      </c>
      <c r="AE101" s="541">
        <f t="shared" si="32"/>
        <v>0</v>
      </c>
      <c r="AF101" s="541">
        <f t="shared" si="32"/>
        <v>0</v>
      </c>
      <c r="AG101" s="541">
        <f t="shared" si="32"/>
        <v>0</v>
      </c>
      <c r="AH101" s="541">
        <f t="shared" si="32"/>
        <v>8995.9009374999987</v>
      </c>
      <c r="AI101" s="541">
        <f t="shared" si="32"/>
        <v>8995.9009374999987</v>
      </c>
      <c r="AJ101" s="541">
        <f t="shared" si="32"/>
        <v>8995.9009374999987</v>
      </c>
      <c r="AK101" s="541">
        <f t="shared" si="32"/>
        <v>8995.9009374999987</v>
      </c>
      <c r="AL101" s="541">
        <f t="shared" si="32"/>
        <v>9153.9256359374995</v>
      </c>
      <c r="AM101" s="541">
        <f t="shared" si="32"/>
        <v>9153.9256359374995</v>
      </c>
      <c r="AN101" s="541">
        <f t="shared" si="32"/>
        <v>9153.9256359374995</v>
      </c>
      <c r="AO101" s="541">
        <f t="shared" si="32"/>
        <v>9153.9256359374995</v>
      </c>
      <c r="AP101" s="541">
        <f t="shared" si="32"/>
        <v>9314.5471890859371</v>
      </c>
      <c r="AQ101" s="541">
        <f t="shared" si="32"/>
        <v>9314.5471890859371</v>
      </c>
      <c r="AR101" s="541">
        <f t="shared" si="32"/>
        <v>9314.5471890859371</v>
      </c>
      <c r="AS101" s="541">
        <f t="shared" si="32"/>
        <v>9314.5471890859371</v>
      </c>
      <c r="AT101" s="541">
        <f t="shared" si="32"/>
        <v>9477.8014538705866</v>
      </c>
      <c r="AU101" s="541">
        <f t="shared" si="32"/>
        <v>9477.8014538705866</v>
      </c>
      <c r="AV101" s="541">
        <f t="shared" si="32"/>
        <v>9477.8014538705866</v>
      </c>
      <c r="AW101" s="541">
        <f t="shared" si="32"/>
        <v>9477.8014538705866</v>
      </c>
      <c r="AX101" s="541">
        <f t="shared" si="32"/>
        <v>9643.7245426753761</v>
      </c>
      <c r="AY101" s="541">
        <f t="shared" si="32"/>
        <v>9643.7245426753761</v>
      </c>
      <c r="AZ101" s="541">
        <f t="shared" si="32"/>
        <v>9643.7245426753761</v>
      </c>
      <c r="BA101" s="541">
        <f t="shared" si="32"/>
        <v>9643.7245426753761</v>
      </c>
      <c r="BB101" s="541">
        <f t="shared" si="32"/>
        <v>9812.3528151198025</v>
      </c>
      <c r="BC101" s="541">
        <f t="shared" si="32"/>
        <v>9812.3528151198025</v>
      </c>
      <c r="BD101" s="541">
        <f t="shared" si="32"/>
        <v>9812.3528151198025</v>
      </c>
      <c r="BE101" s="541">
        <f t="shared" si="32"/>
        <v>9812.3528151198025</v>
      </c>
      <c r="BF101" s="541">
        <f t="shared" si="32"/>
        <v>9983.7228692843601</v>
      </c>
      <c r="BG101" s="541">
        <f t="shared" si="32"/>
        <v>9983.7228692843601</v>
      </c>
      <c r="BH101" s="541">
        <f t="shared" si="32"/>
        <v>9983.7228692843601</v>
      </c>
      <c r="BI101" s="541">
        <f t="shared" si="32"/>
        <v>9983.7228692843601</v>
      </c>
      <c r="BJ101" s="541">
        <f t="shared" si="32"/>
        <v>10157.871532362169</v>
      </c>
      <c r="BK101" s="541">
        <f t="shared" si="32"/>
        <v>10157.871532362169</v>
      </c>
      <c r="BL101" s="541">
        <f t="shared" si="32"/>
        <v>10157.871532362169</v>
      </c>
      <c r="BM101" s="541">
        <f t="shared" si="32"/>
        <v>10157.871532362169</v>
      </c>
      <c r="BN101" s="541">
        <f t="shared" si="32"/>
        <v>10334.835850713753</v>
      </c>
      <c r="BO101" s="541">
        <f t="shared" si="32"/>
        <v>10334.835850713753</v>
      </c>
      <c r="BP101" s="541">
        <f t="shared" si="32"/>
        <v>10334.835850713753</v>
      </c>
      <c r="BQ101" s="541">
        <f t="shared" si="32"/>
        <v>10334.835850713753</v>
      </c>
      <c r="BR101" s="541">
        <f t="shared" si="32"/>
        <v>10514.653079300988</v>
      </c>
      <c r="BS101" s="541">
        <f t="shared" si="32"/>
        <v>10514.653079300988</v>
      </c>
      <c r="BT101" s="541">
        <f t="shared" si="32"/>
        <v>10514.653079300988</v>
      </c>
      <c r="BU101" s="541">
        <f t="shared" si="32"/>
        <v>10514.653079300988</v>
      </c>
      <c r="BV101" s="541">
        <f t="shared" si="32"/>
        <v>10697.360670475582</v>
      </c>
      <c r="BW101" s="541">
        <f t="shared" si="32"/>
        <v>10697.360670475582</v>
      </c>
      <c r="BX101" s="541">
        <f t="shared" si="32"/>
        <v>10697.360670475582</v>
      </c>
      <c r="BY101" s="541">
        <f t="shared" si="32"/>
        <v>10697.360670475582</v>
      </c>
      <c r="BZ101" s="541">
        <f t="shared" si="32"/>
        <v>10882.996262096458</v>
      </c>
      <c r="CA101" s="541">
        <f t="shared" si="32"/>
        <v>10882.996262096458</v>
      </c>
      <c r="CB101" s="541">
        <f t="shared" si="32"/>
        <v>10882.996262096458</v>
      </c>
      <c r="CC101" s="541">
        <f t="shared" si="32"/>
        <v>10882.996262096458</v>
      </c>
      <c r="CD101" s="541">
        <f t="shared" si="32"/>
        <v>11071.597664949615</v>
      </c>
      <c r="CE101" s="541">
        <f t="shared" si="32"/>
        <v>11071.597664949615</v>
      </c>
      <c r="CF101" s="541">
        <f t="shared" si="32"/>
        <v>11071.597664949615</v>
      </c>
      <c r="CG101" s="541">
        <f t="shared" si="32"/>
        <v>11071.597664949615</v>
      </c>
      <c r="CH101" s="541">
        <f t="shared" si="32"/>
        <v>11263.202849443021</v>
      </c>
      <c r="CI101" s="541">
        <f t="shared" si="32"/>
        <v>11263.202849443021</v>
      </c>
      <c r="CJ101" s="541">
        <f t="shared" si="32"/>
        <v>11263.202849443021</v>
      </c>
      <c r="CK101" s="541">
        <f t="shared" si="32"/>
        <v>11263.202849443021</v>
      </c>
      <c r="CL101" s="541">
        <f t="shared" si="32"/>
        <v>11457.849931548353</v>
      </c>
      <c r="CM101" s="541">
        <f t="shared" si="32"/>
        <v>11457.849931548353</v>
      </c>
      <c r="CN101" s="541">
        <f t="shared" si="32"/>
        <v>11457.849931548353</v>
      </c>
      <c r="CO101" s="541">
        <f t="shared" si="32"/>
        <v>11457.849931548353</v>
      </c>
      <c r="CP101" s="541">
        <f t="shared" si="32"/>
        <v>11655.577157960166</v>
      </c>
      <c r="CQ101" s="541">
        <f t="shared" si="32"/>
        <v>11655.577157960166</v>
      </c>
      <c r="CR101" s="541">
        <f t="shared" si="32"/>
        <v>11655.577157960166</v>
      </c>
      <c r="CS101" s="541">
        <f t="shared" si="32"/>
        <v>11655.577157960166</v>
      </c>
      <c r="CT101" s="541">
        <f t="shared" si="32"/>
        <v>11856.422890442294</v>
      </c>
      <c r="CU101" s="541">
        <f t="shared" si="32"/>
        <v>11856.422890442294</v>
      </c>
      <c r="CV101" s="541">
        <f t="shared" si="32"/>
        <v>11856.422890442294</v>
      </c>
      <c r="CW101" s="541">
        <f t="shared" si="32"/>
        <v>11856.422890442294</v>
      </c>
      <c r="CX101" s="541">
        <f t="shared" si="32"/>
        <v>12060.42558933012</v>
      </c>
      <c r="CY101" s="541">
        <f t="shared" si="32"/>
        <v>12060.42558933012</v>
      </c>
      <c r="CZ101" s="541">
        <f t="shared" si="32"/>
        <v>12060.42558933012</v>
      </c>
      <c r="DA101" s="541">
        <f t="shared" si="32"/>
        <v>12060.42558933012</v>
      </c>
      <c r="DB101" s="541">
        <f t="shared" si="32"/>
        <v>12267.623796156346</v>
      </c>
      <c r="DC101" s="541">
        <f t="shared" si="32"/>
        <v>12267.623796156346</v>
      </c>
      <c r="DD101" s="541">
        <f t="shared" si="32"/>
        <v>12267.623796156346</v>
      </c>
      <c r="DE101" s="541">
        <f t="shared" si="32"/>
        <v>12267.623796156346</v>
      </c>
      <c r="DF101" s="541">
        <f t="shared" si="32"/>
        <v>12478.056115366777</v>
      </c>
      <c r="DG101" s="541">
        <f t="shared" si="32"/>
        <v>12478.056115366777</v>
      </c>
      <c r="DH101" s="541">
        <f t="shared" si="32"/>
        <v>12478.056115366777</v>
      </c>
      <c r="DI101" s="541">
        <f t="shared" si="32"/>
        <v>12478.056115366777</v>
      </c>
      <c r="DJ101" s="541">
        <f t="shared" si="32"/>
        <v>12691.761195091425</v>
      </c>
      <c r="DK101" s="541">
        <f t="shared" si="32"/>
        <v>12691.761195091425</v>
      </c>
      <c r="DL101" s="541">
        <f t="shared" si="32"/>
        <v>12691.761195091425</v>
      </c>
      <c r="DM101" s="541">
        <f t="shared" si="32"/>
        <v>12691.761195091425</v>
      </c>
      <c r="DN101" s="541">
        <f t="shared" si="32"/>
        <v>12908.777706935271</v>
      </c>
      <c r="DO101" s="541">
        <f t="shared" si="32"/>
        <v>12908.777706935271</v>
      </c>
      <c r="DP101" s="541">
        <f t="shared" si="32"/>
        <v>12908.777706935271</v>
      </c>
      <c r="DQ101" s="541">
        <f t="shared" si="32"/>
        <v>12908.777706935271</v>
      </c>
      <c r="DR101" s="541">
        <f t="shared" si="32"/>
        <v>13129.144324751487</v>
      </c>
      <c r="DS101" s="541">
        <f t="shared" si="32"/>
        <v>13129.144324751487</v>
      </c>
      <c r="DT101" s="541">
        <f t="shared" si="32"/>
        <v>13129.144324751487</v>
      </c>
      <c r="DU101" s="541">
        <f t="shared" si="32"/>
        <v>13129.144324751487</v>
      </c>
      <c r="DV101" s="541">
        <f t="shared" si="32"/>
        <v>13352.899702359024</v>
      </c>
      <c r="DW101" s="541">
        <f t="shared" si="32"/>
        <v>13352.899702359024</v>
      </c>
      <c r="DX101" s="541">
        <f t="shared" si="32"/>
        <v>13352.899702359024</v>
      </c>
      <c r="DY101" s="541">
        <f t="shared" si="32"/>
        <v>13352.899702359024</v>
      </c>
      <c r="DZ101" s="541">
        <f t="shared" si="32"/>
        <v>13580.082450164866</v>
      </c>
      <c r="EA101" s="541">
        <f t="shared" si="32"/>
        <v>13580.082450164866</v>
      </c>
      <c r="EB101" s="541">
        <f t="shared" si="32"/>
        <v>13580.082450164866</v>
      </c>
      <c r="EC101" s="541">
        <f t="shared" si="32"/>
        <v>13580.082450164866</v>
      </c>
      <c r="ED101" s="541">
        <f t="shared" si="32"/>
        <v>0</v>
      </c>
      <c r="EE101" s="541">
        <f t="shared" si="32"/>
        <v>0</v>
      </c>
      <c r="EF101" s="541">
        <f t="shared" si="32"/>
        <v>0</v>
      </c>
      <c r="EG101" s="541">
        <f t="shared" si="32"/>
        <v>0</v>
      </c>
    </row>
    <row r="104" spans="1:1" ht="12.75">
      <c r="A104" s="534" t="s">
        <v>269</v>
      </c>
    </row>
    <row r="106" spans="2:2" ht="12.75">
      <c r="B106" s="534" t="s">
        <v>270</v>
      </c>
    </row>
    <row r="107" spans="5:7" ht="12.75">
      <c r="E107" s="535" t="str">
        <f>InpC!E$60</f>
        <v>Receivables - collection days</v>
      </c>
      <c r="F107" s="537">
        <f>InpC!F$60</f>
        <v>30</v>
      </c>
      <c r="G107" s="537" t="str">
        <f>InpC!G$60</f>
        <v>days</v>
      </c>
    </row>
    <row r="108" spans="5:137" ht="12.75">
      <c r="E108" s="535" t="str">
        <f>Time!E$91</f>
        <v>Operating period flag</v>
      </c>
      <c r="G108" s="537" t="str">
        <f>Time!G$91</f>
        <v>flag</v>
      </c>
      <c r="H108" s="537">
        <f>Time!H$91</f>
        <v>100</v>
      </c>
      <c r="J108" s="537">
        <f>Time!J$91</f>
        <v>0</v>
      </c>
      <c r="K108" s="537">
        <f>Time!K$91</f>
        <v>0</v>
      </c>
      <c r="L108" s="537">
        <f>Time!L$91</f>
        <v>0</v>
      </c>
      <c r="M108" s="537">
        <f>Time!M$91</f>
        <v>0</v>
      </c>
      <c r="N108" s="537">
        <f>Time!N$91</f>
        <v>0</v>
      </c>
      <c r="O108" s="537">
        <f>Time!O$91</f>
        <v>0</v>
      </c>
      <c r="P108" s="537">
        <f>Time!P$91</f>
        <v>0</v>
      </c>
      <c r="Q108" s="537">
        <f>Time!Q$91</f>
        <v>0</v>
      </c>
      <c r="R108" s="537">
        <f>Time!R$91</f>
        <v>0</v>
      </c>
      <c r="S108" s="537">
        <f>Time!S$91</f>
        <v>0</v>
      </c>
      <c r="T108" s="537">
        <f>Time!T$91</f>
        <v>0</v>
      </c>
      <c r="U108" s="537">
        <f>Time!U$91</f>
        <v>0</v>
      </c>
      <c r="V108" s="537">
        <f>Time!V$91</f>
        <v>0</v>
      </c>
      <c r="W108" s="537">
        <f>Time!W$91</f>
        <v>0</v>
      </c>
      <c r="X108" s="537">
        <f>Time!X$91</f>
        <v>0</v>
      </c>
      <c r="Y108" s="537">
        <f>Time!Y$91</f>
        <v>0</v>
      </c>
      <c r="Z108" s="537">
        <f>Time!Z$91</f>
        <v>0</v>
      </c>
      <c r="AA108" s="537">
        <f>Time!AA$91</f>
        <v>0</v>
      </c>
      <c r="AB108" s="537">
        <f>Time!AB$91</f>
        <v>0</v>
      </c>
      <c r="AC108" s="537">
        <f>Time!AC$91</f>
        <v>0</v>
      </c>
      <c r="AD108" s="537">
        <f>Time!AD$91</f>
        <v>0</v>
      </c>
      <c r="AE108" s="537">
        <f>Time!AE$91</f>
        <v>0</v>
      </c>
      <c r="AF108" s="537">
        <f>Time!AF$91</f>
        <v>0</v>
      </c>
      <c r="AG108" s="537">
        <f>Time!AG$91</f>
        <v>0</v>
      </c>
      <c r="AH108" s="537">
        <f>Time!AH$91</f>
        <v>1</v>
      </c>
      <c r="AI108" s="537">
        <f>Time!AI$91</f>
        <v>1</v>
      </c>
      <c r="AJ108" s="537">
        <f>Time!AJ$91</f>
        <v>1</v>
      </c>
      <c r="AK108" s="537">
        <f>Time!AK$91</f>
        <v>1</v>
      </c>
      <c r="AL108" s="537">
        <f>Time!AL$91</f>
        <v>1</v>
      </c>
      <c r="AM108" s="537">
        <f>Time!AM$91</f>
        <v>1</v>
      </c>
      <c r="AN108" s="537">
        <f>Time!AN$91</f>
        <v>1</v>
      </c>
      <c r="AO108" s="537">
        <f>Time!AO$91</f>
        <v>1</v>
      </c>
      <c r="AP108" s="537">
        <f>Time!AP$91</f>
        <v>1</v>
      </c>
      <c r="AQ108" s="537">
        <f>Time!AQ$91</f>
        <v>1</v>
      </c>
      <c r="AR108" s="537">
        <f>Time!AR$91</f>
        <v>1</v>
      </c>
      <c r="AS108" s="537">
        <f>Time!AS$91</f>
        <v>1</v>
      </c>
      <c r="AT108" s="537">
        <f>Time!AT$91</f>
        <v>1</v>
      </c>
      <c r="AU108" s="537">
        <f>Time!AU$91</f>
        <v>1</v>
      </c>
      <c r="AV108" s="537">
        <f>Time!AV$91</f>
        <v>1</v>
      </c>
      <c r="AW108" s="537">
        <f>Time!AW$91</f>
        <v>1</v>
      </c>
      <c r="AX108" s="537">
        <f>Time!AX$91</f>
        <v>1</v>
      </c>
      <c r="AY108" s="537">
        <f>Time!AY$91</f>
        <v>1</v>
      </c>
      <c r="AZ108" s="537">
        <f>Time!AZ$91</f>
        <v>1</v>
      </c>
      <c r="BA108" s="537">
        <f>Time!BA$91</f>
        <v>1</v>
      </c>
      <c r="BB108" s="537">
        <f>Time!BB$91</f>
        <v>1</v>
      </c>
      <c r="BC108" s="537">
        <f>Time!BC$91</f>
        <v>1</v>
      </c>
      <c r="BD108" s="537">
        <f>Time!BD$91</f>
        <v>1</v>
      </c>
      <c r="BE108" s="537">
        <f>Time!BE$91</f>
        <v>1</v>
      </c>
      <c r="BF108" s="537">
        <f>Time!BF$91</f>
        <v>1</v>
      </c>
      <c r="BG108" s="537">
        <f>Time!BG$91</f>
        <v>1</v>
      </c>
      <c r="BH108" s="537">
        <f>Time!BH$91</f>
        <v>1</v>
      </c>
      <c r="BI108" s="537">
        <f>Time!BI$91</f>
        <v>1</v>
      </c>
      <c r="BJ108" s="537">
        <f>Time!BJ$91</f>
        <v>1</v>
      </c>
      <c r="BK108" s="537">
        <f>Time!BK$91</f>
        <v>1</v>
      </c>
      <c r="BL108" s="537">
        <f>Time!BL$91</f>
        <v>1</v>
      </c>
      <c r="BM108" s="537">
        <f>Time!BM$91</f>
        <v>1</v>
      </c>
      <c r="BN108" s="537">
        <f>Time!BN$91</f>
        <v>1</v>
      </c>
      <c r="BO108" s="537">
        <f>Time!BO$91</f>
        <v>1</v>
      </c>
      <c r="BP108" s="537">
        <f>Time!BP$91</f>
        <v>1</v>
      </c>
      <c r="BQ108" s="537">
        <f>Time!BQ$91</f>
        <v>1</v>
      </c>
      <c r="BR108" s="537">
        <f>Time!BR$91</f>
        <v>1</v>
      </c>
      <c r="BS108" s="537">
        <f>Time!BS$91</f>
        <v>1</v>
      </c>
      <c r="BT108" s="537">
        <f>Time!BT$91</f>
        <v>1</v>
      </c>
      <c r="BU108" s="537">
        <f>Time!BU$91</f>
        <v>1</v>
      </c>
      <c r="BV108" s="537">
        <f>Time!BV$91</f>
        <v>1</v>
      </c>
      <c r="BW108" s="537">
        <f>Time!BW$91</f>
        <v>1</v>
      </c>
      <c r="BX108" s="537">
        <f>Time!BX$91</f>
        <v>1</v>
      </c>
      <c r="BY108" s="537">
        <f>Time!BY$91</f>
        <v>1</v>
      </c>
      <c r="BZ108" s="537">
        <f>Time!BZ$91</f>
        <v>1</v>
      </c>
      <c r="CA108" s="537">
        <f>Time!CA$91</f>
        <v>1</v>
      </c>
      <c r="CB108" s="537">
        <f>Time!CB$91</f>
        <v>1</v>
      </c>
      <c r="CC108" s="537">
        <f>Time!CC$91</f>
        <v>1</v>
      </c>
      <c r="CD108" s="537">
        <f>Time!CD$91</f>
        <v>1</v>
      </c>
      <c r="CE108" s="537">
        <f>Time!CE$91</f>
        <v>1</v>
      </c>
      <c r="CF108" s="537">
        <f>Time!CF$91</f>
        <v>1</v>
      </c>
      <c r="CG108" s="537">
        <f>Time!CG$91</f>
        <v>1</v>
      </c>
      <c r="CH108" s="537">
        <f>Time!CH$91</f>
        <v>1</v>
      </c>
      <c r="CI108" s="537">
        <f>Time!CI$91</f>
        <v>1</v>
      </c>
      <c r="CJ108" s="537">
        <f>Time!CJ$91</f>
        <v>1</v>
      </c>
      <c r="CK108" s="537">
        <f>Time!CK$91</f>
        <v>1</v>
      </c>
      <c r="CL108" s="537">
        <f>Time!CL$91</f>
        <v>1</v>
      </c>
      <c r="CM108" s="537">
        <f>Time!CM$91</f>
        <v>1</v>
      </c>
      <c r="CN108" s="537">
        <f>Time!CN$91</f>
        <v>1</v>
      </c>
      <c r="CO108" s="537">
        <f>Time!CO$91</f>
        <v>1</v>
      </c>
      <c r="CP108" s="537">
        <f>Time!CP$91</f>
        <v>1</v>
      </c>
      <c r="CQ108" s="537">
        <f>Time!CQ$91</f>
        <v>1</v>
      </c>
      <c r="CR108" s="537">
        <f>Time!CR$91</f>
        <v>1</v>
      </c>
      <c r="CS108" s="537">
        <f>Time!CS$91</f>
        <v>1</v>
      </c>
      <c r="CT108" s="537">
        <f>Time!CT$91</f>
        <v>1</v>
      </c>
      <c r="CU108" s="537">
        <f>Time!CU$91</f>
        <v>1</v>
      </c>
      <c r="CV108" s="537">
        <f>Time!CV$91</f>
        <v>1</v>
      </c>
      <c r="CW108" s="537">
        <f>Time!CW$91</f>
        <v>1</v>
      </c>
      <c r="CX108" s="537">
        <f>Time!CX$91</f>
        <v>1</v>
      </c>
      <c r="CY108" s="537">
        <f>Time!CY$91</f>
        <v>1</v>
      </c>
      <c r="CZ108" s="537">
        <f>Time!CZ$91</f>
        <v>1</v>
      </c>
      <c r="DA108" s="537">
        <f>Time!DA$91</f>
        <v>1</v>
      </c>
      <c r="DB108" s="537">
        <f>Time!DB$91</f>
        <v>1</v>
      </c>
      <c r="DC108" s="537">
        <f>Time!DC$91</f>
        <v>1</v>
      </c>
      <c r="DD108" s="537">
        <f>Time!DD$91</f>
        <v>1</v>
      </c>
      <c r="DE108" s="537">
        <f>Time!DE$91</f>
        <v>1</v>
      </c>
      <c r="DF108" s="537">
        <f>Time!DF$91</f>
        <v>1</v>
      </c>
      <c r="DG108" s="537">
        <f>Time!DG$91</f>
        <v>1</v>
      </c>
      <c r="DH108" s="537">
        <f>Time!DH$91</f>
        <v>1</v>
      </c>
      <c r="DI108" s="537">
        <f>Time!DI$91</f>
        <v>1</v>
      </c>
      <c r="DJ108" s="537">
        <f>Time!DJ$91</f>
        <v>1</v>
      </c>
      <c r="DK108" s="537">
        <f>Time!DK$91</f>
        <v>1</v>
      </c>
      <c r="DL108" s="537">
        <f>Time!DL$91</f>
        <v>1</v>
      </c>
      <c r="DM108" s="537">
        <f>Time!DM$91</f>
        <v>1</v>
      </c>
      <c r="DN108" s="537">
        <f>Time!DN$91</f>
        <v>1</v>
      </c>
      <c r="DO108" s="537">
        <f>Time!DO$91</f>
        <v>1</v>
      </c>
      <c r="DP108" s="537">
        <f>Time!DP$91</f>
        <v>1</v>
      </c>
      <c r="DQ108" s="537">
        <f>Time!DQ$91</f>
        <v>1</v>
      </c>
      <c r="DR108" s="537">
        <f>Time!DR$91</f>
        <v>1</v>
      </c>
      <c r="DS108" s="537">
        <f>Time!DS$91</f>
        <v>1</v>
      </c>
      <c r="DT108" s="537">
        <f>Time!DT$91</f>
        <v>1</v>
      </c>
      <c r="DU108" s="537">
        <f>Time!DU$91</f>
        <v>1</v>
      </c>
      <c r="DV108" s="537">
        <f>Time!DV$91</f>
        <v>1</v>
      </c>
      <c r="DW108" s="537">
        <f>Time!DW$91</f>
        <v>1</v>
      </c>
      <c r="DX108" s="537">
        <f>Time!DX$91</f>
        <v>1</v>
      </c>
      <c r="DY108" s="537">
        <f>Time!DY$91</f>
        <v>1</v>
      </c>
      <c r="DZ108" s="537">
        <f>Time!DZ$91</f>
        <v>1</v>
      </c>
      <c r="EA108" s="537">
        <f>Time!EA$91</f>
        <v>1</v>
      </c>
      <c r="EB108" s="537">
        <f>Time!EB$91</f>
        <v>1</v>
      </c>
      <c r="EC108" s="537">
        <f>Time!EC$91</f>
        <v>1</v>
      </c>
      <c r="ED108" s="537">
        <f>Time!ED$91</f>
        <v>0</v>
      </c>
      <c r="EE108" s="537">
        <f>Time!EE$91</f>
        <v>0</v>
      </c>
      <c r="EF108" s="537">
        <f>Time!EF$91</f>
        <v>0</v>
      </c>
      <c r="EG108" s="537">
        <f>Time!EG$91</f>
        <v>0</v>
      </c>
    </row>
    <row r="109" spans="5:137" ht="12.75">
      <c r="E109" s="535" t="str">
        <f>Time!E$163</f>
        <v>Days in period</v>
      </c>
      <c r="G109" s="537" t="str">
        <f>Time!G$163</f>
        <v>days</v>
      </c>
      <c r="H109" s="537">
        <f>Time!H$163</f>
        <v>10227</v>
      </c>
      <c r="J109" s="537">
        <f>Time!J$163</f>
        <v>31</v>
      </c>
      <c r="K109" s="537">
        <f>Time!K$163</f>
        <v>28</v>
      </c>
      <c r="L109" s="537">
        <f>Time!L$163</f>
        <v>31</v>
      </c>
      <c r="M109" s="537">
        <f>Time!M$163</f>
        <v>30</v>
      </c>
      <c r="N109" s="537">
        <f>Time!N$163</f>
        <v>31</v>
      </c>
      <c r="O109" s="537">
        <f>Time!O$163</f>
        <v>30</v>
      </c>
      <c r="P109" s="537">
        <f>Time!P$163</f>
        <v>31</v>
      </c>
      <c r="Q109" s="537">
        <f>Time!Q$163</f>
        <v>31</v>
      </c>
      <c r="R109" s="537">
        <f>Time!R$163</f>
        <v>30</v>
      </c>
      <c r="S109" s="537">
        <f>Time!S$163</f>
        <v>31</v>
      </c>
      <c r="T109" s="537">
        <f>Time!T$163</f>
        <v>30</v>
      </c>
      <c r="U109" s="537">
        <f>Time!U$163</f>
        <v>31</v>
      </c>
      <c r="V109" s="537">
        <f>Time!V$163</f>
        <v>31</v>
      </c>
      <c r="W109" s="537">
        <f>Time!W$163</f>
        <v>29</v>
      </c>
      <c r="X109" s="537">
        <f>Time!X$163</f>
        <v>31</v>
      </c>
      <c r="Y109" s="537">
        <f>Time!Y$163</f>
        <v>30</v>
      </c>
      <c r="Z109" s="537">
        <f>Time!Z$163</f>
        <v>31</v>
      </c>
      <c r="AA109" s="537">
        <f>Time!AA$163</f>
        <v>30</v>
      </c>
      <c r="AB109" s="537">
        <f>Time!AB$163</f>
        <v>31</v>
      </c>
      <c r="AC109" s="537">
        <f>Time!AC$163</f>
        <v>31</v>
      </c>
      <c r="AD109" s="537">
        <f>Time!AD$163</f>
        <v>30</v>
      </c>
      <c r="AE109" s="537">
        <f>Time!AE$163</f>
        <v>31</v>
      </c>
      <c r="AF109" s="537">
        <f>Time!AF$163</f>
        <v>30</v>
      </c>
      <c r="AG109" s="537">
        <f>Time!AG$163</f>
        <v>31</v>
      </c>
      <c r="AH109" s="537">
        <f>Time!AH$163</f>
        <v>90</v>
      </c>
      <c r="AI109" s="537">
        <f>Time!AI$163</f>
        <v>91</v>
      </c>
      <c r="AJ109" s="537">
        <f>Time!AJ$163</f>
        <v>92</v>
      </c>
      <c r="AK109" s="537">
        <f>Time!AK$163</f>
        <v>92</v>
      </c>
      <c r="AL109" s="537">
        <f>Time!AL$163</f>
        <v>90</v>
      </c>
      <c r="AM109" s="537">
        <f>Time!AM$163</f>
        <v>91</v>
      </c>
      <c r="AN109" s="537">
        <f>Time!AN$163</f>
        <v>92</v>
      </c>
      <c r="AO109" s="537">
        <f>Time!AO$163</f>
        <v>92</v>
      </c>
      <c r="AP109" s="537">
        <f>Time!AP$163</f>
        <v>90</v>
      </c>
      <c r="AQ109" s="537">
        <f>Time!AQ$163</f>
        <v>91</v>
      </c>
      <c r="AR109" s="537">
        <f>Time!AR$163</f>
        <v>92</v>
      </c>
      <c r="AS109" s="537">
        <f>Time!AS$163</f>
        <v>92</v>
      </c>
      <c r="AT109" s="537">
        <f>Time!AT$163</f>
        <v>91</v>
      </c>
      <c r="AU109" s="537">
        <f>Time!AU$163</f>
        <v>91</v>
      </c>
      <c r="AV109" s="537">
        <f>Time!AV$163</f>
        <v>92</v>
      </c>
      <c r="AW109" s="537">
        <f>Time!AW$163</f>
        <v>92</v>
      </c>
      <c r="AX109" s="537">
        <f>Time!AX$163</f>
        <v>90</v>
      </c>
      <c r="AY109" s="537">
        <f>Time!AY$163</f>
        <v>91</v>
      </c>
      <c r="AZ109" s="537">
        <f>Time!AZ$163</f>
        <v>92</v>
      </c>
      <c r="BA109" s="537">
        <f>Time!BA$163</f>
        <v>92</v>
      </c>
      <c r="BB109" s="537">
        <f>Time!BB$163</f>
        <v>90</v>
      </c>
      <c r="BC109" s="537">
        <f>Time!BC$163</f>
        <v>91</v>
      </c>
      <c r="BD109" s="537">
        <f>Time!BD$163</f>
        <v>92</v>
      </c>
      <c r="BE109" s="537">
        <f>Time!BE$163</f>
        <v>92</v>
      </c>
      <c r="BF109" s="537">
        <f>Time!BF$163</f>
        <v>90</v>
      </c>
      <c r="BG109" s="537">
        <f>Time!BG$163</f>
        <v>91</v>
      </c>
      <c r="BH109" s="537">
        <f>Time!BH$163</f>
        <v>92</v>
      </c>
      <c r="BI109" s="537">
        <f>Time!BI$163</f>
        <v>92</v>
      </c>
      <c r="BJ109" s="537">
        <f>Time!BJ$163</f>
        <v>91</v>
      </c>
      <c r="BK109" s="537">
        <f>Time!BK$163</f>
        <v>91</v>
      </c>
      <c r="BL109" s="537">
        <f>Time!BL$163</f>
        <v>92</v>
      </c>
      <c r="BM109" s="537">
        <f>Time!BM$163</f>
        <v>92</v>
      </c>
      <c r="BN109" s="537">
        <f>Time!BN$163</f>
        <v>90</v>
      </c>
      <c r="BO109" s="537">
        <f>Time!BO$163</f>
        <v>91</v>
      </c>
      <c r="BP109" s="537">
        <f>Time!BP$163</f>
        <v>92</v>
      </c>
      <c r="BQ109" s="537">
        <f>Time!BQ$163</f>
        <v>92</v>
      </c>
      <c r="BR109" s="537">
        <f>Time!BR$163</f>
        <v>90</v>
      </c>
      <c r="BS109" s="537">
        <f>Time!BS$163</f>
        <v>91</v>
      </c>
      <c r="BT109" s="537">
        <f>Time!BT$163</f>
        <v>92</v>
      </c>
      <c r="BU109" s="537">
        <f>Time!BU$163</f>
        <v>92</v>
      </c>
      <c r="BV109" s="537">
        <f>Time!BV$163</f>
        <v>90</v>
      </c>
      <c r="BW109" s="537">
        <f>Time!BW$163</f>
        <v>91</v>
      </c>
      <c r="BX109" s="537">
        <f>Time!BX$163</f>
        <v>92</v>
      </c>
      <c r="BY109" s="537">
        <f>Time!BY$163</f>
        <v>92</v>
      </c>
      <c r="BZ109" s="537">
        <f>Time!BZ$163</f>
        <v>91</v>
      </c>
      <c r="CA109" s="537">
        <f>Time!CA$163</f>
        <v>91</v>
      </c>
      <c r="CB109" s="537">
        <f>Time!CB$163</f>
        <v>92</v>
      </c>
      <c r="CC109" s="537">
        <f>Time!CC$163</f>
        <v>92</v>
      </c>
      <c r="CD109" s="537">
        <f>Time!CD$163</f>
        <v>90</v>
      </c>
      <c r="CE109" s="537">
        <f>Time!CE$163</f>
        <v>91</v>
      </c>
      <c r="CF109" s="537">
        <f>Time!CF$163</f>
        <v>92</v>
      </c>
      <c r="CG109" s="537">
        <f>Time!CG$163</f>
        <v>92</v>
      </c>
      <c r="CH109" s="537">
        <f>Time!CH$163</f>
        <v>90</v>
      </c>
      <c r="CI109" s="537">
        <f>Time!CI$163</f>
        <v>91</v>
      </c>
      <c r="CJ109" s="537">
        <f>Time!CJ$163</f>
        <v>92</v>
      </c>
      <c r="CK109" s="537">
        <f>Time!CK$163</f>
        <v>92</v>
      </c>
      <c r="CL109" s="537">
        <f>Time!CL$163</f>
        <v>90</v>
      </c>
      <c r="CM109" s="537">
        <f>Time!CM$163</f>
        <v>91</v>
      </c>
      <c r="CN109" s="537">
        <f>Time!CN$163</f>
        <v>92</v>
      </c>
      <c r="CO109" s="537">
        <f>Time!CO$163</f>
        <v>92</v>
      </c>
      <c r="CP109" s="537">
        <f>Time!CP$163</f>
        <v>91</v>
      </c>
      <c r="CQ109" s="537">
        <f>Time!CQ$163</f>
        <v>91</v>
      </c>
      <c r="CR109" s="537">
        <f>Time!CR$163</f>
        <v>92</v>
      </c>
      <c r="CS109" s="537">
        <f>Time!CS$163</f>
        <v>92</v>
      </c>
      <c r="CT109" s="537">
        <f>Time!CT$163</f>
        <v>90</v>
      </c>
      <c r="CU109" s="537">
        <f>Time!CU$163</f>
        <v>91</v>
      </c>
      <c r="CV109" s="537">
        <f>Time!CV$163</f>
        <v>92</v>
      </c>
      <c r="CW109" s="537">
        <f>Time!CW$163</f>
        <v>92</v>
      </c>
      <c r="CX109" s="537">
        <f>Time!CX$163</f>
        <v>90</v>
      </c>
      <c r="CY109" s="537">
        <f>Time!CY$163</f>
        <v>91</v>
      </c>
      <c r="CZ109" s="537">
        <f>Time!CZ$163</f>
        <v>92</v>
      </c>
      <c r="DA109" s="537">
        <f>Time!DA$163</f>
        <v>92</v>
      </c>
      <c r="DB109" s="537">
        <f>Time!DB$163</f>
        <v>90</v>
      </c>
      <c r="DC109" s="537">
        <f>Time!DC$163</f>
        <v>91</v>
      </c>
      <c r="DD109" s="537">
        <f>Time!DD$163</f>
        <v>92</v>
      </c>
      <c r="DE109" s="537">
        <f>Time!DE$163</f>
        <v>92</v>
      </c>
      <c r="DF109" s="537">
        <f>Time!DF$163</f>
        <v>91</v>
      </c>
      <c r="DG109" s="537">
        <f>Time!DG$163</f>
        <v>91</v>
      </c>
      <c r="DH109" s="537">
        <f>Time!DH$163</f>
        <v>92</v>
      </c>
      <c r="DI109" s="537">
        <f>Time!DI$163</f>
        <v>92</v>
      </c>
      <c r="DJ109" s="537">
        <f>Time!DJ$163</f>
        <v>90</v>
      </c>
      <c r="DK109" s="537">
        <f>Time!DK$163</f>
        <v>91</v>
      </c>
      <c r="DL109" s="537">
        <f>Time!DL$163</f>
        <v>92</v>
      </c>
      <c r="DM109" s="537">
        <f>Time!DM$163</f>
        <v>92</v>
      </c>
      <c r="DN109" s="537">
        <f>Time!DN$163</f>
        <v>90</v>
      </c>
      <c r="DO109" s="537">
        <f>Time!DO$163</f>
        <v>91</v>
      </c>
      <c r="DP109" s="537">
        <f>Time!DP$163</f>
        <v>92</v>
      </c>
      <c r="DQ109" s="537">
        <f>Time!DQ$163</f>
        <v>92</v>
      </c>
      <c r="DR109" s="537">
        <f>Time!DR$163</f>
        <v>90</v>
      </c>
      <c r="DS109" s="537">
        <f>Time!DS$163</f>
        <v>91</v>
      </c>
      <c r="DT109" s="537">
        <f>Time!DT$163</f>
        <v>92</v>
      </c>
      <c r="DU109" s="537">
        <f>Time!DU$163</f>
        <v>92</v>
      </c>
      <c r="DV109" s="537">
        <f>Time!DV$163</f>
        <v>91</v>
      </c>
      <c r="DW109" s="537">
        <f>Time!DW$163</f>
        <v>91</v>
      </c>
      <c r="DX109" s="537">
        <f>Time!DX$163</f>
        <v>92</v>
      </c>
      <c r="DY109" s="537">
        <f>Time!DY$163</f>
        <v>92</v>
      </c>
      <c r="DZ109" s="537">
        <f>Time!DZ$163</f>
        <v>90</v>
      </c>
      <c r="EA109" s="537">
        <f>Time!EA$163</f>
        <v>91</v>
      </c>
      <c r="EB109" s="537">
        <f>Time!EB$163</f>
        <v>92</v>
      </c>
      <c r="EC109" s="537">
        <f>Time!EC$163</f>
        <v>92</v>
      </c>
      <c r="ED109" s="537">
        <f>Time!ED$163</f>
        <v>90</v>
      </c>
      <c r="EE109" s="537">
        <f>Time!EE$163</f>
        <v>91</v>
      </c>
      <c r="EF109" s="537">
        <f>Time!EF$163</f>
        <v>92</v>
      </c>
      <c r="EG109" s="537">
        <f>Time!EG$163</f>
        <v>92</v>
      </c>
    </row>
    <row r="110" spans="5:137" ht="12.75">
      <c r="E110" s="538" t="str">
        <f>E$48</f>
        <v>Revenue - total</v>
      </c>
      <c r="G110" s="539" t="str">
        <f>G$48</f>
        <v>EUR 000s</v>
      </c>
      <c r="H110" s="539">
        <f>H$48</f>
        <v>1599567.5439386531</v>
      </c>
      <c r="J110" s="539">
        <f t="shared" si="33" ref="J110:EG110">J$48</f>
        <v>0</v>
      </c>
      <c r="K110" s="539">
        <f t="shared" si="33"/>
        <v>0</v>
      </c>
      <c r="L110" s="539">
        <f t="shared" si="33"/>
        <v>0</v>
      </c>
      <c r="M110" s="539">
        <f t="shared" si="33"/>
        <v>0</v>
      </c>
      <c r="N110" s="539">
        <f t="shared" si="33"/>
        <v>0</v>
      </c>
      <c r="O110" s="539">
        <f t="shared" si="33"/>
        <v>0</v>
      </c>
      <c r="P110" s="539">
        <f t="shared" si="33"/>
        <v>0</v>
      </c>
      <c r="Q110" s="539">
        <f t="shared" si="33"/>
        <v>0</v>
      </c>
      <c r="R110" s="539">
        <f t="shared" si="33"/>
        <v>0</v>
      </c>
      <c r="S110" s="539">
        <f t="shared" si="33"/>
        <v>0</v>
      </c>
      <c r="T110" s="539">
        <f t="shared" si="33"/>
        <v>0</v>
      </c>
      <c r="U110" s="539">
        <f t="shared" si="33"/>
        <v>0</v>
      </c>
      <c r="V110" s="539">
        <f t="shared" si="33"/>
        <v>0</v>
      </c>
      <c r="W110" s="539">
        <f t="shared" si="33"/>
        <v>0</v>
      </c>
      <c r="X110" s="539">
        <f t="shared" si="33"/>
        <v>0</v>
      </c>
      <c r="Y110" s="539">
        <f t="shared" si="33"/>
        <v>0</v>
      </c>
      <c r="Z110" s="539">
        <f t="shared" si="33"/>
        <v>0</v>
      </c>
      <c r="AA110" s="539">
        <f t="shared" si="33"/>
        <v>0</v>
      </c>
      <c r="AB110" s="539">
        <f t="shared" si="33"/>
        <v>0</v>
      </c>
      <c r="AC110" s="539">
        <f t="shared" si="33"/>
        <v>0</v>
      </c>
      <c r="AD110" s="539">
        <f t="shared" si="33"/>
        <v>0</v>
      </c>
      <c r="AE110" s="539">
        <f t="shared" si="33"/>
        <v>0</v>
      </c>
      <c r="AF110" s="539">
        <f t="shared" si="33"/>
        <v>0</v>
      </c>
      <c r="AG110" s="539">
        <f t="shared" si="33"/>
        <v>0</v>
      </c>
      <c r="AH110" s="539">
        <f t="shared" si="33"/>
        <v>12484.799999999999</v>
      </c>
      <c r="AI110" s="539">
        <f t="shared" si="33"/>
        <v>12484.799999999999</v>
      </c>
      <c r="AJ110" s="539">
        <f t="shared" si="33"/>
        <v>12484.799999999999</v>
      </c>
      <c r="AK110" s="539">
        <f t="shared" si="33"/>
        <v>12484.799999999999</v>
      </c>
      <c r="AL110" s="539">
        <f t="shared" si="33"/>
        <v>12734.495999999999</v>
      </c>
      <c r="AM110" s="539">
        <f t="shared" si="33"/>
        <v>12734.495999999999</v>
      </c>
      <c r="AN110" s="539">
        <f t="shared" si="33"/>
        <v>12734.495999999999</v>
      </c>
      <c r="AO110" s="539">
        <f t="shared" si="33"/>
        <v>12734.495999999999</v>
      </c>
      <c r="AP110" s="539">
        <f t="shared" si="33"/>
        <v>12989.18592</v>
      </c>
      <c r="AQ110" s="539">
        <f t="shared" si="33"/>
        <v>12989.18592</v>
      </c>
      <c r="AR110" s="539">
        <f t="shared" si="33"/>
        <v>12989.18592</v>
      </c>
      <c r="AS110" s="539">
        <f t="shared" si="33"/>
        <v>12989.18592</v>
      </c>
      <c r="AT110" s="539">
        <f t="shared" si="33"/>
        <v>13248.9696384</v>
      </c>
      <c r="AU110" s="539">
        <f t="shared" si="33"/>
        <v>13248.9696384</v>
      </c>
      <c r="AV110" s="539">
        <f t="shared" si="33"/>
        <v>13248.9696384</v>
      </c>
      <c r="AW110" s="539">
        <f t="shared" si="33"/>
        <v>13248.9696384</v>
      </c>
      <c r="AX110" s="539">
        <f t="shared" si="33"/>
        <v>13513.949031168</v>
      </c>
      <c r="AY110" s="539">
        <f t="shared" si="33"/>
        <v>13513.949031168</v>
      </c>
      <c r="AZ110" s="539">
        <f t="shared" si="33"/>
        <v>13513.949031168</v>
      </c>
      <c r="BA110" s="539">
        <f t="shared" si="33"/>
        <v>13513.949031168</v>
      </c>
      <c r="BB110" s="539">
        <f t="shared" si="33"/>
        <v>13784.228011791361</v>
      </c>
      <c r="BC110" s="539">
        <f t="shared" si="33"/>
        <v>13784.228011791361</v>
      </c>
      <c r="BD110" s="539">
        <f t="shared" si="33"/>
        <v>13784.228011791361</v>
      </c>
      <c r="BE110" s="539">
        <f t="shared" si="33"/>
        <v>13784.228011791361</v>
      </c>
      <c r="BF110" s="539">
        <f t="shared" si="33"/>
        <v>14059.91257202719</v>
      </c>
      <c r="BG110" s="539">
        <f t="shared" si="33"/>
        <v>14059.91257202719</v>
      </c>
      <c r="BH110" s="539">
        <f t="shared" si="33"/>
        <v>14059.91257202719</v>
      </c>
      <c r="BI110" s="539">
        <f t="shared" si="33"/>
        <v>14059.91257202719</v>
      </c>
      <c r="BJ110" s="539">
        <f t="shared" si="33"/>
        <v>14341.110823467732</v>
      </c>
      <c r="BK110" s="539">
        <f t="shared" si="33"/>
        <v>14341.110823467732</v>
      </c>
      <c r="BL110" s="539">
        <f t="shared" si="33"/>
        <v>14341.110823467732</v>
      </c>
      <c r="BM110" s="539">
        <f t="shared" si="33"/>
        <v>14341.110823467732</v>
      </c>
      <c r="BN110" s="539">
        <f t="shared" si="33"/>
        <v>14627.933039937088</v>
      </c>
      <c r="BO110" s="539">
        <f t="shared" si="33"/>
        <v>14627.933039937088</v>
      </c>
      <c r="BP110" s="539">
        <f t="shared" si="33"/>
        <v>14627.933039937088</v>
      </c>
      <c r="BQ110" s="539">
        <f t="shared" si="33"/>
        <v>14627.933039937088</v>
      </c>
      <c r="BR110" s="539">
        <f t="shared" si="33"/>
        <v>14920.491700735829</v>
      </c>
      <c r="BS110" s="539">
        <f t="shared" si="33"/>
        <v>14920.491700735829</v>
      </c>
      <c r="BT110" s="539">
        <f t="shared" si="33"/>
        <v>14920.491700735829</v>
      </c>
      <c r="BU110" s="539">
        <f t="shared" si="33"/>
        <v>14920.491700735829</v>
      </c>
      <c r="BV110" s="539">
        <f t="shared" si="33"/>
        <v>15218.901534750546</v>
      </c>
      <c r="BW110" s="539">
        <f t="shared" si="33"/>
        <v>15218.901534750546</v>
      </c>
      <c r="BX110" s="539">
        <f t="shared" si="33"/>
        <v>15218.901534750546</v>
      </c>
      <c r="BY110" s="539">
        <f t="shared" si="33"/>
        <v>15218.901534750546</v>
      </c>
      <c r="BZ110" s="539">
        <f t="shared" si="33"/>
        <v>15523.279565445555</v>
      </c>
      <c r="CA110" s="539">
        <f t="shared" si="33"/>
        <v>15523.279565445555</v>
      </c>
      <c r="CB110" s="539">
        <f t="shared" si="33"/>
        <v>15523.279565445555</v>
      </c>
      <c r="CC110" s="539">
        <f t="shared" si="33"/>
        <v>15523.279565445555</v>
      </c>
      <c r="CD110" s="539">
        <f t="shared" si="33"/>
        <v>15833.745156754469</v>
      </c>
      <c r="CE110" s="539">
        <f t="shared" si="33"/>
        <v>15833.745156754469</v>
      </c>
      <c r="CF110" s="539">
        <f t="shared" si="33"/>
        <v>15833.745156754469</v>
      </c>
      <c r="CG110" s="539">
        <f t="shared" si="33"/>
        <v>15833.745156754469</v>
      </c>
      <c r="CH110" s="539">
        <f t="shared" si="33"/>
        <v>16150.420059889559</v>
      </c>
      <c r="CI110" s="539">
        <f t="shared" si="33"/>
        <v>16150.420059889559</v>
      </c>
      <c r="CJ110" s="539">
        <f t="shared" si="33"/>
        <v>16150.420059889559</v>
      </c>
      <c r="CK110" s="539">
        <f t="shared" si="33"/>
        <v>16150.420059889559</v>
      </c>
      <c r="CL110" s="539">
        <f t="shared" si="33"/>
        <v>16473.428461087351</v>
      </c>
      <c r="CM110" s="539">
        <f t="shared" si="33"/>
        <v>16473.428461087351</v>
      </c>
      <c r="CN110" s="539">
        <f t="shared" si="33"/>
        <v>16473.428461087351</v>
      </c>
      <c r="CO110" s="539">
        <f t="shared" si="33"/>
        <v>16473.428461087351</v>
      </c>
      <c r="CP110" s="539">
        <f t="shared" si="33"/>
        <v>16802.897030309097</v>
      </c>
      <c r="CQ110" s="539">
        <f t="shared" si="33"/>
        <v>16802.897030309097</v>
      </c>
      <c r="CR110" s="539">
        <f t="shared" si="33"/>
        <v>16802.897030309097</v>
      </c>
      <c r="CS110" s="539">
        <f t="shared" si="33"/>
        <v>16802.897030309097</v>
      </c>
      <c r="CT110" s="539">
        <f t="shared" si="33"/>
        <v>17138.954970915282</v>
      </c>
      <c r="CU110" s="539">
        <f t="shared" si="33"/>
        <v>17138.954970915282</v>
      </c>
      <c r="CV110" s="539">
        <f t="shared" si="33"/>
        <v>17138.954970915282</v>
      </c>
      <c r="CW110" s="539">
        <f t="shared" si="33"/>
        <v>17138.954970915282</v>
      </c>
      <c r="CX110" s="539">
        <f t="shared" si="33"/>
        <v>17481.734070333587</v>
      </c>
      <c r="CY110" s="539">
        <f t="shared" si="33"/>
        <v>17481.734070333587</v>
      </c>
      <c r="CZ110" s="539">
        <f t="shared" si="33"/>
        <v>17481.734070333587</v>
      </c>
      <c r="DA110" s="539">
        <f t="shared" si="33"/>
        <v>17481.734070333587</v>
      </c>
      <c r="DB110" s="539">
        <f t="shared" si="33"/>
        <v>17831.368751740258</v>
      </c>
      <c r="DC110" s="539">
        <f t="shared" si="33"/>
        <v>17831.368751740258</v>
      </c>
      <c r="DD110" s="539">
        <f t="shared" si="33"/>
        <v>17831.368751740258</v>
      </c>
      <c r="DE110" s="539">
        <f t="shared" si="33"/>
        <v>17831.368751740258</v>
      </c>
      <c r="DF110" s="539">
        <f t="shared" si="33"/>
        <v>18187.996126775066</v>
      </c>
      <c r="DG110" s="539">
        <f t="shared" si="33"/>
        <v>18187.996126775066</v>
      </c>
      <c r="DH110" s="539">
        <f t="shared" si="33"/>
        <v>18187.996126775066</v>
      </c>
      <c r="DI110" s="539">
        <f t="shared" si="33"/>
        <v>18187.996126775066</v>
      </c>
      <c r="DJ110" s="539">
        <f t="shared" si="33"/>
        <v>18551.756049310567</v>
      </c>
      <c r="DK110" s="539">
        <f t="shared" si="33"/>
        <v>18551.756049310567</v>
      </c>
      <c r="DL110" s="539">
        <f t="shared" si="33"/>
        <v>18551.756049310567</v>
      </c>
      <c r="DM110" s="539">
        <f t="shared" si="33"/>
        <v>18551.756049310567</v>
      </c>
      <c r="DN110" s="539">
        <f t="shared" si="33"/>
        <v>18922.791170296779</v>
      </c>
      <c r="DO110" s="539">
        <f t="shared" si="33"/>
        <v>18922.791170296779</v>
      </c>
      <c r="DP110" s="539">
        <f t="shared" si="33"/>
        <v>18922.791170296779</v>
      </c>
      <c r="DQ110" s="539">
        <f t="shared" si="33"/>
        <v>18922.791170296779</v>
      </c>
      <c r="DR110" s="539">
        <f t="shared" si="33"/>
        <v>19301.246993702713</v>
      </c>
      <c r="DS110" s="539">
        <f t="shared" si="33"/>
        <v>19301.246993702713</v>
      </c>
      <c r="DT110" s="539">
        <f t="shared" si="33"/>
        <v>19301.246993702713</v>
      </c>
      <c r="DU110" s="539">
        <f t="shared" si="33"/>
        <v>19301.246993702713</v>
      </c>
      <c r="DV110" s="539">
        <f t="shared" si="33"/>
        <v>19687.271933576769</v>
      </c>
      <c r="DW110" s="539">
        <f t="shared" si="33"/>
        <v>19687.271933576769</v>
      </c>
      <c r="DX110" s="539">
        <f t="shared" si="33"/>
        <v>19687.271933576769</v>
      </c>
      <c r="DY110" s="539">
        <f t="shared" si="33"/>
        <v>19687.271933576769</v>
      </c>
      <c r="DZ110" s="539">
        <f t="shared" si="33"/>
        <v>20081.017372248301</v>
      </c>
      <c r="EA110" s="539">
        <f t="shared" si="33"/>
        <v>20081.017372248301</v>
      </c>
      <c r="EB110" s="539">
        <f t="shared" si="33"/>
        <v>20081.017372248301</v>
      </c>
      <c r="EC110" s="539">
        <f t="shared" si="33"/>
        <v>20081.017372248301</v>
      </c>
      <c r="ED110" s="539">
        <f t="shared" si="33"/>
        <v>0</v>
      </c>
      <c r="EE110" s="539">
        <f t="shared" si="33"/>
        <v>0</v>
      </c>
      <c r="EF110" s="539">
        <f t="shared" si="33"/>
        <v>0</v>
      </c>
      <c r="EG110" s="539">
        <f t="shared" si="33"/>
        <v>0</v>
      </c>
    </row>
    <row r="111" spans="5:137" ht="12.75">
      <c r="E111" s="540" t="s">
        <v>271</v>
      </c>
      <c r="G111" s="541" t="s">
        <v>30</v>
      </c>
      <c r="H111" s="541">
        <f>SUM(J111:EG111)</f>
        <v>525570.63057551137</v>
      </c>
      <c r="J111" s="541">
        <f t="shared" si="34" ref="J111:EG111">J110*MIN($F107,J109)/J109*J108</f>
        <v>0</v>
      </c>
      <c r="K111" s="541">
        <f t="shared" si="34"/>
        <v>0</v>
      </c>
      <c r="L111" s="541">
        <f t="shared" si="34"/>
        <v>0</v>
      </c>
      <c r="M111" s="541">
        <f t="shared" si="34"/>
        <v>0</v>
      </c>
      <c r="N111" s="541">
        <f t="shared" si="34"/>
        <v>0</v>
      </c>
      <c r="O111" s="541">
        <f t="shared" si="34"/>
        <v>0</v>
      </c>
      <c r="P111" s="541">
        <f t="shared" si="34"/>
        <v>0</v>
      </c>
      <c r="Q111" s="541">
        <f t="shared" si="34"/>
        <v>0</v>
      </c>
      <c r="R111" s="541">
        <f t="shared" si="34"/>
        <v>0</v>
      </c>
      <c r="S111" s="541">
        <f t="shared" si="34"/>
        <v>0</v>
      </c>
      <c r="T111" s="541">
        <f t="shared" si="34"/>
        <v>0</v>
      </c>
      <c r="U111" s="541">
        <f t="shared" si="34"/>
        <v>0</v>
      </c>
      <c r="V111" s="541">
        <f t="shared" si="34"/>
        <v>0</v>
      </c>
      <c r="W111" s="541">
        <f t="shared" si="34"/>
        <v>0</v>
      </c>
      <c r="X111" s="541">
        <f t="shared" si="34"/>
        <v>0</v>
      </c>
      <c r="Y111" s="541">
        <f t="shared" si="34"/>
        <v>0</v>
      </c>
      <c r="Z111" s="541">
        <f t="shared" si="34"/>
        <v>0</v>
      </c>
      <c r="AA111" s="541">
        <f t="shared" si="34"/>
        <v>0</v>
      </c>
      <c r="AB111" s="541">
        <f t="shared" si="34"/>
        <v>0</v>
      </c>
      <c r="AC111" s="541">
        <f t="shared" si="34"/>
        <v>0</v>
      </c>
      <c r="AD111" s="541">
        <f t="shared" si="34"/>
        <v>0</v>
      </c>
      <c r="AE111" s="541">
        <f t="shared" si="34"/>
        <v>0</v>
      </c>
      <c r="AF111" s="541">
        <f t="shared" si="34"/>
        <v>0</v>
      </c>
      <c r="AG111" s="541">
        <f t="shared" si="34"/>
        <v>0</v>
      </c>
      <c r="AH111" s="541">
        <f t="shared" si="34"/>
        <v>4161.6000000000004</v>
      </c>
      <c r="AI111" s="541">
        <f t="shared" si="34"/>
        <v>4115.868131868132</v>
      </c>
      <c r="AJ111" s="541">
        <f t="shared" si="34"/>
        <v>4071.1304347826085</v>
      </c>
      <c r="AK111" s="541">
        <f t="shared" si="34"/>
        <v>4071.1304347826085</v>
      </c>
      <c r="AL111" s="541">
        <f t="shared" si="34"/>
        <v>4244.8320000000003</v>
      </c>
      <c r="AM111" s="541">
        <f t="shared" si="34"/>
        <v>4198.1854945054947</v>
      </c>
      <c r="AN111" s="541">
        <f t="shared" si="34"/>
        <v>4152.5530434782613</v>
      </c>
      <c r="AO111" s="541">
        <f t="shared" si="34"/>
        <v>4152.5530434782613</v>
      </c>
      <c r="AP111" s="541">
        <f t="shared" si="34"/>
        <v>4329.7286400000003</v>
      </c>
      <c r="AQ111" s="541">
        <f t="shared" si="34"/>
        <v>4282.149204395605</v>
      </c>
      <c r="AR111" s="541">
        <f t="shared" si="34"/>
        <v>4235.6041043478263</v>
      </c>
      <c r="AS111" s="541">
        <f t="shared" si="34"/>
        <v>4235.6041043478263</v>
      </c>
      <c r="AT111" s="541">
        <f t="shared" si="34"/>
        <v>4367.7921884835159</v>
      </c>
      <c r="AU111" s="541">
        <f t="shared" si="34"/>
        <v>4367.7921884835159</v>
      </c>
      <c r="AV111" s="541">
        <f t="shared" si="34"/>
        <v>4320.3161864347821</v>
      </c>
      <c r="AW111" s="541">
        <f t="shared" si="34"/>
        <v>4320.3161864347821</v>
      </c>
      <c r="AX111" s="541">
        <f t="shared" si="34"/>
        <v>4504.6496770559997</v>
      </c>
      <c r="AY111" s="541">
        <f t="shared" si="34"/>
        <v>4455.148032253187</v>
      </c>
      <c r="AZ111" s="541">
        <f t="shared" si="34"/>
        <v>4406.7225101634776</v>
      </c>
      <c r="BA111" s="541">
        <f t="shared" si="34"/>
        <v>4406.7225101634776</v>
      </c>
      <c r="BB111" s="541">
        <f t="shared" si="34"/>
        <v>4594.7426705971202</v>
      </c>
      <c r="BC111" s="541">
        <f t="shared" si="34"/>
        <v>4544.2509928982508</v>
      </c>
      <c r="BD111" s="541">
        <f t="shared" si="34"/>
        <v>4494.8569603667484</v>
      </c>
      <c r="BE111" s="541">
        <f t="shared" si="34"/>
        <v>4494.8569603667484</v>
      </c>
      <c r="BF111" s="541">
        <f t="shared" si="34"/>
        <v>4686.6375240090629</v>
      </c>
      <c r="BG111" s="541">
        <f t="shared" si="34"/>
        <v>4635.1360127562166</v>
      </c>
      <c r="BH111" s="541">
        <f t="shared" si="34"/>
        <v>4584.7540995740837</v>
      </c>
      <c r="BI111" s="541">
        <f t="shared" si="34"/>
        <v>4584.7540995740837</v>
      </c>
      <c r="BJ111" s="541">
        <f t="shared" si="34"/>
        <v>4727.8387330113401</v>
      </c>
      <c r="BK111" s="541">
        <f t="shared" si="34"/>
        <v>4727.8387330113401</v>
      </c>
      <c r="BL111" s="541">
        <f t="shared" si="34"/>
        <v>4676.4491815655647</v>
      </c>
      <c r="BM111" s="541">
        <f t="shared" si="34"/>
        <v>4676.4491815655647</v>
      </c>
      <c r="BN111" s="541">
        <f t="shared" si="34"/>
        <v>4875.9776799790297</v>
      </c>
      <c r="BO111" s="541">
        <f t="shared" si="34"/>
        <v>4822.3955076715674</v>
      </c>
      <c r="BP111" s="541">
        <f t="shared" si="34"/>
        <v>4769.9781651968769</v>
      </c>
      <c r="BQ111" s="541">
        <f t="shared" si="34"/>
        <v>4769.9781651968769</v>
      </c>
      <c r="BR111" s="541">
        <f t="shared" si="34"/>
        <v>4973.4972335786097</v>
      </c>
      <c r="BS111" s="541">
        <f t="shared" si="34"/>
        <v>4918.8434178249991</v>
      </c>
      <c r="BT111" s="541">
        <f t="shared" si="34"/>
        <v>4865.3777285008136</v>
      </c>
      <c r="BU111" s="541">
        <f t="shared" si="34"/>
        <v>4865.3777285008136</v>
      </c>
      <c r="BV111" s="541">
        <f t="shared" si="34"/>
        <v>5072.9671782501828</v>
      </c>
      <c r="BW111" s="541">
        <f t="shared" si="34"/>
        <v>5017.2202861814994</v>
      </c>
      <c r="BX111" s="541">
        <f t="shared" si="34"/>
        <v>4962.6852830708303</v>
      </c>
      <c r="BY111" s="541">
        <f t="shared" si="34"/>
        <v>4962.6852830708303</v>
      </c>
      <c r="BZ111" s="541">
        <f t="shared" si="34"/>
        <v>5117.5646919051278</v>
      </c>
      <c r="CA111" s="541">
        <f t="shared" si="34"/>
        <v>5117.5646919051278</v>
      </c>
      <c r="CB111" s="541">
        <f t="shared" si="34"/>
        <v>5061.9389887322459</v>
      </c>
      <c r="CC111" s="541">
        <f t="shared" si="34"/>
        <v>5061.9389887322459</v>
      </c>
      <c r="CD111" s="541">
        <f t="shared" si="34"/>
        <v>5277.9150522514892</v>
      </c>
      <c r="CE111" s="541">
        <f t="shared" si="34"/>
        <v>5219.9159857432314</v>
      </c>
      <c r="CF111" s="541">
        <f t="shared" si="34"/>
        <v>5163.1777685068919</v>
      </c>
      <c r="CG111" s="541">
        <f t="shared" si="34"/>
        <v>5163.1777685068919</v>
      </c>
      <c r="CH111" s="541">
        <f t="shared" si="34"/>
        <v>5383.4733532965192</v>
      </c>
      <c r="CI111" s="541">
        <f t="shared" si="34"/>
        <v>5324.314305458096</v>
      </c>
      <c r="CJ111" s="541">
        <f t="shared" si="34"/>
        <v>5266.4413238770303</v>
      </c>
      <c r="CK111" s="541">
        <f t="shared" si="34"/>
        <v>5266.4413238770303</v>
      </c>
      <c r="CL111" s="541">
        <f t="shared" si="34"/>
        <v>5491.1428203624509</v>
      </c>
      <c r="CM111" s="541">
        <f t="shared" si="34"/>
        <v>5430.8005915672584</v>
      </c>
      <c r="CN111" s="541">
        <f t="shared" si="34"/>
        <v>5371.7701503545713</v>
      </c>
      <c r="CO111" s="541">
        <f t="shared" si="34"/>
        <v>5371.7701503545713</v>
      </c>
      <c r="CP111" s="541">
        <f t="shared" si="34"/>
        <v>5539.416603398603</v>
      </c>
      <c r="CQ111" s="541">
        <f t="shared" si="34"/>
        <v>5539.416603398603</v>
      </c>
      <c r="CR111" s="541">
        <f t="shared" si="34"/>
        <v>5479.2055533616622</v>
      </c>
      <c r="CS111" s="541">
        <f t="shared" si="34"/>
        <v>5479.2055533616622</v>
      </c>
      <c r="CT111" s="541">
        <f t="shared" si="34"/>
        <v>5712.9849903050936</v>
      </c>
      <c r="CU111" s="541">
        <f t="shared" si="34"/>
        <v>5650.204935466576</v>
      </c>
      <c r="CV111" s="541">
        <f t="shared" si="34"/>
        <v>5588.7896644288967</v>
      </c>
      <c r="CW111" s="541">
        <f t="shared" si="34"/>
        <v>5588.7896644288967</v>
      </c>
      <c r="CX111" s="541">
        <f t="shared" si="34"/>
        <v>5827.2446901111953</v>
      </c>
      <c r="CY111" s="541">
        <f t="shared" si="34"/>
        <v>5763.2090341759076</v>
      </c>
      <c r="CZ111" s="541">
        <f t="shared" si="34"/>
        <v>5700.5654577174737</v>
      </c>
      <c r="DA111" s="541">
        <f t="shared" si="34"/>
        <v>5700.5654577174737</v>
      </c>
      <c r="DB111" s="541">
        <f t="shared" si="34"/>
        <v>5943.7895839134189</v>
      </c>
      <c r="DC111" s="541">
        <f t="shared" si="34"/>
        <v>5878.4732148594258</v>
      </c>
      <c r="DD111" s="541">
        <f t="shared" si="34"/>
        <v>5814.5767668718236</v>
      </c>
      <c r="DE111" s="541">
        <f t="shared" si="34"/>
        <v>5814.5767668718236</v>
      </c>
      <c r="DF111" s="541">
        <f t="shared" si="34"/>
        <v>5996.0426791566151</v>
      </c>
      <c r="DG111" s="541">
        <f t="shared" si="34"/>
        <v>5996.0426791566151</v>
      </c>
      <c r="DH111" s="541">
        <f t="shared" si="34"/>
        <v>5930.8683022092609</v>
      </c>
      <c r="DI111" s="541">
        <f t="shared" si="34"/>
        <v>5930.8683022092609</v>
      </c>
      <c r="DJ111" s="541">
        <f t="shared" si="34"/>
        <v>6183.9186831035222</v>
      </c>
      <c r="DK111" s="541">
        <f t="shared" si="34"/>
        <v>6115.9635327397473</v>
      </c>
      <c r="DL111" s="541">
        <f t="shared" si="34"/>
        <v>6049.4856682534455</v>
      </c>
      <c r="DM111" s="541">
        <f t="shared" si="34"/>
        <v>6049.4856682534455</v>
      </c>
      <c r="DN111" s="541">
        <f t="shared" si="34"/>
        <v>6307.5970567655932</v>
      </c>
      <c r="DO111" s="541">
        <f t="shared" si="34"/>
        <v>6238.2828033945425</v>
      </c>
      <c r="DP111" s="541">
        <f t="shared" si="34"/>
        <v>6170.4753816185148</v>
      </c>
      <c r="DQ111" s="541">
        <f t="shared" si="34"/>
        <v>6170.4753816185148</v>
      </c>
      <c r="DR111" s="541">
        <f t="shared" si="34"/>
        <v>6433.7489979009042</v>
      </c>
      <c r="DS111" s="541">
        <f t="shared" si="34"/>
        <v>6363.0484594624322</v>
      </c>
      <c r="DT111" s="541">
        <f t="shared" si="34"/>
        <v>6293.884889250884</v>
      </c>
      <c r="DU111" s="541">
        <f t="shared" si="34"/>
        <v>6293.884889250884</v>
      </c>
      <c r="DV111" s="541">
        <f t="shared" si="34"/>
        <v>6490.3094286516816</v>
      </c>
      <c r="DW111" s="541">
        <f t="shared" si="34"/>
        <v>6490.3094286516816</v>
      </c>
      <c r="DX111" s="541">
        <f t="shared" si="34"/>
        <v>6419.7625870359025</v>
      </c>
      <c r="DY111" s="541">
        <f t="shared" si="34"/>
        <v>6419.7625870359025</v>
      </c>
      <c r="DZ111" s="541">
        <f t="shared" si="34"/>
        <v>6693.6724574161008</v>
      </c>
      <c r="EA111" s="541">
        <f t="shared" si="34"/>
        <v>6620.1156172247147</v>
      </c>
      <c r="EB111" s="541">
        <f t="shared" si="34"/>
        <v>6548.1578387766203</v>
      </c>
      <c r="EC111" s="541">
        <f t="shared" si="34"/>
        <v>6548.1578387766203</v>
      </c>
      <c r="ED111" s="541">
        <f t="shared" si="34"/>
        <v>0</v>
      </c>
      <c r="EE111" s="541">
        <f t="shared" si="34"/>
        <v>0</v>
      </c>
      <c r="EF111" s="541">
        <f t="shared" si="34"/>
        <v>0</v>
      </c>
      <c r="EG111" s="541">
        <f t="shared" si="34"/>
        <v>0</v>
      </c>
    </row>
    <row r="113" spans="5:137" ht="12.75">
      <c r="E113" s="538" t="str">
        <f>E$111</f>
        <v>Receivables - closing balance</v>
      </c>
      <c r="G113" s="539" t="str">
        <f>G$111</f>
        <v>EUR 000s</v>
      </c>
      <c r="H113" s="539">
        <f>H$111</f>
        <v>525570.63057551137</v>
      </c>
      <c r="J113" s="539">
        <f t="shared" si="35" ref="J113:EG113">J$111</f>
        <v>0</v>
      </c>
      <c r="K113" s="539">
        <f t="shared" si="35"/>
        <v>0</v>
      </c>
      <c r="L113" s="539">
        <f t="shared" si="35"/>
        <v>0</v>
      </c>
      <c r="M113" s="539">
        <f t="shared" si="35"/>
        <v>0</v>
      </c>
      <c r="N113" s="539">
        <f t="shared" si="35"/>
        <v>0</v>
      </c>
      <c r="O113" s="539">
        <f t="shared" si="35"/>
        <v>0</v>
      </c>
      <c r="P113" s="539">
        <f t="shared" si="35"/>
        <v>0</v>
      </c>
      <c r="Q113" s="539">
        <f t="shared" si="35"/>
        <v>0</v>
      </c>
      <c r="R113" s="539">
        <f t="shared" si="35"/>
        <v>0</v>
      </c>
      <c r="S113" s="539">
        <f t="shared" si="35"/>
        <v>0</v>
      </c>
      <c r="T113" s="539">
        <f t="shared" si="35"/>
        <v>0</v>
      </c>
      <c r="U113" s="539">
        <f t="shared" si="35"/>
        <v>0</v>
      </c>
      <c r="V113" s="539">
        <f t="shared" si="35"/>
        <v>0</v>
      </c>
      <c r="W113" s="539">
        <f t="shared" si="35"/>
        <v>0</v>
      </c>
      <c r="X113" s="539">
        <f t="shared" si="35"/>
        <v>0</v>
      </c>
      <c r="Y113" s="539">
        <f t="shared" si="35"/>
        <v>0</v>
      </c>
      <c r="Z113" s="539">
        <f t="shared" si="35"/>
        <v>0</v>
      </c>
      <c r="AA113" s="539">
        <f t="shared" si="35"/>
        <v>0</v>
      </c>
      <c r="AB113" s="539">
        <f t="shared" si="35"/>
        <v>0</v>
      </c>
      <c r="AC113" s="539">
        <f t="shared" si="35"/>
        <v>0</v>
      </c>
      <c r="AD113" s="539">
        <f t="shared" si="35"/>
        <v>0</v>
      </c>
      <c r="AE113" s="539">
        <f t="shared" si="35"/>
        <v>0</v>
      </c>
      <c r="AF113" s="539">
        <f t="shared" si="35"/>
        <v>0</v>
      </c>
      <c r="AG113" s="539">
        <f t="shared" si="35"/>
        <v>0</v>
      </c>
      <c r="AH113" s="539">
        <f t="shared" si="35"/>
        <v>4161.6000000000004</v>
      </c>
      <c r="AI113" s="539">
        <f t="shared" si="35"/>
        <v>4115.868131868132</v>
      </c>
      <c r="AJ113" s="539">
        <f t="shared" si="35"/>
        <v>4071.1304347826085</v>
      </c>
      <c r="AK113" s="539">
        <f t="shared" si="35"/>
        <v>4071.1304347826085</v>
      </c>
      <c r="AL113" s="539">
        <f t="shared" si="35"/>
        <v>4244.8320000000003</v>
      </c>
      <c r="AM113" s="539">
        <f t="shared" si="35"/>
        <v>4198.1854945054947</v>
      </c>
      <c r="AN113" s="539">
        <f t="shared" si="35"/>
        <v>4152.5530434782613</v>
      </c>
      <c r="AO113" s="539">
        <f t="shared" si="35"/>
        <v>4152.5530434782613</v>
      </c>
      <c r="AP113" s="539">
        <f t="shared" si="35"/>
        <v>4329.7286400000003</v>
      </c>
      <c r="AQ113" s="539">
        <f t="shared" si="35"/>
        <v>4282.149204395605</v>
      </c>
      <c r="AR113" s="539">
        <f t="shared" si="35"/>
        <v>4235.6041043478263</v>
      </c>
      <c r="AS113" s="539">
        <f t="shared" si="35"/>
        <v>4235.6041043478263</v>
      </c>
      <c r="AT113" s="539">
        <f t="shared" si="35"/>
        <v>4367.7921884835159</v>
      </c>
      <c r="AU113" s="539">
        <f t="shared" si="35"/>
        <v>4367.7921884835159</v>
      </c>
      <c r="AV113" s="539">
        <f t="shared" si="35"/>
        <v>4320.3161864347821</v>
      </c>
      <c r="AW113" s="539">
        <f t="shared" si="35"/>
        <v>4320.3161864347821</v>
      </c>
      <c r="AX113" s="539">
        <f t="shared" si="35"/>
        <v>4504.6496770559997</v>
      </c>
      <c r="AY113" s="539">
        <f t="shared" si="35"/>
        <v>4455.148032253187</v>
      </c>
      <c r="AZ113" s="539">
        <f t="shared" si="35"/>
        <v>4406.7225101634776</v>
      </c>
      <c r="BA113" s="539">
        <f t="shared" si="35"/>
        <v>4406.7225101634776</v>
      </c>
      <c r="BB113" s="539">
        <f t="shared" si="35"/>
        <v>4594.7426705971202</v>
      </c>
      <c r="BC113" s="539">
        <f t="shared" si="35"/>
        <v>4544.2509928982508</v>
      </c>
      <c r="BD113" s="539">
        <f t="shared" si="35"/>
        <v>4494.8569603667484</v>
      </c>
      <c r="BE113" s="539">
        <f t="shared" si="35"/>
        <v>4494.8569603667484</v>
      </c>
      <c r="BF113" s="539">
        <f t="shared" si="35"/>
        <v>4686.6375240090629</v>
      </c>
      <c r="BG113" s="539">
        <f t="shared" si="35"/>
        <v>4635.1360127562166</v>
      </c>
      <c r="BH113" s="539">
        <f t="shared" si="35"/>
        <v>4584.7540995740837</v>
      </c>
      <c r="BI113" s="539">
        <f t="shared" si="35"/>
        <v>4584.7540995740837</v>
      </c>
      <c r="BJ113" s="539">
        <f t="shared" si="35"/>
        <v>4727.8387330113401</v>
      </c>
      <c r="BK113" s="539">
        <f t="shared" si="35"/>
        <v>4727.8387330113401</v>
      </c>
      <c r="BL113" s="539">
        <f t="shared" si="35"/>
        <v>4676.4491815655647</v>
      </c>
      <c r="BM113" s="539">
        <f t="shared" si="35"/>
        <v>4676.4491815655647</v>
      </c>
      <c r="BN113" s="539">
        <f t="shared" si="35"/>
        <v>4875.9776799790297</v>
      </c>
      <c r="BO113" s="539">
        <f t="shared" si="35"/>
        <v>4822.3955076715674</v>
      </c>
      <c r="BP113" s="539">
        <f t="shared" si="35"/>
        <v>4769.9781651968769</v>
      </c>
      <c r="BQ113" s="539">
        <f t="shared" si="35"/>
        <v>4769.9781651968769</v>
      </c>
      <c r="BR113" s="539">
        <f t="shared" si="35"/>
        <v>4973.4972335786097</v>
      </c>
      <c r="BS113" s="539">
        <f t="shared" si="35"/>
        <v>4918.8434178249991</v>
      </c>
      <c r="BT113" s="539">
        <f t="shared" si="35"/>
        <v>4865.3777285008136</v>
      </c>
      <c r="BU113" s="539">
        <f t="shared" si="35"/>
        <v>4865.3777285008136</v>
      </c>
      <c r="BV113" s="539">
        <f t="shared" si="35"/>
        <v>5072.9671782501828</v>
      </c>
      <c r="BW113" s="539">
        <f t="shared" si="35"/>
        <v>5017.2202861814994</v>
      </c>
      <c r="BX113" s="539">
        <f t="shared" si="35"/>
        <v>4962.6852830708303</v>
      </c>
      <c r="BY113" s="539">
        <f t="shared" si="35"/>
        <v>4962.6852830708303</v>
      </c>
      <c r="BZ113" s="539">
        <f t="shared" si="35"/>
        <v>5117.5646919051278</v>
      </c>
      <c r="CA113" s="539">
        <f t="shared" si="35"/>
        <v>5117.5646919051278</v>
      </c>
      <c r="CB113" s="539">
        <f t="shared" si="35"/>
        <v>5061.9389887322459</v>
      </c>
      <c r="CC113" s="539">
        <f t="shared" si="35"/>
        <v>5061.9389887322459</v>
      </c>
      <c r="CD113" s="539">
        <f t="shared" si="35"/>
        <v>5277.9150522514892</v>
      </c>
      <c r="CE113" s="539">
        <f t="shared" si="35"/>
        <v>5219.9159857432314</v>
      </c>
      <c r="CF113" s="539">
        <f t="shared" si="35"/>
        <v>5163.1777685068919</v>
      </c>
      <c r="CG113" s="539">
        <f t="shared" si="35"/>
        <v>5163.1777685068919</v>
      </c>
      <c r="CH113" s="539">
        <f t="shared" si="35"/>
        <v>5383.4733532965192</v>
      </c>
      <c r="CI113" s="539">
        <f t="shared" si="35"/>
        <v>5324.314305458096</v>
      </c>
      <c r="CJ113" s="539">
        <f t="shared" si="35"/>
        <v>5266.4413238770303</v>
      </c>
      <c r="CK113" s="539">
        <f t="shared" si="35"/>
        <v>5266.4413238770303</v>
      </c>
      <c r="CL113" s="539">
        <f t="shared" si="35"/>
        <v>5491.1428203624509</v>
      </c>
      <c r="CM113" s="539">
        <f t="shared" si="35"/>
        <v>5430.8005915672584</v>
      </c>
      <c r="CN113" s="539">
        <f t="shared" si="35"/>
        <v>5371.7701503545713</v>
      </c>
      <c r="CO113" s="539">
        <f t="shared" si="35"/>
        <v>5371.7701503545713</v>
      </c>
      <c r="CP113" s="539">
        <f t="shared" si="35"/>
        <v>5539.416603398603</v>
      </c>
      <c r="CQ113" s="539">
        <f t="shared" si="35"/>
        <v>5539.416603398603</v>
      </c>
      <c r="CR113" s="539">
        <f t="shared" si="35"/>
        <v>5479.2055533616622</v>
      </c>
      <c r="CS113" s="539">
        <f t="shared" si="35"/>
        <v>5479.2055533616622</v>
      </c>
      <c r="CT113" s="539">
        <f t="shared" si="35"/>
        <v>5712.9849903050936</v>
      </c>
      <c r="CU113" s="539">
        <f t="shared" si="35"/>
        <v>5650.204935466576</v>
      </c>
      <c r="CV113" s="539">
        <f t="shared" si="35"/>
        <v>5588.7896644288967</v>
      </c>
      <c r="CW113" s="539">
        <f t="shared" si="35"/>
        <v>5588.7896644288967</v>
      </c>
      <c r="CX113" s="539">
        <f t="shared" si="35"/>
        <v>5827.2446901111953</v>
      </c>
      <c r="CY113" s="539">
        <f t="shared" si="35"/>
        <v>5763.2090341759076</v>
      </c>
      <c r="CZ113" s="539">
        <f t="shared" si="35"/>
        <v>5700.5654577174737</v>
      </c>
      <c r="DA113" s="539">
        <f t="shared" si="35"/>
        <v>5700.5654577174737</v>
      </c>
      <c r="DB113" s="539">
        <f t="shared" si="35"/>
        <v>5943.7895839134189</v>
      </c>
      <c r="DC113" s="539">
        <f t="shared" si="35"/>
        <v>5878.4732148594258</v>
      </c>
      <c r="DD113" s="539">
        <f t="shared" si="35"/>
        <v>5814.5767668718236</v>
      </c>
      <c r="DE113" s="539">
        <f t="shared" si="35"/>
        <v>5814.5767668718236</v>
      </c>
      <c r="DF113" s="539">
        <f t="shared" si="35"/>
        <v>5996.0426791566151</v>
      </c>
      <c r="DG113" s="539">
        <f t="shared" si="35"/>
        <v>5996.0426791566151</v>
      </c>
      <c r="DH113" s="539">
        <f t="shared" si="35"/>
        <v>5930.8683022092609</v>
      </c>
      <c r="DI113" s="539">
        <f t="shared" si="35"/>
        <v>5930.8683022092609</v>
      </c>
      <c r="DJ113" s="539">
        <f t="shared" si="35"/>
        <v>6183.9186831035222</v>
      </c>
      <c r="DK113" s="539">
        <f t="shared" si="35"/>
        <v>6115.9635327397473</v>
      </c>
      <c r="DL113" s="539">
        <f t="shared" si="35"/>
        <v>6049.4856682534455</v>
      </c>
      <c r="DM113" s="539">
        <f t="shared" si="35"/>
        <v>6049.4856682534455</v>
      </c>
      <c r="DN113" s="539">
        <f t="shared" si="35"/>
        <v>6307.5970567655932</v>
      </c>
      <c r="DO113" s="539">
        <f t="shared" si="35"/>
        <v>6238.2828033945425</v>
      </c>
      <c r="DP113" s="539">
        <f t="shared" si="35"/>
        <v>6170.4753816185148</v>
      </c>
      <c r="DQ113" s="539">
        <f t="shared" si="35"/>
        <v>6170.4753816185148</v>
      </c>
      <c r="DR113" s="539">
        <f t="shared" si="35"/>
        <v>6433.7489979009042</v>
      </c>
      <c r="DS113" s="539">
        <f t="shared" si="35"/>
        <v>6363.0484594624322</v>
      </c>
      <c r="DT113" s="539">
        <f t="shared" si="35"/>
        <v>6293.884889250884</v>
      </c>
      <c r="DU113" s="539">
        <f t="shared" si="35"/>
        <v>6293.884889250884</v>
      </c>
      <c r="DV113" s="539">
        <f t="shared" si="35"/>
        <v>6490.3094286516816</v>
      </c>
      <c r="DW113" s="539">
        <f t="shared" si="35"/>
        <v>6490.3094286516816</v>
      </c>
      <c r="DX113" s="539">
        <f t="shared" si="35"/>
        <v>6419.7625870359025</v>
      </c>
      <c r="DY113" s="539">
        <f t="shared" si="35"/>
        <v>6419.7625870359025</v>
      </c>
      <c r="DZ113" s="539">
        <f t="shared" si="35"/>
        <v>6693.6724574161008</v>
      </c>
      <c r="EA113" s="539">
        <f t="shared" si="35"/>
        <v>6620.1156172247147</v>
      </c>
      <c r="EB113" s="539">
        <f t="shared" si="35"/>
        <v>6548.1578387766203</v>
      </c>
      <c r="EC113" s="539">
        <f t="shared" si="35"/>
        <v>6548.1578387766203</v>
      </c>
      <c r="ED113" s="539">
        <f t="shared" si="35"/>
        <v>0</v>
      </c>
      <c r="EE113" s="539">
        <f t="shared" si="35"/>
        <v>0</v>
      </c>
      <c r="EF113" s="539">
        <f t="shared" si="35"/>
        <v>0</v>
      </c>
      <c r="EG113" s="539">
        <f t="shared" si="35"/>
        <v>0</v>
      </c>
    </row>
    <row r="114" spans="5:137" ht="12.75">
      <c r="E114" s="538" t="s">
        <v>272</v>
      </c>
      <c r="G114" s="539" t="s">
        <v>30</v>
      </c>
      <c r="H114" s="539">
        <f>SUM(J114:EG114)</f>
        <v>0</v>
      </c>
      <c r="J114" s="539">
        <f t="shared" si="36" ref="J114:EG114">J113-I113</f>
        <v>0</v>
      </c>
      <c r="K114" s="539">
        <f t="shared" si="36"/>
        <v>0</v>
      </c>
      <c r="L114" s="539">
        <f t="shared" si="36"/>
        <v>0</v>
      </c>
      <c r="M114" s="539">
        <f t="shared" si="36"/>
        <v>0</v>
      </c>
      <c r="N114" s="539">
        <f t="shared" si="36"/>
        <v>0</v>
      </c>
      <c r="O114" s="539">
        <f t="shared" si="36"/>
        <v>0</v>
      </c>
      <c r="P114" s="539">
        <f t="shared" si="36"/>
        <v>0</v>
      </c>
      <c r="Q114" s="539">
        <f t="shared" si="36"/>
        <v>0</v>
      </c>
      <c r="R114" s="539">
        <f t="shared" si="36"/>
        <v>0</v>
      </c>
      <c r="S114" s="539">
        <f t="shared" si="36"/>
        <v>0</v>
      </c>
      <c r="T114" s="539">
        <f t="shared" si="36"/>
        <v>0</v>
      </c>
      <c r="U114" s="539">
        <f t="shared" si="36"/>
        <v>0</v>
      </c>
      <c r="V114" s="539">
        <f t="shared" si="36"/>
        <v>0</v>
      </c>
      <c r="W114" s="539">
        <f t="shared" si="36"/>
        <v>0</v>
      </c>
      <c r="X114" s="539">
        <f t="shared" si="36"/>
        <v>0</v>
      </c>
      <c r="Y114" s="539">
        <f t="shared" si="36"/>
        <v>0</v>
      </c>
      <c r="Z114" s="539">
        <f t="shared" si="36"/>
        <v>0</v>
      </c>
      <c r="AA114" s="539">
        <f t="shared" si="36"/>
        <v>0</v>
      </c>
      <c r="AB114" s="539">
        <f t="shared" si="36"/>
        <v>0</v>
      </c>
      <c r="AC114" s="539">
        <f t="shared" si="36"/>
        <v>0</v>
      </c>
      <c r="AD114" s="539">
        <f t="shared" si="36"/>
        <v>0</v>
      </c>
      <c r="AE114" s="539">
        <f t="shared" si="36"/>
        <v>0</v>
      </c>
      <c r="AF114" s="539">
        <f t="shared" si="36"/>
        <v>0</v>
      </c>
      <c r="AG114" s="539">
        <f t="shared" si="36"/>
        <v>0</v>
      </c>
      <c r="AH114" s="539">
        <f t="shared" si="36"/>
        <v>4161.6000000000004</v>
      </c>
      <c r="AI114" s="539">
        <f t="shared" si="36"/>
        <v>-45.731868131868396</v>
      </c>
      <c r="AJ114" s="539">
        <f t="shared" si="36"/>
        <v>-44.73769708552345</v>
      </c>
      <c r="AK114" s="539">
        <f t="shared" si="36"/>
        <v>0</v>
      </c>
      <c r="AL114" s="539">
        <f t="shared" si="36"/>
        <v>173.70156521739182</v>
      </c>
      <c r="AM114" s="539">
        <f t="shared" si="36"/>
        <v>-46.646505494505618</v>
      </c>
      <c r="AN114" s="539">
        <f t="shared" si="36"/>
        <v>-45.632451027233401</v>
      </c>
      <c r="AO114" s="539">
        <f t="shared" si="36"/>
        <v>0</v>
      </c>
      <c r="AP114" s="539">
        <f t="shared" si="36"/>
        <v>177.17559652173895</v>
      </c>
      <c r="AQ114" s="539">
        <f t="shared" si="36"/>
        <v>-47.579435604395258</v>
      </c>
      <c r="AR114" s="539">
        <f t="shared" si="36"/>
        <v>-46.54510004777876</v>
      </c>
      <c r="AS114" s="539">
        <f t="shared" si="36"/>
        <v>0</v>
      </c>
      <c r="AT114" s="539">
        <f t="shared" si="36"/>
        <v>132.18808413568968</v>
      </c>
      <c r="AU114" s="539">
        <f t="shared" si="36"/>
        <v>0</v>
      </c>
      <c r="AV114" s="539">
        <f t="shared" si="36"/>
        <v>-47.47600204873379</v>
      </c>
      <c r="AW114" s="539">
        <f t="shared" si="36"/>
        <v>0</v>
      </c>
      <c r="AX114" s="539">
        <f t="shared" si="36"/>
        <v>184.33349062121761</v>
      </c>
      <c r="AY114" s="539">
        <f t="shared" si="36"/>
        <v>-49.501644802812734</v>
      </c>
      <c r="AZ114" s="539">
        <f t="shared" si="36"/>
        <v>-48.425522089709375</v>
      </c>
      <c r="BA114" s="539">
        <f t="shared" si="36"/>
        <v>0</v>
      </c>
      <c r="BB114" s="539">
        <f t="shared" si="36"/>
        <v>188.02016043364256</v>
      </c>
      <c r="BC114" s="539">
        <f t="shared" si="36"/>
        <v>-50.491677698869353</v>
      </c>
      <c r="BD114" s="539">
        <f t="shared" si="36"/>
        <v>-49.394032531502489</v>
      </c>
      <c r="BE114" s="539">
        <f t="shared" si="36"/>
        <v>0</v>
      </c>
      <c r="BF114" s="539">
        <f t="shared" si="36"/>
        <v>191.78056364231452</v>
      </c>
      <c r="BG114" s="539">
        <f t="shared" si="36"/>
        <v>-51.501511252846285</v>
      </c>
      <c r="BH114" s="539">
        <f t="shared" si="36"/>
        <v>-50.381913182132848</v>
      </c>
      <c r="BI114" s="539">
        <f t="shared" si="36"/>
        <v>0</v>
      </c>
      <c r="BJ114" s="539">
        <f t="shared" si="36"/>
        <v>143.08463343725634</v>
      </c>
      <c r="BK114" s="539">
        <f t="shared" si="36"/>
        <v>0</v>
      </c>
      <c r="BL114" s="539">
        <f t="shared" si="36"/>
        <v>-51.389551445775396</v>
      </c>
      <c r="BM114" s="539">
        <f t="shared" si="36"/>
        <v>0</v>
      </c>
      <c r="BN114" s="539">
        <f t="shared" si="36"/>
        <v>199.52849841346506</v>
      </c>
      <c r="BO114" s="539">
        <f t="shared" si="36"/>
        <v>-53.582172307462315</v>
      </c>
      <c r="BP114" s="539">
        <f t="shared" si="36"/>
        <v>-52.417342474690486</v>
      </c>
      <c r="BQ114" s="539">
        <f t="shared" si="36"/>
        <v>0</v>
      </c>
      <c r="BR114" s="539">
        <f t="shared" si="36"/>
        <v>203.51906838173272</v>
      </c>
      <c r="BS114" s="539">
        <f t="shared" si="36"/>
        <v>-54.653815753610616</v>
      </c>
      <c r="BT114" s="539">
        <f t="shared" si="36"/>
        <v>-53.465689324185405</v>
      </c>
      <c r="BU114" s="539">
        <f t="shared" si="36"/>
        <v>0</v>
      </c>
      <c r="BV114" s="539">
        <f t="shared" si="36"/>
        <v>207.58944974936912</v>
      </c>
      <c r="BW114" s="539">
        <f t="shared" si="36"/>
        <v>-55.746892068683337</v>
      </c>
      <c r="BX114" s="539">
        <f t="shared" si="36"/>
        <v>-54.535003110669095</v>
      </c>
      <c r="BY114" s="539">
        <f t="shared" si="36"/>
        <v>0</v>
      </c>
      <c r="BZ114" s="539">
        <f t="shared" si="36"/>
        <v>154.87940883429746</v>
      </c>
      <c r="CA114" s="539">
        <f t="shared" si="36"/>
        <v>0</v>
      </c>
      <c r="CB114" s="539">
        <f t="shared" si="36"/>
        <v>-55.625703172881913</v>
      </c>
      <c r="CC114" s="539">
        <f t="shared" si="36"/>
        <v>0</v>
      </c>
      <c r="CD114" s="539">
        <f t="shared" si="36"/>
        <v>215.97606351924333</v>
      </c>
      <c r="CE114" s="539">
        <f t="shared" si="36"/>
        <v>-57.999066508257783</v>
      </c>
      <c r="CF114" s="539">
        <f t="shared" si="36"/>
        <v>-56.738217236339551</v>
      </c>
      <c r="CG114" s="539">
        <f t="shared" si="36"/>
        <v>0</v>
      </c>
      <c r="CH114" s="539">
        <f t="shared" si="36"/>
        <v>220.29558478962736</v>
      </c>
      <c r="CI114" s="539">
        <f t="shared" si="36"/>
        <v>-59.159047838423248</v>
      </c>
      <c r="CJ114" s="539">
        <f t="shared" si="36"/>
        <v>-57.872981581065687</v>
      </c>
      <c r="CK114" s="539">
        <f t="shared" si="36"/>
        <v>0</v>
      </c>
      <c r="CL114" s="539">
        <f t="shared" si="36"/>
        <v>224.70149648542065</v>
      </c>
      <c r="CM114" s="539">
        <f t="shared" si="36"/>
        <v>-60.342228795192568</v>
      </c>
      <c r="CN114" s="539">
        <f t="shared" si="36"/>
        <v>-59.030441212687037</v>
      </c>
      <c r="CO114" s="539">
        <f t="shared" si="36"/>
        <v>0</v>
      </c>
      <c r="CP114" s="539">
        <f t="shared" si="36"/>
        <v>167.64645304403166</v>
      </c>
      <c r="CQ114" s="539">
        <f t="shared" si="36"/>
        <v>0</v>
      </c>
      <c r="CR114" s="539">
        <f t="shared" si="36"/>
        <v>-60.211050036940833</v>
      </c>
      <c r="CS114" s="539">
        <f t="shared" si="36"/>
        <v>0</v>
      </c>
      <c r="CT114" s="539">
        <f t="shared" si="36"/>
        <v>233.77943694343139</v>
      </c>
      <c r="CU114" s="539">
        <f t="shared" si="36"/>
        <v>-62.780054838517572</v>
      </c>
      <c r="CV114" s="539">
        <f t="shared" si="36"/>
        <v>-61.415271037679304</v>
      </c>
      <c r="CW114" s="539">
        <f t="shared" si="36"/>
        <v>0</v>
      </c>
      <c r="CX114" s="539">
        <f t="shared" si="36"/>
        <v>238.45502568229858</v>
      </c>
      <c r="CY114" s="539">
        <f t="shared" si="36"/>
        <v>-64.03565593528765</v>
      </c>
      <c r="CZ114" s="539">
        <f t="shared" si="36"/>
        <v>-62.643576458433927</v>
      </c>
      <c r="DA114" s="539">
        <f t="shared" si="36"/>
        <v>0</v>
      </c>
      <c r="DB114" s="539">
        <f t="shared" si="36"/>
        <v>243.22412619594525</v>
      </c>
      <c r="DC114" s="539">
        <f t="shared" si="36"/>
        <v>-65.316369053993185</v>
      </c>
      <c r="DD114" s="539">
        <f t="shared" si="36"/>
        <v>-63.896447987602187</v>
      </c>
      <c r="DE114" s="539">
        <f t="shared" si="36"/>
        <v>0</v>
      </c>
      <c r="DF114" s="539">
        <f t="shared" si="36"/>
        <v>181.46591228479156</v>
      </c>
      <c r="DG114" s="539">
        <f t="shared" si="36"/>
        <v>0</v>
      </c>
      <c r="DH114" s="539">
        <f t="shared" si="36"/>
        <v>-65.174376947354176</v>
      </c>
      <c r="DI114" s="539">
        <f t="shared" si="36"/>
        <v>0</v>
      </c>
      <c r="DJ114" s="539">
        <f t="shared" si="36"/>
        <v>253.05038089426125</v>
      </c>
      <c r="DK114" s="539">
        <f t="shared" si="36"/>
        <v>-67.955150363774919</v>
      </c>
      <c r="DL114" s="539">
        <f t="shared" si="36"/>
        <v>-66.477864486301769</v>
      </c>
      <c r="DM114" s="539">
        <f t="shared" si="36"/>
        <v>0</v>
      </c>
      <c r="DN114" s="539">
        <f t="shared" si="36"/>
        <v>258.11138851214764</v>
      </c>
      <c r="DO114" s="539">
        <f t="shared" si="36"/>
        <v>-69.314253371050654</v>
      </c>
      <c r="DP114" s="539">
        <f t="shared" si="36"/>
        <v>-67.807421776027695</v>
      </c>
      <c r="DQ114" s="539">
        <f t="shared" si="36"/>
        <v>0</v>
      </c>
      <c r="DR114" s="539">
        <f t="shared" si="36"/>
        <v>263.27361628238941</v>
      </c>
      <c r="DS114" s="539">
        <f t="shared" si="36"/>
        <v>-70.700538438471995</v>
      </c>
      <c r="DT114" s="539">
        <f t="shared" si="36"/>
        <v>-69.163570211548176</v>
      </c>
      <c r="DU114" s="539">
        <f t="shared" si="36"/>
        <v>0</v>
      </c>
      <c r="DV114" s="539">
        <f t="shared" si="36"/>
        <v>196.42453940079758</v>
      </c>
      <c r="DW114" s="539">
        <f t="shared" si="36"/>
        <v>0</v>
      </c>
      <c r="DX114" s="539">
        <f t="shared" si="36"/>
        <v>-70.546841615779158</v>
      </c>
      <c r="DY114" s="539">
        <f t="shared" si="36"/>
        <v>0</v>
      </c>
      <c r="DZ114" s="539">
        <f t="shared" si="36"/>
        <v>273.9098703801983</v>
      </c>
      <c r="EA114" s="539">
        <f t="shared" si="36"/>
        <v>-73.556840191386073</v>
      </c>
      <c r="EB114" s="539">
        <f t="shared" si="36"/>
        <v>-71.957778448094359</v>
      </c>
      <c r="EC114" s="539">
        <f t="shared" si="36"/>
        <v>0</v>
      </c>
      <c r="ED114" s="539">
        <f t="shared" si="36"/>
        <v>-6548.1578387766203</v>
      </c>
      <c r="EE114" s="539">
        <f t="shared" si="36"/>
        <v>0</v>
      </c>
      <c r="EF114" s="539">
        <f t="shared" si="36"/>
        <v>0</v>
      </c>
      <c r="EG114" s="539">
        <f t="shared" si="36"/>
        <v>0</v>
      </c>
    </row>
    <row r="116" spans="2:2" ht="12.75">
      <c r="B116" s="534" t="s">
        <v>273</v>
      </c>
    </row>
    <row r="117" spans="5:7" ht="12.75">
      <c r="E117" s="535" t="str">
        <f>InpC!E$61</f>
        <v>Payables - payment days</v>
      </c>
      <c r="F117" s="537">
        <f>InpC!F$61</f>
        <v>60</v>
      </c>
      <c r="G117" s="537" t="str">
        <f>InpC!G$61</f>
        <v>days</v>
      </c>
    </row>
    <row r="118" spans="5:137" ht="12.75">
      <c r="E118" s="535" t="str">
        <f>Time!E$91</f>
        <v>Operating period flag</v>
      </c>
      <c r="G118" s="537" t="str">
        <f>Time!G$91</f>
        <v>flag</v>
      </c>
      <c r="H118" s="537">
        <f>Time!H$91</f>
        <v>100</v>
      </c>
      <c r="J118" s="537">
        <f>Time!J$91</f>
        <v>0</v>
      </c>
      <c r="K118" s="537">
        <f>Time!K$91</f>
        <v>0</v>
      </c>
      <c r="L118" s="537">
        <f>Time!L$91</f>
        <v>0</v>
      </c>
      <c r="M118" s="537">
        <f>Time!M$91</f>
        <v>0</v>
      </c>
      <c r="N118" s="537">
        <f>Time!N$91</f>
        <v>0</v>
      </c>
      <c r="O118" s="537">
        <f>Time!O$91</f>
        <v>0</v>
      </c>
      <c r="P118" s="537">
        <f>Time!P$91</f>
        <v>0</v>
      </c>
      <c r="Q118" s="537">
        <f>Time!Q$91</f>
        <v>0</v>
      </c>
      <c r="R118" s="537">
        <f>Time!R$91</f>
        <v>0</v>
      </c>
      <c r="S118" s="537">
        <f>Time!S$91</f>
        <v>0</v>
      </c>
      <c r="T118" s="537">
        <f>Time!T$91</f>
        <v>0</v>
      </c>
      <c r="U118" s="537">
        <f>Time!U$91</f>
        <v>0</v>
      </c>
      <c r="V118" s="537">
        <f>Time!V$91</f>
        <v>0</v>
      </c>
      <c r="W118" s="537">
        <f>Time!W$91</f>
        <v>0</v>
      </c>
      <c r="X118" s="537">
        <f>Time!X$91</f>
        <v>0</v>
      </c>
      <c r="Y118" s="537">
        <f>Time!Y$91</f>
        <v>0</v>
      </c>
      <c r="Z118" s="537">
        <f>Time!Z$91</f>
        <v>0</v>
      </c>
      <c r="AA118" s="537">
        <f>Time!AA$91</f>
        <v>0</v>
      </c>
      <c r="AB118" s="537">
        <f>Time!AB$91</f>
        <v>0</v>
      </c>
      <c r="AC118" s="537">
        <f>Time!AC$91</f>
        <v>0</v>
      </c>
      <c r="AD118" s="537">
        <f>Time!AD$91</f>
        <v>0</v>
      </c>
      <c r="AE118" s="537">
        <f>Time!AE$91</f>
        <v>0</v>
      </c>
      <c r="AF118" s="537">
        <f>Time!AF$91</f>
        <v>0</v>
      </c>
      <c r="AG118" s="537">
        <f>Time!AG$91</f>
        <v>0</v>
      </c>
      <c r="AH118" s="537">
        <f>Time!AH$91</f>
        <v>1</v>
      </c>
      <c r="AI118" s="537">
        <f>Time!AI$91</f>
        <v>1</v>
      </c>
      <c r="AJ118" s="537">
        <f>Time!AJ$91</f>
        <v>1</v>
      </c>
      <c r="AK118" s="537">
        <f>Time!AK$91</f>
        <v>1</v>
      </c>
      <c r="AL118" s="537">
        <f>Time!AL$91</f>
        <v>1</v>
      </c>
      <c r="AM118" s="537">
        <f>Time!AM$91</f>
        <v>1</v>
      </c>
      <c r="AN118" s="537">
        <f>Time!AN$91</f>
        <v>1</v>
      </c>
      <c r="AO118" s="537">
        <f>Time!AO$91</f>
        <v>1</v>
      </c>
      <c r="AP118" s="537">
        <f>Time!AP$91</f>
        <v>1</v>
      </c>
      <c r="AQ118" s="537">
        <f>Time!AQ$91</f>
        <v>1</v>
      </c>
      <c r="AR118" s="537">
        <f>Time!AR$91</f>
        <v>1</v>
      </c>
      <c r="AS118" s="537">
        <f>Time!AS$91</f>
        <v>1</v>
      </c>
      <c r="AT118" s="537">
        <f>Time!AT$91</f>
        <v>1</v>
      </c>
      <c r="AU118" s="537">
        <f>Time!AU$91</f>
        <v>1</v>
      </c>
      <c r="AV118" s="537">
        <f>Time!AV$91</f>
        <v>1</v>
      </c>
      <c r="AW118" s="537">
        <f>Time!AW$91</f>
        <v>1</v>
      </c>
      <c r="AX118" s="537">
        <f>Time!AX$91</f>
        <v>1</v>
      </c>
      <c r="AY118" s="537">
        <f>Time!AY$91</f>
        <v>1</v>
      </c>
      <c r="AZ118" s="537">
        <f>Time!AZ$91</f>
        <v>1</v>
      </c>
      <c r="BA118" s="537">
        <f>Time!BA$91</f>
        <v>1</v>
      </c>
      <c r="BB118" s="537">
        <f>Time!BB$91</f>
        <v>1</v>
      </c>
      <c r="BC118" s="537">
        <f>Time!BC$91</f>
        <v>1</v>
      </c>
      <c r="BD118" s="537">
        <f>Time!BD$91</f>
        <v>1</v>
      </c>
      <c r="BE118" s="537">
        <f>Time!BE$91</f>
        <v>1</v>
      </c>
      <c r="BF118" s="537">
        <f>Time!BF$91</f>
        <v>1</v>
      </c>
      <c r="BG118" s="537">
        <f>Time!BG$91</f>
        <v>1</v>
      </c>
      <c r="BH118" s="537">
        <f>Time!BH$91</f>
        <v>1</v>
      </c>
      <c r="BI118" s="537">
        <f>Time!BI$91</f>
        <v>1</v>
      </c>
      <c r="BJ118" s="537">
        <f>Time!BJ$91</f>
        <v>1</v>
      </c>
      <c r="BK118" s="537">
        <f>Time!BK$91</f>
        <v>1</v>
      </c>
      <c r="BL118" s="537">
        <f>Time!BL$91</f>
        <v>1</v>
      </c>
      <c r="BM118" s="537">
        <f>Time!BM$91</f>
        <v>1</v>
      </c>
      <c r="BN118" s="537">
        <f>Time!BN$91</f>
        <v>1</v>
      </c>
      <c r="BO118" s="537">
        <f>Time!BO$91</f>
        <v>1</v>
      </c>
      <c r="BP118" s="537">
        <f>Time!BP$91</f>
        <v>1</v>
      </c>
      <c r="BQ118" s="537">
        <f>Time!BQ$91</f>
        <v>1</v>
      </c>
      <c r="BR118" s="537">
        <f>Time!BR$91</f>
        <v>1</v>
      </c>
      <c r="BS118" s="537">
        <f>Time!BS$91</f>
        <v>1</v>
      </c>
      <c r="BT118" s="537">
        <f>Time!BT$91</f>
        <v>1</v>
      </c>
      <c r="BU118" s="537">
        <f>Time!BU$91</f>
        <v>1</v>
      </c>
      <c r="BV118" s="537">
        <f>Time!BV$91</f>
        <v>1</v>
      </c>
      <c r="BW118" s="537">
        <f>Time!BW$91</f>
        <v>1</v>
      </c>
      <c r="BX118" s="537">
        <f>Time!BX$91</f>
        <v>1</v>
      </c>
      <c r="BY118" s="537">
        <f>Time!BY$91</f>
        <v>1</v>
      </c>
      <c r="BZ118" s="537">
        <f>Time!BZ$91</f>
        <v>1</v>
      </c>
      <c r="CA118" s="537">
        <f>Time!CA$91</f>
        <v>1</v>
      </c>
      <c r="CB118" s="537">
        <f>Time!CB$91</f>
        <v>1</v>
      </c>
      <c r="CC118" s="537">
        <f>Time!CC$91</f>
        <v>1</v>
      </c>
      <c r="CD118" s="537">
        <f>Time!CD$91</f>
        <v>1</v>
      </c>
      <c r="CE118" s="537">
        <f>Time!CE$91</f>
        <v>1</v>
      </c>
      <c r="CF118" s="537">
        <f>Time!CF$91</f>
        <v>1</v>
      </c>
      <c r="CG118" s="537">
        <f>Time!CG$91</f>
        <v>1</v>
      </c>
      <c r="CH118" s="537">
        <f>Time!CH$91</f>
        <v>1</v>
      </c>
      <c r="CI118" s="537">
        <f>Time!CI$91</f>
        <v>1</v>
      </c>
      <c r="CJ118" s="537">
        <f>Time!CJ$91</f>
        <v>1</v>
      </c>
      <c r="CK118" s="537">
        <f>Time!CK$91</f>
        <v>1</v>
      </c>
      <c r="CL118" s="537">
        <f>Time!CL$91</f>
        <v>1</v>
      </c>
      <c r="CM118" s="537">
        <f>Time!CM$91</f>
        <v>1</v>
      </c>
      <c r="CN118" s="537">
        <f>Time!CN$91</f>
        <v>1</v>
      </c>
      <c r="CO118" s="537">
        <f>Time!CO$91</f>
        <v>1</v>
      </c>
      <c r="CP118" s="537">
        <f>Time!CP$91</f>
        <v>1</v>
      </c>
      <c r="CQ118" s="537">
        <f>Time!CQ$91</f>
        <v>1</v>
      </c>
      <c r="CR118" s="537">
        <f>Time!CR$91</f>
        <v>1</v>
      </c>
      <c r="CS118" s="537">
        <f>Time!CS$91</f>
        <v>1</v>
      </c>
      <c r="CT118" s="537">
        <f>Time!CT$91</f>
        <v>1</v>
      </c>
      <c r="CU118" s="537">
        <f>Time!CU$91</f>
        <v>1</v>
      </c>
      <c r="CV118" s="537">
        <f>Time!CV$91</f>
        <v>1</v>
      </c>
      <c r="CW118" s="537">
        <f>Time!CW$91</f>
        <v>1</v>
      </c>
      <c r="CX118" s="537">
        <f>Time!CX$91</f>
        <v>1</v>
      </c>
      <c r="CY118" s="537">
        <f>Time!CY$91</f>
        <v>1</v>
      </c>
      <c r="CZ118" s="537">
        <f>Time!CZ$91</f>
        <v>1</v>
      </c>
      <c r="DA118" s="537">
        <f>Time!DA$91</f>
        <v>1</v>
      </c>
      <c r="DB118" s="537">
        <f>Time!DB$91</f>
        <v>1</v>
      </c>
      <c r="DC118" s="537">
        <f>Time!DC$91</f>
        <v>1</v>
      </c>
      <c r="DD118" s="537">
        <f>Time!DD$91</f>
        <v>1</v>
      </c>
      <c r="DE118" s="537">
        <f>Time!DE$91</f>
        <v>1</v>
      </c>
      <c r="DF118" s="537">
        <f>Time!DF$91</f>
        <v>1</v>
      </c>
      <c r="DG118" s="537">
        <f>Time!DG$91</f>
        <v>1</v>
      </c>
      <c r="DH118" s="537">
        <f>Time!DH$91</f>
        <v>1</v>
      </c>
      <c r="DI118" s="537">
        <f>Time!DI$91</f>
        <v>1</v>
      </c>
      <c r="DJ118" s="537">
        <f>Time!DJ$91</f>
        <v>1</v>
      </c>
      <c r="DK118" s="537">
        <f>Time!DK$91</f>
        <v>1</v>
      </c>
      <c r="DL118" s="537">
        <f>Time!DL$91</f>
        <v>1</v>
      </c>
      <c r="DM118" s="537">
        <f>Time!DM$91</f>
        <v>1</v>
      </c>
      <c r="DN118" s="537">
        <f>Time!DN$91</f>
        <v>1</v>
      </c>
      <c r="DO118" s="537">
        <f>Time!DO$91</f>
        <v>1</v>
      </c>
      <c r="DP118" s="537">
        <f>Time!DP$91</f>
        <v>1</v>
      </c>
      <c r="DQ118" s="537">
        <f>Time!DQ$91</f>
        <v>1</v>
      </c>
      <c r="DR118" s="537">
        <f>Time!DR$91</f>
        <v>1</v>
      </c>
      <c r="DS118" s="537">
        <f>Time!DS$91</f>
        <v>1</v>
      </c>
      <c r="DT118" s="537">
        <f>Time!DT$91</f>
        <v>1</v>
      </c>
      <c r="DU118" s="537">
        <f>Time!DU$91</f>
        <v>1</v>
      </c>
      <c r="DV118" s="537">
        <f>Time!DV$91</f>
        <v>1</v>
      </c>
      <c r="DW118" s="537">
        <f>Time!DW$91</f>
        <v>1</v>
      </c>
      <c r="DX118" s="537">
        <f>Time!DX$91</f>
        <v>1</v>
      </c>
      <c r="DY118" s="537">
        <f>Time!DY$91</f>
        <v>1</v>
      </c>
      <c r="DZ118" s="537">
        <f>Time!DZ$91</f>
        <v>1</v>
      </c>
      <c r="EA118" s="537">
        <f>Time!EA$91</f>
        <v>1</v>
      </c>
      <c r="EB118" s="537">
        <f>Time!EB$91</f>
        <v>1</v>
      </c>
      <c r="EC118" s="537">
        <f>Time!EC$91</f>
        <v>1</v>
      </c>
      <c r="ED118" s="537">
        <f>Time!ED$91</f>
        <v>0</v>
      </c>
      <c r="EE118" s="537">
        <f>Time!EE$91</f>
        <v>0</v>
      </c>
      <c r="EF118" s="537">
        <f>Time!EF$91</f>
        <v>0</v>
      </c>
      <c r="EG118" s="537">
        <f>Time!EG$91</f>
        <v>0</v>
      </c>
    </row>
    <row r="119" spans="5:137" ht="12.75">
      <c r="E119" s="535" t="str">
        <f>Time!E$163</f>
        <v>Days in period</v>
      </c>
      <c r="G119" s="537" t="str">
        <f>Time!G$163</f>
        <v>days</v>
      </c>
      <c r="H119" s="537">
        <f>Time!H$163</f>
        <v>10227</v>
      </c>
      <c r="J119" s="537">
        <f>Time!J$163</f>
        <v>31</v>
      </c>
      <c r="K119" s="537">
        <f>Time!K$163</f>
        <v>28</v>
      </c>
      <c r="L119" s="537">
        <f>Time!L$163</f>
        <v>31</v>
      </c>
      <c r="M119" s="537">
        <f>Time!M$163</f>
        <v>30</v>
      </c>
      <c r="N119" s="537">
        <f>Time!N$163</f>
        <v>31</v>
      </c>
      <c r="O119" s="537">
        <f>Time!O$163</f>
        <v>30</v>
      </c>
      <c r="P119" s="537">
        <f>Time!P$163</f>
        <v>31</v>
      </c>
      <c r="Q119" s="537">
        <f>Time!Q$163</f>
        <v>31</v>
      </c>
      <c r="R119" s="537">
        <f>Time!R$163</f>
        <v>30</v>
      </c>
      <c r="S119" s="537">
        <f>Time!S$163</f>
        <v>31</v>
      </c>
      <c r="T119" s="537">
        <f>Time!T$163</f>
        <v>30</v>
      </c>
      <c r="U119" s="537">
        <f>Time!U$163</f>
        <v>31</v>
      </c>
      <c r="V119" s="537">
        <f>Time!V$163</f>
        <v>31</v>
      </c>
      <c r="W119" s="537">
        <f>Time!W$163</f>
        <v>29</v>
      </c>
      <c r="X119" s="537">
        <f>Time!X$163</f>
        <v>31</v>
      </c>
      <c r="Y119" s="537">
        <f>Time!Y$163</f>
        <v>30</v>
      </c>
      <c r="Z119" s="537">
        <f>Time!Z$163</f>
        <v>31</v>
      </c>
      <c r="AA119" s="537">
        <f>Time!AA$163</f>
        <v>30</v>
      </c>
      <c r="AB119" s="537">
        <f>Time!AB$163</f>
        <v>31</v>
      </c>
      <c r="AC119" s="537">
        <f>Time!AC$163</f>
        <v>31</v>
      </c>
      <c r="AD119" s="537">
        <f>Time!AD$163</f>
        <v>30</v>
      </c>
      <c r="AE119" s="537">
        <f>Time!AE$163</f>
        <v>31</v>
      </c>
      <c r="AF119" s="537">
        <f>Time!AF$163</f>
        <v>30</v>
      </c>
      <c r="AG119" s="537">
        <f>Time!AG$163</f>
        <v>31</v>
      </c>
      <c r="AH119" s="537">
        <f>Time!AH$163</f>
        <v>90</v>
      </c>
      <c r="AI119" s="537">
        <f>Time!AI$163</f>
        <v>91</v>
      </c>
      <c r="AJ119" s="537">
        <f>Time!AJ$163</f>
        <v>92</v>
      </c>
      <c r="AK119" s="537">
        <f>Time!AK$163</f>
        <v>92</v>
      </c>
      <c r="AL119" s="537">
        <f>Time!AL$163</f>
        <v>90</v>
      </c>
      <c r="AM119" s="537">
        <f>Time!AM$163</f>
        <v>91</v>
      </c>
      <c r="AN119" s="537">
        <f>Time!AN$163</f>
        <v>92</v>
      </c>
      <c r="AO119" s="537">
        <f>Time!AO$163</f>
        <v>92</v>
      </c>
      <c r="AP119" s="537">
        <f>Time!AP$163</f>
        <v>90</v>
      </c>
      <c r="AQ119" s="537">
        <f>Time!AQ$163</f>
        <v>91</v>
      </c>
      <c r="AR119" s="537">
        <f>Time!AR$163</f>
        <v>92</v>
      </c>
      <c r="AS119" s="537">
        <f>Time!AS$163</f>
        <v>92</v>
      </c>
      <c r="AT119" s="537">
        <f>Time!AT$163</f>
        <v>91</v>
      </c>
      <c r="AU119" s="537">
        <f>Time!AU$163</f>
        <v>91</v>
      </c>
      <c r="AV119" s="537">
        <f>Time!AV$163</f>
        <v>92</v>
      </c>
      <c r="AW119" s="537">
        <f>Time!AW$163</f>
        <v>92</v>
      </c>
      <c r="AX119" s="537">
        <f>Time!AX$163</f>
        <v>90</v>
      </c>
      <c r="AY119" s="537">
        <f>Time!AY$163</f>
        <v>91</v>
      </c>
      <c r="AZ119" s="537">
        <f>Time!AZ$163</f>
        <v>92</v>
      </c>
      <c r="BA119" s="537">
        <f>Time!BA$163</f>
        <v>92</v>
      </c>
      <c r="BB119" s="537">
        <f>Time!BB$163</f>
        <v>90</v>
      </c>
      <c r="BC119" s="537">
        <f>Time!BC$163</f>
        <v>91</v>
      </c>
      <c r="BD119" s="537">
        <f>Time!BD$163</f>
        <v>92</v>
      </c>
      <c r="BE119" s="537">
        <f>Time!BE$163</f>
        <v>92</v>
      </c>
      <c r="BF119" s="537">
        <f>Time!BF$163</f>
        <v>90</v>
      </c>
      <c r="BG119" s="537">
        <f>Time!BG$163</f>
        <v>91</v>
      </c>
      <c r="BH119" s="537">
        <f>Time!BH$163</f>
        <v>92</v>
      </c>
      <c r="BI119" s="537">
        <f>Time!BI$163</f>
        <v>92</v>
      </c>
      <c r="BJ119" s="537">
        <f>Time!BJ$163</f>
        <v>91</v>
      </c>
      <c r="BK119" s="537">
        <f>Time!BK$163</f>
        <v>91</v>
      </c>
      <c r="BL119" s="537">
        <f>Time!BL$163</f>
        <v>92</v>
      </c>
      <c r="BM119" s="537">
        <f>Time!BM$163</f>
        <v>92</v>
      </c>
      <c r="BN119" s="537">
        <f>Time!BN$163</f>
        <v>90</v>
      </c>
      <c r="BO119" s="537">
        <f>Time!BO$163</f>
        <v>91</v>
      </c>
      <c r="BP119" s="537">
        <f>Time!BP$163</f>
        <v>92</v>
      </c>
      <c r="BQ119" s="537">
        <f>Time!BQ$163</f>
        <v>92</v>
      </c>
      <c r="BR119" s="537">
        <f>Time!BR$163</f>
        <v>90</v>
      </c>
      <c r="BS119" s="537">
        <f>Time!BS$163</f>
        <v>91</v>
      </c>
      <c r="BT119" s="537">
        <f>Time!BT$163</f>
        <v>92</v>
      </c>
      <c r="BU119" s="537">
        <f>Time!BU$163</f>
        <v>92</v>
      </c>
      <c r="BV119" s="537">
        <f>Time!BV$163</f>
        <v>90</v>
      </c>
      <c r="BW119" s="537">
        <f>Time!BW$163</f>
        <v>91</v>
      </c>
      <c r="BX119" s="537">
        <f>Time!BX$163</f>
        <v>92</v>
      </c>
      <c r="BY119" s="537">
        <f>Time!BY$163</f>
        <v>92</v>
      </c>
      <c r="BZ119" s="537">
        <f>Time!BZ$163</f>
        <v>91</v>
      </c>
      <c r="CA119" s="537">
        <f>Time!CA$163</f>
        <v>91</v>
      </c>
      <c r="CB119" s="537">
        <f>Time!CB$163</f>
        <v>92</v>
      </c>
      <c r="CC119" s="537">
        <f>Time!CC$163</f>
        <v>92</v>
      </c>
      <c r="CD119" s="537">
        <f>Time!CD$163</f>
        <v>90</v>
      </c>
      <c r="CE119" s="537">
        <f>Time!CE$163</f>
        <v>91</v>
      </c>
      <c r="CF119" s="537">
        <f>Time!CF$163</f>
        <v>92</v>
      </c>
      <c r="CG119" s="537">
        <f>Time!CG$163</f>
        <v>92</v>
      </c>
      <c r="CH119" s="537">
        <f>Time!CH$163</f>
        <v>90</v>
      </c>
      <c r="CI119" s="537">
        <f>Time!CI$163</f>
        <v>91</v>
      </c>
      <c r="CJ119" s="537">
        <f>Time!CJ$163</f>
        <v>92</v>
      </c>
      <c r="CK119" s="537">
        <f>Time!CK$163</f>
        <v>92</v>
      </c>
      <c r="CL119" s="537">
        <f>Time!CL$163</f>
        <v>90</v>
      </c>
      <c r="CM119" s="537">
        <f>Time!CM$163</f>
        <v>91</v>
      </c>
      <c r="CN119" s="537">
        <f>Time!CN$163</f>
        <v>92</v>
      </c>
      <c r="CO119" s="537">
        <f>Time!CO$163</f>
        <v>92</v>
      </c>
      <c r="CP119" s="537">
        <f>Time!CP$163</f>
        <v>91</v>
      </c>
      <c r="CQ119" s="537">
        <f>Time!CQ$163</f>
        <v>91</v>
      </c>
      <c r="CR119" s="537">
        <f>Time!CR$163</f>
        <v>92</v>
      </c>
      <c r="CS119" s="537">
        <f>Time!CS$163</f>
        <v>92</v>
      </c>
      <c r="CT119" s="537">
        <f>Time!CT$163</f>
        <v>90</v>
      </c>
      <c r="CU119" s="537">
        <f>Time!CU$163</f>
        <v>91</v>
      </c>
      <c r="CV119" s="537">
        <f>Time!CV$163</f>
        <v>92</v>
      </c>
      <c r="CW119" s="537">
        <f>Time!CW$163</f>
        <v>92</v>
      </c>
      <c r="CX119" s="537">
        <f>Time!CX$163</f>
        <v>90</v>
      </c>
      <c r="CY119" s="537">
        <f>Time!CY$163</f>
        <v>91</v>
      </c>
      <c r="CZ119" s="537">
        <f>Time!CZ$163</f>
        <v>92</v>
      </c>
      <c r="DA119" s="537">
        <f>Time!DA$163</f>
        <v>92</v>
      </c>
      <c r="DB119" s="537">
        <f>Time!DB$163</f>
        <v>90</v>
      </c>
      <c r="DC119" s="537">
        <f>Time!DC$163</f>
        <v>91</v>
      </c>
      <c r="DD119" s="537">
        <f>Time!DD$163</f>
        <v>92</v>
      </c>
      <c r="DE119" s="537">
        <f>Time!DE$163</f>
        <v>92</v>
      </c>
      <c r="DF119" s="537">
        <f>Time!DF$163</f>
        <v>91</v>
      </c>
      <c r="DG119" s="537">
        <f>Time!DG$163</f>
        <v>91</v>
      </c>
      <c r="DH119" s="537">
        <f>Time!DH$163</f>
        <v>92</v>
      </c>
      <c r="DI119" s="537">
        <f>Time!DI$163</f>
        <v>92</v>
      </c>
      <c r="DJ119" s="537">
        <f>Time!DJ$163</f>
        <v>90</v>
      </c>
      <c r="DK119" s="537">
        <f>Time!DK$163</f>
        <v>91</v>
      </c>
      <c r="DL119" s="537">
        <f>Time!DL$163</f>
        <v>92</v>
      </c>
      <c r="DM119" s="537">
        <f>Time!DM$163</f>
        <v>92</v>
      </c>
      <c r="DN119" s="537">
        <f>Time!DN$163</f>
        <v>90</v>
      </c>
      <c r="DO119" s="537">
        <f>Time!DO$163</f>
        <v>91</v>
      </c>
      <c r="DP119" s="537">
        <f>Time!DP$163</f>
        <v>92</v>
      </c>
      <c r="DQ119" s="537">
        <f>Time!DQ$163</f>
        <v>92</v>
      </c>
      <c r="DR119" s="537">
        <f>Time!DR$163</f>
        <v>90</v>
      </c>
      <c r="DS119" s="537">
        <f>Time!DS$163</f>
        <v>91</v>
      </c>
      <c r="DT119" s="537">
        <f>Time!DT$163</f>
        <v>92</v>
      </c>
      <c r="DU119" s="537">
        <f>Time!DU$163</f>
        <v>92</v>
      </c>
      <c r="DV119" s="537">
        <f>Time!DV$163</f>
        <v>91</v>
      </c>
      <c r="DW119" s="537">
        <f>Time!DW$163</f>
        <v>91</v>
      </c>
      <c r="DX119" s="537">
        <f>Time!DX$163</f>
        <v>92</v>
      </c>
      <c r="DY119" s="537">
        <f>Time!DY$163</f>
        <v>92</v>
      </c>
      <c r="DZ119" s="537">
        <f>Time!DZ$163</f>
        <v>90</v>
      </c>
      <c r="EA119" s="537">
        <f>Time!EA$163</f>
        <v>91</v>
      </c>
      <c r="EB119" s="537">
        <f>Time!EB$163</f>
        <v>92</v>
      </c>
      <c r="EC119" s="537">
        <f>Time!EC$163</f>
        <v>92</v>
      </c>
      <c r="ED119" s="537">
        <f>Time!ED$163</f>
        <v>90</v>
      </c>
      <c r="EE119" s="537">
        <f>Time!EE$163</f>
        <v>91</v>
      </c>
      <c r="EF119" s="537">
        <f>Time!EF$163</f>
        <v>92</v>
      </c>
      <c r="EG119" s="537">
        <f>Time!EG$163</f>
        <v>92</v>
      </c>
    </row>
    <row r="120" spans="5:137" ht="12.75">
      <c r="E120" s="538" t="str">
        <f>E$94</f>
        <v>Opex - total</v>
      </c>
      <c r="G120" s="539" t="str">
        <f>G$94</f>
        <v>EUR 000s</v>
      </c>
      <c r="H120" s="539">
        <f>H$94</f>
        <v>484595.0870869669</v>
      </c>
      <c r="J120" s="539">
        <f t="shared" si="37" ref="J120:EG120">J$94</f>
        <v>0</v>
      </c>
      <c r="K120" s="539">
        <f t="shared" si="37"/>
        <v>0</v>
      </c>
      <c r="L120" s="539">
        <f t="shared" si="37"/>
        <v>0</v>
      </c>
      <c r="M120" s="539">
        <f t="shared" si="37"/>
        <v>0</v>
      </c>
      <c r="N120" s="539">
        <f t="shared" si="37"/>
        <v>0</v>
      </c>
      <c r="O120" s="539">
        <f t="shared" si="37"/>
        <v>0</v>
      </c>
      <c r="P120" s="539">
        <f t="shared" si="37"/>
        <v>0</v>
      </c>
      <c r="Q120" s="539">
        <f t="shared" si="37"/>
        <v>0</v>
      </c>
      <c r="R120" s="539">
        <f t="shared" si="37"/>
        <v>0</v>
      </c>
      <c r="S120" s="539">
        <f t="shared" si="37"/>
        <v>0</v>
      </c>
      <c r="T120" s="539">
        <f t="shared" si="37"/>
        <v>0</v>
      </c>
      <c r="U120" s="539">
        <f t="shared" si="37"/>
        <v>0</v>
      </c>
      <c r="V120" s="539">
        <f t="shared" si="37"/>
        <v>0</v>
      </c>
      <c r="W120" s="539">
        <f t="shared" si="37"/>
        <v>0</v>
      </c>
      <c r="X120" s="539">
        <f t="shared" si="37"/>
        <v>0</v>
      </c>
      <c r="Y120" s="539">
        <f t="shared" si="37"/>
        <v>0</v>
      </c>
      <c r="Z120" s="539">
        <f t="shared" si="37"/>
        <v>0</v>
      </c>
      <c r="AA120" s="539">
        <f t="shared" si="37"/>
        <v>0</v>
      </c>
      <c r="AB120" s="539">
        <f t="shared" si="37"/>
        <v>0</v>
      </c>
      <c r="AC120" s="539">
        <f t="shared" si="37"/>
        <v>0</v>
      </c>
      <c r="AD120" s="539">
        <f t="shared" si="37"/>
        <v>0</v>
      </c>
      <c r="AE120" s="539">
        <f t="shared" si="37"/>
        <v>0</v>
      </c>
      <c r="AF120" s="539">
        <f t="shared" si="37"/>
        <v>0</v>
      </c>
      <c r="AG120" s="539">
        <f t="shared" si="37"/>
        <v>0</v>
      </c>
      <c r="AH120" s="539">
        <f t="shared" si="37"/>
        <v>3488.8990624999997</v>
      </c>
      <c r="AI120" s="539">
        <f t="shared" si="37"/>
        <v>3488.8990624999997</v>
      </c>
      <c r="AJ120" s="539">
        <f t="shared" si="37"/>
        <v>3488.8990624999997</v>
      </c>
      <c r="AK120" s="539">
        <f t="shared" si="37"/>
        <v>3488.8990624999997</v>
      </c>
      <c r="AL120" s="539">
        <f t="shared" si="37"/>
        <v>3580.5703640625002</v>
      </c>
      <c r="AM120" s="539">
        <f t="shared" si="37"/>
        <v>3580.5703640625002</v>
      </c>
      <c r="AN120" s="539">
        <f t="shared" si="37"/>
        <v>3580.5703640625002</v>
      </c>
      <c r="AO120" s="539">
        <f t="shared" si="37"/>
        <v>3580.5703640625002</v>
      </c>
      <c r="AP120" s="539">
        <f t="shared" si="37"/>
        <v>3674.6387309140623</v>
      </c>
      <c r="AQ120" s="539">
        <f t="shared" si="37"/>
        <v>3674.6387309140623</v>
      </c>
      <c r="AR120" s="539">
        <f t="shared" si="37"/>
        <v>3674.6387309140623</v>
      </c>
      <c r="AS120" s="539">
        <f t="shared" si="37"/>
        <v>3674.6387309140623</v>
      </c>
      <c r="AT120" s="539">
        <f t="shared" si="37"/>
        <v>3771.1681845294138</v>
      </c>
      <c r="AU120" s="539">
        <f t="shared" si="37"/>
        <v>3771.1681845294138</v>
      </c>
      <c r="AV120" s="539">
        <f t="shared" si="37"/>
        <v>3771.1681845294138</v>
      </c>
      <c r="AW120" s="539">
        <f t="shared" si="37"/>
        <v>3771.1681845294138</v>
      </c>
      <c r="AX120" s="539">
        <f t="shared" si="37"/>
        <v>3870.2244884926249</v>
      </c>
      <c r="AY120" s="539">
        <f t="shared" si="37"/>
        <v>3870.2244884926249</v>
      </c>
      <c r="AZ120" s="539">
        <f t="shared" si="37"/>
        <v>3870.2244884926249</v>
      </c>
      <c r="BA120" s="539">
        <f t="shared" si="37"/>
        <v>3870.2244884926249</v>
      </c>
      <c r="BB120" s="539">
        <f t="shared" si="37"/>
        <v>3971.8751966715586</v>
      </c>
      <c r="BC120" s="539">
        <f t="shared" si="37"/>
        <v>3971.8751966715586</v>
      </c>
      <c r="BD120" s="539">
        <f t="shared" si="37"/>
        <v>3971.8751966715586</v>
      </c>
      <c r="BE120" s="539">
        <f t="shared" si="37"/>
        <v>3971.8751966715586</v>
      </c>
      <c r="BF120" s="539">
        <f t="shared" si="37"/>
        <v>4076.1897027428304</v>
      </c>
      <c r="BG120" s="539">
        <f t="shared" si="37"/>
        <v>4076.1897027428304</v>
      </c>
      <c r="BH120" s="539">
        <f t="shared" si="37"/>
        <v>4076.1897027428304</v>
      </c>
      <c r="BI120" s="539">
        <f t="shared" si="37"/>
        <v>4076.1897027428304</v>
      </c>
      <c r="BJ120" s="539">
        <f t="shared" si="37"/>
        <v>4183.239291105564</v>
      </c>
      <c r="BK120" s="539">
        <f t="shared" si="37"/>
        <v>4183.239291105564</v>
      </c>
      <c r="BL120" s="539">
        <f t="shared" si="37"/>
        <v>4183.239291105564</v>
      </c>
      <c r="BM120" s="539">
        <f t="shared" si="37"/>
        <v>4183.239291105564</v>
      </c>
      <c r="BN120" s="539">
        <f t="shared" si="37"/>
        <v>4293.0971892233347</v>
      </c>
      <c r="BO120" s="539">
        <f t="shared" si="37"/>
        <v>4293.0971892233347</v>
      </c>
      <c r="BP120" s="539">
        <f t="shared" si="37"/>
        <v>4293.0971892233347</v>
      </c>
      <c r="BQ120" s="539">
        <f t="shared" si="37"/>
        <v>4293.0971892233347</v>
      </c>
      <c r="BR120" s="539">
        <f t="shared" si="37"/>
        <v>4405.838621434842</v>
      </c>
      <c r="BS120" s="539">
        <f t="shared" si="37"/>
        <v>4405.838621434842</v>
      </c>
      <c r="BT120" s="539">
        <f t="shared" si="37"/>
        <v>4405.838621434842</v>
      </c>
      <c r="BU120" s="539">
        <f t="shared" si="37"/>
        <v>4405.838621434842</v>
      </c>
      <c r="BV120" s="539">
        <f t="shared" si="37"/>
        <v>4521.5408642749644</v>
      </c>
      <c r="BW120" s="539">
        <f t="shared" si="37"/>
        <v>4521.5408642749644</v>
      </c>
      <c r="BX120" s="539">
        <f t="shared" si="37"/>
        <v>4521.5408642749644</v>
      </c>
      <c r="BY120" s="539">
        <f t="shared" si="37"/>
        <v>4521.5408642749644</v>
      </c>
      <c r="BZ120" s="539">
        <f t="shared" si="37"/>
        <v>4640.283303349097</v>
      </c>
      <c r="CA120" s="539">
        <f t="shared" si="37"/>
        <v>4640.283303349097</v>
      </c>
      <c r="CB120" s="539">
        <f t="shared" si="37"/>
        <v>4640.283303349097</v>
      </c>
      <c r="CC120" s="539">
        <f t="shared" si="37"/>
        <v>4640.283303349097</v>
      </c>
      <c r="CD120" s="539">
        <f t="shared" si="37"/>
        <v>4762.1474918048543</v>
      </c>
      <c r="CE120" s="539">
        <f t="shared" si="37"/>
        <v>4762.1474918048543</v>
      </c>
      <c r="CF120" s="539">
        <f t="shared" si="37"/>
        <v>4762.1474918048543</v>
      </c>
      <c r="CG120" s="539">
        <f t="shared" si="37"/>
        <v>4762.1474918048543</v>
      </c>
      <c r="CH120" s="539">
        <f t="shared" si="37"/>
        <v>4887.2172104465371</v>
      </c>
      <c r="CI120" s="539">
        <f t="shared" si="37"/>
        <v>4887.2172104465371</v>
      </c>
      <c r="CJ120" s="539">
        <f t="shared" si="37"/>
        <v>4887.2172104465371</v>
      </c>
      <c r="CK120" s="539">
        <f t="shared" si="37"/>
        <v>4887.2172104465371</v>
      </c>
      <c r="CL120" s="539">
        <f t="shared" si="37"/>
        <v>5015.5785295389969</v>
      </c>
      <c r="CM120" s="539">
        <f t="shared" si="37"/>
        <v>5015.5785295389969</v>
      </c>
      <c r="CN120" s="539">
        <f t="shared" si="37"/>
        <v>5015.5785295389969</v>
      </c>
      <c r="CO120" s="539">
        <f t="shared" si="37"/>
        <v>5015.5785295389969</v>
      </c>
      <c r="CP120" s="539">
        <f t="shared" si="37"/>
        <v>5147.3198723489313</v>
      </c>
      <c r="CQ120" s="539">
        <f t="shared" si="37"/>
        <v>5147.3198723489313</v>
      </c>
      <c r="CR120" s="539">
        <f t="shared" si="37"/>
        <v>5147.3198723489313</v>
      </c>
      <c r="CS120" s="539">
        <f t="shared" si="37"/>
        <v>5147.3198723489313</v>
      </c>
      <c r="CT120" s="539">
        <f t="shared" si="37"/>
        <v>5282.5320804729872</v>
      </c>
      <c r="CU120" s="539">
        <f t="shared" si="37"/>
        <v>5282.5320804729872</v>
      </c>
      <c r="CV120" s="539">
        <f t="shared" si="37"/>
        <v>5282.5320804729872</v>
      </c>
      <c r="CW120" s="539">
        <f t="shared" si="37"/>
        <v>5282.5320804729872</v>
      </c>
      <c r="CX120" s="539">
        <f t="shared" si="37"/>
        <v>5421.3084810034679</v>
      </c>
      <c r="CY120" s="539">
        <f t="shared" si="37"/>
        <v>5421.3084810034679</v>
      </c>
      <c r="CZ120" s="539">
        <f t="shared" si="37"/>
        <v>5421.3084810034679</v>
      </c>
      <c r="DA120" s="539">
        <f t="shared" si="37"/>
        <v>5421.3084810034679</v>
      </c>
      <c r="DB120" s="539">
        <f t="shared" si="37"/>
        <v>5563.7449555839112</v>
      </c>
      <c r="DC120" s="539">
        <f t="shared" si="37"/>
        <v>5563.7449555839112</v>
      </c>
      <c r="DD120" s="539">
        <f t="shared" si="37"/>
        <v>5563.7449555839112</v>
      </c>
      <c r="DE120" s="539">
        <f t="shared" si="37"/>
        <v>5563.7449555839112</v>
      </c>
      <c r="DF120" s="539">
        <f t="shared" si="37"/>
        <v>5709.94001140829</v>
      </c>
      <c r="DG120" s="539">
        <f t="shared" si="37"/>
        <v>5709.94001140829</v>
      </c>
      <c r="DH120" s="539">
        <f t="shared" si="37"/>
        <v>5709.94001140829</v>
      </c>
      <c r="DI120" s="539">
        <f t="shared" si="37"/>
        <v>5709.94001140829</v>
      </c>
      <c r="DJ120" s="539">
        <f t="shared" si="37"/>
        <v>5859.9948542191414</v>
      </c>
      <c r="DK120" s="539">
        <f t="shared" si="37"/>
        <v>5859.9948542191414</v>
      </c>
      <c r="DL120" s="539">
        <f t="shared" si="37"/>
        <v>5859.9948542191414</v>
      </c>
      <c r="DM120" s="539">
        <f t="shared" si="37"/>
        <v>5859.9948542191414</v>
      </c>
      <c r="DN120" s="539">
        <f t="shared" si="37"/>
        <v>6014.013463361508</v>
      </c>
      <c r="DO120" s="539">
        <f t="shared" si="37"/>
        <v>6014.013463361508</v>
      </c>
      <c r="DP120" s="539">
        <f t="shared" si="37"/>
        <v>6014.013463361508</v>
      </c>
      <c r="DQ120" s="539">
        <f t="shared" si="37"/>
        <v>6014.013463361508</v>
      </c>
      <c r="DR120" s="539">
        <f t="shared" si="37"/>
        <v>6172.1026689512255</v>
      </c>
      <c r="DS120" s="539">
        <f t="shared" si="37"/>
        <v>6172.1026689512255</v>
      </c>
      <c r="DT120" s="539">
        <f t="shared" si="37"/>
        <v>6172.1026689512255</v>
      </c>
      <c r="DU120" s="539">
        <f t="shared" si="37"/>
        <v>6172.1026689512255</v>
      </c>
      <c r="DV120" s="539">
        <f t="shared" si="37"/>
        <v>6334.3722312177451</v>
      </c>
      <c r="DW120" s="539">
        <f t="shared" si="37"/>
        <v>6334.3722312177451</v>
      </c>
      <c r="DX120" s="539">
        <f t="shared" si="37"/>
        <v>6334.3722312177451</v>
      </c>
      <c r="DY120" s="539">
        <f t="shared" si="37"/>
        <v>6334.3722312177451</v>
      </c>
      <c r="DZ120" s="539">
        <f t="shared" si="37"/>
        <v>6500.9349220834356</v>
      </c>
      <c r="EA120" s="539">
        <f t="shared" si="37"/>
        <v>6500.9349220834356</v>
      </c>
      <c r="EB120" s="539">
        <f t="shared" si="37"/>
        <v>6500.9349220834356</v>
      </c>
      <c r="EC120" s="539">
        <f t="shared" si="37"/>
        <v>6500.9349220834356</v>
      </c>
      <c r="ED120" s="539">
        <f t="shared" si="37"/>
        <v>0</v>
      </c>
      <c r="EE120" s="539">
        <f t="shared" si="37"/>
        <v>0</v>
      </c>
      <c r="EF120" s="539">
        <f t="shared" si="37"/>
        <v>0</v>
      </c>
      <c r="EG120" s="539">
        <f t="shared" si="37"/>
        <v>0</v>
      </c>
    </row>
    <row r="121" spans="5:137" ht="12.75">
      <c r="E121" s="540" t="s">
        <v>274</v>
      </c>
      <c r="G121" s="541" t="s">
        <v>30</v>
      </c>
      <c r="H121" s="541">
        <f>SUM(J121:EG121)</f>
        <v>318446.08117995952</v>
      </c>
      <c r="J121" s="541">
        <f t="shared" si="38" ref="J121:EG121">J120*MIN($F117,J119)/J119*J118</f>
        <v>0</v>
      </c>
      <c r="K121" s="541">
        <f t="shared" si="38"/>
        <v>0</v>
      </c>
      <c r="L121" s="541">
        <f t="shared" si="38"/>
        <v>0</v>
      </c>
      <c r="M121" s="541">
        <f t="shared" si="38"/>
        <v>0</v>
      </c>
      <c r="N121" s="541">
        <f t="shared" si="38"/>
        <v>0</v>
      </c>
      <c r="O121" s="541">
        <f t="shared" si="38"/>
        <v>0</v>
      </c>
      <c r="P121" s="541">
        <f t="shared" si="38"/>
        <v>0</v>
      </c>
      <c r="Q121" s="541">
        <f t="shared" si="38"/>
        <v>0</v>
      </c>
      <c r="R121" s="541">
        <f t="shared" si="38"/>
        <v>0</v>
      </c>
      <c r="S121" s="541">
        <f t="shared" si="38"/>
        <v>0</v>
      </c>
      <c r="T121" s="541">
        <f t="shared" si="38"/>
        <v>0</v>
      </c>
      <c r="U121" s="541">
        <f t="shared" si="38"/>
        <v>0</v>
      </c>
      <c r="V121" s="541">
        <f t="shared" si="38"/>
        <v>0</v>
      </c>
      <c r="W121" s="541">
        <f t="shared" si="38"/>
        <v>0</v>
      </c>
      <c r="X121" s="541">
        <f t="shared" si="38"/>
        <v>0</v>
      </c>
      <c r="Y121" s="541">
        <f t="shared" si="38"/>
        <v>0</v>
      </c>
      <c r="Z121" s="541">
        <f t="shared" si="38"/>
        <v>0</v>
      </c>
      <c r="AA121" s="541">
        <f t="shared" si="38"/>
        <v>0</v>
      </c>
      <c r="AB121" s="541">
        <f t="shared" si="38"/>
        <v>0</v>
      </c>
      <c r="AC121" s="541">
        <f t="shared" si="38"/>
        <v>0</v>
      </c>
      <c r="AD121" s="541">
        <f t="shared" si="38"/>
        <v>0</v>
      </c>
      <c r="AE121" s="541">
        <f t="shared" si="38"/>
        <v>0</v>
      </c>
      <c r="AF121" s="541">
        <f t="shared" si="38"/>
        <v>0</v>
      </c>
      <c r="AG121" s="541">
        <f t="shared" si="38"/>
        <v>0</v>
      </c>
      <c r="AH121" s="541">
        <f t="shared" si="38"/>
        <v>2325.9327083333333</v>
      </c>
      <c r="AI121" s="541">
        <f t="shared" si="38"/>
        <v>2300.3730082417578</v>
      </c>
      <c r="AJ121" s="541">
        <f t="shared" si="38"/>
        <v>2275.3689538043477</v>
      </c>
      <c r="AK121" s="541">
        <f t="shared" si="38"/>
        <v>2275.3689538043477</v>
      </c>
      <c r="AL121" s="541">
        <f t="shared" si="38"/>
        <v>2387.0469093750003</v>
      </c>
      <c r="AM121" s="541">
        <f t="shared" si="38"/>
        <v>2360.8156246565936</v>
      </c>
      <c r="AN121" s="541">
        <f t="shared" si="38"/>
        <v>2335.1545852581521</v>
      </c>
      <c r="AO121" s="541">
        <f t="shared" si="38"/>
        <v>2335.1545852581521</v>
      </c>
      <c r="AP121" s="541">
        <f t="shared" si="38"/>
        <v>2449.7591539427081</v>
      </c>
      <c r="AQ121" s="541">
        <f t="shared" si="38"/>
        <v>2422.8387236796016</v>
      </c>
      <c r="AR121" s="541">
        <f t="shared" si="38"/>
        <v>2396.503520161345</v>
      </c>
      <c r="AS121" s="541">
        <f t="shared" si="38"/>
        <v>2396.503520161345</v>
      </c>
      <c r="AT121" s="541">
        <f t="shared" si="38"/>
        <v>2486.4845172721407</v>
      </c>
      <c r="AU121" s="541">
        <f t="shared" si="38"/>
        <v>2486.4845172721407</v>
      </c>
      <c r="AV121" s="541">
        <f t="shared" si="38"/>
        <v>2459.4575116496176</v>
      </c>
      <c r="AW121" s="541">
        <f t="shared" si="38"/>
        <v>2459.4575116496176</v>
      </c>
      <c r="AX121" s="541">
        <f t="shared" si="38"/>
        <v>2580.1496589950834</v>
      </c>
      <c r="AY121" s="541">
        <f t="shared" si="38"/>
        <v>2551.7963660390933</v>
      </c>
      <c r="AZ121" s="541">
        <f t="shared" si="38"/>
        <v>2524.0594490169292</v>
      </c>
      <c r="BA121" s="541">
        <f t="shared" si="38"/>
        <v>2524.0594490169292</v>
      </c>
      <c r="BB121" s="541">
        <f t="shared" si="38"/>
        <v>2647.9167977810389</v>
      </c>
      <c r="BC121" s="541">
        <f t="shared" si="38"/>
        <v>2618.8188109922366</v>
      </c>
      <c r="BD121" s="541">
        <f t="shared" si="38"/>
        <v>2590.3533891336251</v>
      </c>
      <c r="BE121" s="541">
        <f t="shared" si="38"/>
        <v>2590.3533891336251</v>
      </c>
      <c r="BF121" s="541">
        <f t="shared" si="38"/>
        <v>2717.4598018285537</v>
      </c>
      <c r="BG121" s="541">
        <f t="shared" si="38"/>
        <v>2687.597606204064</v>
      </c>
      <c r="BH121" s="541">
        <f t="shared" si="38"/>
        <v>2658.3845887453244</v>
      </c>
      <c r="BI121" s="541">
        <f t="shared" si="38"/>
        <v>2658.3845887453244</v>
      </c>
      <c r="BJ121" s="541">
        <f t="shared" si="38"/>
        <v>2758.1797523772948</v>
      </c>
      <c r="BK121" s="541">
        <f t="shared" si="38"/>
        <v>2758.1797523772948</v>
      </c>
      <c r="BL121" s="541">
        <f t="shared" si="38"/>
        <v>2728.1995376775417</v>
      </c>
      <c r="BM121" s="541">
        <f t="shared" si="38"/>
        <v>2728.1995376775417</v>
      </c>
      <c r="BN121" s="541">
        <f t="shared" si="38"/>
        <v>2862.0647928155563</v>
      </c>
      <c r="BO121" s="541">
        <f t="shared" si="38"/>
        <v>2830.6135313560449</v>
      </c>
      <c r="BP121" s="541">
        <f t="shared" si="38"/>
        <v>2799.8459929717401</v>
      </c>
      <c r="BQ121" s="541">
        <f t="shared" si="38"/>
        <v>2799.8459929717401</v>
      </c>
      <c r="BR121" s="541">
        <f t="shared" si="38"/>
        <v>2937.225747623228</v>
      </c>
      <c r="BS121" s="541">
        <f t="shared" si="38"/>
        <v>2904.9485416053903</v>
      </c>
      <c r="BT121" s="541">
        <f t="shared" si="38"/>
        <v>2873.3730139792447</v>
      </c>
      <c r="BU121" s="541">
        <f t="shared" si="38"/>
        <v>2873.3730139792447</v>
      </c>
      <c r="BV121" s="541">
        <f t="shared" si="38"/>
        <v>3014.3605761833096</v>
      </c>
      <c r="BW121" s="541">
        <f t="shared" si="38"/>
        <v>2981.2357346867898</v>
      </c>
      <c r="BX121" s="541">
        <f t="shared" si="38"/>
        <v>2948.830998440194</v>
      </c>
      <c r="BY121" s="541">
        <f t="shared" si="38"/>
        <v>2948.830998440194</v>
      </c>
      <c r="BZ121" s="541">
        <f t="shared" si="38"/>
        <v>3059.5274527576462</v>
      </c>
      <c r="CA121" s="541">
        <f t="shared" si="38"/>
        <v>3059.5274527576462</v>
      </c>
      <c r="CB121" s="541">
        <f t="shared" si="38"/>
        <v>3026.2717195754976</v>
      </c>
      <c r="CC121" s="541">
        <f t="shared" si="38"/>
        <v>3026.2717195754976</v>
      </c>
      <c r="CD121" s="541">
        <f t="shared" si="38"/>
        <v>3174.7649945365697</v>
      </c>
      <c r="CE121" s="541">
        <f t="shared" si="38"/>
        <v>3139.8774671240799</v>
      </c>
      <c r="CF121" s="541">
        <f t="shared" si="38"/>
        <v>3105.7483642205575</v>
      </c>
      <c r="CG121" s="541">
        <f t="shared" si="38"/>
        <v>3105.7483642205575</v>
      </c>
      <c r="CH121" s="541">
        <f t="shared" si="38"/>
        <v>3258.1448069643579</v>
      </c>
      <c r="CI121" s="541">
        <f t="shared" si="38"/>
        <v>3222.3410178768372</v>
      </c>
      <c r="CJ121" s="541">
        <f t="shared" si="38"/>
        <v>3187.3155720303503</v>
      </c>
      <c r="CK121" s="541">
        <f t="shared" si="38"/>
        <v>3187.3155720303503</v>
      </c>
      <c r="CL121" s="541">
        <f t="shared" si="38"/>
        <v>3343.7190196926649</v>
      </c>
      <c r="CM121" s="541">
        <f t="shared" si="38"/>
        <v>3306.974854641097</v>
      </c>
      <c r="CN121" s="541">
        <f t="shared" si="38"/>
        <v>3271.0294757863026</v>
      </c>
      <c r="CO121" s="541">
        <f t="shared" si="38"/>
        <v>3271.0294757863026</v>
      </c>
      <c r="CP121" s="541">
        <f t="shared" si="38"/>
        <v>3393.8372784718226</v>
      </c>
      <c r="CQ121" s="541">
        <f t="shared" si="38"/>
        <v>3393.8372784718226</v>
      </c>
      <c r="CR121" s="541">
        <f t="shared" si="38"/>
        <v>3356.9477428362593</v>
      </c>
      <c r="CS121" s="541">
        <f t="shared" si="38"/>
        <v>3356.9477428362593</v>
      </c>
      <c r="CT121" s="541">
        <f t="shared" si="38"/>
        <v>3521.6880536486583</v>
      </c>
      <c r="CU121" s="541">
        <f t="shared" si="38"/>
        <v>3482.9881849272442</v>
      </c>
      <c r="CV121" s="541">
        <f t="shared" si="38"/>
        <v>3445.1296176997744</v>
      </c>
      <c r="CW121" s="541">
        <f t="shared" si="38"/>
        <v>3445.1296176997744</v>
      </c>
      <c r="CX121" s="541">
        <f t="shared" si="38"/>
        <v>3614.2056540023123</v>
      </c>
      <c r="CY121" s="541">
        <f t="shared" si="38"/>
        <v>3574.4891083539351</v>
      </c>
      <c r="CZ121" s="541">
        <f t="shared" si="38"/>
        <v>3535.635965871827</v>
      </c>
      <c r="DA121" s="541">
        <f t="shared" si="38"/>
        <v>3535.635965871827</v>
      </c>
      <c r="DB121" s="541">
        <f t="shared" si="38"/>
        <v>3709.1633037226075</v>
      </c>
      <c r="DC121" s="541">
        <f t="shared" si="38"/>
        <v>3668.4032674179634</v>
      </c>
      <c r="DD121" s="541">
        <f t="shared" si="38"/>
        <v>3628.5293188590726</v>
      </c>
      <c r="DE121" s="541">
        <f t="shared" si="38"/>
        <v>3628.5293188590726</v>
      </c>
      <c r="DF121" s="541">
        <f t="shared" si="38"/>
        <v>3764.7956119175537</v>
      </c>
      <c r="DG121" s="541">
        <f t="shared" si="38"/>
        <v>3764.7956119175537</v>
      </c>
      <c r="DH121" s="541">
        <f t="shared" si="38"/>
        <v>3723.873920483667</v>
      </c>
      <c r="DI121" s="541">
        <f t="shared" si="38"/>
        <v>3723.873920483667</v>
      </c>
      <c r="DJ121" s="541">
        <f t="shared" si="38"/>
        <v>3906.6632361460943</v>
      </c>
      <c r="DK121" s="541">
        <f t="shared" si="38"/>
        <v>3863.7328709137196</v>
      </c>
      <c r="DL121" s="541">
        <f t="shared" si="38"/>
        <v>3821.7357744907445</v>
      </c>
      <c r="DM121" s="541">
        <f t="shared" si="38"/>
        <v>3821.7357744907445</v>
      </c>
      <c r="DN121" s="541">
        <f t="shared" si="38"/>
        <v>4009.3423089076718</v>
      </c>
      <c r="DO121" s="541">
        <f t="shared" si="38"/>
        <v>3965.2836022163788</v>
      </c>
      <c r="DP121" s="541">
        <f t="shared" si="38"/>
        <v>3922.1826934966357</v>
      </c>
      <c r="DQ121" s="541">
        <f t="shared" si="38"/>
        <v>3922.1826934966357</v>
      </c>
      <c r="DR121" s="541">
        <f t="shared" si="38"/>
        <v>4114.7351126341509</v>
      </c>
      <c r="DS121" s="541">
        <f t="shared" si="38"/>
        <v>4069.5182432645443</v>
      </c>
      <c r="DT121" s="541">
        <f t="shared" si="38"/>
        <v>4025.2843493160167</v>
      </c>
      <c r="DU121" s="541">
        <f t="shared" si="38"/>
        <v>4025.2843493160167</v>
      </c>
      <c r="DV121" s="541">
        <f t="shared" si="38"/>
        <v>4176.5091634402715</v>
      </c>
      <c r="DW121" s="541">
        <f t="shared" si="38"/>
        <v>4176.5091634402715</v>
      </c>
      <c r="DX121" s="541">
        <f t="shared" si="38"/>
        <v>4131.1123247072255</v>
      </c>
      <c r="DY121" s="541">
        <f t="shared" si="38"/>
        <v>4131.1123247072255</v>
      </c>
      <c r="DZ121" s="541">
        <f t="shared" si="38"/>
        <v>4333.9566147222904</v>
      </c>
      <c r="EA121" s="541">
        <f t="shared" si="38"/>
        <v>4286.3307178572104</v>
      </c>
      <c r="EB121" s="541">
        <f t="shared" si="38"/>
        <v>4239.7401665761536</v>
      </c>
      <c r="EC121" s="541">
        <f t="shared" si="38"/>
        <v>4239.7401665761536</v>
      </c>
      <c r="ED121" s="541">
        <f t="shared" si="38"/>
        <v>0</v>
      </c>
      <c r="EE121" s="541">
        <f t="shared" si="38"/>
        <v>0</v>
      </c>
      <c r="EF121" s="541">
        <f t="shared" si="38"/>
        <v>0</v>
      </c>
      <c r="EG121" s="541">
        <f t="shared" si="38"/>
        <v>0</v>
      </c>
    </row>
    <row r="123" spans="5:137" ht="12.75">
      <c r="E123" s="538" t="str">
        <f>E$121</f>
        <v>Payables - closing balance</v>
      </c>
      <c r="G123" s="539" t="str">
        <f>G$121</f>
        <v>EUR 000s</v>
      </c>
      <c r="H123" s="539">
        <f>H$121</f>
        <v>318446.08117995952</v>
      </c>
      <c r="J123" s="539">
        <f t="shared" si="39" ref="J123:EG123">J$121</f>
        <v>0</v>
      </c>
      <c r="K123" s="539">
        <f t="shared" si="39"/>
        <v>0</v>
      </c>
      <c r="L123" s="539">
        <f t="shared" si="39"/>
        <v>0</v>
      </c>
      <c r="M123" s="539">
        <f t="shared" si="39"/>
        <v>0</v>
      </c>
      <c r="N123" s="539">
        <f t="shared" si="39"/>
        <v>0</v>
      </c>
      <c r="O123" s="539">
        <f t="shared" si="39"/>
        <v>0</v>
      </c>
      <c r="P123" s="539">
        <f t="shared" si="39"/>
        <v>0</v>
      </c>
      <c r="Q123" s="539">
        <f t="shared" si="39"/>
        <v>0</v>
      </c>
      <c r="R123" s="539">
        <f t="shared" si="39"/>
        <v>0</v>
      </c>
      <c r="S123" s="539">
        <f t="shared" si="39"/>
        <v>0</v>
      </c>
      <c r="T123" s="539">
        <f t="shared" si="39"/>
        <v>0</v>
      </c>
      <c r="U123" s="539">
        <f t="shared" si="39"/>
        <v>0</v>
      </c>
      <c r="V123" s="539">
        <f t="shared" si="39"/>
        <v>0</v>
      </c>
      <c r="W123" s="539">
        <f t="shared" si="39"/>
        <v>0</v>
      </c>
      <c r="X123" s="539">
        <f t="shared" si="39"/>
        <v>0</v>
      </c>
      <c r="Y123" s="539">
        <f t="shared" si="39"/>
        <v>0</v>
      </c>
      <c r="Z123" s="539">
        <f t="shared" si="39"/>
        <v>0</v>
      </c>
      <c r="AA123" s="539">
        <f t="shared" si="39"/>
        <v>0</v>
      </c>
      <c r="AB123" s="539">
        <f t="shared" si="39"/>
        <v>0</v>
      </c>
      <c r="AC123" s="539">
        <f t="shared" si="39"/>
        <v>0</v>
      </c>
      <c r="AD123" s="539">
        <f t="shared" si="39"/>
        <v>0</v>
      </c>
      <c r="AE123" s="539">
        <f t="shared" si="39"/>
        <v>0</v>
      </c>
      <c r="AF123" s="539">
        <f t="shared" si="39"/>
        <v>0</v>
      </c>
      <c r="AG123" s="539">
        <f t="shared" si="39"/>
        <v>0</v>
      </c>
      <c r="AH123" s="539">
        <f t="shared" si="39"/>
        <v>2325.9327083333333</v>
      </c>
      <c r="AI123" s="539">
        <f t="shared" si="39"/>
        <v>2300.3730082417578</v>
      </c>
      <c r="AJ123" s="539">
        <f t="shared" si="39"/>
        <v>2275.3689538043477</v>
      </c>
      <c r="AK123" s="539">
        <f t="shared" si="39"/>
        <v>2275.3689538043477</v>
      </c>
      <c r="AL123" s="539">
        <f t="shared" si="39"/>
        <v>2387.0469093750003</v>
      </c>
      <c r="AM123" s="539">
        <f t="shared" si="39"/>
        <v>2360.8156246565936</v>
      </c>
      <c r="AN123" s="539">
        <f t="shared" si="39"/>
        <v>2335.1545852581521</v>
      </c>
      <c r="AO123" s="539">
        <f t="shared" si="39"/>
        <v>2335.1545852581521</v>
      </c>
      <c r="AP123" s="539">
        <f t="shared" si="39"/>
        <v>2449.7591539427081</v>
      </c>
      <c r="AQ123" s="539">
        <f t="shared" si="39"/>
        <v>2422.8387236796016</v>
      </c>
      <c r="AR123" s="539">
        <f t="shared" si="39"/>
        <v>2396.503520161345</v>
      </c>
      <c r="AS123" s="539">
        <f t="shared" si="39"/>
        <v>2396.503520161345</v>
      </c>
      <c r="AT123" s="539">
        <f t="shared" si="39"/>
        <v>2486.4845172721407</v>
      </c>
      <c r="AU123" s="539">
        <f t="shared" si="39"/>
        <v>2486.4845172721407</v>
      </c>
      <c r="AV123" s="539">
        <f t="shared" si="39"/>
        <v>2459.4575116496176</v>
      </c>
      <c r="AW123" s="539">
        <f t="shared" si="39"/>
        <v>2459.4575116496176</v>
      </c>
      <c r="AX123" s="539">
        <f t="shared" si="39"/>
        <v>2580.1496589950834</v>
      </c>
      <c r="AY123" s="539">
        <f t="shared" si="39"/>
        <v>2551.7963660390933</v>
      </c>
      <c r="AZ123" s="539">
        <f t="shared" si="39"/>
        <v>2524.0594490169292</v>
      </c>
      <c r="BA123" s="539">
        <f t="shared" si="39"/>
        <v>2524.0594490169292</v>
      </c>
      <c r="BB123" s="539">
        <f t="shared" si="39"/>
        <v>2647.9167977810389</v>
      </c>
      <c r="BC123" s="539">
        <f t="shared" si="39"/>
        <v>2618.8188109922366</v>
      </c>
      <c r="BD123" s="539">
        <f t="shared" si="39"/>
        <v>2590.3533891336251</v>
      </c>
      <c r="BE123" s="539">
        <f t="shared" si="39"/>
        <v>2590.3533891336251</v>
      </c>
      <c r="BF123" s="539">
        <f t="shared" si="39"/>
        <v>2717.4598018285537</v>
      </c>
      <c r="BG123" s="539">
        <f t="shared" si="39"/>
        <v>2687.597606204064</v>
      </c>
      <c r="BH123" s="539">
        <f t="shared" si="39"/>
        <v>2658.3845887453244</v>
      </c>
      <c r="BI123" s="539">
        <f t="shared" si="39"/>
        <v>2658.3845887453244</v>
      </c>
      <c r="BJ123" s="539">
        <f t="shared" si="39"/>
        <v>2758.1797523772948</v>
      </c>
      <c r="BK123" s="539">
        <f t="shared" si="39"/>
        <v>2758.1797523772948</v>
      </c>
      <c r="BL123" s="539">
        <f t="shared" si="39"/>
        <v>2728.1995376775417</v>
      </c>
      <c r="BM123" s="539">
        <f t="shared" si="39"/>
        <v>2728.1995376775417</v>
      </c>
      <c r="BN123" s="539">
        <f t="shared" si="39"/>
        <v>2862.0647928155563</v>
      </c>
      <c r="BO123" s="539">
        <f t="shared" si="39"/>
        <v>2830.6135313560449</v>
      </c>
      <c r="BP123" s="539">
        <f t="shared" si="39"/>
        <v>2799.8459929717401</v>
      </c>
      <c r="BQ123" s="539">
        <f t="shared" si="39"/>
        <v>2799.8459929717401</v>
      </c>
      <c r="BR123" s="539">
        <f t="shared" si="39"/>
        <v>2937.225747623228</v>
      </c>
      <c r="BS123" s="539">
        <f t="shared" si="39"/>
        <v>2904.9485416053903</v>
      </c>
      <c r="BT123" s="539">
        <f t="shared" si="39"/>
        <v>2873.3730139792447</v>
      </c>
      <c r="BU123" s="539">
        <f t="shared" si="39"/>
        <v>2873.3730139792447</v>
      </c>
      <c r="BV123" s="539">
        <f t="shared" si="39"/>
        <v>3014.3605761833096</v>
      </c>
      <c r="BW123" s="539">
        <f t="shared" si="39"/>
        <v>2981.2357346867898</v>
      </c>
      <c r="BX123" s="539">
        <f t="shared" si="39"/>
        <v>2948.830998440194</v>
      </c>
      <c r="BY123" s="539">
        <f t="shared" si="39"/>
        <v>2948.830998440194</v>
      </c>
      <c r="BZ123" s="539">
        <f t="shared" si="39"/>
        <v>3059.5274527576462</v>
      </c>
      <c r="CA123" s="539">
        <f t="shared" si="39"/>
        <v>3059.5274527576462</v>
      </c>
      <c r="CB123" s="539">
        <f t="shared" si="39"/>
        <v>3026.2717195754976</v>
      </c>
      <c r="CC123" s="539">
        <f t="shared" si="39"/>
        <v>3026.2717195754976</v>
      </c>
      <c r="CD123" s="539">
        <f t="shared" si="39"/>
        <v>3174.7649945365697</v>
      </c>
      <c r="CE123" s="539">
        <f t="shared" si="39"/>
        <v>3139.8774671240799</v>
      </c>
      <c r="CF123" s="539">
        <f t="shared" si="39"/>
        <v>3105.7483642205575</v>
      </c>
      <c r="CG123" s="539">
        <f t="shared" si="39"/>
        <v>3105.7483642205575</v>
      </c>
      <c r="CH123" s="539">
        <f t="shared" si="39"/>
        <v>3258.1448069643579</v>
      </c>
      <c r="CI123" s="539">
        <f t="shared" si="39"/>
        <v>3222.3410178768372</v>
      </c>
      <c r="CJ123" s="539">
        <f t="shared" si="39"/>
        <v>3187.3155720303503</v>
      </c>
      <c r="CK123" s="539">
        <f t="shared" si="39"/>
        <v>3187.3155720303503</v>
      </c>
      <c r="CL123" s="539">
        <f t="shared" si="39"/>
        <v>3343.7190196926649</v>
      </c>
      <c r="CM123" s="539">
        <f t="shared" si="39"/>
        <v>3306.974854641097</v>
      </c>
      <c r="CN123" s="539">
        <f t="shared" si="39"/>
        <v>3271.0294757863026</v>
      </c>
      <c r="CO123" s="539">
        <f t="shared" si="39"/>
        <v>3271.0294757863026</v>
      </c>
      <c r="CP123" s="539">
        <f t="shared" si="39"/>
        <v>3393.8372784718226</v>
      </c>
      <c r="CQ123" s="539">
        <f t="shared" si="39"/>
        <v>3393.8372784718226</v>
      </c>
      <c r="CR123" s="539">
        <f t="shared" si="39"/>
        <v>3356.9477428362593</v>
      </c>
      <c r="CS123" s="539">
        <f t="shared" si="39"/>
        <v>3356.9477428362593</v>
      </c>
      <c r="CT123" s="539">
        <f t="shared" si="39"/>
        <v>3521.6880536486583</v>
      </c>
      <c r="CU123" s="539">
        <f t="shared" si="39"/>
        <v>3482.9881849272442</v>
      </c>
      <c r="CV123" s="539">
        <f t="shared" si="39"/>
        <v>3445.1296176997744</v>
      </c>
      <c r="CW123" s="539">
        <f t="shared" si="39"/>
        <v>3445.1296176997744</v>
      </c>
      <c r="CX123" s="539">
        <f t="shared" si="39"/>
        <v>3614.2056540023123</v>
      </c>
      <c r="CY123" s="539">
        <f t="shared" si="39"/>
        <v>3574.4891083539351</v>
      </c>
      <c r="CZ123" s="539">
        <f t="shared" si="39"/>
        <v>3535.635965871827</v>
      </c>
      <c r="DA123" s="539">
        <f t="shared" si="39"/>
        <v>3535.635965871827</v>
      </c>
      <c r="DB123" s="539">
        <f t="shared" si="39"/>
        <v>3709.1633037226075</v>
      </c>
      <c r="DC123" s="539">
        <f t="shared" si="39"/>
        <v>3668.4032674179634</v>
      </c>
      <c r="DD123" s="539">
        <f t="shared" si="39"/>
        <v>3628.5293188590726</v>
      </c>
      <c r="DE123" s="539">
        <f t="shared" si="39"/>
        <v>3628.5293188590726</v>
      </c>
      <c r="DF123" s="539">
        <f t="shared" si="39"/>
        <v>3764.7956119175537</v>
      </c>
      <c r="DG123" s="539">
        <f t="shared" si="39"/>
        <v>3764.7956119175537</v>
      </c>
      <c r="DH123" s="539">
        <f t="shared" si="39"/>
        <v>3723.873920483667</v>
      </c>
      <c r="DI123" s="539">
        <f t="shared" si="39"/>
        <v>3723.873920483667</v>
      </c>
      <c r="DJ123" s="539">
        <f t="shared" si="39"/>
        <v>3906.6632361460943</v>
      </c>
      <c r="DK123" s="539">
        <f t="shared" si="39"/>
        <v>3863.7328709137196</v>
      </c>
      <c r="DL123" s="539">
        <f t="shared" si="39"/>
        <v>3821.7357744907445</v>
      </c>
      <c r="DM123" s="539">
        <f t="shared" si="39"/>
        <v>3821.7357744907445</v>
      </c>
      <c r="DN123" s="539">
        <f t="shared" si="39"/>
        <v>4009.3423089076718</v>
      </c>
      <c r="DO123" s="539">
        <f t="shared" si="39"/>
        <v>3965.2836022163788</v>
      </c>
      <c r="DP123" s="539">
        <f t="shared" si="39"/>
        <v>3922.1826934966357</v>
      </c>
      <c r="DQ123" s="539">
        <f t="shared" si="39"/>
        <v>3922.1826934966357</v>
      </c>
      <c r="DR123" s="539">
        <f t="shared" si="39"/>
        <v>4114.7351126341509</v>
      </c>
      <c r="DS123" s="539">
        <f t="shared" si="39"/>
        <v>4069.5182432645443</v>
      </c>
      <c r="DT123" s="539">
        <f t="shared" si="39"/>
        <v>4025.2843493160167</v>
      </c>
      <c r="DU123" s="539">
        <f t="shared" si="39"/>
        <v>4025.2843493160167</v>
      </c>
      <c r="DV123" s="539">
        <f t="shared" si="39"/>
        <v>4176.5091634402715</v>
      </c>
      <c r="DW123" s="539">
        <f t="shared" si="39"/>
        <v>4176.5091634402715</v>
      </c>
      <c r="DX123" s="539">
        <f t="shared" si="39"/>
        <v>4131.1123247072255</v>
      </c>
      <c r="DY123" s="539">
        <f t="shared" si="39"/>
        <v>4131.1123247072255</v>
      </c>
      <c r="DZ123" s="539">
        <f t="shared" si="39"/>
        <v>4333.9566147222904</v>
      </c>
      <c r="EA123" s="539">
        <f t="shared" si="39"/>
        <v>4286.3307178572104</v>
      </c>
      <c r="EB123" s="539">
        <f t="shared" si="39"/>
        <v>4239.7401665761536</v>
      </c>
      <c r="EC123" s="539">
        <f t="shared" si="39"/>
        <v>4239.7401665761536</v>
      </c>
      <c r="ED123" s="539">
        <f t="shared" si="39"/>
        <v>0</v>
      </c>
      <c r="EE123" s="539">
        <f t="shared" si="39"/>
        <v>0</v>
      </c>
      <c r="EF123" s="539">
        <f t="shared" si="39"/>
        <v>0</v>
      </c>
      <c r="EG123" s="539">
        <f t="shared" si="39"/>
        <v>0</v>
      </c>
    </row>
    <row r="124" spans="5:137" ht="12.75">
      <c r="E124" s="538" t="s">
        <v>275</v>
      </c>
      <c r="G124" s="539" t="s">
        <v>30</v>
      </c>
      <c r="H124" s="539">
        <f>SUM(J124:EG124)</f>
        <v>0</v>
      </c>
      <c r="J124" s="539">
        <f t="shared" si="40" ref="J124:EG124">J123-I123</f>
        <v>0</v>
      </c>
      <c r="K124" s="539">
        <f t="shared" si="40"/>
        <v>0</v>
      </c>
      <c r="L124" s="539">
        <f t="shared" si="40"/>
        <v>0</v>
      </c>
      <c r="M124" s="539">
        <f t="shared" si="40"/>
        <v>0</v>
      </c>
      <c r="N124" s="539">
        <f t="shared" si="40"/>
        <v>0</v>
      </c>
      <c r="O124" s="539">
        <f t="shared" si="40"/>
        <v>0</v>
      </c>
      <c r="P124" s="539">
        <f t="shared" si="40"/>
        <v>0</v>
      </c>
      <c r="Q124" s="539">
        <f t="shared" si="40"/>
        <v>0</v>
      </c>
      <c r="R124" s="539">
        <f t="shared" si="40"/>
        <v>0</v>
      </c>
      <c r="S124" s="539">
        <f t="shared" si="40"/>
        <v>0</v>
      </c>
      <c r="T124" s="539">
        <f t="shared" si="40"/>
        <v>0</v>
      </c>
      <c r="U124" s="539">
        <f t="shared" si="40"/>
        <v>0</v>
      </c>
      <c r="V124" s="539">
        <f t="shared" si="40"/>
        <v>0</v>
      </c>
      <c r="W124" s="539">
        <f t="shared" si="40"/>
        <v>0</v>
      </c>
      <c r="X124" s="539">
        <f t="shared" si="40"/>
        <v>0</v>
      </c>
      <c r="Y124" s="539">
        <f t="shared" si="40"/>
        <v>0</v>
      </c>
      <c r="Z124" s="539">
        <f t="shared" si="40"/>
        <v>0</v>
      </c>
      <c r="AA124" s="539">
        <f t="shared" si="40"/>
        <v>0</v>
      </c>
      <c r="AB124" s="539">
        <f t="shared" si="40"/>
        <v>0</v>
      </c>
      <c r="AC124" s="539">
        <f t="shared" si="40"/>
        <v>0</v>
      </c>
      <c r="AD124" s="539">
        <f t="shared" si="40"/>
        <v>0</v>
      </c>
      <c r="AE124" s="539">
        <f t="shared" si="40"/>
        <v>0</v>
      </c>
      <c r="AF124" s="539">
        <f t="shared" si="40"/>
        <v>0</v>
      </c>
      <c r="AG124" s="539">
        <f t="shared" si="40"/>
        <v>0</v>
      </c>
      <c r="AH124" s="539">
        <f t="shared" si="40"/>
        <v>2325.9327083333333</v>
      </c>
      <c r="AI124" s="539">
        <f t="shared" si="40"/>
        <v>-25.559700091575451</v>
      </c>
      <c r="AJ124" s="539">
        <f t="shared" si="40"/>
        <v>-25.004054437410105</v>
      </c>
      <c r="AK124" s="539">
        <f t="shared" si="40"/>
        <v>0</v>
      </c>
      <c r="AL124" s="539">
        <f t="shared" si="40"/>
        <v>111.67795557065256</v>
      </c>
      <c r="AM124" s="539">
        <f t="shared" si="40"/>
        <v>-26.231284718406641</v>
      </c>
      <c r="AN124" s="539">
        <f t="shared" si="40"/>
        <v>-25.661039398441517</v>
      </c>
      <c r="AO124" s="539">
        <f t="shared" si="40"/>
        <v>0</v>
      </c>
      <c r="AP124" s="539">
        <f t="shared" si="40"/>
        <v>114.60456868455594</v>
      </c>
      <c r="AQ124" s="539">
        <f t="shared" si="40"/>
        <v>-26.920430263106482</v>
      </c>
      <c r="AR124" s="539">
        <f t="shared" si="40"/>
        <v>-26.335203518256549</v>
      </c>
      <c r="AS124" s="539">
        <f t="shared" si="40"/>
        <v>0</v>
      </c>
      <c r="AT124" s="539">
        <f t="shared" si="40"/>
        <v>89.98099711079567</v>
      </c>
      <c r="AU124" s="539">
        <f t="shared" si="40"/>
        <v>0</v>
      </c>
      <c r="AV124" s="539">
        <f t="shared" si="40"/>
        <v>-27.02700562252312</v>
      </c>
      <c r="AW124" s="539">
        <f t="shared" si="40"/>
        <v>0</v>
      </c>
      <c r="AX124" s="539">
        <f t="shared" si="40"/>
        <v>120.69214734546586</v>
      </c>
      <c r="AY124" s="539">
        <f t="shared" si="40"/>
        <v>-28.353292955990128</v>
      </c>
      <c r="AZ124" s="539">
        <f t="shared" si="40"/>
        <v>-27.736917022164107</v>
      </c>
      <c r="BA124" s="539">
        <f t="shared" si="40"/>
        <v>0</v>
      </c>
      <c r="BB124" s="539">
        <f t="shared" si="40"/>
        <v>123.8573487641097</v>
      </c>
      <c r="BC124" s="539">
        <f t="shared" si="40"/>
        <v>-29.097986788802245</v>
      </c>
      <c r="BD124" s="539">
        <f t="shared" si="40"/>
        <v>-28.465421858611535</v>
      </c>
      <c r="BE124" s="539">
        <f t="shared" si="40"/>
        <v>0</v>
      </c>
      <c r="BF124" s="539">
        <f t="shared" si="40"/>
        <v>127.10641269492862</v>
      </c>
      <c r="BG124" s="539">
        <f t="shared" si="40"/>
        <v>-29.862195624489686</v>
      </c>
      <c r="BH124" s="539">
        <f t="shared" si="40"/>
        <v>-29.213017458739614</v>
      </c>
      <c r="BI124" s="539">
        <f t="shared" si="40"/>
        <v>0</v>
      </c>
      <c r="BJ124" s="539">
        <f t="shared" si="40"/>
        <v>99.795163631970354</v>
      </c>
      <c r="BK124" s="539">
        <f t="shared" si="40"/>
        <v>0</v>
      </c>
      <c r="BL124" s="539">
        <f t="shared" si="40"/>
        <v>-29.980214699753105</v>
      </c>
      <c r="BM124" s="539">
        <f t="shared" si="40"/>
        <v>0</v>
      </c>
      <c r="BN124" s="539">
        <f t="shared" si="40"/>
        <v>133.86525513801462</v>
      </c>
      <c r="BO124" s="539">
        <f t="shared" si="40"/>
        <v>-31.451261459511443</v>
      </c>
      <c r="BP124" s="539">
        <f t="shared" si="40"/>
        <v>-30.767538384304771</v>
      </c>
      <c r="BQ124" s="539">
        <f t="shared" si="40"/>
        <v>0</v>
      </c>
      <c r="BR124" s="539">
        <f t="shared" si="40"/>
        <v>137.37975465148793</v>
      </c>
      <c r="BS124" s="539">
        <f t="shared" si="40"/>
        <v>-32.277206017837671</v>
      </c>
      <c r="BT124" s="539">
        <f t="shared" si="40"/>
        <v>-31.575527626145686</v>
      </c>
      <c r="BU124" s="539">
        <f t="shared" si="40"/>
        <v>0</v>
      </c>
      <c r="BV124" s="539">
        <f t="shared" si="40"/>
        <v>140.98756220406494</v>
      </c>
      <c r="BW124" s="539">
        <f t="shared" si="40"/>
        <v>-33.124841496519821</v>
      </c>
      <c r="BX124" s="539">
        <f t="shared" si="40"/>
        <v>-32.404736246595803</v>
      </c>
      <c r="BY124" s="539">
        <f t="shared" si="40"/>
        <v>0</v>
      </c>
      <c r="BZ124" s="539">
        <f t="shared" si="40"/>
        <v>110.69645431745221</v>
      </c>
      <c r="CA124" s="539">
        <f t="shared" si="40"/>
        <v>0</v>
      </c>
      <c r="CB124" s="539">
        <f t="shared" si="40"/>
        <v>-33.25573318214856</v>
      </c>
      <c r="CC124" s="539">
        <f t="shared" si="40"/>
        <v>0</v>
      </c>
      <c r="CD124" s="539">
        <f t="shared" si="40"/>
        <v>148.49327496107207</v>
      </c>
      <c r="CE124" s="539">
        <f t="shared" si="40"/>
        <v>-34.887527412489817</v>
      </c>
      <c r="CF124" s="539">
        <f t="shared" si="40"/>
        <v>-34.12910290352238</v>
      </c>
      <c r="CG124" s="539">
        <f t="shared" si="40"/>
        <v>0</v>
      </c>
      <c r="CH124" s="539">
        <f t="shared" si="40"/>
        <v>152.39644274380043</v>
      </c>
      <c r="CI124" s="539">
        <f t="shared" si="40"/>
        <v>-35.803789087520727</v>
      </c>
      <c r="CJ124" s="539">
        <f t="shared" si="40"/>
        <v>-35.025445846486946</v>
      </c>
      <c r="CK124" s="539">
        <f t="shared" si="40"/>
        <v>0</v>
      </c>
      <c r="CL124" s="539">
        <f t="shared" si="40"/>
        <v>156.40344766231465</v>
      </c>
      <c r="CM124" s="539">
        <f t="shared" si="40"/>
        <v>-36.744165051567961</v>
      </c>
      <c r="CN124" s="539">
        <f t="shared" si="40"/>
        <v>-35.945378854794399</v>
      </c>
      <c r="CO124" s="539">
        <f t="shared" si="40"/>
        <v>0</v>
      </c>
      <c r="CP124" s="539">
        <f t="shared" si="40"/>
        <v>122.80780268552007</v>
      </c>
      <c r="CQ124" s="539">
        <f t="shared" si="40"/>
        <v>0</v>
      </c>
      <c r="CR124" s="539">
        <f t="shared" si="40"/>
        <v>-36.889535635563334</v>
      </c>
      <c r="CS124" s="539">
        <f t="shared" si="40"/>
        <v>0</v>
      </c>
      <c r="CT124" s="539">
        <f t="shared" si="40"/>
        <v>164.740310812399</v>
      </c>
      <c r="CU124" s="539">
        <f t="shared" si="40"/>
        <v>-38.699868721414077</v>
      </c>
      <c r="CV124" s="539">
        <f t="shared" si="40"/>
        <v>-37.858567227469848</v>
      </c>
      <c r="CW124" s="539">
        <f t="shared" si="40"/>
        <v>0</v>
      </c>
      <c r="CX124" s="539">
        <f t="shared" si="40"/>
        <v>169.07603630253789</v>
      </c>
      <c r="CY124" s="539">
        <f t="shared" si="40"/>
        <v>-39.716545648377178</v>
      </c>
      <c r="CZ124" s="539">
        <f t="shared" si="40"/>
        <v>-38.853142482108069</v>
      </c>
      <c r="DA124" s="539">
        <f t="shared" si="40"/>
        <v>0</v>
      </c>
      <c r="DB124" s="539">
        <f t="shared" si="40"/>
        <v>173.52733785078044</v>
      </c>
      <c r="DC124" s="539">
        <f t="shared" si="40"/>
        <v>-40.760036304644018</v>
      </c>
      <c r="DD124" s="539">
        <f t="shared" si="40"/>
        <v>-39.873948558890788</v>
      </c>
      <c r="DE124" s="539">
        <f t="shared" si="40"/>
        <v>0</v>
      </c>
      <c r="DF124" s="539">
        <f t="shared" si="40"/>
        <v>136.2662930584811</v>
      </c>
      <c r="DG124" s="539">
        <f t="shared" si="40"/>
        <v>0</v>
      </c>
      <c r="DH124" s="539">
        <f t="shared" si="40"/>
        <v>-40.921691433886735</v>
      </c>
      <c r="DI124" s="539">
        <f t="shared" si="40"/>
        <v>0</v>
      </c>
      <c r="DJ124" s="539">
        <f t="shared" si="40"/>
        <v>182.78931566242727</v>
      </c>
      <c r="DK124" s="539">
        <f t="shared" si="40"/>
        <v>-42.930365232374697</v>
      </c>
      <c r="DL124" s="539">
        <f t="shared" si="40"/>
        <v>-41.997096422975119</v>
      </c>
      <c r="DM124" s="539">
        <f t="shared" si="40"/>
        <v>0</v>
      </c>
      <c r="DN124" s="539">
        <f t="shared" si="40"/>
        <v>187.60653441692739</v>
      </c>
      <c r="DO124" s="539">
        <f t="shared" si="40"/>
        <v>-44.058706691293082</v>
      </c>
      <c r="DP124" s="539">
        <f t="shared" si="40"/>
        <v>-43.100908719743074</v>
      </c>
      <c r="DQ124" s="539">
        <f t="shared" si="40"/>
        <v>0</v>
      </c>
      <c r="DR124" s="539">
        <f t="shared" si="40"/>
        <v>192.55241913751524</v>
      </c>
      <c r="DS124" s="539">
        <f t="shared" si="40"/>
        <v>-45.216869369606684</v>
      </c>
      <c r="DT124" s="539">
        <f t="shared" si="40"/>
        <v>-44.233893948527566</v>
      </c>
      <c r="DU124" s="539">
        <f t="shared" si="40"/>
        <v>0</v>
      </c>
      <c r="DV124" s="539">
        <f t="shared" si="40"/>
        <v>151.22481412425486</v>
      </c>
      <c r="DW124" s="539">
        <f t="shared" si="40"/>
        <v>0</v>
      </c>
      <c r="DX124" s="539">
        <f t="shared" si="40"/>
        <v>-45.396838733046025</v>
      </c>
      <c r="DY124" s="539">
        <f t="shared" si="40"/>
        <v>0</v>
      </c>
      <c r="DZ124" s="539">
        <f t="shared" si="40"/>
        <v>202.84429001506487</v>
      </c>
      <c r="EA124" s="539">
        <f t="shared" si="40"/>
        <v>-47.625896865079994</v>
      </c>
      <c r="EB124" s="539">
        <f t="shared" si="40"/>
        <v>-46.590551281056833</v>
      </c>
      <c r="EC124" s="539">
        <f t="shared" si="40"/>
        <v>0</v>
      </c>
      <c r="ED124" s="539">
        <f t="shared" si="40"/>
        <v>-4239.7401665761536</v>
      </c>
      <c r="EE124" s="539">
        <f t="shared" si="40"/>
        <v>0</v>
      </c>
      <c r="EF124" s="539">
        <f t="shared" si="40"/>
        <v>0</v>
      </c>
      <c r="EG124" s="539">
        <f t="shared" si="40"/>
        <v>0</v>
      </c>
    </row>
    <row r="126" spans="2:2" ht="12.75">
      <c r="B126" s="534" t="s">
        <v>276</v>
      </c>
    </row>
    <row r="127" spans="5:137" ht="12.75">
      <c r="E127" s="538" t="str">
        <f>E$114</f>
        <v>Receivables - movement</v>
      </c>
      <c r="G127" s="539" t="str">
        <f>G$114</f>
        <v>EUR 000s</v>
      </c>
      <c r="H127" s="539">
        <f>H$114</f>
        <v>0</v>
      </c>
      <c r="J127" s="539">
        <f t="shared" si="41" ref="J127:EG127">J$114</f>
        <v>0</v>
      </c>
      <c r="K127" s="539">
        <f t="shared" si="41"/>
        <v>0</v>
      </c>
      <c r="L127" s="539">
        <f t="shared" si="41"/>
        <v>0</v>
      </c>
      <c r="M127" s="539">
        <f t="shared" si="41"/>
        <v>0</v>
      </c>
      <c r="N127" s="539">
        <f t="shared" si="41"/>
        <v>0</v>
      </c>
      <c r="O127" s="539">
        <f t="shared" si="41"/>
        <v>0</v>
      </c>
      <c r="P127" s="539">
        <f t="shared" si="41"/>
        <v>0</v>
      </c>
      <c r="Q127" s="539">
        <f t="shared" si="41"/>
        <v>0</v>
      </c>
      <c r="R127" s="539">
        <f t="shared" si="41"/>
        <v>0</v>
      </c>
      <c r="S127" s="539">
        <f t="shared" si="41"/>
        <v>0</v>
      </c>
      <c r="T127" s="539">
        <f t="shared" si="41"/>
        <v>0</v>
      </c>
      <c r="U127" s="539">
        <f t="shared" si="41"/>
        <v>0</v>
      </c>
      <c r="V127" s="539">
        <f t="shared" si="41"/>
        <v>0</v>
      </c>
      <c r="W127" s="539">
        <f t="shared" si="41"/>
        <v>0</v>
      </c>
      <c r="X127" s="539">
        <f t="shared" si="41"/>
        <v>0</v>
      </c>
      <c r="Y127" s="539">
        <f t="shared" si="41"/>
        <v>0</v>
      </c>
      <c r="Z127" s="539">
        <f t="shared" si="41"/>
        <v>0</v>
      </c>
      <c r="AA127" s="539">
        <f t="shared" si="41"/>
        <v>0</v>
      </c>
      <c r="AB127" s="539">
        <f t="shared" si="41"/>
        <v>0</v>
      </c>
      <c r="AC127" s="539">
        <f t="shared" si="41"/>
        <v>0</v>
      </c>
      <c r="AD127" s="539">
        <f t="shared" si="41"/>
        <v>0</v>
      </c>
      <c r="AE127" s="539">
        <f t="shared" si="41"/>
        <v>0</v>
      </c>
      <c r="AF127" s="539">
        <f t="shared" si="41"/>
        <v>0</v>
      </c>
      <c r="AG127" s="539">
        <f t="shared" si="41"/>
        <v>0</v>
      </c>
      <c r="AH127" s="539">
        <f t="shared" si="41"/>
        <v>4161.6000000000004</v>
      </c>
      <c r="AI127" s="539">
        <f t="shared" si="41"/>
        <v>-45.731868131868396</v>
      </c>
      <c r="AJ127" s="539">
        <f t="shared" si="41"/>
        <v>-44.73769708552345</v>
      </c>
      <c r="AK127" s="539">
        <f t="shared" si="41"/>
        <v>0</v>
      </c>
      <c r="AL127" s="539">
        <f t="shared" si="41"/>
        <v>173.70156521739182</v>
      </c>
      <c r="AM127" s="539">
        <f t="shared" si="41"/>
        <v>-46.646505494505618</v>
      </c>
      <c r="AN127" s="539">
        <f t="shared" si="41"/>
        <v>-45.632451027233401</v>
      </c>
      <c r="AO127" s="539">
        <f t="shared" si="41"/>
        <v>0</v>
      </c>
      <c r="AP127" s="539">
        <f t="shared" si="41"/>
        <v>177.17559652173895</v>
      </c>
      <c r="AQ127" s="539">
        <f t="shared" si="41"/>
        <v>-47.579435604395258</v>
      </c>
      <c r="AR127" s="539">
        <f t="shared" si="41"/>
        <v>-46.54510004777876</v>
      </c>
      <c r="AS127" s="539">
        <f t="shared" si="41"/>
        <v>0</v>
      </c>
      <c r="AT127" s="539">
        <f t="shared" si="41"/>
        <v>132.18808413568968</v>
      </c>
      <c r="AU127" s="539">
        <f t="shared" si="41"/>
        <v>0</v>
      </c>
      <c r="AV127" s="539">
        <f t="shared" si="41"/>
        <v>-47.47600204873379</v>
      </c>
      <c r="AW127" s="539">
        <f t="shared" si="41"/>
        <v>0</v>
      </c>
      <c r="AX127" s="539">
        <f t="shared" si="41"/>
        <v>184.33349062121761</v>
      </c>
      <c r="AY127" s="539">
        <f t="shared" si="41"/>
        <v>-49.501644802812734</v>
      </c>
      <c r="AZ127" s="539">
        <f t="shared" si="41"/>
        <v>-48.425522089709375</v>
      </c>
      <c r="BA127" s="539">
        <f t="shared" si="41"/>
        <v>0</v>
      </c>
      <c r="BB127" s="539">
        <f t="shared" si="41"/>
        <v>188.02016043364256</v>
      </c>
      <c r="BC127" s="539">
        <f t="shared" si="41"/>
        <v>-50.491677698869353</v>
      </c>
      <c r="BD127" s="539">
        <f t="shared" si="41"/>
        <v>-49.394032531502489</v>
      </c>
      <c r="BE127" s="539">
        <f t="shared" si="41"/>
        <v>0</v>
      </c>
      <c r="BF127" s="539">
        <f t="shared" si="41"/>
        <v>191.78056364231452</v>
      </c>
      <c r="BG127" s="539">
        <f t="shared" si="41"/>
        <v>-51.501511252846285</v>
      </c>
      <c r="BH127" s="539">
        <f t="shared" si="41"/>
        <v>-50.381913182132848</v>
      </c>
      <c r="BI127" s="539">
        <f t="shared" si="41"/>
        <v>0</v>
      </c>
      <c r="BJ127" s="539">
        <f t="shared" si="41"/>
        <v>143.08463343725634</v>
      </c>
      <c r="BK127" s="539">
        <f t="shared" si="41"/>
        <v>0</v>
      </c>
      <c r="BL127" s="539">
        <f t="shared" si="41"/>
        <v>-51.389551445775396</v>
      </c>
      <c r="BM127" s="539">
        <f t="shared" si="41"/>
        <v>0</v>
      </c>
      <c r="BN127" s="539">
        <f t="shared" si="41"/>
        <v>199.52849841346506</v>
      </c>
      <c r="BO127" s="539">
        <f t="shared" si="41"/>
        <v>-53.582172307462315</v>
      </c>
      <c r="BP127" s="539">
        <f t="shared" si="41"/>
        <v>-52.417342474690486</v>
      </c>
      <c r="BQ127" s="539">
        <f t="shared" si="41"/>
        <v>0</v>
      </c>
      <c r="BR127" s="539">
        <f t="shared" si="41"/>
        <v>203.51906838173272</v>
      </c>
      <c r="BS127" s="539">
        <f t="shared" si="41"/>
        <v>-54.653815753610616</v>
      </c>
      <c r="BT127" s="539">
        <f t="shared" si="41"/>
        <v>-53.465689324185405</v>
      </c>
      <c r="BU127" s="539">
        <f t="shared" si="41"/>
        <v>0</v>
      </c>
      <c r="BV127" s="539">
        <f t="shared" si="41"/>
        <v>207.58944974936912</v>
      </c>
      <c r="BW127" s="539">
        <f t="shared" si="41"/>
        <v>-55.746892068683337</v>
      </c>
      <c r="BX127" s="539">
        <f t="shared" si="41"/>
        <v>-54.535003110669095</v>
      </c>
      <c r="BY127" s="539">
        <f t="shared" si="41"/>
        <v>0</v>
      </c>
      <c r="BZ127" s="539">
        <f t="shared" si="41"/>
        <v>154.87940883429746</v>
      </c>
      <c r="CA127" s="539">
        <f t="shared" si="41"/>
        <v>0</v>
      </c>
      <c r="CB127" s="539">
        <f t="shared" si="41"/>
        <v>-55.625703172881913</v>
      </c>
      <c r="CC127" s="539">
        <f t="shared" si="41"/>
        <v>0</v>
      </c>
      <c r="CD127" s="539">
        <f t="shared" si="41"/>
        <v>215.97606351924333</v>
      </c>
      <c r="CE127" s="539">
        <f t="shared" si="41"/>
        <v>-57.999066508257783</v>
      </c>
      <c r="CF127" s="539">
        <f t="shared" si="41"/>
        <v>-56.738217236339551</v>
      </c>
      <c r="CG127" s="539">
        <f t="shared" si="41"/>
        <v>0</v>
      </c>
      <c r="CH127" s="539">
        <f t="shared" si="41"/>
        <v>220.29558478962736</v>
      </c>
      <c r="CI127" s="539">
        <f t="shared" si="41"/>
        <v>-59.159047838423248</v>
      </c>
      <c r="CJ127" s="539">
        <f t="shared" si="41"/>
        <v>-57.872981581065687</v>
      </c>
      <c r="CK127" s="539">
        <f t="shared" si="41"/>
        <v>0</v>
      </c>
      <c r="CL127" s="539">
        <f t="shared" si="41"/>
        <v>224.70149648542065</v>
      </c>
      <c r="CM127" s="539">
        <f t="shared" si="41"/>
        <v>-60.342228795192568</v>
      </c>
      <c r="CN127" s="539">
        <f t="shared" si="41"/>
        <v>-59.030441212687037</v>
      </c>
      <c r="CO127" s="539">
        <f t="shared" si="41"/>
        <v>0</v>
      </c>
      <c r="CP127" s="539">
        <f t="shared" si="41"/>
        <v>167.64645304403166</v>
      </c>
      <c r="CQ127" s="539">
        <f t="shared" si="41"/>
        <v>0</v>
      </c>
      <c r="CR127" s="539">
        <f t="shared" si="41"/>
        <v>-60.211050036940833</v>
      </c>
      <c r="CS127" s="539">
        <f t="shared" si="41"/>
        <v>0</v>
      </c>
      <c r="CT127" s="539">
        <f t="shared" si="41"/>
        <v>233.77943694343139</v>
      </c>
      <c r="CU127" s="539">
        <f t="shared" si="41"/>
        <v>-62.780054838517572</v>
      </c>
      <c r="CV127" s="539">
        <f t="shared" si="41"/>
        <v>-61.415271037679304</v>
      </c>
      <c r="CW127" s="539">
        <f t="shared" si="41"/>
        <v>0</v>
      </c>
      <c r="CX127" s="539">
        <f t="shared" si="41"/>
        <v>238.45502568229858</v>
      </c>
      <c r="CY127" s="539">
        <f t="shared" si="41"/>
        <v>-64.03565593528765</v>
      </c>
      <c r="CZ127" s="539">
        <f t="shared" si="41"/>
        <v>-62.643576458433927</v>
      </c>
      <c r="DA127" s="539">
        <f t="shared" si="41"/>
        <v>0</v>
      </c>
      <c r="DB127" s="539">
        <f t="shared" si="41"/>
        <v>243.22412619594525</v>
      </c>
      <c r="DC127" s="539">
        <f t="shared" si="41"/>
        <v>-65.316369053993185</v>
      </c>
      <c r="DD127" s="539">
        <f t="shared" si="41"/>
        <v>-63.896447987602187</v>
      </c>
      <c r="DE127" s="539">
        <f t="shared" si="41"/>
        <v>0</v>
      </c>
      <c r="DF127" s="539">
        <f t="shared" si="41"/>
        <v>181.46591228479156</v>
      </c>
      <c r="DG127" s="539">
        <f t="shared" si="41"/>
        <v>0</v>
      </c>
      <c r="DH127" s="539">
        <f t="shared" si="41"/>
        <v>-65.174376947354176</v>
      </c>
      <c r="DI127" s="539">
        <f t="shared" si="41"/>
        <v>0</v>
      </c>
      <c r="DJ127" s="539">
        <f t="shared" si="41"/>
        <v>253.05038089426125</v>
      </c>
      <c r="DK127" s="539">
        <f t="shared" si="41"/>
        <v>-67.955150363774919</v>
      </c>
      <c r="DL127" s="539">
        <f t="shared" si="41"/>
        <v>-66.477864486301769</v>
      </c>
      <c r="DM127" s="539">
        <f t="shared" si="41"/>
        <v>0</v>
      </c>
      <c r="DN127" s="539">
        <f t="shared" si="41"/>
        <v>258.11138851214764</v>
      </c>
      <c r="DO127" s="539">
        <f t="shared" si="41"/>
        <v>-69.314253371050654</v>
      </c>
      <c r="DP127" s="539">
        <f t="shared" si="41"/>
        <v>-67.807421776027695</v>
      </c>
      <c r="DQ127" s="539">
        <f t="shared" si="41"/>
        <v>0</v>
      </c>
      <c r="DR127" s="539">
        <f t="shared" si="41"/>
        <v>263.27361628238941</v>
      </c>
      <c r="DS127" s="539">
        <f t="shared" si="41"/>
        <v>-70.700538438471995</v>
      </c>
      <c r="DT127" s="539">
        <f t="shared" si="41"/>
        <v>-69.163570211548176</v>
      </c>
      <c r="DU127" s="539">
        <f t="shared" si="41"/>
        <v>0</v>
      </c>
      <c r="DV127" s="539">
        <f t="shared" si="41"/>
        <v>196.42453940079758</v>
      </c>
      <c r="DW127" s="539">
        <f t="shared" si="41"/>
        <v>0</v>
      </c>
      <c r="DX127" s="539">
        <f t="shared" si="41"/>
        <v>-70.546841615779158</v>
      </c>
      <c r="DY127" s="539">
        <f t="shared" si="41"/>
        <v>0</v>
      </c>
      <c r="DZ127" s="539">
        <f t="shared" si="41"/>
        <v>273.9098703801983</v>
      </c>
      <c r="EA127" s="539">
        <f t="shared" si="41"/>
        <v>-73.556840191386073</v>
      </c>
      <c r="EB127" s="539">
        <f t="shared" si="41"/>
        <v>-71.957778448094359</v>
      </c>
      <c r="EC127" s="539">
        <f t="shared" si="41"/>
        <v>0</v>
      </c>
      <c r="ED127" s="539">
        <f t="shared" si="41"/>
        <v>-6548.1578387766203</v>
      </c>
      <c r="EE127" s="539">
        <f t="shared" si="41"/>
        <v>0</v>
      </c>
      <c r="EF127" s="539">
        <f t="shared" si="41"/>
        <v>0</v>
      </c>
      <c r="EG127" s="539">
        <f t="shared" si="41"/>
        <v>0</v>
      </c>
    </row>
    <row r="128" spans="5:137" ht="12.75">
      <c r="E128" s="538" t="str">
        <f>E$124</f>
        <v>Payables - movement</v>
      </c>
      <c r="G128" s="539" t="str">
        <f>G$124</f>
        <v>EUR 000s</v>
      </c>
      <c r="H128" s="539">
        <f>H$124</f>
        <v>0</v>
      </c>
      <c r="J128" s="539">
        <f t="shared" si="42" ref="J128:EG128">J$124</f>
        <v>0</v>
      </c>
      <c r="K128" s="539">
        <f t="shared" si="42"/>
        <v>0</v>
      </c>
      <c r="L128" s="539">
        <f t="shared" si="42"/>
        <v>0</v>
      </c>
      <c r="M128" s="539">
        <f t="shared" si="42"/>
        <v>0</v>
      </c>
      <c r="N128" s="539">
        <f t="shared" si="42"/>
        <v>0</v>
      </c>
      <c r="O128" s="539">
        <f t="shared" si="42"/>
        <v>0</v>
      </c>
      <c r="P128" s="539">
        <f t="shared" si="42"/>
        <v>0</v>
      </c>
      <c r="Q128" s="539">
        <f t="shared" si="42"/>
        <v>0</v>
      </c>
      <c r="R128" s="539">
        <f t="shared" si="42"/>
        <v>0</v>
      </c>
      <c r="S128" s="539">
        <f t="shared" si="42"/>
        <v>0</v>
      </c>
      <c r="T128" s="539">
        <f t="shared" si="42"/>
        <v>0</v>
      </c>
      <c r="U128" s="539">
        <f t="shared" si="42"/>
        <v>0</v>
      </c>
      <c r="V128" s="539">
        <f t="shared" si="42"/>
        <v>0</v>
      </c>
      <c r="W128" s="539">
        <f t="shared" si="42"/>
        <v>0</v>
      </c>
      <c r="X128" s="539">
        <f t="shared" si="42"/>
        <v>0</v>
      </c>
      <c r="Y128" s="539">
        <f t="shared" si="42"/>
        <v>0</v>
      </c>
      <c r="Z128" s="539">
        <f t="shared" si="42"/>
        <v>0</v>
      </c>
      <c r="AA128" s="539">
        <f t="shared" si="42"/>
        <v>0</v>
      </c>
      <c r="AB128" s="539">
        <f t="shared" si="42"/>
        <v>0</v>
      </c>
      <c r="AC128" s="539">
        <f t="shared" si="42"/>
        <v>0</v>
      </c>
      <c r="AD128" s="539">
        <f t="shared" si="42"/>
        <v>0</v>
      </c>
      <c r="AE128" s="539">
        <f t="shared" si="42"/>
        <v>0</v>
      </c>
      <c r="AF128" s="539">
        <f t="shared" si="42"/>
        <v>0</v>
      </c>
      <c r="AG128" s="539">
        <f t="shared" si="42"/>
        <v>0</v>
      </c>
      <c r="AH128" s="539">
        <f t="shared" si="42"/>
        <v>2325.9327083333333</v>
      </c>
      <c r="AI128" s="539">
        <f t="shared" si="42"/>
        <v>-25.559700091575451</v>
      </c>
      <c r="AJ128" s="539">
        <f t="shared" si="42"/>
        <v>-25.004054437410105</v>
      </c>
      <c r="AK128" s="539">
        <f t="shared" si="42"/>
        <v>0</v>
      </c>
      <c r="AL128" s="539">
        <f t="shared" si="42"/>
        <v>111.67795557065256</v>
      </c>
      <c r="AM128" s="539">
        <f t="shared" si="42"/>
        <v>-26.231284718406641</v>
      </c>
      <c r="AN128" s="539">
        <f t="shared" si="42"/>
        <v>-25.661039398441517</v>
      </c>
      <c r="AO128" s="539">
        <f t="shared" si="42"/>
        <v>0</v>
      </c>
      <c r="AP128" s="539">
        <f t="shared" si="42"/>
        <v>114.60456868455594</v>
      </c>
      <c r="AQ128" s="539">
        <f t="shared" si="42"/>
        <v>-26.920430263106482</v>
      </c>
      <c r="AR128" s="539">
        <f t="shared" si="42"/>
        <v>-26.335203518256549</v>
      </c>
      <c r="AS128" s="539">
        <f t="shared" si="42"/>
        <v>0</v>
      </c>
      <c r="AT128" s="539">
        <f t="shared" si="42"/>
        <v>89.98099711079567</v>
      </c>
      <c r="AU128" s="539">
        <f t="shared" si="42"/>
        <v>0</v>
      </c>
      <c r="AV128" s="539">
        <f t="shared" si="42"/>
        <v>-27.02700562252312</v>
      </c>
      <c r="AW128" s="539">
        <f t="shared" si="42"/>
        <v>0</v>
      </c>
      <c r="AX128" s="539">
        <f t="shared" si="42"/>
        <v>120.69214734546586</v>
      </c>
      <c r="AY128" s="539">
        <f t="shared" si="42"/>
        <v>-28.353292955990128</v>
      </c>
      <c r="AZ128" s="539">
        <f t="shared" si="42"/>
        <v>-27.736917022164107</v>
      </c>
      <c r="BA128" s="539">
        <f t="shared" si="42"/>
        <v>0</v>
      </c>
      <c r="BB128" s="539">
        <f t="shared" si="42"/>
        <v>123.8573487641097</v>
      </c>
      <c r="BC128" s="539">
        <f t="shared" si="42"/>
        <v>-29.097986788802245</v>
      </c>
      <c r="BD128" s="539">
        <f t="shared" si="42"/>
        <v>-28.465421858611535</v>
      </c>
      <c r="BE128" s="539">
        <f t="shared" si="42"/>
        <v>0</v>
      </c>
      <c r="BF128" s="539">
        <f t="shared" si="42"/>
        <v>127.10641269492862</v>
      </c>
      <c r="BG128" s="539">
        <f t="shared" si="42"/>
        <v>-29.862195624489686</v>
      </c>
      <c r="BH128" s="539">
        <f t="shared" si="42"/>
        <v>-29.213017458739614</v>
      </c>
      <c r="BI128" s="539">
        <f t="shared" si="42"/>
        <v>0</v>
      </c>
      <c r="BJ128" s="539">
        <f t="shared" si="42"/>
        <v>99.795163631970354</v>
      </c>
      <c r="BK128" s="539">
        <f t="shared" si="42"/>
        <v>0</v>
      </c>
      <c r="BL128" s="539">
        <f t="shared" si="42"/>
        <v>-29.980214699753105</v>
      </c>
      <c r="BM128" s="539">
        <f t="shared" si="42"/>
        <v>0</v>
      </c>
      <c r="BN128" s="539">
        <f t="shared" si="42"/>
        <v>133.86525513801462</v>
      </c>
      <c r="BO128" s="539">
        <f t="shared" si="42"/>
        <v>-31.451261459511443</v>
      </c>
      <c r="BP128" s="539">
        <f t="shared" si="42"/>
        <v>-30.767538384304771</v>
      </c>
      <c r="BQ128" s="539">
        <f t="shared" si="42"/>
        <v>0</v>
      </c>
      <c r="BR128" s="539">
        <f t="shared" si="42"/>
        <v>137.37975465148793</v>
      </c>
      <c r="BS128" s="539">
        <f t="shared" si="42"/>
        <v>-32.277206017837671</v>
      </c>
      <c r="BT128" s="539">
        <f t="shared" si="42"/>
        <v>-31.575527626145686</v>
      </c>
      <c r="BU128" s="539">
        <f t="shared" si="42"/>
        <v>0</v>
      </c>
      <c r="BV128" s="539">
        <f t="shared" si="42"/>
        <v>140.98756220406494</v>
      </c>
      <c r="BW128" s="539">
        <f t="shared" si="42"/>
        <v>-33.124841496519821</v>
      </c>
      <c r="BX128" s="539">
        <f t="shared" si="42"/>
        <v>-32.404736246595803</v>
      </c>
      <c r="BY128" s="539">
        <f t="shared" si="42"/>
        <v>0</v>
      </c>
      <c r="BZ128" s="539">
        <f t="shared" si="42"/>
        <v>110.69645431745221</v>
      </c>
      <c r="CA128" s="539">
        <f t="shared" si="42"/>
        <v>0</v>
      </c>
      <c r="CB128" s="539">
        <f t="shared" si="42"/>
        <v>-33.25573318214856</v>
      </c>
      <c r="CC128" s="539">
        <f t="shared" si="42"/>
        <v>0</v>
      </c>
      <c r="CD128" s="539">
        <f t="shared" si="42"/>
        <v>148.49327496107207</v>
      </c>
      <c r="CE128" s="539">
        <f t="shared" si="42"/>
        <v>-34.887527412489817</v>
      </c>
      <c r="CF128" s="539">
        <f t="shared" si="42"/>
        <v>-34.12910290352238</v>
      </c>
      <c r="CG128" s="539">
        <f t="shared" si="42"/>
        <v>0</v>
      </c>
      <c r="CH128" s="539">
        <f t="shared" si="42"/>
        <v>152.39644274380043</v>
      </c>
      <c r="CI128" s="539">
        <f t="shared" si="42"/>
        <v>-35.803789087520727</v>
      </c>
      <c r="CJ128" s="539">
        <f t="shared" si="42"/>
        <v>-35.025445846486946</v>
      </c>
      <c r="CK128" s="539">
        <f t="shared" si="42"/>
        <v>0</v>
      </c>
      <c r="CL128" s="539">
        <f t="shared" si="42"/>
        <v>156.40344766231465</v>
      </c>
      <c r="CM128" s="539">
        <f t="shared" si="42"/>
        <v>-36.744165051567961</v>
      </c>
      <c r="CN128" s="539">
        <f t="shared" si="42"/>
        <v>-35.945378854794399</v>
      </c>
      <c r="CO128" s="539">
        <f t="shared" si="42"/>
        <v>0</v>
      </c>
      <c r="CP128" s="539">
        <f t="shared" si="42"/>
        <v>122.80780268552007</v>
      </c>
      <c r="CQ128" s="539">
        <f t="shared" si="42"/>
        <v>0</v>
      </c>
      <c r="CR128" s="539">
        <f t="shared" si="42"/>
        <v>-36.889535635563334</v>
      </c>
      <c r="CS128" s="539">
        <f t="shared" si="42"/>
        <v>0</v>
      </c>
      <c r="CT128" s="539">
        <f t="shared" si="42"/>
        <v>164.740310812399</v>
      </c>
      <c r="CU128" s="539">
        <f t="shared" si="42"/>
        <v>-38.699868721414077</v>
      </c>
      <c r="CV128" s="539">
        <f t="shared" si="42"/>
        <v>-37.858567227469848</v>
      </c>
      <c r="CW128" s="539">
        <f t="shared" si="42"/>
        <v>0</v>
      </c>
      <c r="CX128" s="539">
        <f t="shared" si="42"/>
        <v>169.07603630253789</v>
      </c>
      <c r="CY128" s="539">
        <f t="shared" si="42"/>
        <v>-39.716545648377178</v>
      </c>
      <c r="CZ128" s="539">
        <f t="shared" si="42"/>
        <v>-38.853142482108069</v>
      </c>
      <c r="DA128" s="539">
        <f t="shared" si="42"/>
        <v>0</v>
      </c>
      <c r="DB128" s="539">
        <f t="shared" si="42"/>
        <v>173.52733785078044</v>
      </c>
      <c r="DC128" s="539">
        <f t="shared" si="42"/>
        <v>-40.760036304644018</v>
      </c>
      <c r="DD128" s="539">
        <f t="shared" si="42"/>
        <v>-39.873948558890788</v>
      </c>
      <c r="DE128" s="539">
        <f t="shared" si="42"/>
        <v>0</v>
      </c>
      <c r="DF128" s="539">
        <f t="shared" si="42"/>
        <v>136.2662930584811</v>
      </c>
      <c r="DG128" s="539">
        <f t="shared" si="42"/>
        <v>0</v>
      </c>
      <c r="DH128" s="539">
        <f t="shared" si="42"/>
        <v>-40.921691433886735</v>
      </c>
      <c r="DI128" s="539">
        <f t="shared" si="42"/>
        <v>0</v>
      </c>
      <c r="DJ128" s="539">
        <f t="shared" si="42"/>
        <v>182.78931566242727</v>
      </c>
      <c r="DK128" s="539">
        <f t="shared" si="42"/>
        <v>-42.930365232374697</v>
      </c>
      <c r="DL128" s="539">
        <f t="shared" si="42"/>
        <v>-41.997096422975119</v>
      </c>
      <c r="DM128" s="539">
        <f t="shared" si="42"/>
        <v>0</v>
      </c>
      <c r="DN128" s="539">
        <f t="shared" si="42"/>
        <v>187.60653441692739</v>
      </c>
      <c r="DO128" s="539">
        <f t="shared" si="42"/>
        <v>-44.058706691293082</v>
      </c>
      <c r="DP128" s="539">
        <f t="shared" si="42"/>
        <v>-43.100908719743074</v>
      </c>
      <c r="DQ128" s="539">
        <f t="shared" si="42"/>
        <v>0</v>
      </c>
      <c r="DR128" s="539">
        <f t="shared" si="42"/>
        <v>192.55241913751524</v>
      </c>
      <c r="DS128" s="539">
        <f t="shared" si="42"/>
        <v>-45.216869369606684</v>
      </c>
      <c r="DT128" s="539">
        <f t="shared" si="42"/>
        <v>-44.233893948527566</v>
      </c>
      <c r="DU128" s="539">
        <f t="shared" si="42"/>
        <v>0</v>
      </c>
      <c r="DV128" s="539">
        <f t="shared" si="42"/>
        <v>151.22481412425486</v>
      </c>
      <c r="DW128" s="539">
        <f t="shared" si="42"/>
        <v>0</v>
      </c>
      <c r="DX128" s="539">
        <f t="shared" si="42"/>
        <v>-45.396838733046025</v>
      </c>
      <c r="DY128" s="539">
        <f t="shared" si="42"/>
        <v>0</v>
      </c>
      <c r="DZ128" s="539">
        <f t="shared" si="42"/>
        <v>202.84429001506487</v>
      </c>
      <c r="EA128" s="539">
        <f t="shared" si="42"/>
        <v>-47.625896865079994</v>
      </c>
      <c r="EB128" s="539">
        <f t="shared" si="42"/>
        <v>-46.590551281056833</v>
      </c>
      <c r="EC128" s="539">
        <f t="shared" si="42"/>
        <v>0</v>
      </c>
      <c r="ED128" s="539">
        <f t="shared" si="42"/>
        <v>-4239.7401665761536</v>
      </c>
      <c r="EE128" s="539">
        <f t="shared" si="42"/>
        <v>0</v>
      </c>
      <c r="EF128" s="539">
        <f t="shared" si="42"/>
        <v>0</v>
      </c>
      <c r="EG128" s="539">
        <f t="shared" si="42"/>
        <v>0</v>
      </c>
    </row>
    <row r="129" spans="5:137" ht="12.75">
      <c r="E129" s="540" t="s">
        <v>277</v>
      </c>
      <c r="G129" s="541" t="s">
        <v>30</v>
      </c>
      <c r="H129" s="541">
        <f>SUM(J129:EG129)</f>
        <v>0</v>
      </c>
      <c r="J129" s="541">
        <f t="shared" si="43" ref="J129:EG129">J128-J127</f>
        <v>0</v>
      </c>
      <c r="K129" s="541">
        <f t="shared" si="43"/>
        <v>0</v>
      </c>
      <c r="L129" s="541">
        <f t="shared" si="43"/>
        <v>0</v>
      </c>
      <c r="M129" s="541">
        <f t="shared" si="43"/>
        <v>0</v>
      </c>
      <c r="N129" s="541">
        <f t="shared" si="43"/>
        <v>0</v>
      </c>
      <c r="O129" s="541">
        <f t="shared" si="43"/>
        <v>0</v>
      </c>
      <c r="P129" s="541">
        <f t="shared" si="43"/>
        <v>0</v>
      </c>
      <c r="Q129" s="541">
        <f t="shared" si="43"/>
        <v>0</v>
      </c>
      <c r="R129" s="541">
        <f t="shared" si="43"/>
        <v>0</v>
      </c>
      <c r="S129" s="541">
        <f t="shared" si="43"/>
        <v>0</v>
      </c>
      <c r="T129" s="541">
        <f t="shared" si="43"/>
        <v>0</v>
      </c>
      <c r="U129" s="541">
        <f t="shared" si="43"/>
        <v>0</v>
      </c>
      <c r="V129" s="541">
        <f t="shared" si="43"/>
        <v>0</v>
      </c>
      <c r="W129" s="541">
        <f t="shared" si="43"/>
        <v>0</v>
      </c>
      <c r="X129" s="541">
        <f t="shared" si="43"/>
        <v>0</v>
      </c>
      <c r="Y129" s="541">
        <f t="shared" si="43"/>
        <v>0</v>
      </c>
      <c r="Z129" s="541">
        <f t="shared" si="43"/>
        <v>0</v>
      </c>
      <c r="AA129" s="541">
        <f t="shared" si="43"/>
        <v>0</v>
      </c>
      <c r="AB129" s="541">
        <f t="shared" si="43"/>
        <v>0</v>
      </c>
      <c r="AC129" s="541">
        <f t="shared" si="43"/>
        <v>0</v>
      </c>
      <c r="AD129" s="541">
        <f t="shared" si="43"/>
        <v>0</v>
      </c>
      <c r="AE129" s="541">
        <f t="shared" si="43"/>
        <v>0</v>
      </c>
      <c r="AF129" s="541">
        <f t="shared" si="43"/>
        <v>0</v>
      </c>
      <c r="AG129" s="541">
        <f t="shared" si="43"/>
        <v>0</v>
      </c>
      <c r="AH129" s="541">
        <f t="shared" si="43"/>
        <v>-1835.6672916666671</v>
      </c>
      <c r="AI129" s="541">
        <f t="shared" si="43"/>
        <v>20.172168040292945</v>
      </c>
      <c r="AJ129" s="541">
        <f t="shared" si="43"/>
        <v>19.733642648113346</v>
      </c>
      <c r="AK129" s="541">
        <f t="shared" si="43"/>
        <v>0</v>
      </c>
      <c r="AL129" s="541">
        <f t="shared" si="43"/>
        <v>-62.02360964673926</v>
      </c>
      <c r="AM129" s="541">
        <f t="shared" si="43"/>
        <v>20.415220776098977</v>
      </c>
      <c r="AN129" s="541">
        <f t="shared" si="43"/>
        <v>19.971411628791884</v>
      </c>
      <c r="AO129" s="541">
        <f t="shared" si="43"/>
        <v>0</v>
      </c>
      <c r="AP129" s="541">
        <f t="shared" si="43"/>
        <v>-62.57102783718301</v>
      </c>
      <c r="AQ129" s="541">
        <f t="shared" si="43"/>
        <v>20.659005341288776</v>
      </c>
      <c r="AR129" s="541">
        <f t="shared" si="43"/>
        <v>20.209896529522211</v>
      </c>
      <c r="AS129" s="541">
        <f t="shared" si="43"/>
        <v>0</v>
      </c>
      <c r="AT129" s="541">
        <f t="shared" si="43"/>
        <v>-42.207087024894008</v>
      </c>
      <c r="AU129" s="541">
        <f t="shared" si="43"/>
        <v>0</v>
      </c>
      <c r="AV129" s="541">
        <f t="shared" si="43"/>
        <v>20.44899642621067</v>
      </c>
      <c r="AW129" s="541">
        <f t="shared" si="43"/>
        <v>0</v>
      </c>
      <c r="AX129" s="541">
        <f t="shared" si="43"/>
        <v>-63.641343275751751</v>
      </c>
      <c r="AY129" s="541">
        <f t="shared" si="43"/>
        <v>21.148351846822607</v>
      </c>
      <c r="AZ129" s="541">
        <f t="shared" si="43"/>
        <v>20.688605067545268</v>
      </c>
      <c r="BA129" s="541">
        <f t="shared" si="43"/>
        <v>0</v>
      </c>
      <c r="BB129" s="541">
        <f t="shared" si="43"/>
        <v>-64.162811669532857</v>
      </c>
      <c r="BC129" s="541">
        <f t="shared" si="43"/>
        <v>21.393690910067107</v>
      </c>
      <c r="BD129" s="541">
        <f t="shared" si="43"/>
        <v>20.928610672890954</v>
      </c>
      <c r="BE129" s="541">
        <f t="shared" si="43"/>
        <v>0</v>
      </c>
      <c r="BF129" s="541">
        <f t="shared" si="43"/>
        <v>-64.674150947385897</v>
      </c>
      <c r="BG129" s="541">
        <f t="shared" si="43"/>
        <v>21.639315628356599</v>
      </c>
      <c r="BH129" s="541">
        <f t="shared" si="43"/>
        <v>21.168895723393234</v>
      </c>
      <c r="BI129" s="541">
        <f t="shared" si="43"/>
        <v>0</v>
      </c>
      <c r="BJ129" s="541">
        <f t="shared" si="43"/>
        <v>-43.289469805285989</v>
      </c>
      <c r="BK129" s="541">
        <f t="shared" si="43"/>
        <v>0</v>
      </c>
      <c r="BL129" s="541">
        <f t="shared" si="43"/>
        <v>21.409336746022291</v>
      </c>
      <c r="BM129" s="541">
        <f t="shared" si="43"/>
        <v>0</v>
      </c>
      <c r="BN129" s="541">
        <f t="shared" si="43"/>
        <v>-65.663243275450441</v>
      </c>
      <c r="BO129" s="541">
        <f t="shared" si="43"/>
        <v>22.130910847950872</v>
      </c>
      <c r="BP129" s="541">
        <f t="shared" si="43"/>
        <v>21.649804090385715</v>
      </c>
      <c r="BQ129" s="541">
        <f t="shared" si="43"/>
        <v>0</v>
      </c>
      <c r="BR129" s="541">
        <f t="shared" si="43"/>
        <v>-66.139313730244794</v>
      </c>
      <c r="BS129" s="541">
        <f t="shared" si="43"/>
        <v>22.376609735772945</v>
      </c>
      <c r="BT129" s="541">
        <f t="shared" si="43"/>
        <v>21.890161698039719</v>
      </c>
      <c r="BU129" s="541">
        <f t="shared" si="43"/>
        <v>0</v>
      </c>
      <c r="BV129" s="541">
        <f t="shared" si="43"/>
        <v>-66.60188754530418</v>
      </c>
      <c r="BW129" s="541">
        <f t="shared" si="43"/>
        <v>22.622050572163516</v>
      </c>
      <c r="BX129" s="541">
        <f t="shared" si="43"/>
        <v>22.130266864073292</v>
      </c>
      <c r="BY129" s="541">
        <f t="shared" si="43"/>
        <v>0</v>
      </c>
      <c r="BZ129" s="541">
        <f t="shared" si="43"/>
        <v>-44.182954516845257</v>
      </c>
      <c r="CA129" s="541">
        <f t="shared" si="43"/>
        <v>0</v>
      </c>
      <c r="CB129" s="541">
        <f t="shared" si="43"/>
        <v>22.369969990733352</v>
      </c>
      <c r="CC129" s="541">
        <f t="shared" si="43"/>
        <v>0</v>
      </c>
      <c r="CD129" s="541">
        <f t="shared" si="43"/>
        <v>-67.482788558171251</v>
      </c>
      <c r="CE129" s="541">
        <f t="shared" si="43"/>
        <v>23.111539095767967</v>
      </c>
      <c r="CF129" s="541">
        <f t="shared" si="43"/>
        <v>22.609114332817171</v>
      </c>
      <c r="CG129" s="541">
        <f t="shared" si="43"/>
        <v>0</v>
      </c>
      <c r="CH129" s="541">
        <f t="shared" si="43"/>
        <v>-67.89914204582692</v>
      </c>
      <c r="CI129" s="541">
        <f t="shared" si="43"/>
        <v>23.355258750902522</v>
      </c>
      <c r="CJ129" s="541">
        <f t="shared" si="43"/>
        <v>22.847535734578742</v>
      </c>
      <c r="CK129" s="541">
        <f t="shared" si="43"/>
        <v>0</v>
      </c>
      <c r="CL129" s="541">
        <f t="shared" si="43"/>
        <v>-68.298048823106001</v>
      </c>
      <c r="CM129" s="541">
        <f t="shared" si="43"/>
        <v>23.598063743624607</v>
      </c>
      <c r="CN129" s="541">
        <f t="shared" si="43"/>
        <v>23.085062357892639</v>
      </c>
      <c r="CO129" s="541">
        <f t="shared" si="43"/>
        <v>0</v>
      </c>
      <c r="CP129" s="541">
        <f t="shared" si="43"/>
        <v>-44.838650358511586</v>
      </c>
      <c r="CQ129" s="541">
        <f t="shared" si="43"/>
        <v>0</v>
      </c>
      <c r="CR129" s="541">
        <f t="shared" si="43"/>
        <v>23.321514401377499</v>
      </c>
      <c r="CS129" s="541">
        <f t="shared" si="43"/>
        <v>0</v>
      </c>
      <c r="CT129" s="541">
        <f t="shared" si="43"/>
        <v>-69.03912613103239</v>
      </c>
      <c r="CU129" s="541">
        <f t="shared" si="43"/>
        <v>24.080186117103494</v>
      </c>
      <c r="CV129" s="541">
        <f t="shared" si="43"/>
        <v>23.556703810209456</v>
      </c>
      <c r="CW129" s="541">
        <f t="shared" si="43"/>
        <v>0</v>
      </c>
      <c r="CX129" s="541">
        <f t="shared" si="43"/>
        <v>-69.378989379760696</v>
      </c>
      <c r="CY129" s="541">
        <f t="shared" si="43"/>
        <v>24.319110286910472</v>
      </c>
      <c r="CZ129" s="541">
        <f t="shared" si="43"/>
        <v>23.790433976325858</v>
      </c>
      <c r="DA129" s="541">
        <f t="shared" si="43"/>
        <v>0</v>
      </c>
      <c r="DB129" s="541">
        <f t="shared" si="43"/>
        <v>-69.696788345164805</v>
      </c>
      <c r="DC129" s="541">
        <f t="shared" si="43"/>
        <v>24.556332749349167</v>
      </c>
      <c r="DD129" s="541">
        <f t="shared" si="43"/>
        <v>24.022499428711399</v>
      </c>
      <c r="DE129" s="541">
        <f t="shared" si="43"/>
        <v>0</v>
      </c>
      <c r="DF129" s="541">
        <f t="shared" si="43"/>
        <v>-45.19961922631046</v>
      </c>
      <c r="DG129" s="541">
        <f t="shared" si="43"/>
        <v>0</v>
      </c>
      <c r="DH129" s="541">
        <f t="shared" si="43"/>
        <v>24.252685513467441</v>
      </c>
      <c r="DI129" s="541">
        <f t="shared" si="43"/>
        <v>0</v>
      </c>
      <c r="DJ129" s="541">
        <f t="shared" si="43"/>
        <v>-70.261065231833982</v>
      </c>
      <c r="DK129" s="541">
        <f t="shared" si="43"/>
        <v>25.024785131400222</v>
      </c>
      <c r="DL129" s="541">
        <f t="shared" si="43"/>
        <v>24.48076806332665</v>
      </c>
      <c r="DM129" s="541">
        <f t="shared" si="43"/>
        <v>0</v>
      </c>
      <c r="DN129" s="541">
        <f t="shared" si="43"/>
        <v>-70.504854095220253</v>
      </c>
      <c r="DO129" s="541">
        <f t="shared" si="43"/>
        <v>25.255546679757572</v>
      </c>
      <c r="DP129" s="541">
        <f t="shared" si="43"/>
        <v>24.706513056284621</v>
      </c>
      <c r="DQ129" s="541">
        <f t="shared" si="43"/>
        <v>0</v>
      </c>
      <c r="DR129" s="541">
        <f t="shared" si="43"/>
        <v>-70.721197144874168</v>
      </c>
      <c r="DS129" s="541">
        <f t="shared" si="43"/>
        <v>25.483669068865311</v>
      </c>
      <c r="DT129" s="541">
        <f t="shared" si="43"/>
        <v>24.92967626302061</v>
      </c>
      <c r="DU129" s="541">
        <f t="shared" si="43"/>
        <v>0</v>
      </c>
      <c r="DV129" s="541">
        <f t="shared" si="43"/>
        <v>-45.199725276542722</v>
      </c>
      <c r="DW129" s="541">
        <f t="shared" si="43"/>
        <v>0</v>
      </c>
      <c r="DX129" s="541">
        <f t="shared" si="43"/>
        <v>25.150002882733133</v>
      </c>
      <c r="DY129" s="541">
        <f t="shared" si="43"/>
        <v>0</v>
      </c>
      <c r="DZ129" s="541">
        <f t="shared" si="43"/>
        <v>-71.065580365133428</v>
      </c>
      <c r="EA129" s="541">
        <f t="shared" si="43"/>
        <v>25.930943326306078</v>
      </c>
      <c r="EB129" s="541">
        <f t="shared" si="43"/>
        <v>25.367227167037527</v>
      </c>
      <c r="EC129" s="541">
        <f t="shared" si="43"/>
        <v>0</v>
      </c>
      <c r="ED129" s="541">
        <f t="shared" si="43"/>
        <v>2308.4176722004668</v>
      </c>
      <c r="EE129" s="541">
        <f t="shared" si="43"/>
        <v>0</v>
      </c>
      <c r="EF129" s="541">
        <f t="shared" si="43"/>
        <v>0</v>
      </c>
      <c r="EG129" s="541">
        <f t="shared" si="43"/>
        <v>0</v>
      </c>
    </row>
    <row r="131" spans="5:7" ht="12.75">
      <c r="E131" s="535" t="str">
        <f>InpC!E$128</f>
        <v>Check tolerance</v>
      </c>
      <c r="F131" s="537">
        <f>InpC!F$128</f>
        <v>0.001</v>
      </c>
      <c r="G131" s="537" t="str">
        <f>InpC!G$128</f>
        <v>EUR 000s</v>
      </c>
    </row>
    <row r="132" spans="5:137" ht="12.75">
      <c r="E132" s="535" t="str">
        <f>Time!E$170</f>
        <v>Last model period flag</v>
      </c>
      <c r="G132" s="537" t="str">
        <f>Time!G$170</f>
        <v>flag</v>
      </c>
      <c r="H132" s="537">
        <f>Time!H$170</f>
        <v>1</v>
      </c>
      <c r="J132" s="537">
        <f>Time!J$170</f>
        <v>0</v>
      </c>
      <c r="K132" s="537">
        <f>Time!K$170</f>
        <v>0</v>
      </c>
      <c r="L132" s="537">
        <f>Time!L$170</f>
        <v>0</v>
      </c>
      <c r="M132" s="537">
        <f>Time!M$170</f>
        <v>0</v>
      </c>
      <c r="N132" s="537">
        <f>Time!N$170</f>
        <v>0</v>
      </c>
      <c r="O132" s="537">
        <f>Time!O$170</f>
        <v>0</v>
      </c>
      <c r="P132" s="537">
        <f>Time!P$170</f>
        <v>0</v>
      </c>
      <c r="Q132" s="537">
        <f>Time!Q$170</f>
        <v>0</v>
      </c>
      <c r="R132" s="537">
        <f>Time!R$170</f>
        <v>0</v>
      </c>
      <c r="S132" s="537">
        <f>Time!S$170</f>
        <v>0</v>
      </c>
      <c r="T132" s="537">
        <f>Time!T$170</f>
        <v>0</v>
      </c>
      <c r="U132" s="537">
        <f>Time!U$170</f>
        <v>0</v>
      </c>
      <c r="V132" s="537">
        <f>Time!V$170</f>
        <v>0</v>
      </c>
      <c r="W132" s="537">
        <f>Time!W$170</f>
        <v>0</v>
      </c>
      <c r="X132" s="537">
        <f>Time!X$170</f>
        <v>0</v>
      </c>
      <c r="Y132" s="537">
        <f>Time!Y$170</f>
        <v>0</v>
      </c>
      <c r="Z132" s="537">
        <f>Time!Z$170</f>
        <v>0</v>
      </c>
      <c r="AA132" s="537">
        <f>Time!AA$170</f>
        <v>0</v>
      </c>
      <c r="AB132" s="537">
        <f>Time!AB$170</f>
        <v>0</v>
      </c>
      <c r="AC132" s="537">
        <f>Time!AC$170</f>
        <v>0</v>
      </c>
      <c r="AD132" s="537">
        <f>Time!AD$170</f>
        <v>0</v>
      </c>
      <c r="AE132" s="537">
        <f>Time!AE$170</f>
        <v>0</v>
      </c>
      <c r="AF132" s="537">
        <f>Time!AF$170</f>
        <v>0</v>
      </c>
      <c r="AG132" s="537">
        <f>Time!AG$170</f>
        <v>0</v>
      </c>
      <c r="AH132" s="537">
        <f>Time!AH$170</f>
        <v>0</v>
      </c>
      <c r="AI132" s="537">
        <f>Time!AI$170</f>
        <v>0</v>
      </c>
      <c r="AJ132" s="537">
        <f>Time!AJ$170</f>
        <v>0</v>
      </c>
      <c r="AK132" s="537">
        <f>Time!AK$170</f>
        <v>0</v>
      </c>
      <c r="AL132" s="537">
        <f>Time!AL$170</f>
        <v>0</v>
      </c>
      <c r="AM132" s="537">
        <f>Time!AM$170</f>
        <v>0</v>
      </c>
      <c r="AN132" s="537">
        <f>Time!AN$170</f>
        <v>0</v>
      </c>
      <c r="AO132" s="537">
        <f>Time!AO$170</f>
        <v>0</v>
      </c>
      <c r="AP132" s="537">
        <f>Time!AP$170</f>
        <v>0</v>
      </c>
      <c r="AQ132" s="537">
        <f>Time!AQ$170</f>
        <v>0</v>
      </c>
      <c r="AR132" s="537">
        <f>Time!AR$170</f>
        <v>0</v>
      </c>
      <c r="AS132" s="537">
        <f>Time!AS$170</f>
        <v>0</v>
      </c>
      <c r="AT132" s="537">
        <f>Time!AT$170</f>
        <v>0</v>
      </c>
      <c r="AU132" s="537">
        <f>Time!AU$170</f>
        <v>0</v>
      </c>
      <c r="AV132" s="537">
        <f>Time!AV$170</f>
        <v>0</v>
      </c>
      <c r="AW132" s="537">
        <f>Time!AW$170</f>
        <v>0</v>
      </c>
      <c r="AX132" s="537">
        <f>Time!AX$170</f>
        <v>0</v>
      </c>
      <c r="AY132" s="537">
        <f>Time!AY$170</f>
        <v>0</v>
      </c>
      <c r="AZ132" s="537">
        <f>Time!AZ$170</f>
        <v>0</v>
      </c>
      <c r="BA132" s="537">
        <f>Time!BA$170</f>
        <v>0</v>
      </c>
      <c r="BB132" s="537">
        <f>Time!BB$170</f>
        <v>0</v>
      </c>
      <c r="BC132" s="537">
        <f>Time!BC$170</f>
        <v>0</v>
      </c>
      <c r="BD132" s="537">
        <f>Time!BD$170</f>
        <v>0</v>
      </c>
      <c r="BE132" s="537">
        <f>Time!BE$170</f>
        <v>0</v>
      </c>
      <c r="BF132" s="537">
        <f>Time!BF$170</f>
        <v>0</v>
      </c>
      <c r="BG132" s="537">
        <f>Time!BG$170</f>
        <v>0</v>
      </c>
      <c r="BH132" s="537">
        <f>Time!BH$170</f>
        <v>0</v>
      </c>
      <c r="BI132" s="537">
        <f>Time!BI$170</f>
        <v>0</v>
      </c>
      <c r="BJ132" s="537">
        <f>Time!BJ$170</f>
        <v>0</v>
      </c>
      <c r="BK132" s="537">
        <f>Time!BK$170</f>
        <v>0</v>
      </c>
      <c r="BL132" s="537">
        <f>Time!BL$170</f>
        <v>0</v>
      </c>
      <c r="BM132" s="537">
        <f>Time!BM$170</f>
        <v>0</v>
      </c>
      <c r="BN132" s="537">
        <f>Time!BN$170</f>
        <v>0</v>
      </c>
      <c r="BO132" s="537">
        <f>Time!BO$170</f>
        <v>0</v>
      </c>
      <c r="BP132" s="537">
        <f>Time!BP$170</f>
        <v>0</v>
      </c>
      <c r="BQ132" s="537">
        <f>Time!BQ$170</f>
        <v>0</v>
      </c>
      <c r="BR132" s="537">
        <f>Time!BR$170</f>
        <v>0</v>
      </c>
      <c r="BS132" s="537">
        <f>Time!BS$170</f>
        <v>0</v>
      </c>
      <c r="BT132" s="537">
        <f>Time!BT$170</f>
        <v>0</v>
      </c>
      <c r="BU132" s="537">
        <f>Time!BU$170</f>
        <v>0</v>
      </c>
      <c r="BV132" s="537">
        <f>Time!BV$170</f>
        <v>0</v>
      </c>
      <c r="BW132" s="537">
        <f>Time!BW$170</f>
        <v>0</v>
      </c>
      <c r="BX132" s="537">
        <f>Time!BX$170</f>
        <v>0</v>
      </c>
      <c r="BY132" s="537">
        <f>Time!BY$170</f>
        <v>0</v>
      </c>
      <c r="BZ132" s="537">
        <f>Time!BZ$170</f>
        <v>0</v>
      </c>
      <c r="CA132" s="537">
        <f>Time!CA$170</f>
        <v>0</v>
      </c>
      <c r="CB132" s="537">
        <f>Time!CB$170</f>
        <v>0</v>
      </c>
      <c r="CC132" s="537">
        <f>Time!CC$170</f>
        <v>0</v>
      </c>
      <c r="CD132" s="537">
        <f>Time!CD$170</f>
        <v>0</v>
      </c>
      <c r="CE132" s="537">
        <f>Time!CE$170</f>
        <v>0</v>
      </c>
      <c r="CF132" s="537">
        <f>Time!CF$170</f>
        <v>0</v>
      </c>
      <c r="CG132" s="537">
        <f>Time!CG$170</f>
        <v>0</v>
      </c>
      <c r="CH132" s="537">
        <f>Time!CH$170</f>
        <v>0</v>
      </c>
      <c r="CI132" s="537">
        <f>Time!CI$170</f>
        <v>0</v>
      </c>
      <c r="CJ132" s="537">
        <f>Time!CJ$170</f>
        <v>0</v>
      </c>
      <c r="CK132" s="537">
        <f>Time!CK$170</f>
        <v>0</v>
      </c>
      <c r="CL132" s="537">
        <f>Time!CL$170</f>
        <v>0</v>
      </c>
      <c r="CM132" s="537">
        <f>Time!CM$170</f>
        <v>0</v>
      </c>
      <c r="CN132" s="537">
        <f>Time!CN$170</f>
        <v>0</v>
      </c>
      <c r="CO132" s="537">
        <f>Time!CO$170</f>
        <v>0</v>
      </c>
      <c r="CP132" s="537">
        <f>Time!CP$170</f>
        <v>0</v>
      </c>
      <c r="CQ132" s="537">
        <f>Time!CQ$170</f>
        <v>0</v>
      </c>
      <c r="CR132" s="537">
        <f>Time!CR$170</f>
        <v>0</v>
      </c>
      <c r="CS132" s="537">
        <f>Time!CS$170</f>
        <v>0</v>
      </c>
      <c r="CT132" s="537">
        <f>Time!CT$170</f>
        <v>0</v>
      </c>
      <c r="CU132" s="537">
        <f>Time!CU$170</f>
        <v>0</v>
      </c>
      <c r="CV132" s="537">
        <f>Time!CV$170</f>
        <v>0</v>
      </c>
      <c r="CW132" s="537">
        <f>Time!CW$170</f>
        <v>0</v>
      </c>
      <c r="CX132" s="537">
        <f>Time!CX$170</f>
        <v>0</v>
      </c>
      <c r="CY132" s="537">
        <f>Time!CY$170</f>
        <v>0</v>
      </c>
      <c r="CZ132" s="537">
        <f>Time!CZ$170</f>
        <v>0</v>
      </c>
      <c r="DA132" s="537">
        <f>Time!DA$170</f>
        <v>0</v>
      </c>
      <c r="DB132" s="537">
        <f>Time!DB$170</f>
        <v>0</v>
      </c>
      <c r="DC132" s="537">
        <f>Time!DC$170</f>
        <v>0</v>
      </c>
      <c r="DD132" s="537">
        <f>Time!DD$170</f>
        <v>0</v>
      </c>
      <c r="DE132" s="537">
        <f>Time!DE$170</f>
        <v>0</v>
      </c>
      <c r="DF132" s="537">
        <f>Time!DF$170</f>
        <v>0</v>
      </c>
      <c r="DG132" s="537">
        <f>Time!DG$170</f>
        <v>0</v>
      </c>
      <c r="DH132" s="537">
        <f>Time!DH$170</f>
        <v>0</v>
      </c>
      <c r="DI132" s="537">
        <f>Time!DI$170</f>
        <v>0</v>
      </c>
      <c r="DJ132" s="537">
        <f>Time!DJ$170</f>
        <v>0</v>
      </c>
      <c r="DK132" s="537">
        <f>Time!DK$170</f>
        <v>0</v>
      </c>
      <c r="DL132" s="537">
        <f>Time!DL$170</f>
        <v>0</v>
      </c>
      <c r="DM132" s="537">
        <f>Time!DM$170</f>
        <v>0</v>
      </c>
      <c r="DN132" s="537">
        <f>Time!DN$170</f>
        <v>0</v>
      </c>
      <c r="DO132" s="537">
        <f>Time!DO$170</f>
        <v>0</v>
      </c>
      <c r="DP132" s="537">
        <f>Time!DP$170</f>
        <v>0</v>
      </c>
      <c r="DQ132" s="537">
        <f>Time!DQ$170</f>
        <v>0</v>
      </c>
      <c r="DR132" s="537">
        <f>Time!DR$170</f>
        <v>0</v>
      </c>
      <c r="DS132" s="537">
        <f>Time!DS$170</f>
        <v>0</v>
      </c>
      <c r="DT132" s="537">
        <f>Time!DT$170</f>
        <v>0</v>
      </c>
      <c r="DU132" s="537">
        <f>Time!DU$170</f>
        <v>0</v>
      </c>
      <c r="DV132" s="537">
        <f>Time!DV$170</f>
        <v>0</v>
      </c>
      <c r="DW132" s="537">
        <f>Time!DW$170</f>
        <v>0</v>
      </c>
      <c r="DX132" s="537">
        <f>Time!DX$170</f>
        <v>0</v>
      </c>
      <c r="DY132" s="537">
        <f>Time!DY$170</f>
        <v>0</v>
      </c>
      <c r="DZ132" s="537">
        <f>Time!DZ$170</f>
        <v>0</v>
      </c>
      <c r="EA132" s="537">
        <f>Time!EA$170</f>
        <v>0</v>
      </c>
      <c r="EB132" s="537">
        <f>Time!EB$170</f>
        <v>0</v>
      </c>
      <c r="EC132" s="537">
        <f>Time!EC$170</f>
        <v>0</v>
      </c>
      <c r="ED132" s="537">
        <f>Time!ED$170</f>
        <v>0</v>
      </c>
      <c r="EE132" s="537">
        <f>Time!EE$170</f>
        <v>0</v>
      </c>
      <c r="EF132" s="537">
        <f>Time!EF$170</f>
        <v>0</v>
      </c>
      <c r="EG132" s="537">
        <f>Time!EG$170</f>
        <v>1</v>
      </c>
    </row>
    <row r="133" spans="5:137" ht="12.75">
      <c r="E133" s="538" t="str">
        <f>E$111</f>
        <v>Receivables - closing balance</v>
      </c>
      <c r="G133" s="539" t="str">
        <f>G$111</f>
        <v>EUR 000s</v>
      </c>
      <c r="H133" s="539">
        <f>H$111</f>
        <v>525570.63057551137</v>
      </c>
      <c r="J133" s="539">
        <f t="shared" si="44" ref="J133:EG133">J$111</f>
        <v>0</v>
      </c>
      <c r="K133" s="539">
        <f t="shared" si="44"/>
        <v>0</v>
      </c>
      <c r="L133" s="539">
        <f t="shared" si="44"/>
        <v>0</v>
      </c>
      <c r="M133" s="539">
        <f t="shared" si="44"/>
        <v>0</v>
      </c>
      <c r="N133" s="539">
        <f t="shared" si="44"/>
        <v>0</v>
      </c>
      <c r="O133" s="539">
        <f t="shared" si="44"/>
        <v>0</v>
      </c>
      <c r="P133" s="539">
        <f t="shared" si="44"/>
        <v>0</v>
      </c>
      <c r="Q133" s="539">
        <f t="shared" si="44"/>
        <v>0</v>
      </c>
      <c r="R133" s="539">
        <f t="shared" si="44"/>
        <v>0</v>
      </c>
      <c r="S133" s="539">
        <f t="shared" si="44"/>
        <v>0</v>
      </c>
      <c r="T133" s="539">
        <f t="shared" si="44"/>
        <v>0</v>
      </c>
      <c r="U133" s="539">
        <f t="shared" si="44"/>
        <v>0</v>
      </c>
      <c r="V133" s="539">
        <f t="shared" si="44"/>
        <v>0</v>
      </c>
      <c r="W133" s="539">
        <f t="shared" si="44"/>
        <v>0</v>
      </c>
      <c r="X133" s="539">
        <f t="shared" si="44"/>
        <v>0</v>
      </c>
      <c r="Y133" s="539">
        <f t="shared" si="44"/>
        <v>0</v>
      </c>
      <c r="Z133" s="539">
        <f t="shared" si="44"/>
        <v>0</v>
      </c>
      <c r="AA133" s="539">
        <f t="shared" si="44"/>
        <v>0</v>
      </c>
      <c r="AB133" s="539">
        <f t="shared" si="44"/>
        <v>0</v>
      </c>
      <c r="AC133" s="539">
        <f t="shared" si="44"/>
        <v>0</v>
      </c>
      <c r="AD133" s="539">
        <f t="shared" si="44"/>
        <v>0</v>
      </c>
      <c r="AE133" s="539">
        <f t="shared" si="44"/>
        <v>0</v>
      </c>
      <c r="AF133" s="539">
        <f t="shared" si="44"/>
        <v>0</v>
      </c>
      <c r="AG133" s="539">
        <f t="shared" si="44"/>
        <v>0</v>
      </c>
      <c r="AH133" s="539">
        <f t="shared" si="44"/>
        <v>4161.6000000000004</v>
      </c>
      <c r="AI133" s="539">
        <f t="shared" si="44"/>
        <v>4115.868131868132</v>
      </c>
      <c r="AJ133" s="539">
        <f t="shared" si="44"/>
        <v>4071.1304347826085</v>
      </c>
      <c r="AK133" s="539">
        <f t="shared" si="44"/>
        <v>4071.1304347826085</v>
      </c>
      <c r="AL133" s="539">
        <f t="shared" si="44"/>
        <v>4244.8320000000003</v>
      </c>
      <c r="AM133" s="539">
        <f t="shared" si="44"/>
        <v>4198.1854945054947</v>
      </c>
      <c r="AN133" s="539">
        <f t="shared" si="44"/>
        <v>4152.5530434782613</v>
      </c>
      <c r="AO133" s="539">
        <f t="shared" si="44"/>
        <v>4152.5530434782613</v>
      </c>
      <c r="AP133" s="539">
        <f t="shared" si="44"/>
        <v>4329.7286400000003</v>
      </c>
      <c r="AQ133" s="539">
        <f t="shared" si="44"/>
        <v>4282.149204395605</v>
      </c>
      <c r="AR133" s="539">
        <f t="shared" si="44"/>
        <v>4235.6041043478263</v>
      </c>
      <c r="AS133" s="539">
        <f t="shared" si="44"/>
        <v>4235.6041043478263</v>
      </c>
      <c r="AT133" s="539">
        <f t="shared" si="44"/>
        <v>4367.7921884835159</v>
      </c>
      <c r="AU133" s="539">
        <f t="shared" si="44"/>
        <v>4367.7921884835159</v>
      </c>
      <c r="AV133" s="539">
        <f t="shared" si="44"/>
        <v>4320.3161864347821</v>
      </c>
      <c r="AW133" s="539">
        <f t="shared" si="44"/>
        <v>4320.3161864347821</v>
      </c>
      <c r="AX133" s="539">
        <f t="shared" si="44"/>
        <v>4504.6496770559997</v>
      </c>
      <c r="AY133" s="539">
        <f t="shared" si="44"/>
        <v>4455.148032253187</v>
      </c>
      <c r="AZ133" s="539">
        <f t="shared" si="44"/>
        <v>4406.7225101634776</v>
      </c>
      <c r="BA133" s="539">
        <f t="shared" si="44"/>
        <v>4406.7225101634776</v>
      </c>
      <c r="BB133" s="539">
        <f t="shared" si="44"/>
        <v>4594.7426705971202</v>
      </c>
      <c r="BC133" s="539">
        <f t="shared" si="44"/>
        <v>4544.2509928982508</v>
      </c>
      <c r="BD133" s="539">
        <f t="shared" si="44"/>
        <v>4494.8569603667484</v>
      </c>
      <c r="BE133" s="539">
        <f t="shared" si="44"/>
        <v>4494.8569603667484</v>
      </c>
      <c r="BF133" s="539">
        <f t="shared" si="44"/>
        <v>4686.6375240090629</v>
      </c>
      <c r="BG133" s="539">
        <f t="shared" si="44"/>
        <v>4635.1360127562166</v>
      </c>
      <c r="BH133" s="539">
        <f t="shared" si="44"/>
        <v>4584.7540995740837</v>
      </c>
      <c r="BI133" s="539">
        <f t="shared" si="44"/>
        <v>4584.7540995740837</v>
      </c>
      <c r="BJ133" s="539">
        <f t="shared" si="44"/>
        <v>4727.8387330113401</v>
      </c>
      <c r="BK133" s="539">
        <f t="shared" si="44"/>
        <v>4727.8387330113401</v>
      </c>
      <c r="BL133" s="539">
        <f t="shared" si="44"/>
        <v>4676.4491815655647</v>
      </c>
      <c r="BM133" s="539">
        <f t="shared" si="44"/>
        <v>4676.4491815655647</v>
      </c>
      <c r="BN133" s="539">
        <f t="shared" si="44"/>
        <v>4875.9776799790297</v>
      </c>
      <c r="BO133" s="539">
        <f t="shared" si="44"/>
        <v>4822.3955076715674</v>
      </c>
      <c r="BP133" s="539">
        <f t="shared" si="44"/>
        <v>4769.9781651968769</v>
      </c>
      <c r="BQ133" s="539">
        <f t="shared" si="44"/>
        <v>4769.9781651968769</v>
      </c>
      <c r="BR133" s="539">
        <f t="shared" si="44"/>
        <v>4973.4972335786097</v>
      </c>
      <c r="BS133" s="539">
        <f t="shared" si="44"/>
        <v>4918.8434178249991</v>
      </c>
      <c r="BT133" s="539">
        <f t="shared" si="44"/>
        <v>4865.3777285008136</v>
      </c>
      <c r="BU133" s="539">
        <f t="shared" si="44"/>
        <v>4865.3777285008136</v>
      </c>
      <c r="BV133" s="539">
        <f t="shared" si="44"/>
        <v>5072.9671782501828</v>
      </c>
      <c r="BW133" s="539">
        <f t="shared" si="44"/>
        <v>5017.2202861814994</v>
      </c>
      <c r="BX133" s="539">
        <f t="shared" si="44"/>
        <v>4962.6852830708303</v>
      </c>
      <c r="BY133" s="539">
        <f t="shared" si="44"/>
        <v>4962.6852830708303</v>
      </c>
      <c r="BZ133" s="539">
        <f t="shared" si="44"/>
        <v>5117.5646919051278</v>
      </c>
      <c r="CA133" s="539">
        <f t="shared" si="44"/>
        <v>5117.5646919051278</v>
      </c>
      <c r="CB133" s="539">
        <f t="shared" si="44"/>
        <v>5061.9389887322459</v>
      </c>
      <c r="CC133" s="539">
        <f t="shared" si="44"/>
        <v>5061.9389887322459</v>
      </c>
      <c r="CD133" s="539">
        <f t="shared" si="44"/>
        <v>5277.9150522514892</v>
      </c>
      <c r="CE133" s="539">
        <f t="shared" si="44"/>
        <v>5219.9159857432314</v>
      </c>
      <c r="CF133" s="539">
        <f t="shared" si="44"/>
        <v>5163.1777685068919</v>
      </c>
      <c r="CG133" s="539">
        <f t="shared" si="44"/>
        <v>5163.1777685068919</v>
      </c>
      <c r="CH133" s="539">
        <f t="shared" si="44"/>
        <v>5383.4733532965192</v>
      </c>
      <c r="CI133" s="539">
        <f t="shared" si="44"/>
        <v>5324.314305458096</v>
      </c>
      <c r="CJ133" s="539">
        <f t="shared" si="44"/>
        <v>5266.4413238770303</v>
      </c>
      <c r="CK133" s="539">
        <f t="shared" si="44"/>
        <v>5266.4413238770303</v>
      </c>
      <c r="CL133" s="539">
        <f t="shared" si="44"/>
        <v>5491.1428203624509</v>
      </c>
      <c r="CM133" s="539">
        <f t="shared" si="44"/>
        <v>5430.8005915672584</v>
      </c>
      <c r="CN133" s="539">
        <f t="shared" si="44"/>
        <v>5371.7701503545713</v>
      </c>
      <c r="CO133" s="539">
        <f t="shared" si="44"/>
        <v>5371.7701503545713</v>
      </c>
      <c r="CP133" s="539">
        <f t="shared" si="44"/>
        <v>5539.416603398603</v>
      </c>
      <c r="CQ133" s="539">
        <f t="shared" si="44"/>
        <v>5539.416603398603</v>
      </c>
      <c r="CR133" s="539">
        <f t="shared" si="44"/>
        <v>5479.2055533616622</v>
      </c>
      <c r="CS133" s="539">
        <f t="shared" si="44"/>
        <v>5479.2055533616622</v>
      </c>
      <c r="CT133" s="539">
        <f t="shared" si="44"/>
        <v>5712.9849903050936</v>
      </c>
      <c r="CU133" s="539">
        <f t="shared" si="44"/>
        <v>5650.204935466576</v>
      </c>
      <c r="CV133" s="539">
        <f t="shared" si="44"/>
        <v>5588.7896644288967</v>
      </c>
      <c r="CW133" s="539">
        <f t="shared" si="44"/>
        <v>5588.7896644288967</v>
      </c>
      <c r="CX133" s="539">
        <f t="shared" si="44"/>
        <v>5827.2446901111953</v>
      </c>
      <c r="CY133" s="539">
        <f t="shared" si="44"/>
        <v>5763.2090341759076</v>
      </c>
      <c r="CZ133" s="539">
        <f t="shared" si="44"/>
        <v>5700.5654577174737</v>
      </c>
      <c r="DA133" s="539">
        <f t="shared" si="44"/>
        <v>5700.5654577174737</v>
      </c>
      <c r="DB133" s="539">
        <f t="shared" si="44"/>
        <v>5943.7895839134189</v>
      </c>
      <c r="DC133" s="539">
        <f t="shared" si="44"/>
        <v>5878.4732148594258</v>
      </c>
      <c r="DD133" s="539">
        <f t="shared" si="44"/>
        <v>5814.5767668718236</v>
      </c>
      <c r="DE133" s="539">
        <f t="shared" si="44"/>
        <v>5814.5767668718236</v>
      </c>
      <c r="DF133" s="539">
        <f t="shared" si="44"/>
        <v>5996.0426791566151</v>
      </c>
      <c r="DG133" s="539">
        <f t="shared" si="44"/>
        <v>5996.0426791566151</v>
      </c>
      <c r="DH133" s="539">
        <f t="shared" si="44"/>
        <v>5930.8683022092609</v>
      </c>
      <c r="DI133" s="539">
        <f t="shared" si="44"/>
        <v>5930.8683022092609</v>
      </c>
      <c r="DJ133" s="539">
        <f t="shared" si="44"/>
        <v>6183.9186831035222</v>
      </c>
      <c r="DK133" s="539">
        <f t="shared" si="44"/>
        <v>6115.9635327397473</v>
      </c>
      <c r="DL133" s="539">
        <f t="shared" si="44"/>
        <v>6049.4856682534455</v>
      </c>
      <c r="DM133" s="539">
        <f t="shared" si="44"/>
        <v>6049.4856682534455</v>
      </c>
      <c r="DN133" s="539">
        <f t="shared" si="44"/>
        <v>6307.5970567655932</v>
      </c>
      <c r="DO133" s="539">
        <f t="shared" si="44"/>
        <v>6238.2828033945425</v>
      </c>
      <c r="DP133" s="539">
        <f t="shared" si="44"/>
        <v>6170.4753816185148</v>
      </c>
      <c r="DQ133" s="539">
        <f t="shared" si="44"/>
        <v>6170.4753816185148</v>
      </c>
      <c r="DR133" s="539">
        <f t="shared" si="44"/>
        <v>6433.7489979009042</v>
      </c>
      <c r="DS133" s="539">
        <f t="shared" si="44"/>
        <v>6363.0484594624322</v>
      </c>
      <c r="DT133" s="539">
        <f t="shared" si="44"/>
        <v>6293.884889250884</v>
      </c>
      <c r="DU133" s="539">
        <f t="shared" si="44"/>
        <v>6293.884889250884</v>
      </c>
      <c r="DV133" s="539">
        <f t="shared" si="44"/>
        <v>6490.3094286516816</v>
      </c>
      <c r="DW133" s="539">
        <f t="shared" si="44"/>
        <v>6490.3094286516816</v>
      </c>
      <c r="DX133" s="539">
        <f t="shared" si="44"/>
        <v>6419.7625870359025</v>
      </c>
      <c r="DY133" s="539">
        <f t="shared" si="44"/>
        <v>6419.7625870359025</v>
      </c>
      <c r="DZ133" s="539">
        <f t="shared" si="44"/>
        <v>6693.6724574161008</v>
      </c>
      <c r="EA133" s="539">
        <f t="shared" si="44"/>
        <v>6620.1156172247147</v>
      </c>
      <c r="EB133" s="539">
        <f t="shared" si="44"/>
        <v>6548.1578387766203</v>
      </c>
      <c r="EC133" s="539">
        <f t="shared" si="44"/>
        <v>6548.1578387766203</v>
      </c>
      <c r="ED133" s="539">
        <f t="shared" si="44"/>
        <v>0</v>
      </c>
      <c r="EE133" s="539">
        <f t="shared" si="44"/>
        <v>0</v>
      </c>
      <c r="EF133" s="539">
        <f t="shared" si="44"/>
        <v>0</v>
      </c>
      <c r="EG133" s="539">
        <f t="shared" si="44"/>
        <v>0</v>
      </c>
    </row>
    <row r="134" spans="5:137" ht="12.75">
      <c r="E134" s="538" t="str">
        <f>E$121</f>
        <v>Payables - closing balance</v>
      </c>
      <c r="G134" s="539" t="str">
        <f>G$121</f>
        <v>EUR 000s</v>
      </c>
      <c r="H134" s="539">
        <f>H$121</f>
        <v>318446.08117995952</v>
      </c>
      <c r="J134" s="539">
        <f t="shared" si="45" ref="J134:EG134">J$121</f>
        <v>0</v>
      </c>
      <c r="K134" s="539">
        <f t="shared" si="45"/>
        <v>0</v>
      </c>
      <c r="L134" s="539">
        <f t="shared" si="45"/>
        <v>0</v>
      </c>
      <c r="M134" s="539">
        <f t="shared" si="45"/>
        <v>0</v>
      </c>
      <c r="N134" s="539">
        <f t="shared" si="45"/>
        <v>0</v>
      </c>
      <c r="O134" s="539">
        <f t="shared" si="45"/>
        <v>0</v>
      </c>
      <c r="P134" s="539">
        <f t="shared" si="45"/>
        <v>0</v>
      </c>
      <c r="Q134" s="539">
        <f t="shared" si="45"/>
        <v>0</v>
      </c>
      <c r="R134" s="539">
        <f t="shared" si="45"/>
        <v>0</v>
      </c>
      <c r="S134" s="539">
        <f t="shared" si="45"/>
        <v>0</v>
      </c>
      <c r="T134" s="539">
        <f t="shared" si="45"/>
        <v>0</v>
      </c>
      <c r="U134" s="539">
        <f t="shared" si="45"/>
        <v>0</v>
      </c>
      <c r="V134" s="539">
        <f t="shared" si="45"/>
        <v>0</v>
      </c>
      <c r="W134" s="539">
        <f t="shared" si="45"/>
        <v>0</v>
      </c>
      <c r="X134" s="539">
        <f t="shared" si="45"/>
        <v>0</v>
      </c>
      <c r="Y134" s="539">
        <f t="shared" si="45"/>
        <v>0</v>
      </c>
      <c r="Z134" s="539">
        <f t="shared" si="45"/>
        <v>0</v>
      </c>
      <c r="AA134" s="539">
        <f t="shared" si="45"/>
        <v>0</v>
      </c>
      <c r="AB134" s="539">
        <f t="shared" si="45"/>
        <v>0</v>
      </c>
      <c r="AC134" s="539">
        <f t="shared" si="45"/>
        <v>0</v>
      </c>
      <c r="AD134" s="539">
        <f t="shared" si="45"/>
        <v>0</v>
      </c>
      <c r="AE134" s="539">
        <f t="shared" si="45"/>
        <v>0</v>
      </c>
      <c r="AF134" s="539">
        <f t="shared" si="45"/>
        <v>0</v>
      </c>
      <c r="AG134" s="539">
        <f t="shared" si="45"/>
        <v>0</v>
      </c>
      <c r="AH134" s="539">
        <f t="shared" si="45"/>
        <v>2325.9327083333333</v>
      </c>
      <c r="AI134" s="539">
        <f t="shared" si="45"/>
        <v>2300.3730082417578</v>
      </c>
      <c r="AJ134" s="539">
        <f t="shared" si="45"/>
        <v>2275.3689538043477</v>
      </c>
      <c r="AK134" s="539">
        <f t="shared" si="45"/>
        <v>2275.3689538043477</v>
      </c>
      <c r="AL134" s="539">
        <f t="shared" si="45"/>
        <v>2387.0469093750003</v>
      </c>
      <c r="AM134" s="539">
        <f t="shared" si="45"/>
        <v>2360.8156246565936</v>
      </c>
      <c r="AN134" s="539">
        <f t="shared" si="45"/>
        <v>2335.1545852581521</v>
      </c>
      <c r="AO134" s="539">
        <f t="shared" si="45"/>
        <v>2335.1545852581521</v>
      </c>
      <c r="AP134" s="539">
        <f t="shared" si="45"/>
        <v>2449.7591539427081</v>
      </c>
      <c r="AQ134" s="539">
        <f t="shared" si="45"/>
        <v>2422.8387236796016</v>
      </c>
      <c r="AR134" s="539">
        <f t="shared" si="45"/>
        <v>2396.503520161345</v>
      </c>
      <c r="AS134" s="539">
        <f t="shared" si="45"/>
        <v>2396.503520161345</v>
      </c>
      <c r="AT134" s="539">
        <f t="shared" si="45"/>
        <v>2486.4845172721407</v>
      </c>
      <c r="AU134" s="539">
        <f t="shared" si="45"/>
        <v>2486.4845172721407</v>
      </c>
      <c r="AV134" s="539">
        <f t="shared" si="45"/>
        <v>2459.4575116496176</v>
      </c>
      <c r="AW134" s="539">
        <f t="shared" si="45"/>
        <v>2459.4575116496176</v>
      </c>
      <c r="AX134" s="539">
        <f t="shared" si="45"/>
        <v>2580.1496589950834</v>
      </c>
      <c r="AY134" s="539">
        <f t="shared" si="45"/>
        <v>2551.7963660390933</v>
      </c>
      <c r="AZ134" s="539">
        <f t="shared" si="45"/>
        <v>2524.0594490169292</v>
      </c>
      <c r="BA134" s="539">
        <f t="shared" si="45"/>
        <v>2524.0594490169292</v>
      </c>
      <c r="BB134" s="539">
        <f t="shared" si="45"/>
        <v>2647.9167977810389</v>
      </c>
      <c r="BC134" s="539">
        <f t="shared" si="45"/>
        <v>2618.8188109922366</v>
      </c>
      <c r="BD134" s="539">
        <f t="shared" si="45"/>
        <v>2590.3533891336251</v>
      </c>
      <c r="BE134" s="539">
        <f t="shared" si="45"/>
        <v>2590.3533891336251</v>
      </c>
      <c r="BF134" s="539">
        <f t="shared" si="45"/>
        <v>2717.4598018285537</v>
      </c>
      <c r="BG134" s="539">
        <f t="shared" si="45"/>
        <v>2687.597606204064</v>
      </c>
      <c r="BH134" s="539">
        <f t="shared" si="45"/>
        <v>2658.3845887453244</v>
      </c>
      <c r="BI134" s="539">
        <f t="shared" si="45"/>
        <v>2658.3845887453244</v>
      </c>
      <c r="BJ134" s="539">
        <f t="shared" si="45"/>
        <v>2758.1797523772948</v>
      </c>
      <c r="BK134" s="539">
        <f t="shared" si="45"/>
        <v>2758.1797523772948</v>
      </c>
      <c r="BL134" s="539">
        <f t="shared" si="45"/>
        <v>2728.1995376775417</v>
      </c>
      <c r="BM134" s="539">
        <f t="shared" si="45"/>
        <v>2728.1995376775417</v>
      </c>
      <c r="BN134" s="539">
        <f t="shared" si="45"/>
        <v>2862.0647928155563</v>
      </c>
      <c r="BO134" s="539">
        <f t="shared" si="45"/>
        <v>2830.6135313560449</v>
      </c>
      <c r="BP134" s="539">
        <f t="shared" si="45"/>
        <v>2799.8459929717401</v>
      </c>
      <c r="BQ134" s="539">
        <f t="shared" si="45"/>
        <v>2799.8459929717401</v>
      </c>
      <c r="BR134" s="539">
        <f t="shared" si="45"/>
        <v>2937.225747623228</v>
      </c>
      <c r="BS134" s="539">
        <f t="shared" si="45"/>
        <v>2904.9485416053903</v>
      </c>
      <c r="BT134" s="539">
        <f t="shared" si="45"/>
        <v>2873.3730139792447</v>
      </c>
      <c r="BU134" s="539">
        <f t="shared" si="45"/>
        <v>2873.3730139792447</v>
      </c>
      <c r="BV134" s="539">
        <f t="shared" si="45"/>
        <v>3014.3605761833096</v>
      </c>
      <c r="BW134" s="539">
        <f t="shared" si="45"/>
        <v>2981.2357346867898</v>
      </c>
      <c r="BX134" s="539">
        <f t="shared" si="45"/>
        <v>2948.830998440194</v>
      </c>
      <c r="BY134" s="539">
        <f t="shared" si="45"/>
        <v>2948.830998440194</v>
      </c>
      <c r="BZ134" s="539">
        <f t="shared" si="45"/>
        <v>3059.5274527576462</v>
      </c>
      <c r="CA134" s="539">
        <f t="shared" si="45"/>
        <v>3059.5274527576462</v>
      </c>
      <c r="CB134" s="539">
        <f t="shared" si="45"/>
        <v>3026.2717195754976</v>
      </c>
      <c r="CC134" s="539">
        <f t="shared" si="45"/>
        <v>3026.2717195754976</v>
      </c>
      <c r="CD134" s="539">
        <f t="shared" si="45"/>
        <v>3174.7649945365697</v>
      </c>
      <c r="CE134" s="539">
        <f t="shared" si="45"/>
        <v>3139.8774671240799</v>
      </c>
      <c r="CF134" s="539">
        <f t="shared" si="45"/>
        <v>3105.7483642205575</v>
      </c>
      <c r="CG134" s="539">
        <f t="shared" si="45"/>
        <v>3105.7483642205575</v>
      </c>
      <c r="CH134" s="539">
        <f t="shared" si="45"/>
        <v>3258.1448069643579</v>
      </c>
      <c r="CI134" s="539">
        <f t="shared" si="45"/>
        <v>3222.3410178768372</v>
      </c>
      <c r="CJ134" s="539">
        <f t="shared" si="45"/>
        <v>3187.3155720303503</v>
      </c>
      <c r="CK134" s="539">
        <f t="shared" si="45"/>
        <v>3187.3155720303503</v>
      </c>
      <c r="CL134" s="539">
        <f t="shared" si="45"/>
        <v>3343.7190196926649</v>
      </c>
      <c r="CM134" s="539">
        <f t="shared" si="45"/>
        <v>3306.974854641097</v>
      </c>
      <c r="CN134" s="539">
        <f t="shared" si="45"/>
        <v>3271.0294757863026</v>
      </c>
      <c r="CO134" s="539">
        <f t="shared" si="45"/>
        <v>3271.0294757863026</v>
      </c>
      <c r="CP134" s="539">
        <f t="shared" si="45"/>
        <v>3393.8372784718226</v>
      </c>
      <c r="CQ134" s="539">
        <f t="shared" si="45"/>
        <v>3393.8372784718226</v>
      </c>
      <c r="CR134" s="539">
        <f t="shared" si="45"/>
        <v>3356.9477428362593</v>
      </c>
      <c r="CS134" s="539">
        <f t="shared" si="45"/>
        <v>3356.9477428362593</v>
      </c>
      <c r="CT134" s="539">
        <f t="shared" si="45"/>
        <v>3521.6880536486583</v>
      </c>
      <c r="CU134" s="539">
        <f t="shared" si="45"/>
        <v>3482.9881849272442</v>
      </c>
      <c r="CV134" s="539">
        <f t="shared" si="45"/>
        <v>3445.1296176997744</v>
      </c>
      <c r="CW134" s="539">
        <f t="shared" si="45"/>
        <v>3445.1296176997744</v>
      </c>
      <c r="CX134" s="539">
        <f t="shared" si="45"/>
        <v>3614.2056540023123</v>
      </c>
      <c r="CY134" s="539">
        <f t="shared" si="45"/>
        <v>3574.4891083539351</v>
      </c>
      <c r="CZ134" s="539">
        <f t="shared" si="45"/>
        <v>3535.635965871827</v>
      </c>
      <c r="DA134" s="539">
        <f t="shared" si="45"/>
        <v>3535.635965871827</v>
      </c>
      <c r="DB134" s="539">
        <f t="shared" si="45"/>
        <v>3709.1633037226075</v>
      </c>
      <c r="DC134" s="539">
        <f t="shared" si="45"/>
        <v>3668.4032674179634</v>
      </c>
      <c r="DD134" s="539">
        <f t="shared" si="45"/>
        <v>3628.5293188590726</v>
      </c>
      <c r="DE134" s="539">
        <f t="shared" si="45"/>
        <v>3628.5293188590726</v>
      </c>
      <c r="DF134" s="539">
        <f t="shared" si="45"/>
        <v>3764.7956119175537</v>
      </c>
      <c r="DG134" s="539">
        <f t="shared" si="45"/>
        <v>3764.7956119175537</v>
      </c>
      <c r="DH134" s="539">
        <f t="shared" si="45"/>
        <v>3723.873920483667</v>
      </c>
      <c r="DI134" s="539">
        <f t="shared" si="45"/>
        <v>3723.873920483667</v>
      </c>
      <c r="DJ134" s="539">
        <f t="shared" si="45"/>
        <v>3906.6632361460943</v>
      </c>
      <c r="DK134" s="539">
        <f t="shared" si="45"/>
        <v>3863.7328709137196</v>
      </c>
      <c r="DL134" s="539">
        <f t="shared" si="45"/>
        <v>3821.7357744907445</v>
      </c>
      <c r="DM134" s="539">
        <f t="shared" si="45"/>
        <v>3821.7357744907445</v>
      </c>
      <c r="DN134" s="539">
        <f t="shared" si="45"/>
        <v>4009.3423089076718</v>
      </c>
      <c r="DO134" s="539">
        <f t="shared" si="45"/>
        <v>3965.2836022163788</v>
      </c>
      <c r="DP134" s="539">
        <f t="shared" si="45"/>
        <v>3922.1826934966357</v>
      </c>
      <c r="DQ134" s="539">
        <f t="shared" si="45"/>
        <v>3922.1826934966357</v>
      </c>
      <c r="DR134" s="539">
        <f t="shared" si="45"/>
        <v>4114.7351126341509</v>
      </c>
      <c r="DS134" s="539">
        <f t="shared" si="45"/>
        <v>4069.5182432645443</v>
      </c>
      <c r="DT134" s="539">
        <f t="shared" si="45"/>
        <v>4025.2843493160167</v>
      </c>
      <c r="DU134" s="539">
        <f t="shared" si="45"/>
        <v>4025.2843493160167</v>
      </c>
      <c r="DV134" s="539">
        <f t="shared" si="45"/>
        <v>4176.5091634402715</v>
      </c>
      <c r="DW134" s="539">
        <f t="shared" si="45"/>
        <v>4176.5091634402715</v>
      </c>
      <c r="DX134" s="539">
        <f t="shared" si="45"/>
        <v>4131.1123247072255</v>
      </c>
      <c r="DY134" s="539">
        <f t="shared" si="45"/>
        <v>4131.1123247072255</v>
      </c>
      <c r="DZ134" s="539">
        <f t="shared" si="45"/>
        <v>4333.9566147222904</v>
      </c>
      <c r="EA134" s="539">
        <f t="shared" si="45"/>
        <v>4286.3307178572104</v>
      </c>
      <c r="EB134" s="539">
        <f t="shared" si="45"/>
        <v>4239.7401665761536</v>
      </c>
      <c r="EC134" s="539">
        <f t="shared" si="45"/>
        <v>4239.7401665761536</v>
      </c>
      <c r="ED134" s="539">
        <f t="shared" si="45"/>
        <v>0</v>
      </c>
      <c r="EE134" s="539">
        <f t="shared" si="45"/>
        <v>0</v>
      </c>
      <c r="EF134" s="539">
        <f t="shared" si="45"/>
        <v>0</v>
      </c>
      <c r="EG134" s="539">
        <f t="shared" si="45"/>
        <v>0</v>
      </c>
    </row>
    <row r="135" spans="5:7" ht="12.75">
      <c r="E135" s="540" t="s">
        <v>278</v>
      </c>
      <c r="F135" s="543">
        <f>IF(ABS(SUMIFS($J133:$EG133,$J132:$EG132,1)+SUMIFS($J134:$EG134,$J132:$EG132,1))&gt;$F131,1,0)</f>
        <v>0</v>
      </c>
      <c r="G135" s="541" t="s">
        <v>224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35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outlinePr summaryBelow="0" summaryRight="0"/>
  </sheetPr>
  <dimension ref="A1:RL85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Assets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279</v>
      </c>
    </row>
    <row r="9" spans="2:2" ht="12.75">
      <c r="B9" s="534" t="s">
        <v>280</v>
      </c>
    </row>
    <row r="10" spans="5:7" ht="12.75">
      <c r="E10" s="535" t="str">
        <f>Time!E$21</f>
        <v>End of construction period date</v>
      </c>
      <c r="F10" s="536">
        <f>Time!F$21</f>
        <v>47118</v>
      </c>
      <c r="G10" s="536" t="str">
        <f>Time!G$21</f>
        <v>date</v>
      </c>
    </row>
    <row r="11" spans="5:137" ht="12.75">
      <c r="E11" s="535" t="str">
        <f>Cons!E$48</f>
        <v>Capex - total</v>
      </c>
      <c r="G11" s="537" t="str">
        <f>Cons!G$48</f>
        <v>EUR 000s</v>
      </c>
      <c r="H11" s="537">
        <f>Cons!H$48</f>
        <v>291552.5</v>
      </c>
      <c r="J11" s="537">
        <f>Cons!J$48</f>
        <v>0</v>
      </c>
      <c r="K11" s="537">
        <f>Cons!K$48</f>
        <v>0</v>
      </c>
      <c r="L11" s="537">
        <f>Cons!L$48</f>
        <v>8000</v>
      </c>
      <c r="M11" s="537">
        <f>Cons!M$48</f>
        <v>13291.5625</v>
      </c>
      <c r="N11" s="537">
        <f>Cons!N$48</f>
        <v>13619.6875</v>
      </c>
      <c r="O11" s="537">
        <f>Cons!O$48</f>
        <v>13291.5625</v>
      </c>
      <c r="P11" s="537">
        <f>Cons!P$48</f>
        <v>13619.6875</v>
      </c>
      <c r="Q11" s="537">
        <f>Cons!Q$48</f>
        <v>13291.5625</v>
      </c>
      <c r="R11" s="537">
        <f>Cons!R$48</f>
        <v>16941.953125</v>
      </c>
      <c r="S11" s="537">
        <f>Cons!S$48</f>
        <v>17639.21875</v>
      </c>
      <c r="T11" s="537">
        <f>Cons!T$48</f>
        <v>17967.34375</v>
      </c>
      <c r="U11" s="537">
        <f>Cons!U$48</f>
        <v>18295.46875</v>
      </c>
      <c r="V11" s="537">
        <f>Cons!V$48</f>
        <v>16982.96875</v>
      </c>
      <c r="W11" s="537">
        <f>Cons!W$48</f>
        <v>16818.90625</v>
      </c>
      <c r="X11" s="537">
        <f>Cons!X$48</f>
        <v>15014.21875</v>
      </c>
      <c r="Y11" s="537">
        <f>Cons!Y$48</f>
        <v>13045.46875</v>
      </c>
      <c r="Z11" s="537">
        <f>Cons!Z$48</f>
        <v>12061.09375</v>
      </c>
      <c r="AA11" s="537">
        <f>Cons!AA$48</f>
        <v>13537.65625</v>
      </c>
      <c r="AB11" s="537">
        <f>Cons!AB$48</f>
        <v>14193.90625</v>
      </c>
      <c r="AC11" s="537">
        <f>Cons!AC$48</f>
        <v>14029.84375</v>
      </c>
      <c r="AD11" s="537">
        <f>Cons!AD$48</f>
        <v>12676.328125</v>
      </c>
      <c r="AE11" s="537">
        <f>Cons!AE$48</f>
        <v>7549.375</v>
      </c>
      <c r="AF11" s="537">
        <f>Cons!AF$48</f>
        <v>5744.6875</v>
      </c>
      <c r="AG11" s="537">
        <f>Cons!AG$48</f>
        <v>3940</v>
      </c>
      <c r="AH11" s="537">
        <f>Cons!AH$48</f>
        <v>0</v>
      </c>
      <c r="AI11" s="537">
        <f>Cons!AI$48</f>
        <v>0</v>
      </c>
      <c r="AJ11" s="537">
        <f>Cons!AJ$48</f>
        <v>0</v>
      </c>
      <c r="AK11" s="537">
        <f>Cons!AK$48</f>
        <v>0</v>
      </c>
      <c r="AL11" s="537">
        <f>Cons!AL$48</f>
        <v>0</v>
      </c>
      <c r="AM11" s="537">
        <f>Cons!AM$48</f>
        <v>0</v>
      </c>
      <c r="AN11" s="537">
        <f>Cons!AN$48</f>
        <v>0</v>
      </c>
      <c r="AO11" s="537">
        <f>Cons!AO$48</f>
        <v>0</v>
      </c>
      <c r="AP11" s="537">
        <f>Cons!AP$48</f>
        <v>0</v>
      </c>
      <c r="AQ11" s="537">
        <f>Cons!AQ$48</f>
        <v>0</v>
      </c>
      <c r="AR11" s="537">
        <f>Cons!AR$48</f>
        <v>0</v>
      </c>
      <c r="AS11" s="537">
        <f>Cons!AS$48</f>
        <v>0</v>
      </c>
      <c r="AT11" s="537">
        <f>Cons!AT$48</f>
        <v>0</v>
      </c>
      <c r="AU11" s="537">
        <f>Cons!AU$48</f>
        <v>0</v>
      </c>
      <c r="AV11" s="537">
        <f>Cons!AV$48</f>
        <v>0</v>
      </c>
      <c r="AW11" s="537">
        <f>Cons!AW$48</f>
        <v>0</v>
      </c>
      <c r="AX11" s="537">
        <f>Cons!AX$48</f>
        <v>0</v>
      </c>
      <c r="AY11" s="537">
        <f>Cons!AY$48</f>
        <v>0</v>
      </c>
      <c r="AZ11" s="537">
        <f>Cons!AZ$48</f>
        <v>0</v>
      </c>
      <c r="BA11" s="537">
        <f>Cons!BA$48</f>
        <v>0</v>
      </c>
      <c r="BB11" s="537">
        <f>Cons!BB$48</f>
        <v>0</v>
      </c>
      <c r="BC11" s="537">
        <f>Cons!BC$48</f>
        <v>0</v>
      </c>
      <c r="BD11" s="537">
        <f>Cons!BD$48</f>
        <v>0</v>
      </c>
      <c r="BE11" s="537">
        <f>Cons!BE$48</f>
        <v>0</v>
      </c>
      <c r="BF11" s="537">
        <f>Cons!BF$48</f>
        <v>0</v>
      </c>
      <c r="BG11" s="537">
        <f>Cons!BG$48</f>
        <v>0</v>
      </c>
      <c r="BH11" s="537">
        <f>Cons!BH$48</f>
        <v>0</v>
      </c>
      <c r="BI11" s="537">
        <f>Cons!BI$48</f>
        <v>0</v>
      </c>
      <c r="BJ11" s="537">
        <f>Cons!BJ$48</f>
        <v>0</v>
      </c>
      <c r="BK11" s="537">
        <f>Cons!BK$48</f>
        <v>0</v>
      </c>
      <c r="BL11" s="537">
        <f>Cons!BL$48</f>
        <v>0</v>
      </c>
      <c r="BM11" s="537">
        <f>Cons!BM$48</f>
        <v>0</v>
      </c>
      <c r="BN11" s="537">
        <f>Cons!BN$48</f>
        <v>0</v>
      </c>
      <c r="BO11" s="537">
        <f>Cons!BO$48</f>
        <v>0</v>
      </c>
      <c r="BP11" s="537">
        <f>Cons!BP$48</f>
        <v>0</v>
      </c>
      <c r="BQ11" s="537">
        <f>Cons!BQ$48</f>
        <v>0</v>
      </c>
      <c r="BR11" s="537">
        <f>Cons!BR$48</f>
        <v>0</v>
      </c>
      <c r="BS11" s="537">
        <f>Cons!BS$48</f>
        <v>0</v>
      </c>
      <c r="BT11" s="537">
        <f>Cons!BT$48</f>
        <v>0</v>
      </c>
      <c r="BU11" s="537">
        <f>Cons!BU$48</f>
        <v>0</v>
      </c>
      <c r="BV11" s="537">
        <f>Cons!BV$48</f>
        <v>0</v>
      </c>
      <c r="BW11" s="537">
        <f>Cons!BW$48</f>
        <v>0</v>
      </c>
      <c r="BX11" s="537">
        <f>Cons!BX$48</f>
        <v>0</v>
      </c>
      <c r="BY11" s="537">
        <f>Cons!BY$48</f>
        <v>0</v>
      </c>
      <c r="BZ11" s="537">
        <f>Cons!BZ$48</f>
        <v>0</v>
      </c>
      <c r="CA11" s="537">
        <f>Cons!CA$48</f>
        <v>0</v>
      </c>
      <c r="CB11" s="537">
        <f>Cons!CB$48</f>
        <v>0</v>
      </c>
      <c r="CC11" s="537">
        <f>Cons!CC$48</f>
        <v>0</v>
      </c>
      <c r="CD11" s="537">
        <f>Cons!CD$48</f>
        <v>0</v>
      </c>
      <c r="CE11" s="537">
        <f>Cons!CE$48</f>
        <v>0</v>
      </c>
      <c r="CF11" s="537">
        <f>Cons!CF$48</f>
        <v>0</v>
      </c>
      <c r="CG11" s="537">
        <f>Cons!CG$48</f>
        <v>0</v>
      </c>
      <c r="CH11" s="537">
        <f>Cons!CH$48</f>
        <v>0</v>
      </c>
      <c r="CI11" s="537">
        <f>Cons!CI$48</f>
        <v>0</v>
      </c>
      <c r="CJ11" s="537">
        <f>Cons!CJ$48</f>
        <v>0</v>
      </c>
      <c r="CK11" s="537">
        <f>Cons!CK$48</f>
        <v>0</v>
      </c>
      <c r="CL11" s="537">
        <f>Cons!CL$48</f>
        <v>0</v>
      </c>
      <c r="CM11" s="537">
        <f>Cons!CM$48</f>
        <v>0</v>
      </c>
      <c r="CN11" s="537">
        <f>Cons!CN$48</f>
        <v>0</v>
      </c>
      <c r="CO11" s="537">
        <f>Cons!CO$48</f>
        <v>0</v>
      </c>
      <c r="CP11" s="537">
        <f>Cons!CP$48</f>
        <v>0</v>
      </c>
      <c r="CQ11" s="537">
        <f>Cons!CQ$48</f>
        <v>0</v>
      </c>
      <c r="CR11" s="537">
        <f>Cons!CR$48</f>
        <v>0</v>
      </c>
      <c r="CS11" s="537">
        <f>Cons!CS$48</f>
        <v>0</v>
      </c>
      <c r="CT11" s="537">
        <f>Cons!CT$48</f>
        <v>0</v>
      </c>
      <c r="CU11" s="537">
        <f>Cons!CU$48</f>
        <v>0</v>
      </c>
      <c r="CV11" s="537">
        <f>Cons!CV$48</f>
        <v>0</v>
      </c>
      <c r="CW11" s="537">
        <f>Cons!CW$48</f>
        <v>0</v>
      </c>
      <c r="CX11" s="537">
        <f>Cons!CX$48</f>
        <v>0</v>
      </c>
      <c r="CY11" s="537">
        <f>Cons!CY$48</f>
        <v>0</v>
      </c>
      <c r="CZ11" s="537">
        <f>Cons!CZ$48</f>
        <v>0</v>
      </c>
      <c r="DA11" s="537">
        <f>Cons!DA$48</f>
        <v>0</v>
      </c>
      <c r="DB11" s="537">
        <f>Cons!DB$48</f>
        <v>0</v>
      </c>
      <c r="DC11" s="537">
        <f>Cons!DC$48</f>
        <v>0</v>
      </c>
      <c r="DD11" s="537">
        <f>Cons!DD$48</f>
        <v>0</v>
      </c>
      <c r="DE11" s="537">
        <f>Cons!DE$48</f>
        <v>0</v>
      </c>
      <c r="DF11" s="537">
        <f>Cons!DF$48</f>
        <v>0</v>
      </c>
      <c r="DG11" s="537">
        <f>Cons!DG$48</f>
        <v>0</v>
      </c>
      <c r="DH11" s="537">
        <f>Cons!DH$48</f>
        <v>0</v>
      </c>
      <c r="DI11" s="537">
        <f>Cons!DI$48</f>
        <v>0</v>
      </c>
      <c r="DJ11" s="537">
        <f>Cons!DJ$48</f>
        <v>0</v>
      </c>
      <c r="DK11" s="537">
        <f>Cons!DK$48</f>
        <v>0</v>
      </c>
      <c r="DL11" s="537">
        <f>Cons!DL$48</f>
        <v>0</v>
      </c>
      <c r="DM11" s="537">
        <f>Cons!DM$48</f>
        <v>0</v>
      </c>
      <c r="DN11" s="537">
        <f>Cons!DN$48</f>
        <v>0</v>
      </c>
      <c r="DO11" s="537">
        <f>Cons!DO$48</f>
        <v>0</v>
      </c>
      <c r="DP11" s="537">
        <f>Cons!DP$48</f>
        <v>0</v>
      </c>
      <c r="DQ11" s="537">
        <f>Cons!DQ$48</f>
        <v>0</v>
      </c>
      <c r="DR11" s="537">
        <f>Cons!DR$48</f>
        <v>0</v>
      </c>
      <c r="DS11" s="537">
        <f>Cons!DS$48</f>
        <v>0</v>
      </c>
      <c r="DT11" s="537">
        <f>Cons!DT$48</f>
        <v>0</v>
      </c>
      <c r="DU11" s="537">
        <f>Cons!DU$48</f>
        <v>0</v>
      </c>
      <c r="DV11" s="537">
        <f>Cons!DV$48</f>
        <v>0</v>
      </c>
      <c r="DW11" s="537">
        <f>Cons!DW$48</f>
        <v>0</v>
      </c>
      <c r="DX11" s="537">
        <f>Cons!DX$48</f>
        <v>0</v>
      </c>
      <c r="DY11" s="537">
        <f>Cons!DY$48</f>
        <v>0</v>
      </c>
      <c r="DZ11" s="537">
        <f>Cons!DZ$48</f>
        <v>0</v>
      </c>
      <c r="EA11" s="537">
        <f>Cons!EA$48</f>
        <v>0</v>
      </c>
      <c r="EB11" s="537">
        <f>Cons!EB$48</f>
        <v>0</v>
      </c>
      <c r="EC11" s="537">
        <f>Cons!EC$48</f>
        <v>0</v>
      </c>
      <c r="ED11" s="537">
        <f>Cons!ED$48</f>
        <v>0</v>
      </c>
      <c r="EE11" s="537">
        <f>Cons!EE$48</f>
        <v>0</v>
      </c>
      <c r="EF11" s="537">
        <f>Cons!EF$48</f>
        <v>0</v>
      </c>
      <c r="EG11" s="537">
        <f>Cons!EG$48</f>
        <v>0</v>
      </c>
    </row>
    <row r="12" spans="5:137" ht="12.75">
      <c r="E12" s="535" t="str">
        <f>Time!E$50</f>
        <v>Model period ending</v>
      </c>
      <c r="G12" s="536" t="str">
        <f>Time!G$50</f>
        <v>date</v>
      </c>
      <c r="J12" s="536">
        <f>Time!J$50</f>
        <v>46418</v>
      </c>
      <c r="K12" s="536">
        <f>Time!K$50</f>
        <v>46446</v>
      </c>
      <c r="L12" s="536">
        <f>Time!L$50</f>
        <v>46477</v>
      </c>
      <c r="M12" s="536">
        <f>Time!M$50</f>
        <v>46507</v>
      </c>
      <c r="N12" s="536">
        <f>Time!N$50</f>
        <v>46538</v>
      </c>
      <c r="O12" s="536">
        <f>Time!O$50</f>
        <v>46568</v>
      </c>
      <c r="P12" s="536">
        <f>Time!P$50</f>
        <v>46599</v>
      </c>
      <c r="Q12" s="536">
        <f>Time!Q$50</f>
        <v>46630</v>
      </c>
      <c r="R12" s="536">
        <f>Time!R$50</f>
        <v>46660</v>
      </c>
      <c r="S12" s="536">
        <f>Time!S$50</f>
        <v>46691</v>
      </c>
      <c r="T12" s="536">
        <f>Time!T$50</f>
        <v>46721</v>
      </c>
      <c r="U12" s="536">
        <f>Time!U$50</f>
        <v>46752</v>
      </c>
      <c r="V12" s="536">
        <f>Time!V$50</f>
        <v>46783</v>
      </c>
      <c r="W12" s="536">
        <f>Time!W$50</f>
        <v>46812</v>
      </c>
      <c r="X12" s="536">
        <f>Time!X$50</f>
        <v>46843</v>
      </c>
      <c r="Y12" s="536">
        <f>Time!Y$50</f>
        <v>46873</v>
      </c>
      <c r="Z12" s="536">
        <f>Time!Z$50</f>
        <v>46904</v>
      </c>
      <c r="AA12" s="536">
        <f>Time!AA$50</f>
        <v>46934</v>
      </c>
      <c r="AB12" s="536">
        <f>Time!AB$50</f>
        <v>46965</v>
      </c>
      <c r="AC12" s="536">
        <f>Time!AC$50</f>
        <v>46996</v>
      </c>
      <c r="AD12" s="536">
        <f>Time!AD$50</f>
        <v>47026</v>
      </c>
      <c r="AE12" s="536">
        <f>Time!AE$50</f>
        <v>47057</v>
      </c>
      <c r="AF12" s="536">
        <f>Time!AF$50</f>
        <v>47087</v>
      </c>
      <c r="AG12" s="536">
        <f>Time!AG$50</f>
        <v>47118</v>
      </c>
      <c r="AH12" s="536">
        <f>Time!AH$50</f>
        <v>47208</v>
      </c>
      <c r="AI12" s="536">
        <f>Time!AI$50</f>
        <v>47299</v>
      </c>
      <c r="AJ12" s="536">
        <f>Time!AJ$50</f>
        <v>47391</v>
      </c>
      <c r="AK12" s="536">
        <f>Time!AK$50</f>
        <v>47483</v>
      </c>
      <c r="AL12" s="536">
        <f>Time!AL$50</f>
        <v>47573</v>
      </c>
      <c r="AM12" s="536">
        <f>Time!AM$50</f>
        <v>47664</v>
      </c>
      <c r="AN12" s="536">
        <f>Time!AN$50</f>
        <v>47756</v>
      </c>
      <c r="AO12" s="536">
        <f>Time!AO$50</f>
        <v>47848</v>
      </c>
      <c r="AP12" s="536">
        <f>Time!AP$50</f>
        <v>47938</v>
      </c>
      <c r="AQ12" s="536">
        <f>Time!AQ$50</f>
        <v>48029</v>
      </c>
      <c r="AR12" s="536">
        <f>Time!AR$50</f>
        <v>48121</v>
      </c>
      <c r="AS12" s="536">
        <f>Time!AS$50</f>
        <v>48213</v>
      </c>
      <c r="AT12" s="536">
        <f>Time!AT$50</f>
        <v>48304</v>
      </c>
      <c r="AU12" s="536">
        <f>Time!AU$50</f>
        <v>48395</v>
      </c>
      <c r="AV12" s="536">
        <f>Time!AV$50</f>
        <v>48487</v>
      </c>
      <c r="AW12" s="536">
        <f>Time!AW$50</f>
        <v>48579</v>
      </c>
      <c r="AX12" s="536">
        <f>Time!AX$50</f>
        <v>48669</v>
      </c>
      <c r="AY12" s="536">
        <f>Time!AY$50</f>
        <v>48760</v>
      </c>
      <c r="AZ12" s="536">
        <f>Time!AZ$50</f>
        <v>48852</v>
      </c>
      <c r="BA12" s="536">
        <f>Time!BA$50</f>
        <v>48944</v>
      </c>
      <c r="BB12" s="536">
        <f>Time!BB$50</f>
        <v>49034</v>
      </c>
      <c r="BC12" s="536">
        <f>Time!BC$50</f>
        <v>49125</v>
      </c>
      <c r="BD12" s="536">
        <f>Time!BD$50</f>
        <v>49217</v>
      </c>
      <c r="BE12" s="536">
        <f>Time!BE$50</f>
        <v>49309</v>
      </c>
      <c r="BF12" s="536">
        <f>Time!BF$50</f>
        <v>49399</v>
      </c>
      <c r="BG12" s="536">
        <f>Time!BG$50</f>
        <v>49490</v>
      </c>
      <c r="BH12" s="536">
        <f>Time!BH$50</f>
        <v>49582</v>
      </c>
      <c r="BI12" s="536">
        <f>Time!BI$50</f>
        <v>49674</v>
      </c>
      <c r="BJ12" s="536">
        <f>Time!BJ$50</f>
        <v>49765</v>
      </c>
      <c r="BK12" s="536">
        <f>Time!BK$50</f>
        <v>49856</v>
      </c>
      <c r="BL12" s="536">
        <f>Time!BL$50</f>
        <v>49948</v>
      </c>
      <c r="BM12" s="536">
        <f>Time!BM$50</f>
        <v>50040</v>
      </c>
      <c r="BN12" s="536">
        <f>Time!BN$50</f>
        <v>50130</v>
      </c>
      <c r="BO12" s="536">
        <f>Time!BO$50</f>
        <v>50221</v>
      </c>
      <c r="BP12" s="536">
        <f>Time!BP$50</f>
        <v>50313</v>
      </c>
      <c r="BQ12" s="536">
        <f>Time!BQ$50</f>
        <v>50405</v>
      </c>
      <c r="BR12" s="536">
        <f>Time!BR$50</f>
        <v>50495</v>
      </c>
      <c r="BS12" s="536">
        <f>Time!BS$50</f>
        <v>50586</v>
      </c>
      <c r="BT12" s="536">
        <f>Time!BT$50</f>
        <v>50678</v>
      </c>
      <c r="BU12" s="536">
        <f>Time!BU$50</f>
        <v>50770</v>
      </c>
      <c r="BV12" s="536">
        <f>Time!BV$50</f>
        <v>50860</v>
      </c>
      <c r="BW12" s="536">
        <f>Time!BW$50</f>
        <v>50951</v>
      </c>
      <c r="BX12" s="536">
        <f>Time!BX$50</f>
        <v>51043</v>
      </c>
      <c r="BY12" s="536">
        <f>Time!BY$50</f>
        <v>51135</v>
      </c>
      <c r="BZ12" s="536">
        <f>Time!BZ$50</f>
        <v>51226</v>
      </c>
      <c r="CA12" s="536">
        <f>Time!CA$50</f>
        <v>51317</v>
      </c>
      <c r="CB12" s="536">
        <f>Time!CB$50</f>
        <v>51409</v>
      </c>
      <c r="CC12" s="536">
        <f>Time!CC$50</f>
        <v>51501</v>
      </c>
      <c r="CD12" s="536">
        <f>Time!CD$50</f>
        <v>51591</v>
      </c>
      <c r="CE12" s="536">
        <f>Time!CE$50</f>
        <v>51682</v>
      </c>
      <c r="CF12" s="536">
        <f>Time!CF$50</f>
        <v>51774</v>
      </c>
      <c r="CG12" s="536">
        <f>Time!CG$50</f>
        <v>51866</v>
      </c>
      <c r="CH12" s="536">
        <f>Time!CH$50</f>
        <v>51956</v>
      </c>
      <c r="CI12" s="536">
        <f>Time!CI$50</f>
        <v>52047</v>
      </c>
      <c r="CJ12" s="536">
        <f>Time!CJ$50</f>
        <v>52139</v>
      </c>
      <c r="CK12" s="536">
        <f>Time!CK$50</f>
        <v>52231</v>
      </c>
      <c r="CL12" s="536">
        <f>Time!CL$50</f>
        <v>52321</v>
      </c>
      <c r="CM12" s="536">
        <f>Time!CM$50</f>
        <v>52412</v>
      </c>
      <c r="CN12" s="536">
        <f>Time!CN$50</f>
        <v>52504</v>
      </c>
      <c r="CO12" s="536">
        <f>Time!CO$50</f>
        <v>52596</v>
      </c>
      <c r="CP12" s="536">
        <f>Time!CP$50</f>
        <v>52687</v>
      </c>
      <c r="CQ12" s="536">
        <f>Time!CQ$50</f>
        <v>52778</v>
      </c>
      <c r="CR12" s="536">
        <f>Time!CR$50</f>
        <v>52870</v>
      </c>
      <c r="CS12" s="536">
        <f>Time!CS$50</f>
        <v>52962</v>
      </c>
      <c r="CT12" s="536">
        <f>Time!CT$50</f>
        <v>53052</v>
      </c>
      <c r="CU12" s="536">
        <f>Time!CU$50</f>
        <v>53143</v>
      </c>
      <c r="CV12" s="536">
        <f>Time!CV$50</f>
        <v>53235</v>
      </c>
      <c r="CW12" s="536">
        <f>Time!CW$50</f>
        <v>53327</v>
      </c>
      <c r="CX12" s="536">
        <f>Time!CX$50</f>
        <v>53417</v>
      </c>
      <c r="CY12" s="536">
        <f>Time!CY$50</f>
        <v>53508</v>
      </c>
      <c r="CZ12" s="536">
        <f>Time!CZ$50</f>
        <v>53600</v>
      </c>
      <c r="DA12" s="536">
        <f>Time!DA$50</f>
        <v>53692</v>
      </c>
      <c r="DB12" s="536">
        <f>Time!DB$50</f>
        <v>53782</v>
      </c>
      <c r="DC12" s="536">
        <f>Time!DC$50</f>
        <v>53873</v>
      </c>
      <c r="DD12" s="536">
        <f>Time!DD$50</f>
        <v>53965</v>
      </c>
      <c r="DE12" s="536">
        <f>Time!DE$50</f>
        <v>54057</v>
      </c>
      <c r="DF12" s="536">
        <f>Time!DF$50</f>
        <v>54148</v>
      </c>
      <c r="DG12" s="536">
        <f>Time!DG$50</f>
        <v>54239</v>
      </c>
      <c r="DH12" s="536">
        <f>Time!DH$50</f>
        <v>54331</v>
      </c>
      <c r="DI12" s="536">
        <f>Time!DI$50</f>
        <v>54423</v>
      </c>
      <c r="DJ12" s="536">
        <f>Time!DJ$50</f>
        <v>54513</v>
      </c>
      <c r="DK12" s="536">
        <f>Time!DK$50</f>
        <v>54604</v>
      </c>
      <c r="DL12" s="536">
        <f>Time!DL$50</f>
        <v>54696</v>
      </c>
      <c r="DM12" s="536">
        <f>Time!DM$50</f>
        <v>54788</v>
      </c>
      <c r="DN12" s="536">
        <f>Time!DN$50</f>
        <v>54878</v>
      </c>
      <c r="DO12" s="536">
        <f>Time!DO$50</f>
        <v>54969</v>
      </c>
      <c r="DP12" s="536">
        <f>Time!DP$50</f>
        <v>55061</v>
      </c>
      <c r="DQ12" s="536">
        <f>Time!DQ$50</f>
        <v>55153</v>
      </c>
      <c r="DR12" s="536">
        <f>Time!DR$50</f>
        <v>55243</v>
      </c>
      <c r="DS12" s="536">
        <f>Time!DS$50</f>
        <v>55334</v>
      </c>
      <c r="DT12" s="536">
        <f>Time!DT$50</f>
        <v>55426</v>
      </c>
      <c r="DU12" s="536">
        <f>Time!DU$50</f>
        <v>55518</v>
      </c>
      <c r="DV12" s="536">
        <f>Time!DV$50</f>
        <v>55609</v>
      </c>
      <c r="DW12" s="536">
        <f>Time!DW$50</f>
        <v>55700</v>
      </c>
      <c r="DX12" s="536">
        <f>Time!DX$50</f>
        <v>55792</v>
      </c>
      <c r="DY12" s="536">
        <f>Time!DY$50</f>
        <v>55884</v>
      </c>
      <c r="DZ12" s="536">
        <f>Time!DZ$50</f>
        <v>55974</v>
      </c>
      <c r="EA12" s="536">
        <f>Time!EA$50</f>
        <v>56065</v>
      </c>
      <c r="EB12" s="536">
        <f>Time!EB$50</f>
        <v>56157</v>
      </c>
      <c r="EC12" s="536">
        <f>Time!EC$50</f>
        <v>56249</v>
      </c>
      <c r="ED12" s="536">
        <f>Time!ED$50</f>
        <v>56339</v>
      </c>
      <c r="EE12" s="536">
        <f>Time!EE$50</f>
        <v>56430</v>
      </c>
      <c r="EF12" s="536">
        <f>Time!EF$50</f>
        <v>56522</v>
      </c>
      <c r="EG12" s="536">
        <f>Time!EG$50</f>
        <v>56614</v>
      </c>
    </row>
    <row r="13" spans="5:137" ht="12.75">
      <c r="E13" s="538" t="s">
        <v>281</v>
      </c>
      <c r="G13" s="539" t="s">
        <v>30</v>
      </c>
      <c r="H13" s="539">
        <f>SUM(J13:EG13)</f>
        <v>33889373.4375</v>
      </c>
      <c r="J13" s="539">
        <f t="shared" si="0" ref="J13:EG13">I13+IF(J12&lt;=$F10,J11,0)</f>
        <v>0</v>
      </c>
      <c r="K13" s="539">
        <f t="shared" si="0"/>
        <v>0</v>
      </c>
      <c r="L13" s="539">
        <f t="shared" si="0"/>
        <v>8000</v>
      </c>
      <c r="M13" s="539">
        <f t="shared" si="0"/>
        <v>21291.5625</v>
      </c>
      <c r="N13" s="539">
        <f t="shared" si="0"/>
        <v>34911.25</v>
      </c>
      <c r="O13" s="539">
        <f t="shared" si="0"/>
        <v>48202.8125</v>
      </c>
      <c r="P13" s="539">
        <f t="shared" si="0"/>
        <v>61822.5</v>
      </c>
      <c r="Q13" s="539">
        <f t="shared" si="0"/>
        <v>75114.0625</v>
      </c>
      <c r="R13" s="539">
        <f t="shared" si="0"/>
        <v>92056.015625</v>
      </c>
      <c r="S13" s="539">
        <f t="shared" si="0"/>
        <v>109695.234375</v>
      </c>
      <c r="T13" s="539">
        <f t="shared" si="0"/>
        <v>127662.578125</v>
      </c>
      <c r="U13" s="539">
        <f t="shared" si="0"/>
        <v>145958.046875</v>
      </c>
      <c r="V13" s="539">
        <f t="shared" si="0"/>
        <v>162941.015625</v>
      </c>
      <c r="W13" s="539">
        <f t="shared" si="0"/>
        <v>179759.921875</v>
      </c>
      <c r="X13" s="539">
        <f t="shared" si="0"/>
        <v>194774.140625</v>
      </c>
      <c r="Y13" s="539">
        <f t="shared" si="0"/>
        <v>207819.609375</v>
      </c>
      <c r="Z13" s="539">
        <f t="shared" si="0"/>
        <v>219880.703125</v>
      </c>
      <c r="AA13" s="539">
        <f t="shared" si="0"/>
        <v>233418.359375</v>
      </c>
      <c r="AB13" s="539">
        <f t="shared" si="0"/>
        <v>247612.265625</v>
      </c>
      <c r="AC13" s="539">
        <f t="shared" si="0"/>
        <v>261642.109375</v>
      </c>
      <c r="AD13" s="539">
        <f t="shared" si="0"/>
        <v>274318.4375</v>
      </c>
      <c r="AE13" s="539">
        <f t="shared" si="0"/>
        <v>281867.8125</v>
      </c>
      <c r="AF13" s="539">
        <f t="shared" si="0"/>
        <v>287612.5</v>
      </c>
      <c r="AG13" s="539">
        <f t="shared" si="0"/>
        <v>291552.5</v>
      </c>
      <c r="AH13" s="539">
        <f t="shared" si="0"/>
        <v>291552.5</v>
      </c>
      <c r="AI13" s="539">
        <f t="shared" si="0"/>
        <v>291552.5</v>
      </c>
      <c r="AJ13" s="539">
        <f t="shared" si="0"/>
        <v>291552.5</v>
      </c>
      <c r="AK13" s="539">
        <f t="shared" si="0"/>
        <v>291552.5</v>
      </c>
      <c r="AL13" s="539">
        <f t="shared" si="0"/>
        <v>291552.5</v>
      </c>
      <c r="AM13" s="539">
        <f t="shared" si="0"/>
        <v>291552.5</v>
      </c>
      <c r="AN13" s="539">
        <f t="shared" si="0"/>
        <v>291552.5</v>
      </c>
      <c r="AO13" s="539">
        <f t="shared" si="0"/>
        <v>291552.5</v>
      </c>
      <c r="AP13" s="539">
        <f t="shared" si="0"/>
        <v>291552.5</v>
      </c>
      <c r="AQ13" s="539">
        <f t="shared" si="0"/>
        <v>291552.5</v>
      </c>
      <c r="AR13" s="539">
        <f t="shared" si="0"/>
        <v>291552.5</v>
      </c>
      <c r="AS13" s="539">
        <f t="shared" si="0"/>
        <v>291552.5</v>
      </c>
      <c r="AT13" s="539">
        <f t="shared" si="0"/>
        <v>291552.5</v>
      </c>
      <c r="AU13" s="539">
        <f t="shared" si="0"/>
        <v>291552.5</v>
      </c>
      <c r="AV13" s="539">
        <f t="shared" si="0"/>
        <v>291552.5</v>
      </c>
      <c r="AW13" s="539">
        <f t="shared" si="0"/>
        <v>291552.5</v>
      </c>
      <c r="AX13" s="539">
        <f t="shared" si="0"/>
        <v>291552.5</v>
      </c>
      <c r="AY13" s="539">
        <f t="shared" si="0"/>
        <v>291552.5</v>
      </c>
      <c r="AZ13" s="539">
        <f t="shared" si="0"/>
        <v>291552.5</v>
      </c>
      <c r="BA13" s="539">
        <f t="shared" si="0"/>
        <v>291552.5</v>
      </c>
      <c r="BB13" s="539">
        <f t="shared" si="0"/>
        <v>291552.5</v>
      </c>
      <c r="BC13" s="539">
        <f t="shared" si="0"/>
        <v>291552.5</v>
      </c>
      <c r="BD13" s="539">
        <f t="shared" si="0"/>
        <v>291552.5</v>
      </c>
      <c r="BE13" s="539">
        <f t="shared" si="0"/>
        <v>291552.5</v>
      </c>
      <c r="BF13" s="539">
        <f t="shared" si="0"/>
        <v>291552.5</v>
      </c>
      <c r="BG13" s="539">
        <f t="shared" si="0"/>
        <v>291552.5</v>
      </c>
      <c r="BH13" s="539">
        <f t="shared" si="0"/>
        <v>291552.5</v>
      </c>
      <c r="BI13" s="539">
        <f t="shared" si="0"/>
        <v>291552.5</v>
      </c>
      <c r="BJ13" s="539">
        <f t="shared" si="0"/>
        <v>291552.5</v>
      </c>
      <c r="BK13" s="539">
        <f t="shared" si="0"/>
        <v>291552.5</v>
      </c>
      <c r="BL13" s="539">
        <f t="shared" si="0"/>
        <v>291552.5</v>
      </c>
      <c r="BM13" s="539">
        <f t="shared" si="0"/>
        <v>291552.5</v>
      </c>
      <c r="BN13" s="539">
        <f t="shared" si="0"/>
        <v>291552.5</v>
      </c>
      <c r="BO13" s="539">
        <f t="shared" si="0"/>
        <v>291552.5</v>
      </c>
      <c r="BP13" s="539">
        <f t="shared" si="0"/>
        <v>291552.5</v>
      </c>
      <c r="BQ13" s="539">
        <f t="shared" si="0"/>
        <v>291552.5</v>
      </c>
      <c r="BR13" s="539">
        <f t="shared" si="0"/>
        <v>291552.5</v>
      </c>
      <c r="BS13" s="539">
        <f t="shared" si="0"/>
        <v>291552.5</v>
      </c>
      <c r="BT13" s="539">
        <f t="shared" si="0"/>
        <v>291552.5</v>
      </c>
      <c r="BU13" s="539">
        <f t="shared" si="0"/>
        <v>291552.5</v>
      </c>
      <c r="BV13" s="539">
        <f t="shared" si="0"/>
        <v>291552.5</v>
      </c>
      <c r="BW13" s="539">
        <f t="shared" si="0"/>
        <v>291552.5</v>
      </c>
      <c r="BX13" s="539">
        <f t="shared" si="0"/>
        <v>291552.5</v>
      </c>
      <c r="BY13" s="539">
        <f t="shared" si="0"/>
        <v>291552.5</v>
      </c>
      <c r="BZ13" s="539">
        <f t="shared" si="0"/>
        <v>291552.5</v>
      </c>
      <c r="CA13" s="539">
        <f t="shared" si="0"/>
        <v>291552.5</v>
      </c>
      <c r="CB13" s="539">
        <f t="shared" si="0"/>
        <v>291552.5</v>
      </c>
      <c r="CC13" s="539">
        <f t="shared" si="0"/>
        <v>291552.5</v>
      </c>
      <c r="CD13" s="539">
        <f t="shared" si="0"/>
        <v>291552.5</v>
      </c>
      <c r="CE13" s="539">
        <f t="shared" si="0"/>
        <v>291552.5</v>
      </c>
      <c r="CF13" s="539">
        <f t="shared" si="0"/>
        <v>291552.5</v>
      </c>
      <c r="CG13" s="539">
        <f t="shared" si="0"/>
        <v>291552.5</v>
      </c>
      <c r="CH13" s="539">
        <f t="shared" si="0"/>
        <v>291552.5</v>
      </c>
      <c r="CI13" s="539">
        <f t="shared" si="0"/>
        <v>291552.5</v>
      </c>
      <c r="CJ13" s="539">
        <f t="shared" si="0"/>
        <v>291552.5</v>
      </c>
      <c r="CK13" s="539">
        <f t="shared" si="0"/>
        <v>291552.5</v>
      </c>
      <c r="CL13" s="539">
        <f t="shared" si="0"/>
        <v>291552.5</v>
      </c>
      <c r="CM13" s="539">
        <f t="shared" si="0"/>
        <v>291552.5</v>
      </c>
      <c r="CN13" s="539">
        <f t="shared" si="0"/>
        <v>291552.5</v>
      </c>
      <c r="CO13" s="539">
        <f t="shared" si="0"/>
        <v>291552.5</v>
      </c>
      <c r="CP13" s="539">
        <f t="shared" si="0"/>
        <v>291552.5</v>
      </c>
      <c r="CQ13" s="539">
        <f t="shared" si="0"/>
        <v>291552.5</v>
      </c>
      <c r="CR13" s="539">
        <f t="shared" si="0"/>
        <v>291552.5</v>
      </c>
      <c r="CS13" s="539">
        <f t="shared" si="0"/>
        <v>291552.5</v>
      </c>
      <c r="CT13" s="539">
        <f t="shared" si="0"/>
        <v>291552.5</v>
      </c>
      <c r="CU13" s="539">
        <f t="shared" si="0"/>
        <v>291552.5</v>
      </c>
      <c r="CV13" s="539">
        <f t="shared" si="0"/>
        <v>291552.5</v>
      </c>
      <c r="CW13" s="539">
        <f t="shared" si="0"/>
        <v>291552.5</v>
      </c>
      <c r="CX13" s="539">
        <f t="shared" si="0"/>
        <v>291552.5</v>
      </c>
      <c r="CY13" s="539">
        <f t="shared" si="0"/>
        <v>291552.5</v>
      </c>
      <c r="CZ13" s="539">
        <f t="shared" si="0"/>
        <v>291552.5</v>
      </c>
      <c r="DA13" s="539">
        <f t="shared" si="0"/>
        <v>291552.5</v>
      </c>
      <c r="DB13" s="539">
        <f t="shared" si="0"/>
        <v>291552.5</v>
      </c>
      <c r="DC13" s="539">
        <f t="shared" si="0"/>
        <v>291552.5</v>
      </c>
      <c r="DD13" s="539">
        <f t="shared" si="0"/>
        <v>291552.5</v>
      </c>
      <c r="DE13" s="539">
        <f t="shared" si="0"/>
        <v>291552.5</v>
      </c>
      <c r="DF13" s="539">
        <f t="shared" si="0"/>
        <v>291552.5</v>
      </c>
      <c r="DG13" s="539">
        <f t="shared" si="0"/>
        <v>291552.5</v>
      </c>
      <c r="DH13" s="539">
        <f t="shared" si="0"/>
        <v>291552.5</v>
      </c>
      <c r="DI13" s="539">
        <f t="shared" si="0"/>
        <v>291552.5</v>
      </c>
      <c r="DJ13" s="539">
        <f t="shared" si="0"/>
        <v>291552.5</v>
      </c>
      <c r="DK13" s="539">
        <f t="shared" si="0"/>
        <v>291552.5</v>
      </c>
      <c r="DL13" s="539">
        <f t="shared" si="0"/>
        <v>291552.5</v>
      </c>
      <c r="DM13" s="539">
        <f t="shared" si="0"/>
        <v>291552.5</v>
      </c>
      <c r="DN13" s="539">
        <f t="shared" si="0"/>
        <v>291552.5</v>
      </c>
      <c r="DO13" s="539">
        <f t="shared" si="0"/>
        <v>291552.5</v>
      </c>
      <c r="DP13" s="539">
        <f t="shared" si="0"/>
        <v>291552.5</v>
      </c>
      <c r="DQ13" s="539">
        <f t="shared" si="0"/>
        <v>291552.5</v>
      </c>
      <c r="DR13" s="539">
        <f t="shared" si="0"/>
        <v>291552.5</v>
      </c>
      <c r="DS13" s="539">
        <f t="shared" si="0"/>
        <v>291552.5</v>
      </c>
      <c r="DT13" s="539">
        <f t="shared" si="0"/>
        <v>291552.5</v>
      </c>
      <c r="DU13" s="539">
        <f t="shared" si="0"/>
        <v>291552.5</v>
      </c>
      <c r="DV13" s="539">
        <f t="shared" si="0"/>
        <v>291552.5</v>
      </c>
      <c r="DW13" s="539">
        <f t="shared" si="0"/>
        <v>291552.5</v>
      </c>
      <c r="DX13" s="539">
        <f t="shared" si="0"/>
        <v>291552.5</v>
      </c>
      <c r="DY13" s="539">
        <f t="shared" si="0"/>
        <v>291552.5</v>
      </c>
      <c r="DZ13" s="539">
        <f t="shared" si="0"/>
        <v>291552.5</v>
      </c>
      <c r="EA13" s="539">
        <f t="shared" si="0"/>
        <v>291552.5</v>
      </c>
      <c r="EB13" s="539">
        <f t="shared" si="0"/>
        <v>291552.5</v>
      </c>
      <c r="EC13" s="539">
        <f t="shared" si="0"/>
        <v>291552.5</v>
      </c>
      <c r="ED13" s="539">
        <f t="shared" si="0"/>
        <v>291552.5</v>
      </c>
      <c r="EE13" s="539">
        <f t="shared" si="0"/>
        <v>291552.5</v>
      </c>
      <c r="EF13" s="539">
        <f t="shared" si="0"/>
        <v>291552.5</v>
      </c>
      <c r="EG13" s="539">
        <f t="shared" si="0"/>
        <v>291552.5</v>
      </c>
    </row>
    <row r="15" spans="5:7" ht="12.75">
      <c r="E15" s="535" t="str">
        <f>InpC!E$67</f>
        <v>Fixed assets - accounting life</v>
      </c>
      <c r="F15" s="537">
        <f>InpC!F$67</f>
        <v>25</v>
      </c>
      <c r="G15" s="537" t="str">
        <f>InpC!G$67</f>
        <v>years</v>
      </c>
    </row>
    <row r="16" spans="5:137" ht="12.75">
      <c r="E16" s="535" t="str">
        <f>Cons!E$48</f>
        <v>Capex - total</v>
      </c>
      <c r="G16" s="537" t="str">
        <f>Cons!G$48</f>
        <v>EUR 000s</v>
      </c>
      <c r="H16" s="537">
        <f>Cons!H$48</f>
        <v>291552.5</v>
      </c>
      <c r="J16" s="537">
        <f>Cons!J$48</f>
        <v>0</v>
      </c>
      <c r="K16" s="537">
        <f>Cons!K$48</f>
        <v>0</v>
      </c>
      <c r="L16" s="537">
        <f>Cons!L$48</f>
        <v>8000</v>
      </c>
      <c r="M16" s="537">
        <f>Cons!M$48</f>
        <v>13291.5625</v>
      </c>
      <c r="N16" s="537">
        <f>Cons!N$48</f>
        <v>13619.6875</v>
      </c>
      <c r="O16" s="537">
        <f>Cons!O$48</f>
        <v>13291.5625</v>
      </c>
      <c r="P16" s="537">
        <f>Cons!P$48</f>
        <v>13619.6875</v>
      </c>
      <c r="Q16" s="537">
        <f>Cons!Q$48</f>
        <v>13291.5625</v>
      </c>
      <c r="R16" s="537">
        <f>Cons!R$48</f>
        <v>16941.953125</v>
      </c>
      <c r="S16" s="537">
        <f>Cons!S$48</f>
        <v>17639.21875</v>
      </c>
      <c r="T16" s="537">
        <f>Cons!T$48</f>
        <v>17967.34375</v>
      </c>
      <c r="U16" s="537">
        <f>Cons!U$48</f>
        <v>18295.46875</v>
      </c>
      <c r="V16" s="537">
        <f>Cons!V$48</f>
        <v>16982.96875</v>
      </c>
      <c r="W16" s="537">
        <f>Cons!W$48</f>
        <v>16818.90625</v>
      </c>
      <c r="X16" s="537">
        <f>Cons!X$48</f>
        <v>15014.21875</v>
      </c>
      <c r="Y16" s="537">
        <f>Cons!Y$48</f>
        <v>13045.46875</v>
      </c>
      <c r="Z16" s="537">
        <f>Cons!Z$48</f>
        <v>12061.09375</v>
      </c>
      <c r="AA16" s="537">
        <f>Cons!AA$48</f>
        <v>13537.65625</v>
      </c>
      <c r="AB16" s="537">
        <f>Cons!AB$48</f>
        <v>14193.90625</v>
      </c>
      <c r="AC16" s="537">
        <f>Cons!AC$48</f>
        <v>14029.84375</v>
      </c>
      <c r="AD16" s="537">
        <f>Cons!AD$48</f>
        <v>12676.328125</v>
      </c>
      <c r="AE16" s="537">
        <f>Cons!AE$48</f>
        <v>7549.375</v>
      </c>
      <c r="AF16" s="537">
        <f>Cons!AF$48</f>
        <v>5744.6875</v>
      </c>
      <c r="AG16" s="537">
        <f>Cons!AG$48</f>
        <v>3940</v>
      </c>
      <c r="AH16" s="537">
        <f>Cons!AH$48</f>
        <v>0</v>
      </c>
      <c r="AI16" s="537">
        <f>Cons!AI$48</f>
        <v>0</v>
      </c>
      <c r="AJ16" s="537">
        <f>Cons!AJ$48</f>
        <v>0</v>
      </c>
      <c r="AK16" s="537">
        <f>Cons!AK$48</f>
        <v>0</v>
      </c>
      <c r="AL16" s="537">
        <f>Cons!AL$48</f>
        <v>0</v>
      </c>
      <c r="AM16" s="537">
        <f>Cons!AM$48</f>
        <v>0</v>
      </c>
      <c r="AN16" s="537">
        <f>Cons!AN$48</f>
        <v>0</v>
      </c>
      <c r="AO16" s="537">
        <f>Cons!AO$48</f>
        <v>0</v>
      </c>
      <c r="AP16" s="537">
        <f>Cons!AP$48</f>
        <v>0</v>
      </c>
      <c r="AQ16" s="537">
        <f>Cons!AQ$48</f>
        <v>0</v>
      </c>
      <c r="AR16" s="537">
        <f>Cons!AR$48</f>
        <v>0</v>
      </c>
      <c r="AS16" s="537">
        <f>Cons!AS$48</f>
        <v>0</v>
      </c>
      <c r="AT16" s="537">
        <f>Cons!AT$48</f>
        <v>0</v>
      </c>
      <c r="AU16" s="537">
        <f>Cons!AU$48</f>
        <v>0</v>
      </c>
      <c r="AV16" s="537">
        <f>Cons!AV$48</f>
        <v>0</v>
      </c>
      <c r="AW16" s="537">
        <f>Cons!AW$48</f>
        <v>0</v>
      </c>
      <c r="AX16" s="537">
        <f>Cons!AX$48</f>
        <v>0</v>
      </c>
      <c r="AY16" s="537">
        <f>Cons!AY$48</f>
        <v>0</v>
      </c>
      <c r="AZ16" s="537">
        <f>Cons!AZ$48</f>
        <v>0</v>
      </c>
      <c r="BA16" s="537">
        <f>Cons!BA$48</f>
        <v>0</v>
      </c>
      <c r="BB16" s="537">
        <f>Cons!BB$48</f>
        <v>0</v>
      </c>
      <c r="BC16" s="537">
        <f>Cons!BC$48</f>
        <v>0</v>
      </c>
      <c r="BD16" s="537">
        <f>Cons!BD$48</f>
        <v>0</v>
      </c>
      <c r="BE16" s="537">
        <f>Cons!BE$48</f>
        <v>0</v>
      </c>
      <c r="BF16" s="537">
        <f>Cons!BF$48</f>
        <v>0</v>
      </c>
      <c r="BG16" s="537">
        <f>Cons!BG$48</f>
        <v>0</v>
      </c>
      <c r="BH16" s="537">
        <f>Cons!BH$48</f>
        <v>0</v>
      </c>
      <c r="BI16" s="537">
        <f>Cons!BI$48</f>
        <v>0</v>
      </c>
      <c r="BJ16" s="537">
        <f>Cons!BJ$48</f>
        <v>0</v>
      </c>
      <c r="BK16" s="537">
        <f>Cons!BK$48</f>
        <v>0</v>
      </c>
      <c r="BL16" s="537">
        <f>Cons!BL$48</f>
        <v>0</v>
      </c>
      <c r="BM16" s="537">
        <f>Cons!BM$48</f>
        <v>0</v>
      </c>
      <c r="BN16" s="537">
        <f>Cons!BN$48</f>
        <v>0</v>
      </c>
      <c r="BO16" s="537">
        <f>Cons!BO$48</f>
        <v>0</v>
      </c>
      <c r="BP16" s="537">
        <f>Cons!BP$48</f>
        <v>0</v>
      </c>
      <c r="BQ16" s="537">
        <f>Cons!BQ$48</f>
        <v>0</v>
      </c>
      <c r="BR16" s="537">
        <f>Cons!BR$48</f>
        <v>0</v>
      </c>
      <c r="BS16" s="537">
        <f>Cons!BS$48</f>
        <v>0</v>
      </c>
      <c r="BT16" s="537">
        <f>Cons!BT$48</f>
        <v>0</v>
      </c>
      <c r="BU16" s="537">
        <f>Cons!BU$48</f>
        <v>0</v>
      </c>
      <c r="BV16" s="537">
        <f>Cons!BV$48</f>
        <v>0</v>
      </c>
      <c r="BW16" s="537">
        <f>Cons!BW$48</f>
        <v>0</v>
      </c>
      <c r="BX16" s="537">
        <f>Cons!BX$48</f>
        <v>0</v>
      </c>
      <c r="BY16" s="537">
        <f>Cons!BY$48</f>
        <v>0</v>
      </c>
      <c r="BZ16" s="537">
        <f>Cons!BZ$48</f>
        <v>0</v>
      </c>
      <c r="CA16" s="537">
        <f>Cons!CA$48</f>
        <v>0</v>
      </c>
      <c r="CB16" s="537">
        <f>Cons!CB$48</f>
        <v>0</v>
      </c>
      <c r="CC16" s="537">
        <f>Cons!CC$48</f>
        <v>0</v>
      </c>
      <c r="CD16" s="537">
        <f>Cons!CD$48</f>
        <v>0</v>
      </c>
      <c r="CE16" s="537">
        <f>Cons!CE$48</f>
        <v>0</v>
      </c>
      <c r="CF16" s="537">
        <f>Cons!CF$48</f>
        <v>0</v>
      </c>
      <c r="CG16" s="537">
        <f>Cons!CG$48</f>
        <v>0</v>
      </c>
      <c r="CH16" s="537">
        <f>Cons!CH$48</f>
        <v>0</v>
      </c>
      <c r="CI16" s="537">
        <f>Cons!CI$48</f>
        <v>0</v>
      </c>
      <c r="CJ16" s="537">
        <f>Cons!CJ$48</f>
        <v>0</v>
      </c>
      <c r="CK16" s="537">
        <f>Cons!CK$48</f>
        <v>0</v>
      </c>
      <c r="CL16" s="537">
        <f>Cons!CL$48</f>
        <v>0</v>
      </c>
      <c r="CM16" s="537">
        <f>Cons!CM$48</f>
        <v>0</v>
      </c>
      <c r="CN16" s="537">
        <f>Cons!CN$48</f>
        <v>0</v>
      </c>
      <c r="CO16" s="537">
        <f>Cons!CO$48</f>
        <v>0</v>
      </c>
      <c r="CP16" s="537">
        <f>Cons!CP$48</f>
        <v>0</v>
      </c>
      <c r="CQ16" s="537">
        <f>Cons!CQ$48</f>
        <v>0</v>
      </c>
      <c r="CR16" s="537">
        <f>Cons!CR$48</f>
        <v>0</v>
      </c>
      <c r="CS16" s="537">
        <f>Cons!CS$48</f>
        <v>0</v>
      </c>
      <c r="CT16" s="537">
        <f>Cons!CT$48</f>
        <v>0</v>
      </c>
      <c r="CU16" s="537">
        <f>Cons!CU$48</f>
        <v>0</v>
      </c>
      <c r="CV16" s="537">
        <f>Cons!CV$48</f>
        <v>0</v>
      </c>
      <c r="CW16" s="537">
        <f>Cons!CW$48</f>
        <v>0</v>
      </c>
      <c r="CX16" s="537">
        <f>Cons!CX$48</f>
        <v>0</v>
      </c>
      <c r="CY16" s="537">
        <f>Cons!CY$48</f>
        <v>0</v>
      </c>
      <c r="CZ16" s="537">
        <f>Cons!CZ$48</f>
        <v>0</v>
      </c>
      <c r="DA16" s="537">
        <f>Cons!DA$48</f>
        <v>0</v>
      </c>
      <c r="DB16" s="537">
        <f>Cons!DB$48</f>
        <v>0</v>
      </c>
      <c r="DC16" s="537">
        <f>Cons!DC$48</f>
        <v>0</v>
      </c>
      <c r="DD16" s="537">
        <f>Cons!DD$48</f>
        <v>0</v>
      </c>
      <c r="DE16" s="537">
        <f>Cons!DE$48</f>
        <v>0</v>
      </c>
      <c r="DF16" s="537">
        <f>Cons!DF$48</f>
        <v>0</v>
      </c>
      <c r="DG16" s="537">
        <f>Cons!DG$48</f>
        <v>0</v>
      </c>
      <c r="DH16" s="537">
        <f>Cons!DH$48</f>
        <v>0</v>
      </c>
      <c r="DI16" s="537">
        <f>Cons!DI$48</f>
        <v>0</v>
      </c>
      <c r="DJ16" s="537">
        <f>Cons!DJ$48</f>
        <v>0</v>
      </c>
      <c r="DK16" s="537">
        <f>Cons!DK$48</f>
        <v>0</v>
      </c>
      <c r="DL16" s="537">
        <f>Cons!DL$48</f>
        <v>0</v>
      </c>
      <c r="DM16" s="537">
        <f>Cons!DM$48</f>
        <v>0</v>
      </c>
      <c r="DN16" s="537">
        <f>Cons!DN$48</f>
        <v>0</v>
      </c>
      <c r="DO16" s="537">
        <f>Cons!DO$48</f>
        <v>0</v>
      </c>
      <c r="DP16" s="537">
        <f>Cons!DP$48</f>
        <v>0</v>
      </c>
      <c r="DQ16" s="537">
        <f>Cons!DQ$48</f>
        <v>0</v>
      </c>
      <c r="DR16" s="537">
        <f>Cons!DR$48</f>
        <v>0</v>
      </c>
      <c r="DS16" s="537">
        <f>Cons!DS$48</f>
        <v>0</v>
      </c>
      <c r="DT16" s="537">
        <f>Cons!DT$48</f>
        <v>0</v>
      </c>
      <c r="DU16" s="537">
        <f>Cons!DU$48</f>
        <v>0</v>
      </c>
      <c r="DV16" s="537">
        <f>Cons!DV$48</f>
        <v>0</v>
      </c>
      <c r="DW16" s="537">
        <f>Cons!DW$48</f>
        <v>0</v>
      </c>
      <c r="DX16" s="537">
        <f>Cons!DX$48</f>
        <v>0</v>
      </c>
      <c r="DY16" s="537">
        <f>Cons!DY$48</f>
        <v>0</v>
      </c>
      <c r="DZ16" s="537">
        <f>Cons!DZ$48</f>
        <v>0</v>
      </c>
      <c r="EA16" s="537">
        <f>Cons!EA$48</f>
        <v>0</v>
      </c>
      <c r="EB16" s="537">
        <f>Cons!EB$48</f>
        <v>0</v>
      </c>
      <c r="EC16" s="537">
        <f>Cons!EC$48</f>
        <v>0</v>
      </c>
      <c r="ED16" s="537">
        <f>Cons!ED$48</f>
        <v>0</v>
      </c>
      <c r="EE16" s="537">
        <f>Cons!EE$48</f>
        <v>0</v>
      </c>
      <c r="EF16" s="537">
        <f>Cons!EF$48</f>
        <v>0</v>
      </c>
      <c r="EG16" s="537">
        <f>Cons!EG$48</f>
        <v>0</v>
      </c>
    </row>
    <row r="17" spans="5:137" ht="12.75">
      <c r="E17" s="535" t="str">
        <f>Time!E$91</f>
        <v>Operating period flag</v>
      </c>
      <c r="G17" s="537" t="str">
        <f>Time!G$91</f>
        <v>flag</v>
      </c>
      <c r="H17" s="537">
        <f>Time!H$91</f>
        <v>100</v>
      </c>
      <c r="J17" s="537">
        <f>Time!J$91</f>
        <v>0</v>
      </c>
      <c r="K17" s="537">
        <f>Time!K$91</f>
        <v>0</v>
      </c>
      <c r="L17" s="537">
        <f>Time!L$91</f>
        <v>0</v>
      </c>
      <c r="M17" s="537">
        <f>Time!M$91</f>
        <v>0</v>
      </c>
      <c r="N17" s="537">
        <f>Time!N$91</f>
        <v>0</v>
      </c>
      <c r="O17" s="537">
        <f>Time!O$91</f>
        <v>0</v>
      </c>
      <c r="P17" s="537">
        <f>Time!P$91</f>
        <v>0</v>
      </c>
      <c r="Q17" s="537">
        <f>Time!Q$91</f>
        <v>0</v>
      </c>
      <c r="R17" s="537">
        <f>Time!R$91</f>
        <v>0</v>
      </c>
      <c r="S17" s="537">
        <f>Time!S$91</f>
        <v>0</v>
      </c>
      <c r="T17" s="537">
        <f>Time!T$91</f>
        <v>0</v>
      </c>
      <c r="U17" s="537">
        <f>Time!U$91</f>
        <v>0</v>
      </c>
      <c r="V17" s="537">
        <f>Time!V$91</f>
        <v>0</v>
      </c>
      <c r="W17" s="537">
        <f>Time!W$91</f>
        <v>0</v>
      </c>
      <c r="X17" s="537">
        <f>Time!X$91</f>
        <v>0</v>
      </c>
      <c r="Y17" s="537">
        <f>Time!Y$91</f>
        <v>0</v>
      </c>
      <c r="Z17" s="537">
        <f>Time!Z$91</f>
        <v>0</v>
      </c>
      <c r="AA17" s="537">
        <f>Time!AA$91</f>
        <v>0</v>
      </c>
      <c r="AB17" s="537">
        <f>Time!AB$91</f>
        <v>0</v>
      </c>
      <c r="AC17" s="537">
        <f>Time!AC$91</f>
        <v>0</v>
      </c>
      <c r="AD17" s="537">
        <f>Time!AD$91</f>
        <v>0</v>
      </c>
      <c r="AE17" s="537">
        <f>Time!AE$91</f>
        <v>0</v>
      </c>
      <c r="AF17" s="537">
        <f>Time!AF$91</f>
        <v>0</v>
      </c>
      <c r="AG17" s="537">
        <f>Time!AG$91</f>
        <v>0</v>
      </c>
      <c r="AH17" s="537">
        <f>Time!AH$91</f>
        <v>1</v>
      </c>
      <c r="AI17" s="537">
        <f>Time!AI$91</f>
        <v>1</v>
      </c>
      <c r="AJ17" s="537">
        <f>Time!AJ$91</f>
        <v>1</v>
      </c>
      <c r="AK17" s="537">
        <f>Time!AK$91</f>
        <v>1</v>
      </c>
      <c r="AL17" s="537">
        <f>Time!AL$91</f>
        <v>1</v>
      </c>
      <c r="AM17" s="537">
        <f>Time!AM$91</f>
        <v>1</v>
      </c>
      <c r="AN17" s="537">
        <f>Time!AN$91</f>
        <v>1</v>
      </c>
      <c r="AO17" s="537">
        <f>Time!AO$91</f>
        <v>1</v>
      </c>
      <c r="AP17" s="537">
        <f>Time!AP$91</f>
        <v>1</v>
      </c>
      <c r="AQ17" s="537">
        <f>Time!AQ$91</f>
        <v>1</v>
      </c>
      <c r="AR17" s="537">
        <f>Time!AR$91</f>
        <v>1</v>
      </c>
      <c r="AS17" s="537">
        <f>Time!AS$91</f>
        <v>1</v>
      </c>
      <c r="AT17" s="537">
        <f>Time!AT$91</f>
        <v>1</v>
      </c>
      <c r="AU17" s="537">
        <f>Time!AU$91</f>
        <v>1</v>
      </c>
      <c r="AV17" s="537">
        <f>Time!AV$91</f>
        <v>1</v>
      </c>
      <c r="AW17" s="537">
        <f>Time!AW$91</f>
        <v>1</v>
      </c>
      <c r="AX17" s="537">
        <f>Time!AX$91</f>
        <v>1</v>
      </c>
      <c r="AY17" s="537">
        <f>Time!AY$91</f>
        <v>1</v>
      </c>
      <c r="AZ17" s="537">
        <f>Time!AZ$91</f>
        <v>1</v>
      </c>
      <c r="BA17" s="537">
        <f>Time!BA$91</f>
        <v>1</v>
      </c>
      <c r="BB17" s="537">
        <f>Time!BB$91</f>
        <v>1</v>
      </c>
      <c r="BC17" s="537">
        <f>Time!BC$91</f>
        <v>1</v>
      </c>
      <c r="BD17" s="537">
        <f>Time!BD$91</f>
        <v>1</v>
      </c>
      <c r="BE17" s="537">
        <f>Time!BE$91</f>
        <v>1</v>
      </c>
      <c r="BF17" s="537">
        <f>Time!BF$91</f>
        <v>1</v>
      </c>
      <c r="BG17" s="537">
        <f>Time!BG$91</f>
        <v>1</v>
      </c>
      <c r="BH17" s="537">
        <f>Time!BH$91</f>
        <v>1</v>
      </c>
      <c r="BI17" s="537">
        <f>Time!BI$91</f>
        <v>1</v>
      </c>
      <c r="BJ17" s="537">
        <f>Time!BJ$91</f>
        <v>1</v>
      </c>
      <c r="BK17" s="537">
        <f>Time!BK$91</f>
        <v>1</v>
      </c>
      <c r="BL17" s="537">
        <f>Time!BL$91</f>
        <v>1</v>
      </c>
      <c r="BM17" s="537">
        <f>Time!BM$91</f>
        <v>1</v>
      </c>
      <c r="BN17" s="537">
        <f>Time!BN$91</f>
        <v>1</v>
      </c>
      <c r="BO17" s="537">
        <f>Time!BO$91</f>
        <v>1</v>
      </c>
      <c r="BP17" s="537">
        <f>Time!BP$91</f>
        <v>1</v>
      </c>
      <c r="BQ17" s="537">
        <f>Time!BQ$91</f>
        <v>1</v>
      </c>
      <c r="BR17" s="537">
        <f>Time!BR$91</f>
        <v>1</v>
      </c>
      <c r="BS17" s="537">
        <f>Time!BS$91</f>
        <v>1</v>
      </c>
      <c r="BT17" s="537">
        <f>Time!BT$91</f>
        <v>1</v>
      </c>
      <c r="BU17" s="537">
        <f>Time!BU$91</f>
        <v>1</v>
      </c>
      <c r="BV17" s="537">
        <f>Time!BV$91</f>
        <v>1</v>
      </c>
      <c r="BW17" s="537">
        <f>Time!BW$91</f>
        <v>1</v>
      </c>
      <c r="BX17" s="537">
        <f>Time!BX$91</f>
        <v>1</v>
      </c>
      <c r="BY17" s="537">
        <f>Time!BY$91</f>
        <v>1</v>
      </c>
      <c r="BZ17" s="537">
        <f>Time!BZ$91</f>
        <v>1</v>
      </c>
      <c r="CA17" s="537">
        <f>Time!CA$91</f>
        <v>1</v>
      </c>
      <c r="CB17" s="537">
        <f>Time!CB$91</f>
        <v>1</v>
      </c>
      <c r="CC17" s="537">
        <f>Time!CC$91</f>
        <v>1</v>
      </c>
      <c r="CD17" s="537">
        <f>Time!CD$91</f>
        <v>1</v>
      </c>
      <c r="CE17" s="537">
        <f>Time!CE$91</f>
        <v>1</v>
      </c>
      <c r="CF17" s="537">
        <f>Time!CF$91</f>
        <v>1</v>
      </c>
      <c r="CG17" s="537">
        <f>Time!CG$91</f>
        <v>1</v>
      </c>
      <c r="CH17" s="537">
        <f>Time!CH$91</f>
        <v>1</v>
      </c>
      <c r="CI17" s="537">
        <f>Time!CI$91</f>
        <v>1</v>
      </c>
      <c r="CJ17" s="537">
        <f>Time!CJ$91</f>
        <v>1</v>
      </c>
      <c r="CK17" s="537">
        <f>Time!CK$91</f>
        <v>1</v>
      </c>
      <c r="CL17" s="537">
        <f>Time!CL$91</f>
        <v>1</v>
      </c>
      <c r="CM17" s="537">
        <f>Time!CM$91</f>
        <v>1</v>
      </c>
      <c r="CN17" s="537">
        <f>Time!CN$91</f>
        <v>1</v>
      </c>
      <c r="CO17" s="537">
        <f>Time!CO$91</f>
        <v>1</v>
      </c>
      <c r="CP17" s="537">
        <f>Time!CP$91</f>
        <v>1</v>
      </c>
      <c r="CQ17" s="537">
        <f>Time!CQ$91</f>
        <v>1</v>
      </c>
      <c r="CR17" s="537">
        <f>Time!CR$91</f>
        <v>1</v>
      </c>
      <c r="CS17" s="537">
        <f>Time!CS$91</f>
        <v>1</v>
      </c>
      <c r="CT17" s="537">
        <f>Time!CT$91</f>
        <v>1</v>
      </c>
      <c r="CU17" s="537">
        <f>Time!CU$91</f>
        <v>1</v>
      </c>
      <c r="CV17" s="537">
        <f>Time!CV$91</f>
        <v>1</v>
      </c>
      <c r="CW17" s="537">
        <f>Time!CW$91</f>
        <v>1</v>
      </c>
      <c r="CX17" s="537">
        <f>Time!CX$91</f>
        <v>1</v>
      </c>
      <c r="CY17" s="537">
        <f>Time!CY$91</f>
        <v>1</v>
      </c>
      <c r="CZ17" s="537">
        <f>Time!CZ$91</f>
        <v>1</v>
      </c>
      <c r="DA17" s="537">
        <f>Time!DA$91</f>
        <v>1</v>
      </c>
      <c r="DB17" s="537">
        <f>Time!DB$91</f>
        <v>1</v>
      </c>
      <c r="DC17" s="537">
        <f>Time!DC$91</f>
        <v>1</v>
      </c>
      <c r="DD17" s="537">
        <f>Time!DD$91</f>
        <v>1</v>
      </c>
      <c r="DE17" s="537">
        <f>Time!DE$91</f>
        <v>1</v>
      </c>
      <c r="DF17" s="537">
        <f>Time!DF$91</f>
        <v>1</v>
      </c>
      <c r="DG17" s="537">
        <f>Time!DG$91</f>
        <v>1</v>
      </c>
      <c r="DH17" s="537">
        <f>Time!DH$91</f>
        <v>1</v>
      </c>
      <c r="DI17" s="537">
        <f>Time!DI$91</f>
        <v>1</v>
      </c>
      <c r="DJ17" s="537">
        <f>Time!DJ$91</f>
        <v>1</v>
      </c>
      <c r="DK17" s="537">
        <f>Time!DK$91</f>
        <v>1</v>
      </c>
      <c r="DL17" s="537">
        <f>Time!DL$91</f>
        <v>1</v>
      </c>
      <c r="DM17" s="537">
        <f>Time!DM$91</f>
        <v>1</v>
      </c>
      <c r="DN17" s="537">
        <f>Time!DN$91</f>
        <v>1</v>
      </c>
      <c r="DO17" s="537">
        <f>Time!DO$91</f>
        <v>1</v>
      </c>
      <c r="DP17" s="537">
        <f>Time!DP$91</f>
        <v>1</v>
      </c>
      <c r="DQ17" s="537">
        <f>Time!DQ$91</f>
        <v>1</v>
      </c>
      <c r="DR17" s="537">
        <f>Time!DR$91</f>
        <v>1</v>
      </c>
      <c r="DS17" s="537">
        <f>Time!DS$91</f>
        <v>1</v>
      </c>
      <c r="DT17" s="537">
        <f>Time!DT$91</f>
        <v>1</v>
      </c>
      <c r="DU17" s="537">
        <f>Time!DU$91</f>
        <v>1</v>
      </c>
      <c r="DV17" s="537">
        <f>Time!DV$91</f>
        <v>1</v>
      </c>
      <c r="DW17" s="537">
        <f>Time!DW$91</f>
        <v>1</v>
      </c>
      <c r="DX17" s="537">
        <f>Time!DX$91</f>
        <v>1</v>
      </c>
      <c r="DY17" s="537">
        <f>Time!DY$91</f>
        <v>1</v>
      </c>
      <c r="DZ17" s="537">
        <f>Time!DZ$91</f>
        <v>1</v>
      </c>
      <c r="EA17" s="537">
        <f>Time!EA$91</f>
        <v>1</v>
      </c>
      <c r="EB17" s="537">
        <f>Time!EB$91</f>
        <v>1</v>
      </c>
      <c r="EC17" s="537">
        <f>Time!EC$91</f>
        <v>1</v>
      </c>
      <c r="ED17" s="537">
        <f>Time!ED$91</f>
        <v>0</v>
      </c>
      <c r="EE17" s="537">
        <f>Time!EE$91</f>
        <v>0</v>
      </c>
      <c r="EF17" s="537">
        <f>Time!EF$91</f>
        <v>0</v>
      </c>
      <c r="EG17" s="537">
        <f>Time!EG$91</f>
        <v>0</v>
      </c>
    </row>
    <row r="18" spans="5:137" ht="12.75">
      <c r="E18" s="535" t="str">
        <f>Time!E$178</f>
        <v>Year fraction of period</v>
      </c>
      <c r="G18" s="537" t="str">
        <f>Time!G$178</f>
        <v>fraction</v>
      </c>
      <c r="H18" s="537">
        <f>Time!H$178</f>
        <v>28</v>
      </c>
      <c r="J18" s="537">
        <f>Time!J$178</f>
        <v>0.083333333333333329</v>
      </c>
      <c r="K18" s="537">
        <f>Time!K$178</f>
        <v>0.083333333333333329</v>
      </c>
      <c r="L18" s="537">
        <f>Time!L$178</f>
        <v>0.083333333333333329</v>
      </c>
      <c r="M18" s="537">
        <f>Time!M$178</f>
        <v>0.083333333333333329</v>
      </c>
      <c r="N18" s="537">
        <f>Time!N$178</f>
        <v>0.083333333333333329</v>
      </c>
      <c r="O18" s="537">
        <f>Time!O$178</f>
        <v>0.083333333333333329</v>
      </c>
      <c r="P18" s="537">
        <f>Time!P$178</f>
        <v>0.083333333333333329</v>
      </c>
      <c r="Q18" s="537">
        <f>Time!Q$178</f>
        <v>0.083333333333333329</v>
      </c>
      <c r="R18" s="537">
        <f>Time!R$178</f>
        <v>0.083333333333333329</v>
      </c>
      <c r="S18" s="537">
        <f>Time!S$178</f>
        <v>0.083333333333333329</v>
      </c>
      <c r="T18" s="537">
        <f>Time!T$178</f>
        <v>0.083333333333333329</v>
      </c>
      <c r="U18" s="537">
        <f>Time!U$178</f>
        <v>0.083333333333333329</v>
      </c>
      <c r="V18" s="537">
        <f>Time!V$178</f>
        <v>0.083333333333333329</v>
      </c>
      <c r="W18" s="537">
        <f>Time!W$178</f>
        <v>0.083333333333333329</v>
      </c>
      <c r="X18" s="537">
        <f>Time!X$178</f>
        <v>0.083333333333333329</v>
      </c>
      <c r="Y18" s="537">
        <f>Time!Y$178</f>
        <v>0.083333333333333329</v>
      </c>
      <c r="Z18" s="537">
        <f>Time!Z$178</f>
        <v>0.083333333333333329</v>
      </c>
      <c r="AA18" s="537">
        <f>Time!AA$178</f>
        <v>0.083333333333333329</v>
      </c>
      <c r="AB18" s="537">
        <f>Time!AB$178</f>
        <v>0.083333333333333329</v>
      </c>
      <c r="AC18" s="537">
        <f>Time!AC$178</f>
        <v>0.083333333333333329</v>
      </c>
      <c r="AD18" s="537">
        <f>Time!AD$178</f>
        <v>0.083333333333333329</v>
      </c>
      <c r="AE18" s="537">
        <f>Time!AE$178</f>
        <v>0.083333333333333329</v>
      </c>
      <c r="AF18" s="537">
        <f>Time!AF$178</f>
        <v>0.083333333333333329</v>
      </c>
      <c r="AG18" s="537">
        <f>Time!AG$178</f>
        <v>0.083333333333333329</v>
      </c>
      <c r="AH18" s="537">
        <f>Time!AH$178</f>
        <v>0.25</v>
      </c>
      <c r="AI18" s="537">
        <f>Time!AI$178</f>
        <v>0.25</v>
      </c>
      <c r="AJ18" s="537">
        <f>Time!AJ$178</f>
        <v>0.25</v>
      </c>
      <c r="AK18" s="537">
        <f>Time!AK$178</f>
        <v>0.25</v>
      </c>
      <c r="AL18" s="537">
        <f>Time!AL$178</f>
        <v>0.25</v>
      </c>
      <c r="AM18" s="537">
        <f>Time!AM$178</f>
        <v>0.25</v>
      </c>
      <c r="AN18" s="537">
        <f>Time!AN$178</f>
        <v>0.25</v>
      </c>
      <c r="AO18" s="537">
        <f>Time!AO$178</f>
        <v>0.25</v>
      </c>
      <c r="AP18" s="537">
        <f>Time!AP$178</f>
        <v>0.25</v>
      </c>
      <c r="AQ18" s="537">
        <f>Time!AQ$178</f>
        <v>0.25</v>
      </c>
      <c r="AR18" s="537">
        <f>Time!AR$178</f>
        <v>0.25</v>
      </c>
      <c r="AS18" s="537">
        <f>Time!AS$178</f>
        <v>0.25</v>
      </c>
      <c r="AT18" s="537">
        <f>Time!AT$178</f>
        <v>0.25</v>
      </c>
      <c r="AU18" s="537">
        <f>Time!AU$178</f>
        <v>0.25</v>
      </c>
      <c r="AV18" s="537">
        <f>Time!AV$178</f>
        <v>0.25</v>
      </c>
      <c r="AW18" s="537">
        <f>Time!AW$178</f>
        <v>0.25</v>
      </c>
      <c r="AX18" s="537">
        <f>Time!AX$178</f>
        <v>0.25</v>
      </c>
      <c r="AY18" s="537">
        <f>Time!AY$178</f>
        <v>0.25</v>
      </c>
      <c r="AZ18" s="537">
        <f>Time!AZ$178</f>
        <v>0.25</v>
      </c>
      <c r="BA18" s="537">
        <f>Time!BA$178</f>
        <v>0.25</v>
      </c>
      <c r="BB18" s="537">
        <f>Time!BB$178</f>
        <v>0.25</v>
      </c>
      <c r="BC18" s="537">
        <f>Time!BC$178</f>
        <v>0.25</v>
      </c>
      <c r="BD18" s="537">
        <f>Time!BD$178</f>
        <v>0.25</v>
      </c>
      <c r="BE18" s="537">
        <f>Time!BE$178</f>
        <v>0.25</v>
      </c>
      <c r="BF18" s="537">
        <f>Time!BF$178</f>
        <v>0.25</v>
      </c>
      <c r="BG18" s="537">
        <f>Time!BG$178</f>
        <v>0.25</v>
      </c>
      <c r="BH18" s="537">
        <f>Time!BH$178</f>
        <v>0.25</v>
      </c>
      <c r="BI18" s="537">
        <f>Time!BI$178</f>
        <v>0.25</v>
      </c>
      <c r="BJ18" s="537">
        <f>Time!BJ$178</f>
        <v>0.25</v>
      </c>
      <c r="BK18" s="537">
        <f>Time!BK$178</f>
        <v>0.25</v>
      </c>
      <c r="BL18" s="537">
        <f>Time!BL$178</f>
        <v>0.25</v>
      </c>
      <c r="BM18" s="537">
        <f>Time!BM$178</f>
        <v>0.25</v>
      </c>
      <c r="BN18" s="537">
        <f>Time!BN$178</f>
        <v>0.25</v>
      </c>
      <c r="BO18" s="537">
        <f>Time!BO$178</f>
        <v>0.25</v>
      </c>
      <c r="BP18" s="537">
        <f>Time!BP$178</f>
        <v>0.25</v>
      </c>
      <c r="BQ18" s="537">
        <f>Time!BQ$178</f>
        <v>0.25</v>
      </c>
      <c r="BR18" s="537">
        <f>Time!BR$178</f>
        <v>0.25</v>
      </c>
      <c r="BS18" s="537">
        <f>Time!BS$178</f>
        <v>0.25</v>
      </c>
      <c r="BT18" s="537">
        <f>Time!BT$178</f>
        <v>0.25</v>
      </c>
      <c r="BU18" s="537">
        <f>Time!BU$178</f>
        <v>0.25</v>
      </c>
      <c r="BV18" s="537">
        <f>Time!BV$178</f>
        <v>0.25</v>
      </c>
      <c r="BW18" s="537">
        <f>Time!BW$178</f>
        <v>0.25</v>
      </c>
      <c r="BX18" s="537">
        <f>Time!BX$178</f>
        <v>0.25</v>
      </c>
      <c r="BY18" s="537">
        <f>Time!BY$178</f>
        <v>0.25</v>
      </c>
      <c r="BZ18" s="537">
        <f>Time!BZ$178</f>
        <v>0.25</v>
      </c>
      <c r="CA18" s="537">
        <f>Time!CA$178</f>
        <v>0.25</v>
      </c>
      <c r="CB18" s="537">
        <f>Time!CB$178</f>
        <v>0.25</v>
      </c>
      <c r="CC18" s="537">
        <f>Time!CC$178</f>
        <v>0.25</v>
      </c>
      <c r="CD18" s="537">
        <f>Time!CD$178</f>
        <v>0.25</v>
      </c>
      <c r="CE18" s="537">
        <f>Time!CE$178</f>
        <v>0.25</v>
      </c>
      <c r="CF18" s="537">
        <f>Time!CF$178</f>
        <v>0.25</v>
      </c>
      <c r="CG18" s="537">
        <f>Time!CG$178</f>
        <v>0.25</v>
      </c>
      <c r="CH18" s="537">
        <f>Time!CH$178</f>
        <v>0.25</v>
      </c>
      <c r="CI18" s="537">
        <f>Time!CI$178</f>
        <v>0.25</v>
      </c>
      <c r="CJ18" s="537">
        <f>Time!CJ$178</f>
        <v>0.25</v>
      </c>
      <c r="CK18" s="537">
        <f>Time!CK$178</f>
        <v>0.25</v>
      </c>
      <c r="CL18" s="537">
        <f>Time!CL$178</f>
        <v>0.25</v>
      </c>
      <c r="CM18" s="537">
        <f>Time!CM$178</f>
        <v>0.25</v>
      </c>
      <c r="CN18" s="537">
        <f>Time!CN$178</f>
        <v>0.25</v>
      </c>
      <c r="CO18" s="537">
        <f>Time!CO$178</f>
        <v>0.25</v>
      </c>
      <c r="CP18" s="537">
        <f>Time!CP$178</f>
        <v>0.25</v>
      </c>
      <c r="CQ18" s="537">
        <f>Time!CQ$178</f>
        <v>0.25</v>
      </c>
      <c r="CR18" s="537">
        <f>Time!CR$178</f>
        <v>0.25</v>
      </c>
      <c r="CS18" s="537">
        <f>Time!CS$178</f>
        <v>0.25</v>
      </c>
      <c r="CT18" s="537">
        <f>Time!CT$178</f>
        <v>0.25</v>
      </c>
      <c r="CU18" s="537">
        <f>Time!CU$178</f>
        <v>0.25</v>
      </c>
      <c r="CV18" s="537">
        <f>Time!CV$178</f>
        <v>0.25</v>
      </c>
      <c r="CW18" s="537">
        <f>Time!CW$178</f>
        <v>0.25</v>
      </c>
      <c r="CX18" s="537">
        <f>Time!CX$178</f>
        <v>0.25</v>
      </c>
      <c r="CY18" s="537">
        <f>Time!CY$178</f>
        <v>0.25</v>
      </c>
      <c r="CZ18" s="537">
        <f>Time!CZ$178</f>
        <v>0.25</v>
      </c>
      <c r="DA18" s="537">
        <f>Time!DA$178</f>
        <v>0.25</v>
      </c>
      <c r="DB18" s="537">
        <f>Time!DB$178</f>
        <v>0.25</v>
      </c>
      <c r="DC18" s="537">
        <f>Time!DC$178</f>
        <v>0.25</v>
      </c>
      <c r="DD18" s="537">
        <f>Time!DD$178</f>
        <v>0.25</v>
      </c>
      <c r="DE18" s="537">
        <f>Time!DE$178</f>
        <v>0.25</v>
      </c>
      <c r="DF18" s="537">
        <f>Time!DF$178</f>
        <v>0.25</v>
      </c>
      <c r="DG18" s="537">
        <f>Time!DG$178</f>
        <v>0.25</v>
      </c>
      <c r="DH18" s="537">
        <f>Time!DH$178</f>
        <v>0.25</v>
      </c>
      <c r="DI18" s="537">
        <f>Time!DI$178</f>
        <v>0.25</v>
      </c>
      <c r="DJ18" s="537">
        <f>Time!DJ$178</f>
        <v>0.25</v>
      </c>
      <c r="DK18" s="537">
        <f>Time!DK$178</f>
        <v>0.25</v>
      </c>
      <c r="DL18" s="537">
        <f>Time!DL$178</f>
        <v>0.25</v>
      </c>
      <c r="DM18" s="537">
        <f>Time!DM$178</f>
        <v>0.25</v>
      </c>
      <c r="DN18" s="537">
        <f>Time!DN$178</f>
        <v>0.25</v>
      </c>
      <c r="DO18" s="537">
        <f>Time!DO$178</f>
        <v>0.25</v>
      </c>
      <c r="DP18" s="537">
        <f>Time!DP$178</f>
        <v>0.25</v>
      </c>
      <c r="DQ18" s="537">
        <f>Time!DQ$178</f>
        <v>0.25</v>
      </c>
      <c r="DR18" s="537">
        <f>Time!DR$178</f>
        <v>0.25</v>
      </c>
      <c r="DS18" s="537">
        <f>Time!DS$178</f>
        <v>0.25</v>
      </c>
      <c r="DT18" s="537">
        <f>Time!DT$178</f>
        <v>0.25</v>
      </c>
      <c r="DU18" s="537">
        <f>Time!DU$178</f>
        <v>0.25</v>
      </c>
      <c r="DV18" s="537">
        <f>Time!DV$178</f>
        <v>0.25</v>
      </c>
      <c r="DW18" s="537">
        <f>Time!DW$178</f>
        <v>0.25</v>
      </c>
      <c r="DX18" s="537">
        <f>Time!DX$178</f>
        <v>0.25</v>
      </c>
      <c r="DY18" s="537">
        <f>Time!DY$178</f>
        <v>0.25</v>
      </c>
      <c r="DZ18" s="537">
        <f>Time!DZ$178</f>
        <v>0.25</v>
      </c>
      <c r="EA18" s="537">
        <f>Time!EA$178</f>
        <v>0.25</v>
      </c>
      <c r="EB18" s="537">
        <f>Time!EB$178</f>
        <v>0.25</v>
      </c>
      <c r="EC18" s="537">
        <f>Time!EC$178</f>
        <v>0.25</v>
      </c>
      <c r="ED18" s="537">
        <f>Time!ED$178</f>
        <v>0.25</v>
      </c>
      <c r="EE18" s="537">
        <f>Time!EE$178</f>
        <v>0.25</v>
      </c>
      <c r="EF18" s="537">
        <f>Time!EF$178</f>
        <v>0.25</v>
      </c>
      <c r="EG18" s="537">
        <f>Time!EG$178</f>
        <v>0.25</v>
      </c>
    </row>
    <row r="19" spans="5:137" ht="12.75">
      <c r="E19" s="538" t="str">
        <f>E$13</f>
        <v>Fixed assets - cost at COD (commercial operation date)</v>
      </c>
      <c r="G19" s="539" t="str">
        <f>G$13</f>
        <v>EUR 000s</v>
      </c>
      <c r="H19" s="539">
        <f>H$13</f>
        <v>33889373.4375</v>
      </c>
      <c r="J19" s="539">
        <f t="shared" si="1" ref="J19:EG19">J$13</f>
        <v>0</v>
      </c>
      <c r="K19" s="539">
        <f t="shared" si="1"/>
        <v>0</v>
      </c>
      <c r="L19" s="539">
        <f t="shared" si="1"/>
        <v>8000</v>
      </c>
      <c r="M19" s="539">
        <f t="shared" si="1"/>
        <v>21291.5625</v>
      </c>
      <c r="N19" s="539">
        <f t="shared" si="1"/>
        <v>34911.25</v>
      </c>
      <c r="O19" s="539">
        <f t="shared" si="1"/>
        <v>48202.8125</v>
      </c>
      <c r="P19" s="539">
        <f t="shared" si="1"/>
        <v>61822.5</v>
      </c>
      <c r="Q19" s="539">
        <f t="shared" si="1"/>
        <v>75114.0625</v>
      </c>
      <c r="R19" s="539">
        <f t="shared" si="1"/>
        <v>92056.015625</v>
      </c>
      <c r="S19" s="539">
        <f t="shared" si="1"/>
        <v>109695.234375</v>
      </c>
      <c r="T19" s="539">
        <f t="shared" si="1"/>
        <v>127662.578125</v>
      </c>
      <c r="U19" s="539">
        <f t="shared" si="1"/>
        <v>145958.046875</v>
      </c>
      <c r="V19" s="539">
        <f t="shared" si="1"/>
        <v>162941.015625</v>
      </c>
      <c r="W19" s="539">
        <f t="shared" si="1"/>
        <v>179759.921875</v>
      </c>
      <c r="X19" s="539">
        <f t="shared" si="1"/>
        <v>194774.140625</v>
      </c>
      <c r="Y19" s="539">
        <f t="shared" si="1"/>
        <v>207819.609375</v>
      </c>
      <c r="Z19" s="539">
        <f t="shared" si="1"/>
        <v>219880.703125</v>
      </c>
      <c r="AA19" s="539">
        <f t="shared" si="1"/>
        <v>233418.359375</v>
      </c>
      <c r="AB19" s="539">
        <f t="shared" si="1"/>
        <v>247612.265625</v>
      </c>
      <c r="AC19" s="539">
        <f t="shared" si="1"/>
        <v>261642.109375</v>
      </c>
      <c r="AD19" s="539">
        <f t="shared" si="1"/>
        <v>274318.4375</v>
      </c>
      <c r="AE19" s="539">
        <f t="shared" si="1"/>
        <v>281867.8125</v>
      </c>
      <c r="AF19" s="539">
        <f t="shared" si="1"/>
        <v>287612.5</v>
      </c>
      <c r="AG19" s="539">
        <f t="shared" si="1"/>
        <v>291552.5</v>
      </c>
      <c r="AH19" s="539">
        <f t="shared" si="1"/>
        <v>291552.5</v>
      </c>
      <c r="AI19" s="539">
        <f t="shared" si="1"/>
        <v>291552.5</v>
      </c>
      <c r="AJ19" s="539">
        <f t="shared" si="1"/>
        <v>291552.5</v>
      </c>
      <c r="AK19" s="539">
        <f t="shared" si="1"/>
        <v>291552.5</v>
      </c>
      <c r="AL19" s="539">
        <f t="shared" si="1"/>
        <v>291552.5</v>
      </c>
      <c r="AM19" s="539">
        <f t="shared" si="1"/>
        <v>291552.5</v>
      </c>
      <c r="AN19" s="539">
        <f t="shared" si="1"/>
        <v>291552.5</v>
      </c>
      <c r="AO19" s="539">
        <f t="shared" si="1"/>
        <v>291552.5</v>
      </c>
      <c r="AP19" s="539">
        <f t="shared" si="1"/>
        <v>291552.5</v>
      </c>
      <c r="AQ19" s="539">
        <f t="shared" si="1"/>
        <v>291552.5</v>
      </c>
      <c r="AR19" s="539">
        <f t="shared" si="1"/>
        <v>291552.5</v>
      </c>
      <c r="AS19" s="539">
        <f t="shared" si="1"/>
        <v>291552.5</v>
      </c>
      <c r="AT19" s="539">
        <f t="shared" si="1"/>
        <v>291552.5</v>
      </c>
      <c r="AU19" s="539">
        <f t="shared" si="1"/>
        <v>291552.5</v>
      </c>
      <c r="AV19" s="539">
        <f t="shared" si="1"/>
        <v>291552.5</v>
      </c>
      <c r="AW19" s="539">
        <f t="shared" si="1"/>
        <v>291552.5</v>
      </c>
      <c r="AX19" s="539">
        <f t="shared" si="1"/>
        <v>291552.5</v>
      </c>
      <c r="AY19" s="539">
        <f t="shared" si="1"/>
        <v>291552.5</v>
      </c>
      <c r="AZ19" s="539">
        <f t="shared" si="1"/>
        <v>291552.5</v>
      </c>
      <c r="BA19" s="539">
        <f t="shared" si="1"/>
        <v>291552.5</v>
      </c>
      <c r="BB19" s="539">
        <f t="shared" si="1"/>
        <v>291552.5</v>
      </c>
      <c r="BC19" s="539">
        <f t="shared" si="1"/>
        <v>291552.5</v>
      </c>
      <c r="BD19" s="539">
        <f t="shared" si="1"/>
        <v>291552.5</v>
      </c>
      <c r="BE19" s="539">
        <f t="shared" si="1"/>
        <v>291552.5</v>
      </c>
      <c r="BF19" s="539">
        <f t="shared" si="1"/>
        <v>291552.5</v>
      </c>
      <c r="BG19" s="539">
        <f t="shared" si="1"/>
        <v>291552.5</v>
      </c>
      <c r="BH19" s="539">
        <f t="shared" si="1"/>
        <v>291552.5</v>
      </c>
      <c r="BI19" s="539">
        <f t="shared" si="1"/>
        <v>291552.5</v>
      </c>
      <c r="BJ19" s="539">
        <f t="shared" si="1"/>
        <v>291552.5</v>
      </c>
      <c r="BK19" s="539">
        <f t="shared" si="1"/>
        <v>291552.5</v>
      </c>
      <c r="BL19" s="539">
        <f t="shared" si="1"/>
        <v>291552.5</v>
      </c>
      <c r="BM19" s="539">
        <f t="shared" si="1"/>
        <v>291552.5</v>
      </c>
      <c r="BN19" s="539">
        <f t="shared" si="1"/>
        <v>291552.5</v>
      </c>
      <c r="BO19" s="539">
        <f t="shared" si="1"/>
        <v>291552.5</v>
      </c>
      <c r="BP19" s="539">
        <f t="shared" si="1"/>
        <v>291552.5</v>
      </c>
      <c r="BQ19" s="539">
        <f t="shared" si="1"/>
        <v>291552.5</v>
      </c>
      <c r="BR19" s="539">
        <f t="shared" si="1"/>
        <v>291552.5</v>
      </c>
      <c r="BS19" s="539">
        <f t="shared" si="1"/>
        <v>291552.5</v>
      </c>
      <c r="BT19" s="539">
        <f t="shared" si="1"/>
        <v>291552.5</v>
      </c>
      <c r="BU19" s="539">
        <f t="shared" si="1"/>
        <v>291552.5</v>
      </c>
      <c r="BV19" s="539">
        <f t="shared" si="1"/>
        <v>291552.5</v>
      </c>
      <c r="BW19" s="539">
        <f t="shared" si="1"/>
        <v>291552.5</v>
      </c>
      <c r="BX19" s="539">
        <f t="shared" si="1"/>
        <v>291552.5</v>
      </c>
      <c r="BY19" s="539">
        <f t="shared" si="1"/>
        <v>291552.5</v>
      </c>
      <c r="BZ19" s="539">
        <f t="shared" si="1"/>
        <v>291552.5</v>
      </c>
      <c r="CA19" s="539">
        <f t="shared" si="1"/>
        <v>291552.5</v>
      </c>
      <c r="CB19" s="539">
        <f t="shared" si="1"/>
        <v>291552.5</v>
      </c>
      <c r="CC19" s="539">
        <f t="shared" si="1"/>
        <v>291552.5</v>
      </c>
      <c r="CD19" s="539">
        <f t="shared" si="1"/>
        <v>291552.5</v>
      </c>
      <c r="CE19" s="539">
        <f t="shared" si="1"/>
        <v>291552.5</v>
      </c>
      <c r="CF19" s="539">
        <f t="shared" si="1"/>
        <v>291552.5</v>
      </c>
      <c r="CG19" s="539">
        <f t="shared" si="1"/>
        <v>291552.5</v>
      </c>
      <c r="CH19" s="539">
        <f t="shared" si="1"/>
        <v>291552.5</v>
      </c>
      <c r="CI19" s="539">
        <f t="shared" si="1"/>
        <v>291552.5</v>
      </c>
      <c r="CJ19" s="539">
        <f t="shared" si="1"/>
        <v>291552.5</v>
      </c>
      <c r="CK19" s="539">
        <f t="shared" si="1"/>
        <v>291552.5</v>
      </c>
      <c r="CL19" s="539">
        <f t="shared" si="1"/>
        <v>291552.5</v>
      </c>
      <c r="CM19" s="539">
        <f t="shared" si="1"/>
        <v>291552.5</v>
      </c>
      <c r="CN19" s="539">
        <f t="shared" si="1"/>
        <v>291552.5</v>
      </c>
      <c r="CO19" s="539">
        <f t="shared" si="1"/>
        <v>291552.5</v>
      </c>
      <c r="CP19" s="539">
        <f t="shared" si="1"/>
        <v>291552.5</v>
      </c>
      <c r="CQ19" s="539">
        <f t="shared" si="1"/>
        <v>291552.5</v>
      </c>
      <c r="CR19" s="539">
        <f t="shared" si="1"/>
        <v>291552.5</v>
      </c>
      <c r="CS19" s="539">
        <f t="shared" si="1"/>
        <v>291552.5</v>
      </c>
      <c r="CT19" s="539">
        <f t="shared" si="1"/>
        <v>291552.5</v>
      </c>
      <c r="CU19" s="539">
        <f t="shared" si="1"/>
        <v>291552.5</v>
      </c>
      <c r="CV19" s="539">
        <f t="shared" si="1"/>
        <v>291552.5</v>
      </c>
      <c r="CW19" s="539">
        <f t="shared" si="1"/>
        <v>291552.5</v>
      </c>
      <c r="CX19" s="539">
        <f t="shared" si="1"/>
        <v>291552.5</v>
      </c>
      <c r="CY19" s="539">
        <f t="shared" si="1"/>
        <v>291552.5</v>
      </c>
      <c r="CZ19" s="539">
        <f t="shared" si="1"/>
        <v>291552.5</v>
      </c>
      <c r="DA19" s="539">
        <f t="shared" si="1"/>
        <v>291552.5</v>
      </c>
      <c r="DB19" s="539">
        <f t="shared" si="1"/>
        <v>291552.5</v>
      </c>
      <c r="DC19" s="539">
        <f t="shared" si="1"/>
        <v>291552.5</v>
      </c>
      <c r="DD19" s="539">
        <f t="shared" si="1"/>
        <v>291552.5</v>
      </c>
      <c r="DE19" s="539">
        <f t="shared" si="1"/>
        <v>291552.5</v>
      </c>
      <c r="DF19" s="539">
        <f t="shared" si="1"/>
        <v>291552.5</v>
      </c>
      <c r="DG19" s="539">
        <f t="shared" si="1"/>
        <v>291552.5</v>
      </c>
      <c r="DH19" s="539">
        <f t="shared" si="1"/>
        <v>291552.5</v>
      </c>
      <c r="DI19" s="539">
        <f t="shared" si="1"/>
        <v>291552.5</v>
      </c>
      <c r="DJ19" s="539">
        <f t="shared" si="1"/>
        <v>291552.5</v>
      </c>
      <c r="DK19" s="539">
        <f t="shared" si="1"/>
        <v>291552.5</v>
      </c>
      <c r="DL19" s="539">
        <f t="shared" si="1"/>
        <v>291552.5</v>
      </c>
      <c r="DM19" s="539">
        <f t="shared" si="1"/>
        <v>291552.5</v>
      </c>
      <c r="DN19" s="539">
        <f t="shared" si="1"/>
        <v>291552.5</v>
      </c>
      <c r="DO19" s="539">
        <f t="shared" si="1"/>
        <v>291552.5</v>
      </c>
      <c r="DP19" s="539">
        <f t="shared" si="1"/>
        <v>291552.5</v>
      </c>
      <c r="DQ19" s="539">
        <f t="shared" si="1"/>
        <v>291552.5</v>
      </c>
      <c r="DR19" s="539">
        <f t="shared" si="1"/>
        <v>291552.5</v>
      </c>
      <c r="DS19" s="539">
        <f t="shared" si="1"/>
        <v>291552.5</v>
      </c>
      <c r="DT19" s="539">
        <f t="shared" si="1"/>
        <v>291552.5</v>
      </c>
      <c r="DU19" s="539">
        <f t="shared" si="1"/>
        <v>291552.5</v>
      </c>
      <c r="DV19" s="539">
        <f t="shared" si="1"/>
        <v>291552.5</v>
      </c>
      <c r="DW19" s="539">
        <f t="shared" si="1"/>
        <v>291552.5</v>
      </c>
      <c r="DX19" s="539">
        <f t="shared" si="1"/>
        <v>291552.5</v>
      </c>
      <c r="DY19" s="539">
        <f t="shared" si="1"/>
        <v>291552.5</v>
      </c>
      <c r="DZ19" s="539">
        <f t="shared" si="1"/>
        <v>291552.5</v>
      </c>
      <c r="EA19" s="539">
        <f t="shared" si="1"/>
        <v>291552.5</v>
      </c>
      <c r="EB19" s="539">
        <f t="shared" si="1"/>
        <v>291552.5</v>
      </c>
      <c r="EC19" s="539">
        <f t="shared" si="1"/>
        <v>291552.5</v>
      </c>
      <c r="ED19" s="539">
        <f t="shared" si="1"/>
        <v>291552.5</v>
      </c>
      <c r="EE19" s="539">
        <f t="shared" si="1"/>
        <v>291552.5</v>
      </c>
      <c r="EF19" s="539">
        <f t="shared" si="1"/>
        <v>291552.5</v>
      </c>
      <c r="EG19" s="539">
        <f t="shared" si="1"/>
        <v>291552.5</v>
      </c>
    </row>
    <row r="20" spans="5:137" ht="12.75">
      <c r="E20" s="538" t="str">
        <f>E$32</f>
        <v>Fixed assets - net book value</v>
      </c>
      <c r="G20" s="539" t="str">
        <f>G$32</f>
        <v>EUR 000s</v>
      </c>
      <c r="H20" s="539">
        <f>H$32</f>
        <v>17999762.187499996</v>
      </c>
      <c r="J20" s="539">
        <f t="shared" si="2" ref="J20:EG20">J$32</f>
        <v>0</v>
      </c>
      <c r="K20" s="539">
        <f t="shared" si="2"/>
        <v>0</v>
      </c>
      <c r="L20" s="539">
        <f t="shared" si="2"/>
        <v>8000</v>
      </c>
      <c r="M20" s="539">
        <f t="shared" si="2"/>
        <v>21291.5625</v>
      </c>
      <c r="N20" s="539">
        <f t="shared" si="2"/>
        <v>34911.25</v>
      </c>
      <c r="O20" s="539">
        <f t="shared" si="2"/>
        <v>48202.8125</v>
      </c>
      <c r="P20" s="539">
        <f t="shared" si="2"/>
        <v>61822.5</v>
      </c>
      <c r="Q20" s="539">
        <f t="shared" si="2"/>
        <v>75114.0625</v>
      </c>
      <c r="R20" s="539">
        <f t="shared" si="2"/>
        <v>92056.015625</v>
      </c>
      <c r="S20" s="539">
        <f t="shared" si="2"/>
        <v>109695.234375</v>
      </c>
      <c r="T20" s="539">
        <f t="shared" si="2"/>
        <v>127662.578125</v>
      </c>
      <c r="U20" s="539">
        <f t="shared" si="2"/>
        <v>145958.046875</v>
      </c>
      <c r="V20" s="539">
        <f t="shared" si="2"/>
        <v>162941.015625</v>
      </c>
      <c r="W20" s="539">
        <f t="shared" si="2"/>
        <v>179759.921875</v>
      </c>
      <c r="X20" s="539">
        <f t="shared" si="2"/>
        <v>194774.140625</v>
      </c>
      <c r="Y20" s="539">
        <f t="shared" si="2"/>
        <v>207819.609375</v>
      </c>
      <c r="Z20" s="539">
        <f t="shared" si="2"/>
        <v>219880.703125</v>
      </c>
      <c r="AA20" s="539">
        <f t="shared" si="2"/>
        <v>233418.359375</v>
      </c>
      <c r="AB20" s="539">
        <f t="shared" si="2"/>
        <v>247612.265625</v>
      </c>
      <c r="AC20" s="539">
        <f t="shared" si="2"/>
        <v>261642.109375</v>
      </c>
      <c r="AD20" s="539">
        <f t="shared" si="2"/>
        <v>274318.4375</v>
      </c>
      <c r="AE20" s="539">
        <f t="shared" si="2"/>
        <v>281867.8125</v>
      </c>
      <c r="AF20" s="539">
        <f t="shared" si="2"/>
        <v>287612.5</v>
      </c>
      <c r="AG20" s="539">
        <f t="shared" si="2"/>
        <v>291552.5</v>
      </c>
      <c r="AH20" s="539">
        <f t="shared" si="2"/>
        <v>288636.97499999998</v>
      </c>
      <c r="AI20" s="539">
        <f t="shared" si="2"/>
        <v>285721.44999999995</v>
      </c>
      <c r="AJ20" s="539">
        <f t="shared" si="2"/>
        <v>282805.92499999993</v>
      </c>
      <c r="AK20" s="539">
        <f t="shared" si="2"/>
        <v>279890.39999999991</v>
      </c>
      <c r="AL20" s="539">
        <f t="shared" si="2"/>
        <v>276974.87499999988</v>
      </c>
      <c r="AM20" s="539">
        <f t="shared" si="2"/>
        <v>274059.34999999986</v>
      </c>
      <c r="AN20" s="539">
        <f t="shared" si="2"/>
        <v>271143.82499999984</v>
      </c>
      <c r="AO20" s="539">
        <f t="shared" si="2"/>
        <v>268228.29999999981</v>
      </c>
      <c r="AP20" s="539">
        <f t="shared" si="2"/>
        <v>265312.77499999979</v>
      </c>
      <c r="AQ20" s="539">
        <f t="shared" si="2"/>
        <v>262397.24999999977</v>
      </c>
      <c r="AR20" s="539">
        <f t="shared" si="2"/>
        <v>259481.72499999977</v>
      </c>
      <c r="AS20" s="539">
        <f t="shared" si="2"/>
        <v>256566.19999999978</v>
      </c>
      <c r="AT20" s="539">
        <f t="shared" si="2"/>
        <v>253650.67499999978</v>
      </c>
      <c r="AU20" s="539">
        <f t="shared" si="2"/>
        <v>250735.14999999979</v>
      </c>
      <c r="AV20" s="539">
        <f t="shared" si="2"/>
        <v>247819.6249999998</v>
      </c>
      <c r="AW20" s="539">
        <f t="shared" si="2"/>
        <v>244904.0999999998</v>
      </c>
      <c r="AX20" s="539">
        <f t="shared" si="2"/>
        <v>241988.57499999981</v>
      </c>
      <c r="AY20" s="539">
        <f t="shared" si="2"/>
        <v>239073.04999999981</v>
      </c>
      <c r="AZ20" s="539">
        <f t="shared" si="2"/>
        <v>236157.52499999982</v>
      </c>
      <c r="BA20" s="539">
        <f t="shared" si="2"/>
        <v>233241.99999999983</v>
      </c>
      <c r="BB20" s="539">
        <f t="shared" si="2"/>
        <v>230326.47499999983</v>
      </c>
      <c r="BC20" s="539">
        <f t="shared" si="2"/>
        <v>227410.94999999984</v>
      </c>
      <c r="BD20" s="539">
        <f t="shared" si="2"/>
        <v>224495.42499999984</v>
      </c>
      <c r="BE20" s="539">
        <f t="shared" si="2"/>
        <v>221579.89999999985</v>
      </c>
      <c r="BF20" s="539">
        <f t="shared" si="2"/>
        <v>218664.37499999985</v>
      </c>
      <c r="BG20" s="539">
        <f t="shared" si="2"/>
        <v>215748.84999999986</v>
      </c>
      <c r="BH20" s="539">
        <f t="shared" si="2"/>
        <v>212833.32499999987</v>
      </c>
      <c r="BI20" s="539">
        <f t="shared" si="2"/>
        <v>209917.79999999987</v>
      </c>
      <c r="BJ20" s="539">
        <f t="shared" si="2"/>
        <v>207002.27499999988</v>
      </c>
      <c r="BK20" s="539">
        <f t="shared" si="2"/>
        <v>204086.74999999988</v>
      </c>
      <c r="BL20" s="539">
        <f t="shared" si="2"/>
        <v>201171.22499999989</v>
      </c>
      <c r="BM20" s="539">
        <f t="shared" si="2"/>
        <v>198255.6999999999</v>
      </c>
      <c r="BN20" s="539">
        <f t="shared" si="2"/>
        <v>195340.1749999999</v>
      </c>
      <c r="BO20" s="539">
        <f t="shared" si="2"/>
        <v>192424.64999999991</v>
      </c>
      <c r="BP20" s="539">
        <f t="shared" si="2"/>
        <v>189509.12499999991</v>
      </c>
      <c r="BQ20" s="539">
        <f t="shared" si="2"/>
        <v>186593.59999999992</v>
      </c>
      <c r="BR20" s="539">
        <f t="shared" si="2"/>
        <v>183678.07499999992</v>
      </c>
      <c r="BS20" s="539">
        <f t="shared" si="2"/>
        <v>180762.54999999993</v>
      </c>
      <c r="BT20" s="539">
        <f t="shared" si="2"/>
        <v>177847.02499999994</v>
      </c>
      <c r="BU20" s="539">
        <f t="shared" si="2"/>
        <v>174931.49999999994</v>
      </c>
      <c r="BV20" s="539">
        <f t="shared" si="2"/>
        <v>172015.97499999995</v>
      </c>
      <c r="BW20" s="539">
        <f t="shared" si="2"/>
        <v>169100.44999999995</v>
      </c>
      <c r="BX20" s="539">
        <f t="shared" si="2"/>
        <v>166184.92499999996</v>
      </c>
      <c r="BY20" s="539">
        <f t="shared" si="2"/>
        <v>163269.39999999997</v>
      </c>
      <c r="BZ20" s="539">
        <f t="shared" si="2"/>
        <v>160353.87499999997</v>
      </c>
      <c r="CA20" s="539">
        <f t="shared" si="2"/>
        <v>157438.34999999998</v>
      </c>
      <c r="CB20" s="539">
        <f t="shared" si="2"/>
        <v>154522.82499999998</v>
      </c>
      <c r="CC20" s="539">
        <f t="shared" si="2"/>
        <v>151607.29999999999</v>
      </c>
      <c r="CD20" s="539">
        <f t="shared" si="2"/>
        <v>148691.77499999999</v>
      </c>
      <c r="CE20" s="539">
        <f t="shared" si="2"/>
        <v>145776.25</v>
      </c>
      <c r="CF20" s="539">
        <f t="shared" si="2"/>
        <v>142860.72500000001</v>
      </c>
      <c r="CG20" s="539">
        <f t="shared" si="2"/>
        <v>139945.20000000001</v>
      </c>
      <c r="CH20" s="539">
        <f t="shared" si="2"/>
        <v>137029.67500000002</v>
      </c>
      <c r="CI20" s="539">
        <f t="shared" si="2"/>
        <v>134114.15000000002</v>
      </c>
      <c r="CJ20" s="539">
        <f t="shared" si="2"/>
        <v>131198.62500000003</v>
      </c>
      <c r="CK20" s="539">
        <f t="shared" si="2"/>
        <v>128283.10000000003</v>
      </c>
      <c r="CL20" s="539">
        <f t="shared" si="2"/>
        <v>125367.57500000004</v>
      </c>
      <c r="CM20" s="539">
        <f t="shared" si="2"/>
        <v>122452.05000000005</v>
      </c>
      <c r="CN20" s="539">
        <f t="shared" si="2"/>
        <v>119536.52500000005</v>
      </c>
      <c r="CO20" s="539">
        <f t="shared" si="2"/>
        <v>116621.00000000006</v>
      </c>
      <c r="CP20" s="539">
        <f t="shared" si="2"/>
        <v>113705.47500000006</v>
      </c>
      <c r="CQ20" s="539">
        <f t="shared" si="2"/>
        <v>110789.95000000007</v>
      </c>
      <c r="CR20" s="539">
        <f t="shared" si="2"/>
        <v>107874.42500000008</v>
      </c>
      <c r="CS20" s="539">
        <f t="shared" si="2"/>
        <v>104958.90000000008</v>
      </c>
      <c r="CT20" s="539">
        <f t="shared" si="2"/>
        <v>102043.37500000009</v>
      </c>
      <c r="CU20" s="539">
        <f t="shared" si="2"/>
        <v>99127.850000000093</v>
      </c>
      <c r="CV20" s="539">
        <f t="shared" si="2"/>
        <v>96212.325000000099</v>
      </c>
      <c r="CW20" s="539">
        <f t="shared" si="2"/>
        <v>93296.800000000105</v>
      </c>
      <c r="CX20" s="539">
        <f t="shared" si="2"/>
        <v>90381.275000000111</v>
      </c>
      <c r="CY20" s="539">
        <f t="shared" si="2"/>
        <v>87465.750000000116</v>
      </c>
      <c r="CZ20" s="539">
        <f t="shared" si="2"/>
        <v>84550.225000000122</v>
      </c>
      <c r="DA20" s="539">
        <f t="shared" si="2"/>
        <v>81634.700000000128</v>
      </c>
      <c r="DB20" s="539">
        <f t="shared" si="2"/>
        <v>78719.175000000134</v>
      </c>
      <c r="DC20" s="539">
        <f t="shared" si="2"/>
        <v>75803.65000000014</v>
      </c>
      <c r="DD20" s="539">
        <f t="shared" si="2"/>
        <v>72888.125000000146</v>
      </c>
      <c r="DE20" s="539">
        <f t="shared" si="2"/>
        <v>69972.600000000151</v>
      </c>
      <c r="DF20" s="539">
        <f t="shared" si="2"/>
        <v>67057.075000000157</v>
      </c>
      <c r="DG20" s="539">
        <f t="shared" si="2"/>
        <v>64141.550000000156</v>
      </c>
      <c r="DH20" s="539">
        <f t="shared" si="2"/>
        <v>61226.025000000154</v>
      </c>
      <c r="DI20" s="539">
        <f t="shared" si="2"/>
        <v>58310.500000000153</v>
      </c>
      <c r="DJ20" s="539">
        <f t="shared" si="2"/>
        <v>55394.975000000151</v>
      </c>
      <c r="DK20" s="539">
        <f t="shared" si="2"/>
        <v>52479.45000000015</v>
      </c>
      <c r="DL20" s="539">
        <f t="shared" si="2"/>
        <v>49563.925000000148</v>
      </c>
      <c r="DM20" s="539">
        <f t="shared" si="2"/>
        <v>46648.400000000147</v>
      </c>
      <c r="DN20" s="539">
        <f t="shared" si="2"/>
        <v>43732.875000000146</v>
      </c>
      <c r="DO20" s="539">
        <f t="shared" si="2"/>
        <v>40817.350000000144</v>
      </c>
      <c r="DP20" s="539">
        <f t="shared" si="2"/>
        <v>37901.825000000143</v>
      </c>
      <c r="DQ20" s="539">
        <f t="shared" si="2"/>
        <v>34986.300000000141</v>
      </c>
      <c r="DR20" s="539">
        <f t="shared" si="2"/>
        <v>32070.77500000014</v>
      </c>
      <c r="DS20" s="539">
        <f t="shared" si="2"/>
        <v>29155.250000000138</v>
      </c>
      <c r="DT20" s="539">
        <f t="shared" si="2"/>
        <v>26239.725000000137</v>
      </c>
      <c r="DU20" s="539">
        <f t="shared" si="2"/>
        <v>23324.200000000135</v>
      </c>
      <c r="DV20" s="539">
        <f t="shared" si="2"/>
        <v>20408.675000000134</v>
      </c>
      <c r="DW20" s="539">
        <f t="shared" si="2"/>
        <v>17493.150000000132</v>
      </c>
      <c r="DX20" s="539">
        <f t="shared" si="2"/>
        <v>14577.625000000133</v>
      </c>
      <c r="DY20" s="539">
        <f t="shared" si="2"/>
        <v>11662.100000000133</v>
      </c>
      <c r="DZ20" s="539">
        <f t="shared" si="2"/>
        <v>8746.5750000001335</v>
      </c>
      <c r="EA20" s="539">
        <f t="shared" si="2"/>
        <v>5831.0500000001339</v>
      </c>
      <c r="EB20" s="539">
        <f t="shared" si="2"/>
        <v>2915.5250000001338</v>
      </c>
      <c r="EC20" s="539">
        <f t="shared" si="2"/>
        <v>0</v>
      </c>
      <c r="ED20" s="539">
        <f t="shared" si="2"/>
        <v>0</v>
      </c>
      <c r="EE20" s="539">
        <f t="shared" si="2"/>
        <v>0</v>
      </c>
      <c r="EF20" s="539">
        <f t="shared" si="2"/>
        <v>0</v>
      </c>
      <c r="EG20" s="539">
        <f t="shared" si="2"/>
        <v>0</v>
      </c>
    </row>
    <row r="21" spans="5:137" ht="12.75">
      <c r="E21" s="540" t="s">
        <v>282</v>
      </c>
      <c r="G21" s="541" t="s">
        <v>30</v>
      </c>
      <c r="H21" s="541">
        <f>SUM(J21:EG21)</f>
        <v>291552.49999999988</v>
      </c>
      <c r="J21" s="541">
        <f t="shared" si="3" ref="J21:EG21">MIN(J19/$F15*J18,I20+J16)*J17</f>
        <v>0</v>
      </c>
      <c r="K21" s="541">
        <f t="shared" si="3"/>
        <v>0</v>
      </c>
      <c r="L21" s="541">
        <f t="shared" si="3"/>
        <v>0</v>
      </c>
      <c r="M21" s="541">
        <f t="shared" si="3"/>
        <v>0</v>
      </c>
      <c r="N21" s="541">
        <f t="shared" si="3"/>
        <v>0</v>
      </c>
      <c r="O21" s="541">
        <f t="shared" si="3"/>
        <v>0</v>
      </c>
      <c r="P21" s="541">
        <f t="shared" si="3"/>
        <v>0</v>
      </c>
      <c r="Q21" s="541">
        <f t="shared" si="3"/>
        <v>0</v>
      </c>
      <c r="R21" s="541">
        <f t="shared" si="3"/>
        <v>0</v>
      </c>
      <c r="S21" s="541">
        <f t="shared" si="3"/>
        <v>0</v>
      </c>
      <c r="T21" s="541">
        <f t="shared" si="3"/>
        <v>0</v>
      </c>
      <c r="U21" s="541">
        <f t="shared" si="3"/>
        <v>0</v>
      </c>
      <c r="V21" s="541">
        <f t="shared" si="3"/>
        <v>0</v>
      </c>
      <c r="W21" s="541">
        <f t="shared" si="3"/>
        <v>0</v>
      </c>
      <c r="X21" s="541">
        <f t="shared" si="3"/>
        <v>0</v>
      </c>
      <c r="Y21" s="541">
        <f t="shared" si="3"/>
        <v>0</v>
      </c>
      <c r="Z21" s="541">
        <f t="shared" si="3"/>
        <v>0</v>
      </c>
      <c r="AA21" s="541">
        <f t="shared" si="3"/>
        <v>0</v>
      </c>
      <c r="AB21" s="541">
        <f t="shared" si="3"/>
        <v>0</v>
      </c>
      <c r="AC21" s="541">
        <f t="shared" si="3"/>
        <v>0</v>
      </c>
      <c r="AD21" s="541">
        <f t="shared" si="3"/>
        <v>0</v>
      </c>
      <c r="AE21" s="541">
        <f t="shared" si="3"/>
        <v>0</v>
      </c>
      <c r="AF21" s="541">
        <f t="shared" si="3"/>
        <v>0</v>
      </c>
      <c r="AG21" s="541">
        <f t="shared" si="3"/>
        <v>0</v>
      </c>
      <c r="AH21" s="541">
        <f t="shared" si="3"/>
        <v>2915.5250000000001</v>
      </c>
      <c r="AI21" s="541">
        <f t="shared" si="3"/>
        <v>2915.5250000000001</v>
      </c>
      <c r="AJ21" s="541">
        <f t="shared" si="3"/>
        <v>2915.5250000000001</v>
      </c>
      <c r="AK21" s="541">
        <f t="shared" si="3"/>
        <v>2915.5250000000001</v>
      </c>
      <c r="AL21" s="541">
        <f t="shared" si="3"/>
        <v>2915.5250000000001</v>
      </c>
      <c r="AM21" s="541">
        <f t="shared" si="3"/>
        <v>2915.5250000000001</v>
      </c>
      <c r="AN21" s="541">
        <f t="shared" si="3"/>
        <v>2915.5250000000001</v>
      </c>
      <c r="AO21" s="541">
        <f t="shared" si="3"/>
        <v>2915.5250000000001</v>
      </c>
      <c r="AP21" s="541">
        <f t="shared" si="3"/>
        <v>2915.5250000000001</v>
      </c>
      <c r="AQ21" s="541">
        <f t="shared" si="3"/>
        <v>2915.5250000000001</v>
      </c>
      <c r="AR21" s="541">
        <f t="shared" si="3"/>
        <v>2915.5250000000001</v>
      </c>
      <c r="AS21" s="541">
        <f t="shared" si="3"/>
        <v>2915.5250000000001</v>
      </c>
      <c r="AT21" s="541">
        <f t="shared" si="3"/>
        <v>2915.5250000000001</v>
      </c>
      <c r="AU21" s="541">
        <f t="shared" si="3"/>
        <v>2915.5250000000001</v>
      </c>
      <c r="AV21" s="541">
        <f t="shared" si="3"/>
        <v>2915.5250000000001</v>
      </c>
      <c r="AW21" s="541">
        <f t="shared" si="3"/>
        <v>2915.5250000000001</v>
      </c>
      <c r="AX21" s="541">
        <f t="shared" si="3"/>
        <v>2915.5250000000001</v>
      </c>
      <c r="AY21" s="541">
        <f t="shared" si="3"/>
        <v>2915.5250000000001</v>
      </c>
      <c r="AZ21" s="541">
        <f t="shared" si="3"/>
        <v>2915.5250000000001</v>
      </c>
      <c r="BA21" s="541">
        <f t="shared" si="3"/>
        <v>2915.5250000000001</v>
      </c>
      <c r="BB21" s="541">
        <f t="shared" si="3"/>
        <v>2915.5250000000001</v>
      </c>
      <c r="BC21" s="541">
        <f t="shared" si="3"/>
        <v>2915.5250000000001</v>
      </c>
      <c r="BD21" s="541">
        <f t="shared" si="3"/>
        <v>2915.5250000000001</v>
      </c>
      <c r="BE21" s="541">
        <f t="shared" si="3"/>
        <v>2915.5250000000001</v>
      </c>
      <c r="BF21" s="541">
        <f t="shared" si="3"/>
        <v>2915.5250000000001</v>
      </c>
      <c r="BG21" s="541">
        <f t="shared" si="3"/>
        <v>2915.5250000000001</v>
      </c>
      <c r="BH21" s="541">
        <f t="shared" si="3"/>
        <v>2915.5250000000001</v>
      </c>
      <c r="BI21" s="541">
        <f t="shared" si="3"/>
        <v>2915.5250000000001</v>
      </c>
      <c r="BJ21" s="541">
        <f t="shared" si="3"/>
        <v>2915.5250000000001</v>
      </c>
      <c r="BK21" s="541">
        <f t="shared" si="3"/>
        <v>2915.5250000000001</v>
      </c>
      <c r="BL21" s="541">
        <f t="shared" si="3"/>
        <v>2915.5250000000001</v>
      </c>
      <c r="BM21" s="541">
        <f t="shared" si="3"/>
        <v>2915.5250000000001</v>
      </c>
      <c r="BN21" s="541">
        <f t="shared" si="3"/>
        <v>2915.5250000000001</v>
      </c>
      <c r="BO21" s="541">
        <f t="shared" si="3"/>
        <v>2915.5250000000001</v>
      </c>
      <c r="BP21" s="541">
        <f t="shared" si="3"/>
        <v>2915.5250000000001</v>
      </c>
      <c r="BQ21" s="541">
        <f t="shared" si="3"/>
        <v>2915.5250000000001</v>
      </c>
      <c r="BR21" s="541">
        <f t="shared" si="3"/>
        <v>2915.5250000000001</v>
      </c>
      <c r="BS21" s="541">
        <f t="shared" si="3"/>
        <v>2915.5250000000001</v>
      </c>
      <c r="BT21" s="541">
        <f t="shared" si="3"/>
        <v>2915.5250000000001</v>
      </c>
      <c r="BU21" s="541">
        <f t="shared" si="3"/>
        <v>2915.5250000000001</v>
      </c>
      <c r="BV21" s="541">
        <f t="shared" si="3"/>
        <v>2915.5250000000001</v>
      </c>
      <c r="BW21" s="541">
        <f t="shared" si="3"/>
        <v>2915.5250000000001</v>
      </c>
      <c r="BX21" s="541">
        <f t="shared" si="3"/>
        <v>2915.5250000000001</v>
      </c>
      <c r="BY21" s="541">
        <f t="shared" si="3"/>
        <v>2915.5250000000001</v>
      </c>
      <c r="BZ21" s="541">
        <f t="shared" si="3"/>
        <v>2915.5250000000001</v>
      </c>
      <c r="CA21" s="541">
        <f t="shared" si="3"/>
        <v>2915.5250000000001</v>
      </c>
      <c r="CB21" s="541">
        <f t="shared" si="3"/>
        <v>2915.5250000000001</v>
      </c>
      <c r="CC21" s="541">
        <f t="shared" si="3"/>
        <v>2915.5250000000001</v>
      </c>
      <c r="CD21" s="541">
        <f t="shared" si="3"/>
        <v>2915.5250000000001</v>
      </c>
      <c r="CE21" s="541">
        <f t="shared" si="3"/>
        <v>2915.5250000000001</v>
      </c>
      <c r="CF21" s="541">
        <f t="shared" si="3"/>
        <v>2915.5250000000001</v>
      </c>
      <c r="CG21" s="541">
        <f t="shared" si="3"/>
        <v>2915.5250000000001</v>
      </c>
      <c r="CH21" s="541">
        <f t="shared" si="3"/>
        <v>2915.5250000000001</v>
      </c>
      <c r="CI21" s="541">
        <f t="shared" si="3"/>
        <v>2915.5250000000001</v>
      </c>
      <c r="CJ21" s="541">
        <f t="shared" si="3"/>
        <v>2915.5250000000001</v>
      </c>
      <c r="CK21" s="541">
        <f t="shared" si="3"/>
        <v>2915.5250000000001</v>
      </c>
      <c r="CL21" s="541">
        <f t="shared" si="3"/>
        <v>2915.5250000000001</v>
      </c>
      <c r="CM21" s="541">
        <f t="shared" si="3"/>
        <v>2915.5250000000001</v>
      </c>
      <c r="CN21" s="541">
        <f t="shared" si="3"/>
        <v>2915.5250000000001</v>
      </c>
      <c r="CO21" s="541">
        <f t="shared" si="3"/>
        <v>2915.5250000000001</v>
      </c>
      <c r="CP21" s="541">
        <f t="shared" si="3"/>
        <v>2915.5250000000001</v>
      </c>
      <c r="CQ21" s="541">
        <f t="shared" si="3"/>
        <v>2915.5250000000001</v>
      </c>
      <c r="CR21" s="541">
        <f t="shared" si="3"/>
        <v>2915.5250000000001</v>
      </c>
      <c r="CS21" s="541">
        <f t="shared" si="3"/>
        <v>2915.5250000000001</v>
      </c>
      <c r="CT21" s="541">
        <f t="shared" si="3"/>
        <v>2915.5250000000001</v>
      </c>
      <c r="CU21" s="541">
        <f t="shared" si="3"/>
        <v>2915.5250000000001</v>
      </c>
      <c r="CV21" s="541">
        <f t="shared" si="3"/>
        <v>2915.5250000000001</v>
      </c>
      <c r="CW21" s="541">
        <f t="shared" si="3"/>
        <v>2915.5250000000001</v>
      </c>
      <c r="CX21" s="541">
        <f t="shared" si="3"/>
        <v>2915.5250000000001</v>
      </c>
      <c r="CY21" s="541">
        <f t="shared" si="3"/>
        <v>2915.5250000000001</v>
      </c>
      <c r="CZ21" s="541">
        <f t="shared" si="3"/>
        <v>2915.5250000000001</v>
      </c>
      <c r="DA21" s="541">
        <f t="shared" si="3"/>
        <v>2915.5250000000001</v>
      </c>
      <c r="DB21" s="541">
        <f t="shared" si="3"/>
        <v>2915.5250000000001</v>
      </c>
      <c r="DC21" s="541">
        <f t="shared" si="3"/>
        <v>2915.5250000000001</v>
      </c>
      <c r="DD21" s="541">
        <f t="shared" si="3"/>
        <v>2915.5250000000001</v>
      </c>
      <c r="DE21" s="541">
        <f t="shared" si="3"/>
        <v>2915.5250000000001</v>
      </c>
      <c r="DF21" s="541">
        <f t="shared" si="3"/>
        <v>2915.5250000000001</v>
      </c>
      <c r="DG21" s="541">
        <f t="shared" si="3"/>
        <v>2915.5250000000001</v>
      </c>
      <c r="DH21" s="541">
        <f t="shared" si="3"/>
        <v>2915.5250000000001</v>
      </c>
      <c r="DI21" s="541">
        <f t="shared" si="3"/>
        <v>2915.5250000000001</v>
      </c>
      <c r="DJ21" s="541">
        <f t="shared" si="3"/>
        <v>2915.5250000000001</v>
      </c>
      <c r="DK21" s="541">
        <f t="shared" si="3"/>
        <v>2915.5250000000001</v>
      </c>
      <c r="DL21" s="541">
        <f t="shared" si="3"/>
        <v>2915.5250000000001</v>
      </c>
      <c r="DM21" s="541">
        <f t="shared" si="3"/>
        <v>2915.5250000000001</v>
      </c>
      <c r="DN21" s="541">
        <f t="shared" si="3"/>
        <v>2915.5250000000001</v>
      </c>
      <c r="DO21" s="541">
        <f t="shared" si="3"/>
        <v>2915.5250000000001</v>
      </c>
      <c r="DP21" s="541">
        <f t="shared" si="3"/>
        <v>2915.5250000000001</v>
      </c>
      <c r="DQ21" s="541">
        <f t="shared" si="3"/>
        <v>2915.5250000000001</v>
      </c>
      <c r="DR21" s="541">
        <f t="shared" si="3"/>
        <v>2915.5250000000001</v>
      </c>
      <c r="DS21" s="541">
        <f t="shared" si="3"/>
        <v>2915.5250000000001</v>
      </c>
      <c r="DT21" s="541">
        <f t="shared" si="3"/>
        <v>2915.5250000000001</v>
      </c>
      <c r="DU21" s="541">
        <f t="shared" si="3"/>
        <v>2915.5250000000001</v>
      </c>
      <c r="DV21" s="541">
        <f t="shared" si="3"/>
        <v>2915.5250000000001</v>
      </c>
      <c r="DW21" s="541">
        <f t="shared" si="3"/>
        <v>2915.5250000000001</v>
      </c>
      <c r="DX21" s="541">
        <f t="shared" si="3"/>
        <v>2915.5250000000001</v>
      </c>
      <c r="DY21" s="541">
        <f t="shared" si="3"/>
        <v>2915.5250000000001</v>
      </c>
      <c r="DZ21" s="541">
        <f t="shared" si="3"/>
        <v>2915.5250000000001</v>
      </c>
      <c r="EA21" s="541">
        <f t="shared" si="3"/>
        <v>2915.5250000000001</v>
      </c>
      <c r="EB21" s="541">
        <f t="shared" si="3"/>
        <v>2915.5250000000001</v>
      </c>
      <c r="EC21" s="541">
        <f t="shared" si="3"/>
        <v>2915.5250000000001</v>
      </c>
      <c r="ED21" s="541">
        <f t="shared" si="3"/>
        <v>0</v>
      </c>
      <c r="EE21" s="541">
        <f t="shared" si="3"/>
        <v>0</v>
      </c>
      <c r="EF21" s="541">
        <f t="shared" si="3"/>
        <v>0</v>
      </c>
      <c r="EG21" s="541">
        <f t="shared" si="3"/>
        <v>0</v>
      </c>
    </row>
    <row r="23" spans="5:137" ht="12.75">
      <c r="E23" s="535" t="str">
        <f>Cons!E$48</f>
        <v>Capex - total</v>
      </c>
      <c r="G23" s="537" t="str">
        <f>Cons!G$48</f>
        <v>EUR 000s</v>
      </c>
      <c r="H23" s="537">
        <f>Cons!H$48</f>
        <v>291552.5</v>
      </c>
      <c r="J23" s="537">
        <f>Cons!J$48</f>
        <v>0</v>
      </c>
      <c r="K23" s="537">
        <f>Cons!K$48</f>
        <v>0</v>
      </c>
      <c r="L23" s="537">
        <f>Cons!L$48</f>
        <v>8000</v>
      </c>
      <c r="M23" s="537">
        <f>Cons!M$48</f>
        <v>13291.5625</v>
      </c>
      <c r="N23" s="537">
        <f>Cons!N$48</f>
        <v>13619.6875</v>
      </c>
      <c r="O23" s="537">
        <f>Cons!O$48</f>
        <v>13291.5625</v>
      </c>
      <c r="P23" s="537">
        <f>Cons!P$48</f>
        <v>13619.6875</v>
      </c>
      <c r="Q23" s="537">
        <f>Cons!Q$48</f>
        <v>13291.5625</v>
      </c>
      <c r="R23" s="537">
        <f>Cons!R$48</f>
        <v>16941.953125</v>
      </c>
      <c r="S23" s="537">
        <f>Cons!S$48</f>
        <v>17639.21875</v>
      </c>
      <c r="T23" s="537">
        <f>Cons!T$48</f>
        <v>17967.34375</v>
      </c>
      <c r="U23" s="537">
        <f>Cons!U$48</f>
        <v>18295.46875</v>
      </c>
      <c r="V23" s="537">
        <f>Cons!V$48</f>
        <v>16982.96875</v>
      </c>
      <c r="W23" s="537">
        <f>Cons!W$48</f>
        <v>16818.90625</v>
      </c>
      <c r="X23" s="537">
        <f>Cons!X$48</f>
        <v>15014.21875</v>
      </c>
      <c r="Y23" s="537">
        <f>Cons!Y$48</f>
        <v>13045.46875</v>
      </c>
      <c r="Z23" s="537">
        <f>Cons!Z$48</f>
        <v>12061.09375</v>
      </c>
      <c r="AA23" s="537">
        <f>Cons!AA$48</f>
        <v>13537.65625</v>
      </c>
      <c r="AB23" s="537">
        <f>Cons!AB$48</f>
        <v>14193.90625</v>
      </c>
      <c r="AC23" s="537">
        <f>Cons!AC$48</f>
        <v>14029.84375</v>
      </c>
      <c r="AD23" s="537">
        <f>Cons!AD$48</f>
        <v>12676.328125</v>
      </c>
      <c r="AE23" s="537">
        <f>Cons!AE$48</f>
        <v>7549.375</v>
      </c>
      <c r="AF23" s="537">
        <f>Cons!AF$48</f>
        <v>5744.6875</v>
      </c>
      <c r="AG23" s="537">
        <f>Cons!AG$48</f>
        <v>3940</v>
      </c>
      <c r="AH23" s="537">
        <f>Cons!AH$48</f>
        <v>0</v>
      </c>
      <c r="AI23" s="537">
        <f>Cons!AI$48</f>
        <v>0</v>
      </c>
      <c r="AJ23" s="537">
        <f>Cons!AJ$48</f>
        <v>0</v>
      </c>
      <c r="AK23" s="537">
        <f>Cons!AK$48</f>
        <v>0</v>
      </c>
      <c r="AL23" s="537">
        <f>Cons!AL$48</f>
        <v>0</v>
      </c>
      <c r="AM23" s="537">
        <f>Cons!AM$48</f>
        <v>0</v>
      </c>
      <c r="AN23" s="537">
        <f>Cons!AN$48</f>
        <v>0</v>
      </c>
      <c r="AO23" s="537">
        <f>Cons!AO$48</f>
        <v>0</v>
      </c>
      <c r="AP23" s="537">
        <f>Cons!AP$48</f>
        <v>0</v>
      </c>
      <c r="AQ23" s="537">
        <f>Cons!AQ$48</f>
        <v>0</v>
      </c>
      <c r="AR23" s="537">
        <f>Cons!AR$48</f>
        <v>0</v>
      </c>
      <c r="AS23" s="537">
        <f>Cons!AS$48</f>
        <v>0</v>
      </c>
      <c r="AT23" s="537">
        <f>Cons!AT$48</f>
        <v>0</v>
      </c>
      <c r="AU23" s="537">
        <f>Cons!AU$48</f>
        <v>0</v>
      </c>
      <c r="AV23" s="537">
        <f>Cons!AV$48</f>
        <v>0</v>
      </c>
      <c r="AW23" s="537">
        <f>Cons!AW$48</f>
        <v>0</v>
      </c>
      <c r="AX23" s="537">
        <f>Cons!AX$48</f>
        <v>0</v>
      </c>
      <c r="AY23" s="537">
        <f>Cons!AY$48</f>
        <v>0</v>
      </c>
      <c r="AZ23" s="537">
        <f>Cons!AZ$48</f>
        <v>0</v>
      </c>
      <c r="BA23" s="537">
        <f>Cons!BA$48</f>
        <v>0</v>
      </c>
      <c r="BB23" s="537">
        <f>Cons!BB$48</f>
        <v>0</v>
      </c>
      <c r="BC23" s="537">
        <f>Cons!BC$48</f>
        <v>0</v>
      </c>
      <c r="BD23" s="537">
        <f>Cons!BD$48</f>
        <v>0</v>
      </c>
      <c r="BE23" s="537">
        <f>Cons!BE$48</f>
        <v>0</v>
      </c>
      <c r="BF23" s="537">
        <f>Cons!BF$48</f>
        <v>0</v>
      </c>
      <c r="BG23" s="537">
        <f>Cons!BG$48</f>
        <v>0</v>
      </c>
      <c r="BH23" s="537">
        <f>Cons!BH$48</f>
        <v>0</v>
      </c>
      <c r="BI23" s="537">
        <f>Cons!BI$48</f>
        <v>0</v>
      </c>
      <c r="BJ23" s="537">
        <f>Cons!BJ$48</f>
        <v>0</v>
      </c>
      <c r="BK23" s="537">
        <f>Cons!BK$48</f>
        <v>0</v>
      </c>
      <c r="BL23" s="537">
        <f>Cons!BL$48</f>
        <v>0</v>
      </c>
      <c r="BM23" s="537">
        <f>Cons!BM$48</f>
        <v>0</v>
      </c>
      <c r="BN23" s="537">
        <f>Cons!BN$48</f>
        <v>0</v>
      </c>
      <c r="BO23" s="537">
        <f>Cons!BO$48</f>
        <v>0</v>
      </c>
      <c r="BP23" s="537">
        <f>Cons!BP$48</f>
        <v>0</v>
      </c>
      <c r="BQ23" s="537">
        <f>Cons!BQ$48</f>
        <v>0</v>
      </c>
      <c r="BR23" s="537">
        <f>Cons!BR$48</f>
        <v>0</v>
      </c>
      <c r="BS23" s="537">
        <f>Cons!BS$48</f>
        <v>0</v>
      </c>
      <c r="BT23" s="537">
        <f>Cons!BT$48</f>
        <v>0</v>
      </c>
      <c r="BU23" s="537">
        <f>Cons!BU$48</f>
        <v>0</v>
      </c>
      <c r="BV23" s="537">
        <f>Cons!BV$48</f>
        <v>0</v>
      </c>
      <c r="BW23" s="537">
        <f>Cons!BW$48</f>
        <v>0</v>
      </c>
      <c r="BX23" s="537">
        <f>Cons!BX$48</f>
        <v>0</v>
      </c>
      <c r="BY23" s="537">
        <f>Cons!BY$48</f>
        <v>0</v>
      </c>
      <c r="BZ23" s="537">
        <f>Cons!BZ$48</f>
        <v>0</v>
      </c>
      <c r="CA23" s="537">
        <f>Cons!CA$48</f>
        <v>0</v>
      </c>
      <c r="CB23" s="537">
        <f>Cons!CB$48</f>
        <v>0</v>
      </c>
      <c r="CC23" s="537">
        <f>Cons!CC$48</f>
        <v>0</v>
      </c>
      <c r="CD23" s="537">
        <f>Cons!CD$48</f>
        <v>0</v>
      </c>
      <c r="CE23" s="537">
        <f>Cons!CE$48</f>
        <v>0</v>
      </c>
      <c r="CF23" s="537">
        <f>Cons!CF$48</f>
        <v>0</v>
      </c>
      <c r="CG23" s="537">
        <f>Cons!CG$48</f>
        <v>0</v>
      </c>
      <c r="CH23" s="537">
        <f>Cons!CH$48</f>
        <v>0</v>
      </c>
      <c r="CI23" s="537">
        <f>Cons!CI$48</f>
        <v>0</v>
      </c>
      <c r="CJ23" s="537">
        <f>Cons!CJ$48</f>
        <v>0</v>
      </c>
      <c r="CK23" s="537">
        <f>Cons!CK$48</f>
        <v>0</v>
      </c>
      <c r="CL23" s="537">
        <f>Cons!CL$48</f>
        <v>0</v>
      </c>
      <c r="CM23" s="537">
        <f>Cons!CM$48</f>
        <v>0</v>
      </c>
      <c r="CN23" s="537">
        <f>Cons!CN$48</f>
        <v>0</v>
      </c>
      <c r="CO23" s="537">
        <f>Cons!CO$48</f>
        <v>0</v>
      </c>
      <c r="CP23" s="537">
        <f>Cons!CP$48</f>
        <v>0</v>
      </c>
      <c r="CQ23" s="537">
        <f>Cons!CQ$48</f>
        <v>0</v>
      </c>
      <c r="CR23" s="537">
        <f>Cons!CR$48</f>
        <v>0</v>
      </c>
      <c r="CS23" s="537">
        <f>Cons!CS$48</f>
        <v>0</v>
      </c>
      <c r="CT23" s="537">
        <f>Cons!CT$48</f>
        <v>0</v>
      </c>
      <c r="CU23" s="537">
        <f>Cons!CU$48</f>
        <v>0</v>
      </c>
      <c r="CV23" s="537">
        <f>Cons!CV$48</f>
        <v>0</v>
      </c>
      <c r="CW23" s="537">
        <f>Cons!CW$48</f>
        <v>0</v>
      </c>
      <c r="CX23" s="537">
        <f>Cons!CX$48</f>
        <v>0</v>
      </c>
      <c r="CY23" s="537">
        <f>Cons!CY$48</f>
        <v>0</v>
      </c>
      <c r="CZ23" s="537">
        <f>Cons!CZ$48</f>
        <v>0</v>
      </c>
      <c r="DA23" s="537">
        <f>Cons!DA$48</f>
        <v>0</v>
      </c>
      <c r="DB23" s="537">
        <f>Cons!DB$48</f>
        <v>0</v>
      </c>
      <c r="DC23" s="537">
        <f>Cons!DC$48</f>
        <v>0</v>
      </c>
      <c r="DD23" s="537">
        <f>Cons!DD$48</f>
        <v>0</v>
      </c>
      <c r="DE23" s="537">
        <f>Cons!DE$48</f>
        <v>0</v>
      </c>
      <c r="DF23" s="537">
        <f>Cons!DF$48</f>
        <v>0</v>
      </c>
      <c r="DG23" s="537">
        <f>Cons!DG$48</f>
        <v>0</v>
      </c>
      <c r="DH23" s="537">
        <f>Cons!DH$48</f>
        <v>0</v>
      </c>
      <c r="DI23" s="537">
        <f>Cons!DI$48</f>
        <v>0</v>
      </c>
      <c r="DJ23" s="537">
        <f>Cons!DJ$48</f>
        <v>0</v>
      </c>
      <c r="DK23" s="537">
        <f>Cons!DK$48</f>
        <v>0</v>
      </c>
      <c r="DL23" s="537">
        <f>Cons!DL$48</f>
        <v>0</v>
      </c>
      <c r="DM23" s="537">
        <f>Cons!DM$48</f>
        <v>0</v>
      </c>
      <c r="DN23" s="537">
        <f>Cons!DN$48</f>
        <v>0</v>
      </c>
      <c r="DO23" s="537">
        <f>Cons!DO$48</f>
        <v>0</v>
      </c>
      <c r="DP23" s="537">
        <f>Cons!DP$48</f>
        <v>0</v>
      </c>
      <c r="DQ23" s="537">
        <f>Cons!DQ$48</f>
        <v>0</v>
      </c>
      <c r="DR23" s="537">
        <f>Cons!DR$48</f>
        <v>0</v>
      </c>
      <c r="DS23" s="537">
        <f>Cons!DS$48</f>
        <v>0</v>
      </c>
      <c r="DT23" s="537">
        <f>Cons!DT$48</f>
        <v>0</v>
      </c>
      <c r="DU23" s="537">
        <f>Cons!DU$48</f>
        <v>0</v>
      </c>
      <c r="DV23" s="537">
        <f>Cons!DV$48</f>
        <v>0</v>
      </c>
      <c r="DW23" s="537">
        <f>Cons!DW$48</f>
        <v>0</v>
      </c>
      <c r="DX23" s="537">
        <f>Cons!DX$48</f>
        <v>0</v>
      </c>
      <c r="DY23" s="537">
        <f>Cons!DY$48</f>
        <v>0</v>
      </c>
      <c r="DZ23" s="537">
        <f>Cons!DZ$48</f>
        <v>0</v>
      </c>
      <c r="EA23" s="537">
        <f>Cons!EA$48</f>
        <v>0</v>
      </c>
      <c r="EB23" s="537">
        <f>Cons!EB$48</f>
        <v>0</v>
      </c>
      <c r="EC23" s="537">
        <f>Cons!EC$48</f>
        <v>0</v>
      </c>
      <c r="ED23" s="537">
        <f>Cons!ED$48</f>
        <v>0</v>
      </c>
      <c r="EE23" s="537">
        <f>Cons!EE$48</f>
        <v>0</v>
      </c>
      <c r="EF23" s="537">
        <f>Cons!EF$48</f>
        <v>0</v>
      </c>
      <c r="EG23" s="537">
        <f>Cons!EG$48</f>
        <v>0</v>
      </c>
    </row>
    <row r="24" spans="5:137" ht="12.75">
      <c r="E24" s="535" t="str">
        <f>Time!E$86</f>
        <v>Last operating period flag</v>
      </c>
      <c r="G24" s="537" t="str">
        <f>Time!G$86</f>
        <v>flag</v>
      </c>
      <c r="H24" s="537">
        <f>Time!H$86</f>
        <v>1</v>
      </c>
      <c r="J24" s="537">
        <f>Time!J$86</f>
        <v>0</v>
      </c>
      <c r="K24" s="537">
        <f>Time!K$86</f>
        <v>0</v>
      </c>
      <c r="L24" s="537">
        <f>Time!L$86</f>
        <v>0</v>
      </c>
      <c r="M24" s="537">
        <f>Time!M$86</f>
        <v>0</v>
      </c>
      <c r="N24" s="537">
        <f>Time!N$86</f>
        <v>0</v>
      </c>
      <c r="O24" s="537">
        <f>Time!O$86</f>
        <v>0</v>
      </c>
      <c r="P24" s="537">
        <f>Time!P$86</f>
        <v>0</v>
      </c>
      <c r="Q24" s="537">
        <f>Time!Q$86</f>
        <v>0</v>
      </c>
      <c r="R24" s="537">
        <f>Time!R$86</f>
        <v>0</v>
      </c>
      <c r="S24" s="537">
        <f>Time!S$86</f>
        <v>0</v>
      </c>
      <c r="T24" s="537">
        <f>Time!T$86</f>
        <v>0</v>
      </c>
      <c r="U24" s="537">
        <f>Time!U$86</f>
        <v>0</v>
      </c>
      <c r="V24" s="537">
        <f>Time!V$86</f>
        <v>0</v>
      </c>
      <c r="W24" s="537">
        <f>Time!W$86</f>
        <v>0</v>
      </c>
      <c r="X24" s="537">
        <f>Time!X$86</f>
        <v>0</v>
      </c>
      <c r="Y24" s="537">
        <f>Time!Y$86</f>
        <v>0</v>
      </c>
      <c r="Z24" s="537">
        <f>Time!Z$86</f>
        <v>0</v>
      </c>
      <c r="AA24" s="537">
        <f>Time!AA$86</f>
        <v>0</v>
      </c>
      <c r="AB24" s="537">
        <f>Time!AB$86</f>
        <v>0</v>
      </c>
      <c r="AC24" s="537">
        <f>Time!AC$86</f>
        <v>0</v>
      </c>
      <c r="AD24" s="537">
        <f>Time!AD$86</f>
        <v>0</v>
      </c>
      <c r="AE24" s="537">
        <f>Time!AE$86</f>
        <v>0</v>
      </c>
      <c r="AF24" s="537">
        <f>Time!AF$86</f>
        <v>0</v>
      </c>
      <c r="AG24" s="537">
        <f>Time!AG$86</f>
        <v>0</v>
      </c>
      <c r="AH24" s="537">
        <f>Time!AH$86</f>
        <v>0</v>
      </c>
      <c r="AI24" s="537">
        <f>Time!AI$86</f>
        <v>0</v>
      </c>
      <c r="AJ24" s="537">
        <f>Time!AJ$86</f>
        <v>0</v>
      </c>
      <c r="AK24" s="537">
        <f>Time!AK$86</f>
        <v>0</v>
      </c>
      <c r="AL24" s="537">
        <f>Time!AL$86</f>
        <v>0</v>
      </c>
      <c r="AM24" s="537">
        <f>Time!AM$86</f>
        <v>0</v>
      </c>
      <c r="AN24" s="537">
        <f>Time!AN$86</f>
        <v>0</v>
      </c>
      <c r="AO24" s="537">
        <f>Time!AO$86</f>
        <v>0</v>
      </c>
      <c r="AP24" s="537">
        <f>Time!AP$86</f>
        <v>0</v>
      </c>
      <c r="AQ24" s="537">
        <f>Time!AQ$86</f>
        <v>0</v>
      </c>
      <c r="AR24" s="537">
        <f>Time!AR$86</f>
        <v>0</v>
      </c>
      <c r="AS24" s="537">
        <f>Time!AS$86</f>
        <v>0</v>
      </c>
      <c r="AT24" s="537">
        <f>Time!AT$86</f>
        <v>0</v>
      </c>
      <c r="AU24" s="537">
        <f>Time!AU$86</f>
        <v>0</v>
      </c>
      <c r="AV24" s="537">
        <f>Time!AV$86</f>
        <v>0</v>
      </c>
      <c r="AW24" s="537">
        <f>Time!AW$86</f>
        <v>0</v>
      </c>
      <c r="AX24" s="537">
        <f>Time!AX$86</f>
        <v>0</v>
      </c>
      <c r="AY24" s="537">
        <f>Time!AY$86</f>
        <v>0</v>
      </c>
      <c r="AZ24" s="537">
        <f>Time!AZ$86</f>
        <v>0</v>
      </c>
      <c r="BA24" s="537">
        <f>Time!BA$86</f>
        <v>0</v>
      </c>
      <c r="BB24" s="537">
        <f>Time!BB$86</f>
        <v>0</v>
      </c>
      <c r="BC24" s="537">
        <f>Time!BC$86</f>
        <v>0</v>
      </c>
      <c r="BD24" s="537">
        <f>Time!BD$86</f>
        <v>0</v>
      </c>
      <c r="BE24" s="537">
        <f>Time!BE$86</f>
        <v>0</v>
      </c>
      <c r="BF24" s="537">
        <f>Time!BF$86</f>
        <v>0</v>
      </c>
      <c r="BG24" s="537">
        <f>Time!BG$86</f>
        <v>0</v>
      </c>
      <c r="BH24" s="537">
        <f>Time!BH$86</f>
        <v>0</v>
      </c>
      <c r="BI24" s="537">
        <f>Time!BI$86</f>
        <v>0</v>
      </c>
      <c r="BJ24" s="537">
        <f>Time!BJ$86</f>
        <v>0</v>
      </c>
      <c r="BK24" s="537">
        <f>Time!BK$86</f>
        <v>0</v>
      </c>
      <c r="BL24" s="537">
        <f>Time!BL$86</f>
        <v>0</v>
      </c>
      <c r="BM24" s="537">
        <f>Time!BM$86</f>
        <v>0</v>
      </c>
      <c r="BN24" s="537">
        <f>Time!BN$86</f>
        <v>0</v>
      </c>
      <c r="BO24" s="537">
        <f>Time!BO$86</f>
        <v>0</v>
      </c>
      <c r="BP24" s="537">
        <f>Time!BP$86</f>
        <v>0</v>
      </c>
      <c r="BQ24" s="537">
        <f>Time!BQ$86</f>
        <v>0</v>
      </c>
      <c r="BR24" s="537">
        <f>Time!BR$86</f>
        <v>0</v>
      </c>
      <c r="BS24" s="537">
        <f>Time!BS$86</f>
        <v>0</v>
      </c>
      <c r="BT24" s="537">
        <f>Time!BT$86</f>
        <v>0</v>
      </c>
      <c r="BU24" s="537">
        <f>Time!BU$86</f>
        <v>0</v>
      </c>
      <c r="BV24" s="537">
        <f>Time!BV$86</f>
        <v>0</v>
      </c>
      <c r="BW24" s="537">
        <f>Time!BW$86</f>
        <v>0</v>
      </c>
      <c r="BX24" s="537">
        <f>Time!BX$86</f>
        <v>0</v>
      </c>
      <c r="BY24" s="537">
        <f>Time!BY$86</f>
        <v>0</v>
      </c>
      <c r="BZ24" s="537">
        <f>Time!BZ$86</f>
        <v>0</v>
      </c>
      <c r="CA24" s="537">
        <f>Time!CA$86</f>
        <v>0</v>
      </c>
      <c r="CB24" s="537">
        <f>Time!CB$86</f>
        <v>0</v>
      </c>
      <c r="CC24" s="537">
        <f>Time!CC$86</f>
        <v>0</v>
      </c>
      <c r="CD24" s="537">
        <f>Time!CD$86</f>
        <v>0</v>
      </c>
      <c r="CE24" s="537">
        <f>Time!CE$86</f>
        <v>0</v>
      </c>
      <c r="CF24" s="537">
        <f>Time!CF$86</f>
        <v>0</v>
      </c>
      <c r="CG24" s="537">
        <f>Time!CG$86</f>
        <v>0</v>
      </c>
      <c r="CH24" s="537">
        <f>Time!CH$86</f>
        <v>0</v>
      </c>
      <c r="CI24" s="537">
        <f>Time!CI$86</f>
        <v>0</v>
      </c>
      <c r="CJ24" s="537">
        <f>Time!CJ$86</f>
        <v>0</v>
      </c>
      <c r="CK24" s="537">
        <f>Time!CK$86</f>
        <v>0</v>
      </c>
      <c r="CL24" s="537">
        <f>Time!CL$86</f>
        <v>0</v>
      </c>
      <c r="CM24" s="537">
        <f>Time!CM$86</f>
        <v>0</v>
      </c>
      <c r="CN24" s="537">
        <f>Time!CN$86</f>
        <v>0</v>
      </c>
      <c r="CO24" s="537">
        <f>Time!CO$86</f>
        <v>0</v>
      </c>
      <c r="CP24" s="537">
        <f>Time!CP$86</f>
        <v>0</v>
      </c>
      <c r="CQ24" s="537">
        <f>Time!CQ$86</f>
        <v>0</v>
      </c>
      <c r="CR24" s="537">
        <f>Time!CR$86</f>
        <v>0</v>
      </c>
      <c r="CS24" s="537">
        <f>Time!CS$86</f>
        <v>0</v>
      </c>
      <c r="CT24" s="537">
        <f>Time!CT$86</f>
        <v>0</v>
      </c>
      <c r="CU24" s="537">
        <f>Time!CU$86</f>
        <v>0</v>
      </c>
      <c r="CV24" s="537">
        <f>Time!CV$86</f>
        <v>0</v>
      </c>
      <c r="CW24" s="537">
        <f>Time!CW$86</f>
        <v>0</v>
      </c>
      <c r="CX24" s="537">
        <f>Time!CX$86</f>
        <v>0</v>
      </c>
      <c r="CY24" s="537">
        <f>Time!CY$86</f>
        <v>0</v>
      </c>
      <c r="CZ24" s="537">
        <f>Time!CZ$86</f>
        <v>0</v>
      </c>
      <c r="DA24" s="537">
        <f>Time!DA$86</f>
        <v>0</v>
      </c>
      <c r="DB24" s="537">
        <f>Time!DB$86</f>
        <v>0</v>
      </c>
      <c r="DC24" s="537">
        <f>Time!DC$86</f>
        <v>0</v>
      </c>
      <c r="DD24" s="537">
        <f>Time!DD$86</f>
        <v>0</v>
      </c>
      <c r="DE24" s="537">
        <f>Time!DE$86</f>
        <v>0</v>
      </c>
      <c r="DF24" s="537">
        <f>Time!DF$86</f>
        <v>0</v>
      </c>
      <c r="DG24" s="537">
        <f>Time!DG$86</f>
        <v>0</v>
      </c>
      <c r="DH24" s="537">
        <f>Time!DH$86</f>
        <v>0</v>
      </c>
      <c r="DI24" s="537">
        <f>Time!DI$86</f>
        <v>0</v>
      </c>
      <c r="DJ24" s="537">
        <f>Time!DJ$86</f>
        <v>0</v>
      </c>
      <c r="DK24" s="537">
        <f>Time!DK$86</f>
        <v>0</v>
      </c>
      <c r="DL24" s="537">
        <f>Time!DL$86</f>
        <v>0</v>
      </c>
      <c r="DM24" s="537">
        <f>Time!DM$86</f>
        <v>0</v>
      </c>
      <c r="DN24" s="537">
        <f>Time!DN$86</f>
        <v>0</v>
      </c>
      <c r="DO24" s="537">
        <f>Time!DO$86</f>
        <v>0</v>
      </c>
      <c r="DP24" s="537">
        <f>Time!DP$86</f>
        <v>0</v>
      </c>
      <c r="DQ24" s="537">
        <f>Time!DQ$86</f>
        <v>0</v>
      </c>
      <c r="DR24" s="537">
        <f>Time!DR$86</f>
        <v>0</v>
      </c>
      <c r="DS24" s="537">
        <f>Time!DS$86</f>
        <v>0</v>
      </c>
      <c r="DT24" s="537">
        <f>Time!DT$86</f>
        <v>0</v>
      </c>
      <c r="DU24" s="537">
        <f>Time!DU$86</f>
        <v>0</v>
      </c>
      <c r="DV24" s="537">
        <f>Time!DV$86</f>
        <v>0</v>
      </c>
      <c r="DW24" s="537">
        <f>Time!DW$86</f>
        <v>0</v>
      </c>
      <c r="DX24" s="537">
        <f>Time!DX$86</f>
        <v>0</v>
      </c>
      <c r="DY24" s="537">
        <f>Time!DY$86</f>
        <v>0</v>
      </c>
      <c r="DZ24" s="537">
        <f>Time!DZ$86</f>
        <v>0</v>
      </c>
      <c r="EA24" s="537">
        <f>Time!EA$86</f>
        <v>0</v>
      </c>
      <c r="EB24" s="537">
        <f>Time!EB$86</f>
        <v>0</v>
      </c>
      <c r="EC24" s="537">
        <f>Time!EC$86</f>
        <v>1</v>
      </c>
      <c r="ED24" s="537">
        <f>Time!ED$86</f>
        <v>0</v>
      </c>
      <c r="EE24" s="537">
        <f>Time!EE$86</f>
        <v>0</v>
      </c>
      <c r="EF24" s="537">
        <f>Time!EF$86</f>
        <v>0</v>
      </c>
      <c r="EG24" s="537">
        <f>Time!EG$86</f>
        <v>0</v>
      </c>
    </row>
    <row r="25" spans="5:137" ht="12.75">
      <c r="E25" s="538" t="str">
        <f>E$21</f>
        <v>Fixed assets - accounting depreciation</v>
      </c>
      <c r="G25" s="539" t="str">
        <f>G$21</f>
        <v>EUR 000s</v>
      </c>
      <c r="H25" s="539">
        <f>H$21</f>
        <v>291552.49999999988</v>
      </c>
      <c r="J25" s="539">
        <f t="shared" si="4" ref="J25:EG25">J$21</f>
        <v>0</v>
      </c>
      <c r="K25" s="539">
        <f t="shared" si="4"/>
        <v>0</v>
      </c>
      <c r="L25" s="539">
        <f t="shared" si="4"/>
        <v>0</v>
      </c>
      <c r="M25" s="539">
        <f t="shared" si="4"/>
        <v>0</v>
      </c>
      <c r="N25" s="539">
        <f t="shared" si="4"/>
        <v>0</v>
      </c>
      <c r="O25" s="539">
        <f t="shared" si="4"/>
        <v>0</v>
      </c>
      <c r="P25" s="539">
        <f t="shared" si="4"/>
        <v>0</v>
      </c>
      <c r="Q25" s="539">
        <f t="shared" si="4"/>
        <v>0</v>
      </c>
      <c r="R25" s="539">
        <f t="shared" si="4"/>
        <v>0</v>
      </c>
      <c r="S25" s="539">
        <f t="shared" si="4"/>
        <v>0</v>
      </c>
      <c r="T25" s="539">
        <f t="shared" si="4"/>
        <v>0</v>
      </c>
      <c r="U25" s="539">
        <f t="shared" si="4"/>
        <v>0</v>
      </c>
      <c r="V25" s="539">
        <f t="shared" si="4"/>
        <v>0</v>
      </c>
      <c r="W25" s="539">
        <f t="shared" si="4"/>
        <v>0</v>
      </c>
      <c r="X25" s="539">
        <f t="shared" si="4"/>
        <v>0</v>
      </c>
      <c r="Y25" s="539">
        <f t="shared" si="4"/>
        <v>0</v>
      </c>
      <c r="Z25" s="539">
        <f t="shared" si="4"/>
        <v>0</v>
      </c>
      <c r="AA25" s="539">
        <f t="shared" si="4"/>
        <v>0</v>
      </c>
      <c r="AB25" s="539">
        <f t="shared" si="4"/>
        <v>0</v>
      </c>
      <c r="AC25" s="539">
        <f t="shared" si="4"/>
        <v>0</v>
      </c>
      <c r="AD25" s="539">
        <f t="shared" si="4"/>
        <v>0</v>
      </c>
      <c r="AE25" s="539">
        <f t="shared" si="4"/>
        <v>0</v>
      </c>
      <c r="AF25" s="539">
        <f t="shared" si="4"/>
        <v>0</v>
      </c>
      <c r="AG25" s="539">
        <f t="shared" si="4"/>
        <v>0</v>
      </c>
      <c r="AH25" s="539">
        <f t="shared" si="4"/>
        <v>2915.5250000000001</v>
      </c>
      <c r="AI25" s="539">
        <f t="shared" si="4"/>
        <v>2915.5250000000001</v>
      </c>
      <c r="AJ25" s="539">
        <f t="shared" si="4"/>
        <v>2915.5250000000001</v>
      </c>
      <c r="AK25" s="539">
        <f t="shared" si="4"/>
        <v>2915.5250000000001</v>
      </c>
      <c r="AL25" s="539">
        <f t="shared" si="4"/>
        <v>2915.5250000000001</v>
      </c>
      <c r="AM25" s="539">
        <f t="shared" si="4"/>
        <v>2915.5250000000001</v>
      </c>
      <c r="AN25" s="539">
        <f t="shared" si="4"/>
        <v>2915.5250000000001</v>
      </c>
      <c r="AO25" s="539">
        <f t="shared" si="4"/>
        <v>2915.5250000000001</v>
      </c>
      <c r="AP25" s="539">
        <f t="shared" si="4"/>
        <v>2915.5250000000001</v>
      </c>
      <c r="AQ25" s="539">
        <f t="shared" si="4"/>
        <v>2915.5250000000001</v>
      </c>
      <c r="AR25" s="539">
        <f t="shared" si="4"/>
        <v>2915.5250000000001</v>
      </c>
      <c r="AS25" s="539">
        <f t="shared" si="4"/>
        <v>2915.5250000000001</v>
      </c>
      <c r="AT25" s="539">
        <f t="shared" si="4"/>
        <v>2915.5250000000001</v>
      </c>
      <c r="AU25" s="539">
        <f t="shared" si="4"/>
        <v>2915.5250000000001</v>
      </c>
      <c r="AV25" s="539">
        <f t="shared" si="4"/>
        <v>2915.5250000000001</v>
      </c>
      <c r="AW25" s="539">
        <f t="shared" si="4"/>
        <v>2915.5250000000001</v>
      </c>
      <c r="AX25" s="539">
        <f t="shared" si="4"/>
        <v>2915.5250000000001</v>
      </c>
      <c r="AY25" s="539">
        <f t="shared" si="4"/>
        <v>2915.5250000000001</v>
      </c>
      <c r="AZ25" s="539">
        <f t="shared" si="4"/>
        <v>2915.5250000000001</v>
      </c>
      <c r="BA25" s="539">
        <f t="shared" si="4"/>
        <v>2915.5250000000001</v>
      </c>
      <c r="BB25" s="539">
        <f t="shared" si="4"/>
        <v>2915.5250000000001</v>
      </c>
      <c r="BC25" s="539">
        <f t="shared" si="4"/>
        <v>2915.5250000000001</v>
      </c>
      <c r="BD25" s="539">
        <f t="shared" si="4"/>
        <v>2915.5250000000001</v>
      </c>
      <c r="BE25" s="539">
        <f t="shared" si="4"/>
        <v>2915.5250000000001</v>
      </c>
      <c r="BF25" s="539">
        <f t="shared" si="4"/>
        <v>2915.5250000000001</v>
      </c>
      <c r="BG25" s="539">
        <f t="shared" si="4"/>
        <v>2915.5250000000001</v>
      </c>
      <c r="BH25" s="539">
        <f t="shared" si="4"/>
        <v>2915.5250000000001</v>
      </c>
      <c r="BI25" s="539">
        <f t="shared" si="4"/>
        <v>2915.5250000000001</v>
      </c>
      <c r="BJ25" s="539">
        <f t="shared" si="4"/>
        <v>2915.5250000000001</v>
      </c>
      <c r="BK25" s="539">
        <f t="shared" si="4"/>
        <v>2915.5250000000001</v>
      </c>
      <c r="BL25" s="539">
        <f t="shared" si="4"/>
        <v>2915.5250000000001</v>
      </c>
      <c r="BM25" s="539">
        <f t="shared" si="4"/>
        <v>2915.5250000000001</v>
      </c>
      <c r="BN25" s="539">
        <f t="shared" si="4"/>
        <v>2915.5250000000001</v>
      </c>
      <c r="BO25" s="539">
        <f t="shared" si="4"/>
        <v>2915.5250000000001</v>
      </c>
      <c r="BP25" s="539">
        <f t="shared" si="4"/>
        <v>2915.5250000000001</v>
      </c>
      <c r="BQ25" s="539">
        <f t="shared" si="4"/>
        <v>2915.5250000000001</v>
      </c>
      <c r="BR25" s="539">
        <f t="shared" si="4"/>
        <v>2915.5250000000001</v>
      </c>
      <c r="BS25" s="539">
        <f t="shared" si="4"/>
        <v>2915.5250000000001</v>
      </c>
      <c r="BT25" s="539">
        <f t="shared" si="4"/>
        <v>2915.5250000000001</v>
      </c>
      <c r="BU25" s="539">
        <f t="shared" si="4"/>
        <v>2915.5250000000001</v>
      </c>
      <c r="BV25" s="539">
        <f t="shared" si="4"/>
        <v>2915.5250000000001</v>
      </c>
      <c r="BW25" s="539">
        <f t="shared" si="4"/>
        <v>2915.5250000000001</v>
      </c>
      <c r="BX25" s="539">
        <f t="shared" si="4"/>
        <v>2915.5250000000001</v>
      </c>
      <c r="BY25" s="539">
        <f t="shared" si="4"/>
        <v>2915.5250000000001</v>
      </c>
      <c r="BZ25" s="539">
        <f t="shared" si="4"/>
        <v>2915.5250000000001</v>
      </c>
      <c r="CA25" s="539">
        <f t="shared" si="4"/>
        <v>2915.5250000000001</v>
      </c>
      <c r="CB25" s="539">
        <f t="shared" si="4"/>
        <v>2915.5250000000001</v>
      </c>
      <c r="CC25" s="539">
        <f t="shared" si="4"/>
        <v>2915.5250000000001</v>
      </c>
      <c r="CD25" s="539">
        <f t="shared" si="4"/>
        <v>2915.5250000000001</v>
      </c>
      <c r="CE25" s="539">
        <f t="shared" si="4"/>
        <v>2915.5250000000001</v>
      </c>
      <c r="CF25" s="539">
        <f t="shared" si="4"/>
        <v>2915.5250000000001</v>
      </c>
      <c r="CG25" s="539">
        <f t="shared" si="4"/>
        <v>2915.5250000000001</v>
      </c>
      <c r="CH25" s="539">
        <f t="shared" si="4"/>
        <v>2915.5250000000001</v>
      </c>
      <c r="CI25" s="539">
        <f t="shared" si="4"/>
        <v>2915.5250000000001</v>
      </c>
      <c r="CJ25" s="539">
        <f t="shared" si="4"/>
        <v>2915.5250000000001</v>
      </c>
      <c r="CK25" s="539">
        <f t="shared" si="4"/>
        <v>2915.5250000000001</v>
      </c>
      <c r="CL25" s="539">
        <f t="shared" si="4"/>
        <v>2915.5250000000001</v>
      </c>
      <c r="CM25" s="539">
        <f t="shared" si="4"/>
        <v>2915.5250000000001</v>
      </c>
      <c r="CN25" s="539">
        <f t="shared" si="4"/>
        <v>2915.5250000000001</v>
      </c>
      <c r="CO25" s="539">
        <f t="shared" si="4"/>
        <v>2915.5250000000001</v>
      </c>
      <c r="CP25" s="539">
        <f t="shared" si="4"/>
        <v>2915.5250000000001</v>
      </c>
      <c r="CQ25" s="539">
        <f t="shared" si="4"/>
        <v>2915.5250000000001</v>
      </c>
      <c r="CR25" s="539">
        <f t="shared" si="4"/>
        <v>2915.5250000000001</v>
      </c>
      <c r="CS25" s="539">
        <f t="shared" si="4"/>
        <v>2915.5250000000001</v>
      </c>
      <c r="CT25" s="539">
        <f t="shared" si="4"/>
        <v>2915.5250000000001</v>
      </c>
      <c r="CU25" s="539">
        <f t="shared" si="4"/>
        <v>2915.5250000000001</v>
      </c>
      <c r="CV25" s="539">
        <f t="shared" si="4"/>
        <v>2915.5250000000001</v>
      </c>
      <c r="CW25" s="539">
        <f t="shared" si="4"/>
        <v>2915.5250000000001</v>
      </c>
      <c r="CX25" s="539">
        <f t="shared" si="4"/>
        <v>2915.5250000000001</v>
      </c>
      <c r="CY25" s="539">
        <f t="shared" si="4"/>
        <v>2915.5250000000001</v>
      </c>
      <c r="CZ25" s="539">
        <f t="shared" si="4"/>
        <v>2915.5250000000001</v>
      </c>
      <c r="DA25" s="539">
        <f t="shared" si="4"/>
        <v>2915.5250000000001</v>
      </c>
      <c r="DB25" s="539">
        <f t="shared" si="4"/>
        <v>2915.5250000000001</v>
      </c>
      <c r="DC25" s="539">
        <f t="shared" si="4"/>
        <v>2915.5250000000001</v>
      </c>
      <c r="DD25" s="539">
        <f t="shared" si="4"/>
        <v>2915.5250000000001</v>
      </c>
      <c r="DE25" s="539">
        <f t="shared" si="4"/>
        <v>2915.5250000000001</v>
      </c>
      <c r="DF25" s="539">
        <f t="shared" si="4"/>
        <v>2915.5250000000001</v>
      </c>
      <c r="DG25" s="539">
        <f t="shared" si="4"/>
        <v>2915.5250000000001</v>
      </c>
      <c r="DH25" s="539">
        <f t="shared" si="4"/>
        <v>2915.5250000000001</v>
      </c>
      <c r="DI25" s="539">
        <f t="shared" si="4"/>
        <v>2915.5250000000001</v>
      </c>
      <c r="DJ25" s="539">
        <f t="shared" si="4"/>
        <v>2915.5250000000001</v>
      </c>
      <c r="DK25" s="539">
        <f t="shared" si="4"/>
        <v>2915.5250000000001</v>
      </c>
      <c r="DL25" s="539">
        <f t="shared" si="4"/>
        <v>2915.5250000000001</v>
      </c>
      <c r="DM25" s="539">
        <f t="shared" si="4"/>
        <v>2915.5250000000001</v>
      </c>
      <c r="DN25" s="539">
        <f t="shared" si="4"/>
        <v>2915.5250000000001</v>
      </c>
      <c r="DO25" s="539">
        <f t="shared" si="4"/>
        <v>2915.5250000000001</v>
      </c>
      <c r="DP25" s="539">
        <f t="shared" si="4"/>
        <v>2915.5250000000001</v>
      </c>
      <c r="DQ25" s="539">
        <f t="shared" si="4"/>
        <v>2915.5250000000001</v>
      </c>
      <c r="DR25" s="539">
        <f t="shared" si="4"/>
        <v>2915.5250000000001</v>
      </c>
      <c r="DS25" s="539">
        <f t="shared" si="4"/>
        <v>2915.5250000000001</v>
      </c>
      <c r="DT25" s="539">
        <f t="shared" si="4"/>
        <v>2915.5250000000001</v>
      </c>
      <c r="DU25" s="539">
        <f t="shared" si="4"/>
        <v>2915.5250000000001</v>
      </c>
      <c r="DV25" s="539">
        <f t="shared" si="4"/>
        <v>2915.5250000000001</v>
      </c>
      <c r="DW25" s="539">
        <f t="shared" si="4"/>
        <v>2915.5250000000001</v>
      </c>
      <c r="DX25" s="539">
        <f t="shared" si="4"/>
        <v>2915.5250000000001</v>
      </c>
      <c r="DY25" s="539">
        <f t="shared" si="4"/>
        <v>2915.5250000000001</v>
      </c>
      <c r="DZ25" s="539">
        <f t="shared" si="4"/>
        <v>2915.5250000000001</v>
      </c>
      <c r="EA25" s="539">
        <f t="shared" si="4"/>
        <v>2915.5250000000001</v>
      </c>
      <c r="EB25" s="539">
        <f t="shared" si="4"/>
        <v>2915.5250000000001</v>
      </c>
      <c r="EC25" s="539">
        <f t="shared" si="4"/>
        <v>2915.5250000000001</v>
      </c>
      <c r="ED25" s="539">
        <f t="shared" si="4"/>
        <v>0</v>
      </c>
      <c r="EE25" s="539">
        <f t="shared" si="4"/>
        <v>0</v>
      </c>
      <c r="EF25" s="539">
        <f t="shared" si="4"/>
        <v>0</v>
      </c>
      <c r="EG25" s="539">
        <f t="shared" si="4"/>
        <v>0</v>
      </c>
    </row>
    <row r="26" spans="5:137" ht="12.75">
      <c r="E26" s="538" t="str">
        <f>E$32</f>
        <v>Fixed assets - net book value</v>
      </c>
      <c r="G26" s="539" t="str">
        <f>G$32</f>
        <v>EUR 000s</v>
      </c>
      <c r="H26" s="539">
        <f>H$32</f>
        <v>17999762.187499996</v>
      </c>
      <c r="J26" s="539">
        <f t="shared" si="5" ref="J26:EG26">J$32</f>
        <v>0</v>
      </c>
      <c r="K26" s="539">
        <f t="shared" si="5"/>
        <v>0</v>
      </c>
      <c r="L26" s="539">
        <f t="shared" si="5"/>
        <v>8000</v>
      </c>
      <c r="M26" s="539">
        <f t="shared" si="5"/>
        <v>21291.5625</v>
      </c>
      <c r="N26" s="539">
        <f t="shared" si="5"/>
        <v>34911.25</v>
      </c>
      <c r="O26" s="539">
        <f t="shared" si="5"/>
        <v>48202.8125</v>
      </c>
      <c r="P26" s="539">
        <f t="shared" si="5"/>
        <v>61822.5</v>
      </c>
      <c r="Q26" s="539">
        <f t="shared" si="5"/>
        <v>75114.0625</v>
      </c>
      <c r="R26" s="539">
        <f t="shared" si="5"/>
        <v>92056.015625</v>
      </c>
      <c r="S26" s="539">
        <f t="shared" si="5"/>
        <v>109695.234375</v>
      </c>
      <c r="T26" s="539">
        <f t="shared" si="5"/>
        <v>127662.578125</v>
      </c>
      <c r="U26" s="539">
        <f t="shared" si="5"/>
        <v>145958.046875</v>
      </c>
      <c r="V26" s="539">
        <f t="shared" si="5"/>
        <v>162941.015625</v>
      </c>
      <c r="W26" s="539">
        <f t="shared" si="5"/>
        <v>179759.921875</v>
      </c>
      <c r="X26" s="539">
        <f t="shared" si="5"/>
        <v>194774.140625</v>
      </c>
      <c r="Y26" s="539">
        <f t="shared" si="5"/>
        <v>207819.609375</v>
      </c>
      <c r="Z26" s="539">
        <f t="shared" si="5"/>
        <v>219880.703125</v>
      </c>
      <c r="AA26" s="539">
        <f t="shared" si="5"/>
        <v>233418.359375</v>
      </c>
      <c r="AB26" s="539">
        <f t="shared" si="5"/>
        <v>247612.265625</v>
      </c>
      <c r="AC26" s="539">
        <f t="shared" si="5"/>
        <v>261642.109375</v>
      </c>
      <c r="AD26" s="539">
        <f t="shared" si="5"/>
        <v>274318.4375</v>
      </c>
      <c r="AE26" s="539">
        <f t="shared" si="5"/>
        <v>281867.8125</v>
      </c>
      <c r="AF26" s="539">
        <f t="shared" si="5"/>
        <v>287612.5</v>
      </c>
      <c r="AG26" s="539">
        <f t="shared" si="5"/>
        <v>291552.5</v>
      </c>
      <c r="AH26" s="539">
        <f t="shared" si="5"/>
        <v>288636.97499999998</v>
      </c>
      <c r="AI26" s="539">
        <f t="shared" si="5"/>
        <v>285721.44999999995</v>
      </c>
      <c r="AJ26" s="539">
        <f t="shared" si="5"/>
        <v>282805.92499999993</v>
      </c>
      <c r="AK26" s="539">
        <f t="shared" si="5"/>
        <v>279890.39999999991</v>
      </c>
      <c r="AL26" s="539">
        <f t="shared" si="5"/>
        <v>276974.87499999988</v>
      </c>
      <c r="AM26" s="539">
        <f t="shared" si="5"/>
        <v>274059.34999999986</v>
      </c>
      <c r="AN26" s="539">
        <f t="shared" si="5"/>
        <v>271143.82499999984</v>
      </c>
      <c r="AO26" s="539">
        <f t="shared" si="5"/>
        <v>268228.29999999981</v>
      </c>
      <c r="AP26" s="539">
        <f t="shared" si="5"/>
        <v>265312.77499999979</v>
      </c>
      <c r="AQ26" s="539">
        <f t="shared" si="5"/>
        <v>262397.24999999977</v>
      </c>
      <c r="AR26" s="539">
        <f t="shared" si="5"/>
        <v>259481.72499999977</v>
      </c>
      <c r="AS26" s="539">
        <f t="shared" si="5"/>
        <v>256566.19999999978</v>
      </c>
      <c r="AT26" s="539">
        <f t="shared" si="5"/>
        <v>253650.67499999978</v>
      </c>
      <c r="AU26" s="539">
        <f t="shared" si="5"/>
        <v>250735.14999999979</v>
      </c>
      <c r="AV26" s="539">
        <f t="shared" si="5"/>
        <v>247819.6249999998</v>
      </c>
      <c r="AW26" s="539">
        <f t="shared" si="5"/>
        <v>244904.0999999998</v>
      </c>
      <c r="AX26" s="539">
        <f t="shared" si="5"/>
        <v>241988.57499999981</v>
      </c>
      <c r="AY26" s="539">
        <f t="shared" si="5"/>
        <v>239073.04999999981</v>
      </c>
      <c r="AZ26" s="539">
        <f t="shared" si="5"/>
        <v>236157.52499999982</v>
      </c>
      <c r="BA26" s="539">
        <f t="shared" si="5"/>
        <v>233241.99999999983</v>
      </c>
      <c r="BB26" s="539">
        <f t="shared" si="5"/>
        <v>230326.47499999983</v>
      </c>
      <c r="BC26" s="539">
        <f t="shared" si="5"/>
        <v>227410.94999999984</v>
      </c>
      <c r="BD26" s="539">
        <f t="shared" si="5"/>
        <v>224495.42499999984</v>
      </c>
      <c r="BE26" s="539">
        <f t="shared" si="5"/>
        <v>221579.89999999985</v>
      </c>
      <c r="BF26" s="539">
        <f t="shared" si="5"/>
        <v>218664.37499999985</v>
      </c>
      <c r="BG26" s="539">
        <f t="shared" si="5"/>
        <v>215748.84999999986</v>
      </c>
      <c r="BH26" s="539">
        <f t="shared" si="5"/>
        <v>212833.32499999987</v>
      </c>
      <c r="BI26" s="539">
        <f t="shared" si="5"/>
        <v>209917.79999999987</v>
      </c>
      <c r="BJ26" s="539">
        <f t="shared" si="5"/>
        <v>207002.27499999988</v>
      </c>
      <c r="BK26" s="539">
        <f t="shared" si="5"/>
        <v>204086.74999999988</v>
      </c>
      <c r="BL26" s="539">
        <f t="shared" si="5"/>
        <v>201171.22499999989</v>
      </c>
      <c r="BM26" s="539">
        <f t="shared" si="5"/>
        <v>198255.6999999999</v>
      </c>
      <c r="BN26" s="539">
        <f t="shared" si="5"/>
        <v>195340.1749999999</v>
      </c>
      <c r="BO26" s="539">
        <f t="shared" si="5"/>
        <v>192424.64999999991</v>
      </c>
      <c r="BP26" s="539">
        <f t="shared" si="5"/>
        <v>189509.12499999991</v>
      </c>
      <c r="BQ26" s="539">
        <f t="shared" si="5"/>
        <v>186593.59999999992</v>
      </c>
      <c r="BR26" s="539">
        <f t="shared" si="5"/>
        <v>183678.07499999992</v>
      </c>
      <c r="BS26" s="539">
        <f t="shared" si="5"/>
        <v>180762.54999999993</v>
      </c>
      <c r="BT26" s="539">
        <f t="shared" si="5"/>
        <v>177847.02499999994</v>
      </c>
      <c r="BU26" s="539">
        <f t="shared" si="5"/>
        <v>174931.49999999994</v>
      </c>
      <c r="BV26" s="539">
        <f t="shared" si="5"/>
        <v>172015.97499999995</v>
      </c>
      <c r="BW26" s="539">
        <f t="shared" si="5"/>
        <v>169100.44999999995</v>
      </c>
      <c r="BX26" s="539">
        <f t="shared" si="5"/>
        <v>166184.92499999996</v>
      </c>
      <c r="BY26" s="539">
        <f t="shared" si="5"/>
        <v>163269.39999999997</v>
      </c>
      <c r="BZ26" s="539">
        <f t="shared" si="5"/>
        <v>160353.87499999997</v>
      </c>
      <c r="CA26" s="539">
        <f t="shared" si="5"/>
        <v>157438.34999999998</v>
      </c>
      <c r="CB26" s="539">
        <f t="shared" si="5"/>
        <v>154522.82499999998</v>
      </c>
      <c r="CC26" s="539">
        <f t="shared" si="5"/>
        <v>151607.29999999999</v>
      </c>
      <c r="CD26" s="539">
        <f t="shared" si="5"/>
        <v>148691.77499999999</v>
      </c>
      <c r="CE26" s="539">
        <f t="shared" si="5"/>
        <v>145776.25</v>
      </c>
      <c r="CF26" s="539">
        <f t="shared" si="5"/>
        <v>142860.72500000001</v>
      </c>
      <c r="CG26" s="539">
        <f t="shared" si="5"/>
        <v>139945.20000000001</v>
      </c>
      <c r="CH26" s="539">
        <f t="shared" si="5"/>
        <v>137029.67500000002</v>
      </c>
      <c r="CI26" s="539">
        <f t="shared" si="5"/>
        <v>134114.15000000002</v>
      </c>
      <c r="CJ26" s="539">
        <f t="shared" si="5"/>
        <v>131198.62500000003</v>
      </c>
      <c r="CK26" s="539">
        <f t="shared" si="5"/>
        <v>128283.10000000003</v>
      </c>
      <c r="CL26" s="539">
        <f t="shared" si="5"/>
        <v>125367.57500000004</v>
      </c>
      <c r="CM26" s="539">
        <f t="shared" si="5"/>
        <v>122452.05000000005</v>
      </c>
      <c r="CN26" s="539">
        <f t="shared" si="5"/>
        <v>119536.52500000005</v>
      </c>
      <c r="CO26" s="539">
        <f t="shared" si="5"/>
        <v>116621.00000000006</v>
      </c>
      <c r="CP26" s="539">
        <f t="shared" si="5"/>
        <v>113705.47500000006</v>
      </c>
      <c r="CQ26" s="539">
        <f t="shared" si="5"/>
        <v>110789.95000000007</v>
      </c>
      <c r="CR26" s="539">
        <f t="shared" si="5"/>
        <v>107874.42500000008</v>
      </c>
      <c r="CS26" s="539">
        <f t="shared" si="5"/>
        <v>104958.90000000008</v>
      </c>
      <c r="CT26" s="539">
        <f t="shared" si="5"/>
        <v>102043.37500000009</v>
      </c>
      <c r="CU26" s="539">
        <f t="shared" si="5"/>
        <v>99127.850000000093</v>
      </c>
      <c r="CV26" s="539">
        <f t="shared" si="5"/>
        <v>96212.325000000099</v>
      </c>
      <c r="CW26" s="539">
        <f t="shared" si="5"/>
        <v>93296.800000000105</v>
      </c>
      <c r="CX26" s="539">
        <f t="shared" si="5"/>
        <v>90381.275000000111</v>
      </c>
      <c r="CY26" s="539">
        <f t="shared" si="5"/>
        <v>87465.750000000116</v>
      </c>
      <c r="CZ26" s="539">
        <f t="shared" si="5"/>
        <v>84550.225000000122</v>
      </c>
      <c r="DA26" s="539">
        <f t="shared" si="5"/>
        <v>81634.700000000128</v>
      </c>
      <c r="DB26" s="539">
        <f t="shared" si="5"/>
        <v>78719.175000000134</v>
      </c>
      <c r="DC26" s="539">
        <f t="shared" si="5"/>
        <v>75803.65000000014</v>
      </c>
      <c r="DD26" s="539">
        <f t="shared" si="5"/>
        <v>72888.125000000146</v>
      </c>
      <c r="DE26" s="539">
        <f t="shared" si="5"/>
        <v>69972.600000000151</v>
      </c>
      <c r="DF26" s="539">
        <f t="shared" si="5"/>
        <v>67057.075000000157</v>
      </c>
      <c r="DG26" s="539">
        <f t="shared" si="5"/>
        <v>64141.550000000156</v>
      </c>
      <c r="DH26" s="539">
        <f t="shared" si="5"/>
        <v>61226.025000000154</v>
      </c>
      <c r="DI26" s="539">
        <f t="shared" si="5"/>
        <v>58310.500000000153</v>
      </c>
      <c r="DJ26" s="539">
        <f t="shared" si="5"/>
        <v>55394.975000000151</v>
      </c>
      <c r="DK26" s="539">
        <f t="shared" si="5"/>
        <v>52479.45000000015</v>
      </c>
      <c r="DL26" s="539">
        <f t="shared" si="5"/>
        <v>49563.925000000148</v>
      </c>
      <c r="DM26" s="539">
        <f t="shared" si="5"/>
        <v>46648.400000000147</v>
      </c>
      <c r="DN26" s="539">
        <f t="shared" si="5"/>
        <v>43732.875000000146</v>
      </c>
      <c r="DO26" s="539">
        <f t="shared" si="5"/>
        <v>40817.350000000144</v>
      </c>
      <c r="DP26" s="539">
        <f t="shared" si="5"/>
        <v>37901.825000000143</v>
      </c>
      <c r="DQ26" s="539">
        <f t="shared" si="5"/>
        <v>34986.300000000141</v>
      </c>
      <c r="DR26" s="539">
        <f t="shared" si="5"/>
        <v>32070.77500000014</v>
      </c>
      <c r="DS26" s="539">
        <f t="shared" si="5"/>
        <v>29155.250000000138</v>
      </c>
      <c r="DT26" s="539">
        <f t="shared" si="5"/>
        <v>26239.725000000137</v>
      </c>
      <c r="DU26" s="539">
        <f t="shared" si="5"/>
        <v>23324.200000000135</v>
      </c>
      <c r="DV26" s="539">
        <f t="shared" si="5"/>
        <v>20408.675000000134</v>
      </c>
      <c r="DW26" s="539">
        <f t="shared" si="5"/>
        <v>17493.150000000132</v>
      </c>
      <c r="DX26" s="539">
        <f t="shared" si="5"/>
        <v>14577.625000000133</v>
      </c>
      <c r="DY26" s="539">
        <f t="shared" si="5"/>
        <v>11662.100000000133</v>
      </c>
      <c r="DZ26" s="539">
        <f t="shared" si="5"/>
        <v>8746.5750000001335</v>
      </c>
      <c r="EA26" s="539">
        <f t="shared" si="5"/>
        <v>5831.0500000001339</v>
      </c>
      <c r="EB26" s="539">
        <f t="shared" si="5"/>
        <v>2915.5250000001338</v>
      </c>
      <c r="EC26" s="539">
        <f t="shared" si="5"/>
        <v>0</v>
      </c>
      <c r="ED26" s="539">
        <f t="shared" si="5"/>
        <v>0</v>
      </c>
      <c r="EE26" s="539">
        <f t="shared" si="5"/>
        <v>0</v>
      </c>
      <c r="EF26" s="539">
        <f t="shared" si="5"/>
        <v>0</v>
      </c>
      <c r="EG26" s="539">
        <f t="shared" si="5"/>
        <v>0</v>
      </c>
    </row>
    <row r="27" spans="5:137" ht="12.75">
      <c r="E27" s="540" t="s">
        <v>283</v>
      </c>
      <c r="G27" s="541" t="s">
        <v>30</v>
      </c>
      <c r="H27" s="541">
        <f>SUM(J27:EG27)</f>
        <v>1.3369572116062045E-10</v>
      </c>
      <c r="J27" s="541">
        <f t="shared" si="6" ref="J27:EG27">(I26+J23-J25)*J24</f>
        <v>0</v>
      </c>
      <c r="K27" s="541">
        <f t="shared" si="6"/>
        <v>0</v>
      </c>
      <c r="L27" s="541">
        <f t="shared" si="6"/>
        <v>0</v>
      </c>
      <c r="M27" s="541">
        <f t="shared" si="6"/>
        <v>0</v>
      </c>
      <c r="N27" s="541">
        <f t="shared" si="6"/>
        <v>0</v>
      </c>
      <c r="O27" s="541">
        <f t="shared" si="6"/>
        <v>0</v>
      </c>
      <c r="P27" s="541">
        <f t="shared" si="6"/>
        <v>0</v>
      </c>
      <c r="Q27" s="541">
        <f t="shared" si="6"/>
        <v>0</v>
      </c>
      <c r="R27" s="541">
        <f t="shared" si="6"/>
        <v>0</v>
      </c>
      <c r="S27" s="541">
        <f t="shared" si="6"/>
        <v>0</v>
      </c>
      <c r="T27" s="541">
        <f t="shared" si="6"/>
        <v>0</v>
      </c>
      <c r="U27" s="541">
        <f t="shared" si="6"/>
        <v>0</v>
      </c>
      <c r="V27" s="541">
        <f t="shared" si="6"/>
        <v>0</v>
      </c>
      <c r="W27" s="541">
        <f t="shared" si="6"/>
        <v>0</v>
      </c>
      <c r="X27" s="541">
        <f t="shared" si="6"/>
        <v>0</v>
      </c>
      <c r="Y27" s="541">
        <f t="shared" si="6"/>
        <v>0</v>
      </c>
      <c r="Z27" s="541">
        <f t="shared" si="6"/>
        <v>0</v>
      </c>
      <c r="AA27" s="541">
        <f t="shared" si="6"/>
        <v>0</v>
      </c>
      <c r="AB27" s="541">
        <f t="shared" si="6"/>
        <v>0</v>
      </c>
      <c r="AC27" s="541">
        <f t="shared" si="6"/>
        <v>0</v>
      </c>
      <c r="AD27" s="541">
        <f t="shared" si="6"/>
        <v>0</v>
      </c>
      <c r="AE27" s="541">
        <f t="shared" si="6"/>
        <v>0</v>
      </c>
      <c r="AF27" s="541">
        <f t="shared" si="6"/>
        <v>0</v>
      </c>
      <c r="AG27" s="541">
        <f t="shared" si="6"/>
        <v>0</v>
      </c>
      <c r="AH27" s="541">
        <f t="shared" si="6"/>
        <v>0</v>
      </c>
      <c r="AI27" s="541">
        <f t="shared" si="6"/>
        <v>0</v>
      </c>
      <c r="AJ27" s="541">
        <f t="shared" si="6"/>
        <v>0</v>
      </c>
      <c r="AK27" s="541">
        <f t="shared" si="6"/>
        <v>0</v>
      </c>
      <c r="AL27" s="541">
        <f t="shared" si="6"/>
        <v>0</v>
      </c>
      <c r="AM27" s="541">
        <f t="shared" si="6"/>
        <v>0</v>
      </c>
      <c r="AN27" s="541">
        <f t="shared" si="6"/>
        <v>0</v>
      </c>
      <c r="AO27" s="541">
        <f t="shared" si="6"/>
        <v>0</v>
      </c>
      <c r="AP27" s="541">
        <f t="shared" si="6"/>
        <v>0</v>
      </c>
      <c r="AQ27" s="541">
        <f t="shared" si="6"/>
        <v>0</v>
      </c>
      <c r="AR27" s="541">
        <f t="shared" si="6"/>
        <v>0</v>
      </c>
      <c r="AS27" s="541">
        <f t="shared" si="6"/>
        <v>0</v>
      </c>
      <c r="AT27" s="541">
        <f t="shared" si="6"/>
        <v>0</v>
      </c>
      <c r="AU27" s="541">
        <f t="shared" si="6"/>
        <v>0</v>
      </c>
      <c r="AV27" s="541">
        <f t="shared" si="6"/>
        <v>0</v>
      </c>
      <c r="AW27" s="541">
        <f t="shared" si="6"/>
        <v>0</v>
      </c>
      <c r="AX27" s="541">
        <f t="shared" si="6"/>
        <v>0</v>
      </c>
      <c r="AY27" s="541">
        <f t="shared" si="6"/>
        <v>0</v>
      </c>
      <c r="AZ27" s="541">
        <f t="shared" si="6"/>
        <v>0</v>
      </c>
      <c r="BA27" s="541">
        <f t="shared" si="6"/>
        <v>0</v>
      </c>
      <c r="BB27" s="541">
        <f t="shared" si="6"/>
        <v>0</v>
      </c>
      <c r="BC27" s="541">
        <f t="shared" si="6"/>
        <v>0</v>
      </c>
      <c r="BD27" s="541">
        <f t="shared" si="6"/>
        <v>0</v>
      </c>
      <c r="BE27" s="541">
        <f t="shared" si="6"/>
        <v>0</v>
      </c>
      <c r="BF27" s="541">
        <f t="shared" si="6"/>
        <v>0</v>
      </c>
      <c r="BG27" s="541">
        <f t="shared" si="6"/>
        <v>0</v>
      </c>
      <c r="BH27" s="541">
        <f t="shared" si="6"/>
        <v>0</v>
      </c>
      <c r="BI27" s="541">
        <f t="shared" si="6"/>
        <v>0</v>
      </c>
      <c r="BJ27" s="541">
        <f t="shared" si="6"/>
        <v>0</v>
      </c>
      <c r="BK27" s="541">
        <f t="shared" si="6"/>
        <v>0</v>
      </c>
      <c r="BL27" s="541">
        <f t="shared" si="6"/>
        <v>0</v>
      </c>
      <c r="BM27" s="541">
        <f t="shared" si="6"/>
        <v>0</v>
      </c>
      <c r="BN27" s="541">
        <f t="shared" si="6"/>
        <v>0</v>
      </c>
      <c r="BO27" s="541">
        <f t="shared" si="6"/>
        <v>0</v>
      </c>
      <c r="BP27" s="541">
        <f t="shared" si="6"/>
        <v>0</v>
      </c>
      <c r="BQ27" s="541">
        <f t="shared" si="6"/>
        <v>0</v>
      </c>
      <c r="BR27" s="541">
        <f t="shared" si="6"/>
        <v>0</v>
      </c>
      <c r="BS27" s="541">
        <f t="shared" si="6"/>
        <v>0</v>
      </c>
      <c r="BT27" s="541">
        <f t="shared" si="6"/>
        <v>0</v>
      </c>
      <c r="BU27" s="541">
        <f t="shared" si="6"/>
        <v>0</v>
      </c>
      <c r="BV27" s="541">
        <f t="shared" si="6"/>
        <v>0</v>
      </c>
      <c r="BW27" s="541">
        <f t="shared" si="6"/>
        <v>0</v>
      </c>
      <c r="BX27" s="541">
        <f t="shared" si="6"/>
        <v>0</v>
      </c>
      <c r="BY27" s="541">
        <f t="shared" si="6"/>
        <v>0</v>
      </c>
      <c r="BZ27" s="541">
        <f t="shared" si="6"/>
        <v>0</v>
      </c>
      <c r="CA27" s="541">
        <f t="shared" si="6"/>
        <v>0</v>
      </c>
      <c r="CB27" s="541">
        <f t="shared" si="6"/>
        <v>0</v>
      </c>
      <c r="CC27" s="541">
        <f t="shared" si="6"/>
        <v>0</v>
      </c>
      <c r="CD27" s="541">
        <f t="shared" si="6"/>
        <v>0</v>
      </c>
      <c r="CE27" s="541">
        <f t="shared" si="6"/>
        <v>0</v>
      </c>
      <c r="CF27" s="541">
        <f t="shared" si="6"/>
        <v>0</v>
      </c>
      <c r="CG27" s="541">
        <f t="shared" si="6"/>
        <v>0</v>
      </c>
      <c r="CH27" s="541">
        <f t="shared" si="6"/>
        <v>0</v>
      </c>
      <c r="CI27" s="541">
        <f t="shared" si="6"/>
        <v>0</v>
      </c>
      <c r="CJ27" s="541">
        <f t="shared" si="6"/>
        <v>0</v>
      </c>
      <c r="CK27" s="541">
        <f t="shared" si="6"/>
        <v>0</v>
      </c>
      <c r="CL27" s="541">
        <f t="shared" si="6"/>
        <v>0</v>
      </c>
      <c r="CM27" s="541">
        <f t="shared" si="6"/>
        <v>0</v>
      </c>
      <c r="CN27" s="541">
        <f t="shared" si="6"/>
        <v>0</v>
      </c>
      <c r="CO27" s="541">
        <f t="shared" si="6"/>
        <v>0</v>
      </c>
      <c r="CP27" s="541">
        <f t="shared" si="6"/>
        <v>0</v>
      </c>
      <c r="CQ27" s="541">
        <f t="shared" si="6"/>
        <v>0</v>
      </c>
      <c r="CR27" s="541">
        <f t="shared" si="6"/>
        <v>0</v>
      </c>
      <c r="CS27" s="541">
        <f t="shared" si="6"/>
        <v>0</v>
      </c>
      <c r="CT27" s="541">
        <f t="shared" si="6"/>
        <v>0</v>
      </c>
      <c r="CU27" s="541">
        <f t="shared" si="6"/>
        <v>0</v>
      </c>
      <c r="CV27" s="541">
        <f t="shared" si="6"/>
        <v>0</v>
      </c>
      <c r="CW27" s="541">
        <f t="shared" si="6"/>
        <v>0</v>
      </c>
      <c r="CX27" s="541">
        <f t="shared" si="6"/>
        <v>0</v>
      </c>
      <c r="CY27" s="541">
        <f t="shared" si="6"/>
        <v>0</v>
      </c>
      <c r="CZ27" s="541">
        <f t="shared" si="6"/>
        <v>0</v>
      </c>
      <c r="DA27" s="541">
        <f t="shared" si="6"/>
        <v>0</v>
      </c>
      <c r="DB27" s="541">
        <f t="shared" si="6"/>
        <v>0</v>
      </c>
      <c r="DC27" s="541">
        <f t="shared" si="6"/>
        <v>0</v>
      </c>
      <c r="DD27" s="541">
        <f t="shared" si="6"/>
        <v>0</v>
      </c>
      <c r="DE27" s="541">
        <f t="shared" si="6"/>
        <v>0</v>
      </c>
      <c r="DF27" s="541">
        <f t="shared" si="6"/>
        <v>0</v>
      </c>
      <c r="DG27" s="541">
        <f t="shared" si="6"/>
        <v>0</v>
      </c>
      <c r="DH27" s="541">
        <f t="shared" si="6"/>
        <v>0</v>
      </c>
      <c r="DI27" s="541">
        <f t="shared" si="6"/>
        <v>0</v>
      </c>
      <c r="DJ27" s="541">
        <f t="shared" si="6"/>
        <v>0</v>
      </c>
      <c r="DK27" s="541">
        <f t="shared" si="6"/>
        <v>0</v>
      </c>
      <c r="DL27" s="541">
        <f t="shared" si="6"/>
        <v>0</v>
      </c>
      <c r="DM27" s="541">
        <f t="shared" si="6"/>
        <v>0</v>
      </c>
      <c r="DN27" s="541">
        <f t="shared" si="6"/>
        <v>0</v>
      </c>
      <c r="DO27" s="541">
        <f t="shared" si="6"/>
        <v>0</v>
      </c>
      <c r="DP27" s="541">
        <f t="shared" si="6"/>
        <v>0</v>
      </c>
      <c r="DQ27" s="541">
        <f t="shared" si="6"/>
        <v>0</v>
      </c>
      <c r="DR27" s="541">
        <f t="shared" si="6"/>
        <v>0</v>
      </c>
      <c r="DS27" s="541">
        <f t="shared" si="6"/>
        <v>0</v>
      </c>
      <c r="DT27" s="541">
        <f t="shared" si="6"/>
        <v>0</v>
      </c>
      <c r="DU27" s="541">
        <f t="shared" si="6"/>
        <v>0</v>
      </c>
      <c r="DV27" s="541">
        <f t="shared" si="6"/>
        <v>0</v>
      </c>
      <c r="DW27" s="541">
        <f t="shared" si="6"/>
        <v>0</v>
      </c>
      <c r="DX27" s="541">
        <f t="shared" si="6"/>
        <v>0</v>
      </c>
      <c r="DY27" s="541">
        <f t="shared" si="6"/>
        <v>0</v>
      </c>
      <c r="DZ27" s="541">
        <f t="shared" si="6"/>
        <v>0</v>
      </c>
      <c r="EA27" s="541">
        <f t="shared" si="6"/>
        <v>0</v>
      </c>
      <c r="EB27" s="541">
        <f t="shared" si="6"/>
        <v>0</v>
      </c>
      <c r="EC27" s="541">
        <f t="shared" si="6"/>
        <v>1.3369572116062045E-10</v>
      </c>
      <c r="ED27" s="541">
        <f t="shared" si="6"/>
        <v>0</v>
      </c>
      <c r="EE27" s="541">
        <f t="shared" si="6"/>
        <v>0</v>
      </c>
      <c r="EF27" s="541">
        <f t="shared" si="6"/>
        <v>0</v>
      </c>
      <c r="EG27" s="541">
        <f t="shared" si="6"/>
        <v>0</v>
      </c>
    </row>
    <row r="29" spans="5:137" ht="12.75">
      <c r="E29" s="535" t="str">
        <f>Cons!E$48</f>
        <v>Capex - total</v>
      </c>
      <c r="G29" s="537" t="str">
        <f>Cons!G$48</f>
        <v>EUR 000s</v>
      </c>
      <c r="H29" s="537">
        <f>Cons!H$48</f>
        <v>291552.5</v>
      </c>
      <c r="J29" s="537">
        <f>Cons!J$48</f>
        <v>0</v>
      </c>
      <c r="K29" s="537">
        <f>Cons!K$48</f>
        <v>0</v>
      </c>
      <c r="L29" s="537">
        <f>Cons!L$48</f>
        <v>8000</v>
      </c>
      <c r="M29" s="537">
        <f>Cons!M$48</f>
        <v>13291.5625</v>
      </c>
      <c r="N29" s="537">
        <f>Cons!N$48</f>
        <v>13619.6875</v>
      </c>
      <c r="O29" s="537">
        <f>Cons!O$48</f>
        <v>13291.5625</v>
      </c>
      <c r="P29" s="537">
        <f>Cons!P$48</f>
        <v>13619.6875</v>
      </c>
      <c r="Q29" s="537">
        <f>Cons!Q$48</f>
        <v>13291.5625</v>
      </c>
      <c r="R29" s="537">
        <f>Cons!R$48</f>
        <v>16941.953125</v>
      </c>
      <c r="S29" s="537">
        <f>Cons!S$48</f>
        <v>17639.21875</v>
      </c>
      <c r="T29" s="537">
        <f>Cons!T$48</f>
        <v>17967.34375</v>
      </c>
      <c r="U29" s="537">
        <f>Cons!U$48</f>
        <v>18295.46875</v>
      </c>
      <c r="V29" s="537">
        <f>Cons!V$48</f>
        <v>16982.96875</v>
      </c>
      <c r="W29" s="537">
        <f>Cons!W$48</f>
        <v>16818.90625</v>
      </c>
      <c r="X29" s="537">
        <f>Cons!X$48</f>
        <v>15014.21875</v>
      </c>
      <c r="Y29" s="537">
        <f>Cons!Y$48</f>
        <v>13045.46875</v>
      </c>
      <c r="Z29" s="537">
        <f>Cons!Z$48</f>
        <v>12061.09375</v>
      </c>
      <c r="AA29" s="537">
        <f>Cons!AA$48</f>
        <v>13537.65625</v>
      </c>
      <c r="AB29" s="537">
        <f>Cons!AB$48</f>
        <v>14193.90625</v>
      </c>
      <c r="AC29" s="537">
        <f>Cons!AC$48</f>
        <v>14029.84375</v>
      </c>
      <c r="AD29" s="537">
        <f>Cons!AD$48</f>
        <v>12676.328125</v>
      </c>
      <c r="AE29" s="537">
        <f>Cons!AE$48</f>
        <v>7549.375</v>
      </c>
      <c r="AF29" s="537">
        <f>Cons!AF$48</f>
        <v>5744.6875</v>
      </c>
      <c r="AG29" s="537">
        <f>Cons!AG$48</f>
        <v>3940</v>
      </c>
      <c r="AH29" s="537">
        <f>Cons!AH$48</f>
        <v>0</v>
      </c>
      <c r="AI29" s="537">
        <f>Cons!AI$48</f>
        <v>0</v>
      </c>
      <c r="AJ29" s="537">
        <f>Cons!AJ$48</f>
        <v>0</v>
      </c>
      <c r="AK29" s="537">
        <f>Cons!AK$48</f>
        <v>0</v>
      </c>
      <c r="AL29" s="537">
        <f>Cons!AL$48</f>
        <v>0</v>
      </c>
      <c r="AM29" s="537">
        <f>Cons!AM$48</f>
        <v>0</v>
      </c>
      <c r="AN29" s="537">
        <f>Cons!AN$48</f>
        <v>0</v>
      </c>
      <c r="AO29" s="537">
        <f>Cons!AO$48</f>
        <v>0</v>
      </c>
      <c r="AP29" s="537">
        <f>Cons!AP$48</f>
        <v>0</v>
      </c>
      <c r="AQ29" s="537">
        <f>Cons!AQ$48</f>
        <v>0</v>
      </c>
      <c r="AR29" s="537">
        <f>Cons!AR$48</f>
        <v>0</v>
      </c>
      <c r="AS29" s="537">
        <f>Cons!AS$48</f>
        <v>0</v>
      </c>
      <c r="AT29" s="537">
        <f>Cons!AT$48</f>
        <v>0</v>
      </c>
      <c r="AU29" s="537">
        <f>Cons!AU$48</f>
        <v>0</v>
      </c>
      <c r="AV29" s="537">
        <f>Cons!AV$48</f>
        <v>0</v>
      </c>
      <c r="AW29" s="537">
        <f>Cons!AW$48</f>
        <v>0</v>
      </c>
      <c r="AX29" s="537">
        <f>Cons!AX$48</f>
        <v>0</v>
      </c>
      <c r="AY29" s="537">
        <f>Cons!AY$48</f>
        <v>0</v>
      </c>
      <c r="AZ29" s="537">
        <f>Cons!AZ$48</f>
        <v>0</v>
      </c>
      <c r="BA29" s="537">
        <f>Cons!BA$48</f>
        <v>0</v>
      </c>
      <c r="BB29" s="537">
        <f>Cons!BB$48</f>
        <v>0</v>
      </c>
      <c r="BC29" s="537">
        <f>Cons!BC$48</f>
        <v>0</v>
      </c>
      <c r="BD29" s="537">
        <f>Cons!BD$48</f>
        <v>0</v>
      </c>
      <c r="BE29" s="537">
        <f>Cons!BE$48</f>
        <v>0</v>
      </c>
      <c r="BF29" s="537">
        <f>Cons!BF$48</f>
        <v>0</v>
      </c>
      <c r="BG29" s="537">
        <f>Cons!BG$48</f>
        <v>0</v>
      </c>
      <c r="BH29" s="537">
        <f>Cons!BH$48</f>
        <v>0</v>
      </c>
      <c r="BI29" s="537">
        <f>Cons!BI$48</f>
        <v>0</v>
      </c>
      <c r="BJ29" s="537">
        <f>Cons!BJ$48</f>
        <v>0</v>
      </c>
      <c r="BK29" s="537">
        <f>Cons!BK$48</f>
        <v>0</v>
      </c>
      <c r="BL29" s="537">
        <f>Cons!BL$48</f>
        <v>0</v>
      </c>
      <c r="BM29" s="537">
        <f>Cons!BM$48</f>
        <v>0</v>
      </c>
      <c r="BN29" s="537">
        <f>Cons!BN$48</f>
        <v>0</v>
      </c>
      <c r="BO29" s="537">
        <f>Cons!BO$48</f>
        <v>0</v>
      </c>
      <c r="BP29" s="537">
        <f>Cons!BP$48</f>
        <v>0</v>
      </c>
      <c r="BQ29" s="537">
        <f>Cons!BQ$48</f>
        <v>0</v>
      </c>
      <c r="BR29" s="537">
        <f>Cons!BR$48</f>
        <v>0</v>
      </c>
      <c r="BS29" s="537">
        <f>Cons!BS$48</f>
        <v>0</v>
      </c>
      <c r="BT29" s="537">
        <f>Cons!BT$48</f>
        <v>0</v>
      </c>
      <c r="BU29" s="537">
        <f>Cons!BU$48</f>
        <v>0</v>
      </c>
      <c r="BV29" s="537">
        <f>Cons!BV$48</f>
        <v>0</v>
      </c>
      <c r="BW29" s="537">
        <f>Cons!BW$48</f>
        <v>0</v>
      </c>
      <c r="BX29" s="537">
        <f>Cons!BX$48</f>
        <v>0</v>
      </c>
      <c r="BY29" s="537">
        <f>Cons!BY$48</f>
        <v>0</v>
      </c>
      <c r="BZ29" s="537">
        <f>Cons!BZ$48</f>
        <v>0</v>
      </c>
      <c r="CA29" s="537">
        <f>Cons!CA$48</f>
        <v>0</v>
      </c>
      <c r="CB29" s="537">
        <f>Cons!CB$48</f>
        <v>0</v>
      </c>
      <c r="CC29" s="537">
        <f>Cons!CC$48</f>
        <v>0</v>
      </c>
      <c r="CD29" s="537">
        <f>Cons!CD$48</f>
        <v>0</v>
      </c>
      <c r="CE29" s="537">
        <f>Cons!CE$48</f>
        <v>0</v>
      </c>
      <c r="CF29" s="537">
        <f>Cons!CF$48</f>
        <v>0</v>
      </c>
      <c r="CG29" s="537">
        <f>Cons!CG$48</f>
        <v>0</v>
      </c>
      <c r="CH29" s="537">
        <f>Cons!CH$48</f>
        <v>0</v>
      </c>
      <c r="CI29" s="537">
        <f>Cons!CI$48</f>
        <v>0</v>
      </c>
      <c r="CJ29" s="537">
        <f>Cons!CJ$48</f>
        <v>0</v>
      </c>
      <c r="CK29" s="537">
        <f>Cons!CK$48</f>
        <v>0</v>
      </c>
      <c r="CL29" s="537">
        <f>Cons!CL$48</f>
        <v>0</v>
      </c>
      <c r="CM29" s="537">
        <f>Cons!CM$48</f>
        <v>0</v>
      </c>
      <c r="CN29" s="537">
        <f>Cons!CN$48</f>
        <v>0</v>
      </c>
      <c r="CO29" s="537">
        <f>Cons!CO$48</f>
        <v>0</v>
      </c>
      <c r="CP29" s="537">
        <f>Cons!CP$48</f>
        <v>0</v>
      </c>
      <c r="CQ29" s="537">
        <f>Cons!CQ$48</f>
        <v>0</v>
      </c>
      <c r="CR29" s="537">
        <f>Cons!CR$48</f>
        <v>0</v>
      </c>
      <c r="CS29" s="537">
        <f>Cons!CS$48</f>
        <v>0</v>
      </c>
      <c r="CT29" s="537">
        <f>Cons!CT$48</f>
        <v>0</v>
      </c>
      <c r="CU29" s="537">
        <f>Cons!CU$48</f>
        <v>0</v>
      </c>
      <c r="CV29" s="537">
        <f>Cons!CV$48</f>
        <v>0</v>
      </c>
      <c r="CW29" s="537">
        <f>Cons!CW$48</f>
        <v>0</v>
      </c>
      <c r="CX29" s="537">
        <f>Cons!CX$48</f>
        <v>0</v>
      </c>
      <c r="CY29" s="537">
        <f>Cons!CY$48</f>
        <v>0</v>
      </c>
      <c r="CZ29" s="537">
        <f>Cons!CZ$48</f>
        <v>0</v>
      </c>
      <c r="DA29" s="537">
        <f>Cons!DA$48</f>
        <v>0</v>
      </c>
      <c r="DB29" s="537">
        <f>Cons!DB$48</f>
        <v>0</v>
      </c>
      <c r="DC29" s="537">
        <f>Cons!DC$48</f>
        <v>0</v>
      </c>
      <c r="DD29" s="537">
        <f>Cons!DD$48</f>
        <v>0</v>
      </c>
      <c r="DE29" s="537">
        <f>Cons!DE$48</f>
        <v>0</v>
      </c>
      <c r="DF29" s="537">
        <f>Cons!DF$48</f>
        <v>0</v>
      </c>
      <c r="DG29" s="537">
        <f>Cons!DG$48</f>
        <v>0</v>
      </c>
      <c r="DH29" s="537">
        <f>Cons!DH$48</f>
        <v>0</v>
      </c>
      <c r="DI29" s="537">
        <f>Cons!DI$48</f>
        <v>0</v>
      </c>
      <c r="DJ29" s="537">
        <f>Cons!DJ$48</f>
        <v>0</v>
      </c>
      <c r="DK29" s="537">
        <f>Cons!DK$48</f>
        <v>0</v>
      </c>
      <c r="DL29" s="537">
        <f>Cons!DL$48</f>
        <v>0</v>
      </c>
      <c r="DM29" s="537">
        <f>Cons!DM$48</f>
        <v>0</v>
      </c>
      <c r="DN29" s="537">
        <f>Cons!DN$48</f>
        <v>0</v>
      </c>
      <c r="DO29" s="537">
        <f>Cons!DO$48</f>
        <v>0</v>
      </c>
      <c r="DP29" s="537">
        <f>Cons!DP$48</f>
        <v>0</v>
      </c>
      <c r="DQ29" s="537">
        <f>Cons!DQ$48</f>
        <v>0</v>
      </c>
      <c r="DR29" s="537">
        <f>Cons!DR$48</f>
        <v>0</v>
      </c>
      <c r="DS29" s="537">
        <f>Cons!DS$48</f>
        <v>0</v>
      </c>
      <c r="DT29" s="537">
        <f>Cons!DT$48</f>
        <v>0</v>
      </c>
      <c r="DU29" s="537">
        <f>Cons!DU$48</f>
        <v>0</v>
      </c>
      <c r="DV29" s="537">
        <f>Cons!DV$48</f>
        <v>0</v>
      </c>
      <c r="DW29" s="537">
        <f>Cons!DW$48</f>
        <v>0</v>
      </c>
      <c r="DX29" s="537">
        <f>Cons!DX$48</f>
        <v>0</v>
      </c>
      <c r="DY29" s="537">
        <f>Cons!DY$48</f>
        <v>0</v>
      </c>
      <c r="DZ29" s="537">
        <f>Cons!DZ$48</f>
        <v>0</v>
      </c>
      <c r="EA29" s="537">
        <f>Cons!EA$48</f>
        <v>0</v>
      </c>
      <c r="EB29" s="537">
        <f>Cons!EB$48</f>
        <v>0</v>
      </c>
      <c r="EC29" s="537">
        <f>Cons!EC$48</f>
        <v>0</v>
      </c>
      <c r="ED29" s="537">
        <f>Cons!ED$48</f>
        <v>0</v>
      </c>
      <c r="EE29" s="537">
        <f>Cons!EE$48</f>
        <v>0</v>
      </c>
      <c r="EF29" s="537">
        <f>Cons!EF$48</f>
        <v>0</v>
      </c>
      <c r="EG29" s="537">
        <f>Cons!EG$48</f>
        <v>0</v>
      </c>
    </row>
    <row r="30" spans="5:137" ht="12.75">
      <c r="E30" s="538" t="str">
        <f>E$21</f>
        <v>Fixed assets - accounting depreciation</v>
      </c>
      <c r="G30" s="539" t="str">
        <f>G$21</f>
        <v>EUR 000s</v>
      </c>
      <c r="H30" s="539">
        <f>H$21</f>
        <v>291552.49999999988</v>
      </c>
      <c r="J30" s="539">
        <f t="shared" si="7" ref="J30:EG30">J$21</f>
        <v>0</v>
      </c>
      <c r="K30" s="539">
        <f t="shared" si="7"/>
        <v>0</v>
      </c>
      <c r="L30" s="539">
        <f t="shared" si="7"/>
        <v>0</v>
      </c>
      <c r="M30" s="539">
        <f t="shared" si="7"/>
        <v>0</v>
      </c>
      <c r="N30" s="539">
        <f t="shared" si="7"/>
        <v>0</v>
      </c>
      <c r="O30" s="539">
        <f t="shared" si="7"/>
        <v>0</v>
      </c>
      <c r="P30" s="539">
        <f t="shared" si="7"/>
        <v>0</v>
      </c>
      <c r="Q30" s="539">
        <f t="shared" si="7"/>
        <v>0</v>
      </c>
      <c r="R30" s="539">
        <f t="shared" si="7"/>
        <v>0</v>
      </c>
      <c r="S30" s="539">
        <f t="shared" si="7"/>
        <v>0</v>
      </c>
      <c r="T30" s="539">
        <f t="shared" si="7"/>
        <v>0</v>
      </c>
      <c r="U30" s="539">
        <f t="shared" si="7"/>
        <v>0</v>
      </c>
      <c r="V30" s="539">
        <f t="shared" si="7"/>
        <v>0</v>
      </c>
      <c r="W30" s="539">
        <f t="shared" si="7"/>
        <v>0</v>
      </c>
      <c r="X30" s="539">
        <f t="shared" si="7"/>
        <v>0</v>
      </c>
      <c r="Y30" s="539">
        <f t="shared" si="7"/>
        <v>0</v>
      </c>
      <c r="Z30" s="539">
        <f t="shared" si="7"/>
        <v>0</v>
      </c>
      <c r="AA30" s="539">
        <f t="shared" si="7"/>
        <v>0</v>
      </c>
      <c r="AB30" s="539">
        <f t="shared" si="7"/>
        <v>0</v>
      </c>
      <c r="AC30" s="539">
        <f t="shared" si="7"/>
        <v>0</v>
      </c>
      <c r="AD30" s="539">
        <f t="shared" si="7"/>
        <v>0</v>
      </c>
      <c r="AE30" s="539">
        <f t="shared" si="7"/>
        <v>0</v>
      </c>
      <c r="AF30" s="539">
        <f t="shared" si="7"/>
        <v>0</v>
      </c>
      <c r="AG30" s="539">
        <f t="shared" si="7"/>
        <v>0</v>
      </c>
      <c r="AH30" s="539">
        <f t="shared" si="7"/>
        <v>2915.5250000000001</v>
      </c>
      <c r="AI30" s="539">
        <f t="shared" si="7"/>
        <v>2915.5250000000001</v>
      </c>
      <c r="AJ30" s="539">
        <f t="shared" si="7"/>
        <v>2915.5250000000001</v>
      </c>
      <c r="AK30" s="539">
        <f t="shared" si="7"/>
        <v>2915.5250000000001</v>
      </c>
      <c r="AL30" s="539">
        <f t="shared" si="7"/>
        <v>2915.5250000000001</v>
      </c>
      <c r="AM30" s="539">
        <f t="shared" si="7"/>
        <v>2915.5250000000001</v>
      </c>
      <c r="AN30" s="539">
        <f t="shared" si="7"/>
        <v>2915.5250000000001</v>
      </c>
      <c r="AO30" s="539">
        <f t="shared" si="7"/>
        <v>2915.5250000000001</v>
      </c>
      <c r="AP30" s="539">
        <f t="shared" si="7"/>
        <v>2915.5250000000001</v>
      </c>
      <c r="AQ30" s="539">
        <f t="shared" si="7"/>
        <v>2915.5250000000001</v>
      </c>
      <c r="AR30" s="539">
        <f t="shared" si="7"/>
        <v>2915.5250000000001</v>
      </c>
      <c r="AS30" s="539">
        <f t="shared" si="7"/>
        <v>2915.5250000000001</v>
      </c>
      <c r="AT30" s="539">
        <f t="shared" si="7"/>
        <v>2915.5250000000001</v>
      </c>
      <c r="AU30" s="539">
        <f t="shared" si="7"/>
        <v>2915.5250000000001</v>
      </c>
      <c r="AV30" s="539">
        <f t="shared" si="7"/>
        <v>2915.5250000000001</v>
      </c>
      <c r="AW30" s="539">
        <f t="shared" si="7"/>
        <v>2915.5250000000001</v>
      </c>
      <c r="AX30" s="539">
        <f t="shared" si="7"/>
        <v>2915.5250000000001</v>
      </c>
      <c r="AY30" s="539">
        <f t="shared" si="7"/>
        <v>2915.5250000000001</v>
      </c>
      <c r="AZ30" s="539">
        <f t="shared" si="7"/>
        <v>2915.5250000000001</v>
      </c>
      <c r="BA30" s="539">
        <f t="shared" si="7"/>
        <v>2915.5250000000001</v>
      </c>
      <c r="BB30" s="539">
        <f t="shared" si="7"/>
        <v>2915.5250000000001</v>
      </c>
      <c r="BC30" s="539">
        <f t="shared" si="7"/>
        <v>2915.5250000000001</v>
      </c>
      <c r="BD30" s="539">
        <f t="shared" si="7"/>
        <v>2915.5250000000001</v>
      </c>
      <c r="BE30" s="539">
        <f t="shared" si="7"/>
        <v>2915.5250000000001</v>
      </c>
      <c r="BF30" s="539">
        <f t="shared" si="7"/>
        <v>2915.5250000000001</v>
      </c>
      <c r="BG30" s="539">
        <f t="shared" si="7"/>
        <v>2915.5250000000001</v>
      </c>
      <c r="BH30" s="539">
        <f t="shared" si="7"/>
        <v>2915.5250000000001</v>
      </c>
      <c r="BI30" s="539">
        <f t="shared" si="7"/>
        <v>2915.5250000000001</v>
      </c>
      <c r="BJ30" s="539">
        <f t="shared" si="7"/>
        <v>2915.5250000000001</v>
      </c>
      <c r="BK30" s="539">
        <f t="shared" si="7"/>
        <v>2915.5250000000001</v>
      </c>
      <c r="BL30" s="539">
        <f t="shared" si="7"/>
        <v>2915.5250000000001</v>
      </c>
      <c r="BM30" s="539">
        <f t="shared" si="7"/>
        <v>2915.5250000000001</v>
      </c>
      <c r="BN30" s="539">
        <f t="shared" si="7"/>
        <v>2915.5250000000001</v>
      </c>
      <c r="BO30" s="539">
        <f t="shared" si="7"/>
        <v>2915.5250000000001</v>
      </c>
      <c r="BP30" s="539">
        <f t="shared" si="7"/>
        <v>2915.5250000000001</v>
      </c>
      <c r="BQ30" s="539">
        <f t="shared" si="7"/>
        <v>2915.5250000000001</v>
      </c>
      <c r="BR30" s="539">
        <f t="shared" si="7"/>
        <v>2915.5250000000001</v>
      </c>
      <c r="BS30" s="539">
        <f t="shared" si="7"/>
        <v>2915.5250000000001</v>
      </c>
      <c r="BT30" s="539">
        <f t="shared" si="7"/>
        <v>2915.5250000000001</v>
      </c>
      <c r="BU30" s="539">
        <f t="shared" si="7"/>
        <v>2915.5250000000001</v>
      </c>
      <c r="BV30" s="539">
        <f t="shared" si="7"/>
        <v>2915.5250000000001</v>
      </c>
      <c r="BW30" s="539">
        <f t="shared" si="7"/>
        <v>2915.5250000000001</v>
      </c>
      <c r="BX30" s="539">
        <f t="shared" si="7"/>
        <v>2915.5250000000001</v>
      </c>
      <c r="BY30" s="539">
        <f t="shared" si="7"/>
        <v>2915.5250000000001</v>
      </c>
      <c r="BZ30" s="539">
        <f t="shared" si="7"/>
        <v>2915.5250000000001</v>
      </c>
      <c r="CA30" s="539">
        <f t="shared" si="7"/>
        <v>2915.5250000000001</v>
      </c>
      <c r="CB30" s="539">
        <f t="shared" si="7"/>
        <v>2915.5250000000001</v>
      </c>
      <c r="CC30" s="539">
        <f t="shared" si="7"/>
        <v>2915.5250000000001</v>
      </c>
      <c r="CD30" s="539">
        <f t="shared" si="7"/>
        <v>2915.5250000000001</v>
      </c>
      <c r="CE30" s="539">
        <f t="shared" si="7"/>
        <v>2915.5250000000001</v>
      </c>
      <c r="CF30" s="539">
        <f t="shared" si="7"/>
        <v>2915.5250000000001</v>
      </c>
      <c r="CG30" s="539">
        <f t="shared" si="7"/>
        <v>2915.5250000000001</v>
      </c>
      <c r="CH30" s="539">
        <f t="shared" si="7"/>
        <v>2915.5250000000001</v>
      </c>
      <c r="CI30" s="539">
        <f t="shared" si="7"/>
        <v>2915.5250000000001</v>
      </c>
      <c r="CJ30" s="539">
        <f t="shared" si="7"/>
        <v>2915.5250000000001</v>
      </c>
      <c r="CK30" s="539">
        <f t="shared" si="7"/>
        <v>2915.5250000000001</v>
      </c>
      <c r="CL30" s="539">
        <f t="shared" si="7"/>
        <v>2915.5250000000001</v>
      </c>
      <c r="CM30" s="539">
        <f t="shared" si="7"/>
        <v>2915.5250000000001</v>
      </c>
      <c r="CN30" s="539">
        <f t="shared" si="7"/>
        <v>2915.5250000000001</v>
      </c>
      <c r="CO30" s="539">
        <f t="shared" si="7"/>
        <v>2915.5250000000001</v>
      </c>
      <c r="CP30" s="539">
        <f t="shared" si="7"/>
        <v>2915.5250000000001</v>
      </c>
      <c r="CQ30" s="539">
        <f t="shared" si="7"/>
        <v>2915.5250000000001</v>
      </c>
      <c r="CR30" s="539">
        <f t="shared" si="7"/>
        <v>2915.5250000000001</v>
      </c>
      <c r="CS30" s="539">
        <f t="shared" si="7"/>
        <v>2915.5250000000001</v>
      </c>
      <c r="CT30" s="539">
        <f t="shared" si="7"/>
        <v>2915.5250000000001</v>
      </c>
      <c r="CU30" s="539">
        <f t="shared" si="7"/>
        <v>2915.5250000000001</v>
      </c>
      <c r="CV30" s="539">
        <f t="shared" si="7"/>
        <v>2915.5250000000001</v>
      </c>
      <c r="CW30" s="539">
        <f t="shared" si="7"/>
        <v>2915.5250000000001</v>
      </c>
      <c r="CX30" s="539">
        <f t="shared" si="7"/>
        <v>2915.5250000000001</v>
      </c>
      <c r="CY30" s="539">
        <f t="shared" si="7"/>
        <v>2915.5250000000001</v>
      </c>
      <c r="CZ30" s="539">
        <f t="shared" si="7"/>
        <v>2915.5250000000001</v>
      </c>
      <c r="DA30" s="539">
        <f t="shared" si="7"/>
        <v>2915.5250000000001</v>
      </c>
      <c r="DB30" s="539">
        <f t="shared" si="7"/>
        <v>2915.5250000000001</v>
      </c>
      <c r="DC30" s="539">
        <f t="shared" si="7"/>
        <v>2915.5250000000001</v>
      </c>
      <c r="DD30" s="539">
        <f t="shared" si="7"/>
        <v>2915.5250000000001</v>
      </c>
      <c r="DE30" s="539">
        <f t="shared" si="7"/>
        <v>2915.5250000000001</v>
      </c>
      <c r="DF30" s="539">
        <f t="shared" si="7"/>
        <v>2915.5250000000001</v>
      </c>
      <c r="DG30" s="539">
        <f t="shared" si="7"/>
        <v>2915.5250000000001</v>
      </c>
      <c r="DH30" s="539">
        <f t="shared" si="7"/>
        <v>2915.5250000000001</v>
      </c>
      <c r="DI30" s="539">
        <f t="shared" si="7"/>
        <v>2915.5250000000001</v>
      </c>
      <c r="DJ30" s="539">
        <f t="shared" si="7"/>
        <v>2915.5250000000001</v>
      </c>
      <c r="DK30" s="539">
        <f t="shared" si="7"/>
        <v>2915.5250000000001</v>
      </c>
      <c r="DL30" s="539">
        <f t="shared" si="7"/>
        <v>2915.5250000000001</v>
      </c>
      <c r="DM30" s="539">
        <f t="shared" si="7"/>
        <v>2915.5250000000001</v>
      </c>
      <c r="DN30" s="539">
        <f t="shared" si="7"/>
        <v>2915.5250000000001</v>
      </c>
      <c r="DO30" s="539">
        <f t="shared" si="7"/>
        <v>2915.5250000000001</v>
      </c>
      <c r="DP30" s="539">
        <f t="shared" si="7"/>
        <v>2915.5250000000001</v>
      </c>
      <c r="DQ30" s="539">
        <f t="shared" si="7"/>
        <v>2915.5250000000001</v>
      </c>
      <c r="DR30" s="539">
        <f t="shared" si="7"/>
        <v>2915.5250000000001</v>
      </c>
      <c r="DS30" s="539">
        <f t="shared" si="7"/>
        <v>2915.5250000000001</v>
      </c>
      <c r="DT30" s="539">
        <f t="shared" si="7"/>
        <v>2915.5250000000001</v>
      </c>
      <c r="DU30" s="539">
        <f t="shared" si="7"/>
        <v>2915.5250000000001</v>
      </c>
      <c r="DV30" s="539">
        <f t="shared" si="7"/>
        <v>2915.5250000000001</v>
      </c>
      <c r="DW30" s="539">
        <f t="shared" si="7"/>
        <v>2915.5250000000001</v>
      </c>
      <c r="DX30" s="539">
        <f t="shared" si="7"/>
        <v>2915.5250000000001</v>
      </c>
      <c r="DY30" s="539">
        <f t="shared" si="7"/>
        <v>2915.5250000000001</v>
      </c>
      <c r="DZ30" s="539">
        <f t="shared" si="7"/>
        <v>2915.5250000000001</v>
      </c>
      <c r="EA30" s="539">
        <f t="shared" si="7"/>
        <v>2915.5250000000001</v>
      </c>
      <c r="EB30" s="539">
        <f t="shared" si="7"/>
        <v>2915.5250000000001</v>
      </c>
      <c r="EC30" s="539">
        <f t="shared" si="7"/>
        <v>2915.5250000000001</v>
      </c>
      <c r="ED30" s="539">
        <f t="shared" si="7"/>
        <v>0</v>
      </c>
      <c r="EE30" s="539">
        <f t="shared" si="7"/>
        <v>0</v>
      </c>
      <c r="EF30" s="539">
        <f t="shared" si="7"/>
        <v>0</v>
      </c>
      <c r="EG30" s="539">
        <f t="shared" si="7"/>
        <v>0</v>
      </c>
    </row>
    <row r="31" spans="5:137" ht="12.75">
      <c r="E31" s="538" t="str">
        <f>E$27</f>
        <v>Fixed assets - write-off at operations end</v>
      </c>
      <c r="G31" s="539" t="str">
        <f>G$27</f>
        <v>EUR 000s</v>
      </c>
      <c r="H31" s="539">
        <f>H$27</f>
        <v>1.3369572116062045E-10</v>
      </c>
      <c r="J31" s="539">
        <f t="shared" si="8" ref="J31:EG31">J$27</f>
        <v>0</v>
      </c>
      <c r="K31" s="539">
        <f t="shared" si="8"/>
        <v>0</v>
      </c>
      <c r="L31" s="539">
        <f t="shared" si="8"/>
        <v>0</v>
      </c>
      <c r="M31" s="539">
        <f t="shared" si="8"/>
        <v>0</v>
      </c>
      <c r="N31" s="539">
        <f t="shared" si="8"/>
        <v>0</v>
      </c>
      <c r="O31" s="539">
        <f t="shared" si="8"/>
        <v>0</v>
      </c>
      <c r="P31" s="539">
        <f t="shared" si="8"/>
        <v>0</v>
      </c>
      <c r="Q31" s="539">
        <f t="shared" si="8"/>
        <v>0</v>
      </c>
      <c r="R31" s="539">
        <f t="shared" si="8"/>
        <v>0</v>
      </c>
      <c r="S31" s="539">
        <f t="shared" si="8"/>
        <v>0</v>
      </c>
      <c r="T31" s="539">
        <f t="shared" si="8"/>
        <v>0</v>
      </c>
      <c r="U31" s="539">
        <f t="shared" si="8"/>
        <v>0</v>
      </c>
      <c r="V31" s="539">
        <f t="shared" si="8"/>
        <v>0</v>
      </c>
      <c r="W31" s="539">
        <f t="shared" si="8"/>
        <v>0</v>
      </c>
      <c r="X31" s="539">
        <f t="shared" si="8"/>
        <v>0</v>
      </c>
      <c r="Y31" s="539">
        <f t="shared" si="8"/>
        <v>0</v>
      </c>
      <c r="Z31" s="539">
        <f t="shared" si="8"/>
        <v>0</v>
      </c>
      <c r="AA31" s="539">
        <f t="shared" si="8"/>
        <v>0</v>
      </c>
      <c r="AB31" s="539">
        <f t="shared" si="8"/>
        <v>0</v>
      </c>
      <c r="AC31" s="539">
        <f t="shared" si="8"/>
        <v>0</v>
      </c>
      <c r="AD31" s="539">
        <f t="shared" si="8"/>
        <v>0</v>
      </c>
      <c r="AE31" s="539">
        <f t="shared" si="8"/>
        <v>0</v>
      </c>
      <c r="AF31" s="539">
        <f t="shared" si="8"/>
        <v>0</v>
      </c>
      <c r="AG31" s="539">
        <f t="shared" si="8"/>
        <v>0</v>
      </c>
      <c r="AH31" s="539">
        <f t="shared" si="8"/>
        <v>0</v>
      </c>
      <c r="AI31" s="539">
        <f t="shared" si="8"/>
        <v>0</v>
      </c>
      <c r="AJ31" s="539">
        <f t="shared" si="8"/>
        <v>0</v>
      </c>
      <c r="AK31" s="539">
        <f t="shared" si="8"/>
        <v>0</v>
      </c>
      <c r="AL31" s="539">
        <f t="shared" si="8"/>
        <v>0</v>
      </c>
      <c r="AM31" s="539">
        <f t="shared" si="8"/>
        <v>0</v>
      </c>
      <c r="AN31" s="539">
        <f t="shared" si="8"/>
        <v>0</v>
      </c>
      <c r="AO31" s="539">
        <f t="shared" si="8"/>
        <v>0</v>
      </c>
      <c r="AP31" s="539">
        <f t="shared" si="8"/>
        <v>0</v>
      </c>
      <c r="AQ31" s="539">
        <f t="shared" si="8"/>
        <v>0</v>
      </c>
      <c r="AR31" s="539">
        <f t="shared" si="8"/>
        <v>0</v>
      </c>
      <c r="AS31" s="539">
        <f t="shared" si="8"/>
        <v>0</v>
      </c>
      <c r="AT31" s="539">
        <f t="shared" si="8"/>
        <v>0</v>
      </c>
      <c r="AU31" s="539">
        <f t="shared" si="8"/>
        <v>0</v>
      </c>
      <c r="AV31" s="539">
        <f t="shared" si="8"/>
        <v>0</v>
      </c>
      <c r="AW31" s="539">
        <f t="shared" si="8"/>
        <v>0</v>
      </c>
      <c r="AX31" s="539">
        <f t="shared" si="8"/>
        <v>0</v>
      </c>
      <c r="AY31" s="539">
        <f t="shared" si="8"/>
        <v>0</v>
      </c>
      <c r="AZ31" s="539">
        <f t="shared" si="8"/>
        <v>0</v>
      </c>
      <c r="BA31" s="539">
        <f t="shared" si="8"/>
        <v>0</v>
      </c>
      <c r="BB31" s="539">
        <f t="shared" si="8"/>
        <v>0</v>
      </c>
      <c r="BC31" s="539">
        <f t="shared" si="8"/>
        <v>0</v>
      </c>
      <c r="BD31" s="539">
        <f t="shared" si="8"/>
        <v>0</v>
      </c>
      <c r="BE31" s="539">
        <f t="shared" si="8"/>
        <v>0</v>
      </c>
      <c r="BF31" s="539">
        <f t="shared" si="8"/>
        <v>0</v>
      </c>
      <c r="BG31" s="539">
        <f t="shared" si="8"/>
        <v>0</v>
      </c>
      <c r="BH31" s="539">
        <f t="shared" si="8"/>
        <v>0</v>
      </c>
      <c r="BI31" s="539">
        <f t="shared" si="8"/>
        <v>0</v>
      </c>
      <c r="BJ31" s="539">
        <f t="shared" si="8"/>
        <v>0</v>
      </c>
      <c r="BK31" s="539">
        <f t="shared" si="8"/>
        <v>0</v>
      </c>
      <c r="BL31" s="539">
        <f t="shared" si="8"/>
        <v>0</v>
      </c>
      <c r="BM31" s="539">
        <f t="shared" si="8"/>
        <v>0</v>
      </c>
      <c r="BN31" s="539">
        <f t="shared" si="8"/>
        <v>0</v>
      </c>
      <c r="BO31" s="539">
        <f t="shared" si="8"/>
        <v>0</v>
      </c>
      <c r="BP31" s="539">
        <f t="shared" si="8"/>
        <v>0</v>
      </c>
      <c r="BQ31" s="539">
        <f t="shared" si="8"/>
        <v>0</v>
      </c>
      <c r="BR31" s="539">
        <f t="shared" si="8"/>
        <v>0</v>
      </c>
      <c r="BS31" s="539">
        <f t="shared" si="8"/>
        <v>0</v>
      </c>
      <c r="BT31" s="539">
        <f t="shared" si="8"/>
        <v>0</v>
      </c>
      <c r="BU31" s="539">
        <f t="shared" si="8"/>
        <v>0</v>
      </c>
      <c r="BV31" s="539">
        <f t="shared" si="8"/>
        <v>0</v>
      </c>
      <c r="BW31" s="539">
        <f t="shared" si="8"/>
        <v>0</v>
      </c>
      <c r="BX31" s="539">
        <f t="shared" si="8"/>
        <v>0</v>
      </c>
      <c r="BY31" s="539">
        <f t="shared" si="8"/>
        <v>0</v>
      </c>
      <c r="BZ31" s="539">
        <f t="shared" si="8"/>
        <v>0</v>
      </c>
      <c r="CA31" s="539">
        <f t="shared" si="8"/>
        <v>0</v>
      </c>
      <c r="CB31" s="539">
        <f t="shared" si="8"/>
        <v>0</v>
      </c>
      <c r="CC31" s="539">
        <f t="shared" si="8"/>
        <v>0</v>
      </c>
      <c r="CD31" s="539">
        <f t="shared" si="8"/>
        <v>0</v>
      </c>
      <c r="CE31" s="539">
        <f t="shared" si="8"/>
        <v>0</v>
      </c>
      <c r="CF31" s="539">
        <f t="shared" si="8"/>
        <v>0</v>
      </c>
      <c r="CG31" s="539">
        <f t="shared" si="8"/>
        <v>0</v>
      </c>
      <c r="CH31" s="539">
        <f t="shared" si="8"/>
        <v>0</v>
      </c>
      <c r="CI31" s="539">
        <f t="shared" si="8"/>
        <v>0</v>
      </c>
      <c r="CJ31" s="539">
        <f t="shared" si="8"/>
        <v>0</v>
      </c>
      <c r="CK31" s="539">
        <f t="shared" si="8"/>
        <v>0</v>
      </c>
      <c r="CL31" s="539">
        <f t="shared" si="8"/>
        <v>0</v>
      </c>
      <c r="CM31" s="539">
        <f t="shared" si="8"/>
        <v>0</v>
      </c>
      <c r="CN31" s="539">
        <f t="shared" si="8"/>
        <v>0</v>
      </c>
      <c r="CO31" s="539">
        <f t="shared" si="8"/>
        <v>0</v>
      </c>
      <c r="CP31" s="539">
        <f t="shared" si="8"/>
        <v>0</v>
      </c>
      <c r="CQ31" s="539">
        <f t="shared" si="8"/>
        <v>0</v>
      </c>
      <c r="CR31" s="539">
        <f t="shared" si="8"/>
        <v>0</v>
      </c>
      <c r="CS31" s="539">
        <f t="shared" si="8"/>
        <v>0</v>
      </c>
      <c r="CT31" s="539">
        <f t="shared" si="8"/>
        <v>0</v>
      </c>
      <c r="CU31" s="539">
        <f t="shared" si="8"/>
        <v>0</v>
      </c>
      <c r="CV31" s="539">
        <f t="shared" si="8"/>
        <v>0</v>
      </c>
      <c r="CW31" s="539">
        <f t="shared" si="8"/>
        <v>0</v>
      </c>
      <c r="CX31" s="539">
        <f t="shared" si="8"/>
        <v>0</v>
      </c>
      <c r="CY31" s="539">
        <f t="shared" si="8"/>
        <v>0</v>
      </c>
      <c r="CZ31" s="539">
        <f t="shared" si="8"/>
        <v>0</v>
      </c>
      <c r="DA31" s="539">
        <f t="shared" si="8"/>
        <v>0</v>
      </c>
      <c r="DB31" s="539">
        <f t="shared" si="8"/>
        <v>0</v>
      </c>
      <c r="DC31" s="539">
        <f t="shared" si="8"/>
        <v>0</v>
      </c>
      <c r="DD31" s="539">
        <f t="shared" si="8"/>
        <v>0</v>
      </c>
      <c r="DE31" s="539">
        <f t="shared" si="8"/>
        <v>0</v>
      </c>
      <c r="DF31" s="539">
        <f t="shared" si="8"/>
        <v>0</v>
      </c>
      <c r="DG31" s="539">
        <f t="shared" si="8"/>
        <v>0</v>
      </c>
      <c r="DH31" s="539">
        <f t="shared" si="8"/>
        <v>0</v>
      </c>
      <c r="DI31" s="539">
        <f t="shared" si="8"/>
        <v>0</v>
      </c>
      <c r="DJ31" s="539">
        <f t="shared" si="8"/>
        <v>0</v>
      </c>
      <c r="DK31" s="539">
        <f t="shared" si="8"/>
        <v>0</v>
      </c>
      <c r="DL31" s="539">
        <f t="shared" si="8"/>
        <v>0</v>
      </c>
      <c r="DM31" s="539">
        <f t="shared" si="8"/>
        <v>0</v>
      </c>
      <c r="DN31" s="539">
        <f t="shared" si="8"/>
        <v>0</v>
      </c>
      <c r="DO31" s="539">
        <f t="shared" si="8"/>
        <v>0</v>
      </c>
      <c r="DP31" s="539">
        <f t="shared" si="8"/>
        <v>0</v>
      </c>
      <c r="DQ31" s="539">
        <f t="shared" si="8"/>
        <v>0</v>
      </c>
      <c r="DR31" s="539">
        <f t="shared" si="8"/>
        <v>0</v>
      </c>
      <c r="DS31" s="539">
        <f t="shared" si="8"/>
        <v>0</v>
      </c>
      <c r="DT31" s="539">
        <f t="shared" si="8"/>
        <v>0</v>
      </c>
      <c r="DU31" s="539">
        <f t="shared" si="8"/>
        <v>0</v>
      </c>
      <c r="DV31" s="539">
        <f t="shared" si="8"/>
        <v>0</v>
      </c>
      <c r="DW31" s="539">
        <f t="shared" si="8"/>
        <v>0</v>
      </c>
      <c r="DX31" s="539">
        <f t="shared" si="8"/>
        <v>0</v>
      </c>
      <c r="DY31" s="539">
        <f t="shared" si="8"/>
        <v>0</v>
      </c>
      <c r="DZ31" s="539">
        <f t="shared" si="8"/>
        <v>0</v>
      </c>
      <c r="EA31" s="539">
        <f t="shared" si="8"/>
        <v>0</v>
      </c>
      <c r="EB31" s="539">
        <f t="shared" si="8"/>
        <v>0</v>
      </c>
      <c r="EC31" s="539">
        <f t="shared" si="8"/>
        <v>1.3369572116062045E-10</v>
      </c>
      <c r="ED31" s="539">
        <f t="shared" si="8"/>
        <v>0</v>
      </c>
      <c r="EE31" s="539">
        <f t="shared" si="8"/>
        <v>0</v>
      </c>
      <c r="EF31" s="539">
        <f t="shared" si="8"/>
        <v>0</v>
      </c>
      <c r="EG31" s="539">
        <f t="shared" si="8"/>
        <v>0</v>
      </c>
    </row>
    <row r="32" spans="5:137" ht="12.75">
      <c r="E32" s="540" t="s">
        <v>284</v>
      </c>
      <c r="G32" s="541" t="s">
        <v>30</v>
      </c>
      <c r="H32" s="541">
        <f>SUM(J32:EG32)</f>
        <v>17999762.187499996</v>
      </c>
      <c r="J32" s="541">
        <f t="shared" si="9" ref="J32:EG32">I32+J29-J30-J31</f>
        <v>0</v>
      </c>
      <c r="K32" s="541">
        <f t="shared" si="9"/>
        <v>0</v>
      </c>
      <c r="L32" s="541">
        <f t="shared" si="9"/>
        <v>8000</v>
      </c>
      <c r="M32" s="541">
        <f t="shared" si="9"/>
        <v>21291.5625</v>
      </c>
      <c r="N32" s="541">
        <f t="shared" si="9"/>
        <v>34911.25</v>
      </c>
      <c r="O32" s="541">
        <f t="shared" si="9"/>
        <v>48202.8125</v>
      </c>
      <c r="P32" s="541">
        <f t="shared" si="9"/>
        <v>61822.5</v>
      </c>
      <c r="Q32" s="541">
        <f t="shared" si="9"/>
        <v>75114.0625</v>
      </c>
      <c r="R32" s="541">
        <f t="shared" si="9"/>
        <v>92056.015625</v>
      </c>
      <c r="S32" s="541">
        <f t="shared" si="9"/>
        <v>109695.234375</v>
      </c>
      <c r="T32" s="541">
        <f t="shared" si="9"/>
        <v>127662.578125</v>
      </c>
      <c r="U32" s="541">
        <f t="shared" si="9"/>
        <v>145958.046875</v>
      </c>
      <c r="V32" s="541">
        <f t="shared" si="9"/>
        <v>162941.015625</v>
      </c>
      <c r="W32" s="541">
        <f t="shared" si="9"/>
        <v>179759.921875</v>
      </c>
      <c r="X32" s="541">
        <f t="shared" si="9"/>
        <v>194774.140625</v>
      </c>
      <c r="Y32" s="541">
        <f t="shared" si="9"/>
        <v>207819.609375</v>
      </c>
      <c r="Z32" s="541">
        <f t="shared" si="9"/>
        <v>219880.703125</v>
      </c>
      <c r="AA32" s="541">
        <f t="shared" si="9"/>
        <v>233418.359375</v>
      </c>
      <c r="AB32" s="541">
        <f t="shared" si="9"/>
        <v>247612.265625</v>
      </c>
      <c r="AC32" s="541">
        <f t="shared" si="9"/>
        <v>261642.109375</v>
      </c>
      <c r="AD32" s="541">
        <f t="shared" si="9"/>
        <v>274318.4375</v>
      </c>
      <c r="AE32" s="541">
        <f t="shared" si="9"/>
        <v>281867.8125</v>
      </c>
      <c r="AF32" s="541">
        <f t="shared" si="9"/>
        <v>287612.5</v>
      </c>
      <c r="AG32" s="541">
        <f t="shared" si="9"/>
        <v>291552.5</v>
      </c>
      <c r="AH32" s="541">
        <f t="shared" si="9"/>
        <v>288636.97499999998</v>
      </c>
      <c r="AI32" s="541">
        <f t="shared" si="9"/>
        <v>285721.44999999995</v>
      </c>
      <c r="AJ32" s="541">
        <f t="shared" si="9"/>
        <v>282805.92499999993</v>
      </c>
      <c r="AK32" s="541">
        <f t="shared" si="9"/>
        <v>279890.39999999991</v>
      </c>
      <c r="AL32" s="541">
        <f t="shared" si="9"/>
        <v>276974.87499999988</v>
      </c>
      <c r="AM32" s="541">
        <f t="shared" si="9"/>
        <v>274059.34999999986</v>
      </c>
      <c r="AN32" s="541">
        <f t="shared" si="9"/>
        <v>271143.82499999984</v>
      </c>
      <c r="AO32" s="541">
        <f t="shared" si="9"/>
        <v>268228.29999999981</v>
      </c>
      <c r="AP32" s="541">
        <f t="shared" si="9"/>
        <v>265312.77499999979</v>
      </c>
      <c r="AQ32" s="541">
        <f t="shared" si="9"/>
        <v>262397.24999999977</v>
      </c>
      <c r="AR32" s="541">
        <f t="shared" si="9"/>
        <v>259481.72499999977</v>
      </c>
      <c r="AS32" s="541">
        <f t="shared" si="9"/>
        <v>256566.19999999978</v>
      </c>
      <c r="AT32" s="541">
        <f t="shared" si="9"/>
        <v>253650.67499999978</v>
      </c>
      <c r="AU32" s="541">
        <f t="shared" si="9"/>
        <v>250735.14999999979</v>
      </c>
      <c r="AV32" s="541">
        <f t="shared" si="9"/>
        <v>247819.6249999998</v>
      </c>
      <c r="AW32" s="541">
        <f t="shared" si="9"/>
        <v>244904.0999999998</v>
      </c>
      <c r="AX32" s="541">
        <f t="shared" si="9"/>
        <v>241988.57499999981</v>
      </c>
      <c r="AY32" s="541">
        <f t="shared" si="9"/>
        <v>239073.04999999981</v>
      </c>
      <c r="AZ32" s="541">
        <f t="shared" si="9"/>
        <v>236157.52499999982</v>
      </c>
      <c r="BA32" s="541">
        <f t="shared" si="9"/>
        <v>233241.99999999983</v>
      </c>
      <c r="BB32" s="541">
        <f t="shared" si="9"/>
        <v>230326.47499999983</v>
      </c>
      <c r="BC32" s="541">
        <f t="shared" si="9"/>
        <v>227410.94999999984</v>
      </c>
      <c r="BD32" s="541">
        <f t="shared" si="9"/>
        <v>224495.42499999984</v>
      </c>
      <c r="BE32" s="541">
        <f t="shared" si="9"/>
        <v>221579.89999999985</v>
      </c>
      <c r="BF32" s="541">
        <f t="shared" si="9"/>
        <v>218664.37499999985</v>
      </c>
      <c r="BG32" s="541">
        <f t="shared" si="9"/>
        <v>215748.84999999986</v>
      </c>
      <c r="BH32" s="541">
        <f t="shared" si="9"/>
        <v>212833.32499999987</v>
      </c>
      <c r="BI32" s="541">
        <f t="shared" si="9"/>
        <v>209917.79999999987</v>
      </c>
      <c r="BJ32" s="541">
        <f t="shared" si="9"/>
        <v>207002.27499999988</v>
      </c>
      <c r="BK32" s="541">
        <f t="shared" si="9"/>
        <v>204086.74999999988</v>
      </c>
      <c r="BL32" s="541">
        <f t="shared" si="9"/>
        <v>201171.22499999989</v>
      </c>
      <c r="BM32" s="541">
        <f t="shared" si="9"/>
        <v>198255.6999999999</v>
      </c>
      <c r="BN32" s="541">
        <f t="shared" si="9"/>
        <v>195340.1749999999</v>
      </c>
      <c r="BO32" s="541">
        <f t="shared" si="9"/>
        <v>192424.64999999991</v>
      </c>
      <c r="BP32" s="541">
        <f t="shared" si="9"/>
        <v>189509.12499999991</v>
      </c>
      <c r="BQ32" s="541">
        <f t="shared" si="9"/>
        <v>186593.59999999992</v>
      </c>
      <c r="BR32" s="541">
        <f t="shared" si="9"/>
        <v>183678.07499999992</v>
      </c>
      <c r="BS32" s="541">
        <f t="shared" si="9"/>
        <v>180762.54999999993</v>
      </c>
      <c r="BT32" s="541">
        <f t="shared" si="9"/>
        <v>177847.02499999994</v>
      </c>
      <c r="BU32" s="541">
        <f t="shared" si="9"/>
        <v>174931.49999999994</v>
      </c>
      <c r="BV32" s="541">
        <f t="shared" si="9"/>
        <v>172015.97499999995</v>
      </c>
      <c r="BW32" s="541">
        <f t="shared" si="9"/>
        <v>169100.44999999995</v>
      </c>
      <c r="BX32" s="541">
        <f t="shared" si="9"/>
        <v>166184.92499999996</v>
      </c>
      <c r="BY32" s="541">
        <f t="shared" si="9"/>
        <v>163269.39999999997</v>
      </c>
      <c r="BZ32" s="541">
        <f t="shared" si="9"/>
        <v>160353.87499999997</v>
      </c>
      <c r="CA32" s="541">
        <f t="shared" si="9"/>
        <v>157438.34999999998</v>
      </c>
      <c r="CB32" s="541">
        <f t="shared" si="9"/>
        <v>154522.82499999998</v>
      </c>
      <c r="CC32" s="541">
        <f t="shared" si="9"/>
        <v>151607.29999999999</v>
      </c>
      <c r="CD32" s="541">
        <f t="shared" si="9"/>
        <v>148691.77499999999</v>
      </c>
      <c r="CE32" s="541">
        <f t="shared" si="9"/>
        <v>145776.25</v>
      </c>
      <c r="CF32" s="541">
        <f t="shared" si="9"/>
        <v>142860.72500000001</v>
      </c>
      <c r="CG32" s="541">
        <f t="shared" si="9"/>
        <v>139945.20000000001</v>
      </c>
      <c r="CH32" s="541">
        <f t="shared" si="9"/>
        <v>137029.67500000002</v>
      </c>
      <c r="CI32" s="541">
        <f t="shared" si="9"/>
        <v>134114.15000000002</v>
      </c>
      <c r="CJ32" s="541">
        <f t="shared" si="9"/>
        <v>131198.62500000003</v>
      </c>
      <c r="CK32" s="541">
        <f t="shared" si="9"/>
        <v>128283.10000000003</v>
      </c>
      <c r="CL32" s="541">
        <f t="shared" si="9"/>
        <v>125367.57500000004</v>
      </c>
      <c r="CM32" s="541">
        <f t="shared" si="9"/>
        <v>122452.05000000005</v>
      </c>
      <c r="CN32" s="541">
        <f t="shared" si="9"/>
        <v>119536.52500000005</v>
      </c>
      <c r="CO32" s="541">
        <f t="shared" si="9"/>
        <v>116621.00000000006</v>
      </c>
      <c r="CP32" s="541">
        <f t="shared" si="9"/>
        <v>113705.47500000006</v>
      </c>
      <c r="CQ32" s="541">
        <f t="shared" si="9"/>
        <v>110789.95000000007</v>
      </c>
      <c r="CR32" s="541">
        <f t="shared" si="9"/>
        <v>107874.42500000008</v>
      </c>
      <c r="CS32" s="541">
        <f t="shared" si="9"/>
        <v>104958.90000000008</v>
      </c>
      <c r="CT32" s="541">
        <f t="shared" si="9"/>
        <v>102043.37500000009</v>
      </c>
      <c r="CU32" s="541">
        <f t="shared" si="9"/>
        <v>99127.850000000093</v>
      </c>
      <c r="CV32" s="541">
        <f t="shared" si="9"/>
        <v>96212.325000000099</v>
      </c>
      <c r="CW32" s="541">
        <f t="shared" si="9"/>
        <v>93296.800000000105</v>
      </c>
      <c r="CX32" s="541">
        <f t="shared" si="9"/>
        <v>90381.275000000111</v>
      </c>
      <c r="CY32" s="541">
        <f t="shared" si="9"/>
        <v>87465.750000000116</v>
      </c>
      <c r="CZ32" s="541">
        <f t="shared" si="9"/>
        <v>84550.225000000122</v>
      </c>
      <c r="DA32" s="541">
        <f t="shared" si="9"/>
        <v>81634.700000000128</v>
      </c>
      <c r="DB32" s="541">
        <f t="shared" si="9"/>
        <v>78719.175000000134</v>
      </c>
      <c r="DC32" s="541">
        <f t="shared" si="9"/>
        <v>75803.65000000014</v>
      </c>
      <c r="DD32" s="541">
        <f t="shared" si="9"/>
        <v>72888.125000000146</v>
      </c>
      <c r="DE32" s="541">
        <f t="shared" si="9"/>
        <v>69972.600000000151</v>
      </c>
      <c r="DF32" s="541">
        <f t="shared" si="9"/>
        <v>67057.075000000157</v>
      </c>
      <c r="DG32" s="541">
        <f t="shared" si="9"/>
        <v>64141.550000000156</v>
      </c>
      <c r="DH32" s="541">
        <f t="shared" si="9"/>
        <v>61226.025000000154</v>
      </c>
      <c r="DI32" s="541">
        <f t="shared" si="9"/>
        <v>58310.500000000153</v>
      </c>
      <c r="DJ32" s="541">
        <f t="shared" si="9"/>
        <v>55394.975000000151</v>
      </c>
      <c r="DK32" s="541">
        <f t="shared" si="9"/>
        <v>52479.45000000015</v>
      </c>
      <c r="DL32" s="541">
        <f t="shared" si="9"/>
        <v>49563.925000000148</v>
      </c>
      <c r="DM32" s="541">
        <f t="shared" si="9"/>
        <v>46648.400000000147</v>
      </c>
      <c r="DN32" s="541">
        <f t="shared" si="9"/>
        <v>43732.875000000146</v>
      </c>
      <c r="DO32" s="541">
        <f t="shared" si="9"/>
        <v>40817.350000000144</v>
      </c>
      <c r="DP32" s="541">
        <f t="shared" si="9"/>
        <v>37901.825000000143</v>
      </c>
      <c r="DQ32" s="541">
        <f t="shared" si="9"/>
        <v>34986.300000000141</v>
      </c>
      <c r="DR32" s="541">
        <f t="shared" si="9"/>
        <v>32070.77500000014</v>
      </c>
      <c r="DS32" s="541">
        <f t="shared" si="9"/>
        <v>29155.250000000138</v>
      </c>
      <c r="DT32" s="541">
        <f t="shared" si="9"/>
        <v>26239.725000000137</v>
      </c>
      <c r="DU32" s="541">
        <f t="shared" si="9"/>
        <v>23324.200000000135</v>
      </c>
      <c r="DV32" s="541">
        <f t="shared" si="9"/>
        <v>20408.675000000134</v>
      </c>
      <c r="DW32" s="541">
        <f t="shared" si="9"/>
        <v>17493.150000000132</v>
      </c>
      <c r="DX32" s="541">
        <f t="shared" si="9"/>
        <v>14577.625000000133</v>
      </c>
      <c r="DY32" s="541">
        <f t="shared" si="9"/>
        <v>11662.100000000133</v>
      </c>
      <c r="DZ32" s="541">
        <f t="shared" si="9"/>
        <v>8746.5750000001335</v>
      </c>
      <c r="EA32" s="541">
        <f t="shared" si="9"/>
        <v>5831.0500000001339</v>
      </c>
      <c r="EB32" s="541">
        <f t="shared" si="9"/>
        <v>2915.5250000001338</v>
      </c>
      <c r="EC32" s="541">
        <f t="shared" si="9"/>
        <v>0</v>
      </c>
      <c r="ED32" s="541">
        <f t="shared" si="9"/>
        <v>0</v>
      </c>
      <c r="EE32" s="541">
        <f t="shared" si="9"/>
        <v>0</v>
      </c>
      <c r="EF32" s="541">
        <f t="shared" si="9"/>
        <v>0</v>
      </c>
      <c r="EG32" s="541">
        <f t="shared" si="9"/>
        <v>0</v>
      </c>
    </row>
    <row r="34" spans="2:2" ht="12.75">
      <c r="B34" s="534" t="s">
        <v>285</v>
      </c>
    </row>
    <row r="35" spans="5:7" ht="12.75">
      <c r="E35" s="535" t="str">
        <f>InpC!E$68</f>
        <v>Fixed assets - tax depreciation rate</v>
      </c>
      <c r="F35" s="542">
        <f>InpC!F$68</f>
        <v>0.17999999999999999</v>
      </c>
      <c r="G35" s="542" t="str">
        <f>InpC!G$68</f>
        <v>% p.a.</v>
      </c>
    </row>
    <row r="36" spans="5:137" ht="12.75">
      <c r="E36" s="535" t="str">
        <f>Cons!E$48</f>
        <v>Capex - total</v>
      </c>
      <c r="G36" s="537" t="str">
        <f>Cons!G$48</f>
        <v>EUR 000s</v>
      </c>
      <c r="H36" s="537">
        <f>Cons!H$48</f>
        <v>291552.5</v>
      </c>
      <c r="J36" s="537">
        <f>Cons!J$48</f>
        <v>0</v>
      </c>
      <c r="K36" s="537">
        <f>Cons!K$48</f>
        <v>0</v>
      </c>
      <c r="L36" s="537">
        <f>Cons!L$48</f>
        <v>8000</v>
      </c>
      <c r="M36" s="537">
        <f>Cons!M$48</f>
        <v>13291.5625</v>
      </c>
      <c r="N36" s="537">
        <f>Cons!N$48</f>
        <v>13619.6875</v>
      </c>
      <c r="O36" s="537">
        <f>Cons!O$48</f>
        <v>13291.5625</v>
      </c>
      <c r="P36" s="537">
        <f>Cons!P$48</f>
        <v>13619.6875</v>
      </c>
      <c r="Q36" s="537">
        <f>Cons!Q$48</f>
        <v>13291.5625</v>
      </c>
      <c r="R36" s="537">
        <f>Cons!R$48</f>
        <v>16941.953125</v>
      </c>
      <c r="S36" s="537">
        <f>Cons!S$48</f>
        <v>17639.21875</v>
      </c>
      <c r="T36" s="537">
        <f>Cons!T$48</f>
        <v>17967.34375</v>
      </c>
      <c r="U36" s="537">
        <f>Cons!U$48</f>
        <v>18295.46875</v>
      </c>
      <c r="V36" s="537">
        <f>Cons!V$48</f>
        <v>16982.96875</v>
      </c>
      <c r="W36" s="537">
        <f>Cons!W$48</f>
        <v>16818.90625</v>
      </c>
      <c r="X36" s="537">
        <f>Cons!X$48</f>
        <v>15014.21875</v>
      </c>
      <c r="Y36" s="537">
        <f>Cons!Y$48</f>
        <v>13045.46875</v>
      </c>
      <c r="Z36" s="537">
        <f>Cons!Z$48</f>
        <v>12061.09375</v>
      </c>
      <c r="AA36" s="537">
        <f>Cons!AA$48</f>
        <v>13537.65625</v>
      </c>
      <c r="AB36" s="537">
        <f>Cons!AB$48</f>
        <v>14193.90625</v>
      </c>
      <c r="AC36" s="537">
        <f>Cons!AC$48</f>
        <v>14029.84375</v>
      </c>
      <c r="AD36" s="537">
        <f>Cons!AD$48</f>
        <v>12676.328125</v>
      </c>
      <c r="AE36" s="537">
        <f>Cons!AE$48</f>
        <v>7549.375</v>
      </c>
      <c r="AF36" s="537">
        <f>Cons!AF$48</f>
        <v>5744.6875</v>
      </c>
      <c r="AG36" s="537">
        <f>Cons!AG$48</f>
        <v>3940</v>
      </c>
      <c r="AH36" s="537">
        <f>Cons!AH$48</f>
        <v>0</v>
      </c>
      <c r="AI36" s="537">
        <f>Cons!AI$48</f>
        <v>0</v>
      </c>
      <c r="AJ36" s="537">
        <f>Cons!AJ$48</f>
        <v>0</v>
      </c>
      <c r="AK36" s="537">
        <f>Cons!AK$48</f>
        <v>0</v>
      </c>
      <c r="AL36" s="537">
        <f>Cons!AL$48</f>
        <v>0</v>
      </c>
      <c r="AM36" s="537">
        <f>Cons!AM$48</f>
        <v>0</v>
      </c>
      <c r="AN36" s="537">
        <f>Cons!AN$48</f>
        <v>0</v>
      </c>
      <c r="AO36" s="537">
        <f>Cons!AO$48</f>
        <v>0</v>
      </c>
      <c r="AP36" s="537">
        <f>Cons!AP$48</f>
        <v>0</v>
      </c>
      <c r="AQ36" s="537">
        <f>Cons!AQ$48</f>
        <v>0</v>
      </c>
      <c r="AR36" s="537">
        <f>Cons!AR$48</f>
        <v>0</v>
      </c>
      <c r="AS36" s="537">
        <f>Cons!AS$48</f>
        <v>0</v>
      </c>
      <c r="AT36" s="537">
        <f>Cons!AT$48</f>
        <v>0</v>
      </c>
      <c r="AU36" s="537">
        <f>Cons!AU$48</f>
        <v>0</v>
      </c>
      <c r="AV36" s="537">
        <f>Cons!AV$48</f>
        <v>0</v>
      </c>
      <c r="AW36" s="537">
        <f>Cons!AW$48</f>
        <v>0</v>
      </c>
      <c r="AX36" s="537">
        <f>Cons!AX$48</f>
        <v>0</v>
      </c>
      <c r="AY36" s="537">
        <f>Cons!AY$48</f>
        <v>0</v>
      </c>
      <c r="AZ36" s="537">
        <f>Cons!AZ$48</f>
        <v>0</v>
      </c>
      <c r="BA36" s="537">
        <f>Cons!BA$48</f>
        <v>0</v>
      </c>
      <c r="BB36" s="537">
        <f>Cons!BB$48</f>
        <v>0</v>
      </c>
      <c r="BC36" s="537">
        <f>Cons!BC$48</f>
        <v>0</v>
      </c>
      <c r="BD36" s="537">
        <f>Cons!BD$48</f>
        <v>0</v>
      </c>
      <c r="BE36" s="537">
        <f>Cons!BE$48</f>
        <v>0</v>
      </c>
      <c r="BF36" s="537">
        <f>Cons!BF$48</f>
        <v>0</v>
      </c>
      <c r="BG36" s="537">
        <f>Cons!BG$48</f>
        <v>0</v>
      </c>
      <c r="BH36" s="537">
        <f>Cons!BH$48</f>
        <v>0</v>
      </c>
      <c r="BI36" s="537">
        <f>Cons!BI$48</f>
        <v>0</v>
      </c>
      <c r="BJ36" s="537">
        <f>Cons!BJ$48</f>
        <v>0</v>
      </c>
      <c r="BK36" s="537">
        <f>Cons!BK$48</f>
        <v>0</v>
      </c>
      <c r="BL36" s="537">
        <f>Cons!BL$48</f>
        <v>0</v>
      </c>
      <c r="BM36" s="537">
        <f>Cons!BM$48</f>
        <v>0</v>
      </c>
      <c r="BN36" s="537">
        <f>Cons!BN$48</f>
        <v>0</v>
      </c>
      <c r="BO36" s="537">
        <f>Cons!BO$48</f>
        <v>0</v>
      </c>
      <c r="BP36" s="537">
        <f>Cons!BP$48</f>
        <v>0</v>
      </c>
      <c r="BQ36" s="537">
        <f>Cons!BQ$48</f>
        <v>0</v>
      </c>
      <c r="BR36" s="537">
        <f>Cons!BR$48</f>
        <v>0</v>
      </c>
      <c r="BS36" s="537">
        <f>Cons!BS$48</f>
        <v>0</v>
      </c>
      <c r="BT36" s="537">
        <f>Cons!BT$48</f>
        <v>0</v>
      </c>
      <c r="BU36" s="537">
        <f>Cons!BU$48</f>
        <v>0</v>
      </c>
      <c r="BV36" s="537">
        <f>Cons!BV$48</f>
        <v>0</v>
      </c>
      <c r="BW36" s="537">
        <f>Cons!BW$48</f>
        <v>0</v>
      </c>
      <c r="BX36" s="537">
        <f>Cons!BX$48</f>
        <v>0</v>
      </c>
      <c r="BY36" s="537">
        <f>Cons!BY$48</f>
        <v>0</v>
      </c>
      <c r="BZ36" s="537">
        <f>Cons!BZ$48</f>
        <v>0</v>
      </c>
      <c r="CA36" s="537">
        <f>Cons!CA$48</f>
        <v>0</v>
      </c>
      <c r="CB36" s="537">
        <f>Cons!CB$48</f>
        <v>0</v>
      </c>
      <c r="CC36" s="537">
        <f>Cons!CC$48</f>
        <v>0</v>
      </c>
      <c r="CD36" s="537">
        <f>Cons!CD$48</f>
        <v>0</v>
      </c>
      <c r="CE36" s="537">
        <f>Cons!CE$48</f>
        <v>0</v>
      </c>
      <c r="CF36" s="537">
        <f>Cons!CF$48</f>
        <v>0</v>
      </c>
      <c r="CG36" s="537">
        <f>Cons!CG$48</f>
        <v>0</v>
      </c>
      <c r="CH36" s="537">
        <f>Cons!CH$48</f>
        <v>0</v>
      </c>
      <c r="CI36" s="537">
        <f>Cons!CI$48</f>
        <v>0</v>
      </c>
      <c r="CJ36" s="537">
        <f>Cons!CJ$48</f>
        <v>0</v>
      </c>
      <c r="CK36" s="537">
        <f>Cons!CK$48</f>
        <v>0</v>
      </c>
      <c r="CL36" s="537">
        <f>Cons!CL$48</f>
        <v>0</v>
      </c>
      <c r="CM36" s="537">
        <f>Cons!CM$48</f>
        <v>0</v>
      </c>
      <c r="CN36" s="537">
        <f>Cons!CN$48</f>
        <v>0</v>
      </c>
      <c r="CO36" s="537">
        <f>Cons!CO$48</f>
        <v>0</v>
      </c>
      <c r="CP36" s="537">
        <f>Cons!CP$48</f>
        <v>0</v>
      </c>
      <c r="CQ36" s="537">
        <f>Cons!CQ$48</f>
        <v>0</v>
      </c>
      <c r="CR36" s="537">
        <f>Cons!CR$48</f>
        <v>0</v>
      </c>
      <c r="CS36" s="537">
        <f>Cons!CS$48</f>
        <v>0</v>
      </c>
      <c r="CT36" s="537">
        <f>Cons!CT$48</f>
        <v>0</v>
      </c>
      <c r="CU36" s="537">
        <f>Cons!CU$48</f>
        <v>0</v>
      </c>
      <c r="CV36" s="537">
        <f>Cons!CV$48</f>
        <v>0</v>
      </c>
      <c r="CW36" s="537">
        <f>Cons!CW$48</f>
        <v>0</v>
      </c>
      <c r="CX36" s="537">
        <f>Cons!CX$48</f>
        <v>0</v>
      </c>
      <c r="CY36" s="537">
        <f>Cons!CY$48</f>
        <v>0</v>
      </c>
      <c r="CZ36" s="537">
        <f>Cons!CZ$48</f>
        <v>0</v>
      </c>
      <c r="DA36" s="537">
        <f>Cons!DA$48</f>
        <v>0</v>
      </c>
      <c r="DB36" s="537">
        <f>Cons!DB$48</f>
        <v>0</v>
      </c>
      <c r="DC36" s="537">
        <f>Cons!DC$48</f>
        <v>0</v>
      </c>
      <c r="DD36" s="537">
        <f>Cons!DD$48</f>
        <v>0</v>
      </c>
      <c r="DE36" s="537">
        <f>Cons!DE$48</f>
        <v>0</v>
      </c>
      <c r="DF36" s="537">
        <f>Cons!DF$48</f>
        <v>0</v>
      </c>
      <c r="DG36" s="537">
        <f>Cons!DG$48</f>
        <v>0</v>
      </c>
      <c r="DH36" s="537">
        <f>Cons!DH$48</f>
        <v>0</v>
      </c>
      <c r="DI36" s="537">
        <f>Cons!DI$48</f>
        <v>0</v>
      </c>
      <c r="DJ36" s="537">
        <f>Cons!DJ$48</f>
        <v>0</v>
      </c>
      <c r="DK36" s="537">
        <f>Cons!DK$48</f>
        <v>0</v>
      </c>
      <c r="DL36" s="537">
        <f>Cons!DL$48</f>
        <v>0</v>
      </c>
      <c r="DM36" s="537">
        <f>Cons!DM$48</f>
        <v>0</v>
      </c>
      <c r="DN36" s="537">
        <f>Cons!DN$48</f>
        <v>0</v>
      </c>
      <c r="DO36" s="537">
        <f>Cons!DO$48</f>
        <v>0</v>
      </c>
      <c r="DP36" s="537">
        <f>Cons!DP$48</f>
        <v>0</v>
      </c>
      <c r="DQ36" s="537">
        <f>Cons!DQ$48</f>
        <v>0</v>
      </c>
      <c r="DR36" s="537">
        <f>Cons!DR$48</f>
        <v>0</v>
      </c>
      <c r="DS36" s="537">
        <f>Cons!DS$48</f>
        <v>0</v>
      </c>
      <c r="DT36" s="537">
        <f>Cons!DT$48</f>
        <v>0</v>
      </c>
      <c r="DU36" s="537">
        <f>Cons!DU$48</f>
        <v>0</v>
      </c>
      <c r="DV36" s="537">
        <f>Cons!DV$48</f>
        <v>0</v>
      </c>
      <c r="DW36" s="537">
        <f>Cons!DW$48</f>
        <v>0</v>
      </c>
      <c r="DX36" s="537">
        <f>Cons!DX$48</f>
        <v>0</v>
      </c>
      <c r="DY36" s="537">
        <f>Cons!DY$48</f>
        <v>0</v>
      </c>
      <c r="DZ36" s="537">
        <f>Cons!DZ$48</f>
        <v>0</v>
      </c>
      <c r="EA36" s="537">
        <f>Cons!EA$48</f>
        <v>0</v>
      </c>
      <c r="EB36" s="537">
        <f>Cons!EB$48</f>
        <v>0</v>
      </c>
      <c r="EC36" s="537">
        <f>Cons!EC$48</f>
        <v>0</v>
      </c>
      <c r="ED36" s="537">
        <f>Cons!ED$48</f>
        <v>0</v>
      </c>
      <c r="EE36" s="537">
        <f>Cons!EE$48</f>
        <v>0</v>
      </c>
      <c r="EF36" s="537">
        <f>Cons!EF$48</f>
        <v>0</v>
      </c>
      <c r="EG36" s="537">
        <f>Cons!EG$48</f>
        <v>0</v>
      </c>
    </row>
    <row r="37" spans="5:137" ht="12.75">
      <c r="E37" s="535" t="str">
        <f>Time!E$86</f>
        <v>Last operating period flag</v>
      </c>
      <c r="G37" s="537" t="str">
        <f>Time!G$86</f>
        <v>flag</v>
      </c>
      <c r="H37" s="537">
        <f>Time!H$86</f>
        <v>1</v>
      </c>
      <c r="J37" s="537">
        <f>Time!J$86</f>
        <v>0</v>
      </c>
      <c r="K37" s="537">
        <f>Time!K$86</f>
        <v>0</v>
      </c>
      <c r="L37" s="537">
        <f>Time!L$86</f>
        <v>0</v>
      </c>
      <c r="M37" s="537">
        <f>Time!M$86</f>
        <v>0</v>
      </c>
      <c r="N37" s="537">
        <f>Time!N$86</f>
        <v>0</v>
      </c>
      <c r="O37" s="537">
        <f>Time!O$86</f>
        <v>0</v>
      </c>
      <c r="P37" s="537">
        <f>Time!P$86</f>
        <v>0</v>
      </c>
      <c r="Q37" s="537">
        <f>Time!Q$86</f>
        <v>0</v>
      </c>
      <c r="R37" s="537">
        <f>Time!R$86</f>
        <v>0</v>
      </c>
      <c r="S37" s="537">
        <f>Time!S$86</f>
        <v>0</v>
      </c>
      <c r="T37" s="537">
        <f>Time!T$86</f>
        <v>0</v>
      </c>
      <c r="U37" s="537">
        <f>Time!U$86</f>
        <v>0</v>
      </c>
      <c r="V37" s="537">
        <f>Time!V$86</f>
        <v>0</v>
      </c>
      <c r="W37" s="537">
        <f>Time!W$86</f>
        <v>0</v>
      </c>
      <c r="X37" s="537">
        <f>Time!X$86</f>
        <v>0</v>
      </c>
      <c r="Y37" s="537">
        <f>Time!Y$86</f>
        <v>0</v>
      </c>
      <c r="Z37" s="537">
        <f>Time!Z$86</f>
        <v>0</v>
      </c>
      <c r="AA37" s="537">
        <f>Time!AA$86</f>
        <v>0</v>
      </c>
      <c r="AB37" s="537">
        <f>Time!AB$86</f>
        <v>0</v>
      </c>
      <c r="AC37" s="537">
        <f>Time!AC$86</f>
        <v>0</v>
      </c>
      <c r="AD37" s="537">
        <f>Time!AD$86</f>
        <v>0</v>
      </c>
      <c r="AE37" s="537">
        <f>Time!AE$86</f>
        <v>0</v>
      </c>
      <c r="AF37" s="537">
        <f>Time!AF$86</f>
        <v>0</v>
      </c>
      <c r="AG37" s="537">
        <f>Time!AG$86</f>
        <v>0</v>
      </c>
      <c r="AH37" s="537">
        <f>Time!AH$86</f>
        <v>0</v>
      </c>
      <c r="AI37" s="537">
        <f>Time!AI$86</f>
        <v>0</v>
      </c>
      <c r="AJ37" s="537">
        <f>Time!AJ$86</f>
        <v>0</v>
      </c>
      <c r="AK37" s="537">
        <f>Time!AK$86</f>
        <v>0</v>
      </c>
      <c r="AL37" s="537">
        <f>Time!AL$86</f>
        <v>0</v>
      </c>
      <c r="AM37" s="537">
        <f>Time!AM$86</f>
        <v>0</v>
      </c>
      <c r="AN37" s="537">
        <f>Time!AN$86</f>
        <v>0</v>
      </c>
      <c r="AO37" s="537">
        <f>Time!AO$86</f>
        <v>0</v>
      </c>
      <c r="AP37" s="537">
        <f>Time!AP$86</f>
        <v>0</v>
      </c>
      <c r="AQ37" s="537">
        <f>Time!AQ$86</f>
        <v>0</v>
      </c>
      <c r="AR37" s="537">
        <f>Time!AR$86</f>
        <v>0</v>
      </c>
      <c r="AS37" s="537">
        <f>Time!AS$86</f>
        <v>0</v>
      </c>
      <c r="AT37" s="537">
        <f>Time!AT$86</f>
        <v>0</v>
      </c>
      <c r="AU37" s="537">
        <f>Time!AU$86</f>
        <v>0</v>
      </c>
      <c r="AV37" s="537">
        <f>Time!AV$86</f>
        <v>0</v>
      </c>
      <c r="AW37" s="537">
        <f>Time!AW$86</f>
        <v>0</v>
      </c>
      <c r="AX37" s="537">
        <f>Time!AX$86</f>
        <v>0</v>
      </c>
      <c r="AY37" s="537">
        <f>Time!AY$86</f>
        <v>0</v>
      </c>
      <c r="AZ37" s="537">
        <f>Time!AZ$86</f>
        <v>0</v>
      </c>
      <c r="BA37" s="537">
        <f>Time!BA$86</f>
        <v>0</v>
      </c>
      <c r="BB37" s="537">
        <f>Time!BB$86</f>
        <v>0</v>
      </c>
      <c r="BC37" s="537">
        <f>Time!BC$86</f>
        <v>0</v>
      </c>
      <c r="BD37" s="537">
        <f>Time!BD$86</f>
        <v>0</v>
      </c>
      <c r="BE37" s="537">
        <f>Time!BE$86</f>
        <v>0</v>
      </c>
      <c r="BF37" s="537">
        <f>Time!BF$86</f>
        <v>0</v>
      </c>
      <c r="BG37" s="537">
        <f>Time!BG$86</f>
        <v>0</v>
      </c>
      <c r="BH37" s="537">
        <f>Time!BH$86</f>
        <v>0</v>
      </c>
      <c r="BI37" s="537">
        <f>Time!BI$86</f>
        <v>0</v>
      </c>
      <c r="BJ37" s="537">
        <f>Time!BJ$86</f>
        <v>0</v>
      </c>
      <c r="BK37" s="537">
        <f>Time!BK$86</f>
        <v>0</v>
      </c>
      <c r="BL37" s="537">
        <f>Time!BL$86</f>
        <v>0</v>
      </c>
      <c r="BM37" s="537">
        <f>Time!BM$86</f>
        <v>0</v>
      </c>
      <c r="BN37" s="537">
        <f>Time!BN$86</f>
        <v>0</v>
      </c>
      <c r="BO37" s="537">
        <f>Time!BO$86</f>
        <v>0</v>
      </c>
      <c r="BP37" s="537">
        <f>Time!BP$86</f>
        <v>0</v>
      </c>
      <c r="BQ37" s="537">
        <f>Time!BQ$86</f>
        <v>0</v>
      </c>
      <c r="BR37" s="537">
        <f>Time!BR$86</f>
        <v>0</v>
      </c>
      <c r="BS37" s="537">
        <f>Time!BS$86</f>
        <v>0</v>
      </c>
      <c r="BT37" s="537">
        <f>Time!BT$86</f>
        <v>0</v>
      </c>
      <c r="BU37" s="537">
        <f>Time!BU$86</f>
        <v>0</v>
      </c>
      <c r="BV37" s="537">
        <f>Time!BV$86</f>
        <v>0</v>
      </c>
      <c r="BW37" s="537">
        <f>Time!BW$86</f>
        <v>0</v>
      </c>
      <c r="BX37" s="537">
        <f>Time!BX$86</f>
        <v>0</v>
      </c>
      <c r="BY37" s="537">
        <f>Time!BY$86</f>
        <v>0</v>
      </c>
      <c r="BZ37" s="537">
        <f>Time!BZ$86</f>
        <v>0</v>
      </c>
      <c r="CA37" s="537">
        <f>Time!CA$86</f>
        <v>0</v>
      </c>
      <c r="CB37" s="537">
        <f>Time!CB$86</f>
        <v>0</v>
      </c>
      <c r="CC37" s="537">
        <f>Time!CC$86</f>
        <v>0</v>
      </c>
      <c r="CD37" s="537">
        <f>Time!CD$86</f>
        <v>0</v>
      </c>
      <c r="CE37" s="537">
        <f>Time!CE$86</f>
        <v>0</v>
      </c>
      <c r="CF37" s="537">
        <f>Time!CF$86</f>
        <v>0</v>
      </c>
      <c r="CG37" s="537">
        <f>Time!CG$86</f>
        <v>0</v>
      </c>
      <c r="CH37" s="537">
        <f>Time!CH$86</f>
        <v>0</v>
      </c>
      <c r="CI37" s="537">
        <f>Time!CI$86</f>
        <v>0</v>
      </c>
      <c r="CJ37" s="537">
        <f>Time!CJ$86</f>
        <v>0</v>
      </c>
      <c r="CK37" s="537">
        <f>Time!CK$86</f>
        <v>0</v>
      </c>
      <c r="CL37" s="537">
        <f>Time!CL$86</f>
        <v>0</v>
      </c>
      <c r="CM37" s="537">
        <f>Time!CM$86</f>
        <v>0</v>
      </c>
      <c r="CN37" s="537">
        <f>Time!CN$86</f>
        <v>0</v>
      </c>
      <c r="CO37" s="537">
        <f>Time!CO$86</f>
        <v>0</v>
      </c>
      <c r="CP37" s="537">
        <f>Time!CP$86</f>
        <v>0</v>
      </c>
      <c r="CQ37" s="537">
        <f>Time!CQ$86</f>
        <v>0</v>
      </c>
      <c r="CR37" s="537">
        <f>Time!CR$86</f>
        <v>0</v>
      </c>
      <c r="CS37" s="537">
        <f>Time!CS$86</f>
        <v>0</v>
      </c>
      <c r="CT37" s="537">
        <f>Time!CT$86</f>
        <v>0</v>
      </c>
      <c r="CU37" s="537">
        <f>Time!CU$86</f>
        <v>0</v>
      </c>
      <c r="CV37" s="537">
        <f>Time!CV$86</f>
        <v>0</v>
      </c>
      <c r="CW37" s="537">
        <f>Time!CW$86</f>
        <v>0</v>
      </c>
      <c r="CX37" s="537">
        <f>Time!CX$86</f>
        <v>0</v>
      </c>
      <c r="CY37" s="537">
        <f>Time!CY$86</f>
        <v>0</v>
      </c>
      <c r="CZ37" s="537">
        <f>Time!CZ$86</f>
        <v>0</v>
      </c>
      <c r="DA37" s="537">
        <f>Time!DA$86</f>
        <v>0</v>
      </c>
      <c r="DB37" s="537">
        <f>Time!DB$86</f>
        <v>0</v>
      </c>
      <c r="DC37" s="537">
        <f>Time!DC$86</f>
        <v>0</v>
      </c>
      <c r="DD37" s="537">
        <f>Time!DD$86</f>
        <v>0</v>
      </c>
      <c r="DE37" s="537">
        <f>Time!DE$86</f>
        <v>0</v>
      </c>
      <c r="DF37" s="537">
        <f>Time!DF$86</f>
        <v>0</v>
      </c>
      <c r="DG37" s="537">
        <f>Time!DG$86</f>
        <v>0</v>
      </c>
      <c r="DH37" s="537">
        <f>Time!DH$86</f>
        <v>0</v>
      </c>
      <c r="DI37" s="537">
        <f>Time!DI$86</f>
        <v>0</v>
      </c>
      <c r="DJ37" s="537">
        <f>Time!DJ$86</f>
        <v>0</v>
      </c>
      <c r="DK37" s="537">
        <f>Time!DK$86</f>
        <v>0</v>
      </c>
      <c r="DL37" s="537">
        <f>Time!DL$86</f>
        <v>0</v>
      </c>
      <c r="DM37" s="537">
        <f>Time!DM$86</f>
        <v>0</v>
      </c>
      <c r="DN37" s="537">
        <f>Time!DN$86</f>
        <v>0</v>
      </c>
      <c r="DO37" s="537">
        <f>Time!DO$86</f>
        <v>0</v>
      </c>
      <c r="DP37" s="537">
        <f>Time!DP$86</f>
        <v>0</v>
      </c>
      <c r="DQ37" s="537">
        <f>Time!DQ$86</f>
        <v>0</v>
      </c>
      <c r="DR37" s="537">
        <f>Time!DR$86</f>
        <v>0</v>
      </c>
      <c r="DS37" s="537">
        <f>Time!DS$86</f>
        <v>0</v>
      </c>
      <c r="DT37" s="537">
        <f>Time!DT$86</f>
        <v>0</v>
      </c>
      <c r="DU37" s="537">
        <f>Time!DU$86</f>
        <v>0</v>
      </c>
      <c r="DV37" s="537">
        <f>Time!DV$86</f>
        <v>0</v>
      </c>
      <c r="DW37" s="537">
        <f>Time!DW$86</f>
        <v>0</v>
      </c>
      <c r="DX37" s="537">
        <f>Time!DX$86</f>
        <v>0</v>
      </c>
      <c r="DY37" s="537">
        <f>Time!DY$86</f>
        <v>0</v>
      </c>
      <c r="DZ37" s="537">
        <f>Time!DZ$86</f>
        <v>0</v>
      </c>
      <c r="EA37" s="537">
        <f>Time!EA$86</f>
        <v>0</v>
      </c>
      <c r="EB37" s="537">
        <f>Time!EB$86</f>
        <v>0</v>
      </c>
      <c r="EC37" s="537">
        <f>Time!EC$86</f>
        <v>1</v>
      </c>
      <c r="ED37" s="537">
        <f>Time!ED$86</f>
        <v>0</v>
      </c>
      <c r="EE37" s="537">
        <f>Time!EE$86</f>
        <v>0</v>
      </c>
      <c r="EF37" s="537">
        <f>Time!EF$86</f>
        <v>0</v>
      </c>
      <c r="EG37" s="537">
        <f>Time!EG$86</f>
        <v>0</v>
      </c>
    </row>
    <row r="38" spans="5:137" ht="12.75">
      <c r="E38" s="535" t="str">
        <f>Time!E$91</f>
        <v>Operating period flag</v>
      </c>
      <c r="G38" s="537" t="str">
        <f>Time!G$91</f>
        <v>flag</v>
      </c>
      <c r="H38" s="537">
        <f>Time!H$91</f>
        <v>100</v>
      </c>
      <c r="J38" s="537">
        <f>Time!J$91</f>
        <v>0</v>
      </c>
      <c r="K38" s="537">
        <f>Time!K$91</f>
        <v>0</v>
      </c>
      <c r="L38" s="537">
        <f>Time!L$91</f>
        <v>0</v>
      </c>
      <c r="M38" s="537">
        <f>Time!M$91</f>
        <v>0</v>
      </c>
      <c r="N38" s="537">
        <f>Time!N$91</f>
        <v>0</v>
      </c>
      <c r="O38" s="537">
        <f>Time!O$91</f>
        <v>0</v>
      </c>
      <c r="P38" s="537">
        <f>Time!P$91</f>
        <v>0</v>
      </c>
      <c r="Q38" s="537">
        <f>Time!Q$91</f>
        <v>0</v>
      </c>
      <c r="R38" s="537">
        <f>Time!R$91</f>
        <v>0</v>
      </c>
      <c r="S38" s="537">
        <f>Time!S$91</f>
        <v>0</v>
      </c>
      <c r="T38" s="537">
        <f>Time!T$91</f>
        <v>0</v>
      </c>
      <c r="U38" s="537">
        <f>Time!U$91</f>
        <v>0</v>
      </c>
      <c r="V38" s="537">
        <f>Time!V$91</f>
        <v>0</v>
      </c>
      <c r="W38" s="537">
        <f>Time!W$91</f>
        <v>0</v>
      </c>
      <c r="X38" s="537">
        <f>Time!X$91</f>
        <v>0</v>
      </c>
      <c r="Y38" s="537">
        <f>Time!Y$91</f>
        <v>0</v>
      </c>
      <c r="Z38" s="537">
        <f>Time!Z$91</f>
        <v>0</v>
      </c>
      <c r="AA38" s="537">
        <f>Time!AA$91</f>
        <v>0</v>
      </c>
      <c r="AB38" s="537">
        <f>Time!AB$91</f>
        <v>0</v>
      </c>
      <c r="AC38" s="537">
        <f>Time!AC$91</f>
        <v>0</v>
      </c>
      <c r="AD38" s="537">
        <f>Time!AD$91</f>
        <v>0</v>
      </c>
      <c r="AE38" s="537">
        <f>Time!AE$91</f>
        <v>0</v>
      </c>
      <c r="AF38" s="537">
        <f>Time!AF$91</f>
        <v>0</v>
      </c>
      <c r="AG38" s="537">
        <f>Time!AG$91</f>
        <v>0</v>
      </c>
      <c r="AH38" s="537">
        <f>Time!AH$91</f>
        <v>1</v>
      </c>
      <c r="AI38" s="537">
        <f>Time!AI$91</f>
        <v>1</v>
      </c>
      <c r="AJ38" s="537">
        <f>Time!AJ$91</f>
        <v>1</v>
      </c>
      <c r="AK38" s="537">
        <f>Time!AK$91</f>
        <v>1</v>
      </c>
      <c r="AL38" s="537">
        <f>Time!AL$91</f>
        <v>1</v>
      </c>
      <c r="AM38" s="537">
        <f>Time!AM$91</f>
        <v>1</v>
      </c>
      <c r="AN38" s="537">
        <f>Time!AN$91</f>
        <v>1</v>
      </c>
      <c r="AO38" s="537">
        <f>Time!AO$91</f>
        <v>1</v>
      </c>
      <c r="AP38" s="537">
        <f>Time!AP$91</f>
        <v>1</v>
      </c>
      <c r="AQ38" s="537">
        <f>Time!AQ$91</f>
        <v>1</v>
      </c>
      <c r="AR38" s="537">
        <f>Time!AR$91</f>
        <v>1</v>
      </c>
      <c r="AS38" s="537">
        <f>Time!AS$91</f>
        <v>1</v>
      </c>
      <c r="AT38" s="537">
        <f>Time!AT$91</f>
        <v>1</v>
      </c>
      <c r="AU38" s="537">
        <f>Time!AU$91</f>
        <v>1</v>
      </c>
      <c r="AV38" s="537">
        <f>Time!AV$91</f>
        <v>1</v>
      </c>
      <c r="AW38" s="537">
        <f>Time!AW$91</f>
        <v>1</v>
      </c>
      <c r="AX38" s="537">
        <f>Time!AX$91</f>
        <v>1</v>
      </c>
      <c r="AY38" s="537">
        <f>Time!AY$91</f>
        <v>1</v>
      </c>
      <c r="AZ38" s="537">
        <f>Time!AZ$91</f>
        <v>1</v>
      </c>
      <c r="BA38" s="537">
        <f>Time!BA$91</f>
        <v>1</v>
      </c>
      <c r="BB38" s="537">
        <f>Time!BB$91</f>
        <v>1</v>
      </c>
      <c r="BC38" s="537">
        <f>Time!BC$91</f>
        <v>1</v>
      </c>
      <c r="BD38" s="537">
        <f>Time!BD$91</f>
        <v>1</v>
      </c>
      <c r="BE38" s="537">
        <f>Time!BE$91</f>
        <v>1</v>
      </c>
      <c r="BF38" s="537">
        <f>Time!BF$91</f>
        <v>1</v>
      </c>
      <c r="BG38" s="537">
        <f>Time!BG$91</f>
        <v>1</v>
      </c>
      <c r="BH38" s="537">
        <f>Time!BH$91</f>
        <v>1</v>
      </c>
      <c r="BI38" s="537">
        <f>Time!BI$91</f>
        <v>1</v>
      </c>
      <c r="BJ38" s="537">
        <f>Time!BJ$91</f>
        <v>1</v>
      </c>
      <c r="BK38" s="537">
        <f>Time!BK$91</f>
        <v>1</v>
      </c>
      <c r="BL38" s="537">
        <f>Time!BL$91</f>
        <v>1</v>
      </c>
      <c r="BM38" s="537">
        <f>Time!BM$91</f>
        <v>1</v>
      </c>
      <c r="BN38" s="537">
        <f>Time!BN$91</f>
        <v>1</v>
      </c>
      <c r="BO38" s="537">
        <f>Time!BO$91</f>
        <v>1</v>
      </c>
      <c r="BP38" s="537">
        <f>Time!BP$91</f>
        <v>1</v>
      </c>
      <c r="BQ38" s="537">
        <f>Time!BQ$91</f>
        <v>1</v>
      </c>
      <c r="BR38" s="537">
        <f>Time!BR$91</f>
        <v>1</v>
      </c>
      <c r="BS38" s="537">
        <f>Time!BS$91</f>
        <v>1</v>
      </c>
      <c r="BT38" s="537">
        <f>Time!BT$91</f>
        <v>1</v>
      </c>
      <c r="BU38" s="537">
        <f>Time!BU$91</f>
        <v>1</v>
      </c>
      <c r="BV38" s="537">
        <f>Time!BV$91</f>
        <v>1</v>
      </c>
      <c r="BW38" s="537">
        <f>Time!BW$91</f>
        <v>1</v>
      </c>
      <c r="BX38" s="537">
        <f>Time!BX$91</f>
        <v>1</v>
      </c>
      <c r="BY38" s="537">
        <f>Time!BY$91</f>
        <v>1</v>
      </c>
      <c r="BZ38" s="537">
        <f>Time!BZ$91</f>
        <v>1</v>
      </c>
      <c r="CA38" s="537">
        <f>Time!CA$91</f>
        <v>1</v>
      </c>
      <c r="CB38" s="537">
        <f>Time!CB$91</f>
        <v>1</v>
      </c>
      <c r="CC38" s="537">
        <f>Time!CC$91</f>
        <v>1</v>
      </c>
      <c r="CD38" s="537">
        <f>Time!CD$91</f>
        <v>1</v>
      </c>
      <c r="CE38" s="537">
        <f>Time!CE$91</f>
        <v>1</v>
      </c>
      <c r="CF38" s="537">
        <f>Time!CF$91</f>
        <v>1</v>
      </c>
      <c r="CG38" s="537">
        <f>Time!CG$91</f>
        <v>1</v>
      </c>
      <c r="CH38" s="537">
        <f>Time!CH$91</f>
        <v>1</v>
      </c>
      <c r="CI38" s="537">
        <f>Time!CI$91</f>
        <v>1</v>
      </c>
      <c r="CJ38" s="537">
        <f>Time!CJ$91</f>
        <v>1</v>
      </c>
      <c r="CK38" s="537">
        <f>Time!CK$91</f>
        <v>1</v>
      </c>
      <c r="CL38" s="537">
        <f>Time!CL$91</f>
        <v>1</v>
      </c>
      <c r="CM38" s="537">
        <f>Time!CM$91</f>
        <v>1</v>
      </c>
      <c r="CN38" s="537">
        <f>Time!CN$91</f>
        <v>1</v>
      </c>
      <c r="CO38" s="537">
        <f>Time!CO$91</f>
        <v>1</v>
      </c>
      <c r="CP38" s="537">
        <f>Time!CP$91</f>
        <v>1</v>
      </c>
      <c r="CQ38" s="537">
        <f>Time!CQ$91</f>
        <v>1</v>
      </c>
      <c r="CR38" s="537">
        <f>Time!CR$91</f>
        <v>1</v>
      </c>
      <c r="CS38" s="537">
        <f>Time!CS$91</f>
        <v>1</v>
      </c>
      <c r="CT38" s="537">
        <f>Time!CT$91</f>
        <v>1</v>
      </c>
      <c r="CU38" s="537">
        <f>Time!CU$91</f>
        <v>1</v>
      </c>
      <c r="CV38" s="537">
        <f>Time!CV$91</f>
        <v>1</v>
      </c>
      <c r="CW38" s="537">
        <f>Time!CW$91</f>
        <v>1</v>
      </c>
      <c r="CX38" s="537">
        <f>Time!CX$91</f>
        <v>1</v>
      </c>
      <c r="CY38" s="537">
        <f>Time!CY$91</f>
        <v>1</v>
      </c>
      <c r="CZ38" s="537">
        <f>Time!CZ$91</f>
        <v>1</v>
      </c>
      <c r="DA38" s="537">
        <f>Time!DA$91</f>
        <v>1</v>
      </c>
      <c r="DB38" s="537">
        <f>Time!DB$91</f>
        <v>1</v>
      </c>
      <c r="DC38" s="537">
        <f>Time!DC$91</f>
        <v>1</v>
      </c>
      <c r="DD38" s="537">
        <f>Time!DD$91</f>
        <v>1</v>
      </c>
      <c r="DE38" s="537">
        <f>Time!DE$91</f>
        <v>1</v>
      </c>
      <c r="DF38" s="537">
        <f>Time!DF$91</f>
        <v>1</v>
      </c>
      <c r="DG38" s="537">
        <f>Time!DG$91</f>
        <v>1</v>
      </c>
      <c r="DH38" s="537">
        <f>Time!DH$91</f>
        <v>1</v>
      </c>
      <c r="DI38" s="537">
        <f>Time!DI$91</f>
        <v>1</v>
      </c>
      <c r="DJ38" s="537">
        <f>Time!DJ$91</f>
        <v>1</v>
      </c>
      <c r="DK38" s="537">
        <f>Time!DK$91</f>
        <v>1</v>
      </c>
      <c r="DL38" s="537">
        <f>Time!DL$91</f>
        <v>1</v>
      </c>
      <c r="DM38" s="537">
        <f>Time!DM$91</f>
        <v>1</v>
      </c>
      <c r="DN38" s="537">
        <f>Time!DN$91</f>
        <v>1</v>
      </c>
      <c r="DO38" s="537">
        <f>Time!DO$91</f>
        <v>1</v>
      </c>
      <c r="DP38" s="537">
        <f>Time!DP$91</f>
        <v>1</v>
      </c>
      <c r="DQ38" s="537">
        <f>Time!DQ$91</f>
        <v>1</v>
      </c>
      <c r="DR38" s="537">
        <f>Time!DR$91</f>
        <v>1</v>
      </c>
      <c r="DS38" s="537">
        <f>Time!DS$91</f>
        <v>1</v>
      </c>
      <c r="DT38" s="537">
        <f>Time!DT$91</f>
        <v>1</v>
      </c>
      <c r="DU38" s="537">
        <f>Time!DU$91</f>
        <v>1</v>
      </c>
      <c r="DV38" s="537">
        <f>Time!DV$91</f>
        <v>1</v>
      </c>
      <c r="DW38" s="537">
        <f>Time!DW$91</f>
        <v>1</v>
      </c>
      <c r="DX38" s="537">
        <f>Time!DX$91</f>
        <v>1</v>
      </c>
      <c r="DY38" s="537">
        <f>Time!DY$91</f>
        <v>1</v>
      </c>
      <c r="DZ38" s="537">
        <f>Time!DZ$91</f>
        <v>1</v>
      </c>
      <c r="EA38" s="537">
        <f>Time!EA$91</f>
        <v>1</v>
      </c>
      <c r="EB38" s="537">
        <f>Time!EB$91</f>
        <v>1</v>
      </c>
      <c r="EC38" s="537">
        <f>Time!EC$91</f>
        <v>1</v>
      </c>
      <c r="ED38" s="537">
        <f>Time!ED$91</f>
        <v>0</v>
      </c>
      <c r="EE38" s="537">
        <f>Time!EE$91</f>
        <v>0</v>
      </c>
      <c r="EF38" s="537">
        <f>Time!EF$91</f>
        <v>0</v>
      </c>
      <c r="EG38" s="537">
        <f>Time!EG$91</f>
        <v>0</v>
      </c>
    </row>
    <row r="39" spans="5:137" ht="12.75">
      <c r="E39" s="535" t="str">
        <f>Time!E$178</f>
        <v>Year fraction of period</v>
      </c>
      <c r="G39" s="537" t="str">
        <f>Time!G$178</f>
        <v>fraction</v>
      </c>
      <c r="H39" s="537">
        <f>Time!H$178</f>
        <v>28</v>
      </c>
      <c r="J39" s="537">
        <f>Time!J$178</f>
        <v>0.083333333333333329</v>
      </c>
      <c r="K39" s="537">
        <f>Time!K$178</f>
        <v>0.083333333333333329</v>
      </c>
      <c r="L39" s="537">
        <f>Time!L$178</f>
        <v>0.083333333333333329</v>
      </c>
      <c r="M39" s="537">
        <f>Time!M$178</f>
        <v>0.083333333333333329</v>
      </c>
      <c r="N39" s="537">
        <f>Time!N$178</f>
        <v>0.083333333333333329</v>
      </c>
      <c r="O39" s="537">
        <f>Time!O$178</f>
        <v>0.083333333333333329</v>
      </c>
      <c r="P39" s="537">
        <f>Time!P$178</f>
        <v>0.083333333333333329</v>
      </c>
      <c r="Q39" s="537">
        <f>Time!Q$178</f>
        <v>0.083333333333333329</v>
      </c>
      <c r="R39" s="537">
        <f>Time!R$178</f>
        <v>0.083333333333333329</v>
      </c>
      <c r="S39" s="537">
        <f>Time!S$178</f>
        <v>0.083333333333333329</v>
      </c>
      <c r="T39" s="537">
        <f>Time!T$178</f>
        <v>0.083333333333333329</v>
      </c>
      <c r="U39" s="537">
        <f>Time!U$178</f>
        <v>0.083333333333333329</v>
      </c>
      <c r="V39" s="537">
        <f>Time!V$178</f>
        <v>0.083333333333333329</v>
      </c>
      <c r="W39" s="537">
        <f>Time!W$178</f>
        <v>0.083333333333333329</v>
      </c>
      <c r="X39" s="537">
        <f>Time!X$178</f>
        <v>0.083333333333333329</v>
      </c>
      <c r="Y39" s="537">
        <f>Time!Y$178</f>
        <v>0.083333333333333329</v>
      </c>
      <c r="Z39" s="537">
        <f>Time!Z$178</f>
        <v>0.083333333333333329</v>
      </c>
      <c r="AA39" s="537">
        <f>Time!AA$178</f>
        <v>0.083333333333333329</v>
      </c>
      <c r="AB39" s="537">
        <f>Time!AB$178</f>
        <v>0.083333333333333329</v>
      </c>
      <c r="AC39" s="537">
        <f>Time!AC$178</f>
        <v>0.083333333333333329</v>
      </c>
      <c r="AD39" s="537">
        <f>Time!AD$178</f>
        <v>0.083333333333333329</v>
      </c>
      <c r="AE39" s="537">
        <f>Time!AE$178</f>
        <v>0.083333333333333329</v>
      </c>
      <c r="AF39" s="537">
        <f>Time!AF$178</f>
        <v>0.083333333333333329</v>
      </c>
      <c r="AG39" s="537">
        <f>Time!AG$178</f>
        <v>0.083333333333333329</v>
      </c>
      <c r="AH39" s="537">
        <f>Time!AH$178</f>
        <v>0.25</v>
      </c>
      <c r="AI39" s="537">
        <f>Time!AI$178</f>
        <v>0.25</v>
      </c>
      <c r="AJ39" s="537">
        <f>Time!AJ$178</f>
        <v>0.25</v>
      </c>
      <c r="AK39" s="537">
        <f>Time!AK$178</f>
        <v>0.25</v>
      </c>
      <c r="AL39" s="537">
        <f>Time!AL$178</f>
        <v>0.25</v>
      </c>
      <c r="AM39" s="537">
        <f>Time!AM$178</f>
        <v>0.25</v>
      </c>
      <c r="AN39" s="537">
        <f>Time!AN$178</f>
        <v>0.25</v>
      </c>
      <c r="AO39" s="537">
        <f>Time!AO$178</f>
        <v>0.25</v>
      </c>
      <c r="AP39" s="537">
        <f>Time!AP$178</f>
        <v>0.25</v>
      </c>
      <c r="AQ39" s="537">
        <f>Time!AQ$178</f>
        <v>0.25</v>
      </c>
      <c r="AR39" s="537">
        <f>Time!AR$178</f>
        <v>0.25</v>
      </c>
      <c r="AS39" s="537">
        <f>Time!AS$178</f>
        <v>0.25</v>
      </c>
      <c r="AT39" s="537">
        <f>Time!AT$178</f>
        <v>0.25</v>
      </c>
      <c r="AU39" s="537">
        <f>Time!AU$178</f>
        <v>0.25</v>
      </c>
      <c r="AV39" s="537">
        <f>Time!AV$178</f>
        <v>0.25</v>
      </c>
      <c r="AW39" s="537">
        <f>Time!AW$178</f>
        <v>0.25</v>
      </c>
      <c r="AX39" s="537">
        <f>Time!AX$178</f>
        <v>0.25</v>
      </c>
      <c r="AY39" s="537">
        <f>Time!AY$178</f>
        <v>0.25</v>
      </c>
      <c r="AZ39" s="537">
        <f>Time!AZ$178</f>
        <v>0.25</v>
      </c>
      <c r="BA39" s="537">
        <f>Time!BA$178</f>
        <v>0.25</v>
      </c>
      <c r="BB39" s="537">
        <f>Time!BB$178</f>
        <v>0.25</v>
      </c>
      <c r="BC39" s="537">
        <f>Time!BC$178</f>
        <v>0.25</v>
      </c>
      <c r="BD39" s="537">
        <f>Time!BD$178</f>
        <v>0.25</v>
      </c>
      <c r="BE39" s="537">
        <f>Time!BE$178</f>
        <v>0.25</v>
      </c>
      <c r="BF39" s="537">
        <f>Time!BF$178</f>
        <v>0.25</v>
      </c>
      <c r="BG39" s="537">
        <f>Time!BG$178</f>
        <v>0.25</v>
      </c>
      <c r="BH39" s="537">
        <f>Time!BH$178</f>
        <v>0.25</v>
      </c>
      <c r="BI39" s="537">
        <f>Time!BI$178</f>
        <v>0.25</v>
      </c>
      <c r="BJ39" s="537">
        <f>Time!BJ$178</f>
        <v>0.25</v>
      </c>
      <c r="BK39" s="537">
        <f>Time!BK$178</f>
        <v>0.25</v>
      </c>
      <c r="BL39" s="537">
        <f>Time!BL$178</f>
        <v>0.25</v>
      </c>
      <c r="BM39" s="537">
        <f>Time!BM$178</f>
        <v>0.25</v>
      </c>
      <c r="BN39" s="537">
        <f>Time!BN$178</f>
        <v>0.25</v>
      </c>
      <c r="BO39" s="537">
        <f>Time!BO$178</f>
        <v>0.25</v>
      </c>
      <c r="BP39" s="537">
        <f>Time!BP$178</f>
        <v>0.25</v>
      </c>
      <c r="BQ39" s="537">
        <f>Time!BQ$178</f>
        <v>0.25</v>
      </c>
      <c r="BR39" s="537">
        <f>Time!BR$178</f>
        <v>0.25</v>
      </c>
      <c r="BS39" s="537">
        <f>Time!BS$178</f>
        <v>0.25</v>
      </c>
      <c r="BT39" s="537">
        <f>Time!BT$178</f>
        <v>0.25</v>
      </c>
      <c r="BU39" s="537">
        <f>Time!BU$178</f>
        <v>0.25</v>
      </c>
      <c r="BV39" s="537">
        <f>Time!BV$178</f>
        <v>0.25</v>
      </c>
      <c r="BW39" s="537">
        <f>Time!BW$178</f>
        <v>0.25</v>
      </c>
      <c r="BX39" s="537">
        <f>Time!BX$178</f>
        <v>0.25</v>
      </c>
      <c r="BY39" s="537">
        <f>Time!BY$178</f>
        <v>0.25</v>
      </c>
      <c r="BZ39" s="537">
        <f>Time!BZ$178</f>
        <v>0.25</v>
      </c>
      <c r="CA39" s="537">
        <f>Time!CA$178</f>
        <v>0.25</v>
      </c>
      <c r="CB39" s="537">
        <f>Time!CB$178</f>
        <v>0.25</v>
      </c>
      <c r="CC39" s="537">
        <f>Time!CC$178</f>
        <v>0.25</v>
      </c>
      <c r="CD39" s="537">
        <f>Time!CD$178</f>
        <v>0.25</v>
      </c>
      <c r="CE39" s="537">
        <f>Time!CE$178</f>
        <v>0.25</v>
      </c>
      <c r="CF39" s="537">
        <f>Time!CF$178</f>
        <v>0.25</v>
      </c>
      <c r="CG39" s="537">
        <f>Time!CG$178</f>
        <v>0.25</v>
      </c>
      <c r="CH39" s="537">
        <f>Time!CH$178</f>
        <v>0.25</v>
      </c>
      <c r="CI39" s="537">
        <f>Time!CI$178</f>
        <v>0.25</v>
      </c>
      <c r="CJ39" s="537">
        <f>Time!CJ$178</f>
        <v>0.25</v>
      </c>
      <c r="CK39" s="537">
        <f>Time!CK$178</f>
        <v>0.25</v>
      </c>
      <c r="CL39" s="537">
        <f>Time!CL$178</f>
        <v>0.25</v>
      </c>
      <c r="CM39" s="537">
        <f>Time!CM$178</f>
        <v>0.25</v>
      </c>
      <c r="CN39" s="537">
        <f>Time!CN$178</f>
        <v>0.25</v>
      </c>
      <c r="CO39" s="537">
        <f>Time!CO$178</f>
        <v>0.25</v>
      </c>
      <c r="CP39" s="537">
        <f>Time!CP$178</f>
        <v>0.25</v>
      </c>
      <c r="CQ39" s="537">
        <f>Time!CQ$178</f>
        <v>0.25</v>
      </c>
      <c r="CR39" s="537">
        <f>Time!CR$178</f>
        <v>0.25</v>
      </c>
      <c r="CS39" s="537">
        <f>Time!CS$178</f>
        <v>0.25</v>
      </c>
      <c r="CT39" s="537">
        <f>Time!CT$178</f>
        <v>0.25</v>
      </c>
      <c r="CU39" s="537">
        <f>Time!CU$178</f>
        <v>0.25</v>
      </c>
      <c r="CV39" s="537">
        <f>Time!CV$178</f>
        <v>0.25</v>
      </c>
      <c r="CW39" s="537">
        <f>Time!CW$178</f>
        <v>0.25</v>
      </c>
      <c r="CX39" s="537">
        <f>Time!CX$178</f>
        <v>0.25</v>
      </c>
      <c r="CY39" s="537">
        <f>Time!CY$178</f>
        <v>0.25</v>
      </c>
      <c r="CZ39" s="537">
        <f>Time!CZ$178</f>
        <v>0.25</v>
      </c>
      <c r="DA39" s="537">
        <f>Time!DA$178</f>
        <v>0.25</v>
      </c>
      <c r="DB39" s="537">
        <f>Time!DB$178</f>
        <v>0.25</v>
      </c>
      <c r="DC39" s="537">
        <f>Time!DC$178</f>
        <v>0.25</v>
      </c>
      <c r="DD39" s="537">
        <f>Time!DD$178</f>
        <v>0.25</v>
      </c>
      <c r="DE39" s="537">
        <f>Time!DE$178</f>
        <v>0.25</v>
      </c>
      <c r="DF39" s="537">
        <f>Time!DF$178</f>
        <v>0.25</v>
      </c>
      <c r="DG39" s="537">
        <f>Time!DG$178</f>
        <v>0.25</v>
      </c>
      <c r="DH39" s="537">
        <f>Time!DH$178</f>
        <v>0.25</v>
      </c>
      <c r="DI39" s="537">
        <f>Time!DI$178</f>
        <v>0.25</v>
      </c>
      <c r="DJ39" s="537">
        <f>Time!DJ$178</f>
        <v>0.25</v>
      </c>
      <c r="DK39" s="537">
        <f>Time!DK$178</f>
        <v>0.25</v>
      </c>
      <c r="DL39" s="537">
        <f>Time!DL$178</f>
        <v>0.25</v>
      </c>
      <c r="DM39" s="537">
        <f>Time!DM$178</f>
        <v>0.25</v>
      </c>
      <c r="DN39" s="537">
        <f>Time!DN$178</f>
        <v>0.25</v>
      </c>
      <c r="DO39" s="537">
        <f>Time!DO$178</f>
        <v>0.25</v>
      </c>
      <c r="DP39" s="537">
        <f>Time!DP$178</f>
        <v>0.25</v>
      </c>
      <c r="DQ39" s="537">
        <f>Time!DQ$178</f>
        <v>0.25</v>
      </c>
      <c r="DR39" s="537">
        <f>Time!DR$178</f>
        <v>0.25</v>
      </c>
      <c r="DS39" s="537">
        <f>Time!DS$178</f>
        <v>0.25</v>
      </c>
      <c r="DT39" s="537">
        <f>Time!DT$178</f>
        <v>0.25</v>
      </c>
      <c r="DU39" s="537">
        <f>Time!DU$178</f>
        <v>0.25</v>
      </c>
      <c r="DV39" s="537">
        <f>Time!DV$178</f>
        <v>0.25</v>
      </c>
      <c r="DW39" s="537">
        <f>Time!DW$178</f>
        <v>0.25</v>
      </c>
      <c r="DX39" s="537">
        <f>Time!DX$178</f>
        <v>0.25</v>
      </c>
      <c r="DY39" s="537">
        <f>Time!DY$178</f>
        <v>0.25</v>
      </c>
      <c r="DZ39" s="537">
        <f>Time!DZ$178</f>
        <v>0.25</v>
      </c>
      <c r="EA39" s="537">
        <f>Time!EA$178</f>
        <v>0.25</v>
      </c>
      <c r="EB39" s="537">
        <f>Time!EB$178</f>
        <v>0.25</v>
      </c>
      <c r="EC39" s="537">
        <f>Time!EC$178</f>
        <v>0.25</v>
      </c>
      <c r="ED39" s="537">
        <f>Time!ED$178</f>
        <v>0.25</v>
      </c>
      <c r="EE39" s="537">
        <f>Time!EE$178</f>
        <v>0.25</v>
      </c>
      <c r="EF39" s="537">
        <f>Time!EF$178</f>
        <v>0.25</v>
      </c>
      <c r="EG39" s="537">
        <f>Time!EG$178</f>
        <v>0.25</v>
      </c>
    </row>
    <row r="40" spans="5:137" ht="12.75">
      <c r="E40" s="538" t="str">
        <f>E$45</f>
        <v>Fixed assets - tax written-down value</v>
      </c>
      <c r="G40" s="539" t="str">
        <f>G$45</f>
        <v>EUR 000s</v>
      </c>
      <c r="H40" s="539">
        <f>H$45</f>
        <v>9690465.6196024753</v>
      </c>
      <c r="J40" s="539">
        <f t="shared" si="10" ref="J40:EG40">J$45</f>
        <v>0</v>
      </c>
      <c r="K40" s="539">
        <f t="shared" si="10"/>
        <v>0</v>
      </c>
      <c r="L40" s="539">
        <f t="shared" si="10"/>
        <v>8000</v>
      </c>
      <c r="M40" s="539">
        <f t="shared" si="10"/>
        <v>21291.5625</v>
      </c>
      <c r="N40" s="539">
        <f t="shared" si="10"/>
        <v>34911.25</v>
      </c>
      <c r="O40" s="539">
        <f t="shared" si="10"/>
        <v>48202.8125</v>
      </c>
      <c r="P40" s="539">
        <f t="shared" si="10"/>
        <v>61822.5</v>
      </c>
      <c r="Q40" s="539">
        <f t="shared" si="10"/>
        <v>75114.0625</v>
      </c>
      <c r="R40" s="539">
        <f t="shared" si="10"/>
        <v>92056.015625</v>
      </c>
      <c r="S40" s="539">
        <f t="shared" si="10"/>
        <v>109695.234375</v>
      </c>
      <c r="T40" s="539">
        <f t="shared" si="10"/>
        <v>127662.578125</v>
      </c>
      <c r="U40" s="539">
        <f t="shared" si="10"/>
        <v>145958.046875</v>
      </c>
      <c r="V40" s="539">
        <f t="shared" si="10"/>
        <v>162941.015625</v>
      </c>
      <c r="W40" s="539">
        <f t="shared" si="10"/>
        <v>179759.921875</v>
      </c>
      <c r="X40" s="539">
        <f t="shared" si="10"/>
        <v>194774.140625</v>
      </c>
      <c r="Y40" s="539">
        <f t="shared" si="10"/>
        <v>207819.609375</v>
      </c>
      <c r="Z40" s="539">
        <f t="shared" si="10"/>
        <v>219880.703125</v>
      </c>
      <c r="AA40" s="539">
        <f t="shared" si="10"/>
        <v>233418.359375</v>
      </c>
      <c r="AB40" s="539">
        <f t="shared" si="10"/>
        <v>247612.265625</v>
      </c>
      <c r="AC40" s="539">
        <f t="shared" si="10"/>
        <v>261642.109375</v>
      </c>
      <c r="AD40" s="539">
        <f t="shared" si="10"/>
        <v>274318.4375</v>
      </c>
      <c r="AE40" s="539">
        <f t="shared" si="10"/>
        <v>281867.8125</v>
      </c>
      <c r="AF40" s="539">
        <f t="shared" si="10"/>
        <v>287612.5</v>
      </c>
      <c r="AG40" s="539">
        <f t="shared" si="10"/>
        <v>291552.5</v>
      </c>
      <c r="AH40" s="539">
        <f t="shared" si="10"/>
        <v>278432.63750000001</v>
      </c>
      <c r="AI40" s="539">
        <f t="shared" si="10"/>
        <v>265903.16881250002</v>
      </c>
      <c r="AJ40" s="539">
        <f t="shared" si="10"/>
        <v>253937.52621593751</v>
      </c>
      <c r="AK40" s="539">
        <f t="shared" si="10"/>
        <v>242510.33753622032</v>
      </c>
      <c r="AL40" s="539">
        <f t="shared" si="10"/>
        <v>231597.37234709039</v>
      </c>
      <c r="AM40" s="539">
        <f t="shared" si="10"/>
        <v>221175.49059147132</v>
      </c>
      <c r="AN40" s="539">
        <f t="shared" si="10"/>
        <v>211222.59351485511</v>
      </c>
      <c r="AO40" s="539">
        <f t="shared" si="10"/>
        <v>201717.57680668661</v>
      </c>
      <c r="AP40" s="539">
        <f t="shared" si="10"/>
        <v>192640.28585038573</v>
      </c>
      <c r="AQ40" s="539">
        <f t="shared" si="10"/>
        <v>183971.47298711838</v>
      </c>
      <c r="AR40" s="539">
        <f t="shared" si="10"/>
        <v>175692.75670269807</v>
      </c>
      <c r="AS40" s="539">
        <f t="shared" si="10"/>
        <v>167786.58265107666</v>
      </c>
      <c r="AT40" s="539">
        <f t="shared" si="10"/>
        <v>160236.18643177822</v>
      </c>
      <c r="AU40" s="539">
        <f t="shared" si="10"/>
        <v>153025.55804234819</v>
      </c>
      <c r="AV40" s="539">
        <f t="shared" si="10"/>
        <v>146139.40793044251</v>
      </c>
      <c r="AW40" s="539">
        <f t="shared" si="10"/>
        <v>139563.13457357261</v>
      </c>
      <c r="AX40" s="539">
        <f t="shared" si="10"/>
        <v>133282.79351776183</v>
      </c>
      <c r="AY40" s="539">
        <f t="shared" si="10"/>
        <v>127285.06780946255</v>
      </c>
      <c r="AZ40" s="539">
        <f t="shared" si="10"/>
        <v>121557.23975803674</v>
      </c>
      <c r="BA40" s="539">
        <f t="shared" si="10"/>
        <v>116087.16396892509</v>
      </c>
      <c r="BB40" s="539">
        <f t="shared" si="10"/>
        <v>110863.24159032347</v>
      </c>
      <c r="BC40" s="539">
        <f t="shared" si="10"/>
        <v>105874.39571875891</v>
      </c>
      <c r="BD40" s="539">
        <f t="shared" si="10"/>
        <v>101110.04791141476</v>
      </c>
      <c r="BE40" s="539">
        <f t="shared" si="10"/>
        <v>96560.095755401097</v>
      </c>
      <c r="BF40" s="539">
        <f t="shared" si="10"/>
        <v>92214.891446408044</v>
      </c>
      <c r="BG40" s="539">
        <f t="shared" si="10"/>
        <v>88065.221331319684</v>
      </c>
      <c r="BH40" s="539">
        <f t="shared" si="10"/>
        <v>84102.2863714103</v>
      </c>
      <c r="BI40" s="539">
        <f t="shared" si="10"/>
        <v>80317.683484696841</v>
      </c>
      <c r="BJ40" s="539">
        <f t="shared" si="10"/>
        <v>76703.387727885478</v>
      </c>
      <c r="BK40" s="539">
        <f t="shared" si="10"/>
        <v>73251.735280130626</v>
      </c>
      <c r="BL40" s="539">
        <f t="shared" si="10"/>
        <v>69955.407192524755</v>
      </c>
      <c r="BM40" s="539">
        <f t="shared" si="10"/>
        <v>66807.413868861142</v>
      </c>
      <c r="BN40" s="539">
        <f t="shared" si="10"/>
        <v>63801.080244762394</v>
      </c>
      <c r="BO40" s="539">
        <f t="shared" si="10"/>
        <v>60930.031633748084</v>
      </c>
      <c r="BP40" s="539">
        <f t="shared" si="10"/>
        <v>58188.180210229417</v>
      </c>
      <c r="BQ40" s="539">
        <f t="shared" si="10"/>
        <v>55569.712100769095</v>
      </c>
      <c r="BR40" s="539">
        <f t="shared" si="10"/>
        <v>53069.075056234484</v>
      </c>
      <c r="BS40" s="539">
        <f t="shared" si="10"/>
        <v>50680.966678703931</v>
      </c>
      <c r="BT40" s="539">
        <f t="shared" si="10"/>
        <v>48400.323178162253</v>
      </c>
      <c r="BU40" s="539">
        <f t="shared" si="10"/>
        <v>46222.308635144953</v>
      </c>
      <c r="BV40" s="539">
        <f t="shared" si="10"/>
        <v>44142.30474656343</v>
      </c>
      <c r="BW40" s="539">
        <f t="shared" si="10"/>
        <v>42155.901032968075</v>
      </c>
      <c r="BX40" s="539">
        <f t="shared" si="10"/>
        <v>40258.885486484513</v>
      </c>
      <c r="BY40" s="539">
        <f t="shared" si="10"/>
        <v>38447.235639592713</v>
      </c>
      <c r="BZ40" s="539">
        <f t="shared" si="10"/>
        <v>36717.110035811042</v>
      </c>
      <c r="CA40" s="539">
        <f t="shared" si="10"/>
        <v>35064.840084199546</v>
      </c>
      <c r="CB40" s="539">
        <f t="shared" si="10"/>
        <v>33486.922280410567</v>
      </c>
      <c r="CC40" s="539">
        <f t="shared" si="10"/>
        <v>31980.010777792093</v>
      </c>
      <c r="CD40" s="539">
        <f t="shared" si="10"/>
        <v>30540.91029279145</v>
      </c>
      <c r="CE40" s="539">
        <f t="shared" si="10"/>
        <v>29166.569329615835</v>
      </c>
      <c r="CF40" s="539">
        <f t="shared" si="10"/>
        <v>27854.073709783122</v>
      </c>
      <c r="CG40" s="539">
        <f t="shared" si="10"/>
        <v>26600.640392842881</v>
      </c>
      <c r="CH40" s="539">
        <f t="shared" si="10"/>
        <v>25403.611575164952</v>
      </c>
      <c r="CI40" s="539">
        <f t="shared" si="10"/>
        <v>24260.44905428253</v>
      </c>
      <c r="CJ40" s="539">
        <f t="shared" si="10"/>
        <v>23168.728846839815</v>
      </c>
      <c r="CK40" s="539">
        <f t="shared" si="10"/>
        <v>22126.136048732023</v>
      </c>
      <c r="CL40" s="539">
        <f t="shared" si="10"/>
        <v>21130.459926539083</v>
      </c>
      <c r="CM40" s="539">
        <f t="shared" si="10"/>
        <v>20179.589229844823</v>
      </c>
      <c r="CN40" s="539">
        <f t="shared" si="10"/>
        <v>19271.507714501808</v>
      </c>
      <c r="CO40" s="539">
        <f t="shared" si="10"/>
        <v>18404.289867349227</v>
      </c>
      <c r="CP40" s="539">
        <f t="shared" si="10"/>
        <v>17576.096823318512</v>
      </c>
      <c r="CQ40" s="539">
        <f t="shared" si="10"/>
        <v>16785.172466269178</v>
      </c>
      <c r="CR40" s="539">
        <f t="shared" si="10"/>
        <v>16029.839705287064</v>
      </c>
      <c r="CS40" s="539">
        <f t="shared" si="10"/>
        <v>15308.496918549146</v>
      </c>
      <c r="CT40" s="539">
        <f t="shared" si="10"/>
        <v>14619.614557214434</v>
      </c>
      <c r="CU40" s="539">
        <f t="shared" si="10"/>
        <v>13961.731902139785</v>
      </c>
      <c r="CV40" s="539">
        <f t="shared" si="10"/>
        <v>13333.453966543495</v>
      </c>
      <c r="CW40" s="539">
        <f t="shared" si="10"/>
        <v>12733.448538049037</v>
      </c>
      <c r="CX40" s="539">
        <f t="shared" si="10"/>
        <v>12160.44335383683</v>
      </c>
      <c r="CY40" s="539">
        <f t="shared" si="10"/>
        <v>11613.223402914173</v>
      </c>
      <c r="CZ40" s="539">
        <f t="shared" si="10"/>
        <v>11090.628349783035</v>
      </c>
      <c r="DA40" s="539">
        <f t="shared" si="10"/>
        <v>10591.5500740428</v>
      </c>
      <c r="DB40" s="539">
        <f t="shared" si="10"/>
        <v>10114.930320710873</v>
      </c>
      <c r="DC40" s="539">
        <f t="shared" si="10"/>
        <v>9659.7584562788834</v>
      </c>
      <c r="DD40" s="539">
        <f t="shared" si="10"/>
        <v>9225.0693257463336</v>
      </c>
      <c r="DE40" s="539">
        <f t="shared" si="10"/>
        <v>8809.9412060877494</v>
      </c>
      <c r="DF40" s="539">
        <f t="shared" si="10"/>
        <v>8413.4938518138006</v>
      </c>
      <c r="DG40" s="539">
        <f t="shared" si="10"/>
        <v>8034.8866284821797</v>
      </c>
      <c r="DH40" s="539">
        <f t="shared" si="10"/>
        <v>7673.3167302004813</v>
      </c>
      <c r="DI40" s="539">
        <f t="shared" si="10"/>
        <v>7328.0174773414601</v>
      </c>
      <c r="DJ40" s="539">
        <f t="shared" si="10"/>
        <v>6998.2566908610943</v>
      </c>
      <c r="DK40" s="539">
        <f t="shared" si="10"/>
        <v>6683.3351397723454</v>
      </c>
      <c r="DL40" s="539">
        <f t="shared" si="10"/>
        <v>6382.5850584825903</v>
      </c>
      <c r="DM40" s="539">
        <f t="shared" si="10"/>
        <v>6095.3687308508734</v>
      </c>
      <c r="DN40" s="539">
        <f t="shared" si="10"/>
        <v>5821.0771379625839</v>
      </c>
      <c r="DO40" s="539">
        <f t="shared" si="10"/>
        <v>5559.1286667542681</v>
      </c>
      <c r="DP40" s="539">
        <f t="shared" si="10"/>
        <v>5308.9678767503265</v>
      </c>
      <c r="DQ40" s="539">
        <f t="shared" si="10"/>
        <v>5070.0643222965618</v>
      </c>
      <c r="DR40" s="539">
        <f t="shared" si="10"/>
        <v>4841.9114277932167</v>
      </c>
      <c r="DS40" s="539">
        <f t="shared" si="10"/>
        <v>4624.0254135425221</v>
      </c>
      <c r="DT40" s="539">
        <f t="shared" si="10"/>
        <v>4415.9442699331084</v>
      </c>
      <c r="DU40" s="539">
        <f t="shared" si="10"/>
        <v>4217.2267777861189</v>
      </c>
      <c r="DV40" s="539">
        <f t="shared" si="10"/>
        <v>4027.4515727857433</v>
      </c>
      <c r="DW40" s="539">
        <f t="shared" si="10"/>
        <v>3846.2162520103848</v>
      </c>
      <c r="DX40" s="539">
        <f t="shared" si="10"/>
        <v>3673.1365206699174</v>
      </c>
      <c r="DY40" s="539">
        <f t="shared" si="10"/>
        <v>3507.8453772397711</v>
      </c>
      <c r="DZ40" s="539">
        <f t="shared" si="10"/>
        <v>3349.9923352639812</v>
      </c>
      <c r="EA40" s="539">
        <f t="shared" si="10"/>
        <v>3199.2426801771021</v>
      </c>
      <c r="EB40" s="539">
        <f t="shared" si="10"/>
        <v>3055.2767595691325</v>
      </c>
      <c r="EC40" s="539">
        <f t="shared" si="10"/>
        <v>0</v>
      </c>
      <c r="ED40" s="539">
        <f t="shared" si="10"/>
        <v>0</v>
      </c>
      <c r="EE40" s="539">
        <f t="shared" si="10"/>
        <v>0</v>
      </c>
      <c r="EF40" s="539">
        <f t="shared" si="10"/>
        <v>0</v>
      </c>
      <c r="EG40" s="539">
        <f t="shared" si="10"/>
        <v>0</v>
      </c>
    </row>
    <row r="41" spans="5:137" ht="12.75">
      <c r="E41" s="540" t="s">
        <v>286</v>
      </c>
      <c r="G41" s="541" t="s">
        <v>30</v>
      </c>
      <c r="H41" s="541">
        <f>SUM(J41:EG41)</f>
        <v>291552.50000000012</v>
      </c>
      <c r="J41" s="541">
        <f t="shared" si="11" ref="J41:EG41">IF(J37=1,I40+J36,I40*$F35*J39*J38)</f>
        <v>0</v>
      </c>
      <c r="K41" s="541">
        <f t="shared" si="11"/>
        <v>0</v>
      </c>
      <c r="L41" s="541">
        <f t="shared" si="11"/>
        <v>0</v>
      </c>
      <c r="M41" s="541">
        <f t="shared" si="11"/>
        <v>0</v>
      </c>
      <c r="N41" s="541">
        <f t="shared" si="11"/>
        <v>0</v>
      </c>
      <c r="O41" s="541">
        <f t="shared" si="11"/>
        <v>0</v>
      </c>
      <c r="P41" s="541">
        <f t="shared" si="11"/>
        <v>0</v>
      </c>
      <c r="Q41" s="541">
        <f t="shared" si="11"/>
        <v>0</v>
      </c>
      <c r="R41" s="541">
        <f t="shared" si="11"/>
        <v>0</v>
      </c>
      <c r="S41" s="541">
        <f t="shared" si="11"/>
        <v>0</v>
      </c>
      <c r="T41" s="541">
        <f t="shared" si="11"/>
        <v>0</v>
      </c>
      <c r="U41" s="541">
        <f t="shared" si="11"/>
        <v>0</v>
      </c>
      <c r="V41" s="541">
        <f t="shared" si="11"/>
        <v>0</v>
      </c>
      <c r="W41" s="541">
        <f t="shared" si="11"/>
        <v>0</v>
      </c>
      <c r="X41" s="541">
        <f t="shared" si="11"/>
        <v>0</v>
      </c>
      <c r="Y41" s="541">
        <f t="shared" si="11"/>
        <v>0</v>
      </c>
      <c r="Z41" s="541">
        <f t="shared" si="11"/>
        <v>0</v>
      </c>
      <c r="AA41" s="541">
        <f t="shared" si="11"/>
        <v>0</v>
      </c>
      <c r="AB41" s="541">
        <f t="shared" si="11"/>
        <v>0</v>
      </c>
      <c r="AC41" s="541">
        <f t="shared" si="11"/>
        <v>0</v>
      </c>
      <c r="AD41" s="541">
        <f t="shared" si="11"/>
        <v>0</v>
      </c>
      <c r="AE41" s="541">
        <f t="shared" si="11"/>
        <v>0</v>
      </c>
      <c r="AF41" s="541">
        <f t="shared" si="11"/>
        <v>0</v>
      </c>
      <c r="AG41" s="541">
        <f t="shared" si="11"/>
        <v>0</v>
      </c>
      <c r="AH41" s="541">
        <f t="shared" si="11"/>
        <v>13119.862499999999</v>
      </c>
      <c r="AI41" s="541">
        <f t="shared" si="11"/>
        <v>12529.468687500001</v>
      </c>
      <c r="AJ41" s="541">
        <f t="shared" si="11"/>
        <v>11965.6425965625</v>
      </c>
      <c r="AK41" s="541">
        <f t="shared" si="11"/>
        <v>11427.188679717188</v>
      </c>
      <c r="AL41" s="541">
        <f t="shared" si="11"/>
        <v>10912.965189129915</v>
      </c>
      <c r="AM41" s="541">
        <f t="shared" si="11"/>
        <v>10421.881755619068</v>
      </c>
      <c r="AN41" s="541">
        <f t="shared" si="11"/>
        <v>9952.8970766162092</v>
      </c>
      <c r="AO41" s="541">
        <f t="shared" si="11"/>
        <v>9505.0167081684795</v>
      </c>
      <c r="AP41" s="541">
        <f t="shared" si="11"/>
        <v>9077.290956300898</v>
      </c>
      <c r="AQ41" s="541">
        <f t="shared" si="11"/>
        <v>8668.8128632673579</v>
      </c>
      <c r="AR41" s="541">
        <f t="shared" si="11"/>
        <v>8278.7162844203267</v>
      </c>
      <c r="AS41" s="541">
        <f t="shared" si="11"/>
        <v>7906.1740516214131</v>
      </c>
      <c r="AT41" s="541">
        <f t="shared" si="11"/>
        <v>7550.39621929845</v>
      </c>
      <c r="AU41" s="541">
        <f t="shared" si="11"/>
        <v>7210.6283894300195</v>
      </c>
      <c r="AV41" s="541">
        <f t="shared" si="11"/>
        <v>6886.1501119056684</v>
      </c>
      <c r="AW41" s="541">
        <f t="shared" si="11"/>
        <v>6576.2733568699123</v>
      </c>
      <c r="AX41" s="541">
        <f t="shared" si="11"/>
        <v>6280.3410558107671</v>
      </c>
      <c r="AY41" s="541">
        <f t="shared" si="11"/>
        <v>5997.7257082992819</v>
      </c>
      <c r="AZ41" s="541">
        <f t="shared" si="11"/>
        <v>5727.828051425814</v>
      </c>
      <c r="BA41" s="541">
        <f t="shared" si="11"/>
        <v>5470.0757891116527</v>
      </c>
      <c r="BB41" s="541">
        <f t="shared" si="11"/>
        <v>5223.9223786016291</v>
      </c>
      <c r="BC41" s="541">
        <f t="shared" si="11"/>
        <v>4988.8458715645556</v>
      </c>
      <c r="BD41" s="541">
        <f t="shared" si="11"/>
        <v>4764.3478073441511</v>
      </c>
      <c r="BE41" s="541">
        <f t="shared" si="11"/>
        <v>4549.9521560136636</v>
      </c>
      <c r="BF41" s="541">
        <f t="shared" si="11"/>
        <v>4345.2043089930494</v>
      </c>
      <c r="BG41" s="541">
        <f t="shared" si="11"/>
        <v>4149.6701150883619</v>
      </c>
      <c r="BH41" s="541">
        <f t="shared" si="11"/>
        <v>3962.9349599093857</v>
      </c>
      <c r="BI41" s="541">
        <f t="shared" si="11"/>
        <v>3784.6028867134632</v>
      </c>
      <c r="BJ41" s="541">
        <f t="shared" si="11"/>
        <v>3614.2957568113579</v>
      </c>
      <c r="BK41" s="541">
        <f t="shared" si="11"/>
        <v>3451.6524477548464</v>
      </c>
      <c r="BL41" s="541">
        <f t="shared" si="11"/>
        <v>3296.328087605878</v>
      </c>
      <c r="BM41" s="541">
        <f t="shared" si="11"/>
        <v>3147.9933236636139</v>
      </c>
      <c r="BN41" s="541">
        <f t="shared" si="11"/>
        <v>3006.3336240987514</v>
      </c>
      <c r="BO41" s="541">
        <f t="shared" si="11"/>
        <v>2871.0486110143074</v>
      </c>
      <c r="BP41" s="541">
        <f t="shared" si="11"/>
        <v>2741.8514235186635</v>
      </c>
      <c r="BQ41" s="541">
        <f t="shared" si="11"/>
        <v>2618.4681094603238</v>
      </c>
      <c r="BR41" s="541">
        <f t="shared" si="11"/>
        <v>2500.6370445346092</v>
      </c>
      <c r="BS41" s="541">
        <f t="shared" si="11"/>
        <v>2388.1083775305515</v>
      </c>
      <c r="BT41" s="541">
        <f t="shared" si="11"/>
        <v>2280.643500541677</v>
      </c>
      <c r="BU41" s="541">
        <f t="shared" si="11"/>
        <v>2178.0145430173011</v>
      </c>
      <c r="BV41" s="541">
        <f t="shared" si="11"/>
        <v>2080.0038885815229</v>
      </c>
      <c r="BW41" s="541">
        <f t="shared" si="11"/>
        <v>1986.4037135953542</v>
      </c>
      <c r="BX41" s="541">
        <f t="shared" si="11"/>
        <v>1897.0155464835634</v>
      </c>
      <c r="BY41" s="541">
        <f t="shared" si="11"/>
        <v>1811.649846891803</v>
      </c>
      <c r="BZ41" s="541">
        <f t="shared" si="11"/>
        <v>1730.125603781672</v>
      </c>
      <c r="CA41" s="541">
        <f t="shared" si="11"/>
        <v>1652.2699516114967</v>
      </c>
      <c r="CB41" s="541">
        <f t="shared" si="11"/>
        <v>1577.9178037889794</v>
      </c>
      <c r="CC41" s="541">
        <f t="shared" si="11"/>
        <v>1506.9115026184754</v>
      </c>
      <c r="CD41" s="541">
        <f t="shared" si="11"/>
        <v>1439.1004850006441</v>
      </c>
      <c r="CE41" s="541">
        <f t="shared" si="11"/>
        <v>1374.3409631756151</v>
      </c>
      <c r="CF41" s="541">
        <f t="shared" si="11"/>
        <v>1312.4956198327125</v>
      </c>
      <c r="CG41" s="541">
        <f t="shared" si="11"/>
        <v>1253.4333169402405</v>
      </c>
      <c r="CH41" s="541">
        <f t="shared" si="11"/>
        <v>1197.0288176779295</v>
      </c>
      <c r="CI41" s="541">
        <f t="shared" si="11"/>
        <v>1143.1625208824228</v>
      </c>
      <c r="CJ41" s="541">
        <f t="shared" si="11"/>
        <v>1091.7202074427139</v>
      </c>
      <c r="CK41" s="541">
        <f t="shared" si="11"/>
        <v>1042.5927981077916</v>
      </c>
      <c r="CL41" s="541">
        <f t="shared" si="11"/>
        <v>995.67612219294097</v>
      </c>
      <c r="CM41" s="541">
        <f t="shared" si="11"/>
        <v>950.87069669425864</v>
      </c>
      <c r="CN41" s="541">
        <f t="shared" si="11"/>
        <v>908.08151534301703</v>
      </c>
      <c r="CO41" s="541">
        <f t="shared" si="11"/>
        <v>867.21784715258127</v>
      </c>
      <c r="CP41" s="541">
        <f t="shared" si="11"/>
        <v>828.19304403071521</v>
      </c>
      <c r="CQ41" s="541">
        <f t="shared" si="11"/>
        <v>790.92435704933303</v>
      </c>
      <c r="CR41" s="541">
        <f t="shared" si="11"/>
        <v>755.33276098211297</v>
      </c>
      <c r="CS41" s="541">
        <f t="shared" si="11"/>
        <v>721.34278673791789</v>
      </c>
      <c r="CT41" s="541">
        <f t="shared" si="11"/>
        <v>688.8823613347115</v>
      </c>
      <c r="CU41" s="541">
        <f t="shared" si="11"/>
        <v>657.88265507464951</v>
      </c>
      <c r="CV41" s="541">
        <f t="shared" si="11"/>
        <v>628.27793559629026</v>
      </c>
      <c r="CW41" s="541">
        <f t="shared" si="11"/>
        <v>600.00542849445731</v>
      </c>
      <c r="CX41" s="541">
        <f t="shared" si="11"/>
        <v>573.00518421220659</v>
      </c>
      <c r="CY41" s="541">
        <f t="shared" si="11"/>
        <v>547.21995092265729</v>
      </c>
      <c r="CZ41" s="541">
        <f t="shared" si="11"/>
        <v>522.59505313113777</v>
      </c>
      <c r="DA41" s="541">
        <f t="shared" si="11"/>
        <v>499.07827574023656</v>
      </c>
      <c r="DB41" s="541">
        <f t="shared" si="11"/>
        <v>476.61975333192595</v>
      </c>
      <c r="DC41" s="541">
        <f t="shared" si="11"/>
        <v>455.17186443198926</v>
      </c>
      <c r="DD41" s="541">
        <f t="shared" si="11"/>
        <v>434.68913053254971</v>
      </c>
      <c r="DE41" s="541">
        <f t="shared" si="11"/>
        <v>415.12811965858498</v>
      </c>
      <c r="DF41" s="541">
        <f t="shared" si="11"/>
        <v>396.44735427394869</v>
      </c>
      <c r="DG41" s="541">
        <f t="shared" si="11"/>
        <v>378.60722333162101</v>
      </c>
      <c r="DH41" s="541">
        <f t="shared" si="11"/>
        <v>361.5698982816981</v>
      </c>
      <c r="DI41" s="541">
        <f t="shared" si="11"/>
        <v>345.29925285902164</v>
      </c>
      <c r="DJ41" s="541">
        <f t="shared" si="11"/>
        <v>329.76078648036571</v>
      </c>
      <c r="DK41" s="541">
        <f t="shared" si="11"/>
        <v>314.92155108874925</v>
      </c>
      <c r="DL41" s="541">
        <f t="shared" si="11"/>
        <v>300.75008128975554</v>
      </c>
      <c r="DM41" s="541">
        <f t="shared" si="11"/>
        <v>287.21632763171652</v>
      </c>
      <c r="DN41" s="541">
        <f t="shared" si="11"/>
        <v>274.2915928882893</v>
      </c>
      <c r="DO41" s="541">
        <f t="shared" si="11"/>
        <v>261.94847120831628</v>
      </c>
      <c r="DP41" s="541">
        <f t="shared" si="11"/>
        <v>250.16079000394205</v>
      </c>
      <c r="DQ41" s="541">
        <f t="shared" si="11"/>
        <v>238.90355445376468</v>
      </c>
      <c r="DR41" s="541">
        <f t="shared" si="11"/>
        <v>228.15289450334527</v>
      </c>
      <c r="DS41" s="541">
        <f t="shared" si="11"/>
        <v>217.88601425069476</v>
      </c>
      <c r="DT41" s="541">
        <f t="shared" si="11"/>
        <v>208.08114360941349</v>
      </c>
      <c r="DU41" s="541">
        <f t="shared" si="11"/>
        <v>198.71749214698988</v>
      </c>
      <c r="DV41" s="541">
        <f t="shared" si="11"/>
        <v>189.77520500037534</v>
      </c>
      <c r="DW41" s="541">
        <f t="shared" si="11"/>
        <v>181.23532077535845</v>
      </c>
      <c r="DX41" s="541">
        <f t="shared" si="11"/>
        <v>173.0797313404673</v>
      </c>
      <c r="DY41" s="541">
        <f t="shared" si="11"/>
        <v>165.29114343014629</v>
      </c>
      <c r="DZ41" s="541">
        <f t="shared" si="11"/>
        <v>157.85304197578969</v>
      </c>
      <c r="EA41" s="541">
        <f t="shared" si="11"/>
        <v>150.74965508687916</v>
      </c>
      <c r="EB41" s="541">
        <f t="shared" si="11"/>
        <v>143.96592060796959</v>
      </c>
      <c r="EC41" s="541">
        <f t="shared" si="11"/>
        <v>3055.2767595691325</v>
      </c>
      <c r="ED41" s="541">
        <f t="shared" si="11"/>
        <v>0</v>
      </c>
      <c r="EE41" s="541">
        <f t="shared" si="11"/>
        <v>0</v>
      </c>
      <c r="EF41" s="541">
        <f t="shared" si="11"/>
        <v>0</v>
      </c>
      <c r="EG41" s="541">
        <f t="shared" si="11"/>
        <v>0</v>
      </c>
    </row>
    <row r="43" spans="5:137" ht="12.75">
      <c r="E43" s="535" t="str">
        <f>Cons!E$48</f>
        <v>Capex - total</v>
      </c>
      <c r="G43" s="537" t="str">
        <f>Cons!G$48</f>
        <v>EUR 000s</v>
      </c>
      <c r="H43" s="537">
        <f>Cons!H$48</f>
        <v>291552.5</v>
      </c>
      <c r="J43" s="537">
        <f>Cons!J$48</f>
        <v>0</v>
      </c>
      <c r="K43" s="537">
        <f>Cons!K$48</f>
        <v>0</v>
      </c>
      <c r="L43" s="537">
        <f>Cons!L$48</f>
        <v>8000</v>
      </c>
      <c r="M43" s="537">
        <f>Cons!M$48</f>
        <v>13291.5625</v>
      </c>
      <c r="N43" s="537">
        <f>Cons!N$48</f>
        <v>13619.6875</v>
      </c>
      <c r="O43" s="537">
        <f>Cons!O$48</f>
        <v>13291.5625</v>
      </c>
      <c r="P43" s="537">
        <f>Cons!P$48</f>
        <v>13619.6875</v>
      </c>
      <c r="Q43" s="537">
        <f>Cons!Q$48</f>
        <v>13291.5625</v>
      </c>
      <c r="R43" s="537">
        <f>Cons!R$48</f>
        <v>16941.953125</v>
      </c>
      <c r="S43" s="537">
        <f>Cons!S$48</f>
        <v>17639.21875</v>
      </c>
      <c r="T43" s="537">
        <f>Cons!T$48</f>
        <v>17967.34375</v>
      </c>
      <c r="U43" s="537">
        <f>Cons!U$48</f>
        <v>18295.46875</v>
      </c>
      <c r="V43" s="537">
        <f>Cons!V$48</f>
        <v>16982.96875</v>
      </c>
      <c r="W43" s="537">
        <f>Cons!W$48</f>
        <v>16818.90625</v>
      </c>
      <c r="X43" s="537">
        <f>Cons!X$48</f>
        <v>15014.21875</v>
      </c>
      <c r="Y43" s="537">
        <f>Cons!Y$48</f>
        <v>13045.46875</v>
      </c>
      <c r="Z43" s="537">
        <f>Cons!Z$48</f>
        <v>12061.09375</v>
      </c>
      <c r="AA43" s="537">
        <f>Cons!AA$48</f>
        <v>13537.65625</v>
      </c>
      <c r="AB43" s="537">
        <f>Cons!AB$48</f>
        <v>14193.90625</v>
      </c>
      <c r="AC43" s="537">
        <f>Cons!AC$48</f>
        <v>14029.84375</v>
      </c>
      <c r="AD43" s="537">
        <f>Cons!AD$48</f>
        <v>12676.328125</v>
      </c>
      <c r="AE43" s="537">
        <f>Cons!AE$48</f>
        <v>7549.375</v>
      </c>
      <c r="AF43" s="537">
        <f>Cons!AF$48</f>
        <v>5744.6875</v>
      </c>
      <c r="AG43" s="537">
        <f>Cons!AG$48</f>
        <v>3940</v>
      </c>
      <c r="AH43" s="537">
        <f>Cons!AH$48</f>
        <v>0</v>
      </c>
      <c r="AI43" s="537">
        <f>Cons!AI$48</f>
        <v>0</v>
      </c>
      <c r="AJ43" s="537">
        <f>Cons!AJ$48</f>
        <v>0</v>
      </c>
      <c r="AK43" s="537">
        <f>Cons!AK$48</f>
        <v>0</v>
      </c>
      <c r="AL43" s="537">
        <f>Cons!AL$48</f>
        <v>0</v>
      </c>
      <c r="AM43" s="537">
        <f>Cons!AM$48</f>
        <v>0</v>
      </c>
      <c r="AN43" s="537">
        <f>Cons!AN$48</f>
        <v>0</v>
      </c>
      <c r="AO43" s="537">
        <f>Cons!AO$48</f>
        <v>0</v>
      </c>
      <c r="AP43" s="537">
        <f>Cons!AP$48</f>
        <v>0</v>
      </c>
      <c r="AQ43" s="537">
        <f>Cons!AQ$48</f>
        <v>0</v>
      </c>
      <c r="AR43" s="537">
        <f>Cons!AR$48</f>
        <v>0</v>
      </c>
      <c r="AS43" s="537">
        <f>Cons!AS$48</f>
        <v>0</v>
      </c>
      <c r="AT43" s="537">
        <f>Cons!AT$48</f>
        <v>0</v>
      </c>
      <c r="AU43" s="537">
        <f>Cons!AU$48</f>
        <v>0</v>
      </c>
      <c r="AV43" s="537">
        <f>Cons!AV$48</f>
        <v>0</v>
      </c>
      <c r="AW43" s="537">
        <f>Cons!AW$48</f>
        <v>0</v>
      </c>
      <c r="AX43" s="537">
        <f>Cons!AX$48</f>
        <v>0</v>
      </c>
      <c r="AY43" s="537">
        <f>Cons!AY$48</f>
        <v>0</v>
      </c>
      <c r="AZ43" s="537">
        <f>Cons!AZ$48</f>
        <v>0</v>
      </c>
      <c r="BA43" s="537">
        <f>Cons!BA$48</f>
        <v>0</v>
      </c>
      <c r="BB43" s="537">
        <f>Cons!BB$48</f>
        <v>0</v>
      </c>
      <c r="BC43" s="537">
        <f>Cons!BC$48</f>
        <v>0</v>
      </c>
      <c r="BD43" s="537">
        <f>Cons!BD$48</f>
        <v>0</v>
      </c>
      <c r="BE43" s="537">
        <f>Cons!BE$48</f>
        <v>0</v>
      </c>
      <c r="BF43" s="537">
        <f>Cons!BF$48</f>
        <v>0</v>
      </c>
      <c r="BG43" s="537">
        <f>Cons!BG$48</f>
        <v>0</v>
      </c>
      <c r="BH43" s="537">
        <f>Cons!BH$48</f>
        <v>0</v>
      </c>
      <c r="BI43" s="537">
        <f>Cons!BI$48</f>
        <v>0</v>
      </c>
      <c r="BJ43" s="537">
        <f>Cons!BJ$48</f>
        <v>0</v>
      </c>
      <c r="BK43" s="537">
        <f>Cons!BK$48</f>
        <v>0</v>
      </c>
      <c r="BL43" s="537">
        <f>Cons!BL$48</f>
        <v>0</v>
      </c>
      <c r="BM43" s="537">
        <f>Cons!BM$48</f>
        <v>0</v>
      </c>
      <c r="BN43" s="537">
        <f>Cons!BN$48</f>
        <v>0</v>
      </c>
      <c r="BO43" s="537">
        <f>Cons!BO$48</f>
        <v>0</v>
      </c>
      <c r="BP43" s="537">
        <f>Cons!BP$48</f>
        <v>0</v>
      </c>
      <c r="BQ43" s="537">
        <f>Cons!BQ$48</f>
        <v>0</v>
      </c>
      <c r="BR43" s="537">
        <f>Cons!BR$48</f>
        <v>0</v>
      </c>
      <c r="BS43" s="537">
        <f>Cons!BS$48</f>
        <v>0</v>
      </c>
      <c r="BT43" s="537">
        <f>Cons!BT$48</f>
        <v>0</v>
      </c>
      <c r="BU43" s="537">
        <f>Cons!BU$48</f>
        <v>0</v>
      </c>
      <c r="BV43" s="537">
        <f>Cons!BV$48</f>
        <v>0</v>
      </c>
      <c r="BW43" s="537">
        <f>Cons!BW$48</f>
        <v>0</v>
      </c>
      <c r="BX43" s="537">
        <f>Cons!BX$48</f>
        <v>0</v>
      </c>
      <c r="BY43" s="537">
        <f>Cons!BY$48</f>
        <v>0</v>
      </c>
      <c r="BZ43" s="537">
        <f>Cons!BZ$48</f>
        <v>0</v>
      </c>
      <c r="CA43" s="537">
        <f>Cons!CA$48</f>
        <v>0</v>
      </c>
      <c r="CB43" s="537">
        <f>Cons!CB$48</f>
        <v>0</v>
      </c>
      <c r="CC43" s="537">
        <f>Cons!CC$48</f>
        <v>0</v>
      </c>
      <c r="CD43" s="537">
        <f>Cons!CD$48</f>
        <v>0</v>
      </c>
      <c r="CE43" s="537">
        <f>Cons!CE$48</f>
        <v>0</v>
      </c>
      <c r="CF43" s="537">
        <f>Cons!CF$48</f>
        <v>0</v>
      </c>
      <c r="CG43" s="537">
        <f>Cons!CG$48</f>
        <v>0</v>
      </c>
      <c r="CH43" s="537">
        <f>Cons!CH$48</f>
        <v>0</v>
      </c>
      <c r="CI43" s="537">
        <f>Cons!CI$48</f>
        <v>0</v>
      </c>
      <c r="CJ43" s="537">
        <f>Cons!CJ$48</f>
        <v>0</v>
      </c>
      <c r="CK43" s="537">
        <f>Cons!CK$48</f>
        <v>0</v>
      </c>
      <c r="CL43" s="537">
        <f>Cons!CL$48</f>
        <v>0</v>
      </c>
      <c r="CM43" s="537">
        <f>Cons!CM$48</f>
        <v>0</v>
      </c>
      <c r="CN43" s="537">
        <f>Cons!CN$48</f>
        <v>0</v>
      </c>
      <c r="CO43" s="537">
        <f>Cons!CO$48</f>
        <v>0</v>
      </c>
      <c r="CP43" s="537">
        <f>Cons!CP$48</f>
        <v>0</v>
      </c>
      <c r="CQ43" s="537">
        <f>Cons!CQ$48</f>
        <v>0</v>
      </c>
      <c r="CR43" s="537">
        <f>Cons!CR$48</f>
        <v>0</v>
      </c>
      <c r="CS43" s="537">
        <f>Cons!CS$48</f>
        <v>0</v>
      </c>
      <c r="CT43" s="537">
        <f>Cons!CT$48</f>
        <v>0</v>
      </c>
      <c r="CU43" s="537">
        <f>Cons!CU$48</f>
        <v>0</v>
      </c>
      <c r="CV43" s="537">
        <f>Cons!CV$48</f>
        <v>0</v>
      </c>
      <c r="CW43" s="537">
        <f>Cons!CW$48</f>
        <v>0</v>
      </c>
      <c r="CX43" s="537">
        <f>Cons!CX$48</f>
        <v>0</v>
      </c>
      <c r="CY43" s="537">
        <f>Cons!CY$48</f>
        <v>0</v>
      </c>
      <c r="CZ43" s="537">
        <f>Cons!CZ$48</f>
        <v>0</v>
      </c>
      <c r="DA43" s="537">
        <f>Cons!DA$48</f>
        <v>0</v>
      </c>
      <c r="DB43" s="537">
        <f>Cons!DB$48</f>
        <v>0</v>
      </c>
      <c r="DC43" s="537">
        <f>Cons!DC$48</f>
        <v>0</v>
      </c>
      <c r="DD43" s="537">
        <f>Cons!DD$48</f>
        <v>0</v>
      </c>
      <c r="DE43" s="537">
        <f>Cons!DE$48</f>
        <v>0</v>
      </c>
      <c r="DF43" s="537">
        <f>Cons!DF$48</f>
        <v>0</v>
      </c>
      <c r="DG43" s="537">
        <f>Cons!DG$48</f>
        <v>0</v>
      </c>
      <c r="DH43" s="537">
        <f>Cons!DH$48</f>
        <v>0</v>
      </c>
      <c r="DI43" s="537">
        <f>Cons!DI$48</f>
        <v>0</v>
      </c>
      <c r="DJ43" s="537">
        <f>Cons!DJ$48</f>
        <v>0</v>
      </c>
      <c r="DK43" s="537">
        <f>Cons!DK$48</f>
        <v>0</v>
      </c>
      <c r="DL43" s="537">
        <f>Cons!DL$48</f>
        <v>0</v>
      </c>
      <c r="DM43" s="537">
        <f>Cons!DM$48</f>
        <v>0</v>
      </c>
      <c r="DN43" s="537">
        <f>Cons!DN$48</f>
        <v>0</v>
      </c>
      <c r="DO43" s="537">
        <f>Cons!DO$48</f>
        <v>0</v>
      </c>
      <c r="DP43" s="537">
        <f>Cons!DP$48</f>
        <v>0</v>
      </c>
      <c r="DQ43" s="537">
        <f>Cons!DQ$48</f>
        <v>0</v>
      </c>
      <c r="DR43" s="537">
        <f>Cons!DR$48</f>
        <v>0</v>
      </c>
      <c r="DS43" s="537">
        <f>Cons!DS$48</f>
        <v>0</v>
      </c>
      <c r="DT43" s="537">
        <f>Cons!DT$48</f>
        <v>0</v>
      </c>
      <c r="DU43" s="537">
        <f>Cons!DU$48</f>
        <v>0</v>
      </c>
      <c r="DV43" s="537">
        <f>Cons!DV$48</f>
        <v>0</v>
      </c>
      <c r="DW43" s="537">
        <f>Cons!DW$48</f>
        <v>0</v>
      </c>
      <c r="DX43" s="537">
        <f>Cons!DX$48</f>
        <v>0</v>
      </c>
      <c r="DY43" s="537">
        <f>Cons!DY$48</f>
        <v>0</v>
      </c>
      <c r="DZ43" s="537">
        <f>Cons!DZ$48</f>
        <v>0</v>
      </c>
      <c r="EA43" s="537">
        <f>Cons!EA$48</f>
        <v>0</v>
      </c>
      <c r="EB43" s="537">
        <f>Cons!EB$48</f>
        <v>0</v>
      </c>
      <c r="EC43" s="537">
        <f>Cons!EC$48</f>
        <v>0</v>
      </c>
      <c r="ED43" s="537">
        <f>Cons!ED$48</f>
        <v>0</v>
      </c>
      <c r="EE43" s="537">
        <f>Cons!EE$48</f>
        <v>0</v>
      </c>
      <c r="EF43" s="537">
        <f>Cons!EF$48</f>
        <v>0</v>
      </c>
      <c r="EG43" s="537">
        <f>Cons!EG$48</f>
        <v>0</v>
      </c>
    </row>
    <row r="44" spans="5:137" ht="12.75">
      <c r="E44" s="538" t="str">
        <f>E$41</f>
        <v>Fixed assets - tax depreciation</v>
      </c>
      <c r="G44" s="539" t="str">
        <f>G$41</f>
        <v>EUR 000s</v>
      </c>
      <c r="H44" s="539">
        <f>H$41</f>
        <v>291552.50000000012</v>
      </c>
      <c r="J44" s="539">
        <f t="shared" si="12" ref="J44:EG44">J$41</f>
        <v>0</v>
      </c>
      <c r="K44" s="539">
        <f t="shared" si="12"/>
        <v>0</v>
      </c>
      <c r="L44" s="539">
        <f t="shared" si="12"/>
        <v>0</v>
      </c>
      <c r="M44" s="539">
        <f t="shared" si="12"/>
        <v>0</v>
      </c>
      <c r="N44" s="539">
        <f t="shared" si="12"/>
        <v>0</v>
      </c>
      <c r="O44" s="539">
        <f t="shared" si="12"/>
        <v>0</v>
      </c>
      <c r="P44" s="539">
        <f t="shared" si="12"/>
        <v>0</v>
      </c>
      <c r="Q44" s="539">
        <f t="shared" si="12"/>
        <v>0</v>
      </c>
      <c r="R44" s="539">
        <f t="shared" si="12"/>
        <v>0</v>
      </c>
      <c r="S44" s="539">
        <f t="shared" si="12"/>
        <v>0</v>
      </c>
      <c r="T44" s="539">
        <f t="shared" si="12"/>
        <v>0</v>
      </c>
      <c r="U44" s="539">
        <f t="shared" si="12"/>
        <v>0</v>
      </c>
      <c r="V44" s="539">
        <f t="shared" si="12"/>
        <v>0</v>
      </c>
      <c r="W44" s="539">
        <f t="shared" si="12"/>
        <v>0</v>
      </c>
      <c r="X44" s="539">
        <f t="shared" si="12"/>
        <v>0</v>
      </c>
      <c r="Y44" s="539">
        <f t="shared" si="12"/>
        <v>0</v>
      </c>
      <c r="Z44" s="539">
        <f t="shared" si="12"/>
        <v>0</v>
      </c>
      <c r="AA44" s="539">
        <f t="shared" si="12"/>
        <v>0</v>
      </c>
      <c r="AB44" s="539">
        <f t="shared" si="12"/>
        <v>0</v>
      </c>
      <c r="AC44" s="539">
        <f t="shared" si="12"/>
        <v>0</v>
      </c>
      <c r="AD44" s="539">
        <f t="shared" si="12"/>
        <v>0</v>
      </c>
      <c r="AE44" s="539">
        <f t="shared" si="12"/>
        <v>0</v>
      </c>
      <c r="AF44" s="539">
        <f t="shared" si="12"/>
        <v>0</v>
      </c>
      <c r="AG44" s="539">
        <f t="shared" si="12"/>
        <v>0</v>
      </c>
      <c r="AH44" s="539">
        <f t="shared" si="12"/>
        <v>13119.862499999999</v>
      </c>
      <c r="AI44" s="539">
        <f t="shared" si="12"/>
        <v>12529.468687500001</v>
      </c>
      <c r="AJ44" s="539">
        <f t="shared" si="12"/>
        <v>11965.6425965625</v>
      </c>
      <c r="AK44" s="539">
        <f t="shared" si="12"/>
        <v>11427.188679717188</v>
      </c>
      <c r="AL44" s="539">
        <f t="shared" si="12"/>
        <v>10912.965189129915</v>
      </c>
      <c r="AM44" s="539">
        <f t="shared" si="12"/>
        <v>10421.881755619068</v>
      </c>
      <c r="AN44" s="539">
        <f t="shared" si="12"/>
        <v>9952.8970766162092</v>
      </c>
      <c r="AO44" s="539">
        <f t="shared" si="12"/>
        <v>9505.0167081684795</v>
      </c>
      <c r="AP44" s="539">
        <f t="shared" si="12"/>
        <v>9077.290956300898</v>
      </c>
      <c r="AQ44" s="539">
        <f t="shared" si="12"/>
        <v>8668.8128632673579</v>
      </c>
      <c r="AR44" s="539">
        <f t="shared" si="12"/>
        <v>8278.7162844203267</v>
      </c>
      <c r="AS44" s="539">
        <f t="shared" si="12"/>
        <v>7906.1740516214131</v>
      </c>
      <c r="AT44" s="539">
        <f t="shared" si="12"/>
        <v>7550.39621929845</v>
      </c>
      <c r="AU44" s="539">
        <f t="shared" si="12"/>
        <v>7210.6283894300195</v>
      </c>
      <c r="AV44" s="539">
        <f t="shared" si="12"/>
        <v>6886.1501119056684</v>
      </c>
      <c r="AW44" s="539">
        <f t="shared" si="12"/>
        <v>6576.2733568699123</v>
      </c>
      <c r="AX44" s="539">
        <f t="shared" si="12"/>
        <v>6280.3410558107671</v>
      </c>
      <c r="AY44" s="539">
        <f t="shared" si="12"/>
        <v>5997.7257082992819</v>
      </c>
      <c r="AZ44" s="539">
        <f t="shared" si="12"/>
        <v>5727.828051425814</v>
      </c>
      <c r="BA44" s="539">
        <f t="shared" si="12"/>
        <v>5470.0757891116527</v>
      </c>
      <c r="BB44" s="539">
        <f t="shared" si="12"/>
        <v>5223.9223786016291</v>
      </c>
      <c r="BC44" s="539">
        <f t="shared" si="12"/>
        <v>4988.8458715645556</v>
      </c>
      <c r="BD44" s="539">
        <f t="shared" si="12"/>
        <v>4764.3478073441511</v>
      </c>
      <c r="BE44" s="539">
        <f t="shared" si="12"/>
        <v>4549.9521560136636</v>
      </c>
      <c r="BF44" s="539">
        <f t="shared" si="12"/>
        <v>4345.2043089930494</v>
      </c>
      <c r="BG44" s="539">
        <f t="shared" si="12"/>
        <v>4149.6701150883619</v>
      </c>
      <c r="BH44" s="539">
        <f t="shared" si="12"/>
        <v>3962.9349599093857</v>
      </c>
      <c r="BI44" s="539">
        <f t="shared" si="12"/>
        <v>3784.6028867134632</v>
      </c>
      <c r="BJ44" s="539">
        <f t="shared" si="12"/>
        <v>3614.2957568113579</v>
      </c>
      <c r="BK44" s="539">
        <f t="shared" si="12"/>
        <v>3451.6524477548464</v>
      </c>
      <c r="BL44" s="539">
        <f t="shared" si="12"/>
        <v>3296.328087605878</v>
      </c>
      <c r="BM44" s="539">
        <f t="shared" si="12"/>
        <v>3147.9933236636139</v>
      </c>
      <c r="BN44" s="539">
        <f t="shared" si="12"/>
        <v>3006.3336240987514</v>
      </c>
      <c r="BO44" s="539">
        <f t="shared" si="12"/>
        <v>2871.0486110143074</v>
      </c>
      <c r="BP44" s="539">
        <f t="shared" si="12"/>
        <v>2741.8514235186635</v>
      </c>
      <c r="BQ44" s="539">
        <f t="shared" si="12"/>
        <v>2618.4681094603238</v>
      </c>
      <c r="BR44" s="539">
        <f t="shared" si="12"/>
        <v>2500.6370445346092</v>
      </c>
      <c r="BS44" s="539">
        <f t="shared" si="12"/>
        <v>2388.1083775305515</v>
      </c>
      <c r="BT44" s="539">
        <f t="shared" si="12"/>
        <v>2280.643500541677</v>
      </c>
      <c r="BU44" s="539">
        <f t="shared" si="12"/>
        <v>2178.0145430173011</v>
      </c>
      <c r="BV44" s="539">
        <f t="shared" si="12"/>
        <v>2080.0038885815229</v>
      </c>
      <c r="BW44" s="539">
        <f t="shared" si="12"/>
        <v>1986.4037135953542</v>
      </c>
      <c r="BX44" s="539">
        <f t="shared" si="12"/>
        <v>1897.0155464835634</v>
      </c>
      <c r="BY44" s="539">
        <f t="shared" si="12"/>
        <v>1811.649846891803</v>
      </c>
      <c r="BZ44" s="539">
        <f t="shared" si="12"/>
        <v>1730.125603781672</v>
      </c>
      <c r="CA44" s="539">
        <f t="shared" si="12"/>
        <v>1652.2699516114967</v>
      </c>
      <c r="CB44" s="539">
        <f t="shared" si="12"/>
        <v>1577.9178037889794</v>
      </c>
      <c r="CC44" s="539">
        <f t="shared" si="12"/>
        <v>1506.9115026184754</v>
      </c>
      <c r="CD44" s="539">
        <f t="shared" si="12"/>
        <v>1439.1004850006441</v>
      </c>
      <c r="CE44" s="539">
        <f t="shared" si="12"/>
        <v>1374.3409631756151</v>
      </c>
      <c r="CF44" s="539">
        <f t="shared" si="12"/>
        <v>1312.4956198327125</v>
      </c>
      <c r="CG44" s="539">
        <f t="shared" si="12"/>
        <v>1253.4333169402405</v>
      </c>
      <c r="CH44" s="539">
        <f t="shared" si="12"/>
        <v>1197.0288176779295</v>
      </c>
      <c r="CI44" s="539">
        <f t="shared" si="12"/>
        <v>1143.1625208824228</v>
      </c>
      <c r="CJ44" s="539">
        <f t="shared" si="12"/>
        <v>1091.7202074427139</v>
      </c>
      <c r="CK44" s="539">
        <f t="shared" si="12"/>
        <v>1042.5927981077916</v>
      </c>
      <c r="CL44" s="539">
        <f t="shared" si="12"/>
        <v>995.67612219294097</v>
      </c>
      <c r="CM44" s="539">
        <f t="shared" si="12"/>
        <v>950.87069669425864</v>
      </c>
      <c r="CN44" s="539">
        <f t="shared" si="12"/>
        <v>908.08151534301703</v>
      </c>
      <c r="CO44" s="539">
        <f t="shared" si="12"/>
        <v>867.21784715258127</v>
      </c>
      <c r="CP44" s="539">
        <f t="shared" si="12"/>
        <v>828.19304403071521</v>
      </c>
      <c r="CQ44" s="539">
        <f t="shared" si="12"/>
        <v>790.92435704933303</v>
      </c>
      <c r="CR44" s="539">
        <f t="shared" si="12"/>
        <v>755.33276098211297</v>
      </c>
      <c r="CS44" s="539">
        <f t="shared" si="12"/>
        <v>721.34278673791789</v>
      </c>
      <c r="CT44" s="539">
        <f t="shared" si="12"/>
        <v>688.8823613347115</v>
      </c>
      <c r="CU44" s="539">
        <f t="shared" si="12"/>
        <v>657.88265507464951</v>
      </c>
      <c r="CV44" s="539">
        <f t="shared" si="12"/>
        <v>628.27793559629026</v>
      </c>
      <c r="CW44" s="539">
        <f t="shared" si="12"/>
        <v>600.00542849445731</v>
      </c>
      <c r="CX44" s="539">
        <f t="shared" si="12"/>
        <v>573.00518421220659</v>
      </c>
      <c r="CY44" s="539">
        <f t="shared" si="12"/>
        <v>547.21995092265729</v>
      </c>
      <c r="CZ44" s="539">
        <f t="shared" si="12"/>
        <v>522.59505313113777</v>
      </c>
      <c r="DA44" s="539">
        <f t="shared" si="12"/>
        <v>499.07827574023656</v>
      </c>
      <c r="DB44" s="539">
        <f t="shared" si="12"/>
        <v>476.61975333192595</v>
      </c>
      <c r="DC44" s="539">
        <f t="shared" si="12"/>
        <v>455.17186443198926</v>
      </c>
      <c r="DD44" s="539">
        <f t="shared" si="12"/>
        <v>434.68913053254971</v>
      </c>
      <c r="DE44" s="539">
        <f t="shared" si="12"/>
        <v>415.12811965858498</v>
      </c>
      <c r="DF44" s="539">
        <f t="shared" si="12"/>
        <v>396.44735427394869</v>
      </c>
      <c r="DG44" s="539">
        <f t="shared" si="12"/>
        <v>378.60722333162101</v>
      </c>
      <c r="DH44" s="539">
        <f t="shared" si="12"/>
        <v>361.5698982816981</v>
      </c>
      <c r="DI44" s="539">
        <f t="shared" si="12"/>
        <v>345.29925285902164</v>
      </c>
      <c r="DJ44" s="539">
        <f t="shared" si="12"/>
        <v>329.76078648036571</v>
      </c>
      <c r="DK44" s="539">
        <f t="shared" si="12"/>
        <v>314.92155108874925</v>
      </c>
      <c r="DL44" s="539">
        <f t="shared" si="12"/>
        <v>300.75008128975554</v>
      </c>
      <c r="DM44" s="539">
        <f t="shared" si="12"/>
        <v>287.21632763171652</v>
      </c>
      <c r="DN44" s="539">
        <f t="shared" si="12"/>
        <v>274.2915928882893</v>
      </c>
      <c r="DO44" s="539">
        <f t="shared" si="12"/>
        <v>261.94847120831628</v>
      </c>
      <c r="DP44" s="539">
        <f t="shared" si="12"/>
        <v>250.16079000394205</v>
      </c>
      <c r="DQ44" s="539">
        <f t="shared" si="12"/>
        <v>238.90355445376468</v>
      </c>
      <c r="DR44" s="539">
        <f t="shared" si="12"/>
        <v>228.15289450334527</v>
      </c>
      <c r="DS44" s="539">
        <f t="shared" si="12"/>
        <v>217.88601425069476</v>
      </c>
      <c r="DT44" s="539">
        <f t="shared" si="12"/>
        <v>208.08114360941349</v>
      </c>
      <c r="DU44" s="539">
        <f t="shared" si="12"/>
        <v>198.71749214698988</v>
      </c>
      <c r="DV44" s="539">
        <f t="shared" si="12"/>
        <v>189.77520500037534</v>
      </c>
      <c r="DW44" s="539">
        <f t="shared" si="12"/>
        <v>181.23532077535845</v>
      </c>
      <c r="DX44" s="539">
        <f t="shared" si="12"/>
        <v>173.0797313404673</v>
      </c>
      <c r="DY44" s="539">
        <f t="shared" si="12"/>
        <v>165.29114343014629</v>
      </c>
      <c r="DZ44" s="539">
        <f t="shared" si="12"/>
        <v>157.85304197578969</v>
      </c>
      <c r="EA44" s="539">
        <f t="shared" si="12"/>
        <v>150.74965508687916</v>
      </c>
      <c r="EB44" s="539">
        <f t="shared" si="12"/>
        <v>143.96592060796959</v>
      </c>
      <c r="EC44" s="539">
        <f t="shared" si="12"/>
        <v>3055.2767595691325</v>
      </c>
      <c r="ED44" s="539">
        <f t="shared" si="12"/>
        <v>0</v>
      </c>
      <c r="EE44" s="539">
        <f t="shared" si="12"/>
        <v>0</v>
      </c>
      <c r="EF44" s="539">
        <f t="shared" si="12"/>
        <v>0</v>
      </c>
      <c r="EG44" s="539">
        <f t="shared" si="12"/>
        <v>0</v>
      </c>
    </row>
    <row r="45" spans="5:137" ht="12.75">
      <c r="E45" s="540" t="s">
        <v>287</v>
      </c>
      <c r="G45" s="541" t="s">
        <v>30</v>
      </c>
      <c r="H45" s="541">
        <f>SUM(J45:EG45)</f>
        <v>9690465.6196024753</v>
      </c>
      <c r="J45" s="541">
        <f t="shared" si="13" ref="J45:EG45">I45+J43-J44</f>
        <v>0</v>
      </c>
      <c r="K45" s="541">
        <f t="shared" si="13"/>
        <v>0</v>
      </c>
      <c r="L45" s="541">
        <f t="shared" si="13"/>
        <v>8000</v>
      </c>
      <c r="M45" s="541">
        <f t="shared" si="13"/>
        <v>21291.5625</v>
      </c>
      <c r="N45" s="541">
        <f t="shared" si="13"/>
        <v>34911.25</v>
      </c>
      <c r="O45" s="541">
        <f t="shared" si="13"/>
        <v>48202.8125</v>
      </c>
      <c r="P45" s="541">
        <f t="shared" si="13"/>
        <v>61822.5</v>
      </c>
      <c r="Q45" s="541">
        <f t="shared" si="13"/>
        <v>75114.0625</v>
      </c>
      <c r="R45" s="541">
        <f t="shared" si="13"/>
        <v>92056.015625</v>
      </c>
      <c r="S45" s="541">
        <f t="shared" si="13"/>
        <v>109695.234375</v>
      </c>
      <c r="T45" s="541">
        <f t="shared" si="13"/>
        <v>127662.578125</v>
      </c>
      <c r="U45" s="541">
        <f t="shared" si="13"/>
        <v>145958.046875</v>
      </c>
      <c r="V45" s="541">
        <f t="shared" si="13"/>
        <v>162941.015625</v>
      </c>
      <c r="W45" s="541">
        <f t="shared" si="13"/>
        <v>179759.921875</v>
      </c>
      <c r="X45" s="541">
        <f t="shared" si="13"/>
        <v>194774.140625</v>
      </c>
      <c r="Y45" s="541">
        <f t="shared" si="13"/>
        <v>207819.609375</v>
      </c>
      <c r="Z45" s="541">
        <f t="shared" si="13"/>
        <v>219880.703125</v>
      </c>
      <c r="AA45" s="541">
        <f t="shared" si="13"/>
        <v>233418.359375</v>
      </c>
      <c r="AB45" s="541">
        <f t="shared" si="13"/>
        <v>247612.265625</v>
      </c>
      <c r="AC45" s="541">
        <f t="shared" si="13"/>
        <v>261642.109375</v>
      </c>
      <c r="AD45" s="541">
        <f t="shared" si="13"/>
        <v>274318.4375</v>
      </c>
      <c r="AE45" s="541">
        <f t="shared" si="13"/>
        <v>281867.8125</v>
      </c>
      <c r="AF45" s="541">
        <f t="shared" si="13"/>
        <v>287612.5</v>
      </c>
      <c r="AG45" s="541">
        <f t="shared" si="13"/>
        <v>291552.5</v>
      </c>
      <c r="AH45" s="541">
        <f t="shared" si="13"/>
        <v>278432.63750000001</v>
      </c>
      <c r="AI45" s="541">
        <f t="shared" si="13"/>
        <v>265903.16881250002</v>
      </c>
      <c r="AJ45" s="541">
        <f t="shared" si="13"/>
        <v>253937.52621593751</v>
      </c>
      <c r="AK45" s="541">
        <f t="shared" si="13"/>
        <v>242510.33753622032</v>
      </c>
      <c r="AL45" s="541">
        <f t="shared" si="13"/>
        <v>231597.37234709039</v>
      </c>
      <c r="AM45" s="541">
        <f t="shared" si="13"/>
        <v>221175.49059147132</v>
      </c>
      <c r="AN45" s="541">
        <f t="shared" si="13"/>
        <v>211222.59351485511</v>
      </c>
      <c r="AO45" s="541">
        <f t="shared" si="13"/>
        <v>201717.57680668661</v>
      </c>
      <c r="AP45" s="541">
        <f t="shared" si="13"/>
        <v>192640.28585038573</v>
      </c>
      <c r="AQ45" s="541">
        <f t="shared" si="13"/>
        <v>183971.47298711838</v>
      </c>
      <c r="AR45" s="541">
        <f t="shared" si="13"/>
        <v>175692.75670269807</v>
      </c>
      <c r="AS45" s="541">
        <f t="shared" si="13"/>
        <v>167786.58265107666</v>
      </c>
      <c r="AT45" s="541">
        <f t="shared" si="13"/>
        <v>160236.18643177822</v>
      </c>
      <c r="AU45" s="541">
        <f t="shared" si="13"/>
        <v>153025.55804234819</v>
      </c>
      <c r="AV45" s="541">
        <f t="shared" si="13"/>
        <v>146139.40793044251</v>
      </c>
      <c r="AW45" s="541">
        <f t="shared" si="13"/>
        <v>139563.13457357261</v>
      </c>
      <c r="AX45" s="541">
        <f t="shared" si="13"/>
        <v>133282.79351776183</v>
      </c>
      <c r="AY45" s="541">
        <f t="shared" si="13"/>
        <v>127285.06780946255</v>
      </c>
      <c r="AZ45" s="541">
        <f t="shared" si="13"/>
        <v>121557.23975803674</v>
      </c>
      <c r="BA45" s="541">
        <f t="shared" si="13"/>
        <v>116087.16396892509</v>
      </c>
      <c r="BB45" s="541">
        <f t="shared" si="13"/>
        <v>110863.24159032347</v>
      </c>
      <c r="BC45" s="541">
        <f t="shared" si="13"/>
        <v>105874.39571875891</v>
      </c>
      <c r="BD45" s="541">
        <f t="shared" si="13"/>
        <v>101110.04791141476</v>
      </c>
      <c r="BE45" s="541">
        <f t="shared" si="13"/>
        <v>96560.095755401097</v>
      </c>
      <c r="BF45" s="541">
        <f t="shared" si="13"/>
        <v>92214.891446408044</v>
      </c>
      <c r="BG45" s="541">
        <f t="shared" si="13"/>
        <v>88065.221331319684</v>
      </c>
      <c r="BH45" s="541">
        <f t="shared" si="13"/>
        <v>84102.2863714103</v>
      </c>
      <c r="BI45" s="541">
        <f t="shared" si="13"/>
        <v>80317.683484696841</v>
      </c>
      <c r="BJ45" s="541">
        <f t="shared" si="13"/>
        <v>76703.387727885478</v>
      </c>
      <c r="BK45" s="541">
        <f t="shared" si="13"/>
        <v>73251.735280130626</v>
      </c>
      <c r="BL45" s="541">
        <f t="shared" si="13"/>
        <v>69955.407192524755</v>
      </c>
      <c r="BM45" s="541">
        <f t="shared" si="13"/>
        <v>66807.413868861142</v>
      </c>
      <c r="BN45" s="541">
        <f t="shared" si="13"/>
        <v>63801.080244762394</v>
      </c>
      <c r="BO45" s="541">
        <f t="shared" si="13"/>
        <v>60930.031633748084</v>
      </c>
      <c r="BP45" s="541">
        <f t="shared" si="13"/>
        <v>58188.180210229417</v>
      </c>
      <c r="BQ45" s="541">
        <f t="shared" si="13"/>
        <v>55569.712100769095</v>
      </c>
      <c r="BR45" s="541">
        <f t="shared" si="13"/>
        <v>53069.075056234484</v>
      </c>
      <c r="BS45" s="541">
        <f t="shared" si="13"/>
        <v>50680.966678703931</v>
      </c>
      <c r="BT45" s="541">
        <f t="shared" si="13"/>
        <v>48400.323178162253</v>
      </c>
      <c r="BU45" s="541">
        <f t="shared" si="13"/>
        <v>46222.308635144953</v>
      </c>
      <c r="BV45" s="541">
        <f t="shared" si="13"/>
        <v>44142.30474656343</v>
      </c>
      <c r="BW45" s="541">
        <f t="shared" si="13"/>
        <v>42155.901032968075</v>
      </c>
      <c r="BX45" s="541">
        <f t="shared" si="13"/>
        <v>40258.885486484513</v>
      </c>
      <c r="BY45" s="541">
        <f t="shared" si="13"/>
        <v>38447.235639592713</v>
      </c>
      <c r="BZ45" s="541">
        <f t="shared" si="13"/>
        <v>36717.110035811042</v>
      </c>
      <c r="CA45" s="541">
        <f t="shared" si="13"/>
        <v>35064.840084199546</v>
      </c>
      <c r="CB45" s="541">
        <f t="shared" si="13"/>
        <v>33486.922280410567</v>
      </c>
      <c r="CC45" s="541">
        <f t="shared" si="13"/>
        <v>31980.010777792093</v>
      </c>
      <c r="CD45" s="541">
        <f t="shared" si="13"/>
        <v>30540.91029279145</v>
      </c>
      <c r="CE45" s="541">
        <f t="shared" si="13"/>
        <v>29166.569329615835</v>
      </c>
      <c r="CF45" s="541">
        <f t="shared" si="13"/>
        <v>27854.073709783122</v>
      </c>
      <c r="CG45" s="541">
        <f t="shared" si="13"/>
        <v>26600.640392842881</v>
      </c>
      <c r="CH45" s="541">
        <f t="shared" si="13"/>
        <v>25403.611575164952</v>
      </c>
      <c r="CI45" s="541">
        <f t="shared" si="13"/>
        <v>24260.44905428253</v>
      </c>
      <c r="CJ45" s="541">
        <f t="shared" si="13"/>
        <v>23168.728846839815</v>
      </c>
      <c r="CK45" s="541">
        <f t="shared" si="13"/>
        <v>22126.136048732023</v>
      </c>
      <c r="CL45" s="541">
        <f t="shared" si="13"/>
        <v>21130.459926539083</v>
      </c>
      <c r="CM45" s="541">
        <f t="shared" si="13"/>
        <v>20179.589229844823</v>
      </c>
      <c r="CN45" s="541">
        <f t="shared" si="13"/>
        <v>19271.507714501808</v>
      </c>
      <c r="CO45" s="541">
        <f t="shared" si="13"/>
        <v>18404.289867349227</v>
      </c>
      <c r="CP45" s="541">
        <f t="shared" si="13"/>
        <v>17576.096823318512</v>
      </c>
      <c r="CQ45" s="541">
        <f t="shared" si="13"/>
        <v>16785.172466269178</v>
      </c>
      <c r="CR45" s="541">
        <f t="shared" si="13"/>
        <v>16029.839705287064</v>
      </c>
      <c r="CS45" s="541">
        <f t="shared" si="13"/>
        <v>15308.496918549146</v>
      </c>
      <c r="CT45" s="541">
        <f t="shared" si="13"/>
        <v>14619.614557214434</v>
      </c>
      <c r="CU45" s="541">
        <f t="shared" si="13"/>
        <v>13961.731902139785</v>
      </c>
      <c r="CV45" s="541">
        <f t="shared" si="13"/>
        <v>13333.453966543495</v>
      </c>
      <c r="CW45" s="541">
        <f t="shared" si="13"/>
        <v>12733.448538049037</v>
      </c>
      <c r="CX45" s="541">
        <f t="shared" si="13"/>
        <v>12160.44335383683</v>
      </c>
      <c r="CY45" s="541">
        <f t="shared" si="13"/>
        <v>11613.223402914173</v>
      </c>
      <c r="CZ45" s="541">
        <f t="shared" si="13"/>
        <v>11090.628349783035</v>
      </c>
      <c r="DA45" s="541">
        <f t="shared" si="13"/>
        <v>10591.5500740428</v>
      </c>
      <c r="DB45" s="541">
        <f t="shared" si="13"/>
        <v>10114.930320710873</v>
      </c>
      <c r="DC45" s="541">
        <f t="shared" si="13"/>
        <v>9659.7584562788834</v>
      </c>
      <c r="DD45" s="541">
        <f t="shared" si="13"/>
        <v>9225.0693257463336</v>
      </c>
      <c r="DE45" s="541">
        <f t="shared" si="13"/>
        <v>8809.9412060877494</v>
      </c>
      <c r="DF45" s="541">
        <f t="shared" si="13"/>
        <v>8413.4938518138006</v>
      </c>
      <c r="DG45" s="541">
        <f t="shared" si="13"/>
        <v>8034.8866284821797</v>
      </c>
      <c r="DH45" s="541">
        <f t="shared" si="13"/>
        <v>7673.3167302004813</v>
      </c>
      <c r="DI45" s="541">
        <f t="shared" si="13"/>
        <v>7328.0174773414601</v>
      </c>
      <c r="DJ45" s="541">
        <f t="shared" si="13"/>
        <v>6998.2566908610943</v>
      </c>
      <c r="DK45" s="541">
        <f t="shared" si="13"/>
        <v>6683.3351397723454</v>
      </c>
      <c r="DL45" s="541">
        <f t="shared" si="13"/>
        <v>6382.5850584825903</v>
      </c>
      <c r="DM45" s="541">
        <f t="shared" si="13"/>
        <v>6095.3687308508734</v>
      </c>
      <c r="DN45" s="541">
        <f t="shared" si="13"/>
        <v>5821.0771379625839</v>
      </c>
      <c r="DO45" s="541">
        <f t="shared" si="13"/>
        <v>5559.1286667542681</v>
      </c>
      <c r="DP45" s="541">
        <f t="shared" si="13"/>
        <v>5308.9678767503265</v>
      </c>
      <c r="DQ45" s="541">
        <f t="shared" si="13"/>
        <v>5070.0643222965618</v>
      </c>
      <c r="DR45" s="541">
        <f t="shared" si="13"/>
        <v>4841.9114277932167</v>
      </c>
      <c r="DS45" s="541">
        <f t="shared" si="13"/>
        <v>4624.0254135425221</v>
      </c>
      <c r="DT45" s="541">
        <f t="shared" si="13"/>
        <v>4415.9442699331084</v>
      </c>
      <c r="DU45" s="541">
        <f t="shared" si="13"/>
        <v>4217.2267777861189</v>
      </c>
      <c r="DV45" s="541">
        <f t="shared" si="13"/>
        <v>4027.4515727857433</v>
      </c>
      <c r="DW45" s="541">
        <f t="shared" si="13"/>
        <v>3846.2162520103848</v>
      </c>
      <c r="DX45" s="541">
        <f t="shared" si="13"/>
        <v>3673.1365206699174</v>
      </c>
      <c r="DY45" s="541">
        <f t="shared" si="13"/>
        <v>3507.8453772397711</v>
      </c>
      <c r="DZ45" s="541">
        <f t="shared" si="13"/>
        <v>3349.9923352639812</v>
      </c>
      <c r="EA45" s="541">
        <f t="shared" si="13"/>
        <v>3199.2426801771021</v>
      </c>
      <c r="EB45" s="541">
        <f t="shared" si="13"/>
        <v>3055.2767595691325</v>
      </c>
      <c r="EC45" s="541">
        <f t="shared" si="13"/>
        <v>0</v>
      </c>
      <c r="ED45" s="541">
        <f t="shared" si="13"/>
        <v>0</v>
      </c>
      <c r="EE45" s="541">
        <f t="shared" si="13"/>
        <v>0</v>
      </c>
      <c r="EF45" s="541">
        <f t="shared" si="13"/>
        <v>0</v>
      </c>
      <c r="EG45" s="541">
        <f t="shared" si="13"/>
        <v>0</v>
      </c>
    </row>
    <row r="48" spans="1:1" ht="12.75">
      <c r="A48" s="534" t="s">
        <v>288</v>
      </c>
    </row>
    <row r="50" spans="2:2" ht="12.75">
      <c r="B50" s="534" t="s">
        <v>289</v>
      </c>
    </row>
    <row r="51" spans="5:7" ht="12.75">
      <c r="E51" s="535" t="str">
        <f>Time!E$21</f>
        <v>End of construction period date</v>
      </c>
      <c r="F51" s="536">
        <f>Time!F$21</f>
        <v>47118</v>
      </c>
      <c r="G51" s="536" t="str">
        <f>Time!G$21</f>
        <v>date</v>
      </c>
    </row>
    <row r="52" spans="5:137" ht="12.75">
      <c r="E52" s="535" t="str">
        <f>Cons!E$185</f>
        <v>Financing costs - capitalised in the period</v>
      </c>
      <c r="G52" s="537" t="str">
        <f>Cons!G$185</f>
        <v>EUR 000s</v>
      </c>
      <c r="H52" s="537">
        <f>Cons!H$185</f>
        <v>16238.00811257573</v>
      </c>
      <c r="J52" s="537">
        <f>Cons!J$185</f>
        <v>0</v>
      </c>
      <c r="K52" s="537">
        <f>Cons!K$185</f>
        <v>0</v>
      </c>
      <c r="L52" s="537">
        <f>Cons!L$185</f>
        <v>3319.2997186657749</v>
      </c>
      <c r="M52" s="537">
        <f>Cons!M$185</f>
        <v>109.12766198353233</v>
      </c>
      <c r="N52" s="537">
        <f>Cons!N$185</f>
        <v>121.79623016837154</v>
      </c>
      <c r="O52" s="537">
        <f>Cons!O$185</f>
        <v>126.82273047668302</v>
      </c>
      <c r="P52" s="537">
        <f>Cons!P$185</f>
        <v>140.08113427796059</v>
      </c>
      <c r="Q52" s="537">
        <f>Cons!Q$185</f>
        <v>140.30407948344003</v>
      </c>
      <c r="R52" s="537">
        <f>Cons!R$185</f>
        <v>206.01583186568772</v>
      </c>
      <c r="S52" s="537">
        <f>Cons!S$185</f>
        <v>341.62601566252641</v>
      </c>
      <c r="T52" s="537">
        <f>Cons!T$185</f>
        <v>405.66480600759223</v>
      </c>
      <c r="U52" s="537">
        <f>Cons!U$185</f>
        <v>498.82585318476447</v>
      </c>
      <c r="V52" s="537">
        <f>Cons!V$185</f>
        <v>577.96066243747043</v>
      </c>
      <c r="W52" s="537">
        <f>Cons!W$185</f>
        <v>608.6230988464788</v>
      </c>
      <c r="X52" s="537">
        <f>Cons!X$185</f>
        <v>722.34396752895066</v>
      </c>
      <c r="Y52" s="537">
        <f>Cons!Y$185</f>
        <v>760.26240454969547</v>
      </c>
      <c r="Z52" s="537">
        <f>Cons!Z$185</f>
        <v>840.38367819110817</v>
      </c>
      <c r="AA52" s="537">
        <f>Cons!AA$185</f>
        <v>862.10547747196665</v>
      </c>
      <c r="AB52" s="537">
        <f>Cons!AB$185</f>
        <v>949.76575292385382</v>
      </c>
      <c r="AC52" s="537">
        <f>Cons!AC$185</f>
        <v>1013.5686303825973</v>
      </c>
      <c r="AD52" s="537">
        <f>Cons!AD$185</f>
        <v>1042.7531864660605</v>
      </c>
      <c r="AE52" s="537">
        <f>Cons!AE$185</f>
        <v>1134.0203250207289</v>
      </c>
      <c r="AF52" s="537">
        <f>Cons!AF$185</f>
        <v>1128.0414999061579</v>
      </c>
      <c r="AG52" s="537">
        <f>Cons!AG$185</f>
        <v>1188.615367074329</v>
      </c>
      <c r="AH52" s="537">
        <f>Cons!AH$185</f>
        <v>0</v>
      </c>
      <c r="AI52" s="537">
        <f>Cons!AI$185</f>
        <v>0</v>
      </c>
      <c r="AJ52" s="537">
        <f>Cons!AJ$185</f>
        <v>0</v>
      </c>
      <c r="AK52" s="537">
        <f>Cons!AK$185</f>
        <v>0</v>
      </c>
      <c r="AL52" s="537">
        <f>Cons!AL$185</f>
        <v>0</v>
      </c>
      <c r="AM52" s="537">
        <f>Cons!AM$185</f>
        <v>0</v>
      </c>
      <c r="AN52" s="537">
        <f>Cons!AN$185</f>
        <v>0</v>
      </c>
      <c r="AO52" s="537">
        <f>Cons!AO$185</f>
        <v>0</v>
      </c>
      <c r="AP52" s="537">
        <f>Cons!AP$185</f>
        <v>0</v>
      </c>
      <c r="AQ52" s="537">
        <f>Cons!AQ$185</f>
        <v>0</v>
      </c>
      <c r="AR52" s="537">
        <f>Cons!AR$185</f>
        <v>0</v>
      </c>
      <c r="AS52" s="537">
        <f>Cons!AS$185</f>
        <v>0</v>
      </c>
      <c r="AT52" s="537">
        <f>Cons!AT$185</f>
        <v>0</v>
      </c>
      <c r="AU52" s="537">
        <f>Cons!AU$185</f>
        <v>0</v>
      </c>
      <c r="AV52" s="537">
        <f>Cons!AV$185</f>
        <v>0</v>
      </c>
      <c r="AW52" s="537">
        <f>Cons!AW$185</f>
        <v>0</v>
      </c>
      <c r="AX52" s="537">
        <f>Cons!AX$185</f>
        <v>0</v>
      </c>
      <c r="AY52" s="537">
        <f>Cons!AY$185</f>
        <v>0</v>
      </c>
      <c r="AZ52" s="537">
        <f>Cons!AZ$185</f>
        <v>0</v>
      </c>
      <c r="BA52" s="537">
        <f>Cons!BA$185</f>
        <v>0</v>
      </c>
      <c r="BB52" s="537">
        <f>Cons!BB$185</f>
        <v>0</v>
      </c>
      <c r="BC52" s="537">
        <f>Cons!BC$185</f>
        <v>0</v>
      </c>
      <c r="BD52" s="537">
        <f>Cons!BD$185</f>
        <v>0</v>
      </c>
      <c r="BE52" s="537">
        <f>Cons!BE$185</f>
        <v>0</v>
      </c>
      <c r="BF52" s="537">
        <f>Cons!BF$185</f>
        <v>0</v>
      </c>
      <c r="BG52" s="537">
        <f>Cons!BG$185</f>
        <v>0</v>
      </c>
      <c r="BH52" s="537">
        <f>Cons!BH$185</f>
        <v>0</v>
      </c>
      <c r="BI52" s="537">
        <f>Cons!BI$185</f>
        <v>0</v>
      </c>
      <c r="BJ52" s="537">
        <f>Cons!BJ$185</f>
        <v>0</v>
      </c>
      <c r="BK52" s="537">
        <f>Cons!BK$185</f>
        <v>0</v>
      </c>
      <c r="BL52" s="537">
        <f>Cons!BL$185</f>
        <v>0</v>
      </c>
      <c r="BM52" s="537">
        <f>Cons!BM$185</f>
        <v>0</v>
      </c>
      <c r="BN52" s="537">
        <f>Cons!BN$185</f>
        <v>0</v>
      </c>
      <c r="BO52" s="537">
        <f>Cons!BO$185</f>
        <v>0</v>
      </c>
      <c r="BP52" s="537">
        <f>Cons!BP$185</f>
        <v>0</v>
      </c>
      <c r="BQ52" s="537">
        <f>Cons!BQ$185</f>
        <v>0</v>
      </c>
      <c r="BR52" s="537">
        <f>Cons!BR$185</f>
        <v>0</v>
      </c>
      <c r="BS52" s="537">
        <f>Cons!BS$185</f>
        <v>0</v>
      </c>
      <c r="BT52" s="537">
        <f>Cons!BT$185</f>
        <v>0</v>
      </c>
      <c r="BU52" s="537">
        <f>Cons!BU$185</f>
        <v>0</v>
      </c>
      <c r="BV52" s="537">
        <f>Cons!BV$185</f>
        <v>0</v>
      </c>
      <c r="BW52" s="537">
        <f>Cons!BW$185</f>
        <v>0</v>
      </c>
      <c r="BX52" s="537">
        <f>Cons!BX$185</f>
        <v>0</v>
      </c>
      <c r="BY52" s="537">
        <f>Cons!BY$185</f>
        <v>0</v>
      </c>
      <c r="BZ52" s="537">
        <f>Cons!BZ$185</f>
        <v>0</v>
      </c>
      <c r="CA52" s="537">
        <f>Cons!CA$185</f>
        <v>0</v>
      </c>
      <c r="CB52" s="537">
        <f>Cons!CB$185</f>
        <v>0</v>
      </c>
      <c r="CC52" s="537">
        <f>Cons!CC$185</f>
        <v>0</v>
      </c>
      <c r="CD52" s="537">
        <f>Cons!CD$185</f>
        <v>0</v>
      </c>
      <c r="CE52" s="537">
        <f>Cons!CE$185</f>
        <v>0</v>
      </c>
      <c r="CF52" s="537">
        <f>Cons!CF$185</f>
        <v>0</v>
      </c>
      <c r="CG52" s="537">
        <f>Cons!CG$185</f>
        <v>0</v>
      </c>
      <c r="CH52" s="537">
        <f>Cons!CH$185</f>
        <v>0</v>
      </c>
      <c r="CI52" s="537">
        <f>Cons!CI$185</f>
        <v>0</v>
      </c>
      <c r="CJ52" s="537">
        <f>Cons!CJ$185</f>
        <v>0</v>
      </c>
      <c r="CK52" s="537">
        <f>Cons!CK$185</f>
        <v>0</v>
      </c>
      <c r="CL52" s="537">
        <f>Cons!CL$185</f>
        <v>0</v>
      </c>
      <c r="CM52" s="537">
        <f>Cons!CM$185</f>
        <v>0</v>
      </c>
      <c r="CN52" s="537">
        <f>Cons!CN$185</f>
        <v>0</v>
      </c>
      <c r="CO52" s="537">
        <f>Cons!CO$185</f>
        <v>0</v>
      </c>
      <c r="CP52" s="537">
        <f>Cons!CP$185</f>
        <v>0</v>
      </c>
      <c r="CQ52" s="537">
        <f>Cons!CQ$185</f>
        <v>0</v>
      </c>
      <c r="CR52" s="537">
        <f>Cons!CR$185</f>
        <v>0</v>
      </c>
      <c r="CS52" s="537">
        <f>Cons!CS$185</f>
        <v>0</v>
      </c>
      <c r="CT52" s="537">
        <f>Cons!CT$185</f>
        <v>0</v>
      </c>
      <c r="CU52" s="537">
        <f>Cons!CU$185</f>
        <v>0</v>
      </c>
      <c r="CV52" s="537">
        <f>Cons!CV$185</f>
        <v>0</v>
      </c>
      <c r="CW52" s="537">
        <f>Cons!CW$185</f>
        <v>0</v>
      </c>
      <c r="CX52" s="537">
        <f>Cons!CX$185</f>
        <v>0</v>
      </c>
      <c r="CY52" s="537">
        <f>Cons!CY$185</f>
        <v>0</v>
      </c>
      <c r="CZ52" s="537">
        <f>Cons!CZ$185</f>
        <v>0</v>
      </c>
      <c r="DA52" s="537">
        <f>Cons!DA$185</f>
        <v>0</v>
      </c>
      <c r="DB52" s="537">
        <f>Cons!DB$185</f>
        <v>0</v>
      </c>
      <c r="DC52" s="537">
        <f>Cons!DC$185</f>
        <v>0</v>
      </c>
      <c r="DD52" s="537">
        <f>Cons!DD$185</f>
        <v>0</v>
      </c>
      <c r="DE52" s="537">
        <f>Cons!DE$185</f>
        <v>0</v>
      </c>
      <c r="DF52" s="537">
        <f>Cons!DF$185</f>
        <v>0</v>
      </c>
      <c r="DG52" s="537">
        <f>Cons!DG$185</f>
        <v>0</v>
      </c>
      <c r="DH52" s="537">
        <f>Cons!DH$185</f>
        <v>0</v>
      </c>
      <c r="DI52" s="537">
        <f>Cons!DI$185</f>
        <v>0</v>
      </c>
      <c r="DJ52" s="537">
        <f>Cons!DJ$185</f>
        <v>0</v>
      </c>
      <c r="DK52" s="537">
        <f>Cons!DK$185</f>
        <v>0</v>
      </c>
      <c r="DL52" s="537">
        <f>Cons!DL$185</f>
        <v>0</v>
      </c>
      <c r="DM52" s="537">
        <f>Cons!DM$185</f>
        <v>0</v>
      </c>
      <c r="DN52" s="537">
        <f>Cons!DN$185</f>
        <v>0</v>
      </c>
      <c r="DO52" s="537">
        <f>Cons!DO$185</f>
        <v>0</v>
      </c>
      <c r="DP52" s="537">
        <f>Cons!DP$185</f>
        <v>0</v>
      </c>
      <c r="DQ52" s="537">
        <f>Cons!DQ$185</f>
        <v>0</v>
      </c>
      <c r="DR52" s="537">
        <f>Cons!DR$185</f>
        <v>0</v>
      </c>
      <c r="DS52" s="537">
        <f>Cons!DS$185</f>
        <v>0</v>
      </c>
      <c r="DT52" s="537">
        <f>Cons!DT$185</f>
        <v>0</v>
      </c>
      <c r="DU52" s="537">
        <f>Cons!DU$185</f>
        <v>0</v>
      </c>
      <c r="DV52" s="537">
        <f>Cons!DV$185</f>
        <v>0</v>
      </c>
      <c r="DW52" s="537">
        <f>Cons!DW$185</f>
        <v>0</v>
      </c>
      <c r="DX52" s="537">
        <f>Cons!DX$185</f>
        <v>0</v>
      </c>
      <c r="DY52" s="537">
        <f>Cons!DY$185</f>
        <v>0</v>
      </c>
      <c r="DZ52" s="537">
        <f>Cons!DZ$185</f>
        <v>0</v>
      </c>
      <c r="EA52" s="537">
        <f>Cons!EA$185</f>
        <v>0</v>
      </c>
      <c r="EB52" s="537">
        <f>Cons!EB$185</f>
        <v>0</v>
      </c>
      <c r="EC52" s="537">
        <f>Cons!EC$185</f>
        <v>0</v>
      </c>
      <c r="ED52" s="537">
        <f>Cons!ED$185</f>
        <v>0</v>
      </c>
      <c r="EE52" s="537">
        <f>Cons!EE$185</f>
        <v>0</v>
      </c>
      <c r="EF52" s="537">
        <f>Cons!EF$185</f>
        <v>0</v>
      </c>
      <c r="EG52" s="537">
        <f>Cons!EG$185</f>
        <v>0</v>
      </c>
    </row>
    <row r="53" spans="5:137" ht="12.75">
      <c r="E53" s="535" t="str">
        <f>Time!E$50</f>
        <v>Model period ending</v>
      </c>
      <c r="G53" s="536" t="str">
        <f>Time!G$50</f>
        <v>date</v>
      </c>
      <c r="J53" s="536">
        <f>Time!J$50</f>
        <v>46418</v>
      </c>
      <c r="K53" s="536">
        <f>Time!K$50</f>
        <v>46446</v>
      </c>
      <c r="L53" s="536">
        <f>Time!L$50</f>
        <v>46477</v>
      </c>
      <c r="M53" s="536">
        <f>Time!M$50</f>
        <v>46507</v>
      </c>
      <c r="N53" s="536">
        <f>Time!N$50</f>
        <v>46538</v>
      </c>
      <c r="O53" s="536">
        <f>Time!O$50</f>
        <v>46568</v>
      </c>
      <c r="P53" s="536">
        <f>Time!P$50</f>
        <v>46599</v>
      </c>
      <c r="Q53" s="536">
        <f>Time!Q$50</f>
        <v>46630</v>
      </c>
      <c r="R53" s="536">
        <f>Time!R$50</f>
        <v>46660</v>
      </c>
      <c r="S53" s="536">
        <f>Time!S$50</f>
        <v>46691</v>
      </c>
      <c r="T53" s="536">
        <f>Time!T$50</f>
        <v>46721</v>
      </c>
      <c r="U53" s="536">
        <f>Time!U$50</f>
        <v>46752</v>
      </c>
      <c r="V53" s="536">
        <f>Time!V$50</f>
        <v>46783</v>
      </c>
      <c r="W53" s="536">
        <f>Time!W$50</f>
        <v>46812</v>
      </c>
      <c r="X53" s="536">
        <f>Time!X$50</f>
        <v>46843</v>
      </c>
      <c r="Y53" s="536">
        <f>Time!Y$50</f>
        <v>46873</v>
      </c>
      <c r="Z53" s="536">
        <f>Time!Z$50</f>
        <v>46904</v>
      </c>
      <c r="AA53" s="536">
        <f>Time!AA$50</f>
        <v>46934</v>
      </c>
      <c r="AB53" s="536">
        <f>Time!AB$50</f>
        <v>46965</v>
      </c>
      <c r="AC53" s="536">
        <f>Time!AC$50</f>
        <v>46996</v>
      </c>
      <c r="AD53" s="536">
        <f>Time!AD$50</f>
        <v>47026</v>
      </c>
      <c r="AE53" s="536">
        <f>Time!AE$50</f>
        <v>47057</v>
      </c>
      <c r="AF53" s="536">
        <f>Time!AF$50</f>
        <v>47087</v>
      </c>
      <c r="AG53" s="536">
        <f>Time!AG$50</f>
        <v>47118</v>
      </c>
      <c r="AH53" s="536">
        <f>Time!AH$50</f>
        <v>47208</v>
      </c>
      <c r="AI53" s="536">
        <f>Time!AI$50</f>
        <v>47299</v>
      </c>
      <c r="AJ53" s="536">
        <f>Time!AJ$50</f>
        <v>47391</v>
      </c>
      <c r="AK53" s="536">
        <f>Time!AK$50</f>
        <v>47483</v>
      </c>
      <c r="AL53" s="536">
        <f>Time!AL$50</f>
        <v>47573</v>
      </c>
      <c r="AM53" s="536">
        <f>Time!AM$50</f>
        <v>47664</v>
      </c>
      <c r="AN53" s="536">
        <f>Time!AN$50</f>
        <v>47756</v>
      </c>
      <c r="AO53" s="536">
        <f>Time!AO$50</f>
        <v>47848</v>
      </c>
      <c r="AP53" s="536">
        <f>Time!AP$50</f>
        <v>47938</v>
      </c>
      <c r="AQ53" s="536">
        <f>Time!AQ$50</f>
        <v>48029</v>
      </c>
      <c r="AR53" s="536">
        <f>Time!AR$50</f>
        <v>48121</v>
      </c>
      <c r="AS53" s="536">
        <f>Time!AS$50</f>
        <v>48213</v>
      </c>
      <c r="AT53" s="536">
        <f>Time!AT$50</f>
        <v>48304</v>
      </c>
      <c r="AU53" s="536">
        <f>Time!AU$50</f>
        <v>48395</v>
      </c>
      <c r="AV53" s="536">
        <f>Time!AV$50</f>
        <v>48487</v>
      </c>
      <c r="AW53" s="536">
        <f>Time!AW$50</f>
        <v>48579</v>
      </c>
      <c r="AX53" s="536">
        <f>Time!AX$50</f>
        <v>48669</v>
      </c>
      <c r="AY53" s="536">
        <f>Time!AY$50</f>
        <v>48760</v>
      </c>
      <c r="AZ53" s="536">
        <f>Time!AZ$50</f>
        <v>48852</v>
      </c>
      <c r="BA53" s="536">
        <f>Time!BA$50</f>
        <v>48944</v>
      </c>
      <c r="BB53" s="536">
        <f>Time!BB$50</f>
        <v>49034</v>
      </c>
      <c r="BC53" s="536">
        <f>Time!BC$50</f>
        <v>49125</v>
      </c>
      <c r="BD53" s="536">
        <f>Time!BD$50</f>
        <v>49217</v>
      </c>
      <c r="BE53" s="536">
        <f>Time!BE$50</f>
        <v>49309</v>
      </c>
      <c r="BF53" s="536">
        <f>Time!BF$50</f>
        <v>49399</v>
      </c>
      <c r="BG53" s="536">
        <f>Time!BG$50</f>
        <v>49490</v>
      </c>
      <c r="BH53" s="536">
        <f>Time!BH$50</f>
        <v>49582</v>
      </c>
      <c r="BI53" s="536">
        <f>Time!BI$50</f>
        <v>49674</v>
      </c>
      <c r="BJ53" s="536">
        <f>Time!BJ$50</f>
        <v>49765</v>
      </c>
      <c r="BK53" s="536">
        <f>Time!BK$50</f>
        <v>49856</v>
      </c>
      <c r="BL53" s="536">
        <f>Time!BL$50</f>
        <v>49948</v>
      </c>
      <c r="BM53" s="536">
        <f>Time!BM$50</f>
        <v>50040</v>
      </c>
      <c r="BN53" s="536">
        <f>Time!BN$50</f>
        <v>50130</v>
      </c>
      <c r="BO53" s="536">
        <f>Time!BO$50</f>
        <v>50221</v>
      </c>
      <c r="BP53" s="536">
        <f>Time!BP$50</f>
        <v>50313</v>
      </c>
      <c r="BQ53" s="536">
        <f>Time!BQ$50</f>
        <v>50405</v>
      </c>
      <c r="BR53" s="536">
        <f>Time!BR$50</f>
        <v>50495</v>
      </c>
      <c r="BS53" s="536">
        <f>Time!BS$50</f>
        <v>50586</v>
      </c>
      <c r="BT53" s="536">
        <f>Time!BT$50</f>
        <v>50678</v>
      </c>
      <c r="BU53" s="536">
        <f>Time!BU$50</f>
        <v>50770</v>
      </c>
      <c r="BV53" s="536">
        <f>Time!BV$50</f>
        <v>50860</v>
      </c>
      <c r="BW53" s="536">
        <f>Time!BW$50</f>
        <v>50951</v>
      </c>
      <c r="BX53" s="536">
        <f>Time!BX$50</f>
        <v>51043</v>
      </c>
      <c r="BY53" s="536">
        <f>Time!BY$50</f>
        <v>51135</v>
      </c>
      <c r="BZ53" s="536">
        <f>Time!BZ$50</f>
        <v>51226</v>
      </c>
      <c r="CA53" s="536">
        <f>Time!CA$50</f>
        <v>51317</v>
      </c>
      <c r="CB53" s="536">
        <f>Time!CB$50</f>
        <v>51409</v>
      </c>
      <c r="CC53" s="536">
        <f>Time!CC$50</f>
        <v>51501</v>
      </c>
      <c r="CD53" s="536">
        <f>Time!CD$50</f>
        <v>51591</v>
      </c>
      <c r="CE53" s="536">
        <f>Time!CE$50</f>
        <v>51682</v>
      </c>
      <c r="CF53" s="536">
        <f>Time!CF$50</f>
        <v>51774</v>
      </c>
      <c r="CG53" s="536">
        <f>Time!CG$50</f>
        <v>51866</v>
      </c>
      <c r="CH53" s="536">
        <f>Time!CH$50</f>
        <v>51956</v>
      </c>
      <c r="CI53" s="536">
        <f>Time!CI$50</f>
        <v>52047</v>
      </c>
      <c r="CJ53" s="536">
        <f>Time!CJ$50</f>
        <v>52139</v>
      </c>
      <c r="CK53" s="536">
        <f>Time!CK$50</f>
        <v>52231</v>
      </c>
      <c r="CL53" s="536">
        <f>Time!CL$50</f>
        <v>52321</v>
      </c>
      <c r="CM53" s="536">
        <f>Time!CM$50</f>
        <v>52412</v>
      </c>
      <c r="CN53" s="536">
        <f>Time!CN$50</f>
        <v>52504</v>
      </c>
      <c r="CO53" s="536">
        <f>Time!CO$50</f>
        <v>52596</v>
      </c>
      <c r="CP53" s="536">
        <f>Time!CP$50</f>
        <v>52687</v>
      </c>
      <c r="CQ53" s="536">
        <f>Time!CQ$50</f>
        <v>52778</v>
      </c>
      <c r="CR53" s="536">
        <f>Time!CR$50</f>
        <v>52870</v>
      </c>
      <c r="CS53" s="536">
        <f>Time!CS$50</f>
        <v>52962</v>
      </c>
      <c r="CT53" s="536">
        <f>Time!CT$50</f>
        <v>53052</v>
      </c>
      <c r="CU53" s="536">
        <f>Time!CU$50</f>
        <v>53143</v>
      </c>
      <c r="CV53" s="536">
        <f>Time!CV$50</f>
        <v>53235</v>
      </c>
      <c r="CW53" s="536">
        <f>Time!CW$50</f>
        <v>53327</v>
      </c>
      <c r="CX53" s="536">
        <f>Time!CX$50</f>
        <v>53417</v>
      </c>
      <c r="CY53" s="536">
        <f>Time!CY$50</f>
        <v>53508</v>
      </c>
      <c r="CZ53" s="536">
        <f>Time!CZ$50</f>
        <v>53600</v>
      </c>
      <c r="DA53" s="536">
        <f>Time!DA$50</f>
        <v>53692</v>
      </c>
      <c r="DB53" s="536">
        <f>Time!DB$50</f>
        <v>53782</v>
      </c>
      <c r="DC53" s="536">
        <f>Time!DC$50</f>
        <v>53873</v>
      </c>
      <c r="DD53" s="536">
        <f>Time!DD$50</f>
        <v>53965</v>
      </c>
      <c r="DE53" s="536">
        <f>Time!DE$50</f>
        <v>54057</v>
      </c>
      <c r="DF53" s="536">
        <f>Time!DF$50</f>
        <v>54148</v>
      </c>
      <c r="DG53" s="536">
        <f>Time!DG$50</f>
        <v>54239</v>
      </c>
      <c r="DH53" s="536">
        <f>Time!DH$50</f>
        <v>54331</v>
      </c>
      <c r="DI53" s="536">
        <f>Time!DI$50</f>
        <v>54423</v>
      </c>
      <c r="DJ53" s="536">
        <f>Time!DJ$50</f>
        <v>54513</v>
      </c>
      <c r="DK53" s="536">
        <f>Time!DK$50</f>
        <v>54604</v>
      </c>
      <c r="DL53" s="536">
        <f>Time!DL$50</f>
        <v>54696</v>
      </c>
      <c r="DM53" s="536">
        <f>Time!DM$50</f>
        <v>54788</v>
      </c>
      <c r="DN53" s="536">
        <f>Time!DN$50</f>
        <v>54878</v>
      </c>
      <c r="DO53" s="536">
        <f>Time!DO$50</f>
        <v>54969</v>
      </c>
      <c r="DP53" s="536">
        <f>Time!DP$50</f>
        <v>55061</v>
      </c>
      <c r="DQ53" s="536">
        <f>Time!DQ$50</f>
        <v>55153</v>
      </c>
      <c r="DR53" s="536">
        <f>Time!DR$50</f>
        <v>55243</v>
      </c>
      <c r="DS53" s="536">
        <f>Time!DS$50</f>
        <v>55334</v>
      </c>
      <c r="DT53" s="536">
        <f>Time!DT$50</f>
        <v>55426</v>
      </c>
      <c r="DU53" s="536">
        <f>Time!DU$50</f>
        <v>55518</v>
      </c>
      <c r="DV53" s="536">
        <f>Time!DV$50</f>
        <v>55609</v>
      </c>
      <c r="DW53" s="536">
        <f>Time!DW$50</f>
        <v>55700</v>
      </c>
      <c r="DX53" s="536">
        <f>Time!DX$50</f>
        <v>55792</v>
      </c>
      <c r="DY53" s="536">
        <f>Time!DY$50</f>
        <v>55884</v>
      </c>
      <c r="DZ53" s="536">
        <f>Time!DZ$50</f>
        <v>55974</v>
      </c>
      <c r="EA53" s="536">
        <f>Time!EA$50</f>
        <v>56065</v>
      </c>
      <c r="EB53" s="536">
        <f>Time!EB$50</f>
        <v>56157</v>
      </c>
      <c r="EC53" s="536">
        <f>Time!EC$50</f>
        <v>56249</v>
      </c>
      <c r="ED53" s="536">
        <f>Time!ED$50</f>
        <v>56339</v>
      </c>
      <c r="EE53" s="536">
        <f>Time!EE$50</f>
        <v>56430</v>
      </c>
      <c r="EF53" s="536">
        <f>Time!EF$50</f>
        <v>56522</v>
      </c>
      <c r="EG53" s="536">
        <f>Time!EG$50</f>
        <v>56614</v>
      </c>
    </row>
    <row r="54" spans="5:137" ht="12.75">
      <c r="E54" s="538" t="s">
        <v>290</v>
      </c>
      <c r="G54" s="539" t="s">
        <v>30</v>
      </c>
      <c r="H54" s="539">
        <f>SUM(J54:EG54)</f>
        <v>1856644.1924690155</v>
      </c>
      <c r="J54" s="539">
        <f t="shared" si="14" ref="J54:EG54">I54+IF(J53&lt;=$F51,J52,0)</f>
        <v>0</v>
      </c>
      <c r="K54" s="539">
        <f t="shared" si="14"/>
        <v>0</v>
      </c>
      <c r="L54" s="539">
        <f t="shared" si="14"/>
        <v>3319.2997186657749</v>
      </c>
      <c r="M54" s="539">
        <f t="shared" si="14"/>
        <v>3428.4273806493075</v>
      </c>
      <c r="N54" s="539">
        <f t="shared" si="14"/>
        <v>3550.2236108176789</v>
      </c>
      <c r="O54" s="539">
        <f t="shared" si="14"/>
        <v>3677.0463412943618</v>
      </c>
      <c r="P54" s="539">
        <f t="shared" si="14"/>
        <v>3817.1274755723225</v>
      </c>
      <c r="Q54" s="539">
        <f t="shared" si="14"/>
        <v>3957.4315550557626</v>
      </c>
      <c r="R54" s="539">
        <f t="shared" si="14"/>
        <v>4163.4473869214507</v>
      </c>
      <c r="S54" s="539">
        <f t="shared" si="14"/>
        <v>4505.0734025839774</v>
      </c>
      <c r="T54" s="539">
        <f t="shared" si="14"/>
        <v>4910.7382085915697</v>
      </c>
      <c r="U54" s="539">
        <f t="shared" si="14"/>
        <v>5409.5640617763338</v>
      </c>
      <c r="V54" s="539">
        <f t="shared" si="14"/>
        <v>5987.5247242138039</v>
      </c>
      <c r="W54" s="539">
        <f t="shared" si="14"/>
        <v>6596.1478230602825</v>
      </c>
      <c r="X54" s="539">
        <f t="shared" si="14"/>
        <v>7318.4917905892335</v>
      </c>
      <c r="Y54" s="539">
        <f t="shared" si="14"/>
        <v>8078.7541951389285</v>
      </c>
      <c r="Z54" s="539">
        <f t="shared" si="14"/>
        <v>8919.1378733300371</v>
      </c>
      <c r="AA54" s="539">
        <f t="shared" si="14"/>
        <v>9781.243350802004</v>
      </c>
      <c r="AB54" s="539">
        <f t="shared" si="14"/>
        <v>10731.009103725857</v>
      </c>
      <c r="AC54" s="539">
        <f t="shared" si="14"/>
        <v>11744.577734108454</v>
      </c>
      <c r="AD54" s="539">
        <f t="shared" si="14"/>
        <v>12787.330920574514</v>
      </c>
      <c r="AE54" s="539">
        <f t="shared" si="14"/>
        <v>13921.351245595242</v>
      </c>
      <c r="AF54" s="539">
        <f t="shared" si="14"/>
        <v>15049.3927455014</v>
      </c>
      <c r="AG54" s="539">
        <f t="shared" si="14"/>
        <v>16238.00811257573</v>
      </c>
      <c r="AH54" s="539">
        <f t="shared" si="14"/>
        <v>16238.00811257573</v>
      </c>
      <c r="AI54" s="539">
        <f t="shared" si="14"/>
        <v>16238.00811257573</v>
      </c>
      <c r="AJ54" s="539">
        <f t="shared" si="14"/>
        <v>16238.00811257573</v>
      </c>
      <c r="AK54" s="539">
        <f t="shared" si="14"/>
        <v>16238.00811257573</v>
      </c>
      <c r="AL54" s="539">
        <f t="shared" si="14"/>
        <v>16238.00811257573</v>
      </c>
      <c r="AM54" s="539">
        <f t="shared" si="14"/>
        <v>16238.00811257573</v>
      </c>
      <c r="AN54" s="539">
        <f t="shared" si="14"/>
        <v>16238.00811257573</v>
      </c>
      <c r="AO54" s="539">
        <f t="shared" si="14"/>
        <v>16238.00811257573</v>
      </c>
      <c r="AP54" s="539">
        <f t="shared" si="14"/>
        <v>16238.00811257573</v>
      </c>
      <c r="AQ54" s="539">
        <f t="shared" si="14"/>
        <v>16238.00811257573</v>
      </c>
      <c r="AR54" s="539">
        <f t="shared" si="14"/>
        <v>16238.00811257573</v>
      </c>
      <c r="AS54" s="539">
        <f t="shared" si="14"/>
        <v>16238.00811257573</v>
      </c>
      <c r="AT54" s="539">
        <f t="shared" si="14"/>
        <v>16238.00811257573</v>
      </c>
      <c r="AU54" s="539">
        <f t="shared" si="14"/>
        <v>16238.00811257573</v>
      </c>
      <c r="AV54" s="539">
        <f t="shared" si="14"/>
        <v>16238.00811257573</v>
      </c>
      <c r="AW54" s="539">
        <f t="shared" si="14"/>
        <v>16238.00811257573</v>
      </c>
      <c r="AX54" s="539">
        <f t="shared" si="14"/>
        <v>16238.00811257573</v>
      </c>
      <c r="AY54" s="539">
        <f t="shared" si="14"/>
        <v>16238.00811257573</v>
      </c>
      <c r="AZ54" s="539">
        <f t="shared" si="14"/>
        <v>16238.00811257573</v>
      </c>
      <c r="BA54" s="539">
        <f t="shared" si="14"/>
        <v>16238.00811257573</v>
      </c>
      <c r="BB54" s="539">
        <f t="shared" si="14"/>
        <v>16238.00811257573</v>
      </c>
      <c r="BC54" s="539">
        <f t="shared" si="14"/>
        <v>16238.00811257573</v>
      </c>
      <c r="BD54" s="539">
        <f t="shared" si="14"/>
        <v>16238.00811257573</v>
      </c>
      <c r="BE54" s="539">
        <f t="shared" si="14"/>
        <v>16238.00811257573</v>
      </c>
      <c r="BF54" s="539">
        <f t="shared" si="14"/>
        <v>16238.00811257573</v>
      </c>
      <c r="BG54" s="539">
        <f t="shared" si="14"/>
        <v>16238.00811257573</v>
      </c>
      <c r="BH54" s="539">
        <f t="shared" si="14"/>
        <v>16238.00811257573</v>
      </c>
      <c r="BI54" s="539">
        <f t="shared" si="14"/>
        <v>16238.00811257573</v>
      </c>
      <c r="BJ54" s="539">
        <f t="shared" si="14"/>
        <v>16238.00811257573</v>
      </c>
      <c r="BK54" s="539">
        <f t="shared" si="14"/>
        <v>16238.00811257573</v>
      </c>
      <c r="BL54" s="539">
        <f t="shared" si="14"/>
        <v>16238.00811257573</v>
      </c>
      <c r="BM54" s="539">
        <f t="shared" si="14"/>
        <v>16238.00811257573</v>
      </c>
      <c r="BN54" s="539">
        <f t="shared" si="14"/>
        <v>16238.00811257573</v>
      </c>
      <c r="BO54" s="539">
        <f t="shared" si="14"/>
        <v>16238.00811257573</v>
      </c>
      <c r="BP54" s="539">
        <f t="shared" si="14"/>
        <v>16238.00811257573</v>
      </c>
      <c r="BQ54" s="539">
        <f t="shared" si="14"/>
        <v>16238.00811257573</v>
      </c>
      <c r="BR54" s="539">
        <f t="shared" si="14"/>
        <v>16238.00811257573</v>
      </c>
      <c r="BS54" s="539">
        <f t="shared" si="14"/>
        <v>16238.00811257573</v>
      </c>
      <c r="BT54" s="539">
        <f t="shared" si="14"/>
        <v>16238.00811257573</v>
      </c>
      <c r="BU54" s="539">
        <f t="shared" si="14"/>
        <v>16238.00811257573</v>
      </c>
      <c r="BV54" s="539">
        <f t="shared" si="14"/>
        <v>16238.00811257573</v>
      </c>
      <c r="BW54" s="539">
        <f t="shared" si="14"/>
        <v>16238.00811257573</v>
      </c>
      <c r="BX54" s="539">
        <f t="shared" si="14"/>
        <v>16238.00811257573</v>
      </c>
      <c r="BY54" s="539">
        <f t="shared" si="14"/>
        <v>16238.00811257573</v>
      </c>
      <c r="BZ54" s="539">
        <f t="shared" si="14"/>
        <v>16238.00811257573</v>
      </c>
      <c r="CA54" s="539">
        <f t="shared" si="14"/>
        <v>16238.00811257573</v>
      </c>
      <c r="CB54" s="539">
        <f t="shared" si="14"/>
        <v>16238.00811257573</v>
      </c>
      <c r="CC54" s="539">
        <f t="shared" si="14"/>
        <v>16238.00811257573</v>
      </c>
      <c r="CD54" s="539">
        <f t="shared" si="14"/>
        <v>16238.00811257573</v>
      </c>
      <c r="CE54" s="539">
        <f t="shared" si="14"/>
        <v>16238.00811257573</v>
      </c>
      <c r="CF54" s="539">
        <f t="shared" si="14"/>
        <v>16238.00811257573</v>
      </c>
      <c r="CG54" s="539">
        <f t="shared" si="14"/>
        <v>16238.00811257573</v>
      </c>
      <c r="CH54" s="539">
        <f t="shared" si="14"/>
        <v>16238.00811257573</v>
      </c>
      <c r="CI54" s="539">
        <f t="shared" si="14"/>
        <v>16238.00811257573</v>
      </c>
      <c r="CJ54" s="539">
        <f t="shared" si="14"/>
        <v>16238.00811257573</v>
      </c>
      <c r="CK54" s="539">
        <f t="shared" si="14"/>
        <v>16238.00811257573</v>
      </c>
      <c r="CL54" s="539">
        <f t="shared" si="14"/>
        <v>16238.00811257573</v>
      </c>
      <c r="CM54" s="539">
        <f t="shared" si="14"/>
        <v>16238.00811257573</v>
      </c>
      <c r="CN54" s="539">
        <f t="shared" si="14"/>
        <v>16238.00811257573</v>
      </c>
      <c r="CO54" s="539">
        <f t="shared" si="14"/>
        <v>16238.00811257573</v>
      </c>
      <c r="CP54" s="539">
        <f t="shared" si="14"/>
        <v>16238.00811257573</v>
      </c>
      <c r="CQ54" s="539">
        <f t="shared" si="14"/>
        <v>16238.00811257573</v>
      </c>
      <c r="CR54" s="539">
        <f t="shared" si="14"/>
        <v>16238.00811257573</v>
      </c>
      <c r="CS54" s="539">
        <f t="shared" si="14"/>
        <v>16238.00811257573</v>
      </c>
      <c r="CT54" s="539">
        <f t="shared" si="14"/>
        <v>16238.00811257573</v>
      </c>
      <c r="CU54" s="539">
        <f t="shared" si="14"/>
        <v>16238.00811257573</v>
      </c>
      <c r="CV54" s="539">
        <f t="shared" si="14"/>
        <v>16238.00811257573</v>
      </c>
      <c r="CW54" s="539">
        <f t="shared" si="14"/>
        <v>16238.00811257573</v>
      </c>
      <c r="CX54" s="539">
        <f t="shared" si="14"/>
        <v>16238.00811257573</v>
      </c>
      <c r="CY54" s="539">
        <f t="shared" si="14"/>
        <v>16238.00811257573</v>
      </c>
      <c r="CZ54" s="539">
        <f t="shared" si="14"/>
        <v>16238.00811257573</v>
      </c>
      <c r="DA54" s="539">
        <f t="shared" si="14"/>
        <v>16238.00811257573</v>
      </c>
      <c r="DB54" s="539">
        <f t="shared" si="14"/>
        <v>16238.00811257573</v>
      </c>
      <c r="DC54" s="539">
        <f t="shared" si="14"/>
        <v>16238.00811257573</v>
      </c>
      <c r="DD54" s="539">
        <f t="shared" si="14"/>
        <v>16238.00811257573</v>
      </c>
      <c r="DE54" s="539">
        <f t="shared" si="14"/>
        <v>16238.00811257573</v>
      </c>
      <c r="DF54" s="539">
        <f t="shared" si="14"/>
        <v>16238.00811257573</v>
      </c>
      <c r="DG54" s="539">
        <f t="shared" si="14"/>
        <v>16238.00811257573</v>
      </c>
      <c r="DH54" s="539">
        <f t="shared" si="14"/>
        <v>16238.00811257573</v>
      </c>
      <c r="DI54" s="539">
        <f t="shared" si="14"/>
        <v>16238.00811257573</v>
      </c>
      <c r="DJ54" s="539">
        <f t="shared" si="14"/>
        <v>16238.00811257573</v>
      </c>
      <c r="DK54" s="539">
        <f t="shared" si="14"/>
        <v>16238.00811257573</v>
      </c>
      <c r="DL54" s="539">
        <f t="shared" si="14"/>
        <v>16238.00811257573</v>
      </c>
      <c r="DM54" s="539">
        <f t="shared" si="14"/>
        <v>16238.00811257573</v>
      </c>
      <c r="DN54" s="539">
        <f t="shared" si="14"/>
        <v>16238.00811257573</v>
      </c>
      <c r="DO54" s="539">
        <f t="shared" si="14"/>
        <v>16238.00811257573</v>
      </c>
      <c r="DP54" s="539">
        <f t="shared" si="14"/>
        <v>16238.00811257573</v>
      </c>
      <c r="DQ54" s="539">
        <f t="shared" si="14"/>
        <v>16238.00811257573</v>
      </c>
      <c r="DR54" s="539">
        <f t="shared" si="14"/>
        <v>16238.00811257573</v>
      </c>
      <c r="DS54" s="539">
        <f t="shared" si="14"/>
        <v>16238.00811257573</v>
      </c>
      <c r="DT54" s="539">
        <f t="shared" si="14"/>
        <v>16238.00811257573</v>
      </c>
      <c r="DU54" s="539">
        <f t="shared" si="14"/>
        <v>16238.00811257573</v>
      </c>
      <c r="DV54" s="539">
        <f t="shared" si="14"/>
        <v>16238.00811257573</v>
      </c>
      <c r="DW54" s="539">
        <f t="shared" si="14"/>
        <v>16238.00811257573</v>
      </c>
      <c r="DX54" s="539">
        <f t="shared" si="14"/>
        <v>16238.00811257573</v>
      </c>
      <c r="DY54" s="539">
        <f t="shared" si="14"/>
        <v>16238.00811257573</v>
      </c>
      <c r="DZ54" s="539">
        <f t="shared" si="14"/>
        <v>16238.00811257573</v>
      </c>
      <c r="EA54" s="539">
        <f t="shared" si="14"/>
        <v>16238.00811257573</v>
      </c>
      <c r="EB54" s="539">
        <f t="shared" si="14"/>
        <v>16238.00811257573</v>
      </c>
      <c r="EC54" s="539">
        <f t="shared" si="14"/>
        <v>16238.00811257573</v>
      </c>
      <c r="ED54" s="539">
        <f t="shared" si="14"/>
        <v>16238.00811257573</v>
      </c>
      <c r="EE54" s="539">
        <f t="shared" si="14"/>
        <v>16238.00811257573</v>
      </c>
      <c r="EF54" s="539">
        <f t="shared" si="14"/>
        <v>16238.00811257573</v>
      </c>
      <c r="EG54" s="539">
        <f t="shared" si="14"/>
        <v>16238.00811257573</v>
      </c>
    </row>
    <row r="56" spans="5:7" ht="12.75">
      <c r="E56" s="535" t="str">
        <f>Debt!E$18</f>
        <v>Senior facility - number of repayment periods</v>
      </c>
      <c r="F56" s="537">
        <f>Debt!F$18</f>
        <v>72</v>
      </c>
      <c r="G56" s="537" t="str">
        <f>Debt!G$18</f>
        <v>counter</v>
      </c>
    </row>
    <row r="57" spans="5:137" ht="12.75">
      <c r="E57" s="535" t="str">
        <f>Debt!E$15</f>
        <v>Senior facility - repayment period flag</v>
      </c>
      <c r="G57" s="537" t="str">
        <f>Debt!G$15</f>
        <v>flag</v>
      </c>
      <c r="H57" s="537">
        <f>Debt!H$15</f>
        <v>72</v>
      </c>
      <c r="J57" s="537">
        <f>Debt!J$15</f>
        <v>0</v>
      </c>
      <c r="K57" s="537">
        <f>Debt!K$15</f>
        <v>0</v>
      </c>
      <c r="L57" s="537">
        <f>Debt!L$15</f>
        <v>0</v>
      </c>
      <c r="M57" s="537">
        <f>Debt!M$15</f>
        <v>0</v>
      </c>
      <c r="N57" s="537">
        <f>Debt!N$15</f>
        <v>0</v>
      </c>
      <c r="O57" s="537">
        <f>Debt!O$15</f>
        <v>0</v>
      </c>
      <c r="P57" s="537">
        <f>Debt!P$15</f>
        <v>0</v>
      </c>
      <c r="Q57" s="537">
        <f>Debt!Q$15</f>
        <v>0</v>
      </c>
      <c r="R57" s="537">
        <f>Debt!R$15</f>
        <v>0</v>
      </c>
      <c r="S57" s="537">
        <f>Debt!S$15</f>
        <v>0</v>
      </c>
      <c r="T57" s="537">
        <f>Debt!T$15</f>
        <v>0</v>
      </c>
      <c r="U57" s="537">
        <f>Debt!U$15</f>
        <v>0</v>
      </c>
      <c r="V57" s="537">
        <f>Debt!V$15</f>
        <v>0</v>
      </c>
      <c r="W57" s="537">
        <f>Debt!W$15</f>
        <v>0</v>
      </c>
      <c r="X57" s="537">
        <f>Debt!X$15</f>
        <v>0</v>
      </c>
      <c r="Y57" s="537">
        <f>Debt!Y$15</f>
        <v>0</v>
      </c>
      <c r="Z57" s="537">
        <f>Debt!Z$15</f>
        <v>0</v>
      </c>
      <c r="AA57" s="537">
        <f>Debt!AA$15</f>
        <v>0</v>
      </c>
      <c r="AB57" s="537">
        <f>Debt!AB$15</f>
        <v>0</v>
      </c>
      <c r="AC57" s="537">
        <f>Debt!AC$15</f>
        <v>0</v>
      </c>
      <c r="AD57" s="537">
        <f>Debt!AD$15</f>
        <v>0</v>
      </c>
      <c r="AE57" s="537">
        <f>Debt!AE$15</f>
        <v>0</v>
      </c>
      <c r="AF57" s="537">
        <f>Debt!AF$15</f>
        <v>0</v>
      </c>
      <c r="AG57" s="537">
        <f>Debt!AG$15</f>
        <v>0</v>
      </c>
      <c r="AH57" s="537">
        <f>Debt!AH$15</f>
        <v>1</v>
      </c>
      <c r="AI57" s="537">
        <f>Debt!AI$15</f>
        <v>1</v>
      </c>
      <c r="AJ57" s="537">
        <f>Debt!AJ$15</f>
        <v>1</v>
      </c>
      <c r="AK57" s="537">
        <f>Debt!AK$15</f>
        <v>1</v>
      </c>
      <c r="AL57" s="537">
        <f>Debt!AL$15</f>
        <v>1</v>
      </c>
      <c r="AM57" s="537">
        <f>Debt!AM$15</f>
        <v>1</v>
      </c>
      <c r="AN57" s="537">
        <f>Debt!AN$15</f>
        <v>1</v>
      </c>
      <c r="AO57" s="537">
        <f>Debt!AO$15</f>
        <v>1</v>
      </c>
      <c r="AP57" s="537">
        <f>Debt!AP$15</f>
        <v>1</v>
      </c>
      <c r="AQ57" s="537">
        <f>Debt!AQ$15</f>
        <v>1</v>
      </c>
      <c r="AR57" s="537">
        <f>Debt!AR$15</f>
        <v>1</v>
      </c>
      <c r="AS57" s="537">
        <f>Debt!AS$15</f>
        <v>1</v>
      </c>
      <c r="AT57" s="537">
        <f>Debt!AT$15</f>
        <v>1</v>
      </c>
      <c r="AU57" s="537">
        <f>Debt!AU$15</f>
        <v>1</v>
      </c>
      <c r="AV57" s="537">
        <f>Debt!AV$15</f>
        <v>1</v>
      </c>
      <c r="AW57" s="537">
        <f>Debt!AW$15</f>
        <v>1</v>
      </c>
      <c r="AX57" s="537">
        <f>Debt!AX$15</f>
        <v>1</v>
      </c>
      <c r="AY57" s="537">
        <f>Debt!AY$15</f>
        <v>1</v>
      </c>
      <c r="AZ57" s="537">
        <f>Debt!AZ$15</f>
        <v>1</v>
      </c>
      <c r="BA57" s="537">
        <f>Debt!BA$15</f>
        <v>1</v>
      </c>
      <c r="BB57" s="537">
        <f>Debt!BB$15</f>
        <v>1</v>
      </c>
      <c r="BC57" s="537">
        <f>Debt!BC$15</f>
        <v>1</v>
      </c>
      <c r="BD57" s="537">
        <f>Debt!BD$15</f>
        <v>1</v>
      </c>
      <c r="BE57" s="537">
        <f>Debt!BE$15</f>
        <v>1</v>
      </c>
      <c r="BF57" s="537">
        <f>Debt!BF$15</f>
        <v>1</v>
      </c>
      <c r="BG57" s="537">
        <f>Debt!BG$15</f>
        <v>1</v>
      </c>
      <c r="BH57" s="537">
        <f>Debt!BH$15</f>
        <v>1</v>
      </c>
      <c r="BI57" s="537">
        <f>Debt!BI$15</f>
        <v>1</v>
      </c>
      <c r="BJ57" s="537">
        <f>Debt!BJ$15</f>
        <v>1</v>
      </c>
      <c r="BK57" s="537">
        <f>Debt!BK$15</f>
        <v>1</v>
      </c>
      <c r="BL57" s="537">
        <f>Debt!BL$15</f>
        <v>1</v>
      </c>
      <c r="BM57" s="537">
        <f>Debt!BM$15</f>
        <v>1</v>
      </c>
      <c r="BN57" s="537">
        <f>Debt!BN$15</f>
        <v>1</v>
      </c>
      <c r="BO57" s="537">
        <f>Debt!BO$15</f>
        <v>1</v>
      </c>
      <c r="BP57" s="537">
        <f>Debt!BP$15</f>
        <v>1</v>
      </c>
      <c r="BQ57" s="537">
        <f>Debt!BQ$15</f>
        <v>1</v>
      </c>
      <c r="BR57" s="537">
        <f>Debt!BR$15</f>
        <v>1</v>
      </c>
      <c r="BS57" s="537">
        <f>Debt!BS$15</f>
        <v>1</v>
      </c>
      <c r="BT57" s="537">
        <f>Debt!BT$15</f>
        <v>1</v>
      </c>
      <c r="BU57" s="537">
        <f>Debt!BU$15</f>
        <v>1</v>
      </c>
      <c r="BV57" s="537">
        <f>Debt!BV$15</f>
        <v>1</v>
      </c>
      <c r="BW57" s="537">
        <f>Debt!BW$15</f>
        <v>1</v>
      </c>
      <c r="BX57" s="537">
        <f>Debt!BX$15</f>
        <v>1</v>
      </c>
      <c r="BY57" s="537">
        <f>Debt!BY$15</f>
        <v>1</v>
      </c>
      <c r="BZ57" s="537">
        <f>Debt!BZ$15</f>
        <v>1</v>
      </c>
      <c r="CA57" s="537">
        <f>Debt!CA$15</f>
        <v>1</v>
      </c>
      <c r="CB57" s="537">
        <f>Debt!CB$15</f>
        <v>1</v>
      </c>
      <c r="CC57" s="537">
        <f>Debt!CC$15</f>
        <v>1</v>
      </c>
      <c r="CD57" s="537">
        <f>Debt!CD$15</f>
        <v>1</v>
      </c>
      <c r="CE57" s="537">
        <f>Debt!CE$15</f>
        <v>1</v>
      </c>
      <c r="CF57" s="537">
        <f>Debt!CF$15</f>
        <v>1</v>
      </c>
      <c r="CG57" s="537">
        <f>Debt!CG$15</f>
        <v>1</v>
      </c>
      <c r="CH57" s="537">
        <f>Debt!CH$15</f>
        <v>1</v>
      </c>
      <c r="CI57" s="537">
        <f>Debt!CI$15</f>
        <v>1</v>
      </c>
      <c r="CJ57" s="537">
        <f>Debt!CJ$15</f>
        <v>1</v>
      </c>
      <c r="CK57" s="537">
        <f>Debt!CK$15</f>
        <v>1</v>
      </c>
      <c r="CL57" s="537">
        <f>Debt!CL$15</f>
        <v>1</v>
      </c>
      <c r="CM57" s="537">
        <f>Debt!CM$15</f>
        <v>1</v>
      </c>
      <c r="CN57" s="537">
        <f>Debt!CN$15</f>
        <v>1</v>
      </c>
      <c r="CO57" s="537">
        <f>Debt!CO$15</f>
        <v>1</v>
      </c>
      <c r="CP57" s="537">
        <f>Debt!CP$15</f>
        <v>1</v>
      </c>
      <c r="CQ57" s="537">
        <f>Debt!CQ$15</f>
        <v>1</v>
      </c>
      <c r="CR57" s="537">
        <f>Debt!CR$15</f>
        <v>1</v>
      </c>
      <c r="CS57" s="537">
        <f>Debt!CS$15</f>
        <v>1</v>
      </c>
      <c r="CT57" s="537">
        <f>Debt!CT$15</f>
        <v>1</v>
      </c>
      <c r="CU57" s="537">
        <f>Debt!CU$15</f>
        <v>1</v>
      </c>
      <c r="CV57" s="537">
        <f>Debt!CV$15</f>
        <v>1</v>
      </c>
      <c r="CW57" s="537">
        <f>Debt!CW$15</f>
        <v>1</v>
      </c>
      <c r="CX57" s="537">
        <f>Debt!CX$15</f>
        <v>1</v>
      </c>
      <c r="CY57" s="537">
        <f>Debt!CY$15</f>
        <v>1</v>
      </c>
      <c r="CZ57" s="537">
        <f>Debt!CZ$15</f>
        <v>1</v>
      </c>
      <c r="DA57" s="537">
        <f>Debt!DA$15</f>
        <v>1</v>
      </c>
      <c r="DB57" s="537">
        <f>Debt!DB$15</f>
        <v>0</v>
      </c>
      <c r="DC57" s="537">
        <f>Debt!DC$15</f>
        <v>0</v>
      </c>
      <c r="DD57" s="537">
        <f>Debt!DD$15</f>
        <v>0</v>
      </c>
      <c r="DE57" s="537">
        <f>Debt!DE$15</f>
        <v>0</v>
      </c>
      <c r="DF57" s="537">
        <f>Debt!DF$15</f>
        <v>0</v>
      </c>
      <c r="DG57" s="537">
        <f>Debt!DG$15</f>
        <v>0</v>
      </c>
      <c r="DH57" s="537">
        <f>Debt!DH$15</f>
        <v>0</v>
      </c>
      <c r="DI57" s="537">
        <f>Debt!DI$15</f>
        <v>0</v>
      </c>
      <c r="DJ57" s="537">
        <f>Debt!DJ$15</f>
        <v>0</v>
      </c>
      <c r="DK57" s="537">
        <f>Debt!DK$15</f>
        <v>0</v>
      </c>
      <c r="DL57" s="537">
        <f>Debt!DL$15</f>
        <v>0</v>
      </c>
      <c r="DM57" s="537">
        <f>Debt!DM$15</f>
        <v>0</v>
      </c>
      <c r="DN57" s="537">
        <f>Debt!DN$15</f>
        <v>0</v>
      </c>
      <c r="DO57" s="537">
        <f>Debt!DO$15</f>
        <v>0</v>
      </c>
      <c r="DP57" s="537">
        <f>Debt!DP$15</f>
        <v>0</v>
      </c>
      <c r="DQ57" s="537">
        <f>Debt!DQ$15</f>
        <v>0</v>
      </c>
      <c r="DR57" s="537">
        <f>Debt!DR$15</f>
        <v>0</v>
      </c>
      <c r="DS57" s="537">
        <f>Debt!DS$15</f>
        <v>0</v>
      </c>
      <c r="DT57" s="537">
        <f>Debt!DT$15</f>
        <v>0</v>
      </c>
      <c r="DU57" s="537">
        <f>Debt!DU$15</f>
        <v>0</v>
      </c>
      <c r="DV57" s="537">
        <f>Debt!DV$15</f>
        <v>0</v>
      </c>
      <c r="DW57" s="537">
        <f>Debt!DW$15</f>
        <v>0</v>
      </c>
      <c r="DX57" s="537">
        <f>Debt!DX$15</f>
        <v>0</v>
      </c>
      <c r="DY57" s="537">
        <f>Debt!DY$15</f>
        <v>0</v>
      </c>
      <c r="DZ57" s="537">
        <f>Debt!DZ$15</f>
        <v>0</v>
      </c>
      <c r="EA57" s="537">
        <f>Debt!EA$15</f>
        <v>0</v>
      </c>
      <c r="EB57" s="537">
        <f>Debt!EB$15</f>
        <v>0</v>
      </c>
      <c r="EC57" s="537">
        <f>Debt!EC$15</f>
        <v>0</v>
      </c>
      <c r="ED57" s="537">
        <f>Debt!ED$15</f>
        <v>0</v>
      </c>
      <c r="EE57" s="537">
        <f>Debt!EE$15</f>
        <v>0</v>
      </c>
      <c r="EF57" s="537">
        <f>Debt!EF$15</f>
        <v>0</v>
      </c>
      <c r="EG57" s="537">
        <f>Debt!EG$15</f>
        <v>0</v>
      </c>
    </row>
    <row r="58" spans="5:137" ht="12.75">
      <c r="E58" s="535" t="str">
        <f>Time!E$91</f>
        <v>Operating period flag</v>
      </c>
      <c r="G58" s="537" t="str">
        <f>Time!G$91</f>
        <v>flag</v>
      </c>
      <c r="H58" s="537">
        <f>Time!H$91</f>
        <v>100</v>
      </c>
      <c r="J58" s="537">
        <f>Time!J$91</f>
        <v>0</v>
      </c>
      <c r="K58" s="537">
        <f>Time!K$91</f>
        <v>0</v>
      </c>
      <c r="L58" s="537">
        <f>Time!L$91</f>
        <v>0</v>
      </c>
      <c r="M58" s="537">
        <f>Time!M$91</f>
        <v>0</v>
      </c>
      <c r="N58" s="537">
        <f>Time!N$91</f>
        <v>0</v>
      </c>
      <c r="O58" s="537">
        <f>Time!O$91</f>
        <v>0</v>
      </c>
      <c r="P58" s="537">
        <f>Time!P$91</f>
        <v>0</v>
      </c>
      <c r="Q58" s="537">
        <f>Time!Q$91</f>
        <v>0</v>
      </c>
      <c r="R58" s="537">
        <f>Time!R$91</f>
        <v>0</v>
      </c>
      <c r="S58" s="537">
        <f>Time!S$91</f>
        <v>0</v>
      </c>
      <c r="T58" s="537">
        <f>Time!T$91</f>
        <v>0</v>
      </c>
      <c r="U58" s="537">
        <f>Time!U$91</f>
        <v>0</v>
      </c>
      <c r="V58" s="537">
        <f>Time!V$91</f>
        <v>0</v>
      </c>
      <c r="W58" s="537">
        <f>Time!W$91</f>
        <v>0</v>
      </c>
      <c r="X58" s="537">
        <f>Time!X$91</f>
        <v>0</v>
      </c>
      <c r="Y58" s="537">
        <f>Time!Y$91</f>
        <v>0</v>
      </c>
      <c r="Z58" s="537">
        <f>Time!Z$91</f>
        <v>0</v>
      </c>
      <c r="AA58" s="537">
        <f>Time!AA$91</f>
        <v>0</v>
      </c>
      <c r="AB58" s="537">
        <f>Time!AB$91</f>
        <v>0</v>
      </c>
      <c r="AC58" s="537">
        <f>Time!AC$91</f>
        <v>0</v>
      </c>
      <c r="AD58" s="537">
        <f>Time!AD$91</f>
        <v>0</v>
      </c>
      <c r="AE58" s="537">
        <f>Time!AE$91</f>
        <v>0</v>
      </c>
      <c r="AF58" s="537">
        <f>Time!AF$91</f>
        <v>0</v>
      </c>
      <c r="AG58" s="537">
        <f>Time!AG$91</f>
        <v>0</v>
      </c>
      <c r="AH58" s="537">
        <f>Time!AH$91</f>
        <v>1</v>
      </c>
      <c r="AI58" s="537">
        <f>Time!AI$91</f>
        <v>1</v>
      </c>
      <c r="AJ58" s="537">
        <f>Time!AJ$91</f>
        <v>1</v>
      </c>
      <c r="AK58" s="537">
        <f>Time!AK$91</f>
        <v>1</v>
      </c>
      <c r="AL58" s="537">
        <f>Time!AL$91</f>
        <v>1</v>
      </c>
      <c r="AM58" s="537">
        <f>Time!AM$91</f>
        <v>1</v>
      </c>
      <c r="AN58" s="537">
        <f>Time!AN$91</f>
        <v>1</v>
      </c>
      <c r="AO58" s="537">
        <f>Time!AO$91</f>
        <v>1</v>
      </c>
      <c r="AP58" s="537">
        <f>Time!AP$91</f>
        <v>1</v>
      </c>
      <c r="AQ58" s="537">
        <f>Time!AQ$91</f>
        <v>1</v>
      </c>
      <c r="AR58" s="537">
        <f>Time!AR$91</f>
        <v>1</v>
      </c>
      <c r="AS58" s="537">
        <f>Time!AS$91</f>
        <v>1</v>
      </c>
      <c r="AT58" s="537">
        <f>Time!AT$91</f>
        <v>1</v>
      </c>
      <c r="AU58" s="537">
        <f>Time!AU$91</f>
        <v>1</v>
      </c>
      <c r="AV58" s="537">
        <f>Time!AV$91</f>
        <v>1</v>
      </c>
      <c r="AW58" s="537">
        <f>Time!AW$91</f>
        <v>1</v>
      </c>
      <c r="AX58" s="537">
        <f>Time!AX$91</f>
        <v>1</v>
      </c>
      <c r="AY58" s="537">
        <f>Time!AY$91</f>
        <v>1</v>
      </c>
      <c r="AZ58" s="537">
        <f>Time!AZ$91</f>
        <v>1</v>
      </c>
      <c r="BA58" s="537">
        <f>Time!BA$91</f>
        <v>1</v>
      </c>
      <c r="BB58" s="537">
        <f>Time!BB$91</f>
        <v>1</v>
      </c>
      <c r="BC58" s="537">
        <f>Time!BC$91</f>
        <v>1</v>
      </c>
      <c r="BD58" s="537">
        <f>Time!BD$91</f>
        <v>1</v>
      </c>
      <c r="BE58" s="537">
        <f>Time!BE$91</f>
        <v>1</v>
      </c>
      <c r="BF58" s="537">
        <f>Time!BF$91</f>
        <v>1</v>
      </c>
      <c r="BG58" s="537">
        <f>Time!BG$91</f>
        <v>1</v>
      </c>
      <c r="BH58" s="537">
        <f>Time!BH$91</f>
        <v>1</v>
      </c>
      <c r="BI58" s="537">
        <f>Time!BI$91</f>
        <v>1</v>
      </c>
      <c r="BJ58" s="537">
        <f>Time!BJ$91</f>
        <v>1</v>
      </c>
      <c r="BK58" s="537">
        <f>Time!BK$91</f>
        <v>1</v>
      </c>
      <c r="BL58" s="537">
        <f>Time!BL$91</f>
        <v>1</v>
      </c>
      <c r="BM58" s="537">
        <f>Time!BM$91</f>
        <v>1</v>
      </c>
      <c r="BN58" s="537">
        <f>Time!BN$91</f>
        <v>1</v>
      </c>
      <c r="BO58" s="537">
        <f>Time!BO$91</f>
        <v>1</v>
      </c>
      <c r="BP58" s="537">
        <f>Time!BP$91</f>
        <v>1</v>
      </c>
      <c r="BQ58" s="537">
        <f>Time!BQ$91</f>
        <v>1</v>
      </c>
      <c r="BR58" s="537">
        <f>Time!BR$91</f>
        <v>1</v>
      </c>
      <c r="BS58" s="537">
        <f>Time!BS$91</f>
        <v>1</v>
      </c>
      <c r="BT58" s="537">
        <f>Time!BT$91</f>
        <v>1</v>
      </c>
      <c r="BU58" s="537">
        <f>Time!BU$91</f>
        <v>1</v>
      </c>
      <c r="BV58" s="537">
        <f>Time!BV$91</f>
        <v>1</v>
      </c>
      <c r="BW58" s="537">
        <f>Time!BW$91</f>
        <v>1</v>
      </c>
      <c r="BX58" s="537">
        <f>Time!BX$91</f>
        <v>1</v>
      </c>
      <c r="BY58" s="537">
        <f>Time!BY$91</f>
        <v>1</v>
      </c>
      <c r="BZ58" s="537">
        <f>Time!BZ$91</f>
        <v>1</v>
      </c>
      <c r="CA58" s="537">
        <f>Time!CA$91</f>
        <v>1</v>
      </c>
      <c r="CB58" s="537">
        <f>Time!CB$91</f>
        <v>1</v>
      </c>
      <c r="CC58" s="537">
        <f>Time!CC$91</f>
        <v>1</v>
      </c>
      <c r="CD58" s="537">
        <f>Time!CD$91</f>
        <v>1</v>
      </c>
      <c r="CE58" s="537">
        <f>Time!CE$91</f>
        <v>1</v>
      </c>
      <c r="CF58" s="537">
        <f>Time!CF$91</f>
        <v>1</v>
      </c>
      <c r="CG58" s="537">
        <f>Time!CG$91</f>
        <v>1</v>
      </c>
      <c r="CH58" s="537">
        <f>Time!CH$91</f>
        <v>1</v>
      </c>
      <c r="CI58" s="537">
        <f>Time!CI$91</f>
        <v>1</v>
      </c>
      <c r="CJ58" s="537">
        <f>Time!CJ$91</f>
        <v>1</v>
      </c>
      <c r="CK58" s="537">
        <f>Time!CK$91</f>
        <v>1</v>
      </c>
      <c r="CL58" s="537">
        <f>Time!CL$91</f>
        <v>1</v>
      </c>
      <c r="CM58" s="537">
        <f>Time!CM$91</f>
        <v>1</v>
      </c>
      <c r="CN58" s="537">
        <f>Time!CN$91</f>
        <v>1</v>
      </c>
      <c r="CO58" s="537">
        <f>Time!CO$91</f>
        <v>1</v>
      </c>
      <c r="CP58" s="537">
        <f>Time!CP$91</f>
        <v>1</v>
      </c>
      <c r="CQ58" s="537">
        <f>Time!CQ$91</f>
        <v>1</v>
      </c>
      <c r="CR58" s="537">
        <f>Time!CR$91</f>
        <v>1</v>
      </c>
      <c r="CS58" s="537">
        <f>Time!CS$91</f>
        <v>1</v>
      </c>
      <c r="CT58" s="537">
        <f>Time!CT$91</f>
        <v>1</v>
      </c>
      <c r="CU58" s="537">
        <f>Time!CU$91</f>
        <v>1</v>
      </c>
      <c r="CV58" s="537">
        <f>Time!CV$91</f>
        <v>1</v>
      </c>
      <c r="CW58" s="537">
        <f>Time!CW$91</f>
        <v>1</v>
      </c>
      <c r="CX58" s="537">
        <f>Time!CX$91</f>
        <v>1</v>
      </c>
      <c r="CY58" s="537">
        <f>Time!CY$91</f>
        <v>1</v>
      </c>
      <c r="CZ58" s="537">
        <f>Time!CZ$91</f>
        <v>1</v>
      </c>
      <c r="DA58" s="537">
        <f>Time!DA$91</f>
        <v>1</v>
      </c>
      <c r="DB58" s="537">
        <f>Time!DB$91</f>
        <v>1</v>
      </c>
      <c r="DC58" s="537">
        <f>Time!DC$91</f>
        <v>1</v>
      </c>
      <c r="DD58" s="537">
        <f>Time!DD$91</f>
        <v>1</v>
      </c>
      <c r="DE58" s="537">
        <f>Time!DE$91</f>
        <v>1</v>
      </c>
      <c r="DF58" s="537">
        <f>Time!DF$91</f>
        <v>1</v>
      </c>
      <c r="DG58" s="537">
        <f>Time!DG$91</f>
        <v>1</v>
      </c>
      <c r="DH58" s="537">
        <f>Time!DH$91</f>
        <v>1</v>
      </c>
      <c r="DI58" s="537">
        <f>Time!DI$91</f>
        <v>1</v>
      </c>
      <c r="DJ58" s="537">
        <f>Time!DJ$91</f>
        <v>1</v>
      </c>
      <c r="DK58" s="537">
        <f>Time!DK$91</f>
        <v>1</v>
      </c>
      <c r="DL58" s="537">
        <f>Time!DL$91</f>
        <v>1</v>
      </c>
      <c r="DM58" s="537">
        <f>Time!DM$91</f>
        <v>1</v>
      </c>
      <c r="DN58" s="537">
        <f>Time!DN$91</f>
        <v>1</v>
      </c>
      <c r="DO58" s="537">
        <f>Time!DO$91</f>
        <v>1</v>
      </c>
      <c r="DP58" s="537">
        <f>Time!DP$91</f>
        <v>1</v>
      </c>
      <c r="DQ58" s="537">
        <f>Time!DQ$91</f>
        <v>1</v>
      </c>
      <c r="DR58" s="537">
        <f>Time!DR$91</f>
        <v>1</v>
      </c>
      <c r="DS58" s="537">
        <f>Time!DS$91</f>
        <v>1</v>
      </c>
      <c r="DT58" s="537">
        <f>Time!DT$91</f>
        <v>1</v>
      </c>
      <c r="DU58" s="537">
        <f>Time!DU$91</f>
        <v>1</v>
      </c>
      <c r="DV58" s="537">
        <f>Time!DV$91</f>
        <v>1</v>
      </c>
      <c r="DW58" s="537">
        <f>Time!DW$91</f>
        <v>1</v>
      </c>
      <c r="DX58" s="537">
        <f>Time!DX$91</f>
        <v>1</v>
      </c>
      <c r="DY58" s="537">
        <f>Time!DY$91</f>
        <v>1</v>
      </c>
      <c r="DZ58" s="537">
        <f>Time!DZ$91</f>
        <v>1</v>
      </c>
      <c r="EA58" s="537">
        <f>Time!EA$91</f>
        <v>1</v>
      </c>
      <c r="EB58" s="537">
        <f>Time!EB$91</f>
        <v>1</v>
      </c>
      <c r="EC58" s="537">
        <f>Time!EC$91</f>
        <v>1</v>
      </c>
      <c r="ED58" s="537">
        <f>Time!ED$91</f>
        <v>0</v>
      </c>
      <c r="EE58" s="537">
        <f>Time!EE$91</f>
        <v>0</v>
      </c>
      <c r="EF58" s="537">
        <f>Time!EF$91</f>
        <v>0</v>
      </c>
      <c r="EG58" s="537">
        <f>Time!EG$91</f>
        <v>0</v>
      </c>
    </row>
    <row r="59" spans="5:137" ht="12.75">
      <c r="E59" s="535" t="str">
        <f>Time!E$163</f>
        <v>Days in period</v>
      </c>
      <c r="G59" s="537" t="str">
        <f>Time!G$163</f>
        <v>days</v>
      </c>
      <c r="H59" s="537">
        <f>Time!H$163</f>
        <v>10227</v>
      </c>
      <c r="J59" s="537">
        <f>Time!J$163</f>
        <v>31</v>
      </c>
      <c r="K59" s="537">
        <f>Time!K$163</f>
        <v>28</v>
      </c>
      <c r="L59" s="537">
        <f>Time!L$163</f>
        <v>31</v>
      </c>
      <c r="M59" s="537">
        <f>Time!M$163</f>
        <v>30</v>
      </c>
      <c r="N59" s="537">
        <f>Time!N$163</f>
        <v>31</v>
      </c>
      <c r="O59" s="537">
        <f>Time!O$163</f>
        <v>30</v>
      </c>
      <c r="P59" s="537">
        <f>Time!P$163</f>
        <v>31</v>
      </c>
      <c r="Q59" s="537">
        <f>Time!Q$163</f>
        <v>31</v>
      </c>
      <c r="R59" s="537">
        <f>Time!R$163</f>
        <v>30</v>
      </c>
      <c r="S59" s="537">
        <f>Time!S$163</f>
        <v>31</v>
      </c>
      <c r="T59" s="537">
        <f>Time!T$163</f>
        <v>30</v>
      </c>
      <c r="U59" s="537">
        <f>Time!U$163</f>
        <v>31</v>
      </c>
      <c r="V59" s="537">
        <f>Time!V$163</f>
        <v>31</v>
      </c>
      <c r="W59" s="537">
        <f>Time!W$163</f>
        <v>29</v>
      </c>
      <c r="X59" s="537">
        <f>Time!X$163</f>
        <v>31</v>
      </c>
      <c r="Y59" s="537">
        <f>Time!Y$163</f>
        <v>30</v>
      </c>
      <c r="Z59" s="537">
        <f>Time!Z$163</f>
        <v>31</v>
      </c>
      <c r="AA59" s="537">
        <f>Time!AA$163</f>
        <v>30</v>
      </c>
      <c r="AB59" s="537">
        <f>Time!AB$163</f>
        <v>31</v>
      </c>
      <c r="AC59" s="537">
        <f>Time!AC$163</f>
        <v>31</v>
      </c>
      <c r="AD59" s="537">
        <f>Time!AD$163</f>
        <v>30</v>
      </c>
      <c r="AE59" s="537">
        <f>Time!AE$163</f>
        <v>31</v>
      </c>
      <c r="AF59" s="537">
        <f>Time!AF$163</f>
        <v>30</v>
      </c>
      <c r="AG59" s="537">
        <f>Time!AG$163</f>
        <v>31</v>
      </c>
      <c r="AH59" s="537">
        <f>Time!AH$163</f>
        <v>90</v>
      </c>
      <c r="AI59" s="537">
        <f>Time!AI$163</f>
        <v>91</v>
      </c>
      <c r="AJ59" s="537">
        <f>Time!AJ$163</f>
        <v>92</v>
      </c>
      <c r="AK59" s="537">
        <f>Time!AK$163</f>
        <v>92</v>
      </c>
      <c r="AL59" s="537">
        <f>Time!AL$163</f>
        <v>90</v>
      </c>
      <c r="AM59" s="537">
        <f>Time!AM$163</f>
        <v>91</v>
      </c>
      <c r="AN59" s="537">
        <f>Time!AN$163</f>
        <v>92</v>
      </c>
      <c r="AO59" s="537">
        <f>Time!AO$163</f>
        <v>92</v>
      </c>
      <c r="AP59" s="537">
        <f>Time!AP$163</f>
        <v>90</v>
      </c>
      <c r="AQ59" s="537">
        <f>Time!AQ$163</f>
        <v>91</v>
      </c>
      <c r="AR59" s="537">
        <f>Time!AR$163</f>
        <v>92</v>
      </c>
      <c r="AS59" s="537">
        <f>Time!AS$163</f>
        <v>92</v>
      </c>
      <c r="AT59" s="537">
        <f>Time!AT$163</f>
        <v>91</v>
      </c>
      <c r="AU59" s="537">
        <f>Time!AU$163</f>
        <v>91</v>
      </c>
      <c r="AV59" s="537">
        <f>Time!AV$163</f>
        <v>92</v>
      </c>
      <c r="AW59" s="537">
        <f>Time!AW$163</f>
        <v>92</v>
      </c>
      <c r="AX59" s="537">
        <f>Time!AX$163</f>
        <v>90</v>
      </c>
      <c r="AY59" s="537">
        <f>Time!AY$163</f>
        <v>91</v>
      </c>
      <c r="AZ59" s="537">
        <f>Time!AZ$163</f>
        <v>92</v>
      </c>
      <c r="BA59" s="537">
        <f>Time!BA$163</f>
        <v>92</v>
      </c>
      <c r="BB59" s="537">
        <f>Time!BB$163</f>
        <v>90</v>
      </c>
      <c r="BC59" s="537">
        <f>Time!BC$163</f>
        <v>91</v>
      </c>
      <c r="BD59" s="537">
        <f>Time!BD$163</f>
        <v>92</v>
      </c>
      <c r="BE59" s="537">
        <f>Time!BE$163</f>
        <v>92</v>
      </c>
      <c r="BF59" s="537">
        <f>Time!BF$163</f>
        <v>90</v>
      </c>
      <c r="BG59" s="537">
        <f>Time!BG$163</f>
        <v>91</v>
      </c>
      <c r="BH59" s="537">
        <f>Time!BH$163</f>
        <v>92</v>
      </c>
      <c r="BI59" s="537">
        <f>Time!BI$163</f>
        <v>92</v>
      </c>
      <c r="BJ59" s="537">
        <f>Time!BJ$163</f>
        <v>91</v>
      </c>
      <c r="BK59" s="537">
        <f>Time!BK$163</f>
        <v>91</v>
      </c>
      <c r="BL59" s="537">
        <f>Time!BL$163</f>
        <v>92</v>
      </c>
      <c r="BM59" s="537">
        <f>Time!BM$163</f>
        <v>92</v>
      </c>
      <c r="BN59" s="537">
        <f>Time!BN$163</f>
        <v>90</v>
      </c>
      <c r="BO59" s="537">
        <f>Time!BO$163</f>
        <v>91</v>
      </c>
      <c r="BP59" s="537">
        <f>Time!BP$163</f>
        <v>92</v>
      </c>
      <c r="BQ59" s="537">
        <f>Time!BQ$163</f>
        <v>92</v>
      </c>
      <c r="BR59" s="537">
        <f>Time!BR$163</f>
        <v>90</v>
      </c>
      <c r="BS59" s="537">
        <f>Time!BS$163</f>
        <v>91</v>
      </c>
      <c r="BT59" s="537">
        <f>Time!BT$163</f>
        <v>92</v>
      </c>
      <c r="BU59" s="537">
        <f>Time!BU$163</f>
        <v>92</v>
      </c>
      <c r="BV59" s="537">
        <f>Time!BV$163</f>
        <v>90</v>
      </c>
      <c r="BW59" s="537">
        <f>Time!BW$163</f>
        <v>91</v>
      </c>
      <c r="BX59" s="537">
        <f>Time!BX$163</f>
        <v>92</v>
      </c>
      <c r="BY59" s="537">
        <f>Time!BY$163</f>
        <v>92</v>
      </c>
      <c r="BZ59" s="537">
        <f>Time!BZ$163</f>
        <v>91</v>
      </c>
      <c r="CA59" s="537">
        <f>Time!CA$163</f>
        <v>91</v>
      </c>
      <c r="CB59" s="537">
        <f>Time!CB$163</f>
        <v>92</v>
      </c>
      <c r="CC59" s="537">
        <f>Time!CC$163</f>
        <v>92</v>
      </c>
      <c r="CD59" s="537">
        <f>Time!CD$163</f>
        <v>90</v>
      </c>
      <c r="CE59" s="537">
        <f>Time!CE$163</f>
        <v>91</v>
      </c>
      <c r="CF59" s="537">
        <f>Time!CF$163</f>
        <v>92</v>
      </c>
      <c r="CG59" s="537">
        <f>Time!CG$163</f>
        <v>92</v>
      </c>
      <c r="CH59" s="537">
        <f>Time!CH$163</f>
        <v>90</v>
      </c>
      <c r="CI59" s="537">
        <f>Time!CI$163</f>
        <v>91</v>
      </c>
      <c r="CJ59" s="537">
        <f>Time!CJ$163</f>
        <v>92</v>
      </c>
      <c r="CK59" s="537">
        <f>Time!CK$163</f>
        <v>92</v>
      </c>
      <c r="CL59" s="537">
        <f>Time!CL$163</f>
        <v>90</v>
      </c>
      <c r="CM59" s="537">
        <f>Time!CM$163</f>
        <v>91</v>
      </c>
      <c r="CN59" s="537">
        <f>Time!CN$163</f>
        <v>92</v>
      </c>
      <c r="CO59" s="537">
        <f>Time!CO$163</f>
        <v>92</v>
      </c>
      <c r="CP59" s="537">
        <f>Time!CP$163</f>
        <v>91</v>
      </c>
      <c r="CQ59" s="537">
        <f>Time!CQ$163</f>
        <v>91</v>
      </c>
      <c r="CR59" s="537">
        <f>Time!CR$163</f>
        <v>92</v>
      </c>
      <c r="CS59" s="537">
        <f>Time!CS$163</f>
        <v>92</v>
      </c>
      <c r="CT59" s="537">
        <f>Time!CT$163</f>
        <v>90</v>
      </c>
      <c r="CU59" s="537">
        <f>Time!CU$163</f>
        <v>91</v>
      </c>
      <c r="CV59" s="537">
        <f>Time!CV$163</f>
        <v>92</v>
      </c>
      <c r="CW59" s="537">
        <f>Time!CW$163</f>
        <v>92</v>
      </c>
      <c r="CX59" s="537">
        <f>Time!CX$163</f>
        <v>90</v>
      </c>
      <c r="CY59" s="537">
        <f>Time!CY$163</f>
        <v>91</v>
      </c>
      <c r="CZ59" s="537">
        <f>Time!CZ$163</f>
        <v>92</v>
      </c>
      <c r="DA59" s="537">
        <f>Time!DA$163</f>
        <v>92</v>
      </c>
      <c r="DB59" s="537">
        <f>Time!DB$163</f>
        <v>90</v>
      </c>
      <c r="DC59" s="537">
        <f>Time!DC$163</f>
        <v>91</v>
      </c>
      <c r="DD59" s="537">
        <f>Time!DD$163</f>
        <v>92</v>
      </c>
      <c r="DE59" s="537">
        <f>Time!DE$163</f>
        <v>92</v>
      </c>
      <c r="DF59" s="537">
        <f>Time!DF$163</f>
        <v>91</v>
      </c>
      <c r="DG59" s="537">
        <f>Time!DG$163</f>
        <v>91</v>
      </c>
      <c r="DH59" s="537">
        <f>Time!DH$163</f>
        <v>92</v>
      </c>
      <c r="DI59" s="537">
        <f>Time!DI$163</f>
        <v>92</v>
      </c>
      <c r="DJ59" s="537">
        <f>Time!DJ$163</f>
        <v>90</v>
      </c>
      <c r="DK59" s="537">
        <f>Time!DK$163</f>
        <v>91</v>
      </c>
      <c r="DL59" s="537">
        <f>Time!DL$163</f>
        <v>92</v>
      </c>
      <c r="DM59" s="537">
        <f>Time!DM$163</f>
        <v>92</v>
      </c>
      <c r="DN59" s="537">
        <f>Time!DN$163</f>
        <v>90</v>
      </c>
      <c r="DO59" s="537">
        <f>Time!DO$163</f>
        <v>91</v>
      </c>
      <c r="DP59" s="537">
        <f>Time!DP$163</f>
        <v>92</v>
      </c>
      <c r="DQ59" s="537">
        <f>Time!DQ$163</f>
        <v>92</v>
      </c>
      <c r="DR59" s="537">
        <f>Time!DR$163</f>
        <v>90</v>
      </c>
      <c r="DS59" s="537">
        <f>Time!DS$163</f>
        <v>91</v>
      </c>
      <c r="DT59" s="537">
        <f>Time!DT$163</f>
        <v>92</v>
      </c>
      <c r="DU59" s="537">
        <f>Time!DU$163</f>
        <v>92</v>
      </c>
      <c r="DV59" s="537">
        <f>Time!DV$163</f>
        <v>91</v>
      </c>
      <c r="DW59" s="537">
        <f>Time!DW$163</f>
        <v>91</v>
      </c>
      <c r="DX59" s="537">
        <f>Time!DX$163</f>
        <v>92</v>
      </c>
      <c r="DY59" s="537">
        <f>Time!DY$163</f>
        <v>92</v>
      </c>
      <c r="DZ59" s="537">
        <f>Time!DZ$163</f>
        <v>90</v>
      </c>
      <c r="EA59" s="537">
        <f>Time!EA$163</f>
        <v>91</v>
      </c>
      <c r="EB59" s="537">
        <f>Time!EB$163</f>
        <v>92</v>
      </c>
      <c r="EC59" s="537">
        <f>Time!EC$163</f>
        <v>92</v>
      </c>
      <c r="ED59" s="537">
        <f>Time!ED$163</f>
        <v>90</v>
      </c>
      <c r="EE59" s="537">
        <f>Time!EE$163</f>
        <v>91</v>
      </c>
      <c r="EF59" s="537">
        <f>Time!EF$163</f>
        <v>92</v>
      </c>
      <c r="EG59" s="537">
        <f>Time!EG$163</f>
        <v>92</v>
      </c>
    </row>
    <row r="60" spans="5:137" ht="12.75">
      <c r="E60" s="538" t="s">
        <v>291</v>
      </c>
      <c r="G60" s="539" t="s">
        <v>59</v>
      </c>
      <c r="H60" s="539">
        <f>SUM(J60:EG60)</f>
        <v>6574</v>
      </c>
      <c r="J60" s="539">
        <f t="shared" si="15" ref="J60:EG60">J59*IF($F56&gt;0,J57,J58)</f>
        <v>0</v>
      </c>
      <c r="K60" s="539">
        <f t="shared" si="15"/>
        <v>0</v>
      </c>
      <c r="L60" s="539">
        <f t="shared" si="15"/>
        <v>0</v>
      </c>
      <c r="M60" s="539">
        <f t="shared" si="15"/>
        <v>0</v>
      </c>
      <c r="N60" s="539">
        <f t="shared" si="15"/>
        <v>0</v>
      </c>
      <c r="O60" s="539">
        <f t="shared" si="15"/>
        <v>0</v>
      </c>
      <c r="P60" s="539">
        <f t="shared" si="15"/>
        <v>0</v>
      </c>
      <c r="Q60" s="539">
        <f t="shared" si="15"/>
        <v>0</v>
      </c>
      <c r="R60" s="539">
        <f t="shared" si="15"/>
        <v>0</v>
      </c>
      <c r="S60" s="539">
        <f t="shared" si="15"/>
        <v>0</v>
      </c>
      <c r="T60" s="539">
        <f t="shared" si="15"/>
        <v>0</v>
      </c>
      <c r="U60" s="539">
        <f t="shared" si="15"/>
        <v>0</v>
      </c>
      <c r="V60" s="539">
        <f t="shared" si="15"/>
        <v>0</v>
      </c>
      <c r="W60" s="539">
        <f t="shared" si="15"/>
        <v>0</v>
      </c>
      <c r="X60" s="539">
        <f t="shared" si="15"/>
        <v>0</v>
      </c>
      <c r="Y60" s="539">
        <f t="shared" si="15"/>
        <v>0</v>
      </c>
      <c r="Z60" s="539">
        <f t="shared" si="15"/>
        <v>0</v>
      </c>
      <c r="AA60" s="539">
        <f t="shared" si="15"/>
        <v>0</v>
      </c>
      <c r="AB60" s="539">
        <f t="shared" si="15"/>
        <v>0</v>
      </c>
      <c r="AC60" s="539">
        <f t="shared" si="15"/>
        <v>0</v>
      </c>
      <c r="AD60" s="539">
        <f t="shared" si="15"/>
        <v>0</v>
      </c>
      <c r="AE60" s="539">
        <f t="shared" si="15"/>
        <v>0</v>
      </c>
      <c r="AF60" s="539">
        <f t="shared" si="15"/>
        <v>0</v>
      </c>
      <c r="AG60" s="539">
        <f t="shared" si="15"/>
        <v>0</v>
      </c>
      <c r="AH60" s="539">
        <f t="shared" si="15"/>
        <v>90</v>
      </c>
      <c r="AI60" s="539">
        <f t="shared" si="15"/>
        <v>91</v>
      </c>
      <c r="AJ60" s="539">
        <f t="shared" si="15"/>
        <v>92</v>
      </c>
      <c r="AK60" s="539">
        <f t="shared" si="15"/>
        <v>92</v>
      </c>
      <c r="AL60" s="539">
        <f t="shared" si="15"/>
        <v>90</v>
      </c>
      <c r="AM60" s="539">
        <f t="shared" si="15"/>
        <v>91</v>
      </c>
      <c r="AN60" s="539">
        <f t="shared" si="15"/>
        <v>92</v>
      </c>
      <c r="AO60" s="539">
        <f t="shared" si="15"/>
        <v>92</v>
      </c>
      <c r="AP60" s="539">
        <f t="shared" si="15"/>
        <v>90</v>
      </c>
      <c r="AQ60" s="539">
        <f t="shared" si="15"/>
        <v>91</v>
      </c>
      <c r="AR60" s="539">
        <f t="shared" si="15"/>
        <v>92</v>
      </c>
      <c r="AS60" s="539">
        <f t="shared" si="15"/>
        <v>92</v>
      </c>
      <c r="AT60" s="539">
        <f t="shared" si="15"/>
        <v>91</v>
      </c>
      <c r="AU60" s="539">
        <f t="shared" si="15"/>
        <v>91</v>
      </c>
      <c r="AV60" s="539">
        <f t="shared" si="15"/>
        <v>92</v>
      </c>
      <c r="AW60" s="539">
        <f t="shared" si="15"/>
        <v>92</v>
      </c>
      <c r="AX60" s="539">
        <f t="shared" si="15"/>
        <v>90</v>
      </c>
      <c r="AY60" s="539">
        <f t="shared" si="15"/>
        <v>91</v>
      </c>
      <c r="AZ60" s="539">
        <f t="shared" si="15"/>
        <v>92</v>
      </c>
      <c r="BA60" s="539">
        <f t="shared" si="15"/>
        <v>92</v>
      </c>
      <c r="BB60" s="539">
        <f t="shared" si="15"/>
        <v>90</v>
      </c>
      <c r="BC60" s="539">
        <f t="shared" si="15"/>
        <v>91</v>
      </c>
      <c r="BD60" s="539">
        <f t="shared" si="15"/>
        <v>92</v>
      </c>
      <c r="BE60" s="539">
        <f t="shared" si="15"/>
        <v>92</v>
      </c>
      <c r="BF60" s="539">
        <f t="shared" si="15"/>
        <v>90</v>
      </c>
      <c r="BG60" s="539">
        <f t="shared" si="15"/>
        <v>91</v>
      </c>
      <c r="BH60" s="539">
        <f t="shared" si="15"/>
        <v>92</v>
      </c>
      <c r="BI60" s="539">
        <f t="shared" si="15"/>
        <v>92</v>
      </c>
      <c r="BJ60" s="539">
        <f t="shared" si="15"/>
        <v>91</v>
      </c>
      <c r="BK60" s="539">
        <f t="shared" si="15"/>
        <v>91</v>
      </c>
      <c r="BL60" s="539">
        <f t="shared" si="15"/>
        <v>92</v>
      </c>
      <c r="BM60" s="539">
        <f t="shared" si="15"/>
        <v>92</v>
      </c>
      <c r="BN60" s="539">
        <f t="shared" si="15"/>
        <v>90</v>
      </c>
      <c r="BO60" s="539">
        <f t="shared" si="15"/>
        <v>91</v>
      </c>
      <c r="BP60" s="539">
        <f t="shared" si="15"/>
        <v>92</v>
      </c>
      <c r="BQ60" s="539">
        <f t="shared" si="15"/>
        <v>92</v>
      </c>
      <c r="BR60" s="539">
        <f t="shared" si="15"/>
        <v>90</v>
      </c>
      <c r="BS60" s="539">
        <f t="shared" si="15"/>
        <v>91</v>
      </c>
      <c r="BT60" s="539">
        <f t="shared" si="15"/>
        <v>92</v>
      </c>
      <c r="BU60" s="539">
        <f t="shared" si="15"/>
        <v>92</v>
      </c>
      <c r="BV60" s="539">
        <f t="shared" si="15"/>
        <v>90</v>
      </c>
      <c r="BW60" s="539">
        <f t="shared" si="15"/>
        <v>91</v>
      </c>
      <c r="BX60" s="539">
        <f t="shared" si="15"/>
        <v>92</v>
      </c>
      <c r="BY60" s="539">
        <f t="shared" si="15"/>
        <v>92</v>
      </c>
      <c r="BZ60" s="539">
        <f t="shared" si="15"/>
        <v>91</v>
      </c>
      <c r="CA60" s="539">
        <f t="shared" si="15"/>
        <v>91</v>
      </c>
      <c r="CB60" s="539">
        <f t="shared" si="15"/>
        <v>92</v>
      </c>
      <c r="CC60" s="539">
        <f t="shared" si="15"/>
        <v>92</v>
      </c>
      <c r="CD60" s="539">
        <f t="shared" si="15"/>
        <v>90</v>
      </c>
      <c r="CE60" s="539">
        <f t="shared" si="15"/>
        <v>91</v>
      </c>
      <c r="CF60" s="539">
        <f t="shared" si="15"/>
        <v>92</v>
      </c>
      <c r="CG60" s="539">
        <f t="shared" si="15"/>
        <v>92</v>
      </c>
      <c r="CH60" s="539">
        <f t="shared" si="15"/>
        <v>90</v>
      </c>
      <c r="CI60" s="539">
        <f t="shared" si="15"/>
        <v>91</v>
      </c>
      <c r="CJ60" s="539">
        <f t="shared" si="15"/>
        <v>92</v>
      </c>
      <c r="CK60" s="539">
        <f t="shared" si="15"/>
        <v>92</v>
      </c>
      <c r="CL60" s="539">
        <f t="shared" si="15"/>
        <v>90</v>
      </c>
      <c r="CM60" s="539">
        <f t="shared" si="15"/>
        <v>91</v>
      </c>
      <c r="CN60" s="539">
        <f t="shared" si="15"/>
        <v>92</v>
      </c>
      <c r="CO60" s="539">
        <f t="shared" si="15"/>
        <v>92</v>
      </c>
      <c r="CP60" s="539">
        <f t="shared" si="15"/>
        <v>91</v>
      </c>
      <c r="CQ60" s="539">
        <f t="shared" si="15"/>
        <v>91</v>
      </c>
      <c r="CR60" s="539">
        <f t="shared" si="15"/>
        <v>92</v>
      </c>
      <c r="CS60" s="539">
        <f t="shared" si="15"/>
        <v>92</v>
      </c>
      <c r="CT60" s="539">
        <f t="shared" si="15"/>
        <v>90</v>
      </c>
      <c r="CU60" s="539">
        <f t="shared" si="15"/>
        <v>91</v>
      </c>
      <c r="CV60" s="539">
        <f t="shared" si="15"/>
        <v>92</v>
      </c>
      <c r="CW60" s="539">
        <f t="shared" si="15"/>
        <v>92</v>
      </c>
      <c r="CX60" s="539">
        <f t="shared" si="15"/>
        <v>90</v>
      </c>
      <c r="CY60" s="539">
        <f t="shared" si="15"/>
        <v>91</v>
      </c>
      <c r="CZ60" s="539">
        <f t="shared" si="15"/>
        <v>92</v>
      </c>
      <c r="DA60" s="539">
        <f t="shared" si="15"/>
        <v>92</v>
      </c>
      <c r="DB60" s="539">
        <f t="shared" si="15"/>
        <v>0</v>
      </c>
      <c r="DC60" s="539">
        <f t="shared" si="15"/>
        <v>0</v>
      </c>
      <c r="DD60" s="539">
        <f t="shared" si="15"/>
        <v>0</v>
      </c>
      <c r="DE60" s="539">
        <f t="shared" si="15"/>
        <v>0</v>
      </c>
      <c r="DF60" s="539">
        <f t="shared" si="15"/>
        <v>0</v>
      </c>
      <c r="DG60" s="539">
        <f t="shared" si="15"/>
        <v>0</v>
      </c>
      <c r="DH60" s="539">
        <f t="shared" si="15"/>
        <v>0</v>
      </c>
      <c r="DI60" s="539">
        <f t="shared" si="15"/>
        <v>0</v>
      </c>
      <c r="DJ60" s="539">
        <f t="shared" si="15"/>
        <v>0</v>
      </c>
      <c r="DK60" s="539">
        <f t="shared" si="15"/>
        <v>0</v>
      </c>
      <c r="DL60" s="539">
        <f t="shared" si="15"/>
        <v>0</v>
      </c>
      <c r="DM60" s="539">
        <f t="shared" si="15"/>
        <v>0</v>
      </c>
      <c r="DN60" s="539">
        <f t="shared" si="15"/>
        <v>0</v>
      </c>
      <c r="DO60" s="539">
        <f t="shared" si="15"/>
        <v>0</v>
      </c>
      <c r="DP60" s="539">
        <f t="shared" si="15"/>
        <v>0</v>
      </c>
      <c r="DQ60" s="539">
        <f t="shared" si="15"/>
        <v>0</v>
      </c>
      <c r="DR60" s="539">
        <f t="shared" si="15"/>
        <v>0</v>
      </c>
      <c r="DS60" s="539">
        <f t="shared" si="15"/>
        <v>0</v>
      </c>
      <c r="DT60" s="539">
        <f t="shared" si="15"/>
        <v>0</v>
      </c>
      <c r="DU60" s="539">
        <f t="shared" si="15"/>
        <v>0</v>
      </c>
      <c r="DV60" s="539">
        <f t="shared" si="15"/>
        <v>0</v>
      </c>
      <c r="DW60" s="539">
        <f t="shared" si="15"/>
        <v>0</v>
      </c>
      <c r="DX60" s="539">
        <f t="shared" si="15"/>
        <v>0</v>
      </c>
      <c r="DY60" s="539">
        <f t="shared" si="15"/>
        <v>0</v>
      </c>
      <c r="DZ60" s="539">
        <f t="shared" si="15"/>
        <v>0</v>
      </c>
      <c r="EA60" s="539">
        <f t="shared" si="15"/>
        <v>0</v>
      </c>
      <c r="EB60" s="539">
        <f t="shared" si="15"/>
        <v>0</v>
      </c>
      <c r="EC60" s="539">
        <f t="shared" si="15"/>
        <v>0</v>
      </c>
      <c r="ED60" s="539">
        <f t="shared" si="15"/>
        <v>0</v>
      </c>
      <c r="EE60" s="539">
        <f t="shared" si="15"/>
        <v>0</v>
      </c>
      <c r="EF60" s="539">
        <f t="shared" si="15"/>
        <v>0</v>
      </c>
      <c r="EG60" s="539">
        <f t="shared" si="15"/>
        <v>0</v>
      </c>
    </row>
    <row r="62" spans="5:137" ht="12.75">
      <c r="E62" s="538" t="str">
        <f>E$60</f>
        <v>Financing costs - days in amortisation period</v>
      </c>
      <c r="G62" s="539" t="str">
        <f>G$60</f>
        <v>days</v>
      </c>
      <c r="H62" s="539">
        <f>H$60</f>
        <v>6574</v>
      </c>
      <c r="J62" s="539">
        <f t="shared" si="16" ref="J62:EG62">J$60</f>
        <v>0</v>
      </c>
      <c r="K62" s="539">
        <f t="shared" si="16"/>
        <v>0</v>
      </c>
      <c r="L62" s="539">
        <f t="shared" si="16"/>
        <v>0</v>
      </c>
      <c r="M62" s="539">
        <f t="shared" si="16"/>
        <v>0</v>
      </c>
      <c r="N62" s="539">
        <f t="shared" si="16"/>
        <v>0</v>
      </c>
      <c r="O62" s="539">
        <f t="shared" si="16"/>
        <v>0</v>
      </c>
      <c r="P62" s="539">
        <f t="shared" si="16"/>
        <v>0</v>
      </c>
      <c r="Q62" s="539">
        <f t="shared" si="16"/>
        <v>0</v>
      </c>
      <c r="R62" s="539">
        <f t="shared" si="16"/>
        <v>0</v>
      </c>
      <c r="S62" s="539">
        <f t="shared" si="16"/>
        <v>0</v>
      </c>
      <c r="T62" s="539">
        <f t="shared" si="16"/>
        <v>0</v>
      </c>
      <c r="U62" s="539">
        <f t="shared" si="16"/>
        <v>0</v>
      </c>
      <c r="V62" s="539">
        <f t="shared" si="16"/>
        <v>0</v>
      </c>
      <c r="W62" s="539">
        <f t="shared" si="16"/>
        <v>0</v>
      </c>
      <c r="X62" s="539">
        <f t="shared" si="16"/>
        <v>0</v>
      </c>
      <c r="Y62" s="539">
        <f t="shared" si="16"/>
        <v>0</v>
      </c>
      <c r="Z62" s="539">
        <f t="shared" si="16"/>
        <v>0</v>
      </c>
      <c r="AA62" s="539">
        <f t="shared" si="16"/>
        <v>0</v>
      </c>
      <c r="AB62" s="539">
        <f t="shared" si="16"/>
        <v>0</v>
      </c>
      <c r="AC62" s="539">
        <f t="shared" si="16"/>
        <v>0</v>
      </c>
      <c r="AD62" s="539">
        <f t="shared" si="16"/>
        <v>0</v>
      </c>
      <c r="AE62" s="539">
        <f t="shared" si="16"/>
        <v>0</v>
      </c>
      <c r="AF62" s="539">
        <f t="shared" si="16"/>
        <v>0</v>
      </c>
      <c r="AG62" s="539">
        <f t="shared" si="16"/>
        <v>0</v>
      </c>
      <c r="AH62" s="539">
        <f t="shared" si="16"/>
        <v>90</v>
      </c>
      <c r="AI62" s="539">
        <f t="shared" si="16"/>
        <v>91</v>
      </c>
      <c r="AJ62" s="539">
        <f t="shared" si="16"/>
        <v>92</v>
      </c>
      <c r="AK62" s="539">
        <f t="shared" si="16"/>
        <v>92</v>
      </c>
      <c r="AL62" s="539">
        <f t="shared" si="16"/>
        <v>90</v>
      </c>
      <c r="AM62" s="539">
        <f t="shared" si="16"/>
        <v>91</v>
      </c>
      <c r="AN62" s="539">
        <f t="shared" si="16"/>
        <v>92</v>
      </c>
      <c r="AO62" s="539">
        <f t="shared" si="16"/>
        <v>92</v>
      </c>
      <c r="AP62" s="539">
        <f t="shared" si="16"/>
        <v>90</v>
      </c>
      <c r="AQ62" s="539">
        <f t="shared" si="16"/>
        <v>91</v>
      </c>
      <c r="AR62" s="539">
        <f t="shared" si="16"/>
        <v>92</v>
      </c>
      <c r="AS62" s="539">
        <f t="shared" si="16"/>
        <v>92</v>
      </c>
      <c r="AT62" s="539">
        <f t="shared" si="16"/>
        <v>91</v>
      </c>
      <c r="AU62" s="539">
        <f t="shared" si="16"/>
        <v>91</v>
      </c>
      <c r="AV62" s="539">
        <f t="shared" si="16"/>
        <v>92</v>
      </c>
      <c r="AW62" s="539">
        <f t="shared" si="16"/>
        <v>92</v>
      </c>
      <c r="AX62" s="539">
        <f t="shared" si="16"/>
        <v>90</v>
      </c>
      <c r="AY62" s="539">
        <f t="shared" si="16"/>
        <v>91</v>
      </c>
      <c r="AZ62" s="539">
        <f t="shared" si="16"/>
        <v>92</v>
      </c>
      <c r="BA62" s="539">
        <f t="shared" si="16"/>
        <v>92</v>
      </c>
      <c r="BB62" s="539">
        <f t="shared" si="16"/>
        <v>90</v>
      </c>
      <c r="BC62" s="539">
        <f t="shared" si="16"/>
        <v>91</v>
      </c>
      <c r="BD62" s="539">
        <f t="shared" si="16"/>
        <v>92</v>
      </c>
      <c r="BE62" s="539">
        <f t="shared" si="16"/>
        <v>92</v>
      </c>
      <c r="BF62" s="539">
        <f t="shared" si="16"/>
        <v>90</v>
      </c>
      <c r="BG62" s="539">
        <f t="shared" si="16"/>
        <v>91</v>
      </c>
      <c r="BH62" s="539">
        <f t="shared" si="16"/>
        <v>92</v>
      </c>
      <c r="BI62" s="539">
        <f t="shared" si="16"/>
        <v>92</v>
      </c>
      <c r="BJ62" s="539">
        <f t="shared" si="16"/>
        <v>91</v>
      </c>
      <c r="BK62" s="539">
        <f t="shared" si="16"/>
        <v>91</v>
      </c>
      <c r="BL62" s="539">
        <f t="shared" si="16"/>
        <v>92</v>
      </c>
      <c r="BM62" s="539">
        <f t="shared" si="16"/>
        <v>92</v>
      </c>
      <c r="BN62" s="539">
        <f t="shared" si="16"/>
        <v>90</v>
      </c>
      <c r="BO62" s="539">
        <f t="shared" si="16"/>
        <v>91</v>
      </c>
      <c r="BP62" s="539">
        <f t="shared" si="16"/>
        <v>92</v>
      </c>
      <c r="BQ62" s="539">
        <f t="shared" si="16"/>
        <v>92</v>
      </c>
      <c r="BR62" s="539">
        <f t="shared" si="16"/>
        <v>90</v>
      </c>
      <c r="BS62" s="539">
        <f t="shared" si="16"/>
        <v>91</v>
      </c>
      <c r="BT62" s="539">
        <f t="shared" si="16"/>
        <v>92</v>
      </c>
      <c r="BU62" s="539">
        <f t="shared" si="16"/>
        <v>92</v>
      </c>
      <c r="BV62" s="539">
        <f t="shared" si="16"/>
        <v>90</v>
      </c>
      <c r="BW62" s="539">
        <f t="shared" si="16"/>
        <v>91</v>
      </c>
      <c r="BX62" s="539">
        <f t="shared" si="16"/>
        <v>92</v>
      </c>
      <c r="BY62" s="539">
        <f t="shared" si="16"/>
        <v>92</v>
      </c>
      <c r="BZ62" s="539">
        <f t="shared" si="16"/>
        <v>91</v>
      </c>
      <c r="CA62" s="539">
        <f t="shared" si="16"/>
        <v>91</v>
      </c>
      <c r="CB62" s="539">
        <f t="shared" si="16"/>
        <v>92</v>
      </c>
      <c r="CC62" s="539">
        <f t="shared" si="16"/>
        <v>92</v>
      </c>
      <c r="CD62" s="539">
        <f t="shared" si="16"/>
        <v>90</v>
      </c>
      <c r="CE62" s="539">
        <f t="shared" si="16"/>
        <v>91</v>
      </c>
      <c r="CF62" s="539">
        <f t="shared" si="16"/>
        <v>92</v>
      </c>
      <c r="CG62" s="539">
        <f t="shared" si="16"/>
        <v>92</v>
      </c>
      <c r="CH62" s="539">
        <f t="shared" si="16"/>
        <v>90</v>
      </c>
      <c r="CI62" s="539">
        <f t="shared" si="16"/>
        <v>91</v>
      </c>
      <c r="CJ62" s="539">
        <f t="shared" si="16"/>
        <v>92</v>
      </c>
      <c r="CK62" s="539">
        <f t="shared" si="16"/>
        <v>92</v>
      </c>
      <c r="CL62" s="539">
        <f t="shared" si="16"/>
        <v>90</v>
      </c>
      <c r="CM62" s="539">
        <f t="shared" si="16"/>
        <v>91</v>
      </c>
      <c r="CN62" s="539">
        <f t="shared" si="16"/>
        <v>92</v>
      </c>
      <c r="CO62" s="539">
        <f t="shared" si="16"/>
        <v>92</v>
      </c>
      <c r="CP62" s="539">
        <f t="shared" si="16"/>
        <v>91</v>
      </c>
      <c r="CQ62" s="539">
        <f t="shared" si="16"/>
        <v>91</v>
      </c>
      <c r="CR62" s="539">
        <f t="shared" si="16"/>
        <v>92</v>
      </c>
      <c r="CS62" s="539">
        <f t="shared" si="16"/>
        <v>92</v>
      </c>
      <c r="CT62" s="539">
        <f t="shared" si="16"/>
        <v>90</v>
      </c>
      <c r="CU62" s="539">
        <f t="shared" si="16"/>
        <v>91</v>
      </c>
      <c r="CV62" s="539">
        <f t="shared" si="16"/>
        <v>92</v>
      </c>
      <c r="CW62" s="539">
        <f t="shared" si="16"/>
        <v>92</v>
      </c>
      <c r="CX62" s="539">
        <f t="shared" si="16"/>
        <v>90</v>
      </c>
      <c r="CY62" s="539">
        <f t="shared" si="16"/>
        <v>91</v>
      </c>
      <c r="CZ62" s="539">
        <f t="shared" si="16"/>
        <v>92</v>
      </c>
      <c r="DA62" s="539">
        <f t="shared" si="16"/>
        <v>92</v>
      </c>
      <c r="DB62" s="539">
        <f t="shared" si="16"/>
        <v>0</v>
      </c>
      <c r="DC62" s="539">
        <f t="shared" si="16"/>
        <v>0</v>
      </c>
      <c r="DD62" s="539">
        <f t="shared" si="16"/>
        <v>0</v>
      </c>
      <c r="DE62" s="539">
        <f t="shared" si="16"/>
        <v>0</v>
      </c>
      <c r="DF62" s="539">
        <f t="shared" si="16"/>
        <v>0</v>
      </c>
      <c r="DG62" s="539">
        <f t="shared" si="16"/>
        <v>0</v>
      </c>
      <c r="DH62" s="539">
        <f t="shared" si="16"/>
        <v>0</v>
      </c>
      <c r="DI62" s="539">
        <f t="shared" si="16"/>
        <v>0</v>
      </c>
      <c r="DJ62" s="539">
        <f t="shared" si="16"/>
        <v>0</v>
      </c>
      <c r="DK62" s="539">
        <f t="shared" si="16"/>
        <v>0</v>
      </c>
      <c r="DL62" s="539">
        <f t="shared" si="16"/>
        <v>0</v>
      </c>
      <c r="DM62" s="539">
        <f t="shared" si="16"/>
        <v>0</v>
      </c>
      <c r="DN62" s="539">
        <f t="shared" si="16"/>
        <v>0</v>
      </c>
      <c r="DO62" s="539">
        <f t="shared" si="16"/>
        <v>0</v>
      </c>
      <c r="DP62" s="539">
        <f t="shared" si="16"/>
        <v>0</v>
      </c>
      <c r="DQ62" s="539">
        <f t="shared" si="16"/>
        <v>0</v>
      </c>
      <c r="DR62" s="539">
        <f t="shared" si="16"/>
        <v>0</v>
      </c>
      <c r="DS62" s="539">
        <f t="shared" si="16"/>
        <v>0</v>
      </c>
      <c r="DT62" s="539">
        <f t="shared" si="16"/>
        <v>0</v>
      </c>
      <c r="DU62" s="539">
        <f t="shared" si="16"/>
        <v>0</v>
      </c>
      <c r="DV62" s="539">
        <f t="shared" si="16"/>
        <v>0</v>
      </c>
      <c r="DW62" s="539">
        <f t="shared" si="16"/>
        <v>0</v>
      </c>
      <c r="DX62" s="539">
        <f t="shared" si="16"/>
        <v>0</v>
      </c>
      <c r="DY62" s="539">
        <f t="shared" si="16"/>
        <v>0</v>
      </c>
      <c r="DZ62" s="539">
        <f t="shared" si="16"/>
        <v>0</v>
      </c>
      <c r="EA62" s="539">
        <f t="shared" si="16"/>
        <v>0</v>
      </c>
      <c r="EB62" s="539">
        <f t="shared" si="16"/>
        <v>0</v>
      </c>
      <c r="EC62" s="539">
        <f t="shared" si="16"/>
        <v>0</v>
      </c>
      <c r="ED62" s="539">
        <f t="shared" si="16"/>
        <v>0</v>
      </c>
      <c r="EE62" s="539">
        <f t="shared" si="16"/>
        <v>0</v>
      </c>
      <c r="EF62" s="539">
        <f t="shared" si="16"/>
        <v>0</v>
      </c>
      <c r="EG62" s="539">
        <f t="shared" si="16"/>
        <v>0</v>
      </c>
    </row>
    <row r="63" spans="5:7" ht="12.75">
      <c r="E63" s="538" t="s">
        <v>292</v>
      </c>
      <c r="F63" s="539">
        <f>SUM($J62:$EG62)</f>
        <v>6574</v>
      </c>
      <c r="G63" s="539" t="s">
        <v>59</v>
      </c>
    </row>
    <row r="65" spans="2:2" ht="12.75">
      <c r="B65" s="534" t="s">
        <v>293</v>
      </c>
    </row>
    <row r="66" spans="5:7" ht="12.75">
      <c r="E66" s="538" t="str">
        <f>E$63</f>
        <v>Financing costs - total days in amortisation window</v>
      </c>
      <c r="F66" s="539">
        <f>F$63</f>
        <v>6574</v>
      </c>
      <c r="G66" s="539" t="str">
        <f>G$63</f>
        <v>days</v>
      </c>
    </row>
    <row r="67" spans="5:137" ht="12.75">
      <c r="E67" s="538" t="str">
        <f>E$54</f>
        <v>Financing costs - cost at COD</v>
      </c>
      <c r="G67" s="539" t="str">
        <f>G$54</f>
        <v>EUR 000s</v>
      </c>
      <c r="H67" s="539">
        <f>H$54</f>
        <v>1856644.1924690155</v>
      </c>
      <c r="J67" s="539">
        <f t="shared" si="17" ref="J67:EG67">J$54</f>
        <v>0</v>
      </c>
      <c r="K67" s="539">
        <f t="shared" si="17"/>
        <v>0</v>
      </c>
      <c r="L67" s="539">
        <f t="shared" si="17"/>
        <v>3319.2997186657749</v>
      </c>
      <c r="M67" s="539">
        <f t="shared" si="17"/>
        <v>3428.4273806493075</v>
      </c>
      <c r="N67" s="539">
        <f t="shared" si="17"/>
        <v>3550.2236108176789</v>
      </c>
      <c r="O67" s="539">
        <f t="shared" si="17"/>
        <v>3677.0463412943618</v>
      </c>
      <c r="P67" s="539">
        <f t="shared" si="17"/>
        <v>3817.1274755723225</v>
      </c>
      <c r="Q67" s="539">
        <f t="shared" si="17"/>
        <v>3957.4315550557626</v>
      </c>
      <c r="R67" s="539">
        <f t="shared" si="17"/>
        <v>4163.4473869214507</v>
      </c>
      <c r="S67" s="539">
        <f t="shared" si="17"/>
        <v>4505.0734025839774</v>
      </c>
      <c r="T67" s="539">
        <f t="shared" si="17"/>
        <v>4910.7382085915697</v>
      </c>
      <c r="U67" s="539">
        <f t="shared" si="17"/>
        <v>5409.5640617763338</v>
      </c>
      <c r="V67" s="539">
        <f t="shared" si="17"/>
        <v>5987.5247242138039</v>
      </c>
      <c r="W67" s="539">
        <f t="shared" si="17"/>
        <v>6596.1478230602825</v>
      </c>
      <c r="X67" s="539">
        <f t="shared" si="17"/>
        <v>7318.4917905892335</v>
      </c>
      <c r="Y67" s="539">
        <f t="shared" si="17"/>
        <v>8078.7541951389285</v>
      </c>
      <c r="Z67" s="539">
        <f t="shared" si="17"/>
        <v>8919.1378733300371</v>
      </c>
      <c r="AA67" s="539">
        <f t="shared" si="17"/>
        <v>9781.243350802004</v>
      </c>
      <c r="AB67" s="539">
        <f t="shared" si="17"/>
        <v>10731.009103725857</v>
      </c>
      <c r="AC67" s="539">
        <f t="shared" si="17"/>
        <v>11744.577734108454</v>
      </c>
      <c r="AD67" s="539">
        <f t="shared" si="17"/>
        <v>12787.330920574514</v>
      </c>
      <c r="AE67" s="539">
        <f t="shared" si="17"/>
        <v>13921.351245595242</v>
      </c>
      <c r="AF67" s="539">
        <f t="shared" si="17"/>
        <v>15049.3927455014</v>
      </c>
      <c r="AG67" s="539">
        <f t="shared" si="17"/>
        <v>16238.00811257573</v>
      </c>
      <c r="AH67" s="539">
        <f t="shared" si="17"/>
        <v>16238.00811257573</v>
      </c>
      <c r="AI67" s="539">
        <f t="shared" si="17"/>
        <v>16238.00811257573</v>
      </c>
      <c r="AJ67" s="539">
        <f t="shared" si="17"/>
        <v>16238.00811257573</v>
      </c>
      <c r="AK67" s="539">
        <f t="shared" si="17"/>
        <v>16238.00811257573</v>
      </c>
      <c r="AL67" s="539">
        <f t="shared" si="17"/>
        <v>16238.00811257573</v>
      </c>
      <c r="AM67" s="539">
        <f t="shared" si="17"/>
        <v>16238.00811257573</v>
      </c>
      <c r="AN67" s="539">
        <f t="shared" si="17"/>
        <v>16238.00811257573</v>
      </c>
      <c r="AO67" s="539">
        <f t="shared" si="17"/>
        <v>16238.00811257573</v>
      </c>
      <c r="AP67" s="539">
        <f t="shared" si="17"/>
        <v>16238.00811257573</v>
      </c>
      <c r="AQ67" s="539">
        <f t="shared" si="17"/>
        <v>16238.00811257573</v>
      </c>
      <c r="AR67" s="539">
        <f t="shared" si="17"/>
        <v>16238.00811257573</v>
      </c>
      <c r="AS67" s="539">
        <f t="shared" si="17"/>
        <v>16238.00811257573</v>
      </c>
      <c r="AT67" s="539">
        <f t="shared" si="17"/>
        <v>16238.00811257573</v>
      </c>
      <c r="AU67" s="539">
        <f t="shared" si="17"/>
        <v>16238.00811257573</v>
      </c>
      <c r="AV67" s="539">
        <f t="shared" si="17"/>
        <v>16238.00811257573</v>
      </c>
      <c r="AW67" s="539">
        <f t="shared" si="17"/>
        <v>16238.00811257573</v>
      </c>
      <c r="AX67" s="539">
        <f t="shared" si="17"/>
        <v>16238.00811257573</v>
      </c>
      <c r="AY67" s="539">
        <f t="shared" si="17"/>
        <v>16238.00811257573</v>
      </c>
      <c r="AZ67" s="539">
        <f t="shared" si="17"/>
        <v>16238.00811257573</v>
      </c>
      <c r="BA67" s="539">
        <f t="shared" si="17"/>
        <v>16238.00811257573</v>
      </c>
      <c r="BB67" s="539">
        <f t="shared" si="17"/>
        <v>16238.00811257573</v>
      </c>
      <c r="BC67" s="539">
        <f t="shared" si="17"/>
        <v>16238.00811257573</v>
      </c>
      <c r="BD67" s="539">
        <f t="shared" si="17"/>
        <v>16238.00811257573</v>
      </c>
      <c r="BE67" s="539">
        <f t="shared" si="17"/>
        <v>16238.00811257573</v>
      </c>
      <c r="BF67" s="539">
        <f t="shared" si="17"/>
        <v>16238.00811257573</v>
      </c>
      <c r="BG67" s="539">
        <f t="shared" si="17"/>
        <v>16238.00811257573</v>
      </c>
      <c r="BH67" s="539">
        <f t="shared" si="17"/>
        <v>16238.00811257573</v>
      </c>
      <c r="BI67" s="539">
        <f t="shared" si="17"/>
        <v>16238.00811257573</v>
      </c>
      <c r="BJ67" s="539">
        <f t="shared" si="17"/>
        <v>16238.00811257573</v>
      </c>
      <c r="BK67" s="539">
        <f t="shared" si="17"/>
        <v>16238.00811257573</v>
      </c>
      <c r="BL67" s="539">
        <f t="shared" si="17"/>
        <v>16238.00811257573</v>
      </c>
      <c r="BM67" s="539">
        <f t="shared" si="17"/>
        <v>16238.00811257573</v>
      </c>
      <c r="BN67" s="539">
        <f t="shared" si="17"/>
        <v>16238.00811257573</v>
      </c>
      <c r="BO67" s="539">
        <f t="shared" si="17"/>
        <v>16238.00811257573</v>
      </c>
      <c r="BP67" s="539">
        <f t="shared" si="17"/>
        <v>16238.00811257573</v>
      </c>
      <c r="BQ67" s="539">
        <f t="shared" si="17"/>
        <v>16238.00811257573</v>
      </c>
      <c r="BR67" s="539">
        <f t="shared" si="17"/>
        <v>16238.00811257573</v>
      </c>
      <c r="BS67" s="539">
        <f t="shared" si="17"/>
        <v>16238.00811257573</v>
      </c>
      <c r="BT67" s="539">
        <f t="shared" si="17"/>
        <v>16238.00811257573</v>
      </c>
      <c r="BU67" s="539">
        <f t="shared" si="17"/>
        <v>16238.00811257573</v>
      </c>
      <c r="BV67" s="539">
        <f t="shared" si="17"/>
        <v>16238.00811257573</v>
      </c>
      <c r="BW67" s="539">
        <f t="shared" si="17"/>
        <v>16238.00811257573</v>
      </c>
      <c r="BX67" s="539">
        <f t="shared" si="17"/>
        <v>16238.00811257573</v>
      </c>
      <c r="BY67" s="539">
        <f t="shared" si="17"/>
        <v>16238.00811257573</v>
      </c>
      <c r="BZ67" s="539">
        <f t="shared" si="17"/>
        <v>16238.00811257573</v>
      </c>
      <c r="CA67" s="539">
        <f t="shared" si="17"/>
        <v>16238.00811257573</v>
      </c>
      <c r="CB67" s="539">
        <f t="shared" si="17"/>
        <v>16238.00811257573</v>
      </c>
      <c r="CC67" s="539">
        <f t="shared" si="17"/>
        <v>16238.00811257573</v>
      </c>
      <c r="CD67" s="539">
        <f t="shared" si="17"/>
        <v>16238.00811257573</v>
      </c>
      <c r="CE67" s="539">
        <f t="shared" si="17"/>
        <v>16238.00811257573</v>
      </c>
      <c r="CF67" s="539">
        <f t="shared" si="17"/>
        <v>16238.00811257573</v>
      </c>
      <c r="CG67" s="539">
        <f t="shared" si="17"/>
        <v>16238.00811257573</v>
      </c>
      <c r="CH67" s="539">
        <f t="shared" si="17"/>
        <v>16238.00811257573</v>
      </c>
      <c r="CI67" s="539">
        <f t="shared" si="17"/>
        <v>16238.00811257573</v>
      </c>
      <c r="CJ67" s="539">
        <f t="shared" si="17"/>
        <v>16238.00811257573</v>
      </c>
      <c r="CK67" s="539">
        <f t="shared" si="17"/>
        <v>16238.00811257573</v>
      </c>
      <c r="CL67" s="539">
        <f t="shared" si="17"/>
        <v>16238.00811257573</v>
      </c>
      <c r="CM67" s="539">
        <f t="shared" si="17"/>
        <v>16238.00811257573</v>
      </c>
      <c r="CN67" s="539">
        <f t="shared" si="17"/>
        <v>16238.00811257573</v>
      </c>
      <c r="CO67" s="539">
        <f t="shared" si="17"/>
        <v>16238.00811257573</v>
      </c>
      <c r="CP67" s="539">
        <f t="shared" si="17"/>
        <v>16238.00811257573</v>
      </c>
      <c r="CQ67" s="539">
        <f t="shared" si="17"/>
        <v>16238.00811257573</v>
      </c>
      <c r="CR67" s="539">
        <f t="shared" si="17"/>
        <v>16238.00811257573</v>
      </c>
      <c r="CS67" s="539">
        <f t="shared" si="17"/>
        <v>16238.00811257573</v>
      </c>
      <c r="CT67" s="539">
        <f t="shared" si="17"/>
        <v>16238.00811257573</v>
      </c>
      <c r="CU67" s="539">
        <f t="shared" si="17"/>
        <v>16238.00811257573</v>
      </c>
      <c r="CV67" s="539">
        <f t="shared" si="17"/>
        <v>16238.00811257573</v>
      </c>
      <c r="CW67" s="539">
        <f t="shared" si="17"/>
        <v>16238.00811257573</v>
      </c>
      <c r="CX67" s="539">
        <f t="shared" si="17"/>
        <v>16238.00811257573</v>
      </c>
      <c r="CY67" s="539">
        <f t="shared" si="17"/>
        <v>16238.00811257573</v>
      </c>
      <c r="CZ67" s="539">
        <f t="shared" si="17"/>
        <v>16238.00811257573</v>
      </c>
      <c r="DA67" s="539">
        <f t="shared" si="17"/>
        <v>16238.00811257573</v>
      </c>
      <c r="DB67" s="539">
        <f t="shared" si="17"/>
        <v>16238.00811257573</v>
      </c>
      <c r="DC67" s="539">
        <f t="shared" si="17"/>
        <v>16238.00811257573</v>
      </c>
      <c r="DD67" s="539">
        <f t="shared" si="17"/>
        <v>16238.00811257573</v>
      </c>
      <c r="DE67" s="539">
        <f t="shared" si="17"/>
        <v>16238.00811257573</v>
      </c>
      <c r="DF67" s="539">
        <f t="shared" si="17"/>
        <v>16238.00811257573</v>
      </c>
      <c r="DG67" s="539">
        <f t="shared" si="17"/>
        <v>16238.00811257573</v>
      </c>
      <c r="DH67" s="539">
        <f t="shared" si="17"/>
        <v>16238.00811257573</v>
      </c>
      <c r="DI67" s="539">
        <f t="shared" si="17"/>
        <v>16238.00811257573</v>
      </c>
      <c r="DJ67" s="539">
        <f t="shared" si="17"/>
        <v>16238.00811257573</v>
      </c>
      <c r="DK67" s="539">
        <f t="shared" si="17"/>
        <v>16238.00811257573</v>
      </c>
      <c r="DL67" s="539">
        <f t="shared" si="17"/>
        <v>16238.00811257573</v>
      </c>
      <c r="DM67" s="539">
        <f t="shared" si="17"/>
        <v>16238.00811257573</v>
      </c>
      <c r="DN67" s="539">
        <f t="shared" si="17"/>
        <v>16238.00811257573</v>
      </c>
      <c r="DO67" s="539">
        <f t="shared" si="17"/>
        <v>16238.00811257573</v>
      </c>
      <c r="DP67" s="539">
        <f t="shared" si="17"/>
        <v>16238.00811257573</v>
      </c>
      <c r="DQ67" s="539">
        <f t="shared" si="17"/>
        <v>16238.00811257573</v>
      </c>
      <c r="DR67" s="539">
        <f t="shared" si="17"/>
        <v>16238.00811257573</v>
      </c>
      <c r="DS67" s="539">
        <f t="shared" si="17"/>
        <v>16238.00811257573</v>
      </c>
      <c r="DT67" s="539">
        <f t="shared" si="17"/>
        <v>16238.00811257573</v>
      </c>
      <c r="DU67" s="539">
        <f t="shared" si="17"/>
        <v>16238.00811257573</v>
      </c>
      <c r="DV67" s="539">
        <f t="shared" si="17"/>
        <v>16238.00811257573</v>
      </c>
      <c r="DW67" s="539">
        <f t="shared" si="17"/>
        <v>16238.00811257573</v>
      </c>
      <c r="DX67" s="539">
        <f t="shared" si="17"/>
        <v>16238.00811257573</v>
      </c>
      <c r="DY67" s="539">
        <f t="shared" si="17"/>
        <v>16238.00811257573</v>
      </c>
      <c r="DZ67" s="539">
        <f t="shared" si="17"/>
        <v>16238.00811257573</v>
      </c>
      <c r="EA67" s="539">
        <f t="shared" si="17"/>
        <v>16238.00811257573</v>
      </c>
      <c r="EB67" s="539">
        <f t="shared" si="17"/>
        <v>16238.00811257573</v>
      </c>
      <c r="EC67" s="539">
        <f t="shared" si="17"/>
        <v>16238.00811257573</v>
      </c>
      <c r="ED67" s="539">
        <f t="shared" si="17"/>
        <v>16238.00811257573</v>
      </c>
      <c r="EE67" s="539">
        <f t="shared" si="17"/>
        <v>16238.00811257573</v>
      </c>
      <c r="EF67" s="539">
        <f t="shared" si="17"/>
        <v>16238.00811257573</v>
      </c>
      <c r="EG67" s="539">
        <f t="shared" si="17"/>
        <v>16238.00811257573</v>
      </c>
    </row>
    <row r="68" spans="5:137" ht="12.75">
      <c r="E68" s="538" t="str">
        <f>E$60</f>
        <v>Financing costs - days in amortisation period</v>
      </c>
      <c r="G68" s="539" t="str">
        <f>G$60</f>
        <v>days</v>
      </c>
      <c r="H68" s="539">
        <f>H$60</f>
        <v>6574</v>
      </c>
      <c r="J68" s="539">
        <f t="shared" si="18" ref="J68:EG68">J$60</f>
        <v>0</v>
      </c>
      <c r="K68" s="539">
        <f t="shared" si="18"/>
        <v>0</v>
      </c>
      <c r="L68" s="539">
        <f t="shared" si="18"/>
        <v>0</v>
      </c>
      <c r="M68" s="539">
        <f t="shared" si="18"/>
        <v>0</v>
      </c>
      <c r="N68" s="539">
        <f t="shared" si="18"/>
        <v>0</v>
      </c>
      <c r="O68" s="539">
        <f t="shared" si="18"/>
        <v>0</v>
      </c>
      <c r="P68" s="539">
        <f t="shared" si="18"/>
        <v>0</v>
      </c>
      <c r="Q68" s="539">
        <f t="shared" si="18"/>
        <v>0</v>
      </c>
      <c r="R68" s="539">
        <f t="shared" si="18"/>
        <v>0</v>
      </c>
      <c r="S68" s="539">
        <f t="shared" si="18"/>
        <v>0</v>
      </c>
      <c r="T68" s="539">
        <f t="shared" si="18"/>
        <v>0</v>
      </c>
      <c r="U68" s="539">
        <f t="shared" si="18"/>
        <v>0</v>
      </c>
      <c r="V68" s="539">
        <f t="shared" si="18"/>
        <v>0</v>
      </c>
      <c r="W68" s="539">
        <f t="shared" si="18"/>
        <v>0</v>
      </c>
      <c r="X68" s="539">
        <f t="shared" si="18"/>
        <v>0</v>
      </c>
      <c r="Y68" s="539">
        <f t="shared" si="18"/>
        <v>0</v>
      </c>
      <c r="Z68" s="539">
        <f t="shared" si="18"/>
        <v>0</v>
      </c>
      <c r="AA68" s="539">
        <f t="shared" si="18"/>
        <v>0</v>
      </c>
      <c r="AB68" s="539">
        <f t="shared" si="18"/>
        <v>0</v>
      </c>
      <c r="AC68" s="539">
        <f t="shared" si="18"/>
        <v>0</v>
      </c>
      <c r="AD68" s="539">
        <f t="shared" si="18"/>
        <v>0</v>
      </c>
      <c r="AE68" s="539">
        <f t="shared" si="18"/>
        <v>0</v>
      </c>
      <c r="AF68" s="539">
        <f t="shared" si="18"/>
        <v>0</v>
      </c>
      <c r="AG68" s="539">
        <f t="shared" si="18"/>
        <v>0</v>
      </c>
      <c r="AH68" s="539">
        <f t="shared" si="18"/>
        <v>90</v>
      </c>
      <c r="AI68" s="539">
        <f t="shared" si="18"/>
        <v>91</v>
      </c>
      <c r="AJ68" s="539">
        <f t="shared" si="18"/>
        <v>92</v>
      </c>
      <c r="AK68" s="539">
        <f t="shared" si="18"/>
        <v>92</v>
      </c>
      <c r="AL68" s="539">
        <f t="shared" si="18"/>
        <v>90</v>
      </c>
      <c r="AM68" s="539">
        <f t="shared" si="18"/>
        <v>91</v>
      </c>
      <c r="AN68" s="539">
        <f t="shared" si="18"/>
        <v>92</v>
      </c>
      <c r="AO68" s="539">
        <f t="shared" si="18"/>
        <v>92</v>
      </c>
      <c r="AP68" s="539">
        <f t="shared" si="18"/>
        <v>90</v>
      </c>
      <c r="AQ68" s="539">
        <f t="shared" si="18"/>
        <v>91</v>
      </c>
      <c r="AR68" s="539">
        <f t="shared" si="18"/>
        <v>92</v>
      </c>
      <c r="AS68" s="539">
        <f t="shared" si="18"/>
        <v>92</v>
      </c>
      <c r="AT68" s="539">
        <f t="shared" si="18"/>
        <v>91</v>
      </c>
      <c r="AU68" s="539">
        <f t="shared" si="18"/>
        <v>91</v>
      </c>
      <c r="AV68" s="539">
        <f t="shared" si="18"/>
        <v>92</v>
      </c>
      <c r="AW68" s="539">
        <f t="shared" si="18"/>
        <v>92</v>
      </c>
      <c r="AX68" s="539">
        <f t="shared" si="18"/>
        <v>90</v>
      </c>
      <c r="AY68" s="539">
        <f t="shared" si="18"/>
        <v>91</v>
      </c>
      <c r="AZ68" s="539">
        <f t="shared" si="18"/>
        <v>92</v>
      </c>
      <c r="BA68" s="539">
        <f t="shared" si="18"/>
        <v>92</v>
      </c>
      <c r="BB68" s="539">
        <f t="shared" si="18"/>
        <v>90</v>
      </c>
      <c r="BC68" s="539">
        <f t="shared" si="18"/>
        <v>91</v>
      </c>
      <c r="BD68" s="539">
        <f t="shared" si="18"/>
        <v>92</v>
      </c>
      <c r="BE68" s="539">
        <f t="shared" si="18"/>
        <v>92</v>
      </c>
      <c r="BF68" s="539">
        <f t="shared" si="18"/>
        <v>90</v>
      </c>
      <c r="BG68" s="539">
        <f t="shared" si="18"/>
        <v>91</v>
      </c>
      <c r="BH68" s="539">
        <f t="shared" si="18"/>
        <v>92</v>
      </c>
      <c r="BI68" s="539">
        <f t="shared" si="18"/>
        <v>92</v>
      </c>
      <c r="BJ68" s="539">
        <f t="shared" si="18"/>
        <v>91</v>
      </c>
      <c r="BK68" s="539">
        <f t="shared" si="18"/>
        <v>91</v>
      </c>
      <c r="BL68" s="539">
        <f t="shared" si="18"/>
        <v>92</v>
      </c>
      <c r="BM68" s="539">
        <f t="shared" si="18"/>
        <v>92</v>
      </c>
      <c r="BN68" s="539">
        <f t="shared" si="18"/>
        <v>90</v>
      </c>
      <c r="BO68" s="539">
        <f t="shared" si="18"/>
        <v>91</v>
      </c>
      <c r="BP68" s="539">
        <f t="shared" si="18"/>
        <v>92</v>
      </c>
      <c r="BQ68" s="539">
        <f t="shared" si="18"/>
        <v>92</v>
      </c>
      <c r="BR68" s="539">
        <f t="shared" si="18"/>
        <v>90</v>
      </c>
      <c r="BS68" s="539">
        <f t="shared" si="18"/>
        <v>91</v>
      </c>
      <c r="BT68" s="539">
        <f t="shared" si="18"/>
        <v>92</v>
      </c>
      <c r="BU68" s="539">
        <f t="shared" si="18"/>
        <v>92</v>
      </c>
      <c r="BV68" s="539">
        <f t="shared" si="18"/>
        <v>90</v>
      </c>
      <c r="BW68" s="539">
        <f t="shared" si="18"/>
        <v>91</v>
      </c>
      <c r="BX68" s="539">
        <f t="shared" si="18"/>
        <v>92</v>
      </c>
      <c r="BY68" s="539">
        <f t="shared" si="18"/>
        <v>92</v>
      </c>
      <c r="BZ68" s="539">
        <f t="shared" si="18"/>
        <v>91</v>
      </c>
      <c r="CA68" s="539">
        <f t="shared" si="18"/>
        <v>91</v>
      </c>
      <c r="CB68" s="539">
        <f t="shared" si="18"/>
        <v>92</v>
      </c>
      <c r="CC68" s="539">
        <f t="shared" si="18"/>
        <v>92</v>
      </c>
      <c r="CD68" s="539">
        <f t="shared" si="18"/>
        <v>90</v>
      </c>
      <c r="CE68" s="539">
        <f t="shared" si="18"/>
        <v>91</v>
      </c>
      <c r="CF68" s="539">
        <f t="shared" si="18"/>
        <v>92</v>
      </c>
      <c r="CG68" s="539">
        <f t="shared" si="18"/>
        <v>92</v>
      </c>
      <c r="CH68" s="539">
        <f t="shared" si="18"/>
        <v>90</v>
      </c>
      <c r="CI68" s="539">
        <f t="shared" si="18"/>
        <v>91</v>
      </c>
      <c r="CJ68" s="539">
        <f t="shared" si="18"/>
        <v>92</v>
      </c>
      <c r="CK68" s="539">
        <f t="shared" si="18"/>
        <v>92</v>
      </c>
      <c r="CL68" s="539">
        <f t="shared" si="18"/>
        <v>90</v>
      </c>
      <c r="CM68" s="539">
        <f t="shared" si="18"/>
        <v>91</v>
      </c>
      <c r="CN68" s="539">
        <f t="shared" si="18"/>
        <v>92</v>
      </c>
      <c r="CO68" s="539">
        <f t="shared" si="18"/>
        <v>92</v>
      </c>
      <c r="CP68" s="539">
        <f t="shared" si="18"/>
        <v>91</v>
      </c>
      <c r="CQ68" s="539">
        <f t="shared" si="18"/>
        <v>91</v>
      </c>
      <c r="CR68" s="539">
        <f t="shared" si="18"/>
        <v>92</v>
      </c>
      <c r="CS68" s="539">
        <f t="shared" si="18"/>
        <v>92</v>
      </c>
      <c r="CT68" s="539">
        <f t="shared" si="18"/>
        <v>90</v>
      </c>
      <c r="CU68" s="539">
        <f t="shared" si="18"/>
        <v>91</v>
      </c>
      <c r="CV68" s="539">
        <f t="shared" si="18"/>
        <v>92</v>
      </c>
      <c r="CW68" s="539">
        <f t="shared" si="18"/>
        <v>92</v>
      </c>
      <c r="CX68" s="539">
        <f t="shared" si="18"/>
        <v>90</v>
      </c>
      <c r="CY68" s="539">
        <f t="shared" si="18"/>
        <v>91</v>
      </c>
      <c r="CZ68" s="539">
        <f t="shared" si="18"/>
        <v>92</v>
      </c>
      <c r="DA68" s="539">
        <f t="shared" si="18"/>
        <v>92</v>
      </c>
      <c r="DB68" s="539">
        <f t="shared" si="18"/>
        <v>0</v>
      </c>
      <c r="DC68" s="539">
        <f t="shared" si="18"/>
        <v>0</v>
      </c>
      <c r="DD68" s="539">
        <f t="shared" si="18"/>
        <v>0</v>
      </c>
      <c r="DE68" s="539">
        <f t="shared" si="18"/>
        <v>0</v>
      </c>
      <c r="DF68" s="539">
        <f t="shared" si="18"/>
        <v>0</v>
      </c>
      <c r="DG68" s="539">
        <f t="shared" si="18"/>
        <v>0</v>
      </c>
      <c r="DH68" s="539">
        <f t="shared" si="18"/>
        <v>0</v>
      </c>
      <c r="DI68" s="539">
        <f t="shared" si="18"/>
        <v>0</v>
      </c>
      <c r="DJ68" s="539">
        <f t="shared" si="18"/>
        <v>0</v>
      </c>
      <c r="DK68" s="539">
        <f t="shared" si="18"/>
        <v>0</v>
      </c>
      <c r="DL68" s="539">
        <f t="shared" si="18"/>
        <v>0</v>
      </c>
      <c r="DM68" s="539">
        <f t="shared" si="18"/>
        <v>0</v>
      </c>
      <c r="DN68" s="539">
        <f t="shared" si="18"/>
        <v>0</v>
      </c>
      <c r="DO68" s="539">
        <f t="shared" si="18"/>
        <v>0</v>
      </c>
      <c r="DP68" s="539">
        <f t="shared" si="18"/>
        <v>0</v>
      </c>
      <c r="DQ68" s="539">
        <f t="shared" si="18"/>
        <v>0</v>
      </c>
      <c r="DR68" s="539">
        <f t="shared" si="18"/>
        <v>0</v>
      </c>
      <c r="DS68" s="539">
        <f t="shared" si="18"/>
        <v>0</v>
      </c>
      <c r="DT68" s="539">
        <f t="shared" si="18"/>
        <v>0</v>
      </c>
      <c r="DU68" s="539">
        <f t="shared" si="18"/>
        <v>0</v>
      </c>
      <c r="DV68" s="539">
        <f t="shared" si="18"/>
        <v>0</v>
      </c>
      <c r="DW68" s="539">
        <f t="shared" si="18"/>
        <v>0</v>
      </c>
      <c r="DX68" s="539">
        <f t="shared" si="18"/>
        <v>0</v>
      </c>
      <c r="DY68" s="539">
        <f t="shared" si="18"/>
        <v>0</v>
      </c>
      <c r="DZ68" s="539">
        <f t="shared" si="18"/>
        <v>0</v>
      </c>
      <c r="EA68" s="539">
        <f t="shared" si="18"/>
        <v>0</v>
      </c>
      <c r="EB68" s="539">
        <f t="shared" si="18"/>
        <v>0</v>
      </c>
      <c r="EC68" s="539">
        <f t="shared" si="18"/>
        <v>0</v>
      </c>
      <c r="ED68" s="539">
        <f t="shared" si="18"/>
        <v>0</v>
      </c>
      <c r="EE68" s="539">
        <f t="shared" si="18"/>
        <v>0</v>
      </c>
      <c r="EF68" s="539">
        <f t="shared" si="18"/>
        <v>0</v>
      </c>
      <c r="EG68" s="539">
        <f t="shared" si="18"/>
        <v>0</v>
      </c>
    </row>
    <row r="69" spans="5:137" ht="12.75">
      <c r="E69" s="540" t="s">
        <v>294</v>
      </c>
      <c r="G69" s="541" t="s">
        <v>30</v>
      </c>
      <c r="H69" s="541">
        <f>SUM(J69:EG69)</f>
        <v>16238.008112575733</v>
      </c>
      <c r="J69" s="541">
        <f t="shared" si="19" ref="J69:EG69">IF($F66=0,0,J67*J68/$F66)</f>
        <v>0</v>
      </c>
      <c r="K69" s="541">
        <f t="shared" si="19"/>
        <v>0</v>
      </c>
      <c r="L69" s="541">
        <f t="shared" si="19"/>
        <v>0</v>
      </c>
      <c r="M69" s="541">
        <f t="shared" si="19"/>
        <v>0</v>
      </c>
      <c r="N69" s="541">
        <f t="shared" si="19"/>
        <v>0</v>
      </c>
      <c r="O69" s="541">
        <f t="shared" si="19"/>
        <v>0</v>
      </c>
      <c r="P69" s="541">
        <f t="shared" si="19"/>
        <v>0</v>
      </c>
      <c r="Q69" s="541">
        <f t="shared" si="19"/>
        <v>0</v>
      </c>
      <c r="R69" s="541">
        <f t="shared" si="19"/>
        <v>0</v>
      </c>
      <c r="S69" s="541">
        <f t="shared" si="19"/>
        <v>0</v>
      </c>
      <c r="T69" s="541">
        <f t="shared" si="19"/>
        <v>0</v>
      </c>
      <c r="U69" s="541">
        <f t="shared" si="19"/>
        <v>0</v>
      </c>
      <c r="V69" s="541">
        <f t="shared" si="19"/>
        <v>0</v>
      </c>
      <c r="W69" s="541">
        <f t="shared" si="19"/>
        <v>0</v>
      </c>
      <c r="X69" s="541">
        <f t="shared" si="19"/>
        <v>0</v>
      </c>
      <c r="Y69" s="541">
        <f t="shared" si="19"/>
        <v>0</v>
      </c>
      <c r="Z69" s="541">
        <f t="shared" si="19"/>
        <v>0</v>
      </c>
      <c r="AA69" s="541">
        <f t="shared" si="19"/>
        <v>0</v>
      </c>
      <c r="AB69" s="541">
        <f t="shared" si="19"/>
        <v>0</v>
      </c>
      <c r="AC69" s="541">
        <f t="shared" si="19"/>
        <v>0</v>
      </c>
      <c r="AD69" s="541">
        <f t="shared" si="19"/>
        <v>0</v>
      </c>
      <c r="AE69" s="541">
        <f t="shared" si="19"/>
        <v>0</v>
      </c>
      <c r="AF69" s="541">
        <f t="shared" si="19"/>
        <v>0</v>
      </c>
      <c r="AG69" s="541">
        <f t="shared" si="19"/>
        <v>0</v>
      </c>
      <c r="AH69" s="541">
        <f t="shared" si="19"/>
        <v>222.30312292847819</v>
      </c>
      <c r="AI69" s="541">
        <f t="shared" si="19"/>
        <v>224.77315762768353</v>
      </c>
      <c r="AJ69" s="541">
        <f t="shared" si="19"/>
        <v>227.24319232688882</v>
      </c>
      <c r="AK69" s="541">
        <f t="shared" si="19"/>
        <v>227.24319232688882</v>
      </c>
      <c r="AL69" s="541">
        <f t="shared" si="19"/>
        <v>222.30312292847819</v>
      </c>
      <c r="AM69" s="541">
        <f t="shared" si="19"/>
        <v>224.77315762768353</v>
      </c>
      <c r="AN69" s="541">
        <f t="shared" si="19"/>
        <v>227.24319232688882</v>
      </c>
      <c r="AO69" s="541">
        <f t="shared" si="19"/>
        <v>227.24319232688882</v>
      </c>
      <c r="AP69" s="541">
        <f t="shared" si="19"/>
        <v>222.30312292847819</v>
      </c>
      <c r="AQ69" s="541">
        <f t="shared" si="19"/>
        <v>224.77315762768353</v>
      </c>
      <c r="AR69" s="541">
        <f t="shared" si="19"/>
        <v>227.24319232688882</v>
      </c>
      <c r="AS69" s="541">
        <f t="shared" si="19"/>
        <v>227.24319232688882</v>
      </c>
      <c r="AT69" s="541">
        <f t="shared" si="19"/>
        <v>224.77315762768353</v>
      </c>
      <c r="AU69" s="541">
        <f t="shared" si="19"/>
        <v>224.77315762768353</v>
      </c>
      <c r="AV69" s="541">
        <f t="shared" si="19"/>
        <v>227.24319232688882</v>
      </c>
      <c r="AW69" s="541">
        <f t="shared" si="19"/>
        <v>227.24319232688882</v>
      </c>
      <c r="AX69" s="541">
        <f t="shared" si="19"/>
        <v>222.30312292847819</v>
      </c>
      <c r="AY69" s="541">
        <f t="shared" si="19"/>
        <v>224.77315762768353</v>
      </c>
      <c r="AZ69" s="541">
        <f t="shared" si="19"/>
        <v>227.24319232688882</v>
      </c>
      <c r="BA69" s="541">
        <f t="shared" si="19"/>
        <v>227.24319232688882</v>
      </c>
      <c r="BB69" s="541">
        <f t="shared" si="19"/>
        <v>222.30312292847819</v>
      </c>
      <c r="BC69" s="541">
        <f t="shared" si="19"/>
        <v>224.77315762768353</v>
      </c>
      <c r="BD69" s="541">
        <f t="shared" si="19"/>
        <v>227.24319232688882</v>
      </c>
      <c r="BE69" s="541">
        <f t="shared" si="19"/>
        <v>227.24319232688882</v>
      </c>
      <c r="BF69" s="541">
        <f t="shared" si="19"/>
        <v>222.30312292847819</v>
      </c>
      <c r="BG69" s="541">
        <f t="shared" si="19"/>
        <v>224.77315762768353</v>
      </c>
      <c r="BH69" s="541">
        <f t="shared" si="19"/>
        <v>227.24319232688882</v>
      </c>
      <c r="BI69" s="541">
        <f t="shared" si="19"/>
        <v>227.24319232688882</v>
      </c>
      <c r="BJ69" s="541">
        <f t="shared" si="19"/>
        <v>224.77315762768353</v>
      </c>
      <c r="BK69" s="541">
        <f t="shared" si="19"/>
        <v>224.77315762768353</v>
      </c>
      <c r="BL69" s="541">
        <f t="shared" si="19"/>
        <v>227.24319232688882</v>
      </c>
      <c r="BM69" s="541">
        <f t="shared" si="19"/>
        <v>227.24319232688882</v>
      </c>
      <c r="BN69" s="541">
        <f t="shared" si="19"/>
        <v>222.30312292847819</v>
      </c>
      <c r="BO69" s="541">
        <f t="shared" si="19"/>
        <v>224.77315762768353</v>
      </c>
      <c r="BP69" s="541">
        <f t="shared" si="19"/>
        <v>227.24319232688882</v>
      </c>
      <c r="BQ69" s="541">
        <f t="shared" si="19"/>
        <v>227.24319232688882</v>
      </c>
      <c r="BR69" s="541">
        <f t="shared" si="19"/>
        <v>222.30312292847819</v>
      </c>
      <c r="BS69" s="541">
        <f t="shared" si="19"/>
        <v>224.77315762768353</v>
      </c>
      <c r="BT69" s="541">
        <f t="shared" si="19"/>
        <v>227.24319232688882</v>
      </c>
      <c r="BU69" s="541">
        <f t="shared" si="19"/>
        <v>227.24319232688882</v>
      </c>
      <c r="BV69" s="541">
        <f t="shared" si="19"/>
        <v>222.30312292847819</v>
      </c>
      <c r="BW69" s="541">
        <f t="shared" si="19"/>
        <v>224.77315762768353</v>
      </c>
      <c r="BX69" s="541">
        <f t="shared" si="19"/>
        <v>227.24319232688882</v>
      </c>
      <c r="BY69" s="541">
        <f t="shared" si="19"/>
        <v>227.24319232688882</v>
      </c>
      <c r="BZ69" s="541">
        <f t="shared" si="19"/>
        <v>224.77315762768353</v>
      </c>
      <c r="CA69" s="541">
        <f t="shared" si="19"/>
        <v>224.77315762768353</v>
      </c>
      <c r="CB69" s="541">
        <f t="shared" si="19"/>
        <v>227.24319232688882</v>
      </c>
      <c r="CC69" s="541">
        <f t="shared" si="19"/>
        <v>227.24319232688882</v>
      </c>
      <c r="CD69" s="541">
        <f t="shared" si="19"/>
        <v>222.30312292847819</v>
      </c>
      <c r="CE69" s="541">
        <f t="shared" si="19"/>
        <v>224.77315762768353</v>
      </c>
      <c r="CF69" s="541">
        <f t="shared" si="19"/>
        <v>227.24319232688882</v>
      </c>
      <c r="CG69" s="541">
        <f t="shared" si="19"/>
        <v>227.24319232688882</v>
      </c>
      <c r="CH69" s="541">
        <f t="shared" si="19"/>
        <v>222.30312292847819</v>
      </c>
      <c r="CI69" s="541">
        <f t="shared" si="19"/>
        <v>224.77315762768353</v>
      </c>
      <c r="CJ69" s="541">
        <f t="shared" si="19"/>
        <v>227.24319232688882</v>
      </c>
      <c r="CK69" s="541">
        <f t="shared" si="19"/>
        <v>227.24319232688882</v>
      </c>
      <c r="CL69" s="541">
        <f t="shared" si="19"/>
        <v>222.30312292847819</v>
      </c>
      <c r="CM69" s="541">
        <f t="shared" si="19"/>
        <v>224.77315762768353</v>
      </c>
      <c r="CN69" s="541">
        <f t="shared" si="19"/>
        <v>227.24319232688882</v>
      </c>
      <c r="CO69" s="541">
        <f t="shared" si="19"/>
        <v>227.24319232688882</v>
      </c>
      <c r="CP69" s="541">
        <f t="shared" si="19"/>
        <v>224.77315762768353</v>
      </c>
      <c r="CQ69" s="541">
        <f t="shared" si="19"/>
        <v>224.77315762768353</v>
      </c>
      <c r="CR69" s="541">
        <f t="shared" si="19"/>
        <v>227.24319232688882</v>
      </c>
      <c r="CS69" s="541">
        <f t="shared" si="19"/>
        <v>227.24319232688882</v>
      </c>
      <c r="CT69" s="541">
        <f t="shared" si="19"/>
        <v>222.30312292847819</v>
      </c>
      <c r="CU69" s="541">
        <f t="shared" si="19"/>
        <v>224.77315762768353</v>
      </c>
      <c r="CV69" s="541">
        <f t="shared" si="19"/>
        <v>227.24319232688882</v>
      </c>
      <c r="CW69" s="541">
        <f t="shared" si="19"/>
        <v>227.24319232688882</v>
      </c>
      <c r="CX69" s="541">
        <f t="shared" si="19"/>
        <v>222.30312292847819</v>
      </c>
      <c r="CY69" s="541">
        <f t="shared" si="19"/>
        <v>224.77315762768353</v>
      </c>
      <c r="CZ69" s="541">
        <f t="shared" si="19"/>
        <v>227.24319232688882</v>
      </c>
      <c r="DA69" s="541">
        <f t="shared" si="19"/>
        <v>227.24319232688882</v>
      </c>
      <c r="DB69" s="541">
        <f t="shared" si="19"/>
        <v>0</v>
      </c>
      <c r="DC69" s="541">
        <f t="shared" si="19"/>
        <v>0</v>
      </c>
      <c r="DD69" s="541">
        <f t="shared" si="19"/>
        <v>0</v>
      </c>
      <c r="DE69" s="541">
        <f t="shared" si="19"/>
        <v>0</v>
      </c>
      <c r="DF69" s="541">
        <f t="shared" si="19"/>
        <v>0</v>
      </c>
      <c r="DG69" s="541">
        <f t="shared" si="19"/>
        <v>0</v>
      </c>
      <c r="DH69" s="541">
        <f t="shared" si="19"/>
        <v>0</v>
      </c>
      <c r="DI69" s="541">
        <f t="shared" si="19"/>
        <v>0</v>
      </c>
      <c r="DJ69" s="541">
        <f t="shared" si="19"/>
        <v>0</v>
      </c>
      <c r="DK69" s="541">
        <f t="shared" si="19"/>
        <v>0</v>
      </c>
      <c r="DL69" s="541">
        <f t="shared" si="19"/>
        <v>0</v>
      </c>
      <c r="DM69" s="541">
        <f t="shared" si="19"/>
        <v>0</v>
      </c>
      <c r="DN69" s="541">
        <f t="shared" si="19"/>
        <v>0</v>
      </c>
      <c r="DO69" s="541">
        <f t="shared" si="19"/>
        <v>0</v>
      </c>
      <c r="DP69" s="541">
        <f t="shared" si="19"/>
        <v>0</v>
      </c>
      <c r="DQ69" s="541">
        <f t="shared" si="19"/>
        <v>0</v>
      </c>
      <c r="DR69" s="541">
        <f t="shared" si="19"/>
        <v>0</v>
      </c>
      <c r="DS69" s="541">
        <f t="shared" si="19"/>
        <v>0</v>
      </c>
      <c r="DT69" s="541">
        <f t="shared" si="19"/>
        <v>0</v>
      </c>
      <c r="DU69" s="541">
        <f t="shared" si="19"/>
        <v>0</v>
      </c>
      <c r="DV69" s="541">
        <f t="shared" si="19"/>
        <v>0</v>
      </c>
      <c r="DW69" s="541">
        <f t="shared" si="19"/>
        <v>0</v>
      </c>
      <c r="DX69" s="541">
        <f t="shared" si="19"/>
        <v>0</v>
      </c>
      <c r="DY69" s="541">
        <f t="shared" si="19"/>
        <v>0</v>
      </c>
      <c r="DZ69" s="541">
        <f t="shared" si="19"/>
        <v>0</v>
      </c>
      <c r="EA69" s="541">
        <f t="shared" si="19"/>
        <v>0</v>
      </c>
      <c r="EB69" s="541">
        <f t="shared" si="19"/>
        <v>0</v>
      </c>
      <c r="EC69" s="541">
        <f t="shared" si="19"/>
        <v>0</v>
      </c>
      <c r="ED69" s="541">
        <f t="shared" si="19"/>
        <v>0</v>
      </c>
      <c r="EE69" s="541">
        <f t="shared" si="19"/>
        <v>0</v>
      </c>
      <c r="EF69" s="541">
        <f t="shared" si="19"/>
        <v>0</v>
      </c>
      <c r="EG69" s="541">
        <f t="shared" si="19"/>
        <v>0</v>
      </c>
    </row>
    <row r="71" spans="5:137" ht="12.75">
      <c r="E71" s="535" t="str">
        <f>Cons!E$185</f>
        <v>Financing costs - capitalised in the period</v>
      </c>
      <c r="G71" s="537" t="str">
        <f>Cons!G$185</f>
        <v>EUR 000s</v>
      </c>
      <c r="H71" s="537">
        <f>Cons!H$185</f>
        <v>16238.00811257573</v>
      </c>
      <c r="J71" s="537">
        <f>Cons!J$185</f>
        <v>0</v>
      </c>
      <c r="K71" s="537">
        <f>Cons!K$185</f>
        <v>0</v>
      </c>
      <c r="L71" s="537">
        <f>Cons!L$185</f>
        <v>3319.2997186657749</v>
      </c>
      <c r="M71" s="537">
        <f>Cons!M$185</f>
        <v>109.12766198353233</v>
      </c>
      <c r="N71" s="537">
        <f>Cons!N$185</f>
        <v>121.79623016837154</v>
      </c>
      <c r="O71" s="537">
        <f>Cons!O$185</f>
        <v>126.82273047668302</v>
      </c>
      <c r="P71" s="537">
        <f>Cons!P$185</f>
        <v>140.08113427796059</v>
      </c>
      <c r="Q71" s="537">
        <f>Cons!Q$185</f>
        <v>140.30407948344003</v>
      </c>
      <c r="R71" s="537">
        <f>Cons!R$185</f>
        <v>206.01583186568772</v>
      </c>
      <c r="S71" s="537">
        <f>Cons!S$185</f>
        <v>341.62601566252641</v>
      </c>
      <c r="T71" s="537">
        <f>Cons!T$185</f>
        <v>405.66480600759223</v>
      </c>
      <c r="U71" s="537">
        <f>Cons!U$185</f>
        <v>498.82585318476447</v>
      </c>
      <c r="V71" s="537">
        <f>Cons!V$185</f>
        <v>577.96066243747043</v>
      </c>
      <c r="W71" s="537">
        <f>Cons!W$185</f>
        <v>608.6230988464788</v>
      </c>
      <c r="X71" s="537">
        <f>Cons!X$185</f>
        <v>722.34396752895066</v>
      </c>
      <c r="Y71" s="537">
        <f>Cons!Y$185</f>
        <v>760.26240454969547</v>
      </c>
      <c r="Z71" s="537">
        <f>Cons!Z$185</f>
        <v>840.38367819110817</v>
      </c>
      <c r="AA71" s="537">
        <f>Cons!AA$185</f>
        <v>862.10547747196665</v>
      </c>
      <c r="AB71" s="537">
        <f>Cons!AB$185</f>
        <v>949.76575292385382</v>
      </c>
      <c r="AC71" s="537">
        <f>Cons!AC$185</f>
        <v>1013.5686303825973</v>
      </c>
      <c r="AD71" s="537">
        <f>Cons!AD$185</f>
        <v>1042.7531864660605</v>
      </c>
      <c r="AE71" s="537">
        <f>Cons!AE$185</f>
        <v>1134.0203250207289</v>
      </c>
      <c r="AF71" s="537">
        <f>Cons!AF$185</f>
        <v>1128.0414999061579</v>
      </c>
      <c r="AG71" s="537">
        <f>Cons!AG$185</f>
        <v>1188.615367074329</v>
      </c>
      <c r="AH71" s="537">
        <f>Cons!AH$185</f>
        <v>0</v>
      </c>
      <c r="AI71" s="537">
        <f>Cons!AI$185</f>
        <v>0</v>
      </c>
      <c r="AJ71" s="537">
        <f>Cons!AJ$185</f>
        <v>0</v>
      </c>
      <c r="AK71" s="537">
        <f>Cons!AK$185</f>
        <v>0</v>
      </c>
      <c r="AL71" s="537">
        <f>Cons!AL$185</f>
        <v>0</v>
      </c>
      <c r="AM71" s="537">
        <f>Cons!AM$185</f>
        <v>0</v>
      </c>
      <c r="AN71" s="537">
        <f>Cons!AN$185</f>
        <v>0</v>
      </c>
      <c r="AO71" s="537">
        <f>Cons!AO$185</f>
        <v>0</v>
      </c>
      <c r="AP71" s="537">
        <f>Cons!AP$185</f>
        <v>0</v>
      </c>
      <c r="AQ71" s="537">
        <f>Cons!AQ$185</f>
        <v>0</v>
      </c>
      <c r="AR71" s="537">
        <f>Cons!AR$185</f>
        <v>0</v>
      </c>
      <c r="AS71" s="537">
        <f>Cons!AS$185</f>
        <v>0</v>
      </c>
      <c r="AT71" s="537">
        <f>Cons!AT$185</f>
        <v>0</v>
      </c>
      <c r="AU71" s="537">
        <f>Cons!AU$185</f>
        <v>0</v>
      </c>
      <c r="AV71" s="537">
        <f>Cons!AV$185</f>
        <v>0</v>
      </c>
      <c r="AW71" s="537">
        <f>Cons!AW$185</f>
        <v>0</v>
      </c>
      <c r="AX71" s="537">
        <f>Cons!AX$185</f>
        <v>0</v>
      </c>
      <c r="AY71" s="537">
        <f>Cons!AY$185</f>
        <v>0</v>
      </c>
      <c r="AZ71" s="537">
        <f>Cons!AZ$185</f>
        <v>0</v>
      </c>
      <c r="BA71" s="537">
        <f>Cons!BA$185</f>
        <v>0</v>
      </c>
      <c r="BB71" s="537">
        <f>Cons!BB$185</f>
        <v>0</v>
      </c>
      <c r="BC71" s="537">
        <f>Cons!BC$185</f>
        <v>0</v>
      </c>
      <c r="BD71" s="537">
        <f>Cons!BD$185</f>
        <v>0</v>
      </c>
      <c r="BE71" s="537">
        <f>Cons!BE$185</f>
        <v>0</v>
      </c>
      <c r="BF71" s="537">
        <f>Cons!BF$185</f>
        <v>0</v>
      </c>
      <c r="BG71" s="537">
        <f>Cons!BG$185</f>
        <v>0</v>
      </c>
      <c r="BH71" s="537">
        <f>Cons!BH$185</f>
        <v>0</v>
      </c>
      <c r="BI71" s="537">
        <f>Cons!BI$185</f>
        <v>0</v>
      </c>
      <c r="BJ71" s="537">
        <f>Cons!BJ$185</f>
        <v>0</v>
      </c>
      <c r="BK71" s="537">
        <f>Cons!BK$185</f>
        <v>0</v>
      </c>
      <c r="BL71" s="537">
        <f>Cons!BL$185</f>
        <v>0</v>
      </c>
      <c r="BM71" s="537">
        <f>Cons!BM$185</f>
        <v>0</v>
      </c>
      <c r="BN71" s="537">
        <f>Cons!BN$185</f>
        <v>0</v>
      </c>
      <c r="BO71" s="537">
        <f>Cons!BO$185</f>
        <v>0</v>
      </c>
      <c r="BP71" s="537">
        <f>Cons!BP$185</f>
        <v>0</v>
      </c>
      <c r="BQ71" s="537">
        <f>Cons!BQ$185</f>
        <v>0</v>
      </c>
      <c r="BR71" s="537">
        <f>Cons!BR$185</f>
        <v>0</v>
      </c>
      <c r="BS71" s="537">
        <f>Cons!BS$185</f>
        <v>0</v>
      </c>
      <c r="BT71" s="537">
        <f>Cons!BT$185</f>
        <v>0</v>
      </c>
      <c r="BU71" s="537">
        <f>Cons!BU$185</f>
        <v>0</v>
      </c>
      <c r="BV71" s="537">
        <f>Cons!BV$185</f>
        <v>0</v>
      </c>
      <c r="BW71" s="537">
        <f>Cons!BW$185</f>
        <v>0</v>
      </c>
      <c r="BX71" s="537">
        <f>Cons!BX$185</f>
        <v>0</v>
      </c>
      <c r="BY71" s="537">
        <f>Cons!BY$185</f>
        <v>0</v>
      </c>
      <c r="BZ71" s="537">
        <f>Cons!BZ$185</f>
        <v>0</v>
      </c>
      <c r="CA71" s="537">
        <f>Cons!CA$185</f>
        <v>0</v>
      </c>
      <c r="CB71" s="537">
        <f>Cons!CB$185</f>
        <v>0</v>
      </c>
      <c r="CC71" s="537">
        <f>Cons!CC$185</f>
        <v>0</v>
      </c>
      <c r="CD71" s="537">
        <f>Cons!CD$185</f>
        <v>0</v>
      </c>
      <c r="CE71" s="537">
        <f>Cons!CE$185</f>
        <v>0</v>
      </c>
      <c r="CF71" s="537">
        <f>Cons!CF$185</f>
        <v>0</v>
      </c>
      <c r="CG71" s="537">
        <f>Cons!CG$185</f>
        <v>0</v>
      </c>
      <c r="CH71" s="537">
        <f>Cons!CH$185</f>
        <v>0</v>
      </c>
      <c r="CI71" s="537">
        <f>Cons!CI$185</f>
        <v>0</v>
      </c>
      <c r="CJ71" s="537">
        <f>Cons!CJ$185</f>
        <v>0</v>
      </c>
      <c r="CK71" s="537">
        <f>Cons!CK$185</f>
        <v>0</v>
      </c>
      <c r="CL71" s="537">
        <f>Cons!CL$185</f>
        <v>0</v>
      </c>
      <c r="CM71" s="537">
        <f>Cons!CM$185</f>
        <v>0</v>
      </c>
      <c r="CN71" s="537">
        <f>Cons!CN$185</f>
        <v>0</v>
      </c>
      <c r="CO71" s="537">
        <f>Cons!CO$185</f>
        <v>0</v>
      </c>
      <c r="CP71" s="537">
        <f>Cons!CP$185</f>
        <v>0</v>
      </c>
      <c r="CQ71" s="537">
        <f>Cons!CQ$185</f>
        <v>0</v>
      </c>
      <c r="CR71" s="537">
        <f>Cons!CR$185</f>
        <v>0</v>
      </c>
      <c r="CS71" s="537">
        <f>Cons!CS$185</f>
        <v>0</v>
      </c>
      <c r="CT71" s="537">
        <f>Cons!CT$185</f>
        <v>0</v>
      </c>
      <c r="CU71" s="537">
        <f>Cons!CU$185</f>
        <v>0</v>
      </c>
      <c r="CV71" s="537">
        <f>Cons!CV$185</f>
        <v>0</v>
      </c>
      <c r="CW71" s="537">
        <f>Cons!CW$185</f>
        <v>0</v>
      </c>
      <c r="CX71" s="537">
        <f>Cons!CX$185</f>
        <v>0</v>
      </c>
      <c r="CY71" s="537">
        <f>Cons!CY$185</f>
        <v>0</v>
      </c>
      <c r="CZ71" s="537">
        <f>Cons!CZ$185</f>
        <v>0</v>
      </c>
      <c r="DA71" s="537">
        <f>Cons!DA$185</f>
        <v>0</v>
      </c>
      <c r="DB71" s="537">
        <f>Cons!DB$185</f>
        <v>0</v>
      </c>
      <c r="DC71" s="537">
        <f>Cons!DC$185</f>
        <v>0</v>
      </c>
      <c r="DD71" s="537">
        <f>Cons!DD$185</f>
        <v>0</v>
      </c>
      <c r="DE71" s="537">
        <f>Cons!DE$185</f>
        <v>0</v>
      </c>
      <c r="DF71" s="537">
        <f>Cons!DF$185</f>
        <v>0</v>
      </c>
      <c r="DG71" s="537">
        <f>Cons!DG$185</f>
        <v>0</v>
      </c>
      <c r="DH71" s="537">
        <f>Cons!DH$185</f>
        <v>0</v>
      </c>
      <c r="DI71" s="537">
        <f>Cons!DI$185</f>
        <v>0</v>
      </c>
      <c r="DJ71" s="537">
        <f>Cons!DJ$185</f>
        <v>0</v>
      </c>
      <c r="DK71" s="537">
        <f>Cons!DK$185</f>
        <v>0</v>
      </c>
      <c r="DL71" s="537">
        <f>Cons!DL$185</f>
        <v>0</v>
      </c>
      <c r="DM71" s="537">
        <f>Cons!DM$185</f>
        <v>0</v>
      </c>
      <c r="DN71" s="537">
        <f>Cons!DN$185</f>
        <v>0</v>
      </c>
      <c r="DO71" s="537">
        <f>Cons!DO$185</f>
        <v>0</v>
      </c>
      <c r="DP71" s="537">
        <f>Cons!DP$185</f>
        <v>0</v>
      </c>
      <c r="DQ71" s="537">
        <f>Cons!DQ$185</f>
        <v>0</v>
      </c>
      <c r="DR71" s="537">
        <f>Cons!DR$185</f>
        <v>0</v>
      </c>
      <c r="DS71" s="537">
        <f>Cons!DS$185</f>
        <v>0</v>
      </c>
      <c r="DT71" s="537">
        <f>Cons!DT$185</f>
        <v>0</v>
      </c>
      <c r="DU71" s="537">
        <f>Cons!DU$185</f>
        <v>0</v>
      </c>
      <c r="DV71" s="537">
        <f>Cons!DV$185</f>
        <v>0</v>
      </c>
      <c r="DW71" s="537">
        <f>Cons!DW$185</f>
        <v>0</v>
      </c>
      <c r="DX71" s="537">
        <f>Cons!DX$185</f>
        <v>0</v>
      </c>
      <c r="DY71" s="537">
        <f>Cons!DY$185</f>
        <v>0</v>
      </c>
      <c r="DZ71" s="537">
        <f>Cons!DZ$185</f>
        <v>0</v>
      </c>
      <c r="EA71" s="537">
        <f>Cons!EA$185</f>
        <v>0</v>
      </c>
      <c r="EB71" s="537">
        <f>Cons!EB$185</f>
        <v>0</v>
      </c>
      <c r="EC71" s="537">
        <f>Cons!EC$185</f>
        <v>0</v>
      </c>
      <c r="ED71" s="537">
        <f>Cons!ED$185</f>
        <v>0</v>
      </c>
      <c r="EE71" s="537">
        <f>Cons!EE$185</f>
        <v>0</v>
      </c>
      <c r="EF71" s="537">
        <f>Cons!EF$185</f>
        <v>0</v>
      </c>
      <c r="EG71" s="537">
        <f>Cons!EG$185</f>
        <v>0</v>
      </c>
    </row>
    <row r="72" spans="5:137" ht="12.75">
      <c r="E72" s="538" t="str">
        <f>E$69</f>
        <v>Financing costs - amortisation</v>
      </c>
      <c r="G72" s="539" t="str">
        <f>G$69</f>
        <v>EUR 000s</v>
      </c>
      <c r="H72" s="539">
        <f>H$69</f>
        <v>16238.008112575733</v>
      </c>
      <c r="J72" s="539">
        <f t="shared" si="20" ref="J72:EG72">J$69</f>
        <v>0</v>
      </c>
      <c r="K72" s="539">
        <f t="shared" si="20"/>
        <v>0</v>
      </c>
      <c r="L72" s="539">
        <f t="shared" si="20"/>
        <v>0</v>
      </c>
      <c r="M72" s="539">
        <f t="shared" si="20"/>
        <v>0</v>
      </c>
      <c r="N72" s="539">
        <f t="shared" si="20"/>
        <v>0</v>
      </c>
      <c r="O72" s="539">
        <f t="shared" si="20"/>
        <v>0</v>
      </c>
      <c r="P72" s="539">
        <f t="shared" si="20"/>
        <v>0</v>
      </c>
      <c r="Q72" s="539">
        <f t="shared" si="20"/>
        <v>0</v>
      </c>
      <c r="R72" s="539">
        <f t="shared" si="20"/>
        <v>0</v>
      </c>
      <c r="S72" s="539">
        <f t="shared" si="20"/>
        <v>0</v>
      </c>
      <c r="T72" s="539">
        <f t="shared" si="20"/>
        <v>0</v>
      </c>
      <c r="U72" s="539">
        <f t="shared" si="20"/>
        <v>0</v>
      </c>
      <c r="V72" s="539">
        <f t="shared" si="20"/>
        <v>0</v>
      </c>
      <c r="W72" s="539">
        <f t="shared" si="20"/>
        <v>0</v>
      </c>
      <c r="X72" s="539">
        <f t="shared" si="20"/>
        <v>0</v>
      </c>
      <c r="Y72" s="539">
        <f t="shared" si="20"/>
        <v>0</v>
      </c>
      <c r="Z72" s="539">
        <f t="shared" si="20"/>
        <v>0</v>
      </c>
      <c r="AA72" s="539">
        <f t="shared" si="20"/>
        <v>0</v>
      </c>
      <c r="AB72" s="539">
        <f t="shared" si="20"/>
        <v>0</v>
      </c>
      <c r="AC72" s="539">
        <f t="shared" si="20"/>
        <v>0</v>
      </c>
      <c r="AD72" s="539">
        <f t="shared" si="20"/>
        <v>0</v>
      </c>
      <c r="AE72" s="539">
        <f t="shared" si="20"/>
        <v>0</v>
      </c>
      <c r="AF72" s="539">
        <f t="shared" si="20"/>
        <v>0</v>
      </c>
      <c r="AG72" s="539">
        <f t="shared" si="20"/>
        <v>0</v>
      </c>
      <c r="AH72" s="539">
        <f t="shared" si="20"/>
        <v>222.30312292847819</v>
      </c>
      <c r="AI72" s="539">
        <f t="shared" si="20"/>
        <v>224.77315762768353</v>
      </c>
      <c r="AJ72" s="539">
        <f t="shared" si="20"/>
        <v>227.24319232688882</v>
      </c>
      <c r="AK72" s="539">
        <f t="shared" si="20"/>
        <v>227.24319232688882</v>
      </c>
      <c r="AL72" s="539">
        <f t="shared" si="20"/>
        <v>222.30312292847819</v>
      </c>
      <c r="AM72" s="539">
        <f t="shared" si="20"/>
        <v>224.77315762768353</v>
      </c>
      <c r="AN72" s="539">
        <f t="shared" si="20"/>
        <v>227.24319232688882</v>
      </c>
      <c r="AO72" s="539">
        <f t="shared" si="20"/>
        <v>227.24319232688882</v>
      </c>
      <c r="AP72" s="539">
        <f t="shared" si="20"/>
        <v>222.30312292847819</v>
      </c>
      <c r="AQ72" s="539">
        <f t="shared" si="20"/>
        <v>224.77315762768353</v>
      </c>
      <c r="AR72" s="539">
        <f t="shared" si="20"/>
        <v>227.24319232688882</v>
      </c>
      <c r="AS72" s="539">
        <f t="shared" si="20"/>
        <v>227.24319232688882</v>
      </c>
      <c r="AT72" s="539">
        <f t="shared" si="20"/>
        <v>224.77315762768353</v>
      </c>
      <c r="AU72" s="539">
        <f t="shared" si="20"/>
        <v>224.77315762768353</v>
      </c>
      <c r="AV72" s="539">
        <f t="shared" si="20"/>
        <v>227.24319232688882</v>
      </c>
      <c r="AW72" s="539">
        <f t="shared" si="20"/>
        <v>227.24319232688882</v>
      </c>
      <c r="AX72" s="539">
        <f t="shared" si="20"/>
        <v>222.30312292847819</v>
      </c>
      <c r="AY72" s="539">
        <f t="shared" si="20"/>
        <v>224.77315762768353</v>
      </c>
      <c r="AZ72" s="539">
        <f t="shared" si="20"/>
        <v>227.24319232688882</v>
      </c>
      <c r="BA72" s="539">
        <f t="shared" si="20"/>
        <v>227.24319232688882</v>
      </c>
      <c r="BB72" s="539">
        <f t="shared" si="20"/>
        <v>222.30312292847819</v>
      </c>
      <c r="BC72" s="539">
        <f t="shared" si="20"/>
        <v>224.77315762768353</v>
      </c>
      <c r="BD72" s="539">
        <f t="shared" si="20"/>
        <v>227.24319232688882</v>
      </c>
      <c r="BE72" s="539">
        <f t="shared" si="20"/>
        <v>227.24319232688882</v>
      </c>
      <c r="BF72" s="539">
        <f t="shared" si="20"/>
        <v>222.30312292847819</v>
      </c>
      <c r="BG72" s="539">
        <f t="shared" si="20"/>
        <v>224.77315762768353</v>
      </c>
      <c r="BH72" s="539">
        <f t="shared" si="20"/>
        <v>227.24319232688882</v>
      </c>
      <c r="BI72" s="539">
        <f t="shared" si="20"/>
        <v>227.24319232688882</v>
      </c>
      <c r="BJ72" s="539">
        <f t="shared" si="20"/>
        <v>224.77315762768353</v>
      </c>
      <c r="BK72" s="539">
        <f t="shared" si="20"/>
        <v>224.77315762768353</v>
      </c>
      <c r="BL72" s="539">
        <f t="shared" si="20"/>
        <v>227.24319232688882</v>
      </c>
      <c r="BM72" s="539">
        <f t="shared" si="20"/>
        <v>227.24319232688882</v>
      </c>
      <c r="BN72" s="539">
        <f t="shared" si="20"/>
        <v>222.30312292847819</v>
      </c>
      <c r="BO72" s="539">
        <f t="shared" si="20"/>
        <v>224.77315762768353</v>
      </c>
      <c r="BP72" s="539">
        <f t="shared" si="20"/>
        <v>227.24319232688882</v>
      </c>
      <c r="BQ72" s="539">
        <f t="shared" si="20"/>
        <v>227.24319232688882</v>
      </c>
      <c r="BR72" s="539">
        <f t="shared" si="20"/>
        <v>222.30312292847819</v>
      </c>
      <c r="BS72" s="539">
        <f t="shared" si="20"/>
        <v>224.77315762768353</v>
      </c>
      <c r="BT72" s="539">
        <f t="shared" si="20"/>
        <v>227.24319232688882</v>
      </c>
      <c r="BU72" s="539">
        <f t="shared" si="20"/>
        <v>227.24319232688882</v>
      </c>
      <c r="BV72" s="539">
        <f t="shared" si="20"/>
        <v>222.30312292847819</v>
      </c>
      <c r="BW72" s="539">
        <f t="shared" si="20"/>
        <v>224.77315762768353</v>
      </c>
      <c r="BX72" s="539">
        <f t="shared" si="20"/>
        <v>227.24319232688882</v>
      </c>
      <c r="BY72" s="539">
        <f t="shared" si="20"/>
        <v>227.24319232688882</v>
      </c>
      <c r="BZ72" s="539">
        <f t="shared" si="20"/>
        <v>224.77315762768353</v>
      </c>
      <c r="CA72" s="539">
        <f t="shared" si="20"/>
        <v>224.77315762768353</v>
      </c>
      <c r="CB72" s="539">
        <f t="shared" si="20"/>
        <v>227.24319232688882</v>
      </c>
      <c r="CC72" s="539">
        <f t="shared" si="20"/>
        <v>227.24319232688882</v>
      </c>
      <c r="CD72" s="539">
        <f t="shared" si="20"/>
        <v>222.30312292847819</v>
      </c>
      <c r="CE72" s="539">
        <f t="shared" si="20"/>
        <v>224.77315762768353</v>
      </c>
      <c r="CF72" s="539">
        <f t="shared" si="20"/>
        <v>227.24319232688882</v>
      </c>
      <c r="CG72" s="539">
        <f t="shared" si="20"/>
        <v>227.24319232688882</v>
      </c>
      <c r="CH72" s="539">
        <f t="shared" si="20"/>
        <v>222.30312292847819</v>
      </c>
      <c r="CI72" s="539">
        <f t="shared" si="20"/>
        <v>224.77315762768353</v>
      </c>
      <c r="CJ72" s="539">
        <f t="shared" si="20"/>
        <v>227.24319232688882</v>
      </c>
      <c r="CK72" s="539">
        <f t="shared" si="20"/>
        <v>227.24319232688882</v>
      </c>
      <c r="CL72" s="539">
        <f t="shared" si="20"/>
        <v>222.30312292847819</v>
      </c>
      <c r="CM72" s="539">
        <f t="shared" si="20"/>
        <v>224.77315762768353</v>
      </c>
      <c r="CN72" s="539">
        <f t="shared" si="20"/>
        <v>227.24319232688882</v>
      </c>
      <c r="CO72" s="539">
        <f t="shared" si="20"/>
        <v>227.24319232688882</v>
      </c>
      <c r="CP72" s="539">
        <f t="shared" si="20"/>
        <v>224.77315762768353</v>
      </c>
      <c r="CQ72" s="539">
        <f t="shared" si="20"/>
        <v>224.77315762768353</v>
      </c>
      <c r="CR72" s="539">
        <f t="shared" si="20"/>
        <v>227.24319232688882</v>
      </c>
      <c r="CS72" s="539">
        <f t="shared" si="20"/>
        <v>227.24319232688882</v>
      </c>
      <c r="CT72" s="539">
        <f t="shared" si="20"/>
        <v>222.30312292847819</v>
      </c>
      <c r="CU72" s="539">
        <f t="shared" si="20"/>
        <v>224.77315762768353</v>
      </c>
      <c r="CV72" s="539">
        <f t="shared" si="20"/>
        <v>227.24319232688882</v>
      </c>
      <c r="CW72" s="539">
        <f t="shared" si="20"/>
        <v>227.24319232688882</v>
      </c>
      <c r="CX72" s="539">
        <f t="shared" si="20"/>
        <v>222.30312292847819</v>
      </c>
      <c r="CY72" s="539">
        <f t="shared" si="20"/>
        <v>224.77315762768353</v>
      </c>
      <c r="CZ72" s="539">
        <f t="shared" si="20"/>
        <v>227.24319232688882</v>
      </c>
      <c r="DA72" s="539">
        <f t="shared" si="20"/>
        <v>227.24319232688882</v>
      </c>
      <c r="DB72" s="539">
        <f t="shared" si="20"/>
        <v>0</v>
      </c>
      <c r="DC72" s="539">
        <f t="shared" si="20"/>
        <v>0</v>
      </c>
      <c r="DD72" s="539">
        <f t="shared" si="20"/>
        <v>0</v>
      </c>
      <c r="DE72" s="539">
        <f t="shared" si="20"/>
        <v>0</v>
      </c>
      <c r="DF72" s="539">
        <f t="shared" si="20"/>
        <v>0</v>
      </c>
      <c r="DG72" s="539">
        <f t="shared" si="20"/>
        <v>0</v>
      </c>
      <c r="DH72" s="539">
        <f t="shared" si="20"/>
        <v>0</v>
      </c>
      <c r="DI72" s="539">
        <f t="shared" si="20"/>
        <v>0</v>
      </c>
      <c r="DJ72" s="539">
        <f t="shared" si="20"/>
        <v>0</v>
      </c>
      <c r="DK72" s="539">
        <f t="shared" si="20"/>
        <v>0</v>
      </c>
      <c r="DL72" s="539">
        <f t="shared" si="20"/>
        <v>0</v>
      </c>
      <c r="DM72" s="539">
        <f t="shared" si="20"/>
        <v>0</v>
      </c>
      <c r="DN72" s="539">
        <f t="shared" si="20"/>
        <v>0</v>
      </c>
      <c r="DO72" s="539">
        <f t="shared" si="20"/>
        <v>0</v>
      </c>
      <c r="DP72" s="539">
        <f t="shared" si="20"/>
        <v>0</v>
      </c>
      <c r="DQ72" s="539">
        <f t="shared" si="20"/>
        <v>0</v>
      </c>
      <c r="DR72" s="539">
        <f t="shared" si="20"/>
        <v>0</v>
      </c>
      <c r="DS72" s="539">
        <f t="shared" si="20"/>
        <v>0</v>
      </c>
      <c r="DT72" s="539">
        <f t="shared" si="20"/>
        <v>0</v>
      </c>
      <c r="DU72" s="539">
        <f t="shared" si="20"/>
        <v>0</v>
      </c>
      <c r="DV72" s="539">
        <f t="shared" si="20"/>
        <v>0</v>
      </c>
      <c r="DW72" s="539">
        <f t="shared" si="20"/>
        <v>0</v>
      </c>
      <c r="DX72" s="539">
        <f t="shared" si="20"/>
        <v>0</v>
      </c>
      <c r="DY72" s="539">
        <f t="shared" si="20"/>
        <v>0</v>
      </c>
      <c r="DZ72" s="539">
        <f t="shared" si="20"/>
        <v>0</v>
      </c>
      <c r="EA72" s="539">
        <f t="shared" si="20"/>
        <v>0</v>
      </c>
      <c r="EB72" s="539">
        <f t="shared" si="20"/>
        <v>0</v>
      </c>
      <c r="EC72" s="539">
        <f t="shared" si="20"/>
        <v>0</v>
      </c>
      <c r="ED72" s="539">
        <f t="shared" si="20"/>
        <v>0</v>
      </c>
      <c r="EE72" s="539">
        <f t="shared" si="20"/>
        <v>0</v>
      </c>
      <c r="EF72" s="539">
        <f t="shared" si="20"/>
        <v>0</v>
      </c>
      <c r="EG72" s="539">
        <f t="shared" si="20"/>
        <v>0</v>
      </c>
    </row>
    <row r="73" spans="5:137" ht="12.75">
      <c r="E73" s="540" t="s">
        <v>295</v>
      </c>
      <c r="G73" s="541" t="s">
        <v>30</v>
      </c>
      <c r="H73" s="541">
        <f>SUM(J73:EG73)</f>
        <v>744501.1890130305</v>
      </c>
      <c r="J73" s="541">
        <f t="shared" si="21" ref="J73:EG73">I73+J71-J72</f>
        <v>0</v>
      </c>
      <c r="K73" s="541">
        <f t="shared" si="21"/>
        <v>0</v>
      </c>
      <c r="L73" s="541">
        <f t="shared" si="21"/>
        <v>3319.2997186657749</v>
      </c>
      <c r="M73" s="541">
        <f t="shared" si="21"/>
        <v>3428.4273806493075</v>
      </c>
      <c r="N73" s="541">
        <f t="shared" si="21"/>
        <v>3550.2236108176789</v>
      </c>
      <c r="O73" s="541">
        <f t="shared" si="21"/>
        <v>3677.0463412943618</v>
      </c>
      <c r="P73" s="541">
        <f t="shared" si="21"/>
        <v>3817.1274755723225</v>
      </c>
      <c r="Q73" s="541">
        <f t="shared" si="21"/>
        <v>3957.4315550557626</v>
      </c>
      <c r="R73" s="541">
        <f t="shared" si="21"/>
        <v>4163.4473869214507</v>
      </c>
      <c r="S73" s="541">
        <f t="shared" si="21"/>
        <v>4505.0734025839774</v>
      </c>
      <c r="T73" s="541">
        <f t="shared" si="21"/>
        <v>4910.7382085915697</v>
      </c>
      <c r="U73" s="541">
        <f t="shared" si="21"/>
        <v>5409.5640617763338</v>
      </c>
      <c r="V73" s="541">
        <f t="shared" si="21"/>
        <v>5987.5247242138039</v>
      </c>
      <c r="W73" s="541">
        <f t="shared" si="21"/>
        <v>6596.1478230602825</v>
      </c>
      <c r="X73" s="541">
        <f t="shared" si="21"/>
        <v>7318.4917905892335</v>
      </c>
      <c r="Y73" s="541">
        <f t="shared" si="21"/>
        <v>8078.7541951389285</v>
      </c>
      <c r="Z73" s="541">
        <f t="shared" si="21"/>
        <v>8919.1378733300371</v>
      </c>
      <c r="AA73" s="541">
        <f t="shared" si="21"/>
        <v>9781.243350802004</v>
      </c>
      <c r="AB73" s="541">
        <f t="shared" si="21"/>
        <v>10731.009103725857</v>
      </c>
      <c r="AC73" s="541">
        <f t="shared" si="21"/>
        <v>11744.577734108454</v>
      </c>
      <c r="AD73" s="541">
        <f t="shared" si="21"/>
        <v>12787.330920574514</v>
      </c>
      <c r="AE73" s="541">
        <f t="shared" si="21"/>
        <v>13921.351245595242</v>
      </c>
      <c r="AF73" s="541">
        <f t="shared" si="21"/>
        <v>15049.3927455014</v>
      </c>
      <c r="AG73" s="541">
        <f t="shared" si="21"/>
        <v>16238.00811257573</v>
      </c>
      <c r="AH73" s="541">
        <f t="shared" si="21"/>
        <v>16015.704989647251</v>
      </c>
      <c r="AI73" s="541">
        <f t="shared" si="21"/>
        <v>15790.931832019567</v>
      </c>
      <c r="AJ73" s="541">
        <f t="shared" si="21"/>
        <v>15563.688639692678</v>
      </c>
      <c r="AK73" s="541">
        <f t="shared" si="21"/>
        <v>15336.44544736579</v>
      </c>
      <c r="AL73" s="541">
        <f t="shared" si="21"/>
        <v>15114.142324437311</v>
      </c>
      <c r="AM73" s="541">
        <f t="shared" si="21"/>
        <v>14889.369166809627</v>
      </c>
      <c r="AN73" s="541">
        <f t="shared" si="21"/>
        <v>14662.125974482738</v>
      </c>
      <c r="AO73" s="541">
        <f t="shared" si="21"/>
        <v>14434.88278215585</v>
      </c>
      <c r="AP73" s="541">
        <f t="shared" si="21"/>
        <v>14212.579659227371</v>
      </c>
      <c r="AQ73" s="541">
        <f t="shared" si="21"/>
        <v>13987.806501599687</v>
      </c>
      <c r="AR73" s="541">
        <f t="shared" si="21"/>
        <v>13760.563309272799</v>
      </c>
      <c r="AS73" s="541">
        <f t="shared" si="21"/>
        <v>13533.32011694591</v>
      </c>
      <c r="AT73" s="541">
        <f t="shared" si="21"/>
        <v>13308.546959318226</v>
      </c>
      <c r="AU73" s="541">
        <f t="shared" si="21"/>
        <v>13083.773801690542</v>
      </c>
      <c r="AV73" s="541">
        <f t="shared" si="21"/>
        <v>12856.530609363654</v>
      </c>
      <c r="AW73" s="541">
        <f t="shared" si="21"/>
        <v>12629.287417036765</v>
      </c>
      <c r="AX73" s="541">
        <f t="shared" si="21"/>
        <v>12406.984294108286</v>
      </c>
      <c r="AY73" s="541">
        <f t="shared" si="21"/>
        <v>12182.211136480602</v>
      </c>
      <c r="AZ73" s="541">
        <f t="shared" si="21"/>
        <v>11954.967944153714</v>
      </c>
      <c r="BA73" s="541">
        <f t="shared" si="21"/>
        <v>11727.724751826825</v>
      </c>
      <c r="BB73" s="541">
        <f t="shared" si="21"/>
        <v>11505.421628898346</v>
      </c>
      <c r="BC73" s="541">
        <f t="shared" si="21"/>
        <v>11280.648471270662</v>
      </c>
      <c r="BD73" s="541">
        <f t="shared" si="21"/>
        <v>11053.405278943774</v>
      </c>
      <c r="BE73" s="541">
        <f t="shared" si="21"/>
        <v>10826.162086616885</v>
      </c>
      <c r="BF73" s="541">
        <f t="shared" si="21"/>
        <v>10603.858963688406</v>
      </c>
      <c r="BG73" s="541">
        <f t="shared" si="21"/>
        <v>10379.085806060722</v>
      </c>
      <c r="BH73" s="541">
        <f t="shared" si="21"/>
        <v>10151.842613733834</v>
      </c>
      <c r="BI73" s="541">
        <f t="shared" si="21"/>
        <v>9924.5994214069451</v>
      </c>
      <c r="BJ73" s="541">
        <f t="shared" si="21"/>
        <v>9699.8262637792614</v>
      </c>
      <c r="BK73" s="541">
        <f t="shared" si="21"/>
        <v>9475.0531061515776</v>
      </c>
      <c r="BL73" s="541">
        <f t="shared" si="21"/>
        <v>9247.8099138246889</v>
      </c>
      <c r="BM73" s="541">
        <f t="shared" si="21"/>
        <v>9020.5667214978002</v>
      </c>
      <c r="BN73" s="541">
        <f t="shared" si="21"/>
        <v>8798.2635985693214</v>
      </c>
      <c r="BO73" s="541">
        <f t="shared" si="21"/>
        <v>8573.4904409416376</v>
      </c>
      <c r="BP73" s="541">
        <f t="shared" si="21"/>
        <v>8346.247248614749</v>
      </c>
      <c r="BQ73" s="541">
        <f t="shared" si="21"/>
        <v>8119.0040562878603</v>
      </c>
      <c r="BR73" s="541">
        <f t="shared" si="21"/>
        <v>7896.7009333593824</v>
      </c>
      <c r="BS73" s="541">
        <f t="shared" si="21"/>
        <v>7671.9277757316986</v>
      </c>
      <c r="BT73" s="541">
        <f t="shared" si="21"/>
        <v>7444.6845834048099</v>
      </c>
      <c r="BU73" s="541">
        <f t="shared" si="21"/>
        <v>7217.4413910779213</v>
      </c>
      <c r="BV73" s="541">
        <f t="shared" si="21"/>
        <v>6995.1382681494433</v>
      </c>
      <c r="BW73" s="541">
        <f t="shared" si="21"/>
        <v>6770.3651105217596</v>
      </c>
      <c r="BX73" s="541">
        <f t="shared" si="21"/>
        <v>6543.1219181948709</v>
      </c>
      <c r="BY73" s="541">
        <f t="shared" si="21"/>
        <v>6315.8787258679822</v>
      </c>
      <c r="BZ73" s="541">
        <f t="shared" si="21"/>
        <v>6091.1055682402985</v>
      </c>
      <c r="CA73" s="541">
        <f t="shared" si="21"/>
        <v>5866.3324106126147</v>
      </c>
      <c r="CB73" s="541">
        <f t="shared" si="21"/>
        <v>5639.089218285726</v>
      </c>
      <c r="CC73" s="541">
        <f t="shared" si="21"/>
        <v>5411.8460259588373</v>
      </c>
      <c r="CD73" s="541">
        <f t="shared" si="21"/>
        <v>5189.5429030303594</v>
      </c>
      <c r="CE73" s="541">
        <f t="shared" si="21"/>
        <v>4964.7697454026757</v>
      </c>
      <c r="CF73" s="541">
        <f t="shared" si="21"/>
        <v>4737.526553075787</v>
      </c>
      <c r="CG73" s="541">
        <f t="shared" si="21"/>
        <v>4510.2833607488983</v>
      </c>
      <c r="CH73" s="541">
        <f t="shared" si="21"/>
        <v>4287.9802378204204</v>
      </c>
      <c r="CI73" s="541">
        <f t="shared" si="21"/>
        <v>4063.2070801927366</v>
      </c>
      <c r="CJ73" s="541">
        <f t="shared" si="21"/>
        <v>3835.9638878658479</v>
      </c>
      <c r="CK73" s="541">
        <f t="shared" si="21"/>
        <v>3608.7206955389593</v>
      </c>
      <c r="CL73" s="541">
        <f t="shared" si="21"/>
        <v>3386.4175726104809</v>
      </c>
      <c r="CM73" s="541">
        <f t="shared" si="21"/>
        <v>3161.6444149827976</v>
      </c>
      <c r="CN73" s="541">
        <f t="shared" si="21"/>
        <v>2934.4012226559089</v>
      </c>
      <c r="CO73" s="541">
        <f t="shared" si="21"/>
        <v>2707.1580303290202</v>
      </c>
      <c r="CP73" s="541">
        <f t="shared" si="21"/>
        <v>2482.3848727013365</v>
      </c>
      <c r="CQ73" s="541">
        <f t="shared" si="21"/>
        <v>2257.6117150736527</v>
      </c>
      <c r="CR73" s="541">
        <f t="shared" si="21"/>
        <v>2030.3685227467638</v>
      </c>
      <c r="CS73" s="541">
        <f t="shared" si="21"/>
        <v>1803.1253304198749</v>
      </c>
      <c r="CT73" s="541">
        <f t="shared" si="21"/>
        <v>1580.8222074913967</v>
      </c>
      <c r="CU73" s="541">
        <f t="shared" si="21"/>
        <v>1356.0490498637132</v>
      </c>
      <c r="CV73" s="541">
        <f t="shared" si="21"/>
        <v>1128.8058575368243</v>
      </c>
      <c r="CW73" s="541">
        <f t="shared" si="21"/>
        <v>901.56266520993552</v>
      </c>
      <c r="CX73" s="541">
        <f t="shared" si="21"/>
        <v>679.25954228145736</v>
      </c>
      <c r="CY73" s="541">
        <f t="shared" si="21"/>
        <v>454.48638465377383</v>
      </c>
      <c r="CZ73" s="541">
        <f t="shared" si="21"/>
        <v>227.24319232688501</v>
      </c>
      <c r="DA73" s="541">
        <f t="shared" si="21"/>
        <v>-3.808509063674137E-12</v>
      </c>
      <c r="DB73" s="541">
        <f t="shared" si="21"/>
        <v>-3.808509063674137E-12</v>
      </c>
      <c r="DC73" s="541">
        <f t="shared" si="21"/>
        <v>-3.808509063674137E-12</v>
      </c>
      <c r="DD73" s="541">
        <f t="shared" si="21"/>
        <v>-3.808509063674137E-12</v>
      </c>
      <c r="DE73" s="541">
        <f t="shared" si="21"/>
        <v>-3.808509063674137E-12</v>
      </c>
      <c r="DF73" s="541">
        <f t="shared" si="21"/>
        <v>-3.808509063674137E-12</v>
      </c>
      <c r="DG73" s="541">
        <f t="shared" si="21"/>
        <v>-3.808509063674137E-12</v>
      </c>
      <c r="DH73" s="541">
        <f t="shared" si="21"/>
        <v>-3.808509063674137E-12</v>
      </c>
      <c r="DI73" s="541">
        <f t="shared" si="21"/>
        <v>-3.808509063674137E-12</v>
      </c>
      <c r="DJ73" s="541">
        <f t="shared" si="21"/>
        <v>-3.808509063674137E-12</v>
      </c>
      <c r="DK73" s="541">
        <f t="shared" si="21"/>
        <v>-3.808509063674137E-12</v>
      </c>
      <c r="DL73" s="541">
        <f t="shared" si="21"/>
        <v>-3.808509063674137E-12</v>
      </c>
      <c r="DM73" s="541">
        <f t="shared" si="21"/>
        <v>-3.808509063674137E-12</v>
      </c>
      <c r="DN73" s="541">
        <f t="shared" si="21"/>
        <v>-3.808509063674137E-12</v>
      </c>
      <c r="DO73" s="541">
        <f t="shared" si="21"/>
        <v>-3.808509063674137E-12</v>
      </c>
      <c r="DP73" s="541">
        <f t="shared" si="21"/>
        <v>-3.808509063674137E-12</v>
      </c>
      <c r="DQ73" s="541">
        <f t="shared" si="21"/>
        <v>-3.808509063674137E-12</v>
      </c>
      <c r="DR73" s="541">
        <f t="shared" si="21"/>
        <v>-3.808509063674137E-12</v>
      </c>
      <c r="DS73" s="541">
        <f t="shared" si="21"/>
        <v>-3.808509063674137E-12</v>
      </c>
      <c r="DT73" s="541">
        <f t="shared" si="21"/>
        <v>-3.808509063674137E-12</v>
      </c>
      <c r="DU73" s="541">
        <f t="shared" si="21"/>
        <v>-3.808509063674137E-12</v>
      </c>
      <c r="DV73" s="541">
        <f t="shared" si="21"/>
        <v>-3.808509063674137E-12</v>
      </c>
      <c r="DW73" s="541">
        <f t="shared" si="21"/>
        <v>-3.808509063674137E-12</v>
      </c>
      <c r="DX73" s="541">
        <f t="shared" si="21"/>
        <v>-3.808509063674137E-12</v>
      </c>
      <c r="DY73" s="541">
        <f t="shared" si="21"/>
        <v>-3.808509063674137E-12</v>
      </c>
      <c r="DZ73" s="541">
        <f t="shared" si="21"/>
        <v>-3.808509063674137E-12</v>
      </c>
      <c r="EA73" s="541">
        <f t="shared" si="21"/>
        <v>-3.808509063674137E-12</v>
      </c>
      <c r="EB73" s="541">
        <f t="shared" si="21"/>
        <v>-3.808509063674137E-12</v>
      </c>
      <c r="EC73" s="541">
        <f t="shared" si="21"/>
        <v>-3.808509063674137E-12</v>
      </c>
      <c r="ED73" s="541">
        <f t="shared" si="21"/>
        <v>-3.808509063674137E-12</v>
      </c>
      <c r="EE73" s="541">
        <f t="shared" si="21"/>
        <v>-3.808509063674137E-12</v>
      </c>
      <c r="EF73" s="541">
        <f t="shared" si="21"/>
        <v>-3.808509063674137E-12</v>
      </c>
      <c r="EG73" s="541">
        <f t="shared" si="21"/>
        <v>-3.808509063674137E-12</v>
      </c>
    </row>
    <row r="76" spans="1:1" ht="12.75">
      <c r="A76" s="534" t="s">
        <v>296</v>
      </c>
    </row>
    <row r="78" spans="5:7" ht="12.75">
      <c r="E78" s="535" t="str">
        <f>InpC!E$128</f>
        <v>Check tolerance</v>
      </c>
      <c r="F78" s="537">
        <f>InpC!F$128</f>
        <v>0.001</v>
      </c>
      <c r="G78" s="537" t="str">
        <f>InpC!G$128</f>
        <v>EUR 000s</v>
      </c>
    </row>
    <row r="79" spans="5:137" ht="12.75">
      <c r="E79" s="538" t="str">
        <f>E$27</f>
        <v>Fixed assets - write-off at operations end</v>
      </c>
      <c r="G79" s="539" t="str">
        <f>G$27</f>
        <v>EUR 000s</v>
      </c>
      <c r="H79" s="539">
        <f>H$27</f>
        <v>1.3369572116062045E-10</v>
      </c>
      <c r="J79" s="539">
        <f t="shared" si="22" ref="J79:EG79">J$27</f>
        <v>0</v>
      </c>
      <c r="K79" s="539">
        <f t="shared" si="22"/>
        <v>0</v>
      </c>
      <c r="L79" s="539">
        <f t="shared" si="22"/>
        <v>0</v>
      </c>
      <c r="M79" s="539">
        <f t="shared" si="22"/>
        <v>0</v>
      </c>
      <c r="N79" s="539">
        <f t="shared" si="22"/>
        <v>0</v>
      </c>
      <c r="O79" s="539">
        <f t="shared" si="22"/>
        <v>0</v>
      </c>
      <c r="P79" s="539">
        <f t="shared" si="22"/>
        <v>0</v>
      </c>
      <c r="Q79" s="539">
        <f t="shared" si="22"/>
        <v>0</v>
      </c>
      <c r="R79" s="539">
        <f t="shared" si="22"/>
        <v>0</v>
      </c>
      <c r="S79" s="539">
        <f t="shared" si="22"/>
        <v>0</v>
      </c>
      <c r="T79" s="539">
        <f t="shared" si="22"/>
        <v>0</v>
      </c>
      <c r="U79" s="539">
        <f t="shared" si="22"/>
        <v>0</v>
      </c>
      <c r="V79" s="539">
        <f t="shared" si="22"/>
        <v>0</v>
      </c>
      <c r="W79" s="539">
        <f t="shared" si="22"/>
        <v>0</v>
      </c>
      <c r="X79" s="539">
        <f t="shared" si="22"/>
        <v>0</v>
      </c>
      <c r="Y79" s="539">
        <f t="shared" si="22"/>
        <v>0</v>
      </c>
      <c r="Z79" s="539">
        <f t="shared" si="22"/>
        <v>0</v>
      </c>
      <c r="AA79" s="539">
        <f t="shared" si="22"/>
        <v>0</v>
      </c>
      <c r="AB79" s="539">
        <f t="shared" si="22"/>
        <v>0</v>
      </c>
      <c r="AC79" s="539">
        <f t="shared" si="22"/>
        <v>0</v>
      </c>
      <c r="AD79" s="539">
        <f t="shared" si="22"/>
        <v>0</v>
      </c>
      <c r="AE79" s="539">
        <f t="shared" si="22"/>
        <v>0</v>
      </c>
      <c r="AF79" s="539">
        <f t="shared" si="22"/>
        <v>0</v>
      </c>
      <c r="AG79" s="539">
        <f t="shared" si="22"/>
        <v>0</v>
      </c>
      <c r="AH79" s="539">
        <f t="shared" si="22"/>
        <v>0</v>
      </c>
      <c r="AI79" s="539">
        <f t="shared" si="22"/>
        <v>0</v>
      </c>
      <c r="AJ79" s="539">
        <f t="shared" si="22"/>
        <v>0</v>
      </c>
      <c r="AK79" s="539">
        <f t="shared" si="22"/>
        <v>0</v>
      </c>
      <c r="AL79" s="539">
        <f t="shared" si="22"/>
        <v>0</v>
      </c>
      <c r="AM79" s="539">
        <f t="shared" si="22"/>
        <v>0</v>
      </c>
      <c r="AN79" s="539">
        <f t="shared" si="22"/>
        <v>0</v>
      </c>
      <c r="AO79" s="539">
        <f t="shared" si="22"/>
        <v>0</v>
      </c>
      <c r="AP79" s="539">
        <f t="shared" si="22"/>
        <v>0</v>
      </c>
      <c r="AQ79" s="539">
        <f t="shared" si="22"/>
        <v>0</v>
      </c>
      <c r="AR79" s="539">
        <f t="shared" si="22"/>
        <v>0</v>
      </c>
      <c r="AS79" s="539">
        <f t="shared" si="22"/>
        <v>0</v>
      </c>
      <c r="AT79" s="539">
        <f t="shared" si="22"/>
        <v>0</v>
      </c>
      <c r="AU79" s="539">
        <f t="shared" si="22"/>
        <v>0</v>
      </c>
      <c r="AV79" s="539">
        <f t="shared" si="22"/>
        <v>0</v>
      </c>
      <c r="AW79" s="539">
        <f t="shared" si="22"/>
        <v>0</v>
      </c>
      <c r="AX79" s="539">
        <f t="shared" si="22"/>
        <v>0</v>
      </c>
      <c r="AY79" s="539">
        <f t="shared" si="22"/>
        <v>0</v>
      </c>
      <c r="AZ79" s="539">
        <f t="shared" si="22"/>
        <v>0</v>
      </c>
      <c r="BA79" s="539">
        <f t="shared" si="22"/>
        <v>0</v>
      </c>
      <c r="BB79" s="539">
        <f t="shared" si="22"/>
        <v>0</v>
      </c>
      <c r="BC79" s="539">
        <f t="shared" si="22"/>
        <v>0</v>
      </c>
      <c r="BD79" s="539">
        <f t="shared" si="22"/>
        <v>0</v>
      </c>
      <c r="BE79" s="539">
        <f t="shared" si="22"/>
        <v>0</v>
      </c>
      <c r="BF79" s="539">
        <f t="shared" si="22"/>
        <v>0</v>
      </c>
      <c r="BG79" s="539">
        <f t="shared" si="22"/>
        <v>0</v>
      </c>
      <c r="BH79" s="539">
        <f t="shared" si="22"/>
        <v>0</v>
      </c>
      <c r="BI79" s="539">
        <f t="shared" si="22"/>
        <v>0</v>
      </c>
      <c r="BJ79" s="539">
        <f t="shared" si="22"/>
        <v>0</v>
      </c>
      <c r="BK79" s="539">
        <f t="shared" si="22"/>
        <v>0</v>
      </c>
      <c r="BL79" s="539">
        <f t="shared" si="22"/>
        <v>0</v>
      </c>
      <c r="BM79" s="539">
        <f t="shared" si="22"/>
        <v>0</v>
      </c>
      <c r="BN79" s="539">
        <f t="shared" si="22"/>
        <v>0</v>
      </c>
      <c r="BO79" s="539">
        <f t="shared" si="22"/>
        <v>0</v>
      </c>
      <c r="BP79" s="539">
        <f t="shared" si="22"/>
        <v>0</v>
      </c>
      <c r="BQ79" s="539">
        <f t="shared" si="22"/>
        <v>0</v>
      </c>
      <c r="BR79" s="539">
        <f t="shared" si="22"/>
        <v>0</v>
      </c>
      <c r="BS79" s="539">
        <f t="shared" si="22"/>
        <v>0</v>
      </c>
      <c r="BT79" s="539">
        <f t="shared" si="22"/>
        <v>0</v>
      </c>
      <c r="BU79" s="539">
        <f t="shared" si="22"/>
        <v>0</v>
      </c>
      <c r="BV79" s="539">
        <f t="shared" si="22"/>
        <v>0</v>
      </c>
      <c r="BW79" s="539">
        <f t="shared" si="22"/>
        <v>0</v>
      </c>
      <c r="BX79" s="539">
        <f t="shared" si="22"/>
        <v>0</v>
      </c>
      <c r="BY79" s="539">
        <f t="shared" si="22"/>
        <v>0</v>
      </c>
      <c r="BZ79" s="539">
        <f t="shared" si="22"/>
        <v>0</v>
      </c>
      <c r="CA79" s="539">
        <f t="shared" si="22"/>
        <v>0</v>
      </c>
      <c r="CB79" s="539">
        <f t="shared" si="22"/>
        <v>0</v>
      </c>
      <c r="CC79" s="539">
        <f t="shared" si="22"/>
        <v>0</v>
      </c>
      <c r="CD79" s="539">
        <f t="shared" si="22"/>
        <v>0</v>
      </c>
      <c r="CE79" s="539">
        <f t="shared" si="22"/>
        <v>0</v>
      </c>
      <c r="CF79" s="539">
        <f t="shared" si="22"/>
        <v>0</v>
      </c>
      <c r="CG79" s="539">
        <f t="shared" si="22"/>
        <v>0</v>
      </c>
      <c r="CH79" s="539">
        <f t="shared" si="22"/>
        <v>0</v>
      </c>
      <c r="CI79" s="539">
        <f t="shared" si="22"/>
        <v>0</v>
      </c>
      <c r="CJ79" s="539">
        <f t="shared" si="22"/>
        <v>0</v>
      </c>
      <c r="CK79" s="539">
        <f t="shared" si="22"/>
        <v>0</v>
      </c>
      <c r="CL79" s="539">
        <f t="shared" si="22"/>
        <v>0</v>
      </c>
      <c r="CM79" s="539">
        <f t="shared" si="22"/>
        <v>0</v>
      </c>
      <c r="CN79" s="539">
        <f t="shared" si="22"/>
        <v>0</v>
      </c>
      <c r="CO79" s="539">
        <f t="shared" si="22"/>
        <v>0</v>
      </c>
      <c r="CP79" s="539">
        <f t="shared" si="22"/>
        <v>0</v>
      </c>
      <c r="CQ79" s="539">
        <f t="shared" si="22"/>
        <v>0</v>
      </c>
      <c r="CR79" s="539">
        <f t="shared" si="22"/>
        <v>0</v>
      </c>
      <c r="CS79" s="539">
        <f t="shared" si="22"/>
        <v>0</v>
      </c>
      <c r="CT79" s="539">
        <f t="shared" si="22"/>
        <v>0</v>
      </c>
      <c r="CU79" s="539">
        <f t="shared" si="22"/>
        <v>0</v>
      </c>
      <c r="CV79" s="539">
        <f t="shared" si="22"/>
        <v>0</v>
      </c>
      <c r="CW79" s="539">
        <f t="shared" si="22"/>
        <v>0</v>
      </c>
      <c r="CX79" s="539">
        <f t="shared" si="22"/>
        <v>0</v>
      </c>
      <c r="CY79" s="539">
        <f t="shared" si="22"/>
        <v>0</v>
      </c>
      <c r="CZ79" s="539">
        <f t="shared" si="22"/>
        <v>0</v>
      </c>
      <c r="DA79" s="539">
        <f t="shared" si="22"/>
        <v>0</v>
      </c>
      <c r="DB79" s="539">
        <f t="shared" si="22"/>
        <v>0</v>
      </c>
      <c r="DC79" s="539">
        <f t="shared" si="22"/>
        <v>0</v>
      </c>
      <c r="DD79" s="539">
        <f t="shared" si="22"/>
        <v>0</v>
      </c>
      <c r="DE79" s="539">
        <f t="shared" si="22"/>
        <v>0</v>
      </c>
      <c r="DF79" s="539">
        <f t="shared" si="22"/>
        <v>0</v>
      </c>
      <c r="DG79" s="539">
        <f t="shared" si="22"/>
        <v>0</v>
      </c>
      <c r="DH79" s="539">
        <f t="shared" si="22"/>
        <v>0</v>
      </c>
      <c r="DI79" s="539">
        <f t="shared" si="22"/>
        <v>0</v>
      </c>
      <c r="DJ79" s="539">
        <f t="shared" si="22"/>
        <v>0</v>
      </c>
      <c r="DK79" s="539">
        <f t="shared" si="22"/>
        <v>0</v>
      </c>
      <c r="DL79" s="539">
        <f t="shared" si="22"/>
        <v>0</v>
      </c>
      <c r="DM79" s="539">
        <f t="shared" si="22"/>
        <v>0</v>
      </c>
      <c r="DN79" s="539">
        <f t="shared" si="22"/>
        <v>0</v>
      </c>
      <c r="DO79" s="539">
        <f t="shared" si="22"/>
        <v>0</v>
      </c>
      <c r="DP79" s="539">
        <f t="shared" si="22"/>
        <v>0</v>
      </c>
      <c r="DQ79" s="539">
        <f t="shared" si="22"/>
        <v>0</v>
      </c>
      <c r="DR79" s="539">
        <f t="shared" si="22"/>
        <v>0</v>
      </c>
      <c r="DS79" s="539">
        <f t="shared" si="22"/>
        <v>0</v>
      </c>
      <c r="DT79" s="539">
        <f t="shared" si="22"/>
        <v>0</v>
      </c>
      <c r="DU79" s="539">
        <f t="shared" si="22"/>
        <v>0</v>
      </c>
      <c r="DV79" s="539">
        <f t="shared" si="22"/>
        <v>0</v>
      </c>
      <c r="DW79" s="539">
        <f t="shared" si="22"/>
        <v>0</v>
      </c>
      <c r="DX79" s="539">
        <f t="shared" si="22"/>
        <v>0</v>
      </c>
      <c r="DY79" s="539">
        <f t="shared" si="22"/>
        <v>0</v>
      </c>
      <c r="DZ79" s="539">
        <f t="shared" si="22"/>
        <v>0</v>
      </c>
      <c r="EA79" s="539">
        <f t="shared" si="22"/>
        <v>0</v>
      </c>
      <c r="EB79" s="539">
        <f t="shared" si="22"/>
        <v>0</v>
      </c>
      <c r="EC79" s="539">
        <f t="shared" si="22"/>
        <v>1.3369572116062045E-10</v>
      </c>
      <c r="ED79" s="539">
        <f t="shared" si="22"/>
        <v>0</v>
      </c>
      <c r="EE79" s="539">
        <f t="shared" si="22"/>
        <v>0</v>
      </c>
      <c r="EF79" s="539">
        <f t="shared" si="22"/>
        <v>0</v>
      </c>
      <c r="EG79" s="539">
        <f t="shared" si="22"/>
        <v>0</v>
      </c>
    </row>
    <row r="80" spans="5:7" ht="12.75">
      <c r="E80" s="540" t="s">
        <v>297</v>
      </c>
      <c r="F80" s="543">
        <f>IF(SUM($J79:$EG79)&gt;$F78,1,0)</f>
        <v>0</v>
      </c>
      <c r="G80" s="541" t="s">
        <v>298</v>
      </c>
    </row>
    <row r="82" spans="5:7" ht="12.75">
      <c r="E82" s="535" t="str">
        <f>InpC!E$128</f>
        <v>Check tolerance</v>
      </c>
      <c r="F82" s="537">
        <f>InpC!F$128</f>
        <v>0.001</v>
      </c>
      <c r="G82" s="537" t="str">
        <f>InpC!G$128</f>
        <v>EUR 000s</v>
      </c>
    </row>
    <row r="83" spans="5:137" ht="12.75">
      <c r="E83" s="535" t="str">
        <f>Time!E$170</f>
        <v>Last model period flag</v>
      </c>
      <c r="G83" s="537" t="str">
        <f>Time!G$170</f>
        <v>flag</v>
      </c>
      <c r="H83" s="537">
        <f>Time!H$170</f>
        <v>1</v>
      </c>
      <c r="J83" s="537">
        <f>Time!J$170</f>
        <v>0</v>
      </c>
      <c r="K83" s="537">
        <f>Time!K$170</f>
        <v>0</v>
      </c>
      <c r="L83" s="537">
        <f>Time!L$170</f>
        <v>0</v>
      </c>
      <c r="M83" s="537">
        <f>Time!M$170</f>
        <v>0</v>
      </c>
      <c r="N83" s="537">
        <f>Time!N$170</f>
        <v>0</v>
      </c>
      <c r="O83" s="537">
        <f>Time!O$170</f>
        <v>0</v>
      </c>
      <c r="P83" s="537">
        <f>Time!P$170</f>
        <v>0</v>
      </c>
      <c r="Q83" s="537">
        <f>Time!Q$170</f>
        <v>0</v>
      </c>
      <c r="R83" s="537">
        <f>Time!R$170</f>
        <v>0</v>
      </c>
      <c r="S83" s="537">
        <f>Time!S$170</f>
        <v>0</v>
      </c>
      <c r="T83" s="537">
        <f>Time!T$170</f>
        <v>0</v>
      </c>
      <c r="U83" s="537">
        <f>Time!U$170</f>
        <v>0</v>
      </c>
      <c r="V83" s="537">
        <f>Time!V$170</f>
        <v>0</v>
      </c>
      <c r="W83" s="537">
        <f>Time!W$170</f>
        <v>0</v>
      </c>
      <c r="X83" s="537">
        <f>Time!X$170</f>
        <v>0</v>
      </c>
      <c r="Y83" s="537">
        <f>Time!Y$170</f>
        <v>0</v>
      </c>
      <c r="Z83" s="537">
        <f>Time!Z$170</f>
        <v>0</v>
      </c>
      <c r="AA83" s="537">
        <f>Time!AA$170</f>
        <v>0</v>
      </c>
      <c r="AB83" s="537">
        <f>Time!AB$170</f>
        <v>0</v>
      </c>
      <c r="AC83" s="537">
        <f>Time!AC$170</f>
        <v>0</v>
      </c>
      <c r="AD83" s="537">
        <f>Time!AD$170</f>
        <v>0</v>
      </c>
      <c r="AE83" s="537">
        <f>Time!AE$170</f>
        <v>0</v>
      </c>
      <c r="AF83" s="537">
        <f>Time!AF$170</f>
        <v>0</v>
      </c>
      <c r="AG83" s="537">
        <f>Time!AG$170</f>
        <v>0</v>
      </c>
      <c r="AH83" s="537">
        <f>Time!AH$170</f>
        <v>0</v>
      </c>
      <c r="AI83" s="537">
        <f>Time!AI$170</f>
        <v>0</v>
      </c>
      <c r="AJ83" s="537">
        <f>Time!AJ$170</f>
        <v>0</v>
      </c>
      <c r="AK83" s="537">
        <f>Time!AK$170</f>
        <v>0</v>
      </c>
      <c r="AL83" s="537">
        <f>Time!AL$170</f>
        <v>0</v>
      </c>
      <c r="AM83" s="537">
        <f>Time!AM$170</f>
        <v>0</v>
      </c>
      <c r="AN83" s="537">
        <f>Time!AN$170</f>
        <v>0</v>
      </c>
      <c r="AO83" s="537">
        <f>Time!AO$170</f>
        <v>0</v>
      </c>
      <c r="AP83" s="537">
        <f>Time!AP$170</f>
        <v>0</v>
      </c>
      <c r="AQ83" s="537">
        <f>Time!AQ$170</f>
        <v>0</v>
      </c>
      <c r="AR83" s="537">
        <f>Time!AR$170</f>
        <v>0</v>
      </c>
      <c r="AS83" s="537">
        <f>Time!AS$170</f>
        <v>0</v>
      </c>
      <c r="AT83" s="537">
        <f>Time!AT$170</f>
        <v>0</v>
      </c>
      <c r="AU83" s="537">
        <f>Time!AU$170</f>
        <v>0</v>
      </c>
      <c r="AV83" s="537">
        <f>Time!AV$170</f>
        <v>0</v>
      </c>
      <c r="AW83" s="537">
        <f>Time!AW$170</f>
        <v>0</v>
      </c>
      <c r="AX83" s="537">
        <f>Time!AX$170</f>
        <v>0</v>
      </c>
      <c r="AY83" s="537">
        <f>Time!AY$170</f>
        <v>0</v>
      </c>
      <c r="AZ83" s="537">
        <f>Time!AZ$170</f>
        <v>0</v>
      </c>
      <c r="BA83" s="537">
        <f>Time!BA$170</f>
        <v>0</v>
      </c>
      <c r="BB83" s="537">
        <f>Time!BB$170</f>
        <v>0</v>
      </c>
      <c r="BC83" s="537">
        <f>Time!BC$170</f>
        <v>0</v>
      </c>
      <c r="BD83" s="537">
        <f>Time!BD$170</f>
        <v>0</v>
      </c>
      <c r="BE83" s="537">
        <f>Time!BE$170</f>
        <v>0</v>
      </c>
      <c r="BF83" s="537">
        <f>Time!BF$170</f>
        <v>0</v>
      </c>
      <c r="BG83" s="537">
        <f>Time!BG$170</f>
        <v>0</v>
      </c>
      <c r="BH83" s="537">
        <f>Time!BH$170</f>
        <v>0</v>
      </c>
      <c r="BI83" s="537">
        <f>Time!BI$170</f>
        <v>0</v>
      </c>
      <c r="BJ83" s="537">
        <f>Time!BJ$170</f>
        <v>0</v>
      </c>
      <c r="BK83" s="537">
        <f>Time!BK$170</f>
        <v>0</v>
      </c>
      <c r="BL83" s="537">
        <f>Time!BL$170</f>
        <v>0</v>
      </c>
      <c r="BM83" s="537">
        <f>Time!BM$170</f>
        <v>0</v>
      </c>
      <c r="BN83" s="537">
        <f>Time!BN$170</f>
        <v>0</v>
      </c>
      <c r="BO83" s="537">
        <f>Time!BO$170</f>
        <v>0</v>
      </c>
      <c r="BP83" s="537">
        <f>Time!BP$170</f>
        <v>0</v>
      </c>
      <c r="BQ83" s="537">
        <f>Time!BQ$170</f>
        <v>0</v>
      </c>
      <c r="BR83" s="537">
        <f>Time!BR$170</f>
        <v>0</v>
      </c>
      <c r="BS83" s="537">
        <f>Time!BS$170</f>
        <v>0</v>
      </c>
      <c r="BT83" s="537">
        <f>Time!BT$170</f>
        <v>0</v>
      </c>
      <c r="BU83" s="537">
        <f>Time!BU$170</f>
        <v>0</v>
      </c>
      <c r="BV83" s="537">
        <f>Time!BV$170</f>
        <v>0</v>
      </c>
      <c r="BW83" s="537">
        <f>Time!BW$170</f>
        <v>0</v>
      </c>
      <c r="BX83" s="537">
        <f>Time!BX$170</f>
        <v>0</v>
      </c>
      <c r="BY83" s="537">
        <f>Time!BY$170</f>
        <v>0</v>
      </c>
      <c r="BZ83" s="537">
        <f>Time!BZ$170</f>
        <v>0</v>
      </c>
      <c r="CA83" s="537">
        <f>Time!CA$170</f>
        <v>0</v>
      </c>
      <c r="CB83" s="537">
        <f>Time!CB$170</f>
        <v>0</v>
      </c>
      <c r="CC83" s="537">
        <f>Time!CC$170</f>
        <v>0</v>
      </c>
      <c r="CD83" s="537">
        <f>Time!CD$170</f>
        <v>0</v>
      </c>
      <c r="CE83" s="537">
        <f>Time!CE$170</f>
        <v>0</v>
      </c>
      <c r="CF83" s="537">
        <f>Time!CF$170</f>
        <v>0</v>
      </c>
      <c r="CG83" s="537">
        <f>Time!CG$170</f>
        <v>0</v>
      </c>
      <c r="CH83" s="537">
        <f>Time!CH$170</f>
        <v>0</v>
      </c>
      <c r="CI83" s="537">
        <f>Time!CI$170</f>
        <v>0</v>
      </c>
      <c r="CJ83" s="537">
        <f>Time!CJ$170</f>
        <v>0</v>
      </c>
      <c r="CK83" s="537">
        <f>Time!CK$170</f>
        <v>0</v>
      </c>
      <c r="CL83" s="537">
        <f>Time!CL$170</f>
        <v>0</v>
      </c>
      <c r="CM83" s="537">
        <f>Time!CM$170</f>
        <v>0</v>
      </c>
      <c r="CN83" s="537">
        <f>Time!CN$170</f>
        <v>0</v>
      </c>
      <c r="CO83" s="537">
        <f>Time!CO$170</f>
        <v>0</v>
      </c>
      <c r="CP83" s="537">
        <f>Time!CP$170</f>
        <v>0</v>
      </c>
      <c r="CQ83" s="537">
        <f>Time!CQ$170</f>
        <v>0</v>
      </c>
      <c r="CR83" s="537">
        <f>Time!CR$170</f>
        <v>0</v>
      </c>
      <c r="CS83" s="537">
        <f>Time!CS$170</f>
        <v>0</v>
      </c>
      <c r="CT83" s="537">
        <f>Time!CT$170</f>
        <v>0</v>
      </c>
      <c r="CU83" s="537">
        <f>Time!CU$170</f>
        <v>0</v>
      </c>
      <c r="CV83" s="537">
        <f>Time!CV$170</f>
        <v>0</v>
      </c>
      <c r="CW83" s="537">
        <f>Time!CW$170</f>
        <v>0</v>
      </c>
      <c r="CX83" s="537">
        <f>Time!CX$170</f>
        <v>0</v>
      </c>
      <c r="CY83" s="537">
        <f>Time!CY$170</f>
        <v>0</v>
      </c>
      <c r="CZ83" s="537">
        <f>Time!CZ$170</f>
        <v>0</v>
      </c>
      <c r="DA83" s="537">
        <f>Time!DA$170</f>
        <v>0</v>
      </c>
      <c r="DB83" s="537">
        <f>Time!DB$170</f>
        <v>0</v>
      </c>
      <c r="DC83" s="537">
        <f>Time!DC$170</f>
        <v>0</v>
      </c>
      <c r="DD83" s="537">
        <f>Time!DD$170</f>
        <v>0</v>
      </c>
      <c r="DE83" s="537">
        <f>Time!DE$170</f>
        <v>0</v>
      </c>
      <c r="DF83" s="537">
        <f>Time!DF$170</f>
        <v>0</v>
      </c>
      <c r="DG83" s="537">
        <f>Time!DG$170</f>
        <v>0</v>
      </c>
      <c r="DH83" s="537">
        <f>Time!DH$170</f>
        <v>0</v>
      </c>
      <c r="DI83" s="537">
        <f>Time!DI$170</f>
        <v>0</v>
      </c>
      <c r="DJ83" s="537">
        <f>Time!DJ$170</f>
        <v>0</v>
      </c>
      <c r="DK83" s="537">
        <f>Time!DK$170</f>
        <v>0</v>
      </c>
      <c r="DL83" s="537">
        <f>Time!DL$170</f>
        <v>0</v>
      </c>
      <c r="DM83" s="537">
        <f>Time!DM$170</f>
        <v>0</v>
      </c>
      <c r="DN83" s="537">
        <f>Time!DN$170</f>
        <v>0</v>
      </c>
      <c r="DO83" s="537">
        <f>Time!DO$170</f>
        <v>0</v>
      </c>
      <c r="DP83" s="537">
        <f>Time!DP$170</f>
        <v>0</v>
      </c>
      <c r="DQ83" s="537">
        <f>Time!DQ$170</f>
        <v>0</v>
      </c>
      <c r="DR83" s="537">
        <f>Time!DR$170</f>
        <v>0</v>
      </c>
      <c r="DS83" s="537">
        <f>Time!DS$170</f>
        <v>0</v>
      </c>
      <c r="DT83" s="537">
        <f>Time!DT$170</f>
        <v>0</v>
      </c>
      <c r="DU83" s="537">
        <f>Time!DU$170</f>
        <v>0</v>
      </c>
      <c r="DV83" s="537">
        <f>Time!DV$170</f>
        <v>0</v>
      </c>
      <c r="DW83" s="537">
        <f>Time!DW$170</f>
        <v>0</v>
      </c>
      <c r="DX83" s="537">
        <f>Time!DX$170</f>
        <v>0</v>
      </c>
      <c r="DY83" s="537">
        <f>Time!DY$170</f>
        <v>0</v>
      </c>
      <c r="DZ83" s="537">
        <f>Time!DZ$170</f>
        <v>0</v>
      </c>
      <c r="EA83" s="537">
        <f>Time!EA$170</f>
        <v>0</v>
      </c>
      <c r="EB83" s="537">
        <f>Time!EB$170</f>
        <v>0</v>
      </c>
      <c r="EC83" s="537">
        <f>Time!EC$170</f>
        <v>0</v>
      </c>
      <c r="ED83" s="537">
        <f>Time!ED$170</f>
        <v>0</v>
      </c>
      <c r="EE83" s="537">
        <f>Time!EE$170</f>
        <v>0</v>
      </c>
      <c r="EF83" s="537">
        <f>Time!EF$170</f>
        <v>0</v>
      </c>
      <c r="EG83" s="537">
        <f>Time!EG$170</f>
        <v>1</v>
      </c>
    </row>
    <row r="84" spans="5:137" ht="12.75">
      <c r="E84" s="538" t="str">
        <f>E$73</f>
        <v>Financing costs - net book value</v>
      </c>
      <c r="G84" s="539" t="str">
        <f>G$73</f>
        <v>EUR 000s</v>
      </c>
      <c r="H84" s="539">
        <f>H$73</f>
        <v>744501.1890130305</v>
      </c>
      <c r="J84" s="539">
        <f t="shared" si="23" ref="J84:EG84">J$73</f>
        <v>0</v>
      </c>
      <c r="K84" s="539">
        <f t="shared" si="23"/>
        <v>0</v>
      </c>
      <c r="L84" s="539">
        <f t="shared" si="23"/>
        <v>3319.2997186657749</v>
      </c>
      <c r="M84" s="539">
        <f t="shared" si="23"/>
        <v>3428.4273806493075</v>
      </c>
      <c r="N84" s="539">
        <f t="shared" si="23"/>
        <v>3550.2236108176789</v>
      </c>
      <c r="O84" s="539">
        <f t="shared" si="23"/>
        <v>3677.0463412943618</v>
      </c>
      <c r="P84" s="539">
        <f t="shared" si="23"/>
        <v>3817.1274755723225</v>
      </c>
      <c r="Q84" s="539">
        <f t="shared" si="23"/>
        <v>3957.4315550557626</v>
      </c>
      <c r="R84" s="539">
        <f t="shared" si="23"/>
        <v>4163.4473869214507</v>
      </c>
      <c r="S84" s="539">
        <f t="shared" si="23"/>
        <v>4505.0734025839774</v>
      </c>
      <c r="T84" s="539">
        <f t="shared" si="23"/>
        <v>4910.7382085915697</v>
      </c>
      <c r="U84" s="539">
        <f t="shared" si="23"/>
        <v>5409.5640617763338</v>
      </c>
      <c r="V84" s="539">
        <f t="shared" si="23"/>
        <v>5987.5247242138039</v>
      </c>
      <c r="W84" s="539">
        <f t="shared" si="23"/>
        <v>6596.1478230602825</v>
      </c>
      <c r="X84" s="539">
        <f t="shared" si="23"/>
        <v>7318.4917905892335</v>
      </c>
      <c r="Y84" s="539">
        <f t="shared" si="23"/>
        <v>8078.7541951389285</v>
      </c>
      <c r="Z84" s="539">
        <f t="shared" si="23"/>
        <v>8919.1378733300371</v>
      </c>
      <c r="AA84" s="539">
        <f t="shared" si="23"/>
        <v>9781.243350802004</v>
      </c>
      <c r="AB84" s="539">
        <f t="shared" si="23"/>
        <v>10731.009103725857</v>
      </c>
      <c r="AC84" s="539">
        <f t="shared" si="23"/>
        <v>11744.577734108454</v>
      </c>
      <c r="AD84" s="539">
        <f t="shared" si="23"/>
        <v>12787.330920574514</v>
      </c>
      <c r="AE84" s="539">
        <f t="shared" si="23"/>
        <v>13921.351245595242</v>
      </c>
      <c r="AF84" s="539">
        <f t="shared" si="23"/>
        <v>15049.3927455014</v>
      </c>
      <c r="AG84" s="539">
        <f t="shared" si="23"/>
        <v>16238.00811257573</v>
      </c>
      <c r="AH84" s="539">
        <f t="shared" si="23"/>
        <v>16015.704989647251</v>
      </c>
      <c r="AI84" s="539">
        <f t="shared" si="23"/>
        <v>15790.931832019567</v>
      </c>
      <c r="AJ84" s="539">
        <f t="shared" si="23"/>
        <v>15563.688639692678</v>
      </c>
      <c r="AK84" s="539">
        <f t="shared" si="23"/>
        <v>15336.44544736579</v>
      </c>
      <c r="AL84" s="539">
        <f t="shared" si="23"/>
        <v>15114.142324437311</v>
      </c>
      <c r="AM84" s="539">
        <f t="shared" si="23"/>
        <v>14889.369166809627</v>
      </c>
      <c r="AN84" s="539">
        <f t="shared" si="23"/>
        <v>14662.125974482738</v>
      </c>
      <c r="AO84" s="539">
        <f t="shared" si="23"/>
        <v>14434.88278215585</v>
      </c>
      <c r="AP84" s="539">
        <f t="shared" si="23"/>
        <v>14212.579659227371</v>
      </c>
      <c r="AQ84" s="539">
        <f t="shared" si="23"/>
        <v>13987.806501599687</v>
      </c>
      <c r="AR84" s="539">
        <f t="shared" si="23"/>
        <v>13760.563309272799</v>
      </c>
      <c r="AS84" s="539">
        <f t="shared" si="23"/>
        <v>13533.32011694591</v>
      </c>
      <c r="AT84" s="539">
        <f t="shared" si="23"/>
        <v>13308.546959318226</v>
      </c>
      <c r="AU84" s="539">
        <f t="shared" si="23"/>
        <v>13083.773801690542</v>
      </c>
      <c r="AV84" s="539">
        <f t="shared" si="23"/>
        <v>12856.530609363654</v>
      </c>
      <c r="AW84" s="539">
        <f t="shared" si="23"/>
        <v>12629.287417036765</v>
      </c>
      <c r="AX84" s="539">
        <f t="shared" si="23"/>
        <v>12406.984294108286</v>
      </c>
      <c r="AY84" s="539">
        <f t="shared" si="23"/>
        <v>12182.211136480602</v>
      </c>
      <c r="AZ84" s="539">
        <f t="shared" si="23"/>
        <v>11954.967944153714</v>
      </c>
      <c r="BA84" s="539">
        <f t="shared" si="23"/>
        <v>11727.724751826825</v>
      </c>
      <c r="BB84" s="539">
        <f t="shared" si="23"/>
        <v>11505.421628898346</v>
      </c>
      <c r="BC84" s="539">
        <f t="shared" si="23"/>
        <v>11280.648471270662</v>
      </c>
      <c r="BD84" s="539">
        <f t="shared" si="23"/>
        <v>11053.405278943774</v>
      </c>
      <c r="BE84" s="539">
        <f t="shared" si="23"/>
        <v>10826.162086616885</v>
      </c>
      <c r="BF84" s="539">
        <f t="shared" si="23"/>
        <v>10603.858963688406</v>
      </c>
      <c r="BG84" s="539">
        <f t="shared" si="23"/>
        <v>10379.085806060722</v>
      </c>
      <c r="BH84" s="539">
        <f t="shared" si="23"/>
        <v>10151.842613733834</v>
      </c>
      <c r="BI84" s="539">
        <f t="shared" si="23"/>
        <v>9924.5994214069451</v>
      </c>
      <c r="BJ84" s="539">
        <f t="shared" si="23"/>
        <v>9699.8262637792614</v>
      </c>
      <c r="BK84" s="539">
        <f t="shared" si="23"/>
        <v>9475.0531061515776</v>
      </c>
      <c r="BL84" s="539">
        <f t="shared" si="23"/>
        <v>9247.8099138246889</v>
      </c>
      <c r="BM84" s="539">
        <f t="shared" si="23"/>
        <v>9020.5667214978002</v>
      </c>
      <c r="BN84" s="539">
        <f t="shared" si="23"/>
        <v>8798.2635985693214</v>
      </c>
      <c r="BO84" s="539">
        <f t="shared" si="23"/>
        <v>8573.4904409416376</v>
      </c>
      <c r="BP84" s="539">
        <f t="shared" si="23"/>
        <v>8346.247248614749</v>
      </c>
      <c r="BQ84" s="539">
        <f t="shared" si="23"/>
        <v>8119.0040562878603</v>
      </c>
      <c r="BR84" s="539">
        <f t="shared" si="23"/>
        <v>7896.7009333593824</v>
      </c>
      <c r="BS84" s="539">
        <f t="shared" si="23"/>
        <v>7671.9277757316986</v>
      </c>
      <c r="BT84" s="539">
        <f t="shared" si="23"/>
        <v>7444.6845834048099</v>
      </c>
      <c r="BU84" s="539">
        <f t="shared" si="23"/>
        <v>7217.4413910779213</v>
      </c>
      <c r="BV84" s="539">
        <f t="shared" si="23"/>
        <v>6995.1382681494433</v>
      </c>
      <c r="BW84" s="539">
        <f t="shared" si="23"/>
        <v>6770.3651105217596</v>
      </c>
      <c r="BX84" s="539">
        <f t="shared" si="23"/>
        <v>6543.1219181948709</v>
      </c>
      <c r="BY84" s="539">
        <f t="shared" si="23"/>
        <v>6315.8787258679822</v>
      </c>
      <c r="BZ84" s="539">
        <f t="shared" si="23"/>
        <v>6091.1055682402985</v>
      </c>
      <c r="CA84" s="539">
        <f t="shared" si="23"/>
        <v>5866.3324106126147</v>
      </c>
      <c r="CB84" s="539">
        <f t="shared" si="23"/>
        <v>5639.089218285726</v>
      </c>
      <c r="CC84" s="539">
        <f t="shared" si="23"/>
        <v>5411.8460259588373</v>
      </c>
      <c r="CD84" s="539">
        <f t="shared" si="23"/>
        <v>5189.5429030303594</v>
      </c>
      <c r="CE84" s="539">
        <f t="shared" si="23"/>
        <v>4964.7697454026757</v>
      </c>
      <c r="CF84" s="539">
        <f t="shared" si="23"/>
        <v>4737.526553075787</v>
      </c>
      <c r="CG84" s="539">
        <f t="shared" si="23"/>
        <v>4510.2833607488983</v>
      </c>
      <c r="CH84" s="539">
        <f t="shared" si="23"/>
        <v>4287.9802378204204</v>
      </c>
      <c r="CI84" s="539">
        <f t="shared" si="23"/>
        <v>4063.2070801927366</v>
      </c>
      <c r="CJ84" s="539">
        <f t="shared" si="23"/>
        <v>3835.9638878658479</v>
      </c>
      <c r="CK84" s="539">
        <f t="shared" si="23"/>
        <v>3608.7206955389593</v>
      </c>
      <c r="CL84" s="539">
        <f t="shared" si="23"/>
        <v>3386.4175726104809</v>
      </c>
      <c r="CM84" s="539">
        <f t="shared" si="23"/>
        <v>3161.6444149827976</v>
      </c>
      <c r="CN84" s="539">
        <f t="shared" si="23"/>
        <v>2934.4012226559089</v>
      </c>
      <c r="CO84" s="539">
        <f t="shared" si="23"/>
        <v>2707.1580303290202</v>
      </c>
      <c r="CP84" s="539">
        <f t="shared" si="23"/>
        <v>2482.3848727013365</v>
      </c>
      <c r="CQ84" s="539">
        <f t="shared" si="23"/>
        <v>2257.6117150736527</v>
      </c>
      <c r="CR84" s="539">
        <f t="shared" si="23"/>
        <v>2030.3685227467638</v>
      </c>
      <c r="CS84" s="539">
        <f t="shared" si="23"/>
        <v>1803.1253304198749</v>
      </c>
      <c r="CT84" s="539">
        <f t="shared" si="23"/>
        <v>1580.8222074913967</v>
      </c>
      <c r="CU84" s="539">
        <f t="shared" si="23"/>
        <v>1356.0490498637132</v>
      </c>
      <c r="CV84" s="539">
        <f t="shared" si="23"/>
        <v>1128.8058575368243</v>
      </c>
      <c r="CW84" s="539">
        <f t="shared" si="23"/>
        <v>901.56266520993552</v>
      </c>
      <c r="CX84" s="539">
        <f t="shared" si="23"/>
        <v>679.25954228145736</v>
      </c>
      <c r="CY84" s="539">
        <f t="shared" si="23"/>
        <v>454.48638465377383</v>
      </c>
      <c r="CZ84" s="539">
        <f t="shared" si="23"/>
        <v>227.24319232688501</v>
      </c>
      <c r="DA84" s="539">
        <f t="shared" si="23"/>
        <v>-3.808509063674137E-12</v>
      </c>
      <c r="DB84" s="539">
        <f t="shared" si="23"/>
        <v>-3.808509063674137E-12</v>
      </c>
      <c r="DC84" s="539">
        <f t="shared" si="23"/>
        <v>-3.808509063674137E-12</v>
      </c>
      <c r="DD84" s="539">
        <f t="shared" si="23"/>
        <v>-3.808509063674137E-12</v>
      </c>
      <c r="DE84" s="539">
        <f t="shared" si="23"/>
        <v>-3.808509063674137E-12</v>
      </c>
      <c r="DF84" s="539">
        <f t="shared" si="23"/>
        <v>-3.808509063674137E-12</v>
      </c>
      <c r="DG84" s="539">
        <f t="shared" si="23"/>
        <v>-3.808509063674137E-12</v>
      </c>
      <c r="DH84" s="539">
        <f t="shared" si="23"/>
        <v>-3.808509063674137E-12</v>
      </c>
      <c r="DI84" s="539">
        <f t="shared" si="23"/>
        <v>-3.808509063674137E-12</v>
      </c>
      <c r="DJ84" s="539">
        <f t="shared" si="23"/>
        <v>-3.808509063674137E-12</v>
      </c>
      <c r="DK84" s="539">
        <f t="shared" si="23"/>
        <v>-3.808509063674137E-12</v>
      </c>
      <c r="DL84" s="539">
        <f t="shared" si="23"/>
        <v>-3.808509063674137E-12</v>
      </c>
      <c r="DM84" s="539">
        <f t="shared" si="23"/>
        <v>-3.808509063674137E-12</v>
      </c>
      <c r="DN84" s="539">
        <f t="shared" si="23"/>
        <v>-3.808509063674137E-12</v>
      </c>
      <c r="DO84" s="539">
        <f t="shared" si="23"/>
        <v>-3.808509063674137E-12</v>
      </c>
      <c r="DP84" s="539">
        <f t="shared" si="23"/>
        <v>-3.808509063674137E-12</v>
      </c>
      <c r="DQ84" s="539">
        <f t="shared" si="23"/>
        <v>-3.808509063674137E-12</v>
      </c>
      <c r="DR84" s="539">
        <f t="shared" si="23"/>
        <v>-3.808509063674137E-12</v>
      </c>
      <c r="DS84" s="539">
        <f t="shared" si="23"/>
        <v>-3.808509063674137E-12</v>
      </c>
      <c r="DT84" s="539">
        <f t="shared" si="23"/>
        <v>-3.808509063674137E-12</v>
      </c>
      <c r="DU84" s="539">
        <f t="shared" si="23"/>
        <v>-3.808509063674137E-12</v>
      </c>
      <c r="DV84" s="539">
        <f t="shared" si="23"/>
        <v>-3.808509063674137E-12</v>
      </c>
      <c r="DW84" s="539">
        <f t="shared" si="23"/>
        <v>-3.808509063674137E-12</v>
      </c>
      <c r="DX84" s="539">
        <f t="shared" si="23"/>
        <v>-3.808509063674137E-12</v>
      </c>
      <c r="DY84" s="539">
        <f t="shared" si="23"/>
        <v>-3.808509063674137E-12</v>
      </c>
      <c r="DZ84" s="539">
        <f t="shared" si="23"/>
        <v>-3.808509063674137E-12</v>
      </c>
      <c r="EA84" s="539">
        <f t="shared" si="23"/>
        <v>-3.808509063674137E-12</v>
      </c>
      <c r="EB84" s="539">
        <f t="shared" si="23"/>
        <v>-3.808509063674137E-12</v>
      </c>
      <c r="EC84" s="539">
        <f t="shared" si="23"/>
        <v>-3.808509063674137E-12</v>
      </c>
      <c r="ED84" s="539">
        <f t="shared" si="23"/>
        <v>-3.808509063674137E-12</v>
      </c>
      <c r="EE84" s="539">
        <f t="shared" si="23"/>
        <v>-3.808509063674137E-12</v>
      </c>
      <c r="EF84" s="539">
        <f t="shared" si="23"/>
        <v>-3.808509063674137E-12</v>
      </c>
      <c r="EG84" s="539">
        <f t="shared" si="23"/>
        <v>-3.808509063674137E-12</v>
      </c>
    </row>
    <row r="85" spans="5:7" ht="12.75">
      <c r="E85" s="540" t="s">
        <v>299</v>
      </c>
      <c r="F85" s="543">
        <f>IF(ABS(SUMIFS($J84:$EG84,$J83:$EG83,1))&gt;$F82,1,0)</f>
        <v>0</v>
      </c>
      <c r="G85" s="541" t="s">
        <v>224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80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85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RL240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Debt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300</v>
      </c>
    </row>
    <row r="9" spans="2:2" ht="12.75">
      <c r="B9" s="534" t="s">
        <v>301</v>
      </c>
    </row>
    <row r="10" spans="5:7" ht="12.75">
      <c r="E10" s="535" t="str">
        <f>InpC!E$75</f>
        <v>Senior facility - repayment tenor</v>
      </c>
      <c r="F10" s="537">
        <f>InpC!F$75</f>
        <v>18</v>
      </c>
      <c r="G10" s="537" t="str">
        <f>InpC!G$75</f>
        <v>years</v>
      </c>
    </row>
    <row r="11" spans="5:7" ht="12.75">
      <c r="E11" s="535" t="str">
        <f>InpC!E$126</f>
        <v>Months in year</v>
      </c>
      <c r="F11" s="537">
        <f>InpC!F$126</f>
        <v>12</v>
      </c>
      <c r="G11" s="537" t="str">
        <f>InpC!G$126</f>
        <v>months</v>
      </c>
    </row>
    <row r="12" spans="5:7" ht="12.75">
      <c r="E12" s="535" t="str">
        <f>Time!E$21</f>
        <v>End of construction period date</v>
      </c>
      <c r="F12" s="536">
        <f>Time!F$21</f>
        <v>47118</v>
      </c>
      <c r="G12" s="536" t="str">
        <f>Time!G$21</f>
        <v>date</v>
      </c>
    </row>
    <row r="13" spans="5:137" ht="12.75">
      <c r="E13" s="535" t="str">
        <f>Time!E$50</f>
        <v>Model period ending</v>
      </c>
      <c r="G13" s="536" t="str">
        <f>Time!G$50</f>
        <v>date</v>
      </c>
      <c r="J13" s="536">
        <f>Time!J$50</f>
        <v>46418</v>
      </c>
      <c r="K13" s="536">
        <f>Time!K$50</f>
        <v>46446</v>
      </c>
      <c r="L13" s="536">
        <f>Time!L$50</f>
        <v>46477</v>
      </c>
      <c r="M13" s="536">
        <f>Time!M$50</f>
        <v>46507</v>
      </c>
      <c r="N13" s="536">
        <f>Time!N$50</f>
        <v>46538</v>
      </c>
      <c r="O13" s="536">
        <f>Time!O$50</f>
        <v>46568</v>
      </c>
      <c r="P13" s="536">
        <f>Time!P$50</f>
        <v>46599</v>
      </c>
      <c r="Q13" s="536">
        <f>Time!Q$50</f>
        <v>46630</v>
      </c>
      <c r="R13" s="536">
        <f>Time!R$50</f>
        <v>46660</v>
      </c>
      <c r="S13" s="536">
        <f>Time!S$50</f>
        <v>46691</v>
      </c>
      <c r="T13" s="536">
        <f>Time!T$50</f>
        <v>46721</v>
      </c>
      <c r="U13" s="536">
        <f>Time!U$50</f>
        <v>46752</v>
      </c>
      <c r="V13" s="536">
        <f>Time!V$50</f>
        <v>46783</v>
      </c>
      <c r="W13" s="536">
        <f>Time!W$50</f>
        <v>46812</v>
      </c>
      <c r="X13" s="536">
        <f>Time!X$50</f>
        <v>46843</v>
      </c>
      <c r="Y13" s="536">
        <f>Time!Y$50</f>
        <v>46873</v>
      </c>
      <c r="Z13" s="536">
        <f>Time!Z$50</f>
        <v>46904</v>
      </c>
      <c r="AA13" s="536">
        <f>Time!AA$50</f>
        <v>46934</v>
      </c>
      <c r="AB13" s="536">
        <f>Time!AB$50</f>
        <v>46965</v>
      </c>
      <c r="AC13" s="536">
        <f>Time!AC$50</f>
        <v>46996</v>
      </c>
      <c r="AD13" s="536">
        <f>Time!AD$50</f>
        <v>47026</v>
      </c>
      <c r="AE13" s="536">
        <f>Time!AE$50</f>
        <v>47057</v>
      </c>
      <c r="AF13" s="536">
        <f>Time!AF$50</f>
        <v>47087</v>
      </c>
      <c r="AG13" s="536">
        <f>Time!AG$50</f>
        <v>47118</v>
      </c>
      <c r="AH13" s="536">
        <f>Time!AH$50</f>
        <v>47208</v>
      </c>
      <c r="AI13" s="536">
        <f>Time!AI$50</f>
        <v>47299</v>
      </c>
      <c r="AJ13" s="536">
        <f>Time!AJ$50</f>
        <v>47391</v>
      </c>
      <c r="AK13" s="536">
        <f>Time!AK$50</f>
        <v>47483</v>
      </c>
      <c r="AL13" s="536">
        <f>Time!AL$50</f>
        <v>47573</v>
      </c>
      <c r="AM13" s="536">
        <f>Time!AM$50</f>
        <v>47664</v>
      </c>
      <c r="AN13" s="536">
        <f>Time!AN$50</f>
        <v>47756</v>
      </c>
      <c r="AO13" s="536">
        <f>Time!AO$50</f>
        <v>47848</v>
      </c>
      <c r="AP13" s="536">
        <f>Time!AP$50</f>
        <v>47938</v>
      </c>
      <c r="AQ13" s="536">
        <f>Time!AQ$50</f>
        <v>48029</v>
      </c>
      <c r="AR13" s="536">
        <f>Time!AR$50</f>
        <v>48121</v>
      </c>
      <c r="AS13" s="536">
        <f>Time!AS$50</f>
        <v>48213</v>
      </c>
      <c r="AT13" s="536">
        <f>Time!AT$50</f>
        <v>48304</v>
      </c>
      <c r="AU13" s="536">
        <f>Time!AU$50</f>
        <v>48395</v>
      </c>
      <c r="AV13" s="536">
        <f>Time!AV$50</f>
        <v>48487</v>
      </c>
      <c r="AW13" s="536">
        <f>Time!AW$50</f>
        <v>48579</v>
      </c>
      <c r="AX13" s="536">
        <f>Time!AX$50</f>
        <v>48669</v>
      </c>
      <c r="AY13" s="536">
        <f>Time!AY$50</f>
        <v>48760</v>
      </c>
      <c r="AZ13" s="536">
        <f>Time!AZ$50</f>
        <v>48852</v>
      </c>
      <c r="BA13" s="536">
        <f>Time!BA$50</f>
        <v>48944</v>
      </c>
      <c r="BB13" s="536">
        <f>Time!BB$50</f>
        <v>49034</v>
      </c>
      <c r="BC13" s="536">
        <f>Time!BC$50</f>
        <v>49125</v>
      </c>
      <c r="BD13" s="536">
        <f>Time!BD$50</f>
        <v>49217</v>
      </c>
      <c r="BE13" s="536">
        <f>Time!BE$50</f>
        <v>49309</v>
      </c>
      <c r="BF13" s="536">
        <f>Time!BF$50</f>
        <v>49399</v>
      </c>
      <c r="BG13" s="536">
        <f>Time!BG$50</f>
        <v>49490</v>
      </c>
      <c r="BH13" s="536">
        <f>Time!BH$50</f>
        <v>49582</v>
      </c>
      <c r="BI13" s="536">
        <f>Time!BI$50</f>
        <v>49674</v>
      </c>
      <c r="BJ13" s="536">
        <f>Time!BJ$50</f>
        <v>49765</v>
      </c>
      <c r="BK13" s="536">
        <f>Time!BK$50</f>
        <v>49856</v>
      </c>
      <c r="BL13" s="536">
        <f>Time!BL$50</f>
        <v>49948</v>
      </c>
      <c r="BM13" s="536">
        <f>Time!BM$50</f>
        <v>50040</v>
      </c>
      <c r="BN13" s="536">
        <f>Time!BN$50</f>
        <v>50130</v>
      </c>
      <c r="BO13" s="536">
        <f>Time!BO$50</f>
        <v>50221</v>
      </c>
      <c r="BP13" s="536">
        <f>Time!BP$50</f>
        <v>50313</v>
      </c>
      <c r="BQ13" s="536">
        <f>Time!BQ$50</f>
        <v>50405</v>
      </c>
      <c r="BR13" s="536">
        <f>Time!BR$50</f>
        <v>50495</v>
      </c>
      <c r="BS13" s="536">
        <f>Time!BS$50</f>
        <v>50586</v>
      </c>
      <c r="BT13" s="536">
        <f>Time!BT$50</f>
        <v>50678</v>
      </c>
      <c r="BU13" s="536">
        <f>Time!BU$50</f>
        <v>50770</v>
      </c>
      <c r="BV13" s="536">
        <f>Time!BV$50</f>
        <v>50860</v>
      </c>
      <c r="BW13" s="536">
        <f>Time!BW$50</f>
        <v>50951</v>
      </c>
      <c r="BX13" s="536">
        <f>Time!BX$50</f>
        <v>51043</v>
      </c>
      <c r="BY13" s="536">
        <f>Time!BY$50</f>
        <v>51135</v>
      </c>
      <c r="BZ13" s="536">
        <f>Time!BZ$50</f>
        <v>51226</v>
      </c>
      <c r="CA13" s="536">
        <f>Time!CA$50</f>
        <v>51317</v>
      </c>
      <c r="CB13" s="536">
        <f>Time!CB$50</f>
        <v>51409</v>
      </c>
      <c r="CC13" s="536">
        <f>Time!CC$50</f>
        <v>51501</v>
      </c>
      <c r="CD13" s="536">
        <f>Time!CD$50</f>
        <v>51591</v>
      </c>
      <c r="CE13" s="536">
        <f>Time!CE$50</f>
        <v>51682</v>
      </c>
      <c r="CF13" s="536">
        <f>Time!CF$50</f>
        <v>51774</v>
      </c>
      <c r="CG13" s="536">
        <f>Time!CG$50</f>
        <v>51866</v>
      </c>
      <c r="CH13" s="536">
        <f>Time!CH$50</f>
        <v>51956</v>
      </c>
      <c r="CI13" s="536">
        <f>Time!CI$50</f>
        <v>52047</v>
      </c>
      <c r="CJ13" s="536">
        <f>Time!CJ$50</f>
        <v>52139</v>
      </c>
      <c r="CK13" s="536">
        <f>Time!CK$50</f>
        <v>52231</v>
      </c>
      <c r="CL13" s="536">
        <f>Time!CL$50</f>
        <v>52321</v>
      </c>
      <c r="CM13" s="536">
        <f>Time!CM$50</f>
        <v>52412</v>
      </c>
      <c r="CN13" s="536">
        <f>Time!CN$50</f>
        <v>52504</v>
      </c>
      <c r="CO13" s="536">
        <f>Time!CO$50</f>
        <v>52596</v>
      </c>
      <c r="CP13" s="536">
        <f>Time!CP$50</f>
        <v>52687</v>
      </c>
      <c r="CQ13" s="536">
        <f>Time!CQ$50</f>
        <v>52778</v>
      </c>
      <c r="CR13" s="536">
        <f>Time!CR$50</f>
        <v>52870</v>
      </c>
      <c r="CS13" s="536">
        <f>Time!CS$50</f>
        <v>52962</v>
      </c>
      <c r="CT13" s="536">
        <f>Time!CT$50</f>
        <v>53052</v>
      </c>
      <c r="CU13" s="536">
        <f>Time!CU$50</f>
        <v>53143</v>
      </c>
      <c r="CV13" s="536">
        <f>Time!CV$50</f>
        <v>53235</v>
      </c>
      <c r="CW13" s="536">
        <f>Time!CW$50</f>
        <v>53327</v>
      </c>
      <c r="CX13" s="536">
        <f>Time!CX$50</f>
        <v>53417</v>
      </c>
      <c r="CY13" s="536">
        <f>Time!CY$50</f>
        <v>53508</v>
      </c>
      <c r="CZ13" s="536">
        <f>Time!CZ$50</f>
        <v>53600</v>
      </c>
      <c r="DA13" s="536">
        <f>Time!DA$50</f>
        <v>53692</v>
      </c>
      <c r="DB13" s="536">
        <f>Time!DB$50</f>
        <v>53782</v>
      </c>
      <c r="DC13" s="536">
        <f>Time!DC$50</f>
        <v>53873</v>
      </c>
      <c r="DD13" s="536">
        <f>Time!DD$50</f>
        <v>53965</v>
      </c>
      <c r="DE13" s="536">
        <f>Time!DE$50</f>
        <v>54057</v>
      </c>
      <c r="DF13" s="536">
        <f>Time!DF$50</f>
        <v>54148</v>
      </c>
      <c r="DG13" s="536">
        <f>Time!DG$50</f>
        <v>54239</v>
      </c>
      <c r="DH13" s="536">
        <f>Time!DH$50</f>
        <v>54331</v>
      </c>
      <c r="DI13" s="536">
        <f>Time!DI$50</f>
        <v>54423</v>
      </c>
      <c r="DJ13" s="536">
        <f>Time!DJ$50</f>
        <v>54513</v>
      </c>
      <c r="DK13" s="536">
        <f>Time!DK$50</f>
        <v>54604</v>
      </c>
      <c r="DL13" s="536">
        <f>Time!DL$50</f>
        <v>54696</v>
      </c>
      <c r="DM13" s="536">
        <f>Time!DM$50</f>
        <v>54788</v>
      </c>
      <c r="DN13" s="536">
        <f>Time!DN$50</f>
        <v>54878</v>
      </c>
      <c r="DO13" s="536">
        <f>Time!DO$50</f>
        <v>54969</v>
      </c>
      <c r="DP13" s="536">
        <f>Time!DP$50</f>
        <v>55061</v>
      </c>
      <c r="DQ13" s="536">
        <f>Time!DQ$50</f>
        <v>55153</v>
      </c>
      <c r="DR13" s="536">
        <f>Time!DR$50</f>
        <v>55243</v>
      </c>
      <c r="DS13" s="536">
        <f>Time!DS$50</f>
        <v>55334</v>
      </c>
      <c r="DT13" s="536">
        <f>Time!DT$50</f>
        <v>55426</v>
      </c>
      <c r="DU13" s="536">
        <f>Time!DU$50</f>
        <v>55518</v>
      </c>
      <c r="DV13" s="536">
        <f>Time!DV$50</f>
        <v>55609</v>
      </c>
      <c r="DW13" s="536">
        <f>Time!DW$50</f>
        <v>55700</v>
      </c>
      <c r="DX13" s="536">
        <f>Time!DX$50</f>
        <v>55792</v>
      </c>
      <c r="DY13" s="536">
        <f>Time!DY$50</f>
        <v>55884</v>
      </c>
      <c r="DZ13" s="536">
        <f>Time!DZ$50</f>
        <v>55974</v>
      </c>
      <c r="EA13" s="536">
        <f>Time!EA$50</f>
        <v>56065</v>
      </c>
      <c r="EB13" s="536">
        <f>Time!EB$50</f>
        <v>56157</v>
      </c>
      <c r="EC13" s="536">
        <f>Time!EC$50</f>
        <v>56249</v>
      </c>
      <c r="ED13" s="536">
        <f>Time!ED$50</f>
        <v>56339</v>
      </c>
      <c r="EE13" s="536">
        <f>Time!EE$50</f>
        <v>56430</v>
      </c>
      <c r="EF13" s="536">
        <f>Time!EF$50</f>
        <v>56522</v>
      </c>
      <c r="EG13" s="536">
        <f>Time!EG$50</f>
        <v>56614</v>
      </c>
    </row>
    <row r="14" spans="5:137" ht="12.75">
      <c r="E14" s="535" t="str">
        <f>Time!E$91</f>
        <v>Operating period flag</v>
      </c>
      <c r="G14" s="537" t="str">
        <f>Time!G$91</f>
        <v>flag</v>
      </c>
      <c r="H14" s="537">
        <f>Time!H$91</f>
        <v>100</v>
      </c>
      <c r="J14" s="537">
        <f>Time!J$91</f>
        <v>0</v>
      </c>
      <c r="K14" s="537">
        <f>Time!K$91</f>
        <v>0</v>
      </c>
      <c r="L14" s="537">
        <f>Time!L$91</f>
        <v>0</v>
      </c>
      <c r="M14" s="537">
        <f>Time!M$91</f>
        <v>0</v>
      </c>
      <c r="N14" s="537">
        <f>Time!N$91</f>
        <v>0</v>
      </c>
      <c r="O14" s="537">
        <f>Time!O$91</f>
        <v>0</v>
      </c>
      <c r="P14" s="537">
        <f>Time!P$91</f>
        <v>0</v>
      </c>
      <c r="Q14" s="537">
        <f>Time!Q$91</f>
        <v>0</v>
      </c>
      <c r="R14" s="537">
        <f>Time!R$91</f>
        <v>0</v>
      </c>
      <c r="S14" s="537">
        <f>Time!S$91</f>
        <v>0</v>
      </c>
      <c r="T14" s="537">
        <f>Time!T$91</f>
        <v>0</v>
      </c>
      <c r="U14" s="537">
        <f>Time!U$91</f>
        <v>0</v>
      </c>
      <c r="V14" s="537">
        <f>Time!V$91</f>
        <v>0</v>
      </c>
      <c r="W14" s="537">
        <f>Time!W$91</f>
        <v>0</v>
      </c>
      <c r="X14" s="537">
        <f>Time!X$91</f>
        <v>0</v>
      </c>
      <c r="Y14" s="537">
        <f>Time!Y$91</f>
        <v>0</v>
      </c>
      <c r="Z14" s="537">
        <f>Time!Z$91</f>
        <v>0</v>
      </c>
      <c r="AA14" s="537">
        <f>Time!AA$91</f>
        <v>0</v>
      </c>
      <c r="AB14" s="537">
        <f>Time!AB$91</f>
        <v>0</v>
      </c>
      <c r="AC14" s="537">
        <f>Time!AC$91</f>
        <v>0</v>
      </c>
      <c r="AD14" s="537">
        <f>Time!AD$91</f>
        <v>0</v>
      </c>
      <c r="AE14" s="537">
        <f>Time!AE$91</f>
        <v>0</v>
      </c>
      <c r="AF14" s="537">
        <f>Time!AF$91</f>
        <v>0</v>
      </c>
      <c r="AG14" s="537">
        <f>Time!AG$91</f>
        <v>0</v>
      </c>
      <c r="AH14" s="537">
        <f>Time!AH$91</f>
        <v>1</v>
      </c>
      <c r="AI14" s="537">
        <f>Time!AI$91</f>
        <v>1</v>
      </c>
      <c r="AJ14" s="537">
        <f>Time!AJ$91</f>
        <v>1</v>
      </c>
      <c r="AK14" s="537">
        <f>Time!AK$91</f>
        <v>1</v>
      </c>
      <c r="AL14" s="537">
        <f>Time!AL$91</f>
        <v>1</v>
      </c>
      <c r="AM14" s="537">
        <f>Time!AM$91</f>
        <v>1</v>
      </c>
      <c r="AN14" s="537">
        <f>Time!AN$91</f>
        <v>1</v>
      </c>
      <c r="AO14" s="537">
        <f>Time!AO$91</f>
        <v>1</v>
      </c>
      <c r="AP14" s="537">
        <f>Time!AP$91</f>
        <v>1</v>
      </c>
      <c r="AQ14" s="537">
        <f>Time!AQ$91</f>
        <v>1</v>
      </c>
      <c r="AR14" s="537">
        <f>Time!AR$91</f>
        <v>1</v>
      </c>
      <c r="AS14" s="537">
        <f>Time!AS$91</f>
        <v>1</v>
      </c>
      <c r="AT14" s="537">
        <f>Time!AT$91</f>
        <v>1</v>
      </c>
      <c r="AU14" s="537">
        <f>Time!AU$91</f>
        <v>1</v>
      </c>
      <c r="AV14" s="537">
        <f>Time!AV$91</f>
        <v>1</v>
      </c>
      <c r="AW14" s="537">
        <f>Time!AW$91</f>
        <v>1</v>
      </c>
      <c r="AX14" s="537">
        <f>Time!AX$91</f>
        <v>1</v>
      </c>
      <c r="AY14" s="537">
        <f>Time!AY$91</f>
        <v>1</v>
      </c>
      <c r="AZ14" s="537">
        <f>Time!AZ$91</f>
        <v>1</v>
      </c>
      <c r="BA14" s="537">
        <f>Time!BA$91</f>
        <v>1</v>
      </c>
      <c r="BB14" s="537">
        <f>Time!BB$91</f>
        <v>1</v>
      </c>
      <c r="BC14" s="537">
        <f>Time!BC$91</f>
        <v>1</v>
      </c>
      <c r="BD14" s="537">
        <f>Time!BD$91</f>
        <v>1</v>
      </c>
      <c r="BE14" s="537">
        <f>Time!BE$91</f>
        <v>1</v>
      </c>
      <c r="BF14" s="537">
        <f>Time!BF$91</f>
        <v>1</v>
      </c>
      <c r="BG14" s="537">
        <f>Time!BG$91</f>
        <v>1</v>
      </c>
      <c r="BH14" s="537">
        <f>Time!BH$91</f>
        <v>1</v>
      </c>
      <c r="BI14" s="537">
        <f>Time!BI$91</f>
        <v>1</v>
      </c>
      <c r="BJ14" s="537">
        <f>Time!BJ$91</f>
        <v>1</v>
      </c>
      <c r="BK14" s="537">
        <f>Time!BK$91</f>
        <v>1</v>
      </c>
      <c r="BL14" s="537">
        <f>Time!BL$91</f>
        <v>1</v>
      </c>
      <c r="BM14" s="537">
        <f>Time!BM$91</f>
        <v>1</v>
      </c>
      <c r="BN14" s="537">
        <f>Time!BN$91</f>
        <v>1</v>
      </c>
      <c r="BO14" s="537">
        <f>Time!BO$91</f>
        <v>1</v>
      </c>
      <c r="BP14" s="537">
        <f>Time!BP$91</f>
        <v>1</v>
      </c>
      <c r="BQ14" s="537">
        <f>Time!BQ$91</f>
        <v>1</v>
      </c>
      <c r="BR14" s="537">
        <f>Time!BR$91</f>
        <v>1</v>
      </c>
      <c r="BS14" s="537">
        <f>Time!BS$91</f>
        <v>1</v>
      </c>
      <c r="BT14" s="537">
        <f>Time!BT$91</f>
        <v>1</v>
      </c>
      <c r="BU14" s="537">
        <f>Time!BU$91</f>
        <v>1</v>
      </c>
      <c r="BV14" s="537">
        <f>Time!BV$91</f>
        <v>1</v>
      </c>
      <c r="BW14" s="537">
        <f>Time!BW$91</f>
        <v>1</v>
      </c>
      <c r="BX14" s="537">
        <f>Time!BX$91</f>
        <v>1</v>
      </c>
      <c r="BY14" s="537">
        <f>Time!BY$91</f>
        <v>1</v>
      </c>
      <c r="BZ14" s="537">
        <f>Time!BZ$91</f>
        <v>1</v>
      </c>
      <c r="CA14" s="537">
        <f>Time!CA$91</f>
        <v>1</v>
      </c>
      <c r="CB14" s="537">
        <f>Time!CB$91</f>
        <v>1</v>
      </c>
      <c r="CC14" s="537">
        <f>Time!CC$91</f>
        <v>1</v>
      </c>
      <c r="CD14" s="537">
        <f>Time!CD$91</f>
        <v>1</v>
      </c>
      <c r="CE14" s="537">
        <f>Time!CE$91</f>
        <v>1</v>
      </c>
      <c r="CF14" s="537">
        <f>Time!CF$91</f>
        <v>1</v>
      </c>
      <c r="CG14" s="537">
        <f>Time!CG$91</f>
        <v>1</v>
      </c>
      <c r="CH14" s="537">
        <f>Time!CH$91</f>
        <v>1</v>
      </c>
      <c r="CI14" s="537">
        <f>Time!CI$91</f>
        <v>1</v>
      </c>
      <c r="CJ14" s="537">
        <f>Time!CJ$91</f>
        <v>1</v>
      </c>
      <c r="CK14" s="537">
        <f>Time!CK$91</f>
        <v>1</v>
      </c>
      <c r="CL14" s="537">
        <f>Time!CL$91</f>
        <v>1</v>
      </c>
      <c r="CM14" s="537">
        <f>Time!CM$91</f>
        <v>1</v>
      </c>
      <c r="CN14" s="537">
        <f>Time!CN$91</f>
        <v>1</v>
      </c>
      <c r="CO14" s="537">
        <f>Time!CO$91</f>
        <v>1</v>
      </c>
      <c r="CP14" s="537">
        <f>Time!CP$91</f>
        <v>1</v>
      </c>
      <c r="CQ14" s="537">
        <f>Time!CQ$91</f>
        <v>1</v>
      </c>
      <c r="CR14" s="537">
        <f>Time!CR$91</f>
        <v>1</v>
      </c>
      <c r="CS14" s="537">
        <f>Time!CS$91</f>
        <v>1</v>
      </c>
      <c r="CT14" s="537">
        <f>Time!CT$91</f>
        <v>1</v>
      </c>
      <c r="CU14" s="537">
        <f>Time!CU$91</f>
        <v>1</v>
      </c>
      <c r="CV14" s="537">
        <f>Time!CV$91</f>
        <v>1</v>
      </c>
      <c r="CW14" s="537">
        <f>Time!CW$91</f>
        <v>1</v>
      </c>
      <c r="CX14" s="537">
        <f>Time!CX$91</f>
        <v>1</v>
      </c>
      <c r="CY14" s="537">
        <f>Time!CY$91</f>
        <v>1</v>
      </c>
      <c r="CZ14" s="537">
        <f>Time!CZ$91</f>
        <v>1</v>
      </c>
      <c r="DA14" s="537">
        <f>Time!DA$91</f>
        <v>1</v>
      </c>
      <c r="DB14" s="537">
        <f>Time!DB$91</f>
        <v>1</v>
      </c>
      <c r="DC14" s="537">
        <f>Time!DC$91</f>
        <v>1</v>
      </c>
      <c r="DD14" s="537">
        <f>Time!DD$91</f>
        <v>1</v>
      </c>
      <c r="DE14" s="537">
        <f>Time!DE$91</f>
        <v>1</v>
      </c>
      <c r="DF14" s="537">
        <f>Time!DF$91</f>
        <v>1</v>
      </c>
      <c r="DG14" s="537">
        <f>Time!DG$91</f>
        <v>1</v>
      </c>
      <c r="DH14" s="537">
        <f>Time!DH$91</f>
        <v>1</v>
      </c>
      <c r="DI14" s="537">
        <f>Time!DI$91</f>
        <v>1</v>
      </c>
      <c r="DJ14" s="537">
        <f>Time!DJ$91</f>
        <v>1</v>
      </c>
      <c r="DK14" s="537">
        <f>Time!DK$91</f>
        <v>1</v>
      </c>
      <c r="DL14" s="537">
        <f>Time!DL$91</f>
        <v>1</v>
      </c>
      <c r="DM14" s="537">
        <f>Time!DM$91</f>
        <v>1</v>
      </c>
      <c r="DN14" s="537">
        <f>Time!DN$91</f>
        <v>1</v>
      </c>
      <c r="DO14" s="537">
        <f>Time!DO$91</f>
        <v>1</v>
      </c>
      <c r="DP14" s="537">
        <f>Time!DP$91</f>
        <v>1</v>
      </c>
      <c r="DQ14" s="537">
        <f>Time!DQ$91</f>
        <v>1</v>
      </c>
      <c r="DR14" s="537">
        <f>Time!DR$91</f>
        <v>1</v>
      </c>
      <c r="DS14" s="537">
        <f>Time!DS$91</f>
        <v>1</v>
      </c>
      <c r="DT14" s="537">
        <f>Time!DT$91</f>
        <v>1</v>
      </c>
      <c r="DU14" s="537">
        <f>Time!DU$91</f>
        <v>1</v>
      </c>
      <c r="DV14" s="537">
        <f>Time!DV$91</f>
        <v>1</v>
      </c>
      <c r="DW14" s="537">
        <f>Time!DW$91</f>
        <v>1</v>
      </c>
      <c r="DX14" s="537">
        <f>Time!DX$91</f>
        <v>1</v>
      </c>
      <c r="DY14" s="537">
        <f>Time!DY$91</f>
        <v>1</v>
      </c>
      <c r="DZ14" s="537">
        <f>Time!DZ$91</f>
        <v>1</v>
      </c>
      <c r="EA14" s="537">
        <f>Time!EA$91</f>
        <v>1</v>
      </c>
      <c r="EB14" s="537">
        <f>Time!EB$91</f>
        <v>1</v>
      </c>
      <c r="EC14" s="537">
        <f>Time!EC$91</f>
        <v>1</v>
      </c>
      <c r="ED14" s="537">
        <f>Time!ED$91</f>
        <v>0</v>
      </c>
      <c r="EE14" s="537">
        <f>Time!EE$91</f>
        <v>0</v>
      </c>
      <c r="EF14" s="537">
        <f>Time!EF$91</f>
        <v>0</v>
      </c>
      <c r="EG14" s="537">
        <f>Time!EG$91</f>
        <v>0</v>
      </c>
    </row>
    <row r="15" spans="5:137" ht="12.75">
      <c r="E15" s="540" t="s">
        <v>302</v>
      </c>
      <c r="G15" s="541" t="s">
        <v>158</v>
      </c>
      <c r="H15" s="541">
        <f>SUM(J15:EG15)</f>
        <v>72</v>
      </c>
      <c r="J15" s="541">
        <f t="shared" si="0" ref="J15:EG15">J14*IF(J13&lt;=EDATE($F12,$F10*$F11),1,0)</f>
        <v>0</v>
      </c>
      <c r="K15" s="541">
        <f t="shared" si="0"/>
        <v>0</v>
      </c>
      <c r="L15" s="541">
        <f t="shared" si="0"/>
        <v>0</v>
      </c>
      <c r="M15" s="541">
        <f t="shared" si="0"/>
        <v>0</v>
      </c>
      <c r="N15" s="541">
        <f t="shared" si="0"/>
        <v>0</v>
      </c>
      <c r="O15" s="541">
        <f t="shared" si="0"/>
        <v>0</v>
      </c>
      <c r="P15" s="541">
        <f t="shared" si="0"/>
        <v>0</v>
      </c>
      <c r="Q15" s="541">
        <f t="shared" si="0"/>
        <v>0</v>
      </c>
      <c r="R15" s="541">
        <f t="shared" si="0"/>
        <v>0</v>
      </c>
      <c r="S15" s="541">
        <f t="shared" si="0"/>
        <v>0</v>
      </c>
      <c r="T15" s="541">
        <f t="shared" si="0"/>
        <v>0</v>
      </c>
      <c r="U15" s="541">
        <f t="shared" si="0"/>
        <v>0</v>
      </c>
      <c r="V15" s="541">
        <f t="shared" si="0"/>
        <v>0</v>
      </c>
      <c r="W15" s="541">
        <f t="shared" si="0"/>
        <v>0</v>
      </c>
      <c r="X15" s="541">
        <f t="shared" si="0"/>
        <v>0</v>
      </c>
      <c r="Y15" s="541">
        <f t="shared" si="0"/>
        <v>0</v>
      </c>
      <c r="Z15" s="541">
        <f t="shared" si="0"/>
        <v>0</v>
      </c>
      <c r="AA15" s="541">
        <f t="shared" si="0"/>
        <v>0</v>
      </c>
      <c r="AB15" s="541">
        <f t="shared" si="0"/>
        <v>0</v>
      </c>
      <c r="AC15" s="541">
        <f t="shared" si="0"/>
        <v>0</v>
      </c>
      <c r="AD15" s="541">
        <f t="shared" si="0"/>
        <v>0</v>
      </c>
      <c r="AE15" s="541">
        <f t="shared" si="0"/>
        <v>0</v>
      </c>
      <c r="AF15" s="541">
        <f t="shared" si="0"/>
        <v>0</v>
      </c>
      <c r="AG15" s="541">
        <f t="shared" si="0"/>
        <v>0</v>
      </c>
      <c r="AH15" s="541">
        <f t="shared" si="0"/>
        <v>1</v>
      </c>
      <c r="AI15" s="541">
        <f t="shared" si="0"/>
        <v>1</v>
      </c>
      <c r="AJ15" s="541">
        <f t="shared" si="0"/>
        <v>1</v>
      </c>
      <c r="AK15" s="541">
        <f t="shared" si="0"/>
        <v>1</v>
      </c>
      <c r="AL15" s="541">
        <f t="shared" si="0"/>
        <v>1</v>
      </c>
      <c r="AM15" s="541">
        <f t="shared" si="0"/>
        <v>1</v>
      </c>
      <c r="AN15" s="541">
        <f t="shared" si="0"/>
        <v>1</v>
      </c>
      <c r="AO15" s="541">
        <f t="shared" si="0"/>
        <v>1</v>
      </c>
      <c r="AP15" s="541">
        <f t="shared" si="0"/>
        <v>1</v>
      </c>
      <c r="AQ15" s="541">
        <f t="shared" si="0"/>
        <v>1</v>
      </c>
      <c r="AR15" s="541">
        <f t="shared" si="0"/>
        <v>1</v>
      </c>
      <c r="AS15" s="541">
        <f t="shared" si="0"/>
        <v>1</v>
      </c>
      <c r="AT15" s="541">
        <f t="shared" si="0"/>
        <v>1</v>
      </c>
      <c r="AU15" s="541">
        <f t="shared" si="0"/>
        <v>1</v>
      </c>
      <c r="AV15" s="541">
        <f t="shared" si="0"/>
        <v>1</v>
      </c>
      <c r="AW15" s="541">
        <f t="shared" si="0"/>
        <v>1</v>
      </c>
      <c r="AX15" s="541">
        <f t="shared" si="0"/>
        <v>1</v>
      </c>
      <c r="AY15" s="541">
        <f t="shared" si="0"/>
        <v>1</v>
      </c>
      <c r="AZ15" s="541">
        <f t="shared" si="0"/>
        <v>1</v>
      </c>
      <c r="BA15" s="541">
        <f t="shared" si="0"/>
        <v>1</v>
      </c>
      <c r="BB15" s="541">
        <f t="shared" si="0"/>
        <v>1</v>
      </c>
      <c r="BC15" s="541">
        <f t="shared" si="0"/>
        <v>1</v>
      </c>
      <c r="BD15" s="541">
        <f t="shared" si="0"/>
        <v>1</v>
      </c>
      <c r="BE15" s="541">
        <f t="shared" si="0"/>
        <v>1</v>
      </c>
      <c r="BF15" s="541">
        <f t="shared" si="0"/>
        <v>1</v>
      </c>
      <c r="BG15" s="541">
        <f t="shared" si="0"/>
        <v>1</v>
      </c>
      <c r="BH15" s="541">
        <f t="shared" si="0"/>
        <v>1</v>
      </c>
      <c r="BI15" s="541">
        <f t="shared" si="0"/>
        <v>1</v>
      </c>
      <c r="BJ15" s="541">
        <f t="shared" si="0"/>
        <v>1</v>
      </c>
      <c r="BK15" s="541">
        <f t="shared" si="0"/>
        <v>1</v>
      </c>
      <c r="BL15" s="541">
        <f t="shared" si="0"/>
        <v>1</v>
      </c>
      <c r="BM15" s="541">
        <f t="shared" si="0"/>
        <v>1</v>
      </c>
      <c r="BN15" s="541">
        <f t="shared" si="0"/>
        <v>1</v>
      </c>
      <c r="BO15" s="541">
        <f t="shared" si="0"/>
        <v>1</v>
      </c>
      <c r="BP15" s="541">
        <f t="shared" si="0"/>
        <v>1</v>
      </c>
      <c r="BQ15" s="541">
        <f t="shared" si="0"/>
        <v>1</v>
      </c>
      <c r="BR15" s="541">
        <f t="shared" si="0"/>
        <v>1</v>
      </c>
      <c r="BS15" s="541">
        <f t="shared" si="0"/>
        <v>1</v>
      </c>
      <c r="BT15" s="541">
        <f t="shared" si="0"/>
        <v>1</v>
      </c>
      <c r="BU15" s="541">
        <f t="shared" si="0"/>
        <v>1</v>
      </c>
      <c r="BV15" s="541">
        <f t="shared" si="0"/>
        <v>1</v>
      </c>
      <c r="BW15" s="541">
        <f t="shared" si="0"/>
        <v>1</v>
      </c>
      <c r="BX15" s="541">
        <f t="shared" si="0"/>
        <v>1</v>
      </c>
      <c r="BY15" s="541">
        <f t="shared" si="0"/>
        <v>1</v>
      </c>
      <c r="BZ15" s="541">
        <f t="shared" si="0"/>
        <v>1</v>
      </c>
      <c r="CA15" s="541">
        <f t="shared" si="0"/>
        <v>1</v>
      </c>
      <c r="CB15" s="541">
        <f t="shared" si="0"/>
        <v>1</v>
      </c>
      <c r="CC15" s="541">
        <f t="shared" si="0"/>
        <v>1</v>
      </c>
      <c r="CD15" s="541">
        <f t="shared" si="0"/>
        <v>1</v>
      </c>
      <c r="CE15" s="541">
        <f t="shared" si="0"/>
        <v>1</v>
      </c>
      <c r="CF15" s="541">
        <f t="shared" si="0"/>
        <v>1</v>
      </c>
      <c r="CG15" s="541">
        <f t="shared" si="0"/>
        <v>1</v>
      </c>
      <c r="CH15" s="541">
        <f t="shared" si="0"/>
        <v>1</v>
      </c>
      <c r="CI15" s="541">
        <f t="shared" si="0"/>
        <v>1</v>
      </c>
      <c r="CJ15" s="541">
        <f t="shared" si="0"/>
        <v>1</v>
      </c>
      <c r="CK15" s="541">
        <f t="shared" si="0"/>
        <v>1</v>
      </c>
      <c r="CL15" s="541">
        <f t="shared" si="0"/>
        <v>1</v>
      </c>
      <c r="CM15" s="541">
        <f t="shared" si="0"/>
        <v>1</v>
      </c>
      <c r="CN15" s="541">
        <f t="shared" si="0"/>
        <v>1</v>
      </c>
      <c r="CO15" s="541">
        <f t="shared" si="0"/>
        <v>1</v>
      </c>
      <c r="CP15" s="541">
        <f t="shared" si="0"/>
        <v>1</v>
      </c>
      <c r="CQ15" s="541">
        <f t="shared" si="0"/>
        <v>1</v>
      </c>
      <c r="CR15" s="541">
        <f t="shared" si="0"/>
        <v>1</v>
      </c>
      <c r="CS15" s="541">
        <f t="shared" si="0"/>
        <v>1</v>
      </c>
      <c r="CT15" s="541">
        <f t="shared" si="0"/>
        <v>1</v>
      </c>
      <c r="CU15" s="541">
        <f t="shared" si="0"/>
        <v>1</v>
      </c>
      <c r="CV15" s="541">
        <f t="shared" si="0"/>
        <v>1</v>
      </c>
      <c r="CW15" s="541">
        <f t="shared" si="0"/>
        <v>1</v>
      </c>
      <c r="CX15" s="541">
        <f t="shared" si="0"/>
        <v>1</v>
      </c>
      <c r="CY15" s="541">
        <f t="shared" si="0"/>
        <v>1</v>
      </c>
      <c r="CZ15" s="541">
        <f t="shared" si="0"/>
        <v>1</v>
      </c>
      <c r="DA15" s="541">
        <f t="shared" si="0"/>
        <v>1</v>
      </c>
      <c r="DB15" s="541">
        <f t="shared" si="0"/>
        <v>0</v>
      </c>
      <c r="DC15" s="541">
        <f t="shared" si="0"/>
        <v>0</v>
      </c>
      <c r="DD15" s="541">
        <f t="shared" si="0"/>
        <v>0</v>
      </c>
      <c r="DE15" s="541">
        <f t="shared" si="0"/>
        <v>0</v>
      </c>
      <c r="DF15" s="541">
        <f t="shared" si="0"/>
        <v>0</v>
      </c>
      <c r="DG15" s="541">
        <f t="shared" si="0"/>
        <v>0</v>
      </c>
      <c r="DH15" s="541">
        <f t="shared" si="0"/>
        <v>0</v>
      </c>
      <c r="DI15" s="541">
        <f t="shared" si="0"/>
        <v>0</v>
      </c>
      <c r="DJ15" s="541">
        <f t="shared" si="0"/>
        <v>0</v>
      </c>
      <c r="DK15" s="541">
        <f t="shared" si="0"/>
        <v>0</v>
      </c>
      <c r="DL15" s="541">
        <f t="shared" si="0"/>
        <v>0</v>
      </c>
      <c r="DM15" s="541">
        <f t="shared" si="0"/>
        <v>0</v>
      </c>
      <c r="DN15" s="541">
        <f t="shared" si="0"/>
        <v>0</v>
      </c>
      <c r="DO15" s="541">
        <f t="shared" si="0"/>
        <v>0</v>
      </c>
      <c r="DP15" s="541">
        <f t="shared" si="0"/>
        <v>0</v>
      </c>
      <c r="DQ15" s="541">
        <f t="shared" si="0"/>
        <v>0</v>
      </c>
      <c r="DR15" s="541">
        <f t="shared" si="0"/>
        <v>0</v>
      </c>
      <c r="DS15" s="541">
        <f t="shared" si="0"/>
        <v>0</v>
      </c>
      <c r="DT15" s="541">
        <f t="shared" si="0"/>
        <v>0</v>
      </c>
      <c r="DU15" s="541">
        <f t="shared" si="0"/>
        <v>0</v>
      </c>
      <c r="DV15" s="541">
        <f t="shared" si="0"/>
        <v>0</v>
      </c>
      <c r="DW15" s="541">
        <f t="shared" si="0"/>
        <v>0</v>
      </c>
      <c r="DX15" s="541">
        <f t="shared" si="0"/>
        <v>0</v>
      </c>
      <c r="DY15" s="541">
        <f t="shared" si="0"/>
        <v>0</v>
      </c>
      <c r="DZ15" s="541">
        <f t="shared" si="0"/>
        <v>0</v>
      </c>
      <c r="EA15" s="541">
        <f t="shared" si="0"/>
        <v>0</v>
      </c>
      <c r="EB15" s="541">
        <f t="shared" si="0"/>
        <v>0</v>
      </c>
      <c r="EC15" s="541">
        <f t="shared" si="0"/>
        <v>0</v>
      </c>
      <c r="ED15" s="541">
        <f t="shared" si="0"/>
        <v>0</v>
      </c>
      <c r="EE15" s="541">
        <f t="shared" si="0"/>
        <v>0</v>
      </c>
      <c r="EF15" s="541">
        <f t="shared" si="0"/>
        <v>0</v>
      </c>
      <c r="EG15" s="541">
        <f t="shared" si="0"/>
        <v>0</v>
      </c>
    </row>
    <row r="17" spans="5:137" ht="12.75">
      <c r="E17" s="538" t="str">
        <f>E$15</f>
        <v>Senior facility - repayment period flag</v>
      </c>
      <c r="G17" s="539" t="str">
        <f>G$15</f>
        <v>flag</v>
      </c>
      <c r="H17" s="539">
        <f>H$15</f>
        <v>72</v>
      </c>
      <c r="J17" s="539">
        <f t="shared" si="1" ref="J17:EG17">J$15</f>
        <v>0</v>
      </c>
      <c r="K17" s="539">
        <f t="shared" si="1"/>
        <v>0</v>
      </c>
      <c r="L17" s="539">
        <f t="shared" si="1"/>
        <v>0</v>
      </c>
      <c r="M17" s="539">
        <f t="shared" si="1"/>
        <v>0</v>
      </c>
      <c r="N17" s="539">
        <f t="shared" si="1"/>
        <v>0</v>
      </c>
      <c r="O17" s="539">
        <f t="shared" si="1"/>
        <v>0</v>
      </c>
      <c r="P17" s="539">
        <f t="shared" si="1"/>
        <v>0</v>
      </c>
      <c r="Q17" s="539">
        <f t="shared" si="1"/>
        <v>0</v>
      </c>
      <c r="R17" s="539">
        <f t="shared" si="1"/>
        <v>0</v>
      </c>
      <c r="S17" s="539">
        <f t="shared" si="1"/>
        <v>0</v>
      </c>
      <c r="T17" s="539">
        <f t="shared" si="1"/>
        <v>0</v>
      </c>
      <c r="U17" s="539">
        <f t="shared" si="1"/>
        <v>0</v>
      </c>
      <c r="V17" s="539">
        <f t="shared" si="1"/>
        <v>0</v>
      </c>
      <c r="W17" s="539">
        <f t="shared" si="1"/>
        <v>0</v>
      </c>
      <c r="X17" s="539">
        <f t="shared" si="1"/>
        <v>0</v>
      </c>
      <c r="Y17" s="539">
        <f t="shared" si="1"/>
        <v>0</v>
      </c>
      <c r="Z17" s="539">
        <f t="shared" si="1"/>
        <v>0</v>
      </c>
      <c r="AA17" s="539">
        <f t="shared" si="1"/>
        <v>0</v>
      </c>
      <c r="AB17" s="539">
        <f t="shared" si="1"/>
        <v>0</v>
      </c>
      <c r="AC17" s="539">
        <f t="shared" si="1"/>
        <v>0</v>
      </c>
      <c r="AD17" s="539">
        <f t="shared" si="1"/>
        <v>0</v>
      </c>
      <c r="AE17" s="539">
        <f t="shared" si="1"/>
        <v>0</v>
      </c>
      <c r="AF17" s="539">
        <f t="shared" si="1"/>
        <v>0</v>
      </c>
      <c r="AG17" s="539">
        <f t="shared" si="1"/>
        <v>0</v>
      </c>
      <c r="AH17" s="539">
        <f t="shared" si="1"/>
        <v>1</v>
      </c>
      <c r="AI17" s="539">
        <f t="shared" si="1"/>
        <v>1</v>
      </c>
      <c r="AJ17" s="539">
        <f t="shared" si="1"/>
        <v>1</v>
      </c>
      <c r="AK17" s="539">
        <f t="shared" si="1"/>
        <v>1</v>
      </c>
      <c r="AL17" s="539">
        <f t="shared" si="1"/>
        <v>1</v>
      </c>
      <c r="AM17" s="539">
        <f t="shared" si="1"/>
        <v>1</v>
      </c>
      <c r="AN17" s="539">
        <f t="shared" si="1"/>
        <v>1</v>
      </c>
      <c r="AO17" s="539">
        <f t="shared" si="1"/>
        <v>1</v>
      </c>
      <c r="AP17" s="539">
        <f t="shared" si="1"/>
        <v>1</v>
      </c>
      <c r="AQ17" s="539">
        <f t="shared" si="1"/>
        <v>1</v>
      </c>
      <c r="AR17" s="539">
        <f t="shared" si="1"/>
        <v>1</v>
      </c>
      <c r="AS17" s="539">
        <f t="shared" si="1"/>
        <v>1</v>
      </c>
      <c r="AT17" s="539">
        <f t="shared" si="1"/>
        <v>1</v>
      </c>
      <c r="AU17" s="539">
        <f t="shared" si="1"/>
        <v>1</v>
      </c>
      <c r="AV17" s="539">
        <f t="shared" si="1"/>
        <v>1</v>
      </c>
      <c r="AW17" s="539">
        <f t="shared" si="1"/>
        <v>1</v>
      </c>
      <c r="AX17" s="539">
        <f t="shared" si="1"/>
        <v>1</v>
      </c>
      <c r="AY17" s="539">
        <f t="shared" si="1"/>
        <v>1</v>
      </c>
      <c r="AZ17" s="539">
        <f t="shared" si="1"/>
        <v>1</v>
      </c>
      <c r="BA17" s="539">
        <f t="shared" si="1"/>
        <v>1</v>
      </c>
      <c r="BB17" s="539">
        <f t="shared" si="1"/>
        <v>1</v>
      </c>
      <c r="BC17" s="539">
        <f t="shared" si="1"/>
        <v>1</v>
      </c>
      <c r="BD17" s="539">
        <f t="shared" si="1"/>
        <v>1</v>
      </c>
      <c r="BE17" s="539">
        <f t="shared" si="1"/>
        <v>1</v>
      </c>
      <c r="BF17" s="539">
        <f t="shared" si="1"/>
        <v>1</v>
      </c>
      <c r="BG17" s="539">
        <f t="shared" si="1"/>
        <v>1</v>
      </c>
      <c r="BH17" s="539">
        <f t="shared" si="1"/>
        <v>1</v>
      </c>
      <c r="BI17" s="539">
        <f t="shared" si="1"/>
        <v>1</v>
      </c>
      <c r="BJ17" s="539">
        <f t="shared" si="1"/>
        <v>1</v>
      </c>
      <c r="BK17" s="539">
        <f t="shared" si="1"/>
        <v>1</v>
      </c>
      <c r="BL17" s="539">
        <f t="shared" si="1"/>
        <v>1</v>
      </c>
      <c r="BM17" s="539">
        <f t="shared" si="1"/>
        <v>1</v>
      </c>
      <c r="BN17" s="539">
        <f t="shared" si="1"/>
        <v>1</v>
      </c>
      <c r="BO17" s="539">
        <f t="shared" si="1"/>
        <v>1</v>
      </c>
      <c r="BP17" s="539">
        <f t="shared" si="1"/>
        <v>1</v>
      </c>
      <c r="BQ17" s="539">
        <f t="shared" si="1"/>
        <v>1</v>
      </c>
      <c r="BR17" s="539">
        <f t="shared" si="1"/>
        <v>1</v>
      </c>
      <c r="BS17" s="539">
        <f t="shared" si="1"/>
        <v>1</v>
      </c>
      <c r="BT17" s="539">
        <f t="shared" si="1"/>
        <v>1</v>
      </c>
      <c r="BU17" s="539">
        <f t="shared" si="1"/>
        <v>1</v>
      </c>
      <c r="BV17" s="539">
        <f t="shared" si="1"/>
        <v>1</v>
      </c>
      <c r="BW17" s="539">
        <f t="shared" si="1"/>
        <v>1</v>
      </c>
      <c r="BX17" s="539">
        <f t="shared" si="1"/>
        <v>1</v>
      </c>
      <c r="BY17" s="539">
        <f t="shared" si="1"/>
        <v>1</v>
      </c>
      <c r="BZ17" s="539">
        <f t="shared" si="1"/>
        <v>1</v>
      </c>
      <c r="CA17" s="539">
        <f t="shared" si="1"/>
        <v>1</v>
      </c>
      <c r="CB17" s="539">
        <f t="shared" si="1"/>
        <v>1</v>
      </c>
      <c r="CC17" s="539">
        <f t="shared" si="1"/>
        <v>1</v>
      </c>
      <c r="CD17" s="539">
        <f t="shared" si="1"/>
        <v>1</v>
      </c>
      <c r="CE17" s="539">
        <f t="shared" si="1"/>
        <v>1</v>
      </c>
      <c r="CF17" s="539">
        <f t="shared" si="1"/>
        <v>1</v>
      </c>
      <c r="CG17" s="539">
        <f t="shared" si="1"/>
        <v>1</v>
      </c>
      <c r="CH17" s="539">
        <f t="shared" si="1"/>
        <v>1</v>
      </c>
      <c r="CI17" s="539">
        <f t="shared" si="1"/>
        <v>1</v>
      </c>
      <c r="CJ17" s="539">
        <f t="shared" si="1"/>
        <v>1</v>
      </c>
      <c r="CK17" s="539">
        <f t="shared" si="1"/>
        <v>1</v>
      </c>
      <c r="CL17" s="539">
        <f t="shared" si="1"/>
        <v>1</v>
      </c>
      <c r="CM17" s="539">
        <f t="shared" si="1"/>
        <v>1</v>
      </c>
      <c r="CN17" s="539">
        <f t="shared" si="1"/>
        <v>1</v>
      </c>
      <c r="CO17" s="539">
        <f t="shared" si="1"/>
        <v>1</v>
      </c>
      <c r="CP17" s="539">
        <f t="shared" si="1"/>
        <v>1</v>
      </c>
      <c r="CQ17" s="539">
        <f t="shared" si="1"/>
        <v>1</v>
      </c>
      <c r="CR17" s="539">
        <f t="shared" si="1"/>
        <v>1</v>
      </c>
      <c r="CS17" s="539">
        <f t="shared" si="1"/>
        <v>1</v>
      </c>
      <c r="CT17" s="539">
        <f t="shared" si="1"/>
        <v>1</v>
      </c>
      <c r="CU17" s="539">
        <f t="shared" si="1"/>
        <v>1</v>
      </c>
      <c r="CV17" s="539">
        <f t="shared" si="1"/>
        <v>1</v>
      </c>
      <c r="CW17" s="539">
        <f t="shared" si="1"/>
        <v>1</v>
      </c>
      <c r="CX17" s="539">
        <f t="shared" si="1"/>
        <v>1</v>
      </c>
      <c r="CY17" s="539">
        <f t="shared" si="1"/>
        <v>1</v>
      </c>
      <c r="CZ17" s="539">
        <f t="shared" si="1"/>
        <v>1</v>
      </c>
      <c r="DA17" s="539">
        <f t="shared" si="1"/>
        <v>1</v>
      </c>
      <c r="DB17" s="539">
        <f t="shared" si="1"/>
        <v>0</v>
      </c>
      <c r="DC17" s="539">
        <f t="shared" si="1"/>
        <v>0</v>
      </c>
      <c r="DD17" s="539">
        <f t="shared" si="1"/>
        <v>0</v>
      </c>
      <c r="DE17" s="539">
        <f t="shared" si="1"/>
        <v>0</v>
      </c>
      <c r="DF17" s="539">
        <f t="shared" si="1"/>
        <v>0</v>
      </c>
      <c r="DG17" s="539">
        <f t="shared" si="1"/>
        <v>0</v>
      </c>
      <c r="DH17" s="539">
        <f t="shared" si="1"/>
        <v>0</v>
      </c>
      <c r="DI17" s="539">
        <f t="shared" si="1"/>
        <v>0</v>
      </c>
      <c r="DJ17" s="539">
        <f t="shared" si="1"/>
        <v>0</v>
      </c>
      <c r="DK17" s="539">
        <f t="shared" si="1"/>
        <v>0</v>
      </c>
      <c r="DL17" s="539">
        <f t="shared" si="1"/>
        <v>0</v>
      </c>
      <c r="DM17" s="539">
        <f t="shared" si="1"/>
        <v>0</v>
      </c>
      <c r="DN17" s="539">
        <f t="shared" si="1"/>
        <v>0</v>
      </c>
      <c r="DO17" s="539">
        <f t="shared" si="1"/>
        <v>0</v>
      </c>
      <c r="DP17" s="539">
        <f t="shared" si="1"/>
        <v>0</v>
      </c>
      <c r="DQ17" s="539">
        <f t="shared" si="1"/>
        <v>0</v>
      </c>
      <c r="DR17" s="539">
        <f t="shared" si="1"/>
        <v>0</v>
      </c>
      <c r="DS17" s="539">
        <f t="shared" si="1"/>
        <v>0</v>
      </c>
      <c r="DT17" s="539">
        <f t="shared" si="1"/>
        <v>0</v>
      </c>
      <c r="DU17" s="539">
        <f t="shared" si="1"/>
        <v>0</v>
      </c>
      <c r="DV17" s="539">
        <f t="shared" si="1"/>
        <v>0</v>
      </c>
      <c r="DW17" s="539">
        <f t="shared" si="1"/>
        <v>0</v>
      </c>
      <c r="DX17" s="539">
        <f t="shared" si="1"/>
        <v>0</v>
      </c>
      <c r="DY17" s="539">
        <f t="shared" si="1"/>
        <v>0</v>
      </c>
      <c r="DZ17" s="539">
        <f t="shared" si="1"/>
        <v>0</v>
      </c>
      <c r="EA17" s="539">
        <f t="shared" si="1"/>
        <v>0</v>
      </c>
      <c r="EB17" s="539">
        <f t="shared" si="1"/>
        <v>0</v>
      </c>
      <c r="EC17" s="539">
        <f t="shared" si="1"/>
        <v>0</v>
      </c>
      <c r="ED17" s="539">
        <f t="shared" si="1"/>
        <v>0</v>
      </c>
      <c r="EE17" s="539">
        <f t="shared" si="1"/>
        <v>0</v>
      </c>
      <c r="EF17" s="539">
        <f t="shared" si="1"/>
        <v>0</v>
      </c>
      <c r="EG17" s="539">
        <f t="shared" si="1"/>
        <v>0</v>
      </c>
    </row>
    <row r="18" spans="5:7" ht="12.75">
      <c r="E18" s="540" t="s">
        <v>303</v>
      </c>
      <c r="F18" s="541">
        <f>SUM($J17:$EG17)</f>
        <v>72</v>
      </c>
      <c r="G18" s="541" t="s">
        <v>154</v>
      </c>
    </row>
    <row r="20" spans="2:2" ht="12.75">
      <c r="B20" s="534" t="s">
        <v>304</v>
      </c>
    </row>
    <row r="21" spans="5:7" ht="12.75">
      <c r="E21" s="535" t="str">
        <f>InpC!E$74</f>
        <v>Senior facility - target DSCR</v>
      </c>
      <c r="F21" s="547">
        <f>InpC!F$74</f>
        <v>1.3</v>
      </c>
      <c r="G21" s="547" t="str">
        <f>InpC!G$74</f>
        <v>ratio</v>
      </c>
    </row>
    <row r="22" spans="5:137" ht="12.75">
      <c r="E22" s="535" t="str">
        <f>Waterfall!E$14</f>
        <v>Cash flow available for debt service</v>
      </c>
      <c r="G22" s="537" t="str">
        <f>Waterfall!G$14</f>
        <v>EUR 000s</v>
      </c>
      <c r="H22" s="537">
        <f>Waterfall!H$14</f>
        <v>957377.69580628083</v>
      </c>
      <c r="J22" s="537">
        <f>Waterfall!J$14</f>
        <v>0</v>
      </c>
      <c r="K22" s="537">
        <f>Waterfall!K$14</f>
        <v>0</v>
      </c>
      <c r="L22" s="537">
        <f>Waterfall!L$14</f>
        <v>0</v>
      </c>
      <c r="M22" s="537">
        <f>Waterfall!M$14</f>
        <v>0</v>
      </c>
      <c r="N22" s="537">
        <f>Waterfall!N$14</f>
        <v>0</v>
      </c>
      <c r="O22" s="537">
        <f>Waterfall!O$14</f>
        <v>0</v>
      </c>
      <c r="P22" s="537">
        <f>Waterfall!P$14</f>
        <v>0</v>
      </c>
      <c r="Q22" s="537">
        <f>Waterfall!Q$14</f>
        <v>0</v>
      </c>
      <c r="R22" s="537">
        <f>Waterfall!R$14</f>
        <v>0</v>
      </c>
      <c r="S22" s="537">
        <f>Waterfall!S$14</f>
        <v>0</v>
      </c>
      <c r="T22" s="537">
        <f>Waterfall!T$14</f>
        <v>0</v>
      </c>
      <c r="U22" s="537">
        <f>Waterfall!U$14</f>
        <v>0</v>
      </c>
      <c r="V22" s="537">
        <f>Waterfall!V$14</f>
        <v>0</v>
      </c>
      <c r="W22" s="537">
        <f>Waterfall!W$14</f>
        <v>0</v>
      </c>
      <c r="X22" s="537">
        <f>Waterfall!X$14</f>
        <v>0</v>
      </c>
      <c r="Y22" s="537">
        <f>Waterfall!Y$14</f>
        <v>0</v>
      </c>
      <c r="Z22" s="537">
        <f>Waterfall!Z$14</f>
        <v>0</v>
      </c>
      <c r="AA22" s="537">
        <f>Waterfall!AA$14</f>
        <v>0</v>
      </c>
      <c r="AB22" s="537">
        <f>Waterfall!AB$14</f>
        <v>0</v>
      </c>
      <c r="AC22" s="537">
        <f>Waterfall!AC$14</f>
        <v>0</v>
      </c>
      <c r="AD22" s="537">
        <f>Waterfall!AD$14</f>
        <v>0</v>
      </c>
      <c r="AE22" s="537">
        <f>Waterfall!AE$14</f>
        <v>0</v>
      </c>
      <c r="AF22" s="537">
        <f>Waterfall!AF$14</f>
        <v>0</v>
      </c>
      <c r="AG22" s="537">
        <f>Waterfall!AG$14</f>
        <v>0</v>
      </c>
      <c r="AH22" s="537">
        <f>Waterfall!AH$14</f>
        <v>7126.237686929222</v>
      </c>
      <c r="AI22" s="537">
        <f>Waterfall!AI$14</f>
        <v>9016.0731055402921</v>
      </c>
      <c r="AJ22" s="537">
        <f>Waterfall!AJ$14</f>
        <v>9015.6345801481111</v>
      </c>
      <c r="AK22" s="537">
        <f>Waterfall!AK$14</f>
        <v>8995.9009374999987</v>
      </c>
      <c r="AL22" s="537">
        <f>Waterfall!AL$14</f>
        <v>9091.9020262907597</v>
      </c>
      <c r="AM22" s="537">
        <f>Waterfall!AM$14</f>
        <v>9174.3408567135994</v>
      </c>
      <c r="AN22" s="537">
        <f>Waterfall!AN$14</f>
        <v>9173.8970475662918</v>
      </c>
      <c r="AO22" s="537">
        <f>Waterfall!AO$14</f>
        <v>9153.9256359374995</v>
      </c>
      <c r="AP22" s="537">
        <f>Waterfall!AP$14</f>
        <v>9251.9761612487546</v>
      </c>
      <c r="AQ22" s="537">
        <f>Waterfall!AQ$14</f>
        <v>9335.2061944272264</v>
      </c>
      <c r="AR22" s="537">
        <f>Waterfall!AR$14</f>
        <v>9334.7570856154598</v>
      </c>
      <c r="AS22" s="537">
        <f>Waterfall!AS$14</f>
        <v>9314.5471890859371</v>
      </c>
      <c r="AT22" s="537">
        <f>Waterfall!AT$14</f>
        <v>9435.594366845693</v>
      </c>
      <c r="AU22" s="537">
        <f>Waterfall!AU$14</f>
        <v>9477.8014538705866</v>
      </c>
      <c r="AV22" s="537">
        <f>Waterfall!AV$14</f>
        <v>9498.2504502967968</v>
      </c>
      <c r="AW22" s="537">
        <f>Waterfall!AW$14</f>
        <v>9473.4373793076247</v>
      </c>
      <c r="AX22" s="537">
        <f>Waterfall!AX$14</f>
        <v>9580.0831993996253</v>
      </c>
      <c r="AY22" s="537">
        <f>Waterfall!AY$14</f>
        <v>9664.8728945221992</v>
      </c>
      <c r="AZ22" s="537">
        <f>Waterfall!AZ$14</f>
        <v>9664.4131477429219</v>
      </c>
      <c r="BA22" s="537">
        <f>Waterfall!BA$14</f>
        <v>9639.0105450525571</v>
      </c>
      <c r="BB22" s="537">
        <f>Waterfall!BB$14</f>
        <v>9624.8356590516014</v>
      </c>
      <c r="BC22" s="537">
        <f>Waterfall!BC$14</f>
        <v>9692.7614236034206</v>
      </c>
      <c r="BD22" s="537">
        <f>Waterfall!BD$14</f>
        <v>9675.4589885497153</v>
      </c>
      <c r="BE22" s="537">
        <f>Waterfall!BE$14</f>
        <v>9638.4507040270382</v>
      </c>
      <c r="BF22" s="537">
        <f>Waterfall!BF$14</f>
        <v>9720.7935908740237</v>
      </c>
      <c r="BG22" s="537">
        <f>Waterfall!BG$14</f>
        <v>9792.4419929069136</v>
      </c>
      <c r="BH22" s="537">
        <f>Waterfall!BH$14</f>
        <v>9777.9664363635275</v>
      </c>
      <c r="BI22" s="537">
        <f>Waterfall!BI$14</f>
        <v>9743.4226351504403</v>
      </c>
      <c r="BJ22" s="537">
        <f>Waterfall!BJ$14</f>
        <v>9852.3659888687216</v>
      </c>
      <c r="BK22" s="537">
        <f>Waterfall!BK$14</f>
        <v>9883.4572104947692</v>
      </c>
      <c r="BL22" s="537">
        <f>Waterfall!BL$14</f>
        <v>9893.2172202296188</v>
      </c>
      <c r="BM22" s="537">
        <f>Waterfall!BM$14</f>
        <v>9860.6827761879267</v>
      </c>
      <c r="BN22" s="537">
        <f>Waterfall!BN$14</f>
        <v>9952.0687470832363</v>
      </c>
      <c r="BO22" s="537">
        <f>Waterfall!BO$14</f>
        <v>10029.716525225305</v>
      </c>
      <c r="BP22" s="537">
        <f>Waterfall!BP$14</f>
        <v>10019.545629405566</v>
      </c>
      <c r="BQ22" s="537">
        <f>Waterfall!BQ$14</f>
        <v>9988.6420767608051</v>
      </c>
      <c r="BR22" s="537">
        <f>Waterfall!BR$14</f>
        <v>10187.369081549388</v>
      </c>
      <c r="BS22" s="537">
        <f>Waterfall!BS$14</f>
        <v>10267.445354990101</v>
      </c>
      <c r="BT22" s="537">
        <f>Waterfall!BT$14</f>
        <v>10258.899041178202</v>
      </c>
      <c r="BU22" s="537">
        <f>Waterfall!BU$14</f>
        <v>10229.311707665833</v>
      </c>
      <c r="BV22" s="537">
        <f>Waterfall!BV$14</f>
        <v>10058.731640444626</v>
      </c>
      <c r="BW22" s="537">
        <f>Waterfall!BW$14</f>
        <v>9344.5455321133577</v>
      </c>
      <c r="BX22" s="537">
        <f>Waterfall!BX$14</f>
        <v>9321.7067066273194</v>
      </c>
      <c r="BY22" s="537">
        <f>Waterfall!BY$14</f>
        <v>9278.2350148653059</v>
      </c>
      <c r="BZ22" s="537">
        <f>Waterfall!BZ$14</f>
        <v>9366.820362658149</v>
      </c>
      <c r="CA22" s="537">
        <f>Waterfall!CA$14</f>
        <v>9391.5394041324525</v>
      </c>
      <c r="CB22" s="537">
        <f>Waterfall!CB$14</f>
        <v>9325.6587104719256</v>
      </c>
      <c r="CC22" s="537">
        <f>Waterfall!CC$14</f>
        <v>8945.0439358883377</v>
      </c>
      <c r="CD22" s="537">
        <f>Waterfall!CD$14</f>
        <v>8979.3486456163082</v>
      </c>
      <c r="CE22" s="537">
        <f>Waterfall!CE$14</f>
        <v>9046.6164747550774</v>
      </c>
      <c r="CF22" s="537">
        <f>Waterfall!CF$14</f>
        <v>9023.0377831656751</v>
      </c>
      <c r="CG22" s="537">
        <f>Waterfall!CG$14</f>
        <v>8973.8419199923192</v>
      </c>
      <c r="CH22" s="537">
        <f>Waterfall!CH$14</f>
        <v>9016.1509382852164</v>
      </c>
      <c r="CI22" s="537">
        <f>Waterfall!CI$14</f>
        <v>9085.5959504342063</v>
      </c>
      <c r="CJ22" s="537">
        <f>Waterfall!CJ$14</f>
        <v>9063.3706202664835</v>
      </c>
      <c r="CK22" s="537">
        <f>Waterfall!CK$14</f>
        <v>9015.6767110387427</v>
      </c>
      <c r="CL22" s="537">
        <f>Waterfall!CL$14</f>
        <v>9619.2585844250625</v>
      </c>
      <c r="CM22" s="537">
        <f>Waterfall!CM$14</f>
        <v>9689.331069373402</v>
      </c>
      <c r="CN22" s="537">
        <f>Waterfall!CN$14</f>
        <v>9666.913390670883</v>
      </c>
      <c r="CO22" s="537">
        <f>Waterfall!CO$14</f>
        <v>9619.2269425792711</v>
      </c>
      <c r="CP22" s="537">
        <f>Waterfall!CP$14</f>
        <v>9139.1530462928586</v>
      </c>
      <c r="CQ22" s="537">
        <f>Waterfall!CQ$14</f>
        <v>9160.9563368827476</v>
      </c>
      <c r="CR22" s="537">
        <f>Waterfall!CR$14</f>
        <v>9163.7163616976522</v>
      </c>
      <c r="CS22" s="537">
        <f>Waterfall!CS$14</f>
        <v>9117.6240403708798</v>
      </c>
      <c r="CT22" s="537">
        <f>Waterfall!CT$14</f>
        <v>9172.7758942782111</v>
      </c>
      <c r="CU22" s="537">
        <f>Waterfall!CU$14</f>
        <v>9245.5507180696623</v>
      </c>
      <c r="CV22" s="537">
        <f>Waterfall!CV$14</f>
        <v>9224.3980348323803</v>
      </c>
      <c r="CW22" s="537">
        <f>Waterfall!CW$14</f>
        <v>9178.5813878150875</v>
      </c>
      <c r="CX22" s="537">
        <f>Waterfall!CX$14</f>
        <v>9237.5047308263493</v>
      </c>
      <c r="CY22" s="537">
        <f>Waterfall!CY$14</f>
        <v>9310.5837191884038</v>
      </c>
      <c r="CZ22" s="537">
        <f>Waterfall!CZ$14</f>
        <v>9289.0498453167329</v>
      </c>
      <c r="DA22" s="537">
        <f>Waterfall!DA$14</f>
        <v>9243.2109589200554</v>
      </c>
      <c r="DB22" s="537">
        <f>Waterfall!DB$14</f>
        <v>9250.1759971050742</v>
      </c>
      <c r="DC22" s="537">
        <f>Waterfall!DC$14</f>
        <v>9339.0671459746045</v>
      </c>
      <c r="DD22" s="537">
        <f>Waterfall!DD$14</f>
        <v>9333.4126291791054</v>
      </c>
      <c r="DE22" s="537">
        <f>Waterfall!DE$14</f>
        <v>9304.4998770319035</v>
      </c>
      <c r="DF22" s="537">
        <f>Waterfall!DF$14</f>
        <v>10042.297500103878</v>
      </c>
      <c r="DG22" s="537">
        <f>Waterfall!DG$14</f>
        <v>10083.037086594606</v>
      </c>
      <c r="DH22" s="537">
        <f>Waterfall!DH$14</f>
        <v>10103.030440845592</v>
      </c>
      <c r="DI22" s="537">
        <f>Waterfall!DI$14</f>
        <v>10074.710093976457</v>
      </c>
      <c r="DJ22" s="537">
        <f>Waterfall!DJ$14</f>
        <v>9531.0000277068248</v>
      </c>
      <c r="DK22" s="537">
        <f>Waterfall!DK$14</f>
        <v>9622.5760692221538</v>
      </c>
      <c r="DL22" s="537">
        <f>Waterfall!DL$14</f>
        <v>9618.4891847043327</v>
      </c>
      <c r="DM22" s="537">
        <f>Waterfall!DM$14</f>
        <v>9590.6249782264968</v>
      </c>
      <c r="DN22" s="537">
        <f>Waterfall!DN$14</f>
        <v>9679.6513243283043</v>
      </c>
      <c r="DO22" s="537">
        <f>Waterfall!DO$14</f>
        <v>9772.3259446832872</v>
      </c>
      <c r="DP22" s="537">
        <f>Waterfall!DP$14</f>
        <v>9768.8299907587207</v>
      </c>
      <c r="DQ22" s="537">
        <f>Waterfall!DQ$14</f>
        <v>9741.3091688148925</v>
      </c>
      <c r="DR22" s="537">
        <f>Waterfall!DR$14</f>
        <v>9833.1752700445759</v>
      </c>
      <c r="DS22" s="537">
        <f>Waterfall!DS$14</f>
        <v>9926.8134161951511</v>
      </c>
      <c r="DT22" s="537">
        <f>Waterfall!DT$14</f>
        <v>9923.8082057289866</v>
      </c>
      <c r="DU22" s="537">
        <f>Waterfall!DU$14</f>
        <v>9896.5376166003607</v>
      </c>
      <c r="DV22" s="537">
        <f>Waterfall!DV$14</f>
        <v>10016.918852742816</v>
      </c>
      <c r="DW22" s="537">
        <f>Waterfall!DW$14</f>
        <v>10059.983606963106</v>
      </c>
      <c r="DX22" s="537">
        <f>Waterfall!DX$14</f>
        <v>10083.094712487115</v>
      </c>
      <c r="DY22" s="537">
        <f>Waterfall!DY$14</f>
        <v>10055.997562626802</v>
      </c>
      <c r="DZ22" s="537">
        <f>Waterfall!DZ$14</f>
        <v>10153.459517752461</v>
      </c>
      <c r="EA22" s="537">
        <f>Waterfall!EA$14</f>
        <v>10248.680194721674</v>
      </c>
      <c r="EB22" s="537">
        <f>Waterfall!EB$14</f>
        <v>10246.420544942679</v>
      </c>
      <c r="EC22" s="537">
        <f>Waterfall!EC$14</f>
        <v>10948.88102751593</v>
      </c>
      <c r="ED22" s="537">
        <f>Waterfall!ED$14</f>
        <v>2308.4176722004668</v>
      </c>
      <c r="EE22" s="537">
        <f>Waterfall!EE$14</f>
        <v>0</v>
      </c>
      <c r="EF22" s="537">
        <f>Waterfall!EF$14</f>
        <v>0</v>
      </c>
      <c r="EG22" s="537">
        <f>Waterfall!EG$14</f>
        <v>0</v>
      </c>
    </row>
    <row r="23" spans="5:137" ht="12.75">
      <c r="E23" s="538" t="str">
        <f>E$15</f>
        <v>Senior facility - repayment period flag</v>
      </c>
      <c r="G23" s="539" t="str">
        <f>G$15</f>
        <v>flag</v>
      </c>
      <c r="H23" s="539">
        <f>H$15</f>
        <v>72</v>
      </c>
      <c r="J23" s="539">
        <f t="shared" si="2" ref="J23:EG23">J$15</f>
        <v>0</v>
      </c>
      <c r="K23" s="539">
        <f t="shared" si="2"/>
        <v>0</v>
      </c>
      <c r="L23" s="539">
        <f t="shared" si="2"/>
        <v>0</v>
      </c>
      <c r="M23" s="539">
        <f t="shared" si="2"/>
        <v>0</v>
      </c>
      <c r="N23" s="539">
        <f t="shared" si="2"/>
        <v>0</v>
      </c>
      <c r="O23" s="539">
        <f t="shared" si="2"/>
        <v>0</v>
      </c>
      <c r="P23" s="539">
        <f t="shared" si="2"/>
        <v>0</v>
      </c>
      <c r="Q23" s="539">
        <f t="shared" si="2"/>
        <v>0</v>
      </c>
      <c r="R23" s="539">
        <f t="shared" si="2"/>
        <v>0</v>
      </c>
      <c r="S23" s="539">
        <f t="shared" si="2"/>
        <v>0</v>
      </c>
      <c r="T23" s="539">
        <f t="shared" si="2"/>
        <v>0</v>
      </c>
      <c r="U23" s="539">
        <f t="shared" si="2"/>
        <v>0</v>
      </c>
      <c r="V23" s="539">
        <f t="shared" si="2"/>
        <v>0</v>
      </c>
      <c r="W23" s="539">
        <f t="shared" si="2"/>
        <v>0</v>
      </c>
      <c r="X23" s="539">
        <f t="shared" si="2"/>
        <v>0</v>
      </c>
      <c r="Y23" s="539">
        <f t="shared" si="2"/>
        <v>0</v>
      </c>
      <c r="Z23" s="539">
        <f t="shared" si="2"/>
        <v>0</v>
      </c>
      <c r="AA23" s="539">
        <f t="shared" si="2"/>
        <v>0</v>
      </c>
      <c r="AB23" s="539">
        <f t="shared" si="2"/>
        <v>0</v>
      </c>
      <c r="AC23" s="539">
        <f t="shared" si="2"/>
        <v>0</v>
      </c>
      <c r="AD23" s="539">
        <f t="shared" si="2"/>
        <v>0</v>
      </c>
      <c r="AE23" s="539">
        <f t="shared" si="2"/>
        <v>0</v>
      </c>
      <c r="AF23" s="539">
        <f t="shared" si="2"/>
        <v>0</v>
      </c>
      <c r="AG23" s="539">
        <f t="shared" si="2"/>
        <v>0</v>
      </c>
      <c r="AH23" s="539">
        <f t="shared" si="2"/>
        <v>1</v>
      </c>
      <c r="AI23" s="539">
        <f t="shared" si="2"/>
        <v>1</v>
      </c>
      <c r="AJ23" s="539">
        <f t="shared" si="2"/>
        <v>1</v>
      </c>
      <c r="AK23" s="539">
        <f t="shared" si="2"/>
        <v>1</v>
      </c>
      <c r="AL23" s="539">
        <f t="shared" si="2"/>
        <v>1</v>
      </c>
      <c r="AM23" s="539">
        <f t="shared" si="2"/>
        <v>1</v>
      </c>
      <c r="AN23" s="539">
        <f t="shared" si="2"/>
        <v>1</v>
      </c>
      <c r="AO23" s="539">
        <f t="shared" si="2"/>
        <v>1</v>
      </c>
      <c r="AP23" s="539">
        <f t="shared" si="2"/>
        <v>1</v>
      </c>
      <c r="AQ23" s="539">
        <f t="shared" si="2"/>
        <v>1</v>
      </c>
      <c r="AR23" s="539">
        <f t="shared" si="2"/>
        <v>1</v>
      </c>
      <c r="AS23" s="539">
        <f t="shared" si="2"/>
        <v>1</v>
      </c>
      <c r="AT23" s="539">
        <f t="shared" si="2"/>
        <v>1</v>
      </c>
      <c r="AU23" s="539">
        <f t="shared" si="2"/>
        <v>1</v>
      </c>
      <c r="AV23" s="539">
        <f t="shared" si="2"/>
        <v>1</v>
      </c>
      <c r="AW23" s="539">
        <f t="shared" si="2"/>
        <v>1</v>
      </c>
      <c r="AX23" s="539">
        <f t="shared" si="2"/>
        <v>1</v>
      </c>
      <c r="AY23" s="539">
        <f t="shared" si="2"/>
        <v>1</v>
      </c>
      <c r="AZ23" s="539">
        <f t="shared" si="2"/>
        <v>1</v>
      </c>
      <c r="BA23" s="539">
        <f t="shared" si="2"/>
        <v>1</v>
      </c>
      <c r="BB23" s="539">
        <f t="shared" si="2"/>
        <v>1</v>
      </c>
      <c r="BC23" s="539">
        <f t="shared" si="2"/>
        <v>1</v>
      </c>
      <c r="BD23" s="539">
        <f t="shared" si="2"/>
        <v>1</v>
      </c>
      <c r="BE23" s="539">
        <f t="shared" si="2"/>
        <v>1</v>
      </c>
      <c r="BF23" s="539">
        <f t="shared" si="2"/>
        <v>1</v>
      </c>
      <c r="BG23" s="539">
        <f t="shared" si="2"/>
        <v>1</v>
      </c>
      <c r="BH23" s="539">
        <f t="shared" si="2"/>
        <v>1</v>
      </c>
      <c r="BI23" s="539">
        <f t="shared" si="2"/>
        <v>1</v>
      </c>
      <c r="BJ23" s="539">
        <f t="shared" si="2"/>
        <v>1</v>
      </c>
      <c r="BK23" s="539">
        <f t="shared" si="2"/>
        <v>1</v>
      </c>
      <c r="BL23" s="539">
        <f t="shared" si="2"/>
        <v>1</v>
      </c>
      <c r="BM23" s="539">
        <f t="shared" si="2"/>
        <v>1</v>
      </c>
      <c r="BN23" s="539">
        <f t="shared" si="2"/>
        <v>1</v>
      </c>
      <c r="BO23" s="539">
        <f t="shared" si="2"/>
        <v>1</v>
      </c>
      <c r="BP23" s="539">
        <f t="shared" si="2"/>
        <v>1</v>
      </c>
      <c r="BQ23" s="539">
        <f t="shared" si="2"/>
        <v>1</v>
      </c>
      <c r="BR23" s="539">
        <f t="shared" si="2"/>
        <v>1</v>
      </c>
      <c r="BS23" s="539">
        <f t="shared" si="2"/>
        <v>1</v>
      </c>
      <c r="BT23" s="539">
        <f t="shared" si="2"/>
        <v>1</v>
      </c>
      <c r="BU23" s="539">
        <f t="shared" si="2"/>
        <v>1</v>
      </c>
      <c r="BV23" s="539">
        <f t="shared" si="2"/>
        <v>1</v>
      </c>
      <c r="BW23" s="539">
        <f t="shared" si="2"/>
        <v>1</v>
      </c>
      <c r="BX23" s="539">
        <f t="shared" si="2"/>
        <v>1</v>
      </c>
      <c r="BY23" s="539">
        <f t="shared" si="2"/>
        <v>1</v>
      </c>
      <c r="BZ23" s="539">
        <f t="shared" si="2"/>
        <v>1</v>
      </c>
      <c r="CA23" s="539">
        <f t="shared" si="2"/>
        <v>1</v>
      </c>
      <c r="CB23" s="539">
        <f t="shared" si="2"/>
        <v>1</v>
      </c>
      <c r="CC23" s="539">
        <f t="shared" si="2"/>
        <v>1</v>
      </c>
      <c r="CD23" s="539">
        <f t="shared" si="2"/>
        <v>1</v>
      </c>
      <c r="CE23" s="539">
        <f t="shared" si="2"/>
        <v>1</v>
      </c>
      <c r="CF23" s="539">
        <f t="shared" si="2"/>
        <v>1</v>
      </c>
      <c r="CG23" s="539">
        <f t="shared" si="2"/>
        <v>1</v>
      </c>
      <c r="CH23" s="539">
        <f t="shared" si="2"/>
        <v>1</v>
      </c>
      <c r="CI23" s="539">
        <f t="shared" si="2"/>
        <v>1</v>
      </c>
      <c r="CJ23" s="539">
        <f t="shared" si="2"/>
        <v>1</v>
      </c>
      <c r="CK23" s="539">
        <f t="shared" si="2"/>
        <v>1</v>
      </c>
      <c r="CL23" s="539">
        <f t="shared" si="2"/>
        <v>1</v>
      </c>
      <c r="CM23" s="539">
        <f t="shared" si="2"/>
        <v>1</v>
      </c>
      <c r="CN23" s="539">
        <f t="shared" si="2"/>
        <v>1</v>
      </c>
      <c r="CO23" s="539">
        <f t="shared" si="2"/>
        <v>1</v>
      </c>
      <c r="CP23" s="539">
        <f t="shared" si="2"/>
        <v>1</v>
      </c>
      <c r="CQ23" s="539">
        <f t="shared" si="2"/>
        <v>1</v>
      </c>
      <c r="CR23" s="539">
        <f t="shared" si="2"/>
        <v>1</v>
      </c>
      <c r="CS23" s="539">
        <f t="shared" si="2"/>
        <v>1</v>
      </c>
      <c r="CT23" s="539">
        <f t="shared" si="2"/>
        <v>1</v>
      </c>
      <c r="CU23" s="539">
        <f t="shared" si="2"/>
        <v>1</v>
      </c>
      <c r="CV23" s="539">
        <f t="shared" si="2"/>
        <v>1</v>
      </c>
      <c r="CW23" s="539">
        <f t="shared" si="2"/>
        <v>1</v>
      </c>
      <c r="CX23" s="539">
        <f t="shared" si="2"/>
        <v>1</v>
      </c>
      <c r="CY23" s="539">
        <f t="shared" si="2"/>
        <v>1</v>
      </c>
      <c r="CZ23" s="539">
        <f t="shared" si="2"/>
        <v>1</v>
      </c>
      <c r="DA23" s="539">
        <f t="shared" si="2"/>
        <v>1</v>
      </c>
      <c r="DB23" s="539">
        <f t="shared" si="2"/>
        <v>0</v>
      </c>
      <c r="DC23" s="539">
        <f t="shared" si="2"/>
        <v>0</v>
      </c>
      <c r="DD23" s="539">
        <f t="shared" si="2"/>
        <v>0</v>
      </c>
      <c r="DE23" s="539">
        <f t="shared" si="2"/>
        <v>0</v>
      </c>
      <c r="DF23" s="539">
        <f t="shared" si="2"/>
        <v>0</v>
      </c>
      <c r="DG23" s="539">
        <f t="shared" si="2"/>
        <v>0</v>
      </c>
      <c r="DH23" s="539">
        <f t="shared" si="2"/>
        <v>0</v>
      </c>
      <c r="DI23" s="539">
        <f t="shared" si="2"/>
        <v>0</v>
      </c>
      <c r="DJ23" s="539">
        <f t="shared" si="2"/>
        <v>0</v>
      </c>
      <c r="DK23" s="539">
        <f t="shared" si="2"/>
        <v>0</v>
      </c>
      <c r="DL23" s="539">
        <f t="shared" si="2"/>
        <v>0</v>
      </c>
      <c r="DM23" s="539">
        <f t="shared" si="2"/>
        <v>0</v>
      </c>
      <c r="DN23" s="539">
        <f t="shared" si="2"/>
        <v>0</v>
      </c>
      <c r="DO23" s="539">
        <f t="shared" si="2"/>
        <v>0</v>
      </c>
      <c r="DP23" s="539">
        <f t="shared" si="2"/>
        <v>0</v>
      </c>
      <c r="DQ23" s="539">
        <f t="shared" si="2"/>
        <v>0</v>
      </c>
      <c r="DR23" s="539">
        <f t="shared" si="2"/>
        <v>0</v>
      </c>
      <c r="DS23" s="539">
        <f t="shared" si="2"/>
        <v>0</v>
      </c>
      <c r="DT23" s="539">
        <f t="shared" si="2"/>
        <v>0</v>
      </c>
      <c r="DU23" s="539">
        <f t="shared" si="2"/>
        <v>0</v>
      </c>
      <c r="DV23" s="539">
        <f t="shared" si="2"/>
        <v>0</v>
      </c>
      <c r="DW23" s="539">
        <f t="shared" si="2"/>
        <v>0</v>
      </c>
      <c r="DX23" s="539">
        <f t="shared" si="2"/>
        <v>0</v>
      </c>
      <c r="DY23" s="539">
        <f t="shared" si="2"/>
        <v>0</v>
      </c>
      <c r="DZ23" s="539">
        <f t="shared" si="2"/>
        <v>0</v>
      </c>
      <c r="EA23" s="539">
        <f t="shared" si="2"/>
        <v>0</v>
      </c>
      <c r="EB23" s="539">
        <f t="shared" si="2"/>
        <v>0</v>
      </c>
      <c r="EC23" s="539">
        <f t="shared" si="2"/>
        <v>0</v>
      </c>
      <c r="ED23" s="539">
        <f t="shared" si="2"/>
        <v>0</v>
      </c>
      <c r="EE23" s="539">
        <f t="shared" si="2"/>
        <v>0</v>
      </c>
      <c r="EF23" s="539">
        <f t="shared" si="2"/>
        <v>0</v>
      </c>
      <c r="EG23" s="539">
        <f t="shared" si="2"/>
        <v>0</v>
      </c>
    </row>
    <row r="24" spans="5:137" ht="12.75">
      <c r="E24" s="538" t="s">
        <v>305</v>
      </c>
      <c r="G24" s="539" t="s">
        <v>30</v>
      </c>
      <c r="H24" s="539">
        <f>SUM(J24:EG24)</f>
        <v>522169.59242038633</v>
      </c>
      <c r="J24" s="539">
        <f t="shared" si="3" ref="J24:EG24">J22/$F21*J23</f>
        <v>0</v>
      </c>
      <c r="K24" s="539">
        <f t="shared" si="3"/>
        <v>0</v>
      </c>
      <c r="L24" s="539">
        <f t="shared" si="3"/>
        <v>0</v>
      </c>
      <c r="M24" s="539">
        <f t="shared" si="3"/>
        <v>0</v>
      </c>
      <c r="N24" s="539">
        <f t="shared" si="3"/>
        <v>0</v>
      </c>
      <c r="O24" s="539">
        <f t="shared" si="3"/>
        <v>0</v>
      </c>
      <c r="P24" s="539">
        <f t="shared" si="3"/>
        <v>0</v>
      </c>
      <c r="Q24" s="539">
        <f t="shared" si="3"/>
        <v>0</v>
      </c>
      <c r="R24" s="539">
        <f t="shared" si="3"/>
        <v>0</v>
      </c>
      <c r="S24" s="539">
        <f t="shared" si="3"/>
        <v>0</v>
      </c>
      <c r="T24" s="539">
        <f t="shared" si="3"/>
        <v>0</v>
      </c>
      <c r="U24" s="539">
        <f t="shared" si="3"/>
        <v>0</v>
      </c>
      <c r="V24" s="539">
        <f t="shared" si="3"/>
        <v>0</v>
      </c>
      <c r="W24" s="539">
        <f t="shared" si="3"/>
        <v>0</v>
      </c>
      <c r="X24" s="539">
        <f t="shared" si="3"/>
        <v>0</v>
      </c>
      <c r="Y24" s="539">
        <f t="shared" si="3"/>
        <v>0</v>
      </c>
      <c r="Z24" s="539">
        <f t="shared" si="3"/>
        <v>0</v>
      </c>
      <c r="AA24" s="539">
        <f t="shared" si="3"/>
        <v>0</v>
      </c>
      <c r="AB24" s="539">
        <f t="shared" si="3"/>
        <v>0</v>
      </c>
      <c r="AC24" s="539">
        <f t="shared" si="3"/>
        <v>0</v>
      </c>
      <c r="AD24" s="539">
        <f t="shared" si="3"/>
        <v>0</v>
      </c>
      <c r="AE24" s="539">
        <f t="shared" si="3"/>
        <v>0</v>
      </c>
      <c r="AF24" s="539">
        <f t="shared" si="3"/>
        <v>0</v>
      </c>
      <c r="AG24" s="539">
        <f t="shared" si="3"/>
        <v>0</v>
      </c>
      <c r="AH24" s="539">
        <f t="shared" si="3"/>
        <v>5481.7212976378632</v>
      </c>
      <c r="AI24" s="539">
        <f t="shared" si="3"/>
        <v>6935.440850415609</v>
      </c>
      <c r="AJ24" s="539">
        <f t="shared" si="3"/>
        <v>6935.1035231908545</v>
      </c>
      <c r="AK24" s="539">
        <f t="shared" si="3"/>
        <v>6919.9237980769221</v>
      </c>
      <c r="AL24" s="539">
        <f t="shared" si="3"/>
        <v>6993.7707894544301</v>
      </c>
      <c r="AM24" s="539">
        <f t="shared" si="3"/>
        <v>7057.1852743950758</v>
      </c>
      <c r="AN24" s="539">
        <f t="shared" si="3"/>
        <v>7056.843882743301</v>
      </c>
      <c r="AO24" s="539">
        <f t="shared" si="3"/>
        <v>7041.4812584134606</v>
      </c>
      <c r="AP24" s="539">
        <f t="shared" si="3"/>
        <v>7116.9047394221188</v>
      </c>
      <c r="AQ24" s="539">
        <f t="shared" si="3"/>
        <v>7180.9278418670965</v>
      </c>
      <c r="AR24" s="539">
        <f t="shared" si="3"/>
        <v>7180.5823735503536</v>
      </c>
      <c r="AS24" s="539">
        <f t="shared" si="3"/>
        <v>7165.0362992968749</v>
      </c>
      <c r="AT24" s="539">
        <f t="shared" si="3"/>
        <v>7258.1495129582254</v>
      </c>
      <c r="AU24" s="539">
        <f t="shared" si="3"/>
        <v>7290.6165029773738</v>
      </c>
      <c r="AV24" s="539">
        <f t="shared" si="3"/>
        <v>7306.3465002283046</v>
      </c>
      <c r="AW24" s="539">
        <f t="shared" si="3"/>
        <v>7287.2595225443265</v>
      </c>
      <c r="AX24" s="539">
        <f t="shared" si="3"/>
        <v>7369.294768768942</v>
      </c>
      <c r="AY24" s="539">
        <f t="shared" si="3"/>
        <v>7434.5176111709225</v>
      </c>
      <c r="AZ24" s="539">
        <f t="shared" si="3"/>
        <v>7434.1639598022475</v>
      </c>
      <c r="BA24" s="539">
        <f t="shared" si="3"/>
        <v>7414.6234961942746</v>
      </c>
      <c r="BB24" s="539">
        <f t="shared" si="3"/>
        <v>7403.7197377320008</v>
      </c>
      <c r="BC24" s="539">
        <f t="shared" si="3"/>
        <v>7455.9703258487843</v>
      </c>
      <c r="BD24" s="539">
        <f t="shared" si="3"/>
        <v>7442.6607604228575</v>
      </c>
      <c r="BE24" s="539">
        <f t="shared" si="3"/>
        <v>7414.1928492515672</v>
      </c>
      <c r="BF24" s="539">
        <f t="shared" si="3"/>
        <v>7477.5335314415561</v>
      </c>
      <c r="BG24" s="539">
        <f t="shared" si="3"/>
        <v>7532.6476868514719</v>
      </c>
      <c r="BH24" s="539">
        <f t="shared" si="3"/>
        <v>7521.5126433565592</v>
      </c>
      <c r="BI24" s="539">
        <f t="shared" si="3"/>
        <v>7494.9404885772619</v>
      </c>
      <c r="BJ24" s="539">
        <f t="shared" si="3"/>
        <v>7578.7430683605544</v>
      </c>
      <c r="BK24" s="539">
        <f t="shared" si="3"/>
        <v>7602.6593926882833</v>
      </c>
      <c r="BL24" s="539">
        <f t="shared" si="3"/>
        <v>7610.167092484322</v>
      </c>
      <c r="BM24" s="539">
        <f t="shared" si="3"/>
        <v>7585.140597067636</v>
      </c>
      <c r="BN24" s="539">
        <f t="shared" si="3"/>
        <v>7655.4374977563357</v>
      </c>
      <c r="BO24" s="539">
        <f t="shared" si="3"/>
        <v>7715.1665578656193</v>
      </c>
      <c r="BP24" s="539">
        <f t="shared" si="3"/>
        <v>7707.3427918504349</v>
      </c>
      <c r="BQ24" s="539">
        <f t="shared" si="3"/>
        <v>7683.5708282775422</v>
      </c>
      <c r="BR24" s="539">
        <f t="shared" si="3"/>
        <v>7836.4377550379904</v>
      </c>
      <c r="BS24" s="539">
        <f t="shared" si="3"/>
        <v>7898.0348884539235</v>
      </c>
      <c r="BT24" s="539">
        <f t="shared" si="3"/>
        <v>7891.4608009063086</v>
      </c>
      <c r="BU24" s="539">
        <f t="shared" si="3"/>
        <v>7868.701313589102</v>
      </c>
      <c r="BV24" s="539">
        <f t="shared" si="3"/>
        <v>7737.4858772650969</v>
      </c>
      <c r="BW24" s="539">
        <f t="shared" si="3"/>
        <v>7188.1119477795055</v>
      </c>
      <c r="BX24" s="539">
        <f t="shared" si="3"/>
        <v>7170.5436204825528</v>
      </c>
      <c r="BY24" s="539">
        <f t="shared" si="3"/>
        <v>7137.1038575886969</v>
      </c>
      <c r="BZ24" s="539">
        <f t="shared" si="3"/>
        <v>7205.2464328139604</v>
      </c>
      <c r="CA24" s="539">
        <f t="shared" si="3"/>
        <v>7224.2610801018864</v>
      </c>
      <c r="CB24" s="539">
        <f t="shared" si="3"/>
        <v>7173.5836234399421</v>
      </c>
      <c r="CC24" s="539">
        <f t="shared" si="3"/>
        <v>6880.8030276064137</v>
      </c>
      <c r="CD24" s="539">
        <f t="shared" si="3"/>
        <v>6907.191265858698</v>
      </c>
      <c r="CE24" s="539">
        <f t="shared" si="3"/>
        <v>6958.9357498115978</v>
      </c>
      <c r="CF24" s="539">
        <f t="shared" si="3"/>
        <v>6940.7982947428272</v>
      </c>
      <c r="CG24" s="539">
        <f t="shared" si="3"/>
        <v>6902.9553230710144</v>
      </c>
      <c r="CH24" s="539">
        <f t="shared" si="3"/>
        <v>6935.5007217578586</v>
      </c>
      <c r="CI24" s="539">
        <f t="shared" si="3"/>
        <v>6988.919961872466</v>
      </c>
      <c r="CJ24" s="539">
        <f t="shared" si="3"/>
        <v>6971.8235540511405</v>
      </c>
      <c r="CK24" s="539">
        <f t="shared" si="3"/>
        <v>6935.135931568263</v>
      </c>
      <c r="CL24" s="539">
        <f t="shared" si="3"/>
        <v>7399.4296803269708</v>
      </c>
      <c r="CM24" s="539">
        <f t="shared" si="3"/>
        <v>7453.331591825694</v>
      </c>
      <c r="CN24" s="539">
        <f t="shared" si="3"/>
        <v>7436.0872235929864</v>
      </c>
      <c r="CO24" s="539">
        <f t="shared" si="3"/>
        <v>7399.4053404455926</v>
      </c>
      <c r="CP24" s="539">
        <f t="shared" si="3"/>
        <v>7030.1177279175836</v>
      </c>
      <c r="CQ24" s="539">
        <f t="shared" si="3"/>
        <v>7046.8894899098059</v>
      </c>
      <c r="CR24" s="539">
        <f t="shared" si="3"/>
        <v>7049.0125859212703</v>
      </c>
      <c r="CS24" s="539">
        <f t="shared" si="3"/>
        <v>7013.5569541314462</v>
      </c>
      <c r="CT24" s="539">
        <f t="shared" si="3"/>
        <v>7055.9814571370853</v>
      </c>
      <c r="CU24" s="539">
        <f t="shared" si="3"/>
        <v>7111.9620908228171</v>
      </c>
      <c r="CV24" s="539">
        <f t="shared" si="3"/>
        <v>7095.6907960249073</v>
      </c>
      <c r="CW24" s="539">
        <f t="shared" si="3"/>
        <v>7060.4472213962208</v>
      </c>
      <c r="CX24" s="539">
        <f t="shared" si="3"/>
        <v>7105.7728698664223</v>
      </c>
      <c r="CY24" s="539">
        <f t="shared" si="3"/>
        <v>7161.987476298772</v>
      </c>
      <c r="CZ24" s="539">
        <f t="shared" si="3"/>
        <v>7145.422957935948</v>
      </c>
      <c r="DA24" s="539">
        <f t="shared" si="3"/>
        <v>7110.1622760923501</v>
      </c>
      <c r="DB24" s="539">
        <f t="shared" si="3"/>
        <v>0</v>
      </c>
      <c r="DC24" s="539">
        <f t="shared" si="3"/>
        <v>0</v>
      </c>
      <c r="DD24" s="539">
        <f t="shared" si="3"/>
        <v>0</v>
      </c>
      <c r="DE24" s="539">
        <f t="shared" si="3"/>
        <v>0</v>
      </c>
      <c r="DF24" s="539">
        <f t="shared" si="3"/>
        <v>0</v>
      </c>
      <c r="DG24" s="539">
        <f t="shared" si="3"/>
        <v>0</v>
      </c>
      <c r="DH24" s="539">
        <f t="shared" si="3"/>
        <v>0</v>
      </c>
      <c r="DI24" s="539">
        <f t="shared" si="3"/>
        <v>0</v>
      </c>
      <c r="DJ24" s="539">
        <f t="shared" si="3"/>
        <v>0</v>
      </c>
      <c r="DK24" s="539">
        <f t="shared" si="3"/>
        <v>0</v>
      </c>
      <c r="DL24" s="539">
        <f t="shared" si="3"/>
        <v>0</v>
      </c>
      <c r="DM24" s="539">
        <f t="shared" si="3"/>
        <v>0</v>
      </c>
      <c r="DN24" s="539">
        <f t="shared" si="3"/>
        <v>0</v>
      </c>
      <c r="DO24" s="539">
        <f t="shared" si="3"/>
        <v>0</v>
      </c>
      <c r="DP24" s="539">
        <f t="shared" si="3"/>
        <v>0</v>
      </c>
      <c r="DQ24" s="539">
        <f t="shared" si="3"/>
        <v>0</v>
      </c>
      <c r="DR24" s="539">
        <f t="shared" si="3"/>
        <v>0</v>
      </c>
      <c r="DS24" s="539">
        <f t="shared" si="3"/>
        <v>0</v>
      </c>
      <c r="DT24" s="539">
        <f t="shared" si="3"/>
        <v>0</v>
      </c>
      <c r="DU24" s="539">
        <f t="shared" si="3"/>
        <v>0</v>
      </c>
      <c r="DV24" s="539">
        <f t="shared" si="3"/>
        <v>0</v>
      </c>
      <c r="DW24" s="539">
        <f t="shared" si="3"/>
        <v>0</v>
      </c>
      <c r="DX24" s="539">
        <f t="shared" si="3"/>
        <v>0</v>
      </c>
      <c r="DY24" s="539">
        <f t="shared" si="3"/>
        <v>0</v>
      </c>
      <c r="DZ24" s="539">
        <f t="shared" si="3"/>
        <v>0</v>
      </c>
      <c r="EA24" s="539">
        <f t="shared" si="3"/>
        <v>0</v>
      </c>
      <c r="EB24" s="539">
        <f t="shared" si="3"/>
        <v>0</v>
      </c>
      <c r="EC24" s="539">
        <f t="shared" si="3"/>
        <v>0</v>
      </c>
      <c r="ED24" s="539">
        <f t="shared" si="3"/>
        <v>0</v>
      </c>
      <c r="EE24" s="539">
        <f t="shared" si="3"/>
        <v>0</v>
      </c>
      <c r="EF24" s="539">
        <f t="shared" si="3"/>
        <v>0</v>
      </c>
      <c r="EG24" s="539">
        <f t="shared" si="3"/>
        <v>0</v>
      </c>
    </row>
    <row r="26" spans="5:7" ht="12.75">
      <c r="E26" s="535" t="str">
        <f>InpC!E$76</f>
        <v>Senior facility - interest rate</v>
      </c>
      <c r="F26" s="542">
        <f>InpC!F$76</f>
        <v>0.055</v>
      </c>
      <c r="G26" s="542" t="str">
        <f>InpC!G$76</f>
        <v>% p.a.</v>
      </c>
    </row>
    <row r="27" spans="5:7" ht="12.75">
      <c r="E27" s="535" t="str">
        <f>InpC!E$127</f>
        <v>Days per year (interest day count)</v>
      </c>
      <c r="F27" s="537">
        <f>InpC!F$127</f>
        <v>365</v>
      </c>
      <c r="G27" s="537" t="str">
        <f>InpC!G$127</f>
        <v>days</v>
      </c>
    </row>
    <row r="28" spans="5:137" ht="12.75">
      <c r="E28" s="535" t="str">
        <f>Time!E$76</f>
        <v>First operating period flag</v>
      </c>
      <c r="G28" s="537" t="str">
        <f>Time!G$76</f>
        <v>flag</v>
      </c>
      <c r="H28" s="537">
        <f>Time!H$76</f>
        <v>1</v>
      </c>
      <c r="J28" s="537">
        <f>Time!J$76</f>
        <v>0</v>
      </c>
      <c r="K28" s="537">
        <f>Time!K$76</f>
        <v>0</v>
      </c>
      <c r="L28" s="537">
        <f>Time!L$76</f>
        <v>0</v>
      </c>
      <c r="M28" s="537">
        <f>Time!M$76</f>
        <v>0</v>
      </c>
      <c r="N28" s="537">
        <f>Time!N$76</f>
        <v>0</v>
      </c>
      <c r="O28" s="537">
        <f>Time!O$76</f>
        <v>0</v>
      </c>
      <c r="P28" s="537">
        <f>Time!P$76</f>
        <v>0</v>
      </c>
      <c r="Q28" s="537">
        <f>Time!Q$76</f>
        <v>0</v>
      </c>
      <c r="R28" s="537">
        <f>Time!R$76</f>
        <v>0</v>
      </c>
      <c r="S28" s="537">
        <f>Time!S$76</f>
        <v>0</v>
      </c>
      <c r="T28" s="537">
        <f>Time!T$76</f>
        <v>0</v>
      </c>
      <c r="U28" s="537">
        <f>Time!U$76</f>
        <v>0</v>
      </c>
      <c r="V28" s="537">
        <f>Time!V$76</f>
        <v>0</v>
      </c>
      <c r="W28" s="537">
        <f>Time!W$76</f>
        <v>0</v>
      </c>
      <c r="X28" s="537">
        <f>Time!X$76</f>
        <v>0</v>
      </c>
      <c r="Y28" s="537">
        <f>Time!Y$76</f>
        <v>0</v>
      </c>
      <c r="Z28" s="537">
        <f>Time!Z$76</f>
        <v>0</v>
      </c>
      <c r="AA28" s="537">
        <f>Time!AA$76</f>
        <v>0</v>
      </c>
      <c r="AB28" s="537">
        <f>Time!AB$76</f>
        <v>0</v>
      </c>
      <c r="AC28" s="537">
        <f>Time!AC$76</f>
        <v>0</v>
      </c>
      <c r="AD28" s="537">
        <f>Time!AD$76</f>
        <v>0</v>
      </c>
      <c r="AE28" s="537">
        <f>Time!AE$76</f>
        <v>0</v>
      </c>
      <c r="AF28" s="537">
        <f>Time!AF$76</f>
        <v>0</v>
      </c>
      <c r="AG28" s="537">
        <f>Time!AG$76</f>
        <v>0</v>
      </c>
      <c r="AH28" s="537">
        <f>Time!AH$76</f>
        <v>1</v>
      </c>
      <c r="AI28" s="537">
        <f>Time!AI$76</f>
        <v>0</v>
      </c>
      <c r="AJ28" s="537">
        <f>Time!AJ$76</f>
        <v>0</v>
      </c>
      <c r="AK28" s="537">
        <f>Time!AK$76</f>
        <v>0</v>
      </c>
      <c r="AL28" s="537">
        <f>Time!AL$76</f>
        <v>0</v>
      </c>
      <c r="AM28" s="537">
        <f>Time!AM$76</f>
        <v>0</v>
      </c>
      <c r="AN28" s="537">
        <f>Time!AN$76</f>
        <v>0</v>
      </c>
      <c r="AO28" s="537">
        <f>Time!AO$76</f>
        <v>0</v>
      </c>
      <c r="AP28" s="537">
        <f>Time!AP$76</f>
        <v>0</v>
      </c>
      <c r="AQ28" s="537">
        <f>Time!AQ$76</f>
        <v>0</v>
      </c>
      <c r="AR28" s="537">
        <f>Time!AR$76</f>
        <v>0</v>
      </c>
      <c r="AS28" s="537">
        <f>Time!AS$76</f>
        <v>0</v>
      </c>
      <c r="AT28" s="537">
        <f>Time!AT$76</f>
        <v>0</v>
      </c>
      <c r="AU28" s="537">
        <f>Time!AU$76</f>
        <v>0</v>
      </c>
      <c r="AV28" s="537">
        <f>Time!AV$76</f>
        <v>0</v>
      </c>
      <c r="AW28" s="537">
        <f>Time!AW$76</f>
        <v>0</v>
      </c>
      <c r="AX28" s="537">
        <f>Time!AX$76</f>
        <v>0</v>
      </c>
      <c r="AY28" s="537">
        <f>Time!AY$76</f>
        <v>0</v>
      </c>
      <c r="AZ28" s="537">
        <f>Time!AZ$76</f>
        <v>0</v>
      </c>
      <c r="BA28" s="537">
        <f>Time!BA$76</f>
        <v>0</v>
      </c>
      <c r="BB28" s="537">
        <f>Time!BB$76</f>
        <v>0</v>
      </c>
      <c r="BC28" s="537">
        <f>Time!BC$76</f>
        <v>0</v>
      </c>
      <c r="BD28" s="537">
        <f>Time!BD$76</f>
        <v>0</v>
      </c>
      <c r="BE28" s="537">
        <f>Time!BE$76</f>
        <v>0</v>
      </c>
      <c r="BF28" s="537">
        <f>Time!BF$76</f>
        <v>0</v>
      </c>
      <c r="BG28" s="537">
        <f>Time!BG$76</f>
        <v>0</v>
      </c>
      <c r="BH28" s="537">
        <f>Time!BH$76</f>
        <v>0</v>
      </c>
      <c r="BI28" s="537">
        <f>Time!BI$76</f>
        <v>0</v>
      </c>
      <c r="BJ28" s="537">
        <f>Time!BJ$76</f>
        <v>0</v>
      </c>
      <c r="BK28" s="537">
        <f>Time!BK$76</f>
        <v>0</v>
      </c>
      <c r="BL28" s="537">
        <f>Time!BL$76</f>
        <v>0</v>
      </c>
      <c r="BM28" s="537">
        <f>Time!BM$76</f>
        <v>0</v>
      </c>
      <c r="BN28" s="537">
        <f>Time!BN$76</f>
        <v>0</v>
      </c>
      <c r="BO28" s="537">
        <f>Time!BO$76</f>
        <v>0</v>
      </c>
      <c r="BP28" s="537">
        <f>Time!BP$76</f>
        <v>0</v>
      </c>
      <c r="BQ28" s="537">
        <f>Time!BQ$76</f>
        <v>0</v>
      </c>
      <c r="BR28" s="537">
        <f>Time!BR$76</f>
        <v>0</v>
      </c>
      <c r="BS28" s="537">
        <f>Time!BS$76</f>
        <v>0</v>
      </c>
      <c r="BT28" s="537">
        <f>Time!BT$76</f>
        <v>0</v>
      </c>
      <c r="BU28" s="537">
        <f>Time!BU$76</f>
        <v>0</v>
      </c>
      <c r="BV28" s="537">
        <f>Time!BV$76</f>
        <v>0</v>
      </c>
      <c r="BW28" s="537">
        <f>Time!BW$76</f>
        <v>0</v>
      </c>
      <c r="BX28" s="537">
        <f>Time!BX$76</f>
        <v>0</v>
      </c>
      <c r="BY28" s="537">
        <f>Time!BY$76</f>
        <v>0</v>
      </c>
      <c r="BZ28" s="537">
        <f>Time!BZ$76</f>
        <v>0</v>
      </c>
      <c r="CA28" s="537">
        <f>Time!CA$76</f>
        <v>0</v>
      </c>
      <c r="CB28" s="537">
        <f>Time!CB$76</f>
        <v>0</v>
      </c>
      <c r="CC28" s="537">
        <f>Time!CC$76</f>
        <v>0</v>
      </c>
      <c r="CD28" s="537">
        <f>Time!CD$76</f>
        <v>0</v>
      </c>
      <c r="CE28" s="537">
        <f>Time!CE$76</f>
        <v>0</v>
      </c>
      <c r="CF28" s="537">
        <f>Time!CF$76</f>
        <v>0</v>
      </c>
      <c r="CG28" s="537">
        <f>Time!CG$76</f>
        <v>0</v>
      </c>
      <c r="CH28" s="537">
        <f>Time!CH$76</f>
        <v>0</v>
      </c>
      <c r="CI28" s="537">
        <f>Time!CI$76</f>
        <v>0</v>
      </c>
      <c r="CJ28" s="537">
        <f>Time!CJ$76</f>
        <v>0</v>
      </c>
      <c r="CK28" s="537">
        <f>Time!CK$76</f>
        <v>0</v>
      </c>
      <c r="CL28" s="537">
        <f>Time!CL$76</f>
        <v>0</v>
      </c>
      <c r="CM28" s="537">
        <f>Time!CM$76</f>
        <v>0</v>
      </c>
      <c r="CN28" s="537">
        <f>Time!CN$76</f>
        <v>0</v>
      </c>
      <c r="CO28" s="537">
        <f>Time!CO$76</f>
        <v>0</v>
      </c>
      <c r="CP28" s="537">
        <f>Time!CP$76</f>
        <v>0</v>
      </c>
      <c r="CQ28" s="537">
        <f>Time!CQ$76</f>
        <v>0</v>
      </c>
      <c r="CR28" s="537">
        <f>Time!CR$76</f>
        <v>0</v>
      </c>
      <c r="CS28" s="537">
        <f>Time!CS$76</f>
        <v>0</v>
      </c>
      <c r="CT28" s="537">
        <f>Time!CT$76</f>
        <v>0</v>
      </c>
      <c r="CU28" s="537">
        <f>Time!CU$76</f>
        <v>0</v>
      </c>
      <c r="CV28" s="537">
        <f>Time!CV$76</f>
        <v>0</v>
      </c>
      <c r="CW28" s="537">
        <f>Time!CW$76</f>
        <v>0</v>
      </c>
      <c r="CX28" s="537">
        <f>Time!CX$76</f>
        <v>0</v>
      </c>
      <c r="CY28" s="537">
        <f>Time!CY$76</f>
        <v>0</v>
      </c>
      <c r="CZ28" s="537">
        <f>Time!CZ$76</f>
        <v>0</v>
      </c>
      <c r="DA28" s="537">
        <f>Time!DA$76</f>
        <v>0</v>
      </c>
      <c r="DB28" s="537">
        <f>Time!DB$76</f>
        <v>0</v>
      </c>
      <c r="DC28" s="537">
        <f>Time!DC$76</f>
        <v>0</v>
      </c>
      <c r="DD28" s="537">
        <f>Time!DD$76</f>
        <v>0</v>
      </c>
      <c r="DE28" s="537">
        <f>Time!DE$76</f>
        <v>0</v>
      </c>
      <c r="DF28" s="537">
        <f>Time!DF$76</f>
        <v>0</v>
      </c>
      <c r="DG28" s="537">
        <f>Time!DG$76</f>
        <v>0</v>
      </c>
      <c r="DH28" s="537">
        <f>Time!DH$76</f>
        <v>0</v>
      </c>
      <c r="DI28" s="537">
        <f>Time!DI$76</f>
        <v>0</v>
      </c>
      <c r="DJ28" s="537">
        <f>Time!DJ$76</f>
        <v>0</v>
      </c>
      <c r="DK28" s="537">
        <f>Time!DK$76</f>
        <v>0</v>
      </c>
      <c r="DL28" s="537">
        <f>Time!DL$76</f>
        <v>0</v>
      </c>
      <c r="DM28" s="537">
        <f>Time!DM$76</f>
        <v>0</v>
      </c>
      <c r="DN28" s="537">
        <f>Time!DN$76</f>
        <v>0</v>
      </c>
      <c r="DO28" s="537">
        <f>Time!DO$76</f>
        <v>0</v>
      </c>
      <c r="DP28" s="537">
        <f>Time!DP$76</f>
        <v>0</v>
      </c>
      <c r="DQ28" s="537">
        <f>Time!DQ$76</f>
        <v>0</v>
      </c>
      <c r="DR28" s="537">
        <f>Time!DR$76</f>
        <v>0</v>
      </c>
      <c r="DS28" s="537">
        <f>Time!DS$76</f>
        <v>0</v>
      </c>
      <c r="DT28" s="537">
        <f>Time!DT$76</f>
        <v>0</v>
      </c>
      <c r="DU28" s="537">
        <f>Time!DU$76</f>
        <v>0</v>
      </c>
      <c r="DV28" s="537">
        <f>Time!DV$76</f>
        <v>0</v>
      </c>
      <c r="DW28" s="537">
        <f>Time!DW$76</f>
        <v>0</v>
      </c>
      <c r="DX28" s="537">
        <f>Time!DX$76</f>
        <v>0</v>
      </c>
      <c r="DY28" s="537">
        <f>Time!DY$76</f>
        <v>0</v>
      </c>
      <c r="DZ28" s="537">
        <f>Time!DZ$76</f>
        <v>0</v>
      </c>
      <c r="EA28" s="537">
        <f>Time!EA$76</f>
        <v>0</v>
      </c>
      <c r="EB28" s="537">
        <f>Time!EB$76</f>
        <v>0</v>
      </c>
      <c r="EC28" s="537">
        <f>Time!EC$76</f>
        <v>0</v>
      </c>
      <c r="ED28" s="537">
        <f>Time!ED$76</f>
        <v>0</v>
      </c>
      <c r="EE28" s="537">
        <f>Time!EE$76</f>
        <v>0</v>
      </c>
      <c r="EF28" s="537">
        <f>Time!EF$76</f>
        <v>0</v>
      </c>
      <c r="EG28" s="537">
        <f>Time!EG$76</f>
        <v>0</v>
      </c>
    </row>
    <row r="29" spans="5:137" ht="12.75">
      <c r="E29" s="535" t="str">
        <f>Time!E$163</f>
        <v>Days in period</v>
      </c>
      <c r="G29" s="537" t="str">
        <f>Time!G$163</f>
        <v>days</v>
      </c>
      <c r="H29" s="537">
        <f>Time!H$163</f>
        <v>10227</v>
      </c>
      <c r="J29" s="537">
        <f>Time!J$163</f>
        <v>31</v>
      </c>
      <c r="K29" s="537">
        <f>Time!K$163</f>
        <v>28</v>
      </c>
      <c r="L29" s="537">
        <f>Time!L$163</f>
        <v>31</v>
      </c>
      <c r="M29" s="537">
        <f>Time!M$163</f>
        <v>30</v>
      </c>
      <c r="N29" s="537">
        <f>Time!N$163</f>
        <v>31</v>
      </c>
      <c r="O29" s="537">
        <f>Time!O$163</f>
        <v>30</v>
      </c>
      <c r="P29" s="537">
        <f>Time!P$163</f>
        <v>31</v>
      </c>
      <c r="Q29" s="537">
        <f>Time!Q$163</f>
        <v>31</v>
      </c>
      <c r="R29" s="537">
        <f>Time!R$163</f>
        <v>30</v>
      </c>
      <c r="S29" s="537">
        <f>Time!S$163</f>
        <v>31</v>
      </c>
      <c r="T29" s="537">
        <f>Time!T$163</f>
        <v>30</v>
      </c>
      <c r="U29" s="537">
        <f>Time!U$163</f>
        <v>31</v>
      </c>
      <c r="V29" s="537">
        <f>Time!V$163</f>
        <v>31</v>
      </c>
      <c r="W29" s="537">
        <f>Time!W$163</f>
        <v>29</v>
      </c>
      <c r="X29" s="537">
        <f>Time!X$163</f>
        <v>31</v>
      </c>
      <c r="Y29" s="537">
        <f>Time!Y$163</f>
        <v>30</v>
      </c>
      <c r="Z29" s="537">
        <f>Time!Z$163</f>
        <v>31</v>
      </c>
      <c r="AA29" s="537">
        <f>Time!AA$163</f>
        <v>30</v>
      </c>
      <c r="AB29" s="537">
        <f>Time!AB$163</f>
        <v>31</v>
      </c>
      <c r="AC29" s="537">
        <f>Time!AC$163</f>
        <v>31</v>
      </c>
      <c r="AD29" s="537">
        <f>Time!AD$163</f>
        <v>30</v>
      </c>
      <c r="AE29" s="537">
        <f>Time!AE$163</f>
        <v>31</v>
      </c>
      <c r="AF29" s="537">
        <f>Time!AF$163</f>
        <v>30</v>
      </c>
      <c r="AG29" s="537">
        <f>Time!AG$163</f>
        <v>31</v>
      </c>
      <c r="AH29" s="537">
        <f>Time!AH$163</f>
        <v>90</v>
      </c>
      <c r="AI29" s="537">
        <f>Time!AI$163</f>
        <v>91</v>
      </c>
      <c r="AJ29" s="537">
        <f>Time!AJ$163</f>
        <v>92</v>
      </c>
      <c r="AK29" s="537">
        <f>Time!AK$163</f>
        <v>92</v>
      </c>
      <c r="AL29" s="537">
        <f>Time!AL$163</f>
        <v>90</v>
      </c>
      <c r="AM29" s="537">
        <f>Time!AM$163</f>
        <v>91</v>
      </c>
      <c r="AN29" s="537">
        <f>Time!AN$163</f>
        <v>92</v>
      </c>
      <c r="AO29" s="537">
        <f>Time!AO$163</f>
        <v>92</v>
      </c>
      <c r="AP29" s="537">
        <f>Time!AP$163</f>
        <v>90</v>
      </c>
      <c r="AQ29" s="537">
        <f>Time!AQ$163</f>
        <v>91</v>
      </c>
      <c r="AR29" s="537">
        <f>Time!AR$163</f>
        <v>92</v>
      </c>
      <c r="AS29" s="537">
        <f>Time!AS$163</f>
        <v>92</v>
      </c>
      <c r="AT29" s="537">
        <f>Time!AT$163</f>
        <v>91</v>
      </c>
      <c r="AU29" s="537">
        <f>Time!AU$163</f>
        <v>91</v>
      </c>
      <c r="AV29" s="537">
        <f>Time!AV$163</f>
        <v>92</v>
      </c>
      <c r="AW29" s="537">
        <f>Time!AW$163</f>
        <v>92</v>
      </c>
      <c r="AX29" s="537">
        <f>Time!AX$163</f>
        <v>90</v>
      </c>
      <c r="AY29" s="537">
        <f>Time!AY$163</f>
        <v>91</v>
      </c>
      <c r="AZ29" s="537">
        <f>Time!AZ$163</f>
        <v>92</v>
      </c>
      <c r="BA29" s="537">
        <f>Time!BA$163</f>
        <v>92</v>
      </c>
      <c r="BB29" s="537">
        <f>Time!BB$163</f>
        <v>90</v>
      </c>
      <c r="BC29" s="537">
        <f>Time!BC$163</f>
        <v>91</v>
      </c>
      <c r="BD29" s="537">
        <f>Time!BD$163</f>
        <v>92</v>
      </c>
      <c r="BE29" s="537">
        <f>Time!BE$163</f>
        <v>92</v>
      </c>
      <c r="BF29" s="537">
        <f>Time!BF$163</f>
        <v>90</v>
      </c>
      <c r="BG29" s="537">
        <f>Time!BG$163</f>
        <v>91</v>
      </c>
      <c r="BH29" s="537">
        <f>Time!BH$163</f>
        <v>92</v>
      </c>
      <c r="BI29" s="537">
        <f>Time!BI$163</f>
        <v>92</v>
      </c>
      <c r="BJ29" s="537">
        <f>Time!BJ$163</f>
        <v>91</v>
      </c>
      <c r="BK29" s="537">
        <f>Time!BK$163</f>
        <v>91</v>
      </c>
      <c r="BL29" s="537">
        <f>Time!BL$163</f>
        <v>92</v>
      </c>
      <c r="BM29" s="537">
        <f>Time!BM$163</f>
        <v>92</v>
      </c>
      <c r="BN29" s="537">
        <f>Time!BN$163</f>
        <v>90</v>
      </c>
      <c r="BO29" s="537">
        <f>Time!BO$163</f>
        <v>91</v>
      </c>
      <c r="BP29" s="537">
        <f>Time!BP$163</f>
        <v>92</v>
      </c>
      <c r="BQ29" s="537">
        <f>Time!BQ$163</f>
        <v>92</v>
      </c>
      <c r="BR29" s="537">
        <f>Time!BR$163</f>
        <v>90</v>
      </c>
      <c r="BS29" s="537">
        <f>Time!BS$163</f>
        <v>91</v>
      </c>
      <c r="BT29" s="537">
        <f>Time!BT$163</f>
        <v>92</v>
      </c>
      <c r="BU29" s="537">
        <f>Time!BU$163</f>
        <v>92</v>
      </c>
      <c r="BV29" s="537">
        <f>Time!BV$163</f>
        <v>90</v>
      </c>
      <c r="BW29" s="537">
        <f>Time!BW$163</f>
        <v>91</v>
      </c>
      <c r="BX29" s="537">
        <f>Time!BX$163</f>
        <v>92</v>
      </c>
      <c r="BY29" s="537">
        <f>Time!BY$163</f>
        <v>92</v>
      </c>
      <c r="BZ29" s="537">
        <f>Time!BZ$163</f>
        <v>91</v>
      </c>
      <c r="CA29" s="537">
        <f>Time!CA$163</f>
        <v>91</v>
      </c>
      <c r="CB29" s="537">
        <f>Time!CB$163</f>
        <v>92</v>
      </c>
      <c r="CC29" s="537">
        <f>Time!CC$163</f>
        <v>92</v>
      </c>
      <c r="CD29" s="537">
        <f>Time!CD$163</f>
        <v>90</v>
      </c>
      <c r="CE29" s="537">
        <f>Time!CE$163</f>
        <v>91</v>
      </c>
      <c r="CF29" s="537">
        <f>Time!CF$163</f>
        <v>92</v>
      </c>
      <c r="CG29" s="537">
        <f>Time!CG$163</f>
        <v>92</v>
      </c>
      <c r="CH29" s="537">
        <f>Time!CH$163</f>
        <v>90</v>
      </c>
      <c r="CI29" s="537">
        <f>Time!CI$163</f>
        <v>91</v>
      </c>
      <c r="CJ29" s="537">
        <f>Time!CJ$163</f>
        <v>92</v>
      </c>
      <c r="CK29" s="537">
        <f>Time!CK$163</f>
        <v>92</v>
      </c>
      <c r="CL29" s="537">
        <f>Time!CL$163</f>
        <v>90</v>
      </c>
      <c r="CM29" s="537">
        <f>Time!CM$163</f>
        <v>91</v>
      </c>
      <c r="CN29" s="537">
        <f>Time!CN$163</f>
        <v>92</v>
      </c>
      <c r="CO29" s="537">
        <f>Time!CO$163</f>
        <v>92</v>
      </c>
      <c r="CP29" s="537">
        <f>Time!CP$163</f>
        <v>91</v>
      </c>
      <c r="CQ29" s="537">
        <f>Time!CQ$163</f>
        <v>91</v>
      </c>
      <c r="CR29" s="537">
        <f>Time!CR$163</f>
        <v>92</v>
      </c>
      <c r="CS29" s="537">
        <f>Time!CS$163</f>
        <v>92</v>
      </c>
      <c r="CT29" s="537">
        <f>Time!CT$163</f>
        <v>90</v>
      </c>
      <c r="CU29" s="537">
        <f>Time!CU$163</f>
        <v>91</v>
      </c>
      <c r="CV29" s="537">
        <f>Time!CV$163</f>
        <v>92</v>
      </c>
      <c r="CW29" s="537">
        <f>Time!CW$163</f>
        <v>92</v>
      </c>
      <c r="CX29" s="537">
        <f>Time!CX$163</f>
        <v>90</v>
      </c>
      <c r="CY29" s="537">
        <f>Time!CY$163</f>
        <v>91</v>
      </c>
      <c r="CZ29" s="537">
        <f>Time!CZ$163</f>
        <v>92</v>
      </c>
      <c r="DA29" s="537">
        <f>Time!DA$163</f>
        <v>92</v>
      </c>
      <c r="DB29" s="537">
        <f>Time!DB$163</f>
        <v>90</v>
      </c>
      <c r="DC29" s="537">
        <f>Time!DC$163</f>
        <v>91</v>
      </c>
      <c r="DD29" s="537">
        <f>Time!DD$163</f>
        <v>92</v>
      </c>
      <c r="DE29" s="537">
        <f>Time!DE$163</f>
        <v>92</v>
      </c>
      <c r="DF29" s="537">
        <f>Time!DF$163</f>
        <v>91</v>
      </c>
      <c r="DG29" s="537">
        <f>Time!DG$163</f>
        <v>91</v>
      </c>
      <c r="DH29" s="537">
        <f>Time!DH$163</f>
        <v>92</v>
      </c>
      <c r="DI29" s="537">
        <f>Time!DI$163</f>
        <v>92</v>
      </c>
      <c r="DJ29" s="537">
        <f>Time!DJ$163</f>
        <v>90</v>
      </c>
      <c r="DK29" s="537">
        <f>Time!DK$163</f>
        <v>91</v>
      </c>
      <c r="DL29" s="537">
        <f>Time!DL$163</f>
        <v>92</v>
      </c>
      <c r="DM29" s="537">
        <f>Time!DM$163</f>
        <v>92</v>
      </c>
      <c r="DN29" s="537">
        <f>Time!DN$163</f>
        <v>90</v>
      </c>
      <c r="DO29" s="537">
        <f>Time!DO$163</f>
        <v>91</v>
      </c>
      <c r="DP29" s="537">
        <f>Time!DP$163</f>
        <v>92</v>
      </c>
      <c r="DQ29" s="537">
        <f>Time!DQ$163</f>
        <v>92</v>
      </c>
      <c r="DR29" s="537">
        <f>Time!DR$163</f>
        <v>90</v>
      </c>
      <c r="DS29" s="537">
        <f>Time!DS$163</f>
        <v>91</v>
      </c>
      <c r="DT29" s="537">
        <f>Time!DT$163</f>
        <v>92</v>
      </c>
      <c r="DU29" s="537">
        <f>Time!DU$163</f>
        <v>92</v>
      </c>
      <c r="DV29" s="537">
        <f>Time!DV$163</f>
        <v>91</v>
      </c>
      <c r="DW29" s="537">
        <f>Time!DW$163</f>
        <v>91</v>
      </c>
      <c r="DX29" s="537">
        <f>Time!DX$163</f>
        <v>92</v>
      </c>
      <c r="DY29" s="537">
        <f>Time!DY$163</f>
        <v>92</v>
      </c>
      <c r="DZ29" s="537">
        <f>Time!DZ$163</f>
        <v>90</v>
      </c>
      <c r="EA29" s="537">
        <f>Time!EA$163</f>
        <v>91</v>
      </c>
      <c r="EB29" s="537">
        <f>Time!EB$163</f>
        <v>92</v>
      </c>
      <c r="EC29" s="537">
        <f>Time!EC$163</f>
        <v>92</v>
      </c>
      <c r="ED29" s="537">
        <f>Time!ED$163</f>
        <v>90</v>
      </c>
      <c r="EE29" s="537">
        <f>Time!EE$163</f>
        <v>91</v>
      </c>
      <c r="EF29" s="537">
        <f>Time!EF$163</f>
        <v>92</v>
      </c>
      <c r="EG29" s="537">
        <f>Time!EG$163</f>
        <v>92</v>
      </c>
    </row>
    <row r="30" spans="5:137" ht="12.75">
      <c r="E30" s="538" t="str">
        <f>E$15</f>
        <v>Senior facility - repayment period flag</v>
      </c>
      <c r="G30" s="539" t="str">
        <f>G$15</f>
        <v>flag</v>
      </c>
      <c r="H30" s="539">
        <f>H$15</f>
        <v>72</v>
      </c>
      <c r="J30" s="539">
        <f t="shared" si="4" ref="J30:EG30">J$15</f>
        <v>0</v>
      </c>
      <c r="K30" s="539">
        <f t="shared" si="4"/>
        <v>0</v>
      </c>
      <c r="L30" s="539">
        <f t="shared" si="4"/>
        <v>0</v>
      </c>
      <c r="M30" s="539">
        <f t="shared" si="4"/>
        <v>0</v>
      </c>
      <c r="N30" s="539">
        <f t="shared" si="4"/>
        <v>0</v>
      </c>
      <c r="O30" s="539">
        <f t="shared" si="4"/>
        <v>0</v>
      </c>
      <c r="P30" s="539">
        <f t="shared" si="4"/>
        <v>0</v>
      </c>
      <c r="Q30" s="539">
        <f t="shared" si="4"/>
        <v>0</v>
      </c>
      <c r="R30" s="539">
        <f t="shared" si="4"/>
        <v>0</v>
      </c>
      <c r="S30" s="539">
        <f t="shared" si="4"/>
        <v>0</v>
      </c>
      <c r="T30" s="539">
        <f t="shared" si="4"/>
        <v>0</v>
      </c>
      <c r="U30" s="539">
        <f t="shared" si="4"/>
        <v>0</v>
      </c>
      <c r="V30" s="539">
        <f t="shared" si="4"/>
        <v>0</v>
      </c>
      <c r="W30" s="539">
        <f t="shared" si="4"/>
        <v>0</v>
      </c>
      <c r="X30" s="539">
        <f t="shared" si="4"/>
        <v>0</v>
      </c>
      <c r="Y30" s="539">
        <f t="shared" si="4"/>
        <v>0</v>
      </c>
      <c r="Z30" s="539">
        <f t="shared" si="4"/>
        <v>0</v>
      </c>
      <c r="AA30" s="539">
        <f t="shared" si="4"/>
        <v>0</v>
      </c>
      <c r="AB30" s="539">
        <f t="shared" si="4"/>
        <v>0</v>
      </c>
      <c r="AC30" s="539">
        <f t="shared" si="4"/>
        <v>0</v>
      </c>
      <c r="AD30" s="539">
        <f t="shared" si="4"/>
        <v>0</v>
      </c>
      <c r="AE30" s="539">
        <f t="shared" si="4"/>
        <v>0</v>
      </c>
      <c r="AF30" s="539">
        <f t="shared" si="4"/>
        <v>0</v>
      </c>
      <c r="AG30" s="539">
        <f t="shared" si="4"/>
        <v>0</v>
      </c>
      <c r="AH30" s="539">
        <f t="shared" si="4"/>
        <v>1</v>
      </c>
      <c r="AI30" s="539">
        <f t="shared" si="4"/>
        <v>1</v>
      </c>
      <c r="AJ30" s="539">
        <f t="shared" si="4"/>
        <v>1</v>
      </c>
      <c r="AK30" s="539">
        <f t="shared" si="4"/>
        <v>1</v>
      </c>
      <c r="AL30" s="539">
        <f t="shared" si="4"/>
        <v>1</v>
      </c>
      <c r="AM30" s="539">
        <f t="shared" si="4"/>
        <v>1</v>
      </c>
      <c r="AN30" s="539">
        <f t="shared" si="4"/>
        <v>1</v>
      </c>
      <c r="AO30" s="539">
        <f t="shared" si="4"/>
        <v>1</v>
      </c>
      <c r="AP30" s="539">
        <f t="shared" si="4"/>
        <v>1</v>
      </c>
      <c r="AQ30" s="539">
        <f t="shared" si="4"/>
        <v>1</v>
      </c>
      <c r="AR30" s="539">
        <f t="shared" si="4"/>
        <v>1</v>
      </c>
      <c r="AS30" s="539">
        <f t="shared" si="4"/>
        <v>1</v>
      </c>
      <c r="AT30" s="539">
        <f t="shared" si="4"/>
        <v>1</v>
      </c>
      <c r="AU30" s="539">
        <f t="shared" si="4"/>
        <v>1</v>
      </c>
      <c r="AV30" s="539">
        <f t="shared" si="4"/>
        <v>1</v>
      </c>
      <c r="AW30" s="539">
        <f t="shared" si="4"/>
        <v>1</v>
      </c>
      <c r="AX30" s="539">
        <f t="shared" si="4"/>
        <v>1</v>
      </c>
      <c r="AY30" s="539">
        <f t="shared" si="4"/>
        <v>1</v>
      </c>
      <c r="AZ30" s="539">
        <f t="shared" si="4"/>
        <v>1</v>
      </c>
      <c r="BA30" s="539">
        <f t="shared" si="4"/>
        <v>1</v>
      </c>
      <c r="BB30" s="539">
        <f t="shared" si="4"/>
        <v>1</v>
      </c>
      <c r="BC30" s="539">
        <f t="shared" si="4"/>
        <v>1</v>
      </c>
      <c r="BD30" s="539">
        <f t="shared" si="4"/>
        <v>1</v>
      </c>
      <c r="BE30" s="539">
        <f t="shared" si="4"/>
        <v>1</v>
      </c>
      <c r="BF30" s="539">
        <f t="shared" si="4"/>
        <v>1</v>
      </c>
      <c r="BG30" s="539">
        <f t="shared" si="4"/>
        <v>1</v>
      </c>
      <c r="BH30" s="539">
        <f t="shared" si="4"/>
        <v>1</v>
      </c>
      <c r="BI30" s="539">
        <f t="shared" si="4"/>
        <v>1</v>
      </c>
      <c r="BJ30" s="539">
        <f t="shared" si="4"/>
        <v>1</v>
      </c>
      <c r="BK30" s="539">
        <f t="shared" si="4"/>
        <v>1</v>
      </c>
      <c r="BL30" s="539">
        <f t="shared" si="4"/>
        <v>1</v>
      </c>
      <c r="BM30" s="539">
        <f t="shared" si="4"/>
        <v>1</v>
      </c>
      <c r="BN30" s="539">
        <f t="shared" si="4"/>
        <v>1</v>
      </c>
      <c r="BO30" s="539">
        <f t="shared" si="4"/>
        <v>1</v>
      </c>
      <c r="BP30" s="539">
        <f t="shared" si="4"/>
        <v>1</v>
      </c>
      <c r="BQ30" s="539">
        <f t="shared" si="4"/>
        <v>1</v>
      </c>
      <c r="BR30" s="539">
        <f t="shared" si="4"/>
        <v>1</v>
      </c>
      <c r="BS30" s="539">
        <f t="shared" si="4"/>
        <v>1</v>
      </c>
      <c r="BT30" s="539">
        <f t="shared" si="4"/>
        <v>1</v>
      </c>
      <c r="BU30" s="539">
        <f t="shared" si="4"/>
        <v>1</v>
      </c>
      <c r="BV30" s="539">
        <f t="shared" si="4"/>
        <v>1</v>
      </c>
      <c r="BW30" s="539">
        <f t="shared" si="4"/>
        <v>1</v>
      </c>
      <c r="BX30" s="539">
        <f t="shared" si="4"/>
        <v>1</v>
      </c>
      <c r="BY30" s="539">
        <f t="shared" si="4"/>
        <v>1</v>
      </c>
      <c r="BZ30" s="539">
        <f t="shared" si="4"/>
        <v>1</v>
      </c>
      <c r="CA30" s="539">
        <f t="shared" si="4"/>
        <v>1</v>
      </c>
      <c r="CB30" s="539">
        <f t="shared" si="4"/>
        <v>1</v>
      </c>
      <c r="CC30" s="539">
        <f t="shared" si="4"/>
        <v>1</v>
      </c>
      <c r="CD30" s="539">
        <f t="shared" si="4"/>
        <v>1</v>
      </c>
      <c r="CE30" s="539">
        <f t="shared" si="4"/>
        <v>1</v>
      </c>
      <c r="CF30" s="539">
        <f t="shared" si="4"/>
        <v>1</v>
      </c>
      <c r="CG30" s="539">
        <f t="shared" si="4"/>
        <v>1</v>
      </c>
      <c r="CH30" s="539">
        <f t="shared" si="4"/>
        <v>1</v>
      </c>
      <c r="CI30" s="539">
        <f t="shared" si="4"/>
        <v>1</v>
      </c>
      <c r="CJ30" s="539">
        <f t="shared" si="4"/>
        <v>1</v>
      </c>
      <c r="CK30" s="539">
        <f t="shared" si="4"/>
        <v>1</v>
      </c>
      <c r="CL30" s="539">
        <f t="shared" si="4"/>
        <v>1</v>
      </c>
      <c r="CM30" s="539">
        <f t="shared" si="4"/>
        <v>1</v>
      </c>
      <c r="CN30" s="539">
        <f t="shared" si="4"/>
        <v>1</v>
      </c>
      <c r="CO30" s="539">
        <f t="shared" si="4"/>
        <v>1</v>
      </c>
      <c r="CP30" s="539">
        <f t="shared" si="4"/>
        <v>1</v>
      </c>
      <c r="CQ30" s="539">
        <f t="shared" si="4"/>
        <v>1</v>
      </c>
      <c r="CR30" s="539">
        <f t="shared" si="4"/>
        <v>1</v>
      </c>
      <c r="CS30" s="539">
        <f t="shared" si="4"/>
        <v>1</v>
      </c>
      <c r="CT30" s="539">
        <f t="shared" si="4"/>
        <v>1</v>
      </c>
      <c r="CU30" s="539">
        <f t="shared" si="4"/>
        <v>1</v>
      </c>
      <c r="CV30" s="539">
        <f t="shared" si="4"/>
        <v>1</v>
      </c>
      <c r="CW30" s="539">
        <f t="shared" si="4"/>
        <v>1</v>
      </c>
      <c r="CX30" s="539">
        <f t="shared" si="4"/>
        <v>1</v>
      </c>
      <c r="CY30" s="539">
        <f t="shared" si="4"/>
        <v>1</v>
      </c>
      <c r="CZ30" s="539">
        <f t="shared" si="4"/>
        <v>1</v>
      </c>
      <c r="DA30" s="539">
        <f t="shared" si="4"/>
        <v>1</v>
      </c>
      <c r="DB30" s="539">
        <f t="shared" si="4"/>
        <v>0</v>
      </c>
      <c r="DC30" s="539">
        <f t="shared" si="4"/>
        <v>0</v>
      </c>
      <c r="DD30" s="539">
        <f t="shared" si="4"/>
        <v>0</v>
      </c>
      <c r="DE30" s="539">
        <f t="shared" si="4"/>
        <v>0</v>
      </c>
      <c r="DF30" s="539">
        <f t="shared" si="4"/>
        <v>0</v>
      </c>
      <c r="DG30" s="539">
        <f t="shared" si="4"/>
        <v>0</v>
      </c>
      <c r="DH30" s="539">
        <f t="shared" si="4"/>
        <v>0</v>
      </c>
      <c r="DI30" s="539">
        <f t="shared" si="4"/>
        <v>0</v>
      </c>
      <c r="DJ30" s="539">
        <f t="shared" si="4"/>
        <v>0</v>
      </c>
      <c r="DK30" s="539">
        <f t="shared" si="4"/>
        <v>0</v>
      </c>
      <c r="DL30" s="539">
        <f t="shared" si="4"/>
        <v>0</v>
      </c>
      <c r="DM30" s="539">
        <f t="shared" si="4"/>
        <v>0</v>
      </c>
      <c r="DN30" s="539">
        <f t="shared" si="4"/>
        <v>0</v>
      </c>
      <c r="DO30" s="539">
        <f t="shared" si="4"/>
        <v>0</v>
      </c>
      <c r="DP30" s="539">
        <f t="shared" si="4"/>
        <v>0</v>
      </c>
      <c r="DQ30" s="539">
        <f t="shared" si="4"/>
        <v>0</v>
      </c>
      <c r="DR30" s="539">
        <f t="shared" si="4"/>
        <v>0</v>
      </c>
      <c r="DS30" s="539">
        <f t="shared" si="4"/>
        <v>0</v>
      </c>
      <c r="DT30" s="539">
        <f t="shared" si="4"/>
        <v>0</v>
      </c>
      <c r="DU30" s="539">
        <f t="shared" si="4"/>
        <v>0</v>
      </c>
      <c r="DV30" s="539">
        <f t="shared" si="4"/>
        <v>0</v>
      </c>
      <c r="DW30" s="539">
        <f t="shared" si="4"/>
        <v>0</v>
      </c>
      <c r="DX30" s="539">
        <f t="shared" si="4"/>
        <v>0</v>
      </c>
      <c r="DY30" s="539">
        <f t="shared" si="4"/>
        <v>0</v>
      </c>
      <c r="DZ30" s="539">
        <f t="shared" si="4"/>
        <v>0</v>
      </c>
      <c r="EA30" s="539">
        <f t="shared" si="4"/>
        <v>0</v>
      </c>
      <c r="EB30" s="539">
        <f t="shared" si="4"/>
        <v>0</v>
      </c>
      <c r="EC30" s="539">
        <f t="shared" si="4"/>
        <v>0</v>
      </c>
      <c r="ED30" s="539">
        <f t="shared" si="4"/>
        <v>0</v>
      </c>
      <c r="EE30" s="539">
        <f t="shared" si="4"/>
        <v>0</v>
      </c>
      <c r="EF30" s="539">
        <f t="shared" si="4"/>
        <v>0</v>
      </c>
      <c r="EG30" s="539">
        <f t="shared" si="4"/>
        <v>0</v>
      </c>
    </row>
    <row r="31" spans="5:137" ht="12.75">
      <c r="E31" s="538" t="s">
        <v>306</v>
      </c>
      <c r="G31" s="548" t="s">
        <v>307</v>
      </c>
      <c r="H31" s="548">
        <f>SUM(J31:EG31)</f>
        <v>45.515551786707</v>
      </c>
      <c r="J31" s="548">
        <f t="shared" si="5" ref="J31:EG31">IF(J28=1,1,I31)/(1+$F26*J29/$F27)*J30</f>
        <v>0</v>
      </c>
      <c r="K31" s="548">
        <f t="shared" si="5"/>
        <v>0</v>
      </c>
      <c r="L31" s="548">
        <f t="shared" si="5"/>
        <v>0</v>
      </c>
      <c r="M31" s="548">
        <f t="shared" si="5"/>
        <v>0</v>
      </c>
      <c r="N31" s="548">
        <f t="shared" si="5"/>
        <v>0</v>
      </c>
      <c r="O31" s="548">
        <f t="shared" si="5"/>
        <v>0</v>
      </c>
      <c r="P31" s="548">
        <f t="shared" si="5"/>
        <v>0</v>
      </c>
      <c r="Q31" s="548">
        <f t="shared" si="5"/>
        <v>0</v>
      </c>
      <c r="R31" s="548">
        <f t="shared" si="5"/>
        <v>0</v>
      </c>
      <c r="S31" s="548">
        <f t="shared" si="5"/>
        <v>0</v>
      </c>
      <c r="T31" s="548">
        <f t="shared" si="5"/>
        <v>0</v>
      </c>
      <c r="U31" s="548">
        <f t="shared" si="5"/>
        <v>0</v>
      </c>
      <c r="V31" s="548">
        <f t="shared" si="5"/>
        <v>0</v>
      </c>
      <c r="W31" s="548">
        <f t="shared" si="5"/>
        <v>0</v>
      </c>
      <c r="X31" s="548">
        <f t="shared" si="5"/>
        <v>0</v>
      </c>
      <c r="Y31" s="548">
        <f t="shared" si="5"/>
        <v>0</v>
      </c>
      <c r="Z31" s="548">
        <f t="shared" si="5"/>
        <v>0</v>
      </c>
      <c r="AA31" s="548">
        <f t="shared" si="5"/>
        <v>0</v>
      </c>
      <c r="AB31" s="548">
        <f t="shared" si="5"/>
        <v>0</v>
      </c>
      <c r="AC31" s="548">
        <f t="shared" si="5"/>
        <v>0</v>
      </c>
      <c r="AD31" s="548">
        <f t="shared" si="5"/>
        <v>0</v>
      </c>
      <c r="AE31" s="548">
        <f t="shared" si="5"/>
        <v>0</v>
      </c>
      <c r="AF31" s="548">
        <f t="shared" si="5"/>
        <v>0</v>
      </c>
      <c r="AG31" s="548">
        <f t="shared" si="5"/>
        <v>0</v>
      </c>
      <c r="AH31" s="548">
        <f t="shared" si="5"/>
        <v>0.98661981348830918</v>
      </c>
      <c r="AI31" s="548">
        <f t="shared" si="5"/>
        <v>0.97327396095521101</v>
      </c>
      <c r="AJ31" s="548">
        <f t="shared" si="5"/>
        <v>0.95996593997906288</v>
      </c>
      <c r="AK31" s="548">
        <f t="shared" si="5"/>
        <v>0.94683988567356081</v>
      </c>
      <c r="AL31" s="548">
        <f t="shared" si="5"/>
        <v>0.93417099140654047</v>
      </c>
      <c r="AM31" s="548">
        <f t="shared" si="5"/>
        <v>0.92153460591988567</v>
      </c>
      <c r="AN31" s="548">
        <f t="shared" si="5"/>
        <v>0.90893404086028817</v>
      </c>
      <c r="AO31" s="548">
        <f t="shared" si="5"/>
        <v>0.89650576910232171</v>
      </c>
      <c r="AP31" s="548">
        <f t="shared" si="5"/>
        <v>0.88451035470292583</v>
      </c>
      <c r="AQ31" s="548">
        <f t="shared" si="5"/>
        <v>0.87254572091341454</v>
      </c>
      <c r="AR31" s="548">
        <f t="shared" si="5"/>
        <v>0.86061500333296304</v>
      </c>
      <c r="AS31" s="548">
        <f t="shared" si="5"/>
        <v>0.8488474199225301</v>
      </c>
      <c r="AT31" s="548">
        <f t="shared" si="5"/>
        <v>0.83736519309664326</v>
      </c>
      <c r="AU31" s="548">
        <f t="shared" si="5"/>
        <v>0.82603828456446482</v>
      </c>
      <c r="AV31" s="548">
        <f t="shared" si="5"/>
        <v>0.81474348447827283</v>
      </c>
      <c r="AW31" s="548">
        <f t="shared" si="5"/>
        <v>0.80360312337072248</v>
      </c>
      <c r="AX31" s="548">
        <f t="shared" si="5"/>
        <v>0.79285076369864493</v>
      </c>
      <c r="AY31" s="548">
        <f t="shared" si="5"/>
        <v>0.78212599491900225</v>
      </c>
      <c r="AZ31" s="548">
        <f t="shared" si="5"/>
        <v>0.77143162769668649</v>
      </c>
      <c r="BA31" s="548">
        <f t="shared" si="5"/>
        <v>0.76088348945925133</v>
      </c>
      <c r="BB31" s="548">
        <f t="shared" si="5"/>
        <v>0.7507027264566204</v>
      </c>
      <c r="BC31" s="548">
        <f t="shared" si="5"/>
        <v>0.7405480876114281</v>
      </c>
      <c r="BD31" s="548">
        <f t="shared" si="5"/>
        <v>0.73042223417329954</v>
      </c>
      <c r="BE31" s="548">
        <f t="shared" si="5"/>
        <v>0.72043483617049753</v>
      </c>
      <c r="BF31" s="548">
        <f t="shared" si="5"/>
        <v>0.71079528369301681</v>
      </c>
      <c r="BG31" s="548">
        <f t="shared" si="5"/>
        <v>0.70118046660977862</v>
      </c>
      <c r="BH31" s="548">
        <f t="shared" si="5"/>
        <v>0.69159290469807377</v>
      </c>
      <c r="BI31" s="548">
        <f t="shared" si="5"/>
        <v>0.6821364379149244</v>
      </c>
      <c r="BJ31" s="548">
        <f t="shared" si="5"/>
        <v>0.6729092845743907</v>
      </c>
      <c r="BK31" s="548">
        <f t="shared" si="5"/>
        <v>0.66380694549979757</v>
      </c>
      <c r="BL31" s="548">
        <f t="shared" si="5"/>
        <v>0.65473040887268574</v>
      </c>
      <c r="BM31" s="548">
        <f t="shared" si="5"/>
        <v>0.64577797989118058</v>
      </c>
      <c r="BN31" s="548">
        <f t="shared" si="5"/>
        <v>0.63713735007509364</v>
      </c>
      <c r="BO31" s="548">
        <f t="shared" si="5"/>
        <v>0.62851889238634395</v>
      </c>
      <c r="BP31" s="548">
        <f t="shared" si="5"/>
        <v>0.6199248654840176</v>
      </c>
      <c r="BQ31" s="548">
        <f t="shared" si="5"/>
        <v>0.61144834865066855</v>
      </c>
      <c r="BR31" s="548">
        <f t="shared" si="5"/>
        <v>0.60326705570345718</v>
      </c>
      <c r="BS31" s="548">
        <f t="shared" si="5"/>
        <v>0.59510675621075904</v>
      </c>
      <c r="BT31" s="548">
        <f t="shared" si="5"/>
        <v>0.58696958876108474</v>
      </c>
      <c r="BU31" s="548">
        <f t="shared" si="5"/>
        <v>0.57894368453168654</v>
      </c>
      <c r="BV31" s="548">
        <f t="shared" si="5"/>
        <v>0.5711973100528871</v>
      </c>
      <c r="BW31" s="548">
        <f t="shared" si="5"/>
        <v>0.56347081301415869</v>
      </c>
      <c r="BX31" s="548">
        <f t="shared" si="5"/>
        <v>0.55576621831640249</v>
      </c>
      <c r="BY31" s="548">
        <f t="shared" si="5"/>
        <v>0.54816697207341214</v>
      </c>
      <c r="BZ31" s="548">
        <f t="shared" si="5"/>
        <v>0.5407520028291386</v>
      </c>
      <c r="CA31" s="548">
        <f t="shared" si="5"/>
        <v>0.53343733471881627</v>
      </c>
      <c r="CB31" s="548">
        <f t="shared" si="5"/>
        <v>0.52614340153588046</v>
      </c>
      <c r="CC31" s="548">
        <f t="shared" si="5"/>
        <v>0.51894920164458835</v>
      </c>
      <c r="CD31" s="548">
        <f t="shared" si="5"/>
        <v>0.51200556453649071</v>
      </c>
      <c r="CE31" s="548">
        <f t="shared" si="5"/>
        <v>0.50507974501917308</v>
      </c>
      <c r="CF31" s="548">
        <f t="shared" si="5"/>
        <v>0.49817355815813158</v>
      </c>
      <c r="CG31" s="548">
        <f t="shared" si="5"/>
        <v>0.49136180275554781</v>
      </c>
      <c r="CH31" s="548">
        <f t="shared" si="5"/>
        <v>0.48478729018995792</v>
      </c>
      <c r="CI31" s="548">
        <f t="shared" si="5"/>
        <v>0.47822964802998513</v>
      </c>
      <c r="CJ31" s="548">
        <f t="shared" si="5"/>
        <v>0.47169059485203635</v>
      </c>
      <c r="CK31" s="548">
        <f t="shared" si="5"/>
        <v>0.46524095314541764</v>
      </c>
      <c r="CL31" s="548">
        <f t="shared" si="5"/>
        <v>0.45901594241945509</v>
      </c>
      <c r="CM31" s="548">
        <f t="shared" si="5"/>
        <v>0.45280690526641831</v>
      </c>
      <c r="CN31" s="548">
        <f t="shared" si="5"/>
        <v>0.44661546890299592</v>
      </c>
      <c r="CO31" s="548">
        <f t="shared" si="5"/>
        <v>0.44050869088686567</v>
      </c>
      <c r="CP31" s="548">
        <f t="shared" si="5"/>
        <v>0.43454999844246961</v>
      </c>
      <c r="CQ31" s="548">
        <f t="shared" si="5"/>
        <v>0.42867190830259433</v>
      </c>
      <c r="CR31" s="548">
        <f t="shared" si="5"/>
        <v>0.42281048081512979</v>
      </c>
      <c r="CS31" s="548">
        <f t="shared" si="5"/>
        <v>0.41702919931233412</v>
      </c>
      <c r="CT31" s="548">
        <f t="shared" si="5"/>
        <v>0.411449270844714</v>
      </c>
      <c r="CU31" s="548">
        <f t="shared" si="5"/>
        <v>0.40588366064869558</v>
      </c>
      <c r="CV31" s="548">
        <f t="shared" si="5"/>
        <v>0.40033382731658079</v>
      </c>
      <c r="CW31" s="548">
        <f t="shared" si="5"/>
        <v>0.39485987939942707</v>
      </c>
      <c r="CX31" s="548">
        <f t="shared" si="5"/>
        <v>0.389576580567079</v>
      </c>
      <c r="CY31" s="548">
        <f t="shared" si="5"/>
        <v>0.38430683884537731</v>
      </c>
      <c r="CZ31" s="548">
        <f t="shared" si="5"/>
        <v>0.37905203528769038</v>
      </c>
      <c r="DA31" s="548">
        <f t="shared" si="5"/>
        <v>0.3738690830676295</v>
      </c>
      <c r="DB31" s="548">
        <f t="shared" si="5"/>
        <v>0</v>
      </c>
      <c r="DC31" s="548">
        <f t="shared" si="5"/>
        <v>0</v>
      </c>
      <c r="DD31" s="548">
        <f t="shared" si="5"/>
        <v>0</v>
      </c>
      <c r="DE31" s="548">
        <f t="shared" si="5"/>
        <v>0</v>
      </c>
      <c r="DF31" s="548">
        <f t="shared" si="5"/>
        <v>0</v>
      </c>
      <c r="DG31" s="548">
        <f t="shared" si="5"/>
        <v>0</v>
      </c>
      <c r="DH31" s="548">
        <f t="shared" si="5"/>
        <v>0</v>
      </c>
      <c r="DI31" s="548">
        <f t="shared" si="5"/>
        <v>0</v>
      </c>
      <c r="DJ31" s="548">
        <f t="shared" si="5"/>
        <v>0</v>
      </c>
      <c r="DK31" s="548">
        <f t="shared" si="5"/>
        <v>0</v>
      </c>
      <c r="DL31" s="548">
        <f t="shared" si="5"/>
        <v>0</v>
      </c>
      <c r="DM31" s="548">
        <f t="shared" si="5"/>
        <v>0</v>
      </c>
      <c r="DN31" s="548">
        <f t="shared" si="5"/>
        <v>0</v>
      </c>
      <c r="DO31" s="548">
        <f t="shared" si="5"/>
        <v>0</v>
      </c>
      <c r="DP31" s="548">
        <f t="shared" si="5"/>
        <v>0</v>
      </c>
      <c r="DQ31" s="548">
        <f t="shared" si="5"/>
        <v>0</v>
      </c>
      <c r="DR31" s="548">
        <f t="shared" si="5"/>
        <v>0</v>
      </c>
      <c r="DS31" s="548">
        <f t="shared" si="5"/>
        <v>0</v>
      </c>
      <c r="DT31" s="548">
        <f t="shared" si="5"/>
        <v>0</v>
      </c>
      <c r="DU31" s="548">
        <f t="shared" si="5"/>
        <v>0</v>
      </c>
      <c r="DV31" s="548">
        <f t="shared" si="5"/>
        <v>0</v>
      </c>
      <c r="DW31" s="548">
        <f t="shared" si="5"/>
        <v>0</v>
      </c>
      <c r="DX31" s="548">
        <f t="shared" si="5"/>
        <v>0</v>
      </c>
      <c r="DY31" s="548">
        <f t="shared" si="5"/>
        <v>0</v>
      </c>
      <c r="DZ31" s="548">
        <f t="shared" si="5"/>
        <v>0</v>
      </c>
      <c r="EA31" s="548">
        <f t="shared" si="5"/>
        <v>0</v>
      </c>
      <c r="EB31" s="548">
        <f t="shared" si="5"/>
        <v>0</v>
      </c>
      <c r="EC31" s="548">
        <f t="shared" si="5"/>
        <v>0</v>
      </c>
      <c r="ED31" s="548">
        <f t="shared" si="5"/>
        <v>0</v>
      </c>
      <c r="EE31" s="548">
        <f t="shared" si="5"/>
        <v>0</v>
      </c>
      <c r="EF31" s="548">
        <f t="shared" si="5"/>
        <v>0</v>
      </c>
      <c r="EG31" s="548">
        <f t="shared" si="5"/>
        <v>0</v>
      </c>
    </row>
    <row r="33" spans="5:137" ht="12.75">
      <c r="E33" s="538" t="str">
        <f>E$24</f>
        <v>Senior facility - debt service at target DSCR</v>
      </c>
      <c r="G33" s="539" t="str">
        <f>G$24</f>
        <v>EUR 000s</v>
      </c>
      <c r="H33" s="539">
        <f>H$24</f>
        <v>522169.59242038633</v>
      </c>
      <c r="J33" s="539">
        <f t="shared" si="6" ref="J33:EG33">J$24</f>
        <v>0</v>
      </c>
      <c r="K33" s="539">
        <f t="shared" si="6"/>
        <v>0</v>
      </c>
      <c r="L33" s="539">
        <f t="shared" si="6"/>
        <v>0</v>
      </c>
      <c r="M33" s="539">
        <f t="shared" si="6"/>
        <v>0</v>
      </c>
      <c r="N33" s="539">
        <f t="shared" si="6"/>
        <v>0</v>
      </c>
      <c r="O33" s="539">
        <f t="shared" si="6"/>
        <v>0</v>
      </c>
      <c r="P33" s="539">
        <f t="shared" si="6"/>
        <v>0</v>
      </c>
      <c r="Q33" s="539">
        <f t="shared" si="6"/>
        <v>0</v>
      </c>
      <c r="R33" s="539">
        <f t="shared" si="6"/>
        <v>0</v>
      </c>
      <c r="S33" s="539">
        <f t="shared" si="6"/>
        <v>0</v>
      </c>
      <c r="T33" s="539">
        <f t="shared" si="6"/>
        <v>0</v>
      </c>
      <c r="U33" s="539">
        <f t="shared" si="6"/>
        <v>0</v>
      </c>
      <c r="V33" s="539">
        <f t="shared" si="6"/>
        <v>0</v>
      </c>
      <c r="W33" s="539">
        <f t="shared" si="6"/>
        <v>0</v>
      </c>
      <c r="X33" s="539">
        <f t="shared" si="6"/>
        <v>0</v>
      </c>
      <c r="Y33" s="539">
        <f t="shared" si="6"/>
        <v>0</v>
      </c>
      <c r="Z33" s="539">
        <f t="shared" si="6"/>
        <v>0</v>
      </c>
      <c r="AA33" s="539">
        <f t="shared" si="6"/>
        <v>0</v>
      </c>
      <c r="AB33" s="539">
        <f t="shared" si="6"/>
        <v>0</v>
      </c>
      <c r="AC33" s="539">
        <f t="shared" si="6"/>
        <v>0</v>
      </c>
      <c r="AD33" s="539">
        <f t="shared" si="6"/>
        <v>0</v>
      </c>
      <c r="AE33" s="539">
        <f t="shared" si="6"/>
        <v>0</v>
      </c>
      <c r="AF33" s="539">
        <f t="shared" si="6"/>
        <v>0</v>
      </c>
      <c r="AG33" s="539">
        <f t="shared" si="6"/>
        <v>0</v>
      </c>
      <c r="AH33" s="539">
        <f t="shared" si="6"/>
        <v>5481.7212976378632</v>
      </c>
      <c r="AI33" s="539">
        <f t="shared" si="6"/>
        <v>6935.440850415609</v>
      </c>
      <c r="AJ33" s="539">
        <f t="shared" si="6"/>
        <v>6935.1035231908545</v>
      </c>
      <c r="AK33" s="539">
        <f t="shared" si="6"/>
        <v>6919.9237980769221</v>
      </c>
      <c r="AL33" s="539">
        <f t="shared" si="6"/>
        <v>6993.7707894544301</v>
      </c>
      <c r="AM33" s="539">
        <f t="shared" si="6"/>
        <v>7057.1852743950758</v>
      </c>
      <c r="AN33" s="539">
        <f t="shared" si="6"/>
        <v>7056.843882743301</v>
      </c>
      <c r="AO33" s="539">
        <f t="shared" si="6"/>
        <v>7041.4812584134606</v>
      </c>
      <c r="AP33" s="539">
        <f t="shared" si="6"/>
        <v>7116.9047394221188</v>
      </c>
      <c r="AQ33" s="539">
        <f t="shared" si="6"/>
        <v>7180.9278418670965</v>
      </c>
      <c r="AR33" s="539">
        <f t="shared" si="6"/>
        <v>7180.5823735503536</v>
      </c>
      <c r="AS33" s="539">
        <f t="shared" si="6"/>
        <v>7165.0362992968749</v>
      </c>
      <c r="AT33" s="539">
        <f t="shared" si="6"/>
        <v>7258.1495129582254</v>
      </c>
      <c r="AU33" s="539">
        <f t="shared" si="6"/>
        <v>7290.6165029773738</v>
      </c>
      <c r="AV33" s="539">
        <f t="shared" si="6"/>
        <v>7306.3465002283046</v>
      </c>
      <c r="AW33" s="539">
        <f t="shared" si="6"/>
        <v>7287.2595225443265</v>
      </c>
      <c r="AX33" s="539">
        <f t="shared" si="6"/>
        <v>7369.294768768942</v>
      </c>
      <c r="AY33" s="539">
        <f t="shared" si="6"/>
        <v>7434.5176111709225</v>
      </c>
      <c r="AZ33" s="539">
        <f t="shared" si="6"/>
        <v>7434.1639598022475</v>
      </c>
      <c r="BA33" s="539">
        <f t="shared" si="6"/>
        <v>7414.6234961942746</v>
      </c>
      <c r="BB33" s="539">
        <f t="shared" si="6"/>
        <v>7403.7197377320008</v>
      </c>
      <c r="BC33" s="539">
        <f t="shared" si="6"/>
        <v>7455.9703258487843</v>
      </c>
      <c r="BD33" s="539">
        <f t="shared" si="6"/>
        <v>7442.6607604228575</v>
      </c>
      <c r="BE33" s="539">
        <f t="shared" si="6"/>
        <v>7414.1928492515672</v>
      </c>
      <c r="BF33" s="539">
        <f t="shared" si="6"/>
        <v>7477.5335314415561</v>
      </c>
      <c r="BG33" s="539">
        <f t="shared" si="6"/>
        <v>7532.6476868514719</v>
      </c>
      <c r="BH33" s="539">
        <f t="shared" si="6"/>
        <v>7521.5126433565592</v>
      </c>
      <c r="BI33" s="539">
        <f t="shared" si="6"/>
        <v>7494.9404885772619</v>
      </c>
      <c r="BJ33" s="539">
        <f t="shared" si="6"/>
        <v>7578.7430683605544</v>
      </c>
      <c r="BK33" s="539">
        <f t="shared" si="6"/>
        <v>7602.6593926882833</v>
      </c>
      <c r="BL33" s="539">
        <f t="shared" si="6"/>
        <v>7610.167092484322</v>
      </c>
      <c r="BM33" s="539">
        <f t="shared" si="6"/>
        <v>7585.140597067636</v>
      </c>
      <c r="BN33" s="539">
        <f t="shared" si="6"/>
        <v>7655.4374977563357</v>
      </c>
      <c r="BO33" s="539">
        <f t="shared" si="6"/>
        <v>7715.1665578656193</v>
      </c>
      <c r="BP33" s="539">
        <f t="shared" si="6"/>
        <v>7707.3427918504349</v>
      </c>
      <c r="BQ33" s="539">
        <f t="shared" si="6"/>
        <v>7683.5708282775422</v>
      </c>
      <c r="BR33" s="539">
        <f t="shared" si="6"/>
        <v>7836.4377550379904</v>
      </c>
      <c r="BS33" s="539">
        <f t="shared" si="6"/>
        <v>7898.0348884539235</v>
      </c>
      <c r="BT33" s="539">
        <f t="shared" si="6"/>
        <v>7891.4608009063086</v>
      </c>
      <c r="BU33" s="539">
        <f t="shared" si="6"/>
        <v>7868.701313589102</v>
      </c>
      <c r="BV33" s="539">
        <f t="shared" si="6"/>
        <v>7737.4858772650969</v>
      </c>
      <c r="BW33" s="539">
        <f t="shared" si="6"/>
        <v>7188.1119477795055</v>
      </c>
      <c r="BX33" s="539">
        <f t="shared" si="6"/>
        <v>7170.5436204825528</v>
      </c>
      <c r="BY33" s="539">
        <f t="shared" si="6"/>
        <v>7137.1038575886969</v>
      </c>
      <c r="BZ33" s="539">
        <f t="shared" si="6"/>
        <v>7205.2464328139604</v>
      </c>
      <c r="CA33" s="539">
        <f t="shared" si="6"/>
        <v>7224.2610801018864</v>
      </c>
      <c r="CB33" s="539">
        <f t="shared" si="6"/>
        <v>7173.5836234399421</v>
      </c>
      <c r="CC33" s="539">
        <f t="shared" si="6"/>
        <v>6880.8030276064137</v>
      </c>
      <c r="CD33" s="539">
        <f t="shared" si="6"/>
        <v>6907.191265858698</v>
      </c>
      <c r="CE33" s="539">
        <f t="shared" si="6"/>
        <v>6958.9357498115978</v>
      </c>
      <c r="CF33" s="539">
        <f t="shared" si="6"/>
        <v>6940.7982947428272</v>
      </c>
      <c r="CG33" s="539">
        <f t="shared" si="6"/>
        <v>6902.9553230710144</v>
      </c>
      <c r="CH33" s="539">
        <f t="shared" si="6"/>
        <v>6935.5007217578586</v>
      </c>
      <c r="CI33" s="539">
        <f t="shared" si="6"/>
        <v>6988.919961872466</v>
      </c>
      <c r="CJ33" s="539">
        <f t="shared" si="6"/>
        <v>6971.8235540511405</v>
      </c>
      <c r="CK33" s="539">
        <f t="shared" si="6"/>
        <v>6935.135931568263</v>
      </c>
      <c r="CL33" s="539">
        <f t="shared" si="6"/>
        <v>7399.4296803269708</v>
      </c>
      <c r="CM33" s="539">
        <f t="shared" si="6"/>
        <v>7453.331591825694</v>
      </c>
      <c r="CN33" s="539">
        <f t="shared" si="6"/>
        <v>7436.0872235929864</v>
      </c>
      <c r="CO33" s="539">
        <f t="shared" si="6"/>
        <v>7399.4053404455926</v>
      </c>
      <c r="CP33" s="539">
        <f t="shared" si="6"/>
        <v>7030.1177279175836</v>
      </c>
      <c r="CQ33" s="539">
        <f t="shared" si="6"/>
        <v>7046.8894899098059</v>
      </c>
      <c r="CR33" s="539">
        <f t="shared" si="6"/>
        <v>7049.0125859212703</v>
      </c>
      <c r="CS33" s="539">
        <f t="shared" si="6"/>
        <v>7013.5569541314462</v>
      </c>
      <c r="CT33" s="539">
        <f t="shared" si="6"/>
        <v>7055.9814571370853</v>
      </c>
      <c r="CU33" s="539">
        <f t="shared" si="6"/>
        <v>7111.9620908228171</v>
      </c>
      <c r="CV33" s="539">
        <f t="shared" si="6"/>
        <v>7095.6907960249073</v>
      </c>
      <c r="CW33" s="539">
        <f t="shared" si="6"/>
        <v>7060.4472213962208</v>
      </c>
      <c r="CX33" s="539">
        <f t="shared" si="6"/>
        <v>7105.7728698664223</v>
      </c>
      <c r="CY33" s="539">
        <f t="shared" si="6"/>
        <v>7161.987476298772</v>
      </c>
      <c r="CZ33" s="539">
        <f t="shared" si="6"/>
        <v>7145.422957935948</v>
      </c>
      <c r="DA33" s="539">
        <f t="shared" si="6"/>
        <v>7110.1622760923501</v>
      </c>
      <c r="DB33" s="539">
        <f t="shared" si="6"/>
        <v>0</v>
      </c>
      <c r="DC33" s="539">
        <f t="shared" si="6"/>
        <v>0</v>
      </c>
      <c r="DD33" s="539">
        <f t="shared" si="6"/>
        <v>0</v>
      </c>
      <c r="DE33" s="539">
        <f t="shared" si="6"/>
        <v>0</v>
      </c>
      <c r="DF33" s="539">
        <f t="shared" si="6"/>
        <v>0</v>
      </c>
      <c r="DG33" s="539">
        <f t="shared" si="6"/>
        <v>0</v>
      </c>
      <c r="DH33" s="539">
        <f t="shared" si="6"/>
        <v>0</v>
      </c>
      <c r="DI33" s="539">
        <f t="shared" si="6"/>
        <v>0</v>
      </c>
      <c r="DJ33" s="539">
        <f t="shared" si="6"/>
        <v>0</v>
      </c>
      <c r="DK33" s="539">
        <f t="shared" si="6"/>
        <v>0</v>
      </c>
      <c r="DL33" s="539">
        <f t="shared" si="6"/>
        <v>0</v>
      </c>
      <c r="DM33" s="539">
        <f t="shared" si="6"/>
        <v>0</v>
      </c>
      <c r="DN33" s="539">
        <f t="shared" si="6"/>
        <v>0</v>
      </c>
      <c r="DO33" s="539">
        <f t="shared" si="6"/>
        <v>0</v>
      </c>
      <c r="DP33" s="539">
        <f t="shared" si="6"/>
        <v>0</v>
      </c>
      <c r="DQ33" s="539">
        <f t="shared" si="6"/>
        <v>0</v>
      </c>
      <c r="DR33" s="539">
        <f t="shared" si="6"/>
        <v>0</v>
      </c>
      <c r="DS33" s="539">
        <f t="shared" si="6"/>
        <v>0</v>
      </c>
      <c r="DT33" s="539">
        <f t="shared" si="6"/>
        <v>0</v>
      </c>
      <c r="DU33" s="539">
        <f t="shared" si="6"/>
        <v>0</v>
      </c>
      <c r="DV33" s="539">
        <f t="shared" si="6"/>
        <v>0</v>
      </c>
      <c r="DW33" s="539">
        <f t="shared" si="6"/>
        <v>0</v>
      </c>
      <c r="DX33" s="539">
        <f t="shared" si="6"/>
        <v>0</v>
      </c>
      <c r="DY33" s="539">
        <f t="shared" si="6"/>
        <v>0</v>
      </c>
      <c r="DZ33" s="539">
        <f t="shared" si="6"/>
        <v>0</v>
      </c>
      <c r="EA33" s="539">
        <f t="shared" si="6"/>
        <v>0</v>
      </c>
      <c r="EB33" s="539">
        <f t="shared" si="6"/>
        <v>0</v>
      </c>
      <c r="EC33" s="539">
        <f t="shared" si="6"/>
        <v>0</v>
      </c>
      <c r="ED33" s="539">
        <f t="shared" si="6"/>
        <v>0</v>
      </c>
      <c r="EE33" s="539">
        <f t="shared" si="6"/>
        <v>0</v>
      </c>
      <c r="EF33" s="539">
        <f t="shared" si="6"/>
        <v>0</v>
      </c>
      <c r="EG33" s="539">
        <f t="shared" si="6"/>
        <v>0</v>
      </c>
    </row>
    <row r="34" spans="5:137" ht="12.75">
      <c r="E34" s="538" t="str">
        <f>E$31</f>
        <v>Senior facility - discount factor</v>
      </c>
      <c r="G34" s="548" t="str">
        <f>G$31</f>
        <v>factor</v>
      </c>
      <c r="H34" s="548">
        <f>H$31</f>
        <v>45.515551786707</v>
      </c>
      <c r="J34" s="548">
        <f t="shared" si="7" ref="J34:EG34">J$31</f>
        <v>0</v>
      </c>
      <c r="K34" s="548">
        <f t="shared" si="7"/>
        <v>0</v>
      </c>
      <c r="L34" s="548">
        <f t="shared" si="7"/>
        <v>0</v>
      </c>
      <c r="M34" s="548">
        <f t="shared" si="7"/>
        <v>0</v>
      </c>
      <c r="N34" s="548">
        <f t="shared" si="7"/>
        <v>0</v>
      </c>
      <c r="O34" s="548">
        <f t="shared" si="7"/>
        <v>0</v>
      </c>
      <c r="P34" s="548">
        <f t="shared" si="7"/>
        <v>0</v>
      </c>
      <c r="Q34" s="548">
        <f t="shared" si="7"/>
        <v>0</v>
      </c>
      <c r="R34" s="548">
        <f t="shared" si="7"/>
        <v>0</v>
      </c>
      <c r="S34" s="548">
        <f t="shared" si="7"/>
        <v>0</v>
      </c>
      <c r="T34" s="548">
        <f t="shared" si="7"/>
        <v>0</v>
      </c>
      <c r="U34" s="548">
        <f t="shared" si="7"/>
        <v>0</v>
      </c>
      <c r="V34" s="548">
        <f t="shared" si="7"/>
        <v>0</v>
      </c>
      <c r="W34" s="548">
        <f t="shared" si="7"/>
        <v>0</v>
      </c>
      <c r="X34" s="548">
        <f t="shared" si="7"/>
        <v>0</v>
      </c>
      <c r="Y34" s="548">
        <f t="shared" si="7"/>
        <v>0</v>
      </c>
      <c r="Z34" s="548">
        <f t="shared" si="7"/>
        <v>0</v>
      </c>
      <c r="AA34" s="548">
        <f t="shared" si="7"/>
        <v>0</v>
      </c>
      <c r="AB34" s="548">
        <f t="shared" si="7"/>
        <v>0</v>
      </c>
      <c r="AC34" s="548">
        <f t="shared" si="7"/>
        <v>0</v>
      </c>
      <c r="AD34" s="548">
        <f t="shared" si="7"/>
        <v>0</v>
      </c>
      <c r="AE34" s="548">
        <f t="shared" si="7"/>
        <v>0</v>
      </c>
      <c r="AF34" s="548">
        <f t="shared" si="7"/>
        <v>0</v>
      </c>
      <c r="AG34" s="548">
        <f t="shared" si="7"/>
        <v>0</v>
      </c>
      <c r="AH34" s="548">
        <f t="shared" si="7"/>
        <v>0.98661981348830918</v>
      </c>
      <c r="AI34" s="548">
        <f t="shared" si="7"/>
        <v>0.97327396095521101</v>
      </c>
      <c r="AJ34" s="548">
        <f t="shared" si="7"/>
        <v>0.95996593997906288</v>
      </c>
      <c r="AK34" s="548">
        <f t="shared" si="7"/>
        <v>0.94683988567356081</v>
      </c>
      <c r="AL34" s="548">
        <f t="shared" si="7"/>
        <v>0.93417099140654047</v>
      </c>
      <c r="AM34" s="548">
        <f t="shared" si="7"/>
        <v>0.92153460591988567</v>
      </c>
      <c r="AN34" s="548">
        <f t="shared" si="7"/>
        <v>0.90893404086028817</v>
      </c>
      <c r="AO34" s="548">
        <f t="shared" si="7"/>
        <v>0.89650576910232171</v>
      </c>
      <c r="AP34" s="548">
        <f t="shared" si="7"/>
        <v>0.88451035470292583</v>
      </c>
      <c r="AQ34" s="548">
        <f t="shared" si="7"/>
        <v>0.87254572091341454</v>
      </c>
      <c r="AR34" s="548">
        <f t="shared" si="7"/>
        <v>0.86061500333296304</v>
      </c>
      <c r="AS34" s="548">
        <f t="shared" si="7"/>
        <v>0.8488474199225301</v>
      </c>
      <c r="AT34" s="548">
        <f t="shared" si="7"/>
        <v>0.83736519309664326</v>
      </c>
      <c r="AU34" s="548">
        <f t="shared" si="7"/>
        <v>0.82603828456446482</v>
      </c>
      <c r="AV34" s="548">
        <f t="shared" si="7"/>
        <v>0.81474348447827283</v>
      </c>
      <c r="AW34" s="548">
        <f t="shared" si="7"/>
        <v>0.80360312337072248</v>
      </c>
      <c r="AX34" s="548">
        <f t="shared" si="7"/>
        <v>0.79285076369864493</v>
      </c>
      <c r="AY34" s="548">
        <f t="shared" si="7"/>
        <v>0.78212599491900225</v>
      </c>
      <c r="AZ34" s="548">
        <f t="shared" si="7"/>
        <v>0.77143162769668649</v>
      </c>
      <c r="BA34" s="548">
        <f t="shared" si="7"/>
        <v>0.76088348945925133</v>
      </c>
      <c r="BB34" s="548">
        <f t="shared" si="7"/>
        <v>0.7507027264566204</v>
      </c>
      <c r="BC34" s="548">
        <f t="shared" si="7"/>
        <v>0.7405480876114281</v>
      </c>
      <c r="BD34" s="548">
        <f t="shared" si="7"/>
        <v>0.73042223417329954</v>
      </c>
      <c r="BE34" s="548">
        <f t="shared" si="7"/>
        <v>0.72043483617049753</v>
      </c>
      <c r="BF34" s="548">
        <f t="shared" si="7"/>
        <v>0.71079528369301681</v>
      </c>
      <c r="BG34" s="548">
        <f t="shared" si="7"/>
        <v>0.70118046660977862</v>
      </c>
      <c r="BH34" s="548">
        <f t="shared" si="7"/>
        <v>0.69159290469807377</v>
      </c>
      <c r="BI34" s="548">
        <f t="shared" si="7"/>
        <v>0.6821364379149244</v>
      </c>
      <c r="BJ34" s="548">
        <f t="shared" si="7"/>
        <v>0.6729092845743907</v>
      </c>
      <c r="BK34" s="548">
        <f t="shared" si="7"/>
        <v>0.66380694549979757</v>
      </c>
      <c r="BL34" s="548">
        <f t="shared" si="7"/>
        <v>0.65473040887268574</v>
      </c>
      <c r="BM34" s="548">
        <f t="shared" si="7"/>
        <v>0.64577797989118058</v>
      </c>
      <c r="BN34" s="548">
        <f t="shared" si="7"/>
        <v>0.63713735007509364</v>
      </c>
      <c r="BO34" s="548">
        <f t="shared" si="7"/>
        <v>0.62851889238634395</v>
      </c>
      <c r="BP34" s="548">
        <f t="shared" si="7"/>
        <v>0.6199248654840176</v>
      </c>
      <c r="BQ34" s="548">
        <f t="shared" si="7"/>
        <v>0.61144834865066855</v>
      </c>
      <c r="BR34" s="548">
        <f t="shared" si="7"/>
        <v>0.60326705570345718</v>
      </c>
      <c r="BS34" s="548">
        <f t="shared" si="7"/>
        <v>0.59510675621075904</v>
      </c>
      <c r="BT34" s="548">
        <f t="shared" si="7"/>
        <v>0.58696958876108474</v>
      </c>
      <c r="BU34" s="548">
        <f t="shared" si="7"/>
        <v>0.57894368453168654</v>
      </c>
      <c r="BV34" s="548">
        <f t="shared" si="7"/>
        <v>0.5711973100528871</v>
      </c>
      <c r="BW34" s="548">
        <f t="shared" si="7"/>
        <v>0.56347081301415869</v>
      </c>
      <c r="BX34" s="548">
        <f t="shared" si="7"/>
        <v>0.55576621831640249</v>
      </c>
      <c r="BY34" s="548">
        <f t="shared" si="7"/>
        <v>0.54816697207341214</v>
      </c>
      <c r="BZ34" s="548">
        <f t="shared" si="7"/>
        <v>0.5407520028291386</v>
      </c>
      <c r="CA34" s="548">
        <f t="shared" si="7"/>
        <v>0.53343733471881627</v>
      </c>
      <c r="CB34" s="548">
        <f t="shared" si="7"/>
        <v>0.52614340153588046</v>
      </c>
      <c r="CC34" s="548">
        <f t="shared" si="7"/>
        <v>0.51894920164458835</v>
      </c>
      <c r="CD34" s="548">
        <f t="shared" si="7"/>
        <v>0.51200556453649071</v>
      </c>
      <c r="CE34" s="548">
        <f t="shared" si="7"/>
        <v>0.50507974501917308</v>
      </c>
      <c r="CF34" s="548">
        <f t="shared" si="7"/>
        <v>0.49817355815813158</v>
      </c>
      <c r="CG34" s="548">
        <f t="shared" si="7"/>
        <v>0.49136180275554781</v>
      </c>
      <c r="CH34" s="548">
        <f t="shared" si="7"/>
        <v>0.48478729018995792</v>
      </c>
      <c r="CI34" s="548">
        <f t="shared" si="7"/>
        <v>0.47822964802998513</v>
      </c>
      <c r="CJ34" s="548">
        <f t="shared" si="7"/>
        <v>0.47169059485203635</v>
      </c>
      <c r="CK34" s="548">
        <f t="shared" si="7"/>
        <v>0.46524095314541764</v>
      </c>
      <c r="CL34" s="548">
        <f t="shared" si="7"/>
        <v>0.45901594241945509</v>
      </c>
      <c r="CM34" s="548">
        <f t="shared" si="7"/>
        <v>0.45280690526641831</v>
      </c>
      <c r="CN34" s="548">
        <f t="shared" si="7"/>
        <v>0.44661546890299592</v>
      </c>
      <c r="CO34" s="548">
        <f t="shared" si="7"/>
        <v>0.44050869088686567</v>
      </c>
      <c r="CP34" s="548">
        <f t="shared" si="7"/>
        <v>0.43454999844246961</v>
      </c>
      <c r="CQ34" s="548">
        <f t="shared" si="7"/>
        <v>0.42867190830259433</v>
      </c>
      <c r="CR34" s="548">
        <f t="shared" si="7"/>
        <v>0.42281048081512979</v>
      </c>
      <c r="CS34" s="548">
        <f t="shared" si="7"/>
        <v>0.41702919931233412</v>
      </c>
      <c r="CT34" s="548">
        <f t="shared" si="7"/>
        <v>0.411449270844714</v>
      </c>
      <c r="CU34" s="548">
        <f t="shared" si="7"/>
        <v>0.40588366064869558</v>
      </c>
      <c r="CV34" s="548">
        <f t="shared" si="7"/>
        <v>0.40033382731658079</v>
      </c>
      <c r="CW34" s="548">
        <f t="shared" si="7"/>
        <v>0.39485987939942707</v>
      </c>
      <c r="CX34" s="548">
        <f t="shared" si="7"/>
        <v>0.389576580567079</v>
      </c>
      <c r="CY34" s="548">
        <f t="shared" si="7"/>
        <v>0.38430683884537731</v>
      </c>
      <c r="CZ34" s="548">
        <f t="shared" si="7"/>
        <v>0.37905203528769038</v>
      </c>
      <c r="DA34" s="548">
        <f t="shared" si="7"/>
        <v>0.3738690830676295</v>
      </c>
      <c r="DB34" s="548">
        <f t="shared" si="7"/>
        <v>0</v>
      </c>
      <c r="DC34" s="548">
        <f t="shared" si="7"/>
        <v>0</v>
      </c>
      <c r="DD34" s="548">
        <f t="shared" si="7"/>
        <v>0</v>
      </c>
      <c r="DE34" s="548">
        <f t="shared" si="7"/>
        <v>0</v>
      </c>
      <c r="DF34" s="548">
        <f t="shared" si="7"/>
        <v>0</v>
      </c>
      <c r="DG34" s="548">
        <f t="shared" si="7"/>
        <v>0</v>
      </c>
      <c r="DH34" s="548">
        <f t="shared" si="7"/>
        <v>0</v>
      </c>
      <c r="DI34" s="548">
        <f t="shared" si="7"/>
        <v>0</v>
      </c>
      <c r="DJ34" s="548">
        <f t="shared" si="7"/>
        <v>0</v>
      </c>
      <c r="DK34" s="548">
        <f t="shared" si="7"/>
        <v>0</v>
      </c>
      <c r="DL34" s="548">
        <f t="shared" si="7"/>
        <v>0</v>
      </c>
      <c r="DM34" s="548">
        <f t="shared" si="7"/>
        <v>0</v>
      </c>
      <c r="DN34" s="548">
        <f t="shared" si="7"/>
        <v>0</v>
      </c>
      <c r="DO34" s="548">
        <f t="shared" si="7"/>
        <v>0</v>
      </c>
      <c r="DP34" s="548">
        <f t="shared" si="7"/>
        <v>0</v>
      </c>
      <c r="DQ34" s="548">
        <f t="shared" si="7"/>
        <v>0</v>
      </c>
      <c r="DR34" s="548">
        <f t="shared" si="7"/>
        <v>0</v>
      </c>
      <c r="DS34" s="548">
        <f t="shared" si="7"/>
        <v>0</v>
      </c>
      <c r="DT34" s="548">
        <f t="shared" si="7"/>
        <v>0</v>
      </c>
      <c r="DU34" s="548">
        <f t="shared" si="7"/>
        <v>0</v>
      </c>
      <c r="DV34" s="548">
        <f t="shared" si="7"/>
        <v>0</v>
      </c>
      <c r="DW34" s="548">
        <f t="shared" si="7"/>
        <v>0</v>
      </c>
      <c r="DX34" s="548">
        <f t="shared" si="7"/>
        <v>0</v>
      </c>
      <c r="DY34" s="548">
        <f t="shared" si="7"/>
        <v>0</v>
      </c>
      <c r="DZ34" s="548">
        <f t="shared" si="7"/>
        <v>0</v>
      </c>
      <c r="EA34" s="548">
        <f t="shared" si="7"/>
        <v>0</v>
      </c>
      <c r="EB34" s="548">
        <f t="shared" si="7"/>
        <v>0</v>
      </c>
      <c r="EC34" s="548">
        <f t="shared" si="7"/>
        <v>0</v>
      </c>
      <c r="ED34" s="548">
        <f t="shared" si="7"/>
        <v>0</v>
      </c>
      <c r="EE34" s="548">
        <f t="shared" si="7"/>
        <v>0</v>
      </c>
      <c r="EF34" s="548">
        <f t="shared" si="7"/>
        <v>0</v>
      </c>
      <c r="EG34" s="548">
        <f t="shared" si="7"/>
        <v>0</v>
      </c>
    </row>
    <row r="35" spans="5:7" ht="12.75">
      <c r="E35" s="540" t="s">
        <v>308</v>
      </c>
      <c r="F35" s="541">
        <f>SUMPRODUCT($J33:$EG33,$J34:$EG34)</f>
        <v>329732.58586017729</v>
      </c>
      <c r="G35" s="541" t="s">
        <v>30</v>
      </c>
    </row>
    <row r="37" spans="2:2" ht="12.75">
      <c r="B37" s="534" t="s">
        <v>309</v>
      </c>
    </row>
    <row r="38" spans="5:137" ht="12.75">
      <c r="E38" s="535" t="str">
        <f>Cons!E$149</f>
        <v>Senior facility - drawdown</v>
      </c>
      <c r="G38" s="537" t="str">
        <f>Cons!G$149</f>
        <v>EUR 000s</v>
      </c>
      <c r="H38" s="537">
        <f>Cons!H$149</f>
        <v>221286.6479110517</v>
      </c>
      <c r="J38" s="537">
        <f>Cons!J$149</f>
        <v>0</v>
      </c>
      <c r="K38" s="537">
        <f>Cons!K$149</f>
        <v>0</v>
      </c>
      <c r="L38" s="537">
        <f>Cons!L$149</f>
        <v>0</v>
      </c>
      <c r="M38" s="537">
        <f>Cons!M$149</f>
        <v>0</v>
      </c>
      <c r="N38" s="537">
        <f>Cons!N$149</f>
        <v>0</v>
      </c>
      <c r="O38" s="537">
        <f>Cons!O$149</f>
        <v>0</v>
      </c>
      <c r="P38" s="537">
        <f>Cons!P$149</f>
        <v>-1.8189894035458565E-12</v>
      </c>
      <c r="Q38" s="537">
        <f>Cons!Q$149</f>
        <v>0</v>
      </c>
      <c r="R38" s="537">
        <f>Cons!R$149</f>
        <v>1382.3281928992874</v>
      </c>
      <c r="S38" s="537">
        <f>Cons!S$149</f>
        <v>17980.844765662525</v>
      </c>
      <c r="T38" s="537">
        <f>Cons!T$149</f>
        <v>18373.00855600759</v>
      </c>
      <c r="U38" s="537">
        <f>Cons!U$149</f>
        <v>18794.294603184764</v>
      </c>
      <c r="V38" s="537">
        <f>Cons!V$149</f>
        <v>17560.929412437468</v>
      </c>
      <c r="W38" s="537">
        <f>Cons!W$149</f>
        <v>17427.529348846478</v>
      </c>
      <c r="X38" s="537">
        <f>Cons!X$149</f>
        <v>15736.56271752895</v>
      </c>
      <c r="Y38" s="537">
        <f>Cons!Y$149</f>
        <v>13805.731154549694</v>
      </c>
      <c r="Z38" s="537">
        <f>Cons!Z$149</f>
        <v>12901.477428191107</v>
      </c>
      <c r="AA38" s="537">
        <f>Cons!AA$149</f>
        <v>14399.761727471965</v>
      </c>
      <c r="AB38" s="537">
        <f>Cons!AB$149</f>
        <v>15143.672002923853</v>
      </c>
      <c r="AC38" s="537">
        <f>Cons!AC$149</f>
        <v>15043.412380382597</v>
      </c>
      <c r="AD38" s="537">
        <f>Cons!AD$149</f>
        <v>13719.08131146606</v>
      </c>
      <c r="AE38" s="537">
        <f>Cons!AE$149</f>
        <v>8683.3953250207269</v>
      </c>
      <c r="AF38" s="537">
        <f>Cons!AF$149</f>
        <v>6872.7289999061568</v>
      </c>
      <c r="AG38" s="537">
        <f>Cons!AG$149</f>
        <v>13461.889984572472</v>
      </c>
      <c r="AH38" s="537">
        <f>Cons!AH$149</f>
        <v>0</v>
      </c>
      <c r="AI38" s="537">
        <f>Cons!AI$149</f>
        <v>0</v>
      </c>
      <c r="AJ38" s="537">
        <f>Cons!AJ$149</f>
        <v>0</v>
      </c>
      <c r="AK38" s="537">
        <f>Cons!AK$149</f>
        <v>0</v>
      </c>
      <c r="AL38" s="537">
        <f>Cons!AL$149</f>
        <v>0</v>
      </c>
      <c r="AM38" s="537">
        <f>Cons!AM$149</f>
        <v>0</v>
      </c>
      <c r="AN38" s="537">
        <f>Cons!AN$149</f>
        <v>0</v>
      </c>
      <c r="AO38" s="537">
        <f>Cons!AO$149</f>
        <v>0</v>
      </c>
      <c r="AP38" s="537">
        <f>Cons!AP$149</f>
        <v>0</v>
      </c>
      <c r="AQ38" s="537">
        <f>Cons!AQ$149</f>
        <v>0</v>
      </c>
      <c r="AR38" s="537">
        <f>Cons!AR$149</f>
        <v>0</v>
      </c>
      <c r="AS38" s="537">
        <f>Cons!AS$149</f>
        <v>0</v>
      </c>
      <c r="AT38" s="537">
        <f>Cons!AT$149</f>
        <v>0</v>
      </c>
      <c r="AU38" s="537">
        <f>Cons!AU$149</f>
        <v>0</v>
      </c>
      <c r="AV38" s="537">
        <f>Cons!AV$149</f>
        <v>0</v>
      </c>
      <c r="AW38" s="537">
        <f>Cons!AW$149</f>
        <v>0</v>
      </c>
      <c r="AX38" s="537">
        <f>Cons!AX$149</f>
        <v>0</v>
      </c>
      <c r="AY38" s="537">
        <f>Cons!AY$149</f>
        <v>0</v>
      </c>
      <c r="AZ38" s="537">
        <f>Cons!AZ$149</f>
        <v>0</v>
      </c>
      <c r="BA38" s="537">
        <f>Cons!BA$149</f>
        <v>0</v>
      </c>
      <c r="BB38" s="537">
        <f>Cons!BB$149</f>
        <v>0</v>
      </c>
      <c r="BC38" s="537">
        <f>Cons!BC$149</f>
        <v>0</v>
      </c>
      <c r="BD38" s="537">
        <f>Cons!BD$149</f>
        <v>0</v>
      </c>
      <c r="BE38" s="537">
        <f>Cons!BE$149</f>
        <v>0</v>
      </c>
      <c r="BF38" s="537">
        <f>Cons!BF$149</f>
        <v>0</v>
      </c>
      <c r="BG38" s="537">
        <f>Cons!BG$149</f>
        <v>0</v>
      </c>
      <c r="BH38" s="537">
        <f>Cons!BH$149</f>
        <v>0</v>
      </c>
      <c r="BI38" s="537">
        <f>Cons!BI$149</f>
        <v>0</v>
      </c>
      <c r="BJ38" s="537">
        <f>Cons!BJ$149</f>
        <v>0</v>
      </c>
      <c r="BK38" s="537">
        <f>Cons!BK$149</f>
        <v>0</v>
      </c>
      <c r="BL38" s="537">
        <f>Cons!BL$149</f>
        <v>0</v>
      </c>
      <c r="BM38" s="537">
        <f>Cons!BM$149</f>
        <v>0</v>
      </c>
      <c r="BN38" s="537">
        <f>Cons!BN$149</f>
        <v>0</v>
      </c>
      <c r="BO38" s="537">
        <f>Cons!BO$149</f>
        <v>0</v>
      </c>
      <c r="BP38" s="537">
        <f>Cons!BP$149</f>
        <v>0</v>
      </c>
      <c r="BQ38" s="537">
        <f>Cons!BQ$149</f>
        <v>0</v>
      </c>
      <c r="BR38" s="537">
        <f>Cons!BR$149</f>
        <v>0</v>
      </c>
      <c r="BS38" s="537">
        <f>Cons!BS$149</f>
        <v>0</v>
      </c>
      <c r="BT38" s="537">
        <f>Cons!BT$149</f>
        <v>0</v>
      </c>
      <c r="BU38" s="537">
        <f>Cons!BU$149</f>
        <v>0</v>
      </c>
      <c r="BV38" s="537">
        <f>Cons!BV$149</f>
        <v>0</v>
      </c>
      <c r="BW38" s="537">
        <f>Cons!BW$149</f>
        <v>0</v>
      </c>
      <c r="BX38" s="537">
        <f>Cons!BX$149</f>
        <v>0</v>
      </c>
      <c r="BY38" s="537">
        <f>Cons!BY$149</f>
        <v>0</v>
      </c>
      <c r="BZ38" s="537">
        <f>Cons!BZ$149</f>
        <v>0</v>
      </c>
      <c r="CA38" s="537">
        <f>Cons!CA$149</f>
        <v>0</v>
      </c>
      <c r="CB38" s="537">
        <f>Cons!CB$149</f>
        <v>0</v>
      </c>
      <c r="CC38" s="537">
        <f>Cons!CC$149</f>
        <v>0</v>
      </c>
      <c r="CD38" s="537">
        <f>Cons!CD$149</f>
        <v>0</v>
      </c>
      <c r="CE38" s="537">
        <f>Cons!CE$149</f>
        <v>0</v>
      </c>
      <c r="CF38" s="537">
        <f>Cons!CF$149</f>
        <v>0</v>
      </c>
      <c r="CG38" s="537">
        <f>Cons!CG$149</f>
        <v>0</v>
      </c>
      <c r="CH38" s="537">
        <f>Cons!CH$149</f>
        <v>0</v>
      </c>
      <c r="CI38" s="537">
        <f>Cons!CI$149</f>
        <v>0</v>
      </c>
      <c r="CJ38" s="537">
        <f>Cons!CJ$149</f>
        <v>0</v>
      </c>
      <c r="CK38" s="537">
        <f>Cons!CK$149</f>
        <v>0</v>
      </c>
      <c r="CL38" s="537">
        <f>Cons!CL$149</f>
        <v>0</v>
      </c>
      <c r="CM38" s="537">
        <f>Cons!CM$149</f>
        <v>0</v>
      </c>
      <c r="CN38" s="537">
        <f>Cons!CN$149</f>
        <v>0</v>
      </c>
      <c r="CO38" s="537">
        <f>Cons!CO$149</f>
        <v>0</v>
      </c>
      <c r="CP38" s="537">
        <f>Cons!CP$149</f>
        <v>0</v>
      </c>
      <c r="CQ38" s="537">
        <f>Cons!CQ$149</f>
        <v>0</v>
      </c>
      <c r="CR38" s="537">
        <f>Cons!CR$149</f>
        <v>0</v>
      </c>
      <c r="CS38" s="537">
        <f>Cons!CS$149</f>
        <v>0</v>
      </c>
      <c r="CT38" s="537">
        <f>Cons!CT$149</f>
        <v>0</v>
      </c>
      <c r="CU38" s="537">
        <f>Cons!CU$149</f>
        <v>0</v>
      </c>
      <c r="CV38" s="537">
        <f>Cons!CV$149</f>
        <v>0</v>
      </c>
      <c r="CW38" s="537">
        <f>Cons!CW$149</f>
        <v>0</v>
      </c>
      <c r="CX38" s="537">
        <f>Cons!CX$149</f>
        <v>0</v>
      </c>
      <c r="CY38" s="537">
        <f>Cons!CY$149</f>
        <v>0</v>
      </c>
      <c r="CZ38" s="537">
        <f>Cons!CZ$149</f>
        <v>0</v>
      </c>
      <c r="DA38" s="537">
        <f>Cons!DA$149</f>
        <v>0</v>
      </c>
      <c r="DB38" s="537">
        <f>Cons!DB$149</f>
        <v>0</v>
      </c>
      <c r="DC38" s="537">
        <f>Cons!DC$149</f>
        <v>0</v>
      </c>
      <c r="DD38" s="537">
        <f>Cons!DD$149</f>
        <v>0</v>
      </c>
      <c r="DE38" s="537">
        <f>Cons!DE$149</f>
        <v>0</v>
      </c>
      <c r="DF38" s="537">
        <f>Cons!DF$149</f>
        <v>0</v>
      </c>
      <c r="DG38" s="537">
        <f>Cons!DG$149</f>
        <v>0</v>
      </c>
      <c r="DH38" s="537">
        <f>Cons!DH$149</f>
        <v>0</v>
      </c>
      <c r="DI38" s="537">
        <f>Cons!DI$149</f>
        <v>0</v>
      </c>
      <c r="DJ38" s="537">
        <f>Cons!DJ$149</f>
        <v>0</v>
      </c>
      <c r="DK38" s="537">
        <f>Cons!DK$149</f>
        <v>0</v>
      </c>
      <c r="DL38" s="537">
        <f>Cons!DL$149</f>
        <v>0</v>
      </c>
      <c r="DM38" s="537">
        <f>Cons!DM$149</f>
        <v>0</v>
      </c>
      <c r="DN38" s="537">
        <f>Cons!DN$149</f>
        <v>0</v>
      </c>
      <c r="DO38" s="537">
        <f>Cons!DO$149</f>
        <v>0</v>
      </c>
      <c r="DP38" s="537">
        <f>Cons!DP$149</f>
        <v>0</v>
      </c>
      <c r="DQ38" s="537">
        <f>Cons!DQ$149</f>
        <v>0</v>
      </c>
      <c r="DR38" s="537">
        <f>Cons!DR$149</f>
        <v>0</v>
      </c>
      <c r="DS38" s="537">
        <f>Cons!DS$149</f>
        <v>0</v>
      </c>
      <c r="DT38" s="537">
        <f>Cons!DT$149</f>
        <v>0</v>
      </c>
      <c r="DU38" s="537">
        <f>Cons!DU$149</f>
        <v>0</v>
      </c>
      <c r="DV38" s="537">
        <f>Cons!DV$149</f>
        <v>0</v>
      </c>
      <c r="DW38" s="537">
        <f>Cons!DW$149</f>
        <v>0</v>
      </c>
      <c r="DX38" s="537">
        <f>Cons!DX$149</f>
        <v>0</v>
      </c>
      <c r="DY38" s="537">
        <f>Cons!DY$149</f>
        <v>0</v>
      </c>
      <c r="DZ38" s="537">
        <f>Cons!DZ$149</f>
        <v>0</v>
      </c>
      <c r="EA38" s="537">
        <f>Cons!EA$149</f>
        <v>0</v>
      </c>
      <c r="EB38" s="537">
        <f>Cons!EB$149</f>
        <v>0</v>
      </c>
      <c r="EC38" s="537">
        <f>Cons!EC$149</f>
        <v>0</v>
      </c>
      <c r="ED38" s="537">
        <f>Cons!ED$149</f>
        <v>0</v>
      </c>
      <c r="EE38" s="537">
        <f>Cons!EE$149</f>
        <v>0</v>
      </c>
      <c r="EF38" s="537">
        <f>Cons!EF$149</f>
        <v>0</v>
      </c>
      <c r="EG38" s="537">
        <f>Cons!EG$149</f>
        <v>0</v>
      </c>
    </row>
    <row r="39" spans="5:7" ht="12.75">
      <c r="E39" s="538" t="s">
        <v>310</v>
      </c>
      <c r="F39" s="539">
        <f>SUM($J38:$EG38)</f>
        <v>221286.6479110517</v>
      </c>
      <c r="G39" s="539" t="s">
        <v>30</v>
      </c>
    </row>
    <row r="41" spans="5:7" ht="12.75">
      <c r="E41" s="535" t="str">
        <f>InpC!E$74</f>
        <v>Senior facility - target DSCR</v>
      </c>
      <c r="F41" s="547">
        <f>InpC!F$74</f>
        <v>1.3</v>
      </c>
      <c r="G41" s="547" t="str">
        <f>InpC!G$74</f>
        <v>ratio</v>
      </c>
    </row>
    <row r="42" spans="5:7" ht="12.75">
      <c r="E42" s="535" t="str">
        <f>InpC!E$128</f>
        <v>Check tolerance</v>
      </c>
      <c r="F42" s="537">
        <f>InpC!F$128</f>
        <v>0.001</v>
      </c>
      <c r="G42" s="537" t="str">
        <f>InpC!G$128</f>
        <v>EUR 000s</v>
      </c>
    </row>
    <row r="43" spans="5:7" ht="12.75">
      <c r="E43" s="535" t="str">
        <f>Solve!E$26</f>
        <v>Senior facility - debt capacity solver paste</v>
      </c>
      <c r="F43" s="537">
        <f>Solve!F$26</f>
        <v>329732.58586017729</v>
      </c>
      <c r="G43" s="537" t="str">
        <f>Solve!G$26</f>
        <v>EUR 000s</v>
      </c>
    </row>
    <row r="44" spans="5:7" ht="12.75">
      <c r="E44" s="538" t="str">
        <f>E$39</f>
        <v>Senior facility - balance at COD</v>
      </c>
      <c r="F44" s="539">
        <f>F$39</f>
        <v>221286.6479110517</v>
      </c>
      <c r="G44" s="539" t="str">
        <f>G$39</f>
        <v>EUR 000s</v>
      </c>
    </row>
    <row r="45" spans="5:7" ht="12.75">
      <c r="E45" s="538" t="s">
        <v>311</v>
      </c>
      <c r="F45" s="548">
        <f>IF($F44&lt;=$F42,$F41,$F41*MAX(1,$F43/$F44))</f>
        <v>1.9370909436457795</v>
      </c>
      <c r="G45" s="548" t="s">
        <v>68</v>
      </c>
    </row>
    <row r="47" spans="5:7" ht="12.75">
      <c r="E47" s="538" t="str">
        <f>E$45</f>
        <v>Senior facility - effective sculpting DSCR</v>
      </c>
      <c r="F47" s="548">
        <f>F$45</f>
        <v>1.9370909436457795</v>
      </c>
      <c r="G47" s="548" t="str">
        <f>G$45</f>
        <v>ratio</v>
      </c>
    </row>
    <row r="48" spans="5:137" ht="12.75">
      <c r="E48" s="535" t="str">
        <f>Waterfall!E$14</f>
        <v>Cash flow available for debt service</v>
      </c>
      <c r="G48" s="537" t="str">
        <f>Waterfall!G$14</f>
        <v>EUR 000s</v>
      </c>
      <c r="H48" s="537">
        <f>Waterfall!H$14</f>
        <v>957377.69580628083</v>
      </c>
      <c r="J48" s="537">
        <f>Waterfall!J$14</f>
        <v>0</v>
      </c>
      <c r="K48" s="537">
        <f>Waterfall!K$14</f>
        <v>0</v>
      </c>
      <c r="L48" s="537">
        <f>Waterfall!L$14</f>
        <v>0</v>
      </c>
      <c r="M48" s="537">
        <f>Waterfall!M$14</f>
        <v>0</v>
      </c>
      <c r="N48" s="537">
        <f>Waterfall!N$14</f>
        <v>0</v>
      </c>
      <c r="O48" s="537">
        <f>Waterfall!O$14</f>
        <v>0</v>
      </c>
      <c r="P48" s="537">
        <f>Waterfall!P$14</f>
        <v>0</v>
      </c>
      <c r="Q48" s="537">
        <f>Waterfall!Q$14</f>
        <v>0</v>
      </c>
      <c r="R48" s="537">
        <f>Waterfall!R$14</f>
        <v>0</v>
      </c>
      <c r="S48" s="537">
        <f>Waterfall!S$14</f>
        <v>0</v>
      </c>
      <c r="T48" s="537">
        <f>Waterfall!T$14</f>
        <v>0</v>
      </c>
      <c r="U48" s="537">
        <f>Waterfall!U$14</f>
        <v>0</v>
      </c>
      <c r="V48" s="537">
        <f>Waterfall!V$14</f>
        <v>0</v>
      </c>
      <c r="W48" s="537">
        <f>Waterfall!W$14</f>
        <v>0</v>
      </c>
      <c r="X48" s="537">
        <f>Waterfall!X$14</f>
        <v>0</v>
      </c>
      <c r="Y48" s="537">
        <f>Waterfall!Y$14</f>
        <v>0</v>
      </c>
      <c r="Z48" s="537">
        <f>Waterfall!Z$14</f>
        <v>0</v>
      </c>
      <c r="AA48" s="537">
        <f>Waterfall!AA$14</f>
        <v>0</v>
      </c>
      <c r="AB48" s="537">
        <f>Waterfall!AB$14</f>
        <v>0</v>
      </c>
      <c r="AC48" s="537">
        <f>Waterfall!AC$14</f>
        <v>0</v>
      </c>
      <c r="AD48" s="537">
        <f>Waterfall!AD$14</f>
        <v>0</v>
      </c>
      <c r="AE48" s="537">
        <f>Waterfall!AE$14</f>
        <v>0</v>
      </c>
      <c r="AF48" s="537">
        <f>Waterfall!AF$14</f>
        <v>0</v>
      </c>
      <c r="AG48" s="537">
        <f>Waterfall!AG$14</f>
        <v>0</v>
      </c>
      <c r="AH48" s="537">
        <f>Waterfall!AH$14</f>
        <v>7126.237686929222</v>
      </c>
      <c r="AI48" s="537">
        <f>Waterfall!AI$14</f>
        <v>9016.0731055402921</v>
      </c>
      <c r="AJ48" s="537">
        <f>Waterfall!AJ$14</f>
        <v>9015.6345801481111</v>
      </c>
      <c r="AK48" s="537">
        <f>Waterfall!AK$14</f>
        <v>8995.9009374999987</v>
      </c>
      <c r="AL48" s="537">
        <f>Waterfall!AL$14</f>
        <v>9091.9020262907597</v>
      </c>
      <c r="AM48" s="537">
        <f>Waterfall!AM$14</f>
        <v>9174.3408567135994</v>
      </c>
      <c r="AN48" s="537">
        <f>Waterfall!AN$14</f>
        <v>9173.8970475662918</v>
      </c>
      <c r="AO48" s="537">
        <f>Waterfall!AO$14</f>
        <v>9153.9256359374995</v>
      </c>
      <c r="AP48" s="537">
        <f>Waterfall!AP$14</f>
        <v>9251.9761612487546</v>
      </c>
      <c r="AQ48" s="537">
        <f>Waterfall!AQ$14</f>
        <v>9335.2061944272264</v>
      </c>
      <c r="AR48" s="537">
        <f>Waterfall!AR$14</f>
        <v>9334.7570856154598</v>
      </c>
      <c r="AS48" s="537">
        <f>Waterfall!AS$14</f>
        <v>9314.5471890859371</v>
      </c>
      <c r="AT48" s="537">
        <f>Waterfall!AT$14</f>
        <v>9435.594366845693</v>
      </c>
      <c r="AU48" s="537">
        <f>Waterfall!AU$14</f>
        <v>9477.8014538705866</v>
      </c>
      <c r="AV48" s="537">
        <f>Waterfall!AV$14</f>
        <v>9498.2504502967968</v>
      </c>
      <c r="AW48" s="537">
        <f>Waterfall!AW$14</f>
        <v>9473.4373793076247</v>
      </c>
      <c r="AX48" s="537">
        <f>Waterfall!AX$14</f>
        <v>9580.0831993996253</v>
      </c>
      <c r="AY48" s="537">
        <f>Waterfall!AY$14</f>
        <v>9664.8728945221992</v>
      </c>
      <c r="AZ48" s="537">
        <f>Waterfall!AZ$14</f>
        <v>9664.4131477429219</v>
      </c>
      <c r="BA48" s="537">
        <f>Waterfall!BA$14</f>
        <v>9639.0105450525571</v>
      </c>
      <c r="BB48" s="537">
        <f>Waterfall!BB$14</f>
        <v>9624.8356590516014</v>
      </c>
      <c r="BC48" s="537">
        <f>Waterfall!BC$14</f>
        <v>9692.7614236034206</v>
      </c>
      <c r="BD48" s="537">
        <f>Waterfall!BD$14</f>
        <v>9675.4589885497153</v>
      </c>
      <c r="BE48" s="537">
        <f>Waterfall!BE$14</f>
        <v>9638.4507040270382</v>
      </c>
      <c r="BF48" s="537">
        <f>Waterfall!BF$14</f>
        <v>9720.7935908740237</v>
      </c>
      <c r="BG48" s="537">
        <f>Waterfall!BG$14</f>
        <v>9792.4419929069136</v>
      </c>
      <c r="BH48" s="537">
        <f>Waterfall!BH$14</f>
        <v>9777.9664363635275</v>
      </c>
      <c r="BI48" s="537">
        <f>Waterfall!BI$14</f>
        <v>9743.4226351504403</v>
      </c>
      <c r="BJ48" s="537">
        <f>Waterfall!BJ$14</f>
        <v>9852.3659888687216</v>
      </c>
      <c r="BK48" s="537">
        <f>Waterfall!BK$14</f>
        <v>9883.4572104947692</v>
      </c>
      <c r="BL48" s="537">
        <f>Waterfall!BL$14</f>
        <v>9893.2172202296188</v>
      </c>
      <c r="BM48" s="537">
        <f>Waterfall!BM$14</f>
        <v>9860.6827761879267</v>
      </c>
      <c r="BN48" s="537">
        <f>Waterfall!BN$14</f>
        <v>9952.0687470832363</v>
      </c>
      <c r="BO48" s="537">
        <f>Waterfall!BO$14</f>
        <v>10029.716525225305</v>
      </c>
      <c r="BP48" s="537">
        <f>Waterfall!BP$14</f>
        <v>10019.545629405566</v>
      </c>
      <c r="BQ48" s="537">
        <f>Waterfall!BQ$14</f>
        <v>9988.6420767608051</v>
      </c>
      <c r="BR48" s="537">
        <f>Waterfall!BR$14</f>
        <v>10187.369081549388</v>
      </c>
      <c r="BS48" s="537">
        <f>Waterfall!BS$14</f>
        <v>10267.445354990101</v>
      </c>
      <c r="BT48" s="537">
        <f>Waterfall!BT$14</f>
        <v>10258.899041178202</v>
      </c>
      <c r="BU48" s="537">
        <f>Waterfall!BU$14</f>
        <v>10229.311707665833</v>
      </c>
      <c r="BV48" s="537">
        <f>Waterfall!BV$14</f>
        <v>10058.731640444626</v>
      </c>
      <c r="BW48" s="537">
        <f>Waterfall!BW$14</f>
        <v>9344.5455321133577</v>
      </c>
      <c r="BX48" s="537">
        <f>Waterfall!BX$14</f>
        <v>9321.7067066273194</v>
      </c>
      <c r="BY48" s="537">
        <f>Waterfall!BY$14</f>
        <v>9278.2350148653059</v>
      </c>
      <c r="BZ48" s="537">
        <f>Waterfall!BZ$14</f>
        <v>9366.820362658149</v>
      </c>
      <c r="CA48" s="537">
        <f>Waterfall!CA$14</f>
        <v>9391.5394041324525</v>
      </c>
      <c r="CB48" s="537">
        <f>Waterfall!CB$14</f>
        <v>9325.6587104719256</v>
      </c>
      <c r="CC48" s="537">
        <f>Waterfall!CC$14</f>
        <v>8945.0439358883377</v>
      </c>
      <c r="CD48" s="537">
        <f>Waterfall!CD$14</f>
        <v>8979.3486456163082</v>
      </c>
      <c r="CE48" s="537">
        <f>Waterfall!CE$14</f>
        <v>9046.6164747550774</v>
      </c>
      <c r="CF48" s="537">
        <f>Waterfall!CF$14</f>
        <v>9023.0377831656751</v>
      </c>
      <c r="CG48" s="537">
        <f>Waterfall!CG$14</f>
        <v>8973.8419199923192</v>
      </c>
      <c r="CH48" s="537">
        <f>Waterfall!CH$14</f>
        <v>9016.1509382852164</v>
      </c>
      <c r="CI48" s="537">
        <f>Waterfall!CI$14</f>
        <v>9085.5959504342063</v>
      </c>
      <c r="CJ48" s="537">
        <f>Waterfall!CJ$14</f>
        <v>9063.3706202664835</v>
      </c>
      <c r="CK48" s="537">
        <f>Waterfall!CK$14</f>
        <v>9015.6767110387427</v>
      </c>
      <c r="CL48" s="537">
        <f>Waterfall!CL$14</f>
        <v>9619.2585844250625</v>
      </c>
      <c r="CM48" s="537">
        <f>Waterfall!CM$14</f>
        <v>9689.331069373402</v>
      </c>
      <c r="CN48" s="537">
        <f>Waterfall!CN$14</f>
        <v>9666.913390670883</v>
      </c>
      <c r="CO48" s="537">
        <f>Waterfall!CO$14</f>
        <v>9619.2269425792711</v>
      </c>
      <c r="CP48" s="537">
        <f>Waterfall!CP$14</f>
        <v>9139.1530462928586</v>
      </c>
      <c r="CQ48" s="537">
        <f>Waterfall!CQ$14</f>
        <v>9160.9563368827476</v>
      </c>
      <c r="CR48" s="537">
        <f>Waterfall!CR$14</f>
        <v>9163.7163616976522</v>
      </c>
      <c r="CS48" s="537">
        <f>Waterfall!CS$14</f>
        <v>9117.6240403708798</v>
      </c>
      <c r="CT48" s="537">
        <f>Waterfall!CT$14</f>
        <v>9172.7758942782111</v>
      </c>
      <c r="CU48" s="537">
        <f>Waterfall!CU$14</f>
        <v>9245.5507180696623</v>
      </c>
      <c r="CV48" s="537">
        <f>Waterfall!CV$14</f>
        <v>9224.3980348323803</v>
      </c>
      <c r="CW48" s="537">
        <f>Waterfall!CW$14</f>
        <v>9178.5813878150875</v>
      </c>
      <c r="CX48" s="537">
        <f>Waterfall!CX$14</f>
        <v>9237.5047308263493</v>
      </c>
      <c r="CY48" s="537">
        <f>Waterfall!CY$14</f>
        <v>9310.5837191884038</v>
      </c>
      <c r="CZ48" s="537">
        <f>Waterfall!CZ$14</f>
        <v>9289.0498453167329</v>
      </c>
      <c r="DA48" s="537">
        <f>Waterfall!DA$14</f>
        <v>9243.2109589200554</v>
      </c>
      <c r="DB48" s="537">
        <f>Waterfall!DB$14</f>
        <v>9250.1759971050742</v>
      </c>
      <c r="DC48" s="537">
        <f>Waterfall!DC$14</f>
        <v>9339.0671459746045</v>
      </c>
      <c r="DD48" s="537">
        <f>Waterfall!DD$14</f>
        <v>9333.4126291791054</v>
      </c>
      <c r="DE48" s="537">
        <f>Waterfall!DE$14</f>
        <v>9304.4998770319035</v>
      </c>
      <c r="DF48" s="537">
        <f>Waterfall!DF$14</f>
        <v>10042.297500103878</v>
      </c>
      <c r="DG48" s="537">
        <f>Waterfall!DG$14</f>
        <v>10083.037086594606</v>
      </c>
      <c r="DH48" s="537">
        <f>Waterfall!DH$14</f>
        <v>10103.030440845592</v>
      </c>
      <c r="DI48" s="537">
        <f>Waterfall!DI$14</f>
        <v>10074.710093976457</v>
      </c>
      <c r="DJ48" s="537">
        <f>Waterfall!DJ$14</f>
        <v>9531.0000277068248</v>
      </c>
      <c r="DK48" s="537">
        <f>Waterfall!DK$14</f>
        <v>9622.5760692221538</v>
      </c>
      <c r="DL48" s="537">
        <f>Waterfall!DL$14</f>
        <v>9618.4891847043327</v>
      </c>
      <c r="DM48" s="537">
        <f>Waterfall!DM$14</f>
        <v>9590.6249782264968</v>
      </c>
      <c r="DN48" s="537">
        <f>Waterfall!DN$14</f>
        <v>9679.6513243283043</v>
      </c>
      <c r="DO48" s="537">
        <f>Waterfall!DO$14</f>
        <v>9772.3259446832872</v>
      </c>
      <c r="DP48" s="537">
        <f>Waterfall!DP$14</f>
        <v>9768.8299907587207</v>
      </c>
      <c r="DQ48" s="537">
        <f>Waterfall!DQ$14</f>
        <v>9741.3091688148925</v>
      </c>
      <c r="DR48" s="537">
        <f>Waterfall!DR$14</f>
        <v>9833.1752700445759</v>
      </c>
      <c r="DS48" s="537">
        <f>Waterfall!DS$14</f>
        <v>9926.8134161951511</v>
      </c>
      <c r="DT48" s="537">
        <f>Waterfall!DT$14</f>
        <v>9923.8082057289866</v>
      </c>
      <c r="DU48" s="537">
        <f>Waterfall!DU$14</f>
        <v>9896.5376166003607</v>
      </c>
      <c r="DV48" s="537">
        <f>Waterfall!DV$14</f>
        <v>10016.918852742816</v>
      </c>
      <c r="DW48" s="537">
        <f>Waterfall!DW$14</f>
        <v>10059.983606963106</v>
      </c>
      <c r="DX48" s="537">
        <f>Waterfall!DX$14</f>
        <v>10083.094712487115</v>
      </c>
      <c r="DY48" s="537">
        <f>Waterfall!DY$14</f>
        <v>10055.997562626802</v>
      </c>
      <c r="DZ48" s="537">
        <f>Waterfall!DZ$14</f>
        <v>10153.459517752461</v>
      </c>
      <c r="EA48" s="537">
        <f>Waterfall!EA$14</f>
        <v>10248.680194721674</v>
      </c>
      <c r="EB48" s="537">
        <f>Waterfall!EB$14</f>
        <v>10246.420544942679</v>
      </c>
      <c r="EC48" s="537">
        <f>Waterfall!EC$14</f>
        <v>10948.88102751593</v>
      </c>
      <c r="ED48" s="537">
        <f>Waterfall!ED$14</f>
        <v>2308.4176722004668</v>
      </c>
      <c r="EE48" s="537">
        <f>Waterfall!EE$14</f>
        <v>0</v>
      </c>
      <c r="EF48" s="537">
        <f>Waterfall!EF$14</f>
        <v>0</v>
      </c>
      <c r="EG48" s="537">
        <f>Waterfall!EG$14</f>
        <v>0</v>
      </c>
    </row>
    <row r="49" spans="5:137" ht="12.75">
      <c r="E49" s="538" t="str">
        <f>E$15</f>
        <v>Senior facility - repayment period flag</v>
      </c>
      <c r="G49" s="539" t="str">
        <f>G$15</f>
        <v>flag</v>
      </c>
      <c r="H49" s="539">
        <f>H$15</f>
        <v>72</v>
      </c>
      <c r="J49" s="539">
        <f t="shared" si="8" ref="J49:EG49">J$15</f>
        <v>0</v>
      </c>
      <c r="K49" s="539">
        <f t="shared" si="8"/>
        <v>0</v>
      </c>
      <c r="L49" s="539">
        <f t="shared" si="8"/>
        <v>0</v>
      </c>
      <c r="M49" s="539">
        <f t="shared" si="8"/>
        <v>0</v>
      </c>
      <c r="N49" s="539">
        <f t="shared" si="8"/>
        <v>0</v>
      </c>
      <c r="O49" s="539">
        <f t="shared" si="8"/>
        <v>0</v>
      </c>
      <c r="P49" s="539">
        <f t="shared" si="8"/>
        <v>0</v>
      </c>
      <c r="Q49" s="539">
        <f t="shared" si="8"/>
        <v>0</v>
      </c>
      <c r="R49" s="539">
        <f t="shared" si="8"/>
        <v>0</v>
      </c>
      <c r="S49" s="539">
        <f t="shared" si="8"/>
        <v>0</v>
      </c>
      <c r="T49" s="539">
        <f t="shared" si="8"/>
        <v>0</v>
      </c>
      <c r="U49" s="539">
        <f t="shared" si="8"/>
        <v>0</v>
      </c>
      <c r="V49" s="539">
        <f t="shared" si="8"/>
        <v>0</v>
      </c>
      <c r="W49" s="539">
        <f t="shared" si="8"/>
        <v>0</v>
      </c>
      <c r="X49" s="539">
        <f t="shared" si="8"/>
        <v>0</v>
      </c>
      <c r="Y49" s="539">
        <f t="shared" si="8"/>
        <v>0</v>
      </c>
      <c r="Z49" s="539">
        <f t="shared" si="8"/>
        <v>0</v>
      </c>
      <c r="AA49" s="539">
        <f t="shared" si="8"/>
        <v>0</v>
      </c>
      <c r="AB49" s="539">
        <f t="shared" si="8"/>
        <v>0</v>
      </c>
      <c r="AC49" s="539">
        <f t="shared" si="8"/>
        <v>0</v>
      </c>
      <c r="AD49" s="539">
        <f t="shared" si="8"/>
        <v>0</v>
      </c>
      <c r="AE49" s="539">
        <f t="shared" si="8"/>
        <v>0</v>
      </c>
      <c r="AF49" s="539">
        <f t="shared" si="8"/>
        <v>0</v>
      </c>
      <c r="AG49" s="539">
        <f t="shared" si="8"/>
        <v>0</v>
      </c>
      <c r="AH49" s="539">
        <f t="shared" si="8"/>
        <v>1</v>
      </c>
      <c r="AI49" s="539">
        <f t="shared" si="8"/>
        <v>1</v>
      </c>
      <c r="AJ49" s="539">
        <f t="shared" si="8"/>
        <v>1</v>
      </c>
      <c r="AK49" s="539">
        <f t="shared" si="8"/>
        <v>1</v>
      </c>
      <c r="AL49" s="539">
        <f t="shared" si="8"/>
        <v>1</v>
      </c>
      <c r="AM49" s="539">
        <f t="shared" si="8"/>
        <v>1</v>
      </c>
      <c r="AN49" s="539">
        <f t="shared" si="8"/>
        <v>1</v>
      </c>
      <c r="AO49" s="539">
        <f t="shared" si="8"/>
        <v>1</v>
      </c>
      <c r="AP49" s="539">
        <f t="shared" si="8"/>
        <v>1</v>
      </c>
      <c r="AQ49" s="539">
        <f t="shared" si="8"/>
        <v>1</v>
      </c>
      <c r="AR49" s="539">
        <f t="shared" si="8"/>
        <v>1</v>
      </c>
      <c r="AS49" s="539">
        <f t="shared" si="8"/>
        <v>1</v>
      </c>
      <c r="AT49" s="539">
        <f t="shared" si="8"/>
        <v>1</v>
      </c>
      <c r="AU49" s="539">
        <f t="shared" si="8"/>
        <v>1</v>
      </c>
      <c r="AV49" s="539">
        <f t="shared" si="8"/>
        <v>1</v>
      </c>
      <c r="AW49" s="539">
        <f t="shared" si="8"/>
        <v>1</v>
      </c>
      <c r="AX49" s="539">
        <f t="shared" si="8"/>
        <v>1</v>
      </c>
      <c r="AY49" s="539">
        <f t="shared" si="8"/>
        <v>1</v>
      </c>
      <c r="AZ49" s="539">
        <f t="shared" si="8"/>
        <v>1</v>
      </c>
      <c r="BA49" s="539">
        <f t="shared" si="8"/>
        <v>1</v>
      </c>
      <c r="BB49" s="539">
        <f t="shared" si="8"/>
        <v>1</v>
      </c>
      <c r="BC49" s="539">
        <f t="shared" si="8"/>
        <v>1</v>
      </c>
      <c r="BD49" s="539">
        <f t="shared" si="8"/>
        <v>1</v>
      </c>
      <c r="BE49" s="539">
        <f t="shared" si="8"/>
        <v>1</v>
      </c>
      <c r="BF49" s="539">
        <f t="shared" si="8"/>
        <v>1</v>
      </c>
      <c r="BG49" s="539">
        <f t="shared" si="8"/>
        <v>1</v>
      </c>
      <c r="BH49" s="539">
        <f t="shared" si="8"/>
        <v>1</v>
      </c>
      <c r="BI49" s="539">
        <f t="shared" si="8"/>
        <v>1</v>
      </c>
      <c r="BJ49" s="539">
        <f t="shared" si="8"/>
        <v>1</v>
      </c>
      <c r="BK49" s="539">
        <f t="shared" si="8"/>
        <v>1</v>
      </c>
      <c r="BL49" s="539">
        <f t="shared" si="8"/>
        <v>1</v>
      </c>
      <c r="BM49" s="539">
        <f t="shared" si="8"/>
        <v>1</v>
      </c>
      <c r="BN49" s="539">
        <f t="shared" si="8"/>
        <v>1</v>
      </c>
      <c r="BO49" s="539">
        <f t="shared" si="8"/>
        <v>1</v>
      </c>
      <c r="BP49" s="539">
        <f t="shared" si="8"/>
        <v>1</v>
      </c>
      <c r="BQ49" s="539">
        <f t="shared" si="8"/>
        <v>1</v>
      </c>
      <c r="BR49" s="539">
        <f t="shared" si="8"/>
        <v>1</v>
      </c>
      <c r="BS49" s="539">
        <f t="shared" si="8"/>
        <v>1</v>
      </c>
      <c r="BT49" s="539">
        <f t="shared" si="8"/>
        <v>1</v>
      </c>
      <c r="BU49" s="539">
        <f t="shared" si="8"/>
        <v>1</v>
      </c>
      <c r="BV49" s="539">
        <f t="shared" si="8"/>
        <v>1</v>
      </c>
      <c r="BW49" s="539">
        <f t="shared" si="8"/>
        <v>1</v>
      </c>
      <c r="BX49" s="539">
        <f t="shared" si="8"/>
        <v>1</v>
      </c>
      <c r="BY49" s="539">
        <f t="shared" si="8"/>
        <v>1</v>
      </c>
      <c r="BZ49" s="539">
        <f t="shared" si="8"/>
        <v>1</v>
      </c>
      <c r="CA49" s="539">
        <f t="shared" si="8"/>
        <v>1</v>
      </c>
      <c r="CB49" s="539">
        <f t="shared" si="8"/>
        <v>1</v>
      </c>
      <c r="CC49" s="539">
        <f t="shared" si="8"/>
        <v>1</v>
      </c>
      <c r="CD49" s="539">
        <f t="shared" si="8"/>
        <v>1</v>
      </c>
      <c r="CE49" s="539">
        <f t="shared" si="8"/>
        <v>1</v>
      </c>
      <c r="CF49" s="539">
        <f t="shared" si="8"/>
        <v>1</v>
      </c>
      <c r="CG49" s="539">
        <f t="shared" si="8"/>
        <v>1</v>
      </c>
      <c r="CH49" s="539">
        <f t="shared" si="8"/>
        <v>1</v>
      </c>
      <c r="CI49" s="539">
        <f t="shared" si="8"/>
        <v>1</v>
      </c>
      <c r="CJ49" s="539">
        <f t="shared" si="8"/>
        <v>1</v>
      </c>
      <c r="CK49" s="539">
        <f t="shared" si="8"/>
        <v>1</v>
      </c>
      <c r="CL49" s="539">
        <f t="shared" si="8"/>
        <v>1</v>
      </c>
      <c r="CM49" s="539">
        <f t="shared" si="8"/>
        <v>1</v>
      </c>
      <c r="CN49" s="539">
        <f t="shared" si="8"/>
        <v>1</v>
      </c>
      <c r="CO49" s="539">
        <f t="shared" si="8"/>
        <v>1</v>
      </c>
      <c r="CP49" s="539">
        <f t="shared" si="8"/>
        <v>1</v>
      </c>
      <c r="CQ49" s="539">
        <f t="shared" si="8"/>
        <v>1</v>
      </c>
      <c r="CR49" s="539">
        <f t="shared" si="8"/>
        <v>1</v>
      </c>
      <c r="CS49" s="539">
        <f t="shared" si="8"/>
        <v>1</v>
      </c>
      <c r="CT49" s="539">
        <f t="shared" si="8"/>
        <v>1</v>
      </c>
      <c r="CU49" s="539">
        <f t="shared" si="8"/>
        <v>1</v>
      </c>
      <c r="CV49" s="539">
        <f t="shared" si="8"/>
        <v>1</v>
      </c>
      <c r="CW49" s="539">
        <f t="shared" si="8"/>
        <v>1</v>
      </c>
      <c r="CX49" s="539">
        <f t="shared" si="8"/>
        <v>1</v>
      </c>
      <c r="CY49" s="539">
        <f t="shared" si="8"/>
        <v>1</v>
      </c>
      <c r="CZ49" s="539">
        <f t="shared" si="8"/>
        <v>1</v>
      </c>
      <c r="DA49" s="539">
        <f t="shared" si="8"/>
        <v>1</v>
      </c>
      <c r="DB49" s="539">
        <f t="shared" si="8"/>
        <v>0</v>
      </c>
      <c r="DC49" s="539">
        <f t="shared" si="8"/>
        <v>0</v>
      </c>
      <c r="DD49" s="539">
        <f t="shared" si="8"/>
        <v>0</v>
      </c>
      <c r="DE49" s="539">
        <f t="shared" si="8"/>
        <v>0</v>
      </c>
      <c r="DF49" s="539">
        <f t="shared" si="8"/>
        <v>0</v>
      </c>
      <c r="DG49" s="539">
        <f t="shared" si="8"/>
        <v>0</v>
      </c>
      <c r="DH49" s="539">
        <f t="shared" si="8"/>
        <v>0</v>
      </c>
      <c r="DI49" s="539">
        <f t="shared" si="8"/>
        <v>0</v>
      </c>
      <c r="DJ49" s="539">
        <f t="shared" si="8"/>
        <v>0</v>
      </c>
      <c r="DK49" s="539">
        <f t="shared" si="8"/>
        <v>0</v>
      </c>
      <c r="DL49" s="539">
        <f t="shared" si="8"/>
        <v>0</v>
      </c>
      <c r="DM49" s="539">
        <f t="shared" si="8"/>
        <v>0</v>
      </c>
      <c r="DN49" s="539">
        <f t="shared" si="8"/>
        <v>0</v>
      </c>
      <c r="DO49" s="539">
        <f t="shared" si="8"/>
        <v>0</v>
      </c>
      <c r="DP49" s="539">
        <f t="shared" si="8"/>
        <v>0</v>
      </c>
      <c r="DQ49" s="539">
        <f t="shared" si="8"/>
        <v>0</v>
      </c>
      <c r="DR49" s="539">
        <f t="shared" si="8"/>
        <v>0</v>
      </c>
      <c r="DS49" s="539">
        <f t="shared" si="8"/>
        <v>0</v>
      </c>
      <c r="DT49" s="539">
        <f t="shared" si="8"/>
        <v>0</v>
      </c>
      <c r="DU49" s="539">
        <f t="shared" si="8"/>
        <v>0</v>
      </c>
      <c r="DV49" s="539">
        <f t="shared" si="8"/>
        <v>0</v>
      </c>
      <c r="DW49" s="539">
        <f t="shared" si="8"/>
        <v>0</v>
      </c>
      <c r="DX49" s="539">
        <f t="shared" si="8"/>
        <v>0</v>
      </c>
      <c r="DY49" s="539">
        <f t="shared" si="8"/>
        <v>0</v>
      </c>
      <c r="DZ49" s="539">
        <f t="shared" si="8"/>
        <v>0</v>
      </c>
      <c r="EA49" s="539">
        <f t="shared" si="8"/>
        <v>0</v>
      </c>
      <c r="EB49" s="539">
        <f t="shared" si="8"/>
        <v>0</v>
      </c>
      <c r="EC49" s="539">
        <f t="shared" si="8"/>
        <v>0</v>
      </c>
      <c r="ED49" s="539">
        <f t="shared" si="8"/>
        <v>0</v>
      </c>
      <c r="EE49" s="539">
        <f t="shared" si="8"/>
        <v>0</v>
      </c>
      <c r="EF49" s="539">
        <f t="shared" si="8"/>
        <v>0</v>
      </c>
      <c r="EG49" s="539">
        <f t="shared" si="8"/>
        <v>0</v>
      </c>
    </row>
    <row r="50" spans="5:137" ht="12.75">
      <c r="E50" s="538" t="s">
        <v>312</v>
      </c>
      <c r="G50" s="539" t="s">
        <v>30</v>
      </c>
      <c r="H50" s="539">
        <f>SUM(J50:EG50)</f>
        <v>350432.93778912676</v>
      </c>
      <c r="J50" s="539">
        <f t="shared" si="9" ref="J50:EG50">J48/$F47*J49</f>
        <v>0</v>
      </c>
      <c r="K50" s="539">
        <f t="shared" si="9"/>
        <v>0</v>
      </c>
      <c r="L50" s="539">
        <f t="shared" si="9"/>
        <v>0</v>
      </c>
      <c r="M50" s="539">
        <f t="shared" si="9"/>
        <v>0</v>
      </c>
      <c r="N50" s="539">
        <f t="shared" si="9"/>
        <v>0</v>
      </c>
      <c r="O50" s="539">
        <f t="shared" si="9"/>
        <v>0</v>
      </c>
      <c r="P50" s="539">
        <f t="shared" si="9"/>
        <v>0</v>
      </c>
      <c r="Q50" s="539">
        <f t="shared" si="9"/>
        <v>0</v>
      </c>
      <c r="R50" s="539">
        <f t="shared" si="9"/>
        <v>0</v>
      </c>
      <c r="S50" s="539">
        <f t="shared" si="9"/>
        <v>0</v>
      </c>
      <c r="T50" s="539">
        <f t="shared" si="9"/>
        <v>0</v>
      </c>
      <c r="U50" s="539">
        <f t="shared" si="9"/>
        <v>0</v>
      </c>
      <c r="V50" s="539">
        <f t="shared" si="9"/>
        <v>0</v>
      </c>
      <c r="W50" s="539">
        <f t="shared" si="9"/>
        <v>0</v>
      </c>
      <c r="X50" s="539">
        <f t="shared" si="9"/>
        <v>0</v>
      </c>
      <c r="Y50" s="539">
        <f t="shared" si="9"/>
        <v>0</v>
      </c>
      <c r="Z50" s="539">
        <f t="shared" si="9"/>
        <v>0</v>
      </c>
      <c r="AA50" s="539">
        <f t="shared" si="9"/>
        <v>0</v>
      </c>
      <c r="AB50" s="539">
        <f t="shared" si="9"/>
        <v>0</v>
      </c>
      <c r="AC50" s="539">
        <f t="shared" si="9"/>
        <v>0</v>
      </c>
      <c r="AD50" s="539">
        <f t="shared" si="9"/>
        <v>0</v>
      </c>
      <c r="AE50" s="539">
        <f t="shared" si="9"/>
        <v>0</v>
      </c>
      <c r="AF50" s="539">
        <f t="shared" si="9"/>
        <v>0</v>
      </c>
      <c r="AG50" s="539">
        <f t="shared" si="9"/>
        <v>0</v>
      </c>
      <c r="AH50" s="539">
        <f t="shared" si="9"/>
        <v>3678.8348581698501</v>
      </c>
      <c r="AI50" s="539">
        <f t="shared" si="9"/>
        <v>4654.4397593286103</v>
      </c>
      <c r="AJ50" s="539">
        <f t="shared" si="9"/>
        <v>4654.2133758469154</v>
      </c>
      <c r="AK50" s="539">
        <f t="shared" si="9"/>
        <v>4644.0261191706895</v>
      </c>
      <c r="AL50" s="539">
        <f t="shared" si="9"/>
        <v>4693.5855314975461</v>
      </c>
      <c r="AM50" s="539">
        <f t="shared" si="9"/>
        <v>4736.1435903709635</v>
      </c>
      <c r="AN50" s="539">
        <f t="shared" si="9"/>
        <v>4735.9144792139659</v>
      </c>
      <c r="AO50" s="539">
        <f t="shared" si="9"/>
        <v>4725.6044771491152</v>
      </c>
      <c r="AP50" s="539">
        <f t="shared" si="9"/>
        <v>4776.2218865345076</v>
      </c>
      <c r="AQ50" s="539">
        <f t="shared" si="9"/>
        <v>4819.1883943546436</v>
      </c>
      <c r="AR50" s="539">
        <f t="shared" si="9"/>
        <v>4818.9565473093417</v>
      </c>
      <c r="AS50" s="539">
        <f t="shared" si="9"/>
        <v>4808.523430270714</v>
      </c>
      <c r="AT50" s="539">
        <f t="shared" si="9"/>
        <v>4871.0125860621984</v>
      </c>
      <c r="AU50" s="539">
        <f t="shared" si="9"/>
        <v>4892.8014892437168</v>
      </c>
      <c r="AV50" s="539">
        <f t="shared" si="9"/>
        <v>4903.358038740419</v>
      </c>
      <c r="AW50" s="539">
        <f t="shared" si="9"/>
        <v>4890.5485880171236</v>
      </c>
      <c r="AX50" s="539">
        <f t="shared" si="9"/>
        <v>4945.6032153911401</v>
      </c>
      <c r="AY50" s="539">
        <f t="shared" si="9"/>
        <v>4989.3748800105577</v>
      </c>
      <c r="AZ50" s="539">
        <f t="shared" si="9"/>
        <v>4989.1375412419338</v>
      </c>
      <c r="BA50" s="539">
        <f t="shared" si="9"/>
        <v>4976.0237518384511</v>
      </c>
      <c r="BB50" s="539">
        <f t="shared" si="9"/>
        <v>4968.7061367066199</v>
      </c>
      <c r="BC50" s="539">
        <f t="shared" si="9"/>
        <v>5003.7719991405111</v>
      </c>
      <c r="BD50" s="539">
        <f t="shared" si="9"/>
        <v>4994.8398242674302</v>
      </c>
      <c r="BE50" s="539">
        <f t="shared" si="9"/>
        <v>4975.7347406139879</v>
      </c>
      <c r="BF50" s="539">
        <f t="shared" si="9"/>
        <v>5018.2432697654431</v>
      </c>
      <c r="BG50" s="539">
        <f t="shared" si="9"/>
        <v>5055.2308992146009</v>
      </c>
      <c r="BH50" s="539">
        <f t="shared" si="9"/>
        <v>5047.7580665162341</v>
      </c>
      <c r="BI50" s="539">
        <f t="shared" si="9"/>
        <v>5029.9252428553727</v>
      </c>
      <c r="BJ50" s="539">
        <f t="shared" si="9"/>
        <v>5086.1659444474417</v>
      </c>
      <c r="BK50" s="539">
        <f t="shared" si="9"/>
        <v>5102.2164152464693</v>
      </c>
      <c r="BL50" s="539">
        <f t="shared" si="9"/>
        <v>5107.2549033808882</v>
      </c>
      <c r="BM50" s="539">
        <f t="shared" si="9"/>
        <v>5090.4593862946022</v>
      </c>
      <c r="BN50" s="539">
        <f t="shared" si="9"/>
        <v>5137.6362992811</v>
      </c>
      <c r="BO50" s="539">
        <f t="shared" si="9"/>
        <v>5177.721034794823</v>
      </c>
      <c r="BP50" s="539">
        <f t="shared" si="9"/>
        <v>5172.4704316400748</v>
      </c>
      <c r="BQ50" s="539">
        <f t="shared" si="9"/>
        <v>5156.5168427050112</v>
      </c>
      <c r="BR50" s="539">
        <f t="shared" si="9"/>
        <v>5259.1072788641732</v>
      </c>
      <c r="BS50" s="539">
        <f t="shared" si="9"/>
        <v>5300.4456959908366</v>
      </c>
      <c r="BT50" s="539">
        <f t="shared" si="9"/>
        <v>5296.0337638407573</v>
      </c>
      <c r="BU50" s="539">
        <f t="shared" si="9"/>
        <v>5280.7596572690318</v>
      </c>
      <c r="BV50" s="539">
        <f t="shared" si="9"/>
        <v>5192.6997405259599</v>
      </c>
      <c r="BW50" s="539">
        <f t="shared" si="9"/>
        <v>4824.0097155821095</v>
      </c>
      <c r="BX50" s="539">
        <f t="shared" si="9"/>
        <v>4812.2194454551673</v>
      </c>
      <c r="BY50" s="539">
        <f t="shared" si="9"/>
        <v>4789.7777052237061</v>
      </c>
      <c r="BZ50" s="539">
        <f t="shared" si="9"/>
        <v>4835.508830075345</v>
      </c>
      <c r="CA50" s="539">
        <f t="shared" si="9"/>
        <v>4848.2697391877382</v>
      </c>
      <c r="CB50" s="539">
        <f t="shared" si="9"/>
        <v>4814.2596201085926</v>
      </c>
      <c r="CC50" s="539">
        <f t="shared" si="9"/>
        <v>4617.7718011798452</v>
      </c>
      <c r="CD50" s="539">
        <f t="shared" si="9"/>
        <v>4635.4811967250052</v>
      </c>
      <c r="CE50" s="539">
        <f t="shared" si="9"/>
        <v>4670.2074078817031</v>
      </c>
      <c r="CF50" s="539">
        <f t="shared" si="9"/>
        <v>4658.0351907399381</v>
      </c>
      <c r="CG50" s="539">
        <f t="shared" si="9"/>
        <v>4632.6384155731694</v>
      </c>
      <c r="CH50" s="539">
        <f t="shared" si="9"/>
        <v>4654.4799395510099</v>
      </c>
      <c r="CI50" s="539">
        <f t="shared" si="9"/>
        <v>4690.3300953616026</v>
      </c>
      <c r="CJ50" s="539">
        <f t="shared" si="9"/>
        <v>4678.8565348451857</v>
      </c>
      <c r="CK50" s="539">
        <f t="shared" si="9"/>
        <v>4654.2351254146215</v>
      </c>
      <c r="CL50" s="539">
        <f t="shared" si="9"/>
        <v>4965.8270387247549</v>
      </c>
      <c r="CM50" s="539">
        <f t="shared" si="9"/>
        <v>5002.0011198530556</v>
      </c>
      <c r="CN50" s="539">
        <f t="shared" si="9"/>
        <v>4990.4282617092213</v>
      </c>
      <c r="CO50" s="539">
        <f t="shared" si="9"/>
        <v>4965.8107040008254</v>
      </c>
      <c r="CP50" s="539">
        <f t="shared" si="9"/>
        <v>4717.9783046696557</v>
      </c>
      <c r="CQ50" s="539">
        <f t="shared" si="9"/>
        <v>4729.233992308592</v>
      </c>
      <c r="CR50" s="539">
        <f t="shared" si="9"/>
        <v>4730.658822063725</v>
      </c>
      <c r="CS50" s="539">
        <f t="shared" si="9"/>
        <v>4706.8642132055456</v>
      </c>
      <c r="CT50" s="539">
        <f t="shared" si="9"/>
        <v>4735.3356972565371</v>
      </c>
      <c r="CU50" s="539">
        <f t="shared" si="9"/>
        <v>4772.9048284479113</v>
      </c>
      <c r="CV50" s="539">
        <f t="shared" si="9"/>
        <v>4761.9850090627306</v>
      </c>
      <c r="CW50" s="539">
        <f t="shared" si="9"/>
        <v>4738.3327137651941</v>
      </c>
      <c r="CX50" s="539">
        <f t="shared" si="9"/>
        <v>4768.7511838966802</v>
      </c>
      <c r="CY50" s="539">
        <f t="shared" si="9"/>
        <v>4806.4773364047878</v>
      </c>
      <c r="CZ50" s="539">
        <f t="shared" si="9"/>
        <v>4795.3607319199509</v>
      </c>
      <c r="DA50" s="539">
        <f t="shared" si="9"/>
        <v>4771.6969558091578</v>
      </c>
      <c r="DB50" s="539">
        <f t="shared" si="9"/>
        <v>0</v>
      </c>
      <c r="DC50" s="539">
        <f t="shared" si="9"/>
        <v>0</v>
      </c>
      <c r="DD50" s="539">
        <f t="shared" si="9"/>
        <v>0</v>
      </c>
      <c r="DE50" s="539">
        <f t="shared" si="9"/>
        <v>0</v>
      </c>
      <c r="DF50" s="539">
        <f t="shared" si="9"/>
        <v>0</v>
      </c>
      <c r="DG50" s="539">
        <f t="shared" si="9"/>
        <v>0</v>
      </c>
      <c r="DH50" s="539">
        <f t="shared" si="9"/>
        <v>0</v>
      </c>
      <c r="DI50" s="539">
        <f t="shared" si="9"/>
        <v>0</v>
      </c>
      <c r="DJ50" s="539">
        <f t="shared" si="9"/>
        <v>0</v>
      </c>
      <c r="DK50" s="539">
        <f t="shared" si="9"/>
        <v>0</v>
      </c>
      <c r="DL50" s="539">
        <f t="shared" si="9"/>
        <v>0</v>
      </c>
      <c r="DM50" s="539">
        <f t="shared" si="9"/>
        <v>0</v>
      </c>
      <c r="DN50" s="539">
        <f t="shared" si="9"/>
        <v>0</v>
      </c>
      <c r="DO50" s="539">
        <f t="shared" si="9"/>
        <v>0</v>
      </c>
      <c r="DP50" s="539">
        <f t="shared" si="9"/>
        <v>0</v>
      </c>
      <c r="DQ50" s="539">
        <f t="shared" si="9"/>
        <v>0</v>
      </c>
      <c r="DR50" s="539">
        <f t="shared" si="9"/>
        <v>0</v>
      </c>
      <c r="DS50" s="539">
        <f t="shared" si="9"/>
        <v>0</v>
      </c>
      <c r="DT50" s="539">
        <f t="shared" si="9"/>
        <v>0</v>
      </c>
      <c r="DU50" s="539">
        <f t="shared" si="9"/>
        <v>0</v>
      </c>
      <c r="DV50" s="539">
        <f t="shared" si="9"/>
        <v>0</v>
      </c>
      <c r="DW50" s="539">
        <f t="shared" si="9"/>
        <v>0</v>
      </c>
      <c r="DX50" s="539">
        <f t="shared" si="9"/>
        <v>0</v>
      </c>
      <c r="DY50" s="539">
        <f t="shared" si="9"/>
        <v>0</v>
      </c>
      <c r="DZ50" s="539">
        <f t="shared" si="9"/>
        <v>0</v>
      </c>
      <c r="EA50" s="539">
        <f t="shared" si="9"/>
        <v>0</v>
      </c>
      <c r="EB50" s="539">
        <f t="shared" si="9"/>
        <v>0</v>
      </c>
      <c r="EC50" s="539">
        <f t="shared" si="9"/>
        <v>0</v>
      </c>
      <c r="ED50" s="539">
        <f t="shared" si="9"/>
        <v>0</v>
      </c>
      <c r="EE50" s="539">
        <f t="shared" si="9"/>
        <v>0</v>
      </c>
      <c r="EF50" s="539">
        <f t="shared" si="9"/>
        <v>0</v>
      </c>
      <c r="EG50" s="539">
        <f t="shared" si="9"/>
        <v>0</v>
      </c>
    </row>
    <row r="53" spans="1:1" ht="12.75">
      <c r="A53" s="534" t="s">
        <v>313</v>
      </c>
    </row>
    <row r="55" spans="2:2" ht="12.75">
      <c r="B55" s="534" t="s">
        <v>314</v>
      </c>
    </row>
    <row r="56" spans="5:137" ht="12.75">
      <c r="E56" s="538" t="str">
        <f>E$100</f>
        <v>Senior facility - closing balance</v>
      </c>
      <c r="G56" s="539" t="str">
        <f>G$100</f>
        <v>EUR 000s</v>
      </c>
      <c r="H56" s="539">
        <f>H$100</f>
        <v>11123186.810732836</v>
      </c>
      <c r="J56" s="539">
        <f t="shared" si="10" ref="J56:EG56">J$100</f>
        <v>0</v>
      </c>
      <c r="K56" s="539">
        <f t="shared" si="10"/>
        <v>0</v>
      </c>
      <c r="L56" s="539">
        <f t="shared" si="10"/>
        <v>0</v>
      </c>
      <c r="M56" s="539">
        <f t="shared" si="10"/>
        <v>0</v>
      </c>
      <c r="N56" s="539">
        <f t="shared" si="10"/>
        <v>0</v>
      </c>
      <c r="O56" s="539">
        <f t="shared" si="10"/>
        <v>0</v>
      </c>
      <c r="P56" s="539">
        <f t="shared" si="10"/>
        <v>0</v>
      </c>
      <c r="Q56" s="539">
        <f t="shared" si="10"/>
        <v>0</v>
      </c>
      <c r="R56" s="539">
        <f t="shared" si="10"/>
        <v>1382.3281928992874</v>
      </c>
      <c r="S56" s="539">
        <f t="shared" si="10"/>
        <v>19363.172958561812</v>
      </c>
      <c r="T56" s="539">
        <f t="shared" si="10"/>
        <v>37736.181514569398</v>
      </c>
      <c r="U56" s="539">
        <f t="shared" si="10"/>
        <v>56530.476117754166</v>
      </c>
      <c r="V56" s="539">
        <f t="shared" si="10"/>
        <v>74091.405530191638</v>
      </c>
      <c r="W56" s="539">
        <f t="shared" si="10"/>
        <v>91518.934879038119</v>
      </c>
      <c r="X56" s="539">
        <f t="shared" si="10"/>
        <v>107255.49759656707</v>
      </c>
      <c r="Y56" s="539">
        <f t="shared" si="10"/>
        <v>121061.22875111677</v>
      </c>
      <c r="Z56" s="539">
        <f t="shared" si="10"/>
        <v>133962.70617930786</v>
      </c>
      <c r="AA56" s="539">
        <f t="shared" si="10"/>
        <v>148362.46790677981</v>
      </c>
      <c r="AB56" s="539">
        <f t="shared" si="10"/>
        <v>163506.13990970366</v>
      </c>
      <c r="AC56" s="539">
        <f t="shared" si="10"/>
        <v>178549.55229008626</v>
      </c>
      <c r="AD56" s="539">
        <f t="shared" si="10"/>
        <v>192268.63360155231</v>
      </c>
      <c r="AE56" s="539">
        <f t="shared" si="10"/>
        <v>200952.02892657305</v>
      </c>
      <c r="AF56" s="539">
        <f t="shared" si="10"/>
        <v>207824.75792647921</v>
      </c>
      <c r="AG56" s="539">
        <f t="shared" si="10"/>
        <v>221286.6479110517</v>
      </c>
      <c r="AH56" s="539">
        <f t="shared" si="10"/>
        <v>220608.823757429</v>
      </c>
      <c r="AI56" s="539">
        <f t="shared" si="10"/>
        <v>218979.44471839062</v>
      </c>
      <c r="AJ56" s="539">
        <f t="shared" si="10"/>
        <v>217360.94638439317</v>
      </c>
      <c r="AK56" s="539">
        <f t="shared" si="10"/>
        <v>215730.19804249654</v>
      </c>
      <c r="AL56" s="539">
        <f t="shared" si="10"/>
        <v>213962.26862143833</v>
      </c>
      <c r="AM56" s="539">
        <f t="shared" si="10"/>
        <v>212160.04600216408</v>
      </c>
      <c r="AN56" s="539">
        <f t="shared" si="10"/>
        <v>210365.30914698011</v>
      </c>
      <c r="AO56" s="539">
        <f t="shared" si="10"/>
        <v>208556.00183225214</v>
      </c>
      <c r="AP56" s="539">
        <f t="shared" si="10"/>
        <v>206608.1421623468</v>
      </c>
      <c r="AQ56" s="539">
        <f t="shared" si="10"/>
        <v>204622.0325392868</v>
      </c>
      <c r="AR56" s="539">
        <f t="shared" si="10"/>
        <v>202639.75403211112</v>
      </c>
      <c r="AS56" s="539">
        <f t="shared" si="10"/>
        <v>200640.42828787459</v>
      </c>
      <c r="AT56" s="539">
        <f t="shared" si="10"/>
        <v>198520.66321847215</v>
      </c>
      <c r="AU56" s="539">
        <f t="shared" si="10"/>
        <v>196350.0423303475</v>
      </c>
      <c r="AV56" s="539">
        <f t="shared" si="10"/>
        <v>194168.68761815928</v>
      </c>
      <c r="AW56" s="539">
        <f t="shared" si="10"/>
        <v>191969.90220643775</v>
      </c>
      <c r="AX56" s="539">
        <f t="shared" si="10"/>
        <v>189627.72643192843</v>
      </c>
      <c r="AY56" s="539">
        <f t="shared" si="10"/>
        <v>187238.5892801146</v>
      </c>
      <c r="AZ56" s="539">
        <f t="shared" si="10"/>
        <v>184845.14286697507</v>
      </c>
      <c r="BA56" s="539">
        <f t="shared" si="10"/>
        <v>182431.62986282675</v>
      </c>
      <c r="BB56" s="539">
        <f t="shared" si="10"/>
        <v>179936.99651467081</v>
      </c>
      <c r="BC56" s="539">
        <f t="shared" si="10"/>
        <v>177400.57976910818</v>
      </c>
      <c r="BD56" s="539">
        <f t="shared" si="10"/>
        <v>174865.04661232483</v>
      </c>
      <c r="BE56" s="539">
        <f t="shared" si="10"/>
        <v>172313.4684083091</v>
      </c>
      <c r="BF56" s="539">
        <f t="shared" si="10"/>
        <v>169632.07902517688</v>
      </c>
      <c r="BG56" s="539">
        <f t="shared" si="10"/>
        <v>166902.89896300616</v>
      </c>
      <c r="BH56" s="539">
        <f t="shared" si="10"/>
        <v>164168.91807115515</v>
      </c>
      <c r="BI56" s="539">
        <f t="shared" si="10"/>
        <v>161414.86878840948</v>
      </c>
      <c r="BJ56" s="539">
        <f t="shared" si="10"/>
        <v>158542.07659269078</v>
      </c>
      <c r="BK56" s="539">
        <f t="shared" si="10"/>
        <v>155613.84125510571</v>
      </c>
      <c r="BL56" s="539">
        <f t="shared" si="10"/>
        <v>152663.86316474082</v>
      </c>
      <c r="BM56" s="539">
        <f t="shared" si="10"/>
        <v>149689.78500478482</v>
      </c>
      <c r="BN56" s="539">
        <f t="shared" si="10"/>
        <v>146582.18825556862</v>
      </c>
      <c r="BO56" s="539">
        <f t="shared" si="10"/>
        <v>143414.45037753851</v>
      </c>
      <c r="BP56" s="539">
        <f t="shared" si="10"/>
        <v>140230.13643606377</v>
      </c>
      <c r="BQ56" s="539">
        <f t="shared" si="10"/>
        <v>137017.63189573269</v>
      </c>
      <c r="BR56" s="539">
        <f t="shared" si="10"/>
        <v>133616.70893983805</v>
      </c>
      <c r="BS56" s="539">
        <f t="shared" si="10"/>
        <v>130148.4594856113</v>
      </c>
      <c r="BT56" s="539">
        <f t="shared" si="10"/>
        <v>126656.67559847518</v>
      </c>
      <c r="BU56" s="539">
        <f t="shared" si="10"/>
        <v>123131.75917005076</v>
      </c>
      <c r="BV56" s="539">
        <f t="shared" si="10"/>
        <v>119608.92849224193</v>
      </c>
      <c r="BW56" s="539">
        <f t="shared" si="10"/>
        <v>116425.03572762878</v>
      </c>
      <c r="BX56" s="539">
        <f t="shared" si="10"/>
        <v>113226.81814732924</v>
      </c>
      <c r="BY56" s="539">
        <f t="shared" si="10"/>
        <v>110006.70537313426</v>
      </c>
      <c r="BZ56" s="539">
        <f t="shared" si="10"/>
        <v>106679.6446537234</v>
      </c>
      <c r="CA56" s="539">
        <f t="shared" si="10"/>
        <v>103294.20127478741</v>
      </c>
      <c r="CB56" s="539">
        <f t="shared" si="10"/>
        <v>99911.910581940261</v>
      </c>
      <c r="CC56" s="539">
        <f t="shared" si="10"/>
        <v>96679.218965814158</v>
      </c>
      <c r="CD56" s="539">
        <f t="shared" si="10"/>
        <v>93354.866903009097</v>
      </c>
      <c r="CE56" s="539">
        <f t="shared" si="10"/>
        <v>89964.772122112496</v>
      </c>
      <c r="CF56" s="539">
        <f t="shared" si="10"/>
        <v>86553.919799695548</v>
      </c>
      <c r="CG56" s="539">
        <f t="shared" si="10"/>
        <v>83121.179559975688</v>
      </c>
      <c r="CH56" s="539">
        <f t="shared" si="10"/>
        <v>79593.959452813389</v>
      </c>
      <c r="CI56" s="539">
        <f t="shared" si="10"/>
        <v>75995.047897345838</v>
      </c>
      <c r="CJ56" s="539">
        <f t="shared" si="10"/>
        <v>72369.711752529605</v>
      </c>
      <c r="CK56" s="539">
        <f t="shared" si="10"/>
        <v>68718.73893250621</v>
      </c>
      <c r="CL56" s="539">
        <f t="shared" si="10"/>
        <v>64684.850956016817</v>
      </c>
      <c r="CM56" s="539">
        <f t="shared" si="10"/>
        <v>60569.829778725034</v>
      </c>
      <c r="CN56" s="539">
        <f t="shared" si="10"/>
        <v>56419.081896961972</v>
      </c>
      <c r="CO56" s="539">
        <f t="shared" si="10"/>
        <v>52235.409698162868</v>
      </c>
      <c r="CP56" s="539">
        <f t="shared" si="10"/>
        <v>48233.700504559805</v>
      </c>
      <c r="CQ56" s="539">
        <f t="shared" si="10"/>
        <v>44165.862871224701</v>
      </c>
      <c r="CR56" s="539">
        <f t="shared" si="10"/>
        <v>40047.476011156585</v>
      </c>
      <c r="CS56" s="539">
        <f t="shared" si="10"/>
        <v>35895.790506489262</v>
      </c>
      <c r="CT56" s="539">
        <f t="shared" si="10"/>
        <v>31647.260735279633</v>
      </c>
      <c r="CU56" s="539">
        <f t="shared" si="10"/>
        <v>27308.313550612747</v>
      </c>
      <c r="CV56" s="539">
        <f t="shared" si="10"/>
        <v>22924.904066388648</v>
      </c>
      <c r="CW56" s="539">
        <f t="shared" si="10"/>
        <v>18504.379611735581</v>
      </c>
      <c r="CX56" s="539">
        <f t="shared" si="10"/>
        <v>13986.578233532302</v>
      </c>
      <c r="CY56" s="539">
        <f t="shared" si="10"/>
        <v>9371.8894561927991</v>
      </c>
      <c r="CZ56" s="539">
        <f t="shared" si="10"/>
        <v>4706.4513561860967</v>
      </c>
      <c r="DA56" s="539">
        <f t="shared" si="10"/>
        <v>0</v>
      </c>
      <c r="DB56" s="539">
        <f t="shared" si="10"/>
        <v>0</v>
      </c>
      <c r="DC56" s="539">
        <f t="shared" si="10"/>
        <v>0</v>
      </c>
      <c r="DD56" s="539">
        <f t="shared" si="10"/>
        <v>0</v>
      </c>
      <c r="DE56" s="539">
        <f t="shared" si="10"/>
        <v>0</v>
      </c>
      <c r="DF56" s="539">
        <f t="shared" si="10"/>
        <v>0</v>
      </c>
      <c r="DG56" s="539">
        <f t="shared" si="10"/>
        <v>0</v>
      </c>
      <c r="DH56" s="539">
        <f t="shared" si="10"/>
        <v>0</v>
      </c>
      <c r="DI56" s="539">
        <f t="shared" si="10"/>
        <v>0</v>
      </c>
      <c r="DJ56" s="539">
        <f t="shared" si="10"/>
        <v>0</v>
      </c>
      <c r="DK56" s="539">
        <f t="shared" si="10"/>
        <v>0</v>
      </c>
      <c r="DL56" s="539">
        <f t="shared" si="10"/>
        <v>0</v>
      </c>
      <c r="DM56" s="539">
        <f t="shared" si="10"/>
        <v>0</v>
      </c>
      <c r="DN56" s="539">
        <f t="shared" si="10"/>
        <v>0</v>
      </c>
      <c r="DO56" s="539">
        <f t="shared" si="10"/>
        <v>0</v>
      </c>
      <c r="DP56" s="539">
        <f t="shared" si="10"/>
        <v>0</v>
      </c>
      <c r="DQ56" s="539">
        <f t="shared" si="10"/>
        <v>0</v>
      </c>
      <c r="DR56" s="539">
        <f t="shared" si="10"/>
        <v>0</v>
      </c>
      <c r="DS56" s="539">
        <f t="shared" si="10"/>
        <v>0</v>
      </c>
      <c r="DT56" s="539">
        <f t="shared" si="10"/>
        <v>0</v>
      </c>
      <c r="DU56" s="539">
        <f t="shared" si="10"/>
        <v>0</v>
      </c>
      <c r="DV56" s="539">
        <f t="shared" si="10"/>
        <v>0</v>
      </c>
      <c r="DW56" s="539">
        <f t="shared" si="10"/>
        <v>0</v>
      </c>
      <c r="DX56" s="539">
        <f t="shared" si="10"/>
        <v>0</v>
      </c>
      <c r="DY56" s="539">
        <f t="shared" si="10"/>
        <v>0</v>
      </c>
      <c r="DZ56" s="539">
        <f t="shared" si="10"/>
        <v>0</v>
      </c>
      <c r="EA56" s="539">
        <f t="shared" si="10"/>
        <v>0</v>
      </c>
      <c r="EB56" s="539">
        <f t="shared" si="10"/>
        <v>0</v>
      </c>
      <c r="EC56" s="539">
        <f t="shared" si="10"/>
        <v>0</v>
      </c>
      <c r="ED56" s="539">
        <f t="shared" si="10"/>
        <v>0</v>
      </c>
      <c r="EE56" s="539">
        <f t="shared" si="10"/>
        <v>0</v>
      </c>
      <c r="EF56" s="539">
        <f t="shared" si="10"/>
        <v>0</v>
      </c>
      <c r="EG56" s="539">
        <f t="shared" si="10"/>
        <v>0</v>
      </c>
    </row>
    <row r="57" spans="5:137" ht="12.75">
      <c r="E57" s="540" t="s">
        <v>315</v>
      </c>
      <c r="G57" s="541" t="s">
        <v>30</v>
      </c>
      <c r="H57" s="541">
        <f>SUM(J57:EG57)</f>
        <v>11123186.810732836</v>
      </c>
      <c r="J57" s="541">
        <f t="shared" si="11" ref="J57:EG57">I56</f>
        <v>0</v>
      </c>
      <c r="K57" s="541">
        <f t="shared" si="11"/>
        <v>0</v>
      </c>
      <c r="L57" s="541">
        <f t="shared" si="11"/>
        <v>0</v>
      </c>
      <c r="M57" s="541">
        <f t="shared" si="11"/>
        <v>0</v>
      </c>
      <c r="N57" s="541">
        <f t="shared" si="11"/>
        <v>0</v>
      </c>
      <c r="O57" s="541">
        <f t="shared" si="11"/>
        <v>0</v>
      </c>
      <c r="P57" s="541">
        <f t="shared" si="11"/>
        <v>0</v>
      </c>
      <c r="Q57" s="541">
        <f t="shared" si="11"/>
        <v>0</v>
      </c>
      <c r="R57" s="541">
        <f t="shared" si="11"/>
        <v>0</v>
      </c>
      <c r="S57" s="541">
        <f t="shared" si="11"/>
        <v>1382.3281928992874</v>
      </c>
      <c r="T57" s="541">
        <f t="shared" si="11"/>
        <v>19363.172958561812</v>
      </c>
      <c r="U57" s="541">
        <f t="shared" si="11"/>
        <v>37736.181514569398</v>
      </c>
      <c r="V57" s="541">
        <f t="shared" si="11"/>
        <v>56530.476117754166</v>
      </c>
      <c r="W57" s="541">
        <f t="shared" si="11"/>
        <v>74091.405530191638</v>
      </c>
      <c r="X57" s="541">
        <f t="shared" si="11"/>
        <v>91518.934879038119</v>
      </c>
      <c r="Y57" s="541">
        <f t="shared" si="11"/>
        <v>107255.49759656707</v>
      </c>
      <c r="Z57" s="541">
        <f t="shared" si="11"/>
        <v>121061.22875111677</v>
      </c>
      <c r="AA57" s="541">
        <f t="shared" si="11"/>
        <v>133962.70617930786</v>
      </c>
      <c r="AB57" s="541">
        <f t="shared" si="11"/>
        <v>148362.46790677981</v>
      </c>
      <c r="AC57" s="541">
        <f t="shared" si="11"/>
        <v>163506.13990970366</v>
      </c>
      <c r="AD57" s="541">
        <f t="shared" si="11"/>
        <v>178549.55229008626</v>
      </c>
      <c r="AE57" s="541">
        <f t="shared" si="11"/>
        <v>192268.63360155231</v>
      </c>
      <c r="AF57" s="541">
        <f t="shared" si="11"/>
        <v>200952.02892657305</v>
      </c>
      <c r="AG57" s="541">
        <f t="shared" si="11"/>
        <v>207824.75792647921</v>
      </c>
      <c r="AH57" s="541">
        <f t="shared" si="11"/>
        <v>221286.6479110517</v>
      </c>
      <c r="AI57" s="541">
        <f t="shared" si="11"/>
        <v>220608.823757429</v>
      </c>
      <c r="AJ57" s="541">
        <f t="shared" si="11"/>
        <v>218979.44471839062</v>
      </c>
      <c r="AK57" s="541">
        <f t="shared" si="11"/>
        <v>217360.94638439317</v>
      </c>
      <c r="AL57" s="541">
        <f t="shared" si="11"/>
        <v>215730.19804249654</v>
      </c>
      <c r="AM57" s="541">
        <f t="shared" si="11"/>
        <v>213962.26862143833</v>
      </c>
      <c r="AN57" s="541">
        <f t="shared" si="11"/>
        <v>212160.04600216408</v>
      </c>
      <c r="AO57" s="541">
        <f t="shared" si="11"/>
        <v>210365.30914698011</v>
      </c>
      <c r="AP57" s="541">
        <f t="shared" si="11"/>
        <v>208556.00183225214</v>
      </c>
      <c r="AQ57" s="541">
        <f t="shared" si="11"/>
        <v>206608.1421623468</v>
      </c>
      <c r="AR57" s="541">
        <f t="shared" si="11"/>
        <v>204622.0325392868</v>
      </c>
      <c r="AS57" s="541">
        <f t="shared" si="11"/>
        <v>202639.75403211112</v>
      </c>
      <c r="AT57" s="541">
        <f t="shared" si="11"/>
        <v>200640.42828787459</v>
      </c>
      <c r="AU57" s="541">
        <f t="shared" si="11"/>
        <v>198520.66321847215</v>
      </c>
      <c r="AV57" s="541">
        <f t="shared" si="11"/>
        <v>196350.0423303475</v>
      </c>
      <c r="AW57" s="541">
        <f t="shared" si="11"/>
        <v>194168.68761815928</v>
      </c>
      <c r="AX57" s="541">
        <f t="shared" si="11"/>
        <v>191969.90220643775</v>
      </c>
      <c r="AY57" s="541">
        <f t="shared" si="11"/>
        <v>189627.72643192843</v>
      </c>
      <c r="AZ57" s="541">
        <f t="shared" si="11"/>
        <v>187238.5892801146</v>
      </c>
      <c r="BA57" s="541">
        <f t="shared" si="11"/>
        <v>184845.14286697507</v>
      </c>
      <c r="BB57" s="541">
        <f t="shared" si="11"/>
        <v>182431.62986282675</v>
      </c>
      <c r="BC57" s="541">
        <f t="shared" si="11"/>
        <v>179936.99651467081</v>
      </c>
      <c r="BD57" s="541">
        <f t="shared" si="11"/>
        <v>177400.57976910818</v>
      </c>
      <c r="BE57" s="541">
        <f t="shared" si="11"/>
        <v>174865.04661232483</v>
      </c>
      <c r="BF57" s="541">
        <f t="shared" si="11"/>
        <v>172313.4684083091</v>
      </c>
      <c r="BG57" s="541">
        <f t="shared" si="11"/>
        <v>169632.07902517688</v>
      </c>
      <c r="BH57" s="541">
        <f t="shared" si="11"/>
        <v>166902.89896300616</v>
      </c>
      <c r="BI57" s="541">
        <f t="shared" si="11"/>
        <v>164168.91807115515</v>
      </c>
      <c r="BJ57" s="541">
        <f t="shared" si="11"/>
        <v>161414.86878840948</v>
      </c>
      <c r="BK57" s="541">
        <f t="shared" si="11"/>
        <v>158542.07659269078</v>
      </c>
      <c r="BL57" s="541">
        <f t="shared" si="11"/>
        <v>155613.84125510571</v>
      </c>
      <c r="BM57" s="541">
        <f t="shared" si="11"/>
        <v>152663.86316474082</v>
      </c>
      <c r="BN57" s="541">
        <f t="shared" si="11"/>
        <v>149689.78500478482</v>
      </c>
      <c r="BO57" s="541">
        <f t="shared" si="11"/>
        <v>146582.18825556862</v>
      </c>
      <c r="BP57" s="541">
        <f t="shared" si="11"/>
        <v>143414.45037753851</v>
      </c>
      <c r="BQ57" s="541">
        <f t="shared" si="11"/>
        <v>140230.13643606377</v>
      </c>
      <c r="BR57" s="541">
        <f t="shared" si="11"/>
        <v>137017.63189573269</v>
      </c>
      <c r="BS57" s="541">
        <f t="shared" si="11"/>
        <v>133616.70893983805</v>
      </c>
      <c r="BT57" s="541">
        <f t="shared" si="11"/>
        <v>130148.4594856113</v>
      </c>
      <c r="BU57" s="541">
        <f t="shared" si="11"/>
        <v>126656.67559847518</v>
      </c>
      <c r="BV57" s="541">
        <f t="shared" si="11"/>
        <v>123131.75917005076</v>
      </c>
      <c r="BW57" s="541">
        <f t="shared" si="11"/>
        <v>119608.92849224193</v>
      </c>
      <c r="BX57" s="541">
        <f t="shared" si="11"/>
        <v>116425.03572762878</v>
      </c>
      <c r="BY57" s="541">
        <f t="shared" si="11"/>
        <v>113226.81814732924</v>
      </c>
      <c r="BZ57" s="541">
        <f t="shared" si="11"/>
        <v>110006.70537313426</v>
      </c>
      <c r="CA57" s="541">
        <f t="shared" si="11"/>
        <v>106679.6446537234</v>
      </c>
      <c r="CB57" s="541">
        <f t="shared" si="11"/>
        <v>103294.20127478741</v>
      </c>
      <c r="CC57" s="541">
        <f t="shared" si="11"/>
        <v>99911.910581940261</v>
      </c>
      <c r="CD57" s="541">
        <f t="shared" si="11"/>
        <v>96679.218965814158</v>
      </c>
      <c r="CE57" s="541">
        <f t="shared" si="11"/>
        <v>93354.866903009097</v>
      </c>
      <c r="CF57" s="541">
        <f t="shared" si="11"/>
        <v>89964.772122112496</v>
      </c>
      <c r="CG57" s="541">
        <f t="shared" si="11"/>
        <v>86553.919799695548</v>
      </c>
      <c r="CH57" s="541">
        <f t="shared" si="11"/>
        <v>83121.179559975688</v>
      </c>
      <c r="CI57" s="541">
        <f t="shared" si="11"/>
        <v>79593.959452813389</v>
      </c>
      <c r="CJ57" s="541">
        <f t="shared" si="11"/>
        <v>75995.047897345838</v>
      </c>
      <c r="CK57" s="541">
        <f t="shared" si="11"/>
        <v>72369.711752529605</v>
      </c>
      <c r="CL57" s="541">
        <f t="shared" si="11"/>
        <v>68718.73893250621</v>
      </c>
      <c r="CM57" s="541">
        <f t="shared" si="11"/>
        <v>64684.850956016817</v>
      </c>
      <c r="CN57" s="541">
        <f t="shared" si="11"/>
        <v>60569.829778725034</v>
      </c>
      <c r="CO57" s="541">
        <f t="shared" si="11"/>
        <v>56419.081896961972</v>
      </c>
      <c r="CP57" s="541">
        <f t="shared" si="11"/>
        <v>52235.409698162868</v>
      </c>
      <c r="CQ57" s="541">
        <f t="shared" si="11"/>
        <v>48233.700504559805</v>
      </c>
      <c r="CR57" s="541">
        <f t="shared" si="11"/>
        <v>44165.862871224701</v>
      </c>
      <c r="CS57" s="541">
        <f t="shared" si="11"/>
        <v>40047.476011156585</v>
      </c>
      <c r="CT57" s="541">
        <f t="shared" si="11"/>
        <v>35895.790506489262</v>
      </c>
      <c r="CU57" s="541">
        <f t="shared" si="11"/>
        <v>31647.260735279633</v>
      </c>
      <c r="CV57" s="541">
        <f t="shared" si="11"/>
        <v>27308.313550612747</v>
      </c>
      <c r="CW57" s="541">
        <f t="shared" si="11"/>
        <v>22924.904066388648</v>
      </c>
      <c r="CX57" s="541">
        <f t="shared" si="11"/>
        <v>18504.379611735581</v>
      </c>
      <c r="CY57" s="541">
        <f t="shared" si="11"/>
        <v>13986.578233532302</v>
      </c>
      <c r="CZ57" s="541">
        <f t="shared" si="11"/>
        <v>9371.8894561927991</v>
      </c>
      <c r="DA57" s="541">
        <f t="shared" si="11"/>
        <v>4706.4513561860967</v>
      </c>
      <c r="DB57" s="541">
        <f t="shared" si="11"/>
        <v>0</v>
      </c>
      <c r="DC57" s="541">
        <f t="shared" si="11"/>
        <v>0</v>
      </c>
      <c r="DD57" s="541">
        <f t="shared" si="11"/>
        <v>0</v>
      </c>
      <c r="DE57" s="541">
        <f t="shared" si="11"/>
        <v>0</v>
      </c>
      <c r="DF57" s="541">
        <f t="shared" si="11"/>
        <v>0</v>
      </c>
      <c r="DG57" s="541">
        <f t="shared" si="11"/>
        <v>0</v>
      </c>
      <c r="DH57" s="541">
        <f t="shared" si="11"/>
        <v>0</v>
      </c>
      <c r="DI57" s="541">
        <f t="shared" si="11"/>
        <v>0</v>
      </c>
      <c r="DJ57" s="541">
        <f t="shared" si="11"/>
        <v>0</v>
      </c>
      <c r="DK57" s="541">
        <f t="shared" si="11"/>
        <v>0</v>
      </c>
      <c r="DL57" s="541">
        <f t="shared" si="11"/>
        <v>0</v>
      </c>
      <c r="DM57" s="541">
        <f t="shared" si="11"/>
        <v>0</v>
      </c>
      <c r="DN57" s="541">
        <f t="shared" si="11"/>
        <v>0</v>
      </c>
      <c r="DO57" s="541">
        <f t="shared" si="11"/>
        <v>0</v>
      </c>
      <c r="DP57" s="541">
        <f t="shared" si="11"/>
        <v>0</v>
      </c>
      <c r="DQ57" s="541">
        <f t="shared" si="11"/>
        <v>0</v>
      </c>
      <c r="DR57" s="541">
        <f t="shared" si="11"/>
        <v>0</v>
      </c>
      <c r="DS57" s="541">
        <f t="shared" si="11"/>
        <v>0</v>
      </c>
      <c r="DT57" s="541">
        <f t="shared" si="11"/>
        <v>0</v>
      </c>
      <c r="DU57" s="541">
        <f t="shared" si="11"/>
        <v>0</v>
      </c>
      <c r="DV57" s="541">
        <f t="shared" si="11"/>
        <v>0</v>
      </c>
      <c r="DW57" s="541">
        <f t="shared" si="11"/>
        <v>0</v>
      </c>
      <c r="DX57" s="541">
        <f t="shared" si="11"/>
        <v>0</v>
      </c>
      <c r="DY57" s="541">
        <f t="shared" si="11"/>
        <v>0</v>
      </c>
      <c r="DZ57" s="541">
        <f t="shared" si="11"/>
        <v>0</v>
      </c>
      <c r="EA57" s="541">
        <f t="shared" si="11"/>
        <v>0</v>
      </c>
      <c r="EB57" s="541">
        <f t="shared" si="11"/>
        <v>0</v>
      </c>
      <c r="EC57" s="541">
        <f t="shared" si="11"/>
        <v>0</v>
      </c>
      <c r="ED57" s="541">
        <f t="shared" si="11"/>
        <v>0</v>
      </c>
      <c r="EE57" s="541">
        <f t="shared" si="11"/>
        <v>0</v>
      </c>
      <c r="EF57" s="541">
        <f t="shared" si="11"/>
        <v>0</v>
      </c>
      <c r="EG57" s="541">
        <f t="shared" si="11"/>
        <v>0</v>
      </c>
    </row>
    <row r="59" spans="5:7" ht="12.75">
      <c r="E59" s="535" t="str">
        <f>InpC!E$76</f>
        <v>Senior facility - interest rate</v>
      </c>
      <c r="F59" s="542">
        <f>InpC!F$76</f>
        <v>0.055</v>
      </c>
      <c r="G59" s="542" t="str">
        <f>InpC!G$76</f>
        <v>% p.a.</v>
      </c>
    </row>
    <row r="60" spans="5:7" ht="12.75">
      <c r="E60" s="535" t="str">
        <f>InpC!E$127</f>
        <v>Days per year (interest day count)</v>
      </c>
      <c r="F60" s="537">
        <f>InpC!F$127</f>
        <v>365</v>
      </c>
      <c r="G60" s="537" t="str">
        <f>InpC!G$127</f>
        <v>days</v>
      </c>
    </row>
    <row r="61" spans="5:137" ht="12.75">
      <c r="E61" s="535" t="str">
        <f>Time!E$91</f>
        <v>Operating period flag</v>
      </c>
      <c r="G61" s="537" t="str">
        <f>Time!G$91</f>
        <v>flag</v>
      </c>
      <c r="H61" s="537">
        <f>Time!H$91</f>
        <v>100</v>
      </c>
      <c r="J61" s="537">
        <f>Time!J$91</f>
        <v>0</v>
      </c>
      <c r="K61" s="537">
        <f>Time!K$91</f>
        <v>0</v>
      </c>
      <c r="L61" s="537">
        <f>Time!L$91</f>
        <v>0</v>
      </c>
      <c r="M61" s="537">
        <f>Time!M$91</f>
        <v>0</v>
      </c>
      <c r="N61" s="537">
        <f>Time!N$91</f>
        <v>0</v>
      </c>
      <c r="O61" s="537">
        <f>Time!O$91</f>
        <v>0</v>
      </c>
      <c r="P61" s="537">
        <f>Time!P$91</f>
        <v>0</v>
      </c>
      <c r="Q61" s="537">
        <f>Time!Q$91</f>
        <v>0</v>
      </c>
      <c r="R61" s="537">
        <f>Time!R$91</f>
        <v>0</v>
      </c>
      <c r="S61" s="537">
        <f>Time!S$91</f>
        <v>0</v>
      </c>
      <c r="T61" s="537">
        <f>Time!T$91</f>
        <v>0</v>
      </c>
      <c r="U61" s="537">
        <f>Time!U$91</f>
        <v>0</v>
      </c>
      <c r="V61" s="537">
        <f>Time!V$91</f>
        <v>0</v>
      </c>
      <c r="W61" s="537">
        <f>Time!W$91</f>
        <v>0</v>
      </c>
      <c r="X61" s="537">
        <f>Time!X$91</f>
        <v>0</v>
      </c>
      <c r="Y61" s="537">
        <f>Time!Y$91</f>
        <v>0</v>
      </c>
      <c r="Z61" s="537">
        <f>Time!Z$91</f>
        <v>0</v>
      </c>
      <c r="AA61" s="537">
        <f>Time!AA$91</f>
        <v>0</v>
      </c>
      <c r="AB61" s="537">
        <f>Time!AB$91</f>
        <v>0</v>
      </c>
      <c r="AC61" s="537">
        <f>Time!AC$91</f>
        <v>0</v>
      </c>
      <c r="AD61" s="537">
        <f>Time!AD$91</f>
        <v>0</v>
      </c>
      <c r="AE61" s="537">
        <f>Time!AE$91</f>
        <v>0</v>
      </c>
      <c r="AF61" s="537">
        <f>Time!AF$91</f>
        <v>0</v>
      </c>
      <c r="AG61" s="537">
        <f>Time!AG$91</f>
        <v>0</v>
      </c>
      <c r="AH61" s="537">
        <f>Time!AH$91</f>
        <v>1</v>
      </c>
      <c r="AI61" s="537">
        <f>Time!AI$91</f>
        <v>1</v>
      </c>
      <c r="AJ61" s="537">
        <f>Time!AJ$91</f>
        <v>1</v>
      </c>
      <c r="AK61" s="537">
        <f>Time!AK$91</f>
        <v>1</v>
      </c>
      <c r="AL61" s="537">
        <f>Time!AL$91</f>
        <v>1</v>
      </c>
      <c r="AM61" s="537">
        <f>Time!AM$91</f>
        <v>1</v>
      </c>
      <c r="AN61" s="537">
        <f>Time!AN$91</f>
        <v>1</v>
      </c>
      <c r="AO61" s="537">
        <f>Time!AO$91</f>
        <v>1</v>
      </c>
      <c r="AP61" s="537">
        <f>Time!AP$91</f>
        <v>1</v>
      </c>
      <c r="AQ61" s="537">
        <f>Time!AQ$91</f>
        <v>1</v>
      </c>
      <c r="AR61" s="537">
        <f>Time!AR$91</f>
        <v>1</v>
      </c>
      <c r="AS61" s="537">
        <f>Time!AS$91</f>
        <v>1</v>
      </c>
      <c r="AT61" s="537">
        <f>Time!AT$91</f>
        <v>1</v>
      </c>
      <c r="AU61" s="537">
        <f>Time!AU$91</f>
        <v>1</v>
      </c>
      <c r="AV61" s="537">
        <f>Time!AV$91</f>
        <v>1</v>
      </c>
      <c r="AW61" s="537">
        <f>Time!AW$91</f>
        <v>1</v>
      </c>
      <c r="AX61" s="537">
        <f>Time!AX$91</f>
        <v>1</v>
      </c>
      <c r="AY61" s="537">
        <f>Time!AY$91</f>
        <v>1</v>
      </c>
      <c r="AZ61" s="537">
        <f>Time!AZ$91</f>
        <v>1</v>
      </c>
      <c r="BA61" s="537">
        <f>Time!BA$91</f>
        <v>1</v>
      </c>
      <c r="BB61" s="537">
        <f>Time!BB$91</f>
        <v>1</v>
      </c>
      <c r="BC61" s="537">
        <f>Time!BC$91</f>
        <v>1</v>
      </c>
      <c r="BD61" s="537">
        <f>Time!BD$91</f>
        <v>1</v>
      </c>
      <c r="BE61" s="537">
        <f>Time!BE$91</f>
        <v>1</v>
      </c>
      <c r="BF61" s="537">
        <f>Time!BF$91</f>
        <v>1</v>
      </c>
      <c r="BG61" s="537">
        <f>Time!BG$91</f>
        <v>1</v>
      </c>
      <c r="BH61" s="537">
        <f>Time!BH$91</f>
        <v>1</v>
      </c>
      <c r="BI61" s="537">
        <f>Time!BI$91</f>
        <v>1</v>
      </c>
      <c r="BJ61" s="537">
        <f>Time!BJ$91</f>
        <v>1</v>
      </c>
      <c r="BK61" s="537">
        <f>Time!BK$91</f>
        <v>1</v>
      </c>
      <c r="BL61" s="537">
        <f>Time!BL$91</f>
        <v>1</v>
      </c>
      <c r="BM61" s="537">
        <f>Time!BM$91</f>
        <v>1</v>
      </c>
      <c r="BN61" s="537">
        <f>Time!BN$91</f>
        <v>1</v>
      </c>
      <c r="BO61" s="537">
        <f>Time!BO$91</f>
        <v>1</v>
      </c>
      <c r="BP61" s="537">
        <f>Time!BP$91</f>
        <v>1</v>
      </c>
      <c r="BQ61" s="537">
        <f>Time!BQ$91</f>
        <v>1</v>
      </c>
      <c r="BR61" s="537">
        <f>Time!BR$91</f>
        <v>1</v>
      </c>
      <c r="BS61" s="537">
        <f>Time!BS$91</f>
        <v>1</v>
      </c>
      <c r="BT61" s="537">
        <f>Time!BT$91</f>
        <v>1</v>
      </c>
      <c r="BU61" s="537">
        <f>Time!BU$91</f>
        <v>1</v>
      </c>
      <c r="BV61" s="537">
        <f>Time!BV$91</f>
        <v>1</v>
      </c>
      <c r="BW61" s="537">
        <f>Time!BW$91</f>
        <v>1</v>
      </c>
      <c r="BX61" s="537">
        <f>Time!BX$91</f>
        <v>1</v>
      </c>
      <c r="BY61" s="537">
        <f>Time!BY$91</f>
        <v>1</v>
      </c>
      <c r="BZ61" s="537">
        <f>Time!BZ$91</f>
        <v>1</v>
      </c>
      <c r="CA61" s="537">
        <f>Time!CA$91</f>
        <v>1</v>
      </c>
      <c r="CB61" s="537">
        <f>Time!CB$91</f>
        <v>1</v>
      </c>
      <c r="CC61" s="537">
        <f>Time!CC$91</f>
        <v>1</v>
      </c>
      <c r="CD61" s="537">
        <f>Time!CD$91</f>
        <v>1</v>
      </c>
      <c r="CE61" s="537">
        <f>Time!CE$91</f>
        <v>1</v>
      </c>
      <c r="CF61" s="537">
        <f>Time!CF$91</f>
        <v>1</v>
      </c>
      <c r="CG61" s="537">
        <f>Time!CG$91</f>
        <v>1</v>
      </c>
      <c r="CH61" s="537">
        <f>Time!CH$91</f>
        <v>1</v>
      </c>
      <c r="CI61" s="537">
        <f>Time!CI$91</f>
        <v>1</v>
      </c>
      <c r="CJ61" s="537">
        <f>Time!CJ$91</f>
        <v>1</v>
      </c>
      <c r="CK61" s="537">
        <f>Time!CK$91</f>
        <v>1</v>
      </c>
      <c r="CL61" s="537">
        <f>Time!CL$91</f>
        <v>1</v>
      </c>
      <c r="CM61" s="537">
        <f>Time!CM$91</f>
        <v>1</v>
      </c>
      <c r="CN61" s="537">
        <f>Time!CN$91</f>
        <v>1</v>
      </c>
      <c r="CO61" s="537">
        <f>Time!CO$91</f>
        <v>1</v>
      </c>
      <c r="CP61" s="537">
        <f>Time!CP$91</f>
        <v>1</v>
      </c>
      <c r="CQ61" s="537">
        <f>Time!CQ$91</f>
        <v>1</v>
      </c>
      <c r="CR61" s="537">
        <f>Time!CR$91</f>
        <v>1</v>
      </c>
      <c r="CS61" s="537">
        <f>Time!CS$91</f>
        <v>1</v>
      </c>
      <c r="CT61" s="537">
        <f>Time!CT$91</f>
        <v>1</v>
      </c>
      <c r="CU61" s="537">
        <f>Time!CU$91</f>
        <v>1</v>
      </c>
      <c r="CV61" s="537">
        <f>Time!CV$91</f>
        <v>1</v>
      </c>
      <c r="CW61" s="537">
        <f>Time!CW$91</f>
        <v>1</v>
      </c>
      <c r="CX61" s="537">
        <f>Time!CX$91</f>
        <v>1</v>
      </c>
      <c r="CY61" s="537">
        <f>Time!CY$91</f>
        <v>1</v>
      </c>
      <c r="CZ61" s="537">
        <f>Time!CZ$91</f>
        <v>1</v>
      </c>
      <c r="DA61" s="537">
        <f>Time!DA$91</f>
        <v>1</v>
      </c>
      <c r="DB61" s="537">
        <f>Time!DB$91</f>
        <v>1</v>
      </c>
      <c r="DC61" s="537">
        <f>Time!DC$91</f>
        <v>1</v>
      </c>
      <c r="DD61" s="537">
        <f>Time!DD$91</f>
        <v>1</v>
      </c>
      <c r="DE61" s="537">
        <f>Time!DE$91</f>
        <v>1</v>
      </c>
      <c r="DF61" s="537">
        <f>Time!DF$91</f>
        <v>1</v>
      </c>
      <c r="DG61" s="537">
        <f>Time!DG$91</f>
        <v>1</v>
      </c>
      <c r="DH61" s="537">
        <f>Time!DH$91</f>
        <v>1</v>
      </c>
      <c r="DI61" s="537">
        <f>Time!DI$91</f>
        <v>1</v>
      </c>
      <c r="DJ61" s="537">
        <f>Time!DJ$91</f>
        <v>1</v>
      </c>
      <c r="DK61" s="537">
        <f>Time!DK$91</f>
        <v>1</v>
      </c>
      <c r="DL61" s="537">
        <f>Time!DL$91</f>
        <v>1</v>
      </c>
      <c r="DM61" s="537">
        <f>Time!DM$91</f>
        <v>1</v>
      </c>
      <c r="DN61" s="537">
        <f>Time!DN$91</f>
        <v>1</v>
      </c>
      <c r="DO61" s="537">
        <f>Time!DO$91</f>
        <v>1</v>
      </c>
      <c r="DP61" s="537">
        <f>Time!DP$91</f>
        <v>1</v>
      </c>
      <c r="DQ61" s="537">
        <f>Time!DQ$91</f>
        <v>1</v>
      </c>
      <c r="DR61" s="537">
        <f>Time!DR$91</f>
        <v>1</v>
      </c>
      <c r="DS61" s="537">
        <f>Time!DS$91</f>
        <v>1</v>
      </c>
      <c r="DT61" s="537">
        <f>Time!DT$91</f>
        <v>1</v>
      </c>
      <c r="DU61" s="537">
        <f>Time!DU$91</f>
        <v>1</v>
      </c>
      <c r="DV61" s="537">
        <f>Time!DV$91</f>
        <v>1</v>
      </c>
      <c r="DW61" s="537">
        <f>Time!DW$91</f>
        <v>1</v>
      </c>
      <c r="DX61" s="537">
        <f>Time!DX$91</f>
        <v>1</v>
      </c>
      <c r="DY61" s="537">
        <f>Time!DY$91</f>
        <v>1</v>
      </c>
      <c r="DZ61" s="537">
        <f>Time!DZ$91</f>
        <v>1</v>
      </c>
      <c r="EA61" s="537">
        <f>Time!EA$91</f>
        <v>1</v>
      </c>
      <c r="EB61" s="537">
        <f>Time!EB$91</f>
        <v>1</v>
      </c>
      <c r="EC61" s="537">
        <f>Time!EC$91</f>
        <v>1</v>
      </c>
      <c r="ED61" s="537">
        <f>Time!ED$91</f>
        <v>0</v>
      </c>
      <c r="EE61" s="537">
        <f>Time!EE$91</f>
        <v>0</v>
      </c>
      <c r="EF61" s="537">
        <f>Time!EF$91</f>
        <v>0</v>
      </c>
      <c r="EG61" s="537">
        <f>Time!EG$91</f>
        <v>0</v>
      </c>
    </row>
    <row r="62" spans="5:137" ht="12.75">
      <c r="E62" s="535" t="str">
        <f>Time!E$163</f>
        <v>Days in period</v>
      </c>
      <c r="G62" s="537" t="str">
        <f>Time!G$163</f>
        <v>days</v>
      </c>
      <c r="H62" s="537">
        <f>Time!H$163</f>
        <v>10227</v>
      </c>
      <c r="J62" s="537">
        <f>Time!J$163</f>
        <v>31</v>
      </c>
      <c r="K62" s="537">
        <f>Time!K$163</f>
        <v>28</v>
      </c>
      <c r="L62" s="537">
        <f>Time!L$163</f>
        <v>31</v>
      </c>
      <c r="M62" s="537">
        <f>Time!M$163</f>
        <v>30</v>
      </c>
      <c r="N62" s="537">
        <f>Time!N$163</f>
        <v>31</v>
      </c>
      <c r="O62" s="537">
        <f>Time!O$163</f>
        <v>30</v>
      </c>
      <c r="P62" s="537">
        <f>Time!P$163</f>
        <v>31</v>
      </c>
      <c r="Q62" s="537">
        <f>Time!Q$163</f>
        <v>31</v>
      </c>
      <c r="R62" s="537">
        <f>Time!R$163</f>
        <v>30</v>
      </c>
      <c r="S62" s="537">
        <f>Time!S$163</f>
        <v>31</v>
      </c>
      <c r="T62" s="537">
        <f>Time!T$163</f>
        <v>30</v>
      </c>
      <c r="U62" s="537">
        <f>Time!U$163</f>
        <v>31</v>
      </c>
      <c r="V62" s="537">
        <f>Time!V$163</f>
        <v>31</v>
      </c>
      <c r="W62" s="537">
        <f>Time!W$163</f>
        <v>29</v>
      </c>
      <c r="X62" s="537">
        <f>Time!X$163</f>
        <v>31</v>
      </c>
      <c r="Y62" s="537">
        <f>Time!Y$163</f>
        <v>30</v>
      </c>
      <c r="Z62" s="537">
        <f>Time!Z$163</f>
        <v>31</v>
      </c>
      <c r="AA62" s="537">
        <f>Time!AA$163</f>
        <v>30</v>
      </c>
      <c r="AB62" s="537">
        <f>Time!AB$163</f>
        <v>31</v>
      </c>
      <c r="AC62" s="537">
        <f>Time!AC$163</f>
        <v>31</v>
      </c>
      <c r="AD62" s="537">
        <f>Time!AD$163</f>
        <v>30</v>
      </c>
      <c r="AE62" s="537">
        <f>Time!AE$163</f>
        <v>31</v>
      </c>
      <c r="AF62" s="537">
        <f>Time!AF$163</f>
        <v>30</v>
      </c>
      <c r="AG62" s="537">
        <f>Time!AG$163</f>
        <v>31</v>
      </c>
      <c r="AH62" s="537">
        <f>Time!AH$163</f>
        <v>90</v>
      </c>
      <c r="AI62" s="537">
        <f>Time!AI$163</f>
        <v>91</v>
      </c>
      <c r="AJ62" s="537">
        <f>Time!AJ$163</f>
        <v>92</v>
      </c>
      <c r="AK62" s="537">
        <f>Time!AK$163</f>
        <v>92</v>
      </c>
      <c r="AL62" s="537">
        <f>Time!AL$163</f>
        <v>90</v>
      </c>
      <c r="AM62" s="537">
        <f>Time!AM$163</f>
        <v>91</v>
      </c>
      <c r="AN62" s="537">
        <f>Time!AN$163</f>
        <v>92</v>
      </c>
      <c r="AO62" s="537">
        <f>Time!AO$163</f>
        <v>92</v>
      </c>
      <c r="AP62" s="537">
        <f>Time!AP$163</f>
        <v>90</v>
      </c>
      <c r="AQ62" s="537">
        <f>Time!AQ$163</f>
        <v>91</v>
      </c>
      <c r="AR62" s="537">
        <f>Time!AR$163</f>
        <v>92</v>
      </c>
      <c r="AS62" s="537">
        <f>Time!AS$163</f>
        <v>92</v>
      </c>
      <c r="AT62" s="537">
        <f>Time!AT$163</f>
        <v>91</v>
      </c>
      <c r="AU62" s="537">
        <f>Time!AU$163</f>
        <v>91</v>
      </c>
      <c r="AV62" s="537">
        <f>Time!AV$163</f>
        <v>92</v>
      </c>
      <c r="AW62" s="537">
        <f>Time!AW$163</f>
        <v>92</v>
      </c>
      <c r="AX62" s="537">
        <f>Time!AX$163</f>
        <v>90</v>
      </c>
      <c r="AY62" s="537">
        <f>Time!AY$163</f>
        <v>91</v>
      </c>
      <c r="AZ62" s="537">
        <f>Time!AZ$163</f>
        <v>92</v>
      </c>
      <c r="BA62" s="537">
        <f>Time!BA$163</f>
        <v>92</v>
      </c>
      <c r="BB62" s="537">
        <f>Time!BB$163</f>
        <v>90</v>
      </c>
      <c r="BC62" s="537">
        <f>Time!BC$163</f>
        <v>91</v>
      </c>
      <c r="BD62" s="537">
        <f>Time!BD$163</f>
        <v>92</v>
      </c>
      <c r="BE62" s="537">
        <f>Time!BE$163</f>
        <v>92</v>
      </c>
      <c r="BF62" s="537">
        <f>Time!BF$163</f>
        <v>90</v>
      </c>
      <c r="BG62" s="537">
        <f>Time!BG$163</f>
        <v>91</v>
      </c>
      <c r="BH62" s="537">
        <f>Time!BH$163</f>
        <v>92</v>
      </c>
      <c r="BI62" s="537">
        <f>Time!BI$163</f>
        <v>92</v>
      </c>
      <c r="BJ62" s="537">
        <f>Time!BJ$163</f>
        <v>91</v>
      </c>
      <c r="BK62" s="537">
        <f>Time!BK$163</f>
        <v>91</v>
      </c>
      <c r="BL62" s="537">
        <f>Time!BL$163</f>
        <v>92</v>
      </c>
      <c r="BM62" s="537">
        <f>Time!BM$163</f>
        <v>92</v>
      </c>
      <c r="BN62" s="537">
        <f>Time!BN$163</f>
        <v>90</v>
      </c>
      <c r="BO62" s="537">
        <f>Time!BO$163</f>
        <v>91</v>
      </c>
      <c r="BP62" s="537">
        <f>Time!BP$163</f>
        <v>92</v>
      </c>
      <c r="BQ62" s="537">
        <f>Time!BQ$163</f>
        <v>92</v>
      </c>
      <c r="BR62" s="537">
        <f>Time!BR$163</f>
        <v>90</v>
      </c>
      <c r="BS62" s="537">
        <f>Time!BS$163</f>
        <v>91</v>
      </c>
      <c r="BT62" s="537">
        <f>Time!BT$163</f>
        <v>92</v>
      </c>
      <c r="BU62" s="537">
        <f>Time!BU$163</f>
        <v>92</v>
      </c>
      <c r="BV62" s="537">
        <f>Time!BV$163</f>
        <v>90</v>
      </c>
      <c r="BW62" s="537">
        <f>Time!BW$163</f>
        <v>91</v>
      </c>
      <c r="BX62" s="537">
        <f>Time!BX$163</f>
        <v>92</v>
      </c>
      <c r="BY62" s="537">
        <f>Time!BY$163</f>
        <v>92</v>
      </c>
      <c r="BZ62" s="537">
        <f>Time!BZ$163</f>
        <v>91</v>
      </c>
      <c r="CA62" s="537">
        <f>Time!CA$163</f>
        <v>91</v>
      </c>
      <c r="CB62" s="537">
        <f>Time!CB$163</f>
        <v>92</v>
      </c>
      <c r="CC62" s="537">
        <f>Time!CC$163</f>
        <v>92</v>
      </c>
      <c r="CD62" s="537">
        <f>Time!CD$163</f>
        <v>90</v>
      </c>
      <c r="CE62" s="537">
        <f>Time!CE$163</f>
        <v>91</v>
      </c>
      <c r="CF62" s="537">
        <f>Time!CF$163</f>
        <v>92</v>
      </c>
      <c r="CG62" s="537">
        <f>Time!CG$163</f>
        <v>92</v>
      </c>
      <c r="CH62" s="537">
        <f>Time!CH$163</f>
        <v>90</v>
      </c>
      <c r="CI62" s="537">
        <f>Time!CI$163</f>
        <v>91</v>
      </c>
      <c r="CJ62" s="537">
        <f>Time!CJ$163</f>
        <v>92</v>
      </c>
      <c r="CK62" s="537">
        <f>Time!CK$163</f>
        <v>92</v>
      </c>
      <c r="CL62" s="537">
        <f>Time!CL$163</f>
        <v>90</v>
      </c>
      <c r="CM62" s="537">
        <f>Time!CM$163</f>
        <v>91</v>
      </c>
      <c r="CN62" s="537">
        <f>Time!CN$163</f>
        <v>92</v>
      </c>
      <c r="CO62" s="537">
        <f>Time!CO$163</f>
        <v>92</v>
      </c>
      <c r="CP62" s="537">
        <f>Time!CP$163</f>
        <v>91</v>
      </c>
      <c r="CQ62" s="537">
        <f>Time!CQ$163</f>
        <v>91</v>
      </c>
      <c r="CR62" s="537">
        <f>Time!CR$163</f>
        <v>92</v>
      </c>
      <c r="CS62" s="537">
        <f>Time!CS$163</f>
        <v>92</v>
      </c>
      <c r="CT62" s="537">
        <f>Time!CT$163</f>
        <v>90</v>
      </c>
      <c r="CU62" s="537">
        <f>Time!CU$163</f>
        <v>91</v>
      </c>
      <c r="CV62" s="537">
        <f>Time!CV$163</f>
        <v>92</v>
      </c>
      <c r="CW62" s="537">
        <f>Time!CW$163</f>
        <v>92</v>
      </c>
      <c r="CX62" s="537">
        <f>Time!CX$163</f>
        <v>90</v>
      </c>
      <c r="CY62" s="537">
        <f>Time!CY$163</f>
        <v>91</v>
      </c>
      <c r="CZ62" s="537">
        <f>Time!CZ$163</f>
        <v>92</v>
      </c>
      <c r="DA62" s="537">
        <f>Time!DA$163</f>
        <v>92</v>
      </c>
      <c r="DB62" s="537">
        <f>Time!DB$163</f>
        <v>90</v>
      </c>
      <c r="DC62" s="537">
        <f>Time!DC$163</f>
        <v>91</v>
      </c>
      <c r="DD62" s="537">
        <f>Time!DD$163</f>
        <v>92</v>
      </c>
      <c r="DE62" s="537">
        <f>Time!DE$163</f>
        <v>92</v>
      </c>
      <c r="DF62" s="537">
        <f>Time!DF$163</f>
        <v>91</v>
      </c>
      <c r="DG62" s="537">
        <f>Time!DG$163</f>
        <v>91</v>
      </c>
      <c r="DH62" s="537">
        <f>Time!DH$163</f>
        <v>92</v>
      </c>
      <c r="DI62" s="537">
        <f>Time!DI$163</f>
        <v>92</v>
      </c>
      <c r="DJ62" s="537">
        <f>Time!DJ$163</f>
        <v>90</v>
      </c>
      <c r="DK62" s="537">
        <f>Time!DK$163</f>
        <v>91</v>
      </c>
      <c r="DL62" s="537">
        <f>Time!DL$163</f>
        <v>92</v>
      </c>
      <c r="DM62" s="537">
        <f>Time!DM$163</f>
        <v>92</v>
      </c>
      <c r="DN62" s="537">
        <f>Time!DN$163</f>
        <v>90</v>
      </c>
      <c r="DO62" s="537">
        <f>Time!DO$163</f>
        <v>91</v>
      </c>
      <c r="DP62" s="537">
        <f>Time!DP$163</f>
        <v>92</v>
      </c>
      <c r="DQ62" s="537">
        <f>Time!DQ$163</f>
        <v>92</v>
      </c>
      <c r="DR62" s="537">
        <f>Time!DR$163</f>
        <v>90</v>
      </c>
      <c r="DS62" s="537">
        <f>Time!DS$163</f>
        <v>91</v>
      </c>
      <c r="DT62" s="537">
        <f>Time!DT$163</f>
        <v>92</v>
      </c>
      <c r="DU62" s="537">
        <f>Time!DU$163</f>
        <v>92</v>
      </c>
      <c r="DV62" s="537">
        <f>Time!DV$163</f>
        <v>91</v>
      </c>
      <c r="DW62" s="537">
        <f>Time!DW$163</f>
        <v>91</v>
      </c>
      <c r="DX62" s="537">
        <f>Time!DX$163</f>
        <v>92</v>
      </c>
      <c r="DY62" s="537">
        <f>Time!DY$163</f>
        <v>92</v>
      </c>
      <c r="DZ62" s="537">
        <f>Time!DZ$163</f>
        <v>90</v>
      </c>
      <c r="EA62" s="537">
        <f>Time!EA$163</f>
        <v>91</v>
      </c>
      <c r="EB62" s="537">
        <f>Time!EB$163</f>
        <v>92</v>
      </c>
      <c r="EC62" s="537">
        <f>Time!EC$163</f>
        <v>92</v>
      </c>
      <c r="ED62" s="537">
        <f>Time!ED$163</f>
        <v>90</v>
      </c>
      <c r="EE62" s="537">
        <f>Time!EE$163</f>
        <v>91</v>
      </c>
      <c r="EF62" s="537">
        <f>Time!EF$163</f>
        <v>92</v>
      </c>
      <c r="EG62" s="537">
        <f>Time!EG$163</f>
        <v>92</v>
      </c>
    </row>
    <row r="63" spans="5:137" ht="12.75">
      <c r="E63" s="538" t="str">
        <f>E$57</f>
        <v>Senior facility - opening balance</v>
      </c>
      <c r="G63" s="539" t="str">
        <f>G$57</f>
        <v>EUR 000s</v>
      </c>
      <c r="H63" s="539">
        <f>H$57</f>
        <v>11123186.810732836</v>
      </c>
      <c r="J63" s="539">
        <f t="shared" si="12" ref="J63:EG63">J$57</f>
        <v>0</v>
      </c>
      <c r="K63" s="539">
        <f t="shared" si="12"/>
        <v>0</v>
      </c>
      <c r="L63" s="539">
        <f t="shared" si="12"/>
        <v>0</v>
      </c>
      <c r="M63" s="539">
        <f t="shared" si="12"/>
        <v>0</v>
      </c>
      <c r="N63" s="539">
        <f t="shared" si="12"/>
        <v>0</v>
      </c>
      <c r="O63" s="539">
        <f t="shared" si="12"/>
        <v>0</v>
      </c>
      <c r="P63" s="539">
        <f t="shared" si="12"/>
        <v>0</v>
      </c>
      <c r="Q63" s="539">
        <f t="shared" si="12"/>
        <v>0</v>
      </c>
      <c r="R63" s="539">
        <f t="shared" si="12"/>
        <v>0</v>
      </c>
      <c r="S63" s="539">
        <f t="shared" si="12"/>
        <v>1382.3281928992874</v>
      </c>
      <c r="T63" s="539">
        <f t="shared" si="12"/>
        <v>19363.172958561812</v>
      </c>
      <c r="U63" s="539">
        <f t="shared" si="12"/>
        <v>37736.181514569398</v>
      </c>
      <c r="V63" s="539">
        <f t="shared" si="12"/>
        <v>56530.476117754166</v>
      </c>
      <c r="W63" s="539">
        <f t="shared" si="12"/>
        <v>74091.405530191638</v>
      </c>
      <c r="X63" s="539">
        <f t="shared" si="12"/>
        <v>91518.934879038119</v>
      </c>
      <c r="Y63" s="539">
        <f t="shared" si="12"/>
        <v>107255.49759656707</v>
      </c>
      <c r="Z63" s="539">
        <f t="shared" si="12"/>
        <v>121061.22875111677</v>
      </c>
      <c r="AA63" s="539">
        <f t="shared" si="12"/>
        <v>133962.70617930786</v>
      </c>
      <c r="AB63" s="539">
        <f t="shared" si="12"/>
        <v>148362.46790677981</v>
      </c>
      <c r="AC63" s="539">
        <f t="shared" si="12"/>
        <v>163506.13990970366</v>
      </c>
      <c r="AD63" s="539">
        <f t="shared" si="12"/>
        <v>178549.55229008626</v>
      </c>
      <c r="AE63" s="539">
        <f t="shared" si="12"/>
        <v>192268.63360155231</v>
      </c>
      <c r="AF63" s="539">
        <f t="shared" si="12"/>
        <v>200952.02892657305</v>
      </c>
      <c r="AG63" s="539">
        <f t="shared" si="12"/>
        <v>207824.75792647921</v>
      </c>
      <c r="AH63" s="539">
        <f t="shared" si="12"/>
        <v>221286.6479110517</v>
      </c>
      <c r="AI63" s="539">
        <f t="shared" si="12"/>
        <v>220608.823757429</v>
      </c>
      <c r="AJ63" s="539">
        <f t="shared" si="12"/>
        <v>218979.44471839062</v>
      </c>
      <c r="AK63" s="539">
        <f t="shared" si="12"/>
        <v>217360.94638439317</v>
      </c>
      <c r="AL63" s="539">
        <f t="shared" si="12"/>
        <v>215730.19804249654</v>
      </c>
      <c r="AM63" s="539">
        <f t="shared" si="12"/>
        <v>213962.26862143833</v>
      </c>
      <c r="AN63" s="539">
        <f t="shared" si="12"/>
        <v>212160.04600216408</v>
      </c>
      <c r="AO63" s="539">
        <f t="shared" si="12"/>
        <v>210365.30914698011</v>
      </c>
      <c r="AP63" s="539">
        <f t="shared" si="12"/>
        <v>208556.00183225214</v>
      </c>
      <c r="AQ63" s="539">
        <f t="shared" si="12"/>
        <v>206608.1421623468</v>
      </c>
      <c r="AR63" s="539">
        <f t="shared" si="12"/>
        <v>204622.0325392868</v>
      </c>
      <c r="AS63" s="539">
        <f t="shared" si="12"/>
        <v>202639.75403211112</v>
      </c>
      <c r="AT63" s="539">
        <f t="shared" si="12"/>
        <v>200640.42828787459</v>
      </c>
      <c r="AU63" s="539">
        <f t="shared" si="12"/>
        <v>198520.66321847215</v>
      </c>
      <c r="AV63" s="539">
        <f t="shared" si="12"/>
        <v>196350.0423303475</v>
      </c>
      <c r="AW63" s="539">
        <f t="shared" si="12"/>
        <v>194168.68761815928</v>
      </c>
      <c r="AX63" s="539">
        <f t="shared" si="12"/>
        <v>191969.90220643775</v>
      </c>
      <c r="AY63" s="539">
        <f t="shared" si="12"/>
        <v>189627.72643192843</v>
      </c>
      <c r="AZ63" s="539">
        <f t="shared" si="12"/>
        <v>187238.5892801146</v>
      </c>
      <c r="BA63" s="539">
        <f t="shared" si="12"/>
        <v>184845.14286697507</v>
      </c>
      <c r="BB63" s="539">
        <f t="shared" si="12"/>
        <v>182431.62986282675</v>
      </c>
      <c r="BC63" s="539">
        <f t="shared" si="12"/>
        <v>179936.99651467081</v>
      </c>
      <c r="BD63" s="539">
        <f t="shared" si="12"/>
        <v>177400.57976910818</v>
      </c>
      <c r="BE63" s="539">
        <f t="shared" si="12"/>
        <v>174865.04661232483</v>
      </c>
      <c r="BF63" s="539">
        <f t="shared" si="12"/>
        <v>172313.4684083091</v>
      </c>
      <c r="BG63" s="539">
        <f t="shared" si="12"/>
        <v>169632.07902517688</v>
      </c>
      <c r="BH63" s="539">
        <f t="shared" si="12"/>
        <v>166902.89896300616</v>
      </c>
      <c r="BI63" s="539">
        <f t="shared" si="12"/>
        <v>164168.91807115515</v>
      </c>
      <c r="BJ63" s="539">
        <f t="shared" si="12"/>
        <v>161414.86878840948</v>
      </c>
      <c r="BK63" s="539">
        <f t="shared" si="12"/>
        <v>158542.07659269078</v>
      </c>
      <c r="BL63" s="539">
        <f t="shared" si="12"/>
        <v>155613.84125510571</v>
      </c>
      <c r="BM63" s="539">
        <f t="shared" si="12"/>
        <v>152663.86316474082</v>
      </c>
      <c r="BN63" s="539">
        <f t="shared" si="12"/>
        <v>149689.78500478482</v>
      </c>
      <c r="BO63" s="539">
        <f t="shared" si="12"/>
        <v>146582.18825556862</v>
      </c>
      <c r="BP63" s="539">
        <f t="shared" si="12"/>
        <v>143414.45037753851</v>
      </c>
      <c r="BQ63" s="539">
        <f t="shared" si="12"/>
        <v>140230.13643606377</v>
      </c>
      <c r="BR63" s="539">
        <f t="shared" si="12"/>
        <v>137017.63189573269</v>
      </c>
      <c r="BS63" s="539">
        <f t="shared" si="12"/>
        <v>133616.70893983805</v>
      </c>
      <c r="BT63" s="539">
        <f t="shared" si="12"/>
        <v>130148.4594856113</v>
      </c>
      <c r="BU63" s="539">
        <f t="shared" si="12"/>
        <v>126656.67559847518</v>
      </c>
      <c r="BV63" s="539">
        <f t="shared" si="12"/>
        <v>123131.75917005076</v>
      </c>
      <c r="BW63" s="539">
        <f t="shared" si="12"/>
        <v>119608.92849224193</v>
      </c>
      <c r="BX63" s="539">
        <f t="shared" si="12"/>
        <v>116425.03572762878</v>
      </c>
      <c r="BY63" s="539">
        <f t="shared" si="12"/>
        <v>113226.81814732924</v>
      </c>
      <c r="BZ63" s="539">
        <f t="shared" si="12"/>
        <v>110006.70537313426</v>
      </c>
      <c r="CA63" s="539">
        <f t="shared" si="12"/>
        <v>106679.6446537234</v>
      </c>
      <c r="CB63" s="539">
        <f t="shared" si="12"/>
        <v>103294.20127478741</v>
      </c>
      <c r="CC63" s="539">
        <f t="shared" si="12"/>
        <v>99911.910581940261</v>
      </c>
      <c r="CD63" s="539">
        <f t="shared" si="12"/>
        <v>96679.218965814158</v>
      </c>
      <c r="CE63" s="539">
        <f t="shared" si="12"/>
        <v>93354.866903009097</v>
      </c>
      <c r="CF63" s="539">
        <f t="shared" si="12"/>
        <v>89964.772122112496</v>
      </c>
      <c r="CG63" s="539">
        <f t="shared" si="12"/>
        <v>86553.919799695548</v>
      </c>
      <c r="CH63" s="539">
        <f t="shared" si="12"/>
        <v>83121.179559975688</v>
      </c>
      <c r="CI63" s="539">
        <f t="shared" si="12"/>
        <v>79593.959452813389</v>
      </c>
      <c r="CJ63" s="539">
        <f t="shared" si="12"/>
        <v>75995.047897345838</v>
      </c>
      <c r="CK63" s="539">
        <f t="shared" si="12"/>
        <v>72369.711752529605</v>
      </c>
      <c r="CL63" s="539">
        <f t="shared" si="12"/>
        <v>68718.73893250621</v>
      </c>
      <c r="CM63" s="539">
        <f t="shared" si="12"/>
        <v>64684.850956016817</v>
      </c>
      <c r="CN63" s="539">
        <f t="shared" si="12"/>
        <v>60569.829778725034</v>
      </c>
      <c r="CO63" s="539">
        <f t="shared" si="12"/>
        <v>56419.081896961972</v>
      </c>
      <c r="CP63" s="539">
        <f t="shared" si="12"/>
        <v>52235.409698162868</v>
      </c>
      <c r="CQ63" s="539">
        <f t="shared" si="12"/>
        <v>48233.700504559805</v>
      </c>
      <c r="CR63" s="539">
        <f t="shared" si="12"/>
        <v>44165.862871224701</v>
      </c>
      <c r="CS63" s="539">
        <f t="shared" si="12"/>
        <v>40047.476011156585</v>
      </c>
      <c r="CT63" s="539">
        <f t="shared" si="12"/>
        <v>35895.790506489262</v>
      </c>
      <c r="CU63" s="539">
        <f t="shared" si="12"/>
        <v>31647.260735279633</v>
      </c>
      <c r="CV63" s="539">
        <f t="shared" si="12"/>
        <v>27308.313550612747</v>
      </c>
      <c r="CW63" s="539">
        <f t="shared" si="12"/>
        <v>22924.904066388648</v>
      </c>
      <c r="CX63" s="539">
        <f t="shared" si="12"/>
        <v>18504.379611735581</v>
      </c>
      <c r="CY63" s="539">
        <f t="shared" si="12"/>
        <v>13986.578233532302</v>
      </c>
      <c r="CZ63" s="539">
        <f t="shared" si="12"/>
        <v>9371.8894561927991</v>
      </c>
      <c r="DA63" s="539">
        <f t="shared" si="12"/>
        <v>4706.4513561860967</v>
      </c>
      <c r="DB63" s="539">
        <f t="shared" si="12"/>
        <v>0</v>
      </c>
      <c r="DC63" s="539">
        <f t="shared" si="12"/>
        <v>0</v>
      </c>
      <c r="DD63" s="539">
        <f t="shared" si="12"/>
        <v>0</v>
      </c>
      <c r="DE63" s="539">
        <f t="shared" si="12"/>
        <v>0</v>
      </c>
      <c r="DF63" s="539">
        <f t="shared" si="12"/>
        <v>0</v>
      </c>
      <c r="DG63" s="539">
        <f t="shared" si="12"/>
        <v>0</v>
      </c>
      <c r="DH63" s="539">
        <f t="shared" si="12"/>
        <v>0</v>
      </c>
      <c r="DI63" s="539">
        <f t="shared" si="12"/>
        <v>0</v>
      </c>
      <c r="DJ63" s="539">
        <f t="shared" si="12"/>
        <v>0</v>
      </c>
      <c r="DK63" s="539">
        <f t="shared" si="12"/>
        <v>0</v>
      </c>
      <c r="DL63" s="539">
        <f t="shared" si="12"/>
        <v>0</v>
      </c>
      <c r="DM63" s="539">
        <f t="shared" si="12"/>
        <v>0</v>
      </c>
      <c r="DN63" s="539">
        <f t="shared" si="12"/>
        <v>0</v>
      </c>
      <c r="DO63" s="539">
        <f t="shared" si="12"/>
        <v>0</v>
      </c>
      <c r="DP63" s="539">
        <f t="shared" si="12"/>
        <v>0</v>
      </c>
      <c r="DQ63" s="539">
        <f t="shared" si="12"/>
        <v>0</v>
      </c>
      <c r="DR63" s="539">
        <f t="shared" si="12"/>
        <v>0</v>
      </c>
      <c r="DS63" s="539">
        <f t="shared" si="12"/>
        <v>0</v>
      </c>
      <c r="DT63" s="539">
        <f t="shared" si="12"/>
        <v>0</v>
      </c>
      <c r="DU63" s="539">
        <f t="shared" si="12"/>
        <v>0</v>
      </c>
      <c r="DV63" s="539">
        <f t="shared" si="12"/>
        <v>0</v>
      </c>
      <c r="DW63" s="539">
        <f t="shared" si="12"/>
        <v>0</v>
      </c>
      <c r="DX63" s="539">
        <f t="shared" si="12"/>
        <v>0</v>
      </c>
      <c r="DY63" s="539">
        <f t="shared" si="12"/>
        <v>0</v>
      </c>
      <c r="DZ63" s="539">
        <f t="shared" si="12"/>
        <v>0</v>
      </c>
      <c r="EA63" s="539">
        <f t="shared" si="12"/>
        <v>0</v>
      </c>
      <c r="EB63" s="539">
        <f t="shared" si="12"/>
        <v>0</v>
      </c>
      <c r="EC63" s="539">
        <f t="shared" si="12"/>
        <v>0</v>
      </c>
      <c r="ED63" s="539">
        <f t="shared" si="12"/>
        <v>0</v>
      </c>
      <c r="EE63" s="539">
        <f t="shared" si="12"/>
        <v>0</v>
      </c>
      <c r="EF63" s="539">
        <f t="shared" si="12"/>
        <v>0</v>
      </c>
      <c r="EG63" s="539">
        <f t="shared" si="12"/>
        <v>0</v>
      </c>
    </row>
    <row r="64" spans="5:137" ht="12.75">
      <c r="E64" s="540" t="s">
        <v>316</v>
      </c>
      <c r="G64" s="541" t="s">
        <v>30</v>
      </c>
      <c r="H64" s="541">
        <f>SUM(J64:EG64)</f>
        <v>129146.28987807478</v>
      </c>
      <c r="J64" s="541">
        <f t="shared" si="13" ref="J64:EG64">J63*$F59*J62/$F60*J61</f>
        <v>0</v>
      </c>
      <c r="K64" s="541">
        <f t="shared" si="13"/>
        <v>0</v>
      </c>
      <c r="L64" s="541">
        <f t="shared" si="13"/>
        <v>0</v>
      </c>
      <c r="M64" s="541">
        <f t="shared" si="13"/>
        <v>0</v>
      </c>
      <c r="N64" s="541">
        <f t="shared" si="13"/>
        <v>0</v>
      </c>
      <c r="O64" s="541">
        <f t="shared" si="13"/>
        <v>0</v>
      </c>
      <c r="P64" s="541">
        <f t="shared" si="13"/>
        <v>0</v>
      </c>
      <c r="Q64" s="541">
        <f t="shared" si="13"/>
        <v>0</v>
      </c>
      <c r="R64" s="541">
        <f t="shared" si="13"/>
        <v>0</v>
      </c>
      <c r="S64" s="541">
        <f t="shared" si="13"/>
        <v>0</v>
      </c>
      <c r="T64" s="541">
        <f t="shared" si="13"/>
        <v>0</v>
      </c>
      <c r="U64" s="541">
        <f t="shared" si="13"/>
        <v>0</v>
      </c>
      <c r="V64" s="541">
        <f t="shared" si="13"/>
        <v>0</v>
      </c>
      <c r="W64" s="541">
        <f t="shared" si="13"/>
        <v>0</v>
      </c>
      <c r="X64" s="541">
        <f t="shared" si="13"/>
        <v>0</v>
      </c>
      <c r="Y64" s="541">
        <f t="shared" si="13"/>
        <v>0</v>
      </c>
      <c r="Z64" s="541">
        <f t="shared" si="13"/>
        <v>0</v>
      </c>
      <c r="AA64" s="541">
        <f t="shared" si="13"/>
        <v>0</v>
      </c>
      <c r="AB64" s="541">
        <f t="shared" si="13"/>
        <v>0</v>
      </c>
      <c r="AC64" s="541">
        <f t="shared" si="13"/>
        <v>0</v>
      </c>
      <c r="AD64" s="541">
        <f t="shared" si="13"/>
        <v>0</v>
      </c>
      <c r="AE64" s="541">
        <f t="shared" si="13"/>
        <v>0</v>
      </c>
      <c r="AF64" s="541">
        <f t="shared" si="13"/>
        <v>0</v>
      </c>
      <c r="AG64" s="541">
        <f t="shared" si="13"/>
        <v>0</v>
      </c>
      <c r="AH64" s="541">
        <f t="shared" si="13"/>
        <v>3001.0107045471395</v>
      </c>
      <c r="AI64" s="541">
        <f t="shared" si="13"/>
        <v>3025.0607202902252</v>
      </c>
      <c r="AJ64" s="541">
        <f t="shared" si="13"/>
        <v>3035.7150418494703</v>
      </c>
      <c r="AK64" s="541">
        <f t="shared" si="13"/>
        <v>3013.2777772740533</v>
      </c>
      <c r="AL64" s="541">
        <f t="shared" si="13"/>
        <v>2925.6561104393368</v>
      </c>
      <c r="AM64" s="541">
        <f t="shared" si="13"/>
        <v>2933.9209710967089</v>
      </c>
      <c r="AN64" s="541">
        <f t="shared" si="13"/>
        <v>2941.1776240300005</v>
      </c>
      <c r="AO64" s="541">
        <f t="shared" si="13"/>
        <v>2916.2971624211491</v>
      </c>
      <c r="AP64" s="541">
        <f t="shared" si="13"/>
        <v>2828.362216629173</v>
      </c>
      <c r="AQ64" s="541">
        <f t="shared" si="13"/>
        <v>2833.0787712946462</v>
      </c>
      <c r="AR64" s="541">
        <f t="shared" si="13"/>
        <v>2836.6780401336746</v>
      </c>
      <c r="AS64" s="541">
        <f t="shared" si="13"/>
        <v>2809.1976860341979</v>
      </c>
      <c r="AT64" s="541">
        <f t="shared" si="13"/>
        <v>2751.2475166597596</v>
      </c>
      <c r="AU64" s="541">
        <f t="shared" si="13"/>
        <v>2722.1806011190497</v>
      </c>
      <c r="AV64" s="541">
        <f t="shared" si="13"/>
        <v>2722.0033265522147</v>
      </c>
      <c r="AW64" s="541">
        <f t="shared" si="13"/>
        <v>2691.763176295578</v>
      </c>
      <c r="AX64" s="541">
        <f t="shared" si="13"/>
        <v>2603.4274408818269</v>
      </c>
      <c r="AY64" s="541">
        <f t="shared" si="13"/>
        <v>2600.2377281967169</v>
      </c>
      <c r="AZ64" s="541">
        <f t="shared" si="13"/>
        <v>2595.6911281024104</v>
      </c>
      <c r="BA64" s="541">
        <f t="shared" si="13"/>
        <v>2562.5107476901208</v>
      </c>
      <c r="BB64" s="541">
        <f t="shared" si="13"/>
        <v>2474.0727885506644</v>
      </c>
      <c r="BC64" s="541">
        <f t="shared" si="13"/>
        <v>2467.3552535778831</v>
      </c>
      <c r="BD64" s="541">
        <f t="shared" si="13"/>
        <v>2459.3066674840757</v>
      </c>
      <c r="BE64" s="541">
        <f t="shared" si="13"/>
        <v>2424.1565365982565</v>
      </c>
      <c r="BF64" s="541">
        <f t="shared" si="13"/>
        <v>2336.8538866332328</v>
      </c>
      <c r="BG64" s="541">
        <f t="shared" si="13"/>
        <v>2326.0508370438638</v>
      </c>
      <c r="BH64" s="541">
        <f t="shared" si="13"/>
        <v>2313.7771746652356</v>
      </c>
      <c r="BI64" s="541">
        <f t="shared" si="13"/>
        <v>2275.8759601097127</v>
      </c>
      <c r="BJ64" s="541">
        <f t="shared" si="13"/>
        <v>2213.3737487287381</v>
      </c>
      <c r="BK64" s="541">
        <f t="shared" si="13"/>
        <v>2173.9810776614172</v>
      </c>
      <c r="BL64" s="541">
        <f t="shared" si="13"/>
        <v>2157.2768130159861</v>
      </c>
      <c r="BM64" s="541">
        <f t="shared" si="13"/>
        <v>2116.3812263385985</v>
      </c>
      <c r="BN64" s="541">
        <f t="shared" si="13"/>
        <v>2030.0395500648901</v>
      </c>
      <c r="BO64" s="541">
        <f t="shared" si="13"/>
        <v>2009.983156764715</v>
      </c>
      <c r="BP64" s="541">
        <f t="shared" si="13"/>
        <v>1988.1564901653285</v>
      </c>
      <c r="BQ64" s="541">
        <f t="shared" si="13"/>
        <v>1944.012302373925</v>
      </c>
      <c r="BR64" s="541">
        <f t="shared" si="13"/>
        <v>1858.1843229695255</v>
      </c>
      <c r="BS64" s="541">
        <f t="shared" si="13"/>
        <v>1832.1962417640807</v>
      </c>
      <c r="BT64" s="541">
        <f t="shared" si="13"/>
        <v>1804.2498767046388</v>
      </c>
      <c r="BU64" s="541">
        <f t="shared" si="13"/>
        <v>1755.8432288446147</v>
      </c>
      <c r="BV64" s="541">
        <f t="shared" si="13"/>
        <v>1669.8690627171268</v>
      </c>
      <c r="BW64" s="541">
        <f t="shared" si="13"/>
        <v>1640.1169509689614</v>
      </c>
      <c r="BX64" s="541">
        <f t="shared" si="13"/>
        <v>1614.0018651556209</v>
      </c>
      <c r="BY64" s="541">
        <f t="shared" si="13"/>
        <v>1569.6649310287287</v>
      </c>
      <c r="BZ64" s="541">
        <f t="shared" si="13"/>
        <v>1508.4481106644848</v>
      </c>
      <c r="CA64" s="541">
        <f t="shared" si="13"/>
        <v>1462.8263602517413</v>
      </c>
      <c r="CB64" s="541">
        <f t="shared" si="13"/>
        <v>1431.9689272614364</v>
      </c>
      <c r="CC64" s="541">
        <f t="shared" si="13"/>
        <v>1385.0801850537471</v>
      </c>
      <c r="CD64" s="541">
        <f t="shared" si="13"/>
        <v>1311.1291339199454</v>
      </c>
      <c r="CE64" s="541">
        <f t="shared" si="13"/>
        <v>1280.1126269850974</v>
      </c>
      <c r="CF64" s="541">
        <f t="shared" si="13"/>
        <v>1247.1828683229842</v>
      </c>
      <c r="CG64" s="541">
        <f t="shared" si="13"/>
        <v>1199.8981758533134</v>
      </c>
      <c r="CH64" s="541">
        <f t="shared" si="13"/>
        <v>1127.2598323887116</v>
      </c>
      <c r="CI64" s="541">
        <f t="shared" si="13"/>
        <v>1091.4185398940576</v>
      </c>
      <c r="CJ64" s="541">
        <f t="shared" si="13"/>
        <v>1053.5203900289587</v>
      </c>
      <c r="CK64" s="541">
        <f t="shared" si="13"/>
        <v>1003.2623053912324</v>
      </c>
      <c r="CL64" s="541">
        <f t="shared" si="13"/>
        <v>931.93906223535828</v>
      </c>
      <c r="CM64" s="541">
        <f t="shared" si="13"/>
        <v>886.97994256127174</v>
      </c>
      <c r="CN64" s="541">
        <f t="shared" si="13"/>
        <v>839.68037994616066</v>
      </c>
      <c r="CO64" s="541">
        <f t="shared" si="13"/>
        <v>782.13850520171934</v>
      </c>
      <c r="CP64" s="541">
        <f t="shared" si="13"/>
        <v>716.2691110665894</v>
      </c>
      <c r="CQ64" s="541">
        <f t="shared" si="13"/>
        <v>661.39635897348455</v>
      </c>
      <c r="CR64" s="541">
        <f t="shared" si="13"/>
        <v>612.27196199560819</v>
      </c>
      <c r="CS64" s="541">
        <f t="shared" si="13"/>
        <v>555.17870853822558</v>
      </c>
      <c r="CT64" s="541">
        <f t="shared" si="13"/>
        <v>486.80592604690918</v>
      </c>
      <c r="CU64" s="541">
        <f t="shared" si="13"/>
        <v>433.95764378102621</v>
      </c>
      <c r="CV64" s="541">
        <f t="shared" si="13"/>
        <v>378.57552483863145</v>
      </c>
      <c r="CW64" s="541">
        <f t="shared" si="13"/>
        <v>317.80825911212753</v>
      </c>
      <c r="CX64" s="541">
        <f t="shared" si="13"/>
        <v>250.94980569340035</v>
      </c>
      <c r="CY64" s="541">
        <f t="shared" si="13"/>
        <v>191.78855906528543</v>
      </c>
      <c r="CZ64" s="541">
        <f t="shared" si="13"/>
        <v>129.9226319132481</v>
      </c>
      <c r="DA64" s="541">
        <f t="shared" si="13"/>
        <v>65.245599622744237</v>
      </c>
      <c r="DB64" s="541">
        <f t="shared" si="13"/>
        <v>0</v>
      </c>
      <c r="DC64" s="541">
        <f t="shared" si="13"/>
        <v>0</v>
      </c>
      <c r="DD64" s="541">
        <f t="shared" si="13"/>
        <v>0</v>
      </c>
      <c r="DE64" s="541">
        <f t="shared" si="13"/>
        <v>0</v>
      </c>
      <c r="DF64" s="541">
        <f t="shared" si="13"/>
        <v>0</v>
      </c>
      <c r="DG64" s="541">
        <f t="shared" si="13"/>
        <v>0</v>
      </c>
      <c r="DH64" s="541">
        <f t="shared" si="13"/>
        <v>0</v>
      </c>
      <c r="DI64" s="541">
        <f t="shared" si="13"/>
        <v>0</v>
      </c>
      <c r="DJ64" s="541">
        <f t="shared" si="13"/>
        <v>0</v>
      </c>
      <c r="DK64" s="541">
        <f t="shared" si="13"/>
        <v>0</v>
      </c>
      <c r="DL64" s="541">
        <f t="shared" si="13"/>
        <v>0</v>
      </c>
      <c r="DM64" s="541">
        <f t="shared" si="13"/>
        <v>0</v>
      </c>
      <c r="DN64" s="541">
        <f t="shared" si="13"/>
        <v>0</v>
      </c>
      <c r="DO64" s="541">
        <f t="shared" si="13"/>
        <v>0</v>
      </c>
      <c r="DP64" s="541">
        <f t="shared" si="13"/>
        <v>0</v>
      </c>
      <c r="DQ64" s="541">
        <f t="shared" si="13"/>
        <v>0</v>
      </c>
      <c r="DR64" s="541">
        <f t="shared" si="13"/>
        <v>0</v>
      </c>
      <c r="DS64" s="541">
        <f t="shared" si="13"/>
        <v>0</v>
      </c>
      <c r="DT64" s="541">
        <f t="shared" si="13"/>
        <v>0</v>
      </c>
      <c r="DU64" s="541">
        <f t="shared" si="13"/>
        <v>0</v>
      </c>
      <c r="DV64" s="541">
        <f t="shared" si="13"/>
        <v>0</v>
      </c>
      <c r="DW64" s="541">
        <f t="shared" si="13"/>
        <v>0</v>
      </c>
      <c r="DX64" s="541">
        <f t="shared" si="13"/>
        <v>0</v>
      </c>
      <c r="DY64" s="541">
        <f t="shared" si="13"/>
        <v>0</v>
      </c>
      <c r="DZ64" s="541">
        <f t="shared" si="13"/>
        <v>0</v>
      </c>
      <c r="EA64" s="541">
        <f t="shared" si="13"/>
        <v>0</v>
      </c>
      <c r="EB64" s="541">
        <f t="shared" si="13"/>
        <v>0</v>
      </c>
      <c r="EC64" s="541">
        <f t="shared" si="13"/>
        <v>0</v>
      </c>
      <c r="ED64" s="541">
        <f t="shared" si="13"/>
        <v>0</v>
      </c>
      <c r="EE64" s="541">
        <f t="shared" si="13"/>
        <v>0</v>
      </c>
      <c r="EF64" s="541">
        <f t="shared" si="13"/>
        <v>0</v>
      </c>
      <c r="EG64" s="541">
        <f t="shared" si="13"/>
        <v>0</v>
      </c>
    </row>
    <row r="66" spans="2:2" ht="12.75">
      <c r="B66" s="534" t="s">
        <v>317</v>
      </c>
    </row>
    <row r="67" spans="5:137" ht="12.75">
      <c r="E67" s="538" t="str">
        <f>E$50</f>
        <v>Senior facility - sculpted debt service</v>
      </c>
      <c r="G67" s="539" t="str">
        <f>G$50</f>
        <v>EUR 000s</v>
      </c>
      <c r="H67" s="539">
        <f>H$50</f>
        <v>350432.93778912676</v>
      </c>
      <c r="J67" s="539">
        <f t="shared" si="14" ref="J67:EG67">J$50</f>
        <v>0</v>
      </c>
      <c r="K67" s="539">
        <f t="shared" si="14"/>
        <v>0</v>
      </c>
      <c r="L67" s="539">
        <f t="shared" si="14"/>
        <v>0</v>
      </c>
      <c r="M67" s="539">
        <f t="shared" si="14"/>
        <v>0</v>
      </c>
      <c r="N67" s="539">
        <f t="shared" si="14"/>
        <v>0</v>
      </c>
      <c r="O67" s="539">
        <f t="shared" si="14"/>
        <v>0</v>
      </c>
      <c r="P67" s="539">
        <f t="shared" si="14"/>
        <v>0</v>
      </c>
      <c r="Q67" s="539">
        <f t="shared" si="14"/>
        <v>0</v>
      </c>
      <c r="R67" s="539">
        <f t="shared" si="14"/>
        <v>0</v>
      </c>
      <c r="S67" s="539">
        <f t="shared" si="14"/>
        <v>0</v>
      </c>
      <c r="T67" s="539">
        <f t="shared" si="14"/>
        <v>0</v>
      </c>
      <c r="U67" s="539">
        <f t="shared" si="14"/>
        <v>0</v>
      </c>
      <c r="V67" s="539">
        <f t="shared" si="14"/>
        <v>0</v>
      </c>
      <c r="W67" s="539">
        <f t="shared" si="14"/>
        <v>0</v>
      </c>
      <c r="X67" s="539">
        <f t="shared" si="14"/>
        <v>0</v>
      </c>
      <c r="Y67" s="539">
        <f t="shared" si="14"/>
        <v>0</v>
      </c>
      <c r="Z67" s="539">
        <f t="shared" si="14"/>
        <v>0</v>
      </c>
      <c r="AA67" s="539">
        <f t="shared" si="14"/>
        <v>0</v>
      </c>
      <c r="AB67" s="539">
        <f t="shared" si="14"/>
        <v>0</v>
      </c>
      <c r="AC67" s="539">
        <f t="shared" si="14"/>
        <v>0</v>
      </c>
      <c r="AD67" s="539">
        <f t="shared" si="14"/>
        <v>0</v>
      </c>
      <c r="AE67" s="539">
        <f t="shared" si="14"/>
        <v>0</v>
      </c>
      <c r="AF67" s="539">
        <f t="shared" si="14"/>
        <v>0</v>
      </c>
      <c r="AG67" s="539">
        <f t="shared" si="14"/>
        <v>0</v>
      </c>
      <c r="AH67" s="539">
        <f t="shared" si="14"/>
        <v>3678.8348581698501</v>
      </c>
      <c r="AI67" s="539">
        <f t="shared" si="14"/>
        <v>4654.4397593286103</v>
      </c>
      <c r="AJ67" s="539">
        <f t="shared" si="14"/>
        <v>4654.2133758469154</v>
      </c>
      <c r="AK67" s="539">
        <f t="shared" si="14"/>
        <v>4644.0261191706895</v>
      </c>
      <c r="AL67" s="539">
        <f t="shared" si="14"/>
        <v>4693.5855314975461</v>
      </c>
      <c r="AM67" s="539">
        <f t="shared" si="14"/>
        <v>4736.1435903709635</v>
      </c>
      <c r="AN67" s="539">
        <f t="shared" si="14"/>
        <v>4735.9144792139659</v>
      </c>
      <c r="AO67" s="539">
        <f t="shared" si="14"/>
        <v>4725.6044771491152</v>
      </c>
      <c r="AP67" s="539">
        <f t="shared" si="14"/>
        <v>4776.2218865345076</v>
      </c>
      <c r="AQ67" s="539">
        <f t="shared" si="14"/>
        <v>4819.1883943546436</v>
      </c>
      <c r="AR67" s="539">
        <f t="shared" si="14"/>
        <v>4818.9565473093417</v>
      </c>
      <c r="AS67" s="539">
        <f t="shared" si="14"/>
        <v>4808.523430270714</v>
      </c>
      <c r="AT67" s="539">
        <f t="shared" si="14"/>
        <v>4871.0125860621984</v>
      </c>
      <c r="AU67" s="539">
        <f t="shared" si="14"/>
        <v>4892.8014892437168</v>
      </c>
      <c r="AV67" s="539">
        <f t="shared" si="14"/>
        <v>4903.358038740419</v>
      </c>
      <c r="AW67" s="539">
        <f t="shared" si="14"/>
        <v>4890.5485880171236</v>
      </c>
      <c r="AX67" s="539">
        <f t="shared" si="14"/>
        <v>4945.6032153911401</v>
      </c>
      <c r="AY67" s="539">
        <f t="shared" si="14"/>
        <v>4989.3748800105577</v>
      </c>
      <c r="AZ67" s="539">
        <f t="shared" si="14"/>
        <v>4989.1375412419338</v>
      </c>
      <c r="BA67" s="539">
        <f t="shared" si="14"/>
        <v>4976.0237518384511</v>
      </c>
      <c r="BB67" s="539">
        <f t="shared" si="14"/>
        <v>4968.7061367066199</v>
      </c>
      <c r="BC67" s="539">
        <f t="shared" si="14"/>
        <v>5003.7719991405111</v>
      </c>
      <c r="BD67" s="539">
        <f t="shared" si="14"/>
        <v>4994.8398242674302</v>
      </c>
      <c r="BE67" s="539">
        <f t="shared" si="14"/>
        <v>4975.7347406139879</v>
      </c>
      <c r="BF67" s="539">
        <f t="shared" si="14"/>
        <v>5018.2432697654431</v>
      </c>
      <c r="BG67" s="539">
        <f t="shared" si="14"/>
        <v>5055.2308992146009</v>
      </c>
      <c r="BH67" s="539">
        <f t="shared" si="14"/>
        <v>5047.7580665162341</v>
      </c>
      <c r="BI67" s="539">
        <f t="shared" si="14"/>
        <v>5029.9252428553727</v>
      </c>
      <c r="BJ67" s="539">
        <f t="shared" si="14"/>
        <v>5086.1659444474417</v>
      </c>
      <c r="BK67" s="539">
        <f t="shared" si="14"/>
        <v>5102.2164152464693</v>
      </c>
      <c r="BL67" s="539">
        <f t="shared" si="14"/>
        <v>5107.2549033808882</v>
      </c>
      <c r="BM67" s="539">
        <f t="shared" si="14"/>
        <v>5090.4593862946022</v>
      </c>
      <c r="BN67" s="539">
        <f t="shared" si="14"/>
        <v>5137.6362992811</v>
      </c>
      <c r="BO67" s="539">
        <f t="shared" si="14"/>
        <v>5177.721034794823</v>
      </c>
      <c r="BP67" s="539">
        <f t="shared" si="14"/>
        <v>5172.4704316400748</v>
      </c>
      <c r="BQ67" s="539">
        <f t="shared" si="14"/>
        <v>5156.5168427050112</v>
      </c>
      <c r="BR67" s="539">
        <f t="shared" si="14"/>
        <v>5259.1072788641732</v>
      </c>
      <c r="BS67" s="539">
        <f t="shared" si="14"/>
        <v>5300.4456959908366</v>
      </c>
      <c r="BT67" s="539">
        <f t="shared" si="14"/>
        <v>5296.0337638407573</v>
      </c>
      <c r="BU67" s="539">
        <f t="shared" si="14"/>
        <v>5280.7596572690318</v>
      </c>
      <c r="BV67" s="539">
        <f t="shared" si="14"/>
        <v>5192.6997405259599</v>
      </c>
      <c r="BW67" s="539">
        <f t="shared" si="14"/>
        <v>4824.0097155821095</v>
      </c>
      <c r="BX67" s="539">
        <f t="shared" si="14"/>
        <v>4812.2194454551673</v>
      </c>
      <c r="BY67" s="539">
        <f t="shared" si="14"/>
        <v>4789.7777052237061</v>
      </c>
      <c r="BZ67" s="539">
        <f t="shared" si="14"/>
        <v>4835.508830075345</v>
      </c>
      <c r="CA67" s="539">
        <f t="shared" si="14"/>
        <v>4848.2697391877382</v>
      </c>
      <c r="CB67" s="539">
        <f t="shared" si="14"/>
        <v>4814.2596201085926</v>
      </c>
      <c r="CC67" s="539">
        <f t="shared" si="14"/>
        <v>4617.7718011798452</v>
      </c>
      <c r="CD67" s="539">
        <f t="shared" si="14"/>
        <v>4635.4811967250052</v>
      </c>
      <c r="CE67" s="539">
        <f t="shared" si="14"/>
        <v>4670.2074078817031</v>
      </c>
      <c r="CF67" s="539">
        <f t="shared" si="14"/>
        <v>4658.0351907399381</v>
      </c>
      <c r="CG67" s="539">
        <f t="shared" si="14"/>
        <v>4632.6384155731694</v>
      </c>
      <c r="CH67" s="539">
        <f t="shared" si="14"/>
        <v>4654.4799395510099</v>
      </c>
      <c r="CI67" s="539">
        <f t="shared" si="14"/>
        <v>4690.3300953616026</v>
      </c>
      <c r="CJ67" s="539">
        <f t="shared" si="14"/>
        <v>4678.8565348451857</v>
      </c>
      <c r="CK67" s="539">
        <f t="shared" si="14"/>
        <v>4654.2351254146215</v>
      </c>
      <c r="CL67" s="539">
        <f t="shared" si="14"/>
        <v>4965.8270387247549</v>
      </c>
      <c r="CM67" s="539">
        <f t="shared" si="14"/>
        <v>5002.0011198530556</v>
      </c>
      <c r="CN67" s="539">
        <f t="shared" si="14"/>
        <v>4990.4282617092213</v>
      </c>
      <c r="CO67" s="539">
        <f t="shared" si="14"/>
        <v>4965.8107040008254</v>
      </c>
      <c r="CP67" s="539">
        <f t="shared" si="14"/>
        <v>4717.9783046696557</v>
      </c>
      <c r="CQ67" s="539">
        <f t="shared" si="14"/>
        <v>4729.233992308592</v>
      </c>
      <c r="CR67" s="539">
        <f t="shared" si="14"/>
        <v>4730.658822063725</v>
      </c>
      <c r="CS67" s="539">
        <f t="shared" si="14"/>
        <v>4706.8642132055456</v>
      </c>
      <c r="CT67" s="539">
        <f t="shared" si="14"/>
        <v>4735.3356972565371</v>
      </c>
      <c r="CU67" s="539">
        <f t="shared" si="14"/>
        <v>4772.9048284479113</v>
      </c>
      <c r="CV67" s="539">
        <f t="shared" si="14"/>
        <v>4761.9850090627306</v>
      </c>
      <c r="CW67" s="539">
        <f t="shared" si="14"/>
        <v>4738.3327137651941</v>
      </c>
      <c r="CX67" s="539">
        <f t="shared" si="14"/>
        <v>4768.7511838966802</v>
      </c>
      <c r="CY67" s="539">
        <f t="shared" si="14"/>
        <v>4806.4773364047878</v>
      </c>
      <c r="CZ67" s="539">
        <f t="shared" si="14"/>
        <v>4795.3607319199509</v>
      </c>
      <c r="DA67" s="539">
        <f t="shared" si="14"/>
        <v>4771.6969558091578</v>
      </c>
      <c r="DB67" s="539">
        <f t="shared" si="14"/>
        <v>0</v>
      </c>
      <c r="DC67" s="539">
        <f t="shared" si="14"/>
        <v>0</v>
      </c>
      <c r="DD67" s="539">
        <f t="shared" si="14"/>
        <v>0</v>
      </c>
      <c r="DE67" s="539">
        <f t="shared" si="14"/>
        <v>0</v>
      </c>
      <c r="DF67" s="539">
        <f t="shared" si="14"/>
        <v>0</v>
      </c>
      <c r="DG67" s="539">
        <f t="shared" si="14"/>
        <v>0</v>
      </c>
      <c r="DH67" s="539">
        <f t="shared" si="14"/>
        <v>0</v>
      </c>
      <c r="DI67" s="539">
        <f t="shared" si="14"/>
        <v>0</v>
      </c>
      <c r="DJ67" s="539">
        <f t="shared" si="14"/>
        <v>0</v>
      </c>
      <c r="DK67" s="539">
        <f t="shared" si="14"/>
        <v>0</v>
      </c>
      <c r="DL67" s="539">
        <f t="shared" si="14"/>
        <v>0</v>
      </c>
      <c r="DM67" s="539">
        <f t="shared" si="14"/>
        <v>0</v>
      </c>
      <c r="DN67" s="539">
        <f t="shared" si="14"/>
        <v>0</v>
      </c>
      <c r="DO67" s="539">
        <f t="shared" si="14"/>
        <v>0</v>
      </c>
      <c r="DP67" s="539">
        <f t="shared" si="14"/>
        <v>0</v>
      </c>
      <c r="DQ67" s="539">
        <f t="shared" si="14"/>
        <v>0</v>
      </c>
      <c r="DR67" s="539">
        <f t="shared" si="14"/>
        <v>0</v>
      </c>
      <c r="DS67" s="539">
        <f t="shared" si="14"/>
        <v>0</v>
      </c>
      <c r="DT67" s="539">
        <f t="shared" si="14"/>
        <v>0</v>
      </c>
      <c r="DU67" s="539">
        <f t="shared" si="14"/>
        <v>0</v>
      </c>
      <c r="DV67" s="539">
        <f t="shared" si="14"/>
        <v>0</v>
      </c>
      <c r="DW67" s="539">
        <f t="shared" si="14"/>
        <v>0</v>
      </c>
      <c r="DX67" s="539">
        <f t="shared" si="14"/>
        <v>0</v>
      </c>
      <c r="DY67" s="539">
        <f t="shared" si="14"/>
        <v>0</v>
      </c>
      <c r="DZ67" s="539">
        <f t="shared" si="14"/>
        <v>0</v>
      </c>
      <c r="EA67" s="539">
        <f t="shared" si="14"/>
        <v>0</v>
      </c>
      <c r="EB67" s="539">
        <f t="shared" si="14"/>
        <v>0</v>
      </c>
      <c r="EC67" s="539">
        <f t="shared" si="14"/>
        <v>0</v>
      </c>
      <c r="ED67" s="539">
        <f t="shared" si="14"/>
        <v>0</v>
      </c>
      <c r="EE67" s="539">
        <f t="shared" si="14"/>
        <v>0</v>
      </c>
      <c r="EF67" s="539">
        <f t="shared" si="14"/>
        <v>0</v>
      </c>
      <c r="EG67" s="539">
        <f t="shared" si="14"/>
        <v>0</v>
      </c>
    </row>
    <row r="68" spans="5:137" ht="12.75">
      <c r="E68" s="538" t="str">
        <f>E$64</f>
        <v>Senior facility - interest</v>
      </c>
      <c r="G68" s="539" t="str">
        <f>G$64</f>
        <v>EUR 000s</v>
      </c>
      <c r="H68" s="539">
        <f>H$64</f>
        <v>129146.28987807478</v>
      </c>
      <c r="J68" s="539">
        <f t="shared" si="15" ref="J68:EG68">J$64</f>
        <v>0</v>
      </c>
      <c r="K68" s="539">
        <f t="shared" si="15"/>
        <v>0</v>
      </c>
      <c r="L68" s="539">
        <f t="shared" si="15"/>
        <v>0</v>
      </c>
      <c r="M68" s="539">
        <f t="shared" si="15"/>
        <v>0</v>
      </c>
      <c r="N68" s="539">
        <f t="shared" si="15"/>
        <v>0</v>
      </c>
      <c r="O68" s="539">
        <f t="shared" si="15"/>
        <v>0</v>
      </c>
      <c r="P68" s="539">
        <f t="shared" si="15"/>
        <v>0</v>
      </c>
      <c r="Q68" s="539">
        <f t="shared" si="15"/>
        <v>0</v>
      </c>
      <c r="R68" s="539">
        <f t="shared" si="15"/>
        <v>0</v>
      </c>
      <c r="S68" s="539">
        <f t="shared" si="15"/>
        <v>0</v>
      </c>
      <c r="T68" s="539">
        <f t="shared" si="15"/>
        <v>0</v>
      </c>
      <c r="U68" s="539">
        <f t="shared" si="15"/>
        <v>0</v>
      </c>
      <c r="V68" s="539">
        <f t="shared" si="15"/>
        <v>0</v>
      </c>
      <c r="W68" s="539">
        <f t="shared" si="15"/>
        <v>0</v>
      </c>
      <c r="X68" s="539">
        <f t="shared" si="15"/>
        <v>0</v>
      </c>
      <c r="Y68" s="539">
        <f t="shared" si="15"/>
        <v>0</v>
      </c>
      <c r="Z68" s="539">
        <f t="shared" si="15"/>
        <v>0</v>
      </c>
      <c r="AA68" s="539">
        <f t="shared" si="15"/>
        <v>0</v>
      </c>
      <c r="AB68" s="539">
        <f t="shared" si="15"/>
        <v>0</v>
      </c>
      <c r="AC68" s="539">
        <f t="shared" si="15"/>
        <v>0</v>
      </c>
      <c r="AD68" s="539">
        <f t="shared" si="15"/>
        <v>0</v>
      </c>
      <c r="AE68" s="539">
        <f t="shared" si="15"/>
        <v>0</v>
      </c>
      <c r="AF68" s="539">
        <f t="shared" si="15"/>
        <v>0</v>
      </c>
      <c r="AG68" s="539">
        <f t="shared" si="15"/>
        <v>0</v>
      </c>
      <c r="AH68" s="539">
        <f t="shared" si="15"/>
        <v>3001.0107045471395</v>
      </c>
      <c r="AI68" s="539">
        <f t="shared" si="15"/>
        <v>3025.0607202902252</v>
      </c>
      <c r="AJ68" s="539">
        <f t="shared" si="15"/>
        <v>3035.7150418494703</v>
      </c>
      <c r="AK68" s="539">
        <f t="shared" si="15"/>
        <v>3013.2777772740533</v>
      </c>
      <c r="AL68" s="539">
        <f t="shared" si="15"/>
        <v>2925.6561104393368</v>
      </c>
      <c r="AM68" s="539">
        <f t="shared" si="15"/>
        <v>2933.9209710967089</v>
      </c>
      <c r="AN68" s="539">
        <f t="shared" si="15"/>
        <v>2941.1776240300005</v>
      </c>
      <c r="AO68" s="539">
        <f t="shared" si="15"/>
        <v>2916.2971624211491</v>
      </c>
      <c r="AP68" s="539">
        <f t="shared" si="15"/>
        <v>2828.362216629173</v>
      </c>
      <c r="AQ68" s="539">
        <f t="shared" si="15"/>
        <v>2833.0787712946462</v>
      </c>
      <c r="AR68" s="539">
        <f t="shared" si="15"/>
        <v>2836.6780401336746</v>
      </c>
      <c r="AS68" s="539">
        <f t="shared" si="15"/>
        <v>2809.1976860341979</v>
      </c>
      <c r="AT68" s="539">
        <f t="shared" si="15"/>
        <v>2751.2475166597596</v>
      </c>
      <c r="AU68" s="539">
        <f t="shared" si="15"/>
        <v>2722.1806011190497</v>
      </c>
      <c r="AV68" s="539">
        <f t="shared" si="15"/>
        <v>2722.0033265522147</v>
      </c>
      <c r="AW68" s="539">
        <f t="shared" si="15"/>
        <v>2691.763176295578</v>
      </c>
      <c r="AX68" s="539">
        <f t="shared" si="15"/>
        <v>2603.4274408818269</v>
      </c>
      <c r="AY68" s="539">
        <f t="shared" si="15"/>
        <v>2600.2377281967169</v>
      </c>
      <c r="AZ68" s="539">
        <f t="shared" si="15"/>
        <v>2595.6911281024104</v>
      </c>
      <c r="BA68" s="539">
        <f t="shared" si="15"/>
        <v>2562.5107476901208</v>
      </c>
      <c r="BB68" s="539">
        <f t="shared" si="15"/>
        <v>2474.0727885506644</v>
      </c>
      <c r="BC68" s="539">
        <f t="shared" si="15"/>
        <v>2467.3552535778831</v>
      </c>
      <c r="BD68" s="539">
        <f t="shared" si="15"/>
        <v>2459.3066674840757</v>
      </c>
      <c r="BE68" s="539">
        <f t="shared" si="15"/>
        <v>2424.1565365982565</v>
      </c>
      <c r="BF68" s="539">
        <f t="shared" si="15"/>
        <v>2336.8538866332328</v>
      </c>
      <c r="BG68" s="539">
        <f t="shared" si="15"/>
        <v>2326.0508370438638</v>
      </c>
      <c r="BH68" s="539">
        <f t="shared" si="15"/>
        <v>2313.7771746652356</v>
      </c>
      <c r="BI68" s="539">
        <f t="shared" si="15"/>
        <v>2275.8759601097127</v>
      </c>
      <c r="BJ68" s="539">
        <f t="shared" si="15"/>
        <v>2213.3737487287381</v>
      </c>
      <c r="BK68" s="539">
        <f t="shared" si="15"/>
        <v>2173.9810776614172</v>
      </c>
      <c r="BL68" s="539">
        <f t="shared" si="15"/>
        <v>2157.2768130159861</v>
      </c>
      <c r="BM68" s="539">
        <f t="shared" si="15"/>
        <v>2116.3812263385985</v>
      </c>
      <c r="BN68" s="539">
        <f t="shared" si="15"/>
        <v>2030.0395500648901</v>
      </c>
      <c r="BO68" s="539">
        <f t="shared" si="15"/>
        <v>2009.983156764715</v>
      </c>
      <c r="BP68" s="539">
        <f t="shared" si="15"/>
        <v>1988.1564901653285</v>
      </c>
      <c r="BQ68" s="539">
        <f t="shared" si="15"/>
        <v>1944.012302373925</v>
      </c>
      <c r="BR68" s="539">
        <f t="shared" si="15"/>
        <v>1858.1843229695255</v>
      </c>
      <c r="BS68" s="539">
        <f t="shared" si="15"/>
        <v>1832.1962417640807</v>
      </c>
      <c r="BT68" s="539">
        <f t="shared" si="15"/>
        <v>1804.2498767046388</v>
      </c>
      <c r="BU68" s="539">
        <f t="shared" si="15"/>
        <v>1755.8432288446147</v>
      </c>
      <c r="BV68" s="539">
        <f t="shared" si="15"/>
        <v>1669.8690627171268</v>
      </c>
      <c r="BW68" s="539">
        <f t="shared" si="15"/>
        <v>1640.1169509689614</v>
      </c>
      <c r="BX68" s="539">
        <f t="shared" si="15"/>
        <v>1614.0018651556209</v>
      </c>
      <c r="BY68" s="539">
        <f t="shared" si="15"/>
        <v>1569.6649310287287</v>
      </c>
      <c r="BZ68" s="539">
        <f t="shared" si="15"/>
        <v>1508.4481106644848</v>
      </c>
      <c r="CA68" s="539">
        <f t="shared" si="15"/>
        <v>1462.8263602517413</v>
      </c>
      <c r="CB68" s="539">
        <f t="shared" si="15"/>
        <v>1431.9689272614364</v>
      </c>
      <c r="CC68" s="539">
        <f t="shared" si="15"/>
        <v>1385.0801850537471</v>
      </c>
      <c r="CD68" s="539">
        <f t="shared" si="15"/>
        <v>1311.1291339199454</v>
      </c>
      <c r="CE68" s="539">
        <f t="shared" si="15"/>
        <v>1280.1126269850974</v>
      </c>
      <c r="CF68" s="539">
        <f t="shared" si="15"/>
        <v>1247.1828683229842</v>
      </c>
      <c r="CG68" s="539">
        <f t="shared" si="15"/>
        <v>1199.8981758533134</v>
      </c>
      <c r="CH68" s="539">
        <f t="shared" si="15"/>
        <v>1127.2598323887116</v>
      </c>
      <c r="CI68" s="539">
        <f t="shared" si="15"/>
        <v>1091.4185398940576</v>
      </c>
      <c r="CJ68" s="539">
        <f t="shared" si="15"/>
        <v>1053.5203900289587</v>
      </c>
      <c r="CK68" s="539">
        <f t="shared" si="15"/>
        <v>1003.2623053912324</v>
      </c>
      <c r="CL68" s="539">
        <f t="shared" si="15"/>
        <v>931.93906223535828</v>
      </c>
      <c r="CM68" s="539">
        <f t="shared" si="15"/>
        <v>886.97994256127174</v>
      </c>
      <c r="CN68" s="539">
        <f t="shared" si="15"/>
        <v>839.68037994616066</v>
      </c>
      <c r="CO68" s="539">
        <f t="shared" si="15"/>
        <v>782.13850520171934</v>
      </c>
      <c r="CP68" s="539">
        <f t="shared" si="15"/>
        <v>716.2691110665894</v>
      </c>
      <c r="CQ68" s="539">
        <f t="shared" si="15"/>
        <v>661.39635897348455</v>
      </c>
      <c r="CR68" s="539">
        <f t="shared" si="15"/>
        <v>612.27196199560819</v>
      </c>
      <c r="CS68" s="539">
        <f t="shared" si="15"/>
        <v>555.17870853822558</v>
      </c>
      <c r="CT68" s="539">
        <f t="shared" si="15"/>
        <v>486.80592604690918</v>
      </c>
      <c r="CU68" s="539">
        <f t="shared" si="15"/>
        <v>433.95764378102621</v>
      </c>
      <c r="CV68" s="539">
        <f t="shared" si="15"/>
        <v>378.57552483863145</v>
      </c>
      <c r="CW68" s="539">
        <f t="shared" si="15"/>
        <v>317.80825911212753</v>
      </c>
      <c r="CX68" s="539">
        <f t="shared" si="15"/>
        <v>250.94980569340035</v>
      </c>
      <c r="CY68" s="539">
        <f t="shared" si="15"/>
        <v>191.78855906528543</v>
      </c>
      <c r="CZ68" s="539">
        <f t="shared" si="15"/>
        <v>129.9226319132481</v>
      </c>
      <c r="DA68" s="539">
        <f t="shared" si="15"/>
        <v>65.245599622744237</v>
      </c>
      <c r="DB68" s="539">
        <f t="shared" si="15"/>
        <v>0</v>
      </c>
      <c r="DC68" s="539">
        <f t="shared" si="15"/>
        <v>0</v>
      </c>
      <c r="DD68" s="539">
        <f t="shared" si="15"/>
        <v>0</v>
      </c>
      <c r="DE68" s="539">
        <f t="shared" si="15"/>
        <v>0</v>
      </c>
      <c r="DF68" s="539">
        <f t="shared" si="15"/>
        <v>0</v>
      </c>
      <c r="DG68" s="539">
        <f t="shared" si="15"/>
        <v>0</v>
      </c>
      <c r="DH68" s="539">
        <f t="shared" si="15"/>
        <v>0</v>
      </c>
      <c r="DI68" s="539">
        <f t="shared" si="15"/>
        <v>0</v>
      </c>
      <c r="DJ68" s="539">
        <f t="shared" si="15"/>
        <v>0</v>
      </c>
      <c r="DK68" s="539">
        <f t="shared" si="15"/>
        <v>0</v>
      </c>
      <c r="DL68" s="539">
        <f t="shared" si="15"/>
        <v>0</v>
      </c>
      <c r="DM68" s="539">
        <f t="shared" si="15"/>
        <v>0</v>
      </c>
      <c r="DN68" s="539">
        <f t="shared" si="15"/>
        <v>0</v>
      </c>
      <c r="DO68" s="539">
        <f t="shared" si="15"/>
        <v>0</v>
      </c>
      <c r="DP68" s="539">
        <f t="shared" si="15"/>
        <v>0</v>
      </c>
      <c r="DQ68" s="539">
        <f t="shared" si="15"/>
        <v>0</v>
      </c>
      <c r="DR68" s="539">
        <f t="shared" si="15"/>
        <v>0</v>
      </c>
      <c r="DS68" s="539">
        <f t="shared" si="15"/>
        <v>0</v>
      </c>
      <c r="DT68" s="539">
        <f t="shared" si="15"/>
        <v>0</v>
      </c>
      <c r="DU68" s="539">
        <f t="shared" si="15"/>
        <v>0</v>
      </c>
      <c r="DV68" s="539">
        <f t="shared" si="15"/>
        <v>0</v>
      </c>
      <c r="DW68" s="539">
        <f t="shared" si="15"/>
        <v>0</v>
      </c>
      <c r="DX68" s="539">
        <f t="shared" si="15"/>
        <v>0</v>
      </c>
      <c r="DY68" s="539">
        <f t="shared" si="15"/>
        <v>0</v>
      </c>
      <c r="DZ68" s="539">
        <f t="shared" si="15"/>
        <v>0</v>
      </c>
      <c r="EA68" s="539">
        <f t="shared" si="15"/>
        <v>0</v>
      </c>
      <c r="EB68" s="539">
        <f t="shared" si="15"/>
        <v>0</v>
      </c>
      <c r="EC68" s="539">
        <f t="shared" si="15"/>
        <v>0</v>
      </c>
      <c r="ED68" s="539">
        <f t="shared" si="15"/>
        <v>0</v>
      </c>
      <c r="EE68" s="539">
        <f t="shared" si="15"/>
        <v>0</v>
      </c>
      <c r="EF68" s="539">
        <f t="shared" si="15"/>
        <v>0</v>
      </c>
      <c r="EG68" s="539">
        <f t="shared" si="15"/>
        <v>0</v>
      </c>
    </row>
    <row r="69" spans="5:137" ht="12.75">
      <c r="E69" s="538" t="s">
        <v>318</v>
      </c>
      <c r="G69" s="539" t="s">
        <v>30</v>
      </c>
      <c r="H69" s="539">
        <f>SUM(J69:EG69)</f>
        <v>221286.6479110521</v>
      </c>
      <c r="J69" s="539">
        <f t="shared" si="16" ref="J69:EG69">MAX(0,J67-J68)</f>
        <v>0</v>
      </c>
      <c r="K69" s="539">
        <f t="shared" si="16"/>
        <v>0</v>
      </c>
      <c r="L69" s="539">
        <f t="shared" si="16"/>
        <v>0</v>
      </c>
      <c r="M69" s="539">
        <f t="shared" si="16"/>
        <v>0</v>
      </c>
      <c r="N69" s="539">
        <f t="shared" si="16"/>
        <v>0</v>
      </c>
      <c r="O69" s="539">
        <f t="shared" si="16"/>
        <v>0</v>
      </c>
      <c r="P69" s="539">
        <f t="shared" si="16"/>
        <v>0</v>
      </c>
      <c r="Q69" s="539">
        <f t="shared" si="16"/>
        <v>0</v>
      </c>
      <c r="R69" s="539">
        <f t="shared" si="16"/>
        <v>0</v>
      </c>
      <c r="S69" s="539">
        <f t="shared" si="16"/>
        <v>0</v>
      </c>
      <c r="T69" s="539">
        <f t="shared" si="16"/>
        <v>0</v>
      </c>
      <c r="U69" s="539">
        <f t="shared" si="16"/>
        <v>0</v>
      </c>
      <c r="V69" s="539">
        <f t="shared" si="16"/>
        <v>0</v>
      </c>
      <c r="W69" s="539">
        <f t="shared" si="16"/>
        <v>0</v>
      </c>
      <c r="X69" s="539">
        <f t="shared" si="16"/>
        <v>0</v>
      </c>
      <c r="Y69" s="539">
        <f t="shared" si="16"/>
        <v>0</v>
      </c>
      <c r="Z69" s="539">
        <f t="shared" si="16"/>
        <v>0</v>
      </c>
      <c r="AA69" s="539">
        <f t="shared" si="16"/>
        <v>0</v>
      </c>
      <c r="AB69" s="539">
        <f t="shared" si="16"/>
        <v>0</v>
      </c>
      <c r="AC69" s="539">
        <f t="shared" si="16"/>
        <v>0</v>
      </c>
      <c r="AD69" s="539">
        <f t="shared" si="16"/>
        <v>0</v>
      </c>
      <c r="AE69" s="539">
        <f t="shared" si="16"/>
        <v>0</v>
      </c>
      <c r="AF69" s="539">
        <f t="shared" si="16"/>
        <v>0</v>
      </c>
      <c r="AG69" s="539">
        <f t="shared" si="16"/>
        <v>0</v>
      </c>
      <c r="AH69" s="539">
        <f t="shared" si="16"/>
        <v>677.82415362271058</v>
      </c>
      <c r="AI69" s="539">
        <f t="shared" si="16"/>
        <v>1629.3790390383851</v>
      </c>
      <c r="AJ69" s="539">
        <f t="shared" si="16"/>
        <v>1618.4983339974451</v>
      </c>
      <c r="AK69" s="539">
        <f t="shared" si="16"/>
        <v>1630.7483418966362</v>
      </c>
      <c r="AL69" s="539">
        <f t="shared" si="16"/>
        <v>1767.9294210582093</v>
      </c>
      <c r="AM69" s="539">
        <f t="shared" si="16"/>
        <v>1802.2226192742546</v>
      </c>
      <c r="AN69" s="539">
        <f t="shared" si="16"/>
        <v>1794.7368551839654</v>
      </c>
      <c r="AO69" s="539">
        <f t="shared" si="16"/>
        <v>1809.3073147279661</v>
      </c>
      <c r="AP69" s="539">
        <f t="shared" si="16"/>
        <v>1947.8596699053346</v>
      </c>
      <c r="AQ69" s="539">
        <f t="shared" si="16"/>
        <v>1986.1096230599974</v>
      </c>
      <c r="AR69" s="539">
        <f t="shared" si="16"/>
        <v>1982.2785071756671</v>
      </c>
      <c r="AS69" s="539">
        <f t="shared" si="16"/>
        <v>1999.3257442365161</v>
      </c>
      <c r="AT69" s="539">
        <f t="shared" si="16"/>
        <v>2119.7650694024387</v>
      </c>
      <c r="AU69" s="539">
        <f t="shared" si="16"/>
        <v>2170.6208881246671</v>
      </c>
      <c r="AV69" s="539">
        <f t="shared" si="16"/>
        <v>2181.3547121882043</v>
      </c>
      <c r="AW69" s="539">
        <f t="shared" si="16"/>
        <v>2198.7854117215456</v>
      </c>
      <c r="AX69" s="539">
        <f t="shared" si="16"/>
        <v>2342.1757745093132</v>
      </c>
      <c r="AY69" s="539">
        <f t="shared" si="16"/>
        <v>2389.1371518138408</v>
      </c>
      <c r="AZ69" s="539">
        <f t="shared" si="16"/>
        <v>2393.4464131395234</v>
      </c>
      <c r="BA69" s="539">
        <f t="shared" si="16"/>
        <v>2413.5130041483303</v>
      </c>
      <c r="BB69" s="539">
        <f t="shared" si="16"/>
        <v>2494.6333481559554</v>
      </c>
      <c r="BC69" s="539">
        <f t="shared" si="16"/>
        <v>2536.416745562628</v>
      </c>
      <c r="BD69" s="539">
        <f t="shared" si="16"/>
        <v>2535.5331567833546</v>
      </c>
      <c r="BE69" s="539">
        <f t="shared" si="16"/>
        <v>2551.5782040157314</v>
      </c>
      <c r="BF69" s="539">
        <f t="shared" si="16"/>
        <v>2681.3893831322102</v>
      </c>
      <c r="BG69" s="539">
        <f t="shared" si="16"/>
        <v>2729.1800621707371</v>
      </c>
      <c r="BH69" s="539">
        <f t="shared" si="16"/>
        <v>2733.9808918509984</v>
      </c>
      <c r="BI69" s="539">
        <f t="shared" si="16"/>
        <v>2754.0492827456601</v>
      </c>
      <c r="BJ69" s="539">
        <f t="shared" si="16"/>
        <v>2872.7921957187036</v>
      </c>
      <c r="BK69" s="539">
        <f t="shared" si="16"/>
        <v>2928.2353375850521</v>
      </c>
      <c r="BL69" s="539">
        <f t="shared" si="16"/>
        <v>2949.9780903649021</v>
      </c>
      <c r="BM69" s="539">
        <f t="shared" si="16"/>
        <v>2974.0781599560037</v>
      </c>
      <c r="BN69" s="539">
        <f t="shared" si="16"/>
        <v>3107.5967492162099</v>
      </c>
      <c r="BO69" s="539">
        <f t="shared" si="16"/>
        <v>3167.7378780301078</v>
      </c>
      <c r="BP69" s="539">
        <f t="shared" si="16"/>
        <v>3184.3139414747466</v>
      </c>
      <c r="BQ69" s="539">
        <f t="shared" si="16"/>
        <v>3212.504540331086</v>
      </c>
      <c r="BR69" s="539">
        <f t="shared" si="16"/>
        <v>3400.9229558946477</v>
      </c>
      <c r="BS69" s="539">
        <f t="shared" si="16"/>
        <v>3468.2494542267559</v>
      </c>
      <c r="BT69" s="539">
        <f t="shared" si="16"/>
        <v>3491.7838871361182</v>
      </c>
      <c r="BU69" s="539">
        <f t="shared" si="16"/>
        <v>3524.9164284244171</v>
      </c>
      <c r="BV69" s="539">
        <f t="shared" si="16"/>
        <v>3522.8306778088331</v>
      </c>
      <c r="BW69" s="539">
        <f t="shared" si="16"/>
        <v>3183.8927646131478</v>
      </c>
      <c r="BX69" s="539">
        <f t="shared" si="16"/>
        <v>3198.2175802995462</v>
      </c>
      <c r="BY69" s="539">
        <f t="shared" si="16"/>
        <v>3220.1127741949776</v>
      </c>
      <c r="BZ69" s="539">
        <f t="shared" si="16"/>
        <v>3327.0607194108602</v>
      </c>
      <c r="CA69" s="539">
        <f t="shared" si="16"/>
        <v>3385.4433789359969</v>
      </c>
      <c r="CB69" s="539">
        <f t="shared" si="16"/>
        <v>3382.2906928471562</v>
      </c>
      <c r="CC69" s="539">
        <f t="shared" si="16"/>
        <v>3232.6916161260979</v>
      </c>
      <c r="CD69" s="539">
        <f t="shared" si="16"/>
        <v>3324.3520628050601</v>
      </c>
      <c r="CE69" s="539">
        <f t="shared" si="16"/>
        <v>3390.0947808966057</v>
      </c>
      <c r="CF69" s="539">
        <f t="shared" si="16"/>
        <v>3410.8523224169539</v>
      </c>
      <c r="CG69" s="539">
        <f t="shared" si="16"/>
        <v>3432.7402397198557</v>
      </c>
      <c r="CH69" s="539">
        <f t="shared" si="16"/>
        <v>3527.2201071622985</v>
      </c>
      <c r="CI69" s="539">
        <f t="shared" si="16"/>
        <v>3598.911555467545</v>
      </c>
      <c r="CJ69" s="539">
        <f t="shared" si="16"/>
        <v>3625.3361448162268</v>
      </c>
      <c r="CK69" s="539">
        <f t="shared" si="16"/>
        <v>3650.972820023389</v>
      </c>
      <c r="CL69" s="539">
        <f t="shared" si="16"/>
        <v>4033.8879764893964</v>
      </c>
      <c r="CM69" s="539">
        <f t="shared" si="16"/>
        <v>4115.0211772917837</v>
      </c>
      <c r="CN69" s="539">
        <f t="shared" si="16"/>
        <v>4150.7478817630608</v>
      </c>
      <c r="CO69" s="539">
        <f t="shared" si="16"/>
        <v>4183.6721987991059</v>
      </c>
      <c r="CP69" s="539">
        <f t="shared" si="16"/>
        <v>4001.7091936030665</v>
      </c>
      <c r="CQ69" s="539">
        <f t="shared" si="16"/>
        <v>4067.8376333351075</v>
      </c>
      <c r="CR69" s="539">
        <f t="shared" si="16"/>
        <v>4118.3868600681171</v>
      </c>
      <c r="CS69" s="539">
        <f t="shared" si="16"/>
        <v>4151.6855046673199</v>
      </c>
      <c r="CT69" s="539">
        <f t="shared" si="16"/>
        <v>4248.5297712096281</v>
      </c>
      <c r="CU69" s="539">
        <f t="shared" si="16"/>
        <v>4338.9471846668848</v>
      </c>
      <c r="CV69" s="539">
        <f t="shared" si="16"/>
        <v>4383.4094842240993</v>
      </c>
      <c r="CW69" s="539">
        <f t="shared" si="16"/>
        <v>4420.5244546530666</v>
      </c>
      <c r="CX69" s="539">
        <f t="shared" si="16"/>
        <v>4517.8013782032795</v>
      </c>
      <c r="CY69" s="539">
        <f t="shared" si="16"/>
        <v>4614.6887773395028</v>
      </c>
      <c r="CZ69" s="539">
        <f t="shared" si="16"/>
        <v>4665.4381000067024</v>
      </c>
      <c r="DA69" s="539">
        <f t="shared" si="16"/>
        <v>4706.4513561864132</v>
      </c>
      <c r="DB69" s="539">
        <f t="shared" si="16"/>
        <v>0</v>
      </c>
      <c r="DC69" s="539">
        <f t="shared" si="16"/>
        <v>0</v>
      </c>
      <c r="DD69" s="539">
        <f t="shared" si="16"/>
        <v>0</v>
      </c>
      <c r="DE69" s="539">
        <f t="shared" si="16"/>
        <v>0</v>
      </c>
      <c r="DF69" s="539">
        <f t="shared" si="16"/>
        <v>0</v>
      </c>
      <c r="DG69" s="539">
        <f t="shared" si="16"/>
        <v>0</v>
      </c>
      <c r="DH69" s="539">
        <f t="shared" si="16"/>
        <v>0</v>
      </c>
      <c r="DI69" s="539">
        <f t="shared" si="16"/>
        <v>0</v>
      </c>
      <c r="DJ69" s="539">
        <f t="shared" si="16"/>
        <v>0</v>
      </c>
      <c r="DK69" s="539">
        <f t="shared" si="16"/>
        <v>0</v>
      </c>
      <c r="DL69" s="539">
        <f t="shared" si="16"/>
        <v>0</v>
      </c>
      <c r="DM69" s="539">
        <f t="shared" si="16"/>
        <v>0</v>
      </c>
      <c r="DN69" s="539">
        <f t="shared" si="16"/>
        <v>0</v>
      </c>
      <c r="DO69" s="539">
        <f t="shared" si="16"/>
        <v>0</v>
      </c>
      <c r="DP69" s="539">
        <f t="shared" si="16"/>
        <v>0</v>
      </c>
      <c r="DQ69" s="539">
        <f t="shared" si="16"/>
        <v>0</v>
      </c>
      <c r="DR69" s="539">
        <f t="shared" si="16"/>
        <v>0</v>
      </c>
      <c r="DS69" s="539">
        <f t="shared" si="16"/>
        <v>0</v>
      </c>
      <c r="DT69" s="539">
        <f t="shared" si="16"/>
        <v>0</v>
      </c>
      <c r="DU69" s="539">
        <f t="shared" si="16"/>
        <v>0</v>
      </c>
      <c r="DV69" s="539">
        <f t="shared" si="16"/>
        <v>0</v>
      </c>
      <c r="DW69" s="539">
        <f t="shared" si="16"/>
        <v>0</v>
      </c>
      <c r="DX69" s="539">
        <f t="shared" si="16"/>
        <v>0</v>
      </c>
      <c r="DY69" s="539">
        <f t="shared" si="16"/>
        <v>0</v>
      </c>
      <c r="DZ69" s="539">
        <f t="shared" si="16"/>
        <v>0</v>
      </c>
      <c r="EA69" s="539">
        <f t="shared" si="16"/>
        <v>0</v>
      </c>
      <c r="EB69" s="539">
        <f t="shared" si="16"/>
        <v>0</v>
      </c>
      <c r="EC69" s="539">
        <f t="shared" si="16"/>
        <v>0</v>
      </c>
      <c r="ED69" s="539">
        <f t="shared" si="16"/>
        <v>0</v>
      </c>
      <c r="EE69" s="539">
        <f t="shared" si="16"/>
        <v>0</v>
      </c>
      <c r="EF69" s="539">
        <f t="shared" si="16"/>
        <v>0</v>
      </c>
      <c r="EG69" s="539">
        <f t="shared" si="16"/>
        <v>0</v>
      </c>
    </row>
    <row r="71" spans="5:7" ht="12.75">
      <c r="E71" s="538" t="str">
        <f>E$39</f>
        <v>Senior facility - balance at COD</v>
      </c>
      <c r="F71" s="539">
        <f>F$39</f>
        <v>221286.6479110517</v>
      </c>
      <c r="G71" s="539" t="str">
        <f>G$39</f>
        <v>EUR 000s</v>
      </c>
    </row>
    <row r="72" spans="5:137" ht="12.75">
      <c r="E72" s="538" t="str">
        <f>E$31</f>
        <v>Senior facility - discount factor</v>
      </c>
      <c r="G72" s="548" t="str">
        <f>G$31</f>
        <v>factor</v>
      </c>
      <c r="H72" s="548">
        <f>H$31</f>
        <v>45.515551786707</v>
      </c>
      <c r="J72" s="548">
        <f t="shared" si="17" ref="J72:EG72">J$31</f>
        <v>0</v>
      </c>
      <c r="K72" s="548">
        <f t="shared" si="17"/>
        <v>0</v>
      </c>
      <c r="L72" s="548">
        <f t="shared" si="17"/>
        <v>0</v>
      </c>
      <c r="M72" s="548">
        <f t="shared" si="17"/>
        <v>0</v>
      </c>
      <c r="N72" s="548">
        <f t="shared" si="17"/>
        <v>0</v>
      </c>
      <c r="O72" s="548">
        <f t="shared" si="17"/>
        <v>0</v>
      </c>
      <c r="P72" s="548">
        <f t="shared" si="17"/>
        <v>0</v>
      </c>
      <c r="Q72" s="548">
        <f t="shared" si="17"/>
        <v>0</v>
      </c>
      <c r="R72" s="548">
        <f t="shared" si="17"/>
        <v>0</v>
      </c>
      <c r="S72" s="548">
        <f t="shared" si="17"/>
        <v>0</v>
      </c>
      <c r="T72" s="548">
        <f t="shared" si="17"/>
        <v>0</v>
      </c>
      <c r="U72" s="548">
        <f t="shared" si="17"/>
        <v>0</v>
      </c>
      <c r="V72" s="548">
        <f t="shared" si="17"/>
        <v>0</v>
      </c>
      <c r="W72" s="548">
        <f t="shared" si="17"/>
        <v>0</v>
      </c>
      <c r="X72" s="548">
        <f t="shared" si="17"/>
        <v>0</v>
      </c>
      <c r="Y72" s="548">
        <f t="shared" si="17"/>
        <v>0</v>
      </c>
      <c r="Z72" s="548">
        <f t="shared" si="17"/>
        <v>0</v>
      </c>
      <c r="AA72" s="548">
        <f t="shared" si="17"/>
        <v>0</v>
      </c>
      <c r="AB72" s="548">
        <f t="shared" si="17"/>
        <v>0</v>
      </c>
      <c r="AC72" s="548">
        <f t="shared" si="17"/>
        <v>0</v>
      </c>
      <c r="AD72" s="548">
        <f t="shared" si="17"/>
        <v>0</v>
      </c>
      <c r="AE72" s="548">
        <f t="shared" si="17"/>
        <v>0</v>
      </c>
      <c r="AF72" s="548">
        <f t="shared" si="17"/>
        <v>0</v>
      </c>
      <c r="AG72" s="548">
        <f t="shared" si="17"/>
        <v>0</v>
      </c>
      <c r="AH72" s="548">
        <f t="shared" si="17"/>
        <v>0.98661981348830918</v>
      </c>
      <c r="AI72" s="548">
        <f t="shared" si="17"/>
        <v>0.97327396095521101</v>
      </c>
      <c r="AJ72" s="548">
        <f t="shared" si="17"/>
        <v>0.95996593997906288</v>
      </c>
      <c r="AK72" s="548">
        <f t="shared" si="17"/>
        <v>0.94683988567356081</v>
      </c>
      <c r="AL72" s="548">
        <f t="shared" si="17"/>
        <v>0.93417099140654047</v>
      </c>
      <c r="AM72" s="548">
        <f t="shared" si="17"/>
        <v>0.92153460591988567</v>
      </c>
      <c r="AN72" s="548">
        <f t="shared" si="17"/>
        <v>0.90893404086028817</v>
      </c>
      <c r="AO72" s="548">
        <f t="shared" si="17"/>
        <v>0.89650576910232171</v>
      </c>
      <c r="AP72" s="548">
        <f t="shared" si="17"/>
        <v>0.88451035470292583</v>
      </c>
      <c r="AQ72" s="548">
        <f t="shared" si="17"/>
        <v>0.87254572091341454</v>
      </c>
      <c r="AR72" s="548">
        <f t="shared" si="17"/>
        <v>0.86061500333296304</v>
      </c>
      <c r="AS72" s="548">
        <f t="shared" si="17"/>
        <v>0.8488474199225301</v>
      </c>
      <c r="AT72" s="548">
        <f t="shared" si="17"/>
        <v>0.83736519309664326</v>
      </c>
      <c r="AU72" s="548">
        <f t="shared" si="17"/>
        <v>0.82603828456446482</v>
      </c>
      <c r="AV72" s="548">
        <f t="shared" si="17"/>
        <v>0.81474348447827283</v>
      </c>
      <c r="AW72" s="548">
        <f t="shared" si="17"/>
        <v>0.80360312337072248</v>
      </c>
      <c r="AX72" s="548">
        <f t="shared" si="17"/>
        <v>0.79285076369864493</v>
      </c>
      <c r="AY72" s="548">
        <f t="shared" si="17"/>
        <v>0.78212599491900225</v>
      </c>
      <c r="AZ72" s="548">
        <f t="shared" si="17"/>
        <v>0.77143162769668649</v>
      </c>
      <c r="BA72" s="548">
        <f t="shared" si="17"/>
        <v>0.76088348945925133</v>
      </c>
      <c r="BB72" s="548">
        <f t="shared" si="17"/>
        <v>0.7507027264566204</v>
      </c>
      <c r="BC72" s="548">
        <f t="shared" si="17"/>
        <v>0.7405480876114281</v>
      </c>
      <c r="BD72" s="548">
        <f t="shared" si="17"/>
        <v>0.73042223417329954</v>
      </c>
      <c r="BE72" s="548">
        <f t="shared" si="17"/>
        <v>0.72043483617049753</v>
      </c>
      <c r="BF72" s="548">
        <f t="shared" si="17"/>
        <v>0.71079528369301681</v>
      </c>
      <c r="BG72" s="548">
        <f t="shared" si="17"/>
        <v>0.70118046660977862</v>
      </c>
      <c r="BH72" s="548">
        <f t="shared" si="17"/>
        <v>0.69159290469807377</v>
      </c>
      <c r="BI72" s="548">
        <f t="shared" si="17"/>
        <v>0.6821364379149244</v>
      </c>
      <c r="BJ72" s="548">
        <f t="shared" si="17"/>
        <v>0.6729092845743907</v>
      </c>
      <c r="BK72" s="548">
        <f t="shared" si="17"/>
        <v>0.66380694549979757</v>
      </c>
      <c r="BL72" s="548">
        <f t="shared" si="17"/>
        <v>0.65473040887268574</v>
      </c>
      <c r="BM72" s="548">
        <f t="shared" si="17"/>
        <v>0.64577797989118058</v>
      </c>
      <c r="BN72" s="548">
        <f t="shared" si="17"/>
        <v>0.63713735007509364</v>
      </c>
      <c r="BO72" s="548">
        <f t="shared" si="17"/>
        <v>0.62851889238634395</v>
      </c>
      <c r="BP72" s="548">
        <f t="shared" si="17"/>
        <v>0.6199248654840176</v>
      </c>
      <c r="BQ72" s="548">
        <f t="shared" si="17"/>
        <v>0.61144834865066855</v>
      </c>
      <c r="BR72" s="548">
        <f t="shared" si="17"/>
        <v>0.60326705570345718</v>
      </c>
      <c r="BS72" s="548">
        <f t="shared" si="17"/>
        <v>0.59510675621075904</v>
      </c>
      <c r="BT72" s="548">
        <f t="shared" si="17"/>
        <v>0.58696958876108474</v>
      </c>
      <c r="BU72" s="548">
        <f t="shared" si="17"/>
        <v>0.57894368453168654</v>
      </c>
      <c r="BV72" s="548">
        <f t="shared" si="17"/>
        <v>0.5711973100528871</v>
      </c>
      <c r="BW72" s="548">
        <f t="shared" si="17"/>
        <v>0.56347081301415869</v>
      </c>
      <c r="BX72" s="548">
        <f t="shared" si="17"/>
        <v>0.55576621831640249</v>
      </c>
      <c r="BY72" s="548">
        <f t="shared" si="17"/>
        <v>0.54816697207341214</v>
      </c>
      <c r="BZ72" s="548">
        <f t="shared" si="17"/>
        <v>0.5407520028291386</v>
      </c>
      <c r="CA72" s="548">
        <f t="shared" si="17"/>
        <v>0.53343733471881627</v>
      </c>
      <c r="CB72" s="548">
        <f t="shared" si="17"/>
        <v>0.52614340153588046</v>
      </c>
      <c r="CC72" s="548">
        <f t="shared" si="17"/>
        <v>0.51894920164458835</v>
      </c>
      <c r="CD72" s="548">
        <f t="shared" si="17"/>
        <v>0.51200556453649071</v>
      </c>
      <c r="CE72" s="548">
        <f t="shared" si="17"/>
        <v>0.50507974501917308</v>
      </c>
      <c r="CF72" s="548">
        <f t="shared" si="17"/>
        <v>0.49817355815813158</v>
      </c>
      <c r="CG72" s="548">
        <f t="shared" si="17"/>
        <v>0.49136180275554781</v>
      </c>
      <c r="CH72" s="548">
        <f t="shared" si="17"/>
        <v>0.48478729018995792</v>
      </c>
      <c r="CI72" s="548">
        <f t="shared" si="17"/>
        <v>0.47822964802998513</v>
      </c>
      <c r="CJ72" s="548">
        <f t="shared" si="17"/>
        <v>0.47169059485203635</v>
      </c>
      <c r="CK72" s="548">
        <f t="shared" si="17"/>
        <v>0.46524095314541764</v>
      </c>
      <c r="CL72" s="548">
        <f t="shared" si="17"/>
        <v>0.45901594241945509</v>
      </c>
      <c r="CM72" s="548">
        <f t="shared" si="17"/>
        <v>0.45280690526641831</v>
      </c>
      <c r="CN72" s="548">
        <f t="shared" si="17"/>
        <v>0.44661546890299592</v>
      </c>
      <c r="CO72" s="548">
        <f t="shared" si="17"/>
        <v>0.44050869088686567</v>
      </c>
      <c r="CP72" s="548">
        <f t="shared" si="17"/>
        <v>0.43454999844246961</v>
      </c>
      <c r="CQ72" s="548">
        <f t="shared" si="17"/>
        <v>0.42867190830259433</v>
      </c>
      <c r="CR72" s="548">
        <f t="shared" si="17"/>
        <v>0.42281048081512979</v>
      </c>
      <c r="CS72" s="548">
        <f t="shared" si="17"/>
        <v>0.41702919931233412</v>
      </c>
      <c r="CT72" s="548">
        <f t="shared" si="17"/>
        <v>0.411449270844714</v>
      </c>
      <c r="CU72" s="548">
        <f t="shared" si="17"/>
        <v>0.40588366064869558</v>
      </c>
      <c r="CV72" s="548">
        <f t="shared" si="17"/>
        <v>0.40033382731658079</v>
      </c>
      <c r="CW72" s="548">
        <f t="shared" si="17"/>
        <v>0.39485987939942707</v>
      </c>
      <c r="CX72" s="548">
        <f t="shared" si="17"/>
        <v>0.389576580567079</v>
      </c>
      <c r="CY72" s="548">
        <f t="shared" si="17"/>
        <v>0.38430683884537731</v>
      </c>
      <c r="CZ72" s="548">
        <f t="shared" si="17"/>
        <v>0.37905203528769038</v>
      </c>
      <c r="DA72" s="548">
        <f t="shared" si="17"/>
        <v>0.3738690830676295</v>
      </c>
      <c r="DB72" s="548">
        <f t="shared" si="17"/>
        <v>0</v>
      </c>
      <c r="DC72" s="548">
        <f t="shared" si="17"/>
        <v>0</v>
      </c>
      <c r="DD72" s="548">
        <f t="shared" si="17"/>
        <v>0</v>
      </c>
      <c r="DE72" s="548">
        <f t="shared" si="17"/>
        <v>0</v>
      </c>
      <c r="DF72" s="548">
        <f t="shared" si="17"/>
        <v>0</v>
      </c>
      <c r="DG72" s="548">
        <f t="shared" si="17"/>
        <v>0</v>
      </c>
      <c r="DH72" s="548">
        <f t="shared" si="17"/>
        <v>0</v>
      </c>
      <c r="DI72" s="548">
        <f t="shared" si="17"/>
        <v>0</v>
      </c>
      <c r="DJ72" s="548">
        <f t="shared" si="17"/>
        <v>0</v>
      </c>
      <c r="DK72" s="548">
        <f t="shared" si="17"/>
        <v>0</v>
      </c>
      <c r="DL72" s="548">
        <f t="shared" si="17"/>
        <v>0</v>
      </c>
      <c r="DM72" s="548">
        <f t="shared" si="17"/>
        <v>0</v>
      </c>
      <c r="DN72" s="548">
        <f t="shared" si="17"/>
        <v>0</v>
      </c>
      <c r="DO72" s="548">
        <f t="shared" si="17"/>
        <v>0</v>
      </c>
      <c r="DP72" s="548">
        <f t="shared" si="17"/>
        <v>0</v>
      </c>
      <c r="DQ72" s="548">
        <f t="shared" si="17"/>
        <v>0</v>
      </c>
      <c r="DR72" s="548">
        <f t="shared" si="17"/>
        <v>0</v>
      </c>
      <c r="DS72" s="548">
        <f t="shared" si="17"/>
        <v>0</v>
      </c>
      <c r="DT72" s="548">
        <f t="shared" si="17"/>
        <v>0</v>
      </c>
      <c r="DU72" s="548">
        <f t="shared" si="17"/>
        <v>0</v>
      </c>
      <c r="DV72" s="548">
        <f t="shared" si="17"/>
        <v>0</v>
      </c>
      <c r="DW72" s="548">
        <f t="shared" si="17"/>
        <v>0</v>
      </c>
      <c r="DX72" s="548">
        <f t="shared" si="17"/>
        <v>0</v>
      </c>
      <c r="DY72" s="548">
        <f t="shared" si="17"/>
        <v>0</v>
      </c>
      <c r="DZ72" s="548">
        <f t="shared" si="17"/>
        <v>0</v>
      </c>
      <c r="EA72" s="548">
        <f t="shared" si="17"/>
        <v>0</v>
      </c>
      <c r="EB72" s="548">
        <f t="shared" si="17"/>
        <v>0</v>
      </c>
      <c r="EC72" s="548">
        <f t="shared" si="17"/>
        <v>0</v>
      </c>
      <c r="ED72" s="548">
        <f t="shared" si="17"/>
        <v>0</v>
      </c>
      <c r="EE72" s="548">
        <f t="shared" si="17"/>
        <v>0</v>
      </c>
      <c r="EF72" s="548">
        <f t="shared" si="17"/>
        <v>0</v>
      </c>
      <c r="EG72" s="548">
        <f t="shared" si="17"/>
        <v>0</v>
      </c>
    </row>
    <row r="73" spans="5:7" ht="12.75">
      <c r="E73" s="538" t="s">
        <v>319</v>
      </c>
      <c r="F73" s="539">
        <f>IF(SUM($J72:$EG72)=0,0,$F71/SUM($J72:$EG72))</f>
        <v>4861.7810665689731</v>
      </c>
      <c r="G73" s="539" t="s">
        <v>30</v>
      </c>
    </row>
    <row r="75" spans="5:7" ht="12.75">
      <c r="E75" s="538" t="str">
        <f>E$73</f>
        <v>Senior facility - annuity payment</v>
      </c>
      <c r="F75" s="539">
        <f>F$73</f>
        <v>4861.7810665689731</v>
      </c>
      <c r="G75" s="539" t="str">
        <f>G$73</f>
        <v>EUR 000s</v>
      </c>
    </row>
    <row r="76" spans="5:137" ht="12.75">
      <c r="E76" s="538" t="str">
        <f>E$15</f>
        <v>Senior facility - repayment period flag</v>
      </c>
      <c r="G76" s="539" t="str">
        <f>G$15</f>
        <v>flag</v>
      </c>
      <c r="H76" s="539">
        <f>H$15</f>
        <v>72</v>
      </c>
      <c r="J76" s="539">
        <f t="shared" si="18" ref="J76:EG76">J$15</f>
        <v>0</v>
      </c>
      <c r="K76" s="539">
        <f t="shared" si="18"/>
        <v>0</v>
      </c>
      <c r="L76" s="539">
        <f t="shared" si="18"/>
        <v>0</v>
      </c>
      <c r="M76" s="539">
        <f t="shared" si="18"/>
        <v>0</v>
      </c>
      <c r="N76" s="539">
        <f t="shared" si="18"/>
        <v>0</v>
      </c>
      <c r="O76" s="539">
        <f t="shared" si="18"/>
        <v>0</v>
      </c>
      <c r="P76" s="539">
        <f t="shared" si="18"/>
        <v>0</v>
      </c>
      <c r="Q76" s="539">
        <f t="shared" si="18"/>
        <v>0</v>
      </c>
      <c r="R76" s="539">
        <f t="shared" si="18"/>
        <v>0</v>
      </c>
      <c r="S76" s="539">
        <f t="shared" si="18"/>
        <v>0</v>
      </c>
      <c r="T76" s="539">
        <f t="shared" si="18"/>
        <v>0</v>
      </c>
      <c r="U76" s="539">
        <f t="shared" si="18"/>
        <v>0</v>
      </c>
      <c r="V76" s="539">
        <f t="shared" si="18"/>
        <v>0</v>
      </c>
      <c r="W76" s="539">
        <f t="shared" si="18"/>
        <v>0</v>
      </c>
      <c r="X76" s="539">
        <f t="shared" si="18"/>
        <v>0</v>
      </c>
      <c r="Y76" s="539">
        <f t="shared" si="18"/>
        <v>0</v>
      </c>
      <c r="Z76" s="539">
        <f t="shared" si="18"/>
        <v>0</v>
      </c>
      <c r="AA76" s="539">
        <f t="shared" si="18"/>
        <v>0</v>
      </c>
      <c r="AB76" s="539">
        <f t="shared" si="18"/>
        <v>0</v>
      </c>
      <c r="AC76" s="539">
        <f t="shared" si="18"/>
        <v>0</v>
      </c>
      <c r="AD76" s="539">
        <f t="shared" si="18"/>
        <v>0</v>
      </c>
      <c r="AE76" s="539">
        <f t="shared" si="18"/>
        <v>0</v>
      </c>
      <c r="AF76" s="539">
        <f t="shared" si="18"/>
        <v>0</v>
      </c>
      <c r="AG76" s="539">
        <f t="shared" si="18"/>
        <v>0</v>
      </c>
      <c r="AH76" s="539">
        <f t="shared" si="18"/>
        <v>1</v>
      </c>
      <c r="AI76" s="539">
        <f t="shared" si="18"/>
        <v>1</v>
      </c>
      <c r="AJ76" s="539">
        <f t="shared" si="18"/>
        <v>1</v>
      </c>
      <c r="AK76" s="539">
        <f t="shared" si="18"/>
        <v>1</v>
      </c>
      <c r="AL76" s="539">
        <f t="shared" si="18"/>
        <v>1</v>
      </c>
      <c r="AM76" s="539">
        <f t="shared" si="18"/>
        <v>1</v>
      </c>
      <c r="AN76" s="539">
        <f t="shared" si="18"/>
        <v>1</v>
      </c>
      <c r="AO76" s="539">
        <f t="shared" si="18"/>
        <v>1</v>
      </c>
      <c r="AP76" s="539">
        <f t="shared" si="18"/>
        <v>1</v>
      </c>
      <c r="AQ76" s="539">
        <f t="shared" si="18"/>
        <v>1</v>
      </c>
      <c r="AR76" s="539">
        <f t="shared" si="18"/>
        <v>1</v>
      </c>
      <c r="AS76" s="539">
        <f t="shared" si="18"/>
        <v>1</v>
      </c>
      <c r="AT76" s="539">
        <f t="shared" si="18"/>
        <v>1</v>
      </c>
      <c r="AU76" s="539">
        <f t="shared" si="18"/>
        <v>1</v>
      </c>
      <c r="AV76" s="539">
        <f t="shared" si="18"/>
        <v>1</v>
      </c>
      <c r="AW76" s="539">
        <f t="shared" si="18"/>
        <v>1</v>
      </c>
      <c r="AX76" s="539">
        <f t="shared" si="18"/>
        <v>1</v>
      </c>
      <c r="AY76" s="539">
        <f t="shared" si="18"/>
        <v>1</v>
      </c>
      <c r="AZ76" s="539">
        <f t="shared" si="18"/>
        <v>1</v>
      </c>
      <c r="BA76" s="539">
        <f t="shared" si="18"/>
        <v>1</v>
      </c>
      <c r="BB76" s="539">
        <f t="shared" si="18"/>
        <v>1</v>
      </c>
      <c r="BC76" s="539">
        <f t="shared" si="18"/>
        <v>1</v>
      </c>
      <c r="BD76" s="539">
        <f t="shared" si="18"/>
        <v>1</v>
      </c>
      <c r="BE76" s="539">
        <f t="shared" si="18"/>
        <v>1</v>
      </c>
      <c r="BF76" s="539">
        <f t="shared" si="18"/>
        <v>1</v>
      </c>
      <c r="BG76" s="539">
        <f t="shared" si="18"/>
        <v>1</v>
      </c>
      <c r="BH76" s="539">
        <f t="shared" si="18"/>
        <v>1</v>
      </c>
      <c r="BI76" s="539">
        <f t="shared" si="18"/>
        <v>1</v>
      </c>
      <c r="BJ76" s="539">
        <f t="shared" si="18"/>
        <v>1</v>
      </c>
      <c r="BK76" s="539">
        <f t="shared" si="18"/>
        <v>1</v>
      </c>
      <c r="BL76" s="539">
        <f t="shared" si="18"/>
        <v>1</v>
      </c>
      <c r="BM76" s="539">
        <f t="shared" si="18"/>
        <v>1</v>
      </c>
      <c r="BN76" s="539">
        <f t="shared" si="18"/>
        <v>1</v>
      </c>
      <c r="BO76" s="539">
        <f t="shared" si="18"/>
        <v>1</v>
      </c>
      <c r="BP76" s="539">
        <f t="shared" si="18"/>
        <v>1</v>
      </c>
      <c r="BQ76" s="539">
        <f t="shared" si="18"/>
        <v>1</v>
      </c>
      <c r="BR76" s="539">
        <f t="shared" si="18"/>
        <v>1</v>
      </c>
      <c r="BS76" s="539">
        <f t="shared" si="18"/>
        <v>1</v>
      </c>
      <c r="BT76" s="539">
        <f t="shared" si="18"/>
        <v>1</v>
      </c>
      <c r="BU76" s="539">
        <f t="shared" si="18"/>
        <v>1</v>
      </c>
      <c r="BV76" s="539">
        <f t="shared" si="18"/>
        <v>1</v>
      </c>
      <c r="BW76" s="539">
        <f t="shared" si="18"/>
        <v>1</v>
      </c>
      <c r="BX76" s="539">
        <f t="shared" si="18"/>
        <v>1</v>
      </c>
      <c r="BY76" s="539">
        <f t="shared" si="18"/>
        <v>1</v>
      </c>
      <c r="BZ76" s="539">
        <f t="shared" si="18"/>
        <v>1</v>
      </c>
      <c r="CA76" s="539">
        <f t="shared" si="18"/>
        <v>1</v>
      </c>
      <c r="CB76" s="539">
        <f t="shared" si="18"/>
        <v>1</v>
      </c>
      <c r="CC76" s="539">
        <f t="shared" si="18"/>
        <v>1</v>
      </c>
      <c r="CD76" s="539">
        <f t="shared" si="18"/>
        <v>1</v>
      </c>
      <c r="CE76" s="539">
        <f t="shared" si="18"/>
        <v>1</v>
      </c>
      <c r="CF76" s="539">
        <f t="shared" si="18"/>
        <v>1</v>
      </c>
      <c r="CG76" s="539">
        <f t="shared" si="18"/>
        <v>1</v>
      </c>
      <c r="CH76" s="539">
        <f t="shared" si="18"/>
        <v>1</v>
      </c>
      <c r="CI76" s="539">
        <f t="shared" si="18"/>
        <v>1</v>
      </c>
      <c r="CJ76" s="539">
        <f t="shared" si="18"/>
        <v>1</v>
      </c>
      <c r="CK76" s="539">
        <f t="shared" si="18"/>
        <v>1</v>
      </c>
      <c r="CL76" s="539">
        <f t="shared" si="18"/>
        <v>1</v>
      </c>
      <c r="CM76" s="539">
        <f t="shared" si="18"/>
        <v>1</v>
      </c>
      <c r="CN76" s="539">
        <f t="shared" si="18"/>
        <v>1</v>
      </c>
      <c r="CO76" s="539">
        <f t="shared" si="18"/>
        <v>1</v>
      </c>
      <c r="CP76" s="539">
        <f t="shared" si="18"/>
        <v>1</v>
      </c>
      <c r="CQ76" s="539">
        <f t="shared" si="18"/>
        <v>1</v>
      </c>
      <c r="CR76" s="539">
        <f t="shared" si="18"/>
        <v>1</v>
      </c>
      <c r="CS76" s="539">
        <f t="shared" si="18"/>
        <v>1</v>
      </c>
      <c r="CT76" s="539">
        <f t="shared" si="18"/>
        <v>1</v>
      </c>
      <c r="CU76" s="539">
        <f t="shared" si="18"/>
        <v>1</v>
      </c>
      <c r="CV76" s="539">
        <f t="shared" si="18"/>
        <v>1</v>
      </c>
      <c r="CW76" s="539">
        <f t="shared" si="18"/>
        <v>1</v>
      </c>
      <c r="CX76" s="539">
        <f t="shared" si="18"/>
        <v>1</v>
      </c>
      <c r="CY76" s="539">
        <f t="shared" si="18"/>
        <v>1</v>
      </c>
      <c r="CZ76" s="539">
        <f t="shared" si="18"/>
        <v>1</v>
      </c>
      <c r="DA76" s="539">
        <f t="shared" si="18"/>
        <v>1</v>
      </c>
      <c r="DB76" s="539">
        <f t="shared" si="18"/>
        <v>0</v>
      </c>
      <c r="DC76" s="539">
        <f t="shared" si="18"/>
        <v>0</v>
      </c>
      <c r="DD76" s="539">
        <f t="shared" si="18"/>
        <v>0</v>
      </c>
      <c r="DE76" s="539">
        <f t="shared" si="18"/>
        <v>0</v>
      </c>
      <c r="DF76" s="539">
        <f t="shared" si="18"/>
        <v>0</v>
      </c>
      <c r="DG76" s="539">
        <f t="shared" si="18"/>
        <v>0</v>
      </c>
      <c r="DH76" s="539">
        <f t="shared" si="18"/>
        <v>0</v>
      </c>
      <c r="DI76" s="539">
        <f t="shared" si="18"/>
        <v>0</v>
      </c>
      <c r="DJ76" s="539">
        <f t="shared" si="18"/>
        <v>0</v>
      </c>
      <c r="DK76" s="539">
        <f t="shared" si="18"/>
        <v>0</v>
      </c>
      <c r="DL76" s="539">
        <f t="shared" si="18"/>
        <v>0</v>
      </c>
      <c r="DM76" s="539">
        <f t="shared" si="18"/>
        <v>0</v>
      </c>
      <c r="DN76" s="539">
        <f t="shared" si="18"/>
        <v>0</v>
      </c>
      <c r="DO76" s="539">
        <f t="shared" si="18"/>
        <v>0</v>
      </c>
      <c r="DP76" s="539">
        <f t="shared" si="18"/>
        <v>0</v>
      </c>
      <c r="DQ76" s="539">
        <f t="shared" si="18"/>
        <v>0</v>
      </c>
      <c r="DR76" s="539">
        <f t="shared" si="18"/>
        <v>0</v>
      </c>
      <c r="DS76" s="539">
        <f t="shared" si="18"/>
        <v>0</v>
      </c>
      <c r="DT76" s="539">
        <f t="shared" si="18"/>
        <v>0</v>
      </c>
      <c r="DU76" s="539">
        <f t="shared" si="18"/>
        <v>0</v>
      </c>
      <c r="DV76" s="539">
        <f t="shared" si="18"/>
        <v>0</v>
      </c>
      <c r="DW76" s="539">
        <f t="shared" si="18"/>
        <v>0</v>
      </c>
      <c r="DX76" s="539">
        <f t="shared" si="18"/>
        <v>0</v>
      </c>
      <c r="DY76" s="539">
        <f t="shared" si="18"/>
        <v>0</v>
      </c>
      <c r="DZ76" s="539">
        <f t="shared" si="18"/>
        <v>0</v>
      </c>
      <c r="EA76" s="539">
        <f t="shared" si="18"/>
        <v>0</v>
      </c>
      <c r="EB76" s="539">
        <f t="shared" si="18"/>
        <v>0</v>
      </c>
      <c r="EC76" s="539">
        <f t="shared" si="18"/>
        <v>0</v>
      </c>
      <c r="ED76" s="539">
        <f t="shared" si="18"/>
        <v>0</v>
      </c>
      <c r="EE76" s="539">
        <f t="shared" si="18"/>
        <v>0</v>
      </c>
      <c r="EF76" s="539">
        <f t="shared" si="18"/>
        <v>0</v>
      </c>
      <c r="EG76" s="539">
        <f t="shared" si="18"/>
        <v>0</v>
      </c>
    </row>
    <row r="77" spans="5:137" ht="12.75">
      <c r="E77" s="538" t="str">
        <f>E$64</f>
        <v>Senior facility - interest</v>
      </c>
      <c r="G77" s="539" t="str">
        <f>G$64</f>
        <v>EUR 000s</v>
      </c>
      <c r="H77" s="539">
        <f>H$64</f>
        <v>129146.28987807478</v>
      </c>
      <c r="J77" s="539">
        <f t="shared" si="19" ref="J77:EG77">J$64</f>
        <v>0</v>
      </c>
      <c r="K77" s="539">
        <f t="shared" si="19"/>
        <v>0</v>
      </c>
      <c r="L77" s="539">
        <f t="shared" si="19"/>
        <v>0</v>
      </c>
      <c r="M77" s="539">
        <f t="shared" si="19"/>
        <v>0</v>
      </c>
      <c r="N77" s="539">
        <f t="shared" si="19"/>
        <v>0</v>
      </c>
      <c r="O77" s="539">
        <f t="shared" si="19"/>
        <v>0</v>
      </c>
      <c r="P77" s="539">
        <f t="shared" si="19"/>
        <v>0</v>
      </c>
      <c r="Q77" s="539">
        <f t="shared" si="19"/>
        <v>0</v>
      </c>
      <c r="R77" s="539">
        <f t="shared" si="19"/>
        <v>0</v>
      </c>
      <c r="S77" s="539">
        <f t="shared" si="19"/>
        <v>0</v>
      </c>
      <c r="T77" s="539">
        <f t="shared" si="19"/>
        <v>0</v>
      </c>
      <c r="U77" s="539">
        <f t="shared" si="19"/>
        <v>0</v>
      </c>
      <c r="V77" s="539">
        <f t="shared" si="19"/>
        <v>0</v>
      </c>
      <c r="W77" s="539">
        <f t="shared" si="19"/>
        <v>0</v>
      </c>
      <c r="X77" s="539">
        <f t="shared" si="19"/>
        <v>0</v>
      </c>
      <c r="Y77" s="539">
        <f t="shared" si="19"/>
        <v>0</v>
      </c>
      <c r="Z77" s="539">
        <f t="shared" si="19"/>
        <v>0</v>
      </c>
      <c r="AA77" s="539">
        <f t="shared" si="19"/>
        <v>0</v>
      </c>
      <c r="AB77" s="539">
        <f t="shared" si="19"/>
        <v>0</v>
      </c>
      <c r="AC77" s="539">
        <f t="shared" si="19"/>
        <v>0</v>
      </c>
      <c r="AD77" s="539">
        <f t="shared" si="19"/>
        <v>0</v>
      </c>
      <c r="AE77" s="539">
        <f t="shared" si="19"/>
        <v>0</v>
      </c>
      <c r="AF77" s="539">
        <f t="shared" si="19"/>
        <v>0</v>
      </c>
      <c r="AG77" s="539">
        <f t="shared" si="19"/>
        <v>0</v>
      </c>
      <c r="AH77" s="539">
        <f t="shared" si="19"/>
        <v>3001.0107045471395</v>
      </c>
      <c r="AI77" s="539">
        <f t="shared" si="19"/>
        <v>3025.0607202902252</v>
      </c>
      <c r="AJ77" s="539">
        <f t="shared" si="19"/>
        <v>3035.7150418494703</v>
      </c>
      <c r="AK77" s="539">
        <f t="shared" si="19"/>
        <v>3013.2777772740533</v>
      </c>
      <c r="AL77" s="539">
        <f t="shared" si="19"/>
        <v>2925.6561104393368</v>
      </c>
      <c r="AM77" s="539">
        <f t="shared" si="19"/>
        <v>2933.9209710967089</v>
      </c>
      <c r="AN77" s="539">
        <f t="shared" si="19"/>
        <v>2941.1776240300005</v>
      </c>
      <c r="AO77" s="539">
        <f t="shared" si="19"/>
        <v>2916.2971624211491</v>
      </c>
      <c r="AP77" s="539">
        <f t="shared" si="19"/>
        <v>2828.362216629173</v>
      </c>
      <c r="AQ77" s="539">
        <f t="shared" si="19"/>
        <v>2833.0787712946462</v>
      </c>
      <c r="AR77" s="539">
        <f t="shared" si="19"/>
        <v>2836.6780401336746</v>
      </c>
      <c r="AS77" s="539">
        <f t="shared" si="19"/>
        <v>2809.1976860341979</v>
      </c>
      <c r="AT77" s="539">
        <f t="shared" si="19"/>
        <v>2751.2475166597596</v>
      </c>
      <c r="AU77" s="539">
        <f t="shared" si="19"/>
        <v>2722.1806011190497</v>
      </c>
      <c r="AV77" s="539">
        <f t="shared" si="19"/>
        <v>2722.0033265522147</v>
      </c>
      <c r="AW77" s="539">
        <f t="shared" si="19"/>
        <v>2691.763176295578</v>
      </c>
      <c r="AX77" s="539">
        <f t="shared" si="19"/>
        <v>2603.4274408818269</v>
      </c>
      <c r="AY77" s="539">
        <f t="shared" si="19"/>
        <v>2600.2377281967169</v>
      </c>
      <c r="AZ77" s="539">
        <f t="shared" si="19"/>
        <v>2595.6911281024104</v>
      </c>
      <c r="BA77" s="539">
        <f t="shared" si="19"/>
        <v>2562.5107476901208</v>
      </c>
      <c r="BB77" s="539">
        <f t="shared" si="19"/>
        <v>2474.0727885506644</v>
      </c>
      <c r="BC77" s="539">
        <f t="shared" si="19"/>
        <v>2467.3552535778831</v>
      </c>
      <c r="BD77" s="539">
        <f t="shared" si="19"/>
        <v>2459.3066674840757</v>
      </c>
      <c r="BE77" s="539">
        <f t="shared" si="19"/>
        <v>2424.1565365982565</v>
      </c>
      <c r="BF77" s="539">
        <f t="shared" si="19"/>
        <v>2336.8538866332328</v>
      </c>
      <c r="BG77" s="539">
        <f t="shared" si="19"/>
        <v>2326.0508370438638</v>
      </c>
      <c r="BH77" s="539">
        <f t="shared" si="19"/>
        <v>2313.7771746652356</v>
      </c>
      <c r="BI77" s="539">
        <f t="shared" si="19"/>
        <v>2275.8759601097127</v>
      </c>
      <c r="BJ77" s="539">
        <f t="shared" si="19"/>
        <v>2213.3737487287381</v>
      </c>
      <c r="BK77" s="539">
        <f t="shared" si="19"/>
        <v>2173.9810776614172</v>
      </c>
      <c r="BL77" s="539">
        <f t="shared" si="19"/>
        <v>2157.2768130159861</v>
      </c>
      <c r="BM77" s="539">
        <f t="shared" si="19"/>
        <v>2116.3812263385985</v>
      </c>
      <c r="BN77" s="539">
        <f t="shared" si="19"/>
        <v>2030.0395500648901</v>
      </c>
      <c r="BO77" s="539">
        <f t="shared" si="19"/>
        <v>2009.983156764715</v>
      </c>
      <c r="BP77" s="539">
        <f t="shared" si="19"/>
        <v>1988.1564901653285</v>
      </c>
      <c r="BQ77" s="539">
        <f t="shared" si="19"/>
        <v>1944.012302373925</v>
      </c>
      <c r="BR77" s="539">
        <f t="shared" si="19"/>
        <v>1858.1843229695255</v>
      </c>
      <c r="BS77" s="539">
        <f t="shared" si="19"/>
        <v>1832.1962417640807</v>
      </c>
      <c r="BT77" s="539">
        <f t="shared" si="19"/>
        <v>1804.2498767046388</v>
      </c>
      <c r="BU77" s="539">
        <f t="shared" si="19"/>
        <v>1755.8432288446147</v>
      </c>
      <c r="BV77" s="539">
        <f t="shared" si="19"/>
        <v>1669.8690627171268</v>
      </c>
      <c r="BW77" s="539">
        <f t="shared" si="19"/>
        <v>1640.1169509689614</v>
      </c>
      <c r="BX77" s="539">
        <f t="shared" si="19"/>
        <v>1614.0018651556209</v>
      </c>
      <c r="BY77" s="539">
        <f t="shared" si="19"/>
        <v>1569.6649310287287</v>
      </c>
      <c r="BZ77" s="539">
        <f t="shared" si="19"/>
        <v>1508.4481106644848</v>
      </c>
      <c r="CA77" s="539">
        <f t="shared" si="19"/>
        <v>1462.8263602517413</v>
      </c>
      <c r="CB77" s="539">
        <f t="shared" si="19"/>
        <v>1431.9689272614364</v>
      </c>
      <c r="CC77" s="539">
        <f t="shared" si="19"/>
        <v>1385.0801850537471</v>
      </c>
      <c r="CD77" s="539">
        <f t="shared" si="19"/>
        <v>1311.1291339199454</v>
      </c>
      <c r="CE77" s="539">
        <f t="shared" si="19"/>
        <v>1280.1126269850974</v>
      </c>
      <c r="CF77" s="539">
        <f t="shared" si="19"/>
        <v>1247.1828683229842</v>
      </c>
      <c r="CG77" s="539">
        <f t="shared" si="19"/>
        <v>1199.8981758533134</v>
      </c>
      <c r="CH77" s="539">
        <f t="shared" si="19"/>
        <v>1127.2598323887116</v>
      </c>
      <c r="CI77" s="539">
        <f t="shared" si="19"/>
        <v>1091.4185398940576</v>
      </c>
      <c r="CJ77" s="539">
        <f t="shared" si="19"/>
        <v>1053.5203900289587</v>
      </c>
      <c r="CK77" s="539">
        <f t="shared" si="19"/>
        <v>1003.2623053912324</v>
      </c>
      <c r="CL77" s="539">
        <f t="shared" si="19"/>
        <v>931.93906223535828</v>
      </c>
      <c r="CM77" s="539">
        <f t="shared" si="19"/>
        <v>886.97994256127174</v>
      </c>
      <c r="CN77" s="539">
        <f t="shared" si="19"/>
        <v>839.68037994616066</v>
      </c>
      <c r="CO77" s="539">
        <f t="shared" si="19"/>
        <v>782.13850520171934</v>
      </c>
      <c r="CP77" s="539">
        <f t="shared" si="19"/>
        <v>716.2691110665894</v>
      </c>
      <c r="CQ77" s="539">
        <f t="shared" si="19"/>
        <v>661.39635897348455</v>
      </c>
      <c r="CR77" s="539">
        <f t="shared" si="19"/>
        <v>612.27196199560819</v>
      </c>
      <c r="CS77" s="539">
        <f t="shared" si="19"/>
        <v>555.17870853822558</v>
      </c>
      <c r="CT77" s="539">
        <f t="shared" si="19"/>
        <v>486.80592604690918</v>
      </c>
      <c r="CU77" s="539">
        <f t="shared" si="19"/>
        <v>433.95764378102621</v>
      </c>
      <c r="CV77" s="539">
        <f t="shared" si="19"/>
        <v>378.57552483863145</v>
      </c>
      <c r="CW77" s="539">
        <f t="shared" si="19"/>
        <v>317.80825911212753</v>
      </c>
      <c r="CX77" s="539">
        <f t="shared" si="19"/>
        <v>250.94980569340035</v>
      </c>
      <c r="CY77" s="539">
        <f t="shared" si="19"/>
        <v>191.78855906528543</v>
      </c>
      <c r="CZ77" s="539">
        <f t="shared" si="19"/>
        <v>129.9226319132481</v>
      </c>
      <c r="DA77" s="539">
        <f t="shared" si="19"/>
        <v>65.245599622744237</v>
      </c>
      <c r="DB77" s="539">
        <f t="shared" si="19"/>
        <v>0</v>
      </c>
      <c r="DC77" s="539">
        <f t="shared" si="19"/>
        <v>0</v>
      </c>
      <c r="DD77" s="539">
        <f t="shared" si="19"/>
        <v>0</v>
      </c>
      <c r="DE77" s="539">
        <f t="shared" si="19"/>
        <v>0</v>
      </c>
      <c r="DF77" s="539">
        <f t="shared" si="19"/>
        <v>0</v>
      </c>
      <c r="DG77" s="539">
        <f t="shared" si="19"/>
        <v>0</v>
      </c>
      <c r="DH77" s="539">
        <f t="shared" si="19"/>
        <v>0</v>
      </c>
      <c r="DI77" s="539">
        <f t="shared" si="19"/>
        <v>0</v>
      </c>
      <c r="DJ77" s="539">
        <f t="shared" si="19"/>
        <v>0</v>
      </c>
      <c r="DK77" s="539">
        <f t="shared" si="19"/>
        <v>0</v>
      </c>
      <c r="DL77" s="539">
        <f t="shared" si="19"/>
        <v>0</v>
      </c>
      <c r="DM77" s="539">
        <f t="shared" si="19"/>
        <v>0</v>
      </c>
      <c r="DN77" s="539">
        <f t="shared" si="19"/>
        <v>0</v>
      </c>
      <c r="DO77" s="539">
        <f t="shared" si="19"/>
        <v>0</v>
      </c>
      <c r="DP77" s="539">
        <f t="shared" si="19"/>
        <v>0</v>
      </c>
      <c r="DQ77" s="539">
        <f t="shared" si="19"/>
        <v>0</v>
      </c>
      <c r="DR77" s="539">
        <f t="shared" si="19"/>
        <v>0</v>
      </c>
      <c r="DS77" s="539">
        <f t="shared" si="19"/>
        <v>0</v>
      </c>
      <c r="DT77" s="539">
        <f t="shared" si="19"/>
        <v>0</v>
      </c>
      <c r="DU77" s="539">
        <f t="shared" si="19"/>
        <v>0</v>
      </c>
      <c r="DV77" s="539">
        <f t="shared" si="19"/>
        <v>0</v>
      </c>
      <c r="DW77" s="539">
        <f t="shared" si="19"/>
        <v>0</v>
      </c>
      <c r="DX77" s="539">
        <f t="shared" si="19"/>
        <v>0</v>
      </c>
      <c r="DY77" s="539">
        <f t="shared" si="19"/>
        <v>0</v>
      </c>
      <c r="DZ77" s="539">
        <f t="shared" si="19"/>
        <v>0</v>
      </c>
      <c r="EA77" s="539">
        <f t="shared" si="19"/>
        <v>0</v>
      </c>
      <c r="EB77" s="539">
        <f t="shared" si="19"/>
        <v>0</v>
      </c>
      <c r="EC77" s="539">
        <f t="shared" si="19"/>
        <v>0</v>
      </c>
      <c r="ED77" s="539">
        <f t="shared" si="19"/>
        <v>0</v>
      </c>
      <c r="EE77" s="539">
        <f t="shared" si="19"/>
        <v>0</v>
      </c>
      <c r="EF77" s="539">
        <f t="shared" si="19"/>
        <v>0</v>
      </c>
      <c r="EG77" s="539">
        <f t="shared" si="19"/>
        <v>0</v>
      </c>
    </row>
    <row r="78" spans="5:137" ht="12.75">
      <c r="E78" s="538" t="s">
        <v>320</v>
      </c>
      <c r="G78" s="539" t="s">
        <v>30</v>
      </c>
      <c r="H78" s="539">
        <f>SUM(J78:EG78)</f>
        <v>220901.94691489133</v>
      </c>
      <c r="J78" s="539">
        <f t="shared" si="20" ref="J78:EG78">MAX(0,$F75-J77)*J76</f>
        <v>0</v>
      </c>
      <c r="K78" s="539">
        <f t="shared" si="20"/>
        <v>0</v>
      </c>
      <c r="L78" s="539">
        <f t="shared" si="20"/>
        <v>0</v>
      </c>
      <c r="M78" s="539">
        <f t="shared" si="20"/>
        <v>0</v>
      </c>
      <c r="N78" s="539">
        <f t="shared" si="20"/>
        <v>0</v>
      </c>
      <c r="O78" s="539">
        <f t="shared" si="20"/>
        <v>0</v>
      </c>
      <c r="P78" s="539">
        <f t="shared" si="20"/>
        <v>0</v>
      </c>
      <c r="Q78" s="539">
        <f t="shared" si="20"/>
        <v>0</v>
      </c>
      <c r="R78" s="539">
        <f t="shared" si="20"/>
        <v>0</v>
      </c>
      <c r="S78" s="539">
        <f t="shared" si="20"/>
        <v>0</v>
      </c>
      <c r="T78" s="539">
        <f t="shared" si="20"/>
        <v>0</v>
      </c>
      <c r="U78" s="539">
        <f t="shared" si="20"/>
        <v>0</v>
      </c>
      <c r="V78" s="539">
        <f t="shared" si="20"/>
        <v>0</v>
      </c>
      <c r="W78" s="539">
        <f t="shared" si="20"/>
        <v>0</v>
      </c>
      <c r="X78" s="539">
        <f t="shared" si="20"/>
        <v>0</v>
      </c>
      <c r="Y78" s="539">
        <f t="shared" si="20"/>
        <v>0</v>
      </c>
      <c r="Z78" s="539">
        <f t="shared" si="20"/>
        <v>0</v>
      </c>
      <c r="AA78" s="539">
        <f t="shared" si="20"/>
        <v>0</v>
      </c>
      <c r="AB78" s="539">
        <f t="shared" si="20"/>
        <v>0</v>
      </c>
      <c r="AC78" s="539">
        <f t="shared" si="20"/>
        <v>0</v>
      </c>
      <c r="AD78" s="539">
        <f t="shared" si="20"/>
        <v>0</v>
      </c>
      <c r="AE78" s="539">
        <f t="shared" si="20"/>
        <v>0</v>
      </c>
      <c r="AF78" s="539">
        <f t="shared" si="20"/>
        <v>0</v>
      </c>
      <c r="AG78" s="539">
        <f t="shared" si="20"/>
        <v>0</v>
      </c>
      <c r="AH78" s="539">
        <f t="shared" si="20"/>
        <v>1860.7703620218335</v>
      </c>
      <c r="AI78" s="539">
        <f t="shared" si="20"/>
        <v>1836.7203462787479</v>
      </c>
      <c r="AJ78" s="539">
        <f t="shared" si="20"/>
        <v>1826.0660247195028</v>
      </c>
      <c r="AK78" s="539">
        <f t="shared" si="20"/>
        <v>1848.5032892949198</v>
      </c>
      <c r="AL78" s="539">
        <f t="shared" si="20"/>
        <v>1936.1249561296363</v>
      </c>
      <c r="AM78" s="539">
        <f t="shared" si="20"/>
        <v>1927.8600954722642</v>
      </c>
      <c r="AN78" s="539">
        <f t="shared" si="20"/>
        <v>1920.6034425389726</v>
      </c>
      <c r="AO78" s="539">
        <f t="shared" si="20"/>
        <v>1945.483904147824</v>
      </c>
      <c r="AP78" s="539">
        <f t="shared" si="20"/>
        <v>2033.4188499398001</v>
      </c>
      <c r="AQ78" s="539">
        <f t="shared" si="20"/>
        <v>2028.7022952743268</v>
      </c>
      <c r="AR78" s="539">
        <f t="shared" si="20"/>
        <v>2025.1030264352985</v>
      </c>
      <c r="AS78" s="539">
        <f t="shared" si="20"/>
        <v>2052.5833805347752</v>
      </c>
      <c r="AT78" s="539">
        <f t="shared" si="20"/>
        <v>2110.5335499092134</v>
      </c>
      <c r="AU78" s="539">
        <f t="shared" si="20"/>
        <v>2139.6004654499234</v>
      </c>
      <c r="AV78" s="539">
        <f t="shared" si="20"/>
        <v>2139.7777400167583</v>
      </c>
      <c r="AW78" s="539">
        <f t="shared" si="20"/>
        <v>2170.0178902733951</v>
      </c>
      <c r="AX78" s="539">
        <f t="shared" si="20"/>
        <v>2258.3536256871462</v>
      </c>
      <c r="AY78" s="539">
        <f t="shared" si="20"/>
        <v>2261.5433383722561</v>
      </c>
      <c r="AZ78" s="539">
        <f t="shared" si="20"/>
        <v>2266.0899384665627</v>
      </c>
      <c r="BA78" s="539">
        <f t="shared" si="20"/>
        <v>2299.2703188788523</v>
      </c>
      <c r="BB78" s="539">
        <f t="shared" si="20"/>
        <v>2387.7082780183086</v>
      </c>
      <c r="BC78" s="539">
        <f t="shared" si="20"/>
        <v>2394.42581299109</v>
      </c>
      <c r="BD78" s="539">
        <f t="shared" si="20"/>
        <v>2402.4743990848974</v>
      </c>
      <c r="BE78" s="539">
        <f t="shared" si="20"/>
        <v>2437.6245299707166</v>
      </c>
      <c r="BF78" s="539">
        <f t="shared" si="20"/>
        <v>2524.9271799357402</v>
      </c>
      <c r="BG78" s="539">
        <f t="shared" si="20"/>
        <v>2535.7302295251093</v>
      </c>
      <c r="BH78" s="539">
        <f t="shared" si="20"/>
        <v>2548.0038919037374</v>
      </c>
      <c r="BI78" s="539">
        <f t="shared" si="20"/>
        <v>2585.9051064592604</v>
      </c>
      <c r="BJ78" s="539">
        <f t="shared" si="20"/>
        <v>2648.407317840235</v>
      </c>
      <c r="BK78" s="539">
        <f t="shared" si="20"/>
        <v>2687.7999889075559</v>
      </c>
      <c r="BL78" s="539">
        <f t="shared" si="20"/>
        <v>2704.5042535529869</v>
      </c>
      <c r="BM78" s="539">
        <f t="shared" si="20"/>
        <v>2745.3998402303746</v>
      </c>
      <c r="BN78" s="539">
        <f t="shared" si="20"/>
        <v>2831.7415165040829</v>
      </c>
      <c r="BO78" s="539">
        <f t="shared" si="20"/>
        <v>2851.7979098042579</v>
      </c>
      <c r="BP78" s="539">
        <f t="shared" si="20"/>
        <v>2873.6245764036448</v>
      </c>
      <c r="BQ78" s="539">
        <f t="shared" si="20"/>
        <v>2917.7687641950479</v>
      </c>
      <c r="BR78" s="539">
        <f t="shared" si="20"/>
        <v>3003.5967435994476</v>
      </c>
      <c r="BS78" s="539">
        <f t="shared" si="20"/>
        <v>3029.5848248048924</v>
      </c>
      <c r="BT78" s="539">
        <f t="shared" si="20"/>
        <v>3057.531189864334</v>
      </c>
      <c r="BU78" s="539">
        <f t="shared" si="20"/>
        <v>3105.9378377243584</v>
      </c>
      <c r="BV78" s="539">
        <f t="shared" si="20"/>
        <v>3191.9120038518463</v>
      </c>
      <c r="BW78" s="539">
        <f t="shared" si="20"/>
        <v>3221.6641156000114</v>
      </c>
      <c r="BX78" s="539">
        <f t="shared" si="20"/>
        <v>3247.779201413352</v>
      </c>
      <c r="BY78" s="539">
        <f t="shared" si="20"/>
        <v>3292.1161355402446</v>
      </c>
      <c r="BZ78" s="539">
        <f t="shared" si="20"/>
        <v>3353.3329559044882</v>
      </c>
      <c r="CA78" s="539">
        <f t="shared" si="20"/>
        <v>3398.9547063172317</v>
      </c>
      <c r="CB78" s="539">
        <f t="shared" si="20"/>
        <v>3429.8121393075367</v>
      </c>
      <c r="CC78" s="539">
        <f t="shared" si="20"/>
        <v>3476.7008815152258</v>
      </c>
      <c r="CD78" s="539">
        <f t="shared" si="20"/>
        <v>3550.6519326490279</v>
      </c>
      <c r="CE78" s="539">
        <f t="shared" si="20"/>
        <v>3581.6684395838756</v>
      </c>
      <c r="CF78" s="539">
        <f t="shared" si="20"/>
        <v>3614.5981982459889</v>
      </c>
      <c r="CG78" s="539">
        <f t="shared" si="20"/>
        <v>3661.8828907156594</v>
      </c>
      <c r="CH78" s="539">
        <f t="shared" si="20"/>
        <v>3734.5212341802617</v>
      </c>
      <c r="CI78" s="539">
        <f t="shared" si="20"/>
        <v>3770.3625266749154</v>
      </c>
      <c r="CJ78" s="539">
        <f t="shared" si="20"/>
        <v>3808.2606765400142</v>
      </c>
      <c r="CK78" s="539">
        <f t="shared" si="20"/>
        <v>3858.5187611777405</v>
      </c>
      <c r="CL78" s="539">
        <f t="shared" si="20"/>
        <v>3929.8420043336146</v>
      </c>
      <c r="CM78" s="539">
        <f t="shared" si="20"/>
        <v>3974.8011240077012</v>
      </c>
      <c r="CN78" s="539">
        <f t="shared" si="20"/>
        <v>4022.1006866228126</v>
      </c>
      <c r="CO78" s="539">
        <f t="shared" si="20"/>
        <v>4079.6425613672536</v>
      </c>
      <c r="CP78" s="539">
        <f t="shared" si="20"/>
        <v>4145.5119555023839</v>
      </c>
      <c r="CQ78" s="539">
        <f t="shared" si="20"/>
        <v>4200.3847075954882</v>
      </c>
      <c r="CR78" s="539">
        <f t="shared" si="20"/>
        <v>4249.5091045733652</v>
      </c>
      <c r="CS78" s="539">
        <f t="shared" si="20"/>
        <v>4306.6023580307474</v>
      </c>
      <c r="CT78" s="539">
        <f t="shared" si="20"/>
        <v>4374.9751405220641</v>
      </c>
      <c r="CU78" s="539">
        <f t="shared" si="20"/>
        <v>4427.8234227879466</v>
      </c>
      <c r="CV78" s="539">
        <f t="shared" si="20"/>
        <v>4483.2055417303418</v>
      </c>
      <c r="CW78" s="539">
        <f t="shared" si="20"/>
        <v>4543.9728074568457</v>
      </c>
      <c r="CX78" s="539">
        <f t="shared" si="20"/>
        <v>4610.8312608755723</v>
      </c>
      <c r="CY78" s="539">
        <f t="shared" si="20"/>
        <v>4669.9925075036881</v>
      </c>
      <c r="CZ78" s="539">
        <f t="shared" si="20"/>
        <v>4731.8584346557254</v>
      </c>
      <c r="DA78" s="539">
        <f t="shared" si="20"/>
        <v>4796.5354669462286</v>
      </c>
      <c r="DB78" s="539">
        <f t="shared" si="20"/>
        <v>0</v>
      </c>
      <c r="DC78" s="539">
        <f t="shared" si="20"/>
        <v>0</v>
      </c>
      <c r="DD78" s="539">
        <f t="shared" si="20"/>
        <v>0</v>
      </c>
      <c r="DE78" s="539">
        <f t="shared" si="20"/>
        <v>0</v>
      </c>
      <c r="DF78" s="539">
        <f t="shared" si="20"/>
        <v>0</v>
      </c>
      <c r="DG78" s="539">
        <f t="shared" si="20"/>
        <v>0</v>
      </c>
      <c r="DH78" s="539">
        <f t="shared" si="20"/>
        <v>0</v>
      </c>
      <c r="DI78" s="539">
        <f t="shared" si="20"/>
        <v>0</v>
      </c>
      <c r="DJ78" s="539">
        <f t="shared" si="20"/>
        <v>0</v>
      </c>
      <c r="DK78" s="539">
        <f t="shared" si="20"/>
        <v>0</v>
      </c>
      <c r="DL78" s="539">
        <f t="shared" si="20"/>
        <v>0</v>
      </c>
      <c r="DM78" s="539">
        <f t="shared" si="20"/>
        <v>0</v>
      </c>
      <c r="DN78" s="539">
        <f t="shared" si="20"/>
        <v>0</v>
      </c>
      <c r="DO78" s="539">
        <f t="shared" si="20"/>
        <v>0</v>
      </c>
      <c r="DP78" s="539">
        <f t="shared" si="20"/>
        <v>0</v>
      </c>
      <c r="DQ78" s="539">
        <f t="shared" si="20"/>
        <v>0</v>
      </c>
      <c r="DR78" s="539">
        <f t="shared" si="20"/>
        <v>0</v>
      </c>
      <c r="DS78" s="539">
        <f t="shared" si="20"/>
        <v>0</v>
      </c>
      <c r="DT78" s="539">
        <f t="shared" si="20"/>
        <v>0</v>
      </c>
      <c r="DU78" s="539">
        <f t="shared" si="20"/>
        <v>0</v>
      </c>
      <c r="DV78" s="539">
        <f t="shared" si="20"/>
        <v>0</v>
      </c>
      <c r="DW78" s="539">
        <f t="shared" si="20"/>
        <v>0</v>
      </c>
      <c r="DX78" s="539">
        <f t="shared" si="20"/>
        <v>0</v>
      </c>
      <c r="DY78" s="539">
        <f t="shared" si="20"/>
        <v>0</v>
      </c>
      <c r="DZ78" s="539">
        <f t="shared" si="20"/>
        <v>0</v>
      </c>
      <c r="EA78" s="539">
        <f t="shared" si="20"/>
        <v>0</v>
      </c>
      <c r="EB78" s="539">
        <f t="shared" si="20"/>
        <v>0</v>
      </c>
      <c r="EC78" s="539">
        <f t="shared" si="20"/>
        <v>0</v>
      </c>
      <c r="ED78" s="539">
        <f t="shared" si="20"/>
        <v>0</v>
      </c>
      <c r="EE78" s="539">
        <f t="shared" si="20"/>
        <v>0</v>
      </c>
      <c r="EF78" s="539">
        <f t="shared" si="20"/>
        <v>0</v>
      </c>
      <c r="EG78" s="539">
        <f t="shared" si="20"/>
        <v>0</v>
      </c>
    </row>
    <row r="80" spans="5:7" ht="12.75">
      <c r="E80" s="538" t="str">
        <f>E$18</f>
        <v>Senior facility - number of repayment periods</v>
      </c>
      <c r="F80" s="539">
        <f>F$18</f>
        <v>72</v>
      </c>
      <c r="G80" s="539" t="str">
        <f>G$18</f>
        <v>counter</v>
      </c>
    </row>
    <row r="81" spans="5:7" ht="12.75">
      <c r="E81" s="538" t="str">
        <f>E$39</f>
        <v>Senior facility - balance at COD</v>
      </c>
      <c r="F81" s="539">
        <f>F$39</f>
        <v>221286.6479110517</v>
      </c>
      <c r="G81" s="539" t="str">
        <f>G$39</f>
        <v>EUR 000s</v>
      </c>
    </row>
    <row r="82" spans="5:137" ht="12.75">
      <c r="E82" s="538" t="str">
        <f>E$15</f>
        <v>Senior facility - repayment period flag</v>
      </c>
      <c r="G82" s="539" t="str">
        <f>G$15</f>
        <v>flag</v>
      </c>
      <c r="H82" s="539">
        <f>H$15</f>
        <v>72</v>
      </c>
      <c r="J82" s="539">
        <f t="shared" si="21" ref="J82:EG82">J$15</f>
        <v>0</v>
      </c>
      <c r="K82" s="539">
        <f t="shared" si="21"/>
        <v>0</v>
      </c>
      <c r="L82" s="539">
        <f t="shared" si="21"/>
        <v>0</v>
      </c>
      <c r="M82" s="539">
        <f t="shared" si="21"/>
        <v>0</v>
      </c>
      <c r="N82" s="539">
        <f t="shared" si="21"/>
        <v>0</v>
      </c>
      <c r="O82" s="539">
        <f t="shared" si="21"/>
        <v>0</v>
      </c>
      <c r="P82" s="539">
        <f t="shared" si="21"/>
        <v>0</v>
      </c>
      <c r="Q82" s="539">
        <f t="shared" si="21"/>
        <v>0</v>
      </c>
      <c r="R82" s="539">
        <f t="shared" si="21"/>
        <v>0</v>
      </c>
      <c r="S82" s="539">
        <f t="shared" si="21"/>
        <v>0</v>
      </c>
      <c r="T82" s="539">
        <f t="shared" si="21"/>
        <v>0</v>
      </c>
      <c r="U82" s="539">
        <f t="shared" si="21"/>
        <v>0</v>
      </c>
      <c r="V82" s="539">
        <f t="shared" si="21"/>
        <v>0</v>
      </c>
      <c r="W82" s="539">
        <f t="shared" si="21"/>
        <v>0</v>
      </c>
      <c r="X82" s="539">
        <f t="shared" si="21"/>
        <v>0</v>
      </c>
      <c r="Y82" s="539">
        <f t="shared" si="21"/>
        <v>0</v>
      </c>
      <c r="Z82" s="539">
        <f t="shared" si="21"/>
        <v>0</v>
      </c>
      <c r="AA82" s="539">
        <f t="shared" si="21"/>
        <v>0</v>
      </c>
      <c r="AB82" s="539">
        <f t="shared" si="21"/>
        <v>0</v>
      </c>
      <c r="AC82" s="539">
        <f t="shared" si="21"/>
        <v>0</v>
      </c>
      <c r="AD82" s="539">
        <f t="shared" si="21"/>
        <v>0</v>
      </c>
      <c r="AE82" s="539">
        <f t="shared" si="21"/>
        <v>0</v>
      </c>
      <c r="AF82" s="539">
        <f t="shared" si="21"/>
        <v>0</v>
      </c>
      <c r="AG82" s="539">
        <f t="shared" si="21"/>
        <v>0</v>
      </c>
      <c r="AH82" s="539">
        <f t="shared" si="21"/>
        <v>1</v>
      </c>
      <c r="AI82" s="539">
        <f t="shared" si="21"/>
        <v>1</v>
      </c>
      <c r="AJ82" s="539">
        <f t="shared" si="21"/>
        <v>1</v>
      </c>
      <c r="AK82" s="539">
        <f t="shared" si="21"/>
        <v>1</v>
      </c>
      <c r="AL82" s="539">
        <f t="shared" si="21"/>
        <v>1</v>
      </c>
      <c r="AM82" s="539">
        <f t="shared" si="21"/>
        <v>1</v>
      </c>
      <c r="AN82" s="539">
        <f t="shared" si="21"/>
        <v>1</v>
      </c>
      <c r="AO82" s="539">
        <f t="shared" si="21"/>
        <v>1</v>
      </c>
      <c r="AP82" s="539">
        <f t="shared" si="21"/>
        <v>1</v>
      </c>
      <c r="AQ82" s="539">
        <f t="shared" si="21"/>
        <v>1</v>
      </c>
      <c r="AR82" s="539">
        <f t="shared" si="21"/>
        <v>1</v>
      </c>
      <c r="AS82" s="539">
        <f t="shared" si="21"/>
        <v>1</v>
      </c>
      <c r="AT82" s="539">
        <f t="shared" si="21"/>
        <v>1</v>
      </c>
      <c r="AU82" s="539">
        <f t="shared" si="21"/>
        <v>1</v>
      </c>
      <c r="AV82" s="539">
        <f t="shared" si="21"/>
        <v>1</v>
      </c>
      <c r="AW82" s="539">
        <f t="shared" si="21"/>
        <v>1</v>
      </c>
      <c r="AX82" s="539">
        <f t="shared" si="21"/>
        <v>1</v>
      </c>
      <c r="AY82" s="539">
        <f t="shared" si="21"/>
        <v>1</v>
      </c>
      <c r="AZ82" s="539">
        <f t="shared" si="21"/>
        <v>1</v>
      </c>
      <c r="BA82" s="539">
        <f t="shared" si="21"/>
        <v>1</v>
      </c>
      <c r="BB82" s="539">
        <f t="shared" si="21"/>
        <v>1</v>
      </c>
      <c r="BC82" s="539">
        <f t="shared" si="21"/>
        <v>1</v>
      </c>
      <c r="BD82" s="539">
        <f t="shared" si="21"/>
        <v>1</v>
      </c>
      <c r="BE82" s="539">
        <f t="shared" si="21"/>
        <v>1</v>
      </c>
      <c r="BF82" s="539">
        <f t="shared" si="21"/>
        <v>1</v>
      </c>
      <c r="BG82" s="539">
        <f t="shared" si="21"/>
        <v>1</v>
      </c>
      <c r="BH82" s="539">
        <f t="shared" si="21"/>
        <v>1</v>
      </c>
      <c r="BI82" s="539">
        <f t="shared" si="21"/>
        <v>1</v>
      </c>
      <c r="BJ82" s="539">
        <f t="shared" si="21"/>
        <v>1</v>
      </c>
      <c r="BK82" s="539">
        <f t="shared" si="21"/>
        <v>1</v>
      </c>
      <c r="BL82" s="539">
        <f t="shared" si="21"/>
        <v>1</v>
      </c>
      <c r="BM82" s="539">
        <f t="shared" si="21"/>
        <v>1</v>
      </c>
      <c r="BN82" s="539">
        <f t="shared" si="21"/>
        <v>1</v>
      </c>
      <c r="BO82" s="539">
        <f t="shared" si="21"/>
        <v>1</v>
      </c>
      <c r="BP82" s="539">
        <f t="shared" si="21"/>
        <v>1</v>
      </c>
      <c r="BQ82" s="539">
        <f t="shared" si="21"/>
        <v>1</v>
      </c>
      <c r="BR82" s="539">
        <f t="shared" si="21"/>
        <v>1</v>
      </c>
      <c r="BS82" s="539">
        <f t="shared" si="21"/>
        <v>1</v>
      </c>
      <c r="BT82" s="539">
        <f t="shared" si="21"/>
        <v>1</v>
      </c>
      <c r="BU82" s="539">
        <f t="shared" si="21"/>
        <v>1</v>
      </c>
      <c r="BV82" s="539">
        <f t="shared" si="21"/>
        <v>1</v>
      </c>
      <c r="BW82" s="539">
        <f t="shared" si="21"/>
        <v>1</v>
      </c>
      <c r="BX82" s="539">
        <f t="shared" si="21"/>
        <v>1</v>
      </c>
      <c r="BY82" s="539">
        <f t="shared" si="21"/>
        <v>1</v>
      </c>
      <c r="BZ82" s="539">
        <f t="shared" si="21"/>
        <v>1</v>
      </c>
      <c r="CA82" s="539">
        <f t="shared" si="21"/>
        <v>1</v>
      </c>
      <c r="CB82" s="539">
        <f t="shared" si="21"/>
        <v>1</v>
      </c>
      <c r="CC82" s="539">
        <f t="shared" si="21"/>
        <v>1</v>
      </c>
      <c r="CD82" s="539">
        <f t="shared" si="21"/>
        <v>1</v>
      </c>
      <c r="CE82" s="539">
        <f t="shared" si="21"/>
        <v>1</v>
      </c>
      <c r="CF82" s="539">
        <f t="shared" si="21"/>
        <v>1</v>
      </c>
      <c r="CG82" s="539">
        <f t="shared" si="21"/>
        <v>1</v>
      </c>
      <c r="CH82" s="539">
        <f t="shared" si="21"/>
        <v>1</v>
      </c>
      <c r="CI82" s="539">
        <f t="shared" si="21"/>
        <v>1</v>
      </c>
      <c r="CJ82" s="539">
        <f t="shared" si="21"/>
        <v>1</v>
      </c>
      <c r="CK82" s="539">
        <f t="shared" si="21"/>
        <v>1</v>
      </c>
      <c r="CL82" s="539">
        <f t="shared" si="21"/>
        <v>1</v>
      </c>
      <c r="CM82" s="539">
        <f t="shared" si="21"/>
        <v>1</v>
      </c>
      <c r="CN82" s="539">
        <f t="shared" si="21"/>
        <v>1</v>
      </c>
      <c r="CO82" s="539">
        <f t="shared" si="21"/>
        <v>1</v>
      </c>
      <c r="CP82" s="539">
        <f t="shared" si="21"/>
        <v>1</v>
      </c>
      <c r="CQ82" s="539">
        <f t="shared" si="21"/>
        <v>1</v>
      </c>
      <c r="CR82" s="539">
        <f t="shared" si="21"/>
        <v>1</v>
      </c>
      <c r="CS82" s="539">
        <f t="shared" si="21"/>
        <v>1</v>
      </c>
      <c r="CT82" s="539">
        <f t="shared" si="21"/>
        <v>1</v>
      </c>
      <c r="CU82" s="539">
        <f t="shared" si="21"/>
        <v>1</v>
      </c>
      <c r="CV82" s="539">
        <f t="shared" si="21"/>
        <v>1</v>
      </c>
      <c r="CW82" s="539">
        <f t="shared" si="21"/>
        <v>1</v>
      </c>
      <c r="CX82" s="539">
        <f t="shared" si="21"/>
        <v>1</v>
      </c>
      <c r="CY82" s="539">
        <f t="shared" si="21"/>
        <v>1</v>
      </c>
      <c r="CZ82" s="539">
        <f t="shared" si="21"/>
        <v>1</v>
      </c>
      <c r="DA82" s="539">
        <f t="shared" si="21"/>
        <v>1</v>
      </c>
      <c r="DB82" s="539">
        <f t="shared" si="21"/>
        <v>0</v>
      </c>
      <c r="DC82" s="539">
        <f t="shared" si="21"/>
        <v>0</v>
      </c>
      <c r="DD82" s="539">
        <f t="shared" si="21"/>
        <v>0</v>
      </c>
      <c r="DE82" s="539">
        <f t="shared" si="21"/>
        <v>0</v>
      </c>
      <c r="DF82" s="539">
        <f t="shared" si="21"/>
        <v>0</v>
      </c>
      <c r="DG82" s="539">
        <f t="shared" si="21"/>
        <v>0</v>
      </c>
      <c r="DH82" s="539">
        <f t="shared" si="21"/>
        <v>0</v>
      </c>
      <c r="DI82" s="539">
        <f t="shared" si="21"/>
        <v>0</v>
      </c>
      <c r="DJ82" s="539">
        <f t="shared" si="21"/>
        <v>0</v>
      </c>
      <c r="DK82" s="539">
        <f t="shared" si="21"/>
        <v>0</v>
      </c>
      <c r="DL82" s="539">
        <f t="shared" si="21"/>
        <v>0</v>
      </c>
      <c r="DM82" s="539">
        <f t="shared" si="21"/>
        <v>0</v>
      </c>
      <c r="DN82" s="539">
        <f t="shared" si="21"/>
        <v>0</v>
      </c>
      <c r="DO82" s="539">
        <f t="shared" si="21"/>
        <v>0</v>
      </c>
      <c r="DP82" s="539">
        <f t="shared" si="21"/>
        <v>0</v>
      </c>
      <c r="DQ82" s="539">
        <f t="shared" si="21"/>
        <v>0</v>
      </c>
      <c r="DR82" s="539">
        <f t="shared" si="21"/>
        <v>0</v>
      </c>
      <c r="DS82" s="539">
        <f t="shared" si="21"/>
        <v>0</v>
      </c>
      <c r="DT82" s="539">
        <f t="shared" si="21"/>
        <v>0</v>
      </c>
      <c r="DU82" s="539">
        <f t="shared" si="21"/>
        <v>0</v>
      </c>
      <c r="DV82" s="539">
        <f t="shared" si="21"/>
        <v>0</v>
      </c>
      <c r="DW82" s="539">
        <f t="shared" si="21"/>
        <v>0</v>
      </c>
      <c r="DX82" s="539">
        <f t="shared" si="21"/>
        <v>0</v>
      </c>
      <c r="DY82" s="539">
        <f t="shared" si="21"/>
        <v>0</v>
      </c>
      <c r="DZ82" s="539">
        <f t="shared" si="21"/>
        <v>0</v>
      </c>
      <c r="EA82" s="539">
        <f t="shared" si="21"/>
        <v>0</v>
      </c>
      <c r="EB82" s="539">
        <f t="shared" si="21"/>
        <v>0</v>
      </c>
      <c r="EC82" s="539">
        <f t="shared" si="21"/>
        <v>0</v>
      </c>
      <c r="ED82" s="539">
        <f t="shared" si="21"/>
        <v>0</v>
      </c>
      <c r="EE82" s="539">
        <f t="shared" si="21"/>
        <v>0</v>
      </c>
      <c r="EF82" s="539">
        <f t="shared" si="21"/>
        <v>0</v>
      </c>
      <c r="EG82" s="539">
        <f t="shared" si="21"/>
        <v>0</v>
      </c>
    </row>
    <row r="83" spans="5:137" ht="12.75">
      <c r="E83" s="538" t="s">
        <v>321</v>
      </c>
      <c r="G83" s="539" t="s">
        <v>30</v>
      </c>
      <c r="H83" s="539">
        <f>SUM(J83:EG83)</f>
        <v>221286.64791105187</v>
      </c>
      <c r="J83" s="539">
        <f t="shared" si="22" ref="J83:EG83">IF($F80=0,0,$F81/$F80)*J82</f>
        <v>0</v>
      </c>
      <c r="K83" s="539">
        <f t="shared" si="22"/>
        <v>0</v>
      </c>
      <c r="L83" s="539">
        <f t="shared" si="22"/>
        <v>0</v>
      </c>
      <c r="M83" s="539">
        <f t="shared" si="22"/>
        <v>0</v>
      </c>
      <c r="N83" s="539">
        <f t="shared" si="22"/>
        <v>0</v>
      </c>
      <c r="O83" s="539">
        <f t="shared" si="22"/>
        <v>0</v>
      </c>
      <c r="P83" s="539">
        <f t="shared" si="22"/>
        <v>0</v>
      </c>
      <c r="Q83" s="539">
        <f t="shared" si="22"/>
        <v>0</v>
      </c>
      <c r="R83" s="539">
        <f t="shared" si="22"/>
        <v>0</v>
      </c>
      <c r="S83" s="539">
        <f t="shared" si="22"/>
        <v>0</v>
      </c>
      <c r="T83" s="539">
        <f t="shared" si="22"/>
        <v>0</v>
      </c>
      <c r="U83" s="539">
        <f t="shared" si="22"/>
        <v>0</v>
      </c>
      <c r="V83" s="539">
        <f t="shared" si="22"/>
        <v>0</v>
      </c>
      <c r="W83" s="539">
        <f t="shared" si="22"/>
        <v>0</v>
      </c>
      <c r="X83" s="539">
        <f t="shared" si="22"/>
        <v>0</v>
      </c>
      <c r="Y83" s="539">
        <f t="shared" si="22"/>
        <v>0</v>
      </c>
      <c r="Z83" s="539">
        <f t="shared" si="22"/>
        <v>0</v>
      </c>
      <c r="AA83" s="539">
        <f t="shared" si="22"/>
        <v>0</v>
      </c>
      <c r="AB83" s="539">
        <f t="shared" si="22"/>
        <v>0</v>
      </c>
      <c r="AC83" s="539">
        <f t="shared" si="22"/>
        <v>0</v>
      </c>
      <c r="AD83" s="539">
        <f t="shared" si="22"/>
        <v>0</v>
      </c>
      <c r="AE83" s="539">
        <f t="shared" si="22"/>
        <v>0</v>
      </c>
      <c r="AF83" s="539">
        <f t="shared" si="22"/>
        <v>0</v>
      </c>
      <c r="AG83" s="539">
        <f t="shared" si="22"/>
        <v>0</v>
      </c>
      <c r="AH83" s="539">
        <f t="shared" si="22"/>
        <v>3073.4256654312735</v>
      </c>
      <c r="AI83" s="539">
        <f t="shared" si="22"/>
        <v>3073.4256654312735</v>
      </c>
      <c r="AJ83" s="539">
        <f t="shared" si="22"/>
        <v>3073.4256654312735</v>
      </c>
      <c r="AK83" s="539">
        <f t="shared" si="22"/>
        <v>3073.4256654312735</v>
      </c>
      <c r="AL83" s="539">
        <f t="shared" si="22"/>
        <v>3073.4256654312735</v>
      </c>
      <c r="AM83" s="539">
        <f t="shared" si="22"/>
        <v>3073.4256654312735</v>
      </c>
      <c r="AN83" s="539">
        <f t="shared" si="22"/>
        <v>3073.4256654312735</v>
      </c>
      <c r="AO83" s="539">
        <f t="shared" si="22"/>
        <v>3073.4256654312735</v>
      </c>
      <c r="AP83" s="539">
        <f t="shared" si="22"/>
        <v>3073.4256654312735</v>
      </c>
      <c r="AQ83" s="539">
        <f t="shared" si="22"/>
        <v>3073.4256654312735</v>
      </c>
      <c r="AR83" s="539">
        <f t="shared" si="22"/>
        <v>3073.4256654312735</v>
      </c>
      <c r="AS83" s="539">
        <f t="shared" si="22"/>
        <v>3073.4256654312735</v>
      </c>
      <c r="AT83" s="539">
        <f t="shared" si="22"/>
        <v>3073.4256654312735</v>
      </c>
      <c r="AU83" s="539">
        <f t="shared" si="22"/>
        <v>3073.4256654312735</v>
      </c>
      <c r="AV83" s="539">
        <f t="shared" si="22"/>
        <v>3073.4256654312735</v>
      </c>
      <c r="AW83" s="539">
        <f t="shared" si="22"/>
        <v>3073.4256654312735</v>
      </c>
      <c r="AX83" s="539">
        <f t="shared" si="22"/>
        <v>3073.4256654312735</v>
      </c>
      <c r="AY83" s="539">
        <f t="shared" si="22"/>
        <v>3073.4256654312735</v>
      </c>
      <c r="AZ83" s="539">
        <f t="shared" si="22"/>
        <v>3073.4256654312735</v>
      </c>
      <c r="BA83" s="539">
        <f t="shared" si="22"/>
        <v>3073.4256654312735</v>
      </c>
      <c r="BB83" s="539">
        <f t="shared" si="22"/>
        <v>3073.4256654312735</v>
      </c>
      <c r="BC83" s="539">
        <f t="shared" si="22"/>
        <v>3073.4256654312735</v>
      </c>
      <c r="BD83" s="539">
        <f t="shared" si="22"/>
        <v>3073.4256654312735</v>
      </c>
      <c r="BE83" s="539">
        <f t="shared" si="22"/>
        <v>3073.4256654312735</v>
      </c>
      <c r="BF83" s="539">
        <f t="shared" si="22"/>
        <v>3073.4256654312735</v>
      </c>
      <c r="BG83" s="539">
        <f t="shared" si="22"/>
        <v>3073.4256654312735</v>
      </c>
      <c r="BH83" s="539">
        <f t="shared" si="22"/>
        <v>3073.4256654312735</v>
      </c>
      <c r="BI83" s="539">
        <f t="shared" si="22"/>
        <v>3073.4256654312735</v>
      </c>
      <c r="BJ83" s="539">
        <f t="shared" si="22"/>
        <v>3073.4256654312735</v>
      </c>
      <c r="BK83" s="539">
        <f t="shared" si="22"/>
        <v>3073.4256654312735</v>
      </c>
      <c r="BL83" s="539">
        <f t="shared" si="22"/>
        <v>3073.4256654312735</v>
      </c>
      <c r="BM83" s="539">
        <f t="shared" si="22"/>
        <v>3073.4256654312735</v>
      </c>
      <c r="BN83" s="539">
        <f t="shared" si="22"/>
        <v>3073.4256654312735</v>
      </c>
      <c r="BO83" s="539">
        <f t="shared" si="22"/>
        <v>3073.4256654312735</v>
      </c>
      <c r="BP83" s="539">
        <f t="shared" si="22"/>
        <v>3073.4256654312735</v>
      </c>
      <c r="BQ83" s="539">
        <f t="shared" si="22"/>
        <v>3073.4256654312735</v>
      </c>
      <c r="BR83" s="539">
        <f t="shared" si="22"/>
        <v>3073.4256654312735</v>
      </c>
      <c r="BS83" s="539">
        <f t="shared" si="22"/>
        <v>3073.4256654312735</v>
      </c>
      <c r="BT83" s="539">
        <f t="shared" si="22"/>
        <v>3073.4256654312735</v>
      </c>
      <c r="BU83" s="539">
        <f t="shared" si="22"/>
        <v>3073.4256654312735</v>
      </c>
      <c r="BV83" s="539">
        <f t="shared" si="22"/>
        <v>3073.4256654312735</v>
      </c>
      <c r="BW83" s="539">
        <f t="shared" si="22"/>
        <v>3073.4256654312735</v>
      </c>
      <c r="BX83" s="539">
        <f t="shared" si="22"/>
        <v>3073.4256654312735</v>
      </c>
      <c r="BY83" s="539">
        <f t="shared" si="22"/>
        <v>3073.4256654312735</v>
      </c>
      <c r="BZ83" s="539">
        <f t="shared" si="22"/>
        <v>3073.4256654312735</v>
      </c>
      <c r="CA83" s="539">
        <f t="shared" si="22"/>
        <v>3073.4256654312735</v>
      </c>
      <c r="CB83" s="539">
        <f t="shared" si="22"/>
        <v>3073.4256654312735</v>
      </c>
      <c r="CC83" s="539">
        <f t="shared" si="22"/>
        <v>3073.4256654312735</v>
      </c>
      <c r="CD83" s="539">
        <f t="shared" si="22"/>
        <v>3073.4256654312735</v>
      </c>
      <c r="CE83" s="539">
        <f t="shared" si="22"/>
        <v>3073.4256654312735</v>
      </c>
      <c r="CF83" s="539">
        <f t="shared" si="22"/>
        <v>3073.4256654312735</v>
      </c>
      <c r="CG83" s="539">
        <f t="shared" si="22"/>
        <v>3073.4256654312735</v>
      </c>
      <c r="CH83" s="539">
        <f t="shared" si="22"/>
        <v>3073.4256654312735</v>
      </c>
      <c r="CI83" s="539">
        <f t="shared" si="22"/>
        <v>3073.4256654312735</v>
      </c>
      <c r="CJ83" s="539">
        <f t="shared" si="22"/>
        <v>3073.4256654312735</v>
      </c>
      <c r="CK83" s="539">
        <f t="shared" si="22"/>
        <v>3073.4256654312735</v>
      </c>
      <c r="CL83" s="539">
        <f t="shared" si="22"/>
        <v>3073.4256654312735</v>
      </c>
      <c r="CM83" s="539">
        <f t="shared" si="22"/>
        <v>3073.4256654312735</v>
      </c>
      <c r="CN83" s="539">
        <f t="shared" si="22"/>
        <v>3073.4256654312735</v>
      </c>
      <c r="CO83" s="539">
        <f t="shared" si="22"/>
        <v>3073.4256654312735</v>
      </c>
      <c r="CP83" s="539">
        <f t="shared" si="22"/>
        <v>3073.4256654312735</v>
      </c>
      <c r="CQ83" s="539">
        <f t="shared" si="22"/>
        <v>3073.4256654312735</v>
      </c>
      <c r="CR83" s="539">
        <f t="shared" si="22"/>
        <v>3073.4256654312735</v>
      </c>
      <c r="CS83" s="539">
        <f t="shared" si="22"/>
        <v>3073.4256654312735</v>
      </c>
      <c r="CT83" s="539">
        <f t="shared" si="22"/>
        <v>3073.4256654312735</v>
      </c>
      <c r="CU83" s="539">
        <f t="shared" si="22"/>
        <v>3073.4256654312735</v>
      </c>
      <c r="CV83" s="539">
        <f t="shared" si="22"/>
        <v>3073.4256654312735</v>
      </c>
      <c r="CW83" s="539">
        <f t="shared" si="22"/>
        <v>3073.4256654312735</v>
      </c>
      <c r="CX83" s="539">
        <f t="shared" si="22"/>
        <v>3073.4256654312735</v>
      </c>
      <c r="CY83" s="539">
        <f t="shared" si="22"/>
        <v>3073.4256654312735</v>
      </c>
      <c r="CZ83" s="539">
        <f t="shared" si="22"/>
        <v>3073.4256654312735</v>
      </c>
      <c r="DA83" s="539">
        <f t="shared" si="22"/>
        <v>3073.4256654312735</v>
      </c>
      <c r="DB83" s="539">
        <f t="shared" si="22"/>
        <v>0</v>
      </c>
      <c r="DC83" s="539">
        <f t="shared" si="22"/>
        <v>0</v>
      </c>
      <c r="DD83" s="539">
        <f t="shared" si="22"/>
        <v>0</v>
      </c>
      <c r="DE83" s="539">
        <f t="shared" si="22"/>
        <v>0</v>
      </c>
      <c r="DF83" s="539">
        <f t="shared" si="22"/>
        <v>0</v>
      </c>
      <c r="DG83" s="539">
        <f t="shared" si="22"/>
        <v>0</v>
      </c>
      <c r="DH83" s="539">
        <f t="shared" si="22"/>
        <v>0</v>
      </c>
      <c r="DI83" s="539">
        <f t="shared" si="22"/>
        <v>0</v>
      </c>
      <c r="DJ83" s="539">
        <f t="shared" si="22"/>
        <v>0</v>
      </c>
      <c r="DK83" s="539">
        <f t="shared" si="22"/>
        <v>0</v>
      </c>
      <c r="DL83" s="539">
        <f t="shared" si="22"/>
        <v>0</v>
      </c>
      <c r="DM83" s="539">
        <f t="shared" si="22"/>
        <v>0</v>
      </c>
      <c r="DN83" s="539">
        <f t="shared" si="22"/>
        <v>0</v>
      </c>
      <c r="DO83" s="539">
        <f t="shared" si="22"/>
        <v>0</v>
      </c>
      <c r="DP83" s="539">
        <f t="shared" si="22"/>
        <v>0</v>
      </c>
      <c r="DQ83" s="539">
        <f t="shared" si="22"/>
        <v>0</v>
      </c>
      <c r="DR83" s="539">
        <f t="shared" si="22"/>
        <v>0</v>
      </c>
      <c r="DS83" s="539">
        <f t="shared" si="22"/>
        <v>0</v>
      </c>
      <c r="DT83" s="539">
        <f t="shared" si="22"/>
        <v>0</v>
      </c>
      <c r="DU83" s="539">
        <f t="shared" si="22"/>
        <v>0</v>
      </c>
      <c r="DV83" s="539">
        <f t="shared" si="22"/>
        <v>0</v>
      </c>
      <c r="DW83" s="539">
        <f t="shared" si="22"/>
        <v>0</v>
      </c>
      <c r="DX83" s="539">
        <f t="shared" si="22"/>
        <v>0</v>
      </c>
      <c r="DY83" s="539">
        <f t="shared" si="22"/>
        <v>0</v>
      </c>
      <c r="DZ83" s="539">
        <f t="shared" si="22"/>
        <v>0</v>
      </c>
      <c r="EA83" s="539">
        <f t="shared" si="22"/>
        <v>0</v>
      </c>
      <c r="EB83" s="539">
        <f t="shared" si="22"/>
        <v>0</v>
      </c>
      <c r="EC83" s="539">
        <f t="shared" si="22"/>
        <v>0</v>
      </c>
      <c r="ED83" s="539">
        <f t="shared" si="22"/>
        <v>0</v>
      </c>
      <c r="EE83" s="539">
        <f t="shared" si="22"/>
        <v>0</v>
      </c>
      <c r="EF83" s="539">
        <f t="shared" si="22"/>
        <v>0</v>
      </c>
      <c r="EG83" s="539">
        <f t="shared" si="22"/>
        <v>0</v>
      </c>
    </row>
    <row r="85" spans="5:7" ht="12.75">
      <c r="E85" s="535" t="str">
        <f>InpC!E$77</f>
        <v>Senior facility - repayment method</v>
      </c>
      <c r="F85" s="537">
        <f>InpC!F$77</f>
        <v>1</v>
      </c>
      <c r="G85" s="537" t="str">
        <f>InpC!G$77</f>
        <v>switch</v>
      </c>
    </row>
    <row r="86" spans="5:7" ht="12.75">
      <c r="E86" s="535" t="str">
        <f>InpC!E$133</f>
        <v>Repayment method - sculpted</v>
      </c>
      <c r="F86" s="537">
        <f>InpC!F$133</f>
        <v>1</v>
      </c>
      <c r="G86" s="537" t="str">
        <f>InpC!G$133</f>
        <v>switch</v>
      </c>
    </row>
    <row r="87" spans="5:7" ht="12.75">
      <c r="E87" s="535" t="str">
        <f>InpC!E$134</f>
        <v>Repayment method - annuity</v>
      </c>
      <c r="F87" s="537">
        <f>InpC!F$134</f>
        <v>2</v>
      </c>
      <c r="G87" s="537" t="str">
        <f>InpC!G$134</f>
        <v>switch</v>
      </c>
    </row>
    <row r="88" spans="5:137" ht="12.75">
      <c r="E88" s="535" t="str">
        <f>Cons!E$149</f>
        <v>Senior facility - drawdown</v>
      </c>
      <c r="G88" s="537" t="str">
        <f>Cons!G$149</f>
        <v>EUR 000s</v>
      </c>
      <c r="H88" s="537">
        <f>Cons!H$149</f>
        <v>221286.6479110517</v>
      </c>
      <c r="J88" s="537">
        <f>Cons!J$149</f>
        <v>0</v>
      </c>
      <c r="K88" s="537">
        <f>Cons!K$149</f>
        <v>0</v>
      </c>
      <c r="L88" s="537">
        <f>Cons!L$149</f>
        <v>0</v>
      </c>
      <c r="M88" s="537">
        <f>Cons!M$149</f>
        <v>0</v>
      </c>
      <c r="N88" s="537">
        <f>Cons!N$149</f>
        <v>0</v>
      </c>
      <c r="O88" s="537">
        <f>Cons!O$149</f>
        <v>0</v>
      </c>
      <c r="P88" s="537">
        <f>Cons!P$149</f>
        <v>-1.8189894035458565E-12</v>
      </c>
      <c r="Q88" s="537">
        <f>Cons!Q$149</f>
        <v>0</v>
      </c>
      <c r="R88" s="537">
        <f>Cons!R$149</f>
        <v>1382.3281928992874</v>
      </c>
      <c r="S88" s="537">
        <f>Cons!S$149</f>
        <v>17980.844765662525</v>
      </c>
      <c r="T88" s="537">
        <f>Cons!T$149</f>
        <v>18373.00855600759</v>
      </c>
      <c r="U88" s="537">
        <f>Cons!U$149</f>
        <v>18794.294603184764</v>
      </c>
      <c r="V88" s="537">
        <f>Cons!V$149</f>
        <v>17560.929412437468</v>
      </c>
      <c r="W88" s="537">
        <f>Cons!W$149</f>
        <v>17427.529348846478</v>
      </c>
      <c r="X88" s="537">
        <f>Cons!X$149</f>
        <v>15736.56271752895</v>
      </c>
      <c r="Y88" s="537">
        <f>Cons!Y$149</f>
        <v>13805.731154549694</v>
      </c>
      <c r="Z88" s="537">
        <f>Cons!Z$149</f>
        <v>12901.477428191107</v>
      </c>
      <c r="AA88" s="537">
        <f>Cons!AA$149</f>
        <v>14399.761727471965</v>
      </c>
      <c r="AB88" s="537">
        <f>Cons!AB$149</f>
        <v>15143.672002923853</v>
      </c>
      <c r="AC88" s="537">
        <f>Cons!AC$149</f>
        <v>15043.412380382597</v>
      </c>
      <c r="AD88" s="537">
        <f>Cons!AD$149</f>
        <v>13719.08131146606</v>
      </c>
      <c r="AE88" s="537">
        <f>Cons!AE$149</f>
        <v>8683.3953250207269</v>
      </c>
      <c r="AF88" s="537">
        <f>Cons!AF$149</f>
        <v>6872.7289999061568</v>
      </c>
      <c r="AG88" s="537">
        <f>Cons!AG$149</f>
        <v>13461.889984572472</v>
      </c>
      <c r="AH88" s="537">
        <f>Cons!AH$149</f>
        <v>0</v>
      </c>
      <c r="AI88" s="537">
        <f>Cons!AI$149</f>
        <v>0</v>
      </c>
      <c r="AJ88" s="537">
        <f>Cons!AJ$149</f>
        <v>0</v>
      </c>
      <c r="AK88" s="537">
        <f>Cons!AK$149</f>
        <v>0</v>
      </c>
      <c r="AL88" s="537">
        <f>Cons!AL$149</f>
        <v>0</v>
      </c>
      <c r="AM88" s="537">
        <f>Cons!AM$149</f>
        <v>0</v>
      </c>
      <c r="AN88" s="537">
        <f>Cons!AN$149</f>
        <v>0</v>
      </c>
      <c r="AO88" s="537">
        <f>Cons!AO$149</f>
        <v>0</v>
      </c>
      <c r="AP88" s="537">
        <f>Cons!AP$149</f>
        <v>0</v>
      </c>
      <c r="AQ88" s="537">
        <f>Cons!AQ$149</f>
        <v>0</v>
      </c>
      <c r="AR88" s="537">
        <f>Cons!AR$149</f>
        <v>0</v>
      </c>
      <c r="AS88" s="537">
        <f>Cons!AS$149</f>
        <v>0</v>
      </c>
      <c r="AT88" s="537">
        <f>Cons!AT$149</f>
        <v>0</v>
      </c>
      <c r="AU88" s="537">
        <f>Cons!AU$149</f>
        <v>0</v>
      </c>
      <c r="AV88" s="537">
        <f>Cons!AV$149</f>
        <v>0</v>
      </c>
      <c r="AW88" s="537">
        <f>Cons!AW$149</f>
        <v>0</v>
      </c>
      <c r="AX88" s="537">
        <f>Cons!AX$149</f>
        <v>0</v>
      </c>
      <c r="AY88" s="537">
        <f>Cons!AY$149</f>
        <v>0</v>
      </c>
      <c r="AZ88" s="537">
        <f>Cons!AZ$149</f>
        <v>0</v>
      </c>
      <c r="BA88" s="537">
        <f>Cons!BA$149</f>
        <v>0</v>
      </c>
      <c r="BB88" s="537">
        <f>Cons!BB$149</f>
        <v>0</v>
      </c>
      <c r="BC88" s="537">
        <f>Cons!BC$149</f>
        <v>0</v>
      </c>
      <c r="BD88" s="537">
        <f>Cons!BD$149</f>
        <v>0</v>
      </c>
      <c r="BE88" s="537">
        <f>Cons!BE$149</f>
        <v>0</v>
      </c>
      <c r="BF88" s="537">
        <f>Cons!BF$149</f>
        <v>0</v>
      </c>
      <c r="BG88" s="537">
        <f>Cons!BG$149</f>
        <v>0</v>
      </c>
      <c r="BH88" s="537">
        <f>Cons!BH$149</f>
        <v>0</v>
      </c>
      <c r="BI88" s="537">
        <f>Cons!BI$149</f>
        <v>0</v>
      </c>
      <c r="BJ88" s="537">
        <f>Cons!BJ$149</f>
        <v>0</v>
      </c>
      <c r="BK88" s="537">
        <f>Cons!BK$149</f>
        <v>0</v>
      </c>
      <c r="BL88" s="537">
        <f>Cons!BL$149</f>
        <v>0</v>
      </c>
      <c r="BM88" s="537">
        <f>Cons!BM$149</f>
        <v>0</v>
      </c>
      <c r="BN88" s="537">
        <f>Cons!BN$149</f>
        <v>0</v>
      </c>
      <c r="BO88" s="537">
        <f>Cons!BO$149</f>
        <v>0</v>
      </c>
      <c r="BP88" s="537">
        <f>Cons!BP$149</f>
        <v>0</v>
      </c>
      <c r="BQ88" s="537">
        <f>Cons!BQ$149</f>
        <v>0</v>
      </c>
      <c r="BR88" s="537">
        <f>Cons!BR$149</f>
        <v>0</v>
      </c>
      <c r="BS88" s="537">
        <f>Cons!BS$149</f>
        <v>0</v>
      </c>
      <c r="BT88" s="537">
        <f>Cons!BT$149</f>
        <v>0</v>
      </c>
      <c r="BU88" s="537">
        <f>Cons!BU$149</f>
        <v>0</v>
      </c>
      <c r="BV88" s="537">
        <f>Cons!BV$149</f>
        <v>0</v>
      </c>
      <c r="BW88" s="537">
        <f>Cons!BW$149</f>
        <v>0</v>
      </c>
      <c r="BX88" s="537">
        <f>Cons!BX$149</f>
        <v>0</v>
      </c>
      <c r="BY88" s="537">
        <f>Cons!BY$149</f>
        <v>0</v>
      </c>
      <c r="BZ88" s="537">
        <f>Cons!BZ$149</f>
        <v>0</v>
      </c>
      <c r="CA88" s="537">
        <f>Cons!CA$149</f>
        <v>0</v>
      </c>
      <c r="CB88" s="537">
        <f>Cons!CB$149</f>
        <v>0</v>
      </c>
      <c r="CC88" s="537">
        <f>Cons!CC$149</f>
        <v>0</v>
      </c>
      <c r="CD88" s="537">
        <f>Cons!CD$149</f>
        <v>0</v>
      </c>
      <c r="CE88" s="537">
        <f>Cons!CE$149</f>
        <v>0</v>
      </c>
      <c r="CF88" s="537">
        <f>Cons!CF$149</f>
        <v>0</v>
      </c>
      <c r="CG88" s="537">
        <f>Cons!CG$149</f>
        <v>0</v>
      </c>
      <c r="CH88" s="537">
        <f>Cons!CH$149</f>
        <v>0</v>
      </c>
      <c r="CI88" s="537">
        <f>Cons!CI$149</f>
        <v>0</v>
      </c>
      <c r="CJ88" s="537">
        <f>Cons!CJ$149</f>
        <v>0</v>
      </c>
      <c r="CK88" s="537">
        <f>Cons!CK$149</f>
        <v>0</v>
      </c>
      <c r="CL88" s="537">
        <f>Cons!CL$149</f>
        <v>0</v>
      </c>
      <c r="CM88" s="537">
        <f>Cons!CM$149</f>
        <v>0</v>
      </c>
      <c r="CN88" s="537">
        <f>Cons!CN$149</f>
        <v>0</v>
      </c>
      <c r="CO88" s="537">
        <f>Cons!CO$149</f>
        <v>0</v>
      </c>
      <c r="CP88" s="537">
        <f>Cons!CP$149</f>
        <v>0</v>
      </c>
      <c r="CQ88" s="537">
        <f>Cons!CQ$149</f>
        <v>0</v>
      </c>
      <c r="CR88" s="537">
        <f>Cons!CR$149</f>
        <v>0</v>
      </c>
      <c r="CS88" s="537">
        <f>Cons!CS$149</f>
        <v>0</v>
      </c>
      <c r="CT88" s="537">
        <f>Cons!CT$149</f>
        <v>0</v>
      </c>
      <c r="CU88" s="537">
        <f>Cons!CU$149</f>
        <v>0</v>
      </c>
      <c r="CV88" s="537">
        <f>Cons!CV$149</f>
        <v>0</v>
      </c>
      <c r="CW88" s="537">
        <f>Cons!CW$149</f>
        <v>0</v>
      </c>
      <c r="CX88" s="537">
        <f>Cons!CX$149</f>
        <v>0</v>
      </c>
      <c r="CY88" s="537">
        <f>Cons!CY$149</f>
        <v>0</v>
      </c>
      <c r="CZ88" s="537">
        <f>Cons!CZ$149</f>
        <v>0</v>
      </c>
      <c r="DA88" s="537">
        <f>Cons!DA$149</f>
        <v>0</v>
      </c>
      <c r="DB88" s="537">
        <f>Cons!DB$149</f>
        <v>0</v>
      </c>
      <c r="DC88" s="537">
        <f>Cons!DC$149</f>
        <v>0</v>
      </c>
      <c r="DD88" s="537">
        <f>Cons!DD$149</f>
        <v>0</v>
      </c>
      <c r="DE88" s="537">
        <f>Cons!DE$149</f>
        <v>0</v>
      </c>
      <c r="DF88" s="537">
        <f>Cons!DF$149</f>
        <v>0</v>
      </c>
      <c r="DG88" s="537">
        <f>Cons!DG$149</f>
        <v>0</v>
      </c>
      <c r="DH88" s="537">
        <f>Cons!DH$149</f>
        <v>0</v>
      </c>
      <c r="DI88" s="537">
        <f>Cons!DI$149</f>
        <v>0</v>
      </c>
      <c r="DJ88" s="537">
        <f>Cons!DJ$149</f>
        <v>0</v>
      </c>
      <c r="DK88" s="537">
        <f>Cons!DK$149</f>
        <v>0</v>
      </c>
      <c r="DL88" s="537">
        <f>Cons!DL$149</f>
        <v>0</v>
      </c>
      <c r="DM88" s="537">
        <f>Cons!DM$149</f>
        <v>0</v>
      </c>
      <c r="DN88" s="537">
        <f>Cons!DN$149</f>
        <v>0</v>
      </c>
      <c r="DO88" s="537">
        <f>Cons!DO$149</f>
        <v>0</v>
      </c>
      <c r="DP88" s="537">
        <f>Cons!DP$149</f>
        <v>0</v>
      </c>
      <c r="DQ88" s="537">
        <f>Cons!DQ$149</f>
        <v>0</v>
      </c>
      <c r="DR88" s="537">
        <f>Cons!DR$149</f>
        <v>0</v>
      </c>
      <c r="DS88" s="537">
        <f>Cons!DS$149</f>
        <v>0</v>
      </c>
      <c r="DT88" s="537">
        <f>Cons!DT$149</f>
        <v>0</v>
      </c>
      <c r="DU88" s="537">
        <f>Cons!DU$149</f>
        <v>0</v>
      </c>
      <c r="DV88" s="537">
        <f>Cons!DV$149</f>
        <v>0</v>
      </c>
      <c r="DW88" s="537">
        <f>Cons!DW$149</f>
        <v>0</v>
      </c>
      <c r="DX88" s="537">
        <f>Cons!DX$149</f>
        <v>0</v>
      </c>
      <c r="DY88" s="537">
        <f>Cons!DY$149</f>
        <v>0</v>
      </c>
      <c r="DZ88" s="537">
        <f>Cons!DZ$149</f>
        <v>0</v>
      </c>
      <c r="EA88" s="537">
        <f>Cons!EA$149</f>
        <v>0</v>
      </c>
      <c r="EB88" s="537">
        <f>Cons!EB$149</f>
        <v>0</v>
      </c>
      <c r="EC88" s="537">
        <f>Cons!EC$149</f>
        <v>0</v>
      </c>
      <c r="ED88" s="537">
        <f>Cons!ED$149</f>
        <v>0</v>
      </c>
      <c r="EE88" s="537">
        <f>Cons!EE$149</f>
        <v>0</v>
      </c>
      <c r="EF88" s="537">
        <f>Cons!EF$149</f>
        <v>0</v>
      </c>
      <c r="EG88" s="537">
        <f>Cons!EG$149</f>
        <v>0</v>
      </c>
    </row>
    <row r="89" spans="5:137" ht="12.75">
      <c r="E89" s="538" t="str">
        <f>E$57</f>
        <v>Senior facility - opening balance</v>
      </c>
      <c r="G89" s="539" t="str">
        <f>G$57</f>
        <v>EUR 000s</v>
      </c>
      <c r="H89" s="539">
        <f>H$57</f>
        <v>11123186.810732836</v>
      </c>
      <c r="J89" s="539">
        <f t="shared" si="23" ref="J89:EG89">J$57</f>
        <v>0</v>
      </c>
      <c r="K89" s="539">
        <f t="shared" si="23"/>
        <v>0</v>
      </c>
      <c r="L89" s="539">
        <f t="shared" si="23"/>
        <v>0</v>
      </c>
      <c r="M89" s="539">
        <f t="shared" si="23"/>
        <v>0</v>
      </c>
      <c r="N89" s="539">
        <f t="shared" si="23"/>
        <v>0</v>
      </c>
      <c r="O89" s="539">
        <f t="shared" si="23"/>
        <v>0</v>
      </c>
      <c r="P89" s="539">
        <f t="shared" si="23"/>
        <v>0</v>
      </c>
      <c r="Q89" s="539">
        <f t="shared" si="23"/>
        <v>0</v>
      </c>
      <c r="R89" s="539">
        <f t="shared" si="23"/>
        <v>0</v>
      </c>
      <c r="S89" s="539">
        <f t="shared" si="23"/>
        <v>1382.3281928992874</v>
      </c>
      <c r="T89" s="539">
        <f t="shared" si="23"/>
        <v>19363.172958561812</v>
      </c>
      <c r="U89" s="539">
        <f t="shared" si="23"/>
        <v>37736.181514569398</v>
      </c>
      <c r="V89" s="539">
        <f t="shared" si="23"/>
        <v>56530.476117754166</v>
      </c>
      <c r="W89" s="539">
        <f t="shared" si="23"/>
        <v>74091.405530191638</v>
      </c>
      <c r="X89" s="539">
        <f t="shared" si="23"/>
        <v>91518.934879038119</v>
      </c>
      <c r="Y89" s="539">
        <f t="shared" si="23"/>
        <v>107255.49759656707</v>
      </c>
      <c r="Z89" s="539">
        <f t="shared" si="23"/>
        <v>121061.22875111677</v>
      </c>
      <c r="AA89" s="539">
        <f t="shared" si="23"/>
        <v>133962.70617930786</v>
      </c>
      <c r="AB89" s="539">
        <f t="shared" si="23"/>
        <v>148362.46790677981</v>
      </c>
      <c r="AC89" s="539">
        <f t="shared" si="23"/>
        <v>163506.13990970366</v>
      </c>
      <c r="AD89" s="539">
        <f t="shared" si="23"/>
        <v>178549.55229008626</v>
      </c>
      <c r="AE89" s="539">
        <f t="shared" si="23"/>
        <v>192268.63360155231</v>
      </c>
      <c r="AF89" s="539">
        <f t="shared" si="23"/>
        <v>200952.02892657305</v>
      </c>
      <c r="AG89" s="539">
        <f t="shared" si="23"/>
        <v>207824.75792647921</v>
      </c>
      <c r="AH89" s="539">
        <f t="shared" si="23"/>
        <v>221286.6479110517</v>
      </c>
      <c r="AI89" s="539">
        <f t="shared" si="23"/>
        <v>220608.823757429</v>
      </c>
      <c r="AJ89" s="539">
        <f t="shared" si="23"/>
        <v>218979.44471839062</v>
      </c>
      <c r="AK89" s="539">
        <f t="shared" si="23"/>
        <v>217360.94638439317</v>
      </c>
      <c r="AL89" s="539">
        <f t="shared" si="23"/>
        <v>215730.19804249654</v>
      </c>
      <c r="AM89" s="539">
        <f t="shared" si="23"/>
        <v>213962.26862143833</v>
      </c>
      <c r="AN89" s="539">
        <f t="shared" si="23"/>
        <v>212160.04600216408</v>
      </c>
      <c r="AO89" s="539">
        <f t="shared" si="23"/>
        <v>210365.30914698011</v>
      </c>
      <c r="AP89" s="539">
        <f t="shared" si="23"/>
        <v>208556.00183225214</v>
      </c>
      <c r="AQ89" s="539">
        <f t="shared" si="23"/>
        <v>206608.1421623468</v>
      </c>
      <c r="AR89" s="539">
        <f t="shared" si="23"/>
        <v>204622.0325392868</v>
      </c>
      <c r="AS89" s="539">
        <f t="shared" si="23"/>
        <v>202639.75403211112</v>
      </c>
      <c r="AT89" s="539">
        <f t="shared" si="23"/>
        <v>200640.42828787459</v>
      </c>
      <c r="AU89" s="539">
        <f t="shared" si="23"/>
        <v>198520.66321847215</v>
      </c>
      <c r="AV89" s="539">
        <f t="shared" si="23"/>
        <v>196350.0423303475</v>
      </c>
      <c r="AW89" s="539">
        <f t="shared" si="23"/>
        <v>194168.68761815928</v>
      </c>
      <c r="AX89" s="539">
        <f t="shared" si="23"/>
        <v>191969.90220643775</v>
      </c>
      <c r="AY89" s="539">
        <f t="shared" si="23"/>
        <v>189627.72643192843</v>
      </c>
      <c r="AZ89" s="539">
        <f t="shared" si="23"/>
        <v>187238.5892801146</v>
      </c>
      <c r="BA89" s="539">
        <f t="shared" si="23"/>
        <v>184845.14286697507</v>
      </c>
      <c r="BB89" s="539">
        <f t="shared" si="23"/>
        <v>182431.62986282675</v>
      </c>
      <c r="BC89" s="539">
        <f t="shared" si="23"/>
        <v>179936.99651467081</v>
      </c>
      <c r="BD89" s="539">
        <f t="shared" si="23"/>
        <v>177400.57976910818</v>
      </c>
      <c r="BE89" s="539">
        <f t="shared" si="23"/>
        <v>174865.04661232483</v>
      </c>
      <c r="BF89" s="539">
        <f t="shared" si="23"/>
        <v>172313.4684083091</v>
      </c>
      <c r="BG89" s="539">
        <f t="shared" si="23"/>
        <v>169632.07902517688</v>
      </c>
      <c r="BH89" s="539">
        <f t="shared" si="23"/>
        <v>166902.89896300616</v>
      </c>
      <c r="BI89" s="539">
        <f t="shared" si="23"/>
        <v>164168.91807115515</v>
      </c>
      <c r="BJ89" s="539">
        <f t="shared" si="23"/>
        <v>161414.86878840948</v>
      </c>
      <c r="BK89" s="539">
        <f t="shared" si="23"/>
        <v>158542.07659269078</v>
      </c>
      <c r="BL89" s="539">
        <f t="shared" si="23"/>
        <v>155613.84125510571</v>
      </c>
      <c r="BM89" s="539">
        <f t="shared" si="23"/>
        <v>152663.86316474082</v>
      </c>
      <c r="BN89" s="539">
        <f t="shared" si="23"/>
        <v>149689.78500478482</v>
      </c>
      <c r="BO89" s="539">
        <f t="shared" si="23"/>
        <v>146582.18825556862</v>
      </c>
      <c r="BP89" s="539">
        <f t="shared" si="23"/>
        <v>143414.45037753851</v>
      </c>
      <c r="BQ89" s="539">
        <f t="shared" si="23"/>
        <v>140230.13643606377</v>
      </c>
      <c r="BR89" s="539">
        <f t="shared" si="23"/>
        <v>137017.63189573269</v>
      </c>
      <c r="BS89" s="539">
        <f t="shared" si="23"/>
        <v>133616.70893983805</v>
      </c>
      <c r="BT89" s="539">
        <f t="shared" si="23"/>
        <v>130148.4594856113</v>
      </c>
      <c r="BU89" s="539">
        <f t="shared" si="23"/>
        <v>126656.67559847518</v>
      </c>
      <c r="BV89" s="539">
        <f t="shared" si="23"/>
        <v>123131.75917005076</v>
      </c>
      <c r="BW89" s="539">
        <f t="shared" si="23"/>
        <v>119608.92849224193</v>
      </c>
      <c r="BX89" s="539">
        <f t="shared" si="23"/>
        <v>116425.03572762878</v>
      </c>
      <c r="BY89" s="539">
        <f t="shared" si="23"/>
        <v>113226.81814732924</v>
      </c>
      <c r="BZ89" s="539">
        <f t="shared" si="23"/>
        <v>110006.70537313426</v>
      </c>
      <c r="CA89" s="539">
        <f t="shared" si="23"/>
        <v>106679.6446537234</v>
      </c>
      <c r="CB89" s="539">
        <f t="shared" si="23"/>
        <v>103294.20127478741</v>
      </c>
      <c r="CC89" s="539">
        <f t="shared" si="23"/>
        <v>99911.910581940261</v>
      </c>
      <c r="CD89" s="539">
        <f t="shared" si="23"/>
        <v>96679.218965814158</v>
      </c>
      <c r="CE89" s="539">
        <f t="shared" si="23"/>
        <v>93354.866903009097</v>
      </c>
      <c r="CF89" s="539">
        <f t="shared" si="23"/>
        <v>89964.772122112496</v>
      </c>
      <c r="CG89" s="539">
        <f t="shared" si="23"/>
        <v>86553.919799695548</v>
      </c>
      <c r="CH89" s="539">
        <f t="shared" si="23"/>
        <v>83121.179559975688</v>
      </c>
      <c r="CI89" s="539">
        <f t="shared" si="23"/>
        <v>79593.959452813389</v>
      </c>
      <c r="CJ89" s="539">
        <f t="shared" si="23"/>
        <v>75995.047897345838</v>
      </c>
      <c r="CK89" s="539">
        <f t="shared" si="23"/>
        <v>72369.711752529605</v>
      </c>
      <c r="CL89" s="539">
        <f t="shared" si="23"/>
        <v>68718.73893250621</v>
      </c>
      <c r="CM89" s="539">
        <f t="shared" si="23"/>
        <v>64684.850956016817</v>
      </c>
      <c r="CN89" s="539">
        <f t="shared" si="23"/>
        <v>60569.829778725034</v>
      </c>
      <c r="CO89" s="539">
        <f t="shared" si="23"/>
        <v>56419.081896961972</v>
      </c>
      <c r="CP89" s="539">
        <f t="shared" si="23"/>
        <v>52235.409698162868</v>
      </c>
      <c r="CQ89" s="539">
        <f t="shared" si="23"/>
        <v>48233.700504559805</v>
      </c>
      <c r="CR89" s="539">
        <f t="shared" si="23"/>
        <v>44165.862871224701</v>
      </c>
      <c r="CS89" s="539">
        <f t="shared" si="23"/>
        <v>40047.476011156585</v>
      </c>
      <c r="CT89" s="539">
        <f t="shared" si="23"/>
        <v>35895.790506489262</v>
      </c>
      <c r="CU89" s="539">
        <f t="shared" si="23"/>
        <v>31647.260735279633</v>
      </c>
      <c r="CV89" s="539">
        <f t="shared" si="23"/>
        <v>27308.313550612747</v>
      </c>
      <c r="CW89" s="539">
        <f t="shared" si="23"/>
        <v>22924.904066388648</v>
      </c>
      <c r="CX89" s="539">
        <f t="shared" si="23"/>
        <v>18504.379611735581</v>
      </c>
      <c r="CY89" s="539">
        <f t="shared" si="23"/>
        <v>13986.578233532302</v>
      </c>
      <c r="CZ89" s="539">
        <f t="shared" si="23"/>
        <v>9371.8894561927991</v>
      </c>
      <c r="DA89" s="539">
        <f t="shared" si="23"/>
        <v>4706.4513561860967</v>
      </c>
      <c r="DB89" s="539">
        <f t="shared" si="23"/>
        <v>0</v>
      </c>
      <c r="DC89" s="539">
        <f t="shared" si="23"/>
        <v>0</v>
      </c>
      <c r="DD89" s="539">
        <f t="shared" si="23"/>
        <v>0</v>
      </c>
      <c r="DE89" s="539">
        <f t="shared" si="23"/>
        <v>0</v>
      </c>
      <c r="DF89" s="539">
        <f t="shared" si="23"/>
        <v>0</v>
      </c>
      <c r="DG89" s="539">
        <f t="shared" si="23"/>
        <v>0</v>
      </c>
      <c r="DH89" s="539">
        <f t="shared" si="23"/>
        <v>0</v>
      </c>
      <c r="DI89" s="539">
        <f t="shared" si="23"/>
        <v>0</v>
      </c>
      <c r="DJ89" s="539">
        <f t="shared" si="23"/>
        <v>0</v>
      </c>
      <c r="DK89" s="539">
        <f t="shared" si="23"/>
        <v>0</v>
      </c>
      <c r="DL89" s="539">
        <f t="shared" si="23"/>
        <v>0</v>
      </c>
      <c r="DM89" s="539">
        <f t="shared" si="23"/>
        <v>0</v>
      </c>
      <c r="DN89" s="539">
        <f t="shared" si="23"/>
        <v>0</v>
      </c>
      <c r="DO89" s="539">
        <f t="shared" si="23"/>
        <v>0</v>
      </c>
      <c r="DP89" s="539">
        <f t="shared" si="23"/>
        <v>0</v>
      </c>
      <c r="DQ89" s="539">
        <f t="shared" si="23"/>
        <v>0</v>
      </c>
      <c r="DR89" s="539">
        <f t="shared" si="23"/>
        <v>0</v>
      </c>
      <c r="DS89" s="539">
        <f t="shared" si="23"/>
        <v>0</v>
      </c>
      <c r="DT89" s="539">
        <f t="shared" si="23"/>
        <v>0</v>
      </c>
      <c r="DU89" s="539">
        <f t="shared" si="23"/>
        <v>0</v>
      </c>
      <c r="DV89" s="539">
        <f t="shared" si="23"/>
        <v>0</v>
      </c>
      <c r="DW89" s="539">
        <f t="shared" si="23"/>
        <v>0</v>
      </c>
      <c r="DX89" s="539">
        <f t="shared" si="23"/>
        <v>0</v>
      </c>
      <c r="DY89" s="539">
        <f t="shared" si="23"/>
        <v>0</v>
      </c>
      <c r="DZ89" s="539">
        <f t="shared" si="23"/>
        <v>0</v>
      </c>
      <c r="EA89" s="539">
        <f t="shared" si="23"/>
        <v>0</v>
      </c>
      <c r="EB89" s="539">
        <f t="shared" si="23"/>
        <v>0</v>
      </c>
      <c r="EC89" s="539">
        <f t="shared" si="23"/>
        <v>0</v>
      </c>
      <c r="ED89" s="539">
        <f t="shared" si="23"/>
        <v>0</v>
      </c>
      <c r="EE89" s="539">
        <f t="shared" si="23"/>
        <v>0</v>
      </c>
      <c r="EF89" s="539">
        <f t="shared" si="23"/>
        <v>0</v>
      </c>
      <c r="EG89" s="539">
        <f t="shared" si="23"/>
        <v>0</v>
      </c>
    </row>
    <row r="90" spans="5:137" ht="12.75">
      <c r="E90" s="538" t="str">
        <f>E$69</f>
        <v>Senior facility - sculpted principal</v>
      </c>
      <c r="G90" s="539" t="str">
        <f>G$69</f>
        <v>EUR 000s</v>
      </c>
      <c r="H90" s="539">
        <f>H$69</f>
        <v>221286.6479110521</v>
      </c>
      <c r="J90" s="539">
        <f t="shared" si="24" ref="J90:EG90">J$69</f>
        <v>0</v>
      </c>
      <c r="K90" s="539">
        <f t="shared" si="24"/>
        <v>0</v>
      </c>
      <c r="L90" s="539">
        <f t="shared" si="24"/>
        <v>0</v>
      </c>
      <c r="M90" s="539">
        <f t="shared" si="24"/>
        <v>0</v>
      </c>
      <c r="N90" s="539">
        <f t="shared" si="24"/>
        <v>0</v>
      </c>
      <c r="O90" s="539">
        <f t="shared" si="24"/>
        <v>0</v>
      </c>
      <c r="P90" s="539">
        <f t="shared" si="24"/>
        <v>0</v>
      </c>
      <c r="Q90" s="539">
        <f t="shared" si="24"/>
        <v>0</v>
      </c>
      <c r="R90" s="539">
        <f t="shared" si="24"/>
        <v>0</v>
      </c>
      <c r="S90" s="539">
        <f t="shared" si="24"/>
        <v>0</v>
      </c>
      <c r="T90" s="539">
        <f t="shared" si="24"/>
        <v>0</v>
      </c>
      <c r="U90" s="539">
        <f t="shared" si="24"/>
        <v>0</v>
      </c>
      <c r="V90" s="539">
        <f t="shared" si="24"/>
        <v>0</v>
      </c>
      <c r="W90" s="539">
        <f t="shared" si="24"/>
        <v>0</v>
      </c>
      <c r="X90" s="539">
        <f t="shared" si="24"/>
        <v>0</v>
      </c>
      <c r="Y90" s="539">
        <f t="shared" si="24"/>
        <v>0</v>
      </c>
      <c r="Z90" s="539">
        <f t="shared" si="24"/>
        <v>0</v>
      </c>
      <c r="AA90" s="539">
        <f t="shared" si="24"/>
        <v>0</v>
      </c>
      <c r="AB90" s="539">
        <f t="shared" si="24"/>
        <v>0</v>
      </c>
      <c r="AC90" s="539">
        <f t="shared" si="24"/>
        <v>0</v>
      </c>
      <c r="AD90" s="539">
        <f t="shared" si="24"/>
        <v>0</v>
      </c>
      <c r="AE90" s="539">
        <f t="shared" si="24"/>
        <v>0</v>
      </c>
      <c r="AF90" s="539">
        <f t="shared" si="24"/>
        <v>0</v>
      </c>
      <c r="AG90" s="539">
        <f t="shared" si="24"/>
        <v>0</v>
      </c>
      <c r="AH90" s="539">
        <f t="shared" si="24"/>
        <v>677.82415362271058</v>
      </c>
      <c r="AI90" s="539">
        <f t="shared" si="24"/>
        <v>1629.3790390383851</v>
      </c>
      <c r="AJ90" s="539">
        <f t="shared" si="24"/>
        <v>1618.4983339974451</v>
      </c>
      <c r="AK90" s="539">
        <f t="shared" si="24"/>
        <v>1630.7483418966362</v>
      </c>
      <c r="AL90" s="539">
        <f t="shared" si="24"/>
        <v>1767.9294210582093</v>
      </c>
      <c r="AM90" s="539">
        <f t="shared" si="24"/>
        <v>1802.2226192742546</v>
      </c>
      <c r="AN90" s="539">
        <f t="shared" si="24"/>
        <v>1794.7368551839654</v>
      </c>
      <c r="AO90" s="539">
        <f t="shared" si="24"/>
        <v>1809.3073147279661</v>
      </c>
      <c r="AP90" s="539">
        <f t="shared" si="24"/>
        <v>1947.8596699053346</v>
      </c>
      <c r="AQ90" s="539">
        <f t="shared" si="24"/>
        <v>1986.1096230599974</v>
      </c>
      <c r="AR90" s="539">
        <f t="shared" si="24"/>
        <v>1982.2785071756671</v>
      </c>
      <c r="AS90" s="539">
        <f t="shared" si="24"/>
        <v>1999.3257442365161</v>
      </c>
      <c r="AT90" s="539">
        <f t="shared" si="24"/>
        <v>2119.7650694024387</v>
      </c>
      <c r="AU90" s="539">
        <f t="shared" si="24"/>
        <v>2170.6208881246671</v>
      </c>
      <c r="AV90" s="539">
        <f t="shared" si="24"/>
        <v>2181.3547121882043</v>
      </c>
      <c r="AW90" s="539">
        <f t="shared" si="24"/>
        <v>2198.7854117215456</v>
      </c>
      <c r="AX90" s="539">
        <f t="shared" si="24"/>
        <v>2342.1757745093132</v>
      </c>
      <c r="AY90" s="539">
        <f t="shared" si="24"/>
        <v>2389.1371518138408</v>
      </c>
      <c r="AZ90" s="539">
        <f t="shared" si="24"/>
        <v>2393.4464131395234</v>
      </c>
      <c r="BA90" s="539">
        <f t="shared" si="24"/>
        <v>2413.5130041483303</v>
      </c>
      <c r="BB90" s="539">
        <f t="shared" si="24"/>
        <v>2494.6333481559554</v>
      </c>
      <c r="BC90" s="539">
        <f t="shared" si="24"/>
        <v>2536.416745562628</v>
      </c>
      <c r="BD90" s="539">
        <f t="shared" si="24"/>
        <v>2535.5331567833546</v>
      </c>
      <c r="BE90" s="539">
        <f t="shared" si="24"/>
        <v>2551.5782040157314</v>
      </c>
      <c r="BF90" s="539">
        <f t="shared" si="24"/>
        <v>2681.3893831322102</v>
      </c>
      <c r="BG90" s="539">
        <f t="shared" si="24"/>
        <v>2729.1800621707371</v>
      </c>
      <c r="BH90" s="539">
        <f t="shared" si="24"/>
        <v>2733.9808918509984</v>
      </c>
      <c r="BI90" s="539">
        <f t="shared" si="24"/>
        <v>2754.0492827456601</v>
      </c>
      <c r="BJ90" s="539">
        <f t="shared" si="24"/>
        <v>2872.7921957187036</v>
      </c>
      <c r="BK90" s="539">
        <f t="shared" si="24"/>
        <v>2928.2353375850521</v>
      </c>
      <c r="BL90" s="539">
        <f t="shared" si="24"/>
        <v>2949.9780903649021</v>
      </c>
      <c r="BM90" s="539">
        <f t="shared" si="24"/>
        <v>2974.0781599560037</v>
      </c>
      <c r="BN90" s="539">
        <f t="shared" si="24"/>
        <v>3107.5967492162099</v>
      </c>
      <c r="BO90" s="539">
        <f t="shared" si="24"/>
        <v>3167.7378780301078</v>
      </c>
      <c r="BP90" s="539">
        <f t="shared" si="24"/>
        <v>3184.3139414747466</v>
      </c>
      <c r="BQ90" s="539">
        <f t="shared" si="24"/>
        <v>3212.504540331086</v>
      </c>
      <c r="BR90" s="539">
        <f t="shared" si="24"/>
        <v>3400.9229558946477</v>
      </c>
      <c r="BS90" s="539">
        <f t="shared" si="24"/>
        <v>3468.2494542267559</v>
      </c>
      <c r="BT90" s="539">
        <f t="shared" si="24"/>
        <v>3491.7838871361182</v>
      </c>
      <c r="BU90" s="539">
        <f t="shared" si="24"/>
        <v>3524.9164284244171</v>
      </c>
      <c r="BV90" s="539">
        <f t="shared" si="24"/>
        <v>3522.8306778088331</v>
      </c>
      <c r="BW90" s="539">
        <f t="shared" si="24"/>
        <v>3183.8927646131478</v>
      </c>
      <c r="BX90" s="539">
        <f t="shared" si="24"/>
        <v>3198.2175802995462</v>
      </c>
      <c r="BY90" s="539">
        <f t="shared" si="24"/>
        <v>3220.1127741949776</v>
      </c>
      <c r="BZ90" s="539">
        <f t="shared" si="24"/>
        <v>3327.0607194108602</v>
      </c>
      <c r="CA90" s="539">
        <f t="shared" si="24"/>
        <v>3385.4433789359969</v>
      </c>
      <c r="CB90" s="539">
        <f t="shared" si="24"/>
        <v>3382.2906928471562</v>
      </c>
      <c r="CC90" s="539">
        <f t="shared" si="24"/>
        <v>3232.6916161260979</v>
      </c>
      <c r="CD90" s="539">
        <f t="shared" si="24"/>
        <v>3324.3520628050601</v>
      </c>
      <c r="CE90" s="539">
        <f t="shared" si="24"/>
        <v>3390.0947808966057</v>
      </c>
      <c r="CF90" s="539">
        <f t="shared" si="24"/>
        <v>3410.8523224169539</v>
      </c>
      <c r="CG90" s="539">
        <f t="shared" si="24"/>
        <v>3432.7402397198557</v>
      </c>
      <c r="CH90" s="539">
        <f t="shared" si="24"/>
        <v>3527.2201071622985</v>
      </c>
      <c r="CI90" s="539">
        <f t="shared" si="24"/>
        <v>3598.911555467545</v>
      </c>
      <c r="CJ90" s="539">
        <f t="shared" si="24"/>
        <v>3625.3361448162268</v>
      </c>
      <c r="CK90" s="539">
        <f t="shared" si="24"/>
        <v>3650.972820023389</v>
      </c>
      <c r="CL90" s="539">
        <f t="shared" si="24"/>
        <v>4033.8879764893964</v>
      </c>
      <c r="CM90" s="539">
        <f t="shared" si="24"/>
        <v>4115.0211772917837</v>
      </c>
      <c r="CN90" s="539">
        <f t="shared" si="24"/>
        <v>4150.7478817630608</v>
      </c>
      <c r="CO90" s="539">
        <f t="shared" si="24"/>
        <v>4183.6721987991059</v>
      </c>
      <c r="CP90" s="539">
        <f t="shared" si="24"/>
        <v>4001.7091936030665</v>
      </c>
      <c r="CQ90" s="539">
        <f t="shared" si="24"/>
        <v>4067.8376333351075</v>
      </c>
      <c r="CR90" s="539">
        <f t="shared" si="24"/>
        <v>4118.3868600681171</v>
      </c>
      <c r="CS90" s="539">
        <f t="shared" si="24"/>
        <v>4151.6855046673199</v>
      </c>
      <c r="CT90" s="539">
        <f t="shared" si="24"/>
        <v>4248.5297712096281</v>
      </c>
      <c r="CU90" s="539">
        <f t="shared" si="24"/>
        <v>4338.9471846668848</v>
      </c>
      <c r="CV90" s="539">
        <f t="shared" si="24"/>
        <v>4383.4094842240993</v>
      </c>
      <c r="CW90" s="539">
        <f t="shared" si="24"/>
        <v>4420.5244546530666</v>
      </c>
      <c r="CX90" s="539">
        <f t="shared" si="24"/>
        <v>4517.8013782032795</v>
      </c>
      <c r="CY90" s="539">
        <f t="shared" si="24"/>
        <v>4614.6887773395028</v>
      </c>
      <c r="CZ90" s="539">
        <f t="shared" si="24"/>
        <v>4665.4381000067024</v>
      </c>
      <c r="DA90" s="539">
        <f t="shared" si="24"/>
        <v>4706.4513561864132</v>
      </c>
      <c r="DB90" s="539">
        <f t="shared" si="24"/>
        <v>0</v>
      </c>
      <c r="DC90" s="539">
        <f t="shared" si="24"/>
        <v>0</v>
      </c>
      <c r="DD90" s="539">
        <f t="shared" si="24"/>
        <v>0</v>
      </c>
      <c r="DE90" s="539">
        <f t="shared" si="24"/>
        <v>0</v>
      </c>
      <c r="DF90" s="539">
        <f t="shared" si="24"/>
        <v>0</v>
      </c>
      <c r="DG90" s="539">
        <f t="shared" si="24"/>
        <v>0</v>
      </c>
      <c r="DH90" s="539">
        <f t="shared" si="24"/>
        <v>0</v>
      </c>
      <c r="DI90" s="539">
        <f t="shared" si="24"/>
        <v>0</v>
      </c>
      <c r="DJ90" s="539">
        <f t="shared" si="24"/>
        <v>0</v>
      </c>
      <c r="DK90" s="539">
        <f t="shared" si="24"/>
        <v>0</v>
      </c>
      <c r="DL90" s="539">
        <f t="shared" si="24"/>
        <v>0</v>
      </c>
      <c r="DM90" s="539">
        <f t="shared" si="24"/>
        <v>0</v>
      </c>
      <c r="DN90" s="539">
        <f t="shared" si="24"/>
        <v>0</v>
      </c>
      <c r="DO90" s="539">
        <f t="shared" si="24"/>
        <v>0</v>
      </c>
      <c r="DP90" s="539">
        <f t="shared" si="24"/>
        <v>0</v>
      </c>
      <c r="DQ90" s="539">
        <f t="shared" si="24"/>
        <v>0</v>
      </c>
      <c r="DR90" s="539">
        <f t="shared" si="24"/>
        <v>0</v>
      </c>
      <c r="DS90" s="539">
        <f t="shared" si="24"/>
        <v>0</v>
      </c>
      <c r="DT90" s="539">
        <f t="shared" si="24"/>
        <v>0</v>
      </c>
      <c r="DU90" s="539">
        <f t="shared" si="24"/>
        <v>0</v>
      </c>
      <c r="DV90" s="539">
        <f t="shared" si="24"/>
        <v>0</v>
      </c>
      <c r="DW90" s="539">
        <f t="shared" si="24"/>
        <v>0</v>
      </c>
      <c r="DX90" s="539">
        <f t="shared" si="24"/>
        <v>0</v>
      </c>
      <c r="DY90" s="539">
        <f t="shared" si="24"/>
        <v>0</v>
      </c>
      <c r="DZ90" s="539">
        <f t="shared" si="24"/>
        <v>0</v>
      </c>
      <c r="EA90" s="539">
        <f t="shared" si="24"/>
        <v>0</v>
      </c>
      <c r="EB90" s="539">
        <f t="shared" si="24"/>
        <v>0</v>
      </c>
      <c r="EC90" s="539">
        <f t="shared" si="24"/>
        <v>0</v>
      </c>
      <c r="ED90" s="539">
        <f t="shared" si="24"/>
        <v>0</v>
      </c>
      <c r="EE90" s="539">
        <f t="shared" si="24"/>
        <v>0</v>
      </c>
      <c r="EF90" s="539">
        <f t="shared" si="24"/>
        <v>0</v>
      </c>
      <c r="EG90" s="539">
        <f t="shared" si="24"/>
        <v>0</v>
      </c>
    </row>
    <row r="91" spans="5:137" ht="12.75">
      <c r="E91" s="538" t="str">
        <f>E$78</f>
        <v>Senior facility - annuity principal</v>
      </c>
      <c r="G91" s="539" t="str">
        <f>G$78</f>
        <v>EUR 000s</v>
      </c>
      <c r="H91" s="539">
        <f>H$78</f>
        <v>220901.94691489133</v>
      </c>
      <c r="J91" s="539">
        <f t="shared" si="25" ref="J91:EG91">J$78</f>
        <v>0</v>
      </c>
      <c r="K91" s="539">
        <f t="shared" si="25"/>
        <v>0</v>
      </c>
      <c r="L91" s="539">
        <f t="shared" si="25"/>
        <v>0</v>
      </c>
      <c r="M91" s="539">
        <f t="shared" si="25"/>
        <v>0</v>
      </c>
      <c r="N91" s="539">
        <f t="shared" si="25"/>
        <v>0</v>
      </c>
      <c r="O91" s="539">
        <f t="shared" si="25"/>
        <v>0</v>
      </c>
      <c r="P91" s="539">
        <f t="shared" si="25"/>
        <v>0</v>
      </c>
      <c r="Q91" s="539">
        <f t="shared" si="25"/>
        <v>0</v>
      </c>
      <c r="R91" s="539">
        <f t="shared" si="25"/>
        <v>0</v>
      </c>
      <c r="S91" s="539">
        <f t="shared" si="25"/>
        <v>0</v>
      </c>
      <c r="T91" s="539">
        <f t="shared" si="25"/>
        <v>0</v>
      </c>
      <c r="U91" s="539">
        <f t="shared" si="25"/>
        <v>0</v>
      </c>
      <c r="V91" s="539">
        <f t="shared" si="25"/>
        <v>0</v>
      </c>
      <c r="W91" s="539">
        <f t="shared" si="25"/>
        <v>0</v>
      </c>
      <c r="X91" s="539">
        <f t="shared" si="25"/>
        <v>0</v>
      </c>
      <c r="Y91" s="539">
        <f t="shared" si="25"/>
        <v>0</v>
      </c>
      <c r="Z91" s="539">
        <f t="shared" si="25"/>
        <v>0</v>
      </c>
      <c r="AA91" s="539">
        <f t="shared" si="25"/>
        <v>0</v>
      </c>
      <c r="AB91" s="539">
        <f t="shared" si="25"/>
        <v>0</v>
      </c>
      <c r="AC91" s="539">
        <f t="shared" si="25"/>
        <v>0</v>
      </c>
      <c r="AD91" s="539">
        <f t="shared" si="25"/>
        <v>0</v>
      </c>
      <c r="AE91" s="539">
        <f t="shared" si="25"/>
        <v>0</v>
      </c>
      <c r="AF91" s="539">
        <f t="shared" si="25"/>
        <v>0</v>
      </c>
      <c r="AG91" s="539">
        <f t="shared" si="25"/>
        <v>0</v>
      </c>
      <c r="AH91" s="539">
        <f t="shared" si="25"/>
        <v>1860.7703620218335</v>
      </c>
      <c r="AI91" s="539">
        <f t="shared" si="25"/>
        <v>1836.7203462787479</v>
      </c>
      <c r="AJ91" s="539">
        <f t="shared" si="25"/>
        <v>1826.0660247195028</v>
      </c>
      <c r="AK91" s="539">
        <f t="shared" si="25"/>
        <v>1848.5032892949198</v>
      </c>
      <c r="AL91" s="539">
        <f t="shared" si="25"/>
        <v>1936.1249561296363</v>
      </c>
      <c r="AM91" s="539">
        <f t="shared" si="25"/>
        <v>1927.8600954722642</v>
      </c>
      <c r="AN91" s="539">
        <f t="shared" si="25"/>
        <v>1920.6034425389726</v>
      </c>
      <c r="AO91" s="539">
        <f t="shared" si="25"/>
        <v>1945.483904147824</v>
      </c>
      <c r="AP91" s="539">
        <f t="shared" si="25"/>
        <v>2033.4188499398001</v>
      </c>
      <c r="AQ91" s="539">
        <f t="shared" si="25"/>
        <v>2028.7022952743268</v>
      </c>
      <c r="AR91" s="539">
        <f t="shared" si="25"/>
        <v>2025.1030264352985</v>
      </c>
      <c r="AS91" s="539">
        <f t="shared" si="25"/>
        <v>2052.5833805347752</v>
      </c>
      <c r="AT91" s="539">
        <f t="shared" si="25"/>
        <v>2110.5335499092134</v>
      </c>
      <c r="AU91" s="539">
        <f t="shared" si="25"/>
        <v>2139.6004654499234</v>
      </c>
      <c r="AV91" s="539">
        <f t="shared" si="25"/>
        <v>2139.7777400167583</v>
      </c>
      <c r="AW91" s="539">
        <f t="shared" si="25"/>
        <v>2170.0178902733951</v>
      </c>
      <c r="AX91" s="539">
        <f t="shared" si="25"/>
        <v>2258.3536256871462</v>
      </c>
      <c r="AY91" s="539">
        <f t="shared" si="25"/>
        <v>2261.5433383722561</v>
      </c>
      <c r="AZ91" s="539">
        <f t="shared" si="25"/>
        <v>2266.0899384665627</v>
      </c>
      <c r="BA91" s="539">
        <f t="shared" si="25"/>
        <v>2299.2703188788523</v>
      </c>
      <c r="BB91" s="539">
        <f t="shared" si="25"/>
        <v>2387.7082780183086</v>
      </c>
      <c r="BC91" s="539">
        <f t="shared" si="25"/>
        <v>2394.42581299109</v>
      </c>
      <c r="BD91" s="539">
        <f t="shared" si="25"/>
        <v>2402.4743990848974</v>
      </c>
      <c r="BE91" s="539">
        <f t="shared" si="25"/>
        <v>2437.6245299707166</v>
      </c>
      <c r="BF91" s="539">
        <f t="shared" si="25"/>
        <v>2524.9271799357402</v>
      </c>
      <c r="BG91" s="539">
        <f t="shared" si="25"/>
        <v>2535.7302295251093</v>
      </c>
      <c r="BH91" s="539">
        <f t="shared" si="25"/>
        <v>2548.0038919037374</v>
      </c>
      <c r="BI91" s="539">
        <f t="shared" si="25"/>
        <v>2585.9051064592604</v>
      </c>
      <c r="BJ91" s="539">
        <f t="shared" si="25"/>
        <v>2648.407317840235</v>
      </c>
      <c r="BK91" s="539">
        <f t="shared" si="25"/>
        <v>2687.7999889075559</v>
      </c>
      <c r="BL91" s="539">
        <f t="shared" si="25"/>
        <v>2704.5042535529869</v>
      </c>
      <c r="BM91" s="539">
        <f t="shared" si="25"/>
        <v>2745.3998402303746</v>
      </c>
      <c r="BN91" s="539">
        <f t="shared" si="25"/>
        <v>2831.7415165040829</v>
      </c>
      <c r="BO91" s="539">
        <f t="shared" si="25"/>
        <v>2851.7979098042579</v>
      </c>
      <c r="BP91" s="539">
        <f t="shared" si="25"/>
        <v>2873.6245764036448</v>
      </c>
      <c r="BQ91" s="539">
        <f t="shared" si="25"/>
        <v>2917.7687641950479</v>
      </c>
      <c r="BR91" s="539">
        <f t="shared" si="25"/>
        <v>3003.5967435994476</v>
      </c>
      <c r="BS91" s="539">
        <f t="shared" si="25"/>
        <v>3029.5848248048924</v>
      </c>
      <c r="BT91" s="539">
        <f t="shared" si="25"/>
        <v>3057.531189864334</v>
      </c>
      <c r="BU91" s="539">
        <f t="shared" si="25"/>
        <v>3105.9378377243584</v>
      </c>
      <c r="BV91" s="539">
        <f t="shared" si="25"/>
        <v>3191.9120038518463</v>
      </c>
      <c r="BW91" s="539">
        <f t="shared" si="25"/>
        <v>3221.6641156000114</v>
      </c>
      <c r="BX91" s="539">
        <f t="shared" si="25"/>
        <v>3247.779201413352</v>
      </c>
      <c r="BY91" s="539">
        <f t="shared" si="25"/>
        <v>3292.1161355402446</v>
      </c>
      <c r="BZ91" s="539">
        <f t="shared" si="25"/>
        <v>3353.3329559044882</v>
      </c>
      <c r="CA91" s="539">
        <f t="shared" si="25"/>
        <v>3398.9547063172317</v>
      </c>
      <c r="CB91" s="539">
        <f t="shared" si="25"/>
        <v>3429.8121393075367</v>
      </c>
      <c r="CC91" s="539">
        <f t="shared" si="25"/>
        <v>3476.7008815152258</v>
      </c>
      <c r="CD91" s="539">
        <f t="shared" si="25"/>
        <v>3550.6519326490279</v>
      </c>
      <c r="CE91" s="539">
        <f t="shared" si="25"/>
        <v>3581.6684395838756</v>
      </c>
      <c r="CF91" s="539">
        <f t="shared" si="25"/>
        <v>3614.5981982459889</v>
      </c>
      <c r="CG91" s="539">
        <f t="shared" si="25"/>
        <v>3661.8828907156594</v>
      </c>
      <c r="CH91" s="539">
        <f t="shared" si="25"/>
        <v>3734.5212341802617</v>
      </c>
      <c r="CI91" s="539">
        <f t="shared" si="25"/>
        <v>3770.3625266749154</v>
      </c>
      <c r="CJ91" s="539">
        <f t="shared" si="25"/>
        <v>3808.2606765400142</v>
      </c>
      <c r="CK91" s="539">
        <f t="shared" si="25"/>
        <v>3858.5187611777405</v>
      </c>
      <c r="CL91" s="539">
        <f t="shared" si="25"/>
        <v>3929.8420043336146</v>
      </c>
      <c r="CM91" s="539">
        <f t="shared" si="25"/>
        <v>3974.8011240077012</v>
      </c>
      <c r="CN91" s="539">
        <f t="shared" si="25"/>
        <v>4022.1006866228126</v>
      </c>
      <c r="CO91" s="539">
        <f t="shared" si="25"/>
        <v>4079.6425613672536</v>
      </c>
      <c r="CP91" s="539">
        <f t="shared" si="25"/>
        <v>4145.5119555023839</v>
      </c>
      <c r="CQ91" s="539">
        <f t="shared" si="25"/>
        <v>4200.3847075954882</v>
      </c>
      <c r="CR91" s="539">
        <f t="shared" si="25"/>
        <v>4249.5091045733652</v>
      </c>
      <c r="CS91" s="539">
        <f t="shared" si="25"/>
        <v>4306.6023580307474</v>
      </c>
      <c r="CT91" s="539">
        <f t="shared" si="25"/>
        <v>4374.9751405220641</v>
      </c>
      <c r="CU91" s="539">
        <f t="shared" si="25"/>
        <v>4427.8234227879466</v>
      </c>
      <c r="CV91" s="539">
        <f t="shared" si="25"/>
        <v>4483.2055417303418</v>
      </c>
      <c r="CW91" s="539">
        <f t="shared" si="25"/>
        <v>4543.9728074568457</v>
      </c>
      <c r="CX91" s="539">
        <f t="shared" si="25"/>
        <v>4610.8312608755723</v>
      </c>
      <c r="CY91" s="539">
        <f t="shared" si="25"/>
        <v>4669.9925075036881</v>
      </c>
      <c r="CZ91" s="539">
        <f t="shared" si="25"/>
        <v>4731.8584346557254</v>
      </c>
      <c r="DA91" s="539">
        <f t="shared" si="25"/>
        <v>4796.5354669462286</v>
      </c>
      <c r="DB91" s="539">
        <f t="shared" si="25"/>
        <v>0</v>
      </c>
      <c r="DC91" s="539">
        <f t="shared" si="25"/>
        <v>0</v>
      </c>
      <c r="DD91" s="539">
        <f t="shared" si="25"/>
        <v>0</v>
      </c>
      <c r="DE91" s="539">
        <f t="shared" si="25"/>
        <v>0</v>
      </c>
      <c r="DF91" s="539">
        <f t="shared" si="25"/>
        <v>0</v>
      </c>
      <c r="DG91" s="539">
        <f t="shared" si="25"/>
        <v>0</v>
      </c>
      <c r="DH91" s="539">
        <f t="shared" si="25"/>
        <v>0</v>
      </c>
      <c r="DI91" s="539">
        <f t="shared" si="25"/>
        <v>0</v>
      </c>
      <c r="DJ91" s="539">
        <f t="shared" si="25"/>
        <v>0</v>
      </c>
      <c r="DK91" s="539">
        <f t="shared" si="25"/>
        <v>0</v>
      </c>
      <c r="DL91" s="539">
        <f t="shared" si="25"/>
        <v>0</v>
      </c>
      <c r="DM91" s="539">
        <f t="shared" si="25"/>
        <v>0</v>
      </c>
      <c r="DN91" s="539">
        <f t="shared" si="25"/>
        <v>0</v>
      </c>
      <c r="DO91" s="539">
        <f t="shared" si="25"/>
        <v>0</v>
      </c>
      <c r="DP91" s="539">
        <f t="shared" si="25"/>
        <v>0</v>
      </c>
      <c r="DQ91" s="539">
        <f t="shared" si="25"/>
        <v>0</v>
      </c>
      <c r="DR91" s="539">
        <f t="shared" si="25"/>
        <v>0</v>
      </c>
      <c r="DS91" s="539">
        <f t="shared" si="25"/>
        <v>0</v>
      </c>
      <c r="DT91" s="539">
        <f t="shared" si="25"/>
        <v>0</v>
      </c>
      <c r="DU91" s="539">
        <f t="shared" si="25"/>
        <v>0</v>
      </c>
      <c r="DV91" s="539">
        <f t="shared" si="25"/>
        <v>0</v>
      </c>
      <c r="DW91" s="539">
        <f t="shared" si="25"/>
        <v>0</v>
      </c>
      <c r="DX91" s="539">
        <f t="shared" si="25"/>
        <v>0</v>
      </c>
      <c r="DY91" s="539">
        <f t="shared" si="25"/>
        <v>0</v>
      </c>
      <c r="DZ91" s="539">
        <f t="shared" si="25"/>
        <v>0</v>
      </c>
      <c r="EA91" s="539">
        <f t="shared" si="25"/>
        <v>0</v>
      </c>
      <c r="EB91" s="539">
        <f t="shared" si="25"/>
        <v>0</v>
      </c>
      <c r="EC91" s="539">
        <f t="shared" si="25"/>
        <v>0</v>
      </c>
      <c r="ED91" s="539">
        <f t="shared" si="25"/>
        <v>0</v>
      </c>
      <c r="EE91" s="539">
        <f t="shared" si="25"/>
        <v>0</v>
      </c>
      <c r="EF91" s="539">
        <f t="shared" si="25"/>
        <v>0</v>
      </c>
      <c r="EG91" s="539">
        <f t="shared" si="25"/>
        <v>0</v>
      </c>
    </row>
    <row r="92" spans="5:137" ht="12.75">
      <c r="E92" s="538" t="str">
        <f>E$83</f>
        <v>Senior facility - straight-line principal</v>
      </c>
      <c r="G92" s="539" t="str">
        <f>G$83</f>
        <v>EUR 000s</v>
      </c>
      <c r="H92" s="539">
        <f>H$83</f>
        <v>221286.64791105187</v>
      </c>
      <c r="J92" s="539">
        <f t="shared" si="26" ref="J92:EG92">J$83</f>
        <v>0</v>
      </c>
      <c r="K92" s="539">
        <f t="shared" si="26"/>
        <v>0</v>
      </c>
      <c r="L92" s="539">
        <f t="shared" si="26"/>
        <v>0</v>
      </c>
      <c r="M92" s="539">
        <f t="shared" si="26"/>
        <v>0</v>
      </c>
      <c r="N92" s="539">
        <f t="shared" si="26"/>
        <v>0</v>
      </c>
      <c r="O92" s="539">
        <f t="shared" si="26"/>
        <v>0</v>
      </c>
      <c r="P92" s="539">
        <f t="shared" si="26"/>
        <v>0</v>
      </c>
      <c r="Q92" s="539">
        <f t="shared" si="26"/>
        <v>0</v>
      </c>
      <c r="R92" s="539">
        <f t="shared" si="26"/>
        <v>0</v>
      </c>
      <c r="S92" s="539">
        <f t="shared" si="26"/>
        <v>0</v>
      </c>
      <c r="T92" s="539">
        <f t="shared" si="26"/>
        <v>0</v>
      </c>
      <c r="U92" s="539">
        <f t="shared" si="26"/>
        <v>0</v>
      </c>
      <c r="V92" s="539">
        <f t="shared" si="26"/>
        <v>0</v>
      </c>
      <c r="W92" s="539">
        <f t="shared" si="26"/>
        <v>0</v>
      </c>
      <c r="X92" s="539">
        <f t="shared" si="26"/>
        <v>0</v>
      </c>
      <c r="Y92" s="539">
        <f t="shared" si="26"/>
        <v>0</v>
      </c>
      <c r="Z92" s="539">
        <f t="shared" si="26"/>
        <v>0</v>
      </c>
      <c r="AA92" s="539">
        <f t="shared" si="26"/>
        <v>0</v>
      </c>
      <c r="AB92" s="539">
        <f t="shared" si="26"/>
        <v>0</v>
      </c>
      <c r="AC92" s="539">
        <f t="shared" si="26"/>
        <v>0</v>
      </c>
      <c r="AD92" s="539">
        <f t="shared" si="26"/>
        <v>0</v>
      </c>
      <c r="AE92" s="539">
        <f t="shared" si="26"/>
        <v>0</v>
      </c>
      <c r="AF92" s="539">
        <f t="shared" si="26"/>
        <v>0</v>
      </c>
      <c r="AG92" s="539">
        <f t="shared" si="26"/>
        <v>0</v>
      </c>
      <c r="AH92" s="539">
        <f t="shared" si="26"/>
        <v>3073.4256654312735</v>
      </c>
      <c r="AI92" s="539">
        <f t="shared" si="26"/>
        <v>3073.4256654312735</v>
      </c>
      <c r="AJ92" s="539">
        <f t="shared" si="26"/>
        <v>3073.4256654312735</v>
      </c>
      <c r="AK92" s="539">
        <f t="shared" si="26"/>
        <v>3073.4256654312735</v>
      </c>
      <c r="AL92" s="539">
        <f t="shared" si="26"/>
        <v>3073.4256654312735</v>
      </c>
      <c r="AM92" s="539">
        <f t="shared" si="26"/>
        <v>3073.4256654312735</v>
      </c>
      <c r="AN92" s="539">
        <f t="shared" si="26"/>
        <v>3073.4256654312735</v>
      </c>
      <c r="AO92" s="539">
        <f t="shared" si="26"/>
        <v>3073.4256654312735</v>
      </c>
      <c r="AP92" s="539">
        <f t="shared" si="26"/>
        <v>3073.4256654312735</v>
      </c>
      <c r="AQ92" s="539">
        <f t="shared" si="26"/>
        <v>3073.4256654312735</v>
      </c>
      <c r="AR92" s="539">
        <f t="shared" si="26"/>
        <v>3073.4256654312735</v>
      </c>
      <c r="AS92" s="539">
        <f t="shared" si="26"/>
        <v>3073.4256654312735</v>
      </c>
      <c r="AT92" s="539">
        <f t="shared" si="26"/>
        <v>3073.4256654312735</v>
      </c>
      <c r="AU92" s="539">
        <f t="shared" si="26"/>
        <v>3073.4256654312735</v>
      </c>
      <c r="AV92" s="539">
        <f t="shared" si="26"/>
        <v>3073.4256654312735</v>
      </c>
      <c r="AW92" s="539">
        <f t="shared" si="26"/>
        <v>3073.4256654312735</v>
      </c>
      <c r="AX92" s="539">
        <f t="shared" si="26"/>
        <v>3073.4256654312735</v>
      </c>
      <c r="AY92" s="539">
        <f t="shared" si="26"/>
        <v>3073.4256654312735</v>
      </c>
      <c r="AZ92" s="539">
        <f t="shared" si="26"/>
        <v>3073.4256654312735</v>
      </c>
      <c r="BA92" s="539">
        <f t="shared" si="26"/>
        <v>3073.4256654312735</v>
      </c>
      <c r="BB92" s="539">
        <f t="shared" si="26"/>
        <v>3073.4256654312735</v>
      </c>
      <c r="BC92" s="539">
        <f t="shared" si="26"/>
        <v>3073.4256654312735</v>
      </c>
      <c r="BD92" s="539">
        <f t="shared" si="26"/>
        <v>3073.4256654312735</v>
      </c>
      <c r="BE92" s="539">
        <f t="shared" si="26"/>
        <v>3073.4256654312735</v>
      </c>
      <c r="BF92" s="539">
        <f t="shared" si="26"/>
        <v>3073.4256654312735</v>
      </c>
      <c r="BG92" s="539">
        <f t="shared" si="26"/>
        <v>3073.4256654312735</v>
      </c>
      <c r="BH92" s="539">
        <f t="shared" si="26"/>
        <v>3073.4256654312735</v>
      </c>
      <c r="BI92" s="539">
        <f t="shared" si="26"/>
        <v>3073.4256654312735</v>
      </c>
      <c r="BJ92" s="539">
        <f t="shared" si="26"/>
        <v>3073.4256654312735</v>
      </c>
      <c r="BK92" s="539">
        <f t="shared" si="26"/>
        <v>3073.4256654312735</v>
      </c>
      <c r="BL92" s="539">
        <f t="shared" si="26"/>
        <v>3073.4256654312735</v>
      </c>
      <c r="BM92" s="539">
        <f t="shared" si="26"/>
        <v>3073.4256654312735</v>
      </c>
      <c r="BN92" s="539">
        <f t="shared" si="26"/>
        <v>3073.4256654312735</v>
      </c>
      <c r="BO92" s="539">
        <f t="shared" si="26"/>
        <v>3073.4256654312735</v>
      </c>
      <c r="BP92" s="539">
        <f t="shared" si="26"/>
        <v>3073.4256654312735</v>
      </c>
      <c r="BQ92" s="539">
        <f t="shared" si="26"/>
        <v>3073.4256654312735</v>
      </c>
      <c r="BR92" s="539">
        <f t="shared" si="26"/>
        <v>3073.4256654312735</v>
      </c>
      <c r="BS92" s="539">
        <f t="shared" si="26"/>
        <v>3073.4256654312735</v>
      </c>
      <c r="BT92" s="539">
        <f t="shared" si="26"/>
        <v>3073.4256654312735</v>
      </c>
      <c r="BU92" s="539">
        <f t="shared" si="26"/>
        <v>3073.4256654312735</v>
      </c>
      <c r="BV92" s="539">
        <f t="shared" si="26"/>
        <v>3073.4256654312735</v>
      </c>
      <c r="BW92" s="539">
        <f t="shared" si="26"/>
        <v>3073.4256654312735</v>
      </c>
      <c r="BX92" s="539">
        <f t="shared" si="26"/>
        <v>3073.4256654312735</v>
      </c>
      <c r="BY92" s="539">
        <f t="shared" si="26"/>
        <v>3073.4256654312735</v>
      </c>
      <c r="BZ92" s="539">
        <f t="shared" si="26"/>
        <v>3073.4256654312735</v>
      </c>
      <c r="CA92" s="539">
        <f t="shared" si="26"/>
        <v>3073.4256654312735</v>
      </c>
      <c r="CB92" s="539">
        <f t="shared" si="26"/>
        <v>3073.4256654312735</v>
      </c>
      <c r="CC92" s="539">
        <f t="shared" si="26"/>
        <v>3073.4256654312735</v>
      </c>
      <c r="CD92" s="539">
        <f t="shared" si="26"/>
        <v>3073.4256654312735</v>
      </c>
      <c r="CE92" s="539">
        <f t="shared" si="26"/>
        <v>3073.4256654312735</v>
      </c>
      <c r="CF92" s="539">
        <f t="shared" si="26"/>
        <v>3073.4256654312735</v>
      </c>
      <c r="CG92" s="539">
        <f t="shared" si="26"/>
        <v>3073.4256654312735</v>
      </c>
      <c r="CH92" s="539">
        <f t="shared" si="26"/>
        <v>3073.4256654312735</v>
      </c>
      <c r="CI92" s="539">
        <f t="shared" si="26"/>
        <v>3073.4256654312735</v>
      </c>
      <c r="CJ92" s="539">
        <f t="shared" si="26"/>
        <v>3073.4256654312735</v>
      </c>
      <c r="CK92" s="539">
        <f t="shared" si="26"/>
        <v>3073.4256654312735</v>
      </c>
      <c r="CL92" s="539">
        <f t="shared" si="26"/>
        <v>3073.4256654312735</v>
      </c>
      <c r="CM92" s="539">
        <f t="shared" si="26"/>
        <v>3073.4256654312735</v>
      </c>
      <c r="CN92" s="539">
        <f t="shared" si="26"/>
        <v>3073.4256654312735</v>
      </c>
      <c r="CO92" s="539">
        <f t="shared" si="26"/>
        <v>3073.4256654312735</v>
      </c>
      <c r="CP92" s="539">
        <f t="shared" si="26"/>
        <v>3073.4256654312735</v>
      </c>
      <c r="CQ92" s="539">
        <f t="shared" si="26"/>
        <v>3073.4256654312735</v>
      </c>
      <c r="CR92" s="539">
        <f t="shared" si="26"/>
        <v>3073.4256654312735</v>
      </c>
      <c r="CS92" s="539">
        <f t="shared" si="26"/>
        <v>3073.4256654312735</v>
      </c>
      <c r="CT92" s="539">
        <f t="shared" si="26"/>
        <v>3073.4256654312735</v>
      </c>
      <c r="CU92" s="539">
        <f t="shared" si="26"/>
        <v>3073.4256654312735</v>
      </c>
      <c r="CV92" s="539">
        <f t="shared" si="26"/>
        <v>3073.4256654312735</v>
      </c>
      <c r="CW92" s="539">
        <f t="shared" si="26"/>
        <v>3073.4256654312735</v>
      </c>
      <c r="CX92" s="539">
        <f t="shared" si="26"/>
        <v>3073.4256654312735</v>
      </c>
      <c r="CY92" s="539">
        <f t="shared" si="26"/>
        <v>3073.4256654312735</v>
      </c>
      <c r="CZ92" s="539">
        <f t="shared" si="26"/>
        <v>3073.4256654312735</v>
      </c>
      <c r="DA92" s="539">
        <f t="shared" si="26"/>
        <v>3073.4256654312735</v>
      </c>
      <c r="DB92" s="539">
        <f t="shared" si="26"/>
        <v>0</v>
      </c>
      <c r="DC92" s="539">
        <f t="shared" si="26"/>
        <v>0</v>
      </c>
      <c r="DD92" s="539">
        <f t="shared" si="26"/>
        <v>0</v>
      </c>
      <c r="DE92" s="539">
        <f t="shared" si="26"/>
        <v>0</v>
      </c>
      <c r="DF92" s="539">
        <f t="shared" si="26"/>
        <v>0</v>
      </c>
      <c r="DG92" s="539">
        <f t="shared" si="26"/>
        <v>0</v>
      </c>
      <c r="DH92" s="539">
        <f t="shared" si="26"/>
        <v>0</v>
      </c>
      <c r="DI92" s="539">
        <f t="shared" si="26"/>
        <v>0</v>
      </c>
      <c r="DJ92" s="539">
        <f t="shared" si="26"/>
        <v>0</v>
      </c>
      <c r="DK92" s="539">
        <f t="shared" si="26"/>
        <v>0</v>
      </c>
      <c r="DL92" s="539">
        <f t="shared" si="26"/>
        <v>0</v>
      </c>
      <c r="DM92" s="539">
        <f t="shared" si="26"/>
        <v>0</v>
      </c>
      <c r="DN92" s="539">
        <f t="shared" si="26"/>
        <v>0</v>
      </c>
      <c r="DO92" s="539">
        <f t="shared" si="26"/>
        <v>0</v>
      </c>
      <c r="DP92" s="539">
        <f t="shared" si="26"/>
        <v>0</v>
      </c>
      <c r="DQ92" s="539">
        <f t="shared" si="26"/>
        <v>0</v>
      </c>
      <c r="DR92" s="539">
        <f t="shared" si="26"/>
        <v>0</v>
      </c>
      <c r="DS92" s="539">
        <f t="shared" si="26"/>
        <v>0</v>
      </c>
      <c r="DT92" s="539">
        <f t="shared" si="26"/>
        <v>0</v>
      </c>
      <c r="DU92" s="539">
        <f t="shared" si="26"/>
        <v>0</v>
      </c>
      <c r="DV92" s="539">
        <f t="shared" si="26"/>
        <v>0</v>
      </c>
      <c r="DW92" s="539">
        <f t="shared" si="26"/>
        <v>0</v>
      </c>
      <c r="DX92" s="539">
        <f t="shared" si="26"/>
        <v>0</v>
      </c>
      <c r="DY92" s="539">
        <f t="shared" si="26"/>
        <v>0</v>
      </c>
      <c r="DZ92" s="539">
        <f t="shared" si="26"/>
        <v>0</v>
      </c>
      <c r="EA92" s="539">
        <f t="shared" si="26"/>
        <v>0</v>
      </c>
      <c r="EB92" s="539">
        <f t="shared" si="26"/>
        <v>0</v>
      </c>
      <c r="EC92" s="539">
        <f t="shared" si="26"/>
        <v>0</v>
      </c>
      <c r="ED92" s="539">
        <f t="shared" si="26"/>
        <v>0</v>
      </c>
      <c r="EE92" s="539">
        <f t="shared" si="26"/>
        <v>0</v>
      </c>
      <c r="EF92" s="539">
        <f t="shared" si="26"/>
        <v>0</v>
      </c>
      <c r="EG92" s="539">
        <f t="shared" si="26"/>
        <v>0</v>
      </c>
    </row>
    <row r="93" spans="5:137" ht="12.75">
      <c r="E93" s="540" t="s">
        <v>322</v>
      </c>
      <c r="G93" s="541" t="s">
        <v>30</v>
      </c>
      <c r="H93" s="541">
        <f>SUM(J93:EG93)</f>
        <v>221286.64791105178</v>
      </c>
      <c r="J93" s="541">
        <f t="shared" si="27" ref="J93:EG93">MIN(J89+J88,IF($F85=$F86,J90,IF($F85=$F87,J91,J92)))</f>
        <v>0</v>
      </c>
      <c r="K93" s="541">
        <f t="shared" si="27"/>
        <v>0</v>
      </c>
      <c r="L93" s="541">
        <f t="shared" si="27"/>
        <v>0</v>
      </c>
      <c r="M93" s="541">
        <f t="shared" si="27"/>
        <v>0</v>
      </c>
      <c r="N93" s="541">
        <f t="shared" si="27"/>
        <v>0</v>
      </c>
      <c r="O93" s="541">
        <f t="shared" si="27"/>
        <v>0</v>
      </c>
      <c r="P93" s="541">
        <f t="shared" si="27"/>
        <v>-1.8189894035458565E-12</v>
      </c>
      <c r="Q93" s="541">
        <f t="shared" si="27"/>
        <v>0</v>
      </c>
      <c r="R93" s="541">
        <f t="shared" si="27"/>
        <v>0</v>
      </c>
      <c r="S93" s="541">
        <f t="shared" si="27"/>
        <v>0</v>
      </c>
      <c r="T93" s="541">
        <f t="shared" si="27"/>
        <v>0</v>
      </c>
      <c r="U93" s="541">
        <f t="shared" si="27"/>
        <v>0</v>
      </c>
      <c r="V93" s="541">
        <f t="shared" si="27"/>
        <v>0</v>
      </c>
      <c r="W93" s="541">
        <f t="shared" si="27"/>
        <v>0</v>
      </c>
      <c r="X93" s="541">
        <f t="shared" si="27"/>
        <v>0</v>
      </c>
      <c r="Y93" s="541">
        <f t="shared" si="27"/>
        <v>0</v>
      </c>
      <c r="Z93" s="541">
        <f t="shared" si="27"/>
        <v>0</v>
      </c>
      <c r="AA93" s="541">
        <f t="shared" si="27"/>
        <v>0</v>
      </c>
      <c r="AB93" s="541">
        <f t="shared" si="27"/>
        <v>0</v>
      </c>
      <c r="AC93" s="541">
        <f t="shared" si="27"/>
        <v>0</v>
      </c>
      <c r="AD93" s="541">
        <f t="shared" si="27"/>
        <v>0</v>
      </c>
      <c r="AE93" s="541">
        <f t="shared" si="27"/>
        <v>0</v>
      </c>
      <c r="AF93" s="541">
        <f t="shared" si="27"/>
        <v>0</v>
      </c>
      <c r="AG93" s="541">
        <f t="shared" si="27"/>
        <v>0</v>
      </c>
      <c r="AH93" s="541">
        <f t="shared" si="27"/>
        <v>677.82415362271058</v>
      </c>
      <c r="AI93" s="541">
        <f t="shared" si="27"/>
        <v>1629.3790390383851</v>
      </c>
      <c r="AJ93" s="541">
        <f t="shared" si="27"/>
        <v>1618.4983339974451</v>
      </c>
      <c r="AK93" s="541">
        <f t="shared" si="27"/>
        <v>1630.7483418966362</v>
      </c>
      <c r="AL93" s="541">
        <f t="shared" si="27"/>
        <v>1767.9294210582093</v>
      </c>
      <c r="AM93" s="541">
        <f t="shared" si="27"/>
        <v>1802.2226192742546</v>
      </c>
      <c r="AN93" s="541">
        <f t="shared" si="27"/>
        <v>1794.7368551839654</v>
      </c>
      <c r="AO93" s="541">
        <f t="shared" si="27"/>
        <v>1809.3073147279661</v>
      </c>
      <c r="AP93" s="541">
        <f t="shared" si="27"/>
        <v>1947.8596699053346</v>
      </c>
      <c r="AQ93" s="541">
        <f t="shared" si="27"/>
        <v>1986.1096230599974</v>
      </c>
      <c r="AR93" s="541">
        <f t="shared" si="27"/>
        <v>1982.2785071756671</v>
      </c>
      <c r="AS93" s="541">
        <f t="shared" si="27"/>
        <v>1999.3257442365161</v>
      </c>
      <c r="AT93" s="541">
        <f t="shared" si="27"/>
        <v>2119.7650694024387</v>
      </c>
      <c r="AU93" s="541">
        <f t="shared" si="27"/>
        <v>2170.6208881246671</v>
      </c>
      <c r="AV93" s="541">
        <f t="shared" si="27"/>
        <v>2181.3547121882043</v>
      </c>
      <c r="AW93" s="541">
        <f t="shared" si="27"/>
        <v>2198.7854117215456</v>
      </c>
      <c r="AX93" s="541">
        <f t="shared" si="27"/>
        <v>2342.1757745093132</v>
      </c>
      <c r="AY93" s="541">
        <f t="shared" si="27"/>
        <v>2389.1371518138408</v>
      </c>
      <c r="AZ93" s="541">
        <f t="shared" si="27"/>
        <v>2393.4464131395234</v>
      </c>
      <c r="BA93" s="541">
        <f t="shared" si="27"/>
        <v>2413.5130041483303</v>
      </c>
      <c r="BB93" s="541">
        <f t="shared" si="27"/>
        <v>2494.6333481559554</v>
      </c>
      <c r="BC93" s="541">
        <f t="shared" si="27"/>
        <v>2536.416745562628</v>
      </c>
      <c r="BD93" s="541">
        <f t="shared" si="27"/>
        <v>2535.5331567833546</v>
      </c>
      <c r="BE93" s="541">
        <f t="shared" si="27"/>
        <v>2551.5782040157314</v>
      </c>
      <c r="BF93" s="541">
        <f t="shared" si="27"/>
        <v>2681.3893831322102</v>
      </c>
      <c r="BG93" s="541">
        <f t="shared" si="27"/>
        <v>2729.1800621707371</v>
      </c>
      <c r="BH93" s="541">
        <f t="shared" si="27"/>
        <v>2733.9808918509984</v>
      </c>
      <c r="BI93" s="541">
        <f t="shared" si="27"/>
        <v>2754.0492827456601</v>
      </c>
      <c r="BJ93" s="541">
        <f t="shared" si="27"/>
        <v>2872.7921957187036</v>
      </c>
      <c r="BK93" s="541">
        <f t="shared" si="27"/>
        <v>2928.2353375850521</v>
      </c>
      <c r="BL93" s="541">
        <f t="shared" si="27"/>
        <v>2949.9780903649021</v>
      </c>
      <c r="BM93" s="541">
        <f t="shared" si="27"/>
        <v>2974.0781599560037</v>
      </c>
      <c r="BN93" s="541">
        <f t="shared" si="27"/>
        <v>3107.5967492162099</v>
      </c>
      <c r="BO93" s="541">
        <f t="shared" si="27"/>
        <v>3167.7378780301078</v>
      </c>
      <c r="BP93" s="541">
        <f t="shared" si="27"/>
        <v>3184.3139414747466</v>
      </c>
      <c r="BQ93" s="541">
        <f t="shared" si="27"/>
        <v>3212.504540331086</v>
      </c>
      <c r="BR93" s="541">
        <f t="shared" si="27"/>
        <v>3400.9229558946477</v>
      </c>
      <c r="BS93" s="541">
        <f t="shared" si="27"/>
        <v>3468.2494542267559</v>
      </c>
      <c r="BT93" s="541">
        <f t="shared" si="27"/>
        <v>3491.7838871361182</v>
      </c>
      <c r="BU93" s="541">
        <f t="shared" si="27"/>
        <v>3524.9164284244171</v>
      </c>
      <c r="BV93" s="541">
        <f t="shared" si="27"/>
        <v>3522.8306778088331</v>
      </c>
      <c r="BW93" s="541">
        <f t="shared" si="27"/>
        <v>3183.8927646131478</v>
      </c>
      <c r="BX93" s="541">
        <f t="shared" si="27"/>
        <v>3198.2175802995462</v>
      </c>
      <c r="BY93" s="541">
        <f t="shared" si="27"/>
        <v>3220.1127741949776</v>
      </c>
      <c r="BZ93" s="541">
        <f t="shared" si="27"/>
        <v>3327.0607194108602</v>
      </c>
      <c r="CA93" s="541">
        <f t="shared" si="27"/>
        <v>3385.4433789359969</v>
      </c>
      <c r="CB93" s="541">
        <f t="shared" si="27"/>
        <v>3382.2906928471562</v>
      </c>
      <c r="CC93" s="541">
        <f t="shared" si="27"/>
        <v>3232.6916161260979</v>
      </c>
      <c r="CD93" s="541">
        <f t="shared" si="27"/>
        <v>3324.3520628050601</v>
      </c>
      <c r="CE93" s="541">
        <f t="shared" si="27"/>
        <v>3390.0947808966057</v>
      </c>
      <c r="CF93" s="541">
        <f t="shared" si="27"/>
        <v>3410.8523224169539</v>
      </c>
      <c r="CG93" s="541">
        <f t="shared" si="27"/>
        <v>3432.7402397198557</v>
      </c>
      <c r="CH93" s="541">
        <f t="shared" si="27"/>
        <v>3527.2201071622985</v>
      </c>
      <c r="CI93" s="541">
        <f t="shared" si="27"/>
        <v>3598.911555467545</v>
      </c>
      <c r="CJ93" s="541">
        <f t="shared" si="27"/>
        <v>3625.3361448162268</v>
      </c>
      <c r="CK93" s="541">
        <f t="shared" si="27"/>
        <v>3650.972820023389</v>
      </c>
      <c r="CL93" s="541">
        <f t="shared" si="27"/>
        <v>4033.8879764893964</v>
      </c>
      <c r="CM93" s="541">
        <f t="shared" si="27"/>
        <v>4115.0211772917837</v>
      </c>
      <c r="CN93" s="541">
        <f t="shared" si="27"/>
        <v>4150.7478817630608</v>
      </c>
      <c r="CO93" s="541">
        <f t="shared" si="27"/>
        <v>4183.6721987991059</v>
      </c>
      <c r="CP93" s="541">
        <f t="shared" si="27"/>
        <v>4001.7091936030665</v>
      </c>
      <c r="CQ93" s="541">
        <f t="shared" si="27"/>
        <v>4067.8376333351075</v>
      </c>
      <c r="CR93" s="541">
        <f t="shared" si="27"/>
        <v>4118.3868600681171</v>
      </c>
      <c r="CS93" s="541">
        <f t="shared" si="27"/>
        <v>4151.6855046673199</v>
      </c>
      <c r="CT93" s="541">
        <f t="shared" si="27"/>
        <v>4248.5297712096281</v>
      </c>
      <c r="CU93" s="541">
        <f t="shared" si="27"/>
        <v>4338.9471846668848</v>
      </c>
      <c r="CV93" s="541">
        <f t="shared" si="27"/>
        <v>4383.4094842240993</v>
      </c>
      <c r="CW93" s="541">
        <f t="shared" si="27"/>
        <v>4420.5244546530666</v>
      </c>
      <c r="CX93" s="541">
        <f t="shared" si="27"/>
        <v>4517.8013782032795</v>
      </c>
      <c r="CY93" s="541">
        <f t="shared" si="27"/>
        <v>4614.6887773395028</v>
      </c>
      <c r="CZ93" s="541">
        <f t="shared" si="27"/>
        <v>4665.4381000067024</v>
      </c>
      <c r="DA93" s="541">
        <f t="shared" si="27"/>
        <v>4706.4513561860967</v>
      </c>
      <c r="DB93" s="541">
        <f t="shared" si="27"/>
        <v>0</v>
      </c>
      <c r="DC93" s="541">
        <f t="shared" si="27"/>
        <v>0</v>
      </c>
      <c r="DD93" s="541">
        <f t="shared" si="27"/>
        <v>0</v>
      </c>
      <c r="DE93" s="541">
        <f t="shared" si="27"/>
        <v>0</v>
      </c>
      <c r="DF93" s="541">
        <f t="shared" si="27"/>
        <v>0</v>
      </c>
      <c r="DG93" s="541">
        <f t="shared" si="27"/>
        <v>0</v>
      </c>
      <c r="DH93" s="541">
        <f t="shared" si="27"/>
        <v>0</v>
      </c>
      <c r="DI93" s="541">
        <f t="shared" si="27"/>
        <v>0</v>
      </c>
      <c r="DJ93" s="541">
        <f t="shared" si="27"/>
        <v>0</v>
      </c>
      <c r="DK93" s="541">
        <f t="shared" si="27"/>
        <v>0</v>
      </c>
      <c r="DL93" s="541">
        <f t="shared" si="27"/>
        <v>0</v>
      </c>
      <c r="DM93" s="541">
        <f t="shared" si="27"/>
        <v>0</v>
      </c>
      <c r="DN93" s="541">
        <f t="shared" si="27"/>
        <v>0</v>
      </c>
      <c r="DO93" s="541">
        <f t="shared" si="27"/>
        <v>0</v>
      </c>
      <c r="DP93" s="541">
        <f t="shared" si="27"/>
        <v>0</v>
      </c>
      <c r="DQ93" s="541">
        <f t="shared" si="27"/>
        <v>0</v>
      </c>
      <c r="DR93" s="541">
        <f t="shared" si="27"/>
        <v>0</v>
      </c>
      <c r="DS93" s="541">
        <f t="shared" si="27"/>
        <v>0</v>
      </c>
      <c r="DT93" s="541">
        <f t="shared" si="27"/>
        <v>0</v>
      </c>
      <c r="DU93" s="541">
        <f t="shared" si="27"/>
        <v>0</v>
      </c>
      <c r="DV93" s="541">
        <f t="shared" si="27"/>
        <v>0</v>
      </c>
      <c r="DW93" s="541">
        <f t="shared" si="27"/>
        <v>0</v>
      </c>
      <c r="DX93" s="541">
        <f t="shared" si="27"/>
        <v>0</v>
      </c>
      <c r="DY93" s="541">
        <f t="shared" si="27"/>
        <v>0</v>
      </c>
      <c r="DZ93" s="541">
        <f t="shared" si="27"/>
        <v>0</v>
      </c>
      <c r="EA93" s="541">
        <f t="shared" si="27"/>
        <v>0</v>
      </c>
      <c r="EB93" s="541">
        <f t="shared" si="27"/>
        <v>0</v>
      </c>
      <c r="EC93" s="541">
        <f t="shared" si="27"/>
        <v>0</v>
      </c>
      <c r="ED93" s="541">
        <f t="shared" si="27"/>
        <v>0</v>
      </c>
      <c r="EE93" s="541">
        <f t="shared" si="27"/>
        <v>0</v>
      </c>
      <c r="EF93" s="541">
        <f t="shared" si="27"/>
        <v>0</v>
      </c>
      <c r="EG93" s="541">
        <f t="shared" si="27"/>
        <v>0</v>
      </c>
    </row>
    <row r="95" spans="2:2" ht="12.75">
      <c r="B95" s="534" t="s">
        <v>323</v>
      </c>
    </row>
    <row r="96" spans="5:137" ht="12.75">
      <c r="E96" s="535" t="str">
        <f>Cons!E$149</f>
        <v>Senior facility - drawdown</v>
      </c>
      <c r="G96" s="537" t="str">
        <f>Cons!G$149</f>
        <v>EUR 000s</v>
      </c>
      <c r="H96" s="537">
        <f>Cons!H$149</f>
        <v>221286.6479110517</v>
      </c>
      <c r="J96" s="537">
        <f>Cons!J$149</f>
        <v>0</v>
      </c>
      <c r="K96" s="537">
        <f>Cons!K$149</f>
        <v>0</v>
      </c>
      <c r="L96" s="537">
        <f>Cons!L$149</f>
        <v>0</v>
      </c>
      <c r="M96" s="537">
        <f>Cons!M$149</f>
        <v>0</v>
      </c>
      <c r="N96" s="537">
        <f>Cons!N$149</f>
        <v>0</v>
      </c>
      <c r="O96" s="537">
        <f>Cons!O$149</f>
        <v>0</v>
      </c>
      <c r="P96" s="537">
        <f>Cons!P$149</f>
        <v>-1.8189894035458565E-12</v>
      </c>
      <c r="Q96" s="537">
        <f>Cons!Q$149</f>
        <v>0</v>
      </c>
      <c r="R96" s="537">
        <f>Cons!R$149</f>
        <v>1382.3281928992874</v>
      </c>
      <c r="S96" s="537">
        <f>Cons!S$149</f>
        <v>17980.844765662525</v>
      </c>
      <c r="T96" s="537">
        <f>Cons!T$149</f>
        <v>18373.00855600759</v>
      </c>
      <c r="U96" s="537">
        <f>Cons!U$149</f>
        <v>18794.294603184764</v>
      </c>
      <c r="V96" s="537">
        <f>Cons!V$149</f>
        <v>17560.929412437468</v>
      </c>
      <c r="W96" s="537">
        <f>Cons!W$149</f>
        <v>17427.529348846478</v>
      </c>
      <c r="X96" s="537">
        <f>Cons!X$149</f>
        <v>15736.56271752895</v>
      </c>
      <c r="Y96" s="537">
        <f>Cons!Y$149</f>
        <v>13805.731154549694</v>
      </c>
      <c r="Z96" s="537">
        <f>Cons!Z$149</f>
        <v>12901.477428191107</v>
      </c>
      <c r="AA96" s="537">
        <f>Cons!AA$149</f>
        <v>14399.761727471965</v>
      </c>
      <c r="AB96" s="537">
        <f>Cons!AB$149</f>
        <v>15143.672002923853</v>
      </c>
      <c r="AC96" s="537">
        <f>Cons!AC$149</f>
        <v>15043.412380382597</v>
      </c>
      <c r="AD96" s="537">
        <f>Cons!AD$149</f>
        <v>13719.08131146606</v>
      </c>
      <c r="AE96" s="537">
        <f>Cons!AE$149</f>
        <v>8683.3953250207269</v>
      </c>
      <c r="AF96" s="537">
        <f>Cons!AF$149</f>
        <v>6872.7289999061568</v>
      </c>
      <c r="AG96" s="537">
        <f>Cons!AG$149</f>
        <v>13461.889984572472</v>
      </c>
      <c r="AH96" s="537">
        <f>Cons!AH$149</f>
        <v>0</v>
      </c>
      <c r="AI96" s="537">
        <f>Cons!AI$149</f>
        <v>0</v>
      </c>
      <c r="AJ96" s="537">
        <f>Cons!AJ$149</f>
        <v>0</v>
      </c>
      <c r="AK96" s="537">
        <f>Cons!AK$149</f>
        <v>0</v>
      </c>
      <c r="AL96" s="537">
        <f>Cons!AL$149</f>
        <v>0</v>
      </c>
      <c r="AM96" s="537">
        <f>Cons!AM$149</f>
        <v>0</v>
      </c>
      <c r="AN96" s="537">
        <f>Cons!AN$149</f>
        <v>0</v>
      </c>
      <c r="AO96" s="537">
        <f>Cons!AO$149</f>
        <v>0</v>
      </c>
      <c r="AP96" s="537">
        <f>Cons!AP$149</f>
        <v>0</v>
      </c>
      <c r="AQ96" s="537">
        <f>Cons!AQ$149</f>
        <v>0</v>
      </c>
      <c r="AR96" s="537">
        <f>Cons!AR$149</f>
        <v>0</v>
      </c>
      <c r="AS96" s="537">
        <f>Cons!AS$149</f>
        <v>0</v>
      </c>
      <c r="AT96" s="537">
        <f>Cons!AT$149</f>
        <v>0</v>
      </c>
      <c r="AU96" s="537">
        <f>Cons!AU$149</f>
        <v>0</v>
      </c>
      <c r="AV96" s="537">
        <f>Cons!AV$149</f>
        <v>0</v>
      </c>
      <c r="AW96" s="537">
        <f>Cons!AW$149</f>
        <v>0</v>
      </c>
      <c r="AX96" s="537">
        <f>Cons!AX$149</f>
        <v>0</v>
      </c>
      <c r="AY96" s="537">
        <f>Cons!AY$149</f>
        <v>0</v>
      </c>
      <c r="AZ96" s="537">
        <f>Cons!AZ$149</f>
        <v>0</v>
      </c>
      <c r="BA96" s="537">
        <f>Cons!BA$149</f>
        <v>0</v>
      </c>
      <c r="BB96" s="537">
        <f>Cons!BB$149</f>
        <v>0</v>
      </c>
      <c r="BC96" s="537">
        <f>Cons!BC$149</f>
        <v>0</v>
      </c>
      <c r="BD96" s="537">
        <f>Cons!BD$149</f>
        <v>0</v>
      </c>
      <c r="BE96" s="537">
        <f>Cons!BE$149</f>
        <v>0</v>
      </c>
      <c r="BF96" s="537">
        <f>Cons!BF$149</f>
        <v>0</v>
      </c>
      <c r="BG96" s="537">
        <f>Cons!BG$149</f>
        <v>0</v>
      </c>
      <c r="BH96" s="537">
        <f>Cons!BH$149</f>
        <v>0</v>
      </c>
      <c r="BI96" s="537">
        <f>Cons!BI$149</f>
        <v>0</v>
      </c>
      <c r="BJ96" s="537">
        <f>Cons!BJ$149</f>
        <v>0</v>
      </c>
      <c r="BK96" s="537">
        <f>Cons!BK$149</f>
        <v>0</v>
      </c>
      <c r="BL96" s="537">
        <f>Cons!BL$149</f>
        <v>0</v>
      </c>
      <c r="BM96" s="537">
        <f>Cons!BM$149</f>
        <v>0</v>
      </c>
      <c r="BN96" s="537">
        <f>Cons!BN$149</f>
        <v>0</v>
      </c>
      <c r="BO96" s="537">
        <f>Cons!BO$149</f>
        <v>0</v>
      </c>
      <c r="BP96" s="537">
        <f>Cons!BP$149</f>
        <v>0</v>
      </c>
      <c r="BQ96" s="537">
        <f>Cons!BQ$149</f>
        <v>0</v>
      </c>
      <c r="BR96" s="537">
        <f>Cons!BR$149</f>
        <v>0</v>
      </c>
      <c r="BS96" s="537">
        <f>Cons!BS$149</f>
        <v>0</v>
      </c>
      <c r="BT96" s="537">
        <f>Cons!BT$149</f>
        <v>0</v>
      </c>
      <c r="BU96" s="537">
        <f>Cons!BU$149</f>
        <v>0</v>
      </c>
      <c r="BV96" s="537">
        <f>Cons!BV$149</f>
        <v>0</v>
      </c>
      <c r="BW96" s="537">
        <f>Cons!BW$149</f>
        <v>0</v>
      </c>
      <c r="BX96" s="537">
        <f>Cons!BX$149</f>
        <v>0</v>
      </c>
      <c r="BY96" s="537">
        <f>Cons!BY$149</f>
        <v>0</v>
      </c>
      <c r="BZ96" s="537">
        <f>Cons!BZ$149</f>
        <v>0</v>
      </c>
      <c r="CA96" s="537">
        <f>Cons!CA$149</f>
        <v>0</v>
      </c>
      <c r="CB96" s="537">
        <f>Cons!CB$149</f>
        <v>0</v>
      </c>
      <c r="CC96" s="537">
        <f>Cons!CC$149</f>
        <v>0</v>
      </c>
      <c r="CD96" s="537">
        <f>Cons!CD$149</f>
        <v>0</v>
      </c>
      <c r="CE96" s="537">
        <f>Cons!CE$149</f>
        <v>0</v>
      </c>
      <c r="CF96" s="537">
        <f>Cons!CF$149</f>
        <v>0</v>
      </c>
      <c r="CG96" s="537">
        <f>Cons!CG$149</f>
        <v>0</v>
      </c>
      <c r="CH96" s="537">
        <f>Cons!CH$149</f>
        <v>0</v>
      </c>
      <c r="CI96" s="537">
        <f>Cons!CI$149</f>
        <v>0</v>
      </c>
      <c r="CJ96" s="537">
        <f>Cons!CJ$149</f>
        <v>0</v>
      </c>
      <c r="CK96" s="537">
        <f>Cons!CK$149</f>
        <v>0</v>
      </c>
      <c r="CL96" s="537">
        <f>Cons!CL$149</f>
        <v>0</v>
      </c>
      <c r="CM96" s="537">
        <f>Cons!CM$149</f>
        <v>0</v>
      </c>
      <c r="CN96" s="537">
        <f>Cons!CN$149</f>
        <v>0</v>
      </c>
      <c r="CO96" s="537">
        <f>Cons!CO$149</f>
        <v>0</v>
      </c>
      <c r="CP96" s="537">
        <f>Cons!CP$149</f>
        <v>0</v>
      </c>
      <c r="CQ96" s="537">
        <f>Cons!CQ$149</f>
        <v>0</v>
      </c>
      <c r="CR96" s="537">
        <f>Cons!CR$149</f>
        <v>0</v>
      </c>
      <c r="CS96" s="537">
        <f>Cons!CS$149</f>
        <v>0</v>
      </c>
      <c r="CT96" s="537">
        <f>Cons!CT$149</f>
        <v>0</v>
      </c>
      <c r="CU96" s="537">
        <f>Cons!CU$149</f>
        <v>0</v>
      </c>
      <c r="CV96" s="537">
        <f>Cons!CV$149</f>
        <v>0</v>
      </c>
      <c r="CW96" s="537">
        <f>Cons!CW$149</f>
        <v>0</v>
      </c>
      <c r="CX96" s="537">
        <f>Cons!CX$149</f>
        <v>0</v>
      </c>
      <c r="CY96" s="537">
        <f>Cons!CY$149</f>
        <v>0</v>
      </c>
      <c r="CZ96" s="537">
        <f>Cons!CZ$149</f>
        <v>0</v>
      </c>
      <c r="DA96" s="537">
        <f>Cons!DA$149</f>
        <v>0</v>
      </c>
      <c r="DB96" s="537">
        <f>Cons!DB$149</f>
        <v>0</v>
      </c>
      <c r="DC96" s="537">
        <f>Cons!DC$149</f>
        <v>0</v>
      </c>
      <c r="DD96" s="537">
        <f>Cons!DD$149</f>
        <v>0</v>
      </c>
      <c r="DE96" s="537">
        <f>Cons!DE$149</f>
        <v>0</v>
      </c>
      <c r="DF96" s="537">
        <f>Cons!DF$149</f>
        <v>0</v>
      </c>
      <c r="DG96" s="537">
        <f>Cons!DG$149</f>
        <v>0</v>
      </c>
      <c r="DH96" s="537">
        <f>Cons!DH$149</f>
        <v>0</v>
      </c>
      <c r="DI96" s="537">
        <f>Cons!DI$149</f>
        <v>0</v>
      </c>
      <c r="DJ96" s="537">
        <f>Cons!DJ$149</f>
        <v>0</v>
      </c>
      <c r="DK96" s="537">
        <f>Cons!DK$149</f>
        <v>0</v>
      </c>
      <c r="DL96" s="537">
        <f>Cons!DL$149</f>
        <v>0</v>
      </c>
      <c r="DM96" s="537">
        <f>Cons!DM$149</f>
        <v>0</v>
      </c>
      <c r="DN96" s="537">
        <f>Cons!DN$149</f>
        <v>0</v>
      </c>
      <c r="DO96" s="537">
        <f>Cons!DO$149</f>
        <v>0</v>
      </c>
      <c r="DP96" s="537">
        <f>Cons!DP$149</f>
        <v>0</v>
      </c>
      <c r="DQ96" s="537">
        <f>Cons!DQ$149</f>
        <v>0</v>
      </c>
      <c r="DR96" s="537">
        <f>Cons!DR$149</f>
        <v>0</v>
      </c>
      <c r="DS96" s="537">
        <f>Cons!DS$149</f>
        <v>0</v>
      </c>
      <c r="DT96" s="537">
        <f>Cons!DT$149</f>
        <v>0</v>
      </c>
      <c r="DU96" s="537">
        <f>Cons!DU$149</f>
        <v>0</v>
      </c>
      <c r="DV96" s="537">
        <f>Cons!DV$149</f>
        <v>0</v>
      </c>
      <c r="DW96" s="537">
        <f>Cons!DW$149</f>
        <v>0</v>
      </c>
      <c r="DX96" s="537">
        <f>Cons!DX$149</f>
        <v>0</v>
      </c>
      <c r="DY96" s="537">
        <f>Cons!DY$149</f>
        <v>0</v>
      </c>
      <c r="DZ96" s="537">
        <f>Cons!DZ$149</f>
        <v>0</v>
      </c>
      <c r="EA96" s="537">
        <f>Cons!EA$149</f>
        <v>0</v>
      </c>
      <c r="EB96" s="537">
        <f>Cons!EB$149</f>
        <v>0</v>
      </c>
      <c r="EC96" s="537">
        <f>Cons!EC$149</f>
        <v>0</v>
      </c>
      <c r="ED96" s="537">
        <f>Cons!ED$149</f>
        <v>0</v>
      </c>
      <c r="EE96" s="537">
        <f>Cons!EE$149</f>
        <v>0</v>
      </c>
      <c r="EF96" s="537">
        <f>Cons!EF$149</f>
        <v>0</v>
      </c>
      <c r="EG96" s="537">
        <f>Cons!EG$149</f>
        <v>0</v>
      </c>
    </row>
    <row r="97" spans="5:137" ht="12.75">
      <c r="E97" s="535" t="str">
        <f>Waterfall!E$98</f>
        <v>Senior facility - cash sweep prepayment</v>
      </c>
      <c r="G97" s="537" t="str">
        <f>Waterfall!G$98</f>
        <v>EUR 000s</v>
      </c>
      <c r="H97" s="537">
        <f>Waterfall!H$98</f>
        <v>0</v>
      </c>
      <c r="J97" s="537">
        <f>Waterfall!J$98</f>
        <v>0</v>
      </c>
      <c r="K97" s="537">
        <f>Waterfall!K$98</f>
        <v>0</v>
      </c>
      <c r="L97" s="537">
        <f>Waterfall!L$98</f>
        <v>0</v>
      </c>
      <c r="M97" s="537">
        <f>Waterfall!M$98</f>
        <v>0</v>
      </c>
      <c r="N97" s="537">
        <f>Waterfall!N$98</f>
        <v>0</v>
      </c>
      <c r="O97" s="537">
        <f>Waterfall!O$98</f>
        <v>0</v>
      </c>
      <c r="P97" s="537">
        <f>Waterfall!P$98</f>
        <v>0</v>
      </c>
      <c r="Q97" s="537">
        <f>Waterfall!Q$98</f>
        <v>0</v>
      </c>
      <c r="R97" s="537">
        <f>Waterfall!R$98</f>
        <v>0</v>
      </c>
      <c r="S97" s="537">
        <f>Waterfall!S$98</f>
        <v>0</v>
      </c>
      <c r="T97" s="537">
        <f>Waterfall!T$98</f>
        <v>0</v>
      </c>
      <c r="U97" s="537">
        <f>Waterfall!U$98</f>
        <v>0</v>
      </c>
      <c r="V97" s="537">
        <f>Waterfall!V$98</f>
        <v>0</v>
      </c>
      <c r="W97" s="537">
        <f>Waterfall!W$98</f>
        <v>0</v>
      </c>
      <c r="X97" s="537">
        <f>Waterfall!X$98</f>
        <v>0</v>
      </c>
      <c r="Y97" s="537">
        <f>Waterfall!Y$98</f>
        <v>0</v>
      </c>
      <c r="Z97" s="537">
        <f>Waterfall!Z$98</f>
        <v>0</v>
      </c>
      <c r="AA97" s="537">
        <f>Waterfall!AA$98</f>
        <v>0</v>
      </c>
      <c r="AB97" s="537">
        <f>Waterfall!AB$98</f>
        <v>0</v>
      </c>
      <c r="AC97" s="537">
        <f>Waterfall!AC$98</f>
        <v>0</v>
      </c>
      <c r="AD97" s="537">
        <f>Waterfall!AD$98</f>
        <v>0</v>
      </c>
      <c r="AE97" s="537">
        <f>Waterfall!AE$98</f>
        <v>0</v>
      </c>
      <c r="AF97" s="537">
        <f>Waterfall!AF$98</f>
        <v>0</v>
      </c>
      <c r="AG97" s="537">
        <f>Waterfall!AG$98</f>
        <v>0</v>
      </c>
      <c r="AH97" s="537">
        <f>Waterfall!AH$98</f>
        <v>0</v>
      </c>
      <c r="AI97" s="537">
        <f>Waterfall!AI$98</f>
        <v>0</v>
      </c>
      <c r="AJ97" s="537">
        <f>Waterfall!AJ$98</f>
        <v>0</v>
      </c>
      <c r="AK97" s="537">
        <f>Waterfall!AK$98</f>
        <v>0</v>
      </c>
      <c r="AL97" s="537">
        <f>Waterfall!AL$98</f>
        <v>0</v>
      </c>
      <c r="AM97" s="537">
        <f>Waterfall!AM$98</f>
        <v>0</v>
      </c>
      <c r="AN97" s="537">
        <f>Waterfall!AN$98</f>
        <v>0</v>
      </c>
      <c r="AO97" s="537">
        <f>Waterfall!AO$98</f>
        <v>0</v>
      </c>
      <c r="AP97" s="537">
        <f>Waterfall!AP$98</f>
        <v>0</v>
      </c>
      <c r="AQ97" s="537">
        <f>Waterfall!AQ$98</f>
        <v>0</v>
      </c>
      <c r="AR97" s="537">
        <f>Waterfall!AR$98</f>
        <v>0</v>
      </c>
      <c r="AS97" s="537">
        <f>Waterfall!AS$98</f>
        <v>0</v>
      </c>
      <c r="AT97" s="537">
        <f>Waterfall!AT$98</f>
        <v>0</v>
      </c>
      <c r="AU97" s="537">
        <f>Waterfall!AU$98</f>
        <v>0</v>
      </c>
      <c r="AV97" s="537">
        <f>Waterfall!AV$98</f>
        <v>0</v>
      </c>
      <c r="AW97" s="537">
        <f>Waterfall!AW$98</f>
        <v>0</v>
      </c>
      <c r="AX97" s="537">
        <f>Waterfall!AX$98</f>
        <v>0</v>
      </c>
      <c r="AY97" s="537">
        <f>Waterfall!AY$98</f>
        <v>0</v>
      </c>
      <c r="AZ97" s="537">
        <f>Waterfall!AZ$98</f>
        <v>0</v>
      </c>
      <c r="BA97" s="537">
        <f>Waterfall!BA$98</f>
        <v>0</v>
      </c>
      <c r="BB97" s="537">
        <f>Waterfall!BB$98</f>
        <v>0</v>
      </c>
      <c r="BC97" s="537">
        <f>Waterfall!BC$98</f>
        <v>0</v>
      </c>
      <c r="BD97" s="537">
        <f>Waterfall!BD$98</f>
        <v>0</v>
      </c>
      <c r="BE97" s="537">
        <f>Waterfall!BE$98</f>
        <v>0</v>
      </c>
      <c r="BF97" s="537">
        <f>Waterfall!BF$98</f>
        <v>0</v>
      </c>
      <c r="BG97" s="537">
        <f>Waterfall!BG$98</f>
        <v>0</v>
      </c>
      <c r="BH97" s="537">
        <f>Waterfall!BH$98</f>
        <v>0</v>
      </c>
      <c r="BI97" s="537">
        <f>Waterfall!BI$98</f>
        <v>0</v>
      </c>
      <c r="BJ97" s="537">
        <f>Waterfall!BJ$98</f>
        <v>0</v>
      </c>
      <c r="BK97" s="537">
        <f>Waterfall!BK$98</f>
        <v>0</v>
      </c>
      <c r="BL97" s="537">
        <f>Waterfall!BL$98</f>
        <v>0</v>
      </c>
      <c r="BM97" s="537">
        <f>Waterfall!BM$98</f>
        <v>0</v>
      </c>
      <c r="BN97" s="537">
        <f>Waterfall!BN$98</f>
        <v>0</v>
      </c>
      <c r="BO97" s="537">
        <f>Waterfall!BO$98</f>
        <v>0</v>
      </c>
      <c r="BP97" s="537">
        <f>Waterfall!BP$98</f>
        <v>0</v>
      </c>
      <c r="BQ97" s="537">
        <f>Waterfall!BQ$98</f>
        <v>0</v>
      </c>
      <c r="BR97" s="537">
        <f>Waterfall!BR$98</f>
        <v>0</v>
      </c>
      <c r="BS97" s="537">
        <f>Waterfall!BS$98</f>
        <v>0</v>
      </c>
      <c r="BT97" s="537">
        <f>Waterfall!BT$98</f>
        <v>0</v>
      </c>
      <c r="BU97" s="537">
        <f>Waterfall!BU$98</f>
        <v>0</v>
      </c>
      <c r="BV97" s="537">
        <f>Waterfall!BV$98</f>
        <v>0</v>
      </c>
      <c r="BW97" s="537">
        <f>Waterfall!BW$98</f>
        <v>0</v>
      </c>
      <c r="BX97" s="537">
        <f>Waterfall!BX$98</f>
        <v>0</v>
      </c>
      <c r="BY97" s="537">
        <f>Waterfall!BY$98</f>
        <v>0</v>
      </c>
      <c r="BZ97" s="537">
        <f>Waterfall!BZ$98</f>
        <v>0</v>
      </c>
      <c r="CA97" s="537">
        <f>Waterfall!CA$98</f>
        <v>0</v>
      </c>
      <c r="CB97" s="537">
        <f>Waterfall!CB$98</f>
        <v>0</v>
      </c>
      <c r="CC97" s="537">
        <f>Waterfall!CC$98</f>
        <v>0</v>
      </c>
      <c r="CD97" s="537">
        <f>Waterfall!CD$98</f>
        <v>0</v>
      </c>
      <c r="CE97" s="537">
        <f>Waterfall!CE$98</f>
        <v>0</v>
      </c>
      <c r="CF97" s="537">
        <f>Waterfall!CF$98</f>
        <v>0</v>
      </c>
      <c r="CG97" s="537">
        <f>Waterfall!CG$98</f>
        <v>0</v>
      </c>
      <c r="CH97" s="537">
        <f>Waterfall!CH$98</f>
        <v>0</v>
      </c>
      <c r="CI97" s="537">
        <f>Waterfall!CI$98</f>
        <v>0</v>
      </c>
      <c r="CJ97" s="537">
        <f>Waterfall!CJ$98</f>
        <v>0</v>
      </c>
      <c r="CK97" s="537">
        <f>Waterfall!CK$98</f>
        <v>0</v>
      </c>
      <c r="CL97" s="537">
        <f>Waterfall!CL$98</f>
        <v>0</v>
      </c>
      <c r="CM97" s="537">
        <f>Waterfall!CM$98</f>
        <v>0</v>
      </c>
      <c r="CN97" s="537">
        <f>Waterfall!CN$98</f>
        <v>0</v>
      </c>
      <c r="CO97" s="537">
        <f>Waterfall!CO$98</f>
        <v>0</v>
      </c>
      <c r="CP97" s="537">
        <f>Waterfall!CP$98</f>
        <v>0</v>
      </c>
      <c r="CQ97" s="537">
        <f>Waterfall!CQ$98</f>
        <v>0</v>
      </c>
      <c r="CR97" s="537">
        <f>Waterfall!CR$98</f>
        <v>0</v>
      </c>
      <c r="CS97" s="537">
        <f>Waterfall!CS$98</f>
        <v>0</v>
      </c>
      <c r="CT97" s="537">
        <f>Waterfall!CT$98</f>
        <v>0</v>
      </c>
      <c r="CU97" s="537">
        <f>Waterfall!CU$98</f>
        <v>0</v>
      </c>
      <c r="CV97" s="537">
        <f>Waterfall!CV$98</f>
        <v>0</v>
      </c>
      <c r="CW97" s="537">
        <f>Waterfall!CW$98</f>
        <v>0</v>
      </c>
      <c r="CX97" s="537">
        <f>Waterfall!CX$98</f>
        <v>0</v>
      </c>
      <c r="CY97" s="537">
        <f>Waterfall!CY$98</f>
        <v>0</v>
      </c>
      <c r="CZ97" s="537">
        <f>Waterfall!CZ$98</f>
        <v>0</v>
      </c>
      <c r="DA97" s="537">
        <f>Waterfall!DA$98</f>
        <v>0</v>
      </c>
      <c r="DB97" s="537">
        <f>Waterfall!DB$98</f>
        <v>0</v>
      </c>
      <c r="DC97" s="537">
        <f>Waterfall!DC$98</f>
        <v>0</v>
      </c>
      <c r="DD97" s="537">
        <f>Waterfall!DD$98</f>
        <v>0</v>
      </c>
      <c r="DE97" s="537">
        <f>Waterfall!DE$98</f>
        <v>0</v>
      </c>
      <c r="DF97" s="537">
        <f>Waterfall!DF$98</f>
        <v>0</v>
      </c>
      <c r="DG97" s="537">
        <f>Waterfall!DG$98</f>
        <v>0</v>
      </c>
      <c r="DH97" s="537">
        <f>Waterfall!DH$98</f>
        <v>0</v>
      </c>
      <c r="DI97" s="537">
        <f>Waterfall!DI$98</f>
        <v>0</v>
      </c>
      <c r="DJ97" s="537">
        <f>Waterfall!DJ$98</f>
        <v>0</v>
      </c>
      <c r="DK97" s="537">
        <f>Waterfall!DK$98</f>
        <v>0</v>
      </c>
      <c r="DL97" s="537">
        <f>Waterfall!DL$98</f>
        <v>0</v>
      </c>
      <c r="DM97" s="537">
        <f>Waterfall!DM$98</f>
        <v>0</v>
      </c>
      <c r="DN97" s="537">
        <f>Waterfall!DN$98</f>
        <v>0</v>
      </c>
      <c r="DO97" s="537">
        <f>Waterfall!DO$98</f>
        <v>0</v>
      </c>
      <c r="DP97" s="537">
        <f>Waterfall!DP$98</f>
        <v>0</v>
      </c>
      <c r="DQ97" s="537">
        <f>Waterfall!DQ$98</f>
        <v>0</v>
      </c>
      <c r="DR97" s="537">
        <f>Waterfall!DR$98</f>
        <v>0</v>
      </c>
      <c r="DS97" s="537">
        <f>Waterfall!DS$98</f>
        <v>0</v>
      </c>
      <c r="DT97" s="537">
        <f>Waterfall!DT$98</f>
        <v>0</v>
      </c>
      <c r="DU97" s="537">
        <f>Waterfall!DU$98</f>
        <v>0</v>
      </c>
      <c r="DV97" s="537">
        <f>Waterfall!DV$98</f>
        <v>0</v>
      </c>
      <c r="DW97" s="537">
        <f>Waterfall!DW$98</f>
        <v>0</v>
      </c>
      <c r="DX97" s="537">
        <f>Waterfall!DX$98</f>
        <v>0</v>
      </c>
      <c r="DY97" s="537">
        <f>Waterfall!DY$98</f>
        <v>0</v>
      </c>
      <c r="DZ97" s="537">
        <f>Waterfall!DZ$98</f>
        <v>0</v>
      </c>
      <c r="EA97" s="537">
        <f>Waterfall!EA$98</f>
        <v>0</v>
      </c>
      <c r="EB97" s="537">
        <f>Waterfall!EB$98</f>
        <v>0</v>
      </c>
      <c r="EC97" s="537">
        <f>Waterfall!EC$98</f>
        <v>0</v>
      </c>
      <c r="ED97" s="537">
        <f>Waterfall!ED$98</f>
        <v>0</v>
      </c>
      <c r="EE97" s="537">
        <f>Waterfall!EE$98</f>
        <v>0</v>
      </c>
      <c r="EF97" s="537">
        <f>Waterfall!EF$98</f>
        <v>0</v>
      </c>
      <c r="EG97" s="537">
        <f>Waterfall!EG$98</f>
        <v>0</v>
      </c>
    </row>
    <row r="98" spans="5:137" ht="12.75">
      <c r="E98" s="538" t="str">
        <f>E$57</f>
        <v>Senior facility - opening balance</v>
      </c>
      <c r="G98" s="539" t="str">
        <f>G$57</f>
        <v>EUR 000s</v>
      </c>
      <c r="H98" s="539">
        <f>H$57</f>
        <v>11123186.810732836</v>
      </c>
      <c r="J98" s="539">
        <f t="shared" si="28" ref="J98:EG98">J$57</f>
        <v>0</v>
      </c>
      <c r="K98" s="539">
        <f t="shared" si="28"/>
        <v>0</v>
      </c>
      <c r="L98" s="539">
        <f t="shared" si="28"/>
        <v>0</v>
      </c>
      <c r="M98" s="539">
        <f t="shared" si="28"/>
        <v>0</v>
      </c>
      <c r="N98" s="539">
        <f t="shared" si="28"/>
        <v>0</v>
      </c>
      <c r="O98" s="539">
        <f t="shared" si="28"/>
        <v>0</v>
      </c>
      <c r="P98" s="539">
        <f t="shared" si="28"/>
        <v>0</v>
      </c>
      <c r="Q98" s="539">
        <f t="shared" si="28"/>
        <v>0</v>
      </c>
      <c r="R98" s="539">
        <f t="shared" si="28"/>
        <v>0</v>
      </c>
      <c r="S98" s="539">
        <f t="shared" si="28"/>
        <v>1382.3281928992874</v>
      </c>
      <c r="T98" s="539">
        <f t="shared" si="28"/>
        <v>19363.172958561812</v>
      </c>
      <c r="U98" s="539">
        <f t="shared" si="28"/>
        <v>37736.181514569398</v>
      </c>
      <c r="V98" s="539">
        <f t="shared" si="28"/>
        <v>56530.476117754166</v>
      </c>
      <c r="W98" s="539">
        <f t="shared" si="28"/>
        <v>74091.405530191638</v>
      </c>
      <c r="X98" s="539">
        <f t="shared" si="28"/>
        <v>91518.934879038119</v>
      </c>
      <c r="Y98" s="539">
        <f t="shared" si="28"/>
        <v>107255.49759656707</v>
      </c>
      <c r="Z98" s="539">
        <f t="shared" si="28"/>
        <v>121061.22875111677</v>
      </c>
      <c r="AA98" s="539">
        <f t="shared" si="28"/>
        <v>133962.70617930786</v>
      </c>
      <c r="AB98" s="539">
        <f t="shared" si="28"/>
        <v>148362.46790677981</v>
      </c>
      <c r="AC98" s="539">
        <f t="shared" si="28"/>
        <v>163506.13990970366</v>
      </c>
      <c r="AD98" s="539">
        <f t="shared" si="28"/>
        <v>178549.55229008626</v>
      </c>
      <c r="AE98" s="539">
        <f t="shared" si="28"/>
        <v>192268.63360155231</v>
      </c>
      <c r="AF98" s="539">
        <f t="shared" si="28"/>
        <v>200952.02892657305</v>
      </c>
      <c r="AG98" s="539">
        <f t="shared" si="28"/>
        <v>207824.75792647921</v>
      </c>
      <c r="AH98" s="539">
        <f t="shared" si="28"/>
        <v>221286.6479110517</v>
      </c>
      <c r="AI98" s="539">
        <f t="shared" si="28"/>
        <v>220608.823757429</v>
      </c>
      <c r="AJ98" s="539">
        <f t="shared" si="28"/>
        <v>218979.44471839062</v>
      </c>
      <c r="AK98" s="539">
        <f t="shared" si="28"/>
        <v>217360.94638439317</v>
      </c>
      <c r="AL98" s="539">
        <f t="shared" si="28"/>
        <v>215730.19804249654</v>
      </c>
      <c r="AM98" s="539">
        <f t="shared" si="28"/>
        <v>213962.26862143833</v>
      </c>
      <c r="AN98" s="539">
        <f t="shared" si="28"/>
        <v>212160.04600216408</v>
      </c>
      <c r="AO98" s="539">
        <f t="shared" si="28"/>
        <v>210365.30914698011</v>
      </c>
      <c r="AP98" s="539">
        <f t="shared" si="28"/>
        <v>208556.00183225214</v>
      </c>
      <c r="AQ98" s="539">
        <f t="shared" si="28"/>
        <v>206608.1421623468</v>
      </c>
      <c r="AR98" s="539">
        <f t="shared" si="28"/>
        <v>204622.0325392868</v>
      </c>
      <c r="AS98" s="539">
        <f t="shared" si="28"/>
        <v>202639.75403211112</v>
      </c>
      <c r="AT98" s="539">
        <f t="shared" si="28"/>
        <v>200640.42828787459</v>
      </c>
      <c r="AU98" s="539">
        <f t="shared" si="28"/>
        <v>198520.66321847215</v>
      </c>
      <c r="AV98" s="539">
        <f t="shared" si="28"/>
        <v>196350.0423303475</v>
      </c>
      <c r="AW98" s="539">
        <f t="shared" si="28"/>
        <v>194168.68761815928</v>
      </c>
      <c r="AX98" s="539">
        <f t="shared" si="28"/>
        <v>191969.90220643775</v>
      </c>
      <c r="AY98" s="539">
        <f t="shared" si="28"/>
        <v>189627.72643192843</v>
      </c>
      <c r="AZ98" s="539">
        <f t="shared" si="28"/>
        <v>187238.5892801146</v>
      </c>
      <c r="BA98" s="539">
        <f t="shared" si="28"/>
        <v>184845.14286697507</v>
      </c>
      <c r="BB98" s="539">
        <f t="shared" si="28"/>
        <v>182431.62986282675</v>
      </c>
      <c r="BC98" s="539">
        <f t="shared" si="28"/>
        <v>179936.99651467081</v>
      </c>
      <c r="BD98" s="539">
        <f t="shared" si="28"/>
        <v>177400.57976910818</v>
      </c>
      <c r="BE98" s="539">
        <f t="shared" si="28"/>
        <v>174865.04661232483</v>
      </c>
      <c r="BF98" s="539">
        <f t="shared" si="28"/>
        <v>172313.4684083091</v>
      </c>
      <c r="BG98" s="539">
        <f t="shared" si="28"/>
        <v>169632.07902517688</v>
      </c>
      <c r="BH98" s="539">
        <f t="shared" si="28"/>
        <v>166902.89896300616</v>
      </c>
      <c r="BI98" s="539">
        <f t="shared" si="28"/>
        <v>164168.91807115515</v>
      </c>
      <c r="BJ98" s="539">
        <f t="shared" si="28"/>
        <v>161414.86878840948</v>
      </c>
      <c r="BK98" s="539">
        <f t="shared" si="28"/>
        <v>158542.07659269078</v>
      </c>
      <c r="BL98" s="539">
        <f t="shared" si="28"/>
        <v>155613.84125510571</v>
      </c>
      <c r="BM98" s="539">
        <f t="shared" si="28"/>
        <v>152663.86316474082</v>
      </c>
      <c r="BN98" s="539">
        <f t="shared" si="28"/>
        <v>149689.78500478482</v>
      </c>
      <c r="BO98" s="539">
        <f t="shared" si="28"/>
        <v>146582.18825556862</v>
      </c>
      <c r="BP98" s="539">
        <f t="shared" si="28"/>
        <v>143414.45037753851</v>
      </c>
      <c r="BQ98" s="539">
        <f t="shared" si="28"/>
        <v>140230.13643606377</v>
      </c>
      <c r="BR98" s="539">
        <f t="shared" si="28"/>
        <v>137017.63189573269</v>
      </c>
      <c r="BS98" s="539">
        <f t="shared" si="28"/>
        <v>133616.70893983805</v>
      </c>
      <c r="BT98" s="539">
        <f t="shared" si="28"/>
        <v>130148.4594856113</v>
      </c>
      <c r="BU98" s="539">
        <f t="shared" si="28"/>
        <v>126656.67559847518</v>
      </c>
      <c r="BV98" s="539">
        <f t="shared" si="28"/>
        <v>123131.75917005076</v>
      </c>
      <c r="BW98" s="539">
        <f t="shared" si="28"/>
        <v>119608.92849224193</v>
      </c>
      <c r="BX98" s="539">
        <f t="shared" si="28"/>
        <v>116425.03572762878</v>
      </c>
      <c r="BY98" s="539">
        <f t="shared" si="28"/>
        <v>113226.81814732924</v>
      </c>
      <c r="BZ98" s="539">
        <f t="shared" si="28"/>
        <v>110006.70537313426</v>
      </c>
      <c r="CA98" s="539">
        <f t="shared" si="28"/>
        <v>106679.6446537234</v>
      </c>
      <c r="CB98" s="539">
        <f t="shared" si="28"/>
        <v>103294.20127478741</v>
      </c>
      <c r="CC98" s="539">
        <f t="shared" si="28"/>
        <v>99911.910581940261</v>
      </c>
      <c r="CD98" s="539">
        <f t="shared" si="28"/>
        <v>96679.218965814158</v>
      </c>
      <c r="CE98" s="539">
        <f t="shared" si="28"/>
        <v>93354.866903009097</v>
      </c>
      <c r="CF98" s="539">
        <f t="shared" si="28"/>
        <v>89964.772122112496</v>
      </c>
      <c r="CG98" s="539">
        <f t="shared" si="28"/>
        <v>86553.919799695548</v>
      </c>
      <c r="CH98" s="539">
        <f t="shared" si="28"/>
        <v>83121.179559975688</v>
      </c>
      <c r="CI98" s="539">
        <f t="shared" si="28"/>
        <v>79593.959452813389</v>
      </c>
      <c r="CJ98" s="539">
        <f t="shared" si="28"/>
        <v>75995.047897345838</v>
      </c>
      <c r="CK98" s="539">
        <f t="shared" si="28"/>
        <v>72369.711752529605</v>
      </c>
      <c r="CL98" s="539">
        <f t="shared" si="28"/>
        <v>68718.73893250621</v>
      </c>
      <c r="CM98" s="539">
        <f t="shared" si="28"/>
        <v>64684.850956016817</v>
      </c>
      <c r="CN98" s="539">
        <f t="shared" si="28"/>
        <v>60569.829778725034</v>
      </c>
      <c r="CO98" s="539">
        <f t="shared" si="28"/>
        <v>56419.081896961972</v>
      </c>
      <c r="CP98" s="539">
        <f t="shared" si="28"/>
        <v>52235.409698162868</v>
      </c>
      <c r="CQ98" s="539">
        <f t="shared" si="28"/>
        <v>48233.700504559805</v>
      </c>
      <c r="CR98" s="539">
        <f t="shared" si="28"/>
        <v>44165.862871224701</v>
      </c>
      <c r="CS98" s="539">
        <f t="shared" si="28"/>
        <v>40047.476011156585</v>
      </c>
      <c r="CT98" s="539">
        <f t="shared" si="28"/>
        <v>35895.790506489262</v>
      </c>
      <c r="CU98" s="539">
        <f t="shared" si="28"/>
        <v>31647.260735279633</v>
      </c>
      <c r="CV98" s="539">
        <f t="shared" si="28"/>
        <v>27308.313550612747</v>
      </c>
      <c r="CW98" s="539">
        <f t="shared" si="28"/>
        <v>22924.904066388648</v>
      </c>
      <c r="CX98" s="539">
        <f t="shared" si="28"/>
        <v>18504.379611735581</v>
      </c>
      <c r="CY98" s="539">
        <f t="shared" si="28"/>
        <v>13986.578233532302</v>
      </c>
      <c r="CZ98" s="539">
        <f t="shared" si="28"/>
        <v>9371.8894561927991</v>
      </c>
      <c r="DA98" s="539">
        <f t="shared" si="28"/>
        <v>4706.4513561860967</v>
      </c>
      <c r="DB98" s="539">
        <f t="shared" si="28"/>
        <v>0</v>
      </c>
      <c r="DC98" s="539">
        <f t="shared" si="28"/>
        <v>0</v>
      </c>
      <c r="DD98" s="539">
        <f t="shared" si="28"/>
        <v>0</v>
      </c>
      <c r="DE98" s="539">
        <f t="shared" si="28"/>
        <v>0</v>
      </c>
      <c r="DF98" s="539">
        <f t="shared" si="28"/>
        <v>0</v>
      </c>
      <c r="DG98" s="539">
        <f t="shared" si="28"/>
        <v>0</v>
      </c>
      <c r="DH98" s="539">
        <f t="shared" si="28"/>
        <v>0</v>
      </c>
      <c r="DI98" s="539">
        <f t="shared" si="28"/>
        <v>0</v>
      </c>
      <c r="DJ98" s="539">
        <f t="shared" si="28"/>
        <v>0</v>
      </c>
      <c r="DK98" s="539">
        <f t="shared" si="28"/>
        <v>0</v>
      </c>
      <c r="DL98" s="539">
        <f t="shared" si="28"/>
        <v>0</v>
      </c>
      <c r="DM98" s="539">
        <f t="shared" si="28"/>
        <v>0</v>
      </c>
      <c r="DN98" s="539">
        <f t="shared" si="28"/>
        <v>0</v>
      </c>
      <c r="DO98" s="539">
        <f t="shared" si="28"/>
        <v>0</v>
      </c>
      <c r="DP98" s="539">
        <f t="shared" si="28"/>
        <v>0</v>
      </c>
      <c r="DQ98" s="539">
        <f t="shared" si="28"/>
        <v>0</v>
      </c>
      <c r="DR98" s="539">
        <f t="shared" si="28"/>
        <v>0</v>
      </c>
      <c r="DS98" s="539">
        <f t="shared" si="28"/>
        <v>0</v>
      </c>
      <c r="DT98" s="539">
        <f t="shared" si="28"/>
        <v>0</v>
      </c>
      <c r="DU98" s="539">
        <f t="shared" si="28"/>
        <v>0</v>
      </c>
      <c r="DV98" s="539">
        <f t="shared" si="28"/>
        <v>0</v>
      </c>
      <c r="DW98" s="539">
        <f t="shared" si="28"/>
        <v>0</v>
      </c>
      <c r="DX98" s="539">
        <f t="shared" si="28"/>
        <v>0</v>
      </c>
      <c r="DY98" s="539">
        <f t="shared" si="28"/>
        <v>0</v>
      </c>
      <c r="DZ98" s="539">
        <f t="shared" si="28"/>
        <v>0</v>
      </c>
      <c r="EA98" s="539">
        <f t="shared" si="28"/>
        <v>0</v>
      </c>
      <c r="EB98" s="539">
        <f t="shared" si="28"/>
        <v>0</v>
      </c>
      <c r="EC98" s="539">
        <f t="shared" si="28"/>
        <v>0</v>
      </c>
      <c r="ED98" s="539">
        <f t="shared" si="28"/>
        <v>0</v>
      </c>
      <c r="EE98" s="539">
        <f t="shared" si="28"/>
        <v>0</v>
      </c>
      <c r="EF98" s="539">
        <f t="shared" si="28"/>
        <v>0</v>
      </c>
      <c r="EG98" s="539">
        <f t="shared" si="28"/>
        <v>0</v>
      </c>
    </row>
    <row r="99" spans="5:137" ht="12.75">
      <c r="E99" s="538" t="str">
        <f>E$93</f>
        <v>Senior facility - scheduled principal</v>
      </c>
      <c r="G99" s="539" t="str">
        <f>G$93</f>
        <v>EUR 000s</v>
      </c>
      <c r="H99" s="539">
        <f>H$93</f>
        <v>221286.64791105178</v>
      </c>
      <c r="J99" s="539">
        <f t="shared" si="29" ref="J99:EG99">J$93</f>
        <v>0</v>
      </c>
      <c r="K99" s="539">
        <f t="shared" si="29"/>
        <v>0</v>
      </c>
      <c r="L99" s="539">
        <f t="shared" si="29"/>
        <v>0</v>
      </c>
      <c r="M99" s="539">
        <f t="shared" si="29"/>
        <v>0</v>
      </c>
      <c r="N99" s="539">
        <f t="shared" si="29"/>
        <v>0</v>
      </c>
      <c r="O99" s="539">
        <f t="shared" si="29"/>
        <v>0</v>
      </c>
      <c r="P99" s="539">
        <f t="shared" si="29"/>
        <v>-1.8189894035458565E-12</v>
      </c>
      <c r="Q99" s="539">
        <f t="shared" si="29"/>
        <v>0</v>
      </c>
      <c r="R99" s="539">
        <f t="shared" si="29"/>
        <v>0</v>
      </c>
      <c r="S99" s="539">
        <f t="shared" si="29"/>
        <v>0</v>
      </c>
      <c r="T99" s="539">
        <f t="shared" si="29"/>
        <v>0</v>
      </c>
      <c r="U99" s="539">
        <f t="shared" si="29"/>
        <v>0</v>
      </c>
      <c r="V99" s="539">
        <f t="shared" si="29"/>
        <v>0</v>
      </c>
      <c r="W99" s="539">
        <f t="shared" si="29"/>
        <v>0</v>
      </c>
      <c r="X99" s="539">
        <f t="shared" si="29"/>
        <v>0</v>
      </c>
      <c r="Y99" s="539">
        <f t="shared" si="29"/>
        <v>0</v>
      </c>
      <c r="Z99" s="539">
        <f t="shared" si="29"/>
        <v>0</v>
      </c>
      <c r="AA99" s="539">
        <f t="shared" si="29"/>
        <v>0</v>
      </c>
      <c r="AB99" s="539">
        <f t="shared" si="29"/>
        <v>0</v>
      </c>
      <c r="AC99" s="539">
        <f t="shared" si="29"/>
        <v>0</v>
      </c>
      <c r="AD99" s="539">
        <f t="shared" si="29"/>
        <v>0</v>
      </c>
      <c r="AE99" s="539">
        <f t="shared" si="29"/>
        <v>0</v>
      </c>
      <c r="AF99" s="539">
        <f t="shared" si="29"/>
        <v>0</v>
      </c>
      <c r="AG99" s="539">
        <f t="shared" si="29"/>
        <v>0</v>
      </c>
      <c r="AH99" s="539">
        <f t="shared" si="29"/>
        <v>677.82415362271058</v>
      </c>
      <c r="AI99" s="539">
        <f t="shared" si="29"/>
        <v>1629.3790390383851</v>
      </c>
      <c r="AJ99" s="539">
        <f t="shared" si="29"/>
        <v>1618.4983339974451</v>
      </c>
      <c r="AK99" s="539">
        <f t="shared" si="29"/>
        <v>1630.7483418966362</v>
      </c>
      <c r="AL99" s="539">
        <f t="shared" si="29"/>
        <v>1767.9294210582093</v>
      </c>
      <c r="AM99" s="539">
        <f t="shared" si="29"/>
        <v>1802.2226192742546</v>
      </c>
      <c r="AN99" s="539">
        <f t="shared" si="29"/>
        <v>1794.7368551839654</v>
      </c>
      <c r="AO99" s="539">
        <f t="shared" si="29"/>
        <v>1809.3073147279661</v>
      </c>
      <c r="AP99" s="539">
        <f t="shared" si="29"/>
        <v>1947.8596699053346</v>
      </c>
      <c r="AQ99" s="539">
        <f t="shared" si="29"/>
        <v>1986.1096230599974</v>
      </c>
      <c r="AR99" s="539">
        <f t="shared" si="29"/>
        <v>1982.2785071756671</v>
      </c>
      <c r="AS99" s="539">
        <f t="shared" si="29"/>
        <v>1999.3257442365161</v>
      </c>
      <c r="AT99" s="539">
        <f t="shared" si="29"/>
        <v>2119.7650694024387</v>
      </c>
      <c r="AU99" s="539">
        <f t="shared" si="29"/>
        <v>2170.6208881246671</v>
      </c>
      <c r="AV99" s="539">
        <f t="shared" si="29"/>
        <v>2181.3547121882043</v>
      </c>
      <c r="AW99" s="539">
        <f t="shared" si="29"/>
        <v>2198.7854117215456</v>
      </c>
      <c r="AX99" s="539">
        <f t="shared" si="29"/>
        <v>2342.1757745093132</v>
      </c>
      <c r="AY99" s="539">
        <f t="shared" si="29"/>
        <v>2389.1371518138408</v>
      </c>
      <c r="AZ99" s="539">
        <f t="shared" si="29"/>
        <v>2393.4464131395234</v>
      </c>
      <c r="BA99" s="539">
        <f t="shared" si="29"/>
        <v>2413.5130041483303</v>
      </c>
      <c r="BB99" s="539">
        <f t="shared" si="29"/>
        <v>2494.6333481559554</v>
      </c>
      <c r="BC99" s="539">
        <f t="shared" si="29"/>
        <v>2536.416745562628</v>
      </c>
      <c r="BD99" s="539">
        <f t="shared" si="29"/>
        <v>2535.5331567833546</v>
      </c>
      <c r="BE99" s="539">
        <f t="shared" si="29"/>
        <v>2551.5782040157314</v>
      </c>
      <c r="BF99" s="539">
        <f t="shared" si="29"/>
        <v>2681.3893831322102</v>
      </c>
      <c r="BG99" s="539">
        <f t="shared" si="29"/>
        <v>2729.1800621707371</v>
      </c>
      <c r="BH99" s="539">
        <f t="shared" si="29"/>
        <v>2733.9808918509984</v>
      </c>
      <c r="BI99" s="539">
        <f t="shared" si="29"/>
        <v>2754.0492827456601</v>
      </c>
      <c r="BJ99" s="539">
        <f t="shared" si="29"/>
        <v>2872.7921957187036</v>
      </c>
      <c r="BK99" s="539">
        <f t="shared" si="29"/>
        <v>2928.2353375850521</v>
      </c>
      <c r="BL99" s="539">
        <f t="shared" si="29"/>
        <v>2949.9780903649021</v>
      </c>
      <c r="BM99" s="539">
        <f t="shared" si="29"/>
        <v>2974.0781599560037</v>
      </c>
      <c r="BN99" s="539">
        <f t="shared" si="29"/>
        <v>3107.5967492162099</v>
      </c>
      <c r="BO99" s="539">
        <f t="shared" si="29"/>
        <v>3167.7378780301078</v>
      </c>
      <c r="BP99" s="539">
        <f t="shared" si="29"/>
        <v>3184.3139414747466</v>
      </c>
      <c r="BQ99" s="539">
        <f t="shared" si="29"/>
        <v>3212.504540331086</v>
      </c>
      <c r="BR99" s="539">
        <f t="shared" si="29"/>
        <v>3400.9229558946477</v>
      </c>
      <c r="BS99" s="539">
        <f t="shared" si="29"/>
        <v>3468.2494542267559</v>
      </c>
      <c r="BT99" s="539">
        <f t="shared" si="29"/>
        <v>3491.7838871361182</v>
      </c>
      <c r="BU99" s="539">
        <f t="shared" si="29"/>
        <v>3524.9164284244171</v>
      </c>
      <c r="BV99" s="539">
        <f t="shared" si="29"/>
        <v>3522.8306778088331</v>
      </c>
      <c r="BW99" s="539">
        <f t="shared" si="29"/>
        <v>3183.8927646131478</v>
      </c>
      <c r="BX99" s="539">
        <f t="shared" si="29"/>
        <v>3198.2175802995462</v>
      </c>
      <c r="BY99" s="539">
        <f t="shared" si="29"/>
        <v>3220.1127741949776</v>
      </c>
      <c r="BZ99" s="539">
        <f t="shared" si="29"/>
        <v>3327.0607194108602</v>
      </c>
      <c r="CA99" s="539">
        <f t="shared" si="29"/>
        <v>3385.4433789359969</v>
      </c>
      <c r="CB99" s="539">
        <f t="shared" si="29"/>
        <v>3382.2906928471562</v>
      </c>
      <c r="CC99" s="539">
        <f t="shared" si="29"/>
        <v>3232.6916161260979</v>
      </c>
      <c r="CD99" s="539">
        <f t="shared" si="29"/>
        <v>3324.3520628050601</v>
      </c>
      <c r="CE99" s="539">
        <f t="shared" si="29"/>
        <v>3390.0947808966057</v>
      </c>
      <c r="CF99" s="539">
        <f t="shared" si="29"/>
        <v>3410.8523224169539</v>
      </c>
      <c r="CG99" s="539">
        <f t="shared" si="29"/>
        <v>3432.7402397198557</v>
      </c>
      <c r="CH99" s="539">
        <f t="shared" si="29"/>
        <v>3527.2201071622985</v>
      </c>
      <c r="CI99" s="539">
        <f t="shared" si="29"/>
        <v>3598.911555467545</v>
      </c>
      <c r="CJ99" s="539">
        <f t="shared" si="29"/>
        <v>3625.3361448162268</v>
      </c>
      <c r="CK99" s="539">
        <f t="shared" si="29"/>
        <v>3650.972820023389</v>
      </c>
      <c r="CL99" s="539">
        <f t="shared" si="29"/>
        <v>4033.8879764893964</v>
      </c>
      <c r="CM99" s="539">
        <f t="shared" si="29"/>
        <v>4115.0211772917837</v>
      </c>
      <c r="CN99" s="539">
        <f t="shared" si="29"/>
        <v>4150.7478817630608</v>
      </c>
      <c r="CO99" s="539">
        <f t="shared" si="29"/>
        <v>4183.6721987991059</v>
      </c>
      <c r="CP99" s="539">
        <f t="shared" si="29"/>
        <v>4001.7091936030665</v>
      </c>
      <c r="CQ99" s="539">
        <f t="shared" si="29"/>
        <v>4067.8376333351075</v>
      </c>
      <c r="CR99" s="539">
        <f t="shared" si="29"/>
        <v>4118.3868600681171</v>
      </c>
      <c r="CS99" s="539">
        <f t="shared" si="29"/>
        <v>4151.6855046673199</v>
      </c>
      <c r="CT99" s="539">
        <f t="shared" si="29"/>
        <v>4248.5297712096281</v>
      </c>
      <c r="CU99" s="539">
        <f t="shared" si="29"/>
        <v>4338.9471846668848</v>
      </c>
      <c r="CV99" s="539">
        <f t="shared" si="29"/>
        <v>4383.4094842240993</v>
      </c>
      <c r="CW99" s="539">
        <f t="shared" si="29"/>
        <v>4420.5244546530666</v>
      </c>
      <c r="CX99" s="539">
        <f t="shared" si="29"/>
        <v>4517.8013782032795</v>
      </c>
      <c r="CY99" s="539">
        <f t="shared" si="29"/>
        <v>4614.6887773395028</v>
      </c>
      <c r="CZ99" s="539">
        <f t="shared" si="29"/>
        <v>4665.4381000067024</v>
      </c>
      <c r="DA99" s="539">
        <f t="shared" si="29"/>
        <v>4706.4513561860967</v>
      </c>
      <c r="DB99" s="539">
        <f t="shared" si="29"/>
        <v>0</v>
      </c>
      <c r="DC99" s="539">
        <f t="shared" si="29"/>
        <v>0</v>
      </c>
      <c r="DD99" s="539">
        <f t="shared" si="29"/>
        <v>0</v>
      </c>
      <c r="DE99" s="539">
        <f t="shared" si="29"/>
        <v>0</v>
      </c>
      <c r="DF99" s="539">
        <f t="shared" si="29"/>
        <v>0</v>
      </c>
      <c r="DG99" s="539">
        <f t="shared" si="29"/>
        <v>0</v>
      </c>
      <c r="DH99" s="539">
        <f t="shared" si="29"/>
        <v>0</v>
      </c>
      <c r="DI99" s="539">
        <f t="shared" si="29"/>
        <v>0</v>
      </c>
      <c r="DJ99" s="539">
        <f t="shared" si="29"/>
        <v>0</v>
      </c>
      <c r="DK99" s="539">
        <f t="shared" si="29"/>
        <v>0</v>
      </c>
      <c r="DL99" s="539">
        <f t="shared" si="29"/>
        <v>0</v>
      </c>
      <c r="DM99" s="539">
        <f t="shared" si="29"/>
        <v>0</v>
      </c>
      <c r="DN99" s="539">
        <f t="shared" si="29"/>
        <v>0</v>
      </c>
      <c r="DO99" s="539">
        <f t="shared" si="29"/>
        <v>0</v>
      </c>
      <c r="DP99" s="539">
        <f t="shared" si="29"/>
        <v>0</v>
      </c>
      <c r="DQ99" s="539">
        <f t="shared" si="29"/>
        <v>0</v>
      </c>
      <c r="DR99" s="539">
        <f t="shared" si="29"/>
        <v>0</v>
      </c>
      <c r="DS99" s="539">
        <f t="shared" si="29"/>
        <v>0</v>
      </c>
      <c r="DT99" s="539">
        <f t="shared" si="29"/>
        <v>0</v>
      </c>
      <c r="DU99" s="539">
        <f t="shared" si="29"/>
        <v>0</v>
      </c>
      <c r="DV99" s="539">
        <f t="shared" si="29"/>
        <v>0</v>
      </c>
      <c r="DW99" s="539">
        <f t="shared" si="29"/>
        <v>0</v>
      </c>
      <c r="DX99" s="539">
        <f t="shared" si="29"/>
        <v>0</v>
      </c>
      <c r="DY99" s="539">
        <f t="shared" si="29"/>
        <v>0</v>
      </c>
      <c r="DZ99" s="539">
        <f t="shared" si="29"/>
        <v>0</v>
      </c>
      <c r="EA99" s="539">
        <f t="shared" si="29"/>
        <v>0</v>
      </c>
      <c r="EB99" s="539">
        <f t="shared" si="29"/>
        <v>0</v>
      </c>
      <c r="EC99" s="539">
        <f t="shared" si="29"/>
        <v>0</v>
      </c>
      <c r="ED99" s="539">
        <f t="shared" si="29"/>
        <v>0</v>
      </c>
      <c r="EE99" s="539">
        <f t="shared" si="29"/>
        <v>0</v>
      </c>
      <c r="EF99" s="539">
        <f t="shared" si="29"/>
        <v>0</v>
      </c>
      <c r="EG99" s="539">
        <f t="shared" si="29"/>
        <v>0</v>
      </c>
    </row>
    <row r="100" spans="5:137" ht="12.75">
      <c r="E100" s="540" t="s">
        <v>324</v>
      </c>
      <c r="G100" s="541" t="s">
        <v>30</v>
      </c>
      <c r="H100" s="541">
        <f>SUM(J100:EG100)</f>
        <v>11123186.810732836</v>
      </c>
      <c r="J100" s="541">
        <f t="shared" si="30" ref="J100:EG100">J98+J96-J99-J97</f>
        <v>0</v>
      </c>
      <c r="K100" s="541">
        <f t="shared" si="30"/>
        <v>0</v>
      </c>
      <c r="L100" s="541">
        <f t="shared" si="30"/>
        <v>0</v>
      </c>
      <c r="M100" s="541">
        <f t="shared" si="30"/>
        <v>0</v>
      </c>
      <c r="N100" s="541">
        <f t="shared" si="30"/>
        <v>0</v>
      </c>
      <c r="O100" s="541">
        <f t="shared" si="30"/>
        <v>0</v>
      </c>
      <c r="P100" s="541">
        <f t="shared" si="30"/>
        <v>0</v>
      </c>
      <c r="Q100" s="541">
        <f t="shared" si="30"/>
        <v>0</v>
      </c>
      <c r="R100" s="541">
        <f t="shared" si="30"/>
        <v>1382.3281928992874</v>
      </c>
      <c r="S100" s="541">
        <f t="shared" si="30"/>
        <v>19363.172958561812</v>
      </c>
      <c r="T100" s="541">
        <f t="shared" si="30"/>
        <v>37736.181514569398</v>
      </c>
      <c r="U100" s="541">
        <f t="shared" si="30"/>
        <v>56530.476117754166</v>
      </c>
      <c r="V100" s="541">
        <f t="shared" si="30"/>
        <v>74091.405530191638</v>
      </c>
      <c r="W100" s="541">
        <f t="shared" si="30"/>
        <v>91518.934879038119</v>
      </c>
      <c r="X100" s="541">
        <f t="shared" si="30"/>
        <v>107255.49759656707</v>
      </c>
      <c r="Y100" s="541">
        <f t="shared" si="30"/>
        <v>121061.22875111677</v>
      </c>
      <c r="Z100" s="541">
        <f t="shared" si="30"/>
        <v>133962.70617930786</v>
      </c>
      <c r="AA100" s="541">
        <f t="shared" si="30"/>
        <v>148362.46790677981</v>
      </c>
      <c r="AB100" s="541">
        <f t="shared" si="30"/>
        <v>163506.13990970366</v>
      </c>
      <c r="AC100" s="541">
        <f t="shared" si="30"/>
        <v>178549.55229008626</v>
      </c>
      <c r="AD100" s="541">
        <f t="shared" si="30"/>
        <v>192268.63360155231</v>
      </c>
      <c r="AE100" s="541">
        <f t="shared" si="30"/>
        <v>200952.02892657305</v>
      </c>
      <c r="AF100" s="541">
        <f t="shared" si="30"/>
        <v>207824.75792647921</v>
      </c>
      <c r="AG100" s="541">
        <f t="shared" si="30"/>
        <v>221286.6479110517</v>
      </c>
      <c r="AH100" s="541">
        <f t="shared" si="30"/>
        <v>220608.823757429</v>
      </c>
      <c r="AI100" s="541">
        <f t="shared" si="30"/>
        <v>218979.44471839062</v>
      </c>
      <c r="AJ100" s="541">
        <f t="shared" si="30"/>
        <v>217360.94638439317</v>
      </c>
      <c r="AK100" s="541">
        <f t="shared" si="30"/>
        <v>215730.19804249654</v>
      </c>
      <c r="AL100" s="541">
        <f t="shared" si="30"/>
        <v>213962.26862143833</v>
      </c>
      <c r="AM100" s="541">
        <f t="shared" si="30"/>
        <v>212160.04600216408</v>
      </c>
      <c r="AN100" s="541">
        <f t="shared" si="30"/>
        <v>210365.30914698011</v>
      </c>
      <c r="AO100" s="541">
        <f t="shared" si="30"/>
        <v>208556.00183225214</v>
      </c>
      <c r="AP100" s="541">
        <f t="shared" si="30"/>
        <v>206608.1421623468</v>
      </c>
      <c r="AQ100" s="541">
        <f t="shared" si="30"/>
        <v>204622.0325392868</v>
      </c>
      <c r="AR100" s="541">
        <f t="shared" si="30"/>
        <v>202639.75403211112</v>
      </c>
      <c r="AS100" s="541">
        <f t="shared" si="30"/>
        <v>200640.42828787459</v>
      </c>
      <c r="AT100" s="541">
        <f t="shared" si="30"/>
        <v>198520.66321847215</v>
      </c>
      <c r="AU100" s="541">
        <f t="shared" si="30"/>
        <v>196350.0423303475</v>
      </c>
      <c r="AV100" s="541">
        <f t="shared" si="30"/>
        <v>194168.68761815928</v>
      </c>
      <c r="AW100" s="541">
        <f t="shared" si="30"/>
        <v>191969.90220643775</v>
      </c>
      <c r="AX100" s="541">
        <f t="shared" si="30"/>
        <v>189627.72643192843</v>
      </c>
      <c r="AY100" s="541">
        <f t="shared" si="30"/>
        <v>187238.5892801146</v>
      </c>
      <c r="AZ100" s="541">
        <f t="shared" si="30"/>
        <v>184845.14286697507</v>
      </c>
      <c r="BA100" s="541">
        <f t="shared" si="30"/>
        <v>182431.62986282675</v>
      </c>
      <c r="BB100" s="541">
        <f t="shared" si="30"/>
        <v>179936.99651467081</v>
      </c>
      <c r="BC100" s="541">
        <f t="shared" si="30"/>
        <v>177400.57976910818</v>
      </c>
      <c r="BD100" s="541">
        <f t="shared" si="30"/>
        <v>174865.04661232483</v>
      </c>
      <c r="BE100" s="541">
        <f t="shared" si="30"/>
        <v>172313.4684083091</v>
      </c>
      <c r="BF100" s="541">
        <f t="shared" si="30"/>
        <v>169632.07902517688</v>
      </c>
      <c r="BG100" s="541">
        <f t="shared" si="30"/>
        <v>166902.89896300616</v>
      </c>
      <c r="BH100" s="541">
        <f t="shared" si="30"/>
        <v>164168.91807115515</v>
      </c>
      <c r="BI100" s="541">
        <f t="shared" si="30"/>
        <v>161414.86878840948</v>
      </c>
      <c r="BJ100" s="541">
        <f t="shared" si="30"/>
        <v>158542.07659269078</v>
      </c>
      <c r="BK100" s="541">
        <f t="shared" si="30"/>
        <v>155613.84125510571</v>
      </c>
      <c r="BL100" s="541">
        <f t="shared" si="30"/>
        <v>152663.86316474082</v>
      </c>
      <c r="BM100" s="541">
        <f t="shared" si="30"/>
        <v>149689.78500478482</v>
      </c>
      <c r="BN100" s="541">
        <f t="shared" si="30"/>
        <v>146582.18825556862</v>
      </c>
      <c r="BO100" s="541">
        <f t="shared" si="30"/>
        <v>143414.45037753851</v>
      </c>
      <c r="BP100" s="541">
        <f t="shared" si="30"/>
        <v>140230.13643606377</v>
      </c>
      <c r="BQ100" s="541">
        <f t="shared" si="30"/>
        <v>137017.63189573269</v>
      </c>
      <c r="BR100" s="541">
        <f t="shared" si="30"/>
        <v>133616.70893983805</v>
      </c>
      <c r="BS100" s="541">
        <f t="shared" si="30"/>
        <v>130148.4594856113</v>
      </c>
      <c r="BT100" s="541">
        <f t="shared" si="30"/>
        <v>126656.67559847518</v>
      </c>
      <c r="BU100" s="541">
        <f t="shared" si="30"/>
        <v>123131.75917005076</v>
      </c>
      <c r="BV100" s="541">
        <f t="shared" si="30"/>
        <v>119608.92849224193</v>
      </c>
      <c r="BW100" s="541">
        <f t="shared" si="30"/>
        <v>116425.03572762878</v>
      </c>
      <c r="BX100" s="541">
        <f t="shared" si="30"/>
        <v>113226.81814732924</v>
      </c>
      <c r="BY100" s="541">
        <f t="shared" si="30"/>
        <v>110006.70537313426</v>
      </c>
      <c r="BZ100" s="541">
        <f t="shared" si="30"/>
        <v>106679.6446537234</v>
      </c>
      <c r="CA100" s="541">
        <f t="shared" si="30"/>
        <v>103294.20127478741</v>
      </c>
      <c r="CB100" s="541">
        <f t="shared" si="30"/>
        <v>99911.910581940261</v>
      </c>
      <c r="CC100" s="541">
        <f t="shared" si="30"/>
        <v>96679.218965814158</v>
      </c>
      <c r="CD100" s="541">
        <f t="shared" si="30"/>
        <v>93354.866903009097</v>
      </c>
      <c r="CE100" s="541">
        <f t="shared" si="30"/>
        <v>89964.772122112496</v>
      </c>
      <c r="CF100" s="541">
        <f t="shared" si="30"/>
        <v>86553.919799695548</v>
      </c>
      <c r="CG100" s="541">
        <f t="shared" si="30"/>
        <v>83121.179559975688</v>
      </c>
      <c r="CH100" s="541">
        <f t="shared" si="30"/>
        <v>79593.959452813389</v>
      </c>
      <c r="CI100" s="541">
        <f t="shared" si="30"/>
        <v>75995.047897345838</v>
      </c>
      <c r="CJ100" s="541">
        <f t="shared" si="30"/>
        <v>72369.711752529605</v>
      </c>
      <c r="CK100" s="541">
        <f t="shared" si="30"/>
        <v>68718.73893250621</v>
      </c>
      <c r="CL100" s="541">
        <f t="shared" si="30"/>
        <v>64684.850956016817</v>
      </c>
      <c r="CM100" s="541">
        <f t="shared" si="30"/>
        <v>60569.829778725034</v>
      </c>
      <c r="CN100" s="541">
        <f t="shared" si="30"/>
        <v>56419.081896961972</v>
      </c>
      <c r="CO100" s="541">
        <f t="shared" si="30"/>
        <v>52235.409698162868</v>
      </c>
      <c r="CP100" s="541">
        <f t="shared" si="30"/>
        <v>48233.700504559805</v>
      </c>
      <c r="CQ100" s="541">
        <f t="shared" si="30"/>
        <v>44165.862871224701</v>
      </c>
      <c r="CR100" s="541">
        <f t="shared" si="30"/>
        <v>40047.476011156585</v>
      </c>
      <c r="CS100" s="541">
        <f t="shared" si="30"/>
        <v>35895.790506489262</v>
      </c>
      <c r="CT100" s="541">
        <f t="shared" si="30"/>
        <v>31647.260735279633</v>
      </c>
      <c r="CU100" s="541">
        <f t="shared" si="30"/>
        <v>27308.313550612747</v>
      </c>
      <c r="CV100" s="541">
        <f t="shared" si="30"/>
        <v>22924.904066388648</v>
      </c>
      <c r="CW100" s="541">
        <f t="shared" si="30"/>
        <v>18504.379611735581</v>
      </c>
      <c r="CX100" s="541">
        <f t="shared" si="30"/>
        <v>13986.578233532302</v>
      </c>
      <c r="CY100" s="541">
        <f t="shared" si="30"/>
        <v>9371.8894561927991</v>
      </c>
      <c r="CZ100" s="541">
        <f t="shared" si="30"/>
        <v>4706.4513561860967</v>
      </c>
      <c r="DA100" s="541">
        <f t="shared" si="30"/>
        <v>0</v>
      </c>
      <c r="DB100" s="541">
        <f t="shared" si="30"/>
        <v>0</v>
      </c>
      <c r="DC100" s="541">
        <f t="shared" si="30"/>
        <v>0</v>
      </c>
      <c r="DD100" s="541">
        <f t="shared" si="30"/>
        <v>0</v>
      </c>
      <c r="DE100" s="541">
        <f t="shared" si="30"/>
        <v>0</v>
      </c>
      <c r="DF100" s="541">
        <f t="shared" si="30"/>
        <v>0</v>
      </c>
      <c r="DG100" s="541">
        <f t="shared" si="30"/>
        <v>0</v>
      </c>
      <c r="DH100" s="541">
        <f t="shared" si="30"/>
        <v>0</v>
      </c>
      <c r="DI100" s="541">
        <f t="shared" si="30"/>
        <v>0</v>
      </c>
      <c r="DJ100" s="541">
        <f t="shared" si="30"/>
        <v>0</v>
      </c>
      <c r="DK100" s="541">
        <f t="shared" si="30"/>
        <v>0</v>
      </c>
      <c r="DL100" s="541">
        <f t="shared" si="30"/>
        <v>0</v>
      </c>
      <c r="DM100" s="541">
        <f t="shared" si="30"/>
        <v>0</v>
      </c>
      <c r="DN100" s="541">
        <f t="shared" si="30"/>
        <v>0</v>
      </c>
      <c r="DO100" s="541">
        <f t="shared" si="30"/>
        <v>0</v>
      </c>
      <c r="DP100" s="541">
        <f t="shared" si="30"/>
        <v>0</v>
      </c>
      <c r="DQ100" s="541">
        <f t="shared" si="30"/>
        <v>0</v>
      </c>
      <c r="DR100" s="541">
        <f t="shared" si="30"/>
        <v>0</v>
      </c>
      <c r="DS100" s="541">
        <f t="shared" si="30"/>
        <v>0</v>
      </c>
      <c r="DT100" s="541">
        <f t="shared" si="30"/>
        <v>0</v>
      </c>
      <c r="DU100" s="541">
        <f t="shared" si="30"/>
        <v>0</v>
      </c>
      <c r="DV100" s="541">
        <f t="shared" si="30"/>
        <v>0</v>
      </c>
      <c r="DW100" s="541">
        <f t="shared" si="30"/>
        <v>0</v>
      </c>
      <c r="DX100" s="541">
        <f t="shared" si="30"/>
        <v>0</v>
      </c>
      <c r="DY100" s="541">
        <f t="shared" si="30"/>
        <v>0</v>
      </c>
      <c r="DZ100" s="541">
        <f t="shared" si="30"/>
        <v>0</v>
      </c>
      <c r="EA100" s="541">
        <f t="shared" si="30"/>
        <v>0</v>
      </c>
      <c r="EB100" s="541">
        <f t="shared" si="30"/>
        <v>0</v>
      </c>
      <c r="EC100" s="541">
        <f t="shared" si="30"/>
        <v>0</v>
      </c>
      <c r="ED100" s="541">
        <f t="shared" si="30"/>
        <v>0</v>
      </c>
      <c r="EE100" s="541">
        <f t="shared" si="30"/>
        <v>0</v>
      </c>
      <c r="EF100" s="541">
        <f t="shared" si="30"/>
        <v>0</v>
      </c>
      <c r="EG100" s="541">
        <f t="shared" si="30"/>
        <v>0</v>
      </c>
    </row>
    <row r="102" spans="5:137" ht="12.75">
      <c r="E102" s="538" t="str">
        <f>E$64</f>
        <v>Senior facility - interest</v>
      </c>
      <c r="G102" s="539" t="str">
        <f>G$64</f>
        <v>EUR 000s</v>
      </c>
      <c r="H102" s="539">
        <f>H$64</f>
        <v>129146.28987807478</v>
      </c>
      <c r="J102" s="539">
        <f t="shared" si="31" ref="J102:EG102">J$64</f>
        <v>0</v>
      </c>
      <c r="K102" s="539">
        <f t="shared" si="31"/>
        <v>0</v>
      </c>
      <c r="L102" s="539">
        <f t="shared" si="31"/>
        <v>0</v>
      </c>
      <c r="M102" s="539">
        <f t="shared" si="31"/>
        <v>0</v>
      </c>
      <c r="N102" s="539">
        <f t="shared" si="31"/>
        <v>0</v>
      </c>
      <c r="O102" s="539">
        <f t="shared" si="31"/>
        <v>0</v>
      </c>
      <c r="P102" s="539">
        <f t="shared" si="31"/>
        <v>0</v>
      </c>
      <c r="Q102" s="539">
        <f t="shared" si="31"/>
        <v>0</v>
      </c>
      <c r="R102" s="539">
        <f t="shared" si="31"/>
        <v>0</v>
      </c>
      <c r="S102" s="539">
        <f t="shared" si="31"/>
        <v>0</v>
      </c>
      <c r="T102" s="539">
        <f t="shared" si="31"/>
        <v>0</v>
      </c>
      <c r="U102" s="539">
        <f t="shared" si="31"/>
        <v>0</v>
      </c>
      <c r="V102" s="539">
        <f t="shared" si="31"/>
        <v>0</v>
      </c>
      <c r="W102" s="539">
        <f t="shared" si="31"/>
        <v>0</v>
      </c>
      <c r="X102" s="539">
        <f t="shared" si="31"/>
        <v>0</v>
      </c>
      <c r="Y102" s="539">
        <f t="shared" si="31"/>
        <v>0</v>
      </c>
      <c r="Z102" s="539">
        <f t="shared" si="31"/>
        <v>0</v>
      </c>
      <c r="AA102" s="539">
        <f t="shared" si="31"/>
        <v>0</v>
      </c>
      <c r="AB102" s="539">
        <f t="shared" si="31"/>
        <v>0</v>
      </c>
      <c r="AC102" s="539">
        <f t="shared" si="31"/>
        <v>0</v>
      </c>
      <c r="AD102" s="539">
        <f t="shared" si="31"/>
        <v>0</v>
      </c>
      <c r="AE102" s="539">
        <f t="shared" si="31"/>
        <v>0</v>
      </c>
      <c r="AF102" s="539">
        <f t="shared" si="31"/>
        <v>0</v>
      </c>
      <c r="AG102" s="539">
        <f t="shared" si="31"/>
        <v>0</v>
      </c>
      <c r="AH102" s="539">
        <f t="shared" si="31"/>
        <v>3001.0107045471395</v>
      </c>
      <c r="AI102" s="539">
        <f t="shared" si="31"/>
        <v>3025.0607202902252</v>
      </c>
      <c r="AJ102" s="539">
        <f t="shared" si="31"/>
        <v>3035.7150418494703</v>
      </c>
      <c r="AK102" s="539">
        <f t="shared" si="31"/>
        <v>3013.2777772740533</v>
      </c>
      <c r="AL102" s="539">
        <f t="shared" si="31"/>
        <v>2925.6561104393368</v>
      </c>
      <c r="AM102" s="539">
        <f t="shared" si="31"/>
        <v>2933.9209710967089</v>
      </c>
      <c r="AN102" s="539">
        <f t="shared" si="31"/>
        <v>2941.1776240300005</v>
      </c>
      <c r="AO102" s="539">
        <f t="shared" si="31"/>
        <v>2916.2971624211491</v>
      </c>
      <c r="AP102" s="539">
        <f t="shared" si="31"/>
        <v>2828.362216629173</v>
      </c>
      <c r="AQ102" s="539">
        <f t="shared" si="31"/>
        <v>2833.0787712946462</v>
      </c>
      <c r="AR102" s="539">
        <f t="shared" si="31"/>
        <v>2836.6780401336746</v>
      </c>
      <c r="AS102" s="539">
        <f t="shared" si="31"/>
        <v>2809.1976860341979</v>
      </c>
      <c r="AT102" s="539">
        <f t="shared" si="31"/>
        <v>2751.2475166597596</v>
      </c>
      <c r="AU102" s="539">
        <f t="shared" si="31"/>
        <v>2722.1806011190497</v>
      </c>
      <c r="AV102" s="539">
        <f t="shared" si="31"/>
        <v>2722.0033265522147</v>
      </c>
      <c r="AW102" s="539">
        <f t="shared" si="31"/>
        <v>2691.763176295578</v>
      </c>
      <c r="AX102" s="539">
        <f t="shared" si="31"/>
        <v>2603.4274408818269</v>
      </c>
      <c r="AY102" s="539">
        <f t="shared" si="31"/>
        <v>2600.2377281967169</v>
      </c>
      <c r="AZ102" s="539">
        <f t="shared" si="31"/>
        <v>2595.6911281024104</v>
      </c>
      <c r="BA102" s="539">
        <f t="shared" si="31"/>
        <v>2562.5107476901208</v>
      </c>
      <c r="BB102" s="539">
        <f t="shared" si="31"/>
        <v>2474.0727885506644</v>
      </c>
      <c r="BC102" s="539">
        <f t="shared" si="31"/>
        <v>2467.3552535778831</v>
      </c>
      <c r="BD102" s="539">
        <f t="shared" si="31"/>
        <v>2459.3066674840757</v>
      </c>
      <c r="BE102" s="539">
        <f t="shared" si="31"/>
        <v>2424.1565365982565</v>
      </c>
      <c r="BF102" s="539">
        <f t="shared" si="31"/>
        <v>2336.8538866332328</v>
      </c>
      <c r="BG102" s="539">
        <f t="shared" si="31"/>
        <v>2326.0508370438638</v>
      </c>
      <c r="BH102" s="539">
        <f t="shared" si="31"/>
        <v>2313.7771746652356</v>
      </c>
      <c r="BI102" s="539">
        <f t="shared" si="31"/>
        <v>2275.8759601097127</v>
      </c>
      <c r="BJ102" s="539">
        <f t="shared" si="31"/>
        <v>2213.3737487287381</v>
      </c>
      <c r="BK102" s="539">
        <f t="shared" si="31"/>
        <v>2173.9810776614172</v>
      </c>
      <c r="BL102" s="539">
        <f t="shared" si="31"/>
        <v>2157.2768130159861</v>
      </c>
      <c r="BM102" s="539">
        <f t="shared" si="31"/>
        <v>2116.3812263385985</v>
      </c>
      <c r="BN102" s="539">
        <f t="shared" si="31"/>
        <v>2030.0395500648901</v>
      </c>
      <c r="BO102" s="539">
        <f t="shared" si="31"/>
        <v>2009.983156764715</v>
      </c>
      <c r="BP102" s="539">
        <f t="shared" si="31"/>
        <v>1988.1564901653285</v>
      </c>
      <c r="BQ102" s="539">
        <f t="shared" si="31"/>
        <v>1944.012302373925</v>
      </c>
      <c r="BR102" s="539">
        <f t="shared" si="31"/>
        <v>1858.1843229695255</v>
      </c>
      <c r="BS102" s="539">
        <f t="shared" si="31"/>
        <v>1832.1962417640807</v>
      </c>
      <c r="BT102" s="539">
        <f t="shared" si="31"/>
        <v>1804.2498767046388</v>
      </c>
      <c r="BU102" s="539">
        <f t="shared" si="31"/>
        <v>1755.8432288446147</v>
      </c>
      <c r="BV102" s="539">
        <f t="shared" si="31"/>
        <v>1669.8690627171268</v>
      </c>
      <c r="BW102" s="539">
        <f t="shared" si="31"/>
        <v>1640.1169509689614</v>
      </c>
      <c r="BX102" s="539">
        <f t="shared" si="31"/>
        <v>1614.0018651556209</v>
      </c>
      <c r="BY102" s="539">
        <f t="shared" si="31"/>
        <v>1569.6649310287287</v>
      </c>
      <c r="BZ102" s="539">
        <f t="shared" si="31"/>
        <v>1508.4481106644848</v>
      </c>
      <c r="CA102" s="539">
        <f t="shared" si="31"/>
        <v>1462.8263602517413</v>
      </c>
      <c r="CB102" s="539">
        <f t="shared" si="31"/>
        <v>1431.9689272614364</v>
      </c>
      <c r="CC102" s="539">
        <f t="shared" si="31"/>
        <v>1385.0801850537471</v>
      </c>
      <c r="CD102" s="539">
        <f t="shared" si="31"/>
        <v>1311.1291339199454</v>
      </c>
      <c r="CE102" s="539">
        <f t="shared" si="31"/>
        <v>1280.1126269850974</v>
      </c>
      <c r="CF102" s="539">
        <f t="shared" si="31"/>
        <v>1247.1828683229842</v>
      </c>
      <c r="CG102" s="539">
        <f t="shared" si="31"/>
        <v>1199.8981758533134</v>
      </c>
      <c r="CH102" s="539">
        <f t="shared" si="31"/>
        <v>1127.2598323887116</v>
      </c>
      <c r="CI102" s="539">
        <f t="shared" si="31"/>
        <v>1091.4185398940576</v>
      </c>
      <c r="CJ102" s="539">
        <f t="shared" si="31"/>
        <v>1053.5203900289587</v>
      </c>
      <c r="CK102" s="539">
        <f t="shared" si="31"/>
        <v>1003.2623053912324</v>
      </c>
      <c r="CL102" s="539">
        <f t="shared" si="31"/>
        <v>931.93906223535828</v>
      </c>
      <c r="CM102" s="539">
        <f t="shared" si="31"/>
        <v>886.97994256127174</v>
      </c>
      <c r="CN102" s="539">
        <f t="shared" si="31"/>
        <v>839.68037994616066</v>
      </c>
      <c r="CO102" s="539">
        <f t="shared" si="31"/>
        <v>782.13850520171934</v>
      </c>
      <c r="CP102" s="539">
        <f t="shared" si="31"/>
        <v>716.2691110665894</v>
      </c>
      <c r="CQ102" s="539">
        <f t="shared" si="31"/>
        <v>661.39635897348455</v>
      </c>
      <c r="CR102" s="539">
        <f t="shared" si="31"/>
        <v>612.27196199560819</v>
      </c>
      <c r="CS102" s="539">
        <f t="shared" si="31"/>
        <v>555.17870853822558</v>
      </c>
      <c r="CT102" s="539">
        <f t="shared" si="31"/>
        <v>486.80592604690918</v>
      </c>
      <c r="CU102" s="539">
        <f t="shared" si="31"/>
        <v>433.95764378102621</v>
      </c>
      <c r="CV102" s="539">
        <f t="shared" si="31"/>
        <v>378.57552483863145</v>
      </c>
      <c r="CW102" s="539">
        <f t="shared" si="31"/>
        <v>317.80825911212753</v>
      </c>
      <c r="CX102" s="539">
        <f t="shared" si="31"/>
        <v>250.94980569340035</v>
      </c>
      <c r="CY102" s="539">
        <f t="shared" si="31"/>
        <v>191.78855906528543</v>
      </c>
      <c r="CZ102" s="539">
        <f t="shared" si="31"/>
        <v>129.9226319132481</v>
      </c>
      <c r="DA102" s="539">
        <f t="shared" si="31"/>
        <v>65.245599622744237</v>
      </c>
      <c r="DB102" s="539">
        <f t="shared" si="31"/>
        <v>0</v>
      </c>
      <c r="DC102" s="539">
        <f t="shared" si="31"/>
        <v>0</v>
      </c>
      <c r="DD102" s="539">
        <f t="shared" si="31"/>
        <v>0</v>
      </c>
      <c r="DE102" s="539">
        <f t="shared" si="31"/>
        <v>0</v>
      </c>
      <c r="DF102" s="539">
        <f t="shared" si="31"/>
        <v>0</v>
      </c>
      <c r="DG102" s="539">
        <f t="shared" si="31"/>
        <v>0</v>
      </c>
      <c r="DH102" s="539">
        <f t="shared" si="31"/>
        <v>0</v>
      </c>
      <c r="DI102" s="539">
        <f t="shared" si="31"/>
        <v>0</v>
      </c>
      <c r="DJ102" s="539">
        <f t="shared" si="31"/>
        <v>0</v>
      </c>
      <c r="DK102" s="539">
        <f t="shared" si="31"/>
        <v>0</v>
      </c>
      <c r="DL102" s="539">
        <f t="shared" si="31"/>
        <v>0</v>
      </c>
      <c r="DM102" s="539">
        <f t="shared" si="31"/>
        <v>0</v>
      </c>
      <c r="DN102" s="539">
        <f t="shared" si="31"/>
        <v>0</v>
      </c>
      <c r="DO102" s="539">
        <f t="shared" si="31"/>
        <v>0</v>
      </c>
      <c r="DP102" s="539">
        <f t="shared" si="31"/>
        <v>0</v>
      </c>
      <c r="DQ102" s="539">
        <f t="shared" si="31"/>
        <v>0</v>
      </c>
      <c r="DR102" s="539">
        <f t="shared" si="31"/>
        <v>0</v>
      </c>
      <c r="DS102" s="539">
        <f t="shared" si="31"/>
        <v>0</v>
      </c>
      <c r="DT102" s="539">
        <f t="shared" si="31"/>
        <v>0</v>
      </c>
      <c r="DU102" s="539">
        <f t="shared" si="31"/>
        <v>0</v>
      </c>
      <c r="DV102" s="539">
        <f t="shared" si="31"/>
        <v>0</v>
      </c>
      <c r="DW102" s="539">
        <f t="shared" si="31"/>
        <v>0</v>
      </c>
      <c r="DX102" s="539">
        <f t="shared" si="31"/>
        <v>0</v>
      </c>
      <c r="DY102" s="539">
        <f t="shared" si="31"/>
        <v>0</v>
      </c>
      <c r="DZ102" s="539">
        <f t="shared" si="31"/>
        <v>0</v>
      </c>
      <c r="EA102" s="539">
        <f t="shared" si="31"/>
        <v>0</v>
      </c>
      <c r="EB102" s="539">
        <f t="shared" si="31"/>
        <v>0</v>
      </c>
      <c r="EC102" s="539">
        <f t="shared" si="31"/>
        <v>0</v>
      </c>
      <c r="ED102" s="539">
        <f t="shared" si="31"/>
        <v>0</v>
      </c>
      <c r="EE102" s="539">
        <f t="shared" si="31"/>
        <v>0</v>
      </c>
      <c r="EF102" s="539">
        <f t="shared" si="31"/>
        <v>0</v>
      </c>
      <c r="EG102" s="539">
        <f t="shared" si="31"/>
        <v>0</v>
      </c>
    </row>
    <row r="103" spans="5:137" ht="12.75">
      <c r="E103" s="538" t="str">
        <f>E$93</f>
        <v>Senior facility - scheduled principal</v>
      </c>
      <c r="G103" s="539" t="str">
        <f>G$93</f>
        <v>EUR 000s</v>
      </c>
      <c r="H103" s="539">
        <f>H$93</f>
        <v>221286.64791105178</v>
      </c>
      <c r="J103" s="539">
        <f t="shared" si="32" ref="J103:EG103">J$93</f>
        <v>0</v>
      </c>
      <c r="K103" s="539">
        <f t="shared" si="32"/>
        <v>0</v>
      </c>
      <c r="L103" s="539">
        <f t="shared" si="32"/>
        <v>0</v>
      </c>
      <c r="M103" s="539">
        <f t="shared" si="32"/>
        <v>0</v>
      </c>
      <c r="N103" s="539">
        <f t="shared" si="32"/>
        <v>0</v>
      </c>
      <c r="O103" s="539">
        <f t="shared" si="32"/>
        <v>0</v>
      </c>
      <c r="P103" s="539">
        <f t="shared" si="32"/>
        <v>-1.8189894035458565E-12</v>
      </c>
      <c r="Q103" s="539">
        <f t="shared" si="32"/>
        <v>0</v>
      </c>
      <c r="R103" s="539">
        <f t="shared" si="32"/>
        <v>0</v>
      </c>
      <c r="S103" s="539">
        <f t="shared" si="32"/>
        <v>0</v>
      </c>
      <c r="T103" s="539">
        <f t="shared" si="32"/>
        <v>0</v>
      </c>
      <c r="U103" s="539">
        <f t="shared" si="32"/>
        <v>0</v>
      </c>
      <c r="V103" s="539">
        <f t="shared" si="32"/>
        <v>0</v>
      </c>
      <c r="W103" s="539">
        <f t="shared" si="32"/>
        <v>0</v>
      </c>
      <c r="X103" s="539">
        <f t="shared" si="32"/>
        <v>0</v>
      </c>
      <c r="Y103" s="539">
        <f t="shared" si="32"/>
        <v>0</v>
      </c>
      <c r="Z103" s="539">
        <f t="shared" si="32"/>
        <v>0</v>
      </c>
      <c r="AA103" s="539">
        <f t="shared" si="32"/>
        <v>0</v>
      </c>
      <c r="AB103" s="539">
        <f t="shared" si="32"/>
        <v>0</v>
      </c>
      <c r="AC103" s="539">
        <f t="shared" si="32"/>
        <v>0</v>
      </c>
      <c r="AD103" s="539">
        <f t="shared" si="32"/>
        <v>0</v>
      </c>
      <c r="AE103" s="539">
        <f t="shared" si="32"/>
        <v>0</v>
      </c>
      <c r="AF103" s="539">
        <f t="shared" si="32"/>
        <v>0</v>
      </c>
      <c r="AG103" s="539">
        <f t="shared" si="32"/>
        <v>0</v>
      </c>
      <c r="AH103" s="539">
        <f t="shared" si="32"/>
        <v>677.82415362271058</v>
      </c>
      <c r="AI103" s="539">
        <f t="shared" si="32"/>
        <v>1629.3790390383851</v>
      </c>
      <c r="AJ103" s="539">
        <f t="shared" si="32"/>
        <v>1618.4983339974451</v>
      </c>
      <c r="AK103" s="539">
        <f t="shared" si="32"/>
        <v>1630.7483418966362</v>
      </c>
      <c r="AL103" s="539">
        <f t="shared" si="32"/>
        <v>1767.9294210582093</v>
      </c>
      <c r="AM103" s="539">
        <f t="shared" si="32"/>
        <v>1802.2226192742546</v>
      </c>
      <c r="AN103" s="539">
        <f t="shared" si="32"/>
        <v>1794.7368551839654</v>
      </c>
      <c r="AO103" s="539">
        <f t="shared" si="32"/>
        <v>1809.3073147279661</v>
      </c>
      <c r="AP103" s="539">
        <f t="shared" si="32"/>
        <v>1947.8596699053346</v>
      </c>
      <c r="AQ103" s="539">
        <f t="shared" si="32"/>
        <v>1986.1096230599974</v>
      </c>
      <c r="AR103" s="539">
        <f t="shared" si="32"/>
        <v>1982.2785071756671</v>
      </c>
      <c r="AS103" s="539">
        <f t="shared" si="32"/>
        <v>1999.3257442365161</v>
      </c>
      <c r="AT103" s="539">
        <f t="shared" si="32"/>
        <v>2119.7650694024387</v>
      </c>
      <c r="AU103" s="539">
        <f t="shared" si="32"/>
        <v>2170.6208881246671</v>
      </c>
      <c r="AV103" s="539">
        <f t="shared" si="32"/>
        <v>2181.3547121882043</v>
      </c>
      <c r="AW103" s="539">
        <f t="shared" si="32"/>
        <v>2198.7854117215456</v>
      </c>
      <c r="AX103" s="539">
        <f t="shared" si="32"/>
        <v>2342.1757745093132</v>
      </c>
      <c r="AY103" s="539">
        <f t="shared" si="32"/>
        <v>2389.1371518138408</v>
      </c>
      <c r="AZ103" s="539">
        <f t="shared" si="32"/>
        <v>2393.4464131395234</v>
      </c>
      <c r="BA103" s="539">
        <f t="shared" si="32"/>
        <v>2413.5130041483303</v>
      </c>
      <c r="BB103" s="539">
        <f t="shared" si="32"/>
        <v>2494.6333481559554</v>
      </c>
      <c r="BC103" s="539">
        <f t="shared" si="32"/>
        <v>2536.416745562628</v>
      </c>
      <c r="BD103" s="539">
        <f t="shared" si="32"/>
        <v>2535.5331567833546</v>
      </c>
      <c r="BE103" s="539">
        <f t="shared" si="32"/>
        <v>2551.5782040157314</v>
      </c>
      <c r="BF103" s="539">
        <f t="shared" si="32"/>
        <v>2681.3893831322102</v>
      </c>
      <c r="BG103" s="539">
        <f t="shared" si="32"/>
        <v>2729.1800621707371</v>
      </c>
      <c r="BH103" s="539">
        <f t="shared" si="32"/>
        <v>2733.9808918509984</v>
      </c>
      <c r="BI103" s="539">
        <f t="shared" si="32"/>
        <v>2754.0492827456601</v>
      </c>
      <c r="BJ103" s="539">
        <f t="shared" si="32"/>
        <v>2872.7921957187036</v>
      </c>
      <c r="BK103" s="539">
        <f t="shared" si="32"/>
        <v>2928.2353375850521</v>
      </c>
      <c r="BL103" s="539">
        <f t="shared" si="32"/>
        <v>2949.9780903649021</v>
      </c>
      <c r="BM103" s="539">
        <f t="shared" si="32"/>
        <v>2974.0781599560037</v>
      </c>
      <c r="BN103" s="539">
        <f t="shared" si="32"/>
        <v>3107.5967492162099</v>
      </c>
      <c r="BO103" s="539">
        <f t="shared" si="32"/>
        <v>3167.7378780301078</v>
      </c>
      <c r="BP103" s="539">
        <f t="shared" si="32"/>
        <v>3184.3139414747466</v>
      </c>
      <c r="BQ103" s="539">
        <f t="shared" si="32"/>
        <v>3212.504540331086</v>
      </c>
      <c r="BR103" s="539">
        <f t="shared" si="32"/>
        <v>3400.9229558946477</v>
      </c>
      <c r="BS103" s="539">
        <f t="shared" si="32"/>
        <v>3468.2494542267559</v>
      </c>
      <c r="BT103" s="539">
        <f t="shared" si="32"/>
        <v>3491.7838871361182</v>
      </c>
      <c r="BU103" s="539">
        <f t="shared" si="32"/>
        <v>3524.9164284244171</v>
      </c>
      <c r="BV103" s="539">
        <f t="shared" si="32"/>
        <v>3522.8306778088331</v>
      </c>
      <c r="BW103" s="539">
        <f t="shared" si="32"/>
        <v>3183.8927646131478</v>
      </c>
      <c r="BX103" s="539">
        <f t="shared" si="32"/>
        <v>3198.2175802995462</v>
      </c>
      <c r="BY103" s="539">
        <f t="shared" si="32"/>
        <v>3220.1127741949776</v>
      </c>
      <c r="BZ103" s="539">
        <f t="shared" si="32"/>
        <v>3327.0607194108602</v>
      </c>
      <c r="CA103" s="539">
        <f t="shared" si="32"/>
        <v>3385.4433789359969</v>
      </c>
      <c r="CB103" s="539">
        <f t="shared" si="32"/>
        <v>3382.2906928471562</v>
      </c>
      <c r="CC103" s="539">
        <f t="shared" si="32"/>
        <v>3232.6916161260979</v>
      </c>
      <c r="CD103" s="539">
        <f t="shared" si="32"/>
        <v>3324.3520628050601</v>
      </c>
      <c r="CE103" s="539">
        <f t="shared" si="32"/>
        <v>3390.0947808966057</v>
      </c>
      <c r="CF103" s="539">
        <f t="shared" si="32"/>
        <v>3410.8523224169539</v>
      </c>
      <c r="CG103" s="539">
        <f t="shared" si="32"/>
        <v>3432.7402397198557</v>
      </c>
      <c r="CH103" s="539">
        <f t="shared" si="32"/>
        <v>3527.2201071622985</v>
      </c>
      <c r="CI103" s="539">
        <f t="shared" si="32"/>
        <v>3598.911555467545</v>
      </c>
      <c r="CJ103" s="539">
        <f t="shared" si="32"/>
        <v>3625.3361448162268</v>
      </c>
      <c r="CK103" s="539">
        <f t="shared" si="32"/>
        <v>3650.972820023389</v>
      </c>
      <c r="CL103" s="539">
        <f t="shared" si="32"/>
        <v>4033.8879764893964</v>
      </c>
      <c r="CM103" s="539">
        <f t="shared" si="32"/>
        <v>4115.0211772917837</v>
      </c>
      <c r="CN103" s="539">
        <f t="shared" si="32"/>
        <v>4150.7478817630608</v>
      </c>
      <c r="CO103" s="539">
        <f t="shared" si="32"/>
        <v>4183.6721987991059</v>
      </c>
      <c r="CP103" s="539">
        <f t="shared" si="32"/>
        <v>4001.7091936030665</v>
      </c>
      <c r="CQ103" s="539">
        <f t="shared" si="32"/>
        <v>4067.8376333351075</v>
      </c>
      <c r="CR103" s="539">
        <f t="shared" si="32"/>
        <v>4118.3868600681171</v>
      </c>
      <c r="CS103" s="539">
        <f t="shared" si="32"/>
        <v>4151.6855046673199</v>
      </c>
      <c r="CT103" s="539">
        <f t="shared" si="32"/>
        <v>4248.5297712096281</v>
      </c>
      <c r="CU103" s="539">
        <f t="shared" si="32"/>
        <v>4338.9471846668848</v>
      </c>
      <c r="CV103" s="539">
        <f t="shared" si="32"/>
        <v>4383.4094842240993</v>
      </c>
      <c r="CW103" s="539">
        <f t="shared" si="32"/>
        <v>4420.5244546530666</v>
      </c>
      <c r="CX103" s="539">
        <f t="shared" si="32"/>
        <v>4517.8013782032795</v>
      </c>
      <c r="CY103" s="539">
        <f t="shared" si="32"/>
        <v>4614.6887773395028</v>
      </c>
      <c r="CZ103" s="539">
        <f t="shared" si="32"/>
        <v>4665.4381000067024</v>
      </c>
      <c r="DA103" s="539">
        <f t="shared" si="32"/>
        <v>4706.4513561860967</v>
      </c>
      <c r="DB103" s="539">
        <f t="shared" si="32"/>
        <v>0</v>
      </c>
      <c r="DC103" s="539">
        <f t="shared" si="32"/>
        <v>0</v>
      </c>
      <c r="DD103" s="539">
        <f t="shared" si="32"/>
        <v>0</v>
      </c>
      <c r="DE103" s="539">
        <f t="shared" si="32"/>
        <v>0</v>
      </c>
      <c r="DF103" s="539">
        <f t="shared" si="32"/>
        <v>0</v>
      </c>
      <c r="DG103" s="539">
        <f t="shared" si="32"/>
        <v>0</v>
      </c>
      <c r="DH103" s="539">
        <f t="shared" si="32"/>
        <v>0</v>
      </c>
      <c r="DI103" s="539">
        <f t="shared" si="32"/>
        <v>0</v>
      </c>
      <c r="DJ103" s="539">
        <f t="shared" si="32"/>
        <v>0</v>
      </c>
      <c r="DK103" s="539">
        <f t="shared" si="32"/>
        <v>0</v>
      </c>
      <c r="DL103" s="539">
        <f t="shared" si="32"/>
        <v>0</v>
      </c>
      <c r="DM103" s="539">
        <f t="shared" si="32"/>
        <v>0</v>
      </c>
      <c r="DN103" s="539">
        <f t="shared" si="32"/>
        <v>0</v>
      </c>
      <c r="DO103" s="539">
        <f t="shared" si="32"/>
        <v>0</v>
      </c>
      <c r="DP103" s="539">
        <f t="shared" si="32"/>
        <v>0</v>
      </c>
      <c r="DQ103" s="539">
        <f t="shared" si="32"/>
        <v>0</v>
      </c>
      <c r="DR103" s="539">
        <f t="shared" si="32"/>
        <v>0</v>
      </c>
      <c r="DS103" s="539">
        <f t="shared" si="32"/>
        <v>0</v>
      </c>
      <c r="DT103" s="539">
        <f t="shared" si="32"/>
        <v>0</v>
      </c>
      <c r="DU103" s="539">
        <f t="shared" si="32"/>
        <v>0</v>
      </c>
      <c r="DV103" s="539">
        <f t="shared" si="32"/>
        <v>0</v>
      </c>
      <c r="DW103" s="539">
        <f t="shared" si="32"/>
        <v>0</v>
      </c>
      <c r="DX103" s="539">
        <f t="shared" si="32"/>
        <v>0</v>
      </c>
      <c r="DY103" s="539">
        <f t="shared" si="32"/>
        <v>0</v>
      </c>
      <c r="DZ103" s="539">
        <f t="shared" si="32"/>
        <v>0</v>
      </c>
      <c r="EA103" s="539">
        <f t="shared" si="32"/>
        <v>0</v>
      </c>
      <c r="EB103" s="539">
        <f t="shared" si="32"/>
        <v>0</v>
      </c>
      <c r="EC103" s="539">
        <f t="shared" si="32"/>
        <v>0</v>
      </c>
      <c r="ED103" s="539">
        <f t="shared" si="32"/>
        <v>0</v>
      </c>
      <c r="EE103" s="539">
        <f t="shared" si="32"/>
        <v>0</v>
      </c>
      <c r="EF103" s="539">
        <f t="shared" si="32"/>
        <v>0</v>
      </c>
      <c r="EG103" s="539">
        <f t="shared" si="32"/>
        <v>0</v>
      </c>
    </row>
    <row r="104" spans="5:137" ht="12.75">
      <c r="E104" s="540" t="s">
        <v>325</v>
      </c>
      <c r="G104" s="541" t="s">
        <v>30</v>
      </c>
      <c r="H104" s="541">
        <f>SUM(J104:EG104)</f>
        <v>350432.93778912647</v>
      </c>
      <c r="J104" s="541">
        <f t="shared" si="33" ref="J104:EG104">J102+J103</f>
        <v>0</v>
      </c>
      <c r="K104" s="541">
        <f t="shared" si="33"/>
        <v>0</v>
      </c>
      <c r="L104" s="541">
        <f t="shared" si="33"/>
        <v>0</v>
      </c>
      <c r="M104" s="541">
        <f t="shared" si="33"/>
        <v>0</v>
      </c>
      <c r="N104" s="541">
        <f t="shared" si="33"/>
        <v>0</v>
      </c>
      <c r="O104" s="541">
        <f t="shared" si="33"/>
        <v>0</v>
      </c>
      <c r="P104" s="541">
        <f t="shared" si="33"/>
        <v>-1.8189894035458565E-12</v>
      </c>
      <c r="Q104" s="541">
        <f t="shared" si="33"/>
        <v>0</v>
      </c>
      <c r="R104" s="541">
        <f t="shared" si="33"/>
        <v>0</v>
      </c>
      <c r="S104" s="541">
        <f t="shared" si="33"/>
        <v>0</v>
      </c>
      <c r="T104" s="541">
        <f t="shared" si="33"/>
        <v>0</v>
      </c>
      <c r="U104" s="541">
        <f t="shared" si="33"/>
        <v>0</v>
      </c>
      <c r="V104" s="541">
        <f t="shared" si="33"/>
        <v>0</v>
      </c>
      <c r="W104" s="541">
        <f t="shared" si="33"/>
        <v>0</v>
      </c>
      <c r="X104" s="541">
        <f t="shared" si="33"/>
        <v>0</v>
      </c>
      <c r="Y104" s="541">
        <f t="shared" si="33"/>
        <v>0</v>
      </c>
      <c r="Z104" s="541">
        <f t="shared" si="33"/>
        <v>0</v>
      </c>
      <c r="AA104" s="541">
        <f t="shared" si="33"/>
        <v>0</v>
      </c>
      <c r="AB104" s="541">
        <f t="shared" si="33"/>
        <v>0</v>
      </c>
      <c r="AC104" s="541">
        <f t="shared" si="33"/>
        <v>0</v>
      </c>
      <c r="AD104" s="541">
        <f t="shared" si="33"/>
        <v>0</v>
      </c>
      <c r="AE104" s="541">
        <f t="shared" si="33"/>
        <v>0</v>
      </c>
      <c r="AF104" s="541">
        <f t="shared" si="33"/>
        <v>0</v>
      </c>
      <c r="AG104" s="541">
        <f t="shared" si="33"/>
        <v>0</v>
      </c>
      <c r="AH104" s="541">
        <f t="shared" si="33"/>
        <v>3678.8348581698501</v>
      </c>
      <c r="AI104" s="541">
        <f t="shared" si="33"/>
        <v>4654.4397593286103</v>
      </c>
      <c r="AJ104" s="541">
        <f t="shared" si="33"/>
        <v>4654.2133758469154</v>
      </c>
      <c r="AK104" s="541">
        <f t="shared" si="33"/>
        <v>4644.0261191706895</v>
      </c>
      <c r="AL104" s="541">
        <f t="shared" si="33"/>
        <v>4693.5855314975461</v>
      </c>
      <c r="AM104" s="541">
        <f t="shared" si="33"/>
        <v>4736.1435903709635</v>
      </c>
      <c r="AN104" s="541">
        <f t="shared" si="33"/>
        <v>4735.9144792139659</v>
      </c>
      <c r="AO104" s="541">
        <f t="shared" si="33"/>
        <v>4725.6044771491152</v>
      </c>
      <c r="AP104" s="541">
        <f t="shared" si="33"/>
        <v>4776.2218865345076</v>
      </c>
      <c r="AQ104" s="541">
        <f t="shared" si="33"/>
        <v>4819.1883943546436</v>
      </c>
      <c r="AR104" s="541">
        <f t="shared" si="33"/>
        <v>4818.9565473093417</v>
      </c>
      <c r="AS104" s="541">
        <f t="shared" si="33"/>
        <v>4808.523430270714</v>
      </c>
      <c r="AT104" s="541">
        <f t="shared" si="33"/>
        <v>4871.0125860621984</v>
      </c>
      <c r="AU104" s="541">
        <f t="shared" si="33"/>
        <v>4892.8014892437168</v>
      </c>
      <c r="AV104" s="541">
        <f t="shared" si="33"/>
        <v>4903.358038740419</v>
      </c>
      <c r="AW104" s="541">
        <f t="shared" si="33"/>
        <v>4890.5485880171236</v>
      </c>
      <c r="AX104" s="541">
        <f t="shared" si="33"/>
        <v>4945.6032153911401</v>
      </c>
      <c r="AY104" s="541">
        <f t="shared" si="33"/>
        <v>4989.3748800105577</v>
      </c>
      <c r="AZ104" s="541">
        <f t="shared" si="33"/>
        <v>4989.1375412419338</v>
      </c>
      <c r="BA104" s="541">
        <f t="shared" si="33"/>
        <v>4976.0237518384511</v>
      </c>
      <c r="BB104" s="541">
        <f t="shared" si="33"/>
        <v>4968.7061367066199</v>
      </c>
      <c r="BC104" s="541">
        <f t="shared" si="33"/>
        <v>5003.7719991405111</v>
      </c>
      <c r="BD104" s="541">
        <f t="shared" si="33"/>
        <v>4994.8398242674302</v>
      </c>
      <c r="BE104" s="541">
        <f t="shared" si="33"/>
        <v>4975.7347406139879</v>
      </c>
      <c r="BF104" s="541">
        <f t="shared" si="33"/>
        <v>5018.2432697654431</v>
      </c>
      <c r="BG104" s="541">
        <f t="shared" si="33"/>
        <v>5055.2308992146009</v>
      </c>
      <c r="BH104" s="541">
        <f t="shared" si="33"/>
        <v>5047.7580665162341</v>
      </c>
      <c r="BI104" s="541">
        <f t="shared" si="33"/>
        <v>5029.9252428553727</v>
      </c>
      <c r="BJ104" s="541">
        <f t="shared" si="33"/>
        <v>5086.1659444474417</v>
      </c>
      <c r="BK104" s="541">
        <f t="shared" si="33"/>
        <v>5102.2164152464693</v>
      </c>
      <c r="BL104" s="541">
        <f t="shared" si="33"/>
        <v>5107.2549033808882</v>
      </c>
      <c r="BM104" s="541">
        <f t="shared" si="33"/>
        <v>5090.4593862946022</v>
      </c>
      <c r="BN104" s="541">
        <f t="shared" si="33"/>
        <v>5137.6362992811</v>
      </c>
      <c r="BO104" s="541">
        <f t="shared" si="33"/>
        <v>5177.721034794823</v>
      </c>
      <c r="BP104" s="541">
        <f t="shared" si="33"/>
        <v>5172.4704316400748</v>
      </c>
      <c r="BQ104" s="541">
        <f t="shared" si="33"/>
        <v>5156.5168427050112</v>
      </c>
      <c r="BR104" s="541">
        <f t="shared" si="33"/>
        <v>5259.1072788641732</v>
      </c>
      <c r="BS104" s="541">
        <f t="shared" si="33"/>
        <v>5300.4456959908366</v>
      </c>
      <c r="BT104" s="541">
        <f t="shared" si="33"/>
        <v>5296.0337638407573</v>
      </c>
      <c r="BU104" s="541">
        <f t="shared" si="33"/>
        <v>5280.7596572690318</v>
      </c>
      <c r="BV104" s="541">
        <f t="shared" si="33"/>
        <v>5192.6997405259599</v>
      </c>
      <c r="BW104" s="541">
        <f t="shared" si="33"/>
        <v>4824.0097155821095</v>
      </c>
      <c r="BX104" s="541">
        <f t="shared" si="33"/>
        <v>4812.2194454551673</v>
      </c>
      <c r="BY104" s="541">
        <f t="shared" si="33"/>
        <v>4789.7777052237061</v>
      </c>
      <c r="BZ104" s="541">
        <f t="shared" si="33"/>
        <v>4835.508830075345</v>
      </c>
      <c r="CA104" s="541">
        <f t="shared" si="33"/>
        <v>4848.2697391877382</v>
      </c>
      <c r="CB104" s="541">
        <f t="shared" si="33"/>
        <v>4814.2596201085926</v>
      </c>
      <c r="CC104" s="541">
        <f t="shared" si="33"/>
        <v>4617.7718011798452</v>
      </c>
      <c r="CD104" s="541">
        <f t="shared" si="33"/>
        <v>4635.4811967250052</v>
      </c>
      <c r="CE104" s="541">
        <f t="shared" si="33"/>
        <v>4670.2074078817031</v>
      </c>
      <c r="CF104" s="541">
        <f t="shared" si="33"/>
        <v>4658.0351907399381</v>
      </c>
      <c r="CG104" s="541">
        <f t="shared" si="33"/>
        <v>4632.6384155731694</v>
      </c>
      <c r="CH104" s="541">
        <f t="shared" si="33"/>
        <v>4654.4799395510099</v>
      </c>
      <c r="CI104" s="541">
        <f t="shared" si="33"/>
        <v>4690.3300953616026</v>
      </c>
      <c r="CJ104" s="541">
        <f t="shared" si="33"/>
        <v>4678.8565348451857</v>
      </c>
      <c r="CK104" s="541">
        <f t="shared" si="33"/>
        <v>4654.2351254146215</v>
      </c>
      <c r="CL104" s="541">
        <f t="shared" si="33"/>
        <v>4965.8270387247549</v>
      </c>
      <c r="CM104" s="541">
        <f t="shared" si="33"/>
        <v>5002.0011198530556</v>
      </c>
      <c r="CN104" s="541">
        <f t="shared" si="33"/>
        <v>4990.4282617092213</v>
      </c>
      <c r="CO104" s="541">
        <f t="shared" si="33"/>
        <v>4965.8107040008254</v>
      </c>
      <c r="CP104" s="541">
        <f t="shared" si="33"/>
        <v>4717.9783046696557</v>
      </c>
      <c r="CQ104" s="541">
        <f t="shared" si="33"/>
        <v>4729.233992308592</v>
      </c>
      <c r="CR104" s="541">
        <f t="shared" si="33"/>
        <v>4730.658822063725</v>
      </c>
      <c r="CS104" s="541">
        <f t="shared" si="33"/>
        <v>4706.8642132055456</v>
      </c>
      <c r="CT104" s="541">
        <f t="shared" si="33"/>
        <v>4735.3356972565371</v>
      </c>
      <c r="CU104" s="541">
        <f t="shared" si="33"/>
        <v>4772.9048284479113</v>
      </c>
      <c r="CV104" s="541">
        <f t="shared" si="33"/>
        <v>4761.9850090627306</v>
      </c>
      <c r="CW104" s="541">
        <f t="shared" si="33"/>
        <v>4738.3327137651941</v>
      </c>
      <c r="CX104" s="541">
        <f t="shared" si="33"/>
        <v>4768.7511838966802</v>
      </c>
      <c r="CY104" s="541">
        <f t="shared" si="33"/>
        <v>4806.4773364047887</v>
      </c>
      <c r="CZ104" s="541">
        <f t="shared" si="33"/>
        <v>4795.3607319199509</v>
      </c>
      <c r="DA104" s="541">
        <f t="shared" si="33"/>
        <v>4771.6969558088413</v>
      </c>
      <c r="DB104" s="541">
        <f t="shared" si="33"/>
        <v>0</v>
      </c>
      <c r="DC104" s="541">
        <f t="shared" si="33"/>
        <v>0</v>
      </c>
      <c r="DD104" s="541">
        <f t="shared" si="33"/>
        <v>0</v>
      </c>
      <c r="DE104" s="541">
        <f t="shared" si="33"/>
        <v>0</v>
      </c>
      <c r="DF104" s="541">
        <f t="shared" si="33"/>
        <v>0</v>
      </c>
      <c r="DG104" s="541">
        <f t="shared" si="33"/>
        <v>0</v>
      </c>
      <c r="DH104" s="541">
        <f t="shared" si="33"/>
        <v>0</v>
      </c>
      <c r="DI104" s="541">
        <f t="shared" si="33"/>
        <v>0</v>
      </c>
      <c r="DJ104" s="541">
        <f t="shared" si="33"/>
        <v>0</v>
      </c>
      <c r="DK104" s="541">
        <f t="shared" si="33"/>
        <v>0</v>
      </c>
      <c r="DL104" s="541">
        <f t="shared" si="33"/>
        <v>0</v>
      </c>
      <c r="DM104" s="541">
        <f t="shared" si="33"/>
        <v>0</v>
      </c>
      <c r="DN104" s="541">
        <f t="shared" si="33"/>
        <v>0</v>
      </c>
      <c r="DO104" s="541">
        <f t="shared" si="33"/>
        <v>0</v>
      </c>
      <c r="DP104" s="541">
        <f t="shared" si="33"/>
        <v>0</v>
      </c>
      <c r="DQ104" s="541">
        <f t="shared" si="33"/>
        <v>0</v>
      </c>
      <c r="DR104" s="541">
        <f t="shared" si="33"/>
        <v>0</v>
      </c>
      <c r="DS104" s="541">
        <f t="shared" si="33"/>
        <v>0</v>
      </c>
      <c r="DT104" s="541">
        <f t="shared" si="33"/>
        <v>0</v>
      </c>
      <c r="DU104" s="541">
        <f t="shared" si="33"/>
        <v>0</v>
      </c>
      <c r="DV104" s="541">
        <f t="shared" si="33"/>
        <v>0</v>
      </c>
      <c r="DW104" s="541">
        <f t="shared" si="33"/>
        <v>0</v>
      </c>
      <c r="DX104" s="541">
        <f t="shared" si="33"/>
        <v>0</v>
      </c>
      <c r="DY104" s="541">
        <f t="shared" si="33"/>
        <v>0</v>
      </c>
      <c r="DZ104" s="541">
        <f t="shared" si="33"/>
        <v>0</v>
      </c>
      <c r="EA104" s="541">
        <f t="shared" si="33"/>
        <v>0</v>
      </c>
      <c r="EB104" s="541">
        <f t="shared" si="33"/>
        <v>0</v>
      </c>
      <c r="EC104" s="541">
        <f t="shared" si="33"/>
        <v>0</v>
      </c>
      <c r="ED104" s="541">
        <f t="shared" si="33"/>
        <v>0</v>
      </c>
      <c r="EE104" s="541">
        <f t="shared" si="33"/>
        <v>0</v>
      </c>
      <c r="EF104" s="541">
        <f t="shared" si="33"/>
        <v>0</v>
      </c>
      <c r="EG104" s="541">
        <f t="shared" si="33"/>
        <v>0</v>
      </c>
    </row>
    <row r="106" spans="5:7" ht="12.75">
      <c r="E106" s="535" t="str">
        <f>InpC!E$128</f>
        <v>Check tolerance</v>
      </c>
      <c r="F106" s="537">
        <f>InpC!F$128</f>
        <v>0.001</v>
      </c>
      <c r="G106" s="537" t="str">
        <f>InpC!G$128</f>
        <v>EUR 000s</v>
      </c>
    </row>
    <row r="107" spans="5:137" ht="12.75">
      <c r="E107" s="535" t="str">
        <f>Waterfall!E$14</f>
        <v>Cash flow available for debt service</v>
      </c>
      <c r="G107" s="537" t="str">
        <f>Waterfall!G$14</f>
        <v>EUR 000s</v>
      </c>
      <c r="H107" s="537">
        <f>Waterfall!H$14</f>
        <v>957377.69580628083</v>
      </c>
      <c r="J107" s="537">
        <f>Waterfall!J$14</f>
        <v>0</v>
      </c>
      <c r="K107" s="537">
        <f>Waterfall!K$14</f>
        <v>0</v>
      </c>
      <c r="L107" s="537">
        <f>Waterfall!L$14</f>
        <v>0</v>
      </c>
      <c r="M107" s="537">
        <f>Waterfall!M$14</f>
        <v>0</v>
      </c>
      <c r="N107" s="537">
        <f>Waterfall!N$14</f>
        <v>0</v>
      </c>
      <c r="O107" s="537">
        <f>Waterfall!O$14</f>
        <v>0</v>
      </c>
      <c r="P107" s="537">
        <f>Waterfall!P$14</f>
        <v>0</v>
      </c>
      <c r="Q107" s="537">
        <f>Waterfall!Q$14</f>
        <v>0</v>
      </c>
      <c r="R107" s="537">
        <f>Waterfall!R$14</f>
        <v>0</v>
      </c>
      <c r="S107" s="537">
        <f>Waterfall!S$14</f>
        <v>0</v>
      </c>
      <c r="T107" s="537">
        <f>Waterfall!T$14</f>
        <v>0</v>
      </c>
      <c r="U107" s="537">
        <f>Waterfall!U$14</f>
        <v>0</v>
      </c>
      <c r="V107" s="537">
        <f>Waterfall!V$14</f>
        <v>0</v>
      </c>
      <c r="W107" s="537">
        <f>Waterfall!W$14</f>
        <v>0</v>
      </c>
      <c r="X107" s="537">
        <f>Waterfall!X$14</f>
        <v>0</v>
      </c>
      <c r="Y107" s="537">
        <f>Waterfall!Y$14</f>
        <v>0</v>
      </c>
      <c r="Z107" s="537">
        <f>Waterfall!Z$14</f>
        <v>0</v>
      </c>
      <c r="AA107" s="537">
        <f>Waterfall!AA$14</f>
        <v>0</v>
      </c>
      <c r="AB107" s="537">
        <f>Waterfall!AB$14</f>
        <v>0</v>
      </c>
      <c r="AC107" s="537">
        <f>Waterfall!AC$14</f>
        <v>0</v>
      </c>
      <c r="AD107" s="537">
        <f>Waterfall!AD$14</f>
        <v>0</v>
      </c>
      <c r="AE107" s="537">
        <f>Waterfall!AE$14</f>
        <v>0</v>
      </c>
      <c r="AF107" s="537">
        <f>Waterfall!AF$14</f>
        <v>0</v>
      </c>
      <c r="AG107" s="537">
        <f>Waterfall!AG$14</f>
        <v>0</v>
      </c>
      <c r="AH107" s="537">
        <f>Waterfall!AH$14</f>
        <v>7126.237686929222</v>
      </c>
      <c r="AI107" s="537">
        <f>Waterfall!AI$14</f>
        <v>9016.0731055402921</v>
      </c>
      <c r="AJ107" s="537">
        <f>Waterfall!AJ$14</f>
        <v>9015.6345801481111</v>
      </c>
      <c r="AK107" s="537">
        <f>Waterfall!AK$14</f>
        <v>8995.9009374999987</v>
      </c>
      <c r="AL107" s="537">
        <f>Waterfall!AL$14</f>
        <v>9091.9020262907597</v>
      </c>
      <c r="AM107" s="537">
        <f>Waterfall!AM$14</f>
        <v>9174.3408567135994</v>
      </c>
      <c r="AN107" s="537">
        <f>Waterfall!AN$14</f>
        <v>9173.8970475662918</v>
      </c>
      <c r="AO107" s="537">
        <f>Waterfall!AO$14</f>
        <v>9153.9256359374995</v>
      </c>
      <c r="AP107" s="537">
        <f>Waterfall!AP$14</f>
        <v>9251.9761612487546</v>
      </c>
      <c r="AQ107" s="537">
        <f>Waterfall!AQ$14</f>
        <v>9335.2061944272264</v>
      </c>
      <c r="AR107" s="537">
        <f>Waterfall!AR$14</f>
        <v>9334.7570856154598</v>
      </c>
      <c r="AS107" s="537">
        <f>Waterfall!AS$14</f>
        <v>9314.5471890859371</v>
      </c>
      <c r="AT107" s="537">
        <f>Waterfall!AT$14</f>
        <v>9435.594366845693</v>
      </c>
      <c r="AU107" s="537">
        <f>Waterfall!AU$14</f>
        <v>9477.8014538705866</v>
      </c>
      <c r="AV107" s="537">
        <f>Waterfall!AV$14</f>
        <v>9498.2504502967968</v>
      </c>
      <c r="AW107" s="537">
        <f>Waterfall!AW$14</f>
        <v>9473.4373793076247</v>
      </c>
      <c r="AX107" s="537">
        <f>Waterfall!AX$14</f>
        <v>9580.0831993996253</v>
      </c>
      <c r="AY107" s="537">
        <f>Waterfall!AY$14</f>
        <v>9664.8728945221992</v>
      </c>
      <c r="AZ107" s="537">
        <f>Waterfall!AZ$14</f>
        <v>9664.4131477429219</v>
      </c>
      <c r="BA107" s="537">
        <f>Waterfall!BA$14</f>
        <v>9639.0105450525571</v>
      </c>
      <c r="BB107" s="537">
        <f>Waterfall!BB$14</f>
        <v>9624.8356590516014</v>
      </c>
      <c r="BC107" s="537">
        <f>Waterfall!BC$14</f>
        <v>9692.7614236034206</v>
      </c>
      <c r="BD107" s="537">
        <f>Waterfall!BD$14</f>
        <v>9675.4589885497153</v>
      </c>
      <c r="BE107" s="537">
        <f>Waterfall!BE$14</f>
        <v>9638.4507040270382</v>
      </c>
      <c r="BF107" s="537">
        <f>Waterfall!BF$14</f>
        <v>9720.7935908740237</v>
      </c>
      <c r="BG107" s="537">
        <f>Waterfall!BG$14</f>
        <v>9792.4419929069136</v>
      </c>
      <c r="BH107" s="537">
        <f>Waterfall!BH$14</f>
        <v>9777.9664363635275</v>
      </c>
      <c r="BI107" s="537">
        <f>Waterfall!BI$14</f>
        <v>9743.4226351504403</v>
      </c>
      <c r="BJ107" s="537">
        <f>Waterfall!BJ$14</f>
        <v>9852.3659888687216</v>
      </c>
      <c r="BK107" s="537">
        <f>Waterfall!BK$14</f>
        <v>9883.4572104947692</v>
      </c>
      <c r="BL107" s="537">
        <f>Waterfall!BL$14</f>
        <v>9893.2172202296188</v>
      </c>
      <c r="BM107" s="537">
        <f>Waterfall!BM$14</f>
        <v>9860.6827761879267</v>
      </c>
      <c r="BN107" s="537">
        <f>Waterfall!BN$14</f>
        <v>9952.0687470832363</v>
      </c>
      <c r="BO107" s="537">
        <f>Waterfall!BO$14</f>
        <v>10029.716525225305</v>
      </c>
      <c r="BP107" s="537">
        <f>Waterfall!BP$14</f>
        <v>10019.545629405566</v>
      </c>
      <c r="BQ107" s="537">
        <f>Waterfall!BQ$14</f>
        <v>9988.6420767608051</v>
      </c>
      <c r="BR107" s="537">
        <f>Waterfall!BR$14</f>
        <v>10187.369081549388</v>
      </c>
      <c r="BS107" s="537">
        <f>Waterfall!BS$14</f>
        <v>10267.445354990101</v>
      </c>
      <c r="BT107" s="537">
        <f>Waterfall!BT$14</f>
        <v>10258.899041178202</v>
      </c>
      <c r="BU107" s="537">
        <f>Waterfall!BU$14</f>
        <v>10229.311707665833</v>
      </c>
      <c r="BV107" s="537">
        <f>Waterfall!BV$14</f>
        <v>10058.731640444626</v>
      </c>
      <c r="BW107" s="537">
        <f>Waterfall!BW$14</f>
        <v>9344.5455321133577</v>
      </c>
      <c r="BX107" s="537">
        <f>Waterfall!BX$14</f>
        <v>9321.7067066273194</v>
      </c>
      <c r="BY107" s="537">
        <f>Waterfall!BY$14</f>
        <v>9278.2350148653059</v>
      </c>
      <c r="BZ107" s="537">
        <f>Waterfall!BZ$14</f>
        <v>9366.820362658149</v>
      </c>
      <c r="CA107" s="537">
        <f>Waterfall!CA$14</f>
        <v>9391.5394041324525</v>
      </c>
      <c r="CB107" s="537">
        <f>Waterfall!CB$14</f>
        <v>9325.6587104719256</v>
      </c>
      <c r="CC107" s="537">
        <f>Waterfall!CC$14</f>
        <v>8945.0439358883377</v>
      </c>
      <c r="CD107" s="537">
        <f>Waterfall!CD$14</f>
        <v>8979.3486456163082</v>
      </c>
      <c r="CE107" s="537">
        <f>Waterfall!CE$14</f>
        <v>9046.6164747550774</v>
      </c>
      <c r="CF107" s="537">
        <f>Waterfall!CF$14</f>
        <v>9023.0377831656751</v>
      </c>
      <c r="CG107" s="537">
        <f>Waterfall!CG$14</f>
        <v>8973.8419199923192</v>
      </c>
      <c r="CH107" s="537">
        <f>Waterfall!CH$14</f>
        <v>9016.1509382852164</v>
      </c>
      <c r="CI107" s="537">
        <f>Waterfall!CI$14</f>
        <v>9085.5959504342063</v>
      </c>
      <c r="CJ107" s="537">
        <f>Waterfall!CJ$14</f>
        <v>9063.3706202664835</v>
      </c>
      <c r="CK107" s="537">
        <f>Waterfall!CK$14</f>
        <v>9015.6767110387427</v>
      </c>
      <c r="CL107" s="537">
        <f>Waterfall!CL$14</f>
        <v>9619.2585844250625</v>
      </c>
      <c r="CM107" s="537">
        <f>Waterfall!CM$14</f>
        <v>9689.331069373402</v>
      </c>
      <c r="CN107" s="537">
        <f>Waterfall!CN$14</f>
        <v>9666.913390670883</v>
      </c>
      <c r="CO107" s="537">
        <f>Waterfall!CO$14</f>
        <v>9619.2269425792711</v>
      </c>
      <c r="CP107" s="537">
        <f>Waterfall!CP$14</f>
        <v>9139.1530462928586</v>
      </c>
      <c r="CQ107" s="537">
        <f>Waterfall!CQ$14</f>
        <v>9160.9563368827476</v>
      </c>
      <c r="CR107" s="537">
        <f>Waterfall!CR$14</f>
        <v>9163.7163616976522</v>
      </c>
      <c r="CS107" s="537">
        <f>Waterfall!CS$14</f>
        <v>9117.6240403708798</v>
      </c>
      <c r="CT107" s="537">
        <f>Waterfall!CT$14</f>
        <v>9172.7758942782111</v>
      </c>
      <c r="CU107" s="537">
        <f>Waterfall!CU$14</f>
        <v>9245.5507180696623</v>
      </c>
      <c r="CV107" s="537">
        <f>Waterfall!CV$14</f>
        <v>9224.3980348323803</v>
      </c>
      <c r="CW107" s="537">
        <f>Waterfall!CW$14</f>
        <v>9178.5813878150875</v>
      </c>
      <c r="CX107" s="537">
        <f>Waterfall!CX$14</f>
        <v>9237.5047308263493</v>
      </c>
      <c r="CY107" s="537">
        <f>Waterfall!CY$14</f>
        <v>9310.5837191884038</v>
      </c>
      <c r="CZ107" s="537">
        <f>Waterfall!CZ$14</f>
        <v>9289.0498453167329</v>
      </c>
      <c r="DA107" s="537">
        <f>Waterfall!DA$14</f>
        <v>9243.2109589200554</v>
      </c>
      <c r="DB107" s="537">
        <f>Waterfall!DB$14</f>
        <v>9250.1759971050742</v>
      </c>
      <c r="DC107" s="537">
        <f>Waterfall!DC$14</f>
        <v>9339.0671459746045</v>
      </c>
      <c r="DD107" s="537">
        <f>Waterfall!DD$14</f>
        <v>9333.4126291791054</v>
      </c>
      <c r="DE107" s="537">
        <f>Waterfall!DE$14</f>
        <v>9304.4998770319035</v>
      </c>
      <c r="DF107" s="537">
        <f>Waterfall!DF$14</f>
        <v>10042.297500103878</v>
      </c>
      <c r="DG107" s="537">
        <f>Waterfall!DG$14</f>
        <v>10083.037086594606</v>
      </c>
      <c r="DH107" s="537">
        <f>Waterfall!DH$14</f>
        <v>10103.030440845592</v>
      </c>
      <c r="DI107" s="537">
        <f>Waterfall!DI$14</f>
        <v>10074.710093976457</v>
      </c>
      <c r="DJ107" s="537">
        <f>Waterfall!DJ$14</f>
        <v>9531.0000277068248</v>
      </c>
      <c r="DK107" s="537">
        <f>Waterfall!DK$14</f>
        <v>9622.5760692221538</v>
      </c>
      <c r="DL107" s="537">
        <f>Waterfall!DL$14</f>
        <v>9618.4891847043327</v>
      </c>
      <c r="DM107" s="537">
        <f>Waterfall!DM$14</f>
        <v>9590.6249782264968</v>
      </c>
      <c r="DN107" s="537">
        <f>Waterfall!DN$14</f>
        <v>9679.6513243283043</v>
      </c>
      <c r="DO107" s="537">
        <f>Waterfall!DO$14</f>
        <v>9772.3259446832872</v>
      </c>
      <c r="DP107" s="537">
        <f>Waterfall!DP$14</f>
        <v>9768.8299907587207</v>
      </c>
      <c r="DQ107" s="537">
        <f>Waterfall!DQ$14</f>
        <v>9741.3091688148925</v>
      </c>
      <c r="DR107" s="537">
        <f>Waterfall!DR$14</f>
        <v>9833.1752700445759</v>
      </c>
      <c r="DS107" s="537">
        <f>Waterfall!DS$14</f>
        <v>9926.8134161951511</v>
      </c>
      <c r="DT107" s="537">
        <f>Waterfall!DT$14</f>
        <v>9923.8082057289866</v>
      </c>
      <c r="DU107" s="537">
        <f>Waterfall!DU$14</f>
        <v>9896.5376166003607</v>
      </c>
      <c r="DV107" s="537">
        <f>Waterfall!DV$14</f>
        <v>10016.918852742816</v>
      </c>
      <c r="DW107" s="537">
        <f>Waterfall!DW$14</f>
        <v>10059.983606963106</v>
      </c>
      <c r="DX107" s="537">
        <f>Waterfall!DX$14</f>
        <v>10083.094712487115</v>
      </c>
      <c r="DY107" s="537">
        <f>Waterfall!DY$14</f>
        <v>10055.997562626802</v>
      </c>
      <c r="DZ107" s="537">
        <f>Waterfall!DZ$14</f>
        <v>10153.459517752461</v>
      </c>
      <c r="EA107" s="537">
        <f>Waterfall!EA$14</f>
        <v>10248.680194721674</v>
      </c>
      <c r="EB107" s="537">
        <f>Waterfall!EB$14</f>
        <v>10246.420544942679</v>
      </c>
      <c r="EC107" s="537">
        <f>Waterfall!EC$14</f>
        <v>10948.88102751593</v>
      </c>
      <c r="ED107" s="537">
        <f>Waterfall!ED$14</f>
        <v>2308.4176722004668</v>
      </c>
      <c r="EE107" s="537">
        <f>Waterfall!EE$14</f>
        <v>0</v>
      </c>
      <c r="EF107" s="537">
        <f>Waterfall!EF$14</f>
        <v>0</v>
      </c>
      <c r="EG107" s="537">
        <f>Waterfall!EG$14</f>
        <v>0</v>
      </c>
    </row>
    <row r="108" spans="5:137" ht="12.75">
      <c r="E108" s="538" t="str">
        <f>E$15</f>
        <v>Senior facility - repayment period flag</v>
      </c>
      <c r="G108" s="539" t="str">
        <f>G$15</f>
        <v>flag</v>
      </c>
      <c r="H108" s="539">
        <f>H$15</f>
        <v>72</v>
      </c>
      <c r="J108" s="539">
        <f t="shared" si="34" ref="J108:EG108">J$15</f>
        <v>0</v>
      </c>
      <c r="K108" s="539">
        <f t="shared" si="34"/>
        <v>0</v>
      </c>
      <c r="L108" s="539">
        <f t="shared" si="34"/>
        <v>0</v>
      </c>
      <c r="M108" s="539">
        <f t="shared" si="34"/>
        <v>0</v>
      </c>
      <c r="N108" s="539">
        <f t="shared" si="34"/>
        <v>0</v>
      </c>
      <c r="O108" s="539">
        <f t="shared" si="34"/>
        <v>0</v>
      </c>
      <c r="P108" s="539">
        <f t="shared" si="34"/>
        <v>0</v>
      </c>
      <c r="Q108" s="539">
        <f t="shared" si="34"/>
        <v>0</v>
      </c>
      <c r="R108" s="539">
        <f t="shared" si="34"/>
        <v>0</v>
      </c>
      <c r="S108" s="539">
        <f t="shared" si="34"/>
        <v>0</v>
      </c>
      <c r="T108" s="539">
        <f t="shared" si="34"/>
        <v>0</v>
      </c>
      <c r="U108" s="539">
        <f t="shared" si="34"/>
        <v>0</v>
      </c>
      <c r="V108" s="539">
        <f t="shared" si="34"/>
        <v>0</v>
      </c>
      <c r="W108" s="539">
        <f t="shared" si="34"/>
        <v>0</v>
      </c>
      <c r="X108" s="539">
        <f t="shared" si="34"/>
        <v>0</v>
      </c>
      <c r="Y108" s="539">
        <f t="shared" si="34"/>
        <v>0</v>
      </c>
      <c r="Z108" s="539">
        <f t="shared" si="34"/>
        <v>0</v>
      </c>
      <c r="AA108" s="539">
        <f t="shared" si="34"/>
        <v>0</v>
      </c>
      <c r="AB108" s="539">
        <f t="shared" si="34"/>
        <v>0</v>
      </c>
      <c r="AC108" s="539">
        <f t="shared" si="34"/>
        <v>0</v>
      </c>
      <c r="AD108" s="539">
        <f t="shared" si="34"/>
        <v>0</v>
      </c>
      <c r="AE108" s="539">
        <f t="shared" si="34"/>
        <v>0</v>
      </c>
      <c r="AF108" s="539">
        <f t="shared" si="34"/>
        <v>0</v>
      </c>
      <c r="AG108" s="539">
        <f t="shared" si="34"/>
        <v>0</v>
      </c>
      <c r="AH108" s="539">
        <f t="shared" si="34"/>
        <v>1</v>
      </c>
      <c r="AI108" s="539">
        <f t="shared" si="34"/>
        <v>1</v>
      </c>
      <c r="AJ108" s="539">
        <f t="shared" si="34"/>
        <v>1</v>
      </c>
      <c r="AK108" s="539">
        <f t="shared" si="34"/>
        <v>1</v>
      </c>
      <c r="AL108" s="539">
        <f t="shared" si="34"/>
        <v>1</v>
      </c>
      <c r="AM108" s="539">
        <f t="shared" si="34"/>
        <v>1</v>
      </c>
      <c r="AN108" s="539">
        <f t="shared" si="34"/>
        <v>1</v>
      </c>
      <c r="AO108" s="539">
        <f t="shared" si="34"/>
        <v>1</v>
      </c>
      <c r="AP108" s="539">
        <f t="shared" si="34"/>
        <v>1</v>
      </c>
      <c r="AQ108" s="539">
        <f t="shared" si="34"/>
        <v>1</v>
      </c>
      <c r="AR108" s="539">
        <f t="shared" si="34"/>
        <v>1</v>
      </c>
      <c r="AS108" s="539">
        <f t="shared" si="34"/>
        <v>1</v>
      </c>
      <c r="AT108" s="539">
        <f t="shared" si="34"/>
        <v>1</v>
      </c>
      <c r="AU108" s="539">
        <f t="shared" si="34"/>
        <v>1</v>
      </c>
      <c r="AV108" s="539">
        <f t="shared" si="34"/>
        <v>1</v>
      </c>
      <c r="AW108" s="539">
        <f t="shared" si="34"/>
        <v>1</v>
      </c>
      <c r="AX108" s="539">
        <f t="shared" si="34"/>
        <v>1</v>
      </c>
      <c r="AY108" s="539">
        <f t="shared" si="34"/>
        <v>1</v>
      </c>
      <c r="AZ108" s="539">
        <f t="shared" si="34"/>
        <v>1</v>
      </c>
      <c r="BA108" s="539">
        <f t="shared" si="34"/>
        <v>1</v>
      </c>
      <c r="BB108" s="539">
        <f t="shared" si="34"/>
        <v>1</v>
      </c>
      <c r="BC108" s="539">
        <f t="shared" si="34"/>
        <v>1</v>
      </c>
      <c r="BD108" s="539">
        <f t="shared" si="34"/>
        <v>1</v>
      </c>
      <c r="BE108" s="539">
        <f t="shared" si="34"/>
        <v>1</v>
      </c>
      <c r="BF108" s="539">
        <f t="shared" si="34"/>
        <v>1</v>
      </c>
      <c r="BG108" s="539">
        <f t="shared" si="34"/>
        <v>1</v>
      </c>
      <c r="BH108" s="539">
        <f t="shared" si="34"/>
        <v>1</v>
      </c>
      <c r="BI108" s="539">
        <f t="shared" si="34"/>
        <v>1</v>
      </c>
      <c r="BJ108" s="539">
        <f t="shared" si="34"/>
        <v>1</v>
      </c>
      <c r="BK108" s="539">
        <f t="shared" si="34"/>
        <v>1</v>
      </c>
      <c r="BL108" s="539">
        <f t="shared" si="34"/>
        <v>1</v>
      </c>
      <c r="BM108" s="539">
        <f t="shared" si="34"/>
        <v>1</v>
      </c>
      <c r="BN108" s="539">
        <f t="shared" si="34"/>
        <v>1</v>
      </c>
      <c r="BO108" s="539">
        <f t="shared" si="34"/>
        <v>1</v>
      </c>
      <c r="BP108" s="539">
        <f t="shared" si="34"/>
        <v>1</v>
      </c>
      <c r="BQ108" s="539">
        <f t="shared" si="34"/>
        <v>1</v>
      </c>
      <c r="BR108" s="539">
        <f t="shared" si="34"/>
        <v>1</v>
      </c>
      <c r="BS108" s="539">
        <f t="shared" si="34"/>
        <v>1</v>
      </c>
      <c r="BT108" s="539">
        <f t="shared" si="34"/>
        <v>1</v>
      </c>
      <c r="BU108" s="539">
        <f t="shared" si="34"/>
        <v>1</v>
      </c>
      <c r="BV108" s="539">
        <f t="shared" si="34"/>
        <v>1</v>
      </c>
      <c r="BW108" s="539">
        <f t="shared" si="34"/>
        <v>1</v>
      </c>
      <c r="BX108" s="539">
        <f t="shared" si="34"/>
        <v>1</v>
      </c>
      <c r="BY108" s="539">
        <f t="shared" si="34"/>
        <v>1</v>
      </c>
      <c r="BZ108" s="539">
        <f t="shared" si="34"/>
        <v>1</v>
      </c>
      <c r="CA108" s="539">
        <f t="shared" si="34"/>
        <v>1</v>
      </c>
      <c r="CB108" s="539">
        <f t="shared" si="34"/>
        <v>1</v>
      </c>
      <c r="CC108" s="539">
        <f t="shared" si="34"/>
        <v>1</v>
      </c>
      <c r="CD108" s="539">
        <f t="shared" si="34"/>
        <v>1</v>
      </c>
      <c r="CE108" s="539">
        <f t="shared" si="34"/>
        <v>1</v>
      </c>
      <c r="CF108" s="539">
        <f t="shared" si="34"/>
        <v>1</v>
      </c>
      <c r="CG108" s="539">
        <f t="shared" si="34"/>
        <v>1</v>
      </c>
      <c r="CH108" s="539">
        <f t="shared" si="34"/>
        <v>1</v>
      </c>
      <c r="CI108" s="539">
        <f t="shared" si="34"/>
        <v>1</v>
      </c>
      <c r="CJ108" s="539">
        <f t="shared" si="34"/>
        <v>1</v>
      </c>
      <c r="CK108" s="539">
        <f t="shared" si="34"/>
        <v>1</v>
      </c>
      <c r="CL108" s="539">
        <f t="shared" si="34"/>
        <v>1</v>
      </c>
      <c r="CM108" s="539">
        <f t="shared" si="34"/>
        <v>1</v>
      </c>
      <c r="CN108" s="539">
        <f t="shared" si="34"/>
        <v>1</v>
      </c>
      <c r="CO108" s="539">
        <f t="shared" si="34"/>
        <v>1</v>
      </c>
      <c r="CP108" s="539">
        <f t="shared" si="34"/>
        <v>1</v>
      </c>
      <c r="CQ108" s="539">
        <f t="shared" si="34"/>
        <v>1</v>
      </c>
      <c r="CR108" s="539">
        <f t="shared" si="34"/>
        <v>1</v>
      </c>
      <c r="CS108" s="539">
        <f t="shared" si="34"/>
        <v>1</v>
      </c>
      <c r="CT108" s="539">
        <f t="shared" si="34"/>
        <v>1</v>
      </c>
      <c r="CU108" s="539">
        <f t="shared" si="34"/>
        <v>1</v>
      </c>
      <c r="CV108" s="539">
        <f t="shared" si="34"/>
        <v>1</v>
      </c>
      <c r="CW108" s="539">
        <f t="shared" si="34"/>
        <v>1</v>
      </c>
      <c r="CX108" s="539">
        <f t="shared" si="34"/>
        <v>1</v>
      </c>
      <c r="CY108" s="539">
        <f t="shared" si="34"/>
        <v>1</v>
      </c>
      <c r="CZ108" s="539">
        <f t="shared" si="34"/>
        <v>1</v>
      </c>
      <c r="DA108" s="539">
        <f t="shared" si="34"/>
        <v>1</v>
      </c>
      <c r="DB108" s="539">
        <f t="shared" si="34"/>
        <v>0</v>
      </c>
      <c r="DC108" s="539">
        <f t="shared" si="34"/>
        <v>0</v>
      </c>
      <c r="DD108" s="539">
        <f t="shared" si="34"/>
        <v>0</v>
      </c>
      <c r="DE108" s="539">
        <f t="shared" si="34"/>
        <v>0</v>
      </c>
      <c r="DF108" s="539">
        <f t="shared" si="34"/>
        <v>0</v>
      </c>
      <c r="DG108" s="539">
        <f t="shared" si="34"/>
        <v>0</v>
      </c>
      <c r="DH108" s="539">
        <f t="shared" si="34"/>
        <v>0</v>
      </c>
      <c r="DI108" s="539">
        <f t="shared" si="34"/>
        <v>0</v>
      </c>
      <c r="DJ108" s="539">
        <f t="shared" si="34"/>
        <v>0</v>
      </c>
      <c r="DK108" s="539">
        <f t="shared" si="34"/>
        <v>0</v>
      </c>
      <c r="DL108" s="539">
        <f t="shared" si="34"/>
        <v>0</v>
      </c>
      <c r="DM108" s="539">
        <f t="shared" si="34"/>
        <v>0</v>
      </c>
      <c r="DN108" s="539">
        <f t="shared" si="34"/>
        <v>0</v>
      </c>
      <c r="DO108" s="539">
        <f t="shared" si="34"/>
        <v>0</v>
      </c>
      <c r="DP108" s="539">
        <f t="shared" si="34"/>
        <v>0</v>
      </c>
      <c r="DQ108" s="539">
        <f t="shared" si="34"/>
        <v>0</v>
      </c>
      <c r="DR108" s="539">
        <f t="shared" si="34"/>
        <v>0</v>
      </c>
      <c r="DS108" s="539">
        <f t="shared" si="34"/>
        <v>0</v>
      </c>
      <c r="DT108" s="539">
        <f t="shared" si="34"/>
        <v>0</v>
      </c>
      <c r="DU108" s="539">
        <f t="shared" si="34"/>
        <v>0</v>
      </c>
      <c r="DV108" s="539">
        <f t="shared" si="34"/>
        <v>0</v>
      </c>
      <c r="DW108" s="539">
        <f t="shared" si="34"/>
        <v>0</v>
      </c>
      <c r="DX108" s="539">
        <f t="shared" si="34"/>
        <v>0</v>
      </c>
      <c r="DY108" s="539">
        <f t="shared" si="34"/>
        <v>0</v>
      </c>
      <c r="DZ108" s="539">
        <f t="shared" si="34"/>
        <v>0</v>
      </c>
      <c r="EA108" s="539">
        <f t="shared" si="34"/>
        <v>0</v>
      </c>
      <c r="EB108" s="539">
        <f t="shared" si="34"/>
        <v>0</v>
      </c>
      <c r="EC108" s="539">
        <f t="shared" si="34"/>
        <v>0</v>
      </c>
      <c r="ED108" s="539">
        <f t="shared" si="34"/>
        <v>0</v>
      </c>
      <c r="EE108" s="539">
        <f t="shared" si="34"/>
        <v>0</v>
      </c>
      <c r="EF108" s="539">
        <f t="shared" si="34"/>
        <v>0</v>
      </c>
      <c r="EG108" s="539">
        <f t="shared" si="34"/>
        <v>0</v>
      </c>
    </row>
    <row r="109" spans="5:137" ht="12.75">
      <c r="E109" s="538" t="str">
        <f>E$104</f>
        <v>Senior facility - debt service</v>
      </c>
      <c r="G109" s="539" t="str">
        <f>G$104</f>
        <v>EUR 000s</v>
      </c>
      <c r="H109" s="539">
        <f>H$104</f>
        <v>350432.93778912647</v>
      </c>
      <c r="J109" s="539">
        <f t="shared" si="35" ref="J109:EG109">J$104</f>
        <v>0</v>
      </c>
      <c r="K109" s="539">
        <f t="shared" si="35"/>
        <v>0</v>
      </c>
      <c r="L109" s="539">
        <f t="shared" si="35"/>
        <v>0</v>
      </c>
      <c r="M109" s="539">
        <f t="shared" si="35"/>
        <v>0</v>
      </c>
      <c r="N109" s="539">
        <f t="shared" si="35"/>
        <v>0</v>
      </c>
      <c r="O109" s="539">
        <f t="shared" si="35"/>
        <v>0</v>
      </c>
      <c r="P109" s="539">
        <f t="shared" si="35"/>
        <v>-1.8189894035458565E-12</v>
      </c>
      <c r="Q109" s="539">
        <f t="shared" si="35"/>
        <v>0</v>
      </c>
      <c r="R109" s="539">
        <f t="shared" si="35"/>
        <v>0</v>
      </c>
      <c r="S109" s="539">
        <f t="shared" si="35"/>
        <v>0</v>
      </c>
      <c r="T109" s="539">
        <f t="shared" si="35"/>
        <v>0</v>
      </c>
      <c r="U109" s="539">
        <f t="shared" si="35"/>
        <v>0</v>
      </c>
      <c r="V109" s="539">
        <f t="shared" si="35"/>
        <v>0</v>
      </c>
      <c r="W109" s="539">
        <f t="shared" si="35"/>
        <v>0</v>
      </c>
      <c r="X109" s="539">
        <f t="shared" si="35"/>
        <v>0</v>
      </c>
      <c r="Y109" s="539">
        <f t="shared" si="35"/>
        <v>0</v>
      </c>
      <c r="Z109" s="539">
        <f t="shared" si="35"/>
        <v>0</v>
      </c>
      <c r="AA109" s="539">
        <f t="shared" si="35"/>
        <v>0</v>
      </c>
      <c r="AB109" s="539">
        <f t="shared" si="35"/>
        <v>0</v>
      </c>
      <c r="AC109" s="539">
        <f t="shared" si="35"/>
        <v>0</v>
      </c>
      <c r="AD109" s="539">
        <f t="shared" si="35"/>
        <v>0</v>
      </c>
      <c r="AE109" s="539">
        <f t="shared" si="35"/>
        <v>0</v>
      </c>
      <c r="AF109" s="539">
        <f t="shared" si="35"/>
        <v>0</v>
      </c>
      <c r="AG109" s="539">
        <f t="shared" si="35"/>
        <v>0</v>
      </c>
      <c r="AH109" s="539">
        <f t="shared" si="35"/>
        <v>3678.8348581698501</v>
      </c>
      <c r="AI109" s="539">
        <f t="shared" si="35"/>
        <v>4654.4397593286103</v>
      </c>
      <c r="AJ109" s="539">
        <f t="shared" si="35"/>
        <v>4654.2133758469154</v>
      </c>
      <c r="AK109" s="539">
        <f t="shared" si="35"/>
        <v>4644.0261191706895</v>
      </c>
      <c r="AL109" s="539">
        <f t="shared" si="35"/>
        <v>4693.5855314975461</v>
      </c>
      <c r="AM109" s="539">
        <f t="shared" si="35"/>
        <v>4736.1435903709635</v>
      </c>
      <c r="AN109" s="539">
        <f t="shared" si="35"/>
        <v>4735.9144792139659</v>
      </c>
      <c r="AO109" s="539">
        <f t="shared" si="35"/>
        <v>4725.6044771491152</v>
      </c>
      <c r="AP109" s="539">
        <f t="shared" si="35"/>
        <v>4776.2218865345076</v>
      </c>
      <c r="AQ109" s="539">
        <f t="shared" si="35"/>
        <v>4819.1883943546436</v>
      </c>
      <c r="AR109" s="539">
        <f t="shared" si="35"/>
        <v>4818.9565473093417</v>
      </c>
      <c r="AS109" s="539">
        <f t="shared" si="35"/>
        <v>4808.523430270714</v>
      </c>
      <c r="AT109" s="539">
        <f t="shared" si="35"/>
        <v>4871.0125860621984</v>
      </c>
      <c r="AU109" s="539">
        <f t="shared" si="35"/>
        <v>4892.8014892437168</v>
      </c>
      <c r="AV109" s="539">
        <f t="shared" si="35"/>
        <v>4903.358038740419</v>
      </c>
      <c r="AW109" s="539">
        <f t="shared" si="35"/>
        <v>4890.5485880171236</v>
      </c>
      <c r="AX109" s="539">
        <f t="shared" si="35"/>
        <v>4945.6032153911401</v>
      </c>
      <c r="AY109" s="539">
        <f t="shared" si="35"/>
        <v>4989.3748800105577</v>
      </c>
      <c r="AZ109" s="539">
        <f t="shared" si="35"/>
        <v>4989.1375412419338</v>
      </c>
      <c r="BA109" s="539">
        <f t="shared" si="35"/>
        <v>4976.0237518384511</v>
      </c>
      <c r="BB109" s="539">
        <f t="shared" si="35"/>
        <v>4968.7061367066199</v>
      </c>
      <c r="BC109" s="539">
        <f t="shared" si="35"/>
        <v>5003.7719991405111</v>
      </c>
      <c r="BD109" s="539">
        <f t="shared" si="35"/>
        <v>4994.8398242674302</v>
      </c>
      <c r="BE109" s="539">
        <f t="shared" si="35"/>
        <v>4975.7347406139879</v>
      </c>
      <c r="BF109" s="539">
        <f t="shared" si="35"/>
        <v>5018.2432697654431</v>
      </c>
      <c r="BG109" s="539">
        <f t="shared" si="35"/>
        <v>5055.2308992146009</v>
      </c>
      <c r="BH109" s="539">
        <f t="shared" si="35"/>
        <v>5047.7580665162341</v>
      </c>
      <c r="BI109" s="539">
        <f t="shared" si="35"/>
        <v>5029.9252428553727</v>
      </c>
      <c r="BJ109" s="539">
        <f t="shared" si="35"/>
        <v>5086.1659444474417</v>
      </c>
      <c r="BK109" s="539">
        <f t="shared" si="35"/>
        <v>5102.2164152464693</v>
      </c>
      <c r="BL109" s="539">
        <f t="shared" si="35"/>
        <v>5107.2549033808882</v>
      </c>
      <c r="BM109" s="539">
        <f t="shared" si="35"/>
        <v>5090.4593862946022</v>
      </c>
      <c r="BN109" s="539">
        <f t="shared" si="35"/>
        <v>5137.6362992811</v>
      </c>
      <c r="BO109" s="539">
        <f t="shared" si="35"/>
        <v>5177.721034794823</v>
      </c>
      <c r="BP109" s="539">
        <f t="shared" si="35"/>
        <v>5172.4704316400748</v>
      </c>
      <c r="BQ109" s="539">
        <f t="shared" si="35"/>
        <v>5156.5168427050112</v>
      </c>
      <c r="BR109" s="539">
        <f t="shared" si="35"/>
        <v>5259.1072788641732</v>
      </c>
      <c r="BS109" s="539">
        <f t="shared" si="35"/>
        <v>5300.4456959908366</v>
      </c>
      <c r="BT109" s="539">
        <f t="shared" si="35"/>
        <v>5296.0337638407573</v>
      </c>
      <c r="BU109" s="539">
        <f t="shared" si="35"/>
        <v>5280.7596572690318</v>
      </c>
      <c r="BV109" s="539">
        <f t="shared" si="35"/>
        <v>5192.6997405259599</v>
      </c>
      <c r="BW109" s="539">
        <f t="shared" si="35"/>
        <v>4824.0097155821095</v>
      </c>
      <c r="BX109" s="539">
        <f t="shared" si="35"/>
        <v>4812.2194454551673</v>
      </c>
      <c r="BY109" s="539">
        <f t="shared" si="35"/>
        <v>4789.7777052237061</v>
      </c>
      <c r="BZ109" s="539">
        <f t="shared" si="35"/>
        <v>4835.508830075345</v>
      </c>
      <c r="CA109" s="539">
        <f t="shared" si="35"/>
        <v>4848.2697391877382</v>
      </c>
      <c r="CB109" s="539">
        <f t="shared" si="35"/>
        <v>4814.2596201085926</v>
      </c>
      <c r="CC109" s="539">
        <f t="shared" si="35"/>
        <v>4617.7718011798452</v>
      </c>
      <c r="CD109" s="539">
        <f t="shared" si="35"/>
        <v>4635.4811967250052</v>
      </c>
      <c r="CE109" s="539">
        <f t="shared" si="35"/>
        <v>4670.2074078817031</v>
      </c>
      <c r="CF109" s="539">
        <f t="shared" si="35"/>
        <v>4658.0351907399381</v>
      </c>
      <c r="CG109" s="539">
        <f t="shared" si="35"/>
        <v>4632.6384155731694</v>
      </c>
      <c r="CH109" s="539">
        <f t="shared" si="35"/>
        <v>4654.4799395510099</v>
      </c>
      <c r="CI109" s="539">
        <f t="shared" si="35"/>
        <v>4690.3300953616026</v>
      </c>
      <c r="CJ109" s="539">
        <f t="shared" si="35"/>
        <v>4678.8565348451857</v>
      </c>
      <c r="CK109" s="539">
        <f t="shared" si="35"/>
        <v>4654.2351254146215</v>
      </c>
      <c r="CL109" s="539">
        <f t="shared" si="35"/>
        <v>4965.8270387247549</v>
      </c>
      <c r="CM109" s="539">
        <f t="shared" si="35"/>
        <v>5002.0011198530556</v>
      </c>
      <c r="CN109" s="539">
        <f t="shared" si="35"/>
        <v>4990.4282617092213</v>
      </c>
      <c r="CO109" s="539">
        <f t="shared" si="35"/>
        <v>4965.8107040008254</v>
      </c>
      <c r="CP109" s="539">
        <f t="shared" si="35"/>
        <v>4717.9783046696557</v>
      </c>
      <c r="CQ109" s="539">
        <f t="shared" si="35"/>
        <v>4729.233992308592</v>
      </c>
      <c r="CR109" s="539">
        <f t="shared" si="35"/>
        <v>4730.658822063725</v>
      </c>
      <c r="CS109" s="539">
        <f t="shared" si="35"/>
        <v>4706.8642132055456</v>
      </c>
      <c r="CT109" s="539">
        <f t="shared" si="35"/>
        <v>4735.3356972565371</v>
      </c>
      <c r="CU109" s="539">
        <f t="shared" si="35"/>
        <v>4772.9048284479113</v>
      </c>
      <c r="CV109" s="539">
        <f t="shared" si="35"/>
        <v>4761.9850090627306</v>
      </c>
      <c r="CW109" s="539">
        <f t="shared" si="35"/>
        <v>4738.3327137651941</v>
      </c>
      <c r="CX109" s="539">
        <f t="shared" si="35"/>
        <v>4768.7511838966802</v>
      </c>
      <c r="CY109" s="539">
        <f t="shared" si="35"/>
        <v>4806.4773364047887</v>
      </c>
      <c r="CZ109" s="539">
        <f t="shared" si="35"/>
        <v>4795.3607319199509</v>
      </c>
      <c r="DA109" s="539">
        <f t="shared" si="35"/>
        <v>4771.6969558088413</v>
      </c>
      <c r="DB109" s="539">
        <f t="shared" si="35"/>
        <v>0</v>
      </c>
      <c r="DC109" s="539">
        <f t="shared" si="35"/>
        <v>0</v>
      </c>
      <c r="DD109" s="539">
        <f t="shared" si="35"/>
        <v>0</v>
      </c>
      <c r="DE109" s="539">
        <f t="shared" si="35"/>
        <v>0</v>
      </c>
      <c r="DF109" s="539">
        <f t="shared" si="35"/>
        <v>0</v>
      </c>
      <c r="DG109" s="539">
        <f t="shared" si="35"/>
        <v>0</v>
      </c>
      <c r="DH109" s="539">
        <f t="shared" si="35"/>
        <v>0</v>
      </c>
      <c r="DI109" s="539">
        <f t="shared" si="35"/>
        <v>0</v>
      </c>
      <c r="DJ109" s="539">
        <f t="shared" si="35"/>
        <v>0</v>
      </c>
      <c r="DK109" s="539">
        <f t="shared" si="35"/>
        <v>0</v>
      </c>
      <c r="DL109" s="539">
        <f t="shared" si="35"/>
        <v>0</v>
      </c>
      <c r="DM109" s="539">
        <f t="shared" si="35"/>
        <v>0</v>
      </c>
      <c r="DN109" s="539">
        <f t="shared" si="35"/>
        <v>0</v>
      </c>
      <c r="DO109" s="539">
        <f t="shared" si="35"/>
        <v>0</v>
      </c>
      <c r="DP109" s="539">
        <f t="shared" si="35"/>
        <v>0</v>
      </c>
      <c r="DQ109" s="539">
        <f t="shared" si="35"/>
        <v>0</v>
      </c>
      <c r="DR109" s="539">
        <f t="shared" si="35"/>
        <v>0</v>
      </c>
      <c r="DS109" s="539">
        <f t="shared" si="35"/>
        <v>0</v>
      </c>
      <c r="DT109" s="539">
        <f t="shared" si="35"/>
        <v>0</v>
      </c>
      <c r="DU109" s="539">
        <f t="shared" si="35"/>
        <v>0</v>
      </c>
      <c r="DV109" s="539">
        <f t="shared" si="35"/>
        <v>0</v>
      </c>
      <c r="DW109" s="539">
        <f t="shared" si="35"/>
        <v>0</v>
      </c>
      <c r="DX109" s="539">
        <f t="shared" si="35"/>
        <v>0</v>
      </c>
      <c r="DY109" s="539">
        <f t="shared" si="35"/>
        <v>0</v>
      </c>
      <c r="DZ109" s="539">
        <f t="shared" si="35"/>
        <v>0</v>
      </c>
      <c r="EA109" s="539">
        <f t="shared" si="35"/>
        <v>0</v>
      </c>
      <c r="EB109" s="539">
        <f t="shared" si="35"/>
        <v>0</v>
      </c>
      <c r="EC109" s="539">
        <f t="shared" si="35"/>
        <v>0</v>
      </c>
      <c r="ED109" s="539">
        <f t="shared" si="35"/>
        <v>0</v>
      </c>
      <c r="EE109" s="539">
        <f t="shared" si="35"/>
        <v>0</v>
      </c>
      <c r="EF109" s="539">
        <f t="shared" si="35"/>
        <v>0</v>
      </c>
      <c r="EG109" s="539">
        <f t="shared" si="35"/>
        <v>0</v>
      </c>
    </row>
    <row r="110" spans="5:137" ht="12.75">
      <c r="E110" s="540" t="s">
        <v>326</v>
      </c>
      <c r="G110" s="549" t="s">
        <v>68</v>
      </c>
      <c r="H110" s="549">
        <f>SUM(J110:EG110)</f>
        <v>139.47054794249641</v>
      </c>
      <c r="J110" s="549">
        <f t="shared" si="36" ref="J110:EG110">IF(J109&gt;$F106,J107/J109,0)*J108</f>
        <v>0</v>
      </c>
      <c r="K110" s="549">
        <f t="shared" si="36"/>
        <v>0</v>
      </c>
      <c r="L110" s="549">
        <f t="shared" si="36"/>
        <v>0</v>
      </c>
      <c r="M110" s="549">
        <f t="shared" si="36"/>
        <v>0</v>
      </c>
      <c r="N110" s="549">
        <f t="shared" si="36"/>
        <v>0</v>
      </c>
      <c r="O110" s="549">
        <f t="shared" si="36"/>
        <v>0</v>
      </c>
      <c r="P110" s="549">
        <f t="shared" si="36"/>
        <v>0</v>
      </c>
      <c r="Q110" s="549">
        <f t="shared" si="36"/>
        <v>0</v>
      </c>
      <c r="R110" s="549">
        <f t="shared" si="36"/>
        <v>0</v>
      </c>
      <c r="S110" s="549">
        <f t="shared" si="36"/>
        <v>0</v>
      </c>
      <c r="T110" s="549">
        <f t="shared" si="36"/>
        <v>0</v>
      </c>
      <c r="U110" s="549">
        <f t="shared" si="36"/>
        <v>0</v>
      </c>
      <c r="V110" s="549">
        <f t="shared" si="36"/>
        <v>0</v>
      </c>
      <c r="W110" s="549">
        <f t="shared" si="36"/>
        <v>0</v>
      </c>
      <c r="X110" s="549">
        <f t="shared" si="36"/>
        <v>0</v>
      </c>
      <c r="Y110" s="549">
        <f t="shared" si="36"/>
        <v>0</v>
      </c>
      <c r="Z110" s="549">
        <f t="shared" si="36"/>
        <v>0</v>
      </c>
      <c r="AA110" s="549">
        <f t="shared" si="36"/>
        <v>0</v>
      </c>
      <c r="AB110" s="549">
        <f t="shared" si="36"/>
        <v>0</v>
      </c>
      <c r="AC110" s="549">
        <f t="shared" si="36"/>
        <v>0</v>
      </c>
      <c r="AD110" s="549">
        <f t="shared" si="36"/>
        <v>0</v>
      </c>
      <c r="AE110" s="549">
        <f t="shared" si="36"/>
        <v>0</v>
      </c>
      <c r="AF110" s="549">
        <f t="shared" si="36"/>
        <v>0</v>
      </c>
      <c r="AG110" s="549">
        <f t="shared" si="36"/>
        <v>0</v>
      </c>
      <c r="AH110" s="549">
        <f t="shared" si="36"/>
        <v>1.9370909436457795</v>
      </c>
      <c r="AI110" s="549">
        <f t="shared" si="36"/>
        <v>1.9370909436457795</v>
      </c>
      <c r="AJ110" s="549">
        <f t="shared" si="36"/>
        <v>1.9370909436457797</v>
      </c>
      <c r="AK110" s="549">
        <f t="shared" si="36"/>
        <v>1.9370909436457795</v>
      </c>
      <c r="AL110" s="549">
        <f t="shared" si="36"/>
        <v>1.9370909436457797</v>
      </c>
      <c r="AM110" s="549">
        <f t="shared" si="36"/>
        <v>1.9370909436457795</v>
      </c>
      <c r="AN110" s="549">
        <f t="shared" si="36"/>
        <v>1.9370909436457795</v>
      </c>
      <c r="AO110" s="549">
        <f t="shared" si="36"/>
        <v>1.9370909436457795</v>
      </c>
      <c r="AP110" s="549">
        <f t="shared" si="36"/>
        <v>1.9370909436457795</v>
      </c>
      <c r="AQ110" s="549">
        <f t="shared" si="36"/>
        <v>1.9370909436457797</v>
      </c>
      <c r="AR110" s="549">
        <f t="shared" si="36"/>
        <v>1.9370909436457795</v>
      </c>
      <c r="AS110" s="549">
        <f t="shared" si="36"/>
        <v>1.9370909436457793</v>
      </c>
      <c r="AT110" s="549">
        <f t="shared" si="36"/>
        <v>1.9370909436457795</v>
      </c>
      <c r="AU110" s="549">
        <f t="shared" si="36"/>
        <v>1.9370909436457795</v>
      </c>
      <c r="AV110" s="549">
        <f t="shared" si="36"/>
        <v>1.9370909436457795</v>
      </c>
      <c r="AW110" s="549">
        <f t="shared" si="36"/>
        <v>1.9370909436457795</v>
      </c>
      <c r="AX110" s="549">
        <f t="shared" si="36"/>
        <v>1.9370909436457795</v>
      </c>
      <c r="AY110" s="549">
        <f t="shared" si="36"/>
        <v>1.9370909436457795</v>
      </c>
      <c r="AZ110" s="549">
        <f t="shared" si="36"/>
        <v>1.9370909436457795</v>
      </c>
      <c r="BA110" s="549">
        <f t="shared" si="36"/>
        <v>1.9370909436457795</v>
      </c>
      <c r="BB110" s="549">
        <f t="shared" si="36"/>
        <v>1.9370909436457795</v>
      </c>
      <c r="BC110" s="549">
        <f t="shared" si="36"/>
        <v>1.9370909436457793</v>
      </c>
      <c r="BD110" s="549">
        <f t="shared" si="36"/>
        <v>1.9370909436457793</v>
      </c>
      <c r="BE110" s="549">
        <f t="shared" si="36"/>
        <v>1.9370909436457795</v>
      </c>
      <c r="BF110" s="549">
        <f t="shared" si="36"/>
        <v>1.9370909436457795</v>
      </c>
      <c r="BG110" s="549">
        <f t="shared" si="36"/>
        <v>1.9370909436457795</v>
      </c>
      <c r="BH110" s="549">
        <f t="shared" si="36"/>
        <v>1.9370909436457795</v>
      </c>
      <c r="BI110" s="549">
        <f t="shared" si="36"/>
        <v>1.9370909436457795</v>
      </c>
      <c r="BJ110" s="549">
        <f t="shared" si="36"/>
        <v>1.9370909436457795</v>
      </c>
      <c r="BK110" s="549">
        <f t="shared" si="36"/>
        <v>1.9370909436457795</v>
      </c>
      <c r="BL110" s="549">
        <f t="shared" si="36"/>
        <v>1.9370909436457795</v>
      </c>
      <c r="BM110" s="549">
        <f t="shared" si="36"/>
        <v>1.9370909436457795</v>
      </c>
      <c r="BN110" s="549">
        <f t="shared" si="36"/>
        <v>1.9370909436457795</v>
      </c>
      <c r="BO110" s="549">
        <f t="shared" si="36"/>
        <v>1.9370909436457795</v>
      </c>
      <c r="BP110" s="549">
        <f t="shared" si="36"/>
        <v>1.9370909436457797</v>
      </c>
      <c r="BQ110" s="549">
        <f t="shared" si="36"/>
        <v>1.9370909436457795</v>
      </c>
      <c r="BR110" s="549">
        <f t="shared" si="36"/>
        <v>1.9370909436457795</v>
      </c>
      <c r="BS110" s="549">
        <f t="shared" si="36"/>
        <v>1.9370909436457797</v>
      </c>
      <c r="BT110" s="549">
        <f t="shared" si="36"/>
        <v>1.9370909436457795</v>
      </c>
      <c r="BU110" s="549">
        <f t="shared" si="36"/>
        <v>1.9370909436457797</v>
      </c>
      <c r="BV110" s="549">
        <f t="shared" si="36"/>
        <v>1.9370909436457795</v>
      </c>
      <c r="BW110" s="549">
        <f t="shared" si="36"/>
        <v>1.9370909436457797</v>
      </c>
      <c r="BX110" s="549">
        <f t="shared" si="36"/>
        <v>1.9370909436457795</v>
      </c>
      <c r="BY110" s="549">
        <f t="shared" si="36"/>
        <v>1.9370909436457797</v>
      </c>
      <c r="BZ110" s="549">
        <f t="shared" si="36"/>
        <v>1.9370909436457795</v>
      </c>
      <c r="CA110" s="549">
        <f t="shared" si="36"/>
        <v>1.9370909436457795</v>
      </c>
      <c r="CB110" s="549">
        <f t="shared" si="36"/>
        <v>1.9370909436457795</v>
      </c>
      <c r="CC110" s="549">
        <f t="shared" si="36"/>
        <v>1.9370909436457797</v>
      </c>
      <c r="CD110" s="549">
        <f t="shared" si="36"/>
        <v>1.9370909436457797</v>
      </c>
      <c r="CE110" s="549">
        <f t="shared" si="36"/>
        <v>1.9370909436457793</v>
      </c>
      <c r="CF110" s="549">
        <f t="shared" si="36"/>
        <v>1.9370909436457795</v>
      </c>
      <c r="CG110" s="549">
        <f t="shared" si="36"/>
        <v>1.9370909436457795</v>
      </c>
      <c r="CH110" s="549">
        <f t="shared" si="36"/>
        <v>1.9370909436457795</v>
      </c>
      <c r="CI110" s="549">
        <f t="shared" si="36"/>
        <v>1.9370909436457797</v>
      </c>
      <c r="CJ110" s="549">
        <f t="shared" si="36"/>
        <v>1.9370909436457797</v>
      </c>
      <c r="CK110" s="549">
        <f t="shared" si="36"/>
        <v>1.9370909436457797</v>
      </c>
      <c r="CL110" s="549">
        <f t="shared" si="36"/>
        <v>1.9370909436457795</v>
      </c>
      <c r="CM110" s="549">
        <f t="shared" si="36"/>
        <v>1.9370909436457797</v>
      </c>
      <c r="CN110" s="549">
        <f t="shared" si="36"/>
        <v>1.9370909436457797</v>
      </c>
      <c r="CO110" s="549">
        <f t="shared" si="36"/>
        <v>1.9370909436457795</v>
      </c>
      <c r="CP110" s="549">
        <f t="shared" si="36"/>
        <v>1.9370909436457795</v>
      </c>
      <c r="CQ110" s="549">
        <f t="shared" si="36"/>
        <v>1.9370909436457795</v>
      </c>
      <c r="CR110" s="549">
        <f t="shared" si="36"/>
        <v>1.9370909436457795</v>
      </c>
      <c r="CS110" s="549">
        <f t="shared" si="36"/>
        <v>1.9370909436457795</v>
      </c>
      <c r="CT110" s="549">
        <f t="shared" si="36"/>
        <v>1.9370909436457797</v>
      </c>
      <c r="CU110" s="549">
        <f t="shared" si="36"/>
        <v>1.9370909436457795</v>
      </c>
      <c r="CV110" s="549">
        <f t="shared" si="36"/>
        <v>1.9370909436457795</v>
      </c>
      <c r="CW110" s="549">
        <f t="shared" si="36"/>
        <v>1.9370909436457797</v>
      </c>
      <c r="CX110" s="549">
        <f t="shared" si="36"/>
        <v>1.9370909436457797</v>
      </c>
      <c r="CY110" s="549">
        <f t="shared" si="36"/>
        <v>1.9370909436457793</v>
      </c>
      <c r="CZ110" s="549">
        <f t="shared" si="36"/>
        <v>1.9370909436457793</v>
      </c>
      <c r="DA110" s="549">
        <f t="shared" si="36"/>
        <v>1.9370909436459081</v>
      </c>
      <c r="DB110" s="549">
        <f t="shared" si="36"/>
        <v>0</v>
      </c>
      <c r="DC110" s="549">
        <f t="shared" si="36"/>
        <v>0</v>
      </c>
      <c r="DD110" s="549">
        <f t="shared" si="36"/>
        <v>0</v>
      </c>
      <c r="DE110" s="549">
        <f t="shared" si="36"/>
        <v>0</v>
      </c>
      <c r="DF110" s="549">
        <f t="shared" si="36"/>
        <v>0</v>
      </c>
      <c r="DG110" s="549">
        <f t="shared" si="36"/>
        <v>0</v>
      </c>
      <c r="DH110" s="549">
        <f t="shared" si="36"/>
        <v>0</v>
      </c>
      <c r="DI110" s="549">
        <f t="shared" si="36"/>
        <v>0</v>
      </c>
      <c r="DJ110" s="549">
        <f t="shared" si="36"/>
        <v>0</v>
      </c>
      <c r="DK110" s="549">
        <f t="shared" si="36"/>
        <v>0</v>
      </c>
      <c r="DL110" s="549">
        <f t="shared" si="36"/>
        <v>0</v>
      </c>
      <c r="DM110" s="549">
        <f t="shared" si="36"/>
        <v>0</v>
      </c>
      <c r="DN110" s="549">
        <f t="shared" si="36"/>
        <v>0</v>
      </c>
      <c r="DO110" s="549">
        <f t="shared" si="36"/>
        <v>0</v>
      </c>
      <c r="DP110" s="549">
        <f t="shared" si="36"/>
        <v>0</v>
      </c>
      <c r="DQ110" s="549">
        <f t="shared" si="36"/>
        <v>0</v>
      </c>
      <c r="DR110" s="549">
        <f t="shared" si="36"/>
        <v>0</v>
      </c>
      <c r="DS110" s="549">
        <f t="shared" si="36"/>
        <v>0</v>
      </c>
      <c r="DT110" s="549">
        <f t="shared" si="36"/>
        <v>0</v>
      </c>
      <c r="DU110" s="549">
        <f t="shared" si="36"/>
        <v>0</v>
      </c>
      <c r="DV110" s="549">
        <f t="shared" si="36"/>
        <v>0</v>
      </c>
      <c r="DW110" s="549">
        <f t="shared" si="36"/>
        <v>0</v>
      </c>
      <c r="DX110" s="549">
        <f t="shared" si="36"/>
        <v>0</v>
      </c>
      <c r="DY110" s="549">
        <f t="shared" si="36"/>
        <v>0</v>
      </c>
      <c r="DZ110" s="549">
        <f t="shared" si="36"/>
        <v>0</v>
      </c>
      <c r="EA110" s="549">
        <f t="shared" si="36"/>
        <v>0</v>
      </c>
      <c r="EB110" s="549">
        <f t="shared" si="36"/>
        <v>0</v>
      </c>
      <c r="EC110" s="549">
        <f t="shared" si="36"/>
        <v>0</v>
      </c>
      <c r="ED110" s="549">
        <f t="shared" si="36"/>
        <v>0</v>
      </c>
      <c r="EE110" s="549">
        <f t="shared" si="36"/>
        <v>0</v>
      </c>
      <c r="EF110" s="549">
        <f t="shared" si="36"/>
        <v>0</v>
      </c>
      <c r="EG110" s="549">
        <f t="shared" si="36"/>
        <v>0</v>
      </c>
    </row>
    <row r="112" spans="5:137" ht="12.75">
      <c r="E112" s="538" t="str">
        <f>E$15</f>
        <v>Senior facility - repayment period flag</v>
      </c>
      <c r="G112" s="539" t="str">
        <f>G$15</f>
        <v>flag</v>
      </c>
      <c r="H112" s="539">
        <f>H$15</f>
        <v>72</v>
      </c>
      <c r="J112" s="539">
        <f t="shared" si="37" ref="J112:EG112">J$15</f>
        <v>0</v>
      </c>
      <c r="K112" s="539">
        <f t="shared" si="37"/>
        <v>0</v>
      </c>
      <c r="L112" s="539">
        <f t="shared" si="37"/>
        <v>0</v>
      </c>
      <c r="M112" s="539">
        <f t="shared" si="37"/>
        <v>0</v>
      </c>
      <c r="N112" s="539">
        <f t="shared" si="37"/>
        <v>0</v>
      </c>
      <c r="O112" s="539">
        <f t="shared" si="37"/>
        <v>0</v>
      </c>
      <c r="P112" s="539">
        <f t="shared" si="37"/>
        <v>0</v>
      </c>
      <c r="Q112" s="539">
        <f t="shared" si="37"/>
        <v>0</v>
      </c>
      <c r="R112" s="539">
        <f t="shared" si="37"/>
        <v>0</v>
      </c>
      <c r="S112" s="539">
        <f t="shared" si="37"/>
        <v>0</v>
      </c>
      <c r="T112" s="539">
        <f t="shared" si="37"/>
        <v>0</v>
      </c>
      <c r="U112" s="539">
        <f t="shared" si="37"/>
        <v>0</v>
      </c>
      <c r="V112" s="539">
        <f t="shared" si="37"/>
        <v>0</v>
      </c>
      <c r="W112" s="539">
        <f t="shared" si="37"/>
        <v>0</v>
      </c>
      <c r="X112" s="539">
        <f t="shared" si="37"/>
        <v>0</v>
      </c>
      <c r="Y112" s="539">
        <f t="shared" si="37"/>
        <v>0</v>
      </c>
      <c r="Z112" s="539">
        <f t="shared" si="37"/>
        <v>0</v>
      </c>
      <c r="AA112" s="539">
        <f t="shared" si="37"/>
        <v>0</v>
      </c>
      <c r="AB112" s="539">
        <f t="shared" si="37"/>
        <v>0</v>
      </c>
      <c r="AC112" s="539">
        <f t="shared" si="37"/>
        <v>0</v>
      </c>
      <c r="AD112" s="539">
        <f t="shared" si="37"/>
        <v>0</v>
      </c>
      <c r="AE112" s="539">
        <f t="shared" si="37"/>
        <v>0</v>
      </c>
      <c r="AF112" s="539">
        <f t="shared" si="37"/>
        <v>0</v>
      </c>
      <c r="AG112" s="539">
        <f t="shared" si="37"/>
        <v>0</v>
      </c>
      <c r="AH112" s="539">
        <f t="shared" si="37"/>
        <v>1</v>
      </c>
      <c r="AI112" s="539">
        <f t="shared" si="37"/>
        <v>1</v>
      </c>
      <c r="AJ112" s="539">
        <f t="shared" si="37"/>
        <v>1</v>
      </c>
      <c r="AK112" s="539">
        <f t="shared" si="37"/>
        <v>1</v>
      </c>
      <c r="AL112" s="539">
        <f t="shared" si="37"/>
        <v>1</v>
      </c>
      <c r="AM112" s="539">
        <f t="shared" si="37"/>
        <v>1</v>
      </c>
      <c r="AN112" s="539">
        <f t="shared" si="37"/>
        <v>1</v>
      </c>
      <c r="AO112" s="539">
        <f t="shared" si="37"/>
        <v>1</v>
      </c>
      <c r="AP112" s="539">
        <f t="shared" si="37"/>
        <v>1</v>
      </c>
      <c r="AQ112" s="539">
        <f t="shared" si="37"/>
        <v>1</v>
      </c>
      <c r="AR112" s="539">
        <f t="shared" si="37"/>
        <v>1</v>
      </c>
      <c r="AS112" s="539">
        <f t="shared" si="37"/>
        <v>1</v>
      </c>
      <c r="AT112" s="539">
        <f t="shared" si="37"/>
        <v>1</v>
      </c>
      <c r="AU112" s="539">
        <f t="shared" si="37"/>
        <v>1</v>
      </c>
      <c r="AV112" s="539">
        <f t="shared" si="37"/>
        <v>1</v>
      </c>
      <c r="AW112" s="539">
        <f t="shared" si="37"/>
        <v>1</v>
      </c>
      <c r="AX112" s="539">
        <f t="shared" si="37"/>
        <v>1</v>
      </c>
      <c r="AY112" s="539">
        <f t="shared" si="37"/>
        <v>1</v>
      </c>
      <c r="AZ112" s="539">
        <f t="shared" si="37"/>
        <v>1</v>
      </c>
      <c r="BA112" s="539">
        <f t="shared" si="37"/>
        <v>1</v>
      </c>
      <c r="BB112" s="539">
        <f t="shared" si="37"/>
        <v>1</v>
      </c>
      <c r="BC112" s="539">
        <f t="shared" si="37"/>
        <v>1</v>
      </c>
      <c r="BD112" s="539">
        <f t="shared" si="37"/>
        <v>1</v>
      </c>
      <c r="BE112" s="539">
        <f t="shared" si="37"/>
        <v>1</v>
      </c>
      <c r="BF112" s="539">
        <f t="shared" si="37"/>
        <v>1</v>
      </c>
      <c r="BG112" s="539">
        <f t="shared" si="37"/>
        <v>1</v>
      </c>
      <c r="BH112" s="539">
        <f t="shared" si="37"/>
        <v>1</v>
      </c>
      <c r="BI112" s="539">
        <f t="shared" si="37"/>
        <v>1</v>
      </c>
      <c r="BJ112" s="539">
        <f t="shared" si="37"/>
        <v>1</v>
      </c>
      <c r="BK112" s="539">
        <f t="shared" si="37"/>
        <v>1</v>
      </c>
      <c r="BL112" s="539">
        <f t="shared" si="37"/>
        <v>1</v>
      </c>
      <c r="BM112" s="539">
        <f t="shared" si="37"/>
        <v>1</v>
      </c>
      <c r="BN112" s="539">
        <f t="shared" si="37"/>
        <v>1</v>
      </c>
      <c r="BO112" s="539">
        <f t="shared" si="37"/>
        <v>1</v>
      </c>
      <c r="BP112" s="539">
        <f t="shared" si="37"/>
        <v>1</v>
      </c>
      <c r="BQ112" s="539">
        <f t="shared" si="37"/>
        <v>1</v>
      </c>
      <c r="BR112" s="539">
        <f t="shared" si="37"/>
        <v>1</v>
      </c>
      <c r="BS112" s="539">
        <f t="shared" si="37"/>
        <v>1</v>
      </c>
      <c r="BT112" s="539">
        <f t="shared" si="37"/>
        <v>1</v>
      </c>
      <c r="BU112" s="539">
        <f t="shared" si="37"/>
        <v>1</v>
      </c>
      <c r="BV112" s="539">
        <f t="shared" si="37"/>
        <v>1</v>
      </c>
      <c r="BW112" s="539">
        <f t="shared" si="37"/>
        <v>1</v>
      </c>
      <c r="BX112" s="539">
        <f t="shared" si="37"/>
        <v>1</v>
      </c>
      <c r="BY112" s="539">
        <f t="shared" si="37"/>
        <v>1</v>
      </c>
      <c r="BZ112" s="539">
        <f t="shared" si="37"/>
        <v>1</v>
      </c>
      <c r="CA112" s="539">
        <f t="shared" si="37"/>
        <v>1</v>
      </c>
      <c r="CB112" s="539">
        <f t="shared" si="37"/>
        <v>1</v>
      </c>
      <c r="CC112" s="539">
        <f t="shared" si="37"/>
        <v>1</v>
      </c>
      <c r="CD112" s="539">
        <f t="shared" si="37"/>
        <v>1</v>
      </c>
      <c r="CE112" s="539">
        <f t="shared" si="37"/>
        <v>1</v>
      </c>
      <c r="CF112" s="539">
        <f t="shared" si="37"/>
        <v>1</v>
      </c>
      <c r="CG112" s="539">
        <f t="shared" si="37"/>
        <v>1</v>
      </c>
      <c r="CH112" s="539">
        <f t="shared" si="37"/>
        <v>1</v>
      </c>
      <c r="CI112" s="539">
        <f t="shared" si="37"/>
        <v>1</v>
      </c>
      <c r="CJ112" s="539">
        <f t="shared" si="37"/>
        <v>1</v>
      </c>
      <c r="CK112" s="539">
        <f t="shared" si="37"/>
        <v>1</v>
      </c>
      <c r="CL112" s="539">
        <f t="shared" si="37"/>
        <v>1</v>
      </c>
      <c r="CM112" s="539">
        <f t="shared" si="37"/>
        <v>1</v>
      </c>
      <c r="CN112" s="539">
        <f t="shared" si="37"/>
        <v>1</v>
      </c>
      <c r="CO112" s="539">
        <f t="shared" si="37"/>
        <v>1</v>
      </c>
      <c r="CP112" s="539">
        <f t="shared" si="37"/>
        <v>1</v>
      </c>
      <c r="CQ112" s="539">
        <f t="shared" si="37"/>
        <v>1</v>
      </c>
      <c r="CR112" s="539">
        <f t="shared" si="37"/>
        <v>1</v>
      </c>
      <c r="CS112" s="539">
        <f t="shared" si="37"/>
        <v>1</v>
      </c>
      <c r="CT112" s="539">
        <f t="shared" si="37"/>
        <v>1</v>
      </c>
      <c r="CU112" s="539">
        <f t="shared" si="37"/>
        <v>1</v>
      </c>
      <c r="CV112" s="539">
        <f t="shared" si="37"/>
        <v>1</v>
      </c>
      <c r="CW112" s="539">
        <f t="shared" si="37"/>
        <v>1</v>
      </c>
      <c r="CX112" s="539">
        <f t="shared" si="37"/>
        <v>1</v>
      </c>
      <c r="CY112" s="539">
        <f t="shared" si="37"/>
        <v>1</v>
      </c>
      <c r="CZ112" s="539">
        <f t="shared" si="37"/>
        <v>1</v>
      </c>
      <c r="DA112" s="539">
        <f t="shared" si="37"/>
        <v>1</v>
      </c>
      <c r="DB112" s="539">
        <f t="shared" si="37"/>
        <v>0</v>
      </c>
      <c r="DC112" s="539">
        <f t="shared" si="37"/>
        <v>0</v>
      </c>
      <c r="DD112" s="539">
        <f t="shared" si="37"/>
        <v>0</v>
      </c>
      <c r="DE112" s="539">
        <f t="shared" si="37"/>
        <v>0</v>
      </c>
      <c r="DF112" s="539">
        <f t="shared" si="37"/>
        <v>0</v>
      </c>
      <c r="DG112" s="539">
        <f t="shared" si="37"/>
        <v>0</v>
      </c>
      <c r="DH112" s="539">
        <f t="shared" si="37"/>
        <v>0</v>
      </c>
      <c r="DI112" s="539">
        <f t="shared" si="37"/>
        <v>0</v>
      </c>
      <c r="DJ112" s="539">
        <f t="shared" si="37"/>
        <v>0</v>
      </c>
      <c r="DK112" s="539">
        <f t="shared" si="37"/>
        <v>0</v>
      </c>
      <c r="DL112" s="539">
        <f t="shared" si="37"/>
        <v>0</v>
      </c>
      <c r="DM112" s="539">
        <f t="shared" si="37"/>
        <v>0</v>
      </c>
      <c r="DN112" s="539">
        <f t="shared" si="37"/>
        <v>0</v>
      </c>
      <c r="DO112" s="539">
        <f t="shared" si="37"/>
        <v>0</v>
      </c>
      <c r="DP112" s="539">
        <f t="shared" si="37"/>
        <v>0</v>
      </c>
      <c r="DQ112" s="539">
        <f t="shared" si="37"/>
        <v>0</v>
      </c>
      <c r="DR112" s="539">
        <f t="shared" si="37"/>
        <v>0</v>
      </c>
      <c r="DS112" s="539">
        <f t="shared" si="37"/>
        <v>0</v>
      </c>
      <c r="DT112" s="539">
        <f t="shared" si="37"/>
        <v>0</v>
      </c>
      <c r="DU112" s="539">
        <f t="shared" si="37"/>
        <v>0</v>
      </c>
      <c r="DV112" s="539">
        <f t="shared" si="37"/>
        <v>0</v>
      </c>
      <c r="DW112" s="539">
        <f t="shared" si="37"/>
        <v>0</v>
      </c>
      <c r="DX112" s="539">
        <f t="shared" si="37"/>
        <v>0</v>
      </c>
      <c r="DY112" s="539">
        <f t="shared" si="37"/>
        <v>0</v>
      </c>
      <c r="DZ112" s="539">
        <f t="shared" si="37"/>
        <v>0</v>
      </c>
      <c r="EA112" s="539">
        <f t="shared" si="37"/>
        <v>0</v>
      </c>
      <c r="EB112" s="539">
        <f t="shared" si="37"/>
        <v>0</v>
      </c>
      <c r="EC112" s="539">
        <f t="shared" si="37"/>
        <v>0</v>
      </c>
      <c r="ED112" s="539">
        <f t="shared" si="37"/>
        <v>0</v>
      </c>
      <c r="EE112" s="539">
        <f t="shared" si="37"/>
        <v>0</v>
      </c>
      <c r="EF112" s="539">
        <f t="shared" si="37"/>
        <v>0</v>
      </c>
      <c r="EG112" s="539">
        <f t="shared" si="37"/>
        <v>0</v>
      </c>
    </row>
    <row r="113" spans="5:137" ht="12.75">
      <c r="E113" s="538" t="str">
        <f>E$24</f>
        <v>Senior facility - debt service at target DSCR</v>
      </c>
      <c r="G113" s="539" t="str">
        <f>G$24</f>
        <v>EUR 000s</v>
      </c>
      <c r="H113" s="539">
        <f>H$24</f>
        <v>522169.59242038633</v>
      </c>
      <c r="J113" s="539">
        <f t="shared" si="38" ref="J113:EG113">J$24</f>
        <v>0</v>
      </c>
      <c r="K113" s="539">
        <f t="shared" si="38"/>
        <v>0</v>
      </c>
      <c r="L113" s="539">
        <f t="shared" si="38"/>
        <v>0</v>
      </c>
      <c r="M113" s="539">
        <f t="shared" si="38"/>
        <v>0</v>
      </c>
      <c r="N113" s="539">
        <f t="shared" si="38"/>
        <v>0</v>
      </c>
      <c r="O113" s="539">
        <f t="shared" si="38"/>
        <v>0</v>
      </c>
      <c r="P113" s="539">
        <f t="shared" si="38"/>
        <v>0</v>
      </c>
      <c r="Q113" s="539">
        <f t="shared" si="38"/>
        <v>0</v>
      </c>
      <c r="R113" s="539">
        <f t="shared" si="38"/>
        <v>0</v>
      </c>
      <c r="S113" s="539">
        <f t="shared" si="38"/>
        <v>0</v>
      </c>
      <c r="T113" s="539">
        <f t="shared" si="38"/>
        <v>0</v>
      </c>
      <c r="U113" s="539">
        <f t="shared" si="38"/>
        <v>0</v>
      </c>
      <c r="V113" s="539">
        <f t="shared" si="38"/>
        <v>0</v>
      </c>
      <c r="W113" s="539">
        <f t="shared" si="38"/>
        <v>0</v>
      </c>
      <c r="X113" s="539">
        <f t="shared" si="38"/>
        <v>0</v>
      </c>
      <c r="Y113" s="539">
        <f t="shared" si="38"/>
        <v>0</v>
      </c>
      <c r="Z113" s="539">
        <f t="shared" si="38"/>
        <v>0</v>
      </c>
      <c r="AA113" s="539">
        <f t="shared" si="38"/>
        <v>0</v>
      </c>
      <c r="AB113" s="539">
        <f t="shared" si="38"/>
        <v>0</v>
      </c>
      <c r="AC113" s="539">
        <f t="shared" si="38"/>
        <v>0</v>
      </c>
      <c r="AD113" s="539">
        <f t="shared" si="38"/>
        <v>0</v>
      </c>
      <c r="AE113" s="539">
        <f t="shared" si="38"/>
        <v>0</v>
      </c>
      <c r="AF113" s="539">
        <f t="shared" si="38"/>
        <v>0</v>
      </c>
      <c r="AG113" s="539">
        <f t="shared" si="38"/>
        <v>0</v>
      </c>
      <c r="AH113" s="539">
        <f t="shared" si="38"/>
        <v>5481.7212976378632</v>
      </c>
      <c r="AI113" s="539">
        <f t="shared" si="38"/>
        <v>6935.440850415609</v>
      </c>
      <c r="AJ113" s="539">
        <f t="shared" si="38"/>
        <v>6935.1035231908545</v>
      </c>
      <c r="AK113" s="539">
        <f t="shared" si="38"/>
        <v>6919.9237980769221</v>
      </c>
      <c r="AL113" s="539">
        <f t="shared" si="38"/>
        <v>6993.7707894544301</v>
      </c>
      <c r="AM113" s="539">
        <f t="shared" si="38"/>
        <v>7057.1852743950758</v>
      </c>
      <c r="AN113" s="539">
        <f t="shared" si="38"/>
        <v>7056.843882743301</v>
      </c>
      <c r="AO113" s="539">
        <f t="shared" si="38"/>
        <v>7041.4812584134606</v>
      </c>
      <c r="AP113" s="539">
        <f t="shared" si="38"/>
        <v>7116.9047394221188</v>
      </c>
      <c r="AQ113" s="539">
        <f t="shared" si="38"/>
        <v>7180.9278418670965</v>
      </c>
      <c r="AR113" s="539">
        <f t="shared" si="38"/>
        <v>7180.5823735503536</v>
      </c>
      <c r="AS113" s="539">
        <f t="shared" si="38"/>
        <v>7165.0362992968749</v>
      </c>
      <c r="AT113" s="539">
        <f t="shared" si="38"/>
        <v>7258.1495129582254</v>
      </c>
      <c r="AU113" s="539">
        <f t="shared" si="38"/>
        <v>7290.6165029773738</v>
      </c>
      <c r="AV113" s="539">
        <f t="shared" si="38"/>
        <v>7306.3465002283046</v>
      </c>
      <c r="AW113" s="539">
        <f t="shared" si="38"/>
        <v>7287.2595225443265</v>
      </c>
      <c r="AX113" s="539">
        <f t="shared" si="38"/>
        <v>7369.294768768942</v>
      </c>
      <c r="AY113" s="539">
        <f t="shared" si="38"/>
        <v>7434.5176111709225</v>
      </c>
      <c r="AZ113" s="539">
        <f t="shared" si="38"/>
        <v>7434.1639598022475</v>
      </c>
      <c r="BA113" s="539">
        <f t="shared" si="38"/>
        <v>7414.6234961942746</v>
      </c>
      <c r="BB113" s="539">
        <f t="shared" si="38"/>
        <v>7403.7197377320008</v>
      </c>
      <c r="BC113" s="539">
        <f t="shared" si="38"/>
        <v>7455.9703258487843</v>
      </c>
      <c r="BD113" s="539">
        <f t="shared" si="38"/>
        <v>7442.6607604228575</v>
      </c>
      <c r="BE113" s="539">
        <f t="shared" si="38"/>
        <v>7414.1928492515672</v>
      </c>
      <c r="BF113" s="539">
        <f t="shared" si="38"/>
        <v>7477.5335314415561</v>
      </c>
      <c r="BG113" s="539">
        <f t="shared" si="38"/>
        <v>7532.6476868514719</v>
      </c>
      <c r="BH113" s="539">
        <f t="shared" si="38"/>
        <v>7521.5126433565592</v>
      </c>
      <c r="BI113" s="539">
        <f t="shared" si="38"/>
        <v>7494.9404885772619</v>
      </c>
      <c r="BJ113" s="539">
        <f t="shared" si="38"/>
        <v>7578.7430683605544</v>
      </c>
      <c r="BK113" s="539">
        <f t="shared" si="38"/>
        <v>7602.6593926882833</v>
      </c>
      <c r="BL113" s="539">
        <f t="shared" si="38"/>
        <v>7610.167092484322</v>
      </c>
      <c r="BM113" s="539">
        <f t="shared" si="38"/>
        <v>7585.140597067636</v>
      </c>
      <c r="BN113" s="539">
        <f t="shared" si="38"/>
        <v>7655.4374977563357</v>
      </c>
      <c r="BO113" s="539">
        <f t="shared" si="38"/>
        <v>7715.1665578656193</v>
      </c>
      <c r="BP113" s="539">
        <f t="shared" si="38"/>
        <v>7707.3427918504349</v>
      </c>
      <c r="BQ113" s="539">
        <f t="shared" si="38"/>
        <v>7683.5708282775422</v>
      </c>
      <c r="BR113" s="539">
        <f t="shared" si="38"/>
        <v>7836.4377550379904</v>
      </c>
      <c r="BS113" s="539">
        <f t="shared" si="38"/>
        <v>7898.0348884539235</v>
      </c>
      <c r="BT113" s="539">
        <f t="shared" si="38"/>
        <v>7891.4608009063086</v>
      </c>
      <c r="BU113" s="539">
        <f t="shared" si="38"/>
        <v>7868.701313589102</v>
      </c>
      <c r="BV113" s="539">
        <f t="shared" si="38"/>
        <v>7737.4858772650969</v>
      </c>
      <c r="BW113" s="539">
        <f t="shared" si="38"/>
        <v>7188.1119477795055</v>
      </c>
      <c r="BX113" s="539">
        <f t="shared" si="38"/>
        <v>7170.5436204825528</v>
      </c>
      <c r="BY113" s="539">
        <f t="shared" si="38"/>
        <v>7137.1038575886969</v>
      </c>
      <c r="BZ113" s="539">
        <f t="shared" si="38"/>
        <v>7205.2464328139604</v>
      </c>
      <c r="CA113" s="539">
        <f t="shared" si="38"/>
        <v>7224.2610801018864</v>
      </c>
      <c r="CB113" s="539">
        <f t="shared" si="38"/>
        <v>7173.5836234399421</v>
      </c>
      <c r="CC113" s="539">
        <f t="shared" si="38"/>
        <v>6880.8030276064137</v>
      </c>
      <c r="CD113" s="539">
        <f t="shared" si="38"/>
        <v>6907.191265858698</v>
      </c>
      <c r="CE113" s="539">
        <f t="shared" si="38"/>
        <v>6958.9357498115978</v>
      </c>
      <c r="CF113" s="539">
        <f t="shared" si="38"/>
        <v>6940.7982947428272</v>
      </c>
      <c r="CG113" s="539">
        <f t="shared" si="38"/>
        <v>6902.9553230710144</v>
      </c>
      <c r="CH113" s="539">
        <f t="shared" si="38"/>
        <v>6935.5007217578586</v>
      </c>
      <c r="CI113" s="539">
        <f t="shared" si="38"/>
        <v>6988.919961872466</v>
      </c>
      <c r="CJ113" s="539">
        <f t="shared" si="38"/>
        <v>6971.8235540511405</v>
      </c>
      <c r="CK113" s="539">
        <f t="shared" si="38"/>
        <v>6935.135931568263</v>
      </c>
      <c r="CL113" s="539">
        <f t="shared" si="38"/>
        <v>7399.4296803269708</v>
      </c>
      <c r="CM113" s="539">
        <f t="shared" si="38"/>
        <v>7453.331591825694</v>
      </c>
      <c r="CN113" s="539">
        <f t="shared" si="38"/>
        <v>7436.0872235929864</v>
      </c>
      <c r="CO113" s="539">
        <f t="shared" si="38"/>
        <v>7399.4053404455926</v>
      </c>
      <c r="CP113" s="539">
        <f t="shared" si="38"/>
        <v>7030.1177279175836</v>
      </c>
      <c r="CQ113" s="539">
        <f t="shared" si="38"/>
        <v>7046.8894899098059</v>
      </c>
      <c r="CR113" s="539">
        <f t="shared" si="38"/>
        <v>7049.0125859212703</v>
      </c>
      <c r="CS113" s="539">
        <f t="shared" si="38"/>
        <v>7013.5569541314462</v>
      </c>
      <c r="CT113" s="539">
        <f t="shared" si="38"/>
        <v>7055.9814571370853</v>
      </c>
      <c r="CU113" s="539">
        <f t="shared" si="38"/>
        <v>7111.9620908228171</v>
      </c>
      <c r="CV113" s="539">
        <f t="shared" si="38"/>
        <v>7095.6907960249073</v>
      </c>
      <c r="CW113" s="539">
        <f t="shared" si="38"/>
        <v>7060.4472213962208</v>
      </c>
      <c r="CX113" s="539">
        <f t="shared" si="38"/>
        <v>7105.7728698664223</v>
      </c>
      <c r="CY113" s="539">
        <f t="shared" si="38"/>
        <v>7161.987476298772</v>
      </c>
      <c r="CZ113" s="539">
        <f t="shared" si="38"/>
        <v>7145.422957935948</v>
      </c>
      <c r="DA113" s="539">
        <f t="shared" si="38"/>
        <v>7110.1622760923501</v>
      </c>
      <c r="DB113" s="539">
        <f t="shared" si="38"/>
        <v>0</v>
      </c>
      <c r="DC113" s="539">
        <f t="shared" si="38"/>
        <v>0</v>
      </c>
      <c r="DD113" s="539">
        <f t="shared" si="38"/>
        <v>0</v>
      </c>
      <c r="DE113" s="539">
        <f t="shared" si="38"/>
        <v>0</v>
      </c>
      <c r="DF113" s="539">
        <f t="shared" si="38"/>
        <v>0</v>
      </c>
      <c r="DG113" s="539">
        <f t="shared" si="38"/>
        <v>0</v>
      </c>
      <c r="DH113" s="539">
        <f t="shared" si="38"/>
        <v>0</v>
      </c>
      <c r="DI113" s="539">
        <f t="shared" si="38"/>
        <v>0</v>
      </c>
      <c r="DJ113" s="539">
        <f t="shared" si="38"/>
        <v>0</v>
      </c>
      <c r="DK113" s="539">
        <f t="shared" si="38"/>
        <v>0</v>
      </c>
      <c r="DL113" s="539">
        <f t="shared" si="38"/>
        <v>0</v>
      </c>
      <c r="DM113" s="539">
        <f t="shared" si="38"/>
        <v>0</v>
      </c>
      <c r="DN113" s="539">
        <f t="shared" si="38"/>
        <v>0</v>
      </c>
      <c r="DO113" s="539">
        <f t="shared" si="38"/>
        <v>0</v>
      </c>
      <c r="DP113" s="539">
        <f t="shared" si="38"/>
        <v>0</v>
      </c>
      <c r="DQ113" s="539">
        <f t="shared" si="38"/>
        <v>0</v>
      </c>
      <c r="DR113" s="539">
        <f t="shared" si="38"/>
        <v>0</v>
      </c>
      <c r="DS113" s="539">
        <f t="shared" si="38"/>
        <v>0</v>
      </c>
      <c r="DT113" s="539">
        <f t="shared" si="38"/>
        <v>0</v>
      </c>
      <c r="DU113" s="539">
        <f t="shared" si="38"/>
        <v>0</v>
      </c>
      <c r="DV113" s="539">
        <f t="shared" si="38"/>
        <v>0</v>
      </c>
      <c r="DW113" s="539">
        <f t="shared" si="38"/>
        <v>0</v>
      </c>
      <c r="DX113" s="539">
        <f t="shared" si="38"/>
        <v>0</v>
      </c>
      <c r="DY113" s="539">
        <f t="shared" si="38"/>
        <v>0</v>
      </c>
      <c r="DZ113" s="539">
        <f t="shared" si="38"/>
        <v>0</v>
      </c>
      <c r="EA113" s="539">
        <f t="shared" si="38"/>
        <v>0</v>
      </c>
      <c r="EB113" s="539">
        <f t="shared" si="38"/>
        <v>0</v>
      </c>
      <c r="EC113" s="539">
        <f t="shared" si="38"/>
        <v>0</v>
      </c>
      <c r="ED113" s="539">
        <f t="shared" si="38"/>
        <v>0</v>
      </c>
      <c r="EE113" s="539">
        <f t="shared" si="38"/>
        <v>0</v>
      </c>
      <c r="EF113" s="539">
        <f t="shared" si="38"/>
        <v>0</v>
      </c>
      <c r="EG113" s="539">
        <f t="shared" si="38"/>
        <v>0</v>
      </c>
    </row>
    <row r="114" spans="5:137" ht="12.75">
      <c r="E114" s="538" t="str">
        <f>E$104</f>
        <v>Senior facility - debt service</v>
      </c>
      <c r="G114" s="539" t="str">
        <f>G$104</f>
        <v>EUR 000s</v>
      </c>
      <c r="H114" s="539">
        <f>H$104</f>
        <v>350432.93778912647</v>
      </c>
      <c r="J114" s="539">
        <f t="shared" si="39" ref="J114:EG114">J$104</f>
        <v>0</v>
      </c>
      <c r="K114" s="539">
        <f t="shared" si="39"/>
        <v>0</v>
      </c>
      <c r="L114" s="539">
        <f t="shared" si="39"/>
        <v>0</v>
      </c>
      <c r="M114" s="539">
        <f t="shared" si="39"/>
        <v>0</v>
      </c>
      <c r="N114" s="539">
        <f t="shared" si="39"/>
        <v>0</v>
      </c>
      <c r="O114" s="539">
        <f t="shared" si="39"/>
        <v>0</v>
      </c>
      <c r="P114" s="539">
        <f t="shared" si="39"/>
        <v>-1.8189894035458565E-12</v>
      </c>
      <c r="Q114" s="539">
        <f t="shared" si="39"/>
        <v>0</v>
      </c>
      <c r="R114" s="539">
        <f t="shared" si="39"/>
        <v>0</v>
      </c>
      <c r="S114" s="539">
        <f t="shared" si="39"/>
        <v>0</v>
      </c>
      <c r="T114" s="539">
        <f t="shared" si="39"/>
        <v>0</v>
      </c>
      <c r="U114" s="539">
        <f t="shared" si="39"/>
        <v>0</v>
      </c>
      <c r="V114" s="539">
        <f t="shared" si="39"/>
        <v>0</v>
      </c>
      <c r="W114" s="539">
        <f t="shared" si="39"/>
        <v>0</v>
      </c>
      <c r="X114" s="539">
        <f t="shared" si="39"/>
        <v>0</v>
      </c>
      <c r="Y114" s="539">
        <f t="shared" si="39"/>
        <v>0</v>
      </c>
      <c r="Z114" s="539">
        <f t="shared" si="39"/>
        <v>0</v>
      </c>
      <c r="AA114" s="539">
        <f t="shared" si="39"/>
        <v>0</v>
      </c>
      <c r="AB114" s="539">
        <f t="shared" si="39"/>
        <v>0</v>
      </c>
      <c r="AC114" s="539">
        <f t="shared" si="39"/>
        <v>0</v>
      </c>
      <c r="AD114" s="539">
        <f t="shared" si="39"/>
        <v>0</v>
      </c>
      <c r="AE114" s="539">
        <f t="shared" si="39"/>
        <v>0</v>
      </c>
      <c r="AF114" s="539">
        <f t="shared" si="39"/>
        <v>0</v>
      </c>
      <c r="AG114" s="539">
        <f t="shared" si="39"/>
        <v>0</v>
      </c>
      <c r="AH114" s="539">
        <f t="shared" si="39"/>
        <v>3678.8348581698501</v>
      </c>
      <c r="AI114" s="539">
        <f t="shared" si="39"/>
        <v>4654.4397593286103</v>
      </c>
      <c r="AJ114" s="539">
        <f t="shared" si="39"/>
        <v>4654.2133758469154</v>
      </c>
      <c r="AK114" s="539">
        <f t="shared" si="39"/>
        <v>4644.0261191706895</v>
      </c>
      <c r="AL114" s="539">
        <f t="shared" si="39"/>
        <v>4693.5855314975461</v>
      </c>
      <c r="AM114" s="539">
        <f t="shared" si="39"/>
        <v>4736.1435903709635</v>
      </c>
      <c r="AN114" s="539">
        <f t="shared" si="39"/>
        <v>4735.9144792139659</v>
      </c>
      <c r="AO114" s="539">
        <f t="shared" si="39"/>
        <v>4725.6044771491152</v>
      </c>
      <c r="AP114" s="539">
        <f t="shared" si="39"/>
        <v>4776.2218865345076</v>
      </c>
      <c r="AQ114" s="539">
        <f t="shared" si="39"/>
        <v>4819.1883943546436</v>
      </c>
      <c r="AR114" s="539">
        <f t="shared" si="39"/>
        <v>4818.9565473093417</v>
      </c>
      <c r="AS114" s="539">
        <f t="shared" si="39"/>
        <v>4808.523430270714</v>
      </c>
      <c r="AT114" s="539">
        <f t="shared" si="39"/>
        <v>4871.0125860621984</v>
      </c>
      <c r="AU114" s="539">
        <f t="shared" si="39"/>
        <v>4892.8014892437168</v>
      </c>
      <c r="AV114" s="539">
        <f t="shared" si="39"/>
        <v>4903.358038740419</v>
      </c>
      <c r="AW114" s="539">
        <f t="shared" si="39"/>
        <v>4890.5485880171236</v>
      </c>
      <c r="AX114" s="539">
        <f t="shared" si="39"/>
        <v>4945.6032153911401</v>
      </c>
      <c r="AY114" s="539">
        <f t="shared" si="39"/>
        <v>4989.3748800105577</v>
      </c>
      <c r="AZ114" s="539">
        <f t="shared" si="39"/>
        <v>4989.1375412419338</v>
      </c>
      <c r="BA114" s="539">
        <f t="shared" si="39"/>
        <v>4976.0237518384511</v>
      </c>
      <c r="BB114" s="539">
        <f t="shared" si="39"/>
        <v>4968.7061367066199</v>
      </c>
      <c r="BC114" s="539">
        <f t="shared" si="39"/>
        <v>5003.7719991405111</v>
      </c>
      <c r="BD114" s="539">
        <f t="shared" si="39"/>
        <v>4994.8398242674302</v>
      </c>
      <c r="BE114" s="539">
        <f t="shared" si="39"/>
        <v>4975.7347406139879</v>
      </c>
      <c r="BF114" s="539">
        <f t="shared" si="39"/>
        <v>5018.2432697654431</v>
      </c>
      <c r="BG114" s="539">
        <f t="shared" si="39"/>
        <v>5055.2308992146009</v>
      </c>
      <c r="BH114" s="539">
        <f t="shared" si="39"/>
        <v>5047.7580665162341</v>
      </c>
      <c r="BI114" s="539">
        <f t="shared" si="39"/>
        <v>5029.9252428553727</v>
      </c>
      <c r="BJ114" s="539">
        <f t="shared" si="39"/>
        <v>5086.1659444474417</v>
      </c>
      <c r="BK114" s="539">
        <f t="shared" si="39"/>
        <v>5102.2164152464693</v>
      </c>
      <c r="BL114" s="539">
        <f t="shared" si="39"/>
        <v>5107.2549033808882</v>
      </c>
      <c r="BM114" s="539">
        <f t="shared" si="39"/>
        <v>5090.4593862946022</v>
      </c>
      <c r="BN114" s="539">
        <f t="shared" si="39"/>
        <v>5137.6362992811</v>
      </c>
      <c r="BO114" s="539">
        <f t="shared" si="39"/>
        <v>5177.721034794823</v>
      </c>
      <c r="BP114" s="539">
        <f t="shared" si="39"/>
        <v>5172.4704316400748</v>
      </c>
      <c r="BQ114" s="539">
        <f t="shared" si="39"/>
        <v>5156.5168427050112</v>
      </c>
      <c r="BR114" s="539">
        <f t="shared" si="39"/>
        <v>5259.1072788641732</v>
      </c>
      <c r="BS114" s="539">
        <f t="shared" si="39"/>
        <v>5300.4456959908366</v>
      </c>
      <c r="BT114" s="539">
        <f t="shared" si="39"/>
        <v>5296.0337638407573</v>
      </c>
      <c r="BU114" s="539">
        <f t="shared" si="39"/>
        <v>5280.7596572690318</v>
      </c>
      <c r="BV114" s="539">
        <f t="shared" si="39"/>
        <v>5192.6997405259599</v>
      </c>
      <c r="BW114" s="539">
        <f t="shared" si="39"/>
        <v>4824.0097155821095</v>
      </c>
      <c r="BX114" s="539">
        <f t="shared" si="39"/>
        <v>4812.2194454551673</v>
      </c>
      <c r="BY114" s="539">
        <f t="shared" si="39"/>
        <v>4789.7777052237061</v>
      </c>
      <c r="BZ114" s="539">
        <f t="shared" si="39"/>
        <v>4835.508830075345</v>
      </c>
      <c r="CA114" s="539">
        <f t="shared" si="39"/>
        <v>4848.2697391877382</v>
      </c>
      <c r="CB114" s="539">
        <f t="shared" si="39"/>
        <v>4814.2596201085926</v>
      </c>
      <c r="CC114" s="539">
        <f t="shared" si="39"/>
        <v>4617.7718011798452</v>
      </c>
      <c r="CD114" s="539">
        <f t="shared" si="39"/>
        <v>4635.4811967250052</v>
      </c>
      <c r="CE114" s="539">
        <f t="shared" si="39"/>
        <v>4670.2074078817031</v>
      </c>
      <c r="CF114" s="539">
        <f t="shared" si="39"/>
        <v>4658.0351907399381</v>
      </c>
      <c r="CG114" s="539">
        <f t="shared" si="39"/>
        <v>4632.6384155731694</v>
      </c>
      <c r="CH114" s="539">
        <f t="shared" si="39"/>
        <v>4654.4799395510099</v>
      </c>
      <c r="CI114" s="539">
        <f t="shared" si="39"/>
        <v>4690.3300953616026</v>
      </c>
      <c r="CJ114" s="539">
        <f t="shared" si="39"/>
        <v>4678.8565348451857</v>
      </c>
      <c r="CK114" s="539">
        <f t="shared" si="39"/>
        <v>4654.2351254146215</v>
      </c>
      <c r="CL114" s="539">
        <f t="shared" si="39"/>
        <v>4965.8270387247549</v>
      </c>
      <c r="CM114" s="539">
        <f t="shared" si="39"/>
        <v>5002.0011198530556</v>
      </c>
      <c r="CN114" s="539">
        <f t="shared" si="39"/>
        <v>4990.4282617092213</v>
      </c>
      <c r="CO114" s="539">
        <f t="shared" si="39"/>
        <v>4965.8107040008254</v>
      </c>
      <c r="CP114" s="539">
        <f t="shared" si="39"/>
        <v>4717.9783046696557</v>
      </c>
      <c r="CQ114" s="539">
        <f t="shared" si="39"/>
        <v>4729.233992308592</v>
      </c>
      <c r="CR114" s="539">
        <f t="shared" si="39"/>
        <v>4730.658822063725</v>
      </c>
      <c r="CS114" s="539">
        <f t="shared" si="39"/>
        <v>4706.8642132055456</v>
      </c>
      <c r="CT114" s="539">
        <f t="shared" si="39"/>
        <v>4735.3356972565371</v>
      </c>
      <c r="CU114" s="539">
        <f t="shared" si="39"/>
        <v>4772.9048284479113</v>
      </c>
      <c r="CV114" s="539">
        <f t="shared" si="39"/>
        <v>4761.9850090627306</v>
      </c>
      <c r="CW114" s="539">
        <f t="shared" si="39"/>
        <v>4738.3327137651941</v>
      </c>
      <c r="CX114" s="539">
        <f t="shared" si="39"/>
        <v>4768.7511838966802</v>
      </c>
      <c r="CY114" s="539">
        <f t="shared" si="39"/>
        <v>4806.4773364047887</v>
      </c>
      <c r="CZ114" s="539">
        <f t="shared" si="39"/>
        <v>4795.3607319199509</v>
      </c>
      <c r="DA114" s="539">
        <f t="shared" si="39"/>
        <v>4771.6969558088413</v>
      </c>
      <c r="DB114" s="539">
        <f t="shared" si="39"/>
        <v>0</v>
      </c>
      <c r="DC114" s="539">
        <f t="shared" si="39"/>
        <v>0</v>
      </c>
      <c r="DD114" s="539">
        <f t="shared" si="39"/>
        <v>0</v>
      </c>
      <c r="DE114" s="539">
        <f t="shared" si="39"/>
        <v>0</v>
      </c>
      <c r="DF114" s="539">
        <f t="shared" si="39"/>
        <v>0</v>
      </c>
      <c r="DG114" s="539">
        <f t="shared" si="39"/>
        <v>0</v>
      </c>
      <c r="DH114" s="539">
        <f t="shared" si="39"/>
        <v>0</v>
      </c>
      <c r="DI114" s="539">
        <f t="shared" si="39"/>
        <v>0</v>
      </c>
      <c r="DJ114" s="539">
        <f t="shared" si="39"/>
        <v>0</v>
      </c>
      <c r="DK114" s="539">
        <f t="shared" si="39"/>
        <v>0</v>
      </c>
      <c r="DL114" s="539">
        <f t="shared" si="39"/>
        <v>0</v>
      </c>
      <c r="DM114" s="539">
        <f t="shared" si="39"/>
        <v>0</v>
      </c>
      <c r="DN114" s="539">
        <f t="shared" si="39"/>
        <v>0</v>
      </c>
      <c r="DO114" s="539">
        <f t="shared" si="39"/>
        <v>0</v>
      </c>
      <c r="DP114" s="539">
        <f t="shared" si="39"/>
        <v>0</v>
      </c>
      <c r="DQ114" s="539">
        <f t="shared" si="39"/>
        <v>0</v>
      </c>
      <c r="DR114" s="539">
        <f t="shared" si="39"/>
        <v>0</v>
      </c>
      <c r="DS114" s="539">
        <f t="shared" si="39"/>
        <v>0</v>
      </c>
      <c r="DT114" s="539">
        <f t="shared" si="39"/>
        <v>0</v>
      </c>
      <c r="DU114" s="539">
        <f t="shared" si="39"/>
        <v>0</v>
      </c>
      <c r="DV114" s="539">
        <f t="shared" si="39"/>
        <v>0</v>
      </c>
      <c r="DW114" s="539">
        <f t="shared" si="39"/>
        <v>0</v>
      </c>
      <c r="DX114" s="539">
        <f t="shared" si="39"/>
        <v>0</v>
      </c>
      <c r="DY114" s="539">
        <f t="shared" si="39"/>
        <v>0</v>
      </c>
      <c r="DZ114" s="539">
        <f t="shared" si="39"/>
        <v>0</v>
      </c>
      <c r="EA114" s="539">
        <f t="shared" si="39"/>
        <v>0</v>
      </c>
      <c r="EB114" s="539">
        <f t="shared" si="39"/>
        <v>0</v>
      </c>
      <c r="EC114" s="539">
        <f t="shared" si="39"/>
        <v>0</v>
      </c>
      <c r="ED114" s="539">
        <f t="shared" si="39"/>
        <v>0</v>
      </c>
      <c r="EE114" s="539">
        <f t="shared" si="39"/>
        <v>0</v>
      </c>
      <c r="EF114" s="539">
        <f t="shared" si="39"/>
        <v>0</v>
      </c>
      <c r="EG114" s="539">
        <f t="shared" si="39"/>
        <v>0</v>
      </c>
    </row>
    <row r="115" spans="5:137" ht="12.75">
      <c r="E115" s="538" t="s">
        <v>327</v>
      </c>
      <c r="G115" s="539" t="s">
        <v>30</v>
      </c>
      <c r="H115" s="539">
        <f>SUM(J115:EG115)</f>
        <v>0</v>
      </c>
      <c r="J115" s="539">
        <f t="shared" si="40" ref="J115:EG115">MAX(0,J114-J113)*J112</f>
        <v>0</v>
      </c>
      <c r="K115" s="539">
        <f t="shared" si="40"/>
        <v>0</v>
      </c>
      <c r="L115" s="539">
        <f t="shared" si="40"/>
        <v>0</v>
      </c>
      <c r="M115" s="539">
        <f t="shared" si="40"/>
        <v>0</v>
      </c>
      <c r="N115" s="539">
        <f t="shared" si="40"/>
        <v>0</v>
      </c>
      <c r="O115" s="539">
        <f t="shared" si="40"/>
        <v>0</v>
      </c>
      <c r="P115" s="539">
        <f t="shared" si="40"/>
        <v>0</v>
      </c>
      <c r="Q115" s="539">
        <f t="shared" si="40"/>
        <v>0</v>
      </c>
      <c r="R115" s="539">
        <f t="shared" si="40"/>
        <v>0</v>
      </c>
      <c r="S115" s="539">
        <f t="shared" si="40"/>
        <v>0</v>
      </c>
      <c r="T115" s="539">
        <f t="shared" si="40"/>
        <v>0</v>
      </c>
      <c r="U115" s="539">
        <f t="shared" si="40"/>
        <v>0</v>
      </c>
      <c r="V115" s="539">
        <f t="shared" si="40"/>
        <v>0</v>
      </c>
      <c r="W115" s="539">
        <f t="shared" si="40"/>
        <v>0</v>
      </c>
      <c r="X115" s="539">
        <f t="shared" si="40"/>
        <v>0</v>
      </c>
      <c r="Y115" s="539">
        <f t="shared" si="40"/>
        <v>0</v>
      </c>
      <c r="Z115" s="539">
        <f t="shared" si="40"/>
        <v>0</v>
      </c>
      <c r="AA115" s="539">
        <f t="shared" si="40"/>
        <v>0</v>
      </c>
      <c r="AB115" s="539">
        <f t="shared" si="40"/>
        <v>0</v>
      </c>
      <c r="AC115" s="539">
        <f t="shared" si="40"/>
        <v>0</v>
      </c>
      <c r="AD115" s="539">
        <f t="shared" si="40"/>
        <v>0</v>
      </c>
      <c r="AE115" s="539">
        <f t="shared" si="40"/>
        <v>0</v>
      </c>
      <c r="AF115" s="539">
        <f t="shared" si="40"/>
        <v>0</v>
      </c>
      <c r="AG115" s="539">
        <f t="shared" si="40"/>
        <v>0</v>
      </c>
      <c r="AH115" s="539">
        <f t="shared" si="40"/>
        <v>0</v>
      </c>
      <c r="AI115" s="539">
        <f t="shared" si="40"/>
        <v>0</v>
      </c>
      <c r="AJ115" s="539">
        <f t="shared" si="40"/>
        <v>0</v>
      </c>
      <c r="AK115" s="539">
        <f t="shared" si="40"/>
        <v>0</v>
      </c>
      <c r="AL115" s="539">
        <f t="shared" si="40"/>
        <v>0</v>
      </c>
      <c r="AM115" s="539">
        <f t="shared" si="40"/>
        <v>0</v>
      </c>
      <c r="AN115" s="539">
        <f t="shared" si="40"/>
        <v>0</v>
      </c>
      <c r="AO115" s="539">
        <f t="shared" si="40"/>
        <v>0</v>
      </c>
      <c r="AP115" s="539">
        <f t="shared" si="40"/>
        <v>0</v>
      </c>
      <c r="AQ115" s="539">
        <f t="shared" si="40"/>
        <v>0</v>
      </c>
      <c r="AR115" s="539">
        <f t="shared" si="40"/>
        <v>0</v>
      </c>
      <c r="AS115" s="539">
        <f t="shared" si="40"/>
        <v>0</v>
      </c>
      <c r="AT115" s="539">
        <f t="shared" si="40"/>
        <v>0</v>
      </c>
      <c r="AU115" s="539">
        <f t="shared" si="40"/>
        <v>0</v>
      </c>
      <c r="AV115" s="539">
        <f t="shared" si="40"/>
        <v>0</v>
      </c>
      <c r="AW115" s="539">
        <f t="shared" si="40"/>
        <v>0</v>
      </c>
      <c r="AX115" s="539">
        <f t="shared" si="40"/>
        <v>0</v>
      </c>
      <c r="AY115" s="539">
        <f t="shared" si="40"/>
        <v>0</v>
      </c>
      <c r="AZ115" s="539">
        <f t="shared" si="40"/>
        <v>0</v>
      </c>
      <c r="BA115" s="539">
        <f t="shared" si="40"/>
        <v>0</v>
      </c>
      <c r="BB115" s="539">
        <f t="shared" si="40"/>
        <v>0</v>
      </c>
      <c r="BC115" s="539">
        <f t="shared" si="40"/>
        <v>0</v>
      </c>
      <c r="BD115" s="539">
        <f t="shared" si="40"/>
        <v>0</v>
      </c>
      <c r="BE115" s="539">
        <f t="shared" si="40"/>
        <v>0</v>
      </c>
      <c r="BF115" s="539">
        <f t="shared" si="40"/>
        <v>0</v>
      </c>
      <c r="BG115" s="539">
        <f t="shared" si="40"/>
        <v>0</v>
      </c>
      <c r="BH115" s="539">
        <f t="shared" si="40"/>
        <v>0</v>
      </c>
      <c r="BI115" s="539">
        <f t="shared" si="40"/>
        <v>0</v>
      </c>
      <c r="BJ115" s="539">
        <f t="shared" si="40"/>
        <v>0</v>
      </c>
      <c r="BK115" s="539">
        <f t="shared" si="40"/>
        <v>0</v>
      </c>
      <c r="BL115" s="539">
        <f t="shared" si="40"/>
        <v>0</v>
      </c>
      <c r="BM115" s="539">
        <f t="shared" si="40"/>
        <v>0</v>
      </c>
      <c r="BN115" s="539">
        <f t="shared" si="40"/>
        <v>0</v>
      </c>
      <c r="BO115" s="539">
        <f t="shared" si="40"/>
        <v>0</v>
      </c>
      <c r="BP115" s="539">
        <f t="shared" si="40"/>
        <v>0</v>
      </c>
      <c r="BQ115" s="539">
        <f t="shared" si="40"/>
        <v>0</v>
      </c>
      <c r="BR115" s="539">
        <f t="shared" si="40"/>
        <v>0</v>
      </c>
      <c r="BS115" s="539">
        <f t="shared" si="40"/>
        <v>0</v>
      </c>
      <c r="BT115" s="539">
        <f t="shared" si="40"/>
        <v>0</v>
      </c>
      <c r="BU115" s="539">
        <f t="shared" si="40"/>
        <v>0</v>
      </c>
      <c r="BV115" s="539">
        <f t="shared" si="40"/>
        <v>0</v>
      </c>
      <c r="BW115" s="539">
        <f t="shared" si="40"/>
        <v>0</v>
      </c>
      <c r="BX115" s="539">
        <f t="shared" si="40"/>
        <v>0</v>
      </c>
      <c r="BY115" s="539">
        <f t="shared" si="40"/>
        <v>0</v>
      </c>
      <c r="BZ115" s="539">
        <f t="shared" si="40"/>
        <v>0</v>
      </c>
      <c r="CA115" s="539">
        <f t="shared" si="40"/>
        <v>0</v>
      </c>
      <c r="CB115" s="539">
        <f t="shared" si="40"/>
        <v>0</v>
      </c>
      <c r="CC115" s="539">
        <f t="shared" si="40"/>
        <v>0</v>
      </c>
      <c r="CD115" s="539">
        <f t="shared" si="40"/>
        <v>0</v>
      </c>
      <c r="CE115" s="539">
        <f t="shared" si="40"/>
        <v>0</v>
      </c>
      <c r="CF115" s="539">
        <f t="shared" si="40"/>
        <v>0</v>
      </c>
      <c r="CG115" s="539">
        <f t="shared" si="40"/>
        <v>0</v>
      </c>
      <c r="CH115" s="539">
        <f t="shared" si="40"/>
        <v>0</v>
      </c>
      <c r="CI115" s="539">
        <f t="shared" si="40"/>
        <v>0</v>
      </c>
      <c r="CJ115" s="539">
        <f t="shared" si="40"/>
        <v>0</v>
      </c>
      <c r="CK115" s="539">
        <f t="shared" si="40"/>
        <v>0</v>
      </c>
      <c r="CL115" s="539">
        <f t="shared" si="40"/>
        <v>0</v>
      </c>
      <c r="CM115" s="539">
        <f t="shared" si="40"/>
        <v>0</v>
      </c>
      <c r="CN115" s="539">
        <f t="shared" si="40"/>
        <v>0</v>
      </c>
      <c r="CO115" s="539">
        <f t="shared" si="40"/>
        <v>0</v>
      </c>
      <c r="CP115" s="539">
        <f t="shared" si="40"/>
        <v>0</v>
      </c>
      <c r="CQ115" s="539">
        <f t="shared" si="40"/>
        <v>0</v>
      </c>
      <c r="CR115" s="539">
        <f t="shared" si="40"/>
        <v>0</v>
      </c>
      <c r="CS115" s="539">
        <f t="shared" si="40"/>
        <v>0</v>
      </c>
      <c r="CT115" s="539">
        <f t="shared" si="40"/>
        <v>0</v>
      </c>
      <c r="CU115" s="539">
        <f t="shared" si="40"/>
        <v>0</v>
      </c>
      <c r="CV115" s="539">
        <f t="shared" si="40"/>
        <v>0</v>
      </c>
      <c r="CW115" s="539">
        <f t="shared" si="40"/>
        <v>0</v>
      </c>
      <c r="CX115" s="539">
        <f t="shared" si="40"/>
        <v>0</v>
      </c>
      <c r="CY115" s="539">
        <f t="shared" si="40"/>
        <v>0</v>
      </c>
      <c r="CZ115" s="539">
        <f t="shared" si="40"/>
        <v>0</v>
      </c>
      <c r="DA115" s="539">
        <f t="shared" si="40"/>
        <v>0</v>
      </c>
      <c r="DB115" s="539">
        <f t="shared" si="40"/>
        <v>0</v>
      </c>
      <c r="DC115" s="539">
        <f t="shared" si="40"/>
        <v>0</v>
      </c>
      <c r="DD115" s="539">
        <f t="shared" si="40"/>
        <v>0</v>
      </c>
      <c r="DE115" s="539">
        <f t="shared" si="40"/>
        <v>0</v>
      </c>
      <c r="DF115" s="539">
        <f t="shared" si="40"/>
        <v>0</v>
      </c>
      <c r="DG115" s="539">
        <f t="shared" si="40"/>
        <v>0</v>
      </c>
      <c r="DH115" s="539">
        <f t="shared" si="40"/>
        <v>0</v>
      </c>
      <c r="DI115" s="539">
        <f t="shared" si="40"/>
        <v>0</v>
      </c>
      <c r="DJ115" s="539">
        <f t="shared" si="40"/>
        <v>0</v>
      </c>
      <c r="DK115" s="539">
        <f t="shared" si="40"/>
        <v>0</v>
      </c>
      <c r="DL115" s="539">
        <f t="shared" si="40"/>
        <v>0</v>
      </c>
      <c r="DM115" s="539">
        <f t="shared" si="40"/>
        <v>0</v>
      </c>
      <c r="DN115" s="539">
        <f t="shared" si="40"/>
        <v>0</v>
      </c>
      <c r="DO115" s="539">
        <f t="shared" si="40"/>
        <v>0</v>
      </c>
      <c r="DP115" s="539">
        <f t="shared" si="40"/>
        <v>0</v>
      </c>
      <c r="DQ115" s="539">
        <f t="shared" si="40"/>
        <v>0</v>
      </c>
      <c r="DR115" s="539">
        <f t="shared" si="40"/>
        <v>0</v>
      </c>
      <c r="DS115" s="539">
        <f t="shared" si="40"/>
        <v>0</v>
      </c>
      <c r="DT115" s="539">
        <f t="shared" si="40"/>
        <v>0</v>
      </c>
      <c r="DU115" s="539">
        <f t="shared" si="40"/>
        <v>0</v>
      </c>
      <c r="DV115" s="539">
        <f t="shared" si="40"/>
        <v>0</v>
      </c>
      <c r="DW115" s="539">
        <f t="shared" si="40"/>
        <v>0</v>
      </c>
      <c r="DX115" s="539">
        <f t="shared" si="40"/>
        <v>0</v>
      </c>
      <c r="DY115" s="539">
        <f t="shared" si="40"/>
        <v>0</v>
      </c>
      <c r="DZ115" s="539">
        <f t="shared" si="40"/>
        <v>0</v>
      </c>
      <c r="EA115" s="539">
        <f t="shared" si="40"/>
        <v>0</v>
      </c>
      <c r="EB115" s="539">
        <f t="shared" si="40"/>
        <v>0</v>
      </c>
      <c r="EC115" s="539">
        <f t="shared" si="40"/>
        <v>0</v>
      </c>
      <c r="ED115" s="539">
        <f t="shared" si="40"/>
        <v>0</v>
      </c>
      <c r="EE115" s="539">
        <f t="shared" si="40"/>
        <v>0</v>
      </c>
      <c r="EF115" s="539">
        <f t="shared" si="40"/>
        <v>0</v>
      </c>
      <c r="EG115" s="539">
        <f t="shared" si="40"/>
        <v>0</v>
      </c>
    </row>
    <row r="118" spans="1:1" ht="12.75">
      <c r="A118" s="534" t="s">
        <v>328</v>
      </c>
    </row>
    <row r="120" spans="5:7" ht="12.75">
      <c r="E120" s="535" t="str">
        <f>InpC!E$128</f>
        <v>Check tolerance</v>
      </c>
      <c r="F120" s="537">
        <f>InpC!F$128</f>
        <v>0.001</v>
      </c>
      <c r="G120" s="537" t="str">
        <f>InpC!G$128</f>
        <v>EUR 000s</v>
      </c>
    </row>
    <row r="121" spans="5:137" ht="12.75">
      <c r="E121" s="535" t="str">
        <f>Time!E$170</f>
        <v>Last model period flag</v>
      </c>
      <c r="G121" s="537" t="str">
        <f>Time!G$170</f>
        <v>flag</v>
      </c>
      <c r="H121" s="537">
        <f>Time!H$170</f>
        <v>1</v>
      </c>
      <c r="J121" s="537">
        <f>Time!J$170</f>
        <v>0</v>
      </c>
      <c r="K121" s="537">
        <f>Time!K$170</f>
        <v>0</v>
      </c>
      <c r="L121" s="537">
        <f>Time!L$170</f>
        <v>0</v>
      </c>
      <c r="M121" s="537">
        <f>Time!M$170</f>
        <v>0</v>
      </c>
      <c r="N121" s="537">
        <f>Time!N$170</f>
        <v>0</v>
      </c>
      <c r="O121" s="537">
        <f>Time!O$170</f>
        <v>0</v>
      </c>
      <c r="P121" s="537">
        <f>Time!P$170</f>
        <v>0</v>
      </c>
      <c r="Q121" s="537">
        <f>Time!Q$170</f>
        <v>0</v>
      </c>
      <c r="R121" s="537">
        <f>Time!R$170</f>
        <v>0</v>
      </c>
      <c r="S121" s="537">
        <f>Time!S$170</f>
        <v>0</v>
      </c>
      <c r="T121" s="537">
        <f>Time!T$170</f>
        <v>0</v>
      </c>
      <c r="U121" s="537">
        <f>Time!U$170</f>
        <v>0</v>
      </c>
      <c r="V121" s="537">
        <f>Time!V$170</f>
        <v>0</v>
      </c>
      <c r="W121" s="537">
        <f>Time!W$170</f>
        <v>0</v>
      </c>
      <c r="X121" s="537">
        <f>Time!X$170</f>
        <v>0</v>
      </c>
      <c r="Y121" s="537">
        <f>Time!Y$170</f>
        <v>0</v>
      </c>
      <c r="Z121" s="537">
        <f>Time!Z$170</f>
        <v>0</v>
      </c>
      <c r="AA121" s="537">
        <f>Time!AA$170</f>
        <v>0</v>
      </c>
      <c r="AB121" s="537">
        <f>Time!AB$170</f>
        <v>0</v>
      </c>
      <c r="AC121" s="537">
        <f>Time!AC$170</f>
        <v>0</v>
      </c>
      <c r="AD121" s="537">
        <f>Time!AD$170</f>
        <v>0</v>
      </c>
      <c r="AE121" s="537">
        <f>Time!AE$170</f>
        <v>0</v>
      </c>
      <c r="AF121" s="537">
        <f>Time!AF$170</f>
        <v>0</v>
      </c>
      <c r="AG121" s="537">
        <f>Time!AG$170</f>
        <v>0</v>
      </c>
      <c r="AH121" s="537">
        <f>Time!AH$170</f>
        <v>0</v>
      </c>
      <c r="AI121" s="537">
        <f>Time!AI$170</f>
        <v>0</v>
      </c>
      <c r="AJ121" s="537">
        <f>Time!AJ$170</f>
        <v>0</v>
      </c>
      <c r="AK121" s="537">
        <f>Time!AK$170</f>
        <v>0</v>
      </c>
      <c r="AL121" s="537">
        <f>Time!AL$170</f>
        <v>0</v>
      </c>
      <c r="AM121" s="537">
        <f>Time!AM$170</f>
        <v>0</v>
      </c>
      <c r="AN121" s="537">
        <f>Time!AN$170</f>
        <v>0</v>
      </c>
      <c r="AO121" s="537">
        <f>Time!AO$170</f>
        <v>0</v>
      </c>
      <c r="AP121" s="537">
        <f>Time!AP$170</f>
        <v>0</v>
      </c>
      <c r="AQ121" s="537">
        <f>Time!AQ$170</f>
        <v>0</v>
      </c>
      <c r="AR121" s="537">
        <f>Time!AR$170</f>
        <v>0</v>
      </c>
      <c r="AS121" s="537">
        <f>Time!AS$170</f>
        <v>0</v>
      </c>
      <c r="AT121" s="537">
        <f>Time!AT$170</f>
        <v>0</v>
      </c>
      <c r="AU121" s="537">
        <f>Time!AU$170</f>
        <v>0</v>
      </c>
      <c r="AV121" s="537">
        <f>Time!AV$170</f>
        <v>0</v>
      </c>
      <c r="AW121" s="537">
        <f>Time!AW$170</f>
        <v>0</v>
      </c>
      <c r="AX121" s="537">
        <f>Time!AX$170</f>
        <v>0</v>
      </c>
      <c r="AY121" s="537">
        <f>Time!AY$170</f>
        <v>0</v>
      </c>
      <c r="AZ121" s="537">
        <f>Time!AZ$170</f>
        <v>0</v>
      </c>
      <c r="BA121" s="537">
        <f>Time!BA$170</f>
        <v>0</v>
      </c>
      <c r="BB121" s="537">
        <f>Time!BB$170</f>
        <v>0</v>
      </c>
      <c r="BC121" s="537">
        <f>Time!BC$170</f>
        <v>0</v>
      </c>
      <c r="BD121" s="537">
        <f>Time!BD$170</f>
        <v>0</v>
      </c>
      <c r="BE121" s="537">
        <f>Time!BE$170</f>
        <v>0</v>
      </c>
      <c r="BF121" s="537">
        <f>Time!BF$170</f>
        <v>0</v>
      </c>
      <c r="BG121" s="537">
        <f>Time!BG$170</f>
        <v>0</v>
      </c>
      <c r="BH121" s="537">
        <f>Time!BH$170</f>
        <v>0</v>
      </c>
      <c r="BI121" s="537">
        <f>Time!BI$170</f>
        <v>0</v>
      </c>
      <c r="BJ121" s="537">
        <f>Time!BJ$170</f>
        <v>0</v>
      </c>
      <c r="BK121" s="537">
        <f>Time!BK$170</f>
        <v>0</v>
      </c>
      <c r="BL121" s="537">
        <f>Time!BL$170</f>
        <v>0</v>
      </c>
      <c r="BM121" s="537">
        <f>Time!BM$170</f>
        <v>0</v>
      </c>
      <c r="BN121" s="537">
        <f>Time!BN$170</f>
        <v>0</v>
      </c>
      <c r="BO121" s="537">
        <f>Time!BO$170</f>
        <v>0</v>
      </c>
      <c r="BP121" s="537">
        <f>Time!BP$170</f>
        <v>0</v>
      </c>
      <c r="BQ121" s="537">
        <f>Time!BQ$170</f>
        <v>0</v>
      </c>
      <c r="BR121" s="537">
        <f>Time!BR$170</f>
        <v>0</v>
      </c>
      <c r="BS121" s="537">
        <f>Time!BS$170</f>
        <v>0</v>
      </c>
      <c r="BT121" s="537">
        <f>Time!BT$170</f>
        <v>0</v>
      </c>
      <c r="BU121" s="537">
        <f>Time!BU$170</f>
        <v>0</v>
      </c>
      <c r="BV121" s="537">
        <f>Time!BV$170</f>
        <v>0</v>
      </c>
      <c r="BW121" s="537">
        <f>Time!BW$170</f>
        <v>0</v>
      </c>
      <c r="BX121" s="537">
        <f>Time!BX$170</f>
        <v>0</v>
      </c>
      <c r="BY121" s="537">
        <f>Time!BY$170</f>
        <v>0</v>
      </c>
      <c r="BZ121" s="537">
        <f>Time!BZ$170</f>
        <v>0</v>
      </c>
      <c r="CA121" s="537">
        <f>Time!CA$170</f>
        <v>0</v>
      </c>
      <c r="CB121" s="537">
        <f>Time!CB$170</f>
        <v>0</v>
      </c>
      <c r="CC121" s="537">
        <f>Time!CC$170</f>
        <v>0</v>
      </c>
      <c r="CD121" s="537">
        <f>Time!CD$170</f>
        <v>0</v>
      </c>
      <c r="CE121" s="537">
        <f>Time!CE$170</f>
        <v>0</v>
      </c>
      <c r="CF121" s="537">
        <f>Time!CF$170</f>
        <v>0</v>
      </c>
      <c r="CG121" s="537">
        <f>Time!CG$170</f>
        <v>0</v>
      </c>
      <c r="CH121" s="537">
        <f>Time!CH$170</f>
        <v>0</v>
      </c>
      <c r="CI121" s="537">
        <f>Time!CI$170</f>
        <v>0</v>
      </c>
      <c r="CJ121" s="537">
        <f>Time!CJ$170</f>
        <v>0</v>
      </c>
      <c r="CK121" s="537">
        <f>Time!CK$170</f>
        <v>0</v>
      </c>
      <c r="CL121" s="537">
        <f>Time!CL$170</f>
        <v>0</v>
      </c>
      <c r="CM121" s="537">
        <f>Time!CM$170</f>
        <v>0</v>
      </c>
      <c r="CN121" s="537">
        <f>Time!CN$170</f>
        <v>0</v>
      </c>
      <c r="CO121" s="537">
        <f>Time!CO$170</f>
        <v>0</v>
      </c>
      <c r="CP121" s="537">
        <f>Time!CP$170</f>
        <v>0</v>
      </c>
      <c r="CQ121" s="537">
        <f>Time!CQ$170</f>
        <v>0</v>
      </c>
      <c r="CR121" s="537">
        <f>Time!CR$170</f>
        <v>0</v>
      </c>
      <c r="CS121" s="537">
        <f>Time!CS$170</f>
        <v>0</v>
      </c>
      <c r="CT121" s="537">
        <f>Time!CT$170</f>
        <v>0</v>
      </c>
      <c r="CU121" s="537">
        <f>Time!CU$170</f>
        <v>0</v>
      </c>
      <c r="CV121" s="537">
        <f>Time!CV$170</f>
        <v>0</v>
      </c>
      <c r="CW121" s="537">
        <f>Time!CW$170</f>
        <v>0</v>
      </c>
      <c r="CX121" s="537">
        <f>Time!CX$170</f>
        <v>0</v>
      </c>
      <c r="CY121" s="537">
        <f>Time!CY$170</f>
        <v>0</v>
      </c>
      <c r="CZ121" s="537">
        <f>Time!CZ$170</f>
        <v>0</v>
      </c>
      <c r="DA121" s="537">
        <f>Time!DA$170</f>
        <v>0</v>
      </c>
      <c r="DB121" s="537">
        <f>Time!DB$170</f>
        <v>0</v>
      </c>
      <c r="DC121" s="537">
        <f>Time!DC$170</f>
        <v>0</v>
      </c>
      <c r="DD121" s="537">
        <f>Time!DD$170</f>
        <v>0</v>
      </c>
      <c r="DE121" s="537">
        <f>Time!DE$170</f>
        <v>0</v>
      </c>
      <c r="DF121" s="537">
        <f>Time!DF$170</f>
        <v>0</v>
      </c>
      <c r="DG121" s="537">
        <f>Time!DG$170</f>
        <v>0</v>
      </c>
      <c r="DH121" s="537">
        <f>Time!DH$170</f>
        <v>0</v>
      </c>
      <c r="DI121" s="537">
        <f>Time!DI$170</f>
        <v>0</v>
      </c>
      <c r="DJ121" s="537">
        <f>Time!DJ$170</f>
        <v>0</v>
      </c>
      <c r="DK121" s="537">
        <f>Time!DK$170</f>
        <v>0</v>
      </c>
      <c r="DL121" s="537">
        <f>Time!DL$170</f>
        <v>0</v>
      </c>
      <c r="DM121" s="537">
        <f>Time!DM$170</f>
        <v>0</v>
      </c>
      <c r="DN121" s="537">
        <f>Time!DN$170</f>
        <v>0</v>
      </c>
      <c r="DO121" s="537">
        <f>Time!DO$170</f>
        <v>0</v>
      </c>
      <c r="DP121" s="537">
        <f>Time!DP$170</f>
        <v>0</v>
      </c>
      <c r="DQ121" s="537">
        <f>Time!DQ$170</f>
        <v>0</v>
      </c>
      <c r="DR121" s="537">
        <f>Time!DR$170</f>
        <v>0</v>
      </c>
      <c r="DS121" s="537">
        <f>Time!DS$170</f>
        <v>0</v>
      </c>
      <c r="DT121" s="537">
        <f>Time!DT$170</f>
        <v>0</v>
      </c>
      <c r="DU121" s="537">
        <f>Time!DU$170</f>
        <v>0</v>
      </c>
      <c r="DV121" s="537">
        <f>Time!DV$170</f>
        <v>0</v>
      </c>
      <c r="DW121" s="537">
        <f>Time!DW$170</f>
        <v>0</v>
      </c>
      <c r="DX121" s="537">
        <f>Time!DX$170</f>
        <v>0</v>
      </c>
      <c r="DY121" s="537">
        <f>Time!DY$170</f>
        <v>0</v>
      </c>
      <c r="DZ121" s="537">
        <f>Time!DZ$170</f>
        <v>0</v>
      </c>
      <c r="EA121" s="537">
        <f>Time!EA$170</f>
        <v>0</v>
      </c>
      <c r="EB121" s="537">
        <f>Time!EB$170</f>
        <v>0</v>
      </c>
      <c r="EC121" s="537">
        <f>Time!EC$170</f>
        <v>0</v>
      </c>
      <c r="ED121" s="537">
        <f>Time!ED$170</f>
        <v>0</v>
      </c>
      <c r="EE121" s="537">
        <f>Time!EE$170</f>
        <v>0</v>
      </c>
      <c r="EF121" s="537">
        <f>Time!EF$170</f>
        <v>0</v>
      </c>
      <c r="EG121" s="537">
        <f>Time!EG$170</f>
        <v>1</v>
      </c>
    </row>
    <row r="122" spans="5:137" ht="12.75">
      <c r="E122" s="538" t="str">
        <f>E$100</f>
        <v>Senior facility - closing balance</v>
      </c>
      <c r="G122" s="539" t="str">
        <f>G$100</f>
        <v>EUR 000s</v>
      </c>
      <c r="H122" s="539">
        <f>H$100</f>
        <v>11123186.810732836</v>
      </c>
      <c r="J122" s="539">
        <f t="shared" si="41" ref="J122:EG122">J$100</f>
        <v>0</v>
      </c>
      <c r="K122" s="539">
        <f t="shared" si="41"/>
        <v>0</v>
      </c>
      <c r="L122" s="539">
        <f t="shared" si="41"/>
        <v>0</v>
      </c>
      <c r="M122" s="539">
        <f t="shared" si="41"/>
        <v>0</v>
      </c>
      <c r="N122" s="539">
        <f t="shared" si="41"/>
        <v>0</v>
      </c>
      <c r="O122" s="539">
        <f t="shared" si="41"/>
        <v>0</v>
      </c>
      <c r="P122" s="539">
        <f t="shared" si="41"/>
        <v>0</v>
      </c>
      <c r="Q122" s="539">
        <f t="shared" si="41"/>
        <v>0</v>
      </c>
      <c r="R122" s="539">
        <f t="shared" si="41"/>
        <v>1382.3281928992874</v>
      </c>
      <c r="S122" s="539">
        <f t="shared" si="41"/>
        <v>19363.172958561812</v>
      </c>
      <c r="T122" s="539">
        <f t="shared" si="41"/>
        <v>37736.181514569398</v>
      </c>
      <c r="U122" s="539">
        <f t="shared" si="41"/>
        <v>56530.476117754166</v>
      </c>
      <c r="V122" s="539">
        <f t="shared" si="41"/>
        <v>74091.405530191638</v>
      </c>
      <c r="W122" s="539">
        <f t="shared" si="41"/>
        <v>91518.934879038119</v>
      </c>
      <c r="X122" s="539">
        <f t="shared" si="41"/>
        <v>107255.49759656707</v>
      </c>
      <c r="Y122" s="539">
        <f t="shared" si="41"/>
        <v>121061.22875111677</v>
      </c>
      <c r="Z122" s="539">
        <f t="shared" si="41"/>
        <v>133962.70617930786</v>
      </c>
      <c r="AA122" s="539">
        <f t="shared" si="41"/>
        <v>148362.46790677981</v>
      </c>
      <c r="AB122" s="539">
        <f t="shared" si="41"/>
        <v>163506.13990970366</v>
      </c>
      <c r="AC122" s="539">
        <f t="shared" si="41"/>
        <v>178549.55229008626</v>
      </c>
      <c r="AD122" s="539">
        <f t="shared" si="41"/>
        <v>192268.63360155231</v>
      </c>
      <c r="AE122" s="539">
        <f t="shared" si="41"/>
        <v>200952.02892657305</v>
      </c>
      <c r="AF122" s="539">
        <f t="shared" si="41"/>
        <v>207824.75792647921</v>
      </c>
      <c r="AG122" s="539">
        <f t="shared" si="41"/>
        <v>221286.6479110517</v>
      </c>
      <c r="AH122" s="539">
        <f t="shared" si="41"/>
        <v>220608.823757429</v>
      </c>
      <c r="AI122" s="539">
        <f t="shared" si="41"/>
        <v>218979.44471839062</v>
      </c>
      <c r="AJ122" s="539">
        <f t="shared" si="41"/>
        <v>217360.94638439317</v>
      </c>
      <c r="AK122" s="539">
        <f t="shared" si="41"/>
        <v>215730.19804249654</v>
      </c>
      <c r="AL122" s="539">
        <f t="shared" si="41"/>
        <v>213962.26862143833</v>
      </c>
      <c r="AM122" s="539">
        <f t="shared" si="41"/>
        <v>212160.04600216408</v>
      </c>
      <c r="AN122" s="539">
        <f t="shared" si="41"/>
        <v>210365.30914698011</v>
      </c>
      <c r="AO122" s="539">
        <f t="shared" si="41"/>
        <v>208556.00183225214</v>
      </c>
      <c r="AP122" s="539">
        <f t="shared" si="41"/>
        <v>206608.1421623468</v>
      </c>
      <c r="AQ122" s="539">
        <f t="shared" si="41"/>
        <v>204622.0325392868</v>
      </c>
      <c r="AR122" s="539">
        <f t="shared" si="41"/>
        <v>202639.75403211112</v>
      </c>
      <c r="AS122" s="539">
        <f t="shared" si="41"/>
        <v>200640.42828787459</v>
      </c>
      <c r="AT122" s="539">
        <f t="shared" si="41"/>
        <v>198520.66321847215</v>
      </c>
      <c r="AU122" s="539">
        <f t="shared" si="41"/>
        <v>196350.0423303475</v>
      </c>
      <c r="AV122" s="539">
        <f t="shared" si="41"/>
        <v>194168.68761815928</v>
      </c>
      <c r="AW122" s="539">
        <f t="shared" si="41"/>
        <v>191969.90220643775</v>
      </c>
      <c r="AX122" s="539">
        <f t="shared" si="41"/>
        <v>189627.72643192843</v>
      </c>
      <c r="AY122" s="539">
        <f t="shared" si="41"/>
        <v>187238.5892801146</v>
      </c>
      <c r="AZ122" s="539">
        <f t="shared" si="41"/>
        <v>184845.14286697507</v>
      </c>
      <c r="BA122" s="539">
        <f t="shared" si="41"/>
        <v>182431.62986282675</v>
      </c>
      <c r="BB122" s="539">
        <f t="shared" si="41"/>
        <v>179936.99651467081</v>
      </c>
      <c r="BC122" s="539">
        <f t="shared" si="41"/>
        <v>177400.57976910818</v>
      </c>
      <c r="BD122" s="539">
        <f t="shared" si="41"/>
        <v>174865.04661232483</v>
      </c>
      <c r="BE122" s="539">
        <f t="shared" si="41"/>
        <v>172313.4684083091</v>
      </c>
      <c r="BF122" s="539">
        <f t="shared" si="41"/>
        <v>169632.07902517688</v>
      </c>
      <c r="BG122" s="539">
        <f t="shared" si="41"/>
        <v>166902.89896300616</v>
      </c>
      <c r="BH122" s="539">
        <f t="shared" si="41"/>
        <v>164168.91807115515</v>
      </c>
      <c r="BI122" s="539">
        <f t="shared" si="41"/>
        <v>161414.86878840948</v>
      </c>
      <c r="BJ122" s="539">
        <f t="shared" si="41"/>
        <v>158542.07659269078</v>
      </c>
      <c r="BK122" s="539">
        <f t="shared" si="41"/>
        <v>155613.84125510571</v>
      </c>
      <c r="BL122" s="539">
        <f t="shared" si="41"/>
        <v>152663.86316474082</v>
      </c>
      <c r="BM122" s="539">
        <f t="shared" si="41"/>
        <v>149689.78500478482</v>
      </c>
      <c r="BN122" s="539">
        <f t="shared" si="41"/>
        <v>146582.18825556862</v>
      </c>
      <c r="BO122" s="539">
        <f t="shared" si="41"/>
        <v>143414.45037753851</v>
      </c>
      <c r="BP122" s="539">
        <f t="shared" si="41"/>
        <v>140230.13643606377</v>
      </c>
      <c r="BQ122" s="539">
        <f t="shared" si="41"/>
        <v>137017.63189573269</v>
      </c>
      <c r="BR122" s="539">
        <f t="shared" si="41"/>
        <v>133616.70893983805</v>
      </c>
      <c r="BS122" s="539">
        <f t="shared" si="41"/>
        <v>130148.4594856113</v>
      </c>
      <c r="BT122" s="539">
        <f t="shared" si="41"/>
        <v>126656.67559847518</v>
      </c>
      <c r="BU122" s="539">
        <f t="shared" si="41"/>
        <v>123131.75917005076</v>
      </c>
      <c r="BV122" s="539">
        <f t="shared" si="41"/>
        <v>119608.92849224193</v>
      </c>
      <c r="BW122" s="539">
        <f t="shared" si="41"/>
        <v>116425.03572762878</v>
      </c>
      <c r="BX122" s="539">
        <f t="shared" si="41"/>
        <v>113226.81814732924</v>
      </c>
      <c r="BY122" s="539">
        <f t="shared" si="41"/>
        <v>110006.70537313426</v>
      </c>
      <c r="BZ122" s="539">
        <f t="shared" si="41"/>
        <v>106679.6446537234</v>
      </c>
      <c r="CA122" s="539">
        <f t="shared" si="41"/>
        <v>103294.20127478741</v>
      </c>
      <c r="CB122" s="539">
        <f t="shared" si="41"/>
        <v>99911.910581940261</v>
      </c>
      <c r="CC122" s="539">
        <f t="shared" si="41"/>
        <v>96679.218965814158</v>
      </c>
      <c r="CD122" s="539">
        <f t="shared" si="41"/>
        <v>93354.866903009097</v>
      </c>
      <c r="CE122" s="539">
        <f t="shared" si="41"/>
        <v>89964.772122112496</v>
      </c>
      <c r="CF122" s="539">
        <f t="shared" si="41"/>
        <v>86553.919799695548</v>
      </c>
      <c r="CG122" s="539">
        <f t="shared" si="41"/>
        <v>83121.179559975688</v>
      </c>
      <c r="CH122" s="539">
        <f t="shared" si="41"/>
        <v>79593.959452813389</v>
      </c>
      <c r="CI122" s="539">
        <f t="shared" si="41"/>
        <v>75995.047897345838</v>
      </c>
      <c r="CJ122" s="539">
        <f t="shared" si="41"/>
        <v>72369.711752529605</v>
      </c>
      <c r="CK122" s="539">
        <f t="shared" si="41"/>
        <v>68718.73893250621</v>
      </c>
      <c r="CL122" s="539">
        <f t="shared" si="41"/>
        <v>64684.850956016817</v>
      </c>
      <c r="CM122" s="539">
        <f t="shared" si="41"/>
        <v>60569.829778725034</v>
      </c>
      <c r="CN122" s="539">
        <f t="shared" si="41"/>
        <v>56419.081896961972</v>
      </c>
      <c r="CO122" s="539">
        <f t="shared" si="41"/>
        <v>52235.409698162868</v>
      </c>
      <c r="CP122" s="539">
        <f t="shared" si="41"/>
        <v>48233.700504559805</v>
      </c>
      <c r="CQ122" s="539">
        <f t="shared" si="41"/>
        <v>44165.862871224701</v>
      </c>
      <c r="CR122" s="539">
        <f t="shared" si="41"/>
        <v>40047.476011156585</v>
      </c>
      <c r="CS122" s="539">
        <f t="shared" si="41"/>
        <v>35895.790506489262</v>
      </c>
      <c r="CT122" s="539">
        <f t="shared" si="41"/>
        <v>31647.260735279633</v>
      </c>
      <c r="CU122" s="539">
        <f t="shared" si="41"/>
        <v>27308.313550612747</v>
      </c>
      <c r="CV122" s="539">
        <f t="shared" si="41"/>
        <v>22924.904066388648</v>
      </c>
      <c r="CW122" s="539">
        <f t="shared" si="41"/>
        <v>18504.379611735581</v>
      </c>
      <c r="CX122" s="539">
        <f t="shared" si="41"/>
        <v>13986.578233532302</v>
      </c>
      <c r="CY122" s="539">
        <f t="shared" si="41"/>
        <v>9371.8894561927991</v>
      </c>
      <c r="CZ122" s="539">
        <f t="shared" si="41"/>
        <v>4706.4513561860967</v>
      </c>
      <c r="DA122" s="539">
        <f t="shared" si="41"/>
        <v>0</v>
      </c>
      <c r="DB122" s="539">
        <f t="shared" si="41"/>
        <v>0</v>
      </c>
      <c r="DC122" s="539">
        <f t="shared" si="41"/>
        <v>0</v>
      </c>
      <c r="DD122" s="539">
        <f t="shared" si="41"/>
        <v>0</v>
      </c>
      <c r="DE122" s="539">
        <f t="shared" si="41"/>
        <v>0</v>
      </c>
      <c r="DF122" s="539">
        <f t="shared" si="41"/>
        <v>0</v>
      </c>
      <c r="DG122" s="539">
        <f t="shared" si="41"/>
        <v>0</v>
      </c>
      <c r="DH122" s="539">
        <f t="shared" si="41"/>
        <v>0</v>
      </c>
      <c r="DI122" s="539">
        <f t="shared" si="41"/>
        <v>0</v>
      </c>
      <c r="DJ122" s="539">
        <f t="shared" si="41"/>
        <v>0</v>
      </c>
      <c r="DK122" s="539">
        <f t="shared" si="41"/>
        <v>0</v>
      </c>
      <c r="DL122" s="539">
        <f t="shared" si="41"/>
        <v>0</v>
      </c>
      <c r="DM122" s="539">
        <f t="shared" si="41"/>
        <v>0</v>
      </c>
      <c r="DN122" s="539">
        <f t="shared" si="41"/>
        <v>0</v>
      </c>
      <c r="DO122" s="539">
        <f t="shared" si="41"/>
        <v>0</v>
      </c>
      <c r="DP122" s="539">
        <f t="shared" si="41"/>
        <v>0</v>
      </c>
      <c r="DQ122" s="539">
        <f t="shared" si="41"/>
        <v>0</v>
      </c>
      <c r="DR122" s="539">
        <f t="shared" si="41"/>
        <v>0</v>
      </c>
      <c r="DS122" s="539">
        <f t="shared" si="41"/>
        <v>0</v>
      </c>
      <c r="DT122" s="539">
        <f t="shared" si="41"/>
        <v>0</v>
      </c>
      <c r="DU122" s="539">
        <f t="shared" si="41"/>
        <v>0</v>
      </c>
      <c r="DV122" s="539">
        <f t="shared" si="41"/>
        <v>0</v>
      </c>
      <c r="DW122" s="539">
        <f t="shared" si="41"/>
        <v>0</v>
      </c>
      <c r="DX122" s="539">
        <f t="shared" si="41"/>
        <v>0</v>
      </c>
      <c r="DY122" s="539">
        <f t="shared" si="41"/>
        <v>0</v>
      </c>
      <c r="DZ122" s="539">
        <f t="shared" si="41"/>
        <v>0</v>
      </c>
      <c r="EA122" s="539">
        <f t="shared" si="41"/>
        <v>0</v>
      </c>
      <c r="EB122" s="539">
        <f t="shared" si="41"/>
        <v>0</v>
      </c>
      <c r="EC122" s="539">
        <f t="shared" si="41"/>
        <v>0</v>
      </c>
      <c r="ED122" s="539">
        <f t="shared" si="41"/>
        <v>0</v>
      </c>
      <c r="EE122" s="539">
        <f t="shared" si="41"/>
        <v>0</v>
      </c>
      <c r="EF122" s="539">
        <f t="shared" si="41"/>
        <v>0</v>
      </c>
      <c r="EG122" s="539">
        <f t="shared" si="41"/>
        <v>0</v>
      </c>
    </row>
    <row r="123" spans="5:7" ht="12.75">
      <c r="E123" s="540" t="s">
        <v>329</v>
      </c>
      <c r="F123" s="543">
        <f>IF(ABS(SUMIFS($J122:$EG122,$J121:$EG121,1))&gt;$F120,1,0)</f>
        <v>0</v>
      </c>
      <c r="G123" s="541" t="s">
        <v>224</v>
      </c>
    </row>
    <row r="125" spans="5:7" ht="12.75">
      <c r="E125" s="535" t="str">
        <f>InpC!E$128</f>
        <v>Check tolerance</v>
      </c>
      <c r="F125" s="537">
        <f>InpC!F$128</f>
        <v>0.001</v>
      </c>
      <c r="G125" s="537" t="str">
        <f>InpC!G$128</f>
        <v>EUR 000s</v>
      </c>
    </row>
    <row r="126" spans="5:137" ht="12.75">
      <c r="E126" s="538" t="str">
        <f>E$115</f>
        <v>Senior facility - debt service above target cover</v>
      </c>
      <c r="G126" s="539" t="str">
        <f>G$115</f>
        <v>EUR 000s</v>
      </c>
      <c r="H126" s="539">
        <f>H$115</f>
        <v>0</v>
      </c>
      <c r="J126" s="539">
        <f t="shared" si="42" ref="J126:EG126">J$115</f>
        <v>0</v>
      </c>
      <c r="K126" s="539">
        <f t="shared" si="42"/>
        <v>0</v>
      </c>
      <c r="L126" s="539">
        <f t="shared" si="42"/>
        <v>0</v>
      </c>
      <c r="M126" s="539">
        <f t="shared" si="42"/>
        <v>0</v>
      </c>
      <c r="N126" s="539">
        <f t="shared" si="42"/>
        <v>0</v>
      </c>
      <c r="O126" s="539">
        <f t="shared" si="42"/>
        <v>0</v>
      </c>
      <c r="P126" s="539">
        <f t="shared" si="42"/>
        <v>0</v>
      </c>
      <c r="Q126" s="539">
        <f t="shared" si="42"/>
        <v>0</v>
      </c>
      <c r="R126" s="539">
        <f t="shared" si="42"/>
        <v>0</v>
      </c>
      <c r="S126" s="539">
        <f t="shared" si="42"/>
        <v>0</v>
      </c>
      <c r="T126" s="539">
        <f t="shared" si="42"/>
        <v>0</v>
      </c>
      <c r="U126" s="539">
        <f t="shared" si="42"/>
        <v>0</v>
      </c>
      <c r="V126" s="539">
        <f t="shared" si="42"/>
        <v>0</v>
      </c>
      <c r="W126" s="539">
        <f t="shared" si="42"/>
        <v>0</v>
      </c>
      <c r="X126" s="539">
        <f t="shared" si="42"/>
        <v>0</v>
      </c>
      <c r="Y126" s="539">
        <f t="shared" si="42"/>
        <v>0</v>
      </c>
      <c r="Z126" s="539">
        <f t="shared" si="42"/>
        <v>0</v>
      </c>
      <c r="AA126" s="539">
        <f t="shared" si="42"/>
        <v>0</v>
      </c>
      <c r="AB126" s="539">
        <f t="shared" si="42"/>
        <v>0</v>
      </c>
      <c r="AC126" s="539">
        <f t="shared" si="42"/>
        <v>0</v>
      </c>
      <c r="AD126" s="539">
        <f t="shared" si="42"/>
        <v>0</v>
      </c>
      <c r="AE126" s="539">
        <f t="shared" si="42"/>
        <v>0</v>
      </c>
      <c r="AF126" s="539">
        <f t="shared" si="42"/>
        <v>0</v>
      </c>
      <c r="AG126" s="539">
        <f t="shared" si="42"/>
        <v>0</v>
      </c>
      <c r="AH126" s="539">
        <f t="shared" si="42"/>
        <v>0</v>
      </c>
      <c r="AI126" s="539">
        <f t="shared" si="42"/>
        <v>0</v>
      </c>
      <c r="AJ126" s="539">
        <f t="shared" si="42"/>
        <v>0</v>
      </c>
      <c r="AK126" s="539">
        <f t="shared" si="42"/>
        <v>0</v>
      </c>
      <c r="AL126" s="539">
        <f t="shared" si="42"/>
        <v>0</v>
      </c>
      <c r="AM126" s="539">
        <f t="shared" si="42"/>
        <v>0</v>
      </c>
      <c r="AN126" s="539">
        <f t="shared" si="42"/>
        <v>0</v>
      </c>
      <c r="AO126" s="539">
        <f t="shared" si="42"/>
        <v>0</v>
      </c>
      <c r="AP126" s="539">
        <f t="shared" si="42"/>
        <v>0</v>
      </c>
      <c r="AQ126" s="539">
        <f t="shared" si="42"/>
        <v>0</v>
      </c>
      <c r="AR126" s="539">
        <f t="shared" si="42"/>
        <v>0</v>
      </c>
      <c r="AS126" s="539">
        <f t="shared" si="42"/>
        <v>0</v>
      </c>
      <c r="AT126" s="539">
        <f t="shared" si="42"/>
        <v>0</v>
      </c>
      <c r="AU126" s="539">
        <f t="shared" si="42"/>
        <v>0</v>
      </c>
      <c r="AV126" s="539">
        <f t="shared" si="42"/>
        <v>0</v>
      </c>
      <c r="AW126" s="539">
        <f t="shared" si="42"/>
        <v>0</v>
      </c>
      <c r="AX126" s="539">
        <f t="shared" si="42"/>
        <v>0</v>
      </c>
      <c r="AY126" s="539">
        <f t="shared" si="42"/>
        <v>0</v>
      </c>
      <c r="AZ126" s="539">
        <f t="shared" si="42"/>
        <v>0</v>
      </c>
      <c r="BA126" s="539">
        <f t="shared" si="42"/>
        <v>0</v>
      </c>
      <c r="BB126" s="539">
        <f t="shared" si="42"/>
        <v>0</v>
      </c>
      <c r="BC126" s="539">
        <f t="shared" si="42"/>
        <v>0</v>
      </c>
      <c r="BD126" s="539">
        <f t="shared" si="42"/>
        <v>0</v>
      </c>
      <c r="BE126" s="539">
        <f t="shared" si="42"/>
        <v>0</v>
      </c>
      <c r="BF126" s="539">
        <f t="shared" si="42"/>
        <v>0</v>
      </c>
      <c r="BG126" s="539">
        <f t="shared" si="42"/>
        <v>0</v>
      </c>
      <c r="BH126" s="539">
        <f t="shared" si="42"/>
        <v>0</v>
      </c>
      <c r="BI126" s="539">
        <f t="shared" si="42"/>
        <v>0</v>
      </c>
      <c r="BJ126" s="539">
        <f t="shared" si="42"/>
        <v>0</v>
      </c>
      <c r="BK126" s="539">
        <f t="shared" si="42"/>
        <v>0</v>
      </c>
      <c r="BL126" s="539">
        <f t="shared" si="42"/>
        <v>0</v>
      </c>
      <c r="BM126" s="539">
        <f t="shared" si="42"/>
        <v>0</v>
      </c>
      <c r="BN126" s="539">
        <f t="shared" si="42"/>
        <v>0</v>
      </c>
      <c r="BO126" s="539">
        <f t="shared" si="42"/>
        <v>0</v>
      </c>
      <c r="BP126" s="539">
        <f t="shared" si="42"/>
        <v>0</v>
      </c>
      <c r="BQ126" s="539">
        <f t="shared" si="42"/>
        <v>0</v>
      </c>
      <c r="BR126" s="539">
        <f t="shared" si="42"/>
        <v>0</v>
      </c>
      <c r="BS126" s="539">
        <f t="shared" si="42"/>
        <v>0</v>
      </c>
      <c r="BT126" s="539">
        <f t="shared" si="42"/>
        <v>0</v>
      </c>
      <c r="BU126" s="539">
        <f t="shared" si="42"/>
        <v>0</v>
      </c>
      <c r="BV126" s="539">
        <f t="shared" si="42"/>
        <v>0</v>
      </c>
      <c r="BW126" s="539">
        <f t="shared" si="42"/>
        <v>0</v>
      </c>
      <c r="BX126" s="539">
        <f t="shared" si="42"/>
        <v>0</v>
      </c>
      <c r="BY126" s="539">
        <f t="shared" si="42"/>
        <v>0</v>
      </c>
      <c r="BZ126" s="539">
        <f t="shared" si="42"/>
        <v>0</v>
      </c>
      <c r="CA126" s="539">
        <f t="shared" si="42"/>
        <v>0</v>
      </c>
      <c r="CB126" s="539">
        <f t="shared" si="42"/>
        <v>0</v>
      </c>
      <c r="CC126" s="539">
        <f t="shared" si="42"/>
        <v>0</v>
      </c>
      <c r="CD126" s="539">
        <f t="shared" si="42"/>
        <v>0</v>
      </c>
      <c r="CE126" s="539">
        <f t="shared" si="42"/>
        <v>0</v>
      </c>
      <c r="CF126" s="539">
        <f t="shared" si="42"/>
        <v>0</v>
      </c>
      <c r="CG126" s="539">
        <f t="shared" si="42"/>
        <v>0</v>
      </c>
      <c r="CH126" s="539">
        <f t="shared" si="42"/>
        <v>0</v>
      </c>
      <c r="CI126" s="539">
        <f t="shared" si="42"/>
        <v>0</v>
      </c>
      <c r="CJ126" s="539">
        <f t="shared" si="42"/>
        <v>0</v>
      </c>
      <c r="CK126" s="539">
        <f t="shared" si="42"/>
        <v>0</v>
      </c>
      <c r="CL126" s="539">
        <f t="shared" si="42"/>
        <v>0</v>
      </c>
      <c r="CM126" s="539">
        <f t="shared" si="42"/>
        <v>0</v>
      </c>
      <c r="CN126" s="539">
        <f t="shared" si="42"/>
        <v>0</v>
      </c>
      <c r="CO126" s="539">
        <f t="shared" si="42"/>
        <v>0</v>
      </c>
      <c r="CP126" s="539">
        <f t="shared" si="42"/>
        <v>0</v>
      </c>
      <c r="CQ126" s="539">
        <f t="shared" si="42"/>
        <v>0</v>
      </c>
      <c r="CR126" s="539">
        <f t="shared" si="42"/>
        <v>0</v>
      </c>
      <c r="CS126" s="539">
        <f t="shared" si="42"/>
        <v>0</v>
      </c>
      <c r="CT126" s="539">
        <f t="shared" si="42"/>
        <v>0</v>
      </c>
      <c r="CU126" s="539">
        <f t="shared" si="42"/>
        <v>0</v>
      </c>
      <c r="CV126" s="539">
        <f t="shared" si="42"/>
        <v>0</v>
      </c>
      <c r="CW126" s="539">
        <f t="shared" si="42"/>
        <v>0</v>
      </c>
      <c r="CX126" s="539">
        <f t="shared" si="42"/>
        <v>0</v>
      </c>
      <c r="CY126" s="539">
        <f t="shared" si="42"/>
        <v>0</v>
      </c>
      <c r="CZ126" s="539">
        <f t="shared" si="42"/>
        <v>0</v>
      </c>
      <c r="DA126" s="539">
        <f t="shared" si="42"/>
        <v>0</v>
      </c>
      <c r="DB126" s="539">
        <f t="shared" si="42"/>
        <v>0</v>
      </c>
      <c r="DC126" s="539">
        <f t="shared" si="42"/>
        <v>0</v>
      </c>
      <c r="DD126" s="539">
        <f t="shared" si="42"/>
        <v>0</v>
      </c>
      <c r="DE126" s="539">
        <f t="shared" si="42"/>
        <v>0</v>
      </c>
      <c r="DF126" s="539">
        <f t="shared" si="42"/>
        <v>0</v>
      </c>
      <c r="DG126" s="539">
        <f t="shared" si="42"/>
        <v>0</v>
      </c>
      <c r="DH126" s="539">
        <f t="shared" si="42"/>
        <v>0</v>
      </c>
      <c r="DI126" s="539">
        <f t="shared" si="42"/>
        <v>0</v>
      </c>
      <c r="DJ126" s="539">
        <f t="shared" si="42"/>
        <v>0</v>
      </c>
      <c r="DK126" s="539">
        <f t="shared" si="42"/>
        <v>0</v>
      </c>
      <c r="DL126" s="539">
        <f t="shared" si="42"/>
        <v>0</v>
      </c>
      <c r="DM126" s="539">
        <f t="shared" si="42"/>
        <v>0</v>
      </c>
      <c r="DN126" s="539">
        <f t="shared" si="42"/>
        <v>0</v>
      </c>
      <c r="DO126" s="539">
        <f t="shared" si="42"/>
        <v>0</v>
      </c>
      <c r="DP126" s="539">
        <f t="shared" si="42"/>
        <v>0</v>
      </c>
      <c r="DQ126" s="539">
        <f t="shared" si="42"/>
        <v>0</v>
      </c>
      <c r="DR126" s="539">
        <f t="shared" si="42"/>
        <v>0</v>
      </c>
      <c r="DS126" s="539">
        <f t="shared" si="42"/>
        <v>0</v>
      </c>
      <c r="DT126" s="539">
        <f t="shared" si="42"/>
        <v>0</v>
      </c>
      <c r="DU126" s="539">
        <f t="shared" si="42"/>
        <v>0</v>
      </c>
      <c r="DV126" s="539">
        <f t="shared" si="42"/>
        <v>0</v>
      </c>
      <c r="DW126" s="539">
        <f t="shared" si="42"/>
        <v>0</v>
      </c>
      <c r="DX126" s="539">
        <f t="shared" si="42"/>
        <v>0</v>
      </c>
      <c r="DY126" s="539">
        <f t="shared" si="42"/>
        <v>0</v>
      </c>
      <c r="DZ126" s="539">
        <f t="shared" si="42"/>
        <v>0</v>
      </c>
      <c r="EA126" s="539">
        <f t="shared" si="42"/>
        <v>0</v>
      </c>
      <c r="EB126" s="539">
        <f t="shared" si="42"/>
        <v>0</v>
      </c>
      <c r="EC126" s="539">
        <f t="shared" si="42"/>
        <v>0</v>
      </c>
      <c r="ED126" s="539">
        <f t="shared" si="42"/>
        <v>0</v>
      </c>
      <c r="EE126" s="539">
        <f t="shared" si="42"/>
        <v>0</v>
      </c>
      <c r="EF126" s="539">
        <f t="shared" si="42"/>
        <v>0</v>
      </c>
      <c r="EG126" s="539">
        <f t="shared" si="42"/>
        <v>0</v>
      </c>
    </row>
    <row r="127" spans="5:7" ht="12.75">
      <c r="E127" s="540" t="s">
        <v>330</v>
      </c>
      <c r="F127" s="543">
        <f>IF(MAX($J126:$EG126)&gt;$F125,1,0)</f>
        <v>0</v>
      </c>
      <c r="G127" s="541" t="s">
        <v>298</v>
      </c>
    </row>
    <row r="130" spans="1:1" ht="12.75">
      <c r="A130" s="534" t="s">
        <v>331</v>
      </c>
    </row>
    <row r="132" spans="2:2" ht="12.75">
      <c r="B132" s="534" t="s">
        <v>301</v>
      </c>
    </row>
    <row r="133" spans="5:7" ht="12.75">
      <c r="E133" s="535" t="str">
        <f>InpC!E$93</f>
        <v>Junior facility - repayment tenor</v>
      </c>
      <c r="F133" s="537">
        <f>InpC!F$93</f>
        <v>12</v>
      </c>
      <c r="G133" s="537" t="str">
        <f>InpC!G$93</f>
        <v>years</v>
      </c>
    </row>
    <row r="134" spans="5:7" ht="12.75">
      <c r="E134" s="535" t="str">
        <f>InpC!E$126</f>
        <v>Months in year</v>
      </c>
      <c r="F134" s="537">
        <f>InpC!F$126</f>
        <v>12</v>
      </c>
      <c r="G134" s="537" t="str">
        <f>InpC!G$126</f>
        <v>months</v>
      </c>
    </row>
    <row r="135" spans="5:7" ht="12.75">
      <c r="E135" s="535" t="str">
        <f>Time!E$21</f>
        <v>End of construction period date</v>
      </c>
      <c r="F135" s="536">
        <f>Time!F$21</f>
        <v>47118</v>
      </c>
      <c r="G135" s="536" t="str">
        <f>Time!G$21</f>
        <v>date</v>
      </c>
    </row>
    <row r="136" spans="5:137" ht="12.75">
      <c r="E136" s="535" t="str">
        <f>Time!E$50</f>
        <v>Model period ending</v>
      </c>
      <c r="G136" s="536" t="str">
        <f>Time!G$50</f>
        <v>date</v>
      </c>
      <c r="J136" s="536">
        <f>Time!J$50</f>
        <v>46418</v>
      </c>
      <c r="K136" s="536">
        <f>Time!K$50</f>
        <v>46446</v>
      </c>
      <c r="L136" s="536">
        <f>Time!L$50</f>
        <v>46477</v>
      </c>
      <c r="M136" s="536">
        <f>Time!M$50</f>
        <v>46507</v>
      </c>
      <c r="N136" s="536">
        <f>Time!N$50</f>
        <v>46538</v>
      </c>
      <c r="O136" s="536">
        <f>Time!O$50</f>
        <v>46568</v>
      </c>
      <c r="P136" s="536">
        <f>Time!P$50</f>
        <v>46599</v>
      </c>
      <c r="Q136" s="536">
        <f>Time!Q$50</f>
        <v>46630</v>
      </c>
      <c r="R136" s="536">
        <f>Time!R$50</f>
        <v>46660</v>
      </c>
      <c r="S136" s="536">
        <f>Time!S$50</f>
        <v>46691</v>
      </c>
      <c r="T136" s="536">
        <f>Time!T$50</f>
        <v>46721</v>
      </c>
      <c r="U136" s="536">
        <f>Time!U$50</f>
        <v>46752</v>
      </c>
      <c r="V136" s="536">
        <f>Time!V$50</f>
        <v>46783</v>
      </c>
      <c r="W136" s="536">
        <f>Time!W$50</f>
        <v>46812</v>
      </c>
      <c r="X136" s="536">
        <f>Time!X$50</f>
        <v>46843</v>
      </c>
      <c r="Y136" s="536">
        <f>Time!Y$50</f>
        <v>46873</v>
      </c>
      <c r="Z136" s="536">
        <f>Time!Z$50</f>
        <v>46904</v>
      </c>
      <c r="AA136" s="536">
        <f>Time!AA$50</f>
        <v>46934</v>
      </c>
      <c r="AB136" s="536">
        <f>Time!AB$50</f>
        <v>46965</v>
      </c>
      <c r="AC136" s="536">
        <f>Time!AC$50</f>
        <v>46996</v>
      </c>
      <c r="AD136" s="536">
        <f>Time!AD$50</f>
        <v>47026</v>
      </c>
      <c r="AE136" s="536">
        <f>Time!AE$50</f>
        <v>47057</v>
      </c>
      <c r="AF136" s="536">
        <f>Time!AF$50</f>
        <v>47087</v>
      </c>
      <c r="AG136" s="536">
        <f>Time!AG$50</f>
        <v>47118</v>
      </c>
      <c r="AH136" s="536">
        <f>Time!AH$50</f>
        <v>47208</v>
      </c>
      <c r="AI136" s="536">
        <f>Time!AI$50</f>
        <v>47299</v>
      </c>
      <c r="AJ136" s="536">
        <f>Time!AJ$50</f>
        <v>47391</v>
      </c>
      <c r="AK136" s="536">
        <f>Time!AK$50</f>
        <v>47483</v>
      </c>
      <c r="AL136" s="536">
        <f>Time!AL$50</f>
        <v>47573</v>
      </c>
      <c r="AM136" s="536">
        <f>Time!AM$50</f>
        <v>47664</v>
      </c>
      <c r="AN136" s="536">
        <f>Time!AN$50</f>
        <v>47756</v>
      </c>
      <c r="AO136" s="536">
        <f>Time!AO$50</f>
        <v>47848</v>
      </c>
      <c r="AP136" s="536">
        <f>Time!AP$50</f>
        <v>47938</v>
      </c>
      <c r="AQ136" s="536">
        <f>Time!AQ$50</f>
        <v>48029</v>
      </c>
      <c r="AR136" s="536">
        <f>Time!AR$50</f>
        <v>48121</v>
      </c>
      <c r="AS136" s="536">
        <f>Time!AS$50</f>
        <v>48213</v>
      </c>
      <c r="AT136" s="536">
        <f>Time!AT$50</f>
        <v>48304</v>
      </c>
      <c r="AU136" s="536">
        <f>Time!AU$50</f>
        <v>48395</v>
      </c>
      <c r="AV136" s="536">
        <f>Time!AV$50</f>
        <v>48487</v>
      </c>
      <c r="AW136" s="536">
        <f>Time!AW$50</f>
        <v>48579</v>
      </c>
      <c r="AX136" s="536">
        <f>Time!AX$50</f>
        <v>48669</v>
      </c>
      <c r="AY136" s="536">
        <f>Time!AY$50</f>
        <v>48760</v>
      </c>
      <c r="AZ136" s="536">
        <f>Time!AZ$50</f>
        <v>48852</v>
      </c>
      <c r="BA136" s="536">
        <f>Time!BA$50</f>
        <v>48944</v>
      </c>
      <c r="BB136" s="536">
        <f>Time!BB$50</f>
        <v>49034</v>
      </c>
      <c r="BC136" s="536">
        <f>Time!BC$50</f>
        <v>49125</v>
      </c>
      <c r="BD136" s="536">
        <f>Time!BD$50</f>
        <v>49217</v>
      </c>
      <c r="BE136" s="536">
        <f>Time!BE$50</f>
        <v>49309</v>
      </c>
      <c r="BF136" s="536">
        <f>Time!BF$50</f>
        <v>49399</v>
      </c>
      <c r="BG136" s="536">
        <f>Time!BG$50</f>
        <v>49490</v>
      </c>
      <c r="BH136" s="536">
        <f>Time!BH$50</f>
        <v>49582</v>
      </c>
      <c r="BI136" s="536">
        <f>Time!BI$50</f>
        <v>49674</v>
      </c>
      <c r="BJ136" s="536">
        <f>Time!BJ$50</f>
        <v>49765</v>
      </c>
      <c r="BK136" s="536">
        <f>Time!BK$50</f>
        <v>49856</v>
      </c>
      <c r="BL136" s="536">
        <f>Time!BL$50</f>
        <v>49948</v>
      </c>
      <c r="BM136" s="536">
        <f>Time!BM$50</f>
        <v>50040</v>
      </c>
      <c r="BN136" s="536">
        <f>Time!BN$50</f>
        <v>50130</v>
      </c>
      <c r="BO136" s="536">
        <f>Time!BO$50</f>
        <v>50221</v>
      </c>
      <c r="BP136" s="536">
        <f>Time!BP$50</f>
        <v>50313</v>
      </c>
      <c r="BQ136" s="536">
        <f>Time!BQ$50</f>
        <v>50405</v>
      </c>
      <c r="BR136" s="536">
        <f>Time!BR$50</f>
        <v>50495</v>
      </c>
      <c r="BS136" s="536">
        <f>Time!BS$50</f>
        <v>50586</v>
      </c>
      <c r="BT136" s="536">
        <f>Time!BT$50</f>
        <v>50678</v>
      </c>
      <c r="BU136" s="536">
        <f>Time!BU$50</f>
        <v>50770</v>
      </c>
      <c r="BV136" s="536">
        <f>Time!BV$50</f>
        <v>50860</v>
      </c>
      <c r="BW136" s="536">
        <f>Time!BW$50</f>
        <v>50951</v>
      </c>
      <c r="BX136" s="536">
        <f>Time!BX$50</f>
        <v>51043</v>
      </c>
      <c r="BY136" s="536">
        <f>Time!BY$50</f>
        <v>51135</v>
      </c>
      <c r="BZ136" s="536">
        <f>Time!BZ$50</f>
        <v>51226</v>
      </c>
      <c r="CA136" s="536">
        <f>Time!CA$50</f>
        <v>51317</v>
      </c>
      <c r="CB136" s="536">
        <f>Time!CB$50</f>
        <v>51409</v>
      </c>
      <c r="CC136" s="536">
        <f>Time!CC$50</f>
        <v>51501</v>
      </c>
      <c r="CD136" s="536">
        <f>Time!CD$50</f>
        <v>51591</v>
      </c>
      <c r="CE136" s="536">
        <f>Time!CE$50</f>
        <v>51682</v>
      </c>
      <c r="CF136" s="536">
        <f>Time!CF$50</f>
        <v>51774</v>
      </c>
      <c r="CG136" s="536">
        <f>Time!CG$50</f>
        <v>51866</v>
      </c>
      <c r="CH136" s="536">
        <f>Time!CH$50</f>
        <v>51956</v>
      </c>
      <c r="CI136" s="536">
        <f>Time!CI$50</f>
        <v>52047</v>
      </c>
      <c r="CJ136" s="536">
        <f>Time!CJ$50</f>
        <v>52139</v>
      </c>
      <c r="CK136" s="536">
        <f>Time!CK$50</f>
        <v>52231</v>
      </c>
      <c r="CL136" s="536">
        <f>Time!CL$50</f>
        <v>52321</v>
      </c>
      <c r="CM136" s="536">
        <f>Time!CM$50</f>
        <v>52412</v>
      </c>
      <c r="CN136" s="536">
        <f>Time!CN$50</f>
        <v>52504</v>
      </c>
      <c r="CO136" s="536">
        <f>Time!CO$50</f>
        <v>52596</v>
      </c>
      <c r="CP136" s="536">
        <f>Time!CP$50</f>
        <v>52687</v>
      </c>
      <c r="CQ136" s="536">
        <f>Time!CQ$50</f>
        <v>52778</v>
      </c>
      <c r="CR136" s="536">
        <f>Time!CR$50</f>
        <v>52870</v>
      </c>
      <c r="CS136" s="536">
        <f>Time!CS$50</f>
        <v>52962</v>
      </c>
      <c r="CT136" s="536">
        <f>Time!CT$50</f>
        <v>53052</v>
      </c>
      <c r="CU136" s="536">
        <f>Time!CU$50</f>
        <v>53143</v>
      </c>
      <c r="CV136" s="536">
        <f>Time!CV$50</f>
        <v>53235</v>
      </c>
      <c r="CW136" s="536">
        <f>Time!CW$50</f>
        <v>53327</v>
      </c>
      <c r="CX136" s="536">
        <f>Time!CX$50</f>
        <v>53417</v>
      </c>
      <c r="CY136" s="536">
        <f>Time!CY$50</f>
        <v>53508</v>
      </c>
      <c r="CZ136" s="536">
        <f>Time!CZ$50</f>
        <v>53600</v>
      </c>
      <c r="DA136" s="536">
        <f>Time!DA$50</f>
        <v>53692</v>
      </c>
      <c r="DB136" s="536">
        <f>Time!DB$50</f>
        <v>53782</v>
      </c>
      <c r="DC136" s="536">
        <f>Time!DC$50</f>
        <v>53873</v>
      </c>
      <c r="DD136" s="536">
        <f>Time!DD$50</f>
        <v>53965</v>
      </c>
      <c r="DE136" s="536">
        <f>Time!DE$50</f>
        <v>54057</v>
      </c>
      <c r="DF136" s="536">
        <f>Time!DF$50</f>
        <v>54148</v>
      </c>
      <c r="DG136" s="536">
        <f>Time!DG$50</f>
        <v>54239</v>
      </c>
      <c r="DH136" s="536">
        <f>Time!DH$50</f>
        <v>54331</v>
      </c>
      <c r="DI136" s="536">
        <f>Time!DI$50</f>
        <v>54423</v>
      </c>
      <c r="DJ136" s="536">
        <f>Time!DJ$50</f>
        <v>54513</v>
      </c>
      <c r="DK136" s="536">
        <f>Time!DK$50</f>
        <v>54604</v>
      </c>
      <c r="DL136" s="536">
        <f>Time!DL$50</f>
        <v>54696</v>
      </c>
      <c r="DM136" s="536">
        <f>Time!DM$50</f>
        <v>54788</v>
      </c>
      <c r="DN136" s="536">
        <f>Time!DN$50</f>
        <v>54878</v>
      </c>
      <c r="DO136" s="536">
        <f>Time!DO$50</f>
        <v>54969</v>
      </c>
      <c r="DP136" s="536">
        <f>Time!DP$50</f>
        <v>55061</v>
      </c>
      <c r="DQ136" s="536">
        <f>Time!DQ$50</f>
        <v>55153</v>
      </c>
      <c r="DR136" s="536">
        <f>Time!DR$50</f>
        <v>55243</v>
      </c>
      <c r="DS136" s="536">
        <f>Time!DS$50</f>
        <v>55334</v>
      </c>
      <c r="DT136" s="536">
        <f>Time!DT$50</f>
        <v>55426</v>
      </c>
      <c r="DU136" s="536">
        <f>Time!DU$50</f>
        <v>55518</v>
      </c>
      <c r="DV136" s="536">
        <f>Time!DV$50</f>
        <v>55609</v>
      </c>
      <c r="DW136" s="536">
        <f>Time!DW$50</f>
        <v>55700</v>
      </c>
      <c r="DX136" s="536">
        <f>Time!DX$50</f>
        <v>55792</v>
      </c>
      <c r="DY136" s="536">
        <f>Time!DY$50</f>
        <v>55884</v>
      </c>
      <c r="DZ136" s="536">
        <f>Time!DZ$50</f>
        <v>55974</v>
      </c>
      <c r="EA136" s="536">
        <f>Time!EA$50</f>
        <v>56065</v>
      </c>
      <c r="EB136" s="536">
        <f>Time!EB$50</f>
        <v>56157</v>
      </c>
      <c r="EC136" s="536">
        <f>Time!EC$50</f>
        <v>56249</v>
      </c>
      <c r="ED136" s="536">
        <f>Time!ED$50</f>
        <v>56339</v>
      </c>
      <c r="EE136" s="536">
        <f>Time!EE$50</f>
        <v>56430</v>
      </c>
      <c r="EF136" s="536">
        <f>Time!EF$50</f>
        <v>56522</v>
      </c>
      <c r="EG136" s="536">
        <f>Time!EG$50</f>
        <v>56614</v>
      </c>
    </row>
    <row r="137" spans="5:137" ht="12.75">
      <c r="E137" s="535" t="str">
        <f>Time!E$91</f>
        <v>Operating period flag</v>
      </c>
      <c r="G137" s="537" t="str">
        <f>Time!G$91</f>
        <v>flag</v>
      </c>
      <c r="H137" s="537">
        <f>Time!H$91</f>
        <v>100</v>
      </c>
      <c r="J137" s="537">
        <f>Time!J$91</f>
        <v>0</v>
      </c>
      <c r="K137" s="537">
        <f>Time!K$91</f>
        <v>0</v>
      </c>
      <c r="L137" s="537">
        <f>Time!L$91</f>
        <v>0</v>
      </c>
      <c r="M137" s="537">
        <f>Time!M$91</f>
        <v>0</v>
      </c>
      <c r="N137" s="537">
        <f>Time!N$91</f>
        <v>0</v>
      </c>
      <c r="O137" s="537">
        <f>Time!O$91</f>
        <v>0</v>
      </c>
      <c r="P137" s="537">
        <f>Time!P$91</f>
        <v>0</v>
      </c>
      <c r="Q137" s="537">
        <f>Time!Q$91</f>
        <v>0</v>
      </c>
      <c r="R137" s="537">
        <f>Time!R$91</f>
        <v>0</v>
      </c>
      <c r="S137" s="537">
        <f>Time!S$91</f>
        <v>0</v>
      </c>
      <c r="T137" s="537">
        <f>Time!T$91</f>
        <v>0</v>
      </c>
      <c r="U137" s="537">
        <f>Time!U$91</f>
        <v>0</v>
      </c>
      <c r="V137" s="537">
        <f>Time!V$91</f>
        <v>0</v>
      </c>
      <c r="W137" s="537">
        <f>Time!W$91</f>
        <v>0</v>
      </c>
      <c r="X137" s="537">
        <f>Time!X$91</f>
        <v>0</v>
      </c>
      <c r="Y137" s="537">
        <f>Time!Y$91</f>
        <v>0</v>
      </c>
      <c r="Z137" s="537">
        <f>Time!Z$91</f>
        <v>0</v>
      </c>
      <c r="AA137" s="537">
        <f>Time!AA$91</f>
        <v>0</v>
      </c>
      <c r="AB137" s="537">
        <f>Time!AB$91</f>
        <v>0</v>
      </c>
      <c r="AC137" s="537">
        <f>Time!AC$91</f>
        <v>0</v>
      </c>
      <c r="AD137" s="537">
        <f>Time!AD$91</f>
        <v>0</v>
      </c>
      <c r="AE137" s="537">
        <f>Time!AE$91</f>
        <v>0</v>
      </c>
      <c r="AF137" s="537">
        <f>Time!AF$91</f>
        <v>0</v>
      </c>
      <c r="AG137" s="537">
        <f>Time!AG$91</f>
        <v>0</v>
      </c>
      <c r="AH137" s="537">
        <f>Time!AH$91</f>
        <v>1</v>
      </c>
      <c r="AI137" s="537">
        <f>Time!AI$91</f>
        <v>1</v>
      </c>
      <c r="AJ137" s="537">
        <f>Time!AJ$91</f>
        <v>1</v>
      </c>
      <c r="AK137" s="537">
        <f>Time!AK$91</f>
        <v>1</v>
      </c>
      <c r="AL137" s="537">
        <f>Time!AL$91</f>
        <v>1</v>
      </c>
      <c r="AM137" s="537">
        <f>Time!AM$91</f>
        <v>1</v>
      </c>
      <c r="AN137" s="537">
        <f>Time!AN$91</f>
        <v>1</v>
      </c>
      <c r="AO137" s="537">
        <f>Time!AO$91</f>
        <v>1</v>
      </c>
      <c r="AP137" s="537">
        <f>Time!AP$91</f>
        <v>1</v>
      </c>
      <c r="AQ137" s="537">
        <f>Time!AQ$91</f>
        <v>1</v>
      </c>
      <c r="AR137" s="537">
        <f>Time!AR$91</f>
        <v>1</v>
      </c>
      <c r="AS137" s="537">
        <f>Time!AS$91</f>
        <v>1</v>
      </c>
      <c r="AT137" s="537">
        <f>Time!AT$91</f>
        <v>1</v>
      </c>
      <c r="AU137" s="537">
        <f>Time!AU$91</f>
        <v>1</v>
      </c>
      <c r="AV137" s="537">
        <f>Time!AV$91</f>
        <v>1</v>
      </c>
      <c r="AW137" s="537">
        <f>Time!AW$91</f>
        <v>1</v>
      </c>
      <c r="AX137" s="537">
        <f>Time!AX$91</f>
        <v>1</v>
      </c>
      <c r="AY137" s="537">
        <f>Time!AY$91</f>
        <v>1</v>
      </c>
      <c r="AZ137" s="537">
        <f>Time!AZ$91</f>
        <v>1</v>
      </c>
      <c r="BA137" s="537">
        <f>Time!BA$91</f>
        <v>1</v>
      </c>
      <c r="BB137" s="537">
        <f>Time!BB$91</f>
        <v>1</v>
      </c>
      <c r="BC137" s="537">
        <f>Time!BC$91</f>
        <v>1</v>
      </c>
      <c r="BD137" s="537">
        <f>Time!BD$91</f>
        <v>1</v>
      </c>
      <c r="BE137" s="537">
        <f>Time!BE$91</f>
        <v>1</v>
      </c>
      <c r="BF137" s="537">
        <f>Time!BF$91</f>
        <v>1</v>
      </c>
      <c r="BG137" s="537">
        <f>Time!BG$91</f>
        <v>1</v>
      </c>
      <c r="BH137" s="537">
        <f>Time!BH$91</f>
        <v>1</v>
      </c>
      <c r="BI137" s="537">
        <f>Time!BI$91</f>
        <v>1</v>
      </c>
      <c r="BJ137" s="537">
        <f>Time!BJ$91</f>
        <v>1</v>
      </c>
      <c r="BK137" s="537">
        <f>Time!BK$91</f>
        <v>1</v>
      </c>
      <c r="BL137" s="537">
        <f>Time!BL$91</f>
        <v>1</v>
      </c>
      <c r="BM137" s="537">
        <f>Time!BM$91</f>
        <v>1</v>
      </c>
      <c r="BN137" s="537">
        <f>Time!BN$91</f>
        <v>1</v>
      </c>
      <c r="BO137" s="537">
        <f>Time!BO$91</f>
        <v>1</v>
      </c>
      <c r="BP137" s="537">
        <f>Time!BP$91</f>
        <v>1</v>
      </c>
      <c r="BQ137" s="537">
        <f>Time!BQ$91</f>
        <v>1</v>
      </c>
      <c r="BR137" s="537">
        <f>Time!BR$91</f>
        <v>1</v>
      </c>
      <c r="BS137" s="537">
        <f>Time!BS$91</f>
        <v>1</v>
      </c>
      <c r="BT137" s="537">
        <f>Time!BT$91</f>
        <v>1</v>
      </c>
      <c r="BU137" s="537">
        <f>Time!BU$91</f>
        <v>1</v>
      </c>
      <c r="BV137" s="537">
        <f>Time!BV$91</f>
        <v>1</v>
      </c>
      <c r="BW137" s="537">
        <f>Time!BW$91</f>
        <v>1</v>
      </c>
      <c r="BX137" s="537">
        <f>Time!BX$91</f>
        <v>1</v>
      </c>
      <c r="BY137" s="537">
        <f>Time!BY$91</f>
        <v>1</v>
      </c>
      <c r="BZ137" s="537">
        <f>Time!BZ$91</f>
        <v>1</v>
      </c>
      <c r="CA137" s="537">
        <f>Time!CA$91</f>
        <v>1</v>
      </c>
      <c r="CB137" s="537">
        <f>Time!CB$91</f>
        <v>1</v>
      </c>
      <c r="CC137" s="537">
        <f>Time!CC$91</f>
        <v>1</v>
      </c>
      <c r="CD137" s="537">
        <f>Time!CD$91</f>
        <v>1</v>
      </c>
      <c r="CE137" s="537">
        <f>Time!CE$91</f>
        <v>1</v>
      </c>
      <c r="CF137" s="537">
        <f>Time!CF$91</f>
        <v>1</v>
      </c>
      <c r="CG137" s="537">
        <f>Time!CG$91</f>
        <v>1</v>
      </c>
      <c r="CH137" s="537">
        <f>Time!CH$91</f>
        <v>1</v>
      </c>
      <c r="CI137" s="537">
        <f>Time!CI$91</f>
        <v>1</v>
      </c>
      <c r="CJ137" s="537">
        <f>Time!CJ$91</f>
        <v>1</v>
      </c>
      <c r="CK137" s="537">
        <f>Time!CK$91</f>
        <v>1</v>
      </c>
      <c r="CL137" s="537">
        <f>Time!CL$91</f>
        <v>1</v>
      </c>
      <c r="CM137" s="537">
        <f>Time!CM$91</f>
        <v>1</v>
      </c>
      <c r="CN137" s="537">
        <f>Time!CN$91</f>
        <v>1</v>
      </c>
      <c r="CO137" s="537">
        <f>Time!CO$91</f>
        <v>1</v>
      </c>
      <c r="CP137" s="537">
        <f>Time!CP$91</f>
        <v>1</v>
      </c>
      <c r="CQ137" s="537">
        <f>Time!CQ$91</f>
        <v>1</v>
      </c>
      <c r="CR137" s="537">
        <f>Time!CR$91</f>
        <v>1</v>
      </c>
      <c r="CS137" s="537">
        <f>Time!CS$91</f>
        <v>1</v>
      </c>
      <c r="CT137" s="537">
        <f>Time!CT$91</f>
        <v>1</v>
      </c>
      <c r="CU137" s="537">
        <f>Time!CU$91</f>
        <v>1</v>
      </c>
      <c r="CV137" s="537">
        <f>Time!CV$91</f>
        <v>1</v>
      </c>
      <c r="CW137" s="537">
        <f>Time!CW$91</f>
        <v>1</v>
      </c>
      <c r="CX137" s="537">
        <f>Time!CX$91</f>
        <v>1</v>
      </c>
      <c r="CY137" s="537">
        <f>Time!CY$91</f>
        <v>1</v>
      </c>
      <c r="CZ137" s="537">
        <f>Time!CZ$91</f>
        <v>1</v>
      </c>
      <c r="DA137" s="537">
        <f>Time!DA$91</f>
        <v>1</v>
      </c>
      <c r="DB137" s="537">
        <f>Time!DB$91</f>
        <v>1</v>
      </c>
      <c r="DC137" s="537">
        <f>Time!DC$91</f>
        <v>1</v>
      </c>
      <c r="DD137" s="537">
        <f>Time!DD$91</f>
        <v>1</v>
      </c>
      <c r="DE137" s="537">
        <f>Time!DE$91</f>
        <v>1</v>
      </c>
      <c r="DF137" s="537">
        <f>Time!DF$91</f>
        <v>1</v>
      </c>
      <c r="DG137" s="537">
        <f>Time!DG$91</f>
        <v>1</v>
      </c>
      <c r="DH137" s="537">
        <f>Time!DH$91</f>
        <v>1</v>
      </c>
      <c r="DI137" s="537">
        <f>Time!DI$91</f>
        <v>1</v>
      </c>
      <c r="DJ137" s="537">
        <f>Time!DJ$91</f>
        <v>1</v>
      </c>
      <c r="DK137" s="537">
        <f>Time!DK$91</f>
        <v>1</v>
      </c>
      <c r="DL137" s="537">
        <f>Time!DL$91</f>
        <v>1</v>
      </c>
      <c r="DM137" s="537">
        <f>Time!DM$91</f>
        <v>1</v>
      </c>
      <c r="DN137" s="537">
        <f>Time!DN$91</f>
        <v>1</v>
      </c>
      <c r="DO137" s="537">
        <f>Time!DO$91</f>
        <v>1</v>
      </c>
      <c r="DP137" s="537">
        <f>Time!DP$91</f>
        <v>1</v>
      </c>
      <c r="DQ137" s="537">
        <f>Time!DQ$91</f>
        <v>1</v>
      </c>
      <c r="DR137" s="537">
        <f>Time!DR$91</f>
        <v>1</v>
      </c>
      <c r="DS137" s="537">
        <f>Time!DS$91</f>
        <v>1</v>
      </c>
      <c r="DT137" s="537">
        <f>Time!DT$91</f>
        <v>1</v>
      </c>
      <c r="DU137" s="537">
        <f>Time!DU$91</f>
        <v>1</v>
      </c>
      <c r="DV137" s="537">
        <f>Time!DV$91</f>
        <v>1</v>
      </c>
      <c r="DW137" s="537">
        <f>Time!DW$91</f>
        <v>1</v>
      </c>
      <c r="DX137" s="537">
        <f>Time!DX$91</f>
        <v>1</v>
      </c>
      <c r="DY137" s="537">
        <f>Time!DY$91</f>
        <v>1</v>
      </c>
      <c r="DZ137" s="537">
        <f>Time!DZ$91</f>
        <v>1</v>
      </c>
      <c r="EA137" s="537">
        <f>Time!EA$91</f>
        <v>1</v>
      </c>
      <c r="EB137" s="537">
        <f>Time!EB$91</f>
        <v>1</v>
      </c>
      <c r="EC137" s="537">
        <f>Time!EC$91</f>
        <v>1</v>
      </c>
      <c r="ED137" s="537">
        <f>Time!ED$91</f>
        <v>0</v>
      </c>
      <c r="EE137" s="537">
        <f>Time!EE$91</f>
        <v>0</v>
      </c>
      <c r="EF137" s="537">
        <f>Time!EF$91</f>
        <v>0</v>
      </c>
      <c r="EG137" s="537">
        <f>Time!EG$91</f>
        <v>0</v>
      </c>
    </row>
    <row r="138" spans="5:137" ht="12.75">
      <c r="E138" s="538" t="s">
        <v>332</v>
      </c>
      <c r="G138" s="539" t="s">
        <v>158</v>
      </c>
      <c r="H138" s="539">
        <f>SUM(J138:EG138)</f>
        <v>48</v>
      </c>
      <c r="J138" s="539">
        <f t="shared" si="43" ref="J138:EG138">J137*IF(J136&lt;=EDATE($F135,$F133*$F134),1,0)</f>
        <v>0</v>
      </c>
      <c r="K138" s="539">
        <f t="shared" si="43"/>
        <v>0</v>
      </c>
      <c r="L138" s="539">
        <f t="shared" si="43"/>
        <v>0</v>
      </c>
      <c r="M138" s="539">
        <f t="shared" si="43"/>
        <v>0</v>
      </c>
      <c r="N138" s="539">
        <f t="shared" si="43"/>
        <v>0</v>
      </c>
      <c r="O138" s="539">
        <f t="shared" si="43"/>
        <v>0</v>
      </c>
      <c r="P138" s="539">
        <f t="shared" si="43"/>
        <v>0</v>
      </c>
      <c r="Q138" s="539">
        <f t="shared" si="43"/>
        <v>0</v>
      </c>
      <c r="R138" s="539">
        <f t="shared" si="43"/>
        <v>0</v>
      </c>
      <c r="S138" s="539">
        <f t="shared" si="43"/>
        <v>0</v>
      </c>
      <c r="T138" s="539">
        <f t="shared" si="43"/>
        <v>0</v>
      </c>
      <c r="U138" s="539">
        <f t="shared" si="43"/>
        <v>0</v>
      </c>
      <c r="V138" s="539">
        <f t="shared" si="43"/>
        <v>0</v>
      </c>
      <c r="W138" s="539">
        <f t="shared" si="43"/>
        <v>0</v>
      </c>
      <c r="X138" s="539">
        <f t="shared" si="43"/>
        <v>0</v>
      </c>
      <c r="Y138" s="539">
        <f t="shared" si="43"/>
        <v>0</v>
      </c>
      <c r="Z138" s="539">
        <f t="shared" si="43"/>
        <v>0</v>
      </c>
      <c r="AA138" s="539">
        <f t="shared" si="43"/>
        <v>0</v>
      </c>
      <c r="AB138" s="539">
        <f t="shared" si="43"/>
        <v>0</v>
      </c>
      <c r="AC138" s="539">
        <f t="shared" si="43"/>
        <v>0</v>
      </c>
      <c r="AD138" s="539">
        <f t="shared" si="43"/>
        <v>0</v>
      </c>
      <c r="AE138" s="539">
        <f t="shared" si="43"/>
        <v>0</v>
      </c>
      <c r="AF138" s="539">
        <f t="shared" si="43"/>
        <v>0</v>
      </c>
      <c r="AG138" s="539">
        <f t="shared" si="43"/>
        <v>0</v>
      </c>
      <c r="AH138" s="539">
        <f t="shared" si="43"/>
        <v>1</v>
      </c>
      <c r="AI138" s="539">
        <f t="shared" si="43"/>
        <v>1</v>
      </c>
      <c r="AJ138" s="539">
        <f t="shared" si="43"/>
        <v>1</v>
      </c>
      <c r="AK138" s="539">
        <f t="shared" si="43"/>
        <v>1</v>
      </c>
      <c r="AL138" s="539">
        <f t="shared" si="43"/>
        <v>1</v>
      </c>
      <c r="AM138" s="539">
        <f t="shared" si="43"/>
        <v>1</v>
      </c>
      <c r="AN138" s="539">
        <f t="shared" si="43"/>
        <v>1</v>
      </c>
      <c r="AO138" s="539">
        <f t="shared" si="43"/>
        <v>1</v>
      </c>
      <c r="AP138" s="539">
        <f t="shared" si="43"/>
        <v>1</v>
      </c>
      <c r="AQ138" s="539">
        <f t="shared" si="43"/>
        <v>1</v>
      </c>
      <c r="AR138" s="539">
        <f t="shared" si="43"/>
        <v>1</v>
      </c>
      <c r="AS138" s="539">
        <f t="shared" si="43"/>
        <v>1</v>
      </c>
      <c r="AT138" s="539">
        <f t="shared" si="43"/>
        <v>1</v>
      </c>
      <c r="AU138" s="539">
        <f t="shared" si="43"/>
        <v>1</v>
      </c>
      <c r="AV138" s="539">
        <f t="shared" si="43"/>
        <v>1</v>
      </c>
      <c r="AW138" s="539">
        <f t="shared" si="43"/>
        <v>1</v>
      </c>
      <c r="AX138" s="539">
        <f t="shared" si="43"/>
        <v>1</v>
      </c>
      <c r="AY138" s="539">
        <f t="shared" si="43"/>
        <v>1</v>
      </c>
      <c r="AZ138" s="539">
        <f t="shared" si="43"/>
        <v>1</v>
      </c>
      <c r="BA138" s="539">
        <f t="shared" si="43"/>
        <v>1</v>
      </c>
      <c r="BB138" s="539">
        <f t="shared" si="43"/>
        <v>1</v>
      </c>
      <c r="BC138" s="539">
        <f t="shared" si="43"/>
        <v>1</v>
      </c>
      <c r="BD138" s="539">
        <f t="shared" si="43"/>
        <v>1</v>
      </c>
      <c r="BE138" s="539">
        <f t="shared" si="43"/>
        <v>1</v>
      </c>
      <c r="BF138" s="539">
        <f t="shared" si="43"/>
        <v>1</v>
      </c>
      <c r="BG138" s="539">
        <f t="shared" si="43"/>
        <v>1</v>
      </c>
      <c r="BH138" s="539">
        <f t="shared" si="43"/>
        <v>1</v>
      </c>
      <c r="BI138" s="539">
        <f t="shared" si="43"/>
        <v>1</v>
      </c>
      <c r="BJ138" s="539">
        <f t="shared" si="43"/>
        <v>1</v>
      </c>
      <c r="BK138" s="539">
        <f t="shared" si="43"/>
        <v>1</v>
      </c>
      <c r="BL138" s="539">
        <f t="shared" si="43"/>
        <v>1</v>
      </c>
      <c r="BM138" s="539">
        <f t="shared" si="43"/>
        <v>1</v>
      </c>
      <c r="BN138" s="539">
        <f t="shared" si="43"/>
        <v>1</v>
      </c>
      <c r="BO138" s="539">
        <f t="shared" si="43"/>
        <v>1</v>
      </c>
      <c r="BP138" s="539">
        <f t="shared" si="43"/>
        <v>1</v>
      </c>
      <c r="BQ138" s="539">
        <f t="shared" si="43"/>
        <v>1</v>
      </c>
      <c r="BR138" s="539">
        <f t="shared" si="43"/>
        <v>1</v>
      </c>
      <c r="BS138" s="539">
        <f t="shared" si="43"/>
        <v>1</v>
      </c>
      <c r="BT138" s="539">
        <f t="shared" si="43"/>
        <v>1</v>
      </c>
      <c r="BU138" s="539">
        <f t="shared" si="43"/>
        <v>1</v>
      </c>
      <c r="BV138" s="539">
        <f t="shared" si="43"/>
        <v>1</v>
      </c>
      <c r="BW138" s="539">
        <f t="shared" si="43"/>
        <v>1</v>
      </c>
      <c r="BX138" s="539">
        <f t="shared" si="43"/>
        <v>1</v>
      </c>
      <c r="BY138" s="539">
        <f t="shared" si="43"/>
        <v>1</v>
      </c>
      <c r="BZ138" s="539">
        <f t="shared" si="43"/>
        <v>1</v>
      </c>
      <c r="CA138" s="539">
        <f t="shared" si="43"/>
        <v>1</v>
      </c>
      <c r="CB138" s="539">
        <f t="shared" si="43"/>
        <v>1</v>
      </c>
      <c r="CC138" s="539">
        <f t="shared" si="43"/>
        <v>1</v>
      </c>
      <c r="CD138" s="539">
        <f t="shared" si="43"/>
        <v>0</v>
      </c>
      <c r="CE138" s="539">
        <f t="shared" si="43"/>
        <v>0</v>
      </c>
      <c r="CF138" s="539">
        <f t="shared" si="43"/>
        <v>0</v>
      </c>
      <c r="CG138" s="539">
        <f t="shared" si="43"/>
        <v>0</v>
      </c>
      <c r="CH138" s="539">
        <f t="shared" si="43"/>
        <v>0</v>
      </c>
      <c r="CI138" s="539">
        <f t="shared" si="43"/>
        <v>0</v>
      </c>
      <c r="CJ138" s="539">
        <f t="shared" si="43"/>
        <v>0</v>
      </c>
      <c r="CK138" s="539">
        <f t="shared" si="43"/>
        <v>0</v>
      </c>
      <c r="CL138" s="539">
        <f t="shared" si="43"/>
        <v>0</v>
      </c>
      <c r="CM138" s="539">
        <f t="shared" si="43"/>
        <v>0</v>
      </c>
      <c r="CN138" s="539">
        <f t="shared" si="43"/>
        <v>0</v>
      </c>
      <c r="CO138" s="539">
        <f t="shared" si="43"/>
        <v>0</v>
      </c>
      <c r="CP138" s="539">
        <f t="shared" si="43"/>
        <v>0</v>
      </c>
      <c r="CQ138" s="539">
        <f t="shared" si="43"/>
        <v>0</v>
      </c>
      <c r="CR138" s="539">
        <f t="shared" si="43"/>
        <v>0</v>
      </c>
      <c r="CS138" s="539">
        <f t="shared" si="43"/>
        <v>0</v>
      </c>
      <c r="CT138" s="539">
        <f t="shared" si="43"/>
        <v>0</v>
      </c>
      <c r="CU138" s="539">
        <f t="shared" si="43"/>
        <v>0</v>
      </c>
      <c r="CV138" s="539">
        <f t="shared" si="43"/>
        <v>0</v>
      </c>
      <c r="CW138" s="539">
        <f t="shared" si="43"/>
        <v>0</v>
      </c>
      <c r="CX138" s="539">
        <f t="shared" si="43"/>
        <v>0</v>
      </c>
      <c r="CY138" s="539">
        <f t="shared" si="43"/>
        <v>0</v>
      </c>
      <c r="CZ138" s="539">
        <f t="shared" si="43"/>
        <v>0</v>
      </c>
      <c r="DA138" s="539">
        <f t="shared" si="43"/>
        <v>0</v>
      </c>
      <c r="DB138" s="539">
        <f t="shared" si="43"/>
        <v>0</v>
      </c>
      <c r="DC138" s="539">
        <f t="shared" si="43"/>
        <v>0</v>
      </c>
      <c r="DD138" s="539">
        <f t="shared" si="43"/>
        <v>0</v>
      </c>
      <c r="DE138" s="539">
        <f t="shared" si="43"/>
        <v>0</v>
      </c>
      <c r="DF138" s="539">
        <f t="shared" si="43"/>
        <v>0</v>
      </c>
      <c r="DG138" s="539">
        <f t="shared" si="43"/>
        <v>0</v>
      </c>
      <c r="DH138" s="539">
        <f t="shared" si="43"/>
        <v>0</v>
      </c>
      <c r="DI138" s="539">
        <f t="shared" si="43"/>
        <v>0</v>
      </c>
      <c r="DJ138" s="539">
        <f t="shared" si="43"/>
        <v>0</v>
      </c>
      <c r="DK138" s="539">
        <f t="shared" si="43"/>
        <v>0</v>
      </c>
      <c r="DL138" s="539">
        <f t="shared" si="43"/>
        <v>0</v>
      </c>
      <c r="DM138" s="539">
        <f t="shared" si="43"/>
        <v>0</v>
      </c>
      <c r="DN138" s="539">
        <f t="shared" si="43"/>
        <v>0</v>
      </c>
      <c r="DO138" s="539">
        <f t="shared" si="43"/>
        <v>0</v>
      </c>
      <c r="DP138" s="539">
        <f t="shared" si="43"/>
        <v>0</v>
      </c>
      <c r="DQ138" s="539">
        <f t="shared" si="43"/>
        <v>0</v>
      </c>
      <c r="DR138" s="539">
        <f t="shared" si="43"/>
        <v>0</v>
      </c>
      <c r="DS138" s="539">
        <f t="shared" si="43"/>
        <v>0</v>
      </c>
      <c r="DT138" s="539">
        <f t="shared" si="43"/>
        <v>0</v>
      </c>
      <c r="DU138" s="539">
        <f t="shared" si="43"/>
        <v>0</v>
      </c>
      <c r="DV138" s="539">
        <f t="shared" si="43"/>
        <v>0</v>
      </c>
      <c r="DW138" s="539">
        <f t="shared" si="43"/>
        <v>0</v>
      </c>
      <c r="DX138" s="539">
        <f t="shared" si="43"/>
        <v>0</v>
      </c>
      <c r="DY138" s="539">
        <f t="shared" si="43"/>
        <v>0</v>
      </c>
      <c r="DZ138" s="539">
        <f t="shared" si="43"/>
        <v>0</v>
      </c>
      <c r="EA138" s="539">
        <f t="shared" si="43"/>
        <v>0</v>
      </c>
      <c r="EB138" s="539">
        <f t="shared" si="43"/>
        <v>0</v>
      </c>
      <c r="EC138" s="539">
        <f t="shared" si="43"/>
        <v>0</v>
      </c>
      <c r="ED138" s="539">
        <f t="shared" si="43"/>
        <v>0</v>
      </c>
      <c r="EE138" s="539">
        <f t="shared" si="43"/>
        <v>0</v>
      </c>
      <c r="EF138" s="539">
        <f t="shared" si="43"/>
        <v>0</v>
      </c>
      <c r="EG138" s="539">
        <f t="shared" si="43"/>
        <v>0</v>
      </c>
    </row>
    <row r="140" spans="5:137" ht="12.75">
      <c r="E140" s="538" t="str">
        <f>E$138</f>
        <v>Junior facility - repayment period flag</v>
      </c>
      <c r="G140" s="539" t="str">
        <f>G$138</f>
        <v>flag</v>
      </c>
      <c r="H140" s="539">
        <f>H$138</f>
        <v>48</v>
      </c>
      <c r="J140" s="539">
        <f t="shared" si="44" ref="J140:EG140">J$138</f>
        <v>0</v>
      </c>
      <c r="K140" s="539">
        <f t="shared" si="44"/>
        <v>0</v>
      </c>
      <c r="L140" s="539">
        <f t="shared" si="44"/>
        <v>0</v>
      </c>
      <c r="M140" s="539">
        <f t="shared" si="44"/>
        <v>0</v>
      </c>
      <c r="N140" s="539">
        <f t="shared" si="44"/>
        <v>0</v>
      </c>
      <c r="O140" s="539">
        <f t="shared" si="44"/>
        <v>0</v>
      </c>
      <c r="P140" s="539">
        <f t="shared" si="44"/>
        <v>0</v>
      </c>
      <c r="Q140" s="539">
        <f t="shared" si="44"/>
        <v>0</v>
      </c>
      <c r="R140" s="539">
        <f t="shared" si="44"/>
        <v>0</v>
      </c>
      <c r="S140" s="539">
        <f t="shared" si="44"/>
        <v>0</v>
      </c>
      <c r="T140" s="539">
        <f t="shared" si="44"/>
        <v>0</v>
      </c>
      <c r="U140" s="539">
        <f t="shared" si="44"/>
        <v>0</v>
      </c>
      <c r="V140" s="539">
        <f t="shared" si="44"/>
        <v>0</v>
      </c>
      <c r="W140" s="539">
        <f t="shared" si="44"/>
        <v>0</v>
      </c>
      <c r="X140" s="539">
        <f t="shared" si="44"/>
        <v>0</v>
      </c>
      <c r="Y140" s="539">
        <f t="shared" si="44"/>
        <v>0</v>
      </c>
      <c r="Z140" s="539">
        <f t="shared" si="44"/>
        <v>0</v>
      </c>
      <c r="AA140" s="539">
        <f t="shared" si="44"/>
        <v>0</v>
      </c>
      <c r="AB140" s="539">
        <f t="shared" si="44"/>
        <v>0</v>
      </c>
      <c r="AC140" s="539">
        <f t="shared" si="44"/>
        <v>0</v>
      </c>
      <c r="AD140" s="539">
        <f t="shared" si="44"/>
        <v>0</v>
      </c>
      <c r="AE140" s="539">
        <f t="shared" si="44"/>
        <v>0</v>
      </c>
      <c r="AF140" s="539">
        <f t="shared" si="44"/>
        <v>0</v>
      </c>
      <c r="AG140" s="539">
        <f t="shared" si="44"/>
        <v>0</v>
      </c>
      <c r="AH140" s="539">
        <f t="shared" si="44"/>
        <v>1</v>
      </c>
      <c r="AI140" s="539">
        <f t="shared" si="44"/>
        <v>1</v>
      </c>
      <c r="AJ140" s="539">
        <f t="shared" si="44"/>
        <v>1</v>
      </c>
      <c r="AK140" s="539">
        <f t="shared" si="44"/>
        <v>1</v>
      </c>
      <c r="AL140" s="539">
        <f t="shared" si="44"/>
        <v>1</v>
      </c>
      <c r="AM140" s="539">
        <f t="shared" si="44"/>
        <v>1</v>
      </c>
      <c r="AN140" s="539">
        <f t="shared" si="44"/>
        <v>1</v>
      </c>
      <c r="AO140" s="539">
        <f t="shared" si="44"/>
        <v>1</v>
      </c>
      <c r="AP140" s="539">
        <f t="shared" si="44"/>
        <v>1</v>
      </c>
      <c r="AQ140" s="539">
        <f t="shared" si="44"/>
        <v>1</v>
      </c>
      <c r="AR140" s="539">
        <f t="shared" si="44"/>
        <v>1</v>
      </c>
      <c r="AS140" s="539">
        <f t="shared" si="44"/>
        <v>1</v>
      </c>
      <c r="AT140" s="539">
        <f t="shared" si="44"/>
        <v>1</v>
      </c>
      <c r="AU140" s="539">
        <f t="shared" si="44"/>
        <v>1</v>
      </c>
      <c r="AV140" s="539">
        <f t="shared" si="44"/>
        <v>1</v>
      </c>
      <c r="AW140" s="539">
        <f t="shared" si="44"/>
        <v>1</v>
      </c>
      <c r="AX140" s="539">
        <f t="shared" si="44"/>
        <v>1</v>
      </c>
      <c r="AY140" s="539">
        <f t="shared" si="44"/>
        <v>1</v>
      </c>
      <c r="AZ140" s="539">
        <f t="shared" si="44"/>
        <v>1</v>
      </c>
      <c r="BA140" s="539">
        <f t="shared" si="44"/>
        <v>1</v>
      </c>
      <c r="BB140" s="539">
        <f t="shared" si="44"/>
        <v>1</v>
      </c>
      <c r="BC140" s="539">
        <f t="shared" si="44"/>
        <v>1</v>
      </c>
      <c r="BD140" s="539">
        <f t="shared" si="44"/>
        <v>1</v>
      </c>
      <c r="BE140" s="539">
        <f t="shared" si="44"/>
        <v>1</v>
      </c>
      <c r="BF140" s="539">
        <f t="shared" si="44"/>
        <v>1</v>
      </c>
      <c r="BG140" s="539">
        <f t="shared" si="44"/>
        <v>1</v>
      </c>
      <c r="BH140" s="539">
        <f t="shared" si="44"/>
        <v>1</v>
      </c>
      <c r="BI140" s="539">
        <f t="shared" si="44"/>
        <v>1</v>
      </c>
      <c r="BJ140" s="539">
        <f t="shared" si="44"/>
        <v>1</v>
      </c>
      <c r="BK140" s="539">
        <f t="shared" si="44"/>
        <v>1</v>
      </c>
      <c r="BL140" s="539">
        <f t="shared" si="44"/>
        <v>1</v>
      </c>
      <c r="BM140" s="539">
        <f t="shared" si="44"/>
        <v>1</v>
      </c>
      <c r="BN140" s="539">
        <f t="shared" si="44"/>
        <v>1</v>
      </c>
      <c r="BO140" s="539">
        <f t="shared" si="44"/>
        <v>1</v>
      </c>
      <c r="BP140" s="539">
        <f t="shared" si="44"/>
        <v>1</v>
      </c>
      <c r="BQ140" s="539">
        <f t="shared" si="44"/>
        <v>1</v>
      </c>
      <c r="BR140" s="539">
        <f t="shared" si="44"/>
        <v>1</v>
      </c>
      <c r="BS140" s="539">
        <f t="shared" si="44"/>
        <v>1</v>
      </c>
      <c r="BT140" s="539">
        <f t="shared" si="44"/>
        <v>1</v>
      </c>
      <c r="BU140" s="539">
        <f t="shared" si="44"/>
        <v>1</v>
      </c>
      <c r="BV140" s="539">
        <f t="shared" si="44"/>
        <v>1</v>
      </c>
      <c r="BW140" s="539">
        <f t="shared" si="44"/>
        <v>1</v>
      </c>
      <c r="BX140" s="539">
        <f t="shared" si="44"/>
        <v>1</v>
      </c>
      <c r="BY140" s="539">
        <f t="shared" si="44"/>
        <v>1</v>
      </c>
      <c r="BZ140" s="539">
        <f t="shared" si="44"/>
        <v>1</v>
      </c>
      <c r="CA140" s="539">
        <f t="shared" si="44"/>
        <v>1</v>
      </c>
      <c r="CB140" s="539">
        <f t="shared" si="44"/>
        <v>1</v>
      </c>
      <c r="CC140" s="539">
        <f t="shared" si="44"/>
        <v>1</v>
      </c>
      <c r="CD140" s="539">
        <f t="shared" si="44"/>
        <v>0</v>
      </c>
      <c r="CE140" s="539">
        <f t="shared" si="44"/>
        <v>0</v>
      </c>
      <c r="CF140" s="539">
        <f t="shared" si="44"/>
        <v>0</v>
      </c>
      <c r="CG140" s="539">
        <f t="shared" si="44"/>
        <v>0</v>
      </c>
      <c r="CH140" s="539">
        <f t="shared" si="44"/>
        <v>0</v>
      </c>
      <c r="CI140" s="539">
        <f t="shared" si="44"/>
        <v>0</v>
      </c>
      <c r="CJ140" s="539">
        <f t="shared" si="44"/>
        <v>0</v>
      </c>
      <c r="CK140" s="539">
        <f t="shared" si="44"/>
        <v>0</v>
      </c>
      <c r="CL140" s="539">
        <f t="shared" si="44"/>
        <v>0</v>
      </c>
      <c r="CM140" s="539">
        <f t="shared" si="44"/>
        <v>0</v>
      </c>
      <c r="CN140" s="539">
        <f t="shared" si="44"/>
        <v>0</v>
      </c>
      <c r="CO140" s="539">
        <f t="shared" si="44"/>
        <v>0</v>
      </c>
      <c r="CP140" s="539">
        <f t="shared" si="44"/>
        <v>0</v>
      </c>
      <c r="CQ140" s="539">
        <f t="shared" si="44"/>
        <v>0</v>
      </c>
      <c r="CR140" s="539">
        <f t="shared" si="44"/>
        <v>0</v>
      </c>
      <c r="CS140" s="539">
        <f t="shared" si="44"/>
        <v>0</v>
      </c>
      <c r="CT140" s="539">
        <f t="shared" si="44"/>
        <v>0</v>
      </c>
      <c r="CU140" s="539">
        <f t="shared" si="44"/>
        <v>0</v>
      </c>
      <c r="CV140" s="539">
        <f t="shared" si="44"/>
        <v>0</v>
      </c>
      <c r="CW140" s="539">
        <f t="shared" si="44"/>
        <v>0</v>
      </c>
      <c r="CX140" s="539">
        <f t="shared" si="44"/>
        <v>0</v>
      </c>
      <c r="CY140" s="539">
        <f t="shared" si="44"/>
        <v>0</v>
      </c>
      <c r="CZ140" s="539">
        <f t="shared" si="44"/>
        <v>0</v>
      </c>
      <c r="DA140" s="539">
        <f t="shared" si="44"/>
        <v>0</v>
      </c>
      <c r="DB140" s="539">
        <f t="shared" si="44"/>
        <v>0</v>
      </c>
      <c r="DC140" s="539">
        <f t="shared" si="44"/>
        <v>0</v>
      </c>
      <c r="DD140" s="539">
        <f t="shared" si="44"/>
        <v>0</v>
      </c>
      <c r="DE140" s="539">
        <f t="shared" si="44"/>
        <v>0</v>
      </c>
      <c r="DF140" s="539">
        <f t="shared" si="44"/>
        <v>0</v>
      </c>
      <c r="DG140" s="539">
        <f t="shared" si="44"/>
        <v>0</v>
      </c>
      <c r="DH140" s="539">
        <f t="shared" si="44"/>
        <v>0</v>
      </c>
      <c r="DI140" s="539">
        <f t="shared" si="44"/>
        <v>0</v>
      </c>
      <c r="DJ140" s="539">
        <f t="shared" si="44"/>
        <v>0</v>
      </c>
      <c r="DK140" s="539">
        <f t="shared" si="44"/>
        <v>0</v>
      </c>
      <c r="DL140" s="539">
        <f t="shared" si="44"/>
        <v>0</v>
      </c>
      <c r="DM140" s="539">
        <f t="shared" si="44"/>
        <v>0</v>
      </c>
      <c r="DN140" s="539">
        <f t="shared" si="44"/>
        <v>0</v>
      </c>
      <c r="DO140" s="539">
        <f t="shared" si="44"/>
        <v>0</v>
      </c>
      <c r="DP140" s="539">
        <f t="shared" si="44"/>
        <v>0</v>
      </c>
      <c r="DQ140" s="539">
        <f t="shared" si="44"/>
        <v>0</v>
      </c>
      <c r="DR140" s="539">
        <f t="shared" si="44"/>
        <v>0</v>
      </c>
      <c r="DS140" s="539">
        <f t="shared" si="44"/>
        <v>0</v>
      </c>
      <c r="DT140" s="539">
        <f t="shared" si="44"/>
        <v>0</v>
      </c>
      <c r="DU140" s="539">
        <f t="shared" si="44"/>
        <v>0</v>
      </c>
      <c r="DV140" s="539">
        <f t="shared" si="44"/>
        <v>0</v>
      </c>
      <c r="DW140" s="539">
        <f t="shared" si="44"/>
        <v>0</v>
      </c>
      <c r="DX140" s="539">
        <f t="shared" si="44"/>
        <v>0</v>
      </c>
      <c r="DY140" s="539">
        <f t="shared" si="44"/>
        <v>0</v>
      </c>
      <c r="DZ140" s="539">
        <f t="shared" si="44"/>
        <v>0</v>
      </c>
      <c r="EA140" s="539">
        <f t="shared" si="44"/>
        <v>0</v>
      </c>
      <c r="EB140" s="539">
        <f t="shared" si="44"/>
        <v>0</v>
      </c>
      <c r="EC140" s="539">
        <f t="shared" si="44"/>
        <v>0</v>
      </c>
      <c r="ED140" s="539">
        <f t="shared" si="44"/>
        <v>0</v>
      </c>
      <c r="EE140" s="539">
        <f t="shared" si="44"/>
        <v>0</v>
      </c>
      <c r="EF140" s="539">
        <f t="shared" si="44"/>
        <v>0</v>
      </c>
      <c r="EG140" s="539">
        <f t="shared" si="44"/>
        <v>0</v>
      </c>
    </row>
    <row r="141" spans="5:137" ht="12.75">
      <c r="E141" s="538" t="s">
        <v>333</v>
      </c>
      <c r="G141" s="539" t="s">
        <v>154</v>
      </c>
      <c r="H141" s="539">
        <f>SUM(J141:EG141)</f>
        <v>3864</v>
      </c>
      <c r="J141" s="539">
        <f t="shared" si="45" ref="J141:EG141">I141+J140</f>
        <v>0</v>
      </c>
      <c r="K141" s="539">
        <f t="shared" si="45"/>
        <v>0</v>
      </c>
      <c r="L141" s="539">
        <f t="shared" si="45"/>
        <v>0</v>
      </c>
      <c r="M141" s="539">
        <f t="shared" si="45"/>
        <v>0</v>
      </c>
      <c r="N141" s="539">
        <f t="shared" si="45"/>
        <v>0</v>
      </c>
      <c r="O141" s="539">
        <f t="shared" si="45"/>
        <v>0</v>
      </c>
      <c r="P141" s="539">
        <f t="shared" si="45"/>
        <v>0</v>
      </c>
      <c r="Q141" s="539">
        <f t="shared" si="45"/>
        <v>0</v>
      </c>
      <c r="R141" s="539">
        <f t="shared" si="45"/>
        <v>0</v>
      </c>
      <c r="S141" s="539">
        <f t="shared" si="45"/>
        <v>0</v>
      </c>
      <c r="T141" s="539">
        <f t="shared" si="45"/>
        <v>0</v>
      </c>
      <c r="U141" s="539">
        <f t="shared" si="45"/>
        <v>0</v>
      </c>
      <c r="V141" s="539">
        <f t="shared" si="45"/>
        <v>0</v>
      </c>
      <c r="W141" s="539">
        <f t="shared" si="45"/>
        <v>0</v>
      </c>
      <c r="X141" s="539">
        <f t="shared" si="45"/>
        <v>0</v>
      </c>
      <c r="Y141" s="539">
        <f t="shared" si="45"/>
        <v>0</v>
      </c>
      <c r="Z141" s="539">
        <f t="shared" si="45"/>
        <v>0</v>
      </c>
      <c r="AA141" s="539">
        <f t="shared" si="45"/>
        <v>0</v>
      </c>
      <c r="AB141" s="539">
        <f t="shared" si="45"/>
        <v>0</v>
      </c>
      <c r="AC141" s="539">
        <f t="shared" si="45"/>
        <v>0</v>
      </c>
      <c r="AD141" s="539">
        <f t="shared" si="45"/>
        <v>0</v>
      </c>
      <c r="AE141" s="539">
        <f t="shared" si="45"/>
        <v>0</v>
      </c>
      <c r="AF141" s="539">
        <f t="shared" si="45"/>
        <v>0</v>
      </c>
      <c r="AG141" s="539">
        <f t="shared" si="45"/>
        <v>0</v>
      </c>
      <c r="AH141" s="539">
        <f t="shared" si="45"/>
        <v>1</v>
      </c>
      <c r="AI141" s="539">
        <f t="shared" si="45"/>
        <v>2</v>
      </c>
      <c r="AJ141" s="539">
        <f t="shared" si="45"/>
        <v>3</v>
      </c>
      <c r="AK141" s="539">
        <f t="shared" si="45"/>
        <v>4</v>
      </c>
      <c r="AL141" s="539">
        <f t="shared" si="45"/>
        <v>5</v>
      </c>
      <c r="AM141" s="539">
        <f t="shared" si="45"/>
        <v>6</v>
      </c>
      <c r="AN141" s="539">
        <f t="shared" si="45"/>
        <v>7</v>
      </c>
      <c r="AO141" s="539">
        <f t="shared" si="45"/>
        <v>8</v>
      </c>
      <c r="AP141" s="539">
        <f t="shared" si="45"/>
        <v>9</v>
      </c>
      <c r="AQ141" s="539">
        <f t="shared" si="45"/>
        <v>10</v>
      </c>
      <c r="AR141" s="539">
        <f t="shared" si="45"/>
        <v>11</v>
      </c>
      <c r="AS141" s="539">
        <f t="shared" si="45"/>
        <v>12</v>
      </c>
      <c r="AT141" s="539">
        <f t="shared" si="45"/>
        <v>13</v>
      </c>
      <c r="AU141" s="539">
        <f t="shared" si="45"/>
        <v>14</v>
      </c>
      <c r="AV141" s="539">
        <f t="shared" si="45"/>
        <v>15</v>
      </c>
      <c r="AW141" s="539">
        <f t="shared" si="45"/>
        <v>16</v>
      </c>
      <c r="AX141" s="539">
        <f t="shared" si="45"/>
        <v>17</v>
      </c>
      <c r="AY141" s="539">
        <f t="shared" si="45"/>
        <v>18</v>
      </c>
      <c r="AZ141" s="539">
        <f t="shared" si="45"/>
        <v>19</v>
      </c>
      <c r="BA141" s="539">
        <f t="shared" si="45"/>
        <v>20</v>
      </c>
      <c r="BB141" s="539">
        <f t="shared" si="45"/>
        <v>21</v>
      </c>
      <c r="BC141" s="539">
        <f t="shared" si="45"/>
        <v>22</v>
      </c>
      <c r="BD141" s="539">
        <f t="shared" si="45"/>
        <v>23</v>
      </c>
      <c r="BE141" s="539">
        <f t="shared" si="45"/>
        <v>24</v>
      </c>
      <c r="BF141" s="539">
        <f t="shared" si="45"/>
        <v>25</v>
      </c>
      <c r="BG141" s="539">
        <f t="shared" si="45"/>
        <v>26</v>
      </c>
      <c r="BH141" s="539">
        <f t="shared" si="45"/>
        <v>27</v>
      </c>
      <c r="BI141" s="539">
        <f t="shared" si="45"/>
        <v>28</v>
      </c>
      <c r="BJ141" s="539">
        <f t="shared" si="45"/>
        <v>29</v>
      </c>
      <c r="BK141" s="539">
        <f t="shared" si="45"/>
        <v>30</v>
      </c>
      <c r="BL141" s="539">
        <f t="shared" si="45"/>
        <v>31</v>
      </c>
      <c r="BM141" s="539">
        <f t="shared" si="45"/>
        <v>32</v>
      </c>
      <c r="BN141" s="539">
        <f t="shared" si="45"/>
        <v>33</v>
      </c>
      <c r="BO141" s="539">
        <f t="shared" si="45"/>
        <v>34</v>
      </c>
      <c r="BP141" s="539">
        <f t="shared" si="45"/>
        <v>35</v>
      </c>
      <c r="BQ141" s="539">
        <f t="shared" si="45"/>
        <v>36</v>
      </c>
      <c r="BR141" s="539">
        <f t="shared" si="45"/>
        <v>37</v>
      </c>
      <c r="BS141" s="539">
        <f t="shared" si="45"/>
        <v>38</v>
      </c>
      <c r="BT141" s="539">
        <f t="shared" si="45"/>
        <v>39</v>
      </c>
      <c r="BU141" s="539">
        <f t="shared" si="45"/>
        <v>40</v>
      </c>
      <c r="BV141" s="539">
        <f t="shared" si="45"/>
        <v>41</v>
      </c>
      <c r="BW141" s="539">
        <f t="shared" si="45"/>
        <v>42</v>
      </c>
      <c r="BX141" s="539">
        <f t="shared" si="45"/>
        <v>43</v>
      </c>
      <c r="BY141" s="539">
        <f t="shared" si="45"/>
        <v>44</v>
      </c>
      <c r="BZ141" s="539">
        <f t="shared" si="45"/>
        <v>45</v>
      </c>
      <c r="CA141" s="539">
        <f t="shared" si="45"/>
        <v>46</v>
      </c>
      <c r="CB141" s="539">
        <f t="shared" si="45"/>
        <v>47</v>
      </c>
      <c r="CC141" s="539">
        <f t="shared" si="45"/>
        <v>48</v>
      </c>
      <c r="CD141" s="539">
        <f t="shared" si="45"/>
        <v>48</v>
      </c>
      <c r="CE141" s="539">
        <f t="shared" si="45"/>
        <v>48</v>
      </c>
      <c r="CF141" s="539">
        <f t="shared" si="45"/>
        <v>48</v>
      </c>
      <c r="CG141" s="539">
        <f t="shared" si="45"/>
        <v>48</v>
      </c>
      <c r="CH141" s="539">
        <f t="shared" si="45"/>
        <v>48</v>
      </c>
      <c r="CI141" s="539">
        <f t="shared" si="45"/>
        <v>48</v>
      </c>
      <c r="CJ141" s="539">
        <f t="shared" si="45"/>
        <v>48</v>
      </c>
      <c r="CK141" s="539">
        <f t="shared" si="45"/>
        <v>48</v>
      </c>
      <c r="CL141" s="539">
        <f t="shared" si="45"/>
        <v>48</v>
      </c>
      <c r="CM141" s="539">
        <f t="shared" si="45"/>
        <v>48</v>
      </c>
      <c r="CN141" s="539">
        <f t="shared" si="45"/>
        <v>48</v>
      </c>
      <c r="CO141" s="539">
        <f t="shared" si="45"/>
        <v>48</v>
      </c>
      <c r="CP141" s="539">
        <f t="shared" si="45"/>
        <v>48</v>
      </c>
      <c r="CQ141" s="539">
        <f t="shared" si="45"/>
        <v>48</v>
      </c>
      <c r="CR141" s="539">
        <f t="shared" si="45"/>
        <v>48</v>
      </c>
      <c r="CS141" s="539">
        <f t="shared" si="45"/>
        <v>48</v>
      </c>
      <c r="CT141" s="539">
        <f t="shared" si="45"/>
        <v>48</v>
      </c>
      <c r="CU141" s="539">
        <f t="shared" si="45"/>
        <v>48</v>
      </c>
      <c r="CV141" s="539">
        <f t="shared" si="45"/>
        <v>48</v>
      </c>
      <c r="CW141" s="539">
        <f t="shared" si="45"/>
        <v>48</v>
      </c>
      <c r="CX141" s="539">
        <f t="shared" si="45"/>
        <v>48</v>
      </c>
      <c r="CY141" s="539">
        <f t="shared" si="45"/>
        <v>48</v>
      </c>
      <c r="CZ141" s="539">
        <f t="shared" si="45"/>
        <v>48</v>
      </c>
      <c r="DA141" s="539">
        <f t="shared" si="45"/>
        <v>48</v>
      </c>
      <c r="DB141" s="539">
        <f t="shared" si="45"/>
        <v>48</v>
      </c>
      <c r="DC141" s="539">
        <f t="shared" si="45"/>
        <v>48</v>
      </c>
      <c r="DD141" s="539">
        <f t="shared" si="45"/>
        <v>48</v>
      </c>
      <c r="DE141" s="539">
        <f t="shared" si="45"/>
        <v>48</v>
      </c>
      <c r="DF141" s="539">
        <f t="shared" si="45"/>
        <v>48</v>
      </c>
      <c r="DG141" s="539">
        <f t="shared" si="45"/>
        <v>48</v>
      </c>
      <c r="DH141" s="539">
        <f t="shared" si="45"/>
        <v>48</v>
      </c>
      <c r="DI141" s="539">
        <f t="shared" si="45"/>
        <v>48</v>
      </c>
      <c r="DJ141" s="539">
        <f t="shared" si="45"/>
        <v>48</v>
      </c>
      <c r="DK141" s="539">
        <f t="shared" si="45"/>
        <v>48</v>
      </c>
      <c r="DL141" s="539">
        <f t="shared" si="45"/>
        <v>48</v>
      </c>
      <c r="DM141" s="539">
        <f t="shared" si="45"/>
        <v>48</v>
      </c>
      <c r="DN141" s="539">
        <f t="shared" si="45"/>
        <v>48</v>
      </c>
      <c r="DO141" s="539">
        <f t="shared" si="45"/>
        <v>48</v>
      </c>
      <c r="DP141" s="539">
        <f t="shared" si="45"/>
        <v>48</v>
      </c>
      <c r="DQ141" s="539">
        <f t="shared" si="45"/>
        <v>48</v>
      </c>
      <c r="DR141" s="539">
        <f t="shared" si="45"/>
        <v>48</v>
      </c>
      <c r="DS141" s="539">
        <f t="shared" si="45"/>
        <v>48</v>
      </c>
      <c r="DT141" s="539">
        <f t="shared" si="45"/>
        <v>48</v>
      </c>
      <c r="DU141" s="539">
        <f t="shared" si="45"/>
        <v>48</v>
      </c>
      <c r="DV141" s="539">
        <f t="shared" si="45"/>
        <v>48</v>
      </c>
      <c r="DW141" s="539">
        <f t="shared" si="45"/>
        <v>48</v>
      </c>
      <c r="DX141" s="539">
        <f t="shared" si="45"/>
        <v>48</v>
      </c>
      <c r="DY141" s="539">
        <f t="shared" si="45"/>
        <v>48</v>
      </c>
      <c r="DZ141" s="539">
        <f t="shared" si="45"/>
        <v>48</v>
      </c>
      <c r="EA141" s="539">
        <f t="shared" si="45"/>
        <v>48</v>
      </c>
      <c r="EB141" s="539">
        <f t="shared" si="45"/>
        <v>48</v>
      </c>
      <c r="EC141" s="539">
        <f t="shared" si="45"/>
        <v>48</v>
      </c>
      <c r="ED141" s="539">
        <f t="shared" si="45"/>
        <v>48</v>
      </c>
      <c r="EE141" s="539">
        <f t="shared" si="45"/>
        <v>48</v>
      </c>
      <c r="EF141" s="539">
        <f t="shared" si="45"/>
        <v>48</v>
      </c>
      <c r="EG141" s="539">
        <f t="shared" si="45"/>
        <v>48</v>
      </c>
    </row>
    <row r="143" spans="5:137" ht="12.75">
      <c r="E143" s="538" t="str">
        <f>E$138</f>
        <v>Junior facility - repayment period flag</v>
      </c>
      <c r="G143" s="539" t="str">
        <f>G$138</f>
        <v>flag</v>
      </c>
      <c r="H143" s="539">
        <f>H$138</f>
        <v>48</v>
      </c>
      <c r="J143" s="539">
        <f t="shared" si="46" ref="J143:EG143">J$138</f>
        <v>0</v>
      </c>
      <c r="K143" s="539">
        <f t="shared" si="46"/>
        <v>0</v>
      </c>
      <c r="L143" s="539">
        <f t="shared" si="46"/>
        <v>0</v>
      </c>
      <c r="M143" s="539">
        <f t="shared" si="46"/>
        <v>0</v>
      </c>
      <c r="N143" s="539">
        <f t="shared" si="46"/>
        <v>0</v>
      </c>
      <c r="O143" s="539">
        <f t="shared" si="46"/>
        <v>0</v>
      </c>
      <c r="P143" s="539">
        <f t="shared" si="46"/>
        <v>0</v>
      </c>
      <c r="Q143" s="539">
        <f t="shared" si="46"/>
        <v>0</v>
      </c>
      <c r="R143" s="539">
        <f t="shared" si="46"/>
        <v>0</v>
      </c>
      <c r="S143" s="539">
        <f t="shared" si="46"/>
        <v>0</v>
      </c>
      <c r="T143" s="539">
        <f t="shared" si="46"/>
        <v>0</v>
      </c>
      <c r="U143" s="539">
        <f t="shared" si="46"/>
        <v>0</v>
      </c>
      <c r="V143" s="539">
        <f t="shared" si="46"/>
        <v>0</v>
      </c>
      <c r="W143" s="539">
        <f t="shared" si="46"/>
        <v>0</v>
      </c>
      <c r="X143" s="539">
        <f t="shared" si="46"/>
        <v>0</v>
      </c>
      <c r="Y143" s="539">
        <f t="shared" si="46"/>
        <v>0</v>
      </c>
      <c r="Z143" s="539">
        <f t="shared" si="46"/>
        <v>0</v>
      </c>
      <c r="AA143" s="539">
        <f t="shared" si="46"/>
        <v>0</v>
      </c>
      <c r="AB143" s="539">
        <f t="shared" si="46"/>
        <v>0</v>
      </c>
      <c r="AC143" s="539">
        <f t="shared" si="46"/>
        <v>0</v>
      </c>
      <c r="AD143" s="539">
        <f t="shared" si="46"/>
        <v>0</v>
      </c>
      <c r="AE143" s="539">
        <f t="shared" si="46"/>
        <v>0</v>
      </c>
      <c r="AF143" s="539">
        <f t="shared" si="46"/>
        <v>0</v>
      </c>
      <c r="AG143" s="539">
        <f t="shared" si="46"/>
        <v>0</v>
      </c>
      <c r="AH143" s="539">
        <f t="shared" si="46"/>
        <v>1</v>
      </c>
      <c r="AI143" s="539">
        <f t="shared" si="46"/>
        <v>1</v>
      </c>
      <c r="AJ143" s="539">
        <f t="shared" si="46"/>
        <v>1</v>
      </c>
      <c r="AK143" s="539">
        <f t="shared" si="46"/>
        <v>1</v>
      </c>
      <c r="AL143" s="539">
        <f t="shared" si="46"/>
        <v>1</v>
      </c>
      <c r="AM143" s="539">
        <f t="shared" si="46"/>
        <v>1</v>
      </c>
      <c r="AN143" s="539">
        <f t="shared" si="46"/>
        <v>1</v>
      </c>
      <c r="AO143" s="539">
        <f t="shared" si="46"/>
        <v>1</v>
      </c>
      <c r="AP143" s="539">
        <f t="shared" si="46"/>
        <v>1</v>
      </c>
      <c r="AQ143" s="539">
        <f t="shared" si="46"/>
        <v>1</v>
      </c>
      <c r="AR143" s="539">
        <f t="shared" si="46"/>
        <v>1</v>
      </c>
      <c r="AS143" s="539">
        <f t="shared" si="46"/>
        <v>1</v>
      </c>
      <c r="AT143" s="539">
        <f t="shared" si="46"/>
        <v>1</v>
      </c>
      <c r="AU143" s="539">
        <f t="shared" si="46"/>
        <v>1</v>
      </c>
      <c r="AV143" s="539">
        <f t="shared" si="46"/>
        <v>1</v>
      </c>
      <c r="AW143" s="539">
        <f t="shared" si="46"/>
        <v>1</v>
      </c>
      <c r="AX143" s="539">
        <f t="shared" si="46"/>
        <v>1</v>
      </c>
      <c r="AY143" s="539">
        <f t="shared" si="46"/>
        <v>1</v>
      </c>
      <c r="AZ143" s="539">
        <f t="shared" si="46"/>
        <v>1</v>
      </c>
      <c r="BA143" s="539">
        <f t="shared" si="46"/>
        <v>1</v>
      </c>
      <c r="BB143" s="539">
        <f t="shared" si="46"/>
        <v>1</v>
      </c>
      <c r="BC143" s="539">
        <f t="shared" si="46"/>
        <v>1</v>
      </c>
      <c r="BD143" s="539">
        <f t="shared" si="46"/>
        <v>1</v>
      </c>
      <c r="BE143" s="539">
        <f t="shared" si="46"/>
        <v>1</v>
      </c>
      <c r="BF143" s="539">
        <f t="shared" si="46"/>
        <v>1</v>
      </c>
      <c r="BG143" s="539">
        <f t="shared" si="46"/>
        <v>1</v>
      </c>
      <c r="BH143" s="539">
        <f t="shared" si="46"/>
        <v>1</v>
      </c>
      <c r="BI143" s="539">
        <f t="shared" si="46"/>
        <v>1</v>
      </c>
      <c r="BJ143" s="539">
        <f t="shared" si="46"/>
        <v>1</v>
      </c>
      <c r="BK143" s="539">
        <f t="shared" si="46"/>
        <v>1</v>
      </c>
      <c r="BL143" s="539">
        <f t="shared" si="46"/>
        <v>1</v>
      </c>
      <c r="BM143" s="539">
        <f t="shared" si="46"/>
        <v>1</v>
      </c>
      <c r="BN143" s="539">
        <f t="shared" si="46"/>
        <v>1</v>
      </c>
      <c r="BO143" s="539">
        <f t="shared" si="46"/>
        <v>1</v>
      </c>
      <c r="BP143" s="539">
        <f t="shared" si="46"/>
        <v>1</v>
      </c>
      <c r="BQ143" s="539">
        <f t="shared" si="46"/>
        <v>1</v>
      </c>
      <c r="BR143" s="539">
        <f t="shared" si="46"/>
        <v>1</v>
      </c>
      <c r="BS143" s="539">
        <f t="shared" si="46"/>
        <v>1</v>
      </c>
      <c r="BT143" s="539">
        <f t="shared" si="46"/>
        <v>1</v>
      </c>
      <c r="BU143" s="539">
        <f t="shared" si="46"/>
        <v>1</v>
      </c>
      <c r="BV143" s="539">
        <f t="shared" si="46"/>
        <v>1</v>
      </c>
      <c r="BW143" s="539">
        <f t="shared" si="46"/>
        <v>1</v>
      </c>
      <c r="BX143" s="539">
        <f t="shared" si="46"/>
        <v>1</v>
      </c>
      <c r="BY143" s="539">
        <f t="shared" si="46"/>
        <v>1</v>
      </c>
      <c r="BZ143" s="539">
        <f t="shared" si="46"/>
        <v>1</v>
      </c>
      <c r="CA143" s="539">
        <f t="shared" si="46"/>
        <v>1</v>
      </c>
      <c r="CB143" s="539">
        <f t="shared" si="46"/>
        <v>1</v>
      </c>
      <c r="CC143" s="539">
        <f t="shared" si="46"/>
        <v>1</v>
      </c>
      <c r="CD143" s="539">
        <f t="shared" si="46"/>
        <v>0</v>
      </c>
      <c r="CE143" s="539">
        <f t="shared" si="46"/>
        <v>0</v>
      </c>
      <c r="CF143" s="539">
        <f t="shared" si="46"/>
        <v>0</v>
      </c>
      <c r="CG143" s="539">
        <f t="shared" si="46"/>
        <v>0</v>
      </c>
      <c r="CH143" s="539">
        <f t="shared" si="46"/>
        <v>0</v>
      </c>
      <c r="CI143" s="539">
        <f t="shared" si="46"/>
        <v>0</v>
      </c>
      <c r="CJ143" s="539">
        <f t="shared" si="46"/>
        <v>0</v>
      </c>
      <c r="CK143" s="539">
        <f t="shared" si="46"/>
        <v>0</v>
      </c>
      <c r="CL143" s="539">
        <f t="shared" si="46"/>
        <v>0</v>
      </c>
      <c r="CM143" s="539">
        <f t="shared" si="46"/>
        <v>0</v>
      </c>
      <c r="CN143" s="539">
        <f t="shared" si="46"/>
        <v>0</v>
      </c>
      <c r="CO143" s="539">
        <f t="shared" si="46"/>
        <v>0</v>
      </c>
      <c r="CP143" s="539">
        <f t="shared" si="46"/>
        <v>0</v>
      </c>
      <c r="CQ143" s="539">
        <f t="shared" si="46"/>
        <v>0</v>
      </c>
      <c r="CR143" s="539">
        <f t="shared" si="46"/>
        <v>0</v>
      </c>
      <c r="CS143" s="539">
        <f t="shared" si="46"/>
        <v>0</v>
      </c>
      <c r="CT143" s="539">
        <f t="shared" si="46"/>
        <v>0</v>
      </c>
      <c r="CU143" s="539">
        <f t="shared" si="46"/>
        <v>0</v>
      </c>
      <c r="CV143" s="539">
        <f t="shared" si="46"/>
        <v>0</v>
      </c>
      <c r="CW143" s="539">
        <f t="shared" si="46"/>
        <v>0</v>
      </c>
      <c r="CX143" s="539">
        <f t="shared" si="46"/>
        <v>0</v>
      </c>
      <c r="CY143" s="539">
        <f t="shared" si="46"/>
        <v>0</v>
      </c>
      <c r="CZ143" s="539">
        <f t="shared" si="46"/>
        <v>0</v>
      </c>
      <c r="DA143" s="539">
        <f t="shared" si="46"/>
        <v>0</v>
      </c>
      <c r="DB143" s="539">
        <f t="shared" si="46"/>
        <v>0</v>
      </c>
      <c r="DC143" s="539">
        <f t="shared" si="46"/>
        <v>0</v>
      </c>
      <c r="DD143" s="539">
        <f t="shared" si="46"/>
        <v>0</v>
      </c>
      <c r="DE143" s="539">
        <f t="shared" si="46"/>
        <v>0</v>
      </c>
      <c r="DF143" s="539">
        <f t="shared" si="46"/>
        <v>0</v>
      </c>
      <c r="DG143" s="539">
        <f t="shared" si="46"/>
        <v>0</v>
      </c>
      <c r="DH143" s="539">
        <f t="shared" si="46"/>
        <v>0</v>
      </c>
      <c r="DI143" s="539">
        <f t="shared" si="46"/>
        <v>0</v>
      </c>
      <c r="DJ143" s="539">
        <f t="shared" si="46"/>
        <v>0</v>
      </c>
      <c r="DK143" s="539">
        <f t="shared" si="46"/>
        <v>0</v>
      </c>
      <c r="DL143" s="539">
        <f t="shared" si="46"/>
        <v>0</v>
      </c>
      <c r="DM143" s="539">
        <f t="shared" si="46"/>
        <v>0</v>
      </c>
      <c r="DN143" s="539">
        <f t="shared" si="46"/>
        <v>0</v>
      </c>
      <c r="DO143" s="539">
        <f t="shared" si="46"/>
        <v>0</v>
      </c>
      <c r="DP143" s="539">
        <f t="shared" si="46"/>
        <v>0</v>
      </c>
      <c r="DQ143" s="539">
        <f t="shared" si="46"/>
        <v>0</v>
      </c>
      <c r="DR143" s="539">
        <f t="shared" si="46"/>
        <v>0</v>
      </c>
      <c r="DS143" s="539">
        <f t="shared" si="46"/>
        <v>0</v>
      </c>
      <c r="DT143" s="539">
        <f t="shared" si="46"/>
        <v>0</v>
      </c>
      <c r="DU143" s="539">
        <f t="shared" si="46"/>
        <v>0</v>
      </c>
      <c r="DV143" s="539">
        <f t="shared" si="46"/>
        <v>0</v>
      </c>
      <c r="DW143" s="539">
        <f t="shared" si="46"/>
        <v>0</v>
      </c>
      <c r="DX143" s="539">
        <f t="shared" si="46"/>
        <v>0</v>
      </c>
      <c r="DY143" s="539">
        <f t="shared" si="46"/>
        <v>0</v>
      </c>
      <c r="DZ143" s="539">
        <f t="shared" si="46"/>
        <v>0</v>
      </c>
      <c r="EA143" s="539">
        <f t="shared" si="46"/>
        <v>0</v>
      </c>
      <c r="EB143" s="539">
        <f t="shared" si="46"/>
        <v>0</v>
      </c>
      <c r="EC143" s="539">
        <f t="shared" si="46"/>
        <v>0</v>
      </c>
      <c r="ED143" s="539">
        <f t="shared" si="46"/>
        <v>0</v>
      </c>
      <c r="EE143" s="539">
        <f t="shared" si="46"/>
        <v>0</v>
      </c>
      <c r="EF143" s="539">
        <f t="shared" si="46"/>
        <v>0</v>
      </c>
      <c r="EG143" s="539">
        <f t="shared" si="46"/>
        <v>0</v>
      </c>
    </row>
    <row r="144" spans="5:7" ht="12.75">
      <c r="E144" s="538" t="s">
        <v>334</v>
      </c>
      <c r="F144" s="539">
        <f>SUM($J143:$EG143)</f>
        <v>48</v>
      </c>
      <c r="G144" s="539" t="s">
        <v>154</v>
      </c>
    </row>
    <row r="146" spans="5:7" ht="12.75">
      <c r="E146" s="538" t="str">
        <f>E$144</f>
        <v>Junior facility - number of repayment periods</v>
      </c>
      <c r="F146" s="539">
        <f>F$144</f>
        <v>48</v>
      </c>
      <c r="G146" s="539" t="str">
        <f>G$144</f>
        <v>counter</v>
      </c>
    </row>
    <row r="147" spans="5:137" ht="12.75">
      <c r="E147" s="535" t="str">
        <f>Time!E$170</f>
        <v>Last model period flag</v>
      </c>
      <c r="G147" s="537" t="str">
        <f>Time!G$170</f>
        <v>flag</v>
      </c>
      <c r="H147" s="537">
        <f>Time!H$170</f>
        <v>1</v>
      </c>
      <c r="J147" s="537">
        <f>Time!J$170</f>
        <v>0</v>
      </c>
      <c r="K147" s="537">
        <f>Time!K$170</f>
        <v>0</v>
      </c>
      <c r="L147" s="537">
        <f>Time!L$170</f>
        <v>0</v>
      </c>
      <c r="M147" s="537">
        <f>Time!M$170</f>
        <v>0</v>
      </c>
      <c r="N147" s="537">
        <f>Time!N$170</f>
        <v>0</v>
      </c>
      <c r="O147" s="537">
        <f>Time!O$170</f>
        <v>0</v>
      </c>
      <c r="P147" s="537">
        <f>Time!P$170</f>
        <v>0</v>
      </c>
      <c r="Q147" s="537">
        <f>Time!Q$170</f>
        <v>0</v>
      </c>
      <c r="R147" s="537">
        <f>Time!R$170</f>
        <v>0</v>
      </c>
      <c r="S147" s="537">
        <f>Time!S$170</f>
        <v>0</v>
      </c>
      <c r="T147" s="537">
        <f>Time!T$170</f>
        <v>0</v>
      </c>
      <c r="U147" s="537">
        <f>Time!U$170</f>
        <v>0</v>
      </c>
      <c r="V147" s="537">
        <f>Time!V$170</f>
        <v>0</v>
      </c>
      <c r="W147" s="537">
        <f>Time!W$170</f>
        <v>0</v>
      </c>
      <c r="X147" s="537">
        <f>Time!X$170</f>
        <v>0</v>
      </c>
      <c r="Y147" s="537">
        <f>Time!Y$170</f>
        <v>0</v>
      </c>
      <c r="Z147" s="537">
        <f>Time!Z$170</f>
        <v>0</v>
      </c>
      <c r="AA147" s="537">
        <f>Time!AA$170</f>
        <v>0</v>
      </c>
      <c r="AB147" s="537">
        <f>Time!AB$170</f>
        <v>0</v>
      </c>
      <c r="AC147" s="537">
        <f>Time!AC$170</f>
        <v>0</v>
      </c>
      <c r="AD147" s="537">
        <f>Time!AD$170</f>
        <v>0</v>
      </c>
      <c r="AE147" s="537">
        <f>Time!AE$170</f>
        <v>0</v>
      </c>
      <c r="AF147" s="537">
        <f>Time!AF$170</f>
        <v>0</v>
      </c>
      <c r="AG147" s="537">
        <f>Time!AG$170</f>
        <v>0</v>
      </c>
      <c r="AH147" s="537">
        <f>Time!AH$170</f>
        <v>0</v>
      </c>
      <c r="AI147" s="537">
        <f>Time!AI$170</f>
        <v>0</v>
      </c>
      <c r="AJ147" s="537">
        <f>Time!AJ$170</f>
        <v>0</v>
      </c>
      <c r="AK147" s="537">
        <f>Time!AK$170</f>
        <v>0</v>
      </c>
      <c r="AL147" s="537">
        <f>Time!AL$170</f>
        <v>0</v>
      </c>
      <c r="AM147" s="537">
        <f>Time!AM$170</f>
        <v>0</v>
      </c>
      <c r="AN147" s="537">
        <f>Time!AN$170</f>
        <v>0</v>
      </c>
      <c r="AO147" s="537">
        <f>Time!AO$170</f>
        <v>0</v>
      </c>
      <c r="AP147" s="537">
        <f>Time!AP$170</f>
        <v>0</v>
      </c>
      <c r="AQ147" s="537">
        <f>Time!AQ$170</f>
        <v>0</v>
      </c>
      <c r="AR147" s="537">
        <f>Time!AR$170</f>
        <v>0</v>
      </c>
      <c r="AS147" s="537">
        <f>Time!AS$170</f>
        <v>0</v>
      </c>
      <c r="AT147" s="537">
        <f>Time!AT$170</f>
        <v>0</v>
      </c>
      <c r="AU147" s="537">
        <f>Time!AU$170</f>
        <v>0</v>
      </c>
      <c r="AV147" s="537">
        <f>Time!AV$170</f>
        <v>0</v>
      </c>
      <c r="AW147" s="537">
        <f>Time!AW$170</f>
        <v>0</v>
      </c>
      <c r="AX147" s="537">
        <f>Time!AX$170</f>
        <v>0</v>
      </c>
      <c r="AY147" s="537">
        <f>Time!AY$170</f>
        <v>0</v>
      </c>
      <c r="AZ147" s="537">
        <f>Time!AZ$170</f>
        <v>0</v>
      </c>
      <c r="BA147" s="537">
        <f>Time!BA$170</f>
        <v>0</v>
      </c>
      <c r="BB147" s="537">
        <f>Time!BB$170</f>
        <v>0</v>
      </c>
      <c r="BC147" s="537">
        <f>Time!BC$170</f>
        <v>0</v>
      </c>
      <c r="BD147" s="537">
        <f>Time!BD$170</f>
        <v>0</v>
      </c>
      <c r="BE147" s="537">
        <f>Time!BE$170</f>
        <v>0</v>
      </c>
      <c r="BF147" s="537">
        <f>Time!BF$170</f>
        <v>0</v>
      </c>
      <c r="BG147" s="537">
        <f>Time!BG$170</f>
        <v>0</v>
      </c>
      <c r="BH147" s="537">
        <f>Time!BH$170</f>
        <v>0</v>
      </c>
      <c r="BI147" s="537">
        <f>Time!BI$170</f>
        <v>0</v>
      </c>
      <c r="BJ147" s="537">
        <f>Time!BJ$170</f>
        <v>0</v>
      </c>
      <c r="BK147" s="537">
        <f>Time!BK$170</f>
        <v>0</v>
      </c>
      <c r="BL147" s="537">
        <f>Time!BL$170</f>
        <v>0</v>
      </c>
      <c r="BM147" s="537">
        <f>Time!BM$170</f>
        <v>0</v>
      </c>
      <c r="BN147" s="537">
        <f>Time!BN$170</f>
        <v>0</v>
      </c>
      <c r="BO147" s="537">
        <f>Time!BO$170</f>
        <v>0</v>
      </c>
      <c r="BP147" s="537">
        <f>Time!BP$170</f>
        <v>0</v>
      </c>
      <c r="BQ147" s="537">
        <f>Time!BQ$170</f>
        <v>0</v>
      </c>
      <c r="BR147" s="537">
        <f>Time!BR$170</f>
        <v>0</v>
      </c>
      <c r="BS147" s="537">
        <f>Time!BS$170</f>
        <v>0</v>
      </c>
      <c r="BT147" s="537">
        <f>Time!BT$170</f>
        <v>0</v>
      </c>
      <c r="BU147" s="537">
        <f>Time!BU$170</f>
        <v>0</v>
      </c>
      <c r="BV147" s="537">
        <f>Time!BV$170</f>
        <v>0</v>
      </c>
      <c r="BW147" s="537">
        <f>Time!BW$170</f>
        <v>0</v>
      </c>
      <c r="BX147" s="537">
        <f>Time!BX$170</f>
        <v>0</v>
      </c>
      <c r="BY147" s="537">
        <f>Time!BY$170</f>
        <v>0</v>
      </c>
      <c r="BZ147" s="537">
        <f>Time!BZ$170</f>
        <v>0</v>
      </c>
      <c r="CA147" s="537">
        <f>Time!CA$170</f>
        <v>0</v>
      </c>
      <c r="CB147" s="537">
        <f>Time!CB$170</f>
        <v>0</v>
      </c>
      <c r="CC147" s="537">
        <f>Time!CC$170</f>
        <v>0</v>
      </c>
      <c r="CD147" s="537">
        <f>Time!CD$170</f>
        <v>0</v>
      </c>
      <c r="CE147" s="537">
        <f>Time!CE$170</f>
        <v>0</v>
      </c>
      <c r="CF147" s="537">
        <f>Time!CF$170</f>
        <v>0</v>
      </c>
      <c r="CG147" s="537">
        <f>Time!CG$170</f>
        <v>0</v>
      </c>
      <c r="CH147" s="537">
        <f>Time!CH$170</f>
        <v>0</v>
      </c>
      <c r="CI147" s="537">
        <f>Time!CI$170</f>
        <v>0</v>
      </c>
      <c r="CJ147" s="537">
        <f>Time!CJ$170</f>
        <v>0</v>
      </c>
      <c r="CK147" s="537">
        <f>Time!CK$170</f>
        <v>0</v>
      </c>
      <c r="CL147" s="537">
        <f>Time!CL$170</f>
        <v>0</v>
      </c>
      <c r="CM147" s="537">
        <f>Time!CM$170</f>
        <v>0</v>
      </c>
      <c r="CN147" s="537">
        <f>Time!CN$170</f>
        <v>0</v>
      </c>
      <c r="CO147" s="537">
        <f>Time!CO$170</f>
        <v>0</v>
      </c>
      <c r="CP147" s="537">
        <f>Time!CP$170</f>
        <v>0</v>
      </c>
      <c r="CQ147" s="537">
        <f>Time!CQ$170</f>
        <v>0</v>
      </c>
      <c r="CR147" s="537">
        <f>Time!CR$170</f>
        <v>0</v>
      </c>
      <c r="CS147" s="537">
        <f>Time!CS$170</f>
        <v>0</v>
      </c>
      <c r="CT147" s="537">
        <f>Time!CT$170</f>
        <v>0</v>
      </c>
      <c r="CU147" s="537">
        <f>Time!CU$170</f>
        <v>0</v>
      </c>
      <c r="CV147" s="537">
        <f>Time!CV$170</f>
        <v>0</v>
      </c>
      <c r="CW147" s="537">
        <f>Time!CW$170</f>
        <v>0</v>
      </c>
      <c r="CX147" s="537">
        <f>Time!CX$170</f>
        <v>0</v>
      </c>
      <c r="CY147" s="537">
        <f>Time!CY$170</f>
        <v>0</v>
      </c>
      <c r="CZ147" s="537">
        <f>Time!CZ$170</f>
        <v>0</v>
      </c>
      <c r="DA147" s="537">
        <f>Time!DA$170</f>
        <v>0</v>
      </c>
      <c r="DB147" s="537">
        <f>Time!DB$170</f>
        <v>0</v>
      </c>
      <c r="DC147" s="537">
        <f>Time!DC$170</f>
        <v>0</v>
      </c>
      <c r="DD147" s="537">
        <f>Time!DD$170</f>
        <v>0</v>
      </c>
      <c r="DE147" s="537">
        <f>Time!DE$170</f>
        <v>0</v>
      </c>
      <c r="DF147" s="537">
        <f>Time!DF$170</f>
        <v>0</v>
      </c>
      <c r="DG147" s="537">
        <f>Time!DG$170</f>
        <v>0</v>
      </c>
      <c r="DH147" s="537">
        <f>Time!DH$170</f>
        <v>0</v>
      </c>
      <c r="DI147" s="537">
        <f>Time!DI$170</f>
        <v>0</v>
      </c>
      <c r="DJ147" s="537">
        <f>Time!DJ$170</f>
        <v>0</v>
      </c>
      <c r="DK147" s="537">
        <f>Time!DK$170</f>
        <v>0</v>
      </c>
      <c r="DL147" s="537">
        <f>Time!DL$170</f>
        <v>0</v>
      </c>
      <c r="DM147" s="537">
        <f>Time!DM$170</f>
        <v>0</v>
      </c>
      <c r="DN147" s="537">
        <f>Time!DN$170</f>
        <v>0</v>
      </c>
      <c r="DO147" s="537">
        <f>Time!DO$170</f>
        <v>0</v>
      </c>
      <c r="DP147" s="537">
        <f>Time!DP$170</f>
        <v>0</v>
      </c>
      <c r="DQ147" s="537">
        <f>Time!DQ$170</f>
        <v>0</v>
      </c>
      <c r="DR147" s="537">
        <f>Time!DR$170</f>
        <v>0</v>
      </c>
      <c r="DS147" s="537">
        <f>Time!DS$170</f>
        <v>0</v>
      </c>
      <c r="DT147" s="537">
        <f>Time!DT$170</f>
        <v>0</v>
      </c>
      <c r="DU147" s="537">
        <f>Time!DU$170</f>
        <v>0</v>
      </c>
      <c r="DV147" s="537">
        <f>Time!DV$170</f>
        <v>0</v>
      </c>
      <c r="DW147" s="537">
        <f>Time!DW$170</f>
        <v>0</v>
      </c>
      <c r="DX147" s="537">
        <f>Time!DX$170</f>
        <v>0</v>
      </c>
      <c r="DY147" s="537">
        <f>Time!DY$170</f>
        <v>0</v>
      </c>
      <c r="DZ147" s="537">
        <f>Time!DZ$170</f>
        <v>0</v>
      </c>
      <c r="EA147" s="537">
        <f>Time!EA$170</f>
        <v>0</v>
      </c>
      <c r="EB147" s="537">
        <f>Time!EB$170</f>
        <v>0</v>
      </c>
      <c r="EC147" s="537">
        <f>Time!EC$170</f>
        <v>0</v>
      </c>
      <c r="ED147" s="537">
        <f>Time!ED$170</f>
        <v>0</v>
      </c>
      <c r="EE147" s="537">
        <f>Time!EE$170</f>
        <v>0</v>
      </c>
      <c r="EF147" s="537">
        <f>Time!EF$170</f>
        <v>0</v>
      </c>
      <c r="EG147" s="537">
        <f>Time!EG$170</f>
        <v>1</v>
      </c>
    </row>
    <row r="148" spans="5:137" ht="12.75">
      <c r="E148" s="538" t="str">
        <f>E$138</f>
        <v>Junior facility - repayment period flag</v>
      </c>
      <c r="G148" s="539" t="str">
        <f>G$138</f>
        <v>flag</v>
      </c>
      <c r="H148" s="539">
        <f>H$138</f>
        <v>48</v>
      </c>
      <c r="J148" s="539">
        <f t="shared" si="47" ref="J148:EG148">J$138</f>
        <v>0</v>
      </c>
      <c r="K148" s="539">
        <f t="shared" si="47"/>
        <v>0</v>
      </c>
      <c r="L148" s="539">
        <f t="shared" si="47"/>
        <v>0</v>
      </c>
      <c r="M148" s="539">
        <f t="shared" si="47"/>
        <v>0</v>
      </c>
      <c r="N148" s="539">
        <f t="shared" si="47"/>
        <v>0</v>
      </c>
      <c r="O148" s="539">
        <f t="shared" si="47"/>
        <v>0</v>
      </c>
      <c r="P148" s="539">
        <f t="shared" si="47"/>
        <v>0</v>
      </c>
      <c r="Q148" s="539">
        <f t="shared" si="47"/>
        <v>0</v>
      </c>
      <c r="R148" s="539">
        <f t="shared" si="47"/>
        <v>0</v>
      </c>
      <c r="S148" s="539">
        <f t="shared" si="47"/>
        <v>0</v>
      </c>
      <c r="T148" s="539">
        <f t="shared" si="47"/>
        <v>0</v>
      </c>
      <c r="U148" s="539">
        <f t="shared" si="47"/>
        <v>0</v>
      </c>
      <c r="V148" s="539">
        <f t="shared" si="47"/>
        <v>0</v>
      </c>
      <c r="W148" s="539">
        <f t="shared" si="47"/>
        <v>0</v>
      </c>
      <c r="X148" s="539">
        <f t="shared" si="47"/>
        <v>0</v>
      </c>
      <c r="Y148" s="539">
        <f t="shared" si="47"/>
        <v>0</v>
      </c>
      <c r="Z148" s="539">
        <f t="shared" si="47"/>
        <v>0</v>
      </c>
      <c r="AA148" s="539">
        <f t="shared" si="47"/>
        <v>0</v>
      </c>
      <c r="AB148" s="539">
        <f t="shared" si="47"/>
        <v>0</v>
      </c>
      <c r="AC148" s="539">
        <f t="shared" si="47"/>
        <v>0</v>
      </c>
      <c r="AD148" s="539">
        <f t="shared" si="47"/>
        <v>0</v>
      </c>
      <c r="AE148" s="539">
        <f t="shared" si="47"/>
        <v>0</v>
      </c>
      <c r="AF148" s="539">
        <f t="shared" si="47"/>
        <v>0</v>
      </c>
      <c r="AG148" s="539">
        <f t="shared" si="47"/>
        <v>0</v>
      </c>
      <c r="AH148" s="539">
        <f t="shared" si="47"/>
        <v>1</v>
      </c>
      <c r="AI148" s="539">
        <f t="shared" si="47"/>
        <v>1</v>
      </c>
      <c r="AJ148" s="539">
        <f t="shared" si="47"/>
        <v>1</v>
      </c>
      <c r="AK148" s="539">
        <f t="shared" si="47"/>
        <v>1</v>
      </c>
      <c r="AL148" s="539">
        <f t="shared" si="47"/>
        <v>1</v>
      </c>
      <c r="AM148" s="539">
        <f t="shared" si="47"/>
        <v>1</v>
      </c>
      <c r="AN148" s="539">
        <f t="shared" si="47"/>
        <v>1</v>
      </c>
      <c r="AO148" s="539">
        <f t="shared" si="47"/>
        <v>1</v>
      </c>
      <c r="AP148" s="539">
        <f t="shared" si="47"/>
        <v>1</v>
      </c>
      <c r="AQ148" s="539">
        <f t="shared" si="47"/>
        <v>1</v>
      </c>
      <c r="AR148" s="539">
        <f t="shared" si="47"/>
        <v>1</v>
      </c>
      <c r="AS148" s="539">
        <f t="shared" si="47"/>
        <v>1</v>
      </c>
      <c r="AT148" s="539">
        <f t="shared" si="47"/>
        <v>1</v>
      </c>
      <c r="AU148" s="539">
        <f t="shared" si="47"/>
        <v>1</v>
      </c>
      <c r="AV148" s="539">
        <f t="shared" si="47"/>
        <v>1</v>
      </c>
      <c r="AW148" s="539">
        <f t="shared" si="47"/>
        <v>1</v>
      </c>
      <c r="AX148" s="539">
        <f t="shared" si="47"/>
        <v>1</v>
      </c>
      <c r="AY148" s="539">
        <f t="shared" si="47"/>
        <v>1</v>
      </c>
      <c r="AZ148" s="539">
        <f t="shared" si="47"/>
        <v>1</v>
      </c>
      <c r="BA148" s="539">
        <f t="shared" si="47"/>
        <v>1</v>
      </c>
      <c r="BB148" s="539">
        <f t="shared" si="47"/>
        <v>1</v>
      </c>
      <c r="BC148" s="539">
        <f t="shared" si="47"/>
        <v>1</v>
      </c>
      <c r="BD148" s="539">
        <f t="shared" si="47"/>
        <v>1</v>
      </c>
      <c r="BE148" s="539">
        <f t="shared" si="47"/>
        <v>1</v>
      </c>
      <c r="BF148" s="539">
        <f t="shared" si="47"/>
        <v>1</v>
      </c>
      <c r="BG148" s="539">
        <f t="shared" si="47"/>
        <v>1</v>
      </c>
      <c r="BH148" s="539">
        <f t="shared" si="47"/>
        <v>1</v>
      </c>
      <c r="BI148" s="539">
        <f t="shared" si="47"/>
        <v>1</v>
      </c>
      <c r="BJ148" s="539">
        <f t="shared" si="47"/>
        <v>1</v>
      </c>
      <c r="BK148" s="539">
        <f t="shared" si="47"/>
        <v>1</v>
      </c>
      <c r="BL148" s="539">
        <f t="shared" si="47"/>
        <v>1</v>
      </c>
      <c r="BM148" s="539">
        <f t="shared" si="47"/>
        <v>1</v>
      </c>
      <c r="BN148" s="539">
        <f t="shared" si="47"/>
        <v>1</v>
      </c>
      <c r="BO148" s="539">
        <f t="shared" si="47"/>
        <v>1</v>
      </c>
      <c r="BP148" s="539">
        <f t="shared" si="47"/>
        <v>1</v>
      </c>
      <c r="BQ148" s="539">
        <f t="shared" si="47"/>
        <v>1</v>
      </c>
      <c r="BR148" s="539">
        <f t="shared" si="47"/>
        <v>1</v>
      </c>
      <c r="BS148" s="539">
        <f t="shared" si="47"/>
        <v>1</v>
      </c>
      <c r="BT148" s="539">
        <f t="shared" si="47"/>
        <v>1</v>
      </c>
      <c r="BU148" s="539">
        <f t="shared" si="47"/>
        <v>1</v>
      </c>
      <c r="BV148" s="539">
        <f t="shared" si="47"/>
        <v>1</v>
      </c>
      <c r="BW148" s="539">
        <f t="shared" si="47"/>
        <v>1</v>
      </c>
      <c r="BX148" s="539">
        <f t="shared" si="47"/>
        <v>1</v>
      </c>
      <c r="BY148" s="539">
        <f t="shared" si="47"/>
        <v>1</v>
      </c>
      <c r="BZ148" s="539">
        <f t="shared" si="47"/>
        <v>1</v>
      </c>
      <c r="CA148" s="539">
        <f t="shared" si="47"/>
        <v>1</v>
      </c>
      <c r="CB148" s="539">
        <f t="shared" si="47"/>
        <v>1</v>
      </c>
      <c r="CC148" s="539">
        <f t="shared" si="47"/>
        <v>1</v>
      </c>
      <c r="CD148" s="539">
        <f t="shared" si="47"/>
        <v>0</v>
      </c>
      <c r="CE148" s="539">
        <f t="shared" si="47"/>
        <v>0</v>
      </c>
      <c r="CF148" s="539">
        <f t="shared" si="47"/>
        <v>0</v>
      </c>
      <c r="CG148" s="539">
        <f t="shared" si="47"/>
        <v>0</v>
      </c>
      <c r="CH148" s="539">
        <f t="shared" si="47"/>
        <v>0</v>
      </c>
      <c r="CI148" s="539">
        <f t="shared" si="47"/>
        <v>0</v>
      </c>
      <c r="CJ148" s="539">
        <f t="shared" si="47"/>
        <v>0</v>
      </c>
      <c r="CK148" s="539">
        <f t="shared" si="47"/>
        <v>0</v>
      </c>
      <c r="CL148" s="539">
        <f t="shared" si="47"/>
        <v>0</v>
      </c>
      <c r="CM148" s="539">
        <f t="shared" si="47"/>
        <v>0</v>
      </c>
      <c r="CN148" s="539">
        <f t="shared" si="47"/>
        <v>0</v>
      </c>
      <c r="CO148" s="539">
        <f t="shared" si="47"/>
        <v>0</v>
      </c>
      <c r="CP148" s="539">
        <f t="shared" si="47"/>
        <v>0</v>
      </c>
      <c r="CQ148" s="539">
        <f t="shared" si="47"/>
        <v>0</v>
      </c>
      <c r="CR148" s="539">
        <f t="shared" si="47"/>
        <v>0</v>
      </c>
      <c r="CS148" s="539">
        <f t="shared" si="47"/>
        <v>0</v>
      </c>
      <c r="CT148" s="539">
        <f t="shared" si="47"/>
        <v>0</v>
      </c>
      <c r="CU148" s="539">
        <f t="shared" si="47"/>
        <v>0</v>
      </c>
      <c r="CV148" s="539">
        <f t="shared" si="47"/>
        <v>0</v>
      </c>
      <c r="CW148" s="539">
        <f t="shared" si="47"/>
        <v>0</v>
      </c>
      <c r="CX148" s="539">
        <f t="shared" si="47"/>
        <v>0</v>
      </c>
      <c r="CY148" s="539">
        <f t="shared" si="47"/>
        <v>0</v>
      </c>
      <c r="CZ148" s="539">
        <f t="shared" si="47"/>
        <v>0</v>
      </c>
      <c r="DA148" s="539">
        <f t="shared" si="47"/>
        <v>0</v>
      </c>
      <c r="DB148" s="539">
        <f t="shared" si="47"/>
        <v>0</v>
      </c>
      <c r="DC148" s="539">
        <f t="shared" si="47"/>
        <v>0</v>
      </c>
      <c r="DD148" s="539">
        <f t="shared" si="47"/>
        <v>0</v>
      </c>
      <c r="DE148" s="539">
        <f t="shared" si="47"/>
        <v>0</v>
      </c>
      <c r="DF148" s="539">
        <f t="shared" si="47"/>
        <v>0</v>
      </c>
      <c r="DG148" s="539">
        <f t="shared" si="47"/>
        <v>0</v>
      </c>
      <c r="DH148" s="539">
        <f t="shared" si="47"/>
        <v>0</v>
      </c>
      <c r="DI148" s="539">
        <f t="shared" si="47"/>
        <v>0</v>
      </c>
      <c r="DJ148" s="539">
        <f t="shared" si="47"/>
        <v>0</v>
      </c>
      <c r="DK148" s="539">
        <f t="shared" si="47"/>
        <v>0</v>
      </c>
      <c r="DL148" s="539">
        <f t="shared" si="47"/>
        <v>0</v>
      </c>
      <c r="DM148" s="539">
        <f t="shared" si="47"/>
        <v>0</v>
      </c>
      <c r="DN148" s="539">
        <f t="shared" si="47"/>
        <v>0</v>
      </c>
      <c r="DO148" s="539">
        <f t="shared" si="47"/>
        <v>0</v>
      </c>
      <c r="DP148" s="539">
        <f t="shared" si="47"/>
        <v>0</v>
      </c>
      <c r="DQ148" s="539">
        <f t="shared" si="47"/>
        <v>0</v>
      </c>
      <c r="DR148" s="539">
        <f t="shared" si="47"/>
        <v>0</v>
      </c>
      <c r="DS148" s="539">
        <f t="shared" si="47"/>
        <v>0</v>
      </c>
      <c r="DT148" s="539">
        <f t="shared" si="47"/>
        <v>0</v>
      </c>
      <c r="DU148" s="539">
        <f t="shared" si="47"/>
        <v>0</v>
      </c>
      <c r="DV148" s="539">
        <f t="shared" si="47"/>
        <v>0</v>
      </c>
      <c r="DW148" s="539">
        <f t="shared" si="47"/>
        <v>0</v>
      </c>
      <c r="DX148" s="539">
        <f t="shared" si="47"/>
        <v>0</v>
      </c>
      <c r="DY148" s="539">
        <f t="shared" si="47"/>
        <v>0</v>
      </c>
      <c r="DZ148" s="539">
        <f t="shared" si="47"/>
        <v>0</v>
      </c>
      <c r="EA148" s="539">
        <f t="shared" si="47"/>
        <v>0</v>
      </c>
      <c r="EB148" s="539">
        <f t="shared" si="47"/>
        <v>0</v>
      </c>
      <c r="EC148" s="539">
        <f t="shared" si="47"/>
        <v>0</v>
      </c>
      <c r="ED148" s="539">
        <f t="shared" si="47"/>
        <v>0</v>
      </c>
      <c r="EE148" s="539">
        <f t="shared" si="47"/>
        <v>0</v>
      </c>
      <c r="EF148" s="539">
        <f t="shared" si="47"/>
        <v>0</v>
      </c>
      <c r="EG148" s="539">
        <f t="shared" si="47"/>
        <v>0</v>
      </c>
    </row>
    <row r="149" spans="5:137" ht="12.75">
      <c r="E149" s="538" t="str">
        <f>E$141</f>
        <v>Junior facility - repayment period counter</v>
      </c>
      <c r="G149" s="539" t="str">
        <f>G$141</f>
        <v>counter</v>
      </c>
      <c r="H149" s="539">
        <f>H$141</f>
        <v>3864</v>
      </c>
      <c r="J149" s="539">
        <f t="shared" si="48" ref="J149:EG149">J$141</f>
        <v>0</v>
      </c>
      <c r="K149" s="539">
        <f t="shared" si="48"/>
        <v>0</v>
      </c>
      <c r="L149" s="539">
        <f t="shared" si="48"/>
        <v>0</v>
      </c>
      <c r="M149" s="539">
        <f t="shared" si="48"/>
        <v>0</v>
      </c>
      <c r="N149" s="539">
        <f t="shared" si="48"/>
        <v>0</v>
      </c>
      <c r="O149" s="539">
        <f t="shared" si="48"/>
        <v>0</v>
      </c>
      <c r="P149" s="539">
        <f t="shared" si="48"/>
        <v>0</v>
      </c>
      <c r="Q149" s="539">
        <f t="shared" si="48"/>
        <v>0</v>
      </c>
      <c r="R149" s="539">
        <f t="shared" si="48"/>
        <v>0</v>
      </c>
      <c r="S149" s="539">
        <f t="shared" si="48"/>
        <v>0</v>
      </c>
      <c r="T149" s="539">
        <f t="shared" si="48"/>
        <v>0</v>
      </c>
      <c r="U149" s="539">
        <f t="shared" si="48"/>
        <v>0</v>
      </c>
      <c r="V149" s="539">
        <f t="shared" si="48"/>
        <v>0</v>
      </c>
      <c r="W149" s="539">
        <f t="shared" si="48"/>
        <v>0</v>
      </c>
      <c r="X149" s="539">
        <f t="shared" si="48"/>
        <v>0</v>
      </c>
      <c r="Y149" s="539">
        <f t="shared" si="48"/>
        <v>0</v>
      </c>
      <c r="Z149" s="539">
        <f t="shared" si="48"/>
        <v>0</v>
      </c>
      <c r="AA149" s="539">
        <f t="shared" si="48"/>
        <v>0</v>
      </c>
      <c r="AB149" s="539">
        <f t="shared" si="48"/>
        <v>0</v>
      </c>
      <c r="AC149" s="539">
        <f t="shared" si="48"/>
        <v>0</v>
      </c>
      <c r="AD149" s="539">
        <f t="shared" si="48"/>
        <v>0</v>
      </c>
      <c r="AE149" s="539">
        <f t="shared" si="48"/>
        <v>0</v>
      </c>
      <c r="AF149" s="539">
        <f t="shared" si="48"/>
        <v>0</v>
      </c>
      <c r="AG149" s="539">
        <f t="shared" si="48"/>
        <v>0</v>
      </c>
      <c r="AH149" s="539">
        <f t="shared" si="48"/>
        <v>1</v>
      </c>
      <c r="AI149" s="539">
        <f t="shared" si="48"/>
        <v>2</v>
      </c>
      <c r="AJ149" s="539">
        <f t="shared" si="48"/>
        <v>3</v>
      </c>
      <c r="AK149" s="539">
        <f t="shared" si="48"/>
        <v>4</v>
      </c>
      <c r="AL149" s="539">
        <f t="shared" si="48"/>
        <v>5</v>
      </c>
      <c r="AM149" s="539">
        <f t="shared" si="48"/>
        <v>6</v>
      </c>
      <c r="AN149" s="539">
        <f t="shared" si="48"/>
        <v>7</v>
      </c>
      <c r="AO149" s="539">
        <f t="shared" si="48"/>
        <v>8</v>
      </c>
      <c r="AP149" s="539">
        <f t="shared" si="48"/>
        <v>9</v>
      </c>
      <c r="AQ149" s="539">
        <f t="shared" si="48"/>
        <v>10</v>
      </c>
      <c r="AR149" s="539">
        <f t="shared" si="48"/>
        <v>11</v>
      </c>
      <c r="AS149" s="539">
        <f t="shared" si="48"/>
        <v>12</v>
      </c>
      <c r="AT149" s="539">
        <f t="shared" si="48"/>
        <v>13</v>
      </c>
      <c r="AU149" s="539">
        <f t="shared" si="48"/>
        <v>14</v>
      </c>
      <c r="AV149" s="539">
        <f t="shared" si="48"/>
        <v>15</v>
      </c>
      <c r="AW149" s="539">
        <f t="shared" si="48"/>
        <v>16</v>
      </c>
      <c r="AX149" s="539">
        <f t="shared" si="48"/>
        <v>17</v>
      </c>
      <c r="AY149" s="539">
        <f t="shared" si="48"/>
        <v>18</v>
      </c>
      <c r="AZ149" s="539">
        <f t="shared" si="48"/>
        <v>19</v>
      </c>
      <c r="BA149" s="539">
        <f t="shared" si="48"/>
        <v>20</v>
      </c>
      <c r="BB149" s="539">
        <f t="shared" si="48"/>
        <v>21</v>
      </c>
      <c r="BC149" s="539">
        <f t="shared" si="48"/>
        <v>22</v>
      </c>
      <c r="BD149" s="539">
        <f t="shared" si="48"/>
        <v>23</v>
      </c>
      <c r="BE149" s="539">
        <f t="shared" si="48"/>
        <v>24</v>
      </c>
      <c r="BF149" s="539">
        <f t="shared" si="48"/>
        <v>25</v>
      </c>
      <c r="BG149" s="539">
        <f t="shared" si="48"/>
        <v>26</v>
      </c>
      <c r="BH149" s="539">
        <f t="shared" si="48"/>
        <v>27</v>
      </c>
      <c r="BI149" s="539">
        <f t="shared" si="48"/>
        <v>28</v>
      </c>
      <c r="BJ149" s="539">
        <f t="shared" si="48"/>
        <v>29</v>
      </c>
      <c r="BK149" s="539">
        <f t="shared" si="48"/>
        <v>30</v>
      </c>
      <c r="BL149" s="539">
        <f t="shared" si="48"/>
        <v>31</v>
      </c>
      <c r="BM149" s="539">
        <f t="shared" si="48"/>
        <v>32</v>
      </c>
      <c r="BN149" s="539">
        <f t="shared" si="48"/>
        <v>33</v>
      </c>
      <c r="BO149" s="539">
        <f t="shared" si="48"/>
        <v>34</v>
      </c>
      <c r="BP149" s="539">
        <f t="shared" si="48"/>
        <v>35</v>
      </c>
      <c r="BQ149" s="539">
        <f t="shared" si="48"/>
        <v>36</v>
      </c>
      <c r="BR149" s="539">
        <f t="shared" si="48"/>
        <v>37</v>
      </c>
      <c r="BS149" s="539">
        <f t="shared" si="48"/>
        <v>38</v>
      </c>
      <c r="BT149" s="539">
        <f t="shared" si="48"/>
        <v>39</v>
      </c>
      <c r="BU149" s="539">
        <f t="shared" si="48"/>
        <v>40</v>
      </c>
      <c r="BV149" s="539">
        <f t="shared" si="48"/>
        <v>41</v>
      </c>
      <c r="BW149" s="539">
        <f t="shared" si="48"/>
        <v>42</v>
      </c>
      <c r="BX149" s="539">
        <f t="shared" si="48"/>
        <v>43</v>
      </c>
      <c r="BY149" s="539">
        <f t="shared" si="48"/>
        <v>44</v>
      </c>
      <c r="BZ149" s="539">
        <f t="shared" si="48"/>
        <v>45</v>
      </c>
      <c r="CA149" s="539">
        <f t="shared" si="48"/>
        <v>46</v>
      </c>
      <c r="CB149" s="539">
        <f t="shared" si="48"/>
        <v>47</v>
      </c>
      <c r="CC149" s="539">
        <f t="shared" si="48"/>
        <v>48</v>
      </c>
      <c r="CD149" s="539">
        <f t="shared" si="48"/>
        <v>48</v>
      </c>
      <c r="CE149" s="539">
        <f t="shared" si="48"/>
        <v>48</v>
      </c>
      <c r="CF149" s="539">
        <f t="shared" si="48"/>
        <v>48</v>
      </c>
      <c r="CG149" s="539">
        <f t="shared" si="48"/>
        <v>48</v>
      </c>
      <c r="CH149" s="539">
        <f t="shared" si="48"/>
        <v>48</v>
      </c>
      <c r="CI149" s="539">
        <f t="shared" si="48"/>
        <v>48</v>
      </c>
      <c r="CJ149" s="539">
        <f t="shared" si="48"/>
        <v>48</v>
      </c>
      <c r="CK149" s="539">
        <f t="shared" si="48"/>
        <v>48</v>
      </c>
      <c r="CL149" s="539">
        <f t="shared" si="48"/>
        <v>48</v>
      </c>
      <c r="CM149" s="539">
        <f t="shared" si="48"/>
        <v>48</v>
      </c>
      <c r="CN149" s="539">
        <f t="shared" si="48"/>
        <v>48</v>
      </c>
      <c r="CO149" s="539">
        <f t="shared" si="48"/>
        <v>48</v>
      </c>
      <c r="CP149" s="539">
        <f t="shared" si="48"/>
        <v>48</v>
      </c>
      <c r="CQ149" s="539">
        <f t="shared" si="48"/>
        <v>48</v>
      </c>
      <c r="CR149" s="539">
        <f t="shared" si="48"/>
        <v>48</v>
      </c>
      <c r="CS149" s="539">
        <f t="shared" si="48"/>
        <v>48</v>
      </c>
      <c r="CT149" s="539">
        <f t="shared" si="48"/>
        <v>48</v>
      </c>
      <c r="CU149" s="539">
        <f t="shared" si="48"/>
        <v>48</v>
      </c>
      <c r="CV149" s="539">
        <f t="shared" si="48"/>
        <v>48</v>
      </c>
      <c r="CW149" s="539">
        <f t="shared" si="48"/>
        <v>48</v>
      </c>
      <c r="CX149" s="539">
        <f t="shared" si="48"/>
        <v>48</v>
      </c>
      <c r="CY149" s="539">
        <f t="shared" si="48"/>
        <v>48</v>
      </c>
      <c r="CZ149" s="539">
        <f t="shared" si="48"/>
        <v>48</v>
      </c>
      <c r="DA149" s="539">
        <f t="shared" si="48"/>
        <v>48</v>
      </c>
      <c r="DB149" s="539">
        <f t="shared" si="48"/>
        <v>48</v>
      </c>
      <c r="DC149" s="539">
        <f t="shared" si="48"/>
        <v>48</v>
      </c>
      <c r="DD149" s="539">
        <f t="shared" si="48"/>
        <v>48</v>
      </c>
      <c r="DE149" s="539">
        <f t="shared" si="48"/>
        <v>48</v>
      </c>
      <c r="DF149" s="539">
        <f t="shared" si="48"/>
        <v>48</v>
      </c>
      <c r="DG149" s="539">
        <f t="shared" si="48"/>
        <v>48</v>
      </c>
      <c r="DH149" s="539">
        <f t="shared" si="48"/>
        <v>48</v>
      </c>
      <c r="DI149" s="539">
        <f t="shared" si="48"/>
        <v>48</v>
      </c>
      <c r="DJ149" s="539">
        <f t="shared" si="48"/>
        <v>48</v>
      </c>
      <c r="DK149" s="539">
        <f t="shared" si="48"/>
        <v>48</v>
      </c>
      <c r="DL149" s="539">
        <f t="shared" si="48"/>
        <v>48</v>
      </c>
      <c r="DM149" s="539">
        <f t="shared" si="48"/>
        <v>48</v>
      </c>
      <c r="DN149" s="539">
        <f t="shared" si="48"/>
        <v>48</v>
      </c>
      <c r="DO149" s="539">
        <f t="shared" si="48"/>
        <v>48</v>
      </c>
      <c r="DP149" s="539">
        <f t="shared" si="48"/>
        <v>48</v>
      </c>
      <c r="DQ149" s="539">
        <f t="shared" si="48"/>
        <v>48</v>
      </c>
      <c r="DR149" s="539">
        <f t="shared" si="48"/>
        <v>48</v>
      </c>
      <c r="DS149" s="539">
        <f t="shared" si="48"/>
        <v>48</v>
      </c>
      <c r="DT149" s="539">
        <f t="shared" si="48"/>
        <v>48</v>
      </c>
      <c r="DU149" s="539">
        <f t="shared" si="48"/>
        <v>48</v>
      </c>
      <c r="DV149" s="539">
        <f t="shared" si="48"/>
        <v>48</v>
      </c>
      <c r="DW149" s="539">
        <f t="shared" si="48"/>
        <v>48</v>
      </c>
      <c r="DX149" s="539">
        <f t="shared" si="48"/>
        <v>48</v>
      </c>
      <c r="DY149" s="539">
        <f t="shared" si="48"/>
        <v>48</v>
      </c>
      <c r="DZ149" s="539">
        <f t="shared" si="48"/>
        <v>48</v>
      </c>
      <c r="EA149" s="539">
        <f t="shared" si="48"/>
        <v>48</v>
      </c>
      <c r="EB149" s="539">
        <f t="shared" si="48"/>
        <v>48</v>
      </c>
      <c r="EC149" s="539">
        <f t="shared" si="48"/>
        <v>48</v>
      </c>
      <c r="ED149" s="539">
        <f t="shared" si="48"/>
        <v>48</v>
      </c>
      <c r="EE149" s="539">
        <f t="shared" si="48"/>
        <v>48</v>
      </c>
      <c r="EF149" s="539">
        <f t="shared" si="48"/>
        <v>48</v>
      </c>
      <c r="EG149" s="539">
        <f t="shared" si="48"/>
        <v>48</v>
      </c>
    </row>
    <row r="150" spans="5:137" ht="12.75">
      <c r="E150" s="538" t="s">
        <v>335</v>
      </c>
      <c r="G150" s="539" t="s">
        <v>158</v>
      </c>
      <c r="H150" s="539">
        <f>SUM(J150:EG150)</f>
        <v>1</v>
      </c>
      <c r="J150" s="539">
        <f t="shared" si="49" ref="J150:EG150">IF($F146=0,J147,J148*IF(J149=$F146,1,0))</f>
        <v>0</v>
      </c>
      <c r="K150" s="539">
        <f t="shared" si="49"/>
        <v>0</v>
      </c>
      <c r="L150" s="539">
        <f t="shared" si="49"/>
        <v>0</v>
      </c>
      <c r="M150" s="539">
        <f t="shared" si="49"/>
        <v>0</v>
      </c>
      <c r="N150" s="539">
        <f t="shared" si="49"/>
        <v>0</v>
      </c>
      <c r="O150" s="539">
        <f t="shared" si="49"/>
        <v>0</v>
      </c>
      <c r="P150" s="539">
        <f t="shared" si="49"/>
        <v>0</v>
      </c>
      <c r="Q150" s="539">
        <f t="shared" si="49"/>
        <v>0</v>
      </c>
      <c r="R150" s="539">
        <f t="shared" si="49"/>
        <v>0</v>
      </c>
      <c r="S150" s="539">
        <f t="shared" si="49"/>
        <v>0</v>
      </c>
      <c r="T150" s="539">
        <f t="shared" si="49"/>
        <v>0</v>
      </c>
      <c r="U150" s="539">
        <f t="shared" si="49"/>
        <v>0</v>
      </c>
      <c r="V150" s="539">
        <f t="shared" si="49"/>
        <v>0</v>
      </c>
      <c r="W150" s="539">
        <f t="shared" si="49"/>
        <v>0</v>
      </c>
      <c r="X150" s="539">
        <f t="shared" si="49"/>
        <v>0</v>
      </c>
      <c r="Y150" s="539">
        <f t="shared" si="49"/>
        <v>0</v>
      </c>
      <c r="Z150" s="539">
        <f t="shared" si="49"/>
        <v>0</v>
      </c>
      <c r="AA150" s="539">
        <f t="shared" si="49"/>
        <v>0</v>
      </c>
      <c r="AB150" s="539">
        <f t="shared" si="49"/>
        <v>0</v>
      </c>
      <c r="AC150" s="539">
        <f t="shared" si="49"/>
        <v>0</v>
      </c>
      <c r="AD150" s="539">
        <f t="shared" si="49"/>
        <v>0</v>
      </c>
      <c r="AE150" s="539">
        <f t="shared" si="49"/>
        <v>0</v>
      </c>
      <c r="AF150" s="539">
        <f t="shared" si="49"/>
        <v>0</v>
      </c>
      <c r="AG150" s="539">
        <f t="shared" si="49"/>
        <v>0</v>
      </c>
      <c r="AH150" s="539">
        <f t="shared" si="49"/>
        <v>0</v>
      </c>
      <c r="AI150" s="539">
        <f t="shared" si="49"/>
        <v>0</v>
      </c>
      <c r="AJ150" s="539">
        <f t="shared" si="49"/>
        <v>0</v>
      </c>
      <c r="AK150" s="539">
        <f t="shared" si="49"/>
        <v>0</v>
      </c>
      <c r="AL150" s="539">
        <f t="shared" si="49"/>
        <v>0</v>
      </c>
      <c r="AM150" s="539">
        <f t="shared" si="49"/>
        <v>0</v>
      </c>
      <c r="AN150" s="539">
        <f t="shared" si="49"/>
        <v>0</v>
      </c>
      <c r="AO150" s="539">
        <f t="shared" si="49"/>
        <v>0</v>
      </c>
      <c r="AP150" s="539">
        <f t="shared" si="49"/>
        <v>0</v>
      </c>
      <c r="AQ150" s="539">
        <f t="shared" si="49"/>
        <v>0</v>
      </c>
      <c r="AR150" s="539">
        <f t="shared" si="49"/>
        <v>0</v>
      </c>
      <c r="AS150" s="539">
        <f t="shared" si="49"/>
        <v>0</v>
      </c>
      <c r="AT150" s="539">
        <f t="shared" si="49"/>
        <v>0</v>
      </c>
      <c r="AU150" s="539">
        <f t="shared" si="49"/>
        <v>0</v>
      </c>
      <c r="AV150" s="539">
        <f t="shared" si="49"/>
        <v>0</v>
      </c>
      <c r="AW150" s="539">
        <f t="shared" si="49"/>
        <v>0</v>
      </c>
      <c r="AX150" s="539">
        <f t="shared" si="49"/>
        <v>0</v>
      </c>
      <c r="AY150" s="539">
        <f t="shared" si="49"/>
        <v>0</v>
      </c>
      <c r="AZ150" s="539">
        <f t="shared" si="49"/>
        <v>0</v>
      </c>
      <c r="BA150" s="539">
        <f t="shared" si="49"/>
        <v>0</v>
      </c>
      <c r="BB150" s="539">
        <f t="shared" si="49"/>
        <v>0</v>
      </c>
      <c r="BC150" s="539">
        <f t="shared" si="49"/>
        <v>0</v>
      </c>
      <c r="BD150" s="539">
        <f t="shared" si="49"/>
        <v>0</v>
      </c>
      <c r="BE150" s="539">
        <f t="shared" si="49"/>
        <v>0</v>
      </c>
      <c r="BF150" s="539">
        <f t="shared" si="49"/>
        <v>0</v>
      </c>
      <c r="BG150" s="539">
        <f t="shared" si="49"/>
        <v>0</v>
      </c>
      <c r="BH150" s="539">
        <f t="shared" si="49"/>
        <v>0</v>
      </c>
      <c r="BI150" s="539">
        <f t="shared" si="49"/>
        <v>0</v>
      </c>
      <c r="BJ150" s="539">
        <f t="shared" si="49"/>
        <v>0</v>
      </c>
      <c r="BK150" s="539">
        <f t="shared" si="49"/>
        <v>0</v>
      </c>
      <c r="BL150" s="539">
        <f t="shared" si="49"/>
        <v>0</v>
      </c>
      <c r="BM150" s="539">
        <f t="shared" si="49"/>
        <v>0</v>
      </c>
      <c r="BN150" s="539">
        <f t="shared" si="49"/>
        <v>0</v>
      </c>
      <c r="BO150" s="539">
        <f t="shared" si="49"/>
        <v>0</v>
      </c>
      <c r="BP150" s="539">
        <f t="shared" si="49"/>
        <v>0</v>
      </c>
      <c r="BQ150" s="539">
        <f t="shared" si="49"/>
        <v>0</v>
      </c>
      <c r="BR150" s="539">
        <f t="shared" si="49"/>
        <v>0</v>
      </c>
      <c r="BS150" s="539">
        <f t="shared" si="49"/>
        <v>0</v>
      </c>
      <c r="BT150" s="539">
        <f t="shared" si="49"/>
        <v>0</v>
      </c>
      <c r="BU150" s="539">
        <f t="shared" si="49"/>
        <v>0</v>
      </c>
      <c r="BV150" s="539">
        <f t="shared" si="49"/>
        <v>0</v>
      </c>
      <c r="BW150" s="539">
        <f t="shared" si="49"/>
        <v>0</v>
      </c>
      <c r="BX150" s="539">
        <f t="shared" si="49"/>
        <v>0</v>
      </c>
      <c r="BY150" s="539">
        <f t="shared" si="49"/>
        <v>0</v>
      </c>
      <c r="BZ150" s="539">
        <f t="shared" si="49"/>
        <v>0</v>
      </c>
      <c r="CA150" s="539">
        <f t="shared" si="49"/>
        <v>0</v>
      </c>
      <c r="CB150" s="539">
        <f t="shared" si="49"/>
        <v>0</v>
      </c>
      <c r="CC150" s="539">
        <f t="shared" si="49"/>
        <v>1</v>
      </c>
      <c r="CD150" s="539">
        <f t="shared" si="49"/>
        <v>0</v>
      </c>
      <c r="CE150" s="539">
        <f t="shared" si="49"/>
        <v>0</v>
      </c>
      <c r="CF150" s="539">
        <f t="shared" si="49"/>
        <v>0</v>
      </c>
      <c r="CG150" s="539">
        <f t="shared" si="49"/>
        <v>0</v>
      </c>
      <c r="CH150" s="539">
        <f t="shared" si="49"/>
        <v>0</v>
      </c>
      <c r="CI150" s="539">
        <f t="shared" si="49"/>
        <v>0</v>
      </c>
      <c r="CJ150" s="539">
        <f t="shared" si="49"/>
        <v>0</v>
      </c>
      <c r="CK150" s="539">
        <f t="shared" si="49"/>
        <v>0</v>
      </c>
      <c r="CL150" s="539">
        <f t="shared" si="49"/>
        <v>0</v>
      </c>
      <c r="CM150" s="539">
        <f t="shared" si="49"/>
        <v>0</v>
      </c>
      <c r="CN150" s="539">
        <f t="shared" si="49"/>
        <v>0</v>
      </c>
      <c r="CO150" s="539">
        <f t="shared" si="49"/>
        <v>0</v>
      </c>
      <c r="CP150" s="539">
        <f t="shared" si="49"/>
        <v>0</v>
      </c>
      <c r="CQ150" s="539">
        <f t="shared" si="49"/>
        <v>0</v>
      </c>
      <c r="CR150" s="539">
        <f t="shared" si="49"/>
        <v>0</v>
      </c>
      <c r="CS150" s="539">
        <f t="shared" si="49"/>
        <v>0</v>
      </c>
      <c r="CT150" s="539">
        <f t="shared" si="49"/>
        <v>0</v>
      </c>
      <c r="CU150" s="539">
        <f t="shared" si="49"/>
        <v>0</v>
      </c>
      <c r="CV150" s="539">
        <f t="shared" si="49"/>
        <v>0</v>
      </c>
      <c r="CW150" s="539">
        <f t="shared" si="49"/>
        <v>0</v>
      </c>
      <c r="CX150" s="539">
        <f t="shared" si="49"/>
        <v>0</v>
      </c>
      <c r="CY150" s="539">
        <f t="shared" si="49"/>
        <v>0</v>
      </c>
      <c r="CZ150" s="539">
        <f t="shared" si="49"/>
        <v>0</v>
      </c>
      <c r="DA150" s="539">
        <f t="shared" si="49"/>
        <v>0</v>
      </c>
      <c r="DB150" s="539">
        <f t="shared" si="49"/>
        <v>0</v>
      </c>
      <c r="DC150" s="539">
        <f t="shared" si="49"/>
        <v>0</v>
      </c>
      <c r="DD150" s="539">
        <f t="shared" si="49"/>
        <v>0</v>
      </c>
      <c r="DE150" s="539">
        <f t="shared" si="49"/>
        <v>0</v>
      </c>
      <c r="DF150" s="539">
        <f t="shared" si="49"/>
        <v>0</v>
      </c>
      <c r="DG150" s="539">
        <f t="shared" si="49"/>
        <v>0</v>
      </c>
      <c r="DH150" s="539">
        <f t="shared" si="49"/>
        <v>0</v>
      </c>
      <c r="DI150" s="539">
        <f t="shared" si="49"/>
        <v>0</v>
      </c>
      <c r="DJ150" s="539">
        <f t="shared" si="49"/>
        <v>0</v>
      </c>
      <c r="DK150" s="539">
        <f t="shared" si="49"/>
        <v>0</v>
      </c>
      <c r="DL150" s="539">
        <f t="shared" si="49"/>
        <v>0</v>
      </c>
      <c r="DM150" s="539">
        <f t="shared" si="49"/>
        <v>0</v>
      </c>
      <c r="DN150" s="539">
        <f t="shared" si="49"/>
        <v>0</v>
      </c>
      <c r="DO150" s="539">
        <f t="shared" si="49"/>
        <v>0</v>
      </c>
      <c r="DP150" s="539">
        <f t="shared" si="49"/>
        <v>0</v>
      </c>
      <c r="DQ150" s="539">
        <f t="shared" si="49"/>
        <v>0</v>
      </c>
      <c r="DR150" s="539">
        <f t="shared" si="49"/>
        <v>0</v>
      </c>
      <c r="DS150" s="539">
        <f t="shared" si="49"/>
        <v>0</v>
      </c>
      <c r="DT150" s="539">
        <f t="shared" si="49"/>
        <v>0</v>
      </c>
      <c r="DU150" s="539">
        <f t="shared" si="49"/>
        <v>0</v>
      </c>
      <c r="DV150" s="539">
        <f t="shared" si="49"/>
        <v>0</v>
      </c>
      <c r="DW150" s="539">
        <f t="shared" si="49"/>
        <v>0</v>
      </c>
      <c r="DX150" s="539">
        <f t="shared" si="49"/>
        <v>0</v>
      </c>
      <c r="DY150" s="539">
        <f t="shared" si="49"/>
        <v>0</v>
      </c>
      <c r="DZ150" s="539">
        <f t="shared" si="49"/>
        <v>0</v>
      </c>
      <c r="EA150" s="539">
        <f t="shared" si="49"/>
        <v>0</v>
      </c>
      <c r="EB150" s="539">
        <f t="shared" si="49"/>
        <v>0</v>
      </c>
      <c r="EC150" s="539">
        <f t="shared" si="49"/>
        <v>0</v>
      </c>
      <c r="ED150" s="539">
        <f t="shared" si="49"/>
        <v>0</v>
      </c>
      <c r="EE150" s="539">
        <f t="shared" si="49"/>
        <v>0</v>
      </c>
      <c r="EF150" s="539">
        <f t="shared" si="49"/>
        <v>0</v>
      </c>
      <c r="EG150" s="539">
        <f t="shared" si="49"/>
        <v>0</v>
      </c>
    </row>
    <row r="152" spans="2:2" ht="12.75">
      <c r="B152" s="534" t="s">
        <v>336</v>
      </c>
    </row>
    <row r="153" spans="5:7" ht="12.75">
      <c r="E153" s="535" t="str">
        <f>Cons!E$112</f>
        <v>Funding requirement - total</v>
      </c>
      <c r="F153" s="537">
        <f>Cons!F$112</f>
        <v>316123.78273007384</v>
      </c>
      <c r="G153" s="537" t="str">
        <f>Cons!G$112</f>
        <v>EUR 000s</v>
      </c>
    </row>
    <row r="154" spans="5:7" ht="12.75">
      <c r="E154" s="535" t="str">
        <f>InpC!E$91</f>
        <v>Junior facility - share of funding requirement</v>
      </c>
      <c r="F154" s="542">
        <f>InpC!F$91</f>
        <v>0.080000000000000002</v>
      </c>
      <c r="G154" s="542" t="str">
        <f>InpC!G$91</f>
        <v>%</v>
      </c>
    </row>
    <row r="155" spans="5:7" ht="12.75">
      <c r="E155" s="540" t="s">
        <v>337</v>
      </c>
      <c r="F155" s="541">
        <f>$F154*$F153</f>
        <v>25289.902618405908</v>
      </c>
      <c r="G155" s="541" t="s">
        <v>30</v>
      </c>
    </row>
    <row r="157" spans="5:137" ht="12.75">
      <c r="E157" s="535" t="str">
        <f>Cons!E$144</f>
        <v>Junior facility - drawdown</v>
      </c>
      <c r="G157" s="537" t="str">
        <f>Cons!G$144</f>
        <v>EUR 000s</v>
      </c>
      <c r="H157" s="537">
        <f>Cons!H$144</f>
        <v>25289.902618405918</v>
      </c>
      <c r="J157" s="537">
        <f>Cons!J$144</f>
        <v>0</v>
      </c>
      <c r="K157" s="537">
        <f>Cons!K$144</f>
        <v>0</v>
      </c>
      <c r="L157" s="537">
        <f>Cons!L$144</f>
        <v>0</v>
      </c>
      <c r="M157" s="537">
        <f>Cons!M$144</f>
        <v>0</v>
      </c>
      <c r="N157" s="537">
        <f>Cons!N$144</f>
        <v>0</v>
      </c>
      <c r="O157" s="537">
        <f>Cons!O$144</f>
        <v>0</v>
      </c>
      <c r="P157" s="537">
        <f>Cons!P$144</f>
        <v>0</v>
      </c>
      <c r="Q157" s="537">
        <f>Cons!Q$144</f>
        <v>9524.2618544395227</v>
      </c>
      <c r="R157" s="537">
        <f>Cons!R$144</f>
        <v>15765.640763966396</v>
      </c>
      <c r="S157" s="537">
        <f>Cons!S$144</f>
        <v>0</v>
      </c>
      <c r="T157" s="537">
        <f>Cons!T$144</f>
        <v>0</v>
      </c>
      <c r="U157" s="537">
        <f>Cons!U$144</f>
        <v>0</v>
      </c>
      <c r="V157" s="537">
        <f>Cons!V$144</f>
        <v>0</v>
      </c>
      <c r="W157" s="537">
        <f>Cons!W$144</f>
        <v>0</v>
      </c>
      <c r="X157" s="537">
        <f>Cons!X$144</f>
        <v>0</v>
      </c>
      <c r="Y157" s="537">
        <f>Cons!Y$144</f>
        <v>0</v>
      </c>
      <c r="Z157" s="537">
        <f>Cons!Z$144</f>
        <v>0</v>
      </c>
      <c r="AA157" s="537">
        <f>Cons!AA$144</f>
        <v>0</v>
      </c>
      <c r="AB157" s="537">
        <f>Cons!AB$144</f>
        <v>0</v>
      </c>
      <c r="AC157" s="537">
        <f>Cons!AC$144</f>
        <v>0</v>
      </c>
      <c r="AD157" s="537">
        <f>Cons!AD$144</f>
        <v>0</v>
      </c>
      <c r="AE157" s="537">
        <f>Cons!AE$144</f>
        <v>0</v>
      </c>
      <c r="AF157" s="537">
        <f>Cons!AF$144</f>
        <v>0</v>
      </c>
      <c r="AG157" s="537">
        <f>Cons!AG$144</f>
        <v>0</v>
      </c>
      <c r="AH157" s="537">
        <f>Cons!AH$144</f>
        <v>0</v>
      </c>
      <c r="AI157" s="537">
        <f>Cons!AI$144</f>
        <v>0</v>
      </c>
      <c r="AJ157" s="537">
        <f>Cons!AJ$144</f>
        <v>0</v>
      </c>
      <c r="AK157" s="537">
        <f>Cons!AK$144</f>
        <v>0</v>
      </c>
      <c r="AL157" s="537">
        <f>Cons!AL$144</f>
        <v>0</v>
      </c>
      <c r="AM157" s="537">
        <f>Cons!AM$144</f>
        <v>0</v>
      </c>
      <c r="AN157" s="537">
        <f>Cons!AN$144</f>
        <v>0</v>
      </c>
      <c r="AO157" s="537">
        <f>Cons!AO$144</f>
        <v>0</v>
      </c>
      <c r="AP157" s="537">
        <f>Cons!AP$144</f>
        <v>0</v>
      </c>
      <c r="AQ157" s="537">
        <f>Cons!AQ$144</f>
        <v>0</v>
      </c>
      <c r="AR157" s="537">
        <f>Cons!AR$144</f>
        <v>0</v>
      </c>
      <c r="AS157" s="537">
        <f>Cons!AS$144</f>
        <v>0</v>
      </c>
      <c r="AT157" s="537">
        <f>Cons!AT$144</f>
        <v>0</v>
      </c>
      <c r="AU157" s="537">
        <f>Cons!AU$144</f>
        <v>0</v>
      </c>
      <c r="AV157" s="537">
        <f>Cons!AV$144</f>
        <v>0</v>
      </c>
      <c r="AW157" s="537">
        <f>Cons!AW$144</f>
        <v>0</v>
      </c>
      <c r="AX157" s="537">
        <f>Cons!AX$144</f>
        <v>0</v>
      </c>
      <c r="AY157" s="537">
        <f>Cons!AY$144</f>
        <v>0</v>
      </c>
      <c r="AZ157" s="537">
        <f>Cons!AZ$144</f>
        <v>0</v>
      </c>
      <c r="BA157" s="537">
        <f>Cons!BA$144</f>
        <v>0</v>
      </c>
      <c r="BB157" s="537">
        <f>Cons!BB$144</f>
        <v>0</v>
      </c>
      <c r="BC157" s="537">
        <f>Cons!BC$144</f>
        <v>0</v>
      </c>
      <c r="BD157" s="537">
        <f>Cons!BD$144</f>
        <v>0</v>
      </c>
      <c r="BE157" s="537">
        <f>Cons!BE$144</f>
        <v>0</v>
      </c>
      <c r="BF157" s="537">
        <f>Cons!BF$144</f>
        <v>0</v>
      </c>
      <c r="BG157" s="537">
        <f>Cons!BG$144</f>
        <v>0</v>
      </c>
      <c r="BH157" s="537">
        <f>Cons!BH$144</f>
        <v>0</v>
      </c>
      <c r="BI157" s="537">
        <f>Cons!BI$144</f>
        <v>0</v>
      </c>
      <c r="BJ157" s="537">
        <f>Cons!BJ$144</f>
        <v>0</v>
      </c>
      <c r="BK157" s="537">
        <f>Cons!BK$144</f>
        <v>0</v>
      </c>
      <c r="BL157" s="537">
        <f>Cons!BL$144</f>
        <v>0</v>
      </c>
      <c r="BM157" s="537">
        <f>Cons!BM$144</f>
        <v>0</v>
      </c>
      <c r="BN157" s="537">
        <f>Cons!BN$144</f>
        <v>0</v>
      </c>
      <c r="BO157" s="537">
        <f>Cons!BO$144</f>
        <v>0</v>
      </c>
      <c r="BP157" s="537">
        <f>Cons!BP$144</f>
        <v>0</v>
      </c>
      <c r="BQ157" s="537">
        <f>Cons!BQ$144</f>
        <v>0</v>
      </c>
      <c r="BR157" s="537">
        <f>Cons!BR$144</f>
        <v>0</v>
      </c>
      <c r="BS157" s="537">
        <f>Cons!BS$144</f>
        <v>0</v>
      </c>
      <c r="BT157" s="537">
        <f>Cons!BT$144</f>
        <v>0</v>
      </c>
      <c r="BU157" s="537">
        <f>Cons!BU$144</f>
        <v>0</v>
      </c>
      <c r="BV157" s="537">
        <f>Cons!BV$144</f>
        <v>0</v>
      </c>
      <c r="BW157" s="537">
        <f>Cons!BW$144</f>
        <v>0</v>
      </c>
      <c r="BX157" s="537">
        <f>Cons!BX$144</f>
        <v>0</v>
      </c>
      <c r="BY157" s="537">
        <f>Cons!BY$144</f>
        <v>0</v>
      </c>
      <c r="BZ157" s="537">
        <f>Cons!BZ$144</f>
        <v>0</v>
      </c>
      <c r="CA157" s="537">
        <f>Cons!CA$144</f>
        <v>0</v>
      </c>
      <c r="CB157" s="537">
        <f>Cons!CB$144</f>
        <v>0</v>
      </c>
      <c r="CC157" s="537">
        <f>Cons!CC$144</f>
        <v>0</v>
      </c>
      <c r="CD157" s="537">
        <f>Cons!CD$144</f>
        <v>0</v>
      </c>
      <c r="CE157" s="537">
        <f>Cons!CE$144</f>
        <v>0</v>
      </c>
      <c r="CF157" s="537">
        <f>Cons!CF$144</f>
        <v>0</v>
      </c>
      <c r="CG157" s="537">
        <f>Cons!CG$144</f>
        <v>0</v>
      </c>
      <c r="CH157" s="537">
        <f>Cons!CH$144</f>
        <v>0</v>
      </c>
      <c r="CI157" s="537">
        <f>Cons!CI$144</f>
        <v>0</v>
      </c>
      <c r="CJ157" s="537">
        <f>Cons!CJ$144</f>
        <v>0</v>
      </c>
      <c r="CK157" s="537">
        <f>Cons!CK$144</f>
        <v>0</v>
      </c>
      <c r="CL157" s="537">
        <f>Cons!CL$144</f>
        <v>0</v>
      </c>
      <c r="CM157" s="537">
        <f>Cons!CM$144</f>
        <v>0</v>
      </c>
      <c r="CN157" s="537">
        <f>Cons!CN$144</f>
        <v>0</v>
      </c>
      <c r="CO157" s="537">
        <f>Cons!CO$144</f>
        <v>0</v>
      </c>
      <c r="CP157" s="537">
        <f>Cons!CP$144</f>
        <v>0</v>
      </c>
      <c r="CQ157" s="537">
        <f>Cons!CQ$144</f>
        <v>0</v>
      </c>
      <c r="CR157" s="537">
        <f>Cons!CR$144</f>
        <v>0</v>
      </c>
      <c r="CS157" s="537">
        <f>Cons!CS$144</f>
        <v>0</v>
      </c>
      <c r="CT157" s="537">
        <f>Cons!CT$144</f>
        <v>0</v>
      </c>
      <c r="CU157" s="537">
        <f>Cons!CU$144</f>
        <v>0</v>
      </c>
      <c r="CV157" s="537">
        <f>Cons!CV$144</f>
        <v>0</v>
      </c>
      <c r="CW157" s="537">
        <f>Cons!CW$144</f>
        <v>0</v>
      </c>
      <c r="CX157" s="537">
        <f>Cons!CX$144</f>
        <v>0</v>
      </c>
      <c r="CY157" s="537">
        <f>Cons!CY$144</f>
        <v>0</v>
      </c>
      <c r="CZ157" s="537">
        <f>Cons!CZ$144</f>
        <v>0</v>
      </c>
      <c r="DA157" s="537">
        <f>Cons!DA$144</f>
        <v>0</v>
      </c>
      <c r="DB157" s="537">
        <f>Cons!DB$144</f>
        <v>0</v>
      </c>
      <c r="DC157" s="537">
        <f>Cons!DC$144</f>
        <v>0</v>
      </c>
      <c r="DD157" s="537">
        <f>Cons!DD$144</f>
        <v>0</v>
      </c>
      <c r="DE157" s="537">
        <f>Cons!DE$144</f>
        <v>0</v>
      </c>
      <c r="DF157" s="537">
        <f>Cons!DF$144</f>
        <v>0</v>
      </c>
      <c r="DG157" s="537">
        <f>Cons!DG$144</f>
        <v>0</v>
      </c>
      <c r="DH157" s="537">
        <f>Cons!DH$144</f>
        <v>0</v>
      </c>
      <c r="DI157" s="537">
        <f>Cons!DI$144</f>
        <v>0</v>
      </c>
      <c r="DJ157" s="537">
        <f>Cons!DJ$144</f>
        <v>0</v>
      </c>
      <c r="DK157" s="537">
        <f>Cons!DK$144</f>
        <v>0</v>
      </c>
      <c r="DL157" s="537">
        <f>Cons!DL$144</f>
        <v>0</v>
      </c>
      <c r="DM157" s="537">
        <f>Cons!DM$144</f>
        <v>0</v>
      </c>
      <c r="DN157" s="537">
        <f>Cons!DN$144</f>
        <v>0</v>
      </c>
      <c r="DO157" s="537">
        <f>Cons!DO$144</f>
        <v>0</v>
      </c>
      <c r="DP157" s="537">
        <f>Cons!DP$144</f>
        <v>0</v>
      </c>
      <c r="DQ157" s="537">
        <f>Cons!DQ$144</f>
        <v>0</v>
      </c>
      <c r="DR157" s="537">
        <f>Cons!DR$144</f>
        <v>0</v>
      </c>
      <c r="DS157" s="537">
        <f>Cons!DS$144</f>
        <v>0</v>
      </c>
      <c r="DT157" s="537">
        <f>Cons!DT$144</f>
        <v>0</v>
      </c>
      <c r="DU157" s="537">
        <f>Cons!DU$144</f>
        <v>0</v>
      </c>
      <c r="DV157" s="537">
        <f>Cons!DV$144</f>
        <v>0</v>
      </c>
      <c r="DW157" s="537">
        <f>Cons!DW$144</f>
        <v>0</v>
      </c>
      <c r="DX157" s="537">
        <f>Cons!DX$144</f>
        <v>0</v>
      </c>
      <c r="DY157" s="537">
        <f>Cons!DY$144</f>
        <v>0</v>
      </c>
      <c r="DZ157" s="537">
        <f>Cons!DZ$144</f>
        <v>0</v>
      </c>
      <c r="EA157" s="537">
        <f>Cons!EA$144</f>
        <v>0</v>
      </c>
      <c r="EB157" s="537">
        <f>Cons!EB$144</f>
        <v>0</v>
      </c>
      <c r="EC157" s="537">
        <f>Cons!EC$144</f>
        <v>0</v>
      </c>
      <c r="ED157" s="537">
        <f>Cons!ED$144</f>
        <v>0</v>
      </c>
      <c r="EE157" s="537">
        <f>Cons!EE$144</f>
        <v>0</v>
      </c>
      <c r="EF157" s="537">
        <f>Cons!EF$144</f>
        <v>0</v>
      </c>
      <c r="EG157" s="537">
        <f>Cons!EG$144</f>
        <v>0</v>
      </c>
    </row>
    <row r="158" spans="5:7" ht="12.75">
      <c r="E158" s="538" t="s">
        <v>338</v>
      </c>
      <c r="F158" s="539">
        <f>SUM($J157:$EG157)</f>
        <v>25289.902618405918</v>
      </c>
      <c r="G158" s="539" t="s">
        <v>30</v>
      </c>
    </row>
    <row r="160" spans="5:7" ht="12.75">
      <c r="E160" s="538" t="str">
        <f>E$144</f>
        <v>Junior facility - number of repayment periods</v>
      </c>
      <c r="F160" s="539">
        <f>F$144</f>
        <v>48</v>
      </c>
      <c r="G160" s="539" t="str">
        <f>G$144</f>
        <v>counter</v>
      </c>
    </row>
    <row r="161" spans="5:7" ht="12.75">
      <c r="E161" s="538" t="str">
        <f>E$158</f>
        <v>Junior facility - balance at COD</v>
      </c>
      <c r="F161" s="539">
        <f>F$158</f>
        <v>25289.902618405918</v>
      </c>
      <c r="G161" s="539" t="str">
        <f>G$158</f>
        <v>EUR 000s</v>
      </c>
    </row>
    <row r="162" spans="5:137" ht="12.75">
      <c r="E162" s="538" t="str">
        <f>E$138</f>
        <v>Junior facility - repayment period flag</v>
      </c>
      <c r="G162" s="539" t="str">
        <f>G$138</f>
        <v>flag</v>
      </c>
      <c r="H162" s="539">
        <f>H$138</f>
        <v>48</v>
      </c>
      <c r="J162" s="539">
        <f t="shared" si="50" ref="J162:EG162">J$138</f>
        <v>0</v>
      </c>
      <c r="K162" s="539">
        <f t="shared" si="50"/>
        <v>0</v>
      </c>
      <c r="L162" s="539">
        <f t="shared" si="50"/>
        <v>0</v>
      </c>
      <c r="M162" s="539">
        <f t="shared" si="50"/>
        <v>0</v>
      </c>
      <c r="N162" s="539">
        <f t="shared" si="50"/>
        <v>0</v>
      </c>
      <c r="O162" s="539">
        <f t="shared" si="50"/>
        <v>0</v>
      </c>
      <c r="P162" s="539">
        <f t="shared" si="50"/>
        <v>0</v>
      </c>
      <c r="Q162" s="539">
        <f t="shared" si="50"/>
        <v>0</v>
      </c>
      <c r="R162" s="539">
        <f t="shared" si="50"/>
        <v>0</v>
      </c>
      <c r="S162" s="539">
        <f t="shared" si="50"/>
        <v>0</v>
      </c>
      <c r="T162" s="539">
        <f t="shared" si="50"/>
        <v>0</v>
      </c>
      <c r="U162" s="539">
        <f t="shared" si="50"/>
        <v>0</v>
      </c>
      <c r="V162" s="539">
        <f t="shared" si="50"/>
        <v>0</v>
      </c>
      <c r="W162" s="539">
        <f t="shared" si="50"/>
        <v>0</v>
      </c>
      <c r="X162" s="539">
        <f t="shared" si="50"/>
        <v>0</v>
      </c>
      <c r="Y162" s="539">
        <f t="shared" si="50"/>
        <v>0</v>
      </c>
      <c r="Z162" s="539">
        <f t="shared" si="50"/>
        <v>0</v>
      </c>
      <c r="AA162" s="539">
        <f t="shared" si="50"/>
        <v>0</v>
      </c>
      <c r="AB162" s="539">
        <f t="shared" si="50"/>
        <v>0</v>
      </c>
      <c r="AC162" s="539">
        <f t="shared" si="50"/>
        <v>0</v>
      </c>
      <c r="AD162" s="539">
        <f t="shared" si="50"/>
        <v>0</v>
      </c>
      <c r="AE162" s="539">
        <f t="shared" si="50"/>
        <v>0</v>
      </c>
      <c r="AF162" s="539">
        <f t="shared" si="50"/>
        <v>0</v>
      </c>
      <c r="AG162" s="539">
        <f t="shared" si="50"/>
        <v>0</v>
      </c>
      <c r="AH162" s="539">
        <f t="shared" si="50"/>
        <v>1</v>
      </c>
      <c r="AI162" s="539">
        <f t="shared" si="50"/>
        <v>1</v>
      </c>
      <c r="AJ162" s="539">
        <f t="shared" si="50"/>
        <v>1</v>
      </c>
      <c r="AK162" s="539">
        <f t="shared" si="50"/>
        <v>1</v>
      </c>
      <c r="AL162" s="539">
        <f t="shared" si="50"/>
        <v>1</v>
      </c>
      <c r="AM162" s="539">
        <f t="shared" si="50"/>
        <v>1</v>
      </c>
      <c r="AN162" s="539">
        <f t="shared" si="50"/>
        <v>1</v>
      </c>
      <c r="AO162" s="539">
        <f t="shared" si="50"/>
        <v>1</v>
      </c>
      <c r="AP162" s="539">
        <f t="shared" si="50"/>
        <v>1</v>
      </c>
      <c r="AQ162" s="539">
        <f t="shared" si="50"/>
        <v>1</v>
      </c>
      <c r="AR162" s="539">
        <f t="shared" si="50"/>
        <v>1</v>
      </c>
      <c r="AS162" s="539">
        <f t="shared" si="50"/>
        <v>1</v>
      </c>
      <c r="AT162" s="539">
        <f t="shared" si="50"/>
        <v>1</v>
      </c>
      <c r="AU162" s="539">
        <f t="shared" si="50"/>
        <v>1</v>
      </c>
      <c r="AV162" s="539">
        <f t="shared" si="50"/>
        <v>1</v>
      </c>
      <c r="AW162" s="539">
        <f t="shared" si="50"/>
        <v>1</v>
      </c>
      <c r="AX162" s="539">
        <f t="shared" si="50"/>
        <v>1</v>
      </c>
      <c r="AY162" s="539">
        <f t="shared" si="50"/>
        <v>1</v>
      </c>
      <c r="AZ162" s="539">
        <f t="shared" si="50"/>
        <v>1</v>
      </c>
      <c r="BA162" s="539">
        <f t="shared" si="50"/>
        <v>1</v>
      </c>
      <c r="BB162" s="539">
        <f t="shared" si="50"/>
        <v>1</v>
      </c>
      <c r="BC162" s="539">
        <f t="shared" si="50"/>
        <v>1</v>
      </c>
      <c r="BD162" s="539">
        <f t="shared" si="50"/>
        <v>1</v>
      </c>
      <c r="BE162" s="539">
        <f t="shared" si="50"/>
        <v>1</v>
      </c>
      <c r="BF162" s="539">
        <f t="shared" si="50"/>
        <v>1</v>
      </c>
      <c r="BG162" s="539">
        <f t="shared" si="50"/>
        <v>1</v>
      </c>
      <c r="BH162" s="539">
        <f t="shared" si="50"/>
        <v>1</v>
      </c>
      <c r="BI162" s="539">
        <f t="shared" si="50"/>
        <v>1</v>
      </c>
      <c r="BJ162" s="539">
        <f t="shared" si="50"/>
        <v>1</v>
      </c>
      <c r="BK162" s="539">
        <f t="shared" si="50"/>
        <v>1</v>
      </c>
      <c r="BL162" s="539">
        <f t="shared" si="50"/>
        <v>1</v>
      </c>
      <c r="BM162" s="539">
        <f t="shared" si="50"/>
        <v>1</v>
      </c>
      <c r="BN162" s="539">
        <f t="shared" si="50"/>
        <v>1</v>
      </c>
      <c r="BO162" s="539">
        <f t="shared" si="50"/>
        <v>1</v>
      </c>
      <c r="BP162" s="539">
        <f t="shared" si="50"/>
        <v>1</v>
      </c>
      <c r="BQ162" s="539">
        <f t="shared" si="50"/>
        <v>1</v>
      </c>
      <c r="BR162" s="539">
        <f t="shared" si="50"/>
        <v>1</v>
      </c>
      <c r="BS162" s="539">
        <f t="shared" si="50"/>
        <v>1</v>
      </c>
      <c r="BT162" s="539">
        <f t="shared" si="50"/>
        <v>1</v>
      </c>
      <c r="BU162" s="539">
        <f t="shared" si="50"/>
        <v>1</v>
      </c>
      <c r="BV162" s="539">
        <f t="shared" si="50"/>
        <v>1</v>
      </c>
      <c r="BW162" s="539">
        <f t="shared" si="50"/>
        <v>1</v>
      </c>
      <c r="BX162" s="539">
        <f t="shared" si="50"/>
        <v>1</v>
      </c>
      <c r="BY162" s="539">
        <f t="shared" si="50"/>
        <v>1</v>
      </c>
      <c r="BZ162" s="539">
        <f t="shared" si="50"/>
        <v>1</v>
      </c>
      <c r="CA162" s="539">
        <f t="shared" si="50"/>
        <v>1</v>
      </c>
      <c r="CB162" s="539">
        <f t="shared" si="50"/>
        <v>1</v>
      </c>
      <c r="CC162" s="539">
        <f t="shared" si="50"/>
        <v>1</v>
      </c>
      <c r="CD162" s="539">
        <f t="shared" si="50"/>
        <v>0</v>
      </c>
      <c r="CE162" s="539">
        <f t="shared" si="50"/>
        <v>0</v>
      </c>
      <c r="CF162" s="539">
        <f t="shared" si="50"/>
        <v>0</v>
      </c>
      <c r="CG162" s="539">
        <f t="shared" si="50"/>
        <v>0</v>
      </c>
      <c r="CH162" s="539">
        <f t="shared" si="50"/>
        <v>0</v>
      </c>
      <c r="CI162" s="539">
        <f t="shared" si="50"/>
        <v>0</v>
      </c>
      <c r="CJ162" s="539">
        <f t="shared" si="50"/>
        <v>0</v>
      </c>
      <c r="CK162" s="539">
        <f t="shared" si="50"/>
        <v>0</v>
      </c>
      <c r="CL162" s="539">
        <f t="shared" si="50"/>
        <v>0</v>
      </c>
      <c r="CM162" s="539">
        <f t="shared" si="50"/>
        <v>0</v>
      </c>
      <c r="CN162" s="539">
        <f t="shared" si="50"/>
        <v>0</v>
      </c>
      <c r="CO162" s="539">
        <f t="shared" si="50"/>
        <v>0</v>
      </c>
      <c r="CP162" s="539">
        <f t="shared" si="50"/>
        <v>0</v>
      </c>
      <c r="CQ162" s="539">
        <f t="shared" si="50"/>
        <v>0</v>
      </c>
      <c r="CR162" s="539">
        <f t="shared" si="50"/>
        <v>0</v>
      </c>
      <c r="CS162" s="539">
        <f t="shared" si="50"/>
        <v>0</v>
      </c>
      <c r="CT162" s="539">
        <f t="shared" si="50"/>
        <v>0</v>
      </c>
      <c r="CU162" s="539">
        <f t="shared" si="50"/>
        <v>0</v>
      </c>
      <c r="CV162" s="539">
        <f t="shared" si="50"/>
        <v>0</v>
      </c>
      <c r="CW162" s="539">
        <f t="shared" si="50"/>
        <v>0</v>
      </c>
      <c r="CX162" s="539">
        <f t="shared" si="50"/>
        <v>0</v>
      </c>
      <c r="CY162" s="539">
        <f t="shared" si="50"/>
        <v>0</v>
      </c>
      <c r="CZ162" s="539">
        <f t="shared" si="50"/>
        <v>0</v>
      </c>
      <c r="DA162" s="539">
        <f t="shared" si="50"/>
        <v>0</v>
      </c>
      <c r="DB162" s="539">
        <f t="shared" si="50"/>
        <v>0</v>
      </c>
      <c r="DC162" s="539">
        <f t="shared" si="50"/>
        <v>0</v>
      </c>
      <c r="DD162" s="539">
        <f t="shared" si="50"/>
        <v>0</v>
      </c>
      <c r="DE162" s="539">
        <f t="shared" si="50"/>
        <v>0</v>
      </c>
      <c r="DF162" s="539">
        <f t="shared" si="50"/>
        <v>0</v>
      </c>
      <c r="DG162" s="539">
        <f t="shared" si="50"/>
        <v>0</v>
      </c>
      <c r="DH162" s="539">
        <f t="shared" si="50"/>
        <v>0</v>
      </c>
      <c r="DI162" s="539">
        <f t="shared" si="50"/>
        <v>0</v>
      </c>
      <c r="DJ162" s="539">
        <f t="shared" si="50"/>
        <v>0</v>
      </c>
      <c r="DK162" s="539">
        <f t="shared" si="50"/>
        <v>0</v>
      </c>
      <c r="DL162" s="539">
        <f t="shared" si="50"/>
        <v>0</v>
      </c>
      <c r="DM162" s="539">
        <f t="shared" si="50"/>
        <v>0</v>
      </c>
      <c r="DN162" s="539">
        <f t="shared" si="50"/>
        <v>0</v>
      </c>
      <c r="DO162" s="539">
        <f t="shared" si="50"/>
        <v>0</v>
      </c>
      <c r="DP162" s="539">
        <f t="shared" si="50"/>
        <v>0</v>
      </c>
      <c r="DQ162" s="539">
        <f t="shared" si="50"/>
        <v>0</v>
      </c>
      <c r="DR162" s="539">
        <f t="shared" si="50"/>
        <v>0</v>
      </c>
      <c r="DS162" s="539">
        <f t="shared" si="50"/>
        <v>0</v>
      </c>
      <c r="DT162" s="539">
        <f t="shared" si="50"/>
        <v>0</v>
      </c>
      <c r="DU162" s="539">
        <f t="shared" si="50"/>
        <v>0</v>
      </c>
      <c r="DV162" s="539">
        <f t="shared" si="50"/>
        <v>0</v>
      </c>
      <c r="DW162" s="539">
        <f t="shared" si="50"/>
        <v>0</v>
      </c>
      <c r="DX162" s="539">
        <f t="shared" si="50"/>
        <v>0</v>
      </c>
      <c r="DY162" s="539">
        <f t="shared" si="50"/>
        <v>0</v>
      </c>
      <c r="DZ162" s="539">
        <f t="shared" si="50"/>
        <v>0</v>
      </c>
      <c r="EA162" s="539">
        <f t="shared" si="50"/>
        <v>0</v>
      </c>
      <c r="EB162" s="539">
        <f t="shared" si="50"/>
        <v>0</v>
      </c>
      <c r="EC162" s="539">
        <f t="shared" si="50"/>
        <v>0</v>
      </c>
      <c r="ED162" s="539">
        <f t="shared" si="50"/>
        <v>0</v>
      </c>
      <c r="EE162" s="539">
        <f t="shared" si="50"/>
        <v>0</v>
      </c>
      <c r="EF162" s="539">
        <f t="shared" si="50"/>
        <v>0</v>
      </c>
      <c r="EG162" s="539">
        <f t="shared" si="50"/>
        <v>0</v>
      </c>
    </row>
    <row r="163" spans="5:137" ht="12.75">
      <c r="E163" s="538" t="s">
        <v>339</v>
      </c>
      <c r="G163" s="539" t="s">
        <v>30</v>
      </c>
      <c r="H163" s="539">
        <f>SUM(J163:EG163)</f>
        <v>25289.902618405937</v>
      </c>
      <c r="J163" s="539">
        <f t="shared" si="51" ref="J163:EG163">IF($F160=0,0,$F161/$F160)*J162</f>
        <v>0</v>
      </c>
      <c r="K163" s="539">
        <f t="shared" si="51"/>
        <v>0</v>
      </c>
      <c r="L163" s="539">
        <f t="shared" si="51"/>
        <v>0</v>
      </c>
      <c r="M163" s="539">
        <f t="shared" si="51"/>
        <v>0</v>
      </c>
      <c r="N163" s="539">
        <f t="shared" si="51"/>
        <v>0</v>
      </c>
      <c r="O163" s="539">
        <f t="shared" si="51"/>
        <v>0</v>
      </c>
      <c r="P163" s="539">
        <f t="shared" si="51"/>
        <v>0</v>
      </c>
      <c r="Q163" s="539">
        <f t="shared" si="51"/>
        <v>0</v>
      </c>
      <c r="R163" s="539">
        <f t="shared" si="51"/>
        <v>0</v>
      </c>
      <c r="S163" s="539">
        <f t="shared" si="51"/>
        <v>0</v>
      </c>
      <c r="T163" s="539">
        <f t="shared" si="51"/>
        <v>0</v>
      </c>
      <c r="U163" s="539">
        <f t="shared" si="51"/>
        <v>0</v>
      </c>
      <c r="V163" s="539">
        <f t="shared" si="51"/>
        <v>0</v>
      </c>
      <c r="W163" s="539">
        <f t="shared" si="51"/>
        <v>0</v>
      </c>
      <c r="X163" s="539">
        <f t="shared" si="51"/>
        <v>0</v>
      </c>
      <c r="Y163" s="539">
        <f t="shared" si="51"/>
        <v>0</v>
      </c>
      <c r="Z163" s="539">
        <f t="shared" si="51"/>
        <v>0</v>
      </c>
      <c r="AA163" s="539">
        <f t="shared" si="51"/>
        <v>0</v>
      </c>
      <c r="AB163" s="539">
        <f t="shared" si="51"/>
        <v>0</v>
      </c>
      <c r="AC163" s="539">
        <f t="shared" si="51"/>
        <v>0</v>
      </c>
      <c r="AD163" s="539">
        <f t="shared" si="51"/>
        <v>0</v>
      </c>
      <c r="AE163" s="539">
        <f t="shared" si="51"/>
        <v>0</v>
      </c>
      <c r="AF163" s="539">
        <f t="shared" si="51"/>
        <v>0</v>
      </c>
      <c r="AG163" s="539">
        <f t="shared" si="51"/>
        <v>0</v>
      </c>
      <c r="AH163" s="539">
        <f t="shared" si="51"/>
        <v>526.87297121679001</v>
      </c>
      <c r="AI163" s="539">
        <f t="shared" si="51"/>
        <v>526.87297121679001</v>
      </c>
      <c r="AJ163" s="539">
        <f t="shared" si="51"/>
        <v>526.87297121679001</v>
      </c>
      <c r="AK163" s="539">
        <f t="shared" si="51"/>
        <v>526.87297121679001</v>
      </c>
      <c r="AL163" s="539">
        <f t="shared" si="51"/>
        <v>526.87297121679001</v>
      </c>
      <c r="AM163" s="539">
        <f t="shared" si="51"/>
        <v>526.87297121679001</v>
      </c>
      <c r="AN163" s="539">
        <f t="shared" si="51"/>
        <v>526.87297121679001</v>
      </c>
      <c r="AO163" s="539">
        <f t="shared" si="51"/>
        <v>526.87297121679001</v>
      </c>
      <c r="AP163" s="539">
        <f t="shared" si="51"/>
        <v>526.87297121679001</v>
      </c>
      <c r="AQ163" s="539">
        <f t="shared" si="51"/>
        <v>526.87297121679001</v>
      </c>
      <c r="AR163" s="539">
        <f t="shared" si="51"/>
        <v>526.87297121679001</v>
      </c>
      <c r="AS163" s="539">
        <f t="shared" si="51"/>
        <v>526.87297121679001</v>
      </c>
      <c r="AT163" s="539">
        <f t="shared" si="51"/>
        <v>526.87297121679001</v>
      </c>
      <c r="AU163" s="539">
        <f t="shared" si="51"/>
        <v>526.87297121679001</v>
      </c>
      <c r="AV163" s="539">
        <f t="shared" si="51"/>
        <v>526.87297121679001</v>
      </c>
      <c r="AW163" s="539">
        <f t="shared" si="51"/>
        <v>526.87297121679001</v>
      </c>
      <c r="AX163" s="539">
        <f t="shared" si="51"/>
        <v>526.87297121679001</v>
      </c>
      <c r="AY163" s="539">
        <f t="shared" si="51"/>
        <v>526.87297121679001</v>
      </c>
      <c r="AZ163" s="539">
        <f t="shared" si="51"/>
        <v>526.87297121679001</v>
      </c>
      <c r="BA163" s="539">
        <f t="shared" si="51"/>
        <v>526.87297121679001</v>
      </c>
      <c r="BB163" s="539">
        <f t="shared" si="51"/>
        <v>526.87297121679001</v>
      </c>
      <c r="BC163" s="539">
        <f t="shared" si="51"/>
        <v>526.87297121679001</v>
      </c>
      <c r="BD163" s="539">
        <f t="shared" si="51"/>
        <v>526.87297121679001</v>
      </c>
      <c r="BE163" s="539">
        <f t="shared" si="51"/>
        <v>526.87297121679001</v>
      </c>
      <c r="BF163" s="539">
        <f t="shared" si="51"/>
        <v>526.87297121679001</v>
      </c>
      <c r="BG163" s="539">
        <f t="shared" si="51"/>
        <v>526.87297121679001</v>
      </c>
      <c r="BH163" s="539">
        <f t="shared" si="51"/>
        <v>526.87297121679001</v>
      </c>
      <c r="BI163" s="539">
        <f t="shared" si="51"/>
        <v>526.87297121679001</v>
      </c>
      <c r="BJ163" s="539">
        <f t="shared" si="51"/>
        <v>526.87297121679001</v>
      </c>
      <c r="BK163" s="539">
        <f t="shared" si="51"/>
        <v>526.87297121679001</v>
      </c>
      <c r="BL163" s="539">
        <f t="shared" si="51"/>
        <v>526.87297121679001</v>
      </c>
      <c r="BM163" s="539">
        <f t="shared" si="51"/>
        <v>526.87297121679001</v>
      </c>
      <c r="BN163" s="539">
        <f t="shared" si="51"/>
        <v>526.87297121679001</v>
      </c>
      <c r="BO163" s="539">
        <f t="shared" si="51"/>
        <v>526.87297121679001</v>
      </c>
      <c r="BP163" s="539">
        <f t="shared" si="51"/>
        <v>526.87297121679001</v>
      </c>
      <c r="BQ163" s="539">
        <f t="shared" si="51"/>
        <v>526.87297121679001</v>
      </c>
      <c r="BR163" s="539">
        <f t="shared" si="51"/>
        <v>526.87297121679001</v>
      </c>
      <c r="BS163" s="539">
        <f t="shared" si="51"/>
        <v>526.87297121679001</v>
      </c>
      <c r="BT163" s="539">
        <f t="shared" si="51"/>
        <v>526.87297121679001</v>
      </c>
      <c r="BU163" s="539">
        <f t="shared" si="51"/>
        <v>526.87297121679001</v>
      </c>
      <c r="BV163" s="539">
        <f t="shared" si="51"/>
        <v>526.87297121679001</v>
      </c>
      <c r="BW163" s="539">
        <f t="shared" si="51"/>
        <v>526.87297121679001</v>
      </c>
      <c r="BX163" s="539">
        <f t="shared" si="51"/>
        <v>526.87297121679001</v>
      </c>
      <c r="BY163" s="539">
        <f t="shared" si="51"/>
        <v>526.87297121679001</v>
      </c>
      <c r="BZ163" s="539">
        <f t="shared" si="51"/>
        <v>526.87297121679001</v>
      </c>
      <c r="CA163" s="539">
        <f t="shared" si="51"/>
        <v>526.87297121679001</v>
      </c>
      <c r="CB163" s="539">
        <f t="shared" si="51"/>
        <v>526.87297121679001</v>
      </c>
      <c r="CC163" s="539">
        <f t="shared" si="51"/>
        <v>526.87297121679001</v>
      </c>
      <c r="CD163" s="539">
        <f t="shared" si="51"/>
        <v>0</v>
      </c>
      <c r="CE163" s="539">
        <f t="shared" si="51"/>
        <v>0</v>
      </c>
      <c r="CF163" s="539">
        <f t="shared" si="51"/>
        <v>0</v>
      </c>
      <c r="CG163" s="539">
        <f t="shared" si="51"/>
        <v>0</v>
      </c>
      <c r="CH163" s="539">
        <f t="shared" si="51"/>
        <v>0</v>
      </c>
      <c r="CI163" s="539">
        <f t="shared" si="51"/>
        <v>0</v>
      </c>
      <c r="CJ163" s="539">
        <f t="shared" si="51"/>
        <v>0</v>
      </c>
      <c r="CK163" s="539">
        <f t="shared" si="51"/>
        <v>0</v>
      </c>
      <c r="CL163" s="539">
        <f t="shared" si="51"/>
        <v>0</v>
      </c>
      <c r="CM163" s="539">
        <f t="shared" si="51"/>
        <v>0</v>
      </c>
      <c r="CN163" s="539">
        <f t="shared" si="51"/>
        <v>0</v>
      </c>
      <c r="CO163" s="539">
        <f t="shared" si="51"/>
        <v>0</v>
      </c>
      <c r="CP163" s="539">
        <f t="shared" si="51"/>
        <v>0</v>
      </c>
      <c r="CQ163" s="539">
        <f t="shared" si="51"/>
        <v>0</v>
      </c>
      <c r="CR163" s="539">
        <f t="shared" si="51"/>
        <v>0</v>
      </c>
      <c r="CS163" s="539">
        <f t="shared" si="51"/>
        <v>0</v>
      </c>
      <c r="CT163" s="539">
        <f t="shared" si="51"/>
        <v>0</v>
      </c>
      <c r="CU163" s="539">
        <f t="shared" si="51"/>
        <v>0</v>
      </c>
      <c r="CV163" s="539">
        <f t="shared" si="51"/>
        <v>0</v>
      </c>
      <c r="CW163" s="539">
        <f t="shared" si="51"/>
        <v>0</v>
      </c>
      <c r="CX163" s="539">
        <f t="shared" si="51"/>
        <v>0</v>
      </c>
      <c r="CY163" s="539">
        <f t="shared" si="51"/>
        <v>0</v>
      </c>
      <c r="CZ163" s="539">
        <f t="shared" si="51"/>
        <v>0</v>
      </c>
      <c r="DA163" s="539">
        <f t="shared" si="51"/>
        <v>0</v>
      </c>
      <c r="DB163" s="539">
        <f t="shared" si="51"/>
        <v>0</v>
      </c>
      <c r="DC163" s="539">
        <f t="shared" si="51"/>
        <v>0</v>
      </c>
      <c r="DD163" s="539">
        <f t="shared" si="51"/>
        <v>0</v>
      </c>
      <c r="DE163" s="539">
        <f t="shared" si="51"/>
        <v>0</v>
      </c>
      <c r="DF163" s="539">
        <f t="shared" si="51"/>
        <v>0</v>
      </c>
      <c r="DG163" s="539">
        <f t="shared" si="51"/>
        <v>0</v>
      </c>
      <c r="DH163" s="539">
        <f t="shared" si="51"/>
        <v>0</v>
      </c>
      <c r="DI163" s="539">
        <f t="shared" si="51"/>
        <v>0</v>
      </c>
      <c r="DJ163" s="539">
        <f t="shared" si="51"/>
        <v>0</v>
      </c>
      <c r="DK163" s="539">
        <f t="shared" si="51"/>
        <v>0</v>
      </c>
      <c r="DL163" s="539">
        <f t="shared" si="51"/>
        <v>0</v>
      </c>
      <c r="DM163" s="539">
        <f t="shared" si="51"/>
        <v>0</v>
      </c>
      <c r="DN163" s="539">
        <f t="shared" si="51"/>
        <v>0</v>
      </c>
      <c r="DO163" s="539">
        <f t="shared" si="51"/>
        <v>0</v>
      </c>
      <c r="DP163" s="539">
        <f t="shared" si="51"/>
        <v>0</v>
      </c>
      <c r="DQ163" s="539">
        <f t="shared" si="51"/>
        <v>0</v>
      </c>
      <c r="DR163" s="539">
        <f t="shared" si="51"/>
        <v>0</v>
      </c>
      <c r="DS163" s="539">
        <f t="shared" si="51"/>
        <v>0</v>
      </c>
      <c r="DT163" s="539">
        <f t="shared" si="51"/>
        <v>0</v>
      </c>
      <c r="DU163" s="539">
        <f t="shared" si="51"/>
        <v>0</v>
      </c>
      <c r="DV163" s="539">
        <f t="shared" si="51"/>
        <v>0</v>
      </c>
      <c r="DW163" s="539">
        <f t="shared" si="51"/>
        <v>0</v>
      </c>
      <c r="DX163" s="539">
        <f t="shared" si="51"/>
        <v>0</v>
      </c>
      <c r="DY163" s="539">
        <f t="shared" si="51"/>
        <v>0</v>
      </c>
      <c r="DZ163" s="539">
        <f t="shared" si="51"/>
        <v>0</v>
      </c>
      <c r="EA163" s="539">
        <f t="shared" si="51"/>
        <v>0</v>
      </c>
      <c r="EB163" s="539">
        <f t="shared" si="51"/>
        <v>0</v>
      </c>
      <c r="EC163" s="539">
        <f t="shared" si="51"/>
        <v>0</v>
      </c>
      <c r="ED163" s="539">
        <f t="shared" si="51"/>
        <v>0</v>
      </c>
      <c r="EE163" s="539">
        <f t="shared" si="51"/>
        <v>0</v>
      </c>
      <c r="EF163" s="539">
        <f t="shared" si="51"/>
        <v>0</v>
      </c>
      <c r="EG163" s="539">
        <f t="shared" si="51"/>
        <v>0</v>
      </c>
    </row>
    <row r="166" spans="1:1" ht="12.75">
      <c r="A166" s="534" t="s">
        <v>340</v>
      </c>
    </row>
    <row r="168" spans="2:2" ht="12.75">
      <c r="B168" s="534" t="s">
        <v>341</v>
      </c>
    </row>
    <row r="169" spans="5:137" ht="12.75">
      <c r="E169" s="538" t="str">
        <f>E$222</f>
        <v>Junior facility - closing balance</v>
      </c>
      <c r="G169" s="539" t="str">
        <f>G$222</f>
        <v>EUR 000s</v>
      </c>
      <c r="H169" s="539">
        <f>H$222</f>
        <v>1008475.4152814726</v>
      </c>
      <c r="J169" s="539">
        <f t="shared" si="52" ref="J169:EG169">J$222</f>
        <v>0</v>
      </c>
      <c r="K169" s="539">
        <f t="shared" si="52"/>
        <v>0</v>
      </c>
      <c r="L169" s="539">
        <f t="shared" si="52"/>
        <v>0</v>
      </c>
      <c r="M169" s="539">
        <f t="shared" si="52"/>
        <v>0</v>
      </c>
      <c r="N169" s="539">
        <f t="shared" si="52"/>
        <v>0</v>
      </c>
      <c r="O169" s="539">
        <f t="shared" si="52"/>
        <v>0</v>
      </c>
      <c r="P169" s="539">
        <f t="shared" si="52"/>
        <v>0</v>
      </c>
      <c r="Q169" s="539">
        <f t="shared" si="52"/>
        <v>9524.2618544395227</v>
      </c>
      <c r="R169" s="539">
        <f t="shared" si="52"/>
        <v>25289.902618405918</v>
      </c>
      <c r="S169" s="539">
        <f t="shared" si="52"/>
        <v>25289.902618405918</v>
      </c>
      <c r="T169" s="539">
        <f t="shared" si="52"/>
        <v>25289.902618405918</v>
      </c>
      <c r="U169" s="539">
        <f t="shared" si="52"/>
        <v>25289.902618405918</v>
      </c>
      <c r="V169" s="539">
        <f t="shared" si="52"/>
        <v>25289.902618405918</v>
      </c>
      <c r="W169" s="539">
        <f t="shared" si="52"/>
        <v>25289.902618405918</v>
      </c>
      <c r="X169" s="539">
        <f t="shared" si="52"/>
        <v>25289.902618405918</v>
      </c>
      <c r="Y169" s="539">
        <f t="shared" si="52"/>
        <v>25289.902618405918</v>
      </c>
      <c r="Z169" s="539">
        <f t="shared" si="52"/>
        <v>25289.902618405918</v>
      </c>
      <c r="AA169" s="539">
        <f t="shared" si="52"/>
        <v>25289.902618405918</v>
      </c>
      <c r="AB169" s="539">
        <f t="shared" si="52"/>
        <v>25289.902618405918</v>
      </c>
      <c r="AC169" s="539">
        <f t="shared" si="52"/>
        <v>25289.902618405918</v>
      </c>
      <c r="AD169" s="539">
        <f t="shared" si="52"/>
        <v>25289.902618405918</v>
      </c>
      <c r="AE169" s="539">
        <f t="shared" si="52"/>
        <v>25289.902618405918</v>
      </c>
      <c r="AF169" s="539">
        <f t="shared" si="52"/>
        <v>25289.902618405918</v>
      </c>
      <c r="AG169" s="539">
        <f t="shared" si="52"/>
        <v>25289.902618405918</v>
      </c>
      <c r="AH169" s="539">
        <f t="shared" si="52"/>
        <v>24763.029647189127</v>
      </c>
      <c r="AI169" s="539">
        <f t="shared" si="52"/>
        <v>24236.156675972336</v>
      </c>
      <c r="AJ169" s="539">
        <f t="shared" si="52"/>
        <v>23709.283704755544</v>
      </c>
      <c r="AK169" s="539">
        <f t="shared" si="52"/>
        <v>23182.410733538753</v>
      </c>
      <c r="AL169" s="539">
        <f t="shared" si="52"/>
        <v>22655.537762321961</v>
      </c>
      <c r="AM169" s="539">
        <f t="shared" si="52"/>
        <v>22128.66479110517</v>
      </c>
      <c r="AN169" s="539">
        <f t="shared" si="52"/>
        <v>21601.791819888378</v>
      </c>
      <c r="AO169" s="539">
        <f t="shared" si="52"/>
        <v>21074.918848671587</v>
      </c>
      <c r="AP169" s="539">
        <f t="shared" si="52"/>
        <v>20548.045877454795</v>
      </c>
      <c r="AQ169" s="539">
        <f t="shared" si="52"/>
        <v>20021.172906238004</v>
      </c>
      <c r="AR169" s="539">
        <f t="shared" si="52"/>
        <v>19494.299935021212</v>
      </c>
      <c r="AS169" s="539">
        <f t="shared" si="52"/>
        <v>18967.426963804421</v>
      </c>
      <c r="AT169" s="539">
        <f t="shared" si="52"/>
        <v>18440.553992587629</v>
      </c>
      <c r="AU169" s="539">
        <f t="shared" si="52"/>
        <v>17913.681021370838</v>
      </c>
      <c r="AV169" s="539">
        <f t="shared" si="52"/>
        <v>17386.808050154046</v>
      </c>
      <c r="AW169" s="539">
        <f t="shared" si="52"/>
        <v>16859.935078937255</v>
      </c>
      <c r="AX169" s="539">
        <f t="shared" si="52"/>
        <v>16333.062107720465</v>
      </c>
      <c r="AY169" s="539">
        <f t="shared" si="52"/>
        <v>15806.189136503675</v>
      </c>
      <c r="AZ169" s="539">
        <f t="shared" si="52"/>
        <v>15279.316165286886</v>
      </c>
      <c r="BA169" s="539">
        <f t="shared" si="52"/>
        <v>14752.443194070096</v>
      </c>
      <c r="BB169" s="539">
        <f t="shared" si="52"/>
        <v>14225.570222853306</v>
      </c>
      <c r="BC169" s="539">
        <f t="shared" si="52"/>
        <v>13698.697251636517</v>
      </c>
      <c r="BD169" s="539">
        <f t="shared" si="52"/>
        <v>13171.824280419727</v>
      </c>
      <c r="BE169" s="539">
        <f t="shared" si="52"/>
        <v>12644.951309202937</v>
      </c>
      <c r="BF169" s="539">
        <f t="shared" si="52"/>
        <v>12118.078337986148</v>
      </c>
      <c r="BG169" s="539">
        <f t="shared" si="52"/>
        <v>11591.205366769358</v>
      </c>
      <c r="BH169" s="539">
        <f t="shared" si="52"/>
        <v>11064.332395552568</v>
      </c>
      <c r="BI169" s="539">
        <f t="shared" si="52"/>
        <v>10537.459424335779</v>
      </c>
      <c r="BJ169" s="539">
        <f t="shared" si="52"/>
        <v>10010.586453118989</v>
      </c>
      <c r="BK169" s="539">
        <f t="shared" si="52"/>
        <v>9483.7134819021994</v>
      </c>
      <c r="BL169" s="539">
        <f t="shared" si="52"/>
        <v>8956.8405106854098</v>
      </c>
      <c r="BM169" s="539">
        <f t="shared" si="52"/>
        <v>8429.9675394686201</v>
      </c>
      <c r="BN169" s="539">
        <f t="shared" si="52"/>
        <v>7903.0945682518304</v>
      </c>
      <c r="BO169" s="539">
        <f t="shared" si="52"/>
        <v>7376.2215970350408</v>
      </c>
      <c r="BP169" s="539">
        <f t="shared" si="52"/>
        <v>6849.3486258182511</v>
      </c>
      <c r="BQ169" s="539">
        <f t="shared" si="52"/>
        <v>6322.4756546014614</v>
      </c>
      <c r="BR169" s="539">
        <f t="shared" si="52"/>
        <v>5795.6026833846718</v>
      </c>
      <c r="BS169" s="539">
        <f t="shared" si="52"/>
        <v>5268.7297121678821</v>
      </c>
      <c r="BT169" s="539">
        <f t="shared" si="52"/>
        <v>4741.8567409510924</v>
      </c>
      <c r="BU169" s="539">
        <f t="shared" si="52"/>
        <v>4214.9837697343028</v>
      </c>
      <c r="BV169" s="539">
        <f t="shared" si="52"/>
        <v>3688.1107985175126</v>
      </c>
      <c r="BW169" s="539">
        <f t="shared" si="52"/>
        <v>3161.2378273007225</v>
      </c>
      <c r="BX169" s="539">
        <f t="shared" si="52"/>
        <v>2634.3648560839324</v>
      </c>
      <c r="BY169" s="539">
        <f t="shared" si="52"/>
        <v>2107.4918848671423</v>
      </c>
      <c r="BZ169" s="539">
        <f t="shared" si="52"/>
        <v>1580.6189136503522</v>
      </c>
      <c r="CA169" s="539">
        <f t="shared" si="52"/>
        <v>1053.745942433562</v>
      </c>
      <c r="CB169" s="539">
        <f t="shared" si="52"/>
        <v>526.87297121677204</v>
      </c>
      <c r="CC169" s="539">
        <f t="shared" si="52"/>
        <v>-1.7962520360015333E-11</v>
      </c>
      <c r="CD169" s="539">
        <f t="shared" si="52"/>
        <v>-1.7962520360015333E-11</v>
      </c>
      <c r="CE169" s="539">
        <f t="shared" si="52"/>
        <v>-1.7962520360015333E-11</v>
      </c>
      <c r="CF169" s="539">
        <f t="shared" si="52"/>
        <v>-1.7962520360015333E-11</v>
      </c>
      <c r="CG169" s="539">
        <f t="shared" si="52"/>
        <v>-1.7962520360015333E-11</v>
      </c>
      <c r="CH169" s="539">
        <f t="shared" si="52"/>
        <v>-1.7962520360015333E-11</v>
      </c>
      <c r="CI169" s="539">
        <f t="shared" si="52"/>
        <v>-1.7962520360015333E-11</v>
      </c>
      <c r="CJ169" s="539">
        <f t="shared" si="52"/>
        <v>-1.7962520360015333E-11</v>
      </c>
      <c r="CK169" s="539">
        <f t="shared" si="52"/>
        <v>-1.7962520360015333E-11</v>
      </c>
      <c r="CL169" s="539">
        <f t="shared" si="52"/>
        <v>-1.7962520360015333E-11</v>
      </c>
      <c r="CM169" s="539">
        <f t="shared" si="52"/>
        <v>-1.7962520360015333E-11</v>
      </c>
      <c r="CN169" s="539">
        <f t="shared" si="52"/>
        <v>-1.7962520360015333E-11</v>
      </c>
      <c r="CO169" s="539">
        <f t="shared" si="52"/>
        <v>-1.7962520360015333E-11</v>
      </c>
      <c r="CP169" s="539">
        <f t="shared" si="52"/>
        <v>-1.7962520360015333E-11</v>
      </c>
      <c r="CQ169" s="539">
        <f t="shared" si="52"/>
        <v>-1.7962520360015333E-11</v>
      </c>
      <c r="CR169" s="539">
        <f t="shared" si="52"/>
        <v>-1.7962520360015333E-11</v>
      </c>
      <c r="CS169" s="539">
        <f t="shared" si="52"/>
        <v>-1.7962520360015333E-11</v>
      </c>
      <c r="CT169" s="539">
        <f t="shared" si="52"/>
        <v>-1.7962520360015333E-11</v>
      </c>
      <c r="CU169" s="539">
        <f t="shared" si="52"/>
        <v>-1.7962520360015333E-11</v>
      </c>
      <c r="CV169" s="539">
        <f t="shared" si="52"/>
        <v>-1.7962520360015333E-11</v>
      </c>
      <c r="CW169" s="539">
        <f t="shared" si="52"/>
        <v>-1.7962520360015333E-11</v>
      </c>
      <c r="CX169" s="539">
        <f t="shared" si="52"/>
        <v>-1.7962520360015333E-11</v>
      </c>
      <c r="CY169" s="539">
        <f t="shared" si="52"/>
        <v>-1.7962520360015333E-11</v>
      </c>
      <c r="CZ169" s="539">
        <f t="shared" si="52"/>
        <v>-1.7962520360015333E-11</v>
      </c>
      <c r="DA169" s="539">
        <f t="shared" si="52"/>
        <v>-1.7962520360015333E-11</v>
      </c>
      <c r="DB169" s="539">
        <f t="shared" si="52"/>
        <v>-1.7962520360015333E-11</v>
      </c>
      <c r="DC169" s="539">
        <f t="shared" si="52"/>
        <v>-1.7962520360015333E-11</v>
      </c>
      <c r="DD169" s="539">
        <f t="shared" si="52"/>
        <v>-1.7962520360015333E-11</v>
      </c>
      <c r="DE169" s="539">
        <f t="shared" si="52"/>
        <v>-1.7962520360015333E-11</v>
      </c>
      <c r="DF169" s="539">
        <f t="shared" si="52"/>
        <v>-1.7962520360015333E-11</v>
      </c>
      <c r="DG169" s="539">
        <f t="shared" si="52"/>
        <v>-1.7962520360015333E-11</v>
      </c>
      <c r="DH169" s="539">
        <f t="shared" si="52"/>
        <v>-1.7962520360015333E-11</v>
      </c>
      <c r="DI169" s="539">
        <f t="shared" si="52"/>
        <v>-1.7962520360015333E-11</v>
      </c>
      <c r="DJ169" s="539">
        <f t="shared" si="52"/>
        <v>-1.7962520360015333E-11</v>
      </c>
      <c r="DK169" s="539">
        <f t="shared" si="52"/>
        <v>-1.7962520360015333E-11</v>
      </c>
      <c r="DL169" s="539">
        <f t="shared" si="52"/>
        <v>-1.7962520360015333E-11</v>
      </c>
      <c r="DM169" s="539">
        <f t="shared" si="52"/>
        <v>-1.7962520360015333E-11</v>
      </c>
      <c r="DN169" s="539">
        <f t="shared" si="52"/>
        <v>-1.7962520360015333E-11</v>
      </c>
      <c r="DO169" s="539">
        <f t="shared" si="52"/>
        <v>-1.7962520360015333E-11</v>
      </c>
      <c r="DP169" s="539">
        <f t="shared" si="52"/>
        <v>-1.7962520360015333E-11</v>
      </c>
      <c r="DQ169" s="539">
        <f t="shared" si="52"/>
        <v>-1.7962520360015333E-11</v>
      </c>
      <c r="DR169" s="539">
        <f t="shared" si="52"/>
        <v>-1.7962520360015333E-11</v>
      </c>
      <c r="DS169" s="539">
        <f t="shared" si="52"/>
        <v>-1.7962520360015333E-11</v>
      </c>
      <c r="DT169" s="539">
        <f t="shared" si="52"/>
        <v>-1.7962520360015333E-11</v>
      </c>
      <c r="DU169" s="539">
        <f t="shared" si="52"/>
        <v>-1.7962520360015333E-11</v>
      </c>
      <c r="DV169" s="539">
        <f t="shared" si="52"/>
        <v>-1.7962520360015333E-11</v>
      </c>
      <c r="DW169" s="539">
        <f t="shared" si="52"/>
        <v>-1.7962520360015333E-11</v>
      </c>
      <c r="DX169" s="539">
        <f t="shared" si="52"/>
        <v>-1.7962520360015333E-11</v>
      </c>
      <c r="DY169" s="539">
        <f t="shared" si="52"/>
        <v>-1.7962520360015333E-11</v>
      </c>
      <c r="DZ169" s="539">
        <f t="shared" si="52"/>
        <v>-1.7962520360015333E-11</v>
      </c>
      <c r="EA169" s="539">
        <f t="shared" si="52"/>
        <v>-1.7962520360015333E-11</v>
      </c>
      <c r="EB169" s="539">
        <f t="shared" si="52"/>
        <v>-1.7962520360015333E-11</v>
      </c>
      <c r="EC169" s="539">
        <f t="shared" si="52"/>
        <v>-1.7962520360015333E-11</v>
      </c>
      <c r="ED169" s="539">
        <f t="shared" si="52"/>
        <v>-1.7962520360015333E-11</v>
      </c>
      <c r="EE169" s="539">
        <f t="shared" si="52"/>
        <v>-1.7962520360015333E-11</v>
      </c>
      <c r="EF169" s="539">
        <f t="shared" si="52"/>
        <v>-1.7962520360015333E-11</v>
      </c>
      <c r="EG169" s="539">
        <f t="shared" si="52"/>
        <v>-1.7962520360015333E-11</v>
      </c>
    </row>
    <row r="170" spans="5:137" ht="12.75">
      <c r="E170" s="538" t="str">
        <f>E$204</f>
        <v>Junior facility - closing interest arrears</v>
      </c>
      <c r="G170" s="539" t="str">
        <f>G$204</f>
        <v>EUR 000s</v>
      </c>
      <c r="H170" s="539">
        <f>H$204</f>
        <v>0</v>
      </c>
      <c r="J170" s="539">
        <f t="shared" si="53" ref="J170:EG170">J$204</f>
        <v>0</v>
      </c>
      <c r="K170" s="539">
        <f t="shared" si="53"/>
        <v>0</v>
      </c>
      <c r="L170" s="539">
        <f t="shared" si="53"/>
        <v>0</v>
      </c>
      <c r="M170" s="539">
        <f t="shared" si="53"/>
        <v>0</v>
      </c>
      <c r="N170" s="539">
        <f t="shared" si="53"/>
        <v>0</v>
      </c>
      <c r="O170" s="539">
        <f t="shared" si="53"/>
        <v>0</v>
      </c>
      <c r="P170" s="539">
        <f t="shared" si="53"/>
        <v>0</v>
      </c>
      <c r="Q170" s="539">
        <f t="shared" si="53"/>
        <v>0</v>
      </c>
      <c r="R170" s="539">
        <f t="shared" si="53"/>
        <v>0</v>
      </c>
      <c r="S170" s="539">
        <f t="shared" si="53"/>
        <v>0</v>
      </c>
      <c r="T170" s="539">
        <f t="shared" si="53"/>
        <v>0</v>
      </c>
      <c r="U170" s="539">
        <f t="shared" si="53"/>
        <v>0</v>
      </c>
      <c r="V170" s="539">
        <f t="shared" si="53"/>
        <v>0</v>
      </c>
      <c r="W170" s="539">
        <f t="shared" si="53"/>
        <v>0</v>
      </c>
      <c r="X170" s="539">
        <f t="shared" si="53"/>
        <v>0</v>
      </c>
      <c r="Y170" s="539">
        <f t="shared" si="53"/>
        <v>0</v>
      </c>
      <c r="Z170" s="539">
        <f t="shared" si="53"/>
        <v>0</v>
      </c>
      <c r="AA170" s="539">
        <f t="shared" si="53"/>
        <v>0</v>
      </c>
      <c r="AB170" s="539">
        <f t="shared" si="53"/>
        <v>0</v>
      </c>
      <c r="AC170" s="539">
        <f t="shared" si="53"/>
        <v>0</v>
      </c>
      <c r="AD170" s="539">
        <f t="shared" si="53"/>
        <v>0</v>
      </c>
      <c r="AE170" s="539">
        <f t="shared" si="53"/>
        <v>0</v>
      </c>
      <c r="AF170" s="539">
        <f t="shared" si="53"/>
        <v>0</v>
      </c>
      <c r="AG170" s="539">
        <f t="shared" si="53"/>
        <v>0</v>
      </c>
      <c r="AH170" s="539">
        <f t="shared" si="53"/>
        <v>0</v>
      </c>
      <c r="AI170" s="539">
        <f t="shared" si="53"/>
        <v>0</v>
      </c>
      <c r="AJ170" s="539">
        <f t="shared" si="53"/>
        <v>0</v>
      </c>
      <c r="AK170" s="539">
        <f t="shared" si="53"/>
        <v>0</v>
      </c>
      <c r="AL170" s="539">
        <f t="shared" si="53"/>
        <v>0</v>
      </c>
      <c r="AM170" s="539">
        <f t="shared" si="53"/>
        <v>0</v>
      </c>
      <c r="AN170" s="539">
        <f t="shared" si="53"/>
        <v>0</v>
      </c>
      <c r="AO170" s="539">
        <f t="shared" si="53"/>
        <v>0</v>
      </c>
      <c r="AP170" s="539">
        <f t="shared" si="53"/>
        <v>0</v>
      </c>
      <c r="AQ170" s="539">
        <f t="shared" si="53"/>
        <v>0</v>
      </c>
      <c r="AR170" s="539">
        <f t="shared" si="53"/>
        <v>0</v>
      </c>
      <c r="AS170" s="539">
        <f t="shared" si="53"/>
        <v>0</v>
      </c>
      <c r="AT170" s="539">
        <f t="shared" si="53"/>
        <v>0</v>
      </c>
      <c r="AU170" s="539">
        <f t="shared" si="53"/>
        <v>0</v>
      </c>
      <c r="AV170" s="539">
        <f t="shared" si="53"/>
        <v>0</v>
      </c>
      <c r="AW170" s="539">
        <f t="shared" si="53"/>
        <v>0</v>
      </c>
      <c r="AX170" s="539">
        <f t="shared" si="53"/>
        <v>0</v>
      </c>
      <c r="AY170" s="539">
        <f t="shared" si="53"/>
        <v>0</v>
      </c>
      <c r="AZ170" s="539">
        <f t="shared" si="53"/>
        <v>0</v>
      </c>
      <c r="BA170" s="539">
        <f t="shared" si="53"/>
        <v>0</v>
      </c>
      <c r="BB170" s="539">
        <f t="shared" si="53"/>
        <v>0</v>
      </c>
      <c r="BC170" s="539">
        <f t="shared" si="53"/>
        <v>0</v>
      </c>
      <c r="BD170" s="539">
        <f t="shared" si="53"/>
        <v>0</v>
      </c>
      <c r="BE170" s="539">
        <f t="shared" si="53"/>
        <v>0</v>
      </c>
      <c r="BF170" s="539">
        <f t="shared" si="53"/>
        <v>0</v>
      </c>
      <c r="BG170" s="539">
        <f t="shared" si="53"/>
        <v>0</v>
      </c>
      <c r="BH170" s="539">
        <f t="shared" si="53"/>
        <v>0</v>
      </c>
      <c r="BI170" s="539">
        <f t="shared" si="53"/>
        <v>0</v>
      </c>
      <c r="BJ170" s="539">
        <f t="shared" si="53"/>
        <v>0</v>
      </c>
      <c r="BK170" s="539">
        <f t="shared" si="53"/>
        <v>0</v>
      </c>
      <c r="BL170" s="539">
        <f t="shared" si="53"/>
        <v>0</v>
      </c>
      <c r="BM170" s="539">
        <f t="shared" si="53"/>
        <v>0</v>
      </c>
      <c r="BN170" s="539">
        <f t="shared" si="53"/>
        <v>0</v>
      </c>
      <c r="BO170" s="539">
        <f t="shared" si="53"/>
        <v>0</v>
      </c>
      <c r="BP170" s="539">
        <f t="shared" si="53"/>
        <v>0</v>
      </c>
      <c r="BQ170" s="539">
        <f t="shared" si="53"/>
        <v>0</v>
      </c>
      <c r="BR170" s="539">
        <f t="shared" si="53"/>
        <v>0</v>
      </c>
      <c r="BS170" s="539">
        <f t="shared" si="53"/>
        <v>0</v>
      </c>
      <c r="BT170" s="539">
        <f t="shared" si="53"/>
        <v>0</v>
      </c>
      <c r="BU170" s="539">
        <f t="shared" si="53"/>
        <v>0</v>
      </c>
      <c r="BV170" s="539">
        <f t="shared" si="53"/>
        <v>0</v>
      </c>
      <c r="BW170" s="539">
        <f t="shared" si="53"/>
        <v>0</v>
      </c>
      <c r="BX170" s="539">
        <f t="shared" si="53"/>
        <v>0</v>
      </c>
      <c r="BY170" s="539">
        <f t="shared" si="53"/>
        <v>0</v>
      </c>
      <c r="BZ170" s="539">
        <f t="shared" si="53"/>
        <v>0</v>
      </c>
      <c r="CA170" s="539">
        <f t="shared" si="53"/>
        <v>0</v>
      </c>
      <c r="CB170" s="539">
        <f t="shared" si="53"/>
        <v>0</v>
      </c>
      <c r="CC170" s="539">
        <f t="shared" si="53"/>
        <v>0</v>
      </c>
      <c r="CD170" s="539">
        <f t="shared" si="53"/>
        <v>0</v>
      </c>
      <c r="CE170" s="539">
        <f t="shared" si="53"/>
        <v>0</v>
      </c>
      <c r="CF170" s="539">
        <f t="shared" si="53"/>
        <v>0</v>
      </c>
      <c r="CG170" s="539">
        <f t="shared" si="53"/>
        <v>0</v>
      </c>
      <c r="CH170" s="539">
        <f t="shared" si="53"/>
        <v>0</v>
      </c>
      <c r="CI170" s="539">
        <f t="shared" si="53"/>
        <v>0</v>
      </c>
      <c r="CJ170" s="539">
        <f t="shared" si="53"/>
        <v>0</v>
      </c>
      <c r="CK170" s="539">
        <f t="shared" si="53"/>
        <v>0</v>
      </c>
      <c r="CL170" s="539">
        <f t="shared" si="53"/>
        <v>0</v>
      </c>
      <c r="CM170" s="539">
        <f t="shared" si="53"/>
        <v>0</v>
      </c>
      <c r="CN170" s="539">
        <f t="shared" si="53"/>
        <v>0</v>
      </c>
      <c r="CO170" s="539">
        <f t="shared" si="53"/>
        <v>0</v>
      </c>
      <c r="CP170" s="539">
        <f t="shared" si="53"/>
        <v>0</v>
      </c>
      <c r="CQ170" s="539">
        <f t="shared" si="53"/>
        <v>0</v>
      </c>
      <c r="CR170" s="539">
        <f t="shared" si="53"/>
        <v>0</v>
      </c>
      <c r="CS170" s="539">
        <f t="shared" si="53"/>
        <v>0</v>
      </c>
      <c r="CT170" s="539">
        <f t="shared" si="53"/>
        <v>0</v>
      </c>
      <c r="CU170" s="539">
        <f t="shared" si="53"/>
        <v>0</v>
      </c>
      <c r="CV170" s="539">
        <f t="shared" si="53"/>
        <v>0</v>
      </c>
      <c r="CW170" s="539">
        <f t="shared" si="53"/>
        <v>0</v>
      </c>
      <c r="CX170" s="539">
        <f t="shared" si="53"/>
        <v>0</v>
      </c>
      <c r="CY170" s="539">
        <f t="shared" si="53"/>
        <v>0</v>
      </c>
      <c r="CZ170" s="539">
        <f t="shared" si="53"/>
        <v>0</v>
      </c>
      <c r="DA170" s="539">
        <f t="shared" si="53"/>
        <v>0</v>
      </c>
      <c r="DB170" s="539">
        <f t="shared" si="53"/>
        <v>0</v>
      </c>
      <c r="DC170" s="539">
        <f t="shared" si="53"/>
        <v>0</v>
      </c>
      <c r="DD170" s="539">
        <f t="shared" si="53"/>
        <v>0</v>
      </c>
      <c r="DE170" s="539">
        <f t="shared" si="53"/>
        <v>0</v>
      </c>
      <c r="DF170" s="539">
        <f t="shared" si="53"/>
        <v>0</v>
      </c>
      <c r="DG170" s="539">
        <f t="shared" si="53"/>
        <v>0</v>
      </c>
      <c r="DH170" s="539">
        <f t="shared" si="53"/>
        <v>0</v>
      </c>
      <c r="DI170" s="539">
        <f t="shared" si="53"/>
        <v>0</v>
      </c>
      <c r="DJ170" s="539">
        <f t="shared" si="53"/>
        <v>0</v>
      </c>
      <c r="DK170" s="539">
        <f t="shared" si="53"/>
        <v>0</v>
      </c>
      <c r="DL170" s="539">
        <f t="shared" si="53"/>
        <v>0</v>
      </c>
      <c r="DM170" s="539">
        <f t="shared" si="53"/>
        <v>0</v>
      </c>
      <c r="DN170" s="539">
        <f t="shared" si="53"/>
        <v>0</v>
      </c>
      <c r="DO170" s="539">
        <f t="shared" si="53"/>
        <v>0</v>
      </c>
      <c r="DP170" s="539">
        <f t="shared" si="53"/>
        <v>0</v>
      </c>
      <c r="DQ170" s="539">
        <f t="shared" si="53"/>
        <v>0</v>
      </c>
      <c r="DR170" s="539">
        <f t="shared" si="53"/>
        <v>0</v>
      </c>
      <c r="DS170" s="539">
        <f t="shared" si="53"/>
        <v>0</v>
      </c>
      <c r="DT170" s="539">
        <f t="shared" si="53"/>
        <v>0</v>
      </c>
      <c r="DU170" s="539">
        <f t="shared" si="53"/>
        <v>0</v>
      </c>
      <c r="DV170" s="539">
        <f t="shared" si="53"/>
        <v>0</v>
      </c>
      <c r="DW170" s="539">
        <f t="shared" si="53"/>
        <v>0</v>
      </c>
      <c r="DX170" s="539">
        <f t="shared" si="53"/>
        <v>0</v>
      </c>
      <c r="DY170" s="539">
        <f t="shared" si="53"/>
        <v>0</v>
      </c>
      <c r="DZ170" s="539">
        <f t="shared" si="53"/>
        <v>0</v>
      </c>
      <c r="EA170" s="539">
        <f t="shared" si="53"/>
        <v>0</v>
      </c>
      <c r="EB170" s="539">
        <f t="shared" si="53"/>
        <v>0</v>
      </c>
      <c r="EC170" s="539">
        <f t="shared" si="53"/>
        <v>0</v>
      </c>
      <c r="ED170" s="539">
        <f t="shared" si="53"/>
        <v>0</v>
      </c>
      <c r="EE170" s="539">
        <f t="shared" si="53"/>
        <v>0</v>
      </c>
      <c r="EF170" s="539">
        <f t="shared" si="53"/>
        <v>0</v>
      </c>
      <c r="EG170" s="539">
        <f t="shared" si="53"/>
        <v>0</v>
      </c>
    </row>
    <row r="171" spans="5:137" ht="12.75">
      <c r="E171" s="538" t="str">
        <f>E$216</f>
        <v>Junior facility - closing principal arrears</v>
      </c>
      <c r="G171" s="539" t="str">
        <f>G$216</f>
        <v>EUR 000s</v>
      </c>
      <c r="H171" s="539">
        <f>H$216</f>
        <v>0</v>
      </c>
      <c r="J171" s="539">
        <f t="shared" si="54" ref="J171:EG171">J$216</f>
        <v>0</v>
      </c>
      <c r="K171" s="539">
        <f t="shared" si="54"/>
        <v>0</v>
      </c>
      <c r="L171" s="539">
        <f t="shared" si="54"/>
        <v>0</v>
      </c>
      <c r="M171" s="539">
        <f t="shared" si="54"/>
        <v>0</v>
      </c>
      <c r="N171" s="539">
        <f t="shared" si="54"/>
        <v>0</v>
      </c>
      <c r="O171" s="539">
        <f t="shared" si="54"/>
        <v>0</v>
      </c>
      <c r="P171" s="539">
        <f t="shared" si="54"/>
        <v>0</v>
      </c>
      <c r="Q171" s="539">
        <f t="shared" si="54"/>
        <v>0</v>
      </c>
      <c r="R171" s="539">
        <f t="shared" si="54"/>
        <v>0</v>
      </c>
      <c r="S171" s="539">
        <f t="shared" si="54"/>
        <v>0</v>
      </c>
      <c r="T171" s="539">
        <f t="shared" si="54"/>
        <v>0</v>
      </c>
      <c r="U171" s="539">
        <f t="shared" si="54"/>
        <v>0</v>
      </c>
      <c r="V171" s="539">
        <f t="shared" si="54"/>
        <v>0</v>
      </c>
      <c r="W171" s="539">
        <f t="shared" si="54"/>
        <v>0</v>
      </c>
      <c r="X171" s="539">
        <f t="shared" si="54"/>
        <v>0</v>
      </c>
      <c r="Y171" s="539">
        <f t="shared" si="54"/>
        <v>0</v>
      </c>
      <c r="Z171" s="539">
        <f t="shared" si="54"/>
        <v>0</v>
      </c>
      <c r="AA171" s="539">
        <f t="shared" si="54"/>
        <v>0</v>
      </c>
      <c r="AB171" s="539">
        <f t="shared" si="54"/>
        <v>0</v>
      </c>
      <c r="AC171" s="539">
        <f t="shared" si="54"/>
        <v>0</v>
      </c>
      <c r="AD171" s="539">
        <f t="shared" si="54"/>
        <v>0</v>
      </c>
      <c r="AE171" s="539">
        <f t="shared" si="54"/>
        <v>0</v>
      </c>
      <c r="AF171" s="539">
        <f t="shared" si="54"/>
        <v>0</v>
      </c>
      <c r="AG171" s="539">
        <f t="shared" si="54"/>
        <v>0</v>
      </c>
      <c r="AH171" s="539">
        <f t="shared" si="54"/>
        <v>0</v>
      </c>
      <c r="AI171" s="539">
        <f t="shared" si="54"/>
        <v>0</v>
      </c>
      <c r="AJ171" s="539">
        <f t="shared" si="54"/>
        <v>0</v>
      </c>
      <c r="AK171" s="539">
        <f t="shared" si="54"/>
        <v>0</v>
      </c>
      <c r="AL171" s="539">
        <f t="shared" si="54"/>
        <v>0</v>
      </c>
      <c r="AM171" s="539">
        <f t="shared" si="54"/>
        <v>0</v>
      </c>
      <c r="AN171" s="539">
        <f t="shared" si="54"/>
        <v>0</v>
      </c>
      <c r="AO171" s="539">
        <f t="shared" si="54"/>
        <v>0</v>
      </c>
      <c r="AP171" s="539">
        <f t="shared" si="54"/>
        <v>0</v>
      </c>
      <c r="AQ171" s="539">
        <f t="shared" si="54"/>
        <v>0</v>
      </c>
      <c r="AR171" s="539">
        <f t="shared" si="54"/>
        <v>0</v>
      </c>
      <c r="AS171" s="539">
        <f t="shared" si="54"/>
        <v>0</v>
      </c>
      <c r="AT171" s="539">
        <f t="shared" si="54"/>
        <v>0</v>
      </c>
      <c r="AU171" s="539">
        <f t="shared" si="54"/>
        <v>0</v>
      </c>
      <c r="AV171" s="539">
        <f t="shared" si="54"/>
        <v>0</v>
      </c>
      <c r="AW171" s="539">
        <f t="shared" si="54"/>
        <v>0</v>
      </c>
      <c r="AX171" s="539">
        <f t="shared" si="54"/>
        <v>0</v>
      </c>
      <c r="AY171" s="539">
        <f t="shared" si="54"/>
        <v>0</v>
      </c>
      <c r="AZ171" s="539">
        <f t="shared" si="54"/>
        <v>0</v>
      </c>
      <c r="BA171" s="539">
        <f t="shared" si="54"/>
        <v>0</v>
      </c>
      <c r="BB171" s="539">
        <f t="shared" si="54"/>
        <v>0</v>
      </c>
      <c r="BC171" s="539">
        <f t="shared" si="54"/>
        <v>0</v>
      </c>
      <c r="BD171" s="539">
        <f t="shared" si="54"/>
        <v>0</v>
      </c>
      <c r="BE171" s="539">
        <f t="shared" si="54"/>
        <v>0</v>
      </c>
      <c r="BF171" s="539">
        <f t="shared" si="54"/>
        <v>0</v>
      </c>
      <c r="BG171" s="539">
        <f t="shared" si="54"/>
        <v>0</v>
      </c>
      <c r="BH171" s="539">
        <f t="shared" si="54"/>
        <v>0</v>
      </c>
      <c r="BI171" s="539">
        <f t="shared" si="54"/>
        <v>0</v>
      </c>
      <c r="BJ171" s="539">
        <f t="shared" si="54"/>
        <v>0</v>
      </c>
      <c r="BK171" s="539">
        <f t="shared" si="54"/>
        <v>0</v>
      </c>
      <c r="BL171" s="539">
        <f t="shared" si="54"/>
        <v>0</v>
      </c>
      <c r="BM171" s="539">
        <f t="shared" si="54"/>
        <v>0</v>
      </c>
      <c r="BN171" s="539">
        <f t="shared" si="54"/>
        <v>0</v>
      </c>
      <c r="BO171" s="539">
        <f t="shared" si="54"/>
        <v>0</v>
      </c>
      <c r="BP171" s="539">
        <f t="shared" si="54"/>
        <v>0</v>
      </c>
      <c r="BQ171" s="539">
        <f t="shared" si="54"/>
        <v>0</v>
      </c>
      <c r="BR171" s="539">
        <f t="shared" si="54"/>
        <v>0</v>
      </c>
      <c r="BS171" s="539">
        <f t="shared" si="54"/>
        <v>0</v>
      </c>
      <c r="BT171" s="539">
        <f t="shared" si="54"/>
        <v>0</v>
      </c>
      <c r="BU171" s="539">
        <f t="shared" si="54"/>
        <v>0</v>
      </c>
      <c r="BV171" s="539">
        <f t="shared" si="54"/>
        <v>0</v>
      </c>
      <c r="BW171" s="539">
        <f t="shared" si="54"/>
        <v>0</v>
      </c>
      <c r="BX171" s="539">
        <f t="shared" si="54"/>
        <v>0</v>
      </c>
      <c r="BY171" s="539">
        <f t="shared" si="54"/>
        <v>0</v>
      </c>
      <c r="BZ171" s="539">
        <f t="shared" si="54"/>
        <v>0</v>
      </c>
      <c r="CA171" s="539">
        <f t="shared" si="54"/>
        <v>0</v>
      </c>
      <c r="CB171" s="539">
        <f t="shared" si="54"/>
        <v>0</v>
      </c>
      <c r="CC171" s="539">
        <f t="shared" si="54"/>
        <v>0</v>
      </c>
      <c r="CD171" s="539">
        <f t="shared" si="54"/>
        <v>0</v>
      </c>
      <c r="CE171" s="539">
        <f t="shared" si="54"/>
        <v>0</v>
      </c>
      <c r="CF171" s="539">
        <f t="shared" si="54"/>
        <v>0</v>
      </c>
      <c r="CG171" s="539">
        <f t="shared" si="54"/>
        <v>0</v>
      </c>
      <c r="CH171" s="539">
        <f t="shared" si="54"/>
        <v>0</v>
      </c>
      <c r="CI171" s="539">
        <f t="shared" si="54"/>
        <v>0</v>
      </c>
      <c r="CJ171" s="539">
        <f t="shared" si="54"/>
        <v>0</v>
      </c>
      <c r="CK171" s="539">
        <f t="shared" si="54"/>
        <v>0</v>
      </c>
      <c r="CL171" s="539">
        <f t="shared" si="54"/>
        <v>0</v>
      </c>
      <c r="CM171" s="539">
        <f t="shared" si="54"/>
        <v>0</v>
      </c>
      <c r="CN171" s="539">
        <f t="shared" si="54"/>
        <v>0</v>
      </c>
      <c r="CO171" s="539">
        <f t="shared" si="54"/>
        <v>0</v>
      </c>
      <c r="CP171" s="539">
        <f t="shared" si="54"/>
        <v>0</v>
      </c>
      <c r="CQ171" s="539">
        <f t="shared" si="54"/>
        <v>0</v>
      </c>
      <c r="CR171" s="539">
        <f t="shared" si="54"/>
        <v>0</v>
      </c>
      <c r="CS171" s="539">
        <f t="shared" si="54"/>
        <v>0</v>
      </c>
      <c r="CT171" s="539">
        <f t="shared" si="54"/>
        <v>0</v>
      </c>
      <c r="CU171" s="539">
        <f t="shared" si="54"/>
        <v>0</v>
      </c>
      <c r="CV171" s="539">
        <f t="shared" si="54"/>
        <v>0</v>
      </c>
      <c r="CW171" s="539">
        <f t="shared" si="54"/>
        <v>0</v>
      </c>
      <c r="CX171" s="539">
        <f t="shared" si="54"/>
        <v>0</v>
      </c>
      <c r="CY171" s="539">
        <f t="shared" si="54"/>
        <v>0</v>
      </c>
      <c r="CZ171" s="539">
        <f t="shared" si="54"/>
        <v>0</v>
      </c>
      <c r="DA171" s="539">
        <f t="shared" si="54"/>
        <v>0</v>
      </c>
      <c r="DB171" s="539">
        <f t="shared" si="54"/>
        <v>0</v>
      </c>
      <c r="DC171" s="539">
        <f t="shared" si="54"/>
        <v>0</v>
      </c>
      <c r="DD171" s="539">
        <f t="shared" si="54"/>
        <v>0</v>
      </c>
      <c r="DE171" s="539">
        <f t="shared" si="54"/>
        <v>0</v>
      </c>
      <c r="DF171" s="539">
        <f t="shared" si="54"/>
        <v>0</v>
      </c>
      <c r="DG171" s="539">
        <f t="shared" si="54"/>
        <v>0</v>
      </c>
      <c r="DH171" s="539">
        <f t="shared" si="54"/>
        <v>0</v>
      </c>
      <c r="DI171" s="539">
        <f t="shared" si="54"/>
        <v>0</v>
      </c>
      <c r="DJ171" s="539">
        <f t="shared" si="54"/>
        <v>0</v>
      </c>
      <c r="DK171" s="539">
        <f t="shared" si="54"/>
        <v>0</v>
      </c>
      <c r="DL171" s="539">
        <f t="shared" si="54"/>
        <v>0</v>
      </c>
      <c r="DM171" s="539">
        <f t="shared" si="54"/>
        <v>0</v>
      </c>
      <c r="DN171" s="539">
        <f t="shared" si="54"/>
        <v>0</v>
      </c>
      <c r="DO171" s="539">
        <f t="shared" si="54"/>
        <v>0</v>
      </c>
      <c r="DP171" s="539">
        <f t="shared" si="54"/>
        <v>0</v>
      </c>
      <c r="DQ171" s="539">
        <f t="shared" si="54"/>
        <v>0</v>
      </c>
      <c r="DR171" s="539">
        <f t="shared" si="54"/>
        <v>0</v>
      </c>
      <c r="DS171" s="539">
        <f t="shared" si="54"/>
        <v>0</v>
      </c>
      <c r="DT171" s="539">
        <f t="shared" si="54"/>
        <v>0</v>
      </c>
      <c r="DU171" s="539">
        <f t="shared" si="54"/>
        <v>0</v>
      </c>
      <c r="DV171" s="539">
        <f t="shared" si="54"/>
        <v>0</v>
      </c>
      <c r="DW171" s="539">
        <f t="shared" si="54"/>
        <v>0</v>
      </c>
      <c r="DX171" s="539">
        <f t="shared" si="54"/>
        <v>0</v>
      </c>
      <c r="DY171" s="539">
        <f t="shared" si="54"/>
        <v>0</v>
      </c>
      <c r="DZ171" s="539">
        <f t="shared" si="54"/>
        <v>0</v>
      </c>
      <c r="EA171" s="539">
        <f t="shared" si="54"/>
        <v>0</v>
      </c>
      <c r="EB171" s="539">
        <f t="shared" si="54"/>
        <v>0</v>
      </c>
      <c r="EC171" s="539">
        <f t="shared" si="54"/>
        <v>0</v>
      </c>
      <c r="ED171" s="539">
        <f t="shared" si="54"/>
        <v>0</v>
      </c>
      <c r="EE171" s="539">
        <f t="shared" si="54"/>
        <v>0</v>
      </c>
      <c r="EF171" s="539">
        <f t="shared" si="54"/>
        <v>0</v>
      </c>
      <c r="EG171" s="539">
        <f t="shared" si="54"/>
        <v>0</v>
      </c>
    </row>
    <row r="172" spans="5:137" ht="12.75">
      <c r="E172" s="538" t="s">
        <v>342</v>
      </c>
      <c r="G172" s="539" t="s">
        <v>30</v>
      </c>
      <c r="H172" s="539">
        <f>SUM(J172:EG172)</f>
        <v>1008475.4152814726</v>
      </c>
      <c r="J172" s="539">
        <f t="shared" si="55" ref="J172:EG172">I169</f>
        <v>0</v>
      </c>
      <c r="K172" s="539">
        <f t="shared" si="55"/>
        <v>0</v>
      </c>
      <c r="L172" s="539">
        <f t="shared" si="55"/>
        <v>0</v>
      </c>
      <c r="M172" s="539">
        <f t="shared" si="55"/>
        <v>0</v>
      </c>
      <c r="N172" s="539">
        <f t="shared" si="55"/>
        <v>0</v>
      </c>
      <c r="O172" s="539">
        <f t="shared" si="55"/>
        <v>0</v>
      </c>
      <c r="P172" s="539">
        <f t="shared" si="55"/>
        <v>0</v>
      </c>
      <c r="Q172" s="539">
        <f t="shared" si="55"/>
        <v>0</v>
      </c>
      <c r="R172" s="539">
        <f t="shared" si="55"/>
        <v>9524.2618544395227</v>
      </c>
      <c r="S172" s="539">
        <f t="shared" si="55"/>
        <v>25289.902618405918</v>
      </c>
      <c r="T172" s="539">
        <f t="shared" si="55"/>
        <v>25289.902618405918</v>
      </c>
      <c r="U172" s="539">
        <f t="shared" si="55"/>
        <v>25289.902618405918</v>
      </c>
      <c r="V172" s="539">
        <f t="shared" si="55"/>
        <v>25289.902618405918</v>
      </c>
      <c r="W172" s="539">
        <f t="shared" si="55"/>
        <v>25289.902618405918</v>
      </c>
      <c r="X172" s="539">
        <f t="shared" si="55"/>
        <v>25289.902618405918</v>
      </c>
      <c r="Y172" s="539">
        <f t="shared" si="55"/>
        <v>25289.902618405918</v>
      </c>
      <c r="Z172" s="539">
        <f t="shared" si="55"/>
        <v>25289.902618405918</v>
      </c>
      <c r="AA172" s="539">
        <f t="shared" si="55"/>
        <v>25289.902618405918</v>
      </c>
      <c r="AB172" s="539">
        <f t="shared" si="55"/>
        <v>25289.902618405918</v>
      </c>
      <c r="AC172" s="539">
        <f t="shared" si="55"/>
        <v>25289.902618405918</v>
      </c>
      <c r="AD172" s="539">
        <f t="shared" si="55"/>
        <v>25289.902618405918</v>
      </c>
      <c r="AE172" s="539">
        <f t="shared" si="55"/>
        <v>25289.902618405918</v>
      </c>
      <c r="AF172" s="539">
        <f t="shared" si="55"/>
        <v>25289.902618405918</v>
      </c>
      <c r="AG172" s="539">
        <f t="shared" si="55"/>
        <v>25289.902618405918</v>
      </c>
      <c r="AH172" s="539">
        <f t="shared" si="55"/>
        <v>25289.902618405918</v>
      </c>
      <c r="AI172" s="539">
        <f t="shared" si="55"/>
        <v>24763.029647189127</v>
      </c>
      <c r="AJ172" s="539">
        <f t="shared" si="55"/>
        <v>24236.156675972336</v>
      </c>
      <c r="AK172" s="539">
        <f t="shared" si="55"/>
        <v>23709.283704755544</v>
      </c>
      <c r="AL172" s="539">
        <f t="shared" si="55"/>
        <v>23182.410733538753</v>
      </c>
      <c r="AM172" s="539">
        <f t="shared" si="55"/>
        <v>22655.537762321961</v>
      </c>
      <c r="AN172" s="539">
        <f t="shared" si="55"/>
        <v>22128.66479110517</v>
      </c>
      <c r="AO172" s="539">
        <f t="shared" si="55"/>
        <v>21601.791819888378</v>
      </c>
      <c r="AP172" s="539">
        <f t="shared" si="55"/>
        <v>21074.918848671587</v>
      </c>
      <c r="AQ172" s="539">
        <f t="shared" si="55"/>
        <v>20548.045877454795</v>
      </c>
      <c r="AR172" s="539">
        <f t="shared" si="55"/>
        <v>20021.172906238004</v>
      </c>
      <c r="AS172" s="539">
        <f t="shared" si="55"/>
        <v>19494.299935021212</v>
      </c>
      <c r="AT172" s="539">
        <f t="shared" si="55"/>
        <v>18967.426963804421</v>
      </c>
      <c r="AU172" s="539">
        <f t="shared" si="55"/>
        <v>18440.553992587629</v>
      </c>
      <c r="AV172" s="539">
        <f t="shared" si="55"/>
        <v>17913.681021370838</v>
      </c>
      <c r="AW172" s="539">
        <f t="shared" si="55"/>
        <v>17386.808050154046</v>
      </c>
      <c r="AX172" s="539">
        <f t="shared" si="55"/>
        <v>16859.935078937255</v>
      </c>
      <c r="AY172" s="539">
        <f t="shared" si="55"/>
        <v>16333.062107720465</v>
      </c>
      <c r="AZ172" s="539">
        <f t="shared" si="55"/>
        <v>15806.189136503675</v>
      </c>
      <c r="BA172" s="539">
        <f t="shared" si="55"/>
        <v>15279.316165286886</v>
      </c>
      <c r="BB172" s="539">
        <f t="shared" si="55"/>
        <v>14752.443194070096</v>
      </c>
      <c r="BC172" s="539">
        <f t="shared" si="55"/>
        <v>14225.570222853306</v>
      </c>
      <c r="BD172" s="539">
        <f t="shared" si="55"/>
        <v>13698.697251636517</v>
      </c>
      <c r="BE172" s="539">
        <f t="shared" si="55"/>
        <v>13171.824280419727</v>
      </c>
      <c r="BF172" s="539">
        <f t="shared" si="55"/>
        <v>12644.951309202937</v>
      </c>
      <c r="BG172" s="539">
        <f t="shared" si="55"/>
        <v>12118.078337986148</v>
      </c>
      <c r="BH172" s="539">
        <f t="shared" si="55"/>
        <v>11591.205366769358</v>
      </c>
      <c r="BI172" s="539">
        <f t="shared" si="55"/>
        <v>11064.332395552568</v>
      </c>
      <c r="BJ172" s="539">
        <f t="shared" si="55"/>
        <v>10537.459424335779</v>
      </c>
      <c r="BK172" s="539">
        <f t="shared" si="55"/>
        <v>10010.586453118989</v>
      </c>
      <c r="BL172" s="539">
        <f t="shared" si="55"/>
        <v>9483.7134819021994</v>
      </c>
      <c r="BM172" s="539">
        <f t="shared" si="55"/>
        <v>8956.8405106854098</v>
      </c>
      <c r="BN172" s="539">
        <f t="shared" si="55"/>
        <v>8429.9675394686201</v>
      </c>
      <c r="BO172" s="539">
        <f t="shared" si="55"/>
        <v>7903.0945682518304</v>
      </c>
      <c r="BP172" s="539">
        <f t="shared" si="55"/>
        <v>7376.2215970350408</v>
      </c>
      <c r="BQ172" s="539">
        <f t="shared" si="55"/>
        <v>6849.3486258182511</v>
      </c>
      <c r="BR172" s="539">
        <f t="shared" si="55"/>
        <v>6322.4756546014614</v>
      </c>
      <c r="BS172" s="539">
        <f t="shared" si="55"/>
        <v>5795.6026833846718</v>
      </c>
      <c r="BT172" s="539">
        <f t="shared" si="55"/>
        <v>5268.7297121678821</v>
      </c>
      <c r="BU172" s="539">
        <f t="shared" si="55"/>
        <v>4741.8567409510924</v>
      </c>
      <c r="BV172" s="539">
        <f t="shared" si="55"/>
        <v>4214.9837697343028</v>
      </c>
      <c r="BW172" s="539">
        <f t="shared" si="55"/>
        <v>3688.1107985175126</v>
      </c>
      <c r="BX172" s="539">
        <f t="shared" si="55"/>
        <v>3161.2378273007225</v>
      </c>
      <c r="BY172" s="539">
        <f t="shared" si="55"/>
        <v>2634.3648560839324</v>
      </c>
      <c r="BZ172" s="539">
        <f t="shared" si="55"/>
        <v>2107.4918848671423</v>
      </c>
      <c r="CA172" s="539">
        <f t="shared" si="55"/>
        <v>1580.6189136503522</v>
      </c>
      <c r="CB172" s="539">
        <f t="shared" si="55"/>
        <v>1053.745942433562</v>
      </c>
      <c r="CC172" s="539">
        <f t="shared" si="55"/>
        <v>526.87297121677204</v>
      </c>
      <c r="CD172" s="539">
        <f t="shared" si="55"/>
        <v>-1.7962520360015333E-11</v>
      </c>
      <c r="CE172" s="539">
        <f t="shared" si="55"/>
        <v>-1.7962520360015333E-11</v>
      </c>
      <c r="CF172" s="539">
        <f t="shared" si="55"/>
        <v>-1.7962520360015333E-11</v>
      </c>
      <c r="CG172" s="539">
        <f t="shared" si="55"/>
        <v>-1.7962520360015333E-11</v>
      </c>
      <c r="CH172" s="539">
        <f t="shared" si="55"/>
        <v>-1.7962520360015333E-11</v>
      </c>
      <c r="CI172" s="539">
        <f t="shared" si="55"/>
        <v>-1.7962520360015333E-11</v>
      </c>
      <c r="CJ172" s="539">
        <f t="shared" si="55"/>
        <v>-1.7962520360015333E-11</v>
      </c>
      <c r="CK172" s="539">
        <f t="shared" si="55"/>
        <v>-1.7962520360015333E-11</v>
      </c>
      <c r="CL172" s="539">
        <f t="shared" si="55"/>
        <v>-1.7962520360015333E-11</v>
      </c>
      <c r="CM172" s="539">
        <f t="shared" si="55"/>
        <v>-1.7962520360015333E-11</v>
      </c>
      <c r="CN172" s="539">
        <f t="shared" si="55"/>
        <v>-1.7962520360015333E-11</v>
      </c>
      <c r="CO172" s="539">
        <f t="shared" si="55"/>
        <v>-1.7962520360015333E-11</v>
      </c>
      <c r="CP172" s="539">
        <f t="shared" si="55"/>
        <v>-1.7962520360015333E-11</v>
      </c>
      <c r="CQ172" s="539">
        <f t="shared" si="55"/>
        <v>-1.7962520360015333E-11</v>
      </c>
      <c r="CR172" s="539">
        <f t="shared" si="55"/>
        <v>-1.7962520360015333E-11</v>
      </c>
      <c r="CS172" s="539">
        <f t="shared" si="55"/>
        <v>-1.7962520360015333E-11</v>
      </c>
      <c r="CT172" s="539">
        <f t="shared" si="55"/>
        <v>-1.7962520360015333E-11</v>
      </c>
      <c r="CU172" s="539">
        <f t="shared" si="55"/>
        <v>-1.7962520360015333E-11</v>
      </c>
      <c r="CV172" s="539">
        <f t="shared" si="55"/>
        <v>-1.7962520360015333E-11</v>
      </c>
      <c r="CW172" s="539">
        <f t="shared" si="55"/>
        <v>-1.7962520360015333E-11</v>
      </c>
      <c r="CX172" s="539">
        <f t="shared" si="55"/>
        <v>-1.7962520360015333E-11</v>
      </c>
      <c r="CY172" s="539">
        <f t="shared" si="55"/>
        <v>-1.7962520360015333E-11</v>
      </c>
      <c r="CZ172" s="539">
        <f t="shared" si="55"/>
        <v>-1.7962520360015333E-11</v>
      </c>
      <c r="DA172" s="539">
        <f t="shared" si="55"/>
        <v>-1.7962520360015333E-11</v>
      </c>
      <c r="DB172" s="539">
        <f t="shared" si="55"/>
        <v>-1.7962520360015333E-11</v>
      </c>
      <c r="DC172" s="539">
        <f t="shared" si="55"/>
        <v>-1.7962520360015333E-11</v>
      </c>
      <c r="DD172" s="539">
        <f t="shared" si="55"/>
        <v>-1.7962520360015333E-11</v>
      </c>
      <c r="DE172" s="539">
        <f t="shared" si="55"/>
        <v>-1.7962520360015333E-11</v>
      </c>
      <c r="DF172" s="539">
        <f t="shared" si="55"/>
        <v>-1.7962520360015333E-11</v>
      </c>
      <c r="DG172" s="539">
        <f t="shared" si="55"/>
        <v>-1.7962520360015333E-11</v>
      </c>
      <c r="DH172" s="539">
        <f t="shared" si="55"/>
        <v>-1.7962520360015333E-11</v>
      </c>
      <c r="DI172" s="539">
        <f t="shared" si="55"/>
        <v>-1.7962520360015333E-11</v>
      </c>
      <c r="DJ172" s="539">
        <f t="shared" si="55"/>
        <v>-1.7962520360015333E-11</v>
      </c>
      <c r="DK172" s="539">
        <f t="shared" si="55"/>
        <v>-1.7962520360015333E-11</v>
      </c>
      <c r="DL172" s="539">
        <f t="shared" si="55"/>
        <v>-1.7962520360015333E-11</v>
      </c>
      <c r="DM172" s="539">
        <f t="shared" si="55"/>
        <v>-1.7962520360015333E-11</v>
      </c>
      <c r="DN172" s="539">
        <f t="shared" si="55"/>
        <v>-1.7962520360015333E-11</v>
      </c>
      <c r="DO172" s="539">
        <f t="shared" si="55"/>
        <v>-1.7962520360015333E-11</v>
      </c>
      <c r="DP172" s="539">
        <f t="shared" si="55"/>
        <v>-1.7962520360015333E-11</v>
      </c>
      <c r="DQ172" s="539">
        <f t="shared" si="55"/>
        <v>-1.7962520360015333E-11</v>
      </c>
      <c r="DR172" s="539">
        <f t="shared" si="55"/>
        <v>-1.7962520360015333E-11</v>
      </c>
      <c r="DS172" s="539">
        <f t="shared" si="55"/>
        <v>-1.7962520360015333E-11</v>
      </c>
      <c r="DT172" s="539">
        <f t="shared" si="55"/>
        <v>-1.7962520360015333E-11</v>
      </c>
      <c r="DU172" s="539">
        <f t="shared" si="55"/>
        <v>-1.7962520360015333E-11</v>
      </c>
      <c r="DV172" s="539">
        <f t="shared" si="55"/>
        <v>-1.7962520360015333E-11</v>
      </c>
      <c r="DW172" s="539">
        <f t="shared" si="55"/>
        <v>-1.7962520360015333E-11</v>
      </c>
      <c r="DX172" s="539">
        <f t="shared" si="55"/>
        <v>-1.7962520360015333E-11</v>
      </c>
      <c r="DY172" s="539">
        <f t="shared" si="55"/>
        <v>-1.7962520360015333E-11</v>
      </c>
      <c r="DZ172" s="539">
        <f t="shared" si="55"/>
        <v>-1.7962520360015333E-11</v>
      </c>
      <c r="EA172" s="539">
        <f t="shared" si="55"/>
        <v>-1.7962520360015333E-11</v>
      </c>
      <c r="EB172" s="539">
        <f t="shared" si="55"/>
        <v>-1.7962520360015333E-11</v>
      </c>
      <c r="EC172" s="539">
        <f t="shared" si="55"/>
        <v>-1.7962520360015333E-11</v>
      </c>
      <c r="ED172" s="539">
        <f t="shared" si="55"/>
        <v>-1.7962520360015333E-11</v>
      </c>
      <c r="EE172" s="539">
        <f t="shared" si="55"/>
        <v>-1.7962520360015333E-11</v>
      </c>
      <c r="EF172" s="539">
        <f t="shared" si="55"/>
        <v>-1.7962520360015333E-11</v>
      </c>
      <c r="EG172" s="539">
        <f t="shared" si="55"/>
        <v>-1.7962520360015333E-11</v>
      </c>
    </row>
    <row r="173" spans="5:137" ht="12.75">
      <c r="E173" s="538" t="s">
        <v>343</v>
      </c>
      <c r="G173" s="539" t="s">
        <v>30</v>
      </c>
      <c r="H173" s="539">
        <f>SUM(J173:EG173)</f>
        <v>0</v>
      </c>
      <c r="J173" s="539">
        <f t="shared" si="56" ref="J173:EG173">I170</f>
        <v>0</v>
      </c>
      <c r="K173" s="539">
        <f t="shared" si="56"/>
        <v>0</v>
      </c>
      <c r="L173" s="539">
        <f t="shared" si="56"/>
        <v>0</v>
      </c>
      <c r="M173" s="539">
        <f t="shared" si="56"/>
        <v>0</v>
      </c>
      <c r="N173" s="539">
        <f t="shared" si="56"/>
        <v>0</v>
      </c>
      <c r="O173" s="539">
        <f t="shared" si="56"/>
        <v>0</v>
      </c>
      <c r="P173" s="539">
        <f t="shared" si="56"/>
        <v>0</v>
      </c>
      <c r="Q173" s="539">
        <f t="shared" si="56"/>
        <v>0</v>
      </c>
      <c r="R173" s="539">
        <f t="shared" si="56"/>
        <v>0</v>
      </c>
      <c r="S173" s="539">
        <f t="shared" si="56"/>
        <v>0</v>
      </c>
      <c r="T173" s="539">
        <f t="shared" si="56"/>
        <v>0</v>
      </c>
      <c r="U173" s="539">
        <f t="shared" si="56"/>
        <v>0</v>
      </c>
      <c r="V173" s="539">
        <f t="shared" si="56"/>
        <v>0</v>
      </c>
      <c r="W173" s="539">
        <f t="shared" si="56"/>
        <v>0</v>
      </c>
      <c r="X173" s="539">
        <f t="shared" si="56"/>
        <v>0</v>
      </c>
      <c r="Y173" s="539">
        <f t="shared" si="56"/>
        <v>0</v>
      </c>
      <c r="Z173" s="539">
        <f t="shared" si="56"/>
        <v>0</v>
      </c>
      <c r="AA173" s="539">
        <f t="shared" si="56"/>
        <v>0</v>
      </c>
      <c r="AB173" s="539">
        <f t="shared" si="56"/>
        <v>0</v>
      </c>
      <c r="AC173" s="539">
        <f t="shared" si="56"/>
        <v>0</v>
      </c>
      <c r="AD173" s="539">
        <f t="shared" si="56"/>
        <v>0</v>
      </c>
      <c r="AE173" s="539">
        <f t="shared" si="56"/>
        <v>0</v>
      </c>
      <c r="AF173" s="539">
        <f t="shared" si="56"/>
        <v>0</v>
      </c>
      <c r="AG173" s="539">
        <f t="shared" si="56"/>
        <v>0</v>
      </c>
      <c r="AH173" s="539">
        <f t="shared" si="56"/>
        <v>0</v>
      </c>
      <c r="AI173" s="539">
        <f t="shared" si="56"/>
        <v>0</v>
      </c>
      <c r="AJ173" s="539">
        <f t="shared" si="56"/>
        <v>0</v>
      </c>
      <c r="AK173" s="539">
        <f t="shared" si="56"/>
        <v>0</v>
      </c>
      <c r="AL173" s="539">
        <f t="shared" si="56"/>
        <v>0</v>
      </c>
      <c r="AM173" s="539">
        <f t="shared" si="56"/>
        <v>0</v>
      </c>
      <c r="AN173" s="539">
        <f t="shared" si="56"/>
        <v>0</v>
      </c>
      <c r="AO173" s="539">
        <f t="shared" si="56"/>
        <v>0</v>
      </c>
      <c r="AP173" s="539">
        <f t="shared" si="56"/>
        <v>0</v>
      </c>
      <c r="AQ173" s="539">
        <f t="shared" si="56"/>
        <v>0</v>
      </c>
      <c r="AR173" s="539">
        <f t="shared" si="56"/>
        <v>0</v>
      </c>
      <c r="AS173" s="539">
        <f t="shared" si="56"/>
        <v>0</v>
      </c>
      <c r="AT173" s="539">
        <f t="shared" si="56"/>
        <v>0</v>
      </c>
      <c r="AU173" s="539">
        <f t="shared" si="56"/>
        <v>0</v>
      </c>
      <c r="AV173" s="539">
        <f t="shared" si="56"/>
        <v>0</v>
      </c>
      <c r="AW173" s="539">
        <f t="shared" si="56"/>
        <v>0</v>
      </c>
      <c r="AX173" s="539">
        <f t="shared" si="56"/>
        <v>0</v>
      </c>
      <c r="AY173" s="539">
        <f t="shared" si="56"/>
        <v>0</v>
      </c>
      <c r="AZ173" s="539">
        <f t="shared" si="56"/>
        <v>0</v>
      </c>
      <c r="BA173" s="539">
        <f t="shared" si="56"/>
        <v>0</v>
      </c>
      <c r="BB173" s="539">
        <f t="shared" si="56"/>
        <v>0</v>
      </c>
      <c r="BC173" s="539">
        <f t="shared" si="56"/>
        <v>0</v>
      </c>
      <c r="BD173" s="539">
        <f t="shared" si="56"/>
        <v>0</v>
      </c>
      <c r="BE173" s="539">
        <f t="shared" si="56"/>
        <v>0</v>
      </c>
      <c r="BF173" s="539">
        <f t="shared" si="56"/>
        <v>0</v>
      </c>
      <c r="BG173" s="539">
        <f t="shared" si="56"/>
        <v>0</v>
      </c>
      <c r="BH173" s="539">
        <f t="shared" si="56"/>
        <v>0</v>
      </c>
      <c r="BI173" s="539">
        <f t="shared" si="56"/>
        <v>0</v>
      </c>
      <c r="BJ173" s="539">
        <f t="shared" si="56"/>
        <v>0</v>
      </c>
      <c r="BK173" s="539">
        <f t="shared" si="56"/>
        <v>0</v>
      </c>
      <c r="BL173" s="539">
        <f t="shared" si="56"/>
        <v>0</v>
      </c>
      <c r="BM173" s="539">
        <f t="shared" si="56"/>
        <v>0</v>
      </c>
      <c r="BN173" s="539">
        <f t="shared" si="56"/>
        <v>0</v>
      </c>
      <c r="BO173" s="539">
        <f t="shared" si="56"/>
        <v>0</v>
      </c>
      <c r="BP173" s="539">
        <f t="shared" si="56"/>
        <v>0</v>
      </c>
      <c r="BQ173" s="539">
        <f t="shared" si="56"/>
        <v>0</v>
      </c>
      <c r="BR173" s="539">
        <f t="shared" si="56"/>
        <v>0</v>
      </c>
      <c r="BS173" s="539">
        <f t="shared" si="56"/>
        <v>0</v>
      </c>
      <c r="BT173" s="539">
        <f t="shared" si="56"/>
        <v>0</v>
      </c>
      <c r="BU173" s="539">
        <f t="shared" si="56"/>
        <v>0</v>
      </c>
      <c r="BV173" s="539">
        <f t="shared" si="56"/>
        <v>0</v>
      </c>
      <c r="BW173" s="539">
        <f t="shared" si="56"/>
        <v>0</v>
      </c>
      <c r="BX173" s="539">
        <f t="shared" si="56"/>
        <v>0</v>
      </c>
      <c r="BY173" s="539">
        <f t="shared" si="56"/>
        <v>0</v>
      </c>
      <c r="BZ173" s="539">
        <f t="shared" si="56"/>
        <v>0</v>
      </c>
      <c r="CA173" s="539">
        <f t="shared" si="56"/>
        <v>0</v>
      </c>
      <c r="CB173" s="539">
        <f t="shared" si="56"/>
        <v>0</v>
      </c>
      <c r="CC173" s="539">
        <f t="shared" si="56"/>
        <v>0</v>
      </c>
      <c r="CD173" s="539">
        <f t="shared" si="56"/>
        <v>0</v>
      </c>
      <c r="CE173" s="539">
        <f t="shared" si="56"/>
        <v>0</v>
      </c>
      <c r="CF173" s="539">
        <f t="shared" si="56"/>
        <v>0</v>
      </c>
      <c r="CG173" s="539">
        <f t="shared" si="56"/>
        <v>0</v>
      </c>
      <c r="CH173" s="539">
        <f t="shared" si="56"/>
        <v>0</v>
      </c>
      <c r="CI173" s="539">
        <f t="shared" si="56"/>
        <v>0</v>
      </c>
      <c r="CJ173" s="539">
        <f t="shared" si="56"/>
        <v>0</v>
      </c>
      <c r="CK173" s="539">
        <f t="shared" si="56"/>
        <v>0</v>
      </c>
      <c r="CL173" s="539">
        <f t="shared" si="56"/>
        <v>0</v>
      </c>
      <c r="CM173" s="539">
        <f t="shared" si="56"/>
        <v>0</v>
      </c>
      <c r="CN173" s="539">
        <f t="shared" si="56"/>
        <v>0</v>
      </c>
      <c r="CO173" s="539">
        <f t="shared" si="56"/>
        <v>0</v>
      </c>
      <c r="CP173" s="539">
        <f t="shared" si="56"/>
        <v>0</v>
      </c>
      <c r="CQ173" s="539">
        <f t="shared" si="56"/>
        <v>0</v>
      </c>
      <c r="CR173" s="539">
        <f t="shared" si="56"/>
        <v>0</v>
      </c>
      <c r="CS173" s="539">
        <f t="shared" si="56"/>
        <v>0</v>
      </c>
      <c r="CT173" s="539">
        <f t="shared" si="56"/>
        <v>0</v>
      </c>
      <c r="CU173" s="539">
        <f t="shared" si="56"/>
        <v>0</v>
      </c>
      <c r="CV173" s="539">
        <f t="shared" si="56"/>
        <v>0</v>
      </c>
      <c r="CW173" s="539">
        <f t="shared" si="56"/>
        <v>0</v>
      </c>
      <c r="CX173" s="539">
        <f t="shared" si="56"/>
        <v>0</v>
      </c>
      <c r="CY173" s="539">
        <f t="shared" si="56"/>
        <v>0</v>
      </c>
      <c r="CZ173" s="539">
        <f t="shared" si="56"/>
        <v>0</v>
      </c>
      <c r="DA173" s="539">
        <f t="shared" si="56"/>
        <v>0</v>
      </c>
      <c r="DB173" s="539">
        <f t="shared" si="56"/>
        <v>0</v>
      </c>
      <c r="DC173" s="539">
        <f t="shared" si="56"/>
        <v>0</v>
      </c>
      <c r="DD173" s="539">
        <f t="shared" si="56"/>
        <v>0</v>
      </c>
      <c r="DE173" s="539">
        <f t="shared" si="56"/>
        <v>0</v>
      </c>
      <c r="DF173" s="539">
        <f t="shared" si="56"/>
        <v>0</v>
      </c>
      <c r="DG173" s="539">
        <f t="shared" si="56"/>
        <v>0</v>
      </c>
      <c r="DH173" s="539">
        <f t="shared" si="56"/>
        <v>0</v>
      </c>
      <c r="DI173" s="539">
        <f t="shared" si="56"/>
        <v>0</v>
      </c>
      <c r="DJ173" s="539">
        <f t="shared" si="56"/>
        <v>0</v>
      </c>
      <c r="DK173" s="539">
        <f t="shared" si="56"/>
        <v>0</v>
      </c>
      <c r="DL173" s="539">
        <f t="shared" si="56"/>
        <v>0</v>
      </c>
      <c r="DM173" s="539">
        <f t="shared" si="56"/>
        <v>0</v>
      </c>
      <c r="DN173" s="539">
        <f t="shared" si="56"/>
        <v>0</v>
      </c>
      <c r="DO173" s="539">
        <f t="shared" si="56"/>
        <v>0</v>
      </c>
      <c r="DP173" s="539">
        <f t="shared" si="56"/>
        <v>0</v>
      </c>
      <c r="DQ173" s="539">
        <f t="shared" si="56"/>
        <v>0</v>
      </c>
      <c r="DR173" s="539">
        <f t="shared" si="56"/>
        <v>0</v>
      </c>
      <c r="DS173" s="539">
        <f t="shared" si="56"/>
        <v>0</v>
      </c>
      <c r="DT173" s="539">
        <f t="shared" si="56"/>
        <v>0</v>
      </c>
      <c r="DU173" s="539">
        <f t="shared" si="56"/>
        <v>0</v>
      </c>
      <c r="DV173" s="539">
        <f t="shared" si="56"/>
        <v>0</v>
      </c>
      <c r="DW173" s="539">
        <f t="shared" si="56"/>
        <v>0</v>
      </c>
      <c r="DX173" s="539">
        <f t="shared" si="56"/>
        <v>0</v>
      </c>
      <c r="DY173" s="539">
        <f t="shared" si="56"/>
        <v>0</v>
      </c>
      <c r="DZ173" s="539">
        <f t="shared" si="56"/>
        <v>0</v>
      </c>
      <c r="EA173" s="539">
        <f t="shared" si="56"/>
        <v>0</v>
      </c>
      <c r="EB173" s="539">
        <f t="shared" si="56"/>
        <v>0</v>
      </c>
      <c r="EC173" s="539">
        <f t="shared" si="56"/>
        <v>0</v>
      </c>
      <c r="ED173" s="539">
        <f t="shared" si="56"/>
        <v>0</v>
      </c>
      <c r="EE173" s="539">
        <f t="shared" si="56"/>
        <v>0</v>
      </c>
      <c r="EF173" s="539">
        <f t="shared" si="56"/>
        <v>0</v>
      </c>
      <c r="EG173" s="539">
        <f t="shared" si="56"/>
        <v>0</v>
      </c>
    </row>
    <row r="174" spans="5:137" ht="12.75">
      <c r="E174" s="538" t="s">
        <v>344</v>
      </c>
      <c r="G174" s="539" t="s">
        <v>30</v>
      </c>
      <c r="H174" s="539">
        <f>SUM(J174:EG174)</f>
        <v>0</v>
      </c>
      <c r="J174" s="539">
        <f t="shared" si="57" ref="J174:EG174">I171</f>
        <v>0</v>
      </c>
      <c r="K174" s="539">
        <f t="shared" si="57"/>
        <v>0</v>
      </c>
      <c r="L174" s="539">
        <f t="shared" si="57"/>
        <v>0</v>
      </c>
      <c r="M174" s="539">
        <f t="shared" si="57"/>
        <v>0</v>
      </c>
      <c r="N174" s="539">
        <f t="shared" si="57"/>
        <v>0</v>
      </c>
      <c r="O174" s="539">
        <f t="shared" si="57"/>
        <v>0</v>
      </c>
      <c r="P174" s="539">
        <f t="shared" si="57"/>
        <v>0</v>
      </c>
      <c r="Q174" s="539">
        <f t="shared" si="57"/>
        <v>0</v>
      </c>
      <c r="R174" s="539">
        <f t="shared" si="57"/>
        <v>0</v>
      </c>
      <c r="S174" s="539">
        <f t="shared" si="57"/>
        <v>0</v>
      </c>
      <c r="T174" s="539">
        <f t="shared" si="57"/>
        <v>0</v>
      </c>
      <c r="U174" s="539">
        <f t="shared" si="57"/>
        <v>0</v>
      </c>
      <c r="V174" s="539">
        <f t="shared" si="57"/>
        <v>0</v>
      </c>
      <c r="W174" s="539">
        <f t="shared" si="57"/>
        <v>0</v>
      </c>
      <c r="X174" s="539">
        <f t="shared" si="57"/>
        <v>0</v>
      </c>
      <c r="Y174" s="539">
        <f t="shared" si="57"/>
        <v>0</v>
      </c>
      <c r="Z174" s="539">
        <f t="shared" si="57"/>
        <v>0</v>
      </c>
      <c r="AA174" s="539">
        <f t="shared" si="57"/>
        <v>0</v>
      </c>
      <c r="AB174" s="539">
        <f t="shared" si="57"/>
        <v>0</v>
      </c>
      <c r="AC174" s="539">
        <f t="shared" si="57"/>
        <v>0</v>
      </c>
      <c r="AD174" s="539">
        <f t="shared" si="57"/>
        <v>0</v>
      </c>
      <c r="AE174" s="539">
        <f t="shared" si="57"/>
        <v>0</v>
      </c>
      <c r="AF174" s="539">
        <f t="shared" si="57"/>
        <v>0</v>
      </c>
      <c r="AG174" s="539">
        <f t="shared" si="57"/>
        <v>0</v>
      </c>
      <c r="AH174" s="539">
        <f t="shared" si="57"/>
        <v>0</v>
      </c>
      <c r="AI174" s="539">
        <f t="shared" si="57"/>
        <v>0</v>
      </c>
      <c r="AJ174" s="539">
        <f t="shared" si="57"/>
        <v>0</v>
      </c>
      <c r="AK174" s="539">
        <f t="shared" si="57"/>
        <v>0</v>
      </c>
      <c r="AL174" s="539">
        <f t="shared" si="57"/>
        <v>0</v>
      </c>
      <c r="AM174" s="539">
        <f t="shared" si="57"/>
        <v>0</v>
      </c>
      <c r="AN174" s="539">
        <f t="shared" si="57"/>
        <v>0</v>
      </c>
      <c r="AO174" s="539">
        <f t="shared" si="57"/>
        <v>0</v>
      </c>
      <c r="AP174" s="539">
        <f t="shared" si="57"/>
        <v>0</v>
      </c>
      <c r="AQ174" s="539">
        <f t="shared" si="57"/>
        <v>0</v>
      </c>
      <c r="AR174" s="539">
        <f t="shared" si="57"/>
        <v>0</v>
      </c>
      <c r="AS174" s="539">
        <f t="shared" si="57"/>
        <v>0</v>
      </c>
      <c r="AT174" s="539">
        <f t="shared" si="57"/>
        <v>0</v>
      </c>
      <c r="AU174" s="539">
        <f t="shared" si="57"/>
        <v>0</v>
      </c>
      <c r="AV174" s="539">
        <f t="shared" si="57"/>
        <v>0</v>
      </c>
      <c r="AW174" s="539">
        <f t="shared" si="57"/>
        <v>0</v>
      </c>
      <c r="AX174" s="539">
        <f t="shared" si="57"/>
        <v>0</v>
      </c>
      <c r="AY174" s="539">
        <f t="shared" si="57"/>
        <v>0</v>
      </c>
      <c r="AZ174" s="539">
        <f t="shared" si="57"/>
        <v>0</v>
      </c>
      <c r="BA174" s="539">
        <f t="shared" si="57"/>
        <v>0</v>
      </c>
      <c r="BB174" s="539">
        <f t="shared" si="57"/>
        <v>0</v>
      </c>
      <c r="BC174" s="539">
        <f t="shared" si="57"/>
        <v>0</v>
      </c>
      <c r="BD174" s="539">
        <f t="shared" si="57"/>
        <v>0</v>
      </c>
      <c r="BE174" s="539">
        <f t="shared" si="57"/>
        <v>0</v>
      </c>
      <c r="BF174" s="539">
        <f t="shared" si="57"/>
        <v>0</v>
      </c>
      <c r="BG174" s="539">
        <f t="shared" si="57"/>
        <v>0</v>
      </c>
      <c r="BH174" s="539">
        <f t="shared" si="57"/>
        <v>0</v>
      </c>
      <c r="BI174" s="539">
        <f t="shared" si="57"/>
        <v>0</v>
      </c>
      <c r="BJ174" s="539">
        <f t="shared" si="57"/>
        <v>0</v>
      </c>
      <c r="BK174" s="539">
        <f t="shared" si="57"/>
        <v>0</v>
      </c>
      <c r="BL174" s="539">
        <f t="shared" si="57"/>
        <v>0</v>
      </c>
      <c r="BM174" s="539">
        <f t="shared" si="57"/>
        <v>0</v>
      </c>
      <c r="BN174" s="539">
        <f t="shared" si="57"/>
        <v>0</v>
      </c>
      <c r="BO174" s="539">
        <f t="shared" si="57"/>
        <v>0</v>
      </c>
      <c r="BP174" s="539">
        <f t="shared" si="57"/>
        <v>0</v>
      </c>
      <c r="BQ174" s="539">
        <f t="shared" si="57"/>
        <v>0</v>
      </c>
      <c r="BR174" s="539">
        <f t="shared" si="57"/>
        <v>0</v>
      </c>
      <c r="BS174" s="539">
        <f t="shared" si="57"/>
        <v>0</v>
      </c>
      <c r="BT174" s="539">
        <f t="shared" si="57"/>
        <v>0</v>
      </c>
      <c r="BU174" s="539">
        <f t="shared" si="57"/>
        <v>0</v>
      </c>
      <c r="BV174" s="539">
        <f t="shared" si="57"/>
        <v>0</v>
      </c>
      <c r="BW174" s="539">
        <f t="shared" si="57"/>
        <v>0</v>
      </c>
      <c r="BX174" s="539">
        <f t="shared" si="57"/>
        <v>0</v>
      </c>
      <c r="BY174" s="539">
        <f t="shared" si="57"/>
        <v>0</v>
      </c>
      <c r="BZ174" s="539">
        <f t="shared" si="57"/>
        <v>0</v>
      </c>
      <c r="CA174" s="539">
        <f t="shared" si="57"/>
        <v>0</v>
      </c>
      <c r="CB174" s="539">
        <f t="shared" si="57"/>
        <v>0</v>
      </c>
      <c r="CC174" s="539">
        <f t="shared" si="57"/>
        <v>0</v>
      </c>
      <c r="CD174" s="539">
        <f t="shared" si="57"/>
        <v>0</v>
      </c>
      <c r="CE174" s="539">
        <f t="shared" si="57"/>
        <v>0</v>
      </c>
      <c r="CF174" s="539">
        <f t="shared" si="57"/>
        <v>0</v>
      </c>
      <c r="CG174" s="539">
        <f t="shared" si="57"/>
        <v>0</v>
      </c>
      <c r="CH174" s="539">
        <f t="shared" si="57"/>
        <v>0</v>
      </c>
      <c r="CI174" s="539">
        <f t="shared" si="57"/>
        <v>0</v>
      </c>
      <c r="CJ174" s="539">
        <f t="shared" si="57"/>
        <v>0</v>
      </c>
      <c r="CK174" s="539">
        <f t="shared" si="57"/>
        <v>0</v>
      </c>
      <c r="CL174" s="539">
        <f t="shared" si="57"/>
        <v>0</v>
      </c>
      <c r="CM174" s="539">
        <f t="shared" si="57"/>
        <v>0</v>
      </c>
      <c r="CN174" s="539">
        <f t="shared" si="57"/>
        <v>0</v>
      </c>
      <c r="CO174" s="539">
        <f t="shared" si="57"/>
        <v>0</v>
      </c>
      <c r="CP174" s="539">
        <f t="shared" si="57"/>
        <v>0</v>
      </c>
      <c r="CQ174" s="539">
        <f t="shared" si="57"/>
        <v>0</v>
      </c>
      <c r="CR174" s="539">
        <f t="shared" si="57"/>
        <v>0</v>
      </c>
      <c r="CS174" s="539">
        <f t="shared" si="57"/>
        <v>0</v>
      </c>
      <c r="CT174" s="539">
        <f t="shared" si="57"/>
        <v>0</v>
      </c>
      <c r="CU174" s="539">
        <f t="shared" si="57"/>
        <v>0</v>
      </c>
      <c r="CV174" s="539">
        <f t="shared" si="57"/>
        <v>0</v>
      </c>
      <c r="CW174" s="539">
        <f t="shared" si="57"/>
        <v>0</v>
      </c>
      <c r="CX174" s="539">
        <f t="shared" si="57"/>
        <v>0</v>
      </c>
      <c r="CY174" s="539">
        <f t="shared" si="57"/>
        <v>0</v>
      </c>
      <c r="CZ174" s="539">
        <f t="shared" si="57"/>
        <v>0</v>
      </c>
      <c r="DA174" s="539">
        <f t="shared" si="57"/>
        <v>0</v>
      </c>
      <c r="DB174" s="539">
        <f t="shared" si="57"/>
        <v>0</v>
      </c>
      <c r="DC174" s="539">
        <f t="shared" si="57"/>
        <v>0</v>
      </c>
      <c r="DD174" s="539">
        <f t="shared" si="57"/>
        <v>0</v>
      </c>
      <c r="DE174" s="539">
        <f t="shared" si="57"/>
        <v>0</v>
      </c>
      <c r="DF174" s="539">
        <f t="shared" si="57"/>
        <v>0</v>
      </c>
      <c r="DG174" s="539">
        <f t="shared" si="57"/>
        <v>0</v>
      </c>
      <c r="DH174" s="539">
        <f t="shared" si="57"/>
        <v>0</v>
      </c>
      <c r="DI174" s="539">
        <f t="shared" si="57"/>
        <v>0</v>
      </c>
      <c r="DJ174" s="539">
        <f t="shared" si="57"/>
        <v>0</v>
      </c>
      <c r="DK174" s="539">
        <f t="shared" si="57"/>
        <v>0</v>
      </c>
      <c r="DL174" s="539">
        <f t="shared" si="57"/>
        <v>0</v>
      </c>
      <c r="DM174" s="539">
        <f t="shared" si="57"/>
        <v>0</v>
      </c>
      <c r="DN174" s="539">
        <f t="shared" si="57"/>
        <v>0</v>
      </c>
      <c r="DO174" s="539">
        <f t="shared" si="57"/>
        <v>0</v>
      </c>
      <c r="DP174" s="539">
        <f t="shared" si="57"/>
        <v>0</v>
      </c>
      <c r="DQ174" s="539">
        <f t="shared" si="57"/>
        <v>0</v>
      </c>
      <c r="DR174" s="539">
        <f t="shared" si="57"/>
        <v>0</v>
      </c>
      <c r="DS174" s="539">
        <f t="shared" si="57"/>
        <v>0</v>
      </c>
      <c r="DT174" s="539">
        <f t="shared" si="57"/>
        <v>0</v>
      </c>
      <c r="DU174" s="539">
        <f t="shared" si="57"/>
        <v>0</v>
      </c>
      <c r="DV174" s="539">
        <f t="shared" si="57"/>
        <v>0</v>
      </c>
      <c r="DW174" s="539">
        <f t="shared" si="57"/>
        <v>0</v>
      </c>
      <c r="DX174" s="539">
        <f t="shared" si="57"/>
        <v>0</v>
      </c>
      <c r="DY174" s="539">
        <f t="shared" si="57"/>
        <v>0</v>
      </c>
      <c r="DZ174" s="539">
        <f t="shared" si="57"/>
        <v>0</v>
      </c>
      <c r="EA174" s="539">
        <f t="shared" si="57"/>
        <v>0</v>
      </c>
      <c r="EB174" s="539">
        <f t="shared" si="57"/>
        <v>0</v>
      </c>
      <c r="EC174" s="539">
        <f t="shared" si="57"/>
        <v>0</v>
      </c>
      <c r="ED174" s="539">
        <f t="shared" si="57"/>
        <v>0</v>
      </c>
      <c r="EE174" s="539">
        <f t="shared" si="57"/>
        <v>0</v>
      </c>
      <c r="EF174" s="539">
        <f t="shared" si="57"/>
        <v>0</v>
      </c>
      <c r="EG174" s="539">
        <f t="shared" si="57"/>
        <v>0</v>
      </c>
    </row>
    <row r="176" spans="2:2" ht="12.75">
      <c r="B176" s="534" t="s">
        <v>345</v>
      </c>
    </row>
    <row r="177" spans="5:7" ht="12.75">
      <c r="E177" s="535" t="str">
        <f>InpC!E$92</f>
        <v>Junior facility - interest rate</v>
      </c>
      <c r="F177" s="542">
        <f>InpC!F$92</f>
        <v>0.089999999999999997</v>
      </c>
      <c r="G177" s="542" t="str">
        <f>InpC!G$92</f>
        <v>% p.a.</v>
      </c>
    </row>
    <row r="178" spans="5:7" ht="12.75">
      <c r="E178" s="535" t="str">
        <f>InpC!E$127</f>
        <v>Days per year (interest day count)</v>
      </c>
      <c r="F178" s="537">
        <f>InpC!F$127</f>
        <v>365</v>
      </c>
      <c r="G178" s="537" t="str">
        <f>InpC!G$127</f>
        <v>days</v>
      </c>
    </row>
    <row r="179" spans="5:137" ht="12.75">
      <c r="E179" s="535" t="str">
        <f>Time!E$72</f>
        <v>Construction period flag</v>
      </c>
      <c r="G179" s="537" t="str">
        <f>Time!G$72</f>
        <v>flag</v>
      </c>
      <c r="H179" s="537">
        <f>Time!H$72</f>
        <v>21</v>
      </c>
      <c r="J179" s="537">
        <f>Time!J$72</f>
        <v>0</v>
      </c>
      <c r="K179" s="537">
        <f>Time!K$72</f>
        <v>0</v>
      </c>
      <c r="L179" s="537">
        <f>Time!L$72</f>
        <v>0</v>
      </c>
      <c r="M179" s="537">
        <f>Time!M$72</f>
        <v>1</v>
      </c>
      <c r="N179" s="537">
        <f>Time!N$72</f>
        <v>1</v>
      </c>
      <c r="O179" s="537">
        <f>Time!O$72</f>
        <v>1</v>
      </c>
      <c r="P179" s="537">
        <f>Time!P$72</f>
        <v>1</v>
      </c>
      <c r="Q179" s="537">
        <f>Time!Q$72</f>
        <v>1</v>
      </c>
      <c r="R179" s="537">
        <f>Time!R$72</f>
        <v>1</v>
      </c>
      <c r="S179" s="537">
        <f>Time!S$72</f>
        <v>1</v>
      </c>
      <c r="T179" s="537">
        <f>Time!T$72</f>
        <v>1</v>
      </c>
      <c r="U179" s="537">
        <f>Time!U$72</f>
        <v>1</v>
      </c>
      <c r="V179" s="537">
        <f>Time!V$72</f>
        <v>1</v>
      </c>
      <c r="W179" s="537">
        <f>Time!W$72</f>
        <v>1</v>
      </c>
      <c r="X179" s="537">
        <f>Time!X$72</f>
        <v>1</v>
      </c>
      <c r="Y179" s="537">
        <f>Time!Y$72</f>
        <v>1</v>
      </c>
      <c r="Z179" s="537">
        <f>Time!Z$72</f>
        <v>1</v>
      </c>
      <c r="AA179" s="537">
        <f>Time!AA$72</f>
        <v>1</v>
      </c>
      <c r="AB179" s="537">
        <f>Time!AB$72</f>
        <v>1</v>
      </c>
      <c r="AC179" s="537">
        <f>Time!AC$72</f>
        <v>1</v>
      </c>
      <c r="AD179" s="537">
        <f>Time!AD$72</f>
        <v>1</v>
      </c>
      <c r="AE179" s="537">
        <f>Time!AE$72</f>
        <v>1</v>
      </c>
      <c r="AF179" s="537">
        <f>Time!AF$72</f>
        <v>1</v>
      </c>
      <c r="AG179" s="537">
        <f>Time!AG$72</f>
        <v>1</v>
      </c>
      <c r="AH179" s="537">
        <f>Time!AH$72</f>
        <v>0</v>
      </c>
      <c r="AI179" s="537">
        <f>Time!AI$72</f>
        <v>0</v>
      </c>
      <c r="AJ179" s="537">
        <f>Time!AJ$72</f>
        <v>0</v>
      </c>
      <c r="AK179" s="537">
        <f>Time!AK$72</f>
        <v>0</v>
      </c>
      <c r="AL179" s="537">
        <f>Time!AL$72</f>
        <v>0</v>
      </c>
      <c r="AM179" s="537">
        <f>Time!AM$72</f>
        <v>0</v>
      </c>
      <c r="AN179" s="537">
        <f>Time!AN$72</f>
        <v>0</v>
      </c>
      <c r="AO179" s="537">
        <f>Time!AO$72</f>
        <v>0</v>
      </c>
      <c r="AP179" s="537">
        <f>Time!AP$72</f>
        <v>0</v>
      </c>
      <c r="AQ179" s="537">
        <f>Time!AQ$72</f>
        <v>0</v>
      </c>
      <c r="AR179" s="537">
        <f>Time!AR$72</f>
        <v>0</v>
      </c>
      <c r="AS179" s="537">
        <f>Time!AS$72</f>
        <v>0</v>
      </c>
      <c r="AT179" s="537">
        <f>Time!AT$72</f>
        <v>0</v>
      </c>
      <c r="AU179" s="537">
        <f>Time!AU$72</f>
        <v>0</v>
      </c>
      <c r="AV179" s="537">
        <f>Time!AV$72</f>
        <v>0</v>
      </c>
      <c r="AW179" s="537">
        <f>Time!AW$72</f>
        <v>0</v>
      </c>
      <c r="AX179" s="537">
        <f>Time!AX$72</f>
        <v>0</v>
      </c>
      <c r="AY179" s="537">
        <f>Time!AY$72</f>
        <v>0</v>
      </c>
      <c r="AZ179" s="537">
        <f>Time!AZ$72</f>
        <v>0</v>
      </c>
      <c r="BA179" s="537">
        <f>Time!BA$72</f>
        <v>0</v>
      </c>
      <c r="BB179" s="537">
        <f>Time!BB$72</f>
        <v>0</v>
      </c>
      <c r="BC179" s="537">
        <f>Time!BC$72</f>
        <v>0</v>
      </c>
      <c r="BD179" s="537">
        <f>Time!BD$72</f>
        <v>0</v>
      </c>
      <c r="BE179" s="537">
        <f>Time!BE$72</f>
        <v>0</v>
      </c>
      <c r="BF179" s="537">
        <f>Time!BF$72</f>
        <v>0</v>
      </c>
      <c r="BG179" s="537">
        <f>Time!BG$72</f>
        <v>0</v>
      </c>
      <c r="BH179" s="537">
        <f>Time!BH$72</f>
        <v>0</v>
      </c>
      <c r="BI179" s="537">
        <f>Time!BI$72</f>
        <v>0</v>
      </c>
      <c r="BJ179" s="537">
        <f>Time!BJ$72</f>
        <v>0</v>
      </c>
      <c r="BK179" s="537">
        <f>Time!BK$72</f>
        <v>0</v>
      </c>
      <c r="BL179" s="537">
        <f>Time!BL$72</f>
        <v>0</v>
      </c>
      <c r="BM179" s="537">
        <f>Time!BM$72</f>
        <v>0</v>
      </c>
      <c r="BN179" s="537">
        <f>Time!BN$72</f>
        <v>0</v>
      </c>
      <c r="BO179" s="537">
        <f>Time!BO$72</f>
        <v>0</v>
      </c>
      <c r="BP179" s="537">
        <f>Time!BP$72</f>
        <v>0</v>
      </c>
      <c r="BQ179" s="537">
        <f>Time!BQ$72</f>
        <v>0</v>
      </c>
      <c r="BR179" s="537">
        <f>Time!BR$72</f>
        <v>0</v>
      </c>
      <c r="BS179" s="537">
        <f>Time!BS$72</f>
        <v>0</v>
      </c>
      <c r="BT179" s="537">
        <f>Time!BT$72</f>
        <v>0</v>
      </c>
      <c r="BU179" s="537">
        <f>Time!BU$72</f>
        <v>0</v>
      </c>
      <c r="BV179" s="537">
        <f>Time!BV$72</f>
        <v>0</v>
      </c>
      <c r="BW179" s="537">
        <f>Time!BW$72</f>
        <v>0</v>
      </c>
      <c r="BX179" s="537">
        <f>Time!BX$72</f>
        <v>0</v>
      </c>
      <c r="BY179" s="537">
        <f>Time!BY$72</f>
        <v>0</v>
      </c>
      <c r="BZ179" s="537">
        <f>Time!BZ$72</f>
        <v>0</v>
      </c>
      <c r="CA179" s="537">
        <f>Time!CA$72</f>
        <v>0</v>
      </c>
      <c r="CB179" s="537">
        <f>Time!CB$72</f>
        <v>0</v>
      </c>
      <c r="CC179" s="537">
        <f>Time!CC$72</f>
        <v>0</v>
      </c>
      <c r="CD179" s="537">
        <f>Time!CD$72</f>
        <v>0</v>
      </c>
      <c r="CE179" s="537">
        <f>Time!CE$72</f>
        <v>0</v>
      </c>
      <c r="CF179" s="537">
        <f>Time!CF$72</f>
        <v>0</v>
      </c>
      <c r="CG179" s="537">
        <f>Time!CG$72</f>
        <v>0</v>
      </c>
      <c r="CH179" s="537">
        <f>Time!CH$72</f>
        <v>0</v>
      </c>
      <c r="CI179" s="537">
        <f>Time!CI$72</f>
        <v>0</v>
      </c>
      <c r="CJ179" s="537">
        <f>Time!CJ$72</f>
        <v>0</v>
      </c>
      <c r="CK179" s="537">
        <f>Time!CK$72</f>
        <v>0</v>
      </c>
      <c r="CL179" s="537">
        <f>Time!CL$72</f>
        <v>0</v>
      </c>
      <c r="CM179" s="537">
        <f>Time!CM$72</f>
        <v>0</v>
      </c>
      <c r="CN179" s="537">
        <f>Time!CN$72</f>
        <v>0</v>
      </c>
      <c r="CO179" s="537">
        <f>Time!CO$72</f>
        <v>0</v>
      </c>
      <c r="CP179" s="537">
        <f>Time!CP$72</f>
        <v>0</v>
      </c>
      <c r="CQ179" s="537">
        <f>Time!CQ$72</f>
        <v>0</v>
      </c>
      <c r="CR179" s="537">
        <f>Time!CR$72</f>
        <v>0</v>
      </c>
      <c r="CS179" s="537">
        <f>Time!CS$72</f>
        <v>0</v>
      </c>
      <c r="CT179" s="537">
        <f>Time!CT$72</f>
        <v>0</v>
      </c>
      <c r="CU179" s="537">
        <f>Time!CU$72</f>
        <v>0</v>
      </c>
      <c r="CV179" s="537">
        <f>Time!CV$72</f>
        <v>0</v>
      </c>
      <c r="CW179" s="537">
        <f>Time!CW$72</f>
        <v>0</v>
      </c>
      <c r="CX179" s="537">
        <f>Time!CX$72</f>
        <v>0</v>
      </c>
      <c r="CY179" s="537">
        <f>Time!CY$72</f>
        <v>0</v>
      </c>
      <c r="CZ179" s="537">
        <f>Time!CZ$72</f>
        <v>0</v>
      </c>
      <c r="DA179" s="537">
        <f>Time!DA$72</f>
        <v>0</v>
      </c>
      <c r="DB179" s="537">
        <f>Time!DB$72</f>
        <v>0</v>
      </c>
      <c r="DC179" s="537">
        <f>Time!DC$72</f>
        <v>0</v>
      </c>
      <c r="DD179" s="537">
        <f>Time!DD$72</f>
        <v>0</v>
      </c>
      <c r="DE179" s="537">
        <f>Time!DE$72</f>
        <v>0</v>
      </c>
      <c r="DF179" s="537">
        <f>Time!DF$72</f>
        <v>0</v>
      </c>
      <c r="DG179" s="537">
        <f>Time!DG$72</f>
        <v>0</v>
      </c>
      <c r="DH179" s="537">
        <f>Time!DH$72</f>
        <v>0</v>
      </c>
      <c r="DI179" s="537">
        <f>Time!DI$72</f>
        <v>0</v>
      </c>
      <c r="DJ179" s="537">
        <f>Time!DJ$72</f>
        <v>0</v>
      </c>
      <c r="DK179" s="537">
        <f>Time!DK$72</f>
        <v>0</v>
      </c>
      <c r="DL179" s="537">
        <f>Time!DL$72</f>
        <v>0</v>
      </c>
      <c r="DM179" s="537">
        <f>Time!DM$72</f>
        <v>0</v>
      </c>
      <c r="DN179" s="537">
        <f>Time!DN$72</f>
        <v>0</v>
      </c>
      <c r="DO179" s="537">
        <f>Time!DO$72</f>
        <v>0</v>
      </c>
      <c r="DP179" s="537">
        <f>Time!DP$72</f>
        <v>0</v>
      </c>
      <c r="DQ179" s="537">
        <f>Time!DQ$72</f>
        <v>0</v>
      </c>
      <c r="DR179" s="537">
        <f>Time!DR$72</f>
        <v>0</v>
      </c>
      <c r="DS179" s="537">
        <f>Time!DS$72</f>
        <v>0</v>
      </c>
      <c r="DT179" s="537">
        <f>Time!DT$72</f>
        <v>0</v>
      </c>
      <c r="DU179" s="537">
        <f>Time!DU$72</f>
        <v>0</v>
      </c>
      <c r="DV179" s="537">
        <f>Time!DV$72</f>
        <v>0</v>
      </c>
      <c r="DW179" s="537">
        <f>Time!DW$72</f>
        <v>0</v>
      </c>
      <c r="DX179" s="537">
        <f>Time!DX$72</f>
        <v>0</v>
      </c>
      <c r="DY179" s="537">
        <f>Time!DY$72</f>
        <v>0</v>
      </c>
      <c r="DZ179" s="537">
        <f>Time!DZ$72</f>
        <v>0</v>
      </c>
      <c r="EA179" s="537">
        <f>Time!EA$72</f>
        <v>0</v>
      </c>
      <c r="EB179" s="537">
        <f>Time!EB$72</f>
        <v>0</v>
      </c>
      <c r="EC179" s="537">
        <f>Time!EC$72</f>
        <v>0</v>
      </c>
      <c r="ED179" s="537">
        <f>Time!ED$72</f>
        <v>0</v>
      </c>
      <c r="EE179" s="537">
        <f>Time!EE$72</f>
        <v>0</v>
      </c>
      <c r="EF179" s="537">
        <f>Time!EF$72</f>
        <v>0</v>
      </c>
      <c r="EG179" s="537">
        <f>Time!EG$72</f>
        <v>0</v>
      </c>
    </row>
    <row r="180" spans="5:137" ht="12.75">
      <c r="E180" s="535" t="str">
        <f>Time!E$163</f>
        <v>Days in period</v>
      </c>
      <c r="G180" s="537" t="str">
        <f>Time!G$163</f>
        <v>days</v>
      </c>
      <c r="H180" s="537">
        <f>Time!H$163</f>
        <v>10227</v>
      </c>
      <c r="J180" s="537">
        <f>Time!J$163</f>
        <v>31</v>
      </c>
      <c r="K180" s="537">
        <f>Time!K$163</f>
        <v>28</v>
      </c>
      <c r="L180" s="537">
        <f>Time!L$163</f>
        <v>31</v>
      </c>
      <c r="M180" s="537">
        <f>Time!M$163</f>
        <v>30</v>
      </c>
      <c r="N180" s="537">
        <f>Time!N$163</f>
        <v>31</v>
      </c>
      <c r="O180" s="537">
        <f>Time!O$163</f>
        <v>30</v>
      </c>
      <c r="P180" s="537">
        <f>Time!P$163</f>
        <v>31</v>
      </c>
      <c r="Q180" s="537">
        <f>Time!Q$163</f>
        <v>31</v>
      </c>
      <c r="R180" s="537">
        <f>Time!R$163</f>
        <v>30</v>
      </c>
      <c r="S180" s="537">
        <f>Time!S$163</f>
        <v>31</v>
      </c>
      <c r="T180" s="537">
        <f>Time!T$163</f>
        <v>30</v>
      </c>
      <c r="U180" s="537">
        <f>Time!U$163</f>
        <v>31</v>
      </c>
      <c r="V180" s="537">
        <f>Time!V$163</f>
        <v>31</v>
      </c>
      <c r="W180" s="537">
        <f>Time!W$163</f>
        <v>29</v>
      </c>
      <c r="X180" s="537">
        <f>Time!X$163</f>
        <v>31</v>
      </c>
      <c r="Y180" s="537">
        <f>Time!Y$163</f>
        <v>30</v>
      </c>
      <c r="Z180" s="537">
        <f>Time!Z$163</f>
        <v>31</v>
      </c>
      <c r="AA180" s="537">
        <f>Time!AA$163</f>
        <v>30</v>
      </c>
      <c r="AB180" s="537">
        <f>Time!AB$163</f>
        <v>31</v>
      </c>
      <c r="AC180" s="537">
        <f>Time!AC$163</f>
        <v>31</v>
      </c>
      <c r="AD180" s="537">
        <f>Time!AD$163</f>
        <v>30</v>
      </c>
      <c r="AE180" s="537">
        <f>Time!AE$163</f>
        <v>31</v>
      </c>
      <c r="AF180" s="537">
        <f>Time!AF$163</f>
        <v>30</v>
      </c>
      <c r="AG180" s="537">
        <f>Time!AG$163</f>
        <v>31</v>
      </c>
      <c r="AH180" s="537">
        <f>Time!AH$163</f>
        <v>90</v>
      </c>
      <c r="AI180" s="537">
        <f>Time!AI$163</f>
        <v>91</v>
      </c>
      <c r="AJ180" s="537">
        <f>Time!AJ$163</f>
        <v>92</v>
      </c>
      <c r="AK180" s="537">
        <f>Time!AK$163</f>
        <v>92</v>
      </c>
      <c r="AL180" s="537">
        <f>Time!AL$163</f>
        <v>90</v>
      </c>
      <c r="AM180" s="537">
        <f>Time!AM$163</f>
        <v>91</v>
      </c>
      <c r="AN180" s="537">
        <f>Time!AN$163</f>
        <v>92</v>
      </c>
      <c r="AO180" s="537">
        <f>Time!AO$163</f>
        <v>92</v>
      </c>
      <c r="AP180" s="537">
        <f>Time!AP$163</f>
        <v>90</v>
      </c>
      <c r="AQ180" s="537">
        <f>Time!AQ$163</f>
        <v>91</v>
      </c>
      <c r="AR180" s="537">
        <f>Time!AR$163</f>
        <v>92</v>
      </c>
      <c r="AS180" s="537">
        <f>Time!AS$163</f>
        <v>92</v>
      </c>
      <c r="AT180" s="537">
        <f>Time!AT$163</f>
        <v>91</v>
      </c>
      <c r="AU180" s="537">
        <f>Time!AU$163</f>
        <v>91</v>
      </c>
      <c r="AV180" s="537">
        <f>Time!AV$163</f>
        <v>92</v>
      </c>
      <c r="AW180" s="537">
        <f>Time!AW$163</f>
        <v>92</v>
      </c>
      <c r="AX180" s="537">
        <f>Time!AX$163</f>
        <v>90</v>
      </c>
      <c r="AY180" s="537">
        <f>Time!AY$163</f>
        <v>91</v>
      </c>
      <c r="AZ180" s="537">
        <f>Time!AZ$163</f>
        <v>92</v>
      </c>
      <c r="BA180" s="537">
        <f>Time!BA$163</f>
        <v>92</v>
      </c>
      <c r="BB180" s="537">
        <f>Time!BB$163</f>
        <v>90</v>
      </c>
      <c r="BC180" s="537">
        <f>Time!BC$163</f>
        <v>91</v>
      </c>
      <c r="BD180" s="537">
        <f>Time!BD$163</f>
        <v>92</v>
      </c>
      <c r="BE180" s="537">
        <f>Time!BE$163</f>
        <v>92</v>
      </c>
      <c r="BF180" s="537">
        <f>Time!BF$163</f>
        <v>90</v>
      </c>
      <c r="BG180" s="537">
        <f>Time!BG$163</f>
        <v>91</v>
      </c>
      <c r="BH180" s="537">
        <f>Time!BH$163</f>
        <v>92</v>
      </c>
      <c r="BI180" s="537">
        <f>Time!BI$163</f>
        <v>92</v>
      </c>
      <c r="BJ180" s="537">
        <f>Time!BJ$163</f>
        <v>91</v>
      </c>
      <c r="BK180" s="537">
        <f>Time!BK$163</f>
        <v>91</v>
      </c>
      <c r="BL180" s="537">
        <f>Time!BL$163</f>
        <v>92</v>
      </c>
      <c r="BM180" s="537">
        <f>Time!BM$163</f>
        <v>92</v>
      </c>
      <c r="BN180" s="537">
        <f>Time!BN$163</f>
        <v>90</v>
      </c>
      <c r="BO180" s="537">
        <f>Time!BO$163</f>
        <v>91</v>
      </c>
      <c r="BP180" s="537">
        <f>Time!BP$163</f>
        <v>92</v>
      </c>
      <c r="BQ180" s="537">
        <f>Time!BQ$163</f>
        <v>92</v>
      </c>
      <c r="BR180" s="537">
        <f>Time!BR$163</f>
        <v>90</v>
      </c>
      <c r="BS180" s="537">
        <f>Time!BS$163</f>
        <v>91</v>
      </c>
      <c r="BT180" s="537">
        <f>Time!BT$163</f>
        <v>92</v>
      </c>
      <c r="BU180" s="537">
        <f>Time!BU$163</f>
        <v>92</v>
      </c>
      <c r="BV180" s="537">
        <f>Time!BV$163</f>
        <v>90</v>
      </c>
      <c r="BW180" s="537">
        <f>Time!BW$163</f>
        <v>91</v>
      </c>
      <c r="BX180" s="537">
        <f>Time!BX$163</f>
        <v>92</v>
      </c>
      <c r="BY180" s="537">
        <f>Time!BY$163</f>
        <v>92</v>
      </c>
      <c r="BZ180" s="537">
        <f>Time!BZ$163</f>
        <v>91</v>
      </c>
      <c r="CA180" s="537">
        <f>Time!CA$163</f>
        <v>91</v>
      </c>
      <c r="CB180" s="537">
        <f>Time!CB$163</f>
        <v>92</v>
      </c>
      <c r="CC180" s="537">
        <f>Time!CC$163</f>
        <v>92</v>
      </c>
      <c r="CD180" s="537">
        <f>Time!CD$163</f>
        <v>90</v>
      </c>
      <c r="CE180" s="537">
        <f>Time!CE$163</f>
        <v>91</v>
      </c>
      <c r="CF180" s="537">
        <f>Time!CF$163</f>
        <v>92</v>
      </c>
      <c r="CG180" s="537">
        <f>Time!CG$163</f>
        <v>92</v>
      </c>
      <c r="CH180" s="537">
        <f>Time!CH$163</f>
        <v>90</v>
      </c>
      <c r="CI180" s="537">
        <f>Time!CI$163</f>
        <v>91</v>
      </c>
      <c r="CJ180" s="537">
        <f>Time!CJ$163</f>
        <v>92</v>
      </c>
      <c r="CK180" s="537">
        <f>Time!CK$163</f>
        <v>92</v>
      </c>
      <c r="CL180" s="537">
        <f>Time!CL$163</f>
        <v>90</v>
      </c>
      <c r="CM180" s="537">
        <f>Time!CM$163</f>
        <v>91</v>
      </c>
      <c r="CN180" s="537">
        <f>Time!CN$163</f>
        <v>92</v>
      </c>
      <c r="CO180" s="537">
        <f>Time!CO$163</f>
        <v>92</v>
      </c>
      <c r="CP180" s="537">
        <f>Time!CP$163</f>
        <v>91</v>
      </c>
      <c r="CQ180" s="537">
        <f>Time!CQ$163</f>
        <v>91</v>
      </c>
      <c r="CR180" s="537">
        <f>Time!CR$163</f>
        <v>92</v>
      </c>
      <c r="CS180" s="537">
        <f>Time!CS$163</f>
        <v>92</v>
      </c>
      <c r="CT180" s="537">
        <f>Time!CT$163</f>
        <v>90</v>
      </c>
      <c r="CU180" s="537">
        <f>Time!CU$163</f>
        <v>91</v>
      </c>
      <c r="CV180" s="537">
        <f>Time!CV$163</f>
        <v>92</v>
      </c>
      <c r="CW180" s="537">
        <f>Time!CW$163</f>
        <v>92</v>
      </c>
      <c r="CX180" s="537">
        <f>Time!CX$163</f>
        <v>90</v>
      </c>
      <c r="CY180" s="537">
        <f>Time!CY$163</f>
        <v>91</v>
      </c>
      <c r="CZ180" s="537">
        <f>Time!CZ$163</f>
        <v>92</v>
      </c>
      <c r="DA180" s="537">
        <f>Time!DA$163</f>
        <v>92</v>
      </c>
      <c r="DB180" s="537">
        <f>Time!DB$163</f>
        <v>90</v>
      </c>
      <c r="DC180" s="537">
        <f>Time!DC$163</f>
        <v>91</v>
      </c>
      <c r="DD180" s="537">
        <f>Time!DD$163</f>
        <v>92</v>
      </c>
      <c r="DE180" s="537">
        <f>Time!DE$163</f>
        <v>92</v>
      </c>
      <c r="DF180" s="537">
        <f>Time!DF$163</f>
        <v>91</v>
      </c>
      <c r="DG180" s="537">
        <f>Time!DG$163</f>
        <v>91</v>
      </c>
      <c r="DH180" s="537">
        <f>Time!DH$163</f>
        <v>92</v>
      </c>
      <c r="DI180" s="537">
        <f>Time!DI$163</f>
        <v>92</v>
      </c>
      <c r="DJ180" s="537">
        <f>Time!DJ$163</f>
        <v>90</v>
      </c>
      <c r="DK180" s="537">
        <f>Time!DK$163</f>
        <v>91</v>
      </c>
      <c r="DL180" s="537">
        <f>Time!DL$163</f>
        <v>92</v>
      </c>
      <c r="DM180" s="537">
        <f>Time!DM$163</f>
        <v>92</v>
      </c>
      <c r="DN180" s="537">
        <f>Time!DN$163</f>
        <v>90</v>
      </c>
      <c r="DO180" s="537">
        <f>Time!DO$163</f>
        <v>91</v>
      </c>
      <c r="DP180" s="537">
        <f>Time!DP$163</f>
        <v>92</v>
      </c>
      <c r="DQ180" s="537">
        <f>Time!DQ$163</f>
        <v>92</v>
      </c>
      <c r="DR180" s="537">
        <f>Time!DR$163</f>
        <v>90</v>
      </c>
      <c r="DS180" s="537">
        <f>Time!DS$163</f>
        <v>91</v>
      </c>
      <c r="DT180" s="537">
        <f>Time!DT$163</f>
        <v>92</v>
      </c>
      <c r="DU180" s="537">
        <f>Time!DU$163</f>
        <v>92</v>
      </c>
      <c r="DV180" s="537">
        <f>Time!DV$163</f>
        <v>91</v>
      </c>
      <c r="DW180" s="537">
        <f>Time!DW$163</f>
        <v>91</v>
      </c>
      <c r="DX180" s="537">
        <f>Time!DX$163</f>
        <v>92</v>
      </c>
      <c r="DY180" s="537">
        <f>Time!DY$163</f>
        <v>92</v>
      </c>
      <c r="DZ180" s="537">
        <f>Time!DZ$163</f>
        <v>90</v>
      </c>
      <c r="EA180" s="537">
        <f>Time!EA$163</f>
        <v>91</v>
      </c>
      <c r="EB180" s="537">
        <f>Time!EB$163</f>
        <v>92</v>
      </c>
      <c r="EC180" s="537">
        <f>Time!EC$163</f>
        <v>92</v>
      </c>
      <c r="ED180" s="537">
        <f>Time!ED$163</f>
        <v>90</v>
      </c>
      <c r="EE180" s="537">
        <f>Time!EE$163</f>
        <v>91</v>
      </c>
      <c r="EF180" s="537">
        <f>Time!EF$163</f>
        <v>92</v>
      </c>
      <c r="EG180" s="537">
        <f>Time!EG$163</f>
        <v>92</v>
      </c>
    </row>
    <row r="181" spans="5:137" ht="12.75">
      <c r="E181" s="538" t="str">
        <f>E$172</f>
        <v>Junior facility - opening balance</v>
      </c>
      <c r="G181" s="539" t="str">
        <f>G$172</f>
        <v>EUR 000s</v>
      </c>
      <c r="H181" s="539">
        <f>H$172</f>
        <v>1008475.4152814726</v>
      </c>
      <c r="J181" s="539">
        <f t="shared" si="58" ref="J181:EG181">J$172</f>
        <v>0</v>
      </c>
      <c r="K181" s="539">
        <f t="shared" si="58"/>
        <v>0</v>
      </c>
      <c r="L181" s="539">
        <f t="shared" si="58"/>
        <v>0</v>
      </c>
      <c r="M181" s="539">
        <f t="shared" si="58"/>
        <v>0</v>
      </c>
      <c r="N181" s="539">
        <f t="shared" si="58"/>
        <v>0</v>
      </c>
      <c r="O181" s="539">
        <f t="shared" si="58"/>
        <v>0</v>
      </c>
      <c r="P181" s="539">
        <f t="shared" si="58"/>
        <v>0</v>
      </c>
      <c r="Q181" s="539">
        <f t="shared" si="58"/>
        <v>0</v>
      </c>
      <c r="R181" s="539">
        <f t="shared" si="58"/>
        <v>9524.2618544395227</v>
      </c>
      <c r="S181" s="539">
        <f t="shared" si="58"/>
        <v>25289.902618405918</v>
      </c>
      <c r="T181" s="539">
        <f t="shared" si="58"/>
        <v>25289.902618405918</v>
      </c>
      <c r="U181" s="539">
        <f t="shared" si="58"/>
        <v>25289.902618405918</v>
      </c>
      <c r="V181" s="539">
        <f t="shared" si="58"/>
        <v>25289.902618405918</v>
      </c>
      <c r="W181" s="539">
        <f t="shared" si="58"/>
        <v>25289.902618405918</v>
      </c>
      <c r="X181" s="539">
        <f t="shared" si="58"/>
        <v>25289.902618405918</v>
      </c>
      <c r="Y181" s="539">
        <f t="shared" si="58"/>
        <v>25289.902618405918</v>
      </c>
      <c r="Z181" s="539">
        <f t="shared" si="58"/>
        <v>25289.902618405918</v>
      </c>
      <c r="AA181" s="539">
        <f t="shared" si="58"/>
        <v>25289.902618405918</v>
      </c>
      <c r="AB181" s="539">
        <f t="shared" si="58"/>
        <v>25289.902618405918</v>
      </c>
      <c r="AC181" s="539">
        <f t="shared" si="58"/>
        <v>25289.902618405918</v>
      </c>
      <c r="AD181" s="539">
        <f t="shared" si="58"/>
        <v>25289.902618405918</v>
      </c>
      <c r="AE181" s="539">
        <f t="shared" si="58"/>
        <v>25289.902618405918</v>
      </c>
      <c r="AF181" s="539">
        <f t="shared" si="58"/>
        <v>25289.902618405918</v>
      </c>
      <c r="AG181" s="539">
        <f t="shared" si="58"/>
        <v>25289.902618405918</v>
      </c>
      <c r="AH181" s="539">
        <f t="shared" si="58"/>
        <v>25289.902618405918</v>
      </c>
      <c r="AI181" s="539">
        <f t="shared" si="58"/>
        <v>24763.029647189127</v>
      </c>
      <c r="AJ181" s="539">
        <f t="shared" si="58"/>
        <v>24236.156675972336</v>
      </c>
      <c r="AK181" s="539">
        <f t="shared" si="58"/>
        <v>23709.283704755544</v>
      </c>
      <c r="AL181" s="539">
        <f t="shared" si="58"/>
        <v>23182.410733538753</v>
      </c>
      <c r="AM181" s="539">
        <f t="shared" si="58"/>
        <v>22655.537762321961</v>
      </c>
      <c r="AN181" s="539">
        <f t="shared" si="58"/>
        <v>22128.66479110517</v>
      </c>
      <c r="AO181" s="539">
        <f t="shared" si="58"/>
        <v>21601.791819888378</v>
      </c>
      <c r="AP181" s="539">
        <f t="shared" si="58"/>
        <v>21074.918848671587</v>
      </c>
      <c r="AQ181" s="539">
        <f t="shared" si="58"/>
        <v>20548.045877454795</v>
      </c>
      <c r="AR181" s="539">
        <f t="shared" si="58"/>
        <v>20021.172906238004</v>
      </c>
      <c r="AS181" s="539">
        <f t="shared" si="58"/>
        <v>19494.299935021212</v>
      </c>
      <c r="AT181" s="539">
        <f t="shared" si="58"/>
        <v>18967.426963804421</v>
      </c>
      <c r="AU181" s="539">
        <f t="shared" si="58"/>
        <v>18440.553992587629</v>
      </c>
      <c r="AV181" s="539">
        <f t="shared" si="58"/>
        <v>17913.681021370838</v>
      </c>
      <c r="AW181" s="539">
        <f t="shared" si="58"/>
        <v>17386.808050154046</v>
      </c>
      <c r="AX181" s="539">
        <f t="shared" si="58"/>
        <v>16859.935078937255</v>
      </c>
      <c r="AY181" s="539">
        <f t="shared" si="58"/>
        <v>16333.062107720465</v>
      </c>
      <c r="AZ181" s="539">
        <f t="shared" si="58"/>
        <v>15806.189136503675</v>
      </c>
      <c r="BA181" s="539">
        <f t="shared" si="58"/>
        <v>15279.316165286886</v>
      </c>
      <c r="BB181" s="539">
        <f t="shared" si="58"/>
        <v>14752.443194070096</v>
      </c>
      <c r="BC181" s="539">
        <f t="shared" si="58"/>
        <v>14225.570222853306</v>
      </c>
      <c r="BD181" s="539">
        <f t="shared" si="58"/>
        <v>13698.697251636517</v>
      </c>
      <c r="BE181" s="539">
        <f t="shared" si="58"/>
        <v>13171.824280419727</v>
      </c>
      <c r="BF181" s="539">
        <f t="shared" si="58"/>
        <v>12644.951309202937</v>
      </c>
      <c r="BG181" s="539">
        <f t="shared" si="58"/>
        <v>12118.078337986148</v>
      </c>
      <c r="BH181" s="539">
        <f t="shared" si="58"/>
        <v>11591.205366769358</v>
      </c>
      <c r="BI181" s="539">
        <f t="shared" si="58"/>
        <v>11064.332395552568</v>
      </c>
      <c r="BJ181" s="539">
        <f t="shared" si="58"/>
        <v>10537.459424335779</v>
      </c>
      <c r="BK181" s="539">
        <f t="shared" si="58"/>
        <v>10010.586453118989</v>
      </c>
      <c r="BL181" s="539">
        <f t="shared" si="58"/>
        <v>9483.7134819021994</v>
      </c>
      <c r="BM181" s="539">
        <f t="shared" si="58"/>
        <v>8956.8405106854098</v>
      </c>
      <c r="BN181" s="539">
        <f t="shared" si="58"/>
        <v>8429.9675394686201</v>
      </c>
      <c r="BO181" s="539">
        <f t="shared" si="58"/>
        <v>7903.0945682518304</v>
      </c>
      <c r="BP181" s="539">
        <f t="shared" si="58"/>
        <v>7376.2215970350408</v>
      </c>
      <c r="BQ181" s="539">
        <f t="shared" si="58"/>
        <v>6849.3486258182511</v>
      </c>
      <c r="BR181" s="539">
        <f t="shared" si="58"/>
        <v>6322.4756546014614</v>
      </c>
      <c r="BS181" s="539">
        <f t="shared" si="58"/>
        <v>5795.6026833846718</v>
      </c>
      <c r="BT181" s="539">
        <f t="shared" si="58"/>
        <v>5268.7297121678821</v>
      </c>
      <c r="BU181" s="539">
        <f t="shared" si="58"/>
        <v>4741.8567409510924</v>
      </c>
      <c r="BV181" s="539">
        <f t="shared" si="58"/>
        <v>4214.9837697343028</v>
      </c>
      <c r="BW181" s="539">
        <f t="shared" si="58"/>
        <v>3688.1107985175126</v>
      </c>
      <c r="BX181" s="539">
        <f t="shared" si="58"/>
        <v>3161.2378273007225</v>
      </c>
      <c r="BY181" s="539">
        <f t="shared" si="58"/>
        <v>2634.3648560839324</v>
      </c>
      <c r="BZ181" s="539">
        <f t="shared" si="58"/>
        <v>2107.4918848671423</v>
      </c>
      <c r="CA181" s="539">
        <f t="shared" si="58"/>
        <v>1580.6189136503522</v>
      </c>
      <c r="CB181" s="539">
        <f t="shared" si="58"/>
        <v>1053.745942433562</v>
      </c>
      <c r="CC181" s="539">
        <f t="shared" si="58"/>
        <v>526.87297121677204</v>
      </c>
      <c r="CD181" s="539">
        <f t="shared" si="58"/>
        <v>-1.7962520360015333E-11</v>
      </c>
      <c r="CE181" s="539">
        <f t="shared" si="58"/>
        <v>-1.7962520360015333E-11</v>
      </c>
      <c r="CF181" s="539">
        <f t="shared" si="58"/>
        <v>-1.7962520360015333E-11</v>
      </c>
      <c r="CG181" s="539">
        <f t="shared" si="58"/>
        <v>-1.7962520360015333E-11</v>
      </c>
      <c r="CH181" s="539">
        <f t="shared" si="58"/>
        <v>-1.7962520360015333E-11</v>
      </c>
      <c r="CI181" s="539">
        <f t="shared" si="58"/>
        <v>-1.7962520360015333E-11</v>
      </c>
      <c r="CJ181" s="539">
        <f t="shared" si="58"/>
        <v>-1.7962520360015333E-11</v>
      </c>
      <c r="CK181" s="539">
        <f t="shared" si="58"/>
        <v>-1.7962520360015333E-11</v>
      </c>
      <c r="CL181" s="539">
        <f t="shared" si="58"/>
        <v>-1.7962520360015333E-11</v>
      </c>
      <c r="CM181" s="539">
        <f t="shared" si="58"/>
        <v>-1.7962520360015333E-11</v>
      </c>
      <c r="CN181" s="539">
        <f t="shared" si="58"/>
        <v>-1.7962520360015333E-11</v>
      </c>
      <c r="CO181" s="539">
        <f t="shared" si="58"/>
        <v>-1.7962520360015333E-11</v>
      </c>
      <c r="CP181" s="539">
        <f t="shared" si="58"/>
        <v>-1.7962520360015333E-11</v>
      </c>
      <c r="CQ181" s="539">
        <f t="shared" si="58"/>
        <v>-1.7962520360015333E-11</v>
      </c>
      <c r="CR181" s="539">
        <f t="shared" si="58"/>
        <v>-1.7962520360015333E-11</v>
      </c>
      <c r="CS181" s="539">
        <f t="shared" si="58"/>
        <v>-1.7962520360015333E-11</v>
      </c>
      <c r="CT181" s="539">
        <f t="shared" si="58"/>
        <v>-1.7962520360015333E-11</v>
      </c>
      <c r="CU181" s="539">
        <f t="shared" si="58"/>
        <v>-1.7962520360015333E-11</v>
      </c>
      <c r="CV181" s="539">
        <f t="shared" si="58"/>
        <v>-1.7962520360015333E-11</v>
      </c>
      <c r="CW181" s="539">
        <f t="shared" si="58"/>
        <v>-1.7962520360015333E-11</v>
      </c>
      <c r="CX181" s="539">
        <f t="shared" si="58"/>
        <v>-1.7962520360015333E-11</v>
      </c>
      <c r="CY181" s="539">
        <f t="shared" si="58"/>
        <v>-1.7962520360015333E-11</v>
      </c>
      <c r="CZ181" s="539">
        <f t="shared" si="58"/>
        <v>-1.7962520360015333E-11</v>
      </c>
      <c r="DA181" s="539">
        <f t="shared" si="58"/>
        <v>-1.7962520360015333E-11</v>
      </c>
      <c r="DB181" s="539">
        <f t="shared" si="58"/>
        <v>-1.7962520360015333E-11</v>
      </c>
      <c r="DC181" s="539">
        <f t="shared" si="58"/>
        <v>-1.7962520360015333E-11</v>
      </c>
      <c r="DD181" s="539">
        <f t="shared" si="58"/>
        <v>-1.7962520360015333E-11</v>
      </c>
      <c r="DE181" s="539">
        <f t="shared" si="58"/>
        <v>-1.7962520360015333E-11</v>
      </c>
      <c r="DF181" s="539">
        <f t="shared" si="58"/>
        <v>-1.7962520360015333E-11</v>
      </c>
      <c r="DG181" s="539">
        <f t="shared" si="58"/>
        <v>-1.7962520360015333E-11</v>
      </c>
      <c r="DH181" s="539">
        <f t="shared" si="58"/>
        <v>-1.7962520360015333E-11</v>
      </c>
      <c r="DI181" s="539">
        <f t="shared" si="58"/>
        <v>-1.7962520360015333E-11</v>
      </c>
      <c r="DJ181" s="539">
        <f t="shared" si="58"/>
        <v>-1.7962520360015333E-11</v>
      </c>
      <c r="DK181" s="539">
        <f t="shared" si="58"/>
        <v>-1.7962520360015333E-11</v>
      </c>
      <c r="DL181" s="539">
        <f t="shared" si="58"/>
        <v>-1.7962520360015333E-11</v>
      </c>
      <c r="DM181" s="539">
        <f t="shared" si="58"/>
        <v>-1.7962520360015333E-11</v>
      </c>
      <c r="DN181" s="539">
        <f t="shared" si="58"/>
        <v>-1.7962520360015333E-11</v>
      </c>
      <c r="DO181" s="539">
        <f t="shared" si="58"/>
        <v>-1.7962520360015333E-11</v>
      </c>
      <c r="DP181" s="539">
        <f t="shared" si="58"/>
        <v>-1.7962520360015333E-11</v>
      </c>
      <c r="DQ181" s="539">
        <f t="shared" si="58"/>
        <v>-1.7962520360015333E-11</v>
      </c>
      <c r="DR181" s="539">
        <f t="shared" si="58"/>
        <v>-1.7962520360015333E-11</v>
      </c>
      <c r="DS181" s="539">
        <f t="shared" si="58"/>
        <v>-1.7962520360015333E-11</v>
      </c>
      <c r="DT181" s="539">
        <f t="shared" si="58"/>
        <v>-1.7962520360015333E-11</v>
      </c>
      <c r="DU181" s="539">
        <f t="shared" si="58"/>
        <v>-1.7962520360015333E-11</v>
      </c>
      <c r="DV181" s="539">
        <f t="shared" si="58"/>
        <v>-1.7962520360015333E-11</v>
      </c>
      <c r="DW181" s="539">
        <f t="shared" si="58"/>
        <v>-1.7962520360015333E-11</v>
      </c>
      <c r="DX181" s="539">
        <f t="shared" si="58"/>
        <v>-1.7962520360015333E-11</v>
      </c>
      <c r="DY181" s="539">
        <f t="shared" si="58"/>
        <v>-1.7962520360015333E-11</v>
      </c>
      <c r="DZ181" s="539">
        <f t="shared" si="58"/>
        <v>-1.7962520360015333E-11</v>
      </c>
      <c r="EA181" s="539">
        <f t="shared" si="58"/>
        <v>-1.7962520360015333E-11</v>
      </c>
      <c r="EB181" s="539">
        <f t="shared" si="58"/>
        <v>-1.7962520360015333E-11</v>
      </c>
      <c r="EC181" s="539">
        <f t="shared" si="58"/>
        <v>-1.7962520360015333E-11</v>
      </c>
      <c r="ED181" s="539">
        <f t="shared" si="58"/>
        <v>-1.7962520360015333E-11</v>
      </c>
      <c r="EE181" s="539">
        <f t="shared" si="58"/>
        <v>-1.7962520360015333E-11</v>
      </c>
      <c r="EF181" s="539">
        <f t="shared" si="58"/>
        <v>-1.7962520360015333E-11</v>
      </c>
      <c r="EG181" s="539">
        <f t="shared" si="58"/>
        <v>-1.7962520360015333E-11</v>
      </c>
    </row>
    <row r="182" spans="5:137" ht="12.75">
      <c r="E182" s="540" t="s">
        <v>346</v>
      </c>
      <c r="G182" s="541" t="s">
        <v>30</v>
      </c>
      <c r="H182" s="541">
        <f>SUM(J182:EG182)</f>
        <v>2926.480254623777</v>
      </c>
      <c r="J182" s="541">
        <f t="shared" si="59" ref="J182:EG182">J181*$F177*J180/$F178*J179</f>
        <v>0</v>
      </c>
      <c r="K182" s="541">
        <f t="shared" si="59"/>
        <v>0</v>
      </c>
      <c r="L182" s="541">
        <f t="shared" si="59"/>
        <v>0</v>
      </c>
      <c r="M182" s="541">
        <f t="shared" si="59"/>
        <v>0</v>
      </c>
      <c r="N182" s="541">
        <f t="shared" si="59"/>
        <v>0</v>
      </c>
      <c r="O182" s="541">
        <f t="shared" si="59"/>
        <v>0</v>
      </c>
      <c r="P182" s="541">
        <f t="shared" si="59"/>
        <v>0</v>
      </c>
      <c r="Q182" s="541">
        <f t="shared" si="59"/>
        <v>0</v>
      </c>
      <c r="R182" s="541">
        <f t="shared" si="59"/>
        <v>70.453443854758106</v>
      </c>
      <c r="S182" s="541">
        <f t="shared" si="59"/>
        <v>193.31185837082879</v>
      </c>
      <c r="T182" s="541">
        <f t="shared" si="59"/>
        <v>187.07599197176981</v>
      </c>
      <c r="U182" s="541">
        <f t="shared" si="59"/>
        <v>193.31185837082879</v>
      </c>
      <c r="V182" s="541">
        <f t="shared" si="59"/>
        <v>193.31185837082879</v>
      </c>
      <c r="W182" s="541">
        <f t="shared" si="59"/>
        <v>180.8401255727108</v>
      </c>
      <c r="X182" s="541">
        <f t="shared" si="59"/>
        <v>193.31185837082879</v>
      </c>
      <c r="Y182" s="541">
        <f t="shared" si="59"/>
        <v>187.07599197176981</v>
      </c>
      <c r="Z182" s="541">
        <f t="shared" si="59"/>
        <v>193.31185837082879</v>
      </c>
      <c r="AA182" s="541">
        <f t="shared" si="59"/>
        <v>187.07599197176981</v>
      </c>
      <c r="AB182" s="541">
        <f t="shared" si="59"/>
        <v>193.31185837082879</v>
      </c>
      <c r="AC182" s="541">
        <f t="shared" si="59"/>
        <v>193.31185837082879</v>
      </c>
      <c r="AD182" s="541">
        <f t="shared" si="59"/>
        <v>187.07599197176981</v>
      </c>
      <c r="AE182" s="541">
        <f t="shared" si="59"/>
        <v>193.31185837082879</v>
      </c>
      <c r="AF182" s="541">
        <f t="shared" si="59"/>
        <v>187.07599197176981</v>
      </c>
      <c r="AG182" s="541">
        <f t="shared" si="59"/>
        <v>193.31185837082879</v>
      </c>
      <c r="AH182" s="541">
        <f t="shared" si="59"/>
        <v>0</v>
      </c>
      <c r="AI182" s="541">
        <f t="shared" si="59"/>
        <v>0</v>
      </c>
      <c r="AJ182" s="541">
        <f t="shared" si="59"/>
        <v>0</v>
      </c>
      <c r="AK182" s="541">
        <f t="shared" si="59"/>
        <v>0</v>
      </c>
      <c r="AL182" s="541">
        <f t="shared" si="59"/>
        <v>0</v>
      </c>
      <c r="AM182" s="541">
        <f t="shared" si="59"/>
        <v>0</v>
      </c>
      <c r="AN182" s="541">
        <f t="shared" si="59"/>
        <v>0</v>
      </c>
      <c r="AO182" s="541">
        <f t="shared" si="59"/>
        <v>0</v>
      </c>
      <c r="AP182" s="541">
        <f t="shared" si="59"/>
        <v>0</v>
      </c>
      <c r="AQ182" s="541">
        <f t="shared" si="59"/>
        <v>0</v>
      </c>
      <c r="AR182" s="541">
        <f t="shared" si="59"/>
        <v>0</v>
      </c>
      <c r="AS182" s="541">
        <f t="shared" si="59"/>
        <v>0</v>
      </c>
      <c r="AT182" s="541">
        <f t="shared" si="59"/>
        <v>0</v>
      </c>
      <c r="AU182" s="541">
        <f t="shared" si="59"/>
        <v>0</v>
      </c>
      <c r="AV182" s="541">
        <f t="shared" si="59"/>
        <v>0</v>
      </c>
      <c r="AW182" s="541">
        <f t="shared" si="59"/>
        <v>0</v>
      </c>
      <c r="AX182" s="541">
        <f t="shared" si="59"/>
        <v>0</v>
      </c>
      <c r="AY182" s="541">
        <f t="shared" si="59"/>
        <v>0</v>
      </c>
      <c r="AZ182" s="541">
        <f t="shared" si="59"/>
        <v>0</v>
      </c>
      <c r="BA182" s="541">
        <f t="shared" si="59"/>
        <v>0</v>
      </c>
      <c r="BB182" s="541">
        <f t="shared" si="59"/>
        <v>0</v>
      </c>
      <c r="BC182" s="541">
        <f t="shared" si="59"/>
        <v>0</v>
      </c>
      <c r="BD182" s="541">
        <f t="shared" si="59"/>
        <v>0</v>
      </c>
      <c r="BE182" s="541">
        <f t="shared" si="59"/>
        <v>0</v>
      </c>
      <c r="BF182" s="541">
        <f t="shared" si="59"/>
        <v>0</v>
      </c>
      <c r="BG182" s="541">
        <f t="shared" si="59"/>
        <v>0</v>
      </c>
      <c r="BH182" s="541">
        <f t="shared" si="59"/>
        <v>0</v>
      </c>
      <c r="BI182" s="541">
        <f t="shared" si="59"/>
        <v>0</v>
      </c>
      <c r="BJ182" s="541">
        <f t="shared" si="59"/>
        <v>0</v>
      </c>
      <c r="BK182" s="541">
        <f t="shared" si="59"/>
        <v>0</v>
      </c>
      <c r="BL182" s="541">
        <f t="shared" si="59"/>
        <v>0</v>
      </c>
      <c r="BM182" s="541">
        <f t="shared" si="59"/>
        <v>0</v>
      </c>
      <c r="BN182" s="541">
        <f t="shared" si="59"/>
        <v>0</v>
      </c>
      <c r="BO182" s="541">
        <f t="shared" si="59"/>
        <v>0</v>
      </c>
      <c r="BP182" s="541">
        <f t="shared" si="59"/>
        <v>0</v>
      </c>
      <c r="BQ182" s="541">
        <f t="shared" si="59"/>
        <v>0</v>
      </c>
      <c r="BR182" s="541">
        <f t="shared" si="59"/>
        <v>0</v>
      </c>
      <c r="BS182" s="541">
        <f t="shared" si="59"/>
        <v>0</v>
      </c>
      <c r="BT182" s="541">
        <f t="shared" si="59"/>
        <v>0</v>
      </c>
      <c r="BU182" s="541">
        <f t="shared" si="59"/>
        <v>0</v>
      </c>
      <c r="BV182" s="541">
        <f t="shared" si="59"/>
        <v>0</v>
      </c>
      <c r="BW182" s="541">
        <f t="shared" si="59"/>
        <v>0</v>
      </c>
      <c r="BX182" s="541">
        <f t="shared" si="59"/>
        <v>0</v>
      </c>
      <c r="BY182" s="541">
        <f t="shared" si="59"/>
        <v>0</v>
      </c>
      <c r="BZ182" s="541">
        <f t="shared" si="59"/>
        <v>0</v>
      </c>
      <c r="CA182" s="541">
        <f t="shared" si="59"/>
        <v>0</v>
      </c>
      <c r="CB182" s="541">
        <f t="shared" si="59"/>
        <v>0</v>
      </c>
      <c r="CC182" s="541">
        <f t="shared" si="59"/>
        <v>0</v>
      </c>
      <c r="CD182" s="541">
        <f t="shared" si="59"/>
        <v>0</v>
      </c>
      <c r="CE182" s="541">
        <f t="shared" si="59"/>
        <v>0</v>
      </c>
      <c r="CF182" s="541">
        <f t="shared" si="59"/>
        <v>0</v>
      </c>
      <c r="CG182" s="541">
        <f t="shared" si="59"/>
        <v>0</v>
      </c>
      <c r="CH182" s="541">
        <f t="shared" si="59"/>
        <v>0</v>
      </c>
      <c r="CI182" s="541">
        <f t="shared" si="59"/>
        <v>0</v>
      </c>
      <c r="CJ182" s="541">
        <f t="shared" si="59"/>
        <v>0</v>
      </c>
      <c r="CK182" s="541">
        <f t="shared" si="59"/>
        <v>0</v>
      </c>
      <c r="CL182" s="541">
        <f t="shared" si="59"/>
        <v>0</v>
      </c>
      <c r="CM182" s="541">
        <f t="shared" si="59"/>
        <v>0</v>
      </c>
      <c r="CN182" s="541">
        <f t="shared" si="59"/>
        <v>0</v>
      </c>
      <c r="CO182" s="541">
        <f t="shared" si="59"/>
        <v>0</v>
      </c>
      <c r="CP182" s="541">
        <f t="shared" si="59"/>
        <v>0</v>
      </c>
      <c r="CQ182" s="541">
        <f t="shared" si="59"/>
        <v>0</v>
      </c>
      <c r="CR182" s="541">
        <f t="shared" si="59"/>
        <v>0</v>
      </c>
      <c r="CS182" s="541">
        <f t="shared" si="59"/>
        <v>0</v>
      </c>
      <c r="CT182" s="541">
        <f t="shared" si="59"/>
        <v>0</v>
      </c>
      <c r="CU182" s="541">
        <f t="shared" si="59"/>
        <v>0</v>
      </c>
      <c r="CV182" s="541">
        <f t="shared" si="59"/>
        <v>0</v>
      </c>
      <c r="CW182" s="541">
        <f t="shared" si="59"/>
        <v>0</v>
      </c>
      <c r="CX182" s="541">
        <f t="shared" si="59"/>
        <v>0</v>
      </c>
      <c r="CY182" s="541">
        <f t="shared" si="59"/>
        <v>0</v>
      </c>
      <c r="CZ182" s="541">
        <f t="shared" si="59"/>
        <v>0</v>
      </c>
      <c r="DA182" s="541">
        <f t="shared" si="59"/>
        <v>0</v>
      </c>
      <c r="DB182" s="541">
        <f t="shared" si="59"/>
        <v>0</v>
      </c>
      <c r="DC182" s="541">
        <f t="shared" si="59"/>
        <v>0</v>
      </c>
      <c r="DD182" s="541">
        <f t="shared" si="59"/>
        <v>0</v>
      </c>
      <c r="DE182" s="541">
        <f t="shared" si="59"/>
        <v>0</v>
      </c>
      <c r="DF182" s="541">
        <f t="shared" si="59"/>
        <v>0</v>
      </c>
      <c r="DG182" s="541">
        <f t="shared" si="59"/>
        <v>0</v>
      </c>
      <c r="DH182" s="541">
        <f t="shared" si="59"/>
        <v>0</v>
      </c>
      <c r="DI182" s="541">
        <f t="shared" si="59"/>
        <v>0</v>
      </c>
      <c r="DJ182" s="541">
        <f t="shared" si="59"/>
        <v>0</v>
      </c>
      <c r="DK182" s="541">
        <f t="shared" si="59"/>
        <v>0</v>
      </c>
      <c r="DL182" s="541">
        <f t="shared" si="59"/>
        <v>0</v>
      </c>
      <c r="DM182" s="541">
        <f t="shared" si="59"/>
        <v>0</v>
      </c>
      <c r="DN182" s="541">
        <f t="shared" si="59"/>
        <v>0</v>
      </c>
      <c r="DO182" s="541">
        <f t="shared" si="59"/>
        <v>0</v>
      </c>
      <c r="DP182" s="541">
        <f t="shared" si="59"/>
        <v>0</v>
      </c>
      <c r="DQ182" s="541">
        <f t="shared" si="59"/>
        <v>0</v>
      </c>
      <c r="DR182" s="541">
        <f t="shared" si="59"/>
        <v>0</v>
      </c>
      <c r="DS182" s="541">
        <f t="shared" si="59"/>
        <v>0</v>
      </c>
      <c r="DT182" s="541">
        <f t="shared" si="59"/>
        <v>0</v>
      </c>
      <c r="DU182" s="541">
        <f t="shared" si="59"/>
        <v>0</v>
      </c>
      <c r="DV182" s="541">
        <f t="shared" si="59"/>
        <v>0</v>
      </c>
      <c r="DW182" s="541">
        <f t="shared" si="59"/>
        <v>0</v>
      </c>
      <c r="DX182" s="541">
        <f t="shared" si="59"/>
        <v>0</v>
      </c>
      <c r="DY182" s="541">
        <f t="shared" si="59"/>
        <v>0</v>
      </c>
      <c r="DZ182" s="541">
        <f t="shared" si="59"/>
        <v>0</v>
      </c>
      <c r="EA182" s="541">
        <f t="shared" si="59"/>
        <v>0</v>
      </c>
      <c r="EB182" s="541">
        <f t="shared" si="59"/>
        <v>0</v>
      </c>
      <c r="EC182" s="541">
        <f t="shared" si="59"/>
        <v>0</v>
      </c>
      <c r="ED182" s="541">
        <f t="shared" si="59"/>
        <v>0</v>
      </c>
      <c r="EE182" s="541">
        <f t="shared" si="59"/>
        <v>0</v>
      </c>
      <c r="EF182" s="541">
        <f t="shared" si="59"/>
        <v>0</v>
      </c>
      <c r="EG182" s="541">
        <f t="shared" si="59"/>
        <v>0</v>
      </c>
    </row>
    <row r="184" spans="5:7" ht="12.75">
      <c r="E184" s="535" t="str">
        <f>InpC!E$92</f>
        <v>Junior facility - interest rate</v>
      </c>
      <c r="F184" s="542">
        <f>InpC!F$92</f>
        <v>0.089999999999999997</v>
      </c>
      <c r="G184" s="542" t="str">
        <f>InpC!G$92</f>
        <v>% p.a.</v>
      </c>
    </row>
    <row r="185" spans="5:7" ht="12.75">
      <c r="E185" s="535" t="str">
        <f>InpC!E$127</f>
        <v>Days per year (interest day count)</v>
      </c>
      <c r="F185" s="537">
        <f>InpC!F$127</f>
        <v>365</v>
      </c>
      <c r="G185" s="537" t="str">
        <f>InpC!G$127</f>
        <v>days</v>
      </c>
    </row>
    <row r="186" spans="5:137" ht="12.75">
      <c r="E186" s="535" t="str">
        <f>Time!E$91</f>
        <v>Operating period flag</v>
      </c>
      <c r="G186" s="537" t="str">
        <f>Time!G$91</f>
        <v>flag</v>
      </c>
      <c r="H186" s="537">
        <f>Time!H$91</f>
        <v>100</v>
      </c>
      <c r="J186" s="537">
        <f>Time!J$91</f>
        <v>0</v>
      </c>
      <c r="K186" s="537">
        <f>Time!K$91</f>
        <v>0</v>
      </c>
      <c r="L186" s="537">
        <f>Time!L$91</f>
        <v>0</v>
      </c>
      <c r="M186" s="537">
        <f>Time!M$91</f>
        <v>0</v>
      </c>
      <c r="N186" s="537">
        <f>Time!N$91</f>
        <v>0</v>
      </c>
      <c r="O186" s="537">
        <f>Time!O$91</f>
        <v>0</v>
      </c>
      <c r="P186" s="537">
        <f>Time!P$91</f>
        <v>0</v>
      </c>
      <c r="Q186" s="537">
        <f>Time!Q$91</f>
        <v>0</v>
      </c>
      <c r="R186" s="537">
        <f>Time!R$91</f>
        <v>0</v>
      </c>
      <c r="S186" s="537">
        <f>Time!S$91</f>
        <v>0</v>
      </c>
      <c r="T186" s="537">
        <f>Time!T$91</f>
        <v>0</v>
      </c>
      <c r="U186" s="537">
        <f>Time!U$91</f>
        <v>0</v>
      </c>
      <c r="V186" s="537">
        <f>Time!V$91</f>
        <v>0</v>
      </c>
      <c r="W186" s="537">
        <f>Time!W$91</f>
        <v>0</v>
      </c>
      <c r="X186" s="537">
        <f>Time!X$91</f>
        <v>0</v>
      </c>
      <c r="Y186" s="537">
        <f>Time!Y$91</f>
        <v>0</v>
      </c>
      <c r="Z186" s="537">
        <f>Time!Z$91</f>
        <v>0</v>
      </c>
      <c r="AA186" s="537">
        <f>Time!AA$91</f>
        <v>0</v>
      </c>
      <c r="AB186" s="537">
        <f>Time!AB$91</f>
        <v>0</v>
      </c>
      <c r="AC186" s="537">
        <f>Time!AC$91</f>
        <v>0</v>
      </c>
      <c r="AD186" s="537">
        <f>Time!AD$91</f>
        <v>0</v>
      </c>
      <c r="AE186" s="537">
        <f>Time!AE$91</f>
        <v>0</v>
      </c>
      <c r="AF186" s="537">
        <f>Time!AF$91</f>
        <v>0</v>
      </c>
      <c r="AG186" s="537">
        <f>Time!AG$91</f>
        <v>0</v>
      </c>
      <c r="AH186" s="537">
        <f>Time!AH$91</f>
        <v>1</v>
      </c>
      <c r="AI186" s="537">
        <f>Time!AI$91</f>
        <v>1</v>
      </c>
      <c r="AJ186" s="537">
        <f>Time!AJ$91</f>
        <v>1</v>
      </c>
      <c r="AK186" s="537">
        <f>Time!AK$91</f>
        <v>1</v>
      </c>
      <c r="AL186" s="537">
        <f>Time!AL$91</f>
        <v>1</v>
      </c>
      <c r="AM186" s="537">
        <f>Time!AM$91</f>
        <v>1</v>
      </c>
      <c r="AN186" s="537">
        <f>Time!AN$91</f>
        <v>1</v>
      </c>
      <c r="AO186" s="537">
        <f>Time!AO$91</f>
        <v>1</v>
      </c>
      <c r="AP186" s="537">
        <f>Time!AP$91</f>
        <v>1</v>
      </c>
      <c r="AQ186" s="537">
        <f>Time!AQ$91</f>
        <v>1</v>
      </c>
      <c r="AR186" s="537">
        <f>Time!AR$91</f>
        <v>1</v>
      </c>
      <c r="AS186" s="537">
        <f>Time!AS$91</f>
        <v>1</v>
      </c>
      <c r="AT186" s="537">
        <f>Time!AT$91</f>
        <v>1</v>
      </c>
      <c r="AU186" s="537">
        <f>Time!AU$91</f>
        <v>1</v>
      </c>
      <c r="AV186" s="537">
        <f>Time!AV$91</f>
        <v>1</v>
      </c>
      <c r="AW186" s="537">
        <f>Time!AW$91</f>
        <v>1</v>
      </c>
      <c r="AX186" s="537">
        <f>Time!AX$91</f>
        <v>1</v>
      </c>
      <c r="AY186" s="537">
        <f>Time!AY$91</f>
        <v>1</v>
      </c>
      <c r="AZ186" s="537">
        <f>Time!AZ$91</f>
        <v>1</v>
      </c>
      <c r="BA186" s="537">
        <f>Time!BA$91</f>
        <v>1</v>
      </c>
      <c r="BB186" s="537">
        <f>Time!BB$91</f>
        <v>1</v>
      </c>
      <c r="BC186" s="537">
        <f>Time!BC$91</f>
        <v>1</v>
      </c>
      <c r="BD186" s="537">
        <f>Time!BD$91</f>
        <v>1</v>
      </c>
      <c r="BE186" s="537">
        <f>Time!BE$91</f>
        <v>1</v>
      </c>
      <c r="BF186" s="537">
        <f>Time!BF$91</f>
        <v>1</v>
      </c>
      <c r="BG186" s="537">
        <f>Time!BG$91</f>
        <v>1</v>
      </c>
      <c r="BH186" s="537">
        <f>Time!BH$91</f>
        <v>1</v>
      </c>
      <c r="BI186" s="537">
        <f>Time!BI$91</f>
        <v>1</v>
      </c>
      <c r="BJ186" s="537">
        <f>Time!BJ$91</f>
        <v>1</v>
      </c>
      <c r="BK186" s="537">
        <f>Time!BK$91</f>
        <v>1</v>
      </c>
      <c r="BL186" s="537">
        <f>Time!BL$91</f>
        <v>1</v>
      </c>
      <c r="BM186" s="537">
        <f>Time!BM$91</f>
        <v>1</v>
      </c>
      <c r="BN186" s="537">
        <f>Time!BN$91</f>
        <v>1</v>
      </c>
      <c r="BO186" s="537">
        <f>Time!BO$91</f>
        <v>1</v>
      </c>
      <c r="BP186" s="537">
        <f>Time!BP$91</f>
        <v>1</v>
      </c>
      <c r="BQ186" s="537">
        <f>Time!BQ$91</f>
        <v>1</v>
      </c>
      <c r="BR186" s="537">
        <f>Time!BR$91</f>
        <v>1</v>
      </c>
      <c r="BS186" s="537">
        <f>Time!BS$91</f>
        <v>1</v>
      </c>
      <c r="BT186" s="537">
        <f>Time!BT$91</f>
        <v>1</v>
      </c>
      <c r="BU186" s="537">
        <f>Time!BU$91</f>
        <v>1</v>
      </c>
      <c r="BV186" s="537">
        <f>Time!BV$91</f>
        <v>1</v>
      </c>
      <c r="BW186" s="537">
        <f>Time!BW$91</f>
        <v>1</v>
      </c>
      <c r="BX186" s="537">
        <f>Time!BX$91</f>
        <v>1</v>
      </c>
      <c r="BY186" s="537">
        <f>Time!BY$91</f>
        <v>1</v>
      </c>
      <c r="BZ186" s="537">
        <f>Time!BZ$91</f>
        <v>1</v>
      </c>
      <c r="CA186" s="537">
        <f>Time!CA$91</f>
        <v>1</v>
      </c>
      <c r="CB186" s="537">
        <f>Time!CB$91</f>
        <v>1</v>
      </c>
      <c r="CC186" s="537">
        <f>Time!CC$91</f>
        <v>1</v>
      </c>
      <c r="CD186" s="537">
        <f>Time!CD$91</f>
        <v>1</v>
      </c>
      <c r="CE186" s="537">
        <f>Time!CE$91</f>
        <v>1</v>
      </c>
      <c r="CF186" s="537">
        <f>Time!CF$91</f>
        <v>1</v>
      </c>
      <c r="CG186" s="537">
        <f>Time!CG$91</f>
        <v>1</v>
      </c>
      <c r="CH186" s="537">
        <f>Time!CH$91</f>
        <v>1</v>
      </c>
      <c r="CI186" s="537">
        <f>Time!CI$91</f>
        <v>1</v>
      </c>
      <c r="CJ186" s="537">
        <f>Time!CJ$91</f>
        <v>1</v>
      </c>
      <c r="CK186" s="537">
        <f>Time!CK$91</f>
        <v>1</v>
      </c>
      <c r="CL186" s="537">
        <f>Time!CL$91</f>
        <v>1</v>
      </c>
      <c r="CM186" s="537">
        <f>Time!CM$91</f>
        <v>1</v>
      </c>
      <c r="CN186" s="537">
        <f>Time!CN$91</f>
        <v>1</v>
      </c>
      <c r="CO186" s="537">
        <f>Time!CO$91</f>
        <v>1</v>
      </c>
      <c r="CP186" s="537">
        <f>Time!CP$91</f>
        <v>1</v>
      </c>
      <c r="CQ186" s="537">
        <f>Time!CQ$91</f>
        <v>1</v>
      </c>
      <c r="CR186" s="537">
        <f>Time!CR$91</f>
        <v>1</v>
      </c>
      <c r="CS186" s="537">
        <f>Time!CS$91</f>
        <v>1</v>
      </c>
      <c r="CT186" s="537">
        <f>Time!CT$91</f>
        <v>1</v>
      </c>
      <c r="CU186" s="537">
        <f>Time!CU$91</f>
        <v>1</v>
      </c>
      <c r="CV186" s="537">
        <f>Time!CV$91</f>
        <v>1</v>
      </c>
      <c r="CW186" s="537">
        <f>Time!CW$91</f>
        <v>1</v>
      </c>
      <c r="CX186" s="537">
        <f>Time!CX$91</f>
        <v>1</v>
      </c>
      <c r="CY186" s="537">
        <f>Time!CY$91</f>
        <v>1</v>
      </c>
      <c r="CZ186" s="537">
        <f>Time!CZ$91</f>
        <v>1</v>
      </c>
      <c r="DA186" s="537">
        <f>Time!DA$91</f>
        <v>1</v>
      </c>
      <c r="DB186" s="537">
        <f>Time!DB$91</f>
        <v>1</v>
      </c>
      <c r="DC186" s="537">
        <f>Time!DC$91</f>
        <v>1</v>
      </c>
      <c r="DD186" s="537">
        <f>Time!DD$91</f>
        <v>1</v>
      </c>
      <c r="DE186" s="537">
        <f>Time!DE$91</f>
        <v>1</v>
      </c>
      <c r="DF186" s="537">
        <f>Time!DF$91</f>
        <v>1</v>
      </c>
      <c r="DG186" s="537">
        <f>Time!DG$91</f>
        <v>1</v>
      </c>
      <c r="DH186" s="537">
        <f>Time!DH$91</f>
        <v>1</v>
      </c>
      <c r="DI186" s="537">
        <f>Time!DI$91</f>
        <v>1</v>
      </c>
      <c r="DJ186" s="537">
        <f>Time!DJ$91</f>
        <v>1</v>
      </c>
      <c r="DK186" s="537">
        <f>Time!DK$91</f>
        <v>1</v>
      </c>
      <c r="DL186" s="537">
        <f>Time!DL$91</f>
        <v>1</v>
      </c>
      <c r="DM186" s="537">
        <f>Time!DM$91</f>
        <v>1</v>
      </c>
      <c r="DN186" s="537">
        <f>Time!DN$91</f>
        <v>1</v>
      </c>
      <c r="DO186" s="537">
        <f>Time!DO$91</f>
        <v>1</v>
      </c>
      <c r="DP186" s="537">
        <f>Time!DP$91</f>
        <v>1</v>
      </c>
      <c r="DQ186" s="537">
        <f>Time!DQ$91</f>
        <v>1</v>
      </c>
      <c r="DR186" s="537">
        <f>Time!DR$91</f>
        <v>1</v>
      </c>
      <c r="DS186" s="537">
        <f>Time!DS$91</f>
        <v>1</v>
      </c>
      <c r="DT186" s="537">
        <f>Time!DT$91</f>
        <v>1</v>
      </c>
      <c r="DU186" s="537">
        <f>Time!DU$91</f>
        <v>1</v>
      </c>
      <c r="DV186" s="537">
        <f>Time!DV$91</f>
        <v>1</v>
      </c>
      <c r="DW186" s="537">
        <f>Time!DW$91</f>
        <v>1</v>
      </c>
      <c r="DX186" s="537">
        <f>Time!DX$91</f>
        <v>1</v>
      </c>
      <c r="DY186" s="537">
        <f>Time!DY$91</f>
        <v>1</v>
      </c>
      <c r="DZ186" s="537">
        <f>Time!DZ$91</f>
        <v>1</v>
      </c>
      <c r="EA186" s="537">
        <f>Time!EA$91</f>
        <v>1</v>
      </c>
      <c r="EB186" s="537">
        <f>Time!EB$91</f>
        <v>1</v>
      </c>
      <c r="EC186" s="537">
        <f>Time!EC$91</f>
        <v>1</v>
      </c>
      <c r="ED186" s="537">
        <f>Time!ED$91</f>
        <v>0</v>
      </c>
      <c r="EE186" s="537">
        <f>Time!EE$91</f>
        <v>0</v>
      </c>
      <c r="EF186" s="537">
        <f>Time!EF$91</f>
        <v>0</v>
      </c>
      <c r="EG186" s="537">
        <f>Time!EG$91</f>
        <v>0</v>
      </c>
    </row>
    <row r="187" spans="5:137" ht="12.75">
      <c r="E187" s="535" t="str">
        <f>Time!E$163</f>
        <v>Days in period</v>
      </c>
      <c r="G187" s="537" t="str">
        <f>Time!G$163</f>
        <v>days</v>
      </c>
      <c r="H187" s="537">
        <f>Time!H$163</f>
        <v>10227</v>
      </c>
      <c r="J187" s="537">
        <f>Time!J$163</f>
        <v>31</v>
      </c>
      <c r="K187" s="537">
        <f>Time!K$163</f>
        <v>28</v>
      </c>
      <c r="L187" s="537">
        <f>Time!L$163</f>
        <v>31</v>
      </c>
      <c r="M187" s="537">
        <f>Time!M$163</f>
        <v>30</v>
      </c>
      <c r="N187" s="537">
        <f>Time!N$163</f>
        <v>31</v>
      </c>
      <c r="O187" s="537">
        <f>Time!O$163</f>
        <v>30</v>
      </c>
      <c r="P187" s="537">
        <f>Time!P$163</f>
        <v>31</v>
      </c>
      <c r="Q187" s="537">
        <f>Time!Q$163</f>
        <v>31</v>
      </c>
      <c r="R187" s="537">
        <f>Time!R$163</f>
        <v>30</v>
      </c>
      <c r="S187" s="537">
        <f>Time!S$163</f>
        <v>31</v>
      </c>
      <c r="T187" s="537">
        <f>Time!T$163</f>
        <v>30</v>
      </c>
      <c r="U187" s="537">
        <f>Time!U$163</f>
        <v>31</v>
      </c>
      <c r="V187" s="537">
        <f>Time!V$163</f>
        <v>31</v>
      </c>
      <c r="W187" s="537">
        <f>Time!W$163</f>
        <v>29</v>
      </c>
      <c r="X187" s="537">
        <f>Time!X$163</f>
        <v>31</v>
      </c>
      <c r="Y187" s="537">
        <f>Time!Y$163</f>
        <v>30</v>
      </c>
      <c r="Z187" s="537">
        <f>Time!Z$163</f>
        <v>31</v>
      </c>
      <c r="AA187" s="537">
        <f>Time!AA$163</f>
        <v>30</v>
      </c>
      <c r="AB187" s="537">
        <f>Time!AB$163</f>
        <v>31</v>
      </c>
      <c r="AC187" s="537">
        <f>Time!AC$163</f>
        <v>31</v>
      </c>
      <c r="AD187" s="537">
        <f>Time!AD$163</f>
        <v>30</v>
      </c>
      <c r="AE187" s="537">
        <f>Time!AE$163</f>
        <v>31</v>
      </c>
      <c r="AF187" s="537">
        <f>Time!AF$163</f>
        <v>30</v>
      </c>
      <c r="AG187" s="537">
        <f>Time!AG$163</f>
        <v>31</v>
      </c>
      <c r="AH187" s="537">
        <f>Time!AH$163</f>
        <v>90</v>
      </c>
      <c r="AI187" s="537">
        <f>Time!AI$163</f>
        <v>91</v>
      </c>
      <c r="AJ187" s="537">
        <f>Time!AJ$163</f>
        <v>92</v>
      </c>
      <c r="AK187" s="537">
        <f>Time!AK$163</f>
        <v>92</v>
      </c>
      <c r="AL187" s="537">
        <f>Time!AL$163</f>
        <v>90</v>
      </c>
      <c r="AM187" s="537">
        <f>Time!AM$163</f>
        <v>91</v>
      </c>
      <c r="AN187" s="537">
        <f>Time!AN$163</f>
        <v>92</v>
      </c>
      <c r="AO187" s="537">
        <f>Time!AO$163</f>
        <v>92</v>
      </c>
      <c r="AP187" s="537">
        <f>Time!AP$163</f>
        <v>90</v>
      </c>
      <c r="AQ187" s="537">
        <f>Time!AQ$163</f>
        <v>91</v>
      </c>
      <c r="AR187" s="537">
        <f>Time!AR$163</f>
        <v>92</v>
      </c>
      <c r="AS187" s="537">
        <f>Time!AS$163</f>
        <v>92</v>
      </c>
      <c r="AT187" s="537">
        <f>Time!AT$163</f>
        <v>91</v>
      </c>
      <c r="AU187" s="537">
        <f>Time!AU$163</f>
        <v>91</v>
      </c>
      <c r="AV187" s="537">
        <f>Time!AV$163</f>
        <v>92</v>
      </c>
      <c r="AW187" s="537">
        <f>Time!AW$163</f>
        <v>92</v>
      </c>
      <c r="AX187" s="537">
        <f>Time!AX$163</f>
        <v>90</v>
      </c>
      <c r="AY187" s="537">
        <f>Time!AY$163</f>
        <v>91</v>
      </c>
      <c r="AZ187" s="537">
        <f>Time!AZ$163</f>
        <v>92</v>
      </c>
      <c r="BA187" s="537">
        <f>Time!BA$163</f>
        <v>92</v>
      </c>
      <c r="BB187" s="537">
        <f>Time!BB$163</f>
        <v>90</v>
      </c>
      <c r="BC187" s="537">
        <f>Time!BC$163</f>
        <v>91</v>
      </c>
      <c r="BD187" s="537">
        <f>Time!BD$163</f>
        <v>92</v>
      </c>
      <c r="BE187" s="537">
        <f>Time!BE$163</f>
        <v>92</v>
      </c>
      <c r="BF187" s="537">
        <f>Time!BF$163</f>
        <v>90</v>
      </c>
      <c r="BG187" s="537">
        <f>Time!BG$163</f>
        <v>91</v>
      </c>
      <c r="BH187" s="537">
        <f>Time!BH$163</f>
        <v>92</v>
      </c>
      <c r="BI187" s="537">
        <f>Time!BI$163</f>
        <v>92</v>
      </c>
      <c r="BJ187" s="537">
        <f>Time!BJ$163</f>
        <v>91</v>
      </c>
      <c r="BK187" s="537">
        <f>Time!BK$163</f>
        <v>91</v>
      </c>
      <c r="BL187" s="537">
        <f>Time!BL$163</f>
        <v>92</v>
      </c>
      <c r="BM187" s="537">
        <f>Time!BM$163</f>
        <v>92</v>
      </c>
      <c r="BN187" s="537">
        <f>Time!BN$163</f>
        <v>90</v>
      </c>
      <c r="BO187" s="537">
        <f>Time!BO$163</f>
        <v>91</v>
      </c>
      <c r="BP187" s="537">
        <f>Time!BP$163</f>
        <v>92</v>
      </c>
      <c r="BQ187" s="537">
        <f>Time!BQ$163</f>
        <v>92</v>
      </c>
      <c r="BR187" s="537">
        <f>Time!BR$163</f>
        <v>90</v>
      </c>
      <c r="BS187" s="537">
        <f>Time!BS$163</f>
        <v>91</v>
      </c>
      <c r="BT187" s="537">
        <f>Time!BT$163</f>
        <v>92</v>
      </c>
      <c r="BU187" s="537">
        <f>Time!BU$163</f>
        <v>92</v>
      </c>
      <c r="BV187" s="537">
        <f>Time!BV$163</f>
        <v>90</v>
      </c>
      <c r="BW187" s="537">
        <f>Time!BW$163</f>
        <v>91</v>
      </c>
      <c r="BX187" s="537">
        <f>Time!BX$163</f>
        <v>92</v>
      </c>
      <c r="BY187" s="537">
        <f>Time!BY$163</f>
        <v>92</v>
      </c>
      <c r="BZ187" s="537">
        <f>Time!BZ$163</f>
        <v>91</v>
      </c>
      <c r="CA187" s="537">
        <f>Time!CA$163</f>
        <v>91</v>
      </c>
      <c r="CB187" s="537">
        <f>Time!CB$163</f>
        <v>92</v>
      </c>
      <c r="CC187" s="537">
        <f>Time!CC$163</f>
        <v>92</v>
      </c>
      <c r="CD187" s="537">
        <f>Time!CD$163</f>
        <v>90</v>
      </c>
      <c r="CE187" s="537">
        <f>Time!CE$163</f>
        <v>91</v>
      </c>
      <c r="CF187" s="537">
        <f>Time!CF$163</f>
        <v>92</v>
      </c>
      <c r="CG187" s="537">
        <f>Time!CG$163</f>
        <v>92</v>
      </c>
      <c r="CH187" s="537">
        <f>Time!CH$163</f>
        <v>90</v>
      </c>
      <c r="CI187" s="537">
        <f>Time!CI$163</f>
        <v>91</v>
      </c>
      <c r="CJ187" s="537">
        <f>Time!CJ$163</f>
        <v>92</v>
      </c>
      <c r="CK187" s="537">
        <f>Time!CK$163</f>
        <v>92</v>
      </c>
      <c r="CL187" s="537">
        <f>Time!CL$163</f>
        <v>90</v>
      </c>
      <c r="CM187" s="537">
        <f>Time!CM$163</f>
        <v>91</v>
      </c>
      <c r="CN187" s="537">
        <f>Time!CN$163</f>
        <v>92</v>
      </c>
      <c r="CO187" s="537">
        <f>Time!CO$163</f>
        <v>92</v>
      </c>
      <c r="CP187" s="537">
        <f>Time!CP$163</f>
        <v>91</v>
      </c>
      <c r="CQ187" s="537">
        <f>Time!CQ$163</f>
        <v>91</v>
      </c>
      <c r="CR187" s="537">
        <f>Time!CR$163</f>
        <v>92</v>
      </c>
      <c r="CS187" s="537">
        <f>Time!CS$163</f>
        <v>92</v>
      </c>
      <c r="CT187" s="537">
        <f>Time!CT$163</f>
        <v>90</v>
      </c>
      <c r="CU187" s="537">
        <f>Time!CU$163</f>
        <v>91</v>
      </c>
      <c r="CV187" s="537">
        <f>Time!CV$163</f>
        <v>92</v>
      </c>
      <c r="CW187" s="537">
        <f>Time!CW$163</f>
        <v>92</v>
      </c>
      <c r="CX187" s="537">
        <f>Time!CX$163</f>
        <v>90</v>
      </c>
      <c r="CY187" s="537">
        <f>Time!CY$163</f>
        <v>91</v>
      </c>
      <c r="CZ187" s="537">
        <f>Time!CZ$163</f>
        <v>92</v>
      </c>
      <c r="DA187" s="537">
        <f>Time!DA$163</f>
        <v>92</v>
      </c>
      <c r="DB187" s="537">
        <f>Time!DB$163</f>
        <v>90</v>
      </c>
      <c r="DC187" s="537">
        <f>Time!DC$163</f>
        <v>91</v>
      </c>
      <c r="DD187" s="537">
        <f>Time!DD$163</f>
        <v>92</v>
      </c>
      <c r="DE187" s="537">
        <f>Time!DE$163</f>
        <v>92</v>
      </c>
      <c r="DF187" s="537">
        <f>Time!DF$163</f>
        <v>91</v>
      </c>
      <c r="DG187" s="537">
        <f>Time!DG$163</f>
        <v>91</v>
      </c>
      <c r="DH187" s="537">
        <f>Time!DH$163</f>
        <v>92</v>
      </c>
      <c r="DI187" s="537">
        <f>Time!DI$163</f>
        <v>92</v>
      </c>
      <c r="DJ187" s="537">
        <f>Time!DJ$163</f>
        <v>90</v>
      </c>
      <c r="DK187" s="537">
        <f>Time!DK$163</f>
        <v>91</v>
      </c>
      <c r="DL187" s="537">
        <f>Time!DL$163</f>
        <v>92</v>
      </c>
      <c r="DM187" s="537">
        <f>Time!DM$163</f>
        <v>92</v>
      </c>
      <c r="DN187" s="537">
        <f>Time!DN$163</f>
        <v>90</v>
      </c>
      <c r="DO187" s="537">
        <f>Time!DO$163</f>
        <v>91</v>
      </c>
      <c r="DP187" s="537">
        <f>Time!DP$163</f>
        <v>92</v>
      </c>
      <c r="DQ187" s="537">
        <f>Time!DQ$163</f>
        <v>92</v>
      </c>
      <c r="DR187" s="537">
        <f>Time!DR$163</f>
        <v>90</v>
      </c>
      <c r="DS187" s="537">
        <f>Time!DS$163</f>
        <v>91</v>
      </c>
      <c r="DT187" s="537">
        <f>Time!DT$163</f>
        <v>92</v>
      </c>
      <c r="DU187" s="537">
        <f>Time!DU$163</f>
        <v>92</v>
      </c>
      <c r="DV187" s="537">
        <f>Time!DV$163</f>
        <v>91</v>
      </c>
      <c r="DW187" s="537">
        <f>Time!DW$163</f>
        <v>91</v>
      </c>
      <c r="DX187" s="537">
        <f>Time!DX$163</f>
        <v>92</v>
      </c>
      <c r="DY187" s="537">
        <f>Time!DY$163</f>
        <v>92</v>
      </c>
      <c r="DZ187" s="537">
        <f>Time!DZ$163</f>
        <v>90</v>
      </c>
      <c r="EA187" s="537">
        <f>Time!EA$163</f>
        <v>91</v>
      </c>
      <c r="EB187" s="537">
        <f>Time!EB$163</f>
        <v>92</v>
      </c>
      <c r="EC187" s="537">
        <f>Time!EC$163</f>
        <v>92</v>
      </c>
      <c r="ED187" s="537">
        <f>Time!ED$163</f>
        <v>90</v>
      </c>
      <c r="EE187" s="537">
        <f>Time!EE$163</f>
        <v>91</v>
      </c>
      <c r="EF187" s="537">
        <f>Time!EF$163</f>
        <v>92</v>
      </c>
      <c r="EG187" s="537">
        <f>Time!EG$163</f>
        <v>92</v>
      </c>
    </row>
    <row r="188" spans="5:137" ht="12.75">
      <c r="E188" s="538" t="str">
        <f>E$172</f>
        <v>Junior facility - opening balance</v>
      </c>
      <c r="G188" s="539" t="str">
        <f>G$172</f>
        <v>EUR 000s</v>
      </c>
      <c r="H188" s="539">
        <f>H$172</f>
        <v>1008475.4152814726</v>
      </c>
      <c r="J188" s="539">
        <f t="shared" si="60" ref="J188:EG188">J$172</f>
        <v>0</v>
      </c>
      <c r="K188" s="539">
        <f t="shared" si="60"/>
        <v>0</v>
      </c>
      <c r="L188" s="539">
        <f t="shared" si="60"/>
        <v>0</v>
      </c>
      <c r="M188" s="539">
        <f t="shared" si="60"/>
        <v>0</v>
      </c>
      <c r="N188" s="539">
        <f t="shared" si="60"/>
        <v>0</v>
      </c>
      <c r="O188" s="539">
        <f t="shared" si="60"/>
        <v>0</v>
      </c>
      <c r="P188" s="539">
        <f t="shared" si="60"/>
        <v>0</v>
      </c>
      <c r="Q188" s="539">
        <f t="shared" si="60"/>
        <v>0</v>
      </c>
      <c r="R188" s="539">
        <f t="shared" si="60"/>
        <v>9524.2618544395227</v>
      </c>
      <c r="S188" s="539">
        <f t="shared" si="60"/>
        <v>25289.902618405918</v>
      </c>
      <c r="T188" s="539">
        <f t="shared" si="60"/>
        <v>25289.902618405918</v>
      </c>
      <c r="U188" s="539">
        <f t="shared" si="60"/>
        <v>25289.902618405918</v>
      </c>
      <c r="V188" s="539">
        <f t="shared" si="60"/>
        <v>25289.902618405918</v>
      </c>
      <c r="W188" s="539">
        <f t="shared" si="60"/>
        <v>25289.902618405918</v>
      </c>
      <c r="X188" s="539">
        <f t="shared" si="60"/>
        <v>25289.902618405918</v>
      </c>
      <c r="Y188" s="539">
        <f t="shared" si="60"/>
        <v>25289.902618405918</v>
      </c>
      <c r="Z188" s="539">
        <f t="shared" si="60"/>
        <v>25289.902618405918</v>
      </c>
      <c r="AA188" s="539">
        <f t="shared" si="60"/>
        <v>25289.902618405918</v>
      </c>
      <c r="AB188" s="539">
        <f t="shared" si="60"/>
        <v>25289.902618405918</v>
      </c>
      <c r="AC188" s="539">
        <f t="shared" si="60"/>
        <v>25289.902618405918</v>
      </c>
      <c r="AD188" s="539">
        <f t="shared" si="60"/>
        <v>25289.902618405918</v>
      </c>
      <c r="AE188" s="539">
        <f t="shared" si="60"/>
        <v>25289.902618405918</v>
      </c>
      <c r="AF188" s="539">
        <f t="shared" si="60"/>
        <v>25289.902618405918</v>
      </c>
      <c r="AG188" s="539">
        <f t="shared" si="60"/>
        <v>25289.902618405918</v>
      </c>
      <c r="AH188" s="539">
        <f t="shared" si="60"/>
        <v>25289.902618405918</v>
      </c>
      <c r="AI188" s="539">
        <f t="shared" si="60"/>
        <v>24763.029647189127</v>
      </c>
      <c r="AJ188" s="539">
        <f t="shared" si="60"/>
        <v>24236.156675972336</v>
      </c>
      <c r="AK188" s="539">
        <f t="shared" si="60"/>
        <v>23709.283704755544</v>
      </c>
      <c r="AL188" s="539">
        <f t="shared" si="60"/>
        <v>23182.410733538753</v>
      </c>
      <c r="AM188" s="539">
        <f t="shared" si="60"/>
        <v>22655.537762321961</v>
      </c>
      <c r="AN188" s="539">
        <f t="shared" si="60"/>
        <v>22128.66479110517</v>
      </c>
      <c r="AO188" s="539">
        <f t="shared" si="60"/>
        <v>21601.791819888378</v>
      </c>
      <c r="AP188" s="539">
        <f t="shared" si="60"/>
        <v>21074.918848671587</v>
      </c>
      <c r="AQ188" s="539">
        <f t="shared" si="60"/>
        <v>20548.045877454795</v>
      </c>
      <c r="AR188" s="539">
        <f t="shared" si="60"/>
        <v>20021.172906238004</v>
      </c>
      <c r="AS188" s="539">
        <f t="shared" si="60"/>
        <v>19494.299935021212</v>
      </c>
      <c r="AT188" s="539">
        <f t="shared" si="60"/>
        <v>18967.426963804421</v>
      </c>
      <c r="AU188" s="539">
        <f t="shared" si="60"/>
        <v>18440.553992587629</v>
      </c>
      <c r="AV188" s="539">
        <f t="shared" si="60"/>
        <v>17913.681021370838</v>
      </c>
      <c r="AW188" s="539">
        <f t="shared" si="60"/>
        <v>17386.808050154046</v>
      </c>
      <c r="AX188" s="539">
        <f t="shared" si="60"/>
        <v>16859.935078937255</v>
      </c>
      <c r="AY188" s="539">
        <f t="shared" si="60"/>
        <v>16333.062107720465</v>
      </c>
      <c r="AZ188" s="539">
        <f t="shared" si="60"/>
        <v>15806.189136503675</v>
      </c>
      <c r="BA188" s="539">
        <f t="shared" si="60"/>
        <v>15279.316165286886</v>
      </c>
      <c r="BB188" s="539">
        <f t="shared" si="60"/>
        <v>14752.443194070096</v>
      </c>
      <c r="BC188" s="539">
        <f t="shared" si="60"/>
        <v>14225.570222853306</v>
      </c>
      <c r="BD188" s="539">
        <f t="shared" si="60"/>
        <v>13698.697251636517</v>
      </c>
      <c r="BE188" s="539">
        <f t="shared" si="60"/>
        <v>13171.824280419727</v>
      </c>
      <c r="BF188" s="539">
        <f t="shared" si="60"/>
        <v>12644.951309202937</v>
      </c>
      <c r="BG188" s="539">
        <f t="shared" si="60"/>
        <v>12118.078337986148</v>
      </c>
      <c r="BH188" s="539">
        <f t="shared" si="60"/>
        <v>11591.205366769358</v>
      </c>
      <c r="BI188" s="539">
        <f t="shared" si="60"/>
        <v>11064.332395552568</v>
      </c>
      <c r="BJ188" s="539">
        <f t="shared" si="60"/>
        <v>10537.459424335779</v>
      </c>
      <c r="BK188" s="539">
        <f t="shared" si="60"/>
        <v>10010.586453118989</v>
      </c>
      <c r="BL188" s="539">
        <f t="shared" si="60"/>
        <v>9483.7134819021994</v>
      </c>
      <c r="BM188" s="539">
        <f t="shared" si="60"/>
        <v>8956.8405106854098</v>
      </c>
      <c r="BN188" s="539">
        <f t="shared" si="60"/>
        <v>8429.9675394686201</v>
      </c>
      <c r="BO188" s="539">
        <f t="shared" si="60"/>
        <v>7903.0945682518304</v>
      </c>
      <c r="BP188" s="539">
        <f t="shared" si="60"/>
        <v>7376.2215970350408</v>
      </c>
      <c r="BQ188" s="539">
        <f t="shared" si="60"/>
        <v>6849.3486258182511</v>
      </c>
      <c r="BR188" s="539">
        <f t="shared" si="60"/>
        <v>6322.4756546014614</v>
      </c>
      <c r="BS188" s="539">
        <f t="shared" si="60"/>
        <v>5795.6026833846718</v>
      </c>
      <c r="BT188" s="539">
        <f t="shared" si="60"/>
        <v>5268.7297121678821</v>
      </c>
      <c r="BU188" s="539">
        <f t="shared" si="60"/>
        <v>4741.8567409510924</v>
      </c>
      <c r="BV188" s="539">
        <f t="shared" si="60"/>
        <v>4214.9837697343028</v>
      </c>
      <c r="BW188" s="539">
        <f t="shared" si="60"/>
        <v>3688.1107985175126</v>
      </c>
      <c r="BX188" s="539">
        <f t="shared" si="60"/>
        <v>3161.2378273007225</v>
      </c>
      <c r="BY188" s="539">
        <f t="shared" si="60"/>
        <v>2634.3648560839324</v>
      </c>
      <c r="BZ188" s="539">
        <f t="shared" si="60"/>
        <v>2107.4918848671423</v>
      </c>
      <c r="CA188" s="539">
        <f t="shared" si="60"/>
        <v>1580.6189136503522</v>
      </c>
      <c r="CB188" s="539">
        <f t="shared" si="60"/>
        <v>1053.745942433562</v>
      </c>
      <c r="CC188" s="539">
        <f t="shared" si="60"/>
        <v>526.87297121677204</v>
      </c>
      <c r="CD188" s="539">
        <f t="shared" si="60"/>
        <v>-1.7962520360015333E-11</v>
      </c>
      <c r="CE188" s="539">
        <f t="shared" si="60"/>
        <v>-1.7962520360015333E-11</v>
      </c>
      <c r="CF188" s="539">
        <f t="shared" si="60"/>
        <v>-1.7962520360015333E-11</v>
      </c>
      <c r="CG188" s="539">
        <f t="shared" si="60"/>
        <v>-1.7962520360015333E-11</v>
      </c>
      <c r="CH188" s="539">
        <f t="shared" si="60"/>
        <v>-1.7962520360015333E-11</v>
      </c>
      <c r="CI188" s="539">
        <f t="shared" si="60"/>
        <v>-1.7962520360015333E-11</v>
      </c>
      <c r="CJ188" s="539">
        <f t="shared" si="60"/>
        <v>-1.7962520360015333E-11</v>
      </c>
      <c r="CK188" s="539">
        <f t="shared" si="60"/>
        <v>-1.7962520360015333E-11</v>
      </c>
      <c r="CL188" s="539">
        <f t="shared" si="60"/>
        <v>-1.7962520360015333E-11</v>
      </c>
      <c r="CM188" s="539">
        <f t="shared" si="60"/>
        <v>-1.7962520360015333E-11</v>
      </c>
      <c r="CN188" s="539">
        <f t="shared" si="60"/>
        <v>-1.7962520360015333E-11</v>
      </c>
      <c r="CO188" s="539">
        <f t="shared" si="60"/>
        <v>-1.7962520360015333E-11</v>
      </c>
      <c r="CP188" s="539">
        <f t="shared" si="60"/>
        <v>-1.7962520360015333E-11</v>
      </c>
      <c r="CQ188" s="539">
        <f t="shared" si="60"/>
        <v>-1.7962520360015333E-11</v>
      </c>
      <c r="CR188" s="539">
        <f t="shared" si="60"/>
        <v>-1.7962520360015333E-11</v>
      </c>
      <c r="CS188" s="539">
        <f t="shared" si="60"/>
        <v>-1.7962520360015333E-11</v>
      </c>
      <c r="CT188" s="539">
        <f t="shared" si="60"/>
        <v>-1.7962520360015333E-11</v>
      </c>
      <c r="CU188" s="539">
        <f t="shared" si="60"/>
        <v>-1.7962520360015333E-11</v>
      </c>
      <c r="CV188" s="539">
        <f t="shared" si="60"/>
        <v>-1.7962520360015333E-11</v>
      </c>
      <c r="CW188" s="539">
        <f t="shared" si="60"/>
        <v>-1.7962520360015333E-11</v>
      </c>
      <c r="CX188" s="539">
        <f t="shared" si="60"/>
        <v>-1.7962520360015333E-11</v>
      </c>
      <c r="CY188" s="539">
        <f t="shared" si="60"/>
        <v>-1.7962520360015333E-11</v>
      </c>
      <c r="CZ188" s="539">
        <f t="shared" si="60"/>
        <v>-1.7962520360015333E-11</v>
      </c>
      <c r="DA188" s="539">
        <f t="shared" si="60"/>
        <v>-1.7962520360015333E-11</v>
      </c>
      <c r="DB188" s="539">
        <f t="shared" si="60"/>
        <v>-1.7962520360015333E-11</v>
      </c>
      <c r="DC188" s="539">
        <f t="shared" si="60"/>
        <v>-1.7962520360015333E-11</v>
      </c>
      <c r="DD188" s="539">
        <f t="shared" si="60"/>
        <v>-1.7962520360015333E-11</v>
      </c>
      <c r="DE188" s="539">
        <f t="shared" si="60"/>
        <v>-1.7962520360015333E-11</v>
      </c>
      <c r="DF188" s="539">
        <f t="shared" si="60"/>
        <v>-1.7962520360015333E-11</v>
      </c>
      <c r="DG188" s="539">
        <f t="shared" si="60"/>
        <v>-1.7962520360015333E-11</v>
      </c>
      <c r="DH188" s="539">
        <f t="shared" si="60"/>
        <v>-1.7962520360015333E-11</v>
      </c>
      <c r="DI188" s="539">
        <f t="shared" si="60"/>
        <v>-1.7962520360015333E-11</v>
      </c>
      <c r="DJ188" s="539">
        <f t="shared" si="60"/>
        <v>-1.7962520360015333E-11</v>
      </c>
      <c r="DK188" s="539">
        <f t="shared" si="60"/>
        <v>-1.7962520360015333E-11</v>
      </c>
      <c r="DL188" s="539">
        <f t="shared" si="60"/>
        <v>-1.7962520360015333E-11</v>
      </c>
      <c r="DM188" s="539">
        <f t="shared" si="60"/>
        <v>-1.7962520360015333E-11</v>
      </c>
      <c r="DN188" s="539">
        <f t="shared" si="60"/>
        <v>-1.7962520360015333E-11</v>
      </c>
      <c r="DO188" s="539">
        <f t="shared" si="60"/>
        <v>-1.7962520360015333E-11</v>
      </c>
      <c r="DP188" s="539">
        <f t="shared" si="60"/>
        <v>-1.7962520360015333E-11</v>
      </c>
      <c r="DQ188" s="539">
        <f t="shared" si="60"/>
        <v>-1.7962520360015333E-11</v>
      </c>
      <c r="DR188" s="539">
        <f t="shared" si="60"/>
        <v>-1.7962520360015333E-11</v>
      </c>
      <c r="DS188" s="539">
        <f t="shared" si="60"/>
        <v>-1.7962520360015333E-11</v>
      </c>
      <c r="DT188" s="539">
        <f t="shared" si="60"/>
        <v>-1.7962520360015333E-11</v>
      </c>
      <c r="DU188" s="539">
        <f t="shared" si="60"/>
        <v>-1.7962520360015333E-11</v>
      </c>
      <c r="DV188" s="539">
        <f t="shared" si="60"/>
        <v>-1.7962520360015333E-11</v>
      </c>
      <c r="DW188" s="539">
        <f t="shared" si="60"/>
        <v>-1.7962520360015333E-11</v>
      </c>
      <c r="DX188" s="539">
        <f t="shared" si="60"/>
        <v>-1.7962520360015333E-11</v>
      </c>
      <c r="DY188" s="539">
        <f t="shared" si="60"/>
        <v>-1.7962520360015333E-11</v>
      </c>
      <c r="DZ188" s="539">
        <f t="shared" si="60"/>
        <v>-1.7962520360015333E-11</v>
      </c>
      <c r="EA188" s="539">
        <f t="shared" si="60"/>
        <v>-1.7962520360015333E-11</v>
      </c>
      <c r="EB188" s="539">
        <f t="shared" si="60"/>
        <v>-1.7962520360015333E-11</v>
      </c>
      <c r="EC188" s="539">
        <f t="shared" si="60"/>
        <v>-1.7962520360015333E-11</v>
      </c>
      <c r="ED188" s="539">
        <f t="shared" si="60"/>
        <v>-1.7962520360015333E-11</v>
      </c>
      <c r="EE188" s="539">
        <f t="shared" si="60"/>
        <v>-1.7962520360015333E-11</v>
      </c>
      <c r="EF188" s="539">
        <f t="shared" si="60"/>
        <v>-1.7962520360015333E-11</v>
      </c>
      <c r="EG188" s="539">
        <f t="shared" si="60"/>
        <v>-1.7962520360015333E-11</v>
      </c>
    </row>
    <row r="189" spans="5:137" ht="12.75">
      <c r="E189" s="538" t="str">
        <f>E$173</f>
        <v>Junior facility - opening interest arrears</v>
      </c>
      <c r="G189" s="539" t="str">
        <f>G$173</f>
        <v>EUR 000s</v>
      </c>
      <c r="H189" s="539">
        <f>H$173</f>
        <v>0</v>
      </c>
      <c r="J189" s="539">
        <f t="shared" si="61" ref="J189:EG189">J$173</f>
        <v>0</v>
      </c>
      <c r="K189" s="539">
        <f t="shared" si="61"/>
        <v>0</v>
      </c>
      <c r="L189" s="539">
        <f t="shared" si="61"/>
        <v>0</v>
      </c>
      <c r="M189" s="539">
        <f t="shared" si="61"/>
        <v>0</v>
      </c>
      <c r="N189" s="539">
        <f t="shared" si="61"/>
        <v>0</v>
      </c>
      <c r="O189" s="539">
        <f t="shared" si="61"/>
        <v>0</v>
      </c>
      <c r="P189" s="539">
        <f t="shared" si="61"/>
        <v>0</v>
      </c>
      <c r="Q189" s="539">
        <f t="shared" si="61"/>
        <v>0</v>
      </c>
      <c r="R189" s="539">
        <f t="shared" si="61"/>
        <v>0</v>
      </c>
      <c r="S189" s="539">
        <f t="shared" si="61"/>
        <v>0</v>
      </c>
      <c r="T189" s="539">
        <f t="shared" si="61"/>
        <v>0</v>
      </c>
      <c r="U189" s="539">
        <f t="shared" si="61"/>
        <v>0</v>
      </c>
      <c r="V189" s="539">
        <f t="shared" si="61"/>
        <v>0</v>
      </c>
      <c r="W189" s="539">
        <f t="shared" si="61"/>
        <v>0</v>
      </c>
      <c r="X189" s="539">
        <f t="shared" si="61"/>
        <v>0</v>
      </c>
      <c r="Y189" s="539">
        <f t="shared" si="61"/>
        <v>0</v>
      </c>
      <c r="Z189" s="539">
        <f t="shared" si="61"/>
        <v>0</v>
      </c>
      <c r="AA189" s="539">
        <f t="shared" si="61"/>
        <v>0</v>
      </c>
      <c r="AB189" s="539">
        <f t="shared" si="61"/>
        <v>0</v>
      </c>
      <c r="AC189" s="539">
        <f t="shared" si="61"/>
        <v>0</v>
      </c>
      <c r="AD189" s="539">
        <f t="shared" si="61"/>
        <v>0</v>
      </c>
      <c r="AE189" s="539">
        <f t="shared" si="61"/>
        <v>0</v>
      </c>
      <c r="AF189" s="539">
        <f t="shared" si="61"/>
        <v>0</v>
      </c>
      <c r="AG189" s="539">
        <f t="shared" si="61"/>
        <v>0</v>
      </c>
      <c r="AH189" s="539">
        <f t="shared" si="61"/>
        <v>0</v>
      </c>
      <c r="AI189" s="539">
        <f t="shared" si="61"/>
        <v>0</v>
      </c>
      <c r="AJ189" s="539">
        <f t="shared" si="61"/>
        <v>0</v>
      </c>
      <c r="AK189" s="539">
        <f t="shared" si="61"/>
        <v>0</v>
      </c>
      <c r="AL189" s="539">
        <f t="shared" si="61"/>
        <v>0</v>
      </c>
      <c r="AM189" s="539">
        <f t="shared" si="61"/>
        <v>0</v>
      </c>
      <c r="AN189" s="539">
        <f t="shared" si="61"/>
        <v>0</v>
      </c>
      <c r="AO189" s="539">
        <f t="shared" si="61"/>
        <v>0</v>
      </c>
      <c r="AP189" s="539">
        <f t="shared" si="61"/>
        <v>0</v>
      </c>
      <c r="AQ189" s="539">
        <f t="shared" si="61"/>
        <v>0</v>
      </c>
      <c r="AR189" s="539">
        <f t="shared" si="61"/>
        <v>0</v>
      </c>
      <c r="AS189" s="539">
        <f t="shared" si="61"/>
        <v>0</v>
      </c>
      <c r="AT189" s="539">
        <f t="shared" si="61"/>
        <v>0</v>
      </c>
      <c r="AU189" s="539">
        <f t="shared" si="61"/>
        <v>0</v>
      </c>
      <c r="AV189" s="539">
        <f t="shared" si="61"/>
        <v>0</v>
      </c>
      <c r="AW189" s="539">
        <f t="shared" si="61"/>
        <v>0</v>
      </c>
      <c r="AX189" s="539">
        <f t="shared" si="61"/>
        <v>0</v>
      </c>
      <c r="AY189" s="539">
        <f t="shared" si="61"/>
        <v>0</v>
      </c>
      <c r="AZ189" s="539">
        <f t="shared" si="61"/>
        <v>0</v>
      </c>
      <c r="BA189" s="539">
        <f t="shared" si="61"/>
        <v>0</v>
      </c>
      <c r="BB189" s="539">
        <f t="shared" si="61"/>
        <v>0</v>
      </c>
      <c r="BC189" s="539">
        <f t="shared" si="61"/>
        <v>0</v>
      </c>
      <c r="BD189" s="539">
        <f t="shared" si="61"/>
        <v>0</v>
      </c>
      <c r="BE189" s="539">
        <f t="shared" si="61"/>
        <v>0</v>
      </c>
      <c r="BF189" s="539">
        <f t="shared" si="61"/>
        <v>0</v>
      </c>
      <c r="BG189" s="539">
        <f t="shared" si="61"/>
        <v>0</v>
      </c>
      <c r="BH189" s="539">
        <f t="shared" si="61"/>
        <v>0</v>
      </c>
      <c r="BI189" s="539">
        <f t="shared" si="61"/>
        <v>0</v>
      </c>
      <c r="BJ189" s="539">
        <f t="shared" si="61"/>
        <v>0</v>
      </c>
      <c r="BK189" s="539">
        <f t="shared" si="61"/>
        <v>0</v>
      </c>
      <c r="BL189" s="539">
        <f t="shared" si="61"/>
        <v>0</v>
      </c>
      <c r="BM189" s="539">
        <f t="shared" si="61"/>
        <v>0</v>
      </c>
      <c r="BN189" s="539">
        <f t="shared" si="61"/>
        <v>0</v>
      </c>
      <c r="BO189" s="539">
        <f t="shared" si="61"/>
        <v>0</v>
      </c>
      <c r="BP189" s="539">
        <f t="shared" si="61"/>
        <v>0</v>
      </c>
      <c r="BQ189" s="539">
        <f t="shared" si="61"/>
        <v>0</v>
      </c>
      <c r="BR189" s="539">
        <f t="shared" si="61"/>
        <v>0</v>
      </c>
      <c r="BS189" s="539">
        <f t="shared" si="61"/>
        <v>0</v>
      </c>
      <c r="BT189" s="539">
        <f t="shared" si="61"/>
        <v>0</v>
      </c>
      <c r="BU189" s="539">
        <f t="shared" si="61"/>
        <v>0</v>
      </c>
      <c r="BV189" s="539">
        <f t="shared" si="61"/>
        <v>0</v>
      </c>
      <c r="BW189" s="539">
        <f t="shared" si="61"/>
        <v>0</v>
      </c>
      <c r="BX189" s="539">
        <f t="shared" si="61"/>
        <v>0</v>
      </c>
      <c r="BY189" s="539">
        <f t="shared" si="61"/>
        <v>0</v>
      </c>
      <c r="BZ189" s="539">
        <f t="shared" si="61"/>
        <v>0</v>
      </c>
      <c r="CA189" s="539">
        <f t="shared" si="61"/>
        <v>0</v>
      </c>
      <c r="CB189" s="539">
        <f t="shared" si="61"/>
        <v>0</v>
      </c>
      <c r="CC189" s="539">
        <f t="shared" si="61"/>
        <v>0</v>
      </c>
      <c r="CD189" s="539">
        <f t="shared" si="61"/>
        <v>0</v>
      </c>
      <c r="CE189" s="539">
        <f t="shared" si="61"/>
        <v>0</v>
      </c>
      <c r="CF189" s="539">
        <f t="shared" si="61"/>
        <v>0</v>
      </c>
      <c r="CG189" s="539">
        <f t="shared" si="61"/>
        <v>0</v>
      </c>
      <c r="CH189" s="539">
        <f t="shared" si="61"/>
        <v>0</v>
      </c>
      <c r="CI189" s="539">
        <f t="shared" si="61"/>
        <v>0</v>
      </c>
      <c r="CJ189" s="539">
        <f t="shared" si="61"/>
        <v>0</v>
      </c>
      <c r="CK189" s="539">
        <f t="shared" si="61"/>
        <v>0</v>
      </c>
      <c r="CL189" s="539">
        <f t="shared" si="61"/>
        <v>0</v>
      </c>
      <c r="CM189" s="539">
        <f t="shared" si="61"/>
        <v>0</v>
      </c>
      <c r="CN189" s="539">
        <f t="shared" si="61"/>
        <v>0</v>
      </c>
      <c r="CO189" s="539">
        <f t="shared" si="61"/>
        <v>0</v>
      </c>
      <c r="CP189" s="539">
        <f t="shared" si="61"/>
        <v>0</v>
      </c>
      <c r="CQ189" s="539">
        <f t="shared" si="61"/>
        <v>0</v>
      </c>
      <c r="CR189" s="539">
        <f t="shared" si="61"/>
        <v>0</v>
      </c>
      <c r="CS189" s="539">
        <f t="shared" si="61"/>
        <v>0</v>
      </c>
      <c r="CT189" s="539">
        <f t="shared" si="61"/>
        <v>0</v>
      </c>
      <c r="CU189" s="539">
        <f t="shared" si="61"/>
        <v>0</v>
      </c>
      <c r="CV189" s="539">
        <f t="shared" si="61"/>
        <v>0</v>
      </c>
      <c r="CW189" s="539">
        <f t="shared" si="61"/>
        <v>0</v>
      </c>
      <c r="CX189" s="539">
        <f t="shared" si="61"/>
        <v>0</v>
      </c>
      <c r="CY189" s="539">
        <f t="shared" si="61"/>
        <v>0</v>
      </c>
      <c r="CZ189" s="539">
        <f t="shared" si="61"/>
        <v>0</v>
      </c>
      <c r="DA189" s="539">
        <f t="shared" si="61"/>
        <v>0</v>
      </c>
      <c r="DB189" s="539">
        <f t="shared" si="61"/>
        <v>0</v>
      </c>
      <c r="DC189" s="539">
        <f t="shared" si="61"/>
        <v>0</v>
      </c>
      <c r="DD189" s="539">
        <f t="shared" si="61"/>
        <v>0</v>
      </c>
      <c r="DE189" s="539">
        <f t="shared" si="61"/>
        <v>0</v>
      </c>
      <c r="DF189" s="539">
        <f t="shared" si="61"/>
        <v>0</v>
      </c>
      <c r="DG189" s="539">
        <f t="shared" si="61"/>
        <v>0</v>
      </c>
      <c r="DH189" s="539">
        <f t="shared" si="61"/>
        <v>0</v>
      </c>
      <c r="DI189" s="539">
        <f t="shared" si="61"/>
        <v>0</v>
      </c>
      <c r="DJ189" s="539">
        <f t="shared" si="61"/>
        <v>0</v>
      </c>
      <c r="DK189" s="539">
        <f t="shared" si="61"/>
        <v>0</v>
      </c>
      <c r="DL189" s="539">
        <f t="shared" si="61"/>
        <v>0</v>
      </c>
      <c r="DM189" s="539">
        <f t="shared" si="61"/>
        <v>0</v>
      </c>
      <c r="DN189" s="539">
        <f t="shared" si="61"/>
        <v>0</v>
      </c>
      <c r="DO189" s="539">
        <f t="shared" si="61"/>
        <v>0</v>
      </c>
      <c r="DP189" s="539">
        <f t="shared" si="61"/>
        <v>0</v>
      </c>
      <c r="DQ189" s="539">
        <f t="shared" si="61"/>
        <v>0</v>
      </c>
      <c r="DR189" s="539">
        <f t="shared" si="61"/>
        <v>0</v>
      </c>
      <c r="DS189" s="539">
        <f t="shared" si="61"/>
        <v>0</v>
      </c>
      <c r="DT189" s="539">
        <f t="shared" si="61"/>
        <v>0</v>
      </c>
      <c r="DU189" s="539">
        <f t="shared" si="61"/>
        <v>0</v>
      </c>
      <c r="DV189" s="539">
        <f t="shared" si="61"/>
        <v>0</v>
      </c>
      <c r="DW189" s="539">
        <f t="shared" si="61"/>
        <v>0</v>
      </c>
      <c r="DX189" s="539">
        <f t="shared" si="61"/>
        <v>0</v>
      </c>
      <c r="DY189" s="539">
        <f t="shared" si="61"/>
        <v>0</v>
      </c>
      <c r="DZ189" s="539">
        <f t="shared" si="61"/>
        <v>0</v>
      </c>
      <c r="EA189" s="539">
        <f t="shared" si="61"/>
        <v>0</v>
      </c>
      <c r="EB189" s="539">
        <f t="shared" si="61"/>
        <v>0</v>
      </c>
      <c r="EC189" s="539">
        <f t="shared" si="61"/>
        <v>0</v>
      </c>
      <c r="ED189" s="539">
        <f t="shared" si="61"/>
        <v>0</v>
      </c>
      <c r="EE189" s="539">
        <f t="shared" si="61"/>
        <v>0</v>
      </c>
      <c r="EF189" s="539">
        <f t="shared" si="61"/>
        <v>0</v>
      </c>
      <c r="EG189" s="539">
        <f t="shared" si="61"/>
        <v>0</v>
      </c>
    </row>
    <row r="190" spans="5:137" ht="12.75">
      <c r="E190" s="540" t="s">
        <v>347</v>
      </c>
      <c r="G190" s="541" t="s">
        <v>30</v>
      </c>
      <c r="H190" s="541">
        <f>SUM(J190:EG190)</f>
        <v>13943.397268295888</v>
      </c>
      <c r="J190" s="541">
        <f t="shared" si="62" ref="J190:EG190">(J188+J189)*$F184*J187/$F185*J186</f>
        <v>0</v>
      </c>
      <c r="K190" s="541">
        <f t="shared" si="62"/>
        <v>0</v>
      </c>
      <c r="L190" s="541">
        <f t="shared" si="62"/>
        <v>0</v>
      </c>
      <c r="M190" s="541">
        <f t="shared" si="62"/>
        <v>0</v>
      </c>
      <c r="N190" s="541">
        <f t="shared" si="62"/>
        <v>0</v>
      </c>
      <c r="O190" s="541">
        <f t="shared" si="62"/>
        <v>0</v>
      </c>
      <c r="P190" s="541">
        <f t="shared" si="62"/>
        <v>0</v>
      </c>
      <c r="Q190" s="541">
        <f t="shared" si="62"/>
        <v>0</v>
      </c>
      <c r="R190" s="541">
        <f t="shared" si="62"/>
        <v>0</v>
      </c>
      <c r="S190" s="541">
        <f t="shared" si="62"/>
        <v>0</v>
      </c>
      <c r="T190" s="541">
        <f t="shared" si="62"/>
        <v>0</v>
      </c>
      <c r="U190" s="541">
        <f t="shared" si="62"/>
        <v>0</v>
      </c>
      <c r="V190" s="541">
        <f t="shared" si="62"/>
        <v>0</v>
      </c>
      <c r="W190" s="541">
        <f t="shared" si="62"/>
        <v>0</v>
      </c>
      <c r="X190" s="541">
        <f t="shared" si="62"/>
        <v>0</v>
      </c>
      <c r="Y190" s="541">
        <f t="shared" si="62"/>
        <v>0</v>
      </c>
      <c r="Z190" s="541">
        <f t="shared" si="62"/>
        <v>0</v>
      </c>
      <c r="AA190" s="541">
        <f t="shared" si="62"/>
        <v>0</v>
      </c>
      <c r="AB190" s="541">
        <f t="shared" si="62"/>
        <v>0</v>
      </c>
      <c r="AC190" s="541">
        <f t="shared" si="62"/>
        <v>0</v>
      </c>
      <c r="AD190" s="541">
        <f t="shared" si="62"/>
        <v>0</v>
      </c>
      <c r="AE190" s="541">
        <f t="shared" si="62"/>
        <v>0</v>
      </c>
      <c r="AF190" s="541">
        <f t="shared" si="62"/>
        <v>0</v>
      </c>
      <c r="AG190" s="541">
        <f t="shared" si="62"/>
        <v>0</v>
      </c>
      <c r="AH190" s="541">
        <f t="shared" si="62"/>
        <v>561.22797591530946</v>
      </c>
      <c r="AI190" s="541">
        <f t="shared" si="62"/>
        <v>555.64167893281899</v>
      </c>
      <c r="AJ190" s="541">
        <f t="shared" si="62"/>
        <v>549.79555418370114</v>
      </c>
      <c r="AK190" s="541">
        <f t="shared" si="62"/>
        <v>537.84347691883806</v>
      </c>
      <c r="AL190" s="541">
        <f t="shared" si="62"/>
        <v>514.45897792236678</v>
      </c>
      <c r="AM190" s="541">
        <f t="shared" si="62"/>
        <v>508.35302540662155</v>
      </c>
      <c r="AN190" s="541">
        <f t="shared" si="62"/>
        <v>501.98724512424877</v>
      </c>
      <c r="AO190" s="541">
        <f t="shared" si="62"/>
        <v>490.03516785938558</v>
      </c>
      <c r="AP190" s="541">
        <f t="shared" si="62"/>
        <v>467.68997992942428</v>
      </c>
      <c r="AQ190" s="541">
        <f t="shared" si="62"/>
        <v>461.06437188042401</v>
      </c>
      <c r="AR190" s="541">
        <f t="shared" si="62"/>
        <v>454.17893606479629</v>
      </c>
      <c r="AS190" s="541">
        <f t="shared" si="62"/>
        <v>442.22685879993327</v>
      </c>
      <c r="AT190" s="541">
        <f t="shared" si="62"/>
        <v>425.5978817357759</v>
      </c>
      <c r="AU190" s="541">
        <f t="shared" si="62"/>
        <v>413.77571835422651</v>
      </c>
      <c r="AV190" s="541">
        <f t="shared" si="62"/>
        <v>406.37062700534392</v>
      </c>
      <c r="AW190" s="541">
        <f t="shared" si="62"/>
        <v>394.41854974048084</v>
      </c>
      <c r="AX190" s="541">
        <f t="shared" si="62"/>
        <v>374.15198394353911</v>
      </c>
      <c r="AY190" s="541">
        <f t="shared" si="62"/>
        <v>366.48706482802908</v>
      </c>
      <c r="AZ190" s="541">
        <f t="shared" si="62"/>
        <v>358.56231794589155</v>
      </c>
      <c r="BA190" s="541">
        <f t="shared" si="62"/>
        <v>346.61024068102847</v>
      </c>
      <c r="BB190" s="541">
        <f t="shared" si="62"/>
        <v>327.38298595059666</v>
      </c>
      <c r="BC190" s="541">
        <f t="shared" si="62"/>
        <v>319.1984113018317</v>
      </c>
      <c r="BD190" s="541">
        <f t="shared" si="62"/>
        <v>310.75400888643935</v>
      </c>
      <c r="BE190" s="541">
        <f t="shared" si="62"/>
        <v>298.80193162157627</v>
      </c>
      <c r="BF190" s="541">
        <f t="shared" si="62"/>
        <v>280.61398795765422</v>
      </c>
      <c r="BG190" s="541">
        <f t="shared" si="62"/>
        <v>271.90975777563438</v>
      </c>
      <c r="BH190" s="541">
        <f t="shared" si="62"/>
        <v>262.94569982698704</v>
      </c>
      <c r="BI190" s="541">
        <f t="shared" si="62"/>
        <v>250.99362256212402</v>
      </c>
      <c r="BJ190" s="541">
        <f t="shared" si="62"/>
        <v>236.44326763098636</v>
      </c>
      <c r="BK190" s="541">
        <f t="shared" si="62"/>
        <v>224.62110424943702</v>
      </c>
      <c r="BL190" s="541">
        <f t="shared" si="62"/>
        <v>215.13739076753484</v>
      </c>
      <c r="BM190" s="541">
        <f t="shared" si="62"/>
        <v>203.18531350267176</v>
      </c>
      <c r="BN190" s="541">
        <f t="shared" si="62"/>
        <v>187.07599197176938</v>
      </c>
      <c r="BO190" s="541">
        <f t="shared" si="62"/>
        <v>177.33245072323967</v>
      </c>
      <c r="BP190" s="541">
        <f t="shared" si="62"/>
        <v>167.32908170808255</v>
      </c>
      <c r="BQ190" s="541">
        <f t="shared" si="62"/>
        <v>155.37700444321948</v>
      </c>
      <c r="BR190" s="541">
        <f t="shared" si="62"/>
        <v>140.30699397882694</v>
      </c>
      <c r="BS190" s="541">
        <f t="shared" si="62"/>
        <v>130.04379719704235</v>
      </c>
      <c r="BT190" s="541">
        <f t="shared" si="62"/>
        <v>119.52077264863031</v>
      </c>
      <c r="BU190" s="541">
        <f t="shared" si="62"/>
        <v>107.56869538376725</v>
      </c>
      <c r="BV190" s="541">
        <f t="shared" si="62"/>
        <v>93.537995985884535</v>
      </c>
      <c r="BW190" s="541">
        <f t="shared" si="62"/>
        <v>82.755143670845015</v>
      </c>
      <c r="BX190" s="541">
        <f t="shared" si="62"/>
        <v>71.712463589178029</v>
      </c>
      <c r="BY190" s="541">
        <f t="shared" si="62"/>
        <v>59.760386324314958</v>
      </c>
      <c r="BZ190" s="541">
        <f t="shared" si="62"/>
        <v>47.288653526196974</v>
      </c>
      <c r="CA190" s="541">
        <f t="shared" si="62"/>
        <v>35.466490144647629</v>
      </c>
      <c r="CB190" s="541">
        <f t="shared" si="62"/>
        <v>23.904154529725734</v>
      </c>
      <c r="CC190" s="541">
        <f t="shared" si="62"/>
        <v>11.952077264862666</v>
      </c>
      <c r="CD190" s="541">
        <f t="shared" si="62"/>
        <v>-3.9862031483869642E-13</v>
      </c>
      <c r="CE190" s="541">
        <f t="shared" si="62"/>
        <v>-4.0304942944801527E-13</v>
      </c>
      <c r="CF190" s="541">
        <f t="shared" si="62"/>
        <v>-4.0747854405733406E-13</v>
      </c>
      <c r="CG190" s="541">
        <f t="shared" si="62"/>
        <v>-4.0747854405733406E-13</v>
      </c>
      <c r="CH190" s="541">
        <f t="shared" si="62"/>
        <v>-3.9862031483869642E-13</v>
      </c>
      <c r="CI190" s="541">
        <f t="shared" si="62"/>
        <v>-4.0304942944801527E-13</v>
      </c>
      <c r="CJ190" s="541">
        <f t="shared" si="62"/>
        <v>-4.0747854405733406E-13</v>
      </c>
      <c r="CK190" s="541">
        <f t="shared" si="62"/>
        <v>-4.0747854405733406E-13</v>
      </c>
      <c r="CL190" s="541">
        <f t="shared" si="62"/>
        <v>-3.9862031483869642E-13</v>
      </c>
      <c r="CM190" s="541">
        <f t="shared" si="62"/>
        <v>-4.0304942944801527E-13</v>
      </c>
      <c r="CN190" s="541">
        <f t="shared" si="62"/>
        <v>-4.0747854405733406E-13</v>
      </c>
      <c r="CO190" s="541">
        <f t="shared" si="62"/>
        <v>-4.0747854405733406E-13</v>
      </c>
      <c r="CP190" s="541">
        <f t="shared" si="62"/>
        <v>-4.0304942944801527E-13</v>
      </c>
      <c r="CQ190" s="541">
        <f t="shared" si="62"/>
        <v>-4.0304942944801527E-13</v>
      </c>
      <c r="CR190" s="541">
        <f t="shared" si="62"/>
        <v>-4.0747854405733406E-13</v>
      </c>
      <c r="CS190" s="541">
        <f t="shared" si="62"/>
        <v>-4.0747854405733406E-13</v>
      </c>
      <c r="CT190" s="541">
        <f t="shared" si="62"/>
        <v>-3.9862031483869642E-13</v>
      </c>
      <c r="CU190" s="541">
        <f t="shared" si="62"/>
        <v>-4.0304942944801527E-13</v>
      </c>
      <c r="CV190" s="541">
        <f t="shared" si="62"/>
        <v>-4.0747854405733406E-13</v>
      </c>
      <c r="CW190" s="541">
        <f t="shared" si="62"/>
        <v>-4.0747854405733406E-13</v>
      </c>
      <c r="CX190" s="541">
        <f t="shared" si="62"/>
        <v>-3.9862031483869642E-13</v>
      </c>
      <c r="CY190" s="541">
        <f t="shared" si="62"/>
        <v>-4.0304942944801527E-13</v>
      </c>
      <c r="CZ190" s="541">
        <f t="shared" si="62"/>
        <v>-4.0747854405733406E-13</v>
      </c>
      <c r="DA190" s="541">
        <f t="shared" si="62"/>
        <v>-4.0747854405733406E-13</v>
      </c>
      <c r="DB190" s="541">
        <f t="shared" si="62"/>
        <v>-3.9862031483869642E-13</v>
      </c>
      <c r="DC190" s="541">
        <f t="shared" si="62"/>
        <v>-4.0304942944801527E-13</v>
      </c>
      <c r="DD190" s="541">
        <f t="shared" si="62"/>
        <v>-4.0747854405733406E-13</v>
      </c>
      <c r="DE190" s="541">
        <f t="shared" si="62"/>
        <v>-4.0747854405733406E-13</v>
      </c>
      <c r="DF190" s="541">
        <f t="shared" si="62"/>
        <v>-4.0304942944801527E-13</v>
      </c>
      <c r="DG190" s="541">
        <f t="shared" si="62"/>
        <v>-4.0304942944801527E-13</v>
      </c>
      <c r="DH190" s="541">
        <f t="shared" si="62"/>
        <v>-4.0747854405733406E-13</v>
      </c>
      <c r="DI190" s="541">
        <f t="shared" si="62"/>
        <v>-4.0747854405733406E-13</v>
      </c>
      <c r="DJ190" s="541">
        <f t="shared" si="62"/>
        <v>-3.9862031483869642E-13</v>
      </c>
      <c r="DK190" s="541">
        <f t="shared" si="62"/>
        <v>-4.0304942944801527E-13</v>
      </c>
      <c r="DL190" s="541">
        <f t="shared" si="62"/>
        <v>-4.0747854405733406E-13</v>
      </c>
      <c r="DM190" s="541">
        <f t="shared" si="62"/>
        <v>-4.0747854405733406E-13</v>
      </c>
      <c r="DN190" s="541">
        <f t="shared" si="62"/>
        <v>-3.9862031483869642E-13</v>
      </c>
      <c r="DO190" s="541">
        <f t="shared" si="62"/>
        <v>-4.0304942944801527E-13</v>
      </c>
      <c r="DP190" s="541">
        <f t="shared" si="62"/>
        <v>-4.0747854405733406E-13</v>
      </c>
      <c r="DQ190" s="541">
        <f t="shared" si="62"/>
        <v>-4.0747854405733406E-13</v>
      </c>
      <c r="DR190" s="541">
        <f t="shared" si="62"/>
        <v>-3.9862031483869642E-13</v>
      </c>
      <c r="DS190" s="541">
        <f t="shared" si="62"/>
        <v>-4.0304942944801527E-13</v>
      </c>
      <c r="DT190" s="541">
        <f t="shared" si="62"/>
        <v>-4.0747854405733406E-13</v>
      </c>
      <c r="DU190" s="541">
        <f t="shared" si="62"/>
        <v>-4.0747854405733406E-13</v>
      </c>
      <c r="DV190" s="541">
        <f t="shared" si="62"/>
        <v>-4.0304942944801527E-13</v>
      </c>
      <c r="DW190" s="541">
        <f t="shared" si="62"/>
        <v>-4.0304942944801527E-13</v>
      </c>
      <c r="DX190" s="541">
        <f t="shared" si="62"/>
        <v>-4.0747854405733406E-13</v>
      </c>
      <c r="DY190" s="541">
        <f t="shared" si="62"/>
        <v>-4.0747854405733406E-13</v>
      </c>
      <c r="DZ190" s="541">
        <f t="shared" si="62"/>
        <v>-3.9862031483869642E-13</v>
      </c>
      <c r="EA190" s="541">
        <f t="shared" si="62"/>
        <v>-4.0304942944801527E-13</v>
      </c>
      <c r="EB190" s="541">
        <f t="shared" si="62"/>
        <v>-4.0747854405733406E-13</v>
      </c>
      <c r="EC190" s="541">
        <f t="shared" si="62"/>
        <v>-4.0747854405733406E-13</v>
      </c>
      <c r="ED190" s="541">
        <f t="shared" si="62"/>
        <v>0</v>
      </c>
      <c r="EE190" s="541">
        <f t="shared" si="62"/>
        <v>0</v>
      </c>
      <c r="EF190" s="541">
        <f t="shared" si="62"/>
        <v>0</v>
      </c>
      <c r="EG190" s="541">
        <f t="shared" si="62"/>
        <v>0</v>
      </c>
    </row>
    <row r="193" spans="1:1" ht="12.75">
      <c r="A193" s="534" t="s">
        <v>348</v>
      </c>
    </row>
    <row r="195" spans="2:2" ht="12.75">
      <c r="B195" s="534" t="s">
        <v>349</v>
      </c>
    </row>
    <row r="196" spans="5:137" ht="12.75">
      <c r="E196" s="535" t="str">
        <f>Waterfall!E$48</f>
        <v>Cash available - junior debt service</v>
      </c>
      <c r="G196" s="537" t="str">
        <f>Waterfall!G$48</f>
        <v>EUR 000s</v>
      </c>
      <c r="H196" s="537">
        <f>Waterfall!H$48</f>
        <v>581462.82734681887</v>
      </c>
      <c r="J196" s="537">
        <f>Waterfall!J$48</f>
        <v>0</v>
      </c>
      <c r="K196" s="537">
        <f>Waterfall!K$48</f>
        <v>0</v>
      </c>
      <c r="L196" s="537">
        <f>Waterfall!L$48</f>
        <v>0</v>
      </c>
      <c r="M196" s="537">
        <f>Waterfall!M$48</f>
        <v>0</v>
      </c>
      <c r="N196" s="537">
        <f>Waterfall!N$48</f>
        <v>0</v>
      </c>
      <c r="O196" s="537">
        <f>Waterfall!O$48</f>
        <v>0</v>
      </c>
      <c r="P196" s="537">
        <f>Waterfall!P$48</f>
        <v>1.8189894035458565E-12</v>
      </c>
      <c r="Q196" s="537">
        <f>Waterfall!Q$48</f>
        <v>0</v>
      </c>
      <c r="R196" s="537">
        <f>Waterfall!R$48</f>
        <v>0</v>
      </c>
      <c r="S196" s="537">
        <f>Waterfall!S$48</f>
        <v>0</v>
      </c>
      <c r="T196" s="537">
        <f>Waterfall!T$48</f>
        <v>0</v>
      </c>
      <c r="U196" s="537">
        <f>Waterfall!U$48</f>
        <v>0</v>
      </c>
      <c r="V196" s="537">
        <f>Waterfall!V$48</f>
        <v>0</v>
      </c>
      <c r="W196" s="537">
        <f>Waterfall!W$48</f>
        <v>0</v>
      </c>
      <c r="X196" s="537">
        <f>Waterfall!X$48</f>
        <v>0</v>
      </c>
      <c r="Y196" s="537">
        <f>Waterfall!Y$48</f>
        <v>0</v>
      </c>
      <c r="Z196" s="537">
        <f>Waterfall!Z$48</f>
        <v>0</v>
      </c>
      <c r="AA196" s="537">
        <f>Waterfall!AA$48</f>
        <v>0</v>
      </c>
      <c r="AB196" s="537">
        <f>Waterfall!AB$48</f>
        <v>0</v>
      </c>
      <c r="AC196" s="537">
        <f>Waterfall!AC$48</f>
        <v>0</v>
      </c>
      <c r="AD196" s="537">
        <f>Waterfall!AD$48</f>
        <v>0</v>
      </c>
      <c r="AE196" s="537">
        <f>Waterfall!AE$48</f>
        <v>0</v>
      </c>
      <c r="AF196" s="537">
        <f>Waterfall!AF$48</f>
        <v>0</v>
      </c>
      <c r="AG196" s="537">
        <f>Waterfall!AG$48</f>
        <v>0</v>
      </c>
      <c r="AH196" s="537">
        <f>Waterfall!AH$48</f>
        <v>2472.0243110822994</v>
      </c>
      <c r="AI196" s="537">
        <f>Waterfall!AI$48</f>
        <v>4372.0469863696017</v>
      </c>
      <c r="AJ196" s="537">
        <f>Waterfall!AJ$48</f>
        <v>4322.0490486505641</v>
      </c>
      <c r="AK196" s="537">
        <f>Waterfall!AK$48</f>
        <v>4259.7573471290352</v>
      </c>
      <c r="AL196" s="537">
        <f>Waterfall!AL$48</f>
        <v>4355.9875470767938</v>
      </c>
      <c r="AM196" s="537">
        <f>Waterfall!AM$48</f>
        <v>4448.7363795644842</v>
      </c>
      <c r="AN196" s="537">
        <f>Waterfall!AN$48</f>
        <v>4397.6751610317833</v>
      </c>
      <c r="AO196" s="537">
        <f>Waterfall!AO$48</f>
        <v>4334.7372415828549</v>
      </c>
      <c r="AP196" s="537">
        <f>Waterfall!AP$48</f>
        <v>4433.019613939412</v>
      </c>
      <c r="AQ196" s="537">
        <f>Waterfall!AQ$48</f>
        <v>4526.6827641565123</v>
      </c>
      <c r="AR196" s="537">
        <f>Waterfall!AR$48</f>
        <v>4463.7444995532614</v>
      </c>
      <c r="AS196" s="537">
        <f>Waterfall!AS$48</f>
        <v>4421.7456998422203</v>
      </c>
      <c r="AT196" s="537">
        <f>Waterfall!AT$48</f>
        <v>2792.696200785937</v>
      </c>
      <c r="AU196" s="537">
        <f>Waterfall!AU$48</f>
        <v>2847.7127385341296</v>
      </c>
      <c r="AV196" s="537">
        <f>Waterfall!AV$48</f>
        <v>2813.1071075863201</v>
      </c>
      <c r="AW196" s="537">
        <f>Waterfall!AW$48</f>
        <v>2744.5223719777314</v>
      </c>
      <c r="AX196" s="537">
        <f>Waterfall!AX$48</f>
        <v>4590.9456581576906</v>
      </c>
      <c r="AY196" s="537">
        <f>Waterfall!AY$48</f>
        <v>4688.8491426837481</v>
      </c>
      <c r="AZ196" s="537">
        <f>Waterfall!AZ$48</f>
        <v>4695.7070110363047</v>
      </c>
      <c r="BA196" s="537">
        <f>Waterfall!BA$48</f>
        <v>4635.2385459120451</v>
      </c>
      <c r="BB196" s="537">
        <f>Waterfall!BB$48</f>
        <v>4629.9958347841712</v>
      </c>
      <c r="BC196" s="537">
        <f>Waterfall!BC$48</f>
        <v>4717.0266829894308</v>
      </c>
      <c r="BD196" s="537">
        <f>Waterfall!BD$48</f>
        <v>4657.2157187842731</v>
      </c>
      <c r="BE196" s="537">
        <f>Waterfall!BE$48</f>
        <v>4583.2198048124383</v>
      </c>
      <c r="BF196" s="537">
        <f>Waterfall!BF$48</f>
        <v>4673.0355243577897</v>
      </c>
      <c r="BG196" s="537">
        <f>Waterfall!BG$48</f>
        <v>4762.5167500515399</v>
      </c>
      <c r="BH196" s="537">
        <f>Waterfall!BH$48</f>
        <v>4691.8004919160858</v>
      </c>
      <c r="BI196" s="537">
        <f>Waterfall!BI$48</f>
        <v>4641.206219903971</v>
      </c>
      <c r="BJ196" s="537">
        <f>Waterfall!BJ$48</f>
        <v>4745.1110854878325</v>
      </c>
      <c r="BK196" s="537">
        <f>Waterfall!BK$48</f>
        <v>4792.9978242001662</v>
      </c>
      <c r="BL196" s="537">
        <f>Waterfall!BL$48</f>
        <v>4755.5809209485196</v>
      </c>
      <c r="BM196" s="537">
        <f>Waterfall!BM$48</f>
        <v>4682.9617413931028</v>
      </c>
      <c r="BN196" s="537">
        <f>Waterfall!BN$48</f>
        <v>2811.4683287412622</v>
      </c>
      <c r="BO196" s="537">
        <f>Waterfall!BO$48</f>
        <v>2905.0696958183958</v>
      </c>
      <c r="BP196" s="537">
        <f>Waterfall!BP$48</f>
        <v>2792.3083638394937</v>
      </c>
      <c r="BQ196" s="537">
        <f>Waterfall!BQ$48</f>
        <v>2720.0663940680688</v>
      </c>
      <c r="BR196" s="537">
        <f>Waterfall!BR$48</f>
        <v>4891.3353177086292</v>
      </c>
      <c r="BS196" s="537">
        <f>Waterfall!BS$48</f>
        <v>4986.68569772107</v>
      </c>
      <c r="BT196" s="537">
        <f>Waterfall!BT$48</f>
        <v>5066.1993006522434</v>
      </c>
      <c r="BU196" s="537">
        <f>Waterfall!BU$48</f>
        <v>5405.301992083726</v>
      </c>
      <c r="BV196" s="537">
        <f>Waterfall!BV$48</f>
        <v>5246.5121949894628</v>
      </c>
      <c r="BW196" s="537">
        <f>Waterfall!BW$48</f>
        <v>4554.7678268896525</v>
      </c>
      <c r="BX196" s="537">
        <f>Waterfall!BX$48</f>
        <v>4486.1978765519734</v>
      </c>
      <c r="BY196" s="537">
        <f>Waterfall!BY$48</f>
        <v>4429.9652756775695</v>
      </c>
      <c r="BZ196" s="537">
        <f>Waterfall!BZ$48</f>
        <v>4552.5607425494454</v>
      </c>
      <c r="CA196" s="537">
        <f>Waterfall!CA$48</f>
        <v>4773.7676029526074</v>
      </c>
      <c r="CB196" s="537">
        <f>Waterfall!CB$48</f>
        <v>4690.1775137470322</v>
      </c>
      <c r="CC196" s="537">
        <f>Waterfall!CC$48</f>
        <v>4274.8365280066346</v>
      </c>
      <c r="CD196" s="537">
        <f>Waterfall!CD$48</f>
        <v>4321.3134548763692</v>
      </c>
      <c r="CE196" s="537">
        <f>Waterfall!CE$48</f>
        <v>4413.9780591819081</v>
      </c>
      <c r="CF196" s="537">
        <f>Waterfall!CF$48</f>
        <v>4368.5578436146661</v>
      </c>
      <c r="CG196" s="537">
        <f>Waterfall!CG$48</f>
        <v>4283.5118246307165</v>
      </c>
      <c r="CH196" s="537">
        <f>Waterfall!CH$48</f>
        <v>2110.5359724491873</v>
      </c>
      <c r="CI196" s="537">
        <f>Waterfall!CI$48</f>
        <v>2204.6023940287423</v>
      </c>
      <c r="CJ196" s="537">
        <f>Waterfall!CJ$48</f>
        <v>1870.7851505508816</v>
      </c>
      <c r="CK196" s="537">
        <f>Waterfall!CK$48</f>
        <v>1786.9171601948419</v>
      </c>
      <c r="CL196" s="537">
        <f>Waterfall!CL$48</f>
        <v>4628.8303227158403</v>
      </c>
      <c r="CM196" s="537">
        <f>Waterfall!CM$48</f>
        <v>4723.5203653725785</v>
      </c>
      <c r="CN196" s="537">
        <f>Waterfall!CN$48</f>
        <v>4948.935086001231</v>
      </c>
      <c r="CO196" s="537">
        <f>Waterfall!CO$48</f>
        <v>4889.99295027068</v>
      </c>
      <c r="CP196" s="537">
        <f>Waterfall!CP$48</f>
        <v>4408.4942242291327</v>
      </c>
      <c r="CQ196" s="537">
        <f>Waterfall!CQ$48</f>
        <v>4454.0921236772019</v>
      </c>
      <c r="CR196" s="537">
        <f>Waterfall!CR$48</f>
        <v>4428.3806644411152</v>
      </c>
      <c r="CS196" s="537">
        <f>Waterfall!CS$48</f>
        <v>4344.7192119229667</v>
      </c>
      <c r="CT196" s="537">
        <f>Waterfall!CT$48</f>
        <v>4410.7908852154824</v>
      </c>
      <c r="CU196" s="537">
        <f>Waterfall!CU$48</f>
        <v>4507.2180043044709</v>
      </c>
      <c r="CV196" s="537">
        <f>Waterfall!CV$48</f>
        <v>4455.6468509356973</v>
      </c>
      <c r="CW196" s="537">
        <f>Waterfall!CW$48</f>
        <v>4372.1040514103006</v>
      </c>
      <c r="CX196" s="537">
        <f>Waterfall!CX$48</f>
        <v>4442.1439989063965</v>
      </c>
      <c r="CY196" s="537">
        <f>Waterfall!CY$48</f>
        <v>4538.8867633803111</v>
      </c>
      <c r="CZ196" s="537">
        <f>Waterfall!CZ$48</f>
        <v>9289.0498453167747</v>
      </c>
      <c r="DA196" s="537">
        <f>Waterfall!DA$48</f>
        <v>9243.2109589193478</v>
      </c>
      <c r="DB196" s="537">
        <f>Waterfall!DB$48</f>
        <v>6730.8032201585938</v>
      </c>
      <c r="DC196" s="537">
        <f>Waterfall!DC$48</f>
        <v>6819.6943690281241</v>
      </c>
      <c r="DD196" s="537">
        <f>Waterfall!DD$48</f>
        <v>6814.0398522326241</v>
      </c>
      <c r="DE196" s="537">
        <f>Waterfall!DE$48</f>
        <v>6785.1271000854231</v>
      </c>
      <c r="DF196" s="537">
        <f>Waterfall!DF$48</f>
        <v>10042.297500103878</v>
      </c>
      <c r="DG196" s="537">
        <f>Waterfall!DG$48</f>
        <v>10083.037086594606</v>
      </c>
      <c r="DH196" s="537">
        <f>Waterfall!DH$48</f>
        <v>10103.030440845592</v>
      </c>
      <c r="DI196" s="537">
        <f>Waterfall!DI$48</f>
        <v>10074.710093976457</v>
      </c>
      <c r="DJ196" s="537">
        <f>Waterfall!DJ$48</f>
        <v>9531.0000277068248</v>
      </c>
      <c r="DK196" s="537">
        <f>Waterfall!DK$48</f>
        <v>9622.5760692221538</v>
      </c>
      <c r="DL196" s="537">
        <f>Waterfall!DL$48</f>
        <v>9618.4891847043327</v>
      </c>
      <c r="DM196" s="537">
        <f>Waterfall!DM$48</f>
        <v>9590.6249782264968</v>
      </c>
      <c r="DN196" s="537">
        <f>Waterfall!DN$48</f>
        <v>9679.6513243283043</v>
      </c>
      <c r="DO196" s="537">
        <f>Waterfall!DO$48</f>
        <v>9772.3259446832872</v>
      </c>
      <c r="DP196" s="537">
        <f>Waterfall!DP$48</f>
        <v>9768.8299907587207</v>
      </c>
      <c r="DQ196" s="537">
        <f>Waterfall!DQ$48</f>
        <v>9741.3091688148925</v>
      </c>
      <c r="DR196" s="537">
        <f>Waterfall!DR$48</f>
        <v>9833.1752700445759</v>
      </c>
      <c r="DS196" s="537">
        <f>Waterfall!DS$48</f>
        <v>9926.8134161951511</v>
      </c>
      <c r="DT196" s="537">
        <f>Waterfall!DT$48</f>
        <v>9923.8082057289866</v>
      </c>
      <c r="DU196" s="537">
        <f>Waterfall!DU$48</f>
        <v>9896.5376166003607</v>
      </c>
      <c r="DV196" s="537">
        <f>Waterfall!DV$48</f>
        <v>10016.918852742816</v>
      </c>
      <c r="DW196" s="537">
        <f>Waterfall!DW$48</f>
        <v>10059.983606963106</v>
      </c>
      <c r="DX196" s="537">
        <f>Waterfall!DX$48</f>
        <v>10083.094712487115</v>
      </c>
      <c r="DY196" s="537">
        <f>Waterfall!DY$48</f>
        <v>10055.997562626802</v>
      </c>
      <c r="DZ196" s="537">
        <f>Waterfall!DZ$48</f>
        <v>10153.459517752461</v>
      </c>
      <c r="EA196" s="537">
        <f>Waterfall!EA$48</f>
        <v>10248.680194721674</v>
      </c>
      <c r="EB196" s="537">
        <f>Waterfall!EB$48</f>
        <v>10246.420544942679</v>
      </c>
      <c r="EC196" s="537">
        <f>Waterfall!EC$48</f>
        <v>10948.88102751593</v>
      </c>
      <c r="ED196" s="537">
        <f>Waterfall!ED$48</f>
        <v>2308.4176722004668</v>
      </c>
      <c r="EE196" s="537">
        <f>Waterfall!EE$48</f>
        <v>0</v>
      </c>
      <c r="EF196" s="537">
        <f>Waterfall!EF$48</f>
        <v>0</v>
      </c>
      <c r="EG196" s="537">
        <f>Waterfall!EG$48</f>
        <v>0</v>
      </c>
    </row>
    <row r="197" spans="5:137" ht="12.75">
      <c r="E197" s="538" t="str">
        <f>E$173</f>
        <v>Junior facility - opening interest arrears</v>
      </c>
      <c r="G197" s="539" t="str">
        <f>G$173</f>
        <v>EUR 000s</v>
      </c>
      <c r="H197" s="539">
        <f>H$173</f>
        <v>0</v>
      </c>
      <c r="J197" s="539">
        <f t="shared" si="63" ref="J197:EG197">J$173</f>
        <v>0</v>
      </c>
      <c r="K197" s="539">
        <f t="shared" si="63"/>
        <v>0</v>
      </c>
      <c r="L197" s="539">
        <f t="shared" si="63"/>
        <v>0</v>
      </c>
      <c r="M197" s="539">
        <f t="shared" si="63"/>
        <v>0</v>
      </c>
      <c r="N197" s="539">
        <f t="shared" si="63"/>
        <v>0</v>
      </c>
      <c r="O197" s="539">
        <f t="shared" si="63"/>
        <v>0</v>
      </c>
      <c r="P197" s="539">
        <f t="shared" si="63"/>
        <v>0</v>
      </c>
      <c r="Q197" s="539">
        <f t="shared" si="63"/>
        <v>0</v>
      </c>
      <c r="R197" s="539">
        <f t="shared" si="63"/>
        <v>0</v>
      </c>
      <c r="S197" s="539">
        <f t="shared" si="63"/>
        <v>0</v>
      </c>
      <c r="T197" s="539">
        <f t="shared" si="63"/>
        <v>0</v>
      </c>
      <c r="U197" s="539">
        <f t="shared" si="63"/>
        <v>0</v>
      </c>
      <c r="V197" s="539">
        <f t="shared" si="63"/>
        <v>0</v>
      </c>
      <c r="W197" s="539">
        <f t="shared" si="63"/>
        <v>0</v>
      </c>
      <c r="X197" s="539">
        <f t="shared" si="63"/>
        <v>0</v>
      </c>
      <c r="Y197" s="539">
        <f t="shared" si="63"/>
        <v>0</v>
      </c>
      <c r="Z197" s="539">
        <f t="shared" si="63"/>
        <v>0</v>
      </c>
      <c r="AA197" s="539">
        <f t="shared" si="63"/>
        <v>0</v>
      </c>
      <c r="AB197" s="539">
        <f t="shared" si="63"/>
        <v>0</v>
      </c>
      <c r="AC197" s="539">
        <f t="shared" si="63"/>
        <v>0</v>
      </c>
      <c r="AD197" s="539">
        <f t="shared" si="63"/>
        <v>0</v>
      </c>
      <c r="AE197" s="539">
        <f t="shared" si="63"/>
        <v>0</v>
      </c>
      <c r="AF197" s="539">
        <f t="shared" si="63"/>
        <v>0</v>
      </c>
      <c r="AG197" s="539">
        <f t="shared" si="63"/>
        <v>0</v>
      </c>
      <c r="AH197" s="539">
        <f t="shared" si="63"/>
        <v>0</v>
      </c>
      <c r="AI197" s="539">
        <f t="shared" si="63"/>
        <v>0</v>
      </c>
      <c r="AJ197" s="539">
        <f t="shared" si="63"/>
        <v>0</v>
      </c>
      <c r="AK197" s="539">
        <f t="shared" si="63"/>
        <v>0</v>
      </c>
      <c r="AL197" s="539">
        <f t="shared" si="63"/>
        <v>0</v>
      </c>
      <c r="AM197" s="539">
        <f t="shared" si="63"/>
        <v>0</v>
      </c>
      <c r="AN197" s="539">
        <f t="shared" si="63"/>
        <v>0</v>
      </c>
      <c r="AO197" s="539">
        <f t="shared" si="63"/>
        <v>0</v>
      </c>
      <c r="AP197" s="539">
        <f t="shared" si="63"/>
        <v>0</v>
      </c>
      <c r="AQ197" s="539">
        <f t="shared" si="63"/>
        <v>0</v>
      </c>
      <c r="AR197" s="539">
        <f t="shared" si="63"/>
        <v>0</v>
      </c>
      <c r="AS197" s="539">
        <f t="shared" si="63"/>
        <v>0</v>
      </c>
      <c r="AT197" s="539">
        <f t="shared" si="63"/>
        <v>0</v>
      </c>
      <c r="AU197" s="539">
        <f t="shared" si="63"/>
        <v>0</v>
      </c>
      <c r="AV197" s="539">
        <f t="shared" si="63"/>
        <v>0</v>
      </c>
      <c r="AW197" s="539">
        <f t="shared" si="63"/>
        <v>0</v>
      </c>
      <c r="AX197" s="539">
        <f t="shared" si="63"/>
        <v>0</v>
      </c>
      <c r="AY197" s="539">
        <f t="shared" si="63"/>
        <v>0</v>
      </c>
      <c r="AZ197" s="539">
        <f t="shared" si="63"/>
        <v>0</v>
      </c>
      <c r="BA197" s="539">
        <f t="shared" si="63"/>
        <v>0</v>
      </c>
      <c r="BB197" s="539">
        <f t="shared" si="63"/>
        <v>0</v>
      </c>
      <c r="BC197" s="539">
        <f t="shared" si="63"/>
        <v>0</v>
      </c>
      <c r="BD197" s="539">
        <f t="shared" si="63"/>
        <v>0</v>
      </c>
      <c r="BE197" s="539">
        <f t="shared" si="63"/>
        <v>0</v>
      </c>
      <c r="BF197" s="539">
        <f t="shared" si="63"/>
        <v>0</v>
      </c>
      <c r="BG197" s="539">
        <f t="shared" si="63"/>
        <v>0</v>
      </c>
      <c r="BH197" s="539">
        <f t="shared" si="63"/>
        <v>0</v>
      </c>
      <c r="BI197" s="539">
        <f t="shared" si="63"/>
        <v>0</v>
      </c>
      <c r="BJ197" s="539">
        <f t="shared" si="63"/>
        <v>0</v>
      </c>
      <c r="BK197" s="539">
        <f t="shared" si="63"/>
        <v>0</v>
      </c>
      <c r="BL197" s="539">
        <f t="shared" si="63"/>
        <v>0</v>
      </c>
      <c r="BM197" s="539">
        <f t="shared" si="63"/>
        <v>0</v>
      </c>
      <c r="BN197" s="539">
        <f t="shared" si="63"/>
        <v>0</v>
      </c>
      <c r="BO197" s="539">
        <f t="shared" si="63"/>
        <v>0</v>
      </c>
      <c r="BP197" s="539">
        <f t="shared" si="63"/>
        <v>0</v>
      </c>
      <c r="BQ197" s="539">
        <f t="shared" si="63"/>
        <v>0</v>
      </c>
      <c r="BR197" s="539">
        <f t="shared" si="63"/>
        <v>0</v>
      </c>
      <c r="BS197" s="539">
        <f t="shared" si="63"/>
        <v>0</v>
      </c>
      <c r="BT197" s="539">
        <f t="shared" si="63"/>
        <v>0</v>
      </c>
      <c r="BU197" s="539">
        <f t="shared" si="63"/>
        <v>0</v>
      </c>
      <c r="BV197" s="539">
        <f t="shared" si="63"/>
        <v>0</v>
      </c>
      <c r="BW197" s="539">
        <f t="shared" si="63"/>
        <v>0</v>
      </c>
      <c r="BX197" s="539">
        <f t="shared" si="63"/>
        <v>0</v>
      </c>
      <c r="BY197" s="539">
        <f t="shared" si="63"/>
        <v>0</v>
      </c>
      <c r="BZ197" s="539">
        <f t="shared" si="63"/>
        <v>0</v>
      </c>
      <c r="CA197" s="539">
        <f t="shared" si="63"/>
        <v>0</v>
      </c>
      <c r="CB197" s="539">
        <f t="shared" si="63"/>
        <v>0</v>
      </c>
      <c r="CC197" s="539">
        <f t="shared" si="63"/>
        <v>0</v>
      </c>
      <c r="CD197" s="539">
        <f t="shared" si="63"/>
        <v>0</v>
      </c>
      <c r="CE197" s="539">
        <f t="shared" si="63"/>
        <v>0</v>
      </c>
      <c r="CF197" s="539">
        <f t="shared" si="63"/>
        <v>0</v>
      </c>
      <c r="CG197" s="539">
        <f t="shared" si="63"/>
        <v>0</v>
      </c>
      <c r="CH197" s="539">
        <f t="shared" si="63"/>
        <v>0</v>
      </c>
      <c r="CI197" s="539">
        <f t="shared" si="63"/>
        <v>0</v>
      </c>
      <c r="CJ197" s="539">
        <f t="shared" si="63"/>
        <v>0</v>
      </c>
      <c r="CK197" s="539">
        <f t="shared" si="63"/>
        <v>0</v>
      </c>
      <c r="CL197" s="539">
        <f t="shared" si="63"/>
        <v>0</v>
      </c>
      <c r="CM197" s="539">
        <f t="shared" si="63"/>
        <v>0</v>
      </c>
      <c r="CN197" s="539">
        <f t="shared" si="63"/>
        <v>0</v>
      </c>
      <c r="CO197" s="539">
        <f t="shared" si="63"/>
        <v>0</v>
      </c>
      <c r="CP197" s="539">
        <f t="shared" si="63"/>
        <v>0</v>
      </c>
      <c r="CQ197" s="539">
        <f t="shared" si="63"/>
        <v>0</v>
      </c>
      <c r="CR197" s="539">
        <f t="shared" si="63"/>
        <v>0</v>
      </c>
      <c r="CS197" s="539">
        <f t="shared" si="63"/>
        <v>0</v>
      </c>
      <c r="CT197" s="539">
        <f t="shared" si="63"/>
        <v>0</v>
      </c>
      <c r="CU197" s="539">
        <f t="shared" si="63"/>
        <v>0</v>
      </c>
      <c r="CV197" s="539">
        <f t="shared" si="63"/>
        <v>0</v>
      </c>
      <c r="CW197" s="539">
        <f t="shared" si="63"/>
        <v>0</v>
      </c>
      <c r="CX197" s="539">
        <f t="shared" si="63"/>
        <v>0</v>
      </c>
      <c r="CY197" s="539">
        <f t="shared" si="63"/>
        <v>0</v>
      </c>
      <c r="CZ197" s="539">
        <f t="shared" si="63"/>
        <v>0</v>
      </c>
      <c r="DA197" s="539">
        <f t="shared" si="63"/>
        <v>0</v>
      </c>
      <c r="DB197" s="539">
        <f t="shared" si="63"/>
        <v>0</v>
      </c>
      <c r="DC197" s="539">
        <f t="shared" si="63"/>
        <v>0</v>
      </c>
      <c r="DD197" s="539">
        <f t="shared" si="63"/>
        <v>0</v>
      </c>
      <c r="DE197" s="539">
        <f t="shared" si="63"/>
        <v>0</v>
      </c>
      <c r="DF197" s="539">
        <f t="shared" si="63"/>
        <v>0</v>
      </c>
      <c r="DG197" s="539">
        <f t="shared" si="63"/>
        <v>0</v>
      </c>
      <c r="DH197" s="539">
        <f t="shared" si="63"/>
        <v>0</v>
      </c>
      <c r="DI197" s="539">
        <f t="shared" si="63"/>
        <v>0</v>
      </c>
      <c r="DJ197" s="539">
        <f t="shared" si="63"/>
        <v>0</v>
      </c>
      <c r="DK197" s="539">
        <f t="shared" si="63"/>
        <v>0</v>
      </c>
      <c r="DL197" s="539">
        <f t="shared" si="63"/>
        <v>0</v>
      </c>
      <c r="DM197" s="539">
        <f t="shared" si="63"/>
        <v>0</v>
      </c>
      <c r="DN197" s="539">
        <f t="shared" si="63"/>
        <v>0</v>
      </c>
      <c r="DO197" s="539">
        <f t="shared" si="63"/>
        <v>0</v>
      </c>
      <c r="DP197" s="539">
        <f t="shared" si="63"/>
        <v>0</v>
      </c>
      <c r="DQ197" s="539">
        <f t="shared" si="63"/>
        <v>0</v>
      </c>
      <c r="DR197" s="539">
        <f t="shared" si="63"/>
        <v>0</v>
      </c>
      <c r="DS197" s="539">
        <f t="shared" si="63"/>
        <v>0</v>
      </c>
      <c r="DT197" s="539">
        <f t="shared" si="63"/>
        <v>0</v>
      </c>
      <c r="DU197" s="539">
        <f t="shared" si="63"/>
        <v>0</v>
      </c>
      <c r="DV197" s="539">
        <f t="shared" si="63"/>
        <v>0</v>
      </c>
      <c r="DW197" s="539">
        <f t="shared" si="63"/>
        <v>0</v>
      </c>
      <c r="DX197" s="539">
        <f t="shared" si="63"/>
        <v>0</v>
      </c>
      <c r="DY197" s="539">
        <f t="shared" si="63"/>
        <v>0</v>
      </c>
      <c r="DZ197" s="539">
        <f t="shared" si="63"/>
        <v>0</v>
      </c>
      <c r="EA197" s="539">
        <f t="shared" si="63"/>
        <v>0</v>
      </c>
      <c r="EB197" s="539">
        <f t="shared" si="63"/>
        <v>0</v>
      </c>
      <c r="EC197" s="539">
        <f t="shared" si="63"/>
        <v>0</v>
      </c>
      <c r="ED197" s="539">
        <f t="shared" si="63"/>
        <v>0</v>
      </c>
      <c r="EE197" s="539">
        <f t="shared" si="63"/>
        <v>0</v>
      </c>
      <c r="EF197" s="539">
        <f t="shared" si="63"/>
        <v>0</v>
      </c>
      <c r="EG197" s="539">
        <f t="shared" si="63"/>
        <v>0</v>
      </c>
    </row>
    <row r="198" spans="5:137" ht="12.75">
      <c r="E198" s="538" t="str">
        <f>E$190</f>
        <v>Junior facility - interest</v>
      </c>
      <c r="G198" s="539" t="str">
        <f>G$190</f>
        <v>EUR 000s</v>
      </c>
      <c r="H198" s="539">
        <f>H$190</f>
        <v>13943.397268295888</v>
      </c>
      <c r="J198" s="539">
        <f t="shared" si="64" ref="J198:EG198">J$190</f>
        <v>0</v>
      </c>
      <c r="K198" s="539">
        <f t="shared" si="64"/>
        <v>0</v>
      </c>
      <c r="L198" s="539">
        <f t="shared" si="64"/>
        <v>0</v>
      </c>
      <c r="M198" s="539">
        <f t="shared" si="64"/>
        <v>0</v>
      </c>
      <c r="N198" s="539">
        <f t="shared" si="64"/>
        <v>0</v>
      </c>
      <c r="O198" s="539">
        <f t="shared" si="64"/>
        <v>0</v>
      </c>
      <c r="P198" s="539">
        <f t="shared" si="64"/>
        <v>0</v>
      </c>
      <c r="Q198" s="539">
        <f t="shared" si="64"/>
        <v>0</v>
      </c>
      <c r="R198" s="539">
        <f t="shared" si="64"/>
        <v>0</v>
      </c>
      <c r="S198" s="539">
        <f t="shared" si="64"/>
        <v>0</v>
      </c>
      <c r="T198" s="539">
        <f t="shared" si="64"/>
        <v>0</v>
      </c>
      <c r="U198" s="539">
        <f t="shared" si="64"/>
        <v>0</v>
      </c>
      <c r="V198" s="539">
        <f t="shared" si="64"/>
        <v>0</v>
      </c>
      <c r="W198" s="539">
        <f t="shared" si="64"/>
        <v>0</v>
      </c>
      <c r="X198" s="539">
        <f t="shared" si="64"/>
        <v>0</v>
      </c>
      <c r="Y198" s="539">
        <f t="shared" si="64"/>
        <v>0</v>
      </c>
      <c r="Z198" s="539">
        <f t="shared" si="64"/>
        <v>0</v>
      </c>
      <c r="AA198" s="539">
        <f t="shared" si="64"/>
        <v>0</v>
      </c>
      <c r="AB198" s="539">
        <f t="shared" si="64"/>
        <v>0</v>
      </c>
      <c r="AC198" s="539">
        <f t="shared" si="64"/>
        <v>0</v>
      </c>
      <c r="AD198" s="539">
        <f t="shared" si="64"/>
        <v>0</v>
      </c>
      <c r="AE198" s="539">
        <f t="shared" si="64"/>
        <v>0</v>
      </c>
      <c r="AF198" s="539">
        <f t="shared" si="64"/>
        <v>0</v>
      </c>
      <c r="AG198" s="539">
        <f t="shared" si="64"/>
        <v>0</v>
      </c>
      <c r="AH198" s="539">
        <f t="shared" si="64"/>
        <v>561.22797591530946</v>
      </c>
      <c r="AI198" s="539">
        <f t="shared" si="64"/>
        <v>555.64167893281899</v>
      </c>
      <c r="AJ198" s="539">
        <f t="shared" si="64"/>
        <v>549.79555418370114</v>
      </c>
      <c r="AK198" s="539">
        <f t="shared" si="64"/>
        <v>537.84347691883806</v>
      </c>
      <c r="AL198" s="539">
        <f t="shared" si="64"/>
        <v>514.45897792236678</v>
      </c>
      <c r="AM198" s="539">
        <f t="shared" si="64"/>
        <v>508.35302540662155</v>
      </c>
      <c r="AN198" s="539">
        <f t="shared" si="64"/>
        <v>501.98724512424877</v>
      </c>
      <c r="AO198" s="539">
        <f t="shared" si="64"/>
        <v>490.03516785938558</v>
      </c>
      <c r="AP198" s="539">
        <f t="shared" si="64"/>
        <v>467.68997992942428</v>
      </c>
      <c r="AQ198" s="539">
        <f t="shared" si="64"/>
        <v>461.06437188042401</v>
      </c>
      <c r="AR198" s="539">
        <f t="shared" si="64"/>
        <v>454.17893606479629</v>
      </c>
      <c r="AS198" s="539">
        <f t="shared" si="64"/>
        <v>442.22685879993327</v>
      </c>
      <c r="AT198" s="539">
        <f t="shared" si="64"/>
        <v>425.5978817357759</v>
      </c>
      <c r="AU198" s="539">
        <f t="shared" si="64"/>
        <v>413.77571835422651</v>
      </c>
      <c r="AV198" s="539">
        <f t="shared" si="64"/>
        <v>406.37062700534392</v>
      </c>
      <c r="AW198" s="539">
        <f t="shared" si="64"/>
        <v>394.41854974048084</v>
      </c>
      <c r="AX198" s="539">
        <f t="shared" si="64"/>
        <v>374.15198394353911</v>
      </c>
      <c r="AY198" s="539">
        <f t="shared" si="64"/>
        <v>366.48706482802908</v>
      </c>
      <c r="AZ198" s="539">
        <f t="shared" si="64"/>
        <v>358.56231794589155</v>
      </c>
      <c r="BA198" s="539">
        <f t="shared" si="64"/>
        <v>346.61024068102847</v>
      </c>
      <c r="BB198" s="539">
        <f t="shared" si="64"/>
        <v>327.38298595059666</v>
      </c>
      <c r="BC198" s="539">
        <f t="shared" si="64"/>
        <v>319.1984113018317</v>
      </c>
      <c r="BD198" s="539">
        <f t="shared" si="64"/>
        <v>310.75400888643935</v>
      </c>
      <c r="BE198" s="539">
        <f t="shared" si="64"/>
        <v>298.80193162157627</v>
      </c>
      <c r="BF198" s="539">
        <f t="shared" si="64"/>
        <v>280.61398795765422</v>
      </c>
      <c r="BG198" s="539">
        <f t="shared" si="64"/>
        <v>271.90975777563438</v>
      </c>
      <c r="BH198" s="539">
        <f t="shared" si="64"/>
        <v>262.94569982698704</v>
      </c>
      <c r="BI198" s="539">
        <f t="shared" si="64"/>
        <v>250.99362256212402</v>
      </c>
      <c r="BJ198" s="539">
        <f t="shared" si="64"/>
        <v>236.44326763098636</v>
      </c>
      <c r="BK198" s="539">
        <f t="shared" si="64"/>
        <v>224.62110424943702</v>
      </c>
      <c r="BL198" s="539">
        <f t="shared" si="64"/>
        <v>215.13739076753484</v>
      </c>
      <c r="BM198" s="539">
        <f t="shared" si="64"/>
        <v>203.18531350267176</v>
      </c>
      <c r="BN198" s="539">
        <f t="shared" si="64"/>
        <v>187.07599197176938</v>
      </c>
      <c r="BO198" s="539">
        <f t="shared" si="64"/>
        <v>177.33245072323967</v>
      </c>
      <c r="BP198" s="539">
        <f t="shared" si="64"/>
        <v>167.32908170808255</v>
      </c>
      <c r="BQ198" s="539">
        <f t="shared" si="64"/>
        <v>155.37700444321948</v>
      </c>
      <c r="BR198" s="539">
        <f t="shared" si="64"/>
        <v>140.30699397882694</v>
      </c>
      <c r="BS198" s="539">
        <f t="shared" si="64"/>
        <v>130.04379719704235</v>
      </c>
      <c r="BT198" s="539">
        <f t="shared" si="64"/>
        <v>119.52077264863031</v>
      </c>
      <c r="BU198" s="539">
        <f t="shared" si="64"/>
        <v>107.56869538376725</v>
      </c>
      <c r="BV198" s="539">
        <f t="shared" si="64"/>
        <v>93.537995985884535</v>
      </c>
      <c r="BW198" s="539">
        <f t="shared" si="64"/>
        <v>82.755143670845015</v>
      </c>
      <c r="BX198" s="539">
        <f t="shared" si="64"/>
        <v>71.712463589178029</v>
      </c>
      <c r="BY198" s="539">
        <f t="shared" si="64"/>
        <v>59.760386324314958</v>
      </c>
      <c r="BZ198" s="539">
        <f t="shared" si="64"/>
        <v>47.288653526196974</v>
      </c>
      <c r="CA198" s="539">
        <f t="shared" si="64"/>
        <v>35.466490144647629</v>
      </c>
      <c r="CB198" s="539">
        <f t="shared" si="64"/>
        <v>23.904154529725734</v>
      </c>
      <c r="CC198" s="539">
        <f t="shared" si="64"/>
        <v>11.952077264862666</v>
      </c>
      <c r="CD198" s="539">
        <f t="shared" si="64"/>
        <v>-3.9862031483869642E-13</v>
      </c>
      <c r="CE198" s="539">
        <f t="shared" si="64"/>
        <v>-4.0304942944801527E-13</v>
      </c>
      <c r="CF198" s="539">
        <f t="shared" si="64"/>
        <v>-4.0747854405733406E-13</v>
      </c>
      <c r="CG198" s="539">
        <f t="shared" si="64"/>
        <v>-4.0747854405733406E-13</v>
      </c>
      <c r="CH198" s="539">
        <f t="shared" si="64"/>
        <v>-3.9862031483869642E-13</v>
      </c>
      <c r="CI198" s="539">
        <f t="shared" si="64"/>
        <v>-4.0304942944801527E-13</v>
      </c>
      <c r="CJ198" s="539">
        <f t="shared" si="64"/>
        <v>-4.0747854405733406E-13</v>
      </c>
      <c r="CK198" s="539">
        <f t="shared" si="64"/>
        <v>-4.0747854405733406E-13</v>
      </c>
      <c r="CL198" s="539">
        <f t="shared" si="64"/>
        <v>-3.9862031483869642E-13</v>
      </c>
      <c r="CM198" s="539">
        <f t="shared" si="64"/>
        <v>-4.0304942944801527E-13</v>
      </c>
      <c r="CN198" s="539">
        <f t="shared" si="64"/>
        <v>-4.0747854405733406E-13</v>
      </c>
      <c r="CO198" s="539">
        <f t="shared" si="64"/>
        <v>-4.0747854405733406E-13</v>
      </c>
      <c r="CP198" s="539">
        <f t="shared" si="64"/>
        <v>-4.0304942944801527E-13</v>
      </c>
      <c r="CQ198" s="539">
        <f t="shared" si="64"/>
        <v>-4.0304942944801527E-13</v>
      </c>
      <c r="CR198" s="539">
        <f t="shared" si="64"/>
        <v>-4.0747854405733406E-13</v>
      </c>
      <c r="CS198" s="539">
        <f t="shared" si="64"/>
        <v>-4.0747854405733406E-13</v>
      </c>
      <c r="CT198" s="539">
        <f t="shared" si="64"/>
        <v>-3.9862031483869642E-13</v>
      </c>
      <c r="CU198" s="539">
        <f t="shared" si="64"/>
        <v>-4.0304942944801527E-13</v>
      </c>
      <c r="CV198" s="539">
        <f t="shared" si="64"/>
        <v>-4.0747854405733406E-13</v>
      </c>
      <c r="CW198" s="539">
        <f t="shared" si="64"/>
        <v>-4.0747854405733406E-13</v>
      </c>
      <c r="CX198" s="539">
        <f t="shared" si="64"/>
        <v>-3.9862031483869642E-13</v>
      </c>
      <c r="CY198" s="539">
        <f t="shared" si="64"/>
        <v>-4.0304942944801527E-13</v>
      </c>
      <c r="CZ198" s="539">
        <f t="shared" si="64"/>
        <v>-4.0747854405733406E-13</v>
      </c>
      <c r="DA198" s="539">
        <f t="shared" si="64"/>
        <v>-4.0747854405733406E-13</v>
      </c>
      <c r="DB198" s="539">
        <f t="shared" si="64"/>
        <v>-3.9862031483869642E-13</v>
      </c>
      <c r="DC198" s="539">
        <f t="shared" si="64"/>
        <v>-4.0304942944801527E-13</v>
      </c>
      <c r="DD198" s="539">
        <f t="shared" si="64"/>
        <v>-4.0747854405733406E-13</v>
      </c>
      <c r="DE198" s="539">
        <f t="shared" si="64"/>
        <v>-4.0747854405733406E-13</v>
      </c>
      <c r="DF198" s="539">
        <f t="shared" si="64"/>
        <v>-4.0304942944801527E-13</v>
      </c>
      <c r="DG198" s="539">
        <f t="shared" si="64"/>
        <v>-4.0304942944801527E-13</v>
      </c>
      <c r="DH198" s="539">
        <f t="shared" si="64"/>
        <v>-4.0747854405733406E-13</v>
      </c>
      <c r="DI198" s="539">
        <f t="shared" si="64"/>
        <v>-4.0747854405733406E-13</v>
      </c>
      <c r="DJ198" s="539">
        <f t="shared" si="64"/>
        <v>-3.9862031483869642E-13</v>
      </c>
      <c r="DK198" s="539">
        <f t="shared" si="64"/>
        <v>-4.0304942944801527E-13</v>
      </c>
      <c r="DL198" s="539">
        <f t="shared" si="64"/>
        <v>-4.0747854405733406E-13</v>
      </c>
      <c r="DM198" s="539">
        <f t="shared" si="64"/>
        <v>-4.0747854405733406E-13</v>
      </c>
      <c r="DN198" s="539">
        <f t="shared" si="64"/>
        <v>-3.9862031483869642E-13</v>
      </c>
      <c r="DO198" s="539">
        <f t="shared" si="64"/>
        <v>-4.0304942944801527E-13</v>
      </c>
      <c r="DP198" s="539">
        <f t="shared" si="64"/>
        <v>-4.0747854405733406E-13</v>
      </c>
      <c r="DQ198" s="539">
        <f t="shared" si="64"/>
        <v>-4.0747854405733406E-13</v>
      </c>
      <c r="DR198" s="539">
        <f t="shared" si="64"/>
        <v>-3.9862031483869642E-13</v>
      </c>
      <c r="DS198" s="539">
        <f t="shared" si="64"/>
        <v>-4.0304942944801527E-13</v>
      </c>
      <c r="DT198" s="539">
        <f t="shared" si="64"/>
        <v>-4.0747854405733406E-13</v>
      </c>
      <c r="DU198" s="539">
        <f t="shared" si="64"/>
        <v>-4.0747854405733406E-13</v>
      </c>
      <c r="DV198" s="539">
        <f t="shared" si="64"/>
        <v>-4.0304942944801527E-13</v>
      </c>
      <c r="DW198" s="539">
        <f t="shared" si="64"/>
        <v>-4.0304942944801527E-13</v>
      </c>
      <c r="DX198" s="539">
        <f t="shared" si="64"/>
        <v>-4.0747854405733406E-13</v>
      </c>
      <c r="DY198" s="539">
        <f t="shared" si="64"/>
        <v>-4.0747854405733406E-13</v>
      </c>
      <c r="DZ198" s="539">
        <f t="shared" si="64"/>
        <v>-3.9862031483869642E-13</v>
      </c>
      <c r="EA198" s="539">
        <f t="shared" si="64"/>
        <v>-4.0304942944801527E-13</v>
      </c>
      <c r="EB198" s="539">
        <f t="shared" si="64"/>
        <v>-4.0747854405733406E-13</v>
      </c>
      <c r="EC198" s="539">
        <f t="shared" si="64"/>
        <v>-4.0747854405733406E-13</v>
      </c>
      <c r="ED198" s="539">
        <f t="shared" si="64"/>
        <v>0</v>
      </c>
      <c r="EE198" s="539">
        <f t="shared" si="64"/>
        <v>0</v>
      </c>
      <c r="EF198" s="539">
        <f t="shared" si="64"/>
        <v>0</v>
      </c>
      <c r="EG198" s="539">
        <f t="shared" si="64"/>
        <v>0</v>
      </c>
    </row>
    <row r="199" spans="5:137" ht="12.75">
      <c r="E199" s="538" t="s">
        <v>350</v>
      </c>
      <c r="G199" s="539" t="s">
        <v>30</v>
      </c>
      <c r="H199" s="539">
        <f>SUM(J199:EG199)</f>
        <v>13943.397268295888</v>
      </c>
      <c r="J199" s="539">
        <f t="shared" si="65" ref="J199:EG199">MIN(J198+J197,MAX(0,J196))</f>
        <v>0</v>
      </c>
      <c r="K199" s="539">
        <f t="shared" si="65"/>
        <v>0</v>
      </c>
      <c r="L199" s="539">
        <f t="shared" si="65"/>
        <v>0</v>
      </c>
      <c r="M199" s="539">
        <f t="shared" si="65"/>
        <v>0</v>
      </c>
      <c r="N199" s="539">
        <f t="shared" si="65"/>
        <v>0</v>
      </c>
      <c r="O199" s="539">
        <f t="shared" si="65"/>
        <v>0</v>
      </c>
      <c r="P199" s="539">
        <f t="shared" si="65"/>
        <v>0</v>
      </c>
      <c r="Q199" s="539">
        <f t="shared" si="65"/>
        <v>0</v>
      </c>
      <c r="R199" s="539">
        <f t="shared" si="65"/>
        <v>0</v>
      </c>
      <c r="S199" s="539">
        <f t="shared" si="65"/>
        <v>0</v>
      </c>
      <c r="T199" s="539">
        <f t="shared" si="65"/>
        <v>0</v>
      </c>
      <c r="U199" s="539">
        <f t="shared" si="65"/>
        <v>0</v>
      </c>
      <c r="V199" s="539">
        <f t="shared" si="65"/>
        <v>0</v>
      </c>
      <c r="W199" s="539">
        <f t="shared" si="65"/>
        <v>0</v>
      </c>
      <c r="X199" s="539">
        <f t="shared" si="65"/>
        <v>0</v>
      </c>
      <c r="Y199" s="539">
        <f t="shared" si="65"/>
        <v>0</v>
      </c>
      <c r="Z199" s="539">
        <f t="shared" si="65"/>
        <v>0</v>
      </c>
      <c r="AA199" s="539">
        <f t="shared" si="65"/>
        <v>0</v>
      </c>
      <c r="AB199" s="539">
        <f t="shared" si="65"/>
        <v>0</v>
      </c>
      <c r="AC199" s="539">
        <f t="shared" si="65"/>
        <v>0</v>
      </c>
      <c r="AD199" s="539">
        <f t="shared" si="65"/>
        <v>0</v>
      </c>
      <c r="AE199" s="539">
        <f t="shared" si="65"/>
        <v>0</v>
      </c>
      <c r="AF199" s="539">
        <f t="shared" si="65"/>
        <v>0</v>
      </c>
      <c r="AG199" s="539">
        <f t="shared" si="65"/>
        <v>0</v>
      </c>
      <c r="AH199" s="539">
        <f t="shared" si="65"/>
        <v>561.22797591530946</v>
      </c>
      <c r="AI199" s="539">
        <f t="shared" si="65"/>
        <v>555.64167893281899</v>
      </c>
      <c r="AJ199" s="539">
        <f t="shared" si="65"/>
        <v>549.79555418370114</v>
      </c>
      <c r="AK199" s="539">
        <f t="shared" si="65"/>
        <v>537.84347691883806</v>
      </c>
      <c r="AL199" s="539">
        <f t="shared" si="65"/>
        <v>514.45897792236678</v>
      </c>
      <c r="AM199" s="539">
        <f t="shared" si="65"/>
        <v>508.35302540662155</v>
      </c>
      <c r="AN199" s="539">
        <f t="shared" si="65"/>
        <v>501.98724512424877</v>
      </c>
      <c r="AO199" s="539">
        <f t="shared" si="65"/>
        <v>490.03516785938558</v>
      </c>
      <c r="AP199" s="539">
        <f t="shared" si="65"/>
        <v>467.68997992942428</v>
      </c>
      <c r="AQ199" s="539">
        <f t="shared" si="65"/>
        <v>461.06437188042401</v>
      </c>
      <c r="AR199" s="539">
        <f t="shared" si="65"/>
        <v>454.17893606479629</v>
      </c>
      <c r="AS199" s="539">
        <f t="shared" si="65"/>
        <v>442.22685879993327</v>
      </c>
      <c r="AT199" s="539">
        <f t="shared" si="65"/>
        <v>425.5978817357759</v>
      </c>
      <c r="AU199" s="539">
        <f t="shared" si="65"/>
        <v>413.77571835422651</v>
      </c>
      <c r="AV199" s="539">
        <f t="shared" si="65"/>
        <v>406.37062700534392</v>
      </c>
      <c r="AW199" s="539">
        <f t="shared" si="65"/>
        <v>394.41854974048084</v>
      </c>
      <c r="AX199" s="539">
        <f t="shared" si="65"/>
        <v>374.15198394353911</v>
      </c>
      <c r="AY199" s="539">
        <f t="shared" si="65"/>
        <v>366.48706482802908</v>
      </c>
      <c r="AZ199" s="539">
        <f t="shared" si="65"/>
        <v>358.56231794589155</v>
      </c>
      <c r="BA199" s="539">
        <f t="shared" si="65"/>
        <v>346.61024068102847</v>
      </c>
      <c r="BB199" s="539">
        <f t="shared" si="65"/>
        <v>327.38298595059666</v>
      </c>
      <c r="BC199" s="539">
        <f t="shared" si="65"/>
        <v>319.1984113018317</v>
      </c>
      <c r="BD199" s="539">
        <f t="shared" si="65"/>
        <v>310.75400888643935</v>
      </c>
      <c r="BE199" s="539">
        <f t="shared" si="65"/>
        <v>298.80193162157627</v>
      </c>
      <c r="BF199" s="539">
        <f t="shared" si="65"/>
        <v>280.61398795765422</v>
      </c>
      <c r="BG199" s="539">
        <f t="shared" si="65"/>
        <v>271.90975777563438</v>
      </c>
      <c r="BH199" s="539">
        <f t="shared" si="65"/>
        <v>262.94569982698704</v>
      </c>
      <c r="BI199" s="539">
        <f t="shared" si="65"/>
        <v>250.99362256212402</v>
      </c>
      <c r="BJ199" s="539">
        <f t="shared" si="65"/>
        <v>236.44326763098636</v>
      </c>
      <c r="BK199" s="539">
        <f t="shared" si="65"/>
        <v>224.62110424943702</v>
      </c>
      <c r="BL199" s="539">
        <f t="shared" si="65"/>
        <v>215.13739076753484</v>
      </c>
      <c r="BM199" s="539">
        <f t="shared" si="65"/>
        <v>203.18531350267176</v>
      </c>
      <c r="BN199" s="539">
        <f t="shared" si="65"/>
        <v>187.07599197176938</v>
      </c>
      <c r="BO199" s="539">
        <f t="shared" si="65"/>
        <v>177.33245072323967</v>
      </c>
      <c r="BP199" s="539">
        <f t="shared" si="65"/>
        <v>167.32908170808255</v>
      </c>
      <c r="BQ199" s="539">
        <f t="shared" si="65"/>
        <v>155.37700444321948</v>
      </c>
      <c r="BR199" s="539">
        <f t="shared" si="65"/>
        <v>140.30699397882694</v>
      </c>
      <c r="BS199" s="539">
        <f t="shared" si="65"/>
        <v>130.04379719704235</v>
      </c>
      <c r="BT199" s="539">
        <f t="shared" si="65"/>
        <v>119.52077264863031</v>
      </c>
      <c r="BU199" s="539">
        <f t="shared" si="65"/>
        <v>107.56869538376725</v>
      </c>
      <c r="BV199" s="539">
        <f t="shared" si="65"/>
        <v>93.537995985884535</v>
      </c>
      <c r="BW199" s="539">
        <f t="shared" si="65"/>
        <v>82.755143670845015</v>
      </c>
      <c r="BX199" s="539">
        <f t="shared" si="65"/>
        <v>71.712463589178029</v>
      </c>
      <c r="BY199" s="539">
        <f t="shared" si="65"/>
        <v>59.760386324314958</v>
      </c>
      <c r="BZ199" s="539">
        <f t="shared" si="65"/>
        <v>47.288653526196974</v>
      </c>
      <c r="CA199" s="539">
        <f t="shared" si="65"/>
        <v>35.466490144647629</v>
      </c>
      <c r="CB199" s="539">
        <f t="shared" si="65"/>
        <v>23.904154529725734</v>
      </c>
      <c r="CC199" s="539">
        <f t="shared" si="65"/>
        <v>11.952077264862666</v>
      </c>
      <c r="CD199" s="539">
        <f t="shared" si="65"/>
        <v>-3.9862031483869642E-13</v>
      </c>
      <c r="CE199" s="539">
        <f t="shared" si="65"/>
        <v>-4.0304942944801527E-13</v>
      </c>
      <c r="CF199" s="539">
        <f t="shared" si="65"/>
        <v>-4.0747854405733406E-13</v>
      </c>
      <c r="CG199" s="539">
        <f t="shared" si="65"/>
        <v>-4.0747854405733406E-13</v>
      </c>
      <c r="CH199" s="539">
        <f t="shared" si="65"/>
        <v>-3.9862031483869642E-13</v>
      </c>
      <c r="CI199" s="539">
        <f t="shared" si="65"/>
        <v>-4.0304942944801527E-13</v>
      </c>
      <c r="CJ199" s="539">
        <f t="shared" si="65"/>
        <v>-4.0747854405733406E-13</v>
      </c>
      <c r="CK199" s="539">
        <f t="shared" si="65"/>
        <v>-4.0747854405733406E-13</v>
      </c>
      <c r="CL199" s="539">
        <f t="shared" si="65"/>
        <v>-3.9862031483869642E-13</v>
      </c>
      <c r="CM199" s="539">
        <f t="shared" si="65"/>
        <v>-4.0304942944801527E-13</v>
      </c>
      <c r="CN199" s="539">
        <f t="shared" si="65"/>
        <v>-4.0747854405733406E-13</v>
      </c>
      <c r="CO199" s="539">
        <f t="shared" si="65"/>
        <v>-4.0747854405733406E-13</v>
      </c>
      <c r="CP199" s="539">
        <f t="shared" si="65"/>
        <v>-4.0304942944801527E-13</v>
      </c>
      <c r="CQ199" s="539">
        <f t="shared" si="65"/>
        <v>-4.0304942944801527E-13</v>
      </c>
      <c r="CR199" s="539">
        <f t="shared" si="65"/>
        <v>-4.0747854405733406E-13</v>
      </c>
      <c r="CS199" s="539">
        <f t="shared" si="65"/>
        <v>-4.0747854405733406E-13</v>
      </c>
      <c r="CT199" s="539">
        <f t="shared" si="65"/>
        <v>-3.9862031483869642E-13</v>
      </c>
      <c r="CU199" s="539">
        <f t="shared" si="65"/>
        <v>-4.0304942944801527E-13</v>
      </c>
      <c r="CV199" s="539">
        <f t="shared" si="65"/>
        <v>-4.0747854405733406E-13</v>
      </c>
      <c r="CW199" s="539">
        <f t="shared" si="65"/>
        <v>-4.0747854405733406E-13</v>
      </c>
      <c r="CX199" s="539">
        <f t="shared" si="65"/>
        <v>-3.9862031483869642E-13</v>
      </c>
      <c r="CY199" s="539">
        <f t="shared" si="65"/>
        <v>-4.0304942944801527E-13</v>
      </c>
      <c r="CZ199" s="539">
        <f t="shared" si="65"/>
        <v>-4.0747854405733406E-13</v>
      </c>
      <c r="DA199" s="539">
        <f t="shared" si="65"/>
        <v>-4.0747854405733406E-13</v>
      </c>
      <c r="DB199" s="539">
        <f t="shared" si="65"/>
        <v>-3.9862031483869642E-13</v>
      </c>
      <c r="DC199" s="539">
        <f t="shared" si="65"/>
        <v>-4.0304942944801527E-13</v>
      </c>
      <c r="DD199" s="539">
        <f t="shared" si="65"/>
        <v>-4.0747854405733406E-13</v>
      </c>
      <c r="DE199" s="539">
        <f t="shared" si="65"/>
        <v>-4.0747854405733406E-13</v>
      </c>
      <c r="DF199" s="539">
        <f t="shared" si="65"/>
        <v>-4.0304942944801527E-13</v>
      </c>
      <c r="DG199" s="539">
        <f t="shared" si="65"/>
        <v>-4.0304942944801527E-13</v>
      </c>
      <c r="DH199" s="539">
        <f t="shared" si="65"/>
        <v>-4.0747854405733406E-13</v>
      </c>
      <c r="DI199" s="539">
        <f t="shared" si="65"/>
        <v>-4.0747854405733406E-13</v>
      </c>
      <c r="DJ199" s="539">
        <f t="shared" si="65"/>
        <v>-3.9862031483869642E-13</v>
      </c>
      <c r="DK199" s="539">
        <f t="shared" si="65"/>
        <v>-4.0304942944801527E-13</v>
      </c>
      <c r="DL199" s="539">
        <f t="shared" si="65"/>
        <v>-4.0747854405733406E-13</v>
      </c>
      <c r="DM199" s="539">
        <f t="shared" si="65"/>
        <v>-4.0747854405733406E-13</v>
      </c>
      <c r="DN199" s="539">
        <f t="shared" si="65"/>
        <v>-3.9862031483869642E-13</v>
      </c>
      <c r="DO199" s="539">
        <f t="shared" si="65"/>
        <v>-4.0304942944801527E-13</v>
      </c>
      <c r="DP199" s="539">
        <f t="shared" si="65"/>
        <v>-4.0747854405733406E-13</v>
      </c>
      <c r="DQ199" s="539">
        <f t="shared" si="65"/>
        <v>-4.0747854405733406E-13</v>
      </c>
      <c r="DR199" s="539">
        <f t="shared" si="65"/>
        <v>-3.9862031483869642E-13</v>
      </c>
      <c r="DS199" s="539">
        <f t="shared" si="65"/>
        <v>-4.0304942944801527E-13</v>
      </c>
      <c r="DT199" s="539">
        <f t="shared" si="65"/>
        <v>-4.0747854405733406E-13</v>
      </c>
      <c r="DU199" s="539">
        <f t="shared" si="65"/>
        <v>-4.0747854405733406E-13</v>
      </c>
      <c r="DV199" s="539">
        <f t="shared" si="65"/>
        <v>-4.0304942944801527E-13</v>
      </c>
      <c r="DW199" s="539">
        <f t="shared" si="65"/>
        <v>-4.0304942944801527E-13</v>
      </c>
      <c r="DX199" s="539">
        <f t="shared" si="65"/>
        <v>-4.0747854405733406E-13</v>
      </c>
      <c r="DY199" s="539">
        <f t="shared" si="65"/>
        <v>-4.0747854405733406E-13</v>
      </c>
      <c r="DZ199" s="539">
        <f t="shared" si="65"/>
        <v>-3.9862031483869642E-13</v>
      </c>
      <c r="EA199" s="539">
        <f t="shared" si="65"/>
        <v>-4.0304942944801527E-13</v>
      </c>
      <c r="EB199" s="539">
        <f t="shared" si="65"/>
        <v>-4.0747854405733406E-13</v>
      </c>
      <c r="EC199" s="539">
        <f t="shared" si="65"/>
        <v>-4.0747854405733406E-13</v>
      </c>
      <c r="ED199" s="539">
        <f t="shared" si="65"/>
        <v>0</v>
      </c>
      <c r="EE199" s="539">
        <f t="shared" si="65"/>
        <v>0</v>
      </c>
      <c r="EF199" s="539">
        <f t="shared" si="65"/>
        <v>0</v>
      </c>
      <c r="EG199" s="539">
        <f t="shared" si="65"/>
        <v>0</v>
      </c>
    </row>
    <row r="201" spans="5:137" ht="12.75">
      <c r="E201" s="538" t="str">
        <f>E$173</f>
        <v>Junior facility - opening interest arrears</v>
      </c>
      <c r="G201" s="539" t="str">
        <f>G$173</f>
        <v>EUR 000s</v>
      </c>
      <c r="H201" s="539">
        <f>H$173</f>
        <v>0</v>
      </c>
      <c r="J201" s="539">
        <f t="shared" si="66" ref="J201:EG201">J$173</f>
        <v>0</v>
      </c>
      <c r="K201" s="539">
        <f t="shared" si="66"/>
        <v>0</v>
      </c>
      <c r="L201" s="539">
        <f t="shared" si="66"/>
        <v>0</v>
      </c>
      <c r="M201" s="539">
        <f t="shared" si="66"/>
        <v>0</v>
      </c>
      <c r="N201" s="539">
        <f t="shared" si="66"/>
        <v>0</v>
      </c>
      <c r="O201" s="539">
        <f t="shared" si="66"/>
        <v>0</v>
      </c>
      <c r="P201" s="539">
        <f t="shared" si="66"/>
        <v>0</v>
      </c>
      <c r="Q201" s="539">
        <f t="shared" si="66"/>
        <v>0</v>
      </c>
      <c r="R201" s="539">
        <f t="shared" si="66"/>
        <v>0</v>
      </c>
      <c r="S201" s="539">
        <f t="shared" si="66"/>
        <v>0</v>
      </c>
      <c r="T201" s="539">
        <f t="shared" si="66"/>
        <v>0</v>
      </c>
      <c r="U201" s="539">
        <f t="shared" si="66"/>
        <v>0</v>
      </c>
      <c r="V201" s="539">
        <f t="shared" si="66"/>
        <v>0</v>
      </c>
      <c r="W201" s="539">
        <f t="shared" si="66"/>
        <v>0</v>
      </c>
      <c r="X201" s="539">
        <f t="shared" si="66"/>
        <v>0</v>
      </c>
      <c r="Y201" s="539">
        <f t="shared" si="66"/>
        <v>0</v>
      </c>
      <c r="Z201" s="539">
        <f t="shared" si="66"/>
        <v>0</v>
      </c>
      <c r="AA201" s="539">
        <f t="shared" si="66"/>
        <v>0</v>
      </c>
      <c r="AB201" s="539">
        <f t="shared" si="66"/>
        <v>0</v>
      </c>
      <c r="AC201" s="539">
        <f t="shared" si="66"/>
        <v>0</v>
      </c>
      <c r="AD201" s="539">
        <f t="shared" si="66"/>
        <v>0</v>
      </c>
      <c r="AE201" s="539">
        <f t="shared" si="66"/>
        <v>0</v>
      </c>
      <c r="AF201" s="539">
        <f t="shared" si="66"/>
        <v>0</v>
      </c>
      <c r="AG201" s="539">
        <f t="shared" si="66"/>
        <v>0</v>
      </c>
      <c r="AH201" s="539">
        <f t="shared" si="66"/>
        <v>0</v>
      </c>
      <c r="AI201" s="539">
        <f t="shared" si="66"/>
        <v>0</v>
      </c>
      <c r="AJ201" s="539">
        <f t="shared" si="66"/>
        <v>0</v>
      </c>
      <c r="AK201" s="539">
        <f t="shared" si="66"/>
        <v>0</v>
      </c>
      <c r="AL201" s="539">
        <f t="shared" si="66"/>
        <v>0</v>
      </c>
      <c r="AM201" s="539">
        <f t="shared" si="66"/>
        <v>0</v>
      </c>
      <c r="AN201" s="539">
        <f t="shared" si="66"/>
        <v>0</v>
      </c>
      <c r="AO201" s="539">
        <f t="shared" si="66"/>
        <v>0</v>
      </c>
      <c r="AP201" s="539">
        <f t="shared" si="66"/>
        <v>0</v>
      </c>
      <c r="AQ201" s="539">
        <f t="shared" si="66"/>
        <v>0</v>
      </c>
      <c r="AR201" s="539">
        <f t="shared" si="66"/>
        <v>0</v>
      </c>
      <c r="AS201" s="539">
        <f t="shared" si="66"/>
        <v>0</v>
      </c>
      <c r="AT201" s="539">
        <f t="shared" si="66"/>
        <v>0</v>
      </c>
      <c r="AU201" s="539">
        <f t="shared" si="66"/>
        <v>0</v>
      </c>
      <c r="AV201" s="539">
        <f t="shared" si="66"/>
        <v>0</v>
      </c>
      <c r="AW201" s="539">
        <f t="shared" si="66"/>
        <v>0</v>
      </c>
      <c r="AX201" s="539">
        <f t="shared" si="66"/>
        <v>0</v>
      </c>
      <c r="AY201" s="539">
        <f t="shared" si="66"/>
        <v>0</v>
      </c>
      <c r="AZ201" s="539">
        <f t="shared" si="66"/>
        <v>0</v>
      </c>
      <c r="BA201" s="539">
        <f t="shared" si="66"/>
        <v>0</v>
      </c>
      <c r="BB201" s="539">
        <f t="shared" si="66"/>
        <v>0</v>
      </c>
      <c r="BC201" s="539">
        <f t="shared" si="66"/>
        <v>0</v>
      </c>
      <c r="BD201" s="539">
        <f t="shared" si="66"/>
        <v>0</v>
      </c>
      <c r="BE201" s="539">
        <f t="shared" si="66"/>
        <v>0</v>
      </c>
      <c r="BF201" s="539">
        <f t="shared" si="66"/>
        <v>0</v>
      </c>
      <c r="BG201" s="539">
        <f t="shared" si="66"/>
        <v>0</v>
      </c>
      <c r="BH201" s="539">
        <f t="shared" si="66"/>
        <v>0</v>
      </c>
      <c r="BI201" s="539">
        <f t="shared" si="66"/>
        <v>0</v>
      </c>
      <c r="BJ201" s="539">
        <f t="shared" si="66"/>
        <v>0</v>
      </c>
      <c r="BK201" s="539">
        <f t="shared" si="66"/>
        <v>0</v>
      </c>
      <c r="BL201" s="539">
        <f t="shared" si="66"/>
        <v>0</v>
      </c>
      <c r="BM201" s="539">
        <f t="shared" si="66"/>
        <v>0</v>
      </c>
      <c r="BN201" s="539">
        <f t="shared" si="66"/>
        <v>0</v>
      </c>
      <c r="BO201" s="539">
        <f t="shared" si="66"/>
        <v>0</v>
      </c>
      <c r="BP201" s="539">
        <f t="shared" si="66"/>
        <v>0</v>
      </c>
      <c r="BQ201" s="539">
        <f t="shared" si="66"/>
        <v>0</v>
      </c>
      <c r="BR201" s="539">
        <f t="shared" si="66"/>
        <v>0</v>
      </c>
      <c r="BS201" s="539">
        <f t="shared" si="66"/>
        <v>0</v>
      </c>
      <c r="BT201" s="539">
        <f t="shared" si="66"/>
        <v>0</v>
      </c>
      <c r="BU201" s="539">
        <f t="shared" si="66"/>
        <v>0</v>
      </c>
      <c r="BV201" s="539">
        <f t="shared" si="66"/>
        <v>0</v>
      </c>
      <c r="BW201" s="539">
        <f t="shared" si="66"/>
        <v>0</v>
      </c>
      <c r="BX201" s="539">
        <f t="shared" si="66"/>
        <v>0</v>
      </c>
      <c r="BY201" s="539">
        <f t="shared" si="66"/>
        <v>0</v>
      </c>
      <c r="BZ201" s="539">
        <f t="shared" si="66"/>
        <v>0</v>
      </c>
      <c r="CA201" s="539">
        <f t="shared" si="66"/>
        <v>0</v>
      </c>
      <c r="CB201" s="539">
        <f t="shared" si="66"/>
        <v>0</v>
      </c>
      <c r="CC201" s="539">
        <f t="shared" si="66"/>
        <v>0</v>
      </c>
      <c r="CD201" s="539">
        <f t="shared" si="66"/>
        <v>0</v>
      </c>
      <c r="CE201" s="539">
        <f t="shared" si="66"/>
        <v>0</v>
      </c>
      <c r="CF201" s="539">
        <f t="shared" si="66"/>
        <v>0</v>
      </c>
      <c r="CG201" s="539">
        <f t="shared" si="66"/>
        <v>0</v>
      </c>
      <c r="CH201" s="539">
        <f t="shared" si="66"/>
        <v>0</v>
      </c>
      <c r="CI201" s="539">
        <f t="shared" si="66"/>
        <v>0</v>
      </c>
      <c r="CJ201" s="539">
        <f t="shared" si="66"/>
        <v>0</v>
      </c>
      <c r="CK201" s="539">
        <f t="shared" si="66"/>
        <v>0</v>
      </c>
      <c r="CL201" s="539">
        <f t="shared" si="66"/>
        <v>0</v>
      </c>
      <c r="CM201" s="539">
        <f t="shared" si="66"/>
        <v>0</v>
      </c>
      <c r="CN201" s="539">
        <f t="shared" si="66"/>
        <v>0</v>
      </c>
      <c r="CO201" s="539">
        <f t="shared" si="66"/>
        <v>0</v>
      </c>
      <c r="CP201" s="539">
        <f t="shared" si="66"/>
        <v>0</v>
      </c>
      <c r="CQ201" s="539">
        <f t="shared" si="66"/>
        <v>0</v>
      </c>
      <c r="CR201" s="539">
        <f t="shared" si="66"/>
        <v>0</v>
      </c>
      <c r="CS201" s="539">
        <f t="shared" si="66"/>
        <v>0</v>
      </c>
      <c r="CT201" s="539">
        <f t="shared" si="66"/>
        <v>0</v>
      </c>
      <c r="CU201" s="539">
        <f t="shared" si="66"/>
        <v>0</v>
      </c>
      <c r="CV201" s="539">
        <f t="shared" si="66"/>
        <v>0</v>
      </c>
      <c r="CW201" s="539">
        <f t="shared" si="66"/>
        <v>0</v>
      </c>
      <c r="CX201" s="539">
        <f t="shared" si="66"/>
        <v>0</v>
      </c>
      <c r="CY201" s="539">
        <f t="shared" si="66"/>
        <v>0</v>
      </c>
      <c r="CZ201" s="539">
        <f t="shared" si="66"/>
        <v>0</v>
      </c>
      <c r="DA201" s="539">
        <f t="shared" si="66"/>
        <v>0</v>
      </c>
      <c r="DB201" s="539">
        <f t="shared" si="66"/>
        <v>0</v>
      </c>
      <c r="DC201" s="539">
        <f t="shared" si="66"/>
        <v>0</v>
      </c>
      <c r="DD201" s="539">
        <f t="shared" si="66"/>
        <v>0</v>
      </c>
      <c r="DE201" s="539">
        <f t="shared" si="66"/>
        <v>0</v>
      </c>
      <c r="DF201" s="539">
        <f t="shared" si="66"/>
        <v>0</v>
      </c>
      <c r="DG201" s="539">
        <f t="shared" si="66"/>
        <v>0</v>
      </c>
      <c r="DH201" s="539">
        <f t="shared" si="66"/>
        <v>0</v>
      </c>
      <c r="DI201" s="539">
        <f t="shared" si="66"/>
        <v>0</v>
      </c>
      <c r="DJ201" s="539">
        <f t="shared" si="66"/>
        <v>0</v>
      </c>
      <c r="DK201" s="539">
        <f t="shared" si="66"/>
        <v>0</v>
      </c>
      <c r="DL201" s="539">
        <f t="shared" si="66"/>
        <v>0</v>
      </c>
      <c r="DM201" s="539">
        <f t="shared" si="66"/>
        <v>0</v>
      </c>
      <c r="DN201" s="539">
        <f t="shared" si="66"/>
        <v>0</v>
      </c>
      <c r="DO201" s="539">
        <f t="shared" si="66"/>
        <v>0</v>
      </c>
      <c r="DP201" s="539">
        <f t="shared" si="66"/>
        <v>0</v>
      </c>
      <c r="DQ201" s="539">
        <f t="shared" si="66"/>
        <v>0</v>
      </c>
      <c r="DR201" s="539">
        <f t="shared" si="66"/>
        <v>0</v>
      </c>
      <c r="DS201" s="539">
        <f t="shared" si="66"/>
        <v>0</v>
      </c>
      <c r="DT201" s="539">
        <f t="shared" si="66"/>
        <v>0</v>
      </c>
      <c r="DU201" s="539">
        <f t="shared" si="66"/>
        <v>0</v>
      </c>
      <c r="DV201" s="539">
        <f t="shared" si="66"/>
        <v>0</v>
      </c>
      <c r="DW201" s="539">
        <f t="shared" si="66"/>
        <v>0</v>
      </c>
      <c r="DX201" s="539">
        <f t="shared" si="66"/>
        <v>0</v>
      </c>
      <c r="DY201" s="539">
        <f t="shared" si="66"/>
        <v>0</v>
      </c>
      <c r="DZ201" s="539">
        <f t="shared" si="66"/>
        <v>0</v>
      </c>
      <c r="EA201" s="539">
        <f t="shared" si="66"/>
        <v>0</v>
      </c>
      <c r="EB201" s="539">
        <f t="shared" si="66"/>
        <v>0</v>
      </c>
      <c r="EC201" s="539">
        <f t="shared" si="66"/>
        <v>0</v>
      </c>
      <c r="ED201" s="539">
        <f t="shared" si="66"/>
        <v>0</v>
      </c>
      <c r="EE201" s="539">
        <f t="shared" si="66"/>
        <v>0</v>
      </c>
      <c r="EF201" s="539">
        <f t="shared" si="66"/>
        <v>0</v>
      </c>
      <c r="EG201" s="539">
        <f t="shared" si="66"/>
        <v>0</v>
      </c>
    </row>
    <row r="202" spans="5:137" ht="12.75">
      <c r="E202" s="538" t="str">
        <f>E$190</f>
        <v>Junior facility - interest</v>
      </c>
      <c r="G202" s="539" t="str">
        <f>G$190</f>
        <v>EUR 000s</v>
      </c>
      <c r="H202" s="539">
        <f>H$190</f>
        <v>13943.397268295888</v>
      </c>
      <c r="J202" s="539">
        <f t="shared" si="67" ref="J202:EG202">J$190</f>
        <v>0</v>
      </c>
      <c r="K202" s="539">
        <f t="shared" si="67"/>
        <v>0</v>
      </c>
      <c r="L202" s="539">
        <f t="shared" si="67"/>
        <v>0</v>
      </c>
      <c r="M202" s="539">
        <f t="shared" si="67"/>
        <v>0</v>
      </c>
      <c r="N202" s="539">
        <f t="shared" si="67"/>
        <v>0</v>
      </c>
      <c r="O202" s="539">
        <f t="shared" si="67"/>
        <v>0</v>
      </c>
      <c r="P202" s="539">
        <f t="shared" si="67"/>
        <v>0</v>
      </c>
      <c r="Q202" s="539">
        <f t="shared" si="67"/>
        <v>0</v>
      </c>
      <c r="R202" s="539">
        <f t="shared" si="67"/>
        <v>0</v>
      </c>
      <c r="S202" s="539">
        <f t="shared" si="67"/>
        <v>0</v>
      </c>
      <c r="T202" s="539">
        <f t="shared" si="67"/>
        <v>0</v>
      </c>
      <c r="U202" s="539">
        <f t="shared" si="67"/>
        <v>0</v>
      </c>
      <c r="V202" s="539">
        <f t="shared" si="67"/>
        <v>0</v>
      </c>
      <c r="W202" s="539">
        <f t="shared" si="67"/>
        <v>0</v>
      </c>
      <c r="X202" s="539">
        <f t="shared" si="67"/>
        <v>0</v>
      </c>
      <c r="Y202" s="539">
        <f t="shared" si="67"/>
        <v>0</v>
      </c>
      <c r="Z202" s="539">
        <f t="shared" si="67"/>
        <v>0</v>
      </c>
      <c r="AA202" s="539">
        <f t="shared" si="67"/>
        <v>0</v>
      </c>
      <c r="AB202" s="539">
        <f t="shared" si="67"/>
        <v>0</v>
      </c>
      <c r="AC202" s="539">
        <f t="shared" si="67"/>
        <v>0</v>
      </c>
      <c r="AD202" s="539">
        <f t="shared" si="67"/>
        <v>0</v>
      </c>
      <c r="AE202" s="539">
        <f t="shared" si="67"/>
        <v>0</v>
      </c>
      <c r="AF202" s="539">
        <f t="shared" si="67"/>
        <v>0</v>
      </c>
      <c r="AG202" s="539">
        <f t="shared" si="67"/>
        <v>0</v>
      </c>
      <c r="AH202" s="539">
        <f t="shared" si="67"/>
        <v>561.22797591530946</v>
      </c>
      <c r="AI202" s="539">
        <f t="shared" si="67"/>
        <v>555.64167893281899</v>
      </c>
      <c r="AJ202" s="539">
        <f t="shared" si="67"/>
        <v>549.79555418370114</v>
      </c>
      <c r="AK202" s="539">
        <f t="shared" si="67"/>
        <v>537.84347691883806</v>
      </c>
      <c r="AL202" s="539">
        <f t="shared" si="67"/>
        <v>514.45897792236678</v>
      </c>
      <c r="AM202" s="539">
        <f t="shared" si="67"/>
        <v>508.35302540662155</v>
      </c>
      <c r="AN202" s="539">
        <f t="shared" si="67"/>
        <v>501.98724512424877</v>
      </c>
      <c r="AO202" s="539">
        <f t="shared" si="67"/>
        <v>490.03516785938558</v>
      </c>
      <c r="AP202" s="539">
        <f t="shared" si="67"/>
        <v>467.68997992942428</v>
      </c>
      <c r="AQ202" s="539">
        <f t="shared" si="67"/>
        <v>461.06437188042401</v>
      </c>
      <c r="AR202" s="539">
        <f t="shared" si="67"/>
        <v>454.17893606479629</v>
      </c>
      <c r="AS202" s="539">
        <f t="shared" si="67"/>
        <v>442.22685879993327</v>
      </c>
      <c r="AT202" s="539">
        <f t="shared" si="67"/>
        <v>425.5978817357759</v>
      </c>
      <c r="AU202" s="539">
        <f t="shared" si="67"/>
        <v>413.77571835422651</v>
      </c>
      <c r="AV202" s="539">
        <f t="shared" si="67"/>
        <v>406.37062700534392</v>
      </c>
      <c r="AW202" s="539">
        <f t="shared" si="67"/>
        <v>394.41854974048084</v>
      </c>
      <c r="AX202" s="539">
        <f t="shared" si="67"/>
        <v>374.15198394353911</v>
      </c>
      <c r="AY202" s="539">
        <f t="shared" si="67"/>
        <v>366.48706482802908</v>
      </c>
      <c r="AZ202" s="539">
        <f t="shared" si="67"/>
        <v>358.56231794589155</v>
      </c>
      <c r="BA202" s="539">
        <f t="shared" si="67"/>
        <v>346.61024068102847</v>
      </c>
      <c r="BB202" s="539">
        <f t="shared" si="67"/>
        <v>327.38298595059666</v>
      </c>
      <c r="BC202" s="539">
        <f t="shared" si="67"/>
        <v>319.1984113018317</v>
      </c>
      <c r="BD202" s="539">
        <f t="shared" si="67"/>
        <v>310.75400888643935</v>
      </c>
      <c r="BE202" s="539">
        <f t="shared" si="67"/>
        <v>298.80193162157627</v>
      </c>
      <c r="BF202" s="539">
        <f t="shared" si="67"/>
        <v>280.61398795765422</v>
      </c>
      <c r="BG202" s="539">
        <f t="shared" si="67"/>
        <v>271.90975777563438</v>
      </c>
      <c r="BH202" s="539">
        <f t="shared" si="67"/>
        <v>262.94569982698704</v>
      </c>
      <c r="BI202" s="539">
        <f t="shared" si="67"/>
        <v>250.99362256212402</v>
      </c>
      <c r="BJ202" s="539">
        <f t="shared" si="67"/>
        <v>236.44326763098636</v>
      </c>
      <c r="BK202" s="539">
        <f t="shared" si="67"/>
        <v>224.62110424943702</v>
      </c>
      <c r="BL202" s="539">
        <f t="shared" si="67"/>
        <v>215.13739076753484</v>
      </c>
      <c r="BM202" s="539">
        <f t="shared" si="67"/>
        <v>203.18531350267176</v>
      </c>
      <c r="BN202" s="539">
        <f t="shared" si="67"/>
        <v>187.07599197176938</v>
      </c>
      <c r="BO202" s="539">
        <f t="shared" si="67"/>
        <v>177.33245072323967</v>
      </c>
      <c r="BP202" s="539">
        <f t="shared" si="67"/>
        <v>167.32908170808255</v>
      </c>
      <c r="BQ202" s="539">
        <f t="shared" si="67"/>
        <v>155.37700444321948</v>
      </c>
      <c r="BR202" s="539">
        <f t="shared" si="67"/>
        <v>140.30699397882694</v>
      </c>
      <c r="BS202" s="539">
        <f t="shared" si="67"/>
        <v>130.04379719704235</v>
      </c>
      <c r="BT202" s="539">
        <f t="shared" si="67"/>
        <v>119.52077264863031</v>
      </c>
      <c r="BU202" s="539">
        <f t="shared" si="67"/>
        <v>107.56869538376725</v>
      </c>
      <c r="BV202" s="539">
        <f t="shared" si="67"/>
        <v>93.537995985884535</v>
      </c>
      <c r="BW202" s="539">
        <f t="shared" si="67"/>
        <v>82.755143670845015</v>
      </c>
      <c r="BX202" s="539">
        <f t="shared" si="67"/>
        <v>71.712463589178029</v>
      </c>
      <c r="BY202" s="539">
        <f t="shared" si="67"/>
        <v>59.760386324314958</v>
      </c>
      <c r="BZ202" s="539">
        <f t="shared" si="67"/>
        <v>47.288653526196974</v>
      </c>
      <c r="CA202" s="539">
        <f t="shared" si="67"/>
        <v>35.466490144647629</v>
      </c>
      <c r="CB202" s="539">
        <f t="shared" si="67"/>
        <v>23.904154529725734</v>
      </c>
      <c r="CC202" s="539">
        <f t="shared" si="67"/>
        <v>11.952077264862666</v>
      </c>
      <c r="CD202" s="539">
        <f t="shared" si="67"/>
        <v>-3.9862031483869642E-13</v>
      </c>
      <c r="CE202" s="539">
        <f t="shared" si="67"/>
        <v>-4.0304942944801527E-13</v>
      </c>
      <c r="CF202" s="539">
        <f t="shared" si="67"/>
        <v>-4.0747854405733406E-13</v>
      </c>
      <c r="CG202" s="539">
        <f t="shared" si="67"/>
        <v>-4.0747854405733406E-13</v>
      </c>
      <c r="CH202" s="539">
        <f t="shared" si="67"/>
        <v>-3.9862031483869642E-13</v>
      </c>
      <c r="CI202" s="539">
        <f t="shared" si="67"/>
        <v>-4.0304942944801527E-13</v>
      </c>
      <c r="CJ202" s="539">
        <f t="shared" si="67"/>
        <v>-4.0747854405733406E-13</v>
      </c>
      <c r="CK202" s="539">
        <f t="shared" si="67"/>
        <v>-4.0747854405733406E-13</v>
      </c>
      <c r="CL202" s="539">
        <f t="shared" si="67"/>
        <v>-3.9862031483869642E-13</v>
      </c>
      <c r="CM202" s="539">
        <f t="shared" si="67"/>
        <v>-4.0304942944801527E-13</v>
      </c>
      <c r="CN202" s="539">
        <f t="shared" si="67"/>
        <v>-4.0747854405733406E-13</v>
      </c>
      <c r="CO202" s="539">
        <f t="shared" si="67"/>
        <v>-4.0747854405733406E-13</v>
      </c>
      <c r="CP202" s="539">
        <f t="shared" si="67"/>
        <v>-4.0304942944801527E-13</v>
      </c>
      <c r="CQ202" s="539">
        <f t="shared" si="67"/>
        <v>-4.0304942944801527E-13</v>
      </c>
      <c r="CR202" s="539">
        <f t="shared" si="67"/>
        <v>-4.0747854405733406E-13</v>
      </c>
      <c r="CS202" s="539">
        <f t="shared" si="67"/>
        <v>-4.0747854405733406E-13</v>
      </c>
      <c r="CT202" s="539">
        <f t="shared" si="67"/>
        <v>-3.9862031483869642E-13</v>
      </c>
      <c r="CU202" s="539">
        <f t="shared" si="67"/>
        <v>-4.0304942944801527E-13</v>
      </c>
      <c r="CV202" s="539">
        <f t="shared" si="67"/>
        <v>-4.0747854405733406E-13</v>
      </c>
      <c r="CW202" s="539">
        <f t="shared" si="67"/>
        <v>-4.0747854405733406E-13</v>
      </c>
      <c r="CX202" s="539">
        <f t="shared" si="67"/>
        <v>-3.9862031483869642E-13</v>
      </c>
      <c r="CY202" s="539">
        <f t="shared" si="67"/>
        <v>-4.0304942944801527E-13</v>
      </c>
      <c r="CZ202" s="539">
        <f t="shared" si="67"/>
        <v>-4.0747854405733406E-13</v>
      </c>
      <c r="DA202" s="539">
        <f t="shared" si="67"/>
        <v>-4.0747854405733406E-13</v>
      </c>
      <c r="DB202" s="539">
        <f t="shared" si="67"/>
        <v>-3.9862031483869642E-13</v>
      </c>
      <c r="DC202" s="539">
        <f t="shared" si="67"/>
        <v>-4.0304942944801527E-13</v>
      </c>
      <c r="DD202" s="539">
        <f t="shared" si="67"/>
        <v>-4.0747854405733406E-13</v>
      </c>
      <c r="DE202" s="539">
        <f t="shared" si="67"/>
        <v>-4.0747854405733406E-13</v>
      </c>
      <c r="DF202" s="539">
        <f t="shared" si="67"/>
        <v>-4.0304942944801527E-13</v>
      </c>
      <c r="DG202" s="539">
        <f t="shared" si="67"/>
        <v>-4.0304942944801527E-13</v>
      </c>
      <c r="DH202" s="539">
        <f t="shared" si="67"/>
        <v>-4.0747854405733406E-13</v>
      </c>
      <c r="DI202" s="539">
        <f t="shared" si="67"/>
        <v>-4.0747854405733406E-13</v>
      </c>
      <c r="DJ202" s="539">
        <f t="shared" si="67"/>
        <v>-3.9862031483869642E-13</v>
      </c>
      <c r="DK202" s="539">
        <f t="shared" si="67"/>
        <v>-4.0304942944801527E-13</v>
      </c>
      <c r="DL202" s="539">
        <f t="shared" si="67"/>
        <v>-4.0747854405733406E-13</v>
      </c>
      <c r="DM202" s="539">
        <f t="shared" si="67"/>
        <v>-4.0747854405733406E-13</v>
      </c>
      <c r="DN202" s="539">
        <f t="shared" si="67"/>
        <v>-3.9862031483869642E-13</v>
      </c>
      <c r="DO202" s="539">
        <f t="shared" si="67"/>
        <v>-4.0304942944801527E-13</v>
      </c>
      <c r="DP202" s="539">
        <f t="shared" si="67"/>
        <v>-4.0747854405733406E-13</v>
      </c>
      <c r="DQ202" s="539">
        <f t="shared" si="67"/>
        <v>-4.0747854405733406E-13</v>
      </c>
      <c r="DR202" s="539">
        <f t="shared" si="67"/>
        <v>-3.9862031483869642E-13</v>
      </c>
      <c r="DS202" s="539">
        <f t="shared" si="67"/>
        <v>-4.0304942944801527E-13</v>
      </c>
      <c r="DT202" s="539">
        <f t="shared" si="67"/>
        <v>-4.0747854405733406E-13</v>
      </c>
      <c r="DU202" s="539">
        <f t="shared" si="67"/>
        <v>-4.0747854405733406E-13</v>
      </c>
      <c r="DV202" s="539">
        <f t="shared" si="67"/>
        <v>-4.0304942944801527E-13</v>
      </c>
      <c r="DW202" s="539">
        <f t="shared" si="67"/>
        <v>-4.0304942944801527E-13</v>
      </c>
      <c r="DX202" s="539">
        <f t="shared" si="67"/>
        <v>-4.0747854405733406E-13</v>
      </c>
      <c r="DY202" s="539">
        <f t="shared" si="67"/>
        <v>-4.0747854405733406E-13</v>
      </c>
      <c r="DZ202" s="539">
        <f t="shared" si="67"/>
        <v>-3.9862031483869642E-13</v>
      </c>
      <c r="EA202" s="539">
        <f t="shared" si="67"/>
        <v>-4.0304942944801527E-13</v>
      </c>
      <c r="EB202" s="539">
        <f t="shared" si="67"/>
        <v>-4.0747854405733406E-13</v>
      </c>
      <c r="EC202" s="539">
        <f t="shared" si="67"/>
        <v>-4.0747854405733406E-13</v>
      </c>
      <c r="ED202" s="539">
        <f t="shared" si="67"/>
        <v>0</v>
      </c>
      <c r="EE202" s="539">
        <f t="shared" si="67"/>
        <v>0</v>
      </c>
      <c r="EF202" s="539">
        <f t="shared" si="67"/>
        <v>0</v>
      </c>
      <c r="EG202" s="539">
        <f t="shared" si="67"/>
        <v>0</v>
      </c>
    </row>
    <row r="203" spans="5:137" ht="12.75">
      <c r="E203" s="538" t="str">
        <f>E$199</f>
        <v>Junior facility - interest paid</v>
      </c>
      <c r="G203" s="539" t="str">
        <f>G$199</f>
        <v>EUR 000s</v>
      </c>
      <c r="H203" s="539">
        <f>H$199</f>
        <v>13943.397268295888</v>
      </c>
      <c r="J203" s="539">
        <f t="shared" si="68" ref="J203:EG203">J$199</f>
        <v>0</v>
      </c>
      <c r="K203" s="539">
        <f t="shared" si="68"/>
        <v>0</v>
      </c>
      <c r="L203" s="539">
        <f t="shared" si="68"/>
        <v>0</v>
      </c>
      <c r="M203" s="539">
        <f t="shared" si="68"/>
        <v>0</v>
      </c>
      <c r="N203" s="539">
        <f t="shared" si="68"/>
        <v>0</v>
      </c>
      <c r="O203" s="539">
        <f t="shared" si="68"/>
        <v>0</v>
      </c>
      <c r="P203" s="539">
        <f t="shared" si="68"/>
        <v>0</v>
      </c>
      <c r="Q203" s="539">
        <f t="shared" si="68"/>
        <v>0</v>
      </c>
      <c r="R203" s="539">
        <f t="shared" si="68"/>
        <v>0</v>
      </c>
      <c r="S203" s="539">
        <f t="shared" si="68"/>
        <v>0</v>
      </c>
      <c r="T203" s="539">
        <f t="shared" si="68"/>
        <v>0</v>
      </c>
      <c r="U203" s="539">
        <f t="shared" si="68"/>
        <v>0</v>
      </c>
      <c r="V203" s="539">
        <f t="shared" si="68"/>
        <v>0</v>
      </c>
      <c r="W203" s="539">
        <f t="shared" si="68"/>
        <v>0</v>
      </c>
      <c r="X203" s="539">
        <f t="shared" si="68"/>
        <v>0</v>
      </c>
      <c r="Y203" s="539">
        <f t="shared" si="68"/>
        <v>0</v>
      </c>
      <c r="Z203" s="539">
        <f t="shared" si="68"/>
        <v>0</v>
      </c>
      <c r="AA203" s="539">
        <f t="shared" si="68"/>
        <v>0</v>
      </c>
      <c r="AB203" s="539">
        <f t="shared" si="68"/>
        <v>0</v>
      </c>
      <c r="AC203" s="539">
        <f t="shared" si="68"/>
        <v>0</v>
      </c>
      <c r="AD203" s="539">
        <f t="shared" si="68"/>
        <v>0</v>
      </c>
      <c r="AE203" s="539">
        <f t="shared" si="68"/>
        <v>0</v>
      </c>
      <c r="AF203" s="539">
        <f t="shared" si="68"/>
        <v>0</v>
      </c>
      <c r="AG203" s="539">
        <f t="shared" si="68"/>
        <v>0</v>
      </c>
      <c r="AH203" s="539">
        <f t="shared" si="68"/>
        <v>561.22797591530946</v>
      </c>
      <c r="AI203" s="539">
        <f t="shared" si="68"/>
        <v>555.64167893281899</v>
      </c>
      <c r="AJ203" s="539">
        <f t="shared" si="68"/>
        <v>549.79555418370114</v>
      </c>
      <c r="AK203" s="539">
        <f t="shared" si="68"/>
        <v>537.84347691883806</v>
      </c>
      <c r="AL203" s="539">
        <f t="shared" si="68"/>
        <v>514.45897792236678</v>
      </c>
      <c r="AM203" s="539">
        <f t="shared" si="68"/>
        <v>508.35302540662155</v>
      </c>
      <c r="AN203" s="539">
        <f t="shared" si="68"/>
        <v>501.98724512424877</v>
      </c>
      <c r="AO203" s="539">
        <f t="shared" si="68"/>
        <v>490.03516785938558</v>
      </c>
      <c r="AP203" s="539">
        <f t="shared" si="68"/>
        <v>467.68997992942428</v>
      </c>
      <c r="AQ203" s="539">
        <f t="shared" si="68"/>
        <v>461.06437188042401</v>
      </c>
      <c r="AR203" s="539">
        <f t="shared" si="68"/>
        <v>454.17893606479629</v>
      </c>
      <c r="AS203" s="539">
        <f t="shared" si="68"/>
        <v>442.22685879993327</v>
      </c>
      <c r="AT203" s="539">
        <f t="shared" si="68"/>
        <v>425.5978817357759</v>
      </c>
      <c r="AU203" s="539">
        <f t="shared" si="68"/>
        <v>413.77571835422651</v>
      </c>
      <c r="AV203" s="539">
        <f t="shared" si="68"/>
        <v>406.37062700534392</v>
      </c>
      <c r="AW203" s="539">
        <f t="shared" si="68"/>
        <v>394.41854974048084</v>
      </c>
      <c r="AX203" s="539">
        <f t="shared" si="68"/>
        <v>374.15198394353911</v>
      </c>
      <c r="AY203" s="539">
        <f t="shared" si="68"/>
        <v>366.48706482802908</v>
      </c>
      <c r="AZ203" s="539">
        <f t="shared" si="68"/>
        <v>358.56231794589155</v>
      </c>
      <c r="BA203" s="539">
        <f t="shared" si="68"/>
        <v>346.61024068102847</v>
      </c>
      <c r="BB203" s="539">
        <f t="shared" si="68"/>
        <v>327.38298595059666</v>
      </c>
      <c r="BC203" s="539">
        <f t="shared" si="68"/>
        <v>319.1984113018317</v>
      </c>
      <c r="BD203" s="539">
        <f t="shared" si="68"/>
        <v>310.75400888643935</v>
      </c>
      <c r="BE203" s="539">
        <f t="shared" si="68"/>
        <v>298.80193162157627</v>
      </c>
      <c r="BF203" s="539">
        <f t="shared" si="68"/>
        <v>280.61398795765422</v>
      </c>
      <c r="BG203" s="539">
        <f t="shared" si="68"/>
        <v>271.90975777563438</v>
      </c>
      <c r="BH203" s="539">
        <f t="shared" si="68"/>
        <v>262.94569982698704</v>
      </c>
      <c r="BI203" s="539">
        <f t="shared" si="68"/>
        <v>250.99362256212402</v>
      </c>
      <c r="BJ203" s="539">
        <f t="shared" si="68"/>
        <v>236.44326763098636</v>
      </c>
      <c r="BK203" s="539">
        <f t="shared" si="68"/>
        <v>224.62110424943702</v>
      </c>
      <c r="BL203" s="539">
        <f t="shared" si="68"/>
        <v>215.13739076753484</v>
      </c>
      <c r="BM203" s="539">
        <f t="shared" si="68"/>
        <v>203.18531350267176</v>
      </c>
      <c r="BN203" s="539">
        <f t="shared" si="68"/>
        <v>187.07599197176938</v>
      </c>
      <c r="BO203" s="539">
        <f t="shared" si="68"/>
        <v>177.33245072323967</v>
      </c>
      <c r="BP203" s="539">
        <f t="shared" si="68"/>
        <v>167.32908170808255</v>
      </c>
      <c r="BQ203" s="539">
        <f t="shared" si="68"/>
        <v>155.37700444321948</v>
      </c>
      <c r="BR203" s="539">
        <f t="shared" si="68"/>
        <v>140.30699397882694</v>
      </c>
      <c r="BS203" s="539">
        <f t="shared" si="68"/>
        <v>130.04379719704235</v>
      </c>
      <c r="BT203" s="539">
        <f t="shared" si="68"/>
        <v>119.52077264863031</v>
      </c>
      <c r="BU203" s="539">
        <f t="shared" si="68"/>
        <v>107.56869538376725</v>
      </c>
      <c r="BV203" s="539">
        <f t="shared" si="68"/>
        <v>93.537995985884535</v>
      </c>
      <c r="BW203" s="539">
        <f t="shared" si="68"/>
        <v>82.755143670845015</v>
      </c>
      <c r="BX203" s="539">
        <f t="shared" si="68"/>
        <v>71.712463589178029</v>
      </c>
      <c r="BY203" s="539">
        <f t="shared" si="68"/>
        <v>59.760386324314958</v>
      </c>
      <c r="BZ203" s="539">
        <f t="shared" si="68"/>
        <v>47.288653526196974</v>
      </c>
      <c r="CA203" s="539">
        <f t="shared" si="68"/>
        <v>35.466490144647629</v>
      </c>
      <c r="CB203" s="539">
        <f t="shared" si="68"/>
        <v>23.904154529725734</v>
      </c>
      <c r="CC203" s="539">
        <f t="shared" si="68"/>
        <v>11.952077264862666</v>
      </c>
      <c r="CD203" s="539">
        <f t="shared" si="68"/>
        <v>-3.9862031483869642E-13</v>
      </c>
      <c r="CE203" s="539">
        <f t="shared" si="68"/>
        <v>-4.0304942944801527E-13</v>
      </c>
      <c r="CF203" s="539">
        <f t="shared" si="68"/>
        <v>-4.0747854405733406E-13</v>
      </c>
      <c r="CG203" s="539">
        <f t="shared" si="68"/>
        <v>-4.0747854405733406E-13</v>
      </c>
      <c r="CH203" s="539">
        <f t="shared" si="68"/>
        <v>-3.9862031483869642E-13</v>
      </c>
      <c r="CI203" s="539">
        <f t="shared" si="68"/>
        <v>-4.0304942944801527E-13</v>
      </c>
      <c r="CJ203" s="539">
        <f t="shared" si="68"/>
        <v>-4.0747854405733406E-13</v>
      </c>
      <c r="CK203" s="539">
        <f t="shared" si="68"/>
        <v>-4.0747854405733406E-13</v>
      </c>
      <c r="CL203" s="539">
        <f t="shared" si="68"/>
        <v>-3.9862031483869642E-13</v>
      </c>
      <c r="CM203" s="539">
        <f t="shared" si="68"/>
        <v>-4.0304942944801527E-13</v>
      </c>
      <c r="CN203" s="539">
        <f t="shared" si="68"/>
        <v>-4.0747854405733406E-13</v>
      </c>
      <c r="CO203" s="539">
        <f t="shared" si="68"/>
        <v>-4.0747854405733406E-13</v>
      </c>
      <c r="CP203" s="539">
        <f t="shared" si="68"/>
        <v>-4.0304942944801527E-13</v>
      </c>
      <c r="CQ203" s="539">
        <f t="shared" si="68"/>
        <v>-4.0304942944801527E-13</v>
      </c>
      <c r="CR203" s="539">
        <f t="shared" si="68"/>
        <v>-4.0747854405733406E-13</v>
      </c>
      <c r="CS203" s="539">
        <f t="shared" si="68"/>
        <v>-4.0747854405733406E-13</v>
      </c>
      <c r="CT203" s="539">
        <f t="shared" si="68"/>
        <v>-3.9862031483869642E-13</v>
      </c>
      <c r="CU203" s="539">
        <f t="shared" si="68"/>
        <v>-4.0304942944801527E-13</v>
      </c>
      <c r="CV203" s="539">
        <f t="shared" si="68"/>
        <v>-4.0747854405733406E-13</v>
      </c>
      <c r="CW203" s="539">
        <f t="shared" si="68"/>
        <v>-4.0747854405733406E-13</v>
      </c>
      <c r="CX203" s="539">
        <f t="shared" si="68"/>
        <v>-3.9862031483869642E-13</v>
      </c>
      <c r="CY203" s="539">
        <f t="shared" si="68"/>
        <v>-4.0304942944801527E-13</v>
      </c>
      <c r="CZ203" s="539">
        <f t="shared" si="68"/>
        <v>-4.0747854405733406E-13</v>
      </c>
      <c r="DA203" s="539">
        <f t="shared" si="68"/>
        <v>-4.0747854405733406E-13</v>
      </c>
      <c r="DB203" s="539">
        <f t="shared" si="68"/>
        <v>-3.9862031483869642E-13</v>
      </c>
      <c r="DC203" s="539">
        <f t="shared" si="68"/>
        <v>-4.0304942944801527E-13</v>
      </c>
      <c r="DD203" s="539">
        <f t="shared" si="68"/>
        <v>-4.0747854405733406E-13</v>
      </c>
      <c r="DE203" s="539">
        <f t="shared" si="68"/>
        <v>-4.0747854405733406E-13</v>
      </c>
      <c r="DF203" s="539">
        <f t="shared" si="68"/>
        <v>-4.0304942944801527E-13</v>
      </c>
      <c r="DG203" s="539">
        <f t="shared" si="68"/>
        <v>-4.0304942944801527E-13</v>
      </c>
      <c r="DH203" s="539">
        <f t="shared" si="68"/>
        <v>-4.0747854405733406E-13</v>
      </c>
      <c r="DI203" s="539">
        <f t="shared" si="68"/>
        <v>-4.0747854405733406E-13</v>
      </c>
      <c r="DJ203" s="539">
        <f t="shared" si="68"/>
        <v>-3.9862031483869642E-13</v>
      </c>
      <c r="DK203" s="539">
        <f t="shared" si="68"/>
        <v>-4.0304942944801527E-13</v>
      </c>
      <c r="DL203" s="539">
        <f t="shared" si="68"/>
        <v>-4.0747854405733406E-13</v>
      </c>
      <c r="DM203" s="539">
        <f t="shared" si="68"/>
        <v>-4.0747854405733406E-13</v>
      </c>
      <c r="DN203" s="539">
        <f t="shared" si="68"/>
        <v>-3.9862031483869642E-13</v>
      </c>
      <c r="DO203" s="539">
        <f t="shared" si="68"/>
        <v>-4.0304942944801527E-13</v>
      </c>
      <c r="DP203" s="539">
        <f t="shared" si="68"/>
        <v>-4.0747854405733406E-13</v>
      </c>
      <c r="DQ203" s="539">
        <f t="shared" si="68"/>
        <v>-4.0747854405733406E-13</v>
      </c>
      <c r="DR203" s="539">
        <f t="shared" si="68"/>
        <v>-3.9862031483869642E-13</v>
      </c>
      <c r="DS203" s="539">
        <f t="shared" si="68"/>
        <v>-4.0304942944801527E-13</v>
      </c>
      <c r="DT203" s="539">
        <f t="shared" si="68"/>
        <v>-4.0747854405733406E-13</v>
      </c>
      <c r="DU203" s="539">
        <f t="shared" si="68"/>
        <v>-4.0747854405733406E-13</v>
      </c>
      <c r="DV203" s="539">
        <f t="shared" si="68"/>
        <v>-4.0304942944801527E-13</v>
      </c>
      <c r="DW203" s="539">
        <f t="shared" si="68"/>
        <v>-4.0304942944801527E-13</v>
      </c>
      <c r="DX203" s="539">
        <f t="shared" si="68"/>
        <v>-4.0747854405733406E-13</v>
      </c>
      <c r="DY203" s="539">
        <f t="shared" si="68"/>
        <v>-4.0747854405733406E-13</v>
      </c>
      <c r="DZ203" s="539">
        <f t="shared" si="68"/>
        <v>-3.9862031483869642E-13</v>
      </c>
      <c r="EA203" s="539">
        <f t="shared" si="68"/>
        <v>-4.0304942944801527E-13</v>
      </c>
      <c r="EB203" s="539">
        <f t="shared" si="68"/>
        <v>-4.0747854405733406E-13</v>
      </c>
      <c r="EC203" s="539">
        <f t="shared" si="68"/>
        <v>-4.0747854405733406E-13</v>
      </c>
      <c r="ED203" s="539">
        <f t="shared" si="68"/>
        <v>0</v>
      </c>
      <c r="EE203" s="539">
        <f t="shared" si="68"/>
        <v>0</v>
      </c>
      <c r="EF203" s="539">
        <f t="shared" si="68"/>
        <v>0</v>
      </c>
      <c r="EG203" s="539">
        <f t="shared" si="68"/>
        <v>0</v>
      </c>
    </row>
    <row r="204" spans="5:137" ht="12.75">
      <c r="E204" s="540" t="s">
        <v>351</v>
      </c>
      <c r="G204" s="541" t="s">
        <v>30</v>
      </c>
      <c r="H204" s="541">
        <f>SUM(J204:EG204)</f>
        <v>0</v>
      </c>
      <c r="J204" s="541">
        <f t="shared" si="69" ref="J204:EG204">J201+J202-J203</f>
        <v>0</v>
      </c>
      <c r="K204" s="541">
        <f t="shared" si="69"/>
        <v>0</v>
      </c>
      <c r="L204" s="541">
        <f t="shared" si="69"/>
        <v>0</v>
      </c>
      <c r="M204" s="541">
        <f t="shared" si="69"/>
        <v>0</v>
      </c>
      <c r="N204" s="541">
        <f t="shared" si="69"/>
        <v>0</v>
      </c>
      <c r="O204" s="541">
        <f t="shared" si="69"/>
        <v>0</v>
      </c>
      <c r="P204" s="541">
        <f t="shared" si="69"/>
        <v>0</v>
      </c>
      <c r="Q204" s="541">
        <f t="shared" si="69"/>
        <v>0</v>
      </c>
      <c r="R204" s="541">
        <f t="shared" si="69"/>
        <v>0</v>
      </c>
      <c r="S204" s="541">
        <f t="shared" si="69"/>
        <v>0</v>
      </c>
      <c r="T204" s="541">
        <f t="shared" si="69"/>
        <v>0</v>
      </c>
      <c r="U204" s="541">
        <f t="shared" si="69"/>
        <v>0</v>
      </c>
      <c r="V204" s="541">
        <f t="shared" si="69"/>
        <v>0</v>
      </c>
      <c r="W204" s="541">
        <f t="shared" si="69"/>
        <v>0</v>
      </c>
      <c r="X204" s="541">
        <f t="shared" si="69"/>
        <v>0</v>
      </c>
      <c r="Y204" s="541">
        <f t="shared" si="69"/>
        <v>0</v>
      </c>
      <c r="Z204" s="541">
        <f t="shared" si="69"/>
        <v>0</v>
      </c>
      <c r="AA204" s="541">
        <f t="shared" si="69"/>
        <v>0</v>
      </c>
      <c r="AB204" s="541">
        <f t="shared" si="69"/>
        <v>0</v>
      </c>
      <c r="AC204" s="541">
        <f t="shared" si="69"/>
        <v>0</v>
      </c>
      <c r="AD204" s="541">
        <f t="shared" si="69"/>
        <v>0</v>
      </c>
      <c r="AE204" s="541">
        <f t="shared" si="69"/>
        <v>0</v>
      </c>
      <c r="AF204" s="541">
        <f t="shared" si="69"/>
        <v>0</v>
      </c>
      <c r="AG204" s="541">
        <f t="shared" si="69"/>
        <v>0</v>
      </c>
      <c r="AH204" s="541">
        <f t="shared" si="69"/>
        <v>0</v>
      </c>
      <c r="AI204" s="541">
        <f t="shared" si="69"/>
        <v>0</v>
      </c>
      <c r="AJ204" s="541">
        <f t="shared" si="69"/>
        <v>0</v>
      </c>
      <c r="AK204" s="541">
        <f t="shared" si="69"/>
        <v>0</v>
      </c>
      <c r="AL204" s="541">
        <f t="shared" si="69"/>
        <v>0</v>
      </c>
      <c r="AM204" s="541">
        <f t="shared" si="69"/>
        <v>0</v>
      </c>
      <c r="AN204" s="541">
        <f t="shared" si="69"/>
        <v>0</v>
      </c>
      <c r="AO204" s="541">
        <f t="shared" si="69"/>
        <v>0</v>
      </c>
      <c r="AP204" s="541">
        <f t="shared" si="69"/>
        <v>0</v>
      </c>
      <c r="AQ204" s="541">
        <f t="shared" si="69"/>
        <v>0</v>
      </c>
      <c r="AR204" s="541">
        <f t="shared" si="69"/>
        <v>0</v>
      </c>
      <c r="AS204" s="541">
        <f t="shared" si="69"/>
        <v>0</v>
      </c>
      <c r="AT204" s="541">
        <f t="shared" si="69"/>
        <v>0</v>
      </c>
      <c r="AU204" s="541">
        <f t="shared" si="69"/>
        <v>0</v>
      </c>
      <c r="AV204" s="541">
        <f t="shared" si="69"/>
        <v>0</v>
      </c>
      <c r="AW204" s="541">
        <f t="shared" si="69"/>
        <v>0</v>
      </c>
      <c r="AX204" s="541">
        <f t="shared" si="69"/>
        <v>0</v>
      </c>
      <c r="AY204" s="541">
        <f t="shared" si="69"/>
        <v>0</v>
      </c>
      <c r="AZ204" s="541">
        <f t="shared" si="69"/>
        <v>0</v>
      </c>
      <c r="BA204" s="541">
        <f t="shared" si="69"/>
        <v>0</v>
      </c>
      <c r="BB204" s="541">
        <f t="shared" si="69"/>
        <v>0</v>
      </c>
      <c r="BC204" s="541">
        <f t="shared" si="69"/>
        <v>0</v>
      </c>
      <c r="BD204" s="541">
        <f t="shared" si="69"/>
        <v>0</v>
      </c>
      <c r="BE204" s="541">
        <f t="shared" si="69"/>
        <v>0</v>
      </c>
      <c r="BF204" s="541">
        <f t="shared" si="69"/>
        <v>0</v>
      </c>
      <c r="BG204" s="541">
        <f t="shared" si="69"/>
        <v>0</v>
      </c>
      <c r="BH204" s="541">
        <f t="shared" si="69"/>
        <v>0</v>
      </c>
      <c r="BI204" s="541">
        <f t="shared" si="69"/>
        <v>0</v>
      </c>
      <c r="BJ204" s="541">
        <f t="shared" si="69"/>
        <v>0</v>
      </c>
      <c r="BK204" s="541">
        <f t="shared" si="69"/>
        <v>0</v>
      </c>
      <c r="BL204" s="541">
        <f t="shared" si="69"/>
        <v>0</v>
      </c>
      <c r="BM204" s="541">
        <f t="shared" si="69"/>
        <v>0</v>
      </c>
      <c r="BN204" s="541">
        <f t="shared" si="69"/>
        <v>0</v>
      </c>
      <c r="BO204" s="541">
        <f t="shared" si="69"/>
        <v>0</v>
      </c>
      <c r="BP204" s="541">
        <f t="shared" si="69"/>
        <v>0</v>
      </c>
      <c r="BQ204" s="541">
        <f t="shared" si="69"/>
        <v>0</v>
      </c>
      <c r="BR204" s="541">
        <f t="shared" si="69"/>
        <v>0</v>
      </c>
      <c r="BS204" s="541">
        <f t="shared" si="69"/>
        <v>0</v>
      </c>
      <c r="BT204" s="541">
        <f t="shared" si="69"/>
        <v>0</v>
      </c>
      <c r="BU204" s="541">
        <f t="shared" si="69"/>
        <v>0</v>
      </c>
      <c r="BV204" s="541">
        <f t="shared" si="69"/>
        <v>0</v>
      </c>
      <c r="BW204" s="541">
        <f t="shared" si="69"/>
        <v>0</v>
      </c>
      <c r="BX204" s="541">
        <f t="shared" si="69"/>
        <v>0</v>
      </c>
      <c r="BY204" s="541">
        <f t="shared" si="69"/>
        <v>0</v>
      </c>
      <c r="BZ204" s="541">
        <f t="shared" si="69"/>
        <v>0</v>
      </c>
      <c r="CA204" s="541">
        <f t="shared" si="69"/>
        <v>0</v>
      </c>
      <c r="CB204" s="541">
        <f t="shared" si="69"/>
        <v>0</v>
      </c>
      <c r="CC204" s="541">
        <f t="shared" si="69"/>
        <v>0</v>
      </c>
      <c r="CD204" s="541">
        <f t="shared" si="69"/>
        <v>0</v>
      </c>
      <c r="CE204" s="541">
        <f t="shared" si="69"/>
        <v>0</v>
      </c>
      <c r="CF204" s="541">
        <f t="shared" si="69"/>
        <v>0</v>
      </c>
      <c r="CG204" s="541">
        <f t="shared" si="69"/>
        <v>0</v>
      </c>
      <c r="CH204" s="541">
        <f t="shared" si="69"/>
        <v>0</v>
      </c>
      <c r="CI204" s="541">
        <f t="shared" si="69"/>
        <v>0</v>
      </c>
      <c r="CJ204" s="541">
        <f t="shared" si="69"/>
        <v>0</v>
      </c>
      <c r="CK204" s="541">
        <f t="shared" si="69"/>
        <v>0</v>
      </c>
      <c r="CL204" s="541">
        <f t="shared" si="69"/>
        <v>0</v>
      </c>
      <c r="CM204" s="541">
        <f t="shared" si="69"/>
        <v>0</v>
      </c>
      <c r="CN204" s="541">
        <f t="shared" si="69"/>
        <v>0</v>
      </c>
      <c r="CO204" s="541">
        <f t="shared" si="69"/>
        <v>0</v>
      </c>
      <c r="CP204" s="541">
        <f t="shared" si="69"/>
        <v>0</v>
      </c>
      <c r="CQ204" s="541">
        <f t="shared" si="69"/>
        <v>0</v>
      </c>
      <c r="CR204" s="541">
        <f t="shared" si="69"/>
        <v>0</v>
      </c>
      <c r="CS204" s="541">
        <f t="shared" si="69"/>
        <v>0</v>
      </c>
      <c r="CT204" s="541">
        <f t="shared" si="69"/>
        <v>0</v>
      </c>
      <c r="CU204" s="541">
        <f t="shared" si="69"/>
        <v>0</v>
      </c>
      <c r="CV204" s="541">
        <f t="shared" si="69"/>
        <v>0</v>
      </c>
      <c r="CW204" s="541">
        <f t="shared" si="69"/>
        <v>0</v>
      </c>
      <c r="CX204" s="541">
        <f t="shared" si="69"/>
        <v>0</v>
      </c>
      <c r="CY204" s="541">
        <f t="shared" si="69"/>
        <v>0</v>
      </c>
      <c r="CZ204" s="541">
        <f t="shared" si="69"/>
        <v>0</v>
      </c>
      <c r="DA204" s="541">
        <f t="shared" si="69"/>
        <v>0</v>
      </c>
      <c r="DB204" s="541">
        <f t="shared" si="69"/>
        <v>0</v>
      </c>
      <c r="DC204" s="541">
        <f t="shared" si="69"/>
        <v>0</v>
      </c>
      <c r="DD204" s="541">
        <f t="shared" si="69"/>
        <v>0</v>
      </c>
      <c r="DE204" s="541">
        <f t="shared" si="69"/>
        <v>0</v>
      </c>
      <c r="DF204" s="541">
        <f t="shared" si="69"/>
        <v>0</v>
      </c>
      <c r="DG204" s="541">
        <f t="shared" si="69"/>
        <v>0</v>
      </c>
      <c r="DH204" s="541">
        <f t="shared" si="69"/>
        <v>0</v>
      </c>
      <c r="DI204" s="541">
        <f t="shared" si="69"/>
        <v>0</v>
      </c>
      <c r="DJ204" s="541">
        <f t="shared" si="69"/>
        <v>0</v>
      </c>
      <c r="DK204" s="541">
        <f t="shared" si="69"/>
        <v>0</v>
      </c>
      <c r="DL204" s="541">
        <f t="shared" si="69"/>
        <v>0</v>
      </c>
      <c r="DM204" s="541">
        <f t="shared" si="69"/>
        <v>0</v>
      </c>
      <c r="DN204" s="541">
        <f t="shared" si="69"/>
        <v>0</v>
      </c>
      <c r="DO204" s="541">
        <f t="shared" si="69"/>
        <v>0</v>
      </c>
      <c r="DP204" s="541">
        <f t="shared" si="69"/>
        <v>0</v>
      </c>
      <c r="DQ204" s="541">
        <f t="shared" si="69"/>
        <v>0</v>
      </c>
      <c r="DR204" s="541">
        <f t="shared" si="69"/>
        <v>0</v>
      </c>
      <c r="DS204" s="541">
        <f t="shared" si="69"/>
        <v>0</v>
      </c>
      <c r="DT204" s="541">
        <f t="shared" si="69"/>
        <v>0</v>
      </c>
      <c r="DU204" s="541">
        <f t="shared" si="69"/>
        <v>0</v>
      </c>
      <c r="DV204" s="541">
        <f t="shared" si="69"/>
        <v>0</v>
      </c>
      <c r="DW204" s="541">
        <f t="shared" si="69"/>
        <v>0</v>
      </c>
      <c r="DX204" s="541">
        <f t="shared" si="69"/>
        <v>0</v>
      </c>
      <c r="DY204" s="541">
        <f t="shared" si="69"/>
        <v>0</v>
      </c>
      <c r="DZ204" s="541">
        <f t="shared" si="69"/>
        <v>0</v>
      </c>
      <c r="EA204" s="541">
        <f t="shared" si="69"/>
        <v>0</v>
      </c>
      <c r="EB204" s="541">
        <f t="shared" si="69"/>
        <v>0</v>
      </c>
      <c r="EC204" s="541">
        <f t="shared" si="69"/>
        <v>0</v>
      </c>
      <c r="ED204" s="541">
        <f t="shared" si="69"/>
        <v>0</v>
      </c>
      <c r="EE204" s="541">
        <f t="shared" si="69"/>
        <v>0</v>
      </c>
      <c r="EF204" s="541">
        <f t="shared" si="69"/>
        <v>0</v>
      </c>
      <c r="EG204" s="541">
        <f t="shared" si="69"/>
        <v>0</v>
      </c>
    </row>
    <row r="206" spans="2:2" ht="12.75">
      <c r="B206" s="534" t="s">
        <v>352</v>
      </c>
    </row>
    <row r="207" spans="5:137" ht="12.75">
      <c r="E207" s="535" t="str">
        <f>Waterfall!E$48</f>
        <v>Cash available - junior debt service</v>
      </c>
      <c r="G207" s="537" t="str">
        <f>Waterfall!G$48</f>
        <v>EUR 000s</v>
      </c>
      <c r="H207" s="537">
        <f>Waterfall!H$48</f>
        <v>581462.82734681887</v>
      </c>
      <c r="J207" s="537">
        <f>Waterfall!J$48</f>
        <v>0</v>
      </c>
      <c r="K207" s="537">
        <f>Waterfall!K$48</f>
        <v>0</v>
      </c>
      <c r="L207" s="537">
        <f>Waterfall!L$48</f>
        <v>0</v>
      </c>
      <c r="M207" s="537">
        <f>Waterfall!M$48</f>
        <v>0</v>
      </c>
      <c r="N207" s="537">
        <f>Waterfall!N$48</f>
        <v>0</v>
      </c>
      <c r="O207" s="537">
        <f>Waterfall!O$48</f>
        <v>0</v>
      </c>
      <c r="P207" s="537">
        <f>Waterfall!P$48</f>
        <v>1.8189894035458565E-12</v>
      </c>
      <c r="Q207" s="537">
        <f>Waterfall!Q$48</f>
        <v>0</v>
      </c>
      <c r="R207" s="537">
        <f>Waterfall!R$48</f>
        <v>0</v>
      </c>
      <c r="S207" s="537">
        <f>Waterfall!S$48</f>
        <v>0</v>
      </c>
      <c r="T207" s="537">
        <f>Waterfall!T$48</f>
        <v>0</v>
      </c>
      <c r="U207" s="537">
        <f>Waterfall!U$48</f>
        <v>0</v>
      </c>
      <c r="V207" s="537">
        <f>Waterfall!V$48</f>
        <v>0</v>
      </c>
      <c r="W207" s="537">
        <f>Waterfall!W$48</f>
        <v>0</v>
      </c>
      <c r="X207" s="537">
        <f>Waterfall!X$48</f>
        <v>0</v>
      </c>
      <c r="Y207" s="537">
        <f>Waterfall!Y$48</f>
        <v>0</v>
      </c>
      <c r="Z207" s="537">
        <f>Waterfall!Z$48</f>
        <v>0</v>
      </c>
      <c r="AA207" s="537">
        <f>Waterfall!AA$48</f>
        <v>0</v>
      </c>
      <c r="AB207" s="537">
        <f>Waterfall!AB$48</f>
        <v>0</v>
      </c>
      <c r="AC207" s="537">
        <f>Waterfall!AC$48</f>
        <v>0</v>
      </c>
      <c r="AD207" s="537">
        <f>Waterfall!AD$48</f>
        <v>0</v>
      </c>
      <c r="AE207" s="537">
        <f>Waterfall!AE$48</f>
        <v>0</v>
      </c>
      <c r="AF207" s="537">
        <f>Waterfall!AF$48</f>
        <v>0</v>
      </c>
      <c r="AG207" s="537">
        <f>Waterfall!AG$48</f>
        <v>0</v>
      </c>
      <c r="AH207" s="537">
        <f>Waterfall!AH$48</f>
        <v>2472.0243110822994</v>
      </c>
      <c r="AI207" s="537">
        <f>Waterfall!AI$48</f>
        <v>4372.0469863696017</v>
      </c>
      <c r="AJ207" s="537">
        <f>Waterfall!AJ$48</f>
        <v>4322.0490486505641</v>
      </c>
      <c r="AK207" s="537">
        <f>Waterfall!AK$48</f>
        <v>4259.7573471290352</v>
      </c>
      <c r="AL207" s="537">
        <f>Waterfall!AL$48</f>
        <v>4355.9875470767938</v>
      </c>
      <c r="AM207" s="537">
        <f>Waterfall!AM$48</f>
        <v>4448.7363795644842</v>
      </c>
      <c r="AN207" s="537">
        <f>Waterfall!AN$48</f>
        <v>4397.6751610317833</v>
      </c>
      <c r="AO207" s="537">
        <f>Waterfall!AO$48</f>
        <v>4334.7372415828549</v>
      </c>
      <c r="AP207" s="537">
        <f>Waterfall!AP$48</f>
        <v>4433.019613939412</v>
      </c>
      <c r="AQ207" s="537">
        <f>Waterfall!AQ$48</f>
        <v>4526.6827641565123</v>
      </c>
      <c r="AR207" s="537">
        <f>Waterfall!AR$48</f>
        <v>4463.7444995532614</v>
      </c>
      <c r="AS207" s="537">
        <f>Waterfall!AS$48</f>
        <v>4421.7456998422203</v>
      </c>
      <c r="AT207" s="537">
        <f>Waterfall!AT$48</f>
        <v>2792.696200785937</v>
      </c>
      <c r="AU207" s="537">
        <f>Waterfall!AU$48</f>
        <v>2847.7127385341296</v>
      </c>
      <c r="AV207" s="537">
        <f>Waterfall!AV$48</f>
        <v>2813.1071075863201</v>
      </c>
      <c r="AW207" s="537">
        <f>Waterfall!AW$48</f>
        <v>2744.5223719777314</v>
      </c>
      <c r="AX207" s="537">
        <f>Waterfall!AX$48</f>
        <v>4590.9456581576906</v>
      </c>
      <c r="AY207" s="537">
        <f>Waterfall!AY$48</f>
        <v>4688.8491426837481</v>
      </c>
      <c r="AZ207" s="537">
        <f>Waterfall!AZ$48</f>
        <v>4695.7070110363047</v>
      </c>
      <c r="BA207" s="537">
        <f>Waterfall!BA$48</f>
        <v>4635.2385459120451</v>
      </c>
      <c r="BB207" s="537">
        <f>Waterfall!BB$48</f>
        <v>4629.9958347841712</v>
      </c>
      <c r="BC207" s="537">
        <f>Waterfall!BC$48</f>
        <v>4717.0266829894308</v>
      </c>
      <c r="BD207" s="537">
        <f>Waterfall!BD$48</f>
        <v>4657.2157187842731</v>
      </c>
      <c r="BE207" s="537">
        <f>Waterfall!BE$48</f>
        <v>4583.2198048124383</v>
      </c>
      <c r="BF207" s="537">
        <f>Waterfall!BF$48</f>
        <v>4673.0355243577897</v>
      </c>
      <c r="BG207" s="537">
        <f>Waterfall!BG$48</f>
        <v>4762.5167500515399</v>
      </c>
      <c r="BH207" s="537">
        <f>Waterfall!BH$48</f>
        <v>4691.8004919160858</v>
      </c>
      <c r="BI207" s="537">
        <f>Waterfall!BI$48</f>
        <v>4641.206219903971</v>
      </c>
      <c r="BJ207" s="537">
        <f>Waterfall!BJ$48</f>
        <v>4745.1110854878325</v>
      </c>
      <c r="BK207" s="537">
        <f>Waterfall!BK$48</f>
        <v>4792.9978242001662</v>
      </c>
      <c r="BL207" s="537">
        <f>Waterfall!BL$48</f>
        <v>4755.5809209485196</v>
      </c>
      <c r="BM207" s="537">
        <f>Waterfall!BM$48</f>
        <v>4682.9617413931028</v>
      </c>
      <c r="BN207" s="537">
        <f>Waterfall!BN$48</f>
        <v>2811.4683287412622</v>
      </c>
      <c r="BO207" s="537">
        <f>Waterfall!BO$48</f>
        <v>2905.0696958183958</v>
      </c>
      <c r="BP207" s="537">
        <f>Waterfall!BP$48</f>
        <v>2792.3083638394937</v>
      </c>
      <c r="BQ207" s="537">
        <f>Waterfall!BQ$48</f>
        <v>2720.0663940680688</v>
      </c>
      <c r="BR207" s="537">
        <f>Waterfall!BR$48</f>
        <v>4891.3353177086292</v>
      </c>
      <c r="BS207" s="537">
        <f>Waterfall!BS$48</f>
        <v>4986.68569772107</v>
      </c>
      <c r="BT207" s="537">
        <f>Waterfall!BT$48</f>
        <v>5066.1993006522434</v>
      </c>
      <c r="BU207" s="537">
        <f>Waterfall!BU$48</f>
        <v>5405.301992083726</v>
      </c>
      <c r="BV207" s="537">
        <f>Waterfall!BV$48</f>
        <v>5246.5121949894628</v>
      </c>
      <c r="BW207" s="537">
        <f>Waterfall!BW$48</f>
        <v>4554.7678268896525</v>
      </c>
      <c r="BX207" s="537">
        <f>Waterfall!BX$48</f>
        <v>4486.1978765519734</v>
      </c>
      <c r="BY207" s="537">
        <f>Waterfall!BY$48</f>
        <v>4429.9652756775695</v>
      </c>
      <c r="BZ207" s="537">
        <f>Waterfall!BZ$48</f>
        <v>4552.5607425494454</v>
      </c>
      <c r="CA207" s="537">
        <f>Waterfall!CA$48</f>
        <v>4773.7676029526074</v>
      </c>
      <c r="CB207" s="537">
        <f>Waterfall!CB$48</f>
        <v>4690.1775137470322</v>
      </c>
      <c r="CC207" s="537">
        <f>Waterfall!CC$48</f>
        <v>4274.8365280066346</v>
      </c>
      <c r="CD207" s="537">
        <f>Waterfall!CD$48</f>
        <v>4321.3134548763692</v>
      </c>
      <c r="CE207" s="537">
        <f>Waterfall!CE$48</f>
        <v>4413.9780591819081</v>
      </c>
      <c r="CF207" s="537">
        <f>Waterfall!CF$48</f>
        <v>4368.5578436146661</v>
      </c>
      <c r="CG207" s="537">
        <f>Waterfall!CG$48</f>
        <v>4283.5118246307165</v>
      </c>
      <c r="CH207" s="537">
        <f>Waterfall!CH$48</f>
        <v>2110.5359724491873</v>
      </c>
      <c r="CI207" s="537">
        <f>Waterfall!CI$48</f>
        <v>2204.6023940287423</v>
      </c>
      <c r="CJ207" s="537">
        <f>Waterfall!CJ$48</f>
        <v>1870.7851505508816</v>
      </c>
      <c r="CK207" s="537">
        <f>Waterfall!CK$48</f>
        <v>1786.9171601948419</v>
      </c>
      <c r="CL207" s="537">
        <f>Waterfall!CL$48</f>
        <v>4628.8303227158403</v>
      </c>
      <c r="CM207" s="537">
        <f>Waterfall!CM$48</f>
        <v>4723.5203653725785</v>
      </c>
      <c r="CN207" s="537">
        <f>Waterfall!CN$48</f>
        <v>4948.935086001231</v>
      </c>
      <c r="CO207" s="537">
        <f>Waterfall!CO$48</f>
        <v>4889.99295027068</v>
      </c>
      <c r="CP207" s="537">
        <f>Waterfall!CP$48</f>
        <v>4408.4942242291327</v>
      </c>
      <c r="CQ207" s="537">
        <f>Waterfall!CQ$48</f>
        <v>4454.0921236772019</v>
      </c>
      <c r="CR207" s="537">
        <f>Waterfall!CR$48</f>
        <v>4428.3806644411152</v>
      </c>
      <c r="CS207" s="537">
        <f>Waterfall!CS$48</f>
        <v>4344.7192119229667</v>
      </c>
      <c r="CT207" s="537">
        <f>Waterfall!CT$48</f>
        <v>4410.7908852154824</v>
      </c>
      <c r="CU207" s="537">
        <f>Waterfall!CU$48</f>
        <v>4507.2180043044709</v>
      </c>
      <c r="CV207" s="537">
        <f>Waterfall!CV$48</f>
        <v>4455.6468509356973</v>
      </c>
      <c r="CW207" s="537">
        <f>Waterfall!CW$48</f>
        <v>4372.1040514103006</v>
      </c>
      <c r="CX207" s="537">
        <f>Waterfall!CX$48</f>
        <v>4442.1439989063965</v>
      </c>
      <c r="CY207" s="537">
        <f>Waterfall!CY$48</f>
        <v>4538.8867633803111</v>
      </c>
      <c r="CZ207" s="537">
        <f>Waterfall!CZ$48</f>
        <v>9289.0498453167747</v>
      </c>
      <c r="DA207" s="537">
        <f>Waterfall!DA$48</f>
        <v>9243.2109589193478</v>
      </c>
      <c r="DB207" s="537">
        <f>Waterfall!DB$48</f>
        <v>6730.8032201585938</v>
      </c>
      <c r="DC207" s="537">
        <f>Waterfall!DC$48</f>
        <v>6819.6943690281241</v>
      </c>
      <c r="DD207" s="537">
        <f>Waterfall!DD$48</f>
        <v>6814.0398522326241</v>
      </c>
      <c r="DE207" s="537">
        <f>Waterfall!DE$48</f>
        <v>6785.1271000854231</v>
      </c>
      <c r="DF207" s="537">
        <f>Waterfall!DF$48</f>
        <v>10042.297500103878</v>
      </c>
      <c r="DG207" s="537">
        <f>Waterfall!DG$48</f>
        <v>10083.037086594606</v>
      </c>
      <c r="DH207" s="537">
        <f>Waterfall!DH$48</f>
        <v>10103.030440845592</v>
      </c>
      <c r="DI207" s="537">
        <f>Waterfall!DI$48</f>
        <v>10074.710093976457</v>
      </c>
      <c r="DJ207" s="537">
        <f>Waterfall!DJ$48</f>
        <v>9531.0000277068248</v>
      </c>
      <c r="DK207" s="537">
        <f>Waterfall!DK$48</f>
        <v>9622.5760692221538</v>
      </c>
      <c r="DL207" s="537">
        <f>Waterfall!DL$48</f>
        <v>9618.4891847043327</v>
      </c>
      <c r="DM207" s="537">
        <f>Waterfall!DM$48</f>
        <v>9590.6249782264968</v>
      </c>
      <c r="DN207" s="537">
        <f>Waterfall!DN$48</f>
        <v>9679.6513243283043</v>
      </c>
      <c r="DO207" s="537">
        <f>Waterfall!DO$48</f>
        <v>9772.3259446832872</v>
      </c>
      <c r="DP207" s="537">
        <f>Waterfall!DP$48</f>
        <v>9768.8299907587207</v>
      </c>
      <c r="DQ207" s="537">
        <f>Waterfall!DQ$48</f>
        <v>9741.3091688148925</v>
      </c>
      <c r="DR207" s="537">
        <f>Waterfall!DR$48</f>
        <v>9833.1752700445759</v>
      </c>
      <c r="DS207" s="537">
        <f>Waterfall!DS$48</f>
        <v>9926.8134161951511</v>
      </c>
      <c r="DT207" s="537">
        <f>Waterfall!DT$48</f>
        <v>9923.8082057289866</v>
      </c>
      <c r="DU207" s="537">
        <f>Waterfall!DU$48</f>
        <v>9896.5376166003607</v>
      </c>
      <c r="DV207" s="537">
        <f>Waterfall!DV$48</f>
        <v>10016.918852742816</v>
      </c>
      <c r="DW207" s="537">
        <f>Waterfall!DW$48</f>
        <v>10059.983606963106</v>
      </c>
      <c r="DX207" s="537">
        <f>Waterfall!DX$48</f>
        <v>10083.094712487115</v>
      </c>
      <c r="DY207" s="537">
        <f>Waterfall!DY$48</f>
        <v>10055.997562626802</v>
      </c>
      <c r="DZ207" s="537">
        <f>Waterfall!DZ$48</f>
        <v>10153.459517752461</v>
      </c>
      <c r="EA207" s="537">
        <f>Waterfall!EA$48</f>
        <v>10248.680194721674</v>
      </c>
      <c r="EB207" s="537">
        <f>Waterfall!EB$48</f>
        <v>10246.420544942679</v>
      </c>
      <c r="EC207" s="537">
        <f>Waterfall!EC$48</f>
        <v>10948.88102751593</v>
      </c>
      <c r="ED207" s="537">
        <f>Waterfall!ED$48</f>
        <v>2308.4176722004668</v>
      </c>
      <c r="EE207" s="537">
        <f>Waterfall!EE$48</f>
        <v>0</v>
      </c>
      <c r="EF207" s="537">
        <f>Waterfall!EF$48</f>
        <v>0</v>
      </c>
      <c r="EG207" s="537">
        <f>Waterfall!EG$48</f>
        <v>0</v>
      </c>
    </row>
    <row r="208" spans="5:137" ht="12.75">
      <c r="E208" s="538" t="str">
        <f>E$163</f>
        <v>Junior facility - scheduled principal</v>
      </c>
      <c r="G208" s="539" t="str">
        <f>G$163</f>
        <v>EUR 000s</v>
      </c>
      <c r="H208" s="539">
        <f>H$163</f>
        <v>25289.902618405937</v>
      </c>
      <c r="J208" s="539">
        <f t="shared" si="70" ref="J208:EG208">J$163</f>
        <v>0</v>
      </c>
      <c r="K208" s="539">
        <f t="shared" si="70"/>
        <v>0</v>
      </c>
      <c r="L208" s="539">
        <f t="shared" si="70"/>
        <v>0</v>
      </c>
      <c r="M208" s="539">
        <f t="shared" si="70"/>
        <v>0</v>
      </c>
      <c r="N208" s="539">
        <f t="shared" si="70"/>
        <v>0</v>
      </c>
      <c r="O208" s="539">
        <f t="shared" si="70"/>
        <v>0</v>
      </c>
      <c r="P208" s="539">
        <f t="shared" si="70"/>
        <v>0</v>
      </c>
      <c r="Q208" s="539">
        <f t="shared" si="70"/>
        <v>0</v>
      </c>
      <c r="R208" s="539">
        <f t="shared" si="70"/>
        <v>0</v>
      </c>
      <c r="S208" s="539">
        <f t="shared" si="70"/>
        <v>0</v>
      </c>
      <c r="T208" s="539">
        <f t="shared" si="70"/>
        <v>0</v>
      </c>
      <c r="U208" s="539">
        <f t="shared" si="70"/>
        <v>0</v>
      </c>
      <c r="V208" s="539">
        <f t="shared" si="70"/>
        <v>0</v>
      </c>
      <c r="W208" s="539">
        <f t="shared" si="70"/>
        <v>0</v>
      </c>
      <c r="X208" s="539">
        <f t="shared" si="70"/>
        <v>0</v>
      </c>
      <c r="Y208" s="539">
        <f t="shared" si="70"/>
        <v>0</v>
      </c>
      <c r="Z208" s="539">
        <f t="shared" si="70"/>
        <v>0</v>
      </c>
      <c r="AA208" s="539">
        <f t="shared" si="70"/>
        <v>0</v>
      </c>
      <c r="AB208" s="539">
        <f t="shared" si="70"/>
        <v>0</v>
      </c>
      <c r="AC208" s="539">
        <f t="shared" si="70"/>
        <v>0</v>
      </c>
      <c r="AD208" s="539">
        <f t="shared" si="70"/>
        <v>0</v>
      </c>
      <c r="AE208" s="539">
        <f t="shared" si="70"/>
        <v>0</v>
      </c>
      <c r="AF208" s="539">
        <f t="shared" si="70"/>
        <v>0</v>
      </c>
      <c r="AG208" s="539">
        <f t="shared" si="70"/>
        <v>0</v>
      </c>
      <c r="AH208" s="539">
        <f t="shared" si="70"/>
        <v>526.87297121679001</v>
      </c>
      <c r="AI208" s="539">
        <f t="shared" si="70"/>
        <v>526.87297121679001</v>
      </c>
      <c r="AJ208" s="539">
        <f t="shared" si="70"/>
        <v>526.87297121679001</v>
      </c>
      <c r="AK208" s="539">
        <f t="shared" si="70"/>
        <v>526.87297121679001</v>
      </c>
      <c r="AL208" s="539">
        <f t="shared" si="70"/>
        <v>526.87297121679001</v>
      </c>
      <c r="AM208" s="539">
        <f t="shared" si="70"/>
        <v>526.87297121679001</v>
      </c>
      <c r="AN208" s="539">
        <f t="shared" si="70"/>
        <v>526.87297121679001</v>
      </c>
      <c r="AO208" s="539">
        <f t="shared" si="70"/>
        <v>526.87297121679001</v>
      </c>
      <c r="AP208" s="539">
        <f t="shared" si="70"/>
        <v>526.87297121679001</v>
      </c>
      <c r="AQ208" s="539">
        <f t="shared" si="70"/>
        <v>526.87297121679001</v>
      </c>
      <c r="AR208" s="539">
        <f t="shared" si="70"/>
        <v>526.87297121679001</v>
      </c>
      <c r="AS208" s="539">
        <f t="shared" si="70"/>
        <v>526.87297121679001</v>
      </c>
      <c r="AT208" s="539">
        <f t="shared" si="70"/>
        <v>526.87297121679001</v>
      </c>
      <c r="AU208" s="539">
        <f t="shared" si="70"/>
        <v>526.87297121679001</v>
      </c>
      <c r="AV208" s="539">
        <f t="shared" si="70"/>
        <v>526.87297121679001</v>
      </c>
      <c r="AW208" s="539">
        <f t="shared" si="70"/>
        <v>526.87297121679001</v>
      </c>
      <c r="AX208" s="539">
        <f t="shared" si="70"/>
        <v>526.87297121679001</v>
      </c>
      <c r="AY208" s="539">
        <f t="shared" si="70"/>
        <v>526.87297121679001</v>
      </c>
      <c r="AZ208" s="539">
        <f t="shared" si="70"/>
        <v>526.87297121679001</v>
      </c>
      <c r="BA208" s="539">
        <f t="shared" si="70"/>
        <v>526.87297121679001</v>
      </c>
      <c r="BB208" s="539">
        <f t="shared" si="70"/>
        <v>526.87297121679001</v>
      </c>
      <c r="BC208" s="539">
        <f t="shared" si="70"/>
        <v>526.87297121679001</v>
      </c>
      <c r="BD208" s="539">
        <f t="shared" si="70"/>
        <v>526.87297121679001</v>
      </c>
      <c r="BE208" s="539">
        <f t="shared" si="70"/>
        <v>526.87297121679001</v>
      </c>
      <c r="BF208" s="539">
        <f t="shared" si="70"/>
        <v>526.87297121679001</v>
      </c>
      <c r="BG208" s="539">
        <f t="shared" si="70"/>
        <v>526.87297121679001</v>
      </c>
      <c r="BH208" s="539">
        <f t="shared" si="70"/>
        <v>526.87297121679001</v>
      </c>
      <c r="BI208" s="539">
        <f t="shared" si="70"/>
        <v>526.87297121679001</v>
      </c>
      <c r="BJ208" s="539">
        <f t="shared" si="70"/>
        <v>526.87297121679001</v>
      </c>
      <c r="BK208" s="539">
        <f t="shared" si="70"/>
        <v>526.87297121679001</v>
      </c>
      <c r="BL208" s="539">
        <f t="shared" si="70"/>
        <v>526.87297121679001</v>
      </c>
      <c r="BM208" s="539">
        <f t="shared" si="70"/>
        <v>526.87297121679001</v>
      </c>
      <c r="BN208" s="539">
        <f t="shared" si="70"/>
        <v>526.87297121679001</v>
      </c>
      <c r="BO208" s="539">
        <f t="shared" si="70"/>
        <v>526.87297121679001</v>
      </c>
      <c r="BP208" s="539">
        <f t="shared" si="70"/>
        <v>526.87297121679001</v>
      </c>
      <c r="BQ208" s="539">
        <f t="shared" si="70"/>
        <v>526.87297121679001</v>
      </c>
      <c r="BR208" s="539">
        <f t="shared" si="70"/>
        <v>526.87297121679001</v>
      </c>
      <c r="BS208" s="539">
        <f t="shared" si="70"/>
        <v>526.87297121679001</v>
      </c>
      <c r="BT208" s="539">
        <f t="shared" si="70"/>
        <v>526.87297121679001</v>
      </c>
      <c r="BU208" s="539">
        <f t="shared" si="70"/>
        <v>526.87297121679001</v>
      </c>
      <c r="BV208" s="539">
        <f t="shared" si="70"/>
        <v>526.87297121679001</v>
      </c>
      <c r="BW208" s="539">
        <f t="shared" si="70"/>
        <v>526.87297121679001</v>
      </c>
      <c r="BX208" s="539">
        <f t="shared" si="70"/>
        <v>526.87297121679001</v>
      </c>
      <c r="BY208" s="539">
        <f t="shared" si="70"/>
        <v>526.87297121679001</v>
      </c>
      <c r="BZ208" s="539">
        <f t="shared" si="70"/>
        <v>526.87297121679001</v>
      </c>
      <c r="CA208" s="539">
        <f t="shared" si="70"/>
        <v>526.87297121679001</v>
      </c>
      <c r="CB208" s="539">
        <f t="shared" si="70"/>
        <v>526.87297121679001</v>
      </c>
      <c r="CC208" s="539">
        <f t="shared" si="70"/>
        <v>526.87297121679001</v>
      </c>
      <c r="CD208" s="539">
        <f t="shared" si="70"/>
        <v>0</v>
      </c>
      <c r="CE208" s="539">
        <f t="shared" si="70"/>
        <v>0</v>
      </c>
      <c r="CF208" s="539">
        <f t="shared" si="70"/>
        <v>0</v>
      </c>
      <c r="CG208" s="539">
        <f t="shared" si="70"/>
        <v>0</v>
      </c>
      <c r="CH208" s="539">
        <f t="shared" si="70"/>
        <v>0</v>
      </c>
      <c r="CI208" s="539">
        <f t="shared" si="70"/>
        <v>0</v>
      </c>
      <c r="CJ208" s="539">
        <f t="shared" si="70"/>
        <v>0</v>
      </c>
      <c r="CK208" s="539">
        <f t="shared" si="70"/>
        <v>0</v>
      </c>
      <c r="CL208" s="539">
        <f t="shared" si="70"/>
        <v>0</v>
      </c>
      <c r="CM208" s="539">
        <f t="shared" si="70"/>
        <v>0</v>
      </c>
      <c r="CN208" s="539">
        <f t="shared" si="70"/>
        <v>0</v>
      </c>
      <c r="CO208" s="539">
        <f t="shared" si="70"/>
        <v>0</v>
      </c>
      <c r="CP208" s="539">
        <f t="shared" si="70"/>
        <v>0</v>
      </c>
      <c r="CQ208" s="539">
        <f t="shared" si="70"/>
        <v>0</v>
      </c>
      <c r="CR208" s="539">
        <f t="shared" si="70"/>
        <v>0</v>
      </c>
      <c r="CS208" s="539">
        <f t="shared" si="70"/>
        <v>0</v>
      </c>
      <c r="CT208" s="539">
        <f t="shared" si="70"/>
        <v>0</v>
      </c>
      <c r="CU208" s="539">
        <f t="shared" si="70"/>
        <v>0</v>
      </c>
      <c r="CV208" s="539">
        <f t="shared" si="70"/>
        <v>0</v>
      </c>
      <c r="CW208" s="539">
        <f t="shared" si="70"/>
        <v>0</v>
      </c>
      <c r="CX208" s="539">
        <f t="shared" si="70"/>
        <v>0</v>
      </c>
      <c r="CY208" s="539">
        <f t="shared" si="70"/>
        <v>0</v>
      </c>
      <c r="CZ208" s="539">
        <f t="shared" si="70"/>
        <v>0</v>
      </c>
      <c r="DA208" s="539">
        <f t="shared" si="70"/>
        <v>0</v>
      </c>
      <c r="DB208" s="539">
        <f t="shared" si="70"/>
        <v>0</v>
      </c>
      <c r="DC208" s="539">
        <f t="shared" si="70"/>
        <v>0</v>
      </c>
      <c r="DD208" s="539">
        <f t="shared" si="70"/>
        <v>0</v>
      </c>
      <c r="DE208" s="539">
        <f t="shared" si="70"/>
        <v>0</v>
      </c>
      <c r="DF208" s="539">
        <f t="shared" si="70"/>
        <v>0</v>
      </c>
      <c r="DG208" s="539">
        <f t="shared" si="70"/>
        <v>0</v>
      </c>
      <c r="DH208" s="539">
        <f t="shared" si="70"/>
        <v>0</v>
      </c>
      <c r="DI208" s="539">
        <f t="shared" si="70"/>
        <v>0</v>
      </c>
      <c r="DJ208" s="539">
        <f t="shared" si="70"/>
        <v>0</v>
      </c>
      <c r="DK208" s="539">
        <f t="shared" si="70"/>
        <v>0</v>
      </c>
      <c r="DL208" s="539">
        <f t="shared" si="70"/>
        <v>0</v>
      </c>
      <c r="DM208" s="539">
        <f t="shared" si="70"/>
        <v>0</v>
      </c>
      <c r="DN208" s="539">
        <f t="shared" si="70"/>
        <v>0</v>
      </c>
      <c r="DO208" s="539">
        <f t="shared" si="70"/>
        <v>0</v>
      </c>
      <c r="DP208" s="539">
        <f t="shared" si="70"/>
        <v>0</v>
      </c>
      <c r="DQ208" s="539">
        <f t="shared" si="70"/>
        <v>0</v>
      </c>
      <c r="DR208" s="539">
        <f t="shared" si="70"/>
        <v>0</v>
      </c>
      <c r="DS208" s="539">
        <f t="shared" si="70"/>
        <v>0</v>
      </c>
      <c r="DT208" s="539">
        <f t="shared" si="70"/>
        <v>0</v>
      </c>
      <c r="DU208" s="539">
        <f t="shared" si="70"/>
        <v>0</v>
      </c>
      <c r="DV208" s="539">
        <f t="shared" si="70"/>
        <v>0</v>
      </c>
      <c r="DW208" s="539">
        <f t="shared" si="70"/>
        <v>0</v>
      </c>
      <c r="DX208" s="539">
        <f t="shared" si="70"/>
        <v>0</v>
      </c>
      <c r="DY208" s="539">
        <f t="shared" si="70"/>
        <v>0</v>
      </c>
      <c r="DZ208" s="539">
        <f t="shared" si="70"/>
        <v>0</v>
      </c>
      <c r="EA208" s="539">
        <f t="shared" si="70"/>
        <v>0</v>
      </c>
      <c r="EB208" s="539">
        <f t="shared" si="70"/>
        <v>0</v>
      </c>
      <c r="EC208" s="539">
        <f t="shared" si="70"/>
        <v>0</v>
      </c>
      <c r="ED208" s="539">
        <f t="shared" si="70"/>
        <v>0</v>
      </c>
      <c r="EE208" s="539">
        <f t="shared" si="70"/>
        <v>0</v>
      </c>
      <c r="EF208" s="539">
        <f t="shared" si="70"/>
        <v>0</v>
      </c>
      <c r="EG208" s="539">
        <f t="shared" si="70"/>
        <v>0</v>
      </c>
    </row>
    <row r="209" spans="5:137" ht="12.75">
      <c r="E209" s="538" t="str">
        <f>E$174</f>
        <v>Junior facility - opening principal arrears</v>
      </c>
      <c r="G209" s="539" t="str">
        <f>G$174</f>
        <v>EUR 000s</v>
      </c>
      <c r="H209" s="539">
        <f>H$174</f>
        <v>0</v>
      </c>
      <c r="J209" s="539">
        <f t="shared" si="71" ref="J209:EG209">J$174</f>
        <v>0</v>
      </c>
      <c r="K209" s="539">
        <f t="shared" si="71"/>
        <v>0</v>
      </c>
      <c r="L209" s="539">
        <f t="shared" si="71"/>
        <v>0</v>
      </c>
      <c r="M209" s="539">
        <f t="shared" si="71"/>
        <v>0</v>
      </c>
      <c r="N209" s="539">
        <f t="shared" si="71"/>
        <v>0</v>
      </c>
      <c r="O209" s="539">
        <f t="shared" si="71"/>
        <v>0</v>
      </c>
      <c r="P209" s="539">
        <f t="shared" si="71"/>
        <v>0</v>
      </c>
      <c r="Q209" s="539">
        <f t="shared" si="71"/>
        <v>0</v>
      </c>
      <c r="R209" s="539">
        <f t="shared" si="71"/>
        <v>0</v>
      </c>
      <c r="S209" s="539">
        <f t="shared" si="71"/>
        <v>0</v>
      </c>
      <c r="T209" s="539">
        <f t="shared" si="71"/>
        <v>0</v>
      </c>
      <c r="U209" s="539">
        <f t="shared" si="71"/>
        <v>0</v>
      </c>
      <c r="V209" s="539">
        <f t="shared" si="71"/>
        <v>0</v>
      </c>
      <c r="W209" s="539">
        <f t="shared" si="71"/>
        <v>0</v>
      </c>
      <c r="X209" s="539">
        <f t="shared" si="71"/>
        <v>0</v>
      </c>
      <c r="Y209" s="539">
        <f t="shared" si="71"/>
        <v>0</v>
      </c>
      <c r="Z209" s="539">
        <f t="shared" si="71"/>
        <v>0</v>
      </c>
      <c r="AA209" s="539">
        <f t="shared" si="71"/>
        <v>0</v>
      </c>
      <c r="AB209" s="539">
        <f t="shared" si="71"/>
        <v>0</v>
      </c>
      <c r="AC209" s="539">
        <f t="shared" si="71"/>
        <v>0</v>
      </c>
      <c r="AD209" s="539">
        <f t="shared" si="71"/>
        <v>0</v>
      </c>
      <c r="AE209" s="539">
        <f t="shared" si="71"/>
        <v>0</v>
      </c>
      <c r="AF209" s="539">
        <f t="shared" si="71"/>
        <v>0</v>
      </c>
      <c r="AG209" s="539">
        <f t="shared" si="71"/>
        <v>0</v>
      </c>
      <c r="AH209" s="539">
        <f t="shared" si="71"/>
        <v>0</v>
      </c>
      <c r="AI209" s="539">
        <f t="shared" si="71"/>
        <v>0</v>
      </c>
      <c r="AJ209" s="539">
        <f t="shared" si="71"/>
        <v>0</v>
      </c>
      <c r="AK209" s="539">
        <f t="shared" si="71"/>
        <v>0</v>
      </c>
      <c r="AL209" s="539">
        <f t="shared" si="71"/>
        <v>0</v>
      </c>
      <c r="AM209" s="539">
        <f t="shared" si="71"/>
        <v>0</v>
      </c>
      <c r="AN209" s="539">
        <f t="shared" si="71"/>
        <v>0</v>
      </c>
      <c r="AO209" s="539">
        <f t="shared" si="71"/>
        <v>0</v>
      </c>
      <c r="AP209" s="539">
        <f t="shared" si="71"/>
        <v>0</v>
      </c>
      <c r="AQ209" s="539">
        <f t="shared" si="71"/>
        <v>0</v>
      </c>
      <c r="AR209" s="539">
        <f t="shared" si="71"/>
        <v>0</v>
      </c>
      <c r="AS209" s="539">
        <f t="shared" si="71"/>
        <v>0</v>
      </c>
      <c r="AT209" s="539">
        <f t="shared" si="71"/>
        <v>0</v>
      </c>
      <c r="AU209" s="539">
        <f t="shared" si="71"/>
        <v>0</v>
      </c>
      <c r="AV209" s="539">
        <f t="shared" si="71"/>
        <v>0</v>
      </c>
      <c r="AW209" s="539">
        <f t="shared" si="71"/>
        <v>0</v>
      </c>
      <c r="AX209" s="539">
        <f t="shared" si="71"/>
        <v>0</v>
      </c>
      <c r="AY209" s="539">
        <f t="shared" si="71"/>
        <v>0</v>
      </c>
      <c r="AZ209" s="539">
        <f t="shared" si="71"/>
        <v>0</v>
      </c>
      <c r="BA209" s="539">
        <f t="shared" si="71"/>
        <v>0</v>
      </c>
      <c r="BB209" s="539">
        <f t="shared" si="71"/>
        <v>0</v>
      </c>
      <c r="BC209" s="539">
        <f t="shared" si="71"/>
        <v>0</v>
      </c>
      <c r="BD209" s="539">
        <f t="shared" si="71"/>
        <v>0</v>
      </c>
      <c r="BE209" s="539">
        <f t="shared" si="71"/>
        <v>0</v>
      </c>
      <c r="BF209" s="539">
        <f t="shared" si="71"/>
        <v>0</v>
      </c>
      <c r="BG209" s="539">
        <f t="shared" si="71"/>
        <v>0</v>
      </c>
      <c r="BH209" s="539">
        <f t="shared" si="71"/>
        <v>0</v>
      </c>
      <c r="BI209" s="539">
        <f t="shared" si="71"/>
        <v>0</v>
      </c>
      <c r="BJ209" s="539">
        <f t="shared" si="71"/>
        <v>0</v>
      </c>
      <c r="BK209" s="539">
        <f t="shared" si="71"/>
        <v>0</v>
      </c>
      <c r="BL209" s="539">
        <f t="shared" si="71"/>
        <v>0</v>
      </c>
      <c r="BM209" s="539">
        <f t="shared" si="71"/>
        <v>0</v>
      </c>
      <c r="BN209" s="539">
        <f t="shared" si="71"/>
        <v>0</v>
      </c>
      <c r="BO209" s="539">
        <f t="shared" si="71"/>
        <v>0</v>
      </c>
      <c r="BP209" s="539">
        <f t="shared" si="71"/>
        <v>0</v>
      </c>
      <c r="BQ209" s="539">
        <f t="shared" si="71"/>
        <v>0</v>
      </c>
      <c r="BR209" s="539">
        <f t="shared" si="71"/>
        <v>0</v>
      </c>
      <c r="BS209" s="539">
        <f t="shared" si="71"/>
        <v>0</v>
      </c>
      <c r="BT209" s="539">
        <f t="shared" si="71"/>
        <v>0</v>
      </c>
      <c r="BU209" s="539">
        <f t="shared" si="71"/>
        <v>0</v>
      </c>
      <c r="BV209" s="539">
        <f t="shared" si="71"/>
        <v>0</v>
      </c>
      <c r="BW209" s="539">
        <f t="shared" si="71"/>
        <v>0</v>
      </c>
      <c r="BX209" s="539">
        <f t="shared" si="71"/>
        <v>0</v>
      </c>
      <c r="BY209" s="539">
        <f t="shared" si="71"/>
        <v>0</v>
      </c>
      <c r="BZ209" s="539">
        <f t="shared" si="71"/>
        <v>0</v>
      </c>
      <c r="CA209" s="539">
        <f t="shared" si="71"/>
        <v>0</v>
      </c>
      <c r="CB209" s="539">
        <f t="shared" si="71"/>
        <v>0</v>
      </c>
      <c r="CC209" s="539">
        <f t="shared" si="71"/>
        <v>0</v>
      </c>
      <c r="CD209" s="539">
        <f t="shared" si="71"/>
        <v>0</v>
      </c>
      <c r="CE209" s="539">
        <f t="shared" si="71"/>
        <v>0</v>
      </c>
      <c r="CF209" s="539">
        <f t="shared" si="71"/>
        <v>0</v>
      </c>
      <c r="CG209" s="539">
        <f t="shared" si="71"/>
        <v>0</v>
      </c>
      <c r="CH209" s="539">
        <f t="shared" si="71"/>
        <v>0</v>
      </c>
      <c r="CI209" s="539">
        <f t="shared" si="71"/>
        <v>0</v>
      </c>
      <c r="CJ209" s="539">
        <f t="shared" si="71"/>
        <v>0</v>
      </c>
      <c r="CK209" s="539">
        <f t="shared" si="71"/>
        <v>0</v>
      </c>
      <c r="CL209" s="539">
        <f t="shared" si="71"/>
        <v>0</v>
      </c>
      <c r="CM209" s="539">
        <f t="shared" si="71"/>
        <v>0</v>
      </c>
      <c r="CN209" s="539">
        <f t="shared" si="71"/>
        <v>0</v>
      </c>
      <c r="CO209" s="539">
        <f t="shared" si="71"/>
        <v>0</v>
      </c>
      <c r="CP209" s="539">
        <f t="shared" si="71"/>
        <v>0</v>
      </c>
      <c r="CQ209" s="539">
        <f t="shared" si="71"/>
        <v>0</v>
      </c>
      <c r="CR209" s="539">
        <f t="shared" si="71"/>
        <v>0</v>
      </c>
      <c r="CS209" s="539">
        <f t="shared" si="71"/>
        <v>0</v>
      </c>
      <c r="CT209" s="539">
        <f t="shared" si="71"/>
        <v>0</v>
      </c>
      <c r="CU209" s="539">
        <f t="shared" si="71"/>
        <v>0</v>
      </c>
      <c r="CV209" s="539">
        <f t="shared" si="71"/>
        <v>0</v>
      </c>
      <c r="CW209" s="539">
        <f t="shared" si="71"/>
        <v>0</v>
      </c>
      <c r="CX209" s="539">
        <f t="shared" si="71"/>
        <v>0</v>
      </c>
      <c r="CY209" s="539">
        <f t="shared" si="71"/>
        <v>0</v>
      </c>
      <c r="CZ209" s="539">
        <f t="shared" si="71"/>
        <v>0</v>
      </c>
      <c r="DA209" s="539">
        <f t="shared" si="71"/>
        <v>0</v>
      </c>
      <c r="DB209" s="539">
        <f t="shared" si="71"/>
        <v>0</v>
      </c>
      <c r="DC209" s="539">
        <f t="shared" si="71"/>
        <v>0</v>
      </c>
      <c r="DD209" s="539">
        <f t="shared" si="71"/>
        <v>0</v>
      </c>
      <c r="DE209" s="539">
        <f t="shared" si="71"/>
        <v>0</v>
      </c>
      <c r="DF209" s="539">
        <f t="shared" si="71"/>
        <v>0</v>
      </c>
      <c r="DG209" s="539">
        <f t="shared" si="71"/>
        <v>0</v>
      </c>
      <c r="DH209" s="539">
        <f t="shared" si="71"/>
        <v>0</v>
      </c>
      <c r="DI209" s="539">
        <f t="shared" si="71"/>
        <v>0</v>
      </c>
      <c r="DJ209" s="539">
        <f t="shared" si="71"/>
        <v>0</v>
      </c>
      <c r="DK209" s="539">
        <f t="shared" si="71"/>
        <v>0</v>
      </c>
      <c r="DL209" s="539">
        <f t="shared" si="71"/>
        <v>0</v>
      </c>
      <c r="DM209" s="539">
        <f t="shared" si="71"/>
        <v>0</v>
      </c>
      <c r="DN209" s="539">
        <f t="shared" si="71"/>
        <v>0</v>
      </c>
      <c r="DO209" s="539">
        <f t="shared" si="71"/>
        <v>0</v>
      </c>
      <c r="DP209" s="539">
        <f t="shared" si="71"/>
        <v>0</v>
      </c>
      <c r="DQ209" s="539">
        <f t="shared" si="71"/>
        <v>0</v>
      </c>
      <c r="DR209" s="539">
        <f t="shared" si="71"/>
        <v>0</v>
      </c>
      <c r="DS209" s="539">
        <f t="shared" si="71"/>
        <v>0</v>
      </c>
      <c r="DT209" s="539">
        <f t="shared" si="71"/>
        <v>0</v>
      </c>
      <c r="DU209" s="539">
        <f t="shared" si="71"/>
        <v>0</v>
      </c>
      <c r="DV209" s="539">
        <f t="shared" si="71"/>
        <v>0</v>
      </c>
      <c r="DW209" s="539">
        <f t="shared" si="71"/>
        <v>0</v>
      </c>
      <c r="DX209" s="539">
        <f t="shared" si="71"/>
        <v>0</v>
      </c>
      <c r="DY209" s="539">
        <f t="shared" si="71"/>
        <v>0</v>
      </c>
      <c r="DZ209" s="539">
        <f t="shared" si="71"/>
        <v>0</v>
      </c>
      <c r="EA209" s="539">
        <f t="shared" si="71"/>
        <v>0</v>
      </c>
      <c r="EB209" s="539">
        <f t="shared" si="71"/>
        <v>0</v>
      </c>
      <c r="EC209" s="539">
        <f t="shared" si="71"/>
        <v>0</v>
      </c>
      <c r="ED209" s="539">
        <f t="shared" si="71"/>
        <v>0</v>
      </c>
      <c r="EE209" s="539">
        <f t="shared" si="71"/>
        <v>0</v>
      </c>
      <c r="EF209" s="539">
        <f t="shared" si="71"/>
        <v>0</v>
      </c>
      <c r="EG209" s="539">
        <f t="shared" si="71"/>
        <v>0</v>
      </c>
    </row>
    <row r="210" spans="5:137" ht="12.75">
      <c r="E210" s="538" t="str">
        <f>E$199</f>
        <v>Junior facility - interest paid</v>
      </c>
      <c r="G210" s="539" t="str">
        <f>G$199</f>
        <v>EUR 000s</v>
      </c>
      <c r="H210" s="539">
        <f>H$199</f>
        <v>13943.397268295888</v>
      </c>
      <c r="J210" s="539">
        <f t="shared" si="72" ref="J210:EG210">J$199</f>
        <v>0</v>
      </c>
      <c r="K210" s="539">
        <f t="shared" si="72"/>
        <v>0</v>
      </c>
      <c r="L210" s="539">
        <f t="shared" si="72"/>
        <v>0</v>
      </c>
      <c r="M210" s="539">
        <f t="shared" si="72"/>
        <v>0</v>
      </c>
      <c r="N210" s="539">
        <f t="shared" si="72"/>
        <v>0</v>
      </c>
      <c r="O210" s="539">
        <f t="shared" si="72"/>
        <v>0</v>
      </c>
      <c r="P210" s="539">
        <f t="shared" si="72"/>
        <v>0</v>
      </c>
      <c r="Q210" s="539">
        <f t="shared" si="72"/>
        <v>0</v>
      </c>
      <c r="R210" s="539">
        <f t="shared" si="72"/>
        <v>0</v>
      </c>
      <c r="S210" s="539">
        <f t="shared" si="72"/>
        <v>0</v>
      </c>
      <c r="T210" s="539">
        <f t="shared" si="72"/>
        <v>0</v>
      </c>
      <c r="U210" s="539">
        <f t="shared" si="72"/>
        <v>0</v>
      </c>
      <c r="V210" s="539">
        <f t="shared" si="72"/>
        <v>0</v>
      </c>
      <c r="W210" s="539">
        <f t="shared" si="72"/>
        <v>0</v>
      </c>
      <c r="X210" s="539">
        <f t="shared" si="72"/>
        <v>0</v>
      </c>
      <c r="Y210" s="539">
        <f t="shared" si="72"/>
        <v>0</v>
      </c>
      <c r="Z210" s="539">
        <f t="shared" si="72"/>
        <v>0</v>
      </c>
      <c r="AA210" s="539">
        <f t="shared" si="72"/>
        <v>0</v>
      </c>
      <c r="AB210" s="539">
        <f t="shared" si="72"/>
        <v>0</v>
      </c>
      <c r="AC210" s="539">
        <f t="shared" si="72"/>
        <v>0</v>
      </c>
      <c r="AD210" s="539">
        <f t="shared" si="72"/>
        <v>0</v>
      </c>
      <c r="AE210" s="539">
        <f t="shared" si="72"/>
        <v>0</v>
      </c>
      <c r="AF210" s="539">
        <f t="shared" si="72"/>
        <v>0</v>
      </c>
      <c r="AG210" s="539">
        <f t="shared" si="72"/>
        <v>0</v>
      </c>
      <c r="AH210" s="539">
        <f t="shared" si="72"/>
        <v>561.22797591530946</v>
      </c>
      <c r="AI210" s="539">
        <f t="shared" si="72"/>
        <v>555.64167893281899</v>
      </c>
      <c r="AJ210" s="539">
        <f t="shared" si="72"/>
        <v>549.79555418370114</v>
      </c>
      <c r="AK210" s="539">
        <f t="shared" si="72"/>
        <v>537.84347691883806</v>
      </c>
      <c r="AL210" s="539">
        <f t="shared" si="72"/>
        <v>514.45897792236678</v>
      </c>
      <c r="AM210" s="539">
        <f t="shared" si="72"/>
        <v>508.35302540662155</v>
      </c>
      <c r="AN210" s="539">
        <f t="shared" si="72"/>
        <v>501.98724512424877</v>
      </c>
      <c r="AO210" s="539">
        <f t="shared" si="72"/>
        <v>490.03516785938558</v>
      </c>
      <c r="AP210" s="539">
        <f t="shared" si="72"/>
        <v>467.68997992942428</v>
      </c>
      <c r="AQ210" s="539">
        <f t="shared" si="72"/>
        <v>461.06437188042401</v>
      </c>
      <c r="AR210" s="539">
        <f t="shared" si="72"/>
        <v>454.17893606479629</v>
      </c>
      <c r="AS210" s="539">
        <f t="shared" si="72"/>
        <v>442.22685879993327</v>
      </c>
      <c r="AT210" s="539">
        <f t="shared" si="72"/>
        <v>425.5978817357759</v>
      </c>
      <c r="AU210" s="539">
        <f t="shared" si="72"/>
        <v>413.77571835422651</v>
      </c>
      <c r="AV210" s="539">
        <f t="shared" si="72"/>
        <v>406.37062700534392</v>
      </c>
      <c r="AW210" s="539">
        <f t="shared" si="72"/>
        <v>394.41854974048084</v>
      </c>
      <c r="AX210" s="539">
        <f t="shared" si="72"/>
        <v>374.15198394353911</v>
      </c>
      <c r="AY210" s="539">
        <f t="shared" si="72"/>
        <v>366.48706482802908</v>
      </c>
      <c r="AZ210" s="539">
        <f t="shared" si="72"/>
        <v>358.56231794589155</v>
      </c>
      <c r="BA210" s="539">
        <f t="shared" si="72"/>
        <v>346.61024068102847</v>
      </c>
      <c r="BB210" s="539">
        <f t="shared" si="72"/>
        <v>327.38298595059666</v>
      </c>
      <c r="BC210" s="539">
        <f t="shared" si="72"/>
        <v>319.1984113018317</v>
      </c>
      <c r="BD210" s="539">
        <f t="shared" si="72"/>
        <v>310.75400888643935</v>
      </c>
      <c r="BE210" s="539">
        <f t="shared" si="72"/>
        <v>298.80193162157627</v>
      </c>
      <c r="BF210" s="539">
        <f t="shared" si="72"/>
        <v>280.61398795765422</v>
      </c>
      <c r="BG210" s="539">
        <f t="shared" si="72"/>
        <v>271.90975777563438</v>
      </c>
      <c r="BH210" s="539">
        <f t="shared" si="72"/>
        <v>262.94569982698704</v>
      </c>
      <c r="BI210" s="539">
        <f t="shared" si="72"/>
        <v>250.99362256212402</v>
      </c>
      <c r="BJ210" s="539">
        <f t="shared" si="72"/>
        <v>236.44326763098636</v>
      </c>
      <c r="BK210" s="539">
        <f t="shared" si="72"/>
        <v>224.62110424943702</v>
      </c>
      <c r="BL210" s="539">
        <f t="shared" si="72"/>
        <v>215.13739076753484</v>
      </c>
      <c r="BM210" s="539">
        <f t="shared" si="72"/>
        <v>203.18531350267176</v>
      </c>
      <c r="BN210" s="539">
        <f t="shared" si="72"/>
        <v>187.07599197176938</v>
      </c>
      <c r="BO210" s="539">
        <f t="shared" si="72"/>
        <v>177.33245072323967</v>
      </c>
      <c r="BP210" s="539">
        <f t="shared" si="72"/>
        <v>167.32908170808255</v>
      </c>
      <c r="BQ210" s="539">
        <f t="shared" si="72"/>
        <v>155.37700444321948</v>
      </c>
      <c r="BR210" s="539">
        <f t="shared" si="72"/>
        <v>140.30699397882694</v>
      </c>
      <c r="BS210" s="539">
        <f t="shared" si="72"/>
        <v>130.04379719704235</v>
      </c>
      <c r="BT210" s="539">
        <f t="shared" si="72"/>
        <v>119.52077264863031</v>
      </c>
      <c r="BU210" s="539">
        <f t="shared" si="72"/>
        <v>107.56869538376725</v>
      </c>
      <c r="BV210" s="539">
        <f t="shared" si="72"/>
        <v>93.537995985884535</v>
      </c>
      <c r="BW210" s="539">
        <f t="shared" si="72"/>
        <v>82.755143670845015</v>
      </c>
      <c r="BX210" s="539">
        <f t="shared" si="72"/>
        <v>71.712463589178029</v>
      </c>
      <c r="BY210" s="539">
        <f t="shared" si="72"/>
        <v>59.760386324314958</v>
      </c>
      <c r="BZ210" s="539">
        <f t="shared" si="72"/>
        <v>47.288653526196974</v>
      </c>
      <c r="CA210" s="539">
        <f t="shared" si="72"/>
        <v>35.466490144647629</v>
      </c>
      <c r="CB210" s="539">
        <f t="shared" si="72"/>
        <v>23.904154529725734</v>
      </c>
      <c r="CC210" s="539">
        <f t="shared" si="72"/>
        <v>11.952077264862666</v>
      </c>
      <c r="CD210" s="539">
        <f t="shared" si="72"/>
        <v>-3.9862031483869642E-13</v>
      </c>
      <c r="CE210" s="539">
        <f t="shared" si="72"/>
        <v>-4.0304942944801527E-13</v>
      </c>
      <c r="CF210" s="539">
        <f t="shared" si="72"/>
        <v>-4.0747854405733406E-13</v>
      </c>
      <c r="CG210" s="539">
        <f t="shared" si="72"/>
        <v>-4.0747854405733406E-13</v>
      </c>
      <c r="CH210" s="539">
        <f t="shared" si="72"/>
        <v>-3.9862031483869642E-13</v>
      </c>
      <c r="CI210" s="539">
        <f t="shared" si="72"/>
        <v>-4.0304942944801527E-13</v>
      </c>
      <c r="CJ210" s="539">
        <f t="shared" si="72"/>
        <v>-4.0747854405733406E-13</v>
      </c>
      <c r="CK210" s="539">
        <f t="shared" si="72"/>
        <v>-4.0747854405733406E-13</v>
      </c>
      <c r="CL210" s="539">
        <f t="shared" si="72"/>
        <v>-3.9862031483869642E-13</v>
      </c>
      <c r="CM210" s="539">
        <f t="shared" si="72"/>
        <v>-4.0304942944801527E-13</v>
      </c>
      <c r="CN210" s="539">
        <f t="shared" si="72"/>
        <v>-4.0747854405733406E-13</v>
      </c>
      <c r="CO210" s="539">
        <f t="shared" si="72"/>
        <v>-4.0747854405733406E-13</v>
      </c>
      <c r="CP210" s="539">
        <f t="shared" si="72"/>
        <v>-4.0304942944801527E-13</v>
      </c>
      <c r="CQ210" s="539">
        <f t="shared" si="72"/>
        <v>-4.0304942944801527E-13</v>
      </c>
      <c r="CR210" s="539">
        <f t="shared" si="72"/>
        <v>-4.0747854405733406E-13</v>
      </c>
      <c r="CS210" s="539">
        <f t="shared" si="72"/>
        <v>-4.0747854405733406E-13</v>
      </c>
      <c r="CT210" s="539">
        <f t="shared" si="72"/>
        <v>-3.9862031483869642E-13</v>
      </c>
      <c r="CU210" s="539">
        <f t="shared" si="72"/>
        <v>-4.0304942944801527E-13</v>
      </c>
      <c r="CV210" s="539">
        <f t="shared" si="72"/>
        <v>-4.0747854405733406E-13</v>
      </c>
      <c r="CW210" s="539">
        <f t="shared" si="72"/>
        <v>-4.0747854405733406E-13</v>
      </c>
      <c r="CX210" s="539">
        <f t="shared" si="72"/>
        <v>-3.9862031483869642E-13</v>
      </c>
      <c r="CY210" s="539">
        <f t="shared" si="72"/>
        <v>-4.0304942944801527E-13</v>
      </c>
      <c r="CZ210" s="539">
        <f t="shared" si="72"/>
        <v>-4.0747854405733406E-13</v>
      </c>
      <c r="DA210" s="539">
        <f t="shared" si="72"/>
        <v>-4.0747854405733406E-13</v>
      </c>
      <c r="DB210" s="539">
        <f t="shared" si="72"/>
        <v>-3.9862031483869642E-13</v>
      </c>
      <c r="DC210" s="539">
        <f t="shared" si="72"/>
        <v>-4.0304942944801527E-13</v>
      </c>
      <c r="DD210" s="539">
        <f t="shared" si="72"/>
        <v>-4.0747854405733406E-13</v>
      </c>
      <c r="DE210" s="539">
        <f t="shared" si="72"/>
        <v>-4.0747854405733406E-13</v>
      </c>
      <c r="DF210" s="539">
        <f t="shared" si="72"/>
        <v>-4.0304942944801527E-13</v>
      </c>
      <c r="DG210" s="539">
        <f t="shared" si="72"/>
        <v>-4.0304942944801527E-13</v>
      </c>
      <c r="DH210" s="539">
        <f t="shared" si="72"/>
        <v>-4.0747854405733406E-13</v>
      </c>
      <c r="DI210" s="539">
        <f t="shared" si="72"/>
        <v>-4.0747854405733406E-13</v>
      </c>
      <c r="DJ210" s="539">
        <f t="shared" si="72"/>
        <v>-3.9862031483869642E-13</v>
      </c>
      <c r="DK210" s="539">
        <f t="shared" si="72"/>
        <v>-4.0304942944801527E-13</v>
      </c>
      <c r="DL210" s="539">
        <f t="shared" si="72"/>
        <v>-4.0747854405733406E-13</v>
      </c>
      <c r="DM210" s="539">
        <f t="shared" si="72"/>
        <v>-4.0747854405733406E-13</v>
      </c>
      <c r="DN210" s="539">
        <f t="shared" si="72"/>
        <v>-3.9862031483869642E-13</v>
      </c>
      <c r="DO210" s="539">
        <f t="shared" si="72"/>
        <v>-4.0304942944801527E-13</v>
      </c>
      <c r="DP210" s="539">
        <f t="shared" si="72"/>
        <v>-4.0747854405733406E-13</v>
      </c>
      <c r="DQ210" s="539">
        <f t="shared" si="72"/>
        <v>-4.0747854405733406E-13</v>
      </c>
      <c r="DR210" s="539">
        <f t="shared" si="72"/>
        <v>-3.9862031483869642E-13</v>
      </c>
      <c r="DS210" s="539">
        <f t="shared" si="72"/>
        <v>-4.0304942944801527E-13</v>
      </c>
      <c r="DT210" s="539">
        <f t="shared" si="72"/>
        <v>-4.0747854405733406E-13</v>
      </c>
      <c r="DU210" s="539">
        <f t="shared" si="72"/>
        <v>-4.0747854405733406E-13</v>
      </c>
      <c r="DV210" s="539">
        <f t="shared" si="72"/>
        <v>-4.0304942944801527E-13</v>
      </c>
      <c r="DW210" s="539">
        <f t="shared" si="72"/>
        <v>-4.0304942944801527E-13</v>
      </c>
      <c r="DX210" s="539">
        <f t="shared" si="72"/>
        <v>-4.0747854405733406E-13</v>
      </c>
      <c r="DY210" s="539">
        <f t="shared" si="72"/>
        <v>-4.0747854405733406E-13</v>
      </c>
      <c r="DZ210" s="539">
        <f t="shared" si="72"/>
        <v>-3.9862031483869642E-13</v>
      </c>
      <c r="EA210" s="539">
        <f t="shared" si="72"/>
        <v>-4.0304942944801527E-13</v>
      </c>
      <c r="EB210" s="539">
        <f t="shared" si="72"/>
        <v>-4.0747854405733406E-13</v>
      </c>
      <c r="EC210" s="539">
        <f t="shared" si="72"/>
        <v>-4.0747854405733406E-13</v>
      </c>
      <c r="ED210" s="539">
        <f t="shared" si="72"/>
        <v>0</v>
      </c>
      <c r="EE210" s="539">
        <f t="shared" si="72"/>
        <v>0</v>
      </c>
      <c r="EF210" s="539">
        <f t="shared" si="72"/>
        <v>0</v>
      </c>
      <c r="EG210" s="539">
        <f t="shared" si="72"/>
        <v>0</v>
      </c>
    </row>
    <row r="211" spans="5:137" ht="12.75">
      <c r="E211" s="538" t="s">
        <v>353</v>
      </c>
      <c r="G211" s="539" t="s">
        <v>30</v>
      </c>
      <c r="H211" s="539">
        <f>SUM(J211:EG211)</f>
        <v>25289.902618405937</v>
      </c>
      <c r="J211" s="539">
        <f t="shared" si="73" ref="J211:EG211">MIN(J208+J209,MAX(0,J207)-J210)</f>
        <v>0</v>
      </c>
      <c r="K211" s="539">
        <f t="shared" si="73"/>
        <v>0</v>
      </c>
      <c r="L211" s="539">
        <f t="shared" si="73"/>
        <v>0</v>
      </c>
      <c r="M211" s="539">
        <f t="shared" si="73"/>
        <v>0</v>
      </c>
      <c r="N211" s="539">
        <f t="shared" si="73"/>
        <v>0</v>
      </c>
      <c r="O211" s="539">
        <f t="shared" si="73"/>
        <v>0</v>
      </c>
      <c r="P211" s="539">
        <f t="shared" si="73"/>
        <v>0</v>
      </c>
      <c r="Q211" s="539">
        <f t="shared" si="73"/>
        <v>0</v>
      </c>
      <c r="R211" s="539">
        <f t="shared" si="73"/>
        <v>0</v>
      </c>
      <c r="S211" s="539">
        <f t="shared" si="73"/>
        <v>0</v>
      </c>
      <c r="T211" s="539">
        <f t="shared" si="73"/>
        <v>0</v>
      </c>
      <c r="U211" s="539">
        <f t="shared" si="73"/>
        <v>0</v>
      </c>
      <c r="V211" s="539">
        <f t="shared" si="73"/>
        <v>0</v>
      </c>
      <c r="W211" s="539">
        <f t="shared" si="73"/>
        <v>0</v>
      </c>
      <c r="X211" s="539">
        <f t="shared" si="73"/>
        <v>0</v>
      </c>
      <c r="Y211" s="539">
        <f t="shared" si="73"/>
        <v>0</v>
      </c>
      <c r="Z211" s="539">
        <f t="shared" si="73"/>
        <v>0</v>
      </c>
      <c r="AA211" s="539">
        <f t="shared" si="73"/>
        <v>0</v>
      </c>
      <c r="AB211" s="539">
        <f t="shared" si="73"/>
        <v>0</v>
      </c>
      <c r="AC211" s="539">
        <f t="shared" si="73"/>
        <v>0</v>
      </c>
      <c r="AD211" s="539">
        <f t="shared" si="73"/>
        <v>0</v>
      </c>
      <c r="AE211" s="539">
        <f t="shared" si="73"/>
        <v>0</v>
      </c>
      <c r="AF211" s="539">
        <f t="shared" si="73"/>
        <v>0</v>
      </c>
      <c r="AG211" s="539">
        <f t="shared" si="73"/>
        <v>0</v>
      </c>
      <c r="AH211" s="539">
        <f t="shared" si="73"/>
        <v>526.87297121679001</v>
      </c>
      <c r="AI211" s="539">
        <f t="shared" si="73"/>
        <v>526.87297121679001</v>
      </c>
      <c r="AJ211" s="539">
        <f t="shared" si="73"/>
        <v>526.87297121679001</v>
      </c>
      <c r="AK211" s="539">
        <f t="shared" si="73"/>
        <v>526.87297121679001</v>
      </c>
      <c r="AL211" s="539">
        <f t="shared" si="73"/>
        <v>526.87297121679001</v>
      </c>
      <c r="AM211" s="539">
        <f t="shared" si="73"/>
        <v>526.87297121679001</v>
      </c>
      <c r="AN211" s="539">
        <f t="shared" si="73"/>
        <v>526.87297121679001</v>
      </c>
      <c r="AO211" s="539">
        <f t="shared" si="73"/>
        <v>526.87297121679001</v>
      </c>
      <c r="AP211" s="539">
        <f t="shared" si="73"/>
        <v>526.87297121679001</v>
      </c>
      <c r="AQ211" s="539">
        <f t="shared" si="73"/>
        <v>526.87297121679001</v>
      </c>
      <c r="AR211" s="539">
        <f t="shared" si="73"/>
        <v>526.87297121679001</v>
      </c>
      <c r="AS211" s="539">
        <f t="shared" si="73"/>
        <v>526.87297121679001</v>
      </c>
      <c r="AT211" s="539">
        <f t="shared" si="73"/>
        <v>526.87297121679001</v>
      </c>
      <c r="AU211" s="539">
        <f t="shared" si="73"/>
        <v>526.87297121679001</v>
      </c>
      <c r="AV211" s="539">
        <f t="shared" si="73"/>
        <v>526.87297121679001</v>
      </c>
      <c r="AW211" s="539">
        <f t="shared" si="73"/>
        <v>526.87297121679001</v>
      </c>
      <c r="AX211" s="539">
        <f t="shared" si="73"/>
        <v>526.87297121679001</v>
      </c>
      <c r="AY211" s="539">
        <f t="shared" si="73"/>
        <v>526.87297121679001</v>
      </c>
      <c r="AZ211" s="539">
        <f t="shared" si="73"/>
        <v>526.87297121679001</v>
      </c>
      <c r="BA211" s="539">
        <f t="shared" si="73"/>
        <v>526.87297121679001</v>
      </c>
      <c r="BB211" s="539">
        <f t="shared" si="73"/>
        <v>526.87297121679001</v>
      </c>
      <c r="BC211" s="539">
        <f t="shared" si="73"/>
        <v>526.87297121679001</v>
      </c>
      <c r="BD211" s="539">
        <f t="shared" si="73"/>
        <v>526.87297121679001</v>
      </c>
      <c r="BE211" s="539">
        <f t="shared" si="73"/>
        <v>526.87297121679001</v>
      </c>
      <c r="BF211" s="539">
        <f t="shared" si="73"/>
        <v>526.87297121679001</v>
      </c>
      <c r="BG211" s="539">
        <f t="shared" si="73"/>
        <v>526.87297121679001</v>
      </c>
      <c r="BH211" s="539">
        <f t="shared" si="73"/>
        <v>526.87297121679001</v>
      </c>
      <c r="BI211" s="539">
        <f t="shared" si="73"/>
        <v>526.87297121679001</v>
      </c>
      <c r="BJ211" s="539">
        <f t="shared" si="73"/>
        <v>526.87297121679001</v>
      </c>
      <c r="BK211" s="539">
        <f t="shared" si="73"/>
        <v>526.87297121679001</v>
      </c>
      <c r="BL211" s="539">
        <f t="shared" si="73"/>
        <v>526.87297121679001</v>
      </c>
      <c r="BM211" s="539">
        <f t="shared" si="73"/>
        <v>526.87297121679001</v>
      </c>
      <c r="BN211" s="539">
        <f t="shared" si="73"/>
        <v>526.87297121679001</v>
      </c>
      <c r="BO211" s="539">
        <f t="shared" si="73"/>
        <v>526.87297121679001</v>
      </c>
      <c r="BP211" s="539">
        <f t="shared" si="73"/>
        <v>526.87297121679001</v>
      </c>
      <c r="BQ211" s="539">
        <f t="shared" si="73"/>
        <v>526.87297121679001</v>
      </c>
      <c r="BR211" s="539">
        <f t="shared" si="73"/>
        <v>526.87297121679001</v>
      </c>
      <c r="BS211" s="539">
        <f t="shared" si="73"/>
        <v>526.87297121679001</v>
      </c>
      <c r="BT211" s="539">
        <f t="shared" si="73"/>
        <v>526.87297121679001</v>
      </c>
      <c r="BU211" s="539">
        <f t="shared" si="73"/>
        <v>526.87297121679001</v>
      </c>
      <c r="BV211" s="539">
        <f t="shared" si="73"/>
        <v>526.87297121679001</v>
      </c>
      <c r="BW211" s="539">
        <f t="shared" si="73"/>
        <v>526.87297121679001</v>
      </c>
      <c r="BX211" s="539">
        <f t="shared" si="73"/>
        <v>526.87297121679001</v>
      </c>
      <c r="BY211" s="539">
        <f t="shared" si="73"/>
        <v>526.87297121679001</v>
      </c>
      <c r="BZ211" s="539">
        <f t="shared" si="73"/>
        <v>526.87297121679001</v>
      </c>
      <c r="CA211" s="539">
        <f t="shared" si="73"/>
        <v>526.87297121679001</v>
      </c>
      <c r="CB211" s="539">
        <f t="shared" si="73"/>
        <v>526.87297121679001</v>
      </c>
      <c r="CC211" s="539">
        <f t="shared" si="73"/>
        <v>526.87297121679001</v>
      </c>
      <c r="CD211" s="539">
        <f t="shared" si="73"/>
        <v>0</v>
      </c>
      <c r="CE211" s="539">
        <f t="shared" si="73"/>
        <v>0</v>
      </c>
      <c r="CF211" s="539">
        <f t="shared" si="73"/>
        <v>0</v>
      </c>
      <c r="CG211" s="539">
        <f t="shared" si="73"/>
        <v>0</v>
      </c>
      <c r="CH211" s="539">
        <f t="shared" si="73"/>
        <v>0</v>
      </c>
      <c r="CI211" s="539">
        <f t="shared" si="73"/>
        <v>0</v>
      </c>
      <c r="CJ211" s="539">
        <f t="shared" si="73"/>
        <v>0</v>
      </c>
      <c r="CK211" s="539">
        <f t="shared" si="73"/>
        <v>0</v>
      </c>
      <c r="CL211" s="539">
        <f t="shared" si="73"/>
        <v>0</v>
      </c>
      <c r="CM211" s="539">
        <f t="shared" si="73"/>
        <v>0</v>
      </c>
      <c r="CN211" s="539">
        <f t="shared" si="73"/>
        <v>0</v>
      </c>
      <c r="CO211" s="539">
        <f t="shared" si="73"/>
        <v>0</v>
      </c>
      <c r="CP211" s="539">
        <f t="shared" si="73"/>
        <v>0</v>
      </c>
      <c r="CQ211" s="539">
        <f t="shared" si="73"/>
        <v>0</v>
      </c>
      <c r="CR211" s="539">
        <f t="shared" si="73"/>
        <v>0</v>
      </c>
      <c r="CS211" s="539">
        <f t="shared" si="73"/>
        <v>0</v>
      </c>
      <c r="CT211" s="539">
        <f t="shared" si="73"/>
        <v>0</v>
      </c>
      <c r="CU211" s="539">
        <f t="shared" si="73"/>
        <v>0</v>
      </c>
      <c r="CV211" s="539">
        <f t="shared" si="73"/>
        <v>0</v>
      </c>
      <c r="CW211" s="539">
        <f t="shared" si="73"/>
        <v>0</v>
      </c>
      <c r="CX211" s="539">
        <f t="shared" si="73"/>
        <v>0</v>
      </c>
      <c r="CY211" s="539">
        <f t="shared" si="73"/>
        <v>0</v>
      </c>
      <c r="CZ211" s="539">
        <f t="shared" si="73"/>
        <v>0</v>
      </c>
      <c r="DA211" s="539">
        <f t="shared" si="73"/>
        <v>0</v>
      </c>
      <c r="DB211" s="539">
        <f t="shared" si="73"/>
        <v>0</v>
      </c>
      <c r="DC211" s="539">
        <f t="shared" si="73"/>
        <v>0</v>
      </c>
      <c r="DD211" s="539">
        <f t="shared" si="73"/>
        <v>0</v>
      </c>
      <c r="DE211" s="539">
        <f t="shared" si="73"/>
        <v>0</v>
      </c>
      <c r="DF211" s="539">
        <f t="shared" si="73"/>
        <v>0</v>
      </c>
      <c r="DG211" s="539">
        <f t="shared" si="73"/>
        <v>0</v>
      </c>
      <c r="DH211" s="539">
        <f t="shared" si="73"/>
        <v>0</v>
      </c>
      <c r="DI211" s="539">
        <f t="shared" si="73"/>
        <v>0</v>
      </c>
      <c r="DJ211" s="539">
        <f t="shared" si="73"/>
        <v>0</v>
      </c>
      <c r="DK211" s="539">
        <f t="shared" si="73"/>
        <v>0</v>
      </c>
      <c r="DL211" s="539">
        <f t="shared" si="73"/>
        <v>0</v>
      </c>
      <c r="DM211" s="539">
        <f t="shared" si="73"/>
        <v>0</v>
      </c>
      <c r="DN211" s="539">
        <f t="shared" si="73"/>
        <v>0</v>
      </c>
      <c r="DO211" s="539">
        <f t="shared" si="73"/>
        <v>0</v>
      </c>
      <c r="DP211" s="539">
        <f t="shared" si="73"/>
        <v>0</v>
      </c>
      <c r="DQ211" s="539">
        <f t="shared" si="73"/>
        <v>0</v>
      </c>
      <c r="DR211" s="539">
        <f t="shared" si="73"/>
        <v>0</v>
      </c>
      <c r="DS211" s="539">
        <f t="shared" si="73"/>
        <v>0</v>
      </c>
      <c r="DT211" s="539">
        <f t="shared" si="73"/>
        <v>0</v>
      </c>
      <c r="DU211" s="539">
        <f t="shared" si="73"/>
        <v>0</v>
      </c>
      <c r="DV211" s="539">
        <f t="shared" si="73"/>
        <v>0</v>
      </c>
      <c r="DW211" s="539">
        <f t="shared" si="73"/>
        <v>0</v>
      </c>
      <c r="DX211" s="539">
        <f t="shared" si="73"/>
        <v>0</v>
      </c>
      <c r="DY211" s="539">
        <f t="shared" si="73"/>
        <v>0</v>
      </c>
      <c r="DZ211" s="539">
        <f t="shared" si="73"/>
        <v>0</v>
      </c>
      <c r="EA211" s="539">
        <f t="shared" si="73"/>
        <v>0</v>
      </c>
      <c r="EB211" s="539">
        <f t="shared" si="73"/>
        <v>0</v>
      </c>
      <c r="EC211" s="539">
        <f t="shared" si="73"/>
        <v>0</v>
      </c>
      <c r="ED211" s="539">
        <f t="shared" si="73"/>
        <v>0</v>
      </c>
      <c r="EE211" s="539">
        <f t="shared" si="73"/>
        <v>0</v>
      </c>
      <c r="EF211" s="539">
        <f t="shared" si="73"/>
        <v>0</v>
      </c>
      <c r="EG211" s="539">
        <f t="shared" si="73"/>
        <v>0</v>
      </c>
    </row>
    <row r="213" spans="5:137" ht="12.75">
      <c r="E213" s="538" t="str">
        <f>E$163</f>
        <v>Junior facility - scheduled principal</v>
      </c>
      <c r="G213" s="539" t="str">
        <f>G$163</f>
        <v>EUR 000s</v>
      </c>
      <c r="H213" s="539">
        <f>H$163</f>
        <v>25289.902618405937</v>
      </c>
      <c r="J213" s="539">
        <f t="shared" si="74" ref="J213:EG213">J$163</f>
        <v>0</v>
      </c>
      <c r="K213" s="539">
        <f t="shared" si="74"/>
        <v>0</v>
      </c>
      <c r="L213" s="539">
        <f t="shared" si="74"/>
        <v>0</v>
      </c>
      <c r="M213" s="539">
        <f t="shared" si="74"/>
        <v>0</v>
      </c>
      <c r="N213" s="539">
        <f t="shared" si="74"/>
        <v>0</v>
      </c>
      <c r="O213" s="539">
        <f t="shared" si="74"/>
        <v>0</v>
      </c>
      <c r="P213" s="539">
        <f t="shared" si="74"/>
        <v>0</v>
      </c>
      <c r="Q213" s="539">
        <f t="shared" si="74"/>
        <v>0</v>
      </c>
      <c r="R213" s="539">
        <f t="shared" si="74"/>
        <v>0</v>
      </c>
      <c r="S213" s="539">
        <f t="shared" si="74"/>
        <v>0</v>
      </c>
      <c r="T213" s="539">
        <f t="shared" si="74"/>
        <v>0</v>
      </c>
      <c r="U213" s="539">
        <f t="shared" si="74"/>
        <v>0</v>
      </c>
      <c r="V213" s="539">
        <f t="shared" si="74"/>
        <v>0</v>
      </c>
      <c r="W213" s="539">
        <f t="shared" si="74"/>
        <v>0</v>
      </c>
      <c r="X213" s="539">
        <f t="shared" si="74"/>
        <v>0</v>
      </c>
      <c r="Y213" s="539">
        <f t="shared" si="74"/>
        <v>0</v>
      </c>
      <c r="Z213" s="539">
        <f t="shared" si="74"/>
        <v>0</v>
      </c>
      <c r="AA213" s="539">
        <f t="shared" si="74"/>
        <v>0</v>
      </c>
      <c r="AB213" s="539">
        <f t="shared" si="74"/>
        <v>0</v>
      </c>
      <c r="AC213" s="539">
        <f t="shared" si="74"/>
        <v>0</v>
      </c>
      <c r="AD213" s="539">
        <f t="shared" si="74"/>
        <v>0</v>
      </c>
      <c r="AE213" s="539">
        <f t="shared" si="74"/>
        <v>0</v>
      </c>
      <c r="AF213" s="539">
        <f t="shared" si="74"/>
        <v>0</v>
      </c>
      <c r="AG213" s="539">
        <f t="shared" si="74"/>
        <v>0</v>
      </c>
      <c r="AH213" s="539">
        <f t="shared" si="74"/>
        <v>526.87297121679001</v>
      </c>
      <c r="AI213" s="539">
        <f t="shared" si="74"/>
        <v>526.87297121679001</v>
      </c>
      <c r="AJ213" s="539">
        <f t="shared" si="74"/>
        <v>526.87297121679001</v>
      </c>
      <c r="AK213" s="539">
        <f t="shared" si="74"/>
        <v>526.87297121679001</v>
      </c>
      <c r="AL213" s="539">
        <f t="shared" si="74"/>
        <v>526.87297121679001</v>
      </c>
      <c r="AM213" s="539">
        <f t="shared" si="74"/>
        <v>526.87297121679001</v>
      </c>
      <c r="AN213" s="539">
        <f t="shared" si="74"/>
        <v>526.87297121679001</v>
      </c>
      <c r="AO213" s="539">
        <f t="shared" si="74"/>
        <v>526.87297121679001</v>
      </c>
      <c r="AP213" s="539">
        <f t="shared" si="74"/>
        <v>526.87297121679001</v>
      </c>
      <c r="AQ213" s="539">
        <f t="shared" si="74"/>
        <v>526.87297121679001</v>
      </c>
      <c r="AR213" s="539">
        <f t="shared" si="74"/>
        <v>526.87297121679001</v>
      </c>
      <c r="AS213" s="539">
        <f t="shared" si="74"/>
        <v>526.87297121679001</v>
      </c>
      <c r="AT213" s="539">
        <f t="shared" si="74"/>
        <v>526.87297121679001</v>
      </c>
      <c r="AU213" s="539">
        <f t="shared" si="74"/>
        <v>526.87297121679001</v>
      </c>
      <c r="AV213" s="539">
        <f t="shared" si="74"/>
        <v>526.87297121679001</v>
      </c>
      <c r="AW213" s="539">
        <f t="shared" si="74"/>
        <v>526.87297121679001</v>
      </c>
      <c r="AX213" s="539">
        <f t="shared" si="74"/>
        <v>526.87297121679001</v>
      </c>
      <c r="AY213" s="539">
        <f t="shared" si="74"/>
        <v>526.87297121679001</v>
      </c>
      <c r="AZ213" s="539">
        <f t="shared" si="74"/>
        <v>526.87297121679001</v>
      </c>
      <c r="BA213" s="539">
        <f t="shared" si="74"/>
        <v>526.87297121679001</v>
      </c>
      <c r="BB213" s="539">
        <f t="shared" si="74"/>
        <v>526.87297121679001</v>
      </c>
      <c r="BC213" s="539">
        <f t="shared" si="74"/>
        <v>526.87297121679001</v>
      </c>
      <c r="BD213" s="539">
        <f t="shared" si="74"/>
        <v>526.87297121679001</v>
      </c>
      <c r="BE213" s="539">
        <f t="shared" si="74"/>
        <v>526.87297121679001</v>
      </c>
      <c r="BF213" s="539">
        <f t="shared" si="74"/>
        <v>526.87297121679001</v>
      </c>
      <c r="BG213" s="539">
        <f t="shared" si="74"/>
        <v>526.87297121679001</v>
      </c>
      <c r="BH213" s="539">
        <f t="shared" si="74"/>
        <v>526.87297121679001</v>
      </c>
      <c r="BI213" s="539">
        <f t="shared" si="74"/>
        <v>526.87297121679001</v>
      </c>
      <c r="BJ213" s="539">
        <f t="shared" si="74"/>
        <v>526.87297121679001</v>
      </c>
      <c r="BK213" s="539">
        <f t="shared" si="74"/>
        <v>526.87297121679001</v>
      </c>
      <c r="BL213" s="539">
        <f t="shared" si="74"/>
        <v>526.87297121679001</v>
      </c>
      <c r="BM213" s="539">
        <f t="shared" si="74"/>
        <v>526.87297121679001</v>
      </c>
      <c r="BN213" s="539">
        <f t="shared" si="74"/>
        <v>526.87297121679001</v>
      </c>
      <c r="BO213" s="539">
        <f t="shared" si="74"/>
        <v>526.87297121679001</v>
      </c>
      <c r="BP213" s="539">
        <f t="shared" si="74"/>
        <v>526.87297121679001</v>
      </c>
      <c r="BQ213" s="539">
        <f t="shared" si="74"/>
        <v>526.87297121679001</v>
      </c>
      <c r="BR213" s="539">
        <f t="shared" si="74"/>
        <v>526.87297121679001</v>
      </c>
      <c r="BS213" s="539">
        <f t="shared" si="74"/>
        <v>526.87297121679001</v>
      </c>
      <c r="BT213" s="539">
        <f t="shared" si="74"/>
        <v>526.87297121679001</v>
      </c>
      <c r="BU213" s="539">
        <f t="shared" si="74"/>
        <v>526.87297121679001</v>
      </c>
      <c r="BV213" s="539">
        <f t="shared" si="74"/>
        <v>526.87297121679001</v>
      </c>
      <c r="BW213" s="539">
        <f t="shared" si="74"/>
        <v>526.87297121679001</v>
      </c>
      <c r="BX213" s="539">
        <f t="shared" si="74"/>
        <v>526.87297121679001</v>
      </c>
      <c r="BY213" s="539">
        <f t="shared" si="74"/>
        <v>526.87297121679001</v>
      </c>
      <c r="BZ213" s="539">
        <f t="shared" si="74"/>
        <v>526.87297121679001</v>
      </c>
      <c r="CA213" s="539">
        <f t="shared" si="74"/>
        <v>526.87297121679001</v>
      </c>
      <c r="CB213" s="539">
        <f t="shared" si="74"/>
        <v>526.87297121679001</v>
      </c>
      <c r="CC213" s="539">
        <f t="shared" si="74"/>
        <v>526.87297121679001</v>
      </c>
      <c r="CD213" s="539">
        <f t="shared" si="74"/>
        <v>0</v>
      </c>
      <c r="CE213" s="539">
        <f t="shared" si="74"/>
        <v>0</v>
      </c>
      <c r="CF213" s="539">
        <f t="shared" si="74"/>
        <v>0</v>
      </c>
      <c r="CG213" s="539">
        <f t="shared" si="74"/>
        <v>0</v>
      </c>
      <c r="CH213" s="539">
        <f t="shared" si="74"/>
        <v>0</v>
      </c>
      <c r="CI213" s="539">
        <f t="shared" si="74"/>
        <v>0</v>
      </c>
      <c r="CJ213" s="539">
        <f t="shared" si="74"/>
        <v>0</v>
      </c>
      <c r="CK213" s="539">
        <f t="shared" si="74"/>
        <v>0</v>
      </c>
      <c r="CL213" s="539">
        <f t="shared" si="74"/>
        <v>0</v>
      </c>
      <c r="CM213" s="539">
        <f t="shared" si="74"/>
        <v>0</v>
      </c>
      <c r="CN213" s="539">
        <f t="shared" si="74"/>
        <v>0</v>
      </c>
      <c r="CO213" s="539">
        <f t="shared" si="74"/>
        <v>0</v>
      </c>
      <c r="CP213" s="539">
        <f t="shared" si="74"/>
        <v>0</v>
      </c>
      <c r="CQ213" s="539">
        <f t="shared" si="74"/>
        <v>0</v>
      </c>
      <c r="CR213" s="539">
        <f t="shared" si="74"/>
        <v>0</v>
      </c>
      <c r="CS213" s="539">
        <f t="shared" si="74"/>
        <v>0</v>
      </c>
      <c r="CT213" s="539">
        <f t="shared" si="74"/>
        <v>0</v>
      </c>
      <c r="CU213" s="539">
        <f t="shared" si="74"/>
        <v>0</v>
      </c>
      <c r="CV213" s="539">
        <f t="shared" si="74"/>
        <v>0</v>
      </c>
      <c r="CW213" s="539">
        <f t="shared" si="74"/>
        <v>0</v>
      </c>
      <c r="CX213" s="539">
        <f t="shared" si="74"/>
        <v>0</v>
      </c>
      <c r="CY213" s="539">
        <f t="shared" si="74"/>
        <v>0</v>
      </c>
      <c r="CZ213" s="539">
        <f t="shared" si="74"/>
        <v>0</v>
      </c>
      <c r="DA213" s="539">
        <f t="shared" si="74"/>
        <v>0</v>
      </c>
      <c r="DB213" s="539">
        <f t="shared" si="74"/>
        <v>0</v>
      </c>
      <c r="DC213" s="539">
        <f t="shared" si="74"/>
        <v>0</v>
      </c>
      <c r="DD213" s="539">
        <f t="shared" si="74"/>
        <v>0</v>
      </c>
      <c r="DE213" s="539">
        <f t="shared" si="74"/>
        <v>0</v>
      </c>
      <c r="DF213" s="539">
        <f t="shared" si="74"/>
        <v>0</v>
      </c>
      <c r="DG213" s="539">
        <f t="shared" si="74"/>
        <v>0</v>
      </c>
      <c r="DH213" s="539">
        <f t="shared" si="74"/>
        <v>0</v>
      </c>
      <c r="DI213" s="539">
        <f t="shared" si="74"/>
        <v>0</v>
      </c>
      <c r="DJ213" s="539">
        <f t="shared" si="74"/>
        <v>0</v>
      </c>
      <c r="DK213" s="539">
        <f t="shared" si="74"/>
        <v>0</v>
      </c>
      <c r="DL213" s="539">
        <f t="shared" si="74"/>
        <v>0</v>
      </c>
      <c r="DM213" s="539">
        <f t="shared" si="74"/>
        <v>0</v>
      </c>
      <c r="DN213" s="539">
        <f t="shared" si="74"/>
        <v>0</v>
      </c>
      <c r="DO213" s="539">
        <f t="shared" si="74"/>
        <v>0</v>
      </c>
      <c r="DP213" s="539">
        <f t="shared" si="74"/>
        <v>0</v>
      </c>
      <c r="DQ213" s="539">
        <f t="shared" si="74"/>
        <v>0</v>
      </c>
      <c r="DR213" s="539">
        <f t="shared" si="74"/>
        <v>0</v>
      </c>
      <c r="DS213" s="539">
        <f t="shared" si="74"/>
        <v>0</v>
      </c>
      <c r="DT213" s="539">
        <f t="shared" si="74"/>
        <v>0</v>
      </c>
      <c r="DU213" s="539">
        <f t="shared" si="74"/>
        <v>0</v>
      </c>
      <c r="DV213" s="539">
        <f t="shared" si="74"/>
        <v>0</v>
      </c>
      <c r="DW213" s="539">
        <f t="shared" si="74"/>
        <v>0</v>
      </c>
      <c r="DX213" s="539">
        <f t="shared" si="74"/>
        <v>0</v>
      </c>
      <c r="DY213" s="539">
        <f t="shared" si="74"/>
        <v>0</v>
      </c>
      <c r="DZ213" s="539">
        <f t="shared" si="74"/>
        <v>0</v>
      </c>
      <c r="EA213" s="539">
        <f t="shared" si="74"/>
        <v>0</v>
      </c>
      <c r="EB213" s="539">
        <f t="shared" si="74"/>
        <v>0</v>
      </c>
      <c r="EC213" s="539">
        <f t="shared" si="74"/>
        <v>0</v>
      </c>
      <c r="ED213" s="539">
        <f t="shared" si="74"/>
        <v>0</v>
      </c>
      <c r="EE213" s="539">
        <f t="shared" si="74"/>
        <v>0</v>
      </c>
      <c r="EF213" s="539">
        <f t="shared" si="74"/>
        <v>0</v>
      </c>
      <c r="EG213" s="539">
        <f t="shared" si="74"/>
        <v>0</v>
      </c>
    </row>
    <row r="214" spans="5:137" ht="12.75">
      <c r="E214" s="538" t="str">
        <f>E$174</f>
        <v>Junior facility - opening principal arrears</v>
      </c>
      <c r="G214" s="539" t="str">
        <f>G$174</f>
        <v>EUR 000s</v>
      </c>
      <c r="H214" s="539">
        <f>H$174</f>
        <v>0</v>
      </c>
      <c r="J214" s="539">
        <f t="shared" si="75" ref="J214:EG214">J$174</f>
        <v>0</v>
      </c>
      <c r="K214" s="539">
        <f t="shared" si="75"/>
        <v>0</v>
      </c>
      <c r="L214" s="539">
        <f t="shared" si="75"/>
        <v>0</v>
      </c>
      <c r="M214" s="539">
        <f t="shared" si="75"/>
        <v>0</v>
      </c>
      <c r="N214" s="539">
        <f t="shared" si="75"/>
        <v>0</v>
      </c>
      <c r="O214" s="539">
        <f t="shared" si="75"/>
        <v>0</v>
      </c>
      <c r="P214" s="539">
        <f t="shared" si="75"/>
        <v>0</v>
      </c>
      <c r="Q214" s="539">
        <f t="shared" si="75"/>
        <v>0</v>
      </c>
      <c r="R214" s="539">
        <f t="shared" si="75"/>
        <v>0</v>
      </c>
      <c r="S214" s="539">
        <f t="shared" si="75"/>
        <v>0</v>
      </c>
      <c r="T214" s="539">
        <f t="shared" si="75"/>
        <v>0</v>
      </c>
      <c r="U214" s="539">
        <f t="shared" si="75"/>
        <v>0</v>
      </c>
      <c r="V214" s="539">
        <f t="shared" si="75"/>
        <v>0</v>
      </c>
      <c r="W214" s="539">
        <f t="shared" si="75"/>
        <v>0</v>
      </c>
      <c r="X214" s="539">
        <f t="shared" si="75"/>
        <v>0</v>
      </c>
      <c r="Y214" s="539">
        <f t="shared" si="75"/>
        <v>0</v>
      </c>
      <c r="Z214" s="539">
        <f t="shared" si="75"/>
        <v>0</v>
      </c>
      <c r="AA214" s="539">
        <f t="shared" si="75"/>
        <v>0</v>
      </c>
      <c r="AB214" s="539">
        <f t="shared" si="75"/>
        <v>0</v>
      </c>
      <c r="AC214" s="539">
        <f t="shared" si="75"/>
        <v>0</v>
      </c>
      <c r="AD214" s="539">
        <f t="shared" si="75"/>
        <v>0</v>
      </c>
      <c r="AE214" s="539">
        <f t="shared" si="75"/>
        <v>0</v>
      </c>
      <c r="AF214" s="539">
        <f t="shared" si="75"/>
        <v>0</v>
      </c>
      <c r="AG214" s="539">
        <f t="shared" si="75"/>
        <v>0</v>
      </c>
      <c r="AH214" s="539">
        <f t="shared" si="75"/>
        <v>0</v>
      </c>
      <c r="AI214" s="539">
        <f t="shared" si="75"/>
        <v>0</v>
      </c>
      <c r="AJ214" s="539">
        <f t="shared" si="75"/>
        <v>0</v>
      </c>
      <c r="AK214" s="539">
        <f t="shared" si="75"/>
        <v>0</v>
      </c>
      <c r="AL214" s="539">
        <f t="shared" si="75"/>
        <v>0</v>
      </c>
      <c r="AM214" s="539">
        <f t="shared" si="75"/>
        <v>0</v>
      </c>
      <c r="AN214" s="539">
        <f t="shared" si="75"/>
        <v>0</v>
      </c>
      <c r="AO214" s="539">
        <f t="shared" si="75"/>
        <v>0</v>
      </c>
      <c r="AP214" s="539">
        <f t="shared" si="75"/>
        <v>0</v>
      </c>
      <c r="AQ214" s="539">
        <f t="shared" si="75"/>
        <v>0</v>
      </c>
      <c r="AR214" s="539">
        <f t="shared" si="75"/>
        <v>0</v>
      </c>
      <c r="AS214" s="539">
        <f t="shared" si="75"/>
        <v>0</v>
      </c>
      <c r="AT214" s="539">
        <f t="shared" si="75"/>
        <v>0</v>
      </c>
      <c r="AU214" s="539">
        <f t="shared" si="75"/>
        <v>0</v>
      </c>
      <c r="AV214" s="539">
        <f t="shared" si="75"/>
        <v>0</v>
      </c>
      <c r="AW214" s="539">
        <f t="shared" si="75"/>
        <v>0</v>
      </c>
      <c r="AX214" s="539">
        <f t="shared" si="75"/>
        <v>0</v>
      </c>
      <c r="AY214" s="539">
        <f t="shared" si="75"/>
        <v>0</v>
      </c>
      <c r="AZ214" s="539">
        <f t="shared" si="75"/>
        <v>0</v>
      </c>
      <c r="BA214" s="539">
        <f t="shared" si="75"/>
        <v>0</v>
      </c>
      <c r="BB214" s="539">
        <f t="shared" si="75"/>
        <v>0</v>
      </c>
      <c r="BC214" s="539">
        <f t="shared" si="75"/>
        <v>0</v>
      </c>
      <c r="BD214" s="539">
        <f t="shared" si="75"/>
        <v>0</v>
      </c>
      <c r="BE214" s="539">
        <f t="shared" si="75"/>
        <v>0</v>
      </c>
      <c r="BF214" s="539">
        <f t="shared" si="75"/>
        <v>0</v>
      </c>
      <c r="BG214" s="539">
        <f t="shared" si="75"/>
        <v>0</v>
      </c>
      <c r="BH214" s="539">
        <f t="shared" si="75"/>
        <v>0</v>
      </c>
      <c r="BI214" s="539">
        <f t="shared" si="75"/>
        <v>0</v>
      </c>
      <c r="BJ214" s="539">
        <f t="shared" si="75"/>
        <v>0</v>
      </c>
      <c r="BK214" s="539">
        <f t="shared" si="75"/>
        <v>0</v>
      </c>
      <c r="BL214" s="539">
        <f t="shared" si="75"/>
        <v>0</v>
      </c>
      <c r="BM214" s="539">
        <f t="shared" si="75"/>
        <v>0</v>
      </c>
      <c r="BN214" s="539">
        <f t="shared" si="75"/>
        <v>0</v>
      </c>
      <c r="BO214" s="539">
        <f t="shared" si="75"/>
        <v>0</v>
      </c>
      <c r="BP214" s="539">
        <f t="shared" si="75"/>
        <v>0</v>
      </c>
      <c r="BQ214" s="539">
        <f t="shared" si="75"/>
        <v>0</v>
      </c>
      <c r="BR214" s="539">
        <f t="shared" si="75"/>
        <v>0</v>
      </c>
      <c r="BS214" s="539">
        <f t="shared" si="75"/>
        <v>0</v>
      </c>
      <c r="BT214" s="539">
        <f t="shared" si="75"/>
        <v>0</v>
      </c>
      <c r="BU214" s="539">
        <f t="shared" si="75"/>
        <v>0</v>
      </c>
      <c r="BV214" s="539">
        <f t="shared" si="75"/>
        <v>0</v>
      </c>
      <c r="BW214" s="539">
        <f t="shared" si="75"/>
        <v>0</v>
      </c>
      <c r="BX214" s="539">
        <f t="shared" si="75"/>
        <v>0</v>
      </c>
      <c r="BY214" s="539">
        <f t="shared" si="75"/>
        <v>0</v>
      </c>
      <c r="BZ214" s="539">
        <f t="shared" si="75"/>
        <v>0</v>
      </c>
      <c r="CA214" s="539">
        <f t="shared" si="75"/>
        <v>0</v>
      </c>
      <c r="CB214" s="539">
        <f t="shared" si="75"/>
        <v>0</v>
      </c>
      <c r="CC214" s="539">
        <f t="shared" si="75"/>
        <v>0</v>
      </c>
      <c r="CD214" s="539">
        <f t="shared" si="75"/>
        <v>0</v>
      </c>
      <c r="CE214" s="539">
        <f t="shared" si="75"/>
        <v>0</v>
      </c>
      <c r="CF214" s="539">
        <f t="shared" si="75"/>
        <v>0</v>
      </c>
      <c r="CG214" s="539">
        <f t="shared" si="75"/>
        <v>0</v>
      </c>
      <c r="CH214" s="539">
        <f t="shared" si="75"/>
        <v>0</v>
      </c>
      <c r="CI214" s="539">
        <f t="shared" si="75"/>
        <v>0</v>
      </c>
      <c r="CJ214" s="539">
        <f t="shared" si="75"/>
        <v>0</v>
      </c>
      <c r="CK214" s="539">
        <f t="shared" si="75"/>
        <v>0</v>
      </c>
      <c r="CL214" s="539">
        <f t="shared" si="75"/>
        <v>0</v>
      </c>
      <c r="CM214" s="539">
        <f t="shared" si="75"/>
        <v>0</v>
      </c>
      <c r="CN214" s="539">
        <f t="shared" si="75"/>
        <v>0</v>
      </c>
      <c r="CO214" s="539">
        <f t="shared" si="75"/>
        <v>0</v>
      </c>
      <c r="CP214" s="539">
        <f t="shared" si="75"/>
        <v>0</v>
      </c>
      <c r="CQ214" s="539">
        <f t="shared" si="75"/>
        <v>0</v>
      </c>
      <c r="CR214" s="539">
        <f t="shared" si="75"/>
        <v>0</v>
      </c>
      <c r="CS214" s="539">
        <f t="shared" si="75"/>
        <v>0</v>
      </c>
      <c r="CT214" s="539">
        <f t="shared" si="75"/>
        <v>0</v>
      </c>
      <c r="CU214" s="539">
        <f t="shared" si="75"/>
        <v>0</v>
      </c>
      <c r="CV214" s="539">
        <f t="shared" si="75"/>
        <v>0</v>
      </c>
      <c r="CW214" s="539">
        <f t="shared" si="75"/>
        <v>0</v>
      </c>
      <c r="CX214" s="539">
        <f t="shared" si="75"/>
        <v>0</v>
      </c>
      <c r="CY214" s="539">
        <f t="shared" si="75"/>
        <v>0</v>
      </c>
      <c r="CZ214" s="539">
        <f t="shared" si="75"/>
        <v>0</v>
      </c>
      <c r="DA214" s="539">
        <f t="shared" si="75"/>
        <v>0</v>
      </c>
      <c r="DB214" s="539">
        <f t="shared" si="75"/>
        <v>0</v>
      </c>
      <c r="DC214" s="539">
        <f t="shared" si="75"/>
        <v>0</v>
      </c>
      <c r="DD214" s="539">
        <f t="shared" si="75"/>
        <v>0</v>
      </c>
      <c r="DE214" s="539">
        <f t="shared" si="75"/>
        <v>0</v>
      </c>
      <c r="DF214" s="539">
        <f t="shared" si="75"/>
        <v>0</v>
      </c>
      <c r="DG214" s="539">
        <f t="shared" si="75"/>
        <v>0</v>
      </c>
      <c r="DH214" s="539">
        <f t="shared" si="75"/>
        <v>0</v>
      </c>
      <c r="DI214" s="539">
        <f t="shared" si="75"/>
        <v>0</v>
      </c>
      <c r="DJ214" s="539">
        <f t="shared" si="75"/>
        <v>0</v>
      </c>
      <c r="DK214" s="539">
        <f t="shared" si="75"/>
        <v>0</v>
      </c>
      <c r="DL214" s="539">
        <f t="shared" si="75"/>
        <v>0</v>
      </c>
      <c r="DM214" s="539">
        <f t="shared" si="75"/>
        <v>0</v>
      </c>
      <c r="DN214" s="539">
        <f t="shared" si="75"/>
        <v>0</v>
      </c>
      <c r="DO214" s="539">
        <f t="shared" si="75"/>
        <v>0</v>
      </c>
      <c r="DP214" s="539">
        <f t="shared" si="75"/>
        <v>0</v>
      </c>
      <c r="DQ214" s="539">
        <f t="shared" si="75"/>
        <v>0</v>
      </c>
      <c r="DR214" s="539">
        <f t="shared" si="75"/>
        <v>0</v>
      </c>
      <c r="DS214" s="539">
        <f t="shared" si="75"/>
        <v>0</v>
      </c>
      <c r="DT214" s="539">
        <f t="shared" si="75"/>
        <v>0</v>
      </c>
      <c r="DU214" s="539">
        <f t="shared" si="75"/>
        <v>0</v>
      </c>
      <c r="DV214" s="539">
        <f t="shared" si="75"/>
        <v>0</v>
      </c>
      <c r="DW214" s="539">
        <f t="shared" si="75"/>
        <v>0</v>
      </c>
      <c r="DX214" s="539">
        <f t="shared" si="75"/>
        <v>0</v>
      </c>
      <c r="DY214" s="539">
        <f t="shared" si="75"/>
        <v>0</v>
      </c>
      <c r="DZ214" s="539">
        <f t="shared" si="75"/>
        <v>0</v>
      </c>
      <c r="EA214" s="539">
        <f t="shared" si="75"/>
        <v>0</v>
      </c>
      <c r="EB214" s="539">
        <f t="shared" si="75"/>
        <v>0</v>
      </c>
      <c r="EC214" s="539">
        <f t="shared" si="75"/>
        <v>0</v>
      </c>
      <c r="ED214" s="539">
        <f t="shared" si="75"/>
        <v>0</v>
      </c>
      <c r="EE214" s="539">
        <f t="shared" si="75"/>
        <v>0</v>
      </c>
      <c r="EF214" s="539">
        <f t="shared" si="75"/>
        <v>0</v>
      </c>
      <c r="EG214" s="539">
        <f t="shared" si="75"/>
        <v>0</v>
      </c>
    </row>
    <row r="215" spans="5:137" ht="12.75">
      <c r="E215" s="538" t="str">
        <f>E$211</f>
        <v>Junior facility - principal paid</v>
      </c>
      <c r="G215" s="539" t="str">
        <f>G$211</f>
        <v>EUR 000s</v>
      </c>
      <c r="H215" s="539">
        <f>H$211</f>
        <v>25289.902618405937</v>
      </c>
      <c r="J215" s="539">
        <f t="shared" si="76" ref="J215:EG215">J$211</f>
        <v>0</v>
      </c>
      <c r="K215" s="539">
        <f t="shared" si="76"/>
        <v>0</v>
      </c>
      <c r="L215" s="539">
        <f t="shared" si="76"/>
        <v>0</v>
      </c>
      <c r="M215" s="539">
        <f t="shared" si="76"/>
        <v>0</v>
      </c>
      <c r="N215" s="539">
        <f t="shared" si="76"/>
        <v>0</v>
      </c>
      <c r="O215" s="539">
        <f t="shared" si="76"/>
        <v>0</v>
      </c>
      <c r="P215" s="539">
        <f t="shared" si="76"/>
        <v>0</v>
      </c>
      <c r="Q215" s="539">
        <f t="shared" si="76"/>
        <v>0</v>
      </c>
      <c r="R215" s="539">
        <f t="shared" si="76"/>
        <v>0</v>
      </c>
      <c r="S215" s="539">
        <f t="shared" si="76"/>
        <v>0</v>
      </c>
      <c r="T215" s="539">
        <f t="shared" si="76"/>
        <v>0</v>
      </c>
      <c r="U215" s="539">
        <f t="shared" si="76"/>
        <v>0</v>
      </c>
      <c r="V215" s="539">
        <f t="shared" si="76"/>
        <v>0</v>
      </c>
      <c r="W215" s="539">
        <f t="shared" si="76"/>
        <v>0</v>
      </c>
      <c r="X215" s="539">
        <f t="shared" si="76"/>
        <v>0</v>
      </c>
      <c r="Y215" s="539">
        <f t="shared" si="76"/>
        <v>0</v>
      </c>
      <c r="Z215" s="539">
        <f t="shared" si="76"/>
        <v>0</v>
      </c>
      <c r="AA215" s="539">
        <f t="shared" si="76"/>
        <v>0</v>
      </c>
      <c r="AB215" s="539">
        <f t="shared" si="76"/>
        <v>0</v>
      </c>
      <c r="AC215" s="539">
        <f t="shared" si="76"/>
        <v>0</v>
      </c>
      <c r="AD215" s="539">
        <f t="shared" si="76"/>
        <v>0</v>
      </c>
      <c r="AE215" s="539">
        <f t="shared" si="76"/>
        <v>0</v>
      </c>
      <c r="AF215" s="539">
        <f t="shared" si="76"/>
        <v>0</v>
      </c>
      <c r="AG215" s="539">
        <f t="shared" si="76"/>
        <v>0</v>
      </c>
      <c r="AH215" s="539">
        <f t="shared" si="76"/>
        <v>526.87297121679001</v>
      </c>
      <c r="AI215" s="539">
        <f t="shared" si="76"/>
        <v>526.87297121679001</v>
      </c>
      <c r="AJ215" s="539">
        <f t="shared" si="76"/>
        <v>526.87297121679001</v>
      </c>
      <c r="AK215" s="539">
        <f t="shared" si="76"/>
        <v>526.87297121679001</v>
      </c>
      <c r="AL215" s="539">
        <f t="shared" si="76"/>
        <v>526.87297121679001</v>
      </c>
      <c r="AM215" s="539">
        <f t="shared" si="76"/>
        <v>526.87297121679001</v>
      </c>
      <c r="AN215" s="539">
        <f t="shared" si="76"/>
        <v>526.87297121679001</v>
      </c>
      <c r="AO215" s="539">
        <f t="shared" si="76"/>
        <v>526.87297121679001</v>
      </c>
      <c r="AP215" s="539">
        <f t="shared" si="76"/>
        <v>526.87297121679001</v>
      </c>
      <c r="AQ215" s="539">
        <f t="shared" si="76"/>
        <v>526.87297121679001</v>
      </c>
      <c r="AR215" s="539">
        <f t="shared" si="76"/>
        <v>526.87297121679001</v>
      </c>
      <c r="AS215" s="539">
        <f t="shared" si="76"/>
        <v>526.87297121679001</v>
      </c>
      <c r="AT215" s="539">
        <f t="shared" si="76"/>
        <v>526.87297121679001</v>
      </c>
      <c r="AU215" s="539">
        <f t="shared" si="76"/>
        <v>526.87297121679001</v>
      </c>
      <c r="AV215" s="539">
        <f t="shared" si="76"/>
        <v>526.87297121679001</v>
      </c>
      <c r="AW215" s="539">
        <f t="shared" si="76"/>
        <v>526.87297121679001</v>
      </c>
      <c r="AX215" s="539">
        <f t="shared" si="76"/>
        <v>526.87297121679001</v>
      </c>
      <c r="AY215" s="539">
        <f t="shared" si="76"/>
        <v>526.87297121679001</v>
      </c>
      <c r="AZ215" s="539">
        <f t="shared" si="76"/>
        <v>526.87297121679001</v>
      </c>
      <c r="BA215" s="539">
        <f t="shared" si="76"/>
        <v>526.87297121679001</v>
      </c>
      <c r="BB215" s="539">
        <f t="shared" si="76"/>
        <v>526.87297121679001</v>
      </c>
      <c r="BC215" s="539">
        <f t="shared" si="76"/>
        <v>526.87297121679001</v>
      </c>
      <c r="BD215" s="539">
        <f t="shared" si="76"/>
        <v>526.87297121679001</v>
      </c>
      <c r="BE215" s="539">
        <f t="shared" si="76"/>
        <v>526.87297121679001</v>
      </c>
      <c r="BF215" s="539">
        <f t="shared" si="76"/>
        <v>526.87297121679001</v>
      </c>
      <c r="BG215" s="539">
        <f t="shared" si="76"/>
        <v>526.87297121679001</v>
      </c>
      <c r="BH215" s="539">
        <f t="shared" si="76"/>
        <v>526.87297121679001</v>
      </c>
      <c r="BI215" s="539">
        <f t="shared" si="76"/>
        <v>526.87297121679001</v>
      </c>
      <c r="BJ215" s="539">
        <f t="shared" si="76"/>
        <v>526.87297121679001</v>
      </c>
      <c r="BK215" s="539">
        <f t="shared" si="76"/>
        <v>526.87297121679001</v>
      </c>
      <c r="BL215" s="539">
        <f t="shared" si="76"/>
        <v>526.87297121679001</v>
      </c>
      <c r="BM215" s="539">
        <f t="shared" si="76"/>
        <v>526.87297121679001</v>
      </c>
      <c r="BN215" s="539">
        <f t="shared" si="76"/>
        <v>526.87297121679001</v>
      </c>
      <c r="BO215" s="539">
        <f t="shared" si="76"/>
        <v>526.87297121679001</v>
      </c>
      <c r="BP215" s="539">
        <f t="shared" si="76"/>
        <v>526.87297121679001</v>
      </c>
      <c r="BQ215" s="539">
        <f t="shared" si="76"/>
        <v>526.87297121679001</v>
      </c>
      <c r="BR215" s="539">
        <f t="shared" si="76"/>
        <v>526.87297121679001</v>
      </c>
      <c r="BS215" s="539">
        <f t="shared" si="76"/>
        <v>526.87297121679001</v>
      </c>
      <c r="BT215" s="539">
        <f t="shared" si="76"/>
        <v>526.87297121679001</v>
      </c>
      <c r="BU215" s="539">
        <f t="shared" si="76"/>
        <v>526.87297121679001</v>
      </c>
      <c r="BV215" s="539">
        <f t="shared" si="76"/>
        <v>526.87297121679001</v>
      </c>
      <c r="BW215" s="539">
        <f t="shared" si="76"/>
        <v>526.87297121679001</v>
      </c>
      <c r="BX215" s="539">
        <f t="shared" si="76"/>
        <v>526.87297121679001</v>
      </c>
      <c r="BY215" s="539">
        <f t="shared" si="76"/>
        <v>526.87297121679001</v>
      </c>
      <c r="BZ215" s="539">
        <f t="shared" si="76"/>
        <v>526.87297121679001</v>
      </c>
      <c r="CA215" s="539">
        <f t="shared" si="76"/>
        <v>526.87297121679001</v>
      </c>
      <c r="CB215" s="539">
        <f t="shared" si="76"/>
        <v>526.87297121679001</v>
      </c>
      <c r="CC215" s="539">
        <f t="shared" si="76"/>
        <v>526.87297121679001</v>
      </c>
      <c r="CD215" s="539">
        <f t="shared" si="76"/>
        <v>0</v>
      </c>
      <c r="CE215" s="539">
        <f t="shared" si="76"/>
        <v>0</v>
      </c>
      <c r="CF215" s="539">
        <f t="shared" si="76"/>
        <v>0</v>
      </c>
      <c r="CG215" s="539">
        <f t="shared" si="76"/>
        <v>0</v>
      </c>
      <c r="CH215" s="539">
        <f t="shared" si="76"/>
        <v>0</v>
      </c>
      <c r="CI215" s="539">
        <f t="shared" si="76"/>
        <v>0</v>
      </c>
      <c r="CJ215" s="539">
        <f t="shared" si="76"/>
        <v>0</v>
      </c>
      <c r="CK215" s="539">
        <f t="shared" si="76"/>
        <v>0</v>
      </c>
      <c r="CL215" s="539">
        <f t="shared" si="76"/>
        <v>0</v>
      </c>
      <c r="CM215" s="539">
        <f t="shared" si="76"/>
        <v>0</v>
      </c>
      <c r="CN215" s="539">
        <f t="shared" si="76"/>
        <v>0</v>
      </c>
      <c r="CO215" s="539">
        <f t="shared" si="76"/>
        <v>0</v>
      </c>
      <c r="CP215" s="539">
        <f t="shared" si="76"/>
        <v>0</v>
      </c>
      <c r="CQ215" s="539">
        <f t="shared" si="76"/>
        <v>0</v>
      </c>
      <c r="CR215" s="539">
        <f t="shared" si="76"/>
        <v>0</v>
      </c>
      <c r="CS215" s="539">
        <f t="shared" si="76"/>
        <v>0</v>
      </c>
      <c r="CT215" s="539">
        <f t="shared" si="76"/>
        <v>0</v>
      </c>
      <c r="CU215" s="539">
        <f t="shared" si="76"/>
        <v>0</v>
      </c>
      <c r="CV215" s="539">
        <f t="shared" si="76"/>
        <v>0</v>
      </c>
      <c r="CW215" s="539">
        <f t="shared" si="76"/>
        <v>0</v>
      </c>
      <c r="CX215" s="539">
        <f t="shared" si="76"/>
        <v>0</v>
      </c>
      <c r="CY215" s="539">
        <f t="shared" si="76"/>
        <v>0</v>
      </c>
      <c r="CZ215" s="539">
        <f t="shared" si="76"/>
        <v>0</v>
      </c>
      <c r="DA215" s="539">
        <f t="shared" si="76"/>
        <v>0</v>
      </c>
      <c r="DB215" s="539">
        <f t="shared" si="76"/>
        <v>0</v>
      </c>
      <c r="DC215" s="539">
        <f t="shared" si="76"/>
        <v>0</v>
      </c>
      <c r="DD215" s="539">
        <f t="shared" si="76"/>
        <v>0</v>
      </c>
      <c r="DE215" s="539">
        <f t="shared" si="76"/>
        <v>0</v>
      </c>
      <c r="DF215" s="539">
        <f t="shared" si="76"/>
        <v>0</v>
      </c>
      <c r="DG215" s="539">
        <f t="shared" si="76"/>
        <v>0</v>
      </c>
      <c r="DH215" s="539">
        <f t="shared" si="76"/>
        <v>0</v>
      </c>
      <c r="DI215" s="539">
        <f t="shared" si="76"/>
        <v>0</v>
      </c>
      <c r="DJ215" s="539">
        <f t="shared" si="76"/>
        <v>0</v>
      </c>
      <c r="DK215" s="539">
        <f t="shared" si="76"/>
        <v>0</v>
      </c>
      <c r="DL215" s="539">
        <f t="shared" si="76"/>
        <v>0</v>
      </c>
      <c r="DM215" s="539">
        <f t="shared" si="76"/>
        <v>0</v>
      </c>
      <c r="DN215" s="539">
        <f t="shared" si="76"/>
        <v>0</v>
      </c>
      <c r="DO215" s="539">
        <f t="shared" si="76"/>
        <v>0</v>
      </c>
      <c r="DP215" s="539">
        <f t="shared" si="76"/>
        <v>0</v>
      </c>
      <c r="DQ215" s="539">
        <f t="shared" si="76"/>
        <v>0</v>
      </c>
      <c r="DR215" s="539">
        <f t="shared" si="76"/>
        <v>0</v>
      </c>
      <c r="DS215" s="539">
        <f t="shared" si="76"/>
        <v>0</v>
      </c>
      <c r="DT215" s="539">
        <f t="shared" si="76"/>
        <v>0</v>
      </c>
      <c r="DU215" s="539">
        <f t="shared" si="76"/>
        <v>0</v>
      </c>
      <c r="DV215" s="539">
        <f t="shared" si="76"/>
        <v>0</v>
      </c>
      <c r="DW215" s="539">
        <f t="shared" si="76"/>
        <v>0</v>
      </c>
      <c r="DX215" s="539">
        <f t="shared" si="76"/>
        <v>0</v>
      </c>
      <c r="DY215" s="539">
        <f t="shared" si="76"/>
        <v>0</v>
      </c>
      <c r="DZ215" s="539">
        <f t="shared" si="76"/>
        <v>0</v>
      </c>
      <c r="EA215" s="539">
        <f t="shared" si="76"/>
        <v>0</v>
      </c>
      <c r="EB215" s="539">
        <f t="shared" si="76"/>
        <v>0</v>
      </c>
      <c r="EC215" s="539">
        <f t="shared" si="76"/>
        <v>0</v>
      </c>
      <c r="ED215" s="539">
        <f t="shared" si="76"/>
        <v>0</v>
      </c>
      <c r="EE215" s="539">
        <f t="shared" si="76"/>
        <v>0</v>
      </c>
      <c r="EF215" s="539">
        <f t="shared" si="76"/>
        <v>0</v>
      </c>
      <c r="EG215" s="539">
        <f t="shared" si="76"/>
        <v>0</v>
      </c>
    </row>
    <row r="216" spans="5:137" ht="12.75">
      <c r="E216" s="538" t="s">
        <v>354</v>
      </c>
      <c r="G216" s="539" t="s">
        <v>30</v>
      </c>
      <c r="H216" s="539">
        <f>SUM(J216:EG216)</f>
        <v>0</v>
      </c>
      <c r="J216" s="539">
        <f t="shared" si="77" ref="J216:EG216">J214+J213-J215</f>
        <v>0</v>
      </c>
      <c r="K216" s="539">
        <f t="shared" si="77"/>
        <v>0</v>
      </c>
      <c r="L216" s="539">
        <f t="shared" si="77"/>
        <v>0</v>
      </c>
      <c r="M216" s="539">
        <f t="shared" si="77"/>
        <v>0</v>
      </c>
      <c r="N216" s="539">
        <f t="shared" si="77"/>
        <v>0</v>
      </c>
      <c r="O216" s="539">
        <f t="shared" si="77"/>
        <v>0</v>
      </c>
      <c r="P216" s="539">
        <f t="shared" si="77"/>
        <v>0</v>
      </c>
      <c r="Q216" s="539">
        <f t="shared" si="77"/>
        <v>0</v>
      </c>
      <c r="R216" s="539">
        <f t="shared" si="77"/>
        <v>0</v>
      </c>
      <c r="S216" s="539">
        <f t="shared" si="77"/>
        <v>0</v>
      </c>
      <c r="T216" s="539">
        <f t="shared" si="77"/>
        <v>0</v>
      </c>
      <c r="U216" s="539">
        <f t="shared" si="77"/>
        <v>0</v>
      </c>
      <c r="V216" s="539">
        <f t="shared" si="77"/>
        <v>0</v>
      </c>
      <c r="W216" s="539">
        <f t="shared" si="77"/>
        <v>0</v>
      </c>
      <c r="X216" s="539">
        <f t="shared" si="77"/>
        <v>0</v>
      </c>
      <c r="Y216" s="539">
        <f t="shared" si="77"/>
        <v>0</v>
      </c>
      <c r="Z216" s="539">
        <f t="shared" si="77"/>
        <v>0</v>
      </c>
      <c r="AA216" s="539">
        <f t="shared" si="77"/>
        <v>0</v>
      </c>
      <c r="AB216" s="539">
        <f t="shared" si="77"/>
        <v>0</v>
      </c>
      <c r="AC216" s="539">
        <f t="shared" si="77"/>
        <v>0</v>
      </c>
      <c r="AD216" s="539">
        <f t="shared" si="77"/>
        <v>0</v>
      </c>
      <c r="AE216" s="539">
        <f t="shared" si="77"/>
        <v>0</v>
      </c>
      <c r="AF216" s="539">
        <f t="shared" si="77"/>
        <v>0</v>
      </c>
      <c r="AG216" s="539">
        <f t="shared" si="77"/>
        <v>0</v>
      </c>
      <c r="AH216" s="539">
        <f t="shared" si="77"/>
        <v>0</v>
      </c>
      <c r="AI216" s="539">
        <f t="shared" si="77"/>
        <v>0</v>
      </c>
      <c r="AJ216" s="539">
        <f t="shared" si="77"/>
        <v>0</v>
      </c>
      <c r="AK216" s="539">
        <f t="shared" si="77"/>
        <v>0</v>
      </c>
      <c r="AL216" s="539">
        <f t="shared" si="77"/>
        <v>0</v>
      </c>
      <c r="AM216" s="539">
        <f t="shared" si="77"/>
        <v>0</v>
      </c>
      <c r="AN216" s="539">
        <f t="shared" si="77"/>
        <v>0</v>
      </c>
      <c r="AO216" s="539">
        <f t="shared" si="77"/>
        <v>0</v>
      </c>
      <c r="AP216" s="539">
        <f t="shared" si="77"/>
        <v>0</v>
      </c>
      <c r="AQ216" s="539">
        <f t="shared" si="77"/>
        <v>0</v>
      </c>
      <c r="AR216" s="539">
        <f t="shared" si="77"/>
        <v>0</v>
      </c>
      <c r="AS216" s="539">
        <f t="shared" si="77"/>
        <v>0</v>
      </c>
      <c r="AT216" s="539">
        <f t="shared" si="77"/>
        <v>0</v>
      </c>
      <c r="AU216" s="539">
        <f t="shared" si="77"/>
        <v>0</v>
      </c>
      <c r="AV216" s="539">
        <f t="shared" si="77"/>
        <v>0</v>
      </c>
      <c r="AW216" s="539">
        <f t="shared" si="77"/>
        <v>0</v>
      </c>
      <c r="AX216" s="539">
        <f t="shared" si="77"/>
        <v>0</v>
      </c>
      <c r="AY216" s="539">
        <f t="shared" si="77"/>
        <v>0</v>
      </c>
      <c r="AZ216" s="539">
        <f t="shared" si="77"/>
        <v>0</v>
      </c>
      <c r="BA216" s="539">
        <f t="shared" si="77"/>
        <v>0</v>
      </c>
      <c r="BB216" s="539">
        <f t="shared" si="77"/>
        <v>0</v>
      </c>
      <c r="BC216" s="539">
        <f t="shared" si="77"/>
        <v>0</v>
      </c>
      <c r="BD216" s="539">
        <f t="shared" si="77"/>
        <v>0</v>
      </c>
      <c r="BE216" s="539">
        <f t="shared" si="77"/>
        <v>0</v>
      </c>
      <c r="BF216" s="539">
        <f t="shared" si="77"/>
        <v>0</v>
      </c>
      <c r="BG216" s="539">
        <f t="shared" si="77"/>
        <v>0</v>
      </c>
      <c r="BH216" s="539">
        <f t="shared" si="77"/>
        <v>0</v>
      </c>
      <c r="BI216" s="539">
        <f t="shared" si="77"/>
        <v>0</v>
      </c>
      <c r="BJ216" s="539">
        <f t="shared" si="77"/>
        <v>0</v>
      </c>
      <c r="BK216" s="539">
        <f t="shared" si="77"/>
        <v>0</v>
      </c>
      <c r="BL216" s="539">
        <f t="shared" si="77"/>
        <v>0</v>
      </c>
      <c r="BM216" s="539">
        <f t="shared" si="77"/>
        <v>0</v>
      </c>
      <c r="BN216" s="539">
        <f t="shared" si="77"/>
        <v>0</v>
      </c>
      <c r="BO216" s="539">
        <f t="shared" si="77"/>
        <v>0</v>
      </c>
      <c r="BP216" s="539">
        <f t="shared" si="77"/>
        <v>0</v>
      </c>
      <c r="BQ216" s="539">
        <f t="shared" si="77"/>
        <v>0</v>
      </c>
      <c r="BR216" s="539">
        <f t="shared" si="77"/>
        <v>0</v>
      </c>
      <c r="BS216" s="539">
        <f t="shared" si="77"/>
        <v>0</v>
      </c>
      <c r="BT216" s="539">
        <f t="shared" si="77"/>
        <v>0</v>
      </c>
      <c r="BU216" s="539">
        <f t="shared" si="77"/>
        <v>0</v>
      </c>
      <c r="BV216" s="539">
        <f t="shared" si="77"/>
        <v>0</v>
      </c>
      <c r="BW216" s="539">
        <f t="shared" si="77"/>
        <v>0</v>
      </c>
      <c r="BX216" s="539">
        <f t="shared" si="77"/>
        <v>0</v>
      </c>
      <c r="BY216" s="539">
        <f t="shared" si="77"/>
        <v>0</v>
      </c>
      <c r="BZ216" s="539">
        <f t="shared" si="77"/>
        <v>0</v>
      </c>
      <c r="CA216" s="539">
        <f t="shared" si="77"/>
        <v>0</v>
      </c>
      <c r="CB216" s="539">
        <f t="shared" si="77"/>
        <v>0</v>
      </c>
      <c r="CC216" s="539">
        <f t="shared" si="77"/>
        <v>0</v>
      </c>
      <c r="CD216" s="539">
        <f t="shared" si="77"/>
        <v>0</v>
      </c>
      <c r="CE216" s="539">
        <f t="shared" si="77"/>
        <v>0</v>
      </c>
      <c r="CF216" s="539">
        <f t="shared" si="77"/>
        <v>0</v>
      </c>
      <c r="CG216" s="539">
        <f t="shared" si="77"/>
        <v>0</v>
      </c>
      <c r="CH216" s="539">
        <f t="shared" si="77"/>
        <v>0</v>
      </c>
      <c r="CI216" s="539">
        <f t="shared" si="77"/>
        <v>0</v>
      </c>
      <c r="CJ216" s="539">
        <f t="shared" si="77"/>
        <v>0</v>
      </c>
      <c r="CK216" s="539">
        <f t="shared" si="77"/>
        <v>0</v>
      </c>
      <c r="CL216" s="539">
        <f t="shared" si="77"/>
        <v>0</v>
      </c>
      <c r="CM216" s="539">
        <f t="shared" si="77"/>
        <v>0</v>
      </c>
      <c r="CN216" s="539">
        <f t="shared" si="77"/>
        <v>0</v>
      </c>
      <c r="CO216" s="539">
        <f t="shared" si="77"/>
        <v>0</v>
      </c>
      <c r="CP216" s="539">
        <f t="shared" si="77"/>
        <v>0</v>
      </c>
      <c r="CQ216" s="539">
        <f t="shared" si="77"/>
        <v>0</v>
      </c>
      <c r="CR216" s="539">
        <f t="shared" si="77"/>
        <v>0</v>
      </c>
      <c r="CS216" s="539">
        <f t="shared" si="77"/>
        <v>0</v>
      </c>
      <c r="CT216" s="539">
        <f t="shared" si="77"/>
        <v>0</v>
      </c>
      <c r="CU216" s="539">
        <f t="shared" si="77"/>
        <v>0</v>
      </c>
      <c r="CV216" s="539">
        <f t="shared" si="77"/>
        <v>0</v>
      </c>
      <c r="CW216" s="539">
        <f t="shared" si="77"/>
        <v>0</v>
      </c>
      <c r="CX216" s="539">
        <f t="shared" si="77"/>
        <v>0</v>
      </c>
      <c r="CY216" s="539">
        <f t="shared" si="77"/>
        <v>0</v>
      </c>
      <c r="CZ216" s="539">
        <f t="shared" si="77"/>
        <v>0</v>
      </c>
      <c r="DA216" s="539">
        <f t="shared" si="77"/>
        <v>0</v>
      </c>
      <c r="DB216" s="539">
        <f t="shared" si="77"/>
        <v>0</v>
      </c>
      <c r="DC216" s="539">
        <f t="shared" si="77"/>
        <v>0</v>
      </c>
      <c r="DD216" s="539">
        <f t="shared" si="77"/>
        <v>0</v>
      </c>
      <c r="DE216" s="539">
        <f t="shared" si="77"/>
        <v>0</v>
      </c>
      <c r="DF216" s="539">
        <f t="shared" si="77"/>
        <v>0</v>
      </c>
      <c r="DG216" s="539">
        <f t="shared" si="77"/>
        <v>0</v>
      </c>
      <c r="DH216" s="539">
        <f t="shared" si="77"/>
        <v>0</v>
      </c>
      <c r="DI216" s="539">
        <f t="shared" si="77"/>
        <v>0</v>
      </c>
      <c r="DJ216" s="539">
        <f t="shared" si="77"/>
        <v>0</v>
      </c>
      <c r="DK216" s="539">
        <f t="shared" si="77"/>
        <v>0</v>
      </c>
      <c r="DL216" s="539">
        <f t="shared" si="77"/>
        <v>0</v>
      </c>
      <c r="DM216" s="539">
        <f t="shared" si="77"/>
        <v>0</v>
      </c>
      <c r="DN216" s="539">
        <f t="shared" si="77"/>
        <v>0</v>
      </c>
      <c r="DO216" s="539">
        <f t="shared" si="77"/>
        <v>0</v>
      </c>
      <c r="DP216" s="539">
        <f t="shared" si="77"/>
        <v>0</v>
      </c>
      <c r="DQ216" s="539">
        <f t="shared" si="77"/>
        <v>0</v>
      </c>
      <c r="DR216" s="539">
        <f t="shared" si="77"/>
        <v>0</v>
      </c>
      <c r="DS216" s="539">
        <f t="shared" si="77"/>
        <v>0</v>
      </c>
      <c r="DT216" s="539">
        <f t="shared" si="77"/>
        <v>0</v>
      </c>
      <c r="DU216" s="539">
        <f t="shared" si="77"/>
        <v>0</v>
      </c>
      <c r="DV216" s="539">
        <f t="shared" si="77"/>
        <v>0</v>
      </c>
      <c r="DW216" s="539">
        <f t="shared" si="77"/>
        <v>0</v>
      </c>
      <c r="DX216" s="539">
        <f t="shared" si="77"/>
        <v>0</v>
      </c>
      <c r="DY216" s="539">
        <f t="shared" si="77"/>
        <v>0</v>
      </c>
      <c r="DZ216" s="539">
        <f t="shared" si="77"/>
        <v>0</v>
      </c>
      <c r="EA216" s="539">
        <f t="shared" si="77"/>
        <v>0</v>
      </c>
      <c r="EB216" s="539">
        <f t="shared" si="77"/>
        <v>0</v>
      </c>
      <c r="EC216" s="539">
        <f t="shared" si="77"/>
        <v>0</v>
      </c>
      <c r="ED216" s="539">
        <f t="shared" si="77"/>
        <v>0</v>
      </c>
      <c r="EE216" s="539">
        <f t="shared" si="77"/>
        <v>0</v>
      </c>
      <c r="EF216" s="539">
        <f t="shared" si="77"/>
        <v>0</v>
      </c>
      <c r="EG216" s="539">
        <f t="shared" si="77"/>
        <v>0</v>
      </c>
    </row>
    <row r="218" spans="2:2" ht="12.75">
      <c r="B218" s="534" t="s">
        <v>323</v>
      </c>
    </row>
    <row r="219" spans="5:137" ht="12.75">
      <c r="E219" s="535" t="str">
        <f>Cons!E$144</f>
        <v>Junior facility - drawdown</v>
      </c>
      <c r="G219" s="537" t="str">
        <f>Cons!G$144</f>
        <v>EUR 000s</v>
      </c>
      <c r="H219" s="537">
        <f>Cons!H$144</f>
        <v>25289.902618405918</v>
      </c>
      <c r="J219" s="537">
        <f>Cons!J$144</f>
        <v>0</v>
      </c>
      <c r="K219" s="537">
        <f>Cons!K$144</f>
        <v>0</v>
      </c>
      <c r="L219" s="537">
        <f>Cons!L$144</f>
        <v>0</v>
      </c>
      <c r="M219" s="537">
        <f>Cons!M$144</f>
        <v>0</v>
      </c>
      <c r="N219" s="537">
        <f>Cons!N$144</f>
        <v>0</v>
      </c>
      <c r="O219" s="537">
        <f>Cons!O$144</f>
        <v>0</v>
      </c>
      <c r="P219" s="537">
        <f>Cons!P$144</f>
        <v>0</v>
      </c>
      <c r="Q219" s="537">
        <f>Cons!Q$144</f>
        <v>9524.2618544395227</v>
      </c>
      <c r="R219" s="537">
        <f>Cons!R$144</f>
        <v>15765.640763966396</v>
      </c>
      <c r="S219" s="537">
        <f>Cons!S$144</f>
        <v>0</v>
      </c>
      <c r="T219" s="537">
        <f>Cons!T$144</f>
        <v>0</v>
      </c>
      <c r="U219" s="537">
        <f>Cons!U$144</f>
        <v>0</v>
      </c>
      <c r="V219" s="537">
        <f>Cons!V$144</f>
        <v>0</v>
      </c>
      <c r="W219" s="537">
        <f>Cons!W$144</f>
        <v>0</v>
      </c>
      <c r="X219" s="537">
        <f>Cons!X$144</f>
        <v>0</v>
      </c>
      <c r="Y219" s="537">
        <f>Cons!Y$144</f>
        <v>0</v>
      </c>
      <c r="Z219" s="537">
        <f>Cons!Z$144</f>
        <v>0</v>
      </c>
      <c r="AA219" s="537">
        <f>Cons!AA$144</f>
        <v>0</v>
      </c>
      <c r="AB219" s="537">
        <f>Cons!AB$144</f>
        <v>0</v>
      </c>
      <c r="AC219" s="537">
        <f>Cons!AC$144</f>
        <v>0</v>
      </c>
      <c r="AD219" s="537">
        <f>Cons!AD$144</f>
        <v>0</v>
      </c>
      <c r="AE219" s="537">
        <f>Cons!AE$144</f>
        <v>0</v>
      </c>
      <c r="AF219" s="537">
        <f>Cons!AF$144</f>
        <v>0</v>
      </c>
      <c r="AG219" s="537">
        <f>Cons!AG$144</f>
        <v>0</v>
      </c>
      <c r="AH219" s="537">
        <f>Cons!AH$144</f>
        <v>0</v>
      </c>
      <c r="AI219" s="537">
        <f>Cons!AI$144</f>
        <v>0</v>
      </c>
      <c r="AJ219" s="537">
        <f>Cons!AJ$144</f>
        <v>0</v>
      </c>
      <c r="AK219" s="537">
        <f>Cons!AK$144</f>
        <v>0</v>
      </c>
      <c r="AL219" s="537">
        <f>Cons!AL$144</f>
        <v>0</v>
      </c>
      <c r="AM219" s="537">
        <f>Cons!AM$144</f>
        <v>0</v>
      </c>
      <c r="AN219" s="537">
        <f>Cons!AN$144</f>
        <v>0</v>
      </c>
      <c r="AO219" s="537">
        <f>Cons!AO$144</f>
        <v>0</v>
      </c>
      <c r="AP219" s="537">
        <f>Cons!AP$144</f>
        <v>0</v>
      </c>
      <c r="AQ219" s="537">
        <f>Cons!AQ$144</f>
        <v>0</v>
      </c>
      <c r="AR219" s="537">
        <f>Cons!AR$144</f>
        <v>0</v>
      </c>
      <c r="AS219" s="537">
        <f>Cons!AS$144</f>
        <v>0</v>
      </c>
      <c r="AT219" s="537">
        <f>Cons!AT$144</f>
        <v>0</v>
      </c>
      <c r="AU219" s="537">
        <f>Cons!AU$144</f>
        <v>0</v>
      </c>
      <c r="AV219" s="537">
        <f>Cons!AV$144</f>
        <v>0</v>
      </c>
      <c r="AW219" s="537">
        <f>Cons!AW$144</f>
        <v>0</v>
      </c>
      <c r="AX219" s="537">
        <f>Cons!AX$144</f>
        <v>0</v>
      </c>
      <c r="AY219" s="537">
        <f>Cons!AY$144</f>
        <v>0</v>
      </c>
      <c r="AZ219" s="537">
        <f>Cons!AZ$144</f>
        <v>0</v>
      </c>
      <c r="BA219" s="537">
        <f>Cons!BA$144</f>
        <v>0</v>
      </c>
      <c r="BB219" s="537">
        <f>Cons!BB$144</f>
        <v>0</v>
      </c>
      <c r="BC219" s="537">
        <f>Cons!BC$144</f>
        <v>0</v>
      </c>
      <c r="BD219" s="537">
        <f>Cons!BD$144</f>
        <v>0</v>
      </c>
      <c r="BE219" s="537">
        <f>Cons!BE$144</f>
        <v>0</v>
      </c>
      <c r="BF219" s="537">
        <f>Cons!BF$144</f>
        <v>0</v>
      </c>
      <c r="BG219" s="537">
        <f>Cons!BG$144</f>
        <v>0</v>
      </c>
      <c r="BH219" s="537">
        <f>Cons!BH$144</f>
        <v>0</v>
      </c>
      <c r="BI219" s="537">
        <f>Cons!BI$144</f>
        <v>0</v>
      </c>
      <c r="BJ219" s="537">
        <f>Cons!BJ$144</f>
        <v>0</v>
      </c>
      <c r="BK219" s="537">
        <f>Cons!BK$144</f>
        <v>0</v>
      </c>
      <c r="BL219" s="537">
        <f>Cons!BL$144</f>
        <v>0</v>
      </c>
      <c r="BM219" s="537">
        <f>Cons!BM$144</f>
        <v>0</v>
      </c>
      <c r="BN219" s="537">
        <f>Cons!BN$144</f>
        <v>0</v>
      </c>
      <c r="BO219" s="537">
        <f>Cons!BO$144</f>
        <v>0</v>
      </c>
      <c r="BP219" s="537">
        <f>Cons!BP$144</f>
        <v>0</v>
      </c>
      <c r="BQ219" s="537">
        <f>Cons!BQ$144</f>
        <v>0</v>
      </c>
      <c r="BR219" s="537">
        <f>Cons!BR$144</f>
        <v>0</v>
      </c>
      <c r="BS219" s="537">
        <f>Cons!BS$144</f>
        <v>0</v>
      </c>
      <c r="BT219" s="537">
        <f>Cons!BT$144</f>
        <v>0</v>
      </c>
      <c r="BU219" s="537">
        <f>Cons!BU$144</f>
        <v>0</v>
      </c>
      <c r="BV219" s="537">
        <f>Cons!BV$144</f>
        <v>0</v>
      </c>
      <c r="BW219" s="537">
        <f>Cons!BW$144</f>
        <v>0</v>
      </c>
      <c r="BX219" s="537">
        <f>Cons!BX$144</f>
        <v>0</v>
      </c>
      <c r="BY219" s="537">
        <f>Cons!BY$144</f>
        <v>0</v>
      </c>
      <c r="BZ219" s="537">
        <f>Cons!BZ$144</f>
        <v>0</v>
      </c>
      <c r="CA219" s="537">
        <f>Cons!CA$144</f>
        <v>0</v>
      </c>
      <c r="CB219" s="537">
        <f>Cons!CB$144</f>
        <v>0</v>
      </c>
      <c r="CC219" s="537">
        <f>Cons!CC$144</f>
        <v>0</v>
      </c>
      <c r="CD219" s="537">
        <f>Cons!CD$144</f>
        <v>0</v>
      </c>
      <c r="CE219" s="537">
        <f>Cons!CE$144</f>
        <v>0</v>
      </c>
      <c r="CF219" s="537">
        <f>Cons!CF$144</f>
        <v>0</v>
      </c>
      <c r="CG219" s="537">
        <f>Cons!CG$144</f>
        <v>0</v>
      </c>
      <c r="CH219" s="537">
        <f>Cons!CH$144</f>
        <v>0</v>
      </c>
      <c r="CI219" s="537">
        <f>Cons!CI$144</f>
        <v>0</v>
      </c>
      <c r="CJ219" s="537">
        <f>Cons!CJ$144</f>
        <v>0</v>
      </c>
      <c r="CK219" s="537">
        <f>Cons!CK$144</f>
        <v>0</v>
      </c>
      <c r="CL219" s="537">
        <f>Cons!CL$144</f>
        <v>0</v>
      </c>
      <c r="CM219" s="537">
        <f>Cons!CM$144</f>
        <v>0</v>
      </c>
      <c r="CN219" s="537">
        <f>Cons!CN$144</f>
        <v>0</v>
      </c>
      <c r="CO219" s="537">
        <f>Cons!CO$144</f>
        <v>0</v>
      </c>
      <c r="CP219" s="537">
        <f>Cons!CP$144</f>
        <v>0</v>
      </c>
      <c r="CQ219" s="537">
        <f>Cons!CQ$144</f>
        <v>0</v>
      </c>
      <c r="CR219" s="537">
        <f>Cons!CR$144</f>
        <v>0</v>
      </c>
      <c r="CS219" s="537">
        <f>Cons!CS$144</f>
        <v>0</v>
      </c>
      <c r="CT219" s="537">
        <f>Cons!CT$144</f>
        <v>0</v>
      </c>
      <c r="CU219" s="537">
        <f>Cons!CU$144</f>
        <v>0</v>
      </c>
      <c r="CV219" s="537">
        <f>Cons!CV$144</f>
        <v>0</v>
      </c>
      <c r="CW219" s="537">
        <f>Cons!CW$144</f>
        <v>0</v>
      </c>
      <c r="CX219" s="537">
        <f>Cons!CX$144</f>
        <v>0</v>
      </c>
      <c r="CY219" s="537">
        <f>Cons!CY$144</f>
        <v>0</v>
      </c>
      <c r="CZ219" s="537">
        <f>Cons!CZ$144</f>
        <v>0</v>
      </c>
      <c r="DA219" s="537">
        <f>Cons!DA$144</f>
        <v>0</v>
      </c>
      <c r="DB219" s="537">
        <f>Cons!DB$144</f>
        <v>0</v>
      </c>
      <c r="DC219" s="537">
        <f>Cons!DC$144</f>
        <v>0</v>
      </c>
      <c r="DD219" s="537">
        <f>Cons!DD$144</f>
        <v>0</v>
      </c>
      <c r="DE219" s="537">
        <f>Cons!DE$144</f>
        <v>0</v>
      </c>
      <c r="DF219" s="537">
        <f>Cons!DF$144</f>
        <v>0</v>
      </c>
      <c r="DG219" s="537">
        <f>Cons!DG$144</f>
        <v>0</v>
      </c>
      <c r="DH219" s="537">
        <f>Cons!DH$144</f>
        <v>0</v>
      </c>
      <c r="DI219" s="537">
        <f>Cons!DI$144</f>
        <v>0</v>
      </c>
      <c r="DJ219" s="537">
        <f>Cons!DJ$144</f>
        <v>0</v>
      </c>
      <c r="DK219" s="537">
        <f>Cons!DK$144</f>
        <v>0</v>
      </c>
      <c r="DL219" s="537">
        <f>Cons!DL$144</f>
        <v>0</v>
      </c>
      <c r="DM219" s="537">
        <f>Cons!DM$144</f>
        <v>0</v>
      </c>
      <c r="DN219" s="537">
        <f>Cons!DN$144</f>
        <v>0</v>
      </c>
      <c r="DO219" s="537">
        <f>Cons!DO$144</f>
        <v>0</v>
      </c>
      <c r="DP219" s="537">
        <f>Cons!DP$144</f>
        <v>0</v>
      </c>
      <c r="DQ219" s="537">
        <f>Cons!DQ$144</f>
        <v>0</v>
      </c>
      <c r="DR219" s="537">
        <f>Cons!DR$144</f>
        <v>0</v>
      </c>
      <c r="DS219" s="537">
        <f>Cons!DS$144</f>
        <v>0</v>
      </c>
      <c r="DT219" s="537">
        <f>Cons!DT$144</f>
        <v>0</v>
      </c>
      <c r="DU219" s="537">
        <f>Cons!DU$144</f>
        <v>0</v>
      </c>
      <c r="DV219" s="537">
        <f>Cons!DV$144</f>
        <v>0</v>
      </c>
      <c r="DW219" s="537">
        <f>Cons!DW$144</f>
        <v>0</v>
      </c>
      <c r="DX219" s="537">
        <f>Cons!DX$144</f>
        <v>0</v>
      </c>
      <c r="DY219" s="537">
        <f>Cons!DY$144</f>
        <v>0</v>
      </c>
      <c r="DZ219" s="537">
        <f>Cons!DZ$144</f>
        <v>0</v>
      </c>
      <c r="EA219" s="537">
        <f>Cons!EA$144</f>
        <v>0</v>
      </c>
      <c r="EB219" s="537">
        <f>Cons!EB$144</f>
        <v>0</v>
      </c>
      <c r="EC219" s="537">
        <f>Cons!EC$144</f>
        <v>0</v>
      </c>
      <c r="ED219" s="537">
        <f>Cons!ED$144</f>
        <v>0</v>
      </c>
      <c r="EE219" s="537">
        <f>Cons!EE$144</f>
        <v>0</v>
      </c>
      <c r="EF219" s="537">
        <f>Cons!EF$144</f>
        <v>0</v>
      </c>
      <c r="EG219" s="537">
        <f>Cons!EG$144</f>
        <v>0</v>
      </c>
    </row>
    <row r="220" spans="5:137" ht="12.75">
      <c r="E220" s="538" t="str">
        <f>E$172</f>
        <v>Junior facility - opening balance</v>
      </c>
      <c r="G220" s="539" t="str">
        <f>G$172</f>
        <v>EUR 000s</v>
      </c>
      <c r="H220" s="539">
        <f>H$172</f>
        <v>1008475.4152814726</v>
      </c>
      <c r="J220" s="539">
        <f t="shared" si="78" ref="J220:EG220">J$172</f>
        <v>0</v>
      </c>
      <c r="K220" s="539">
        <f t="shared" si="78"/>
        <v>0</v>
      </c>
      <c r="L220" s="539">
        <f t="shared" si="78"/>
        <v>0</v>
      </c>
      <c r="M220" s="539">
        <f t="shared" si="78"/>
        <v>0</v>
      </c>
      <c r="N220" s="539">
        <f t="shared" si="78"/>
        <v>0</v>
      </c>
      <c r="O220" s="539">
        <f t="shared" si="78"/>
        <v>0</v>
      </c>
      <c r="P220" s="539">
        <f t="shared" si="78"/>
        <v>0</v>
      </c>
      <c r="Q220" s="539">
        <f t="shared" si="78"/>
        <v>0</v>
      </c>
      <c r="R220" s="539">
        <f t="shared" si="78"/>
        <v>9524.2618544395227</v>
      </c>
      <c r="S220" s="539">
        <f t="shared" si="78"/>
        <v>25289.902618405918</v>
      </c>
      <c r="T220" s="539">
        <f t="shared" si="78"/>
        <v>25289.902618405918</v>
      </c>
      <c r="U220" s="539">
        <f t="shared" si="78"/>
        <v>25289.902618405918</v>
      </c>
      <c r="V220" s="539">
        <f t="shared" si="78"/>
        <v>25289.902618405918</v>
      </c>
      <c r="W220" s="539">
        <f t="shared" si="78"/>
        <v>25289.902618405918</v>
      </c>
      <c r="X220" s="539">
        <f t="shared" si="78"/>
        <v>25289.902618405918</v>
      </c>
      <c r="Y220" s="539">
        <f t="shared" si="78"/>
        <v>25289.902618405918</v>
      </c>
      <c r="Z220" s="539">
        <f t="shared" si="78"/>
        <v>25289.902618405918</v>
      </c>
      <c r="AA220" s="539">
        <f t="shared" si="78"/>
        <v>25289.902618405918</v>
      </c>
      <c r="AB220" s="539">
        <f t="shared" si="78"/>
        <v>25289.902618405918</v>
      </c>
      <c r="AC220" s="539">
        <f t="shared" si="78"/>
        <v>25289.902618405918</v>
      </c>
      <c r="AD220" s="539">
        <f t="shared" si="78"/>
        <v>25289.902618405918</v>
      </c>
      <c r="AE220" s="539">
        <f t="shared" si="78"/>
        <v>25289.902618405918</v>
      </c>
      <c r="AF220" s="539">
        <f t="shared" si="78"/>
        <v>25289.902618405918</v>
      </c>
      <c r="AG220" s="539">
        <f t="shared" si="78"/>
        <v>25289.902618405918</v>
      </c>
      <c r="AH220" s="539">
        <f t="shared" si="78"/>
        <v>25289.902618405918</v>
      </c>
      <c r="AI220" s="539">
        <f t="shared" si="78"/>
        <v>24763.029647189127</v>
      </c>
      <c r="AJ220" s="539">
        <f t="shared" si="78"/>
        <v>24236.156675972336</v>
      </c>
      <c r="AK220" s="539">
        <f t="shared" si="78"/>
        <v>23709.283704755544</v>
      </c>
      <c r="AL220" s="539">
        <f t="shared" si="78"/>
        <v>23182.410733538753</v>
      </c>
      <c r="AM220" s="539">
        <f t="shared" si="78"/>
        <v>22655.537762321961</v>
      </c>
      <c r="AN220" s="539">
        <f t="shared" si="78"/>
        <v>22128.66479110517</v>
      </c>
      <c r="AO220" s="539">
        <f t="shared" si="78"/>
        <v>21601.791819888378</v>
      </c>
      <c r="AP220" s="539">
        <f t="shared" si="78"/>
        <v>21074.918848671587</v>
      </c>
      <c r="AQ220" s="539">
        <f t="shared" si="78"/>
        <v>20548.045877454795</v>
      </c>
      <c r="AR220" s="539">
        <f t="shared" si="78"/>
        <v>20021.172906238004</v>
      </c>
      <c r="AS220" s="539">
        <f t="shared" si="78"/>
        <v>19494.299935021212</v>
      </c>
      <c r="AT220" s="539">
        <f t="shared" si="78"/>
        <v>18967.426963804421</v>
      </c>
      <c r="AU220" s="539">
        <f t="shared" si="78"/>
        <v>18440.553992587629</v>
      </c>
      <c r="AV220" s="539">
        <f t="shared" si="78"/>
        <v>17913.681021370838</v>
      </c>
      <c r="AW220" s="539">
        <f t="shared" si="78"/>
        <v>17386.808050154046</v>
      </c>
      <c r="AX220" s="539">
        <f t="shared" si="78"/>
        <v>16859.935078937255</v>
      </c>
      <c r="AY220" s="539">
        <f t="shared" si="78"/>
        <v>16333.062107720465</v>
      </c>
      <c r="AZ220" s="539">
        <f t="shared" si="78"/>
        <v>15806.189136503675</v>
      </c>
      <c r="BA220" s="539">
        <f t="shared" si="78"/>
        <v>15279.316165286886</v>
      </c>
      <c r="BB220" s="539">
        <f t="shared" si="78"/>
        <v>14752.443194070096</v>
      </c>
      <c r="BC220" s="539">
        <f t="shared" si="78"/>
        <v>14225.570222853306</v>
      </c>
      <c r="BD220" s="539">
        <f t="shared" si="78"/>
        <v>13698.697251636517</v>
      </c>
      <c r="BE220" s="539">
        <f t="shared" si="78"/>
        <v>13171.824280419727</v>
      </c>
      <c r="BF220" s="539">
        <f t="shared" si="78"/>
        <v>12644.951309202937</v>
      </c>
      <c r="BG220" s="539">
        <f t="shared" si="78"/>
        <v>12118.078337986148</v>
      </c>
      <c r="BH220" s="539">
        <f t="shared" si="78"/>
        <v>11591.205366769358</v>
      </c>
      <c r="BI220" s="539">
        <f t="shared" si="78"/>
        <v>11064.332395552568</v>
      </c>
      <c r="BJ220" s="539">
        <f t="shared" si="78"/>
        <v>10537.459424335779</v>
      </c>
      <c r="BK220" s="539">
        <f t="shared" si="78"/>
        <v>10010.586453118989</v>
      </c>
      <c r="BL220" s="539">
        <f t="shared" si="78"/>
        <v>9483.7134819021994</v>
      </c>
      <c r="BM220" s="539">
        <f t="shared" si="78"/>
        <v>8956.8405106854098</v>
      </c>
      <c r="BN220" s="539">
        <f t="shared" si="78"/>
        <v>8429.9675394686201</v>
      </c>
      <c r="BO220" s="539">
        <f t="shared" si="78"/>
        <v>7903.0945682518304</v>
      </c>
      <c r="BP220" s="539">
        <f t="shared" si="78"/>
        <v>7376.2215970350408</v>
      </c>
      <c r="BQ220" s="539">
        <f t="shared" si="78"/>
        <v>6849.3486258182511</v>
      </c>
      <c r="BR220" s="539">
        <f t="shared" si="78"/>
        <v>6322.4756546014614</v>
      </c>
      <c r="BS220" s="539">
        <f t="shared" si="78"/>
        <v>5795.6026833846718</v>
      </c>
      <c r="BT220" s="539">
        <f t="shared" si="78"/>
        <v>5268.7297121678821</v>
      </c>
      <c r="BU220" s="539">
        <f t="shared" si="78"/>
        <v>4741.8567409510924</v>
      </c>
      <c r="BV220" s="539">
        <f t="shared" si="78"/>
        <v>4214.9837697343028</v>
      </c>
      <c r="BW220" s="539">
        <f t="shared" si="78"/>
        <v>3688.1107985175126</v>
      </c>
      <c r="BX220" s="539">
        <f t="shared" si="78"/>
        <v>3161.2378273007225</v>
      </c>
      <c r="BY220" s="539">
        <f t="shared" si="78"/>
        <v>2634.3648560839324</v>
      </c>
      <c r="BZ220" s="539">
        <f t="shared" si="78"/>
        <v>2107.4918848671423</v>
      </c>
      <c r="CA220" s="539">
        <f t="shared" si="78"/>
        <v>1580.6189136503522</v>
      </c>
      <c r="CB220" s="539">
        <f t="shared" si="78"/>
        <v>1053.745942433562</v>
      </c>
      <c r="CC220" s="539">
        <f t="shared" si="78"/>
        <v>526.87297121677204</v>
      </c>
      <c r="CD220" s="539">
        <f t="shared" si="78"/>
        <v>-1.7962520360015333E-11</v>
      </c>
      <c r="CE220" s="539">
        <f t="shared" si="78"/>
        <v>-1.7962520360015333E-11</v>
      </c>
      <c r="CF220" s="539">
        <f t="shared" si="78"/>
        <v>-1.7962520360015333E-11</v>
      </c>
      <c r="CG220" s="539">
        <f t="shared" si="78"/>
        <v>-1.7962520360015333E-11</v>
      </c>
      <c r="CH220" s="539">
        <f t="shared" si="78"/>
        <v>-1.7962520360015333E-11</v>
      </c>
      <c r="CI220" s="539">
        <f t="shared" si="78"/>
        <v>-1.7962520360015333E-11</v>
      </c>
      <c r="CJ220" s="539">
        <f t="shared" si="78"/>
        <v>-1.7962520360015333E-11</v>
      </c>
      <c r="CK220" s="539">
        <f t="shared" si="78"/>
        <v>-1.7962520360015333E-11</v>
      </c>
      <c r="CL220" s="539">
        <f t="shared" si="78"/>
        <v>-1.7962520360015333E-11</v>
      </c>
      <c r="CM220" s="539">
        <f t="shared" si="78"/>
        <v>-1.7962520360015333E-11</v>
      </c>
      <c r="CN220" s="539">
        <f t="shared" si="78"/>
        <v>-1.7962520360015333E-11</v>
      </c>
      <c r="CO220" s="539">
        <f t="shared" si="78"/>
        <v>-1.7962520360015333E-11</v>
      </c>
      <c r="CP220" s="539">
        <f t="shared" si="78"/>
        <v>-1.7962520360015333E-11</v>
      </c>
      <c r="CQ220" s="539">
        <f t="shared" si="78"/>
        <v>-1.7962520360015333E-11</v>
      </c>
      <c r="CR220" s="539">
        <f t="shared" si="78"/>
        <v>-1.7962520360015333E-11</v>
      </c>
      <c r="CS220" s="539">
        <f t="shared" si="78"/>
        <v>-1.7962520360015333E-11</v>
      </c>
      <c r="CT220" s="539">
        <f t="shared" si="78"/>
        <v>-1.7962520360015333E-11</v>
      </c>
      <c r="CU220" s="539">
        <f t="shared" si="78"/>
        <v>-1.7962520360015333E-11</v>
      </c>
      <c r="CV220" s="539">
        <f t="shared" si="78"/>
        <v>-1.7962520360015333E-11</v>
      </c>
      <c r="CW220" s="539">
        <f t="shared" si="78"/>
        <v>-1.7962520360015333E-11</v>
      </c>
      <c r="CX220" s="539">
        <f t="shared" si="78"/>
        <v>-1.7962520360015333E-11</v>
      </c>
      <c r="CY220" s="539">
        <f t="shared" si="78"/>
        <v>-1.7962520360015333E-11</v>
      </c>
      <c r="CZ220" s="539">
        <f t="shared" si="78"/>
        <v>-1.7962520360015333E-11</v>
      </c>
      <c r="DA220" s="539">
        <f t="shared" si="78"/>
        <v>-1.7962520360015333E-11</v>
      </c>
      <c r="DB220" s="539">
        <f t="shared" si="78"/>
        <v>-1.7962520360015333E-11</v>
      </c>
      <c r="DC220" s="539">
        <f t="shared" si="78"/>
        <v>-1.7962520360015333E-11</v>
      </c>
      <c r="DD220" s="539">
        <f t="shared" si="78"/>
        <v>-1.7962520360015333E-11</v>
      </c>
      <c r="DE220" s="539">
        <f t="shared" si="78"/>
        <v>-1.7962520360015333E-11</v>
      </c>
      <c r="DF220" s="539">
        <f t="shared" si="78"/>
        <v>-1.7962520360015333E-11</v>
      </c>
      <c r="DG220" s="539">
        <f t="shared" si="78"/>
        <v>-1.7962520360015333E-11</v>
      </c>
      <c r="DH220" s="539">
        <f t="shared" si="78"/>
        <v>-1.7962520360015333E-11</v>
      </c>
      <c r="DI220" s="539">
        <f t="shared" si="78"/>
        <v>-1.7962520360015333E-11</v>
      </c>
      <c r="DJ220" s="539">
        <f t="shared" si="78"/>
        <v>-1.7962520360015333E-11</v>
      </c>
      <c r="DK220" s="539">
        <f t="shared" si="78"/>
        <v>-1.7962520360015333E-11</v>
      </c>
      <c r="DL220" s="539">
        <f t="shared" si="78"/>
        <v>-1.7962520360015333E-11</v>
      </c>
      <c r="DM220" s="539">
        <f t="shared" si="78"/>
        <v>-1.7962520360015333E-11</v>
      </c>
      <c r="DN220" s="539">
        <f t="shared" si="78"/>
        <v>-1.7962520360015333E-11</v>
      </c>
      <c r="DO220" s="539">
        <f t="shared" si="78"/>
        <v>-1.7962520360015333E-11</v>
      </c>
      <c r="DP220" s="539">
        <f t="shared" si="78"/>
        <v>-1.7962520360015333E-11</v>
      </c>
      <c r="DQ220" s="539">
        <f t="shared" si="78"/>
        <v>-1.7962520360015333E-11</v>
      </c>
      <c r="DR220" s="539">
        <f t="shared" si="78"/>
        <v>-1.7962520360015333E-11</v>
      </c>
      <c r="DS220" s="539">
        <f t="shared" si="78"/>
        <v>-1.7962520360015333E-11</v>
      </c>
      <c r="DT220" s="539">
        <f t="shared" si="78"/>
        <v>-1.7962520360015333E-11</v>
      </c>
      <c r="DU220" s="539">
        <f t="shared" si="78"/>
        <v>-1.7962520360015333E-11</v>
      </c>
      <c r="DV220" s="539">
        <f t="shared" si="78"/>
        <v>-1.7962520360015333E-11</v>
      </c>
      <c r="DW220" s="539">
        <f t="shared" si="78"/>
        <v>-1.7962520360015333E-11</v>
      </c>
      <c r="DX220" s="539">
        <f t="shared" si="78"/>
        <v>-1.7962520360015333E-11</v>
      </c>
      <c r="DY220" s="539">
        <f t="shared" si="78"/>
        <v>-1.7962520360015333E-11</v>
      </c>
      <c r="DZ220" s="539">
        <f t="shared" si="78"/>
        <v>-1.7962520360015333E-11</v>
      </c>
      <c r="EA220" s="539">
        <f t="shared" si="78"/>
        <v>-1.7962520360015333E-11</v>
      </c>
      <c r="EB220" s="539">
        <f t="shared" si="78"/>
        <v>-1.7962520360015333E-11</v>
      </c>
      <c r="EC220" s="539">
        <f t="shared" si="78"/>
        <v>-1.7962520360015333E-11</v>
      </c>
      <c r="ED220" s="539">
        <f t="shared" si="78"/>
        <v>-1.7962520360015333E-11</v>
      </c>
      <c r="EE220" s="539">
        <f t="shared" si="78"/>
        <v>-1.7962520360015333E-11</v>
      </c>
      <c r="EF220" s="539">
        <f t="shared" si="78"/>
        <v>-1.7962520360015333E-11</v>
      </c>
      <c r="EG220" s="539">
        <f t="shared" si="78"/>
        <v>-1.7962520360015333E-11</v>
      </c>
    </row>
    <row r="221" spans="5:137" ht="12.75">
      <c r="E221" s="538" t="str">
        <f>E$211</f>
        <v>Junior facility - principal paid</v>
      </c>
      <c r="G221" s="539" t="str">
        <f>G$211</f>
        <v>EUR 000s</v>
      </c>
      <c r="H221" s="539">
        <f>H$211</f>
        <v>25289.902618405937</v>
      </c>
      <c r="J221" s="539">
        <f t="shared" si="79" ref="J221:EG221">J$211</f>
        <v>0</v>
      </c>
      <c r="K221" s="539">
        <f t="shared" si="79"/>
        <v>0</v>
      </c>
      <c r="L221" s="539">
        <f t="shared" si="79"/>
        <v>0</v>
      </c>
      <c r="M221" s="539">
        <f t="shared" si="79"/>
        <v>0</v>
      </c>
      <c r="N221" s="539">
        <f t="shared" si="79"/>
        <v>0</v>
      </c>
      <c r="O221" s="539">
        <f t="shared" si="79"/>
        <v>0</v>
      </c>
      <c r="P221" s="539">
        <f t="shared" si="79"/>
        <v>0</v>
      </c>
      <c r="Q221" s="539">
        <f t="shared" si="79"/>
        <v>0</v>
      </c>
      <c r="R221" s="539">
        <f t="shared" si="79"/>
        <v>0</v>
      </c>
      <c r="S221" s="539">
        <f t="shared" si="79"/>
        <v>0</v>
      </c>
      <c r="T221" s="539">
        <f t="shared" si="79"/>
        <v>0</v>
      </c>
      <c r="U221" s="539">
        <f t="shared" si="79"/>
        <v>0</v>
      </c>
      <c r="V221" s="539">
        <f t="shared" si="79"/>
        <v>0</v>
      </c>
      <c r="W221" s="539">
        <f t="shared" si="79"/>
        <v>0</v>
      </c>
      <c r="X221" s="539">
        <f t="shared" si="79"/>
        <v>0</v>
      </c>
      <c r="Y221" s="539">
        <f t="shared" si="79"/>
        <v>0</v>
      </c>
      <c r="Z221" s="539">
        <f t="shared" si="79"/>
        <v>0</v>
      </c>
      <c r="AA221" s="539">
        <f t="shared" si="79"/>
        <v>0</v>
      </c>
      <c r="AB221" s="539">
        <f t="shared" si="79"/>
        <v>0</v>
      </c>
      <c r="AC221" s="539">
        <f t="shared" si="79"/>
        <v>0</v>
      </c>
      <c r="AD221" s="539">
        <f t="shared" si="79"/>
        <v>0</v>
      </c>
      <c r="AE221" s="539">
        <f t="shared" si="79"/>
        <v>0</v>
      </c>
      <c r="AF221" s="539">
        <f t="shared" si="79"/>
        <v>0</v>
      </c>
      <c r="AG221" s="539">
        <f t="shared" si="79"/>
        <v>0</v>
      </c>
      <c r="AH221" s="539">
        <f t="shared" si="79"/>
        <v>526.87297121679001</v>
      </c>
      <c r="AI221" s="539">
        <f t="shared" si="79"/>
        <v>526.87297121679001</v>
      </c>
      <c r="AJ221" s="539">
        <f t="shared" si="79"/>
        <v>526.87297121679001</v>
      </c>
      <c r="AK221" s="539">
        <f t="shared" si="79"/>
        <v>526.87297121679001</v>
      </c>
      <c r="AL221" s="539">
        <f t="shared" si="79"/>
        <v>526.87297121679001</v>
      </c>
      <c r="AM221" s="539">
        <f t="shared" si="79"/>
        <v>526.87297121679001</v>
      </c>
      <c r="AN221" s="539">
        <f t="shared" si="79"/>
        <v>526.87297121679001</v>
      </c>
      <c r="AO221" s="539">
        <f t="shared" si="79"/>
        <v>526.87297121679001</v>
      </c>
      <c r="AP221" s="539">
        <f t="shared" si="79"/>
        <v>526.87297121679001</v>
      </c>
      <c r="AQ221" s="539">
        <f t="shared" si="79"/>
        <v>526.87297121679001</v>
      </c>
      <c r="AR221" s="539">
        <f t="shared" si="79"/>
        <v>526.87297121679001</v>
      </c>
      <c r="AS221" s="539">
        <f t="shared" si="79"/>
        <v>526.87297121679001</v>
      </c>
      <c r="AT221" s="539">
        <f t="shared" si="79"/>
        <v>526.87297121679001</v>
      </c>
      <c r="AU221" s="539">
        <f t="shared" si="79"/>
        <v>526.87297121679001</v>
      </c>
      <c r="AV221" s="539">
        <f t="shared" si="79"/>
        <v>526.87297121679001</v>
      </c>
      <c r="AW221" s="539">
        <f t="shared" si="79"/>
        <v>526.87297121679001</v>
      </c>
      <c r="AX221" s="539">
        <f t="shared" si="79"/>
        <v>526.87297121679001</v>
      </c>
      <c r="AY221" s="539">
        <f t="shared" si="79"/>
        <v>526.87297121679001</v>
      </c>
      <c r="AZ221" s="539">
        <f t="shared" si="79"/>
        <v>526.87297121679001</v>
      </c>
      <c r="BA221" s="539">
        <f t="shared" si="79"/>
        <v>526.87297121679001</v>
      </c>
      <c r="BB221" s="539">
        <f t="shared" si="79"/>
        <v>526.87297121679001</v>
      </c>
      <c r="BC221" s="539">
        <f t="shared" si="79"/>
        <v>526.87297121679001</v>
      </c>
      <c r="BD221" s="539">
        <f t="shared" si="79"/>
        <v>526.87297121679001</v>
      </c>
      <c r="BE221" s="539">
        <f t="shared" si="79"/>
        <v>526.87297121679001</v>
      </c>
      <c r="BF221" s="539">
        <f t="shared" si="79"/>
        <v>526.87297121679001</v>
      </c>
      <c r="BG221" s="539">
        <f t="shared" si="79"/>
        <v>526.87297121679001</v>
      </c>
      <c r="BH221" s="539">
        <f t="shared" si="79"/>
        <v>526.87297121679001</v>
      </c>
      <c r="BI221" s="539">
        <f t="shared" si="79"/>
        <v>526.87297121679001</v>
      </c>
      <c r="BJ221" s="539">
        <f t="shared" si="79"/>
        <v>526.87297121679001</v>
      </c>
      <c r="BK221" s="539">
        <f t="shared" si="79"/>
        <v>526.87297121679001</v>
      </c>
      <c r="BL221" s="539">
        <f t="shared" si="79"/>
        <v>526.87297121679001</v>
      </c>
      <c r="BM221" s="539">
        <f t="shared" si="79"/>
        <v>526.87297121679001</v>
      </c>
      <c r="BN221" s="539">
        <f t="shared" si="79"/>
        <v>526.87297121679001</v>
      </c>
      <c r="BO221" s="539">
        <f t="shared" si="79"/>
        <v>526.87297121679001</v>
      </c>
      <c r="BP221" s="539">
        <f t="shared" si="79"/>
        <v>526.87297121679001</v>
      </c>
      <c r="BQ221" s="539">
        <f t="shared" si="79"/>
        <v>526.87297121679001</v>
      </c>
      <c r="BR221" s="539">
        <f t="shared" si="79"/>
        <v>526.87297121679001</v>
      </c>
      <c r="BS221" s="539">
        <f t="shared" si="79"/>
        <v>526.87297121679001</v>
      </c>
      <c r="BT221" s="539">
        <f t="shared" si="79"/>
        <v>526.87297121679001</v>
      </c>
      <c r="BU221" s="539">
        <f t="shared" si="79"/>
        <v>526.87297121679001</v>
      </c>
      <c r="BV221" s="539">
        <f t="shared" si="79"/>
        <v>526.87297121679001</v>
      </c>
      <c r="BW221" s="539">
        <f t="shared" si="79"/>
        <v>526.87297121679001</v>
      </c>
      <c r="BX221" s="539">
        <f t="shared" si="79"/>
        <v>526.87297121679001</v>
      </c>
      <c r="BY221" s="539">
        <f t="shared" si="79"/>
        <v>526.87297121679001</v>
      </c>
      <c r="BZ221" s="539">
        <f t="shared" si="79"/>
        <v>526.87297121679001</v>
      </c>
      <c r="CA221" s="539">
        <f t="shared" si="79"/>
        <v>526.87297121679001</v>
      </c>
      <c r="CB221" s="539">
        <f t="shared" si="79"/>
        <v>526.87297121679001</v>
      </c>
      <c r="CC221" s="539">
        <f t="shared" si="79"/>
        <v>526.87297121679001</v>
      </c>
      <c r="CD221" s="539">
        <f t="shared" si="79"/>
        <v>0</v>
      </c>
      <c r="CE221" s="539">
        <f t="shared" si="79"/>
        <v>0</v>
      </c>
      <c r="CF221" s="539">
        <f t="shared" si="79"/>
        <v>0</v>
      </c>
      <c r="CG221" s="539">
        <f t="shared" si="79"/>
        <v>0</v>
      </c>
      <c r="CH221" s="539">
        <f t="shared" si="79"/>
        <v>0</v>
      </c>
      <c r="CI221" s="539">
        <f t="shared" si="79"/>
        <v>0</v>
      </c>
      <c r="CJ221" s="539">
        <f t="shared" si="79"/>
        <v>0</v>
      </c>
      <c r="CK221" s="539">
        <f t="shared" si="79"/>
        <v>0</v>
      </c>
      <c r="CL221" s="539">
        <f t="shared" si="79"/>
        <v>0</v>
      </c>
      <c r="CM221" s="539">
        <f t="shared" si="79"/>
        <v>0</v>
      </c>
      <c r="CN221" s="539">
        <f t="shared" si="79"/>
        <v>0</v>
      </c>
      <c r="CO221" s="539">
        <f t="shared" si="79"/>
        <v>0</v>
      </c>
      <c r="CP221" s="539">
        <f t="shared" si="79"/>
        <v>0</v>
      </c>
      <c r="CQ221" s="539">
        <f t="shared" si="79"/>
        <v>0</v>
      </c>
      <c r="CR221" s="539">
        <f t="shared" si="79"/>
        <v>0</v>
      </c>
      <c r="CS221" s="539">
        <f t="shared" si="79"/>
        <v>0</v>
      </c>
      <c r="CT221" s="539">
        <f t="shared" si="79"/>
        <v>0</v>
      </c>
      <c r="CU221" s="539">
        <f t="shared" si="79"/>
        <v>0</v>
      </c>
      <c r="CV221" s="539">
        <f t="shared" si="79"/>
        <v>0</v>
      </c>
      <c r="CW221" s="539">
        <f t="shared" si="79"/>
        <v>0</v>
      </c>
      <c r="CX221" s="539">
        <f t="shared" si="79"/>
        <v>0</v>
      </c>
      <c r="CY221" s="539">
        <f t="shared" si="79"/>
        <v>0</v>
      </c>
      <c r="CZ221" s="539">
        <f t="shared" si="79"/>
        <v>0</v>
      </c>
      <c r="DA221" s="539">
        <f t="shared" si="79"/>
        <v>0</v>
      </c>
      <c r="DB221" s="539">
        <f t="shared" si="79"/>
        <v>0</v>
      </c>
      <c r="DC221" s="539">
        <f t="shared" si="79"/>
        <v>0</v>
      </c>
      <c r="DD221" s="539">
        <f t="shared" si="79"/>
        <v>0</v>
      </c>
      <c r="DE221" s="539">
        <f t="shared" si="79"/>
        <v>0</v>
      </c>
      <c r="DF221" s="539">
        <f t="shared" si="79"/>
        <v>0</v>
      </c>
      <c r="DG221" s="539">
        <f t="shared" si="79"/>
        <v>0</v>
      </c>
      <c r="DH221" s="539">
        <f t="shared" si="79"/>
        <v>0</v>
      </c>
      <c r="DI221" s="539">
        <f t="shared" si="79"/>
        <v>0</v>
      </c>
      <c r="DJ221" s="539">
        <f t="shared" si="79"/>
        <v>0</v>
      </c>
      <c r="DK221" s="539">
        <f t="shared" si="79"/>
        <v>0</v>
      </c>
      <c r="DL221" s="539">
        <f t="shared" si="79"/>
        <v>0</v>
      </c>
      <c r="DM221" s="539">
        <f t="shared" si="79"/>
        <v>0</v>
      </c>
      <c r="DN221" s="539">
        <f t="shared" si="79"/>
        <v>0</v>
      </c>
      <c r="DO221" s="539">
        <f t="shared" si="79"/>
        <v>0</v>
      </c>
      <c r="DP221" s="539">
        <f t="shared" si="79"/>
        <v>0</v>
      </c>
      <c r="DQ221" s="539">
        <f t="shared" si="79"/>
        <v>0</v>
      </c>
      <c r="DR221" s="539">
        <f t="shared" si="79"/>
        <v>0</v>
      </c>
      <c r="DS221" s="539">
        <f t="shared" si="79"/>
        <v>0</v>
      </c>
      <c r="DT221" s="539">
        <f t="shared" si="79"/>
        <v>0</v>
      </c>
      <c r="DU221" s="539">
        <f t="shared" si="79"/>
        <v>0</v>
      </c>
      <c r="DV221" s="539">
        <f t="shared" si="79"/>
        <v>0</v>
      </c>
      <c r="DW221" s="539">
        <f t="shared" si="79"/>
        <v>0</v>
      </c>
      <c r="DX221" s="539">
        <f t="shared" si="79"/>
        <v>0</v>
      </c>
      <c r="DY221" s="539">
        <f t="shared" si="79"/>
        <v>0</v>
      </c>
      <c r="DZ221" s="539">
        <f t="shared" si="79"/>
        <v>0</v>
      </c>
      <c r="EA221" s="539">
        <f t="shared" si="79"/>
        <v>0</v>
      </c>
      <c r="EB221" s="539">
        <f t="shared" si="79"/>
        <v>0</v>
      </c>
      <c r="EC221" s="539">
        <f t="shared" si="79"/>
        <v>0</v>
      </c>
      <c r="ED221" s="539">
        <f t="shared" si="79"/>
        <v>0</v>
      </c>
      <c r="EE221" s="539">
        <f t="shared" si="79"/>
        <v>0</v>
      </c>
      <c r="EF221" s="539">
        <f t="shared" si="79"/>
        <v>0</v>
      </c>
      <c r="EG221" s="539">
        <f t="shared" si="79"/>
        <v>0</v>
      </c>
    </row>
    <row r="222" spans="5:137" ht="12.75">
      <c r="E222" s="540" t="s">
        <v>355</v>
      </c>
      <c r="G222" s="541" t="s">
        <v>30</v>
      </c>
      <c r="H222" s="541">
        <f>SUM(J222:EG222)</f>
        <v>1008475.4152814726</v>
      </c>
      <c r="J222" s="541">
        <f t="shared" si="80" ref="J222:EG222">J220+J219-J221</f>
        <v>0</v>
      </c>
      <c r="K222" s="541">
        <f t="shared" si="80"/>
        <v>0</v>
      </c>
      <c r="L222" s="541">
        <f t="shared" si="80"/>
        <v>0</v>
      </c>
      <c r="M222" s="541">
        <f t="shared" si="80"/>
        <v>0</v>
      </c>
      <c r="N222" s="541">
        <f t="shared" si="80"/>
        <v>0</v>
      </c>
      <c r="O222" s="541">
        <f t="shared" si="80"/>
        <v>0</v>
      </c>
      <c r="P222" s="541">
        <f t="shared" si="80"/>
        <v>0</v>
      </c>
      <c r="Q222" s="541">
        <f t="shared" si="80"/>
        <v>9524.2618544395227</v>
      </c>
      <c r="R222" s="541">
        <f t="shared" si="80"/>
        <v>25289.902618405918</v>
      </c>
      <c r="S222" s="541">
        <f t="shared" si="80"/>
        <v>25289.902618405918</v>
      </c>
      <c r="T222" s="541">
        <f t="shared" si="80"/>
        <v>25289.902618405918</v>
      </c>
      <c r="U222" s="541">
        <f t="shared" si="80"/>
        <v>25289.902618405918</v>
      </c>
      <c r="V222" s="541">
        <f t="shared" si="80"/>
        <v>25289.902618405918</v>
      </c>
      <c r="W222" s="541">
        <f t="shared" si="80"/>
        <v>25289.902618405918</v>
      </c>
      <c r="X222" s="541">
        <f t="shared" si="80"/>
        <v>25289.902618405918</v>
      </c>
      <c r="Y222" s="541">
        <f t="shared" si="80"/>
        <v>25289.902618405918</v>
      </c>
      <c r="Z222" s="541">
        <f t="shared" si="80"/>
        <v>25289.902618405918</v>
      </c>
      <c r="AA222" s="541">
        <f t="shared" si="80"/>
        <v>25289.902618405918</v>
      </c>
      <c r="AB222" s="541">
        <f t="shared" si="80"/>
        <v>25289.902618405918</v>
      </c>
      <c r="AC222" s="541">
        <f t="shared" si="80"/>
        <v>25289.902618405918</v>
      </c>
      <c r="AD222" s="541">
        <f t="shared" si="80"/>
        <v>25289.902618405918</v>
      </c>
      <c r="AE222" s="541">
        <f t="shared" si="80"/>
        <v>25289.902618405918</v>
      </c>
      <c r="AF222" s="541">
        <f t="shared" si="80"/>
        <v>25289.902618405918</v>
      </c>
      <c r="AG222" s="541">
        <f t="shared" si="80"/>
        <v>25289.902618405918</v>
      </c>
      <c r="AH222" s="541">
        <f t="shared" si="80"/>
        <v>24763.029647189127</v>
      </c>
      <c r="AI222" s="541">
        <f t="shared" si="80"/>
        <v>24236.156675972336</v>
      </c>
      <c r="AJ222" s="541">
        <f t="shared" si="80"/>
        <v>23709.283704755544</v>
      </c>
      <c r="AK222" s="541">
        <f t="shared" si="80"/>
        <v>23182.410733538753</v>
      </c>
      <c r="AL222" s="541">
        <f t="shared" si="80"/>
        <v>22655.537762321961</v>
      </c>
      <c r="AM222" s="541">
        <f t="shared" si="80"/>
        <v>22128.66479110517</v>
      </c>
      <c r="AN222" s="541">
        <f t="shared" si="80"/>
        <v>21601.791819888378</v>
      </c>
      <c r="AO222" s="541">
        <f t="shared" si="80"/>
        <v>21074.918848671587</v>
      </c>
      <c r="AP222" s="541">
        <f t="shared" si="80"/>
        <v>20548.045877454795</v>
      </c>
      <c r="AQ222" s="541">
        <f t="shared" si="80"/>
        <v>20021.172906238004</v>
      </c>
      <c r="AR222" s="541">
        <f t="shared" si="80"/>
        <v>19494.299935021212</v>
      </c>
      <c r="AS222" s="541">
        <f t="shared" si="80"/>
        <v>18967.426963804421</v>
      </c>
      <c r="AT222" s="541">
        <f t="shared" si="80"/>
        <v>18440.553992587629</v>
      </c>
      <c r="AU222" s="541">
        <f t="shared" si="80"/>
        <v>17913.681021370838</v>
      </c>
      <c r="AV222" s="541">
        <f t="shared" si="80"/>
        <v>17386.808050154046</v>
      </c>
      <c r="AW222" s="541">
        <f t="shared" si="80"/>
        <v>16859.935078937255</v>
      </c>
      <c r="AX222" s="541">
        <f t="shared" si="80"/>
        <v>16333.062107720465</v>
      </c>
      <c r="AY222" s="541">
        <f t="shared" si="80"/>
        <v>15806.189136503675</v>
      </c>
      <c r="AZ222" s="541">
        <f t="shared" si="80"/>
        <v>15279.316165286886</v>
      </c>
      <c r="BA222" s="541">
        <f t="shared" si="80"/>
        <v>14752.443194070096</v>
      </c>
      <c r="BB222" s="541">
        <f t="shared" si="80"/>
        <v>14225.570222853306</v>
      </c>
      <c r="BC222" s="541">
        <f t="shared" si="80"/>
        <v>13698.697251636517</v>
      </c>
      <c r="BD222" s="541">
        <f t="shared" si="80"/>
        <v>13171.824280419727</v>
      </c>
      <c r="BE222" s="541">
        <f t="shared" si="80"/>
        <v>12644.951309202937</v>
      </c>
      <c r="BF222" s="541">
        <f t="shared" si="80"/>
        <v>12118.078337986148</v>
      </c>
      <c r="BG222" s="541">
        <f t="shared" si="80"/>
        <v>11591.205366769358</v>
      </c>
      <c r="BH222" s="541">
        <f t="shared" si="80"/>
        <v>11064.332395552568</v>
      </c>
      <c r="BI222" s="541">
        <f t="shared" si="80"/>
        <v>10537.459424335779</v>
      </c>
      <c r="BJ222" s="541">
        <f t="shared" si="80"/>
        <v>10010.586453118989</v>
      </c>
      <c r="BK222" s="541">
        <f t="shared" si="80"/>
        <v>9483.7134819021994</v>
      </c>
      <c r="BL222" s="541">
        <f t="shared" si="80"/>
        <v>8956.8405106854098</v>
      </c>
      <c r="BM222" s="541">
        <f t="shared" si="80"/>
        <v>8429.9675394686201</v>
      </c>
      <c r="BN222" s="541">
        <f t="shared" si="80"/>
        <v>7903.0945682518304</v>
      </c>
      <c r="BO222" s="541">
        <f t="shared" si="80"/>
        <v>7376.2215970350408</v>
      </c>
      <c r="BP222" s="541">
        <f t="shared" si="80"/>
        <v>6849.3486258182511</v>
      </c>
      <c r="BQ222" s="541">
        <f t="shared" si="80"/>
        <v>6322.4756546014614</v>
      </c>
      <c r="BR222" s="541">
        <f t="shared" si="80"/>
        <v>5795.6026833846718</v>
      </c>
      <c r="BS222" s="541">
        <f t="shared" si="80"/>
        <v>5268.7297121678821</v>
      </c>
      <c r="BT222" s="541">
        <f t="shared" si="80"/>
        <v>4741.8567409510924</v>
      </c>
      <c r="BU222" s="541">
        <f t="shared" si="80"/>
        <v>4214.9837697343028</v>
      </c>
      <c r="BV222" s="541">
        <f t="shared" si="80"/>
        <v>3688.1107985175126</v>
      </c>
      <c r="BW222" s="541">
        <f t="shared" si="80"/>
        <v>3161.2378273007225</v>
      </c>
      <c r="BX222" s="541">
        <f t="shared" si="80"/>
        <v>2634.3648560839324</v>
      </c>
      <c r="BY222" s="541">
        <f t="shared" si="80"/>
        <v>2107.4918848671423</v>
      </c>
      <c r="BZ222" s="541">
        <f t="shared" si="80"/>
        <v>1580.6189136503522</v>
      </c>
      <c r="CA222" s="541">
        <f t="shared" si="80"/>
        <v>1053.745942433562</v>
      </c>
      <c r="CB222" s="541">
        <f t="shared" si="80"/>
        <v>526.87297121677204</v>
      </c>
      <c r="CC222" s="541">
        <f t="shared" si="80"/>
        <v>-1.7962520360015333E-11</v>
      </c>
      <c r="CD222" s="541">
        <f t="shared" si="80"/>
        <v>-1.7962520360015333E-11</v>
      </c>
      <c r="CE222" s="541">
        <f t="shared" si="80"/>
        <v>-1.7962520360015333E-11</v>
      </c>
      <c r="CF222" s="541">
        <f t="shared" si="80"/>
        <v>-1.7962520360015333E-11</v>
      </c>
      <c r="CG222" s="541">
        <f t="shared" si="80"/>
        <v>-1.7962520360015333E-11</v>
      </c>
      <c r="CH222" s="541">
        <f t="shared" si="80"/>
        <v>-1.7962520360015333E-11</v>
      </c>
      <c r="CI222" s="541">
        <f t="shared" si="80"/>
        <v>-1.7962520360015333E-11</v>
      </c>
      <c r="CJ222" s="541">
        <f t="shared" si="80"/>
        <v>-1.7962520360015333E-11</v>
      </c>
      <c r="CK222" s="541">
        <f t="shared" si="80"/>
        <v>-1.7962520360015333E-11</v>
      </c>
      <c r="CL222" s="541">
        <f t="shared" si="80"/>
        <v>-1.7962520360015333E-11</v>
      </c>
      <c r="CM222" s="541">
        <f t="shared" si="80"/>
        <v>-1.7962520360015333E-11</v>
      </c>
      <c r="CN222" s="541">
        <f t="shared" si="80"/>
        <v>-1.7962520360015333E-11</v>
      </c>
      <c r="CO222" s="541">
        <f t="shared" si="80"/>
        <v>-1.7962520360015333E-11</v>
      </c>
      <c r="CP222" s="541">
        <f t="shared" si="80"/>
        <v>-1.7962520360015333E-11</v>
      </c>
      <c r="CQ222" s="541">
        <f t="shared" si="80"/>
        <v>-1.7962520360015333E-11</v>
      </c>
      <c r="CR222" s="541">
        <f t="shared" si="80"/>
        <v>-1.7962520360015333E-11</v>
      </c>
      <c r="CS222" s="541">
        <f t="shared" si="80"/>
        <v>-1.7962520360015333E-11</v>
      </c>
      <c r="CT222" s="541">
        <f t="shared" si="80"/>
        <v>-1.7962520360015333E-11</v>
      </c>
      <c r="CU222" s="541">
        <f t="shared" si="80"/>
        <v>-1.7962520360015333E-11</v>
      </c>
      <c r="CV222" s="541">
        <f t="shared" si="80"/>
        <v>-1.7962520360015333E-11</v>
      </c>
      <c r="CW222" s="541">
        <f t="shared" si="80"/>
        <v>-1.7962520360015333E-11</v>
      </c>
      <c r="CX222" s="541">
        <f t="shared" si="80"/>
        <v>-1.7962520360015333E-11</v>
      </c>
      <c r="CY222" s="541">
        <f t="shared" si="80"/>
        <v>-1.7962520360015333E-11</v>
      </c>
      <c r="CZ222" s="541">
        <f t="shared" si="80"/>
        <v>-1.7962520360015333E-11</v>
      </c>
      <c r="DA222" s="541">
        <f t="shared" si="80"/>
        <v>-1.7962520360015333E-11</v>
      </c>
      <c r="DB222" s="541">
        <f t="shared" si="80"/>
        <v>-1.7962520360015333E-11</v>
      </c>
      <c r="DC222" s="541">
        <f t="shared" si="80"/>
        <v>-1.7962520360015333E-11</v>
      </c>
      <c r="DD222" s="541">
        <f t="shared" si="80"/>
        <v>-1.7962520360015333E-11</v>
      </c>
      <c r="DE222" s="541">
        <f t="shared" si="80"/>
        <v>-1.7962520360015333E-11</v>
      </c>
      <c r="DF222" s="541">
        <f t="shared" si="80"/>
        <v>-1.7962520360015333E-11</v>
      </c>
      <c r="DG222" s="541">
        <f t="shared" si="80"/>
        <v>-1.7962520360015333E-11</v>
      </c>
      <c r="DH222" s="541">
        <f t="shared" si="80"/>
        <v>-1.7962520360015333E-11</v>
      </c>
      <c r="DI222" s="541">
        <f t="shared" si="80"/>
        <v>-1.7962520360015333E-11</v>
      </c>
      <c r="DJ222" s="541">
        <f t="shared" si="80"/>
        <v>-1.7962520360015333E-11</v>
      </c>
      <c r="DK222" s="541">
        <f t="shared" si="80"/>
        <v>-1.7962520360015333E-11</v>
      </c>
      <c r="DL222" s="541">
        <f t="shared" si="80"/>
        <v>-1.7962520360015333E-11</v>
      </c>
      <c r="DM222" s="541">
        <f t="shared" si="80"/>
        <v>-1.7962520360015333E-11</v>
      </c>
      <c r="DN222" s="541">
        <f t="shared" si="80"/>
        <v>-1.7962520360015333E-11</v>
      </c>
      <c r="DO222" s="541">
        <f t="shared" si="80"/>
        <v>-1.7962520360015333E-11</v>
      </c>
      <c r="DP222" s="541">
        <f t="shared" si="80"/>
        <v>-1.7962520360015333E-11</v>
      </c>
      <c r="DQ222" s="541">
        <f t="shared" si="80"/>
        <v>-1.7962520360015333E-11</v>
      </c>
      <c r="DR222" s="541">
        <f t="shared" si="80"/>
        <v>-1.7962520360015333E-11</v>
      </c>
      <c r="DS222" s="541">
        <f t="shared" si="80"/>
        <v>-1.7962520360015333E-11</v>
      </c>
      <c r="DT222" s="541">
        <f t="shared" si="80"/>
        <v>-1.7962520360015333E-11</v>
      </c>
      <c r="DU222" s="541">
        <f t="shared" si="80"/>
        <v>-1.7962520360015333E-11</v>
      </c>
      <c r="DV222" s="541">
        <f t="shared" si="80"/>
        <v>-1.7962520360015333E-11</v>
      </c>
      <c r="DW222" s="541">
        <f t="shared" si="80"/>
        <v>-1.7962520360015333E-11</v>
      </c>
      <c r="DX222" s="541">
        <f t="shared" si="80"/>
        <v>-1.7962520360015333E-11</v>
      </c>
      <c r="DY222" s="541">
        <f t="shared" si="80"/>
        <v>-1.7962520360015333E-11</v>
      </c>
      <c r="DZ222" s="541">
        <f t="shared" si="80"/>
        <v>-1.7962520360015333E-11</v>
      </c>
      <c r="EA222" s="541">
        <f t="shared" si="80"/>
        <v>-1.7962520360015333E-11</v>
      </c>
      <c r="EB222" s="541">
        <f t="shared" si="80"/>
        <v>-1.7962520360015333E-11</v>
      </c>
      <c r="EC222" s="541">
        <f t="shared" si="80"/>
        <v>-1.7962520360015333E-11</v>
      </c>
      <c r="ED222" s="541">
        <f t="shared" si="80"/>
        <v>-1.7962520360015333E-11</v>
      </c>
      <c r="EE222" s="541">
        <f t="shared" si="80"/>
        <v>-1.7962520360015333E-11</v>
      </c>
      <c r="EF222" s="541">
        <f t="shared" si="80"/>
        <v>-1.7962520360015333E-11</v>
      </c>
      <c r="EG222" s="541">
        <f t="shared" si="80"/>
        <v>-1.7962520360015333E-11</v>
      </c>
    </row>
    <row r="224" spans="5:137" ht="12.75">
      <c r="E224" s="538" t="str">
        <f>E$199</f>
        <v>Junior facility - interest paid</v>
      </c>
      <c r="G224" s="539" t="str">
        <f>G$199</f>
        <v>EUR 000s</v>
      </c>
      <c r="H224" s="539">
        <f>H$199</f>
        <v>13943.397268295888</v>
      </c>
      <c r="J224" s="539">
        <f t="shared" si="81" ref="J224:EG224">J$199</f>
        <v>0</v>
      </c>
      <c r="K224" s="539">
        <f t="shared" si="81"/>
        <v>0</v>
      </c>
      <c r="L224" s="539">
        <f t="shared" si="81"/>
        <v>0</v>
      </c>
      <c r="M224" s="539">
        <f t="shared" si="81"/>
        <v>0</v>
      </c>
      <c r="N224" s="539">
        <f t="shared" si="81"/>
        <v>0</v>
      </c>
      <c r="O224" s="539">
        <f t="shared" si="81"/>
        <v>0</v>
      </c>
      <c r="P224" s="539">
        <f t="shared" si="81"/>
        <v>0</v>
      </c>
      <c r="Q224" s="539">
        <f t="shared" si="81"/>
        <v>0</v>
      </c>
      <c r="R224" s="539">
        <f t="shared" si="81"/>
        <v>0</v>
      </c>
      <c r="S224" s="539">
        <f t="shared" si="81"/>
        <v>0</v>
      </c>
      <c r="T224" s="539">
        <f t="shared" si="81"/>
        <v>0</v>
      </c>
      <c r="U224" s="539">
        <f t="shared" si="81"/>
        <v>0</v>
      </c>
      <c r="V224" s="539">
        <f t="shared" si="81"/>
        <v>0</v>
      </c>
      <c r="W224" s="539">
        <f t="shared" si="81"/>
        <v>0</v>
      </c>
      <c r="X224" s="539">
        <f t="shared" si="81"/>
        <v>0</v>
      </c>
      <c r="Y224" s="539">
        <f t="shared" si="81"/>
        <v>0</v>
      </c>
      <c r="Z224" s="539">
        <f t="shared" si="81"/>
        <v>0</v>
      </c>
      <c r="AA224" s="539">
        <f t="shared" si="81"/>
        <v>0</v>
      </c>
      <c r="AB224" s="539">
        <f t="shared" si="81"/>
        <v>0</v>
      </c>
      <c r="AC224" s="539">
        <f t="shared" si="81"/>
        <v>0</v>
      </c>
      <c r="AD224" s="539">
        <f t="shared" si="81"/>
        <v>0</v>
      </c>
      <c r="AE224" s="539">
        <f t="shared" si="81"/>
        <v>0</v>
      </c>
      <c r="AF224" s="539">
        <f t="shared" si="81"/>
        <v>0</v>
      </c>
      <c r="AG224" s="539">
        <f t="shared" si="81"/>
        <v>0</v>
      </c>
      <c r="AH224" s="539">
        <f t="shared" si="81"/>
        <v>561.22797591530946</v>
      </c>
      <c r="AI224" s="539">
        <f t="shared" si="81"/>
        <v>555.64167893281899</v>
      </c>
      <c r="AJ224" s="539">
        <f t="shared" si="81"/>
        <v>549.79555418370114</v>
      </c>
      <c r="AK224" s="539">
        <f t="shared" si="81"/>
        <v>537.84347691883806</v>
      </c>
      <c r="AL224" s="539">
        <f t="shared" si="81"/>
        <v>514.45897792236678</v>
      </c>
      <c r="AM224" s="539">
        <f t="shared" si="81"/>
        <v>508.35302540662155</v>
      </c>
      <c r="AN224" s="539">
        <f t="shared" si="81"/>
        <v>501.98724512424877</v>
      </c>
      <c r="AO224" s="539">
        <f t="shared" si="81"/>
        <v>490.03516785938558</v>
      </c>
      <c r="AP224" s="539">
        <f t="shared" si="81"/>
        <v>467.68997992942428</v>
      </c>
      <c r="AQ224" s="539">
        <f t="shared" si="81"/>
        <v>461.06437188042401</v>
      </c>
      <c r="AR224" s="539">
        <f t="shared" si="81"/>
        <v>454.17893606479629</v>
      </c>
      <c r="AS224" s="539">
        <f t="shared" si="81"/>
        <v>442.22685879993327</v>
      </c>
      <c r="AT224" s="539">
        <f t="shared" si="81"/>
        <v>425.5978817357759</v>
      </c>
      <c r="AU224" s="539">
        <f t="shared" si="81"/>
        <v>413.77571835422651</v>
      </c>
      <c r="AV224" s="539">
        <f t="shared" si="81"/>
        <v>406.37062700534392</v>
      </c>
      <c r="AW224" s="539">
        <f t="shared" si="81"/>
        <v>394.41854974048084</v>
      </c>
      <c r="AX224" s="539">
        <f t="shared" si="81"/>
        <v>374.15198394353911</v>
      </c>
      <c r="AY224" s="539">
        <f t="shared" si="81"/>
        <v>366.48706482802908</v>
      </c>
      <c r="AZ224" s="539">
        <f t="shared" si="81"/>
        <v>358.56231794589155</v>
      </c>
      <c r="BA224" s="539">
        <f t="shared" si="81"/>
        <v>346.61024068102847</v>
      </c>
      <c r="BB224" s="539">
        <f t="shared" si="81"/>
        <v>327.38298595059666</v>
      </c>
      <c r="BC224" s="539">
        <f t="shared" si="81"/>
        <v>319.1984113018317</v>
      </c>
      <c r="BD224" s="539">
        <f t="shared" si="81"/>
        <v>310.75400888643935</v>
      </c>
      <c r="BE224" s="539">
        <f t="shared" si="81"/>
        <v>298.80193162157627</v>
      </c>
      <c r="BF224" s="539">
        <f t="shared" si="81"/>
        <v>280.61398795765422</v>
      </c>
      <c r="BG224" s="539">
        <f t="shared" si="81"/>
        <v>271.90975777563438</v>
      </c>
      <c r="BH224" s="539">
        <f t="shared" si="81"/>
        <v>262.94569982698704</v>
      </c>
      <c r="BI224" s="539">
        <f t="shared" si="81"/>
        <v>250.99362256212402</v>
      </c>
      <c r="BJ224" s="539">
        <f t="shared" si="81"/>
        <v>236.44326763098636</v>
      </c>
      <c r="BK224" s="539">
        <f t="shared" si="81"/>
        <v>224.62110424943702</v>
      </c>
      <c r="BL224" s="539">
        <f t="shared" si="81"/>
        <v>215.13739076753484</v>
      </c>
      <c r="BM224" s="539">
        <f t="shared" si="81"/>
        <v>203.18531350267176</v>
      </c>
      <c r="BN224" s="539">
        <f t="shared" si="81"/>
        <v>187.07599197176938</v>
      </c>
      <c r="BO224" s="539">
        <f t="shared" si="81"/>
        <v>177.33245072323967</v>
      </c>
      <c r="BP224" s="539">
        <f t="shared" si="81"/>
        <v>167.32908170808255</v>
      </c>
      <c r="BQ224" s="539">
        <f t="shared" si="81"/>
        <v>155.37700444321948</v>
      </c>
      <c r="BR224" s="539">
        <f t="shared" si="81"/>
        <v>140.30699397882694</v>
      </c>
      <c r="BS224" s="539">
        <f t="shared" si="81"/>
        <v>130.04379719704235</v>
      </c>
      <c r="BT224" s="539">
        <f t="shared" si="81"/>
        <v>119.52077264863031</v>
      </c>
      <c r="BU224" s="539">
        <f t="shared" si="81"/>
        <v>107.56869538376725</v>
      </c>
      <c r="BV224" s="539">
        <f t="shared" si="81"/>
        <v>93.537995985884535</v>
      </c>
      <c r="BW224" s="539">
        <f t="shared" si="81"/>
        <v>82.755143670845015</v>
      </c>
      <c r="BX224" s="539">
        <f t="shared" si="81"/>
        <v>71.712463589178029</v>
      </c>
      <c r="BY224" s="539">
        <f t="shared" si="81"/>
        <v>59.760386324314958</v>
      </c>
      <c r="BZ224" s="539">
        <f t="shared" si="81"/>
        <v>47.288653526196974</v>
      </c>
      <c r="CA224" s="539">
        <f t="shared" si="81"/>
        <v>35.466490144647629</v>
      </c>
      <c r="CB224" s="539">
        <f t="shared" si="81"/>
        <v>23.904154529725734</v>
      </c>
      <c r="CC224" s="539">
        <f t="shared" si="81"/>
        <v>11.952077264862666</v>
      </c>
      <c r="CD224" s="539">
        <f t="shared" si="81"/>
        <v>-3.9862031483869642E-13</v>
      </c>
      <c r="CE224" s="539">
        <f t="shared" si="81"/>
        <v>-4.0304942944801527E-13</v>
      </c>
      <c r="CF224" s="539">
        <f t="shared" si="81"/>
        <v>-4.0747854405733406E-13</v>
      </c>
      <c r="CG224" s="539">
        <f t="shared" si="81"/>
        <v>-4.0747854405733406E-13</v>
      </c>
      <c r="CH224" s="539">
        <f t="shared" si="81"/>
        <v>-3.9862031483869642E-13</v>
      </c>
      <c r="CI224" s="539">
        <f t="shared" si="81"/>
        <v>-4.0304942944801527E-13</v>
      </c>
      <c r="CJ224" s="539">
        <f t="shared" si="81"/>
        <v>-4.0747854405733406E-13</v>
      </c>
      <c r="CK224" s="539">
        <f t="shared" si="81"/>
        <v>-4.0747854405733406E-13</v>
      </c>
      <c r="CL224" s="539">
        <f t="shared" si="81"/>
        <v>-3.9862031483869642E-13</v>
      </c>
      <c r="CM224" s="539">
        <f t="shared" si="81"/>
        <v>-4.0304942944801527E-13</v>
      </c>
      <c r="CN224" s="539">
        <f t="shared" si="81"/>
        <v>-4.0747854405733406E-13</v>
      </c>
      <c r="CO224" s="539">
        <f t="shared" si="81"/>
        <v>-4.0747854405733406E-13</v>
      </c>
      <c r="CP224" s="539">
        <f t="shared" si="81"/>
        <v>-4.0304942944801527E-13</v>
      </c>
      <c r="CQ224" s="539">
        <f t="shared" si="81"/>
        <v>-4.0304942944801527E-13</v>
      </c>
      <c r="CR224" s="539">
        <f t="shared" si="81"/>
        <v>-4.0747854405733406E-13</v>
      </c>
      <c r="CS224" s="539">
        <f t="shared" si="81"/>
        <v>-4.0747854405733406E-13</v>
      </c>
      <c r="CT224" s="539">
        <f t="shared" si="81"/>
        <v>-3.9862031483869642E-13</v>
      </c>
      <c r="CU224" s="539">
        <f t="shared" si="81"/>
        <v>-4.0304942944801527E-13</v>
      </c>
      <c r="CV224" s="539">
        <f t="shared" si="81"/>
        <v>-4.0747854405733406E-13</v>
      </c>
      <c r="CW224" s="539">
        <f t="shared" si="81"/>
        <v>-4.0747854405733406E-13</v>
      </c>
      <c r="CX224" s="539">
        <f t="shared" si="81"/>
        <v>-3.9862031483869642E-13</v>
      </c>
      <c r="CY224" s="539">
        <f t="shared" si="81"/>
        <v>-4.0304942944801527E-13</v>
      </c>
      <c r="CZ224" s="539">
        <f t="shared" si="81"/>
        <v>-4.0747854405733406E-13</v>
      </c>
      <c r="DA224" s="539">
        <f t="shared" si="81"/>
        <v>-4.0747854405733406E-13</v>
      </c>
      <c r="DB224" s="539">
        <f t="shared" si="81"/>
        <v>-3.9862031483869642E-13</v>
      </c>
      <c r="DC224" s="539">
        <f t="shared" si="81"/>
        <v>-4.0304942944801527E-13</v>
      </c>
      <c r="DD224" s="539">
        <f t="shared" si="81"/>
        <v>-4.0747854405733406E-13</v>
      </c>
      <c r="DE224" s="539">
        <f t="shared" si="81"/>
        <v>-4.0747854405733406E-13</v>
      </c>
      <c r="DF224" s="539">
        <f t="shared" si="81"/>
        <v>-4.0304942944801527E-13</v>
      </c>
      <c r="DG224" s="539">
        <f t="shared" si="81"/>
        <v>-4.0304942944801527E-13</v>
      </c>
      <c r="DH224" s="539">
        <f t="shared" si="81"/>
        <v>-4.0747854405733406E-13</v>
      </c>
      <c r="DI224" s="539">
        <f t="shared" si="81"/>
        <v>-4.0747854405733406E-13</v>
      </c>
      <c r="DJ224" s="539">
        <f t="shared" si="81"/>
        <v>-3.9862031483869642E-13</v>
      </c>
      <c r="DK224" s="539">
        <f t="shared" si="81"/>
        <v>-4.0304942944801527E-13</v>
      </c>
      <c r="DL224" s="539">
        <f t="shared" si="81"/>
        <v>-4.0747854405733406E-13</v>
      </c>
      <c r="DM224" s="539">
        <f t="shared" si="81"/>
        <v>-4.0747854405733406E-13</v>
      </c>
      <c r="DN224" s="539">
        <f t="shared" si="81"/>
        <v>-3.9862031483869642E-13</v>
      </c>
      <c r="DO224" s="539">
        <f t="shared" si="81"/>
        <v>-4.0304942944801527E-13</v>
      </c>
      <c r="DP224" s="539">
        <f t="shared" si="81"/>
        <v>-4.0747854405733406E-13</v>
      </c>
      <c r="DQ224" s="539">
        <f t="shared" si="81"/>
        <v>-4.0747854405733406E-13</v>
      </c>
      <c r="DR224" s="539">
        <f t="shared" si="81"/>
        <v>-3.9862031483869642E-13</v>
      </c>
      <c r="DS224" s="539">
        <f t="shared" si="81"/>
        <v>-4.0304942944801527E-13</v>
      </c>
      <c r="DT224" s="539">
        <f t="shared" si="81"/>
        <v>-4.0747854405733406E-13</v>
      </c>
      <c r="DU224" s="539">
        <f t="shared" si="81"/>
        <v>-4.0747854405733406E-13</v>
      </c>
      <c r="DV224" s="539">
        <f t="shared" si="81"/>
        <v>-4.0304942944801527E-13</v>
      </c>
      <c r="DW224" s="539">
        <f t="shared" si="81"/>
        <v>-4.0304942944801527E-13</v>
      </c>
      <c r="DX224" s="539">
        <f t="shared" si="81"/>
        <v>-4.0747854405733406E-13</v>
      </c>
      <c r="DY224" s="539">
        <f t="shared" si="81"/>
        <v>-4.0747854405733406E-13</v>
      </c>
      <c r="DZ224" s="539">
        <f t="shared" si="81"/>
        <v>-3.9862031483869642E-13</v>
      </c>
      <c r="EA224" s="539">
        <f t="shared" si="81"/>
        <v>-4.0304942944801527E-13</v>
      </c>
      <c r="EB224" s="539">
        <f t="shared" si="81"/>
        <v>-4.0747854405733406E-13</v>
      </c>
      <c r="EC224" s="539">
        <f t="shared" si="81"/>
        <v>-4.0747854405733406E-13</v>
      </c>
      <c r="ED224" s="539">
        <f t="shared" si="81"/>
        <v>0</v>
      </c>
      <c r="EE224" s="539">
        <f t="shared" si="81"/>
        <v>0</v>
      </c>
      <c r="EF224" s="539">
        <f t="shared" si="81"/>
        <v>0</v>
      </c>
      <c r="EG224" s="539">
        <f t="shared" si="81"/>
        <v>0</v>
      </c>
    </row>
    <row r="225" spans="5:137" ht="12.75">
      <c r="E225" s="538" t="str">
        <f>E$211</f>
        <v>Junior facility - principal paid</v>
      </c>
      <c r="G225" s="539" t="str">
        <f>G$211</f>
        <v>EUR 000s</v>
      </c>
      <c r="H225" s="539">
        <f>H$211</f>
        <v>25289.902618405937</v>
      </c>
      <c r="J225" s="539">
        <f t="shared" si="82" ref="J225:EG225">J$211</f>
        <v>0</v>
      </c>
      <c r="K225" s="539">
        <f t="shared" si="82"/>
        <v>0</v>
      </c>
      <c r="L225" s="539">
        <f t="shared" si="82"/>
        <v>0</v>
      </c>
      <c r="M225" s="539">
        <f t="shared" si="82"/>
        <v>0</v>
      </c>
      <c r="N225" s="539">
        <f t="shared" si="82"/>
        <v>0</v>
      </c>
      <c r="O225" s="539">
        <f t="shared" si="82"/>
        <v>0</v>
      </c>
      <c r="P225" s="539">
        <f t="shared" si="82"/>
        <v>0</v>
      </c>
      <c r="Q225" s="539">
        <f t="shared" si="82"/>
        <v>0</v>
      </c>
      <c r="R225" s="539">
        <f t="shared" si="82"/>
        <v>0</v>
      </c>
      <c r="S225" s="539">
        <f t="shared" si="82"/>
        <v>0</v>
      </c>
      <c r="T225" s="539">
        <f t="shared" si="82"/>
        <v>0</v>
      </c>
      <c r="U225" s="539">
        <f t="shared" si="82"/>
        <v>0</v>
      </c>
      <c r="V225" s="539">
        <f t="shared" si="82"/>
        <v>0</v>
      </c>
      <c r="W225" s="539">
        <f t="shared" si="82"/>
        <v>0</v>
      </c>
      <c r="X225" s="539">
        <f t="shared" si="82"/>
        <v>0</v>
      </c>
      <c r="Y225" s="539">
        <f t="shared" si="82"/>
        <v>0</v>
      </c>
      <c r="Z225" s="539">
        <f t="shared" si="82"/>
        <v>0</v>
      </c>
      <c r="AA225" s="539">
        <f t="shared" si="82"/>
        <v>0</v>
      </c>
      <c r="AB225" s="539">
        <f t="shared" si="82"/>
        <v>0</v>
      </c>
      <c r="AC225" s="539">
        <f t="shared" si="82"/>
        <v>0</v>
      </c>
      <c r="AD225" s="539">
        <f t="shared" si="82"/>
        <v>0</v>
      </c>
      <c r="AE225" s="539">
        <f t="shared" si="82"/>
        <v>0</v>
      </c>
      <c r="AF225" s="539">
        <f t="shared" si="82"/>
        <v>0</v>
      </c>
      <c r="AG225" s="539">
        <f t="shared" si="82"/>
        <v>0</v>
      </c>
      <c r="AH225" s="539">
        <f t="shared" si="82"/>
        <v>526.87297121679001</v>
      </c>
      <c r="AI225" s="539">
        <f t="shared" si="82"/>
        <v>526.87297121679001</v>
      </c>
      <c r="AJ225" s="539">
        <f t="shared" si="82"/>
        <v>526.87297121679001</v>
      </c>
      <c r="AK225" s="539">
        <f t="shared" si="82"/>
        <v>526.87297121679001</v>
      </c>
      <c r="AL225" s="539">
        <f t="shared" si="82"/>
        <v>526.87297121679001</v>
      </c>
      <c r="AM225" s="539">
        <f t="shared" si="82"/>
        <v>526.87297121679001</v>
      </c>
      <c r="AN225" s="539">
        <f t="shared" si="82"/>
        <v>526.87297121679001</v>
      </c>
      <c r="AO225" s="539">
        <f t="shared" si="82"/>
        <v>526.87297121679001</v>
      </c>
      <c r="AP225" s="539">
        <f t="shared" si="82"/>
        <v>526.87297121679001</v>
      </c>
      <c r="AQ225" s="539">
        <f t="shared" si="82"/>
        <v>526.87297121679001</v>
      </c>
      <c r="AR225" s="539">
        <f t="shared" si="82"/>
        <v>526.87297121679001</v>
      </c>
      <c r="AS225" s="539">
        <f t="shared" si="82"/>
        <v>526.87297121679001</v>
      </c>
      <c r="AT225" s="539">
        <f t="shared" si="82"/>
        <v>526.87297121679001</v>
      </c>
      <c r="AU225" s="539">
        <f t="shared" si="82"/>
        <v>526.87297121679001</v>
      </c>
      <c r="AV225" s="539">
        <f t="shared" si="82"/>
        <v>526.87297121679001</v>
      </c>
      <c r="AW225" s="539">
        <f t="shared" si="82"/>
        <v>526.87297121679001</v>
      </c>
      <c r="AX225" s="539">
        <f t="shared" si="82"/>
        <v>526.87297121679001</v>
      </c>
      <c r="AY225" s="539">
        <f t="shared" si="82"/>
        <v>526.87297121679001</v>
      </c>
      <c r="AZ225" s="539">
        <f t="shared" si="82"/>
        <v>526.87297121679001</v>
      </c>
      <c r="BA225" s="539">
        <f t="shared" si="82"/>
        <v>526.87297121679001</v>
      </c>
      <c r="BB225" s="539">
        <f t="shared" si="82"/>
        <v>526.87297121679001</v>
      </c>
      <c r="BC225" s="539">
        <f t="shared" si="82"/>
        <v>526.87297121679001</v>
      </c>
      <c r="BD225" s="539">
        <f t="shared" si="82"/>
        <v>526.87297121679001</v>
      </c>
      <c r="BE225" s="539">
        <f t="shared" si="82"/>
        <v>526.87297121679001</v>
      </c>
      <c r="BF225" s="539">
        <f t="shared" si="82"/>
        <v>526.87297121679001</v>
      </c>
      <c r="BG225" s="539">
        <f t="shared" si="82"/>
        <v>526.87297121679001</v>
      </c>
      <c r="BH225" s="539">
        <f t="shared" si="82"/>
        <v>526.87297121679001</v>
      </c>
      <c r="BI225" s="539">
        <f t="shared" si="82"/>
        <v>526.87297121679001</v>
      </c>
      <c r="BJ225" s="539">
        <f t="shared" si="82"/>
        <v>526.87297121679001</v>
      </c>
      <c r="BK225" s="539">
        <f t="shared" si="82"/>
        <v>526.87297121679001</v>
      </c>
      <c r="BL225" s="539">
        <f t="shared" si="82"/>
        <v>526.87297121679001</v>
      </c>
      <c r="BM225" s="539">
        <f t="shared" si="82"/>
        <v>526.87297121679001</v>
      </c>
      <c r="BN225" s="539">
        <f t="shared" si="82"/>
        <v>526.87297121679001</v>
      </c>
      <c r="BO225" s="539">
        <f t="shared" si="82"/>
        <v>526.87297121679001</v>
      </c>
      <c r="BP225" s="539">
        <f t="shared" si="82"/>
        <v>526.87297121679001</v>
      </c>
      <c r="BQ225" s="539">
        <f t="shared" si="82"/>
        <v>526.87297121679001</v>
      </c>
      <c r="BR225" s="539">
        <f t="shared" si="82"/>
        <v>526.87297121679001</v>
      </c>
      <c r="BS225" s="539">
        <f t="shared" si="82"/>
        <v>526.87297121679001</v>
      </c>
      <c r="BT225" s="539">
        <f t="shared" si="82"/>
        <v>526.87297121679001</v>
      </c>
      <c r="BU225" s="539">
        <f t="shared" si="82"/>
        <v>526.87297121679001</v>
      </c>
      <c r="BV225" s="539">
        <f t="shared" si="82"/>
        <v>526.87297121679001</v>
      </c>
      <c r="BW225" s="539">
        <f t="shared" si="82"/>
        <v>526.87297121679001</v>
      </c>
      <c r="BX225" s="539">
        <f t="shared" si="82"/>
        <v>526.87297121679001</v>
      </c>
      <c r="BY225" s="539">
        <f t="shared" si="82"/>
        <v>526.87297121679001</v>
      </c>
      <c r="BZ225" s="539">
        <f t="shared" si="82"/>
        <v>526.87297121679001</v>
      </c>
      <c r="CA225" s="539">
        <f t="shared" si="82"/>
        <v>526.87297121679001</v>
      </c>
      <c r="CB225" s="539">
        <f t="shared" si="82"/>
        <v>526.87297121679001</v>
      </c>
      <c r="CC225" s="539">
        <f t="shared" si="82"/>
        <v>526.87297121679001</v>
      </c>
      <c r="CD225" s="539">
        <f t="shared" si="82"/>
        <v>0</v>
      </c>
      <c r="CE225" s="539">
        <f t="shared" si="82"/>
        <v>0</v>
      </c>
      <c r="CF225" s="539">
        <f t="shared" si="82"/>
        <v>0</v>
      </c>
      <c r="CG225" s="539">
        <f t="shared" si="82"/>
        <v>0</v>
      </c>
      <c r="CH225" s="539">
        <f t="shared" si="82"/>
        <v>0</v>
      </c>
      <c r="CI225" s="539">
        <f t="shared" si="82"/>
        <v>0</v>
      </c>
      <c r="CJ225" s="539">
        <f t="shared" si="82"/>
        <v>0</v>
      </c>
      <c r="CK225" s="539">
        <f t="shared" si="82"/>
        <v>0</v>
      </c>
      <c r="CL225" s="539">
        <f t="shared" si="82"/>
        <v>0</v>
      </c>
      <c r="CM225" s="539">
        <f t="shared" si="82"/>
        <v>0</v>
      </c>
      <c r="CN225" s="539">
        <f t="shared" si="82"/>
        <v>0</v>
      </c>
      <c r="CO225" s="539">
        <f t="shared" si="82"/>
        <v>0</v>
      </c>
      <c r="CP225" s="539">
        <f t="shared" si="82"/>
        <v>0</v>
      </c>
      <c r="CQ225" s="539">
        <f t="shared" si="82"/>
        <v>0</v>
      </c>
      <c r="CR225" s="539">
        <f t="shared" si="82"/>
        <v>0</v>
      </c>
      <c r="CS225" s="539">
        <f t="shared" si="82"/>
        <v>0</v>
      </c>
      <c r="CT225" s="539">
        <f t="shared" si="82"/>
        <v>0</v>
      </c>
      <c r="CU225" s="539">
        <f t="shared" si="82"/>
        <v>0</v>
      </c>
      <c r="CV225" s="539">
        <f t="shared" si="82"/>
        <v>0</v>
      </c>
      <c r="CW225" s="539">
        <f t="shared" si="82"/>
        <v>0</v>
      </c>
      <c r="CX225" s="539">
        <f t="shared" si="82"/>
        <v>0</v>
      </c>
      <c r="CY225" s="539">
        <f t="shared" si="82"/>
        <v>0</v>
      </c>
      <c r="CZ225" s="539">
        <f t="shared" si="82"/>
        <v>0</v>
      </c>
      <c r="DA225" s="539">
        <f t="shared" si="82"/>
        <v>0</v>
      </c>
      <c r="DB225" s="539">
        <f t="shared" si="82"/>
        <v>0</v>
      </c>
      <c r="DC225" s="539">
        <f t="shared" si="82"/>
        <v>0</v>
      </c>
      <c r="DD225" s="539">
        <f t="shared" si="82"/>
        <v>0</v>
      </c>
      <c r="DE225" s="539">
        <f t="shared" si="82"/>
        <v>0</v>
      </c>
      <c r="DF225" s="539">
        <f t="shared" si="82"/>
        <v>0</v>
      </c>
      <c r="DG225" s="539">
        <f t="shared" si="82"/>
        <v>0</v>
      </c>
      <c r="DH225" s="539">
        <f t="shared" si="82"/>
        <v>0</v>
      </c>
      <c r="DI225" s="539">
        <f t="shared" si="82"/>
        <v>0</v>
      </c>
      <c r="DJ225" s="539">
        <f t="shared" si="82"/>
        <v>0</v>
      </c>
      <c r="DK225" s="539">
        <f t="shared" si="82"/>
        <v>0</v>
      </c>
      <c r="DL225" s="539">
        <f t="shared" si="82"/>
        <v>0</v>
      </c>
      <c r="DM225" s="539">
        <f t="shared" si="82"/>
        <v>0</v>
      </c>
      <c r="DN225" s="539">
        <f t="shared" si="82"/>
        <v>0</v>
      </c>
      <c r="DO225" s="539">
        <f t="shared" si="82"/>
        <v>0</v>
      </c>
      <c r="DP225" s="539">
        <f t="shared" si="82"/>
        <v>0</v>
      </c>
      <c r="DQ225" s="539">
        <f t="shared" si="82"/>
        <v>0</v>
      </c>
      <c r="DR225" s="539">
        <f t="shared" si="82"/>
        <v>0</v>
      </c>
      <c r="DS225" s="539">
        <f t="shared" si="82"/>
        <v>0</v>
      </c>
      <c r="DT225" s="539">
        <f t="shared" si="82"/>
        <v>0</v>
      </c>
      <c r="DU225" s="539">
        <f t="shared" si="82"/>
        <v>0</v>
      </c>
      <c r="DV225" s="539">
        <f t="shared" si="82"/>
        <v>0</v>
      </c>
      <c r="DW225" s="539">
        <f t="shared" si="82"/>
        <v>0</v>
      </c>
      <c r="DX225" s="539">
        <f t="shared" si="82"/>
        <v>0</v>
      </c>
      <c r="DY225" s="539">
        <f t="shared" si="82"/>
        <v>0</v>
      </c>
      <c r="DZ225" s="539">
        <f t="shared" si="82"/>
        <v>0</v>
      </c>
      <c r="EA225" s="539">
        <f t="shared" si="82"/>
        <v>0</v>
      </c>
      <c r="EB225" s="539">
        <f t="shared" si="82"/>
        <v>0</v>
      </c>
      <c r="EC225" s="539">
        <f t="shared" si="82"/>
        <v>0</v>
      </c>
      <c r="ED225" s="539">
        <f t="shared" si="82"/>
        <v>0</v>
      </c>
      <c r="EE225" s="539">
        <f t="shared" si="82"/>
        <v>0</v>
      </c>
      <c r="EF225" s="539">
        <f t="shared" si="82"/>
        <v>0</v>
      </c>
      <c r="EG225" s="539">
        <f t="shared" si="82"/>
        <v>0</v>
      </c>
    </row>
    <row r="226" spans="5:137" ht="12.75">
      <c r="E226" s="540" t="s">
        <v>356</v>
      </c>
      <c r="G226" s="541" t="s">
        <v>30</v>
      </c>
      <c r="H226" s="541">
        <f>SUM(J226:EG226)</f>
        <v>39233.299886701796</v>
      </c>
      <c r="J226" s="541">
        <f t="shared" si="83" ref="J226:EG226">J224+J225</f>
        <v>0</v>
      </c>
      <c r="K226" s="541">
        <f t="shared" si="83"/>
        <v>0</v>
      </c>
      <c r="L226" s="541">
        <f t="shared" si="83"/>
        <v>0</v>
      </c>
      <c r="M226" s="541">
        <f t="shared" si="83"/>
        <v>0</v>
      </c>
      <c r="N226" s="541">
        <f t="shared" si="83"/>
        <v>0</v>
      </c>
      <c r="O226" s="541">
        <f t="shared" si="83"/>
        <v>0</v>
      </c>
      <c r="P226" s="541">
        <f t="shared" si="83"/>
        <v>0</v>
      </c>
      <c r="Q226" s="541">
        <f t="shared" si="83"/>
        <v>0</v>
      </c>
      <c r="R226" s="541">
        <f t="shared" si="83"/>
        <v>0</v>
      </c>
      <c r="S226" s="541">
        <f t="shared" si="83"/>
        <v>0</v>
      </c>
      <c r="T226" s="541">
        <f t="shared" si="83"/>
        <v>0</v>
      </c>
      <c r="U226" s="541">
        <f t="shared" si="83"/>
        <v>0</v>
      </c>
      <c r="V226" s="541">
        <f t="shared" si="83"/>
        <v>0</v>
      </c>
      <c r="W226" s="541">
        <f t="shared" si="83"/>
        <v>0</v>
      </c>
      <c r="X226" s="541">
        <f t="shared" si="83"/>
        <v>0</v>
      </c>
      <c r="Y226" s="541">
        <f t="shared" si="83"/>
        <v>0</v>
      </c>
      <c r="Z226" s="541">
        <f t="shared" si="83"/>
        <v>0</v>
      </c>
      <c r="AA226" s="541">
        <f t="shared" si="83"/>
        <v>0</v>
      </c>
      <c r="AB226" s="541">
        <f t="shared" si="83"/>
        <v>0</v>
      </c>
      <c r="AC226" s="541">
        <f t="shared" si="83"/>
        <v>0</v>
      </c>
      <c r="AD226" s="541">
        <f t="shared" si="83"/>
        <v>0</v>
      </c>
      <c r="AE226" s="541">
        <f t="shared" si="83"/>
        <v>0</v>
      </c>
      <c r="AF226" s="541">
        <f t="shared" si="83"/>
        <v>0</v>
      </c>
      <c r="AG226" s="541">
        <f t="shared" si="83"/>
        <v>0</v>
      </c>
      <c r="AH226" s="541">
        <f t="shared" si="83"/>
        <v>1088.1009471320995</v>
      </c>
      <c r="AI226" s="541">
        <f t="shared" si="83"/>
        <v>1082.514650149609</v>
      </c>
      <c r="AJ226" s="541">
        <f t="shared" si="83"/>
        <v>1076.668525400491</v>
      </c>
      <c r="AK226" s="541">
        <f t="shared" si="83"/>
        <v>1064.7164481356281</v>
      </c>
      <c r="AL226" s="541">
        <f t="shared" si="83"/>
        <v>1041.3319491391567</v>
      </c>
      <c r="AM226" s="541">
        <f t="shared" si="83"/>
        <v>1035.2259966234114</v>
      </c>
      <c r="AN226" s="541">
        <f t="shared" si="83"/>
        <v>1028.8602163410387</v>
      </c>
      <c r="AO226" s="541">
        <f t="shared" si="83"/>
        <v>1016.9081390761755</v>
      </c>
      <c r="AP226" s="541">
        <f t="shared" si="83"/>
        <v>994.56295114621435</v>
      </c>
      <c r="AQ226" s="541">
        <f t="shared" si="83"/>
        <v>987.93734309721401</v>
      </c>
      <c r="AR226" s="541">
        <f t="shared" si="83"/>
        <v>981.0519072815863</v>
      </c>
      <c r="AS226" s="541">
        <f t="shared" si="83"/>
        <v>969.09983001672322</v>
      </c>
      <c r="AT226" s="541">
        <f t="shared" si="83"/>
        <v>952.47085295256591</v>
      </c>
      <c r="AU226" s="541">
        <f t="shared" si="83"/>
        <v>940.64868957101658</v>
      </c>
      <c r="AV226" s="541">
        <f t="shared" si="83"/>
        <v>933.24359822213387</v>
      </c>
      <c r="AW226" s="541">
        <f t="shared" si="83"/>
        <v>921.2915209572709</v>
      </c>
      <c r="AX226" s="541">
        <f t="shared" si="83"/>
        <v>901.02495516032911</v>
      </c>
      <c r="AY226" s="541">
        <f t="shared" si="83"/>
        <v>893.36003604481903</v>
      </c>
      <c r="AZ226" s="541">
        <f t="shared" si="83"/>
        <v>885.43528916268156</v>
      </c>
      <c r="BA226" s="541">
        <f t="shared" si="83"/>
        <v>873.48321189781848</v>
      </c>
      <c r="BB226" s="541">
        <f t="shared" si="83"/>
        <v>854.25595716738667</v>
      </c>
      <c r="BC226" s="541">
        <f t="shared" si="83"/>
        <v>846.0713825186217</v>
      </c>
      <c r="BD226" s="541">
        <f t="shared" si="83"/>
        <v>837.62698010322936</v>
      </c>
      <c r="BE226" s="541">
        <f t="shared" si="83"/>
        <v>825.67490283836628</v>
      </c>
      <c r="BF226" s="541">
        <f t="shared" si="83"/>
        <v>807.48695917444422</v>
      </c>
      <c r="BG226" s="541">
        <f t="shared" si="83"/>
        <v>798.78272899242438</v>
      </c>
      <c r="BH226" s="541">
        <f t="shared" si="83"/>
        <v>789.81867104377704</v>
      </c>
      <c r="BI226" s="541">
        <f t="shared" si="83"/>
        <v>777.86659377891397</v>
      </c>
      <c r="BJ226" s="541">
        <f t="shared" si="83"/>
        <v>763.31623884777639</v>
      </c>
      <c r="BK226" s="541">
        <f t="shared" si="83"/>
        <v>751.49407546622706</v>
      </c>
      <c r="BL226" s="541">
        <f t="shared" si="83"/>
        <v>742.01036198432485</v>
      </c>
      <c r="BM226" s="541">
        <f t="shared" si="83"/>
        <v>730.05828471946177</v>
      </c>
      <c r="BN226" s="541">
        <f t="shared" si="83"/>
        <v>713.94896318855945</v>
      </c>
      <c r="BO226" s="541">
        <f t="shared" si="83"/>
        <v>704.20542194002974</v>
      </c>
      <c r="BP226" s="541">
        <f t="shared" si="83"/>
        <v>694.20205292487253</v>
      </c>
      <c r="BQ226" s="541">
        <f t="shared" si="83"/>
        <v>682.24997566000945</v>
      </c>
      <c r="BR226" s="541">
        <f t="shared" si="83"/>
        <v>667.17996519561689</v>
      </c>
      <c r="BS226" s="541">
        <f t="shared" si="83"/>
        <v>656.91676841383241</v>
      </c>
      <c r="BT226" s="541">
        <f t="shared" si="83"/>
        <v>646.39374386542033</v>
      </c>
      <c r="BU226" s="541">
        <f t="shared" si="83"/>
        <v>634.44166660055726</v>
      </c>
      <c r="BV226" s="541">
        <f t="shared" si="83"/>
        <v>620.41096720267456</v>
      </c>
      <c r="BW226" s="541">
        <f t="shared" si="83"/>
        <v>609.62811488763498</v>
      </c>
      <c r="BX226" s="541">
        <f t="shared" si="83"/>
        <v>598.58543480596802</v>
      </c>
      <c r="BY226" s="541">
        <f t="shared" si="83"/>
        <v>586.63335754110494</v>
      </c>
      <c r="BZ226" s="541">
        <f t="shared" si="83"/>
        <v>574.16162474298699</v>
      </c>
      <c r="CA226" s="541">
        <f t="shared" si="83"/>
        <v>562.33946136143766</v>
      </c>
      <c r="CB226" s="541">
        <f t="shared" si="83"/>
        <v>550.77712574651571</v>
      </c>
      <c r="CC226" s="541">
        <f t="shared" si="83"/>
        <v>538.82504848165263</v>
      </c>
      <c r="CD226" s="541">
        <f t="shared" si="83"/>
        <v>-3.9862031483869642E-13</v>
      </c>
      <c r="CE226" s="541">
        <f t="shared" si="83"/>
        <v>-4.0304942944801527E-13</v>
      </c>
      <c r="CF226" s="541">
        <f t="shared" si="83"/>
        <v>-4.0747854405733406E-13</v>
      </c>
      <c r="CG226" s="541">
        <f t="shared" si="83"/>
        <v>-4.0747854405733406E-13</v>
      </c>
      <c r="CH226" s="541">
        <f t="shared" si="83"/>
        <v>-3.9862031483869642E-13</v>
      </c>
      <c r="CI226" s="541">
        <f t="shared" si="83"/>
        <v>-4.0304942944801527E-13</v>
      </c>
      <c r="CJ226" s="541">
        <f t="shared" si="83"/>
        <v>-4.0747854405733406E-13</v>
      </c>
      <c r="CK226" s="541">
        <f t="shared" si="83"/>
        <v>-4.0747854405733406E-13</v>
      </c>
      <c r="CL226" s="541">
        <f t="shared" si="83"/>
        <v>-3.9862031483869642E-13</v>
      </c>
      <c r="CM226" s="541">
        <f t="shared" si="83"/>
        <v>-4.0304942944801527E-13</v>
      </c>
      <c r="CN226" s="541">
        <f t="shared" si="83"/>
        <v>-4.0747854405733406E-13</v>
      </c>
      <c r="CO226" s="541">
        <f t="shared" si="83"/>
        <v>-4.0747854405733406E-13</v>
      </c>
      <c r="CP226" s="541">
        <f t="shared" si="83"/>
        <v>-4.0304942944801527E-13</v>
      </c>
      <c r="CQ226" s="541">
        <f t="shared" si="83"/>
        <v>-4.0304942944801527E-13</v>
      </c>
      <c r="CR226" s="541">
        <f t="shared" si="83"/>
        <v>-4.0747854405733406E-13</v>
      </c>
      <c r="CS226" s="541">
        <f t="shared" si="83"/>
        <v>-4.0747854405733406E-13</v>
      </c>
      <c r="CT226" s="541">
        <f t="shared" si="83"/>
        <v>-3.9862031483869642E-13</v>
      </c>
      <c r="CU226" s="541">
        <f t="shared" si="83"/>
        <v>-4.0304942944801527E-13</v>
      </c>
      <c r="CV226" s="541">
        <f t="shared" si="83"/>
        <v>-4.0747854405733406E-13</v>
      </c>
      <c r="CW226" s="541">
        <f t="shared" si="83"/>
        <v>-4.0747854405733406E-13</v>
      </c>
      <c r="CX226" s="541">
        <f t="shared" si="83"/>
        <v>-3.9862031483869642E-13</v>
      </c>
      <c r="CY226" s="541">
        <f t="shared" si="83"/>
        <v>-4.0304942944801527E-13</v>
      </c>
      <c r="CZ226" s="541">
        <f t="shared" si="83"/>
        <v>-4.0747854405733406E-13</v>
      </c>
      <c r="DA226" s="541">
        <f t="shared" si="83"/>
        <v>-4.0747854405733406E-13</v>
      </c>
      <c r="DB226" s="541">
        <f t="shared" si="83"/>
        <v>-3.9862031483869642E-13</v>
      </c>
      <c r="DC226" s="541">
        <f t="shared" si="83"/>
        <v>-4.0304942944801527E-13</v>
      </c>
      <c r="DD226" s="541">
        <f t="shared" si="83"/>
        <v>-4.0747854405733406E-13</v>
      </c>
      <c r="DE226" s="541">
        <f t="shared" si="83"/>
        <v>-4.0747854405733406E-13</v>
      </c>
      <c r="DF226" s="541">
        <f t="shared" si="83"/>
        <v>-4.0304942944801527E-13</v>
      </c>
      <c r="DG226" s="541">
        <f t="shared" si="83"/>
        <v>-4.0304942944801527E-13</v>
      </c>
      <c r="DH226" s="541">
        <f t="shared" si="83"/>
        <v>-4.0747854405733406E-13</v>
      </c>
      <c r="DI226" s="541">
        <f t="shared" si="83"/>
        <v>-4.0747854405733406E-13</v>
      </c>
      <c r="DJ226" s="541">
        <f t="shared" si="83"/>
        <v>-3.9862031483869642E-13</v>
      </c>
      <c r="DK226" s="541">
        <f t="shared" si="83"/>
        <v>-4.0304942944801527E-13</v>
      </c>
      <c r="DL226" s="541">
        <f t="shared" si="83"/>
        <v>-4.0747854405733406E-13</v>
      </c>
      <c r="DM226" s="541">
        <f t="shared" si="83"/>
        <v>-4.0747854405733406E-13</v>
      </c>
      <c r="DN226" s="541">
        <f t="shared" si="83"/>
        <v>-3.9862031483869642E-13</v>
      </c>
      <c r="DO226" s="541">
        <f t="shared" si="83"/>
        <v>-4.0304942944801527E-13</v>
      </c>
      <c r="DP226" s="541">
        <f t="shared" si="83"/>
        <v>-4.0747854405733406E-13</v>
      </c>
      <c r="DQ226" s="541">
        <f t="shared" si="83"/>
        <v>-4.0747854405733406E-13</v>
      </c>
      <c r="DR226" s="541">
        <f t="shared" si="83"/>
        <v>-3.9862031483869642E-13</v>
      </c>
      <c r="DS226" s="541">
        <f t="shared" si="83"/>
        <v>-4.0304942944801527E-13</v>
      </c>
      <c r="DT226" s="541">
        <f t="shared" si="83"/>
        <v>-4.0747854405733406E-13</v>
      </c>
      <c r="DU226" s="541">
        <f t="shared" si="83"/>
        <v>-4.0747854405733406E-13</v>
      </c>
      <c r="DV226" s="541">
        <f t="shared" si="83"/>
        <v>-4.0304942944801527E-13</v>
      </c>
      <c r="DW226" s="541">
        <f t="shared" si="83"/>
        <v>-4.0304942944801527E-13</v>
      </c>
      <c r="DX226" s="541">
        <f t="shared" si="83"/>
        <v>-4.0747854405733406E-13</v>
      </c>
      <c r="DY226" s="541">
        <f t="shared" si="83"/>
        <v>-4.0747854405733406E-13</v>
      </c>
      <c r="DZ226" s="541">
        <f t="shared" si="83"/>
        <v>-3.9862031483869642E-13</v>
      </c>
      <c r="EA226" s="541">
        <f t="shared" si="83"/>
        <v>-4.0304942944801527E-13</v>
      </c>
      <c r="EB226" s="541">
        <f t="shared" si="83"/>
        <v>-4.0747854405733406E-13</v>
      </c>
      <c r="EC226" s="541">
        <f t="shared" si="83"/>
        <v>-4.0747854405733406E-13</v>
      </c>
      <c r="ED226" s="541">
        <f t="shared" si="83"/>
        <v>0</v>
      </c>
      <c r="EE226" s="541">
        <f t="shared" si="83"/>
        <v>0</v>
      </c>
      <c r="EF226" s="541">
        <f t="shared" si="83"/>
        <v>0</v>
      </c>
      <c r="EG226" s="541">
        <f t="shared" si="83"/>
        <v>0</v>
      </c>
    </row>
    <row r="229" spans="1:1" ht="12.75">
      <c r="A229" s="534" t="s">
        <v>357</v>
      </c>
    </row>
    <row r="231" spans="5:7" ht="12.75">
      <c r="E231" s="535" t="str">
        <f>InpC!E$128</f>
        <v>Check tolerance</v>
      </c>
      <c r="F231" s="537">
        <f>InpC!F$128</f>
        <v>0.001</v>
      </c>
      <c r="G231" s="537" t="str">
        <f>InpC!G$128</f>
        <v>EUR 000s</v>
      </c>
    </row>
    <row r="232" spans="5:137" ht="12.75">
      <c r="E232" s="538" t="str">
        <f>E$150</f>
        <v>Junior facility - maturity period flag</v>
      </c>
      <c r="G232" s="539" t="str">
        <f>G$150</f>
        <v>flag</v>
      </c>
      <c r="H232" s="539">
        <f>H$150</f>
        <v>1</v>
      </c>
      <c r="J232" s="539">
        <f t="shared" si="84" ref="J232:EG232">J$150</f>
        <v>0</v>
      </c>
      <c r="K232" s="539">
        <f t="shared" si="84"/>
        <v>0</v>
      </c>
      <c r="L232" s="539">
        <f t="shared" si="84"/>
        <v>0</v>
      </c>
      <c r="M232" s="539">
        <f t="shared" si="84"/>
        <v>0</v>
      </c>
      <c r="N232" s="539">
        <f t="shared" si="84"/>
        <v>0</v>
      </c>
      <c r="O232" s="539">
        <f t="shared" si="84"/>
        <v>0</v>
      </c>
      <c r="P232" s="539">
        <f t="shared" si="84"/>
        <v>0</v>
      </c>
      <c r="Q232" s="539">
        <f t="shared" si="84"/>
        <v>0</v>
      </c>
      <c r="R232" s="539">
        <f t="shared" si="84"/>
        <v>0</v>
      </c>
      <c r="S232" s="539">
        <f t="shared" si="84"/>
        <v>0</v>
      </c>
      <c r="T232" s="539">
        <f t="shared" si="84"/>
        <v>0</v>
      </c>
      <c r="U232" s="539">
        <f t="shared" si="84"/>
        <v>0</v>
      </c>
      <c r="V232" s="539">
        <f t="shared" si="84"/>
        <v>0</v>
      </c>
      <c r="W232" s="539">
        <f t="shared" si="84"/>
        <v>0</v>
      </c>
      <c r="X232" s="539">
        <f t="shared" si="84"/>
        <v>0</v>
      </c>
      <c r="Y232" s="539">
        <f t="shared" si="84"/>
        <v>0</v>
      </c>
      <c r="Z232" s="539">
        <f t="shared" si="84"/>
        <v>0</v>
      </c>
      <c r="AA232" s="539">
        <f t="shared" si="84"/>
        <v>0</v>
      </c>
      <c r="AB232" s="539">
        <f t="shared" si="84"/>
        <v>0</v>
      </c>
      <c r="AC232" s="539">
        <f t="shared" si="84"/>
        <v>0</v>
      </c>
      <c r="AD232" s="539">
        <f t="shared" si="84"/>
        <v>0</v>
      </c>
      <c r="AE232" s="539">
        <f t="shared" si="84"/>
        <v>0</v>
      </c>
      <c r="AF232" s="539">
        <f t="shared" si="84"/>
        <v>0</v>
      </c>
      <c r="AG232" s="539">
        <f t="shared" si="84"/>
        <v>0</v>
      </c>
      <c r="AH232" s="539">
        <f t="shared" si="84"/>
        <v>0</v>
      </c>
      <c r="AI232" s="539">
        <f t="shared" si="84"/>
        <v>0</v>
      </c>
      <c r="AJ232" s="539">
        <f t="shared" si="84"/>
        <v>0</v>
      </c>
      <c r="AK232" s="539">
        <f t="shared" si="84"/>
        <v>0</v>
      </c>
      <c r="AL232" s="539">
        <f t="shared" si="84"/>
        <v>0</v>
      </c>
      <c r="AM232" s="539">
        <f t="shared" si="84"/>
        <v>0</v>
      </c>
      <c r="AN232" s="539">
        <f t="shared" si="84"/>
        <v>0</v>
      </c>
      <c r="AO232" s="539">
        <f t="shared" si="84"/>
        <v>0</v>
      </c>
      <c r="AP232" s="539">
        <f t="shared" si="84"/>
        <v>0</v>
      </c>
      <c r="AQ232" s="539">
        <f t="shared" si="84"/>
        <v>0</v>
      </c>
      <c r="AR232" s="539">
        <f t="shared" si="84"/>
        <v>0</v>
      </c>
      <c r="AS232" s="539">
        <f t="shared" si="84"/>
        <v>0</v>
      </c>
      <c r="AT232" s="539">
        <f t="shared" si="84"/>
        <v>0</v>
      </c>
      <c r="AU232" s="539">
        <f t="shared" si="84"/>
        <v>0</v>
      </c>
      <c r="AV232" s="539">
        <f t="shared" si="84"/>
        <v>0</v>
      </c>
      <c r="AW232" s="539">
        <f t="shared" si="84"/>
        <v>0</v>
      </c>
      <c r="AX232" s="539">
        <f t="shared" si="84"/>
        <v>0</v>
      </c>
      <c r="AY232" s="539">
        <f t="shared" si="84"/>
        <v>0</v>
      </c>
      <c r="AZ232" s="539">
        <f t="shared" si="84"/>
        <v>0</v>
      </c>
      <c r="BA232" s="539">
        <f t="shared" si="84"/>
        <v>0</v>
      </c>
      <c r="BB232" s="539">
        <f t="shared" si="84"/>
        <v>0</v>
      </c>
      <c r="BC232" s="539">
        <f t="shared" si="84"/>
        <v>0</v>
      </c>
      <c r="BD232" s="539">
        <f t="shared" si="84"/>
        <v>0</v>
      </c>
      <c r="BE232" s="539">
        <f t="shared" si="84"/>
        <v>0</v>
      </c>
      <c r="BF232" s="539">
        <f t="shared" si="84"/>
        <v>0</v>
      </c>
      <c r="BG232" s="539">
        <f t="shared" si="84"/>
        <v>0</v>
      </c>
      <c r="BH232" s="539">
        <f t="shared" si="84"/>
        <v>0</v>
      </c>
      <c r="BI232" s="539">
        <f t="shared" si="84"/>
        <v>0</v>
      </c>
      <c r="BJ232" s="539">
        <f t="shared" si="84"/>
        <v>0</v>
      </c>
      <c r="BK232" s="539">
        <f t="shared" si="84"/>
        <v>0</v>
      </c>
      <c r="BL232" s="539">
        <f t="shared" si="84"/>
        <v>0</v>
      </c>
      <c r="BM232" s="539">
        <f t="shared" si="84"/>
        <v>0</v>
      </c>
      <c r="BN232" s="539">
        <f t="shared" si="84"/>
        <v>0</v>
      </c>
      <c r="BO232" s="539">
        <f t="shared" si="84"/>
        <v>0</v>
      </c>
      <c r="BP232" s="539">
        <f t="shared" si="84"/>
        <v>0</v>
      </c>
      <c r="BQ232" s="539">
        <f t="shared" si="84"/>
        <v>0</v>
      </c>
      <c r="BR232" s="539">
        <f t="shared" si="84"/>
        <v>0</v>
      </c>
      <c r="BS232" s="539">
        <f t="shared" si="84"/>
        <v>0</v>
      </c>
      <c r="BT232" s="539">
        <f t="shared" si="84"/>
        <v>0</v>
      </c>
      <c r="BU232" s="539">
        <f t="shared" si="84"/>
        <v>0</v>
      </c>
      <c r="BV232" s="539">
        <f t="shared" si="84"/>
        <v>0</v>
      </c>
      <c r="BW232" s="539">
        <f t="shared" si="84"/>
        <v>0</v>
      </c>
      <c r="BX232" s="539">
        <f t="shared" si="84"/>
        <v>0</v>
      </c>
      <c r="BY232" s="539">
        <f t="shared" si="84"/>
        <v>0</v>
      </c>
      <c r="BZ232" s="539">
        <f t="shared" si="84"/>
        <v>0</v>
      </c>
      <c r="CA232" s="539">
        <f t="shared" si="84"/>
        <v>0</v>
      </c>
      <c r="CB232" s="539">
        <f t="shared" si="84"/>
        <v>0</v>
      </c>
      <c r="CC232" s="539">
        <f t="shared" si="84"/>
        <v>1</v>
      </c>
      <c r="CD232" s="539">
        <f t="shared" si="84"/>
        <v>0</v>
      </c>
      <c r="CE232" s="539">
        <f t="shared" si="84"/>
        <v>0</v>
      </c>
      <c r="CF232" s="539">
        <f t="shared" si="84"/>
        <v>0</v>
      </c>
      <c r="CG232" s="539">
        <f t="shared" si="84"/>
        <v>0</v>
      </c>
      <c r="CH232" s="539">
        <f t="shared" si="84"/>
        <v>0</v>
      </c>
      <c r="CI232" s="539">
        <f t="shared" si="84"/>
        <v>0</v>
      </c>
      <c r="CJ232" s="539">
        <f t="shared" si="84"/>
        <v>0</v>
      </c>
      <c r="CK232" s="539">
        <f t="shared" si="84"/>
        <v>0</v>
      </c>
      <c r="CL232" s="539">
        <f t="shared" si="84"/>
        <v>0</v>
      </c>
      <c r="CM232" s="539">
        <f t="shared" si="84"/>
        <v>0</v>
      </c>
      <c r="CN232" s="539">
        <f t="shared" si="84"/>
        <v>0</v>
      </c>
      <c r="CO232" s="539">
        <f t="shared" si="84"/>
        <v>0</v>
      </c>
      <c r="CP232" s="539">
        <f t="shared" si="84"/>
        <v>0</v>
      </c>
      <c r="CQ232" s="539">
        <f t="shared" si="84"/>
        <v>0</v>
      </c>
      <c r="CR232" s="539">
        <f t="shared" si="84"/>
        <v>0</v>
      </c>
      <c r="CS232" s="539">
        <f t="shared" si="84"/>
        <v>0</v>
      </c>
      <c r="CT232" s="539">
        <f t="shared" si="84"/>
        <v>0</v>
      </c>
      <c r="CU232" s="539">
        <f t="shared" si="84"/>
        <v>0</v>
      </c>
      <c r="CV232" s="539">
        <f t="shared" si="84"/>
        <v>0</v>
      </c>
      <c r="CW232" s="539">
        <f t="shared" si="84"/>
        <v>0</v>
      </c>
      <c r="CX232" s="539">
        <f t="shared" si="84"/>
        <v>0</v>
      </c>
      <c r="CY232" s="539">
        <f t="shared" si="84"/>
        <v>0</v>
      </c>
      <c r="CZ232" s="539">
        <f t="shared" si="84"/>
        <v>0</v>
      </c>
      <c r="DA232" s="539">
        <f t="shared" si="84"/>
        <v>0</v>
      </c>
      <c r="DB232" s="539">
        <f t="shared" si="84"/>
        <v>0</v>
      </c>
      <c r="DC232" s="539">
        <f t="shared" si="84"/>
        <v>0</v>
      </c>
      <c r="DD232" s="539">
        <f t="shared" si="84"/>
        <v>0</v>
      </c>
      <c r="DE232" s="539">
        <f t="shared" si="84"/>
        <v>0</v>
      </c>
      <c r="DF232" s="539">
        <f t="shared" si="84"/>
        <v>0</v>
      </c>
      <c r="DG232" s="539">
        <f t="shared" si="84"/>
        <v>0</v>
      </c>
      <c r="DH232" s="539">
        <f t="shared" si="84"/>
        <v>0</v>
      </c>
      <c r="DI232" s="539">
        <f t="shared" si="84"/>
        <v>0</v>
      </c>
      <c r="DJ232" s="539">
        <f t="shared" si="84"/>
        <v>0</v>
      </c>
      <c r="DK232" s="539">
        <f t="shared" si="84"/>
        <v>0</v>
      </c>
      <c r="DL232" s="539">
        <f t="shared" si="84"/>
        <v>0</v>
      </c>
      <c r="DM232" s="539">
        <f t="shared" si="84"/>
        <v>0</v>
      </c>
      <c r="DN232" s="539">
        <f t="shared" si="84"/>
        <v>0</v>
      </c>
      <c r="DO232" s="539">
        <f t="shared" si="84"/>
        <v>0</v>
      </c>
      <c r="DP232" s="539">
        <f t="shared" si="84"/>
        <v>0</v>
      </c>
      <c r="DQ232" s="539">
        <f t="shared" si="84"/>
        <v>0</v>
      </c>
      <c r="DR232" s="539">
        <f t="shared" si="84"/>
        <v>0</v>
      </c>
      <c r="DS232" s="539">
        <f t="shared" si="84"/>
        <v>0</v>
      </c>
      <c r="DT232" s="539">
        <f t="shared" si="84"/>
        <v>0</v>
      </c>
      <c r="DU232" s="539">
        <f t="shared" si="84"/>
        <v>0</v>
      </c>
      <c r="DV232" s="539">
        <f t="shared" si="84"/>
        <v>0</v>
      </c>
      <c r="DW232" s="539">
        <f t="shared" si="84"/>
        <v>0</v>
      </c>
      <c r="DX232" s="539">
        <f t="shared" si="84"/>
        <v>0</v>
      </c>
      <c r="DY232" s="539">
        <f t="shared" si="84"/>
        <v>0</v>
      </c>
      <c r="DZ232" s="539">
        <f t="shared" si="84"/>
        <v>0</v>
      </c>
      <c r="EA232" s="539">
        <f t="shared" si="84"/>
        <v>0</v>
      </c>
      <c r="EB232" s="539">
        <f t="shared" si="84"/>
        <v>0</v>
      </c>
      <c r="EC232" s="539">
        <f t="shared" si="84"/>
        <v>0</v>
      </c>
      <c r="ED232" s="539">
        <f t="shared" si="84"/>
        <v>0</v>
      </c>
      <c r="EE232" s="539">
        <f t="shared" si="84"/>
        <v>0</v>
      </c>
      <c r="EF232" s="539">
        <f t="shared" si="84"/>
        <v>0</v>
      </c>
      <c r="EG232" s="539">
        <f t="shared" si="84"/>
        <v>0</v>
      </c>
    </row>
    <row r="233" spans="5:137" ht="12.75">
      <c r="E233" s="538" t="str">
        <f>E$216</f>
        <v>Junior facility - closing principal arrears</v>
      </c>
      <c r="G233" s="539" t="str">
        <f>G$216</f>
        <v>EUR 000s</v>
      </c>
      <c r="H233" s="539">
        <f>H$216</f>
        <v>0</v>
      </c>
      <c r="J233" s="539">
        <f t="shared" si="85" ref="J233:EG233">J$216</f>
        <v>0</v>
      </c>
      <c r="K233" s="539">
        <f t="shared" si="85"/>
        <v>0</v>
      </c>
      <c r="L233" s="539">
        <f t="shared" si="85"/>
        <v>0</v>
      </c>
      <c r="M233" s="539">
        <f t="shared" si="85"/>
        <v>0</v>
      </c>
      <c r="N233" s="539">
        <f t="shared" si="85"/>
        <v>0</v>
      </c>
      <c r="O233" s="539">
        <f t="shared" si="85"/>
        <v>0</v>
      </c>
      <c r="P233" s="539">
        <f t="shared" si="85"/>
        <v>0</v>
      </c>
      <c r="Q233" s="539">
        <f t="shared" si="85"/>
        <v>0</v>
      </c>
      <c r="R233" s="539">
        <f t="shared" si="85"/>
        <v>0</v>
      </c>
      <c r="S233" s="539">
        <f t="shared" si="85"/>
        <v>0</v>
      </c>
      <c r="T233" s="539">
        <f t="shared" si="85"/>
        <v>0</v>
      </c>
      <c r="U233" s="539">
        <f t="shared" si="85"/>
        <v>0</v>
      </c>
      <c r="V233" s="539">
        <f t="shared" si="85"/>
        <v>0</v>
      </c>
      <c r="W233" s="539">
        <f t="shared" si="85"/>
        <v>0</v>
      </c>
      <c r="X233" s="539">
        <f t="shared" si="85"/>
        <v>0</v>
      </c>
      <c r="Y233" s="539">
        <f t="shared" si="85"/>
        <v>0</v>
      </c>
      <c r="Z233" s="539">
        <f t="shared" si="85"/>
        <v>0</v>
      </c>
      <c r="AA233" s="539">
        <f t="shared" si="85"/>
        <v>0</v>
      </c>
      <c r="AB233" s="539">
        <f t="shared" si="85"/>
        <v>0</v>
      </c>
      <c r="AC233" s="539">
        <f t="shared" si="85"/>
        <v>0</v>
      </c>
      <c r="AD233" s="539">
        <f t="shared" si="85"/>
        <v>0</v>
      </c>
      <c r="AE233" s="539">
        <f t="shared" si="85"/>
        <v>0</v>
      </c>
      <c r="AF233" s="539">
        <f t="shared" si="85"/>
        <v>0</v>
      </c>
      <c r="AG233" s="539">
        <f t="shared" si="85"/>
        <v>0</v>
      </c>
      <c r="AH233" s="539">
        <f t="shared" si="85"/>
        <v>0</v>
      </c>
      <c r="AI233" s="539">
        <f t="shared" si="85"/>
        <v>0</v>
      </c>
      <c r="AJ233" s="539">
        <f t="shared" si="85"/>
        <v>0</v>
      </c>
      <c r="AK233" s="539">
        <f t="shared" si="85"/>
        <v>0</v>
      </c>
      <c r="AL233" s="539">
        <f t="shared" si="85"/>
        <v>0</v>
      </c>
      <c r="AM233" s="539">
        <f t="shared" si="85"/>
        <v>0</v>
      </c>
      <c r="AN233" s="539">
        <f t="shared" si="85"/>
        <v>0</v>
      </c>
      <c r="AO233" s="539">
        <f t="shared" si="85"/>
        <v>0</v>
      </c>
      <c r="AP233" s="539">
        <f t="shared" si="85"/>
        <v>0</v>
      </c>
      <c r="AQ233" s="539">
        <f t="shared" si="85"/>
        <v>0</v>
      </c>
      <c r="AR233" s="539">
        <f t="shared" si="85"/>
        <v>0</v>
      </c>
      <c r="AS233" s="539">
        <f t="shared" si="85"/>
        <v>0</v>
      </c>
      <c r="AT233" s="539">
        <f t="shared" si="85"/>
        <v>0</v>
      </c>
      <c r="AU233" s="539">
        <f t="shared" si="85"/>
        <v>0</v>
      </c>
      <c r="AV233" s="539">
        <f t="shared" si="85"/>
        <v>0</v>
      </c>
      <c r="AW233" s="539">
        <f t="shared" si="85"/>
        <v>0</v>
      </c>
      <c r="AX233" s="539">
        <f t="shared" si="85"/>
        <v>0</v>
      </c>
      <c r="AY233" s="539">
        <f t="shared" si="85"/>
        <v>0</v>
      </c>
      <c r="AZ233" s="539">
        <f t="shared" si="85"/>
        <v>0</v>
      </c>
      <c r="BA233" s="539">
        <f t="shared" si="85"/>
        <v>0</v>
      </c>
      <c r="BB233" s="539">
        <f t="shared" si="85"/>
        <v>0</v>
      </c>
      <c r="BC233" s="539">
        <f t="shared" si="85"/>
        <v>0</v>
      </c>
      <c r="BD233" s="539">
        <f t="shared" si="85"/>
        <v>0</v>
      </c>
      <c r="BE233" s="539">
        <f t="shared" si="85"/>
        <v>0</v>
      </c>
      <c r="BF233" s="539">
        <f t="shared" si="85"/>
        <v>0</v>
      </c>
      <c r="BG233" s="539">
        <f t="shared" si="85"/>
        <v>0</v>
      </c>
      <c r="BH233" s="539">
        <f t="shared" si="85"/>
        <v>0</v>
      </c>
      <c r="BI233" s="539">
        <f t="shared" si="85"/>
        <v>0</v>
      </c>
      <c r="BJ233" s="539">
        <f t="shared" si="85"/>
        <v>0</v>
      </c>
      <c r="BK233" s="539">
        <f t="shared" si="85"/>
        <v>0</v>
      </c>
      <c r="BL233" s="539">
        <f t="shared" si="85"/>
        <v>0</v>
      </c>
      <c r="BM233" s="539">
        <f t="shared" si="85"/>
        <v>0</v>
      </c>
      <c r="BN233" s="539">
        <f t="shared" si="85"/>
        <v>0</v>
      </c>
      <c r="BO233" s="539">
        <f t="shared" si="85"/>
        <v>0</v>
      </c>
      <c r="BP233" s="539">
        <f t="shared" si="85"/>
        <v>0</v>
      </c>
      <c r="BQ233" s="539">
        <f t="shared" si="85"/>
        <v>0</v>
      </c>
      <c r="BR233" s="539">
        <f t="shared" si="85"/>
        <v>0</v>
      </c>
      <c r="BS233" s="539">
        <f t="shared" si="85"/>
        <v>0</v>
      </c>
      <c r="BT233" s="539">
        <f t="shared" si="85"/>
        <v>0</v>
      </c>
      <c r="BU233" s="539">
        <f t="shared" si="85"/>
        <v>0</v>
      </c>
      <c r="BV233" s="539">
        <f t="shared" si="85"/>
        <v>0</v>
      </c>
      <c r="BW233" s="539">
        <f t="shared" si="85"/>
        <v>0</v>
      </c>
      <c r="BX233" s="539">
        <f t="shared" si="85"/>
        <v>0</v>
      </c>
      <c r="BY233" s="539">
        <f t="shared" si="85"/>
        <v>0</v>
      </c>
      <c r="BZ233" s="539">
        <f t="shared" si="85"/>
        <v>0</v>
      </c>
      <c r="CA233" s="539">
        <f t="shared" si="85"/>
        <v>0</v>
      </c>
      <c r="CB233" s="539">
        <f t="shared" si="85"/>
        <v>0</v>
      </c>
      <c r="CC233" s="539">
        <f t="shared" si="85"/>
        <v>0</v>
      </c>
      <c r="CD233" s="539">
        <f t="shared" si="85"/>
        <v>0</v>
      </c>
      <c r="CE233" s="539">
        <f t="shared" si="85"/>
        <v>0</v>
      </c>
      <c r="CF233" s="539">
        <f t="shared" si="85"/>
        <v>0</v>
      </c>
      <c r="CG233" s="539">
        <f t="shared" si="85"/>
        <v>0</v>
      </c>
      <c r="CH233" s="539">
        <f t="shared" si="85"/>
        <v>0</v>
      </c>
      <c r="CI233" s="539">
        <f t="shared" si="85"/>
        <v>0</v>
      </c>
      <c r="CJ233" s="539">
        <f t="shared" si="85"/>
        <v>0</v>
      </c>
      <c r="CK233" s="539">
        <f t="shared" si="85"/>
        <v>0</v>
      </c>
      <c r="CL233" s="539">
        <f t="shared" si="85"/>
        <v>0</v>
      </c>
      <c r="CM233" s="539">
        <f t="shared" si="85"/>
        <v>0</v>
      </c>
      <c r="CN233" s="539">
        <f t="shared" si="85"/>
        <v>0</v>
      </c>
      <c r="CO233" s="539">
        <f t="shared" si="85"/>
        <v>0</v>
      </c>
      <c r="CP233" s="539">
        <f t="shared" si="85"/>
        <v>0</v>
      </c>
      <c r="CQ233" s="539">
        <f t="shared" si="85"/>
        <v>0</v>
      </c>
      <c r="CR233" s="539">
        <f t="shared" si="85"/>
        <v>0</v>
      </c>
      <c r="CS233" s="539">
        <f t="shared" si="85"/>
        <v>0</v>
      </c>
      <c r="CT233" s="539">
        <f t="shared" si="85"/>
        <v>0</v>
      </c>
      <c r="CU233" s="539">
        <f t="shared" si="85"/>
        <v>0</v>
      </c>
      <c r="CV233" s="539">
        <f t="shared" si="85"/>
        <v>0</v>
      </c>
      <c r="CW233" s="539">
        <f t="shared" si="85"/>
        <v>0</v>
      </c>
      <c r="CX233" s="539">
        <f t="shared" si="85"/>
        <v>0</v>
      </c>
      <c r="CY233" s="539">
        <f t="shared" si="85"/>
        <v>0</v>
      </c>
      <c r="CZ233" s="539">
        <f t="shared" si="85"/>
        <v>0</v>
      </c>
      <c r="DA233" s="539">
        <f t="shared" si="85"/>
        <v>0</v>
      </c>
      <c r="DB233" s="539">
        <f t="shared" si="85"/>
        <v>0</v>
      </c>
      <c r="DC233" s="539">
        <f t="shared" si="85"/>
        <v>0</v>
      </c>
      <c r="DD233" s="539">
        <f t="shared" si="85"/>
        <v>0</v>
      </c>
      <c r="DE233" s="539">
        <f t="shared" si="85"/>
        <v>0</v>
      </c>
      <c r="DF233" s="539">
        <f t="shared" si="85"/>
        <v>0</v>
      </c>
      <c r="DG233" s="539">
        <f t="shared" si="85"/>
        <v>0</v>
      </c>
      <c r="DH233" s="539">
        <f t="shared" si="85"/>
        <v>0</v>
      </c>
      <c r="DI233" s="539">
        <f t="shared" si="85"/>
        <v>0</v>
      </c>
      <c r="DJ233" s="539">
        <f t="shared" si="85"/>
        <v>0</v>
      </c>
      <c r="DK233" s="539">
        <f t="shared" si="85"/>
        <v>0</v>
      </c>
      <c r="DL233" s="539">
        <f t="shared" si="85"/>
        <v>0</v>
      </c>
      <c r="DM233" s="539">
        <f t="shared" si="85"/>
        <v>0</v>
      </c>
      <c r="DN233" s="539">
        <f t="shared" si="85"/>
        <v>0</v>
      </c>
      <c r="DO233" s="539">
        <f t="shared" si="85"/>
        <v>0</v>
      </c>
      <c r="DP233" s="539">
        <f t="shared" si="85"/>
        <v>0</v>
      </c>
      <c r="DQ233" s="539">
        <f t="shared" si="85"/>
        <v>0</v>
      </c>
      <c r="DR233" s="539">
        <f t="shared" si="85"/>
        <v>0</v>
      </c>
      <c r="DS233" s="539">
        <f t="shared" si="85"/>
        <v>0</v>
      </c>
      <c r="DT233" s="539">
        <f t="shared" si="85"/>
        <v>0</v>
      </c>
      <c r="DU233" s="539">
        <f t="shared" si="85"/>
        <v>0</v>
      </c>
      <c r="DV233" s="539">
        <f t="shared" si="85"/>
        <v>0</v>
      </c>
      <c r="DW233" s="539">
        <f t="shared" si="85"/>
        <v>0</v>
      </c>
      <c r="DX233" s="539">
        <f t="shared" si="85"/>
        <v>0</v>
      </c>
      <c r="DY233" s="539">
        <f t="shared" si="85"/>
        <v>0</v>
      </c>
      <c r="DZ233" s="539">
        <f t="shared" si="85"/>
        <v>0</v>
      </c>
      <c r="EA233" s="539">
        <f t="shared" si="85"/>
        <v>0</v>
      </c>
      <c r="EB233" s="539">
        <f t="shared" si="85"/>
        <v>0</v>
      </c>
      <c r="EC233" s="539">
        <f t="shared" si="85"/>
        <v>0</v>
      </c>
      <c r="ED233" s="539">
        <f t="shared" si="85"/>
        <v>0</v>
      </c>
      <c r="EE233" s="539">
        <f t="shared" si="85"/>
        <v>0</v>
      </c>
      <c r="EF233" s="539">
        <f t="shared" si="85"/>
        <v>0</v>
      </c>
      <c r="EG233" s="539">
        <f t="shared" si="85"/>
        <v>0</v>
      </c>
    </row>
    <row r="234" spans="5:137" ht="12.75">
      <c r="E234" s="538" t="str">
        <f>E$222</f>
        <v>Junior facility - closing balance</v>
      </c>
      <c r="G234" s="539" t="str">
        <f>G$222</f>
        <v>EUR 000s</v>
      </c>
      <c r="H234" s="539">
        <f>H$222</f>
        <v>1008475.4152814726</v>
      </c>
      <c r="J234" s="539">
        <f t="shared" si="86" ref="J234:EG234">J$222</f>
        <v>0</v>
      </c>
      <c r="K234" s="539">
        <f t="shared" si="86"/>
        <v>0</v>
      </c>
      <c r="L234" s="539">
        <f t="shared" si="86"/>
        <v>0</v>
      </c>
      <c r="M234" s="539">
        <f t="shared" si="86"/>
        <v>0</v>
      </c>
      <c r="N234" s="539">
        <f t="shared" si="86"/>
        <v>0</v>
      </c>
      <c r="O234" s="539">
        <f t="shared" si="86"/>
        <v>0</v>
      </c>
      <c r="P234" s="539">
        <f t="shared" si="86"/>
        <v>0</v>
      </c>
      <c r="Q234" s="539">
        <f t="shared" si="86"/>
        <v>9524.2618544395227</v>
      </c>
      <c r="R234" s="539">
        <f t="shared" si="86"/>
        <v>25289.902618405918</v>
      </c>
      <c r="S234" s="539">
        <f t="shared" si="86"/>
        <v>25289.902618405918</v>
      </c>
      <c r="T234" s="539">
        <f t="shared" si="86"/>
        <v>25289.902618405918</v>
      </c>
      <c r="U234" s="539">
        <f t="shared" si="86"/>
        <v>25289.902618405918</v>
      </c>
      <c r="V234" s="539">
        <f t="shared" si="86"/>
        <v>25289.902618405918</v>
      </c>
      <c r="W234" s="539">
        <f t="shared" si="86"/>
        <v>25289.902618405918</v>
      </c>
      <c r="X234" s="539">
        <f t="shared" si="86"/>
        <v>25289.902618405918</v>
      </c>
      <c r="Y234" s="539">
        <f t="shared" si="86"/>
        <v>25289.902618405918</v>
      </c>
      <c r="Z234" s="539">
        <f t="shared" si="86"/>
        <v>25289.902618405918</v>
      </c>
      <c r="AA234" s="539">
        <f t="shared" si="86"/>
        <v>25289.902618405918</v>
      </c>
      <c r="AB234" s="539">
        <f t="shared" si="86"/>
        <v>25289.902618405918</v>
      </c>
      <c r="AC234" s="539">
        <f t="shared" si="86"/>
        <v>25289.902618405918</v>
      </c>
      <c r="AD234" s="539">
        <f t="shared" si="86"/>
        <v>25289.902618405918</v>
      </c>
      <c r="AE234" s="539">
        <f t="shared" si="86"/>
        <v>25289.902618405918</v>
      </c>
      <c r="AF234" s="539">
        <f t="shared" si="86"/>
        <v>25289.902618405918</v>
      </c>
      <c r="AG234" s="539">
        <f t="shared" si="86"/>
        <v>25289.902618405918</v>
      </c>
      <c r="AH234" s="539">
        <f t="shared" si="86"/>
        <v>24763.029647189127</v>
      </c>
      <c r="AI234" s="539">
        <f t="shared" si="86"/>
        <v>24236.156675972336</v>
      </c>
      <c r="AJ234" s="539">
        <f t="shared" si="86"/>
        <v>23709.283704755544</v>
      </c>
      <c r="AK234" s="539">
        <f t="shared" si="86"/>
        <v>23182.410733538753</v>
      </c>
      <c r="AL234" s="539">
        <f t="shared" si="86"/>
        <v>22655.537762321961</v>
      </c>
      <c r="AM234" s="539">
        <f t="shared" si="86"/>
        <v>22128.66479110517</v>
      </c>
      <c r="AN234" s="539">
        <f t="shared" si="86"/>
        <v>21601.791819888378</v>
      </c>
      <c r="AO234" s="539">
        <f t="shared" si="86"/>
        <v>21074.918848671587</v>
      </c>
      <c r="AP234" s="539">
        <f t="shared" si="86"/>
        <v>20548.045877454795</v>
      </c>
      <c r="AQ234" s="539">
        <f t="shared" si="86"/>
        <v>20021.172906238004</v>
      </c>
      <c r="AR234" s="539">
        <f t="shared" si="86"/>
        <v>19494.299935021212</v>
      </c>
      <c r="AS234" s="539">
        <f t="shared" si="86"/>
        <v>18967.426963804421</v>
      </c>
      <c r="AT234" s="539">
        <f t="shared" si="86"/>
        <v>18440.553992587629</v>
      </c>
      <c r="AU234" s="539">
        <f t="shared" si="86"/>
        <v>17913.681021370838</v>
      </c>
      <c r="AV234" s="539">
        <f t="shared" si="86"/>
        <v>17386.808050154046</v>
      </c>
      <c r="AW234" s="539">
        <f t="shared" si="86"/>
        <v>16859.935078937255</v>
      </c>
      <c r="AX234" s="539">
        <f t="shared" si="86"/>
        <v>16333.062107720465</v>
      </c>
      <c r="AY234" s="539">
        <f t="shared" si="86"/>
        <v>15806.189136503675</v>
      </c>
      <c r="AZ234" s="539">
        <f t="shared" si="86"/>
        <v>15279.316165286886</v>
      </c>
      <c r="BA234" s="539">
        <f t="shared" si="86"/>
        <v>14752.443194070096</v>
      </c>
      <c r="BB234" s="539">
        <f t="shared" si="86"/>
        <v>14225.570222853306</v>
      </c>
      <c r="BC234" s="539">
        <f t="shared" si="86"/>
        <v>13698.697251636517</v>
      </c>
      <c r="BD234" s="539">
        <f t="shared" si="86"/>
        <v>13171.824280419727</v>
      </c>
      <c r="BE234" s="539">
        <f t="shared" si="86"/>
        <v>12644.951309202937</v>
      </c>
      <c r="BF234" s="539">
        <f t="shared" si="86"/>
        <v>12118.078337986148</v>
      </c>
      <c r="BG234" s="539">
        <f t="shared" si="86"/>
        <v>11591.205366769358</v>
      </c>
      <c r="BH234" s="539">
        <f t="shared" si="86"/>
        <v>11064.332395552568</v>
      </c>
      <c r="BI234" s="539">
        <f t="shared" si="86"/>
        <v>10537.459424335779</v>
      </c>
      <c r="BJ234" s="539">
        <f t="shared" si="86"/>
        <v>10010.586453118989</v>
      </c>
      <c r="BK234" s="539">
        <f t="shared" si="86"/>
        <v>9483.7134819021994</v>
      </c>
      <c r="BL234" s="539">
        <f t="shared" si="86"/>
        <v>8956.8405106854098</v>
      </c>
      <c r="BM234" s="539">
        <f t="shared" si="86"/>
        <v>8429.9675394686201</v>
      </c>
      <c r="BN234" s="539">
        <f t="shared" si="86"/>
        <v>7903.0945682518304</v>
      </c>
      <c r="BO234" s="539">
        <f t="shared" si="86"/>
        <v>7376.2215970350408</v>
      </c>
      <c r="BP234" s="539">
        <f t="shared" si="86"/>
        <v>6849.3486258182511</v>
      </c>
      <c r="BQ234" s="539">
        <f t="shared" si="86"/>
        <v>6322.4756546014614</v>
      </c>
      <c r="BR234" s="539">
        <f t="shared" si="86"/>
        <v>5795.6026833846718</v>
      </c>
      <c r="BS234" s="539">
        <f t="shared" si="86"/>
        <v>5268.7297121678821</v>
      </c>
      <c r="BT234" s="539">
        <f t="shared" si="86"/>
        <v>4741.8567409510924</v>
      </c>
      <c r="BU234" s="539">
        <f t="shared" si="86"/>
        <v>4214.9837697343028</v>
      </c>
      <c r="BV234" s="539">
        <f t="shared" si="86"/>
        <v>3688.1107985175126</v>
      </c>
      <c r="BW234" s="539">
        <f t="shared" si="86"/>
        <v>3161.2378273007225</v>
      </c>
      <c r="BX234" s="539">
        <f t="shared" si="86"/>
        <v>2634.3648560839324</v>
      </c>
      <c r="BY234" s="539">
        <f t="shared" si="86"/>
        <v>2107.4918848671423</v>
      </c>
      <c r="BZ234" s="539">
        <f t="shared" si="86"/>
        <v>1580.6189136503522</v>
      </c>
      <c r="CA234" s="539">
        <f t="shared" si="86"/>
        <v>1053.745942433562</v>
      </c>
      <c r="CB234" s="539">
        <f t="shared" si="86"/>
        <v>526.87297121677204</v>
      </c>
      <c r="CC234" s="539">
        <f t="shared" si="86"/>
        <v>-1.7962520360015333E-11</v>
      </c>
      <c r="CD234" s="539">
        <f t="shared" si="86"/>
        <v>-1.7962520360015333E-11</v>
      </c>
      <c r="CE234" s="539">
        <f t="shared" si="86"/>
        <v>-1.7962520360015333E-11</v>
      </c>
      <c r="CF234" s="539">
        <f t="shared" si="86"/>
        <v>-1.7962520360015333E-11</v>
      </c>
      <c r="CG234" s="539">
        <f t="shared" si="86"/>
        <v>-1.7962520360015333E-11</v>
      </c>
      <c r="CH234" s="539">
        <f t="shared" si="86"/>
        <v>-1.7962520360015333E-11</v>
      </c>
      <c r="CI234" s="539">
        <f t="shared" si="86"/>
        <v>-1.7962520360015333E-11</v>
      </c>
      <c r="CJ234" s="539">
        <f t="shared" si="86"/>
        <v>-1.7962520360015333E-11</v>
      </c>
      <c r="CK234" s="539">
        <f t="shared" si="86"/>
        <v>-1.7962520360015333E-11</v>
      </c>
      <c r="CL234" s="539">
        <f t="shared" si="86"/>
        <v>-1.7962520360015333E-11</v>
      </c>
      <c r="CM234" s="539">
        <f t="shared" si="86"/>
        <v>-1.7962520360015333E-11</v>
      </c>
      <c r="CN234" s="539">
        <f t="shared" si="86"/>
        <v>-1.7962520360015333E-11</v>
      </c>
      <c r="CO234" s="539">
        <f t="shared" si="86"/>
        <v>-1.7962520360015333E-11</v>
      </c>
      <c r="CP234" s="539">
        <f t="shared" si="86"/>
        <v>-1.7962520360015333E-11</v>
      </c>
      <c r="CQ234" s="539">
        <f t="shared" si="86"/>
        <v>-1.7962520360015333E-11</v>
      </c>
      <c r="CR234" s="539">
        <f t="shared" si="86"/>
        <v>-1.7962520360015333E-11</v>
      </c>
      <c r="CS234" s="539">
        <f t="shared" si="86"/>
        <v>-1.7962520360015333E-11</v>
      </c>
      <c r="CT234" s="539">
        <f t="shared" si="86"/>
        <v>-1.7962520360015333E-11</v>
      </c>
      <c r="CU234" s="539">
        <f t="shared" si="86"/>
        <v>-1.7962520360015333E-11</v>
      </c>
      <c r="CV234" s="539">
        <f t="shared" si="86"/>
        <v>-1.7962520360015333E-11</v>
      </c>
      <c r="CW234" s="539">
        <f t="shared" si="86"/>
        <v>-1.7962520360015333E-11</v>
      </c>
      <c r="CX234" s="539">
        <f t="shared" si="86"/>
        <v>-1.7962520360015333E-11</v>
      </c>
      <c r="CY234" s="539">
        <f t="shared" si="86"/>
        <v>-1.7962520360015333E-11</v>
      </c>
      <c r="CZ234" s="539">
        <f t="shared" si="86"/>
        <v>-1.7962520360015333E-11</v>
      </c>
      <c r="DA234" s="539">
        <f t="shared" si="86"/>
        <v>-1.7962520360015333E-11</v>
      </c>
      <c r="DB234" s="539">
        <f t="shared" si="86"/>
        <v>-1.7962520360015333E-11</v>
      </c>
      <c r="DC234" s="539">
        <f t="shared" si="86"/>
        <v>-1.7962520360015333E-11</v>
      </c>
      <c r="DD234" s="539">
        <f t="shared" si="86"/>
        <v>-1.7962520360015333E-11</v>
      </c>
      <c r="DE234" s="539">
        <f t="shared" si="86"/>
        <v>-1.7962520360015333E-11</v>
      </c>
      <c r="DF234" s="539">
        <f t="shared" si="86"/>
        <v>-1.7962520360015333E-11</v>
      </c>
      <c r="DG234" s="539">
        <f t="shared" si="86"/>
        <v>-1.7962520360015333E-11</v>
      </c>
      <c r="DH234" s="539">
        <f t="shared" si="86"/>
        <v>-1.7962520360015333E-11</v>
      </c>
      <c r="DI234" s="539">
        <f t="shared" si="86"/>
        <v>-1.7962520360015333E-11</v>
      </c>
      <c r="DJ234" s="539">
        <f t="shared" si="86"/>
        <v>-1.7962520360015333E-11</v>
      </c>
      <c r="DK234" s="539">
        <f t="shared" si="86"/>
        <v>-1.7962520360015333E-11</v>
      </c>
      <c r="DL234" s="539">
        <f t="shared" si="86"/>
        <v>-1.7962520360015333E-11</v>
      </c>
      <c r="DM234" s="539">
        <f t="shared" si="86"/>
        <v>-1.7962520360015333E-11</v>
      </c>
      <c r="DN234" s="539">
        <f t="shared" si="86"/>
        <v>-1.7962520360015333E-11</v>
      </c>
      <c r="DO234" s="539">
        <f t="shared" si="86"/>
        <v>-1.7962520360015333E-11</v>
      </c>
      <c r="DP234" s="539">
        <f t="shared" si="86"/>
        <v>-1.7962520360015333E-11</v>
      </c>
      <c r="DQ234" s="539">
        <f t="shared" si="86"/>
        <v>-1.7962520360015333E-11</v>
      </c>
      <c r="DR234" s="539">
        <f t="shared" si="86"/>
        <v>-1.7962520360015333E-11</v>
      </c>
      <c r="DS234" s="539">
        <f t="shared" si="86"/>
        <v>-1.7962520360015333E-11</v>
      </c>
      <c r="DT234" s="539">
        <f t="shared" si="86"/>
        <v>-1.7962520360015333E-11</v>
      </c>
      <c r="DU234" s="539">
        <f t="shared" si="86"/>
        <v>-1.7962520360015333E-11</v>
      </c>
      <c r="DV234" s="539">
        <f t="shared" si="86"/>
        <v>-1.7962520360015333E-11</v>
      </c>
      <c r="DW234" s="539">
        <f t="shared" si="86"/>
        <v>-1.7962520360015333E-11</v>
      </c>
      <c r="DX234" s="539">
        <f t="shared" si="86"/>
        <v>-1.7962520360015333E-11</v>
      </c>
      <c r="DY234" s="539">
        <f t="shared" si="86"/>
        <v>-1.7962520360015333E-11</v>
      </c>
      <c r="DZ234" s="539">
        <f t="shared" si="86"/>
        <v>-1.7962520360015333E-11</v>
      </c>
      <c r="EA234" s="539">
        <f t="shared" si="86"/>
        <v>-1.7962520360015333E-11</v>
      </c>
      <c r="EB234" s="539">
        <f t="shared" si="86"/>
        <v>-1.7962520360015333E-11</v>
      </c>
      <c r="EC234" s="539">
        <f t="shared" si="86"/>
        <v>-1.7962520360015333E-11</v>
      </c>
      <c r="ED234" s="539">
        <f t="shared" si="86"/>
        <v>-1.7962520360015333E-11</v>
      </c>
      <c r="EE234" s="539">
        <f t="shared" si="86"/>
        <v>-1.7962520360015333E-11</v>
      </c>
      <c r="EF234" s="539">
        <f t="shared" si="86"/>
        <v>-1.7962520360015333E-11</v>
      </c>
      <c r="EG234" s="539">
        <f t="shared" si="86"/>
        <v>-1.7962520360015333E-11</v>
      </c>
    </row>
    <row r="235" spans="5:7" ht="12.75">
      <c r="E235" s="540" t="s">
        <v>358</v>
      </c>
      <c r="F235" s="543">
        <f>IF(ABS(SUMIFS($J234:$EG234,$J232:$EG232,1)-SUMIFS($J233:$EG233,$J232:$EG232,1))&gt;$F231,1,0)</f>
        <v>0</v>
      </c>
      <c r="G235" s="541" t="s">
        <v>224</v>
      </c>
    </row>
    <row r="237" spans="5:7" ht="12.75">
      <c r="E237" s="535" t="str">
        <f>InpC!E$128</f>
        <v>Check tolerance</v>
      </c>
      <c r="F237" s="537">
        <f>InpC!F$128</f>
        <v>0.001</v>
      </c>
      <c r="G237" s="537" t="str">
        <f>InpC!G$128</f>
        <v>EUR 000s</v>
      </c>
    </row>
    <row r="238" spans="5:137" ht="12.75">
      <c r="E238" s="538" t="str">
        <f>E$204</f>
        <v>Junior facility - closing interest arrears</v>
      </c>
      <c r="G238" s="539" t="str">
        <f>G$204</f>
        <v>EUR 000s</v>
      </c>
      <c r="H238" s="539">
        <f>H$204</f>
        <v>0</v>
      </c>
      <c r="J238" s="539">
        <f t="shared" si="87" ref="J238:EG238">J$204</f>
        <v>0</v>
      </c>
      <c r="K238" s="539">
        <f t="shared" si="87"/>
        <v>0</v>
      </c>
      <c r="L238" s="539">
        <f t="shared" si="87"/>
        <v>0</v>
      </c>
      <c r="M238" s="539">
        <f t="shared" si="87"/>
        <v>0</v>
      </c>
      <c r="N238" s="539">
        <f t="shared" si="87"/>
        <v>0</v>
      </c>
      <c r="O238" s="539">
        <f t="shared" si="87"/>
        <v>0</v>
      </c>
      <c r="P238" s="539">
        <f t="shared" si="87"/>
        <v>0</v>
      </c>
      <c r="Q238" s="539">
        <f t="shared" si="87"/>
        <v>0</v>
      </c>
      <c r="R238" s="539">
        <f t="shared" si="87"/>
        <v>0</v>
      </c>
      <c r="S238" s="539">
        <f t="shared" si="87"/>
        <v>0</v>
      </c>
      <c r="T238" s="539">
        <f t="shared" si="87"/>
        <v>0</v>
      </c>
      <c r="U238" s="539">
        <f t="shared" si="87"/>
        <v>0</v>
      </c>
      <c r="V238" s="539">
        <f t="shared" si="87"/>
        <v>0</v>
      </c>
      <c r="W238" s="539">
        <f t="shared" si="87"/>
        <v>0</v>
      </c>
      <c r="X238" s="539">
        <f t="shared" si="87"/>
        <v>0</v>
      </c>
      <c r="Y238" s="539">
        <f t="shared" si="87"/>
        <v>0</v>
      </c>
      <c r="Z238" s="539">
        <f t="shared" si="87"/>
        <v>0</v>
      </c>
      <c r="AA238" s="539">
        <f t="shared" si="87"/>
        <v>0</v>
      </c>
      <c r="AB238" s="539">
        <f t="shared" si="87"/>
        <v>0</v>
      </c>
      <c r="AC238" s="539">
        <f t="shared" si="87"/>
        <v>0</v>
      </c>
      <c r="AD238" s="539">
        <f t="shared" si="87"/>
        <v>0</v>
      </c>
      <c r="AE238" s="539">
        <f t="shared" si="87"/>
        <v>0</v>
      </c>
      <c r="AF238" s="539">
        <f t="shared" si="87"/>
        <v>0</v>
      </c>
      <c r="AG238" s="539">
        <f t="shared" si="87"/>
        <v>0</v>
      </c>
      <c r="AH238" s="539">
        <f t="shared" si="87"/>
        <v>0</v>
      </c>
      <c r="AI238" s="539">
        <f t="shared" si="87"/>
        <v>0</v>
      </c>
      <c r="AJ238" s="539">
        <f t="shared" si="87"/>
        <v>0</v>
      </c>
      <c r="AK238" s="539">
        <f t="shared" si="87"/>
        <v>0</v>
      </c>
      <c r="AL238" s="539">
        <f t="shared" si="87"/>
        <v>0</v>
      </c>
      <c r="AM238" s="539">
        <f t="shared" si="87"/>
        <v>0</v>
      </c>
      <c r="AN238" s="539">
        <f t="shared" si="87"/>
        <v>0</v>
      </c>
      <c r="AO238" s="539">
        <f t="shared" si="87"/>
        <v>0</v>
      </c>
      <c r="AP238" s="539">
        <f t="shared" si="87"/>
        <v>0</v>
      </c>
      <c r="AQ238" s="539">
        <f t="shared" si="87"/>
        <v>0</v>
      </c>
      <c r="AR238" s="539">
        <f t="shared" si="87"/>
        <v>0</v>
      </c>
      <c r="AS238" s="539">
        <f t="shared" si="87"/>
        <v>0</v>
      </c>
      <c r="AT238" s="539">
        <f t="shared" si="87"/>
        <v>0</v>
      </c>
      <c r="AU238" s="539">
        <f t="shared" si="87"/>
        <v>0</v>
      </c>
      <c r="AV238" s="539">
        <f t="shared" si="87"/>
        <v>0</v>
      </c>
      <c r="AW238" s="539">
        <f t="shared" si="87"/>
        <v>0</v>
      </c>
      <c r="AX238" s="539">
        <f t="shared" si="87"/>
        <v>0</v>
      </c>
      <c r="AY238" s="539">
        <f t="shared" si="87"/>
        <v>0</v>
      </c>
      <c r="AZ238" s="539">
        <f t="shared" si="87"/>
        <v>0</v>
      </c>
      <c r="BA238" s="539">
        <f t="shared" si="87"/>
        <v>0</v>
      </c>
      <c r="BB238" s="539">
        <f t="shared" si="87"/>
        <v>0</v>
      </c>
      <c r="BC238" s="539">
        <f t="shared" si="87"/>
        <v>0</v>
      </c>
      <c r="BD238" s="539">
        <f t="shared" si="87"/>
        <v>0</v>
      </c>
      <c r="BE238" s="539">
        <f t="shared" si="87"/>
        <v>0</v>
      </c>
      <c r="BF238" s="539">
        <f t="shared" si="87"/>
        <v>0</v>
      </c>
      <c r="BG238" s="539">
        <f t="shared" si="87"/>
        <v>0</v>
      </c>
      <c r="BH238" s="539">
        <f t="shared" si="87"/>
        <v>0</v>
      </c>
      <c r="BI238" s="539">
        <f t="shared" si="87"/>
        <v>0</v>
      </c>
      <c r="BJ238" s="539">
        <f t="shared" si="87"/>
        <v>0</v>
      </c>
      <c r="BK238" s="539">
        <f t="shared" si="87"/>
        <v>0</v>
      </c>
      <c r="BL238" s="539">
        <f t="shared" si="87"/>
        <v>0</v>
      </c>
      <c r="BM238" s="539">
        <f t="shared" si="87"/>
        <v>0</v>
      </c>
      <c r="BN238" s="539">
        <f t="shared" si="87"/>
        <v>0</v>
      </c>
      <c r="BO238" s="539">
        <f t="shared" si="87"/>
        <v>0</v>
      </c>
      <c r="BP238" s="539">
        <f t="shared" si="87"/>
        <v>0</v>
      </c>
      <c r="BQ238" s="539">
        <f t="shared" si="87"/>
        <v>0</v>
      </c>
      <c r="BR238" s="539">
        <f t="shared" si="87"/>
        <v>0</v>
      </c>
      <c r="BS238" s="539">
        <f t="shared" si="87"/>
        <v>0</v>
      </c>
      <c r="BT238" s="539">
        <f t="shared" si="87"/>
        <v>0</v>
      </c>
      <c r="BU238" s="539">
        <f t="shared" si="87"/>
        <v>0</v>
      </c>
      <c r="BV238" s="539">
        <f t="shared" si="87"/>
        <v>0</v>
      </c>
      <c r="BW238" s="539">
        <f t="shared" si="87"/>
        <v>0</v>
      </c>
      <c r="BX238" s="539">
        <f t="shared" si="87"/>
        <v>0</v>
      </c>
      <c r="BY238" s="539">
        <f t="shared" si="87"/>
        <v>0</v>
      </c>
      <c r="BZ238" s="539">
        <f t="shared" si="87"/>
        <v>0</v>
      </c>
      <c r="CA238" s="539">
        <f t="shared" si="87"/>
        <v>0</v>
      </c>
      <c r="CB238" s="539">
        <f t="shared" si="87"/>
        <v>0</v>
      </c>
      <c r="CC238" s="539">
        <f t="shared" si="87"/>
        <v>0</v>
      </c>
      <c r="CD238" s="539">
        <f t="shared" si="87"/>
        <v>0</v>
      </c>
      <c r="CE238" s="539">
        <f t="shared" si="87"/>
        <v>0</v>
      </c>
      <c r="CF238" s="539">
        <f t="shared" si="87"/>
        <v>0</v>
      </c>
      <c r="CG238" s="539">
        <f t="shared" si="87"/>
        <v>0</v>
      </c>
      <c r="CH238" s="539">
        <f t="shared" si="87"/>
        <v>0</v>
      </c>
      <c r="CI238" s="539">
        <f t="shared" si="87"/>
        <v>0</v>
      </c>
      <c r="CJ238" s="539">
        <f t="shared" si="87"/>
        <v>0</v>
      </c>
      <c r="CK238" s="539">
        <f t="shared" si="87"/>
        <v>0</v>
      </c>
      <c r="CL238" s="539">
        <f t="shared" si="87"/>
        <v>0</v>
      </c>
      <c r="CM238" s="539">
        <f t="shared" si="87"/>
        <v>0</v>
      </c>
      <c r="CN238" s="539">
        <f t="shared" si="87"/>
        <v>0</v>
      </c>
      <c r="CO238" s="539">
        <f t="shared" si="87"/>
        <v>0</v>
      </c>
      <c r="CP238" s="539">
        <f t="shared" si="87"/>
        <v>0</v>
      </c>
      <c r="CQ238" s="539">
        <f t="shared" si="87"/>
        <v>0</v>
      </c>
      <c r="CR238" s="539">
        <f t="shared" si="87"/>
        <v>0</v>
      </c>
      <c r="CS238" s="539">
        <f t="shared" si="87"/>
        <v>0</v>
      </c>
      <c r="CT238" s="539">
        <f t="shared" si="87"/>
        <v>0</v>
      </c>
      <c r="CU238" s="539">
        <f t="shared" si="87"/>
        <v>0</v>
      </c>
      <c r="CV238" s="539">
        <f t="shared" si="87"/>
        <v>0</v>
      </c>
      <c r="CW238" s="539">
        <f t="shared" si="87"/>
        <v>0</v>
      </c>
      <c r="CX238" s="539">
        <f t="shared" si="87"/>
        <v>0</v>
      </c>
      <c r="CY238" s="539">
        <f t="shared" si="87"/>
        <v>0</v>
      </c>
      <c r="CZ238" s="539">
        <f t="shared" si="87"/>
        <v>0</v>
      </c>
      <c r="DA238" s="539">
        <f t="shared" si="87"/>
        <v>0</v>
      </c>
      <c r="DB238" s="539">
        <f t="shared" si="87"/>
        <v>0</v>
      </c>
      <c r="DC238" s="539">
        <f t="shared" si="87"/>
        <v>0</v>
      </c>
      <c r="DD238" s="539">
        <f t="shared" si="87"/>
        <v>0</v>
      </c>
      <c r="DE238" s="539">
        <f t="shared" si="87"/>
        <v>0</v>
      </c>
      <c r="DF238" s="539">
        <f t="shared" si="87"/>
        <v>0</v>
      </c>
      <c r="DG238" s="539">
        <f t="shared" si="87"/>
        <v>0</v>
      </c>
      <c r="DH238" s="539">
        <f t="shared" si="87"/>
        <v>0</v>
      </c>
      <c r="DI238" s="539">
        <f t="shared" si="87"/>
        <v>0</v>
      </c>
      <c r="DJ238" s="539">
        <f t="shared" si="87"/>
        <v>0</v>
      </c>
      <c r="DK238" s="539">
        <f t="shared" si="87"/>
        <v>0</v>
      </c>
      <c r="DL238" s="539">
        <f t="shared" si="87"/>
        <v>0</v>
      </c>
      <c r="DM238" s="539">
        <f t="shared" si="87"/>
        <v>0</v>
      </c>
      <c r="DN238" s="539">
        <f t="shared" si="87"/>
        <v>0</v>
      </c>
      <c r="DO238" s="539">
        <f t="shared" si="87"/>
        <v>0</v>
      </c>
      <c r="DP238" s="539">
        <f t="shared" si="87"/>
        <v>0</v>
      </c>
      <c r="DQ238" s="539">
        <f t="shared" si="87"/>
        <v>0</v>
      </c>
      <c r="DR238" s="539">
        <f t="shared" si="87"/>
        <v>0</v>
      </c>
      <c r="DS238" s="539">
        <f t="shared" si="87"/>
        <v>0</v>
      </c>
      <c r="DT238" s="539">
        <f t="shared" si="87"/>
        <v>0</v>
      </c>
      <c r="DU238" s="539">
        <f t="shared" si="87"/>
        <v>0</v>
      </c>
      <c r="DV238" s="539">
        <f t="shared" si="87"/>
        <v>0</v>
      </c>
      <c r="DW238" s="539">
        <f t="shared" si="87"/>
        <v>0</v>
      </c>
      <c r="DX238" s="539">
        <f t="shared" si="87"/>
        <v>0</v>
      </c>
      <c r="DY238" s="539">
        <f t="shared" si="87"/>
        <v>0</v>
      </c>
      <c r="DZ238" s="539">
        <f t="shared" si="87"/>
        <v>0</v>
      </c>
      <c r="EA238" s="539">
        <f t="shared" si="87"/>
        <v>0</v>
      </c>
      <c r="EB238" s="539">
        <f t="shared" si="87"/>
        <v>0</v>
      </c>
      <c r="EC238" s="539">
        <f t="shared" si="87"/>
        <v>0</v>
      </c>
      <c r="ED238" s="539">
        <f t="shared" si="87"/>
        <v>0</v>
      </c>
      <c r="EE238" s="539">
        <f t="shared" si="87"/>
        <v>0</v>
      </c>
      <c r="EF238" s="539">
        <f t="shared" si="87"/>
        <v>0</v>
      </c>
      <c r="EG238" s="539">
        <f t="shared" si="87"/>
        <v>0</v>
      </c>
    </row>
    <row r="239" spans="5:137" ht="12.75">
      <c r="E239" s="538" t="str">
        <f>E$216</f>
        <v>Junior facility - closing principal arrears</v>
      </c>
      <c r="G239" s="539" t="str">
        <f>G$216</f>
        <v>EUR 000s</v>
      </c>
      <c r="H239" s="539">
        <f>H$216</f>
        <v>0</v>
      </c>
      <c r="J239" s="539">
        <f t="shared" si="88" ref="J239:EG239">J$216</f>
        <v>0</v>
      </c>
      <c r="K239" s="539">
        <f t="shared" si="88"/>
        <v>0</v>
      </c>
      <c r="L239" s="539">
        <f t="shared" si="88"/>
        <v>0</v>
      </c>
      <c r="M239" s="539">
        <f t="shared" si="88"/>
        <v>0</v>
      </c>
      <c r="N239" s="539">
        <f t="shared" si="88"/>
        <v>0</v>
      </c>
      <c r="O239" s="539">
        <f t="shared" si="88"/>
        <v>0</v>
      </c>
      <c r="P239" s="539">
        <f t="shared" si="88"/>
        <v>0</v>
      </c>
      <c r="Q239" s="539">
        <f t="shared" si="88"/>
        <v>0</v>
      </c>
      <c r="R239" s="539">
        <f t="shared" si="88"/>
        <v>0</v>
      </c>
      <c r="S239" s="539">
        <f t="shared" si="88"/>
        <v>0</v>
      </c>
      <c r="T239" s="539">
        <f t="shared" si="88"/>
        <v>0</v>
      </c>
      <c r="U239" s="539">
        <f t="shared" si="88"/>
        <v>0</v>
      </c>
      <c r="V239" s="539">
        <f t="shared" si="88"/>
        <v>0</v>
      </c>
      <c r="W239" s="539">
        <f t="shared" si="88"/>
        <v>0</v>
      </c>
      <c r="X239" s="539">
        <f t="shared" si="88"/>
        <v>0</v>
      </c>
      <c r="Y239" s="539">
        <f t="shared" si="88"/>
        <v>0</v>
      </c>
      <c r="Z239" s="539">
        <f t="shared" si="88"/>
        <v>0</v>
      </c>
      <c r="AA239" s="539">
        <f t="shared" si="88"/>
        <v>0</v>
      </c>
      <c r="AB239" s="539">
        <f t="shared" si="88"/>
        <v>0</v>
      </c>
      <c r="AC239" s="539">
        <f t="shared" si="88"/>
        <v>0</v>
      </c>
      <c r="AD239" s="539">
        <f t="shared" si="88"/>
        <v>0</v>
      </c>
      <c r="AE239" s="539">
        <f t="shared" si="88"/>
        <v>0</v>
      </c>
      <c r="AF239" s="539">
        <f t="shared" si="88"/>
        <v>0</v>
      </c>
      <c r="AG239" s="539">
        <f t="shared" si="88"/>
        <v>0</v>
      </c>
      <c r="AH239" s="539">
        <f t="shared" si="88"/>
        <v>0</v>
      </c>
      <c r="AI239" s="539">
        <f t="shared" si="88"/>
        <v>0</v>
      </c>
      <c r="AJ239" s="539">
        <f t="shared" si="88"/>
        <v>0</v>
      </c>
      <c r="AK239" s="539">
        <f t="shared" si="88"/>
        <v>0</v>
      </c>
      <c r="AL239" s="539">
        <f t="shared" si="88"/>
        <v>0</v>
      </c>
      <c r="AM239" s="539">
        <f t="shared" si="88"/>
        <v>0</v>
      </c>
      <c r="AN239" s="539">
        <f t="shared" si="88"/>
        <v>0</v>
      </c>
      <c r="AO239" s="539">
        <f t="shared" si="88"/>
        <v>0</v>
      </c>
      <c r="AP239" s="539">
        <f t="shared" si="88"/>
        <v>0</v>
      </c>
      <c r="AQ239" s="539">
        <f t="shared" si="88"/>
        <v>0</v>
      </c>
      <c r="AR239" s="539">
        <f t="shared" si="88"/>
        <v>0</v>
      </c>
      <c r="AS239" s="539">
        <f t="shared" si="88"/>
        <v>0</v>
      </c>
      <c r="AT239" s="539">
        <f t="shared" si="88"/>
        <v>0</v>
      </c>
      <c r="AU239" s="539">
        <f t="shared" si="88"/>
        <v>0</v>
      </c>
      <c r="AV239" s="539">
        <f t="shared" si="88"/>
        <v>0</v>
      </c>
      <c r="AW239" s="539">
        <f t="shared" si="88"/>
        <v>0</v>
      </c>
      <c r="AX239" s="539">
        <f t="shared" si="88"/>
        <v>0</v>
      </c>
      <c r="AY239" s="539">
        <f t="shared" si="88"/>
        <v>0</v>
      </c>
      <c r="AZ239" s="539">
        <f t="shared" si="88"/>
        <v>0</v>
      </c>
      <c r="BA239" s="539">
        <f t="shared" si="88"/>
        <v>0</v>
      </c>
      <c r="BB239" s="539">
        <f t="shared" si="88"/>
        <v>0</v>
      </c>
      <c r="BC239" s="539">
        <f t="shared" si="88"/>
        <v>0</v>
      </c>
      <c r="BD239" s="539">
        <f t="shared" si="88"/>
        <v>0</v>
      </c>
      <c r="BE239" s="539">
        <f t="shared" si="88"/>
        <v>0</v>
      </c>
      <c r="BF239" s="539">
        <f t="shared" si="88"/>
        <v>0</v>
      </c>
      <c r="BG239" s="539">
        <f t="shared" si="88"/>
        <v>0</v>
      </c>
      <c r="BH239" s="539">
        <f t="shared" si="88"/>
        <v>0</v>
      </c>
      <c r="BI239" s="539">
        <f t="shared" si="88"/>
        <v>0</v>
      </c>
      <c r="BJ239" s="539">
        <f t="shared" si="88"/>
        <v>0</v>
      </c>
      <c r="BK239" s="539">
        <f t="shared" si="88"/>
        <v>0</v>
      </c>
      <c r="BL239" s="539">
        <f t="shared" si="88"/>
        <v>0</v>
      </c>
      <c r="BM239" s="539">
        <f t="shared" si="88"/>
        <v>0</v>
      </c>
      <c r="BN239" s="539">
        <f t="shared" si="88"/>
        <v>0</v>
      </c>
      <c r="BO239" s="539">
        <f t="shared" si="88"/>
        <v>0</v>
      </c>
      <c r="BP239" s="539">
        <f t="shared" si="88"/>
        <v>0</v>
      </c>
      <c r="BQ239" s="539">
        <f t="shared" si="88"/>
        <v>0</v>
      </c>
      <c r="BR239" s="539">
        <f t="shared" si="88"/>
        <v>0</v>
      </c>
      <c r="BS239" s="539">
        <f t="shared" si="88"/>
        <v>0</v>
      </c>
      <c r="BT239" s="539">
        <f t="shared" si="88"/>
        <v>0</v>
      </c>
      <c r="BU239" s="539">
        <f t="shared" si="88"/>
        <v>0</v>
      </c>
      <c r="BV239" s="539">
        <f t="shared" si="88"/>
        <v>0</v>
      </c>
      <c r="BW239" s="539">
        <f t="shared" si="88"/>
        <v>0</v>
      </c>
      <c r="BX239" s="539">
        <f t="shared" si="88"/>
        <v>0</v>
      </c>
      <c r="BY239" s="539">
        <f t="shared" si="88"/>
        <v>0</v>
      </c>
      <c r="BZ239" s="539">
        <f t="shared" si="88"/>
        <v>0</v>
      </c>
      <c r="CA239" s="539">
        <f t="shared" si="88"/>
        <v>0</v>
      </c>
      <c r="CB239" s="539">
        <f t="shared" si="88"/>
        <v>0</v>
      </c>
      <c r="CC239" s="539">
        <f t="shared" si="88"/>
        <v>0</v>
      </c>
      <c r="CD239" s="539">
        <f t="shared" si="88"/>
        <v>0</v>
      </c>
      <c r="CE239" s="539">
        <f t="shared" si="88"/>
        <v>0</v>
      </c>
      <c r="CF239" s="539">
        <f t="shared" si="88"/>
        <v>0</v>
      </c>
      <c r="CG239" s="539">
        <f t="shared" si="88"/>
        <v>0</v>
      </c>
      <c r="CH239" s="539">
        <f t="shared" si="88"/>
        <v>0</v>
      </c>
      <c r="CI239" s="539">
        <f t="shared" si="88"/>
        <v>0</v>
      </c>
      <c r="CJ239" s="539">
        <f t="shared" si="88"/>
        <v>0</v>
      </c>
      <c r="CK239" s="539">
        <f t="shared" si="88"/>
        <v>0</v>
      </c>
      <c r="CL239" s="539">
        <f t="shared" si="88"/>
        <v>0</v>
      </c>
      <c r="CM239" s="539">
        <f t="shared" si="88"/>
        <v>0</v>
      </c>
      <c r="CN239" s="539">
        <f t="shared" si="88"/>
        <v>0</v>
      </c>
      <c r="CO239" s="539">
        <f t="shared" si="88"/>
        <v>0</v>
      </c>
      <c r="CP239" s="539">
        <f t="shared" si="88"/>
        <v>0</v>
      </c>
      <c r="CQ239" s="539">
        <f t="shared" si="88"/>
        <v>0</v>
      </c>
      <c r="CR239" s="539">
        <f t="shared" si="88"/>
        <v>0</v>
      </c>
      <c r="CS239" s="539">
        <f t="shared" si="88"/>
        <v>0</v>
      </c>
      <c r="CT239" s="539">
        <f t="shared" si="88"/>
        <v>0</v>
      </c>
      <c r="CU239" s="539">
        <f t="shared" si="88"/>
        <v>0</v>
      </c>
      <c r="CV239" s="539">
        <f t="shared" si="88"/>
        <v>0</v>
      </c>
      <c r="CW239" s="539">
        <f t="shared" si="88"/>
        <v>0</v>
      </c>
      <c r="CX239" s="539">
        <f t="shared" si="88"/>
        <v>0</v>
      </c>
      <c r="CY239" s="539">
        <f t="shared" si="88"/>
        <v>0</v>
      </c>
      <c r="CZ239" s="539">
        <f t="shared" si="88"/>
        <v>0</v>
      </c>
      <c r="DA239" s="539">
        <f t="shared" si="88"/>
        <v>0</v>
      </c>
      <c r="DB239" s="539">
        <f t="shared" si="88"/>
        <v>0</v>
      </c>
      <c r="DC239" s="539">
        <f t="shared" si="88"/>
        <v>0</v>
      </c>
      <c r="DD239" s="539">
        <f t="shared" si="88"/>
        <v>0</v>
      </c>
      <c r="DE239" s="539">
        <f t="shared" si="88"/>
        <v>0</v>
      </c>
      <c r="DF239" s="539">
        <f t="shared" si="88"/>
        <v>0</v>
      </c>
      <c r="DG239" s="539">
        <f t="shared" si="88"/>
        <v>0</v>
      </c>
      <c r="DH239" s="539">
        <f t="shared" si="88"/>
        <v>0</v>
      </c>
      <c r="DI239" s="539">
        <f t="shared" si="88"/>
        <v>0</v>
      </c>
      <c r="DJ239" s="539">
        <f t="shared" si="88"/>
        <v>0</v>
      </c>
      <c r="DK239" s="539">
        <f t="shared" si="88"/>
        <v>0</v>
      </c>
      <c r="DL239" s="539">
        <f t="shared" si="88"/>
        <v>0</v>
      </c>
      <c r="DM239" s="539">
        <f t="shared" si="88"/>
        <v>0</v>
      </c>
      <c r="DN239" s="539">
        <f t="shared" si="88"/>
        <v>0</v>
      </c>
      <c r="DO239" s="539">
        <f t="shared" si="88"/>
        <v>0</v>
      </c>
      <c r="DP239" s="539">
        <f t="shared" si="88"/>
        <v>0</v>
      </c>
      <c r="DQ239" s="539">
        <f t="shared" si="88"/>
        <v>0</v>
      </c>
      <c r="DR239" s="539">
        <f t="shared" si="88"/>
        <v>0</v>
      </c>
      <c r="DS239" s="539">
        <f t="shared" si="88"/>
        <v>0</v>
      </c>
      <c r="DT239" s="539">
        <f t="shared" si="88"/>
        <v>0</v>
      </c>
      <c r="DU239" s="539">
        <f t="shared" si="88"/>
        <v>0</v>
      </c>
      <c r="DV239" s="539">
        <f t="shared" si="88"/>
        <v>0</v>
      </c>
      <c r="DW239" s="539">
        <f t="shared" si="88"/>
        <v>0</v>
      </c>
      <c r="DX239" s="539">
        <f t="shared" si="88"/>
        <v>0</v>
      </c>
      <c r="DY239" s="539">
        <f t="shared" si="88"/>
        <v>0</v>
      </c>
      <c r="DZ239" s="539">
        <f t="shared" si="88"/>
        <v>0</v>
      </c>
      <c r="EA239" s="539">
        <f t="shared" si="88"/>
        <v>0</v>
      </c>
      <c r="EB239" s="539">
        <f t="shared" si="88"/>
        <v>0</v>
      </c>
      <c r="EC239" s="539">
        <f t="shared" si="88"/>
        <v>0</v>
      </c>
      <c r="ED239" s="539">
        <f t="shared" si="88"/>
        <v>0</v>
      </c>
      <c r="EE239" s="539">
        <f t="shared" si="88"/>
        <v>0</v>
      </c>
      <c r="EF239" s="539">
        <f t="shared" si="88"/>
        <v>0</v>
      </c>
      <c r="EG239" s="539">
        <f t="shared" si="88"/>
        <v>0</v>
      </c>
    </row>
    <row r="240" spans="5:7" ht="12.75">
      <c r="E240" s="540" t="s">
        <v>359</v>
      </c>
      <c r="F240" s="543">
        <f>IF(MAX($J238:$EG238)+MAX($J239:$EG239)&gt;$F237,1,0)</f>
        <v>0</v>
      </c>
      <c r="G240" s="541" t="s">
        <v>298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23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27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235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240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outlinePr summaryBelow="0" summaryRight="0"/>
  </sheetPr>
  <dimension ref="A1:RL119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Reserves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360</v>
      </c>
    </row>
    <row r="9" spans="5:7" ht="12.75">
      <c r="E9" s="535" t="str">
        <f>InpC!E$96</f>
        <v>DSRA - debt service cover period</v>
      </c>
      <c r="F9" s="537">
        <f>InpC!F$96</f>
        <v>6</v>
      </c>
      <c r="G9" s="537" t="str">
        <f>InpC!G$96</f>
        <v>months</v>
      </c>
    </row>
    <row r="10" spans="5:137" ht="12.75">
      <c r="E10" s="535" t="str">
        <f>Solve!E$27</f>
        <v>Senior facility - debt service solver paste</v>
      </c>
      <c r="G10" s="537" t="str">
        <f>Solve!G$27</f>
        <v>EUR 000s</v>
      </c>
      <c r="H10" s="537">
        <f>Solve!H$27</f>
        <v>350432.93778912892</v>
      </c>
      <c r="J10" s="537">
        <f>Solve!J$27</f>
        <v>0</v>
      </c>
      <c r="K10" s="537">
        <f>Solve!K$27</f>
        <v>0</v>
      </c>
      <c r="L10" s="537">
        <f>Solve!L$27</f>
        <v>0</v>
      </c>
      <c r="M10" s="537">
        <f>Solve!M$27</f>
        <v>0</v>
      </c>
      <c r="N10" s="537">
        <f>Solve!N$27</f>
        <v>0</v>
      </c>
      <c r="O10" s="537">
        <f>Solve!O$27</f>
        <v>0</v>
      </c>
      <c r="P10" s="537">
        <f>Solve!P$27</f>
        <v>0</v>
      </c>
      <c r="Q10" s="537">
        <f>Solve!Q$27</f>
        <v>0</v>
      </c>
      <c r="R10" s="537">
        <f>Solve!R$27</f>
        <v>0</v>
      </c>
      <c r="S10" s="537">
        <f>Solve!S$27</f>
        <v>0</v>
      </c>
      <c r="T10" s="537">
        <f>Solve!T$27</f>
        <v>0</v>
      </c>
      <c r="U10" s="537">
        <f>Solve!U$27</f>
        <v>0</v>
      </c>
      <c r="V10" s="537">
        <f>Solve!V$27</f>
        <v>0</v>
      </c>
      <c r="W10" s="537">
        <f>Solve!W$27</f>
        <v>0</v>
      </c>
      <c r="X10" s="537">
        <f>Solve!X$27</f>
        <v>0</v>
      </c>
      <c r="Y10" s="537">
        <f>Solve!Y$27</f>
        <v>0</v>
      </c>
      <c r="Z10" s="537">
        <f>Solve!Z$27</f>
        <v>0</v>
      </c>
      <c r="AA10" s="537">
        <f>Solve!AA$27</f>
        <v>0</v>
      </c>
      <c r="AB10" s="537">
        <f>Solve!AB$27</f>
        <v>0</v>
      </c>
      <c r="AC10" s="537">
        <f>Solve!AC$27</f>
        <v>0</v>
      </c>
      <c r="AD10" s="537">
        <f>Solve!AD$27</f>
        <v>0</v>
      </c>
      <c r="AE10" s="537">
        <f>Solve!AE$27</f>
        <v>0</v>
      </c>
      <c r="AF10" s="537">
        <f>Solve!AF$27</f>
        <v>0</v>
      </c>
      <c r="AG10" s="537">
        <f>Solve!AG$27</f>
        <v>0</v>
      </c>
      <c r="AH10" s="537">
        <f>Solve!AH$27</f>
        <v>3678.834858169882</v>
      </c>
      <c r="AI10" s="537">
        <f>Solve!AI$27</f>
        <v>4654.4397593286503</v>
      </c>
      <c r="AJ10" s="537">
        <f>Solve!AJ$27</f>
        <v>4654.2133758469563</v>
      </c>
      <c r="AK10" s="537">
        <f>Solve!AK$27</f>
        <v>4644.0261191707305</v>
      </c>
      <c r="AL10" s="537">
        <f>Solve!AL$27</f>
        <v>4693.585531497587</v>
      </c>
      <c r="AM10" s="537">
        <f>Solve!AM$27</f>
        <v>4736.1435903710044</v>
      </c>
      <c r="AN10" s="537">
        <f>Solve!AN$27</f>
        <v>4735.9144792140069</v>
      </c>
      <c r="AO10" s="537">
        <f>Solve!AO$27</f>
        <v>4725.6044771491561</v>
      </c>
      <c r="AP10" s="537">
        <f>Solve!AP$27</f>
        <v>4776.2218865345494</v>
      </c>
      <c r="AQ10" s="537">
        <f>Solve!AQ$27</f>
        <v>4819.1883943546864</v>
      </c>
      <c r="AR10" s="537">
        <f>Solve!AR$27</f>
        <v>4818.9565473093835</v>
      </c>
      <c r="AS10" s="537">
        <f>Solve!AS$27</f>
        <v>4808.5234302707559</v>
      </c>
      <c r="AT10" s="537">
        <f>Solve!AT$27</f>
        <v>4871.0125860622411</v>
      </c>
      <c r="AU10" s="537">
        <f>Solve!AU$27</f>
        <v>4892.8014892437595</v>
      </c>
      <c r="AV10" s="537">
        <f>Solve!AV$27</f>
        <v>4903.3580387404618</v>
      </c>
      <c r="AW10" s="537">
        <f>Solve!AW$27</f>
        <v>4890.5485880171664</v>
      </c>
      <c r="AX10" s="537">
        <f>Solve!AX$27</f>
        <v>4945.6032153911838</v>
      </c>
      <c r="AY10" s="537">
        <f>Solve!AY$27</f>
        <v>4989.3748800106014</v>
      </c>
      <c r="AZ10" s="537">
        <f>Solve!AZ$27</f>
        <v>4989.1375412419775</v>
      </c>
      <c r="BA10" s="537">
        <f>Solve!BA$27</f>
        <v>4976.0237518384947</v>
      </c>
      <c r="BB10" s="537">
        <f>Solve!BB$27</f>
        <v>4968.7061367066626</v>
      </c>
      <c r="BC10" s="537">
        <f>Solve!BC$27</f>
        <v>5003.7719991405547</v>
      </c>
      <c r="BD10" s="537">
        <f>Solve!BD$27</f>
        <v>4994.8398242674739</v>
      </c>
      <c r="BE10" s="537">
        <f>Solve!BE$27</f>
        <v>4975.7347406140316</v>
      </c>
      <c r="BF10" s="537">
        <f>Solve!BF$27</f>
        <v>5018.2432697654867</v>
      </c>
      <c r="BG10" s="537">
        <f>Solve!BG$27</f>
        <v>5055.2308992146445</v>
      </c>
      <c r="BH10" s="537">
        <f>Solve!BH$27</f>
        <v>5047.7580665162777</v>
      </c>
      <c r="BI10" s="537">
        <f>Solve!BI$27</f>
        <v>5029.9252428554164</v>
      </c>
      <c r="BJ10" s="537">
        <f>Solve!BJ$27</f>
        <v>5086.1659444474853</v>
      </c>
      <c r="BK10" s="537">
        <f>Solve!BK$27</f>
        <v>5102.2164152465139</v>
      </c>
      <c r="BL10" s="537">
        <f>Solve!BL$27</f>
        <v>5107.2549033809328</v>
      </c>
      <c r="BM10" s="537">
        <f>Solve!BM$27</f>
        <v>5090.4593862946467</v>
      </c>
      <c r="BN10" s="537">
        <f>Solve!BN$27</f>
        <v>5137.6362992811446</v>
      </c>
      <c r="BO10" s="537">
        <f>Solve!BO$27</f>
        <v>5177.7210347948676</v>
      </c>
      <c r="BP10" s="537">
        <f>Solve!BP$27</f>
        <v>5172.4704316401203</v>
      </c>
      <c r="BQ10" s="537">
        <f>Solve!BQ$27</f>
        <v>5156.5168427050558</v>
      </c>
      <c r="BR10" s="537">
        <f>Solve!BR$27</f>
        <v>5259.1072788642186</v>
      </c>
      <c r="BS10" s="537">
        <f>Solve!BS$27</f>
        <v>5300.445695990883</v>
      </c>
      <c r="BT10" s="537">
        <f>Solve!BT$27</f>
        <v>5296.0337638408037</v>
      </c>
      <c r="BU10" s="537">
        <f>Solve!BU$27</f>
        <v>5280.7596572690782</v>
      </c>
      <c r="BV10" s="537">
        <f>Solve!BV$27</f>
        <v>5192.6997405260054</v>
      </c>
      <c r="BW10" s="537">
        <f>Solve!BW$27</f>
        <v>4824.0097155821522</v>
      </c>
      <c r="BX10" s="537">
        <f>Solve!BX$27</f>
        <v>4812.2194454552091</v>
      </c>
      <c r="BY10" s="537">
        <f>Solve!BY$27</f>
        <v>4789.7777052237479</v>
      </c>
      <c r="BZ10" s="537">
        <f>Solve!BZ$27</f>
        <v>4835.5088300753869</v>
      </c>
      <c r="CA10" s="537">
        <f>Solve!CA$27</f>
        <v>4848.26973918778</v>
      </c>
      <c r="CB10" s="537">
        <f>Solve!CB$27</f>
        <v>4814.2596201087454</v>
      </c>
      <c r="CC10" s="537">
        <f>Solve!CC$27</f>
        <v>4617.7718011798861</v>
      </c>
      <c r="CD10" s="537">
        <f>Solve!CD$27</f>
        <v>4635.4811967250462</v>
      </c>
      <c r="CE10" s="537">
        <f>Solve!CE$27</f>
        <v>4670.2074078817441</v>
      </c>
      <c r="CF10" s="537">
        <f>Solve!CF$27</f>
        <v>4658.03519073998</v>
      </c>
      <c r="CG10" s="537">
        <f>Solve!CG$27</f>
        <v>4632.6384155732103</v>
      </c>
      <c r="CH10" s="537">
        <f>Solve!CH$27</f>
        <v>4654.4799395510508</v>
      </c>
      <c r="CI10" s="537">
        <f>Solve!CI$27</f>
        <v>4690.3300953616445</v>
      </c>
      <c r="CJ10" s="537">
        <f>Solve!CJ$27</f>
        <v>4678.8565348452266</v>
      </c>
      <c r="CK10" s="537">
        <f>Solve!CK$27</f>
        <v>4654.2351254146624</v>
      </c>
      <c r="CL10" s="537">
        <f>Solve!CL$27</f>
        <v>4965.8270387247985</v>
      </c>
      <c r="CM10" s="537">
        <f>Solve!CM$27</f>
        <v>5002.0011198530992</v>
      </c>
      <c r="CN10" s="537">
        <f>Solve!CN$27</f>
        <v>4990.428261709264</v>
      </c>
      <c r="CO10" s="537">
        <f>Solve!CO$27</f>
        <v>4965.8107040008681</v>
      </c>
      <c r="CP10" s="537">
        <f>Solve!CP$27</f>
        <v>4717.9783046696957</v>
      </c>
      <c r="CQ10" s="537">
        <f>Solve!CQ$27</f>
        <v>4729.2339923086329</v>
      </c>
      <c r="CR10" s="537">
        <f>Solve!CR$27</f>
        <v>4730.6588220637659</v>
      </c>
      <c r="CS10" s="537">
        <f>Solve!CS$27</f>
        <v>4706.8642132055866</v>
      </c>
      <c r="CT10" s="537">
        <f>Solve!CT$27</f>
        <v>4735.335697256578</v>
      </c>
      <c r="CU10" s="537">
        <f>Solve!CU$27</f>
        <v>4772.9048284479532</v>
      </c>
      <c r="CV10" s="537">
        <f>Solve!CV$27</f>
        <v>4761.9850090627706</v>
      </c>
      <c r="CW10" s="537">
        <f>Solve!CW$27</f>
        <v>4738.3327137652341</v>
      </c>
      <c r="CX10" s="537">
        <f>Solve!CX$27</f>
        <v>4768.7511838967212</v>
      </c>
      <c r="CY10" s="537">
        <f>Solve!CY$27</f>
        <v>4806.4773364048287</v>
      </c>
      <c r="CZ10" s="537">
        <f>Solve!CZ$27</f>
        <v>4795.3607319199918</v>
      </c>
      <c r="DA10" s="537">
        <f>Solve!DA$27</f>
        <v>4771.6969558081337</v>
      </c>
      <c r="DB10" s="537">
        <f>Solve!DB$27</f>
        <v>0</v>
      </c>
      <c r="DC10" s="537">
        <f>Solve!DC$27</f>
        <v>0</v>
      </c>
      <c r="DD10" s="537">
        <f>Solve!DD$27</f>
        <v>0</v>
      </c>
      <c r="DE10" s="537">
        <f>Solve!DE$27</f>
        <v>0</v>
      </c>
      <c r="DF10" s="537">
        <f>Solve!DF$27</f>
        <v>0</v>
      </c>
      <c r="DG10" s="537">
        <f>Solve!DG$27</f>
        <v>0</v>
      </c>
      <c r="DH10" s="537">
        <f>Solve!DH$27</f>
        <v>0</v>
      </c>
      <c r="DI10" s="537">
        <f>Solve!DI$27</f>
        <v>0</v>
      </c>
      <c r="DJ10" s="537">
        <f>Solve!DJ$27</f>
        <v>0</v>
      </c>
      <c r="DK10" s="537">
        <f>Solve!DK$27</f>
        <v>0</v>
      </c>
      <c r="DL10" s="537">
        <f>Solve!DL$27</f>
        <v>0</v>
      </c>
      <c r="DM10" s="537">
        <f>Solve!DM$27</f>
        <v>0</v>
      </c>
      <c r="DN10" s="537">
        <f>Solve!DN$27</f>
        <v>0</v>
      </c>
      <c r="DO10" s="537">
        <f>Solve!DO$27</f>
        <v>0</v>
      </c>
      <c r="DP10" s="537">
        <f>Solve!DP$27</f>
        <v>0</v>
      </c>
      <c r="DQ10" s="537">
        <f>Solve!DQ$27</f>
        <v>0</v>
      </c>
      <c r="DR10" s="537">
        <f>Solve!DR$27</f>
        <v>0</v>
      </c>
      <c r="DS10" s="537">
        <f>Solve!DS$27</f>
        <v>0</v>
      </c>
      <c r="DT10" s="537">
        <f>Solve!DT$27</f>
        <v>0</v>
      </c>
      <c r="DU10" s="537">
        <f>Solve!DU$27</f>
        <v>0</v>
      </c>
      <c r="DV10" s="537">
        <f>Solve!DV$27</f>
        <v>0</v>
      </c>
      <c r="DW10" s="537">
        <f>Solve!DW$27</f>
        <v>0</v>
      </c>
      <c r="DX10" s="537">
        <f>Solve!DX$27</f>
        <v>0</v>
      </c>
      <c r="DY10" s="537">
        <f>Solve!DY$27</f>
        <v>0</v>
      </c>
      <c r="DZ10" s="537">
        <f>Solve!DZ$27</f>
        <v>0</v>
      </c>
      <c r="EA10" s="537">
        <f>Solve!EA$27</f>
        <v>0</v>
      </c>
      <c r="EB10" s="537">
        <f>Solve!EB$27</f>
        <v>0</v>
      </c>
      <c r="EC10" s="537">
        <f>Solve!EC$27</f>
        <v>0</v>
      </c>
      <c r="ED10" s="537">
        <f>Solve!ED$27</f>
        <v>0</v>
      </c>
      <c r="EE10" s="537">
        <f>Solve!EE$27</f>
        <v>0</v>
      </c>
      <c r="EF10" s="537">
        <f>Solve!EF$27</f>
        <v>0</v>
      </c>
      <c r="EG10" s="537">
        <f>Solve!EG$27</f>
        <v>0</v>
      </c>
    </row>
    <row r="11" spans="5:137" ht="12.75">
      <c r="E11" s="535" t="str">
        <f>Time!E$50</f>
        <v>Model period ending</v>
      </c>
      <c r="G11" s="536" t="str">
        <f>Time!G$50</f>
        <v>date</v>
      </c>
      <c r="J11" s="536">
        <f>Time!J$50</f>
        <v>46418</v>
      </c>
      <c r="K11" s="536">
        <f>Time!K$50</f>
        <v>46446</v>
      </c>
      <c r="L11" s="536">
        <f>Time!L$50</f>
        <v>46477</v>
      </c>
      <c r="M11" s="536">
        <f>Time!M$50</f>
        <v>46507</v>
      </c>
      <c r="N11" s="536">
        <f>Time!N$50</f>
        <v>46538</v>
      </c>
      <c r="O11" s="536">
        <f>Time!O$50</f>
        <v>46568</v>
      </c>
      <c r="P11" s="536">
        <f>Time!P$50</f>
        <v>46599</v>
      </c>
      <c r="Q11" s="536">
        <f>Time!Q$50</f>
        <v>46630</v>
      </c>
      <c r="R11" s="536">
        <f>Time!R$50</f>
        <v>46660</v>
      </c>
      <c r="S11" s="536">
        <f>Time!S$50</f>
        <v>46691</v>
      </c>
      <c r="T11" s="536">
        <f>Time!T$50</f>
        <v>46721</v>
      </c>
      <c r="U11" s="536">
        <f>Time!U$50</f>
        <v>46752</v>
      </c>
      <c r="V11" s="536">
        <f>Time!V$50</f>
        <v>46783</v>
      </c>
      <c r="W11" s="536">
        <f>Time!W$50</f>
        <v>46812</v>
      </c>
      <c r="X11" s="536">
        <f>Time!X$50</f>
        <v>46843</v>
      </c>
      <c r="Y11" s="536">
        <f>Time!Y$50</f>
        <v>46873</v>
      </c>
      <c r="Z11" s="536">
        <f>Time!Z$50</f>
        <v>46904</v>
      </c>
      <c r="AA11" s="536">
        <f>Time!AA$50</f>
        <v>46934</v>
      </c>
      <c r="AB11" s="536">
        <f>Time!AB$50</f>
        <v>46965</v>
      </c>
      <c r="AC11" s="536">
        <f>Time!AC$50</f>
        <v>46996</v>
      </c>
      <c r="AD11" s="536">
        <f>Time!AD$50</f>
        <v>47026</v>
      </c>
      <c r="AE11" s="536">
        <f>Time!AE$50</f>
        <v>47057</v>
      </c>
      <c r="AF11" s="536">
        <f>Time!AF$50</f>
        <v>47087</v>
      </c>
      <c r="AG11" s="536">
        <f>Time!AG$50</f>
        <v>47118</v>
      </c>
      <c r="AH11" s="536">
        <f>Time!AH$50</f>
        <v>47208</v>
      </c>
      <c r="AI11" s="536">
        <f>Time!AI$50</f>
        <v>47299</v>
      </c>
      <c r="AJ11" s="536">
        <f>Time!AJ$50</f>
        <v>47391</v>
      </c>
      <c r="AK11" s="536">
        <f>Time!AK$50</f>
        <v>47483</v>
      </c>
      <c r="AL11" s="536">
        <f>Time!AL$50</f>
        <v>47573</v>
      </c>
      <c r="AM11" s="536">
        <f>Time!AM$50</f>
        <v>47664</v>
      </c>
      <c r="AN11" s="536">
        <f>Time!AN$50</f>
        <v>47756</v>
      </c>
      <c r="AO11" s="536">
        <f>Time!AO$50</f>
        <v>47848</v>
      </c>
      <c r="AP11" s="536">
        <f>Time!AP$50</f>
        <v>47938</v>
      </c>
      <c r="AQ11" s="536">
        <f>Time!AQ$50</f>
        <v>48029</v>
      </c>
      <c r="AR11" s="536">
        <f>Time!AR$50</f>
        <v>48121</v>
      </c>
      <c r="AS11" s="536">
        <f>Time!AS$50</f>
        <v>48213</v>
      </c>
      <c r="AT11" s="536">
        <f>Time!AT$50</f>
        <v>48304</v>
      </c>
      <c r="AU11" s="536">
        <f>Time!AU$50</f>
        <v>48395</v>
      </c>
      <c r="AV11" s="536">
        <f>Time!AV$50</f>
        <v>48487</v>
      </c>
      <c r="AW11" s="536">
        <f>Time!AW$50</f>
        <v>48579</v>
      </c>
      <c r="AX11" s="536">
        <f>Time!AX$50</f>
        <v>48669</v>
      </c>
      <c r="AY11" s="536">
        <f>Time!AY$50</f>
        <v>48760</v>
      </c>
      <c r="AZ11" s="536">
        <f>Time!AZ$50</f>
        <v>48852</v>
      </c>
      <c r="BA11" s="536">
        <f>Time!BA$50</f>
        <v>48944</v>
      </c>
      <c r="BB11" s="536">
        <f>Time!BB$50</f>
        <v>49034</v>
      </c>
      <c r="BC11" s="536">
        <f>Time!BC$50</f>
        <v>49125</v>
      </c>
      <c r="BD11" s="536">
        <f>Time!BD$50</f>
        <v>49217</v>
      </c>
      <c r="BE11" s="536">
        <f>Time!BE$50</f>
        <v>49309</v>
      </c>
      <c r="BF11" s="536">
        <f>Time!BF$50</f>
        <v>49399</v>
      </c>
      <c r="BG11" s="536">
        <f>Time!BG$50</f>
        <v>49490</v>
      </c>
      <c r="BH11" s="536">
        <f>Time!BH$50</f>
        <v>49582</v>
      </c>
      <c r="BI11" s="536">
        <f>Time!BI$50</f>
        <v>49674</v>
      </c>
      <c r="BJ11" s="536">
        <f>Time!BJ$50</f>
        <v>49765</v>
      </c>
      <c r="BK11" s="536">
        <f>Time!BK$50</f>
        <v>49856</v>
      </c>
      <c r="BL11" s="536">
        <f>Time!BL$50</f>
        <v>49948</v>
      </c>
      <c r="BM11" s="536">
        <f>Time!BM$50</f>
        <v>50040</v>
      </c>
      <c r="BN11" s="536">
        <f>Time!BN$50</f>
        <v>50130</v>
      </c>
      <c r="BO11" s="536">
        <f>Time!BO$50</f>
        <v>50221</v>
      </c>
      <c r="BP11" s="536">
        <f>Time!BP$50</f>
        <v>50313</v>
      </c>
      <c r="BQ11" s="536">
        <f>Time!BQ$50</f>
        <v>50405</v>
      </c>
      <c r="BR11" s="536">
        <f>Time!BR$50</f>
        <v>50495</v>
      </c>
      <c r="BS11" s="536">
        <f>Time!BS$50</f>
        <v>50586</v>
      </c>
      <c r="BT11" s="536">
        <f>Time!BT$50</f>
        <v>50678</v>
      </c>
      <c r="BU11" s="536">
        <f>Time!BU$50</f>
        <v>50770</v>
      </c>
      <c r="BV11" s="536">
        <f>Time!BV$50</f>
        <v>50860</v>
      </c>
      <c r="BW11" s="536">
        <f>Time!BW$50</f>
        <v>50951</v>
      </c>
      <c r="BX11" s="536">
        <f>Time!BX$50</f>
        <v>51043</v>
      </c>
      <c r="BY11" s="536">
        <f>Time!BY$50</f>
        <v>51135</v>
      </c>
      <c r="BZ11" s="536">
        <f>Time!BZ$50</f>
        <v>51226</v>
      </c>
      <c r="CA11" s="536">
        <f>Time!CA$50</f>
        <v>51317</v>
      </c>
      <c r="CB11" s="536">
        <f>Time!CB$50</f>
        <v>51409</v>
      </c>
      <c r="CC11" s="536">
        <f>Time!CC$50</f>
        <v>51501</v>
      </c>
      <c r="CD11" s="536">
        <f>Time!CD$50</f>
        <v>51591</v>
      </c>
      <c r="CE11" s="536">
        <f>Time!CE$50</f>
        <v>51682</v>
      </c>
      <c r="CF11" s="536">
        <f>Time!CF$50</f>
        <v>51774</v>
      </c>
      <c r="CG11" s="536">
        <f>Time!CG$50</f>
        <v>51866</v>
      </c>
      <c r="CH11" s="536">
        <f>Time!CH$50</f>
        <v>51956</v>
      </c>
      <c r="CI11" s="536">
        <f>Time!CI$50</f>
        <v>52047</v>
      </c>
      <c r="CJ11" s="536">
        <f>Time!CJ$50</f>
        <v>52139</v>
      </c>
      <c r="CK11" s="536">
        <f>Time!CK$50</f>
        <v>52231</v>
      </c>
      <c r="CL11" s="536">
        <f>Time!CL$50</f>
        <v>52321</v>
      </c>
      <c r="CM11" s="536">
        <f>Time!CM$50</f>
        <v>52412</v>
      </c>
      <c r="CN11" s="536">
        <f>Time!CN$50</f>
        <v>52504</v>
      </c>
      <c r="CO11" s="536">
        <f>Time!CO$50</f>
        <v>52596</v>
      </c>
      <c r="CP11" s="536">
        <f>Time!CP$50</f>
        <v>52687</v>
      </c>
      <c r="CQ11" s="536">
        <f>Time!CQ$50</f>
        <v>52778</v>
      </c>
      <c r="CR11" s="536">
        <f>Time!CR$50</f>
        <v>52870</v>
      </c>
      <c r="CS11" s="536">
        <f>Time!CS$50</f>
        <v>52962</v>
      </c>
      <c r="CT11" s="536">
        <f>Time!CT$50</f>
        <v>53052</v>
      </c>
      <c r="CU11" s="536">
        <f>Time!CU$50</f>
        <v>53143</v>
      </c>
      <c r="CV11" s="536">
        <f>Time!CV$50</f>
        <v>53235</v>
      </c>
      <c r="CW11" s="536">
        <f>Time!CW$50</f>
        <v>53327</v>
      </c>
      <c r="CX11" s="536">
        <f>Time!CX$50</f>
        <v>53417</v>
      </c>
      <c r="CY11" s="536">
        <f>Time!CY$50</f>
        <v>53508</v>
      </c>
      <c r="CZ11" s="536">
        <f>Time!CZ$50</f>
        <v>53600</v>
      </c>
      <c r="DA11" s="536">
        <f>Time!DA$50</f>
        <v>53692</v>
      </c>
      <c r="DB11" s="536">
        <f>Time!DB$50</f>
        <v>53782</v>
      </c>
      <c r="DC11" s="536">
        <f>Time!DC$50</f>
        <v>53873</v>
      </c>
      <c r="DD11" s="536">
        <f>Time!DD$50</f>
        <v>53965</v>
      </c>
      <c r="DE11" s="536">
        <f>Time!DE$50</f>
        <v>54057</v>
      </c>
      <c r="DF11" s="536">
        <f>Time!DF$50</f>
        <v>54148</v>
      </c>
      <c r="DG11" s="536">
        <f>Time!DG$50</f>
        <v>54239</v>
      </c>
      <c r="DH11" s="536">
        <f>Time!DH$50</f>
        <v>54331</v>
      </c>
      <c r="DI11" s="536">
        <f>Time!DI$50</f>
        <v>54423</v>
      </c>
      <c r="DJ11" s="536">
        <f>Time!DJ$50</f>
        <v>54513</v>
      </c>
      <c r="DK11" s="536">
        <f>Time!DK$50</f>
        <v>54604</v>
      </c>
      <c r="DL11" s="536">
        <f>Time!DL$50</f>
        <v>54696</v>
      </c>
      <c r="DM11" s="536">
        <f>Time!DM$50</f>
        <v>54788</v>
      </c>
      <c r="DN11" s="536">
        <f>Time!DN$50</f>
        <v>54878</v>
      </c>
      <c r="DO11" s="536">
        <f>Time!DO$50</f>
        <v>54969</v>
      </c>
      <c r="DP11" s="536">
        <f>Time!DP$50</f>
        <v>55061</v>
      </c>
      <c r="DQ11" s="536">
        <f>Time!DQ$50</f>
        <v>55153</v>
      </c>
      <c r="DR11" s="536">
        <f>Time!DR$50</f>
        <v>55243</v>
      </c>
      <c r="DS11" s="536">
        <f>Time!DS$50</f>
        <v>55334</v>
      </c>
      <c r="DT11" s="536">
        <f>Time!DT$50</f>
        <v>55426</v>
      </c>
      <c r="DU11" s="536">
        <f>Time!DU$50</f>
        <v>55518</v>
      </c>
      <c r="DV11" s="536">
        <f>Time!DV$50</f>
        <v>55609</v>
      </c>
      <c r="DW11" s="536">
        <f>Time!DW$50</f>
        <v>55700</v>
      </c>
      <c r="DX11" s="536">
        <f>Time!DX$50</f>
        <v>55792</v>
      </c>
      <c r="DY11" s="536">
        <f>Time!DY$50</f>
        <v>55884</v>
      </c>
      <c r="DZ11" s="536">
        <f>Time!DZ$50</f>
        <v>55974</v>
      </c>
      <c r="EA11" s="536">
        <f>Time!EA$50</f>
        <v>56065</v>
      </c>
      <c r="EB11" s="536">
        <f>Time!EB$50</f>
        <v>56157</v>
      </c>
      <c r="EC11" s="536">
        <f>Time!EC$50</f>
        <v>56249</v>
      </c>
      <c r="ED11" s="536">
        <f>Time!ED$50</f>
        <v>56339</v>
      </c>
      <c r="EE11" s="536">
        <f>Time!EE$50</f>
        <v>56430</v>
      </c>
      <c r="EF11" s="536">
        <f>Time!EF$50</f>
        <v>56522</v>
      </c>
      <c r="EG11" s="536">
        <f>Time!EG$50</f>
        <v>56614</v>
      </c>
    </row>
    <row r="12" spans="5:137" ht="12.75">
      <c r="E12" s="535" t="str">
        <f>Time!E$67</f>
        <v>End of construction period flag</v>
      </c>
      <c r="G12" s="537" t="str">
        <f>Time!G$67</f>
        <v>flag</v>
      </c>
      <c r="H12" s="537">
        <f>Time!H$67</f>
        <v>1</v>
      </c>
      <c r="J12" s="537">
        <f>Time!J$67</f>
        <v>0</v>
      </c>
      <c r="K12" s="537">
        <f>Time!K$67</f>
        <v>0</v>
      </c>
      <c r="L12" s="537">
        <f>Time!L$67</f>
        <v>0</v>
      </c>
      <c r="M12" s="537">
        <f>Time!M$67</f>
        <v>0</v>
      </c>
      <c r="N12" s="537">
        <f>Time!N$67</f>
        <v>0</v>
      </c>
      <c r="O12" s="537">
        <f>Time!O$67</f>
        <v>0</v>
      </c>
      <c r="P12" s="537">
        <f>Time!P$67</f>
        <v>0</v>
      </c>
      <c r="Q12" s="537">
        <f>Time!Q$67</f>
        <v>0</v>
      </c>
      <c r="R12" s="537">
        <f>Time!R$67</f>
        <v>0</v>
      </c>
      <c r="S12" s="537">
        <f>Time!S$67</f>
        <v>0</v>
      </c>
      <c r="T12" s="537">
        <f>Time!T$67</f>
        <v>0</v>
      </c>
      <c r="U12" s="537">
        <f>Time!U$67</f>
        <v>0</v>
      </c>
      <c r="V12" s="537">
        <f>Time!V$67</f>
        <v>0</v>
      </c>
      <c r="W12" s="537">
        <f>Time!W$67</f>
        <v>0</v>
      </c>
      <c r="X12" s="537">
        <f>Time!X$67</f>
        <v>0</v>
      </c>
      <c r="Y12" s="537">
        <f>Time!Y$67</f>
        <v>0</v>
      </c>
      <c r="Z12" s="537">
        <f>Time!Z$67</f>
        <v>0</v>
      </c>
      <c r="AA12" s="537">
        <f>Time!AA$67</f>
        <v>0</v>
      </c>
      <c r="AB12" s="537">
        <f>Time!AB$67</f>
        <v>0</v>
      </c>
      <c r="AC12" s="537">
        <f>Time!AC$67</f>
        <v>0</v>
      </c>
      <c r="AD12" s="537">
        <f>Time!AD$67</f>
        <v>0</v>
      </c>
      <c r="AE12" s="537">
        <f>Time!AE$67</f>
        <v>0</v>
      </c>
      <c r="AF12" s="537">
        <f>Time!AF$67</f>
        <v>0</v>
      </c>
      <c r="AG12" s="537">
        <f>Time!AG$67</f>
        <v>1</v>
      </c>
      <c r="AH12" s="537">
        <f>Time!AH$67</f>
        <v>0</v>
      </c>
      <c r="AI12" s="537">
        <f>Time!AI$67</f>
        <v>0</v>
      </c>
      <c r="AJ12" s="537">
        <f>Time!AJ$67</f>
        <v>0</v>
      </c>
      <c r="AK12" s="537">
        <f>Time!AK$67</f>
        <v>0</v>
      </c>
      <c r="AL12" s="537">
        <f>Time!AL$67</f>
        <v>0</v>
      </c>
      <c r="AM12" s="537">
        <f>Time!AM$67</f>
        <v>0</v>
      </c>
      <c r="AN12" s="537">
        <f>Time!AN$67</f>
        <v>0</v>
      </c>
      <c r="AO12" s="537">
        <f>Time!AO$67</f>
        <v>0</v>
      </c>
      <c r="AP12" s="537">
        <f>Time!AP$67</f>
        <v>0</v>
      </c>
      <c r="AQ12" s="537">
        <f>Time!AQ$67</f>
        <v>0</v>
      </c>
      <c r="AR12" s="537">
        <f>Time!AR$67</f>
        <v>0</v>
      </c>
      <c r="AS12" s="537">
        <f>Time!AS$67</f>
        <v>0</v>
      </c>
      <c r="AT12" s="537">
        <f>Time!AT$67</f>
        <v>0</v>
      </c>
      <c r="AU12" s="537">
        <f>Time!AU$67</f>
        <v>0</v>
      </c>
      <c r="AV12" s="537">
        <f>Time!AV$67</f>
        <v>0</v>
      </c>
      <c r="AW12" s="537">
        <f>Time!AW$67</f>
        <v>0</v>
      </c>
      <c r="AX12" s="537">
        <f>Time!AX$67</f>
        <v>0</v>
      </c>
      <c r="AY12" s="537">
        <f>Time!AY$67</f>
        <v>0</v>
      </c>
      <c r="AZ12" s="537">
        <f>Time!AZ$67</f>
        <v>0</v>
      </c>
      <c r="BA12" s="537">
        <f>Time!BA$67</f>
        <v>0</v>
      </c>
      <c r="BB12" s="537">
        <f>Time!BB$67</f>
        <v>0</v>
      </c>
      <c r="BC12" s="537">
        <f>Time!BC$67</f>
        <v>0</v>
      </c>
      <c r="BD12" s="537">
        <f>Time!BD$67</f>
        <v>0</v>
      </c>
      <c r="BE12" s="537">
        <f>Time!BE$67</f>
        <v>0</v>
      </c>
      <c r="BF12" s="537">
        <f>Time!BF$67</f>
        <v>0</v>
      </c>
      <c r="BG12" s="537">
        <f>Time!BG$67</f>
        <v>0</v>
      </c>
      <c r="BH12" s="537">
        <f>Time!BH$67</f>
        <v>0</v>
      </c>
      <c r="BI12" s="537">
        <f>Time!BI$67</f>
        <v>0</v>
      </c>
      <c r="BJ12" s="537">
        <f>Time!BJ$67</f>
        <v>0</v>
      </c>
      <c r="BK12" s="537">
        <f>Time!BK$67</f>
        <v>0</v>
      </c>
      <c r="BL12" s="537">
        <f>Time!BL$67</f>
        <v>0</v>
      </c>
      <c r="BM12" s="537">
        <f>Time!BM$67</f>
        <v>0</v>
      </c>
      <c r="BN12" s="537">
        <f>Time!BN$67</f>
        <v>0</v>
      </c>
      <c r="BO12" s="537">
        <f>Time!BO$67</f>
        <v>0</v>
      </c>
      <c r="BP12" s="537">
        <f>Time!BP$67</f>
        <v>0</v>
      </c>
      <c r="BQ12" s="537">
        <f>Time!BQ$67</f>
        <v>0</v>
      </c>
      <c r="BR12" s="537">
        <f>Time!BR$67</f>
        <v>0</v>
      </c>
      <c r="BS12" s="537">
        <f>Time!BS$67</f>
        <v>0</v>
      </c>
      <c r="BT12" s="537">
        <f>Time!BT$67</f>
        <v>0</v>
      </c>
      <c r="BU12" s="537">
        <f>Time!BU$67</f>
        <v>0</v>
      </c>
      <c r="BV12" s="537">
        <f>Time!BV$67</f>
        <v>0</v>
      </c>
      <c r="BW12" s="537">
        <f>Time!BW$67</f>
        <v>0</v>
      </c>
      <c r="BX12" s="537">
        <f>Time!BX$67</f>
        <v>0</v>
      </c>
      <c r="BY12" s="537">
        <f>Time!BY$67</f>
        <v>0</v>
      </c>
      <c r="BZ12" s="537">
        <f>Time!BZ$67</f>
        <v>0</v>
      </c>
      <c r="CA12" s="537">
        <f>Time!CA$67</f>
        <v>0</v>
      </c>
      <c r="CB12" s="537">
        <f>Time!CB$67</f>
        <v>0</v>
      </c>
      <c r="CC12" s="537">
        <f>Time!CC$67</f>
        <v>0</v>
      </c>
      <c r="CD12" s="537">
        <f>Time!CD$67</f>
        <v>0</v>
      </c>
      <c r="CE12" s="537">
        <f>Time!CE$67</f>
        <v>0</v>
      </c>
      <c r="CF12" s="537">
        <f>Time!CF$67</f>
        <v>0</v>
      </c>
      <c r="CG12" s="537">
        <f>Time!CG$67</f>
        <v>0</v>
      </c>
      <c r="CH12" s="537">
        <f>Time!CH$67</f>
        <v>0</v>
      </c>
      <c r="CI12" s="537">
        <f>Time!CI$67</f>
        <v>0</v>
      </c>
      <c r="CJ12" s="537">
        <f>Time!CJ$67</f>
        <v>0</v>
      </c>
      <c r="CK12" s="537">
        <f>Time!CK$67</f>
        <v>0</v>
      </c>
      <c r="CL12" s="537">
        <f>Time!CL$67</f>
        <v>0</v>
      </c>
      <c r="CM12" s="537">
        <f>Time!CM$67</f>
        <v>0</v>
      </c>
      <c r="CN12" s="537">
        <f>Time!CN$67</f>
        <v>0</v>
      </c>
      <c r="CO12" s="537">
        <f>Time!CO$67</f>
        <v>0</v>
      </c>
      <c r="CP12" s="537">
        <f>Time!CP$67</f>
        <v>0</v>
      </c>
      <c r="CQ12" s="537">
        <f>Time!CQ$67</f>
        <v>0</v>
      </c>
      <c r="CR12" s="537">
        <f>Time!CR$67</f>
        <v>0</v>
      </c>
      <c r="CS12" s="537">
        <f>Time!CS$67</f>
        <v>0</v>
      </c>
      <c r="CT12" s="537">
        <f>Time!CT$67</f>
        <v>0</v>
      </c>
      <c r="CU12" s="537">
        <f>Time!CU$67</f>
        <v>0</v>
      </c>
      <c r="CV12" s="537">
        <f>Time!CV$67</f>
        <v>0</v>
      </c>
      <c r="CW12" s="537">
        <f>Time!CW$67</f>
        <v>0</v>
      </c>
      <c r="CX12" s="537">
        <f>Time!CX$67</f>
        <v>0</v>
      </c>
      <c r="CY12" s="537">
        <f>Time!CY$67</f>
        <v>0</v>
      </c>
      <c r="CZ12" s="537">
        <f>Time!CZ$67</f>
        <v>0</v>
      </c>
      <c r="DA12" s="537">
        <f>Time!DA$67</f>
        <v>0</v>
      </c>
      <c r="DB12" s="537">
        <f>Time!DB$67</f>
        <v>0</v>
      </c>
      <c r="DC12" s="537">
        <f>Time!DC$67</f>
        <v>0</v>
      </c>
      <c r="DD12" s="537">
        <f>Time!DD$67</f>
        <v>0</v>
      </c>
      <c r="DE12" s="537">
        <f>Time!DE$67</f>
        <v>0</v>
      </c>
      <c r="DF12" s="537">
        <f>Time!DF$67</f>
        <v>0</v>
      </c>
      <c r="DG12" s="537">
        <f>Time!DG$67</f>
        <v>0</v>
      </c>
      <c r="DH12" s="537">
        <f>Time!DH$67</f>
        <v>0</v>
      </c>
      <c r="DI12" s="537">
        <f>Time!DI$67</f>
        <v>0</v>
      </c>
      <c r="DJ12" s="537">
        <f>Time!DJ$67</f>
        <v>0</v>
      </c>
      <c r="DK12" s="537">
        <f>Time!DK$67</f>
        <v>0</v>
      </c>
      <c r="DL12" s="537">
        <f>Time!DL$67</f>
        <v>0</v>
      </c>
      <c r="DM12" s="537">
        <f>Time!DM$67</f>
        <v>0</v>
      </c>
      <c r="DN12" s="537">
        <f>Time!DN$67</f>
        <v>0</v>
      </c>
      <c r="DO12" s="537">
        <f>Time!DO$67</f>
        <v>0</v>
      </c>
      <c r="DP12" s="537">
        <f>Time!DP$67</f>
        <v>0</v>
      </c>
      <c r="DQ12" s="537">
        <f>Time!DQ$67</f>
        <v>0</v>
      </c>
      <c r="DR12" s="537">
        <f>Time!DR$67</f>
        <v>0</v>
      </c>
      <c r="DS12" s="537">
        <f>Time!DS$67</f>
        <v>0</v>
      </c>
      <c r="DT12" s="537">
        <f>Time!DT$67</f>
        <v>0</v>
      </c>
      <c r="DU12" s="537">
        <f>Time!DU$67</f>
        <v>0</v>
      </c>
      <c r="DV12" s="537">
        <f>Time!DV$67</f>
        <v>0</v>
      </c>
      <c r="DW12" s="537">
        <f>Time!DW$67</f>
        <v>0</v>
      </c>
      <c r="DX12" s="537">
        <f>Time!DX$67</f>
        <v>0</v>
      </c>
      <c r="DY12" s="537">
        <f>Time!DY$67</f>
        <v>0</v>
      </c>
      <c r="DZ12" s="537">
        <f>Time!DZ$67</f>
        <v>0</v>
      </c>
      <c r="EA12" s="537">
        <f>Time!EA$67</f>
        <v>0</v>
      </c>
      <c r="EB12" s="537">
        <f>Time!EB$67</f>
        <v>0</v>
      </c>
      <c r="EC12" s="537">
        <f>Time!EC$67</f>
        <v>0</v>
      </c>
      <c r="ED12" s="537">
        <f>Time!ED$67</f>
        <v>0</v>
      </c>
      <c r="EE12" s="537">
        <f>Time!EE$67</f>
        <v>0</v>
      </c>
      <c r="EF12" s="537">
        <f>Time!EF$67</f>
        <v>0</v>
      </c>
      <c r="EG12" s="537">
        <f>Time!EG$67</f>
        <v>0</v>
      </c>
    </row>
    <row r="13" spans="5:137" ht="12.75">
      <c r="E13" s="535" t="str">
        <f>Time!E$91</f>
        <v>Operating period flag</v>
      </c>
      <c r="G13" s="537" t="str">
        <f>Time!G$91</f>
        <v>flag</v>
      </c>
      <c r="H13" s="537">
        <f>Time!H$91</f>
        <v>100</v>
      </c>
      <c r="J13" s="537">
        <f>Time!J$91</f>
        <v>0</v>
      </c>
      <c r="K13" s="537">
        <f>Time!K$91</f>
        <v>0</v>
      </c>
      <c r="L13" s="537">
        <f>Time!L$91</f>
        <v>0</v>
      </c>
      <c r="M13" s="537">
        <f>Time!M$91</f>
        <v>0</v>
      </c>
      <c r="N13" s="537">
        <f>Time!N$91</f>
        <v>0</v>
      </c>
      <c r="O13" s="537">
        <f>Time!O$91</f>
        <v>0</v>
      </c>
      <c r="P13" s="537">
        <f>Time!P$91</f>
        <v>0</v>
      </c>
      <c r="Q13" s="537">
        <f>Time!Q$91</f>
        <v>0</v>
      </c>
      <c r="R13" s="537">
        <f>Time!R$91</f>
        <v>0</v>
      </c>
      <c r="S13" s="537">
        <f>Time!S$91</f>
        <v>0</v>
      </c>
      <c r="T13" s="537">
        <f>Time!T$91</f>
        <v>0</v>
      </c>
      <c r="U13" s="537">
        <f>Time!U$91</f>
        <v>0</v>
      </c>
      <c r="V13" s="537">
        <f>Time!V$91</f>
        <v>0</v>
      </c>
      <c r="W13" s="537">
        <f>Time!W$91</f>
        <v>0</v>
      </c>
      <c r="X13" s="537">
        <f>Time!X$91</f>
        <v>0</v>
      </c>
      <c r="Y13" s="537">
        <f>Time!Y$91</f>
        <v>0</v>
      </c>
      <c r="Z13" s="537">
        <f>Time!Z$91</f>
        <v>0</v>
      </c>
      <c r="AA13" s="537">
        <f>Time!AA$91</f>
        <v>0</v>
      </c>
      <c r="AB13" s="537">
        <f>Time!AB$91</f>
        <v>0</v>
      </c>
      <c r="AC13" s="537">
        <f>Time!AC$91</f>
        <v>0</v>
      </c>
      <c r="AD13" s="537">
        <f>Time!AD$91</f>
        <v>0</v>
      </c>
      <c r="AE13" s="537">
        <f>Time!AE$91</f>
        <v>0</v>
      </c>
      <c r="AF13" s="537">
        <f>Time!AF$91</f>
        <v>0</v>
      </c>
      <c r="AG13" s="537">
        <f>Time!AG$91</f>
        <v>0</v>
      </c>
      <c r="AH13" s="537">
        <f>Time!AH$91</f>
        <v>1</v>
      </c>
      <c r="AI13" s="537">
        <f>Time!AI$91</f>
        <v>1</v>
      </c>
      <c r="AJ13" s="537">
        <f>Time!AJ$91</f>
        <v>1</v>
      </c>
      <c r="AK13" s="537">
        <f>Time!AK$91</f>
        <v>1</v>
      </c>
      <c r="AL13" s="537">
        <f>Time!AL$91</f>
        <v>1</v>
      </c>
      <c r="AM13" s="537">
        <f>Time!AM$91</f>
        <v>1</v>
      </c>
      <c r="AN13" s="537">
        <f>Time!AN$91</f>
        <v>1</v>
      </c>
      <c r="AO13" s="537">
        <f>Time!AO$91</f>
        <v>1</v>
      </c>
      <c r="AP13" s="537">
        <f>Time!AP$91</f>
        <v>1</v>
      </c>
      <c r="AQ13" s="537">
        <f>Time!AQ$91</f>
        <v>1</v>
      </c>
      <c r="AR13" s="537">
        <f>Time!AR$91</f>
        <v>1</v>
      </c>
      <c r="AS13" s="537">
        <f>Time!AS$91</f>
        <v>1</v>
      </c>
      <c r="AT13" s="537">
        <f>Time!AT$91</f>
        <v>1</v>
      </c>
      <c r="AU13" s="537">
        <f>Time!AU$91</f>
        <v>1</v>
      </c>
      <c r="AV13" s="537">
        <f>Time!AV$91</f>
        <v>1</v>
      </c>
      <c r="AW13" s="537">
        <f>Time!AW$91</f>
        <v>1</v>
      </c>
      <c r="AX13" s="537">
        <f>Time!AX$91</f>
        <v>1</v>
      </c>
      <c r="AY13" s="537">
        <f>Time!AY$91</f>
        <v>1</v>
      </c>
      <c r="AZ13" s="537">
        <f>Time!AZ$91</f>
        <v>1</v>
      </c>
      <c r="BA13" s="537">
        <f>Time!BA$91</f>
        <v>1</v>
      </c>
      <c r="BB13" s="537">
        <f>Time!BB$91</f>
        <v>1</v>
      </c>
      <c r="BC13" s="537">
        <f>Time!BC$91</f>
        <v>1</v>
      </c>
      <c r="BD13" s="537">
        <f>Time!BD$91</f>
        <v>1</v>
      </c>
      <c r="BE13" s="537">
        <f>Time!BE$91</f>
        <v>1</v>
      </c>
      <c r="BF13" s="537">
        <f>Time!BF$91</f>
        <v>1</v>
      </c>
      <c r="BG13" s="537">
        <f>Time!BG$91</f>
        <v>1</v>
      </c>
      <c r="BH13" s="537">
        <f>Time!BH$91</f>
        <v>1</v>
      </c>
      <c r="BI13" s="537">
        <f>Time!BI$91</f>
        <v>1</v>
      </c>
      <c r="BJ13" s="537">
        <f>Time!BJ$91</f>
        <v>1</v>
      </c>
      <c r="BK13" s="537">
        <f>Time!BK$91</f>
        <v>1</v>
      </c>
      <c r="BL13" s="537">
        <f>Time!BL$91</f>
        <v>1</v>
      </c>
      <c r="BM13" s="537">
        <f>Time!BM$91</f>
        <v>1</v>
      </c>
      <c r="BN13" s="537">
        <f>Time!BN$91</f>
        <v>1</v>
      </c>
      <c r="BO13" s="537">
        <f>Time!BO$91</f>
        <v>1</v>
      </c>
      <c r="BP13" s="537">
        <f>Time!BP$91</f>
        <v>1</v>
      </c>
      <c r="BQ13" s="537">
        <f>Time!BQ$91</f>
        <v>1</v>
      </c>
      <c r="BR13" s="537">
        <f>Time!BR$91</f>
        <v>1</v>
      </c>
      <c r="BS13" s="537">
        <f>Time!BS$91</f>
        <v>1</v>
      </c>
      <c r="BT13" s="537">
        <f>Time!BT$91</f>
        <v>1</v>
      </c>
      <c r="BU13" s="537">
        <f>Time!BU$91</f>
        <v>1</v>
      </c>
      <c r="BV13" s="537">
        <f>Time!BV$91</f>
        <v>1</v>
      </c>
      <c r="BW13" s="537">
        <f>Time!BW$91</f>
        <v>1</v>
      </c>
      <c r="BX13" s="537">
        <f>Time!BX$91</f>
        <v>1</v>
      </c>
      <c r="BY13" s="537">
        <f>Time!BY$91</f>
        <v>1</v>
      </c>
      <c r="BZ13" s="537">
        <f>Time!BZ$91</f>
        <v>1</v>
      </c>
      <c r="CA13" s="537">
        <f>Time!CA$91</f>
        <v>1</v>
      </c>
      <c r="CB13" s="537">
        <f>Time!CB$91</f>
        <v>1</v>
      </c>
      <c r="CC13" s="537">
        <f>Time!CC$91</f>
        <v>1</v>
      </c>
      <c r="CD13" s="537">
        <f>Time!CD$91</f>
        <v>1</v>
      </c>
      <c r="CE13" s="537">
        <f>Time!CE$91</f>
        <v>1</v>
      </c>
      <c r="CF13" s="537">
        <f>Time!CF$91</f>
        <v>1</v>
      </c>
      <c r="CG13" s="537">
        <f>Time!CG$91</f>
        <v>1</v>
      </c>
      <c r="CH13" s="537">
        <f>Time!CH$91</f>
        <v>1</v>
      </c>
      <c r="CI13" s="537">
        <f>Time!CI$91</f>
        <v>1</v>
      </c>
      <c r="CJ13" s="537">
        <f>Time!CJ$91</f>
        <v>1</v>
      </c>
      <c r="CK13" s="537">
        <f>Time!CK$91</f>
        <v>1</v>
      </c>
      <c r="CL13" s="537">
        <f>Time!CL$91</f>
        <v>1</v>
      </c>
      <c r="CM13" s="537">
        <f>Time!CM$91</f>
        <v>1</v>
      </c>
      <c r="CN13" s="537">
        <f>Time!CN$91</f>
        <v>1</v>
      </c>
      <c r="CO13" s="537">
        <f>Time!CO$91</f>
        <v>1</v>
      </c>
      <c r="CP13" s="537">
        <f>Time!CP$91</f>
        <v>1</v>
      </c>
      <c r="CQ13" s="537">
        <f>Time!CQ$91</f>
        <v>1</v>
      </c>
      <c r="CR13" s="537">
        <f>Time!CR$91</f>
        <v>1</v>
      </c>
      <c r="CS13" s="537">
        <f>Time!CS$91</f>
        <v>1</v>
      </c>
      <c r="CT13" s="537">
        <f>Time!CT$91</f>
        <v>1</v>
      </c>
      <c r="CU13" s="537">
        <f>Time!CU$91</f>
        <v>1</v>
      </c>
      <c r="CV13" s="537">
        <f>Time!CV$91</f>
        <v>1</v>
      </c>
      <c r="CW13" s="537">
        <f>Time!CW$91</f>
        <v>1</v>
      </c>
      <c r="CX13" s="537">
        <f>Time!CX$91</f>
        <v>1</v>
      </c>
      <c r="CY13" s="537">
        <f>Time!CY$91</f>
        <v>1</v>
      </c>
      <c r="CZ13" s="537">
        <f>Time!CZ$91</f>
        <v>1</v>
      </c>
      <c r="DA13" s="537">
        <f>Time!DA$91</f>
        <v>1</v>
      </c>
      <c r="DB13" s="537">
        <f>Time!DB$91</f>
        <v>1</v>
      </c>
      <c r="DC13" s="537">
        <f>Time!DC$91</f>
        <v>1</v>
      </c>
      <c r="DD13" s="537">
        <f>Time!DD$91</f>
        <v>1</v>
      </c>
      <c r="DE13" s="537">
        <f>Time!DE$91</f>
        <v>1</v>
      </c>
      <c r="DF13" s="537">
        <f>Time!DF$91</f>
        <v>1</v>
      </c>
      <c r="DG13" s="537">
        <f>Time!DG$91</f>
        <v>1</v>
      </c>
      <c r="DH13" s="537">
        <f>Time!DH$91</f>
        <v>1</v>
      </c>
      <c r="DI13" s="537">
        <f>Time!DI$91</f>
        <v>1</v>
      </c>
      <c r="DJ13" s="537">
        <f>Time!DJ$91</f>
        <v>1</v>
      </c>
      <c r="DK13" s="537">
        <f>Time!DK$91</f>
        <v>1</v>
      </c>
      <c r="DL13" s="537">
        <f>Time!DL$91</f>
        <v>1</v>
      </c>
      <c r="DM13" s="537">
        <f>Time!DM$91</f>
        <v>1</v>
      </c>
      <c r="DN13" s="537">
        <f>Time!DN$91</f>
        <v>1</v>
      </c>
      <c r="DO13" s="537">
        <f>Time!DO$91</f>
        <v>1</v>
      </c>
      <c r="DP13" s="537">
        <f>Time!DP$91</f>
        <v>1</v>
      </c>
      <c r="DQ13" s="537">
        <f>Time!DQ$91</f>
        <v>1</v>
      </c>
      <c r="DR13" s="537">
        <f>Time!DR$91</f>
        <v>1</v>
      </c>
      <c r="DS13" s="537">
        <f>Time!DS$91</f>
        <v>1</v>
      </c>
      <c r="DT13" s="537">
        <f>Time!DT$91</f>
        <v>1</v>
      </c>
      <c r="DU13" s="537">
        <f>Time!DU$91</f>
        <v>1</v>
      </c>
      <c r="DV13" s="537">
        <f>Time!DV$91</f>
        <v>1</v>
      </c>
      <c r="DW13" s="537">
        <f>Time!DW$91</f>
        <v>1</v>
      </c>
      <c r="DX13" s="537">
        <f>Time!DX$91</f>
        <v>1</v>
      </c>
      <c r="DY13" s="537">
        <f>Time!DY$91</f>
        <v>1</v>
      </c>
      <c r="DZ13" s="537">
        <f>Time!DZ$91</f>
        <v>1</v>
      </c>
      <c r="EA13" s="537">
        <f>Time!EA$91</f>
        <v>1</v>
      </c>
      <c r="EB13" s="537">
        <f>Time!EB$91</f>
        <v>1</v>
      </c>
      <c r="EC13" s="537">
        <f>Time!EC$91</f>
        <v>1</v>
      </c>
      <c r="ED13" s="537">
        <f>Time!ED$91</f>
        <v>0</v>
      </c>
      <c r="EE13" s="537">
        <f>Time!EE$91</f>
        <v>0</v>
      </c>
      <c r="EF13" s="537">
        <f>Time!EF$91</f>
        <v>0</v>
      </c>
      <c r="EG13" s="537">
        <f>Time!EG$91</f>
        <v>0</v>
      </c>
    </row>
    <row r="14" spans="5:137" ht="12.75">
      <c r="E14" s="538" t="s">
        <v>361</v>
      </c>
      <c r="G14" s="539" t="s">
        <v>30</v>
      </c>
      <c r="H14" s="539">
        <f>SUM(J14:EG14)</f>
        <v>697187.04072008806</v>
      </c>
      <c r="J14" s="539">
        <f t="shared" si="0" ref="J14:EG14">SUMIFS($J10:$EG10,$J11:$EG11,"&gt;"&amp;J11,$J11:$EG11,"&lt;="&amp;EOMONTH(J11,$F9))*(J12+J13)</f>
        <v>0</v>
      </c>
      <c r="K14" s="539">
        <f t="shared" si="0"/>
        <v>0</v>
      </c>
      <c r="L14" s="539">
        <f t="shared" si="0"/>
        <v>0</v>
      </c>
      <c r="M14" s="539">
        <f t="shared" si="0"/>
        <v>0</v>
      </c>
      <c r="N14" s="539">
        <f t="shared" si="0"/>
        <v>0</v>
      </c>
      <c r="O14" s="539">
        <f t="shared" si="0"/>
        <v>0</v>
      </c>
      <c r="P14" s="539">
        <f t="shared" si="0"/>
        <v>0</v>
      </c>
      <c r="Q14" s="539">
        <f t="shared" si="0"/>
        <v>0</v>
      </c>
      <c r="R14" s="539">
        <f t="shared" si="0"/>
        <v>0</v>
      </c>
      <c r="S14" s="539">
        <f t="shared" si="0"/>
        <v>0</v>
      </c>
      <c r="T14" s="539">
        <f t="shared" si="0"/>
        <v>0</v>
      </c>
      <c r="U14" s="539">
        <f t="shared" si="0"/>
        <v>0</v>
      </c>
      <c r="V14" s="539">
        <f t="shared" si="0"/>
        <v>0</v>
      </c>
      <c r="W14" s="539">
        <f t="shared" si="0"/>
        <v>0</v>
      </c>
      <c r="X14" s="539">
        <f t="shared" si="0"/>
        <v>0</v>
      </c>
      <c r="Y14" s="539">
        <f t="shared" si="0"/>
        <v>0</v>
      </c>
      <c r="Z14" s="539">
        <f t="shared" si="0"/>
        <v>0</v>
      </c>
      <c r="AA14" s="539">
        <f t="shared" si="0"/>
        <v>0</v>
      </c>
      <c r="AB14" s="539">
        <f t="shared" si="0"/>
        <v>0</v>
      </c>
      <c r="AC14" s="539">
        <f t="shared" si="0"/>
        <v>0</v>
      </c>
      <c r="AD14" s="539">
        <f t="shared" si="0"/>
        <v>0</v>
      </c>
      <c r="AE14" s="539">
        <f t="shared" si="0"/>
        <v>0</v>
      </c>
      <c r="AF14" s="539">
        <f t="shared" si="0"/>
        <v>0</v>
      </c>
      <c r="AG14" s="539">
        <f t="shared" si="0"/>
        <v>8333.2746174985332</v>
      </c>
      <c r="AH14" s="539">
        <f t="shared" si="0"/>
        <v>9308.6531351756057</v>
      </c>
      <c r="AI14" s="539">
        <f t="shared" si="0"/>
        <v>9298.2394950176858</v>
      </c>
      <c r="AJ14" s="539">
        <f t="shared" si="0"/>
        <v>9337.6116506683175</v>
      </c>
      <c r="AK14" s="539">
        <f t="shared" si="0"/>
        <v>9429.7291218685914</v>
      </c>
      <c r="AL14" s="539">
        <f t="shared" si="0"/>
        <v>9472.0580695850113</v>
      </c>
      <c r="AM14" s="539">
        <f t="shared" si="0"/>
        <v>9461.5189563631629</v>
      </c>
      <c r="AN14" s="539">
        <f t="shared" si="0"/>
        <v>9501.8263636837055</v>
      </c>
      <c r="AO14" s="539">
        <f t="shared" si="0"/>
        <v>9595.4102808892349</v>
      </c>
      <c r="AP14" s="539">
        <f t="shared" si="0"/>
        <v>9638.1449416640698</v>
      </c>
      <c r="AQ14" s="539">
        <f t="shared" si="0"/>
        <v>9627.4799775801403</v>
      </c>
      <c r="AR14" s="539">
        <f t="shared" si="0"/>
        <v>9679.536016332997</v>
      </c>
      <c r="AS14" s="539">
        <f t="shared" si="0"/>
        <v>9763.8140753059997</v>
      </c>
      <c r="AT14" s="539">
        <f t="shared" si="0"/>
        <v>9796.1595279842222</v>
      </c>
      <c r="AU14" s="539">
        <f t="shared" si="0"/>
        <v>9793.9066267576272</v>
      </c>
      <c r="AV14" s="539">
        <f t="shared" si="0"/>
        <v>9836.1518034083492</v>
      </c>
      <c r="AW14" s="539">
        <f t="shared" si="0"/>
        <v>9934.9780954017842</v>
      </c>
      <c r="AX14" s="539">
        <f t="shared" si="0"/>
        <v>9978.5124212525789</v>
      </c>
      <c r="AY14" s="539">
        <f t="shared" si="0"/>
        <v>9965.1612930804731</v>
      </c>
      <c r="AZ14" s="539">
        <f t="shared" si="0"/>
        <v>9944.7298885451564</v>
      </c>
      <c r="BA14" s="539">
        <f t="shared" si="0"/>
        <v>9972.4781358472173</v>
      </c>
      <c r="BB14" s="539">
        <f t="shared" si="0"/>
        <v>9998.6118234080277</v>
      </c>
      <c r="BC14" s="539">
        <f t="shared" si="0"/>
        <v>9970.5745648815064</v>
      </c>
      <c r="BD14" s="539">
        <f t="shared" si="0"/>
        <v>9993.9780103795183</v>
      </c>
      <c r="BE14" s="539">
        <f t="shared" si="0"/>
        <v>10073.47416898013</v>
      </c>
      <c r="BF14" s="539">
        <f t="shared" si="0"/>
        <v>10102.988965730921</v>
      </c>
      <c r="BG14" s="539">
        <f t="shared" si="0"/>
        <v>10077.683309371694</v>
      </c>
      <c r="BH14" s="539">
        <f t="shared" si="0"/>
        <v>10116.091187302902</v>
      </c>
      <c r="BI14" s="539">
        <f t="shared" si="0"/>
        <v>10188.382359693998</v>
      </c>
      <c r="BJ14" s="539">
        <f t="shared" si="0"/>
        <v>10209.471318627446</v>
      </c>
      <c r="BK14" s="539">
        <f t="shared" si="0"/>
        <v>10197.714289675579</v>
      </c>
      <c r="BL14" s="539">
        <f t="shared" si="0"/>
        <v>10228.09568557579</v>
      </c>
      <c r="BM14" s="539">
        <f t="shared" si="0"/>
        <v>10315.357334076012</v>
      </c>
      <c r="BN14" s="539">
        <f t="shared" si="0"/>
        <v>10350.191466434988</v>
      </c>
      <c r="BO14" s="539">
        <f t="shared" si="0"/>
        <v>10328.987274345176</v>
      </c>
      <c r="BP14" s="539">
        <f t="shared" si="0"/>
        <v>10415.624121569275</v>
      </c>
      <c r="BQ14" s="539">
        <f t="shared" si="0"/>
        <v>10559.552974855102</v>
      </c>
      <c r="BR14" s="539">
        <f t="shared" si="0"/>
        <v>10596.479459831688</v>
      </c>
      <c r="BS14" s="539">
        <f t="shared" si="0"/>
        <v>10576.793421109882</v>
      </c>
      <c r="BT14" s="539">
        <f t="shared" si="0"/>
        <v>10473.459397795083</v>
      </c>
      <c r="BU14" s="539">
        <f t="shared" si="0"/>
        <v>10016.709456108158</v>
      </c>
      <c r="BV14" s="539">
        <f t="shared" si="0"/>
        <v>9636.2291610373613</v>
      </c>
      <c r="BW14" s="539">
        <f t="shared" si="0"/>
        <v>9601.997150678957</v>
      </c>
      <c r="BX14" s="539">
        <f t="shared" si="0"/>
        <v>9625.2865352991357</v>
      </c>
      <c r="BY14" s="539">
        <f t="shared" si="0"/>
        <v>9683.778569263166</v>
      </c>
      <c r="BZ14" s="539">
        <f t="shared" si="0"/>
        <v>9662.5293592965245</v>
      </c>
      <c r="CA14" s="539">
        <f t="shared" si="0"/>
        <v>9432.0314212886315</v>
      </c>
      <c r="CB14" s="539">
        <f t="shared" si="0"/>
        <v>9253.2529979049323</v>
      </c>
      <c r="CC14" s="539">
        <f t="shared" si="0"/>
        <v>9305.6886046067902</v>
      </c>
      <c r="CD14" s="539">
        <f t="shared" si="0"/>
        <v>9328.242598621724</v>
      </c>
      <c r="CE14" s="539">
        <f t="shared" si="0"/>
        <v>9290.6736063131902</v>
      </c>
      <c r="CF14" s="539">
        <f t="shared" si="0"/>
        <v>9287.1183551242611</v>
      </c>
      <c r="CG14" s="539">
        <f t="shared" si="0"/>
        <v>9344.8100349126944</v>
      </c>
      <c r="CH14" s="539">
        <f t="shared" si="0"/>
        <v>9369.1866302068702</v>
      </c>
      <c r="CI14" s="539">
        <f t="shared" si="0"/>
        <v>9333.0916602598882</v>
      </c>
      <c r="CJ14" s="539">
        <f t="shared" si="0"/>
        <v>9620.0621641394609</v>
      </c>
      <c r="CK14" s="539">
        <f t="shared" si="0"/>
        <v>9967.8281585778968</v>
      </c>
      <c r="CL14" s="539">
        <f t="shared" si="0"/>
        <v>9992.4293815623641</v>
      </c>
      <c r="CM14" s="539">
        <f t="shared" si="0"/>
        <v>9956.2389657101321</v>
      </c>
      <c r="CN14" s="539">
        <f t="shared" si="0"/>
        <v>9683.7890086705629</v>
      </c>
      <c r="CO14" s="539">
        <f t="shared" si="0"/>
        <v>9447.2122969783286</v>
      </c>
      <c r="CP14" s="539">
        <f t="shared" si="0"/>
        <v>9459.8928143723988</v>
      </c>
      <c r="CQ14" s="539">
        <f t="shared" si="0"/>
        <v>9437.5230352693525</v>
      </c>
      <c r="CR14" s="539">
        <f t="shared" si="0"/>
        <v>9442.1999104621646</v>
      </c>
      <c r="CS14" s="539">
        <f t="shared" si="0"/>
        <v>9508.240525704532</v>
      </c>
      <c r="CT14" s="539">
        <f t="shared" si="0"/>
        <v>9534.8898375107237</v>
      </c>
      <c r="CU14" s="539">
        <f t="shared" si="0"/>
        <v>9500.3177228280038</v>
      </c>
      <c r="CV14" s="539">
        <f t="shared" si="0"/>
        <v>9507.0838976619561</v>
      </c>
      <c r="CW14" s="539">
        <f t="shared" si="0"/>
        <v>9575.228520301549</v>
      </c>
      <c r="CX14" s="539">
        <f t="shared" si="0"/>
        <v>9601.8380683248215</v>
      </c>
      <c r="CY14" s="539">
        <f t="shared" si="0"/>
        <v>9567.0576877281255</v>
      </c>
      <c r="CZ14" s="539">
        <f t="shared" si="0"/>
        <v>4771.6969558081337</v>
      </c>
      <c r="DA14" s="539">
        <f t="shared" si="0"/>
        <v>0</v>
      </c>
      <c r="DB14" s="539">
        <f t="shared" si="0"/>
        <v>0</v>
      </c>
      <c r="DC14" s="539">
        <f t="shared" si="0"/>
        <v>0</v>
      </c>
      <c r="DD14" s="539">
        <f t="shared" si="0"/>
        <v>0</v>
      </c>
      <c r="DE14" s="539">
        <f t="shared" si="0"/>
        <v>0</v>
      </c>
      <c r="DF14" s="539">
        <f t="shared" si="0"/>
        <v>0</v>
      </c>
      <c r="DG14" s="539">
        <f t="shared" si="0"/>
        <v>0</v>
      </c>
      <c r="DH14" s="539">
        <f t="shared" si="0"/>
        <v>0</v>
      </c>
      <c r="DI14" s="539">
        <f t="shared" si="0"/>
        <v>0</v>
      </c>
      <c r="DJ14" s="539">
        <f t="shared" si="0"/>
        <v>0</v>
      </c>
      <c r="DK14" s="539">
        <f t="shared" si="0"/>
        <v>0</v>
      </c>
      <c r="DL14" s="539">
        <f t="shared" si="0"/>
        <v>0</v>
      </c>
      <c r="DM14" s="539">
        <f t="shared" si="0"/>
        <v>0</v>
      </c>
      <c r="DN14" s="539">
        <f t="shared" si="0"/>
        <v>0</v>
      </c>
      <c r="DO14" s="539">
        <f t="shared" si="0"/>
        <v>0</v>
      </c>
      <c r="DP14" s="539">
        <f t="shared" si="0"/>
        <v>0</v>
      </c>
      <c r="DQ14" s="539">
        <f t="shared" si="0"/>
        <v>0</v>
      </c>
      <c r="DR14" s="539">
        <f t="shared" si="0"/>
        <v>0</v>
      </c>
      <c r="DS14" s="539">
        <f t="shared" si="0"/>
        <v>0</v>
      </c>
      <c r="DT14" s="539">
        <f t="shared" si="0"/>
        <v>0</v>
      </c>
      <c r="DU14" s="539">
        <f t="shared" si="0"/>
        <v>0</v>
      </c>
      <c r="DV14" s="539">
        <f t="shared" si="0"/>
        <v>0</v>
      </c>
      <c r="DW14" s="539">
        <f t="shared" si="0"/>
        <v>0</v>
      </c>
      <c r="DX14" s="539">
        <f t="shared" si="0"/>
        <v>0</v>
      </c>
      <c r="DY14" s="539">
        <f t="shared" si="0"/>
        <v>0</v>
      </c>
      <c r="DZ14" s="539">
        <f t="shared" si="0"/>
        <v>0</v>
      </c>
      <c r="EA14" s="539">
        <f t="shared" si="0"/>
        <v>0</v>
      </c>
      <c r="EB14" s="539">
        <f t="shared" si="0"/>
        <v>0</v>
      </c>
      <c r="EC14" s="539">
        <f t="shared" si="0"/>
        <v>0</v>
      </c>
      <c r="ED14" s="539">
        <f t="shared" si="0"/>
        <v>0</v>
      </c>
      <c r="EE14" s="539">
        <f t="shared" si="0"/>
        <v>0</v>
      </c>
      <c r="EF14" s="539">
        <f t="shared" si="0"/>
        <v>0</v>
      </c>
      <c r="EG14" s="539">
        <f t="shared" si="0"/>
        <v>0</v>
      </c>
    </row>
    <row r="16" spans="5:7" ht="12.75">
      <c r="E16" s="535" t="str">
        <f>InpC!E$97</f>
        <v>DSRF - facility in place of cash DSRA</v>
      </c>
      <c r="F16" s="537">
        <f>InpC!F$97</f>
        <v>0</v>
      </c>
      <c r="G16" s="537" t="str">
        <f>InpC!G$97</f>
        <v>switch</v>
      </c>
    </row>
    <row r="17" spans="5:7" ht="12.75">
      <c r="E17" s="535" t="str">
        <f>InpC!E$143</f>
        <v>DSRF switch - facility replaces cash DSRA</v>
      </c>
      <c r="F17" s="537">
        <f>InpC!F$143</f>
        <v>1</v>
      </c>
      <c r="G17" s="537" t="str">
        <f>InpC!G$143</f>
        <v>switch</v>
      </c>
    </row>
    <row r="18" spans="5:137" ht="12.75">
      <c r="E18" s="538" t="str">
        <f>E$14</f>
        <v>DSRA - senior debt service in the cover period</v>
      </c>
      <c r="G18" s="539" t="str">
        <f>G$14</f>
        <v>EUR 000s</v>
      </c>
      <c r="H18" s="539">
        <f>H$14</f>
        <v>697187.04072008806</v>
      </c>
      <c r="J18" s="539">
        <f t="shared" si="1" ref="J18:EG18">J$14</f>
        <v>0</v>
      </c>
      <c r="K18" s="539">
        <f t="shared" si="1"/>
        <v>0</v>
      </c>
      <c r="L18" s="539">
        <f t="shared" si="1"/>
        <v>0</v>
      </c>
      <c r="M18" s="539">
        <f t="shared" si="1"/>
        <v>0</v>
      </c>
      <c r="N18" s="539">
        <f t="shared" si="1"/>
        <v>0</v>
      </c>
      <c r="O18" s="539">
        <f t="shared" si="1"/>
        <v>0</v>
      </c>
      <c r="P18" s="539">
        <f t="shared" si="1"/>
        <v>0</v>
      </c>
      <c r="Q18" s="539">
        <f t="shared" si="1"/>
        <v>0</v>
      </c>
      <c r="R18" s="539">
        <f t="shared" si="1"/>
        <v>0</v>
      </c>
      <c r="S18" s="539">
        <f t="shared" si="1"/>
        <v>0</v>
      </c>
      <c r="T18" s="539">
        <f t="shared" si="1"/>
        <v>0</v>
      </c>
      <c r="U18" s="539">
        <f t="shared" si="1"/>
        <v>0</v>
      </c>
      <c r="V18" s="539">
        <f t="shared" si="1"/>
        <v>0</v>
      </c>
      <c r="W18" s="539">
        <f t="shared" si="1"/>
        <v>0</v>
      </c>
      <c r="X18" s="539">
        <f t="shared" si="1"/>
        <v>0</v>
      </c>
      <c r="Y18" s="539">
        <f t="shared" si="1"/>
        <v>0</v>
      </c>
      <c r="Z18" s="539">
        <f t="shared" si="1"/>
        <v>0</v>
      </c>
      <c r="AA18" s="539">
        <f t="shared" si="1"/>
        <v>0</v>
      </c>
      <c r="AB18" s="539">
        <f t="shared" si="1"/>
        <v>0</v>
      </c>
      <c r="AC18" s="539">
        <f t="shared" si="1"/>
        <v>0</v>
      </c>
      <c r="AD18" s="539">
        <f t="shared" si="1"/>
        <v>0</v>
      </c>
      <c r="AE18" s="539">
        <f t="shared" si="1"/>
        <v>0</v>
      </c>
      <c r="AF18" s="539">
        <f t="shared" si="1"/>
        <v>0</v>
      </c>
      <c r="AG18" s="539">
        <f t="shared" si="1"/>
        <v>8333.2746174985332</v>
      </c>
      <c r="AH18" s="539">
        <f t="shared" si="1"/>
        <v>9308.6531351756057</v>
      </c>
      <c r="AI18" s="539">
        <f t="shared" si="1"/>
        <v>9298.2394950176858</v>
      </c>
      <c r="AJ18" s="539">
        <f t="shared" si="1"/>
        <v>9337.6116506683175</v>
      </c>
      <c r="AK18" s="539">
        <f t="shared" si="1"/>
        <v>9429.7291218685914</v>
      </c>
      <c r="AL18" s="539">
        <f t="shared" si="1"/>
        <v>9472.0580695850113</v>
      </c>
      <c r="AM18" s="539">
        <f t="shared" si="1"/>
        <v>9461.5189563631629</v>
      </c>
      <c r="AN18" s="539">
        <f t="shared" si="1"/>
        <v>9501.8263636837055</v>
      </c>
      <c r="AO18" s="539">
        <f t="shared" si="1"/>
        <v>9595.4102808892349</v>
      </c>
      <c r="AP18" s="539">
        <f t="shared" si="1"/>
        <v>9638.1449416640698</v>
      </c>
      <c r="AQ18" s="539">
        <f t="shared" si="1"/>
        <v>9627.4799775801403</v>
      </c>
      <c r="AR18" s="539">
        <f t="shared" si="1"/>
        <v>9679.536016332997</v>
      </c>
      <c r="AS18" s="539">
        <f t="shared" si="1"/>
        <v>9763.8140753059997</v>
      </c>
      <c r="AT18" s="539">
        <f t="shared" si="1"/>
        <v>9796.1595279842222</v>
      </c>
      <c r="AU18" s="539">
        <f t="shared" si="1"/>
        <v>9793.9066267576272</v>
      </c>
      <c r="AV18" s="539">
        <f t="shared" si="1"/>
        <v>9836.1518034083492</v>
      </c>
      <c r="AW18" s="539">
        <f t="shared" si="1"/>
        <v>9934.9780954017842</v>
      </c>
      <c r="AX18" s="539">
        <f t="shared" si="1"/>
        <v>9978.5124212525789</v>
      </c>
      <c r="AY18" s="539">
        <f t="shared" si="1"/>
        <v>9965.1612930804731</v>
      </c>
      <c r="AZ18" s="539">
        <f t="shared" si="1"/>
        <v>9944.7298885451564</v>
      </c>
      <c r="BA18" s="539">
        <f t="shared" si="1"/>
        <v>9972.4781358472173</v>
      </c>
      <c r="BB18" s="539">
        <f t="shared" si="1"/>
        <v>9998.6118234080277</v>
      </c>
      <c r="BC18" s="539">
        <f t="shared" si="1"/>
        <v>9970.5745648815064</v>
      </c>
      <c r="BD18" s="539">
        <f t="shared" si="1"/>
        <v>9993.9780103795183</v>
      </c>
      <c r="BE18" s="539">
        <f t="shared" si="1"/>
        <v>10073.47416898013</v>
      </c>
      <c r="BF18" s="539">
        <f t="shared" si="1"/>
        <v>10102.988965730921</v>
      </c>
      <c r="BG18" s="539">
        <f t="shared" si="1"/>
        <v>10077.683309371694</v>
      </c>
      <c r="BH18" s="539">
        <f t="shared" si="1"/>
        <v>10116.091187302902</v>
      </c>
      <c r="BI18" s="539">
        <f t="shared" si="1"/>
        <v>10188.382359693998</v>
      </c>
      <c r="BJ18" s="539">
        <f t="shared" si="1"/>
        <v>10209.471318627446</v>
      </c>
      <c r="BK18" s="539">
        <f t="shared" si="1"/>
        <v>10197.714289675579</v>
      </c>
      <c r="BL18" s="539">
        <f t="shared" si="1"/>
        <v>10228.09568557579</v>
      </c>
      <c r="BM18" s="539">
        <f t="shared" si="1"/>
        <v>10315.357334076012</v>
      </c>
      <c r="BN18" s="539">
        <f t="shared" si="1"/>
        <v>10350.191466434988</v>
      </c>
      <c r="BO18" s="539">
        <f t="shared" si="1"/>
        <v>10328.987274345176</v>
      </c>
      <c r="BP18" s="539">
        <f t="shared" si="1"/>
        <v>10415.624121569275</v>
      </c>
      <c r="BQ18" s="539">
        <f t="shared" si="1"/>
        <v>10559.552974855102</v>
      </c>
      <c r="BR18" s="539">
        <f t="shared" si="1"/>
        <v>10596.479459831688</v>
      </c>
      <c r="BS18" s="539">
        <f t="shared" si="1"/>
        <v>10576.793421109882</v>
      </c>
      <c r="BT18" s="539">
        <f t="shared" si="1"/>
        <v>10473.459397795083</v>
      </c>
      <c r="BU18" s="539">
        <f t="shared" si="1"/>
        <v>10016.709456108158</v>
      </c>
      <c r="BV18" s="539">
        <f t="shared" si="1"/>
        <v>9636.2291610373613</v>
      </c>
      <c r="BW18" s="539">
        <f t="shared" si="1"/>
        <v>9601.997150678957</v>
      </c>
      <c r="BX18" s="539">
        <f t="shared" si="1"/>
        <v>9625.2865352991357</v>
      </c>
      <c r="BY18" s="539">
        <f t="shared" si="1"/>
        <v>9683.778569263166</v>
      </c>
      <c r="BZ18" s="539">
        <f t="shared" si="1"/>
        <v>9662.5293592965245</v>
      </c>
      <c r="CA18" s="539">
        <f t="shared" si="1"/>
        <v>9432.0314212886315</v>
      </c>
      <c r="CB18" s="539">
        <f t="shared" si="1"/>
        <v>9253.2529979049323</v>
      </c>
      <c r="CC18" s="539">
        <f t="shared" si="1"/>
        <v>9305.6886046067902</v>
      </c>
      <c r="CD18" s="539">
        <f t="shared" si="1"/>
        <v>9328.242598621724</v>
      </c>
      <c r="CE18" s="539">
        <f t="shared" si="1"/>
        <v>9290.6736063131902</v>
      </c>
      <c r="CF18" s="539">
        <f t="shared" si="1"/>
        <v>9287.1183551242611</v>
      </c>
      <c r="CG18" s="539">
        <f t="shared" si="1"/>
        <v>9344.8100349126944</v>
      </c>
      <c r="CH18" s="539">
        <f t="shared" si="1"/>
        <v>9369.1866302068702</v>
      </c>
      <c r="CI18" s="539">
        <f t="shared" si="1"/>
        <v>9333.0916602598882</v>
      </c>
      <c r="CJ18" s="539">
        <f t="shared" si="1"/>
        <v>9620.0621641394609</v>
      </c>
      <c r="CK18" s="539">
        <f t="shared" si="1"/>
        <v>9967.8281585778968</v>
      </c>
      <c r="CL18" s="539">
        <f t="shared" si="1"/>
        <v>9992.4293815623641</v>
      </c>
      <c r="CM18" s="539">
        <f t="shared" si="1"/>
        <v>9956.2389657101321</v>
      </c>
      <c r="CN18" s="539">
        <f t="shared" si="1"/>
        <v>9683.7890086705629</v>
      </c>
      <c r="CO18" s="539">
        <f t="shared" si="1"/>
        <v>9447.2122969783286</v>
      </c>
      <c r="CP18" s="539">
        <f t="shared" si="1"/>
        <v>9459.8928143723988</v>
      </c>
      <c r="CQ18" s="539">
        <f t="shared" si="1"/>
        <v>9437.5230352693525</v>
      </c>
      <c r="CR18" s="539">
        <f t="shared" si="1"/>
        <v>9442.1999104621646</v>
      </c>
      <c r="CS18" s="539">
        <f t="shared" si="1"/>
        <v>9508.240525704532</v>
      </c>
      <c r="CT18" s="539">
        <f t="shared" si="1"/>
        <v>9534.8898375107237</v>
      </c>
      <c r="CU18" s="539">
        <f t="shared" si="1"/>
        <v>9500.3177228280038</v>
      </c>
      <c r="CV18" s="539">
        <f t="shared" si="1"/>
        <v>9507.0838976619561</v>
      </c>
      <c r="CW18" s="539">
        <f t="shared" si="1"/>
        <v>9575.228520301549</v>
      </c>
      <c r="CX18" s="539">
        <f t="shared" si="1"/>
        <v>9601.8380683248215</v>
      </c>
      <c r="CY18" s="539">
        <f t="shared" si="1"/>
        <v>9567.0576877281255</v>
      </c>
      <c r="CZ18" s="539">
        <f t="shared" si="1"/>
        <v>4771.6969558081337</v>
      </c>
      <c r="DA18" s="539">
        <f t="shared" si="1"/>
        <v>0</v>
      </c>
      <c r="DB18" s="539">
        <f t="shared" si="1"/>
        <v>0</v>
      </c>
      <c r="DC18" s="539">
        <f t="shared" si="1"/>
        <v>0</v>
      </c>
      <c r="DD18" s="539">
        <f t="shared" si="1"/>
        <v>0</v>
      </c>
      <c r="DE18" s="539">
        <f t="shared" si="1"/>
        <v>0</v>
      </c>
      <c r="DF18" s="539">
        <f t="shared" si="1"/>
        <v>0</v>
      </c>
      <c r="DG18" s="539">
        <f t="shared" si="1"/>
        <v>0</v>
      </c>
      <c r="DH18" s="539">
        <f t="shared" si="1"/>
        <v>0</v>
      </c>
      <c r="DI18" s="539">
        <f t="shared" si="1"/>
        <v>0</v>
      </c>
      <c r="DJ18" s="539">
        <f t="shared" si="1"/>
        <v>0</v>
      </c>
      <c r="DK18" s="539">
        <f t="shared" si="1"/>
        <v>0</v>
      </c>
      <c r="DL18" s="539">
        <f t="shared" si="1"/>
        <v>0</v>
      </c>
      <c r="DM18" s="539">
        <f t="shared" si="1"/>
        <v>0</v>
      </c>
      <c r="DN18" s="539">
        <f t="shared" si="1"/>
        <v>0</v>
      </c>
      <c r="DO18" s="539">
        <f t="shared" si="1"/>
        <v>0</v>
      </c>
      <c r="DP18" s="539">
        <f t="shared" si="1"/>
        <v>0</v>
      </c>
      <c r="DQ18" s="539">
        <f t="shared" si="1"/>
        <v>0</v>
      </c>
      <c r="DR18" s="539">
        <f t="shared" si="1"/>
        <v>0</v>
      </c>
      <c r="DS18" s="539">
        <f t="shared" si="1"/>
        <v>0</v>
      </c>
      <c r="DT18" s="539">
        <f t="shared" si="1"/>
        <v>0</v>
      </c>
      <c r="DU18" s="539">
        <f t="shared" si="1"/>
        <v>0</v>
      </c>
      <c r="DV18" s="539">
        <f t="shared" si="1"/>
        <v>0</v>
      </c>
      <c r="DW18" s="539">
        <f t="shared" si="1"/>
        <v>0</v>
      </c>
      <c r="DX18" s="539">
        <f t="shared" si="1"/>
        <v>0</v>
      </c>
      <c r="DY18" s="539">
        <f t="shared" si="1"/>
        <v>0</v>
      </c>
      <c r="DZ18" s="539">
        <f t="shared" si="1"/>
        <v>0</v>
      </c>
      <c r="EA18" s="539">
        <f t="shared" si="1"/>
        <v>0</v>
      </c>
      <c r="EB18" s="539">
        <f t="shared" si="1"/>
        <v>0</v>
      </c>
      <c r="EC18" s="539">
        <f t="shared" si="1"/>
        <v>0</v>
      </c>
      <c r="ED18" s="539">
        <f t="shared" si="1"/>
        <v>0</v>
      </c>
      <c r="EE18" s="539">
        <f t="shared" si="1"/>
        <v>0</v>
      </c>
      <c r="EF18" s="539">
        <f t="shared" si="1"/>
        <v>0</v>
      </c>
      <c r="EG18" s="539">
        <f t="shared" si="1"/>
        <v>0</v>
      </c>
    </row>
    <row r="19" spans="5:137" ht="12.75">
      <c r="E19" s="538" t="s">
        <v>362</v>
      </c>
      <c r="G19" s="539" t="s">
        <v>30</v>
      </c>
      <c r="H19" s="539">
        <f>SUM(J19:EG19)</f>
        <v>697187.04072008806</v>
      </c>
      <c r="J19" s="539">
        <f t="shared" si="2" ref="J19:EG19">IF($F16=$F17,0,J18)</f>
        <v>0</v>
      </c>
      <c r="K19" s="539">
        <f t="shared" si="2"/>
        <v>0</v>
      </c>
      <c r="L19" s="539">
        <f t="shared" si="2"/>
        <v>0</v>
      </c>
      <c r="M19" s="539">
        <f t="shared" si="2"/>
        <v>0</v>
      </c>
      <c r="N19" s="539">
        <f t="shared" si="2"/>
        <v>0</v>
      </c>
      <c r="O19" s="539">
        <f t="shared" si="2"/>
        <v>0</v>
      </c>
      <c r="P19" s="539">
        <f t="shared" si="2"/>
        <v>0</v>
      </c>
      <c r="Q19" s="539">
        <f t="shared" si="2"/>
        <v>0</v>
      </c>
      <c r="R19" s="539">
        <f t="shared" si="2"/>
        <v>0</v>
      </c>
      <c r="S19" s="539">
        <f t="shared" si="2"/>
        <v>0</v>
      </c>
      <c r="T19" s="539">
        <f t="shared" si="2"/>
        <v>0</v>
      </c>
      <c r="U19" s="539">
        <f t="shared" si="2"/>
        <v>0</v>
      </c>
      <c r="V19" s="539">
        <f t="shared" si="2"/>
        <v>0</v>
      </c>
      <c r="W19" s="539">
        <f t="shared" si="2"/>
        <v>0</v>
      </c>
      <c r="X19" s="539">
        <f t="shared" si="2"/>
        <v>0</v>
      </c>
      <c r="Y19" s="539">
        <f t="shared" si="2"/>
        <v>0</v>
      </c>
      <c r="Z19" s="539">
        <f t="shared" si="2"/>
        <v>0</v>
      </c>
      <c r="AA19" s="539">
        <f t="shared" si="2"/>
        <v>0</v>
      </c>
      <c r="AB19" s="539">
        <f t="shared" si="2"/>
        <v>0</v>
      </c>
      <c r="AC19" s="539">
        <f t="shared" si="2"/>
        <v>0</v>
      </c>
      <c r="AD19" s="539">
        <f t="shared" si="2"/>
        <v>0</v>
      </c>
      <c r="AE19" s="539">
        <f t="shared" si="2"/>
        <v>0</v>
      </c>
      <c r="AF19" s="539">
        <f t="shared" si="2"/>
        <v>0</v>
      </c>
      <c r="AG19" s="539">
        <f t="shared" si="2"/>
        <v>8333.2746174985332</v>
      </c>
      <c r="AH19" s="539">
        <f t="shared" si="2"/>
        <v>9308.6531351756057</v>
      </c>
      <c r="AI19" s="539">
        <f t="shared" si="2"/>
        <v>9298.2394950176858</v>
      </c>
      <c r="AJ19" s="539">
        <f t="shared" si="2"/>
        <v>9337.6116506683175</v>
      </c>
      <c r="AK19" s="539">
        <f t="shared" si="2"/>
        <v>9429.7291218685914</v>
      </c>
      <c r="AL19" s="539">
        <f t="shared" si="2"/>
        <v>9472.0580695850113</v>
      </c>
      <c r="AM19" s="539">
        <f t="shared" si="2"/>
        <v>9461.5189563631629</v>
      </c>
      <c r="AN19" s="539">
        <f t="shared" si="2"/>
        <v>9501.8263636837055</v>
      </c>
      <c r="AO19" s="539">
        <f t="shared" si="2"/>
        <v>9595.4102808892349</v>
      </c>
      <c r="AP19" s="539">
        <f t="shared" si="2"/>
        <v>9638.1449416640698</v>
      </c>
      <c r="AQ19" s="539">
        <f t="shared" si="2"/>
        <v>9627.4799775801403</v>
      </c>
      <c r="AR19" s="539">
        <f t="shared" si="2"/>
        <v>9679.536016332997</v>
      </c>
      <c r="AS19" s="539">
        <f t="shared" si="2"/>
        <v>9763.8140753059997</v>
      </c>
      <c r="AT19" s="539">
        <f t="shared" si="2"/>
        <v>9796.1595279842222</v>
      </c>
      <c r="AU19" s="539">
        <f t="shared" si="2"/>
        <v>9793.9066267576272</v>
      </c>
      <c r="AV19" s="539">
        <f t="shared" si="2"/>
        <v>9836.1518034083492</v>
      </c>
      <c r="AW19" s="539">
        <f t="shared" si="2"/>
        <v>9934.9780954017842</v>
      </c>
      <c r="AX19" s="539">
        <f t="shared" si="2"/>
        <v>9978.5124212525789</v>
      </c>
      <c r="AY19" s="539">
        <f t="shared" si="2"/>
        <v>9965.1612930804731</v>
      </c>
      <c r="AZ19" s="539">
        <f t="shared" si="2"/>
        <v>9944.7298885451564</v>
      </c>
      <c r="BA19" s="539">
        <f t="shared" si="2"/>
        <v>9972.4781358472173</v>
      </c>
      <c r="BB19" s="539">
        <f t="shared" si="2"/>
        <v>9998.6118234080277</v>
      </c>
      <c r="BC19" s="539">
        <f t="shared" si="2"/>
        <v>9970.5745648815064</v>
      </c>
      <c r="BD19" s="539">
        <f t="shared" si="2"/>
        <v>9993.9780103795183</v>
      </c>
      <c r="BE19" s="539">
        <f t="shared" si="2"/>
        <v>10073.47416898013</v>
      </c>
      <c r="BF19" s="539">
        <f t="shared" si="2"/>
        <v>10102.988965730921</v>
      </c>
      <c r="BG19" s="539">
        <f t="shared" si="2"/>
        <v>10077.683309371694</v>
      </c>
      <c r="BH19" s="539">
        <f t="shared" si="2"/>
        <v>10116.091187302902</v>
      </c>
      <c r="BI19" s="539">
        <f t="shared" si="2"/>
        <v>10188.382359693998</v>
      </c>
      <c r="BJ19" s="539">
        <f t="shared" si="2"/>
        <v>10209.471318627446</v>
      </c>
      <c r="BK19" s="539">
        <f t="shared" si="2"/>
        <v>10197.714289675579</v>
      </c>
      <c r="BL19" s="539">
        <f t="shared" si="2"/>
        <v>10228.09568557579</v>
      </c>
      <c r="BM19" s="539">
        <f t="shared" si="2"/>
        <v>10315.357334076012</v>
      </c>
      <c r="BN19" s="539">
        <f t="shared" si="2"/>
        <v>10350.191466434988</v>
      </c>
      <c r="BO19" s="539">
        <f t="shared" si="2"/>
        <v>10328.987274345176</v>
      </c>
      <c r="BP19" s="539">
        <f t="shared" si="2"/>
        <v>10415.624121569275</v>
      </c>
      <c r="BQ19" s="539">
        <f t="shared" si="2"/>
        <v>10559.552974855102</v>
      </c>
      <c r="BR19" s="539">
        <f t="shared" si="2"/>
        <v>10596.479459831688</v>
      </c>
      <c r="BS19" s="539">
        <f t="shared" si="2"/>
        <v>10576.793421109882</v>
      </c>
      <c r="BT19" s="539">
        <f t="shared" si="2"/>
        <v>10473.459397795083</v>
      </c>
      <c r="BU19" s="539">
        <f t="shared" si="2"/>
        <v>10016.709456108158</v>
      </c>
      <c r="BV19" s="539">
        <f t="shared" si="2"/>
        <v>9636.2291610373613</v>
      </c>
      <c r="BW19" s="539">
        <f t="shared" si="2"/>
        <v>9601.997150678957</v>
      </c>
      <c r="BX19" s="539">
        <f t="shared" si="2"/>
        <v>9625.2865352991357</v>
      </c>
      <c r="BY19" s="539">
        <f t="shared" si="2"/>
        <v>9683.778569263166</v>
      </c>
      <c r="BZ19" s="539">
        <f t="shared" si="2"/>
        <v>9662.5293592965245</v>
      </c>
      <c r="CA19" s="539">
        <f t="shared" si="2"/>
        <v>9432.0314212886315</v>
      </c>
      <c r="CB19" s="539">
        <f t="shared" si="2"/>
        <v>9253.2529979049323</v>
      </c>
      <c r="CC19" s="539">
        <f t="shared" si="2"/>
        <v>9305.6886046067902</v>
      </c>
      <c r="CD19" s="539">
        <f t="shared" si="2"/>
        <v>9328.242598621724</v>
      </c>
      <c r="CE19" s="539">
        <f t="shared" si="2"/>
        <v>9290.6736063131902</v>
      </c>
      <c r="CF19" s="539">
        <f t="shared" si="2"/>
        <v>9287.1183551242611</v>
      </c>
      <c r="CG19" s="539">
        <f t="shared" si="2"/>
        <v>9344.8100349126944</v>
      </c>
      <c r="CH19" s="539">
        <f t="shared" si="2"/>
        <v>9369.1866302068702</v>
      </c>
      <c r="CI19" s="539">
        <f t="shared" si="2"/>
        <v>9333.0916602598882</v>
      </c>
      <c r="CJ19" s="539">
        <f t="shared" si="2"/>
        <v>9620.0621641394609</v>
      </c>
      <c r="CK19" s="539">
        <f t="shared" si="2"/>
        <v>9967.8281585778968</v>
      </c>
      <c r="CL19" s="539">
        <f t="shared" si="2"/>
        <v>9992.4293815623641</v>
      </c>
      <c r="CM19" s="539">
        <f t="shared" si="2"/>
        <v>9956.2389657101321</v>
      </c>
      <c r="CN19" s="539">
        <f t="shared" si="2"/>
        <v>9683.7890086705629</v>
      </c>
      <c r="CO19" s="539">
        <f t="shared" si="2"/>
        <v>9447.2122969783286</v>
      </c>
      <c r="CP19" s="539">
        <f t="shared" si="2"/>
        <v>9459.8928143723988</v>
      </c>
      <c r="CQ19" s="539">
        <f t="shared" si="2"/>
        <v>9437.5230352693525</v>
      </c>
      <c r="CR19" s="539">
        <f t="shared" si="2"/>
        <v>9442.1999104621646</v>
      </c>
      <c r="CS19" s="539">
        <f t="shared" si="2"/>
        <v>9508.240525704532</v>
      </c>
      <c r="CT19" s="539">
        <f t="shared" si="2"/>
        <v>9534.8898375107237</v>
      </c>
      <c r="CU19" s="539">
        <f t="shared" si="2"/>
        <v>9500.3177228280038</v>
      </c>
      <c r="CV19" s="539">
        <f t="shared" si="2"/>
        <v>9507.0838976619561</v>
      </c>
      <c r="CW19" s="539">
        <f t="shared" si="2"/>
        <v>9575.228520301549</v>
      </c>
      <c r="CX19" s="539">
        <f t="shared" si="2"/>
        <v>9601.8380683248215</v>
      </c>
      <c r="CY19" s="539">
        <f t="shared" si="2"/>
        <v>9567.0576877281255</v>
      </c>
      <c r="CZ19" s="539">
        <f t="shared" si="2"/>
        <v>4771.6969558081337</v>
      </c>
      <c r="DA19" s="539">
        <f t="shared" si="2"/>
        <v>0</v>
      </c>
      <c r="DB19" s="539">
        <f t="shared" si="2"/>
        <v>0</v>
      </c>
      <c r="DC19" s="539">
        <f t="shared" si="2"/>
        <v>0</v>
      </c>
      <c r="DD19" s="539">
        <f t="shared" si="2"/>
        <v>0</v>
      </c>
      <c r="DE19" s="539">
        <f t="shared" si="2"/>
        <v>0</v>
      </c>
      <c r="DF19" s="539">
        <f t="shared" si="2"/>
        <v>0</v>
      </c>
      <c r="DG19" s="539">
        <f t="shared" si="2"/>
        <v>0</v>
      </c>
      <c r="DH19" s="539">
        <f t="shared" si="2"/>
        <v>0</v>
      </c>
      <c r="DI19" s="539">
        <f t="shared" si="2"/>
        <v>0</v>
      </c>
      <c r="DJ19" s="539">
        <f t="shared" si="2"/>
        <v>0</v>
      </c>
      <c r="DK19" s="539">
        <f t="shared" si="2"/>
        <v>0</v>
      </c>
      <c r="DL19" s="539">
        <f t="shared" si="2"/>
        <v>0</v>
      </c>
      <c r="DM19" s="539">
        <f t="shared" si="2"/>
        <v>0</v>
      </c>
      <c r="DN19" s="539">
        <f t="shared" si="2"/>
        <v>0</v>
      </c>
      <c r="DO19" s="539">
        <f t="shared" si="2"/>
        <v>0</v>
      </c>
      <c r="DP19" s="539">
        <f t="shared" si="2"/>
        <v>0</v>
      </c>
      <c r="DQ19" s="539">
        <f t="shared" si="2"/>
        <v>0</v>
      </c>
      <c r="DR19" s="539">
        <f t="shared" si="2"/>
        <v>0</v>
      </c>
      <c r="DS19" s="539">
        <f t="shared" si="2"/>
        <v>0</v>
      </c>
      <c r="DT19" s="539">
        <f t="shared" si="2"/>
        <v>0</v>
      </c>
      <c r="DU19" s="539">
        <f t="shared" si="2"/>
        <v>0</v>
      </c>
      <c r="DV19" s="539">
        <f t="shared" si="2"/>
        <v>0</v>
      </c>
      <c r="DW19" s="539">
        <f t="shared" si="2"/>
        <v>0</v>
      </c>
      <c r="DX19" s="539">
        <f t="shared" si="2"/>
        <v>0</v>
      </c>
      <c r="DY19" s="539">
        <f t="shared" si="2"/>
        <v>0</v>
      </c>
      <c r="DZ19" s="539">
        <f t="shared" si="2"/>
        <v>0</v>
      </c>
      <c r="EA19" s="539">
        <f t="shared" si="2"/>
        <v>0</v>
      </c>
      <c r="EB19" s="539">
        <f t="shared" si="2"/>
        <v>0</v>
      </c>
      <c r="EC19" s="539">
        <f t="shared" si="2"/>
        <v>0</v>
      </c>
      <c r="ED19" s="539">
        <f t="shared" si="2"/>
        <v>0</v>
      </c>
      <c r="EE19" s="539">
        <f t="shared" si="2"/>
        <v>0</v>
      </c>
      <c r="EF19" s="539">
        <f t="shared" si="2"/>
        <v>0</v>
      </c>
      <c r="EG19" s="539">
        <f t="shared" si="2"/>
        <v>0</v>
      </c>
    </row>
    <row r="21" spans="5:137" ht="12.75">
      <c r="E21" s="535" t="str">
        <f>Time!E$67</f>
        <v>End of construction period flag</v>
      </c>
      <c r="G21" s="537" t="str">
        <f>Time!G$67</f>
        <v>flag</v>
      </c>
      <c r="H21" s="537">
        <f>Time!H$67</f>
        <v>1</v>
      </c>
      <c r="J21" s="537">
        <f>Time!J$67</f>
        <v>0</v>
      </c>
      <c r="K21" s="537">
        <f>Time!K$67</f>
        <v>0</v>
      </c>
      <c r="L21" s="537">
        <f>Time!L$67</f>
        <v>0</v>
      </c>
      <c r="M21" s="537">
        <f>Time!M$67</f>
        <v>0</v>
      </c>
      <c r="N21" s="537">
        <f>Time!N$67</f>
        <v>0</v>
      </c>
      <c r="O21" s="537">
        <f>Time!O$67</f>
        <v>0</v>
      </c>
      <c r="P21" s="537">
        <f>Time!P$67</f>
        <v>0</v>
      </c>
      <c r="Q21" s="537">
        <f>Time!Q$67</f>
        <v>0</v>
      </c>
      <c r="R21" s="537">
        <f>Time!R$67</f>
        <v>0</v>
      </c>
      <c r="S21" s="537">
        <f>Time!S$67</f>
        <v>0</v>
      </c>
      <c r="T21" s="537">
        <f>Time!T$67</f>
        <v>0</v>
      </c>
      <c r="U21" s="537">
        <f>Time!U$67</f>
        <v>0</v>
      </c>
      <c r="V21" s="537">
        <f>Time!V$67</f>
        <v>0</v>
      </c>
      <c r="W21" s="537">
        <f>Time!W$67</f>
        <v>0</v>
      </c>
      <c r="X21" s="537">
        <f>Time!X$67</f>
        <v>0</v>
      </c>
      <c r="Y21" s="537">
        <f>Time!Y$67</f>
        <v>0</v>
      </c>
      <c r="Z21" s="537">
        <f>Time!Z$67</f>
        <v>0</v>
      </c>
      <c r="AA21" s="537">
        <f>Time!AA$67</f>
        <v>0</v>
      </c>
      <c r="AB21" s="537">
        <f>Time!AB$67</f>
        <v>0</v>
      </c>
      <c r="AC21" s="537">
        <f>Time!AC$67</f>
        <v>0</v>
      </c>
      <c r="AD21" s="537">
        <f>Time!AD$67</f>
        <v>0</v>
      </c>
      <c r="AE21" s="537">
        <f>Time!AE$67</f>
        <v>0</v>
      </c>
      <c r="AF21" s="537">
        <f>Time!AF$67</f>
        <v>0</v>
      </c>
      <c r="AG21" s="537">
        <f>Time!AG$67</f>
        <v>1</v>
      </c>
      <c r="AH21" s="537">
        <f>Time!AH$67</f>
        <v>0</v>
      </c>
      <c r="AI21" s="537">
        <f>Time!AI$67</f>
        <v>0</v>
      </c>
      <c r="AJ21" s="537">
        <f>Time!AJ$67</f>
        <v>0</v>
      </c>
      <c r="AK21" s="537">
        <f>Time!AK$67</f>
        <v>0</v>
      </c>
      <c r="AL21" s="537">
        <f>Time!AL$67</f>
        <v>0</v>
      </c>
      <c r="AM21" s="537">
        <f>Time!AM$67</f>
        <v>0</v>
      </c>
      <c r="AN21" s="537">
        <f>Time!AN$67</f>
        <v>0</v>
      </c>
      <c r="AO21" s="537">
        <f>Time!AO$67</f>
        <v>0</v>
      </c>
      <c r="AP21" s="537">
        <f>Time!AP$67</f>
        <v>0</v>
      </c>
      <c r="AQ21" s="537">
        <f>Time!AQ$67</f>
        <v>0</v>
      </c>
      <c r="AR21" s="537">
        <f>Time!AR$67</f>
        <v>0</v>
      </c>
      <c r="AS21" s="537">
        <f>Time!AS$67</f>
        <v>0</v>
      </c>
      <c r="AT21" s="537">
        <f>Time!AT$67</f>
        <v>0</v>
      </c>
      <c r="AU21" s="537">
        <f>Time!AU$67</f>
        <v>0</v>
      </c>
      <c r="AV21" s="537">
        <f>Time!AV$67</f>
        <v>0</v>
      </c>
      <c r="AW21" s="537">
        <f>Time!AW$67</f>
        <v>0</v>
      </c>
      <c r="AX21" s="537">
        <f>Time!AX$67</f>
        <v>0</v>
      </c>
      <c r="AY21" s="537">
        <f>Time!AY$67</f>
        <v>0</v>
      </c>
      <c r="AZ21" s="537">
        <f>Time!AZ$67</f>
        <v>0</v>
      </c>
      <c r="BA21" s="537">
        <f>Time!BA$67</f>
        <v>0</v>
      </c>
      <c r="BB21" s="537">
        <f>Time!BB$67</f>
        <v>0</v>
      </c>
      <c r="BC21" s="537">
        <f>Time!BC$67</f>
        <v>0</v>
      </c>
      <c r="BD21" s="537">
        <f>Time!BD$67</f>
        <v>0</v>
      </c>
      <c r="BE21" s="537">
        <f>Time!BE$67</f>
        <v>0</v>
      </c>
      <c r="BF21" s="537">
        <f>Time!BF$67</f>
        <v>0</v>
      </c>
      <c r="BG21" s="537">
        <f>Time!BG$67</f>
        <v>0</v>
      </c>
      <c r="BH21" s="537">
        <f>Time!BH$67</f>
        <v>0</v>
      </c>
      <c r="BI21" s="537">
        <f>Time!BI$67</f>
        <v>0</v>
      </c>
      <c r="BJ21" s="537">
        <f>Time!BJ$67</f>
        <v>0</v>
      </c>
      <c r="BK21" s="537">
        <f>Time!BK$67</f>
        <v>0</v>
      </c>
      <c r="BL21" s="537">
        <f>Time!BL$67</f>
        <v>0</v>
      </c>
      <c r="BM21" s="537">
        <f>Time!BM$67</f>
        <v>0</v>
      </c>
      <c r="BN21" s="537">
        <f>Time!BN$67</f>
        <v>0</v>
      </c>
      <c r="BO21" s="537">
        <f>Time!BO$67</f>
        <v>0</v>
      </c>
      <c r="BP21" s="537">
        <f>Time!BP$67</f>
        <v>0</v>
      </c>
      <c r="BQ21" s="537">
        <f>Time!BQ$67</f>
        <v>0</v>
      </c>
      <c r="BR21" s="537">
        <f>Time!BR$67</f>
        <v>0</v>
      </c>
      <c r="BS21" s="537">
        <f>Time!BS$67</f>
        <v>0</v>
      </c>
      <c r="BT21" s="537">
        <f>Time!BT$67</f>
        <v>0</v>
      </c>
      <c r="BU21" s="537">
        <f>Time!BU$67</f>
        <v>0</v>
      </c>
      <c r="BV21" s="537">
        <f>Time!BV$67</f>
        <v>0</v>
      </c>
      <c r="BW21" s="537">
        <f>Time!BW$67</f>
        <v>0</v>
      </c>
      <c r="BX21" s="537">
        <f>Time!BX$67</f>
        <v>0</v>
      </c>
      <c r="BY21" s="537">
        <f>Time!BY$67</f>
        <v>0</v>
      </c>
      <c r="BZ21" s="537">
        <f>Time!BZ$67</f>
        <v>0</v>
      </c>
      <c r="CA21" s="537">
        <f>Time!CA$67</f>
        <v>0</v>
      </c>
      <c r="CB21" s="537">
        <f>Time!CB$67</f>
        <v>0</v>
      </c>
      <c r="CC21" s="537">
        <f>Time!CC$67</f>
        <v>0</v>
      </c>
      <c r="CD21" s="537">
        <f>Time!CD$67</f>
        <v>0</v>
      </c>
      <c r="CE21" s="537">
        <f>Time!CE$67</f>
        <v>0</v>
      </c>
      <c r="CF21" s="537">
        <f>Time!CF$67</f>
        <v>0</v>
      </c>
      <c r="CG21" s="537">
        <f>Time!CG$67</f>
        <v>0</v>
      </c>
      <c r="CH21" s="537">
        <f>Time!CH$67</f>
        <v>0</v>
      </c>
      <c r="CI21" s="537">
        <f>Time!CI$67</f>
        <v>0</v>
      </c>
      <c r="CJ21" s="537">
        <f>Time!CJ$67</f>
        <v>0</v>
      </c>
      <c r="CK21" s="537">
        <f>Time!CK$67</f>
        <v>0</v>
      </c>
      <c r="CL21" s="537">
        <f>Time!CL$67</f>
        <v>0</v>
      </c>
      <c r="CM21" s="537">
        <f>Time!CM$67</f>
        <v>0</v>
      </c>
      <c r="CN21" s="537">
        <f>Time!CN$67</f>
        <v>0</v>
      </c>
      <c r="CO21" s="537">
        <f>Time!CO$67</f>
        <v>0</v>
      </c>
      <c r="CP21" s="537">
        <f>Time!CP$67</f>
        <v>0</v>
      </c>
      <c r="CQ21" s="537">
        <f>Time!CQ$67</f>
        <v>0</v>
      </c>
      <c r="CR21" s="537">
        <f>Time!CR$67</f>
        <v>0</v>
      </c>
      <c r="CS21" s="537">
        <f>Time!CS$67</f>
        <v>0</v>
      </c>
      <c r="CT21" s="537">
        <f>Time!CT$67</f>
        <v>0</v>
      </c>
      <c r="CU21" s="537">
        <f>Time!CU$67</f>
        <v>0</v>
      </c>
      <c r="CV21" s="537">
        <f>Time!CV$67</f>
        <v>0</v>
      </c>
      <c r="CW21" s="537">
        <f>Time!CW$67</f>
        <v>0</v>
      </c>
      <c r="CX21" s="537">
        <f>Time!CX$67</f>
        <v>0</v>
      </c>
      <c r="CY21" s="537">
        <f>Time!CY$67</f>
        <v>0</v>
      </c>
      <c r="CZ21" s="537">
        <f>Time!CZ$67</f>
        <v>0</v>
      </c>
      <c r="DA21" s="537">
        <f>Time!DA$67</f>
        <v>0</v>
      </c>
      <c r="DB21" s="537">
        <f>Time!DB$67</f>
        <v>0</v>
      </c>
      <c r="DC21" s="537">
        <f>Time!DC$67</f>
        <v>0</v>
      </c>
      <c r="DD21" s="537">
        <f>Time!DD$67</f>
        <v>0</v>
      </c>
      <c r="DE21" s="537">
        <f>Time!DE$67</f>
        <v>0</v>
      </c>
      <c r="DF21" s="537">
        <f>Time!DF$67</f>
        <v>0</v>
      </c>
      <c r="DG21" s="537">
        <f>Time!DG$67</f>
        <v>0</v>
      </c>
      <c r="DH21" s="537">
        <f>Time!DH$67</f>
        <v>0</v>
      </c>
      <c r="DI21" s="537">
        <f>Time!DI$67</f>
        <v>0</v>
      </c>
      <c r="DJ21" s="537">
        <f>Time!DJ$67</f>
        <v>0</v>
      </c>
      <c r="DK21" s="537">
        <f>Time!DK$67</f>
        <v>0</v>
      </c>
      <c r="DL21" s="537">
        <f>Time!DL$67</f>
        <v>0</v>
      </c>
      <c r="DM21" s="537">
        <f>Time!DM$67</f>
        <v>0</v>
      </c>
      <c r="DN21" s="537">
        <f>Time!DN$67</f>
        <v>0</v>
      </c>
      <c r="DO21" s="537">
        <f>Time!DO$67</f>
        <v>0</v>
      </c>
      <c r="DP21" s="537">
        <f>Time!DP$67</f>
        <v>0</v>
      </c>
      <c r="DQ21" s="537">
        <f>Time!DQ$67</f>
        <v>0</v>
      </c>
      <c r="DR21" s="537">
        <f>Time!DR$67</f>
        <v>0</v>
      </c>
      <c r="DS21" s="537">
        <f>Time!DS$67</f>
        <v>0</v>
      </c>
      <c r="DT21" s="537">
        <f>Time!DT$67</f>
        <v>0</v>
      </c>
      <c r="DU21" s="537">
        <f>Time!DU$67</f>
        <v>0</v>
      </c>
      <c r="DV21" s="537">
        <f>Time!DV$67</f>
        <v>0</v>
      </c>
      <c r="DW21" s="537">
        <f>Time!DW$67</f>
        <v>0</v>
      </c>
      <c r="DX21" s="537">
        <f>Time!DX$67</f>
        <v>0</v>
      </c>
      <c r="DY21" s="537">
        <f>Time!DY$67</f>
        <v>0</v>
      </c>
      <c r="DZ21" s="537">
        <f>Time!DZ$67</f>
        <v>0</v>
      </c>
      <c r="EA21" s="537">
        <f>Time!EA$67</f>
        <v>0</v>
      </c>
      <c r="EB21" s="537">
        <f>Time!EB$67</f>
        <v>0</v>
      </c>
      <c r="EC21" s="537">
        <f>Time!EC$67</f>
        <v>0</v>
      </c>
      <c r="ED21" s="537">
        <f>Time!ED$67</f>
        <v>0</v>
      </c>
      <c r="EE21" s="537">
        <f>Time!EE$67</f>
        <v>0</v>
      </c>
      <c r="EF21" s="537">
        <f>Time!EF$67</f>
        <v>0</v>
      </c>
      <c r="EG21" s="537">
        <f>Time!EG$67</f>
        <v>0</v>
      </c>
    </row>
    <row r="22" spans="5:137" ht="12.75">
      <c r="E22" s="538" t="str">
        <f>E$19</f>
        <v>DSRA - balance target</v>
      </c>
      <c r="G22" s="539" t="str">
        <f>G$19</f>
        <v>EUR 000s</v>
      </c>
      <c r="H22" s="539">
        <f>H$19</f>
        <v>697187.04072008806</v>
      </c>
      <c r="J22" s="539">
        <f t="shared" si="3" ref="J22:EG22">J$19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0</v>
      </c>
      <c r="AB22" s="539">
        <f t="shared" si="3"/>
        <v>0</v>
      </c>
      <c r="AC22" s="539">
        <f t="shared" si="3"/>
        <v>0</v>
      </c>
      <c r="AD22" s="539">
        <f t="shared" si="3"/>
        <v>0</v>
      </c>
      <c r="AE22" s="539">
        <f t="shared" si="3"/>
        <v>0</v>
      </c>
      <c r="AF22" s="539">
        <f t="shared" si="3"/>
        <v>0</v>
      </c>
      <c r="AG22" s="539">
        <f t="shared" si="3"/>
        <v>8333.2746174985332</v>
      </c>
      <c r="AH22" s="539">
        <f t="shared" si="3"/>
        <v>9308.6531351756057</v>
      </c>
      <c r="AI22" s="539">
        <f t="shared" si="3"/>
        <v>9298.2394950176858</v>
      </c>
      <c r="AJ22" s="539">
        <f t="shared" si="3"/>
        <v>9337.6116506683175</v>
      </c>
      <c r="AK22" s="539">
        <f t="shared" si="3"/>
        <v>9429.7291218685914</v>
      </c>
      <c r="AL22" s="539">
        <f t="shared" si="3"/>
        <v>9472.0580695850113</v>
      </c>
      <c r="AM22" s="539">
        <f t="shared" si="3"/>
        <v>9461.5189563631629</v>
      </c>
      <c r="AN22" s="539">
        <f t="shared" si="3"/>
        <v>9501.8263636837055</v>
      </c>
      <c r="AO22" s="539">
        <f t="shared" si="3"/>
        <v>9595.4102808892349</v>
      </c>
      <c r="AP22" s="539">
        <f t="shared" si="3"/>
        <v>9638.1449416640698</v>
      </c>
      <c r="AQ22" s="539">
        <f t="shared" si="3"/>
        <v>9627.4799775801403</v>
      </c>
      <c r="AR22" s="539">
        <f t="shared" si="3"/>
        <v>9679.536016332997</v>
      </c>
      <c r="AS22" s="539">
        <f t="shared" si="3"/>
        <v>9763.8140753059997</v>
      </c>
      <c r="AT22" s="539">
        <f t="shared" si="3"/>
        <v>9796.1595279842222</v>
      </c>
      <c r="AU22" s="539">
        <f t="shared" si="3"/>
        <v>9793.9066267576272</v>
      </c>
      <c r="AV22" s="539">
        <f t="shared" si="3"/>
        <v>9836.1518034083492</v>
      </c>
      <c r="AW22" s="539">
        <f t="shared" si="3"/>
        <v>9934.9780954017842</v>
      </c>
      <c r="AX22" s="539">
        <f t="shared" si="3"/>
        <v>9978.5124212525789</v>
      </c>
      <c r="AY22" s="539">
        <f t="shared" si="3"/>
        <v>9965.1612930804731</v>
      </c>
      <c r="AZ22" s="539">
        <f t="shared" si="3"/>
        <v>9944.7298885451564</v>
      </c>
      <c r="BA22" s="539">
        <f t="shared" si="3"/>
        <v>9972.4781358472173</v>
      </c>
      <c r="BB22" s="539">
        <f t="shared" si="3"/>
        <v>9998.6118234080277</v>
      </c>
      <c r="BC22" s="539">
        <f t="shared" si="3"/>
        <v>9970.5745648815064</v>
      </c>
      <c r="BD22" s="539">
        <f t="shared" si="3"/>
        <v>9993.9780103795183</v>
      </c>
      <c r="BE22" s="539">
        <f t="shared" si="3"/>
        <v>10073.47416898013</v>
      </c>
      <c r="BF22" s="539">
        <f t="shared" si="3"/>
        <v>10102.988965730921</v>
      </c>
      <c r="BG22" s="539">
        <f t="shared" si="3"/>
        <v>10077.683309371694</v>
      </c>
      <c r="BH22" s="539">
        <f t="shared" si="3"/>
        <v>10116.091187302902</v>
      </c>
      <c r="BI22" s="539">
        <f t="shared" si="3"/>
        <v>10188.382359693998</v>
      </c>
      <c r="BJ22" s="539">
        <f t="shared" si="3"/>
        <v>10209.471318627446</v>
      </c>
      <c r="BK22" s="539">
        <f t="shared" si="3"/>
        <v>10197.714289675579</v>
      </c>
      <c r="BL22" s="539">
        <f t="shared" si="3"/>
        <v>10228.09568557579</v>
      </c>
      <c r="BM22" s="539">
        <f t="shared" si="3"/>
        <v>10315.357334076012</v>
      </c>
      <c r="BN22" s="539">
        <f t="shared" si="3"/>
        <v>10350.191466434988</v>
      </c>
      <c r="BO22" s="539">
        <f t="shared" si="3"/>
        <v>10328.987274345176</v>
      </c>
      <c r="BP22" s="539">
        <f t="shared" si="3"/>
        <v>10415.624121569275</v>
      </c>
      <c r="BQ22" s="539">
        <f t="shared" si="3"/>
        <v>10559.552974855102</v>
      </c>
      <c r="BR22" s="539">
        <f t="shared" si="3"/>
        <v>10596.479459831688</v>
      </c>
      <c r="BS22" s="539">
        <f t="shared" si="3"/>
        <v>10576.793421109882</v>
      </c>
      <c r="BT22" s="539">
        <f t="shared" si="3"/>
        <v>10473.459397795083</v>
      </c>
      <c r="BU22" s="539">
        <f t="shared" si="3"/>
        <v>10016.709456108158</v>
      </c>
      <c r="BV22" s="539">
        <f t="shared" si="3"/>
        <v>9636.2291610373613</v>
      </c>
      <c r="BW22" s="539">
        <f t="shared" si="3"/>
        <v>9601.997150678957</v>
      </c>
      <c r="BX22" s="539">
        <f t="shared" si="3"/>
        <v>9625.2865352991357</v>
      </c>
      <c r="BY22" s="539">
        <f t="shared" si="3"/>
        <v>9683.778569263166</v>
      </c>
      <c r="BZ22" s="539">
        <f t="shared" si="3"/>
        <v>9662.5293592965245</v>
      </c>
      <c r="CA22" s="539">
        <f t="shared" si="3"/>
        <v>9432.0314212886315</v>
      </c>
      <c r="CB22" s="539">
        <f t="shared" si="3"/>
        <v>9253.2529979049323</v>
      </c>
      <c r="CC22" s="539">
        <f t="shared" si="3"/>
        <v>9305.6886046067902</v>
      </c>
      <c r="CD22" s="539">
        <f t="shared" si="3"/>
        <v>9328.242598621724</v>
      </c>
      <c r="CE22" s="539">
        <f t="shared" si="3"/>
        <v>9290.6736063131902</v>
      </c>
      <c r="CF22" s="539">
        <f t="shared" si="3"/>
        <v>9287.1183551242611</v>
      </c>
      <c r="CG22" s="539">
        <f t="shared" si="3"/>
        <v>9344.8100349126944</v>
      </c>
      <c r="CH22" s="539">
        <f t="shared" si="3"/>
        <v>9369.1866302068702</v>
      </c>
      <c r="CI22" s="539">
        <f t="shared" si="3"/>
        <v>9333.0916602598882</v>
      </c>
      <c r="CJ22" s="539">
        <f t="shared" si="3"/>
        <v>9620.0621641394609</v>
      </c>
      <c r="CK22" s="539">
        <f t="shared" si="3"/>
        <v>9967.8281585778968</v>
      </c>
      <c r="CL22" s="539">
        <f t="shared" si="3"/>
        <v>9992.4293815623641</v>
      </c>
      <c r="CM22" s="539">
        <f t="shared" si="3"/>
        <v>9956.2389657101321</v>
      </c>
      <c r="CN22" s="539">
        <f t="shared" si="3"/>
        <v>9683.7890086705629</v>
      </c>
      <c r="CO22" s="539">
        <f t="shared" si="3"/>
        <v>9447.2122969783286</v>
      </c>
      <c r="CP22" s="539">
        <f t="shared" si="3"/>
        <v>9459.8928143723988</v>
      </c>
      <c r="CQ22" s="539">
        <f t="shared" si="3"/>
        <v>9437.5230352693525</v>
      </c>
      <c r="CR22" s="539">
        <f t="shared" si="3"/>
        <v>9442.1999104621646</v>
      </c>
      <c r="CS22" s="539">
        <f t="shared" si="3"/>
        <v>9508.240525704532</v>
      </c>
      <c r="CT22" s="539">
        <f t="shared" si="3"/>
        <v>9534.8898375107237</v>
      </c>
      <c r="CU22" s="539">
        <f t="shared" si="3"/>
        <v>9500.3177228280038</v>
      </c>
      <c r="CV22" s="539">
        <f t="shared" si="3"/>
        <v>9507.0838976619561</v>
      </c>
      <c r="CW22" s="539">
        <f t="shared" si="3"/>
        <v>9575.228520301549</v>
      </c>
      <c r="CX22" s="539">
        <f t="shared" si="3"/>
        <v>9601.8380683248215</v>
      </c>
      <c r="CY22" s="539">
        <f t="shared" si="3"/>
        <v>9567.0576877281255</v>
      </c>
      <c r="CZ22" s="539">
        <f t="shared" si="3"/>
        <v>4771.6969558081337</v>
      </c>
      <c r="DA22" s="539">
        <f t="shared" si="3"/>
        <v>0</v>
      </c>
      <c r="DB22" s="539">
        <f t="shared" si="3"/>
        <v>0</v>
      </c>
      <c r="DC22" s="539">
        <f t="shared" si="3"/>
        <v>0</v>
      </c>
      <c r="DD22" s="539">
        <f t="shared" si="3"/>
        <v>0</v>
      </c>
      <c r="DE22" s="539">
        <f t="shared" si="3"/>
        <v>0</v>
      </c>
      <c r="DF22" s="539">
        <f t="shared" si="3"/>
        <v>0</v>
      </c>
      <c r="DG22" s="539">
        <f t="shared" si="3"/>
        <v>0</v>
      </c>
      <c r="DH22" s="539">
        <f t="shared" si="3"/>
        <v>0</v>
      </c>
      <c r="DI22" s="539">
        <f t="shared" si="3"/>
        <v>0</v>
      </c>
      <c r="DJ22" s="539">
        <f t="shared" si="3"/>
        <v>0</v>
      </c>
      <c r="DK22" s="539">
        <f t="shared" si="3"/>
        <v>0</v>
      </c>
      <c r="DL22" s="539">
        <f t="shared" si="3"/>
        <v>0</v>
      </c>
      <c r="DM22" s="539">
        <f t="shared" si="3"/>
        <v>0</v>
      </c>
      <c r="DN22" s="539">
        <f t="shared" si="3"/>
        <v>0</v>
      </c>
      <c r="DO22" s="539">
        <f t="shared" si="3"/>
        <v>0</v>
      </c>
      <c r="DP22" s="539">
        <f t="shared" si="3"/>
        <v>0</v>
      </c>
      <c r="DQ22" s="539">
        <f t="shared" si="3"/>
        <v>0</v>
      </c>
      <c r="DR22" s="539">
        <f t="shared" si="3"/>
        <v>0</v>
      </c>
      <c r="DS22" s="539">
        <f t="shared" si="3"/>
        <v>0</v>
      </c>
      <c r="DT22" s="539">
        <f t="shared" si="3"/>
        <v>0</v>
      </c>
      <c r="DU22" s="539">
        <f t="shared" si="3"/>
        <v>0</v>
      </c>
      <c r="DV22" s="539">
        <f t="shared" si="3"/>
        <v>0</v>
      </c>
      <c r="DW22" s="539">
        <f t="shared" si="3"/>
        <v>0</v>
      </c>
      <c r="DX22" s="539">
        <f t="shared" si="3"/>
        <v>0</v>
      </c>
      <c r="DY22" s="539">
        <f t="shared" si="3"/>
        <v>0</v>
      </c>
      <c r="DZ22" s="539">
        <f t="shared" si="3"/>
        <v>0</v>
      </c>
      <c r="EA22" s="539">
        <f t="shared" si="3"/>
        <v>0</v>
      </c>
      <c r="EB22" s="539">
        <f t="shared" si="3"/>
        <v>0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3" spans="5:137" ht="12.75">
      <c r="E23" s="540" t="s">
        <v>363</v>
      </c>
      <c r="G23" s="541" t="s">
        <v>30</v>
      </c>
      <c r="H23" s="541">
        <f>SUM(J23:EG23)</f>
        <v>8333.2746174985332</v>
      </c>
      <c r="J23" s="541">
        <f t="shared" si="4" ref="J23:EG23">J22*J21</f>
        <v>0</v>
      </c>
      <c r="K23" s="541">
        <f t="shared" si="4"/>
        <v>0</v>
      </c>
      <c r="L23" s="541">
        <f t="shared" si="4"/>
        <v>0</v>
      </c>
      <c r="M23" s="541">
        <f t="shared" si="4"/>
        <v>0</v>
      </c>
      <c r="N23" s="541">
        <f t="shared" si="4"/>
        <v>0</v>
      </c>
      <c r="O23" s="541">
        <f t="shared" si="4"/>
        <v>0</v>
      </c>
      <c r="P23" s="541">
        <f t="shared" si="4"/>
        <v>0</v>
      </c>
      <c r="Q23" s="541">
        <f t="shared" si="4"/>
        <v>0</v>
      </c>
      <c r="R23" s="541">
        <f t="shared" si="4"/>
        <v>0</v>
      </c>
      <c r="S23" s="541">
        <f t="shared" si="4"/>
        <v>0</v>
      </c>
      <c r="T23" s="541">
        <f t="shared" si="4"/>
        <v>0</v>
      </c>
      <c r="U23" s="541">
        <f t="shared" si="4"/>
        <v>0</v>
      </c>
      <c r="V23" s="541">
        <f t="shared" si="4"/>
        <v>0</v>
      </c>
      <c r="W23" s="541">
        <f t="shared" si="4"/>
        <v>0</v>
      </c>
      <c r="X23" s="541">
        <f t="shared" si="4"/>
        <v>0</v>
      </c>
      <c r="Y23" s="541">
        <f t="shared" si="4"/>
        <v>0</v>
      </c>
      <c r="Z23" s="541">
        <f t="shared" si="4"/>
        <v>0</v>
      </c>
      <c r="AA23" s="541">
        <f t="shared" si="4"/>
        <v>0</v>
      </c>
      <c r="AB23" s="541">
        <f t="shared" si="4"/>
        <v>0</v>
      </c>
      <c r="AC23" s="541">
        <f t="shared" si="4"/>
        <v>0</v>
      </c>
      <c r="AD23" s="541">
        <f t="shared" si="4"/>
        <v>0</v>
      </c>
      <c r="AE23" s="541">
        <f t="shared" si="4"/>
        <v>0</v>
      </c>
      <c r="AF23" s="541">
        <f t="shared" si="4"/>
        <v>0</v>
      </c>
      <c r="AG23" s="541">
        <f t="shared" si="4"/>
        <v>8333.2746174985332</v>
      </c>
      <c r="AH23" s="541">
        <f t="shared" si="4"/>
        <v>0</v>
      </c>
      <c r="AI23" s="541">
        <f t="shared" si="4"/>
        <v>0</v>
      </c>
      <c r="AJ23" s="541">
        <f t="shared" si="4"/>
        <v>0</v>
      </c>
      <c r="AK23" s="541">
        <f t="shared" si="4"/>
        <v>0</v>
      </c>
      <c r="AL23" s="541">
        <f t="shared" si="4"/>
        <v>0</v>
      </c>
      <c r="AM23" s="541">
        <f t="shared" si="4"/>
        <v>0</v>
      </c>
      <c r="AN23" s="541">
        <f t="shared" si="4"/>
        <v>0</v>
      </c>
      <c r="AO23" s="541">
        <f t="shared" si="4"/>
        <v>0</v>
      </c>
      <c r="AP23" s="541">
        <f t="shared" si="4"/>
        <v>0</v>
      </c>
      <c r="AQ23" s="541">
        <f t="shared" si="4"/>
        <v>0</v>
      </c>
      <c r="AR23" s="541">
        <f t="shared" si="4"/>
        <v>0</v>
      </c>
      <c r="AS23" s="541">
        <f t="shared" si="4"/>
        <v>0</v>
      </c>
      <c r="AT23" s="541">
        <f t="shared" si="4"/>
        <v>0</v>
      </c>
      <c r="AU23" s="541">
        <f t="shared" si="4"/>
        <v>0</v>
      </c>
      <c r="AV23" s="541">
        <f t="shared" si="4"/>
        <v>0</v>
      </c>
      <c r="AW23" s="541">
        <f t="shared" si="4"/>
        <v>0</v>
      </c>
      <c r="AX23" s="541">
        <f t="shared" si="4"/>
        <v>0</v>
      </c>
      <c r="AY23" s="541">
        <f t="shared" si="4"/>
        <v>0</v>
      </c>
      <c r="AZ23" s="541">
        <f t="shared" si="4"/>
        <v>0</v>
      </c>
      <c r="BA23" s="541">
        <f t="shared" si="4"/>
        <v>0</v>
      </c>
      <c r="BB23" s="541">
        <f t="shared" si="4"/>
        <v>0</v>
      </c>
      <c r="BC23" s="541">
        <f t="shared" si="4"/>
        <v>0</v>
      </c>
      <c r="BD23" s="541">
        <f t="shared" si="4"/>
        <v>0</v>
      </c>
      <c r="BE23" s="541">
        <f t="shared" si="4"/>
        <v>0</v>
      </c>
      <c r="BF23" s="541">
        <f t="shared" si="4"/>
        <v>0</v>
      </c>
      <c r="BG23" s="541">
        <f t="shared" si="4"/>
        <v>0</v>
      </c>
      <c r="BH23" s="541">
        <f t="shared" si="4"/>
        <v>0</v>
      </c>
      <c r="BI23" s="541">
        <f t="shared" si="4"/>
        <v>0</v>
      </c>
      <c r="BJ23" s="541">
        <f t="shared" si="4"/>
        <v>0</v>
      </c>
      <c r="BK23" s="541">
        <f t="shared" si="4"/>
        <v>0</v>
      </c>
      <c r="BL23" s="541">
        <f t="shared" si="4"/>
        <v>0</v>
      </c>
      <c r="BM23" s="541">
        <f t="shared" si="4"/>
        <v>0</v>
      </c>
      <c r="BN23" s="541">
        <f t="shared" si="4"/>
        <v>0</v>
      </c>
      <c r="BO23" s="541">
        <f t="shared" si="4"/>
        <v>0</v>
      </c>
      <c r="BP23" s="541">
        <f t="shared" si="4"/>
        <v>0</v>
      </c>
      <c r="BQ23" s="541">
        <f t="shared" si="4"/>
        <v>0</v>
      </c>
      <c r="BR23" s="541">
        <f t="shared" si="4"/>
        <v>0</v>
      </c>
      <c r="BS23" s="541">
        <f t="shared" si="4"/>
        <v>0</v>
      </c>
      <c r="BT23" s="541">
        <f t="shared" si="4"/>
        <v>0</v>
      </c>
      <c r="BU23" s="541">
        <f t="shared" si="4"/>
        <v>0</v>
      </c>
      <c r="BV23" s="541">
        <f t="shared" si="4"/>
        <v>0</v>
      </c>
      <c r="BW23" s="541">
        <f t="shared" si="4"/>
        <v>0</v>
      </c>
      <c r="BX23" s="541">
        <f t="shared" si="4"/>
        <v>0</v>
      </c>
      <c r="BY23" s="541">
        <f t="shared" si="4"/>
        <v>0</v>
      </c>
      <c r="BZ23" s="541">
        <f t="shared" si="4"/>
        <v>0</v>
      </c>
      <c r="CA23" s="541">
        <f t="shared" si="4"/>
        <v>0</v>
      </c>
      <c r="CB23" s="541">
        <f t="shared" si="4"/>
        <v>0</v>
      </c>
      <c r="CC23" s="541">
        <f t="shared" si="4"/>
        <v>0</v>
      </c>
      <c r="CD23" s="541">
        <f t="shared" si="4"/>
        <v>0</v>
      </c>
      <c r="CE23" s="541">
        <f t="shared" si="4"/>
        <v>0</v>
      </c>
      <c r="CF23" s="541">
        <f t="shared" si="4"/>
        <v>0</v>
      </c>
      <c r="CG23" s="541">
        <f t="shared" si="4"/>
        <v>0</v>
      </c>
      <c r="CH23" s="541">
        <f t="shared" si="4"/>
        <v>0</v>
      </c>
      <c r="CI23" s="541">
        <f t="shared" si="4"/>
        <v>0</v>
      </c>
      <c r="CJ23" s="541">
        <f t="shared" si="4"/>
        <v>0</v>
      </c>
      <c r="CK23" s="541">
        <f t="shared" si="4"/>
        <v>0</v>
      </c>
      <c r="CL23" s="541">
        <f t="shared" si="4"/>
        <v>0</v>
      </c>
      <c r="CM23" s="541">
        <f t="shared" si="4"/>
        <v>0</v>
      </c>
      <c r="CN23" s="541">
        <f t="shared" si="4"/>
        <v>0</v>
      </c>
      <c r="CO23" s="541">
        <f t="shared" si="4"/>
        <v>0</v>
      </c>
      <c r="CP23" s="541">
        <f t="shared" si="4"/>
        <v>0</v>
      </c>
      <c r="CQ23" s="541">
        <f t="shared" si="4"/>
        <v>0</v>
      </c>
      <c r="CR23" s="541">
        <f t="shared" si="4"/>
        <v>0</v>
      </c>
      <c r="CS23" s="541">
        <f t="shared" si="4"/>
        <v>0</v>
      </c>
      <c r="CT23" s="541">
        <f t="shared" si="4"/>
        <v>0</v>
      </c>
      <c r="CU23" s="541">
        <f t="shared" si="4"/>
        <v>0</v>
      </c>
      <c r="CV23" s="541">
        <f t="shared" si="4"/>
        <v>0</v>
      </c>
      <c r="CW23" s="541">
        <f t="shared" si="4"/>
        <v>0</v>
      </c>
      <c r="CX23" s="541">
        <f t="shared" si="4"/>
        <v>0</v>
      </c>
      <c r="CY23" s="541">
        <f t="shared" si="4"/>
        <v>0</v>
      </c>
      <c r="CZ23" s="541">
        <f t="shared" si="4"/>
        <v>0</v>
      </c>
      <c r="DA23" s="541">
        <f t="shared" si="4"/>
        <v>0</v>
      </c>
      <c r="DB23" s="541">
        <f t="shared" si="4"/>
        <v>0</v>
      </c>
      <c r="DC23" s="541">
        <f t="shared" si="4"/>
        <v>0</v>
      </c>
      <c r="DD23" s="541">
        <f t="shared" si="4"/>
        <v>0</v>
      </c>
      <c r="DE23" s="541">
        <f t="shared" si="4"/>
        <v>0</v>
      </c>
      <c r="DF23" s="541">
        <f t="shared" si="4"/>
        <v>0</v>
      </c>
      <c r="DG23" s="541">
        <f t="shared" si="4"/>
        <v>0</v>
      </c>
      <c r="DH23" s="541">
        <f t="shared" si="4"/>
        <v>0</v>
      </c>
      <c r="DI23" s="541">
        <f t="shared" si="4"/>
        <v>0</v>
      </c>
      <c r="DJ23" s="541">
        <f t="shared" si="4"/>
        <v>0</v>
      </c>
      <c r="DK23" s="541">
        <f t="shared" si="4"/>
        <v>0</v>
      </c>
      <c r="DL23" s="541">
        <f t="shared" si="4"/>
        <v>0</v>
      </c>
      <c r="DM23" s="541">
        <f t="shared" si="4"/>
        <v>0</v>
      </c>
      <c r="DN23" s="541">
        <f t="shared" si="4"/>
        <v>0</v>
      </c>
      <c r="DO23" s="541">
        <f t="shared" si="4"/>
        <v>0</v>
      </c>
      <c r="DP23" s="541">
        <f t="shared" si="4"/>
        <v>0</v>
      </c>
      <c r="DQ23" s="541">
        <f t="shared" si="4"/>
        <v>0</v>
      </c>
      <c r="DR23" s="541">
        <f t="shared" si="4"/>
        <v>0</v>
      </c>
      <c r="DS23" s="541">
        <f t="shared" si="4"/>
        <v>0</v>
      </c>
      <c r="DT23" s="541">
        <f t="shared" si="4"/>
        <v>0</v>
      </c>
      <c r="DU23" s="541">
        <f t="shared" si="4"/>
        <v>0</v>
      </c>
      <c r="DV23" s="541">
        <f t="shared" si="4"/>
        <v>0</v>
      </c>
      <c r="DW23" s="541">
        <f t="shared" si="4"/>
        <v>0</v>
      </c>
      <c r="DX23" s="541">
        <f t="shared" si="4"/>
        <v>0</v>
      </c>
      <c r="DY23" s="541">
        <f t="shared" si="4"/>
        <v>0</v>
      </c>
      <c r="DZ23" s="541">
        <f t="shared" si="4"/>
        <v>0</v>
      </c>
      <c r="EA23" s="541">
        <f t="shared" si="4"/>
        <v>0</v>
      </c>
      <c r="EB23" s="541">
        <f t="shared" si="4"/>
        <v>0</v>
      </c>
      <c r="EC23" s="541">
        <f t="shared" si="4"/>
        <v>0</v>
      </c>
      <c r="ED23" s="541">
        <f t="shared" si="4"/>
        <v>0</v>
      </c>
      <c r="EE23" s="541">
        <f t="shared" si="4"/>
        <v>0</v>
      </c>
      <c r="EF23" s="541">
        <f t="shared" si="4"/>
        <v>0</v>
      </c>
      <c r="EG23" s="541">
        <f t="shared" si="4"/>
        <v>0</v>
      </c>
    </row>
    <row r="25" spans="5:7" ht="12.75">
      <c r="E25" s="535" t="str">
        <f>InpC!E$97</f>
        <v>DSRF - facility in place of cash DSRA</v>
      </c>
      <c r="F25" s="537">
        <f>InpC!F$97</f>
        <v>0</v>
      </c>
      <c r="G25" s="537" t="str">
        <f>InpC!G$97</f>
        <v>switch</v>
      </c>
    </row>
    <row r="26" spans="5:7" ht="12.75">
      <c r="E26" s="535" t="str">
        <f>InpC!E$98</f>
        <v>DSRF - annual fee on the facility</v>
      </c>
      <c r="F26" s="542">
        <f>InpC!F$98</f>
        <v>0.01</v>
      </c>
      <c r="G26" s="542" t="str">
        <f>InpC!G$98</f>
        <v>% p.a.</v>
      </c>
    </row>
    <row r="27" spans="5:7" ht="12.75">
      <c r="E27" s="535" t="str">
        <f>InpC!E$127</f>
        <v>Days per year (interest day count)</v>
      </c>
      <c r="F27" s="537">
        <f>InpC!F$127</f>
        <v>365</v>
      </c>
      <c r="G27" s="537" t="str">
        <f>InpC!G$127</f>
        <v>days</v>
      </c>
    </row>
    <row r="28" spans="5:7" ht="12.75">
      <c r="E28" s="535" t="str">
        <f>InpC!E$143</f>
        <v>DSRF switch - facility replaces cash DSRA</v>
      </c>
      <c r="F28" s="537">
        <f>InpC!F$143</f>
        <v>1</v>
      </c>
      <c r="G28" s="537" t="str">
        <f>InpC!G$143</f>
        <v>switch</v>
      </c>
    </row>
    <row r="29" spans="5:137" ht="12.75">
      <c r="E29" s="535" t="str">
        <f>Time!E$163</f>
        <v>Days in period</v>
      </c>
      <c r="G29" s="537" t="str">
        <f>Time!G$163</f>
        <v>days</v>
      </c>
      <c r="H29" s="537">
        <f>Time!H$163</f>
        <v>10227</v>
      </c>
      <c r="J29" s="537">
        <f>Time!J$163</f>
        <v>31</v>
      </c>
      <c r="K29" s="537">
        <f>Time!K$163</f>
        <v>28</v>
      </c>
      <c r="L29" s="537">
        <f>Time!L$163</f>
        <v>31</v>
      </c>
      <c r="M29" s="537">
        <f>Time!M$163</f>
        <v>30</v>
      </c>
      <c r="N29" s="537">
        <f>Time!N$163</f>
        <v>31</v>
      </c>
      <c r="O29" s="537">
        <f>Time!O$163</f>
        <v>30</v>
      </c>
      <c r="P29" s="537">
        <f>Time!P$163</f>
        <v>31</v>
      </c>
      <c r="Q29" s="537">
        <f>Time!Q$163</f>
        <v>31</v>
      </c>
      <c r="R29" s="537">
        <f>Time!R$163</f>
        <v>30</v>
      </c>
      <c r="S29" s="537">
        <f>Time!S$163</f>
        <v>31</v>
      </c>
      <c r="T29" s="537">
        <f>Time!T$163</f>
        <v>30</v>
      </c>
      <c r="U29" s="537">
        <f>Time!U$163</f>
        <v>31</v>
      </c>
      <c r="V29" s="537">
        <f>Time!V$163</f>
        <v>31</v>
      </c>
      <c r="W29" s="537">
        <f>Time!W$163</f>
        <v>29</v>
      </c>
      <c r="X29" s="537">
        <f>Time!X$163</f>
        <v>31</v>
      </c>
      <c r="Y29" s="537">
        <f>Time!Y$163</f>
        <v>30</v>
      </c>
      <c r="Z29" s="537">
        <f>Time!Z$163</f>
        <v>31</v>
      </c>
      <c r="AA29" s="537">
        <f>Time!AA$163</f>
        <v>30</v>
      </c>
      <c r="AB29" s="537">
        <f>Time!AB$163</f>
        <v>31</v>
      </c>
      <c r="AC29" s="537">
        <f>Time!AC$163</f>
        <v>31</v>
      </c>
      <c r="AD29" s="537">
        <f>Time!AD$163</f>
        <v>30</v>
      </c>
      <c r="AE29" s="537">
        <f>Time!AE$163</f>
        <v>31</v>
      </c>
      <c r="AF29" s="537">
        <f>Time!AF$163</f>
        <v>30</v>
      </c>
      <c r="AG29" s="537">
        <f>Time!AG$163</f>
        <v>31</v>
      </c>
      <c r="AH29" s="537">
        <f>Time!AH$163</f>
        <v>90</v>
      </c>
      <c r="AI29" s="537">
        <f>Time!AI$163</f>
        <v>91</v>
      </c>
      <c r="AJ29" s="537">
        <f>Time!AJ$163</f>
        <v>92</v>
      </c>
      <c r="AK29" s="537">
        <f>Time!AK$163</f>
        <v>92</v>
      </c>
      <c r="AL29" s="537">
        <f>Time!AL$163</f>
        <v>90</v>
      </c>
      <c r="AM29" s="537">
        <f>Time!AM$163</f>
        <v>91</v>
      </c>
      <c r="AN29" s="537">
        <f>Time!AN$163</f>
        <v>92</v>
      </c>
      <c r="AO29" s="537">
        <f>Time!AO$163</f>
        <v>92</v>
      </c>
      <c r="AP29" s="537">
        <f>Time!AP$163</f>
        <v>90</v>
      </c>
      <c r="AQ29" s="537">
        <f>Time!AQ$163</f>
        <v>91</v>
      </c>
      <c r="AR29" s="537">
        <f>Time!AR$163</f>
        <v>92</v>
      </c>
      <c r="AS29" s="537">
        <f>Time!AS$163</f>
        <v>92</v>
      </c>
      <c r="AT29" s="537">
        <f>Time!AT$163</f>
        <v>91</v>
      </c>
      <c r="AU29" s="537">
        <f>Time!AU$163</f>
        <v>91</v>
      </c>
      <c r="AV29" s="537">
        <f>Time!AV$163</f>
        <v>92</v>
      </c>
      <c r="AW29" s="537">
        <f>Time!AW$163</f>
        <v>92</v>
      </c>
      <c r="AX29" s="537">
        <f>Time!AX$163</f>
        <v>90</v>
      </c>
      <c r="AY29" s="537">
        <f>Time!AY$163</f>
        <v>91</v>
      </c>
      <c r="AZ29" s="537">
        <f>Time!AZ$163</f>
        <v>92</v>
      </c>
      <c r="BA29" s="537">
        <f>Time!BA$163</f>
        <v>92</v>
      </c>
      <c r="BB29" s="537">
        <f>Time!BB$163</f>
        <v>90</v>
      </c>
      <c r="BC29" s="537">
        <f>Time!BC$163</f>
        <v>91</v>
      </c>
      <c r="BD29" s="537">
        <f>Time!BD$163</f>
        <v>92</v>
      </c>
      <c r="BE29" s="537">
        <f>Time!BE$163</f>
        <v>92</v>
      </c>
      <c r="BF29" s="537">
        <f>Time!BF$163</f>
        <v>90</v>
      </c>
      <c r="BG29" s="537">
        <f>Time!BG$163</f>
        <v>91</v>
      </c>
      <c r="BH29" s="537">
        <f>Time!BH$163</f>
        <v>92</v>
      </c>
      <c r="BI29" s="537">
        <f>Time!BI$163</f>
        <v>92</v>
      </c>
      <c r="BJ29" s="537">
        <f>Time!BJ$163</f>
        <v>91</v>
      </c>
      <c r="BK29" s="537">
        <f>Time!BK$163</f>
        <v>91</v>
      </c>
      <c r="BL29" s="537">
        <f>Time!BL$163</f>
        <v>92</v>
      </c>
      <c r="BM29" s="537">
        <f>Time!BM$163</f>
        <v>92</v>
      </c>
      <c r="BN29" s="537">
        <f>Time!BN$163</f>
        <v>90</v>
      </c>
      <c r="BO29" s="537">
        <f>Time!BO$163</f>
        <v>91</v>
      </c>
      <c r="BP29" s="537">
        <f>Time!BP$163</f>
        <v>92</v>
      </c>
      <c r="BQ29" s="537">
        <f>Time!BQ$163</f>
        <v>92</v>
      </c>
      <c r="BR29" s="537">
        <f>Time!BR$163</f>
        <v>90</v>
      </c>
      <c r="BS29" s="537">
        <f>Time!BS$163</f>
        <v>91</v>
      </c>
      <c r="BT29" s="537">
        <f>Time!BT$163</f>
        <v>92</v>
      </c>
      <c r="BU29" s="537">
        <f>Time!BU$163</f>
        <v>92</v>
      </c>
      <c r="BV29" s="537">
        <f>Time!BV$163</f>
        <v>90</v>
      </c>
      <c r="BW29" s="537">
        <f>Time!BW$163</f>
        <v>91</v>
      </c>
      <c r="BX29" s="537">
        <f>Time!BX$163</f>
        <v>92</v>
      </c>
      <c r="BY29" s="537">
        <f>Time!BY$163</f>
        <v>92</v>
      </c>
      <c r="BZ29" s="537">
        <f>Time!BZ$163</f>
        <v>91</v>
      </c>
      <c r="CA29" s="537">
        <f>Time!CA$163</f>
        <v>91</v>
      </c>
      <c r="CB29" s="537">
        <f>Time!CB$163</f>
        <v>92</v>
      </c>
      <c r="CC29" s="537">
        <f>Time!CC$163</f>
        <v>92</v>
      </c>
      <c r="CD29" s="537">
        <f>Time!CD$163</f>
        <v>90</v>
      </c>
      <c r="CE29" s="537">
        <f>Time!CE$163</f>
        <v>91</v>
      </c>
      <c r="CF29" s="537">
        <f>Time!CF$163</f>
        <v>92</v>
      </c>
      <c r="CG29" s="537">
        <f>Time!CG$163</f>
        <v>92</v>
      </c>
      <c r="CH29" s="537">
        <f>Time!CH$163</f>
        <v>90</v>
      </c>
      <c r="CI29" s="537">
        <f>Time!CI$163</f>
        <v>91</v>
      </c>
      <c r="CJ29" s="537">
        <f>Time!CJ$163</f>
        <v>92</v>
      </c>
      <c r="CK29" s="537">
        <f>Time!CK$163</f>
        <v>92</v>
      </c>
      <c r="CL29" s="537">
        <f>Time!CL$163</f>
        <v>90</v>
      </c>
      <c r="CM29" s="537">
        <f>Time!CM$163</f>
        <v>91</v>
      </c>
      <c r="CN29" s="537">
        <f>Time!CN$163</f>
        <v>92</v>
      </c>
      <c r="CO29" s="537">
        <f>Time!CO$163</f>
        <v>92</v>
      </c>
      <c r="CP29" s="537">
        <f>Time!CP$163</f>
        <v>91</v>
      </c>
      <c r="CQ29" s="537">
        <f>Time!CQ$163</f>
        <v>91</v>
      </c>
      <c r="CR29" s="537">
        <f>Time!CR$163</f>
        <v>92</v>
      </c>
      <c r="CS29" s="537">
        <f>Time!CS$163</f>
        <v>92</v>
      </c>
      <c r="CT29" s="537">
        <f>Time!CT$163</f>
        <v>90</v>
      </c>
      <c r="CU29" s="537">
        <f>Time!CU$163</f>
        <v>91</v>
      </c>
      <c r="CV29" s="537">
        <f>Time!CV$163</f>
        <v>92</v>
      </c>
      <c r="CW29" s="537">
        <f>Time!CW$163</f>
        <v>92</v>
      </c>
      <c r="CX29" s="537">
        <f>Time!CX$163</f>
        <v>90</v>
      </c>
      <c r="CY29" s="537">
        <f>Time!CY$163</f>
        <v>91</v>
      </c>
      <c r="CZ29" s="537">
        <f>Time!CZ$163</f>
        <v>92</v>
      </c>
      <c r="DA29" s="537">
        <f>Time!DA$163</f>
        <v>92</v>
      </c>
      <c r="DB29" s="537">
        <f>Time!DB$163</f>
        <v>90</v>
      </c>
      <c r="DC29" s="537">
        <f>Time!DC$163</f>
        <v>91</v>
      </c>
      <c r="DD29" s="537">
        <f>Time!DD$163</f>
        <v>92</v>
      </c>
      <c r="DE29" s="537">
        <f>Time!DE$163</f>
        <v>92</v>
      </c>
      <c r="DF29" s="537">
        <f>Time!DF$163</f>
        <v>91</v>
      </c>
      <c r="DG29" s="537">
        <f>Time!DG$163</f>
        <v>91</v>
      </c>
      <c r="DH29" s="537">
        <f>Time!DH$163</f>
        <v>92</v>
      </c>
      <c r="DI29" s="537">
        <f>Time!DI$163</f>
        <v>92</v>
      </c>
      <c r="DJ29" s="537">
        <f>Time!DJ$163</f>
        <v>90</v>
      </c>
      <c r="DK29" s="537">
        <f>Time!DK$163</f>
        <v>91</v>
      </c>
      <c r="DL29" s="537">
        <f>Time!DL$163</f>
        <v>92</v>
      </c>
      <c r="DM29" s="537">
        <f>Time!DM$163</f>
        <v>92</v>
      </c>
      <c r="DN29" s="537">
        <f>Time!DN$163</f>
        <v>90</v>
      </c>
      <c r="DO29" s="537">
        <f>Time!DO$163</f>
        <v>91</v>
      </c>
      <c r="DP29" s="537">
        <f>Time!DP$163</f>
        <v>92</v>
      </c>
      <c r="DQ29" s="537">
        <f>Time!DQ$163</f>
        <v>92</v>
      </c>
      <c r="DR29" s="537">
        <f>Time!DR$163</f>
        <v>90</v>
      </c>
      <c r="DS29" s="537">
        <f>Time!DS$163</f>
        <v>91</v>
      </c>
      <c r="DT29" s="537">
        <f>Time!DT$163</f>
        <v>92</v>
      </c>
      <c r="DU29" s="537">
        <f>Time!DU$163</f>
        <v>92</v>
      </c>
      <c r="DV29" s="537">
        <f>Time!DV$163</f>
        <v>91</v>
      </c>
      <c r="DW29" s="537">
        <f>Time!DW$163</f>
        <v>91</v>
      </c>
      <c r="DX29" s="537">
        <f>Time!DX$163</f>
        <v>92</v>
      </c>
      <c r="DY29" s="537">
        <f>Time!DY$163</f>
        <v>92</v>
      </c>
      <c r="DZ29" s="537">
        <f>Time!DZ$163</f>
        <v>90</v>
      </c>
      <c r="EA29" s="537">
        <f>Time!EA$163</f>
        <v>91</v>
      </c>
      <c r="EB29" s="537">
        <f>Time!EB$163</f>
        <v>92</v>
      </c>
      <c r="EC29" s="537">
        <f>Time!EC$163</f>
        <v>92</v>
      </c>
      <c r="ED29" s="537">
        <f>Time!ED$163</f>
        <v>90</v>
      </c>
      <c r="EE29" s="537">
        <f>Time!EE$163</f>
        <v>91</v>
      </c>
      <c r="EF29" s="537">
        <f>Time!EF$163</f>
        <v>92</v>
      </c>
      <c r="EG29" s="537">
        <f>Time!EG$163</f>
        <v>92</v>
      </c>
    </row>
    <row r="30" spans="5:137" ht="12.75">
      <c r="E30" s="538" t="str">
        <f>E$14</f>
        <v>DSRA - senior debt service in the cover period</v>
      </c>
      <c r="G30" s="539" t="str">
        <f>G$14</f>
        <v>EUR 000s</v>
      </c>
      <c r="H30" s="539">
        <f>H$14</f>
        <v>697187.04072008806</v>
      </c>
      <c r="J30" s="539">
        <f t="shared" si="5" ref="J30:EG30">J$14</f>
        <v>0</v>
      </c>
      <c r="K30" s="539">
        <f t="shared" si="5"/>
        <v>0</v>
      </c>
      <c r="L30" s="539">
        <f t="shared" si="5"/>
        <v>0</v>
      </c>
      <c r="M30" s="539">
        <f t="shared" si="5"/>
        <v>0</v>
      </c>
      <c r="N30" s="539">
        <f t="shared" si="5"/>
        <v>0</v>
      </c>
      <c r="O30" s="539">
        <f t="shared" si="5"/>
        <v>0</v>
      </c>
      <c r="P30" s="539">
        <f t="shared" si="5"/>
        <v>0</v>
      </c>
      <c r="Q30" s="539">
        <f t="shared" si="5"/>
        <v>0</v>
      </c>
      <c r="R30" s="539">
        <f t="shared" si="5"/>
        <v>0</v>
      </c>
      <c r="S30" s="539">
        <f t="shared" si="5"/>
        <v>0</v>
      </c>
      <c r="T30" s="539">
        <f t="shared" si="5"/>
        <v>0</v>
      </c>
      <c r="U30" s="539">
        <f t="shared" si="5"/>
        <v>0</v>
      </c>
      <c r="V30" s="539">
        <f t="shared" si="5"/>
        <v>0</v>
      </c>
      <c r="W30" s="539">
        <f t="shared" si="5"/>
        <v>0</v>
      </c>
      <c r="X30" s="539">
        <f t="shared" si="5"/>
        <v>0</v>
      </c>
      <c r="Y30" s="539">
        <f t="shared" si="5"/>
        <v>0</v>
      </c>
      <c r="Z30" s="539">
        <f t="shared" si="5"/>
        <v>0</v>
      </c>
      <c r="AA30" s="539">
        <f t="shared" si="5"/>
        <v>0</v>
      </c>
      <c r="AB30" s="539">
        <f t="shared" si="5"/>
        <v>0</v>
      </c>
      <c r="AC30" s="539">
        <f t="shared" si="5"/>
        <v>0</v>
      </c>
      <c r="AD30" s="539">
        <f t="shared" si="5"/>
        <v>0</v>
      </c>
      <c r="AE30" s="539">
        <f t="shared" si="5"/>
        <v>0</v>
      </c>
      <c r="AF30" s="539">
        <f t="shared" si="5"/>
        <v>0</v>
      </c>
      <c r="AG30" s="539">
        <f t="shared" si="5"/>
        <v>8333.2746174985332</v>
      </c>
      <c r="AH30" s="539">
        <f t="shared" si="5"/>
        <v>9308.6531351756057</v>
      </c>
      <c r="AI30" s="539">
        <f t="shared" si="5"/>
        <v>9298.2394950176858</v>
      </c>
      <c r="AJ30" s="539">
        <f t="shared" si="5"/>
        <v>9337.6116506683175</v>
      </c>
      <c r="AK30" s="539">
        <f t="shared" si="5"/>
        <v>9429.7291218685914</v>
      </c>
      <c r="AL30" s="539">
        <f t="shared" si="5"/>
        <v>9472.0580695850113</v>
      </c>
      <c r="AM30" s="539">
        <f t="shared" si="5"/>
        <v>9461.5189563631629</v>
      </c>
      <c r="AN30" s="539">
        <f t="shared" si="5"/>
        <v>9501.8263636837055</v>
      </c>
      <c r="AO30" s="539">
        <f t="shared" si="5"/>
        <v>9595.4102808892349</v>
      </c>
      <c r="AP30" s="539">
        <f t="shared" si="5"/>
        <v>9638.1449416640698</v>
      </c>
      <c r="AQ30" s="539">
        <f t="shared" si="5"/>
        <v>9627.4799775801403</v>
      </c>
      <c r="AR30" s="539">
        <f t="shared" si="5"/>
        <v>9679.536016332997</v>
      </c>
      <c r="AS30" s="539">
        <f t="shared" si="5"/>
        <v>9763.8140753059997</v>
      </c>
      <c r="AT30" s="539">
        <f t="shared" si="5"/>
        <v>9796.1595279842222</v>
      </c>
      <c r="AU30" s="539">
        <f t="shared" si="5"/>
        <v>9793.9066267576272</v>
      </c>
      <c r="AV30" s="539">
        <f t="shared" si="5"/>
        <v>9836.1518034083492</v>
      </c>
      <c r="AW30" s="539">
        <f t="shared" si="5"/>
        <v>9934.9780954017842</v>
      </c>
      <c r="AX30" s="539">
        <f t="shared" si="5"/>
        <v>9978.5124212525789</v>
      </c>
      <c r="AY30" s="539">
        <f t="shared" si="5"/>
        <v>9965.1612930804731</v>
      </c>
      <c r="AZ30" s="539">
        <f t="shared" si="5"/>
        <v>9944.7298885451564</v>
      </c>
      <c r="BA30" s="539">
        <f t="shared" si="5"/>
        <v>9972.4781358472173</v>
      </c>
      <c r="BB30" s="539">
        <f t="shared" si="5"/>
        <v>9998.6118234080277</v>
      </c>
      <c r="BC30" s="539">
        <f t="shared" si="5"/>
        <v>9970.5745648815064</v>
      </c>
      <c r="BD30" s="539">
        <f t="shared" si="5"/>
        <v>9993.9780103795183</v>
      </c>
      <c r="BE30" s="539">
        <f t="shared" si="5"/>
        <v>10073.47416898013</v>
      </c>
      <c r="BF30" s="539">
        <f t="shared" si="5"/>
        <v>10102.988965730921</v>
      </c>
      <c r="BG30" s="539">
        <f t="shared" si="5"/>
        <v>10077.683309371694</v>
      </c>
      <c r="BH30" s="539">
        <f t="shared" si="5"/>
        <v>10116.091187302902</v>
      </c>
      <c r="BI30" s="539">
        <f t="shared" si="5"/>
        <v>10188.382359693998</v>
      </c>
      <c r="BJ30" s="539">
        <f t="shared" si="5"/>
        <v>10209.471318627446</v>
      </c>
      <c r="BK30" s="539">
        <f t="shared" si="5"/>
        <v>10197.714289675579</v>
      </c>
      <c r="BL30" s="539">
        <f t="shared" si="5"/>
        <v>10228.09568557579</v>
      </c>
      <c r="BM30" s="539">
        <f t="shared" si="5"/>
        <v>10315.357334076012</v>
      </c>
      <c r="BN30" s="539">
        <f t="shared" si="5"/>
        <v>10350.191466434988</v>
      </c>
      <c r="BO30" s="539">
        <f t="shared" si="5"/>
        <v>10328.987274345176</v>
      </c>
      <c r="BP30" s="539">
        <f t="shared" si="5"/>
        <v>10415.624121569275</v>
      </c>
      <c r="BQ30" s="539">
        <f t="shared" si="5"/>
        <v>10559.552974855102</v>
      </c>
      <c r="BR30" s="539">
        <f t="shared" si="5"/>
        <v>10596.479459831688</v>
      </c>
      <c r="BS30" s="539">
        <f t="shared" si="5"/>
        <v>10576.793421109882</v>
      </c>
      <c r="BT30" s="539">
        <f t="shared" si="5"/>
        <v>10473.459397795083</v>
      </c>
      <c r="BU30" s="539">
        <f t="shared" si="5"/>
        <v>10016.709456108158</v>
      </c>
      <c r="BV30" s="539">
        <f t="shared" si="5"/>
        <v>9636.2291610373613</v>
      </c>
      <c r="BW30" s="539">
        <f t="shared" si="5"/>
        <v>9601.997150678957</v>
      </c>
      <c r="BX30" s="539">
        <f t="shared" si="5"/>
        <v>9625.2865352991357</v>
      </c>
      <c r="BY30" s="539">
        <f t="shared" si="5"/>
        <v>9683.778569263166</v>
      </c>
      <c r="BZ30" s="539">
        <f t="shared" si="5"/>
        <v>9662.5293592965245</v>
      </c>
      <c r="CA30" s="539">
        <f t="shared" si="5"/>
        <v>9432.0314212886315</v>
      </c>
      <c r="CB30" s="539">
        <f t="shared" si="5"/>
        <v>9253.2529979049323</v>
      </c>
      <c r="CC30" s="539">
        <f t="shared" si="5"/>
        <v>9305.6886046067902</v>
      </c>
      <c r="CD30" s="539">
        <f t="shared" si="5"/>
        <v>9328.242598621724</v>
      </c>
      <c r="CE30" s="539">
        <f t="shared" si="5"/>
        <v>9290.6736063131902</v>
      </c>
      <c r="CF30" s="539">
        <f t="shared" si="5"/>
        <v>9287.1183551242611</v>
      </c>
      <c r="CG30" s="539">
        <f t="shared" si="5"/>
        <v>9344.8100349126944</v>
      </c>
      <c r="CH30" s="539">
        <f t="shared" si="5"/>
        <v>9369.1866302068702</v>
      </c>
      <c r="CI30" s="539">
        <f t="shared" si="5"/>
        <v>9333.0916602598882</v>
      </c>
      <c r="CJ30" s="539">
        <f t="shared" si="5"/>
        <v>9620.0621641394609</v>
      </c>
      <c r="CK30" s="539">
        <f t="shared" si="5"/>
        <v>9967.8281585778968</v>
      </c>
      <c r="CL30" s="539">
        <f t="shared" si="5"/>
        <v>9992.4293815623641</v>
      </c>
      <c r="CM30" s="539">
        <f t="shared" si="5"/>
        <v>9956.2389657101321</v>
      </c>
      <c r="CN30" s="539">
        <f t="shared" si="5"/>
        <v>9683.7890086705629</v>
      </c>
      <c r="CO30" s="539">
        <f t="shared" si="5"/>
        <v>9447.2122969783286</v>
      </c>
      <c r="CP30" s="539">
        <f t="shared" si="5"/>
        <v>9459.8928143723988</v>
      </c>
      <c r="CQ30" s="539">
        <f t="shared" si="5"/>
        <v>9437.5230352693525</v>
      </c>
      <c r="CR30" s="539">
        <f t="shared" si="5"/>
        <v>9442.1999104621646</v>
      </c>
      <c r="CS30" s="539">
        <f t="shared" si="5"/>
        <v>9508.240525704532</v>
      </c>
      <c r="CT30" s="539">
        <f t="shared" si="5"/>
        <v>9534.8898375107237</v>
      </c>
      <c r="CU30" s="539">
        <f t="shared" si="5"/>
        <v>9500.3177228280038</v>
      </c>
      <c r="CV30" s="539">
        <f t="shared" si="5"/>
        <v>9507.0838976619561</v>
      </c>
      <c r="CW30" s="539">
        <f t="shared" si="5"/>
        <v>9575.228520301549</v>
      </c>
      <c r="CX30" s="539">
        <f t="shared" si="5"/>
        <v>9601.8380683248215</v>
      </c>
      <c r="CY30" s="539">
        <f t="shared" si="5"/>
        <v>9567.0576877281255</v>
      </c>
      <c r="CZ30" s="539">
        <f t="shared" si="5"/>
        <v>4771.6969558081337</v>
      </c>
      <c r="DA30" s="539">
        <f t="shared" si="5"/>
        <v>0</v>
      </c>
      <c r="DB30" s="539">
        <f t="shared" si="5"/>
        <v>0</v>
      </c>
      <c r="DC30" s="539">
        <f t="shared" si="5"/>
        <v>0</v>
      </c>
      <c r="DD30" s="539">
        <f t="shared" si="5"/>
        <v>0</v>
      </c>
      <c r="DE30" s="539">
        <f t="shared" si="5"/>
        <v>0</v>
      </c>
      <c r="DF30" s="539">
        <f t="shared" si="5"/>
        <v>0</v>
      </c>
      <c r="DG30" s="539">
        <f t="shared" si="5"/>
        <v>0</v>
      </c>
      <c r="DH30" s="539">
        <f t="shared" si="5"/>
        <v>0</v>
      </c>
      <c r="DI30" s="539">
        <f t="shared" si="5"/>
        <v>0</v>
      </c>
      <c r="DJ30" s="539">
        <f t="shared" si="5"/>
        <v>0</v>
      </c>
      <c r="DK30" s="539">
        <f t="shared" si="5"/>
        <v>0</v>
      </c>
      <c r="DL30" s="539">
        <f t="shared" si="5"/>
        <v>0</v>
      </c>
      <c r="DM30" s="539">
        <f t="shared" si="5"/>
        <v>0</v>
      </c>
      <c r="DN30" s="539">
        <f t="shared" si="5"/>
        <v>0</v>
      </c>
      <c r="DO30" s="539">
        <f t="shared" si="5"/>
        <v>0</v>
      </c>
      <c r="DP30" s="539">
        <f t="shared" si="5"/>
        <v>0</v>
      </c>
      <c r="DQ30" s="539">
        <f t="shared" si="5"/>
        <v>0</v>
      </c>
      <c r="DR30" s="539">
        <f t="shared" si="5"/>
        <v>0</v>
      </c>
      <c r="DS30" s="539">
        <f t="shared" si="5"/>
        <v>0</v>
      </c>
      <c r="DT30" s="539">
        <f t="shared" si="5"/>
        <v>0</v>
      </c>
      <c r="DU30" s="539">
        <f t="shared" si="5"/>
        <v>0</v>
      </c>
      <c r="DV30" s="539">
        <f t="shared" si="5"/>
        <v>0</v>
      </c>
      <c r="DW30" s="539">
        <f t="shared" si="5"/>
        <v>0</v>
      </c>
      <c r="DX30" s="539">
        <f t="shared" si="5"/>
        <v>0</v>
      </c>
      <c r="DY30" s="539">
        <f t="shared" si="5"/>
        <v>0</v>
      </c>
      <c r="DZ30" s="539">
        <f t="shared" si="5"/>
        <v>0</v>
      </c>
      <c r="EA30" s="539">
        <f t="shared" si="5"/>
        <v>0</v>
      </c>
      <c r="EB30" s="539">
        <f t="shared" si="5"/>
        <v>0</v>
      </c>
      <c r="EC30" s="539">
        <f t="shared" si="5"/>
        <v>0</v>
      </c>
      <c r="ED30" s="539">
        <f t="shared" si="5"/>
        <v>0</v>
      </c>
      <c r="EE30" s="539">
        <f t="shared" si="5"/>
        <v>0</v>
      </c>
      <c r="EF30" s="539">
        <f t="shared" si="5"/>
        <v>0</v>
      </c>
      <c r="EG30" s="539">
        <f t="shared" si="5"/>
        <v>0</v>
      </c>
    </row>
    <row r="31" spans="5:137" ht="12.75">
      <c r="E31" s="540" t="s">
        <v>364</v>
      </c>
      <c r="G31" s="541" t="s">
        <v>30</v>
      </c>
      <c r="H31" s="541">
        <f>SUM(J31:EG31)</f>
        <v>0</v>
      </c>
      <c r="J31" s="541">
        <f t="shared" si="6" ref="J31:EG31">IF($F25=$F28,I30*$F26*J29/$F27,0)</f>
        <v>0</v>
      </c>
      <c r="K31" s="541">
        <f t="shared" si="6"/>
        <v>0</v>
      </c>
      <c r="L31" s="541">
        <f t="shared" si="6"/>
        <v>0</v>
      </c>
      <c r="M31" s="541">
        <f t="shared" si="6"/>
        <v>0</v>
      </c>
      <c r="N31" s="541">
        <f t="shared" si="6"/>
        <v>0</v>
      </c>
      <c r="O31" s="541">
        <f t="shared" si="6"/>
        <v>0</v>
      </c>
      <c r="P31" s="541">
        <f t="shared" si="6"/>
        <v>0</v>
      </c>
      <c r="Q31" s="541">
        <f t="shared" si="6"/>
        <v>0</v>
      </c>
      <c r="R31" s="541">
        <f t="shared" si="6"/>
        <v>0</v>
      </c>
      <c r="S31" s="541">
        <f t="shared" si="6"/>
        <v>0</v>
      </c>
      <c r="T31" s="541">
        <f t="shared" si="6"/>
        <v>0</v>
      </c>
      <c r="U31" s="541">
        <f t="shared" si="6"/>
        <v>0</v>
      </c>
      <c r="V31" s="541">
        <f t="shared" si="6"/>
        <v>0</v>
      </c>
      <c r="W31" s="541">
        <f t="shared" si="6"/>
        <v>0</v>
      </c>
      <c r="X31" s="541">
        <f t="shared" si="6"/>
        <v>0</v>
      </c>
      <c r="Y31" s="541">
        <f t="shared" si="6"/>
        <v>0</v>
      </c>
      <c r="Z31" s="541">
        <f t="shared" si="6"/>
        <v>0</v>
      </c>
      <c r="AA31" s="541">
        <f t="shared" si="6"/>
        <v>0</v>
      </c>
      <c r="AB31" s="541">
        <f t="shared" si="6"/>
        <v>0</v>
      </c>
      <c r="AC31" s="541">
        <f t="shared" si="6"/>
        <v>0</v>
      </c>
      <c r="AD31" s="541">
        <f t="shared" si="6"/>
        <v>0</v>
      </c>
      <c r="AE31" s="541">
        <f t="shared" si="6"/>
        <v>0</v>
      </c>
      <c r="AF31" s="541">
        <f t="shared" si="6"/>
        <v>0</v>
      </c>
      <c r="AG31" s="541">
        <f t="shared" si="6"/>
        <v>0</v>
      </c>
      <c r="AH31" s="541">
        <f t="shared" si="6"/>
        <v>0</v>
      </c>
      <c r="AI31" s="541">
        <f t="shared" si="6"/>
        <v>0</v>
      </c>
      <c r="AJ31" s="541">
        <f t="shared" si="6"/>
        <v>0</v>
      </c>
      <c r="AK31" s="541">
        <f t="shared" si="6"/>
        <v>0</v>
      </c>
      <c r="AL31" s="541">
        <f t="shared" si="6"/>
        <v>0</v>
      </c>
      <c r="AM31" s="541">
        <f t="shared" si="6"/>
        <v>0</v>
      </c>
      <c r="AN31" s="541">
        <f t="shared" si="6"/>
        <v>0</v>
      </c>
      <c r="AO31" s="541">
        <f t="shared" si="6"/>
        <v>0</v>
      </c>
      <c r="AP31" s="541">
        <f t="shared" si="6"/>
        <v>0</v>
      </c>
      <c r="AQ31" s="541">
        <f t="shared" si="6"/>
        <v>0</v>
      </c>
      <c r="AR31" s="541">
        <f t="shared" si="6"/>
        <v>0</v>
      </c>
      <c r="AS31" s="541">
        <f t="shared" si="6"/>
        <v>0</v>
      </c>
      <c r="AT31" s="541">
        <f t="shared" si="6"/>
        <v>0</v>
      </c>
      <c r="AU31" s="541">
        <f t="shared" si="6"/>
        <v>0</v>
      </c>
      <c r="AV31" s="541">
        <f t="shared" si="6"/>
        <v>0</v>
      </c>
      <c r="AW31" s="541">
        <f t="shared" si="6"/>
        <v>0</v>
      </c>
      <c r="AX31" s="541">
        <f t="shared" si="6"/>
        <v>0</v>
      </c>
      <c r="AY31" s="541">
        <f t="shared" si="6"/>
        <v>0</v>
      </c>
      <c r="AZ31" s="541">
        <f t="shared" si="6"/>
        <v>0</v>
      </c>
      <c r="BA31" s="541">
        <f t="shared" si="6"/>
        <v>0</v>
      </c>
      <c r="BB31" s="541">
        <f t="shared" si="6"/>
        <v>0</v>
      </c>
      <c r="BC31" s="541">
        <f t="shared" si="6"/>
        <v>0</v>
      </c>
      <c r="BD31" s="541">
        <f t="shared" si="6"/>
        <v>0</v>
      </c>
      <c r="BE31" s="541">
        <f t="shared" si="6"/>
        <v>0</v>
      </c>
      <c r="BF31" s="541">
        <f t="shared" si="6"/>
        <v>0</v>
      </c>
      <c r="BG31" s="541">
        <f t="shared" si="6"/>
        <v>0</v>
      </c>
      <c r="BH31" s="541">
        <f t="shared" si="6"/>
        <v>0</v>
      </c>
      <c r="BI31" s="541">
        <f t="shared" si="6"/>
        <v>0</v>
      </c>
      <c r="BJ31" s="541">
        <f t="shared" si="6"/>
        <v>0</v>
      </c>
      <c r="BK31" s="541">
        <f t="shared" si="6"/>
        <v>0</v>
      </c>
      <c r="BL31" s="541">
        <f t="shared" si="6"/>
        <v>0</v>
      </c>
      <c r="BM31" s="541">
        <f t="shared" si="6"/>
        <v>0</v>
      </c>
      <c r="BN31" s="541">
        <f t="shared" si="6"/>
        <v>0</v>
      </c>
      <c r="BO31" s="541">
        <f t="shared" si="6"/>
        <v>0</v>
      </c>
      <c r="BP31" s="541">
        <f t="shared" si="6"/>
        <v>0</v>
      </c>
      <c r="BQ31" s="541">
        <f t="shared" si="6"/>
        <v>0</v>
      </c>
      <c r="BR31" s="541">
        <f t="shared" si="6"/>
        <v>0</v>
      </c>
      <c r="BS31" s="541">
        <f t="shared" si="6"/>
        <v>0</v>
      </c>
      <c r="BT31" s="541">
        <f t="shared" si="6"/>
        <v>0</v>
      </c>
      <c r="BU31" s="541">
        <f t="shared" si="6"/>
        <v>0</v>
      </c>
      <c r="BV31" s="541">
        <f t="shared" si="6"/>
        <v>0</v>
      </c>
      <c r="BW31" s="541">
        <f t="shared" si="6"/>
        <v>0</v>
      </c>
      <c r="BX31" s="541">
        <f t="shared" si="6"/>
        <v>0</v>
      </c>
      <c r="BY31" s="541">
        <f t="shared" si="6"/>
        <v>0</v>
      </c>
      <c r="BZ31" s="541">
        <f t="shared" si="6"/>
        <v>0</v>
      </c>
      <c r="CA31" s="541">
        <f t="shared" si="6"/>
        <v>0</v>
      </c>
      <c r="CB31" s="541">
        <f t="shared" si="6"/>
        <v>0</v>
      </c>
      <c r="CC31" s="541">
        <f t="shared" si="6"/>
        <v>0</v>
      </c>
      <c r="CD31" s="541">
        <f t="shared" si="6"/>
        <v>0</v>
      </c>
      <c r="CE31" s="541">
        <f t="shared" si="6"/>
        <v>0</v>
      </c>
      <c r="CF31" s="541">
        <f t="shared" si="6"/>
        <v>0</v>
      </c>
      <c r="CG31" s="541">
        <f t="shared" si="6"/>
        <v>0</v>
      </c>
      <c r="CH31" s="541">
        <f t="shared" si="6"/>
        <v>0</v>
      </c>
      <c r="CI31" s="541">
        <f t="shared" si="6"/>
        <v>0</v>
      </c>
      <c r="CJ31" s="541">
        <f t="shared" si="6"/>
        <v>0</v>
      </c>
      <c r="CK31" s="541">
        <f t="shared" si="6"/>
        <v>0</v>
      </c>
      <c r="CL31" s="541">
        <f t="shared" si="6"/>
        <v>0</v>
      </c>
      <c r="CM31" s="541">
        <f t="shared" si="6"/>
        <v>0</v>
      </c>
      <c r="CN31" s="541">
        <f t="shared" si="6"/>
        <v>0</v>
      </c>
      <c r="CO31" s="541">
        <f t="shared" si="6"/>
        <v>0</v>
      </c>
      <c r="CP31" s="541">
        <f t="shared" si="6"/>
        <v>0</v>
      </c>
      <c r="CQ31" s="541">
        <f t="shared" si="6"/>
        <v>0</v>
      </c>
      <c r="CR31" s="541">
        <f t="shared" si="6"/>
        <v>0</v>
      </c>
      <c r="CS31" s="541">
        <f t="shared" si="6"/>
        <v>0</v>
      </c>
      <c r="CT31" s="541">
        <f t="shared" si="6"/>
        <v>0</v>
      </c>
      <c r="CU31" s="541">
        <f t="shared" si="6"/>
        <v>0</v>
      </c>
      <c r="CV31" s="541">
        <f t="shared" si="6"/>
        <v>0</v>
      </c>
      <c r="CW31" s="541">
        <f t="shared" si="6"/>
        <v>0</v>
      </c>
      <c r="CX31" s="541">
        <f t="shared" si="6"/>
        <v>0</v>
      </c>
      <c r="CY31" s="541">
        <f t="shared" si="6"/>
        <v>0</v>
      </c>
      <c r="CZ31" s="541">
        <f t="shared" si="6"/>
        <v>0</v>
      </c>
      <c r="DA31" s="541">
        <f t="shared" si="6"/>
        <v>0</v>
      </c>
      <c r="DB31" s="541">
        <f t="shared" si="6"/>
        <v>0</v>
      </c>
      <c r="DC31" s="541">
        <f t="shared" si="6"/>
        <v>0</v>
      </c>
      <c r="DD31" s="541">
        <f t="shared" si="6"/>
        <v>0</v>
      </c>
      <c r="DE31" s="541">
        <f t="shared" si="6"/>
        <v>0</v>
      </c>
      <c r="DF31" s="541">
        <f t="shared" si="6"/>
        <v>0</v>
      </c>
      <c r="DG31" s="541">
        <f t="shared" si="6"/>
        <v>0</v>
      </c>
      <c r="DH31" s="541">
        <f t="shared" si="6"/>
        <v>0</v>
      </c>
      <c r="DI31" s="541">
        <f t="shared" si="6"/>
        <v>0</v>
      </c>
      <c r="DJ31" s="541">
        <f t="shared" si="6"/>
        <v>0</v>
      </c>
      <c r="DK31" s="541">
        <f t="shared" si="6"/>
        <v>0</v>
      </c>
      <c r="DL31" s="541">
        <f t="shared" si="6"/>
        <v>0</v>
      </c>
      <c r="DM31" s="541">
        <f t="shared" si="6"/>
        <v>0</v>
      </c>
      <c r="DN31" s="541">
        <f t="shared" si="6"/>
        <v>0</v>
      </c>
      <c r="DO31" s="541">
        <f t="shared" si="6"/>
        <v>0</v>
      </c>
      <c r="DP31" s="541">
        <f t="shared" si="6"/>
        <v>0</v>
      </c>
      <c r="DQ31" s="541">
        <f t="shared" si="6"/>
        <v>0</v>
      </c>
      <c r="DR31" s="541">
        <f t="shared" si="6"/>
        <v>0</v>
      </c>
      <c r="DS31" s="541">
        <f t="shared" si="6"/>
        <v>0</v>
      </c>
      <c r="DT31" s="541">
        <f t="shared" si="6"/>
        <v>0</v>
      </c>
      <c r="DU31" s="541">
        <f t="shared" si="6"/>
        <v>0</v>
      </c>
      <c r="DV31" s="541">
        <f t="shared" si="6"/>
        <v>0</v>
      </c>
      <c r="DW31" s="541">
        <f t="shared" si="6"/>
        <v>0</v>
      </c>
      <c r="DX31" s="541">
        <f t="shared" si="6"/>
        <v>0</v>
      </c>
      <c r="DY31" s="541">
        <f t="shared" si="6"/>
        <v>0</v>
      </c>
      <c r="DZ31" s="541">
        <f t="shared" si="6"/>
        <v>0</v>
      </c>
      <c r="EA31" s="541">
        <f t="shared" si="6"/>
        <v>0</v>
      </c>
      <c r="EB31" s="541">
        <f t="shared" si="6"/>
        <v>0</v>
      </c>
      <c r="EC31" s="541">
        <f t="shared" si="6"/>
        <v>0</v>
      </c>
      <c r="ED31" s="541">
        <f t="shared" si="6"/>
        <v>0</v>
      </c>
      <c r="EE31" s="541">
        <f t="shared" si="6"/>
        <v>0</v>
      </c>
      <c r="EF31" s="541">
        <f t="shared" si="6"/>
        <v>0</v>
      </c>
      <c r="EG31" s="541">
        <f t="shared" si="6"/>
        <v>0</v>
      </c>
    </row>
    <row r="34" spans="1:1" ht="12.75">
      <c r="A34" s="534" t="s">
        <v>365</v>
      </c>
    </row>
    <row r="36" spans="2:2" ht="12.75">
      <c r="B36" s="534" t="s">
        <v>366</v>
      </c>
    </row>
    <row r="37" spans="5:137" ht="12.75">
      <c r="E37" s="538" t="str">
        <f>E$63</f>
        <v>DSRA - closing balance</v>
      </c>
      <c r="G37" s="539" t="str">
        <f>G$63</f>
        <v>EUR 000s</v>
      </c>
      <c r="H37" s="539">
        <f>H$63</f>
        <v>697187.04072008806</v>
      </c>
      <c r="J37" s="539">
        <f t="shared" si="7" ref="J37:EG37">J$63</f>
        <v>0</v>
      </c>
      <c r="K37" s="539">
        <f t="shared" si="7"/>
        <v>0</v>
      </c>
      <c r="L37" s="539">
        <f t="shared" si="7"/>
        <v>0</v>
      </c>
      <c r="M37" s="539">
        <f t="shared" si="7"/>
        <v>0</v>
      </c>
      <c r="N37" s="539">
        <f t="shared" si="7"/>
        <v>0</v>
      </c>
      <c r="O37" s="539">
        <f t="shared" si="7"/>
        <v>0</v>
      </c>
      <c r="P37" s="539">
        <f t="shared" si="7"/>
        <v>0</v>
      </c>
      <c r="Q37" s="539">
        <f t="shared" si="7"/>
        <v>0</v>
      </c>
      <c r="R37" s="539">
        <f t="shared" si="7"/>
        <v>0</v>
      </c>
      <c r="S37" s="539">
        <f t="shared" si="7"/>
        <v>0</v>
      </c>
      <c r="T37" s="539">
        <f t="shared" si="7"/>
        <v>0</v>
      </c>
      <c r="U37" s="539">
        <f t="shared" si="7"/>
        <v>0</v>
      </c>
      <c r="V37" s="539">
        <f t="shared" si="7"/>
        <v>0</v>
      </c>
      <c r="W37" s="539">
        <f t="shared" si="7"/>
        <v>0</v>
      </c>
      <c r="X37" s="539">
        <f t="shared" si="7"/>
        <v>0</v>
      </c>
      <c r="Y37" s="539">
        <f t="shared" si="7"/>
        <v>0</v>
      </c>
      <c r="Z37" s="539">
        <f t="shared" si="7"/>
        <v>0</v>
      </c>
      <c r="AA37" s="539">
        <f t="shared" si="7"/>
        <v>0</v>
      </c>
      <c r="AB37" s="539">
        <f t="shared" si="7"/>
        <v>0</v>
      </c>
      <c r="AC37" s="539">
        <f t="shared" si="7"/>
        <v>0</v>
      </c>
      <c r="AD37" s="539">
        <f t="shared" si="7"/>
        <v>0</v>
      </c>
      <c r="AE37" s="539">
        <f t="shared" si="7"/>
        <v>0</v>
      </c>
      <c r="AF37" s="539">
        <f t="shared" si="7"/>
        <v>0</v>
      </c>
      <c r="AG37" s="539">
        <f t="shared" si="7"/>
        <v>8333.2746174985332</v>
      </c>
      <c r="AH37" s="539">
        <f t="shared" si="7"/>
        <v>9308.6531351756057</v>
      </c>
      <c r="AI37" s="539">
        <f t="shared" si="7"/>
        <v>9298.2394950176858</v>
      </c>
      <c r="AJ37" s="539">
        <f t="shared" si="7"/>
        <v>9337.6116506683175</v>
      </c>
      <c r="AK37" s="539">
        <f t="shared" si="7"/>
        <v>9429.7291218685914</v>
      </c>
      <c r="AL37" s="539">
        <f t="shared" si="7"/>
        <v>9472.0580695850113</v>
      </c>
      <c r="AM37" s="539">
        <f t="shared" si="7"/>
        <v>9461.5189563631629</v>
      </c>
      <c r="AN37" s="539">
        <f t="shared" si="7"/>
        <v>9501.8263636837055</v>
      </c>
      <c r="AO37" s="539">
        <f t="shared" si="7"/>
        <v>9595.4102808892349</v>
      </c>
      <c r="AP37" s="539">
        <f t="shared" si="7"/>
        <v>9638.1449416640698</v>
      </c>
      <c r="AQ37" s="539">
        <f t="shared" si="7"/>
        <v>9627.4799775801403</v>
      </c>
      <c r="AR37" s="539">
        <f t="shared" si="7"/>
        <v>9679.536016332997</v>
      </c>
      <c r="AS37" s="539">
        <f t="shared" si="7"/>
        <v>9763.8140753059997</v>
      </c>
      <c r="AT37" s="539">
        <f t="shared" si="7"/>
        <v>9796.1595279842222</v>
      </c>
      <c r="AU37" s="539">
        <f t="shared" si="7"/>
        <v>9793.9066267576272</v>
      </c>
      <c r="AV37" s="539">
        <f t="shared" si="7"/>
        <v>9836.1518034083492</v>
      </c>
      <c r="AW37" s="539">
        <f t="shared" si="7"/>
        <v>9934.9780954017842</v>
      </c>
      <c r="AX37" s="539">
        <f t="shared" si="7"/>
        <v>9978.5124212525789</v>
      </c>
      <c r="AY37" s="539">
        <f t="shared" si="7"/>
        <v>9965.1612930804731</v>
      </c>
      <c r="AZ37" s="539">
        <f t="shared" si="7"/>
        <v>9944.7298885451564</v>
      </c>
      <c r="BA37" s="539">
        <f t="shared" si="7"/>
        <v>9972.4781358472173</v>
      </c>
      <c r="BB37" s="539">
        <f t="shared" si="7"/>
        <v>9998.6118234080277</v>
      </c>
      <c r="BC37" s="539">
        <f t="shared" si="7"/>
        <v>9970.5745648815064</v>
      </c>
      <c r="BD37" s="539">
        <f t="shared" si="7"/>
        <v>9993.9780103795183</v>
      </c>
      <c r="BE37" s="539">
        <f t="shared" si="7"/>
        <v>10073.47416898013</v>
      </c>
      <c r="BF37" s="539">
        <f t="shared" si="7"/>
        <v>10102.988965730921</v>
      </c>
      <c r="BG37" s="539">
        <f t="shared" si="7"/>
        <v>10077.683309371694</v>
      </c>
      <c r="BH37" s="539">
        <f t="shared" si="7"/>
        <v>10116.091187302902</v>
      </c>
      <c r="BI37" s="539">
        <f t="shared" si="7"/>
        <v>10188.382359693998</v>
      </c>
      <c r="BJ37" s="539">
        <f t="shared" si="7"/>
        <v>10209.471318627446</v>
      </c>
      <c r="BK37" s="539">
        <f t="shared" si="7"/>
        <v>10197.714289675579</v>
      </c>
      <c r="BL37" s="539">
        <f t="shared" si="7"/>
        <v>10228.09568557579</v>
      </c>
      <c r="BM37" s="539">
        <f t="shared" si="7"/>
        <v>10315.357334076012</v>
      </c>
      <c r="BN37" s="539">
        <f t="shared" si="7"/>
        <v>10350.191466434988</v>
      </c>
      <c r="BO37" s="539">
        <f t="shared" si="7"/>
        <v>10328.987274345176</v>
      </c>
      <c r="BP37" s="539">
        <f t="shared" si="7"/>
        <v>10415.624121569275</v>
      </c>
      <c r="BQ37" s="539">
        <f t="shared" si="7"/>
        <v>10559.552974855102</v>
      </c>
      <c r="BR37" s="539">
        <f t="shared" si="7"/>
        <v>10596.479459831688</v>
      </c>
      <c r="BS37" s="539">
        <f t="shared" si="7"/>
        <v>10576.793421109882</v>
      </c>
      <c r="BT37" s="539">
        <f t="shared" si="7"/>
        <v>10473.459397795083</v>
      </c>
      <c r="BU37" s="539">
        <f t="shared" si="7"/>
        <v>10016.709456108158</v>
      </c>
      <c r="BV37" s="539">
        <f t="shared" si="7"/>
        <v>9636.2291610373613</v>
      </c>
      <c r="BW37" s="539">
        <f t="shared" si="7"/>
        <v>9601.997150678957</v>
      </c>
      <c r="BX37" s="539">
        <f t="shared" si="7"/>
        <v>9625.2865352991357</v>
      </c>
      <c r="BY37" s="539">
        <f t="shared" si="7"/>
        <v>9683.778569263166</v>
      </c>
      <c r="BZ37" s="539">
        <f t="shared" si="7"/>
        <v>9662.5293592965245</v>
      </c>
      <c r="CA37" s="539">
        <f t="shared" si="7"/>
        <v>9432.0314212886315</v>
      </c>
      <c r="CB37" s="539">
        <f t="shared" si="7"/>
        <v>9253.2529979049323</v>
      </c>
      <c r="CC37" s="539">
        <f t="shared" si="7"/>
        <v>9305.6886046067902</v>
      </c>
      <c r="CD37" s="539">
        <f t="shared" si="7"/>
        <v>9328.242598621724</v>
      </c>
      <c r="CE37" s="539">
        <f t="shared" si="7"/>
        <v>9290.6736063131902</v>
      </c>
      <c r="CF37" s="539">
        <f t="shared" si="7"/>
        <v>9287.1183551242611</v>
      </c>
      <c r="CG37" s="539">
        <f t="shared" si="7"/>
        <v>9344.8100349126944</v>
      </c>
      <c r="CH37" s="539">
        <f t="shared" si="7"/>
        <v>9369.1866302068702</v>
      </c>
      <c r="CI37" s="539">
        <f t="shared" si="7"/>
        <v>9333.0916602598882</v>
      </c>
      <c r="CJ37" s="539">
        <f t="shared" si="7"/>
        <v>9620.0621641394609</v>
      </c>
      <c r="CK37" s="539">
        <f t="shared" si="7"/>
        <v>9967.8281585778968</v>
      </c>
      <c r="CL37" s="539">
        <f t="shared" si="7"/>
        <v>9992.4293815623641</v>
      </c>
      <c r="CM37" s="539">
        <f t="shared" si="7"/>
        <v>9956.2389657101321</v>
      </c>
      <c r="CN37" s="539">
        <f t="shared" si="7"/>
        <v>9683.7890086705629</v>
      </c>
      <c r="CO37" s="539">
        <f t="shared" si="7"/>
        <v>9447.2122969783286</v>
      </c>
      <c r="CP37" s="539">
        <f t="shared" si="7"/>
        <v>9459.8928143723988</v>
      </c>
      <c r="CQ37" s="539">
        <f t="shared" si="7"/>
        <v>9437.5230352693525</v>
      </c>
      <c r="CR37" s="539">
        <f t="shared" si="7"/>
        <v>9442.1999104621646</v>
      </c>
      <c r="CS37" s="539">
        <f t="shared" si="7"/>
        <v>9508.240525704532</v>
      </c>
      <c r="CT37" s="539">
        <f t="shared" si="7"/>
        <v>9534.8898375107237</v>
      </c>
      <c r="CU37" s="539">
        <f t="shared" si="7"/>
        <v>9500.3177228280038</v>
      </c>
      <c r="CV37" s="539">
        <f t="shared" si="7"/>
        <v>9507.0838976619561</v>
      </c>
      <c r="CW37" s="539">
        <f t="shared" si="7"/>
        <v>9575.228520301549</v>
      </c>
      <c r="CX37" s="539">
        <f t="shared" si="7"/>
        <v>9601.8380683248215</v>
      </c>
      <c r="CY37" s="539">
        <f t="shared" si="7"/>
        <v>9567.0576877281255</v>
      </c>
      <c r="CZ37" s="539">
        <f t="shared" si="7"/>
        <v>4771.6969558081337</v>
      </c>
      <c r="DA37" s="539">
        <f t="shared" si="7"/>
        <v>0</v>
      </c>
      <c r="DB37" s="539">
        <f t="shared" si="7"/>
        <v>0</v>
      </c>
      <c r="DC37" s="539">
        <f t="shared" si="7"/>
        <v>0</v>
      </c>
      <c r="DD37" s="539">
        <f t="shared" si="7"/>
        <v>0</v>
      </c>
      <c r="DE37" s="539">
        <f t="shared" si="7"/>
        <v>0</v>
      </c>
      <c r="DF37" s="539">
        <f t="shared" si="7"/>
        <v>0</v>
      </c>
      <c r="DG37" s="539">
        <f t="shared" si="7"/>
        <v>0</v>
      </c>
      <c r="DH37" s="539">
        <f t="shared" si="7"/>
        <v>0</v>
      </c>
      <c r="DI37" s="539">
        <f t="shared" si="7"/>
        <v>0</v>
      </c>
      <c r="DJ37" s="539">
        <f t="shared" si="7"/>
        <v>0</v>
      </c>
      <c r="DK37" s="539">
        <f t="shared" si="7"/>
        <v>0</v>
      </c>
      <c r="DL37" s="539">
        <f t="shared" si="7"/>
        <v>0</v>
      </c>
      <c r="DM37" s="539">
        <f t="shared" si="7"/>
        <v>0</v>
      </c>
      <c r="DN37" s="539">
        <f t="shared" si="7"/>
        <v>0</v>
      </c>
      <c r="DO37" s="539">
        <f t="shared" si="7"/>
        <v>0</v>
      </c>
      <c r="DP37" s="539">
        <f t="shared" si="7"/>
        <v>0</v>
      </c>
      <c r="DQ37" s="539">
        <f t="shared" si="7"/>
        <v>0</v>
      </c>
      <c r="DR37" s="539">
        <f t="shared" si="7"/>
        <v>0</v>
      </c>
      <c r="DS37" s="539">
        <f t="shared" si="7"/>
        <v>0</v>
      </c>
      <c r="DT37" s="539">
        <f t="shared" si="7"/>
        <v>0</v>
      </c>
      <c r="DU37" s="539">
        <f t="shared" si="7"/>
        <v>0</v>
      </c>
      <c r="DV37" s="539">
        <f t="shared" si="7"/>
        <v>0</v>
      </c>
      <c r="DW37" s="539">
        <f t="shared" si="7"/>
        <v>0</v>
      </c>
      <c r="DX37" s="539">
        <f t="shared" si="7"/>
        <v>0</v>
      </c>
      <c r="DY37" s="539">
        <f t="shared" si="7"/>
        <v>0</v>
      </c>
      <c r="DZ37" s="539">
        <f t="shared" si="7"/>
        <v>0</v>
      </c>
      <c r="EA37" s="539">
        <f t="shared" si="7"/>
        <v>0</v>
      </c>
      <c r="EB37" s="539">
        <f t="shared" si="7"/>
        <v>0</v>
      </c>
      <c r="EC37" s="539">
        <f t="shared" si="7"/>
        <v>0</v>
      </c>
      <c r="ED37" s="539">
        <f t="shared" si="7"/>
        <v>0</v>
      </c>
      <c r="EE37" s="539">
        <f t="shared" si="7"/>
        <v>0</v>
      </c>
      <c r="EF37" s="539">
        <f t="shared" si="7"/>
        <v>0</v>
      </c>
      <c r="EG37" s="539">
        <f t="shared" si="7"/>
        <v>0</v>
      </c>
    </row>
    <row r="38" spans="5:137" ht="12.75">
      <c r="E38" s="538" t="s">
        <v>367</v>
      </c>
      <c r="G38" s="539" t="s">
        <v>30</v>
      </c>
      <c r="H38" s="539">
        <f>SUM(J38:EG38)</f>
        <v>697187.04072008806</v>
      </c>
      <c r="J38" s="539">
        <f t="shared" si="8" ref="J38:EG38">I37</f>
        <v>0</v>
      </c>
      <c r="K38" s="539">
        <f t="shared" si="8"/>
        <v>0</v>
      </c>
      <c r="L38" s="539">
        <f t="shared" si="8"/>
        <v>0</v>
      </c>
      <c r="M38" s="539">
        <f t="shared" si="8"/>
        <v>0</v>
      </c>
      <c r="N38" s="539">
        <f t="shared" si="8"/>
        <v>0</v>
      </c>
      <c r="O38" s="539">
        <f t="shared" si="8"/>
        <v>0</v>
      </c>
      <c r="P38" s="539">
        <f t="shared" si="8"/>
        <v>0</v>
      </c>
      <c r="Q38" s="539">
        <f t="shared" si="8"/>
        <v>0</v>
      </c>
      <c r="R38" s="539">
        <f t="shared" si="8"/>
        <v>0</v>
      </c>
      <c r="S38" s="539">
        <f t="shared" si="8"/>
        <v>0</v>
      </c>
      <c r="T38" s="539">
        <f t="shared" si="8"/>
        <v>0</v>
      </c>
      <c r="U38" s="539">
        <f t="shared" si="8"/>
        <v>0</v>
      </c>
      <c r="V38" s="539">
        <f t="shared" si="8"/>
        <v>0</v>
      </c>
      <c r="W38" s="539">
        <f t="shared" si="8"/>
        <v>0</v>
      </c>
      <c r="X38" s="539">
        <f t="shared" si="8"/>
        <v>0</v>
      </c>
      <c r="Y38" s="539">
        <f t="shared" si="8"/>
        <v>0</v>
      </c>
      <c r="Z38" s="539">
        <f t="shared" si="8"/>
        <v>0</v>
      </c>
      <c r="AA38" s="539">
        <f t="shared" si="8"/>
        <v>0</v>
      </c>
      <c r="AB38" s="539">
        <f t="shared" si="8"/>
        <v>0</v>
      </c>
      <c r="AC38" s="539">
        <f t="shared" si="8"/>
        <v>0</v>
      </c>
      <c r="AD38" s="539">
        <f t="shared" si="8"/>
        <v>0</v>
      </c>
      <c r="AE38" s="539">
        <f t="shared" si="8"/>
        <v>0</v>
      </c>
      <c r="AF38" s="539">
        <f t="shared" si="8"/>
        <v>0</v>
      </c>
      <c r="AG38" s="539">
        <f t="shared" si="8"/>
        <v>0</v>
      </c>
      <c r="AH38" s="539">
        <f t="shared" si="8"/>
        <v>8333.2746174985332</v>
      </c>
      <c r="AI38" s="539">
        <f t="shared" si="8"/>
        <v>9308.6531351756057</v>
      </c>
      <c r="AJ38" s="539">
        <f t="shared" si="8"/>
        <v>9298.2394950176858</v>
      </c>
      <c r="AK38" s="539">
        <f t="shared" si="8"/>
        <v>9337.6116506683175</v>
      </c>
      <c r="AL38" s="539">
        <f t="shared" si="8"/>
        <v>9429.7291218685914</v>
      </c>
      <c r="AM38" s="539">
        <f t="shared" si="8"/>
        <v>9472.0580695850113</v>
      </c>
      <c r="AN38" s="539">
        <f t="shared" si="8"/>
        <v>9461.5189563631629</v>
      </c>
      <c r="AO38" s="539">
        <f t="shared" si="8"/>
        <v>9501.8263636837055</v>
      </c>
      <c r="AP38" s="539">
        <f t="shared" si="8"/>
        <v>9595.4102808892349</v>
      </c>
      <c r="AQ38" s="539">
        <f t="shared" si="8"/>
        <v>9638.1449416640698</v>
      </c>
      <c r="AR38" s="539">
        <f t="shared" si="8"/>
        <v>9627.4799775801403</v>
      </c>
      <c r="AS38" s="539">
        <f t="shared" si="8"/>
        <v>9679.536016332997</v>
      </c>
      <c r="AT38" s="539">
        <f t="shared" si="8"/>
        <v>9763.8140753059997</v>
      </c>
      <c r="AU38" s="539">
        <f t="shared" si="8"/>
        <v>9796.1595279842222</v>
      </c>
      <c r="AV38" s="539">
        <f t="shared" si="8"/>
        <v>9793.9066267576272</v>
      </c>
      <c r="AW38" s="539">
        <f t="shared" si="8"/>
        <v>9836.1518034083492</v>
      </c>
      <c r="AX38" s="539">
        <f t="shared" si="8"/>
        <v>9934.9780954017842</v>
      </c>
      <c r="AY38" s="539">
        <f t="shared" si="8"/>
        <v>9978.5124212525789</v>
      </c>
      <c r="AZ38" s="539">
        <f t="shared" si="8"/>
        <v>9965.1612930804731</v>
      </c>
      <c r="BA38" s="539">
        <f t="shared" si="8"/>
        <v>9944.7298885451564</v>
      </c>
      <c r="BB38" s="539">
        <f t="shared" si="8"/>
        <v>9972.4781358472173</v>
      </c>
      <c r="BC38" s="539">
        <f t="shared" si="8"/>
        <v>9998.6118234080277</v>
      </c>
      <c r="BD38" s="539">
        <f t="shared" si="8"/>
        <v>9970.5745648815064</v>
      </c>
      <c r="BE38" s="539">
        <f t="shared" si="8"/>
        <v>9993.9780103795183</v>
      </c>
      <c r="BF38" s="539">
        <f t="shared" si="8"/>
        <v>10073.47416898013</v>
      </c>
      <c r="BG38" s="539">
        <f t="shared" si="8"/>
        <v>10102.988965730921</v>
      </c>
      <c r="BH38" s="539">
        <f t="shared" si="8"/>
        <v>10077.683309371694</v>
      </c>
      <c r="BI38" s="539">
        <f t="shared" si="8"/>
        <v>10116.091187302902</v>
      </c>
      <c r="BJ38" s="539">
        <f t="shared" si="8"/>
        <v>10188.382359693998</v>
      </c>
      <c r="BK38" s="539">
        <f t="shared" si="8"/>
        <v>10209.471318627446</v>
      </c>
      <c r="BL38" s="539">
        <f t="shared" si="8"/>
        <v>10197.714289675579</v>
      </c>
      <c r="BM38" s="539">
        <f t="shared" si="8"/>
        <v>10228.09568557579</v>
      </c>
      <c r="BN38" s="539">
        <f t="shared" si="8"/>
        <v>10315.357334076012</v>
      </c>
      <c r="BO38" s="539">
        <f t="shared" si="8"/>
        <v>10350.191466434988</v>
      </c>
      <c r="BP38" s="539">
        <f t="shared" si="8"/>
        <v>10328.987274345176</v>
      </c>
      <c r="BQ38" s="539">
        <f t="shared" si="8"/>
        <v>10415.624121569275</v>
      </c>
      <c r="BR38" s="539">
        <f t="shared" si="8"/>
        <v>10559.552974855102</v>
      </c>
      <c r="BS38" s="539">
        <f t="shared" si="8"/>
        <v>10596.479459831688</v>
      </c>
      <c r="BT38" s="539">
        <f t="shared" si="8"/>
        <v>10576.793421109882</v>
      </c>
      <c r="BU38" s="539">
        <f t="shared" si="8"/>
        <v>10473.459397795083</v>
      </c>
      <c r="BV38" s="539">
        <f t="shared" si="8"/>
        <v>10016.709456108158</v>
      </c>
      <c r="BW38" s="539">
        <f t="shared" si="8"/>
        <v>9636.2291610373613</v>
      </c>
      <c r="BX38" s="539">
        <f t="shared" si="8"/>
        <v>9601.997150678957</v>
      </c>
      <c r="BY38" s="539">
        <f t="shared" si="8"/>
        <v>9625.2865352991357</v>
      </c>
      <c r="BZ38" s="539">
        <f t="shared" si="8"/>
        <v>9683.778569263166</v>
      </c>
      <c r="CA38" s="539">
        <f t="shared" si="8"/>
        <v>9662.5293592965245</v>
      </c>
      <c r="CB38" s="539">
        <f t="shared" si="8"/>
        <v>9432.0314212886315</v>
      </c>
      <c r="CC38" s="539">
        <f t="shared" si="8"/>
        <v>9253.2529979049323</v>
      </c>
      <c r="CD38" s="539">
        <f t="shared" si="8"/>
        <v>9305.6886046067902</v>
      </c>
      <c r="CE38" s="539">
        <f t="shared" si="8"/>
        <v>9328.242598621724</v>
      </c>
      <c r="CF38" s="539">
        <f t="shared" si="8"/>
        <v>9290.6736063131902</v>
      </c>
      <c r="CG38" s="539">
        <f t="shared" si="8"/>
        <v>9287.1183551242611</v>
      </c>
      <c r="CH38" s="539">
        <f t="shared" si="8"/>
        <v>9344.8100349126944</v>
      </c>
      <c r="CI38" s="539">
        <f t="shared" si="8"/>
        <v>9369.1866302068702</v>
      </c>
      <c r="CJ38" s="539">
        <f t="shared" si="8"/>
        <v>9333.0916602598882</v>
      </c>
      <c r="CK38" s="539">
        <f t="shared" si="8"/>
        <v>9620.0621641394609</v>
      </c>
      <c r="CL38" s="539">
        <f t="shared" si="8"/>
        <v>9967.8281585778968</v>
      </c>
      <c r="CM38" s="539">
        <f t="shared" si="8"/>
        <v>9992.4293815623641</v>
      </c>
      <c r="CN38" s="539">
        <f t="shared" si="8"/>
        <v>9956.2389657101321</v>
      </c>
      <c r="CO38" s="539">
        <f t="shared" si="8"/>
        <v>9683.7890086705629</v>
      </c>
      <c r="CP38" s="539">
        <f t="shared" si="8"/>
        <v>9447.2122969783286</v>
      </c>
      <c r="CQ38" s="539">
        <f t="shared" si="8"/>
        <v>9459.8928143723988</v>
      </c>
      <c r="CR38" s="539">
        <f t="shared" si="8"/>
        <v>9437.5230352693525</v>
      </c>
      <c r="CS38" s="539">
        <f t="shared" si="8"/>
        <v>9442.1999104621646</v>
      </c>
      <c r="CT38" s="539">
        <f t="shared" si="8"/>
        <v>9508.240525704532</v>
      </c>
      <c r="CU38" s="539">
        <f t="shared" si="8"/>
        <v>9534.8898375107237</v>
      </c>
      <c r="CV38" s="539">
        <f t="shared" si="8"/>
        <v>9500.3177228280038</v>
      </c>
      <c r="CW38" s="539">
        <f t="shared" si="8"/>
        <v>9507.0838976619561</v>
      </c>
      <c r="CX38" s="539">
        <f t="shared" si="8"/>
        <v>9575.228520301549</v>
      </c>
      <c r="CY38" s="539">
        <f t="shared" si="8"/>
        <v>9601.8380683248215</v>
      </c>
      <c r="CZ38" s="539">
        <f t="shared" si="8"/>
        <v>9567.0576877281255</v>
      </c>
      <c r="DA38" s="539">
        <f t="shared" si="8"/>
        <v>4771.6969558081337</v>
      </c>
      <c r="DB38" s="539">
        <f t="shared" si="8"/>
        <v>0</v>
      </c>
      <c r="DC38" s="539">
        <f t="shared" si="8"/>
        <v>0</v>
      </c>
      <c r="DD38" s="539">
        <f t="shared" si="8"/>
        <v>0</v>
      </c>
      <c r="DE38" s="539">
        <f t="shared" si="8"/>
        <v>0</v>
      </c>
      <c r="DF38" s="539">
        <f t="shared" si="8"/>
        <v>0</v>
      </c>
      <c r="DG38" s="539">
        <f t="shared" si="8"/>
        <v>0</v>
      </c>
      <c r="DH38" s="539">
        <f t="shared" si="8"/>
        <v>0</v>
      </c>
      <c r="DI38" s="539">
        <f t="shared" si="8"/>
        <v>0</v>
      </c>
      <c r="DJ38" s="539">
        <f t="shared" si="8"/>
        <v>0</v>
      </c>
      <c r="DK38" s="539">
        <f t="shared" si="8"/>
        <v>0</v>
      </c>
      <c r="DL38" s="539">
        <f t="shared" si="8"/>
        <v>0</v>
      </c>
      <c r="DM38" s="539">
        <f t="shared" si="8"/>
        <v>0</v>
      </c>
      <c r="DN38" s="539">
        <f t="shared" si="8"/>
        <v>0</v>
      </c>
      <c r="DO38" s="539">
        <f t="shared" si="8"/>
        <v>0</v>
      </c>
      <c r="DP38" s="539">
        <f t="shared" si="8"/>
        <v>0</v>
      </c>
      <c r="DQ38" s="539">
        <f t="shared" si="8"/>
        <v>0</v>
      </c>
      <c r="DR38" s="539">
        <f t="shared" si="8"/>
        <v>0</v>
      </c>
      <c r="DS38" s="539">
        <f t="shared" si="8"/>
        <v>0</v>
      </c>
      <c r="DT38" s="539">
        <f t="shared" si="8"/>
        <v>0</v>
      </c>
      <c r="DU38" s="539">
        <f t="shared" si="8"/>
        <v>0</v>
      </c>
      <c r="DV38" s="539">
        <f t="shared" si="8"/>
        <v>0</v>
      </c>
      <c r="DW38" s="539">
        <f t="shared" si="8"/>
        <v>0</v>
      </c>
      <c r="DX38" s="539">
        <f t="shared" si="8"/>
        <v>0</v>
      </c>
      <c r="DY38" s="539">
        <f t="shared" si="8"/>
        <v>0</v>
      </c>
      <c r="DZ38" s="539">
        <f t="shared" si="8"/>
        <v>0</v>
      </c>
      <c r="EA38" s="539">
        <f t="shared" si="8"/>
        <v>0</v>
      </c>
      <c r="EB38" s="539">
        <f t="shared" si="8"/>
        <v>0</v>
      </c>
      <c r="EC38" s="539">
        <f t="shared" si="8"/>
        <v>0</v>
      </c>
      <c r="ED38" s="539">
        <f t="shared" si="8"/>
        <v>0</v>
      </c>
      <c r="EE38" s="539">
        <f t="shared" si="8"/>
        <v>0</v>
      </c>
      <c r="EF38" s="539">
        <f t="shared" si="8"/>
        <v>0</v>
      </c>
      <c r="EG38" s="539">
        <f t="shared" si="8"/>
        <v>0</v>
      </c>
    </row>
    <row r="40" spans="5:137" ht="12.75">
      <c r="E40" s="535" t="str">
        <f>Debt!E$104</f>
        <v>Senior facility - debt service</v>
      </c>
      <c r="G40" s="537" t="str">
        <f>Debt!G$104</f>
        <v>EUR 000s</v>
      </c>
      <c r="H40" s="537">
        <f>Debt!H$104</f>
        <v>350432.93778912647</v>
      </c>
      <c r="J40" s="537">
        <f>Debt!J$104</f>
        <v>0</v>
      </c>
      <c r="K40" s="537">
        <f>Debt!K$104</f>
        <v>0</v>
      </c>
      <c r="L40" s="537">
        <f>Debt!L$104</f>
        <v>0</v>
      </c>
      <c r="M40" s="537">
        <f>Debt!M$104</f>
        <v>0</v>
      </c>
      <c r="N40" s="537">
        <f>Debt!N$104</f>
        <v>0</v>
      </c>
      <c r="O40" s="537">
        <f>Debt!O$104</f>
        <v>0</v>
      </c>
      <c r="P40" s="537">
        <f>Debt!P$104</f>
        <v>-1.8189894035458565E-12</v>
      </c>
      <c r="Q40" s="537">
        <f>Debt!Q$104</f>
        <v>0</v>
      </c>
      <c r="R40" s="537">
        <f>Debt!R$104</f>
        <v>0</v>
      </c>
      <c r="S40" s="537">
        <f>Debt!S$104</f>
        <v>0</v>
      </c>
      <c r="T40" s="537">
        <f>Debt!T$104</f>
        <v>0</v>
      </c>
      <c r="U40" s="537">
        <f>Debt!U$104</f>
        <v>0</v>
      </c>
      <c r="V40" s="537">
        <f>Debt!V$104</f>
        <v>0</v>
      </c>
      <c r="W40" s="537">
        <f>Debt!W$104</f>
        <v>0</v>
      </c>
      <c r="X40" s="537">
        <f>Debt!X$104</f>
        <v>0</v>
      </c>
      <c r="Y40" s="537">
        <f>Debt!Y$104</f>
        <v>0</v>
      </c>
      <c r="Z40" s="537">
        <f>Debt!Z$104</f>
        <v>0</v>
      </c>
      <c r="AA40" s="537">
        <f>Debt!AA$104</f>
        <v>0</v>
      </c>
      <c r="AB40" s="537">
        <f>Debt!AB$104</f>
        <v>0</v>
      </c>
      <c r="AC40" s="537">
        <f>Debt!AC$104</f>
        <v>0</v>
      </c>
      <c r="AD40" s="537">
        <f>Debt!AD$104</f>
        <v>0</v>
      </c>
      <c r="AE40" s="537">
        <f>Debt!AE$104</f>
        <v>0</v>
      </c>
      <c r="AF40" s="537">
        <f>Debt!AF$104</f>
        <v>0</v>
      </c>
      <c r="AG40" s="537">
        <f>Debt!AG$104</f>
        <v>0</v>
      </c>
      <c r="AH40" s="537">
        <f>Debt!AH$104</f>
        <v>3678.8348581698501</v>
      </c>
      <c r="AI40" s="537">
        <f>Debt!AI$104</f>
        <v>4654.4397593286103</v>
      </c>
      <c r="AJ40" s="537">
        <f>Debt!AJ$104</f>
        <v>4654.2133758469154</v>
      </c>
      <c r="AK40" s="537">
        <f>Debt!AK$104</f>
        <v>4644.0261191706895</v>
      </c>
      <c r="AL40" s="537">
        <f>Debt!AL$104</f>
        <v>4693.5855314975461</v>
      </c>
      <c r="AM40" s="537">
        <f>Debt!AM$104</f>
        <v>4736.1435903709635</v>
      </c>
      <c r="AN40" s="537">
        <f>Debt!AN$104</f>
        <v>4735.9144792139659</v>
      </c>
      <c r="AO40" s="537">
        <f>Debt!AO$104</f>
        <v>4725.6044771491152</v>
      </c>
      <c r="AP40" s="537">
        <f>Debt!AP$104</f>
        <v>4776.2218865345076</v>
      </c>
      <c r="AQ40" s="537">
        <f>Debt!AQ$104</f>
        <v>4819.1883943546436</v>
      </c>
      <c r="AR40" s="537">
        <f>Debt!AR$104</f>
        <v>4818.9565473093417</v>
      </c>
      <c r="AS40" s="537">
        <f>Debt!AS$104</f>
        <v>4808.523430270714</v>
      </c>
      <c r="AT40" s="537">
        <f>Debt!AT$104</f>
        <v>4871.0125860621984</v>
      </c>
      <c r="AU40" s="537">
        <f>Debt!AU$104</f>
        <v>4892.8014892437168</v>
      </c>
      <c r="AV40" s="537">
        <f>Debt!AV$104</f>
        <v>4903.358038740419</v>
      </c>
      <c r="AW40" s="537">
        <f>Debt!AW$104</f>
        <v>4890.5485880171236</v>
      </c>
      <c r="AX40" s="537">
        <f>Debt!AX$104</f>
        <v>4945.6032153911401</v>
      </c>
      <c r="AY40" s="537">
        <f>Debt!AY$104</f>
        <v>4989.3748800105577</v>
      </c>
      <c r="AZ40" s="537">
        <f>Debt!AZ$104</f>
        <v>4989.1375412419338</v>
      </c>
      <c r="BA40" s="537">
        <f>Debt!BA$104</f>
        <v>4976.0237518384511</v>
      </c>
      <c r="BB40" s="537">
        <f>Debt!BB$104</f>
        <v>4968.7061367066199</v>
      </c>
      <c r="BC40" s="537">
        <f>Debt!BC$104</f>
        <v>5003.7719991405111</v>
      </c>
      <c r="BD40" s="537">
        <f>Debt!BD$104</f>
        <v>4994.8398242674302</v>
      </c>
      <c r="BE40" s="537">
        <f>Debt!BE$104</f>
        <v>4975.7347406139879</v>
      </c>
      <c r="BF40" s="537">
        <f>Debt!BF$104</f>
        <v>5018.2432697654431</v>
      </c>
      <c r="BG40" s="537">
        <f>Debt!BG$104</f>
        <v>5055.2308992146009</v>
      </c>
      <c r="BH40" s="537">
        <f>Debt!BH$104</f>
        <v>5047.7580665162341</v>
      </c>
      <c r="BI40" s="537">
        <f>Debt!BI$104</f>
        <v>5029.9252428553727</v>
      </c>
      <c r="BJ40" s="537">
        <f>Debt!BJ$104</f>
        <v>5086.1659444474417</v>
      </c>
      <c r="BK40" s="537">
        <f>Debt!BK$104</f>
        <v>5102.2164152464693</v>
      </c>
      <c r="BL40" s="537">
        <f>Debt!BL$104</f>
        <v>5107.2549033808882</v>
      </c>
      <c r="BM40" s="537">
        <f>Debt!BM$104</f>
        <v>5090.4593862946022</v>
      </c>
      <c r="BN40" s="537">
        <f>Debt!BN$104</f>
        <v>5137.6362992811</v>
      </c>
      <c r="BO40" s="537">
        <f>Debt!BO$104</f>
        <v>5177.721034794823</v>
      </c>
      <c r="BP40" s="537">
        <f>Debt!BP$104</f>
        <v>5172.4704316400748</v>
      </c>
      <c r="BQ40" s="537">
        <f>Debt!BQ$104</f>
        <v>5156.5168427050112</v>
      </c>
      <c r="BR40" s="537">
        <f>Debt!BR$104</f>
        <v>5259.1072788641732</v>
      </c>
      <c r="BS40" s="537">
        <f>Debt!BS$104</f>
        <v>5300.4456959908366</v>
      </c>
      <c r="BT40" s="537">
        <f>Debt!BT$104</f>
        <v>5296.0337638407573</v>
      </c>
      <c r="BU40" s="537">
        <f>Debt!BU$104</f>
        <v>5280.7596572690318</v>
      </c>
      <c r="BV40" s="537">
        <f>Debt!BV$104</f>
        <v>5192.6997405259599</v>
      </c>
      <c r="BW40" s="537">
        <f>Debt!BW$104</f>
        <v>4824.0097155821095</v>
      </c>
      <c r="BX40" s="537">
        <f>Debt!BX$104</f>
        <v>4812.2194454551673</v>
      </c>
      <c r="BY40" s="537">
        <f>Debt!BY$104</f>
        <v>4789.7777052237061</v>
      </c>
      <c r="BZ40" s="537">
        <f>Debt!BZ$104</f>
        <v>4835.508830075345</v>
      </c>
      <c r="CA40" s="537">
        <f>Debt!CA$104</f>
        <v>4848.2697391877382</v>
      </c>
      <c r="CB40" s="537">
        <f>Debt!CB$104</f>
        <v>4814.2596201085926</v>
      </c>
      <c r="CC40" s="537">
        <f>Debt!CC$104</f>
        <v>4617.7718011798452</v>
      </c>
      <c r="CD40" s="537">
        <f>Debt!CD$104</f>
        <v>4635.4811967250052</v>
      </c>
      <c r="CE40" s="537">
        <f>Debt!CE$104</f>
        <v>4670.2074078817031</v>
      </c>
      <c r="CF40" s="537">
        <f>Debt!CF$104</f>
        <v>4658.0351907399381</v>
      </c>
      <c r="CG40" s="537">
        <f>Debt!CG$104</f>
        <v>4632.6384155731694</v>
      </c>
      <c r="CH40" s="537">
        <f>Debt!CH$104</f>
        <v>4654.4799395510099</v>
      </c>
      <c r="CI40" s="537">
        <f>Debt!CI$104</f>
        <v>4690.3300953616026</v>
      </c>
      <c r="CJ40" s="537">
        <f>Debt!CJ$104</f>
        <v>4678.8565348451857</v>
      </c>
      <c r="CK40" s="537">
        <f>Debt!CK$104</f>
        <v>4654.2351254146215</v>
      </c>
      <c r="CL40" s="537">
        <f>Debt!CL$104</f>
        <v>4965.8270387247549</v>
      </c>
      <c r="CM40" s="537">
        <f>Debt!CM$104</f>
        <v>5002.0011198530556</v>
      </c>
      <c r="CN40" s="537">
        <f>Debt!CN$104</f>
        <v>4990.4282617092213</v>
      </c>
      <c r="CO40" s="537">
        <f>Debt!CO$104</f>
        <v>4965.8107040008254</v>
      </c>
      <c r="CP40" s="537">
        <f>Debt!CP$104</f>
        <v>4717.9783046696557</v>
      </c>
      <c r="CQ40" s="537">
        <f>Debt!CQ$104</f>
        <v>4729.233992308592</v>
      </c>
      <c r="CR40" s="537">
        <f>Debt!CR$104</f>
        <v>4730.658822063725</v>
      </c>
      <c r="CS40" s="537">
        <f>Debt!CS$104</f>
        <v>4706.8642132055456</v>
      </c>
      <c r="CT40" s="537">
        <f>Debt!CT$104</f>
        <v>4735.3356972565371</v>
      </c>
      <c r="CU40" s="537">
        <f>Debt!CU$104</f>
        <v>4772.9048284479113</v>
      </c>
      <c r="CV40" s="537">
        <f>Debt!CV$104</f>
        <v>4761.9850090627306</v>
      </c>
      <c r="CW40" s="537">
        <f>Debt!CW$104</f>
        <v>4738.3327137651941</v>
      </c>
      <c r="CX40" s="537">
        <f>Debt!CX$104</f>
        <v>4768.7511838966802</v>
      </c>
      <c r="CY40" s="537">
        <f>Debt!CY$104</f>
        <v>4806.4773364047887</v>
      </c>
      <c r="CZ40" s="537">
        <f>Debt!CZ$104</f>
        <v>4795.3607319199509</v>
      </c>
      <c r="DA40" s="537">
        <f>Debt!DA$104</f>
        <v>4771.6969558088413</v>
      </c>
      <c r="DB40" s="537">
        <f>Debt!DB$104</f>
        <v>0</v>
      </c>
      <c r="DC40" s="537">
        <f>Debt!DC$104</f>
        <v>0</v>
      </c>
      <c r="DD40" s="537">
        <f>Debt!DD$104</f>
        <v>0</v>
      </c>
      <c r="DE40" s="537">
        <f>Debt!DE$104</f>
        <v>0</v>
      </c>
      <c r="DF40" s="537">
        <f>Debt!DF$104</f>
        <v>0</v>
      </c>
      <c r="DG40" s="537">
        <f>Debt!DG$104</f>
        <v>0</v>
      </c>
      <c r="DH40" s="537">
        <f>Debt!DH$104</f>
        <v>0</v>
      </c>
      <c r="DI40" s="537">
        <f>Debt!DI$104</f>
        <v>0</v>
      </c>
      <c r="DJ40" s="537">
        <f>Debt!DJ$104</f>
        <v>0</v>
      </c>
      <c r="DK40" s="537">
        <f>Debt!DK$104</f>
        <v>0</v>
      </c>
      <c r="DL40" s="537">
        <f>Debt!DL$104</f>
        <v>0</v>
      </c>
      <c r="DM40" s="537">
        <f>Debt!DM$104</f>
        <v>0</v>
      </c>
      <c r="DN40" s="537">
        <f>Debt!DN$104</f>
        <v>0</v>
      </c>
      <c r="DO40" s="537">
        <f>Debt!DO$104</f>
        <v>0</v>
      </c>
      <c r="DP40" s="537">
        <f>Debt!DP$104</f>
        <v>0</v>
      </c>
      <c r="DQ40" s="537">
        <f>Debt!DQ$104</f>
        <v>0</v>
      </c>
      <c r="DR40" s="537">
        <f>Debt!DR$104</f>
        <v>0</v>
      </c>
      <c r="DS40" s="537">
        <f>Debt!DS$104</f>
        <v>0</v>
      </c>
      <c r="DT40" s="537">
        <f>Debt!DT$104</f>
        <v>0</v>
      </c>
      <c r="DU40" s="537">
        <f>Debt!DU$104</f>
        <v>0</v>
      </c>
      <c r="DV40" s="537">
        <f>Debt!DV$104</f>
        <v>0</v>
      </c>
      <c r="DW40" s="537">
        <f>Debt!DW$104</f>
        <v>0</v>
      </c>
      <c r="DX40" s="537">
        <f>Debt!DX$104</f>
        <v>0</v>
      </c>
      <c r="DY40" s="537">
        <f>Debt!DY$104</f>
        <v>0</v>
      </c>
      <c r="DZ40" s="537">
        <f>Debt!DZ$104</f>
        <v>0</v>
      </c>
      <c r="EA40" s="537">
        <f>Debt!EA$104</f>
        <v>0</v>
      </c>
      <c r="EB40" s="537">
        <f>Debt!EB$104</f>
        <v>0</v>
      </c>
      <c r="EC40" s="537">
        <f>Debt!EC$104</f>
        <v>0</v>
      </c>
      <c r="ED40" s="537">
        <f>Debt!ED$104</f>
        <v>0</v>
      </c>
      <c r="EE40" s="537">
        <f>Debt!EE$104</f>
        <v>0</v>
      </c>
      <c r="EF40" s="537">
        <f>Debt!EF$104</f>
        <v>0</v>
      </c>
      <c r="EG40" s="537">
        <f>Debt!EG$104</f>
        <v>0</v>
      </c>
    </row>
    <row r="41" spans="5:137" ht="12.75">
      <c r="E41" s="535" t="str">
        <f>Waterfall!E$14</f>
        <v>Cash flow available for debt service</v>
      </c>
      <c r="G41" s="537" t="str">
        <f>Waterfall!G$14</f>
        <v>EUR 000s</v>
      </c>
      <c r="H41" s="537">
        <f>Waterfall!H$14</f>
        <v>957377.69580628083</v>
      </c>
      <c r="J41" s="537">
        <f>Waterfall!J$14</f>
        <v>0</v>
      </c>
      <c r="K41" s="537">
        <f>Waterfall!K$14</f>
        <v>0</v>
      </c>
      <c r="L41" s="537">
        <f>Waterfall!L$14</f>
        <v>0</v>
      </c>
      <c r="M41" s="537">
        <f>Waterfall!M$14</f>
        <v>0</v>
      </c>
      <c r="N41" s="537">
        <f>Waterfall!N$14</f>
        <v>0</v>
      </c>
      <c r="O41" s="537">
        <f>Waterfall!O$14</f>
        <v>0</v>
      </c>
      <c r="P41" s="537">
        <f>Waterfall!P$14</f>
        <v>0</v>
      </c>
      <c r="Q41" s="537">
        <f>Waterfall!Q$14</f>
        <v>0</v>
      </c>
      <c r="R41" s="537">
        <f>Waterfall!R$14</f>
        <v>0</v>
      </c>
      <c r="S41" s="537">
        <f>Waterfall!S$14</f>
        <v>0</v>
      </c>
      <c r="T41" s="537">
        <f>Waterfall!T$14</f>
        <v>0</v>
      </c>
      <c r="U41" s="537">
        <f>Waterfall!U$14</f>
        <v>0</v>
      </c>
      <c r="V41" s="537">
        <f>Waterfall!V$14</f>
        <v>0</v>
      </c>
      <c r="W41" s="537">
        <f>Waterfall!W$14</f>
        <v>0</v>
      </c>
      <c r="X41" s="537">
        <f>Waterfall!X$14</f>
        <v>0</v>
      </c>
      <c r="Y41" s="537">
        <f>Waterfall!Y$14</f>
        <v>0</v>
      </c>
      <c r="Z41" s="537">
        <f>Waterfall!Z$14</f>
        <v>0</v>
      </c>
      <c r="AA41" s="537">
        <f>Waterfall!AA$14</f>
        <v>0</v>
      </c>
      <c r="AB41" s="537">
        <f>Waterfall!AB$14</f>
        <v>0</v>
      </c>
      <c r="AC41" s="537">
        <f>Waterfall!AC$14</f>
        <v>0</v>
      </c>
      <c r="AD41" s="537">
        <f>Waterfall!AD$14</f>
        <v>0</v>
      </c>
      <c r="AE41" s="537">
        <f>Waterfall!AE$14</f>
        <v>0</v>
      </c>
      <c r="AF41" s="537">
        <f>Waterfall!AF$14</f>
        <v>0</v>
      </c>
      <c r="AG41" s="537">
        <f>Waterfall!AG$14</f>
        <v>0</v>
      </c>
      <c r="AH41" s="537">
        <f>Waterfall!AH$14</f>
        <v>7126.237686929222</v>
      </c>
      <c r="AI41" s="537">
        <f>Waterfall!AI$14</f>
        <v>9016.0731055402921</v>
      </c>
      <c r="AJ41" s="537">
        <f>Waterfall!AJ$14</f>
        <v>9015.6345801481111</v>
      </c>
      <c r="AK41" s="537">
        <f>Waterfall!AK$14</f>
        <v>8995.9009374999987</v>
      </c>
      <c r="AL41" s="537">
        <f>Waterfall!AL$14</f>
        <v>9091.9020262907597</v>
      </c>
      <c r="AM41" s="537">
        <f>Waterfall!AM$14</f>
        <v>9174.3408567135994</v>
      </c>
      <c r="AN41" s="537">
        <f>Waterfall!AN$14</f>
        <v>9173.8970475662918</v>
      </c>
      <c r="AO41" s="537">
        <f>Waterfall!AO$14</f>
        <v>9153.9256359374995</v>
      </c>
      <c r="AP41" s="537">
        <f>Waterfall!AP$14</f>
        <v>9251.9761612487546</v>
      </c>
      <c r="AQ41" s="537">
        <f>Waterfall!AQ$14</f>
        <v>9335.2061944272264</v>
      </c>
      <c r="AR41" s="537">
        <f>Waterfall!AR$14</f>
        <v>9334.7570856154598</v>
      </c>
      <c r="AS41" s="537">
        <f>Waterfall!AS$14</f>
        <v>9314.5471890859371</v>
      </c>
      <c r="AT41" s="537">
        <f>Waterfall!AT$14</f>
        <v>9435.594366845693</v>
      </c>
      <c r="AU41" s="537">
        <f>Waterfall!AU$14</f>
        <v>9477.8014538705866</v>
      </c>
      <c r="AV41" s="537">
        <f>Waterfall!AV$14</f>
        <v>9498.2504502967968</v>
      </c>
      <c r="AW41" s="537">
        <f>Waterfall!AW$14</f>
        <v>9473.4373793076247</v>
      </c>
      <c r="AX41" s="537">
        <f>Waterfall!AX$14</f>
        <v>9580.0831993996253</v>
      </c>
      <c r="AY41" s="537">
        <f>Waterfall!AY$14</f>
        <v>9664.8728945221992</v>
      </c>
      <c r="AZ41" s="537">
        <f>Waterfall!AZ$14</f>
        <v>9664.4131477429219</v>
      </c>
      <c r="BA41" s="537">
        <f>Waterfall!BA$14</f>
        <v>9639.0105450525571</v>
      </c>
      <c r="BB41" s="537">
        <f>Waterfall!BB$14</f>
        <v>9624.8356590516014</v>
      </c>
      <c r="BC41" s="537">
        <f>Waterfall!BC$14</f>
        <v>9692.7614236034206</v>
      </c>
      <c r="BD41" s="537">
        <f>Waterfall!BD$14</f>
        <v>9675.4589885497153</v>
      </c>
      <c r="BE41" s="537">
        <f>Waterfall!BE$14</f>
        <v>9638.4507040270382</v>
      </c>
      <c r="BF41" s="537">
        <f>Waterfall!BF$14</f>
        <v>9720.7935908740237</v>
      </c>
      <c r="BG41" s="537">
        <f>Waterfall!BG$14</f>
        <v>9792.4419929069136</v>
      </c>
      <c r="BH41" s="537">
        <f>Waterfall!BH$14</f>
        <v>9777.9664363635275</v>
      </c>
      <c r="BI41" s="537">
        <f>Waterfall!BI$14</f>
        <v>9743.4226351504403</v>
      </c>
      <c r="BJ41" s="537">
        <f>Waterfall!BJ$14</f>
        <v>9852.3659888687216</v>
      </c>
      <c r="BK41" s="537">
        <f>Waterfall!BK$14</f>
        <v>9883.4572104947692</v>
      </c>
      <c r="BL41" s="537">
        <f>Waterfall!BL$14</f>
        <v>9893.2172202296188</v>
      </c>
      <c r="BM41" s="537">
        <f>Waterfall!BM$14</f>
        <v>9860.6827761879267</v>
      </c>
      <c r="BN41" s="537">
        <f>Waterfall!BN$14</f>
        <v>9952.0687470832363</v>
      </c>
      <c r="BO41" s="537">
        <f>Waterfall!BO$14</f>
        <v>10029.716525225305</v>
      </c>
      <c r="BP41" s="537">
        <f>Waterfall!BP$14</f>
        <v>10019.545629405566</v>
      </c>
      <c r="BQ41" s="537">
        <f>Waterfall!BQ$14</f>
        <v>9988.6420767608051</v>
      </c>
      <c r="BR41" s="537">
        <f>Waterfall!BR$14</f>
        <v>10187.369081549388</v>
      </c>
      <c r="BS41" s="537">
        <f>Waterfall!BS$14</f>
        <v>10267.445354990101</v>
      </c>
      <c r="BT41" s="537">
        <f>Waterfall!BT$14</f>
        <v>10258.899041178202</v>
      </c>
      <c r="BU41" s="537">
        <f>Waterfall!BU$14</f>
        <v>10229.311707665833</v>
      </c>
      <c r="BV41" s="537">
        <f>Waterfall!BV$14</f>
        <v>10058.731640444626</v>
      </c>
      <c r="BW41" s="537">
        <f>Waterfall!BW$14</f>
        <v>9344.5455321133577</v>
      </c>
      <c r="BX41" s="537">
        <f>Waterfall!BX$14</f>
        <v>9321.7067066273194</v>
      </c>
      <c r="BY41" s="537">
        <f>Waterfall!BY$14</f>
        <v>9278.2350148653059</v>
      </c>
      <c r="BZ41" s="537">
        <f>Waterfall!BZ$14</f>
        <v>9366.820362658149</v>
      </c>
      <c r="CA41" s="537">
        <f>Waterfall!CA$14</f>
        <v>9391.5394041324525</v>
      </c>
      <c r="CB41" s="537">
        <f>Waterfall!CB$14</f>
        <v>9325.6587104719256</v>
      </c>
      <c r="CC41" s="537">
        <f>Waterfall!CC$14</f>
        <v>8945.0439358883377</v>
      </c>
      <c r="CD41" s="537">
        <f>Waterfall!CD$14</f>
        <v>8979.3486456163082</v>
      </c>
      <c r="CE41" s="537">
        <f>Waterfall!CE$14</f>
        <v>9046.6164747550774</v>
      </c>
      <c r="CF41" s="537">
        <f>Waterfall!CF$14</f>
        <v>9023.0377831656751</v>
      </c>
      <c r="CG41" s="537">
        <f>Waterfall!CG$14</f>
        <v>8973.8419199923192</v>
      </c>
      <c r="CH41" s="537">
        <f>Waterfall!CH$14</f>
        <v>9016.1509382852164</v>
      </c>
      <c r="CI41" s="537">
        <f>Waterfall!CI$14</f>
        <v>9085.5959504342063</v>
      </c>
      <c r="CJ41" s="537">
        <f>Waterfall!CJ$14</f>
        <v>9063.3706202664835</v>
      </c>
      <c r="CK41" s="537">
        <f>Waterfall!CK$14</f>
        <v>9015.6767110387427</v>
      </c>
      <c r="CL41" s="537">
        <f>Waterfall!CL$14</f>
        <v>9619.2585844250625</v>
      </c>
      <c r="CM41" s="537">
        <f>Waterfall!CM$14</f>
        <v>9689.331069373402</v>
      </c>
      <c r="CN41" s="537">
        <f>Waterfall!CN$14</f>
        <v>9666.913390670883</v>
      </c>
      <c r="CO41" s="537">
        <f>Waterfall!CO$14</f>
        <v>9619.2269425792711</v>
      </c>
      <c r="CP41" s="537">
        <f>Waterfall!CP$14</f>
        <v>9139.1530462928586</v>
      </c>
      <c r="CQ41" s="537">
        <f>Waterfall!CQ$14</f>
        <v>9160.9563368827476</v>
      </c>
      <c r="CR41" s="537">
        <f>Waterfall!CR$14</f>
        <v>9163.7163616976522</v>
      </c>
      <c r="CS41" s="537">
        <f>Waterfall!CS$14</f>
        <v>9117.6240403708798</v>
      </c>
      <c r="CT41" s="537">
        <f>Waterfall!CT$14</f>
        <v>9172.7758942782111</v>
      </c>
      <c r="CU41" s="537">
        <f>Waterfall!CU$14</f>
        <v>9245.5507180696623</v>
      </c>
      <c r="CV41" s="537">
        <f>Waterfall!CV$14</f>
        <v>9224.3980348323803</v>
      </c>
      <c r="CW41" s="537">
        <f>Waterfall!CW$14</f>
        <v>9178.5813878150875</v>
      </c>
      <c r="CX41" s="537">
        <f>Waterfall!CX$14</f>
        <v>9237.5047308263493</v>
      </c>
      <c r="CY41" s="537">
        <f>Waterfall!CY$14</f>
        <v>9310.5837191884038</v>
      </c>
      <c r="CZ41" s="537">
        <f>Waterfall!CZ$14</f>
        <v>9289.0498453167329</v>
      </c>
      <c r="DA41" s="537">
        <f>Waterfall!DA$14</f>
        <v>9243.2109589200554</v>
      </c>
      <c r="DB41" s="537">
        <f>Waterfall!DB$14</f>
        <v>9250.1759971050742</v>
      </c>
      <c r="DC41" s="537">
        <f>Waterfall!DC$14</f>
        <v>9339.0671459746045</v>
      </c>
      <c r="DD41" s="537">
        <f>Waterfall!DD$14</f>
        <v>9333.4126291791054</v>
      </c>
      <c r="DE41" s="537">
        <f>Waterfall!DE$14</f>
        <v>9304.4998770319035</v>
      </c>
      <c r="DF41" s="537">
        <f>Waterfall!DF$14</f>
        <v>10042.297500103878</v>
      </c>
      <c r="DG41" s="537">
        <f>Waterfall!DG$14</f>
        <v>10083.037086594606</v>
      </c>
      <c r="DH41" s="537">
        <f>Waterfall!DH$14</f>
        <v>10103.030440845592</v>
      </c>
      <c r="DI41" s="537">
        <f>Waterfall!DI$14</f>
        <v>10074.710093976457</v>
      </c>
      <c r="DJ41" s="537">
        <f>Waterfall!DJ$14</f>
        <v>9531.0000277068248</v>
      </c>
      <c r="DK41" s="537">
        <f>Waterfall!DK$14</f>
        <v>9622.5760692221538</v>
      </c>
      <c r="DL41" s="537">
        <f>Waterfall!DL$14</f>
        <v>9618.4891847043327</v>
      </c>
      <c r="DM41" s="537">
        <f>Waterfall!DM$14</f>
        <v>9590.6249782264968</v>
      </c>
      <c r="DN41" s="537">
        <f>Waterfall!DN$14</f>
        <v>9679.6513243283043</v>
      </c>
      <c r="DO41" s="537">
        <f>Waterfall!DO$14</f>
        <v>9772.3259446832872</v>
      </c>
      <c r="DP41" s="537">
        <f>Waterfall!DP$14</f>
        <v>9768.8299907587207</v>
      </c>
      <c r="DQ41" s="537">
        <f>Waterfall!DQ$14</f>
        <v>9741.3091688148925</v>
      </c>
      <c r="DR41" s="537">
        <f>Waterfall!DR$14</f>
        <v>9833.1752700445759</v>
      </c>
      <c r="DS41" s="537">
        <f>Waterfall!DS$14</f>
        <v>9926.8134161951511</v>
      </c>
      <c r="DT41" s="537">
        <f>Waterfall!DT$14</f>
        <v>9923.8082057289866</v>
      </c>
      <c r="DU41" s="537">
        <f>Waterfall!DU$14</f>
        <v>9896.5376166003607</v>
      </c>
      <c r="DV41" s="537">
        <f>Waterfall!DV$14</f>
        <v>10016.918852742816</v>
      </c>
      <c r="DW41" s="537">
        <f>Waterfall!DW$14</f>
        <v>10059.983606963106</v>
      </c>
      <c r="DX41" s="537">
        <f>Waterfall!DX$14</f>
        <v>10083.094712487115</v>
      </c>
      <c r="DY41" s="537">
        <f>Waterfall!DY$14</f>
        <v>10055.997562626802</v>
      </c>
      <c r="DZ41" s="537">
        <f>Waterfall!DZ$14</f>
        <v>10153.459517752461</v>
      </c>
      <c r="EA41" s="537">
        <f>Waterfall!EA$14</f>
        <v>10248.680194721674</v>
      </c>
      <c r="EB41" s="537">
        <f>Waterfall!EB$14</f>
        <v>10246.420544942679</v>
      </c>
      <c r="EC41" s="537">
        <f>Waterfall!EC$14</f>
        <v>10948.88102751593</v>
      </c>
      <c r="ED41" s="537">
        <f>Waterfall!ED$14</f>
        <v>2308.4176722004668</v>
      </c>
      <c r="EE41" s="537">
        <f>Waterfall!EE$14</f>
        <v>0</v>
      </c>
      <c r="EF41" s="537">
        <f>Waterfall!EF$14</f>
        <v>0</v>
      </c>
      <c r="EG41" s="537">
        <f>Waterfall!EG$14</f>
        <v>0</v>
      </c>
    </row>
    <row r="42" spans="5:137" ht="12.75">
      <c r="E42" s="538" t="str">
        <f>E$38</f>
        <v>DSRA - opening balance</v>
      </c>
      <c r="G42" s="539" t="str">
        <f>G$38</f>
        <v>EUR 000s</v>
      </c>
      <c r="H42" s="539">
        <f>H$38</f>
        <v>697187.04072008806</v>
      </c>
      <c r="J42" s="539">
        <f t="shared" si="9" ref="J42:EG42">J$38</f>
        <v>0</v>
      </c>
      <c r="K42" s="539">
        <f t="shared" si="9"/>
        <v>0</v>
      </c>
      <c r="L42" s="539">
        <f t="shared" si="9"/>
        <v>0</v>
      </c>
      <c r="M42" s="539">
        <f t="shared" si="9"/>
        <v>0</v>
      </c>
      <c r="N42" s="539">
        <f t="shared" si="9"/>
        <v>0</v>
      </c>
      <c r="O42" s="539">
        <f t="shared" si="9"/>
        <v>0</v>
      </c>
      <c r="P42" s="539">
        <f t="shared" si="9"/>
        <v>0</v>
      </c>
      <c r="Q42" s="539">
        <f t="shared" si="9"/>
        <v>0</v>
      </c>
      <c r="R42" s="539">
        <f t="shared" si="9"/>
        <v>0</v>
      </c>
      <c r="S42" s="539">
        <f t="shared" si="9"/>
        <v>0</v>
      </c>
      <c r="T42" s="539">
        <f t="shared" si="9"/>
        <v>0</v>
      </c>
      <c r="U42" s="539">
        <f t="shared" si="9"/>
        <v>0</v>
      </c>
      <c r="V42" s="539">
        <f t="shared" si="9"/>
        <v>0</v>
      </c>
      <c r="W42" s="539">
        <f t="shared" si="9"/>
        <v>0</v>
      </c>
      <c r="X42" s="539">
        <f t="shared" si="9"/>
        <v>0</v>
      </c>
      <c r="Y42" s="539">
        <f t="shared" si="9"/>
        <v>0</v>
      </c>
      <c r="Z42" s="539">
        <f t="shared" si="9"/>
        <v>0</v>
      </c>
      <c r="AA42" s="539">
        <f t="shared" si="9"/>
        <v>0</v>
      </c>
      <c r="AB42" s="539">
        <f t="shared" si="9"/>
        <v>0</v>
      </c>
      <c r="AC42" s="539">
        <f t="shared" si="9"/>
        <v>0</v>
      </c>
      <c r="AD42" s="539">
        <f t="shared" si="9"/>
        <v>0</v>
      </c>
      <c r="AE42" s="539">
        <f t="shared" si="9"/>
        <v>0</v>
      </c>
      <c r="AF42" s="539">
        <f t="shared" si="9"/>
        <v>0</v>
      </c>
      <c r="AG42" s="539">
        <f t="shared" si="9"/>
        <v>0</v>
      </c>
      <c r="AH42" s="539">
        <f t="shared" si="9"/>
        <v>8333.2746174985332</v>
      </c>
      <c r="AI42" s="539">
        <f t="shared" si="9"/>
        <v>9308.6531351756057</v>
      </c>
      <c r="AJ42" s="539">
        <f t="shared" si="9"/>
        <v>9298.2394950176858</v>
      </c>
      <c r="AK42" s="539">
        <f t="shared" si="9"/>
        <v>9337.6116506683175</v>
      </c>
      <c r="AL42" s="539">
        <f t="shared" si="9"/>
        <v>9429.7291218685914</v>
      </c>
      <c r="AM42" s="539">
        <f t="shared" si="9"/>
        <v>9472.0580695850113</v>
      </c>
      <c r="AN42" s="539">
        <f t="shared" si="9"/>
        <v>9461.5189563631629</v>
      </c>
      <c r="AO42" s="539">
        <f t="shared" si="9"/>
        <v>9501.8263636837055</v>
      </c>
      <c r="AP42" s="539">
        <f t="shared" si="9"/>
        <v>9595.4102808892349</v>
      </c>
      <c r="AQ42" s="539">
        <f t="shared" si="9"/>
        <v>9638.1449416640698</v>
      </c>
      <c r="AR42" s="539">
        <f t="shared" si="9"/>
        <v>9627.4799775801403</v>
      </c>
      <c r="AS42" s="539">
        <f t="shared" si="9"/>
        <v>9679.536016332997</v>
      </c>
      <c r="AT42" s="539">
        <f t="shared" si="9"/>
        <v>9763.8140753059997</v>
      </c>
      <c r="AU42" s="539">
        <f t="shared" si="9"/>
        <v>9796.1595279842222</v>
      </c>
      <c r="AV42" s="539">
        <f t="shared" si="9"/>
        <v>9793.9066267576272</v>
      </c>
      <c r="AW42" s="539">
        <f t="shared" si="9"/>
        <v>9836.1518034083492</v>
      </c>
      <c r="AX42" s="539">
        <f t="shared" si="9"/>
        <v>9934.9780954017842</v>
      </c>
      <c r="AY42" s="539">
        <f t="shared" si="9"/>
        <v>9978.5124212525789</v>
      </c>
      <c r="AZ42" s="539">
        <f t="shared" si="9"/>
        <v>9965.1612930804731</v>
      </c>
      <c r="BA42" s="539">
        <f t="shared" si="9"/>
        <v>9944.7298885451564</v>
      </c>
      <c r="BB42" s="539">
        <f t="shared" si="9"/>
        <v>9972.4781358472173</v>
      </c>
      <c r="BC42" s="539">
        <f t="shared" si="9"/>
        <v>9998.6118234080277</v>
      </c>
      <c r="BD42" s="539">
        <f t="shared" si="9"/>
        <v>9970.5745648815064</v>
      </c>
      <c r="BE42" s="539">
        <f t="shared" si="9"/>
        <v>9993.9780103795183</v>
      </c>
      <c r="BF42" s="539">
        <f t="shared" si="9"/>
        <v>10073.47416898013</v>
      </c>
      <c r="BG42" s="539">
        <f t="shared" si="9"/>
        <v>10102.988965730921</v>
      </c>
      <c r="BH42" s="539">
        <f t="shared" si="9"/>
        <v>10077.683309371694</v>
      </c>
      <c r="BI42" s="539">
        <f t="shared" si="9"/>
        <v>10116.091187302902</v>
      </c>
      <c r="BJ42" s="539">
        <f t="shared" si="9"/>
        <v>10188.382359693998</v>
      </c>
      <c r="BK42" s="539">
        <f t="shared" si="9"/>
        <v>10209.471318627446</v>
      </c>
      <c r="BL42" s="539">
        <f t="shared" si="9"/>
        <v>10197.714289675579</v>
      </c>
      <c r="BM42" s="539">
        <f t="shared" si="9"/>
        <v>10228.09568557579</v>
      </c>
      <c r="BN42" s="539">
        <f t="shared" si="9"/>
        <v>10315.357334076012</v>
      </c>
      <c r="BO42" s="539">
        <f t="shared" si="9"/>
        <v>10350.191466434988</v>
      </c>
      <c r="BP42" s="539">
        <f t="shared" si="9"/>
        <v>10328.987274345176</v>
      </c>
      <c r="BQ42" s="539">
        <f t="shared" si="9"/>
        <v>10415.624121569275</v>
      </c>
      <c r="BR42" s="539">
        <f t="shared" si="9"/>
        <v>10559.552974855102</v>
      </c>
      <c r="BS42" s="539">
        <f t="shared" si="9"/>
        <v>10596.479459831688</v>
      </c>
      <c r="BT42" s="539">
        <f t="shared" si="9"/>
        <v>10576.793421109882</v>
      </c>
      <c r="BU42" s="539">
        <f t="shared" si="9"/>
        <v>10473.459397795083</v>
      </c>
      <c r="BV42" s="539">
        <f t="shared" si="9"/>
        <v>10016.709456108158</v>
      </c>
      <c r="BW42" s="539">
        <f t="shared" si="9"/>
        <v>9636.2291610373613</v>
      </c>
      <c r="BX42" s="539">
        <f t="shared" si="9"/>
        <v>9601.997150678957</v>
      </c>
      <c r="BY42" s="539">
        <f t="shared" si="9"/>
        <v>9625.2865352991357</v>
      </c>
      <c r="BZ42" s="539">
        <f t="shared" si="9"/>
        <v>9683.778569263166</v>
      </c>
      <c r="CA42" s="539">
        <f t="shared" si="9"/>
        <v>9662.5293592965245</v>
      </c>
      <c r="CB42" s="539">
        <f t="shared" si="9"/>
        <v>9432.0314212886315</v>
      </c>
      <c r="CC42" s="539">
        <f t="shared" si="9"/>
        <v>9253.2529979049323</v>
      </c>
      <c r="CD42" s="539">
        <f t="shared" si="9"/>
        <v>9305.6886046067902</v>
      </c>
      <c r="CE42" s="539">
        <f t="shared" si="9"/>
        <v>9328.242598621724</v>
      </c>
      <c r="CF42" s="539">
        <f t="shared" si="9"/>
        <v>9290.6736063131902</v>
      </c>
      <c r="CG42" s="539">
        <f t="shared" si="9"/>
        <v>9287.1183551242611</v>
      </c>
      <c r="CH42" s="539">
        <f t="shared" si="9"/>
        <v>9344.8100349126944</v>
      </c>
      <c r="CI42" s="539">
        <f t="shared" si="9"/>
        <v>9369.1866302068702</v>
      </c>
      <c r="CJ42" s="539">
        <f t="shared" si="9"/>
        <v>9333.0916602598882</v>
      </c>
      <c r="CK42" s="539">
        <f t="shared" si="9"/>
        <v>9620.0621641394609</v>
      </c>
      <c r="CL42" s="539">
        <f t="shared" si="9"/>
        <v>9967.8281585778968</v>
      </c>
      <c r="CM42" s="539">
        <f t="shared" si="9"/>
        <v>9992.4293815623641</v>
      </c>
      <c r="CN42" s="539">
        <f t="shared" si="9"/>
        <v>9956.2389657101321</v>
      </c>
      <c r="CO42" s="539">
        <f t="shared" si="9"/>
        <v>9683.7890086705629</v>
      </c>
      <c r="CP42" s="539">
        <f t="shared" si="9"/>
        <v>9447.2122969783286</v>
      </c>
      <c r="CQ42" s="539">
        <f t="shared" si="9"/>
        <v>9459.8928143723988</v>
      </c>
      <c r="CR42" s="539">
        <f t="shared" si="9"/>
        <v>9437.5230352693525</v>
      </c>
      <c r="CS42" s="539">
        <f t="shared" si="9"/>
        <v>9442.1999104621646</v>
      </c>
      <c r="CT42" s="539">
        <f t="shared" si="9"/>
        <v>9508.240525704532</v>
      </c>
      <c r="CU42" s="539">
        <f t="shared" si="9"/>
        <v>9534.8898375107237</v>
      </c>
      <c r="CV42" s="539">
        <f t="shared" si="9"/>
        <v>9500.3177228280038</v>
      </c>
      <c r="CW42" s="539">
        <f t="shared" si="9"/>
        <v>9507.0838976619561</v>
      </c>
      <c r="CX42" s="539">
        <f t="shared" si="9"/>
        <v>9575.228520301549</v>
      </c>
      <c r="CY42" s="539">
        <f t="shared" si="9"/>
        <v>9601.8380683248215</v>
      </c>
      <c r="CZ42" s="539">
        <f t="shared" si="9"/>
        <v>9567.0576877281255</v>
      </c>
      <c r="DA42" s="539">
        <f t="shared" si="9"/>
        <v>4771.6969558081337</v>
      </c>
      <c r="DB42" s="539">
        <f t="shared" si="9"/>
        <v>0</v>
      </c>
      <c r="DC42" s="539">
        <f t="shared" si="9"/>
        <v>0</v>
      </c>
      <c r="DD42" s="539">
        <f t="shared" si="9"/>
        <v>0</v>
      </c>
      <c r="DE42" s="539">
        <f t="shared" si="9"/>
        <v>0</v>
      </c>
      <c r="DF42" s="539">
        <f t="shared" si="9"/>
        <v>0</v>
      </c>
      <c r="DG42" s="539">
        <f t="shared" si="9"/>
        <v>0</v>
      </c>
      <c r="DH42" s="539">
        <f t="shared" si="9"/>
        <v>0</v>
      </c>
      <c r="DI42" s="539">
        <f t="shared" si="9"/>
        <v>0</v>
      </c>
      <c r="DJ42" s="539">
        <f t="shared" si="9"/>
        <v>0</v>
      </c>
      <c r="DK42" s="539">
        <f t="shared" si="9"/>
        <v>0</v>
      </c>
      <c r="DL42" s="539">
        <f t="shared" si="9"/>
        <v>0</v>
      </c>
      <c r="DM42" s="539">
        <f t="shared" si="9"/>
        <v>0</v>
      </c>
      <c r="DN42" s="539">
        <f t="shared" si="9"/>
        <v>0</v>
      </c>
      <c r="DO42" s="539">
        <f t="shared" si="9"/>
        <v>0</v>
      </c>
      <c r="DP42" s="539">
        <f t="shared" si="9"/>
        <v>0</v>
      </c>
      <c r="DQ42" s="539">
        <f t="shared" si="9"/>
        <v>0</v>
      </c>
      <c r="DR42" s="539">
        <f t="shared" si="9"/>
        <v>0</v>
      </c>
      <c r="DS42" s="539">
        <f t="shared" si="9"/>
        <v>0</v>
      </c>
      <c r="DT42" s="539">
        <f t="shared" si="9"/>
        <v>0</v>
      </c>
      <c r="DU42" s="539">
        <f t="shared" si="9"/>
        <v>0</v>
      </c>
      <c r="DV42" s="539">
        <f t="shared" si="9"/>
        <v>0</v>
      </c>
      <c r="DW42" s="539">
        <f t="shared" si="9"/>
        <v>0</v>
      </c>
      <c r="DX42" s="539">
        <f t="shared" si="9"/>
        <v>0</v>
      </c>
      <c r="DY42" s="539">
        <f t="shared" si="9"/>
        <v>0</v>
      </c>
      <c r="DZ42" s="539">
        <f t="shared" si="9"/>
        <v>0</v>
      </c>
      <c r="EA42" s="539">
        <f t="shared" si="9"/>
        <v>0</v>
      </c>
      <c r="EB42" s="539">
        <f t="shared" si="9"/>
        <v>0</v>
      </c>
      <c r="EC42" s="539">
        <f t="shared" si="9"/>
        <v>0</v>
      </c>
      <c r="ED42" s="539">
        <f t="shared" si="9"/>
        <v>0</v>
      </c>
      <c r="EE42" s="539">
        <f t="shared" si="9"/>
        <v>0</v>
      </c>
      <c r="EF42" s="539">
        <f t="shared" si="9"/>
        <v>0</v>
      </c>
      <c r="EG42" s="539">
        <f t="shared" si="9"/>
        <v>0</v>
      </c>
    </row>
    <row r="43" spans="5:137" ht="12.75">
      <c r="E43" s="540" t="s">
        <v>368</v>
      </c>
      <c r="G43" s="541" t="s">
        <v>30</v>
      </c>
      <c r="H43" s="541">
        <f>SUM(J43:EG43)</f>
        <v>-1.8189894035458565E-12</v>
      </c>
      <c r="J43" s="541">
        <f t="shared" si="10" ref="J43:EG43">MIN(J42,J40,MAX(0,J40-J41))</f>
        <v>0</v>
      </c>
      <c r="K43" s="541">
        <f t="shared" si="10"/>
        <v>0</v>
      </c>
      <c r="L43" s="541">
        <f t="shared" si="10"/>
        <v>0</v>
      </c>
      <c r="M43" s="541">
        <f t="shared" si="10"/>
        <v>0</v>
      </c>
      <c r="N43" s="541">
        <f t="shared" si="10"/>
        <v>0</v>
      </c>
      <c r="O43" s="541">
        <f t="shared" si="10"/>
        <v>0</v>
      </c>
      <c r="P43" s="541">
        <f t="shared" si="10"/>
        <v>-1.8189894035458565E-12</v>
      </c>
      <c r="Q43" s="541">
        <f t="shared" si="10"/>
        <v>0</v>
      </c>
      <c r="R43" s="541">
        <f t="shared" si="10"/>
        <v>0</v>
      </c>
      <c r="S43" s="541">
        <f t="shared" si="10"/>
        <v>0</v>
      </c>
      <c r="T43" s="541">
        <f t="shared" si="10"/>
        <v>0</v>
      </c>
      <c r="U43" s="541">
        <f t="shared" si="10"/>
        <v>0</v>
      </c>
      <c r="V43" s="541">
        <f t="shared" si="10"/>
        <v>0</v>
      </c>
      <c r="W43" s="541">
        <f t="shared" si="10"/>
        <v>0</v>
      </c>
      <c r="X43" s="541">
        <f t="shared" si="10"/>
        <v>0</v>
      </c>
      <c r="Y43" s="541">
        <f t="shared" si="10"/>
        <v>0</v>
      </c>
      <c r="Z43" s="541">
        <f t="shared" si="10"/>
        <v>0</v>
      </c>
      <c r="AA43" s="541">
        <f t="shared" si="10"/>
        <v>0</v>
      </c>
      <c r="AB43" s="541">
        <f t="shared" si="10"/>
        <v>0</v>
      </c>
      <c r="AC43" s="541">
        <f t="shared" si="10"/>
        <v>0</v>
      </c>
      <c r="AD43" s="541">
        <f t="shared" si="10"/>
        <v>0</v>
      </c>
      <c r="AE43" s="541">
        <f t="shared" si="10"/>
        <v>0</v>
      </c>
      <c r="AF43" s="541">
        <f t="shared" si="10"/>
        <v>0</v>
      </c>
      <c r="AG43" s="541">
        <f t="shared" si="10"/>
        <v>0</v>
      </c>
      <c r="AH43" s="541">
        <f t="shared" si="10"/>
        <v>0</v>
      </c>
      <c r="AI43" s="541">
        <f t="shared" si="10"/>
        <v>0</v>
      </c>
      <c r="AJ43" s="541">
        <f t="shared" si="10"/>
        <v>0</v>
      </c>
      <c r="AK43" s="541">
        <f t="shared" si="10"/>
        <v>0</v>
      </c>
      <c r="AL43" s="541">
        <f t="shared" si="10"/>
        <v>0</v>
      </c>
      <c r="AM43" s="541">
        <f t="shared" si="10"/>
        <v>0</v>
      </c>
      <c r="AN43" s="541">
        <f t="shared" si="10"/>
        <v>0</v>
      </c>
      <c r="AO43" s="541">
        <f t="shared" si="10"/>
        <v>0</v>
      </c>
      <c r="AP43" s="541">
        <f t="shared" si="10"/>
        <v>0</v>
      </c>
      <c r="AQ43" s="541">
        <f t="shared" si="10"/>
        <v>0</v>
      </c>
      <c r="AR43" s="541">
        <f t="shared" si="10"/>
        <v>0</v>
      </c>
      <c r="AS43" s="541">
        <f t="shared" si="10"/>
        <v>0</v>
      </c>
      <c r="AT43" s="541">
        <f t="shared" si="10"/>
        <v>0</v>
      </c>
      <c r="AU43" s="541">
        <f t="shared" si="10"/>
        <v>0</v>
      </c>
      <c r="AV43" s="541">
        <f t="shared" si="10"/>
        <v>0</v>
      </c>
      <c r="AW43" s="541">
        <f t="shared" si="10"/>
        <v>0</v>
      </c>
      <c r="AX43" s="541">
        <f t="shared" si="10"/>
        <v>0</v>
      </c>
      <c r="AY43" s="541">
        <f t="shared" si="10"/>
        <v>0</v>
      </c>
      <c r="AZ43" s="541">
        <f t="shared" si="10"/>
        <v>0</v>
      </c>
      <c r="BA43" s="541">
        <f t="shared" si="10"/>
        <v>0</v>
      </c>
      <c r="BB43" s="541">
        <f t="shared" si="10"/>
        <v>0</v>
      </c>
      <c r="BC43" s="541">
        <f t="shared" si="10"/>
        <v>0</v>
      </c>
      <c r="BD43" s="541">
        <f t="shared" si="10"/>
        <v>0</v>
      </c>
      <c r="BE43" s="541">
        <f t="shared" si="10"/>
        <v>0</v>
      </c>
      <c r="BF43" s="541">
        <f t="shared" si="10"/>
        <v>0</v>
      </c>
      <c r="BG43" s="541">
        <f t="shared" si="10"/>
        <v>0</v>
      </c>
      <c r="BH43" s="541">
        <f t="shared" si="10"/>
        <v>0</v>
      </c>
      <c r="BI43" s="541">
        <f t="shared" si="10"/>
        <v>0</v>
      </c>
      <c r="BJ43" s="541">
        <f t="shared" si="10"/>
        <v>0</v>
      </c>
      <c r="BK43" s="541">
        <f t="shared" si="10"/>
        <v>0</v>
      </c>
      <c r="BL43" s="541">
        <f t="shared" si="10"/>
        <v>0</v>
      </c>
      <c r="BM43" s="541">
        <f t="shared" si="10"/>
        <v>0</v>
      </c>
      <c r="BN43" s="541">
        <f t="shared" si="10"/>
        <v>0</v>
      </c>
      <c r="BO43" s="541">
        <f t="shared" si="10"/>
        <v>0</v>
      </c>
      <c r="BP43" s="541">
        <f t="shared" si="10"/>
        <v>0</v>
      </c>
      <c r="BQ43" s="541">
        <f t="shared" si="10"/>
        <v>0</v>
      </c>
      <c r="BR43" s="541">
        <f t="shared" si="10"/>
        <v>0</v>
      </c>
      <c r="BS43" s="541">
        <f t="shared" si="10"/>
        <v>0</v>
      </c>
      <c r="BT43" s="541">
        <f t="shared" si="10"/>
        <v>0</v>
      </c>
      <c r="BU43" s="541">
        <f t="shared" si="10"/>
        <v>0</v>
      </c>
      <c r="BV43" s="541">
        <f t="shared" si="10"/>
        <v>0</v>
      </c>
      <c r="BW43" s="541">
        <f t="shared" si="10"/>
        <v>0</v>
      </c>
      <c r="BX43" s="541">
        <f t="shared" si="10"/>
        <v>0</v>
      </c>
      <c r="BY43" s="541">
        <f t="shared" si="10"/>
        <v>0</v>
      </c>
      <c r="BZ43" s="541">
        <f t="shared" si="10"/>
        <v>0</v>
      </c>
      <c r="CA43" s="541">
        <f t="shared" si="10"/>
        <v>0</v>
      </c>
      <c r="CB43" s="541">
        <f t="shared" si="10"/>
        <v>0</v>
      </c>
      <c r="CC43" s="541">
        <f t="shared" si="10"/>
        <v>0</v>
      </c>
      <c r="CD43" s="541">
        <f t="shared" si="10"/>
        <v>0</v>
      </c>
      <c r="CE43" s="541">
        <f t="shared" si="10"/>
        <v>0</v>
      </c>
      <c r="CF43" s="541">
        <f t="shared" si="10"/>
        <v>0</v>
      </c>
      <c r="CG43" s="541">
        <f t="shared" si="10"/>
        <v>0</v>
      </c>
      <c r="CH43" s="541">
        <f t="shared" si="10"/>
        <v>0</v>
      </c>
      <c r="CI43" s="541">
        <f t="shared" si="10"/>
        <v>0</v>
      </c>
      <c r="CJ43" s="541">
        <f t="shared" si="10"/>
        <v>0</v>
      </c>
      <c r="CK43" s="541">
        <f t="shared" si="10"/>
        <v>0</v>
      </c>
      <c r="CL43" s="541">
        <f t="shared" si="10"/>
        <v>0</v>
      </c>
      <c r="CM43" s="541">
        <f t="shared" si="10"/>
        <v>0</v>
      </c>
      <c r="CN43" s="541">
        <f t="shared" si="10"/>
        <v>0</v>
      </c>
      <c r="CO43" s="541">
        <f t="shared" si="10"/>
        <v>0</v>
      </c>
      <c r="CP43" s="541">
        <f t="shared" si="10"/>
        <v>0</v>
      </c>
      <c r="CQ43" s="541">
        <f t="shared" si="10"/>
        <v>0</v>
      </c>
      <c r="CR43" s="541">
        <f t="shared" si="10"/>
        <v>0</v>
      </c>
      <c r="CS43" s="541">
        <f t="shared" si="10"/>
        <v>0</v>
      </c>
      <c r="CT43" s="541">
        <f t="shared" si="10"/>
        <v>0</v>
      </c>
      <c r="CU43" s="541">
        <f t="shared" si="10"/>
        <v>0</v>
      </c>
      <c r="CV43" s="541">
        <f t="shared" si="10"/>
        <v>0</v>
      </c>
      <c r="CW43" s="541">
        <f t="shared" si="10"/>
        <v>0</v>
      </c>
      <c r="CX43" s="541">
        <f t="shared" si="10"/>
        <v>0</v>
      </c>
      <c r="CY43" s="541">
        <f t="shared" si="10"/>
        <v>0</v>
      </c>
      <c r="CZ43" s="541">
        <f t="shared" si="10"/>
        <v>0</v>
      </c>
      <c r="DA43" s="541">
        <f t="shared" si="10"/>
        <v>0</v>
      </c>
      <c r="DB43" s="541">
        <f t="shared" si="10"/>
        <v>0</v>
      </c>
      <c r="DC43" s="541">
        <f t="shared" si="10"/>
        <v>0</v>
      </c>
      <c r="DD43" s="541">
        <f t="shared" si="10"/>
        <v>0</v>
      </c>
      <c r="DE43" s="541">
        <f t="shared" si="10"/>
        <v>0</v>
      </c>
      <c r="DF43" s="541">
        <f t="shared" si="10"/>
        <v>0</v>
      </c>
      <c r="DG43" s="541">
        <f t="shared" si="10"/>
        <v>0</v>
      </c>
      <c r="DH43" s="541">
        <f t="shared" si="10"/>
        <v>0</v>
      </c>
      <c r="DI43" s="541">
        <f t="shared" si="10"/>
        <v>0</v>
      </c>
      <c r="DJ43" s="541">
        <f t="shared" si="10"/>
        <v>0</v>
      </c>
      <c r="DK43" s="541">
        <f t="shared" si="10"/>
        <v>0</v>
      </c>
      <c r="DL43" s="541">
        <f t="shared" si="10"/>
        <v>0</v>
      </c>
      <c r="DM43" s="541">
        <f t="shared" si="10"/>
        <v>0</v>
      </c>
      <c r="DN43" s="541">
        <f t="shared" si="10"/>
        <v>0</v>
      </c>
      <c r="DO43" s="541">
        <f t="shared" si="10"/>
        <v>0</v>
      </c>
      <c r="DP43" s="541">
        <f t="shared" si="10"/>
        <v>0</v>
      </c>
      <c r="DQ43" s="541">
        <f t="shared" si="10"/>
        <v>0</v>
      </c>
      <c r="DR43" s="541">
        <f t="shared" si="10"/>
        <v>0</v>
      </c>
      <c r="DS43" s="541">
        <f t="shared" si="10"/>
        <v>0</v>
      </c>
      <c r="DT43" s="541">
        <f t="shared" si="10"/>
        <v>0</v>
      </c>
      <c r="DU43" s="541">
        <f t="shared" si="10"/>
        <v>0</v>
      </c>
      <c r="DV43" s="541">
        <f t="shared" si="10"/>
        <v>0</v>
      </c>
      <c r="DW43" s="541">
        <f t="shared" si="10"/>
        <v>0</v>
      </c>
      <c r="DX43" s="541">
        <f t="shared" si="10"/>
        <v>0</v>
      </c>
      <c r="DY43" s="541">
        <f t="shared" si="10"/>
        <v>0</v>
      </c>
      <c r="DZ43" s="541">
        <f t="shared" si="10"/>
        <v>0</v>
      </c>
      <c r="EA43" s="541">
        <f t="shared" si="10"/>
        <v>0</v>
      </c>
      <c r="EB43" s="541">
        <f t="shared" si="10"/>
        <v>0</v>
      </c>
      <c r="EC43" s="541">
        <f t="shared" si="10"/>
        <v>0</v>
      </c>
      <c r="ED43" s="541">
        <f t="shared" si="10"/>
        <v>0</v>
      </c>
      <c r="EE43" s="541">
        <f t="shared" si="10"/>
        <v>0</v>
      </c>
      <c r="EF43" s="541">
        <f t="shared" si="10"/>
        <v>0</v>
      </c>
      <c r="EG43" s="541">
        <f t="shared" si="10"/>
        <v>0</v>
      </c>
    </row>
    <row r="45" spans="5:137" ht="12.75">
      <c r="E45" s="538" t="str">
        <f>E$23</f>
        <v>DSRA - initial funding at construction end</v>
      </c>
      <c r="G45" s="539" t="str">
        <f>G$23</f>
        <v>EUR 000s</v>
      </c>
      <c r="H45" s="539">
        <f>H$23</f>
        <v>8333.2746174985332</v>
      </c>
      <c r="J45" s="539">
        <f t="shared" si="11" ref="J45:EG45">J$23</f>
        <v>0</v>
      </c>
      <c r="K45" s="539">
        <f t="shared" si="11"/>
        <v>0</v>
      </c>
      <c r="L45" s="539">
        <f t="shared" si="11"/>
        <v>0</v>
      </c>
      <c r="M45" s="539">
        <f t="shared" si="11"/>
        <v>0</v>
      </c>
      <c r="N45" s="539">
        <f t="shared" si="11"/>
        <v>0</v>
      </c>
      <c r="O45" s="539">
        <f t="shared" si="11"/>
        <v>0</v>
      </c>
      <c r="P45" s="539">
        <f t="shared" si="11"/>
        <v>0</v>
      </c>
      <c r="Q45" s="539">
        <f t="shared" si="11"/>
        <v>0</v>
      </c>
      <c r="R45" s="539">
        <f t="shared" si="11"/>
        <v>0</v>
      </c>
      <c r="S45" s="539">
        <f t="shared" si="11"/>
        <v>0</v>
      </c>
      <c r="T45" s="539">
        <f t="shared" si="11"/>
        <v>0</v>
      </c>
      <c r="U45" s="539">
        <f t="shared" si="11"/>
        <v>0</v>
      </c>
      <c r="V45" s="539">
        <f t="shared" si="11"/>
        <v>0</v>
      </c>
      <c r="W45" s="539">
        <f t="shared" si="11"/>
        <v>0</v>
      </c>
      <c r="X45" s="539">
        <f t="shared" si="11"/>
        <v>0</v>
      </c>
      <c r="Y45" s="539">
        <f t="shared" si="11"/>
        <v>0</v>
      </c>
      <c r="Z45" s="539">
        <f t="shared" si="11"/>
        <v>0</v>
      </c>
      <c r="AA45" s="539">
        <f t="shared" si="11"/>
        <v>0</v>
      </c>
      <c r="AB45" s="539">
        <f t="shared" si="11"/>
        <v>0</v>
      </c>
      <c r="AC45" s="539">
        <f t="shared" si="11"/>
        <v>0</v>
      </c>
      <c r="AD45" s="539">
        <f t="shared" si="11"/>
        <v>0</v>
      </c>
      <c r="AE45" s="539">
        <f t="shared" si="11"/>
        <v>0</v>
      </c>
      <c r="AF45" s="539">
        <f t="shared" si="11"/>
        <v>0</v>
      </c>
      <c r="AG45" s="539">
        <f t="shared" si="11"/>
        <v>8333.2746174985332</v>
      </c>
      <c r="AH45" s="539">
        <f t="shared" si="11"/>
        <v>0</v>
      </c>
      <c r="AI45" s="539">
        <f t="shared" si="11"/>
        <v>0</v>
      </c>
      <c r="AJ45" s="539">
        <f t="shared" si="11"/>
        <v>0</v>
      </c>
      <c r="AK45" s="539">
        <f t="shared" si="11"/>
        <v>0</v>
      </c>
      <c r="AL45" s="539">
        <f t="shared" si="11"/>
        <v>0</v>
      </c>
      <c r="AM45" s="539">
        <f t="shared" si="11"/>
        <v>0</v>
      </c>
      <c r="AN45" s="539">
        <f t="shared" si="11"/>
        <v>0</v>
      </c>
      <c r="AO45" s="539">
        <f t="shared" si="11"/>
        <v>0</v>
      </c>
      <c r="AP45" s="539">
        <f t="shared" si="11"/>
        <v>0</v>
      </c>
      <c r="AQ45" s="539">
        <f t="shared" si="11"/>
        <v>0</v>
      </c>
      <c r="AR45" s="539">
        <f t="shared" si="11"/>
        <v>0</v>
      </c>
      <c r="AS45" s="539">
        <f t="shared" si="11"/>
        <v>0</v>
      </c>
      <c r="AT45" s="539">
        <f t="shared" si="11"/>
        <v>0</v>
      </c>
      <c r="AU45" s="539">
        <f t="shared" si="11"/>
        <v>0</v>
      </c>
      <c r="AV45" s="539">
        <f t="shared" si="11"/>
        <v>0</v>
      </c>
      <c r="AW45" s="539">
        <f t="shared" si="11"/>
        <v>0</v>
      </c>
      <c r="AX45" s="539">
        <f t="shared" si="11"/>
        <v>0</v>
      </c>
      <c r="AY45" s="539">
        <f t="shared" si="11"/>
        <v>0</v>
      </c>
      <c r="AZ45" s="539">
        <f t="shared" si="11"/>
        <v>0</v>
      </c>
      <c r="BA45" s="539">
        <f t="shared" si="11"/>
        <v>0</v>
      </c>
      <c r="BB45" s="539">
        <f t="shared" si="11"/>
        <v>0</v>
      </c>
      <c r="BC45" s="539">
        <f t="shared" si="11"/>
        <v>0</v>
      </c>
      <c r="BD45" s="539">
        <f t="shared" si="11"/>
        <v>0</v>
      </c>
      <c r="BE45" s="539">
        <f t="shared" si="11"/>
        <v>0</v>
      </c>
      <c r="BF45" s="539">
        <f t="shared" si="11"/>
        <v>0</v>
      </c>
      <c r="BG45" s="539">
        <f t="shared" si="11"/>
        <v>0</v>
      </c>
      <c r="BH45" s="539">
        <f t="shared" si="11"/>
        <v>0</v>
      </c>
      <c r="BI45" s="539">
        <f t="shared" si="11"/>
        <v>0</v>
      </c>
      <c r="BJ45" s="539">
        <f t="shared" si="11"/>
        <v>0</v>
      </c>
      <c r="BK45" s="539">
        <f t="shared" si="11"/>
        <v>0</v>
      </c>
      <c r="BL45" s="539">
        <f t="shared" si="11"/>
        <v>0</v>
      </c>
      <c r="BM45" s="539">
        <f t="shared" si="11"/>
        <v>0</v>
      </c>
      <c r="BN45" s="539">
        <f t="shared" si="11"/>
        <v>0</v>
      </c>
      <c r="BO45" s="539">
        <f t="shared" si="11"/>
        <v>0</v>
      </c>
      <c r="BP45" s="539">
        <f t="shared" si="11"/>
        <v>0</v>
      </c>
      <c r="BQ45" s="539">
        <f t="shared" si="11"/>
        <v>0</v>
      </c>
      <c r="BR45" s="539">
        <f t="shared" si="11"/>
        <v>0</v>
      </c>
      <c r="BS45" s="539">
        <f t="shared" si="11"/>
        <v>0</v>
      </c>
      <c r="BT45" s="539">
        <f t="shared" si="11"/>
        <v>0</v>
      </c>
      <c r="BU45" s="539">
        <f t="shared" si="11"/>
        <v>0</v>
      </c>
      <c r="BV45" s="539">
        <f t="shared" si="11"/>
        <v>0</v>
      </c>
      <c r="BW45" s="539">
        <f t="shared" si="11"/>
        <v>0</v>
      </c>
      <c r="BX45" s="539">
        <f t="shared" si="11"/>
        <v>0</v>
      </c>
      <c r="BY45" s="539">
        <f t="shared" si="11"/>
        <v>0</v>
      </c>
      <c r="BZ45" s="539">
        <f t="shared" si="11"/>
        <v>0</v>
      </c>
      <c r="CA45" s="539">
        <f t="shared" si="11"/>
        <v>0</v>
      </c>
      <c r="CB45" s="539">
        <f t="shared" si="11"/>
        <v>0</v>
      </c>
      <c r="CC45" s="539">
        <f t="shared" si="11"/>
        <v>0</v>
      </c>
      <c r="CD45" s="539">
        <f t="shared" si="11"/>
        <v>0</v>
      </c>
      <c r="CE45" s="539">
        <f t="shared" si="11"/>
        <v>0</v>
      </c>
      <c r="CF45" s="539">
        <f t="shared" si="11"/>
        <v>0</v>
      </c>
      <c r="CG45" s="539">
        <f t="shared" si="11"/>
        <v>0</v>
      </c>
      <c r="CH45" s="539">
        <f t="shared" si="11"/>
        <v>0</v>
      </c>
      <c r="CI45" s="539">
        <f t="shared" si="11"/>
        <v>0</v>
      </c>
      <c r="CJ45" s="539">
        <f t="shared" si="11"/>
        <v>0</v>
      </c>
      <c r="CK45" s="539">
        <f t="shared" si="11"/>
        <v>0</v>
      </c>
      <c r="CL45" s="539">
        <f t="shared" si="11"/>
        <v>0</v>
      </c>
      <c r="CM45" s="539">
        <f t="shared" si="11"/>
        <v>0</v>
      </c>
      <c r="CN45" s="539">
        <f t="shared" si="11"/>
        <v>0</v>
      </c>
      <c r="CO45" s="539">
        <f t="shared" si="11"/>
        <v>0</v>
      </c>
      <c r="CP45" s="539">
        <f t="shared" si="11"/>
        <v>0</v>
      </c>
      <c r="CQ45" s="539">
        <f t="shared" si="11"/>
        <v>0</v>
      </c>
      <c r="CR45" s="539">
        <f t="shared" si="11"/>
        <v>0</v>
      </c>
      <c r="CS45" s="539">
        <f t="shared" si="11"/>
        <v>0</v>
      </c>
      <c r="CT45" s="539">
        <f t="shared" si="11"/>
        <v>0</v>
      </c>
      <c r="CU45" s="539">
        <f t="shared" si="11"/>
        <v>0</v>
      </c>
      <c r="CV45" s="539">
        <f t="shared" si="11"/>
        <v>0</v>
      </c>
      <c r="CW45" s="539">
        <f t="shared" si="11"/>
        <v>0</v>
      </c>
      <c r="CX45" s="539">
        <f t="shared" si="11"/>
        <v>0</v>
      </c>
      <c r="CY45" s="539">
        <f t="shared" si="11"/>
        <v>0</v>
      </c>
      <c r="CZ45" s="539">
        <f t="shared" si="11"/>
        <v>0</v>
      </c>
      <c r="DA45" s="539">
        <f t="shared" si="11"/>
        <v>0</v>
      </c>
      <c r="DB45" s="539">
        <f t="shared" si="11"/>
        <v>0</v>
      </c>
      <c r="DC45" s="539">
        <f t="shared" si="11"/>
        <v>0</v>
      </c>
      <c r="DD45" s="539">
        <f t="shared" si="11"/>
        <v>0</v>
      </c>
      <c r="DE45" s="539">
        <f t="shared" si="11"/>
        <v>0</v>
      </c>
      <c r="DF45" s="539">
        <f t="shared" si="11"/>
        <v>0</v>
      </c>
      <c r="DG45" s="539">
        <f t="shared" si="11"/>
        <v>0</v>
      </c>
      <c r="DH45" s="539">
        <f t="shared" si="11"/>
        <v>0</v>
      </c>
      <c r="DI45" s="539">
        <f t="shared" si="11"/>
        <v>0</v>
      </c>
      <c r="DJ45" s="539">
        <f t="shared" si="11"/>
        <v>0</v>
      </c>
      <c r="DK45" s="539">
        <f t="shared" si="11"/>
        <v>0</v>
      </c>
      <c r="DL45" s="539">
        <f t="shared" si="11"/>
        <v>0</v>
      </c>
      <c r="DM45" s="539">
        <f t="shared" si="11"/>
        <v>0</v>
      </c>
      <c r="DN45" s="539">
        <f t="shared" si="11"/>
        <v>0</v>
      </c>
      <c r="DO45" s="539">
        <f t="shared" si="11"/>
        <v>0</v>
      </c>
      <c r="DP45" s="539">
        <f t="shared" si="11"/>
        <v>0</v>
      </c>
      <c r="DQ45" s="539">
        <f t="shared" si="11"/>
        <v>0</v>
      </c>
      <c r="DR45" s="539">
        <f t="shared" si="11"/>
        <v>0</v>
      </c>
      <c r="DS45" s="539">
        <f t="shared" si="11"/>
        <v>0</v>
      </c>
      <c r="DT45" s="539">
        <f t="shared" si="11"/>
        <v>0</v>
      </c>
      <c r="DU45" s="539">
        <f t="shared" si="11"/>
        <v>0</v>
      </c>
      <c r="DV45" s="539">
        <f t="shared" si="11"/>
        <v>0</v>
      </c>
      <c r="DW45" s="539">
        <f t="shared" si="11"/>
        <v>0</v>
      </c>
      <c r="DX45" s="539">
        <f t="shared" si="11"/>
        <v>0</v>
      </c>
      <c r="DY45" s="539">
        <f t="shared" si="11"/>
        <v>0</v>
      </c>
      <c r="DZ45" s="539">
        <f t="shared" si="11"/>
        <v>0</v>
      </c>
      <c r="EA45" s="539">
        <f t="shared" si="11"/>
        <v>0</v>
      </c>
      <c r="EB45" s="539">
        <f t="shared" si="11"/>
        <v>0</v>
      </c>
      <c r="EC45" s="539">
        <f t="shared" si="11"/>
        <v>0</v>
      </c>
      <c r="ED45" s="539">
        <f t="shared" si="11"/>
        <v>0</v>
      </c>
      <c r="EE45" s="539">
        <f t="shared" si="11"/>
        <v>0</v>
      </c>
      <c r="EF45" s="539">
        <f t="shared" si="11"/>
        <v>0</v>
      </c>
      <c r="EG45" s="539">
        <f t="shared" si="11"/>
        <v>0</v>
      </c>
    </row>
    <row r="46" spans="5:137" ht="12.75">
      <c r="E46" s="538" t="str">
        <f>E$38</f>
        <v>DSRA - opening balance</v>
      </c>
      <c r="G46" s="539" t="str">
        <f>G$38</f>
        <v>EUR 000s</v>
      </c>
      <c r="H46" s="539">
        <f>H$38</f>
        <v>697187.04072008806</v>
      </c>
      <c r="J46" s="539">
        <f t="shared" si="12" ref="J46:EG46">J$38</f>
        <v>0</v>
      </c>
      <c r="K46" s="539">
        <f t="shared" si="12"/>
        <v>0</v>
      </c>
      <c r="L46" s="539">
        <f t="shared" si="12"/>
        <v>0</v>
      </c>
      <c r="M46" s="539">
        <f t="shared" si="12"/>
        <v>0</v>
      </c>
      <c r="N46" s="539">
        <f t="shared" si="12"/>
        <v>0</v>
      </c>
      <c r="O46" s="539">
        <f t="shared" si="12"/>
        <v>0</v>
      </c>
      <c r="P46" s="539">
        <f t="shared" si="12"/>
        <v>0</v>
      </c>
      <c r="Q46" s="539">
        <f t="shared" si="12"/>
        <v>0</v>
      </c>
      <c r="R46" s="539">
        <f t="shared" si="12"/>
        <v>0</v>
      </c>
      <c r="S46" s="539">
        <f t="shared" si="12"/>
        <v>0</v>
      </c>
      <c r="T46" s="539">
        <f t="shared" si="12"/>
        <v>0</v>
      </c>
      <c r="U46" s="539">
        <f t="shared" si="12"/>
        <v>0</v>
      </c>
      <c r="V46" s="539">
        <f t="shared" si="12"/>
        <v>0</v>
      </c>
      <c r="W46" s="539">
        <f t="shared" si="12"/>
        <v>0</v>
      </c>
      <c r="X46" s="539">
        <f t="shared" si="12"/>
        <v>0</v>
      </c>
      <c r="Y46" s="539">
        <f t="shared" si="12"/>
        <v>0</v>
      </c>
      <c r="Z46" s="539">
        <f t="shared" si="12"/>
        <v>0</v>
      </c>
      <c r="AA46" s="539">
        <f t="shared" si="12"/>
        <v>0</v>
      </c>
      <c r="AB46" s="539">
        <f t="shared" si="12"/>
        <v>0</v>
      </c>
      <c r="AC46" s="539">
        <f t="shared" si="12"/>
        <v>0</v>
      </c>
      <c r="AD46" s="539">
        <f t="shared" si="12"/>
        <v>0</v>
      </c>
      <c r="AE46" s="539">
        <f t="shared" si="12"/>
        <v>0</v>
      </c>
      <c r="AF46" s="539">
        <f t="shared" si="12"/>
        <v>0</v>
      </c>
      <c r="AG46" s="539">
        <f t="shared" si="12"/>
        <v>0</v>
      </c>
      <c r="AH46" s="539">
        <f t="shared" si="12"/>
        <v>8333.2746174985332</v>
      </c>
      <c r="AI46" s="539">
        <f t="shared" si="12"/>
        <v>9308.6531351756057</v>
      </c>
      <c r="AJ46" s="539">
        <f t="shared" si="12"/>
        <v>9298.2394950176858</v>
      </c>
      <c r="AK46" s="539">
        <f t="shared" si="12"/>
        <v>9337.6116506683175</v>
      </c>
      <c r="AL46" s="539">
        <f t="shared" si="12"/>
        <v>9429.7291218685914</v>
      </c>
      <c r="AM46" s="539">
        <f t="shared" si="12"/>
        <v>9472.0580695850113</v>
      </c>
      <c r="AN46" s="539">
        <f t="shared" si="12"/>
        <v>9461.5189563631629</v>
      </c>
      <c r="AO46" s="539">
        <f t="shared" si="12"/>
        <v>9501.8263636837055</v>
      </c>
      <c r="AP46" s="539">
        <f t="shared" si="12"/>
        <v>9595.4102808892349</v>
      </c>
      <c r="AQ46" s="539">
        <f t="shared" si="12"/>
        <v>9638.1449416640698</v>
      </c>
      <c r="AR46" s="539">
        <f t="shared" si="12"/>
        <v>9627.4799775801403</v>
      </c>
      <c r="AS46" s="539">
        <f t="shared" si="12"/>
        <v>9679.536016332997</v>
      </c>
      <c r="AT46" s="539">
        <f t="shared" si="12"/>
        <v>9763.8140753059997</v>
      </c>
      <c r="AU46" s="539">
        <f t="shared" si="12"/>
        <v>9796.1595279842222</v>
      </c>
      <c r="AV46" s="539">
        <f t="shared" si="12"/>
        <v>9793.9066267576272</v>
      </c>
      <c r="AW46" s="539">
        <f t="shared" si="12"/>
        <v>9836.1518034083492</v>
      </c>
      <c r="AX46" s="539">
        <f t="shared" si="12"/>
        <v>9934.9780954017842</v>
      </c>
      <c r="AY46" s="539">
        <f t="shared" si="12"/>
        <v>9978.5124212525789</v>
      </c>
      <c r="AZ46" s="539">
        <f t="shared" si="12"/>
        <v>9965.1612930804731</v>
      </c>
      <c r="BA46" s="539">
        <f t="shared" si="12"/>
        <v>9944.7298885451564</v>
      </c>
      <c r="BB46" s="539">
        <f t="shared" si="12"/>
        <v>9972.4781358472173</v>
      </c>
      <c r="BC46" s="539">
        <f t="shared" si="12"/>
        <v>9998.6118234080277</v>
      </c>
      <c r="BD46" s="539">
        <f t="shared" si="12"/>
        <v>9970.5745648815064</v>
      </c>
      <c r="BE46" s="539">
        <f t="shared" si="12"/>
        <v>9993.9780103795183</v>
      </c>
      <c r="BF46" s="539">
        <f t="shared" si="12"/>
        <v>10073.47416898013</v>
      </c>
      <c r="BG46" s="539">
        <f t="shared" si="12"/>
        <v>10102.988965730921</v>
      </c>
      <c r="BH46" s="539">
        <f t="shared" si="12"/>
        <v>10077.683309371694</v>
      </c>
      <c r="BI46" s="539">
        <f t="shared" si="12"/>
        <v>10116.091187302902</v>
      </c>
      <c r="BJ46" s="539">
        <f t="shared" si="12"/>
        <v>10188.382359693998</v>
      </c>
      <c r="BK46" s="539">
        <f t="shared" si="12"/>
        <v>10209.471318627446</v>
      </c>
      <c r="BL46" s="539">
        <f t="shared" si="12"/>
        <v>10197.714289675579</v>
      </c>
      <c r="BM46" s="539">
        <f t="shared" si="12"/>
        <v>10228.09568557579</v>
      </c>
      <c r="BN46" s="539">
        <f t="shared" si="12"/>
        <v>10315.357334076012</v>
      </c>
      <c r="BO46" s="539">
        <f t="shared" si="12"/>
        <v>10350.191466434988</v>
      </c>
      <c r="BP46" s="539">
        <f t="shared" si="12"/>
        <v>10328.987274345176</v>
      </c>
      <c r="BQ46" s="539">
        <f t="shared" si="12"/>
        <v>10415.624121569275</v>
      </c>
      <c r="BR46" s="539">
        <f t="shared" si="12"/>
        <v>10559.552974855102</v>
      </c>
      <c r="BS46" s="539">
        <f t="shared" si="12"/>
        <v>10596.479459831688</v>
      </c>
      <c r="BT46" s="539">
        <f t="shared" si="12"/>
        <v>10576.793421109882</v>
      </c>
      <c r="BU46" s="539">
        <f t="shared" si="12"/>
        <v>10473.459397795083</v>
      </c>
      <c r="BV46" s="539">
        <f t="shared" si="12"/>
        <v>10016.709456108158</v>
      </c>
      <c r="BW46" s="539">
        <f t="shared" si="12"/>
        <v>9636.2291610373613</v>
      </c>
      <c r="BX46" s="539">
        <f t="shared" si="12"/>
        <v>9601.997150678957</v>
      </c>
      <c r="BY46" s="539">
        <f t="shared" si="12"/>
        <v>9625.2865352991357</v>
      </c>
      <c r="BZ46" s="539">
        <f t="shared" si="12"/>
        <v>9683.778569263166</v>
      </c>
      <c r="CA46" s="539">
        <f t="shared" si="12"/>
        <v>9662.5293592965245</v>
      </c>
      <c r="CB46" s="539">
        <f t="shared" si="12"/>
        <v>9432.0314212886315</v>
      </c>
      <c r="CC46" s="539">
        <f t="shared" si="12"/>
        <v>9253.2529979049323</v>
      </c>
      <c r="CD46" s="539">
        <f t="shared" si="12"/>
        <v>9305.6886046067902</v>
      </c>
      <c r="CE46" s="539">
        <f t="shared" si="12"/>
        <v>9328.242598621724</v>
      </c>
      <c r="CF46" s="539">
        <f t="shared" si="12"/>
        <v>9290.6736063131902</v>
      </c>
      <c r="CG46" s="539">
        <f t="shared" si="12"/>
        <v>9287.1183551242611</v>
      </c>
      <c r="CH46" s="539">
        <f t="shared" si="12"/>
        <v>9344.8100349126944</v>
      </c>
      <c r="CI46" s="539">
        <f t="shared" si="12"/>
        <v>9369.1866302068702</v>
      </c>
      <c r="CJ46" s="539">
        <f t="shared" si="12"/>
        <v>9333.0916602598882</v>
      </c>
      <c r="CK46" s="539">
        <f t="shared" si="12"/>
        <v>9620.0621641394609</v>
      </c>
      <c r="CL46" s="539">
        <f t="shared" si="12"/>
        <v>9967.8281585778968</v>
      </c>
      <c r="CM46" s="539">
        <f t="shared" si="12"/>
        <v>9992.4293815623641</v>
      </c>
      <c r="CN46" s="539">
        <f t="shared" si="12"/>
        <v>9956.2389657101321</v>
      </c>
      <c r="CO46" s="539">
        <f t="shared" si="12"/>
        <v>9683.7890086705629</v>
      </c>
      <c r="CP46" s="539">
        <f t="shared" si="12"/>
        <v>9447.2122969783286</v>
      </c>
      <c r="CQ46" s="539">
        <f t="shared" si="12"/>
        <v>9459.8928143723988</v>
      </c>
      <c r="CR46" s="539">
        <f t="shared" si="12"/>
        <v>9437.5230352693525</v>
      </c>
      <c r="CS46" s="539">
        <f t="shared" si="12"/>
        <v>9442.1999104621646</v>
      </c>
      <c r="CT46" s="539">
        <f t="shared" si="12"/>
        <v>9508.240525704532</v>
      </c>
      <c r="CU46" s="539">
        <f t="shared" si="12"/>
        <v>9534.8898375107237</v>
      </c>
      <c r="CV46" s="539">
        <f t="shared" si="12"/>
        <v>9500.3177228280038</v>
      </c>
      <c r="CW46" s="539">
        <f t="shared" si="12"/>
        <v>9507.0838976619561</v>
      </c>
      <c r="CX46" s="539">
        <f t="shared" si="12"/>
        <v>9575.228520301549</v>
      </c>
      <c r="CY46" s="539">
        <f t="shared" si="12"/>
        <v>9601.8380683248215</v>
      </c>
      <c r="CZ46" s="539">
        <f t="shared" si="12"/>
        <v>9567.0576877281255</v>
      </c>
      <c r="DA46" s="539">
        <f t="shared" si="12"/>
        <v>4771.6969558081337</v>
      </c>
      <c r="DB46" s="539">
        <f t="shared" si="12"/>
        <v>0</v>
      </c>
      <c r="DC46" s="539">
        <f t="shared" si="12"/>
        <v>0</v>
      </c>
      <c r="DD46" s="539">
        <f t="shared" si="12"/>
        <v>0</v>
      </c>
      <c r="DE46" s="539">
        <f t="shared" si="12"/>
        <v>0</v>
      </c>
      <c r="DF46" s="539">
        <f t="shared" si="12"/>
        <v>0</v>
      </c>
      <c r="DG46" s="539">
        <f t="shared" si="12"/>
        <v>0</v>
      </c>
      <c r="DH46" s="539">
        <f t="shared" si="12"/>
        <v>0</v>
      </c>
      <c r="DI46" s="539">
        <f t="shared" si="12"/>
        <v>0</v>
      </c>
      <c r="DJ46" s="539">
        <f t="shared" si="12"/>
        <v>0</v>
      </c>
      <c r="DK46" s="539">
        <f t="shared" si="12"/>
        <v>0</v>
      </c>
      <c r="DL46" s="539">
        <f t="shared" si="12"/>
        <v>0</v>
      </c>
      <c r="DM46" s="539">
        <f t="shared" si="12"/>
        <v>0</v>
      </c>
      <c r="DN46" s="539">
        <f t="shared" si="12"/>
        <v>0</v>
      </c>
      <c r="DO46" s="539">
        <f t="shared" si="12"/>
        <v>0</v>
      </c>
      <c r="DP46" s="539">
        <f t="shared" si="12"/>
        <v>0</v>
      </c>
      <c r="DQ46" s="539">
        <f t="shared" si="12"/>
        <v>0</v>
      </c>
      <c r="DR46" s="539">
        <f t="shared" si="12"/>
        <v>0</v>
      </c>
      <c r="DS46" s="539">
        <f t="shared" si="12"/>
        <v>0</v>
      </c>
      <c r="DT46" s="539">
        <f t="shared" si="12"/>
        <v>0</v>
      </c>
      <c r="DU46" s="539">
        <f t="shared" si="12"/>
        <v>0</v>
      </c>
      <c r="DV46" s="539">
        <f t="shared" si="12"/>
        <v>0</v>
      </c>
      <c r="DW46" s="539">
        <f t="shared" si="12"/>
        <v>0</v>
      </c>
      <c r="DX46" s="539">
        <f t="shared" si="12"/>
        <v>0</v>
      </c>
      <c r="DY46" s="539">
        <f t="shared" si="12"/>
        <v>0</v>
      </c>
      <c r="DZ46" s="539">
        <f t="shared" si="12"/>
        <v>0</v>
      </c>
      <c r="EA46" s="539">
        <f t="shared" si="12"/>
        <v>0</v>
      </c>
      <c r="EB46" s="539">
        <f t="shared" si="12"/>
        <v>0</v>
      </c>
      <c r="EC46" s="539">
        <f t="shared" si="12"/>
        <v>0</v>
      </c>
      <c r="ED46" s="539">
        <f t="shared" si="12"/>
        <v>0</v>
      </c>
      <c r="EE46" s="539">
        <f t="shared" si="12"/>
        <v>0</v>
      </c>
      <c r="EF46" s="539">
        <f t="shared" si="12"/>
        <v>0</v>
      </c>
      <c r="EG46" s="539">
        <f t="shared" si="12"/>
        <v>0</v>
      </c>
    </row>
    <row r="47" spans="5:137" ht="12.75">
      <c r="E47" s="538" t="str">
        <f>E$43</f>
        <v>DSRA - draw for senior debt service shortfall</v>
      </c>
      <c r="G47" s="539" t="str">
        <f>G$43</f>
        <v>EUR 000s</v>
      </c>
      <c r="H47" s="539">
        <f>H$43</f>
        <v>-1.8189894035458565E-12</v>
      </c>
      <c r="J47" s="539">
        <f t="shared" si="13" ref="J47:EG47">J$43</f>
        <v>0</v>
      </c>
      <c r="K47" s="539">
        <f t="shared" si="13"/>
        <v>0</v>
      </c>
      <c r="L47" s="539">
        <f t="shared" si="13"/>
        <v>0</v>
      </c>
      <c r="M47" s="539">
        <f t="shared" si="13"/>
        <v>0</v>
      </c>
      <c r="N47" s="539">
        <f t="shared" si="13"/>
        <v>0</v>
      </c>
      <c r="O47" s="539">
        <f t="shared" si="13"/>
        <v>0</v>
      </c>
      <c r="P47" s="539">
        <f t="shared" si="13"/>
        <v>-1.8189894035458565E-12</v>
      </c>
      <c r="Q47" s="539">
        <f t="shared" si="13"/>
        <v>0</v>
      </c>
      <c r="R47" s="539">
        <f t="shared" si="13"/>
        <v>0</v>
      </c>
      <c r="S47" s="539">
        <f t="shared" si="13"/>
        <v>0</v>
      </c>
      <c r="T47" s="539">
        <f t="shared" si="13"/>
        <v>0</v>
      </c>
      <c r="U47" s="539">
        <f t="shared" si="13"/>
        <v>0</v>
      </c>
      <c r="V47" s="539">
        <f t="shared" si="13"/>
        <v>0</v>
      </c>
      <c r="W47" s="539">
        <f t="shared" si="13"/>
        <v>0</v>
      </c>
      <c r="X47" s="539">
        <f t="shared" si="13"/>
        <v>0</v>
      </c>
      <c r="Y47" s="539">
        <f t="shared" si="13"/>
        <v>0</v>
      </c>
      <c r="Z47" s="539">
        <f t="shared" si="13"/>
        <v>0</v>
      </c>
      <c r="AA47" s="539">
        <f t="shared" si="13"/>
        <v>0</v>
      </c>
      <c r="AB47" s="539">
        <f t="shared" si="13"/>
        <v>0</v>
      </c>
      <c r="AC47" s="539">
        <f t="shared" si="13"/>
        <v>0</v>
      </c>
      <c r="AD47" s="539">
        <f t="shared" si="13"/>
        <v>0</v>
      </c>
      <c r="AE47" s="539">
        <f t="shared" si="13"/>
        <v>0</v>
      </c>
      <c r="AF47" s="539">
        <f t="shared" si="13"/>
        <v>0</v>
      </c>
      <c r="AG47" s="539">
        <f t="shared" si="13"/>
        <v>0</v>
      </c>
      <c r="AH47" s="539">
        <f t="shared" si="13"/>
        <v>0</v>
      </c>
      <c r="AI47" s="539">
        <f t="shared" si="13"/>
        <v>0</v>
      </c>
      <c r="AJ47" s="539">
        <f t="shared" si="13"/>
        <v>0</v>
      </c>
      <c r="AK47" s="539">
        <f t="shared" si="13"/>
        <v>0</v>
      </c>
      <c r="AL47" s="539">
        <f t="shared" si="13"/>
        <v>0</v>
      </c>
      <c r="AM47" s="539">
        <f t="shared" si="13"/>
        <v>0</v>
      </c>
      <c r="AN47" s="539">
        <f t="shared" si="13"/>
        <v>0</v>
      </c>
      <c r="AO47" s="539">
        <f t="shared" si="13"/>
        <v>0</v>
      </c>
      <c r="AP47" s="539">
        <f t="shared" si="13"/>
        <v>0</v>
      </c>
      <c r="AQ47" s="539">
        <f t="shared" si="13"/>
        <v>0</v>
      </c>
      <c r="AR47" s="539">
        <f t="shared" si="13"/>
        <v>0</v>
      </c>
      <c r="AS47" s="539">
        <f t="shared" si="13"/>
        <v>0</v>
      </c>
      <c r="AT47" s="539">
        <f t="shared" si="13"/>
        <v>0</v>
      </c>
      <c r="AU47" s="539">
        <f t="shared" si="13"/>
        <v>0</v>
      </c>
      <c r="AV47" s="539">
        <f t="shared" si="13"/>
        <v>0</v>
      </c>
      <c r="AW47" s="539">
        <f t="shared" si="13"/>
        <v>0</v>
      </c>
      <c r="AX47" s="539">
        <f t="shared" si="13"/>
        <v>0</v>
      </c>
      <c r="AY47" s="539">
        <f t="shared" si="13"/>
        <v>0</v>
      </c>
      <c r="AZ47" s="539">
        <f t="shared" si="13"/>
        <v>0</v>
      </c>
      <c r="BA47" s="539">
        <f t="shared" si="13"/>
        <v>0</v>
      </c>
      <c r="BB47" s="539">
        <f t="shared" si="13"/>
        <v>0</v>
      </c>
      <c r="BC47" s="539">
        <f t="shared" si="13"/>
        <v>0</v>
      </c>
      <c r="BD47" s="539">
        <f t="shared" si="13"/>
        <v>0</v>
      </c>
      <c r="BE47" s="539">
        <f t="shared" si="13"/>
        <v>0</v>
      </c>
      <c r="BF47" s="539">
        <f t="shared" si="13"/>
        <v>0</v>
      </c>
      <c r="BG47" s="539">
        <f t="shared" si="13"/>
        <v>0</v>
      </c>
      <c r="BH47" s="539">
        <f t="shared" si="13"/>
        <v>0</v>
      </c>
      <c r="BI47" s="539">
        <f t="shared" si="13"/>
        <v>0</v>
      </c>
      <c r="BJ47" s="539">
        <f t="shared" si="13"/>
        <v>0</v>
      </c>
      <c r="BK47" s="539">
        <f t="shared" si="13"/>
        <v>0</v>
      </c>
      <c r="BL47" s="539">
        <f t="shared" si="13"/>
        <v>0</v>
      </c>
      <c r="BM47" s="539">
        <f t="shared" si="13"/>
        <v>0</v>
      </c>
      <c r="BN47" s="539">
        <f t="shared" si="13"/>
        <v>0</v>
      </c>
      <c r="BO47" s="539">
        <f t="shared" si="13"/>
        <v>0</v>
      </c>
      <c r="BP47" s="539">
        <f t="shared" si="13"/>
        <v>0</v>
      </c>
      <c r="BQ47" s="539">
        <f t="shared" si="13"/>
        <v>0</v>
      </c>
      <c r="BR47" s="539">
        <f t="shared" si="13"/>
        <v>0</v>
      </c>
      <c r="BS47" s="539">
        <f t="shared" si="13"/>
        <v>0</v>
      </c>
      <c r="BT47" s="539">
        <f t="shared" si="13"/>
        <v>0</v>
      </c>
      <c r="BU47" s="539">
        <f t="shared" si="13"/>
        <v>0</v>
      </c>
      <c r="BV47" s="539">
        <f t="shared" si="13"/>
        <v>0</v>
      </c>
      <c r="BW47" s="539">
        <f t="shared" si="13"/>
        <v>0</v>
      </c>
      <c r="BX47" s="539">
        <f t="shared" si="13"/>
        <v>0</v>
      </c>
      <c r="BY47" s="539">
        <f t="shared" si="13"/>
        <v>0</v>
      </c>
      <c r="BZ47" s="539">
        <f t="shared" si="13"/>
        <v>0</v>
      </c>
      <c r="CA47" s="539">
        <f t="shared" si="13"/>
        <v>0</v>
      </c>
      <c r="CB47" s="539">
        <f t="shared" si="13"/>
        <v>0</v>
      </c>
      <c r="CC47" s="539">
        <f t="shared" si="13"/>
        <v>0</v>
      </c>
      <c r="CD47" s="539">
        <f t="shared" si="13"/>
        <v>0</v>
      </c>
      <c r="CE47" s="539">
        <f t="shared" si="13"/>
        <v>0</v>
      </c>
      <c r="CF47" s="539">
        <f t="shared" si="13"/>
        <v>0</v>
      </c>
      <c r="CG47" s="539">
        <f t="shared" si="13"/>
        <v>0</v>
      </c>
      <c r="CH47" s="539">
        <f t="shared" si="13"/>
        <v>0</v>
      </c>
      <c r="CI47" s="539">
        <f t="shared" si="13"/>
        <v>0</v>
      </c>
      <c r="CJ47" s="539">
        <f t="shared" si="13"/>
        <v>0</v>
      </c>
      <c r="CK47" s="539">
        <f t="shared" si="13"/>
        <v>0</v>
      </c>
      <c r="CL47" s="539">
        <f t="shared" si="13"/>
        <v>0</v>
      </c>
      <c r="CM47" s="539">
        <f t="shared" si="13"/>
        <v>0</v>
      </c>
      <c r="CN47" s="539">
        <f t="shared" si="13"/>
        <v>0</v>
      </c>
      <c r="CO47" s="539">
        <f t="shared" si="13"/>
        <v>0</v>
      </c>
      <c r="CP47" s="539">
        <f t="shared" si="13"/>
        <v>0</v>
      </c>
      <c r="CQ47" s="539">
        <f t="shared" si="13"/>
        <v>0</v>
      </c>
      <c r="CR47" s="539">
        <f t="shared" si="13"/>
        <v>0</v>
      </c>
      <c r="CS47" s="539">
        <f t="shared" si="13"/>
        <v>0</v>
      </c>
      <c r="CT47" s="539">
        <f t="shared" si="13"/>
        <v>0</v>
      </c>
      <c r="CU47" s="539">
        <f t="shared" si="13"/>
        <v>0</v>
      </c>
      <c r="CV47" s="539">
        <f t="shared" si="13"/>
        <v>0</v>
      </c>
      <c r="CW47" s="539">
        <f t="shared" si="13"/>
        <v>0</v>
      </c>
      <c r="CX47" s="539">
        <f t="shared" si="13"/>
        <v>0</v>
      </c>
      <c r="CY47" s="539">
        <f t="shared" si="13"/>
        <v>0</v>
      </c>
      <c r="CZ47" s="539">
        <f t="shared" si="13"/>
        <v>0</v>
      </c>
      <c r="DA47" s="539">
        <f t="shared" si="13"/>
        <v>0</v>
      </c>
      <c r="DB47" s="539">
        <f t="shared" si="13"/>
        <v>0</v>
      </c>
      <c r="DC47" s="539">
        <f t="shared" si="13"/>
        <v>0</v>
      </c>
      <c r="DD47" s="539">
        <f t="shared" si="13"/>
        <v>0</v>
      </c>
      <c r="DE47" s="539">
        <f t="shared" si="13"/>
        <v>0</v>
      </c>
      <c r="DF47" s="539">
        <f t="shared" si="13"/>
        <v>0</v>
      </c>
      <c r="DG47" s="539">
        <f t="shared" si="13"/>
        <v>0</v>
      </c>
      <c r="DH47" s="539">
        <f t="shared" si="13"/>
        <v>0</v>
      </c>
      <c r="DI47" s="539">
        <f t="shared" si="13"/>
        <v>0</v>
      </c>
      <c r="DJ47" s="539">
        <f t="shared" si="13"/>
        <v>0</v>
      </c>
      <c r="DK47" s="539">
        <f t="shared" si="13"/>
        <v>0</v>
      </c>
      <c r="DL47" s="539">
        <f t="shared" si="13"/>
        <v>0</v>
      </c>
      <c r="DM47" s="539">
        <f t="shared" si="13"/>
        <v>0</v>
      </c>
      <c r="DN47" s="539">
        <f t="shared" si="13"/>
        <v>0</v>
      </c>
      <c r="DO47" s="539">
        <f t="shared" si="13"/>
        <v>0</v>
      </c>
      <c r="DP47" s="539">
        <f t="shared" si="13"/>
        <v>0</v>
      </c>
      <c r="DQ47" s="539">
        <f t="shared" si="13"/>
        <v>0</v>
      </c>
      <c r="DR47" s="539">
        <f t="shared" si="13"/>
        <v>0</v>
      </c>
      <c r="DS47" s="539">
        <f t="shared" si="13"/>
        <v>0</v>
      </c>
      <c r="DT47" s="539">
        <f t="shared" si="13"/>
        <v>0</v>
      </c>
      <c r="DU47" s="539">
        <f t="shared" si="13"/>
        <v>0</v>
      </c>
      <c r="DV47" s="539">
        <f t="shared" si="13"/>
        <v>0</v>
      </c>
      <c r="DW47" s="539">
        <f t="shared" si="13"/>
        <v>0</v>
      </c>
      <c r="DX47" s="539">
        <f t="shared" si="13"/>
        <v>0</v>
      </c>
      <c r="DY47" s="539">
        <f t="shared" si="13"/>
        <v>0</v>
      </c>
      <c r="DZ47" s="539">
        <f t="shared" si="13"/>
        <v>0</v>
      </c>
      <c r="EA47" s="539">
        <f t="shared" si="13"/>
        <v>0</v>
      </c>
      <c r="EB47" s="539">
        <f t="shared" si="13"/>
        <v>0</v>
      </c>
      <c r="EC47" s="539">
        <f t="shared" si="13"/>
        <v>0</v>
      </c>
      <c r="ED47" s="539">
        <f t="shared" si="13"/>
        <v>0</v>
      </c>
      <c r="EE47" s="539">
        <f t="shared" si="13"/>
        <v>0</v>
      </c>
      <c r="EF47" s="539">
        <f t="shared" si="13"/>
        <v>0</v>
      </c>
      <c r="EG47" s="539">
        <f t="shared" si="13"/>
        <v>0</v>
      </c>
    </row>
    <row r="48" spans="5:137" ht="12.75">
      <c r="E48" s="538" t="s">
        <v>369</v>
      </c>
      <c r="G48" s="539" t="s">
        <v>30</v>
      </c>
      <c r="H48" s="539">
        <f>SUM(J48:EG48)</f>
        <v>705520.31533758657</v>
      </c>
      <c r="J48" s="539">
        <f t="shared" si="14" ref="J48:EG48">J46+J45-J47</f>
        <v>0</v>
      </c>
      <c r="K48" s="539">
        <f t="shared" si="14"/>
        <v>0</v>
      </c>
      <c r="L48" s="539">
        <f t="shared" si="14"/>
        <v>0</v>
      </c>
      <c r="M48" s="539">
        <f t="shared" si="14"/>
        <v>0</v>
      </c>
      <c r="N48" s="539">
        <f t="shared" si="14"/>
        <v>0</v>
      </c>
      <c r="O48" s="539">
        <f t="shared" si="14"/>
        <v>0</v>
      </c>
      <c r="P48" s="539">
        <f t="shared" si="14"/>
        <v>1.8189894035458565E-12</v>
      </c>
      <c r="Q48" s="539">
        <f t="shared" si="14"/>
        <v>0</v>
      </c>
      <c r="R48" s="539">
        <f t="shared" si="14"/>
        <v>0</v>
      </c>
      <c r="S48" s="539">
        <f t="shared" si="14"/>
        <v>0</v>
      </c>
      <c r="T48" s="539">
        <f t="shared" si="14"/>
        <v>0</v>
      </c>
      <c r="U48" s="539">
        <f t="shared" si="14"/>
        <v>0</v>
      </c>
      <c r="V48" s="539">
        <f t="shared" si="14"/>
        <v>0</v>
      </c>
      <c r="W48" s="539">
        <f t="shared" si="14"/>
        <v>0</v>
      </c>
      <c r="X48" s="539">
        <f t="shared" si="14"/>
        <v>0</v>
      </c>
      <c r="Y48" s="539">
        <f t="shared" si="14"/>
        <v>0</v>
      </c>
      <c r="Z48" s="539">
        <f t="shared" si="14"/>
        <v>0</v>
      </c>
      <c r="AA48" s="539">
        <f t="shared" si="14"/>
        <v>0</v>
      </c>
      <c r="AB48" s="539">
        <f t="shared" si="14"/>
        <v>0</v>
      </c>
      <c r="AC48" s="539">
        <f t="shared" si="14"/>
        <v>0</v>
      </c>
      <c r="AD48" s="539">
        <f t="shared" si="14"/>
        <v>0</v>
      </c>
      <c r="AE48" s="539">
        <f t="shared" si="14"/>
        <v>0</v>
      </c>
      <c r="AF48" s="539">
        <f t="shared" si="14"/>
        <v>0</v>
      </c>
      <c r="AG48" s="539">
        <f t="shared" si="14"/>
        <v>8333.2746174985332</v>
      </c>
      <c r="AH48" s="539">
        <f t="shared" si="14"/>
        <v>8333.2746174985332</v>
      </c>
      <c r="AI48" s="539">
        <f t="shared" si="14"/>
        <v>9308.6531351756057</v>
      </c>
      <c r="AJ48" s="539">
        <f t="shared" si="14"/>
        <v>9298.2394950176858</v>
      </c>
      <c r="AK48" s="539">
        <f t="shared" si="14"/>
        <v>9337.6116506683175</v>
      </c>
      <c r="AL48" s="539">
        <f t="shared" si="14"/>
        <v>9429.7291218685914</v>
      </c>
      <c r="AM48" s="539">
        <f t="shared" si="14"/>
        <v>9472.0580695850113</v>
      </c>
      <c r="AN48" s="539">
        <f t="shared" si="14"/>
        <v>9461.5189563631629</v>
      </c>
      <c r="AO48" s="539">
        <f t="shared" si="14"/>
        <v>9501.8263636837055</v>
      </c>
      <c r="AP48" s="539">
        <f t="shared" si="14"/>
        <v>9595.4102808892349</v>
      </c>
      <c r="AQ48" s="539">
        <f t="shared" si="14"/>
        <v>9638.1449416640698</v>
      </c>
      <c r="AR48" s="539">
        <f t="shared" si="14"/>
        <v>9627.4799775801403</v>
      </c>
      <c r="AS48" s="539">
        <f t="shared" si="14"/>
        <v>9679.536016332997</v>
      </c>
      <c r="AT48" s="539">
        <f t="shared" si="14"/>
        <v>9763.8140753059997</v>
      </c>
      <c r="AU48" s="539">
        <f t="shared" si="14"/>
        <v>9796.1595279842222</v>
      </c>
      <c r="AV48" s="539">
        <f t="shared" si="14"/>
        <v>9793.9066267576272</v>
      </c>
      <c r="AW48" s="539">
        <f t="shared" si="14"/>
        <v>9836.1518034083492</v>
      </c>
      <c r="AX48" s="539">
        <f t="shared" si="14"/>
        <v>9934.9780954017842</v>
      </c>
      <c r="AY48" s="539">
        <f t="shared" si="14"/>
        <v>9978.5124212525789</v>
      </c>
      <c r="AZ48" s="539">
        <f t="shared" si="14"/>
        <v>9965.1612930804731</v>
      </c>
      <c r="BA48" s="539">
        <f t="shared" si="14"/>
        <v>9944.7298885451564</v>
      </c>
      <c r="BB48" s="539">
        <f t="shared" si="14"/>
        <v>9972.4781358472173</v>
      </c>
      <c r="BC48" s="539">
        <f t="shared" si="14"/>
        <v>9998.6118234080277</v>
      </c>
      <c r="BD48" s="539">
        <f t="shared" si="14"/>
        <v>9970.5745648815064</v>
      </c>
      <c r="BE48" s="539">
        <f t="shared" si="14"/>
        <v>9993.9780103795183</v>
      </c>
      <c r="BF48" s="539">
        <f t="shared" si="14"/>
        <v>10073.47416898013</v>
      </c>
      <c r="BG48" s="539">
        <f t="shared" si="14"/>
        <v>10102.988965730921</v>
      </c>
      <c r="BH48" s="539">
        <f t="shared" si="14"/>
        <v>10077.683309371694</v>
      </c>
      <c r="BI48" s="539">
        <f t="shared" si="14"/>
        <v>10116.091187302902</v>
      </c>
      <c r="BJ48" s="539">
        <f t="shared" si="14"/>
        <v>10188.382359693998</v>
      </c>
      <c r="BK48" s="539">
        <f t="shared" si="14"/>
        <v>10209.471318627446</v>
      </c>
      <c r="BL48" s="539">
        <f t="shared" si="14"/>
        <v>10197.714289675579</v>
      </c>
      <c r="BM48" s="539">
        <f t="shared" si="14"/>
        <v>10228.09568557579</v>
      </c>
      <c r="BN48" s="539">
        <f t="shared" si="14"/>
        <v>10315.357334076012</v>
      </c>
      <c r="BO48" s="539">
        <f t="shared" si="14"/>
        <v>10350.191466434988</v>
      </c>
      <c r="BP48" s="539">
        <f t="shared" si="14"/>
        <v>10328.987274345176</v>
      </c>
      <c r="BQ48" s="539">
        <f t="shared" si="14"/>
        <v>10415.624121569275</v>
      </c>
      <c r="BR48" s="539">
        <f t="shared" si="14"/>
        <v>10559.552974855102</v>
      </c>
      <c r="BS48" s="539">
        <f t="shared" si="14"/>
        <v>10596.479459831688</v>
      </c>
      <c r="BT48" s="539">
        <f t="shared" si="14"/>
        <v>10576.793421109882</v>
      </c>
      <c r="BU48" s="539">
        <f t="shared" si="14"/>
        <v>10473.459397795083</v>
      </c>
      <c r="BV48" s="539">
        <f t="shared" si="14"/>
        <v>10016.709456108158</v>
      </c>
      <c r="BW48" s="539">
        <f t="shared" si="14"/>
        <v>9636.2291610373613</v>
      </c>
      <c r="BX48" s="539">
        <f t="shared" si="14"/>
        <v>9601.997150678957</v>
      </c>
      <c r="BY48" s="539">
        <f t="shared" si="14"/>
        <v>9625.2865352991357</v>
      </c>
      <c r="BZ48" s="539">
        <f t="shared" si="14"/>
        <v>9683.778569263166</v>
      </c>
      <c r="CA48" s="539">
        <f t="shared" si="14"/>
        <v>9662.5293592965245</v>
      </c>
      <c r="CB48" s="539">
        <f t="shared" si="14"/>
        <v>9432.0314212886315</v>
      </c>
      <c r="CC48" s="539">
        <f t="shared" si="14"/>
        <v>9253.2529979049323</v>
      </c>
      <c r="CD48" s="539">
        <f t="shared" si="14"/>
        <v>9305.6886046067902</v>
      </c>
      <c r="CE48" s="539">
        <f t="shared" si="14"/>
        <v>9328.242598621724</v>
      </c>
      <c r="CF48" s="539">
        <f t="shared" si="14"/>
        <v>9290.6736063131902</v>
      </c>
      <c r="CG48" s="539">
        <f t="shared" si="14"/>
        <v>9287.1183551242611</v>
      </c>
      <c r="CH48" s="539">
        <f t="shared" si="14"/>
        <v>9344.8100349126944</v>
      </c>
      <c r="CI48" s="539">
        <f t="shared" si="14"/>
        <v>9369.1866302068702</v>
      </c>
      <c r="CJ48" s="539">
        <f t="shared" si="14"/>
        <v>9333.0916602598882</v>
      </c>
      <c r="CK48" s="539">
        <f t="shared" si="14"/>
        <v>9620.0621641394609</v>
      </c>
      <c r="CL48" s="539">
        <f t="shared" si="14"/>
        <v>9967.8281585778968</v>
      </c>
      <c r="CM48" s="539">
        <f t="shared" si="14"/>
        <v>9992.4293815623641</v>
      </c>
      <c r="CN48" s="539">
        <f t="shared" si="14"/>
        <v>9956.2389657101321</v>
      </c>
      <c r="CO48" s="539">
        <f t="shared" si="14"/>
        <v>9683.7890086705629</v>
      </c>
      <c r="CP48" s="539">
        <f t="shared" si="14"/>
        <v>9447.2122969783286</v>
      </c>
      <c r="CQ48" s="539">
        <f t="shared" si="14"/>
        <v>9459.8928143723988</v>
      </c>
      <c r="CR48" s="539">
        <f t="shared" si="14"/>
        <v>9437.5230352693525</v>
      </c>
      <c r="CS48" s="539">
        <f t="shared" si="14"/>
        <v>9442.1999104621646</v>
      </c>
      <c r="CT48" s="539">
        <f t="shared" si="14"/>
        <v>9508.240525704532</v>
      </c>
      <c r="CU48" s="539">
        <f t="shared" si="14"/>
        <v>9534.8898375107237</v>
      </c>
      <c r="CV48" s="539">
        <f t="shared" si="14"/>
        <v>9500.3177228280038</v>
      </c>
      <c r="CW48" s="539">
        <f t="shared" si="14"/>
        <v>9507.0838976619561</v>
      </c>
      <c r="CX48" s="539">
        <f t="shared" si="14"/>
        <v>9575.228520301549</v>
      </c>
      <c r="CY48" s="539">
        <f t="shared" si="14"/>
        <v>9601.8380683248215</v>
      </c>
      <c r="CZ48" s="539">
        <f t="shared" si="14"/>
        <v>9567.0576877281255</v>
      </c>
      <c r="DA48" s="539">
        <f t="shared" si="14"/>
        <v>4771.6969558081337</v>
      </c>
      <c r="DB48" s="539">
        <f t="shared" si="14"/>
        <v>0</v>
      </c>
      <c r="DC48" s="539">
        <f t="shared" si="14"/>
        <v>0</v>
      </c>
      <c r="DD48" s="539">
        <f t="shared" si="14"/>
        <v>0</v>
      </c>
      <c r="DE48" s="539">
        <f t="shared" si="14"/>
        <v>0</v>
      </c>
      <c r="DF48" s="539">
        <f t="shared" si="14"/>
        <v>0</v>
      </c>
      <c r="DG48" s="539">
        <f t="shared" si="14"/>
        <v>0</v>
      </c>
      <c r="DH48" s="539">
        <f t="shared" si="14"/>
        <v>0</v>
      </c>
      <c r="DI48" s="539">
        <f t="shared" si="14"/>
        <v>0</v>
      </c>
      <c r="DJ48" s="539">
        <f t="shared" si="14"/>
        <v>0</v>
      </c>
      <c r="DK48" s="539">
        <f t="shared" si="14"/>
        <v>0</v>
      </c>
      <c r="DL48" s="539">
        <f t="shared" si="14"/>
        <v>0</v>
      </c>
      <c r="DM48" s="539">
        <f t="shared" si="14"/>
        <v>0</v>
      </c>
      <c r="DN48" s="539">
        <f t="shared" si="14"/>
        <v>0</v>
      </c>
      <c r="DO48" s="539">
        <f t="shared" si="14"/>
        <v>0</v>
      </c>
      <c r="DP48" s="539">
        <f t="shared" si="14"/>
        <v>0</v>
      </c>
      <c r="DQ48" s="539">
        <f t="shared" si="14"/>
        <v>0</v>
      </c>
      <c r="DR48" s="539">
        <f t="shared" si="14"/>
        <v>0</v>
      </c>
      <c r="DS48" s="539">
        <f t="shared" si="14"/>
        <v>0</v>
      </c>
      <c r="DT48" s="539">
        <f t="shared" si="14"/>
        <v>0</v>
      </c>
      <c r="DU48" s="539">
        <f t="shared" si="14"/>
        <v>0</v>
      </c>
      <c r="DV48" s="539">
        <f t="shared" si="14"/>
        <v>0</v>
      </c>
      <c r="DW48" s="539">
        <f t="shared" si="14"/>
        <v>0</v>
      </c>
      <c r="DX48" s="539">
        <f t="shared" si="14"/>
        <v>0</v>
      </c>
      <c r="DY48" s="539">
        <f t="shared" si="14"/>
        <v>0</v>
      </c>
      <c r="DZ48" s="539">
        <f t="shared" si="14"/>
        <v>0</v>
      </c>
      <c r="EA48" s="539">
        <f t="shared" si="14"/>
        <v>0</v>
      </c>
      <c r="EB48" s="539">
        <f t="shared" si="14"/>
        <v>0</v>
      </c>
      <c r="EC48" s="539">
        <f t="shared" si="14"/>
        <v>0</v>
      </c>
      <c r="ED48" s="539">
        <f t="shared" si="14"/>
        <v>0</v>
      </c>
      <c r="EE48" s="539">
        <f t="shared" si="14"/>
        <v>0</v>
      </c>
      <c r="EF48" s="539">
        <f t="shared" si="14"/>
        <v>0</v>
      </c>
      <c r="EG48" s="539">
        <f t="shared" si="14"/>
        <v>0</v>
      </c>
    </row>
    <row r="50" spans="2:2" ht="12.75">
      <c r="B50" s="534" t="s">
        <v>370</v>
      </c>
    </row>
    <row r="51" spans="5:137" ht="12.75">
      <c r="E51" s="538" t="str">
        <f>E$19</f>
        <v>DSRA - balance target</v>
      </c>
      <c r="G51" s="539" t="str">
        <f>G$19</f>
        <v>EUR 000s</v>
      </c>
      <c r="H51" s="539">
        <f>H$19</f>
        <v>697187.04072008806</v>
      </c>
      <c r="J51" s="539">
        <f t="shared" si="15" ref="J51:EG51">J$19</f>
        <v>0</v>
      </c>
      <c r="K51" s="539">
        <f t="shared" si="15"/>
        <v>0</v>
      </c>
      <c r="L51" s="539">
        <f t="shared" si="15"/>
        <v>0</v>
      </c>
      <c r="M51" s="539">
        <f t="shared" si="15"/>
        <v>0</v>
      </c>
      <c r="N51" s="539">
        <f t="shared" si="15"/>
        <v>0</v>
      </c>
      <c r="O51" s="539">
        <f t="shared" si="15"/>
        <v>0</v>
      </c>
      <c r="P51" s="539">
        <f t="shared" si="15"/>
        <v>0</v>
      </c>
      <c r="Q51" s="539">
        <f t="shared" si="15"/>
        <v>0</v>
      </c>
      <c r="R51" s="539">
        <f t="shared" si="15"/>
        <v>0</v>
      </c>
      <c r="S51" s="539">
        <f t="shared" si="15"/>
        <v>0</v>
      </c>
      <c r="T51" s="539">
        <f t="shared" si="15"/>
        <v>0</v>
      </c>
      <c r="U51" s="539">
        <f t="shared" si="15"/>
        <v>0</v>
      </c>
      <c r="V51" s="539">
        <f t="shared" si="15"/>
        <v>0</v>
      </c>
      <c r="W51" s="539">
        <f t="shared" si="15"/>
        <v>0</v>
      </c>
      <c r="X51" s="539">
        <f t="shared" si="15"/>
        <v>0</v>
      </c>
      <c r="Y51" s="539">
        <f t="shared" si="15"/>
        <v>0</v>
      </c>
      <c r="Z51" s="539">
        <f t="shared" si="15"/>
        <v>0</v>
      </c>
      <c r="AA51" s="539">
        <f t="shared" si="15"/>
        <v>0</v>
      </c>
      <c r="AB51" s="539">
        <f t="shared" si="15"/>
        <v>0</v>
      </c>
      <c r="AC51" s="539">
        <f t="shared" si="15"/>
        <v>0</v>
      </c>
      <c r="AD51" s="539">
        <f t="shared" si="15"/>
        <v>0</v>
      </c>
      <c r="AE51" s="539">
        <f t="shared" si="15"/>
        <v>0</v>
      </c>
      <c r="AF51" s="539">
        <f t="shared" si="15"/>
        <v>0</v>
      </c>
      <c r="AG51" s="539">
        <f t="shared" si="15"/>
        <v>8333.2746174985332</v>
      </c>
      <c r="AH51" s="539">
        <f t="shared" si="15"/>
        <v>9308.6531351756057</v>
      </c>
      <c r="AI51" s="539">
        <f t="shared" si="15"/>
        <v>9298.2394950176858</v>
      </c>
      <c r="AJ51" s="539">
        <f t="shared" si="15"/>
        <v>9337.6116506683175</v>
      </c>
      <c r="AK51" s="539">
        <f t="shared" si="15"/>
        <v>9429.7291218685914</v>
      </c>
      <c r="AL51" s="539">
        <f t="shared" si="15"/>
        <v>9472.0580695850113</v>
      </c>
      <c r="AM51" s="539">
        <f t="shared" si="15"/>
        <v>9461.5189563631629</v>
      </c>
      <c r="AN51" s="539">
        <f t="shared" si="15"/>
        <v>9501.8263636837055</v>
      </c>
      <c r="AO51" s="539">
        <f t="shared" si="15"/>
        <v>9595.4102808892349</v>
      </c>
      <c r="AP51" s="539">
        <f t="shared" si="15"/>
        <v>9638.1449416640698</v>
      </c>
      <c r="AQ51" s="539">
        <f t="shared" si="15"/>
        <v>9627.4799775801403</v>
      </c>
      <c r="AR51" s="539">
        <f t="shared" si="15"/>
        <v>9679.536016332997</v>
      </c>
      <c r="AS51" s="539">
        <f t="shared" si="15"/>
        <v>9763.8140753059997</v>
      </c>
      <c r="AT51" s="539">
        <f t="shared" si="15"/>
        <v>9796.1595279842222</v>
      </c>
      <c r="AU51" s="539">
        <f t="shared" si="15"/>
        <v>9793.9066267576272</v>
      </c>
      <c r="AV51" s="539">
        <f t="shared" si="15"/>
        <v>9836.1518034083492</v>
      </c>
      <c r="AW51" s="539">
        <f t="shared" si="15"/>
        <v>9934.9780954017842</v>
      </c>
      <c r="AX51" s="539">
        <f t="shared" si="15"/>
        <v>9978.5124212525789</v>
      </c>
      <c r="AY51" s="539">
        <f t="shared" si="15"/>
        <v>9965.1612930804731</v>
      </c>
      <c r="AZ51" s="539">
        <f t="shared" si="15"/>
        <v>9944.7298885451564</v>
      </c>
      <c r="BA51" s="539">
        <f t="shared" si="15"/>
        <v>9972.4781358472173</v>
      </c>
      <c r="BB51" s="539">
        <f t="shared" si="15"/>
        <v>9998.6118234080277</v>
      </c>
      <c r="BC51" s="539">
        <f t="shared" si="15"/>
        <v>9970.5745648815064</v>
      </c>
      <c r="BD51" s="539">
        <f t="shared" si="15"/>
        <v>9993.9780103795183</v>
      </c>
      <c r="BE51" s="539">
        <f t="shared" si="15"/>
        <v>10073.47416898013</v>
      </c>
      <c r="BF51" s="539">
        <f t="shared" si="15"/>
        <v>10102.988965730921</v>
      </c>
      <c r="BG51" s="539">
        <f t="shared" si="15"/>
        <v>10077.683309371694</v>
      </c>
      <c r="BH51" s="539">
        <f t="shared" si="15"/>
        <v>10116.091187302902</v>
      </c>
      <c r="BI51" s="539">
        <f t="shared" si="15"/>
        <v>10188.382359693998</v>
      </c>
      <c r="BJ51" s="539">
        <f t="shared" si="15"/>
        <v>10209.471318627446</v>
      </c>
      <c r="BK51" s="539">
        <f t="shared" si="15"/>
        <v>10197.714289675579</v>
      </c>
      <c r="BL51" s="539">
        <f t="shared" si="15"/>
        <v>10228.09568557579</v>
      </c>
      <c r="BM51" s="539">
        <f t="shared" si="15"/>
        <v>10315.357334076012</v>
      </c>
      <c r="BN51" s="539">
        <f t="shared" si="15"/>
        <v>10350.191466434988</v>
      </c>
      <c r="BO51" s="539">
        <f t="shared" si="15"/>
        <v>10328.987274345176</v>
      </c>
      <c r="BP51" s="539">
        <f t="shared" si="15"/>
        <v>10415.624121569275</v>
      </c>
      <c r="BQ51" s="539">
        <f t="shared" si="15"/>
        <v>10559.552974855102</v>
      </c>
      <c r="BR51" s="539">
        <f t="shared" si="15"/>
        <v>10596.479459831688</v>
      </c>
      <c r="BS51" s="539">
        <f t="shared" si="15"/>
        <v>10576.793421109882</v>
      </c>
      <c r="BT51" s="539">
        <f t="shared" si="15"/>
        <v>10473.459397795083</v>
      </c>
      <c r="BU51" s="539">
        <f t="shared" si="15"/>
        <v>10016.709456108158</v>
      </c>
      <c r="BV51" s="539">
        <f t="shared" si="15"/>
        <v>9636.2291610373613</v>
      </c>
      <c r="BW51" s="539">
        <f t="shared" si="15"/>
        <v>9601.997150678957</v>
      </c>
      <c r="BX51" s="539">
        <f t="shared" si="15"/>
        <v>9625.2865352991357</v>
      </c>
      <c r="BY51" s="539">
        <f t="shared" si="15"/>
        <v>9683.778569263166</v>
      </c>
      <c r="BZ51" s="539">
        <f t="shared" si="15"/>
        <v>9662.5293592965245</v>
      </c>
      <c r="CA51" s="539">
        <f t="shared" si="15"/>
        <v>9432.0314212886315</v>
      </c>
      <c r="CB51" s="539">
        <f t="shared" si="15"/>
        <v>9253.2529979049323</v>
      </c>
      <c r="CC51" s="539">
        <f t="shared" si="15"/>
        <v>9305.6886046067902</v>
      </c>
      <c r="CD51" s="539">
        <f t="shared" si="15"/>
        <v>9328.242598621724</v>
      </c>
      <c r="CE51" s="539">
        <f t="shared" si="15"/>
        <v>9290.6736063131902</v>
      </c>
      <c r="CF51" s="539">
        <f t="shared" si="15"/>
        <v>9287.1183551242611</v>
      </c>
      <c r="CG51" s="539">
        <f t="shared" si="15"/>
        <v>9344.8100349126944</v>
      </c>
      <c r="CH51" s="539">
        <f t="shared" si="15"/>
        <v>9369.1866302068702</v>
      </c>
      <c r="CI51" s="539">
        <f t="shared" si="15"/>
        <v>9333.0916602598882</v>
      </c>
      <c r="CJ51" s="539">
        <f t="shared" si="15"/>
        <v>9620.0621641394609</v>
      </c>
      <c r="CK51" s="539">
        <f t="shared" si="15"/>
        <v>9967.8281585778968</v>
      </c>
      <c r="CL51" s="539">
        <f t="shared" si="15"/>
        <v>9992.4293815623641</v>
      </c>
      <c r="CM51" s="539">
        <f t="shared" si="15"/>
        <v>9956.2389657101321</v>
      </c>
      <c r="CN51" s="539">
        <f t="shared" si="15"/>
        <v>9683.7890086705629</v>
      </c>
      <c r="CO51" s="539">
        <f t="shared" si="15"/>
        <v>9447.2122969783286</v>
      </c>
      <c r="CP51" s="539">
        <f t="shared" si="15"/>
        <v>9459.8928143723988</v>
      </c>
      <c r="CQ51" s="539">
        <f t="shared" si="15"/>
        <v>9437.5230352693525</v>
      </c>
      <c r="CR51" s="539">
        <f t="shared" si="15"/>
        <v>9442.1999104621646</v>
      </c>
      <c r="CS51" s="539">
        <f t="shared" si="15"/>
        <v>9508.240525704532</v>
      </c>
      <c r="CT51" s="539">
        <f t="shared" si="15"/>
        <v>9534.8898375107237</v>
      </c>
      <c r="CU51" s="539">
        <f t="shared" si="15"/>
        <v>9500.3177228280038</v>
      </c>
      <c r="CV51" s="539">
        <f t="shared" si="15"/>
        <v>9507.0838976619561</v>
      </c>
      <c r="CW51" s="539">
        <f t="shared" si="15"/>
        <v>9575.228520301549</v>
      </c>
      <c r="CX51" s="539">
        <f t="shared" si="15"/>
        <v>9601.8380683248215</v>
      </c>
      <c r="CY51" s="539">
        <f t="shared" si="15"/>
        <v>9567.0576877281255</v>
      </c>
      <c r="CZ51" s="539">
        <f t="shared" si="15"/>
        <v>4771.6969558081337</v>
      </c>
      <c r="DA51" s="539">
        <f t="shared" si="15"/>
        <v>0</v>
      </c>
      <c r="DB51" s="539">
        <f t="shared" si="15"/>
        <v>0</v>
      </c>
      <c r="DC51" s="539">
        <f t="shared" si="15"/>
        <v>0</v>
      </c>
      <c r="DD51" s="539">
        <f t="shared" si="15"/>
        <v>0</v>
      </c>
      <c r="DE51" s="539">
        <f t="shared" si="15"/>
        <v>0</v>
      </c>
      <c r="DF51" s="539">
        <f t="shared" si="15"/>
        <v>0</v>
      </c>
      <c r="DG51" s="539">
        <f t="shared" si="15"/>
        <v>0</v>
      </c>
      <c r="DH51" s="539">
        <f t="shared" si="15"/>
        <v>0</v>
      </c>
      <c r="DI51" s="539">
        <f t="shared" si="15"/>
        <v>0</v>
      </c>
      <c r="DJ51" s="539">
        <f t="shared" si="15"/>
        <v>0</v>
      </c>
      <c r="DK51" s="539">
        <f t="shared" si="15"/>
        <v>0</v>
      </c>
      <c r="DL51" s="539">
        <f t="shared" si="15"/>
        <v>0</v>
      </c>
      <c r="DM51" s="539">
        <f t="shared" si="15"/>
        <v>0</v>
      </c>
      <c r="DN51" s="539">
        <f t="shared" si="15"/>
        <v>0</v>
      </c>
      <c r="DO51" s="539">
        <f t="shared" si="15"/>
        <v>0</v>
      </c>
      <c r="DP51" s="539">
        <f t="shared" si="15"/>
        <v>0</v>
      </c>
      <c r="DQ51" s="539">
        <f t="shared" si="15"/>
        <v>0</v>
      </c>
      <c r="DR51" s="539">
        <f t="shared" si="15"/>
        <v>0</v>
      </c>
      <c r="DS51" s="539">
        <f t="shared" si="15"/>
        <v>0</v>
      </c>
      <c r="DT51" s="539">
        <f t="shared" si="15"/>
        <v>0</v>
      </c>
      <c r="DU51" s="539">
        <f t="shared" si="15"/>
        <v>0</v>
      </c>
      <c r="DV51" s="539">
        <f t="shared" si="15"/>
        <v>0</v>
      </c>
      <c r="DW51" s="539">
        <f t="shared" si="15"/>
        <v>0</v>
      </c>
      <c r="DX51" s="539">
        <f t="shared" si="15"/>
        <v>0</v>
      </c>
      <c r="DY51" s="539">
        <f t="shared" si="15"/>
        <v>0</v>
      </c>
      <c r="DZ51" s="539">
        <f t="shared" si="15"/>
        <v>0</v>
      </c>
      <c r="EA51" s="539">
        <f t="shared" si="15"/>
        <v>0</v>
      </c>
      <c r="EB51" s="539">
        <f t="shared" si="15"/>
        <v>0</v>
      </c>
      <c r="EC51" s="539">
        <f t="shared" si="15"/>
        <v>0</v>
      </c>
      <c r="ED51" s="539">
        <f t="shared" si="15"/>
        <v>0</v>
      </c>
      <c r="EE51" s="539">
        <f t="shared" si="15"/>
        <v>0</v>
      </c>
      <c r="EF51" s="539">
        <f t="shared" si="15"/>
        <v>0</v>
      </c>
      <c r="EG51" s="539">
        <f t="shared" si="15"/>
        <v>0</v>
      </c>
    </row>
    <row r="52" spans="5:137" ht="12.75">
      <c r="E52" s="538" t="str">
        <f>E$48</f>
        <v>DSRA - balance after initial funding and draw</v>
      </c>
      <c r="G52" s="539" t="str">
        <f>G$48</f>
        <v>EUR 000s</v>
      </c>
      <c r="H52" s="539">
        <f>H$48</f>
        <v>705520.31533758657</v>
      </c>
      <c r="J52" s="539">
        <f t="shared" si="16" ref="J52:EG52">J$48</f>
        <v>0</v>
      </c>
      <c r="K52" s="539">
        <f t="shared" si="16"/>
        <v>0</v>
      </c>
      <c r="L52" s="539">
        <f t="shared" si="16"/>
        <v>0</v>
      </c>
      <c r="M52" s="539">
        <f t="shared" si="16"/>
        <v>0</v>
      </c>
      <c r="N52" s="539">
        <f t="shared" si="16"/>
        <v>0</v>
      </c>
      <c r="O52" s="539">
        <f t="shared" si="16"/>
        <v>0</v>
      </c>
      <c r="P52" s="539">
        <f t="shared" si="16"/>
        <v>1.8189894035458565E-12</v>
      </c>
      <c r="Q52" s="539">
        <f t="shared" si="16"/>
        <v>0</v>
      </c>
      <c r="R52" s="539">
        <f t="shared" si="16"/>
        <v>0</v>
      </c>
      <c r="S52" s="539">
        <f t="shared" si="16"/>
        <v>0</v>
      </c>
      <c r="T52" s="539">
        <f t="shared" si="16"/>
        <v>0</v>
      </c>
      <c r="U52" s="539">
        <f t="shared" si="16"/>
        <v>0</v>
      </c>
      <c r="V52" s="539">
        <f t="shared" si="16"/>
        <v>0</v>
      </c>
      <c r="W52" s="539">
        <f t="shared" si="16"/>
        <v>0</v>
      </c>
      <c r="X52" s="539">
        <f t="shared" si="16"/>
        <v>0</v>
      </c>
      <c r="Y52" s="539">
        <f t="shared" si="16"/>
        <v>0</v>
      </c>
      <c r="Z52" s="539">
        <f t="shared" si="16"/>
        <v>0</v>
      </c>
      <c r="AA52" s="539">
        <f t="shared" si="16"/>
        <v>0</v>
      </c>
      <c r="AB52" s="539">
        <f t="shared" si="16"/>
        <v>0</v>
      </c>
      <c r="AC52" s="539">
        <f t="shared" si="16"/>
        <v>0</v>
      </c>
      <c r="AD52" s="539">
        <f t="shared" si="16"/>
        <v>0</v>
      </c>
      <c r="AE52" s="539">
        <f t="shared" si="16"/>
        <v>0</v>
      </c>
      <c r="AF52" s="539">
        <f t="shared" si="16"/>
        <v>0</v>
      </c>
      <c r="AG52" s="539">
        <f t="shared" si="16"/>
        <v>8333.2746174985332</v>
      </c>
      <c r="AH52" s="539">
        <f t="shared" si="16"/>
        <v>8333.2746174985332</v>
      </c>
      <c r="AI52" s="539">
        <f t="shared" si="16"/>
        <v>9308.6531351756057</v>
      </c>
      <c r="AJ52" s="539">
        <f t="shared" si="16"/>
        <v>9298.2394950176858</v>
      </c>
      <c r="AK52" s="539">
        <f t="shared" si="16"/>
        <v>9337.6116506683175</v>
      </c>
      <c r="AL52" s="539">
        <f t="shared" si="16"/>
        <v>9429.7291218685914</v>
      </c>
      <c r="AM52" s="539">
        <f t="shared" si="16"/>
        <v>9472.0580695850113</v>
      </c>
      <c r="AN52" s="539">
        <f t="shared" si="16"/>
        <v>9461.5189563631629</v>
      </c>
      <c r="AO52" s="539">
        <f t="shared" si="16"/>
        <v>9501.8263636837055</v>
      </c>
      <c r="AP52" s="539">
        <f t="shared" si="16"/>
        <v>9595.4102808892349</v>
      </c>
      <c r="AQ52" s="539">
        <f t="shared" si="16"/>
        <v>9638.1449416640698</v>
      </c>
      <c r="AR52" s="539">
        <f t="shared" si="16"/>
        <v>9627.4799775801403</v>
      </c>
      <c r="AS52" s="539">
        <f t="shared" si="16"/>
        <v>9679.536016332997</v>
      </c>
      <c r="AT52" s="539">
        <f t="shared" si="16"/>
        <v>9763.8140753059997</v>
      </c>
      <c r="AU52" s="539">
        <f t="shared" si="16"/>
        <v>9796.1595279842222</v>
      </c>
      <c r="AV52" s="539">
        <f t="shared" si="16"/>
        <v>9793.9066267576272</v>
      </c>
      <c r="AW52" s="539">
        <f t="shared" si="16"/>
        <v>9836.1518034083492</v>
      </c>
      <c r="AX52" s="539">
        <f t="shared" si="16"/>
        <v>9934.9780954017842</v>
      </c>
      <c r="AY52" s="539">
        <f t="shared" si="16"/>
        <v>9978.5124212525789</v>
      </c>
      <c r="AZ52" s="539">
        <f t="shared" si="16"/>
        <v>9965.1612930804731</v>
      </c>
      <c r="BA52" s="539">
        <f t="shared" si="16"/>
        <v>9944.7298885451564</v>
      </c>
      <c r="BB52" s="539">
        <f t="shared" si="16"/>
        <v>9972.4781358472173</v>
      </c>
      <c r="BC52" s="539">
        <f t="shared" si="16"/>
        <v>9998.6118234080277</v>
      </c>
      <c r="BD52" s="539">
        <f t="shared" si="16"/>
        <v>9970.5745648815064</v>
      </c>
      <c r="BE52" s="539">
        <f t="shared" si="16"/>
        <v>9993.9780103795183</v>
      </c>
      <c r="BF52" s="539">
        <f t="shared" si="16"/>
        <v>10073.47416898013</v>
      </c>
      <c r="BG52" s="539">
        <f t="shared" si="16"/>
        <v>10102.988965730921</v>
      </c>
      <c r="BH52" s="539">
        <f t="shared" si="16"/>
        <v>10077.683309371694</v>
      </c>
      <c r="BI52" s="539">
        <f t="shared" si="16"/>
        <v>10116.091187302902</v>
      </c>
      <c r="BJ52" s="539">
        <f t="shared" si="16"/>
        <v>10188.382359693998</v>
      </c>
      <c r="BK52" s="539">
        <f t="shared" si="16"/>
        <v>10209.471318627446</v>
      </c>
      <c r="BL52" s="539">
        <f t="shared" si="16"/>
        <v>10197.714289675579</v>
      </c>
      <c r="BM52" s="539">
        <f t="shared" si="16"/>
        <v>10228.09568557579</v>
      </c>
      <c r="BN52" s="539">
        <f t="shared" si="16"/>
        <v>10315.357334076012</v>
      </c>
      <c r="BO52" s="539">
        <f t="shared" si="16"/>
        <v>10350.191466434988</v>
      </c>
      <c r="BP52" s="539">
        <f t="shared" si="16"/>
        <v>10328.987274345176</v>
      </c>
      <c r="BQ52" s="539">
        <f t="shared" si="16"/>
        <v>10415.624121569275</v>
      </c>
      <c r="BR52" s="539">
        <f t="shared" si="16"/>
        <v>10559.552974855102</v>
      </c>
      <c r="BS52" s="539">
        <f t="shared" si="16"/>
        <v>10596.479459831688</v>
      </c>
      <c r="BT52" s="539">
        <f t="shared" si="16"/>
        <v>10576.793421109882</v>
      </c>
      <c r="BU52" s="539">
        <f t="shared" si="16"/>
        <v>10473.459397795083</v>
      </c>
      <c r="BV52" s="539">
        <f t="shared" si="16"/>
        <v>10016.709456108158</v>
      </c>
      <c r="BW52" s="539">
        <f t="shared" si="16"/>
        <v>9636.2291610373613</v>
      </c>
      <c r="BX52" s="539">
        <f t="shared" si="16"/>
        <v>9601.997150678957</v>
      </c>
      <c r="BY52" s="539">
        <f t="shared" si="16"/>
        <v>9625.2865352991357</v>
      </c>
      <c r="BZ52" s="539">
        <f t="shared" si="16"/>
        <v>9683.778569263166</v>
      </c>
      <c r="CA52" s="539">
        <f t="shared" si="16"/>
        <v>9662.5293592965245</v>
      </c>
      <c r="CB52" s="539">
        <f t="shared" si="16"/>
        <v>9432.0314212886315</v>
      </c>
      <c r="CC52" s="539">
        <f t="shared" si="16"/>
        <v>9253.2529979049323</v>
      </c>
      <c r="CD52" s="539">
        <f t="shared" si="16"/>
        <v>9305.6886046067902</v>
      </c>
      <c r="CE52" s="539">
        <f t="shared" si="16"/>
        <v>9328.242598621724</v>
      </c>
      <c r="CF52" s="539">
        <f t="shared" si="16"/>
        <v>9290.6736063131902</v>
      </c>
      <c r="CG52" s="539">
        <f t="shared" si="16"/>
        <v>9287.1183551242611</v>
      </c>
      <c r="CH52" s="539">
        <f t="shared" si="16"/>
        <v>9344.8100349126944</v>
      </c>
      <c r="CI52" s="539">
        <f t="shared" si="16"/>
        <v>9369.1866302068702</v>
      </c>
      <c r="CJ52" s="539">
        <f t="shared" si="16"/>
        <v>9333.0916602598882</v>
      </c>
      <c r="CK52" s="539">
        <f t="shared" si="16"/>
        <v>9620.0621641394609</v>
      </c>
      <c r="CL52" s="539">
        <f t="shared" si="16"/>
        <v>9967.8281585778968</v>
      </c>
      <c r="CM52" s="539">
        <f t="shared" si="16"/>
        <v>9992.4293815623641</v>
      </c>
      <c r="CN52" s="539">
        <f t="shared" si="16"/>
        <v>9956.2389657101321</v>
      </c>
      <c r="CO52" s="539">
        <f t="shared" si="16"/>
        <v>9683.7890086705629</v>
      </c>
      <c r="CP52" s="539">
        <f t="shared" si="16"/>
        <v>9447.2122969783286</v>
      </c>
      <c r="CQ52" s="539">
        <f t="shared" si="16"/>
        <v>9459.8928143723988</v>
      </c>
      <c r="CR52" s="539">
        <f t="shared" si="16"/>
        <v>9437.5230352693525</v>
      </c>
      <c r="CS52" s="539">
        <f t="shared" si="16"/>
        <v>9442.1999104621646</v>
      </c>
      <c r="CT52" s="539">
        <f t="shared" si="16"/>
        <v>9508.240525704532</v>
      </c>
      <c r="CU52" s="539">
        <f t="shared" si="16"/>
        <v>9534.8898375107237</v>
      </c>
      <c r="CV52" s="539">
        <f t="shared" si="16"/>
        <v>9500.3177228280038</v>
      </c>
      <c r="CW52" s="539">
        <f t="shared" si="16"/>
        <v>9507.0838976619561</v>
      </c>
      <c r="CX52" s="539">
        <f t="shared" si="16"/>
        <v>9575.228520301549</v>
      </c>
      <c r="CY52" s="539">
        <f t="shared" si="16"/>
        <v>9601.8380683248215</v>
      </c>
      <c r="CZ52" s="539">
        <f t="shared" si="16"/>
        <v>9567.0576877281255</v>
      </c>
      <c r="DA52" s="539">
        <f t="shared" si="16"/>
        <v>4771.6969558081337</v>
      </c>
      <c r="DB52" s="539">
        <f t="shared" si="16"/>
        <v>0</v>
      </c>
      <c r="DC52" s="539">
        <f t="shared" si="16"/>
        <v>0</v>
      </c>
      <c r="DD52" s="539">
        <f t="shared" si="16"/>
        <v>0</v>
      </c>
      <c r="DE52" s="539">
        <f t="shared" si="16"/>
        <v>0</v>
      </c>
      <c r="DF52" s="539">
        <f t="shared" si="16"/>
        <v>0</v>
      </c>
      <c r="DG52" s="539">
        <f t="shared" si="16"/>
        <v>0</v>
      </c>
      <c r="DH52" s="539">
        <f t="shared" si="16"/>
        <v>0</v>
      </c>
      <c r="DI52" s="539">
        <f t="shared" si="16"/>
        <v>0</v>
      </c>
      <c r="DJ52" s="539">
        <f t="shared" si="16"/>
        <v>0</v>
      </c>
      <c r="DK52" s="539">
        <f t="shared" si="16"/>
        <v>0</v>
      </c>
      <c r="DL52" s="539">
        <f t="shared" si="16"/>
        <v>0</v>
      </c>
      <c r="DM52" s="539">
        <f t="shared" si="16"/>
        <v>0</v>
      </c>
      <c r="DN52" s="539">
        <f t="shared" si="16"/>
        <v>0</v>
      </c>
      <c r="DO52" s="539">
        <f t="shared" si="16"/>
        <v>0</v>
      </c>
      <c r="DP52" s="539">
        <f t="shared" si="16"/>
        <v>0</v>
      </c>
      <c r="DQ52" s="539">
        <f t="shared" si="16"/>
        <v>0</v>
      </c>
      <c r="DR52" s="539">
        <f t="shared" si="16"/>
        <v>0</v>
      </c>
      <c r="DS52" s="539">
        <f t="shared" si="16"/>
        <v>0</v>
      </c>
      <c r="DT52" s="539">
        <f t="shared" si="16"/>
        <v>0</v>
      </c>
      <c r="DU52" s="539">
        <f t="shared" si="16"/>
        <v>0</v>
      </c>
      <c r="DV52" s="539">
        <f t="shared" si="16"/>
        <v>0</v>
      </c>
      <c r="DW52" s="539">
        <f t="shared" si="16"/>
        <v>0</v>
      </c>
      <c r="DX52" s="539">
        <f t="shared" si="16"/>
        <v>0</v>
      </c>
      <c r="DY52" s="539">
        <f t="shared" si="16"/>
        <v>0</v>
      </c>
      <c r="DZ52" s="539">
        <f t="shared" si="16"/>
        <v>0</v>
      </c>
      <c r="EA52" s="539">
        <f t="shared" si="16"/>
        <v>0</v>
      </c>
      <c r="EB52" s="539">
        <f t="shared" si="16"/>
        <v>0</v>
      </c>
      <c r="EC52" s="539">
        <f t="shared" si="16"/>
        <v>0</v>
      </c>
      <c r="ED52" s="539">
        <f t="shared" si="16"/>
        <v>0</v>
      </c>
      <c r="EE52" s="539">
        <f t="shared" si="16"/>
        <v>0</v>
      </c>
      <c r="EF52" s="539">
        <f t="shared" si="16"/>
        <v>0</v>
      </c>
      <c r="EG52" s="539">
        <f t="shared" si="16"/>
        <v>0</v>
      </c>
    </row>
    <row r="53" spans="5:137" ht="12.75">
      <c r="E53" s="540" t="s">
        <v>371</v>
      </c>
      <c r="G53" s="541" t="s">
        <v>30</v>
      </c>
      <c r="H53" s="541">
        <f>SUM(J53:EG53)</f>
        <v>11860.181427975176</v>
      </c>
      <c r="J53" s="541">
        <f t="shared" si="17" ref="J53:EG53">MAX(0,J52-J51)</f>
        <v>0</v>
      </c>
      <c r="K53" s="541">
        <f t="shared" si="17"/>
        <v>0</v>
      </c>
      <c r="L53" s="541">
        <f t="shared" si="17"/>
        <v>0</v>
      </c>
      <c r="M53" s="541">
        <f t="shared" si="17"/>
        <v>0</v>
      </c>
      <c r="N53" s="541">
        <f t="shared" si="17"/>
        <v>0</v>
      </c>
      <c r="O53" s="541">
        <f t="shared" si="17"/>
        <v>0</v>
      </c>
      <c r="P53" s="541">
        <f t="shared" si="17"/>
        <v>1.8189894035458565E-12</v>
      </c>
      <c r="Q53" s="541">
        <f t="shared" si="17"/>
        <v>0</v>
      </c>
      <c r="R53" s="541">
        <f t="shared" si="17"/>
        <v>0</v>
      </c>
      <c r="S53" s="541">
        <f t="shared" si="17"/>
        <v>0</v>
      </c>
      <c r="T53" s="541">
        <f t="shared" si="17"/>
        <v>0</v>
      </c>
      <c r="U53" s="541">
        <f t="shared" si="17"/>
        <v>0</v>
      </c>
      <c r="V53" s="541">
        <f t="shared" si="17"/>
        <v>0</v>
      </c>
      <c r="W53" s="541">
        <f t="shared" si="17"/>
        <v>0</v>
      </c>
      <c r="X53" s="541">
        <f t="shared" si="17"/>
        <v>0</v>
      </c>
      <c r="Y53" s="541">
        <f t="shared" si="17"/>
        <v>0</v>
      </c>
      <c r="Z53" s="541">
        <f t="shared" si="17"/>
        <v>0</v>
      </c>
      <c r="AA53" s="541">
        <f t="shared" si="17"/>
        <v>0</v>
      </c>
      <c r="AB53" s="541">
        <f t="shared" si="17"/>
        <v>0</v>
      </c>
      <c r="AC53" s="541">
        <f t="shared" si="17"/>
        <v>0</v>
      </c>
      <c r="AD53" s="541">
        <f t="shared" si="17"/>
        <v>0</v>
      </c>
      <c r="AE53" s="541">
        <f t="shared" si="17"/>
        <v>0</v>
      </c>
      <c r="AF53" s="541">
        <f t="shared" si="17"/>
        <v>0</v>
      </c>
      <c r="AG53" s="541">
        <f t="shared" si="17"/>
        <v>0</v>
      </c>
      <c r="AH53" s="541">
        <f t="shared" si="17"/>
        <v>0</v>
      </c>
      <c r="AI53" s="541">
        <f t="shared" si="17"/>
        <v>10.413640157919872</v>
      </c>
      <c r="AJ53" s="541">
        <f t="shared" si="17"/>
        <v>0</v>
      </c>
      <c r="AK53" s="541">
        <f t="shared" si="17"/>
        <v>0</v>
      </c>
      <c r="AL53" s="541">
        <f t="shared" si="17"/>
        <v>0</v>
      </c>
      <c r="AM53" s="541">
        <f t="shared" si="17"/>
        <v>10.539113221848311</v>
      </c>
      <c r="AN53" s="541">
        <f t="shared" si="17"/>
        <v>0</v>
      </c>
      <c r="AO53" s="541">
        <f t="shared" si="17"/>
        <v>0</v>
      </c>
      <c r="AP53" s="541">
        <f t="shared" si="17"/>
        <v>0</v>
      </c>
      <c r="AQ53" s="541">
        <f t="shared" si="17"/>
        <v>10.66496408392959</v>
      </c>
      <c r="AR53" s="541">
        <f t="shared" si="17"/>
        <v>0</v>
      </c>
      <c r="AS53" s="541">
        <f t="shared" si="17"/>
        <v>0</v>
      </c>
      <c r="AT53" s="541">
        <f t="shared" si="17"/>
        <v>0</v>
      </c>
      <c r="AU53" s="541">
        <f t="shared" si="17"/>
        <v>2.2529012265949859</v>
      </c>
      <c r="AV53" s="541">
        <f t="shared" si="17"/>
        <v>0</v>
      </c>
      <c r="AW53" s="541">
        <f t="shared" si="17"/>
        <v>0</v>
      </c>
      <c r="AX53" s="541">
        <f t="shared" si="17"/>
        <v>0</v>
      </c>
      <c r="AY53" s="541">
        <f t="shared" si="17"/>
        <v>13.351128172105746</v>
      </c>
      <c r="AZ53" s="541">
        <f t="shared" si="17"/>
        <v>20.431404535316688</v>
      </c>
      <c r="BA53" s="541">
        <f t="shared" si="17"/>
        <v>0</v>
      </c>
      <c r="BB53" s="541">
        <f t="shared" si="17"/>
        <v>0</v>
      </c>
      <c r="BC53" s="541">
        <f t="shared" si="17"/>
        <v>28.037258526521327</v>
      </c>
      <c r="BD53" s="541">
        <f t="shared" si="17"/>
        <v>0</v>
      </c>
      <c r="BE53" s="541">
        <f t="shared" si="17"/>
        <v>0</v>
      </c>
      <c r="BF53" s="541">
        <f t="shared" si="17"/>
        <v>0</v>
      </c>
      <c r="BG53" s="541">
        <f t="shared" si="17"/>
        <v>25.305656359227214</v>
      </c>
      <c r="BH53" s="541">
        <f t="shared" si="17"/>
        <v>0</v>
      </c>
      <c r="BI53" s="541">
        <f t="shared" si="17"/>
        <v>0</v>
      </c>
      <c r="BJ53" s="541">
        <f t="shared" si="17"/>
        <v>0</v>
      </c>
      <c r="BK53" s="541">
        <f t="shared" si="17"/>
        <v>11.757028951866232</v>
      </c>
      <c r="BL53" s="541">
        <f t="shared" si="17"/>
        <v>0</v>
      </c>
      <c r="BM53" s="541">
        <f t="shared" si="17"/>
        <v>0</v>
      </c>
      <c r="BN53" s="541">
        <f t="shared" si="17"/>
        <v>0</v>
      </c>
      <c r="BO53" s="541">
        <f t="shared" si="17"/>
        <v>21.204192089811841</v>
      </c>
      <c r="BP53" s="541">
        <f t="shared" si="17"/>
        <v>0</v>
      </c>
      <c r="BQ53" s="541">
        <f t="shared" si="17"/>
        <v>0</v>
      </c>
      <c r="BR53" s="541">
        <f t="shared" si="17"/>
        <v>0</v>
      </c>
      <c r="BS53" s="541">
        <f t="shared" si="17"/>
        <v>19.686038721805744</v>
      </c>
      <c r="BT53" s="541">
        <f t="shared" si="17"/>
        <v>103.3340233147992</v>
      </c>
      <c r="BU53" s="541">
        <f t="shared" si="17"/>
        <v>456.74994168692501</v>
      </c>
      <c r="BV53" s="541">
        <f t="shared" si="17"/>
        <v>380.48029507079627</v>
      </c>
      <c r="BW53" s="541">
        <f t="shared" si="17"/>
        <v>34.232010358404295</v>
      </c>
      <c r="BX53" s="541">
        <f t="shared" si="17"/>
        <v>0</v>
      </c>
      <c r="BY53" s="541">
        <f t="shared" si="17"/>
        <v>0</v>
      </c>
      <c r="BZ53" s="541">
        <f t="shared" si="17"/>
        <v>21.249209966641502</v>
      </c>
      <c r="CA53" s="541">
        <f t="shared" si="17"/>
        <v>230.49793800789303</v>
      </c>
      <c r="CB53" s="541">
        <f t="shared" si="17"/>
        <v>178.77842338369919</v>
      </c>
      <c r="CC53" s="541">
        <f t="shared" si="17"/>
        <v>0</v>
      </c>
      <c r="CD53" s="541">
        <f t="shared" si="17"/>
        <v>0</v>
      </c>
      <c r="CE53" s="541">
        <f t="shared" si="17"/>
        <v>37.56899230853378</v>
      </c>
      <c r="CF53" s="541">
        <f t="shared" si="17"/>
        <v>3.5552511889291054</v>
      </c>
      <c r="CG53" s="541">
        <f t="shared" si="17"/>
        <v>0</v>
      </c>
      <c r="CH53" s="541">
        <f t="shared" si="17"/>
        <v>0</v>
      </c>
      <c r="CI53" s="541">
        <f t="shared" si="17"/>
        <v>36.094969946982019</v>
      </c>
      <c r="CJ53" s="541">
        <f t="shared" si="17"/>
        <v>0</v>
      </c>
      <c r="CK53" s="541">
        <f t="shared" si="17"/>
        <v>0</v>
      </c>
      <c r="CL53" s="541">
        <f t="shared" si="17"/>
        <v>0</v>
      </c>
      <c r="CM53" s="541">
        <f t="shared" si="17"/>
        <v>36.190415852232036</v>
      </c>
      <c r="CN53" s="541">
        <f t="shared" si="17"/>
        <v>272.4499570395692</v>
      </c>
      <c r="CO53" s="541">
        <f t="shared" si="17"/>
        <v>236.57671169223431</v>
      </c>
      <c r="CP53" s="541">
        <f t="shared" si="17"/>
        <v>0</v>
      </c>
      <c r="CQ53" s="541">
        <f t="shared" si="17"/>
        <v>22.369779103046312</v>
      </c>
      <c r="CR53" s="541">
        <f t="shared" si="17"/>
        <v>0</v>
      </c>
      <c r="CS53" s="541">
        <f t="shared" si="17"/>
        <v>0</v>
      </c>
      <c r="CT53" s="541">
        <f t="shared" si="17"/>
        <v>0</v>
      </c>
      <c r="CU53" s="541">
        <f t="shared" si="17"/>
        <v>34.572114682719985</v>
      </c>
      <c r="CV53" s="541">
        <f t="shared" si="17"/>
        <v>0</v>
      </c>
      <c r="CW53" s="541">
        <f t="shared" si="17"/>
        <v>0</v>
      </c>
      <c r="CX53" s="541">
        <f t="shared" si="17"/>
        <v>0</v>
      </c>
      <c r="CY53" s="541">
        <f t="shared" si="17"/>
        <v>34.780380596695977</v>
      </c>
      <c r="CZ53" s="541">
        <f t="shared" si="17"/>
        <v>4795.3607319199918</v>
      </c>
      <c r="DA53" s="541">
        <f t="shared" si="17"/>
        <v>4771.6969558081337</v>
      </c>
      <c r="DB53" s="541">
        <f t="shared" si="17"/>
        <v>0</v>
      </c>
      <c r="DC53" s="541">
        <f t="shared" si="17"/>
        <v>0</v>
      </c>
      <c r="DD53" s="541">
        <f t="shared" si="17"/>
        <v>0</v>
      </c>
      <c r="DE53" s="541">
        <f t="shared" si="17"/>
        <v>0</v>
      </c>
      <c r="DF53" s="541">
        <f t="shared" si="17"/>
        <v>0</v>
      </c>
      <c r="DG53" s="541">
        <f t="shared" si="17"/>
        <v>0</v>
      </c>
      <c r="DH53" s="541">
        <f t="shared" si="17"/>
        <v>0</v>
      </c>
      <c r="DI53" s="541">
        <f t="shared" si="17"/>
        <v>0</v>
      </c>
      <c r="DJ53" s="541">
        <f t="shared" si="17"/>
        <v>0</v>
      </c>
      <c r="DK53" s="541">
        <f t="shared" si="17"/>
        <v>0</v>
      </c>
      <c r="DL53" s="541">
        <f t="shared" si="17"/>
        <v>0</v>
      </c>
      <c r="DM53" s="541">
        <f t="shared" si="17"/>
        <v>0</v>
      </c>
      <c r="DN53" s="541">
        <f t="shared" si="17"/>
        <v>0</v>
      </c>
      <c r="DO53" s="541">
        <f t="shared" si="17"/>
        <v>0</v>
      </c>
      <c r="DP53" s="541">
        <f t="shared" si="17"/>
        <v>0</v>
      </c>
      <c r="DQ53" s="541">
        <f t="shared" si="17"/>
        <v>0</v>
      </c>
      <c r="DR53" s="541">
        <f t="shared" si="17"/>
        <v>0</v>
      </c>
      <c r="DS53" s="541">
        <f t="shared" si="17"/>
        <v>0</v>
      </c>
      <c r="DT53" s="541">
        <f t="shared" si="17"/>
        <v>0</v>
      </c>
      <c r="DU53" s="541">
        <f t="shared" si="17"/>
        <v>0</v>
      </c>
      <c r="DV53" s="541">
        <f t="shared" si="17"/>
        <v>0</v>
      </c>
      <c r="DW53" s="541">
        <f t="shared" si="17"/>
        <v>0</v>
      </c>
      <c r="DX53" s="541">
        <f t="shared" si="17"/>
        <v>0</v>
      </c>
      <c r="DY53" s="541">
        <f t="shared" si="17"/>
        <v>0</v>
      </c>
      <c r="DZ53" s="541">
        <f t="shared" si="17"/>
        <v>0</v>
      </c>
      <c r="EA53" s="541">
        <f t="shared" si="17"/>
        <v>0</v>
      </c>
      <c r="EB53" s="541">
        <f t="shared" si="17"/>
        <v>0</v>
      </c>
      <c r="EC53" s="541">
        <f t="shared" si="17"/>
        <v>0</v>
      </c>
      <c r="ED53" s="541">
        <f t="shared" si="17"/>
        <v>0</v>
      </c>
      <c r="EE53" s="541">
        <f t="shared" si="17"/>
        <v>0</v>
      </c>
      <c r="EF53" s="541">
        <f t="shared" si="17"/>
        <v>0</v>
      </c>
      <c r="EG53" s="541">
        <f t="shared" si="17"/>
        <v>0</v>
      </c>
    </row>
    <row r="55" spans="5:137" ht="12.75">
      <c r="E55" s="535" t="str">
        <f>Waterfall!E$27</f>
        <v>Cash available - DSRA deposit</v>
      </c>
      <c r="G55" s="537" t="str">
        <f>Waterfall!G$27</f>
        <v>EUR 000s</v>
      </c>
      <c r="H55" s="537">
        <f>Waterfall!H$27</f>
        <v>606944.75801715453</v>
      </c>
      <c r="J55" s="537">
        <f>Waterfall!J$27</f>
        <v>0</v>
      </c>
      <c r="K55" s="537">
        <f>Waterfall!K$27</f>
        <v>0</v>
      </c>
      <c r="L55" s="537">
        <f>Waterfall!L$27</f>
        <v>0</v>
      </c>
      <c r="M55" s="537">
        <f>Waterfall!M$27</f>
        <v>0</v>
      </c>
      <c r="N55" s="537">
        <f>Waterfall!N$27</f>
        <v>0</v>
      </c>
      <c r="O55" s="537">
        <f>Waterfall!O$27</f>
        <v>0</v>
      </c>
      <c r="P55" s="537">
        <f>Waterfall!P$27</f>
        <v>0</v>
      </c>
      <c r="Q55" s="537">
        <f>Waterfall!Q$27</f>
        <v>0</v>
      </c>
      <c r="R55" s="537">
        <f>Waterfall!R$27</f>
        <v>0</v>
      </c>
      <c r="S55" s="537">
        <f>Waterfall!S$27</f>
        <v>0</v>
      </c>
      <c r="T55" s="537">
        <f>Waterfall!T$27</f>
        <v>0</v>
      </c>
      <c r="U55" s="537">
        <f>Waterfall!U$27</f>
        <v>0</v>
      </c>
      <c r="V55" s="537">
        <f>Waterfall!V$27</f>
        <v>0</v>
      </c>
      <c r="W55" s="537">
        <f>Waterfall!W$27</f>
        <v>0</v>
      </c>
      <c r="X55" s="537">
        <f>Waterfall!X$27</f>
        <v>0</v>
      </c>
      <c r="Y55" s="537">
        <f>Waterfall!Y$27</f>
        <v>0</v>
      </c>
      <c r="Z55" s="537">
        <f>Waterfall!Z$27</f>
        <v>0</v>
      </c>
      <c r="AA55" s="537">
        <f>Waterfall!AA$27</f>
        <v>0</v>
      </c>
      <c r="AB55" s="537">
        <f>Waterfall!AB$27</f>
        <v>0</v>
      </c>
      <c r="AC55" s="537">
        <f>Waterfall!AC$27</f>
        <v>0</v>
      </c>
      <c r="AD55" s="537">
        <f>Waterfall!AD$27</f>
        <v>0</v>
      </c>
      <c r="AE55" s="537">
        <f>Waterfall!AE$27</f>
        <v>0</v>
      </c>
      <c r="AF55" s="537">
        <f>Waterfall!AF$27</f>
        <v>0</v>
      </c>
      <c r="AG55" s="537">
        <f>Waterfall!AG$27</f>
        <v>0</v>
      </c>
      <c r="AH55" s="537">
        <f>Waterfall!AH$27</f>
        <v>3447.4028287593719</v>
      </c>
      <c r="AI55" s="537">
        <f>Waterfall!AI$27</f>
        <v>4361.6333462116818</v>
      </c>
      <c r="AJ55" s="537">
        <f>Waterfall!AJ$27</f>
        <v>4361.4212043011958</v>
      </c>
      <c r="AK55" s="537">
        <f>Waterfall!AK$27</f>
        <v>4351.8748183293092</v>
      </c>
      <c r="AL55" s="537">
        <f>Waterfall!AL$27</f>
        <v>4398.3164947932137</v>
      </c>
      <c r="AM55" s="537">
        <f>Waterfall!AM$27</f>
        <v>4438.1972663426359</v>
      </c>
      <c r="AN55" s="537">
        <f>Waterfall!AN$27</f>
        <v>4437.9825683523259</v>
      </c>
      <c r="AO55" s="537">
        <f>Waterfall!AO$27</f>
        <v>4428.3211587883843</v>
      </c>
      <c r="AP55" s="537">
        <f>Waterfall!AP$27</f>
        <v>4475.754274714247</v>
      </c>
      <c r="AQ55" s="537">
        <f>Waterfall!AQ$27</f>
        <v>4516.0178000725828</v>
      </c>
      <c r="AR55" s="537">
        <f>Waterfall!AR$27</f>
        <v>4515.8005383061181</v>
      </c>
      <c r="AS55" s="537">
        <f>Waterfall!AS$27</f>
        <v>4506.0237588152231</v>
      </c>
      <c r="AT55" s="537">
        <f>Waterfall!AT$27</f>
        <v>4564.5817807834947</v>
      </c>
      <c r="AU55" s="537">
        <f>Waterfall!AU$27</f>
        <v>4584.9999646268698</v>
      </c>
      <c r="AV55" s="537">
        <f>Waterfall!AV$27</f>
        <v>4594.8924115563777</v>
      </c>
      <c r="AW55" s="537">
        <f>Waterfall!AW$27</f>
        <v>4582.8887912905011</v>
      </c>
      <c r="AX55" s="537">
        <f>Waterfall!AX$27</f>
        <v>4634.4799840084852</v>
      </c>
      <c r="AY55" s="537">
        <f>Waterfall!AY$27</f>
        <v>4675.4980145116415</v>
      </c>
      <c r="AZ55" s="537">
        <f>Waterfall!AZ$27</f>
        <v>4675.275606500988</v>
      </c>
      <c r="BA55" s="537">
        <f>Waterfall!BA$27</f>
        <v>4662.986793214106</v>
      </c>
      <c r="BB55" s="537">
        <f>Waterfall!BB$27</f>
        <v>4656.1295223449815</v>
      </c>
      <c r="BC55" s="537">
        <f>Waterfall!BC$27</f>
        <v>4688.9894244629095</v>
      </c>
      <c r="BD55" s="537">
        <f>Waterfall!BD$27</f>
        <v>4680.6191642822851</v>
      </c>
      <c r="BE55" s="537">
        <f>Waterfall!BE$27</f>
        <v>4662.7159634130503</v>
      </c>
      <c r="BF55" s="537">
        <f>Waterfall!BF$27</f>
        <v>4702.5503211085806</v>
      </c>
      <c r="BG55" s="537">
        <f>Waterfall!BG$27</f>
        <v>4737.2110936923127</v>
      </c>
      <c r="BH55" s="537">
        <f>Waterfall!BH$27</f>
        <v>4730.2083698472934</v>
      </c>
      <c r="BI55" s="537">
        <f>Waterfall!BI$27</f>
        <v>4713.4973922950676</v>
      </c>
      <c r="BJ55" s="537">
        <f>Waterfall!BJ$27</f>
        <v>4766.2000444212799</v>
      </c>
      <c r="BK55" s="537">
        <f>Waterfall!BK$27</f>
        <v>4781.2407952482999</v>
      </c>
      <c r="BL55" s="537">
        <f>Waterfall!BL$27</f>
        <v>4785.9623168487306</v>
      </c>
      <c r="BM55" s="537">
        <f>Waterfall!BM$27</f>
        <v>4770.2233898933246</v>
      </c>
      <c r="BN55" s="537">
        <f>Waterfall!BN$27</f>
        <v>4814.4324478021363</v>
      </c>
      <c r="BO55" s="537">
        <f>Waterfall!BO$27</f>
        <v>4851.9954904304823</v>
      </c>
      <c r="BP55" s="537">
        <f>Waterfall!BP$27</f>
        <v>4847.0751977654909</v>
      </c>
      <c r="BQ55" s="537">
        <f>Waterfall!BQ$27</f>
        <v>4832.125234055794</v>
      </c>
      <c r="BR55" s="537">
        <f>Waterfall!BR$27</f>
        <v>4928.2618026852151</v>
      </c>
      <c r="BS55" s="537">
        <f>Waterfall!BS$27</f>
        <v>4966.9996589992643</v>
      </c>
      <c r="BT55" s="537">
        <f>Waterfall!BT$27</f>
        <v>4962.8652773374442</v>
      </c>
      <c r="BU55" s="537">
        <f>Waterfall!BU$27</f>
        <v>4948.552050396801</v>
      </c>
      <c r="BV55" s="537">
        <f>Waterfall!BV$27</f>
        <v>4866.0318999186666</v>
      </c>
      <c r="BW55" s="537">
        <f>Waterfall!BW$27</f>
        <v>4520.5358165312482</v>
      </c>
      <c r="BX55" s="537">
        <f>Waterfall!BX$27</f>
        <v>4509.4872611721521</v>
      </c>
      <c r="BY55" s="537">
        <f>Waterfall!BY$27</f>
        <v>4488.4573096415997</v>
      </c>
      <c r="BZ55" s="537">
        <f>Waterfall!BZ$27</f>
        <v>4531.3115325828039</v>
      </c>
      <c r="CA55" s="537">
        <f>Waterfall!CA$27</f>
        <v>4543.2696649447143</v>
      </c>
      <c r="CB55" s="537">
        <f>Waterfall!CB$27</f>
        <v>4511.399090363333</v>
      </c>
      <c r="CC55" s="537">
        <f>Waterfall!CC$27</f>
        <v>4327.2721347084926</v>
      </c>
      <c r="CD55" s="537">
        <f>Waterfall!CD$27</f>
        <v>4343.867448891303</v>
      </c>
      <c r="CE55" s="537">
        <f>Waterfall!CE$27</f>
        <v>4376.4090668733743</v>
      </c>
      <c r="CF55" s="537">
        <f>Waterfall!CF$27</f>
        <v>4365.002592425737</v>
      </c>
      <c r="CG55" s="537">
        <f>Waterfall!CG$27</f>
        <v>4341.2035044191498</v>
      </c>
      <c r="CH55" s="537">
        <f>Waterfall!CH$27</f>
        <v>4361.6709987342065</v>
      </c>
      <c r="CI55" s="537">
        <f>Waterfall!CI$27</f>
        <v>4395.2658550726037</v>
      </c>
      <c r="CJ55" s="537">
        <f>Waterfall!CJ$27</f>
        <v>4384.5140854212978</v>
      </c>
      <c r="CK55" s="537">
        <f>Waterfall!CK$27</f>
        <v>4361.4415856241212</v>
      </c>
      <c r="CL55" s="537">
        <f>Waterfall!CL$27</f>
        <v>4653.4315457003077</v>
      </c>
      <c r="CM55" s="537">
        <f>Waterfall!CM$27</f>
        <v>4687.3299495203464</v>
      </c>
      <c r="CN55" s="537">
        <f>Waterfall!CN$27</f>
        <v>4676.4851289616618</v>
      </c>
      <c r="CO55" s="537">
        <f>Waterfall!CO$27</f>
        <v>4653.4162385784457</v>
      </c>
      <c r="CP55" s="537">
        <f>Waterfall!CP$27</f>
        <v>4421.1747416232029</v>
      </c>
      <c r="CQ55" s="537">
        <f>Waterfall!CQ$27</f>
        <v>4431.7223445741556</v>
      </c>
      <c r="CR55" s="537">
        <f>Waterfall!CR$27</f>
        <v>4433.0575396339273</v>
      </c>
      <c r="CS55" s="537">
        <f>Waterfall!CS$27</f>
        <v>4410.7598271653342</v>
      </c>
      <c r="CT55" s="537">
        <f>Waterfall!CT$27</f>
        <v>4437.4401970216741</v>
      </c>
      <c r="CU55" s="537">
        <f>Waterfall!CU$27</f>
        <v>4472.6458896217509</v>
      </c>
      <c r="CV55" s="537">
        <f>Waterfall!CV$27</f>
        <v>4462.4130257696497</v>
      </c>
      <c r="CW55" s="537">
        <f>Waterfall!CW$27</f>
        <v>4440.2486740498935</v>
      </c>
      <c r="CX55" s="537">
        <f>Waterfall!CX$27</f>
        <v>4468.753546929669</v>
      </c>
      <c r="CY55" s="537">
        <f>Waterfall!CY$27</f>
        <v>4504.1063827836151</v>
      </c>
      <c r="CZ55" s="537">
        <f>Waterfall!CZ$27</f>
        <v>4493.689113396782</v>
      </c>
      <c r="DA55" s="537">
        <f>Waterfall!DA$27</f>
        <v>4471.5140031112142</v>
      </c>
      <c r="DB55" s="537">
        <f>Waterfall!DB$27</f>
        <v>9250.1759971050742</v>
      </c>
      <c r="DC55" s="537">
        <f>Waterfall!DC$27</f>
        <v>9339.0671459746045</v>
      </c>
      <c r="DD55" s="537">
        <f>Waterfall!DD$27</f>
        <v>9333.4126291791054</v>
      </c>
      <c r="DE55" s="537">
        <f>Waterfall!DE$27</f>
        <v>9304.4998770319035</v>
      </c>
      <c r="DF55" s="537">
        <f>Waterfall!DF$27</f>
        <v>10042.297500103878</v>
      </c>
      <c r="DG55" s="537">
        <f>Waterfall!DG$27</f>
        <v>10083.037086594606</v>
      </c>
      <c r="DH55" s="537">
        <f>Waterfall!DH$27</f>
        <v>10103.030440845592</v>
      </c>
      <c r="DI55" s="537">
        <f>Waterfall!DI$27</f>
        <v>10074.710093976457</v>
      </c>
      <c r="DJ55" s="537">
        <f>Waterfall!DJ$27</f>
        <v>9531.0000277068248</v>
      </c>
      <c r="DK55" s="537">
        <f>Waterfall!DK$27</f>
        <v>9622.5760692221538</v>
      </c>
      <c r="DL55" s="537">
        <f>Waterfall!DL$27</f>
        <v>9618.4891847043327</v>
      </c>
      <c r="DM55" s="537">
        <f>Waterfall!DM$27</f>
        <v>9590.6249782264968</v>
      </c>
      <c r="DN55" s="537">
        <f>Waterfall!DN$27</f>
        <v>9679.6513243283043</v>
      </c>
      <c r="DO55" s="537">
        <f>Waterfall!DO$27</f>
        <v>9772.3259446832872</v>
      </c>
      <c r="DP55" s="537">
        <f>Waterfall!DP$27</f>
        <v>9768.8299907587207</v>
      </c>
      <c r="DQ55" s="537">
        <f>Waterfall!DQ$27</f>
        <v>9741.3091688148925</v>
      </c>
      <c r="DR55" s="537">
        <f>Waterfall!DR$27</f>
        <v>9833.1752700445759</v>
      </c>
      <c r="DS55" s="537">
        <f>Waterfall!DS$27</f>
        <v>9926.8134161951511</v>
      </c>
      <c r="DT55" s="537">
        <f>Waterfall!DT$27</f>
        <v>9923.8082057289866</v>
      </c>
      <c r="DU55" s="537">
        <f>Waterfall!DU$27</f>
        <v>9896.5376166003607</v>
      </c>
      <c r="DV55" s="537">
        <f>Waterfall!DV$27</f>
        <v>10016.918852742816</v>
      </c>
      <c r="DW55" s="537">
        <f>Waterfall!DW$27</f>
        <v>10059.983606963106</v>
      </c>
      <c r="DX55" s="537">
        <f>Waterfall!DX$27</f>
        <v>10083.094712487115</v>
      </c>
      <c r="DY55" s="537">
        <f>Waterfall!DY$27</f>
        <v>10055.997562626802</v>
      </c>
      <c r="DZ55" s="537">
        <f>Waterfall!DZ$27</f>
        <v>10153.459517752461</v>
      </c>
      <c r="EA55" s="537">
        <f>Waterfall!EA$27</f>
        <v>10248.680194721674</v>
      </c>
      <c r="EB55" s="537">
        <f>Waterfall!EB$27</f>
        <v>10246.420544942679</v>
      </c>
      <c r="EC55" s="537">
        <f>Waterfall!EC$27</f>
        <v>10948.88102751593</v>
      </c>
      <c r="ED55" s="537">
        <f>Waterfall!ED$27</f>
        <v>2308.4176722004668</v>
      </c>
      <c r="EE55" s="537">
        <f>Waterfall!EE$27</f>
        <v>0</v>
      </c>
      <c r="EF55" s="537">
        <f>Waterfall!EF$27</f>
        <v>0</v>
      </c>
      <c r="EG55" s="537">
        <f>Waterfall!EG$27</f>
        <v>0</v>
      </c>
    </row>
    <row r="56" spans="5:137" ht="12.75">
      <c r="E56" s="538" t="str">
        <f>E$19</f>
        <v>DSRA - balance target</v>
      </c>
      <c r="G56" s="539" t="str">
        <f>G$19</f>
        <v>EUR 000s</v>
      </c>
      <c r="H56" s="539">
        <f>H$19</f>
        <v>697187.04072008806</v>
      </c>
      <c r="J56" s="539">
        <f t="shared" si="18" ref="J56:EG56">J$19</f>
        <v>0</v>
      </c>
      <c r="K56" s="539">
        <f t="shared" si="18"/>
        <v>0</v>
      </c>
      <c r="L56" s="539">
        <f t="shared" si="18"/>
        <v>0</v>
      </c>
      <c r="M56" s="539">
        <f t="shared" si="18"/>
        <v>0</v>
      </c>
      <c r="N56" s="539">
        <f t="shared" si="18"/>
        <v>0</v>
      </c>
      <c r="O56" s="539">
        <f t="shared" si="18"/>
        <v>0</v>
      </c>
      <c r="P56" s="539">
        <f t="shared" si="18"/>
        <v>0</v>
      </c>
      <c r="Q56" s="539">
        <f t="shared" si="18"/>
        <v>0</v>
      </c>
      <c r="R56" s="539">
        <f t="shared" si="18"/>
        <v>0</v>
      </c>
      <c r="S56" s="539">
        <f t="shared" si="18"/>
        <v>0</v>
      </c>
      <c r="T56" s="539">
        <f t="shared" si="18"/>
        <v>0</v>
      </c>
      <c r="U56" s="539">
        <f t="shared" si="18"/>
        <v>0</v>
      </c>
      <c r="V56" s="539">
        <f t="shared" si="18"/>
        <v>0</v>
      </c>
      <c r="W56" s="539">
        <f t="shared" si="18"/>
        <v>0</v>
      </c>
      <c r="X56" s="539">
        <f t="shared" si="18"/>
        <v>0</v>
      </c>
      <c r="Y56" s="539">
        <f t="shared" si="18"/>
        <v>0</v>
      </c>
      <c r="Z56" s="539">
        <f t="shared" si="18"/>
        <v>0</v>
      </c>
      <c r="AA56" s="539">
        <f t="shared" si="18"/>
        <v>0</v>
      </c>
      <c r="AB56" s="539">
        <f t="shared" si="18"/>
        <v>0</v>
      </c>
      <c r="AC56" s="539">
        <f t="shared" si="18"/>
        <v>0</v>
      </c>
      <c r="AD56" s="539">
        <f t="shared" si="18"/>
        <v>0</v>
      </c>
      <c r="AE56" s="539">
        <f t="shared" si="18"/>
        <v>0</v>
      </c>
      <c r="AF56" s="539">
        <f t="shared" si="18"/>
        <v>0</v>
      </c>
      <c r="AG56" s="539">
        <f t="shared" si="18"/>
        <v>8333.2746174985332</v>
      </c>
      <c r="AH56" s="539">
        <f t="shared" si="18"/>
        <v>9308.6531351756057</v>
      </c>
      <c r="AI56" s="539">
        <f t="shared" si="18"/>
        <v>9298.2394950176858</v>
      </c>
      <c r="AJ56" s="539">
        <f t="shared" si="18"/>
        <v>9337.6116506683175</v>
      </c>
      <c r="AK56" s="539">
        <f t="shared" si="18"/>
        <v>9429.7291218685914</v>
      </c>
      <c r="AL56" s="539">
        <f t="shared" si="18"/>
        <v>9472.0580695850113</v>
      </c>
      <c r="AM56" s="539">
        <f t="shared" si="18"/>
        <v>9461.5189563631629</v>
      </c>
      <c r="AN56" s="539">
        <f t="shared" si="18"/>
        <v>9501.8263636837055</v>
      </c>
      <c r="AO56" s="539">
        <f t="shared" si="18"/>
        <v>9595.4102808892349</v>
      </c>
      <c r="AP56" s="539">
        <f t="shared" si="18"/>
        <v>9638.1449416640698</v>
      </c>
      <c r="AQ56" s="539">
        <f t="shared" si="18"/>
        <v>9627.4799775801403</v>
      </c>
      <c r="AR56" s="539">
        <f t="shared" si="18"/>
        <v>9679.536016332997</v>
      </c>
      <c r="AS56" s="539">
        <f t="shared" si="18"/>
        <v>9763.8140753059997</v>
      </c>
      <c r="AT56" s="539">
        <f t="shared" si="18"/>
        <v>9796.1595279842222</v>
      </c>
      <c r="AU56" s="539">
        <f t="shared" si="18"/>
        <v>9793.9066267576272</v>
      </c>
      <c r="AV56" s="539">
        <f t="shared" si="18"/>
        <v>9836.1518034083492</v>
      </c>
      <c r="AW56" s="539">
        <f t="shared" si="18"/>
        <v>9934.9780954017842</v>
      </c>
      <c r="AX56" s="539">
        <f t="shared" si="18"/>
        <v>9978.5124212525789</v>
      </c>
      <c r="AY56" s="539">
        <f t="shared" si="18"/>
        <v>9965.1612930804731</v>
      </c>
      <c r="AZ56" s="539">
        <f t="shared" si="18"/>
        <v>9944.7298885451564</v>
      </c>
      <c r="BA56" s="539">
        <f t="shared" si="18"/>
        <v>9972.4781358472173</v>
      </c>
      <c r="BB56" s="539">
        <f t="shared" si="18"/>
        <v>9998.6118234080277</v>
      </c>
      <c r="BC56" s="539">
        <f t="shared" si="18"/>
        <v>9970.5745648815064</v>
      </c>
      <c r="BD56" s="539">
        <f t="shared" si="18"/>
        <v>9993.9780103795183</v>
      </c>
      <c r="BE56" s="539">
        <f t="shared" si="18"/>
        <v>10073.47416898013</v>
      </c>
      <c r="BF56" s="539">
        <f t="shared" si="18"/>
        <v>10102.988965730921</v>
      </c>
      <c r="BG56" s="539">
        <f t="shared" si="18"/>
        <v>10077.683309371694</v>
      </c>
      <c r="BH56" s="539">
        <f t="shared" si="18"/>
        <v>10116.091187302902</v>
      </c>
      <c r="BI56" s="539">
        <f t="shared" si="18"/>
        <v>10188.382359693998</v>
      </c>
      <c r="BJ56" s="539">
        <f t="shared" si="18"/>
        <v>10209.471318627446</v>
      </c>
      <c r="BK56" s="539">
        <f t="shared" si="18"/>
        <v>10197.714289675579</v>
      </c>
      <c r="BL56" s="539">
        <f t="shared" si="18"/>
        <v>10228.09568557579</v>
      </c>
      <c r="BM56" s="539">
        <f t="shared" si="18"/>
        <v>10315.357334076012</v>
      </c>
      <c r="BN56" s="539">
        <f t="shared" si="18"/>
        <v>10350.191466434988</v>
      </c>
      <c r="BO56" s="539">
        <f t="shared" si="18"/>
        <v>10328.987274345176</v>
      </c>
      <c r="BP56" s="539">
        <f t="shared" si="18"/>
        <v>10415.624121569275</v>
      </c>
      <c r="BQ56" s="539">
        <f t="shared" si="18"/>
        <v>10559.552974855102</v>
      </c>
      <c r="BR56" s="539">
        <f t="shared" si="18"/>
        <v>10596.479459831688</v>
      </c>
      <c r="BS56" s="539">
        <f t="shared" si="18"/>
        <v>10576.793421109882</v>
      </c>
      <c r="BT56" s="539">
        <f t="shared" si="18"/>
        <v>10473.459397795083</v>
      </c>
      <c r="BU56" s="539">
        <f t="shared" si="18"/>
        <v>10016.709456108158</v>
      </c>
      <c r="BV56" s="539">
        <f t="shared" si="18"/>
        <v>9636.2291610373613</v>
      </c>
      <c r="BW56" s="539">
        <f t="shared" si="18"/>
        <v>9601.997150678957</v>
      </c>
      <c r="BX56" s="539">
        <f t="shared" si="18"/>
        <v>9625.2865352991357</v>
      </c>
      <c r="BY56" s="539">
        <f t="shared" si="18"/>
        <v>9683.778569263166</v>
      </c>
      <c r="BZ56" s="539">
        <f t="shared" si="18"/>
        <v>9662.5293592965245</v>
      </c>
      <c r="CA56" s="539">
        <f t="shared" si="18"/>
        <v>9432.0314212886315</v>
      </c>
      <c r="CB56" s="539">
        <f t="shared" si="18"/>
        <v>9253.2529979049323</v>
      </c>
      <c r="CC56" s="539">
        <f t="shared" si="18"/>
        <v>9305.6886046067902</v>
      </c>
      <c r="CD56" s="539">
        <f t="shared" si="18"/>
        <v>9328.242598621724</v>
      </c>
      <c r="CE56" s="539">
        <f t="shared" si="18"/>
        <v>9290.6736063131902</v>
      </c>
      <c r="CF56" s="539">
        <f t="shared" si="18"/>
        <v>9287.1183551242611</v>
      </c>
      <c r="CG56" s="539">
        <f t="shared" si="18"/>
        <v>9344.8100349126944</v>
      </c>
      <c r="CH56" s="539">
        <f t="shared" si="18"/>
        <v>9369.1866302068702</v>
      </c>
      <c r="CI56" s="539">
        <f t="shared" si="18"/>
        <v>9333.0916602598882</v>
      </c>
      <c r="CJ56" s="539">
        <f t="shared" si="18"/>
        <v>9620.0621641394609</v>
      </c>
      <c r="CK56" s="539">
        <f t="shared" si="18"/>
        <v>9967.8281585778968</v>
      </c>
      <c r="CL56" s="539">
        <f t="shared" si="18"/>
        <v>9992.4293815623641</v>
      </c>
      <c r="CM56" s="539">
        <f t="shared" si="18"/>
        <v>9956.2389657101321</v>
      </c>
      <c r="CN56" s="539">
        <f t="shared" si="18"/>
        <v>9683.7890086705629</v>
      </c>
      <c r="CO56" s="539">
        <f t="shared" si="18"/>
        <v>9447.2122969783286</v>
      </c>
      <c r="CP56" s="539">
        <f t="shared" si="18"/>
        <v>9459.8928143723988</v>
      </c>
      <c r="CQ56" s="539">
        <f t="shared" si="18"/>
        <v>9437.5230352693525</v>
      </c>
      <c r="CR56" s="539">
        <f t="shared" si="18"/>
        <v>9442.1999104621646</v>
      </c>
      <c r="CS56" s="539">
        <f t="shared" si="18"/>
        <v>9508.240525704532</v>
      </c>
      <c r="CT56" s="539">
        <f t="shared" si="18"/>
        <v>9534.8898375107237</v>
      </c>
      <c r="CU56" s="539">
        <f t="shared" si="18"/>
        <v>9500.3177228280038</v>
      </c>
      <c r="CV56" s="539">
        <f t="shared" si="18"/>
        <v>9507.0838976619561</v>
      </c>
      <c r="CW56" s="539">
        <f t="shared" si="18"/>
        <v>9575.228520301549</v>
      </c>
      <c r="CX56" s="539">
        <f t="shared" si="18"/>
        <v>9601.8380683248215</v>
      </c>
      <c r="CY56" s="539">
        <f t="shared" si="18"/>
        <v>9567.0576877281255</v>
      </c>
      <c r="CZ56" s="539">
        <f t="shared" si="18"/>
        <v>4771.6969558081337</v>
      </c>
      <c r="DA56" s="539">
        <f t="shared" si="18"/>
        <v>0</v>
      </c>
      <c r="DB56" s="539">
        <f t="shared" si="18"/>
        <v>0</v>
      </c>
      <c r="DC56" s="539">
        <f t="shared" si="18"/>
        <v>0</v>
      </c>
      <c r="DD56" s="539">
        <f t="shared" si="18"/>
        <v>0</v>
      </c>
      <c r="DE56" s="539">
        <f t="shared" si="18"/>
        <v>0</v>
      </c>
      <c r="DF56" s="539">
        <f t="shared" si="18"/>
        <v>0</v>
      </c>
      <c r="DG56" s="539">
        <f t="shared" si="18"/>
        <v>0</v>
      </c>
      <c r="DH56" s="539">
        <f t="shared" si="18"/>
        <v>0</v>
      </c>
      <c r="DI56" s="539">
        <f t="shared" si="18"/>
        <v>0</v>
      </c>
      <c r="DJ56" s="539">
        <f t="shared" si="18"/>
        <v>0</v>
      </c>
      <c r="DK56" s="539">
        <f t="shared" si="18"/>
        <v>0</v>
      </c>
      <c r="DL56" s="539">
        <f t="shared" si="18"/>
        <v>0</v>
      </c>
      <c r="DM56" s="539">
        <f t="shared" si="18"/>
        <v>0</v>
      </c>
      <c r="DN56" s="539">
        <f t="shared" si="18"/>
        <v>0</v>
      </c>
      <c r="DO56" s="539">
        <f t="shared" si="18"/>
        <v>0</v>
      </c>
      <c r="DP56" s="539">
        <f t="shared" si="18"/>
        <v>0</v>
      </c>
      <c r="DQ56" s="539">
        <f t="shared" si="18"/>
        <v>0</v>
      </c>
      <c r="DR56" s="539">
        <f t="shared" si="18"/>
        <v>0</v>
      </c>
      <c r="DS56" s="539">
        <f t="shared" si="18"/>
        <v>0</v>
      </c>
      <c r="DT56" s="539">
        <f t="shared" si="18"/>
        <v>0</v>
      </c>
      <c r="DU56" s="539">
        <f t="shared" si="18"/>
        <v>0</v>
      </c>
      <c r="DV56" s="539">
        <f t="shared" si="18"/>
        <v>0</v>
      </c>
      <c r="DW56" s="539">
        <f t="shared" si="18"/>
        <v>0</v>
      </c>
      <c r="DX56" s="539">
        <f t="shared" si="18"/>
        <v>0</v>
      </c>
      <c r="DY56" s="539">
        <f t="shared" si="18"/>
        <v>0</v>
      </c>
      <c r="DZ56" s="539">
        <f t="shared" si="18"/>
        <v>0</v>
      </c>
      <c r="EA56" s="539">
        <f t="shared" si="18"/>
        <v>0</v>
      </c>
      <c r="EB56" s="539">
        <f t="shared" si="18"/>
        <v>0</v>
      </c>
      <c r="EC56" s="539">
        <f t="shared" si="18"/>
        <v>0</v>
      </c>
      <c r="ED56" s="539">
        <f t="shared" si="18"/>
        <v>0</v>
      </c>
      <c r="EE56" s="539">
        <f t="shared" si="18"/>
        <v>0</v>
      </c>
      <c r="EF56" s="539">
        <f t="shared" si="18"/>
        <v>0</v>
      </c>
      <c r="EG56" s="539">
        <f t="shared" si="18"/>
        <v>0</v>
      </c>
    </row>
    <row r="57" spans="5:137" ht="12.75">
      <c r="E57" s="538" t="str">
        <f>E$48</f>
        <v>DSRA - balance after initial funding and draw</v>
      </c>
      <c r="G57" s="539" t="str">
        <f>G$48</f>
        <v>EUR 000s</v>
      </c>
      <c r="H57" s="539">
        <f>H$48</f>
        <v>705520.31533758657</v>
      </c>
      <c r="J57" s="539">
        <f t="shared" si="19" ref="J57:EG57">J$48</f>
        <v>0</v>
      </c>
      <c r="K57" s="539">
        <f t="shared" si="19"/>
        <v>0</v>
      </c>
      <c r="L57" s="539">
        <f t="shared" si="19"/>
        <v>0</v>
      </c>
      <c r="M57" s="539">
        <f t="shared" si="19"/>
        <v>0</v>
      </c>
      <c r="N57" s="539">
        <f t="shared" si="19"/>
        <v>0</v>
      </c>
      <c r="O57" s="539">
        <f t="shared" si="19"/>
        <v>0</v>
      </c>
      <c r="P57" s="539">
        <f t="shared" si="19"/>
        <v>1.8189894035458565E-12</v>
      </c>
      <c r="Q57" s="539">
        <f t="shared" si="19"/>
        <v>0</v>
      </c>
      <c r="R57" s="539">
        <f t="shared" si="19"/>
        <v>0</v>
      </c>
      <c r="S57" s="539">
        <f t="shared" si="19"/>
        <v>0</v>
      </c>
      <c r="T57" s="539">
        <f t="shared" si="19"/>
        <v>0</v>
      </c>
      <c r="U57" s="539">
        <f t="shared" si="19"/>
        <v>0</v>
      </c>
      <c r="V57" s="539">
        <f t="shared" si="19"/>
        <v>0</v>
      </c>
      <c r="W57" s="539">
        <f t="shared" si="19"/>
        <v>0</v>
      </c>
      <c r="X57" s="539">
        <f t="shared" si="19"/>
        <v>0</v>
      </c>
      <c r="Y57" s="539">
        <f t="shared" si="19"/>
        <v>0</v>
      </c>
      <c r="Z57" s="539">
        <f t="shared" si="19"/>
        <v>0</v>
      </c>
      <c r="AA57" s="539">
        <f t="shared" si="19"/>
        <v>0</v>
      </c>
      <c r="AB57" s="539">
        <f t="shared" si="19"/>
        <v>0</v>
      </c>
      <c r="AC57" s="539">
        <f t="shared" si="19"/>
        <v>0</v>
      </c>
      <c r="AD57" s="539">
        <f t="shared" si="19"/>
        <v>0</v>
      </c>
      <c r="AE57" s="539">
        <f t="shared" si="19"/>
        <v>0</v>
      </c>
      <c r="AF57" s="539">
        <f t="shared" si="19"/>
        <v>0</v>
      </c>
      <c r="AG57" s="539">
        <f t="shared" si="19"/>
        <v>8333.2746174985332</v>
      </c>
      <c r="AH57" s="539">
        <f t="shared" si="19"/>
        <v>8333.2746174985332</v>
      </c>
      <c r="AI57" s="539">
        <f t="shared" si="19"/>
        <v>9308.6531351756057</v>
      </c>
      <c r="AJ57" s="539">
        <f t="shared" si="19"/>
        <v>9298.2394950176858</v>
      </c>
      <c r="AK57" s="539">
        <f t="shared" si="19"/>
        <v>9337.6116506683175</v>
      </c>
      <c r="AL57" s="539">
        <f t="shared" si="19"/>
        <v>9429.7291218685914</v>
      </c>
      <c r="AM57" s="539">
        <f t="shared" si="19"/>
        <v>9472.0580695850113</v>
      </c>
      <c r="AN57" s="539">
        <f t="shared" si="19"/>
        <v>9461.5189563631629</v>
      </c>
      <c r="AO57" s="539">
        <f t="shared" si="19"/>
        <v>9501.8263636837055</v>
      </c>
      <c r="AP57" s="539">
        <f t="shared" si="19"/>
        <v>9595.4102808892349</v>
      </c>
      <c r="AQ57" s="539">
        <f t="shared" si="19"/>
        <v>9638.1449416640698</v>
      </c>
      <c r="AR57" s="539">
        <f t="shared" si="19"/>
        <v>9627.4799775801403</v>
      </c>
      <c r="AS57" s="539">
        <f t="shared" si="19"/>
        <v>9679.536016332997</v>
      </c>
      <c r="AT57" s="539">
        <f t="shared" si="19"/>
        <v>9763.8140753059997</v>
      </c>
      <c r="AU57" s="539">
        <f t="shared" si="19"/>
        <v>9796.1595279842222</v>
      </c>
      <c r="AV57" s="539">
        <f t="shared" si="19"/>
        <v>9793.9066267576272</v>
      </c>
      <c r="AW57" s="539">
        <f t="shared" si="19"/>
        <v>9836.1518034083492</v>
      </c>
      <c r="AX57" s="539">
        <f t="shared" si="19"/>
        <v>9934.9780954017842</v>
      </c>
      <c r="AY57" s="539">
        <f t="shared" si="19"/>
        <v>9978.5124212525789</v>
      </c>
      <c r="AZ57" s="539">
        <f t="shared" si="19"/>
        <v>9965.1612930804731</v>
      </c>
      <c r="BA57" s="539">
        <f t="shared" si="19"/>
        <v>9944.7298885451564</v>
      </c>
      <c r="BB57" s="539">
        <f t="shared" si="19"/>
        <v>9972.4781358472173</v>
      </c>
      <c r="BC57" s="539">
        <f t="shared" si="19"/>
        <v>9998.6118234080277</v>
      </c>
      <c r="BD57" s="539">
        <f t="shared" si="19"/>
        <v>9970.5745648815064</v>
      </c>
      <c r="BE57" s="539">
        <f t="shared" si="19"/>
        <v>9993.9780103795183</v>
      </c>
      <c r="BF57" s="539">
        <f t="shared" si="19"/>
        <v>10073.47416898013</v>
      </c>
      <c r="BG57" s="539">
        <f t="shared" si="19"/>
        <v>10102.988965730921</v>
      </c>
      <c r="BH57" s="539">
        <f t="shared" si="19"/>
        <v>10077.683309371694</v>
      </c>
      <c r="BI57" s="539">
        <f t="shared" si="19"/>
        <v>10116.091187302902</v>
      </c>
      <c r="BJ57" s="539">
        <f t="shared" si="19"/>
        <v>10188.382359693998</v>
      </c>
      <c r="BK57" s="539">
        <f t="shared" si="19"/>
        <v>10209.471318627446</v>
      </c>
      <c r="BL57" s="539">
        <f t="shared" si="19"/>
        <v>10197.714289675579</v>
      </c>
      <c r="BM57" s="539">
        <f t="shared" si="19"/>
        <v>10228.09568557579</v>
      </c>
      <c r="BN57" s="539">
        <f t="shared" si="19"/>
        <v>10315.357334076012</v>
      </c>
      <c r="BO57" s="539">
        <f t="shared" si="19"/>
        <v>10350.191466434988</v>
      </c>
      <c r="BP57" s="539">
        <f t="shared" si="19"/>
        <v>10328.987274345176</v>
      </c>
      <c r="BQ57" s="539">
        <f t="shared" si="19"/>
        <v>10415.624121569275</v>
      </c>
      <c r="BR57" s="539">
        <f t="shared" si="19"/>
        <v>10559.552974855102</v>
      </c>
      <c r="BS57" s="539">
        <f t="shared" si="19"/>
        <v>10596.479459831688</v>
      </c>
      <c r="BT57" s="539">
        <f t="shared" si="19"/>
        <v>10576.793421109882</v>
      </c>
      <c r="BU57" s="539">
        <f t="shared" si="19"/>
        <v>10473.459397795083</v>
      </c>
      <c r="BV57" s="539">
        <f t="shared" si="19"/>
        <v>10016.709456108158</v>
      </c>
      <c r="BW57" s="539">
        <f t="shared" si="19"/>
        <v>9636.2291610373613</v>
      </c>
      <c r="BX57" s="539">
        <f t="shared" si="19"/>
        <v>9601.997150678957</v>
      </c>
      <c r="BY57" s="539">
        <f t="shared" si="19"/>
        <v>9625.2865352991357</v>
      </c>
      <c r="BZ57" s="539">
        <f t="shared" si="19"/>
        <v>9683.778569263166</v>
      </c>
      <c r="CA57" s="539">
        <f t="shared" si="19"/>
        <v>9662.5293592965245</v>
      </c>
      <c r="CB57" s="539">
        <f t="shared" si="19"/>
        <v>9432.0314212886315</v>
      </c>
      <c r="CC57" s="539">
        <f t="shared" si="19"/>
        <v>9253.2529979049323</v>
      </c>
      <c r="CD57" s="539">
        <f t="shared" si="19"/>
        <v>9305.6886046067902</v>
      </c>
      <c r="CE57" s="539">
        <f t="shared" si="19"/>
        <v>9328.242598621724</v>
      </c>
      <c r="CF57" s="539">
        <f t="shared" si="19"/>
        <v>9290.6736063131902</v>
      </c>
      <c r="CG57" s="539">
        <f t="shared" si="19"/>
        <v>9287.1183551242611</v>
      </c>
      <c r="CH57" s="539">
        <f t="shared" si="19"/>
        <v>9344.8100349126944</v>
      </c>
      <c r="CI57" s="539">
        <f t="shared" si="19"/>
        <v>9369.1866302068702</v>
      </c>
      <c r="CJ57" s="539">
        <f t="shared" si="19"/>
        <v>9333.0916602598882</v>
      </c>
      <c r="CK57" s="539">
        <f t="shared" si="19"/>
        <v>9620.0621641394609</v>
      </c>
      <c r="CL57" s="539">
        <f t="shared" si="19"/>
        <v>9967.8281585778968</v>
      </c>
      <c r="CM57" s="539">
        <f t="shared" si="19"/>
        <v>9992.4293815623641</v>
      </c>
      <c r="CN57" s="539">
        <f t="shared" si="19"/>
        <v>9956.2389657101321</v>
      </c>
      <c r="CO57" s="539">
        <f t="shared" si="19"/>
        <v>9683.7890086705629</v>
      </c>
      <c r="CP57" s="539">
        <f t="shared" si="19"/>
        <v>9447.2122969783286</v>
      </c>
      <c r="CQ57" s="539">
        <f t="shared" si="19"/>
        <v>9459.8928143723988</v>
      </c>
      <c r="CR57" s="539">
        <f t="shared" si="19"/>
        <v>9437.5230352693525</v>
      </c>
      <c r="CS57" s="539">
        <f t="shared" si="19"/>
        <v>9442.1999104621646</v>
      </c>
      <c r="CT57" s="539">
        <f t="shared" si="19"/>
        <v>9508.240525704532</v>
      </c>
      <c r="CU57" s="539">
        <f t="shared" si="19"/>
        <v>9534.8898375107237</v>
      </c>
      <c r="CV57" s="539">
        <f t="shared" si="19"/>
        <v>9500.3177228280038</v>
      </c>
      <c r="CW57" s="539">
        <f t="shared" si="19"/>
        <v>9507.0838976619561</v>
      </c>
      <c r="CX57" s="539">
        <f t="shared" si="19"/>
        <v>9575.228520301549</v>
      </c>
      <c r="CY57" s="539">
        <f t="shared" si="19"/>
        <v>9601.8380683248215</v>
      </c>
      <c r="CZ57" s="539">
        <f t="shared" si="19"/>
        <v>9567.0576877281255</v>
      </c>
      <c r="DA57" s="539">
        <f t="shared" si="19"/>
        <v>4771.6969558081337</v>
      </c>
      <c r="DB57" s="539">
        <f t="shared" si="19"/>
        <v>0</v>
      </c>
      <c r="DC57" s="539">
        <f t="shared" si="19"/>
        <v>0</v>
      </c>
      <c r="DD57" s="539">
        <f t="shared" si="19"/>
        <v>0</v>
      </c>
      <c r="DE57" s="539">
        <f t="shared" si="19"/>
        <v>0</v>
      </c>
      <c r="DF57" s="539">
        <f t="shared" si="19"/>
        <v>0</v>
      </c>
      <c r="DG57" s="539">
        <f t="shared" si="19"/>
        <v>0</v>
      </c>
      <c r="DH57" s="539">
        <f t="shared" si="19"/>
        <v>0</v>
      </c>
      <c r="DI57" s="539">
        <f t="shared" si="19"/>
        <v>0</v>
      </c>
      <c r="DJ57" s="539">
        <f t="shared" si="19"/>
        <v>0</v>
      </c>
      <c r="DK57" s="539">
        <f t="shared" si="19"/>
        <v>0</v>
      </c>
      <c r="DL57" s="539">
        <f t="shared" si="19"/>
        <v>0</v>
      </c>
      <c r="DM57" s="539">
        <f t="shared" si="19"/>
        <v>0</v>
      </c>
      <c r="DN57" s="539">
        <f t="shared" si="19"/>
        <v>0</v>
      </c>
      <c r="DO57" s="539">
        <f t="shared" si="19"/>
        <v>0</v>
      </c>
      <c r="DP57" s="539">
        <f t="shared" si="19"/>
        <v>0</v>
      </c>
      <c r="DQ57" s="539">
        <f t="shared" si="19"/>
        <v>0</v>
      </c>
      <c r="DR57" s="539">
        <f t="shared" si="19"/>
        <v>0</v>
      </c>
      <c r="DS57" s="539">
        <f t="shared" si="19"/>
        <v>0</v>
      </c>
      <c r="DT57" s="539">
        <f t="shared" si="19"/>
        <v>0</v>
      </c>
      <c r="DU57" s="539">
        <f t="shared" si="19"/>
        <v>0</v>
      </c>
      <c r="DV57" s="539">
        <f t="shared" si="19"/>
        <v>0</v>
      </c>
      <c r="DW57" s="539">
        <f t="shared" si="19"/>
        <v>0</v>
      </c>
      <c r="DX57" s="539">
        <f t="shared" si="19"/>
        <v>0</v>
      </c>
      <c r="DY57" s="539">
        <f t="shared" si="19"/>
        <v>0</v>
      </c>
      <c r="DZ57" s="539">
        <f t="shared" si="19"/>
        <v>0</v>
      </c>
      <c r="EA57" s="539">
        <f t="shared" si="19"/>
        <v>0</v>
      </c>
      <c r="EB57" s="539">
        <f t="shared" si="19"/>
        <v>0</v>
      </c>
      <c r="EC57" s="539">
        <f t="shared" si="19"/>
        <v>0</v>
      </c>
      <c r="ED57" s="539">
        <f t="shared" si="19"/>
        <v>0</v>
      </c>
      <c r="EE57" s="539">
        <f t="shared" si="19"/>
        <v>0</v>
      </c>
      <c r="EF57" s="539">
        <f t="shared" si="19"/>
        <v>0</v>
      </c>
      <c r="EG57" s="539">
        <f t="shared" si="19"/>
        <v>0</v>
      </c>
    </row>
    <row r="58" spans="5:137" ht="12.75">
      <c r="E58" s="540" t="s">
        <v>372</v>
      </c>
      <c r="G58" s="541" t="s">
        <v>30</v>
      </c>
      <c r="H58" s="541">
        <f>SUM(J58:EG58)</f>
        <v>3526.9068104766411</v>
      </c>
      <c r="J58" s="541">
        <f t="shared" si="20" ref="J58:EG58">MIN(MAX(0,J56-J57),MAX(0,J55))</f>
        <v>0</v>
      </c>
      <c r="K58" s="541">
        <f t="shared" si="20"/>
        <v>0</v>
      </c>
      <c r="L58" s="541">
        <f t="shared" si="20"/>
        <v>0</v>
      </c>
      <c r="M58" s="541">
        <f t="shared" si="20"/>
        <v>0</v>
      </c>
      <c r="N58" s="541">
        <f t="shared" si="20"/>
        <v>0</v>
      </c>
      <c r="O58" s="541">
        <f t="shared" si="20"/>
        <v>0</v>
      </c>
      <c r="P58" s="541">
        <f t="shared" si="20"/>
        <v>0</v>
      </c>
      <c r="Q58" s="541">
        <f t="shared" si="20"/>
        <v>0</v>
      </c>
      <c r="R58" s="541">
        <f t="shared" si="20"/>
        <v>0</v>
      </c>
      <c r="S58" s="541">
        <f t="shared" si="20"/>
        <v>0</v>
      </c>
      <c r="T58" s="541">
        <f t="shared" si="20"/>
        <v>0</v>
      </c>
      <c r="U58" s="541">
        <f t="shared" si="20"/>
        <v>0</v>
      </c>
      <c r="V58" s="541">
        <f t="shared" si="20"/>
        <v>0</v>
      </c>
      <c r="W58" s="541">
        <f t="shared" si="20"/>
        <v>0</v>
      </c>
      <c r="X58" s="541">
        <f t="shared" si="20"/>
        <v>0</v>
      </c>
      <c r="Y58" s="541">
        <f t="shared" si="20"/>
        <v>0</v>
      </c>
      <c r="Z58" s="541">
        <f t="shared" si="20"/>
        <v>0</v>
      </c>
      <c r="AA58" s="541">
        <f t="shared" si="20"/>
        <v>0</v>
      </c>
      <c r="AB58" s="541">
        <f t="shared" si="20"/>
        <v>0</v>
      </c>
      <c r="AC58" s="541">
        <f t="shared" si="20"/>
        <v>0</v>
      </c>
      <c r="AD58" s="541">
        <f t="shared" si="20"/>
        <v>0</v>
      </c>
      <c r="AE58" s="541">
        <f t="shared" si="20"/>
        <v>0</v>
      </c>
      <c r="AF58" s="541">
        <f t="shared" si="20"/>
        <v>0</v>
      </c>
      <c r="AG58" s="541">
        <f t="shared" si="20"/>
        <v>0</v>
      </c>
      <c r="AH58" s="541">
        <f t="shared" si="20"/>
        <v>975.37851767707252</v>
      </c>
      <c r="AI58" s="541">
        <f t="shared" si="20"/>
        <v>0</v>
      </c>
      <c r="AJ58" s="541">
        <f t="shared" si="20"/>
        <v>39.372155650631612</v>
      </c>
      <c r="AK58" s="541">
        <f t="shared" si="20"/>
        <v>92.11747120027394</v>
      </c>
      <c r="AL58" s="541">
        <f t="shared" si="20"/>
        <v>42.328947716419862</v>
      </c>
      <c r="AM58" s="541">
        <f t="shared" si="20"/>
        <v>0</v>
      </c>
      <c r="AN58" s="541">
        <f t="shared" si="20"/>
        <v>40.307407320542552</v>
      </c>
      <c r="AO58" s="541">
        <f t="shared" si="20"/>
        <v>93.58391720552936</v>
      </c>
      <c r="AP58" s="541">
        <f t="shared" si="20"/>
        <v>42.734660774834992</v>
      </c>
      <c r="AQ58" s="541">
        <f t="shared" si="20"/>
        <v>0</v>
      </c>
      <c r="AR58" s="541">
        <f t="shared" si="20"/>
        <v>52.056038752856693</v>
      </c>
      <c r="AS58" s="541">
        <f t="shared" si="20"/>
        <v>84.278058973002771</v>
      </c>
      <c r="AT58" s="541">
        <f t="shared" si="20"/>
        <v>32.3454526782225</v>
      </c>
      <c r="AU58" s="541">
        <f t="shared" si="20"/>
        <v>0</v>
      </c>
      <c r="AV58" s="541">
        <f t="shared" si="20"/>
        <v>42.245176650721987</v>
      </c>
      <c r="AW58" s="541">
        <f t="shared" si="20"/>
        <v>98.826291993435007</v>
      </c>
      <c r="AX58" s="541">
        <f t="shared" si="20"/>
        <v>43.53432585079463</v>
      </c>
      <c r="AY58" s="541">
        <f t="shared" si="20"/>
        <v>0</v>
      </c>
      <c r="AZ58" s="541">
        <f t="shared" si="20"/>
        <v>0</v>
      </c>
      <c r="BA58" s="541">
        <f t="shared" si="20"/>
        <v>27.748247302060918</v>
      </c>
      <c r="BB58" s="541">
        <f t="shared" si="20"/>
        <v>26.133687560810358</v>
      </c>
      <c r="BC58" s="541">
        <f t="shared" si="20"/>
        <v>0</v>
      </c>
      <c r="BD58" s="541">
        <f t="shared" si="20"/>
        <v>23.403445498011934</v>
      </c>
      <c r="BE58" s="541">
        <f t="shared" si="20"/>
        <v>79.496158600612034</v>
      </c>
      <c r="BF58" s="541">
        <f t="shared" si="20"/>
        <v>29.514796750790993</v>
      </c>
      <c r="BG58" s="541">
        <f t="shared" si="20"/>
        <v>0</v>
      </c>
      <c r="BH58" s="541">
        <f t="shared" si="20"/>
        <v>38.407877931207622</v>
      </c>
      <c r="BI58" s="541">
        <f t="shared" si="20"/>
        <v>72.291172391096552</v>
      </c>
      <c r="BJ58" s="541">
        <f t="shared" si="20"/>
        <v>21.088958933447429</v>
      </c>
      <c r="BK58" s="541">
        <f t="shared" si="20"/>
        <v>0</v>
      </c>
      <c r="BL58" s="541">
        <f t="shared" si="20"/>
        <v>30.381395900210919</v>
      </c>
      <c r="BM58" s="541">
        <f t="shared" si="20"/>
        <v>87.261648500221781</v>
      </c>
      <c r="BN58" s="541">
        <f t="shared" si="20"/>
        <v>34.834132358975694</v>
      </c>
      <c r="BO58" s="541">
        <f t="shared" si="20"/>
        <v>0</v>
      </c>
      <c r="BP58" s="541">
        <f t="shared" si="20"/>
        <v>86.636847224099256</v>
      </c>
      <c r="BQ58" s="541">
        <f t="shared" si="20"/>
        <v>143.92885328582634</v>
      </c>
      <c r="BR58" s="541">
        <f t="shared" si="20"/>
        <v>36.926484976585925</v>
      </c>
      <c r="BS58" s="541">
        <f t="shared" si="20"/>
        <v>0</v>
      </c>
      <c r="BT58" s="541">
        <f t="shared" si="20"/>
        <v>0</v>
      </c>
      <c r="BU58" s="541">
        <f t="shared" si="20"/>
        <v>0</v>
      </c>
      <c r="BV58" s="541">
        <f t="shared" si="20"/>
        <v>0</v>
      </c>
      <c r="BW58" s="541">
        <f t="shared" si="20"/>
        <v>0</v>
      </c>
      <c r="BX58" s="541">
        <f t="shared" si="20"/>
        <v>23.28938462017868</v>
      </c>
      <c r="BY58" s="541">
        <f t="shared" si="20"/>
        <v>58.49203396403027</v>
      </c>
      <c r="BZ58" s="541">
        <f t="shared" si="20"/>
        <v>0</v>
      </c>
      <c r="CA58" s="541">
        <f t="shared" si="20"/>
        <v>0</v>
      </c>
      <c r="CB58" s="541">
        <f t="shared" si="20"/>
        <v>0</v>
      </c>
      <c r="CC58" s="541">
        <f t="shared" si="20"/>
        <v>52.435606701857978</v>
      </c>
      <c r="CD58" s="541">
        <f t="shared" si="20"/>
        <v>22.553994014933778</v>
      </c>
      <c r="CE58" s="541">
        <f t="shared" si="20"/>
        <v>0</v>
      </c>
      <c r="CF58" s="541">
        <f t="shared" si="20"/>
        <v>0</v>
      </c>
      <c r="CG58" s="541">
        <f t="shared" si="20"/>
        <v>57.691679788433248</v>
      </c>
      <c r="CH58" s="541">
        <f t="shared" si="20"/>
        <v>24.376595294175786</v>
      </c>
      <c r="CI58" s="541">
        <f t="shared" si="20"/>
        <v>0</v>
      </c>
      <c r="CJ58" s="541">
        <f t="shared" si="20"/>
        <v>286.97050387957279</v>
      </c>
      <c r="CK58" s="541">
        <f t="shared" si="20"/>
        <v>347.76599443843588</v>
      </c>
      <c r="CL58" s="541">
        <f t="shared" si="20"/>
        <v>24.601222984467313</v>
      </c>
      <c r="CM58" s="541">
        <f t="shared" si="20"/>
        <v>0</v>
      </c>
      <c r="CN58" s="541">
        <f t="shared" si="20"/>
        <v>0</v>
      </c>
      <c r="CO58" s="541">
        <f t="shared" si="20"/>
        <v>0</v>
      </c>
      <c r="CP58" s="541">
        <f t="shared" si="20"/>
        <v>12.680517394070193</v>
      </c>
      <c r="CQ58" s="541">
        <f t="shared" si="20"/>
        <v>0</v>
      </c>
      <c r="CR58" s="541">
        <f t="shared" si="20"/>
        <v>4.6768751928120764</v>
      </c>
      <c r="CS58" s="541">
        <f t="shared" si="20"/>
        <v>66.040615242367494</v>
      </c>
      <c r="CT58" s="541">
        <f t="shared" si="20"/>
        <v>26.64931180619169</v>
      </c>
      <c r="CU58" s="541">
        <f t="shared" si="20"/>
        <v>0</v>
      </c>
      <c r="CV58" s="541">
        <f t="shared" si="20"/>
        <v>6.7661748339523911</v>
      </c>
      <c r="CW58" s="541">
        <f t="shared" si="20"/>
        <v>68.144622639592853</v>
      </c>
      <c r="CX58" s="541">
        <f t="shared" si="20"/>
        <v>26.609548023272509</v>
      </c>
      <c r="CY58" s="541">
        <f t="shared" si="20"/>
        <v>0</v>
      </c>
      <c r="CZ58" s="541">
        <f t="shared" si="20"/>
        <v>0</v>
      </c>
      <c r="DA58" s="541">
        <f t="shared" si="20"/>
        <v>0</v>
      </c>
      <c r="DB58" s="541">
        <f t="shared" si="20"/>
        <v>0</v>
      </c>
      <c r="DC58" s="541">
        <f t="shared" si="20"/>
        <v>0</v>
      </c>
      <c r="DD58" s="541">
        <f t="shared" si="20"/>
        <v>0</v>
      </c>
      <c r="DE58" s="541">
        <f t="shared" si="20"/>
        <v>0</v>
      </c>
      <c r="DF58" s="541">
        <f t="shared" si="20"/>
        <v>0</v>
      </c>
      <c r="DG58" s="541">
        <f t="shared" si="20"/>
        <v>0</v>
      </c>
      <c r="DH58" s="541">
        <f t="shared" si="20"/>
        <v>0</v>
      </c>
      <c r="DI58" s="541">
        <f t="shared" si="20"/>
        <v>0</v>
      </c>
      <c r="DJ58" s="541">
        <f t="shared" si="20"/>
        <v>0</v>
      </c>
      <c r="DK58" s="541">
        <f t="shared" si="20"/>
        <v>0</v>
      </c>
      <c r="DL58" s="541">
        <f t="shared" si="20"/>
        <v>0</v>
      </c>
      <c r="DM58" s="541">
        <f t="shared" si="20"/>
        <v>0</v>
      </c>
      <c r="DN58" s="541">
        <f t="shared" si="20"/>
        <v>0</v>
      </c>
      <c r="DO58" s="541">
        <f t="shared" si="20"/>
        <v>0</v>
      </c>
      <c r="DP58" s="541">
        <f t="shared" si="20"/>
        <v>0</v>
      </c>
      <c r="DQ58" s="541">
        <f t="shared" si="20"/>
        <v>0</v>
      </c>
      <c r="DR58" s="541">
        <f t="shared" si="20"/>
        <v>0</v>
      </c>
      <c r="DS58" s="541">
        <f t="shared" si="20"/>
        <v>0</v>
      </c>
      <c r="DT58" s="541">
        <f t="shared" si="20"/>
        <v>0</v>
      </c>
      <c r="DU58" s="541">
        <f t="shared" si="20"/>
        <v>0</v>
      </c>
      <c r="DV58" s="541">
        <f t="shared" si="20"/>
        <v>0</v>
      </c>
      <c r="DW58" s="541">
        <f t="shared" si="20"/>
        <v>0</v>
      </c>
      <c r="DX58" s="541">
        <f t="shared" si="20"/>
        <v>0</v>
      </c>
      <c r="DY58" s="541">
        <f t="shared" si="20"/>
        <v>0</v>
      </c>
      <c r="DZ58" s="541">
        <f t="shared" si="20"/>
        <v>0</v>
      </c>
      <c r="EA58" s="541">
        <f t="shared" si="20"/>
        <v>0</v>
      </c>
      <c r="EB58" s="541">
        <f t="shared" si="20"/>
        <v>0</v>
      </c>
      <c r="EC58" s="541">
        <f t="shared" si="20"/>
        <v>0</v>
      </c>
      <c r="ED58" s="541">
        <f t="shared" si="20"/>
        <v>0</v>
      </c>
      <c r="EE58" s="541">
        <f t="shared" si="20"/>
        <v>0</v>
      </c>
      <c r="EF58" s="541">
        <f t="shared" si="20"/>
        <v>0</v>
      </c>
      <c r="EG58" s="541">
        <f t="shared" si="20"/>
        <v>0</v>
      </c>
    </row>
    <row r="60" spans="5:137" ht="12.75">
      <c r="E60" s="538" t="str">
        <f>E$48</f>
        <v>DSRA - balance after initial funding and draw</v>
      </c>
      <c r="G60" s="539" t="str">
        <f>G$48</f>
        <v>EUR 000s</v>
      </c>
      <c r="H60" s="539">
        <f>H$48</f>
        <v>705520.31533758657</v>
      </c>
      <c r="J60" s="539">
        <f t="shared" si="21" ref="J60:EG60">J$48</f>
        <v>0</v>
      </c>
      <c r="K60" s="539">
        <f t="shared" si="21"/>
        <v>0</v>
      </c>
      <c r="L60" s="539">
        <f t="shared" si="21"/>
        <v>0</v>
      </c>
      <c r="M60" s="539">
        <f t="shared" si="21"/>
        <v>0</v>
      </c>
      <c r="N60" s="539">
        <f t="shared" si="21"/>
        <v>0</v>
      </c>
      <c r="O60" s="539">
        <f t="shared" si="21"/>
        <v>0</v>
      </c>
      <c r="P60" s="539">
        <f t="shared" si="21"/>
        <v>1.8189894035458565E-12</v>
      </c>
      <c r="Q60" s="539">
        <f t="shared" si="21"/>
        <v>0</v>
      </c>
      <c r="R60" s="539">
        <f t="shared" si="21"/>
        <v>0</v>
      </c>
      <c r="S60" s="539">
        <f t="shared" si="21"/>
        <v>0</v>
      </c>
      <c r="T60" s="539">
        <f t="shared" si="21"/>
        <v>0</v>
      </c>
      <c r="U60" s="539">
        <f t="shared" si="21"/>
        <v>0</v>
      </c>
      <c r="V60" s="539">
        <f t="shared" si="21"/>
        <v>0</v>
      </c>
      <c r="W60" s="539">
        <f t="shared" si="21"/>
        <v>0</v>
      </c>
      <c r="X60" s="539">
        <f t="shared" si="21"/>
        <v>0</v>
      </c>
      <c r="Y60" s="539">
        <f t="shared" si="21"/>
        <v>0</v>
      </c>
      <c r="Z60" s="539">
        <f t="shared" si="21"/>
        <v>0</v>
      </c>
      <c r="AA60" s="539">
        <f t="shared" si="21"/>
        <v>0</v>
      </c>
      <c r="AB60" s="539">
        <f t="shared" si="21"/>
        <v>0</v>
      </c>
      <c r="AC60" s="539">
        <f t="shared" si="21"/>
        <v>0</v>
      </c>
      <c r="AD60" s="539">
        <f t="shared" si="21"/>
        <v>0</v>
      </c>
      <c r="AE60" s="539">
        <f t="shared" si="21"/>
        <v>0</v>
      </c>
      <c r="AF60" s="539">
        <f t="shared" si="21"/>
        <v>0</v>
      </c>
      <c r="AG60" s="539">
        <f t="shared" si="21"/>
        <v>8333.2746174985332</v>
      </c>
      <c r="AH60" s="539">
        <f t="shared" si="21"/>
        <v>8333.2746174985332</v>
      </c>
      <c r="AI60" s="539">
        <f t="shared" si="21"/>
        <v>9308.6531351756057</v>
      </c>
      <c r="AJ60" s="539">
        <f t="shared" si="21"/>
        <v>9298.2394950176858</v>
      </c>
      <c r="AK60" s="539">
        <f t="shared" si="21"/>
        <v>9337.6116506683175</v>
      </c>
      <c r="AL60" s="539">
        <f t="shared" si="21"/>
        <v>9429.7291218685914</v>
      </c>
      <c r="AM60" s="539">
        <f t="shared" si="21"/>
        <v>9472.0580695850113</v>
      </c>
      <c r="AN60" s="539">
        <f t="shared" si="21"/>
        <v>9461.5189563631629</v>
      </c>
      <c r="AO60" s="539">
        <f t="shared" si="21"/>
        <v>9501.8263636837055</v>
      </c>
      <c r="AP60" s="539">
        <f t="shared" si="21"/>
        <v>9595.4102808892349</v>
      </c>
      <c r="AQ60" s="539">
        <f t="shared" si="21"/>
        <v>9638.1449416640698</v>
      </c>
      <c r="AR60" s="539">
        <f t="shared" si="21"/>
        <v>9627.4799775801403</v>
      </c>
      <c r="AS60" s="539">
        <f t="shared" si="21"/>
        <v>9679.536016332997</v>
      </c>
      <c r="AT60" s="539">
        <f t="shared" si="21"/>
        <v>9763.8140753059997</v>
      </c>
      <c r="AU60" s="539">
        <f t="shared" si="21"/>
        <v>9796.1595279842222</v>
      </c>
      <c r="AV60" s="539">
        <f t="shared" si="21"/>
        <v>9793.9066267576272</v>
      </c>
      <c r="AW60" s="539">
        <f t="shared" si="21"/>
        <v>9836.1518034083492</v>
      </c>
      <c r="AX60" s="539">
        <f t="shared" si="21"/>
        <v>9934.9780954017842</v>
      </c>
      <c r="AY60" s="539">
        <f t="shared" si="21"/>
        <v>9978.5124212525789</v>
      </c>
      <c r="AZ60" s="539">
        <f t="shared" si="21"/>
        <v>9965.1612930804731</v>
      </c>
      <c r="BA60" s="539">
        <f t="shared" si="21"/>
        <v>9944.7298885451564</v>
      </c>
      <c r="BB60" s="539">
        <f t="shared" si="21"/>
        <v>9972.4781358472173</v>
      </c>
      <c r="BC60" s="539">
        <f t="shared" si="21"/>
        <v>9998.6118234080277</v>
      </c>
      <c r="BD60" s="539">
        <f t="shared" si="21"/>
        <v>9970.5745648815064</v>
      </c>
      <c r="BE60" s="539">
        <f t="shared" si="21"/>
        <v>9993.9780103795183</v>
      </c>
      <c r="BF60" s="539">
        <f t="shared" si="21"/>
        <v>10073.47416898013</v>
      </c>
      <c r="BG60" s="539">
        <f t="shared" si="21"/>
        <v>10102.988965730921</v>
      </c>
      <c r="BH60" s="539">
        <f t="shared" si="21"/>
        <v>10077.683309371694</v>
      </c>
      <c r="BI60" s="539">
        <f t="shared" si="21"/>
        <v>10116.091187302902</v>
      </c>
      <c r="BJ60" s="539">
        <f t="shared" si="21"/>
        <v>10188.382359693998</v>
      </c>
      <c r="BK60" s="539">
        <f t="shared" si="21"/>
        <v>10209.471318627446</v>
      </c>
      <c r="BL60" s="539">
        <f t="shared" si="21"/>
        <v>10197.714289675579</v>
      </c>
      <c r="BM60" s="539">
        <f t="shared" si="21"/>
        <v>10228.09568557579</v>
      </c>
      <c r="BN60" s="539">
        <f t="shared" si="21"/>
        <v>10315.357334076012</v>
      </c>
      <c r="BO60" s="539">
        <f t="shared" si="21"/>
        <v>10350.191466434988</v>
      </c>
      <c r="BP60" s="539">
        <f t="shared" si="21"/>
        <v>10328.987274345176</v>
      </c>
      <c r="BQ60" s="539">
        <f t="shared" si="21"/>
        <v>10415.624121569275</v>
      </c>
      <c r="BR60" s="539">
        <f t="shared" si="21"/>
        <v>10559.552974855102</v>
      </c>
      <c r="BS60" s="539">
        <f t="shared" si="21"/>
        <v>10596.479459831688</v>
      </c>
      <c r="BT60" s="539">
        <f t="shared" si="21"/>
        <v>10576.793421109882</v>
      </c>
      <c r="BU60" s="539">
        <f t="shared" si="21"/>
        <v>10473.459397795083</v>
      </c>
      <c r="BV60" s="539">
        <f t="shared" si="21"/>
        <v>10016.709456108158</v>
      </c>
      <c r="BW60" s="539">
        <f t="shared" si="21"/>
        <v>9636.2291610373613</v>
      </c>
      <c r="BX60" s="539">
        <f t="shared" si="21"/>
        <v>9601.997150678957</v>
      </c>
      <c r="BY60" s="539">
        <f t="shared" si="21"/>
        <v>9625.2865352991357</v>
      </c>
      <c r="BZ60" s="539">
        <f t="shared" si="21"/>
        <v>9683.778569263166</v>
      </c>
      <c r="CA60" s="539">
        <f t="shared" si="21"/>
        <v>9662.5293592965245</v>
      </c>
      <c r="CB60" s="539">
        <f t="shared" si="21"/>
        <v>9432.0314212886315</v>
      </c>
      <c r="CC60" s="539">
        <f t="shared" si="21"/>
        <v>9253.2529979049323</v>
      </c>
      <c r="CD60" s="539">
        <f t="shared" si="21"/>
        <v>9305.6886046067902</v>
      </c>
      <c r="CE60" s="539">
        <f t="shared" si="21"/>
        <v>9328.242598621724</v>
      </c>
      <c r="CF60" s="539">
        <f t="shared" si="21"/>
        <v>9290.6736063131902</v>
      </c>
      <c r="CG60" s="539">
        <f t="shared" si="21"/>
        <v>9287.1183551242611</v>
      </c>
      <c r="CH60" s="539">
        <f t="shared" si="21"/>
        <v>9344.8100349126944</v>
      </c>
      <c r="CI60" s="539">
        <f t="shared" si="21"/>
        <v>9369.1866302068702</v>
      </c>
      <c r="CJ60" s="539">
        <f t="shared" si="21"/>
        <v>9333.0916602598882</v>
      </c>
      <c r="CK60" s="539">
        <f t="shared" si="21"/>
        <v>9620.0621641394609</v>
      </c>
      <c r="CL60" s="539">
        <f t="shared" si="21"/>
        <v>9967.8281585778968</v>
      </c>
      <c r="CM60" s="539">
        <f t="shared" si="21"/>
        <v>9992.4293815623641</v>
      </c>
      <c r="CN60" s="539">
        <f t="shared" si="21"/>
        <v>9956.2389657101321</v>
      </c>
      <c r="CO60" s="539">
        <f t="shared" si="21"/>
        <v>9683.7890086705629</v>
      </c>
      <c r="CP60" s="539">
        <f t="shared" si="21"/>
        <v>9447.2122969783286</v>
      </c>
      <c r="CQ60" s="539">
        <f t="shared" si="21"/>
        <v>9459.8928143723988</v>
      </c>
      <c r="CR60" s="539">
        <f t="shared" si="21"/>
        <v>9437.5230352693525</v>
      </c>
      <c r="CS60" s="539">
        <f t="shared" si="21"/>
        <v>9442.1999104621646</v>
      </c>
      <c r="CT60" s="539">
        <f t="shared" si="21"/>
        <v>9508.240525704532</v>
      </c>
      <c r="CU60" s="539">
        <f t="shared" si="21"/>
        <v>9534.8898375107237</v>
      </c>
      <c r="CV60" s="539">
        <f t="shared" si="21"/>
        <v>9500.3177228280038</v>
      </c>
      <c r="CW60" s="539">
        <f t="shared" si="21"/>
        <v>9507.0838976619561</v>
      </c>
      <c r="CX60" s="539">
        <f t="shared" si="21"/>
        <v>9575.228520301549</v>
      </c>
      <c r="CY60" s="539">
        <f t="shared" si="21"/>
        <v>9601.8380683248215</v>
      </c>
      <c r="CZ60" s="539">
        <f t="shared" si="21"/>
        <v>9567.0576877281255</v>
      </c>
      <c r="DA60" s="539">
        <f t="shared" si="21"/>
        <v>4771.6969558081337</v>
      </c>
      <c r="DB60" s="539">
        <f t="shared" si="21"/>
        <v>0</v>
      </c>
      <c r="DC60" s="539">
        <f t="shared" si="21"/>
        <v>0</v>
      </c>
      <c r="DD60" s="539">
        <f t="shared" si="21"/>
        <v>0</v>
      </c>
      <c r="DE60" s="539">
        <f t="shared" si="21"/>
        <v>0</v>
      </c>
      <c r="DF60" s="539">
        <f t="shared" si="21"/>
        <v>0</v>
      </c>
      <c r="DG60" s="539">
        <f t="shared" si="21"/>
        <v>0</v>
      </c>
      <c r="DH60" s="539">
        <f t="shared" si="21"/>
        <v>0</v>
      </c>
      <c r="DI60" s="539">
        <f t="shared" si="21"/>
        <v>0</v>
      </c>
      <c r="DJ60" s="539">
        <f t="shared" si="21"/>
        <v>0</v>
      </c>
      <c r="DK60" s="539">
        <f t="shared" si="21"/>
        <v>0</v>
      </c>
      <c r="DL60" s="539">
        <f t="shared" si="21"/>
        <v>0</v>
      </c>
      <c r="DM60" s="539">
        <f t="shared" si="21"/>
        <v>0</v>
      </c>
      <c r="DN60" s="539">
        <f t="shared" si="21"/>
        <v>0</v>
      </c>
      <c r="DO60" s="539">
        <f t="shared" si="21"/>
        <v>0</v>
      </c>
      <c r="DP60" s="539">
        <f t="shared" si="21"/>
        <v>0</v>
      </c>
      <c r="DQ60" s="539">
        <f t="shared" si="21"/>
        <v>0</v>
      </c>
      <c r="DR60" s="539">
        <f t="shared" si="21"/>
        <v>0</v>
      </c>
      <c r="DS60" s="539">
        <f t="shared" si="21"/>
        <v>0</v>
      </c>
      <c r="DT60" s="539">
        <f t="shared" si="21"/>
        <v>0</v>
      </c>
      <c r="DU60" s="539">
        <f t="shared" si="21"/>
        <v>0</v>
      </c>
      <c r="DV60" s="539">
        <f t="shared" si="21"/>
        <v>0</v>
      </c>
      <c r="DW60" s="539">
        <f t="shared" si="21"/>
        <v>0</v>
      </c>
      <c r="DX60" s="539">
        <f t="shared" si="21"/>
        <v>0</v>
      </c>
      <c r="DY60" s="539">
        <f t="shared" si="21"/>
        <v>0</v>
      </c>
      <c r="DZ60" s="539">
        <f t="shared" si="21"/>
        <v>0</v>
      </c>
      <c r="EA60" s="539">
        <f t="shared" si="21"/>
        <v>0</v>
      </c>
      <c r="EB60" s="539">
        <f t="shared" si="21"/>
        <v>0</v>
      </c>
      <c r="EC60" s="539">
        <f t="shared" si="21"/>
        <v>0</v>
      </c>
      <c r="ED60" s="539">
        <f t="shared" si="21"/>
        <v>0</v>
      </c>
      <c r="EE60" s="539">
        <f t="shared" si="21"/>
        <v>0</v>
      </c>
      <c r="EF60" s="539">
        <f t="shared" si="21"/>
        <v>0</v>
      </c>
      <c r="EG60" s="539">
        <f t="shared" si="21"/>
        <v>0</v>
      </c>
    </row>
    <row r="61" spans="5:137" ht="12.75">
      <c r="E61" s="538" t="str">
        <f>E$53</f>
        <v>DSRA - release of balance above target</v>
      </c>
      <c r="G61" s="539" t="str">
        <f>G$53</f>
        <v>EUR 000s</v>
      </c>
      <c r="H61" s="539">
        <f>H$53</f>
        <v>11860.181427975176</v>
      </c>
      <c r="J61" s="539">
        <f t="shared" si="22" ref="J61:EG61">J$53</f>
        <v>0</v>
      </c>
      <c r="K61" s="539">
        <f t="shared" si="22"/>
        <v>0</v>
      </c>
      <c r="L61" s="539">
        <f t="shared" si="22"/>
        <v>0</v>
      </c>
      <c r="M61" s="539">
        <f t="shared" si="22"/>
        <v>0</v>
      </c>
      <c r="N61" s="539">
        <f t="shared" si="22"/>
        <v>0</v>
      </c>
      <c r="O61" s="539">
        <f t="shared" si="22"/>
        <v>0</v>
      </c>
      <c r="P61" s="539">
        <f t="shared" si="22"/>
        <v>1.8189894035458565E-12</v>
      </c>
      <c r="Q61" s="539">
        <f t="shared" si="22"/>
        <v>0</v>
      </c>
      <c r="R61" s="539">
        <f t="shared" si="22"/>
        <v>0</v>
      </c>
      <c r="S61" s="539">
        <f t="shared" si="22"/>
        <v>0</v>
      </c>
      <c r="T61" s="539">
        <f t="shared" si="22"/>
        <v>0</v>
      </c>
      <c r="U61" s="539">
        <f t="shared" si="22"/>
        <v>0</v>
      </c>
      <c r="V61" s="539">
        <f t="shared" si="22"/>
        <v>0</v>
      </c>
      <c r="W61" s="539">
        <f t="shared" si="22"/>
        <v>0</v>
      </c>
      <c r="X61" s="539">
        <f t="shared" si="22"/>
        <v>0</v>
      </c>
      <c r="Y61" s="539">
        <f t="shared" si="22"/>
        <v>0</v>
      </c>
      <c r="Z61" s="539">
        <f t="shared" si="22"/>
        <v>0</v>
      </c>
      <c r="AA61" s="539">
        <f t="shared" si="22"/>
        <v>0</v>
      </c>
      <c r="AB61" s="539">
        <f t="shared" si="22"/>
        <v>0</v>
      </c>
      <c r="AC61" s="539">
        <f t="shared" si="22"/>
        <v>0</v>
      </c>
      <c r="AD61" s="539">
        <f t="shared" si="22"/>
        <v>0</v>
      </c>
      <c r="AE61" s="539">
        <f t="shared" si="22"/>
        <v>0</v>
      </c>
      <c r="AF61" s="539">
        <f t="shared" si="22"/>
        <v>0</v>
      </c>
      <c r="AG61" s="539">
        <f t="shared" si="22"/>
        <v>0</v>
      </c>
      <c r="AH61" s="539">
        <f t="shared" si="22"/>
        <v>0</v>
      </c>
      <c r="AI61" s="539">
        <f t="shared" si="22"/>
        <v>10.413640157919872</v>
      </c>
      <c r="AJ61" s="539">
        <f t="shared" si="22"/>
        <v>0</v>
      </c>
      <c r="AK61" s="539">
        <f t="shared" si="22"/>
        <v>0</v>
      </c>
      <c r="AL61" s="539">
        <f t="shared" si="22"/>
        <v>0</v>
      </c>
      <c r="AM61" s="539">
        <f t="shared" si="22"/>
        <v>10.539113221848311</v>
      </c>
      <c r="AN61" s="539">
        <f t="shared" si="22"/>
        <v>0</v>
      </c>
      <c r="AO61" s="539">
        <f t="shared" si="22"/>
        <v>0</v>
      </c>
      <c r="AP61" s="539">
        <f t="shared" si="22"/>
        <v>0</v>
      </c>
      <c r="AQ61" s="539">
        <f t="shared" si="22"/>
        <v>10.66496408392959</v>
      </c>
      <c r="AR61" s="539">
        <f t="shared" si="22"/>
        <v>0</v>
      </c>
      <c r="AS61" s="539">
        <f t="shared" si="22"/>
        <v>0</v>
      </c>
      <c r="AT61" s="539">
        <f t="shared" si="22"/>
        <v>0</v>
      </c>
      <c r="AU61" s="539">
        <f t="shared" si="22"/>
        <v>2.2529012265949859</v>
      </c>
      <c r="AV61" s="539">
        <f t="shared" si="22"/>
        <v>0</v>
      </c>
      <c r="AW61" s="539">
        <f t="shared" si="22"/>
        <v>0</v>
      </c>
      <c r="AX61" s="539">
        <f t="shared" si="22"/>
        <v>0</v>
      </c>
      <c r="AY61" s="539">
        <f t="shared" si="22"/>
        <v>13.351128172105746</v>
      </c>
      <c r="AZ61" s="539">
        <f t="shared" si="22"/>
        <v>20.431404535316688</v>
      </c>
      <c r="BA61" s="539">
        <f t="shared" si="22"/>
        <v>0</v>
      </c>
      <c r="BB61" s="539">
        <f t="shared" si="22"/>
        <v>0</v>
      </c>
      <c r="BC61" s="539">
        <f t="shared" si="22"/>
        <v>28.037258526521327</v>
      </c>
      <c r="BD61" s="539">
        <f t="shared" si="22"/>
        <v>0</v>
      </c>
      <c r="BE61" s="539">
        <f t="shared" si="22"/>
        <v>0</v>
      </c>
      <c r="BF61" s="539">
        <f t="shared" si="22"/>
        <v>0</v>
      </c>
      <c r="BG61" s="539">
        <f t="shared" si="22"/>
        <v>25.305656359227214</v>
      </c>
      <c r="BH61" s="539">
        <f t="shared" si="22"/>
        <v>0</v>
      </c>
      <c r="BI61" s="539">
        <f t="shared" si="22"/>
        <v>0</v>
      </c>
      <c r="BJ61" s="539">
        <f t="shared" si="22"/>
        <v>0</v>
      </c>
      <c r="BK61" s="539">
        <f t="shared" si="22"/>
        <v>11.757028951866232</v>
      </c>
      <c r="BL61" s="539">
        <f t="shared" si="22"/>
        <v>0</v>
      </c>
      <c r="BM61" s="539">
        <f t="shared" si="22"/>
        <v>0</v>
      </c>
      <c r="BN61" s="539">
        <f t="shared" si="22"/>
        <v>0</v>
      </c>
      <c r="BO61" s="539">
        <f t="shared" si="22"/>
        <v>21.204192089811841</v>
      </c>
      <c r="BP61" s="539">
        <f t="shared" si="22"/>
        <v>0</v>
      </c>
      <c r="BQ61" s="539">
        <f t="shared" si="22"/>
        <v>0</v>
      </c>
      <c r="BR61" s="539">
        <f t="shared" si="22"/>
        <v>0</v>
      </c>
      <c r="BS61" s="539">
        <f t="shared" si="22"/>
        <v>19.686038721805744</v>
      </c>
      <c r="BT61" s="539">
        <f t="shared" si="22"/>
        <v>103.3340233147992</v>
      </c>
      <c r="BU61" s="539">
        <f t="shared" si="22"/>
        <v>456.74994168692501</v>
      </c>
      <c r="BV61" s="539">
        <f t="shared" si="22"/>
        <v>380.48029507079627</v>
      </c>
      <c r="BW61" s="539">
        <f t="shared" si="22"/>
        <v>34.232010358404295</v>
      </c>
      <c r="BX61" s="539">
        <f t="shared" si="22"/>
        <v>0</v>
      </c>
      <c r="BY61" s="539">
        <f t="shared" si="22"/>
        <v>0</v>
      </c>
      <c r="BZ61" s="539">
        <f t="shared" si="22"/>
        <v>21.249209966641502</v>
      </c>
      <c r="CA61" s="539">
        <f t="shared" si="22"/>
        <v>230.49793800789303</v>
      </c>
      <c r="CB61" s="539">
        <f t="shared" si="22"/>
        <v>178.77842338369919</v>
      </c>
      <c r="CC61" s="539">
        <f t="shared" si="22"/>
        <v>0</v>
      </c>
      <c r="CD61" s="539">
        <f t="shared" si="22"/>
        <v>0</v>
      </c>
      <c r="CE61" s="539">
        <f t="shared" si="22"/>
        <v>37.56899230853378</v>
      </c>
      <c r="CF61" s="539">
        <f t="shared" si="22"/>
        <v>3.5552511889291054</v>
      </c>
      <c r="CG61" s="539">
        <f t="shared" si="22"/>
        <v>0</v>
      </c>
      <c r="CH61" s="539">
        <f t="shared" si="22"/>
        <v>0</v>
      </c>
      <c r="CI61" s="539">
        <f t="shared" si="22"/>
        <v>36.094969946982019</v>
      </c>
      <c r="CJ61" s="539">
        <f t="shared" si="22"/>
        <v>0</v>
      </c>
      <c r="CK61" s="539">
        <f t="shared" si="22"/>
        <v>0</v>
      </c>
      <c r="CL61" s="539">
        <f t="shared" si="22"/>
        <v>0</v>
      </c>
      <c r="CM61" s="539">
        <f t="shared" si="22"/>
        <v>36.190415852232036</v>
      </c>
      <c r="CN61" s="539">
        <f t="shared" si="22"/>
        <v>272.4499570395692</v>
      </c>
      <c r="CO61" s="539">
        <f t="shared" si="22"/>
        <v>236.57671169223431</v>
      </c>
      <c r="CP61" s="539">
        <f t="shared" si="22"/>
        <v>0</v>
      </c>
      <c r="CQ61" s="539">
        <f t="shared" si="22"/>
        <v>22.369779103046312</v>
      </c>
      <c r="CR61" s="539">
        <f t="shared" si="22"/>
        <v>0</v>
      </c>
      <c r="CS61" s="539">
        <f t="shared" si="22"/>
        <v>0</v>
      </c>
      <c r="CT61" s="539">
        <f t="shared" si="22"/>
        <v>0</v>
      </c>
      <c r="CU61" s="539">
        <f t="shared" si="22"/>
        <v>34.572114682719985</v>
      </c>
      <c r="CV61" s="539">
        <f t="shared" si="22"/>
        <v>0</v>
      </c>
      <c r="CW61" s="539">
        <f t="shared" si="22"/>
        <v>0</v>
      </c>
      <c r="CX61" s="539">
        <f t="shared" si="22"/>
        <v>0</v>
      </c>
      <c r="CY61" s="539">
        <f t="shared" si="22"/>
        <v>34.780380596695977</v>
      </c>
      <c r="CZ61" s="539">
        <f t="shared" si="22"/>
        <v>4795.3607319199918</v>
      </c>
      <c r="DA61" s="539">
        <f t="shared" si="22"/>
        <v>4771.6969558081337</v>
      </c>
      <c r="DB61" s="539">
        <f t="shared" si="22"/>
        <v>0</v>
      </c>
      <c r="DC61" s="539">
        <f t="shared" si="22"/>
        <v>0</v>
      </c>
      <c r="DD61" s="539">
        <f t="shared" si="22"/>
        <v>0</v>
      </c>
      <c r="DE61" s="539">
        <f t="shared" si="22"/>
        <v>0</v>
      </c>
      <c r="DF61" s="539">
        <f t="shared" si="22"/>
        <v>0</v>
      </c>
      <c r="DG61" s="539">
        <f t="shared" si="22"/>
        <v>0</v>
      </c>
      <c r="DH61" s="539">
        <f t="shared" si="22"/>
        <v>0</v>
      </c>
      <c r="DI61" s="539">
        <f t="shared" si="22"/>
        <v>0</v>
      </c>
      <c r="DJ61" s="539">
        <f t="shared" si="22"/>
        <v>0</v>
      </c>
      <c r="DK61" s="539">
        <f t="shared" si="22"/>
        <v>0</v>
      </c>
      <c r="DL61" s="539">
        <f t="shared" si="22"/>
        <v>0</v>
      </c>
      <c r="DM61" s="539">
        <f t="shared" si="22"/>
        <v>0</v>
      </c>
      <c r="DN61" s="539">
        <f t="shared" si="22"/>
        <v>0</v>
      </c>
      <c r="DO61" s="539">
        <f t="shared" si="22"/>
        <v>0</v>
      </c>
      <c r="DP61" s="539">
        <f t="shared" si="22"/>
        <v>0</v>
      </c>
      <c r="DQ61" s="539">
        <f t="shared" si="22"/>
        <v>0</v>
      </c>
      <c r="DR61" s="539">
        <f t="shared" si="22"/>
        <v>0</v>
      </c>
      <c r="DS61" s="539">
        <f t="shared" si="22"/>
        <v>0</v>
      </c>
      <c r="DT61" s="539">
        <f t="shared" si="22"/>
        <v>0</v>
      </c>
      <c r="DU61" s="539">
        <f t="shared" si="22"/>
        <v>0</v>
      </c>
      <c r="DV61" s="539">
        <f t="shared" si="22"/>
        <v>0</v>
      </c>
      <c r="DW61" s="539">
        <f t="shared" si="22"/>
        <v>0</v>
      </c>
      <c r="DX61" s="539">
        <f t="shared" si="22"/>
        <v>0</v>
      </c>
      <c r="DY61" s="539">
        <f t="shared" si="22"/>
        <v>0</v>
      </c>
      <c r="DZ61" s="539">
        <f t="shared" si="22"/>
        <v>0</v>
      </c>
      <c r="EA61" s="539">
        <f t="shared" si="22"/>
        <v>0</v>
      </c>
      <c r="EB61" s="539">
        <f t="shared" si="22"/>
        <v>0</v>
      </c>
      <c r="EC61" s="539">
        <f t="shared" si="22"/>
        <v>0</v>
      </c>
      <c r="ED61" s="539">
        <f t="shared" si="22"/>
        <v>0</v>
      </c>
      <c r="EE61" s="539">
        <f t="shared" si="22"/>
        <v>0</v>
      </c>
      <c r="EF61" s="539">
        <f t="shared" si="22"/>
        <v>0</v>
      </c>
      <c r="EG61" s="539">
        <f t="shared" si="22"/>
        <v>0</v>
      </c>
    </row>
    <row r="62" spans="5:137" ht="12.75">
      <c r="E62" s="538" t="str">
        <f>E$58</f>
        <v>DSRA - deposit towards target</v>
      </c>
      <c r="G62" s="539" t="str">
        <f>G$58</f>
        <v>EUR 000s</v>
      </c>
      <c r="H62" s="539">
        <f>H$58</f>
        <v>3526.9068104766411</v>
      </c>
      <c r="J62" s="539">
        <f t="shared" si="23" ref="J62:EG62">J$58</f>
        <v>0</v>
      </c>
      <c r="K62" s="539">
        <f t="shared" si="23"/>
        <v>0</v>
      </c>
      <c r="L62" s="539">
        <f t="shared" si="23"/>
        <v>0</v>
      </c>
      <c r="M62" s="539">
        <f t="shared" si="23"/>
        <v>0</v>
      </c>
      <c r="N62" s="539">
        <f t="shared" si="23"/>
        <v>0</v>
      </c>
      <c r="O62" s="539">
        <f t="shared" si="23"/>
        <v>0</v>
      </c>
      <c r="P62" s="539">
        <f t="shared" si="23"/>
        <v>0</v>
      </c>
      <c r="Q62" s="539">
        <f t="shared" si="23"/>
        <v>0</v>
      </c>
      <c r="R62" s="539">
        <f t="shared" si="23"/>
        <v>0</v>
      </c>
      <c r="S62" s="539">
        <f t="shared" si="23"/>
        <v>0</v>
      </c>
      <c r="T62" s="539">
        <f t="shared" si="23"/>
        <v>0</v>
      </c>
      <c r="U62" s="539">
        <f t="shared" si="23"/>
        <v>0</v>
      </c>
      <c r="V62" s="539">
        <f t="shared" si="23"/>
        <v>0</v>
      </c>
      <c r="W62" s="539">
        <f t="shared" si="23"/>
        <v>0</v>
      </c>
      <c r="X62" s="539">
        <f t="shared" si="23"/>
        <v>0</v>
      </c>
      <c r="Y62" s="539">
        <f t="shared" si="23"/>
        <v>0</v>
      </c>
      <c r="Z62" s="539">
        <f t="shared" si="23"/>
        <v>0</v>
      </c>
      <c r="AA62" s="539">
        <f t="shared" si="23"/>
        <v>0</v>
      </c>
      <c r="AB62" s="539">
        <f t="shared" si="23"/>
        <v>0</v>
      </c>
      <c r="AC62" s="539">
        <f t="shared" si="23"/>
        <v>0</v>
      </c>
      <c r="AD62" s="539">
        <f t="shared" si="23"/>
        <v>0</v>
      </c>
      <c r="AE62" s="539">
        <f t="shared" si="23"/>
        <v>0</v>
      </c>
      <c r="AF62" s="539">
        <f t="shared" si="23"/>
        <v>0</v>
      </c>
      <c r="AG62" s="539">
        <f t="shared" si="23"/>
        <v>0</v>
      </c>
      <c r="AH62" s="539">
        <f t="shared" si="23"/>
        <v>975.37851767707252</v>
      </c>
      <c r="AI62" s="539">
        <f t="shared" si="23"/>
        <v>0</v>
      </c>
      <c r="AJ62" s="539">
        <f t="shared" si="23"/>
        <v>39.372155650631612</v>
      </c>
      <c r="AK62" s="539">
        <f t="shared" si="23"/>
        <v>92.11747120027394</v>
      </c>
      <c r="AL62" s="539">
        <f t="shared" si="23"/>
        <v>42.328947716419862</v>
      </c>
      <c r="AM62" s="539">
        <f t="shared" si="23"/>
        <v>0</v>
      </c>
      <c r="AN62" s="539">
        <f t="shared" si="23"/>
        <v>40.307407320542552</v>
      </c>
      <c r="AO62" s="539">
        <f t="shared" si="23"/>
        <v>93.58391720552936</v>
      </c>
      <c r="AP62" s="539">
        <f t="shared" si="23"/>
        <v>42.734660774834992</v>
      </c>
      <c r="AQ62" s="539">
        <f t="shared" si="23"/>
        <v>0</v>
      </c>
      <c r="AR62" s="539">
        <f t="shared" si="23"/>
        <v>52.056038752856693</v>
      </c>
      <c r="AS62" s="539">
        <f t="shared" si="23"/>
        <v>84.278058973002771</v>
      </c>
      <c r="AT62" s="539">
        <f t="shared" si="23"/>
        <v>32.3454526782225</v>
      </c>
      <c r="AU62" s="539">
        <f t="shared" si="23"/>
        <v>0</v>
      </c>
      <c r="AV62" s="539">
        <f t="shared" si="23"/>
        <v>42.245176650721987</v>
      </c>
      <c r="AW62" s="539">
        <f t="shared" si="23"/>
        <v>98.826291993435007</v>
      </c>
      <c r="AX62" s="539">
        <f t="shared" si="23"/>
        <v>43.53432585079463</v>
      </c>
      <c r="AY62" s="539">
        <f t="shared" si="23"/>
        <v>0</v>
      </c>
      <c r="AZ62" s="539">
        <f t="shared" si="23"/>
        <v>0</v>
      </c>
      <c r="BA62" s="539">
        <f t="shared" si="23"/>
        <v>27.748247302060918</v>
      </c>
      <c r="BB62" s="539">
        <f t="shared" si="23"/>
        <v>26.133687560810358</v>
      </c>
      <c r="BC62" s="539">
        <f t="shared" si="23"/>
        <v>0</v>
      </c>
      <c r="BD62" s="539">
        <f t="shared" si="23"/>
        <v>23.403445498011934</v>
      </c>
      <c r="BE62" s="539">
        <f t="shared" si="23"/>
        <v>79.496158600612034</v>
      </c>
      <c r="BF62" s="539">
        <f t="shared" si="23"/>
        <v>29.514796750790993</v>
      </c>
      <c r="BG62" s="539">
        <f t="shared" si="23"/>
        <v>0</v>
      </c>
      <c r="BH62" s="539">
        <f t="shared" si="23"/>
        <v>38.407877931207622</v>
      </c>
      <c r="BI62" s="539">
        <f t="shared" si="23"/>
        <v>72.291172391096552</v>
      </c>
      <c r="BJ62" s="539">
        <f t="shared" si="23"/>
        <v>21.088958933447429</v>
      </c>
      <c r="BK62" s="539">
        <f t="shared" si="23"/>
        <v>0</v>
      </c>
      <c r="BL62" s="539">
        <f t="shared" si="23"/>
        <v>30.381395900210919</v>
      </c>
      <c r="BM62" s="539">
        <f t="shared" si="23"/>
        <v>87.261648500221781</v>
      </c>
      <c r="BN62" s="539">
        <f t="shared" si="23"/>
        <v>34.834132358975694</v>
      </c>
      <c r="BO62" s="539">
        <f t="shared" si="23"/>
        <v>0</v>
      </c>
      <c r="BP62" s="539">
        <f t="shared" si="23"/>
        <v>86.636847224099256</v>
      </c>
      <c r="BQ62" s="539">
        <f t="shared" si="23"/>
        <v>143.92885328582634</v>
      </c>
      <c r="BR62" s="539">
        <f t="shared" si="23"/>
        <v>36.926484976585925</v>
      </c>
      <c r="BS62" s="539">
        <f t="shared" si="23"/>
        <v>0</v>
      </c>
      <c r="BT62" s="539">
        <f t="shared" si="23"/>
        <v>0</v>
      </c>
      <c r="BU62" s="539">
        <f t="shared" si="23"/>
        <v>0</v>
      </c>
      <c r="BV62" s="539">
        <f t="shared" si="23"/>
        <v>0</v>
      </c>
      <c r="BW62" s="539">
        <f t="shared" si="23"/>
        <v>0</v>
      </c>
      <c r="BX62" s="539">
        <f t="shared" si="23"/>
        <v>23.28938462017868</v>
      </c>
      <c r="BY62" s="539">
        <f t="shared" si="23"/>
        <v>58.49203396403027</v>
      </c>
      <c r="BZ62" s="539">
        <f t="shared" si="23"/>
        <v>0</v>
      </c>
      <c r="CA62" s="539">
        <f t="shared" si="23"/>
        <v>0</v>
      </c>
      <c r="CB62" s="539">
        <f t="shared" si="23"/>
        <v>0</v>
      </c>
      <c r="CC62" s="539">
        <f t="shared" si="23"/>
        <v>52.435606701857978</v>
      </c>
      <c r="CD62" s="539">
        <f t="shared" si="23"/>
        <v>22.553994014933778</v>
      </c>
      <c r="CE62" s="539">
        <f t="shared" si="23"/>
        <v>0</v>
      </c>
      <c r="CF62" s="539">
        <f t="shared" si="23"/>
        <v>0</v>
      </c>
      <c r="CG62" s="539">
        <f t="shared" si="23"/>
        <v>57.691679788433248</v>
      </c>
      <c r="CH62" s="539">
        <f t="shared" si="23"/>
        <v>24.376595294175786</v>
      </c>
      <c r="CI62" s="539">
        <f t="shared" si="23"/>
        <v>0</v>
      </c>
      <c r="CJ62" s="539">
        <f t="shared" si="23"/>
        <v>286.97050387957279</v>
      </c>
      <c r="CK62" s="539">
        <f t="shared" si="23"/>
        <v>347.76599443843588</v>
      </c>
      <c r="CL62" s="539">
        <f t="shared" si="23"/>
        <v>24.601222984467313</v>
      </c>
      <c r="CM62" s="539">
        <f t="shared" si="23"/>
        <v>0</v>
      </c>
      <c r="CN62" s="539">
        <f t="shared" si="23"/>
        <v>0</v>
      </c>
      <c r="CO62" s="539">
        <f t="shared" si="23"/>
        <v>0</v>
      </c>
      <c r="CP62" s="539">
        <f t="shared" si="23"/>
        <v>12.680517394070193</v>
      </c>
      <c r="CQ62" s="539">
        <f t="shared" si="23"/>
        <v>0</v>
      </c>
      <c r="CR62" s="539">
        <f t="shared" si="23"/>
        <v>4.6768751928120764</v>
      </c>
      <c r="CS62" s="539">
        <f t="shared" si="23"/>
        <v>66.040615242367494</v>
      </c>
      <c r="CT62" s="539">
        <f t="shared" si="23"/>
        <v>26.64931180619169</v>
      </c>
      <c r="CU62" s="539">
        <f t="shared" si="23"/>
        <v>0</v>
      </c>
      <c r="CV62" s="539">
        <f t="shared" si="23"/>
        <v>6.7661748339523911</v>
      </c>
      <c r="CW62" s="539">
        <f t="shared" si="23"/>
        <v>68.144622639592853</v>
      </c>
      <c r="CX62" s="539">
        <f t="shared" si="23"/>
        <v>26.609548023272509</v>
      </c>
      <c r="CY62" s="539">
        <f t="shared" si="23"/>
        <v>0</v>
      </c>
      <c r="CZ62" s="539">
        <f t="shared" si="23"/>
        <v>0</v>
      </c>
      <c r="DA62" s="539">
        <f t="shared" si="23"/>
        <v>0</v>
      </c>
      <c r="DB62" s="539">
        <f t="shared" si="23"/>
        <v>0</v>
      </c>
      <c r="DC62" s="539">
        <f t="shared" si="23"/>
        <v>0</v>
      </c>
      <c r="DD62" s="539">
        <f t="shared" si="23"/>
        <v>0</v>
      </c>
      <c r="DE62" s="539">
        <f t="shared" si="23"/>
        <v>0</v>
      </c>
      <c r="DF62" s="539">
        <f t="shared" si="23"/>
        <v>0</v>
      </c>
      <c r="DG62" s="539">
        <f t="shared" si="23"/>
        <v>0</v>
      </c>
      <c r="DH62" s="539">
        <f t="shared" si="23"/>
        <v>0</v>
      </c>
      <c r="DI62" s="539">
        <f t="shared" si="23"/>
        <v>0</v>
      </c>
      <c r="DJ62" s="539">
        <f t="shared" si="23"/>
        <v>0</v>
      </c>
      <c r="DK62" s="539">
        <f t="shared" si="23"/>
        <v>0</v>
      </c>
      <c r="DL62" s="539">
        <f t="shared" si="23"/>
        <v>0</v>
      </c>
      <c r="DM62" s="539">
        <f t="shared" si="23"/>
        <v>0</v>
      </c>
      <c r="DN62" s="539">
        <f t="shared" si="23"/>
        <v>0</v>
      </c>
      <c r="DO62" s="539">
        <f t="shared" si="23"/>
        <v>0</v>
      </c>
      <c r="DP62" s="539">
        <f t="shared" si="23"/>
        <v>0</v>
      </c>
      <c r="DQ62" s="539">
        <f t="shared" si="23"/>
        <v>0</v>
      </c>
      <c r="DR62" s="539">
        <f t="shared" si="23"/>
        <v>0</v>
      </c>
      <c r="DS62" s="539">
        <f t="shared" si="23"/>
        <v>0</v>
      </c>
      <c r="DT62" s="539">
        <f t="shared" si="23"/>
        <v>0</v>
      </c>
      <c r="DU62" s="539">
        <f t="shared" si="23"/>
        <v>0</v>
      </c>
      <c r="DV62" s="539">
        <f t="shared" si="23"/>
        <v>0</v>
      </c>
      <c r="DW62" s="539">
        <f t="shared" si="23"/>
        <v>0</v>
      </c>
      <c r="DX62" s="539">
        <f t="shared" si="23"/>
        <v>0</v>
      </c>
      <c r="DY62" s="539">
        <f t="shared" si="23"/>
        <v>0</v>
      </c>
      <c r="DZ62" s="539">
        <f t="shared" si="23"/>
        <v>0</v>
      </c>
      <c r="EA62" s="539">
        <f t="shared" si="23"/>
        <v>0</v>
      </c>
      <c r="EB62" s="539">
        <f t="shared" si="23"/>
        <v>0</v>
      </c>
      <c r="EC62" s="539">
        <f t="shared" si="23"/>
        <v>0</v>
      </c>
      <c r="ED62" s="539">
        <f t="shared" si="23"/>
        <v>0</v>
      </c>
      <c r="EE62" s="539">
        <f t="shared" si="23"/>
        <v>0</v>
      </c>
      <c r="EF62" s="539">
        <f t="shared" si="23"/>
        <v>0</v>
      </c>
      <c r="EG62" s="539">
        <f t="shared" si="23"/>
        <v>0</v>
      </c>
    </row>
    <row r="63" spans="5:137" ht="12.75">
      <c r="E63" s="540" t="s">
        <v>373</v>
      </c>
      <c r="G63" s="541" t="s">
        <v>30</v>
      </c>
      <c r="H63" s="541">
        <f>SUM(J63:EG63)</f>
        <v>697187.04072008806</v>
      </c>
      <c r="J63" s="541">
        <f t="shared" si="24" ref="J63:EG63">J60-J61+J62</f>
        <v>0</v>
      </c>
      <c r="K63" s="541">
        <f t="shared" si="24"/>
        <v>0</v>
      </c>
      <c r="L63" s="541">
        <f t="shared" si="24"/>
        <v>0</v>
      </c>
      <c r="M63" s="541">
        <f t="shared" si="24"/>
        <v>0</v>
      </c>
      <c r="N63" s="541">
        <f t="shared" si="24"/>
        <v>0</v>
      </c>
      <c r="O63" s="541">
        <f t="shared" si="24"/>
        <v>0</v>
      </c>
      <c r="P63" s="541">
        <f t="shared" si="24"/>
        <v>0</v>
      </c>
      <c r="Q63" s="541">
        <f t="shared" si="24"/>
        <v>0</v>
      </c>
      <c r="R63" s="541">
        <f t="shared" si="24"/>
        <v>0</v>
      </c>
      <c r="S63" s="541">
        <f t="shared" si="24"/>
        <v>0</v>
      </c>
      <c r="T63" s="541">
        <f t="shared" si="24"/>
        <v>0</v>
      </c>
      <c r="U63" s="541">
        <f t="shared" si="24"/>
        <v>0</v>
      </c>
      <c r="V63" s="541">
        <f t="shared" si="24"/>
        <v>0</v>
      </c>
      <c r="W63" s="541">
        <f t="shared" si="24"/>
        <v>0</v>
      </c>
      <c r="X63" s="541">
        <f t="shared" si="24"/>
        <v>0</v>
      </c>
      <c r="Y63" s="541">
        <f t="shared" si="24"/>
        <v>0</v>
      </c>
      <c r="Z63" s="541">
        <f t="shared" si="24"/>
        <v>0</v>
      </c>
      <c r="AA63" s="541">
        <f t="shared" si="24"/>
        <v>0</v>
      </c>
      <c r="AB63" s="541">
        <f t="shared" si="24"/>
        <v>0</v>
      </c>
      <c r="AC63" s="541">
        <f t="shared" si="24"/>
        <v>0</v>
      </c>
      <c r="AD63" s="541">
        <f t="shared" si="24"/>
        <v>0</v>
      </c>
      <c r="AE63" s="541">
        <f t="shared" si="24"/>
        <v>0</v>
      </c>
      <c r="AF63" s="541">
        <f t="shared" si="24"/>
        <v>0</v>
      </c>
      <c r="AG63" s="541">
        <f t="shared" si="24"/>
        <v>8333.2746174985332</v>
      </c>
      <c r="AH63" s="541">
        <f t="shared" si="24"/>
        <v>9308.6531351756057</v>
      </c>
      <c r="AI63" s="541">
        <f t="shared" si="24"/>
        <v>9298.2394950176858</v>
      </c>
      <c r="AJ63" s="541">
        <f t="shared" si="24"/>
        <v>9337.6116506683175</v>
      </c>
      <c r="AK63" s="541">
        <f t="shared" si="24"/>
        <v>9429.7291218685914</v>
      </c>
      <c r="AL63" s="541">
        <f t="shared" si="24"/>
        <v>9472.0580695850113</v>
      </c>
      <c r="AM63" s="541">
        <f t="shared" si="24"/>
        <v>9461.5189563631629</v>
      </c>
      <c r="AN63" s="541">
        <f t="shared" si="24"/>
        <v>9501.8263636837055</v>
      </c>
      <c r="AO63" s="541">
        <f t="shared" si="24"/>
        <v>9595.4102808892349</v>
      </c>
      <c r="AP63" s="541">
        <f t="shared" si="24"/>
        <v>9638.1449416640698</v>
      </c>
      <c r="AQ63" s="541">
        <f t="shared" si="24"/>
        <v>9627.4799775801403</v>
      </c>
      <c r="AR63" s="541">
        <f t="shared" si="24"/>
        <v>9679.536016332997</v>
      </c>
      <c r="AS63" s="541">
        <f t="shared" si="24"/>
        <v>9763.8140753059997</v>
      </c>
      <c r="AT63" s="541">
        <f t="shared" si="24"/>
        <v>9796.1595279842222</v>
      </c>
      <c r="AU63" s="541">
        <f t="shared" si="24"/>
        <v>9793.9066267576272</v>
      </c>
      <c r="AV63" s="541">
        <f t="shared" si="24"/>
        <v>9836.1518034083492</v>
      </c>
      <c r="AW63" s="541">
        <f t="shared" si="24"/>
        <v>9934.9780954017842</v>
      </c>
      <c r="AX63" s="541">
        <f t="shared" si="24"/>
        <v>9978.5124212525789</v>
      </c>
      <c r="AY63" s="541">
        <f t="shared" si="24"/>
        <v>9965.1612930804731</v>
      </c>
      <c r="AZ63" s="541">
        <f t="shared" si="24"/>
        <v>9944.7298885451564</v>
      </c>
      <c r="BA63" s="541">
        <f t="shared" si="24"/>
        <v>9972.4781358472173</v>
      </c>
      <c r="BB63" s="541">
        <f t="shared" si="24"/>
        <v>9998.6118234080277</v>
      </c>
      <c r="BC63" s="541">
        <f t="shared" si="24"/>
        <v>9970.5745648815064</v>
      </c>
      <c r="BD63" s="541">
        <f t="shared" si="24"/>
        <v>9993.9780103795183</v>
      </c>
      <c r="BE63" s="541">
        <f t="shared" si="24"/>
        <v>10073.47416898013</v>
      </c>
      <c r="BF63" s="541">
        <f t="shared" si="24"/>
        <v>10102.988965730921</v>
      </c>
      <c r="BG63" s="541">
        <f t="shared" si="24"/>
        <v>10077.683309371694</v>
      </c>
      <c r="BH63" s="541">
        <f t="shared" si="24"/>
        <v>10116.091187302902</v>
      </c>
      <c r="BI63" s="541">
        <f t="shared" si="24"/>
        <v>10188.382359693998</v>
      </c>
      <c r="BJ63" s="541">
        <f t="shared" si="24"/>
        <v>10209.471318627446</v>
      </c>
      <c r="BK63" s="541">
        <f t="shared" si="24"/>
        <v>10197.714289675579</v>
      </c>
      <c r="BL63" s="541">
        <f t="shared" si="24"/>
        <v>10228.09568557579</v>
      </c>
      <c r="BM63" s="541">
        <f t="shared" si="24"/>
        <v>10315.357334076012</v>
      </c>
      <c r="BN63" s="541">
        <f t="shared" si="24"/>
        <v>10350.191466434988</v>
      </c>
      <c r="BO63" s="541">
        <f t="shared" si="24"/>
        <v>10328.987274345176</v>
      </c>
      <c r="BP63" s="541">
        <f t="shared" si="24"/>
        <v>10415.624121569275</v>
      </c>
      <c r="BQ63" s="541">
        <f t="shared" si="24"/>
        <v>10559.552974855102</v>
      </c>
      <c r="BR63" s="541">
        <f t="shared" si="24"/>
        <v>10596.479459831688</v>
      </c>
      <c r="BS63" s="541">
        <f t="shared" si="24"/>
        <v>10576.793421109882</v>
      </c>
      <c r="BT63" s="541">
        <f t="shared" si="24"/>
        <v>10473.459397795083</v>
      </c>
      <c r="BU63" s="541">
        <f t="shared" si="24"/>
        <v>10016.709456108158</v>
      </c>
      <c r="BV63" s="541">
        <f t="shared" si="24"/>
        <v>9636.2291610373613</v>
      </c>
      <c r="BW63" s="541">
        <f t="shared" si="24"/>
        <v>9601.997150678957</v>
      </c>
      <c r="BX63" s="541">
        <f t="shared" si="24"/>
        <v>9625.2865352991357</v>
      </c>
      <c r="BY63" s="541">
        <f t="shared" si="24"/>
        <v>9683.778569263166</v>
      </c>
      <c r="BZ63" s="541">
        <f t="shared" si="24"/>
        <v>9662.5293592965245</v>
      </c>
      <c r="CA63" s="541">
        <f t="shared" si="24"/>
        <v>9432.0314212886315</v>
      </c>
      <c r="CB63" s="541">
        <f t="shared" si="24"/>
        <v>9253.2529979049323</v>
      </c>
      <c r="CC63" s="541">
        <f t="shared" si="24"/>
        <v>9305.6886046067902</v>
      </c>
      <c r="CD63" s="541">
        <f t="shared" si="24"/>
        <v>9328.242598621724</v>
      </c>
      <c r="CE63" s="541">
        <f t="shared" si="24"/>
        <v>9290.6736063131902</v>
      </c>
      <c r="CF63" s="541">
        <f t="shared" si="24"/>
        <v>9287.1183551242611</v>
      </c>
      <c r="CG63" s="541">
        <f t="shared" si="24"/>
        <v>9344.8100349126944</v>
      </c>
      <c r="CH63" s="541">
        <f t="shared" si="24"/>
        <v>9369.1866302068702</v>
      </c>
      <c r="CI63" s="541">
        <f t="shared" si="24"/>
        <v>9333.0916602598882</v>
      </c>
      <c r="CJ63" s="541">
        <f t="shared" si="24"/>
        <v>9620.0621641394609</v>
      </c>
      <c r="CK63" s="541">
        <f t="shared" si="24"/>
        <v>9967.8281585778968</v>
      </c>
      <c r="CL63" s="541">
        <f t="shared" si="24"/>
        <v>9992.4293815623641</v>
      </c>
      <c r="CM63" s="541">
        <f t="shared" si="24"/>
        <v>9956.2389657101321</v>
      </c>
      <c r="CN63" s="541">
        <f t="shared" si="24"/>
        <v>9683.7890086705629</v>
      </c>
      <c r="CO63" s="541">
        <f t="shared" si="24"/>
        <v>9447.2122969783286</v>
      </c>
      <c r="CP63" s="541">
        <f t="shared" si="24"/>
        <v>9459.8928143723988</v>
      </c>
      <c r="CQ63" s="541">
        <f t="shared" si="24"/>
        <v>9437.5230352693525</v>
      </c>
      <c r="CR63" s="541">
        <f t="shared" si="24"/>
        <v>9442.1999104621646</v>
      </c>
      <c r="CS63" s="541">
        <f t="shared" si="24"/>
        <v>9508.240525704532</v>
      </c>
      <c r="CT63" s="541">
        <f t="shared" si="24"/>
        <v>9534.8898375107237</v>
      </c>
      <c r="CU63" s="541">
        <f t="shared" si="24"/>
        <v>9500.3177228280038</v>
      </c>
      <c r="CV63" s="541">
        <f t="shared" si="24"/>
        <v>9507.0838976619561</v>
      </c>
      <c r="CW63" s="541">
        <f t="shared" si="24"/>
        <v>9575.228520301549</v>
      </c>
      <c r="CX63" s="541">
        <f t="shared" si="24"/>
        <v>9601.8380683248215</v>
      </c>
      <c r="CY63" s="541">
        <f t="shared" si="24"/>
        <v>9567.0576877281255</v>
      </c>
      <c r="CZ63" s="541">
        <f t="shared" si="24"/>
        <v>4771.6969558081337</v>
      </c>
      <c r="DA63" s="541">
        <f t="shared" si="24"/>
        <v>0</v>
      </c>
      <c r="DB63" s="541">
        <f t="shared" si="24"/>
        <v>0</v>
      </c>
      <c r="DC63" s="541">
        <f t="shared" si="24"/>
        <v>0</v>
      </c>
      <c r="DD63" s="541">
        <f t="shared" si="24"/>
        <v>0</v>
      </c>
      <c r="DE63" s="541">
        <f t="shared" si="24"/>
        <v>0</v>
      </c>
      <c r="DF63" s="541">
        <f t="shared" si="24"/>
        <v>0</v>
      </c>
      <c r="DG63" s="541">
        <f t="shared" si="24"/>
        <v>0</v>
      </c>
      <c r="DH63" s="541">
        <f t="shared" si="24"/>
        <v>0</v>
      </c>
      <c r="DI63" s="541">
        <f t="shared" si="24"/>
        <v>0</v>
      </c>
      <c r="DJ63" s="541">
        <f t="shared" si="24"/>
        <v>0</v>
      </c>
      <c r="DK63" s="541">
        <f t="shared" si="24"/>
        <v>0</v>
      </c>
      <c r="DL63" s="541">
        <f t="shared" si="24"/>
        <v>0</v>
      </c>
      <c r="DM63" s="541">
        <f t="shared" si="24"/>
        <v>0</v>
      </c>
      <c r="DN63" s="541">
        <f t="shared" si="24"/>
        <v>0</v>
      </c>
      <c r="DO63" s="541">
        <f t="shared" si="24"/>
        <v>0</v>
      </c>
      <c r="DP63" s="541">
        <f t="shared" si="24"/>
        <v>0</v>
      </c>
      <c r="DQ63" s="541">
        <f t="shared" si="24"/>
        <v>0</v>
      </c>
      <c r="DR63" s="541">
        <f t="shared" si="24"/>
        <v>0</v>
      </c>
      <c r="DS63" s="541">
        <f t="shared" si="24"/>
        <v>0</v>
      </c>
      <c r="DT63" s="541">
        <f t="shared" si="24"/>
        <v>0</v>
      </c>
      <c r="DU63" s="541">
        <f t="shared" si="24"/>
        <v>0</v>
      </c>
      <c r="DV63" s="541">
        <f t="shared" si="24"/>
        <v>0</v>
      </c>
      <c r="DW63" s="541">
        <f t="shared" si="24"/>
        <v>0</v>
      </c>
      <c r="DX63" s="541">
        <f t="shared" si="24"/>
        <v>0</v>
      </c>
      <c r="DY63" s="541">
        <f t="shared" si="24"/>
        <v>0</v>
      </c>
      <c r="DZ63" s="541">
        <f t="shared" si="24"/>
        <v>0</v>
      </c>
      <c r="EA63" s="541">
        <f t="shared" si="24"/>
        <v>0</v>
      </c>
      <c r="EB63" s="541">
        <f t="shared" si="24"/>
        <v>0</v>
      </c>
      <c r="EC63" s="541">
        <f t="shared" si="24"/>
        <v>0</v>
      </c>
      <c r="ED63" s="541">
        <f t="shared" si="24"/>
        <v>0</v>
      </c>
      <c r="EE63" s="541">
        <f t="shared" si="24"/>
        <v>0</v>
      </c>
      <c r="EF63" s="541">
        <f t="shared" si="24"/>
        <v>0</v>
      </c>
      <c r="EG63" s="541">
        <f t="shared" si="24"/>
        <v>0</v>
      </c>
    </row>
    <row r="66" spans="1:1" ht="12.75">
      <c r="A66" s="534" t="s">
        <v>374</v>
      </c>
    </row>
    <row r="68" spans="5:137" ht="12.75">
      <c r="E68" s="535" t="str">
        <f>InpS!E$17</f>
        <v>Maintenance cost - real terms</v>
      </c>
      <c r="G68" s="537" t="str">
        <f>InpS!G$17</f>
        <v>EUR 000s</v>
      </c>
      <c r="H68" s="537">
        <f>InpS!H$17</f>
        <v>24000</v>
      </c>
      <c r="J68" s="537">
        <f>InpS!J$17</f>
        <v>0</v>
      </c>
      <c r="K68" s="537">
        <f>InpS!K$17</f>
        <v>0</v>
      </c>
      <c r="L68" s="537">
        <f>InpS!L$17</f>
        <v>0</v>
      </c>
      <c r="M68" s="537">
        <f>InpS!M$17</f>
        <v>0</v>
      </c>
      <c r="N68" s="537">
        <f>InpS!N$17</f>
        <v>0</v>
      </c>
      <c r="O68" s="537">
        <f>InpS!O$17</f>
        <v>0</v>
      </c>
      <c r="P68" s="537">
        <f>InpS!P$17</f>
        <v>0</v>
      </c>
      <c r="Q68" s="537">
        <f>InpS!Q$17</f>
        <v>0</v>
      </c>
      <c r="R68" s="537">
        <f>InpS!R$17</f>
        <v>0</v>
      </c>
      <c r="S68" s="537">
        <f>InpS!S$17</f>
        <v>0</v>
      </c>
      <c r="T68" s="537">
        <f>InpS!T$17</f>
        <v>0</v>
      </c>
      <c r="U68" s="537">
        <f>InpS!U$17</f>
        <v>0</v>
      </c>
      <c r="V68" s="537">
        <f>InpS!V$17</f>
        <v>0</v>
      </c>
      <c r="W68" s="537">
        <f>InpS!W$17</f>
        <v>0</v>
      </c>
      <c r="X68" s="537">
        <f>InpS!X$17</f>
        <v>0</v>
      </c>
      <c r="Y68" s="537">
        <f>InpS!Y$17</f>
        <v>0</v>
      </c>
      <c r="Z68" s="537">
        <f>InpS!Z$17</f>
        <v>0</v>
      </c>
      <c r="AA68" s="537">
        <f>InpS!AA$17</f>
        <v>0</v>
      </c>
      <c r="AB68" s="537">
        <f>InpS!AB$17</f>
        <v>0</v>
      </c>
      <c r="AC68" s="537">
        <f>InpS!AC$17</f>
        <v>0</v>
      </c>
      <c r="AD68" s="537">
        <f>InpS!AD$17</f>
        <v>0</v>
      </c>
      <c r="AE68" s="537">
        <f>InpS!AE$17</f>
        <v>0</v>
      </c>
      <c r="AF68" s="537">
        <f>InpS!AF$17</f>
        <v>0</v>
      </c>
      <c r="AG68" s="537">
        <f>InpS!AG$17</f>
        <v>0</v>
      </c>
      <c r="AH68" s="537">
        <f>InpS!AH$17</f>
        <v>0</v>
      </c>
      <c r="AI68" s="537">
        <f>InpS!AI$17</f>
        <v>0</v>
      </c>
      <c r="AJ68" s="537">
        <f>InpS!AJ$17</f>
        <v>0</v>
      </c>
      <c r="AK68" s="537">
        <f>InpS!AK$17</f>
        <v>0</v>
      </c>
      <c r="AL68" s="537">
        <f>InpS!AL$17</f>
        <v>0</v>
      </c>
      <c r="AM68" s="537">
        <f>InpS!AM$17</f>
        <v>0</v>
      </c>
      <c r="AN68" s="537">
        <f>InpS!AN$17</f>
        <v>0</v>
      </c>
      <c r="AO68" s="537">
        <f>InpS!AO$17</f>
        <v>0</v>
      </c>
      <c r="AP68" s="537">
        <f>InpS!AP$17</f>
        <v>0</v>
      </c>
      <c r="AQ68" s="537">
        <f>InpS!AQ$17</f>
        <v>0</v>
      </c>
      <c r="AR68" s="537">
        <f>InpS!AR$17</f>
        <v>0</v>
      </c>
      <c r="AS68" s="537">
        <f>InpS!AS$17</f>
        <v>0</v>
      </c>
      <c r="AT68" s="537">
        <f>InpS!AT$17</f>
        <v>0</v>
      </c>
      <c r="AU68" s="537">
        <f>InpS!AU$17</f>
        <v>0</v>
      </c>
      <c r="AV68" s="537">
        <f>InpS!AV$17</f>
        <v>0</v>
      </c>
      <c r="AW68" s="537">
        <f>InpS!AW$17</f>
        <v>0</v>
      </c>
      <c r="AX68" s="537">
        <f>InpS!AX$17</f>
        <v>1500</v>
      </c>
      <c r="AY68" s="537">
        <f>InpS!AY$17</f>
        <v>1500</v>
      </c>
      <c r="AZ68" s="537">
        <f>InpS!AZ$17</f>
        <v>1500</v>
      </c>
      <c r="BA68" s="537">
        <f>InpS!BA$17</f>
        <v>1500</v>
      </c>
      <c r="BB68" s="537">
        <f>InpS!BB$17</f>
        <v>0</v>
      </c>
      <c r="BC68" s="537">
        <f>InpS!BC$17</f>
        <v>0</v>
      </c>
      <c r="BD68" s="537">
        <f>InpS!BD$17</f>
        <v>0</v>
      </c>
      <c r="BE68" s="537">
        <f>InpS!BE$17</f>
        <v>0</v>
      </c>
      <c r="BF68" s="537">
        <f>InpS!BF$17</f>
        <v>0</v>
      </c>
      <c r="BG68" s="537">
        <f>InpS!BG$17</f>
        <v>0</v>
      </c>
      <c r="BH68" s="537">
        <f>InpS!BH$17</f>
        <v>0</v>
      </c>
      <c r="BI68" s="537">
        <f>InpS!BI$17</f>
        <v>0</v>
      </c>
      <c r="BJ68" s="537">
        <f>InpS!BJ$17</f>
        <v>0</v>
      </c>
      <c r="BK68" s="537">
        <f>InpS!BK$17</f>
        <v>0</v>
      </c>
      <c r="BL68" s="537">
        <f>InpS!BL$17</f>
        <v>0</v>
      </c>
      <c r="BM68" s="537">
        <f>InpS!BM$17</f>
        <v>0</v>
      </c>
      <c r="BN68" s="537">
        <f>InpS!BN$17</f>
        <v>0</v>
      </c>
      <c r="BO68" s="537">
        <f>InpS!BO$17</f>
        <v>0</v>
      </c>
      <c r="BP68" s="537">
        <f>InpS!BP$17</f>
        <v>0</v>
      </c>
      <c r="BQ68" s="537">
        <f>InpS!BQ$17</f>
        <v>0</v>
      </c>
      <c r="BR68" s="537">
        <f>InpS!BR$17</f>
        <v>1500</v>
      </c>
      <c r="BS68" s="537">
        <f>InpS!BS$17</f>
        <v>1500</v>
      </c>
      <c r="BT68" s="537">
        <f>InpS!BT$17</f>
        <v>1500</v>
      </c>
      <c r="BU68" s="537">
        <f>InpS!BU$17</f>
        <v>1500</v>
      </c>
      <c r="BV68" s="537">
        <f>InpS!BV$17</f>
        <v>0</v>
      </c>
      <c r="BW68" s="537">
        <f>InpS!BW$17</f>
        <v>0</v>
      </c>
      <c r="BX68" s="537">
        <f>InpS!BX$17</f>
        <v>0</v>
      </c>
      <c r="BY68" s="537">
        <f>InpS!BY$17</f>
        <v>0</v>
      </c>
      <c r="BZ68" s="537">
        <f>InpS!BZ$17</f>
        <v>0</v>
      </c>
      <c r="CA68" s="537">
        <f>InpS!CA$17</f>
        <v>0</v>
      </c>
      <c r="CB68" s="537">
        <f>InpS!CB$17</f>
        <v>0</v>
      </c>
      <c r="CC68" s="537">
        <f>InpS!CC$17</f>
        <v>0</v>
      </c>
      <c r="CD68" s="537">
        <f>InpS!CD$17</f>
        <v>0</v>
      </c>
      <c r="CE68" s="537">
        <f>InpS!CE$17</f>
        <v>0</v>
      </c>
      <c r="CF68" s="537">
        <f>InpS!CF$17</f>
        <v>0</v>
      </c>
      <c r="CG68" s="537">
        <f>InpS!CG$17</f>
        <v>0</v>
      </c>
      <c r="CH68" s="537">
        <f>InpS!CH$17</f>
        <v>0</v>
      </c>
      <c r="CI68" s="537">
        <f>InpS!CI$17</f>
        <v>0</v>
      </c>
      <c r="CJ68" s="537">
        <f>InpS!CJ$17</f>
        <v>0</v>
      </c>
      <c r="CK68" s="537">
        <f>InpS!CK$17</f>
        <v>0</v>
      </c>
      <c r="CL68" s="537">
        <f>InpS!CL$17</f>
        <v>1500</v>
      </c>
      <c r="CM68" s="537">
        <f>InpS!CM$17</f>
        <v>1500</v>
      </c>
      <c r="CN68" s="537">
        <f>InpS!CN$17</f>
        <v>1500</v>
      </c>
      <c r="CO68" s="537">
        <f>InpS!CO$17</f>
        <v>1500</v>
      </c>
      <c r="CP68" s="537">
        <f>InpS!CP$17</f>
        <v>0</v>
      </c>
      <c r="CQ68" s="537">
        <f>InpS!CQ$17</f>
        <v>0</v>
      </c>
      <c r="CR68" s="537">
        <f>InpS!CR$17</f>
        <v>0</v>
      </c>
      <c r="CS68" s="537">
        <f>InpS!CS$17</f>
        <v>0</v>
      </c>
      <c r="CT68" s="537">
        <f>InpS!CT$17</f>
        <v>0</v>
      </c>
      <c r="CU68" s="537">
        <f>InpS!CU$17</f>
        <v>0</v>
      </c>
      <c r="CV68" s="537">
        <f>InpS!CV$17</f>
        <v>0</v>
      </c>
      <c r="CW68" s="537">
        <f>InpS!CW$17</f>
        <v>0</v>
      </c>
      <c r="CX68" s="537">
        <f>InpS!CX$17</f>
        <v>0</v>
      </c>
      <c r="CY68" s="537">
        <f>InpS!CY$17</f>
        <v>0</v>
      </c>
      <c r="CZ68" s="537">
        <f>InpS!CZ$17</f>
        <v>0</v>
      </c>
      <c r="DA68" s="537">
        <f>InpS!DA$17</f>
        <v>0</v>
      </c>
      <c r="DB68" s="537">
        <f>InpS!DB$17</f>
        <v>0</v>
      </c>
      <c r="DC68" s="537">
        <f>InpS!DC$17</f>
        <v>0</v>
      </c>
      <c r="DD68" s="537">
        <f>InpS!DD$17</f>
        <v>0</v>
      </c>
      <c r="DE68" s="537">
        <f>InpS!DE$17</f>
        <v>0</v>
      </c>
      <c r="DF68" s="537">
        <f>InpS!DF$17</f>
        <v>1500</v>
      </c>
      <c r="DG68" s="537">
        <f>InpS!DG$17</f>
        <v>1500</v>
      </c>
      <c r="DH68" s="537">
        <f>InpS!DH$17</f>
        <v>1500</v>
      </c>
      <c r="DI68" s="537">
        <f>InpS!DI$17</f>
        <v>1500</v>
      </c>
      <c r="DJ68" s="537">
        <f>InpS!DJ$17</f>
        <v>0</v>
      </c>
      <c r="DK68" s="537">
        <f>InpS!DK$17</f>
        <v>0</v>
      </c>
      <c r="DL68" s="537">
        <f>InpS!DL$17</f>
        <v>0</v>
      </c>
      <c r="DM68" s="537">
        <f>InpS!DM$17</f>
        <v>0</v>
      </c>
      <c r="DN68" s="537">
        <f>InpS!DN$17</f>
        <v>0</v>
      </c>
      <c r="DO68" s="537">
        <f>InpS!DO$17</f>
        <v>0</v>
      </c>
      <c r="DP68" s="537">
        <f>InpS!DP$17</f>
        <v>0</v>
      </c>
      <c r="DQ68" s="537">
        <f>InpS!DQ$17</f>
        <v>0</v>
      </c>
      <c r="DR68" s="537">
        <f>InpS!DR$17</f>
        <v>0</v>
      </c>
      <c r="DS68" s="537">
        <f>InpS!DS$17</f>
        <v>0</v>
      </c>
      <c r="DT68" s="537">
        <f>InpS!DT$17</f>
        <v>0</v>
      </c>
      <c r="DU68" s="537">
        <f>InpS!DU$17</f>
        <v>0</v>
      </c>
      <c r="DV68" s="537">
        <f>InpS!DV$17</f>
        <v>0</v>
      </c>
      <c r="DW68" s="537">
        <f>InpS!DW$17</f>
        <v>0</v>
      </c>
      <c r="DX68" s="537">
        <f>InpS!DX$17</f>
        <v>0</v>
      </c>
      <c r="DY68" s="537">
        <f>InpS!DY$17</f>
        <v>0</v>
      </c>
      <c r="DZ68" s="537">
        <f>InpS!DZ$17</f>
        <v>0</v>
      </c>
      <c r="EA68" s="537">
        <f>InpS!EA$17</f>
        <v>0</v>
      </c>
      <c r="EB68" s="537">
        <f>InpS!EB$17</f>
        <v>0</v>
      </c>
      <c r="EC68" s="537">
        <f>InpS!EC$17</f>
        <v>0</v>
      </c>
      <c r="ED68" s="537">
        <f>InpS!ED$17</f>
        <v>0</v>
      </c>
      <c r="EE68" s="537">
        <f>InpS!EE$17</f>
        <v>0</v>
      </c>
      <c r="EF68" s="537">
        <f>InpS!EF$17</f>
        <v>0</v>
      </c>
      <c r="EG68" s="537">
        <f>InpS!EG$17</f>
        <v>0</v>
      </c>
    </row>
    <row r="69" spans="5:137" ht="12.75">
      <c r="E69" s="535" t="str">
        <f>Ops!E$21</f>
        <v>Opex index - factor</v>
      </c>
      <c r="G69" s="547" t="str">
        <f>Ops!G$21</f>
        <v>index</v>
      </c>
      <c r="H69" s="547">
        <f>Ops!H$21</f>
        <v>175.63920300115302</v>
      </c>
      <c r="J69" s="547">
        <f>Ops!J$21</f>
        <v>1</v>
      </c>
      <c r="K69" s="547">
        <f>Ops!K$21</f>
        <v>1</v>
      </c>
      <c r="L69" s="547">
        <f>Ops!L$21</f>
        <v>1</v>
      </c>
      <c r="M69" s="547">
        <f>Ops!M$21</f>
        <v>1</v>
      </c>
      <c r="N69" s="547">
        <f>Ops!N$21</f>
        <v>1</v>
      </c>
      <c r="O69" s="547">
        <f>Ops!O$21</f>
        <v>1</v>
      </c>
      <c r="P69" s="547">
        <f>Ops!P$21</f>
        <v>1</v>
      </c>
      <c r="Q69" s="547">
        <f>Ops!Q$21</f>
        <v>1</v>
      </c>
      <c r="R69" s="547">
        <f>Ops!R$21</f>
        <v>1</v>
      </c>
      <c r="S69" s="547">
        <f>Ops!S$21</f>
        <v>1</v>
      </c>
      <c r="T69" s="547">
        <f>Ops!T$21</f>
        <v>1</v>
      </c>
      <c r="U69" s="547">
        <f>Ops!U$21</f>
        <v>1</v>
      </c>
      <c r="V69" s="547">
        <f>Ops!V$21</f>
        <v>1.0249999999999999</v>
      </c>
      <c r="W69" s="547">
        <f>Ops!W$21</f>
        <v>1.0249999999999999</v>
      </c>
      <c r="X69" s="547">
        <f>Ops!X$21</f>
        <v>1.0249999999999999</v>
      </c>
      <c r="Y69" s="547">
        <f>Ops!Y$21</f>
        <v>1.0249999999999999</v>
      </c>
      <c r="Z69" s="547">
        <f>Ops!Z$21</f>
        <v>1.0249999999999999</v>
      </c>
      <c r="AA69" s="547">
        <f>Ops!AA$21</f>
        <v>1.0249999999999999</v>
      </c>
      <c r="AB69" s="547">
        <f>Ops!AB$21</f>
        <v>1.0249999999999999</v>
      </c>
      <c r="AC69" s="547">
        <f>Ops!AC$21</f>
        <v>1.0249999999999999</v>
      </c>
      <c r="AD69" s="547">
        <f>Ops!AD$21</f>
        <v>1.0249999999999999</v>
      </c>
      <c r="AE69" s="547">
        <f>Ops!AE$21</f>
        <v>1.0249999999999999</v>
      </c>
      <c r="AF69" s="547">
        <f>Ops!AF$21</f>
        <v>1.0249999999999999</v>
      </c>
      <c r="AG69" s="547">
        <f>Ops!AG$21</f>
        <v>1.0249999999999999</v>
      </c>
      <c r="AH69" s="547">
        <f>Ops!AH$21</f>
        <v>1.0506249999999999</v>
      </c>
      <c r="AI69" s="547">
        <f>Ops!AI$21</f>
        <v>1.0506249999999999</v>
      </c>
      <c r="AJ69" s="547">
        <f>Ops!AJ$21</f>
        <v>1.0506249999999999</v>
      </c>
      <c r="AK69" s="547">
        <f>Ops!AK$21</f>
        <v>1.0506249999999999</v>
      </c>
      <c r="AL69" s="547">
        <f>Ops!AL$21</f>
        <v>1.0768906249999999</v>
      </c>
      <c r="AM69" s="547">
        <f>Ops!AM$21</f>
        <v>1.0768906249999999</v>
      </c>
      <c r="AN69" s="547">
        <f>Ops!AN$21</f>
        <v>1.0768906249999999</v>
      </c>
      <c r="AO69" s="547">
        <f>Ops!AO$21</f>
        <v>1.0768906249999999</v>
      </c>
      <c r="AP69" s="547">
        <f>Ops!AP$21</f>
        <v>1.1038128906249998</v>
      </c>
      <c r="AQ69" s="547">
        <f>Ops!AQ$21</f>
        <v>1.1038128906249998</v>
      </c>
      <c r="AR69" s="547">
        <f>Ops!AR$21</f>
        <v>1.1038128906249998</v>
      </c>
      <c r="AS69" s="547">
        <f>Ops!AS$21</f>
        <v>1.1038128906249998</v>
      </c>
      <c r="AT69" s="547">
        <f>Ops!AT$21</f>
        <v>1.1314082128906247</v>
      </c>
      <c r="AU69" s="547">
        <f>Ops!AU$21</f>
        <v>1.1314082128906247</v>
      </c>
      <c r="AV69" s="547">
        <f>Ops!AV$21</f>
        <v>1.1314082128906247</v>
      </c>
      <c r="AW69" s="547">
        <f>Ops!AW$21</f>
        <v>1.1314082128906247</v>
      </c>
      <c r="AX69" s="547">
        <f>Ops!AX$21</f>
        <v>1.1596934182128902</v>
      </c>
      <c r="AY69" s="547">
        <f>Ops!AY$21</f>
        <v>1.1596934182128902</v>
      </c>
      <c r="AZ69" s="547">
        <f>Ops!AZ$21</f>
        <v>1.1596934182128902</v>
      </c>
      <c r="BA69" s="547">
        <f>Ops!BA$21</f>
        <v>1.1596934182128902</v>
      </c>
      <c r="BB69" s="547">
        <f>Ops!BB$21</f>
        <v>1.1886857536682123</v>
      </c>
      <c r="BC69" s="547">
        <f>Ops!BC$21</f>
        <v>1.1886857536682123</v>
      </c>
      <c r="BD69" s="547">
        <f>Ops!BD$21</f>
        <v>1.1886857536682123</v>
      </c>
      <c r="BE69" s="547">
        <f>Ops!BE$21</f>
        <v>1.1886857536682123</v>
      </c>
      <c r="BF69" s="547">
        <f>Ops!BF$21</f>
        <v>1.2184028975099175</v>
      </c>
      <c r="BG69" s="547">
        <f>Ops!BG$21</f>
        <v>1.2184028975099175</v>
      </c>
      <c r="BH69" s="547">
        <f>Ops!BH$21</f>
        <v>1.2184028975099175</v>
      </c>
      <c r="BI69" s="547">
        <f>Ops!BI$21</f>
        <v>1.2184028975099175</v>
      </c>
      <c r="BJ69" s="547">
        <f>Ops!BJ$21</f>
        <v>1.2488629699476652</v>
      </c>
      <c r="BK69" s="547">
        <f>Ops!BK$21</f>
        <v>1.2488629699476652</v>
      </c>
      <c r="BL69" s="547">
        <f>Ops!BL$21</f>
        <v>1.2488629699476652</v>
      </c>
      <c r="BM69" s="547">
        <f>Ops!BM$21</f>
        <v>1.2488629699476652</v>
      </c>
      <c r="BN69" s="547">
        <f>Ops!BN$21</f>
        <v>1.2800845441963566</v>
      </c>
      <c r="BO69" s="547">
        <f>Ops!BO$21</f>
        <v>1.2800845441963566</v>
      </c>
      <c r="BP69" s="547">
        <f>Ops!BP$21</f>
        <v>1.2800845441963566</v>
      </c>
      <c r="BQ69" s="547">
        <f>Ops!BQ$21</f>
        <v>1.2800845441963566</v>
      </c>
      <c r="BR69" s="547">
        <f>Ops!BR$21</f>
        <v>1.3120866578012655</v>
      </c>
      <c r="BS69" s="547">
        <f>Ops!BS$21</f>
        <v>1.3120866578012655</v>
      </c>
      <c r="BT69" s="547">
        <f>Ops!BT$21</f>
        <v>1.3120866578012655</v>
      </c>
      <c r="BU69" s="547">
        <f>Ops!BU$21</f>
        <v>1.3120866578012655</v>
      </c>
      <c r="BV69" s="547">
        <f>Ops!BV$21</f>
        <v>1.3448888242462971</v>
      </c>
      <c r="BW69" s="547">
        <f>Ops!BW$21</f>
        <v>1.3448888242462971</v>
      </c>
      <c r="BX69" s="547">
        <f>Ops!BX$21</f>
        <v>1.3448888242462971</v>
      </c>
      <c r="BY69" s="547">
        <f>Ops!BY$21</f>
        <v>1.3448888242462971</v>
      </c>
      <c r="BZ69" s="547">
        <f>Ops!BZ$21</f>
        <v>1.3785110448524545</v>
      </c>
      <c r="CA69" s="547">
        <f>Ops!CA$21</f>
        <v>1.3785110448524545</v>
      </c>
      <c r="CB69" s="547">
        <f>Ops!CB$21</f>
        <v>1.3785110448524545</v>
      </c>
      <c r="CC69" s="547">
        <f>Ops!CC$21</f>
        <v>1.3785110448524545</v>
      </c>
      <c r="CD69" s="547">
        <f>Ops!CD$21</f>
        <v>1.4129738209737657</v>
      </c>
      <c r="CE69" s="547">
        <f>Ops!CE$21</f>
        <v>1.4129738209737657</v>
      </c>
      <c r="CF69" s="547">
        <f>Ops!CF$21</f>
        <v>1.4129738209737657</v>
      </c>
      <c r="CG69" s="547">
        <f>Ops!CG$21</f>
        <v>1.4129738209737657</v>
      </c>
      <c r="CH69" s="547">
        <f>Ops!CH$21</f>
        <v>1.4482981664981096</v>
      </c>
      <c r="CI69" s="547">
        <f>Ops!CI$21</f>
        <v>1.4482981664981096</v>
      </c>
      <c r="CJ69" s="547">
        <f>Ops!CJ$21</f>
        <v>1.4482981664981096</v>
      </c>
      <c r="CK69" s="547">
        <f>Ops!CK$21</f>
        <v>1.4482981664981096</v>
      </c>
      <c r="CL69" s="547">
        <f>Ops!CL$21</f>
        <v>1.4845056206605622</v>
      </c>
      <c r="CM69" s="547">
        <f>Ops!CM$21</f>
        <v>1.4845056206605622</v>
      </c>
      <c r="CN69" s="547">
        <f>Ops!CN$21</f>
        <v>1.4845056206605622</v>
      </c>
      <c r="CO69" s="547">
        <f>Ops!CO$21</f>
        <v>1.4845056206605622</v>
      </c>
      <c r="CP69" s="547">
        <f>Ops!CP$21</f>
        <v>1.5216182611770761</v>
      </c>
      <c r="CQ69" s="547">
        <f>Ops!CQ$21</f>
        <v>1.5216182611770761</v>
      </c>
      <c r="CR69" s="547">
        <f>Ops!CR$21</f>
        <v>1.5216182611770761</v>
      </c>
      <c r="CS69" s="547">
        <f>Ops!CS$21</f>
        <v>1.5216182611770761</v>
      </c>
      <c r="CT69" s="547">
        <f>Ops!CT$21</f>
        <v>1.5596587177065029</v>
      </c>
      <c r="CU69" s="547">
        <f>Ops!CU$21</f>
        <v>1.5596587177065029</v>
      </c>
      <c r="CV69" s="547">
        <f>Ops!CV$21</f>
        <v>1.5596587177065029</v>
      </c>
      <c r="CW69" s="547">
        <f>Ops!CW$21</f>
        <v>1.5596587177065029</v>
      </c>
      <c r="CX69" s="547">
        <f>Ops!CX$21</f>
        <v>1.5986501856491653</v>
      </c>
      <c r="CY69" s="547">
        <f>Ops!CY$21</f>
        <v>1.5986501856491653</v>
      </c>
      <c r="CZ69" s="547">
        <f>Ops!CZ$21</f>
        <v>1.5986501856491653</v>
      </c>
      <c r="DA69" s="547">
        <f>Ops!DA$21</f>
        <v>1.5986501856491653</v>
      </c>
      <c r="DB69" s="547">
        <f>Ops!DB$21</f>
        <v>1.6386164402903942</v>
      </c>
      <c r="DC69" s="547">
        <f>Ops!DC$21</f>
        <v>1.6386164402903942</v>
      </c>
      <c r="DD69" s="547">
        <f>Ops!DD$21</f>
        <v>1.6386164402903942</v>
      </c>
      <c r="DE69" s="547">
        <f>Ops!DE$21</f>
        <v>1.6386164402903942</v>
      </c>
      <c r="DF69" s="547">
        <f>Ops!DF$21</f>
        <v>1.6795818512976539</v>
      </c>
      <c r="DG69" s="547">
        <f>Ops!DG$21</f>
        <v>1.6795818512976539</v>
      </c>
      <c r="DH69" s="547">
        <f>Ops!DH$21</f>
        <v>1.6795818512976539</v>
      </c>
      <c r="DI69" s="547">
        <f>Ops!DI$21</f>
        <v>1.6795818512976539</v>
      </c>
      <c r="DJ69" s="547">
        <f>Ops!DJ$21</f>
        <v>1.721571397580095</v>
      </c>
      <c r="DK69" s="547">
        <f>Ops!DK$21</f>
        <v>1.721571397580095</v>
      </c>
      <c r="DL69" s="547">
        <f>Ops!DL$21</f>
        <v>1.721571397580095</v>
      </c>
      <c r="DM69" s="547">
        <f>Ops!DM$21</f>
        <v>1.721571397580095</v>
      </c>
      <c r="DN69" s="547">
        <f>Ops!DN$21</f>
        <v>1.7646106825195973</v>
      </c>
      <c r="DO69" s="547">
        <f>Ops!DO$21</f>
        <v>1.7646106825195973</v>
      </c>
      <c r="DP69" s="547">
        <f>Ops!DP$21</f>
        <v>1.7646106825195973</v>
      </c>
      <c r="DQ69" s="547">
        <f>Ops!DQ$21</f>
        <v>1.7646106825195973</v>
      </c>
      <c r="DR69" s="547">
        <f>Ops!DR$21</f>
        <v>1.8087259495825871</v>
      </c>
      <c r="DS69" s="547">
        <f>Ops!DS$21</f>
        <v>1.8087259495825871</v>
      </c>
      <c r="DT69" s="547">
        <f>Ops!DT$21</f>
        <v>1.8087259495825871</v>
      </c>
      <c r="DU69" s="547">
        <f>Ops!DU$21</f>
        <v>1.8087259495825871</v>
      </c>
      <c r="DV69" s="547">
        <f>Ops!DV$21</f>
        <v>1.8539440983221516</v>
      </c>
      <c r="DW69" s="547">
        <f>Ops!DW$21</f>
        <v>1.8539440983221516</v>
      </c>
      <c r="DX69" s="547">
        <f>Ops!DX$21</f>
        <v>1.8539440983221516</v>
      </c>
      <c r="DY69" s="547">
        <f>Ops!DY$21</f>
        <v>1.8539440983221516</v>
      </c>
      <c r="DZ69" s="547">
        <f>Ops!DZ$21</f>
        <v>1.9002927007802053</v>
      </c>
      <c r="EA69" s="547">
        <f>Ops!EA$21</f>
        <v>1.9002927007802053</v>
      </c>
      <c r="EB69" s="547">
        <f>Ops!EB$21</f>
        <v>1.9002927007802053</v>
      </c>
      <c r="EC69" s="547">
        <f>Ops!EC$21</f>
        <v>1.9002927007802053</v>
      </c>
      <c r="ED69" s="547">
        <f>Ops!ED$21</f>
        <v>1.9478000182997102</v>
      </c>
      <c r="EE69" s="547">
        <f>Ops!EE$21</f>
        <v>1.9478000182997102</v>
      </c>
      <c r="EF69" s="547">
        <f>Ops!EF$21</f>
        <v>1.9478000182997102</v>
      </c>
      <c r="EG69" s="547">
        <f>Ops!EG$21</f>
        <v>1.9478000182997102</v>
      </c>
    </row>
    <row r="70" spans="5:137" ht="12.75">
      <c r="E70" s="535" t="str">
        <f>Time!E$91</f>
        <v>Operating period flag</v>
      </c>
      <c r="G70" s="537" t="str">
        <f>Time!G$91</f>
        <v>flag</v>
      </c>
      <c r="H70" s="537">
        <f>Time!H$91</f>
        <v>100</v>
      </c>
      <c r="J70" s="537">
        <f>Time!J$91</f>
        <v>0</v>
      </c>
      <c r="K70" s="537">
        <f>Time!K$91</f>
        <v>0</v>
      </c>
      <c r="L70" s="537">
        <f>Time!L$91</f>
        <v>0</v>
      </c>
      <c r="M70" s="537">
        <f>Time!M$91</f>
        <v>0</v>
      </c>
      <c r="N70" s="537">
        <f>Time!N$91</f>
        <v>0</v>
      </c>
      <c r="O70" s="537">
        <f>Time!O$91</f>
        <v>0</v>
      </c>
      <c r="P70" s="537">
        <f>Time!P$91</f>
        <v>0</v>
      </c>
      <c r="Q70" s="537">
        <f>Time!Q$91</f>
        <v>0</v>
      </c>
      <c r="R70" s="537">
        <f>Time!R$91</f>
        <v>0</v>
      </c>
      <c r="S70" s="537">
        <f>Time!S$91</f>
        <v>0</v>
      </c>
      <c r="T70" s="537">
        <f>Time!T$91</f>
        <v>0</v>
      </c>
      <c r="U70" s="537">
        <f>Time!U$91</f>
        <v>0</v>
      </c>
      <c r="V70" s="537">
        <f>Time!V$91</f>
        <v>0</v>
      </c>
      <c r="W70" s="537">
        <f>Time!W$91</f>
        <v>0</v>
      </c>
      <c r="X70" s="537">
        <f>Time!X$91</f>
        <v>0</v>
      </c>
      <c r="Y70" s="537">
        <f>Time!Y$91</f>
        <v>0</v>
      </c>
      <c r="Z70" s="537">
        <f>Time!Z$91</f>
        <v>0</v>
      </c>
      <c r="AA70" s="537">
        <f>Time!AA$91</f>
        <v>0</v>
      </c>
      <c r="AB70" s="537">
        <f>Time!AB$91</f>
        <v>0</v>
      </c>
      <c r="AC70" s="537">
        <f>Time!AC$91</f>
        <v>0</v>
      </c>
      <c r="AD70" s="537">
        <f>Time!AD$91</f>
        <v>0</v>
      </c>
      <c r="AE70" s="537">
        <f>Time!AE$91</f>
        <v>0</v>
      </c>
      <c r="AF70" s="537">
        <f>Time!AF$91</f>
        <v>0</v>
      </c>
      <c r="AG70" s="537">
        <f>Time!AG$91</f>
        <v>0</v>
      </c>
      <c r="AH70" s="537">
        <f>Time!AH$91</f>
        <v>1</v>
      </c>
      <c r="AI70" s="537">
        <f>Time!AI$91</f>
        <v>1</v>
      </c>
      <c r="AJ70" s="537">
        <f>Time!AJ$91</f>
        <v>1</v>
      </c>
      <c r="AK70" s="537">
        <f>Time!AK$91</f>
        <v>1</v>
      </c>
      <c r="AL70" s="537">
        <f>Time!AL$91</f>
        <v>1</v>
      </c>
      <c r="AM70" s="537">
        <f>Time!AM$91</f>
        <v>1</v>
      </c>
      <c r="AN70" s="537">
        <f>Time!AN$91</f>
        <v>1</v>
      </c>
      <c r="AO70" s="537">
        <f>Time!AO$91</f>
        <v>1</v>
      </c>
      <c r="AP70" s="537">
        <f>Time!AP$91</f>
        <v>1</v>
      </c>
      <c r="AQ70" s="537">
        <f>Time!AQ$91</f>
        <v>1</v>
      </c>
      <c r="AR70" s="537">
        <f>Time!AR$91</f>
        <v>1</v>
      </c>
      <c r="AS70" s="537">
        <f>Time!AS$91</f>
        <v>1</v>
      </c>
      <c r="AT70" s="537">
        <f>Time!AT$91</f>
        <v>1</v>
      </c>
      <c r="AU70" s="537">
        <f>Time!AU$91</f>
        <v>1</v>
      </c>
      <c r="AV70" s="537">
        <f>Time!AV$91</f>
        <v>1</v>
      </c>
      <c r="AW70" s="537">
        <f>Time!AW$91</f>
        <v>1</v>
      </c>
      <c r="AX70" s="537">
        <f>Time!AX$91</f>
        <v>1</v>
      </c>
      <c r="AY70" s="537">
        <f>Time!AY$91</f>
        <v>1</v>
      </c>
      <c r="AZ70" s="537">
        <f>Time!AZ$91</f>
        <v>1</v>
      </c>
      <c r="BA70" s="537">
        <f>Time!BA$91</f>
        <v>1</v>
      </c>
      <c r="BB70" s="537">
        <f>Time!BB$91</f>
        <v>1</v>
      </c>
      <c r="BC70" s="537">
        <f>Time!BC$91</f>
        <v>1</v>
      </c>
      <c r="BD70" s="537">
        <f>Time!BD$91</f>
        <v>1</v>
      </c>
      <c r="BE70" s="537">
        <f>Time!BE$91</f>
        <v>1</v>
      </c>
      <c r="BF70" s="537">
        <f>Time!BF$91</f>
        <v>1</v>
      </c>
      <c r="BG70" s="537">
        <f>Time!BG$91</f>
        <v>1</v>
      </c>
      <c r="BH70" s="537">
        <f>Time!BH$91</f>
        <v>1</v>
      </c>
      <c r="BI70" s="537">
        <f>Time!BI$91</f>
        <v>1</v>
      </c>
      <c r="BJ70" s="537">
        <f>Time!BJ$91</f>
        <v>1</v>
      </c>
      <c r="BK70" s="537">
        <f>Time!BK$91</f>
        <v>1</v>
      </c>
      <c r="BL70" s="537">
        <f>Time!BL$91</f>
        <v>1</v>
      </c>
      <c r="BM70" s="537">
        <f>Time!BM$91</f>
        <v>1</v>
      </c>
      <c r="BN70" s="537">
        <f>Time!BN$91</f>
        <v>1</v>
      </c>
      <c r="BO70" s="537">
        <f>Time!BO$91</f>
        <v>1</v>
      </c>
      <c r="BP70" s="537">
        <f>Time!BP$91</f>
        <v>1</v>
      </c>
      <c r="BQ70" s="537">
        <f>Time!BQ$91</f>
        <v>1</v>
      </c>
      <c r="BR70" s="537">
        <f>Time!BR$91</f>
        <v>1</v>
      </c>
      <c r="BS70" s="537">
        <f>Time!BS$91</f>
        <v>1</v>
      </c>
      <c r="BT70" s="537">
        <f>Time!BT$91</f>
        <v>1</v>
      </c>
      <c r="BU70" s="537">
        <f>Time!BU$91</f>
        <v>1</v>
      </c>
      <c r="BV70" s="537">
        <f>Time!BV$91</f>
        <v>1</v>
      </c>
      <c r="BW70" s="537">
        <f>Time!BW$91</f>
        <v>1</v>
      </c>
      <c r="BX70" s="537">
        <f>Time!BX$91</f>
        <v>1</v>
      </c>
      <c r="BY70" s="537">
        <f>Time!BY$91</f>
        <v>1</v>
      </c>
      <c r="BZ70" s="537">
        <f>Time!BZ$91</f>
        <v>1</v>
      </c>
      <c r="CA70" s="537">
        <f>Time!CA$91</f>
        <v>1</v>
      </c>
      <c r="CB70" s="537">
        <f>Time!CB$91</f>
        <v>1</v>
      </c>
      <c r="CC70" s="537">
        <f>Time!CC$91</f>
        <v>1</v>
      </c>
      <c r="CD70" s="537">
        <f>Time!CD$91</f>
        <v>1</v>
      </c>
      <c r="CE70" s="537">
        <f>Time!CE$91</f>
        <v>1</v>
      </c>
      <c r="CF70" s="537">
        <f>Time!CF$91</f>
        <v>1</v>
      </c>
      <c r="CG70" s="537">
        <f>Time!CG$91</f>
        <v>1</v>
      </c>
      <c r="CH70" s="537">
        <f>Time!CH$91</f>
        <v>1</v>
      </c>
      <c r="CI70" s="537">
        <f>Time!CI$91</f>
        <v>1</v>
      </c>
      <c r="CJ70" s="537">
        <f>Time!CJ$91</f>
        <v>1</v>
      </c>
      <c r="CK70" s="537">
        <f>Time!CK$91</f>
        <v>1</v>
      </c>
      <c r="CL70" s="537">
        <f>Time!CL$91</f>
        <v>1</v>
      </c>
      <c r="CM70" s="537">
        <f>Time!CM$91</f>
        <v>1</v>
      </c>
      <c r="CN70" s="537">
        <f>Time!CN$91</f>
        <v>1</v>
      </c>
      <c r="CO70" s="537">
        <f>Time!CO$91</f>
        <v>1</v>
      </c>
      <c r="CP70" s="537">
        <f>Time!CP$91</f>
        <v>1</v>
      </c>
      <c r="CQ70" s="537">
        <f>Time!CQ$91</f>
        <v>1</v>
      </c>
      <c r="CR70" s="537">
        <f>Time!CR$91</f>
        <v>1</v>
      </c>
      <c r="CS70" s="537">
        <f>Time!CS$91</f>
        <v>1</v>
      </c>
      <c r="CT70" s="537">
        <f>Time!CT$91</f>
        <v>1</v>
      </c>
      <c r="CU70" s="537">
        <f>Time!CU$91</f>
        <v>1</v>
      </c>
      <c r="CV70" s="537">
        <f>Time!CV$91</f>
        <v>1</v>
      </c>
      <c r="CW70" s="537">
        <f>Time!CW$91</f>
        <v>1</v>
      </c>
      <c r="CX70" s="537">
        <f>Time!CX$91</f>
        <v>1</v>
      </c>
      <c r="CY70" s="537">
        <f>Time!CY$91</f>
        <v>1</v>
      </c>
      <c r="CZ70" s="537">
        <f>Time!CZ$91</f>
        <v>1</v>
      </c>
      <c r="DA70" s="537">
        <f>Time!DA$91</f>
        <v>1</v>
      </c>
      <c r="DB70" s="537">
        <f>Time!DB$91</f>
        <v>1</v>
      </c>
      <c r="DC70" s="537">
        <f>Time!DC$91</f>
        <v>1</v>
      </c>
      <c r="DD70" s="537">
        <f>Time!DD$91</f>
        <v>1</v>
      </c>
      <c r="DE70" s="537">
        <f>Time!DE$91</f>
        <v>1</v>
      </c>
      <c r="DF70" s="537">
        <f>Time!DF$91</f>
        <v>1</v>
      </c>
      <c r="DG70" s="537">
        <f>Time!DG$91</f>
        <v>1</v>
      </c>
      <c r="DH70" s="537">
        <f>Time!DH$91</f>
        <v>1</v>
      </c>
      <c r="DI70" s="537">
        <f>Time!DI$91</f>
        <v>1</v>
      </c>
      <c r="DJ70" s="537">
        <f>Time!DJ$91</f>
        <v>1</v>
      </c>
      <c r="DK70" s="537">
        <f>Time!DK$91</f>
        <v>1</v>
      </c>
      <c r="DL70" s="537">
        <f>Time!DL$91</f>
        <v>1</v>
      </c>
      <c r="DM70" s="537">
        <f>Time!DM$91</f>
        <v>1</v>
      </c>
      <c r="DN70" s="537">
        <f>Time!DN$91</f>
        <v>1</v>
      </c>
      <c r="DO70" s="537">
        <f>Time!DO$91</f>
        <v>1</v>
      </c>
      <c r="DP70" s="537">
        <f>Time!DP$91</f>
        <v>1</v>
      </c>
      <c r="DQ70" s="537">
        <f>Time!DQ$91</f>
        <v>1</v>
      </c>
      <c r="DR70" s="537">
        <f>Time!DR$91</f>
        <v>1</v>
      </c>
      <c r="DS70" s="537">
        <f>Time!DS$91</f>
        <v>1</v>
      </c>
      <c r="DT70" s="537">
        <f>Time!DT$91</f>
        <v>1</v>
      </c>
      <c r="DU70" s="537">
        <f>Time!DU$91</f>
        <v>1</v>
      </c>
      <c r="DV70" s="537">
        <f>Time!DV$91</f>
        <v>1</v>
      </c>
      <c r="DW70" s="537">
        <f>Time!DW$91</f>
        <v>1</v>
      </c>
      <c r="DX70" s="537">
        <f>Time!DX$91</f>
        <v>1</v>
      </c>
      <c r="DY70" s="537">
        <f>Time!DY$91</f>
        <v>1</v>
      </c>
      <c r="DZ70" s="537">
        <f>Time!DZ$91</f>
        <v>1</v>
      </c>
      <c r="EA70" s="537">
        <f>Time!EA$91</f>
        <v>1</v>
      </c>
      <c r="EB70" s="537">
        <f>Time!EB$91</f>
        <v>1</v>
      </c>
      <c r="EC70" s="537">
        <f>Time!EC$91</f>
        <v>1</v>
      </c>
      <c r="ED70" s="537">
        <f>Time!ED$91</f>
        <v>0</v>
      </c>
      <c r="EE70" s="537">
        <f>Time!EE$91</f>
        <v>0</v>
      </c>
      <c r="EF70" s="537">
        <f>Time!EF$91</f>
        <v>0</v>
      </c>
      <c r="EG70" s="537">
        <f>Time!EG$91</f>
        <v>0</v>
      </c>
    </row>
    <row r="71" spans="5:137" ht="12.75">
      <c r="E71" s="540" t="s">
        <v>375</v>
      </c>
      <c r="G71" s="541" t="s">
        <v>30</v>
      </c>
      <c r="H71" s="541">
        <f>SUM(J71:EG71)</f>
        <v>33815.205287834237</v>
      </c>
      <c r="J71" s="541">
        <f t="shared" si="25" ref="J71:EG71">J68*J69*J70</f>
        <v>0</v>
      </c>
      <c r="K71" s="541">
        <f t="shared" si="25"/>
        <v>0</v>
      </c>
      <c r="L71" s="541">
        <f t="shared" si="25"/>
        <v>0</v>
      </c>
      <c r="M71" s="541">
        <f t="shared" si="25"/>
        <v>0</v>
      </c>
      <c r="N71" s="541">
        <f t="shared" si="25"/>
        <v>0</v>
      </c>
      <c r="O71" s="541">
        <f t="shared" si="25"/>
        <v>0</v>
      </c>
      <c r="P71" s="541">
        <f t="shared" si="25"/>
        <v>0</v>
      </c>
      <c r="Q71" s="541">
        <f t="shared" si="25"/>
        <v>0</v>
      </c>
      <c r="R71" s="541">
        <f t="shared" si="25"/>
        <v>0</v>
      </c>
      <c r="S71" s="541">
        <f t="shared" si="25"/>
        <v>0</v>
      </c>
      <c r="T71" s="541">
        <f t="shared" si="25"/>
        <v>0</v>
      </c>
      <c r="U71" s="541">
        <f t="shared" si="25"/>
        <v>0</v>
      </c>
      <c r="V71" s="541">
        <f t="shared" si="25"/>
        <v>0</v>
      </c>
      <c r="W71" s="541">
        <f t="shared" si="25"/>
        <v>0</v>
      </c>
      <c r="X71" s="541">
        <f t="shared" si="25"/>
        <v>0</v>
      </c>
      <c r="Y71" s="541">
        <f t="shared" si="25"/>
        <v>0</v>
      </c>
      <c r="Z71" s="541">
        <f t="shared" si="25"/>
        <v>0</v>
      </c>
      <c r="AA71" s="541">
        <f t="shared" si="25"/>
        <v>0</v>
      </c>
      <c r="AB71" s="541">
        <f t="shared" si="25"/>
        <v>0</v>
      </c>
      <c r="AC71" s="541">
        <f t="shared" si="25"/>
        <v>0</v>
      </c>
      <c r="AD71" s="541">
        <f t="shared" si="25"/>
        <v>0</v>
      </c>
      <c r="AE71" s="541">
        <f t="shared" si="25"/>
        <v>0</v>
      </c>
      <c r="AF71" s="541">
        <f t="shared" si="25"/>
        <v>0</v>
      </c>
      <c r="AG71" s="541">
        <f t="shared" si="25"/>
        <v>0</v>
      </c>
      <c r="AH71" s="541">
        <f t="shared" si="25"/>
        <v>0</v>
      </c>
      <c r="AI71" s="541">
        <f t="shared" si="25"/>
        <v>0</v>
      </c>
      <c r="AJ71" s="541">
        <f t="shared" si="25"/>
        <v>0</v>
      </c>
      <c r="AK71" s="541">
        <f t="shared" si="25"/>
        <v>0</v>
      </c>
      <c r="AL71" s="541">
        <f t="shared" si="25"/>
        <v>0</v>
      </c>
      <c r="AM71" s="541">
        <f t="shared" si="25"/>
        <v>0</v>
      </c>
      <c r="AN71" s="541">
        <f t="shared" si="25"/>
        <v>0</v>
      </c>
      <c r="AO71" s="541">
        <f t="shared" si="25"/>
        <v>0</v>
      </c>
      <c r="AP71" s="541">
        <f t="shared" si="25"/>
        <v>0</v>
      </c>
      <c r="AQ71" s="541">
        <f t="shared" si="25"/>
        <v>0</v>
      </c>
      <c r="AR71" s="541">
        <f t="shared" si="25"/>
        <v>0</v>
      </c>
      <c r="AS71" s="541">
        <f t="shared" si="25"/>
        <v>0</v>
      </c>
      <c r="AT71" s="541">
        <f t="shared" si="25"/>
        <v>0</v>
      </c>
      <c r="AU71" s="541">
        <f t="shared" si="25"/>
        <v>0</v>
      </c>
      <c r="AV71" s="541">
        <f t="shared" si="25"/>
        <v>0</v>
      </c>
      <c r="AW71" s="541">
        <f t="shared" si="25"/>
        <v>0</v>
      </c>
      <c r="AX71" s="541">
        <f t="shared" si="25"/>
        <v>1739.5401273193352</v>
      </c>
      <c r="AY71" s="541">
        <f t="shared" si="25"/>
        <v>1739.5401273193352</v>
      </c>
      <c r="AZ71" s="541">
        <f t="shared" si="25"/>
        <v>1739.5401273193352</v>
      </c>
      <c r="BA71" s="541">
        <f t="shared" si="25"/>
        <v>1739.5401273193352</v>
      </c>
      <c r="BB71" s="541">
        <f t="shared" si="25"/>
        <v>0</v>
      </c>
      <c r="BC71" s="541">
        <f t="shared" si="25"/>
        <v>0</v>
      </c>
      <c r="BD71" s="541">
        <f t="shared" si="25"/>
        <v>0</v>
      </c>
      <c r="BE71" s="541">
        <f t="shared" si="25"/>
        <v>0</v>
      </c>
      <c r="BF71" s="541">
        <f t="shared" si="25"/>
        <v>0</v>
      </c>
      <c r="BG71" s="541">
        <f t="shared" si="25"/>
        <v>0</v>
      </c>
      <c r="BH71" s="541">
        <f t="shared" si="25"/>
        <v>0</v>
      </c>
      <c r="BI71" s="541">
        <f t="shared" si="25"/>
        <v>0</v>
      </c>
      <c r="BJ71" s="541">
        <f t="shared" si="25"/>
        <v>0</v>
      </c>
      <c r="BK71" s="541">
        <f t="shared" si="25"/>
        <v>0</v>
      </c>
      <c r="BL71" s="541">
        <f t="shared" si="25"/>
        <v>0</v>
      </c>
      <c r="BM71" s="541">
        <f t="shared" si="25"/>
        <v>0</v>
      </c>
      <c r="BN71" s="541">
        <f t="shared" si="25"/>
        <v>0</v>
      </c>
      <c r="BO71" s="541">
        <f t="shared" si="25"/>
        <v>0</v>
      </c>
      <c r="BP71" s="541">
        <f t="shared" si="25"/>
        <v>0</v>
      </c>
      <c r="BQ71" s="541">
        <f t="shared" si="25"/>
        <v>0</v>
      </c>
      <c r="BR71" s="541">
        <f t="shared" si="25"/>
        <v>1968.1299867018984</v>
      </c>
      <c r="BS71" s="541">
        <f t="shared" si="25"/>
        <v>1968.1299867018984</v>
      </c>
      <c r="BT71" s="541">
        <f t="shared" si="25"/>
        <v>1968.1299867018984</v>
      </c>
      <c r="BU71" s="541">
        <f t="shared" si="25"/>
        <v>1968.1299867018984</v>
      </c>
      <c r="BV71" s="541">
        <f t="shared" si="25"/>
        <v>0</v>
      </c>
      <c r="BW71" s="541">
        <f t="shared" si="25"/>
        <v>0</v>
      </c>
      <c r="BX71" s="541">
        <f t="shared" si="25"/>
        <v>0</v>
      </c>
      <c r="BY71" s="541">
        <f t="shared" si="25"/>
        <v>0</v>
      </c>
      <c r="BZ71" s="541">
        <f t="shared" si="25"/>
        <v>0</v>
      </c>
      <c r="CA71" s="541">
        <f t="shared" si="25"/>
        <v>0</v>
      </c>
      <c r="CB71" s="541">
        <f t="shared" si="25"/>
        <v>0</v>
      </c>
      <c r="CC71" s="541">
        <f t="shared" si="25"/>
        <v>0</v>
      </c>
      <c r="CD71" s="541">
        <f t="shared" si="25"/>
        <v>0</v>
      </c>
      <c r="CE71" s="541">
        <f t="shared" si="25"/>
        <v>0</v>
      </c>
      <c r="CF71" s="541">
        <f t="shared" si="25"/>
        <v>0</v>
      </c>
      <c r="CG71" s="541">
        <f t="shared" si="25"/>
        <v>0</v>
      </c>
      <c r="CH71" s="541">
        <f t="shared" si="25"/>
        <v>0</v>
      </c>
      <c r="CI71" s="541">
        <f t="shared" si="25"/>
        <v>0</v>
      </c>
      <c r="CJ71" s="541">
        <f t="shared" si="25"/>
        <v>0</v>
      </c>
      <c r="CK71" s="541">
        <f t="shared" si="25"/>
        <v>0</v>
      </c>
      <c r="CL71" s="541">
        <f t="shared" si="25"/>
        <v>2226.7584309908434</v>
      </c>
      <c r="CM71" s="541">
        <f t="shared" si="25"/>
        <v>2226.7584309908434</v>
      </c>
      <c r="CN71" s="541">
        <f t="shared" si="25"/>
        <v>2226.7584309908434</v>
      </c>
      <c r="CO71" s="541">
        <f t="shared" si="25"/>
        <v>2226.7584309908434</v>
      </c>
      <c r="CP71" s="541">
        <f t="shared" si="25"/>
        <v>0</v>
      </c>
      <c r="CQ71" s="541">
        <f t="shared" si="25"/>
        <v>0</v>
      </c>
      <c r="CR71" s="541">
        <f t="shared" si="25"/>
        <v>0</v>
      </c>
      <c r="CS71" s="541">
        <f t="shared" si="25"/>
        <v>0</v>
      </c>
      <c r="CT71" s="541">
        <f t="shared" si="25"/>
        <v>0</v>
      </c>
      <c r="CU71" s="541">
        <f t="shared" si="25"/>
        <v>0</v>
      </c>
      <c r="CV71" s="541">
        <f t="shared" si="25"/>
        <v>0</v>
      </c>
      <c r="CW71" s="541">
        <f t="shared" si="25"/>
        <v>0</v>
      </c>
      <c r="CX71" s="541">
        <f t="shared" si="25"/>
        <v>0</v>
      </c>
      <c r="CY71" s="541">
        <f t="shared" si="25"/>
        <v>0</v>
      </c>
      <c r="CZ71" s="541">
        <f t="shared" si="25"/>
        <v>0</v>
      </c>
      <c r="DA71" s="541">
        <f t="shared" si="25"/>
        <v>0</v>
      </c>
      <c r="DB71" s="541">
        <f t="shared" si="25"/>
        <v>0</v>
      </c>
      <c r="DC71" s="541">
        <f t="shared" si="25"/>
        <v>0</v>
      </c>
      <c r="DD71" s="541">
        <f t="shared" si="25"/>
        <v>0</v>
      </c>
      <c r="DE71" s="541">
        <f t="shared" si="25"/>
        <v>0</v>
      </c>
      <c r="DF71" s="541">
        <f t="shared" si="25"/>
        <v>2519.3727769464808</v>
      </c>
      <c r="DG71" s="541">
        <f t="shared" si="25"/>
        <v>2519.3727769464808</v>
      </c>
      <c r="DH71" s="541">
        <f t="shared" si="25"/>
        <v>2519.3727769464808</v>
      </c>
      <c r="DI71" s="541">
        <f t="shared" si="25"/>
        <v>2519.3727769464808</v>
      </c>
      <c r="DJ71" s="541">
        <f t="shared" si="25"/>
        <v>0</v>
      </c>
      <c r="DK71" s="541">
        <f t="shared" si="25"/>
        <v>0</v>
      </c>
      <c r="DL71" s="541">
        <f t="shared" si="25"/>
        <v>0</v>
      </c>
      <c r="DM71" s="541">
        <f t="shared" si="25"/>
        <v>0</v>
      </c>
      <c r="DN71" s="541">
        <f t="shared" si="25"/>
        <v>0</v>
      </c>
      <c r="DO71" s="541">
        <f t="shared" si="25"/>
        <v>0</v>
      </c>
      <c r="DP71" s="541">
        <f t="shared" si="25"/>
        <v>0</v>
      </c>
      <c r="DQ71" s="541">
        <f t="shared" si="25"/>
        <v>0</v>
      </c>
      <c r="DR71" s="541">
        <f t="shared" si="25"/>
        <v>0</v>
      </c>
      <c r="DS71" s="541">
        <f t="shared" si="25"/>
        <v>0</v>
      </c>
      <c r="DT71" s="541">
        <f t="shared" si="25"/>
        <v>0</v>
      </c>
      <c r="DU71" s="541">
        <f t="shared" si="25"/>
        <v>0</v>
      </c>
      <c r="DV71" s="541">
        <f t="shared" si="25"/>
        <v>0</v>
      </c>
      <c r="DW71" s="541">
        <f t="shared" si="25"/>
        <v>0</v>
      </c>
      <c r="DX71" s="541">
        <f t="shared" si="25"/>
        <v>0</v>
      </c>
      <c r="DY71" s="541">
        <f t="shared" si="25"/>
        <v>0</v>
      </c>
      <c r="DZ71" s="541">
        <f t="shared" si="25"/>
        <v>0</v>
      </c>
      <c r="EA71" s="541">
        <f t="shared" si="25"/>
        <v>0</v>
      </c>
      <c r="EB71" s="541">
        <f t="shared" si="25"/>
        <v>0</v>
      </c>
      <c r="EC71" s="541">
        <f t="shared" si="25"/>
        <v>0</v>
      </c>
      <c r="ED71" s="541">
        <f t="shared" si="25"/>
        <v>0</v>
      </c>
      <c r="EE71" s="541">
        <f t="shared" si="25"/>
        <v>0</v>
      </c>
      <c r="EF71" s="541">
        <f t="shared" si="25"/>
        <v>0</v>
      </c>
      <c r="EG71" s="541">
        <f t="shared" si="25"/>
        <v>0</v>
      </c>
    </row>
    <row r="73" spans="5:7" ht="12.75">
      <c r="E73" s="535" t="str">
        <f>InpC!E$99</f>
        <v>MRA - maintenance cover period</v>
      </c>
      <c r="F73" s="537">
        <f>InpC!F$99</f>
        <v>12</v>
      </c>
      <c r="G73" s="537" t="str">
        <f>InpC!G$99</f>
        <v>months</v>
      </c>
    </row>
    <row r="74" spans="5:7" ht="12.75">
      <c r="E74" s="535" t="str">
        <f>InpC!E$100</f>
        <v>MRA - share of upcoming maintenance covered</v>
      </c>
      <c r="F74" s="542">
        <f>InpC!F$100</f>
        <v>1</v>
      </c>
      <c r="G74" s="542" t="str">
        <f>InpC!G$100</f>
        <v>%</v>
      </c>
    </row>
    <row r="75" spans="5:137" ht="12.75">
      <c r="E75" s="535" t="str">
        <f>Time!E$50</f>
        <v>Model period ending</v>
      </c>
      <c r="G75" s="536" t="str">
        <f>Time!G$50</f>
        <v>date</v>
      </c>
      <c r="J75" s="536">
        <f>Time!J$50</f>
        <v>46418</v>
      </c>
      <c r="K75" s="536">
        <f>Time!K$50</f>
        <v>46446</v>
      </c>
      <c r="L75" s="536">
        <f>Time!L$50</f>
        <v>46477</v>
      </c>
      <c r="M75" s="536">
        <f>Time!M$50</f>
        <v>46507</v>
      </c>
      <c r="N75" s="536">
        <f>Time!N$50</f>
        <v>46538</v>
      </c>
      <c r="O75" s="536">
        <f>Time!O$50</f>
        <v>46568</v>
      </c>
      <c r="P75" s="536">
        <f>Time!P$50</f>
        <v>46599</v>
      </c>
      <c r="Q75" s="536">
        <f>Time!Q$50</f>
        <v>46630</v>
      </c>
      <c r="R75" s="536">
        <f>Time!R$50</f>
        <v>46660</v>
      </c>
      <c r="S75" s="536">
        <f>Time!S$50</f>
        <v>46691</v>
      </c>
      <c r="T75" s="536">
        <f>Time!T$50</f>
        <v>46721</v>
      </c>
      <c r="U75" s="536">
        <f>Time!U$50</f>
        <v>46752</v>
      </c>
      <c r="V75" s="536">
        <f>Time!V$50</f>
        <v>46783</v>
      </c>
      <c r="W75" s="536">
        <f>Time!W$50</f>
        <v>46812</v>
      </c>
      <c r="X75" s="536">
        <f>Time!X$50</f>
        <v>46843</v>
      </c>
      <c r="Y75" s="536">
        <f>Time!Y$50</f>
        <v>46873</v>
      </c>
      <c r="Z75" s="536">
        <f>Time!Z$50</f>
        <v>46904</v>
      </c>
      <c r="AA75" s="536">
        <f>Time!AA$50</f>
        <v>46934</v>
      </c>
      <c r="AB75" s="536">
        <f>Time!AB$50</f>
        <v>46965</v>
      </c>
      <c r="AC75" s="536">
        <f>Time!AC$50</f>
        <v>46996</v>
      </c>
      <c r="AD75" s="536">
        <f>Time!AD$50</f>
        <v>47026</v>
      </c>
      <c r="AE75" s="536">
        <f>Time!AE$50</f>
        <v>47057</v>
      </c>
      <c r="AF75" s="536">
        <f>Time!AF$50</f>
        <v>47087</v>
      </c>
      <c r="AG75" s="536">
        <f>Time!AG$50</f>
        <v>47118</v>
      </c>
      <c r="AH75" s="536">
        <f>Time!AH$50</f>
        <v>47208</v>
      </c>
      <c r="AI75" s="536">
        <f>Time!AI$50</f>
        <v>47299</v>
      </c>
      <c r="AJ75" s="536">
        <f>Time!AJ$50</f>
        <v>47391</v>
      </c>
      <c r="AK75" s="536">
        <f>Time!AK$50</f>
        <v>47483</v>
      </c>
      <c r="AL75" s="536">
        <f>Time!AL$50</f>
        <v>47573</v>
      </c>
      <c r="AM75" s="536">
        <f>Time!AM$50</f>
        <v>47664</v>
      </c>
      <c r="AN75" s="536">
        <f>Time!AN$50</f>
        <v>47756</v>
      </c>
      <c r="AO75" s="536">
        <f>Time!AO$50</f>
        <v>47848</v>
      </c>
      <c r="AP75" s="536">
        <f>Time!AP$50</f>
        <v>47938</v>
      </c>
      <c r="AQ75" s="536">
        <f>Time!AQ$50</f>
        <v>48029</v>
      </c>
      <c r="AR75" s="536">
        <f>Time!AR$50</f>
        <v>48121</v>
      </c>
      <c r="AS75" s="536">
        <f>Time!AS$50</f>
        <v>48213</v>
      </c>
      <c r="AT75" s="536">
        <f>Time!AT$50</f>
        <v>48304</v>
      </c>
      <c r="AU75" s="536">
        <f>Time!AU$50</f>
        <v>48395</v>
      </c>
      <c r="AV75" s="536">
        <f>Time!AV$50</f>
        <v>48487</v>
      </c>
      <c r="AW75" s="536">
        <f>Time!AW$50</f>
        <v>48579</v>
      </c>
      <c r="AX75" s="536">
        <f>Time!AX$50</f>
        <v>48669</v>
      </c>
      <c r="AY75" s="536">
        <f>Time!AY$50</f>
        <v>48760</v>
      </c>
      <c r="AZ75" s="536">
        <f>Time!AZ$50</f>
        <v>48852</v>
      </c>
      <c r="BA75" s="536">
        <f>Time!BA$50</f>
        <v>48944</v>
      </c>
      <c r="BB75" s="536">
        <f>Time!BB$50</f>
        <v>49034</v>
      </c>
      <c r="BC75" s="536">
        <f>Time!BC$50</f>
        <v>49125</v>
      </c>
      <c r="BD75" s="536">
        <f>Time!BD$50</f>
        <v>49217</v>
      </c>
      <c r="BE75" s="536">
        <f>Time!BE$50</f>
        <v>49309</v>
      </c>
      <c r="BF75" s="536">
        <f>Time!BF$50</f>
        <v>49399</v>
      </c>
      <c r="BG75" s="536">
        <f>Time!BG$50</f>
        <v>49490</v>
      </c>
      <c r="BH75" s="536">
        <f>Time!BH$50</f>
        <v>49582</v>
      </c>
      <c r="BI75" s="536">
        <f>Time!BI$50</f>
        <v>49674</v>
      </c>
      <c r="BJ75" s="536">
        <f>Time!BJ$50</f>
        <v>49765</v>
      </c>
      <c r="BK75" s="536">
        <f>Time!BK$50</f>
        <v>49856</v>
      </c>
      <c r="BL75" s="536">
        <f>Time!BL$50</f>
        <v>49948</v>
      </c>
      <c r="BM75" s="536">
        <f>Time!BM$50</f>
        <v>50040</v>
      </c>
      <c r="BN75" s="536">
        <f>Time!BN$50</f>
        <v>50130</v>
      </c>
      <c r="BO75" s="536">
        <f>Time!BO$50</f>
        <v>50221</v>
      </c>
      <c r="BP75" s="536">
        <f>Time!BP$50</f>
        <v>50313</v>
      </c>
      <c r="BQ75" s="536">
        <f>Time!BQ$50</f>
        <v>50405</v>
      </c>
      <c r="BR75" s="536">
        <f>Time!BR$50</f>
        <v>50495</v>
      </c>
      <c r="BS75" s="536">
        <f>Time!BS$50</f>
        <v>50586</v>
      </c>
      <c r="BT75" s="536">
        <f>Time!BT$50</f>
        <v>50678</v>
      </c>
      <c r="BU75" s="536">
        <f>Time!BU$50</f>
        <v>50770</v>
      </c>
      <c r="BV75" s="536">
        <f>Time!BV$50</f>
        <v>50860</v>
      </c>
      <c r="BW75" s="536">
        <f>Time!BW$50</f>
        <v>50951</v>
      </c>
      <c r="BX75" s="536">
        <f>Time!BX$50</f>
        <v>51043</v>
      </c>
      <c r="BY75" s="536">
        <f>Time!BY$50</f>
        <v>51135</v>
      </c>
      <c r="BZ75" s="536">
        <f>Time!BZ$50</f>
        <v>51226</v>
      </c>
      <c r="CA75" s="536">
        <f>Time!CA$50</f>
        <v>51317</v>
      </c>
      <c r="CB75" s="536">
        <f>Time!CB$50</f>
        <v>51409</v>
      </c>
      <c r="CC75" s="536">
        <f>Time!CC$50</f>
        <v>51501</v>
      </c>
      <c r="CD75" s="536">
        <f>Time!CD$50</f>
        <v>51591</v>
      </c>
      <c r="CE75" s="536">
        <f>Time!CE$50</f>
        <v>51682</v>
      </c>
      <c r="CF75" s="536">
        <f>Time!CF$50</f>
        <v>51774</v>
      </c>
      <c r="CG75" s="536">
        <f>Time!CG$50</f>
        <v>51866</v>
      </c>
      <c r="CH75" s="536">
        <f>Time!CH$50</f>
        <v>51956</v>
      </c>
      <c r="CI75" s="536">
        <f>Time!CI$50</f>
        <v>52047</v>
      </c>
      <c r="CJ75" s="536">
        <f>Time!CJ$50</f>
        <v>52139</v>
      </c>
      <c r="CK75" s="536">
        <f>Time!CK$50</f>
        <v>52231</v>
      </c>
      <c r="CL75" s="536">
        <f>Time!CL$50</f>
        <v>52321</v>
      </c>
      <c r="CM75" s="536">
        <f>Time!CM$50</f>
        <v>52412</v>
      </c>
      <c r="CN75" s="536">
        <f>Time!CN$50</f>
        <v>52504</v>
      </c>
      <c r="CO75" s="536">
        <f>Time!CO$50</f>
        <v>52596</v>
      </c>
      <c r="CP75" s="536">
        <f>Time!CP$50</f>
        <v>52687</v>
      </c>
      <c r="CQ75" s="536">
        <f>Time!CQ$50</f>
        <v>52778</v>
      </c>
      <c r="CR75" s="536">
        <f>Time!CR$50</f>
        <v>52870</v>
      </c>
      <c r="CS75" s="536">
        <f>Time!CS$50</f>
        <v>52962</v>
      </c>
      <c r="CT75" s="536">
        <f>Time!CT$50</f>
        <v>53052</v>
      </c>
      <c r="CU75" s="536">
        <f>Time!CU$50</f>
        <v>53143</v>
      </c>
      <c r="CV75" s="536">
        <f>Time!CV$50</f>
        <v>53235</v>
      </c>
      <c r="CW75" s="536">
        <f>Time!CW$50</f>
        <v>53327</v>
      </c>
      <c r="CX75" s="536">
        <f>Time!CX$50</f>
        <v>53417</v>
      </c>
      <c r="CY75" s="536">
        <f>Time!CY$50</f>
        <v>53508</v>
      </c>
      <c r="CZ75" s="536">
        <f>Time!CZ$50</f>
        <v>53600</v>
      </c>
      <c r="DA75" s="536">
        <f>Time!DA$50</f>
        <v>53692</v>
      </c>
      <c r="DB75" s="536">
        <f>Time!DB$50</f>
        <v>53782</v>
      </c>
      <c r="DC75" s="536">
        <f>Time!DC$50</f>
        <v>53873</v>
      </c>
      <c r="DD75" s="536">
        <f>Time!DD$50</f>
        <v>53965</v>
      </c>
      <c r="DE75" s="536">
        <f>Time!DE$50</f>
        <v>54057</v>
      </c>
      <c r="DF75" s="536">
        <f>Time!DF$50</f>
        <v>54148</v>
      </c>
      <c r="DG75" s="536">
        <f>Time!DG$50</f>
        <v>54239</v>
      </c>
      <c r="DH75" s="536">
        <f>Time!DH$50</f>
        <v>54331</v>
      </c>
      <c r="DI75" s="536">
        <f>Time!DI$50</f>
        <v>54423</v>
      </c>
      <c r="DJ75" s="536">
        <f>Time!DJ$50</f>
        <v>54513</v>
      </c>
      <c r="DK75" s="536">
        <f>Time!DK$50</f>
        <v>54604</v>
      </c>
      <c r="DL75" s="536">
        <f>Time!DL$50</f>
        <v>54696</v>
      </c>
      <c r="DM75" s="536">
        <f>Time!DM$50</f>
        <v>54788</v>
      </c>
      <c r="DN75" s="536">
        <f>Time!DN$50</f>
        <v>54878</v>
      </c>
      <c r="DO75" s="536">
        <f>Time!DO$50</f>
        <v>54969</v>
      </c>
      <c r="DP75" s="536">
        <f>Time!DP$50</f>
        <v>55061</v>
      </c>
      <c r="DQ75" s="536">
        <f>Time!DQ$50</f>
        <v>55153</v>
      </c>
      <c r="DR75" s="536">
        <f>Time!DR$50</f>
        <v>55243</v>
      </c>
      <c r="DS75" s="536">
        <f>Time!DS$50</f>
        <v>55334</v>
      </c>
      <c r="DT75" s="536">
        <f>Time!DT$50</f>
        <v>55426</v>
      </c>
      <c r="DU75" s="536">
        <f>Time!DU$50</f>
        <v>55518</v>
      </c>
      <c r="DV75" s="536">
        <f>Time!DV$50</f>
        <v>55609</v>
      </c>
      <c r="DW75" s="536">
        <f>Time!DW$50</f>
        <v>55700</v>
      </c>
      <c r="DX75" s="536">
        <f>Time!DX$50</f>
        <v>55792</v>
      </c>
      <c r="DY75" s="536">
        <f>Time!DY$50</f>
        <v>55884</v>
      </c>
      <c r="DZ75" s="536">
        <f>Time!DZ$50</f>
        <v>55974</v>
      </c>
      <c r="EA75" s="536">
        <f>Time!EA$50</f>
        <v>56065</v>
      </c>
      <c r="EB75" s="536">
        <f>Time!EB$50</f>
        <v>56157</v>
      </c>
      <c r="EC75" s="536">
        <f>Time!EC$50</f>
        <v>56249</v>
      </c>
      <c r="ED75" s="536">
        <f>Time!ED$50</f>
        <v>56339</v>
      </c>
      <c r="EE75" s="536">
        <f>Time!EE$50</f>
        <v>56430</v>
      </c>
      <c r="EF75" s="536">
        <f>Time!EF$50</f>
        <v>56522</v>
      </c>
      <c r="EG75" s="536">
        <f>Time!EG$50</f>
        <v>56614</v>
      </c>
    </row>
    <row r="76" spans="5:137" ht="12.75">
      <c r="E76" s="535" t="str">
        <f>Time!E$91</f>
        <v>Operating period flag</v>
      </c>
      <c r="G76" s="537" t="str">
        <f>Time!G$91</f>
        <v>flag</v>
      </c>
      <c r="H76" s="537">
        <f>Time!H$91</f>
        <v>100</v>
      </c>
      <c r="J76" s="537">
        <f>Time!J$91</f>
        <v>0</v>
      </c>
      <c r="K76" s="537">
        <f>Time!K$91</f>
        <v>0</v>
      </c>
      <c r="L76" s="537">
        <f>Time!L$91</f>
        <v>0</v>
      </c>
      <c r="M76" s="537">
        <f>Time!M$91</f>
        <v>0</v>
      </c>
      <c r="N76" s="537">
        <f>Time!N$91</f>
        <v>0</v>
      </c>
      <c r="O76" s="537">
        <f>Time!O$91</f>
        <v>0</v>
      </c>
      <c r="P76" s="537">
        <f>Time!P$91</f>
        <v>0</v>
      </c>
      <c r="Q76" s="537">
        <f>Time!Q$91</f>
        <v>0</v>
      </c>
      <c r="R76" s="537">
        <f>Time!R$91</f>
        <v>0</v>
      </c>
      <c r="S76" s="537">
        <f>Time!S$91</f>
        <v>0</v>
      </c>
      <c r="T76" s="537">
        <f>Time!T$91</f>
        <v>0</v>
      </c>
      <c r="U76" s="537">
        <f>Time!U$91</f>
        <v>0</v>
      </c>
      <c r="V76" s="537">
        <f>Time!V$91</f>
        <v>0</v>
      </c>
      <c r="W76" s="537">
        <f>Time!W$91</f>
        <v>0</v>
      </c>
      <c r="X76" s="537">
        <f>Time!X$91</f>
        <v>0</v>
      </c>
      <c r="Y76" s="537">
        <f>Time!Y$91</f>
        <v>0</v>
      </c>
      <c r="Z76" s="537">
        <f>Time!Z$91</f>
        <v>0</v>
      </c>
      <c r="AA76" s="537">
        <f>Time!AA$91</f>
        <v>0</v>
      </c>
      <c r="AB76" s="537">
        <f>Time!AB$91</f>
        <v>0</v>
      </c>
      <c r="AC76" s="537">
        <f>Time!AC$91</f>
        <v>0</v>
      </c>
      <c r="AD76" s="537">
        <f>Time!AD$91</f>
        <v>0</v>
      </c>
      <c r="AE76" s="537">
        <f>Time!AE$91</f>
        <v>0</v>
      </c>
      <c r="AF76" s="537">
        <f>Time!AF$91</f>
        <v>0</v>
      </c>
      <c r="AG76" s="537">
        <f>Time!AG$91</f>
        <v>0</v>
      </c>
      <c r="AH76" s="537">
        <f>Time!AH$91</f>
        <v>1</v>
      </c>
      <c r="AI76" s="537">
        <f>Time!AI$91</f>
        <v>1</v>
      </c>
      <c r="AJ76" s="537">
        <f>Time!AJ$91</f>
        <v>1</v>
      </c>
      <c r="AK76" s="537">
        <f>Time!AK$91</f>
        <v>1</v>
      </c>
      <c r="AL76" s="537">
        <f>Time!AL$91</f>
        <v>1</v>
      </c>
      <c r="AM76" s="537">
        <f>Time!AM$91</f>
        <v>1</v>
      </c>
      <c r="AN76" s="537">
        <f>Time!AN$91</f>
        <v>1</v>
      </c>
      <c r="AO76" s="537">
        <f>Time!AO$91</f>
        <v>1</v>
      </c>
      <c r="AP76" s="537">
        <f>Time!AP$91</f>
        <v>1</v>
      </c>
      <c r="AQ76" s="537">
        <f>Time!AQ$91</f>
        <v>1</v>
      </c>
      <c r="AR76" s="537">
        <f>Time!AR$91</f>
        <v>1</v>
      </c>
      <c r="AS76" s="537">
        <f>Time!AS$91</f>
        <v>1</v>
      </c>
      <c r="AT76" s="537">
        <f>Time!AT$91</f>
        <v>1</v>
      </c>
      <c r="AU76" s="537">
        <f>Time!AU$91</f>
        <v>1</v>
      </c>
      <c r="AV76" s="537">
        <f>Time!AV$91</f>
        <v>1</v>
      </c>
      <c r="AW76" s="537">
        <f>Time!AW$91</f>
        <v>1</v>
      </c>
      <c r="AX76" s="537">
        <f>Time!AX$91</f>
        <v>1</v>
      </c>
      <c r="AY76" s="537">
        <f>Time!AY$91</f>
        <v>1</v>
      </c>
      <c r="AZ76" s="537">
        <f>Time!AZ$91</f>
        <v>1</v>
      </c>
      <c r="BA76" s="537">
        <f>Time!BA$91</f>
        <v>1</v>
      </c>
      <c r="BB76" s="537">
        <f>Time!BB$91</f>
        <v>1</v>
      </c>
      <c r="BC76" s="537">
        <f>Time!BC$91</f>
        <v>1</v>
      </c>
      <c r="BD76" s="537">
        <f>Time!BD$91</f>
        <v>1</v>
      </c>
      <c r="BE76" s="537">
        <f>Time!BE$91</f>
        <v>1</v>
      </c>
      <c r="BF76" s="537">
        <f>Time!BF$91</f>
        <v>1</v>
      </c>
      <c r="BG76" s="537">
        <f>Time!BG$91</f>
        <v>1</v>
      </c>
      <c r="BH76" s="537">
        <f>Time!BH$91</f>
        <v>1</v>
      </c>
      <c r="BI76" s="537">
        <f>Time!BI$91</f>
        <v>1</v>
      </c>
      <c r="BJ76" s="537">
        <f>Time!BJ$91</f>
        <v>1</v>
      </c>
      <c r="BK76" s="537">
        <f>Time!BK$91</f>
        <v>1</v>
      </c>
      <c r="BL76" s="537">
        <f>Time!BL$91</f>
        <v>1</v>
      </c>
      <c r="BM76" s="537">
        <f>Time!BM$91</f>
        <v>1</v>
      </c>
      <c r="BN76" s="537">
        <f>Time!BN$91</f>
        <v>1</v>
      </c>
      <c r="BO76" s="537">
        <f>Time!BO$91</f>
        <v>1</v>
      </c>
      <c r="BP76" s="537">
        <f>Time!BP$91</f>
        <v>1</v>
      </c>
      <c r="BQ76" s="537">
        <f>Time!BQ$91</f>
        <v>1</v>
      </c>
      <c r="BR76" s="537">
        <f>Time!BR$91</f>
        <v>1</v>
      </c>
      <c r="BS76" s="537">
        <f>Time!BS$91</f>
        <v>1</v>
      </c>
      <c r="BT76" s="537">
        <f>Time!BT$91</f>
        <v>1</v>
      </c>
      <c r="BU76" s="537">
        <f>Time!BU$91</f>
        <v>1</v>
      </c>
      <c r="BV76" s="537">
        <f>Time!BV$91</f>
        <v>1</v>
      </c>
      <c r="BW76" s="537">
        <f>Time!BW$91</f>
        <v>1</v>
      </c>
      <c r="BX76" s="537">
        <f>Time!BX$91</f>
        <v>1</v>
      </c>
      <c r="BY76" s="537">
        <f>Time!BY$91</f>
        <v>1</v>
      </c>
      <c r="BZ76" s="537">
        <f>Time!BZ$91</f>
        <v>1</v>
      </c>
      <c r="CA76" s="537">
        <f>Time!CA$91</f>
        <v>1</v>
      </c>
      <c r="CB76" s="537">
        <f>Time!CB$91</f>
        <v>1</v>
      </c>
      <c r="CC76" s="537">
        <f>Time!CC$91</f>
        <v>1</v>
      </c>
      <c r="CD76" s="537">
        <f>Time!CD$91</f>
        <v>1</v>
      </c>
      <c r="CE76" s="537">
        <f>Time!CE$91</f>
        <v>1</v>
      </c>
      <c r="CF76" s="537">
        <f>Time!CF$91</f>
        <v>1</v>
      </c>
      <c r="CG76" s="537">
        <f>Time!CG$91</f>
        <v>1</v>
      </c>
      <c r="CH76" s="537">
        <f>Time!CH$91</f>
        <v>1</v>
      </c>
      <c r="CI76" s="537">
        <f>Time!CI$91</f>
        <v>1</v>
      </c>
      <c r="CJ76" s="537">
        <f>Time!CJ$91</f>
        <v>1</v>
      </c>
      <c r="CK76" s="537">
        <f>Time!CK$91</f>
        <v>1</v>
      </c>
      <c r="CL76" s="537">
        <f>Time!CL$91</f>
        <v>1</v>
      </c>
      <c r="CM76" s="537">
        <f>Time!CM$91</f>
        <v>1</v>
      </c>
      <c r="CN76" s="537">
        <f>Time!CN$91</f>
        <v>1</v>
      </c>
      <c r="CO76" s="537">
        <f>Time!CO$91</f>
        <v>1</v>
      </c>
      <c r="CP76" s="537">
        <f>Time!CP$91</f>
        <v>1</v>
      </c>
      <c r="CQ76" s="537">
        <f>Time!CQ$91</f>
        <v>1</v>
      </c>
      <c r="CR76" s="537">
        <f>Time!CR$91</f>
        <v>1</v>
      </c>
      <c r="CS76" s="537">
        <f>Time!CS$91</f>
        <v>1</v>
      </c>
      <c r="CT76" s="537">
        <f>Time!CT$91</f>
        <v>1</v>
      </c>
      <c r="CU76" s="537">
        <f>Time!CU$91</f>
        <v>1</v>
      </c>
      <c r="CV76" s="537">
        <f>Time!CV$91</f>
        <v>1</v>
      </c>
      <c r="CW76" s="537">
        <f>Time!CW$91</f>
        <v>1</v>
      </c>
      <c r="CX76" s="537">
        <f>Time!CX$91</f>
        <v>1</v>
      </c>
      <c r="CY76" s="537">
        <f>Time!CY$91</f>
        <v>1</v>
      </c>
      <c r="CZ76" s="537">
        <f>Time!CZ$91</f>
        <v>1</v>
      </c>
      <c r="DA76" s="537">
        <f>Time!DA$91</f>
        <v>1</v>
      </c>
      <c r="DB76" s="537">
        <f>Time!DB$91</f>
        <v>1</v>
      </c>
      <c r="DC76" s="537">
        <f>Time!DC$91</f>
        <v>1</v>
      </c>
      <c r="DD76" s="537">
        <f>Time!DD$91</f>
        <v>1</v>
      </c>
      <c r="DE76" s="537">
        <f>Time!DE$91</f>
        <v>1</v>
      </c>
      <c r="DF76" s="537">
        <f>Time!DF$91</f>
        <v>1</v>
      </c>
      <c r="DG76" s="537">
        <f>Time!DG$91</f>
        <v>1</v>
      </c>
      <c r="DH76" s="537">
        <f>Time!DH$91</f>
        <v>1</v>
      </c>
      <c r="DI76" s="537">
        <f>Time!DI$91</f>
        <v>1</v>
      </c>
      <c r="DJ76" s="537">
        <f>Time!DJ$91</f>
        <v>1</v>
      </c>
      <c r="DK76" s="537">
        <f>Time!DK$91</f>
        <v>1</v>
      </c>
      <c r="DL76" s="537">
        <f>Time!DL$91</f>
        <v>1</v>
      </c>
      <c r="DM76" s="537">
        <f>Time!DM$91</f>
        <v>1</v>
      </c>
      <c r="DN76" s="537">
        <f>Time!DN$91</f>
        <v>1</v>
      </c>
      <c r="DO76" s="537">
        <f>Time!DO$91</f>
        <v>1</v>
      </c>
      <c r="DP76" s="537">
        <f>Time!DP$91</f>
        <v>1</v>
      </c>
      <c r="DQ76" s="537">
        <f>Time!DQ$91</f>
        <v>1</v>
      </c>
      <c r="DR76" s="537">
        <f>Time!DR$91</f>
        <v>1</v>
      </c>
      <c r="DS76" s="537">
        <f>Time!DS$91</f>
        <v>1</v>
      </c>
      <c r="DT76" s="537">
        <f>Time!DT$91</f>
        <v>1</v>
      </c>
      <c r="DU76" s="537">
        <f>Time!DU$91</f>
        <v>1</v>
      </c>
      <c r="DV76" s="537">
        <f>Time!DV$91</f>
        <v>1</v>
      </c>
      <c r="DW76" s="537">
        <f>Time!DW$91</f>
        <v>1</v>
      </c>
      <c r="DX76" s="537">
        <f>Time!DX$91</f>
        <v>1</v>
      </c>
      <c r="DY76" s="537">
        <f>Time!DY$91</f>
        <v>1</v>
      </c>
      <c r="DZ76" s="537">
        <f>Time!DZ$91</f>
        <v>1</v>
      </c>
      <c r="EA76" s="537">
        <f>Time!EA$91</f>
        <v>1</v>
      </c>
      <c r="EB76" s="537">
        <f>Time!EB$91</f>
        <v>1</v>
      </c>
      <c r="EC76" s="537">
        <f>Time!EC$91</f>
        <v>1</v>
      </c>
      <c r="ED76" s="537">
        <f>Time!ED$91</f>
        <v>0</v>
      </c>
      <c r="EE76" s="537">
        <f>Time!EE$91</f>
        <v>0</v>
      </c>
      <c r="EF76" s="537">
        <f>Time!EF$91</f>
        <v>0</v>
      </c>
      <c r="EG76" s="537">
        <f>Time!EG$91</f>
        <v>0</v>
      </c>
    </row>
    <row r="77" spans="5:137" ht="12.75">
      <c r="E77" s="538" t="str">
        <f>E$71</f>
        <v>Maintenance cost - nominal</v>
      </c>
      <c r="G77" s="539" t="str">
        <f>G$71</f>
        <v>EUR 000s</v>
      </c>
      <c r="H77" s="539">
        <f>H$71</f>
        <v>33815.205287834237</v>
      </c>
      <c r="J77" s="539">
        <f t="shared" si="26" ref="J77:EG77">J$71</f>
        <v>0</v>
      </c>
      <c r="K77" s="539">
        <f t="shared" si="26"/>
        <v>0</v>
      </c>
      <c r="L77" s="539">
        <f t="shared" si="26"/>
        <v>0</v>
      </c>
      <c r="M77" s="539">
        <f t="shared" si="26"/>
        <v>0</v>
      </c>
      <c r="N77" s="539">
        <f t="shared" si="26"/>
        <v>0</v>
      </c>
      <c r="O77" s="539">
        <f t="shared" si="26"/>
        <v>0</v>
      </c>
      <c r="P77" s="539">
        <f t="shared" si="26"/>
        <v>0</v>
      </c>
      <c r="Q77" s="539">
        <f t="shared" si="26"/>
        <v>0</v>
      </c>
      <c r="R77" s="539">
        <f t="shared" si="26"/>
        <v>0</v>
      </c>
      <c r="S77" s="539">
        <f t="shared" si="26"/>
        <v>0</v>
      </c>
      <c r="T77" s="539">
        <f t="shared" si="26"/>
        <v>0</v>
      </c>
      <c r="U77" s="539">
        <f t="shared" si="26"/>
        <v>0</v>
      </c>
      <c r="V77" s="539">
        <f t="shared" si="26"/>
        <v>0</v>
      </c>
      <c r="W77" s="539">
        <f t="shared" si="26"/>
        <v>0</v>
      </c>
      <c r="X77" s="539">
        <f t="shared" si="26"/>
        <v>0</v>
      </c>
      <c r="Y77" s="539">
        <f t="shared" si="26"/>
        <v>0</v>
      </c>
      <c r="Z77" s="539">
        <f t="shared" si="26"/>
        <v>0</v>
      </c>
      <c r="AA77" s="539">
        <f t="shared" si="26"/>
        <v>0</v>
      </c>
      <c r="AB77" s="539">
        <f t="shared" si="26"/>
        <v>0</v>
      </c>
      <c r="AC77" s="539">
        <f t="shared" si="26"/>
        <v>0</v>
      </c>
      <c r="AD77" s="539">
        <f t="shared" si="26"/>
        <v>0</v>
      </c>
      <c r="AE77" s="539">
        <f t="shared" si="26"/>
        <v>0</v>
      </c>
      <c r="AF77" s="539">
        <f t="shared" si="26"/>
        <v>0</v>
      </c>
      <c r="AG77" s="539">
        <f t="shared" si="26"/>
        <v>0</v>
      </c>
      <c r="AH77" s="539">
        <f t="shared" si="26"/>
        <v>0</v>
      </c>
      <c r="AI77" s="539">
        <f t="shared" si="26"/>
        <v>0</v>
      </c>
      <c r="AJ77" s="539">
        <f t="shared" si="26"/>
        <v>0</v>
      </c>
      <c r="AK77" s="539">
        <f t="shared" si="26"/>
        <v>0</v>
      </c>
      <c r="AL77" s="539">
        <f t="shared" si="26"/>
        <v>0</v>
      </c>
      <c r="AM77" s="539">
        <f t="shared" si="26"/>
        <v>0</v>
      </c>
      <c r="AN77" s="539">
        <f t="shared" si="26"/>
        <v>0</v>
      </c>
      <c r="AO77" s="539">
        <f t="shared" si="26"/>
        <v>0</v>
      </c>
      <c r="AP77" s="539">
        <f t="shared" si="26"/>
        <v>0</v>
      </c>
      <c r="AQ77" s="539">
        <f t="shared" si="26"/>
        <v>0</v>
      </c>
      <c r="AR77" s="539">
        <f t="shared" si="26"/>
        <v>0</v>
      </c>
      <c r="AS77" s="539">
        <f t="shared" si="26"/>
        <v>0</v>
      </c>
      <c r="AT77" s="539">
        <f t="shared" si="26"/>
        <v>0</v>
      </c>
      <c r="AU77" s="539">
        <f t="shared" si="26"/>
        <v>0</v>
      </c>
      <c r="AV77" s="539">
        <f t="shared" si="26"/>
        <v>0</v>
      </c>
      <c r="AW77" s="539">
        <f t="shared" si="26"/>
        <v>0</v>
      </c>
      <c r="AX77" s="539">
        <f t="shared" si="26"/>
        <v>1739.5401273193352</v>
      </c>
      <c r="AY77" s="539">
        <f t="shared" si="26"/>
        <v>1739.5401273193352</v>
      </c>
      <c r="AZ77" s="539">
        <f t="shared" si="26"/>
        <v>1739.5401273193352</v>
      </c>
      <c r="BA77" s="539">
        <f t="shared" si="26"/>
        <v>1739.5401273193352</v>
      </c>
      <c r="BB77" s="539">
        <f t="shared" si="26"/>
        <v>0</v>
      </c>
      <c r="BC77" s="539">
        <f t="shared" si="26"/>
        <v>0</v>
      </c>
      <c r="BD77" s="539">
        <f t="shared" si="26"/>
        <v>0</v>
      </c>
      <c r="BE77" s="539">
        <f t="shared" si="26"/>
        <v>0</v>
      </c>
      <c r="BF77" s="539">
        <f t="shared" si="26"/>
        <v>0</v>
      </c>
      <c r="BG77" s="539">
        <f t="shared" si="26"/>
        <v>0</v>
      </c>
      <c r="BH77" s="539">
        <f t="shared" si="26"/>
        <v>0</v>
      </c>
      <c r="BI77" s="539">
        <f t="shared" si="26"/>
        <v>0</v>
      </c>
      <c r="BJ77" s="539">
        <f t="shared" si="26"/>
        <v>0</v>
      </c>
      <c r="BK77" s="539">
        <f t="shared" si="26"/>
        <v>0</v>
      </c>
      <c r="BL77" s="539">
        <f t="shared" si="26"/>
        <v>0</v>
      </c>
      <c r="BM77" s="539">
        <f t="shared" si="26"/>
        <v>0</v>
      </c>
      <c r="BN77" s="539">
        <f t="shared" si="26"/>
        <v>0</v>
      </c>
      <c r="BO77" s="539">
        <f t="shared" si="26"/>
        <v>0</v>
      </c>
      <c r="BP77" s="539">
        <f t="shared" si="26"/>
        <v>0</v>
      </c>
      <c r="BQ77" s="539">
        <f t="shared" si="26"/>
        <v>0</v>
      </c>
      <c r="BR77" s="539">
        <f t="shared" si="26"/>
        <v>1968.1299867018984</v>
      </c>
      <c r="BS77" s="539">
        <f t="shared" si="26"/>
        <v>1968.1299867018984</v>
      </c>
      <c r="BT77" s="539">
        <f t="shared" si="26"/>
        <v>1968.1299867018984</v>
      </c>
      <c r="BU77" s="539">
        <f t="shared" si="26"/>
        <v>1968.1299867018984</v>
      </c>
      <c r="BV77" s="539">
        <f t="shared" si="26"/>
        <v>0</v>
      </c>
      <c r="BW77" s="539">
        <f t="shared" si="26"/>
        <v>0</v>
      </c>
      <c r="BX77" s="539">
        <f t="shared" si="26"/>
        <v>0</v>
      </c>
      <c r="BY77" s="539">
        <f t="shared" si="26"/>
        <v>0</v>
      </c>
      <c r="BZ77" s="539">
        <f t="shared" si="26"/>
        <v>0</v>
      </c>
      <c r="CA77" s="539">
        <f t="shared" si="26"/>
        <v>0</v>
      </c>
      <c r="CB77" s="539">
        <f t="shared" si="26"/>
        <v>0</v>
      </c>
      <c r="CC77" s="539">
        <f t="shared" si="26"/>
        <v>0</v>
      </c>
      <c r="CD77" s="539">
        <f t="shared" si="26"/>
        <v>0</v>
      </c>
      <c r="CE77" s="539">
        <f t="shared" si="26"/>
        <v>0</v>
      </c>
      <c r="CF77" s="539">
        <f t="shared" si="26"/>
        <v>0</v>
      </c>
      <c r="CG77" s="539">
        <f t="shared" si="26"/>
        <v>0</v>
      </c>
      <c r="CH77" s="539">
        <f t="shared" si="26"/>
        <v>0</v>
      </c>
      <c r="CI77" s="539">
        <f t="shared" si="26"/>
        <v>0</v>
      </c>
      <c r="CJ77" s="539">
        <f t="shared" si="26"/>
        <v>0</v>
      </c>
      <c r="CK77" s="539">
        <f t="shared" si="26"/>
        <v>0</v>
      </c>
      <c r="CL77" s="539">
        <f t="shared" si="26"/>
        <v>2226.7584309908434</v>
      </c>
      <c r="CM77" s="539">
        <f t="shared" si="26"/>
        <v>2226.7584309908434</v>
      </c>
      <c r="CN77" s="539">
        <f t="shared" si="26"/>
        <v>2226.7584309908434</v>
      </c>
      <c r="CO77" s="539">
        <f t="shared" si="26"/>
        <v>2226.7584309908434</v>
      </c>
      <c r="CP77" s="539">
        <f t="shared" si="26"/>
        <v>0</v>
      </c>
      <c r="CQ77" s="539">
        <f t="shared" si="26"/>
        <v>0</v>
      </c>
      <c r="CR77" s="539">
        <f t="shared" si="26"/>
        <v>0</v>
      </c>
      <c r="CS77" s="539">
        <f t="shared" si="26"/>
        <v>0</v>
      </c>
      <c r="CT77" s="539">
        <f t="shared" si="26"/>
        <v>0</v>
      </c>
      <c r="CU77" s="539">
        <f t="shared" si="26"/>
        <v>0</v>
      </c>
      <c r="CV77" s="539">
        <f t="shared" si="26"/>
        <v>0</v>
      </c>
      <c r="CW77" s="539">
        <f t="shared" si="26"/>
        <v>0</v>
      </c>
      <c r="CX77" s="539">
        <f t="shared" si="26"/>
        <v>0</v>
      </c>
      <c r="CY77" s="539">
        <f t="shared" si="26"/>
        <v>0</v>
      </c>
      <c r="CZ77" s="539">
        <f t="shared" si="26"/>
        <v>0</v>
      </c>
      <c r="DA77" s="539">
        <f t="shared" si="26"/>
        <v>0</v>
      </c>
      <c r="DB77" s="539">
        <f t="shared" si="26"/>
        <v>0</v>
      </c>
      <c r="DC77" s="539">
        <f t="shared" si="26"/>
        <v>0</v>
      </c>
      <c r="DD77" s="539">
        <f t="shared" si="26"/>
        <v>0</v>
      </c>
      <c r="DE77" s="539">
        <f t="shared" si="26"/>
        <v>0</v>
      </c>
      <c r="DF77" s="539">
        <f t="shared" si="26"/>
        <v>2519.3727769464808</v>
      </c>
      <c r="DG77" s="539">
        <f t="shared" si="26"/>
        <v>2519.3727769464808</v>
      </c>
      <c r="DH77" s="539">
        <f t="shared" si="26"/>
        <v>2519.3727769464808</v>
      </c>
      <c r="DI77" s="539">
        <f t="shared" si="26"/>
        <v>2519.3727769464808</v>
      </c>
      <c r="DJ77" s="539">
        <f t="shared" si="26"/>
        <v>0</v>
      </c>
      <c r="DK77" s="539">
        <f t="shared" si="26"/>
        <v>0</v>
      </c>
      <c r="DL77" s="539">
        <f t="shared" si="26"/>
        <v>0</v>
      </c>
      <c r="DM77" s="539">
        <f t="shared" si="26"/>
        <v>0</v>
      </c>
      <c r="DN77" s="539">
        <f t="shared" si="26"/>
        <v>0</v>
      </c>
      <c r="DO77" s="539">
        <f t="shared" si="26"/>
        <v>0</v>
      </c>
      <c r="DP77" s="539">
        <f t="shared" si="26"/>
        <v>0</v>
      </c>
      <c r="DQ77" s="539">
        <f t="shared" si="26"/>
        <v>0</v>
      </c>
      <c r="DR77" s="539">
        <f t="shared" si="26"/>
        <v>0</v>
      </c>
      <c r="DS77" s="539">
        <f t="shared" si="26"/>
        <v>0</v>
      </c>
      <c r="DT77" s="539">
        <f t="shared" si="26"/>
        <v>0</v>
      </c>
      <c r="DU77" s="539">
        <f t="shared" si="26"/>
        <v>0</v>
      </c>
      <c r="DV77" s="539">
        <f t="shared" si="26"/>
        <v>0</v>
      </c>
      <c r="DW77" s="539">
        <f t="shared" si="26"/>
        <v>0</v>
      </c>
      <c r="DX77" s="539">
        <f t="shared" si="26"/>
        <v>0</v>
      </c>
      <c r="DY77" s="539">
        <f t="shared" si="26"/>
        <v>0</v>
      </c>
      <c r="DZ77" s="539">
        <f t="shared" si="26"/>
        <v>0</v>
      </c>
      <c r="EA77" s="539">
        <f t="shared" si="26"/>
        <v>0</v>
      </c>
      <c r="EB77" s="539">
        <f t="shared" si="26"/>
        <v>0</v>
      </c>
      <c r="EC77" s="539">
        <f t="shared" si="26"/>
        <v>0</v>
      </c>
      <c r="ED77" s="539">
        <f t="shared" si="26"/>
        <v>0</v>
      </c>
      <c r="EE77" s="539">
        <f t="shared" si="26"/>
        <v>0</v>
      </c>
      <c r="EF77" s="539">
        <f t="shared" si="26"/>
        <v>0</v>
      </c>
      <c r="EG77" s="539">
        <f t="shared" si="26"/>
        <v>0</v>
      </c>
    </row>
    <row r="78" spans="5:137" ht="12.75">
      <c r="E78" s="538" t="s">
        <v>376</v>
      </c>
      <c r="G78" s="539" t="s">
        <v>30</v>
      </c>
      <c r="H78" s="539">
        <f>SUM(J78:EG78)</f>
        <v>135260.82115133689</v>
      </c>
      <c r="J78" s="539">
        <f t="shared" si="27" ref="J78:EG78">MAX(0,$F74*SUMIFS($J77:$EG77,$J75:$EG75,"&gt;"&amp;J75,$J75:$EG75,"&lt;="&amp;EOMONTH(J75,$F73)))*J76</f>
        <v>0</v>
      </c>
      <c r="K78" s="539">
        <f t="shared" si="27"/>
        <v>0</v>
      </c>
      <c r="L78" s="539">
        <f t="shared" si="27"/>
        <v>0</v>
      </c>
      <c r="M78" s="539">
        <f t="shared" si="27"/>
        <v>0</v>
      </c>
      <c r="N78" s="539">
        <f t="shared" si="27"/>
        <v>0</v>
      </c>
      <c r="O78" s="539">
        <f t="shared" si="27"/>
        <v>0</v>
      </c>
      <c r="P78" s="539">
        <f t="shared" si="27"/>
        <v>0</v>
      </c>
      <c r="Q78" s="539">
        <f t="shared" si="27"/>
        <v>0</v>
      </c>
      <c r="R78" s="539">
        <f t="shared" si="27"/>
        <v>0</v>
      </c>
      <c r="S78" s="539">
        <f t="shared" si="27"/>
        <v>0</v>
      </c>
      <c r="T78" s="539">
        <f t="shared" si="27"/>
        <v>0</v>
      </c>
      <c r="U78" s="539">
        <f t="shared" si="27"/>
        <v>0</v>
      </c>
      <c r="V78" s="539">
        <f t="shared" si="27"/>
        <v>0</v>
      </c>
      <c r="W78" s="539">
        <f t="shared" si="27"/>
        <v>0</v>
      </c>
      <c r="X78" s="539">
        <f t="shared" si="27"/>
        <v>0</v>
      </c>
      <c r="Y78" s="539">
        <f t="shared" si="27"/>
        <v>0</v>
      </c>
      <c r="Z78" s="539">
        <f t="shared" si="27"/>
        <v>0</v>
      </c>
      <c r="AA78" s="539">
        <f t="shared" si="27"/>
        <v>0</v>
      </c>
      <c r="AB78" s="539">
        <f t="shared" si="27"/>
        <v>0</v>
      </c>
      <c r="AC78" s="539">
        <f t="shared" si="27"/>
        <v>0</v>
      </c>
      <c r="AD78" s="539">
        <f t="shared" si="27"/>
        <v>0</v>
      </c>
      <c r="AE78" s="539">
        <f t="shared" si="27"/>
        <v>0</v>
      </c>
      <c r="AF78" s="539">
        <f t="shared" si="27"/>
        <v>0</v>
      </c>
      <c r="AG78" s="539">
        <f t="shared" si="27"/>
        <v>0</v>
      </c>
      <c r="AH78" s="539">
        <f t="shared" si="27"/>
        <v>0</v>
      </c>
      <c r="AI78" s="539">
        <f t="shared" si="27"/>
        <v>0</v>
      </c>
      <c r="AJ78" s="539">
        <f t="shared" si="27"/>
        <v>0</v>
      </c>
      <c r="AK78" s="539">
        <f t="shared" si="27"/>
        <v>0</v>
      </c>
      <c r="AL78" s="539">
        <f t="shared" si="27"/>
        <v>0</v>
      </c>
      <c r="AM78" s="539">
        <f t="shared" si="27"/>
        <v>0</v>
      </c>
      <c r="AN78" s="539">
        <f t="shared" si="27"/>
        <v>0</v>
      </c>
      <c r="AO78" s="539">
        <f t="shared" si="27"/>
        <v>0</v>
      </c>
      <c r="AP78" s="539">
        <f t="shared" si="27"/>
        <v>0</v>
      </c>
      <c r="AQ78" s="539">
        <f t="shared" si="27"/>
        <v>0</v>
      </c>
      <c r="AR78" s="539">
        <f t="shared" si="27"/>
        <v>0</v>
      </c>
      <c r="AS78" s="539">
        <f t="shared" si="27"/>
        <v>0</v>
      </c>
      <c r="AT78" s="539">
        <f t="shared" si="27"/>
        <v>1739.5401273193352</v>
      </c>
      <c r="AU78" s="539">
        <f t="shared" si="27"/>
        <v>3479.0802546386703</v>
      </c>
      <c r="AV78" s="539">
        <f t="shared" si="27"/>
        <v>5218.620381958006</v>
      </c>
      <c r="AW78" s="539">
        <f t="shared" si="27"/>
        <v>6958.1605092773407</v>
      </c>
      <c r="AX78" s="539">
        <f t="shared" si="27"/>
        <v>5218.620381958006</v>
      </c>
      <c r="AY78" s="539">
        <f t="shared" si="27"/>
        <v>3479.0802546386703</v>
      </c>
      <c r="AZ78" s="539">
        <f t="shared" si="27"/>
        <v>1739.5401273193352</v>
      </c>
      <c r="BA78" s="539">
        <f t="shared" si="27"/>
        <v>0</v>
      </c>
      <c r="BB78" s="539">
        <f t="shared" si="27"/>
        <v>0</v>
      </c>
      <c r="BC78" s="539">
        <f t="shared" si="27"/>
        <v>0</v>
      </c>
      <c r="BD78" s="539">
        <f t="shared" si="27"/>
        <v>0</v>
      </c>
      <c r="BE78" s="539">
        <f t="shared" si="27"/>
        <v>0</v>
      </c>
      <c r="BF78" s="539">
        <f t="shared" si="27"/>
        <v>0</v>
      </c>
      <c r="BG78" s="539">
        <f t="shared" si="27"/>
        <v>0</v>
      </c>
      <c r="BH78" s="539">
        <f t="shared" si="27"/>
        <v>0</v>
      </c>
      <c r="BI78" s="539">
        <f t="shared" si="27"/>
        <v>0</v>
      </c>
      <c r="BJ78" s="539">
        <f t="shared" si="27"/>
        <v>0</v>
      </c>
      <c r="BK78" s="539">
        <f t="shared" si="27"/>
        <v>0</v>
      </c>
      <c r="BL78" s="539">
        <f t="shared" si="27"/>
        <v>0</v>
      </c>
      <c r="BM78" s="539">
        <f t="shared" si="27"/>
        <v>0</v>
      </c>
      <c r="BN78" s="539">
        <f t="shared" si="27"/>
        <v>1968.1299867018984</v>
      </c>
      <c r="BO78" s="539">
        <f t="shared" si="27"/>
        <v>3936.2599734037967</v>
      </c>
      <c r="BP78" s="539">
        <f t="shared" si="27"/>
        <v>5904.3899601056946</v>
      </c>
      <c r="BQ78" s="539">
        <f t="shared" si="27"/>
        <v>7872.5199468075934</v>
      </c>
      <c r="BR78" s="539">
        <f t="shared" si="27"/>
        <v>5904.3899601056946</v>
      </c>
      <c r="BS78" s="539">
        <f t="shared" si="27"/>
        <v>3936.2599734037967</v>
      </c>
      <c r="BT78" s="539">
        <f t="shared" si="27"/>
        <v>1968.1299867018984</v>
      </c>
      <c r="BU78" s="539">
        <f t="shared" si="27"/>
        <v>0</v>
      </c>
      <c r="BV78" s="539">
        <f t="shared" si="27"/>
        <v>0</v>
      </c>
      <c r="BW78" s="539">
        <f t="shared" si="27"/>
        <v>0</v>
      </c>
      <c r="BX78" s="539">
        <f t="shared" si="27"/>
        <v>0</v>
      </c>
      <c r="BY78" s="539">
        <f t="shared" si="27"/>
        <v>0</v>
      </c>
      <c r="BZ78" s="539">
        <f t="shared" si="27"/>
        <v>0</v>
      </c>
      <c r="CA78" s="539">
        <f t="shared" si="27"/>
        <v>0</v>
      </c>
      <c r="CB78" s="539">
        <f t="shared" si="27"/>
        <v>0</v>
      </c>
      <c r="CC78" s="539">
        <f t="shared" si="27"/>
        <v>0</v>
      </c>
      <c r="CD78" s="539">
        <f t="shared" si="27"/>
        <v>0</v>
      </c>
      <c r="CE78" s="539">
        <f t="shared" si="27"/>
        <v>0</v>
      </c>
      <c r="CF78" s="539">
        <f t="shared" si="27"/>
        <v>0</v>
      </c>
      <c r="CG78" s="539">
        <f t="shared" si="27"/>
        <v>0</v>
      </c>
      <c r="CH78" s="539">
        <f t="shared" si="27"/>
        <v>2226.7584309908434</v>
      </c>
      <c r="CI78" s="539">
        <f t="shared" si="27"/>
        <v>4453.5168619816868</v>
      </c>
      <c r="CJ78" s="539">
        <f t="shared" si="27"/>
        <v>6680.2752929725302</v>
      </c>
      <c r="CK78" s="539">
        <f t="shared" si="27"/>
        <v>8907.0337239633736</v>
      </c>
      <c r="CL78" s="539">
        <f t="shared" si="27"/>
        <v>6680.2752929725302</v>
      </c>
      <c r="CM78" s="539">
        <f t="shared" si="27"/>
        <v>4453.5168619816868</v>
      </c>
      <c r="CN78" s="539">
        <f t="shared" si="27"/>
        <v>2226.7584309908434</v>
      </c>
      <c r="CO78" s="539">
        <f t="shared" si="27"/>
        <v>0</v>
      </c>
      <c r="CP78" s="539">
        <f t="shared" si="27"/>
        <v>0</v>
      </c>
      <c r="CQ78" s="539">
        <f t="shared" si="27"/>
        <v>0</v>
      </c>
      <c r="CR78" s="539">
        <f t="shared" si="27"/>
        <v>0</v>
      </c>
      <c r="CS78" s="539">
        <f t="shared" si="27"/>
        <v>0</v>
      </c>
      <c r="CT78" s="539">
        <f t="shared" si="27"/>
        <v>0</v>
      </c>
      <c r="CU78" s="539">
        <f t="shared" si="27"/>
        <v>0</v>
      </c>
      <c r="CV78" s="539">
        <f t="shared" si="27"/>
        <v>0</v>
      </c>
      <c r="CW78" s="539">
        <f t="shared" si="27"/>
        <v>0</v>
      </c>
      <c r="CX78" s="539">
        <f t="shared" si="27"/>
        <v>0</v>
      </c>
      <c r="CY78" s="539">
        <f t="shared" si="27"/>
        <v>0</v>
      </c>
      <c r="CZ78" s="539">
        <f t="shared" si="27"/>
        <v>0</v>
      </c>
      <c r="DA78" s="539">
        <f t="shared" si="27"/>
        <v>0</v>
      </c>
      <c r="DB78" s="539">
        <f t="shared" si="27"/>
        <v>2519.3727769464808</v>
      </c>
      <c r="DC78" s="539">
        <f t="shared" si="27"/>
        <v>5038.7455538929617</v>
      </c>
      <c r="DD78" s="539">
        <f t="shared" si="27"/>
        <v>7558.1183308394429</v>
      </c>
      <c r="DE78" s="539">
        <f t="shared" si="27"/>
        <v>10077.491107785923</v>
      </c>
      <c r="DF78" s="539">
        <f t="shared" si="27"/>
        <v>7558.1183308394429</v>
      </c>
      <c r="DG78" s="539">
        <f t="shared" si="27"/>
        <v>5038.7455538929617</v>
      </c>
      <c r="DH78" s="539">
        <f t="shared" si="27"/>
        <v>2519.3727769464808</v>
      </c>
      <c r="DI78" s="539">
        <f t="shared" si="27"/>
        <v>0</v>
      </c>
      <c r="DJ78" s="539">
        <f t="shared" si="27"/>
        <v>0</v>
      </c>
      <c r="DK78" s="539">
        <f t="shared" si="27"/>
        <v>0</v>
      </c>
      <c r="DL78" s="539">
        <f t="shared" si="27"/>
        <v>0</v>
      </c>
      <c r="DM78" s="539">
        <f t="shared" si="27"/>
        <v>0</v>
      </c>
      <c r="DN78" s="539">
        <f t="shared" si="27"/>
        <v>0</v>
      </c>
      <c r="DO78" s="539">
        <f t="shared" si="27"/>
        <v>0</v>
      </c>
      <c r="DP78" s="539">
        <f t="shared" si="27"/>
        <v>0</v>
      </c>
      <c r="DQ78" s="539">
        <f t="shared" si="27"/>
        <v>0</v>
      </c>
      <c r="DR78" s="539">
        <f t="shared" si="27"/>
        <v>0</v>
      </c>
      <c r="DS78" s="539">
        <f t="shared" si="27"/>
        <v>0</v>
      </c>
      <c r="DT78" s="539">
        <f t="shared" si="27"/>
        <v>0</v>
      </c>
      <c r="DU78" s="539">
        <f t="shared" si="27"/>
        <v>0</v>
      </c>
      <c r="DV78" s="539">
        <f t="shared" si="27"/>
        <v>0</v>
      </c>
      <c r="DW78" s="539">
        <f t="shared" si="27"/>
        <v>0</v>
      </c>
      <c r="DX78" s="539">
        <f t="shared" si="27"/>
        <v>0</v>
      </c>
      <c r="DY78" s="539">
        <f t="shared" si="27"/>
        <v>0</v>
      </c>
      <c r="DZ78" s="539">
        <f t="shared" si="27"/>
        <v>0</v>
      </c>
      <c r="EA78" s="539">
        <f t="shared" si="27"/>
        <v>0</v>
      </c>
      <c r="EB78" s="539">
        <f t="shared" si="27"/>
        <v>0</v>
      </c>
      <c r="EC78" s="539">
        <f t="shared" si="27"/>
        <v>0</v>
      </c>
      <c r="ED78" s="539">
        <f t="shared" si="27"/>
        <v>0</v>
      </c>
      <c r="EE78" s="539">
        <f t="shared" si="27"/>
        <v>0</v>
      </c>
      <c r="EF78" s="539">
        <f t="shared" si="27"/>
        <v>0</v>
      </c>
      <c r="EG78" s="539">
        <f t="shared" si="27"/>
        <v>0</v>
      </c>
    </row>
    <row r="81" spans="1:1" ht="12.75">
      <c r="A81" s="534" t="s">
        <v>377</v>
      </c>
    </row>
    <row r="83" spans="2:2" ht="12.75">
      <c r="B83" s="534" t="s">
        <v>378</v>
      </c>
    </row>
    <row r="84" spans="5:137" ht="12.75">
      <c r="E84" s="538" t="str">
        <f>E$110</f>
        <v>MRA - closing balance</v>
      </c>
      <c r="G84" s="539" t="str">
        <f>G$110</f>
        <v>EUR 000s</v>
      </c>
      <c r="H84" s="539">
        <f>H$110</f>
        <v>135260.82115133689</v>
      </c>
      <c r="J84" s="539">
        <f t="shared" si="28" ref="J84:EG84">J$110</f>
        <v>0</v>
      </c>
      <c r="K84" s="539">
        <f t="shared" si="28"/>
        <v>0</v>
      </c>
      <c r="L84" s="539">
        <f t="shared" si="28"/>
        <v>0</v>
      </c>
      <c r="M84" s="539">
        <f t="shared" si="28"/>
        <v>0</v>
      </c>
      <c r="N84" s="539">
        <f t="shared" si="28"/>
        <v>0</v>
      </c>
      <c r="O84" s="539">
        <f t="shared" si="28"/>
        <v>0</v>
      </c>
      <c r="P84" s="539">
        <f t="shared" si="28"/>
        <v>0</v>
      </c>
      <c r="Q84" s="539">
        <f t="shared" si="28"/>
        <v>0</v>
      </c>
      <c r="R84" s="539">
        <f t="shared" si="28"/>
        <v>0</v>
      </c>
      <c r="S84" s="539">
        <f t="shared" si="28"/>
        <v>0</v>
      </c>
      <c r="T84" s="539">
        <f t="shared" si="28"/>
        <v>0</v>
      </c>
      <c r="U84" s="539">
        <f t="shared" si="28"/>
        <v>0</v>
      </c>
      <c r="V84" s="539">
        <f t="shared" si="28"/>
        <v>0</v>
      </c>
      <c r="W84" s="539">
        <f t="shared" si="28"/>
        <v>0</v>
      </c>
      <c r="X84" s="539">
        <f t="shared" si="28"/>
        <v>0</v>
      </c>
      <c r="Y84" s="539">
        <f t="shared" si="28"/>
        <v>0</v>
      </c>
      <c r="Z84" s="539">
        <f t="shared" si="28"/>
        <v>0</v>
      </c>
      <c r="AA84" s="539">
        <f t="shared" si="28"/>
        <v>0</v>
      </c>
      <c r="AB84" s="539">
        <f t="shared" si="28"/>
        <v>0</v>
      </c>
      <c r="AC84" s="539">
        <f t="shared" si="28"/>
        <v>0</v>
      </c>
      <c r="AD84" s="539">
        <f t="shared" si="28"/>
        <v>0</v>
      </c>
      <c r="AE84" s="539">
        <f t="shared" si="28"/>
        <v>0</v>
      </c>
      <c r="AF84" s="539">
        <f t="shared" si="28"/>
        <v>0</v>
      </c>
      <c r="AG84" s="539">
        <f t="shared" si="28"/>
        <v>0</v>
      </c>
      <c r="AH84" s="539">
        <f t="shared" si="28"/>
        <v>0</v>
      </c>
      <c r="AI84" s="539">
        <f t="shared" si="28"/>
        <v>0</v>
      </c>
      <c r="AJ84" s="539">
        <f t="shared" si="28"/>
        <v>0</v>
      </c>
      <c r="AK84" s="539">
        <f t="shared" si="28"/>
        <v>0</v>
      </c>
      <c r="AL84" s="539">
        <f t="shared" si="28"/>
        <v>0</v>
      </c>
      <c r="AM84" s="539">
        <f t="shared" si="28"/>
        <v>0</v>
      </c>
      <c r="AN84" s="539">
        <f t="shared" si="28"/>
        <v>0</v>
      </c>
      <c r="AO84" s="539">
        <f t="shared" si="28"/>
        <v>0</v>
      </c>
      <c r="AP84" s="539">
        <f t="shared" si="28"/>
        <v>0</v>
      </c>
      <c r="AQ84" s="539">
        <f t="shared" si="28"/>
        <v>0</v>
      </c>
      <c r="AR84" s="539">
        <f t="shared" si="28"/>
        <v>0</v>
      </c>
      <c r="AS84" s="539">
        <f t="shared" si="28"/>
        <v>0</v>
      </c>
      <c r="AT84" s="539">
        <f t="shared" si="28"/>
        <v>1739.5401273193352</v>
      </c>
      <c r="AU84" s="539">
        <f t="shared" si="28"/>
        <v>3479.0802546386703</v>
      </c>
      <c r="AV84" s="539">
        <f t="shared" si="28"/>
        <v>5218.620381958006</v>
      </c>
      <c r="AW84" s="539">
        <f t="shared" si="28"/>
        <v>6958.1605092773407</v>
      </c>
      <c r="AX84" s="539">
        <f t="shared" si="28"/>
        <v>5218.620381958006</v>
      </c>
      <c r="AY84" s="539">
        <f t="shared" si="28"/>
        <v>3479.0802546386703</v>
      </c>
      <c r="AZ84" s="539">
        <f t="shared" si="28"/>
        <v>1739.5401273193352</v>
      </c>
      <c r="BA84" s="539">
        <f t="shared" si="28"/>
        <v>0</v>
      </c>
      <c r="BB84" s="539">
        <f t="shared" si="28"/>
        <v>0</v>
      </c>
      <c r="BC84" s="539">
        <f t="shared" si="28"/>
        <v>0</v>
      </c>
      <c r="BD84" s="539">
        <f t="shared" si="28"/>
        <v>0</v>
      </c>
      <c r="BE84" s="539">
        <f t="shared" si="28"/>
        <v>0</v>
      </c>
      <c r="BF84" s="539">
        <f t="shared" si="28"/>
        <v>0</v>
      </c>
      <c r="BG84" s="539">
        <f t="shared" si="28"/>
        <v>0</v>
      </c>
      <c r="BH84" s="539">
        <f t="shared" si="28"/>
        <v>0</v>
      </c>
      <c r="BI84" s="539">
        <f t="shared" si="28"/>
        <v>0</v>
      </c>
      <c r="BJ84" s="539">
        <f t="shared" si="28"/>
        <v>0</v>
      </c>
      <c r="BK84" s="539">
        <f t="shared" si="28"/>
        <v>0</v>
      </c>
      <c r="BL84" s="539">
        <f t="shared" si="28"/>
        <v>0</v>
      </c>
      <c r="BM84" s="539">
        <f t="shared" si="28"/>
        <v>0</v>
      </c>
      <c r="BN84" s="539">
        <f t="shared" si="28"/>
        <v>1968.1299867018984</v>
      </c>
      <c r="BO84" s="539">
        <f t="shared" si="28"/>
        <v>3936.2599734037967</v>
      </c>
      <c r="BP84" s="539">
        <f t="shared" si="28"/>
        <v>5904.3899601056946</v>
      </c>
      <c r="BQ84" s="539">
        <f t="shared" si="28"/>
        <v>7872.5199468075934</v>
      </c>
      <c r="BR84" s="539">
        <f t="shared" si="28"/>
        <v>5904.3899601056946</v>
      </c>
      <c r="BS84" s="539">
        <f t="shared" si="28"/>
        <v>3936.2599734037967</v>
      </c>
      <c r="BT84" s="539">
        <f t="shared" si="28"/>
        <v>1968.1299867018984</v>
      </c>
      <c r="BU84" s="539">
        <f t="shared" si="28"/>
        <v>0</v>
      </c>
      <c r="BV84" s="539">
        <f t="shared" si="28"/>
        <v>0</v>
      </c>
      <c r="BW84" s="539">
        <f t="shared" si="28"/>
        <v>0</v>
      </c>
      <c r="BX84" s="539">
        <f t="shared" si="28"/>
        <v>0</v>
      </c>
      <c r="BY84" s="539">
        <f t="shared" si="28"/>
        <v>0</v>
      </c>
      <c r="BZ84" s="539">
        <f t="shared" si="28"/>
        <v>0</v>
      </c>
      <c r="CA84" s="539">
        <f t="shared" si="28"/>
        <v>0</v>
      </c>
      <c r="CB84" s="539">
        <f t="shared" si="28"/>
        <v>0</v>
      </c>
      <c r="CC84" s="539">
        <f t="shared" si="28"/>
        <v>0</v>
      </c>
      <c r="CD84" s="539">
        <f t="shared" si="28"/>
        <v>0</v>
      </c>
      <c r="CE84" s="539">
        <f t="shared" si="28"/>
        <v>0</v>
      </c>
      <c r="CF84" s="539">
        <f t="shared" si="28"/>
        <v>0</v>
      </c>
      <c r="CG84" s="539">
        <f t="shared" si="28"/>
        <v>0</v>
      </c>
      <c r="CH84" s="539">
        <f t="shared" si="28"/>
        <v>2226.7584309908434</v>
      </c>
      <c r="CI84" s="539">
        <f t="shared" si="28"/>
        <v>4453.5168619816868</v>
      </c>
      <c r="CJ84" s="539">
        <f t="shared" si="28"/>
        <v>6680.2752929725302</v>
      </c>
      <c r="CK84" s="539">
        <f t="shared" si="28"/>
        <v>8907.0337239633736</v>
      </c>
      <c r="CL84" s="539">
        <f t="shared" si="28"/>
        <v>6680.2752929725302</v>
      </c>
      <c r="CM84" s="539">
        <f t="shared" si="28"/>
        <v>4453.5168619816868</v>
      </c>
      <c r="CN84" s="539">
        <f t="shared" si="28"/>
        <v>2226.7584309908434</v>
      </c>
      <c r="CO84" s="539">
        <f t="shared" si="28"/>
        <v>0</v>
      </c>
      <c r="CP84" s="539">
        <f t="shared" si="28"/>
        <v>0</v>
      </c>
      <c r="CQ84" s="539">
        <f t="shared" si="28"/>
        <v>0</v>
      </c>
      <c r="CR84" s="539">
        <f t="shared" si="28"/>
        <v>0</v>
      </c>
      <c r="CS84" s="539">
        <f t="shared" si="28"/>
        <v>0</v>
      </c>
      <c r="CT84" s="539">
        <f t="shared" si="28"/>
        <v>0</v>
      </c>
      <c r="CU84" s="539">
        <f t="shared" si="28"/>
        <v>0</v>
      </c>
      <c r="CV84" s="539">
        <f t="shared" si="28"/>
        <v>0</v>
      </c>
      <c r="CW84" s="539">
        <f t="shared" si="28"/>
        <v>0</v>
      </c>
      <c r="CX84" s="539">
        <f t="shared" si="28"/>
        <v>0</v>
      </c>
      <c r="CY84" s="539">
        <f t="shared" si="28"/>
        <v>0</v>
      </c>
      <c r="CZ84" s="539">
        <f t="shared" si="28"/>
        <v>0</v>
      </c>
      <c r="DA84" s="539">
        <f t="shared" si="28"/>
        <v>0</v>
      </c>
      <c r="DB84" s="539">
        <f t="shared" si="28"/>
        <v>2519.3727769464808</v>
      </c>
      <c r="DC84" s="539">
        <f t="shared" si="28"/>
        <v>5038.7455538929617</v>
      </c>
      <c r="DD84" s="539">
        <f t="shared" si="28"/>
        <v>7558.1183308394429</v>
      </c>
      <c r="DE84" s="539">
        <f t="shared" si="28"/>
        <v>10077.491107785923</v>
      </c>
      <c r="DF84" s="539">
        <f t="shared" si="28"/>
        <v>7558.1183308394429</v>
      </c>
      <c r="DG84" s="539">
        <f t="shared" si="28"/>
        <v>5038.7455538929617</v>
      </c>
      <c r="DH84" s="539">
        <f t="shared" si="28"/>
        <v>2519.3727769464808</v>
      </c>
      <c r="DI84" s="539">
        <f t="shared" si="28"/>
        <v>0</v>
      </c>
      <c r="DJ84" s="539">
        <f t="shared" si="28"/>
        <v>0</v>
      </c>
      <c r="DK84" s="539">
        <f t="shared" si="28"/>
        <v>0</v>
      </c>
      <c r="DL84" s="539">
        <f t="shared" si="28"/>
        <v>0</v>
      </c>
      <c r="DM84" s="539">
        <f t="shared" si="28"/>
        <v>0</v>
      </c>
      <c r="DN84" s="539">
        <f t="shared" si="28"/>
        <v>0</v>
      </c>
      <c r="DO84" s="539">
        <f t="shared" si="28"/>
        <v>0</v>
      </c>
      <c r="DP84" s="539">
        <f t="shared" si="28"/>
        <v>0</v>
      </c>
      <c r="DQ84" s="539">
        <f t="shared" si="28"/>
        <v>0</v>
      </c>
      <c r="DR84" s="539">
        <f t="shared" si="28"/>
        <v>0</v>
      </c>
      <c r="DS84" s="539">
        <f t="shared" si="28"/>
        <v>0</v>
      </c>
      <c r="DT84" s="539">
        <f t="shared" si="28"/>
        <v>0</v>
      </c>
      <c r="DU84" s="539">
        <f t="shared" si="28"/>
        <v>0</v>
      </c>
      <c r="DV84" s="539">
        <f t="shared" si="28"/>
        <v>0</v>
      </c>
      <c r="DW84" s="539">
        <f t="shared" si="28"/>
        <v>0</v>
      </c>
      <c r="DX84" s="539">
        <f t="shared" si="28"/>
        <v>0</v>
      </c>
      <c r="DY84" s="539">
        <f t="shared" si="28"/>
        <v>0</v>
      </c>
      <c r="DZ84" s="539">
        <f t="shared" si="28"/>
        <v>0</v>
      </c>
      <c r="EA84" s="539">
        <f t="shared" si="28"/>
        <v>0</v>
      </c>
      <c r="EB84" s="539">
        <f t="shared" si="28"/>
        <v>0</v>
      </c>
      <c r="EC84" s="539">
        <f t="shared" si="28"/>
        <v>0</v>
      </c>
      <c r="ED84" s="539">
        <f t="shared" si="28"/>
        <v>0</v>
      </c>
      <c r="EE84" s="539">
        <f t="shared" si="28"/>
        <v>0</v>
      </c>
      <c r="EF84" s="539">
        <f t="shared" si="28"/>
        <v>0</v>
      </c>
      <c r="EG84" s="539">
        <f t="shared" si="28"/>
        <v>0</v>
      </c>
    </row>
    <row r="85" spans="5:137" ht="12.75">
      <c r="E85" s="538" t="s">
        <v>379</v>
      </c>
      <c r="G85" s="539" t="s">
        <v>30</v>
      </c>
      <c r="H85" s="539">
        <f>SUM(J85:EG85)</f>
        <v>135260.82115133689</v>
      </c>
      <c r="J85" s="539">
        <f t="shared" si="29" ref="J85:EG85">I84</f>
        <v>0</v>
      </c>
      <c r="K85" s="539">
        <f t="shared" si="29"/>
        <v>0</v>
      </c>
      <c r="L85" s="539">
        <f t="shared" si="29"/>
        <v>0</v>
      </c>
      <c r="M85" s="539">
        <f t="shared" si="29"/>
        <v>0</v>
      </c>
      <c r="N85" s="539">
        <f t="shared" si="29"/>
        <v>0</v>
      </c>
      <c r="O85" s="539">
        <f t="shared" si="29"/>
        <v>0</v>
      </c>
      <c r="P85" s="539">
        <f t="shared" si="29"/>
        <v>0</v>
      </c>
      <c r="Q85" s="539">
        <f t="shared" si="29"/>
        <v>0</v>
      </c>
      <c r="R85" s="539">
        <f t="shared" si="29"/>
        <v>0</v>
      </c>
      <c r="S85" s="539">
        <f t="shared" si="29"/>
        <v>0</v>
      </c>
      <c r="T85" s="539">
        <f t="shared" si="29"/>
        <v>0</v>
      </c>
      <c r="U85" s="539">
        <f t="shared" si="29"/>
        <v>0</v>
      </c>
      <c r="V85" s="539">
        <f t="shared" si="29"/>
        <v>0</v>
      </c>
      <c r="W85" s="539">
        <f t="shared" si="29"/>
        <v>0</v>
      </c>
      <c r="X85" s="539">
        <f t="shared" si="29"/>
        <v>0</v>
      </c>
      <c r="Y85" s="539">
        <f t="shared" si="29"/>
        <v>0</v>
      </c>
      <c r="Z85" s="539">
        <f t="shared" si="29"/>
        <v>0</v>
      </c>
      <c r="AA85" s="539">
        <f t="shared" si="29"/>
        <v>0</v>
      </c>
      <c r="AB85" s="539">
        <f t="shared" si="29"/>
        <v>0</v>
      </c>
      <c r="AC85" s="539">
        <f t="shared" si="29"/>
        <v>0</v>
      </c>
      <c r="AD85" s="539">
        <f t="shared" si="29"/>
        <v>0</v>
      </c>
      <c r="AE85" s="539">
        <f t="shared" si="29"/>
        <v>0</v>
      </c>
      <c r="AF85" s="539">
        <f t="shared" si="29"/>
        <v>0</v>
      </c>
      <c r="AG85" s="539">
        <f t="shared" si="29"/>
        <v>0</v>
      </c>
      <c r="AH85" s="539">
        <f t="shared" si="29"/>
        <v>0</v>
      </c>
      <c r="AI85" s="539">
        <f t="shared" si="29"/>
        <v>0</v>
      </c>
      <c r="AJ85" s="539">
        <f t="shared" si="29"/>
        <v>0</v>
      </c>
      <c r="AK85" s="539">
        <f t="shared" si="29"/>
        <v>0</v>
      </c>
      <c r="AL85" s="539">
        <f t="shared" si="29"/>
        <v>0</v>
      </c>
      <c r="AM85" s="539">
        <f t="shared" si="29"/>
        <v>0</v>
      </c>
      <c r="AN85" s="539">
        <f t="shared" si="29"/>
        <v>0</v>
      </c>
      <c r="AO85" s="539">
        <f t="shared" si="29"/>
        <v>0</v>
      </c>
      <c r="AP85" s="539">
        <f t="shared" si="29"/>
        <v>0</v>
      </c>
      <c r="AQ85" s="539">
        <f t="shared" si="29"/>
        <v>0</v>
      </c>
      <c r="AR85" s="539">
        <f t="shared" si="29"/>
        <v>0</v>
      </c>
      <c r="AS85" s="539">
        <f t="shared" si="29"/>
        <v>0</v>
      </c>
      <c r="AT85" s="539">
        <f t="shared" si="29"/>
        <v>0</v>
      </c>
      <c r="AU85" s="539">
        <f t="shared" si="29"/>
        <v>1739.5401273193352</v>
      </c>
      <c r="AV85" s="539">
        <f t="shared" si="29"/>
        <v>3479.0802546386703</v>
      </c>
      <c r="AW85" s="539">
        <f t="shared" si="29"/>
        <v>5218.620381958006</v>
      </c>
      <c r="AX85" s="539">
        <f t="shared" si="29"/>
        <v>6958.1605092773407</v>
      </c>
      <c r="AY85" s="539">
        <f t="shared" si="29"/>
        <v>5218.620381958006</v>
      </c>
      <c r="AZ85" s="539">
        <f t="shared" si="29"/>
        <v>3479.0802546386703</v>
      </c>
      <c r="BA85" s="539">
        <f t="shared" si="29"/>
        <v>1739.5401273193352</v>
      </c>
      <c r="BB85" s="539">
        <f t="shared" si="29"/>
        <v>0</v>
      </c>
      <c r="BC85" s="539">
        <f t="shared" si="29"/>
        <v>0</v>
      </c>
      <c r="BD85" s="539">
        <f t="shared" si="29"/>
        <v>0</v>
      </c>
      <c r="BE85" s="539">
        <f t="shared" si="29"/>
        <v>0</v>
      </c>
      <c r="BF85" s="539">
        <f t="shared" si="29"/>
        <v>0</v>
      </c>
      <c r="BG85" s="539">
        <f t="shared" si="29"/>
        <v>0</v>
      </c>
      <c r="BH85" s="539">
        <f t="shared" si="29"/>
        <v>0</v>
      </c>
      <c r="BI85" s="539">
        <f t="shared" si="29"/>
        <v>0</v>
      </c>
      <c r="BJ85" s="539">
        <f t="shared" si="29"/>
        <v>0</v>
      </c>
      <c r="BK85" s="539">
        <f t="shared" si="29"/>
        <v>0</v>
      </c>
      <c r="BL85" s="539">
        <f t="shared" si="29"/>
        <v>0</v>
      </c>
      <c r="BM85" s="539">
        <f t="shared" si="29"/>
        <v>0</v>
      </c>
      <c r="BN85" s="539">
        <f t="shared" si="29"/>
        <v>0</v>
      </c>
      <c r="BO85" s="539">
        <f t="shared" si="29"/>
        <v>1968.1299867018984</v>
      </c>
      <c r="BP85" s="539">
        <f t="shared" si="29"/>
        <v>3936.2599734037967</v>
      </c>
      <c r="BQ85" s="539">
        <f t="shared" si="29"/>
        <v>5904.3899601056946</v>
      </c>
      <c r="BR85" s="539">
        <f t="shared" si="29"/>
        <v>7872.5199468075934</v>
      </c>
      <c r="BS85" s="539">
        <f t="shared" si="29"/>
        <v>5904.3899601056946</v>
      </c>
      <c r="BT85" s="539">
        <f t="shared" si="29"/>
        <v>3936.2599734037967</v>
      </c>
      <c r="BU85" s="539">
        <f t="shared" si="29"/>
        <v>1968.1299867018984</v>
      </c>
      <c r="BV85" s="539">
        <f t="shared" si="29"/>
        <v>0</v>
      </c>
      <c r="BW85" s="539">
        <f t="shared" si="29"/>
        <v>0</v>
      </c>
      <c r="BX85" s="539">
        <f t="shared" si="29"/>
        <v>0</v>
      </c>
      <c r="BY85" s="539">
        <f t="shared" si="29"/>
        <v>0</v>
      </c>
      <c r="BZ85" s="539">
        <f t="shared" si="29"/>
        <v>0</v>
      </c>
      <c r="CA85" s="539">
        <f t="shared" si="29"/>
        <v>0</v>
      </c>
      <c r="CB85" s="539">
        <f t="shared" si="29"/>
        <v>0</v>
      </c>
      <c r="CC85" s="539">
        <f t="shared" si="29"/>
        <v>0</v>
      </c>
      <c r="CD85" s="539">
        <f t="shared" si="29"/>
        <v>0</v>
      </c>
      <c r="CE85" s="539">
        <f t="shared" si="29"/>
        <v>0</v>
      </c>
      <c r="CF85" s="539">
        <f t="shared" si="29"/>
        <v>0</v>
      </c>
      <c r="CG85" s="539">
        <f t="shared" si="29"/>
        <v>0</v>
      </c>
      <c r="CH85" s="539">
        <f t="shared" si="29"/>
        <v>0</v>
      </c>
      <c r="CI85" s="539">
        <f t="shared" si="29"/>
        <v>2226.7584309908434</v>
      </c>
      <c r="CJ85" s="539">
        <f t="shared" si="29"/>
        <v>4453.5168619816868</v>
      </c>
      <c r="CK85" s="539">
        <f t="shared" si="29"/>
        <v>6680.2752929725302</v>
      </c>
      <c r="CL85" s="539">
        <f t="shared" si="29"/>
        <v>8907.0337239633736</v>
      </c>
      <c r="CM85" s="539">
        <f t="shared" si="29"/>
        <v>6680.2752929725302</v>
      </c>
      <c r="CN85" s="539">
        <f t="shared" si="29"/>
        <v>4453.5168619816868</v>
      </c>
      <c r="CO85" s="539">
        <f t="shared" si="29"/>
        <v>2226.7584309908434</v>
      </c>
      <c r="CP85" s="539">
        <f t="shared" si="29"/>
        <v>0</v>
      </c>
      <c r="CQ85" s="539">
        <f t="shared" si="29"/>
        <v>0</v>
      </c>
      <c r="CR85" s="539">
        <f t="shared" si="29"/>
        <v>0</v>
      </c>
      <c r="CS85" s="539">
        <f t="shared" si="29"/>
        <v>0</v>
      </c>
      <c r="CT85" s="539">
        <f t="shared" si="29"/>
        <v>0</v>
      </c>
      <c r="CU85" s="539">
        <f t="shared" si="29"/>
        <v>0</v>
      </c>
      <c r="CV85" s="539">
        <f t="shared" si="29"/>
        <v>0</v>
      </c>
      <c r="CW85" s="539">
        <f t="shared" si="29"/>
        <v>0</v>
      </c>
      <c r="CX85" s="539">
        <f t="shared" si="29"/>
        <v>0</v>
      </c>
      <c r="CY85" s="539">
        <f t="shared" si="29"/>
        <v>0</v>
      </c>
      <c r="CZ85" s="539">
        <f t="shared" si="29"/>
        <v>0</v>
      </c>
      <c r="DA85" s="539">
        <f t="shared" si="29"/>
        <v>0</v>
      </c>
      <c r="DB85" s="539">
        <f t="shared" si="29"/>
        <v>0</v>
      </c>
      <c r="DC85" s="539">
        <f t="shared" si="29"/>
        <v>2519.3727769464808</v>
      </c>
      <c r="DD85" s="539">
        <f t="shared" si="29"/>
        <v>5038.7455538929617</v>
      </c>
      <c r="DE85" s="539">
        <f t="shared" si="29"/>
        <v>7558.1183308394429</v>
      </c>
      <c r="DF85" s="539">
        <f t="shared" si="29"/>
        <v>10077.491107785923</v>
      </c>
      <c r="DG85" s="539">
        <f t="shared" si="29"/>
        <v>7558.1183308394429</v>
      </c>
      <c r="DH85" s="539">
        <f t="shared" si="29"/>
        <v>5038.7455538929617</v>
      </c>
      <c r="DI85" s="539">
        <f t="shared" si="29"/>
        <v>2519.3727769464808</v>
      </c>
      <c r="DJ85" s="539">
        <f t="shared" si="29"/>
        <v>0</v>
      </c>
      <c r="DK85" s="539">
        <f t="shared" si="29"/>
        <v>0</v>
      </c>
      <c r="DL85" s="539">
        <f t="shared" si="29"/>
        <v>0</v>
      </c>
      <c r="DM85" s="539">
        <f t="shared" si="29"/>
        <v>0</v>
      </c>
      <c r="DN85" s="539">
        <f t="shared" si="29"/>
        <v>0</v>
      </c>
      <c r="DO85" s="539">
        <f t="shared" si="29"/>
        <v>0</v>
      </c>
      <c r="DP85" s="539">
        <f t="shared" si="29"/>
        <v>0</v>
      </c>
      <c r="DQ85" s="539">
        <f t="shared" si="29"/>
        <v>0</v>
      </c>
      <c r="DR85" s="539">
        <f t="shared" si="29"/>
        <v>0</v>
      </c>
      <c r="DS85" s="539">
        <f t="shared" si="29"/>
        <v>0</v>
      </c>
      <c r="DT85" s="539">
        <f t="shared" si="29"/>
        <v>0</v>
      </c>
      <c r="DU85" s="539">
        <f t="shared" si="29"/>
        <v>0</v>
      </c>
      <c r="DV85" s="539">
        <f t="shared" si="29"/>
        <v>0</v>
      </c>
      <c r="DW85" s="539">
        <f t="shared" si="29"/>
        <v>0</v>
      </c>
      <c r="DX85" s="539">
        <f t="shared" si="29"/>
        <v>0</v>
      </c>
      <c r="DY85" s="539">
        <f t="shared" si="29"/>
        <v>0</v>
      </c>
      <c r="DZ85" s="539">
        <f t="shared" si="29"/>
        <v>0</v>
      </c>
      <c r="EA85" s="539">
        <f t="shared" si="29"/>
        <v>0</v>
      </c>
      <c r="EB85" s="539">
        <f t="shared" si="29"/>
        <v>0</v>
      </c>
      <c r="EC85" s="539">
        <f t="shared" si="29"/>
        <v>0</v>
      </c>
      <c r="ED85" s="539">
        <f t="shared" si="29"/>
        <v>0</v>
      </c>
      <c r="EE85" s="539">
        <f t="shared" si="29"/>
        <v>0</v>
      </c>
      <c r="EF85" s="539">
        <f t="shared" si="29"/>
        <v>0</v>
      </c>
      <c r="EG85" s="539">
        <f t="shared" si="29"/>
        <v>0</v>
      </c>
    </row>
    <row r="87" spans="5:137" ht="12.75">
      <c r="E87" s="538" t="str">
        <f>E$71</f>
        <v>Maintenance cost - nominal</v>
      </c>
      <c r="G87" s="539" t="str">
        <f>G$71</f>
        <v>EUR 000s</v>
      </c>
      <c r="H87" s="539">
        <f>H$71</f>
        <v>33815.205287834237</v>
      </c>
      <c r="J87" s="539">
        <f t="shared" si="30" ref="J87:EG87">J$71</f>
        <v>0</v>
      </c>
      <c r="K87" s="539">
        <f t="shared" si="30"/>
        <v>0</v>
      </c>
      <c r="L87" s="539">
        <f t="shared" si="30"/>
        <v>0</v>
      </c>
      <c r="M87" s="539">
        <f t="shared" si="30"/>
        <v>0</v>
      </c>
      <c r="N87" s="539">
        <f t="shared" si="30"/>
        <v>0</v>
      </c>
      <c r="O87" s="539">
        <f t="shared" si="30"/>
        <v>0</v>
      </c>
      <c r="P87" s="539">
        <f t="shared" si="30"/>
        <v>0</v>
      </c>
      <c r="Q87" s="539">
        <f t="shared" si="30"/>
        <v>0</v>
      </c>
      <c r="R87" s="539">
        <f t="shared" si="30"/>
        <v>0</v>
      </c>
      <c r="S87" s="539">
        <f t="shared" si="30"/>
        <v>0</v>
      </c>
      <c r="T87" s="539">
        <f t="shared" si="30"/>
        <v>0</v>
      </c>
      <c r="U87" s="539">
        <f t="shared" si="30"/>
        <v>0</v>
      </c>
      <c r="V87" s="539">
        <f t="shared" si="30"/>
        <v>0</v>
      </c>
      <c r="W87" s="539">
        <f t="shared" si="30"/>
        <v>0</v>
      </c>
      <c r="X87" s="539">
        <f t="shared" si="30"/>
        <v>0</v>
      </c>
      <c r="Y87" s="539">
        <f t="shared" si="30"/>
        <v>0</v>
      </c>
      <c r="Z87" s="539">
        <f t="shared" si="30"/>
        <v>0</v>
      </c>
      <c r="AA87" s="539">
        <f t="shared" si="30"/>
        <v>0</v>
      </c>
      <c r="AB87" s="539">
        <f t="shared" si="30"/>
        <v>0</v>
      </c>
      <c r="AC87" s="539">
        <f t="shared" si="30"/>
        <v>0</v>
      </c>
      <c r="AD87" s="539">
        <f t="shared" si="30"/>
        <v>0</v>
      </c>
      <c r="AE87" s="539">
        <f t="shared" si="30"/>
        <v>0</v>
      </c>
      <c r="AF87" s="539">
        <f t="shared" si="30"/>
        <v>0</v>
      </c>
      <c r="AG87" s="539">
        <f t="shared" si="30"/>
        <v>0</v>
      </c>
      <c r="AH87" s="539">
        <f t="shared" si="30"/>
        <v>0</v>
      </c>
      <c r="AI87" s="539">
        <f t="shared" si="30"/>
        <v>0</v>
      </c>
      <c r="AJ87" s="539">
        <f t="shared" si="30"/>
        <v>0</v>
      </c>
      <c r="AK87" s="539">
        <f t="shared" si="30"/>
        <v>0</v>
      </c>
      <c r="AL87" s="539">
        <f t="shared" si="30"/>
        <v>0</v>
      </c>
      <c r="AM87" s="539">
        <f t="shared" si="30"/>
        <v>0</v>
      </c>
      <c r="AN87" s="539">
        <f t="shared" si="30"/>
        <v>0</v>
      </c>
      <c r="AO87" s="539">
        <f t="shared" si="30"/>
        <v>0</v>
      </c>
      <c r="AP87" s="539">
        <f t="shared" si="30"/>
        <v>0</v>
      </c>
      <c r="AQ87" s="539">
        <f t="shared" si="30"/>
        <v>0</v>
      </c>
      <c r="AR87" s="539">
        <f t="shared" si="30"/>
        <v>0</v>
      </c>
      <c r="AS87" s="539">
        <f t="shared" si="30"/>
        <v>0</v>
      </c>
      <c r="AT87" s="539">
        <f t="shared" si="30"/>
        <v>0</v>
      </c>
      <c r="AU87" s="539">
        <f t="shared" si="30"/>
        <v>0</v>
      </c>
      <c r="AV87" s="539">
        <f t="shared" si="30"/>
        <v>0</v>
      </c>
      <c r="AW87" s="539">
        <f t="shared" si="30"/>
        <v>0</v>
      </c>
      <c r="AX87" s="539">
        <f t="shared" si="30"/>
        <v>1739.5401273193352</v>
      </c>
      <c r="AY87" s="539">
        <f t="shared" si="30"/>
        <v>1739.5401273193352</v>
      </c>
      <c r="AZ87" s="539">
        <f t="shared" si="30"/>
        <v>1739.5401273193352</v>
      </c>
      <c r="BA87" s="539">
        <f t="shared" si="30"/>
        <v>1739.5401273193352</v>
      </c>
      <c r="BB87" s="539">
        <f t="shared" si="30"/>
        <v>0</v>
      </c>
      <c r="BC87" s="539">
        <f t="shared" si="30"/>
        <v>0</v>
      </c>
      <c r="BD87" s="539">
        <f t="shared" si="30"/>
        <v>0</v>
      </c>
      <c r="BE87" s="539">
        <f t="shared" si="30"/>
        <v>0</v>
      </c>
      <c r="BF87" s="539">
        <f t="shared" si="30"/>
        <v>0</v>
      </c>
      <c r="BG87" s="539">
        <f t="shared" si="30"/>
        <v>0</v>
      </c>
      <c r="BH87" s="539">
        <f t="shared" si="30"/>
        <v>0</v>
      </c>
      <c r="BI87" s="539">
        <f t="shared" si="30"/>
        <v>0</v>
      </c>
      <c r="BJ87" s="539">
        <f t="shared" si="30"/>
        <v>0</v>
      </c>
      <c r="BK87" s="539">
        <f t="shared" si="30"/>
        <v>0</v>
      </c>
      <c r="BL87" s="539">
        <f t="shared" si="30"/>
        <v>0</v>
      </c>
      <c r="BM87" s="539">
        <f t="shared" si="30"/>
        <v>0</v>
      </c>
      <c r="BN87" s="539">
        <f t="shared" si="30"/>
        <v>0</v>
      </c>
      <c r="BO87" s="539">
        <f t="shared" si="30"/>
        <v>0</v>
      </c>
      <c r="BP87" s="539">
        <f t="shared" si="30"/>
        <v>0</v>
      </c>
      <c r="BQ87" s="539">
        <f t="shared" si="30"/>
        <v>0</v>
      </c>
      <c r="BR87" s="539">
        <f t="shared" si="30"/>
        <v>1968.1299867018984</v>
      </c>
      <c r="BS87" s="539">
        <f t="shared" si="30"/>
        <v>1968.1299867018984</v>
      </c>
      <c r="BT87" s="539">
        <f t="shared" si="30"/>
        <v>1968.1299867018984</v>
      </c>
      <c r="BU87" s="539">
        <f t="shared" si="30"/>
        <v>1968.1299867018984</v>
      </c>
      <c r="BV87" s="539">
        <f t="shared" si="30"/>
        <v>0</v>
      </c>
      <c r="BW87" s="539">
        <f t="shared" si="30"/>
        <v>0</v>
      </c>
      <c r="BX87" s="539">
        <f t="shared" si="30"/>
        <v>0</v>
      </c>
      <c r="BY87" s="539">
        <f t="shared" si="30"/>
        <v>0</v>
      </c>
      <c r="BZ87" s="539">
        <f t="shared" si="30"/>
        <v>0</v>
      </c>
      <c r="CA87" s="539">
        <f t="shared" si="30"/>
        <v>0</v>
      </c>
      <c r="CB87" s="539">
        <f t="shared" si="30"/>
        <v>0</v>
      </c>
      <c r="CC87" s="539">
        <f t="shared" si="30"/>
        <v>0</v>
      </c>
      <c r="CD87" s="539">
        <f t="shared" si="30"/>
        <v>0</v>
      </c>
      <c r="CE87" s="539">
        <f t="shared" si="30"/>
        <v>0</v>
      </c>
      <c r="CF87" s="539">
        <f t="shared" si="30"/>
        <v>0</v>
      </c>
      <c r="CG87" s="539">
        <f t="shared" si="30"/>
        <v>0</v>
      </c>
      <c r="CH87" s="539">
        <f t="shared" si="30"/>
        <v>0</v>
      </c>
      <c r="CI87" s="539">
        <f t="shared" si="30"/>
        <v>0</v>
      </c>
      <c r="CJ87" s="539">
        <f t="shared" si="30"/>
        <v>0</v>
      </c>
      <c r="CK87" s="539">
        <f t="shared" si="30"/>
        <v>0</v>
      </c>
      <c r="CL87" s="539">
        <f t="shared" si="30"/>
        <v>2226.7584309908434</v>
      </c>
      <c r="CM87" s="539">
        <f t="shared" si="30"/>
        <v>2226.7584309908434</v>
      </c>
      <c r="CN87" s="539">
        <f t="shared" si="30"/>
        <v>2226.7584309908434</v>
      </c>
      <c r="CO87" s="539">
        <f t="shared" si="30"/>
        <v>2226.7584309908434</v>
      </c>
      <c r="CP87" s="539">
        <f t="shared" si="30"/>
        <v>0</v>
      </c>
      <c r="CQ87" s="539">
        <f t="shared" si="30"/>
        <v>0</v>
      </c>
      <c r="CR87" s="539">
        <f t="shared" si="30"/>
        <v>0</v>
      </c>
      <c r="CS87" s="539">
        <f t="shared" si="30"/>
        <v>0</v>
      </c>
      <c r="CT87" s="539">
        <f t="shared" si="30"/>
        <v>0</v>
      </c>
      <c r="CU87" s="539">
        <f t="shared" si="30"/>
        <v>0</v>
      </c>
      <c r="CV87" s="539">
        <f t="shared" si="30"/>
        <v>0</v>
      </c>
      <c r="CW87" s="539">
        <f t="shared" si="30"/>
        <v>0</v>
      </c>
      <c r="CX87" s="539">
        <f t="shared" si="30"/>
        <v>0</v>
      </c>
      <c r="CY87" s="539">
        <f t="shared" si="30"/>
        <v>0</v>
      </c>
      <c r="CZ87" s="539">
        <f t="shared" si="30"/>
        <v>0</v>
      </c>
      <c r="DA87" s="539">
        <f t="shared" si="30"/>
        <v>0</v>
      </c>
      <c r="DB87" s="539">
        <f t="shared" si="30"/>
        <v>0</v>
      </c>
      <c r="DC87" s="539">
        <f t="shared" si="30"/>
        <v>0</v>
      </c>
      <c r="DD87" s="539">
        <f t="shared" si="30"/>
        <v>0</v>
      </c>
      <c r="DE87" s="539">
        <f t="shared" si="30"/>
        <v>0</v>
      </c>
      <c r="DF87" s="539">
        <f t="shared" si="30"/>
        <v>2519.3727769464808</v>
      </c>
      <c r="DG87" s="539">
        <f t="shared" si="30"/>
        <v>2519.3727769464808</v>
      </c>
      <c r="DH87" s="539">
        <f t="shared" si="30"/>
        <v>2519.3727769464808</v>
      </c>
      <c r="DI87" s="539">
        <f t="shared" si="30"/>
        <v>2519.3727769464808</v>
      </c>
      <c r="DJ87" s="539">
        <f t="shared" si="30"/>
        <v>0</v>
      </c>
      <c r="DK87" s="539">
        <f t="shared" si="30"/>
        <v>0</v>
      </c>
      <c r="DL87" s="539">
        <f t="shared" si="30"/>
        <v>0</v>
      </c>
      <c r="DM87" s="539">
        <f t="shared" si="30"/>
        <v>0</v>
      </c>
      <c r="DN87" s="539">
        <f t="shared" si="30"/>
        <v>0</v>
      </c>
      <c r="DO87" s="539">
        <f t="shared" si="30"/>
        <v>0</v>
      </c>
      <c r="DP87" s="539">
        <f t="shared" si="30"/>
        <v>0</v>
      </c>
      <c r="DQ87" s="539">
        <f t="shared" si="30"/>
        <v>0</v>
      </c>
      <c r="DR87" s="539">
        <f t="shared" si="30"/>
        <v>0</v>
      </c>
      <c r="DS87" s="539">
        <f t="shared" si="30"/>
        <v>0</v>
      </c>
      <c r="DT87" s="539">
        <f t="shared" si="30"/>
        <v>0</v>
      </c>
      <c r="DU87" s="539">
        <f t="shared" si="30"/>
        <v>0</v>
      </c>
      <c r="DV87" s="539">
        <f t="shared" si="30"/>
        <v>0</v>
      </c>
      <c r="DW87" s="539">
        <f t="shared" si="30"/>
        <v>0</v>
      </c>
      <c r="DX87" s="539">
        <f t="shared" si="30"/>
        <v>0</v>
      </c>
      <c r="DY87" s="539">
        <f t="shared" si="30"/>
        <v>0</v>
      </c>
      <c r="DZ87" s="539">
        <f t="shared" si="30"/>
        <v>0</v>
      </c>
      <c r="EA87" s="539">
        <f t="shared" si="30"/>
        <v>0</v>
      </c>
      <c r="EB87" s="539">
        <f t="shared" si="30"/>
        <v>0</v>
      </c>
      <c r="EC87" s="539">
        <f t="shared" si="30"/>
        <v>0</v>
      </c>
      <c r="ED87" s="539">
        <f t="shared" si="30"/>
        <v>0</v>
      </c>
      <c r="EE87" s="539">
        <f t="shared" si="30"/>
        <v>0</v>
      </c>
      <c r="EF87" s="539">
        <f t="shared" si="30"/>
        <v>0</v>
      </c>
      <c r="EG87" s="539">
        <f t="shared" si="30"/>
        <v>0</v>
      </c>
    </row>
    <row r="88" spans="5:137" ht="12.75">
      <c r="E88" s="538" t="str">
        <f>E$85</f>
        <v>MRA - opening balance</v>
      </c>
      <c r="G88" s="539" t="str">
        <f>G$85</f>
        <v>EUR 000s</v>
      </c>
      <c r="H88" s="539">
        <f>H$85</f>
        <v>135260.82115133689</v>
      </c>
      <c r="J88" s="539">
        <f t="shared" si="31" ref="J88:EG88">J$85</f>
        <v>0</v>
      </c>
      <c r="K88" s="539">
        <f t="shared" si="31"/>
        <v>0</v>
      </c>
      <c r="L88" s="539">
        <f t="shared" si="31"/>
        <v>0</v>
      </c>
      <c r="M88" s="539">
        <f t="shared" si="31"/>
        <v>0</v>
      </c>
      <c r="N88" s="539">
        <f t="shared" si="31"/>
        <v>0</v>
      </c>
      <c r="O88" s="539">
        <f t="shared" si="31"/>
        <v>0</v>
      </c>
      <c r="P88" s="539">
        <f t="shared" si="31"/>
        <v>0</v>
      </c>
      <c r="Q88" s="539">
        <f t="shared" si="31"/>
        <v>0</v>
      </c>
      <c r="R88" s="539">
        <f t="shared" si="31"/>
        <v>0</v>
      </c>
      <c r="S88" s="539">
        <f t="shared" si="31"/>
        <v>0</v>
      </c>
      <c r="T88" s="539">
        <f t="shared" si="31"/>
        <v>0</v>
      </c>
      <c r="U88" s="539">
        <f t="shared" si="31"/>
        <v>0</v>
      </c>
      <c r="V88" s="539">
        <f t="shared" si="31"/>
        <v>0</v>
      </c>
      <c r="W88" s="539">
        <f t="shared" si="31"/>
        <v>0</v>
      </c>
      <c r="X88" s="539">
        <f t="shared" si="31"/>
        <v>0</v>
      </c>
      <c r="Y88" s="539">
        <f t="shared" si="31"/>
        <v>0</v>
      </c>
      <c r="Z88" s="539">
        <f t="shared" si="31"/>
        <v>0</v>
      </c>
      <c r="AA88" s="539">
        <f t="shared" si="31"/>
        <v>0</v>
      </c>
      <c r="AB88" s="539">
        <f t="shared" si="31"/>
        <v>0</v>
      </c>
      <c r="AC88" s="539">
        <f t="shared" si="31"/>
        <v>0</v>
      </c>
      <c r="AD88" s="539">
        <f t="shared" si="31"/>
        <v>0</v>
      </c>
      <c r="AE88" s="539">
        <f t="shared" si="31"/>
        <v>0</v>
      </c>
      <c r="AF88" s="539">
        <f t="shared" si="31"/>
        <v>0</v>
      </c>
      <c r="AG88" s="539">
        <f t="shared" si="31"/>
        <v>0</v>
      </c>
      <c r="AH88" s="539">
        <f t="shared" si="31"/>
        <v>0</v>
      </c>
      <c r="AI88" s="539">
        <f t="shared" si="31"/>
        <v>0</v>
      </c>
      <c r="AJ88" s="539">
        <f t="shared" si="31"/>
        <v>0</v>
      </c>
      <c r="AK88" s="539">
        <f t="shared" si="31"/>
        <v>0</v>
      </c>
      <c r="AL88" s="539">
        <f t="shared" si="31"/>
        <v>0</v>
      </c>
      <c r="AM88" s="539">
        <f t="shared" si="31"/>
        <v>0</v>
      </c>
      <c r="AN88" s="539">
        <f t="shared" si="31"/>
        <v>0</v>
      </c>
      <c r="AO88" s="539">
        <f t="shared" si="31"/>
        <v>0</v>
      </c>
      <c r="AP88" s="539">
        <f t="shared" si="31"/>
        <v>0</v>
      </c>
      <c r="AQ88" s="539">
        <f t="shared" si="31"/>
        <v>0</v>
      </c>
      <c r="AR88" s="539">
        <f t="shared" si="31"/>
        <v>0</v>
      </c>
      <c r="AS88" s="539">
        <f t="shared" si="31"/>
        <v>0</v>
      </c>
      <c r="AT88" s="539">
        <f t="shared" si="31"/>
        <v>0</v>
      </c>
      <c r="AU88" s="539">
        <f t="shared" si="31"/>
        <v>1739.5401273193352</v>
      </c>
      <c r="AV88" s="539">
        <f t="shared" si="31"/>
        <v>3479.0802546386703</v>
      </c>
      <c r="AW88" s="539">
        <f t="shared" si="31"/>
        <v>5218.620381958006</v>
      </c>
      <c r="AX88" s="539">
        <f t="shared" si="31"/>
        <v>6958.1605092773407</v>
      </c>
      <c r="AY88" s="539">
        <f t="shared" si="31"/>
        <v>5218.620381958006</v>
      </c>
      <c r="AZ88" s="539">
        <f t="shared" si="31"/>
        <v>3479.0802546386703</v>
      </c>
      <c r="BA88" s="539">
        <f t="shared" si="31"/>
        <v>1739.5401273193352</v>
      </c>
      <c r="BB88" s="539">
        <f t="shared" si="31"/>
        <v>0</v>
      </c>
      <c r="BC88" s="539">
        <f t="shared" si="31"/>
        <v>0</v>
      </c>
      <c r="BD88" s="539">
        <f t="shared" si="31"/>
        <v>0</v>
      </c>
      <c r="BE88" s="539">
        <f t="shared" si="31"/>
        <v>0</v>
      </c>
      <c r="BF88" s="539">
        <f t="shared" si="31"/>
        <v>0</v>
      </c>
      <c r="BG88" s="539">
        <f t="shared" si="31"/>
        <v>0</v>
      </c>
      <c r="BH88" s="539">
        <f t="shared" si="31"/>
        <v>0</v>
      </c>
      <c r="BI88" s="539">
        <f t="shared" si="31"/>
        <v>0</v>
      </c>
      <c r="BJ88" s="539">
        <f t="shared" si="31"/>
        <v>0</v>
      </c>
      <c r="BK88" s="539">
        <f t="shared" si="31"/>
        <v>0</v>
      </c>
      <c r="BL88" s="539">
        <f t="shared" si="31"/>
        <v>0</v>
      </c>
      <c r="BM88" s="539">
        <f t="shared" si="31"/>
        <v>0</v>
      </c>
      <c r="BN88" s="539">
        <f t="shared" si="31"/>
        <v>0</v>
      </c>
      <c r="BO88" s="539">
        <f t="shared" si="31"/>
        <v>1968.1299867018984</v>
      </c>
      <c r="BP88" s="539">
        <f t="shared" si="31"/>
        <v>3936.2599734037967</v>
      </c>
      <c r="BQ88" s="539">
        <f t="shared" si="31"/>
        <v>5904.3899601056946</v>
      </c>
      <c r="BR88" s="539">
        <f t="shared" si="31"/>
        <v>7872.5199468075934</v>
      </c>
      <c r="BS88" s="539">
        <f t="shared" si="31"/>
        <v>5904.3899601056946</v>
      </c>
      <c r="BT88" s="539">
        <f t="shared" si="31"/>
        <v>3936.2599734037967</v>
      </c>
      <c r="BU88" s="539">
        <f t="shared" si="31"/>
        <v>1968.1299867018984</v>
      </c>
      <c r="BV88" s="539">
        <f t="shared" si="31"/>
        <v>0</v>
      </c>
      <c r="BW88" s="539">
        <f t="shared" si="31"/>
        <v>0</v>
      </c>
      <c r="BX88" s="539">
        <f t="shared" si="31"/>
        <v>0</v>
      </c>
      <c r="BY88" s="539">
        <f t="shared" si="31"/>
        <v>0</v>
      </c>
      <c r="BZ88" s="539">
        <f t="shared" si="31"/>
        <v>0</v>
      </c>
      <c r="CA88" s="539">
        <f t="shared" si="31"/>
        <v>0</v>
      </c>
      <c r="CB88" s="539">
        <f t="shared" si="31"/>
        <v>0</v>
      </c>
      <c r="CC88" s="539">
        <f t="shared" si="31"/>
        <v>0</v>
      </c>
      <c r="CD88" s="539">
        <f t="shared" si="31"/>
        <v>0</v>
      </c>
      <c r="CE88" s="539">
        <f t="shared" si="31"/>
        <v>0</v>
      </c>
      <c r="CF88" s="539">
        <f t="shared" si="31"/>
        <v>0</v>
      </c>
      <c r="CG88" s="539">
        <f t="shared" si="31"/>
        <v>0</v>
      </c>
      <c r="CH88" s="539">
        <f t="shared" si="31"/>
        <v>0</v>
      </c>
      <c r="CI88" s="539">
        <f t="shared" si="31"/>
        <v>2226.7584309908434</v>
      </c>
      <c r="CJ88" s="539">
        <f t="shared" si="31"/>
        <v>4453.5168619816868</v>
      </c>
      <c r="CK88" s="539">
        <f t="shared" si="31"/>
        <v>6680.2752929725302</v>
      </c>
      <c r="CL88" s="539">
        <f t="shared" si="31"/>
        <v>8907.0337239633736</v>
      </c>
      <c r="CM88" s="539">
        <f t="shared" si="31"/>
        <v>6680.2752929725302</v>
      </c>
      <c r="CN88" s="539">
        <f t="shared" si="31"/>
        <v>4453.5168619816868</v>
      </c>
      <c r="CO88" s="539">
        <f t="shared" si="31"/>
        <v>2226.7584309908434</v>
      </c>
      <c r="CP88" s="539">
        <f t="shared" si="31"/>
        <v>0</v>
      </c>
      <c r="CQ88" s="539">
        <f t="shared" si="31"/>
        <v>0</v>
      </c>
      <c r="CR88" s="539">
        <f t="shared" si="31"/>
        <v>0</v>
      </c>
      <c r="CS88" s="539">
        <f t="shared" si="31"/>
        <v>0</v>
      </c>
      <c r="CT88" s="539">
        <f t="shared" si="31"/>
        <v>0</v>
      </c>
      <c r="CU88" s="539">
        <f t="shared" si="31"/>
        <v>0</v>
      </c>
      <c r="CV88" s="539">
        <f t="shared" si="31"/>
        <v>0</v>
      </c>
      <c r="CW88" s="539">
        <f t="shared" si="31"/>
        <v>0</v>
      </c>
      <c r="CX88" s="539">
        <f t="shared" si="31"/>
        <v>0</v>
      </c>
      <c r="CY88" s="539">
        <f t="shared" si="31"/>
        <v>0</v>
      </c>
      <c r="CZ88" s="539">
        <f t="shared" si="31"/>
        <v>0</v>
      </c>
      <c r="DA88" s="539">
        <f t="shared" si="31"/>
        <v>0</v>
      </c>
      <c r="DB88" s="539">
        <f t="shared" si="31"/>
        <v>0</v>
      </c>
      <c r="DC88" s="539">
        <f t="shared" si="31"/>
        <v>2519.3727769464808</v>
      </c>
      <c r="DD88" s="539">
        <f t="shared" si="31"/>
        <v>5038.7455538929617</v>
      </c>
      <c r="DE88" s="539">
        <f t="shared" si="31"/>
        <v>7558.1183308394429</v>
      </c>
      <c r="DF88" s="539">
        <f t="shared" si="31"/>
        <v>10077.491107785923</v>
      </c>
      <c r="DG88" s="539">
        <f t="shared" si="31"/>
        <v>7558.1183308394429</v>
      </c>
      <c r="DH88" s="539">
        <f t="shared" si="31"/>
        <v>5038.7455538929617</v>
      </c>
      <c r="DI88" s="539">
        <f t="shared" si="31"/>
        <v>2519.3727769464808</v>
      </c>
      <c r="DJ88" s="539">
        <f t="shared" si="31"/>
        <v>0</v>
      </c>
      <c r="DK88" s="539">
        <f t="shared" si="31"/>
        <v>0</v>
      </c>
      <c r="DL88" s="539">
        <f t="shared" si="31"/>
        <v>0</v>
      </c>
      <c r="DM88" s="539">
        <f t="shared" si="31"/>
        <v>0</v>
      </c>
      <c r="DN88" s="539">
        <f t="shared" si="31"/>
        <v>0</v>
      </c>
      <c r="DO88" s="539">
        <f t="shared" si="31"/>
        <v>0</v>
      </c>
      <c r="DP88" s="539">
        <f t="shared" si="31"/>
        <v>0</v>
      </c>
      <c r="DQ88" s="539">
        <f t="shared" si="31"/>
        <v>0</v>
      </c>
      <c r="DR88" s="539">
        <f t="shared" si="31"/>
        <v>0</v>
      </c>
      <c r="DS88" s="539">
        <f t="shared" si="31"/>
        <v>0</v>
      </c>
      <c r="DT88" s="539">
        <f t="shared" si="31"/>
        <v>0</v>
      </c>
      <c r="DU88" s="539">
        <f t="shared" si="31"/>
        <v>0</v>
      </c>
      <c r="DV88" s="539">
        <f t="shared" si="31"/>
        <v>0</v>
      </c>
      <c r="DW88" s="539">
        <f t="shared" si="31"/>
        <v>0</v>
      </c>
      <c r="DX88" s="539">
        <f t="shared" si="31"/>
        <v>0</v>
      </c>
      <c r="DY88" s="539">
        <f t="shared" si="31"/>
        <v>0</v>
      </c>
      <c r="DZ88" s="539">
        <f t="shared" si="31"/>
        <v>0</v>
      </c>
      <c r="EA88" s="539">
        <f t="shared" si="31"/>
        <v>0</v>
      </c>
      <c r="EB88" s="539">
        <f t="shared" si="31"/>
        <v>0</v>
      </c>
      <c r="EC88" s="539">
        <f t="shared" si="31"/>
        <v>0</v>
      </c>
      <c r="ED88" s="539">
        <f t="shared" si="31"/>
        <v>0</v>
      </c>
      <c r="EE88" s="539">
        <f t="shared" si="31"/>
        <v>0</v>
      </c>
      <c r="EF88" s="539">
        <f t="shared" si="31"/>
        <v>0</v>
      </c>
      <c r="EG88" s="539">
        <f t="shared" si="31"/>
        <v>0</v>
      </c>
    </row>
    <row r="89" spans="5:137" ht="12.75">
      <c r="E89" s="540" t="s">
        <v>380</v>
      </c>
      <c r="G89" s="541" t="s">
        <v>30</v>
      </c>
      <c r="H89" s="541">
        <f>SUM(J89:EG89)</f>
        <v>33815.205287834237</v>
      </c>
      <c r="J89" s="541">
        <f t="shared" si="32" ref="J89:EG89">MIN(J88,MAX(0,J87))</f>
        <v>0</v>
      </c>
      <c r="K89" s="541">
        <f t="shared" si="32"/>
        <v>0</v>
      </c>
      <c r="L89" s="541">
        <f t="shared" si="32"/>
        <v>0</v>
      </c>
      <c r="M89" s="541">
        <f t="shared" si="32"/>
        <v>0</v>
      </c>
      <c r="N89" s="541">
        <f t="shared" si="32"/>
        <v>0</v>
      </c>
      <c r="O89" s="541">
        <f t="shared" si="32"/>
        <v>0</v>
      </c>
      <c r="P89" s="541">
        <f t="shared" si="32"/>
        <v>0</v>
      </c>
      <c r="Q89" s="541">
        <f t="shared" si="32"/>
        <v>0</v>
      </c>
      <c r="R89" s="541">
        <f t="shared" si="32"/>
        <v>0</v>
      </c>
      <c r="S89" s="541">
        <f t="shared" si="32"/>
        <v>0</v>
      </c>
      <c r="T89" s="541">
        <f t="shared" si="32"/>
        <v>0</v>
      </c>
      <c r="U89" s="541">
        <f t="shared" si="32"/>
        <v>0</v>
      </c>
      <c r="V89" s="541">
        <f t="shared" si="32"/>
        <v>0</v>
      </c>
      <c r="W89" s="541">
        <f t="shared" si="32"/>
        <v>0</v>
      </c>
      <c r="X89" s="541">
        <f t="shared" si="32"/>
        <v>0</v>
      </c>
      <c r="Y89" s="541">
        <f t="shared" si="32"/>
        <v>0</v>
      </c>
      <c r="Z89" s="541">
        <f t="shared" si="32"/>
        <v>0</v>
      </c>
      <c r="AA89" s="541">
        <f t="shared" si="32"/>
        <v>0</v>
      </c>
      <c r="AB89" s="541">
        <f t="shared" si="32"/>
        <v>0</v>
      </c>
      <c r="AC89" s="541">
        <f t="shared" si="32"/>
        <v>0</v>
      </c>
      <c r="AD89" s="541">
        <f t="shared" si="32"/>
        <v>0</v>
      </c>
      <c r="AE89" s="541">
        <f t="shared" si="32"/>
        <v>0</v>
      </c>
      <c r="AF89" s="541">
        <f t="shared" si="32"/>
        <v>0</v>
      </c>
      <c r="AG89" s="541">
        <f t="shared" si="32"/>
        <v>0</v>
      </c>
      <c r="AH89" s="541">
        <f t="shared" si="32"/>
        <v>0</v>
      </c>
      <c r="AI89" s="541">
        <f t="shared" si="32"/>
        <v>0</v>
      </c>
      <c r="AJ89" s="541">
        <f t="shared" si="32"/>
        <v>0</v>
      </c>
      <c r="AK89" s="541">
        <f t="shared" si="32"/>
        <v>0</v>
      </c>
      <c r="AL89" s="541">
        <f t="shared" si="32"/>
        <v>0</v>
      </c>
      <c r="AM89" s="541">
        <f t="shared" si="32"/>
        <v>0</v>
      </c>
      <c r="AN89" s="541">
        <f t="shared" si="32"/>
        <v>0</v>
      </c>
      <c r="AO89" s="541">
        <f t="shared" si="32"/>
        <v>0</v>
      </c>
      <c r="AP89" s="541">
        <f t="shared" si="32"/>
        <v>0</v>
      </c>
      <c r="AQ89" s="541">
        <f t="shared" si="32"/>
        <v>0</v>
      </c>
      <c r="AR89" s="541">
        <f t="shared" si="32"/>
        <v>0</v>
      </c>
      <c r="AS89" s="541">
        <f t="shared" si="32"/>
        <v>0</v>
      </c>
      <c r="AT89" s="541">
        <f t="shared" si="32"/>
        <v>0</v>
      </c>
      <c r="AU89" s="541">
        <f t="shared" si="32"/>
        <v>0</v>
      </c>
      <c r="AV89" s="541">
        <f t="shared" si="32"/>
        <v>0</v>
      </c>
      <c r="AW89" s="541">
        <f t="shared" si="32"/>
        <v>0</v>
      </c>
      <c r="AX89" s="541">
        <f t="shared" si="32"/>
        <v>1739.5401273193352</v>
      </c>
      <c r="AY89" s="541">
        <f t="shared" si="32"/>
        <v>1739.5401273193352</v>
      </c>
      <c r="AZ89" s="541">
        <f t="shared" si="32"/>
        <v>1739.5401273193352</v>
      </c>
      <c r="BA89" s="541">
        <f t="shared" si="32"/>
        <v>1739.5401273193352</v>
      </c>
      <c r="BB89" s="541">
        <f t="shared" si="32"/>
        <v>0</v>
      </c>
      <c r="BC89" s="541">
        <f t="shared" si="32"/>
        <v>0</v>
      </c>
      <c r="BD89" s="541">
        <f t="shared" si="32"/>
        <v>0</v>
      </c>
      <c r="BE89" s="541">
        <f t="shared" si="32"/>
        <v>0</v>
      </c>
      <c r="BF89" s="541">
        <f t="shared" si="32"/>
        <v>0</v>
      </c>
      <c r="BG89" s="541">
        <f t="shared" si="32"/>
        <v>0</v>
      </c>
      <c r="BH89" s="541">
        <f t="shared" si="32"/>
        <v>0</v>
      </c>
      <c r="BI89" s="541">
        <f t="shared" si="32"/>
        <v>0</v>
      </c>
      <c r="BJ89" s="541">
        <f t="shared" si="32"/>
        <v>0</v>
      </c>
      <c r="BK89" s="541">
        <f t="shared" si="32"/>
        <v>0</v>
      </c>
      <c r="BL89" s="541">
        <f t="shared" si="32"/>
        <v>0</v>
      </c>
      <c r="BM89" s="541">
        <f t="shared" si="32"/>
        <v>0</v>
      </c>
      <c r="BN89" s="541">
        <f t="shared" si="32"/>
        <v>0</v>
      </c>
      <c r="BO89" s="541">
        <f t="shared" si="32"/>
        <v>0</v>
      </c>
      <c r="BP89" s="541">
        <f t="shared" si="32"/>
        <v>0</v>
      </c>
      <c r="BQ89" s="541">
        <f t="shared" si="32"/>
        <v>0</v>
      </c>
      <c r="BR89" s="541">
        <f t="shared" si="32"/>
        <v>1968.1299867018984</v>
      </c>
      <c r="BS89" s="541">
        <f t="shared" si="32"/>
        <v>1968.1299867018984</v>
      </c>
      <c r="BT89" s="541">
        <f t="shared" si="32"/>
        <v>1968.1299867018984</v>
      </c>
      <c r="BU89" s="541">
        <f t="shared" si="32"/>
        <v>1968.1299867018984</v>
      </c>
      <c r="BV89" s="541">
        <f t="shared" si="32"/>
        <v>0</v>
      </c>
      <c r="BW89" s="541">
        <f t="shared" si="32"/>
        <v>0</v>
      </c>
      <c r="BX89" s="541">
        <f t="shared" si="32"/>
        <v>0</v>
      </c>
      <c r="BY89" s="541">
        <f t="shared" si="32"/>
        <v>0</v>
      </c>
      <c r="BZ89" s="541">
        <f t="shared" si="32"/>
        <v>0</v>
      </c>
      <c r="CA89" s="541">
        <f t="shared" si="32"/>
        <v>0</v>
      </c>
      <c r="CB89" s="541">
        <f t="shared" si="32"/>
        <v>0</v>
      </c>
      <c r="CC89" s="541">
        <f t="shared" si="32"/>
        <v>0</v>
      </c>
      <c r="CD89" s="541">
        <f t="shared" si="32"/>
        <v>0</v>
      </c>
      <c r="CE89" s="541">
        <f t="shared" si="32"/>
        <v>0</v>
      </c>
      <c r="CF89" s="541">
        <f t="shared" si="32"/>
        <v>0</v>
      </c>
      <c r="CG89" s="541">
        <f t="shared" si="32"/>
        <v>0</v>
      </c>
      <c r="CH89" s="541">
        <f t="shared" si="32"/>
        <v>0</v>
      </c>
      <c r="CI89" s="541">
        <f t="shared" si="32"/>
        <v>0</v>
      </c>
      <c r="CJ89" s="541">
        <f t="shared" si="32"/>
        <v>0</v>
      </c>
      <c r="CK89" s="541">
        <f t="shared" si="32"/>
        <v>0</v>
      </c>
      <c r="CL89" s="541">
        <f t="shared" si="32"/>
        <v>2226.7584309908434</v>
      </c>
      <c r="CM89" s="541">
        <f t="shared" si="32"/>
        <v>2226.7584309908434</v>
      </c>
      <c r="CN89" s="541">
        <f t="shared" si="32"/>
        <v>2226.7584309908434</v>
      </c>
      <c r="CO89" s="541">
        <f t="shared" si="32"/>
        <v>2226.7584309908434</v>
      </c>
      <c r="CP89" s="541">
        <f t="shared" si="32"/>
        <v>0</v>
      </c>
      <c r="CQ89" s="541">
        <f t="shared" si="32"/>
        <v>0</v>
      </c>
      <c r="CR89" s="541">
        <f t="shared" si="32"/>
        <v>0</v>
      </c>
      <c r="CS89" s="541">
        <f t="shared" si="32"/>
        <v>0</v>
      </c>
      <c r="CT89" s="541">
        <f t="shared" si="32"/>
        <v>0</v>
      </c>
      <c r="CU89" s="541">
        <f t="shared" si="32"/>
        <v>0</v>
      </c>
      <c r="CV89" s="541">
        <f t="shared" si="32"/>
        <v>0</v>
      </c>
      <c r="CW89" s="541">
        <f t="shared" si="32"/>
        <v>0</v>
      </c>
      <c r="CX89" s="541">
        <f t="shared" si="32"/>
        <v>0</v>
      </c>
      <c r="CY89" s="541">
        <f t="shared" si="32"/>
        <v>0</v>
      </c>
      <c r="CZ89" s="541">
        <f t="shared" si="32"/>
        <v>0</v>
      </c>
      <c r="DA89" s="541">
        <f t="shared" si="32"/>
        <v>0</v>
      </c>
      <c r="DB89" s="541">
        <f t="shared" si="32"/>
        <v>0</v>
      </c>
      <c r="DC89" s="541">
        <f t="shared" si="32"/>
        <v>0</v>
      </c>
      <c r="DD89" s="541">
        <f t="shared" si="32"/>
        <v>0</v>
      </c>
      <c r="DE89" s="541">
        <f t="shared" si="32"/>
        <v>0</v>
      </c>
      <c r="DF89" s="541">
        <f t="shared" si="32"/>
        <v>2519.3727769464808</v>
      </c>
      <c r="DG89" s="541">
        <f t="shared" si="32"/>
        <v>2519.3727769464808</v>
      </c>
      <c r="DH89" s="541">
        <f t="shared" si="32"/>
        <v>2519.3727769464808</v>
      </c>
      <c r="DI89" s="541">
        <f t="shared" si="32"/>
        <v>2519.3727769464808</v>
      </c>
      <c r="DJ89" s="541">
        <f t="shared" si="32"/>
        <v>0</v>
      </c>
      <c r="DK89" s="541">
        <f t="shared" si="32"/>
        <v>0</v>
      </c>
      <c r="DL89" s="541">
        <f t="shared" si="32"/>
        <v>0</v>
      </c>
      <c r="DM89" s="541">
        <f t="shared" si="32"/>
        <v>0</v>
      </c>
      <c r="DN89" s="541">
        <f t="shared" si="32"/>
        <v>0</v>
      </c>
      <c r="DO89" s="541">
        <f t="shared" si="32"/>
        <v>0</v>
      </c>
      <c r="DP89" s="541">
        <f t="shared" si="32"/>
        <v>0</v>
      </c>
      <c r="DQ89" s="541">
        <f t="shared" si="32"/>
        <v>0</v>
      </c>
      <c r="DR89" s="541">
        <f t="shared" si="32"/>
        <v>0</v>
      </c>
      <c r="DS89" s="541">
        <f t="shared" si="32"/>
        <v>0</v>
      </c>
      <c r="DT89" s="541">
        <f t="shared" si="32"/>
        <v>0</v>
      </c>
      <c r="DU89" s="541">
        <f t="shared" si="32"/>
        <v>0</v>
      </c>
      <c r="DV89" s="541">
        <f t="shared" si="32"/>
        <v>0</v>
      </c>
      <c r="DW89" s="541">
        <f t="shared" si="32"/>
        <v>0</v>
      </c>
      <c r="DX89" s="541">
        <f t="shared" si="32"/>
        <v>0</v>
      </c>
      <c r="DY89" s="541">
        <f t="shared" si="32"/>
        <v>0</v>
      </c>
      <c r="DZ89" s="541">
        <f t="shared" si="32"/>
        <v>0</v>
      </c>
      <c r="EA89" s="541">
        <f t="shared" si="32"/>
        <v>0</v>
      </c>
      <c r="EB89" s="541">
        <f t="shared" si="32"/>
        <v>0</v>
      </c>
      <c r="EC89" s="541">
        <f t="shared" si="32"/>
        <v>0</v>
      </c>
      <c r="ED89" s="541">
        <f t="shared" si="32"/>
        <v>0</v>
      </c>
      <c r="EE89" s="541">
        <f t="shared" si="32"/>
        <v>0</v>
      </c>
      <c r="EF89" s="541">
        <f t="shared" si="32"/>
        <v>0</v>
      </c>
      <c r="EG89" s="541">
        <f t="shared" si="32"/>
        <v>0</v>
      </c>
    </row>
    <row r="91" spans="5:137" ht="12.75">
      <c r="E91" s="538" t="str">
        <f>E$71</f>
        <v>Maintenance cost - nominal</v>
      </c>
      <c r="G91" s="539" t="str">
        <f>G$71</f>
        <v>EUR 000s</v>
      </c>
      <c r="H91" s="539">
        <f>H$71</f>
        <v>33815.205287834237</v>
      </c>
      <c r="J91" s="539">
        <f t="shared" si="33" ref="J91:EG91">J$71</f>
        <v>0</v>
      </c>
      <c r="K91" s="539">
        <f t="shared" si="33"/>
        <v>0</v>
      </c>
      <c r="L91" s="539">
        <f t="shared" si="33"/>
        <v>0</v>
      </c>
      <c r="M91" s="539">
        <f t="shared" si="33"/>
        <v>0</v>
      </c>
      <c r="N91" s="539">
        <f t="shared" si="33"/>
        <v>0</v>
      </c>
      <c r="O91" s="539">
        <f t="shared" si="33"/>
        <v>0</v>
      </c>
      <c r="P91" s="539">
        <f t="shared" si="33"/>
        <v>0</v>
      </c>
      <c r="Q91" s="539">
        <f t="shared" si="33"/>
        <v>0</v>
      </c>
      <c r="R91" s="539">
        <f t="shared" si="33"/>
        <v>0</v>
      </c>
      <c r="S91" s="539">
        <f t="shared" si="33"/>
        <v>0</v>
      </c>
      <c r="T91" s="539">
        <f t="shared" si="33"/>
        <v>0</v>
      </c>
      <c r="U91" s="539">
        <f t="shared" si="33"/>
        <v>0</v>
      </c>
      <c r="V91" s="539">
        <f t="shared" si="33"/>
        <v>0</v>
      </c>
      <c r="W91" s="539">
        <f t="shared" si="33"/>
        <v>0</v>
      </c>
      <c r="X91" s="539">
        <f t="shared" si="33"/>
        <v>0</v>
      </c>
      <c r="Y91" s="539">
        <f t="shared" si="33"/>
        <v>0</v>
      </c>
      <c r="Z91" s="539">
        <f t="shared" si="33"/>
        <v>0</v>
      </c>
      <c r="AA91" s="539">
        <f t="shared" si="33"/>
        <v>0</v>
      </c>
      <c r="AB91" s="539">
        <f t="shared" si="33"/>
        <v>0</v>
      </c>
      <c r="AC91" s="539">
        <f t="shared" si="33"/>
        <v>0</v>
      </c>
      <c r="AD91" s="539">
        <f t="shared" si="33"/>
        <v>0</v>
      </c>
      <c r="AE91" s="539">
        <f t="shared" si="33"/>
        <v>0</v>
      </c>
      <c r="AF91" s="539">
        <f t="shared" si="33"/>
        <v>0</v>
      </c>
      <c r="AG91" s="539">
        <f t="shared" si="33"/>
        <v>0</v>
      </c>
      <c r="AH91" s="539">
        <f t="shared" si="33"/>
        <v>0</v>
      </c>
      <c r="AI91" s="539">
        <f t="shared" si="33"/>
        <v>0</v>
      </c>
      <c r="AJ91" s="539">
        <f t="shared" si="33"/>
        <v>0</v>
      </c>
      <c r="AK91" s="539">
        <f t="shared" si="33"/>
        <v>0</v>
      </c>
      <c r="AL91" s="539">
        <f t="shared" si="33"/>
        <v>0</v>
      </c>
      <c r="AM91" s="539">
        <f t="shared" si="33"/>
        <v>0</v>
      </c>
      <c r="AN91" s="539">
        <f t="shared" si="33"/>
        <v>0</v>
      </c>
      <c r="AO91" s="539">
        <f t="shared" si="33"/>
        <v>0</v>
      </c>
      <c r="AP91" s="539">
        <f t="shared" si="33"/>
        <v>0</v>
      </c>
      <c r="AQ91" s="539">
        <f t="shared" si="33"/>
        <v>0</v>
      </c>
      <c r="AR91" s="539">
        <f t="shared" si="33"/>
        <v>0</v>
      </c>
      <c r="AS91" s="539">
        <f t="shared" si="33"/>
        <v>0</v>
      </c>
      <c r="AT91" s="539">
        <f t="shared" si="33"/>
        <v>0</v>
      </c>
      <c r="AU91" s="539">
        <f t="shared" si="33"/>
        <v>0</v>
      </c>
      <c r="AV91" s="539">
        <f t="shared" si="33"/>
        <v>0</v>
      </c>
      <c r="AW91" s="539">
        <f t="shared" si="33"/>
        <v>0</v>
      </c>
      <c r="AX91" s="539">
        <f t="shared" si="33"/>
        <v>1739.5401273193352</v>
      </c>
      <c r="AY91" s="539">
        <f t="shared" si="33"/>
        <v>1739.5401273193352</v>
      </c>
      <c r="AZ91" s="539">
        <f t="shared" si="33"/>
        <v>1739.5401273193352</v>
      </c>
      <c r="BA91" s="539">
        <f t="shared" si="33"/>
        <v>1739.5401273193352</v>
      </c>
      <c r="BB91" s="539">
        <f t="shared" si="33"/>
        <v>0</v>
      </c>
      <c r="BC91" s="539">
        <f t="shared" si="33"/>
        <v>0</v>
      </c>
      <c r="BD91" s="539">
        <f t="shared" si="33"/>
        <v>0</v>
      </c>
      <c r="BE91" s="539">
        <f t="shared" si="33"/>
        <v>0</v>
      </c>
      <c r="BF91" s="539">
        <f t="shared" si="33"/>
        <v>0</v>
      </c>
      <c r="BG91" s="539">
        <f t="shared" si="33"/>
        <v>0</v>
      </c>
      <c r="BH91" s="539">
        <f t="shared" si="33"/>
        <v>0</v>
      </c>
      <c r="BI91" s="539">
        <f t="shared" si="33"/>
        <v>0</v>
      </c>
      <c r="BJ91" s="539">
        <f t="shared" si="33"/>
        <v>0</v>
      </c>
      <c r="BK91" s="539">
        <f t="shared" si="33"/>
        <v>0</v>
      </c>
      <c r="BL91" s="539">
        <f t="shared" si="33"/>
        <v>0</v>
      </c>
      <c r="BM91" s="539">
        <f t="shared" si="33"/>
        <v>0</v>
      </c>
      <c r="BN91" s="539">
        <f t="shared" si="33"/>
        <v>0</v>
      </c>
      <c r="BO91" s="539">
        <f t="shared" si="33"/>
        <v>0</v>
      </c>
      <c r="BP91" s="539">
        <f t="shared" si="33"/>
        <v>0</v>
      </c>
      <c r="BQ91" s="539">
        <f t="shared" si="33"/>
        <v>0</v>
      </c>
      <c r="BR91" s="539">
        <f t="shared" si="33"/>
        <v>1968.1299867018984</v>
      </c>
      <c r="BS91" s="539">
        <f t="shared" si="33"/>
        <v>1968.1299867018984</v>
      </c>
      <c r="BT91" s="539">
        <f t="shared" si="33"/>
        <v>1968.1299867018984</v>
      </c>
      <c r="BU91" s="539">
        <f t="shared" si="33"/>
        <v>1968.1299867018984</v>
      </c>
      <c r="BV91" s="539">
        <f t="shared" si="33"/>
        <v>0</v>
      </c>
      <c r="BW91" s="539">
        <f t="shared" si="33"/>
        <v>0</v>
      </c>
      <c r="BX91" s="539">
        <f t="shared" si="33"/>
        <v>0</v>
      </c>
      <c r="BY91" s="539">
        <f t="shared" si="33"/>
        <v>0</v>
      </c>
      <c r="BZ91" s="539">
        <f t="shared" si="33"/>
        <v>0</v>
      </c>
      <c r="CA91" s="539">
        <f t="shared" si="33"/>
        <v>0</v>
      </c>
      <c r="CB91" s="539">
        <f t="shared" si="33"/>
        <v>0</v>
      </c>
      <c r="CC91" s="539">
        <f t="shared" si="33"/>
        <v>0</v>
      </c>
      <c r="CD91" s="539">
        <f t="shared" si="33"/>
        <v>0</v>
      </c>
      <c r="CE91" s="539">
        <f t="shared" si="33"/>
        <v>0</v>
      </c>
      <c r="CF91" s="539">
        <f t="shared" si="33"/>
        <v>0</v>
      </c>
      <c r="CG91" s="539">
        <f t="shared" si="33"/>
        <v>0</v>
      </c>
      <c r="CH91" s="539">
        <f t="shared" si="33"/>
        <v>0</v>
      </c>
      <c r="CI91" s="539">
        <f t="shared" si="33"/>
        <v>0</v>
      </c>
      <c r="CJ91" s="539">
        <f t="shared" si="33"/>
        <v>0</v>
      </c>
      <c r="CK91" s="539">
        <f t="shared" si="33"/>
        <v>0</v>
      </c>
      <c r="CL91" s="539">
        <f t="shared" si="33"/>
        <v>2226.7584309908434</v>
      </c>
      <c r="CM91" s="539">
        <f t="shared" si="33"/>
        <v>2226.7584309908434</v>
      </c>
      <c r="CN91" s="539">
        <f t="shared" si="33"/>
        <v>2226.7584309908434</v>
      </c>
      <c r="CO91" s="539">
        <f t="shared" si="33"/>
        <v>2226.7584309908434</v>
      </c>
      <c r="CP91" s="539">
        <f t="shared" si="33"/>
        <v>0</v>
      </c>
      <c r="CQ91" s="539">
        <f t="shared" si="33"/>
        <v>0</v>
      </c>
      <c r="CR91" s="539">
        <f t="shared" si="33"/>
        <v>0</v>
      </c>
      <c r="CS91" s="539">
        <f t="shared" si="33"/>
        <v>0</v>
      </c>
      <c r="CT91" s="539">
        <f t="shared" si="33"/>
        <v>0</v>
      </c>
      <c r="CU91" s="539">
        <f t="shared" si="33"/>
        <v>0</v>
      </c>
      <c r="CV91" s="539">
        <f t="shared" si="33"/>
        <v>0</v>
      </c>
      <c r="CW91" s="539">
        <f t="shared" si="33"/>
        <v>0</v>
      </c>
      <c r="CX91" s="539">
        <f t="shared" si="33"/>
        <v>0</v>
      </c>
      <c r="CY91" s="539">
        <f t="shared" si="33"/>
        <v>0</v>
      </c>
      <c r="CZ91" s="539">
        <f t="shared" si="33"/>
        <v>0</v>
      </c>
      <c r="DA91" s="539">
        <f t="shared" si="33"/>
        <v>0</v>
      </c>
      <c r="DB91" s="539">
        <f t="shared" si="33"/>
        <v>0</v>
      </c>
      <c r="DC91" s="539">
        <f t="shared" si="33"/>
        <v>0</v>
      </c>
      <c r="DD91" s="539">
        <f t="shared" si="33"/>
        <v>0</v>
      </c>
      <c r="DE91" s="539">
        <f t="shared" si="33"/>
        <v>0</v>
      </c>
      <c r="DF91" s="539">
        <f t="shared" si="33"/>
        <v>2519.3727769464808</v>
      </c>
      <c r="DG91" s="539">
        <f t="shared" si="33"/>
        <v>2519.3727769464808</v>
      </c>
      <c r="DH91" s="539">
        <f t="shared" si="33"/>
        <v>2519.3727769464808</v>
      </c>
      <c r="DI91" s="539">
        <f t="shared" si="33"/>
        <v>2519.3727769464808</v>
      </c>
      <c r="DJ91" s="539">
        <f t="shared" si="33"/>
        <v>0</v>
      </c>
      <c r="DK91" s="539">
        <f t="shared" si="33"/>
        <v>0</v>
      </c>
      <c r="DL91" s="539">
        <f t="shared" si="33"/>
        <v>0</v>
      </c>
      <c r="DM91" s="539">
        <f t="shared" si="33"/>
        <v>0</v>
      </c>
      <c r="DN91" s="539">
        <f t="shared" si="33"/>
        <v>0</v>
      </c>
      <c r="DO91" s="539">
        <f t="shared" si="33"/>
        <v>0</v>
      </c>
      <c r="DP91" s="539">
        <f t="shared" si="33"/>
        <v>0</v>
      </c>
      <c r="DQ91" s="539">
        <f t="shared" si="33"/>
        <v>0</v>
      </c>
      <c r="DR91" s="539">
        <f t="shared" si="33"/>
        <v>0</v>
      </c>
      <c r="DS91" s="539">
        <f t="shared" si="33"/>
        <v>0</v>
      </c>
      <c r="DT91" s="539">
        <f t="shared" si="33"/>
        <v>0</v>
      </c>
      <c r="DU91" s="539">
        <f t="shared" si="33"/>
        <v>0</v>
      </c>
      <c r="DV91" s="539">
        <f t="shared" si="33"/>
        <v>0</v>
      </c>
      <c r="DW91" s="539">
        <f t="shared" si="33"/>
        <v>0</v>
      </c>
      <c r="DX91" s="539">
        <f t="shared" si="33"/>
        <v>0</v>
      </c>
      <c r="DY91" s="539">
        <f t="shared" si="33"/>
        <v>0</v>
      </c>
      <c r="DZ91" s="539">
        <f t="shared" si="33"/>
        <v>0</v>
      </c>
      <c r="EA91" s="539">
        <f t="shared" si="33"/>
        <v>0</v>
      </c>
      <c r="EB91" s="539">
        <f t="shared" si="33"/>
        <v>0</v>
      </c>
      <c r="EC91" s="539">
        <f t="shared" si="33"/>
        <v>0</v>
      </c>
      <c r="ED91" s="539">
        <f t="shared" si="33"/>
        <v>0</v>
      </c>
      <c r="EE91" s="539">
        <f t="shared" si="33"/>
        <v>0</v>
      </c>
      <c r="EF91" s="539">
        <f t="shared" si="33"/>
        <v>0</v>
      </c>
      <c r="EG91" s="539">
        <f t="shared" si="33"/>
        <v>0</v>
      </c>
    </row>
    <row r="92" spans="5:137" ht="12.75">
      <c r="E92" s="538" t="str">
        <f>E$85</f>
        <v>MRA - opening balance</v>
      </c>
      <c r="G92" s="539" t="str">
        <f>G$85</f>
        <v>EUR 000s</v>
      </c>
      <c r="H92" s="539">
        <f>H$85</f>
        <v>135260.82115133689</v>
      </c>
      <c r="J92" s="539">
        <f t="shared" si="34" ref="J92:EG92">J$85</f>
        <v>0</v>
      </c>
      <c r="K92" s="539">
        <f t="shared" si="34"/>
        <v>0</v>
      </c>
      <c r="L92" s="539">
        <f t="shared" si="34"/>
        <v>0</v>
      </c>
      <c r="M92" s="539">
        <f t="shared" si="34"/>
        <v>0</v>
      </c>
      <c r="N92" s="539">
        <f t="shared" si="34"/>
        <v>0</v>
      </c>
      <c r="O92" s="539">
        <f t="shared" si="34"/>
        <v>0</v>
      </c>
      <c r="P92" s="539">
        <f t="shared" si="34"/>
        <v>0</v>
      </c>
      <c r="Q92" s="539">
        <f t="shared" si="34"/>
        <v>0</v>
      </c>
      <c r="R92" s="539">
        <f t="shared" si="34"/>
        <v>0</v>
      </c>
      <c r="S92" s="539">
        <f t="shared" si="34"/>
        <v>0</v>
      </c>
      <c r="T92" s="539">
        <f t="shared" si="34"/>
        <v>0</v>
      </c>
      <c r="U92" s="539">
        <f t="shared" si="34"/>
        <v>0</v>
      </c>
      <c r="V92" s="539">
        <f t="shared" si="34"/>
        <v>0</v>
      </c>
      <c r="W92" s="539">
        <f t="shared" si="34"/>
        <v>0</v>
      </c>
      <c r="X92" s="539">
        <f t="shared" si="34"/>
        <v>0</v>
      </c>
      <c r="Y92" s="539">
        <f t="shared" si="34"/>
        <v>0</v>
      </c>
      <c r="Z92" s="539">
        <f t="shared" si="34"/>
        <v>0</v>
      </c>
      <c r="AA92" s="539">
        <f t="shared" si="34"/>
        <v>0</v>
      </c>
      <c r="AB92" s="539">
        <f t="shared" si="34"/>
        <v>0</v>
      </c>
      <c r="AC92" s="539">
        <f t="shared" si="34"/>
        <v>0</v>
      </c>
      <c r="AD92" s="539">
        <f t="shared" si="34"/>
        <v>0</v>
      </c>
      <c r="AE92" s="539">
        <f t="shared" si="34"/>
        <v>0</v>
      </c>
      <c r="AF92" s="539">
        <f t="shared" si="34"/>
        <v>0</v>
      </c>
      <c r="AG92" s="539">
        <f t="shared" si="34"/>
        <v>0</v>
      </c>
      <c r="AH92" s="539">
        <f t="shared" si="34"/>
        <v>0</v>
      </c>
      <c r="AI92" s="539">
        <f t="shared" si="34"/>
        <v>0</v>
      </c>
      <c r="AJ92" s="539">
        <f t="shared" si="34"/>
        <v>0</v>
      </c>
      <c r="AK92" s="539">
        <f t="shared" si="34"/>
        <v>0</v>
      </c>
      <c r="AL92" s="539">
        <f t="shared" si="34"/>
        <v>0</v>
      </c>
      <c r="AM92" s="539">
        <f t="shared" si="34"/>
        <v>0</v>
      </c>
      <c r="AN92" s="539">
        <f t="shared" si="34"/>
        <v>0</v>
      </c>
      <c r="AO92" s="539">
        <f t="shared" si="34"/>
        <v>0</v>
      </c>
      <c r="AP92" s="539">
        <f t="shared" si="34"/>
        <v>0</v>
      </c>
      <c r="AQ92" s="539">
        <f t="shared" si="34"/>
        <v>0</v>
      </c>
      <c r="AR92" s="539">
        <f t="shared" si="34"/>
        <v>0</v>
      </c>
      <c r="AS92" s="539">
        <f t="shared" si="34"/>
        <v>0</v>
      </c>
      <c r="AT92" s="539">
        <f t="shared" si="34"/>
        <v>0</v>
      </c>
      <c r="AU92" s="539">
        <f t="shared" si="34"/>
        <v>1739.5401273193352</v>
      </c>
      <c r="AV92" s="539">
        <f t="shared" si="34"/>
        <v>3479.0802546386703</v>
      </c>
      <c r="AW92" s="539">
        <f t="shared" si="34"/>
        <v>5218.620381958006</v>
      </c>
      <c r="AX92" s="539">
        <f t="shared" si="34"/>
        <v>6958.1605092773407</v>
      </c>
      <c r="AY92" s="539">
        <f t="shared" si="34"/>
        <v>5218.620381958006</v>
      </c>
      <c r="AZ92" s="539">
        <f t="shared" si="34"/>
        <v>3479.0802546386703</v>
      </c>
      <c r="BA92" s="539">
        <f t="shared" si="34"/>
        <v>1739.5401273193352</v>
      </c>
      <c r="BB92" s="539">
        <f t="shared" si="34"/>
        <v>0</v>
      </c>
      <c r="BC92" s="539">
        <f t="shared" si="34"/>
        <v>0</v>
      </c>
      <c r="BD92" s="539">
        <f t="shared" si="34"/>
        <v>0</v>
      </c>
      <c r="BE92" s="539">
        <f t="shared" si="34"/>
        <v>0</v>
      </c>
      <c r="BF92" s="539">
        <f t="shared" si="34"/>
        <v>0</v>
      </c>
      <c r="BG92" s="539">
        <f t="shared" si="34"/>
        <v>0</v>
      </c>
      <c r="BH92" s="539">
        <f t="shared" si="34"/>
        <v>0</v>
      </c>
      <c r="BI92" s="539">
        <f t="shared" si="34"/>
        <v>0</v>
      </c>
      <c r="BJ92" s="539">
        <f t="shared" si="34"/>
        <v>0</v>
      </c>
      <c r="BK92" s="539">
        <f t="shared" si="34"/>
        <v>0</v>
      </c>
      <c r="BL92" s="539">
        <f t="shared" si="34"/>
        <v>0</v>
      </c>
      <c r="BM92" s="539">
        <f t="shared" si="34"/>
        <v>0</v>
      </c>
      <c r="BN92" s="539">
        <f t="shared" si="34"/>
        <v>0</v>
      </c>
      <c r="BO92" s="539">
        <f t="shared" si="34"/>
        <v>1968.1299867018984</v>
      </c>
      <c r="BP92" s="539">
        <f t="shared" si="34"/>
        <v>3936.2599734037967</v>
      </c>
      <c r="BQ92" s="539">
        <f t="shared" si="34"/>
        <v>5904.3899601056946</v>
      </c>
      <c r="BR92" s="539">
        <f t="shared" si="34"/>
        <v>7872.5199468075934</v>
      </c>
      <c r="BS92" s="539">
        <f t="shared" si="34"/>
        <v>5904.3899601056946</v>
      </c>
      <c r="BT92" s="539">
        <f t="shared" si="34"/>
        <v>3936.2599734037967</v>
      </c>
      <c r="BU92" s="539">
        <f t="shared" si="34"/>
        <v>1968.1299867018984</v>
      </c>
      <c r="BV92" s="539">
        <f t="shared" si="34"/>
        <v>0</v>
      </c>
      <c r="BW92" s="539">
        <f t="shared" si="34"/>
        <v>0</v>
      </c>
      <c r="BX92" s="539">
        <f t="shared" si="34"/>
        <v>0</v>
      </c>
      <c r="BY92" s="539">
        <f t="shared" si="34"/>
        <v>0</v>
      </c>
      <c r="BZ92" s="539">
        <f t="shared" si="34"/>
        <v>0</v>
      </c>
      <c r="CA92" s="539">
        <f t="shared" si="34"/>
        <v>0</v>
      </c>
      <c r="CB92" s="539">
        <f t="shared" si="34"/>
        <v>0</v>
      </c>
      <c r="CC92" s="539">
        <f t="shared" si="34"/>
        <v>0</v>
      </c>
      <c r="CD92" s="539">
        <f t="shared" si="34"/>
        <v>0</v>
      </c>
      <c r="CE92" s="539">
        <f t="shared" si="34"/>
        <v>0</v>
      </c>
      <c r="CF92" s="539">
        <f t="shared" si="34"/>
        <v>0</v>
      </c>
      <c r="CG92" s="539">
        <f t="shared" si="34"/>
        <v>0</v>
      </c>
      <c r="CH92" s="539">
        <f t="shared" si="34"/>
        <v>0</v>
      </c>
      <c r="CI92" s="539">
        <f t="shared" si="34"/>
        <v>2226.7584309908434</v>
      </c>
      <c r="CJ92" s="539">
        <f t="shared" si="34"/>
        <v>4453.5168619816868</v>
      </c>
      <c r="CK92" s="539">
        <f t="shared" si="34"/>
        <v>6680.2752929725302</v>
      </c>
      <c r="CL92" s="539">
        <f t="shared" si="34"/>
        <v>8907.0337239633736</v>
      </c>
      <c r="CM92" s="539">
        <f t="shared" si="34"/>
        <v>6680.2752929725302</v>
      </c>
      <c r="CN92" s="539">
        <f t="shared" si="34"/>
        <v>4453.5168619816868</v>
      </c>
      <c r="CO92" s="539">
        <f t="shared" si="34"/>
        <v>2226.7584309908434</v>
      </c>
      <c r="CP92" s="539">
        <f t="shared" si="34"/>
        <v>0</v>
      </c>
      <c r="CQ92" s="539">
        <f t="shared" si="34"/>
        <v>0</v>
      </c>
      <c r="CR92" s="539">
        <f t="shared" si="34"/>
        <v>0</v>
      </c>
      <c r="CS92" s="539">
        <f t="shared" si="34"/>
        <v>0</v>
      </c>
      <c r="CT92" s="539">
        <f t="shared" si="34"/>
        <v>0</v>
      </c>
      <c r="CU92" s="539">
        <f t="shared" si="34"/>
        <v>0</v>
      </c>
      <c r="CV92" s="539">
        <f t="shared" si="34"/>
        <v>0</v>
      </c>
      <c r="CW92" s="539">
        <f t="shared" si="34"/>
        <v>0</v>
      </c>
      <c r="CX92" s="539">
        <f t="shared" si="34"/>
        <v>0</v>
      </c>
      <c r="CY92" s="539">
        <f t="shared" si="34"/>
        <v>0</v>
      </c>
      <c r="CZ92" s="539">
        <f t="shared" si="34"/>
        <v>0</v>
      </c>
      <c r="DA92" s="539">
        <f t="shared" si="34"/>
        <v>0</v>
      </c>
      <c r="DB92" s="539">
        <f t="shared" si="34"/>
        <v>0</v>
      </c>
      <c r="DC92" s="539">
        <f t="shared" si="34"/>
        <v>2519.3727769464808</v>
      </c>
      <c r="DD92" s="539">
        <f t="shared" si="34"/>
        <v>5038.7455538929617</v>
      </c>
      <c r="DE92" s="539">
        <f t="shared" si="34"/>
        <v>7558.1183308394429</v>
      </c>
      <c r="DF92" s="539">
        <f t="shared" si="34"/>
        <v>10077.491107785923</v>
      </c>
      <c r="DG92" s="539">
        <f t="shared" si="34"/>
        <v>7558.1183308394429</v>
      </c>
      <c r="DH92" s="539">
        <f t="shared" si="34"/>
        <v>5038.7455538929617</v>
      </c>
      <c r="DI92" s="539">
        <f t="shared" si="34"/>
        <v>2519.3727769464808</v>
      </c>
      <c r="DJ92" s="539">
        <f t="shared" si="34"/>
        <v>0</v>
      </c>
      <c r="DK92" s="539">
        <f t="shared" si="34"/>
        <v>0</v>
      </c>
      <c r="DL92" s="539">
        <f t="shared" si="34"/>
        <v>0</v>
      </c>
      <c r="DM92" s="539">
        <f t="shared" si="34"/>
        <v>0</v>
      </c>
      <c r="DN92" s="539">
        <f t="shared" si="34"/>
        <v>0</v>
      </c>
      <c r="DO92" s="539">
        <f t="shared" si="34"/>
        <v>0</v>
      </c>
      <c r="DP92" s="539">
        <f t="shared" si="34"/>
        <v>0</v>
      </c>
      <c r="DQ92" s="539">
        <f t="shared" si="34"/>
        <v>0</v>
      </c>
      <c r="DR92" s="539">
        <f t="shared" si="34"/>
        <v>0</v>
      </c>
      <c r="DS92" s="539">
        <f t="shared" si="34"/>
        <v>0</v>
      </c>
      <c r="DT92" s="539">
        <f t="shared" si="34"/>
        <v>0</v>
      </c>
      <c r="DU92" s="539">
        <f t="shared" si="34"/>
        <v>0</v>
      </c>
      <c r="DV92" s="539">
        <f t="shared" si="34"/>
        <v>0</v>
      </c>
      <c r="DW92" s="539">
        <f t="shared" si="34"/>
        <v>0</v>
      </c>
      <c r="DX92" s="539">
        <f t="shared" si="34"/>
        <v>0</v>
      </c>
      <c r="DY92" s="539">
        <f t="shared" si="34"/>
        <v>0</v>
      </c>
      <c r="DZ92" s="539">
        <f t="shared" si="34"/>
        <v>0</v>
      </c>
      <c r="EA92" s="539">
        <f t="shared" si="34"/>
        <v>0</v>
      </c>
      <c r="EB92" s="539">
        <f t="shared" si="34"/>
        <v>0</v>
      </c>
      <c r="EC92" s="539">
        <f t="shared" si="34"/>
        <v>0</v>
      </c>
      <c r="ED92" s="539">
        <f t="shared" si="34"/>
        <v>0</v>
      </c>
      <c r="EE92" s="539">
        <f t="shared" si="34"/>
        <v>0</v>
      </c>
      <c r="EF92" s="539">
        <f t="shared" si="34"/>
        <v>0</v>
      </c>
      <c r="EG92" s="539">
        <f t="shared" si="34"/>
        <v>0</v>
      </c>
    </row>
    <row r="93" spans="5:137" ht="12.75">
      <c r="E93" s="538" t="str">
        <f>E$89</f>
        <v>MRA - draw for maintenance cost</v>
      </c>
      <c r="G93" s="539" t="str">
        <f>G$89</f>
        <v>EUR 000s</v>
      </c>
      <c r="H93" s="539">
        <f>H$89</f>
        <v>33815.205287834237</v>
      </c>
      <c r="J93" s="539">
        <f t="shared" si="35" ref="J93:EG93">J$89</f>
        <v>0</v>
      </c>
      <c r="K93" s="539">
        <f t="shared" si="35"/>
        <v>0</v>
      </c>
      <c r="L93" s="539">
        <f t="shared" si="35"/>
        <v>0</v>
      </c>
      <c r="M93" s="539">
        <f t="shared" si="35"/>
        <v>0</v>
      </c>
      <c r="N93" s="539">
        <f t="shared" si="35"/>
        <v>0</v>
      </c>
      <c r="O93" s="539">
        <f t="shared" si="35"/>
        <v>0</v>
      </c>
      <c r="P93" s="539">
        <f t="shared" si="35"/>
        <v>0</v>
      </c>
      <c r="Q93" s="539">
        <f t="shared" si="35"/>
        <v>0</v>
      </c>
      <c r="R93" s="539">
        <f t="shared" si="35"/>
        <v>0</v>
      </c>
      <c r="S93" s="539">
        <f t="shared" si="35"/>
        <v>0</v>
      </c>
      <c r="T93" s="539">
        <f t="shared" si="35"/>
        <v>0</v>
      </c>
      <c r="U93" s="539">
        <f t="shared" si="35"/>
        <v>0</v>
      </c>
      <c r="V93" s="539">
        <f t="shared" si="35"/>
        <v>0</v>
      </c>
      <c r="W93" s="539">
        <f t="shared" si="35"/>
        <v>0</v>
      </c>
      <c r="X93" s="539">
        <f t="shared" si="35"/>
        <v>0</v>
      </c>
      <c r="Y93" s="539">
        <f t="shared" si="35"/>
        <v>0</v>
      </c>
      <c r="Z93" s="539">
        <f t="shared" si="35"/>
        <v>0</v>
      </c>
      <c r="AA93" s="539">
        <f t="shared" si="35"/>
        <v>0</v>
      </c>
      <c r="AB93" s="539">
        <f t="shared" si="35"/>
        <v>0</v>
      </c>
      <c r="AC93" s="539">
        <f t="shared" si="35"/>
        <v>0</v>
      </c>
      <c r="AD93" s="539">
        <f t="shared" si="35"/>
        <v>0</v>
      </c>
      <c r="AE93" s="539">
        <f t="shared" si="35"/>
        <v>0</v>
      </c>
      <c r="AF93" s="539">
        <f t="shared" si="35"/>
        <v>0</v>
      </c>
      <c r="AG93" s="539">
        <f t="shared" si="35"/>
        <v>0</v>
      </c>
      <c r="AH93" s="539">
        <f t="shared" si="35"/>
        <v>0</v>
      </c>
      <c r="AI93" s="539">
        <f t="shared" si="35"/>
        <v>0</v>
      </c>
      <c r="AJ93" s="539">
        <f t="shared" si="35"/>
        <v>0</v>
      </c>
      <c r="AK93" s="539">
        <f t="shared" si="35"/>
        <v>0</v>
      </c>
      <c r="AL93" s="539">
        <f t="shared" si="35"/>
        <v>0</v>
      </c>
      <c r="AM93" s="539">
        <f t="shared" si="35"/>
        <v>0</v>
      </c>
      <c r="AN93" s="539">
        <f t="shared" si="35"/>
        <v>0</v>
      </c>
      <c r="AO93" s="539">
        <f t="shared" si="35"/>
        <v>0</v>
      </c>
      <c r="AP93" s="539">
        <f t="shared" si="35"/>
        <v>0</v>
      </c>
      <c r="AQ93" s="539">
        <f t="shared" si="35"/>
        <v>0</v>
      </c>
      <c r="AR93" s="539">
        <f t="shared" si="35"/>
        <v>0</v>
      </c>
      <c r="AS93" s="539">
        <f t="shared" si="35"/>
        <v>0</v>
      </c>
      <c r="AT93" s="539">
        <f t="shared" si="35"/>
        <v>0</v>
      </c>
      <c r="AU93" s="539">
        <f t="shared" si="35"/>
        <v>0</v>
      </c>
      <c r="AV93" s="539">
        <f t="shared" si="35"/>
        <v>0</v>
      </c>
      <c r="AW93" s="539">
        <f t="shared" si="35"/>
        <v>0</v>
      </c>
      <c r="AX93" s="539">
        <f t="shared" si="35"/>
        <v>1739.5401273193352</v>
      </c>
      <c r="AY93" s="539">
        <f t="shared" si="35"/>
        <v>1739.5401273193352</v>
      </c>
      <c r="AZ93" s="539">
        <f t="shared" si="35"/>
        <v>1739.5401273193352</v>
      </c>
      <c r="BA93" s="539">
        <f t="shared" si="35"/>
        <v>1739.5401273193352</v>
      </c>
      <c r="BB93" s="539">
        <f t="shared" si="35"/>
        <v>0</v>
      </c>
      <c r="BC93" s="539">
        <f t="shared" si="35"/>
        <v>0</v>
      </c>
      <c r="BD93" s="539">
        <f t="shared" si="35"/>
        <v>0</v>
      </c>
      <c r="BE93" s="539">
        <f t="shared" si="35"/>
        <v>0</v>
      </c>
      <c r="BF93" s="539">
        <f t="shared" si="35"/>
        <v>0</v>
      </c>
      <c r="BG93" s="539">
        <f t="shared" si="35"/>
        <v>0</v>
      </c>
      <c r="BH93" s="539">
        <f t="shared" si="35"/>
        <v>0</v>
      </c>
      <c r="BI93" s="539">
        <f t="shared" si="35"/>
        <v>0</v>
      </c>
      <c r="BJ93" s="539">
        <f t="shared" si="35"/>
        <v>0</v>
      </c>
      <c r="BK93" s="539">
        <f t="shared" si="35"/>
        <v>0</v>
      </c>
      <c r="BL93" s="539">
        <f t="shared" si="35"/>
        <v>0</v>
      </c>
      <c r="BM93" s="539">
        <f t="shared" si="35"/>
        <v>0</v>
      </c>
      <c r="BN93" s="539">
        <f t="shared" si="35"/>
        <v>0</v>
      </c>
      <c r="BO93" s="539">
        <f t="shared" si="35"/>
        <v>0</v>
      </c>
      <c r="BP93" s="539">
        <f t="shared" si="35"/>
        <v>0</v>
      </c>
      <c r="BQ93" s="539">
        <f t="shared" si="35"/>
        <v>0</v>
      </c>
      <c r="BR93" s="539">
        <f t="shared" si="35"/>
        <v>1968.1299867018984</v>
      </c>
      <c r="BS93" s="539">
        <f t="shared" si="35"/>
        <v>1968.1299867018984</v>
      </c>
      <c r="BT93" s="539">
        <f t="shared" si="35"/>
        <v>1968.1299867018984</v>
      </c>
      <c r="BU93" s="539">
        <f t="shared" si="35"/>
        <v>1968.1299867018984</v>
      </c>
      <c r="BV93" s="539">
        <f t="shared" si="35"/>
        <v>0</v>
      </c>
      <c r="BW93" s="539">
        <f t="shared" si="35"/>
        <v>0</v>
      </c>
      <c r="BX93" s="539">
        <f t="shared" si="35"/>
        <v>0</v>
      </c>
      <c r="BY93" s="539">
        <f t="shared" si="35"/>
        <v>0</v>
      </c>
      <c r="BZ93" s="539">
        <f t="shared" si="35"/>
        <v>0</v>
      </c>
      <c r="CA93" s="539">
        <f t="shared" si="35"/>
        <v>0</v>
      </c>
      <c r="CB93" s="539">
        <f t="shared" si="35"/>
        <v>0</v>
      </c>
      <c r="CC93" s="539">
        <f t="shared" si="35"/>
        <v>0</v>
      </c>
      <c r="CD93" s="539">
        <f t="shared" si="35"/>
        <v>0</v>
      </c>
      <c r="CE93" s="539">
        <f t="shared" si="35"/>
        <v>0</v>
      </c>
      <c r="CF93" s="539">
        <f t="shared" si="35"/>
        <v>0</v>
      </c>
      <c r="CG93" s="539">
        <f t="shared" si="35"/>
        <v>0</v>
      </c>
      <c r="CH93" s="539">
        <f t="shared" si="35"/>
        <v>0</v>
      </c>
      <c r="CI93" s="539">
        <f t="shared" si="35"/>
        <v>0</v>
      </c>
      <c r="CJ93" s="539">
        <f t="shared" si="35"/>
        <v>0</v>
      </c>
      <c r="CK93" s="539">
        <f t="shared" si="35"/>
        <v>0</v>
      </c>
      <c r="CL93" s="539">
        <f t="shared" si="35"/>
        <v>2226.7584309908434</v>
      </c>
      <c r="CM93" s="539">
        <f t="shared" si="35"/>
        <v>2226.7584309908434</v>
      </c>
      <c r="CN93" s="539">
        <f t="shared" si="35"/>
        <v>2226.7584309908434</v>
      </c>
      <c r="CO93" s="539">
        <f t="shared" si="35"/>
        <v>2226.7584309908434</v>
      </c>
      <c r="CP93" s="539">
        <f t="shared" si="35"/>
        <v>0</v>
      </c>
      <c r="CQ93" s="539">
        <f t="shared" si="35"/>
        <v>0</v>
      </c>
      <c r="CR93" s="539">
        <f t="shared" si="35"/>
        <v>0</v>
      </c>
      <c r="CS93" s="539">
        <f t="shared" si="35"/>
        <v>0</v>
      </c>
      <c r="CT93" s="539">
        <f t="shared" si="35"/>
        <v>0</v>
      </c>
      <c r="CU93" s="539">
        <f t="shared" si="35"/>
        <v>0</v>
      </c>
      <c r="CV93" s="539">
        <f t="shared" si="35"/>
        <v>0</v>
      </c>
      <c r="CW93" s="539">
        <f t="shared" si="35"/>
        <v>0</v>
      </c>
      <c r="CX93" s="539">
        <f t="shared" si="35"/>
        <v>0</v>
      </c>
      <c r="CY93" s="539">
        <f t="shared" si="35"/>
        <v>0</v>
      </c>
      <c r="CZ93" s="539">
        <f t="shared" si="35"/>
        <v>0</v>
      </c>
      <c r="DA93" s="539">
        <f t="shared" si="35"/>
        <v>0</v>
      </c>
      <c r="DB93" s="539">
        <f t="shared" si="35"/>
        <v>0</v>
      </c>
      <c r="DC93" s="539">
        <f t="shared" si="35"/>
        <v>0</v>
      </c>
      <c r="DD93" s="539">
        <f t="shared" si="35"/>
        <v>0</v>
      </c>
      <c r="DE93" s="539">
        <f t="shared" si="35"/>
        <v>0</v>
      </c>
      <c r="DF93" s="539">
        <f t="shared" si="35"/>
        <v>2519.3727769464808</v>
      </c>
      <c r="DG93" s="539">
        <f t="shared" si="35"/>
        <v>2519.3727769464808</v>
      </c>
      <c r="DH93" s="539">
        <f t="shared" si="35"/>
        <v>2519.3727769464808</v>
      </c>
      <c r="DI93" s="539">
        <f t="shared" si="35"/>
        <v>2519.3727769464808</v>
      </c>
      <c r="DJ93" s="539">
        <f t="shared" si="35"/>
        <v>0</v>
      </c>
      <c r="DK93" s="539">
        <f t="shared" si="35"/>
        <v>0</v>
      </c>
      <c r="DL93" s="539">
        <f t="shared" si="35"/>
        <v>0</v>
      </c>
      <c r="DM93" s="539">
        <f t="shared" si="35"/>
        <v>0</v>
      </c>
      <c r="DN93" s="539">
        <f t="shared" si="35"/>
        <v>0</v>
      </c>
      <c r="DO93" s="539">
        <f t="shared" si="35"/>
        <v>0</v>
      </c>
      <c r="DP93" s="539">
        <f t="shared" si="35"/>
        <v>0</v>
      </c>
      <c r="DQ93" s="539">
        <f t="shared" si="35"/>
        <v>0</v>
      </c>
      <c r="DR93" s="539">
        <f t="shared" si="35"/>
        <v>0</v>
      </c>
      <c r="DS93" s="539">
        <f t="shared" si="35"/>
        <v>0</v>
      </c>
      <c r="DT93" s="539">
        <f t="shared" si="35"/>
        <v>0</v>
      </c>
      <c r="DU93" s="539">
        <f t="shared" si="35"/>
        <v>0</v>
      </c>
      <c r="DV93" s="539">
        <f t="shared" si="35"/>
        <v>0</v>
      </c>
      <c r="DW93" s="539">
        <f t="shared" si="35"/>
        <v>0</v>
      </c>
      <c r="DX93" s="539">
        <f t="shared" si="35"/>
        <v>0</v>
      </c>
      <c r="DY93" s="539">
        <f t="shared" si="35"/>
        <v>0</v>
      </c>
      <c r="DZ93" s="539">
        <f t="shared" si="35"/>
        <v>0</v>
      </c>
      <c r="EA93" s="539">
        <f t="shared" si="35"/>
        <v>0</v>
      </c>
      <c r="EB93" s="539">
        <f t="shared" si="35"/>
        <v>0</v>
      </c>
      <c r="EC93" s="539">
        <f t="shared" si="35"/>
        <v>0</v>
      </c>
      <c r="ED93" s="539">
        <f t="shared" si="35"/>
        <v>0</v>
      </c>
      <c r="EE93" s="539">
        <f t="shared" si="35"/>
        <v>0</v>
      </c>
      <c r="EF93" s="539">
        <f t="shared" si="35"/>
        <v>0</v>
      </c>
      <c r="EG93" s="539">
        <f t="shared" si="35"/>
        <v>0</v>
      </c>
    </row>
    <row r="94" spans="5:137" ht="12.75">
      <c r="E94" s="540" t="s">
        <v>381</v>
      </c>
      <c r="G94" s="541" t="s">
        <v>30</v>
      </c>
      <c r="H94" s="541">
        <f>SUM(J94:EG94)</f>
        <v>0</v>
      </c>
      <c r="J94" s="541">
        <f t="shared" si="36" ref="J94:EG94">J91-J93</f>
        <v>0</v>
      </c>
      <c r="K94" s="541">
        <f t="shared" si="36"/>
        <v>0</v>
      </c>
      <c r="L94" s="541">
        <f t="shared" si="36"/>
        <v>0</v>
      </c>
      <c r="M94" s="541">
        <f t="shared" si="36"/>
        <v>0</v>
      </c>
      <c r="N94" s="541">
        <f t="shared" si="36"/>
        <v>0</v>
      </c>
      <c r="O94" s="541">
        <f t="shared" si="36"/>
        <v>0</v>
      </c>
      <c r="P94" s="541">
        <f t="shared" si="36"/>
        <v>0</v>
      </c>
      <c r="Q94" s="541">
        <f t="shared" si="36"/>
        <v>0</v>
      </c>
      <c r="R94" s="541">
        <f t="shared" si="36"/>
        <v>0</v>
      </c>
      <c r="S94" s="541">
        <f t="shared" si="36"/>
        <v>0</v>
      </c>
      <c r="T94" s="541">
        <f t="shared" si="36"/>
        <v>0</v>
      </c>
      <c r="U94" s="541">
        <f t="shared" si="36"/>
        <v>0</v>
      </c>
      <c r="V94" s="541">
        <f t="shared" si="36"/>
        <v>0</v>
      </c>
      <c r="W94" s="541">
        <f t="shared" si="36"/>
        <v>0</v>
      </c>
      <c r="X94" s="541">
        <f t="shared" si="36"/>
        <v>0</v>
      </c>
      <c r="Y94" s="541">
        <f t="shared" si="36"/>
        <v>0</v>
      </c>
      <c r="Z94" s="541">
        <f t="shared" si="36"/>
        <v>0</v>
      </c>
      <c r="AA94" s="541">
        <f t="shared" si="36"/>
        <v>0</v>
      </c>
      <c r="AB94" s="541">
        <f t="shared" si="36"/>
        <v>0</v>
      </c>
      <c r="AC94" s="541">
        <f t="shared" si="36"/>
        <v>0</v>
      </c>
      <c r="AD94" s="541">
        <f t="shared" si="36"/>
        <v>0</v>
      </c>
      <c r="AE94" s="541">
        <f t="shared" si="36"/>
        <v>0</v>
      </c>
      <c r="AF94" s="541">
        <f t="shared" si="36"/>
        <v>0</v>
      </c>
      <c r="AG94" s="541">
        <f t="shared" si="36"/>
        <v>0</v>
      </c>
      <c r="AH94" s="541">
        <f t="shared" si="36"/>
        <v>0</v>
      </c>
      <c r="AI94" s="541">
        <f t="shared" si="36"/>
        <v>0</v>
      </c>
      <c r="AJ94" s="541">
        <f t="shared" si="36"/>
        <v>0</v>
      </c>
      <c r="AK94" s="541">
        <f t="shared" si="36"/>
        <v>0</v>
      </c>
      <c r="AL94" s="541">
        <f t="shared" si="36"/>
        <v>0</v>
      </c>
      <c r="AM94" s="541">
        <f t="shared" si="36"/>
        <v>0</v>
      </c>
      <c r="AN94" s="541">
        <f t="shared" si="36"/>
        <v>0</v>
      </c>
      <c r="AO94" s="541">
        <f t="shared" si="36"/>
        <v>0</v>
      </c>
      <c r="AP94" s="541">
        <f t="shared" si="36"/>
        <v>0</v>
      </c>
      <c r="AQ94" s="541">
        <f t="shared" si="36"/>
        <v>0</v>
      </c>
      <c r="AR94" s="541">
        <f t="shared" si="36"/>
        <v>0</v>
      </c>
      <c r="AS94" s="541">
        <f t="shared" si="36"/>
        <v>0</v>
      </c>
      <c r="AT94" s="541">
        <f t="shared" si="36"/>
        <v>0</v>
      </c>
      <c r="AU94" s="541">
        <f t="shared" si="36"/>
        <v>0</v>
      </c>
      <c r="AV94" s="541">
        <f t="shared" si="36"/>
        <v>0</v>
      </c>
      <c r="AW94" s="541">
        <f t="shared" si="36"/>
        <v>0</v>
      </c>
      <c r="AX94" s="541">
        <f t="shared" si="36"/>
        <v>0</v>
      </c>
      <c r="AY94" s="541">
        <f t="shared" si="36"/>
        <v>0</v>
      </c>
      <c r="AZ94" s="541">
        <f t="shared" si="36"/>
        <v>0</v>
      </c>
      <c r="BA94" s="541">
        <f t="shared" si="36"/>
        <v>0</v>
      </c>
      <c r="BB94" s="541">
        <f t="shared" si="36"/>
        <v>0</v>
      </c>
      <c r="BC94" s="541">
        <f t="shared" si="36"/>
        <v>0</v>
      </c>
      <c r="BD94" s="541">
        <f t="shared" si="36"/>
        <v>0</v>
      </c>
      <c r="BE94" s="541">
        <f t="shared" si="36"/>
        <v>0</v>
      </c>
      <c r="BF94" s="541">
        <f t="shared" si="36"/>
        <v>0</v>
      </c>
      <c r="BG94" s="541">
        <f t="shared" si="36"/>
        <v>0</v>
      </c>
      <c r="BH94" s="541">
        <f t="shared" si="36"/>
        <v>0</v>
      </c>
      <c r="BI94" s="541">
        <f t="shared" si="36"/>
        <v>0</v>
      </c>
      <c r="BJ94" s="541">
        <f t="shared" si="36"/>
        <v>0</v>
      </c>
      <c r="BK94" s="541">
        <f t="shared" si="36"/>
        <v>0</v>
      </c>
      <c r="BL94" s="541">
        <f t="shared" si="36"/>
        <v>0</v>
      </c>
      <c r="BM94" s="541">
        <f t="shared" si="36"/>
        <v>0</v>
      </c>
      <c r="BN94" s="541">
        <f t="shared" si="36"/>
        <v>0</v>
      </c>
      <c r="BO94" s="541">
        <f t="shared" si="36"/>
        <v>0</v>
      </c>
      <c r="BP94" s="541">
        <f t="shared" si="36"/>
        <v>0</v>
      </c>
      <c r="BQ94" s="541">
        <f t="shared" si="36"/>
        <v>0</v>
      </c>
      <c r="BR94" s="541">
        <f t="shared" si="36"/>
        <v>0</v>
      </c>
      <c r="BS94" s="541">
        <f t="shared" si="36"/>
        <v>0</v>
      </c>
      <c r="BT94" s="541">
        <f t="shared" si="36"/>
        <v>0</v>
      </c>
      <c r="BU94" s="541">
        <f t="shared" si="36"/>
        <v>0</v>
      </c>
      <c r="BV94" s="541">
        <f t="shared" si="36"/>
        <v>0</v>
      </c>
      <c r="BW94" s="541">
        <f t="shared" si="36"/>
        <v>0</v>
      </c>
      <c r="BX94" s="541">
        <f t="shared" si="36"/>
        <v>0</v>
      </c>
      <c r="BY94" s="541">
        <f t="shared" si="36"/>
        <v>0</v>
      </c>
      <c r="BZ94" s="541">
        <f t="shared" si="36"/>
        <v>0</v>
      </c>
      <c r="CA94" s="541">
        <f t="shared" si="36"/>
        <v>0</v>
      </c>
      <c r="CB94" s="541">
        <f t="shared" si="36"/>
        <v>0</v>
      </c>
      <c r="CC94" s="541">
        <f t="shared" si="36"/>
        <v>0</v>
      </c>
      <c r="CD94" s="541">
        <f t="shared" si="36"/>
        <v>0</v>
      </c>
      <c r="CE94" s="541">
        <f t="shared" si="36"/>
        <v>0</v>
      </c>
      <c r="CF94" s="541">
        <f t="shared" si="36"/>
        <v>0</v>
      </c>
      <c r="CG94" s="541">
        <f t="shared" si="36"/>
        <v>0</v>
      </c>
      <c r="CH94" s="541">
        <f t="shared" si="36"/>
        <v>0</v>
      </c>
      <c r="CI94" s="541">
        <f t="shared" si="36"/>
        <v>0</v>
      </c>
      <c r="CJ94" s="541">
        <f t="shared" si="36"/>
        <v>0</v>
      </c>
      <c r="CK94" s="541">
        <f t="shared" si="36"/>
        <v>0</v>
      </c>
      <c r="CL94" s="541">
        <f t="shared" si="36"/>
        <v>0</v>
      </c>
      <c r="CM94" s="541">
        <f t="shared" si="36"/>
        <v>0</v>
      </c>
      <c r="CN94" s="541">
        <f t="shared" si="36"/>
        <v>0</v>
      </c>
      <c r="CO94" s="541">
        <f t="shared" si="36"/>
        <v>0</v>
      </c>
      <c r="CP94" s="541">
        <f t="shared" si="36"/>
        <v>0</v>
      </c>
      <c r="CQ94" s="541">
        <f t="shared" si="36"/>
        <v>0</v>
      </c>
      <c r="CR94" s="541">
        <f t="shared" si="36"/>
        <v>0</v>
      </c>
      <c r="CS94" s="541">
        <f t="shared" si="36"/>
        <v>0</v>
      </c>
      <c r="CT94" s="541">
        <f t="shared" si="36"/>
        <v>0</v>
      </c>
      <c r="CU94" s="541">
        <f t="shared" si="36"/>
        <v>0</v>
      </c>
      <c r="CV94" s="541">
        <f t="shared" si="36"/>
        <v>0</v>
      </c>
      <c r="CW94" s="541">
        <f t="shared" si="36"/>
        <v>0</v>
      </c>
      <c r="CX94" s="541">
        <f t="shared" si="36"/>
        <v>0</v>
      </c>
      <c r="CY94" s="541">
        <f t="shared" si="36"/>
        <v>0</v>
      </c>
      <c r="CZ94" s="541">
        <f t="shared" si="36"/>
        <v>0</v>
      </c>
      <c r="DA94" s="541">
        <f t="shared" si="36"/>
        <v>0</v>
      </c>
      <c r="DB94" s="541">
        <f t="shared" si="36"/>
        <v>0</v>
      </c>
      <c r="DC94" s="541">
        <f t="shared" si="36"/>
        <v>0</v>
      </c>
      <c r="DD94" s="541">
        <f t="shared" si="36"/>
        <v>0</v>
      </c>
      <c r="DE94" s="541">
        <f t="shared" si="36"/>
        <v>0</v>
      </c>
      <c r="DF94" s="541">
        <f t="shared" si="36"/>
        <v>0</v>
      </c>
      <c r="DG94" s="541">
        <f t="shared" si="36"/>
        <v>0</v>
      </c>
      <c r="DH94" s="541">
        <f t="shared" si="36"/>
        <v>0</v>
      </c>
      <c r="DI94" s="541">
        <f t="shared" si="36"/>
        <v>0</v>
      </c>
      <c r="DJ94" s="541">
        <f t="shared" si="36"/>
        <v>0</v>
      </c>
      <c r="DK94" s="541">
        <f t="shared" si="36"/>
        <v>0</v>
      </c>
      <c r="DL94" s="541">
        <f t="shared" si="36"/>
        <v>0</v>
      </c>
      <c r="DM94" s="541">
        <f t="shared" si="36"/>
        <v>0</v>
      </c>
      <c r="DN94" s="541">
        <f t="shared" si="36"/>
        <v>0</v>
      </c>
      <c r="DO94" s="541">
        <f t="shared" si="36"/>
        <v>0</v>
      </c>
      <c r="DP94" s="541">
        <f t="shared" si="36"/>
        <v>0</v>
      </c>
      <c r="DQ94" s="541">
        <f t="shared" si="36"/>
        <v>0</v>
      </c>
      <c r="DR94" s="541">
        <f t="shared" si="36"/>
        <v>0</v>
      </c>
      <c r="DS94" s="541">
        <f t="shared" si="36"/>
        <v>0</v>
      </c>
      <c r="DT94" s="541">
        <f t="shared" si="36"/>
        <v>0</v>
      </c>
      <c r="DU94" s="541">
        <f t="shared" si="36"/>
        <v>0</v>
      </c>
      <c r="DV94" s="541">
        <f t="shared" si="36"/>
        <v>0</v>
      </c>
      <c r="DW94" s="541">
        <f t="shared" si="36"/>
        <v>0</v>
      </c>
      <c r="DX94" s="541">
        <f t="shared" si="36"/>
        <v>0</v>
      </c>
      <c r="DY94" s="541">
        <f t="shared" si="36"/>
        <v>0</v>
      </c>
      <c r="DZ94" s="541">
        <f t="shared" si="36"/>
        <v>0</v>
      </c>
      <c r="EA94" s="541">
        <f t="shared" si="36"/>
        <v>0</v>
      </c>
      <c r="EB94" s="541">
        <f t="shared" si="36"/>
        <v>0</v>
      </c>
      <c r="EC94" s="541">
        <f t="shared" si="36"/>
        <v>0</v>
      </c>
      <c r="ED94" s="541">
        <f t="shared" si="36"/>
        <v>0</v>
      </c>
      <c r="EE94" s="541">
        <f t="shared" si="36"/>
        <v>0</v>
      </c>
      <c r="EF94" s="541">
        <f t="shared" si="36"/>
        <v>0</v>
      </c>
      <c r="EG94" s="541">
        <f t="shared" si="36"/>
        <v>0</v>
      </c>
    </row>
    <row r="95" spans="5:137" ht="12.75">
      <c r="E95" s="538" t="s">
        <v>382</v>
      </c>
      <c r="G95" s="539" t="s">
        <v>30</v>
      </c>
      <c r="H95" s="539">
        <f>SUM(J95:EG95)</f>
        <v>101445.61586350267</v>
      </c>
      <c r="J95" s="539">
        <f t="shared" si="37" ref="J95:EG95">J92-J93</f>
        <v>0</v>
      </c>
      <c r="K95" s="539">
        <f t="shared" si="37"/>
        <v>0</v>
      </c>
      <c r="L95" s="539">
        <f t="shared" si="37"/>
        <v>0</v>
      </c>
      <c r="M95" s="539">
        <f t="shared" si="37"/>
        <v>0</v>
      </c>
      <c r="N95" s="539">
        <f t="shared" si="37"/>
        <v>0</v>
      </c>
      <c r="O95" s="539">
        <f t="shared" si="37"/>
        <v>0</v>
      </c>
      <c r="P95" s="539">
        <f t="shared" si="37"/>
        <v>0</v>
      </c>
      <c r="Q95" s="539">
        <f t="shared" si="37"/>
        <v>0</v>
      </c>
      <c r="R95" s="539">
        <f t="shared" si="37"/>
        <v>0</v>
      </c>
      <c r="S95" s="539">
        <f t="shared" si="37"/>
        <v>0</v>
      </c>
      <c r="T95" s="539">
        <f t="shared" si="37"/>
        <v>0</v>
      </c>
      <c r="U95" s="539">
        <f t="shared" si="37"/>
        <v>0</v>
      </c>
      <c r="V95" s="539">
        <f t="shared" si="37"/>
        <v>0</v>
      </c>
      <c r="W95" s="539">
        <f t="shared" si="37"/>
        <v>0</v>
      </c>
      <c r="X95" s="539">
        <f t="shared" si="37"/>
        <v>0</v>
      </c>
      <c r="Y95" s="539">
        <f t="shared" si="37"/>
        <v>0</v>
      </c>
      <c r="Z95" s="539">
        <f t="shared" si="37"/>
        <v>0</v>
      </c>
      <c r="AA95" s="539">
        <f t="shared" si="37"/>
        <v>0</v>
      </c>
      <c r="AB95" s="539">
        <f t="shared" si="37"/>
        <v>0</v>
      </c>
      <c r="AC95" s="539">
        <f t="shared" si="37"/>
        <v>0</v>
      </c>
      <c r="AD95" s="539">
        <f t="shared" si="37"/>
        <v>0</v>
      </c>
      <c r="AE95" s="539">
        <f t="shared" si="37"/>
        <v>0</v>
      </c>
      <c r="AF95" s="539">
        <f t="shared" si="37"/>
        <v>0</v>
      </c>
      <c r="AG95" s="539">
        <f t="shared" si="37"/>
        <v>0</v>
      </c>
      <c r="AH95" s="539">
        <f t="shared" si="37"/>
        <v>0</v>
      </c>
      <c r="AI95" s="539">
        <f t="shared" si="37"/>
        <v>0</v>
      </c>
      <c r="AJ95" s="539">
        <f t="shared" si="37"/>
        <v>0</v>
      </c>
      <c r="AK95" s="539">
        <f t="shared" si="37"/>
        <v>0</v>
      </c>
      <c r="AL95" s="539">
        <f t="shared" si="37"/>
        <v>0</v>
      </c>
      <c r="AM95" s="539">
        <f t="shared" si="37"/>
        <v>0</v>
      </c>
      <c r="AN95" s="539">
        <f t="shared" si="37"/>
        <v>0</v>
      </c>
      <c r="AO95" s="539">
        <f t="shared" si="37"/>
        <v>0</v>
      </c>
      <c r="AP95" s="539">
        <f t="shared" si="37"/>
        <v>0</v>
      </c>
      <c r="AQ95" s="539">
        <f t="shared" si="37"/>
        <v>0</v>
      </c>
      <c r="AR95" s="539">
        <f t="shared" si="37"/>
        <v>0</v>
      </c>
      <c r="AS95" s="539">
        <f t="shared" si="37"/>
        <v>0</v>
      </c>
      <c r="AT95" s="539">
        <f t="shared" si="37"/>
        <v>0</v>
      </c>
      <c r="AU95" s="539">
        <f t="shared" si="37"/>
        <v>1739.5401273193352</v>
      </c>
      <c r="AV95" s="539">
        <f t="shared" si="37"/>
        <v>3479.0802546386703</v>
      </c>
      <c r="AW95" s="539">
        <f t="shared" si="37"/>
        <v>5218.620381958006</v>
      </c>
      <c r="AX95" s="539">
        <f t="shared" si="37"/>
        <v>5218.620381958006</v>
      </c>
      <c r="AY95" s="539">
        <f t="shared" si="37"/>
        <v>3479.0802546386708</v>
      </c>
      <c r="AZ95" s="539">
        <f t="shared" si="37"/>
        <v>1739.5401273193352</v>
      </c>
      <c r="BA95" s="539">
        <f t="shared" si="37"/>
        <v>0</v>
      </c>
      <c r="BB95" s="539">
        <f t="shared" si="37"/>
        <v>0</v>
      </c>
      <c r="BC95" s="539">
        <f t="shared" si="37"/>
        <v>0</v>
      </c>
      <c r="BD95" s="539">
        <f t="shared" si="37"/>
        <v>0</v>
      </c>
      <c r="BE95" s="539">
        <f t="shared" si="37"/>
        <v>0</v>
      </c>
      <c r="BF95" s="539">
        <f t="shared" si="37"/>
        <v>0</v>
      </c>
      <c r="BG95" s="539">
        <f t="shared" si="37"/>
        <v>0</v>
      </c>
      <c r="BH95" s="539">
        <f t="shared" si="37"/>
        <v>0</v>
      </c>
      <c r="BI95" s="539">
        <f t="shared" si="37"/>
        <v>0</v>
      </c>
      <c r="BJ95" s="539">
        <f t="shared" si="37"/>
        <v>0</v>
      </c>
      <c r="BK95" s="539">
        <f t="shared" si="37"/>
        <v>0</v>
      </c>
      <c r="BL95" s="539">
        <f t="shared" si="37"/>
        <v>0</v>
      </c>
      <c r="BM95" s="539">
        <f t="shared" si="37"/>
        <v>0</v>
      </c>
      <c r="BN95" s="539">
        <f t="shared" si="37"/>
        <v>0</v>
      </c>
      <c r="BO95" s="539">
        <f t="shared" si="37"/>
        <v>1968.1299867018984</v>
      </c>
      <c r="BP95" s="539">
        <f t="shared" si="37"/>
        <v>3936.2599734037967</v>
      </c>
      <c r="BQ95" s="539">
        <f t="shared" si="37"/>
        <v>5904.3899601056946</v>
      </c>
      <c r="BR95" s="539">
        <f t="shared" si="37"/>
        <v>5904.3899601056946</v>
      </c>
      <c r="BS95" s="539">
        <f t="shared" si="37"/>
        <v>3936.2599734037963</v>
      </c>
      <c r="BT95" s="539">
        <f t="shared" si="37"/>
        <v>1968.1299867018984</v>
      </c>
      <c r="BU95" s="539">
        <f t="shared" si="37"/>
        <v>0</v>
      </c>
      <c r="BV95" s="539">
        <f t="shared" si="37"/>
        <v>0</v>
      </c>
      <c r="BW95" s="539">
        <f t="shared" si="37"/>
        <v>0</v>
      </c>
      <c r="BX95" s="539">
        <f t="shared" si="37"/>
        <v>0</v>
      </c>
      <c r="BY95" s="539">
        <f t="shared" si="37"/>
        <v>0</v>
      </c>
      <c r="BZ95" s="539">
        <f t="shared" si="37"/>
        <v>0</v>
      </c>
      <c r="CA95" s="539">
        <f t="shared" si="37"/>
        <v>0</v>
      </c>
      <c r="CB95" s="539">
        <f t="shared" si="37"/>
        <v>0</v>
      </c>
      <c r="CC95" s="539">
        <f t="shared" si="37"/>
        <v>0</v>
      </c>
      <c r="CD95" s="539">
        <f t="shared" si="37"/>
        <v>0</v>
      </c>
      <c r="CE95" s="539">
        <f t="shared" si="37"/>
        <v>0</v>
      </c>
      <c r="CF95" s="539">
        <f t="shared" si="37"/>
        <v>0</v>
      </c>
      <c r="CG95" s="539">
        <f t="shared" si="37"/>
        <v>0</v>
      </c>
      <c r="CH95" s="539">
        <f t="shared" si="37"/>
        <v>0</v>
      </c>
      <c r="CI95" s="539">
        <f t="shared" si="37"/>
        <v>2226.7584309908434</v>
      </c>
      <c r="CJ95" s="539">
        <f t="shared" si="37"/>
        <v>4453.5168619816868</v>
      </c>
      <c r="CK95" s="539">
        <f t="shared" si="37"/>
        <v>6680.2752929725302</v>
      </c>
      <c r="CL95" s="539">
        <f t="shared" si="37"/>
        <v>6680.2752929725302</v>
      </c>
      <c r="CM95" s="539">
        <f t="shared" si="37"/>
        <v>4453.5168619816868</v>
      </c>
      <c r="CN95" s="539">
        <f t="shared" si="37"/>
        <v>2226.7584309908434</v>
      </c>
      <c r="CO95" s="539">
        <f t="shared" si="37"/>
        <v>0</v>
      </c>
      <c r="CP95" s="539">
        <f t="shared" si="37"/>
        <v>0</v>
      </c>
      <c r="CQ95" s="539">
        <f t="shared" si="37"/>
        <v>0</v>
      </c>
      <c r="CR95" s="539">
        <f t="shared" si="37"/>
        <v>0</v>
      </c>
      <c r="CS95" s="539">
        <f t="shared" si="37"/>
        <v>0</v>
      </c>
      <c r="CT95" s="539">
        <f t="shared" si="37"/>
        <v>0</v>
      </c>
      <c r="CU95" s="539">
        <f t="shared" si="37"/>
        <v>0</v>
      </c>
      <c r="CV95" s="539">
        <f t="shared" si="37"/>
        <v>0</v>
      </c>
      <c r="CW95" s="539">
        <f t="shared" si="37"/>
        <v>0</v>
      </c>
      <c r="CX95" s="539">
        <f t="shared" si="37"/>
        <v>0</v>
      </c>
      <c r="CY95" s="539">
        <f t="shared" si="37"/>
        <v>0</v>
      </c>
      <c r="CZ95" s="539">
        <f t="shared" si="37"/>
        <v>0</v>
      </c>
      <c r="DA95" s="539">
        <f t="shared" si="37"/>
        <v>0</v>
      </c>
      <c r="DB95" s="539">
        <f t="shared" si="37"/>
        <v>0</v>
      </c>
      <c r="DC95" s="539">
        <f t="shared" si="37"/>
        <v>2519.3727769464808</v>
      </c>
      <c r="DD95" s="539">
        <f t="shared" si="37"/>
        <v>5038.7455538929617</v>
      </c>
      <c r="DE95" s="539">
        <f t="shared" si="37"/>
        <v>7558.1183308394429</v>
      </c>
      <c r="DF95" s="539">
        <f t="shared" si="37"/>
        <v>7558.1183308394429</v>
      </c>
      <c r="DG95" s="539">
        <f t="shared" si="37"/>
        <v>5038.7455538929626</v>
      </c>
      <c r="DH95" s="539">
        <f t="shared" si="37"/>
        <v>2519.3727769464808</v>
      </c>
      <c r="DI95" s="539">
        <f t="shared" si="37"/>
        <v>0</v>
      </c>
      <c r="DJ95" s="539">
        <f t="shared" si="37"/>
        <v>0</v>
      </c>
      <c r="DK95" s="539">
        <f t="shared" si="37"/>
        <v>0</v>
      </c>
      <c r="DL95" s="539">
        <f t="shared" si="37"/>
        <v>0</v>
      </c>
      <c r="DM95" s="539">
        <f t="shared" si="37"/>
        <v>0</v>
      </c>
      <c r="DN95" s="539">
        <f t="shared" si="37"/>
        <v>0</v>
      </c>
      <c r="DO95" s="539">
        <f t="shared" si="37"/>
        <v>0</v>
      </c>
      <c r="DP95" s="539">
        <f t="shared" si="37"/>
        <v>0</v>
      </c>
      <c r="DQ95" s="539">
        <f t="shared" si="37"/>
        <v>0</v>
      </c>
      <c r="DR95" s="539">
        <f t="shared" si="37"/>
        <v>0</v>
      </c>
      <c r="DS95" s="539">
        <f t="shared" si="37"/>
        <v>0</v>
      </c>
      <c r="DT95" s="539">
        <f t="shared" si="37"/>
        <v>0</v>
      </c>
      <c r="DU95" s="539">
        <f t="shared" si="37"/>
        <v>0</v>
      </c>
      <c r="DV95" s="539">
        <f t="shared" si="37"/>
        <v>0</v>
      </c>
      <c r="DW95" s="539">
        <f t="shared" si="37"/>
        <v>0</v>
      </c>
      <c r="DX95" s="539">
        <f t="shared" si="37"/>
        <v>0</v>
      </c>
      <c r="DY95" s="539">
        <f t="shared" si="37"/>
        <v>0</v>
      </c>
      <c r="DZ95" s="539">
        <f t="shared" si="37"/>
        <v>0</v>
      </c>
      <c r="EA95" s="539">
        <f t="shared" si="37"/>
        <v>0</v>
      </c>
      <c r="EB95" s="539">
        <f t="shared" si="37"/>
        <v>0</v>
      </c>
      <c r="EC95" s="539">
        <f t="shared" si="37"/>
        <v>0</v>
      </c>
      <c r="ED95" s="539">
        <f t="shared" si="37"/>
        <v>0</v>
      </c>
      <c r="EE95" s="539">
        <f t="shared" si="37"/>
        <v>0</v>
      </c>
      <c r="EF95" s="539">
        <f t="shared" si="37"/>
        <v>0</v>
      </c>
      <c r="EG95" s="539">
        <f t="shared" si="37"/>
        <v>0</v>
      </c>
    </row>
    <row r="97" spans="2:2" ht="12.75">
      <c r="B97" s="534" t="s">
        <v>370</v>
      </c>
    </row>
    <row r="98" spans="5:137" ht="12.75">
      <c r="E98" s="538" t="str">
        <f>E$78</f>
        <v>MRA - balance target</v>
      </c>
      <c r="G98" s="539" t="str">
        <f>G$78</f>
        <v>EUR 000s</v>
      </c>
      <c r="H98" s="539">
        <f>H$78</f>
        <v>135260.82115133689</v>
      </c>
      <c r="J98" s="539">
        <f t="shared" si="38" ref="J98:EG98">J$78</f>
        <v>0</v>
      </c>
      <c r="K98" s="539">
        <f t="shared" si="38"/>
        <v>0</v>
      </c>
      <c r="L98" s="539">
        <f t="shared" si="38"/>
        <v>0</v>
      </c>
      <c r="M98" s="539">
        <f t="shared" si="38"/>
        <v>0</v>
      </c>
      <c r="N98" s="539">
        <f t="shared" si="38"/>
        <v>0</v>
      </c>
      <c r="O98" s="539">
        <f t="shared" si="38"/>
        <v>0</v>
      </c>
      <c r="P98" s="539">
        <f t="shared" si="38"/>
        <v>0</v>
      </c>
      <c r="Q98" s="539">
        <f t="shared" si="38"/>
        <v>0</v>
      </c>
      <c r="R98" s="539">
        <f t="shared" si="38"/>
        <v>0</v>
      </c>
      <c r="S98" s="539">
        <f t="shared" si="38"/>
        <v>0</v>
      </c>
      <c r="T98" s="539">
        <f t="shared" si="38"/>
        <v>0</v>
      </c>
      <c r="U98" s="539">
        <f t="shared" si="38"/>
        <v>0</v>
      </c>
      <c r="V98" s="539">
        <f t="shared" si="38"/>
        <v>0</v>
      </c>
      <c r="W98" s="539">
        <f t="shared" si="38"/>
        <v>0</v>
      </c>
      <c r="X98" s="539">
        <f t="shared" si="38"/>
        <v>0</v>
      </c>
      <c r="Y98" s="539">
        <f t="shared" si="38"/>
        <v>0</v>
      </c>
      <c r="Z98" s="539">
        <f t="shared" si="38"/>
        <v>0</v>
      </c>
      <c r="AA98" s="539">
        <f t="shared" si="38"/>
        <v>0</v>
      </c>
      <c r="AB98" s="539">
        <f t="shared" si="38"/>
        <v>0</v>
      </c>
      <c r="AC98" s="539">
        <f t="shared" si="38"/>
        <v>0</v>
      </c>
      <c r="AD98" s="539">
        <f t="shared" si="38"/>
        <v>0</v>
      </c>
      <c r="AE98" s="539">
        <f t="shared" si="38"/>
        <v>0</v>
      </c>
      <c r="AF98" s="539">
        <f t="shared" si="38"/>
        <v>0</v>
      </c>
      <c r="AG98" s="539">
        <f t="shared" si="38"/>
        <v>0</v>
      </c>
      <c r="AH98" s="539">
        <f t="shared" si="38"/>
        <v>0</v>
      </c>
      <c r="AI98" s="539">
        <f t="shared" si="38"/>
        <v>0</v>
      </c>
      <c r="AJ98" s="539">
        <f t="shared" si="38"/>
        <v>0</v>
      </c>
      <c r="AK98" s="539">
        <f t="shared" si="38"/>
        <v>0</v>
      </c>
      <c r="AL98" s="539">
        <f t="shared" si="38"/>
        <v>0</v>
      </c>
      <c r="AM98" s="539">
        <f t="shared" si="38"/>
        <v>0</v>
      </c>
      <c r="AN98" s="539">
        <f t="shared" si="38"/>
        <v>0</v>
      </c>
      <c r="AO98" s="539">
        <f t="shared" si="38"/>
        <v>0</v>
      </c>
      <c r="AP98" s="539">
        <f t="shared" si="38"/>
        <v>0</v>
      </c>
      <c r="AQ98" s="539">
        <f t="shared" si="38"/>
        <v>0</v>
      </c>
      <c r="AR98" s="539">
        <f t="shared" si="38"/>
        <v>0</v>
      </c>
      <c r="AS98" s="539">
        <f t="shared" si="38"/>
        <v>0</v>
      </c>
      <c r="AT98" s="539">
        <f t="shared" si="38"/>
        <v>1739.5401273193352</v>
      </c>
      <c r="AU98" s="539">
        <f t="shared" si="38"/>
        <v>3479.0802546386703</v>
      </c>
      <c r="AV98" s="539">
        <f t="shared" si="38"/>
        <v>5218.620381958006</v>
      </c>
      <c r="AW98" s="539">
        <f t="shared" si="38"/>
        <v>6958.1605092773407</v>
      </c>
      <c r="AX98" s="539">
        <f t="shared" si="38"/>
        <v>5218.620381958006</v>
      </c>
      <c r="AY98" s="539">
        <f t="shared" si="38"/>
        <v>3479.0802546386703</v>
      </c>
      <c r="AZ98" s="539">
        <f t="shared" si="38"/>
        <v>1739.5401273193352</v>
      </c>
      <c r="BA98" s="539">
        <f t="shared" si="38"/>
        <v>0</v>
      </c>
      <c r="BB98" s="539">
        <f t="shared" si="38"/>
        <v>0</v>
      </c>
      <c r="BC98" s="539">
        <f t="shared" si="38"/>
        <v>0</v>
      </c>
      <c r="BD98" s="539">
        <f t="shared" si="38"/>
        <v>0</v>
      </c>
      <c r="BE98" s="539">
        <f t="shared" si="38"/>
        <v>0</v>
      </c>
      <c r="BF98" s="539">
        <f t="shared" si="38"/>
        <v>0</v>
      </c>
      <c r="BG98" s="539">
        <f t="shared" si="38"/>
        <v>0</v>
      </c>
      <c r="BH98" s="539">
        <f t="shared" si="38"/>
        <v>0</v>
      </c>
      <c r="BI98" s="539">
        <f t="shared" si="38"/>
        <v>0</v>
      </c>
      <c r="BJ98" s="539">
        <f t="shared" si="38"/>
        <v>0</v>
      </c>
      <c r="BK98" s="539">
        <f t="shared" si="38"/>
        <v>0</v>
      </c>
      <c r="BL98" s="539">
        <f t="shared" si="38"/>
        <v>0</v>
      </c>
      <c r="BM98" s="539">
        <f t="shared" si="38"/>
        <v>0</v>
      </c>
      <c r="BN98" s="539">
        <f t="shared" si="38"/>
        <v>1968.1299867018984</v>
      </c>
      <c r="BO98" s="539">
        <f t="shared" si="38"/>
        <v>3936.2599734037967</v>
      </c>
      <c r="BP98" s="539">
        <f t="shared" si="38"/>
        <v>5904.3899601056946</v>
      </c>
      <c r="BQ98" s="539">
        <f t="shared" si="38"/>
        <v>7872.5199468075934</v>
      </c>
      <c r="BR98" s="539">
        <f t="shared" si="38"/>
        <v>5904.3899601056946</v>
      </c>
      <c r="BS98" s="539">
        <f t="shared" si="38"/>
        <v>3936.2599734037967</v>
      </c>
      <c r="BT98" s="539">
        <f t="shared" si="38"/>
        <v>1968.1299867018984</v>
      </c>
      <c r="BU98" s="539">
        <f t="shared" si="38"/>
        <v>0</v>
      </c>
      <c r="BV98" s="539">
        <f t="shared" si="38"/>
        <v>0</v>
      </c>
      <c r="BW98" s="539">
        <f t="shared" si="38"/>
        <v>0</v>
      </c>
      <c r="BX98" s="539">
        <f t="shared" si="38"/>
        <v>0</v>
      </c>
      <c r="BY98" s="539">
        <f t="shared" si="38"/>
        <v>0</v>
      </c>
      <c r="BZ98" s="539">
        <f t="shared" si="38"/>
        <v>0</v>
      </c>
      <c r="CA98" s="539">
        <f t="shared" si="38"/>
        <v>0</v>
      </c>
      <c r="CB98" s="539">
        <f t="shared" si="38"/>
        <v>0</v>
      </c>
      <c r="CC98" s="539">
        <f t="shared" si="38"/>
        <v>0</v>
      </c>
      <c r="CD98" s="539">
        <f t="shared" si="38"/>
        <v>0</v>
      </c>
      <c r="CE98" s="539">
        <f t="shared" si="38"/>
        <v>0</v>
      </c>
      <c r="CF98" s="539">
        <f t="shared" si="38"/>
        <v>0</v>
      </c>
      <c r="CG98" s="539">
        <f t="shared" si="38"/>
        <v>0</v>
      </c>
      <c r="CH98" s="539">
        <f t="shared" si="38"/>
        <v>2226.7584309908434</v>
      </c>
      <c r="CI98" s="539">
        <f t="shared" si="38"/>
        <v>4453.5168619816868</v>
      </c>
      <c r="CJ98" s="539">
        <f t="shared" si="38"/>
        <v>6680.2752929725302</v>
      </c>
      <c r="CK98" s="539">
        <f t="shared" si="38"/>
        <v>8907.0337239633736</v>
      </c>
      <c r="CL98" s="539">
        <f t="shared" si="38"/>
        <v>6680.2752929725302</v>
      </c>
      <c r="CM98" s="539">
        <f t="shared" si="38"/>
        <v>4453.5168619816868</v>
      </c>
      <c r="CN98" s="539">
        <f t="shared" si="38"/>
        <v>2226.7584309908434</v>
      </c>
      <c r="CO98" s="539">
        <f t="shared" si="38"/>
        <v>0</v>
      </c>
      <c r="CP98" s="539">
        <f t="shared" si="38"/>
        <v>0</v>
      </c>
      <c r="CQ98" s="539">
        <f t="shared" si="38"/>
        <v>0</v>
      </c>
      <c r="CR98" s="539">
        <f t="shared" si="38"/>
        <v>0</v>
      </c>
      <c r="CS98" s="539">
        <f t="shared" si="38"/>
        <v>0</v>
      </c>
      <c r="CT98" s="539">
        <f t="shared" si="38"/>
        <v>0</v>
      </c>
      <c r="CU98" s="539">
        <f t="shared" si="38"/>
        <v>0</v>
      </c>
      <c r="CV98" s="539">
        <f t="shared" si="38"/>
        <v>0</v>
      </c>
      <c r="CW98" s="539">
        <f t="shared" si="38"/>
        <v>0</v>
      </c>
      <c r="CX98" s="539">
        <f t="shared" si="38"/>
        <v>0</v>
      </c>
      <c r="CY98" s="539">
        <f t="shared" si="38"/>
        <v>0</v>
      </c>
      <c r="CZ98" s="539">
        <f t="shared" si="38"/>
        <v>0</v>
      </c>
      <c r="DA98" s="539">
        <f t="shared" si="38"/>
        <v>0</v>
      </c>
      <c r="DB98" s="539">
        <f t="shared" si="38"/>
        <v>2519.3727769464808</v>
      </c>
      <c r="DC98" s="539">
        <f t="shared" si="38"/>
        <v>5038.7455538929617</v>
      </c>
      <c r="DD98" s="539">
        <f t="shared" si="38"/>
        <v>7558.1183308394429</v>
      </c>
      <c r="DE98" s="539">
        <f t="shared" si="38"/>
        <v>10077.491107785923</v>
      </c>
      <c r="DF98" s="539">
        <f t="shared" si="38"/>
        <v>7558.1183308394429</v>
      </c>
      <c r="DG98" s="539">
        <f t="shared" si="38"/>
        <v>5038.7455538929617</v>
      </c>
      <c r="DH98" s="539">
        <f t="shared" si="38"/>
        <v>2519.3727769464808</v>
      </c>
      <c r="DI98" s="539">
        <f t="shared" si="38"/>
        <v>0</v>
      </c>
      <c r="DJ98" s="539">
        <f t="shared" si="38"/>
        <v>0</v>
      </c>
      <c r="DK98" s="539">
        <f t="shared" si="38"/>
        <v>0</v>
      </c>
      <c r="DL98" s="539">
        <f t="shared" si="38"/>
        <v>0</v>
      </c>
      <c r="DM98" s="539">
        <f t="shared" si="38"/>
        <v>0</v>
      </c>
      <c r="DN98" s="539">
        <f t="shared" si="38"/>
        <v>0</v>
      </c>
      <c r="DO98" s="539">
        <f t="shared" si="38"/>
        <v>0</v>
      </c>
      <c r="DP98" s="539">
        <f t="shared" si="38"/>
        <v>0</v>
      </c>
      <c r="DQ98" s="539">
        <f t="shared" si="38"/>
        <v>0</v>
      </c>
      <c r="DR98" s="539">
        <f t="shared" si="38"/>
        <v>0</v>
      </c>
      <c r="DS98" s="539">
        <f t="shared" si="38"/>
        <v>0</v>
      </c>
      <c r="DT98" s="539">
        <f t="shared" si="38"/>
        <v>0</v>
      </c>
      <c r="DU98" s="539">
        <f t="shared" si="38"/>
        <v>0</v>
      </c>
      <c r="DV98" s="539">
        <f t="shared" si="38"/>
        <v>0</v>
      </c>
      <c r="DW98" s="539">
        <f t="shared" si="38"/>
        <v>0</v>
      </c>
      <c r="DX98" s="539">
        <f t="shared" si="38"/>
        <v>0</v>
      </c>
      <c r="DY98" s="539">
        <f t="shared" si="38"/>
        <v>0</v>
      </c>
      <c r="DZ98" s="539">
        <f t="shared" si="38"/>
        <v>0</v>
      </c>
      <c r="EA98" s="539">
        <f t="shared" si="38"/>
        <v>0</v>
      </c>
      <c r="EB98" s="539">
        <f t="shared" si="38"/>
        <v>0</v>
      </c>
      <c r="EC98" s="539">
        <f t="shared" si="38"/>
        <v>0</v>
      </c>
      <c r="ED98" s="539">
        <f t="shared" si="38"/>
        <v>0</v>
      </c>
      <c r="EE98" s="539">
        <f t="shared" si="38"/>
        <v>0</v>
      </c>
      <c r="EF98" s="539">
        <f t="shared" si="38"/>
        <v>0</v>
      </c>
      <c r="EG98" s="539">
        <f t="shared" si="38"/>
        <v>0</v>
      </c>
    </row>
    <row r="99" spans="5:137" ht="12.75">
      <c r="E99" s="538" t="str">
        <f>E$95</f>
        <v>MRA - balance after draw</v>
      </c>
      <c r="G99" s="539" t="str">
        <f>G$95</f>
        <v>EUR 000s</v>
      </c>
      <c r="H99" s="539">
        <f>H$95</f>
        <v>101445.61586350267</v>
      </c>
      <c r="J99" s="539">
        <f t="shared" si="39" ref="J99:EG99">J$95</f>
        <v>0</v>
      </c>
      <c r="K99" s="539">
        <f t="shared" si="39"/>
        <v>0</v>
      </c>
      <c r="L99" s="539">
        <f t="shared" si="39"/>
        <v>0</v>
      </c>
      <c r="M99" s="539">
        <f t="shared" si="39"/>
        <v>0</v>
      </c>
      <c r="N99" s="539">
        <f t="shared" si="39"/>
        <v>0</v>
      </c>
      <c r="O99" s="539">
        <f t="shared" si="39"/>
        <v>0</v>
      </c>
      <c r="P99" s="539">
        <f t="shared" si="39"/>
        <v>0</v>
      </c>
      <c r="Q99" s="539">
        <f t="shared" si="39"/>
        <v>0</v>
      </c>
      <c r="R99" s="539">
        <f t="shared" si="39"/>
        <v>0</v>
      </c>
      <c r="S99" s="539">
        <f t="shared" si="39"/>
        <v>0</v>
      </c>
      <c r="T99" s="539">
        <f t="shared" si="39"/>
        <v>0</v>
      </c>
      <c r="U99" s="539">
        <f t="shared" si="39"/>
        <v>0</v>
      </c>
      <c r="V99" s="539">
        <f t="shared" si="39"/>
        <v>0</v>
      </c>
      <c r="W99" s="539">
        <f t="shared" si="39"/>
        <v>0</v>
      </c>
      <c r="X99" s="539">
        <f t="shared" si="39"/>
        <v>0</v>
      </c>
      <c r="Y99" s="539">
        <f t="shared" si="39"/>
        <v>0</v>
      </c>
      <c r="Z99" s="539">
        <f t="shared" si="39"/>
        <v>0</v>
      </c>
      <c r="AA99" s="539">
        <f t="shared" si="39"/>
        <v>0</v>
      </c>
      <c r="AB99" s="539">
        <f t="shared" si="39"/>
        <v>0</v>
      </c>
      <c r="AC99" s="539">
        <f t="shared" si="39"/>
        <v>0</v>
      </c>
      <c r="AD99" s="539">
        <f t="shared" si="39"/>
        <v>0</v>
      </c>
      <c r="AE99" s="539">
        <f t="shared" si="39"/>
        <v>0</v>
      </c>
      <c r="AF99" s="539">
        <f t="shared" si="39"/>
        <v>0</v>
      </c>
      <c r="AG99" s="539">
        <f t="shared" si="39"/>
        <v>0</v>
      </c>
      <c r="AH99" s="539">
        <f t="shared" si="39"/>
        <v>0</v>
      </c>
      <c r="AI99" s="539">
        <f t="shared" si="39"/>
        <v>0</v>
      </c>
      <c r="AJ99" s="539">
        <f t="shared" si="39"/>
        <v>0</v>
      </c>
      <c r="AK99" s="539">
        <f t="shared" si="39"/>
        <v>0</v>
      </c>
      <c r="AL99" s="539">
        <f t="shared" si="39"/>
        <v>0</v>
      </c>
      <c r="AM99" s="539">
        <f t="shared" si="39"/>
        <v>0</v>
      </c>
      <c r="AN99" s="539">
        <f t="shared" si="39"/>
        <v>0</v>
      </c>
      <c r="AO99" s="539">
        <f t="shared" si="39"/>
        <v>0</v>
      </c>
      <c r="AP99" s="539">
        <f t="shared" si="39"/>
        <v>0</v>
      </c>
      <c r="AQ99" s="539">
        <f t="shared" si="39"/>
        <v>0</v>
      </c>
      <c r="AR99" s="539">
        <f t="shared" si="39"/>
        <v>0</v>
      </c>
      <c r="AS99" s="539">
        <f t="shared" si="39"/>
        <v>0</v>
      </c>
      <c r="AT99" s="539">
        <f t="shared" si="39"/>
        <v>0</v>
      </c>
      <c r="AU99" s="539">
        <f t="shared" si="39"/>
        <v>1739.5401273193352</v>
      </c>
      <c r="AV99" s="539">
        <f t="shared" si="39"/>
        <v>3479.0802546386703</v>
      </c>
      <c r="AW99" s="539">
        <f t="shared" si="39"/>
        <v>5218.620381958006</v>
      </c>
      <c r="AX99" s="539">
        <f t="shared" si="39"/>
        <v>5218.620381958006</v>
      </c>
      <c r="AY99" s="539">
        <f t="shared" si="39"/>
        <v>3479.0802546386708</v>
      </c>
      <c r="AZ99" s="539">
        <f t="shared" si="39"/>
        <v>1739.5401273193352</v>
      </c>
      <c r="BA99" s="539">
        <f t="shared" si="39"/>
        <v>0</v>
      </c>
      <c r="BB99" s="539">
        <f t="shared" si="39"/>
        <v>0</v>
      </c>
      <c r="BC99" s="539">
        <f t="shared" si="39"/>
        <v>0</v>
      </c>
      <c r="BD99" s="539">
        <f t="shared" si="39"/>
        <v>0</v>
      </c>
      <c r="BE99" s="539">
        <f t="shared" si="39"/>
        <v>0</v>
      </c>
      <c r="BF99" s="539">
        <f t="shared" si="39"/>
        <v>0</v>
      </c>
      <c r="BG99" s="539">
        <f t="shared" si="39"/>
        <v>0</v>
      </c>
      <c r="BH99" s="539">
        <f t="shared" si="39"/>
        <v>0</v>
      </c>
      <c r="BI99" s="539">
        <f t="shared" si="39"/>
        <v>0</v>
      </c>
      <c r="BJ99" s="539">
        <f t="shared" si="39"/>
        <v>0</v>
      </c>
      <c r="BK99" s="539">
        <f t="shared" si="39"/>
        <v>0</v>
      </c>
      <c r="BL99" s="539">
        <f t="shared" si="39"/>
        <v>0</v>
      </c>
      <c r="BM99" s="539">
        <f t="shared" si="39"/>
        <v>0</v>
      </c>
      <c r="BN99" s="539">
        <f t="shared" si="39"/>
        <v>0</v>
      </c>
      <c r="BO99" s="539">
        <f t="shared" si="39"/>
        <v>1968.1299867018984</v>
      </c>
      <c r="BP99" s="539">
        <f t="shared" si="39"/>
        <v>3936.2599734037967</v>
      </c>
      <c r="BQ99" s="539">
        <f t="shared" si="39"/>
        <v>5904.3899601056946</v>
      </c>
      <c r="BR99" s="539">
        <f t="shared" si="39"/>
        <v>5904.3899601056946</v>
      </c>
      <c r="BS99" s="539">
        <f t="shared" si="39"/>
        <v>3936.2599734037963</v>
      </c>
      <c r="BT99" s="539">
        <f t="shared" si="39"/>
        <v>1968.1299867018984</v>
      </c>
      <c r="BU99" s="539">
        <f t="shared" si="39"/>
        <v>0</v>
      </c>
      <c r="BV99" s="539">
        <f t="shared" si="39"/>
        <v>0</v>
      </c>
      <c r="BW99" s="539">
        <f t="shared" si="39"/>
        <v>0</v>
      </c>
      <c r="BX99" s="539">
        <f t="shared" si="39"/>
        <v>0</v>
      </c>
      <c r="BY99" s="539">
        <f t="shared" si="39"/>
        <v>0</v>
      </c>
      <c r="BZ99" s="539">
        <f t="shared" si="39"/>
        <v>0</v>
      </c>
      <c r="CA99" s="539">
        <f t="shared" si="39"/>
        <v>0</v>
      </c>
      <c r="CB99" s="539">
        <f t="shared" si="39"/>
        <v>0</v>
      </c>
      <c r="CC99" s="539">
        <f t="shared" si="39"/>
        <v>0</v>
      </c>
      <c r="CD99" s="539">
        <f t="shared" si="39"/>
        <v>0</v>
      </c>
      <c r="CE99" s="539">
        <f t="shared" si="39"/>
        <v>0</v>
      </c>
      <c r="CF99" s="539">
        <f t="shared" si="39"/>
        <v>0</v>
      </c>
      <c r="CG99" s="539">
        <f t="shared" si="39"/>
        <v>0</v>
      </c>
      <c r="CH99" s="539">
        <f t="shared" si="39"/>
        <v>0</v>
      </c>
      <c r="CI99" s="539">
        <f t="shared" si="39"/>
        <v>2226.7584309908434</v>
      </c>
      <c r="CJ99" s="539">
        <f t="shared" si="39"/>
        <v>4453.5168619816868</v>
      </c>
      <c r="CK99" s="539">
        <f t="shared" si="39"/>
        <v>6680.2752929725302</v>
      </c>
      <c r="CL99" s="539">
        <f t="shared" si="39"/>
        <v>6680.2752929725302</v>
      </c>
      <c r="CM99" s="539">
        <f t="shared" si="39"/>
        <v>4453.5168619816868</v>
      </c>
      <c r="CN99" s="539">
        <f t="shared" si="39"/>
        <v>2226.7584309908434</v>
      </c>
      <c r="CO99" s="539">
        <f t="shared" si="39"/>
        <v>0</v>
      </c>
      <c r="CP99" s="539">
        <f t="shared" si="39"/>
        <v>0</v>
      </c>
      <c r="CQ99" s="539">
        <f t="shared" si="39"/>
        <v>0</v>
      </c>
      <c r="CR99" s="539">
        <f t="shared" si="39"/>
        <v>0</v>
      </c>
      <c r="CS99" s="539">
        <f t="shared" si="39"/>
        <v>0</v>
      </c>
      <c r="CT99" s="539">
        <f t="shared" si="39"/>
        <v>0</v>
      </c>
      <c r="CU99" s="539">
        <f t="shared" si="39"/>
        <v>0</v>
      </c>
      <c r="CV99" s="539">
        <f t="shared" si="39"/>
        <v>0</v>
      </c>
      <c r="CW99" s="539">
        <f t="shared" si="39"/>
        <v>0</v>
      </c>
      <c r="CX99" s="539">
        <f t="shared" si="39"/>
        <v>0</v>
      </c>
      <c r="CY99" s="539">
        <f t="shared" si="39"/>
        <v>0</v>
      </c>
      <c r="CZ99" s="539">
        <f t="shared" si="39"/>
        <v>0</v>
      </c>
      <c r="DA99" s="539">
        <f t="shared" si="39"/>
        <v>0</v>
      </c>
      <c r="DB99" s="539">
        <f t="shared" si="39"/>
        <v>0</v>
      </c>
      <c r="DC99" s="539">
        <f t="shared" si="39"/>
        <v>2519.3727769464808</v>
      </c>
      <c r="DD99" s="539">
        <f t="shared" si="39"/>
        <v>5038.7455538929617</v>
      </c>
      <c r="DE99" s="539">
        <f t="shared" si="39"/>
        <v>7558.1183308394429</v>
      </c>
      <c r="DF99" s="539">
        <f t="shared" si="39"/>
        <v>7558.1183308394429</v>
      </c>
      <c r="DG99" s="539">
        <f t="shared" si="39"/>
        <v>5038.7455538929626</v>
      </c>
      <c r="DH99" s="539">
        <f t="shared" si="39"/>
        <v>2519.3727769464808</v>
      </c>
      <c r="DI99" s="539">
        <f t="shared" si="39"/>
        <v>0</v>
      </c>
      <c r="DJ99" s="539">
        <f t="shared" si="39"/>
        <v>0</v>
      </c>
      <c r="DK99" s="539">
        <f t="shared" si="39"/>
        <v>0</v>
      </c>
      <c r="DL99" s="539">
        <f t="shared" si="39"/>
        <v>0</v>
      </c>
      <c r="DM99" s="539">
        <f t="shared" si="39"/>
        <v>0</v>
      </c>
      <c r="DN99" s="539">
        <f t="shared" si="39"/>
        <v>0</v>
      </c>
      <c r="DO99" s="539">
        <f t="shared" si="39"/>
        <v>0</v>
      </c>
      <c r="DP99" s="539">
        <f t="shared" si="39"/>
        <v>0</v>
      </c>
      <c r="DQ99" s="539">
        <f t="shared" si="39"/>
        <v>0</v>
      </c>
      <c r="DR99" s="539">
        <f t="shared" si="39"/>
        <v>0</v>
      </c>
      <c r="DS99" s="539">
        <f t="shared" si="39"/>
        <v>0</v>
      </c>
      <c r="DT99" s="539">
        <f t="shared" si="39"/>
        <v>0</v>
      </c>
      <c r="DU99" s="539">
        <f t="shared" si="39"/>
        <v>0</v>
      </c>
      <c r="DV99" s="539">
        <f t="shared" si="39"/>
        <v>0</v>
      </c>
      <c r="DW99" s="539">
        <f t="shared" si="39"/>
        <v>0</v>
      </c>
      <c r="DX99" s="539">
        <f t="shared" si="39"/>
        <v>0</v>
      </c>
      <c r="DY99" s="539">
        <f t="shared" si="39"/>
        <v>0</v>
      </c>
      <c r="DZ99" s="539">
        <f t="shared" si="39"/>
        <v>0</v>
      </c>
      <c r="EA99" s="539">
        <f t="shared" si="39"/>
        <v>0</v>
      </c>
      <c r="EB99" s="539">
        <f t="shared" si="39"/>
        <v>0</v>
      </c>
      <c r="EC99" s="539">
        <f t="shared" si="39"/>
        <v>0</v>
      </c>
      <c r="ED99" s="539">
        <f t="shared" si="39"/>
        <v>0</v>
      </c>
      <c r="EE99" s="539">
        <f t="shared" si="39"/>
        <v>0</v>
      </c>
      <c r="EF99" s="539">
        <f t="shared" si="39"/>
        <v>0</v>
      </c>
      <c r="EG99" s="539">
        <f t="shared" si="39"/>
        <v>0</v>
      </c>
    </row>
    <row r="100" spans="5:137" ht="12.75">
      <c r="E100" s="540" t="s">
        <v>383</v>
      </c>
      <c r="G100" s="541" t="s">
        <v>30</v>
      </c>
      <c r="H100" s="541">
        <f>SUM(J100:EG100)</f>
        <v>1.3642420526593924E-12</v>
      </c>
      <c r="J100" s="541">
        <f t="shared" si="40" ref="J100:EG100">MAX(0,J99-J98)</f>
        <v>0</v>
      </c>
      <c r="K100" s="541">
        <f t="shared" si="40"/>
        <v>0</v>
      </c>
      <c r="L100" s="541">
        <f t="shared" si="40"/>
        <v>0</v>
      </c>
      <c r="M100" s="541">
        <f t="shared" si="40"/>
        <v>0</v>
      </c>
      <c r="N100" s="541">
        <f t="shared" si="40"/>
        <v>0</v>
      </c>
      <c r="O100" s="541">
        <f t="shared" si="40"/>
        <v>0</v>
      </c>
      <c r="P100" s="541">
        <f t="shared" si="40"/>
        <v>0</v>
      </c>
      <c r="Q100" s="541">
        <f t="shared" si="40"/>
        <v>0</v>
      </c>
      <c r="R100" s="541">
        <f t="shared" si="40"/>
        <v>0</v>
      </c>
      <c r="S100" s="541">
        <f t="shared" si="40"/>
        <v>0</v>
      </c>
      <c r="T100" s="541">
        <f t="shared" si="40"/>
        <v>0</v>
      </c>
      <c r="U100" s="541">
        <f t="shared" si="40"/>
        <v>0</v>
      </c>
      <c r="V100" s="541">
        <f t="shared" si="40"/>
        <v>0</v>
      </c>
      <c r="W100" s="541">
        <f t="shared" si="40"/>
        <v>0</v>
      </c>
      <c r="X100" s="541">
        <f t="shared" si="40"/>
        <v>0</v>
      </c>
      <c r="Y100" s="541">
        <f t="shared" si="40"/>
        <v>0</v>
      </c>
      <c r="Z100" s="541">
        <f t="shared" si="40"/>
        <v>0</v>
      </c>
      <c r="AA100" s="541">
        <f t="shared" si="40"/>
        <v>0</v>
      </c>
      <c r="AB100" s="541">
        <f t="shared" si="40"/>
        <v>0</v>
      </c>
      <c r="AC100" s="541">
        <f t="shared" si="40"/>
        <v>0</v>
      </c>
      <c r="AD100" s="541">
        <f t="shared" si="40"/>
        <v>0</v>
      </c>
      <c r="AE100" s="541">
        <f t="shared" si="40"/>
        <v>0</v>
      </c>
      <c r="AF100" s="541">
        <f t="shared" si="40"/>
        <v>0</v>
      </c>
      <c r="AG100" s="541">
        <f t="shared" si="40"/>
        <v>0</v>
      </c>
      <c r="AH100" s="541">
        <f t="shared" si="40"/>
        <v>0</v>
      </c>
      <c r="AI100" s="541">
        <f t="shared" si="40"/>
        <v>0</v>
      </c>
      <c r="AJ100" s="541">
        <f t="shared" si="40"/>
        <v>0</v>
      </c>
      <c r="AK100" s="541">
        <f t="shared" si="40"/>
        <v>0</v>
      </c>
      <c r="AL100" s="541">
        <f t="shared" si="40"/>
        <v>0</v>
      </c>
      <c r="AM100" s="541">
        <f t="shared" si="40"/>
        <v>0</v>
      </c>
      <c r="AN100" s="541">
        <f t="shared" si="40"/>
        <v>0</v>
      </c>
      <c r="AO100" s="541">
        <f t="shared" si="40"/>
        <v>0</v>
      </c>
      <c r="AP100" s="541">
        <f t="shared" si="40"/>
        <v>0</v>
      </c>
      <c r="AQ100" s="541">
        <f t="shared" si="40"/>
        <v>0</v>
      </c>
      <c r="AR100" s="541">
        <f t="shared" si="40"/>
        <v>0</v>
      </c>
      <c r="AS100" s="541">
        <f t="shared" si="40"/>
        <v>0</v>
      </c>
      <c r="AT100" s="541">
        <f t="shared" si="40"/>
        <v>0</v>
      </c>
      <c r="AU100" s="541">
        <f t="shared" si="40"/>
        <v>0</v>
      </c>
      <c r="AV100" s="541">
        <f t="shared" si="40"/>
        <v>0</v>
      </c>
      <c r="AW100" s="541">
        <f t="shared" si="40"/>
        <v>0</v>
      </c>
      <c r="AX100" s="541">
        <f t="shared" si="40"/>
        <v>0</v>
      </c>
      <c r="AY100" s="541">
        <f t="shared" si="40"/>
        <v>4.5474735088646412E-13</v>
      </c>
      <c r="AZ100" s="541">
        <f t="shared" si="40"/>
        <v>0</v>
      </c>
      <c r="BA100" s="541">
        <f t="shared" si="40"/>
        <v>0</v>
      </c>
      <c r="BB100" s="541">
        <f t="shared" si="40"/>
        <v>0</v>
      </c>
      <c r="BC100" s="541">
        <f t="shared" si="40"/>
        <v>0</v>
      </c>
      <c r="BD100" s="541">
        <f t="shared" si="40"/>
        <v>0</v>
      </c>
      <c r="BE100" s="541">
        <f t="shared" si="40"/>
        <v>0</v>
      </c>
      <c r="BF100" s="541">
        <f t="shared" si="40"/>
        <v>0</v>
      </c>
      <c r="BG100" s="541">
        <f t="shared" si="40"/>
        <v>0</v>
      </c>
      <c r="BH100" s="541">
        <f t="shared" si="40"/>
        <v>0</v>
      </c>
      <c r="BI100" s="541">
        <f t="shared" si="40"/>
        <v>0</v>
      </c>
      <c r="BJ100" s="541">
        <f t="shared" si="40"/>
        <v>0</v>
      </c>
      <c r="BK100" s="541">
        <f t="shared" si="40"/>
        <v>0</v>
      </c>
      <c r="BL100" s="541">
        <f t="shared" si="40"/>
        <v>0</v>
      </c>
      <c r="BM100" s="541">
        <f t="shared" si="40"/>
        <v>0</v>
      </c>
      <c r="BN100" s="541">
        <f t="shared" si="40"/>
        <v>0</v>
      </c>
      <c r="BO100" s="541">
        <f t="shared" si="40"/>
        <v>0</v>
      </c>
      <c r="BP100" s="541">
        <f t="shared" si="40"/>
        <v>0</v>
      </c>
      <c r="BQ100" s="541">
        <f t="shared" si="40"/>
        <v>0</v>
      </c>
      <c r="BR100" s="541">
        <f t="shared" si="40"/>
        <v>0</v>
      </c>
      <c r="BS100" s="541">
        <f t="shared" si="40"/>
        <v>0</v>
      </c>
      <c r="BT100" s="541">
        <f t="shared" si="40"/>
        <v>0</v>
      </c>
      <c r="BU100" s="541">
        <f t="shared" si="40"/>
        <v>0</v>
      </c>
      <c r="BV100" s="541">
        <f t="shared" si="40"/>
        <v>0</v>
      </c>
      <c r="BW100" s="541">
        <f t="shared" si="40"/>
        <v>0</v>
      </c>
      <c r="BX100" s="541">
        <f t="shared" si="40"/>
        <v>0</v>
      </c>
      <c r="BY100" s="541">
        <f t="shared" si="40"/>
        <v>0</v>
      </c>
      <c r="BZ100" s="541">
        <f t="shared" si="40"/>
        <v>0</v>
      </c>
      <c r="CA100" s="541">
        <f t="shared" si="40"/>
        <v>0</v>
      </c>
      <c r="CB100" s="541">
        <f t="shared" si="40"/>
        <v>0</v>
      </c>
      <c r="CC100" s="541">
        <f t="shared" si="40"/>
        <v>0</v>
      </c>
      <c r="CD100" s="541">
        <f t="shared" si="40"/>
        <v>0</v>
      </c>
      <c r="CE100" s="541">
        <f t="shared" si="40"/>
        <v>0</v>
      </c>
      <c r="CF100" s="541">
        <f t="shared" si="40"/>
        <v>0</v>
      </c>
      <c r="CG100" s="541">
        <f t="shared" si="40"/>
        <v>0</v>
      </c>
      <c r="CH100" s="541">
        <f t="shared" si="40"/>
        <v>0</v>
      </c>
      <c r="CI100" s="541">
        <f t="shared" si="40"/>
        <v>0</v>
      </c>
      <c r="CJ100" s="541">
        <f t="shared" si="40"/>
        <v>0</v>
      </c>
      <c r="CK100" s="541">
        <f t="shared" si="40"/>
        <v>0</v>
      </c>
      <c r="CL100" s="541">
        <f t="shared" si="40"/>
        <v>0</v>
      </c>
      <c r="CM100" s="541">
        <f t="shared" si="40"/>
        <v>0</v>
      </c>
      <c r="CN100" s="541">
        <f t="shared" si="40"/>
        <v>0</v>
      </c>
      <c r="CO100" s="541">
        <f t="shared" si="40"/>
        <v>0</v>
      </c>
      <c r="CP100" s="541">
        <f t="shared" si="40"/>
        <v>0</v>
      </c>
      <c r="CQ100" s="541">
        <f t="shared" si="40"/>
        <v>0</v>
      </c>
      <c r="CR100" s="541">
        <f t="shared" si="40"/>
        <v>0</v>
      </c>
      <c r="CS100" s="541">
        <f t="shared" si="40"/>
        <v>0</v>
      </c>
      <c r="CT100" s="541">
        <f t="shared" si="40"/>
        <v>0</v>
      </c>
      <c r="CU100" s="541">
        <f t="shared" si="40"/>
        <v>0</v>
      </c>
      <c r="CV100" s="541">
        <f t="shared" si="40"/>
        <v>0</v>
      </c>
      <c r="CW100" s="541">
        <f t="shared" si="40"/>
        <v>0</v>
      </c>
      <c r="CX100" s="541">
        <f t="shared" si="40"/>
        <v>0</v>
      </c>
      <c r="CY100" s="541">
        <f t="shared" si="40"/>
        <v>0</v>
      </c>
      <c r="CZ100" s="541">
        <f t="shared" si="40"/>
        <v>0</v>
      </c>
      <c r="DA100" s="541">
        <f t="shared" si="40"/>
        <v>0</v>
      </c>
      <c r="DB100" s="541">
        <f t="shared" si="40"/>
        <v>0</v>
      </c>
      <c r="DC100" s="541">
        <f t="shared" si="40"/>
        <v>0</v>
      </c>
      <c r="DD100" s="541">
        <f t="shared" si="40"/>
        <v>0</v>
      </c>
      <c r="DE100" s="541">
        <f t="shared" si="40"/>
        <v>0</v>
      </c>
      <c r="DF100" s="541">
        <f t="shared" si="40"/>
        <v>0</v>
      </c>
      <c r="DG100" s="541">
        <f t="shared" si="40"/>
        <v>9.0949470177292824E-13</v>
      </c>
      <c r="DH100" s="541">
        <f t="shared" si="40"/>
        <v>0</v>
      </c>
      <c r="DI100" s="541">
        <f t="shared" si="40"/>
        <v>0</v>
      </c>
      <c r="DJ100" s="541">
        <f t="shared" si="40"/>
        <v>0</v>
      </c>
      <c r="DK100" s="541">
        <f t="shared" si="40"/>
        <v>0</v>
      </c>
      <c r="DL100" s="541">
        <f t="shared" si="40"/>
        <v>0</v>
      </c>
      <c r="DM100" s="541">
        <f t="shared" si="40"/>
        <v>0</v>
      </c>
      <c r="DN100" s="541">
        <f t="shared" si="40"/>
        <v>0</v>
      </c>
      <c r="DO100" s="541">
        <f t="shared" si="40"/>
        <v>0</v>
      </c>
      <c r="DP100" s="541">
        <f t="shared" si="40"/>
        <v>0</v>
      </c>
      <c r="DQ100" s="541">
        <f t="shared" si="40"/>
        <v>0</v>
      </c>
      <c r="DR100" s="541">
        <f t="shared" si="40"/>
        <v>0</v>
      </c>
      <c r="DS100" s="541">
        <f t="shared" si="40"/>
        <v>0</v>
      </c>
      <c r="DT100" s="541">
        <f t="shared" si="40"/>
        <v>0</v>
      </c>
      <c r="DU100" s="541">
        <f t="shared" si="40"/>
        <v>0</v>
      </c>
      <c r="DV100" s="541">
        <f t="shared" si="40"/>
        <v>0</v>
      </c>
      <c r="DW100" s="541">
        <f t="shared" si="40"/>
        <v>0</v>
      </c>
      <c r="DX100" s="541">
        <f t="shared" si="40"/>
        <v>0</v>
      </c>
      <c r="DY100" s="541">
        <f t="shared" si="40"/>
        <v>0</v>
      </c>
      <c r="DZ100" s="541">
        <f t="shared" si="40"/>
        <v>0</v>
      </c>
      <c r="EA100" s="541">
        <f t="shared" si="40"/>
        <v>0</v>
      </c>
      <c r="EB100" s="541">
        <f t="shared" si="40"/>
        <v>0</v>
      </c>
      <c r="EC100" s="541">
        <f t="shared" si="40"/>
        <v>0</v>
      </c>
      <c r="ED100" s="541">
        <f t="shared" si="40"/>
        <v>0</v>
      </c>
      <c r="EE100" s="541">
        <f t="shared" si="40"/>
        <v>0</v>
      </c>
      <c r="EF100" s="541">
        <f t="shared" si="40"/>
        <v>0</v>
      </c>
      <c r="EG100" s="541">
        <f t="shared" si="40"/>
        <v>0</v>
      </c>
    </row>
    <row r="102" spans="5:137" ht="12.75">
      <c r="E102" s="535" t="str">
        <f>Waterfall!E$37</f>
        <v>Cash available - MRA deposit</v>
      </c>
      <c r="G102" s="537" t="str">
        <f>Waterfall!G$37</f>
        <v>EUR 000s</v>
      </c>
      <c r="H102" s="537">
        <f>Waterfall!H$37</f>
        <v>615278.03263465303</v>
      </c>
      <c r="J102" s="537">
        <f>Waterfall!J$37</f>
        <v>0</v>
      </c>
      <c r="K102" s="537">
        <f>Waterfall!K$37</f>
        <v>0</v>
      </c>
      <c r="L102" s="537">
        <f>Waterfall!L$37</f>
        <v>0</v>
      </c>
      <c r="M102" s="537">
        <f>Waterfall!M$37</f>
        <v>0</v>
      </c>
      <c r="N102" s="537">
        <f>Waterfall!N$37</f>
        <v>0</v>
      </c>
      <c r="O102" s="537">
        <f>Waterfall!O$37</f>
        <v>0</v>
      </c>
      <c r="P102" s="537">
        <f>Waterfall!P$37</f>
        <v>1.8189894035458565E-12</v>
      </c>
      <c r="Q102" s="537">
        <f>Waterfall!Q$37</f>
        <v>0</v>
      </c>
      <c r="R102" s="537">
        <f>Waterfall!R$37</f>
        <v>0</v>
      </c>
      <c r="S102" s="537">
        <f>Waterfall!S$37</f>
        <v>0</v>
      </c>
      <c r="T102" s="537">
        <f>Waterfall!T$37</f>
        <v>0</v>
      </c>
      <c r="U102" s="537">
        <f>Waterfall!U$37</f>
        <v>0</v>
      </c>
      <c r="V102" s="537">
        <f>Waterfall!V$37</f>
        <v>0</v>
      </c>
      <c r="W102" s="537">
        <f>Waterfall!W$37</f>
        <v>0</v>
      </c>
      <c r="X102" s="537">
        <f>Waterfall!X$37</f>
        <v>0</v>
      </c>
      <c r="Y102" s="537">
        <f>Waterfall!Y$37</f>
        <v>0</v>
      </c>
      <c r="Z102" s="537">
        <f>Waterfall!Z$37</f>
        <v>0</v>
      </c>
      <c r="AA102" s="537">
        <f>Waterfall!AA$37</f>
        <v>0</v>
      </c>
      <c r="AB102" s="537">
        <f>Waterfall!AB$37</f>
        <v>0</v>
      </c>
      <c r="AC102" s="537">
        <f>Waterfall!AC$37</f>
        <v>0</v>
      </c>
      <c r="AD102" s="537">
        <f>Waterfall!AD$37</f>
        <v>0</v>
      </c>
      <c r="AE102" s="537">
        <f>Waterfall!AE$37</f>
        <v>0</v>
      </c>
      <c r="AF102" s="537">
        <f>Waterfall!AF$37</f>
        <v>0</v>
      </c>
      <c r="AG102" s="537">
        <f>Waterfall!AG$37</f>
        <v>0</v>
      </c>
      <c r="AH102" s="537">
        <f>Waterfall!AH$37</f>
        <v>2472.0243110822994</v>
      </c>
      <c r="AI102" s="537">
        <f>Waterfall!AI$37</f>
        <v>4372.0469863696017</v>
      </c>
      <c r="AJ102" s="537">
        <f>Waterfall!AJ$37</f>
        <v>4322.0490486505641</v>
      </c>
      <c r="AK102" s="537">
        <f>Waterfall!AK$37</f>
        <v>4259.7573471290352</v>
      </c>
      <c r="AL102" s="537">
        <f>Waterfall!AL$37</f>
        <v>4355.9875470767938</v>
      </c>
      <c r="AM102" s="537">
        <f>Waterfall!AM$37</f>
        <v>4448.7363795644842</v>
      </c>
      <c r="AN102" s="537">
        <f>Waterfall!AN$37</f>
        <v>4397.6751610317833</v>
      </c>
      <c r="AO102" s="537">
        <f>Waterfall!AO$37</f>
        <v>4334.7372415828549</v>
      </c>
      <c r="AP102" s="537">
        <f>Waterfall!AP$37</f>
        <v>4433.019613939412</v>
      </c>
      <c r="AQ102" s="537">
        <f>Waterfall!AQ$37</f>
        <v>4526.6827641565123</v>
      </c>
      <c r="AR102" s="537">
        <f>Waterfall!AR$37</f>
        <v>4463.7444995532614</v>
      </c>
      <c r="AS102" s="537">
        <f>Waterfall!AS$37</f>
        <v>4421.7456998422203</v>
      </c>
      <c r="AT102" s="537">
        <f>Waterfall!AT$37</f>
        <v>4532.2363281052722</v>
      </c>
      <c r="AU102" s="537">
        <f>Waterfall!AU$37</f>
        <v>4587.2528658534648</v>
      </c>
      <c r="AV102" s="537">
        <f>Waterfall!AV$37</f>
        <v>4552.6472349056558</v>
      </c>
      <c r="AW102" s="537">
        <f>Waterfall!AW$37</f>
        <v>4484.0624992970661</v>
      </c>
      <c r="AX102" s="537">
        <f>Waterfall!AX$37</f>
        <v>4590.9456581576906</v>
      </c>
      <c r="AY102" s="537">
        <f>Waterfall!AY$37</f>
        <v>4688.8491426837472</v>
      </c>
      <c r="AZ102" s="537">
        <f>Waterfall!AZ$37</f>
        <v>4695.7070110363047</v>
      </c>
      <c r="BA102" s="537">
        <f>Waterfall!BA$37</f>
        <v>4635.2385459120451</v>
      </c>
      <c r="BB102" s="537">
        <f>Waterfall!BB$37</f>
        <v>4629.9958347841712</v>
      </c>
      <c r="BC102" s="537">
        <f>Waterfall!BC$37</f>
        <v>4717.0266829894308</v>
      </c>
      <c r="BD102" s="537">
        <f>Waterfall!BD$37</f>
        <v>4657.2157187842731</v>
      </c>
      <c r="BE102" s="537">
        <f>Waterfall!BE$37</f>
        <v>4583.2198048124383</v>
      </c>
      <c r="BF102" s="537">
        <f>Waterfall!BF$37</f>
        <v>4673.0355243577897</v>
      </c>
      <c r="BG102" s="537">
        <f>Waterfall!BG$37</f>
        <v>4762.5167500515399</v>
      </c>
      <c r="BH102" s="537">
        <f>Waterfall!BH$37</f>
        <v>4691.8004919160858</v>
      </c>
      <c r="BI102" s="537">
        <f>Waterfall!BI$37</f>
        <v>4641.206219903971</v>
      </c>
      <c r="BJ102" s="537">
        <f>Waterfall!BJ$37</f>
        <v>4745.1110854878325</v>
      </c>
      <c r="BK102" s="537">
        <f>Waterfall!BK$37</f>
        <v>4792.9978242001662</v>
      </c>
      <c r="BL102" s="537">
        <f>Waterfall!BL$37</f>
        <v>4755.5809209485196</v>
      </c>
      <c r="BM102" s="537">
        <f>Waterfall!BM$37</f>
        <v>4682.9617413931028</v>
      </c>
      <c r="BN102" s="537">
        <f>Waterfall!BN$37</f>
        <v>4779.5983154431606</v>
      </c>
      <c r="BO102" s="537">
        <f>Waterfall!BO$37</f>
        <v>4873.1996825202941</v>
      </c>
      <c r="BP102" s="537">
        <f>Waterfall!BP$37</f>
        <v>4760.4383505413916</v>
      </c>
      <c r="BQ102" s="537">
        <f>Waterfall!BQ$37</f>
        <v>4688.1963807699676</v>
      </c>
      <c r="BR102" s="537">
        <f>Waterfall!BR$37</f>
        <v>4891.3353177086292</v>
      </c>
      <c r="BS102" s="537">
        <f>Waterfall!BS$37</f>
        <v>4986.68569772107</v>
      </c>
      <c r="BT102" s="537">
        <f>Waterfall!BT$37</f>
        <v>5066.1993006522434</v>
      </c>
      <c r="BU102" s="537">
        <f>Waterfall!BU$37</f>
        <v>5405.301992083726</v>
      </c>
      <c r="BV102" s="537">
        <f>Waterfall!BV$37</f>
        <v>5246.5121949894628</v>
      </c>
      <c r="BW102" s="537">
        <f>Waterfall!BW$37</f>
        <v>4554.7678268896525</v>
      </c>
      <c r="BX102" s="537">
        <f>Waterfall!BX$37</f>
        <v>4486.1978765519734</v>
      </c>
      <c r="BY102" s="537">
        <f>Waterfall!BY$37</f>
        <v>4429.9652756775695</v>
      </c>
      <c r="BZ102" s="537">
        <f>Waterfall!BZ$37</f>
        <v>4552.5607425494454</v>
      </c>
      <c r="CA102" s="537">
        <f>Waterfall!CA$37</f>
        <v>4773.7676029526074</v>
      </c>
      <c r="CB102" s="537">
        <f>Waterfall!CB$37</f>
        <v>4690.1775137470322</v>
      </c>
      <c r="CC102" s="537">
        <f>Waterfall!CC$37</f>
        <v>4274.8365280066346</v>
      </c>
      <c r="CD102" s="537">
        <f>Waterfall!CD$37</f>
        <v>4321.3134548763692</v>
      </c>
      <c r="CE102" s="537">
        <f>Waterfall!CE$37</f>
        <v>4413.9780591819081</v>
      </c>
      <c r="CF102" s="537">
        <f>Waterfall!CF$37</f>
        <v>4368.5578436146661</v>
      </c>
      <c r="CG102" s="537">
        <f>Waterfall!CG$37</f>
        <v>4283.5118246307165</v>
      </c>
      <c r="CH102" s="537">
        <f>Waterfall!CH$37</f>
        <v>4337.2944034400307</v>
      </c>
      <c r="CI102" s="537">
        <f>Waterfall!CI$37</f>
        <v>4431.3608250195857</v>
      </c>
      <c r="CJ102" s="537">
        <f>Waterfall!CJ$37</f>
        <v>4097.543581541725</v>
      </c>
      <c r="CK102" s="537">
        <f>Waterfall!CK$37</f>
        <v>4013.6755911856853</v>
      </c>
      <c r="CL102" s="537">
        <f>Waterfall!CL$37</f>
        <v>4628.8303227158403</v>
      </c>
      <c r="CM102" s="537">
        <f>Waterfall!CM$37</f>
        <v>4723.5203653725785</v>
      </c>
      <c r="CN102" s="537">
        <f>Waterfall!CN$37</f>
        <v>4948.935086001231</v>
      </c>
      <c r="CO102" s="537">
        <f>Waterfall!CO$37</f>
        <v>4889.99295027068</v>
      </c>
      <c r="CP102" s="537">
        <f>Waterfall!CP$37</f>
        <v>4408.4942242291327</v>
      </c>
      <c r="CQ102" s="537">
        <f>Waterfall!CQ$37</f>
        <v>4454.0921236772019</v>
      </c>
      <c r="CR102" s="537">
        <f>Waterfall!CR$37</f>
        <v>4428.3806644411152</v>
      </c>
      <c r="CS102" s="537">
        <f>Waterfall!CS$37</f>
        <v>4344.7192119229667</v>
      </c>
      <c r="CT102" s="537">
        <f>Waterfall!CT$37</f>
        <v>4410.7908852154824</v>
      </c>
      <c r="CU102" s="537">
        <f>Waterfall!CU$37</f>
        <v>4507.2180043044709</v>
      </c>
      <c r="CV102" s="537">
        <f>Waterfall!CV$37</f>
        <v>4455.6468509356973</v>
      </c>
      <c r="CW102" s="537">
        <f>Waterfall!CW$37</f>
        <v>4372.1040514103006</v>
      </c>
      <c r="CX102" s="537">
        <f>Waterfall!CX$37</f>
        <v>4442.1439989063965</v>
      </c>
      <c r="CY102" s="537">
        <f>Waterfall!CY$37</f>
        <v>4538.8867633803111</v>
      </c>
      <c r="CZ102" s="537">
        <f>Waterfall!CZ$37</f>
        <v>9289.0498453167747</v>
      </c>
      <c r="DA102" s="537">
        <f>Waterfall!DA$37</f>
        <v>9243.2109589193478</v>
      </c>
      <c r="DB102" s="537">
        <f>Waterfall!DB$37</f>
        <v>9250.1759971050742</v>
      </c>
      <c r="DC102" s="537">
        <f>Waterfall!DC$37</f>
        <v>9339.0671459746045</v>
      </c>
      <c r="DD102" s="537">
        <f>Waterfall!DD$37</f>
        <v>9333.4126291791054</v>
      </c>
      <c r="DE102" s="537">
        <f>Waterfall!DE$37</f>
        <v>9304.4998770319035</v>
      </c>
      <c r="DF102" s="537">
        <f>Waterfall!DF$37</f>
        <v>10042.297500103878</v>
      </c>
      <c r="DG102" s="537">
        <f>Waterfall!DG$37</f>
        <v>10083.037086594606</v>
      </c>
      <c r="DH102" s="537">
        <f>Waterfall!DH$37</f>
        <v>10103.030440845592</v>
      </c>
      <c r="DI102" s="537">
        <f>Waterfall!DI$37</f>
        <v>10074.710093976457</v>
      </c>
      <c r="DJ102" s="537">
        <f>Waterfall!DJ$37</f>
        <v>9531.0000277068248</v>
      </c>
      <c r="DK102" s="537">
        <f>Waterfall!DK$37</f>
        <v>9622.5760692221538</v>
      </c>
      <c r="DL102" s="537">
        <f>Waterfall!DL$37</f>
        <v>9618.4891847043327</v>
      </c>
      <c r="DM102" s="537">
        <f>Waterfall!DM$37</f>
        <v>9590.6249782264968</v>
      </c>
      <c r="DN102" s="537">
        <f>Waterfall!DN$37</f>
        <v>9679.6513243283043</v>
      </c>
      <c r="DO102" s="537">
        <f>Waterfall!DO$37</f>
        <v>9772.3259446832872</v>
      </c>
      <c r="DP102" s="537">
        <f>Waterfall!DP$37</f>
        <v>9768.8299907587207</v>
      </c>
      <c r="DQ102" s="537">
        <f>Waterfall!DQ$37</f>
        <v>9741.3091688148925</v>
      </c>
      <c r="DR102" s="537">
        <f>Waterfall!DR$37</f>
        <v>9833.1752700445759</v>
      </c>
      <c r="DS102" s="537">
        <f>Waterfall!DS$37</f>
        <v>9926.8134161951511</v>
      </c>
      <c r="DT102" s="537">
        <f>Waterfall!DT$37</f>
        <v>9923.8082057289866</v>
      </c>
      <c r="DU102" s="537">
        <f>Waterfall!DU$37</f>
        <v>9896.5376166003607</v>
      </c>
      <c r="DV102" s="537">
        <f>Waterfall!DV$37</f>
        <v>10016.918852742816</v>
      </c>
      <c r="DW102" s="537">
        <f>Waterfall!DW$37</f>
        <v>10059.983606963106</v>
      </c>
      <c r="DX102" s="537">
        <f>Waterfall!DX$37</f>
        <v>10083.094712487115</v>
      </c>
      <c r="DY102" s="537">
        <f>Waterfall!DY$37</f>
        <v>10055.997562626802</v>
      </c>
      <c r="DZ102" s="537">
        <f>Waterfall!DZ$37</f>
        <v>10153.459517752461</v>
      </c>
      <c r="EA102" s="537">
        <f>Waterfall!EA$37</f>
        <v>10248.680194721674</v>
      </c>
      <c r="EB102" s="537">
        <f>Waterfall!EB$37</f>
        <v>10246.420544942679</v>
      </c>
      <c r="EC102" s="537">
        <f>Waterfall!EC$37</f>
        <v>10948.88102751593</v>
      </c>
      <c r="ED102" s="537">
        <f>Waterfall!ED$37</f>
        <v>2308.4176722004668</v>
      </c>
      <c r="EE102" s="537">
        <f>Waterfall!EE$37</f>
        <v>0</v>
      </c>
      <c r="EF102" s="537">
        <f>Waterfall!EF$37</f>
        <v>0</v>
      </c>
      <c r="EG102" s="537">
        <f>Waterfall!EG$37</f>
        <v>0</v>
      </c>
    </row>
    <row r="103" spans="5:137" ht="12.75">
      <c r="E103" s="538" t="str">
        <f>E$78</f>
        <v>MRA - balance target</v>
      </c>
      <c r="G103" s="539" t="str">
        <f>G$78</f>
        <v>EUR 000s</v>
      </c>
      <c r="H103" s="539">
        <f>H$78</f>
        <v>135260.82115133689</v>
      </c>
      <c r="J103" s="539">
        <f t="shared" si="41" ref="J103:EG103">J$78</f>
        <v>0</v>
      </c>
      <c r="K103" s="539">
        <f t="shared" si="41"/>
        <v>0</v>
      </c>
      <c r="L103" s="539">
        <f t="shared" si="41"/>
        <v>0</v>
      </c>
      <c r="M103" s="539">
        <f t="shared" si="41"/>
        <v>0</v>
      </c>
      <c r="N103" s="539">
        <f t="shared" si="41"/>
        <v>0</v>
      </c>
      <c r="O103" s="539">
        <f t="shared" si="41"/>
        <v>0</v>
      </c>
      <c r="P103" s="539">
        <f t="shared" si="41"/>
        <v>0</v>
      </c>
      <c r="Q103" s="539">
        <f t="shared" si="41"/>
        <v>0</v>
      </c>
      <c r="R103" s="539">
        <f t="shared" si="41"/>
        <v>0</v>
      </c>
      <c r="S103" s="539">
        <f t="shared" si="41"/>
        <v>0</v>
      </c>
      <c r="T103" s="539">
        <f t="shared" si="41"/>
        <v>0</v>
      </c>
      <c r="U103" s="539">
        <f t="shared" si="41"/>
        <v>0</v>
      </c>
      <c r="V103" s="539">
        <f t="shared" si="41"/>
        <v>0</v>
      </c>
      <c r="W103" s="539">
        <f t="shared" si="41"/>
        <v>0</v>
      </c>
      <c r="X103" s="539">
        <f t="shared" si="41"/>
        <v>0</v>
      </c>
      <c r="Y103" s="539">
        <f t="shared" si="41"/>
        <v>0</v>
      </c>
      <c r="Z103" s="539">
        <f t="shared" si="41"/>
        <v>0</v>
      </c>
      <c r="AA103" s="539">
        <f t="shared" si="41"/>
        <v>0</v>
      </c>
      <c r="AB103" s="539">
        <f t="shared" si="41"/>
        <v>0</v>
      </c>
      <c r="AC103" s="539">
        <f t="shared" si="41"/>
        <v>0</v>
      </c>
      <c r="AD103" s="539">
        <f t="shared" si="41"/>
        <v>0</v>
      </c>
      <c r="AE103" s="539">
        <f t="shared" si="41"/>
        <v>0</v>
      </c>
      <c r="AF103" s="539">
        <f t="shared" si="41"/>
        <v>0</v>
      </c>
      <c r="AG103" s="539">
        <f t="shared" si="41"/>
        <v>0</v>
      </c>
      <c r="AH103" s="539">
        <f t="shared" si="41"/>
        <v>0</v>
      </c>
      <c r="AI103" s="539">
        <f t="shared" si="41"/>
        <v>0</v>
      </c>
      <c r="AJ103" s="539">
        <f t="shared" si="41"/>
        <v>0</v>
      </c>
      <c r="AK103" s="539">
        <f t="shared" si="41"/>
        <v>0</v>
      </c>
      <c r="AL103" s="539">
        <f t="shared" si="41"/>
        <v>0</v>
      </c>
      <c r="AM103" s="539">
        <f t="shared" si="41"/>
        <v>0</v>
      </c>
      <c r="AN103" s="539">
        <f t="shared" si="41"/>
        <v>0</v>
      </c>
      <c r="AO103" s="539">
        <f t="shared" si="41"/>
        <v>0</v>
      </c>
      <c r="AP103" s="539">
        <f t="shared" si="41"/>
        <v>0</v>
      </c>
      <c r="AQ103" s="539">
        <f t="shared" si="41"/>
        <v>0</v>
      </c>
      <c r="AR103" s="539">
        <f t="shared" si="41"/>
        <v>0</v>
      </c>
      <c r="AS103" s="539">
        <f t="shared" si="41"/>
        <v>0</v>
      </c>
      <c r="AT103" s="539">
        <f t="shared" si="41"/>
        <v>1739.5401273193352</v>
      </c>
      <c r="AU103" s="539">
        <f t="shared" si="41"/>
        <v>3479.0802546386703</v>
      </c>
      <c r="AV103" s="539">
        <f t="shared" si="41"/>
        <v>5218.620381958006</v>
      </c>
      <c r="AW103" s="539">
        <f t="shared" si="41"/>
        <v>6958.1605092773407</v>
      </c>
      <c r="AX103" s="539">
        <f t="shared" si="41"/>
        <v>5218.620381958006</v>
      </c>
      <c r="AY103" s="539">
        <f t="shared" si="41"/>
        <v>3479.0802546386703</v>
      </c>
      <c r="AZ103" s="539">
        <f t="shared" si="41"/>
        <v>1739.5401273193352</v>
      </c>
      <c r="BA103" s="539">
        <f t="shared" si="41"/>
        <v>0</v>
      </c>
      <c r="BB103" s="539">
        <f t="shared" si="41"/>
        <v>0</v>
      </c>
      <c r="BC103" s="539">
        <f t="shared" si="41"/>
        <v>0</v>
      </c>
      <c r="BD103" s="539">
        <f t="shared" si="41"/>
        <v>0</v>
      </c>
      <c r="BE103" s="539">
        <f t="shared" si="41"/>
        <v>0</v>
      </c>
      <c r="BF103" s="539">
        <f t="shared" si="41"/>
        <v>0</v>
      </c>
      <c r="BG103" s="539">
        <f t="shared" si="41"/>
        <v>0</v>
      </c>
      <c r="BH103" s="539">
        <f t="shared" si="41"/>
        <v>0</v>
      </c>
      <c r="BI103" s="539">
        <f t="shared" si="41"/>
        <v>0</v>
      </c>
      <c r="BJ103" s="539">
        <f t="shared" si="41"/>
        <v>0</v>
      </c>
      <c r="BK103" s="539">
        <f t="shared" si="41"/>
        <v>0</v>
      </c>
      <c r="BL103" s="539">
        <f t="shared" si="41"/>
        <v>0</v>
      </c>
      <c r="BM103" s="539">
        <f t="shared" si="41"/>
        <v>0</v>
      </c>
      <c r="BN103" s="539">
        <f t="shared" si="41"/>
        <v>1968.1299867018984</v>
      </c>
      <c r="BO103" s="539">
        <f t="shared" si="41"/>
        <v>3936.2599734037967</v>
      </c>
      <c r="BP103" s="539">
        <f t="shared" si="41"/>
        <v>5904.3899601056946</v>
      </c>
      <c r="BQ103" s="539">
        <f t="shared" si="41"/>
        <v>7872.5199468075934</v>
      </c>
      <c r="BR103" s="539">
        <f t="shared" si="41"/>
        <v>5904.3899601056946</v>
      </c>
      <c r="BS103" s="539">
        <f t="shared" si="41"/>
        <v>3936.2599734037967</v>
      </c>
      <c r="BT103" s="539">
        <f t="shared" si="41"/>
        <v>1968.1299867018984</v>
      </c>
      <c r="BU103" s="539">
        <f t="shared" si="41"/>
        <v>0</v>
      </c>
      <c r="BV103" s="539">
        <f t="shared" si="41"/>
        <v>0</v>
      </c>
      <c r="BW103" s="539">
        <f t="shared" si="41"/>
        <v>0</v>
      </c>
      <c r="BX103" s="539">
        <f t="shared" si="41"/>
        <v>0</v>
      </c>
      <c r="BY103" s="539">
        <f t="shared" si="41"/>
        <v>0</v>
      </c>
      <c r="BZ103" s="539">
        <f t="shared" si="41"/>
        <v>0</v>
      </c>
      <c r="CA103" s="539">
        <f t="shared" si="41"/>
        <v>0</v>
      </c>
      <c r="CB103" s="539">
        <f t="shared" si="41"/>
        <v>0</v>
      </c>
      <c r="CC103" s="539">
        <f t="shared" si="41"/>
        <v>0</v>
      </c>
      <c r="CD103" s="539">
        <f t="shared" si="41"/>
        <v>0</v>
      </c>
      <c r="CE103" s="539">
        <f t="shared" si="41"/>
        <v>0</v>
      </c>
      <c r="CF103" s="539">
        <f t="shared" si="41"/>
        <v>0</v>
      </c>
      <c r="CG103" s="539">
        <f t="shared" si="41"/>
        <v>0</v>
      </c>
      <c r="CH103" s="539">
        <f t="shared" si="41"/>
        <v>2226.7584309908434</v>
      </c>
      <c r="CI103" s="539">
        <f t="shared" si="41"/>
        <v>4453.5168619816868</v>
      </c>
      <c r="CJ103" s="539">
        <f t="shared" si="41"/>
        <v>6680.2752929725302</v>
      </c>
      <c r="CK103" s="539">
        <f t="shared" si="41"/>
        <v>8907.0337239633736</v>
      </c>
      <c r="CL103" s="539">
        <f t="shared" si="41"/>
        <v>6680.2752929725302</v>
      </c>
      <c r="CM103" s="539">
        <f t="shared" si="41"/>
        <v>4453.5168619816868</v>
      </c>
      <c r="CN103" s="539">
        <f t="shared" si="41"/>
        <v>2226.7584309908434</v>
      </c>
      <c r="CO103" s="539">
        <f t="shared" si="41"/>
        <v>0</v>
      </c>
      <c r="CP103" s="539">
        <f t="shared" si="41"/>
        <v>0</v>
      </c>
      <c r="CQ103" s="539">
        <f t="shared" si="41"/>
        <v>0</v>
      </c>
      <c r="CR103" s="539">
        <f t="shared" si="41"/>
        <v>0</v>
      </c>
      <c r="CS103" s="539">
        <f t="shared" si="41"/>
        <v>0</v>
      </c>
      <c r="CT103" s="539">
        <f t="shared" si="41"/>
        <v>0</v>
      </c>
      <c r="CU103" s="539">
        <f t="shared" si="41"/>
        <v>0</v>
      </c>
      <c r="CV103" s="539">
        <f t="shared" si="41"/>
        <v>0</v>
      </c>
      <c r="CW103" s="539">
        <f t="shared" si="41"/>
        <v>0</v>
      </c>
      <c r="CX103" s="539">
        <f t="shared" si="41"/>
        <v>0</v>
      </c>
      <c r="CY103" s="539">
        <f t="shared" si="41"/>
        <v>0</v>
      </c>
      <c r="CZ103" s="539">
        <f t="shared" si="41"/>
        <v>0</v>
      </c>
      <c r="DA103" s="539">
        <f t="shared" si="41"/>
        <v>0</v>
      </c>
      <c r="DB103" s="539">
        <f t="shared" si="41"/>
        <v>2519.3727769464808</v>
      </c>
      <c r="DC103" s="539">
        <f t="shared" si="41"/>
        <v>5038.7455538929617</v>
      </c>
      <c r="DD103" s="539">
        <f t="shared" si="41"/>
        <v>7558.1183308394429</v>
      </c>
      <c r="DE103" s="539">
        <f t="shared" si="41"/>
        <v>10077.491107785923</v>
      </c>
      <c r="DF103" s="539">
        <f t="shared" si="41"/>
        <v>7558.1183308394429</v>
      </c>
      <c r="DG103" s="539">
        <f t="shared" si="41"/>
        <v>5038.7455538929617</v>
      </c>
      <c r="DH103" s="539">
        <f t="shared" si="41"/>
        <v>2519.3727769464808</v>
      </c>
      <c r="DI103" s="539">
        <f t="shared" si="41"/>
        <v>0</v>
      </c>
      <c r="DJ103" s="539">
        <f t="shared" si="41"/>
        <v>0</v>
      </c>
      <c r="DK103" s="539">
        <f t="shared" si="41"/>
        <v>0</v>
      </c>
      <c r="DL103" s="539">
        <f t="shared" si="41"/>
        <v>0</v>
      </c>
      <c r="DM103" s="539">
        <f t="shared" si="41"/>
        <v>0</v>
      </c>
      <c r="DN103" s="539">
        <f t="shared" si="41"/>
        <v>0</v>
      </c>
      <c r="DO103" s="539">
        <f t="shared" si="41"/>
        <v>0</v>
      </c>
      <c r="DP103" s="539">
        <f t="shared" si="41"/>
        <v>0</v>
      </c>
      <c r="DQ103" s="539">
        <f t="shared" si="41"/>
        <v>0</v>
      </c>
      <c r="DR103" s="539">
        <f t="shared" si="41"/>
        <v>0</v>
      </c>
      <c r="DS103" s="539">
        <f t="shared" si="41"/>
        <v>0</v>
      </c>
      <c r="DT103" s="539">
        <f t="shared" si="41"/>
        <v>0</v>
      </c>
      <c r="DU103" s="539">
        <f t="shared" si="41"/>
        <v>0</v>
      </c>
      <c r="DV103" s="539">
        <f t="shared" si="41"/>
        <v>0</v>
      </c>
      <c r="DW103" s="539">
        <f t="shared" si="41"/>
        <v>0</v>
      </c>
      <c r="DX103" s="539">
        <f t="shared" si="41"/>
        <v>0</v>
      </c>
      <c r="DY103" s="539">
        <f t="shared" si="41"/>
        <v>0</v>
      </c>
      <c r="DZ103" s="539">
        <f t="shared" si="41"/>
        <v>0</v>
      </c>
      <c r="EA103" s="539">
        <f t="shared" si="41"/>
        <v>0</v>
      </c>
      <c r="EB103" s="539">
        <f t="shared" si="41"/>
        <v>0</v>
      </c>
      <c r="EC103" s="539">
        <f t="shared" si="41"/>
        <v>0</v>
      </c>
      <c r="ED103" s="539">
        <f t="shared" si="41"/>
        <v>0</v>
      </c>
      <c r="EE103" s="539">
        <f t="shared" si="41"/>
        <v>0</v>
      </c>
      <c r="EF103" s="539">
        <f t="shared" si="41"/>
        <v>0</v>
      </c>
      <c r="EG103" s="539">
        <f t="shared" si="41"/>
        <v>0</v>
      </c>
    </row>
    <row r="104" spans="5:137" ht="12.75">
      <c r="E104" s="538" t="str">
        <f>E$95</f>
        <v>MRA - balance after draw</v>
      </c>
      <c r="G104" s="539" t="str">
        <f>G$95</f>
        <v>EUR 000s</v>
      </c>
      <c r="H104" s="539">
        <f>H$95</f>
        <v>101445.61586350267</v>
      </c>
      <c r="J104" s="539">
        <f t="shared" si="42" ref="J104:EG104">J$95</f>
        <v>0</v>
      </c>
      <c r="K104" s="539">
        <f t="shared" si="42"/>
        <v>0</v>
      </c>
      <c r="L104" s="539">
        <f t="shared" si="42"/>
        <v>0</v>
      </c>
      <c r="M104" s="539">
        <f t="shared" si="42"/>
        <v>0</v>
      </c>
      <c r="N104" s="539">
        <f t="shared" si="42"/>
        <v>0</v>
      </c>
      <c r="O104" s="539">
        <f t="shared" si="42"/>
        <v>0</v>
      </c>
      <c r="P104" s="539">
        <f t="shared" si="42"/>
        <v>0</v>
      </c>
      <c r="Q104" s="539">
        <f t="shared" si="42"/>
        <v>0</v>
      </c>
      <c r="R104" s="539">
        <f t="shared" si="42"/>
        <v>0</v>
      </c>
      <c r="S104" s="539">
        <f t="shared" si="42"/>
        <v>0</v>
      </c>
      <c r="T104" s="539">
        <f t="shared" si="42"/>
        <v>0</v>
      </c>
      <c r="U104" s="539">
        <f t="shared" si="42"/>
        <v>0</v>
      </c>
      <c r="V104" s="539">
        <f t="shared" si="42"/>
        <v>0</v>
      </c>
      <c r="W104" s="539">
        <f t="shared" si="42"/>
        <v>0</v>
      </c>
      <c r="X104" s="539">
        <f t="shared" si="42"/>
        <v>0</v>
      </c>
      <c r="Y104" s="539">
        <f t="shared" si="42"/>
        <v>0</v>
      </c>
      <c r="Z104" s="539">
        <f t="shared" si="42"/>
        <v>0</v>
      </c>
      <c r="AA104" s="539">
        <f t="shared" si="42"/>
        <v>0</v>
      </c>
      <c r="AB104" s="539">
        <f t="shared" si="42"/>
        <v>0</v>
      </c>
      <c r="AC104" s="539">
        <f t="shared" si="42"/>
        <v>0</v>
      </c>
      <c r="AD104" s="539">
        <f t="shared" si="42"/>
        <v>0</v>
      </c>
      <c r="AE104" s="539">
        <f t="shared" si="42"/>
        <v>0</v>
      </c>
      <c r="AF104" s="539">
        <f t="shared" si="42"/>
        <v>0</v>
      </c>
      <c r="AG104" s="539">
        <f t="shared" si="42"/>
        <v>0</v>
      </c>
      <c r="AH104" s="539">
        <f t="shared" si="42"/>
        <v>0</v>
      </c>
      <c r="AI104" s="539">
        <f t="shared" si="42"/>
        <v>0</v>
      </c>
      <c r="AJ104" s="539">
        <f t="shared" si="42"/>
        <v>0</v>
      </c>
      <c r="AK104" s="539">
        <f t="shared" si="42"/>
        <v>0</v>
      </c>
      <c r="AL104" s="539">
        <f t="shared" si="42"/>
        <v>0</v>
      </c>
      <c r="AM104" s="539">
        <f t="shared" si="42"/>
        <v>0</v>
      </c>
      <c r="AN104" s="539">
        <f t="shared" si="42"/>
        <v>0</v>
      </c>
      <c r="AO104" s="539">
        <f t="shared" si="42"/>
        <v>0</v>
      </c>
      <c r="AP104" s="539">
        <f t="shared" si="42"/>
        <v>0</v>
      </c>
      <c r="AQ104" s="539">
        <f t="shared" si="42"/>
        <v>0</v>
      </c>
      <c r="AR104" s="539">
        <f t="shared" si="42"/>
        <v>0</v>
      </c>
      <c r="AS104" s="539">
        <f t="shared" si="42"/>
        <v>0</v>
      </c>
      <c r="AT104" s="539">
        <f t="shared" si="42"/>
        <v>0</v>
      </c>
      <c r="AU104" s="539">
        <f t="shared" si="42"/>
        <v>1739.5401273193352</v>
      </c>
      <c r="AV104" s="539">
        <f t="shared" si="42"/>
        <v>3479.0802546386703</v>
      </c>
      <c r="AW104" s="539">
        <f t="shared" si="42"/>
        <v>5218.620381958006</v>
      </c>
      <c r="AX104" s="539">
        <f t="shared" si="42"/>
        <v>5218.620381958006</v>
      </c>
      <c r="AY104" s="539">
        <f t="shared" si="42"/>
        <v>3479.0802546386708</v>
      </c>
      <c r="AZ104" s="539">
        <f t="shared" si="42"/>
        <v>1739.5401273193352</v>
      </c>
      <c r="BA104" s="539">
        <f t="shared" si="42"/>
        <v>0</v>
      </c>
      <c r="BB104" s="539">
        <f t="shared" si="42"/>
        <v>0</v>
      </c>
      <c r="BC104" s="539">
        <f t="shared" si="42"/>
        <v>0</v>
      </c>
      <c r="BD104" s="539">
        <f t="shared" si="42"/>
        <v>0</v>
      </c>
      <c r="BE104" s="539">
        <f t="shared" si="42"/>
        <v>0</v>
      </c>
      <c r="BF104" s="539">
        <f t="shared" si="42"/>
        <v>0</v>
      </c>
      <c r="BG104" s="539">
        <f t="shared" si="42"/>
        <v>0</v>
      </c>
      <c r="BH104" s="539">
        <f t="shared" si="42"/>
        <v>0</v>
      </c>
      <c r="BI104" s="539">
        <f t="shared" si="42"/>
        <v>0</v>
      </c>
      <c r="BJ104" s="539">
        <f t="shared" si="42"/>
        <v>0</v>
      </c>
      <c r="BK104" s="539">
        <f t="shared" si="42"/>
        <v>0</v>
      </c>
      <c r="BL104" s="539">
        <f t="shared" si="42"/>
        <v>0</v>
      </c>
      <c r="BM104" s="539">
        <f t="shared" si="42"/>
        <v>0</v>
      </c>
      <c r="BN104" s="539">
        <f t="shared" si="42"/>
        <v>0</v>
      </c>
      <c r="BO104" s="539">
        <f t="shared" si="42"/>
        <v>1968.1299867018984</v>
      </c>
      <c r="BP104" s="539">
        <f t="shared" si="42"/>
        <v>3936.2599734037967</v>
      </c>
      <c r="BQ104" s="539">
        <f t="shared" si="42"/>
        <v>5904.3899601056946</v>
      </c>
      <c r="BR104" s="539">
        <f t="shared" si="42"/>
        <v>5904.3899601056946</v>
      </c>
      <c r="BS104" s="539">
        <f t="shared" si="42"/>
        <v>3936.2599734037963</v>
      </c>
      <c r="BT104" s="539">
        <f t="shared" si="42"/>
        <v>1968.1299867018984</v>
      </c>
      <c r="BU104" s="539">
        <f t="shared" si="42"/>
        <v>0</v>
      </c>
      <c r="BV104" s="539">
        <f t="shared" si="42"/>
        <v>0</v>
      </c>
      <c r="BW104" s="539">
        <f t="shared" si="42"/>
        <v>0</v>
      </c>
      <c r="BX104" s="539">
        <f t="shared" si="42"/>
        <v>0</v>
      </c>
      <c r="BY104" s="539">
        <f t="shared" si="42"/>
        <v>0</v>
      </c>
      <c r="BZ104" s="539">
        <f t="shared" si="42"/>
        <v>0</v>
      </c>
      <c r="CA104" s="539">
        <f t="shared" si="42"/>
        <v>0</v>
      </c>
      <c r="CB104" s="539">
        <f t="shared" si="42"/>
        <v>0</v>
      </c>
      <c r="CC104" s="539">
        <f t="shared" si="42"/>
        <v>0</v>
      </c>
      <c r="CD104" s="539">
        <f t="shared" si="42"/>
        <v>0</v>
      </c>
      <c r="CE104" s="539">
        <f t="shared" si="42"/>
        <v>0</v>
      </c>
      <c r="CF104" s="539">
        <f t="shared" si="42"/>
        <v>0</v>
      </c>
      <c r="CG104" s="539">
        <f t="shared" si="42"/>
        <v>0</v>
      </c>
      <c r="CH104" s="539">
        <f t="shared" si="42"/>
        <v>0</v>
      </c>
      <c r="CI104" s="539">
        <f t="shared" si="42"/>
        <v>2226.7584309908434</v>
      </c>
      <c r="CJ104" s="539">
        <f t="shared" si="42"/>
        <v>4453.5168619816868</v>
      </c>
      <c r="CK104" s="539">
        <f t="shared" si="42"/>
        <v>6680.2752929725302</v>
      </c>
      <c r="CL104" s="539">
        <f t="shared" si="42"/>
        <v>6680.2752929725302</v>
      </c>
      <c r="CM104" s="539">
        <f t="shared" si="42"/>
        <v>4453.5168619816868</v>
      </c>
      <c r="CN104" s="539">
        <f t="shared" si="42"/>
        <v>2226.7584309908434</v>
      </c>
      <c r="CO104" s="539">
        <f t="shared" si="42"/>
        <v>0</v>
      </c>
      <c r="CP104" s="539">
        <f t="shared" si="42"/>
        <v>0</v>
      </c>
      <c r="CQ104" s="539">
        <f t="shared" si="42"/>
        <v>0</v>
      </c>
      <c r="CR104" s="539">
        <f t="shared" si="42"/>
        <v>0</v>
      </c>
      <c r="CS104" s="539">
        <f t="shared" si="42"/>
        <v>0</v>
      </c>
      <c r="CT104" s="539">
        <f t="shared" si="42"/>
        <v>0</v>
      </c>
      <c r="CU104" s="539">
        <f t="shared" si="42"/>
        <v>0</v>
      </c>
      <c r="CV104" s="539">
        <f t="shared" si="42"/>
        <v>0</v>
      </c>
      <c r="CW104" s="539">
        <f t="shared" si="42"/>
        <v>0</v>
      </c>
      <c r="CX104" s="539">
        <f t="shared" si="42"/>
        <v>0</v>
      </c>
      <c r="CY104" s="539">
        <f t="shared" si="42"/>
        <v>0</v>
      </c>
      <c r="CZ104" s="539">
        <f t="shared" si="42"/>
        <v>0</v>
      </c>
      <c r="DA104" s="539">
        <f t="shared" si="42"/>
        <v>0</v>
      </c>
      <c r="DB104" s="539">
        <f t="shared" si="42"/>
        <v>0</v>
      </c>
      <c r="DC104" s="539">
        <f t="shared" si="42"/>
        <v>2519.3727769464808</v>
      </c>
      <c r="DD104" s="539">
        <f t="shared" si="42"/>
        <v>5038.7455538929617</v>
      </c>
      <c r="DE104" s="539">
        <f t="shared" si="42"/>
        <v>7558.1183308394429</v>
      </c>
      <c r="DF104" s="539">
        <f t="shared" si="42"/>
        <v>7558.1183308394429</v>
      </c>
      <c r="DG104" s="539">
        <f t="shared" si="42"/>
        <v>5038.7455538929626</v>
      </c>
      <c r="DH104" s="539">
        <f t="shared" si="42"/>
        <v>2519.3727769464808</v>
      </c>
      <c r="DI104" s="539">
        <f t="shared" si="42"/>
        <v>0</v>
      </c>
      <c r="DJ104" s="539">
        <f t="shared" si="42"/>
        <v>0</v>
      </c>
      <c r="DK104" s="539">
        <f t="shared" si="42"/>
        <v>0</v>
      </c>
      <c r="DL104" s="539">
        <f t="shared" si="42"/>
        <v>0</v>
      </c>
      <c r="DM104" s="539">
        <f t="shared" si="42"/>
        <v>0</v>
      </c>
      <c r="DN104" s="539">
        <f t="shared" si="42"/>
        <v>0</v>
      </c>
      <c r="DO104" s="539">
        <f t="shared" si="42"/>
        <v>0</v>
      </c>
      <c r="DP104" s="539">
        <f t="shared" si="42"/>
        <v>0</v>
      </c>
      <c r="DQ104" s="539">
        <f t="shared" si="42"/>
        <v>0</v>
      </c>
      <c r="DR104" s="539">
        <f t="shared" si="42"/>
        <v>0</v>
      </c>
      <c r="DS104" s="539">
        <f t="shared" si="42"/>
        <v>0</v>
      </c>
      <c r="DT104" s="539">
        <f t="shared" si="42"/>
        <v>0</v>
      </c>
      <c r="DU104" s="539">
        <f t="shared" si="42"/>
        <v>0</v>
      </c>
      <c r="DV104" s="539">
        <f t="shared" si="42"/>
        <v>0</v>
      </c>
      <c r="DW104" s="539">
        <f t="shared" si="42"/>
        <v>0</v>
      </c>
      <c r="DX104" s="539">
        <f t="shared" si="42"/>
        <v>0</v>
      </c>
      <c r="DY104" s="539">
        <f t="shared" si="42"/>
        <v>0</v>
      </c>
      <c r="DZ104" s="539">
        <f t="shared" si="42"/>
        <v>0</v>
      </c>
      <c r="EA104" s="539">
        <f t="shared" si="42"/>
        <v>0</v>
      </c>
      <c r="EB104" s="539">
        <f t="shared" si="42"/>
        <v>0</v>
      </c>
      <c r="EC104" s="539">
        <f t="shared" si="42"/>
        <v>0</v>
      </c>
      <c r="ED104" s="539">
        <f t="shared" si="42"/>
        <v>0</v>
      </c>
      <c r="EE104" s="539">
        <f t="shared" si="42"/>
        <v>0</v>
      </c>
      <c r="EF104" s="539">
        <f t="shared" si="42"/>
        <v>0</v>
      </c>
      <c r="EG104" s="539">
        <f t="shared" si="42"/>
        <v>0</v>
      </c>
    </row>
    <row r="105" spans="5:137" ht="12.75">
      <c r="E105" s="540" t="s">
        <v>384</v>
      </c>
      <c r="G105" s="541" t="s">
        <v>30</v>
      </c>
      <c r="H105" s="541">
        <f>SUM(J105:EG105)</f>
        <v>33815.205287834237</v>
      </c>
      <c r="J105" s="541">
        <f t="shared" si="43" ref="J105:EG105">MIN(MAX(0,J103-J104),MAX(0,J102))</f>
        <v>0</v>
      </c>
      <c r="K105" s="541">
        <f t="shared" si="43"/>
        <v>0</v>
      </c>
      <c r="L105" s="541">
        <f t="shared" si="43"/>
        <v>0</v>
      </c>
      <c r="M105" s="541">
        <f t="shared" si="43"/>
        <v>0</v>
      </c>
      <c r="N105" s="541">
        <f t="shared" si="43"/>
        <v>0</v>
      </c>
      <c r="O105" s="541">
        <f t="shared" si="43"/>
        <v>0</v>
      </c>
      <c r="P105" s="541">
        <f t="shared" si="43"/>
        <v>0</v>
      </c>
      <c r="Q105" s="541">
        <f t="shared" si="43"/>
        <v>0</v>
      </c>
      <c r="R105" s="541">
        <f t="shared" si="43"/>
        <v>0</v>
      </c>
      <c r="S105" s="541">
        <f t="shared" si="43"/>
        <v>0</v>
      </c>
      <c r="T105" s="541">
        <f t="shared" si="43"/>
        <v>0</v>
      </c>
      <c r="U105" s="541">
        <f t="shared" si="43"/>
        <v>0</v>
      </c>
      <c r="V105" s="541">
        <f t="shared" si="43"/>
        <v>0</v>
      </c>
      <c r="W105" s="541">
        <f t="shared" si="43"/>
        <v>0</v>
      </c>
      <c r="X105" s="541">
        <f t="shared" si="43"/>
        <v>0</v>
      </c>
      <c r="Y105" s="541">
        <f t="shared" si="43"/>
        <v>0</v>
      </c>
      <c r="Z105" s="541">
        <f t="shared" si="43"/>
        <v>0</v>
      </c>
      <c r="AA105" s="541">
        <f t="shared" si="43"/>
        <v>0</v>
      </c>
      <c r="AB105" s="541">
        <f t="shared" si="43"/>
        <v>0</v>
      </c>
      <c r="AC105" s="541">
        <f t="shared" si="43"/>
        <v>0</v>
      </c>
      <c r="AD105" s="541">
        <f t="shared" si="43"/>
        <v>0</v>
      </c>
      <c r="AE105" s="541">
        <f t="shared" si="43"/>
        <v>0</v>
      </c>
      <c r="AF105" s="541">
        <f t="shared" si="43"/>
        <v>0</v>
      </c>
      <c r="AG105" s="541">
        <f t="shared" si="43"/>
        <v>0</v>
      </c>
      <c r="AH105" s="541">
        <f t="shared" si="43"/>
        <v>0</v>
      </c>
      <c r="AI105" s="541">
        <f t="shared" si="43"/>
        <v>0</v>
      </c>
      <c r="AJ105" s="541">
        <f t="shared" si="43"/>
        <v>0</v>
      </c>
      <c r="AK105" s="541">
        <f t="shared" si="43"/>
        <v>0</v>
      </c>
      <c r="AL105" s="541">
        <f t="shared" si="43"/>
        <v>0</v>
      </c>
      <c r="AM105" s="541">
        <f t="shared" si="43"/>
        <v>0</v>
      </c>
      <c r="AN105" s="541">
        <f t="shared" si="43"/>
        <v>0</v>
      </c>
      <c r="AO105" s="541">
        <f t="shared" si="43"/>
        <v>0</v>
      </c>
      <c r="AP105" s="541">
        <f t="shared" si="43"/>
        <v>0</v>
      </c>
      <c r="AQ105" s="541">
        <f t="shared" si="43"/>
        <v>0</v>
      </c>
      <c r="AR105" s="541">
        <f t="shared" si="43"/>
        <v>0</v>
      </c>
      <c r="AS105" s="541">
        <f t="shared" si="43"/>
        <v>0</v>
      </c>
      <c r="AT105" s="541">
        <f t="shared" si="43"/>
        <v>1739.5401273193352</v>
      </c>
      <c r="AU105" s="541">
        <f t="shared" si="43"/>
        <v>1739.5401273193352</v>
      </c>
      <c r="AV105" s="541">
        <f t="shared" si="43"/>
        <v>1739.5401273193356</v>
      </c>
      <c r="AW105" s="541">
        <f t="shared" si="43"/>
        <v>1739.5401273193347</v>
      </c>
      <c r="AX105" s="541">
        <f t="shared" si="43"/>
        <v>0</v>
      </c>
      <c r="AY105" s="541">
        <f t="shared" si="43"/>
        <v>0</v>
      </c>
      <c r="AZ105" s="541">
        <f t="shared" si="43"/>
        <v>0</v>
      </c>
      <c r="BA105" s="541">
        <f t="shared" si="43"/>
        <v>0</v>
      </c>
      <c r="BB105" s="541">
        <f t="shared" si="43"/>
        <v>0</v>
      </c>
      <c r="BC105" s="541">
        <f t="shared" si="43"/>
        <v>0</v>
      </c>
      <c r="BD105" s="541">
        <f t="shared" si="43"/>
        <v>0</v>
      </c>
      <c r="BE105" s="541">
        <f t="shared" si="43"/>
        <v>0</v>
      </c>
      <c r="BF105" s="541">
        <f t="shared" si="43"/>
        <v>0</v>
      </c>
      <c r="BG105" s="541">
        <f t="shared" si="43"/>
        <v>0</v>
      </c>
      <c r="BH105" s="541">
        <f t="shared" si="43"/>
        <v>0</v>
      </c>
      <c r="BI105" s="541">
        <f t="shared" si="43"/>
        <v>0</v>
      </c>
      <c r="BJ105" s="541">
        <f t="shared" si="43"/>
        <v>0</v>
      </c>
      <c r="BK105" s="541">
        <f t="shared" si="43"/>
        <v>0</v>
      </c>
      <c r="BL105" s="541">
        <f t="shared" si="43"/>
        <v>0</v>
      </c>
      <c r="BM105" s="541">
        <f t="shared" si="43"/>
        <v>0</v>
      </c>
      <c r="BN105" s="541">
        <f t="shared" si="43"/>
        <v>1968.1299867018984</v>
      </c>
      <c r="BO105" s="541">
        <f t="shared" si="43"/>
        <v>1968.1299867018984</v>
      </c>
      <c r="BP105" s="541">
        <f t="shared" si="43"/>
        <v>1968.1299867018979</v>
      </c>
      <c r="BQ105" s="541">
        <f t="shared" si="43"/>
        <v>1968.1299867018988</v>
      </c>
      <c r="BR105" s="541">
        <f t="shared" si="43"/>
        <v>0</v>
      </c>
      <c r="BS105" s="541">
        <f t="shared" si="43"/>
        <v>4.5474735088646412E-13</v>
      </c>
      <c r="BT105" s="541">
        <f t="shared" si="43"/>
        <v>0</v>
      </c>
      <c r="BU105" s="541">
        <f t="shared" si="43"/>
        <v>0</v>
      </c>
      <c r="BV105" s="541">
        <f t="shared" si="43"/>
        <v>0</v>
      </c>
      <c r="BW105" s="541">
        <f t="shared" si="43"/>
        <v>0</v>
      </c>
      <c r="BX105" s="541">
        <f t="shared" si="43"/>
        <v>0</v>
      </c>
      <c r="BY105" s="541">
        <f t="shared" si="43"/>
        <v>0</v>
      </c>
      <c r="BZ105" s="541">
        <f t="shared" si="43"/>
        <v>0</v>
      </c>
      <c r="CA105" s="541">
        <f t="shared" si="43"/>
        <v>0</v>
      </c>
      <c r="CB105" s="541">
        <f t="shared" si="43"/>
        <v>0</v>
      </c>
      <c r="CC105" s="541">
        <f t="shared" si="43"/>
        <v>0</v>
      </c>
      <c r="CD105" s="541">
        <f t="shared" si="43"/>
        <v>0</v>
      </c>
      <c r="CE105" s="541">
        <f t="shared" si="43"/>
        <v>0</v>
      </c>
      <c r="CF105" s="541">
        <f t="shared" si="43"/>
        <v>0</v>
      </c>
      <c r="CG105" s="541">
        <f t="shared" si="43"/>
        <v>0</v>
      </c>
      <c r="CH105" s="541">
        <f t="shared" si="43"/>
        <v>2226.7584309908434</v>
      </c>
      <c r="CI105" s="541">
        <f t="shared" si="43"/>
        <v>2226.7584309908434</v>
      </c>
      <c r="CJ105" s="541">
        <f t="shared" si="43"/>
        <v>2226.7584309908434</v>
      </c>
      <c r="CK105" s="541">
        <f t="shared" si="43"/>
        <v>2226.7584309908434</v>
      </c>
      <c r="CL105" s="541">
        <f t="shared" si="43"/>
        <v>0</v>
      </c>
      <c r="CM105" s="541">
        <f t="shared" si="43"/>
        <v>0</v>
      </c>
      <c r="CN105" s="541">
        <f t="shared" si="43"/>
        <v>0</v>
      </c>
      <c r="CO105" s="541">
        <f t="shared" si="43"/>
        <v>0</v>
      </c>
      <c r="CP105" s="541">
        <f t="shared" si="43"/>
        <v>0</v>
      </c>
      <c r="CQ105" s="541">
        <f t="shared" si="43"/>
        <v>0</v>
      </c>
      <c r="CR105" s="541">
        <f t="shared" si="43"/>
        <v>0</v>
      </c>
      <c r="CS105" s="541">
        <f t="shared" si="43"/>
        <v>0</v>
      </c>
      <c r="CT105" s="541">
        <f t="shared" si="43"/>
        <v>0</v>
      </c>
      <c r="CU105" s="541">
        <f t="shared" si="43"/>
        <v>0</v>
      </c>
      <c r="CV105" s="541">
        <f t="shared" si="43"/>
        <v>0</v>
      </c>
      <c r="CW105" s="541">
        <f t="shared" si="43"/>
        <v>0</v>
      </c>
      <c r="CX105" s="541">
        <f t="shared" si="43"/>
        <v>0</v>
      </c>
      <c r="CY105" s="541">
        <f t="shared" si="43"/>
        <v>0</v>
      </c>
      <c r="CZ105" s="541">
        <f t="shared" si="43"/>
        <v>0</v>
      </c>
      <c r="DA105" s="541">
        <f t="shared" si="43"/>
        <v>0</v>
      </c>
      <c r="DB105" s="541">
        <f t="shared" si="43"/>
        <v>2519.3727769464808</v>
      </c>
      <c r="DC105" s="541">
        <f t="shared" si="43"/>
        <v>2519.3727769464808</v>
      </c>
      <c r="DD105" s="541">
        <f t="shared" si="43"/>
        <v>2519.3727769464813</v>
      </c>
      <c r="DE105" s="541">
        <f t="shared" si="43"/>
        <v>2519.3727769464804</v>
      </c>
      <c r="DF105" s="541">
        <f t="shared" si="43"/>
        <v>0</v>
      </c>
      <c r="DG105" s="541">
        <f t="shared" si="43"/>
        <v>0</v>
      </c>
      <c r="DH105" s="541">
        <f t="shared" si="43"/>
        <v>0</v>
      </c>
      <c r="DI105" s="541">
        <f t="shared" si="43"/>
        <v>0</v>
      </c>
      <c r="DJ105" s="541">
        <f t="shared" si="43"/>
        <v>0</v>
      </c>
      <c r="DK105" s="541">
        <f t="shared" si="43"/>
        <v>0</v>
      </c>
      <c r="DL105" s="541">
        <f t="shared" si="43"/>
        <v>0</v>
      </c>
      <c r="DM105" s="541">
        <f t="shared" si="43"/>
        <v>0</v>
      </c>
      <c r="DN105" s="541">
        <f t="shared" si="43"/>
        <v>0</v>
      </c>
      <c r="DO105" s="541">
        <f t="shared" si="43"/>
        <v>0</v>
      </c>
      <c r="DP105" s="541">
        <f t="shared" si="43"/>
        <v>0</v>
      </c>
      <c r="DQ105" s="541">
        <f t="shared" si="43"/>
        <v>0</v>
      </c>
      <c r="DR105" s="541">
        <f t="shared" si="43"/>
        <v>0</v>
      </c>
      <c r="DS105" s="541">
        <f t="shared" si="43"/>
        <v>0</v>
      </c>
      <c r="DT105" s="541">
        <f t="shared" si="43"/>
        <v>0</v>
      </c>
      <c r="DU105" s="541">
        <f t="shared" si="43"/>
        <v>0</v>
      </c>
      <c r="DV105" s="541">
        <f t="shared" si="43"/>
        <v>0</v>
      </c>
      <c r="DW105" s="541">
        <f t="shared" si="43"/>
        <v>0</v>
      </c>
      <c r="DX105" s="541">
        <f t="shared" si="43"/>
        <v>0</v>
      </c>
      <c r="DY105" s="541">
        <f t="shared" si="43"/>
        <v>0</v>
      </c>
      <c r="DZ105" s="541">
        <f t="shared" si="43"/>
        <v>0</v>
      </c>
      <c r="EA105" s="541">
        <f t="shared" si="43"/>
        <v>0</v>
      </c>
      <c r="EB105" s="541">
        <f t="shared" si="43"/>
        <v>0</v>
      </c>
      <c r="EC105" s="541">
        <f t="shared" si="43"/>
        <v>0</v>
      </c>
      <c r="ED105" s="541">
        <f t="shared" si="43"/>
        <v>0</v>
      </c>
      <c r="EE105" s="541">
        <f t="shared" si="43"/>
        <v>0</v>
      </c>
      <c r="EF105" s="541">
        <f t="shared" si="43"/>
        <v>0</v>
      </c>
      <c r="EG105" s="541">
        <f t="shared" si="43"/>
        <v>0</v>
      </c>
    </row>
    <row r="107" spans="5:137" ht="12.75">
      <c r="E107" s="538" t="str">
        <f>E$95</f>
        <v>MRA - balance after draw</v>
      </c>
      <c r="G107" s="539" t="str">
        <f>G$95</f>
        <v>EUR 000s</v>
      </c>
      <c r="H107" s="539">
        <f>H$95</f>
        <v>101445.61586350267</v>
      </c>
      <c r="J107" s="539">
        <f t="shared" si="44" ref="J107:EG107">J$95</f>
        <v>0</v>
      </c>
      <c r="K107" s="539">
        <f t="shared" si="44"/>
        <v>0</v>
      </c>
      <c r="L107" s="539">
        <f t="shared" si="44"/>
        <v>0</v>
      </c>
      <c r="M107" s="539">
        <f t="shared" si="44"/>
        <v>0</v>
      </c>
      <c r="N107" s="539">
        <f t="shared" si="44"/>
        <v>0</v>
      </c>
      <c r="O107" s="539">
        <f t="shared" si="44"/>
        <v>0</v>
      </c>
      <c r="P107" s="539">
        <f t="shared" si="44"/>
        <v>0</v>
      </c>
      <c r="Q107" s="539">
        <f t="shared" si="44"/>
        <v>0</v>
      </c>
      <c r="R107" s="539">
        <f t="shared" si="44"/>
        <v>0</v>
      </c>
      <c r="S107" s="539">
        <f t="shared" si="44"/>
        <v>0</v>
      </c>
      <c r="T107" s="539">
        <f t="shared" si="44"/>
        <v>0</v>
      </c>
      <c r="U107" s="539">
        <f t="shared" si="44"/>
        <v>0</v>
      </c>
      <c r="V107" s="539">
        <f t="shared" si="44"/>
        <v>0</v>
      </c>
      <c r="W107" s="539">
        <f t="shared" si="44"/>
        <v>0</v>
      </c>
      <c r="X107" s="539">
        <f t="shared" si="44"/>
        <v>0</v>
      </c>
      <c r="Y107" s="539">
        <f t="shared" si="44"/>
        <v>0</v>
      </c>
      <c r="Z107" s="539">
        <f t="shared" si="44"/>
        <v>0</v>
      </c>
      <c r="AA107" s="539">
        <f t="shared" si="44"/>
        <v>0</v>
      </c>
      <c r="AB107" s="539">
        <f t="shared" si="44"/>
        <v>0</v>
      </c>
      <c r="AC107" s="539">
        <f t="shared" si="44"/>
        <v>0</v>
      </c>
      <c r="AD107" s="539">
        <f t="shared" si="44"/>
        <v>0</v>
      </c>
      <c r="AE107" s="539">
        <f t="shared" si="44"/>
        <v>0</v>
      </c>
      <c r="AF107" s="539">
        <f t="shared" si="44"/>
        <v>0</v>
      </c>
      <c r="AG107" s="539">
        <f t="shared" si="44"/>
        <v>0</v>
      </c>
      <c r="AH107" s="539">
        <f t="shared" si="44"/>
        <v>0</v>
      </c>
      <c r="AI107" s="539">
        <f t="shared" si="44"/>
        <v>0</v>
      </c>
      <c r="AJ107" s="539">
        <f t="shared" si="44"/>
        <v>0</v>
      </c>
      <c r="AK107" s="539">
        <f t="shared" si="44"/>
        <v>0</v>
      </c>
      <c r="AL107" s="539">
        <f t="shared" si="44"/>
        <v>0</v>
      </c>
      <c r="AM107" s="539">
        <f t="shared" si="44"/>
        <v>0</v>
      </c>
      <c r="AN107" s="539">
        <f t="shared" si="44"/>
        <v>0</v>
      </c>
      <c r="AO107" s="539">
        <f t="shared" si="44"/>
        <v>0</v>
      </c>
      <c r="AP107" s="539">
        <f t="shared" si="44"/>
        <v>0</v>
      </c>
      <c r="AQ107" s="539">
        <f t="shared" si="44"/>
        <v>0</v>
      </c>
      <c r="AR107" s="539">
        <f t="shared" si="44"/>
        <v>0</v>
      </c>
      <c r="AS107" s="539">
        <f t="shared" si="44"/>
        <v>0</v>
      </c>
      <c r="AT107" s="539">
        <f t="shared" si="44"/>
        <v>0</v>
      </c>
      <c r="AU107" s="539">
        <f t="shared" si="44"/>
        <v>1739.5401273193352</v>
      </c>
      <c r="AV107" s="539">
        <f t="shared" si="44"/>
        <v>3479.0802546386703</v>
      </c>
      <c r="AW107" s="539">
        <f t="shared" si="44"/>
        <v>5218.620381958006</v>
      </c>
      <c r="AX107" s="539">
        <f t="shared" si="44"/>
        <v>5218.620381958006</v>
      </c>
      <c r="AY107" s="539">
        <f t="shared" si="44"/>
        <v>3479.0802546386708</v>
      </c>
      <c r="AZ107" s="539">
        <f t="shared" si="44"/>
        <v>1739.5401273193352</v>
      </c>
      <c r="BA107" s="539">
        <f t="shared" si="44"/>
        <v>0</v>
      </c>
      <c r="BB107" s="539">
        <f t="shared" si="44"/>
        <v>0</v>
      </c>
      <c r="BC107" s="539">
        <f t="shared" si="44"/>
        <v>0</v>
      </c>
      <c r="BD107" s="539">
        <f t="shared" si="44"/>
        <v>0</v>
      </c>
      <c r="BE107" s="539">
        <f t="shared" si="44"/>
        <v>0</v>
      </c>
      <c r="BF107" s="539">
        <f t="shared" si="44"/>
        <v>0</v>
      </c>
      <c r="BG107" s="539">
        <f t="shared" si="44"/>
        <v>0</v>
      </c>
      <c r="BH107" s="539">
        <f t="shared" si="44"/>
        <v>0</v>
      </c>
      <c r="BI107" s="539">
        <f t="shared" si="44"/>
        <v>0</v>
      </c>
      <c r="BJ107" s="539">
        <f t="shared" si="44"/>
        <v>0</v>
      </c>
      <c r="BK107" s="539">
        <f t="shared" si="44"/>
        <v>0</v>
      </c>
      <c r="BL107" s="539">
        <f t="shared" si="44"/>
        <v>0</v>
      </c>
      <c r="BM107" s="539">
        <f t="shared" si="44"/>
        <v>0</v>
      </c>
      <c r="BN107" s="539">
        <f t="shared" si="44"/>
        <v>0</v>
      </c>
      <c r="BO107" s="539">
        <f t="shared" si="44"/>
        <v>1968.1299867018984</v>
      </c>
      <c r="BP107" s="539">
        <f t="shared" si="44"/>
        <v>3936.2599734037967</v>
      </c>
      <c r="BQ107" s="539">
        <f t="shared" si="44"/>
        <v>5904.3899601056946</v>
      </c>
      <c r="BR107" s="539">
        <f t="shared" si="44"/>
        <v>5904.3899601056946</v>
      </c>
      <c r="BS107" s="539">
        <f t="shared" si="44"/>
        <v>3936.2599734037963</v>
      </c>
      <c r="BT107" s="539">
        <f t="shared" si="44"/>
        <v>1968.1299867018984</v>
      </c>
      <c r="BU107" s="539">
        <f t="shared" si="44"/>
        <v>0</v>
      </c>
      <c r="BV107" s="539">
        <f t="shared" si="44"/>
        <v>0</v>
      </c>
      <c r="BW107" s="539">
        <f t="shared" si="44"/>
        <v>0</v>
      </c>
      <c r="BX107" s="539">
        <f t="shared" si="44"/>
        <v>0</v>
      </c>
      <c r="BY107" s="539">
        <f t="shared" si="44"/>
        <v>0</v>
      </c>
      <c r="BZ107" s="539">
        <f t="shared" si="44"/>
        <v>0</v>
      </c>
      <c r="CA107" s="539">
        <f t="shared" si="44"/>
        <v>0</v>
      </c>
      <c r="CB107" s="539">
        <f t="shared" si="44"/>
        <v>0</v>
      </c>
      <c r="CC107" s="539">
        <f t="shared" si="44"/>
        <v>0</v>
      </c>
      <c r="CD107" s="539">
        <f t="shared" si="44"/>
        <v>0</v>
      </c>
      <c r="CE107" s="539">
        <f t="shared" si="44"/>
        <v>0</v>
      </c>
      <c r="CF107" s="539">
        <f t="shared" si="44"/>
        <v>0</v>
      </c>
      <c r="CG107" s="539">
        <f t="shared" si="44"/>
        <v>0</v>
      </c>
      <c r="CH107" s="539">
        <f t="shared" si="44"/>
        <v>0</v>
      </c>
      <c r="CI107" s="539">
        <f t="shared" si="44"/>
        <v>2226.7584309908434</v>
      </c>
      <c r="CJ107" s="539">
        <f t="shared" si="44"/>
        <v>4453.5168619816868</v>
      </c>
      <c r="CK107" s="539">
        <f t="shared" si="44"/>
        <v>6680.2752929725302</v>
      </c>
      <c r="CL107" s="539">
        <f t="shared" si="44"/>
        <v>6680.2752929725302</v>
      </c>
      <c r="CM107" s="539">
        <f t="shared" si="44"/>
        <v>4453.5168619816868</v>
      </c>
      <c r="CN107" s="539">
        <f t="shared" si="44"/>
        <v>2226.7584309908434</v>
      </c>
      <c r="CO107" s="539">
        <f t="shared" si="44"/>
        <v>0</v>
      </c>
      <c r="CP107" s="539">
        <f t="shared" si="44"/>
        <v>0</v>
      </c>
      <c r="CQ107" s="539">
        <f t="shared" si="44"/>
        <v>0</v>
      </c>
      <c r="CR107" s="539">
        <f t="shared" si="44"/>
        <v>0</v>
      </c>
      <c r="CS107" s="539">
        <f t="shared" si="44"/>
        <v>0</v>
      </c>
      <c r="CT107" s="539">
        <f t="shared" si="44"/>
        <v>0</v>
      </c>
      <c r="CU107" s="539">
        <f t="shared" si="44"/>
        <v>0</v>
      </c>
      <c r="CV107" s="539">
        <f t="shared" si="44"/>
        <v>0</v>
      </c>
      <c r="CW107" s="539">
        <f t="shared" si="44"/>
        <v>0</v>
      </c>
      <c r="CX107" s="539">
        <f t="shared" si="44"/>
        <v>0</v>
      </c>
      <c r="CY107" s="539">
        <f t="shared" si="44"/>
        <v>0</v>
      </c>
      <c r="CZ107" s="539">
        <f t="shared" si="44"/>
        <v>0</v>
      </c>
      <c r="DA107" s="539">
        <f t="shared" si="44"/>
        <v>0</v>
      </c>
      <c r="DB107" s="539">
        <f t="shared" si="44"/>
        <v>0</v>
      </c>
      <c r="DC107" s="539">
        <f t="shared" si="44"/>
        <v>2519.3727769464808</v>
      </c>
      <c r="DD107" s="539">
        <f t="shared" si="44"/>
        <v>5038.7455538929617</v>
      </c>
      <c r="DE107" s="539">
        <f t="shared" si="44"/>
        <v>7558.1183308394429</v>
      </c>
      <c r="DF107" s="539">
        <f t="shared" si="44"/>
        <v>7558.1183308394429</v>
      </c>
      <c r="DG107" s="539">
        <f t="shared" si="44"/>
        <v>5038.7455538929626</v>
      </c>
      <c r="DH107" s="539">
        <f t="shared" si="44"/>
        <v>2519.3727769464808</v>
      </c>
      <c r="DI107" s="539">
        <f t="shared" si="44"/>
        <v>0</v>
      </c>
      <c r="DJ107" s="539">
        <f t="shared" si="44"/>
        <v>0</v>
      </c>
      <c r="DK107" s="539">
        <f t="shared" si="44"/>
        <v>0</v>
      </c>
      <c r="DL107" s="539">
        <f t="shared" si="44"/>
        <v>0</v>
      </c>
      <c r="DM107" s="539">
        <f t="shared" si="44"/>
        <v>0</v>
      </c>
      <c r="DN107" s="539">
        <f t="shared" si="44"/>
        <v>0</v>
      </c>
      <c r="DO107" s="539">
        <f t="shared" si="44"/>
        <v>0</v>
      </c>
      <c r="DP107" s="539">
        <f t="shared" si="44"/>
        <v>0</v>
      </c>
      <c r="DQ107" s="539">
        <f t="shared" si="44"/>
        <v>0</v>
      </c>
      <c r="DR107" s="539">
        <f t="shared" si="44"/>
        <v>0</v>
      </c>
      <c r="DS107" s="539">
        <f t="shared" si="44"/>
        <v>0</v>
      </c>
      <c r="DT107" s="539">
        <f t="shared" si="44"/>
        <v>0</v>
      </c>
      <c r="DU107" s="539">
        <f t="shared" si="44"/>
        <v>0</v>
      </c>
      <c r="DV107" s="539">
        <f t="shared" si="44"/>
        <v>0</v>
      </c>
      <c r="DW107" s="539">
        <f t="shared" si="44"/>
        <v>0</v>
      </c>
      <c r="DX107" s="539">
        <f t="shared" si="44"/>
        <v>0</v>
      </c>
      <c r="DY107" s="539">
        <f t="shared" si="44"/>
        <v>0</v>
      </c>
      <c r="DZ107" s="539">
        <f t="shared" si="44"/>
        <v>0</v>
      </c>
      <c r="EA107" s="539">
        <f t="shared" si="44"/>
        <v>0</v>
      </c>
      <c r="EB107" s="539">
        <f t="shared" si="44"/>
        <v>0</v>
      </c>
      <c r="EC107" s="539">
        <f t="shared" si="44"/>
        <v>0</v>
      </c>
      <c r="ED107" s="539">
        <f t="shared" si="44"/>
        <v>0</v>
      </c>
      <c r="EE107" s="539">
        <f t="shared" si="44"/>
        <v>0</v>
      </c>
      <c r="EF107" s="539">
        <f t="shared" si="44"/>
        <v>0</v>
      </c>
      <c r="EG107" s="539">
        <f t="shared" si="44"/>
        <v>0</v>
      </c>
    </row>
    <row r="108" spans="5:137" ht="12.75">
      <c r="E108" s="538" t="str">
        <f>E$100</f>
        <v>MRA - release of balance above target</v>
      </c>
      <c r="G108" s="539" t="str">
        <f>G$100</f>
        <v>EUR 000s</v>
      </c>
      <c r="H108" s="539">
        <f>H$100</f>
        <v>1.3642420526593924E-12</v>
      </c>
      <c r="J108" s="539">
        <f t="shared" si="45" ref="J108:EG108">J$100</f>
        <v>0</v>
      </c>
      <c r="K108" s="539">
        <f t="shared" si="45"/>
        <v>0</v>
      </c>
      <c r="L108" s="539">
        <f t="shared" si="45"/>
        <v>0</v>
      </c>
      <c r="M108" s="539">
        <f t="shared" si="45"/>
        <v>0</v>
      </c>
      <c r="N108" s="539">
        <f t="shared" si="45"/>
        <v>0</v>
      </c>
      <c r="O108" s="539">
        <f t="shared" si="45"/>
        <v>0</v>
      </c>
      <c r="P108" s="539">
        <f t="shared" si="45"/>
        <v>0</v>
      </c>
      <c r="Q108" s="539">
        <f t="shared" si="45"/>
        <v>0</v>
      </c>
      <c r="R108" s="539">
        <f t="shared" si="45"/>
        <v>0</v>
      </c>
      <c r="S108" s="539">
        <f t="shared" si="45"/>
        <v>0</v>
      </c>
      <c r="T108" s="539">
        <f t="shared" si="45"/>
        <v>0</v>
      </c>
      <c r="U108" s="539">
        <f t="shared" si="45"/>
        <v>0</v>
      </c>
      <c r="V108" s="539">
        <f t="shared" si="45"/>
        <v>0</v>
      </c>
      <c r="W108" s="539">
        <f t="shared" si="45"/>
        <v>0</v>
      </c>
      <c r="X108" s="539">
        <f t="shared" si="45"/>
        <v>0</v>
      </c>
      <c r="Y108" s="539">
        <f t="shared" si="45"/>
        <v>0</v>
      </c>
      <c r="Z108" s="539">
        <f t="shared" si="45"/>
        <v>0</v>
      </c>
      <c r="AA108" s="539">
        <f t="shared" si="45"/>
        <v>0</v>
      </c>
      <c r="AB108" s="539">
        <f t="shared" si="45"/>
        <v>0</v>
      </c>
      <c r="AC108" s="539">
        <f t="shared" si="45"/>
        <v>0</v>
      </c>
      <c r="AD108" s="539">
        <f t="shared" si="45"/>
        <v>0</v>
      </c>
      <c r="AE108" s="539">
        <f t="shared" si="45"/>
        <v>0</v>
      </c>
      <c r="AF108" s="539">
        <f t="shared" si="45"/>
        <v>0</v>
      </c>
      <c r="AG108" s="539">
        <f t="shared" si="45"/>
        <v>0</v>
      </c>
      <c r="AH108" s="539">
        <f t="shared" si="45"/>
        <v>0</v>
      </c>
      <c r="AI108" s="539">
        <f t="shared" si="45"/>
        <v>0</v>
      </c>
      <c r="AJ108" s="539">
        <f t="shared" si="45"/>
        <v>0</v>
      </c>
      <c r="AK108" s="539">
        <f t="shared" si="45"/>
        <v>0</v>
      </c>
      <c r="AL108" s="539">
        <f t="shared" si="45"/>
        <v>0</v>
      </c>
      <c r="AM108" s="539">
        <f t="shared" si="45"/>
        <v>0</v>
      </c>
      <c r="AN108" s="539">
        <f t="shared" si="45"/>
        <v>0</v>
      </c>
      <c r="AO108" s="539">
        <f t="shared" si="45"/>
        <v>0</v>
      </c>
      <c r="AP108" s="539">
        <f t="shared" si="45"/>
        <v>0</v>
      </c>
      <c r="AQ108" s="539">
        <f t="shared" si="45"/>
        <v>0</v>
      </c>
      <c r="AR108" s="539">
        <f t="shared" si="45"/>
        <v>0</v>
      </c>
      <c r="AS108" s="539">
        <f t="shared" si="45"/>
        <v>0</v>
      </c>
      <c r="AT108" s="539">
        <f t="shared" si="45"/>
        <v>0</v>
      </c>
      <c r="AU108" s="539">
        <f t="shared" si="45"/>
        <v>0</v>
      </c>
      <c r="AV108" s="539">
        <f t="shared" si="45"/>
        <v>0</v>
      </c>
      <c r="AW108" s="539">
        <f t="shared" si="45"/>
        <v>0</v>
      </c>
      <c r="AX108" s="539">
        <f t="shared" si="45"/>
        <v>0</v>
      </c>
      <c r="AY108" s="539">
        <f t="shared" si="45"/>
        <v>4.5474735088646412E-13</v>
      </c>
      <c r="AZ108" s="539">
        <f t="shared" si="45"/>
        <v>0</v>
      </c>
      <c r="BA108" s="539">
        <f t="shared" si="45"/>
        <v>0</v>
      </c>
      <c r="BB108" s="539">
        <f t="shared" si="45"/>
        <v>0</v>
      </c>
      <c r="BC108" s="539">
        <f t="shared" si="45"/>
        <v>0</v>
      </c>
      <c r="BD108" s="539">
        <f t="shared" si="45"/>
        <v>0</v>
      </c>
      <c r="BE108" s="539">
        <f t="shared" si="45"/>
        <v>0</v>
      </c>
      <c r="BF108" s="539">
        <f t="shared" si="45"/>
        <v>0</v>
      </c>
      <c r="BG108" s="539">
        <f t="shared" si="45"/>
        <v>0</v>
      </c>
      <c r="BH108" s="539">
        <f t="shared" si="45"/>
        <v>0</v>
      </c>
      <c r="BI108" s="539">
        <f t="shared" si="45"/>
        <v>0</v>
      </c>
      <c r="BJ108" s="539">
        <f t="shared" si="45"/>
        <v>0</v>
      </c>
      <c r="BK108" s="539">
        <f t="shared" si="45"/>
        <v>0</v>
      </c>
      <c r="BL108" s="539">
        <f t="shared" si="45"/>
        <v>0</v>
      </c>
      <c r="BM108" s="539">
        <f t="shared" si="45"/>
        <v>0</v>
      </c>
      <c r="BN108" s="539">
        <f t="shared" si="45"/>
        <v>0</v>
      </c>
      <c r="BO108" s="539">
        <f t="shared" si="45"/>
        <v>0</v>
      </c>
      <c r="BP108" s="539">
        <f t="shared" si="45"/>
        <v>0</v>
      </c>
      <c r="BQ108" s="539">
        <f t="shared" si="45"/>
        <v>0</v>
      </c>
      <c r="BR108" s="539">
        <f t="shared" si="45"/>
        <v>0</v>
      </c>
      <c r="BS108" s="539">
        <f t="shared" si="45"/>
        <v>0</v>
      </c>
      <c r="BT108" s="539">
        <f t="shared" si="45"/>
        <v>0</v>
      </c>
      <c r="BU108" s="539">
        <f t="shared" si="45"/>
        <v>0</v>
      </c>
      <c r="BV108" s="539">
        <f t="shared" si="45"/>
        <v>0</v>
      </c>
      <c r="BW108" s="539">
        <f t="shared" si="45"/>
        <v>0</v>
      </c>
      <c r="BX108" s="539">
        <f t="shared" si="45"/>
        <v>0</v>
      </c>
      <c r="BY108" s="539">
        <f t="shared" si="45"/>
        <v>0</v>
      </c>
      <c r="BZ108" s="539">
        <f t="shared" si="45"/>
        <v>0</v>
      </c>
      <c r="CA108" s="539">
        <f t="shared" si="45"/>
        <v>0</v>
      </c>
      <c r="CB108" s="539">
        <f t="shared" si="45"/>
        <v>0</v>
      </c>
      <c r="CC108" s="539">
        <f t="shared" si="45"/>
        <v>0</v>
      </c>
      <c r="CD108" s="539">
        <f t="shared" si="45"/>
        <v>0</v>
      </c>
      <c r="CE108" s="539">
        <f t="shared" si="45"/>
        <v>0</v>
      </c>
      <c r="CF108" s="539">
        <f t="shared" si="45"/>
        <v>0</v>
      </c>
      <c r="CG108" s="539">
        <f t="shared" si="45"/>
        <v>0</v>
      </c>
      <c r="CH108" s="539">
        <f t="shared" si="45"/>
        <v>0</v>
      </c>
      <c r="CI108" s="539">
        <f t="shared" si="45"/>
        <v>0</v>
      </c>
      <c r="CJ108" s="539">
        <f t="shared" si="45"/>
        <v>0</v>
      </c>
      <c r="CK108" s="539">
        <f t="shared" si="45"/>
        <v>0</v>
      </c>
      <c r="CL108" s="539">
        <f t="shared" si="45"/>
        <v>0</v>
      </c>
      <c r="CM108" s="539">
        <f t="shared" si="45"/>
        <v>0</v>
      </c>
      <c r="CN108" s="539">
        <f t="shared" si="45"/>
        <v>0</v>
      </c>
      <c r="CO108" s="539">
        <f t="shared" si="45"/>
        <v>0</v>
      </c>
      <c r="CP108" s="539">
        <f t="shared" si="45"/>
        <v>0</v>
      </c>
      <c r="CQ108" s="539">
        <f t="shared" si="45"/>
        <v>0</v>
      </c>
      <c r="CR108" s="539">
        <f t="shared" si="45"/>
        <v>0</v>
      </c>
      <c r="CS108" s="539">
        <f t="shared" si="45"/>
        <v>0</v>
      </c>
      <c r="CT108" s="539">
        <f t="shared" si="45"/>
        <v>0</v>
      </c>
      <c r="CU108" s="539">
        <f t="shared" si="45"/>
        <v>0</v>
      </c>
      <c r="CV108" s="539">
        <f t="shared" si="45"/>
        <v>0</v>
      </c>
      <c r="CW108" s="539">
        <f t="shared" si="45"/>
        <v>0</v>
      </c>
      <c r="CX108" s="539">
        <f t="shared" si="45"/>
        <v>0</v>
      </c>
      <c r="CY108" s="539">
        <f t="shared" si="45"/>
        <v>0</v>
      </c>
      <c r="CZ108" s="539">
        <f t="shared" si="45"/>
        <v>0</v>
      </c>
      <c r="DA108" s="539">
        <f t="shared" si="45"/>
        <v>0</v>
      </c>
      <c r="DB108" s="539">
        <f t="shared" si="45"/>
        <v>0</v>
      </c>
      <c r="DC108" s="539">
        <f t="shared" si="45"/>
        <v>0</v>
      </c>
      <c r="DD108" s="539">
        <f t="shared" si="45"/>
        <v>0</v>
      </c>
      <c r="DE108" s="539">
        <f t="shared" si="45"/>
        <v>0</v>
      </c>
      <c r="DF108" s="539">
        <f t="shared" si="45"/>
        <v>0</v>
      </c>
      <c r="DG108" s="539">
        <f t="shared" si="45"/>
        <v>9.0949470177292824E-13</v>
      </c>
      <c r="DH108" s="539">
        <f t="shared" si="45"/>
        <v>0</v>
      </c>
      <c r="DI108" s="539">
        <f t="shared" si="45"/>
        <v>0</v>
      </c>
      <c r="DJ108" s="539">
        <f t="shared" si="45"/>
        <v>0</v>
      </c>
      <c r="DK108" s="539">
        <f t="shared" si="45"/>
        <v>0</v>
      </c>
      <c r="DL108" s="539">
        <f t="shared" si="45"/>
        <v>0</v>
      </c>
      <c r="DM108" s="539">
        <f t="shared" si="45"/>
        <v>0</v>
      </c>
      <c r="DN108" s="539">
        <f t="shared" si="45"/>
        <v>0</v>
      </c>
      <c r="DO108" s="539">
        <f t="shared" si="45"/>
        <v>0</v>
      </c>
      <c r="DP108" s="539">
        <f t="shared" si="45"/>
        <v>0</v>
      </c>
      <c r="DQ108" s="539">
        <f t="shared" si="45"/>
        <v>0</v>
      </c>
      <c r="DR108" s="539">
        <f t="shared" si="45"/>
        <v>0</v>
      </c>
      <c r="DS108" s="539">
        <f t="shared" si="45"/>
        <v>0</v>
      </c>
      <c r="DT108" s="539">
        <f t="shared" si="45"/>
        <v>0</v>
      </c>
      <c r="DU108" s="539">
        <f t="shared" si="45"/>
        <v>0</v>
      </c>
      <c r="DV108" s="539">
        <f t="shared" si="45"/>
        <v>0</v>
      </c>
      <c r="DW108" s="539">
        <f t="shared" si="45"/>
        <v>0</v>
      </c>
      <c r="DX108" s="539">
        <f t="shared" si="45"/>
        <v>0</v>
      </c>
      <c r="DY108" s="539">
        <f t="shared" si="45"/>
        <v>0</v>
      </c>
      <c r="DZ108" s="539">
        <f t="shared" si="45"/>
        <v>0</v>
      </c>
      <c r="EA108" s="539">
        <f t="shared" si="45"/>
        <v>0</v>
      </c>
      <c r="EB108" s="539">
        <f t="shared" si="45"/>
        <v>0</v>
      </c>
      <c r="EC108" s="539">
        <f t="shared" si="45"/>
        <v>0</v>
      </c>
      <c r="ED108" s="539">
        <f t="shared" si="45"/>
        <v>0</v>
      </c>
      <c r="EE108" s="539">
        <f t="shared" si="45"/>
        <v>0</v>
      </c>
      <c r="EF108" s="539">
        <f t="shared" si="45"/>
        <v>0</v>
      </c>
      <c r="EG108" s="539">
        <f t="shared" si="45"/>
        <v>0</v>
      </c>
    </row>
    <row r="109" spans="5:137" ht="12.75">
      <c r="E109" s="538" t="str">
        <f>E$105</f>
        <v>MRA - deposit towards target</v>
      </c>
      <c r="G109" s="539" t="str">
        <f>G$105</f>
        <v>EUR 000s</v>
      </c>
      <c r="H109" s="539">
        <f>H$105</f>
        <v>33815.205287834237</v>
      </c>
      <c r="J109" s="539">
        <f t="shared" si="46" ref="J109:EG109">J$105</f>
        <v>0</v>
      </c>
      <c r="K109" s="539">
        <f t="shared" si="46"/>
        <v>0</v>
      </c>
      <c r="L109" s="539">
        <f t="shared" si="46"/>
        <v>0</v>
      </c>
      <c r="M109" s="539">
        <f t="shared" si="46"/>
        <v>0</v>
      </c>
      <c r="N109" s="539">
        <f t="shared" si="46"/>
        <v>0</v>
      </c>
      <c r="O109" s="539">
        <f t="shared" si="46"/>
        <v>0</v>
      </c>
      <c r="P109" s="539">
        <f t="shared" si="46"/>
        <v>0</v>
      </c>
      <c r="Q109" s="539">
        <f t="shared" si="46"/>
        <v>0</v>
      </c>
      <c r="R109" s="539">
        <f t="shared" si="46"/>
        <v>0</v>
      </c>
      <c r="S109" s="539">
        <f t="shared" si="46"/>
        <v>0</v>
      </c>
      <c r="T109" s="539">
        <f t="shared" si="46"/>
        <v>0</v>
      </c>
      <c r="U109" s="539">
        <f t="shared" si="46"/>
        <v>0</v>
      </c>
      <c r="V109" s="539">
        <f t="shared" si="46"/>
        <v>0</v>
      </c>
      <c r="W109" s="539">
        <f t="shared" si="46"/>
        <v>0</v>
      </c>
      <c r="X109" s="539">
        <f t="shared" si="46"/>
        <v>0</v>
      </c>
      <c r="Y109" s="539">
        <f t="shared" si="46"/>
        <v>0</v>
      </c>
      <c r="Z109" s="539">
        <f t="shared" si="46"/>
        <v>0</v>
      </c>
      <c r="AA109" s="539">
        <f t="shared" si="46"/>
        <v>0</v>
      </c>
      <c r="AB109" s="539">
        <f t="shared" si="46"/>
        <v>0</v>
      </c>
      <c r="AC109" s="539">
        <f t="shared" si="46"/>
        <v>0</v>
      </c>
      <c r="AD109" s="539">
        <f t="shared" si="46"/>
        <v>0</v>
      </c>
      <c r="AE109" s="539">
        <f t="shared" si="46"/>
        <v>0</v>
      </c>
      <c r="AF109" s="539">
        <f t="shared" si="46"/>
        <v>0</v>
      </c>
      <c r="AG109" s="539">
        <f t="shared" si="46"/>
        <v>0</v>
      </c>
      <c r="AH109" s="539">
        <f t="shared" si="46"/>
        <v>0</v>
      </c>
      <c r="AI109" s="539">
        <f t="shared" si="46"/>
        <v>0</v>
      </c>
      <c r="AJ109" s="539">
        <f t="shared" si="46"/>
        <v>0</v>
      </c>
      <c r="AK109" s="539">
        <f t="shared" si="46"/>
        <v>0</v>
      </c>
      <c r="AL109" s="539">
        <f t="shared" si="46"/>
        <v>0</v>
      </c>
      <c r="AM109" s="539">
        <f t="shared" si="46"/>
        <v>0</v>
      </c>
      <c r="AN109" s="539">
        <f t="shared" si="46"/>
        <v>0</v>
      </c>
      <c r="AO109" s="539">
        <f t="shared" si="46"/>
        <v>0</v>
      </c>
      <c r="AP109" s="539">
        <f t="shared" si="46"/>
        <v>0</v>
      </c>
      <c r="AQ109" s="539">
        <f t="shared" si="46"/>
        <v>0</v>
      </c>
      <c r="AR109" s="539">
        <f t="shared" si="46"/>
        <v>0</v>
      </c>
      <c r="AS109" s="539">
        <f t="shared" si="46"/>
        <v>0</v>
      </c>
      <c r="AT109" s="539">
        <f t="shared" si="46"/>
        <v>1739.5401273193352</v>
      </c>
      <c r="AU109" s="539">
        <f t="shared" si="46"/>
        <v>1739.5401273193352</v>
      </c>
      <c r="AV109" s="539">
        <f t="shared" si="46"/>
        <v>1739.5401273193356</v>
      </c>
      <c r="AW109" s="539">
        <f t="shared" si="46"/>
        <v>1739.5401273193347</v>
      </c>
      <c r="AX109" s="539">
        <f t="shared" si="46"/>
        <v>0</v>
      </c>
      <c r="AY109" s="539">
        <f t="shared" si="46"/>
        <v>0</v>
      </c>
      <c r="AZ109" s="539">
        <f t="shared" si="46"/>
        <v>0</v>
      </c>
      <c r="BA109" s="539">
        <f t="shared" si="46"/>
        <v>0</v>
      </c>
      <c r="BB109" s="539">
        <f t="shared" si="46"/>
        <v>0</v>
      </c>
      <c r="BC109" s="539">
        <f t="shared" si="46"/>
        <v>0</v>
      </c>
      <c r="BD109" s="539">
        <f t="shared" si="46"/>
        <v>0</v>
      </c>
      <c r="BE109" s="539">
        <f t="shared" si="46"/>
        <v>0</v>
      </c>
      <c r="BF109" s="539">
        <f t="shared" si="46"/>
        <v>0</v>
      </c>
      <c r="BG109" s="539">
        <f t="shared" si="46"/>
        <v>0</v>
      </c>
      <c r="BH109" s="539">
        <f t="shared" si="46"/>
        <v>0</v>
      </c>
      <c r="BI109" s="539">
        <f t="shared" si="46"/>
        <v>0</v>
      </c>
      <c r="BJ109" s="539">
        <f t="shared" si="46"/>
        <v>0</v>
      </c>
      <c r="BK109" s="539">
        <f t="shared" si="46"/>
        <v>0</v>
      </c>
      <c r="BL109" s="539">
        <f t="shared" si="46"/>
        <v>0</v>
      </c>
      <c r="BM109" s="539">
        <f t="shared" si="46"/>
        <v>0</v>
      </c>
      <c r="BN109" s="539">
        <f t="shared" si="46"/>
        <v>1968.1299867018984</v>
      </c>
      <c r="BO109" s="539">
        <f t="shared" si="46"/>
        <v>1968.1299867018984</v>
      </c>
      <c r="BP109" s="539">
        <f t="shared" si="46"/>
        <v>1968.1299867018979</v>
      </c>
      <c r="BQ109" s="539">
        <f t="shared" si="46"/>
        <v>1968.1299867018988</v>
      </c>
      <c r="BR109" s="539">
        <f t="shared" si="46"/>
        <v>0</v>
      </c>
      <c r="BS109" s="539">
        <f t="shared" si="46"/>
        <v>4.5474735088646412E-13</v>
      </c>
      <c r="BT109" s="539">
        <f t="shared" si="46"/>
        <v>0</v>
      </c>
      <c r="BU109" s="539">
        <f t="shared" si="46"/>
        <v>0</v>
      </c>
      <c r="BV109" s="539">
        <f t="shared" si="46"/>
        <v>0</v>
      </c>
      <c r="BW109" s="539">
        <f t="shared" si="46"/>
        <v>0</v>
      </c>
      <c r="BX109" s="539">
        <f t="shared" si="46"/>
        <v>0</v>
      </c>
      <c r="BY109" s="539">
        <f t="shared" si="46"/>
        <v>0</v>
      </c>
      <c r="BZ109" s="539">
        <f t="shared" si="46"/>
        <v>0</v>
      </c>
      <c r="CA109" s="539">
        <f t="shared" si="46"/>
        <v>0</v>
      </c>
      <c r="CB109" s="539">
        <f t="shared" si="46"/>
        <v>0</v>
      </c>
      <c r="CC109" s="539">
        <f t="shared" si="46"/>
        <v>0</v>
      </c>
      <c r="CD109" s="539">
        <f t="shared" si="46"/>
        <v>0</v>
      </c>
      <c r="CE109" s="539">
        <f t="shared" si="46"/>
        <v>0</v>
      </c>
      <c r="CF109" s="539">
        <f t="shared" si="46"/>
        <v>0</v>
      </c>
      <c r="CG109" s="539">
        <f t="shared" si="46"/>
        <v>0</v>
      </c>
      <c r="CH109" s="539">
        <f t="shared" si="46"/>
        <v>2226.7584309908434</v>
      </c>
      <c r="CI109" s="539">
        <f t="shared" si="46"/>
        <v>2226.7584309908434</v>
      </c>
      <c r="CJ109" s="539">
        <f t="shared" si="46"/>
        <v>2226.7584309908434</v>
      </c>
      <c r="CK109" s="539">
        <f t="shared" si="46"/>
        <v>2226.7584309908434</v>
      </c>
      <c r="CL109" s="539">
        <f t="shared" si="46"/>
        <v>0</v>
      </c>
      <c r="CM109" s="539">
        <f t="shared" si="46"/>
        <v>0</v>
      </c>
      <c r="CN109" s="539">
        <f t="shared" si="46"/>
        <v>0</v>
      </c>
      <c r="CO109" s="539">
        <f t="shared" si="46"/>
        <v>0</v>
      </c>
      <c r="CP109" s="539">
        <f t="shared" si="46"/>
        <v>0</v>
      </c>
      <c r="CQ109" s="539">
        <f t="shared" si="46"/>
        <v>0</v>
      </c>
      <c r="CR109" s="539">
        <f t="shared" si="46"/>
        <v>0</v>
      </c>
      <c r="CS109" s="539">
        <f t="shared" si="46"/>
        <v>0</v>
      </c>
      <c r="CT109" s="539">
        <f t="shared" si="46"/>
        <v>0</v>
      </c>
      <c r="CU109" s="539">
        <f t="shared" si="46"/>
        <v>0</v>
      </c>
      <c r="CV109" s="539">
        <f t="shared" si="46"/>
        <v>0</v>
      </c>
      <c r="CW109" s="539">
        <f t="shared" si="46"/>
        <v>0</v>
      </c>
      <c r="CX109" s="539">
        <f t="shared" si="46"/>
        <v>0</v>
      </c>
      <c r="CY109" s="539">
        <f t="shared" si="46"/>
        <v>0</v>
      </c>
      <c r="CZ109" s="539">
        <f t="shared" si="46"/>
        <v>0</v>
      </c>
      <c r="DA109" s="539">
        <f t="shared" si="46"/>
        <v>0</v>
      </c>
      <c r="DB109" s="539">
        <f t="shared" si="46"/>
        <v>2519.3727769464808</v>
      </c>
      <c r="DC109" s="539">
        <f t="shared" si="46"/>
        <v>2519.3727769464808</v>
      </c>
      <c r="DD109" s="539">
        <f t="shared" si="46"/>
        <v>2519.3727769464813</v>
      </c>
      <c r="DE109" s="539">
        <f t="shared" si="46"/>
        <v>2519.3727769464804</v>
      </c>
      <c r="DF109" s="539">
        <f t="shared" si="46"/>
        <v>0</v>
      </c>
      <c r="DG109" s="539">
        <f t="shared" si="46"/>
        <v>0</v>
      </c>
      <c r="DH109" s="539">
        <f t="shared" si="46"/>
        <v>0</v>
      </c>
      <c r="DI109" s="539">
        <f t="shared" si="46"/>
        <v>0</v>
      </c>
      <c r="DJ109" s="539">
        <f t="shared" si="46"/>
        <v>0</v>
      </c>
      <c r="DK109" s="539">
        <f t="shared" si="46"/>
        <v>0</v>
      </c>
      <c r="DL109" s="539">
        <f t="shared" si="46"/>
        <v>0</v>
      </c>
      <c r="DM109" s="539">
        <f t="shared" si="46"/>
        <v>0</v>
      </c>
      <c r="DN109" s="539">
        <f t="shared" si="46"/>
        <v>0</v>
      </c>
      <c r="DO109" s="539">
        <f t="shared" si="46"/>
        <v>0</v>
      </c>
      <c r="DP109" s="539">
        <f t="shared" si="46"/>
        <v>0</v>
      </c>
      <c r="DQ109" s="539">
        <f t="shared" si="46"/>
        <v>0</v>
      </c>
      <c r="DR109" s="539">
        <f t="shared" si="46"/>
        <v>0</v>
      </c>
      <c r="DS109" s="539">
        <f t="shared" si="46"/>
        <v>0</v>
      </c>
      <c r="DT109" s="539">
        <f t="shared" si="46"/>
        <v>0</v>
      </c>
      <c r="DU109" s="539">
        <f t="shared" si="46"/>
        <v>0</v>
      </c>
      <c r="DV109" s="539">
        <f t="shared" si="46"/>
        <v>0</v>
      </c>
      <c r="DW109" s="539">
        <f t="shared" si="46"/>
        <v>0</v>
      </c>
      <c r="DX109" s="539">
        <f t="shared" si="46"/>
        <v>0</v>
      </c>
      <c r="DY109" s="539">
        <f t="shared" si="46"/>
        <v>0</v>
      </c>
      <c r="DZ109" s="539">
        <f t="shared" si="46"/>
        <v>0</v>
      </c>
      <c r="EA109" s="539">
        <f t="shared" si="46"/>
        <v>0</v>
      </c>
      <c r="EB109" s="539">
        <f t="shared" si="46"/>
        <v>0</v>
      </c>
      <c r="EC109" s="539">
        <f t="shared" si="46"/>
        <v>0</v>
      </c>
      <c r="ED109" s="539">
        <f t="shared" si="46"/>
        <v>0</v>
      </c>
      <c r="EE109" s="539">
        <f t="shared" si="46"/>
        <v>0</v>
      </c>
      <c r="EF109" s="539">
        <f t="shared" si="46"/>
        <v>0</v>
      </c>
      <c r="EG109" s="539">
        <f t="shared" si="46"/>
        <v>0</v>
      </c>
    </row>
    <row r="110" spans="5:137" ht="12.75">
      <c r="E110" s="540" t="s">
        <v>385</v>
      </c>
      <c r="G110" s="541" t="s">
        <v>30</v>
      </c>
      <c r="H110" s="541">
        <f>SUM(J110:EG110)</f>
        <v>135260.82115133689</v>
      </c>
      <c r="J110" s="541">
        <f t="shared" si="47" ref="J110:EG110">J107-J108+J109</f>
        <v>0</v>
      </c>
      <c r="K110" s="541">
        <f t="shared" si="47"/>
        <v>0</v>
      </c>
      <c r="L110" s="541">
        <f t="shared" si="47"/>
        <v>0</v>
      </c>
      <c r="M110" s="541">
        <f t="shared" si="47"/>
        <v>0</v>
      </c>
      <c r="N110" s="541">
        <f t="shared" si="47"/>
        <v>0</v>
      </c>
      <c r="O110" s="541">
        <f t="shared" si="47"/>
        <v>0</v>
      </c>
      <c r="P110" s="541">
        <f t="shared" si="47"/>
        <v>0</v>
      </c>
      <c r="Q110" s="541">
        <f t="shared" si="47"/>
        <v>0</v>
      </c>
      <c r="R110" s="541">
        <f t="shared" si="47"/>
        <v>0</v>
      </c>
      <c r="S110" s="541">
        <f t="shared" si="47"/>
        <v>0</v>
      </c>
      <c r="T110" s="541">
        <f t="shared" si="47"/>
        <v>0</v>
      </c>
      <c r="U110" s="541">
        <f t="shared" si="47"/>
        <v>0</v>
      </c>
      <c r="V110" s="541">
        <f t="shared" si="47"/>
        <v>0</v>
      </c>
      <c r="W110" s="541">
        <f t="shared" si="47"/>
        <v>0</v>
      </c>
      <c r="X110" s="541">
        <f t="shared" si="47"/>
        <v>0</v>
      </c>
      <c r="Y110" s="541">
        <f t="shared" si="47"/>
        <v>0</v>
      </c>
      <c r="Z110" s="541">
        <f t="shared" si="47"/>
        <v>0</v>
      </c>
      <c r="AA110" s="541">
        <f t="shared" si="47"/>
        <v>0</v>
      </c>
      <c r="AB110" s="541">
        <f t="shared" si="47"/>
        <v>0</v>
      </c>
      <c r="AC110" s="541">
        <f t="shared" si="47"/>
        <v>0</v>
      </c>
      <c r="AD110" s="541">
        <f t="shared" si="47"/>
        <v>0</v>
      </c>
      <c r="AE110" s="541">
        <f t="shared" si="47"/>
        <v>0</v>
      </c>
      <c r="AF110" s="541">
        <f t="shared" si="47"/>
        <v>0</v>
      </c>
      <c r="AG110" s="541">
        <f t="shared" si="47"/>
        <v>0</v>
      </c>
      <c r="AH110" s="541">
        <f t="shared" si="47"/>
        <v>0</v>
      </c>
      <c r="AI110" s="541">
        <f t="shared" si="47"/>
        <v>0</v>
      </c>
      <c r="AJ110" s="541">
        <f t="shared" si="47"/>
        <v>0</v>
      </c>
      <c r="AK110" s="541">
        <f t="shared" si="47"/>
        <v>0</v>
      </c>
      <c r="AL110" s="541">
        <f t="shared" si="47"/>
        <v>0</v>
      </c>
      <c r="AM110" s="541">
        <f t="shared" si="47"/>
        <v>0</v>
      </c>
      <c r="AN110" s="541">
        <f t="shared" si="47"/>
        <v>0</v>
      </c>
      <c r="AO110" s="541">
        <f t="shared" si="47"/>
        <v>0</v>
      </c>
      <c r="AP110" s="541">
        <f t="shared" si="47"/>
        <v>0</v>
      </c>
      <c r="AQ110" s="541">
        <f t="shared" si="47"/>
        <v>0</v>
      </c>
      <c r="AR110" s="541">
        <f t="shared" si="47"/>
        <v>0</v>
      </c>
      <c r="AS110" s="541">
        <f t="shared" si="47"/>
        <v>0</v>
      </c>
      <c r="AT110" s="541">
        <f t="shared" si="47"/>
        <v>1739.5401273193352</v>
      </c>
      <c r="AU110" s="541">
        <f t="shared" si="47"/>
        <v>3479.0802546386703</v>
      </c>
      <c r="AV110" s="541">
        <f t="shared" si="47"/>
        <v>5218.620381958006</v>
      </c>
      <c r="AW110" s="541">
        <f t="shared" si="47"/>
        <v>6958.1605092773407</v>
      </c>
      <c r="AX110" s="541">
        <f t="shared" si="47"/>
        <v>5218.620381958006</v>
      </c>
      <c r="AY110" s="541">
        <f t="shared" si="47"/>
        <v>3479.0802546386703</v>
      </c>
      <c r="AZ110" s="541">
        <f t="shared" si="47"/>
        <v>1739.5401273193352</v>
      </c>
      <c r="BA110" s="541">
        <f t="shared" si="47"/>
        <v>0</v>
      </c>
      <c r="BB110" s="541">
        <f t="shared" si="47"/>
        <v>0</v>
      </c>
      <c r="BC110" s="541">
        <f t="shared" si="47"/>
        <v>0</v>
      </c>
      <c r="BD110" s="541">
        <f t="shared" si="47"/>
        <v>0</v>
      </c>
      <c r="BE110" s="541">
        <f t="shared" si="47"/>
        <v>0</v>
      </c>
      <c r="BF110" s="541">
        <f t="shared" si="47"/>
        <v>0</v>
      </c>
      <c r="BG110" s="541">
        <f t="shared" si="47"/>
        <v>0</v>
      </c>
      <c r="BH110" s="541">
        <f t="shared" si="47"/>
        <v>0</v>
      </c>
      <c r="BI110" s="541">
        <f t="shared" si="47"/>
        <v>0</v>
      </c>
      <c r="BJ110" s="541">
        <f t="shared" si="47"/>
        <v>0</v>
      </c>
      <c r="BK110" s="541">
        <f t="shared" si="47"/>
        <v>0</v>
      </c>
      <c r="BL110" s="541">
        <f t="shared" si="47"/>
        <v>0</v>
      </c>
      <c r="BM110" s="541">
        <f t="shared" si="47"/>
        <v>0</v>
      </c>
      <c r="BN110" s="541">
        <f t="shared" si="47"/>
        <v>1968.1299867018984</v>
      </c>
      <c r="BO110" s="541">
        <f t="shared" si="47"/>
        <v>3936.2599734037967</v>
      </c>
      <c r="BP110" s="541">
        <f t="shared" si="47"/>
        <v>5904.3899601056946</v>
      </c>
      <c r="BQ110" s="541">
        <f t="shared" si="47"/>
        <v>7872.5199468075934</v>
      </c>
      <c r="BR110" s="541">
        <f t="shared" si="47"/>
        <v>5904.3899601056946</v>
      </c>
      <c r="BS110" s="541">
        <f t="shared" si="47"/>
        <v>3936.2599734037967</v>
      </c>
      <c r="BT110" s="541">
        <f t="shared" si="47"/>
        <v>1968.1299867018984</v>
      </c>
      <c r="BU110" s="541">
        <f t="shared" si="47"/>
        <v>0</v>
      </c>
      <c r="BV110" s="541">
        <f t="shared" si="47"/>
        <v>0</v>
      </c>
      <c r="BW110" s="541">
        <f t="shared" si="47"/>
        <v>0</v>
      </c>
      <c r="BX110" s="541">
        <f t="shared" si="47"/>
        <v>0</v>
      </c>
      <c r="BY110" s="541">
        <f t="shared" si="47"/>
        <v>0</v>
      </c>
      <c r="BZ110" s="541">
        <f t="shared" si="47"/>
        <v>0</v>
      </c>
      <c r="CA110" s="541">
        <f t="shared" si="47"/>
        <v>0</v>
      </c>
      <c r="CB110" s="541">
        <f t="shared" si="47"/>
        <v>0</v>
      </c>
      <c r="CC110" s="541">
        <f t="shared" si="47"/>
        <v>0</v>
      </c>
      <c r="CD110" s="541">
        <f t="shared" si="47"/>
        <v>0</v>
      </c>
      <c r="CE110" s="541">
        <f t="shared" si="47"/>
        <v>0</v>
      </c>
      <c r="CF110" s="541">
        <f t="shared" si="47"/>
        <v>0</v>
      </c>
      <c r="CG110" s="541">
        <f t="shared" si="47"/>
        <v>0</v>
      </c>
      <c r="CH110" s="541">
        <f t="shared" si="47"/>
        <v>2226.7584309908434</v>
      </c>
      <c r="CI110" s="541">
        <f t="shared" si="47"/>
        <v>4453.5168619816868</v>
      </c>
      <c r="CJ110" s="541">
        <f t="shared" si="47"/>
        <v>6680.2752929725302</v>
      </c>
      <c r="CK110" s="541">
        <f t="shared" si="47"/>
        <v>8907.0337239633736</v>
      </c>
      <c r="CL110" s="541">
        <f t="shared" si="47"/>
        <v>6680.2752929725302</v>
      </c>
      <c r="CM110" s="541">
        <f t="shared" si="47"/>
        <v>4453.5168619816868</v>
      </c>
      <c r="CN110" s="541">
        <f t="shared" si="47"/>
        <v>2226.7584309908434</v>
      </c>
      <c r="CO110" s="541">
        <f t="shared" si="47"/>
        <v>0</v>
      </c>
      <c r="CP110" s="541">
        <f t="shared" si="47"/>
        <v>0</v>
      </c>
      <c r="CQ110" s="541">
        <f t="shared" si="47"/>
        <v>0</v>
      </c>
      <c r="CR110" s="541">
        <f t="shared" si="47"/>
        <v>0</v>
      </c>
      <c r="CS110" s="541">
        <f t="shared" si="47"/>
        <v>0</v>
      </c>
      <c r="CT110" s="541">
        <f t="shared" si="47"/>
        <v>0</v>
      </c>
      <c r="CU110" s="541">
        <f t="shared" si="47"/>
        <v>0</v>
      </c>
      <c r="CV110" s="541">
        <f t="shared" si="47"/>
        <v>0</v>
      </c>
      <c r="CW110" s="541">
        <f t="shared" si="47"/>
        <v>0</v>
      </c>
      <c r="CX110" s="541">
        <f t="shared" si="47"/>
        <v>0</v>
      </c>
      <c r="CY110" s="541">
        <f t="shared" si="47"/>
        <v>0</v>
      </c>
      <c r="CZ110" s="541">
        <f t="shared" si="47"/>
        <v>0</v>
      </c>
      <c r="DA110" s="541">
        <f t="shared" si="47"/>
        <v>0</v>
      </c>
      <c r="DB110" s="541">
        <f t="shared" si="47"/>
        <v>2519.3727769464808</v>
      </c>
      <c r="DC110" s="541">
        <f t="shared" si="47"/>
        <v>5038.7455538929617</v>
      </c>
      <c r="DD110" s="541">
        <f t="shared" si="47"/>
        <v>7558.1183308394429</v>
      </c>
      <c r="DE110" s="541">
        <f t="shared" si="47"/>
        <v>10077.491107785923</v>
      </c>
      <c r="DF110" s="541">
        <f t="shared" si="47"/>
        <v>7558.1183308394429</v>
      </c>
      <c r="DG110" s="541">
        <f t="shared" si="47"/>
        <v>5038.7455538929617</v>
      </c>
      <c r="DH110" s="541">
        <f t="shared" si="47"/>
        <v>2519.3727769464808</v>
      </c>
      <c r="DI110" s="541">
        <f t="shared" si="47"/>
        <v>0</v>
      </c>
      <c r="DJ110" s="541">
        <f t="shared" si="47"/>
        <v>0</v>
      </c>
      <c r="DK110" s="541">
        <f t="shared" si="47"/>
        <v>0</v>
      </c>
      <c r="DL110" s="541">
        <f t="shared" si="47"/>
        <v>0</v>
      </c>
      <c r="DM110" s="541">
        <f t="shared" si="47"/>
        <v>0</v>
      </c>
      <c r="DN110" s="541">
        <f t="shared" si="47"/>
        <v>0</v>
      </c>
      <c r="DO110" s="541">
        <f t="shared" si="47"/>
        <v>0</v>
      </c>
      <c r="DP110" s="541">
        <f t="shared" si="47"/>
        <v>0</v>
      </c>
      <c r="DQ110" s="541">
        <f t="shared" si="47"/>
        <v>0</v>
      </c>
      <c r="DR110" s="541">
        <f t="shared" si="47"/>
        <v>0</v>
      </c>
      <c r="DS110" s="541">
        <f t="shared" si="47"/>
        <v>0</v>
      </c>
      <c r="DT110" s="541">
        <f t="shared" si="47"/>
        <v>0</v>
      </c>
      <c r="DU110" s="541">
        <f t="shared" si="47"/>
        <v>0</v>
      </c>
      <c r="DV110" s="541">
        <f t="shared" si="47"/>
        <v>0</v>
      </c>
      <c r="DW110" s="541">
        <f t="shared" si="47"/>
        <v>0</v>
      </c>
      <c r="DX110" s="541">
        <f t="shared" si="47"/>
        <v>0</v>
      </c>
      <c r="DY110" s="541">
        <f t="shared" si="47"/>
        <v>0</v>
      </c>
      <c r="DZ110" s="541">
        <f t="shared" si="47"/>
        <v>0</v>
      </c>
      <c r="EA110" s="541">
        <f t="shared" si="47"/>
        <v>0</v>
      </c>
      <c r="EB110" s="541">
        <f t="shared" si="47"/>
        <v>0</v>
      </c>
      <c r="EC110" s="541">
        <f t="shared" si="47"/>
        <v>0</v>
      </c>
      <c r="ED110" s="541">
        <f t="shared" si="47"/>
        <v>0</v>
      </c>
      <c r="EE110" s="541">
        <f t="shared" si="47"/>
        <v>0</v>
      </c>
      <c r="EF110" s="541">
        <f t="shared" si="47"/>
        <v>0</v>
      </c>
      <c r="EG110" s="541">
        <f t="shared" si="47"/>
        <v>0</v>
      </c>
    </row>
    <row r="113" spans="1:1" ht="12.75">
      <c r="A113" s="534" t="s">
        <v>386</v>
      </c>
    </row>
    <row r="115" spans="5:137" ht="12.75">
      <c r="E115" s="538" t="str">
        <f>E$63</f>
        <v>DSRA - closing balance</v>
      </c>
      <c r="G115" s="539" t="str">
        <f>G$63</f>
        <v>EUR 000s</v>
      </c>
      <c r="H115" s="539">
        <f>H$63</f>
        <v>697187.04072008806</v>
      </c>
      <c r="J115" s="539">
        <f t="shared" si="48" ref="J115:EG115">J$63</f>
        <v>0</v>
      </c>
      <c r="K115" s="539">
        <f t="shared" si="48"/>
        <v>0</v>
      </c>
      <c r="L115" s="539">
        <f t="shared" si="48"/>
        <v>0</v>
      </c>
      <c r="M115" s="539">
        <f t="shared" si="48"/>
        <v>0</v>
      </c>
      <c r="N115" s="539">
        <f t="shared" si="48"/>
        <v>0</v>
      </c>
      <c r="O115" s="539">
        <f t="shared" si="48"/>
        <v>0</v>
      </c>
      <c r="P115" s="539">
        <f t="shared" si="48"/>
        <v>0</v>
      </c>
      <c r="Q115" s="539">
        <f t="shared" si="48"/>
        <v>0</v>
      </c>
      <c r="R115" s="539">
        <f t="shared" si="48"/>
        <v>0</v>
      </c>
      <c r="S115" s="539">
        <f t="shared" si="48"/>
        <v>0</v>
      </c>
      <c r="T115" s="539">
        <f t="shared" si="48"/>
        <v>0</v>
      </c>
      <c r="U115" s="539">
        <f t="shared" si="48"/>
        <v>0</v>
      </c>
      <c r="V115" s="539">
        <f t="shared" si="48"/>
        <v>0</v>
      </c>
      <c r="W115" s="539">
        <f t="shared" si="48"/>
        <v>0</v>
      </c>
      <c r="X115" s="539">
        <f t="shared" si="48"/>
        <v>0</v>
      </c>
      <c r="Y115" s="539">
        <f t="shared" si="48"/>
        <v>0</v>
      </c>
      <c r="Z115" s="539">
        <f t="shared" si="48"/>
        <v>0</v>
      </c>
      <c r="AA115" s="539">
        <f t="shared" si="48"/>
        <v>0</v>
      </c>
      <c r="AB115" s="539">
        <f t="shared" si="48"/>
        <v>0</v>
      </c>
      <c r="AC115" s="539">
        <f t="shared" si="48"/>
        <v>0</v>
      </c>
      <c r="AD115" s="539">
        <f t="shared" si="48"/>
        <v>0</v>
      </c>
      <c r="AE115" s="539">
        <f t="shared" si="48"/>
        <v>0</v>
      </c>
      <c r="AF115" s="539">
        <f t="shared" si="48"/>
        <v>0</v>
      </c>
      <c r="AG115" s="539">
        <f t="shared" si="48"/>
        <v>8333.2746174985332</v>
      </c>
      <c r="AH115" s="539">
        <f t="shared" si="48"/>
        <v>9308.6531351756057</v>
      </c>
      <c r="AI115" s="539">
        <f t="shared" si="48"/>
        <v>9298.2394950176858</v>
      </c>
      <c r="AJ115" s="539">
        <f t="shared" si="48"/>
        <v>9337.6116506683175</v>
      </c>
      <c r="AK115" s="539">
        <f t="shared" si="48"/>
        <v>9429.7291218685914</v>
      </c>
      <c r="AL115" s="539">
        <f t="shared" si="48"/>
        <v>9472.0580695850113</v>
      </c>
      <c r="AM115" s="539">
        <f t="shared" si="48"/>
        <v>9461.5189563631629</v>
      </c>
      <c r="AN115" s="539">
        <f t="shared" si="48"/>
        <v>9501.8263636837055</v>
      </c>
      <c r="AO115" s="539">
        <f t="shared" si="48"/>
        <v>9595.4102808892349</v>
      </c>
      <c r="AP115" s="539">
        <f t="shared" si="48"/>
        <v>9638.1449416640698</v>
      </c>
      <c r="AQ115" s="539">
        <f t="shared" si="48"/>
        <v>9627.4799775801403</v>
      </c>
      <c r="AR115" s="539">
        <f t="shared" si="48"/>
        <v>9679.536016332997</v>
      </c>
      <c r="AS115" s="539">
        <f t="shared" si="48"/>
        <v>9763.8140753059997</v>
      </c>
      <c r="AT115" s="539">
        <f t="shared" si="48"/>
        <v>9796.1595279842222</v>
      </c>
      <c r="AU115" s="539">
        <f t="shared" si="48"/>
        <v>9793.9066267576272</v>
      </c>
      <c r="AV115" s="539">
        <f t="shared" si="48"/>
        <v>9836.1518034083492</v>
      </c>
      <c r="AW115" s="539">
        <f t="shared" si="48"/>
        <v>9934.9780954017842</v>
      </c>
      <c r="AX115" s="539">
        <f t="shared" si="48"/>
        <v>9978.5124212525789</v>
      </c>
      <c r="AY115" s="539">
        <f t="shared" si="48"/>
        <v>9965.1612930804731</v>
      </c>
      <c r="AZ115" s="539">
        <f t="shared" si="48"/>
        <v>9944.7298885451564</v>
      </c>
      <c r="BA115" s="539">
        <f t="shared" si="48"/>
        <v>9972.4781358472173</v>
      </c>
      <c r="BB115" s="539">
        <f t="shared" si="48"/>
        <v>9998.6118234080277</v>
      </c>
      <c r="BC115" s="539">
        <f t="shared" si="48"/>
        <v>9970.5745648815064</v>
      </c>
      <c r="BD115" s="539">
        <f t="shared" si="48"/>
        <v>9993.9780103795183</v>
      </c>
      <c r="BE115" s="539">
        <f t="shared" si="48"/>
        <v>10073.47416898013</v>
      </c>
      <c r="BF115" s="539">
        <f t="shared" si="48"/>
        <v>10102.988965730921</v>
      </c>
      <c r="BG115" s="539">
        <f t="shared" si="48"/>
        <v>10077.683309371694</v>
      </c>
      <c r="BH115" s="539">
        <f t="shared" si="48"/>
        <v>10116.091187302902</v>
      </c>
      <c r="BI115" s="539">
        <f t="shared" si="48"/>
        <v>10188.382359693998</v>
      </c>
      <c r="BJ115" s="539">
        <f t="shared" si="48"/>
        <v>10209.471318627446</v>
      </c>
      <c r="BK115" s="539">
        <f t="shared" si="48"/>
        <v>10197.714289675579</v>
      </c>
      <c r="BL115" s="539">
        <f t="shared" si="48"/>
        <v>10228.09568557579</v>
      </c>
      <c r="BM115" s="539">
        <f t="shared" si="48"/>
        <v>10315.357334076012</v>
      </c>
      <c r="BN115" s="539">
        <f t="shared" si="48"/>
        <v>10350.191466434988</v>
      </c>
      <c r="BO115" s="539">
        <f t="shared" si="48"/>
        <v>10328.987274345176</v>
      </c>
      <c r="BP115" s="539">
        <f t="shared" si="48"/>
        <v>10415.624121569275</v>
      </c>
      <c r="BQ115" s="539">
        <f t="shared" si="48"/>
        <v>10559.552974855102</v>
      </c>
      <c r="BR115" s="539">
        <f t="shared" si="48"/>
        <v>10596.479459831688</v>
      </c>
      <c r="BS115" s="539">
        <f t="shared" si="48"/>
        <v>10576.793421109882</v>
      </c>
      <c r="BT115" s="539">
        <f t="shared" si="48"/>
        <v>10473.459397795083</v>
      </c>
      <c r="BU115" s="539">
        <f t="shared" si="48"/>
        <v>10016.709456108158</v>
      </c>
      <c r="BV115" s="539">
        <f t="shared" si="48"/>
        <v>9636.2291610373613</v>
      </c>
      <c r="BW115" s="539">
        <f t="shared" si="48"/>
        <v>9601.997150678957</v>
      </c>
      <c r="BX115" s="539">
        <f t="shared" si="48"/>
        <v>9625.2865352991357</v>
      </c>
      <c r="BY115" s="539">
        <f t="shared" si="48"/>
        <v>9683.778569263166</v>
      </c>
      <c r="BZ115" s="539">
        <f t="shared" si="48"/>
        <v>9662.5293592965245</v>
      </c>
      <c r="CA115" s="539">
        <f t="shared" si="48"/>
        <v>9432.0314212886315</v>
      </c>
      <c r="CB115" s="539">
        <f t="shared" si="48"/>
        <v>9253.2529979049323</v>
      </c>
      <c r="CC115" s="539">
        <f t="shared" si="48"/>
        <v>9305.6886046067902</v>
      </c>
      <c r="CD115" s="539">
        <f t="shared" si="48"/>
        <v>9328.242598621724</v>
      </c>
      <c r="CE115" s="539">
        <f t="shared" si="48"/>
        <v>9290.6736063131902</v>
      </c>
      <c r="CF115" s="539">
        <f t="shared" si="48"/>
        <v>9287.1183551242611</v>
      </c>
      <c r="CG115" s="539">
        <f t="shared" si="48"/>
        <v>9344.8100349126944</v>
      </c>
      <c r="CH115" s="539">
        <f t="shared" si="48"/>
        <v>9369.1866302068702</v>
      </c>
      <c r="CI115" s="539">
        <f t="shared" si="48"/>
        <v>9333.0916602598882</v>
      </c>
      <c r="CJ115" s="539">
        <f t="shared" si="48"/>
        <v>9620.0621641394609</v>
      </c>
      <c r="CK115" s="539">
        <f t="shared" si="48"/>
        <v>9967.8281585778968</v>
      </c>
      <c r="CL115" s="539">
        <f t="shared" si="48"/>
        <v>9992.4293815623641</v>
      </c>
      <c r="CM115" s="539">
        <f t="shared" si="48"/>
        <v>9956.2389657101321</v>
      </c>
      <c r="CN115" s="539">
        <f t="shared" si="48"/>
        <v>9683.7890086705629</v>
      </c>
      <c r="CO115" s="539">
        <f t="shared" si="48"/>
        <v>9447.2122969783286</v>
      </c>
      <c r="CP115" s="539">
        <f t="shared" si="48"/>
        <v>9459.8928143723988</v>
      </c>
      <c r="CQ115" s="539">
        <f t="shared" si="48"/>
        <v>9437.5230352693525</v>
      </c>
      <c r="CR115" s="539">
        <f t="shared" si="48"/>
        <v>9442.1999104621646</v>
      </c>
      <c r="CS115" s="539">
        <f t="shared" si="48"/>
        <v>9508.240525704532</v>
      </c>
      <c r="CT115" s="539">
        <f t="shared" si="48"/>
        <v>9534.8898375107237</v>
      </c>
      <c r="CU115" s="539">
        <f t="shared" si="48"/>
        <v>9500.3177228280038</v>
      </c>
      <c r="CV115" s="539">
        <f t="shared" si="48"/>
        <v>9507.0838976619561</v>
      </c>
      <c r="CW115" s="539">
        <f t="shared" si="48"/>
        <v>9575.228520301549</v>
      </c>
      <c r="CX115" s="539">
        <f t="shared" si="48"/>
        <v>9601.8380683248215</v>
      </c>
      <c r="CY115" s="539">
        <f t="shared" si="48"/>
        <v>9567.0576877281255</v>
      </c>
      <c r="CZ115" s="539">
        <f t="shared" si="48"/>
        <v>4771.6969558081337</v>
      </c>
      <c r="DA115" s="539">
        <f t="shared" si="48"/>
        <v>0</v>
      </c>
      <c r="DB115" s="539">
        <f t="shared" si="48"/>
        <v>0</v>
      </c>
      <c r="DC115" s="539">
        <f t="shared" si="48"/>
        <v>0</v>
      </c>
      <c r="DD115" s="539">
        <f t="shared" si="48"/>
        <v>0</v>
      </c>
      <c r="DE115" s="539">
        <f t="shared" si="48"/>
        <v>0</v>
      </c>
      <c r="DF115" s="539">
        <f t="shared" si="48"/>
        <v>0</v>
      </c>
      <c r="DG115" s="539">
        <f t="shared" si="48"/>
        <v>0</v>
      </c>
      <c r="DH115" s="539">
        <f t="shared" si="48"/>
        <v>0</v>
      </c>
      <c r="DI115" s="539">
        <f t="shared" si="48"/>
        <v>0</v>
      </c>
      <c r="DJ115" s="539">
        <f t="shared" si="48"/>
        <v>0</v>
      </c>
      <c r="DK115" s="539">
        <f t="shared" si="48"/>
        <v>0</v>
      </c>
      <c r="DL115" s="539">
        <f t="shared" si="48"/>
        <v>0</v>
      </c>
      <c r="DM115" s="539">
        <f t="shared" si="48"/>
        <v>0</v>
      </c>
      <c r="DN115" s="539">
        <f t="shared" si="48"/>
        <v>0</v>
      </c>
      <c r="DO115" s="539">
        <f t="shared" si="48"/>
        <v>0</v>
      </c>
      <c r="DP115" s="539">
        <f t="shared" si="48"/>
        <v>0</v>
      </c>
      <c r="DQ115" s="539">
        <f t="shared" si="48"/>
        <v>0</v>
      </c>
      <c r="DR115" s="539">
        <f t="shared" si="48"/>
        <v>0</v>
      </c>
      <c r="DS115" s="539">
        <f t="shared" si="48"/>
        <v>0</v>
      </c>
      <c r="DT115" s="539">
        <f t="shared" si="48"/>
        <v>0</v>
      </c>
      <c r="DU115" s="539">
        <f t="shared" si="48"/>
        <v>0</v>
      </c>
      <c r="DV115" s="539">
        <f t="shared" si="48"/>
        <v>0</v>
      </c>
      <c r="DW115" s="539">
        <f t="shared" si="48"/>
        <v>0</v>
      </c>
      <c r="DX115" s="539">
        <f t="shared" si="48"/>
        <v>0</v>
      </c>
      <c r="DY115" s="539">
        <f t="shared" si="48"/>
        <v>0</v>
      </c>
      <c r="DZ115" s="539">
        <f t="shared" si="48"/>
        <v>0</v>
      </c>
      <c r="EA115" s="539">
        <f t="shared" si="48"/>
        <v>0</v>
      </c>
      <c r="EB115" s="539">
        <f t="shared" si="48"/>
        <v>0</v>
      </c>
      <c r="EC115" s="539">
        <f t="shared" si="48"/>
        <v>0</v>
      </c>
      <c r="ED115" s="539">
        <f t="shared" si="48"/>
        <v>0</v>
      </c>
      <c r="EE115" s="539">
        <f t="shared" si="48"/>
        <v>0</v>
      </c>
      <c r="EF115" s="539">
        <f t="shared" si="48"/>
        <v>0</v>
      </c>
      <c r="EG115" s="539">
        <f t="shared" si="48"/>
        <v>0</v>
      </c>
    </row>
    <row r="116" spans="5:137" ht="12.75">
      <c r="E116" s="538" t="str">
        <f>E$110</f>
        <v>MRA - closing balance</v>
      </c>
      <c r="G116" s="539" t="str">
        <f>G$110</f>
        <v>EUR 000s</v>
      </c>
      <c r="H116" s="539">
        <f>H$110</f>
        <v>135260.82115133689</v>
      </c>
      <c r="J116" s="539">
        <f t="shared" si="49" ref="J116:EG116">J$110</f>
        <v>0</v>
      </c>
      <c r="K116" s="539">
        <f t="shared" si="49"/>
        <v>0</v>
      </c>
      <c r="L116" s="539">
        <f t="shared" si="49"/>
        <v>0</v>
      </c>
      <c r="M116" s="539">
        <f t="shared" si="49"/>
        <v>0</v>
      </c>
      <c r="N116" s="539">
        <f t="shared" si="49"/>
        <v>0</v>
      </c>
      <c r="O116" s="539">
        <f t="shared" si="49"/>
        <v>0</v>
      </c>
      <c r="P116" s="539">
        <f t="shared" si="49"/>
        <v>0</v>
      </c>
      <c r="Q116" s="539">
        <f t="shared" si="49"/>
        <v>0</v>
      </c>
      <c r="R116" s="539">
        <f t="shared" si="49"/>
        <v>0</v>
      </c>
      <c r="S116" s="539">
        <f t="shared" si="49"/>
        <v>0</v>
      </c>
      <c r="T116" s="539">
        <f t="shared" si="49"/>
        <v>0</v>
      </c>
      <c r="U116" s="539">
        <f t="shared" si="49"/>
        <v>0</v>
      </c>
      <c r="V116" s="539">
        <f t="shared" si="49"/>
        <v>0</v>
      </c>
      <c r="W116" s="539">
        <f t="shared" si="49"/>
        <v>0</v>
      </c>
      <c r="X116" s="539">
        <f t="shared" si="49"/>
        <v>0</v>
      </c>
      <c r="Y116" s="539">
        <f t="shared" si="49"/>
        <v>0</v>
      </c>
      <c r="Z116" s="539">
        <f t="shared" si="49"/>
        <v>0</v>
      </c>
      <c r="AA116" s="539">
        <f t="shared" si="49"/>
        <v>0</v>
      </c>
      <c r="AB116" s="539">
        <f t="shared" si="49"/>
        <v>0</v>
      </c>
      <c r="AC116" s="539">
        <f t="shared" si="49"/>
        <v>0</v>
      </c>
      <c r="AD116" s="539">
        <f t="shared" si="49"/>
        <v>0</v>
      </c>
      <c r="AE116" s="539">
        <f t="shared" si="49"/>
        <v>0</v>
      </c>
      <c r="AF116" s="539">
        <f t="shared" si="49"/>
        <v>0</v>
      </c>
      <c r="AG116" s="539">
        <f t="shared" si="49"/>
        <v>0</v>
      </c>
      <c r="AH116" s="539">
        <f t="shared" si="49"/>
        <v>0</v>
      </c>
      <c r="AI116" s="539">
        <f t="shared" si="49"/>
        <v>0</v>
      </c>
      <c r="AJ116" s="539">
        <f t="shared" si="49"/>
        <v>0</v>
      </c>
      <c r="AK116" s="539">
        <f t="shared" si="49"/>
        <v>0</v>
      </c>
      <c r="AL116" s="539">
        <f t="shared" si="49"/>
        <v>0</v>
      </c>
      <c r="AM116" s="539">
        <f t="shared" si="49"/>
        <v>0</v>
      </c>
      <c r="AN116" s="539">
        <f t="shared" si="49"/>
        <v>0</v>
      </c>
      <c r="AO116" s="539">
        <f t="shared" si="49"/>
        <v>0</v>
      </c>
      <c r="AP116" s="539">
        <f t="shared" si="49"/>
        <v>0</v>
      </c>
      <c r="AQ116" s="539">
        <f t="shared" si="49"/>
        <v>0</v>
      </c>
      <c r="AR116" s="539">
        <f t="shared" si="49"/>
        <v>0</v>
      </c>
      <c r="AS116" s="539">
        <f t="shared" si="49"/>
        <v>0</v>
      </c>
      <c r="AT116" s="539">
        <f t="shared" si="49"/>
        <v>1739.5401273193352</v>
      </c>
      <c r="AU116" s="539">
        <f t="shared" si="49"/>
        <v>3479.0802546386703</v>
      </c>
      <c r="AV116" s="539">
        <f t="shared" si="49"/>
        <v>5218.620381958006</v>
      </c>
      <c r="AW116" s="539">
        <f t="shared" si="49"/>
        <v>6958.1605092773407</v>
      </c>
      <c r="AX116" s="539">
        <f t="shared" si="49"/>
        <v>5218.620381958006</v>
      </c>
      <c r="AY116" s="539">
        <f t="shared" si="49"/>
        <v>3479.0802546386703</v>
      </c>
      <c r="AZ116" s="539">
        <f t="shared" si="49"/>
        <v>1739.5401273193352</v>
      </c>
      <c r="BA116" s="539">
        <f t="shared" si="49"/>
        <v>0</v>
      </c>
      <c r="BB116" s="539">
        <f t="shared" si="49"/>
        <v>0</v>
      </c>
      <c r="BC116" s="539">
        <f t="shared" si="49"/>
        <v>0</v>
      </c>
      <c r="BD116" s="539">
        <f t="shared" si="49"/>
        <v>0</v>
      </c>
      <c r="BE116" s="539">
        <f t="shared" si="49"/>
        <v>0</v>
      </c>
      <c r="BF116" s="539">
        <f t="shared" si="49"/>
        <v>0</v>
      </c>
      <c r="BG116" s="539">
        <f t="shared" si="49"/>
        <v>0</v>
      </c>
      <c r="BH116" s="539">
        <f t="shared" si="49"/>
        <v>0</v>
      </c>
      <c r="BI116" s="539">
        <f t="shared" si="49"/>
        <v>0</v>
      </c>
      <c r="BJ116" s="539">
        <f t="shared" si="49"/>
        <v>0</v>
      </c>
      <c r="BK116" s="539">
        <f t="shared" si="49"/>
        <v>0</v>
      </c>
      <c r="BL116" s="539">
        <f t="shared" si="49"/>
        <v>0</v>
      </c>
      <c r="BM116" s="539">
        <f t="shared" si="49"/>
        <v>0</v>
      </c>
      <c r="BN116" s="539">
        <f t="shared" si="49"/>
        <v>1968.1299867018984</v>
      </c>
      <c r="BO116" s="539">
        <f t="shared" si="49"/>
        <v>3936.2599734037967</v>
      </c>
      <c r="BP116" s="539">
        <f t="shared" si="49"/>
        <v>5904.3899601056946</v>
      </c>
      <c r="BQ116" s="539">
        <f t="shared" si="49"/>
        <v>7872.5199468075934</v>
      </c>
      <c r="BR116" s="539">
        <f t="shared" si="49"/>
        <v>5904.3899601056946</v>
      </c>
      <c r="BS116" s="539">
        <f t="shared" si="49"/>
        <v>3936.2599734037967</v>
      </c>
      <c r="BT116" s="539">
        <f t="shared" si="49"/>
        <v>1968.1299867018984</v>
      </c>
      <c r="BU116" s="539">
        <f t="shared" si="49"/>
        <v>0</v>
      </c>
      <c r="BV116" s="539">
        <f t="shared" si="49"/>
        <v>0</v>
      </c>
      <c r="BW116" s="539">
        <f t="shared" si="49"/>
        <v>0</v>
      </c>
      <c r="BX116" s="539">
        <f t="shared" si="49"/>
        <v>0</v>
      </c>
      <c r="BY116" s="539">
        <f t="shared" si="49"/>
        <v>0</v>
      </c>
      <c r="BZ116" s="539">
        <f t="shared" si="49"/>
        <v>0</v>
      </c>
      <c r="CA116" s="539">
        <f t="shared" si="49"/>
        <v>0</v>
      </c>
      <c r="CB116" s="539">
        <f t="shared" si="49"/>
        <v>0</v>
      </c>
      <c r="CC116" s="539">
        <f t="shared" si="49"/>
        <v>0</v>
      </c>
      <c r="CD116" s="539">
        <f t="shared" si="49"/>
        <v>0</v>
      </c>
      <c r="CE116" s="539">
        <f t="shared" si="49"/>
        <v>0</v>
      </c>
      <c r="CF116" s="539">
        <f t="shared" si="49"/>
        <v>0</v>
      </c>
      <c r="CG116" s="539">
        <f t="shared" si="49"/>
        <v>0</v>
      </c>
      <c r="CH116" s="539">
        <f t="shared" si="49"/>
        <v>2226.7584309908434</v>
      </c>
      <c r="CI116" s="539">
        <f t="shared" si="49"/>
        <v>4453.5168619816868</v>
      </c>
      <c r="CJ116" s="539">
        <f t="shared" si="49"/>
        <v>6680.2752929725302</v>
      </c>
      <c r="CK116" s="539">
        <f t="shared" si="49"/>
        <v>8907.0337239633736</v>
      </c>
      <c r="CL116" s="539">
        <f t="shared" si="49"/>
        <v>6680.2752929725302</v>
      </c>
      <c r="CM116" s="539">
        <f t="shared" si="49"/>
        <v>4453.5168619816868</v>
      </c>
      <c r="CN116" s="539">
        <f t="shared" si="49"/>
        <v>2226.7584309908434</v>
      </c>
      <c r="CO116" s="539">
        <f t="shared" si="49"/>
        <v>0</v>
      </c>
      <c r="CP116" s="539">
        <f t="shared" si="49"/>
        <v>0</v>
      </c>
      <c r="CQ116" s="539">
        <f t="shared" si="49"/>
        <v>0</v>
      </c>
      <c r="CR116" s="539">
        <f t="shared" si="49"/>
        <v>0</v>
      </c>
      <c r="CS116" s="539">
        <f t="shared" si="49"/>
        <v>0</v>
      </c>
      <c r="CT116" s="539">
        <f t="shared" si="49"/>
        <v>0</v>
      </c>
      <c r="CU116" s="539">
        <f t="shared" si="49"/>
        <v>0</v>
      </c>
      <c r="CV116" s="539">
        <f t="shared" si="49"/>
        <v>0</v>
      </c>
      <c r="CW116" s="539">
        <f t="shared" si="49"/>
        <v>0</v>
      </c>
      <c r="CX116" s="539">
        <f t="shared" si="49"/>
        <v>0</v>
      </c>
      <c r="CY116" s="539">
        <f t="shared" si="49"/>
        <v>0</v>
      </c>
      <c r="CZ116" s="539">
        <f t="shared" si="49"/>
        <v>0</v>
      </c>
      <c r="DA116" s="539">
        <f t="shared" si="49"/>
        <v>0</v>
      </c>
      <c r="DB116" s="539">
        <f t="shared" si="49"/>
        <v>2519.3727769464808</v>
      </c>
      <c r="DC116" s="539">
        <f t="shared" si="49"/>
        <v>5038.7455538929617</v>
      </c>
      <c r="DD116" s="539">
        <f t="shared" si="49"/>
        <v>7558.1183308394429</v>
      </c>
      <c r="DE116" s="539">
        <f t="shared" si="49"/>
        <v>10077.491107785923</v>
      </c>
      <c r="DF116" s="539">
        <f t="shared" si="49"/>
        <v>7558.1183308394429</v>
      </c>
      <c r="DG116" s="539">
        <f t="shared" si="49"/>
        <v>5038.7455538929617</v>
      </c>
      <c r="DH116" s="539">
        <f t="shared" si="49"/>
        <v>2519.3727769464808</v>
      </c>
      <c r="DI116" s="539">
        <f t="shared" si="49"/>
        <v>0</v>
      </c>
      <c r="DJ116" s="539">
        <f t="shared" si="49"/>
        <v>0</v>
      </c>
      <c r="DK116" s="539">
        <f t="shared" si="49"/>
        <v>0</v>
      </c>
      <c r="DL116" s="539">
        <f t="shared" si="49"/>
        <v>0</v>
      </c>
      <c r="DM116" s="539">
        <f t="shared" si="49"/>
        <v>0</v>
      </c>
      <c r="DN116" s="539">
        <f t="shared" si="49"/>
        <v>0</v>
      </c>
      <c r="DO116" s="539">
        <f t="shared" si="49"/>
        <v>0</v>
      </c>
      <c r="DP116" s="539">
        <f t="shared" si="49"/>
        <v>0</v>
      </c>
      <c r="DQ116" s="539">
        <f t="shared" si="49"/>
        <v>0</v>
      </c>
      <c r="DR116" s="539">
        <f t="shared" si="49"/>
        <v>0</v>
      </c>
      <c r="DS116" s="539">
        <f t="shared" si="49"/>
        <v>0</v>
      </c>
      <c r="DT116" s="539">
        <f t="shared" si="49"/>
        <v>0</v>
      </c>
      <c r="DU116" s="539">
        <f t="shared" si="49"/>
        <v>0</v>
      </c>
      <c r="DV116" s="539">
        <f t="shared" si="49"/>
        <v>0</v>
      </c>
      <c r="DW116" s="539">
        <f t="shared" si="49"/>
        <v>0</v>
      </c>
      <c r="DX116" s="539">
        <f t="shared" si="49"/>
        <v>0</v>
      </c>
      <c r="DY116" s="539">
        <f t="shared" si="49"/>
        <v>0</v>
      </c>
      <c r="DZ116" s="539">
        <f t="shared" si="49"/>
        <v>0</v>
      </c>
      <c r="EA116" s="539">
        <f t="shared" si="49"/>
        <v>0</v>
      </c>
      <c r="EB116" s="539">
        <f t="shared" si="49"/>
        <v>0</v>
      </c>
      <c r="EC116" s="539">
        <f t="shared" si="49"/>
        <v>0</v>
      </c>
      <c r="ED116" s="539">
        <f t="shared" si="49"/>
        <v>0</v>
      </c>
      <c r="EE116" s="539">
        <f t="shared" si="49"/>
        <v>0</v>
      </c>
      <c r="EF116" s="539">
        <f t="shared" si="49"/>
        <v>0</v>
      </c>
      <c r="EG116" s="539">
        <f t="shared" si="49"/>
        <v>0</v>
      </c>
    </row>
    <row r="117" spans="5:7" ht="12.75">
      <c r="E117" s="535" t="str">
        <f>InpC!E$128</f>
        <v>Check tolerance</v>
      </c>
      <c r="F117" s="537">
        <f>InpC!F$128</f>
        <v>0.001</v>
      </c>
      <c r="G117" s="537" t="str">
        <f>InpC!G$128</f>
        <v>EUR 000s</v>
      </c>
    </row>
    <row r="118" spans="5:7" ht="12.75">
      <c r="E118" s="540" t="s">
        <v>387</v>
      </c>
      <c r="F118" s="543">
        <f>IF(MIN($J115:$EG115)&lt;-$F117,1,0)</f>
        <v>0</v>
      </c>
      <c r="G118" s="541" t="s">
        <v>224</v>
      </c>
    </row>
    <row r="119" spans="5:7" ht="12.75">
      <c r="E119" s="540" t="s">
        <v>388</v>
      </c>
      <c r="F119" s="543">
        <f>IF(MIN($J116:$EG116)&lt;-$F117,1,0)</f>
        <v>0</v>
      </c>
      <c r="G119" s="541" t="s">
        <v>224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18:F119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outlinePr summaryBelow="0" summaryRight="0"/>
  </sheetPr>
  <dimension ref="A1:RL171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Waterfall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389</v>
      </c>
    </row>
    <row r="9" spans="5:137" ht="12.75">
      <c r="E9" s="535" t="str">
        <f>Cons!E$96</f>
        <v>VAT facility - interest in operations</v>
      </c>
      <c r="G9" s="537" t="str">
        <f>Cons!G$96</f>
        <v>EUR 000s</v>
      </c>
      <c r="H9" s="537">
        <f>Cons!H$96</f>
        <v>33.995958904109585</v>
      </c>
      <c r="J9" s="537">
        <f>Cons!J$96</f>
        <v>0</v>
      </c>
      <c r="K9" s="537">
        <f>Cons!K$96</f>
        <v>0</v>
      </c>
      <c r="L9" s="537">
        <f>Cons!L$96</f>
        <v>0</v>
      </c>
      <c r="M9" s="537">
        <f>Cons!M$96</f>
        <v>0</v>
      </c>
      <c r="N9" s="537">
        <f>Cons!N$96</f>
        <v>0</v>
      </c>
      <c r="O9" s="537">
        <f>Cons!O$96</f>
        <v>0</v>
      </c>
      <c r="P9" s="537">
        <f>Cons!P$96</f>
        <v>0</v>
      </c>
      <c r="Q9" s="537">
        <f>Cons!Q$96</f>
        <v>0</v>
      </c>
      <c r="R9" s="537">
        <f>Cons!R$96</f>
        <v>0</v>
      </c>
      <c r="S9" s="537">
        <f>Cons!S$96</f>
        <v>0</v>
      </c>
      <c r="T9" s="537">
        <f>Cons!T$96</f>
        <v>0</v>
      </c>
      <c r="U9" s="537">
        <f>Cons!U$96</f>
        <v>0</v>
      </c>
      <c r="V9" s="537">
        <f>Cons!V$96</f>
        <v>0</v>
      </c>
      <c r="W9" s="537">
        <f>Cons!W$96</f>
        <v>0</v>
      </c>
      <c r="X9" s="537">
        <f>Cons!X$96</f>
        <v>0</v>
      </c>
      <c r="Y9" s="537">
        <f>Cons!Y$96</f>
        <v>0</v>
      </c>
      <c r="Z9" s="537">
        <f>Cons!Z$96</f>
        <v>0</v>
      </c>
      <c r="AA9" s="537">
        <f>Cons!AA$96</f>
        <v>0</v>
      </c>
      <c r="AB9" s="537">
        <f>Cons!AB$96</f>
        <v>0</v>
      </c>
      <c r="AC9" s="537">
        <f>Cons!AC$96</f>
        <v>0</v>
      </c>
      <c r="AD9" s="537">
        <f>Cons!AD$96</f>
        <v>0</v>
      </c>
      <c r="AE9" s="537">
        <f>Cons!AE$96</f>
        <v>0</v>
      </c>
      <c r="AF9" s="537">
        <f>Cons!AF$96</f>
        <v>0</v>
      </c>
      <c r="AG9" s="537">
        <f>Cons!AG$96</f>
        <v>0</v>
      </c>
      <c r="AH9" s="537">
        <f>Cons!AH$96</f>
        <v>33.995958904109585</v>
      </c>
      <c r="AI9" s="537">
        <f>Cons!AI$96</f>
        <v>0</v>
      </c>
      <c r="AJ9" s="537">
        <f>Cons!AJ$96</f>
        <v>0</v>
      </c>
      <c r="AK9" s="537">
        <f>Cons!AK$96</f>
        <v>0</v>
      </c>
      <c r="AL9" s="537">
        <f>Cons!AL$96</f>
        <v>0</v>
      </c>
      <c r="AM9" s="537">
        <f>Cons!AM$96</f>
        <v>0</v>
      </c>
      <c r="AN9" s="537">
        <f>Cons!AN$96</f>
        <v>0</v>
      </c>
      <c r="AO9" s="537">
        <f>Cons!AO$96</f>
        <v>0</v>
      </c>
      <c r="AP9" s="537">
        <f>Cons!AP$96</f>
        <v>0</v>
      </c>
      <c r="AQ9" s="537">
        <f>Cons!AQ$96</f>
        <v>0</v>
      </c>
      <c r="AR9" s="537">
        <f>Cons!AR$96</f>
        <v>0</v>
      </c>
      <c r="AS9" s="537">
        <f>Cons!AS$96</f>
        <v>0</v>
      </c>
      <c r="AT9" s="537">
        <f>Cons!AT$96</f>
        <v>0</v>
      </c>
      <c r="AU9" s="537">
        <f>Cons!AU$96</f>
        <v>0</v>
      </c>
      <c r="AV9" s="537">
        <f>Cons!AV$96</f>
        <v>0</v>
      </c>
      <c r="AW9" s="537">
        <f>Cons!AW$96</f>
        <v>0</v>
      </c>
      <c r="AX9" s="537">
        <f>Cons!AX$96</f>
        <v>0</v>
      </c>
      <c r="AY9" s="537">
        <f>Cons!AY$96</f>
        <v>0</v>
      </c>
      <c r="AZ9" s="537">
        <f>Cons!AZ$96</f>
        <v>0</v>
      </c>
      <c r="BA9" s="537">
        <f>Cons!BA$96</f>
        <v>0</v>
      </c>
      <c r="BB9" s="537">
        <f>Cons!BB$96</f>
        <v>0</v>
      </c>
      <c r="BC9" s="537">
        <f>Cons!BC$96</f>
        <v>0</v>
      </c>
      <c r="BD9" s="537">
        <f>Cons!BD$96</f>
        <v>0</v>
      </c>
      <c r="BE9" s="537">
        <f>Cons!BE$96</f>
        <v>0</v>
      </c>
      <c r="BF9" s="537">
        <f>Cons!BF$96</f>
        <v>0</v>
      </c>
      <c r="BG9" s="537">
        <f>Cons!BG$96</f>
        <v>0</v>
      </c>
      <c r="BH9" s="537">
        <f>Cons!BH$96</f>
        <v>0</v>
      </c>
      <c r="BI9" s="537">
        <f>Cons!BI$96</f>
        <v>0</v>
      </c>
      <c r="BJ9" s="537">
        <f>Cons!BJ$96</f>
        <v>0</v>
      </c>
      <c r="BK9" s="537">
        <f>Cons!BK$96</f>
        <v>0</v>
      </c>
      <c r="BL9" s="537">
        <f>Cons!BL$96</f>
        <v>0</v>
      </c>
      <c r="BM9" s="537">
        <f>Cons!BM$96</f>
        <v>0</v>
      </c>
      <c r="BN9" s="537">
        <f>Cons!BN$96</f>
        <v>0</v>
      </c>
      <c r="BO9" s="537">
        <f>Cons!BO$96</f>
        <v>0</v>
      </c>
      <c r="BP9" s="537">
        <f>Cons!BP$96</f>
        <v>0</v>
      </c>
      <c r="BQ9" s="537">
        <f>Cons!BQ$96</f>
        <v>0</v>
      </c>
      <c r="BR9" s="537">
        <f>Cons!BR$96</f>
        <v>0</v>
      </c>
      <c r="BS9" s="537">
        <f>Cons!BS$96</f>
        <v>0</v>
      </c>
      <c r="BT9" s="537">
        <f>Cons!BT$96</f>
        <v>0</v>
      </c>
      <c r="BU9" s="537">
        <f>Cons!BU$96</f>
        <v>0</v>
      </c>
      <c r="BV9" s="537">
        <f>Cons!BV$96</f>
        <v>0</v>
      </c>
      <c r="BW9" s="537">
        <f>Cons!BW$96</f>
        <v>0</v>
      </c>
      <c r="BX9" s="537">
        <f>Cons!BX$96</f>
        <v>0</v>
      </c>
      <c r="BY9" s="537">
        <f>Cons!BY$96</f>
        <v>0</v>
      </c>
      <c r="BZ9" s="537">
        <f>Cons!BZ$96</f>
        <v>0</v>
      </c>
      <c r="CA9" s="537">
        <f>Cons!CA$96</f>
        <v>0</v>
      </c>
      <c r="CB9" s="537">
        <f>Cons!CB$96</f>
        <v>0</v>
      </c>
      <c r="CC9" s="537">
        <f>Cons!CC$96</f>
        <v>0</v>
      </c>
      <c r="CD9" s="537">
        <f>Cons!CD$96</f>
        <v>0</v>
      </c>
      <c r="CE9" s="537">
        <f>Cons!CE$96</f>
        <v>0</v>
      </c>
      <c r="CF9" s="537">
        <f>Cons!CF$96</f>
        <v>0</v>
      </c>
      <c r="CG9" s="537">
        <f>Cons!CG$96</f>
        <v>0</v>
      </c>
      <c r="CH9" s="537">
        <f>Cons!CH$96</f>
        <v>0</v>
      </c>
      <c r="CI9" s="537">
        <f>Cons!CI$96</f>
        <v>0</v>
      </c>
      <c r="CJ9" s="537">
        <f>Cons!CJ$96</f>
        <v>0</v>
      </c>
      <c r="CK9" s="537">
        <f>Cons!CK$96</f>
        <v>0</v>
      </c>
      <c r="CL9" s="537">
        <f>Cons!CL$96</f>
        <v>0</v>
      </c>
      <c r="CM9" s="537">
        <f>Cons!CM$96</f>
        <v>0</v>
      </c>
      <c r="CN9" s="537">
        <f>Cons!CN$96</f>
        <v>0</v>
      </c>
      <c r="CO9" s="537">
        <f>Cons!CO$96</f>
        <v>0</v>
      </c>
      <c r="CP9" s="537">
        <f>Cons!CP$96</f>
        <v>0</v>
      </c>
      <c r="CQ9" s="537">
        <f>Cons!CQ$96</f>
        <v>0</v>
      </c>
      <c r="CR9" s="537">
        <f>Cons!CR$96</f>
        <v>0</v>
      </c>
      <c r="CS9" s="537">
        <f>Cons!CS$96</f>
        <v>0</v>
      </c>
      <c r="CT9" s="537">
        <f>Cons!CT$96</f>
        <v>0</v>
      </c>
      <c r="CU9" s="537">
        <f>Cons!CU$96</f>
        <v>0</v>
      </c>
      <c r="CV9" s="537">
        <f>Cons!CV$96</f>
        <v>0</v>
      </c>
      <c r="CW9" s="537">
        <f>Cons!CW$96</f>
        <v>0</v>
      </c>
      <c r="CX9" s="537">
        <f>Cons!CX$96</f>
        <v>0</v>
      </c>
      <c r="CY9" s="537">
        <f>Cons!CY$96</f>
        <v>0</v>
      </c>
      <c r="CZ9" s="537">
        <f>Cons!CZ$96</f>
        <v>0</v>
      </c>
      <c r="DA9" s="537">
        <f>Cons!DA$96</f>
        <v>0</v>
      </c>
      <c r="DB9" s="537">
        <f>Cons!DB$96</f>
        <v>0</v>
      </c>
      <c r="DC9" s="537">
        <f>Cons!DC$96</f>
        <v>0</v>
      </c>
      <c r="DD9" s="537">
        <f>Cons!DD$96</f>
        <v>0</v>
      </c>
      <c r="DE9" s="537">
        <f>Cons!DE$96</f>
        <v>0</v>
      </c>
      <c r="DF9" s="537">
        <f>Cons!DF$96</f>
        <v>0</v>
      </c>
      <c r="DG9" s="537">
        <f>Cons!DG$96</f>
        <v>0</v>
      </c>
      <c r="DH9" s="537">
        <f>Cons!DH$96</f>
        <v>0</v>
      </c>
      <c r="DI9" s="537">
        <f>Cons!DI$96</f>
        <v>0</v>
      </c>
      <c r="DJ9" s="537">
        <f>Cons!DJ$96</f>
        <v>0</v>
      </c>
      <c r="DK9" s="537">
        <f>Cons!DK$96</f>
        <v>0</v>
      </c>
      <c r="DL9" s="537">
        <f>Cons!DL$96</f>
        <v>0</v>
      </c>
      <c r="DM9" s="537">
        <f>Cons!DM$96</f>
        <v>0</v>
      </c>
      <c r="DN9" s="537">
        <f>Cons!DN$96</f>
        <v>0</v>
      </c>
      <c r="DO9" s="537">
        <f>Cons!DO$96</f>
        <v>0</v>
      </c>
      <c r="DP9" s="537">
        <f>Cons!DP$96</f>
        <v>0</v>
      </c>
      <c r="DQ9" s="537">
        <f>Cons!DQ$96</f>
        <v>0</v>
      </c>
      <c r="DR9" s="537">
        <f>Cons!DR$96</f>
        <v>0</v>
      </c>
      <c r="DS9" s="537">
        <f>Cons!DS$96</f>
        <v>0</v>
      </c>
      <c r="DT9" s="537">
        <f>Cons!DT$96</f>
        <v>0</v>
      </c>
      <c r="DU9" s="537">
        <f>Cons!DU$96</f>
        <v>0</v>
      </c>
      <c r="DV9" s="537">
        <f>Cons!DV$96</f>
        <v>0</v>
      </c>
      <c r="DW9" s="537">
        <f>Cons!DW$96</f>
        <v>0</v>
      </c>
      <c r="DX9" s="537">
        <f>Cons!DX$96</f>
        <v>0</v>
      </c>
      <c r="DY9" s="537">
        <f>Cons!DY$96</f>
        <v>0</v>
      </c>
      <c r="DZ9" s="537">
        <f>Cons!DZ$96</f>
        <v>0</v>
      </c>
      <c r="EA9" s="537">
        <f>Cons!EA$96</f>
        <v>0</v>
      </c>
      <c r="EB9" s="537">
        <f>Cons!EB$96</f>
        <v>0</v>
      </c>
      <c r="EC9" s="537">
        <f>Cons!EC$96</f>
        <v>0</v>
      </c>
      <c r="ED9" s="537">
        <f>Cons!ED$96</f>
        <v>0</v>
      </c>
      <c r="EE9" s="537">
        <f>Cons!EE$96</f>
        <v>0</v>
      </c>
      <c r="EF9" s="537">
        <f>Cons!EF$96</f>
        <v>0</v>
      </c>
      <c r="EG9" s="537">
        <f>Cons!EG$96</f>
        <v>0</v>
      </c>
    </row>
    <row r="10" spans="5:137" ht="12.75">
      <c r="E10" s="535" t="str">
        <f>Ops!E$101</f>
        <v>EBITDA</v>
      </c>
      <c r="G10" s="537" t="str">
        <f>Ops!G$101</f>
        <v>EUR 000s</v>
      </c>
      <c r="H10" s="537">
        <f>Ops!H$101</f>
        <v>1114972.4568516857</v>
      </c>
      <c r="J10" s="537">
        <f>Ops!J$101</f>
        <v>0</v>
      </c>
      <c r="K10" s="537">
        <f>Ops!K$101</f>
        <v>0</v>
      </c>
      <c r="L10" s="537">
        <f>Ops!L$101</f>
        <v>0</v>
      </c>
      <c r="M10" s="537">
        <f>Ops!M$101</f>
        <v>0</v>
      </c>
      <c r="N10" s="537">
        <f>Ops!N$101</f>
        <v>0</v>
      </c>
      <c r="O10" s="537">
        <f>Ops!O$101</f>
        <v>0</v>
      </c>
      <c r="P10" s="537">
        <f>Ops!P$101</f>
        <v>0</v>
      </c>
      <c r="Q10" s="537">
        <f>Ops!Q$101</f>
        <v>0</v>
      </c>
      <c r="R10" s="537">
        <f>Ops!R$101</f>
        <v>0</v>
      </c>
      <c r="S10" s="537">
        <f>Ops!S$101</f>
        <v>0</v>
      </c>
      <c r="T10" s="537">
        <f>Ops!T$101</f>
        <v>0</v>
      </c>
      <c r="U10" s="537">
        <f>Ops!U$101</f>
        <v>0</v>
      </c>
      <c r="V10" s="537">
        <f>Ops!V$101</f>
        <v>0</v>
      </c>
      <c r="W10" s="537">
        <f>Ops!W$101</f>
        <v>0</v>
      </c>
      <c r="X10" s="537">
        <f>Ops!X$101</f>
        <v>0</v>
      </c>
      <c r="Y10" s="537">
        <f>Ops!Y$101</f>
        <v>0</v>
      </c>
      <c r="Z10" s="537">
        <f>Ops!Z$101</f>
        <v>0</v>
      </c>
      <c r="AA10" s="537">
        <f>Ops!AA$101</f>
        <v>0</v>
      </c>
      <c r="AB10" s="537">
        <f>Ops!AB$101</f>
        <v>0</v>
      </c>
      <c r="AC10" s="537">
        <f>Ops!AC$101</f>
        <v>0</v>
      </c>
      <c r="AD10" s="537">
        <f>Ops!AD$101</f>
        <v>0</v>
      </c>
      <c r="AE10" s="537">
        <f>Ops!AE$101</f>
        <v>0</v>
      </c>
      <c r="AF10" s="537">
        <f>Ops!AF$101</f>
        <v>0</v>
      </c>
      <c r="AG10" s="537">
        <f>Ops!AG$101</f>
        <v>0</v>
      </c>
      <c r="AH10" s="537">
        <f>Ops!AH$101</f>
        <v>8995.9009374999987</v>
      </c>
      <c r="AI10" s="537">
        <f>Ops!AI$101</f>
        <v>8995.9009374999987</v>
      </c>
      <c r="AJ10" s="537">
        <f>Ops!AJ$101</f>
        <v>8995.9009374999987</v>
      </c>
      <c r="AK10" s="537">
        <f>Ops!AK$101</f>
        <v>8995.9009374999987</v>
      </c>
      <c r="AL10" s="537">
        <f>Ops!AL$101</f>
        <v>9153.9256359374995</v>
      </c>
      <c r="AM10" s="537">
        <f>Ops!AM$101</f>
        <v>9153.9256359374995</v>
      </c>
      <c r="AN10" s="537">
        <f>Ops!AN$101</f>
        <v>9153.9256359374995</v>
      </c>
      <c r="AO10" s="537">
        <f>Ops!AO$101</f>
        <v>9153.9256359374995</v>
      </c>
      <c r="AP10" s="537">
        <f>Ops!AP$101</f>
        <v>9314.5471890859371</v>
      </c>
      <c r="AQ10" s="537">
        <f>Ops!AQ$101</f>
        <v>9314.5471890859371</v>
      </c>
      <c r="AR10" s="537">
        <f>Ops!AR$101</f>
        <v>9314.5471890859371</v>
      </c>
      <c r="AS10" s="537">
        <f>Ops!AS$101</f>
        <v>9314.5471890859371</v>
      </c>
      <c r="AT10" s="537">
        <f>Ops!AT$101</f>
        <v>9477.8014538705866</v>
      </c>
      <c r="AU10" s="537">
        <f>Ops!AU$101</f>
        <v>9477.8014538705866</v>
      </c>
      <c r="AV10" s="537">
        <f>Ops!AV$101</f>
        <v>9477.8014538705866</v>
      </c>
      <c r="AW10" s="537">
        <f>Ops!AW$101</f>
        <v>9477.8014538705866</v>
      </c>
      <c r="AX10" s="537">
        <f>Ops!AX$101</f>
        <v>9643.7245426753761</v>
      </c>
      <c r="AY10" s="537">
        <f>Ops!AY$101</f>
        <v>9643.7245426753761</v>
      </c>
      <c r="AZ10" s="537">
        <f>Ops!AZ$101</f>
        <v>9643.7245426753761</v>
      </c>
      <c r="BA10" s="537">
        <f>Ops!BA$101</f>
        <v>9643.7245426753761</v>
      </c>
      <c r="BB10" s="537">
        <f>Ops!BB$101</f>
        <v>9812.3528151198025</v>
      </c>
      <c r="BC10" s="537">
        <f>Ops!BC$101</f>
        <v>9812.3528151198025</v>
      </c>
      <c r="BD10" s="537">
        <f>Ops!BD$101</f>
        <v>9812.3528151198025</v>
      </c>
      <c r="BE10" s="537">
        <f>Ops!BE$101</f>
        <v>9812.3528151198025</v>
      </c>
      <c r="BF10" s="537">
        <f>Ops!BF$101</f>
        <v>9983.7228692843601</v>
      </c>
      <c r="BG10" s="537">
        <f>Ops!BG$101</f>
        <v>9983.7228692843601</v>
      </c>
      <c r="BH10" s="537">
        <f>Ops!BH$101</f>
        <v>9983.7228692843601</v>
      </c>
      <c r="BI10" s="537">
        <f>Ops!BI$101</f>
        <v>9983.7228692843601</v>
      </c>
      <c r="BJ10" s="537">
        <f>Ops!BJ$101</f>
        <v>10157.871532362169</v>
      </c>
      <c r="BK10" s="537">
        <f>Ops!BK$101</f>
        <v>10157.871532362169</v>
      </c>
      <c r="BL10" s="537">
        <f>Ops!BL$101</f>
        <v>10157.871532362169</v>
      </c>
      <c r="BM10" s="537">
        <f>Ops!BM$101</f>
        <v>10157.871532362169</v>
      </c>
      <c r="BN10" s="537">
        <f>Ops!BN$101</f>
        <v>10334.835850713753</v>
      </c>
      <c r="BO10" s="537">
        <f>Ops!BO$101</f>
        <v>10334.835850713753</v>
      </c>
      <c r="BP10" s="537">
        <f>Ops!BP$101</f>
        <v>10334.835850713753</v>
      </c>
      <c r="BQ10" s="537">
        <f>Ops!BQ$101</f>
        <v>10334.835850713753</v>
      </c>
      <c r="BR10" s="537">
        <f>Ops!BR$101</f>
        <v>10514.653079300988</v>
      </c>
      <c r="BS10" s="537">
        <f>Ops!BS$101</f>
        <v>10514.653079300988</v>
      </c>
      <c r="BT10" s="537">
        <f>Ops!BT$101</f>
        <v>10514.653079300988</v>
      </c>
      <c r="BU10" s="537">
        <f>Ops!BU$101</f>
        <v>10514.653079300988</v>
      </c>
      <c r="BV10" s="537">
        <f>Ops!BV$101</f>
        <v>10697.360670475582</v>
      </c>
      <c r="BW10" s="537">
        <f>Ops!BW$101</f>
        <v>10697.360670475582</v>
      </c>
      <c r="BX10" s="537">
        <f>Ops!BX$101</f>
        <v>10697.360670475582</v>
      </c>
      <c r="BY10" s="537">
        <f>Ops!BY$101</f>
        <v>10697.360670475582</v>
      </c>
      <c r="BZ10" s="537">
        <f>Ops!BZ$101</f>
        <v>10882.996262096458</v>
      </c>
      <c r="CA10" s="537">
        <f>Ops!CA$101</f>
        <v>10882.996262096458</v>
      </c>
      <c r="CB10" s="537">
        <f>Ops!CB$101</f>
        <v>10882.996262096458</v>
      </c>
      <c r="CC10" s="537">
        <f>Ops!CC$101</f>
        <v>10882.996262096458</v>
      </c>
      <c r="CD10" s="537">
        <f>Ops!CD$101</f>
        <v>11071.597664949615</v>
      </c>
      <c r="CE10" s="537">
        <f>Ops!CE$101</f>
        <v>11071.597664949615</v>
      </c>
      <c r="CF10" s="537">
        <f>Ops!CF$101</f>
        <v>11071.597664949615</v>
      </c>
      <c r="CG10" s="537">
        <f>Ops!CG$101</f>
        <v>11071.597664949615</v>
      </c>
      <c r="CH10" s="537">
        <f>Ops!CH$101</f>
        <v>11263.202849443021</v>
      </c>
      <c r="CI10" s="537">
        <f>Ops!CI$101</f>
        <v>11263.202849443021</v>
      </c>
      <c r="CJ10" s="537">
        <f>Ops!CJ$101</f>
        <v>11263.202849443021</v>
      </c>
      <c r="CK10" s="537">
        <f>Ops!CK$101</f>
        <v>11263.202849443021</v>
      </c>
      <c r="CL10" s="537">
        <f>Ops!CL$101</f>
        <v>11457.849931548353</v>
      </c>
      <c r="CM10" s="537">
        <f>Ops!CM$101</f>
        <v>11457.849931548353</v>
      </c>
      <c r="CN10" s="537">
        <f>Ops!CN$101</f>
        <v>11457.849931548353</v>
      </c>
      <c r="CO10" s="537">
        <f>Ops!CO$101</f>
        <v>11457.849931548353</v>
      </c>
      <c r="CP10" s="537">
        <f>Ops!CP$101</f>
        <v>11655.577157960166</v>
      </c>
      <c r="CQ10" s="537">
        <f>Ops!CQ$101</f>
        <v>11655.577157960166</v>
      </c>
      <c r="CR10" s="537">
        <f>Ops!CR$101</f>
        <v>11655.577157960166</v>
      </c>
      <c r="CS10" s="537">
        <f>Ops!CS$101</f>
        <v>11655.577157960166</v>
      </c>
      <c r="CT10" s="537">
        <f>Ops!CT$101</f>
        <v>11856.422890442294</v>
      </c>
      <c r="CU10" s="537">
        <f>Ops!CU$101</f>
        <v>11856.422890442294</v>
      </c>
      <c r="CV10" s="537">
        <f>Ops!CV$101</f>
        <v>11856.422890442294</v>
      </c>
      <c r="CW10" s="537">
        <f>Ops!CW$101</f>
        <v>11856.422890442294</v>
      </c>
      <c r="CX10" s="537">
        <f>Ops!CX$101</f>
        <v>12060.42558933012</v>
      </c>
      <c r="CY10" s="537">
        <f>Ops!CY$101</f>
        <v>12060.42558933012</v>
      </c>
      <c r="CZ10" s="537">
        <f>Ops!CZ$101</f>
        <v>12060.42558933012</v>
      </c>
      <c r="DA10" s="537">
        <f>Ops!DA$101</f>
        <v>12060.42558933012</v>
      </c>
      <c r="DB10" s="537">
        <f>Ops!DB$101</f>
        <v>12267.623796156346</v>
      </c>
      <c r="DC10" s="537">
        <f>Ops!DC$101</f>
        <v>12267.623796156346</v>
      </c>
      <c r="DD10" s="537">
        <f>Ops!DD$101</f>
        <v>12267.623796156346</v>
      </c>
      <c r="DE10" s="537">
        <f>Ops!DE$101</f>
        <v>12267.623796156346</v>
      </c>
      <c r="DF10" s="537">
        <f>Ops!DF$101</f>
        <v>12478.056115366777</v>
      </c>
      <c r="DG10" s="537">
        <f>Ops!DG$101</f>
        <v>12478.056115366777</v>
      </c>
      <c r="DH10" s="537">
        <f>Ops!DH$101</f>
        <v>12478.056115366777</v>
      </c>
      <c r="DI10" s="537">
        <f>Ops!DI$101</f>
        <v>12478.056115366777</v>
      </c>
      <c r="DJ10" s="537">
        <f>Ops!DJ$101</f>
        <v>12691.761195091425</v>
      </c>
      <c r="DK10" s="537">
        <f>Ops!DK$101</f>
        <v>12691.761195091425</v>
      </c>
      <c r="DL10" s="537">
        <f>Ops!DL$101</f>
        <v>12691.761195091425</v>
      </c>
      <c r="DM10" s="537">
        <f>Ops!DM$101</f>
        <v>12691.761195091425</v>
      </c>
      <c r="DN10" s="537">
        <f>Ops!DN$101</f>
        <v>12908.777706935271</v>
      </c>
      <c r="DO10" s="537">
        <f>Ops!DO$101</f>
        <v>12908.777706935271</v>
      </c>
      <c r="DP10" s="537">
        <f>Ops!DP$101</f>
        <v>12908.777706935271</v>
      </c>
      <c r="DQ10" s="537">
        <f>Ops!DQ$101</f>
        <v>12908.777706935271</v>
      </c>
      <c r="DR10" s="537">
        <f>Ops!DR$101</f>
        <v>13129.144324751487</v>
      </c>
      <c r="DS10" s="537">
        <f>Ops!DS$101</f>
        <v>13129.144324751487</v>
      </c>
      <c r="DT10" s="537">
        <f>Ops!DT$101</f>
        <v>13129.144324751487</v>
      </c>
      <c r="DU10" s="537">
        <f>Ops!DU$101</f>
        <v>13129.144324751487</v>
      </c>
      <c r="DV10" s="537">
        <f>Ops!DV$101</f>
        <v>13352.899702359024</v>
      </c>
      <c r="DW10" s="537">
        <f>Ops!DW$101</f>
        <v>13352.899702359024</v>
      </c>
      <c r="DX10" s="537">
        <f>Ops!DX$101</f>
        <v>13352.899702359024</v>
      </c>
      <c r="DY10" s="537">
        <f>Ops!DY$101</f>
        <v>13352.899702359024</v>
      </c>
      <c r="DZ10" s="537">
        <f>Ops!DZ$101</f>
        <v>13580.082450164866</v>
      </c>
      <c r="EA10" s="537">
        <f>Ops!EA$101</f>
        <v>13580.082450164866</v>
      </c>
      <c r="EB10" s="537">
        <f>Ops!EB$101</f>
        <v>13580.082450164866</v>
      </c>
      <c r="EC10" s="537">
        <f>Ops!EC$101</f>
        <v>13580.082450164866</v>
      </c>
      <c r="ED10" s="537">
        <f>Ops!ED$101</f>
        <v>0</v>
      </c>
      <c r="EE10" s="537">
        <f>Ops!EE$101</f>
        <v>0</v>
      </c>
      <c r="EF10" s="537">
        <f>Ops!EF$101</f>
        <v>0</v>
      </c>
      <c r="EG10" s="537">
        <f>Ops!EG$101</f>
        <v>0</v>
      </c>
    </row>
    <row r="11" spans="5:137" ht="12.75">
      <c r="E11" s="535" t="str">
        <f>Ops!E$129</f>
        <v>Working capital - cash movement</v>
      </c>
      <c r="G11" s="537" t="str">
        <f>Ops!G$129</f>
        <v>EUR 000s</v>
      </c>
      <c r="H11" s="537">
        <f>Ops!H$129</f>
        <v>0</v>
      </c>
      <c r="J11" s="537">
        <f>Ops!J$129</f>
        <v>0</v>
      </c>
      <c r="K11" s="537">
        <f>Ops!K$129</f>
        <v>0</v>
      </c>
      <c r="L11" s="537">
        <f>Ops!L$129</f>
        <v>0</v>
      </c>
      <c r="M11" s="537">
        <f>Ops!M$129</f>
        <v>0</v>
      </c>
      <c r="N11" s="537">
        <f>Ops!N$129</f>
        <v>0</v>
      </c>
      <c r="O11" s="537">
        <f>Ops!O$129</f>
        <v>0</v>
      </c>
      <c r="P11" s="537">
        <f>Ops!P$129</f>
        <v>0</v>
      </c>
      <c r="Q11" s="537">
        <f>Ops!Q$129</f>
        <v>0</v>
      </c>
      <c r="R11" s="537">
        <f>Ops!R$129</f>
        <v>0</v>
      </c>
      <c r="S11" s="537">
        <f>Ops!S$129</f>
        <v>0</v>
      </c>
      <c r="T11" s="537">
        <f>Ops!T$129</f>
        <v>0</v>
      </c>
      <c r="U11" s="537">
        <f>Ops!U$129</f>
        <v>0</v>
      </c>
      <c r="V11" s="537">
        <f>Ops!V$129</f>
        <v>0</v>
      </c>
      <c r="W11" s="537">
        <f>Ops!W$129</f>
        <v>0</v>
      </c>
      <c r="X11" s="537">
        <f>Ops!X$129</f>
        <v>0</v>
      </c>
      <c r="Y11" s="537">
        <f>Ops!Y$129</f>
        <v>0</v>
      </c>
      <c r="Z11" s="537">
        <f>Ops!Z$129</f>
        <v>0</v>
      </c>
      <c r="AA11" s="537">
        <f>Ops!AA$129</f>
        <v>0</v>
      </c>
      <c r="AB11" s="537">
        <f>Ops!AB$129</f>
        <v>0</v>
      </c>
      <c r="AC11" s="537">
        <f>Ops!AC$129</f>
        <v>0</v>
      </c>
      <c r="AD11" s="537">
        <f>Ops!AD$129</f>
        <v>0</v>
      </c>
      <c r="AE11" s="537">
        <f>Ops!AE$129</f>
        <v>0</v>
      </c>
      <c r="AF11" s="537">
        <f>Ops!AF$129</f>
        <v>0</v>
      </c>
      <c r="AG11" s="537">
        <f>Ops!AG$129</f>
        <v>0</v>
      </c>
      <c r="AH11" s="537">
        <f>Ops!AH$129</f>
        <v>-1835.6672916666671</v>
      </c>
      <c r="AI11" s="537">
        <f>Ops!AI$129</f>
        <v>20.172168040292945</v>
      </c>
      <c r="AJ11" s="537">
        <f>Ops!AJ$129</f>
        <v>19.733642648113346</v>
      </c>
      <c r="AK11" s="537">
        <f>Ops!AK$129</f>
        <v>0</v>
      </c>
      <c r="AL11" s="537">
        <f>Ops!AL$129</f>
        <v>-62.02360964673926</v>
      </c>
      <c r="AM11" s="537">
        <f>Ops!AM$129</f>
        <v>20.415220776098977</v>
      </c>
      <c r="AN11" s="537">
        <f>Ops!AN$129</f>
        <v>19.971411628791884</v>
      </c>
      <c r="AO11" s="537">
        <f>Ops!AO$129</f>
        <v>0</v>
      </c>
      <c r="AP11" s="537">
        <f>Ops!AP$129</f>
        <v>-62.57102783718301</v>
      </c>
      <c r="AQ11" s="537">
        <f>Ops!AQ$129</f>
        <v>20.659005341288776</v>
      </c>
      <c r="AR11" s="537">
        <f>Ops!AR$129</f>
        <v>20.209896529522211</v>
      </c>
      <c r="AS11" s="537">
        <f>Ops!AS$129</f>
        <v>0</v>
      </c>
      <c r="AT11" s="537">
        <f>Ops!AT$129</f>
        <v>-42.207087024894008</v>
      </c>
      <c r="AU11" s="537">
        <f>Ops!AU$129</f>
        <v>0</v>
      </c>
      <c r="AV11" s="537">
        <f>Ops!AV$129</f>
        <v>20.44899642621067</v>
      </c>
      <c r="AW11" s="537">
        <f>Ops!AW$129</f>
        <v>0</v>
      </c>
      <c r="AX11" s="537">
        <f>Ops!AX$129</f>
        <v>-63.641343275751751</v>
      </c>
      <c r="AY11" s="537">
        <f>Ops!AY$129</f>
        <v>21.148351846822607</v>
      </c>
      <c r="AZ11" s="537">
        <f>Ops!AZ$129</f>
        <v>20.688605067545268</v>
      </c>
      <c r="BA11" s="537">
        <f>Ops!BA$129</f>
        <v>0</v>
      </c>
      <c r="BB11" s="537">
        <f>Ops!BB$129</f>
        <v>-64.162811669532857</v>
      </c>
      <c r="BC11" s="537">
        <f>Ops!BC$129</f>
        <v>21.393690910067107</v>
      </c>
      <c r="BD11" s="537">
        <f>Ops!BD$129</f>
        <v>20.928610672890954</v>
      </c>
      <c r="BE11" s="537">
        <f>Ops!BE$129</f>
        <v>0</v>
      </c>
      <c r="BF11" s="537">
        <f>Ops!BF$129</f>
        <v>-64.674150947385897</v>
      </c>
      <c r="BG11" s="537">
        <f>Ops!BG$129</f>
        <v>21.639315628356599</v>
      </c>
      <c r="BH11" s="537">
        <f>Ops!BH$129</f>
        <v>21.168895723393234</v>
      </c>
      <c r="BI11" s="537">
        <f>Ops!BI$129</f>
        <v>0</v>
      </c>
      <c r="BJ11" s="537">
        <f>Ops!BJ$129</f>
        <v>-43.289469805285989</v>
      </c>
      <c r="BK11" s="537">
        <f>Ops!BK$129</f>
        <v>0</v>
      </c>
      <c r="BL11" s="537">
        <f>Ops!BL$129</f>
        <v>21.409336746022291</v>
      </c>
      <c r="BM11" s="537">
        <f>Ops!BM$129</f>
        <v>0</v>
      </c>
      <c r="BN11" s="537">
        <f>Ops!BN$129</f>
        <v>-65.663243275450441</v>
      </c>
      <c r="BO11" s="537">
        <f>Ops!BO$129</f>
        <v>22.130910847950872</v>
      </c>
      <c r="BP11" s="537">
        <f>Ops!BP$129</f>
        <v>21.649804090385715</v>
      </c>
      <c r="BQ11" s="537">
        <f>Ops!BQ$129</f>
        <v>0</v>
      </c>
      <c r="BR11" s="537">
        <f>Ops!BR$129</f>
        <v>-66.139313730244794</v>
      </c>
      <c r="BS11" s="537">
        <f>Ops!BS$129</f>
        <v>22.376609735772945</v>
      </c>
      <c r="BT11" s="537">
        <f>Ops!BT$129</f>
        <v>21.890161698039719</v>
      </c>
      <c r="BU11" s="537">
        <f>Ops!BU$129</f>
        <v>0</v>
      </c>
      <c r="BV11" s="537">
        <f>Ops!BV$129</f>
        <v>-66.60188754530418</v>
      </c>
      <c r="BW11" s="537">
        <f>Ops!BW$129</f>
        <v>22.622050572163516</v>
      </c>
      <c r="BX11" s="537">
        <f>Ops!BX$129</f>
        <v>22.130266864073292</v>
      </c>
      <c r="BY11" s="537">
        <f>Ops!BY$129</f>
        <v>0</v>
      </c>
      <c r="BZ11" s="537">
        <f>Ops!BZ$129</f>
        <v>-44.182954516845257</v>
      </c>
      <c r="CA11" s="537">
        <f>Ops!CA$129</f>
        <v>0</v>
      </c>
      <c r="CB11" s="537">
        <f>Ops!CB$129</f>
        <v>22.369969990733352</v>
      </c>
      <c r="CC11" s="537">
        <f>Ops!CC$129</f>
        <v>0</v>
      </c>
      <c r="CD11" s="537">
        <f>Ops!CD$129</f>
        <v>-67.482788558171251</v>
      </c>
      <c r="CE11" s="537">
        <f>Ops!CE$129</f>
        <v>23.111539095767967</v>
      </c>
      <c r="CF11" s="537">
        <f>Ops!CF$129</f>
        <v>22.609114332817171</v>
      </c>
      <c r="CG11" s="537">
        <f>Ops!CG$129</f>
        <v>0</v>
      </c>
      <c r="CH11" s="537">
        <f>Ops!CH$129</f>
        <v>-67.89914204582692</v>
      </c>
      <c r="CI11" s="537">
        <f>Ops!CI$129</f>
        <v>23.355258750902522</v>
      </c>
      <c r="CJ11" s="537">
        <f>Ops!CJ$129</f>
        <v>22.847535734578742</v>
      </c>
      <c r="CK11" s="537">
        <f>Ops!CK$129</f>
        <v>0</v>
      </c>
      <c r="CL11" s="537">
        <f>Ops!CL$129</f>
        <v>-68.298048823106001</v>
      </c>
      <c r="CM11" s="537">
        <f>Ops!CM$129</f>
        <v>23.598063743624607</v>
      </c>
      <c r="CN11" s="537">
        <f>Ops!CN$129</f>
        <v>23.085062357892639</v>
      </c>
      <c r="CO11" s="537">
        <f>Ops!CO$129</f>
        <v>0</v>
      </c>
      <c r="CP11" s="537">
        <f>Ops!CP$129</f>
        <v>-44.838650358511586</v>
      </c>
      <c r="CQ11" s="537">
        <f>Ops!CQ$129</f>
        <v>0</v>
      </c>
      <c r="CR11" s="537">
        <f>Ops!CR$129</f>
        <v>23.321514401377499</v>
      </c>
      <c r="CS11" s="537">
        <f>Ops!CS$129</f>
        <v>0</v>
      </c>
      <c r="CT11" s="537">
        <f>Ops!CT$129</f>
        <v>-69.03912613103239</v>
      </c>
      <c r="CU11" s="537">
        <f>Ops!CU$129</f>
        <v>24.080186117103494</v>
      </c>
      <c r="CV11" s="537">
        <f>Ops!CV$129</f>
        <v>23.556703810209456</v>
      </c>
      <c r="CW11" s="537">
        <f>Ops!CW$129</f>
        <v>0</v>
      </c>
      <c r="CX11" s="537">
        <f>Ops!CX$129</f>
        <v>-69.378989379760696</v>
      </c>
      <c r="CY11" s="537">
        <f>Ops!CY$129</f>
        <v>24.319110286910472</v>
      </c>
      <c r="CZ11" s="537">
        <f>Ops!CZ$129</f>
        <v>23.790433976325858</v>
      </c>
      <c r="DA11" s="537">
        <f>Ops!DA$129</f>
        <v>0</v>
      </c>
      <c r="DB11" s="537">
        <f>Ops!DB$129</f>
        <v>-69.696788345164805</v>
      </c>
      <c r="DC11" s="537">
        <f>Ops!DC$129</f>
        <v>24.556332749349167</v>
      </c>
      <c r="DD11" s="537">
        <f>Ops!DD$129</f>
        <v>24.022499428711399</v>
      </c>
      <c r="DE11" s="537">
        <f>Ops!DE$129</f>
        <v>0</v>
      </c>
      <c r="DF11" s="537">
        <f>Ops!DF$129</f>
        <v>-45.19961922631046</v>
      </c>
      <c r="DG11" s="537">
        <f>Ops!DG$129</f>
        <v>0</v>
      </c>
      <c r="DH11" s="537">
        <f>Ops!DH$129</f>
        <v>24.252685513467441</v>
      </c>
      <c r="DI11" s="537">
        <f>Ops!DI$129</f>
        <v>0</v>
      </c>
      <c r="DJ11" s="537">
        <f>Ops!DJ$129</f>
        <v>-70.261065231833982</v>
      </c>
      <c r="DK11" s="537">
        <f>Ops!DK$129</f>
        <v>25.024785131400222</v>
      </c>
      <c r="DL11" s="537">
        <f>Ops!DL$129</f>
        <v>24.48076806332665</v>
      </c>
      <c r="DM11" s="537">
        <f>Ops!DM$129</f>
        <v>0</v>
      </c>
      <c r="DN11" s="537">
        <f>Ops!DN$129</f>
        <v>-70.504854095220253</v>
      </c>
      <c r="DO11" s="537">
        <f>Ops!DO$129</f>
        <v>25.255546679757572</v>
      </c>
      <c r="DP11" s="537">
        <f>Ops!DP$129</f>
        <v>24.706513056284621</v>
      </c>
      <c r="DQ11" s="537">
        <f>Ops!DQ$129</f>
        <v>0</v>
      </c>
      <c r="DR11" s="537">
        <f>Ops!DR$129</f>
        <v>-70.721197144874168</v>
      </c>
      <c r="DS11" s="537">
        <f>Ops!DS$129</f>
        <v>25.483669068865311</v>
      </c>
      <c r="DT11" s="537">
        <f>Ops!DT$129</f>
        <v>24.92967626302061</v>
      </c>
      <c r="DU11" s="537">
        <f>Ops!DU$129</f>
        <v>0</v>
      </c>
      <c r="DV11" s="537">
        <f>Ops!DV$129</f>
        <v>-45.199725276542722</v>
      </c>
      <c r="DW11" s="537">
        <f>Ops!DW$129</f>
        <v>0</v>
      </c>
      <c r="DX11" s="537">
        <f>Ops!DX$129</f>
        <v>25.150002882733133</v>
      </c>
      <c r="DY11" s="537">
        <f>Ops!DY$129</f>
        <v>0</v>
      </c>
      <c r="DZ11" s="537">
        <f>Ops!DZ$129</f>
        <v>-71.065580365133428</v>
      </c>
      <c r="EA11" s="537">
        <f>Ops!EA$129</f>
        <v>25.930943326306078</v>
      </c>
      <c r="EB11" s="537">
        <f>Ops!EB$129</f>
        <v>25.367227167037527</v>
      </c>
      <c r="EC11" s="537">
        <f>Ops!EC$129</f>
        <v>0</v>
      </c>
      <c r="ED11" s="537">
        <f>Ops!ED$129</f>
        <v>2308.4176722004668</v>
      </c>
      <c r="EE11" s="537">
        <f>Ops!EE$129</f>
        <v>0</v>
      </c>
      <c r="EF11" s="537">
        <f>Ops!EF$129</f>
        <v>0</v>
      </c>
      <c r="EG11" s="537">
        <f>Ops!EG$129</f>
        <v>0</v>
      </c>
    </row>
    <row r="12" spans="5:137" ht="12.75">
      <c r="E12" s="535" t="str">
        <f>Reserves!E$94</f>
        <v>Maintenance cost - not covered by MRA</v>
      </c>
      <c r="G12" s="537" t="str">
        <f>Reserves!G$94</f>
        <v>EUR 000s</v>
      </c>
      <c r="H12" s="537">
        <f>Reserves!H$94</f>
        <v>0</v>
      </c>
      <c r="J12" s="537">
        <f>Reserves!J$94</f>
        <v>0</v>
      </c>
      <c r="K12" s="537">
        <f>Reserves!K$94</f>
        <v>0</v>
      </c>
      <c r="L12" s="537">
        <f>Reserves!L$94</f>
        <v>0</v>
      </c>
      <c r="M12" s="537">
        <f>Reserves!M$94</f>
        <v>0</v>
      </c>
      <c r="N12" s="537">
        <f>Reserves!N$94</f>
        <v>0</v>
      </c>
      <c r="O12" s="537">
        <f>Reserves!O$94</f>
        <v>0</v>
      </c>
      <c r="P12" s="537">
        <f>Reserves!P$94</f>
        <v>0</v>
      </c>
      <c r="Q12" s="537">
        <f>Reserves!Q$94</f>
        <v>0</v>
      </c>
      <c r="R12" s="537">
        <f>Reserves!R$94</f>
        <v>0</v>
      </c>
      <c r="S12" s="537">
        <f>Reserves!S$94</f>
        <v>0</v>
      </c>
      <c r="T12" s="537">
        <f>Reserves!T$94</f>
        <v>0</v>
      </c>
      <c r="U12" s="537">
        <f>Reserves!U$94</f>
        <v>0</v>
      </c>
      <c r="V12" s="537">
        <f>Reserves!V$94</f>
        <v>0</v>
      </c>
      <c r="W12" s="537">
        <f>Reserves!W$94</f>
        <v>0</v>
      </c>
      <c r="X12" s="537">
        <f>Reserves!X$94</f>
        <v>0</v>
      </c>
      <c r="Y12" s="537">
        <f>Reserves!Y$94</f>
        <v>0</v>
      </c>
      <c r="Z12" s="537">
        <f>Reserves!Z$94</f>
        <v>0</v>
      </c>
      <c r="AA12" s="537">
        <f>Reserves!AA$94</f>
        <v>0</v>
      </c>
      <c r="AB12" s="537">
        <f>Reserves!AB$94</f>
        <v>0</v>
      </c>
      <c r="AC12" s="537">
        <f>Reserves!AC$94</f>
        <v>0</v>
      </c>
      <c r="AD12" s="537">
        <f>Reserves!AD$94</f>
        <v>0</v>
      </c>
      <c r="AE12" s="537">
        <f>Reserves!AE$94</f>
        <v>0</v>
      </c>
      <c r="AF12" s="537">
        <f>Reserves!AF$94</f>
        <v>0</v>
      </c>
      <c r="AG12" s="537">
        <f>Reserves!AG$94</f>
        <v>0</v>
      </c>
      <c r="AH12" s="537">
        <f>Reserves!AH$94</f>
        <v>0</v>
      </c>
      <c r="AI12" s="537">
        <f>Reserves!AI$94</f>
        <v>0</v>
      </c>
      <c r="AJ12" s="537">
        <f>Reserves!AJ$94</f>
        <v>0</v>
      </c>
      <c r="AK12" s="537">
        <f>Reserves!AK$94</f>
        <v>0</v>
      </c>
      <c r="AL12" s="537">
        <f>Reserves!AL$94</f>
        <v>0</v>
      </c>
      <c r="AM12" s="537">
        <f>Reserves!AM$94</f>
        <v>0</v>
      </c>
      <c r="AN12" s="537">
        <f>Reserves!AN$94</f>
        <v>0</v>
      </c>
      <c r="AO12" s="537">
        <f>Reserves!AO$94</f>
        <v>0</v>
      </c>
      <c r="AP12" s="537">
        <f>Reserves!AP$94</f>
        <v>0</v>
      </c>
      <c r="AQ12" s="537">
        <f>Reserves!AQ$94</f>
        <v>0</v>
      </c>
      <c r="AR12" s="537">
        <f>Reserves!AR$94</f>
        <v>0</v>
      </c>
      <c r="AS12" s="537">
        <f>Reserves!AS$94</f>
        <v>0</v>
      </c>
      <c r="AT12" s="537">
        <f>Reserves!AT$94</f>
        <v>0</v>
      </c>
      <c r="AU12" s="537">
        <f>Reserves!AU$94</f>
        <v>0</v>
      </c>
      <c r="AV12" s="537">
        <f>Reserves!AV$94</f>
        <v>0</v>
      </c>
      <c r="AW12" s="537">
        <f>Reserves!AW$94</f>
        <v>0</v>
      </c>
      <c r="AX12" s="537">
        <f>Reserves!AX$94</f>
        <v>0</v>
      </c>
      <c r="AY12" s="537">
        <f>Reserves!AY$94</f>
        <v>0</v>
      </c>
      <c r="AZ12" s="537">
        <f>Reserves!AZ$94</f>
        <v>0</v>
      </c>
      <c r="BA12" s="537">
        <f>Reserves!BA$94</f>
        <v>0</v>
      </c>
      <c r="BB12" s="537">
        <f>Reserves!BB$94</f>
        <v>0</v>
      </c>
      <c r="BC12" s="537">
        <f>Reserves!BC$94</f>
        <v>0</v>
      </c>
      <c r="BD12" s="537">
        <f>Reserves!BD$94</f>
        <v>0</v>
      </c>
      <c r="BE12" s="537">
        <f>Reserves!BE$94</f>
        <v>0</v>
      </c>
      <c r="BF12" s="537">
        <f>Reserves!BF$94</f>
        <v>0</v>
      </c>
      <c r="BG12" s="537">
        <f>Reserves!BG$94</f>
        <v>0</v>
      </c>
      <c r="BH12" s="537">
        <f>Reserves!BH$94</f>
        <v>0</v>
      </c>
      <c r="BI12" s="537">
        <f>Reserves!BI$94</f>
        <v>0</v>
      </c>
      <c r="BJ12" s="537">
        <f>Reserves!BJ$94</f>
        <v>0</v>
      </c>
      <c r="BK12" s="537">
        <f>Reserves!BK$94</f>
        <v>0</v>
      </c>
      <c r="BL12" s="537">
        <f>Reserves!BL$94</f>
        <v>0</v>
      </c>
      <c r="BM12" s="537">
        <f>Reserves!BM$94</f>
        <v>0</v>
      </c>
      <c r="BN12" s="537">
        <f>Reserves!BN$94</f>
        <v>0</v>
      </c>
      <c r="BO12" s="537">
        <f>Reserves!BO$94</f>
        <v>0</v>
      </c>
      <c r="BP12" s="537">
        <f>Reserves!BP$94</f>
        <v>0</v>
      </c>
      <c r="BQ12" s="537">
        <f>Reserves!BQ$94</f>
        <v>0</v>
      </c>
      <c r="BR12" s="537">
        <f>Reserves!BR$94</f>
        <v>0</v>
      </c>
      <c r="BS12" s="537">
        <f>Reserves!BS$94</f>
        <v>0</v>
      </c>
      <c r="BT12" s="537">
        <f>Reserves!BT$94</f>
        <v>0</v>
      </c>
      <c r="BU12" s="537">
        <f>Reserves!BU$94</f>
        <v>0</v>
      </c>
      <c r="BV12" s="537">
        <f>Reserves!BV$94</f>
        <v>0</v>
      </c>
      <c r="BW12" s="537">
        <f>Reserves!BW$94</f>
        <v>0</v>
      </c>
      <c r="BX12" s="537">
        <f>Reserves!BX$94</f>
        <v>0</v>
      </c>
      <c r="BY12" s="537">
        <f>Reserves!BY$94</f>
        <v>0</v>
      </c>
      <c r="BZ12" s="537">
        <f>Reserves!BZ$94</f>
        <v>0</v>
      </c>
      <c r="CA12" s="537">
        <f>Reserves!CA$94</f>
        <v>0</v>
      </c>
      <c r="CB12" s="537">
        <f>Reserves!CB$94</f>
        <v>0</v>
      </c>
      <c r="CC12" s="537">
        <f>Reserves!CC$94</f>
        <v>0</v>
      </c>
      <c r="CD12" s="537">
        <f>Reserves!CD$94</f>
        <v>0</v>
      </c>
      <c r="CE12" s="537">
        <f>Reserves!CE$94</f>
        <v>0</v>
      </c>
      <c r="CF12" s="537">
        <f>Reserves!CF$94</f>
        <v>0</v>
      </c>
      <c r="CG12" s="537">
        <f>Reserves!CG$94</f>
        <v>0</v>
      </c>
      <c r="CH12" s="537">
        <f>Reserves!CH$94</f>
        <v>0</v>
      </c>
      <c r="CI12" s="537">
        <f>Reserves!CI$94</f>
        <v>0</v>
      </c>
      <c r="CJ12" s="537">
        <f>Reserves!CJ$94</f>
        <v>0</v>
      </c>
      <c r="CK12" s="537">
        <f>Reserves!CK$94</f>
        <v>0</v>
      </c>
      <c r="CL12" s="537">
        <f>Reserves!CL$94</f>
        <v>0</v>
      </c>
      <c r="CM12" s="537">
        <f>Reserves!CM$94</f>
        <v>0</v>
      </c>
      <c r="CN12" s="537">
        <f>Reserves!CN$94</f>
        <v>0</v>
      </c>
      <c r="CO12" s="537">
        <f>Reserves!CO$94</f>
        <v>0</v>
      </c>
      <c r="CP12" s="537">
        <f>Reserves!CP$94</f>
        <v>0</v>
      </c>
      <c r="CQ12" s="537">
        <f>Reserves!CQ$94</f>
        <v>0</v>
      </c>
      <c r="CR12" s="537">
        <f>Reserves!CR$94</f>
        <v>0</v>
      </c>
      <c r="CS12" s="537">
        <f>Reserves!CS$94</f>
        <v>0</v>
      </c>
      <c r="CT12" s="537">
        <f>Reserves!CT$94</f>
        <v>0</v>
      </c>
      <c r="CU12" s="537">
        <f>Reserves!CU$94</f>
        <v>0</v>
      </c>
      <c r="CV12" s="537">
        <f>Reserves!CV$94</f>
        <v>0</v>
      </c>
      <c r="CW12" s="537">
        <f>Reserves!CW$94</f>
        <v>0</v>
      </c>
      <c r="CX12" s="537">
        <f>Reserves!CX$94</f>
        <v>0</v>
      </c>
      <c r="CY12" s="537">
        <f>Reserves!CY$94</f>
        <v>0</v>
      </c>
      <c r="CZ12" s="537">
        <f>Reserves!CZ$94</f>
        <v>0</v>
      </c>
      <c r="DA12" s="537">
        <f>Reserves!DA$94</f>
        <v>0</v>
      </c>
      <c r="DB12" s="537">
        <f>Reserves!DB$94</f>
        <v>0</v>
      </c>
      <c r="DC12" s="537">
        <f>Reserves!DC$94</f>
        <v>0</v>
      </c>
      <c r="DD12" s="537">
        <f>Reserves!DD$94</f>
        <v>0</v>
      </c>
      <c r="DE12" s="537">
        <f>Reserves!DE$94</f>
        <v>0</v>
      </c>
      <c r="DF12" s="537">
        <f>Reserves!DF$94</f>
        <v>0</v>
      </c>
      <c r="DG12" s="537">
        <f>Reserves!DG$94</f>
        <v>0</v>
      </c>
      <c r="DH12" s="537">
        <f>Reserves!DH$94</f>
        <v>0</v>
      </c>
      <c r="DI12" s="537">
        <f>Reserves!DI$94</f>
        <v>0</v>
      </c>
      <c r="DJ12" s="537">
        <f>Reserves!DJ$94</f>
        <v>0</v>
      </c>
      <c r="DK12" s="537">
        <f>Reserves!DK$94</f>
        <v>0</v>
      </c>
      <c r="DL12" s="537">
        <f>Reserves!DL$94</f>
        <v>0</v>
      </c>
      <c r="DM12" s="537">
        <f>Reserves!DM$94</f>
        <v>0</v>
      </c>
      <c r="DN12" s="537">
        <f>Reserves!DN$94</f>
        <v>0</v>
      </c>
      <c r="DO12" s="537">
        <f>Reserves!DO$94</f>
        <v>0</v>
      </c>
      <c r="DP12" s="537">
        <f>Reserves!DP$94</f>
        <v>0</v>
      </c>
      <c r="DQ12" s="537">
        <f>Reserves!DQ$94</f>
        <v>0</v>
      </c>
      <c r="DR12" s="537">
        <f>Reserves!DR$94</f>
        <v>0</v>
      </c>
      <c r="DS12" s="537">
        <f>Reserves!DS$94</f>
        <v>0</v>
      </c>
      <c r="DT12" s="537">
        <f>Reserves!DT$94</f>
        <v>0</v>
      </c>
      <c r="DU12" s="537">
        <f>Reserves!DU$94</f>
        <v>0</v>
      </c>
      <c r="DV12" s="537">
        <f>Reserves!DV$94</f>
        <v>0</v>
      </c>
      <c r="DW12" s="537">
        <f>Reserves!DW$94</f>
        <v>0</v>
      </c>
      <c r="DX12" s="537">
        <f>Reserves!DX$94</f>
        <v>0</v>
      </c>
      <c r="DY12" s="537">
        <f>Reserves!DY$94</f>
        <v>0</v>
      </c>
      <c r="DZ12" s="537">
        <f>Reserves!DZ$94</f>
        <v>0</v>
      </c>
      <c r="EA12" s="537">
        <f>Reserves!EA$94</f>
        <v>0</v>
      </c>
      <c r="EB12" s="537">
        <f>Reserves!EB$94</f>
        <v>0</v>
      </c>
      <c r="EC12" s="537">
        <f>Reserves!EC$94</f>
        <v>0</v>
      </c>
      <c r="ED12" s="537">
        <f>Reserves!ED$94</f>
        <v>0</v>
      </c>
      <c r="EE12" s="537">
        <f>Reserves!EE$94</f>
        <v>0</v>
      </c>
      <c r="EF12" s="537">
        <f>Reserves!EF$94</f>
        <v>0</v>
      </c>
      <c r="EG12" s="537">
        <f>Reserves!EG$94</f>
        <v>0</v>
      </c>
    </row>
    <row r="13" spans="5:137" ht="12.75">
      <c r="E13" s="535" t="str">
        <f>Tax!E$109</f>
        <v>Tax - payable</v>
      </c>
      <c r="G13" s="537" t="str">
        <f>Tax!G$109</f>
        <v>EUR 000s</v>
      </c>
      <c r="H13" s="537">
        <f>Tax!H$109</f>
        <v>157560.76508650024</v>
      </c>
      <c r="J13" s="537">
        <f>Tax!J$109</f>
        <v>0</v>
      </c>
      <c r="K13" s="537">
        <f>Tax!K$109</f>
        <v>0</v>
      </c>
      <c r="L13" s="537">
        <f>Tax!L$109</f>
        <v>0</v>
      </c>
      <c r="M13" s="537">
        <f>Tax!M$109</f>
        <v>0</v>
      </c>
      <c r="N13" s="537">
        <f>Tax!N$109</f>
        <v>0</v>
      </c>
      <c r="O13" s="537">
        <f>Tax!O$109</f>
        <v>0</v>
      </c>
      <c r="P13" s="537">
        <f>Tax!P$109</f>
        <v>0</v>
      </c>
      <c r="Q13" s="537">
        <f>Tax!Q$109</f>
        <v>0</v>
      </c>
      <c r="R13" s="537">
        <f>Tax!R$109</f>
        <v>0</v>
      </c>
      <c r="S13" s="537">
        <f>Tax!S$109</f>
        <v>0</v>
      </c>
      <c r="T13" s="537">
        <f>Tax!T$109</f>
        <v>0</v>
      </c>
      <c r="U13" s="537">
        <f>Tax!U$109</f>
        <v>0</v>
      </c>
      <c r="V13" s="537">
        <f>Tax!V$109</f>
        <v>0</v>
      </c>
      <c r="W13" s="537">
        <f>Tax!W$109</f>
        <v>0</v>
      </c>
      <c r="X13" s="537">
        <f>Tax!X$109</f>
        <v>0</v>
      </c>
      <c r="Y13" s="537">
        <f>Tax!Y$109</f>
        <v>0</v>
      </c>
      <c r="Z13" s="537">
        <f>Tax!Z$109</f>
        <v>0</v>
      </c>
      <c r="AA13" s="537">
        <f>Tax!AA$109</f>
        <v>0</v>
      </c>
      <c r="AB13" s="537">
        <f>Tax!AB$109</f>
        <v>0</v>
      </c>
      <c r="AC13" s="537">
        <f>Tax!AC$109</f>
        <v>0</v>
      </c>
      <c r="AD13" s="537">
        <f>Tax!AD$109</f>
        <v>0</v>
      </c>
      <c r="AE13" s="537">
        <f>Tax!AE$109</f>
        <v>0</v>
      </c>
      <c r="AF13" s="537">
        <f>Tax!AF$109</f>
        <v>0</v>
      </c>
      <c r="AG13" s="537">
        <f>Tax!AG$109</f>
        <v>0</v>
      </c>
      <c r="AH13" s="537">
        <f>Tax!AH$109</f>
        <v>0</v>
      </c>
      <c r="AI13" s="537">
        <f>Tax!AI$109</f>
        <v>0</v>
      </c>
      <c r="AJ13" s="537">
        <f>Tax!AJ$109</f>
        <v>0</v>
      </c>
      <c r="AK13" s="537">
        <f>Tax!AK$109</f>
        <v>0</v>
      </c>
      <c r="AL13" s="537">
        <f>Tax!AL$109</f>
        <v>0</v>
      </c>
      <c r="AM13" s="537">
        <f>Tax!AM$109</f>
        <v>0</v>
      </c>
      <c r="AN13" s="537">
        <f>Tax!AN$109</f>
        <v>0</v>
      </c>
      <c r="AO13" s="537">
        <f>Tax!AO$109</f>
        <v>0</v>
      </c>
      <c r="AP13" s="537">
        <f>Tax!AP$109</f>
        <v>0</v>
      </c>
      <c r="AQ13" s="537">
        <f>Tax!AQ$109</f>
        <v>0</v>
      </c>
      <c r="AR13" s="537">
        <f>Tax!AR$109</f>
        <v>0</v>
      </c>
      <c r="AS13" s="537">
        <f>Tax!AS$109</f>
        <v>0</v>
      </c>
      <c r="AT13" s="537">
        <f>Tax!AT$109</f>
        <v>0</v>
      </c>
      <c r="AU13" s="537">
        <f>Tax!AU$109</f>
        <v>0</v>
      </c>
      <c r="AV13" s="537">
        <f>Tax!AV$109</f>
        <v>0</v>
      </c>
      <c r="AW13" s="537">
        <f>Tax!AW$109</f>
        <v>4.364074562962367</v>
      </c>
      <c r="AX13" s="537">
        <f>Tax!AX$109</f>
        <v>0</v>
      </c>
      <c r="AY13" s="537">
        <f>Tax!AY$109</f>
        <v>0</v>
      </c>
      <c r="AZ13" s="537">
        <f>Tax!AZ$109</f>
        <v>0</v>
      </c>
      <c r="BA13" s="537">
        <f>Tax!BA$109</f>
        <v>4.7139976228182263</v>
      </c>
      <c r="BB13" s="537">
        <f>Tax!BB$109</f>
        <v>123.35434439866748</v>
      </c>
      <c r="BC13" s="537">
        <f>Tax!BC$109</f>
        <v>140.985082426448</v>
      </c>
      <c r="BD13" s="537">
        <f>Tax!BD$109</f>
        <v>157.82243724297831</v>
      </c>
      <c r="BE13" s="537">
        <f>Tax!BE$109</f>
        <v>173.90211109276487</v>
      </c>
      <c r="BF13" s="537">
        <f>Tax!BF$109</f>
        <v>198.25512746295027</v>
      </c>
      <c r="BG13" s="537">
        <f>Tax!BG$109</f>
        <v>212.92019200580182</v>
      </c>
      <c r="BH13" s="537">
        <f>Tax!BH$109</f>
        <v>226.92532864422503</v>
      </c>
      <c r="BI13" s="537">
        <f>Tax!BI$109</f>
        <v>240.30023413391928</v>
      </c>
      <c r="BJ13" s="537">
        <f>Tax!BJ$109</f>
        <v>262.21607368816206</v>
      </c>
      <c r="BK13" s="537">
        <f>Tax!BK$109</f>
        <v>274.41432186740042</v>
      </c>
      <c r="BL13" s="537">
        <f>Tax!BL$109</f>
        <v>286.06364887857308</v>
      </c>
      <c r="BM13" s="537">
        <f>Tax!BM$109</f>
        <v>297.18875617424294</v>
      </c>
      <c r="BN13" s="537">
        <f>Tax!BN$109</f>
        <v>317.10386035506565</v>
      </c>
      <c r="BO13" s="537">
        <f>Tax!BO$109</f>
        <v>327.25023633639898</v>
      </c>
      <c r="BP13" s="537">
        <f>Tax!BP$109</f>
        <v>336.94002539857229</v>
      </c>
      <c r="BQ13" s="537">
        <f>Tax!BQ$109</f>
        <v>346.19377395294782</v>
      </c>
      <c r="BR13" s="537">
        <f>Tax!BR$109</f>
        <v>261.14468402135651</v>
      </c>
      <c r="BS13" s="537">
        <f>Tax!BS$109</f>
        <v>269.58433404666084</v>
      </c>
      <c r="BT13" s="537">
        <f>Tax!BT$109</f>
        <v>277.64419982082643</v>
      </c>
      <c r="BU13" s="537">
        <f>Tax!BU$109</f>
        <v>285.34137163515459</v>
      </c>
      <c r="BV13" s="537">
        <f>Tax!BV$109</f>
        <v>572.02714248565167</v>
      </c>
      <c r="BW13" s="537">
        <f>Tax!BW$109</f>
        <v>1375.4371889343881</v>
      </c>
      <c r="BX13" s="537">
        <f>Tax!BX$109</f>
        <v>1397.7842307123358</v>
      </c>
      <c r="BY13" s="537">
        <f>Tax!BY$109</f>
        <v>1419.125655610276</v>
      </c>
      <c r="BZ13" s="537">
        <f>Tax!BZ$109</f>
        <v>1471.9929449214624</v>
      </c>
      <c r="CA13" s="537">
        <f>Tax!CA$109</f>
        <v>1491.4568579640058</v>
      </c>
      <c r="CB13" s="537">
        <f>Tax!CB$109</f>
        <v>1579.7075216152664</v>
      </c>
      <c r="CC13" s="537">
        <f>Tax!CC$109</f>
        <v>1937.9523262081209</v>
      </c>
      <c r="CD13" s="537">
        <f>Tax!CD$109</f>
        <v>2024.7662307751368</v>
      </c>
      <c r="CE13" s="537">
        <f>Tax!CE$109</f>
        <v>2048.0927292903048</v>
      </c>
      <c r="CF13" s="537">
        <f>Tax!CF$109</f>
        <v>2071.1689961167576</v>
      </c>
      <c r="CG13" s="537">
        <f>Tax!CG$109</f>
        <v>2097.7557449572951</v>
      </c>
      <c r="CH13" s="537">
        <f>Tax!CH$109</f>
        <v>2179.1527691119772</v>
      </c>
      <c r="CI13" s="537">
        <f>Tax!CI$109</f>
        <v>2200.9621577597163</v>
      </c>
      <c r="CJ13" s="537">
        <f>Tax!CJ$109</f>
        <v>2222.6797649111172</v>
      </c>
      <c r="CK13" s="537">
        <f>Tax!CK$109</f>
        <v>2247.5261384042792</v>
      </c>
      <c r="CL13" s="537">
        <f>Tax!CL$109</f>
        <v>1770.2932983001851</v>
      </c>
      <c r="CM13" s="537">
        <f>Tax!CM$109</f>
        <v>1792.1169259185758</v>
      </c>
      <c r="CN13" s="537">
        <f>Tax!CN$109</f>
        <v>1814.0216032353626</v>
      </c>
      <c r="CO13" s="537">
        <f>Tax!CO$109</f>
        <v>1838.6229889690817</v>
      </c>
      <c r="CP13" s="537">
        <f>Tax!CP$109</f>
        <v>2471.5854613087963</v>
      </c>
      <c r="CQ13" s="537">
        <f>Tax!CQ$109</f>
        <v>2494.6208210774184</v>
      </c>
      <c r="CR13" s="537">
        <f>Tax!CR$109</f>
        <v>2515.1823106638908</v>
      </c>
      <c r="CS13" s="537">
        <f>Tax!CS$109</f>
        <v>2537.9531175892853</v>
      </c>
      <c r="CT13" s="537">
        <f>Tax!CT$109</f>
        <v>2614.6078700330509</v>
      </c>
      <c r="CU13" s="537">
        <f>Tax!CU$109</f>
        <v>2634.9523584897361</v>
      </c>
      <c r="CV13" s="537">
        <f>Tax!CV$109</f>
        <v>2655.5815594201231</v>
      </c>
      <c r="CW13" s="537">
        <f>Tax!CW$109</f>
        <v>2677.8415026272069</v>
      </c>
      <c r="CX13" s="537">
        <f>Tax!CX$109</f>
        <v>2753.5418691240106</v>
      </c>
      <c r="CY13" s="537">
        <f>Tax!CY$109</f>
        <v>2774.1609804286254</v>
      </c>
      <c r="CZ13" s="537">
        <f>Tax!CZ$109</f>
        <v>2795.1661779897131</v>
      </c>
      <c r="DA13" s="537">
        <f>Tax!DA$109</f>
        <v>2817.2146304100647</v>
      </c>
      <c r="DB13" s="537">
        <f>Tax!DB$109</f>
        <v>2947.7510107061066</v>
      </c>
      <c r="DC13" s="537">
        <f>Tax!DC$109</f>
        <v>2953.1129829310908</v>
      </c>
      <c r="DD13" s="537">
        <f>Tax!DD$109</f>
        <v>2958.2336664059508</v>
      </c>
      <c r="DE13" s="537">
        <f>Tax!DE$109</f>
        <v>2963.1239191244422</v>
      </c>
      <c r="DF13" s="537">
        <f>Tax!DF$109</f>
        <v>2390.5589960365887</v>
      </c>
      <c r="DG13" s="537">
        <f>Tax!DG$109</f>
        <v>2395.0190287721707</v>
      </c>
      <c r="DH13" s="537">
        <f>Tax!DH$109</f>
        <v>2399.2783600346515</v>
      </c>
      <c r="DI13" s="537">
        <f>Tax!DI$109</f>
        <v>2403.3460213903204</v>
      </c>
      <c r="DJ13" s="537">
        <f>Tax!DJ$109</f>
        <v>3090.5001021527669</v>
      </c>
      <c r="DK13" s="537">
        <f>Tax!DK$109</f>
        <v>3094.2099110006707</v>
      </c>
      <c r="DL13" s="537">
        <f>Tax!DL$109</f>
        <v>3097.7527784504191</v>
      </c>
      <c r="DM13" s="537">
        <f>Tax!DM$109</f>
        <v>3101.1362168649289</v>
      </c>
      <c r="DN13" s="537">
        <f>Tax!DN$109</f>
        <v>3158.6215285117473</v>
      </c>
      <c r="DO13" s="537">
        <f>Tax!DO$109</f>
        <v>3161.7073089317405</v>
      </c>
      <c r="DP13" s="537">
        <f>Tax!DP$109</f>
        <v>3164.654229232834</v>
      </c>
      <c r="DQ13" s="537">
        <f>Tax!DQ$109</f>
        <v>3167.4685381203781</v>
      </c>
      <c r="DR13" s="537">
        <f>Tax!DR$109</f>
        <v>3225.2478575620371</v>
      </c>
      <c r="DS13" s="537">
        <f>Tax!DS$109</f>
        <v>3227.8145776251999</v>
      </c>
      <c r="DT13" s="537">
        <f>Tax!DT$109</f>
        <v>3230.2657952855202</v>
      </c>
      <c r="DU13" s="537">
        <f>Tax!DU$109</f>
        <v>3232.606708151126</v>
      </c>
      <c r="DV13" s="537">
        <f>Tax!DV$109</f>
        <v>3290.7811243396641</v>
      </c>
      <c r="DW13" s="537">
        <f>Tax!DW$109</f>
        <v>3292.9160953959181</v>
      </c>
      <c r="DX13" s="537">
        <f>Tax!DX$109</f>
        <v>3294.9549927546409</v>
      </c>
      <c r="DY13" s="537">
        <f>Tax!DY$109</f>
        <v>3296.9021397322213</v>
      </c>
      <c r="DZ13" s="537">
        <f>Tax!DZ$109</f>
        <v>3355.5573520472708</v>
      </c>
      <c r="EA13" s="537">
        <f>Tax!EA$109</f>
        <v>3357.3331987694983</v>
      </c>
      <c r="EB13" s="537">
        <f>Tax!EB$109</f>
        <v>3359.0291323892257</v>
      </c>
      <c r="EC13" s="537">
        <f>Tax!EC$109</f>
        <v>2631.201422648935</v>
      </c>
      <c r="ED13" s="537">
        <f>Tax!ED$109</f>
        <v>0</v>
      </c>
      <c r="EE13" s="537">
        <f>Tax!EE$109</f>
        <v>0</v>
      </c>
      <c r="EF13" s="537">
        <f>Tax!EF$109</f>
        <v>0</v>
      </c>
      <c r="EG13" s="537">
        <f>Tax!EG$109</f>
        <v>0</v>
      </c>
    </row>
    <row r="14" spans="5:137" ht="12.75">
      <c r="E14" s="540" t="s">
        <v>390</v>
      </c>
      <c r="G14" s="541" t="s">
        <v>30</v>
      </c>
      <c r="H14" s="541">
        <f>SUM(J14:EG14)</f>
        <v>957377.69580628083</v>
      </c>
      <c r="J14" s="541">
        <f t="shared" si="0" ref="J14:EG14">J10+J11-J13-J12-J9</f>
        <v>0</v>
      </c>
      <c r="K14" s="541">
        <f t="shared" si="0"/>
        <v>0</v>
      </c>
      <c r="L14" s="541">
        <f t="shared" si="0"/>
        <v>0</v>
      </c>
      <c r="M14" s="541">
        <f t="shared" si="0"/>
        <v>0</v>
      </c>
      <c r="N14" s="541">
        <f t="shared" si="0"/>
        <v>0</v>
      </c>
      <c r="O14" s="541">
        <f t="shared" si="0"/>
        <v>0</v>
      </c>
      <c r="P14" s="541">
        <f t="shared" si="0"/>
        <v>0</v>
      </c>
      <c r="Q14" s="541">
        <f t="shared" si="0"/>
        <v>0</v>
      </c>
      <c r="R14" s="541">
        <f t="shared" si="0"/>
        <v>0</v>
      </c>
      <c r="S14" s="541">
        <f t="shared" si="0"/>
        <v>0</v>
      </c>
      <c r="T14" s="541">
        <f t="shared" si="0"/>
        <v>0</v>
      </c>
      <c r="U14" s="541">
        <f t="shared" si="0"/>
        <v>0</v>
      </c>
      <c r="V14" s="541">
        <f t="shared" si="0"/>
        <v>0</v>
      </c>
      <c r="W14" s="541">
        <f t="shared" si="0"/>
        <v>0</v>
      </c>
      <c r="X14" s="541">
        <f t="shared" si="0"/>
        <v>0</v>
      </c>
      <c r="Y14" s="541">
        <f t="shared" si="0"/>
        <v>0</v>
      </c>
      <c r="Z14" s="541">
        <f t="shared" si="0"/>
        <v>0</v>
      </c>
      <c r="AA14" s="541">
        <f t="shared" si="0"/>
        <v>0</v>
      </c>
      <c r="AB14" s="541">
        <f t="shared" si="0"/>
        <v>0</v>
      </c>
      <c r="AC14" s="541">
        <f t="shared" si="0"/>
        <v>0</v>
      </c>
      <c r="AD14" s="541">
        <f t="shared" si="0"/>
        <v>0</v>
      </c>
      <c r="AE14" s="541">
        <f t="shared" si="0"/>
        <v>0</v>
      </c>
      <c r="AF14" s="541">
        <f t="shared" si="0"/>
        <v>0</v>
      </c>
      <c r="AG14" s="541">
        <f t="shared" si="0"/>
        <v>0</v>
      </c>
      <c r="AH14" s="541">
        <f t="shared" si="0"/>
        <v>7126.237686929222</v>
      </c>
      <c r="AI14" s="541">
        <f t="shared" si="0"/>
        <v>9016.0731055402921</v>
      </c>
      <c r="AJ14" s="541">
        <f t="shared" si="0"/>
        <v>9015.6345801481111</v>
      </c>
      <c r="AK14" s="541">
        <f t="shared" si="0"/>
        <v>8995.9009374999987</v>
      </c>
      <c r="AL14" s="541">
        <f t="shared" si="0"/>
        <v>9091.9020262907597</v>
      </c>
      <c r="AM14" s="541">
        <f t="shared" si="0"/>
        <v>9174.3408567135994</v>
      </c>
      <c r="AN14" s="541">
        <f t="shared" si="0"/>
        <v>9173.8970475662918</v>
      </c>
      <c r="AO14" s="541">
        <f t="shared" si="0"/>
        <v>9153.9256359374995</v>
      </c>
      <c r="AP14" s="541">
        <f t="shared" si="0"/>
        <v>9251.9761612487546</v>
      </c>
      <c r="AQ14" s="541">
        <f t="shared" si="0"/>
        <v>9335.2061944272264</v>
      </c>
      <c r="AR14" s="541">
        <f t="shared" si="0"/>
        <v>9334.7570856154598</v>
      </c>
      <c r="AS14" s="541">
        <f t="shared" si="0"/>
        <v>9314.5471890859371</v>
      </c>
      <c r="AT14" s="541">
        <f t="shared" si="0"/>
        <v>9435.594366845693</v>
      </c>
      <c r="AU14" s="541">
        <f t="shared" si="0"/>
        <v>9477.8014538705866</v>
      </c>
      <c r="AV14" s="541">
        <f t="shared" si="0"/>
        <v>9498.2504502967968</v>
      </c>
      <c r="AW14" s="541">
        <f t="shared" si="0"/>
        <v>9473.4373793076247</v>
      </c>
      <c r="AX14" s="541">
        <f t="shared" si="0"/>
        <v>9580.0831993996253</v>
      </c>
      <c r="AY14" s="541">
        <f t="shared" si="0"/>
        <v>9664.8728945221992</v>
      </c>
      <c r="AZ14" s="541">
        <f t="shared" si="0"/>
        <v>9664.4131477429219</v>
      </c>
      <c r="BA14" s="541">
        <f t="shared" si="0"/>
        <v>9639.0105450525571</v>
      </c>
      <c r="BB14" s="541">
        <f t="shared" si="0"/>
        <v>9624.8356590516014</v>
      </c>
      <c r="BC14" s="541">
        <f t="shared" si="0"/>
        <v>9692.7614236034206</v>
      </c>
      <c r="BD14" s="541">
        <f t="shared" si="0"/>
        <v>9675.4589885497153</v>
      </c>
      <c r="BE14" s="541">
        <f t="shared" si="0"/>
        <v>9638.4507040270382</v>
      </c>
      <c r="BF14" s="541">
        <f t="shared" si="0"/>
        <v>9720.7935908740237</v>
      </c>
      <c r="BG14" s="541">
        <f t="shared" si="0"/>
        <v>9792.4419929069136</v>
      </c>
      <c r="BH14" s="541">
        <f t="shared" si="0"/>
        <v>9777.9664363635275</v>
      </c>
      <c r="BI14" s="541">
        <f t="shared" si="0"/>
        <v>9743.4226351504403</v>
      </c>
      <c r="BJ14" s="541">
        <f t="shared" si="0"/>
        <v>9852.3659888687216</v>
      </c>
      <c r="BK14" s="541">
        <f t="shared" si="0"/>
        <v>9883.4572104947692</v>
      </c>
      <c r="BL14" s="541">
        <f t="shared" si="0"/>
        <v>9893.2172202296188</v>
      </c>
      <c r="BM14" s="541">
        <f t="shared" si="0"/>
        <v>9860.6827761879267</v>
      </c>
      <c r="BN14" s="541">
        <f t="shared" si="0"/>
        <v>9952.0687470832363</v>
      </c>
      <c r="BO14" s="541">
        <f t="shared" si="0"/>
        <v>10029.716525225305</v>
      </c>
      <c r="BP14" s="541">
        <f t="shared" si="0"/>
        <v>10019.545629405566</v>
      </c>
      <c r="BQ14" s="541">
        <f t="shared" si="0"/>
        <v>9988.6420767608051</v>
      </c>
      <c r="BR14" s="541">
        <f t="shared" si="0"/>
        <v>10187.369081549388</v>
      </c>
      <c r="BS14" s="541">
        <f t="shared" si="0"/>
        <v>10267.445354990101</v>
      </c>
      <c r="BT14" s="541">
        <f t="shared" si="0"/>
        <v>10258.899041178202</v>
      </c>
      <c r="BU14" s="541">
        <f t="shared" si="0"/>
        <v>10229.311707665833</v>
      </c>
      <c r="BV14" s="541">
        <f t="shared" si="0"/>
        <v>10058.731640444626</v>
      </c>
      <c r="BW14" s="541">
        <f t="shared" si="0"/>
        <v>9344.5455321133577</v>
      </c>
      <c r="BX14" s="541">
        <f t="shared" si="0"/>
        <v>9321.7067066273194</v>
      </c>
      <c r="BY14" s="541">
        <f t="shared" si="0"/>
        <v>9278.2350148653059</v>
      </c>
      <c r="BZ14" s="541">
        <f t="shared" si="0"/>
        <v>9366.820362658149</v>
      </c>
      <c r="CA14" s="541">
        <f t="shared" si="0"/>
        <v>9391.5394041324525</v>
      </c>
      <c r="CB14" s="541">
        <f t="shared" si="0"/>
        <v>9325.6587104719256</v>
      </c>
      <c r="CC14" s="541">
        <f t="shared" si="0"/>
        <v>8945.0439358883377</v>
      </c>
      <c r="CD14" s="541">
        <f t="shared" si="0"/>
        <v>8979.3486456163082</v>
      </c>
      <c r="CE14" s="541">
        <f t="shared" si="0"/>
        <v>9046.6164747550774</v>
      </c>
      <c r="CF14" s="541">
        <f t="shared" si="0"/>
        <v>9023.0377831656751</v>
      </c>
      <c r="CG14" s="541">
        <f t="shared" si="0"/>
        <v>8973.8419199923192</v>
      </c>
      <c r="CH14" s="541">
        <f t="shared" si="0"/>
        <v>9016.1509382852164</v>
      </c>
      <c r="CI14" s="541">
        <f t="shared" si="0"/>
        <v>9085.5959504342063</v>
      </c>
      <c r="CJ14" s="541">
        <f t="shared" si="0"/>
        <v>9063.3706202664835</v>
      </c>
      <c r="CK14" s="541">
        <f t="shared" si="0"/>
        <v>9015.6767110387427</v>
      </c>
      <c r="CL14" s="541">
        <f t="shared" si="0"/>
        <v>9619.2585844250625</v>
      </c>
      <c r="CM14" s="541">
        <f t="shared" si="0"/>
        <v>9689.331069373402</v>
      </c>
      <c r="CN14" s="541">
        <f t="shared" si="0"/>
        <v>9666.913390670883</v>
      </c>
      <c r="CO14" s="541">
        <f t="shared" si="0"/>
        <v>9619.2269425792711</v>
      </c>
      <c r="CP14" s="541">
        <f t="shared" si="0"/>
        <v>9139.1530462928586</v>
      </c>
      <c r="CQ14" s="541">
        <f t="shared" si="0"/>
        <v>9160.9563368827476</v>
      </c>
      <c r="CR14" s="541">
        <f t="shared" si="0"/>
        <v>9163.7163616976522</v>
      </c>
      <c r="CS14" s="541">
        <f t="shared" si="0"/>
        <v>9117.6240403708798</v>
      </c>
      <c r="CT14" s="541">
        <f t="shared" si="0"/>
        <v>9172.7758942782111</v>
      </c>
      <c r="CU14" s="541">
        <f t="shared" si="0"/>
        <v>9245.5507180696623</v>
      </c>
      <c r="CV14" s="541">
        <f t="shared" si="0"/>
        <v>9224.3980348323803</v>
      </c>
      <c r="CW14" s="541">
        <f t="shared" si="0"/>
        <v>9178.5813878150875</v>
      </c>
      <c r="CX14" s="541">
        <f t="shared" si="0"/>
        <v>9237.5047308263493</v>
      </c>
      <c r="CY14" s="541">
        <f t="shared" si="0"/>
        <v>9310.5837191884038</v>
      </c>
      <c r="CZ14" s="541">
        <f t="shared" si="0"/>
        <v>9289.0498453167329</v>
      </c>
      <c r="DA14" s="541">
        <f t="shared" si="0"/>
        <v>9243.2109589200554</v>
      </c>
      <c r="DB14" s="541">
        <f t="shared" si="0"/>
        <v>9250.1759971050742</v>
      </c>
      <c r="DC14" s="541">
        <f t="shared" si="0"/>
        <v>9339.0671459746045</v>
      </c>
      <c r="DD14" s="541">
        <f t="shared" si="0"/>
        <v>9333.4126291791054</v>
      </c>
      <c r="DE14" s="541">
        <f t="shared" si="0"/>
        <v>9304.4998770319035</v>
      </c>
      <c r="DF14" s="541">
        <f t="shared" si="0"/>
        <v>10042.297500103878</v>
      </c>
      <c r="DG14" s="541">
        <f t="shared" si="0"/>
        <v>10083.037086594606</v>
      </c>
      <c r="DH14" s="541">
        <f t="shared" si="0"/>
        <v>10103.030440845592</v>
      </c>
      <c r="DI14" s="541">
        <f t="shared" si="0"/>
        <v>10074.710093976457</v>
      </c>
      <c r="DJ14" s="541">
        <f t="shared" si="0"/>
        <v>9531.0000277068248</v>
      </c>
      <c r="DK14" s="541">
        <f t="shared" si="0"/>
        <v>9622.5760692221538</v>
      </c>
      <c r="DL14" s="541">
        <f t="shared" si="0"/>
        <v>9618.4891847043327</v>
      </c>
      <c r="DM14" s="541">
        <f t="shared" si="0"/>
        <v>9590.6249782264968</v>
      </c>
      <c r="DN14" s="541">
        <f t="shared" si="0"/>
        <v>9679.6513243283043</v>
      </c>
      <c r="DO14" s="541">
        <f t="shared" si="0"/>
        <v>9772.3259446832872</v>
      </c>
      <c r="DP14" s="541">
        <f t="shared" si="0"/>
        <v>9768.8299907587207</v>
      </c>
      <c r="DQ14" s="541">
        <f t="shared" si="0"/>
        <v>9741.3091688148925</v>
      </c>
      <c r="DR14" s="541">
        <f t="shared" si="0"/>
        <v>9833.1752700445759</v>
      </c>
      <c r="DS14" s="541">
        <f t="shared" si="0"/>
        <v>9926.8134161951511</v>
      </c>
      <c r="DT14" s="541">
        <f t="shared" si="0"/>
        <v>9923.8082057289866</v>
      </c>
      <c r="DU14" s="541">
        <f t="shared" si="0"/>
        <v>9896.5376166003607</v>
      </c>
      <c r="DV14" s="541">
        <f t="shared" si="0"/>
        <v>10016.918852742816</v>
      </c>
      <c r="DW14" s="541">
        <f t="shared" si="0"/>
        <v>10059.983606963106</v>
      </c>
      <c r="DX14" s="541">
        <f t="shared" si="0"/>
        <v>10083.094712487115</v>
      </c>
      <c r="DY14" s="541">
        <f t="shared" si="0"/>
        <v>10055.997562626802</v>
      </c>
      <c r="DZ14" s="541">
        <f t="shared" si="0"/>
        <v>10153.459517752461</v>
      </c>
      <c r="EA14" s="541">
        <f t="shared" si="0"/>
        <v>10248.680194721674</v>
      </c>
      <c r="EB14" s="541">
        <f t="shared" si="0"/>
        <v>10246.420544942679</v>
      </c>
      <c r="EC14" s="541">
        <f t="shared" si="0"/>
        <v>10948.88102751593</v>
      </c>
      <c r="ED14" s="541">
        <f t="shared" si="0"/>
        <v>2308.4176722004668</v>
      </c>
      <c r="EE14" s="541">
        <f t="shared" si="0"/>
        <v>0</v>
      </c>
      <c r="EF14" s="541">
        <f t="shared" si="0"/>
        <v>0</v>
      </c>
      <c r="EG14" s="541">
        <f t="shared" si="0"/>
        <v>0</v>
      </c>
    </row>
    <row r="16" spans="5:137" ht="12.75">
      <c r="E16" s="535" t="str">
        <f>Debt!E$104</f>
        <v>Senior facility - debt service</v>
      </c>
      <c r="G16" s="537" t="str">
        <f>Debt!G$104</f>
        <v>EUR 000s</v>
      </c>
      <c r="H16" s="537">
        <f>Debt!H$104</f>
        <v>350432.93778912647</v>
      </c>
      <c r="J16" s="537">
        <f>Debt!J$104</f>
        <v>0</v>
      </c>
      <c r="K16" s="537">
        <f>Debt!K$104</f>
        <v>0</v>
      </c>
      <c r="L16" s="537">
        <f>Debt!L$104</f>
        <v>0</v>
      </c>
      <c r="M16" s="537">
        <f>Debt!M$104</f>
        <v>0</v>
      </c>
      <c r="N16" s="537">
        <f>Debt!N$104</f>
        <v>0</v>
      </c>
      <c r="O16" s="537">
        <f>Debt!O$104</f>
        <v>0</v>
      </c>
      <c r="P16" s="537">
        <f>Debt!P$104</f>
        <v>-1.8189894035458565E-12</v>
      </c>
      <c r="Q16" s="537">
        <f>Debt!Q$104</f>
        <v>0</v>
      </c>
      <c r="R16" s="537">
        <f>Debt!R$104</f>
        <v>0</v>
      </c>
      <c r="S16" s="537">
        <f>Debt!S$104</f>
        <v>0</v>
      </c>
      <c r="T16" s="537">
        <f>Debt!T$104</f>
        <v>0</v>
      </c>
      <c r="U16" s="537">
        <f>Debt!U$104</f>
        <v>0</v>
      </c>
      <c r="V16" s="537">
        <f>Debt!V$104</f>
        <v>0</v>
      </c>
      <c r="W16" s="537">
        <f>Debt!W$104</f>
        <v>0</v>
      </c>
      <c r="X16" s="537">
        <f>Debt!X$104</f>
        <v>0</v>
      </c>
      <c r="Y16" s="537">
        <f>Debt!Y$104</f>
        <v>0</v>
      </c>
      <c r="Z16" s="537">
        <f>Debt!Z$104</f>
        <v>0</v>
      </c>
      <c r="AA16" s="537">
        <f>Debt!AA$104</f>
        <v>0</v>
      </c>
      <c r="AB16" s="537">
        <f>Debt!AB$104</f>
        <v>0</v>
      </c>
      <c r="AC16" s="537">
        <f>Debt!AC$104</f>
        <v>0</v>
      </c>
      <c r="AD16" s="537">
        <f>Debt!AD$104</f>
        <v>0</v>
      </c>
      <c r="AE16" s="537">
        <f>Debt!AE$104</f>
        <v>0</v>
      </c>
      <c r="AF16" s="537">
        <f>Debt!AF$104</f>
        <v>0</v>
      </c>
      <c r="AG16" s="537">
        <f>Debt!AG$104</f>
        <v>0</v>
      </c>
      <c r="AH16" s="537">
        <f>Debt!AH$104</f>
        <v>3678.8348581698501</v>
      </c>
      <c r="AI16" s="537">
        <f>Debt!AI$104</f>
        <v>4654.4397593286103</v>
      </c>
      <c r="AJ16" s="537">
        <f>Debt!AJ$104</f>
        <v>4654.2133758469154</v>
      </c>
      <c r="AK16" s="537">
        <f>Debt!AK$104</f>
        <v>4644.0261191706895</v>
      </c>
      <c r="AL16" s="537">
        <f>Debt!AL$104</f>
        <v>4693.5855314975461</v>
      </c>
      <c r="AM16" s="537">
        <f>Debt!AM$104</f>
        <v>4736.1435903709635</v>
      </c>
      <c r="AN16" s="537">
        <f>Debt!AN$104</f>
        <v>4735.9144792139659</v>
      </c>
      <c r="AO16" s="537">
        <f>Debt!AO$104</f>
        <v>4725.6044771491152</v>
      </c>
      <c r="AP16" s="537">
        <f>Debt!AP$104</f>
        <v>4776.2218865345076</v>
      </c>
      <c r="AQ16" s="537">
        <f>Debt!AQ$104</f>
        <v>4819.1883943546436</v>
      </c>
      <c r="AR16" s="537">
        <f>Debt!AR$104</f>
        <v>4818.9565473093417</v>
      </c>
      <c r="AS16" s="537">
        <f>Debt!AS$104</f>
        <v>4808.523430270714</v>
      </c>
      <c r="AT16" s="537">
        <f>Debt!AT$104</f>
        <v>4871.0125860621984</v>
      </c>
      <c r="AU16" s="537">
        <f>Debt!AU$104</f>
        <v>4892.8014892437168</v>
      </c>
      <c r="AV16" s="537">
        <f>Debt!AV$104</f>
        <v>4903.358038740419</v>
      </c>
      <c r="AW16" s="537">
        <f>Debt!AW$104</f>
        <v>4890.5485880171236</v>
      </c>
      <c r="AX16" s="537">
        <f>Debt!AX$104</f>
        <v>4945.6032153911401</v>
      </c>
      <c r="AY16" s="537">
        <f>Debt!AY$104</f>
        <v>4989.3748800105577</v>
      </c>
      <c r="AZ16" s="537">
        <f>Debt!AZ$104</f>
        <v>4989.1375412419338</v>
      </c>
      <c r="BA16" s="537">
        <f>Debt!BA$104</f>
        <v>4976.0237518384511</v>
      </c>
      <c r="BB16" s="537">
        <f>Debt!BB$104</f>
        <v>4968.7061367066199</v>
      </c>
      <c r="BC16" s="537">
        <f>Debt!BC$104</f>
        <v>5003.7719991405111</v>
      </c>
      <c r="BD16" s="537">
        <f>Debt!BD$104</f>
        <v>4994.8398242674302</v>
      </c>
      <c r="BE16" s="537">
        <f>Debt!BE$104</f>
        <v>4975.7347406139879</v>
      </c>
      <c r="BF16" s="537">
        <f>Debt!BF$104</f>
        <v>5018.2432697654431</v>
      </c>
      <c r="BG16" s="537">
        <f>Debt!BG$104</f>
        <v>5055.2308992146009</v>
      </c>
      <c r="BH16" s="537">
        <f>Debt!BH$104</f>
        <v>5047.7580665162341</v>
      </c>
      <c r="BI16" s="537">
        <f>Debt!BI$104</f>
        <v>5029.9252428553727</v>
      </c>
      <c r="BJ16" s="537">
        <f>Debt!BJ$104</f>
        <v>5086.1659444474417</v>
      </c>
      <c r="BK16" s="537">
        <f>Debt!BK$104</f>
        <v>5102.2164152464693</v>
      </c>
      <c r="BL16" s="537">
        <f>Debt!BL$104</f>
        <v>5107.2549033808882</v>
      </c>
      <c r="BM16" s="537">
        <f>Debt!BM$104</f>
        <v>5090.4593862946022</v>
      </c>
      <c r="BN16" s="537">
        <f>Debt!BN$104</f>
        <v>5137.6362992811</v>
      </c>
      <c r="BO16" s="537">
        <f>Debt!BO$104</f>
        <v>5177.721034794823</v>
      </c>
      <c r="BP16" s="537">
        <f>Debt!BP$104</f>
        <v>5172.4704316400748</v>
      </c>
      <c r="BQ16" s="537">
        <f>Debt!BQ$104</f>
        <v>5156.5168427050112</v>
      </c>
      <c r="BR16" s="537">
        <f>Debt!BR$104</f>
        <v>5259.1072788641732</v>
      </c>
      <c r="BS16" s="537">
        <f>Debt!BS$104</f>
        <v>5300.4456959908366</v>
      </c>
      <c r="BT16" s="537">
        <f>Debt!BT$104</f>
        <v>5296.0337638407573</v>
      </c>
      <c r="BU16" s="537">
        <f>Debt!BU$104</f>
        <v>5280.7596572690318</v>
      </c>
      <c r="BV16" s="537">
        <f>Debt!BV$104</f>
        <v>5192.6997405259599</v>
      </c>
      <c r="BW16" s="537">
        <f>Debt!BW$104</f>
        <v>4824.0097155821095</v>
      </c>
      <c r="BX16" s="537">
        <f>Debt!BX$104</f>
        <v>4812.2194454551673</v>
      </c>
      <c r="BY16" s="537">
        <f>Debt!BY$104</f>
        <v>4789.7777052237061</v>
      </c>
      <c r="BZ16" s="537">
        <f>Debt!BZ$104</f>
        <v>4835.508830075345</v>
      </c>
      <c r="CA16" s="537">
        <f>Debt!CA$104</f>
        <v>4848.2697391877382</v>
      </c>
      <c r="CB16" s="537">
        <f>Debt!CB$104</f>
        <v>4814.2596201085926</v>
      </c>
      <c r="CC16" s="537">
        <f>Debt!CC$104</f>
        <v>4617.7718011798452</v>
      </c>
      <c r="CD16" s="537">
        <f>Debt!CD$104</f>
        <v>4635.4811967250052</v>
      </c>
      <c r="CE16" s="537">
        <f>Debt!CE$104</f>
        <v>4670.2074078817031</v>
      </c>
      <c r="CF16" s="537">
        <f>Debt!CF$104</f>
        <v>4658.0351907399381</v>
      </c>
      <c r="CG16" s="537">
        <f>Debt!CG$104</f>
        <v>4632.6384155731694</v>
      </c>
      <c r="CH16" s="537">
        <f>Debt!CH$104</f>
        <v>4654.4799395510099</v>
      </c>
      <c r="CI16" s="537">
        <f>Debt!CI$104</f>
        <v>4690.3300953616026</v>
      </c>
      <c r="CJ16" s="537">
        <f>Debt!CJ$104</f>
        <v>4678.8565348451857</v>
      </c>
      <c r="CK16" s="537">
        <f>Debt!CK$104</f>
        <v>4654.2351254146215</v>
      </c>
      <c r="CL16" s="537">
        <f>Debt!CL$104</f>
        <v>4965.8270387247549</v>
      </c>
      <c r="CM16" s="537">
        <f>Debt!CM$104</f>
        <v>5002.0011198530556</v>
      </c>
      <c r="CN16" s="537">
        <f>Debt!CN$104</f>
        <v>4990.4282617092213</v>
      </c>
      <c r="CO16" s="537">
        <f>Debt!CO$104</f>
        <v>4965.8107040008254</v>
      </c>
      <c r="CP16" s="537">
        <f>Debt!CP$104</f>
        <v>4717.9783046696557</v>
      </c>
      <c r="CQ16" s="537">
        <f>Debt!CQ$104</f>
        <v>4729.233992308592</v>
      </c>
      <c r="CR16" s="537">
        <f>Debt!CR$104</f>
        <v>4730.658822063725</v>
      </c>
      <c r="CS16" s="537">
        <f>Debt!CS$104</f>
        <v>4706.8642132055456</v>
      </c>
      <c r="CT16" s="537">
        <f>Debt!CT$104</f>
        <v>4735.3356972565371</v>
      </c>
      <c r="CU16" s="537">
        <f>Debt!CU$104</f>
        <v>4772.9048284479113</v>
      </c>
      <c r="CV16" s="537">
        <f>Debt!CV$104</f>
        <v>4761.9850090627306</v>
      </c>
      <c r="CW16" s="537">
        <f>Debt!CW$104</f>
        <v>4738.3327137651941</v>
      </c>
      <c r="CX16" s="537">
        <f>Debt!CX$104</f>
        <v>4768.7511838966802</v>
      </c>
      <c r="CY16" s="537">
        <f>Debt!CY$104</f>
        <v>4806.4773364047887</v>
      </c>
      <c r="CZ16" s="537">
        <f>Debt!CZ$104</f>
        <v>4795.3607319199509</v>
      </c>
      <c r="DA16" s="537">
        <f>Debt!DA$104</f>
        <v>4771.6969558088413</v>
      </c>
      <c r="DB16" s="537">
        <f>Debt!DB$104</f>
        <v>0</v>
      </c>
      <c r="DC16" s="537">
        <f>Debt!DC$104</f>
        <v>0</v>
      </c>
      <c r="DD16" s="537">
        <f>Debt!DD$104</f>
        <v>0</v>
      </c>
      <c r="DE16" s="537">
        <f>Debt!DE$104</f>
        <v>0</v>
      </c>
      <c r="DF16" s="537">
        <f>Debt!DF$104</f>
        <v>0</v>
      </c>
      <c r="DG16" s="537">
        <f>Debt!DG$104</f>
        <v>0</v>
      </c>
      <c r="DH16" s="537">
        <f>Debt!DH$104</f>
        <v>0</v>
      </c>
      <c r="DI16" s="537">
        <f>Debt!DI$104</f>
        <v>0</v>
      </c>
      <c r="DJ16" s="537">
        <f>Debt!DJ$104</f>
        <v>0</v>
      </c>
      <c r="DK16" s="537">
        <f>Debt!DK$104</f>
        <v>0</v>
      </c>
      <c r="DL16" s="537">
        <f>Debt!DL$104</f>
        <v>0</v>
      </c>
      <c r="DM16" s="537">
        <f>Debt!DM$104</f>
        <v>0</v>
      </c>
      <c r="DN16" s="537">
        <f>Debt!DN$104</f>
        <v>0</v>
      </c>
      <c r="DO16" s="537">
        <f>Debt!DO$104</f>
        <v>0</v>
      </c>
      <c r="DP16" s="537">
        <f>Debt!DP$104</f>
        <v>0</v>
      </c>
      <c r="DQ16" s="537">
        <f>Debt!DQ$104</f>
        <v>0</v>
      </c>
      <c r="DR16" s="537">
        <f>Debt!DR$104</f>
        <v>0</v>
      </c>
      <c r="DS16" s="537">
        <f>Debt!DS$104</f>
        <v>0</v>
      </c>
      <c r="DT16" s="537">
        <f>Debt!DT$104</f>
        <v>0</v>
      </c>
      <c r="DU16" s="537">
        <f>Debt!DU$104</f>
        <v>0</v>
      </c>
      <c r="DV16" s="537">
        <f>Debt!DV$104</f>
        <v>0</v>
      </c>
      <c r="DW16" s="537">
        <f>Debt!DW$104</f>
        <v>0</v>
      </c>
      <c r="DX16" s="537">
        <f>Debt!DX$104</f>
        <v>0</v>
      </c>
      <c r="DY16" s="537">
        <f>Debt!DY$104</f>
        <v>0</v>
      </c>
      <c r="DZ16" s="537">
        <f>Debt!DZ$104</f>
        <v>0</v>
      </c>
      <c r="EA16" s="537">
        <f>Debt!EA$104</f>
        <v>0</v>
      </c>
      <c r="EB16" s="537">
        <f>Debt!EB$104</f>
        <v>0</v>
      </c>
      <c r="EC16" s="537">
        <f>Debt!EC$104</f>
        <v>0</v>
      </c>
      <c r="ED16" s="537">
        <f>Debt!ED$104</f>
        <v>0</v>
      </c>
      <c r="EE16" s="537">
        <f>Debt!EE$104</f>
        <v>0</v>
      </c>
      <c r="EF16" s="537">
        <f>Debt!EF$104</f>
        <v>0</v>
      </c>
      <c r="EG16" s="537">
        <f>Debt!EG$104</f>
        <v>0</v>
      </c>
    </row>
    <row r="17" spans="5:137" ht="12.75">
      <c r="E17" s="535" t="str">
        <f>Reserves!E$31</f>
        <v>DSRF - fee on the facility</v>
      </c>
      <c r="G17" s="537" t="str">
        <f>Reserves!G$31</f>
        <v>EUR 000s</v>
      </c>
      <c r="H17" s="537">
        <f>Reserves!H$31</f>
        <v>0</v>
      </c>
      <c r="J17" s="537">
        <f>Reserves!J$31</f>
        <v>0</v>
      </c>
      <c r="K17" s="537">
        <f>Reserves!K$31</f>
        <v>0</v>
      </c>
      <c r="L17" s="537">
        <f>Reserves!L$31</f>
        <v>0</v>
      </c>
      <c r="M17" s="537">
        <f>Reserves!M$31</f>
        <v>0</v>
      </c>
      <c r="N17" s="537">
        <f>Reserves!N$31</f>
        <v>0</v>
      </c>
      <c r="O17" s="537">
        <f>Reserves!O$31</f>
        <v>0</v>
      </c>
      <c r="P17" s="537">
        <f>Reserves!P$31</f>
        <v>0</v>
      </c>
      <c r="Q17" s="537">
        <f>Reserves!Q$31</f>
        <v>0</v>
      </c>
      <c r="R17" s="537">
        <f>Reserves!R$31</f>
        <v>0</v>
      </c>
      <c r="S17" s="537">
        <f>Reserves!S$31</f>
        <v>0</v>
      </c>
      <c r="T17" s="537">
        <f>Reserves!T$31</f>
        <v>0</v>
      </c>
      <c r="U17" s="537">
        <f>Reserves!U$31</f>
        <v>0</v>
      </c>
      <c r="V17" s="537">
        <f>Reserves!V$31</f>
        <v>0</v>
      </c>
      <c r="W17" s="537">
        <f>Reserves!W$31</f>
        <v>0</v>
      </c>
      <c r="X17" s="537">
        <f>Reserves!X$31</f>
        <v>0</v>
      </c>
      <c r="Y17" s="537">
        <f>Reserves!Y$31</f>
        <v>0</v>
      </c>
      <c r="Z17" s="537">
        <f>Reserves!Z$31</f>
        <v>0</v>
      </c>
      <c r="AA17" s="537">
        <f>Reserves!AA$31</f>
        <v>0</v>
      </c>
      <c r="AB17" s="537">
        <f>Reserves!AB$31</f>
        <v>0</v>
      </c>
      <c r="AC17" s="537">
        <f>Reserves!AC$31</f>
        <v>0</v>
      </c>
      <c r="AD17" s="537">
        <f>Reserves!AD$31</f>
        <v>0</v>
      </c>
      <c r="AE17" s="537">
        <f>Reserves!AE$31</f>
        <v>0</v>
      </c>
      <c r="AF17" s="537">
        <f>Reserves!AF$31</f>
        <v>0</v>
      </c>
      <c r="AG17" s="537">
        <f>Reserves!AG$31</f>
        <v>0</v>
      </c>
      <c r="AH17" s="537">
        <f>Reserves!AH$31</f>
        <v>0</v>
      </c>
      <c r="AI17" s="537">
        <f>Reserves!AI$31</f>
        <v>0</v>
      </c>
      <c r="AJ17" s="537">
        <f>Reserves!AJ$31</f>
        <v>0</v>
      </c>
      <c r="AK17" s="537">
        <f>Reserves!AK$31</f>
        <v>0</v>
      </c>
      <c r="AL17" s="537">
        <f>Reserves!AL$31</f>
        <v>0</v>
      </c>
      <c r="AM17" s="537">
        <f>Reserves!AM$31</f>
        <v>0</v>
      </c>
      <c r="AN17" s="537">
        <f>Reserves!AN$31</f>
        <v>0</v>
      </c>
      <c r="AO17" s="537">
        <f>Reserves!AO$31</f>
        <v>0</v>
      </c>
      <c r="AP17" s="537">
        <f>Reserves!AP$31</f>
        <v>0</v>
      </c>
      <c r="AQ17" s="537">
        <f>Reserves!AQ$31</f>
        <v>0</v>
      </c>
      <c r="AR17" s="537">
        <f>Reserves!AR$31</f>
        <v>0</v>
      </c>
      <c r="AS17" s="537">
        <f>Reserves!AS$31</f>
        <v>0</v>
      </c>
      <c r="AT17" s="537">
        <f>Reserves!AT$31</f>
        <v>0</v>
      </c>
      <c r="AU17" s="537">
        <f>Reserves!AU$31</f>
        <v>0</v>
      </c>
      <c r="AV17" s="537">
        <f>Reserves!AV$31</f>
        <v>0</v>
      </c>
      <c r="AW17" s="537">
        <f>Reserves!AW$31</f>
        <v>0</v>
      </c>
      <c r="AX17" s="537">
        <f>Reserves!AX$31</f>
        <v>0</v>
      </c>
      <c r="AY17" s="537">
        <f>Reserves!AY$31</f>
        <v>0</v>
      </c>
      <c r="AZ17" s="537">
        <f>Reserves!AZ$31</f>
        <v>0</v>
      </c>
      <c r="BA17" s="537">
        <f>Reserves!BA$31</f>
        <v>0</v>
      </c>
      <c r="BB17" s="537">
        <f>Reserves!BB$31</f>
        <v>0</v>
      </c>
      <c r="BC17" s="537">
        <f>Reserves!BC$31</f>
        <v>0</v>
      </c>
      <c r="BD17" s="537">
        <f>Reserves!BD$31</f>
        <v>0</v>
      </c>
      <c r="BE17" s="537">
        <f>Reserves!BE$31</f>
        <v>0</v>
      </c>
      <c r="BF17" s="537">
        <f>Reserves!BF$31</f>
        <v>0</v>
      </c>
      <c r="BG17" s="537">
        <f>Reserves!BG$31</f>
        <v>0</v>
      </c>
      <c r="BH17" s="537">
        <f>Reserves!BH$31</f>
        <v>0</v>
      </c>
      <c r="BI17" s="537">
        <f>Reserves!BI$31</f>
        <v>0</v>
      </c>
      <c r="BJ17" s="537">
        <f>Reserves!BJ$31</f>
        <v>0</v>
      </c>
      <c r="BK17" s="537">
        <f>Reserves!BK$31</f>
        <v>0</v>
      </c>
      <c r="BL17" s="537">
        <f>Reserves!BL$31</f>
        <v>0</v>
      </c>
      <c r="BM17" s="537">
        <f>Reserves!BM$31</f>
        <v>0</v>
      </c>
      <c r="BN17" s="537">
        <f>Reserves!BN$31</f>
        <v>0</v>
      </c>
      <c r="BO17" s="537">
        <f>Reserves!BO$31</f>
        <v>0</v>
      </c>
      <c r="BP17" s="537">
        <f>Reserves!BP$31</f>
        <v>0</v>
      </c>
      <c r="BQ17" s="537">
        <f>Reserves!BQ$31</f>
        <v>0</v>
      </c>
      <c r="BR17" s="537">
        <f>Reserves!BR$31</f>
        <v>0</v>
      </c>
      <c r="BS17" s="537">
        <f>Reserves!BS$31</f>
        <v>0</v>
      </c>
      <c r="BT17" s="537">
        <f>Reserves!BT$31</f>
        <v>0</v>
      </c>
      <c r="BU17" s="537">
        <f>Reserves!BU$31</f>
        <v>0</v>
      </c>
      <c r="BV17" s="537">
        <f>Reserves!BV$31</f>
        <v>0</v>
      </c>
      <c r="BW17" s="537">
        <f>Reserves!BW$31</f>
        <v>0</v>
      </c>
      <c r="BX17" s="537">
        <f>Reserves!BX$31</f>
        <v>0</v>
      </c>
      <c r="BY17" s="537">
        <f>Reserves!BY$31</f>
        <v>0</v>
      </c>
      <c r="BZ17" s="537">
        <f>Reserves!BZ$31</f>
        <v>0</v>
      </c>
      <c r="CA17" s="537">
        <f>Reserves!CA$31</f>
        <v>0</v>
      </c>
      <c r="CB17" s="537">
        <f>Reserves!CB$31</f>
        <v>0</v>
      </c>
      <c r="CC17" s="537">
        <f>Reserves!CC$31</f>
        <v>0</v>
      </c>
      <c r="CD17" s="537">
        <f>Reserves!CD$31</f>
        <v>0</v>
      </c>
      <c r="CE17" s="537">
        <f>Reserves!CE$31</f>
        <v>0</v>
      </c>
      <c r="CF17" s="537">
        <f>Reserves!CF$31</f>
        <v>0</v>
      </c>
      <c r="CG17" s="537">
        <f>Reserves!CG$31</f>
        <v>0</v>
      </c>
      <c r="CH17" s="537">
        <f>Reserves!CH$31</f>
        <v>0</v>
      </c>
      <c r="CI17" s="537">
        <f>Reserves!CI$31</f>
        <v>0</v>
      </c>
      <c r="CJ17" s="537">
        <f>Reserves!CJ$31</f>
        <v>0</v>
      </c>
      <c r="CK17" s="537">
        <f>Reserves!CK$31</f>
        <v>0</v>
      </c>
      <c r="CL17" s="537">
        <f>Reserves!CL$31</f>
        <v>0</v>
      </c>
      <c r="CM17" s="537">
        <f>Reserves!CM$31</f>
        <v>0</v>
      </c>
      <c r="CN17" s="537">
        <f>Reserves!CN$31</f>
        <v>0</v>
      </c>
      <c r="CO17" s="537">
        <f>Reserves!CO$31</f>
        <v>0</v>
      </c>
      <c r="CP17" s="537">
        <f>Reserves!CP$31</f>
        <v>0</v>
      </c>
      <c r="CQ17" s="537">
        <f>Reserves!CQ$31</f>
        <v>0</v>
      </c>
      <c r="CR17" s="537">
        <f>Reserves!CR$31</f>
        <v>0</v>
      </c>
      <c r="CS17" s="537">
        <f>Reserves!CS$31</f>
        <v>0</v>
      </c>
      <c r="CT17" s="537">
        <f>Reserves!CT$31</f>
        <v>0</v>
      </c>
      <c r="CU17" s="537">
        <f>Reserves!CU$31</f>
        <v>0</v>
      </c>
      <c r="CV17" s="537">
        <f>Reserves!CV$31</f>
        <v>0</v>
      </c>
      <c r="CW17" s="537">
        <f>Reserves!CW$31</f>
        <v>0</v>
      </c>
      <c r="CX17" s="537">
        <f>Reserves!CX$31</f>
        <v>0</v>
      </c>
      <c r="CY17" s="537">
        <f>Reserves!CY$31</f>
        <v>0</v>
      </c>
      <c r="CZ17" s="537">
        <f>Reserves!CZ$31</f>
        <v>0</v>
      </c>
      <c r="DA17" s="537">
        <f>Reserves!DA$31</f>
        <v>0</v>
      </c>
      <c r="DB17" s="537">
        <f>Reserves!DB$31</f>
        <v>0</v>
      </c>
      <c r="DC17" s="537">
        <f>Reserves!DC$31</f>
        <v>0</v>
      </c>
      <c r="DD17" s="537">
        <f>Reserves!DD$31</f>
        <v>0</v>
      </c>
      <c r="DE17" s="537">
        <f>Reserves!DE$31</f>
        <v>0</v>
      </c>
      <c r="DF17" s="537">
        <f>Reserves!DF$31</f>
        <v>0</v>
      </c>
      <c r="DG17" s="537">
        <f>Reserves!DG$31</f>
        <v>0</v>
      </c>
      <c r="DH17" s="537">
        <f>Reserves!DH$31</f>
        <v>0</v>
      </c>
      <c r="DI17" s="537">
        <f>Reserves!DI$31</f>
        <v>0</v>
      </c>
      <c r="DJ17" s="537">
        <f>Reserves!DJ$31</f>
        <v>0</v>
      </c>
      <c r="DK17" s="537">
        <f>Reserves!DK$31</f>
        <v>0</v>
      </c>
      <c r="DL17" s="537">
        <f>Reserves!DL$31</f>
        <v>0</v>
      </c>
      <c r="DM17" s="537">
        <f>Reserves!DM$31</f>
        <v>0</v>
      </c>
      <c r="DN17" s="537">
        <f>Reserves!DN$31</f>
        <v>0</v>
      </c>
      <c r="DO17" s="537">
        <f>Reserves!DO$31</f>
        <v>0</v>
      </c>
      <c r="DP17" s="537">
        <f>Reserves!DP$31</f>
        <v>0</v>
      </c>
      <c r="DQ17" s="537">
        <f>Reserves!DQ$31</f>
        <v>0</v>
      </c>
      <c r="DR17" s="537">
        <f>Reserves!DR$31</f>
        <v>0</v>
      </c>
      <c r="DS17" s="537">
        <f>Reserves!DS$31</f>
        <v>0</v>
      </c>
      <c r="DT17" s="537">
        <f>Reserves!DT$31</f>
        <v>0</v>
      </c>
      <c r="DU17" s="537">
        <f>Reserves!DU$31</f>
        <v>0</v>
      </c>
      <c r="DV17" s="537">
        <f>Reserves!DV$31</f>
        <v>0</v>
      </c>
      <c r="DW17" s="537">
        <f>Reserves!DW$31</f>
        <v>0</v>
      </c>
      <c r="DX17" s="537">
        <f>Reserves!DX$31</f>
        <v>0</v>
      </c>
      <c r="DY17" s="537">
        <f>Reserves!DY$31</f>
        <v>0</v>
      </c>
      <c r="DZ17" s="537">
        <f>Reserves!DZ$31</f>
        <v>0</v>
      </c>
      <c r="EA17" s="537">
        <f>Reserves!EA$31</f>
        <v>0</v>
      </c>
      <c r="EB17" s="537">
        <f>Reserves!EB$31</f>
        <v>0</v>
      </c>
      <c r="EC17" s="537">
        <f>Reserves!EC$31</f>
        <v>0</v>
      </c>
      <c r="ED17" s="537">
        <f>Reserves!ED$31</f>
        <v>0</v>
      </c>
      <c r="EE17" s="537">
        <f>Reserves!EE$31</f>
        <v>0</v>
      </c>
      <c r="EF17" s="537">
        <f>Reserves!EF$31</f>
        <v>0</v>
      </c>
      <c r="EG17" s="537">
        <f>Reserves!EG$31</f>
        <v>0</v>
      </c>
    </row>
    <row r="18" spans="5:137" ht="12.75">
      <c r="E18" s="538" t="str">
        <f>E$14</f>
        <v>Cash flow available for debt service</v>
      </c>
      <c r="G18" s="539" t="str">
        <f>G$14</f>
        <v>EUR 000s</v>
      </c>
      <c r="H18" s="539">
        <f>H$14</f>
        <v>957377.69580628083</v>
      </c>
      <c r="J18" s="539">
        <f t="shared" si="1" ref="J18:EG18">J$14</f>
        <v>0</v>
      </c>
      <c r="K18" s="539">
        <f t="shared" si="1"/>
        <v>0</v>
      </c>
      <c r="L18" s="539">
        <f t="shared" si="1"/>
        <v>0</v>
      </c>
      <c r="M18" s="539">
        <f t="shared" si="1"/>
        <v>0</v>
      </c>
      <c r="N18" s="539">
        <f t="shared" si="1"/>
        <v>0</v>
      </c>
      <c r="O18" s="539">
        <f t="shared" si="1"/>
        <v>0</v>
      </c>
      <c r="P18" s="539">
        <f t="shared" si="1"/>
        <v>0</v>
      </c>
      <c r="Q18" s="539">
        <f t="shared" si="1"/>
        <v>0</v>
      </c>
      <c r="R18" s="539">
        <f t="shared" si="1"/>
        <v>0</v>
      </c>
      <c r="S18" s="539">
        <f t="shared" si="1"/>
        <v>0</v>
      </c>
      <c r="T18" s="539">
        <f t="shared" si="1"/>
        <v>0</v>
      </c>
      <c r="U18" s="539">
        <f t="shared" si="1"/>
        <v>0</v>
      </c>
      <c r="V18" s="539">
        <f t="shared" si="1"/>
        <v>0</v>
      </c>
      <c r="W18" s="539">
        <f t="shared" si="1"/>
        <v>0</v>
      </c>
      <c r="X18" s="539">
        <f t="shared" si="1"/>
        <v>0</v>
      </c>
      <c r="Y18" s="539">
        <f t="shared" si="1"/>
        <v>0</v>
      </c>
      <c r="Z18" s="539">
        <f t="shared" si="1"/>
        <v>0</v>
      </c>
      <c r="AA18" s="539">
        <f t="shared" si="1"/>
        <v>0</v>
      </c>
      <c r="AB18" s="539">
        <f t="shared" si="1"/>
        <v>0</v>
      </c>
      <c r="AC18" s="539">
        <f t="shared" si="1"/>
        <v>0</v>
      </c>
      <c r="AD18" s="539">
        <f t="shared" si="1"/>
        <v>0</v>
      </c>
      <c r="AE18" s="539">
        <f t="shared" si="1"/>
        <v>0</v>
      </c>
      <c r="AF18" s="539">
        <f t="shared" si="1"/>
        <v>0</v>
      </c>
      <c r="AG18" s="539">
        <f t="shared" si="1"/>
        <v>0</v>
      </c>
      <c r="AH18" s="539">
        <f t="shared" si="1"/>
        <v>7126.237686929222</v>
      </c>
      <c r="AI18" s="539">
        <f t="shared" si="1"/>
        <v>9016.0731055402921</v>
      </c>
      <c r="AJ18" s="539">
        <f t="shared" si="1"/>
        <v>9015.6345801481111</v>
      </c>
      <c r="AK18" s="539">
        <f t="shared" si="1"/>
        <v>8995.9009374999987</v>
      </c>
      <c r="AL18" s="539">
        <f t="shared" si="1"/>
        <v>9091.9020262907597</v>
      </c>
      <c r="AM18" s="539">
        <f t="shared" si="1"/>
        <v>9174.3408567135994</v>
      </c>
      <c r="AN18" s="539">
        <f t="shared" si="1"/>
        <v>9173.8970475662918</v>
      </c>
      <c r="AO18" s="539">
        <f t="shared" si="1"/>
        <v>9153.9256359374995</v>
      </c>
      <c r="AP18" s="539">
        <f t="shared" si="1"/>
        <v>9251.9761612487546</v>
      </c>
      <c r="AQ18" s="539">
        <f t="shared" si="1"/>
        <v>9335.2061944272264</v>
      </c>
      <c r="AR18" s="539">
        <f t="shared" si="1"/>
        <v>9334.7570856154598</v>
      </c>
      <c r="AS18" s="539">
        <f t="shared" si="1"/>
        <v>9314.5471890859371</v>
      </c>
      <c r="AT18" s="539">
        <f t="shared" si="1"/>
        <v>9435.594366845693</v>
      </c>
      <c r="AU18" s="539">
        <f t="shared" si="1"/>
        <v>9477.8014538705866</v>
      </c>
      <c r="AV18" s="539">
        <f t="shared" si="1"/>
        <v>9498.2504502967968</v>
      </c>
      <c r="AW18" s="539">
        <f t="shared" si="1"/>
        <v>9473.4373793076247</v>
      </c>
      <c r="AX18" s="539">
        <f t="shared" si="1"/>
        <v>9580.0831993996253</v>
      </c>
      <c r="AY18" s="539">
        <f t="shared" si="1"/>
        <v>9664.8728945221992</v>
      </c>
      <c r="AZ18" s="539">
        <f t="shared" si="1"/>
        <v>9664.4131477429219</v>
      </c>
      <c r="BA18" s="539">
        <f t="shared" si="1"/>
        <v>9639.0105450525571</v>
      </c>
      <c r="BB18" s="539">
        <f t="shared" si="1"/>
        <v>9624.8356590516014</v>
      </c>
      <c r="BC18" s="539">
        <f t="shared" si="1"/>
        <v>9692.7614236034206</v>
      </c>
      <c r="BD18" s="539">
        <f t="shared" si="1"/>
        <v>9675.4589885497153</v>
      </c>
      <c r="BE18" s="539">
        <f t="shared" si="1"/>
        <v>9638.4507040270382</v>
      </c>
      <c r="BF18" s="539">
        <f t="shared" si="1"/>
        <v>9720.7935908740237</v>
      </c>
      <c r="BG18" s="539">
        <f t="shared" si="1"/>
        <v>9792.4419929069136</v>
      </c>
      <c r="BH18" s="539">
        <f t="shared" si="1"/>
        <v>9777.9664363635275</v>
      </c>
      <c r="BI18" s="539">
        <f t="shared" si="1"/>
        <v>9743.4226351504403</v>
      </c>
      <c r="BJ18" s="539">
        <f t="shared" si="1"/>
        <v>9852.3659888687216</v>
      </c>
      <c r="BK18" s="539">
        <f t="shared" si="1"/>
        <v>9883.4572104947692</v>
      </c>
      <c r="BL18" s="539">
        <f t="shared" si="1"/>
        <v>9893.2172202296188</v>
      </c>
      <c r="BM18" s="539">
        <f t="shared" si="1"/>
        <v>9860.6827761879267</v>
      </c>
      <c r="BN18" s="539">
        <f t="shared" si="1"/>
        <v>9952.0687470832363</v>
      </c>
      <c r="BO18" s="539">
        <f t="shared" si="1"/>
        <v>10029.716525225305</v>
      </c>
      <c r="BP18" s="539">
        <f t="shared" si="1"/>
        <v>10019.545629405566</v>
      </c>
      <c r="BQ18" s="539">
        <f t="shared" si="1"/>
        <v>9988.6420767608051</v>
      </c>
      <c r="BR18" s="539">
        <f t="shared" si="1"/>
        <v>10187.369081549388</v>
      </c>
      <c r="BS18" s="539">
        <f t="shared" si="1"/>
        <v>10267.445354990101</v>
      </c>
      <c r="BT18" s="539">
        <f t="shared" si="1"/>
        <v>10258.899041178202</v>
      </c>
      <c r="BU18" s="539">
        <f t="shared" si="1"/>
        <v>10229.311707665833</v>
      </c>
      <c r="BV18" s="539">
        <f t="shared" si="1"/>
        <v>10058.731640444626</v>
      </c>
      <c r="BW18" s="539">
        <f t="shared" si="1"/>
        <v>9344.5455321133577</v>
      </c>
      <c r="BX18" s="539">
        <f t="shared" si="1"/>
        <v>9321.7067066273194</v>
      </c>
      <c r="BY18" s="539">
        <f t="shared" si="1"/>
        <v>9278.2350148653059</v>
      </c>
      <c r="BZ18" s="539">
        <f t="shared" si="1"/>
        <v>9366.820362658149</v>
      </c>
      <c r="CA18" s="539">
        <f t="shared" si="1"/>
        <v>9391.5394041324525</v>
      </c>
      <c r="CB18" s="539">
        <f t="shared" si="1"/>
        <v>9325.6587104719256</v>
      </c>
      <c r="CC18" s="539">
        <f t="shared" si="1"/>
        <v>8945.0439358883377</v>
      </c>
      <c r="CD18" s="539">
        <f t="shared" si="1"/>
        <v>8979.3486456163082</v>
      </c>
      <c r="CE18" s="539">
        <f t="shared" si="1"/>
        <v>9046.6164747550774</v>
      </c>
      <c r="CF18" s="539">
        <f t="shared" si="1"/>
        <v>9023.0377831656751</v>
      </c>
      <c r="CG18" s="539">
        <f t="shared" si="1"/>
        <v>8973.8419199923192</v>
      </c>
      <c r="CH18" s="539">
        <f t="shared" si="1"/>
        <v>9016.1509382852164</v>
      </c>
      <c r="CI18" s="539">
        <f t="shared" si="1"/>
        <v>9085.5959504342063</v>
      </c>
      <c r="CJ18" s="539">
        <f t="shared" si="1"/>
        <v>9063.3706202664835</v>
      </c>
      <c r="CK18" s="539">
        <f t="shared" si="1"/>
        <v>9015.6767110387427</v>
      </c>
      <c r="CL18" s="539">
        <f t="shared" si="1"/>
        <v>9619.2585844250625</v>
      </c>
      <c r="CM18" s="539">
        <f t="shared" si="1"/>
        <v>9689.331069373402</v>
      </c>
      <c r="CN18" s="539">
        <f t="shared" si="1"/>
        <v>9666.913390670883</v>
      </c>
      <c r="CO18" s="539">
        <f t="shared" si="1"/>
        <v>9619.2269425792711</v>
      </c>
      <c r="CP18" s="539">
        <f t="shared" si="1"/>
        <v>9139.1530462928586</v>
      </c>
      <c r="CQ18" s="539">
        <f t="shared" si="1"/>
        <v>9160.9563368827476</v>
      </c>
      <c r="CR18" s="539">
        <f t="shared" si="1"/>
        <v>9163.7163616976522</v>
      </c>
      <c r="CS18" s="539">
        <f t="shared" si="1"/>
        <v>9117.6240403708798</v>
      </c>
      <c r="CT18" s="539">
        <f t="shared" si="1"/>
        <v>9172.7758942782111</v>
      </c>
      <c r="CU18" s="539">
        <f t="shared" si="1"/>
        <v>9245.5507180696623</v>
      </c>
      <c r="CV18" s="539">
        <f t="shared" si="1"/>
        <v>9224.3980348323803</v>
      </c>
      <c r="CW18" s="539">
        <f t="shared" si="1"/>
        <v>9178.5813878150875</v>
      </c>
      <c r="CX18" s="539">
        <f t="shared" si="1"/>
        <v>9237.5047308263493</v>
      </c>
      <c r="CY18" s="539">
        <f t="shared" si="1"/>
        <v>9310.5837191884038</v>
      </c>
      <c r="CZ18" s="539">
        <f t="shared" si="1"/>
        <v>9289.0498453167329</v>
      </c>
      <c r="DA18" s="539">
        <f t="shared" si="1"/>
        <v>9243.2109589200554</v>
      </c>
      <c r="DB18" s="539">
        <f t="shared" si="1"/>
        <v>9250.1759971050742</v>
      </c>
      <c r="DC18" s="539">
        <f t="shared" si="1"/>
        <v>9339.0671459746045</v>
      </c>
      <c r="DD18" s="539">
        <f t="shared" si="1"/>
        <v>9333.4126291791054</v>
      </c>
      <c r="DE18" s="539">
        <f t="shared" si="1"/>
        <v>9304.4998770319035</v>
      </c>
      <c r="DF18" s="539">
        <f t="shared" si="1"/>
        <v>10042.297500103878</v>
      </c>
      <c r="DG18" s="539">
        <f t="shared" si="1"/>
        <v>10083.037086594606</v>
      </c>
      <c r="DH18" s="539">
        <f t="shared" si="1"/>
        <v>10103.030440845592</v>
      </c>
      <c r="DI18" s="539">
        <f t="shared" si="1"/>
        <v>10074.710093976457</v>
      </c>
      <c r="DJ18" s="539">
        <f t="shared" si="1"/>
        <v>9531.0000277068248</v>
      </c>
      <c r="DK18" s="539">
        <f t="shared" si="1"/>
        <v>9622.5760692221538</v>
      </c>
      <c r="DL18" s="539">
        <f t="shared" si="1"/>
        <v>9618.4891847043327</v>
      </c>
      <c r="DM18" s="539">
        <f t="shared" si="1"/>
        <v>9590.6249782264968</v>
      </c>
      <c r="DN18" s="539">
        <f t="shared" si="1"/>
        <v>9679.6513243283043</v>
      </c>
      <c r="DO18" s="539">
        <f t="shared" si="1"/>
        <v>9772.3259446832872</v>
      </c>
      <c r="DP18" s="539">
        <f t="shared" si="1"/>
        <v>9768.8299907587207</v>
      </c>
      <c r="DQ18" s="539">
        <f t="shared" si="1"/>
        <v>9741.3091688148925</v>
      </c>
      <c r="DR18" s="539">
        <f t="shared" si="1"/>
        <v>9833.1752700445759</v>
      </c>
      <c r="DS18" s="539">
        <f t="shared" si="1"/>
        <v>9926.8134161951511</v>
      </c>
      <c r="DT18" s="539">
        <f t="shared" si="1"/>
        <v>9923.8082057289866</v>
      </c>
      <c r="DU18" s="539">
        <f t="shared" si="1"/>
        <v>9896.5376166003607</v>
      </c>
      <c r="DV18" s="539">
        <f t="shared" si="1"/>
        <v>10016.918852742816</v>
      </c>
      <c r="DW18" s="539">
        <f t="shared" si="1"/>
        <v>10059.983606963106</v>
      </c>
      <c r="DX18" s="539">
        <f t="shared" si="1"/>
        <v>10083.094712487115</v>
      </c>
      <c r="DY18" s="539">
        <f t="shared" si="1"/>
        <v>10055.997562626802</v>
      </c>
      <c r="DZ18" s="539">
        <f t="shared" si="1"/>
        <v>10153.459517752461</v>
      </c>
      <c r="EA18" s="539">
        <f t="shared" si="1"/>
        <v>10248.680194721674</v>
      </c>
      <c r="EB18" s="539">
        <f t="shared" si="1"/>
        <v>10246.420544942679</v>
      </c>
      <c r="EC18" s="539">
        <f t="shared" si="1"/>
        <v>10948.88102751593</v>
      </c>
      <c r="ED18" s="539">
        <f t="shared" si="1"/>
        <v>2308.4176722004668</v>
      </c>
      <c r="EE18" s="539">
        <f t="shared" si="1"/>
        <v>0</v>
      </c>
      <c r="EF18" s="539">
        <f t="shared" si="1"/>
        <v>0</v>
      </c>
      <c r="EG18" s="539">
        <f t="shared" si="1"/>
        <v>0</v>
      </c>
    </row>
    <row r="19" spans="5:137" ht="12.75">
      <c r="E19" s="538" t="s">
        <v>391</v>
      </c>
      <c r="G19" s="539" t="s">
        <v>30</v>
      </c>
      <c r="H19" s="539">
        <f>SUM(J19:EG19)</f>
        <v>606944.75801715453</v>
      </c>
      <c r="J19" s="539">
        <f t="shared" si="2" ref="J19:EG19">J18-J16-J17</f>
        <v>0</v>
      </c>
      <c r="K19" s="539">
        <f t="shared" si="2"/>
        <v>0</v>
      </c>
      <c r="L19" s="539">
        <f t="shared" si="2"/>
        <v>0</v>
      </c>
      <c r="M19" s="539">
        <f t="shared" si="2"/>
        <v>0</v>
      </c>
      <c r="N19" s="539">
        <f t="shared" si="2"/>
        <v>0</v>
      </c>
      <c r="O19" s="539">
        <f t="shared" si="2"/>
        <v>0</v>
      </c>
      <c r="P19" s="539">
        <f t="shared" si="2"/>
        <v>1.8189894035458565E-12</v>
      </c>
      <c r="Q19" s="539">
        <f t="shared" si="2"/>
        <v>0</v>
      </c>
      <c r="R19" s="539">
        <f t="shared" si="2"/>
        <v>0</v>
      </c>
      <c r="S19" s="539">
        <f t="shared" si="2"/>
        <v>0</v>
      </c>
      <c r="T19" s="539">
        <f t="shared" si="2"/>
        <v>0</v>
      </c>
      <c r="U19" s="539">
        <f t="shared" si="2"/>
        <v>0</v>
      </c>
      <c r="V19" s="539">
        <f t="shared" si="2"/>
        <v>0</v>
      </c>
      <c r="W19" s="539">
        <f t="shared" si="2"/>
        <v>0</v>
      </c>
      <c r="X19" s="539">
        <f t="shared" si="2"/>
        <v>0</v>
      </c>
      <c r="Y19" s="539">
        <f t="shared" si="2"/>
        <v>0</v>
      </c>
      <c r="Z19" s="539">
        <f t="shared" si="2"/>
        <v>0</v>
      </c>
      <c r="AA19" s="539">
        <f t="shared" si="2"/>
        <v>0</v>
      </c>
      <c r="AB19" s="539">
        <f t="shared" si="2"/>
        <v>0</v>
      </c>
      <c r="AC19" s="539">
        <f t="shared" si="2"/>
        <v>0</v>
      </c>
      <c r="AD19" s="539">
        <f t="shared" si="2"/>
        <v>0</v>
      </c>
      <c r="AE19" s="539">
        <f t="shared" si="2"/>
        <v>0</v>
      </c>
      <c r="AF19" s="539">
        <f t="shared" si="2"/>
        <v>0</v>
      </c>
      <c r="AG19" s="539">
        <f t="shared" si="2"/>
        <v>0</v>
      </c>
      <c r="AH19" s="539">
        <f t="shared" si="2"/>
        <v>3447.4028287593719</v>
      </c>
      <c r="AI19" s="539">
        <f t="shared" si="2"/>
        <v>4361.6333462116818</v>
      </c>
      <c r="AJ19" s="539">
        <f t="shared" si="2"/>
        <v>4361.4212043011958</v>
      </c>
      <c r="AK19" s="539">
        <f t="shared" si="2"/>
        <v>4351.8748183293092</v>
      </c>
      <c r="AL19" s="539">
        <f t="shared" si="2"/>
        <v>4398.3164947932137</v>
      </c>
      <c r="AM19" s="539">
        <f t="shared" si="2"/>
        <v>4438.1972663426359</v>
      </c>
      <c r="AN19" s="539">
        <f t="shared" si="2"/>
        <v>4437.9825683523259</v>
      </c>
      <c r="AO19" s="539">
        <f t="shared" si="2"/>
        <v>4428.3211587883843</v>
      </c>
      <c r="AP19" s="539">
        <f t="shared" si="2"/>
        <v>4475.754274714247</v>
      </c>
      <c r="AQ19" s="539">
        <f t="shared" si="2"/>
        <v>4516.0178000725828</v>
      </c>
      <c r="AR19" s="539">
        <f t="shared" si="2"/>
        <v>4515.8005383061181</v>
      </c>
      <c r="AS19" s="539">
        <f t="shared" si="2"/>
        <v>4506.0237588152231</v>
      </c>
      <c r="AT19" s="539">
        <f t="shared" si="2"/>
        <v>4564.5817807834947</v>
      </c>
      <c r="AU19" s="539">
        <f t="shared" si="2"/>
        <v>4584.9999646268698</v>
      </c>
      <c r="AV19" s="539">
        <f t="shared" si="2"/>
        <v>4594.8924115563777</v>
      </c>
      <c r="AW19" s="539">
        <f t="shared" si="2"/>
        <v>4582.8887912905011</v>
      </c>
      <c r="AX19" s="539">
        <f t="shared" si="2"/>
        <v>4634.4799840084852</v>
      </c>
      <c r="AY19" s="539">
        <f t="shared" si="2"/>
        <v>4675.4980145116415</v>
      </c>
      <c r="AZ19" s="539">
        <f t="shared" si="2"/>
        <v>4675.275606500988</v>
      </c>
      <c r="BA19" s="539">
        <f t="shared" si="2"/>
        <v>4662.986793214106</v>
      </c>
      <c r="BB19" s="539">
        <f t="shared" si="2"/>
        <v>4656.1295223449815</v>
      </c>
      <c r="BC19" s="539">
        <f t="shared" si="2"/>
        <v>4688.9894244629095</v>
      </c>
      <c r="BD19" s="539">
        <f t="shared" si="2"/>
        <v>4680.6191642822851</v>
      </c>
      <c r="BE19" s="539">
        <f t="shared" si="2"/>
        <v>4662.7159634130503</v>
      </c>
      <c r="BF19" s="539">
        <f t="shared" si="2"/>
        <v>4702.5503211085806</v>
      </c>
      <c r="BG19" s="539">
        <f t="shared" si="2"/>
        <v>4737.2110936923127</v>
      </c>
      <c r="BH19" s="539">
        <f t="shared" si="2"/>
        <v>4730.2083698472934</v>
      </c>
      <c r="BI19" s="539">
        <f t="shared" si="2"/>
        <v>4713.4973922950676</v>
      </c>
      <c r="BJ19" s="539">
        <f t="shared" si="2"/>
        <v>4766.2000444212799</v>
      </c>
      <c r="BK19" s="539">
        <f t="shared" si="2"/>
        <v>4781.2407952482999</v>
      </c>
      <c r="BL19" s="539">
        <f t="shared" si="2"/>
        <v>4785.9623168487306</v>
      </c>
      <c r="BM19" s="539">
        <f t="shared" si="2"/>
        <v>4770.2233898933246</v>
      </c>
      <c r="BN19" s="539">
        <f t="shared" si="2"/>
        <v>4814.4324478021363</v>
      </c>
      <c r="BO19" s="539">
        <f t="shared" si="2"/>
        <v>4851.9954904304823</v>
      </c>
      <c r="BP19" s="539">
        <f t="shared" si="2"/>
        <v>4847.0751977654909</v>
      </c>
      <c r="BQ19" s="539">
        <f t="shared" si="2"/>
        <v>4832.125234055794</v>
      </c>
      <c r="BR19" s="539">
        <f t="shared" si="2"/>
        <v>4928.2618026852151</v>
      </c>
      <c r="BS19" s="539">
        <f t="shared" si="2"/>
        <v>4966.9996589992643</v>
      </c>
      <c r="BT19" s="539">
        <f t="shared" si="2"/>
        <v>4962.8652773374442</v>
      </c>
      <c r="BU19" s="539">
        <f t="shared" si="2"/>
        <v>4948.552050396801</v>
      </c>
      <c r="BV19" s="539">
        <f t="shared" si="2"/>
        <v>4866.0318999186666</v>
      </c>
      <c r="BW19" s="539">
        <f t="shared" si="2"/>
        <v>4520.5358165312482</v>
      </c>
      <c r="BX19" s="539">
        <f t="shared" si="2"/>
        <v>4509.4872611721521</v>
      </c>
      <c r="BY19" s="539">
        <f t="shared" si="2"/>
        <v>4488.4573096415997</v>
      </c>
      <c r="BZ19" s="539">
        <f t="shared" si="2"/>
        <v>4531.3115325828039</v>
      </c>
      <c r="CA19" s="539">
        <f t="shared" si="2"/>
        <v>4543.2696649447143</v>
      </c>
      <c r="CB19" s="539">
        <f t="shared" si="2"/>
        <v>4511.399090363333</v>
      </c>
      <c r="CC19" s="539">
        <f t="shared" si="2"/>
        <v>4327.2721347084926</v>
      </c>
      <c r="CD19" s="539">
        <f t="shared" si="2"/>
        <v>4343.867448891303</v>
      </c>
      <c r="CE19" s="539">
        <f t="shared" si="2"/>
        <v>4376.4090668733743</v>
      </c>
      <c r="CF19" s="539">
        <f t="shared" si="2"/>
        <v>4365.002592425737</v>
      </c>
      <c r="CG19" s="539">
        <f t="shared" si="2"/>
        <v>4341.2035044191498</v>
      </c>
      <c r="CH19" s="539">
        <f t="shared" si="2"/>
        <v>4361.6709987342065</v>
      </c>
      <c r="CI19" s="539">
        <f t="shared" si="2"/>
        <v>4395.2658550726037</v>
      </c>
      <c r="CJ19" s="539">
        <f t="shared" si="2"/>
        <v>4384.5140854212978</v>
      </c>
      <c r="CK19" s="539">
        <f t="shared" si="2"/>
        <v>4361.4415856241212</v>
      </c>
      <c r="CL19" s="539">
        <f t="shared" si="2"/>
        <v>4653.4315457003077</v>
      </c>
      <c r="CM19" s="539">
        <f t="shared" si="2"/>
        <v>4687.3299495203464</v>
      </c>
      <c r="CN19" s="539">
        <f t="shared" si="2"/>
        <v>4676.4851289616618</v>
      </c>
      <c r="CO19" s="539">
        <f t="shared" si="2"/>
        <v>4653.4162385784457</v>
      </c>
      <c r="CP19" s="539">
        <f t="shared" si="2"/>
        <v>4421.1747416232029</v>
      </c>
      <c r="CQ19" s="539">
        <f t="shared" si="2"/>
        <v>4431.7223445741556</v>
      </c>
      <c r="CR19" s="539">
        <f t="shared" si="2"/>
        <v>4433.0575396339273</v>
      </c>
      <c r="CS19" s="539">
        <f t="shared" si="2"/>
        <v>4410.7598271653342</v>
      </c>
      <c r="CT19" s="539">
        <f t="shared" si="2"/>
        <v>4437.4401970216741</v>
      </c>
      <c r="CU19" s="539">
        <f t="shared" si="2"/>
        <v>4472.6458896217509</v>
      </c>
      <c r="CV19" s="539">
        <f t="shared" si="2"/>
        <v>4462.4130257696497</v>
      </c>
      <c r="CW19" s="539">
        <f t="shared" si="2"/>
        <v>4440.2486740498935</v>
      </c>
      <c r="CX19" s="539">
        <f t="shared" si="2"/>
        <v>4468.753546929669</v>
      </c>
      <c r="CY19" s="539">
        <f t="shared" si="2"/>
        <v>4504.1063827836151</v>
      </c>
      <c r="CZ19" s="539">
        <f t="shared" si="2"/>
        <v>4493.689113396782</v>
      </c>
      <c r="DA19" s="539">
        <f t="shared" si="2"/>
        <v>4471.5140031112142</v>
      </c>
      <c r="DB19" s="539">
        <f t="shared" si="2"/>
        <v>9250.1759971050742</v>
      </c>
      <c r="DC19" s="539">
        <f t="shared" si="2"/>
        <v>9339.0671459746045</v>
      </c>
      <c r="DD19" s="539">
        <f t="shared" si="2"/>
        <v>9333.4126291791054</v>
      </c>
      <c r="DE19" s="539">
        <f t="shared" si="2"/>
        <v>9304.4998770319035</v>
      </c>
      <c r="DF19" s="539">
        <f t="shared" si="2"/>
        <v>10042.297500103878</v>
      </c>
      <c r="DG19" s="539">
        <f t="shared" si="2"/>
        <v>10083.037086594606</v>
      </c>
      <c r="DH19" s="539">
        <f t="shared" si="2"/>
        <v>10103.030440845592</v>
      </c>
      <c r="DI19" s="539">
        <f t="shared" si="2"/>
        <v>10074.710093976457</v>
      </c>
      <c r="DJ19" s="539">
        <f t="shared" si="2"/>
        <v>9531.0000277068248</v>
      </c>
      <c r="DK19" s="539">
        <f t="shared" si="2"/>
        <v>9622.5760692221538</v>
      </c>
      <c r="DL19" s="539">
        <f t="shared" si="2"/>
        <v>9618.4891847043327</v>
      </c>
      <c r="DM19" s="539">
        <f t="shared" si="2"/>
        <v>9590.6249782264968</v>
      </c>
      <c r="DN19" s="539">
        <f t="shared" si="2"/>
        <v>9679.6513243283043</v>
      </c>
      <c r="DO19" s="539">
        <f t="shared" si="2"/>
        <v>9772.3259446832872</v>
      </c>
      <c r="DP19" s="539">
        <f t="shared" si="2"/>
        <v>9768.8299907587207</v>
      </c>
      <c r="DQ19" s="539">
        <f t="shared" si="2"/>
        <v>9741.3091688148925</v>
      </c>
      <c r="DR19" s="539">
        <f t="shared" si="2"/>
        <v>9833.1752700445759</v>
      </c>
      <c r="DS19" s="539">
        <f t="shared" si="2"/>
        <v>9926.8134161951511</v>
      </c>
      <c r="DT19" s="539">
        <f t="shared" si="2"/>
        <v>9923.8082057289866</v>
      </c>
      <c r="DU19" s="539">
        <f t="shared" si="2"/>
        <v>9896.5376166003607</v>
      </c>
      <c r="DV19" s="539">
        <f t="shared" si="2"/>
        <v>10016.918852742816</v>
      </c>
      <c r="DW19" s="539">
        <f t="shared" si="2"/>
        <v>10059.983606963106</v>
      </c>
      <c r="DX19" s="539">
        <f t="shared" si="2"/>
        <v>10083.094712487115</v>
      </c>
      <c r="DY19" s="539">
        <f t="shared" si="2"/>
        <v>10055.997562626802</v>
      </c>
      <c r="DZ19" s="539">
        <f t="shared" si="2"/>
        <v>10153.459517752461</v>
      </c>
      <c r="EA19" s="539">
        <f t="shared" si="2"/>
        <v>10248.680194721674</v>
      </c>
      <c r="EB19" s="539">
        <f t="shared" si="2"/>
        <v>10246.420544942679</v>
      </c>
      <c r="EC19" s="539">
        <f t="shared" si="2"/>
        <v>10948.88102751593</v>
      </c>
      <c r="ED19" s="539">
        <f t="shared" si="2"/>
        <v>2308.4176722004668</v>
      </c>
      <c r="EE19" s="539">
        <f t="shared" si="2"/>
        <v>0</v>
      </c>
      <c r="EF19" s="539">
        <f t="shared" si="2"/>
        <v>0</v>
      </c>
      <c r="EG19" s="539">
        <f t="shared" si="2"/>
        <v>0</v>
      </c>
    </row>
    <row r="22" spans="1:1" ht="12.75">
      <c r="A22" s="534" t="s">
        <v>392</v>
      </c>
    </row>
    <row r="24" spans="2:2" ht="12.75">
      <c r="B24" s="534" t="s">
        <v>393</v>
      </c>
    </row>
    <row r="25" spans="5:137" ht="12.75">
      <c r="E25" s="535" t="str">
        <f>Reserves!E$43</f>
        <v>DSRA - draw for senior debt service shortfall</v>
      </c>
      <c r="G25" s="537" t="str">
        <f>Reserves!G$43</f>
        <v>EUR 000s</v>
      </c>
      <c r="H25" s="537">
        <f>Reserves!H$43</f>
        <v>-1.8189894035458565E-12</v>
      </c>
      <c r="J25" s="537">
        <f>Reserves!J$43</f>
        <v>0</v>
      </c>
      <c r="K25" s="537">
        <f>Reserves!K$43</f>
        <v>0</v>
      </c>
      <c r="L25" s="537">
        <f>Reserves!L$43</f>
        <v>0</v>
      </c>
      <c r="M25" s="537">
        <f>Reserves!M$43</f>
        <v>0</v>
      </c>
      <c r="N25" s="537">
        <f>Reserves!N$43</f>
        <v>0</v>
      </c>
      <c r="O25" s="537">
        <f>Reserves!O$43</f>
        <v>0</v>
      </c>
      <c r="P25" s="537">
        <f>Reserves!P$43</f>
        <v>-1.8189894035458565E-12</v>
      </c>
      <c r="Q25" s="537">
        <f>Reserves!Q$43</f>
        <v>0</v>
      </c>
      <c r="R25" s="537">
        <f>Reserves!R$43</f>
        <v>0</v>
      </c>
      <c r="S25" s="537">
        <f>Reserves!S$43</f>
        <v>0</v>
      </c>
      <c r="T25" s="537">
        <f>Reserves!T$43</f>
        <v>0</v>
      </c>
      <c r="U25" s="537">
        <f>Reserves!U$43</f>
        <v>0</v>
      </c>
      <c r="V25" s="537">
        <f>Reserves!V$43</f>
        <v>0</v>
      </c>
      <c r="W25" s="537">
        <f>Reserves!W$43</f>
        <v>0</v>
      </c>
      <c r="X25" s="537">
        <f>Reserves!X$43</f>
        <v>0</v>
      </c>
      <c r="Y25" s="537">
        <f>Reserves!Y$43</f>
        <v>0</v>
      </c>
      <c r="Z25" s="537">
        <f>Reserves!Z$43</f>
        <v>0</v>
      </c>
      <c r="AA25" s="537">
        <f>Reserves!AA$43</f>
        <v>0</v>
      </c>
      <c r="AB25" s="537">
        <f>Reserves!AB$43</f>
        <v>0</v>
      </c>
      <c r="AC25" s="537">
        <f>Reserves!AC$43</f>
        <v>0</v>
      </c>
      <c r="AD25" s="537">
        <f>Reserves!AD$43</f>
        <v>0</v>
      </c>
      <c r="AE25" s="537">
        <f>Reserves!AE$43</f>
        <v>0</v>
      </c>
      <c r="AF25" s="537">
        <f>Reserves!AF$43</f>
        <v>0</v>
      </c>
      <c r="AG25" s="537">
        <f>Reserves!AG$43</f>
        <v>0</v>
      </c>
      <c r="AH25" s="537">
        <f>Reserves!AH$43</f>
        <v>0</v>
      </c>
      <c r="AI25" s="537">
        <f>Reserves!AI$43</f>
        <v>0</v>
      </c>
      <c r="AJ25" s="537">
        <f>Reserves!AJ$43</f>
        <v>0</v>
      </c>
      <c r="AK25" s="537">
        <f>Reserves!AK$43</f>
        <v>0</v>
      </c>
      <c r="AL25" s="537">
        <f>Reserves!AL$43</f>
        <v>0</v>
      </c>
      <c r="AM25" s="537">
        <f>Reserves!AM$43</f>
        <v>0</v>
      </c>
      <c r="AN25" s="537">
        <f>Reserves!AN$43</f>
        <v>0</v>
      </c>
      <c r="AO25" s="537">
        <f>Reserves!AO$43</f>
        <v>0</v>
      </c>
      <c r="AP25" s="537">
        <f>Reserves!AP$43</f>
        <v>0</v>
      </c>
      <c r="AQ25" s="537">
        <f>Reserves!AQ$43</f>
        <v>0</v>
      </c>
      <c r="AR25" s="537">
        <f>Reserves!AR$43</f>
        <v>0</v>
      </c>
      <c r="AS25" s="537">
        <f>Reserves!AS$43</f>
        <v>0</v>
      </c>
      <c r="AT25" s="537">
        <f>Reserves!AT$43</f>
        <v>0</v>
      </c>
      <c r="AU25" s="537">
        <f>Reserves!AU$43</f>
        <v>0</v>
      </c>
      <c r="AV25" s="537">
        <f>Reserves!AV$43</f>
        <v>0</v>
      </c>
      <c r="AW25" s="537">
        <f>Reserves!AW$43</f>
        <v>0</v>
      </c>
      <c r="AX25" s="537">
        <f>Reserves!AX$43</f>
        <v>0</v>
      </c>
      <c r="AY25" s="537">
        <f>Reserves!AY$43</f>
        <v>0</v>
      </c>
      <c r="AZ25" s="537">
        <f>Reserves!AZ$43</f>
        <v>0</v>
      </c>
      <c r="BA25" s="537">
        <f>Reserves!BA$43</f>
        <v>0</v>
      </c>
      <c r="BB25" s="537">
        <f>Reserves!BB$43</f>
        <v>0</v>
      </c>
      <c r="BC25" s="537">
        <f>Reserves!BC$43</f>
        <v>0</v>
      </c>
      <c r="BD25" s="537">
        <f>Reserves!BD$43</f>
        <v>0</v>
      </c>
      <c r="BE25" s="537">
        <f>Reserves!BE$43</f>
        <v>0</v>
      </c>
      <c r="BF25" s="537">
        <f>Reserves!BF$43</f>
        <v>0</v>
      </c>
      <c r="BG25" s="537">
        <f>Reserves!BG$43</f>
        <v>0</v>
      </c>
      <c r="BH25" s="537">
        <f>Reserves!BH$43</f>
        <v>0</v>
      </c>
      <c r="BI25" s="537">
        <f>Reserves!BI$43</f>
        <v>0</v>
      </c>
      <c r="BJ25" s="537">
        <f>Reserves!BJ$43</f>
        <v>0</v>
      </c>
      <c r="BK25" s="537">
        <f>Reserves!BK$43</f>
        <v>0</v>
      </c>
      <c r="BL25" s="537">
        <f>Reserves!BL$43</f>
        <v>0</v>
      </c>
      <c r="BM25" s="537">
        <f>Reserves!BM$43</f>
        <v>0</v>
      </c>
      <c r="BN25" s="537">
        <f>Reserves!BN$43</f>
        <v>0</v>
      </c>
      <c r="BO25" s="537">
        <f>Reserves!BO$43</f>
        <v>0</v>
      </c>
      <c r="BP25" s="537">
        <f>Reserves!BP$43</f>
        <v>0</v>
      </c>
      <c r="BQ25" s="537">
        <f>Reserves!BQ$43</f>
        <v>0</v>
      </c>
      <c r="BR25" s="537">
        <f>Reserves!BR$43</f>
        <v>0</v>
      </c>
      <c r="BS25" s="537">
        <f>Reserves!BS$43</f>
        <v>0</v>
      </c>
      <c r="BT25" s="537">
        <f>Reserves!BT$43</f>
        <v>0</v>
      </c>
      <c r="BU25" s="537">
        <f>Reserves!BU$43</f>
        <v>0</v>
      </c>
      <c r="BV25" s="537">
        <f>Reserves!BV$43</f>
        <v>0</v>
      </c>
      <c r="BW25" s="537">
        <f>Reserves!BW$43</f>
        <v>0</v>
      </c>
      <c r="BX25" s="537">
        <f>Reserves!BX$43</f>
        <v>0</v>
      </c>
      <c r="BY25" s="537">
        <f>Reserves!BY$43</f>
        <v>0</v>
      </c>
      <c r="BZ25" s="537">
        <f>Reserves!BZ$43</f>
        <v>0</v>
      </c>
      <c r="CA25" s="537">
        <f>Reserves!CA$43</f>
        <v>0</v>
      </c>
      <c r="CB25" s="537">
        <f>Reserves!CB$43</f>
        <v>0</v>
      </c>
      <c r="CC25" s="537">
        <f>Reserves!CC$43</f>
        <v>0</v>
      </c>
      <c r="CD25" s="537">
        <f>Reserves!CD$43</f>
        <v>0</v>
      </c>
      <c r="CE25" s="537">
        <f>Reserves!CE$43</f>
        <v>0</v>
      </c>
      <c r="CF25" s="537">
        <f>Reserves!CF$43</f>
        <v>0</v>
      </c>
      <c r="CG25" s="537">
        <f>Reserves!CG$43</f>
        <v>0</v>
      </c>
      <c r="CH25" s="537">
        <f>Reserves!CH$43</f>
        <v>0</v>
      </c>
      <c r="CI25" s="537">
        <f>Reserves!CI$43</f>
        <v>0</v>
      </c>
      <c r="CJ25" s="537">
        <f>Reserves!CJ$43</f>
        <v>0</v>
      </c>
      <c r="CK25" s="537">
        <f>Reserves!CK$43</f>
        <v>0</v>
      </c>
      <c r="CL25" s="537">
        <f>Reserves!CL$43</f>
        <v>0</v>
      </c>
      <c r="CM25" s="537">
        <f>Reserves!CM$43</f>
        <v>0</v>
      </c>
      <c r="CN25" s="537">
        <f>Reserves!CN$43</f>
        <v>0</v>
      </c>
      <c r="CO25" s="537">
        <f>Reserves!CO$43</f>
        <v>0</v>
      </c>
      <c r="CP25" s="537">
        <f>Reserves!CP$43</f>
        <v>0</v>
      </c>
      <c r="CQ25" s="537">
        <f>Reserves!CQ$43</f>
        <v>0</v>
      </c>
      <c r="CR25" s="537">
        <f>Reserves!CR$43</f>
        <v>0</v>
      </c>
      <c r="CS25" s="537">
        <f>Reserves!CS$43</f>
        <v>0</v>
      </c>
      <c r="CT25" s="537">
        <f>Reserves!CT$43</f>
        <v>0</v>
      </c>
      <c r="CU25" s="537">
        <f>Reserves!CU$43</f>
        <v>0</v>
      </c>
      <c r="CV25" s="537">
        <f>Reserves!CV$43</f>
        <v>0</v>
      </c>
      <c r="CW25" s="537">
        <f>Reserves!CW$43</f>
        <v>0</v>
      </c>
      <c r="CX25" s="537">
        <f>Reserves!CX$43</f>
        <v>0</v>
      </c>
      <c r="CY25" s="537">
        <f>Reserves!CY$43</f>
        <v>0</v>
      </c>
      <c r="CZ25" s="537">
        <f>Reserves!CZ$43</f>
        <v>0</v>
      </c>
      <c r="DA25" s="537">
        <f>Reserves!DA$43</f>
        <v>0</v>
      </c>
      <c r="DB25" s="537">
        <f>Reserves!DB$43</f>
        <v>0</v>
      </c>
      <c r="DC25" s="537">
        <f>Reserves!DC$43</f>
        <v>0</v>
      </c>
      <c r="DD25" s="537">
        <f>Reserves!DD$43</f>
        <v>0</v>
      </c>
      <c r="DE25" s="537">
        <f>Reserves!DE$43</f>
        <v>0</v>
      </c>
      <c r="DF25" s="537">
        <f>Reserves!DF$43</f>
        <v>0</v>
      </c>
      <c r="DG25" s="537">
        <f>Reserves!DG$43</f>
        <v>0</v>
      </c>
      <c r="DH25" s="537">
        <f>Reserves!DH$43</f>
        <v>0</v>
      </c>
      <c r="DI25" s="537">
        <f>Reserves!DI$43</f>
        <v>0</v>
      </c>
      <c r="DJ25" s="537">
        <f>Reserves!DJ$43</f>
        <v>0</v>
      </c>
      <c r="DK25" s="537">
        <f>Reserves!DK$43</f>
        <v>0</v>
      </c>
      <c r="DL25" s="537">
        <f>Reserves!DL$43</f>
        <v>0</v>
      </c>
      <c r="DM25" s="537">
        <f>Reserves!DM$43</f>
        <v>0</v>
      </c>
      <c r="DN25" s="537">
        <f>Reserves!DN$43</f>
        <v>0</v>
      </c>
      <c r="DO25" s="537">
        <f>Reserves!DO$43</f>
        <v>0</v>
      </c>
      <c r="DP25" s="537">
        <f>Reserves!DP$43</f>
        <v>0</v>
      </c>
      <c r="DQ25" s="537">
        <f>Reserves!DQ$43</f>
        <v>0</v>
      </c>
      <c r="DR25" s="537">
        <f>Reserves!DR$43</f>
        <v>0</v>
      </c>
      <c r="DS25" s="537">
        <f>Reserves!DS$43</f>
        <v>0</v>
      </c>
      <c r="DT25" s="537">
        <f>Reserves!DT$43</f>
        <v>0</v>
      </c>
      <c r="DU25" s="537">
        <f>Reserves!DU$43</f>
        <v>0</v>
      </c>
      <c r="DV25" s="537">
        <f>Reserves!DV$43</f>
        <v>0</v>
      </c>
      <c r="DW25" s="537">
        <f>Reserves!DW$43</f>
        <v>0</v>
      </c>
      <c r="DX25" s="537">
        <f>Reserves!DX$43</f>
        <v>0</v>
      </c>
      <c r="DY25" s="537">
        <f>Reserves!DY$43</f>
        <v>0</v>
      </c>
      <c r="DZ25" s="537">
        <f>Reserves!DZ$43</f>
        <v>0</v>
      </c>
      <c r="EA25" s="537">
        <f>Reserves!EA$43</f>
        <v>0</v>
      </c>
      <c r="EB25" s="537">
        <f>Reserves!EB$43</f>
        <v>0</v>
      </c>
      <c r="EC25" s="537">
        <f>Reserves!EC$43</f>
        <v>0</v>
      </c>
      <c r="ED25" s="537">
        <f>Reserves!ED$43</f>
        <v>0</v>
      </c>
      <c r="EE25" s="537">
        <f>Reserves!EE$43</f>
        <v>0</v>
      </c>
      <c r="EF25" s="537">
        <f>Reserves!EF$43</f>
        <v>0</v>
      </c>
      <c r="EG25" s="537">
        <f>Reserves!EG$43</f>
        <v>0</v>
      </c>
    </row>
    <row r="26" spans="5:137" ht="12.75">
      <c r="E26" s="538" t="str">
        <f>E$19</f>
        <v>Cash flow - after senior debt service and DSRF fee</v>
      </c>
      <c r="G26" s="539" t="str">
        <f>G$19</f>
        <v>EUR 000s</v>
      </c>
      <c r="H26" s="539">
        <f>H$19</f>
        <v>606944.75801715453</v>
      </c>
      <c r="J26" s="539">
        <f t="shared" si="3" ref="J26:EG26">J$19</f>
        <v>0</v>
      </c>
      <c r="K26" s="539">
        <f t="shared" si="3"/>
        <v>0</v>
      </c>
      <c r="L26" s="539">
        <f t="shared" si="3"/>
        <v>0</v>
      </c>
      <c r="M26" s="539">
        <f t="shared" si="3"/>
        <v>0</v>
      </c>
      <c r="N26" s="539">
        <f t="shared" si="3"/>
        <v>0</v>
      </c>
      <c r="O26" s="539">
        <f t="shared" si="3"/>
        <v>0</v>
      </c>
      <c r="P26" s="539">
        <f t="shared" si="3"/>
        <v>1.8189894035458565E-12</v>
      </c>
      <c r="Q26" s="539">
        <f t="shared" si="3"/>
        <v>0</v>
      </c>
      <c r="R26" s="539">
        <f t="shared" si="3"/>
        <v>0</v>
      </c>
      <c r="S26" s="539">
        <f t="shared" si="3"/>
        <v>0</v>
      </c>
      <c r="T26" s="539">
        <f t="shared" si="3"/>
        <v>0</v>
      </c>
      <c r="U26" s="539">
        <f t="shared" si="3"/>
        <v>0</v>
      </c>
      <c r="V26" s="539">
        <f t="shared" si="3"/>
        <v>0</v>
      </c>
      <c r="W26" s="539">
        <f t="shared" si="3"/>
        <v>0</v>
      </c>
      <c r="X26" s="539">
        <f t="shared" si="3"/>
        <v>0</v>
      </c>
      <c r="Y26" s="539">
        <f t="shared" si="3"/>
        <v>0</v>
      </c>
      <c r="Z26" s="539">
        <f t="shared" si="3"/>
        <v>0</v>
      </c>
      <c r="AA26" s="539">
        <f t="shared" si="3"/>
        <v>0</v>
      </c>
      <c r="AB26" s="539">
        <f t="shared" si="3"/>
        <v>0</v>
      </c>
      <c r="AC26" s="539">
        <f t="shared" si="3"/>
        <v>0</v>
      </c>
      <c r="AD26" s="539">
        <f t="shared" si="3"/>
        <v>0</v>
      </c>
      <c r="AE26" s="539">
        <f t="shared" si="3"/>
        <v>0</v>
      </c>
      <c r="AF26" s="539">
        <f t="shared" si="3"/>
        <v>0</v>
      </c>
      <c r="AG26" s="539">
        <f t="shared" si="3"/>
        <v>0</v>
      </c>
      <c r="AH26" s="539">
        <f t="shared" si="3"/>
        <v>3447.4028287593719</v>
      </c>
      <c r="AI26" s="539">
        <f t="shared" si="3"/>
        <v>4361.6333462116818</v>
      </c>
      <c r="AJ26" s="539">
        <f t="shared" si="3"/>
        <v>4361.4212043011958</v>
      </c>
      <c r="AK26" s="539">
        <f t="shared" si="3"/>
        <v>4351.8748183293092</v>
      </c>
      <c r="AL26" s="539">
        <f t="shared" si="3"/>
        <v>4398.3164947932137</v>
      </c>
      <c r="AM26" s="539">
        <f t="shared" si="3"/>
        <v>4438.1972663426359</v>
      </c>
      <c r="AN26" s="539">
        <f t="shared" si="3"/>
        <v>4437.9825683523259</v>
      </c>
      <c r="AO26" s="539">
        <f t="shared" si="3"/>
        <v>4428.3211587883843</v>
      </c>
      <c r="AP26" s="539">
        <f t="shared" si="3"/>
        <v>4475.754274714247</v>
      </c>
      <c r="AQ26" s="539">
        <f t="shared" si="3"/>
        <v>4516.0178000725828</v>
      </c>
      <c r="AR26" s="539">
        <f t="shared" si="3"/>
        <v>4515.8005383061181</v>
      </c>
      <c r="AS26" s="539">
        <f t="shared" si="3"/>
        <v>4506.0237588152231</v>
      </c>
      <c r="AT26" s="539">
        <f t="shared" si="3"/>
        <v>4564.5817807834947</v>
      </c>
      <c r="AU26" s="539">
        <f t="shared" si="3"/>
        <v>4584.9999646268698</v>
      </c>
      <c r="AV26" s="539">
        <f t="shared" si="3"/>
        <v>4594.8924115563777</v>
      </c>
      <c r="AW26" s="539">
        <f t="shared" si="3"/>
        <v>4582.8887912905011</v>
      </c>
      <c r="AX26" s="539">
        <f t="shared" si="3"/>
        <v>4634.4799840084852</v>
      </c>
      <c r="AY26" s="539">
        <f t="shared" si="3"/>
        <v>4675.4980145116415</v>
      </c>
      <c r="AZ26" s="539">
        <f t="shared" si="3"/>
        <v>4675.275606500988</v>
      </c>
      <c r="BA26" s="539">
        <f t="shared" si="3"/>
        <v>4662.986793214106</v>
      </c>
      <c r="BB26" s="539">
        <f t="shared" si="3"/>
        <v>4656.1295223449815</v>
      </c>
      <c r="BC26" s="539">
        <f t="shared" si="3"/>
        <v>4688.9894244629095</v>
      </c>
      <c r="BD26" s="539">
        <f t="shared" si="3"/>
        <v>4680.6191642822851</v>
      </c>
      <c r="BE26" s="539">
        <f t="shared" si="3"/>
        <v>4662.7159634130503</v>
      </c>
      <c r="BF26" s="539">
        <f t="shared" si="3"/>
        <v>4702.5503211085806</v>
      </c>
      <c r="BG26" s="539">
        <f t="shared" si="3"/>
        <v>4737.2110936923127</v>
      </c>
      <c r="BH26" s="539">
        <f t="shared" si="3"/>
        <v>4730.2083698472934</v>
      </c>
      <c r="BI26" s="539">
        <f t="shared" si="3"/>
        <v>4713.4973922950676</v>
      </c>
      <c r="BJ26" s="539">
        <f t="shared" si="3"/>
        <v>4766.2000444212799</v>
      </c>
      <c r="BK26" s="539">
        <f t="shared" si="3"/>
        <v>4781.2407952482999</v>
      </c>
      <c r="BL26" s="539">
        <f t="shared" si="3"/>
        <v>4785.9623168487306</v>
      </c>
      <c r="BM26" s="539">
        <f t="shared" si="3"/>
        <v>4770.2233898933246</v>
      </c>
      <c r="BN26" s="539">
        <f t="shared" si="3"/>
        <v>4814.4324478021363</v>
      </c>
      <c r="BO26" s="539">
        <f t="shared" si="3"/>
        <v>4851.9954904304823</v>
      </c>
      <c r="BP26" s="539">
        <f t="shared" si="3"/>
        <v>4847.0751977654909</v>
      </c>
      <c r="BQ26" s="539">
        <f t="shared" si="3"/>
        <v>4832.125234055794</v>
      </c>
      <c r="BR26" s="539">
        <f t="shared" si="3"/>
        <v>4928.2618026852151</v>
      </c>
      <c r="BS26" s="539">
        <f t="shared" si="3"/>
        <v>4966.9996589992643</v>
      </c>
      <c r="BT26" s="539">
        <f t="shared" si="3"/>
        <v>4962.8652773374442</v>
      </c>
      <c r="BU26" s="539">
        <f t="shared" si="3"/>
        <v>4948.552050396801</v>
      </c>
      <c r="BV26" s="539">
        <f t="shared" si="3"/>
        <v>4866.0318999186666</v>
      </c>
      <c r="BW26" s="539">
        <f t="shared" si="3"/>
        <v>4520.5358165312482</v>
      </c>
      <c r="BX26" s="539">
        <f t="shared" si="3"/>
        <v>4509.4872611721521</v>
      </c>
      <c r="BY26" s="539">
        <f t="shared" si="3"/>
        <v>4488.4573096415997</v>
      </c>
      <c r="BZ26" s="539">
        <f t="shared" si="3"/>
        <v>4531.3115325828039</v>
      </c>
      <c r="CA26" s="539">
        <f t="shared" si="3"/>
        <v>4543.2696649447143</v>
      </c>
      <c r="CB26" s="539">
        <f t="shared" si="3"/>
        <v>4511.399090363333</v>
      </c>
      <c r="CC26" s="539">
        <f t="shared" si="3"/>
        <v>4327.2721347084926</v>
      </c>
      <c r="CD26" s="539">
        <f t="shared" si="3"/>
        <v>4343.867448891303</v>
      </c>
      <c r="CE26" s="539">
        <f t="shared" si="3"/>
        <v>4376.4090668733743</v>
      </c>
      <c r="CF26" s="539">
        <f t="shared" si="3"/>
        <v>4365.002592425737</v>
      </c>
      <c r="CG26" s="539">
        <f t="shared" si="3"/>
        <v>4341.2035044191498</v>
      </c>
      <c r="CH26" s="539">
        <f t="shared" si="3"/>
        <v>4361.6709987342065</v>
      </c>
      <c r="CI26" s="539">
        <f t="shared" si="3"/>
        <v>4395.2658550726037</v>
      </c>
      <c r="CJ26" s="539">
        <f t="shared" si="3"/>
        <v>4384.5140854212978</v>
      </c>
      <c r="CK26" s="539">
        <f t="shared" si="3"/>
        <v>4361.4415856241212</v>
      </c>
      <c r="CL26" s="539">
        <f t="shared" si="3"/>
        <v>4653.4315457003077</v>
      </c>
      <c r="CM26" s="539">
        <f t="shared" si="3"/>
        <v>4687.3299495203464</v>
      </c>
      <c r="CN26" s="539">
        <f t="shared" si="3"/>
        <v>4676.4851289616618</v>
      </c>
      <c r="CO26" s="539">
        <f t="shared" si="3"/>
        <v>4653.4162385784457</v>
      </c>
      <c r="CP26" s="539">
        <f t="shared" si="3"/>
        <v>4421.1747416232029</v>
      </c>
      <c r="CQ26" s="539">
        <f t="shared" si="3"/>
        <v>4431.7223445741556</v>
      </c>
      <c r="CR26" s="539">
        <f t="shared" si="3"/>
        <v>4433.0575396339273</v>
      </c>
      <c r="CS26" s="539">
        <f t="shared" si="3"/>
        <v>4410.7598271653342</v>
      </c>
      <c r="CT26" s="539">
        <f t="shared" si="3"/>
        <v>4437.4401970216741</v>
      </c>
      <c r="CU26" s="539">
        <f t="shared" si="3"/>
        <v>4472.6458896217509</v>
      </c>
      <c r="CV26" s="539">
        <f t="shared" si="3"/>
        <v>4462.4130257696497</v>
      </c>
      <c r="CW26" s="539">
        <f t="shared" si="3"/>
        <v>4440.2486740498935</v>
      </c>
      <c r="CX26" s="539">
        <f t="shared" si="3"/>
        <v>4468.753546929669</v>
      </c>
      <c r="CY26" s="539">
        <f t="shared" si="3"/>
        <v>4504.1063827836151</v>
      </c>
      <c r="CZ26" s="539">
        <f t="shared" si="3"/>
        <v>4493.689113396782</v>
      </c>
      <c r="DA26" s="539">
        <f t="shared" si="3"/>
        <v>4471.5140031112142</v>
      </c>
      <c r="DB26" s="539">
        <f t="shared" si="3"/>
        <v>9250.1759971050742</v>
      </c>
      <c r="DC26" s="539">
        <f t="shared" si="3"/>
        <v>9339.0671459746045</v>
      </c>
      <c r="DD26" s="539">
        <f t="shared" si="3"/>
        <v>9333.4126291791054</v>
      </c>
      <c r="DE26" s="539">
        <f t="shared" si="3"/>
        <v>9304.4998770319035</v>
      </c>
      <c r="DF26" s="539">
        <f t="shared" si="3"/>
        <v>10042.297500103878</v>
      </c>
      <c r="DG26" s="539">
        <f t="shared" si="3"/>
        <v>10083.037086594606</v>
      </c>
      <c r="DH26" s="539">
        <f t="shared" si="3"/>
        <v>10103.030440845592</v>
      </c>
      <c r="DI26" s="539">
        <f t="shared" si="3"/>
        <v>10074.710093976457</v>
      </c>
      <c r="DJ26" s="539">
        <f t="shared" si="3"/>
        <v>9531.0000277068248</v>
      </c>
      <c r="DK26" s="539">
        <f t="shared" si="3"/>
        <v>9622.5760692221538</v>
      </c>
      <c r="DL26" s="539">
        <f t="shared" si="3"/>
        <v>9618.4891847043327</v>
      </c>
      <c r="DM26" s="539">
        <f t="shared" si="3"/>
        <v>9590.6249782264968</v>
      </c>
      <c r="DN26" s="539">
        <f t="shared" si="3"/>
        <v>9679.6513243283043</v>
      </c>
      <c r="DO26" s="539">
        <f t="shared" si="3"/>
        <v>9772.3259446832872</v>
      </c>
      <c r="DP26" s="539">
        <f t="shared" si="3"/>
        <v>9768.8299907587207</v>
      </c>
      <c r="DQ26" s="539">
        <f t="shared" si="3"/>
        <v>9741.3091688148925</v>
      </c>
      <c r="DR26" s="539">
        <f t="shared" si="3"/>
        <v>9833.1752700445759</v>
      </c>
      <c r="DS26" s="539">
        <f t="shared" si="3"/>
        <v>9926.8134161951511</v>
      </c>
      <c r="DT26" s="539">
        <f t="shared" si="3"/>
        <v>9923.8082057289866</v>
      </c>
      <c r="DU26" s="539">
        <f t="shared" si="3"/>
        <v>9896.5376166003607</v>
      </c>
      <c r="DV26" s="539">
        <f t="shared" si="3"/>
        <v>10016.918852742816</v>
      </c>
      <c r="DW26" s="539">
        <f t="shared" si="3"/>
        <v>10059.983606963106</v>
      </c>
      <c r="DX26" s="539">
        <f t="shared" si="3"/>
        <v>10083.094712487115</v>
      </c>
      <c r="DY26" s="539">
        <f t="shared" si="3"/>
        <v>10055.997562626802</v>
      </c>
      <c r="DZ26" s="539">
        <f t="shared" si="3"/>
        <v>10153.459517752461</v>
      </c>
      <c r="EA26" s="539">
        <f t="shared" si="3"/>
        <v>10248.680194721674</v>
      </c>
      <c r="EB26" s="539">
        <f t="shared" si="3"/>
        <v>10246.420544942679</v>
      </c>
      <c r="EC26" s="539">
        <f t="shared" si="3"/>
        <v>10948.88102751593</v>
      </c>
      <c r="ED26" s="539">
        <f t="shared" si="3"/>
        <v>2308.4176722004668</v>
      </c>
      <c r="EE26" s="539">
        <f t="shared" si="3"/>
        <v>0</v>
      </c>
      <c r="EF26" s="539">
        <f t="shared" si="3"/>
        <v>0</v>
      </c>
      <c r="EG26" s="539">
        <f t="shared" si="3"/>
        <v>0</v>
      </c>
    </row>
    <row r="27" spans="5:137" ht="12.75">
      <c r="E27" s="540" t="s">
        <v>394</v>
      </c>
      <c r="G27" s="541" t="s">
        <v>30</v>
      </c>
      <c r="H27" s="541">
        <f>SUM(J27:EG27)</f>
        <v>606944.75801715453</v>
      </c>
      <c r="J27" s="541">
        <f t="shared" si="4" ref="J27:EG27">MAX(0,J26+J25)</f>
        <v>0</v>
      </c>
      <c r="K27" s="541">
        <f t="shared" si="4"/>
        <v>0</v>
      </c>
      <c r="L27" s="541">
        <f t="shared" si="4"/>
        <v>0</v>
      </c>
      <c r="M27" s="541">
        <f t="shared" si="4"/>
        <v>0</v>
      </c>
      <c r="N27" s="541">
        <f t="shared" si="4"/>
        <v>0</v>
      </c>
      <c r="O27" s="541">
        <f t="shared" si="4"/>
        <v>0</v>
      </c>
      <c r="P27" s="541">
        <f t="shared" si="4"/>
        <v>0</v>
      </c>
      <c r="Q27" s="541">
        <f t="shared" si="4"/>
        <v>0</v>
      </c>
      <c r="R27" s="541">
        <f t="shared" si="4"/>
        <v>0</v>
      </c>
      <c r="S27" s="541">
        <f t="shared" si="4"/>
        <v>0</v>
      </c>
      <c r="T27" s="541">
        <f t="shared" si="4"/>
        <v>0</v>
      </c>
      <c r="U27" s="541">
        <f t="shared" si="4"/>
        <v>0</v>
      </c>
      <c r="V27" s="541">
        <f t="shared" si="4"/>
        <v>0</v>
      </c>
      <c r="W27" s="541">
        <f t="shared" si="4"/>
        <v>0</v>
      </c>
      <c r="X27" s="541">
        <f t="shared" si="4"/>
        <v>0</v>
      </c>
      <c r="Y27" s="541">
        <f t="shared" si="4"/>
        <v>0</v>
      </c>
      <c r="Z27" s="541">
        <f t="shared" si="4"/>
        <v>0</v>
      </c>
      <c r="AA27" s="541">
        <f t="shared" si="4"/>
        <v>0</v>
      </c>
      <c r="AB27" s="541">
        <f t="shared" si="4"/>
        <v>0</v>
      </c>
      <c r="AC27" s="541">
        <f t="shared" si="4"/>
        <v>0</v>
      </c>
      <c r="AD27" s="541">
        <f t="shared" si="4"/>
        <v>0</v>
      </c>
      <c r="AE27" s="541">
        <f t="shared" si="4"/>
        <v>0</v>
      </c>
      <c r="AF27" s="541">
        <f t="shared" si="4"/>
        <v>0</v>
      </c>
      <c r="AG27" s="541">
        <f t="shared" si="4"/>
        <v>0</v>
      </c>
      <c r="AH27" s="541">
        <f t="shared" si="4"/>
        <v>3447.4028287593719</v>
      </c>
      <c r="AI27" s="541">
        <f t="shared" si="4"/>
        <v>4361.6333462116818</v>
      </c>
      <c r="AJ27" s="541">
        <f t="shared" si="4"/>
        <v>4361.4212043011958</v>
      </c>
      <c r="AK27" s="541">
        <f t="shared" si="4"/>
        <v>4351.8748183293092</v>
      </c>
      <c r="AL27" s="541">
        <f t="shared" si="4"/>
        <v>4398.3164947932137</v>
      </c>
      <c r="AM27" s="541">
        <f t="shared" si="4"/>
        <v>4438.1972663426359</v>
      </c>
      <c r="AN27" s="541">
        <f t="shared" si="4"/>
        <v>4437.9825683523259</v>
      </c>
      <c r="AO27" s="541">
        <f t="shared" si="4"/>
        <v>4428.3211587883843</v>
      </c>
      <c r="AP27" s="541">
        <f t="shared" si="4"/>
        <v>4475.754274714247</v>
      </c>
      <c r="AQ27" s="541">
        <f t="shared" si="4"/>
        <v>4516.0178000725828</v>
      </c>
      <c r="AR27" s="541">
        <f t="shared" si="4"/>
        <v>4515.8005383061181</v>
      </c>
      <c r="AS27" s="541">
        <f t="shared" si="4"/>
        <v>4506.0237588152231</v>
      </c>
      <c r="AT27" s="541">
        <f t="shared" si="4"/>
        <v>4564.5817807834947</v>
      </c>
      <c r="AU27" s="541">
        <f t="shared" si="4"/>
        <v>4584.9999646268698</v>
      </c>
      <c r="AV27" s="541">
        <f t="shared" si="4"/>
        <v>4594.8924115563777</v>
      </c>
      <c r="AW27" s="541">
        <f t="shared" si="4"/>
        <v>4582.8887912905011</v>
      </c>
      <c r="AX27" s="541">
        <f t="shared" si="4"/>
        <v>4634.4799840084852</v>
      </c>
      <c r="AY27" s="541">
        <f t="shared" si="4"/>
        <v>4675.4980145116415</v>
      </c>
      <c r="AZ27" s="541">
        <f t="shared" si="4"/>
        <v>4675.275606500988</v>
      </c>
      <c r="BA27" s="541">
        <f t="shared" si="4"/>
        <v>4662.986793214106</v>
      </c>
      <c r="BB27" s="541">
        <f t="shared" si="4"/>
        <v>4656.1295223449815</v>
      </c>
      <c r="BC27" s="541">
        <f t="shared" si="4"/>
        <v>4688.9894244629095</v>
      </c>
      <c r="BD27" s="541">
        <f t="shared" si="4"/>
        <v>4680.6191642822851</v>
      </c>
      <c r="BE27" s="541">
        <f t="shared" si="4"/>
        <v>4662.7159634130503</v>
      </c>
      <c r="BF27" s="541">
        <f t="shared" si="4"/>
        <v>4702.5503211085806</v>
      </c>
      <c r="BG27" s="541">
        <f t="shared" si="4"/>
        <v>4737.2110936923127</v>
      </c>
      <c r="BH27" s="541">
        <f t="shared" si="4"/>
        <v>4730.2083698472934</v>
      </c>
      <c r="BI27" s="541">
        <f t="shared" si="4"/>
        <v>4713.4973922950676</v>
      </c>
      <c r="BJ27" s="541">
        <f t="shared" si="4"/>
        <v>4766.2000444212799</v>
      </c>
      <c r="BK27" s="541">
        <f t="shared" si="4"/>
        <v>4781.2407952482999</v>
      </c>
      <c r="BL27" s="541">
        <f t="shared" si="4"/>
        <v>4785.9623168487306</v>
      </c>
      <c r="BM27" s="541">
        <f t="shared" si="4"/>
        <v>4770.2233898933246</v>
      </c>
      <c r="BN27" s="541">
        <f t="shared" si="4"/>
        <v>4814.4324478021363</v>
      </c>
      <c r="BO27" s="541">
        <f t="shared" si="4"/>
        <v>4851.9954904304823</v>
      </c>
      <c r="BP27" s="541">
        <f t="shared" si="4"/>
        <v>4847.0751977654909</v>
      </c>
      <c r="BQ27" s="541">
        <f t="shared" si="4"/>
        <v>4832.125234055794</v>
      </c>
      <c r="BR27" s="541">
        <f t="shared" si="4"/>
        <v>4928.2618026852151</v>
      </c>
      <c r="BS27" s="541">
        <f t="shared" si="4"/>
        <v>4966.9996589992643</v>
      </c>
      <c r="BT27" s="541">
        <f t="shared" si="4"/>
        <v>4962.8652773374442</v>
      </c>
      <c r="BU27" s="541">
        <f t="shared" si="4"/>
        <v>4948.552050396801</v>
      </c>
      <c r="BV27" s="541">
        <f t="shared" si="4"/>
        <v>4866.0318999186666</v>
      </c>
      <c r="BW27" s="541">
        <f t="shared" si="4"/>
        <v>4520.5358165312482</v>
      </c>
      <c r="BX27" s="541">
        <f t="shared" si="4"/>
        <v>4509.4872611721521</v>
      </c>
      <c r="BY27" s="541">
        <f t="shared" si="4"/>
        <v>4488.4573096415997</v>
      </c>
      <c r="BZ27" s="541">
        <f t="shared" si="4"/>
        <v>4531.3115325828039</v>
      </c>
      <c r="CA27" s="541">
        <f t="shared" si="4"/>
        <v>4543.2696649447143</v>
      </c>
      <c r="CB27" s="541">
        <f t="shared" si="4"/>
        <v>4511.399090363333</v>
      </c>
      <c r="CC27" s="541">
        <f t="shared" si="4"/>
        <v>4327.2721347084926</v>
      </c>
      <c r="CD27" s="541">
        <f t="shared" si="4"/>
        <v>4343.867448891303</v>
      </c>
      <c r="CE27" s="541">
        <f t="shared" si="4"/>
        <v>4376.4090668733743</v>
      </c>
      <c r="CF27" s="541">
        <f t="shared" si="4"/>
        <v>4365.002592425737</v>
      </c>
      <c r="CG27" s="541">
        <f t="shared" si="4"/>
        <v>4341.2035044191498</v>
      </c>
      <c r="CH27" s="541">
        <f t="shared" si="4"/>
        <v>4361.6709987342065</v>
      </c>
      <c r="CI27" s="541">
        <f t="shared" si="4"/>
        <v>4395.2658550726037</v>
      </c>
      <c r="CJ27" s="541">
        <f t="shared" si="4"/>
        <v>4384.5140854212978</v>
      </c>
      <c r="CK27" s="541">
        <f t="shared" si="4"/>
        <v>4361.4415856241212</v>
      </c>
      <c r="CL27" s="541">
        <f t="shared" si="4"/>
        <v>4653.4315457003077</v>
      </c>
      <c r="CM27" s="541">
        <f t="shared" si="4"/>
        <v>4687.3299495203464</v>
      </c>
      <c r="CN27" s="541">
        <f t="shared" si="4"/>
        <v>4676.4851289616618</v>
      </c>
      <c r="CO27" s="541">
        <f t="shared" si="4"/>
        <v>4653.4162385784457</v>
      </c>
      <c r="CP27" s="541">
        <f t="shared" si="4"/>
        <v>4421.1747416232029</v>
      </c>
      <c r="CQ27" s="541">
        <f t="shared" si="4"/>
        <v>4431.7223445741556</v>
      </c>
      <c r="CR27" s="541">
        <f t="shared" si="4"/>
        <v>4433.0575396339273</v>
      </c>
      <c r="CS27" s="541">
        <f t="shared" si="4"/>
        <v>4410.7598271653342</v>
      </c>
      <c r="CT27" s="541">
        <f t="shared" si="4"/>
        <v>4437.4401970216741</v>
      </c>
      <c r="CU27" s="541">
        <f t="shared" si="4"/>
        <v>4472.6458896217509</v>
      </c>
      <c r="CV27" s="541">
        <f t="shared" si="4"/>
        <v>4462.4130257696497</v>
      </c>
      <c r="CW27" s="541">
        <f t="shared" si="4"/>
        <v>4440.2486740498935</v>
      </c>
      <c r="CX27" s="541">
        <f t="shared" si="4"/>
        <v>4468.753546929669</v>
      </c>
      <c r="CY27" s="541">
        <f t="shared" si="4"/>
        <v>4504.1063827836151</v>
      </c>
      <c r="CZ27" s="541">
        <f t="shared" si="4"/>
        <v>4493.689113396782</v>
      </c>
      <c r="DA27" s="541">
        <f t="shared" si="4"/>
        <v>4471.5140031112142</v>
      </c>
      <c r="DB27" s="541">
        <f t="shared" si="4"/>
        <v>9250.1759971050742</v>
      </c>
      <c r="DC27" s="541">
        <f t="shared" si="4"/>
        <v>9339.0671459746045</v>
      </c>
      <c r="DD27" s="541">
        <f t="shared" si="4"/>
        <v>9333.4126291791054</v>
      </c>
      <c r="DE27" s="541">
        <f t="shared" si="4"/>
        <v>9304.4998770319035</v>
      </c>
      <c r="DF27" s="541">
        <f t="shared" si="4"/>
        <v>10042.297500103878</v>
      </c>
      <c r="DG27" s="541">
        <f t="shared" si="4"/>
        <v>10083.037086594606</v>
      </c>
      <c r="DH27" s="541">
        <f t="shared" si="4"/>
        <v>10103.030440845592</v>
      </c>
      <c r="DI27" s="541">
        <f t="shared" si="4"/>
        <v>10074.710093976457</v>
      </c>
      <c r="DJ27" s="541">
        <f t="shared" si="4"/>
        <v>9531.0000277068248</v>
      </c>
      <c r="DK27" s="541">
        <f t="shared" si="4"/>
        <v>9622.5760692221538</v>
      </c>
      <c r="DL27" s="541">
        <f t="shared" si="4"/>
        <v>9618.4891847043327</v>
      </c>
      <c r="DM27" s="541">
        <f t="shared" si="4"/>
        <v>9590.6249782264968</v>
      </c>
      <c r="DN27" s="541">
        <f t="shared" si="4"/>
        <v>9679.6513243283043</v>
      </c>
      <c r="DO27" s="541">
        <f t="shared" si="4"/>
        <v>9772.3259446832872</v>
      </c>
      <c r="DP27" s="541">
        <f t="shared" si="4"/>
        <v>9768.8299907587207</v>
      </c>
      <c r="DQ27" s="541">
        <f t="shared" si="4"/>
        <v>9741.3091688148925</v>
      </c>
      <c r="DR27" s="541">
        <f t="shared" si="4"/>
        <v>9833.1752700445759</v>
      </c>
      <c r="DS27" s="541">
        <f t="shared" si="4"/>
        <v>9926.8134161951511</v>
      </c>
      <c r="DT27" s="541">
        <f t="shared" si="4"/>
        <v>9923.8082057289866</v>
      </c>
      <c r="DU27" s="541">
        <f t="shared" si="4"/>
        <v>9896.5376166003607</v>
      </c>
      <c r="DV27" s="541">
        <f t="shared" si="4"/>
        <v>10016.918852742816</v>
      </c>
      <c r="DW27" s="541">
        <f t="shared" si="4"/>
        <v>10059.983606963106</v>
      </c>
      <c r="DX27" s="541">
        <f t="shared" si="4"/>
        <v>10083.094712487115</v>
      </c>
      <c r="DY27" s="541">
        <f t="shared" si="4"/>
        <v>10055.997562626802</v>
      </c>
      <c r="DZ27" s="541">
        <f t="shared" si="4"/>
        <v>10153.459517752461</v>
      </c>
      <c r="EA27" s="541">
        <f t="shared" si="4"/>
        <v>10248.680194721674</v>
      </c>
      <c r="EB27" s="541">
        <f t="shared" si="4"/>
        <v>10246.420544942679</v>
      </c>
      <c r="EC27" s="541">
        <f t="shared" si="4"/>
        <v>10948.88102751593</v>
      </c>
      <c r="ED27" s="541">
        <f t="shared" si="4"/>
        <v>2308.4176722004668</v>
      </c>
      <c r="EE27" s="541">
        <f t="shared" si="4"/>
        <v>0</v>
      </c>
      <c r="EF27" s="541">
        <f t="shared" si="4"/>
        <v>0</v>
      </c>
      <c r="EG27" s="541">
        <f t="shared" si="4"/>
        <v>0</v>
      </c>
    </row>
    <row r="29" spans="5:137" ht="12.75">
      <c r="E29" s="535" t="str">
        <f>Reserves!E$43</f>
        <v>DSRA - draw for senior debt service shortfall</v>
      </c>
      <c r="G29" s="537" t="str">
        <f>Reserves!G$43</f>
        <v>EUR 000s</v>
      </c>
      <c r="H29" s="537">
        <f>Reserves!H$43</f>
        <v>-1.8189894035458565E-12</v>
      </c>
      <c r="J29" s="537">
        <f>Reserves!J$43</f>
        <v>0</v>
      </c>
      <c r="K29" s="537">
        <f>Reserves!K$43</f>
        <v>0</v>
      </c>
      <c r="L29" s="537">
        <f>Reserves!L$43</f>
        <v>0</v>
      </c>
      <c r="M29" s="537">
        <f>Reserves!M$43</f>
        <v>0</v>
      </c>
      <c r="N29" s="537">
        <f>Reserves!N$43</f>
        <v>0</v>
      </c>
      <c r="O29" s="537">
        <f>Reserves!O$43</f>
        <v>0</v>
      </c>
      <c r="P29" s="537">
        <f>Reserves!P$43</f>
        <v>-1.8189894035458565E-12</v>
      </c>
      <c r="Q29" s="537">
        <f>Reserves!Q$43</f>
        <v>0</v>
      </c>
      <c r="R29" s="537">
        <f>Reserves!R$43</f>
        <v>0</v>
      </c>
      <c r="S29" s="537">
        <f>Reserves!S$43</f>
        <v>0</v>
      </c>
      <c r="T29" s="537">
        <f>Reserves!T$43</f>
        <v>0</v>
      </c>
      <c r="U29" s="537">
        <f>Reserves!U$43</f>
        <v>0</v>
      </c>
      <c r="V29" s="537">
        <f>Reserves!V$43</f>
        <v>0</v>
      </c>
      <c r="W29" s="537">
        <f>Reserves!W$43</f>
        <v>0</v>
      </c>
      <c r="X29" s="537">
        <f>Reserves!X$43</f>
        <v>0</v>
      </c>
      <c r="Y29" s="537">
        <f>Reserves!Y$43</f>
        <v>0</v>
      </c>
      <c r="Z29" s="537">
        <f>Reserves!Z$43</f>
        <v>0</v>
      </c>
      <c r="AA29" s="537">
        <f>Reserves!AA$43</f>
        <v>0</v>
      </c>
      <c r="AB29" s="537">
        <f>Reserves!AB$43</f>
        <v>0</v>
      </c>
      <c r="AC29" s="537">
        <f>Reserves!AC$43</f>
        <v>0</v>
      </c>
      <c r="AD29" s="537">
        <f>Reserves!AD$43</f>
        <v>0</v>
      </c>
      <c r="AE29" s="537">
        <f>Reserves!AE$43</f>
        <v>0</v>
      </c>
      <c r="AF29" s="537">
        <f>Reserves!AF$43</f>
        <v>0</v>
      </c>
      <c r="AG29" s="537">
        <f>Reserves!AG$43</f>
        <v>0</v>
      </c>
      <c r="AH29" s="537">
        <f>Reserves!AH$43</f>
        <v>0</v>
      </c>
      <c r="AI29" s="537">
        <f>Reserves!AI$43</f>
        <v>0</v>
      </c>
      <c r="AJ29" s="537">
        <f>Reserves!AJ$43</f>
        <v>0</v>
      </c>
      <c r="AK29" s="537">
        <f>Reserves!AK$43</f>
        <v>0</v>
      </c>
      <c r="AL29" s="537">
        <f>Reserves!AL$43</f>
        <v>0</v>
      </c>
      <c r="AM29" s="537">
        <f>Reserves!AM$43</f>
        <v>0</v>
      </c>
      <c r="AN29" s="537">
        <f>Reserves!AN$43</f>
        <v>0</v>
      </c>
      <c r="AO29" s="537">
        <f>Reserves!AO$43</f>
        <v>0</v>
      </c>
      <c r="AP29" s="537">
        <f>Reserves!AP$43</f>
        <v>0</v>
      </c>
      <c r="AQ29" s="537">
        <f>Reserves!AQ$43</f>
        <v>0</v>
      </c>
      <c r="AR29" s="537">
        <f>Reserves!AR$43</f>
        <v>0</v>
      </c>
      <c r="AS29" s="537">
        <f>Reserves!AS$43</f>
        <v>0</v>
      </c>
      <c r="AT29" s="537">
        <f>Reserves!AT$43</f>
        <v>0</v>
      </c>
      <c r="AU29" s="537">
        <f>Reserves!AU$43</f>
        <v>0</v>
      </c>
      <c r="AV29" s="537">
        <f>Reserves!AV$43</f>
        <v>0</v>
      </c>
      <c r="AW29" s="537">
        <f>Reserves!AW$43</f>
        <v>0</v>
      </c>
      <c r="AX29" s="537">
        <f>Reserves!AX$43</f>
        <v>0</v>
      </c>
      <c r="AY29" s="537">
        <f>Reserves!AY$43</f>
        <v>0</v>
      </c>
      <c r="AZ29" s="537">
        <f>Reserves!AZ$43</f>
        <v>0</v>
      </c>
      <c r="BA29" s="537">
        <f>Reserves!BA$43</f>
        <v>0</v>
      </c>
      <c r="BB29" s="537">
        <f>Reserves!BB$43</f>
        <v>0</v>
      </c>
      <c r="BC29" s="537">
        <f>Reserves!BC$43</f>
        <v>0</v>
      </c>
      <c r="BD29" s="537">
        <f>Reserves!BD$43</f>
        <v>0</v>
      </c>
      <c r="BE29" s="537">
        <f>Reserves!BE$43</f>
        <v>0</v>
      </c>
      <c r="BF29" s="537">
        <f>Reserves!BF$43</f>
        <v>0</v>
      </c>
      <c r="BG29" s="537">
        <f>Reserves!BG$43</f>
        <v>0</v>
      </c>
      <c r="BH29" s="537">
        <f>Reserves!BH$43</f>
        <v>0</v>
      </c>
      <c r="BI29" s="537">
        <f>Reserves!BI$43</f>
        <v>0</v>
      </c>
      <c r="BJ29" s="537">
        <f>Reserves!BJ$43</f>
        <v>0</v>
      </c>
      <c r="BK29" s="537">
        <f>Reserves!BK$43</f>
        <v>0</v>
      </c>
      <c r="BL29" s="537">
        <f>Reserves!BL$43</f>
        <v>0</v>
      </c>
      <c r="BM29" s="537">
        <f>Reserves!BM$43</f>
        <v>0</v>
      </c>
      <c r="BN29" s="537">
        <f>Reserves!BN$43</f>
        <v>0</v>
      </c>
      <c r="BO29" s="537">
        <f>Reserves!BO$43</f>
        <v>0</v>
      </c>
      <c r="BP29" s="537">
        <f>Reserves!BP$43</f>
        <v>0</v>
      </c>
      <c r="BQ29" s="537">
        <f>Reserves!BQ$43</f>
        <v>0</v>
      </c>
      <c r="BR29" s="537">
        <f>Reserves!BR$43</f>
        <v>0</v>
      </c>
      <c r="BS29" s="537">
        <f>Reserves!BS$43</f>
        <v>0</v>
      </c>
      <c r="BT29" s="537">
        <f>Reserves!BT$43</f>
        <v>0</v>
      </c>
      <c r="BU29" s="537">
        <f>Reserves!BU$43</f>
        <v>0</v>
      </c>
      <c r="BV29" s="537">
        <f>Reserves!BV$43</f>
        <v>0</v>
      </c>
      <c r="BW29" s="537">
        <f>Reserves!BW$43</f>
        <v>0</v>
      </c>
      <c r="BX29" s="537">
        <f>Reserves!BX$43</f>
        <v>0</v>
      </c>
      <c r="BY29" s="537">
        <f>Reserves!BY$43</f>
        <v>0</v>
      </c>
      <c r="BZ29" s="537">
        <f>Reserves!BZ$43</f>
        <v>0</v>
      </c>
      <c r="CA29" s="537">
        <f>Reserves!CA$43</f>
        <v>0</v>
      </c>
      <c r="CB29" s="537">
        <f>Reserves!CB$43</f>
        <v>0</v>
      </c>
      <c r="CC29" s="537">
        <f>Reserves!CC$43</f>
        <v>0</v>
      </c>
      <c r="CD29" s="537">
        <f>Reserves!CD$43</f>
        <v>0</v>
      </c>
      <c r="CE29" s="537">
        <f>Reserves!CE$43</f>
        <v>0</v>
      </c>
      <c r="CF29" s="537">
        <f>Reserves!CF$43</f>
        <v>0</v>
      </c>
      <c r="CG29" s="537">
        <f>Reserves!CG$43</f>
        <v>0</v>
      </c>
      <c r="CH29" s="537">
        <f>Reserves!CH$43</f>
        <v>0</v>
      </c>
      <c r="CI29" s="537">
        <f>Reserves!CI$43</f>
        <v>0</v>
      </c>
      <c r="CJ29" s="537">
        <f>Reserves!CJ$43</f>
        <v>0</v>
      </c>
      <c r="CK29" s="537">
        <f>Reserves!CK$43</f>
        <v>0</v>
      </c>
      <c r="CL29" s="537">
        <f>Reserves!CL$43</f>
        <v>0</v>
      </c>
      <c r="CM29" s="537">
        <f>Reserves!CM$43</f>
        <v>0</v>
      </c>
      <c r="CN29" s="537">
        <f>Reserves!CN$43</f>
        <v>0</v>
      </c>
      <c r="CO29" s="537">
        <f>Reserves!CO$43</f>
        <v>0</v>
      </c>
      <c r="CP29" s="537">
        <f>Reserves!CP$43</f>
        <v>0</v>
      </c>
      <c r="CQ29" s="537">
        <f>Reserves!CQ$43</f>
        <v>0</v>
      </c>
      <c r="CR29" s="537">
        <f>Reserves!CR$43</f>
        <v>0</v>
      </c>
      <c r="CS29" s="537">
        <f>Reserves!CS$43</f>
        <v>0</v>
      </c>
      <c r="CT29" s="537">
        <f>Reserves!CT$43</f>
        <v>0</v>
      </c>
      <c r="CU29" s="537">
        <f>Reserves!CU$43</f>
        <v>0</v>
      </c>
      <c r="CV29" s="537">
        <f>Reserves!CV$43</f>
        <v>0</v>
      </c>
      <c r="CW29" s="537">
        <f>Reserves!CW$43</f>
        <v>0</v>
      </c>
      <c r="CX29" s="537">
        <f>Reserves!CX$43</f>
        <v>0</v>
      </c>
      <c r="CY29" s="537">
        <f>Reserves!CY$43</f>
        <v>0</v>
      </c>
      <c r="CZ29" s="537">
        <f>Reserves!CZ$43</f>
        <v>0</v>
      </c>
      <c r="DA29" s="537">
        <f>Reserves!DA$43</f>
        <v>0</v>
      </c>
      <c r="DB29" s="537">
        <f>Reserves!DB$43</f>
        <v>0</v>
      </c>
      <c r="DC29" s="537">
        <f>Reserves!DC$43</f>
        <v>0</v>
      </c>
      <c r="DD29" s="537">
        <f>Reserves!DD$43</f>
        <v>0</v>
      </c>
      <c r="DE29" s="537">
        <f>Reserves!DE$43</f>
        <v>0</v>
      </c>
      <c r="DF29" s="537">
        <f>Reserves!DF$43</f>
        <v>0</v>
      </c>
      <c r="DG29" s="537">
        <f>Reserves!DG$43</f>
        <v>0</v>
      </c>
      <c r="DH29" s="537">
        <f>Reserves!DH$43</f>
        <v>0</v>
      </c>
      <c r="DI29" s="537">
        <f>Reserves!DI$43</f>
        <v>0</v>
      </c>
      <c r="DJ29" s="537">
        <f>Reserves!DJ$43</f>
        <v>0</v>
      </c>
      <c r="DK29" s="537">
        <f>Reserves!DK$43</f>
        <v>0</v>
      </c>
      <c r="DL29" s="537">
        <f>Reserves!DL$43</f>
        <v>0</v>
      </c>
      <c r="DM29" s="537">
        <f>Reserves!DM$43</f>
        <v>0</v>
      </c>
      <c r="DN29" s="537">
        <f>Reserves!DN$43</f>
        <v>0</v>
      </c>
      <c r="DO29" s="537">
        <f>Reserves!DO$43</f>
        <v>0</v>
      </c>
      <c r="DP29" s="537">
        <f>Reserves!DP$43</f>
        <v>0</v>
      </c>
      <c r="DQ29" s="537">
        <f>Reserves!DQ$43</f>
        <v>0</v>
      </c>
      <c r="DR29" s="537">
        <f>Reserves!DR$43</f>
        <v>0</v>
      </c>
      <c r="DS29" s="537">
        <f>Reserves!DS$43</f>
        <v>0</v>
      </c>
      <c r="DT29" s="537">
        <f>Reserves!DT$43</f>
        <v>0</v>
      </c>
      <c r="DU29" s="537">
        <f>Reserves!DU$43</f>
        <v>0</v>
      </c>
      <c r="DV29" s="537">
        <f>Reserves!DV$43</f>
        <v>0</v>
      </c>
      <c r="DW29" s="537">
        <f>Reserves!DW$43</f>
        <v>0</v>
      </c>
      <c r="DX29" s="537">
        <f>Reserves!DX$43</f>
        <v>0</v>
      </c>
      <c r="DY29" s="537">
        <f>Reserves!DY$43</f>
        <v>0</v>
      </c>
      <c r="DZ29" s="537">
        <f>Reserves!DZ$43</f>
        <v>0</v>
      </c>
      <c r="EA29" s="537">
        <f>Reserves!EA$43</f>
        <v>0</v>
      </c>
      <c r="EB29" s="537">
        <f>Reserves!EB$43</f>
        <v>0</v>
      </c>
      <c r="EC29" s="537">
        <f>Reserves!EC$43</f>
        <v>0</v>
      </c>
      <c r="ED29" s="537">
        <f>Reserves!ED$43</f>
        <v>0</v>
      </c>
      <c r="EE29" s="537">
        <f>Reserves!EE$43</f>
        <v>0</v>
      </c>
      <c r="EF29" s="537">
        <f>Reserves!EF$43</f>
        <v>0</v>
      </c>
      <c r="EG29" s="537">
        <f>Reserves!EG$43</f>
        <v>0</v>
      </c>
    </row>
    <row r="30" spans="5:137" ht="12.75">
      <c r="E30" s="535" t="str">
        <f>Reserves!E$53</f>
        <v>DSRA - release of balance above target</v>
      </c>
      <c r="G30" s="537" t="str">
        <f>Reserves!G$53</f>
        <v>EUR 000s</v>
      </c>
      <c r="H30" s="537">
        <f>Reserves!H$53</f>
        <v>11860.181427975176</v>
      </c>
      <c r="J30" s="537">
        <f>Reserves!J$53</f>
        <v>0</v>
      </c>
      <c r="K30" s="537">
        <f>Reserves!K$53</f>
        <v>0</v>
      </c>
      <c r="L30" s="537">
        <f>Reserves!L$53</f>
        <v>0</v>
      </c>
      <c r="M30" s="537">
        <f>Reserves!M$53</f>
        <v>0</v>
      </c>
      <c r="N30" s="537">
        <f>Reserves!N$53</f>
        <v>0</v>
      </c>
      <c r="O30" s="537">
        <f>Reserves!O$53</f>
        <v>0</v>
      </c>
      <c r="P30" s="537">
        <f>Reserves!P$53</f>
        <v>1.8189894035458565E-12</v>
      </c>
      <c r="Q30" s="537">
        <f>Reserves!Q$53</f>
        <v>0</v>
      </c>
      <c r="R30" s="537">
        <f>Reserves!R$53</f>
        <v>0</v>
      </c>
      <c r="S30" s="537">
        <f>Reserves!S$53</f>
        <v>0</v>
      </c>
      <c r="T30" s="537">
        <f>Reserves!T$53</f>
        <v>0</v>
      </c>
      <c r="U30" s="537">
        <f>Reserves!U$53</f>
        <v>0</v>
      </c>
      <c r="V30" s="537">
        <f>Reserves!V$53</f>
        <v>0</v>
      </c>
      <c r="W30" s="537">
        <f>Reserves!W$53</f>
        <v>0</v>
      </c>
      <c r="X30" s="537">
        <f>Reserves!X$53</f>
        <v>0</v>
      </c>
      <c r="Y30" s="537">
        <f>Reserves!Y$53</f>
        <v>0</v>
      </c>
      <c r="Z30" s="537">
        <f>Reserves!Z$53</f>
        <v>0</v>
      </c>
      <c r="AA30" s="537">
        <f>Reserves!AA$53</f>
        <v>0</v>
      </c>
      <c r="AB30" s="537">
        <f>Reserves!AB$53</f>
        <v>0</v>
      </c>
      <c r="AC30" s="537">
        <f>Reserves!AC$53</f>
        <v>0</v>
      </c>
      <c r="AD30" s="537">
        <f>Reserves!AD$53</f>
        <v>0</v>
      </c>
      <c r="AE30" s="537">
        <f>Reserves!AE$53</f>
        <v>0</v>
      </c>
      <c r="AF30" s="537">
        <f>Reserves!AF$53</f>
        <v>0</v>
      </c>
      <c r="AG30" s="537">
        <f>Reserves!AG$53</f>
        <v>0</v>
      </c>
      <c r="AH30" s="537">
        <f>Reserves!AH$53</f>
        <v>0</v>
      </c>
      <c r="AI30" s="537">
        <f>Reserves!AI$53</f>
        <v>10.413640157919872</v>
      </c>
      <c r="AJ30" s="537">
        <f>Reserves!AJ$53</f>
        <v>0</v>
      </c>
      <c r="AK30" s="537">
        <f>Reserves!AK$53</f>
        <v>0</v>
      </c>
      <c r="AL30" s="537">
        <f>Reserves!AL$53</f>
        <v>0</v>
      </c>
      <c r="AM30" s="537">
        <f>Reserves!AM$53</f>
        <v>10.539113221848311</v>
      </c>
      <c r="AN30" s="537">
        <f>Reserves!AN$53</f>
        <v>0</v>
      </c>
      <c r="AO30" s="537">
        <f>Reserves!AO$53</f>
        <v>0</v>
      </c>
      <c r="AP30" s="537">
        <f>Reserves!AP$53</f>
        <v>0</v>
      </c>
      <c r="AQ30" s="537">
        <f>Reserves!AQ$53</f>
        <v>10.66496408392959</v>
      </c>
      <c r="AR30" s="537">
        <f>Reserves!AR$53</f>
        <v>0</v>
      </c>
      <c r="AS30" s="537">
        <f>Reserves!AS$53</f>
        <v>0</v>
      </c>
      <c r="AT30" s="537">
        <f>Reserves!AT$53</f>
        <v>0</v>
      </c>
      <c r="AU30" s="537">
        <f>Reserves!AU$53</f>
        <v>2.2529012265949859</v>
      </c>
      <c r="AV30" s="537">
        <f>Reserves!AV$53</f>
        <v>0</v>
      </c>
      <c r="AW30" s="537">
        <f>Reserves!AW$53</f>
        <v>0</v>
      </c>
      <c r="AX30" s="537">
        <f>Reserves!AX$53</f>
        <v>0</v>
      </c>
      <c r="AY30" s="537">
        <f>Reserves!AY$53</f>
        <v>13.351128172105746</v>
      </c>
      <c r="AZ30" s="537">
        <f>Reserves!AZ$53</f>
        <v>20.431404535316688</v>
      </c>
      <c r="BA30" s="537">
        <f>Reserves!BA$53</f>
        <v>0</v>
      </c>
      <c r="BB30" s="537">
        <f>Reserves!BB$53</f>
        <v>0</v>
      </c>
      <c r="BC30" s="537">
        <f>Reserves!BC$53</f>
        <v>28.037258526521327</v>
      </c>
      <c r="BD30" s="537">
        <f>Reserves!BD$53</f>
        <v>0</v>
      </c>
      <c r="BE30" s="537">
        <f>Reserves!BE$53</f>
        <v>0</v>
      </c>
      <c r="BF30" s="537">
        <f>Reserves!BF$53</f>
        <v>0</v>
      </c>
      <c r="BG30" s="537">
        <f>Reserves!BG$53</f>
        <v>25.305656359227214</v>
      </c>
      <c r="BH30" s="537">
        <f>Reserves!BH$53</f>
        <v>0</v>
      </c>
      <c r="BI30" s="537">
        <f>Reserves!BI$53</f>
        <v>0</v>
      </c>
      <c r="BJ30" s="537">
        <f>Reserves!BJ$53</f>
        <v>0</v>
      </c>
      <c r="BK30" s="537">
        <f>Reserves!BK$53</f>
        <v>11.757028951866232</v>
      </c>
      <c r="BL30" s="537">
        <f>Reserves!BL$53</f>
        <v>0</v>
      </c>
      <c r="BM30" s="537">
        <f>Reserves!BM$53</f>
        <v>0</v>
      </c>
      <c r="BN30" s="537">
        <f>Reserves!BN$53</f>
        <v>0</v>
      </c>
      <c r="BO30" s="537">
        <f>Reserves!BO$53</f>
        <v>21.204192089811841</v>
      </c>
      <c r="BP30" s="537">
        <f>Reserves!BP$53</f>
        <v>0</v>
      </c>
      <c r="BQ30" s="537">
        <f>Reserves!BQ$53</f>
        <v>0</v>
      </c>
      <c r="BR30" s="537">
        <f>Reserves!BR$53</f>
        <v>0</v>
      </c>
      <c r="BS30" s="537">
        <f>Reserves!BS$53</f>
        <v>19.686038721805744</v>
      </c>
      <c r="BT30" s="537">
        <f>Reserves!BT$53</f>
        <v>103.3340233147992</v>
      </c>
      <c r="BU30" s="537">
        <f>Reserves!BU$53</f>
        <v>456.74994168692501</v>
      </c>
      <c r="BV30" s="537">
        <f>Reserves!BV$53</f>
        <v>380.48029507079627</v>
      </c>
      <c r="BW30" s="537">
        <f>Reserves!BW$53</f>
        <v>34.232010358404295</v>
      </c>
      <c r="BX30" s="537">
        <f>Reserves!BX$53</f>
        <v>0</v>
      </c>
      <c r="BY30" s="537">
        <f>Reserves!BY$53</f>
        <v>0</v>
      </c>
      <c r="BZ30" s="537">
        <f>Reserves!BZ$53</f>
        <v>21.249209966641502</v>
      </c>
      <c r="CA30" s="537">
        <f>Reserves!CA$53</f>
        <v>230.49793800789303</v>
      </c>
      <c r="CB30" s="537">
        <f>Reserves!CB$53</f>
        <v>178.77842338369919</v>
      </c>
      <c r="CC30" s="537">
        <f>Reserves!CC$53</f>
        <v>0</v>
      </c>
      <c r="CD30" s="537">
        <f>Reserves!CD$53</f>
        <v>0</v>
      </c>
      <c r="CE30" s="537">
        <f>Reserves!CE$53</f>
        <v>37.56899230853378</v>
      </c>
      <c r="CF30" s="537">
        <f>Reserves!CF$53</f>
        <v>3.5552511889291054</v>
      </c>
      <c r="CG30" s="537">
        <f>Reserves!CG$53</f>
        <v>0</v>
      </c>
      <c r="CH30" s="537">
        <f>Reserves!CH$53</f>
        <v>0</v>
      </c>
      <c r="CI30" s="537">
        <f>Reserves!CI$53</f>
        <v>36.094969946982019</v>
      </c>
      <c r="CJ30" s="537">
        <f>Reserves!CJ$53</f>
        <v>0</v>
      </c>
      <c r="CK30" s="537">
        <f>Reserves!CK$53</f>
        <v>0</v>
      </c>
      <c r="CL30" s="537">
        <f>Reserves!CL$53</f>
        <v>0</v>
      </c>
      <c r="CM30" s="537">
        <f>Reserves!CM$53</f>
        <v>36.190415852232036</v>
      </c>
      <c r="CN30" s="537">
        <f>Reserves!CN$53</f>
        <v>272.4499570395692</v>
      </c>
      <c r="CO30" s="537">
        <f>Reserves!CO$53</f>
        <v>236.57671169223431</v>
      </c>
      <c r="CP30" s="537">
        <f>Reserves!CP$53</f>
        <v>0</v>
      </c>
      <c r="CQ30" s="537">
        <f>Reserves!CQ$53</f>
        <v>22.369779103046312</v>
      </c>
      <c r="CR30" s="537">
        <f>Reserves!CR$53</f>
        <v>0</v>
      </c>
      <c r="CS30" s="537">
        <f>Reserves!CS$53</f>
        <v>0</v>
      </c>
      <c r="CT30" s="537">
        <f>Reserves!CT$53</f>
        <v>0</v>
      </c>
      <c r="CU30" s="537">
        <f>Reserves!CU$53</f>
        <v>34.572114682719985</v>
      </c>
      <c r="CV30" s="537">
        <f>Reserves!CV$53</f>
        <v>0</v>
      </c>
      <c r="CW30" s="537">
        <f>Reserves!CW$53</f>
        <v>0</v>
      </c>
      <c r="CX30" s="537">
        <f>Reserves!CX$53</f>
        <v>0</v>
      </c>
      <c r="CY30" s="537">
        <f>Reserves!CY$53</f>
        <v>34.780380596695977</v>
      </c>
      <c r="CZ30" s="537">
        <f>Reserves!CZ$53</f>
        <v>4795.3607319199918</v>
      </c>
      <c r="DA30" s="537">
        <f>Reserves!DA$53</f>
        <v>4771.6969558081337</v>
      </c>
      <c r="DB30" s="537">
        <f>Reserves!DB$53</f>
        <v>0</v>
      </c>
      <c r="DC30" s="537">
        <f>Reserves!DC$53</f>
        <v>0</v>
      </c>
      <c r="DD30" s="537">
        <f>Reserves!DD$53</f>
        <v>0</v>
      </c>
      <c r="DE30" s="537">
        <f>Reserves!DE$53</f>
        <v>0</v>
      </c>
      <c r="DF30" s="537">
        <f>Reserves!DF$53</f>
        <v>0</v>
      </c>
      <c r="DG30" s="537">
        <f>Reserves!DG$53</f>
        <v>0</v>
      </c>
      <c r="DH30" s="537">
        <f>Reserves!DH$53</f>
        <v>0</v>
      </c>
      <c r="DI30" s="537">
        <f>Reserves!DI$53</f>
        <v>0</v>
      </c>
      <c r="DJ30" s="537">
        <f>Reserves!DJ$53</f>
        <v>0</v>
      </c>
      <c r="DK30" s="537">
        <f>Reserves!DK$53</f>
        <v>0</v>
      </c>
      <c r="DL30" s="537">
        <f>Reserves!DL$53</f>
        <v>0</v>
      </c>
      <c r="DM30" s="537">
        <f>Reserves!DM$53</f>
        <v>0</v>
      </c>
      <c r="DN30" s="537">
        <f>Reserves!DN$53</f>
        <v>0</v>
      </c>
      <c r="DO30" s="537">
        <f>Reserves!DO$53</f>
        <v>0</v>
      </c>
      <c r="DP30" s="537">
        <f>Reserves!DP$53</f>
        <v>0</v>
      </c>
      <c r="DQ30" s="537">
        <f>Reserves!DQ$53</f>
        <v>0</v>
      </c>
      <c r="DR30" s="537">
        <f>Reserves!DR$53</f>
        <v>0</v>
      </c>
      <c r="DS30" s="537">
        <f>Reserves!DS$53</f>
        <v>0</v>
      </c>
      <c r="DT30" s="537">
        <f>Reserves!DT$53</f>
        <v>0</v>
      </c>
      <c r="DU30" s="537">
        <f>Reserves!DU$53</f>
        <v>0</v>
      </c>
      <c r="DV30" s="537">
        <f>Reserves!DV$53</f>
        <v>0</v>
      </c>
      <c r="DW30" s="537">
        <f>Reserves!DW$53</f>
        <v>0</v>
      </c>
      <c r="DX30" s="537">
        <f>Reserves!DX$53</f>
        <v>0</v>
      </c>
      <c r="DY30" s="537">
        <f>Reserves!DY$53</f>
        <v>0</v>
      </c>
      <c r="DZ30" s="537">
        <f>Reserves!DZ$53</f>
        <v>0</v>
      </c>
      <c r="EA30" s="537">
        <f>Reserves!EA$53</f>
        <v>0</v>
      </c>
      <c r="EB30" s="537">
        <f>Reserves!EB$53</f>
        <v>0</v>
      </c>
      <c r="EC30" s="537">
        <f>Reserves!EC$53</f>
        <v>0</v>
      </c>
      <c r="ED30" s="537">
        <f>Reserves!ED$53</f>
        <v>0</v>
      </c>
      <c r="EE30" s="537">
        <f>Reserves!EE$53</f>
        <v>0</v>
      </c>
      <c r="EF30" s="537">
        <f>Reserves!EF$53</f>
        <v>0</v>
      </c>
      <c r="EG30" s="537">
        <f>Reserves!EG$53</f>
        <v>0</v>
      </c>
    </row>
    <row r="31" spans="5:137" ht="12.75">
      <c r="E31" s="535" t="str">
        <f>Reserves!E$58</f>
        <v>DSRA - deposit towards target</v>
      </c>
      <c r="G31" s="537" t="str">
        <f>Reserves!G$58</f>
        <v>EUR 000s</v>
      </c>
      <c r="H31" s="537">
        <f>Reserves!H$58</f>
        <v>3526.9068104766411</v>
      </c>
      <c r="J31" s="537">
        <f>Reserves!J$58</f>
        <v>0</v>
      </c>
      <c r="K31" s="537">
        <f>Reserves!K$58</f>
        <v>0</v>
      </c>
      <c r="L31" s="537">
        <f>Reserves!L$58</f>
        <v>0</v>
      </c>
      <c r="M31" s="537">
        <f>Reserves!M$58</f>
        <v>0</v>
      </c>
      <c r="N31" s="537">
        <f>Reserves!N$58</f>
        <v>0</v>
      </c>
      <c r="O31" s="537">
        <f>Reserves!O$58</f>
        <v>0</v>
      </c>
      <c r="P31" s="537">
        <f>Reserves!P$58</f>
        <v>0</v>
      </c>
      <c r="Q31" s="537">
        <f>Reserves!Q$58</f>
        <v>0</v>
      </c>
      <c r="R31" s="537">
        <f>Reserves!R$58</f>
        <v>0</v>
      </c>
      <c r="S31" s="537">
        <f>Reserves!S$58</f>
        <v>0</v>
      </c>
      <c r="T31" s="537">
        <f>Reserves!T$58</f>
        <v>0</v>
      </c>
      <c r="U31" s="537">
        <f>Reserves!U$58</f>
        <v>0</v>
      </c>
      <c r="V31" s="537">
        <f>Reserves!V$58</f>
        <v>0</v>
      </c>
      <c r="W31" s="537">
        <f>Reserves!W$58</f>
        <v>0</v>
      </c>
      <c r="X31" s="537">
        <f>Reserves!X$58</f>
        <v>0</v>
      </c>
      <c r="Y31" s="537">
        <f>Reserves!Y$58</f>
        <v>0</v>
      </c>
      <c r="Z31" s="537">
        <f>Reserves!Z$58</f>
        <v>0</v>
      </c>
      <c r="AA31" s="537">
        <f>Reserves!AA$58</f>
        <v>0</v>
      </c>
      <c r="AB31" s="537">
        <f>Reserves!AB$58</f>
        <v>0</v>
      </c>
      <c r="AC31" s="537">
        <f>Reserves!AC$58</f>
        <v>0</v>
      </c>
      <c r="AD31" s="537">
        <f>Reserves!AD$58</f>
        <v>0</v>
      </c>
      <c r="AE31" s="537">
        <f>Reserves!AE$58</f>
        <v>0</v>
      </c>
      <c r="AF31" s="537">
        <f>Reserves!AF$58</f>
        <v>0</v>
      </c>
      <c r="AG31" s="537">
        <f>Reserves!AG$58</f>
        <v>0</v>
      </c>
      <c r="AH31" s="537">
        <f>Reserves!AH$58</f>
        <v>975.37851767707252</v>
      </c>
      <c r="AI31" s="537">
        <f>Reserves!AI$58</f>
        <v>0</v>
      </c>
      <c r="AJ31" s="537">
        <f>Reserves!AJ$58</f>
        <v>39.372155650631612</v>
      </c>
      <c r="AK31" s="537">
        <f>Reserves!AK$58</f>
        <v>92.11747120027394</v>
      </c>
      <c r="AL31" s="537">
        <f>Reserves!AL$58</f>
        <v>42.328947716419862</v>
      </c>
      <c r="AM31" s="537">
        <f>Reserves!AM$58</f>
        <v>0</v>
      </c>
      <c r="AN31" s="537">
        <f>Reserves!AN$58</f>
        <v>40.307407320542552</v>
      </c>
      <c r="AO31" s="537">
        <f>Reserves!AO$58</f>
        <v>93.58391720552936</v>
      </c>
      <c r="AP31" s="537">
        <f>Reserves!AP$58</f>
        <v>42.734660774834992</v>
      </c>
      <c r="AQ31" s="537">
        <f>Reserves!AQ$58</f>
        <v>0</v>
      </c>
      <c r="AR31" s="537">
        <f>Reserves!AR$58</f>
        <v>52.056038752856693</v>
      </c>
      <c r="AS31" s="537">
        <f>Reserves!AS$58</f>
        <v>84.278058973002771</v>
      </c>
      <c r="AT31" s="537">
        <f>Reserves!AT$58</f>
        <v>32.3454526782225</v>
      </c>
      <c r="AU31" s="537">
        <f>Reserves!AU$58</f>
        <v>0</v>
      </c>
      <c r="AV31" s="537">
        <f>Reserves!AV$58</f>
        <v>42.245176650721987</v>
      </c>
      <c r="AW31" s="537">
        <f>Reserves!AW$58</f>
        <v>98.826291993435007</v>
      </c>
      <c r="AX31" s="537">
        <f>Reserves!AX$58</f>
        <v>43.53432585079463</v>
      </c>
      <c r="AY31" s="537">
        <f>Reserves!AY$58</f>
        <v>0</v>
      </c>
      <c r="AZ31" s="537">
        <f>Reserves!AZ$58</f>
        <v>0</v>
      </c>
      <c r="BA31" s="537">
        <f>Reserves!BA$58</f>
        <v>27.748247302060918</v>
      </c>
      <c r="BB31" s="537">
        <f>Reserves!BB$58</f>
        <v>26.133687560810358</v>
      </c>
      <c r="BC31" s="537">
        <f>Reserves!BC$58</f>
        <v>0</v>
      </c>
      <c r="BD31" s="537">
        <f>Reserves!BD$58</f>
        <v>23.403445498011934</v>
      </c>
      <c r="BE31" s="537">
        <f>Reserves!BE$58</f>
        <v>79.496158600612034</v>
      </c>
      <c r="BF31" s="537">
        <f>Reserves!BF$58</f>
        <v>29.514796750790993</v>
      </c>
      <c r="BG31" s="537">
        <f>Reserves!BG$58</f>
        <v>0</v>
      </c>
      <c r="BH31" s="537">
        <f>Reserves!BH$58</f>
        <v>38.407877931207622</v>
      </c>
      <c r="BI31" s="537">
        <f>Reserves!BI$58</f>
        <v>72.291172391096552</v>
      </c>
      <c r="BJ31" s="537">
        <f>Reserves!BJ$58</f>
        <v>21.088958933447429</v>
      </c>
      <c r="BK31" s="537">
        <f>Reserves!BK$58</f>
        <v>0</v>
      </c>
      <c r="BL31" s="537">
        <f>Reserves!BL$58</f>
        <v>30.381395900210919</v>
      </c>
      <c r="BM31" s="537">
        <f>Reserves!BM$58</f>
        <v>87.261648500221781</v>
      </c>
      <c r="BN31" s="537">
        <f>Reserves!BN$58</f>
        <v>34.834132358975694</v>
      </c>
      <c r="BO31" s="537">
        <f>Reserves!BO$58</f>
        <v>0</v>
      </c>
      <c r="BP31" s="537">
        <f>Reserves!BP$58</f>
        <v>86.636847224099256</v>
      </c>
      <c r="BQ31" s="537">
        <f>Reserves!BQ$58</f>
        <v>143.92885328582634</v>
      </c>
      <c r="BR31" s="537">
        <f>Reserves!BR$58</f>
        <v>36.926484976585925</v>
      </c>
      <c r="BS31" s="537">
        <f>Reserves!BS$58</f>
        <v>0</v>
      </c>
      <c r="BT31" s="537">
        <f>Reserves!BT$58</f>
        <v>0</v>
      </c>
      <c r="BU31" s="537">
        <f>Reserves!BU$58</f>
        <v>0</v>
      </c>
      <c r="BV31" s="537">
        <f>Reserves!BV$58</f>
        <v>0</v>
      </c>
      <c r="BW31" s="537">
        <f>Reserves!BW$58</f>
        <v>0</v>
      </c>
      <c r="BX31" s="537">
        <f>Reserves!BX$58</f>
        <v>23.28938462017868</v>
      </c>
      <c r="BY31" s="537">
        <f>Reserves!BY$58</f>
        <v>58.49203396403027</v>
      </c>
      <c r="BZ31" s="537">
        <f>Reserves!BZ$58</f>
        <v>0</v>
      </c>
      <c r="CA31" s="537">
        <f>Reserves!CA$58</f>
        <v>0</v>
      </c>
      <c r="CB31" s="537">
        <f>Reserves!CB$58</f>
        <v>0</v>
      </c>
      <c r="CC31" s="537">
        <f>Reserves!CC$58</f>
        <v>52.435606701857978</v>
      </c>
      <c r="CD31" s="537">
        <f>Reserves!CD$58</f>
        <v>22.553994014933778</v>
      </c>
      <c r="CE31" s="537">
        <f>Reserves!CE$58</f>
        <v>0</v>
      </c>
      <c r="CF31" s="537">
        <f>Reserves!CF$58</f>
        <v>0</v>
      </c>
      <c r="CG31" s="537">
        <f>Reserves!CG$58</f>
        <v>57.691679788433248</v>
      </c>
      <c r="CH31" s="537">
        <f>Reserves!CH$58</f>
        <v>24.376595294175786</v>
      </c>
      <c r="CI31" s="537">
        <f>Reserves!CI$58</f>
        <v>0</v>
      </c>
      <c r="CJ31" s="537">
        <f>Reserves!CJ$58</f>
        <v>286.97050387957279</v>
      </c>
      <c r="CK31" s="537">
        <f>Reserves!CK$58</f>
        <v>347.76599443843588</v>
      </c>
      <c r="CL31" s="537">
        <f>Reserves!CL$58</f>
        <v>24.601222984467313</v>
      </c>
      <c r="CM31" s="537">
        <f>Reserves!CM$58</f>
        <v>0</v>
      </c>
      <c r="CN31" s="537">
        <f>Reserves!CN$58</f>
        <v>0</v>
      </c>
      <c r="CO31" s="537">
        <f>Reserves!CO$58</f>
        <v>0</v>
      </c>
      <c r="CP31" s="537">
        <f>Reserves!CP$58</f>
        <v>12.680517394070193</v>
      </c>
      <c r="CQ31" s="537">
        <f>Reserves!CQ$58</f>
        <v>0</v>
      </c>
      <c r="CR31" s="537">
        <f>Reserves!CR$58</f>
        <v>4.6768751928120764</v>
      </c>
      <c r="CS31" s="537">
        <f>Reserves!CS$58</f>
        <v>66.040615242367494</v>
      </c>
      <c r="CT31" s="537">
        <f>Reserves!CT$58</f>
        <v>26.64931180619169</v>
      </c>
      <c r="CU31" s="537">
        <f>Reserves!CU$58</f>
        <v>0</v>
      </c>
      <c r="CV31" s="537">
        <f>Reserves!CV$58</f>
        <v>6.7661748339523911</v>
      </c>
      <c r="CW31" s="537">
        <f>Reserves!CW$58</f>
        <v>68.144622639592853</v>
      </c>
      <c r="CX31" s="537">
        <f>Reserves!CX$58</f>
        <v>26.609548023272509</v>
      </c>
      <c r="CY31" s="537">
        <f>Reserves!CY$58</f>
        <v>0</v>
      </c>
      <c r="CZ31" s="537">
        <f>Reserves!CZ$58</f>
        <v>0</v>
      </c>
      <c r="DA31" s="537">
        <f>Reserves!DA$58</f>
        <v>0</v>
      </c>
      <c r="DB31" s="537">
        <f>Reserves!DB$58</f>
        <v>0</v>
      </c>
      <c r="DC31" s="537">
        <f>Reserves!DC$58</f>
        <v>0</v>
      </c>
      <c r="DD31" s="537">
        <f>Reserves!DD$58</f>
        <v>0</v>
      </c>
      <c r="DE31" s="537">
        <f>Reserves!DE$58</f>
        <v>0</v>
      </c>
      <c r="DF31" s="537">
        <f>Reserves!DF$58</f>
        <v>0</v>
      </c>
      <c r="DG31" s="537">
        <f>Reserves!DG$58</f>
        <v>0</v>
      </c>
      <c r="DH31" s="537">
        <f>Reserves!DH$58</f>
        <v>0</v>
      </c>
      <c r="DI31" s="537">
        <f>Reserves!DI$58</f>
        <v>0</v>
      </c>
      <c r="DJ31" s="537">
        <f>Reserves!DJ$58</f>
        <v>0</v>
      </c>
      <c r="DK31" s="537">
        <f>Reserves!DK$58</f>
        <v>0</v>
      </c>
      <c r="DL31" s="537">
        <f>Reserves!DL$58</f>
        <v>0</v>
      </c>
      <c r="DM31" s="537">
        <f>Reserves!DM$58</f>
        <v>0</v>
      </c>
      <c r="DN31" s="537">
        <f>Reserves!DN$58</f>
        <v>0</v>
      </c>
      <c r="DO31" s="537">
        <f>Reserves!DO$58</f>
        <v>0</v>
      </c>
      <c r="DP31" s="537">
        <f>Reserves!DP$58</f>
        <v>0</v>
      </c>
      <c r="DQ31" s="537">
        <f>Reserves!DQ$58</f>
        <v>0</v>
      </c>
      <c r="DR31" s="537">
        <f>Reserves!DR$58</f>
        <v>0</v>
      </c>
      <c r="DS31" s="537">
        <f>Reserves!DS$58</f>
        <v>0</v>
      </c>
      <c r="DT31" s="537">
        <f>Reserves!DT$58</f>
        <v>0</v>
      </c>
      <c r="DU31" s="537">
        <f>Reserves!DU$58</f>
        <v>0</v>
      </c>
      <c r="DV31" s="537">
        <f>Reserves!DV$58</f>
        <v>0</v>
      </c>
      <c r="DW31" s="537">
        <f>Reserves!DW$58</f>
        <v>0</v>
      </c>
      <c r="DX31" s="537">
        <f>Reserves!DX$58</f>
        <v>0</v>
      </c>
      <c r="DY31" s="537">
        <f>Reserves!DY$58</f>
        <v>0</v>
      </c>
      <c r="DZ31" s="537">
        <f>Reserves!DZ$58</f>
        <v>0</v>
      </c>
      <c r="EA31" s="537">
        <f>Reserves!EA$58</f>
        <v>0</v>
      </c>
      <c r="EB31" s="537">
        <f>Reserves!EB$58</f>
        <v>0</v>
      </c>
      <c r="EC31" s="537">
        <f>Reserves!EC$58</f>
        <v>0</v>
      </c>
      <c r="ED31" s="537">
        <f>Reserves!ED$58</f>
        <v>0</v>
      </c>
      <c r="EE31" s="537">
        <f>Reserves!EE$58</f>
        <v>0</v>
      </c>
      <c r="EF31" s="537">
        <f>Reserves!EF$58</f>
        <v>0</v>
      </c>
      <c r="EG31" s="537">
        <f>Reserves!EG$58</f>
        <v>0</v>
      </c>
    </row>
    <row r="32" spans="5:137" ht="12.75">
      <c r="E32" s="538" t="str">
        <f>E$19</f>
        <v>Cash flow - after senior debt service and DSRF fee</v>
      </c>
      <c r="G32" s="539" t="str">
        <f>G$19</f>
        <v>EUR 000s</v>
      </c>
      <c r="H32" s="539">
        <f>H$19</f>
        <v>606944.75801715453</v>
      </c>
      <c r="J32" s="539">
        <f t="shared" si="5" ref="J32:EG32">J$19</f>
        <v>0</v>
      </c>
      <c r="K32" s="539">
        <f t="shared" si="5"/>
        <v>0</v>
      </c>
      <c r="L32" s="539">
        <f t="shared" si="5"/>
        <v>0</v>
      </c>
      <c r="M32" s="539">
        <f t="shared" si="5"/>
        <v>0</v>
      </c>
      <c r="N32" s="539">
        <f t="shared" si="5"/>
        <v>0</v>
      </c>
      <c r="O32" s="539">
        <f t="shared" si="5"/>
        <v>0</v>
      </c>
      <c r="P32" s="539">
        <f t="shared" si="5"/>
        <v>1.8189894035458565E-12</v>
      </c>
      <c r="Q32" s="539">
        <f t="shared" si="5"/>
        <v>0</v>
      </c>
      <c r="R32" s="539">
        <f t="shared" si="5"/>
        <v>0</v>
      </c>
      <c r="S32" s="539">
        <f t="shared" si="5"/>
        <v>0</v>
      </c>
      <c r="T32" s="539">
        <f t="shared" si="5"/>
        <v>0</v>
      </c>
      <c r="U32" s="539">
        <f t="shared" si="5"/>
        <v>0</v>
      </c>
      <c r="V32" s="539">
        <f t="shared" si="5"/>
        <v>0</v>
      </c>
      <c r="W32" s="539">
        <f t="shared" si="5"/>
        <v>0</v>
      </c>
      <c r="X32" s="539">
        <f t="shared" si="5"/>
        <v>0</v>
      </c>
      <c r="Y32" s="539">
        <f t="shared" si="5"/>
        <v>0</v>
      </c>
      <c r="Z32" s="539">
        <f t="shared" si="5"/>
        <v>0</v>
      </c>
      <c r="AA32" s="539">
        <f t="shared" si="5"/>
        <v>0</v>
      </c>
      <c r="AB32" s="539">
        <f t="shared" si="5"/>
        <v>0</v>
      </c>
      <c r="AC32" s="539">
        <f t="shared" si="5"/>
        <v>0</v>
      </c>
      <c r="AD32" s="539">
        <f t="shared" si="5"/>
        <v>0</v>
      </c>
      <c r="AE32" s="539">
        <f t="shared" si="5"/>
        <v>0</v>
      </c>
      <c r="AF32" s="539">
        <f t="shared" si="5"/>
        <v>0</v>
      </c>
      <c r="AG32" s="539">
        <f t="shared" si="5"/>
        <v>0</v>
      </c>
      <c r="AH32" s="539">
        <f t="shared" si="5"/>
        <v>3447.4028287593719</v>
      </c>
      <c r="AI32" s="539">
        <f t="shared" si="5"/>
        <v>4361.6333462116818</v>
      </c>
      <c r="AJ32" s="539">
        <f t="shared" si="5"/>
        <v>4361.4212043011958</v>
      </c>
      <c r="AK32" s="539">
        <f t="shared" si="5"/>
        <v>4351.8748183293092</v>
      </c>
      <c r="AL32" s="539">
        <f t="shared" si="5"/>
        <v>4398.3164947932137</v>
      </c>
      <c r="AM32" s="539">
        <f t="shared" si="5"/>
        <v>4438.1972663426359</v>
      </c>
      <c r="AN32" s="539">
        <f t="shared" si="5"/>
        <v>4437.9825683523259</v>
      </c>
      <c r="AO32" s="539">
        <f t="shared" si="5"/>
        <v>4428.3211587883843</v>
      </c>
      <c r="AP32" s="539">
        <f t="shared" si="5"/>
        <v>4475.754274714247</v>
      </c>
      <c r="AQ32" s="539">
        <f t="shared" si="5"/>
        <v>4516.0178000725828</v>
      </c>
      <c r="AR32" s="539">
        <f t="shared" si="5"/>
        <v>4515.8005383061181</v>
      </c>
      <c r="AS32" s="539">
        <f t="shared" si="5"/>
        <v>4506.0237588152231</v>
      </c>
      <c r="AT32" s="539">
        <f t="shared" si="5"/>
        <v>4564.5817807834947</v>
      </c>
      <c r="AU32" s="539">
        <f t="shared" si="5"/>
        <v>4584.9999646268698</v>
      </c>
      <c r="AV32" s="539">
        <f t="shared" si="5"/>
        <v>4594.8924115563777</v>
      </c>
      <c r="AW32" s="539">
        <f t="shared" si="5"/>
        <v>4582.8887912905011</v>
      </c>
      <c r="AX32" s="539">
        <f t="shared" si="5"/>
        <v>4634.4799840084852</v>
      </c>
      <c r="AY32" s="539">
        <f t="shared" si="5"/>
        <v>4675.4980145116415</v>
      </c>
      <c r="AZ32" s="539">
        <f t="shared" si="5"/>
        <v>4675.275606500988</v>
      </c>
      <c r="BA32" s="539">
        <f t="shared" si="5"/>
        <v>4662.986793214106</v>
      </c>
      <c r="BB32" s="539">
        <f t="shared" si="5"/>
        <v>4656.1295223449815</v>
      </c>
      <c r="BC32" s="539">
        <f t="shared" si="5"/>
        <v>4688.9894244629095</v>
      </c>
      <c r="BD32" s="539">
        <f t="shared" si="5"/>
        <v>4680.6191642822851</v>
      </c>
      <c r="BE32" s="539">
        <f t="shared" si="5"/>
        <v>4662.7159634130503</v>
      </c>
      <c r="BF32" s="539">
        <f t="shared" si="5"/>
        <v>4702.5503211085806</v>
      </c>
      <c r="BG32" s="539">
        <f t="shared" si="5"/>
        <v>4737.2110936923127</v>
      </c>
      <c r="BH32" s="539">
        <f t="shared" si="5"/>
        <v>4730.2083698472934</v>
      </c>
      <c r="BI32" s="539">
        <f t="shared" si="5"/>
        <v>4713.4973922950676</v>
      </c>
      <c r="BJ32" s="539">
        <f t="shared" si="5"/>
        <v>4766.2000444212799</v>
      </c>
      <c r="BK32" s="539">
        <f t="shared" si="5"/>
        <v>4781.2407952482999</v>
      </c>
      <c r="BL32" s="539">
        <f t="shared" si="5"/>
        <v>4785.9623168487306</v>
      </c>
      <c r="BM32" s="539">
        <f t="shared" si="5"/>
        <v>4770.2233898933246</v>
      </c>
      <c r="BN32" s="539">
        <f t="shared" si="5"/>
        <v>4814.4324478021363</v>
      </c>
      <c r="BO32" s="539">
        <f t="shared" si="5"/>
        <v>4851.9954904304823</v>
      </c>
      <c r="BP32" s="539">
        <f t="shared" si="5"/>
        <v>4847.0751977654909</v>
      </c>
      <c r="BQ32" s="539">
        <f t="shared" si="5"/>
        <v>4832.125234055794</v>
      </c>
      <c r="BR32" s="539">
        <f t="shared" si="5"/>
        <v>4928.2618026852151</v>
      </c>
      <c r="BS32" s="539">
        <f t="shared" si="5"/>
        <v>4966.9996589992643</v>
      </c>
      <c r="BT32" s="539">
        <f t="shared" si="5"/>
        <v>4962.8652773374442</v>
      </c>
      <c r="BU32" s="539">
        <f t="shared" si="5"/>
        <v>4948.552050396801</v>
      </c>
      <c r="BV32" s="539">
        <f t="shared" si="5"/>
        <v>4866.0318999186666</v>
      </c>
      <c r="BW32" s="539">
        <f t="shared" si="5"/>
        <v>4520.5358165312482</v>
      </c>
      <c r="BX32" s="539">
        <f t="shared" si="5"/>
        <v>4509.4872611721521</v>
      </c>
      <c r="BY32" s="539">
        <f t="shared" si="5"/>
        <v>4488.4573096415997</v>
      </c>
      <c r="BZ32" s="539">
        <f t="shared" si="5"/>
        <v>4531.3115325828039</v>
      </c>
      <c r="CA32" s="539">
        <f t="shared" si="5"/>
        <v>4543.2696649447143</v>
      </c>
      <c r="CB32" s="539">
        <f t="shared" si="5"/>
        <v>4511.399090363333</v>
      </c>
      <c r="CC32" s="539">
        <f t="shared" si="5"/>
        <v>4327.2721347084926</v>
      </c>
      <c r="CD32" s="539">
        <f t="shared" si="5"/>
        <v>4343.867448891303</v>
      </c>
      <c r="CE32" s="539">
        <f t="shared" si="5"/>
        <v>4376.4090668733743</v>
      </c>
      <c r="CF32" s="539">
        <f t="shared" si="5"/>
        <v>4365.002592425737</v>
      </c>
      <c r="CG32" s="539">
        <f t="shared" si="5"/>
        <v>4341.2035044191498</v>
      </c>
      <c r="CH32" s="539">
        <f t="shared" si="5"/>
        <v>4361.6709987342065</v>
      </c>
      <c r="CI32" s="539">
        <f t="shared" si="5"/>
        <v>4395.2658550726037</v>
      </c>
      <c r="CJ32" s="539">
        <f t="shared" si="5"/>
        <v>4384.5140854212978</v>
      </c>
      <c r="CK32" s="539">
        <f t="shared" si="5"/>
        <v>4361.4415856241212</v>
      </c>
      <c r="CL32" s="539">
        <f t="shared" si="5"/>
        <v>4653.4315457003077</v>
      </c>
      <c r="CM32" s="539">
        <f t="shared" si="5"/>
        <v>4687.3299495203464</v>
      </c>
      <c r="CN32" s="539">
        <f t="shared" si="5"/>
        <v>4676.4851289616618</v>
      </c>
      <c r="CO32" s="539">
        <f t="shared" si="5"/>
        <v>4653.4162385784457</v>
      </c>
      <c r="CP32" s="539">
        <f t="shared" si="5"/>
        <v>4421.1747416232029</v>
      </c>
      <c r="CQ32" s="539">
        <f t="shared" si="5"/>
        <v>4431.7223445741556</v>
      </c>
      <c r="CR32" s="539">
        <f t="shared" si="5"/>
        <v>4433.0575396339273</v>
      </c>
      <c r="CS32" s="539">
        <f t="shared" si="5"/>
        <v>4410.7598271653342</v>
      </c>
      <c r="CT32" s="539">
        <f t="shared" si="5"/>
        <v>4437.4401970216741</v>
      </c>
      <c r="CU32" s="539">
        <f t="shared" si="5"/>
        <v>4472.6458896217509</v>
      </c>
      <c r="CV32" s="539">
        <f t="shared" si="5"/>
        <v>4462.4130257696497</v>
      </c>
      <c r="CW32" s="539">
        <f t="shared" si="5"/>
        <v>4440.2486740498935</v>
      </c>
      <c r="CX32" s="539">
        <f t="shared" si="5"/>
        <v>4468.753546929669</v>
      </c>
      <c r="CY32" s="539">
        <f t="shared" si="5"/>
        <v>4504.1063827836151</v>
      </c>
      <c r="CZ32" s="539">
        <f t="shared" si="5"/>
        <v>4493.689113396782</v>
      </c>
      <c r="DA32" s="539">
        <f t="shared" si="5"/>
        <v>4471.5140031112142</v>
      </c>
      <c r="DB32" s="539">
        <f t="shared" si="5"/>
        <v>9250.1759971050742</v>
      </c>
      <c r="DC32" s="539">
        <f t="shared" si="5"/>
        <v>9339.0671459746045</v>
      </c>
      <c r="DD32" s="539">
        <f t="shared" si="5"/>
        <v>9333.4126291791054</v>
      </c>
      <c r="DE32" s="539">
        <f t="shared" si="5"/>
        <v>9304.4998770319035</v>
      </c>
      <c r="DF32" s="539">
        <f t="shared" si="5"/>
        <v>10042.297500103878</v>
      </c>
      <c r="DG32" s="539">
        <f t="shared" si="5"/>
        <v>10083.037086594606</v>
      </c>
      <c r="DH32" s="539">
        <f t="shared" si="5"/>
        <v>10103.030440845592</v>
      </c>
      <c r="DI32" s="539">
        <f t="shared" si="5"/>
        <v>10074.710093976457</v>
      </c>
      <c r="DJ32" s="539">
        <f t="shared" si="5"/>
        <v>9531.0000277068248</v>
      </c>
      <c r="DK32" s="539">
        <f t="shared" si="5"/>
        <v>9622.5760692221538</v>
      </c>
      <c r="DL32" s="539">
        <f t="shared" si="5"/>
        <v>9618.4891847043327</v>
      </c>
      <c r="DM32" s="539">
        <f t="shared" si="5"/>
        <v>9590.6249782264968</v>
      </c>
      <c r="DN32" s="539">
        <f t="shared" si="5"/>
        <v>9679.6513243283043</v>
      </c>
      <c r="DO32" s="539">
        <f t="shared" si="5"/>
        <v>9772.3259446832872</v>
      </c>
      <c r="DP32" s="539">
        <f t="shared" si="5"/>
        <v>9768.8299907587207</v>
      </c>
      <c r="DQ32" s="539">
        <f t="shared" si="5"/>
        <v>9741.3091688148925</v>
      </c>
      <c r="DR32" s="539">
        <f t="shared" si="5"/>
        <v>9833.1752700445759</v>
      </c>
      <c r="DS32" s="539">
        <f t="shared" si="5"/>
        <v>9926.8134161951511</v>
      </c>
      <c r="DT32" s="539">
        <f t="shared" si="5"/>
        <v>9923.8082057289866</v>
      </c>
      <c r="DU32" s="539">
        <f t="shared" si="5"/>
        <v>9896.5376166003607</v>
      </c>
      <c r="DV32" s="539">
        <f t="shared" si="5"/>
        <v>10016.918852742816</v>
      </c>
      <c r="DW32" s="539">
        <f t="shared" si="5"/>
        <v>10059.983606963106</v>
      </c>
      <c r="DX32" s="539">
        <f t="shared" si="5"/>
        <v>10083.094712487115</v>
      </c>
      <c r="DY32" s="539">
        <f t="shared" si="5"/>
        <v>10055.997562626802</v>
      </c>
      <c r="DZ32" s="539">
        <f t="shared" si="5"/>
        <v>10153.459517752461</v>
      </c>
      <c r="EA32" s="539">
        <f t="shared" si="5"/>
        <v>10248.680194721674</v>
      </c>
      <c r="EB32" s="539">
        <f t="shared" si="5"/>
        <v>10246.420544942679</v>
      </c>
      <c r="EC32" s="539">
        <f t="shared" si="5"/>
        <v>10948.88102751593</v>
      </c>
      <c r="ED32" s="539">
        <f t="shared" si="5"/>
        <v>2308.4176722004668</v>
      </c>
      <c r="EE32" s="539">
        <f t="shared" si="5"/>
        <v>0</v>
      </c>
      <c r="EF32" s="539">
        <f t="shared" si="5"/>
        <v>0</v>
      </c>
      <c r="EG32" s="539">
        <f t="shared" si="5"/>
        <v>0</v>
      </c>
    </row>
    <row r="33" spans="5:137" ht="12.75">
      <c r="E33" s="538" t="s">
        <v>395</v>
      </c>
      <c r="G33" s="539" t="s">
        <v>30</v>
      </c>
      <c r="H33" s="539">
        <f>SUM(J33:EG33)</f>
        <v>615278.03263465303</v>
      </c>
      <c r="J33" s="539">
        <f t="shared" si="6" ref="J33:EG33">J32+J29+J30-J31</f>
        <v>0</v>
      </c>
      <c r="K33" s="539">
        <f t="shared" si="6"/>
        <v>0</v>
      </c>
      <c r="L33" s="539">
        <f t="shared" si="6"/>
        <v>0</v>
      </c>
      <c r="M33" s="539">
        <f t="shared" si="6"/>
        <v>0</v>
      </c>
      <c r="N33" s="539">
        <f t="shared" si="6"/>
        <v>0</v>
      </c>
      <c r="O33" s="539">
        <f t="shared" si="6"/>
        <v>0</v>
      </c>
      <c r="P33" s="539">
        <f t="shared" si="6"/>
        <v>1.8189894035458565E-12</v>
      </c>
      <c r="Q33" s="539">
        <f t="shared" si="6"/>
        <v>0</v>
      </c>
      <c r="R33" s="539">
        <f t="shared" si="6"/>
        <v>0</v>
      </c>
      <c r="S33" s="539">
        <f t="shared" si="6"/>
        <v>0</v>
      </c>
      <c r="T33" s="539">
        <f t="shared" si="6"/>
        <v>0</v>
      </c>
      <c r="U33" s="539">
        <f t="shared" si="6"/>
        <v>0</v>
      </c>
      <c r="V33" s="539">
        <f t="shared" si="6"/>
        <v>0</v>
      </c>
      <c r="W33" s="539">
        <f t="shared" si="6"/>
        <v>0</v>
      </c>
      <c r="X33" s="539">
        <f t="shared" si="6"/>
        <v>0</v>
      </c>
      <c r="Y33" s="539">
        <f t="shared" si="6"/>
        <v>0</v>
      </c>
      <c r="Z33" s="539">
        <f t="shared" si="6"/>
        <v>0</v>
      </c>
      <c r="AA33" s="539">
        <f t="shared" si="6"/>
        <v>0</v>
      </c>
      <c r="AB33" s="539">
        <f t="shared" si="6"/>
        <v>0</v>
      </c>
      <c r="AC33" s="539">
        <f t="shared" si="6"/>
        <v>0</v>
      </c>
      <c r="AD33" s="539">
        <f t="shared" si="6"/>
        <v>0</v>
      </c>
      <c r="AE33" s="539">
        <f t="shared" si="6"/>
        <v>0</v>
      </c>
      <c r="AF33" s="539">
        <f t="shared" si="6"/>
        <v>0</v>
      </c>
      <c r="AG33" s="539">
        <f t="shared" si="6"/>
        <v>0</v>
      </c>
      <c r="AH33" s="539">
        <f t="shared" si="6"/>
        <v>2472.0243110822994</v>
      </c>
      <c r="AI33" s="539">
        <f t="shared" si="6"/>
        <v>4372.0469863696017</v>
      </c>
      <c r="AJ33" s="539">
        <f t="shared" si="6"/>
        <v>4322.0490486505641</v>
      </c>
      <c r="AK33" s="539">
        <f t="shared" si="6"/>
        <v>4259.7573471290352</v>
      </c>
      <c r="AL33" s="539">
        <f t="shared" si="6"/>
        <v>4355.9875470767938</v>
      </c>
      <c r="AM33" s="539">
        <f t="shared" si="6"/>
        <v>4448.7363795644842</v>
      </c>
      <c r="AN33" s="539">
        <f t="shared" si="6"/>
        <v>4397.6751610317833</v>
      </c>
      <c r="AO33" s="539">
        <f t="shared" si="6"/>
        <v>4334.7372415828549</v>
      </c>
      <c r="AP33" s="539">
        <f t="shared" si="6"/>
        <v>4433.019613939412</v>
      </c>
      <c r="AQ33" s="539">
        <f t="shared" si="6"/>
        <v>4526.6827641565123</v>
      </c>
      <c r="AR33" s="539">
        <f t="shared" si="6"/>
        <v>4463.7444995532614</v>
      </c>
      <c r="AS33" s="539">
        <f t="shared" si="6"/>
        <v>4421.7456998422203</v>
      </c>
      <c r="AT33" s="539">
        <f t="shared" si="6"/>
        <v>4532.2363281052722</v>
      </c>
      <c r="AU33" s="539">
        <f t="shared" si="6"/>
        <v>4587.2528658534648</v>
      </c>
      <c r="AV33" s="539">
        <f t="shared" si="6"/>
        <v>4552.6472349056558</v>
      </c>
      <c r="AW33" s="539">
        <f t="shared" si="6"/>
        <v>4484.0624992970661</v>
      </c>
      <c r="AX33" s="539">
        <f t="shared" si="6"/>
        <v>4590.9456581576906</v>
      </c>
      <c r="AY33" s="539">
        <f t="shared" si="6"/>
        <v>4688.8491426837472</v>
      </c>
      <c r="AZ33" s="539">
        <f t="shared" si="6"/>
        <v>4695.7070110363047</v>
      </c>
      <c r="BA33" s="539">
        <f t="shared" si="6"/>
        <v>4635.2385459120451</v>
      </c>
      <c r="BB33" s="539">
        <f t="shared" si="6"/>
        <v>4629.9958347841712</v>
      </c>
      <c r="BC33" s="539">
        <f t="shared" si="6"/>
        <v>4717.0266829894308</v>
      </c>
      <c r="BD33" s="539">
        <f t="shared" si="6"/>
        <v>4657.2157187842731</v>
      </c>
      <c r="BE33" s="539">
        <f t="shared" si="6"/>
        <v>4583.2198048124383</v>
      </c>
      <c r="BF33" s="539">
        <f t="shared" si="6"/>
        <v>4673.0355243577897</v>
      </c>
      <c r="BG33" s="539">
        <f t="shared" si="6"/>
        <v>4762.5167500515399</v>
      </c>
      <c r="BH33" s="539">
        <f t="shared" si="6"/>
        <v>4691.8004919160858</v>
      </c>
      <c r="BI33" s="539">
        <f t="shared" si="6"/>
        <v>4641.206219903971</v>
      </c>
      <c r="BJ33" s="539">
        <f t="shared" si="6"/>
        <v>4745.1110854878325</v>
      </c>
      <c r="BK33" s="539">
        <f t="shared" si="6"/>
        <v>4792.9978242001662</v>
      </c>
      <c r="BL33" s="539">
        <f t="shared" si="6"/>
        <v>4755.5809209485196</v>
      </c>
      <c r="BM33" s="539">
        <f t="shared" si="6"/>
        <v>4682.9617413931028</v>
      </c>
      <c r="BN33" s="539">
        <f t="shared" si="6"/>
        <v>4779.5983154431606</v>
      </c>
      <c r="BO33" s="539">
        <f t="shared" si="6"/>
        <v>4873.1996825202941</v>
      </c>
      <c r="BP33" s="539">
        <f t="shared" si="6"/>
        <v>4760.4383505413916</v>
      </c>
      <c r="BQ33" s="539">
        <f t="shared" si="6"/>
        <v>4688.1963807699676</v>
      </c>
      <c r="BR33" s="539">
        <f t="shared" si="6"/>
        <v>4891.3353177086292</v>
      </c>
      <c r="BS33" s="539">
        <f t="shared" si="6"/>
        <v>4986.68569772107</v>
      </c>
      <c r="BT33" s="539">
        <f t="shared" si="6"/>
        <v>5066.1993006522434</v>
      </c>
      <c r="BU33" s="539">
        <f t="shared" si="6"/>
        <v>5405.301992083726</v>
      </c>
      <c r="BV33" s="539">
        <f t="shared" si="6"/>
        <v>5246.5121949894628</v>
      </c>
      <c r="BW33" s="539">
        <f t="shared" si="6"/>
        <v>4554.7678268896525</v>
      </c>
      <c r="BX33" s="539">
        <f t="shared" si="6"/>
        <v>4486.1978765519734</v>
      </c>
      <c r="BY33" s="539">
        <f t="shared" si="6"/>
        <v>4429.9652756775695</v>
      </c>
      <c r="BZ33" s="539">
        <f t="shared" si="6"/>
        <v>4552.5607425494454</v>
      </c>
      <c r="CA33" s="539">
        <f t="shared" si="6"/>
        <v>4773.7676029526074</v>
      </c>
      <c r="CB33" s="539">
        <f t="shared" si="6"/>
        <v>4690.1775137470322</v>
      </c>
      <c r="CC33" s="539">
        <f t="shared" si="6"/>
        <v>4274.8365280066346</v>
      </c>
      <c r="CD33" s="539">
        <f t="shared" si="6"/>
        <v>4321.3134548763692</v>
      </c>
      <c r="CE33" s="539">
        <f t="shared" si="6"/>
        <v>4413.9780591819081</v>
      </c>
      <c r="CF33" s="539">
        <f t="shared" si="6"/>
        <v>4368.5578436146661</v>
      </c>
      <c r="CG33" s="539">
        <f t="shared" si="6"/>
        <v>4283.5118246307165</v>
      </c>
      <c r="CH33" s="539">
        <f t="shared" si="6"/>
        <v>4337.2944034400307</v>
      </c>
      <c r="CI33" s="539">
        <f t="shared" si="6"/>
        <v>4431.3608250195857</v>
      </c>
      <c r="CJ33" s="539">
        <f t="shared" si="6"/>
        <v>4097.543581541725</v>
      </c>
      <c r="CK33" s="539">
        <f t="shared" si="6"/>
        <v>4013.6755911856853</v>
      </c>
      <c r="CL33" s="539">
        <f t="shared" si="6"/>
        <v>4628.8303227158403</v>
      </c>
      <c r="CM33" s="539">
        <f t="shared" si="6"/>
        <v>4723.5203653725785</v>
      </c>
      <c r="CN33" s="539">
        <f t="shared" si="6"/>
        <v>4948.935086001231</v>
      </c>
      <c r="CO33" s="539">
        <f t="shared" si="6"/>
        <v>4889.99295027068</v>
      </c>
      <c r="CP33" s="539">
        <f t="shared" si="6"/>
        <v>4408.4942242291327</v>
      </c>
      <c r="CQ33" s="539">
        <f t="shared" si="6"/>
        <v>4454.0921236772019</v>
      </c>
      <c r="CR33" s="539">
        <f t="shared" si="6"/>
        <v>4428.3806644411152</v>
      </c>
      <c r="CS33" s="539">
        <f t="shared" si="6"/>
        <v>4344.7192119229667</v>
      </c>
      <c r="CT33" s="539">
        <f t="shared" si="6"/>
        <v>4410.7908852154824</v>
      </c>
      <c r="CU33" s="539">
        <f t="shared" si="6"/>
        <v>4507.2180043044709</v>
      </c>
      <c r="CV33" s="539">
        <f t="shared" si="6"/>
        <v>4455.6468509356973</v>
      </c>
      <c r="CW33" s="539">
        <f t="shared" si="6"/>
        <v>4372.1040514103006</v>
      </c>
      <c r="CX33" s="539">
        <f t="shared" si="6"/>
        <v>4442.1439989063965</v>
      </c>
      <c r="CY33" s="539">
        <f t="shared" si="6"/>
        <v>4538.8867633803111</v>
      </c>
      <c r="CZ33" s="539">
        <f t="shared" si="6"/>
        <v>9289.0498453167747</v>
      </c>
      <c r="DA33" s="539">
        <f t="shared" si="6"/>
        <v>9243.2109589193478</v>
      </c>
      <c r="DB33" s="539">
        <f t="shared" si="6"/>
        <v>9250.1759971050742</v>
      </c>
      <c r="DC33" s="539">
        <f t="shared" si="6"/>
        <v>9339.0671459746045</v>
      </c>
      <c r="DD33" s="539">
        <f t="shared" si="6"/>
        <v>9333.4126291791054</v>
      </c>
      <c r="DE33" s="539">
        <f t="shared" si="6"/>
        <v>9304.4998770319035</v>
      </c>
      <c r="DF33" s="539">
        <f t="shared" si="6"/>
        <v>10042.297500103878</v>
      </c>
      <c r="DG33" s="539">
        <f t="shared" si="6"/>
        <v>10083.037086594606</v>
      </c>
      <c r="DH33" s="539">
        <f t="shared" si="6"/>
        <v>10103.030440845592</v>
      </c>
      <c r="DI33" s="539">
        <f t="shared" si="6"/>
        <v>10074.710093976457</v>
      </c>
      <c r="DJ33" s="539">
        <f t="shared" si="6"/>
        <v>9531.0000277068248</v>
      </c>
      <c r="DK33" s="539">
        <f t="shared" si="6"/>
        <v>9622.5760692221538</v>
      </c>
      <c r="DL33" s="539">
        <f t="shared" si="6"/>
        <v>9618.4891847043327</v>
      </c>
      <c r="DM33" s="539">
        <f t="shared" si="6"/>
        <v>9590.6249782264968</v>
      </c>
      <c r="DN33" s="539">
        <f t="shared" si="6"/>
        <v>9679.6513243283043</v>
      </c>
      <c r="DO33" s="539">
        <f t="shared" si="6"/>
        <v>9772.3259446832872</v>
      </c>
      <c r="DP33" s="539">
        <f t="shared" si="6"/>
        <v>9768.8299907587207</v>
      </c>
      <c r="DQ33" s="539">
        <f t="shared" si="6"/>
        <v>9741.3091688148925</v>
      </c>
      <c r="DR33" s="539">
        <f t="shared" si="6"/>
        <v>9833.1752700445759</v>
      </c>
      <c r="DS33" s="539">
        <f t="shared" si="6"/>
        <v>9926.8134161951511</v>
      </c>
      <c r="DT33" s="539">
        <f t="shared" si="6"/>
        <v>9923.8082057289866</v>
      </c>
      <c r="DU33" s="539">
        <f t="shared" si="6"/>
        <v>9896.5376166003607</v>
      </c>
      <c r="DV33" s="539">
        <f t="shared" si="6"/>
        <v>10016.918852742816</v>
      </c>
      <c r="DW33" s="539">
        <f t="shared" si="6"/>
        <v>10059.983606963106</v>
      </c>
      <c r="DX33" s="539">
        <f t="shared" si="6"/>
        <v>10083.094712487115</v>
      </c>
      <c r="DY33" s="539">
        <f t="shared" si="6"/>
        <v>10055.997562626802</v>
      </c>
      <c r="DZ33" s="539">
        <f t="shared" si="6"/>
        <v>10153.459517752461</v>
      </c>
      <c r="EA33" s="539">
        <f t="shared" si="6"/>
        <v>10248.680194721674</v>
      </c>
      <c r="EB33" s="539">
        <f t="shared" si="6"/>
        <v>10246.420544942679</v>
      </c>
      <c r="EC33" s="539">
        <f t="shared" si="6"/>
        <v>10948.88102751593</v>
      </c>
      <c r="ED33" s="539">
        <f t="shared" si="6"/>
        <v>2308.4176722004668</v>
      </c>
      <c r="EE33" s="539">
        <f t="shared" si="6"/>
        <v>0</v>
      </c>
      <c r="EF33" s="539">
        <f t="shared" si="6"/>
        <v>0</v>
      </c>
      <c r="EG33" s="539">
        <f t="shared" si="6"/>
        <v>0</v>
      </c>
    </row>
    <row r="35" spans="2:2" ht="12.75">
      <c r="B35" s="534" t="s">
        <v>396</v>
      </c>
    </row>
    <row r="36" spans="5:137" ht="12.75">
      <c r="E36" s="538" t="str">
        <f>E$33</f>
        <v>Cash flow - after DSRA movements</v>
      </c>
      <c r="G36" s="539" t="str">
        <f>G$33</f>
        <v>EUR 000s</v>
      </c>
      <c r="H36" s="539">
        <f>H$33</f>
        <v>615278.03263465303</v>
      </c>
      <c r="J36" s="539">
        <f t="shared" si="7" ref="J36:EG36">J$33</f>
        <v>0</v>
      </c>
      <c r="K36" s="539">
        <f t="shared" si="7"/>
        <v>0</v>
      </c>
      <c r="L36" s="539">
        <f t="shared" si="7"/>
        <v>0</v>
      </c>
      <c r="M36" s="539">
        <f t="shared" si="7"/>
        <v>0</v>
      </c>
      <c r="N36" s="539">
        <f t="shared" si="7"/>
        <v>0</v>
      </c>
      <c r="O36" s="539">
        <f t="shared" si="7"/>
        <v>0</v>
      </c>
      <c r="P36" s="539">
        <f t="shared" si="7"/>
        <v>1.8189894035458565E-12</v>
      </c>
      <c r="Q36" s="539">
        <f t="shared" si="7"/>
        <v>0</v>
      </c>
      <c r="R36" s="539">
        <f t="shared" si="7"/>
        <v>0</v>
      </c>
      <c r="S36" s="539">
        <f t="shared" si="7"/>
        <v>0</v>
      </c>
      <c r="T36" s="539">
        <f t="shared" si="7"/>
        <v>0</v>
      </c>
      <c r="U36" s="539">
        <f t="shared" si="7"/>
        <v>0</v>
      </c>
      <c r="V36" s="539">
        <f t="shared" si="7"/>
        <v>0</v>
      </c>
      <c r="W36" s="539">
        <f t="shared" si="7"/>
        <v>0</v>
      </c>
      <c r="X36" s="539">
        <f t="shared" si="7"/>
        <v>0</v>
      </c>
      <c r="Y36" s="539">
        <f t="shared" si="7"/>
        <v>0</v>
      </c>
      <c r="Z36" s="539">
        <f t="shared" si="7"/>
        <v>0</v>
      </c>
      <c r="AA36" s="539">
        <f t="shared" si="7"/>
        <v>0</v>
      </c>
      <c r="AB36" s="539">
        <f t="shared" si="7"/>
        <v>0</v>
      </c>
      <c r="AC36" s="539">
        <f t="shared" si="7"/>
        <v>0</v>
      </c>
      <c r="AD36" s="539">
        <f t="shared" si="7"/>
        <v>0</v>
      </c>
      <c r="AE36" s="539">
        <f t="shared" si="7"/>
        <v>0</v>
      </c>
      <c r="AF36" s="539">
        <f t="shared" si="7"/>
        <v>0</v>
      </c>
      <c r="AG36" s="539">
        <f t="shared" si="7"/>
        <v>0</v>
      </c>
      <c r="AH36" s="539">
        <f t="shared" si="7"/>
        <v>2472.0243110822994</v>
      </c>
      <c r="AI36" s="539">
        <f t="shared" si="7"/>
        <v>4372.0469863696017</v>
      </c>
      <c r="AJ36" s="539">
        <f t="shared" si="7"/>
        <v>4322.0490486505641</v>
      </c>
      <c r="AK36" s="539">
        <f t="shared" si="7"/>
        <v>4259.7573471290352</v>
      </c>
      <c r="AL36" s="539">
        <f t="shared" si="7"/>
        <v>4355.9875470767938</v>
      </c>
      <c r="AM36" s="539">
        <f t="shared" si="7"/>
        <v>4448.7363795644842</v>
      </c>
      <c r="AN36" s="539">
        <f t="shared" si="7"/>
        <v>4397.6751610317833</v>
      </c>
      <c r="AO36" s="539">
        <f t="shared" si="7"/>
        <v>4334.7372415828549</v>
      </c>
      <c r="AP36" s="539">
        <f t="shared" si="7"/>
        <v>4433.019613939412</v>
      </c>
      <c r="AQ36" s="539">
        <f t="shared" si="7"/>
        <v>4526.6827641565123</v>
      </c>
      <c r="AR36" s="539">
        <f t="shared" si="7"/>
        <v>4463.7444995532614</v>
      </c>
      <c r="AS36" s="539">
        <f t="shared" si="7"/>
        <v>4421.7456998422203</v>
      </c>
      <c r="AT36" s="539">
        <f t="shared" si="7"/>
        <v>4532.2363281052722</v>
      </c>
      <c r="AU36" s="539">
        <f t="shared" si="7"/>
        <v>4587.2528658534648</v>
      </c>
      <c r="AV36" s="539">
        <f t="shared" si="7"/>
        <v>4552.6472349056558</v>
      </c>
      <c r="AW36" s="539">
        <f t="shared" si="7"/>
        <v>4484.0624992970661</v>
      </c>
      <c r="AX36" s="539">
        <f t="shared" si="7"/>
        <v>4590.9456581576906</v>
      </c>
      <c r="AY36" s="539">
        <f t="shared" si="7"/>
        <v>4688.8491426837472</v>
      </c>
      <c r="AZ36" s="539">
        <f t="shared" si="7"/>
        <v>4695.7070110363047</v>
      </c>
      <c r="BA36" s="539">
        <f t="shared" si="7"/>
        <v>4635.2385459120451</v>
      </c>
      <c r="BB36" s="539">
        <f t="shared" si="7"/>
        <v>4629.9958347841712</v>
      </c>
      <c r="BC36" s="539">
        <f t="shared" si="7"/>
        <v>4717.0266829894308</v>
      </c>
      <c r="BD36" s="539">
        <f t="shared" si="7"/>
        <v>4657.2157187842731</v>
      </c>
      <c r="BE36" s="539">
        <f t="shared" si="7"/>
        <v>4583.2198048124383</v>
      </c>
      <c r="BF36" s="539">
        <f t="shared" si="7"/>
        <v>4673.0355243577897</v>
      </c>
      <c r="BG36" s="539">
        <f t="shared" si="7"/>
        <v>4762.5167500515399</v>
      </c>
      <c r="BH36" s="539">
        <f t="shared" si="7"/>
        <v>4691.8004919160858</v>
      </c>
      <c r="BI36" s="539">
        <f t="shared" si="7"/>
        <v>4641.206219903971</v>
      </c>
      <c r="BJ36" s="539">
        <f t="shared" si="7"/>
        <v>4745.1110854878325</v>
      </c>
      <c r="BK36" s="539">
        <f t="shared" si="7"/>
        <v>4792.9978242001662</v>
      </c>
      <c r="BL36" s="539">
        <f t="shared" si="7"/>
        <v>4755.5809209485196</v>
      </c>
      <c r="BM36" s="539">
        <f t="shared" si="7"/>
        <v>4682.9617413931028</v>
      </c>
      <c r="BN36" s="539">
        <f t="shared" si="7"/>
        <v>4779.5983154431606</v>
      </c>
      <c r="BO36" s="539">
        <f t="shared" si="7"/>
        <v>4873.1996825202941</v>
      </c>
      <c r="BP36" s="539">
        <f t="shared" si="7"/>
        <v>4760.4383505413916</v>
      </c>
      <c r="BQ36" s="539">
        <f t="shared" si="7"/>
        <v>4688.1963807699676</v>
      </c>
      <c r="BR36" s="539">
        <f t="shared" si="7"/>
        <v>4891.3353177086292</v>
      </c>
      <c r="BS36" s="539">
        <f t="shared" si="7"/>
        <v>4986.68569772107</v>
      </c>
      <c r="BT36" s="539">
        <f t="shared" si="7"/>
        <v>5066.1993006522434</v>
      </c>
      <c r="BU36" s="539">
        <f t="shared" si="7"/>
        <v>5405.301992083726</v>
      </c>
      <c r="BV36" s="539">
        <f t="shared" si="7"/>
        <v>5246.5121949894628</v>
      </c>
      <c r="BW36" s="539">
        <f t="shared" si="7"/>
        <v>4554.7678268896525</v>
      </c>
      <c r="BX36" s="539">
        <f t="shared" si="7"/>
        <v>4486.1978765519734</v>
      </c>
      <c r="BY36" s="539">
        <f t="shared" si="7"/>
        <v>4429.9652756775695</v>
      </c>
      <c r="BZ36" s="539">
        <f t="shared" si="7"/>
        <v>4552.5607425494454</v>
      </c>
      <c r="CA36" s="539">
        <f t="shared" si="7"/>
        <v>4773.7676029526074</v>
      </c>
      <c r="CB36" s="539">
        <f t="shared" si="7"/>
        <v>4690.1775137470322</v>
      </c>
      <c r="CC36" s="539">
        <f t="shared" si="7"/>
        <v>4274.8365280066346</v>
      </c>
      <c r="CD36" s="539">
        <f t="shared" si="7"/>
        <v>4321.3134548763692</v>
      </c>
      <c r="CE36" s="539">
        <f t="shared" si="7"/>
        <v>4413.9780591819081</v>
      </c>
      <c r="CF36" s="539">
        <f t="shared" si="7"/>
        <v>4368.5578436146661</v>
      </c>
      <c r="CG36" s="539">
        <f t="shared" si="7"/>
        <v>4283.5118246307165</v>
      </c>
      <c r="CH36" s="539">
        <f t="shared" si="7"/>
        <v>4337.2944034400307</v>
      </c>
      <c r="CI36" s="539">
        <f t="shared" si="7"/>
        <v>4431.3608250195857</v>
      </c>
      <c r="CJ36" s="539">
        <f t="shared" si="7"/>
        <v>4097.543581541725</v>
      </c>
      <c r="CK36" s="539">
        <f t="shared" si="7"/>
        <v>4013.6755911856853</v>
      </c>
      <c r="CL36" s="539">
        <f t="shared" si="7"/>
        <v>4628.8303227158403</v>
      </c>
      <c r="CM36" s="539">
        <f t="shared" si="7"/>
        <v>4723.5203653725785</v>
      </c>
      <c r="CN36" s="539">
        <f t="shared" si="7"/>
        <v>4948.935086001231</v>
      </c>
      <c r="CO36" s="539">
        <f t="shared" si="7"/>
        <v>4889.99295027068</v>
      </c>
      <c r="CP36" s="539">
        <f t="shared" si="7"/>
        <v>4408.4942242291327</v>
      </c>
      <c r="CQ36" s="539">
        <f t="shared" si="7"/>
        <v>4454.0921236772019</v>
      </c>
      <c r="CR36" s="539">
        <f t="shared" si="7"/>
        <v>4428.3806644411152</v>
      </c>
      <c r="CS36" s="539">
        <f t="shared" si="7"/>
        <v>4344.7192119229667</v>
      </c>
      <c r="CT36" s="539">
        <f t="shared" si="7"/>
        <v>4410.7908852154824</v>
      </c>
      <c r="CU36" s="539">
        <f t="shared" si="7"/>
        <v>4507.2180043044709</v>
      </c>
      <c r="CV36" s="539">
        <f t="shared" si="7"/>
        <v>4455.6468509356973</v>
      </c>
      <c r="CW36" s="539">
        <f t="shared" si="7"/>
        <v>4372.1040514103006</v>
      </c>
      <c r="CX36" s="539">
        <f t="shared" si="7"/>
        <v>4442.1439989063965</v>
      </c>
      <c r="CY36" s="539">
        <f t="shared" si="7"/>
        <v>4538.8867633803111</v>
      </c>
      <c r="CZ36" s="539">
        <f t="shared" si="7"/>
        <v>9289.0498453167747</v>
      </c>
      <c r="DA36" s="539">
        <f t="shared" si="7"/>
        <v>9243.2109589193478</v>
      </c>
      <c r="DB36" s="539">
        <f t="shared" si="7"/>
        <v>9250.1759971050742</v>
      </c>
      <c r="DC36" s="539">
        <f t="shared" si="7"/>
        <v>9339.0671459746045</v>
      </c>
      <c r="DD36" s="539">
        <f t="shared" si="7"/>
        <v>9333.4126291791054</v>
      </c>
      <c r="DE36" s="539">
        <f t="shared" si="7"/>
        <v>9304.4998770319035</v>
      </c>
      <c r="DF36" s="539">
        <f t="shared" si="7"/>
        <v>10042.297500103878</v>
      </c>
      <c r="DG36" s="539">
        <f t="shared" si="7"/>
        <v>10083.037086594606</v>
      </c>
      <c r="DH36" s="539">
        <f t="shared" si="7"/>
        <v>10103.030440845592</v>
      </c>
      <c r="DI36" s="539">
        <f t="shared" si="7"/>
        <v>10074.710093976457</v>
      </c>
      <c r="DJ36" s="539">
        <f t="shared" si="7"/>
        <v>9531.0000277068248</v>
      </c>
      <c r="DK36" s="539">
        <f t="shared" si="7"/>
        <v>9622.5760692221538</v>
      </c>
      <c r="DL36" s="539">
        <f t="shared" si="7"/>
        <v>9618.4891847043327</v>
      </c>
      <c r="DM36" s="539">
        <f t="shared" si="7"/>
        <v>9590.6249782264968</v>
      </c>
      <c r="DN36" s="539">
        <f t="shared" si="7"/>
        <v>9679.6513243283043</v>
      </c>
      <c r="DO36" s="539">
        <f t="shared" si="7"/>
        <v>9772.3259446832872</v>
      </c>
      <c r="DP36" s="539">
        <f t="shared" si="7"/>
        <v>9768.8299907587207</v>
      </c>
      <c r="DQ36" s="539">
        <f t="shared" si="7"/>
        <v>9741.3091688148925</v>
      </c>
      <c r="DR36" s="539">
        <f t="shared" si="7"/>
        <v>9833.1752700445759</v>
      </c>
      <c r="DS36" s="539">
        <f t="shared" si="7"/>
        <v>9926.8134161951511</v>
      </c>
      <c r="DT36" s="539">
        <f t="shared" si="7"/>
        <v>9923.8082057289866</v>
      </c>
      <c r="DU36" s="539">
        <f t="shared" si="7"/>
        <v>9896.5376166003607</v>
      </c>
      <c r="DV36" s="539">
        <f t="shared" si="7"/>
        <v>10016.918852742816</v>
      </c>
      <c r="DW36" s="539">
        <f t="shared" si="7"/>
        <v>10059.983606963106</v>
      </c>
      <c r="DX36" s="539">
        <f t="shared" si="7"/>
        <v>10083.094712487115</v>
      </c>
      <c r="DY36" s="539">
        <f t="shared" si="7"/>
        <v>10055.997562626802</v>
      </c>
      <c r="DZ36" s="539">
        <f t="shared" si="7"/>
        <v>10153.459517752461</v>
      </c>
      <c r="EA36" s="539">
        <f t="shared" si="7"/>
        <v>10248.680194721674</v>
      </c>
      <c r="EB36" s="539">
        <f t="shared" si="7"/>
        <v>10246.420544942679</v>
      </c>
      <c r="EC36" s="539">
        <f t="shared" si="7"/>
        <v>10948.88102751593</v>
      </c>
      <c r="ED36" s="539">
        <f t="shared" si="7"/>
        <v>2308.4176722004668</v>
      </c>
      <c r="EE36" s="539">
        <f t="shared" si="7"/>
        <v>0</v>
      </c>
      <c r="EF36" s="539">
        <f t="shared" si="7"/>
        <v>0</v>
      </c>
      <c r="EG36" s="539">
        <f t="shared" si="7"/>
        <v>0</v>
      </c>
    </row>
    <row r="37" spans="5:137" ht="12.75">
      <c r="E37" s="540" t="s">
        <v>397</v>
      </c>
      <c r="G37" s="541" t="s">
        <v>30</v>
      </c>
      <c r="H37" s="541">
        <f>SUM(J37:EG37)</f>
        <v>615278.03263465303</v>
      </c>
      <c r="J37" s="541">
        <f t="shared" si="8" ref="J37:EG37">MAX(0,J36)</f>
        <v>0</v>
      </c>
      <c r="K37" s="541">
        <f t="shared" si="8"/>
        <v>0</v>
      </c>
      <c r="L37" s="541">
        <f t="shared" si="8"/>
        <v>0</v>
      </c>
      <c r="M37" s="541">
        <f t="shared" si="8"/>
        <v>0</v>
      </c>
      <c r="N37" s="541">
        <f t="shared" si="8"/>
        <v>0</v>
      </c>
      <c r="O37" s="541">
        <f t="shared" si="8"/>
        <v>0</v>
      </c>
      <c r="P37" s="541">
        <f t="shared" si="8"/>
        <v>1.8189894035458565E-12</v>
      </c>
      <c r="Q37" s="541">
        <f t="shared" si="8"/>
        <v>0</v>
      </c>
      <c r="R37" s="541">
        <f t="shared" si="8"/>
        <v>0</v>
      </c>
      <c r="S37" s="541">
        <f t="shared" si="8"/>
        <v>0</v>
      </c>
      <c r="T37" s="541">
        <f t="shared" si="8"/>
        <v>0</v>
      </c>
      <c r="U37" s="541">
        <f t="shared" si="8"/>
        <v>0</v>
      </c>
      <c r="V37" s="541">
        <f t="shared" si="8"/>
        <v>0</v>
      </c>
      <c r="W37" s="541">
        <f t="shared" si="8"/>
        <v>0</v>
      </c>
      <c r="X37" s="541">
        <f t="shared" si="8"/>
        <v>0</v>
      </c>
      <c r="Y37" s="541">
        <f t="shared" si="8"/>
        <v>0</v>
      </c>
      <c r="Z37" s="541">
        <f t="shared" si="8"/>
        <v>0</v>
      </c>
      <c r="AA37" s="541">
        <f t="shared" si="8"/>
        <v>0</v>
      </c>
      <c r="AB37" s="541">
        <f t="shared" si="8"/>
        <v>0</v>
      </c>
      <c r="AC37" s="541">
        <f t="shared" si="8"/>
        <v>0</v>
      </c>
      <c r="AD37" s="541">
        <f t="shared" si="8"/>
        <v>0</v>
      </c>
      <c r="AE37" s="541">
        <f t="shared" si="8"/>
        <v>0</v>
      </c>
      <c r="AF37" s="541">
        <f t="shared" si="8"/>
        <v>0</v>
      </c>
      <c r="AG37" s="541">
        <f t="shared" si="8"/>
        <v>0</v>
      </c>
      <c r="AH37" s="541">
        <f t="shared" si="8"/>
        <v>2472.0243110822994</v>
      </c>
      <c r="AI37" s="541">
        <f t="shared" si="8"/>
        <v>4372.0469863696017</v>
      </c>
      <c r="AJ37" s="541">
        <f t="shared" si="8"/>
        <v>4322.0490486505641</v>
      </c>
      <c r="AK37" s="541">
        <f t="shared" si="8"/>
        <v>4259.7573471290352</v>
      </c>
      <c r="AL37" s="541">
        <f t="shared" si="8"/>
        <v>4355.9875470767938</v>
      </c>
      <c r="AM37" s="541">
        <f t="shared" si="8"/>
        <v>4448.7363795644842</v>
      </c>
      <c r="AN37" s="541">
        <f t="shared" si="8"/>
        <v>4397.6751610317833</v>
      </c>
      <c r="AO37" s="541">
        <f t="shared" si="8"/>
        <v>4334.7372415828549</v>
      </c>
      <c r="AP37" s="541">
        <f t="shared" si="8"/>
        <v>4433.019613939412</v>
      </c>
      <c r="AQ37" s="541">
        <f t="shared" si="8"/>
        <v>4526.6827641565123</v>
      </c>
      <c r="AR37" s="541">
        <f t="shared" si="8"/>
        <v>4463.7444995532614</v>
      </c>
      <c r="AS37" s="541">
        <f t="shared" si="8"/>
        <v>4421.7456998422203</v>
      </c>
      <c r="AT37" s="541">
        <f t="shared" si="8"/>
        <v>4532.2363281052722</v>
      </c>
      <c r="AU37" s="541">
        <f t="shared" si="8"/>
        <v>4587.2528658534648</v>
      </c>
      <c r="AV37" s="541">
        <f t="shared" si="8"/>
        <v>4552.6472349056558</v>
      </c>
      <c r="AW37" s="541">
        <f t="shared" si="8"/>
        <v>4484.0624992970661</v>
      </c>
      <c r="AX37" s="541">
        <f t="shared" si="8"/>
        <v>4590.9456581576906</v>
      </c>
      <c r="AY37" s="541">
        <f t="shared" si="8"/>
        <v>4688.8491426837472</v>
      </c>
      <c r="AZ37" s="541">
        <f t="shared" si="8"/>
        <v>4695.7070110363047</v>
      </c>
      <c r="BA37" s="541">
        <f t="shared" si="8"/>
        <v>4635.2385459120451</v>
      </c>
      <c r="BB37" s="541">
        <f t="shared" si="8"/>
        <v>4629.9958347841712</v>
      </c>
      <c r="BC37" s="541">
        <f t="shared" si="8"/>
        <v>4717.0266829894308</v>
      </c>
      <c r="BD37" s="541">
        <f t="shared" si="8"/>
        <v>4657.2157187842731</v>
      </c>
      <c r="BE37" s="541">
        <f t="shared" si="8"/>
        <v>4583.2198048124383</v>
      </c>
      <c r="BF37" s="541">
        <f t="shared" si="8"/>
        <v>4673.0355243577897</v>
      </c>
      <c r="BG37" s="541">
        <f t="shared" si="8"/>
        <v>4762.5167500515399</v>
      </c>
      <c r="BH37" s="541">
        <f t="shared" si="8"/>
        <v>4691.8004919160858</v>
      </c>
      <c r="BI37" s="541">
        <f t="shared" si="8"/>
        <v>4641.206219903971</v>
      </c>
      <c r="BJ37" s="541">
        <f t="shared" si="8"/>
        <v>4745.1110854878325</v>
      </c>
      <c r="BK37" s="541">
        <f t="shared" si="8"/>
        <v>4792.9978242001662</v>
      </c>
      <c r="BL37" s="541">
        <f t="shared" si="8"/>
        <v>4755.5809209485196</v>
      </c>
      <c r="BM37" s="541">
        <f t="shared" si="8"/>
        <v>4682.9617413931028</v>
      </c>
      <c r="BN37" s="541">
        <f t="shared" si="8"/>
        <v>4779.5983154431606</v>
      </c>
      <c r="BO37" s="541">
        <f t="shared" si="8"/>
        <v>4873.1996825202941</v>
      </c>
      <c r="BP37" s="541">
        <f t="shared" si="8"/>
        <v>4760.4383505413916</v>
      </c>
      <c r="BQ37" s="541">
        <f t="shared" si="8"/>
        <v>4688.1963807699676</v>
      </c>
      <c r="BR37" s="541">
        <f t="shared" si="8"/>
        <v>4891.3353177086292</v>
      </c>
      <c r="BS37" s="541">
        <f t="shared" si="8"/>
        <v>4986.68569772107</v>
      </c>
      <c r="BT37" s="541">
        <f t="shared" si="8"/>
        <v>5066.1993006522434</v>
      </c>
      <c r="BU37" s="541">
        <f t="shared" si="8"/>
        <v>5405.301992083726</v>
      </c>
      <c r="BV37" s="541">
        <f t="shared" si="8"/>
        <v>5246.5121949894628</v>
      </c>
      <c r="BW37" s="541">
        <f t="shared" si="8"/>
        <v>4554.7678268896525</v>
      </c>
      <c r="BX37" s="541">
        <f t="shared" si="8"/>
        <v>4486.1978765519734</v>
      </c>
      <c r="BY37" s="541">
        <f t="shared" si="8"/>
        <v>4429.9652756775695</v>
      </c>
      <c r="BZ37" s="541">
        <f t="shared" si="8"/>
        <v>4552.5607425494454</v>
      </c>
      <c r="CA37" s="541">
        <f t="shared" si="8"/>
        <v>4773.7676029526074</v>
      </c>
      <c r="CB37" s="541">
        <f t="shared" si="8"/>
        <v>4690.1775137470322</v>
      </c>
      <c r="CC37" s="541">
        <f t="shared" si="8"/>
        <v>4274.8365280066346</v>
      </c>
      <c r="CD37" s="541">
        <f t="shared" si="8"/>
        <v>4321.3134548763692</v>
      </c>
      <c r="CE37" s="541">
        <f t="shared" si="8"/>
        <v>4413.9780591819081</v>
      </c>
      <c r="CF37" s="541">
        <f t="shared" si="8"/>
        <v>4368.5578436146661</v>
      </c>
      <c r="CG37" s="541">
        <f t="shared" si="8"/>
        <v>4283.5118246307165</v>
      </c>
      <c r="CH37" s="541">
        <f t="shared" si="8"/>
        <v>4337.2944034400307</v>
      </c>
      <c r="CI37" s="541">
        <f t="shared" si="8"/>
        <v>4431.3608250195857</v>
      </c>
      <c r="CJ37" s="541">
        <f t="shared" si="8"/>
        <v>4097.543581541725</v>
      </c>
      <c r="CK37" s="541">
        <f t="shared" si="8"/>
        <v>4013.6755911856853</v>
      </c>
      <c r="CL37" s="541">
        <f t="shared" si="8"/>
        <v>4628.8303227158403</v>
      </c>
      <c r="CM37" s="541">
        <f t="shared" si="8"/>
        <v>4723.5203653725785</v>
      </c>
      <c r="CN37" s="541">
        <f t="shared" si="8"/>
        <v>4948.935086001231</v>
      </c>
      <c r="CO37" s="541">
        <f t="shared" si="8"/>
        <v>4889.99295027068</v>
      </c>
      <c r="CP37" s="541">
        <f t="shared" si="8"/>
        <v>4408.4942242291327</v>
      </c>
      <c r="CQ37" s="541">
        <f t="shared" si="8"/>
        <v>4454.0921236772019</v>
      </c>
      <c r="CR37" s="541">
        <f t="shared" si="8"/>
        <v>4428.3806644411152</v>
      </c>
      <c r="CS37" s="541">
        <f t="shared" si="8"/>
        <v>4344.7192119229667</v>
      </c>
      <c r="CT37" s="541">
        <f t="shared" si="8"/>
        <v>4410.7908852154824</v>
      </c>
      <c r="CU37" s="541">
        <f t="shared" si="8"/>
        <v>4507.2180043044709</v>
      </c>
      <c r="CV37" s="541">
        <f t="shared" si="8"/>
        <v>4455.6468509356973</v>
      </c>
      <c r="CW37" s="541">
        <f t="shared" si="8"/>
        <v>4372.1040514103006</v>
      </c>
      <c r="CX37" s="541">
        <f t="shared" si="8"/>
        <v>4442.1439989063965</v>
      </c>
      <c r="CY37" s="541">
        <f t="shared" si="8"/>
        <v>4538.8867633803111</v>
      </c>
      <c r="CZ37" s="541">
        <f t="shared" si="8"/>
        <v>9289.0498453167747</v>
      </c>
      <c r="DA37" s="541">
        <f t="shared" si="8"/>
        <v>9243.2109589193478</v>
      </c>
      <c r="DB37" s="541">
        <f t="shared" si="8"/>
        <v>9250.1759971050742</v>
      </c>
      <c r="DC37" s="541">
        <f t="shared" si="8"/>
        <v>9339.0671459746045</v>
      </c>
      <c r="DD37" s="541">
        <f t="shared" si="8"/>
        <v>9333.4126291791054</v>
      </c>
      <c r="DE37" s="541">
        <f t="shared" si="8"/>
        <v>9304.4998770319035</v>
      </c>
      <c r="DF37" s="541">
        <f t="shared" si="8"/>
        <v>10042.297500103878</v>
      </c>
      <c r="DG37" s="541">
        <f t="shared" si="8"/>
        <v>10083.037086594606</v>
      </c>
      <c r="DH37" s="541">
        <f t="shared" si="8"/>
        <v>10103.030440845592</v>
      </c>
      <c r="DI37" s="541">
        <f t="shared" si="8"/>
        <v>10074.710093976457</v>
      </c>
      <c r="DJ37" s="541">
        <f t="shared" si="8"/>
        <v>9531.0000277068248</v>
      </c>
      <c r="DK37" s="541">
        <f t="shared" si="8"/>
        <v>9622.5760692221538</v>
      </c>
      <c r="DL37" s="541">
        <f t="shared" si="8"/>
        <v>9618.4891847043327</v>
      </c>
      <c r="DM37" s="541">
        <f t="shared" si="8"/>
        <v>9590.6249782264968</v>
      </c>
      <c r="DN37" s="541">
        <f t="shared" si="8"/>
        <v>9679.6513243283043</v>
      </c>
      <c r="DO37" s="541">
        <f t="shared" si="8"/>
        <v>9772.3259446832872</v>
      </c>
      <c r="DP37" s="541">
        <f t="shared" si="8"/>
        <v>9768.8299907587207</v>
      </c>
      <c r="DQ37" s="541">
        <f t="shared" si="8"/>
        <v>9741.3091688148925</v>
      </c>
      <c r="DR37" s="541">
        <f t="shared" si="8"/>
        <v>9833.1752700445759</v>
      </c>
      <c r="DS37" s="541">
        <f t="shared" si="8"/>
        <v>9926.8134161951511</v>
      </c>
      <c r="DT37" s="541">
        <f t="shared" si="8"/>
        <v>9923.8082057289866</v>
      </c>
      <c r="DU37" s="541">
        <f t="shared" si="8"/>
        <v>9896.5376166003607</v>
      </c>
      <c r="DV37" s="541">
        <f t="shared" si="8"/>
        <v>10016.918852742816</v>
      </c>
      <c r="DW37" s="541">
        <f t="shared" si="8"/>
        <v>10059.983606963106</v>
      </c>
      <c r="DX37" s="541">
        <f t="shared" si="8"/>
        <v>10083.094712487115</v>
      </c>
      <c r="DY37" s="541">
        <f t="shared" si="8"/>
        <v>10055.997562626802</v>
      </c>
      <c r="DZ37" s="541">
        <f t="shared" si="8"/>
        <v>10153.459517752461</v>
      </c>
      <c r="EA37" s="541">
        <f t="shared" si="8"/>
        <v>10248.680194721674</v>
      </c>
      <c r="EB37" s="541">
        <f t="shared" si="8"/>
        <v>10246.420544942679</v>
      </c>
      <c r="EC37" s="541">
        <f t="shared" si="8"/>
        <v>10948.88102751593</v>
      </c>
      <c r="ED37" s="541">
        <f t="shared" si="8"/>
        <v>2308.4176722004668</v>
      </c>
      <c r="EE37" s="541">
        <f t="shared" si="8"/>
        <v>0</v>
      </c>
      <c r="EF37" s="541">
        <f t="shared" si="8"/>
        <v>0</v>
      </c>
      <c r="EG37" s="541">
        <f t="shared" si="8"/>
        <v>0</v>
      </c>
    </row>
    <row r="39" spans="5:137" ht="12.75">
      <c r="E39" s="535" t="str">
        <f>Reserves!E$100</f>
        <v>MRA - release of balance above target</v>
      </c>
      <c r="G39" s="537" t="str">
        <f>Reserves!G$100</f>
        <v>EUR 000s</v>
      </c>
      <c r="H39" s="537">
        <f>Reserves!H$100</f>
        <v>1.3642420526593924E-12</v>
      </c>
      <c r="J39" s="537">
        <f>Reserves!J$100</f>
        <v>0</v>
      </c>
      <c r="K39" s="537">
        <f>Reserves!K$100</f>
        <v>0</v>
      </c>
      <c r="L39" s="537">
        <f>Reserves!L$100</f>
        <v>0</v>
      </c>
      <c r="M39" s="537">
        <f>Reserves!M$100</f>
        <v>0</v>
      </c>
      <c r="N39" s="537">
        <f>Reserves!N$100</f>
        <v>0</v>
      </c>
      <c r="O39" s="537">
        <f>Reserves!O$100</f>
        <v>0</v>
      </c>
      <c r="P39" s="537">
        <f>Reserves!P$100</f>
        <v>0</v>
      </c>
      <c r="Q39" s="537">
        <f>Reserves!Q$100</f>
        <v>0</v>
      </c>
      <c r="R39" s="537">
        <f>Reserves!R$100</f>
        <v>0</v>
      </c>
      <c r="S39" s="537">
        <f>Reserves!S$100</f>
        <v>0</v>
      </c>
      <c r="T39" s="537">
        <f>Reserves!T$100</f>
        <v>0</v>
      </c>
      <c r="U39" s="537">
        <f>Reserves!U$100</f>
        <v>0</v>
      </c>
      <c r="V39" s="537">
        <f>Reserves!V$100</f>
        <v>0</v>
      </c>
      <c r="W39" s="537">
        <f>Reserves!W$100</f>
        <v>0</v>
      </c>
      <c r="X39" s="537">
        <f>Reserves!X$100</f>
        <v>0</v>
      </c>
      <c r="Y39" s="537">
        <f>Reserves!Y$100</f>
        <v>0</v>
      </c>
      <c r="Z39" s="537">
        <f>Reserves!Z$100</f>
        <v>0</v>
      </c>
      <c r="AA39" s="537">
        <f>Reserves!AA$100</f>
        <v>0</v>
      </c>
      <c r="AB39" s="537">
        <f>Reserves!AB$100</f>
        <v>0</v>
      </c>
      <c r="AC39" s="537">
        <f>Reserves!AC$100</f>
        <v>0</v>
      </c>
      <c r="AD39" s="537">
        <f>Reserves!AD$100</f>
        <v>0</v>
      </c>
      <c r="AE39" s="537">
        <f>Reserves!AE$100</f>
        <v>0</v>
      </c>
      <c r="AF39" s="537">
        <f>Reserves!AF$100</f>
        <v>0</v>
      </c>
      <c r="AG39" s="537">
        <f>Reserves!AG$100</f>
        <v>0</v>
      </c>
      <c r="AH39" s="537">
        <f>Reserves!AH$100</f>
        <v>0</v>
      </c>
      <c r="AI39" s="537">
        <f>Reserves!AI$100</f>
        <v>0</v>
      </c>
      <c r="AJ39" s="537">
        <f>Reserves!AJ$100</f>
        <v>0</v>
      </c>
      <c r="AK39" s="537">
        <f>Reserves!AK$100</f>
        <v>0</v>
      </c>
      <c r="AL39" s="537">
        <f>Reserves!AL$100</f>
        <v>0</v>
      </c>
      <c r="AM39" s="537">
        <f>Reserves!AM$100</f>
        <v>0</v>
      </c>
      <c r="AN39" s="537">
        <f>Reserves!AN$100</f>
        <v>0</v>
      </c>
      <c r="AO39" s="537">
        <f>Reserves!AO$100</f>
        <v>0</v>
      </c>
      <c r="AP39" s="537">
        <f>Reserves!AP$100</f>
        <v>0</v>
      </c>
      <c r="AQ39" s="537">
        <f>Reserves!AQ$100</f>
        <v>0</v>
      </c>
      <c r="AR39" s="537">
        <f>Reserves!AR$100</f>
        <v>0</v>
      </c>
      <c r="AS39" s="537">
        <f>Reserves!AS$100</f>
        <v>0</v>
      </c>
      <c r="AT39" s="537">
        <f>Reserves!AT$100</f>
        <v>0</v>
      </c>
      <c r="AU39" s="537">
        <f>Reserves!AU$100</f>
        <v>0</v>
      </c>
      <c r="AV39" s="537">
        <f>Reserves!AV$100</f>
        <v>0</v>
      </c>
      <c r="AW39" s="537">
        <f>Reserves!AW$100</f>
        <v>0</v>
      </c>
      <c r="AX39" s="537">
        <f>Reserves!AX$100</f>
        <v>0</v>
      </c>
      <c r="AY39" s="537">
        <f>Reserves!AY$100</f>
        <v>4.5474735088646412E-13</v>
      </c>
      <c r="AZ39" s="537">
        <f>Reserves!AZ$100</f>
        <v>0</v>
      </c>
      <c r="BA39" s="537">
        <f>Reserves!BA$100</f>
        <v>0</v>
      </c>
      <c r="BB39" s="537">
        <f>Reserves!BB$100</f>
        <v>0</v>
      </c>
      <c r="BC39" s="537">
        <f>Reserves!BC$100</f>
        <v>0</v>
      </c>
      <c r="BD39" s="537">
        <f>Reserves!BD$100</f>
        <v>0</v>
      </c>
      <c r="BE39" s="537">
        <f>Reserves!BE$100</f>
        <v>0</v>
      </c>
      <c r="BF39" s="537">
        <f>Reserves!BF$100</f>
        <v>0</v>
      </c>
      <c r="BG39" s="537">
        <f>Reserves!BG$100</f>
        <v>0</v>
      </c>
      <c r="BH39" s="537">
        <f>Reserves!BH$100</f>
        <v>0</v>
      </c>
      <c r="BI39" s="537">
        <f>Reserves!BI$100</f>
        <v>0</v>
      </c>
      <c r="BJ39" s="537">
        <f>Reserves!BJ$100</f>
        <v>0</v>
      </c>
      <c r="BK39" s="537">
        <f>Reserves!BK$100</f>
        <v>0</v>
      </c>
      <c r="BL39" s="537">
        <f>Reserves!BL$100</f>
        <v>0</v>
      </c>
      <c r="BM39" s="537">
        <f>Reserves!BM$100</f>
        <v>0</v>
      </c>
      <c r="BN39" s="537">
        <f>Reserves!BN$100</f>
        <v>0</v>
      </c>
      <c r="BO39" s="537">
        <f>Reserves!BO$100</f>
        <v>0</v>
      </c>
      <c r="BP39" s="537">
        <f>Reserves!BP$100</f>
        <v>0</v>
      </c>
      <c r="BQ39" s="537">
        <f>Reserves!BQ$100</f>
        <v>0</v>
      </c>
      <c r="BR39" s="537">
        <f>Reserves!BR$100</f>
        <v>0</v>
      </c>
      <c r="BS39" s="537">
        <f>Reserves!BS$100</f>
        <v>0</v>
      </c>
      <c r="BT39" s="537">
        <f>Reserves!BT$100</f>
        <v>0</v>
      </c>
      <c r="BU39" s="537">
        <f>Reserves!BU$100</f>
        <v>0</v>
      </c>
      <c r="BV39" s="537">
        <f>Reserves!BV$100</f>
        <v>0</v>
      </c>
      <c r="BW39" s="537">
        <f>Reserves!BW$100</f>
        <v>0</v>
      </c>
      <c r="BX39" s="537">
        <f>Reserves!BX$100</f>
        <v>0</v>
      </c>
      <c r="BY39" s="537">
        <f>Reserves!BY$100</f>
        <v>0</v>
      </c>
      <c r="BZ39" s="537">
        <f>Reserves!BZ$100</f>
        <v>0</v>
      </c>
      <c r="CA39" s="537">
        <f>Reserves!CA$100</f>
        <v>0</v>
      </c>
      <c r="CB39" s="537">
        <f>Reserves!CB$100</f>
        <v>0</v>
      </c>
      <c r="CC39" s="537">
        <f>Reserves!CC$100</f>
        <v>0</v>
      </c>
      <c r="CD39" s="537">
        <f>Reserves!CD$100</f>
        <v>0</v>
      </c>
      <c r="CE39" s="537">
        <f>Reserves!CE$100</f>
        <v>0</v>
      </c>
      <c r="CF39" s="537">
        <f>Reserves!CF$100</f>
        <v>0</v>
      </c>
      <c r="CG39" s="537">
        <f>Reserves!CG$100</f>
        <v>0</v>
      </c>
      <c r="CH39" s="537">
        <f>Reserves!CH$100</f>
        <v>0</v>
      </c>
      <c r="CI39" s="537">
        <f>Reserves!CI$100</f>
        <v>0</v>
      </c>
      <c r="CJ39" s="537">
        <f>Reserves!CJ$100</f>
        <v>0</v>
      </c>
      <c r="CK39" s="537">
        <f>Reserves!CK$100</f>
        <v>0</v>
      </c>
      <c r="CL39" s="537">
        <f>Reserves!CL$100</f>
        <v>0</v>
      </c>
      <c r="CM39" s="537">
        <f>Reserves!CM$100</f>
        <v>0</v>
      </c>
      <c r="CN39" s="537">
        <f>Reserves!CN$100</f>
        <v>0</v>
      </c>
      <c r="CO39" s="537">
        <f>Reserves!CO$100</f>
        <v>0</v>
      </c>
      <c r="CP39" s="537">
        <f>Reserves!CP$100</f>
        <v>0</v>
      </c>
      <c r="CQ39" s="537">
        <f>Reserves!CQ$100</f>
        <v>0</v>
      </c>
      <c r="CR39" s="537">
        <f>Reserves!CR$100</f>
        <v>0</v>
      </c>
      <c r="CS39" s="537">
        <f>Reserves!CS$100</f>
        <v>0</v>
      </c>
      <c r="CT39" s="537">
        <f>Reserves!CT$100</f>
        <v>0</v>
      </c>
      <c r="CU39" s="537">
        <f>Reserves!CU$100</f>
        <v>0</v>
      </c>
      <c r="CV39" s="537">
        <f>Reserves!CV$100</f>
        <v>0</v>
      </c>
      <c r="CW39" s="537">
        <f>Reserves!CW$100</f>
        <v>0</v>
      </c>
      <c r="CX39" s="537">
        <f>Reserves!CX$100</f>
        <v>0</v>
      </c>
      <c r="CY39" s="537">
        <f>Reserves!CY$100</f>
        <v>0</v>
      </c>
      <c r="CZ39" s="537">
        <f>Reserves!CZ$100</f>
        <v>0</v>
      </c>
      <c r="DA39" s="537">
        <f>Reserves!DA$100</f>
        <v>0</v>
      </c>
      <c r="DB39" s="537">
        <f>Reserves!DB$100</f>
        <v>0</v>
      </c>
      <c r="DC39" s="537">
        <f>Reserves!DC$100</f>
        <v>0</v>
      </c>
      <c r="DD39" s="537">
        <f>Reserves!DD$100</f>
        <v>0</v>
      </c>
      <c r="DE39" s="537">
        <f>Reserves!DE$100</f>
        <v>0</v>
      </c>
      <c r="DF39" s="537">
        <f>Reserves!DF$100</f>
        <v>0</v>
      </c>
      <c r="DG39" s="537">
        <f>Reserves!DG$100</f>
        <v>9.0949470177292824E-13</v>
      </c>
      <c r="DH39" s="537">
        <f>Reserves!DH$100</f>
        <v>0</v>
      </c>
      <c r="DI39" s="537">
        <f>Reserves!DI$100</f>
        <v>0</v>
      </c>
      <c r="DJ39" s="537">
        <f>Reserves!DJ$100</f>
        <v>0</v>
      </c>
      <c r="DK39" s="537">
        <f>Reserves!DK$100</f>
        <v>0</v>
      </c>
      <c r="DL39" s="537">
        <f>Reserves!DL$100</f>
        <v>0</v>
      </c>
      <c r="DM39" s="537">
        <f>Reserves!DM$100</f>
        <v>0</v>
      </c>
      <c r="DN39" s="537">
        <f>Reserves!DN$100</f>
        <v>0</v>
      </c>
      <c r="DO39" s="537">
        <f>Reserves!DO$100</f>
        <v>0</v>
      </c>
      <c r="DP39" s="537">
        <f>Reserves!DP$100</f>
        <v>0</v>
      </c>
      <c r="DQ39" s="537">
        <f>Reserves!DQ$100</f>
        <v>0</v>
      </c>
      <c r="DR39" s="537">
        <f>Reserves!DR$100</f>
        <v>0</v>
      </c>
      <c r="DS39" s="537">
        <f>Reserves!DS$100</f>
        <v>0</v>
      </c>
      <c r="DT39" s="537">
        <f>Reserves!DT$100</f>
        <v>0</v>
      </c>
      <c r="DU39" s="537">
        <f>Reserves!DU$100</f>
        <v>0</v>
      </c>
      <c r="DV39" s="537">
        <f>Reserves!DV$100</f>
        <v>0</v>
      </c>
      <c r="DW39" s="537">
        <f>Reserves!DW$100</f>
        <v>0</v>
      </c>
      <c r="DX39" s="537">
        <f>Reserves!DX$100</f>
        <v>0</v>
      </c>
      <c r="DY39" s="537">
        <f>Reserves!DY$100</f>
        <v>0</v>
      </c>
      <c r="DZ39" s="537">
        <f>Reserves!DZ$100</f>
        <v>0</v>
      </c>
      <c r="EA39" s="537">
        <f>Reserves!EA$100</f>
        <v>0</v>
      </c>
      <c r="EB39" s="537">
        <f>Reserves!EB$100</f>
        <v>0</v>
      </c>
      <c r="EC39" s="537">
        <f>Reserves!EC$100</f>
        <v>0</v>
      </c>
      <c r="ED39" s="537">
        <f>Reserves!ED$100</f>
        <v>0</v>
      </c>
      <c r="EE39" s="537">
        <f>Reserves!EE$100</f>
        <v>0</v>
      </c>
      <c r="EF39" s="537">
        <f>Reserves!EF$100</f>
        <v>0</v>
      </c>
      <c r="EG39" s="537">
        <f>Reserves!EG$100</f>
        <v>0</v>
      </c>
    </row>
    <row r="40" spans="5:137" ht="12.75">
      <c r="E40" s="535" t="str">
        <f>Reserves!E$105</f>
        <v>MRA - deposit towards target</v>
      </c>
      <c r="G40" s="537" t="str">
        <f>Reserves!G$105</f>
        <v>EUR 000s</v>
      </c>
      <c r="H40" s="537">
        <f>Reserves!H$105</f>
        <v>33815.205287834237</v>
      </c>
      <c r="J40" s="537">
        <f>Reserves!J$105</f>
        <v>0</v>
      </c>
      <c r="K40" s="537">
        <f>Reserves!K$105</f>
        <v>0</v>
      </c>
      <c r="L40" s="537">
        <f>Reserves!L$105</f>
        <v>0</v>
      </c>
      <c r="M40" s="537">
        <f>Reserves!M$105</f>
        <v>0</v>
      </c>
      <c r="N40" s="537">
        <f>Reserves!N$105</f>
        <v>0</v>
      </c>
      <c r="O40" s="537">
        <f>Reserves!O$105</f>
        <v>0</v>
      </c>
      <c r="P40" s="537">
        <f>Reserves!P$105</f>
        <v>0</v>
      </c>
      <c r="Q40" s="537">
        <f>Reserves!Q$105</f>
        <v>0</v>
      </c>
      <c r="R40" s="537">
        <f>Reserves!R$105</f>
        <v>0</v>
      </c>
      <c r="S40" s="537">
        <f>Reserves!S$105</f>
        <v>0</v>
      </c>
      <c r="T40" s="537">
        <f>Reserves!T$105</f>
        <v>0</v>
      </c>
      <c r="U40" s="537">
        <f>Reserves!U$105</f>
        <v>0</v>
      </c>
      <c r="V40" s="537">
        <f>Reserves!V$105</f>
        <v>0</v>
      </c>
      <c r="W40" s="537">
        <f>Reserves!W$105</f>
        <v>0</v>
      </c>
      <c r="X40" s="537">
        <f>Reserves!X$105</f>
        <v>0</v>
      </c>
      <c r="Y40" s="537">
        <f>Reserves!Y$105</f>
        <v>0</v>
      </c>
      <c r="Z40" s="537">
        <f>Reserves!Z$105</f>
        <v>0</v>
      </c>
      <c r="AA40" s="537">
        <f>Reserves!AA$105</f>
        <v>0</v>
      </c>
      <c r="AB40" s="537">
        <f>Reserves!AB$105</f>
        <v>0</v>
      </c>
      <c r="AC40" s="537">
        <f>Reserves!AC$105</f>
        <v>0</v>
      </c>
      <c r="AD40" s="537">
        <f>Reserves!AD$105</f>
        <v>0</v>
      </c>
      <c r="AE40" s="537">
        <f>Reserves!AE$105</f>
        <v>0</v>
      </c>
      <c r="AF40" s="537">
        <f>Reserves!AF$105</f>
        <v>0</v>
      </c>
      <c r="AG40" s="537">
        <f>Reserves!AG$105</f>
        <v>0</v>
      </c>
      <c r="AH40" s="537">
        <f>Reserves!AH$105</f>
        <v>0</v>
      </c>
      <c r="AI40" s="537">
        <f>Reserves!AI$105</f>
        <v>0</v>
      </c>
      <c r="AJ40" s="537">
        <f>Reserves!AJ$105</f>
        <v>0</v>
      </c>
      <c r="AK40" s="537">
        <f>Reserves!AK$105</f>
        <v>0</v>
      </c>
      <c r="AL40" s="537">
        <f>Reserves!AL$105</f>
        <v>0</v>
      </c>
      <c r="AM40" s="537">
        <f>Reserves!AM$105</f>
        <v>0</v>
      </c>
      <c r="AN40" s="537">
        <f>Reserves!AN$105</f>
        <v>0</v>
      </c>
      <c r="AO40" s="537">
        <f>Reserves!AO$105</f>
        <v>0</v>
      </c>
      <c r="AP40" s="537">
        <f>Reserves!AP$105</f>
        <v>0</v>
      </c>
      <c r="AQ40" s="537">
        <f>Reserves!AQ$105</f>
        <v>0</v>
      </c>
      <c r="AR40" s="537">
        <f>Reserves!AR$105</f>
        <v>0</v>
      </c>
      <c r="AS40" s="537">
        <f>Reserves!AS$105</f>
        <v>0</v>
      </c>
      <c r="AT40" s="537">
        <f>Reserves!AT$105</f>
        <v>1739.5401273193352</v>
      </c>
      <c r="AU40" s="537">
        <f>Reserves!AU$105</f>
        <v>1739.5401273193352</v>
      </c>
      <c r="AV40" s="537">
        <f>Reserves!AV$105</f>
        <v>1739.5401273193356</v>
      </c>
      <c r="AW40" s="537">
        <f>Reserves!AW$105</f>
        <v>1739.5401273193347</v>
      </c>
      <c r="AX40" s="537">
        <f>Reserves!AX$105</f>
        <v>0</v>
      </c>
      <c r="AY40" s="537">
        <f>Reserves!AY$105</f>
        <v>0</v>
      </c>
      <c r="AZ40" s="537">
        <f>Reserves!AZ$105</f>
        <v>0</v>
      </c>
      <c r="BA40" s="537">
        <f>Reserves!BA$105</f>
        <v>0</v>
      </c>
      <c r="BB40" s="537">
        <f>Reserves!BB$105</f>
        <v>0</v>
      </c>
      <c r="BC40" s="537">
        <f>Reserves!BC$105</f>
        <v>0</v>
      </c>
      <c r="BD40" s="537">
        <f>Reserves!BD$105</f>
        <v>0</v>
      </c>
      <c r="BE40" s="537">
        <f>Reserves!BE$105</f>
        <v>0</v>
      </c>
      <c r="BF40" s="537">
        <f>Reserves!BF$105</f>
        <v>0</v>
      </c>
      <c r="BG40" s="537">
        <f>Reserves!BG$105</f>
        <v>0</v>
      </c>
      <c r="BH40" s="537">
        <f>Reserves!BH$105</f>
        <v>0</v>
      </c>
      <c r="BI40" s="537">
        <f>Reserves!BI$105</f>
        <v>0</v>
      </c>
      <c r="BJ40" s="537">
        <f>Reserves!BJ$105</f>
        <v>0</v>
      </c>
      <c r="BK40" s="537">
        <f>Reserves!BK$105</f>
        <v>0</v>
      </c>
      <c r="BL40" s="537">
        <f>Reserves!BL$105</f>
        <v>0</v>
      </c>
      <c r="BM40" s="537">
        <f>Reserves!BM$105</f>
        <v>0</v>
      </c>
      <c r="BN40" s="537">
        <f>Reserves!BN$105</f>
        <v>1968.1299867018984</v>
      </c>
      <c r="BO40" s="537">
        <f>Reserves!BO$105</f>
        <v>1968.1299867018984</v>
      </c>
      <c r="BP40" s="537">
        <f>Reserves!BP$105</f>
        <v>1968.1299867018979</v>
      </c>
      <c r="BQ40" s="537">
        <f>Reserves!BQ$105</f>
        <v>1968.1299867018988</v>
      </c>
      <c r="BR40" s="537">
        <f>Reserves!BR$105</f>
        <v>0</v>
      </c>
      <c r="BS40" s="537">
        <f>Reserves!BS$105</f>
        <v>4.5474735088646412E-13</v>
      </c>
      <c r="BT40" s="537">
        <f>Reserves!BT$105</f>
        <v>0</v>
      </c>
      <c r="BU40" s="537">
        <f>Reserves!BU$105</f>
        <v>0</v>
      </c>
      <c r="BV40" s="537">
        <f>Reserves!BV$105</f>
        <v>0</v>
      </c>
      <c r="BW40" s="537">
        <f>Reserves!BW$105</f>
        <v>0</v>
      </c>
      <c r="BX40" s="537">
        <f>Reserves!BX$105</f>
        <v>0</v>
      </c>
      <c r="BY40" s="537">
        <f>Reserves!BY$105</f>
        <v>0</v>
      </c>
      <c r="BZ40" s="537">
        <f>Reserves!BZ$105</f>
        <v>0</v>
      </c>
      <c r="CA40" s="537">
        <f>Reserves!CA$105</f>
        <v>0</v>
      </c>
      <c r="CB40" s="537">
        <f>Reserves!CB$105</f>
        <v>0</v>
      </c>
      <c r="CC40" s="537">
        <f>Reserves!CC$105</f>
        <v>0</v>
      </c>
      <c r="CD40" s="537">
        <f>Reserves!CD$105</f>
        <v>0</v>
      </c>
      <c r="CE40" s="537">
        <f>Reserves!CE$105</f>
        <v>0</v>
      </c>
      <c r="CF40" s="537">
        <f>Reserves!CF$105</f>
        <v>0</v>
      </c>
      <c r="CG40" s="537">
        <f>Reserves!CG$105</f>
        <v>0</v>
      </c>
      <c r="CH40" s="537">
        <f>Reserves!CH$105</f>
        <v>2226.7584309908434</v>
      </c>
      <c r="CI40" s="537">
        <f>Reserves!CI$105</f>
        <v>2226.7584309908434</v>
      </c>
      <c r="CJ40" s="537">
        <f>Reserves!CJ$105</f>
        <v>2226.7584309908434</v>
      </c>
      <c r="CK40" s="537">
        <f>Reserves!CK$105</f>
        <v>2226.7584309908434</v>
      </c>
      <c r="CL40" s="537">
        <f>Reserves!CL$105</f>
        <v>0</v>
      </c>
      <c r="CM40" s="537">
        <f>Reserves!CM$105</f>
        <v>0</v>
      </c>
      <c r="CN40" s="537">
        <f>Reserves!CN$105</f>
        <v>0</v>
      </c>
      <c r="CO40" s="537">
        <f>Reserves!CO$105</f>
        <v>0</v>
      </c>
      <c r="CP40" s="537">
        <f>Reserves!CP$105</f>
        <v>0</v>
      </c>
      <c r="CQ40" s="537">
        <f>Reserves!CQ$105</f>
        <v>0</v>
      </c>
      <c r="CR40" s="537">
        <f>Reserves!CR$105</f>
        <v>0</v>
      </c>
      <c r="CS40" s="537">
        <f>Reserves!CS$105</f>
        <v>0</v>
      </c>
      <c r="CT40" s="537">
        <f>Reserves!CT$105</f>
        <v>0</v>
      </c>
      <c r="CU40" s="537">
        <f>Reserves!CU$105</f>
        <v>0</v>
      </c>
      <c r="CV40" s="537">
        <f>Reserves!CV$105</f>
        <v>0</v>
      </c>
      <c r="CW40" s="537">
        <f>Reserves!CW$105</f>
        <v>0</v>
      </c>
      <c r="CX40" s="537">
        <f>Reserves!CX$105</f>
        <v>0</v>
      </c>
      <c r="CY40" s="537">
        <f>Reserves!CY$105</f>
        <v>0</v>
      </c>
      <c r="CZ40" s="537">
        <f>Reserves!CZ$105</f>
        <v>0</v>
      </c>
      <c r="DA40" s="537">
        <f>Reserves!DA$105</f>
        <v>0</v>
      </c>
      <c r="DB40" s="537">
        <f>Reserves!DB$105</f>
        <v>2519.3727769464808</v>
      </c>
      <c r="DC40" s="537">
        <f>Reserves!DC$105</f>
        <v>2519.3727769464808</v>
      </c>
      <c r="DD40" s="537">
        <f>Reserves!DD$105</f>
        <v>2519.3727769464813</v>
      </c>
      <c r="DE40" s="537">
        <f>Reserves!DE$105</f>
        <v>2519.3727769464804</v>
      </c>
      <c r="DF40" s="537">
        <f>Reserves!DF$105</f>
        <v>0</v>
      </c>
      <c r="DG40" s="537">
        <f>Reserves!DG$105</f>
        <v>0</v>
      </c>
      <c r="DH40" s="537">
        <f>Reserves!DH$105</f>
        <v>0</v>
      </c>
      <c r="DI40" s="537">
        <f>Reserves!DI$105</f>
        <v>0</v>
      </c>
      <c r="DJ40" s="537">
        <f>Reserves!DJ$105</f>
        <v>0</v>
      </c>
      <c r="DK40" s="537">
        <f>Reserves!DK$105</f>
        <v>0</v>
      </c>
      <c r="DL40" s="537">
        <f>Reserves!DL$105</f>
        <v>0</v>
      </c>
      <c r="DM40" s="537">
        <f>Reserves!DM$105</f>
        <v>0</v>
      </c>
      <c r="DN40" s="537">
        <f>Reserves!DN$105</f>
        <v>0</v>
      </c>
      <c r="DO40" s="537">
        <f>Reserves!DO$105</f>
        <v>0</v>
      </c>
      <c r="DP40" s="537">
        <f>Reserves!DP$105</f>
        <v>0</v>
      </c>
      <c r="DQ40" s="537">
        <f>Reserves!DQ$105</f>
        <v>0</v>
      </c>
      <c r="DR40" s="537">
        <f>Reserves!DR$105</f>
        <v>0</v>
      </c>
      <c r="DS40" s="537">
        <f>Reserves!DS$105</f>
        <v>0</v>
      </c>
      <c r="DT40" s="537">
        <f>Reserves!DT$105</f>
        <v>0</v>
      </c>
      <c r="DU40" s="537">
        <f>Reserves!DU$105</f>
        <v>0</v>
      </c>
      <c r="DV40" s="537">
        <f>Reserves!DV$105</f>
        <v>0</v>
      </c>
      <c r="DW40" s="537">
        <f>Reserves!DW$105</f>
        <v>0</v>
      </c>
      <c r="DX40" s="537">
        <f>Reserves!DX$105</f>
        <v>0</v>
      </c>
      <c r="DY40" s="537">
        <f>Reserves!DY$105</f>
        <v>0</v>
      </c>
      <c r="DZ40" s="537">
        <f>Reserves!DZ$105</f>
        <v>0</v>
      </c>
      <c r="EA40" s="537">
        <f>Reserves!EA$105</f>
        <v>0</v>
      </c>
      <c r="EB40" s="537">
        <f>Reserves!EB$105</f>
        <v>0</v>
      </c>
      <c r="EC40" s="537">
        <f>Reserves!EC$105</f>
        <v>0</v>
      </c>
      <c r="ED40" s="537">
        <f>Reserves!ED$105</f>
        <v>0</v>
      </c>
      <c r="EE40" s="537">
        <f>Reserves!EE$105</f>
        <v>0</v>
      </c>
      <c r="EF40" s="537">
        <f>Reserves!EF$105</f>
        <v>0</v>
      </c>
      <c r="EG40" s="537">
        <f>Reserves!EG$105</f>
        <v>0</v>
      </c>
    </row>
    <row r="41" spans="5:137" ht="12.75">
      <c r="E41" s="538" t="str">
        <f>E$33</f>
        <v>Cash flow - after DSRA movements</v>
      </c>
      <c r="G41" s="539" t="str">
        <f>G$33</f>
        <v>EUR 000s</v>
      </c>
      <c r="H41" s="539">
        <f>H$33</f>
        <v>615278.03263465303</v>
      </c>
      <c r="J41" s="539">
        <f t="shared" si="9" ref="J41:EG41">J$33</f>
        <v>0</v>
      </c>
      <c r="K41" s="539">
        <f t="shared" si="9"/>
        <v>0</v>
      </c>
      <c r="L41" s="539">
        <f t="shared" si="9"/>
        <v>0</v>
      </c>
      <c r="M41" s="539">
        <f t="shared" si="9"/>
        <v>0</v>
      </c>
      <c r="N41" s="539">
        <f t="shared" si="9"/>
        <v>0</v>
      </c>
      <c r="O41" s="539">
        <f t="shared" si="9"/>
        <v>0</v>
      </c>
      <c r="P41" s="539">
        <f t="shared" si="9"/>
        <v>1.8189894035458565E-12</v>
      </c>
      <c r="Q41" s="539">
        <f t="shared" si="9"/>
        <v>0</v>
      </c>
      <c r="R41" s="539">
        <f t="shared" si="9"/>
        <v>0</v>
      </c>
      <c r="S41" s="539">
        <f t="shared" si="9"/>
        <v>0</v>
      </c>
      <c r="T41" s="539">
        <f t="shared" si="9"/>
        <v>0</v>
      </c>
      <c r="U41" s="539">
        <f t="shared" si="9"/>
        <v>0</v>
      </c>
      <c r="V41" s="539">
        <f t="shared" si="9"/>
        <v>0</v>
      </c>
      <c r="W41" s="539">
        <f t="shared" si="9"/>
        <v>0</v>
      </c>
      <c r="X41" s="539">
        <f t="shared" si="9"/>
        <v>0</v>
      </c>
      <c r="Y41" s="539">
        <f t="shared" si="9"/>
        <v>0</v>
      </c>
      <c r="Z41" s="539">
        <f t="shared" si="9"/>
        <v>0</v>
      </c>
      <c r="AA41" s="539">
        <f t="shared" si="9"/>
        <v>0</v>
      </c>
      <c r="AB41" s="539">
        <f t="shared" si="9"/>
        <v>0</v>
      </c>
      <c r="AC41" s="539">
        <f t="shared" si="9"/>
        <v>0</v>
      </c>
      <c r="AD41" s="539">
        <f t="shared" si="9"/>
        <v>0</v>
      </c>
      <c r="AE41" s="539">
        <f t="shared" si="9"/>
        <v>0</v>
      </c>
      <c r="AF41" s="539">
        <f t="shared" si="9"/>
        <v>0</v>
      </c>
      <c r="AG41" s="539">
        <f t="shared" si="9"/>
        <v>0</v>
      </c>
      <c r="AH41" s="539">
        <f t="shared" si="9"/>
        <v>2472.0243110822994</v>
      </c>
      <c r="AI41" s="539">
        <f t="shared" si="9"/>
        <v>4372.0469863696017</v>
      </c>
      <c r="AJ41" s="539">
        <f t="shared" si="9"/>
        <v>4322.0490486505641</v>
      </c>
      <c r="AK41" s="539">
        <f t="shared" si="9"/>
        <v>4259.7573471290352</v>
      </c>
      <c r="AL41" s="539">
        <f t="shared" si="9"/>
        <v>4355.9875470767938</v>
      </c>
      <c r="AM41" s="539">
        <f t="shared" si="9"/>
        <v>4448.7363795644842</v>
      </c>
      <c r="AN41" s="539">
        <f t="shared" si="9"/>
        <v>4397.6751610317833</v>
      </c>
      <c r="AO41" s="539">
        <f t="shared" si="9"/>
        <v>4334.7372415828549</v>
      </c>
      <c r="AP41" s="539">
        <f t="shared" si="9"/>
        <v>4433.019613939412</v>
      </c>
      <c r="AQ41" s="539">
        <f t="shared" si="9"/>
        <v>4526.6827641565123</v>
      </c>
      <c r="AR41" s="539">
        <f t="shared" si="9"/>
        <v>4463.7444995532614</v>
      </c>
      <c r="AS41" s="539">
        <f t="shared" si="9"/>
        <v>4421.7456998422203</v>
      </c>
      <c r="AT41" s="539">
        <f t="shared" si="9"/>
        <v>4532.2363281052722</v>
      </c>
      <c r="AU41" s="539">
        <f t="shared" si="9"/>
        <v>4587.2528658534648</v>
      </c>
      <c r="AV41" s="539">
        <f t="shared" si="9"/>
        <v>4552.6472349056558</v>
      </c>
      <c r="AW41" s="539">
        <f t="shared" si="9"/>
        <v>4484.0624992970661</v>
      </c>
      <c r="AX41" s="539">
        <f t="shared" si="9"/>
        <v>4590.9456581576906</v>
      </c>
      <c r="AY41" s="539">
        <f t="shared" si="9"/>
        <v>4688.8491426837472</v>
      </c>
      <c r="AZ41" s="539">
        <f t="shared" si="9"/>
        <v>4695.7070110363047</v>
      </c>
      <c r="BA41" s="539">
        <f t="shared" si="9"/>
        <v>4635.2385459120451</v>
      </c>
      <c r="BB41" s="539">
        <f t="shared" si="9"/>
        <v>4629.9958347841712</v>
      </c>
      <c r="BC41" s="539">
        <f t="shared" si="9"/>
        <v>4717.0266829894308</v>
      </c>
      <c r="BD41" s="539">
        <f t="shared" si="9"/>
        <v>4657.2157187842731</v>
      </c>
      <c r="BE41" s="539">
        <f t="shared" si="9"/>
        <v>4583.2198048124383</v>
      </c>
      <c r="BF41" s="539">
        <f t="shared" si="9"/>
        <v>4673.0355243577897</v>
      </c>
      <c r="BG41" s="539">
        <f t="shared" si="9"/>
        <v>4762.5167500515399</v>
      </c>
      <c r="BH41" s="539">
        <f t="shared" si="9"/>
        <v>4691.8004919160858</v>
      </c>
      <c r="BI41" s="539">
        <f t="shared" si="9"/>
        <v>4641.206219903971</v>
      </c>
      <c r="BJ41" s="539">
        <f t="shared" si="9"/>
        <v>4745.1110854878325</v>
      </c>
      <c r="BK41" s="539">
        <f t="shared" si="9"/>
        <v>4792.9978242001662</v>
      </c>
      <c r="BL41" s="539">
        <f t="shared" si="9"/>
        <v>4755.5809209485196</v>
      </c>
      <c r="BM41" s="539">
        <f t="shared" si="9"/>
        <v>4682.9617413931028</v>
      </c>
      <c r="BN41" s="539">
        <f t="shared" si="9"/>
        <v>4779.5983154431606</v>
      </c>
      <c r="BO41" s="539">
        <f t="shared" si="9"/>
        <v>4873.1996825202941</v>
      </c>
      <c r="BP41" s="539">
        <f t="shared" si="9"/>
        <v>4760.4383505413916</v>
      </c>
      <c r="BQ41" s="539">
        <f t="shared" si="9"/>
        <v>4688.1963807699676</v>
      </c>
      <c r="BR41" s="539">
        <f t="shared" si="9"/>
        <v>4891.3353177086292</v>
      </c>
      <c r="BS41" s="539">
        <f t="shared" si="9"/>
        <v>4986.68569772107</v>
      </c>
      <c r="BT41" s="539">
        <f t="shared" si="9"/>
        <v>5066.1993006522434</v>
      </c>
      <c r="BU41" s="539">
        <f t="shared" si="9"/>
        <v>5405.301992083726</v>
      </c>
      <c r="BV41" s="539">
        <f t="shared" si="9"/>
        <v>5246.5121949894628</v>
      </c>
      <c r="BW41" s="539">
        <f t="shared" si="9"/>
        <v>4554.7678268896525</v>
      </c>
      <c r="BX41" s="539">
        <f t="shared" si="9"/>
        <v>4486.1978765519734</v>
      </c>
      <c r="BY41" s="539">
        <f t="shared" si="9"/>
        <v>4429.9652756775695</v>
      </c>
      <c r="BZ41" s="539">
        <f t="shared" si="9"/>
        <v>4552.5607425494454</v>
      </c>
      <c r="CA41" s="539">
        <f t="shared" si="9"/>
        <v>4773.7676029526074</v>
      </c>
      <c r="CB41" s="539">
        <f t="shared" si="9"/>
        <v>4690.1775137470322</v>
      </c>
      <c r="CC41" s="539">
        <f t="shared" si="9"/>
        <v>4274.8365280066346</v>
      </c>
      <c r="CD41" s="539">
        <f t="shared" si="9"/>
        <v>4321.3134548763692</v>
      </c>
      <c r="CE41" s="539">
        <f t="shared" si="9"/>
        <v>4413.9780591819081</v>
      </c>
      <c r="CF41" s="539">
        <f t="shared" si="9"/>
        <v>4368.5578436146661</v>
      </c>
      <c r="CG41" s="539">
        <f t="shared" si="9"/>
        <v>4283.5118246307165</v>
      </c>
      <c r="CH41" s="539">
        <f t="shared" si="9"/>
        <v>4337.2944034400307</v>
      </c>
      <c r="CI41" s="539">
        <f t="shared" si="9"/>
        <v>4431.3608250195857</v>
      </c>
      <c r="CJ41" s="539">
        <f t="shared" si="9"/>
        <v>4097.543581541725</v>
      </c>
      <c r="CK41" s="539">
        <f t="shared" si="9"/>
        <v>4013.6755911856853</v>
      </c>
      <c r="CL41" s="539">
        <f t="shared" si="9"/>
        <v>4628.8303227158403</v>
      </c>
      <c r="CM41" s="539">
        <f t="shared" si="9"/>
        <v>4723.5203653725785</v>
      </c>
      <c r="CN41" s="539">
        <f t="shared" si="9"/>
        <v>4948.935086001231</v>
      </c>
      <c r="CO41" s="539">
        <f t="shared" si="9"/>
        <v>4889.99295027068</v>
      </c>
      <c r="CP41" s="539">
        <f t="shared" si="9"/>
        <v>4408.4942242291327</v>
      </c>
      <c r="CQ41" s="539">
        <f t="shared" si="9"/>
        <v>4454.0921236772019</v>
      </c>
      <c r="CR41" s="539">
        <f t="shared" si="9"/>
        <v>4428.3806644411152</v>
      </c>
      <c r="CS41" s="539">
        <f t="shared" si="9"/>
        <v>4344.7192119229667</v>
      </c>
      <c r="CT41" s="539">
        <f t="shared" si="9"/>
        <v>4410.7908852154824</v>
      </c>
      <c r="CU41" s="539">
        <f t="shared" si="9"/>
        <v>4507.2180043044709</v>
      </c>
      <c r="CV41" s="539">
        <f t="shared" si="9"/>
        <v>4455.6468509356973</v>
      </c>
      <c r="CW41" s="539">
        <f t="shared" si="9"/>
        <v>4372.1040514103006</v>
      </c>
      <c r="CX41" s="539">
        <f t="shared" si="9"/>
        <v>4442.1439989063965</v>
      </c>
      <c r="CY41" s="539">
        <f t="shared" si="9"/>
        <v>4538.8867633803111</v>
      </c>
      <c r="CZ41" s="539">
        <f t="shared" si="9"/>
        <v>9289.0498453167747</v>
      </c>
      <c r="DA41" s="539">
        <f t="shared" si="9"/>
        <v>9243.2109589193478</v>
      </c>
      <c r="DB41" s="539">
        <f t="shared" si="9"/>
        <v>9250.1759971050742</v>
      </c>
      <c r="DC41" s="539">
        <f t="shared" si="9"/>
        <v>9339.0671459746045</v>
      </c>
      <c r="DD41" s="539">
        <f t="shared" si="9"/>
        <v>9333.4126291791054</v>
      </c>
      <c r="DE41" s="539">
        <f t="shared" si="9"/>
        <v>9304.4998770319035</v>
      </c>
      <c r="DF41" s="539">
        <f t="shared" si="9"/>
        <v>10042.297500103878</v>
      </c>
      <c r="DG41" s="539">
        <f t="shared" si="9"/>
        <v>10083.037086594606</v>
      </c>
      <c r="DH41" s="539">
        <f t="shared" si="9"/>
        <v>10103.030440845592</v>
      </c>
      <c r="DI41" s="539">
        <f t="shared" si="9"/>
        <v>10074.710093976457</v>
      </c>
      <c r="DJ41" s="539">
        <f t="shared" si="9"/>
        <v>9531.0000277068248</v>
      </c>
      <c r="DK41" s="539">
        <f t="shared" si="9"/>
        <v>9622.5760692221538</v>
      </c>
      <c r="DL41" s="539">
        <f t="shared" si="9"/>
        <v>9618.4891847043327</v>
      </c>
      <c r="DM41" s="539">
        <f t="shared" si="9"/>
        <v>9590.6249782264968</v>
      </c>
      <c r="DN41" s="539">
        <f t="shared" si="9"/>
        <v>9679.6513243283043</v>
      </c>
      <c r="DO41" s="539">
        <f t="shared" si="9"/>
        <v>9772.3259446832872</v>
      </c>
      <c r="DP41" s="539">
        <f t="shared" si="9"/>
        <v>9768.8299907587207</v>
      </c>
      <c r="DQ41" s="539">
        <f t="shared" si="9"/>
        <v>9741.3091688148925</v>
      </c>
      <c r="DR41" s="539">
        <f t="shared" si="9"/>
        <v>9833.1752700445759</v>
      </c>
      <c r="DS41" s="539">
        <f t="shared" si="9"/>
        <v>9926.8134161951511</v>
      </c>
      <c r="DT41" s="539">
        <f t="shared" si="9"/>
        <v>9923.8082057289866</v>
      </c>
      <c r="DU41" s="539">
        <f t="shared" si="9"/>
        <v>9896.5376166003607</v>
      </c>
      <c r="DV41" s="539">
        <f t="shared" si="9"/>
        <v>10016.918852742816</v>
      </c>
      <c r="DW41" s="539">
        <f t="shared" si="9"/>
        <v>10059.983606963106</v>
      </c>
      <c r="DX41" s="539">
        <f t="shared" si="9"/>
        <v>10083.094712487115</v>
      </c>
      <c r="DY41" s="539">
        <f t="shared" si="9"/>
        <v>10055.997562626802</v>
      </c>
      <c r="DZ41" s="539">
        <f t="shared" si="9"/>
        <v>10153.459517752461</v>
      </c>
      <c r="EA41" s="539">
        <f t="shared" si="9"/>
        <v>10248.680194721674</v>
      </c>
      <c r="EB41" s="539">
        <f t="shared" si="9"/>
        <v>10246.420544942679</v>
      </c>
      <c r="EC41" s="539">
        <f t="shared" si="9"/>
        <v>10948.88102751593</v>
      </c>
      <c r="ED41" s="539">
        <f t="shared" si="9"/>
        <v>2308.4176722004668</v>
      </c>
      <c r="EE41" s="539">
        <f t="shared" si="9"/>
        <v>0</v>
      </c>
      <c r="EF41" s="539">
        <f t="shared" si="9"/>
        <v>0</v>
      </c>
      <c r="EG41" s="539">
        <f t="shared" si="9"/>
        <v>0</v>
      </c>
    </row>
    <row r="42" spans="5:137" ht="12.75">
      <c r="E42" s="538" t="s">
        <v>398</v>
      </c>
      <c r="G42" s="539" t="s">
        <v>30</v>
      </c>
      <c r="H42" s="539">
        <f>SUM(J42:EG42)</f>
        <v>581462.82734681887</v>
      </c>
      <c r="J42" s="539">
        <f t="shared" si="10" ref="J42:EG42">J41+J39-J40</f>
        <v>0</v>
      </c>
      <c r="K42" s="539">
        <f t="shared" si="10"/>
        <v>0</v>
      </c>
      <c r="L42" s="539">
        <f t="shared" si="10"/>
        <v>0</v>
      </c>
      <c r="M42" s="539">
        <f t="shared" si="10"/>
        <v>0</v>
      </c>
      <c r="N42" s="539">
        <f t="shared" si="10"/>
        <v>0</v>
      </c>
      <c r="O42" s="539">
        <f t="shared" si="10"/>
        <v>0</v>
      </c>
      <c r="P42" s="539">
        <f t="shared" si="10"/>
        <v>1.8189894035458565E-12</v>
      </c>
      <c r="Q42" s="539">
        <f t="shared" si="10"/>
        <v>0</v>
      </c>
      <c r="R42" s="539">
        <f t="shared" si="10"/>
        <v>0</v>
      </c>
      <c r="S42" s="539">
        <f t="shared" si="10"/>
        <v>0</v>
      </c>
      <c r="T42" s="539">
        <f t="shared" si="10"/>
        <v>0</v>
      </c>
      <c r="U42" s="539">
        <f t="shared" si="10"/>
        <v>0</v>
      </c>
      <c r="V42" s="539">
        <f t="shared" si="10"/>
        <v>0</v>
      </c>
      <c r="W42" s="539">
        <f t="shared" si="10"/>
        <v>0</v>
      </c>
      <c r="X42" s="539">
        <f t="shared" si="10"/>
        <v>0</v>
      </c>
      <c r="Y42" s="539">
        <f t="shared" si="10"/>
        <v>0</v>
      </c>
      <c r="Z42" s="539">
        <f t="shared" si="10"/>
        <v>0</v>
      </c>
      <c r="AA42" s="539">
        <f t="shared" si="10"/>
        <v>0</v>
      </c>
      <c r="AB42" s="539">
        <f t="shared" si="10"/>
        <v>0</v>
      </c>
      <c r="AC42" s="539">
        <f t="shared" si="10"/>
        <v>0</v>
      </c>
      <c r="AD42" s="539">
        <f t="shared" si="10"/>
        <v>0</v>
      </c>
      <c r="AE42" s="539">
        <f t="shared" si="10"/>
        <v>0</v>
      </c>
      <c r="AF42" s="539">
        <f t="shared" si="10"/>
        <v>0</v>
      </c>
      <c r="AG42" s="539">
        <f t="shared" si="10"/>
        <v>0</v>
      </c>
      <c r="AH42" s="539">
        <f t="shared" si="10"/>
        <v>2472.0243110822994</v>
      </c>
      <c r="AI42" s="539">
        <f t="shared" si="10"/>
        <v>4372.0469863696017</v>
      </c>
      <c r="AJ42" s="539">
        <f t="shared" si="10"/>
        <v>4322.0490486505641</v>
      </c>
      <c r="AK42" s="539">
        <f t="shared" si="10"/>
        <v>4259.7573471290352</v>
      </c>
      <c r="AL42" s="539">
        <f t="shared" si="10"/>
        <v>4355.9875470767938</v>
      </c>
      <c r="AM42" s="539">
        <f t="shared" si="10"/>
        <v>4448.7363795644842</v>
      </c>
      <c r="AN42" s="539">
        <f t="shared" si="10"/>
        <v>4397.6751610317833</v>
      </c>
      <c r="AO42" s="539">
        <f t="shared" si="10"/>
        <v>4334.7372415828549</v>
      </c>
      <c r="AP42" s="539">
        <f t="shared" si="10"/>
        <v>4433.019613939412</v>
      </c>
      <c r="AQ42" s="539">
        <f t="shared" si="10"/>
        <v>4526.6827641565123</v>
      </c>
      <c r="AR42" s="539">
        <f t="shared" si="10"/>
        <v>4463.7444995532614</v>
      </c>
      <c r="AS42" s="539">
        <f t="shared" si="10"/>
        <v>4421.7456998422203</v>
      </c>
      <c r="AT42" s="539">
        <f t="shared" si="10"/>
        <v>2792.696200785937</v>
      </c>
      <c r="AU42" s="539">
        <f t="shared" si="10"/>
        <v>2847.7127385341296</v>
      </c>
      <c r="AV42" s="539">
        <f t="shared" si="10"/>
        <v>2813.1071075863201</v>
      </c>
      <c r="AW42" s="539">
        <f t="shared" si="10"/>
        <v>2744.5223719777314</v>
      </c>
      <c r="AX42" s="539">
        <f t="shared" si="10"/>
        <v>4590.9456581576906</v>
      </c>
      <c r="AY42" s="539">
        <f t="shared" si="10"/>
        <v>4688.8491426837481</v>
      </c>
      <c r="AZ42" s="539">
        <f t="shared" si="10"/>
        <v>4695.7070110363047</v>
      </c>
      <c r="BA42" s="539">
        <f t="shared" si="10"/>
        <v>4635.2385459120451</v>
      </c>
      <c r="BB42" s="539">
        <f t="shared" si="10"/>
        <v>4629.9958347841712</v>
      </c>
      <c r="BC42" s="539">
        <f t="shared" si="10"/>
        <v>4717.0266829894308</v>
      </c>
      <c r="BD42" s="539">
        <f t="shared" si="10"/>
        <v>4657.2157187842731</v>
      </c>
      <c r="BE42" s="539">
        <f t="shared" si="10"/>
        <v>4583.2198048124383</v>
      </c>
      <c r="BF42" s="539">
        <f t="shared" si="10"/>
        <v>4673.0355243577897</v>
      </c>
      <c r="BG42" s="539">
        <f t="shared" si="10"/>
        <v>4762.5167500515399</v>
      </c>
      <c r="BH42" s="539">
        <f t="shared" si="10"/>
        <v>4691.8004919160858</v>
      </c>
      <c r="BI42" s="539">
        <f t="shared" si="10"/>
        <v>4641.206219903971</v>
      </c>
      <c r="BJ42" s="539">
        <f t="shared" si="10"/>
        <v>4745.1110854878325</v>
      </c>
      <c r="BK42" s="539">
        <f t="shared" si="10"/>
        <v>4792.9978242001662</v>
      </c>
      <c r="BL42" s="539">
        <f t="shared" si="10"/>
        <v>4755.5809209485196</v>
      </c>
      <c r="BM42" s="539">
        <f t="shared" si="10"/>
        <v>4682.9617413931028</v>
      </c>
      <c r="BN42" s="539">
        <f t="shared" si="10"/>
        <v>2811.4683287412622</v>
      </c>
      <c r="BO42" s="539">
        <f t="shared" si="10"/>
        <v>2905.0696958183958</v>
      </c>
      <c r="BP42" s="539">
        <f t="shared" si="10"/>
        <v>2792.3083638394937</v>
      </c>
      <c r="BQ42" s="539">
        <f t="shared" si="10"/>
        <v>2720.0663940680688</v>
      </c>
      <c r="BR42" s="539">
        <f t="shared" si="10"/>
        <v>4891.3353177086292</v>
      </c>
      <c r="BS42" s="539">
        <f t="shared" si="10"/>
        <v>4986.68569772107</v>
      </c>
      <c r="BT42" s="539">
        <f t="shared" si="10"/>
        <v>5066.1993006522434</v>
      </c>
      <c r="BU42" s="539">
        <f t="shared" si="10"/>
        <v>5405.301992083726</v>
      </c>
      <c r="BV42" s="539">
        <f t="shared" si="10"/>
        <v>5246.5121949894628</v>
      </c>
      <c r="BW42" s="539">
        <f t="shared" si="10"/>
        <v>4554.7678268896525</v>
      </c>
      <c r="BX42" s="539">
        <f t="shared" si="10"/>
        <v>4486.1978765519734</v>
      </c>
      <c r="BY42" s="539">
        <f t="shared" si="10"/>
        <v>4429.9652756775695</v>
      </c>
      <c r="BZ42" s="539">
        <f t="shared" si="10"/>
        <v>4552.5607425494454</v>
      </c>
      <c r="CA42" s="539">
        <f t="shared" si="10"/>
        <v>4773.7676029526074</v>
      </c>
      <c r="CB42" s="539">
        <f t="shared" si="10"/>
        <v>4690.1775137470322</v>
      </c>
      <c r="CC42" s="539">
        <f t="shared" si="10"/>
        <v>4274.8365280066346</v>
      </c>
      <c r="CD42" s="539">
        <f t="shared" si="10"/>
        <v>4321.3134548763692</v>
      </c>
      <c r="CE42" s="539">
        <f t="shared" si="10"/>
        <v>4413.9780591819081</v>
      </c>
      <c r="CF42" s="539">
        <f t="shared" si="10"/>
        <v>4368.5578436146661</v>
      </c>
      <c r="CG42" s="539">
        <f t="shared" si="10"/>
        <v>4283.5118246307165</v>
      </c>
      <c r="CH42" s="539">
        <f t="shared" si="10"/>
        <v>2110.5359724491873</v>
      </c>
      <c r="CI42" s="539">
        <f t="shared" si="10"/>
        <v>2204.6023940287423</v>
      </c>
      <c r="CJ42" s="539">
        <f t="shared" si="10"/>
        <v>1870.7851505508816</v>
      </c>
      <c r="CK42" s="539">
        <f t="shared" si="10"/>
        <v>1786.9171601948419</v>
      </c>
      <c r="CL42" s="539">
        <f t="shared" si="10"/>
        <v>4628.8303227158403</v>
      </c>
      <c r="CM42" s="539">
        <f t="shared" si="10"/>
        <v>4723.5203653725785</v>
      </c>
      <c r="CN42" s="539">
        <f t="shared" si="10"/>
        <v>4948.935086001231</v>
      </c>
      <c r="CO42" s="539">
        <f t="shared" si="10"/>
        <v>4889.99295027068</v>
      </c>
      <c r="CP42" s="539">
        <f t="shared" si="10"/>
        <v>4408.4942242291327</v>
      </c>
      <c r="CQ42" s="539">
        <f t="shared" si="10"/>
        <v>4454.0921236772019</v>
      </c>
      <c r="CR42" s="539">
        <f t="shared" si="10"/>
        <v>4428.3806644411152</v>
      </c>
      <c r="CS42" s="539">
        <f t="shared" si="10"/>
        <v>4344.7192119229667</v>
      </c>
      <c r="CT42" s="539">
        <f t="shared" si="10"/>
        <v>4410.7908852154824</v>
      </c>
      <c r="CU42" s="539">
        <f t="shared" si="10"/>
        <v>4507.2180043044709</v>
      </c>
      <c r="CV42" s="539">
        <f t="shared" si="10"/>
        <v>4455.6468509356973</v>
      </c>
      <c r="CW42" s="539">
        <f t="shared" si="10"/>
        <v>4372.1040514103006</v>
      </c>
      <c r="CX42" s="539">
        <f t="shared" si="10"/>
        <v>4442.1439989063965</v>
      </c>
      <c r="CY42" s="539">
        <f t="shared" si="10"/>
        <v>4538.8867633803111</v>
      </c>
      <c r="CZ42" s="539">
        <f t="shared" si="10"/>
        <v>9289.0498453167747</v>
      </c>
      <c r="DA42" s="539">
        <f t="shared" si="10"/>
        <v>9243.2109589193478</v>
      </c>
      <c r="DB42" s="539">
        <f t="shared" si="10"/>
        <v>6730.8032201585938</v>
      </c>
      <c r="DC42" s="539">
        <f t="shared" si="10"/>
        <v>6819.6943690281241</v>
      </c>
      <c r="DD42" s="539">
        <f t="shared" si="10"/>
        <v>6814.0398522326241</v>
      </c>
      <c r="DE42" s="539">
        <f t="shared" si="10"/>
        <v>6785.1271000854231</v>
      </c>
      <c r="DF42" s="539">
        <f t="shared" si="10"/>
        <v>10042.297500103878</v>
      </c>
      <c r="DG42" s="539">
        <f t="shared" si="10"/>
        <v>10083.037086594606</v>
      </c>
      <c r="DH42" s="539">
        <f t="shared" si="10"/>
        <v>10103.030440845592</v>
      </c>
      <c r="DI42" s="539">
        <f t="shared" si="10"/>
        <v>10074.710093976457</v>
      </c>
      <c r="DJ42" s="539">
        <f t="shared" si="10"/>
        <v>9531.0000277068248</v>
      </c>
      <c r="DK42" s="539">
        <f t="shared" si="10"/>
        <v>9622.5760692221538</v>
      </c>
      <c r="DL42" s="539">
        <f t="shared" si="10"/>
        <v>9618.4891847043327</v>
      </c>
      <c r="DM42" s="539">
        <f t="shared" si="10"/>
        <v>9590.6249782264968</v>
      </c>
      <c r="DN42" s="539">
        <f t="shared" si="10"/>
        <v>9679.6513243283043</v>
      </c>
      <c r="DO42" s="539">
        <f t="shared" si="10"/>
        <v>9772.3259446832872</v>
      </c>
      <c r="DP42" s="539">
        <f t="shared" si="10"/>
        <v>9768.8299907587207</v>
      </c>
      <c r="DQ42" s="539">
        <f t="shared" si="10"/>
        <v>9741.3091688148925</v>
      </c>
      <c r="DR42" s="539">
        <f t="shared" si="10"/>
        <v>9833.1752700445759</v>
      </c>
      <c r="DS42" s="539">
        <f t="shared" si="10"/>
        <v>9926.8134161951511</v>
      </c>
      <c r="DT42" s="539">
        <f t="shared" si="10"/>
        <v>9923.8082057289866</v>
      </c>
      <c r="DU42" s="539">
        <f t="shared" si="10"/>
        <v>9896.5376166003607</v>
      </c>
      <c r="DV42" s="539">
        <f t="shared" si="10"/>
        <v>10016.918852742816</v>
      </c>
      <c r="DW42" s="539">
        <f t="shared" si="10"/>
        <v>10059.983606963106</v>
      </c>
      <c r="DX42" s="539">
        <f t="shared" si="10"/>
        <v>10083.094712487115</v>
      </c>
      <c r="DY42" s="539">
        <f t="shared" si="10"/>
        <v>10055.997562626802</v>
      </c>
      <c r="DZ42" s="539">
        <f t="shared" si="10"/>
        <v>10153.459517752461</v>
      </c>
      <c r="EA42" s="539">
        <f t="shared" si="10"/>
        <v>10248.680194721674</v>
      </c>
      <c r="EB42" s="539">
        <f t="shared" si="10"/>
        <v>10246.420544942679</v>
      </c>
      <c r="EC42" s="539">
        <f t="shared" si="10"/>
        <v>10948.88102751593</v>
      </c>
      <c r="ED42" s="539">
        <f t="shared" si="10"/>
        <v>2308.4176722004668</v>
      </c>
      <c r="EE42" s="539">
        <f t="shared" si="10"/>
        <v>0</v>
      </c>
      <c r="EF42" s="539">
        <f t="shared" si="10"/>
        <v>0</v>
      </c>
      <c r="EG42" s="539">
        <f t="shared" si="10"/>
        <v>0</v>
      </c>
    </row>
    <row r="45" spans="1:1" ht="12.75">
      <c r="A45" s="534" t="s">
        <v>399</v>
      </c>
    </row>
    <row r="47" spans="5:137" ht="12.75">
      <c r="E47" s="538" t="str">
        <f>E$42</f>
        <v>Cash flow - after reserve movements</v>
      </c>
      <c r="G47" s="539" t="str">
        <f>G$42</f>
        <v>EUR 000s</v>
      </c>
      <c r="H47" s="539">
        <f>H$42</f>
        <v>581462.82734681887</v>
      </c>
      <c r="J47" s="539">
        <f t="shared" si="11" ref="J47:EG47">J$42</f>
        <v>0</v>
      </c>
      <c r="K47" s="539">
        <f t="shared" si="11"/>
        <v>0</v>
      </c>
      <c r="L47" s="539">
        <f t="shared" si="11"/>
        <v>0</v>
      </c>
      <c r="M47" s="539">
        <f t="shared" si="11"/>
        <v>0</v>
      </c>
      <c r="N47" s="539">
        <f t="shared" si="11"/>
        <v>0</v>
      </c>
      <c r="O47" s="539">
        <f t="shared" si="11"/>
        <v>0</v>
      </c>
      <c r="P47" s="539">
        <f t="shared" si="11"/>
        <v>1.8189894035458565E-12</v>
      </c>
      <c r="Q47" s="539">
        <f t="shared" si="11"/>
        <v>0</v>
      </c>
      <c r="R47" s="539">
        <f t="shared" si="11"/>
        <v>0</v>
      </c>
      <c r="S47" s="539">
        <f t="shared" si="11"/>
        <v>0</v>
      </c>
      <c r="T47" s="539">
        <f t="shared" si="11"/>
        <v>0</v>
      </c>
      <c r="U47" s="539">
        <f t="shared" si="11"/>
        <v>0</v>
      </c>
      <c r="V47" s="539">
        <f t="shared" si="11"/>
        <v>0</v>
      </c>
      <c r="W47" s="539">
        <f t="shared" si="11"/>
        <v>0</v>
      </c>
      <c r="X47" s="539">
        <f t="shared" si="11"/>
        <v>0</v>
      </c>
      <c r="Y47" s="539">
        <f t="shared" si="11"/>
        <v>0</v>
      </c>
      <c r="Z47" s="539">
        <f t="shared" si="11"/>
        <v>0</v>
      </c>
      <c r="AA47" s="539">
        <f t="shared" si="11"/>
        <v>0</v>
      </c>
      <c r="AB47" s="539">
        <f t="shared" si="11"/>
        <v>0</v>
      </c>
      <c r="AC47" s="539">
        <f t="shared" si="11"/>
        <v>0</v>
      </c>
      <c r="AD47" s="539">
        <f t="shared" si="11"/>
        <v>0</v>
      </c>
      <c r="AE47" s="539">
        <f t="shared" si="11"/>
        <v>0</v>
      </c>
      <c r="AF47" s="539">
        <f t="shared" si="11"/>
        <v>0</v>
      </c>
      <c r="AG47" s="539">
        <f t="shared" si="11"/>
        <v>0</v>
      </c>
      <c r="AH47" s="539">
        <f t="shared" si="11"/>
        <v>2472.0243110822994</v>
      </c>
      <c r="AI47" s="539">
        <f t="shared" si="11"/>
        <v>4372.0469863696017</v>
      </c>
      <c r="AJ47" s="539">
        <f t="shared" si="11"/>
        <v>4322.0490486505641</v>
      </c>
      <c r="AK47" s="539">
        <f t="shared" si="11"/>
        <v>4259.7573471290352</v>
      </c>
      <c r="AL47" s="539">
        <f t="shared" si="11"/>
        <v>4355.9875470767938</v>
      </c>
      <c r="AM47" s="539">
        <f t="shared" si="11"/>
        <v>4448.7363795644842</v>
      </c>
      <c r="AN47" s="539">
        <f t="shared" si="11"/>
        <v>4397.6751610317833</v>
      </c>
      <c r="AO47" s="539">
        <f t="shared" si="11"/>
        <v>4334.7372415828549</v>
      </c>
      <c r="AP47" s="539">
        <f t="shared" si="11"/>
        <v>4433.019613939412</v>
      </c>
      <c r="AQ47" s="539">
        <f t="shared" si="11"/>
        <v>4526.6827641565123</v>
      </c>
      <c r="AR47" s="539">
        <f t="shared" si="11"/>
        <v>4463.7444995532614</v>
      </c>
      <c r="AS47" s="539">
        <f t="shared" si="11"/>
        <v>4421.7456998422203</v>
      </c>
      <c r="AT47" s="539">
        <f t="shared" si="11"/>
        <v>2792.696200785937</v>
      </c>
      <c r="AU47" s="539">
        <f t="shared" si="11"/>
        <v>2847.7127385341296</v>
      </c>
      <c r="AV47" s="539">
        <f t="shared" si="11"/>
        <v>2813.1071075863201</v>
      </c>
      <c r="AW47" s="539">
        <f t="shared" si="11"/>
        <v>2744.5223719777314</v>
      </c>
      <c r="AX47" s="539">
        <f t="shared" si="11"/>
        <v>4590.9456581576906</v>
      </c>
      <c r="AY47" s="539">
        <f t="shared" si="11"/>
        <v>4688.8491426837481</v>
      </c>
      <c r="AZ47" s="539">
        <f t="shared" si="11"/>
        <v>4695.7070110363047</v>
      </c>
      <c r="BA47" s="539">
        <f t="shared" si="11"/>
        <v>4635.2385459120451</v>
      </c>
      <c r="BB47" s="539">
        <f t="shared" si="11"/>
        <v>4629.9958347841712</v>
      </c>
      <c r="BC47" s="539">
        <f t="shared" si="11"/>
        <v>4717.0266829894308</v>
      </c>
      <c r="BD47" s="539">
        <f t="shared" si="11"/>
        <v>4657.2157187842731</v>
      </c>
      <c r="BE47" s="539">
        <f t="shared" si="11"/>
        <v>4583.2198048124383</v>
      </c>
      <c r="BF47" s="539">
        <f t="shared" si="11"/>
        <v>4673.0355243577897</v>
      </c>
      <c r="BG47" s="539">
        <f t="shared" si="11"/>
        <v>4762.5167500515399</v>
      </c>
      <c r="BH47" s="539">
        <f t="shared" si="11"/>
        <v>4691.8004919160858</v>
      </c>
      <c r="BI47" s="539">
        <f t="shared" si="11"/>
        <v>4641.206219903971</v>
      </c>
      <c r="BJ47" s="539">
        <f t="shared" si="11"/>
        <v>4745.1110854878325</v>
      </c>
      <c r="BK47" s="539">
        <f t="shared" si="11"/>
        <v>4792.9978242001662</v>
      </c>
      <c r="BL47" s="539">
        <f t="shared" si="11"/>
        <v>4755.5809209485196</v>
      </c>
      <c r="BM47" s="539">
        <f t="shared" si="11"/>
        <v>4682.9617413931028</v>
      </c>
      <c r="BN47" s="539">
        <f t="shared" si="11"/>
        <v>2811.4683287412622</v>
      </c>
      <c r="BO47" s="539">
        <f t="shared" si="11"/>
        <v>2905.0696958183958</v>
      </c>
      <c r="BP47" s="539">
        <f t="shared" si="11"/>
        <v>2792.3083638394937</v>
      </c>
      <c r="BQ47" s="539">
        <f t="shared" si="11"/>
        <v>2720.0663940680688</v>
      </c>
      <c r="BR47" s="539">
        <f t="shared" si="11"/>
        <v>4891.3353177086292</v>
      </c>
      <c r="BS47" s="539">
        <f t="shared" si="11"/>
        <v>4986.68569772107</v>
      </c>
      <c r="BT47" s="539">
        <f t="shared" si="11"/>
        <v>5066.1993006522434</v>
      </c>
      <c r="BU47" s="539">
        <f t="shared" si="11"/>
        <v>5405.301992083726</v>
      </c>
      <c r="BV47" s="539">
        <f t="shared" si="11"/>
        <v>5246.5121949894628</v>
      </c>
      <c r="BW47" s="539">
        <f t="shared" si="11"/>
        <v>4554.7678268896525</v>
      </c>
      <c r="BX47" s="539">
        <f t="shared" si="11"/>
        <v>4486.1978765519734</v>
      </c>
      <c r="BY47" s="539">
        <f t="shared" si="11"/>
        <v>4429.9652756775695</v>
      </c>
      <c r="BZ47" s="539">
        <f t="shared" si="11"/>
        <v>4552.5607425494454</v>
      </c>
      <c r="CA47" s="539">
        <f t="shared" si="11"/>
        <v>4773.7676029526074</v>
      </c>
      <c r="CB47" s="539">
        <f t="shared" si="11"/>
        <v>4690.1775137470322</v>
      </c>
      <c r="CC47" s="539">
        <f t="shared" si="11"/>
        <v>4274.8365280066346</v>
      </c>
      <c r="CD47" s="539">
        <f t="shared" si="11"/>
        <v>4321.3134548763692</v>
      </c>
      <c r="CE47" s="539">
        <f t="shared" si="11"/>
        <v>4413.9780591819081</v>
      </c>
      <c r="CF47" s="539">
        <f t="shared" si="11"/>
        <v>4368.5578436146661</v>
      </c>
      <c r="CG47" s="539">
        <f t="shared" si="11"/>
        <v>4283.5118246307165</v>
      </c>
      <c r="CH47" s="539">
        <f t="shared" si="11"/>
        <v>2110.5359724491873</v>
      </c>
      <c r="CI47" s="539">
        <f t="shared" si="11"/>
        <v>2204.6023940287423</v>
      </c>
      <c r="CJ47" s="539">
        <f t="shared" si="11"/>
        <v>1870.7851505508816</v>
      </c>
      <c r="CK47" s="539">
        <f t="shared" si="11"/>
        <v>1786.9171601948419</v>
      </c>
      <c r="CL47" s="539">
        <f t="shared" si="11"/>
        <v>4628.8303227158403</v>
      </c>
      <c r="CM47" s="539">
        <f t="shared" si="11"/>
        <v>4723.5203653725785</v>
      </c>
      <c r="CN47" s="539">
        <f t="shared" si="11"/>
        <v>4948.935086001231</v>
      </c>
      <c r="CO47" s="539">
        <f t="shared" si="11"/>
        <v>4889.99295027068</v>
      </c>
      <c r="CP47" s="539">
        <f t="shared" si="11"/>
        <v>4408.4942242291327</v>
      </c>
      <c r="CQ47" s="539">
        <f t="shared" si="11"/>
        <v>4454.0921236772019</v>
      </c>
      <c r="CR47" s="539">
        <f t="shared" si="11"/>
        <v>4428.3806644411152</v>
      </c>
      <c r="CS47" s="539">
        <f t="shared" si="11"/>
        <v>4344.7192119229667</v>
      </c>
      <c r="CT47" s="539">
        <f t="shared" si="11"/>
        <v>4410.7908852154824</v>
      </c>
      <c r="CU47" s="539">
        <f t="shared" si="11"/>
        <v>4507.2180043044709</v>
      </c>
      <c r="CV47" s="539">
        <f t="shared" si="11"/>
        <v>4455.6468509356973</v>
      </c>
      <c r="CW47" s="539">
        <f t="shared" si="11"/>
        <v>4372.1040514103006</v>
      </c>
      <c r="CX47" s="539">
        <f t="shared" si="11"/>
        <v>4442.1439989063965</v>
      </c>
      <c r="CY47" s="539">
        <f t="shared" si="11"/>
        <v>4538.8867633803111</v>
      </c>
      <c r="CZ47" s="539">
        <f t="shared" si="11"/>
        <v>9289.0498453167747</v>
      </c>
      <c r="DA47" s="539">
        <f t="shared" si="11"/>
        <v>9243.2109589193478</v>
      </c>
      <c r="DB47" s="539">
        <f t="shared" si="11"/>
        <v>6730.8032201585938</v>
      </c>
      <c r="DC47" s="539">
        <f t="shared" si="11"/>
        <v>6819.6943690281241</v>
      </c>
      <c r="DD47" s="539">
        <f t="shared" si="11"/>
        <v>6814.0398522326241</v>
      </c>
      <c r="DE47" s="539">
        <f t="shared" si="11"/>
        <v>6785.1271000854231</v>
      </c>
      <c r="DF47" s="539">
        <f t="shared" si="11"/>
        <v>10042.297500103878</v>
      </c>
      <c r="DG47" s="539">
        <f t="shared" si="11"/>
        <v>10083.037086594606</v>
      </c>
      <c r="DH47" s="539">
        <f t="shared" si="11"/>
        <v>10103.030440845592</v>
      </c>
      <c r="DI47" s="539">
        <f t="shared" si="11"/>
        <v>10074.710093976457</v>
      </c>
      <c r="DJ47" s="539">
        <f t="shared" si="11"/>
        <v>9531.0000277068248</v>
      </c>
      <c r="DK47" s="539">
        <f t="shared" si="11"/>
        <v>9622.5760692221538</v>
      </c>
      <c r="DL47" s="539">
        <f t="shared" si="11"/>
        <v>9618.4891847043327</v>
      </c>
      <c r="DM47" s="539">
        <f t="shared" si="11"/>
        <v>9590.6249782264968</v>
      </c>
      <c r="DN47" s="539">
        <f t="shared" si="11"/>
        <v>9679.6513243283043</v>
      </c>
      <c r="DO47" s="539">
        <f t="shared" si="11"/>
        <v>9772.3259446832872</v>
      </c>
      <c r="DP47" s="539">
        <f t="shared" si="11"/>
        <v>9768.8299907587207</v>
      </c>
      <c r="DQ47" s="539">
        <f t="shared" si="11"/>
        <v>9741.3091688148925</v>
      </c>
      <c r="DR47" s="539">
        <f t="shared" si="11"/>
        <v>9833.1752700445759</v>
      </c>
      <c r="DS47" s="539">
        <f t="shared" si="11"/>
        <v>9926.8134161951511</v>
      </c>
      <c r="DT47" s="539">
        <f t="shared" si="11"/>
        <v>9923.8082057289866</v>
      </c>
      <c r="DU47" s="539">
        <f t="shared" si="11"/>
        <v>9896.5376166003607</v>
      </c>
      <c r="DV47" s="539">
        <f t="shared" si="11"/>
        <v>10016.918852742816</v>
      </c>
      <c r="DW47" s="539">
        <f t="shared" si="11"/>
        <v>10059.983606963106</v>
      </c>
      <c r="DX47" s="539">
        <f t="shared" si="11"/>
        <v>10083.094712487115</v>
      </c>
      <c r="DY47" s="539">
        <f t="shared" si="11"/>
        <v>10055.997562626802</v>
      </c>
      <c r="DZ47" s="539">
        <f t="shared" si="11"/>
        <v>10153.459517752461</v>
      </c>
      <c r="EA47" s="539">
        <f t="shared" si="11"/>
        <v>10248.680194721674</v>
      </c>
      <c r="EB47" s="539">
        <f t="shared" si="11"/>
        <v>10246.420544942679</v>
      </c>
      <c r="EC47" s="539">
        <f t="shared" si="11"/>
        <v>10948.88102751593</v>
      </c>
      <c r="ED47" s="539">
        <f t="shared" si="11"/>
        <v>2308.4176722004668</v>
      </c>
      <c r="EE47" s="539">
        <f t="shared" si="11"/>
        <v>0</v>
      </c>
      <c r="EF47" s="539">
        <f t="shared" si="11"/>
        <v>0</v>
      </c>
      <c r="EG47" s="539">
        <f t="shared" si="11"/>
        <v>0</v>
      </c>
    </row>
    <row r="48" spans="5:137" ht="12.75">
      <c r="E48" s="540" t="s">
        <v>400</v>
      </c>
      <c r="G48" s="541" t="s">
        <v>30</v>
      </c>
      <c r="H48" s="541">
        <f>SUM(J48:EG48)</f>
        <v>581462.82734681887</v>
      </c>
      <c r="J48" s="541">
        <f t="shared" si="12" ref="J48:EG48">MAX(0,J47)</f>
        <v>0</v>
      </c>
      <c r="K48" s="541">
        <f t="shared" si="12"/>
        <v>0</v>
      </c>
      <c r="L48" s="541">
        <f t="shared" si="12"/>
        <v>0</v>
      </c>
      <c r="M48" s="541">
        <f t="shared" si="12"/>
        <v>0</v>
      </c>
      <c r="N48" s="541">
        <f t="shared" si="12"/>
        <v>0</v>
      </c>
      <c r="O48" s="541">
        <f t="shared" si="12"/>
        <v>0</v>
      </c>
      <c r="P48" s="541">
        <f t="shared" si="12"/>
        <v>1.8189894035458565E-12</v>
      </c>
      <c r="Q48" s="541">
        <f t="shared" si="12"/>
        <v>0</v>
      </c>
      <c r="R48" s="541">
        <f t="shared" si="12"/>
        <v>0</v>
      </c>
      <c r="S48" s="541">
        <f t="shared" si="12"/>
        <v>0</v>
      </c>
      <c r="T48" s="541">
        <f t="shared" si="12"/>
        <v>0</v>
      </c>
      <c r="U48" s="541">
        <f t="shared" si="12"/>
        <v>0</v>
      </c>
      <c r="V48" s="541">
        <f t="shared" si="12"/>
        <v>0</v>
      </c>
      <c r="W48" s="541">
        <f t="shared" si="12"/>
        <v>0</v>
      </c>
      <c r="X48" s="541">
        <f t="shared" si="12"/>
        <v>0</v>
      </c>
      <c r="Y48" s="541">
        <f t="shared" si="12"/>
        <v>0</v>
      </c>
      <c r="Z48" s="541">
        <f t="shared" si="12"/>
        <v>0</v>
      </c>
      <c r="AA48" s="541">
        <f t="shared" si="12"/>
        <v>0</v>
      </c>
      <c r="AB48" s="541">
        <f t="shared" si="12"/>
        <v>0</v>
      </c>
      <c r="AC48" s="541">
        <f t="shared" si="12"/>
        <v>0</v>
      </c>
      <c r="AD48" s="541">
        <f t="shared" si="12"/>
        <v>0</v>
      </c>
      <c r="AE48" s="541">
        <f t="shared" si="12"/>
        <v>0</v>
      </c>
      <c r="AF48" s="541">
        <f t="shared" si="12"/>
        <v>0</v>
      </c>
      <c r="AG48" s="541">
        <f t="shared" si="12"/>
        <v>0</v>
      </c>
      <c r="AH48" s="541">
        <f t="shared" si="12"/>
        <v>2472.0243110822994</v>
      </c>
      <c r="AI48" s="541">
        <f t="shared" si="12"/>
        <v>4372.0469863696017</v>
      </c>
      <c r="AJ48" s="541">
        <f t="shared" si="12"/>
        <v>4322.0490486505641</v>
      </c>
      <c r="AK48" s="541">
        <f t="shared" si="12"/>
        <v>4259.7573471290352</v>
      </c>
      <c r="AL48" s="541">
        <f t="shared" si="12"/>
        <v>4355.9875470767938</v>
      </c>
      <c r="AM48" s="541">
        <f t="shared" si="12"/>
        <v>4448.7363795644842</v>
      </c>
      <c r="AN48" s="541">
        <f t="shared" si="12"/>
        <v>4397.6751610317833</v>
      </c>
      <c r="AO48" s="541">
        <f t="shared" si="12"/>
        <v>4334.7372415828549</v>
      </c>
      <c r="AP48" s="541">
        <f t="shared" si="12"/>
        <v>4433.019613939412</v>
      </c>
      <c r="AQ48" s="541">
        <f t="shared" si="12"/>
        <v>4526.6827641565123</v>
      </c>
      <c r="AR48" s="541">
        <f t="shared" si="12"/>
        <v>4463.7444995532614</v>
      </c>
      <c r="AS48" s="541">
        <f t="shared" si="12"/>
        <v>4421.7456998422203</v>
      </c>
      <c r="AT48" s="541">
        <f t="shared" si="12"/>
        <v>2792.696200785937</v>
      </c>
      <c r="AU48" s="541">
        <f t="shared" si="12"/>
        <v>2847.7127385341296</v>
      </c>
      <c r="AV48" s="541">
        <f t="shared" si="12"/>
        <v>2813.1071075863201</v>
      </c>
      <c r="AW48" s="541">
        <f t="shared" si="12"/>
        <v>2744.5223719777314</v>
      </c>
      <c r="AX48" s="541">
        <f t="shared" si="12"/>
        <v>4590.9456581576906</v>
      </c>
      <c r="AY48" s="541">
        <f t="shared" si="12"/>
        <v>4688.8491426837481</v>
      </c>
      <c r="AZ48" s="541">
        <f t="shared" si="12"/>
        <v>4695.7070110363047</v>
      </c>
      <c r="BA48" s="541">
        <f t="shared" si="12"/>
        <v>4635.2385459120451</v>
      </c>
      <c r="BB48" s="541">
        <f t="shared" si="12"/>
        <v>4629.9958347841712</v>
      </c>
      <c r="BC48" s="541">
        <f t="shared" si="12"/>
        <v>4717.0266829894308</v>
      </c>
      <c r="BD48" s="541">
        <f t="shared" si="12"/>
        <v>4657.2157187842731</v>
      </c>
      <c r="BE48" s="541">
        <f t="shared" si="12"/>
        <v>4583.2198048124383</v>
      </c>
      <c r="BF48" s="541">
        <f t="shared" si="12"/>
        <v>4673.0355243577897</v>
      </c>
      <c r="BG48" s="541">
        <f t="shared" si="12"/>
        <v>4762.5167500515399</v>
      </c>
      <c r="BH48" s="541">
        <f t="shared" si="12"/>
        <v>4691.8004919160858</v>
      </c>
      <c r="BI48" s="541">
        <f t="shared" si="12"/>
        <v>4641.206219903971</v>
      </c>
      <c r="BJ48" s="541">
        <f t="shared" si="12"/>
        <v>4745.1110854878325</v>
      </c>
      <c r="BK48" s="541">
        <f t="shared" si="12"/>
        <v>4792.9978242001662</v>
      </c>
      <c r="BL48" s="541">
        <f t="shared" si="12"/>
        <v>4755.5809209485196</v>
      </c>
      <c r="BM48" s="541">
        <f t="shared" si="12"/>
        <v>4682.9617413931028</v>
      </c>
      <c r="BN48" s="541">
        <f t="shared" si="12"/>
        <v>2811.4683287412622</v>
      </c>
      <c r="BO48" s="541">
        <f t="shared" si="12"/>
        <v>2905.0696958183958</v>
      </c>
      <c r="BP48" s="541">
        <f t="shared" si="12"/>
        <v>2792.3083638394937</v>
      </c>
      <c r="BQ48" s="541">
        <f t="shared" si="12"/>
        <v>2720.0663940680688</v>
      </c>
      <c r="BR48" s="541">
        <f t="shared" si="12"/>
        <v>4891.3353177086292</v>
      </c>
      <c r="BS48" s="541">
        <f t="shared" si="12"/>
        <v>4986.68569772107</v>
      </c>
      <c r="BT48" s="541">
        <f t="shared" si="12"/>
        <v>5066.1993006522434</v>
      </c>
      <c r="BU48" s="541">
        <f t="shared" si="12"/>
        <v>5405.301992083726</v>
      </c>
      <c r="BV48" s="541">
        <f t="shared" si="12"/>
        <v>5246.5121949894628</v>
      </c>
      <c r="BW48" s="541">
        <f t="shared" si="12"/>
        <v>4554.7678268896525</v>
      </c>
      <c r="BX48" s="541">
        <f t="shared" si="12"/>
        <v>4486.1978765519734</v>
      </c>
      <c r="BY48" s="541">
        <f t="shared" si="12"/>
        <v>4429.9652756775695</v>
      </c>
      <c r="BZ48" s="541">
        <f t="shared" si="12"/>
        <v>4552.5607425494454</v>
      </c>
      <c r="CA48" s="541">
        <f t="shared" si="12"/>
        <v>4773.7676029526074</v>
      </c>
      <c r="CB48" s="541">
        <f t="shared" si="12"/>
        <v>4690.1775137470322</v>
      </c>
      <c r="CC48" s="541">
        <f t="shared" si="12"/>
        <v>4274.8365280066346</v>
      </c>
      <c r="CD48" s="541">
        <f t="shared" si="12"/>
        <v>4321.3134548763692</v>
      </c>
      <c r="CE48" s="541">
        <f t="shared" si="12"/>
        <v>4413.9780591819081</v>
      </c>
      <c r="CF48" s="541">
        <f t="shared" si="12"/>
        <v>4368.5578436146661</v>
      </c>
      <c r="CG48" s="541">
        <f t="shared" si="12"/>
        <v>4283.5118246307165</v>
      </c>
      <c r="CH48" s="541">
        <f t="shared" si="12"/>
        <v>2110.5359724491873</v>
      </c>
      <c r="CI48" s="541">
        <f t="shared" si="12"/>
        <v>2204.6023940287423</v>
      </c>
      <c r="CJ48" s="541">
        <f t="shared" si="12"/>
        <v>1870.7851505508816</v>
      </c>
      <c r="CK48" s="541">
        <f t="shared" si="12"/>
        <v>1786.9171601948419</v>
      </c>
      <c r="CL48" s="541">
        <f t="shared" si="12"/>
        <v>4628.8303227158403</v>
      </c>
      <c r="CM48" s="541">
        <f t="shared" si="12"/>
        <v>4723.5203653725785</v>
      </c>
      <c r="CN48" s="541">
        <f t="shared" si="12"/>
        <v>4948.935086001231</v>
      </c>
      <c r="CO48" s="541">
        <f t="shared" si="12"/>
        <v>4889.99295027068</v>
      </c>
      <c r="CP48" s="541">
        <f t="shared" si="12"/>
        <v>4408.4942242291327</v>
      </c>
      <c r="CQ48" s="541">
        <f t="shared" si="12"/>
        <v>4454.0921236772019</v>
      </c>
      <c r="CR48" s="541">
        <f t="shared" si="12"/>
        <v>4428.3806644411152</v>
      </c>
      <c r="CS48" s="541">
        <f t="shared" si="12"/>
        <v>4344.7192119229667</v>
      </c>
      <c r="CT48" s="541">
        <f t="shared" si="12"/>
        <v>4410.7908852154824</v>
      </c>
      <c r="CU48" s="541">
        <f t="shared" si="12"/>
        <v>4507.2180043044709</v>
      </c>
      <c r="CV48" s="541">
        <f t="shared" si="12"/>
        <v>4455.6468509356973</v>
      </c>
      <c r="CW48" s="541">
        <f t="shared" si="12"/>
        <v>4372.1040514103006</v>
      </c>
      <c r="CX48" s="541">
        <f t="shared" si="12"/>
        <v>4442.1439989063965</v>
      </c>
      <c r="CY48" s="541">
        <f t="shared" si="12"/>
        <v>4538.8867633803111</v>
      </c>
      <c r="CZ48" s="541">
        <f t="shared" si="12"/>
        <v>9289.0498453167747</v>
      </c>
      <c r="DA48" s="541">
        <f t="shared" si="12"/>
        <v>9243.2109589193478</v>
      </c>
      <c r="DB48" s="541">
        <f t="shared" si="12"/>
        <v>6730.8032201585938</v>
      </c>
      <c r="DC48" s="541">
        <f t="shared" si="12"/>
        <v>6819.6943690281241</v>
      </c>
      <c r="DD48" s="541">
        <f t="shared" si="12"/>
        <v>6814.0398522326241</v>
      </c>
      <c r="DE48" s="541">
        <f t="shared" si="12"/>
        <v>6785.1271000854231</v>
      </c>
      <c r="DF48" s="541">
        <f t="shared" si="12"/>
        <v>10042.297500103878</v>
      </c>
      <c r="DG48" s="541">
        <f t="shared" si="12"/>
        <v>10083.037086594606</v>
      </c>
      <c r="DH48" s="541">
        <f t="shared" si="12"/>
        <v>10103.030440845592</v>
      </c>
      <c r="DI48" s="541">
        <f t="shared" si="12"/>
        <v>10074.710093976457</v>
      </c>
      <c r="DJ48" s="541">
        <f t="shared" si="12"/>
        <v>9531.0000277068248</v>
      </c>
      <c r="DK48" s="541">
        <f t="shared" si="12"/>
        <v>9622.5760692221538</v>
      </c>
      <c r="DL48" s="541">
        <f t="shared" si="12"/>
        <v>9618.4891847043327</v>
      </c>
      <c r="DM48" s="541">
        <f t="shared" si="12"/>
        <v>9590.6249782264968</v>
      </c>
      <c r="DN48" s="541">
        <f t="shared" si="12"/>
        <v>9679.6513243283043</v>
      </c>
      <c r="DO48" s="541">
        <f t="shared" si="12"/>
        <v>9772.3259446832872</v>
      </c>
      <c r="DP48" s="541">
        <f t="shared" si="12"/>
        <v>9768.8299907587207</v>
      </c>
      <c r="DQ48" s="541">
        <f t="shared" si="12"/>
        <v>9741.3091688148925</v>
      </c>
      <c r="DR48" s="541">
        <f t="shared" si="12"/>
        <v>9833.1752700445759</v>
      </c>
      <c r="DS48" s="541">
        <f t="shared" si="12"/>
        <v>9926.8134161951511</v>
      </c>
      <c r="DT48" s="541">
        <f t="shared" si="12"/>
        <v>9923.8082057289866</v>
      </c>
      <c r="DU48" s="541">
        <f t="shared" si="12"/>
        <v>9896.5376166003607</v>
      </c>
      <c r="DV48" s="541">
        <f t="shared" si="12"/>
        <v>10016.918852742816</v>
      </c>
      <c r="DW48" s="541">
        <f t="shared" si="12"/>
        <v>10059.983606963106</v>
      </c>
      <c r="DX48" s="541">
        <f t="shared" si="12"/>
        <v>10083.094712487115</v>
      </c>
      <c r="DY48" s="541">
        <f t="shared" si="12"/>
        <v>10055.997562626802</v>
      </c>
      <c r="DZ48" s="541">
        <f t="shared" si="12"/>
        <v>10153.459517752461</v>
      </c>
      <c r="EA48" s="541">
        <f t="shared" si="12"/>
        <v>10248.680194721674</v>
      </c>
      <c r="EB48" s="541">
        <f t="shared" si="12"/>
        <v>10246.420544942679</v>
      </c>
      <c r="EC48" s="541">
        <f t="shared" si="12"/>
        <v>10948.88102751593</v>
      </c>
      <c r="ED48" s="541">
        <f t="shared" si="12"/>
        <v>2308.4176722004668</v>
      </c>
      <c r="EE48" s="541">
        <f t="shared" si="12"/>
        <v>0</v>
      </c>
      <c r="EF48" s="541">
        <f t="shared" si="12"/>
        <v>0</v>
      </c>
      <c r="EG48" s="541">
        <f t="shared" si="12"/>
        <v>0</v>
      </c>
    </row>
    <row r="50" spans="5:137" ht="12.75">
      <c r="E50" s="535" t="str">
        <f>Debt!E$226</f>
        <v>Junior facility - debt service paid</v>
      </c>
      <c r="G50" s="537" t="str">
        <f>Debt!G$226</f>
        <v>EUR 000s</v>
      </c>
      <c r="H50" s="537">
        <f>Debt!H$226</f>
        <v>39233.299886701796</v>
      </c>
      <c r="J50" s="537">
        <f>Debt!J$226</f>
        <v>0</v>
      </c>
      <c r="K50" s="537">
        <f>Debt!K$226</f>
        <v>0</v>
      </c>
      <c r="L50" s="537">
        <f>Debt!L$226</f>
        <v>0</v>
      </c>
      <c r="M50" s="537">
        <f>Debt!M$226</f>
        <v>0</v>
      </c>
      <c r="N50" s="537">
        <f>Debt!N$226</f>
        <v>0</v>
      </c>
      <c r="O50" s="537">
        <f>Debt!O$226</f>
        <v>0</v>
      </c>
      <c r="P50" s="537">
        <f>Debt!P$226</f>
        <v>0</v>
      </c>
      <c r="Q50" s="537">
        <f>Debt!Q$226</f>
        <v>0</v>
      </c>
      <c r="R50" s="537">
        <f>Debt!R$226</f>
        <v>0</v>
      </c>
      <c r="S50" s="537">
        <f>Debt!S$226</f>
        <v>0</v>
      </c>
      <c r="T50" s="537">
        <f>Debt!T$226</f>
        <v>0</v>
      </c>
      <c r="U50" s="537">
        <f>Debt!U$226</f>
        <v>0</v>
      </c>
      <c r="V50" s="537">
        <f>Debt!V$226</f>
        <v>0</v>
      </c>
      <c r="W50" s="537">
        <f>Debt!W$226</f>
        <v>0</v>
      </c>
      <c r="X50" s="537">
        <f>Debt!X$226</f>
        <v>0</v>
      </c>
      <c r="Y50" s="537">
        <f>Debt!Y$226</f>
        <v>0</v>
      </c>
      <c r="Z50" s="537">
        <f>Debt!Z$226</f>
        <v>0</v>
      </c>
      <c r="AA50" s="537">
        <f>Debt!AA$226</f>
        <v>0</v>
      </c>
      <c r="AB50" s="537">
        <f>Debt!AB$226</f>
        <v>0</v>
      </c>
      <c r="AC50" s="537">
        <f>Debt!AC$226</f>
        <v>0</v>
      </c>
      <c r="AD50" s="537">
        <f>Debt!AD$226</f>
        <v>0</v>
      </c>
      <c r="AE50" s="537">
        <f>Debt!AE$226</f>
        <v>0</v>
      </c>
      <c r="AF50" s="537">
        <f>Debt!AF$226</f>
        <v>0</v>
      </c>
      <c r="AG50" s="537">
        <f>Debt!AG$226</f>
        <v>0</v>
      </c>
      <c r="AH50" s="537">
        <f>Debt!AH$226</f>
        <v>1088.1009471320995</v>
      </c>
      <c r="AI50" s="537">
        <f>Debt!AI$226</f>
        <v>1082.514650149609</v>
      </c>
      <c r="AJ50" s="537">
        <f>Debt!AJ$226</f>
        <v>1076.668525400491</v>
      </c>
      <c r="AK50" s="537">
        <f>Debt!AK$226</f>
        <v>1064.7164481356281</v>
      </c>
      <c r="AL50" s="537">
        <f>Debt!AL$226</f>
        <v>1041.3319491391567</v>
      </c>
      <c r="AM50" s="537">
        <f>Debt!AM$226</f>
        <v>1035.2259966234114</v>
      </c>
      <c r="AN50" s="537">
        <f>Debt!AN$226</f>
        <v>1028.8602163410387</v>
      </c>
      <c r="AO50" s="537">
        <f>Debt!AO$226</f>
        <v>1016.9081390761755</v>
      </c>
      <c r="AP50" s="537">
        <f>Debt!AP$226</f>
        <v>994.56295114621435</v>
      </c>
      <c r="AQ50" s="537">
        <f>Debt!AQ$226</f>
        <v>987.93734309721401</v>
      </c>
      <c r="AR50" s="537">
        <f>Debt!AR$226</f>
        <v>981.0519072815863</v>
      </c>
      <c r="AS50" s="537">
        <f>Debt!AS$226</f>
        <v>969.09983001672322</v>
      </c>
      <c r="AT50" s="537">
        <f>Debt!AT$226</f>
        <v>952.47085295256591</v>
      </c>
      <c r="AU50" s="537">
        <f>Debt!AU$226</f>
        <v>940.64868957101658</v>
      </c>
      <c r="AV50" s="537">
        <f>Debt!AV$226</f>
        <v>933.24359822213387</v>
      </c>
      <c r="AW50" s="537">
        <f>Debt!AW$226</f>
        <v>921.2915209572709</v>
      </c>
      <c r="AX50" s="537">
        <f>Debt!AX$226</f>
        <v>901.02495516032911</v>
      </c>
      <c r="AY50" s="537">
        <f>Debt!AY$226</f>
        <v>893.36003604481903</v>
      </c>
      <c r="AZ50" s="537">
        <f>Debt!AZ$226</f>
        <v>885.43528916268156</v>
      </c>
      <c r="BA50" s="537">
        <f>Debt!BA$226</f>
        <v>873.48321189781848</v>
      </c>
      <c r="BB50" s="537">
        <f>Debt!BB$226</f>
        <v>854.25595716738667</v>
      </c>
      <c r="BC50" s="537">
        <f>Debt!BC$226</f>
        <v>846.0713825186217</v>
      </c>
      <c r="BD50" s="537">
        <f>Debt!BD$226</f>
        <v>837.62698010322936</v>
      </c>
      <c r="BE50" s="537">
        <f>Debt!BE$226</f>
        <v>825.67490283836628</v>
      </c>
      <c r="BF50" s="537">
        <f>Debt!BF$226</f>
        <v>807.48695917444422</v>
      </c>
      <c r="BG50" s="537">
        <f>Debt!BG$226</f>
        <v>798.78272899242438</v>
      </c>
      <c r="BH50" s="537">
        <f>Debt!BH$226</f>
        <v>789.81867104377704</v>
      </c>
      <c r="BI50" s="537">
        <f>Debt!BI$226</f>
        <v>777.86659377891397</v>
      </c>
      <c r="BJ50" s="537">
        <f>Debt!BJ$226</f>
        <v>763.31623884777639</v>
      </c>
      <c r="BK50" s="537">
        <f>Debt!BK$226</f>
        <v>751.49407546622706</v>
      </c>
      <c r="BL50" s="537">
        <f>Debt!BL$226</f>
        <v>742.01036198432485</v>
      </c>
      <c r="BM50" s="537">
        <f>Debt!BM$226</f>
        <v>730.05828471946177</v>
      </c>
      <c r="BN50" s="537">
        <f>Debt!BN$226</f>
        <v>713.94896318855945</v>
      </c>
      <c r="BO50" s="537">
        <f>Debt!BO$226</f>
        <v>704.20542194002974</v>
      </c>
      <c r="BP50" s="537">
        <f>Debt!BP$226</f>
        <v>694.20205292487253</v>
      </c>
      <c r="BQ50" s="537">
        <f>Debt!BQ$226</f>
        <v>682.24997566000945</v>
      </c>
      <c r="BR50" s="537">
        <f>Debt!BR$226</f>
        <v>667.17996519561689</v>
      </c>
      <c r="BS50" s="537">
        <f>Debt!BS$226</f>
        <v>656.91676841383241</v>
      </c>
      <c r="BT50" s="537">
        <f>Debt!BT$226</f>
        <v>646.39374386542033</v>
      </c>
      <c r="BU50" s="537">
        <f>Debt!BU$226</f>
        <v>634.44166660055726</v>
      </c>
      <c r="BV50" s="537">
        <f>Debt!BV$226</f>
        <v>620.41096720267456</v>
      </c>
      <c r="BW50" s="537">
        <f>Debt!BW$226</f>
        <v>609.62811488763498</v>
      </c>
      <c r="BX50" s="537">
        <f>Debt!BX$226</f>
        <v>598.58543480596802</v>
      </c>
      <c r="BY50" s="537">
        <f>Debt!BY$226</f>
        <v>586.63335754110494</v>
      </c>
      <c r="BZ50" s="537">
        <f>Debt!BZ$226</f>
        <v>574.16162474298699</v>
      </c>
      <c r="CA50" s="537">
        <f>Debt!CA$226</f>
        <v>562.33946136143766</v>
      </c>
      <c r="CB50" s="537">
        <f>Debt!CB$226</f>
        <v>550.77712574651571</v>
      </c>
      <c r="CC50" s="537">
        <f>Debt!CC$226</f>
        <v>538.82504848165263</v>
      </c>
      <c r="CD50" s="537">
        <f>Debt!CD$226</f>
        <v>-3.9862031483869642E-13</v>
      </c>
      <c r="CE50" s="537">
        <f>Debt!CE$226</f>
        <v>-4.0304942944801527E-13</v>
      </c>
      <c r="CF50" s="537">
        <f>Debt!CF$226</f>
        <v>-4.0747854405733406E-13</v>
      </c>
      <c r="CG50" s="537">
        <f>Debt!CG$226</f>
        <v>-4.0747854405733406E-13</v>
      </c>
      <c r="CH50" s="537">
        <f>Debt!CH$226</f>
        <v>-3.9862031483869642E-13</v>
      </c>
      <c r="CI50" s="537">
        <f>Debt!CI$226</f>
        <v>-4.0304942944801527E-13</v>
      </c>
      <c r="CJ50" s="537">
        <f>Debt!CJ$226</f>
        <v>-4.0747854405733406E-13</v>
      </c>
      <c r="CK50" s="537">
        <f>Debt!CK$226</f>
        <v>-4.0747854405733406E-13</v>
      </c>
      <c r="CL50" s="537">
        <f>Debt!CL$226</f>
        <v>-3.9862031483869642E-13</v>
      </c>
      <c r="CM50" s="537">
        <f>Debt!CM$226</f>
        <v>-4.0304942944801527E-13</v>
      </c>
      <c r="CN50" s="537">
        <f>Debt!CN$226</f>
        <v>-4.0747854405733406E-13</v>
      </c>
      <c r="CO50" s="537">
        <f>Debt!CO$226</f>
        <v>-4.0747854405733406E-13</v>
      </c>
      <c r="CP50" s="537">
        <f>Debt!CP$226</f>
        <v>-4.0304942944801527E-13</v>
      </c>
      <c r="CQ50" s="537">
        <f>Debt!CQ$226</f>
        <v>-4.0304942944801527E-13</v>
      </c>
      <c r="CR50" s="537">
        <f>Debt!CR$226</f>
        <v>-4.0747854405733406E-13</v>
      </c>
      <c r="CS50" s="537">
        <f>Debt!CS$226</f>
        <v>-4.0747854405733406E-13</v>
      </c>
      <c r="CT50" s="537">
        <f>Debt!CT$226</f>
        <v>-3.9862031483869642E-13</v>
      </c>
      <c r="CU50" s="537">
        <f>Debt!CU$226</f>
        <v>-4.0304942944801527E-13</v>
      </c>
      <c r="CV50" s="537">
        <f>Debt!CV$226</f>
        <v>-4.0747854405733406E-13</v>
      </c>
      <c r="CW50" s="537">
        <f>Debt!CW$226</f>
        <v>-4.0747854405733406E-13</v>
      </c>
      <c r="CX50" s="537">
        <f>Debt!CX$226</f>
        <v>-3.9862031483869642E-13</v>
      </c>
      <c r="CY50" s="537">
        <f>Debt!CY$226</f>
        <v>-4.0304942944801527E-13</v>
      </c>
      <c r="CZ50" s="537">
        <f>Debt!CZ$226</f>
        <v>-4.0747854405733406E-13</v>
      </c>
      <c r="DA50" s="537">
        <f>Debt!DA$226</f>
        <v>-4.0747854405733406E-13</v>
      </c>
      <c r="DB50" s="537">
        <f>Debt!DB$226</f>
        <v>-3.9862031483869642E-13</v>
      </c>
      <c r="DC50" s="537">
        <f>Debt!DC$226</f>
        <v>-4.0304942944801527E-13</v>
      </c>
      <c r="DD50" s="537">
        <f>Debt!DD$226</f>
        <v>-4.0747854405733406E-13</v>
      </c>
      <c r="DE50" s="537">
        <f>Debt!DE$226</f>
        <v>-4.0747854405733406E-13</v>
      </c>
      <c r="DF50" s="537">
        <f>Debt!DF$226</f>
        <v>-4.0304942944801527E-13</v>
      </c>
      <c r="DG50" s="537">
        <f>Debt!DG$226</f>
        <v>-4.0304942944801527E-13</v>
      </c>
      <c r="DH50" s="537">
        <f>Debt!DH$226</f>
        <v>-4.0747854405733406E-13</v>
      </c>
      <c r="DI50" s="537">
        <f>Debt!DI$226</f>
        <v>-4.0747854405733406E-13</v>
      </c>
      <c r="DJ50" s="537">
        <f>Debt!DJ$226</f>
        <v>-3.9862031483869642E-13</v>
      </c>
      <c r="DK50" s="537">
        <f>Debt!DK$226</f>
        <v>-4.0304942944801527E-13</v>
      </c>
      <c r="DL50" s="537">
        <f>Debt!DL$226</f>
        <v>-4.0747854405733406E-13</v>
      </c>
      <c r="DM50" s="537">
        <f>Debt!DM$226</f>
        <v>-4.0747854405733406E-13</v>
      </c>
      <c r="DN50" s="537">
        <f>Debt!DN$226</f>
        <v>-3.9862031483869642E-13</v>
      </c>
      <c r="DO50" s="537">
        <f>Debt!DO$226</f>
        <v>-4.0304942944801527E-13</v>
      </c>
      <c r="DP50" s="537">
        <f>Debt!DP$226</f>
        <v>-4.0747854405733406E-13</v>
      </c>
      <c r="DQ50" s="537">
        <f>Debt!DQ$226</f>
        <v>-4.0747854405733406E-13</v>
      </c>
      <c r="DR50" s="537">
        <f>Debt!DR$226</f>
        <v>-3.9862031483869642E-13</v>
      </c>
      <c r="DS50" s="537">
        <f>Debt!DS$226</f>
        <v>-4.0304942944801527E-13</v>
      </c>
      <c r="DT50" s="537">
        <f>Debt!DT$226</f>
        <v>-4.0747854405733406E-13</v>
      </c>
      <c r="DU50" s="537">
        <f>Debt!DU$226</f>
        <v>-4.0747854405733406E-13</v>
      </c>
      <c r="DV50" s="537">
        <f>Debt!DV$226</f>
        <v>-4.0304942944801527E-13</v>
      </c>
      <c r="DW50" s="537">
        <f>Debt!DW$226</f>
        <v>-4.0304942944801527E-13</v>
      </c>
      <c r="DX50" s="537">
        <f>Debt!DX$226</f>
        <v>-4.0747854405733406E-13</v>
      </c>
      <c r="DY50" s="537">
        <f>Debt!DY$226</f>
        <v>-4.0747854405733406E-13</v>
      </c>
      <c r="DZ50" s="537">
        <f>Debt!DZ$226</f>
        <v>-3.9862031483869642E-13</v>
      </c>
      <c r="EA50" s="537">
        <f>Debt!EA$226</f>
        <v>-4.0304942944801527E-13</v>
      </c>
      <c r="EB50" s="537">
        <f>Debt!EB$226</f>
        <v>-4.0747854405733406E-13</v>
      </c>
      <c r="EC50" s="537">
        <f>Debt!EC$226</f>
        <v>-4.0747854405733406E-13</v>
      </c>
      <c r="ED50" s="537">
        <f>Debt!ED$226</f>
        <v>0</v>
      </c>
      <c r="EE50" s="537">
        <f>Debt!EE$226</f>
        <v>0</v>
      </c>
      <c r="EF50" s="537">
        <f>Debt!EF$226</f>
        <v>0</v>
      </c>
      <c r="EG50" s="537">
        <f>Debt!EG$226</f>
        <v>0</v>
      </c>
    </row>
    <row r="51" spans="5:137" ht="12.75">
      <c r="E51" s="538" t="str">
        <f>E$42</f>
        <v>Cash flow - after reserve movements</v>
      </c>
      <c r="G51" s="539" t="str">
        <f>G$42</f>
        <v>EUR 000s</v>
      </c>
      <c r="H51" s="539">
        <f>H$42</f>
        <v>581462.82734681887</v>
      </c>
      <c r="J51" s="539">
        <f t="shared" si="13" ref="J51:EG51">J$42</f>
        <v>0</v>
      </c>
      <c r="K51" s="539">
        <f t="shared" si="13"/>
        <v>0</v>
      </c>
      <c r="L51" s="539">
        <f t="shared" si="13"/>
        <v>0</v>
      </c>
      <c r="M51" s="539">
        <f t="shared" si="13"/>
        <v>0</v>
      </c>
      <c r="N51" s="539">
        <f t="shared" si="13"/>
        <v>0</v>
      </c>
      <c r="O51" s="539">
        <f t="shared" si="13"/>
        <v>0</v>
      </c>
      <c r="P51" s="539">
        <f t="shared" si="13"/>
        <v>1.8189894035458565E-12</v>
      </c>
      <c r="Q51" s="539">
        <f t="shared" si="13"/>
        <v>0</v>
      </c>
      <c r="R51" s="539">
        <f t="shared" si="13"/>
        <v>0</v>
      </c>
      <c r="S51" s="539">
        <f t="shared" si="13"/>
        <v>0</v>
      </c>
      <c r="T51" s="539">
        <f t="shared" si="13"/>
        <v>0</v>
      </c>
      <c r="U51" s="539">
        <f t="shared" si="13"/>
        <v>0</v>
      </c>
      <c r="V51" s="539">
        <f t="shared" si="13"/>
        <v>0</v>
      </c>
      <c r="W51" s="539">
        <f t="shared" si="13"/>
        <v>0</v>
      </c>
      <c r="X51" s="539">
        <f t="shared" si="13"/>
        <v>0</v>
      </c>
      <c r="Y51" s="539">
        <f t="shared" si="13"/>
        <v>0</v>
      </c>
      <c r="Z51" s="539">
        <f t="shared" si="13"/>
        <v>0</v>
      </c>
      <c r="AA51" s="539">
        <f t="shared" si="13"/>
        <v>0</v>
      </c>
      <c r="AB51" s="539">
        <f t="shared" si="13"/>
        <v>0</v>
      </c>
      <c r="AC51" s="539">
        <f t="shared" si="13"/>
        <v>0</v>
      </c>
      <c r="AD51" s="539">
        <f t="shared" si="13"/>
        <v>0</v>
      </c>
      <c r="AE51" s="539">
        <f t="shared" si="13"/>
        <v>0</v>
      </c>
      <c r="AF51" s="539">
        <f t="shared" si="13"/>
        <v>0</v>
      </c>
      <c r="AG51" s="539">
        <f t="shared" si="13"/>
        <v>0</v>
      </c>
      <c r="AH51" s="539">
        <f t="shared" si="13"/>
        <v>2472.0243110822994</v>
      </c>
      <c r="AI51" s="539">
        <f t="shared" si="13"/>
        <v>4372.0469863696017</v>
      </c>
      <c r="AJ51" s="539">
        <f t="shared" si="13"/>
        <v>4322.0490486505641</v>
      </c>
      <c r="AK51" s="539">
        <f t="shared" si="13"/>
        <v>4259.7573471290352</v>
      </c>
      <c r="AL51" s="539">
        <f t="shared" si="13"/>
        <v>4355.9875470767938</v>
      </c>
      <c r="AM51" s="539">
        <f t="shared" si="13"/>
        <v>4448.7363795644842</v>
      </c>
      <c r="AN51" s="539">
        <f t="shared" si="13"/>
        <v>4397.6751610317833</v>
      </c>
      <c r="AO51" s="539">
        <f t="shared" si="13"/>
        <v>4334.7372415828549</v>
      </c>
      <c r="AP51" s="539">
        <f t="shared" si="13"/>
        <v>4433.019613939412</v>
      </c>
      <c r="AQ51" s="539">
        <f t="shared" si="13"/>
        <v>4526.6827641565123</v>
      </c>
      <c r="AR51" s="539">
        <f t="shared" si="13"/>
        <v>4463.7444995532614</v>
      </c>
      <c r="AS51" s="539">
        <f t="shared" si="13"/>
        <v>4421.7456998422203</v>
      </c>
      <c r="AT51" s="539">
        <f t="shared" si="13"/>
        <v>2792.696200785937</v>
      </c>
      <c r="AU51" s="539">
        <f t="shared" si="13"/>
        <v>2847.7127385341296</v>
      </c>
      <c r="AV51" s="539">
        <f t="shared" si="13"/>
        <v>2813.1071075863201</v>
      </c>
      <c r="AW51" s="539">
        <f t="shared" si="13"/>
        <v>2744.5223719777314</v>
      </c>
      <c r="AX51" s="539">
        <f t="shared" si="13"/>
        <v>4590.9456581576906</v>
      </c>
      <c r="AY51" s="539">
        <f t="shared" si="13"/>
        <v>4688.8491426837481</v>
      </c>
      <c r="AZ51" s="539">
        <f t="shared" si="13"/>
        <v>4695.7070110363047</v>
      </c>
      <c r="BA51" s="539">
        <f t="shared" si="13"/>
        <v>4635.2385459120451</v>
      </c>
      <c r="BB51" s="539">
        <f t="shared" si="13"/>
        <v>4629.9958347841712</v>
      </c>
      <c r="BC51" s="539">
        <f t="shared" si="13"/>
        <v>4717.0266829894308</v>
      </c>
      <c r="BD51" s="539">
        <f t="shared" si="13"/>
        <v>4657.2157187842731</v>
      </c>
      <c r="BE51" s="539">
        <f t="shared" si="13"/>
        <v>4583.2198048124383</v>
      </c>
      <c r="BF51" s="539">
        <f t="shared" si="13"/>
        <v>4673.0355243577897</v>
      </c>
      <c r="BG51" s="539">
        <f t="shared" si="13"/>
        <v>4762.5167500515399</v>
      </c>
      <c r="BH51" s="539">
        <f t="shared" si="13"/>
        <v>4691.8004919160858</v>
      </c>
      <c r="BI51" s="539">
        <f t="shared" si="13"/>
        <v>4641.206219903971</v>
      </c>
      <c r="BJ51" s="539">
        <f t="shared" si="13"/>
        <v>4745.1110854878325</v>
      </c>
      <c r="BK51" s="539">
        <f t="shared" si="13"/>
        <v>4792.9978242001662</v>
      </c>
      <c r="BL51" s="539">
        <f t="shared" si="13"/>
        <v>4755.5809209485196</v>
      </c>
      <c r="BM51" s="539">
        <f t="shared" si="13"/>
        <v>4682.9617413931028</v>
      </c>
      <c r="BN51" s="539">
        <f t="shared" si="13"/>
        <v>2811.4683287412622</v>
      </c>
      <c r="BO51" s="539">
        <f t="shared" si="13"/>
        <v>2905.0696958183958</v>
      </c>
      <c r="BP51" s="539">
        <f t="shared" si="13"/>
        <v>2792.3083638394937</v>
      </c>
      <c r="BQ51" s="539">
        <f t="shared" si="13"/>
        <v>2720.0663940680688</v>
      </c>
      <c r="BR51" s="539">
        <f t="shared" si="13"/>
        <v>4891.3353177086292</v>
      </c>
      <c r="BS51" s="539">
        <f t="shared" si="13"/>
        <v>4986.68569772107</v>
      </c>
      <c r="BT51" s="539">
        <f t="shared" si="13"/>
        <v>5066.1993006522434</v>
      </c>
      <c r="BU51" s="539">
        <f t="shared" si="13"/>
        <v>5405.301992083726</v>
      </c>
      <c r="BV51" s="539">
        <f t="shared" si="13"/>
        <v>5246.5121949894628</v>
      </c>
      <c r="BW51" s="539">
        <f t="shared" si="13"/>
        <v>4554.7678268896525</v>
      </c>
      <c r="BX51" s="539">
        <f t="shared" si="13"/>
        <v>4486.1978765519734</v>
      </c>
      <c r="BY51" s="539">
        <f t="shared" si="13"/>
        <v>4429.9652756775695</v>
      </c>
      <c r="BZ51" s="539">
        <f t="shared" si="13"/>
        <v>4552.5607425494454</v>
      </c>
      <c r="CA51" s="539">
        <f t="shared" si="13"/>
        <v>4773.7676029526074</v>
      </c>
      <c r="CB51" s="539">
        <f t="shared" si="13"/>
        <v>4690.1775137470322</v>
      </c>
      <c r="CC51" s="539">
        <f t="shared" si="13"/>
        <v>4274.8365280066346</v>
      </c>
      <c r="CD51" s="539">
        <f t="shared" si="13"/>
        <v>4321.3134548763692</v>
      </c>
      <c r="CE51" s="539">
        <f t="shared" si="13"/>
        <v>4413.9780591819081</v>
      </c>
      <c r="CF51" s="539">
        <f t="shared" si="13"/>
        <v>4368.5578436146661</v>
      </c>
      <c r="CG51" s="539">
        <f t="shared" si="13"/>
        <v>4283.5118246307165</v>
      </c>
      <c r="CH51" s="539">
        <f t="shared" si="13"/>
        <v>2110.5359724491873</v>
      </c>
      <c r="CI51" s="539">
        <f t="shared" si="13"/>
        <v>2204.6023940287423</v>
      </c>
      <c r="CJ51" s="539">
        <f t="shared" si="13"/>
        <v>1870.7851505508816</v>
      </c>
      <c r="CK51" s="539">
        <f t="shared" si="13"/>
        <v>1786.9171601948419</v>
      </c>
      <c r="CL51" s="539">
        <f t="shared" si="13"/>
        <v>4628.8303227158403</v>
      </c>
      <c r="CM51" s="539">
        <f t="shared" si="13"/>
        <v>4723.5203653725785</v>
      </c>
      <c r="CN51" s="539">
        <f t="shared" si="13"/>
        <v>4948.935086001231</v>
      </c>
      <c r="CO51" s="539">
        <f t="shared" si="13"/>
        <v>4889.99295027068</v>
      </c>
      <c r="CP51" s="539">
        <f t="shared" si="13"/>
        <v>4408.4942242291327</v>
      </c>
      <c r="CQ51" s="539">
        <f t="shared" si="13"/>
        <v>4454.0921236772019</v>
      </c>
      <c r="CR51" s="539">
        <f t="shared" si="13"/>
        <v>4428.3806644411152</v>
      </c>
      <c r="CS51" s="539">
        <f t="shared" si="13"/>
        <v>4344.7192119229667</v>
      </c>
      <c r="CT51" s="539">
        <f t="shared" si="13"/>
        <v>4410.7908852154824</v>
      </c>
      <c r="CU51" s="539">
        <f t="shared" si="13"/>
        <v>4507.2180043044709</v>
      </c>
      <c r="CV51" s="539">
        <f t="shared" si="13"/>
        <v>4455.6468509356973</v>
      </c>
      <c r="CW51" s="539">
        <f t="shared" si="13"/>
        <v>4372.1040514103006</v>
      </c>
      <c r="CX51" s="539">
        <f t="shared" si="13"/>
        <v>4442.1439989063965</v>
      </c>
      <c r="CY51" s="539">
        <f t="shared" si="13"/>
        <v>4538.8867633803111</v>
      </c>
      <c r="CZ51" s="539">
        <f t="shared" si="13"/>
        <v>9289.0498453167747</v>
      </c>
      <c r="DA51" s="539">
        <f t="shared" si="13"/>
        <v>9243.2109589193478</v>
      </c>
      <c r="DB51" s="539">
        <f t="shared" si="13"/>
        <v>6730.8032201585938</v>
      </c>
      <c r="DC51" s="539">
        <f t="shared" si="13"/>
        <v>6819.6943690281241</v>
      </c>
      <c r="DD51" s="539">
        <f t="shared" si="13"/>
        <v>6814.0398522326241</v>
      </c>
      <c r="DE51" s="539">
        <f t="shared" si="13"/>
        <v>6785.1271000854231</v>
      </c>
      <c r="DF51" s="539">
        <f t="shared" si="13"/>
        <v>10042.297500103878</v>
      </c>
      <c r="DG51" s="539">
        <f t="shared" si="13"/>
        <v>10083.037086594606</v>
      </c>
      <c r="DH51" s="539">
        <f t="shared" si="13"/>
        <v>10103.030440845592</v>
      </c>
      <c r="DI51" s="539">
        <f t="shared" si="13"/>
        <v>10074.710093976457</v>
      </c>
      <c r="DJ51" s="539">
        <f t="shared" si="13"/>
        <v>9531.0000277068248</v>
      </c>
      <c r="DK51" s="539">
        <f t="shared" si="13"/>
        <v>9622.5760692221538</v>
      </c>
      <c r="DL51" s="539">
        <f t="shared" si="13"/>
        <v>9618.4891847043327</v>
      </c>
      <c r="DM51" s="539">
        <f t="shared" si="13"/>
        <v>9590.6249782264968</v>
      </c>
      <c r="DN51" s="539">
        <f t="shared" si="13"/>
        <v>9679.6513243283043</v>
      </c>
      <c r="DO51" s="539">
        <f t="shared" si="13"/>
        <v>9772.3259446832872</v>
      </c>
      <c r="DP51" s="539">
        <f t="shared" si="13"/>
        <v>9768.8299907587207</v>
      </c>
      <c r="DQ51" s="539">
        <f t="shared" si="13"/>
        <v>9741.3091688148925</v>
      </c>
      <c r="DR51" s="539">
        <f t="shared" si="13"/>
        <v>9833.1752700445759</v>
      </c>
      <c r="DS51" s="539">
        <f t="shared" si="13"/>
        <v>9926.8134161951511</v>
      </c>
      <c r="DT51" s="539">
        <f t="shared" si="13"/>
        <v>9923.8082057289866</v>
      </c>
      <c r="DU51" s="539">
        <f t="shared" si="13"/>
        <v>9896.5376166003607</v>
      </c>
      <c r="DV51" s="539">
        <f t="shared" si="13"/>
        <v>10016.918852742816</v>
      </c>
      <c r="DW51" s="539">
        <f t="shared" si="13"/>
        <v>10059.983606963106</v>
      </c>
      <c r="DX51" s="539">
        <f t="shared" si="13"/>
        <v>10083.094712487115</v>
      </c>
      <c r="DY51" s="539">
        <f t="shared" si="13"/>
        <v>10055.997562626802</v>
      </c>
      <c r="DZ51" s="539">
        <f t="shared" si="13"/>
        <v>10153.459517752461</v>
      </c>
      <c r="EA51" s="539">
        <f t="shared" si="13"/>
        <v>10248.680194721674</v>
      </c>
      <c r="EB51" s="539">
        <f t="shared" si="13"/>
        <v>10246.420544942679</v>
      </c>
      <c r="EC51" s="539">
        <f t="shared" si="13"/>
        <v>10948.88102751593</v>
      </c>
      <c r="ED51" s="539">
        <f t="shared" si="13"/>
        <v>2308.4176722004668</v>
      </c>
      <c r="EE51" s="539">
        <f t="shared" si="13"/>
        <v>0</v>
      </c>
      <c r="EF51" s="539">
        <f t="shared" si="13"/>
        <v>0</v>
      </c>
      <c r="EG51" s="539">
        <f t="shared" si="13"/>
        <v>0</v>
      </c>
    </row>
    <row r="52" spans="5:137" ht="12.75">
      <c r="E52" s="538" t="s">
        <v>401</v>
      </c>
      <c r="G52" s="539" t="s">
        <v>30</v>
      </c>
      <c r="H52" s="539">
        <f>SUM(J52:EG52)</f>
        <v>542229.52746011713</v>
      </c>
      <c r="J52" s="539">
        <f t="shared" si="14" ref="J52:EG52">J51-J50</f>
        <v>0</v>
      </c>
      <c r="K52" s="539">
        <f t="shared" si="14"/>
        <v>0</v>
      </c>
      <c r="L52" s="539">
        <f t="shared" si="14"/>
        <v>0</v>
      </c>
      <c r="M52" s="539">
        <f t="shared" si="14"/>
        <v>0</v>
      </c>
      <c r="N52" s="539">
        <f t="shared" si="14"/>
        <v>0</v>
      </c>
      <c r="O52" s="539">
        <f t="shared" si="14"/>
        <v>0</v>
      </c>
      <c r="P52" s="539">
        <f t="shared" si="14"/>
        <v>1.8189894035458565E-12</v>
      </c>
      <c r="Q52" s="539">
        <f t="shared" si="14"/>
        <v>0</v>
      </c>
      <c r="R52" s="539">
        <f t="shared" si="14"/>
        <v>0</v>
      </c>
      <c r="S52" s="539">
        <f t="shared" si="14"/>
        <v>0</v>
      </c>
      <c r="T52" s="539">
        <f t="shared" si="14"/>
        <v>0</v>
      </c>
      <c r="U52" s="539">
        <f t="shared" si="14"/>
        <v>0</v>
      </c>
      <c r="V52" s="539">
        <f t="shared" si="14"/>
        <v>0</v>
      </c>
      <c r="W52" s="539">
        <f t="shared" si="14"/>
        <v>0</v>
      </c>
      <c r="X52" s="539">
        <f t="shared" si="14"/>
        <v>0</v>
      </c>
      <c r="Y52" s="539">
        <f t="shared" si="14"/>
        <v>0</v>
      </c>
      <c r="Z52" s="539">
        <f t="shared" si="14"/>
        <v>0</v>
      </c>
      <c r="AA52" s="539">
        <f t="shared" si="14"/>
        <v>0</v>
      </c>
      <c r="AB52" s="539">
        <f t="shared" si="14"/>
        <v>0</v>
      </c>
      <c r="AC52" s="539">
        <f t="shared" si="14"/>
        <v>0</v>
      </c>
      <c r="AD52" s="539">
        <f t="shared" si="14"/>
        <v>0</v>
      </c>
      <c r="AE52" s="539">
        <f t="shared" si="14"/>
        <v>0</v>
      </c>
      <c r="AF52" s="539">
        <f t="shared" si="14"/>
        <v>0</v>
      </c>
      <c r="AG52" s="539">
        <f t="shared" si="14"/>
        <v>0</v>
      </c>
      <c r="AH52" s="539">
        <f t="shared" si="14"/>
        <v>1383.9233639501999</v>
      </c>
      <c r="AI52" s="539">
        <f t="shared" si="14"/>
        <v>3289.5323362199924</v>
      </c>
      <c r="AJ52" s="539">
        <f t="shared" si="14"/>
        <v>3245.3805232500731</v>
      </c>
      <c r="AK52" s="539">
        <f t="shared" si="14"/>
        <v>3195.0408989934072</v>
      </c>
      <c r="AL52" s="539">
        <f t="shared" si="14"/>
        <v>3314.6555979376371</v>
      </c>
      <c r="AM52" s="539">
        <f t="shared" si="14"/>
        <v>3413.5103829410727</v>
      </c>
      <c r="AN52" s="539">
        <f t="shared" si="14"/>
        <v>3368.8149446907446</v>
      </c>
      <c r="AO52" s="539">
        <f t="shared" si="14"/>
        <v>3317.8291025066792</v>
      </c>
      <c r="AP52" s="539">
        <f t="shared" si="14"/>
        <v>3438.4566627931977</v>
      </c>
      <c r="AQ52" s="539">
        <f t="shared" si="14"/>
        <v>3538.7454210592982</v>
      </c>
      <c r="AR52" s="539">
        <f t="shared" si="14"/>
        <v>3482.692592271675</v>
      </c>
      <c r="AS52" s="539">
        <f t="shared" si="14"/>
        <v>3452.6458698254974</v>
      </c>
      <c r="AT52" s="539">
        <f t="shared" si="14"/>
        <v>1840.225347833371</v>
      </c>
      <c r="AU52" s="539">
        <f t="shared" si="14"/>
        <v>1907.064048963113</v>
      </c>
      <c r="AV52" s="539">
        <f t="shared" si="14"/>
        <v>1879.8635093641863</v>
      </c>
      <c r="AW52" s="539">
        <f t="shared" si="14"/>
        <v>1823.2308510204605</v>
      </c>
      <c r="AX52" s="539">
        <f t="shared" si="14"/>
        <v>3689.9207029973613</v>
      </c>
      <c r="AY52" s="539">
        <f t="shared" si="14"/>
        <v>3795.4891066389291</v>
      </c>
      <c r="AZ52" s="539">
        <f t="shared" si="14"/>
        <v>3810.2717218736234</v>
      </c>
      <c r="BA52" s="539">
        <f t="shared" si="14"/>
        <v>3761.7553340142267</v>
      </c>
      <c r="BB52" s="539">
        <f t="shared" si="14"/>
        <v>3775.7398776167847</v>
      </c>
      <c r="BC52" s="539">
        <f t="shared" si="14"/>
        <v>3870.9553004708091</v>
      </c>
      <c r="BD52" s="539">
        <f t="shared" si="14"/>
        <v>3819.5887386810437</v>
      </c>
      <c r="BE52" s="539">
        <f t="shared" si="14"/>
        <v>3757.5449019740718</v>
      </c>
      <c r="BF52" s="539">
        <f t="shared" si="14"/>
        <v>3865.5485651833455</v>
      </c>
      <c r="BG52" s="539">
        <f t="shared" si="14"/>
        <v>3963.7340210591155</v>
      </c>
      <c r="BH52" s="539">
        <f t="shared" si="14"/>
        <v>3901.9818208723086</v>
      </c>
      <c r="BI52" s="539">
        <f t="shared" si="14"/>
        <v>3863.3396261250573</v>
      </c>
      <c r="BJ52" s="539">
        <f t="shared" si="14"/>
        <v>3981.7948466400562</v>
      </c>
      <c r="BK52" s="539">
        <f t="shared" si="14"/>
        <v>4041.5037487339391</v>
      </c>
      <c r="BL52" s="539">
        <f t="shared" si="14"/>
        <v>4013.5705589641948</v>
      </c>
      <c r="BM52" s="539">
        <f t="shared" si="14"/>
        <v>3952.9034566736409</v>
      </c>
      <c r="BN52" s="539">
        <f t="shared" si="14"/>
        <v>2097.5193655527028</v>
      </c>
      <c r="BO52" s="539">
        <f t="shared" si="14"/>
        <v>2200.864273878366</v>
      </c>
      <c r="BP52" s="539">
        <f t="shared" si="14"/>
        <v>2098.1063109146212</v>
      </c>
      <c r="BQ52" s="539">
        <f t="shared" si="14"/>
        <v>2037.8164184080592</v>
      </c>
      <c r="BR52" s="539">
        <f t="shared" si="14"/>
        <v>4224.1553525130121</v>
      </c>
      <c r="BS52" s="539">
        <f t="shared" si="14"/>
        <v>4329.7689293072381</v>
      </c>
      <c r="BT52" s="539">
        <f t="shared" si="14"/>
        <v>4419.8055567868232</v>
      </c>
      <c r="BU52" s="539">
        <f t="shared" si="14"/>
        <v>4770.8603254831687</v>
      </c>
      <c r="BV52" s="539">
        <f t="shared" si="14"/>
        <v>4626.1012277867885</v>
      </c>
      <c r="BW52" s="539">
        <f t="shared" si="14"/>
        <v>3945.1397120020174</v>
      </c>
      <c r="BX52" s="539">
        <f t="shared" si="14"/>
        <v>3887.6124417460055</v>
      </c>
      <c r="BY52" s="539">
        <f t="shared" si="14"/>
        <v>3843.3319181364645</v>
      </c>
      <c r="BZ52" s="539">
        <f t="shared" si="14"/>
        <v>3978.3991178064584</v>
      </c>
      <c r="CA52" s="539">
        <f t="shared" si="14"/>
        <v>4211.4281415911701</v>
      </c>
      <c r="CB52" s="539">
        <f t="shared" si="14"/>
        <v>4139.4003880005166</v>
      </c>
      <c r="CC52" s="539">
        <f t="shared" si="14"/>
        <v>3736.011479524982</v>
      </c>
      <c r="CD52" s="539">
        <f t="shared" si="14"/>
        <v>4321.3134548763692</v>
      </c>
      <c r="CE52" s="539">
        <f t="shared" si="14"/>
        <v>4413.9780591819081</v>
      </c>
      <c r="CF52" s="539">
        <f t="shared" si="14"/>
        <v>4368.5578436146661</v>
      </c>
      <c r="CG52" s="539">
        <f t="shared" si="14"/>
        <v>4283.5118246307165</v>
      </c>
      <c r="CH52" s="539">
        <f t="shared" si="14"/>
        <v>2110.5359724491877</v>
      </c>
      <c r="CI52" s="539">
        <f t="shared" si="14"/>
        <v>2204.6023940287428</v>
      </c>
      <c r="CJ52" s="539">
        <f t="shared" si="14"/>
        <v>1870.785150550882</v>
      </c>
      <c r="CK52" s="539">
        <f t="shared" si="14"/>
        <v>1786.9171601948424</v>
      </c>
      <c r="CL52" s="539">
        <f t="shared" si="14"/>
        <v>4628.8303227158403</v>
      </c>
      <c r="CM52" s="539">
        <f t="shared" si="14"/>
        <v>4723.5203653725785</v>
      </c>
      <c r="CN52" s="539">
        <f t="shared" si="14"/>
        <v>4948.935086001231</v>
      </c>
      <c r="CO52" s="539">
        <f t="shared" si="14"/>
        <v>4889.99295027068</v>
      </c>
      <c r="CP52" s="539">
        <f t="shared" si="14"/>
        <v>4408.4942242291327</v>
      </c>
      <c r="CQ52" s="539">
        <f t="shared" si="14"/>
        <v>4454.0921236772019</v>
      </c>
      <c r="CR52" s="539">
        <f t="shared" si="14"/>
        <v>4428.3806644411152</v>
      </c>
      <c r="CS52" s="539">
        <f t="shared" si="14"/>
        <v>4344.7192119229667</v>
      </c>
      <c r="CT52" s="539">
        <f t="shared" si="14"/>
        <v>4410.7908852154824</v>
      </c>
      <c r="CU52" s="539">
        <f t="shared" si="14"/>
        <v>4507.2180043044709</v>
      </c>
      <c r="CV52" s="539">
        <f t="shared" si="14"/>
        <v>4455.6468509356973</v>
      </c>
      <c r="CW52" s="539">
        <f t="shared" si="14"/>
        <v>4372.1040514103006</v>
      </c>
      <c r="CX52" s="539">
        <f t="shared" si="14"/>
        <v>4442.1439989063965</v>
      </c>
      <c r="CY52" s="539">
        <f t="shared" si="14"/>
        <v>4538.8867633803111</v>
      </c>
      <c r="CZ52" s="539">
        <f t="shared" si="14"/>
        <v>9289.0498453167747</v>
      </c>
      <c r="DA52" s="539">
        <f t="shared" si="14"/>
        <v>9243.2109589193478</v>
      </c>
      <c r="DB52" s="539">
        <f t="shared" si="14"/>
        <v>6730.8032201585938</v>
      </c>
      <c r="DC52" s="539">
        <f t="shared" si="14"/>
        <v>6819.6943690281241</v>
      </c>
      <c r="DD52" s="539">
        <f t="shared" si="14"/>
        <v>6814.0398522326241</v>
      </c>
      <c r="DE52" s="539">
        <f t="shared" si="14"/>
        <v>6785.1271000854231</v>
      </c>
      <c r="DF52" s="539">
        <f t="shared" si="14"/>
        <v>10042.297500103878</v>
      </c>
      <c r="DG52" s="539">
        <f t="shared" si="14"/>
        <v>10083.037086594606</v>
      </c>
      <c r="DH52" s="539">
        <f t="shared" si="14"/>
        <v>10103.030440845592</v>
      </c>
      <c r="DI52" s="539">
        <f t="shared" si="14"/>
        <v>10074.710093976457</v>
      </c>
      <c r="DJ52" s="539">
        <f t="shared" si="14"/>
        <v>9531.0000277068248</v>
      </c>
      <c r="DK52" s="539">
        <f t="shared" si="14"/>
        <v>9622.5760692221538</v>
      </c>
      <c r="DL52" s="539">
        <f t="shared" si="14"/>
        <v>9618.4891847043327</v>
      </c>
      <c r="DM52" s="539">
        <f t="shared" si="14"/>
        <v>9590.6249782264968</v>
      </c>
      <c r="DN52" s="539">
        <f t="shared" si="14"/>
        <v>9679.6513243283043</v>
      </c>
      <c r="DO52" s="539">
        <f t="shared" si="14"/>
        <v>9772.3259446832872</v>
      </c>
      <c r="DP52" s="539">
        <f t="shared" si="14"/>
        <v>9768.8299907587207</v>
      </c>
      <c r="DQ52" s="539">
        <f t="shared" si="14"/>
        <v>9741.3091688148925</v>
      </c>
      <c r="DR52" s="539">
        <f t="shared" si="14"/>
        <v>9833.1752700445759</v>
      </c>
      <c r="DS52" s="539">
        <f t="shared" si="14"/>
        <v>9926.8134161951511</v>
      </c>
      <c r="DT52" s="539">
        <f t="shared" si="14"/>
        <v>9923.8082057289866</v>
      </c>
      <c r="DU52" s="539">
        <f t="shared" si="14"/>
        <v>9896.5376166003607</v>
      </c>
      <c r="DV52" s="539">
        <f t="shared" si="14"/>
        <v>10016.918852742816</v>
      </c>
      <c r="DW52" s="539">
        <f t="shared" si="14"/>
        <v>10059.983606963106</v>
      </c>
      <c r="DX52" s="539">
        <f t="shared" si="14"/>
        <v>10083.094712487115</v>
      </c>
      <c r="DY52" s="539">
        <f t="shared" si="14"/>
        <v>10055.997562626802</v>
      </c>
      <c r="DZ52" s="539">
        <f t="shared" si="14"/>
        <v>10153.459517752461</v>
      </c>
      <c r="EA52" s="539">
        <f t="shared" si="14"/>
        <v>10248.680194721674</v>
      </c>
      <c r="EB52" s="539">
        <f t="shared" si="14"/>
        <v>10246.420544942679</v>
      </c>
      <c r="EC52" s="539">
        <f t="shared" si="14"/>
        <v>10948.88102751593</v>
      </c>
      <c r="ED52" s="539">
        <f t="shared" si="14"/>
        <v>2308.4176722004668</v>
      </c>
      <c r="EE52" s="539">
        <f t="shared" si="14"/>
        <v>0</v>
      </c>
      <c r="EF52" s="539">
        <f t="shared" si="14"/>
        <v>0</v>
      </c>
      <c r="EG52" s="539">
        <f t="shared" si="14"/>
        <v>0</v>
      </c>
    </row>
    <row r="55" spans="1:1" ht="12.75">
      <c r="A55" s="534" t="s">
        <v>402</v>
      </c>
    </row>
    <row r="57" spans="2:2" ht="12.75">
      <c r="B57" s="534" t="s">
        <v>403</v>
      </c>
    </row>
    <row r="58" spans="5:137" ht="12.75">
      <c r="E58" s="538" t="str">
        <f>E$14</f>
        <v>Cash flow available for debt service</v>
      </c>
      <c r="G58" s="539" t="str">
        <f>G$14</f>
        <v>EUR 000s</v>
      </c>
      <c r="H58" s="539">
        <f>H$14</f>
        <v>957377.69580628083</v>
      </c>
      <c r="J58" s="539">
        <f t="shared" si="15" ref="J58:EG58">J$14</f>
        <v>0</v>
      </c>
      <c r="K58" s="539">
        <f t="shared" si="15"/>
        <v>0</v>
      </c>
      <c r="L58" s="539">
        <f t="shared" si="15"/>
        <v>0</v>
      </c>
      <c r="M58" s="539">
        <f t="shared" si="15"/>
        <v>0</v>
      </c>
      <c r="N58" s="539">
        <f t="shared" si="15"/>
        <v>0</v>
      </c>
      <c r="O58" s="539">
        <f t="shared" si="15"/>
        <v>0</v>
      </c>
      <c r="P58" s="539">
        <f t="shared" si="15"/>
        <v>0</v>
      </c>
      <c r="Q58" s="539">
        <f t="shared" si="15"/>
        <v>0</v>
      </c>
      <c r="R58" s="539">
        <f t="shared" si="15"/>
        <v>0</v>
      </c>
      <c r="S58" s="539">
        <f t="shared" si="15"/>
        <v>0</v>
      </c>
      <c r="T58" s="539">
        <f t="shared" si="15"/>
        <v>0</v>
      </c>
      <c r="U58" s="539">
        <f t="shared" si="15"/>
        <v>0</v>
      </c>
      <c r="V58" s="539">
        <f t="shared" si="15"/>
        <v>0</v>
      </c>
      <c r="W58" s="539">
        <f t="shared" si="15"/>
        <v>0</v>
      </c>
      <c r="X58" s="539">
        <f t="shared" si="15"/>
        <v>0</v>
      </c>
      <c r="Y58" s="539">
        <f t="shared" si="15"/>
        <v>0</v>
      </c>
      <c r="Z58" s="539">
        <f t="shared" si="15"/>
        <v>0</v>
      </c>
      <c r="AA58" s="539">
        <f t="shared" si="15"/>
        <v>0</v>
      </c>
      <c r="AB58" s="539">
        <f t="shared" si="15"/>
        <v>0</v>
      </c>
      <c r="AC58" s="539">
        <f t="shared" si="15"/>
        <v>0</v>
      </c>
      <c r="AD58" s="539">
        <f t="shared" si="15"/>
        <v>0</v>
      </c>
      <c r="AE58" s="539">
        <f t="shared" si="15"/>
        <v>0</v>
      </c>
      <c r="AF58" s="539">
        <f t="shared" si="15"/>
        <v>0</v>
      </c>
      <c r="AG58" s="539">
        <f t="shared" si="15"/>
        <v>0</v>
      </c>
      <c r="AH58" s="539">
        <f t="shared" si="15"/>
        <v>7126.237686929222</v>
      </c>
      <c r="AI58" s="539">
        <f t="shared" si="15"/>
        <v>9016.0731055402921</v>
      </c>
      <c r="AJ58" s="539">
        <f t="shared" si="15"/>
        <v>9015.6345801481111</v>
      </c>
      <c r="AK58" s="539">
        <f t="shared" si="15"/>
        <v>8995.9009374999987</v>
      </c>
      <c r="AL58" s="539">
        <f t="shared" si="15"/>
        <v>9091.9020262907597</v>
      </c>
      <c r="AM58" s="539">
        <f t="shared" si="15"/>
        <v>9174.3408567135994</v>
      </c>
      <c r="AN58" s="539">
        <f t="shared" si="15"/>
        <v>9173.8970475662918</v>
      </c>
      <c r="AO58" s="539">
        <f t="shared" si="15"/>
        <v>9153.9256359374995</v>
      </c>
      <c r="AP58" s="539">
        <f t="shared" si="15"/>
        <v>9251.9761612487546</v>
      </c>
      <c r="AQ58" s="539">
        <f t="shared" si="15"/>
        <v>9335.2061944272264</v>
      </c>
      <c r="AR58" s="539">
        <f t="shared" si="15"/>
        <v>9334.7570856154598</v>
      </c>
      <c r="AS58" s="539">
        <f t="shared" si="15"/>
        <v>9314.5471890859371</v>
      </c>
      <c r="AT58" s="539">
        <f t="shared" si="15"/>
        <v>9435.594366845693</v>
      </c>
      <c r="AU58" s="539">
        <f t="shared" si="15"/>
        <v>9477.8014538705866</v>
      </c>
      <c r="AV58" s="539">
        <f t="shared" si="15"/>
        <v>9498.2504502967968</v>
      </c>
      <c r="AW58" s="539">
        <f t="shared" si="15"/>
        <v>9473.4373793076247</v>
      </c>
      <c r="AX58" s="539">
        <f t="shared" si="15"/>
        <v>9580.0831993996253</v>
      </c>
      <c r="AY58" s="539">
        <f t="shared" si="15"/>
        <v>9664.8728945221992</v>
      </c>
      <c r="AZ58" s="539">
        <f t="shared" si="15"/>
        <v>9664.4131477429219</v>
      </c>
      <c r="BA58" s="539">
        <f t="shared" si="15"/>
        <v>9639.0105450525571</v>
      </c>
      <c r="BB58" s="539">
        <f t="shared" si="15"/>
        <v>9624.8356590516014</v>
      </c>
      <c r="BC58" s="539">
        <f t="shared" si="15"/>
        <v>9692.7614236034206</v>
      </c>
      <c r="BD58" s="539">
        <f t="shared" si="15"/>
        <v>9675.4589885497153</v>
      </c>
      <c r="BE58" s="539">
        <f t="shared" si="15"/>
        <v>9638.4507040270382</v>
      </c>
      <c r="BF58" s="539">
        <f t="shared" si="15"/>
        <v>9720.7935908740237</v>
      </c>
      <c r="BG58" s="539">
        <f t="shared" si="15"/>
        <v>9792.4419929069136</v>
      </c>
      <c r="BH58" s="539">
        <f t="shared" si="15"/>
        <v>9777.9664363635275</v>
      </c>
      <c r="BI58" s="539">
        <f t="shared" si="15"/>
        <v>9743.4226351504403</v>
      </c>
      <c r="BJ58" s="539">
        <f t="shared" si="15"/>
        <v>9852.3659888687216</v>
      </c>
      <c r="BK58" s="539">
        <f t="shared" si="15"/>
        <v>9883.4572104947692</v>
      </c>
      <c r="BL58" s="539">
        <f t="shared" si="15"/>
        <v>9893.2172202296188</v>
      </c>
      <c r="BM58" s="539">
        <f t="shared" si="15"/>
        <v>9860.6827761879267</v>
      </c>
      <c r="BN58" s="539">
        <f t="shared" si="15"/>
        <v>9952.0687470832363</v>
      </c>
      <c r="BO58" s="539">
        <f t="shared" si="15"/>
        <v>10029.716525225305</v>
      </c>
      <c r="BP58" s="539">
        <f t="shared" si="15"/>
        <v>10019.545629405566</v>
      </c>
      <c r="BQ58" s="539">
        <f t="shared" si="15"/>
        <v>9988.6420767608051</v>
      </c>
      <c r="BR58" s="539">
        <f t="shared" si="15"/>
        <v>10187.369081549388</v>
      </c>
      <c r="BS58" s="539">
        <f t="shared" si="15"/>
        <v>10267.445354990101</v>
      </c>
      <c r="BT58" s="539">
        <f t="shared" si="15"/>
        <v>10258.899041178202</v>
      </c>
      <c r="BU58" s="539">
        <f t="shared" si="15"/>
        <v>10229.311707665833</v>
      </c>
      <c r="BV58" s="539">
        <f t="shared" si="15"/>
        <v>10058.731640444626</v>
      </c>
      <c r="BW58" s="539">
        <f t="shared" si="15"/>
        <v>9344.5455321133577</v>
      </c>
      <c r="BX58" s="539">
        <f t="shared" si="15"/>
        <v>9321.7067066273194</v>
      </c>
      <c r="BY58" s="539">
        <f t="shared" si="15"/>
        <v>9278.2350148653059</v>
      </c>
      <c r="BZ58" s="539">
        <f t="shared" si="15"/>
        <v>9366.820362658149</v>
      </c>
      <c r="CA58" s="539">
        <f t="shared" si="15"/>
        <v>9391.5394041324525</v>
      </c>
      <c r="CB58" s="539">
        <f t="shared" si="15"/>
        <v>9325.6587104719256</v>
      </c>
      <c r="CC58" s="539">
        <f t="shared" si="15"/>
        <v>8945.0439358883377</v>
      </c>
      <c r="CD58" s="539">
        <f t="shared" si="15"/>
        <v>8979.3486456163082</v>
      </c>
      <c r="CE58" s="539">
        <f t="shared" si="15"/>
        <v>9046.6164747550774</v>
      </c>
      <c r="CF58" s="539">
        <f t="shared" si="15"/>
        <v>9023.0377831656751</v>
      </c>
      <c r="CG58" s="539">
        <f t="shared" si="15"/>
        <v>8973.8419199923192</v>
      </c>
      <c r="CH58" s="539">
        <f t="shared" si="15"/>
        <v>9016.1509382852164</v>
      </c>
      <c r="CI58" s="539">
        <f t="shared" si="15"/>
        <v>9085.5959504342063</v>
      </c>
      <c r="CJ58" s="539">
        <f t="shared" si="15"/>
        <v>9063.3706202664835</v>
      </c>
      <c r="CK58" s="539">
        <f t="shared" si="15"/>
        <v>9015.6767110387427</v>
      </c>
      <c r="CL58" s="539">
        <f t="shared" si="15"/>
        <v>9619.2585844250625</v>
      </c>
      <c r="CM58" s="539">
        <f t="shared" si="15"/>
        <v>9689.331069373402</v>
      </c>
      <c r="CN58" s="539">
        <f t="shared" si="15"/>
        <v>9666.913390670883</v>
      </c>
      <c r="CO58" s="539">
        <f t="shared" si="15"/>
        <v>9619.2269425792711</v>
      </c>
      <c r="CP58" s="539">
        <f t="shared" si="15"/>
        <v>9139.1530462928586</v>
      </c>
      <c r="CQ58" s="539">
        <f t="shared" si="15"/>
        <v>9160.9563368827476</v>
      </c>
      <c r="CR58" s="539">
        <f t="shared" si="15"/>
        <v>9163.7163616976522</v>
      </c>
      <c r="CS58" s="539">
        <f t="shared" si="15"/>
        <v>9117.6240403708798</v>
      </c>
      <c r="CT58" s="539">
        <f t="shared" si="15"/>
        <v>9172.7758942782111</v>
      </c>
      <c r="CU58" s="539">
        <f t="shared" si="15"/>
        <v>9245.5507180696623</v>
      </c>
      <c r="CV58" s="539">
        <f t="shared" si="15"/>
        <v>9224.3980348323803</v>
      </c>
      <c r="CW58" s="539">
        <f t="shared" si="15"/>
        <v>9178.5813878150875</v>
      </c>
      <c r="CX58" s="539">
        <f t="shared" si="15"/>
        <v>9237.5047308263493</v>
      </c>
      <c r="CY58" s="539">
        <f t="shared" si="15"/>
        <v>9310.5837191884038</v>
      </c>
      <c r="CZ58" s="539">
        <f t="shared" si="15"/>
        <v>9289.0498453167329</v>
      </c>
      <c r="DA58" s="539">
        <f t="shared" si="15"/>
        <v>9243.2109589200554</v>
      </c>
      <c r="DB58" s="539">
        <f t="shared" si="15"/>
        <v>9250.1759971050742</v>
      </c>
      <c r="DC58" s="539">
        <f t="shared" si="15"/>
        <v>9339.0671459746045</v>
      </c>
      <c r="DD58" s="539">
        <f t="shared" si="15"/>
        <v>9333.4126291791054</v>
      </c>
      <c r="DE58" s="539">
        <f t="shared" si="15"/>
        <v>9304.4998770319035</v>
      </c>
      <c r="DF58" s="539">
        <f t="shared" si="15"/>
        <v>10042.297500103878</v>
      </c>
      <c r="DG58" s="539">
        <f t="shared" si="15"/>
        <v>10083.037086594606</v>
      </c>
      <c r="DH58" s="539">
        <f t="shared" si="15"/>
        <v>10103.030440845592</v>
      </c>
      <c r="DI58" s="539">
        <f t="shared" si="15"/>
        <v>10074.710093976457</v>
      </c>
      <c r="DJ58" s="539">
        <f t="shared" si="15"/>
        <v>9531.0000277068248</v>
      </c>
      <c r="DK58" s="539">
        <f t="shared" si="15"/>
        <v>9622.5760692221538</v>
      </c>
      <c r="DL58" s="539">
        <f t="shared" si="15"/>
        <v>9618.4891847043327</v>
      </c>
      <c r="DM58" s="539">
        <f t="shared" si="15"/>
        <v>9590.6249782264968</v>
      </c>
      <c r="DN58" s="539">
        <f t="shared" si="15"/>
        <v>9679.6513243283043</v>
      </c>
      <c r="DO58" s="539">
        <f t="shared" si="15"/>
        <v>9772.3259446832872</v>
      </c>
      <c r="DP58" s="539">
        <f t="shared" si="15"/>
        <v>9768.8299907587207</v>
      </c>
      <c r="DQ58" s="539">
        <f t="shared" si="15"/>
        <v>9741.3091688148925</v>
      </c>
      <c r="DR58" s="539">
        <f t="shared" si="15"/>
        <v>9833.1752700445759</v>
      </c>
      <c r="DS58" s="539">
        <f t="shared" si="15"/>
        <v>9926.8134161951511</v>
      </c>
      <c r="DT58" s="539">
        <f t="shared" si="15"/>
        <v>9923.8082057289866</v>
      </c>
      <c r="DU58" s="539">
        <f t="shared" si="15"/>
        <v>9896.5376166003607</v>
      </c>
      <c r="DV58" s="539">
        <f t="shared" si="15"/>
        <v>10016.918852742816</v>
      </c>
      <c r="DW58" s="539">
        <f t="shared" si="15"/>
        <v>10059.983606963106</v>
      </c>
      <c r="DX58" s="539">
        <f t="shared" si="15"/>
        <v>10083.094712487115</v>
      </c>
      <c r="DY58" s="539">
        <f t="shared" si="15"/>
        <v>10055.997562626802</v>
      </c>
      <c r="DZ58" s="539">
        <f t="shared" si="15"/>
        <v>10153.459517752461</v>
      </c>
      <c r="EA58" s="539">
        <f t="shared" si="15"/>
        <v>10248.680194721674</v>
      </c>
      <c r="EB58" s="539">
        <f t="shared" si="15"/>
        <v>10246.420544942679</v>
      </c>
      <c r="EC58" s="539">
        <f t="shared" si="15"/>
        <v>10948.88102751593</v>
      </c>
      <c r="ED58" s="539">
        <f t="shared" si="15"/>
        <v>2308.4176722004668</v>
      </c>
      <c r="EE58" s="539">
        <f t="shared" si="15"/>
        <v>0</v>
      </c>
      <c r="EF58" s="539">
        <f t="shared" si="15"/>
        <v>0</v>
      </c>
      <c r="EG58" s="539">
        <f t="shared" si="15"/>
        <v>0</v>
      </c>
    </row>
    <row r="59" spans="5:137" ht="12.75">
      <c r="E59" s="535" t="str">
        <f>Debt!E$104</f>
        <v>Senior facility - debt service</v>
      </c>
      <c r="G59" s="537" t="str">
        <f>Debt!G$104</f>
        <v>EUR 000s</v>
      </c>
      <c r="H59" s="537">
        <f>Debt!H$104</f>
        <v>350432.93778912647</v>
      </c>
      <c r="J59" s="537">
        <f>Debt!J$104</f>
        <v>0</v>
      </c>
      <c r="K59" s="537">
        <f>Debt!K$104</f>
        <v>0</v>
      </c>
      <c r="L59" s="537">
        <f>Debt!L$104</f>
        <v>0</v>
      </c>
      <c r="M59" s="537">
        <f>Debt!M$104</f>
        <v>0</v>
      </c>
      <c r="N59" s="537">
        <f>Debt!N$104</f>
        <v>0</v>
      </c>
      <c r="O59" s="537">
        <f>Debt!O$104</f>
        <v>0</v>
      </c>
      <c r="P59" s="537">
        <f>Debt!P$104</f>
        <v>-1.8189894035458565E-12</v>
      </c>
      <c r="Q59" s="537">
        <f>Debt!Q$104</f>
        <v>0</v>
      </c>
      <c r="R59" s="537">
        <f>Debt!R$104</f>
        <v>0</v>
      </c>
      <c r="S59" s="537">
        <f>Debt!S$104</f>
        <v>0</v>
      </c>
      <c r="T59" s="537">
        <f>Debt!T$104</f>
        <v>0</v>
      </c>
      <c r="U59" s="537">
        <f>Debt!U$104</f>
        <v>0</v>
      </c>
      <c r="V59" s="537">
        <f>Debt!V$104</f>
        <v>0</v>
      </c>
      <c r="W59" s="537">
        <f>Debt!W$104</f>
        <v>0</v>
      </c>
      <c r="X59" s="537">
        <f>Debt!X$104</f>
        <v>0</v>
      </c>
      <c r="Y59" s="537">
        <f>Debt!Y$104</f>
        <v>0</v>
      </c>
      <c r="Z59" s="537">
        <f>Debt!Z$104</f>
        <v>0</v>
      </c>
      <c r="AA59" s="537">
        <f>Debt!AA$104</f>
        <v>0</v>
      </c>
      <c r="AB59" s="537">
        <f>Debt!AB$104</f>
        <v>0</v>
      </c>
      <c r="AC59" s="537">
        <f>Debt!AC$104</f>
        <v>0</v>
      </c>
      <c r="AD59" s="537">
        <f>Debt!AD$104</f>
        <v>0</v>
      </c>
      <c r="AE59" s="537">
        <f>Debt!AE$104</f>
        <v>0</v>
      </c>
      <c r="AF59" s="537">
        <f>Debt!AF$104</f>
        <v>0</v>
      </c>
      <c r="AG59" s="537">
        <f>Debt!AG$104</f>
        <v>0</v>
      </c>
      <c r="AH59" s="537">
        <f>Debt!AH$104</f>
        <v>3678.8348581698501</v>
      </c>
      <c r="AI59" s="537">
        <f>Debt!AI$104</f>
        <v>4654.4397593286103</v>
      </c>
      <c r="AJ59" s="537">
        <f>Debt!AJ$104</f>
        <v>4654.2133758469154</v>
      </c>
      <c r="AK59" s="537">
        <f>Debt!AK$104</f>
        <v>4644.0261191706895</v>
      </c>
      <c r="AL59" s="537">
        <f>Debt!AL$104</f>
        <v>4693.5855314975461</v>
      </c>
      <c r="AM59" s="537">
        <f>Debt!AM$104</f>
        <v>4736.1435903709635</v>
      </c>
      <c r="AN59" s="537">
        <f>Debt!AN$104</f>
        <v>4735.9144792139659</v>
      </c>
      <c r="AO59" s="537">
        <f>Debt!AO$104</f>
        <v>4725.6044771491152</v>
      </c>
      <c r="AP59" s="537">
        <f>Debt!AP$104</f>
        <v>4776.2218865345076</v>
      </c>
      <c r="AQ59" s="537">
        <f>Debt!AQ$104</f>
        <v>4819.1883943546436</v>
      </c>
      <c r="AR59" s="537">
        <f>Debt!AR$104</f>
        <v>4818.9565473093417</v>
      </c>
      <c r="AS59" s="537">
        <f>Debt!AS$104</f>
        <v>4808.523430270714</v>
      </c>
      <c r="AT59" s="537">
        <f>Debt!AT$104</f>
        <v>4871.0125860621984</v>
      </c>
      <c r="AU59" s="537">
        <f>Debt!AU$104</f>
        <v>4892.8014892437168</v>
      </c>
      <c r="AV59" s="537">
        <f>Debt!AV$104</f>
        <v>4903.358038740419</v>
      </c>
      <c r="AW59" s="537">
        <f>Debt!AW$104</f>
        <v>4890.5485880171236</v>
      </c>
      <c r="AX59" s="537">
        <f>Debt!AX$104</f>
        <v>4945.6032153911401</v>
      </c>
      <c r="AY59" s="537">
        <f>Debt!AY$104</f>
        <v>4989.3748800105577</v>
      </c>
      <c r="AZ59" s="537">
        <f>Debt!AZ$104</f>
        <v>4989.1375412419338</v>
      </c>
      <c r="BA59" s="537">
        <f>Debt!BA$104</f>
        <v>4976.0237518384511</v>
      </c>
      <c r="BB59" s="537">
        <f>Debt!BB$104</f>
        <v>4968.7061367066199</v>
      </c>
      <c r="BC59" s="537">
        <f>Debt!BC$104</f>
        <v>5003.7719991405111</v>
      </c>
      <c r="BD59" s="537">
        <f>Debt!BD$104</f>
        <v>4994.8398242674302</v>
      </c>
      <c r="BE59" s="537">
        <f>Debt!BE$104</f>
        <v>4975.7347406139879</v>
      </c>
      <c r="BF59" s="537">
        <f>Debt!BF$104</f>
        <v>5018.2432697654431</v>
      </c>
      <c r="BG59" s="537">
        <f>Debt!BG$104</f>
        <v>5055.2308992146009</v>
      </c>
      <c r="BH59" s="537">
        <f>Debt!BH$104</f>
        <v>5047.7580665162341</v>
      </c>
      <c r="BI59" s="537">
        <f>Debt!BI$104</f>
        <v>5029.9252428553727</v>
      </c>
      <c r="BJ59" s="537">
        <f>Debt!BJ$104</f>
        <v>5086.1659444474417</v>
      </c>
      <c r="BK59" s="537">
        <f>Debt!BK$104</f>
        <v>5102.2164152464693</v>
      </c>
      <c r="BL59" s="537">
        <f>Debt!BL$104</f>
        <v>5107.2549033808882</v>
      </c>
      <c r="BM59" s="537">
        <f>Debt!BM$104</f>
        <v>5090.4593862946022</v>
      </c>
      <c r="BN59" s="537">
        <f>Debt!BN$104</f>
        <v>5137.6362992811</v>
      </c>
      <c r="BO59" s="537">
        <f>Debt!BO$104</f>
        <v>5177.721034794823</v>
      </c>
      <c r="BP59" s="537">
        <f>Debt!BP$104</f>
        <v>5172.4704316400748</v>
      </c>
      <c r="BQ59" s="537">
        <f>Debt!BQ$104</f>
        <v>5156.5168427050112</v>
      </c>
      <c r="BR59" s="537">
        <f>Debt!BR$104</f>
        <v>5259.1072788641732</v>
      </c>
      <c r="BS59" s="537">
        <f>Debt!BS$104</f>
        <v>5300.4456959908366</v>
      </c>
      <c r="BT59" s="537">
        <f>Debt!BT$104</f>
        <v>5296.0337638407573</v>
      </c>
      <c r="BU59" s="537">
        <f>Debt!BU$104</f>
        <v>5280.7596572690318</v>
      </c>
      <c r="BV59" s="537">
        <f>Debt!BV$104</f>
        <v>5192.6997405259599</v>
      </c>
      <c r="BW59" s="537">
        <f>Debt!BW$104</f>
        <v>4824.0097155821095</v>
      </c>
      <c r="BX59" s="537">
        <f>Debt!BX$104</f>
        <v>4812.2194454551673</v>
      </c>
      <c r="BY59" s="537">
        <f>Debt!BY$104</f>
        <v>4789.7777052237061</v>
      </c>
      <c r="BZ59" s="537">
        <f>Debt!BZ$104</f>
        <v>4835.508830075345</v>
      </c>
      <c r="CA59" s="537">
        <f>Debt!CA$104</f>
        <v>4848.2697391877382</v>
      </c>
      <c r="CB59" s="537">
        <f>Debt!CB$104</f>
        <v>4814.2596201085926</v>
      </c>
      <c r="CC59" s="537">
        <f>Debt!CC$104</f>
        <v>4617.7718011798452</v>
      </c>
      <c r="CD59" s="537">
        <f>Debt!CD$104</f>
        <v>4635.4811967250052</v>
      </c>
      <c r="CE59" s="537">
        <f>Debt!CE$104</f>
        <v>4670.2074078817031</v>
      </c>
      <c r="CF59" s="537">
        <f>Debt!CF$104</f>
        <v>4658.0351907399381</v>
      </c>
      <c r="CG59" s="537">
        <f>Debt!CG$104</f>
        <v>4632.6384155731694</v>
      </c>
      <c r="CH59" s="537">
        <f>Debt!CH$104</f>
        <v>4654.4799395510099</v>
      </c>
      <c r="CI59" s="537">
        <f>Debt!CI$104</f>
        <v>4690.3300953616026</v>
      </c>
      <c r="CJ59" s="537">
        <f>Debt!CJ$104</f>
        <v>4678.8565348451857</v>
      </c>
      <c r="CK59" s="537">
        <f>Debt!CK$104</f>
        <v>4654.2351254146215</v>
      </c>
      <c r="CL59" s="537">
        <f>Debt!CL$104</f>
        <v>4965.8270387247549</v>
      </c>
      <c r="CM59" s="537">
        <f>Debt!CM$104</f>
        <v>5002.0011198530556</v>
      </c>
      <c r="CN59" s="537">
        <f>Debt!CN$104</f>
        <v>4990.4282617092213</v>
      </c>
      <c r="CO59" s="537">
        <f>Debt!CO$104</f>
        <v>4965.8107040008254</v>
      </c>
      <c r="CP59" s="537">
        <f>Debt!CP$104</f>
        <v>4717.9783046696557</v>
      </c>
      <c r="CQ59" s="537">
        <f>Debt!CQ$104</f>
        <v>4729.233992308592</v>
      </c>
      <c r="CR59" s="537">
        <f>Debt!CR$104</f>
        <v>4730.658822063725</v>
      </c>
      <c r="CS59" s="537">
        <f>Debt!CS$104</f>
        <v>4706.8642132055456</v>
      </c>
      <c r="CT59" s="537">
        <f>Debt!CT$104</f>
        <v>4735.3356972565371</v>
      </c>
      <c r="CU59" s="537">
        <f>Debt!CU$104</f>
        <v>4772.9048284479113</v>
      </c>
      <c r="CV59" s="537">
        <f>Debt!CV$104</f>
        <v>4761.9850090627306</v>
      </c>
      <c r="CW59" s="537">
        <f>Debt!CW$104</f>
        <v>4738.3327137651941</v>
      </c>
      <c r="CX59" s="537">
        <f>Debt!CX$104</f>
        <v>4768.7511838966802</v>
      </c>
      <c r="CY59" s="537">
        <f>Debt!CY$104</f>
        <v>4806.4773364047887</v>
      </c>
      <c r="CZ59" s="537">
        <f>Debt!CZ$104</f>
        <v>4795.3607319199509</v>
      </c>
      <c r="DA59" s="537">
        <f>Debt!DA$104</f>
        <v>4771.6969558088413</v>
      </c>
      <c r="DB59" s="537">
        <f>Debt!DB$104</f>
        <v>0</v>
      </c>
      <c r="DC59" s="537">
        <f>Debt!DC$104</f>
        <v>0</v>
      </c>
      <c r="DD59" s="537">
        <f>Debt!DD$104</f>
        <v>0</v>
      </c>
      <c r="DE59" s="537">
        <f>Debt!DE$104</f>
        <v>0</v>
      </c>
      <c r="DF59" s="537">
        <f>Debt!DF$104</f>
        <v>0</v>
      </c>
      <c r="DG59" s="537">
        <f>Debt!DG$104</f>
        <v>0</v>
      </c>
      <c r="DH59" s="537">
        <f>Debt!DH$104</f>
        <v>0</v>
      </c>
      <c r="DI59" s="537">
        <f>Debt!DI$104</f>
        <v>0</v>
      </c>
      <c r="DJ59" s="537">
        <f>Debt!DJ$104</f>
        <v>0</v>
      </c>
      <c r="DK59" s="537">
        <f>Debt!DK$104</f>
        <v>0</v>
      </c>
      <c r="DL59" s="537">
        <f>Debt!DL$104</f>
        <v>0</v>
      </c>
      <c r="DM59" s="537">
        <f>Debt!DM$104</f>
        <v>0</v>
      </c>
      <c r="DN59" s="537">
        <f>Debt!DN$104</f>
        <v>0</v>
      </c>
      <c r="DO59" s="537">
        <f>Debt!DO$104</f>
        <v>0</v>
      </c>
      <c r="DP59" s="537">
        <f>Debt!DP$104</f>
        <v>0</v>
      </c>
      <c r="DQ59" s="537">
        <f>Debt!DQ$104</f>
        <v>0</v>
      </c>
      <c r="DR59" s="537">
        <f>Debt!DR$104</f>
        <v>0</v>
      </c>
      <c r="DS59" s="537">
        <f>Debt!DS$104</f>
        <v>0</v>
      </c>
      <c r="DT59" s="537">
        <f>Debt!DT$104</f>
        <v>0</v>
      </c>
      <c r="DU59" s="537">
        <f>Debt!DU$104</f>
        <v>0</v>
      </c>
      <c r="DV59" s="537">
        <f>Debt!DV$104</f>
        <v>0</v>
      </c>
      <c r="DW59" s="537">
        <f>Debt!DW$104</f>
        <v>0</v>
      </c>
      <c r="DX59" s="537">
        <f>Debt!DX$104</f>
        <v>0</v>
      </c>
      <c r="DY59" s="537">
        <f>Debt!DY$104</f>
        <v>0</v>
      </c>
      <c r="DZ59" s="537">
        <f>Debt!DZ$104</f>
        <v>0</v>
      </c>
      <c r="EA59" s="537">
        <f>Debt!EA$104</f>
        <v>0</v>
      </c>
      <c r="EB59" s="537">
        <f>Debt!EB$104</f>
        <v>0</v>
      </c>
      <c r="EC59" s="537">
        <f>Debt!EC$104</f>
        <v>0</v>
      </c>
      <c r="ED59" s="537">
        <f>Debt!ED$104</f>
        <v>0</v>
      </c>
      <c r="EE59" s="537">
        <f>Debt!EE$104</f>
        <v>0</v>
      </c>
      <c r="EF59" s="537">
        <f>Debt!EF$104</f>
        <v>0</v>
      </c>
      <c r="EG59" s="537">
        <f>Debt!EG$104</f>
        <v>0</v>
      </c>
    </row>
    <row r="60" spans="5:7" ht="12.75">
      <c r="E60" s="535" t="str">
        <f>InpC!E$126</f>
        <v>Months in year</v>
      </c>
      <c r="F60" s="537">
        <f>InpC!F$126</f>
        <v>12</v>
      </c>
      <c r="G60" s="537" t="str">
        <f>InpC!G$126</f>
        <v>months</v>
      </c>
    </row>
    <row r="61" spans="5:137" ht="12.75">
      <c r="E61" s="535" t="str">
        <f>Time!E$50</f>
        <v>Model period ending</v>
      </c>
      <c r="G61" s="536" t="str">
        <f>Time!G$50</f>
        <v>date</v>
      </c>
      <c r="J61" s="536">
        <f>Time!J$50</f>
        <v>46418</v>
      </c>
      <c r="K61" s="536">
        <f>Time!K$50</f>
        <v>46446</v>
      </c>
      <c r="L61" s="536">
        <f>Time!L$50</f>
        <v>46477</v>
      </c>
      <c r="M61" s="536">
        <f>Time!M$50</f>
        <v>46507</v>
      </c>
      <c r="N61" s="536">
        <f>Time!N$50</f>
        <v>46538</v>
      </c>
      <c r="O61" s="536">
        <f>Time!O$50</f>
        <v>46568</v>
      </c>
      <c r="P61" s="536">
        <f>Time!P$50</f>
        <v>46599</v>
      </c>
      <c r="Q61" s="536">
        <f>Time!Q$50</f>
        <v>46630</v>
      </c>
      <c r="R61" s="536">
        <f>Time!R$50</f>
        <v>46660</v>
      </c>
      <c r="S61" s="536">
        <f>Time!S$50</f>
        <v>46691</v>
      </c>
      <c r="T61" s="536">
        <f>Time!T$50</f>
        <v>46721</v>
      </c>
      <c r="U61" s="536">
        <f>Time!U$50</f>
        <v>46752</v>
      </c>
      <c r="V61" s="536">
        <f>Time!V$50</f>
        <v>46783</v>
      </c>
      <c r="W61" s="536">
        <f>Time!W$50</f>
        <v>46812</v>
      </c>
      <c r="X61" s="536">
        <f>Time!X$50</f>
        <v>46843</v>
      </c>
      <c r="Y61" s="536">
        <f>Time!Y$50</f>
        <v>46873</v>
      </c>
      <c r="Z61" s="536">
        <f>Time!Z$50</f>
        <v>46904</v>
      </c>
      <c r="AA61" s="536">
        <f>Time!AA$50</f>
        <v>46934</v>
      </c>
      <c r="AB61" s="536">
        <f>Time!AB$50</f>
        <v>46965</v>
      </c>
      <c r="AC61" s="536">
        <f>Time!AC$50</f>
        <v>46996</v>
      </c>
      <c r="AD61" s="536">
        <f>Time!AD$50</f>
        <v>47026</v>
      </c>
      <c r="AE61" s="536">
        <f>Time!AE$50</f>
        <v>47057</v>
      </c>
      <c r="AF61" s="536">
        <f>Time!AF$50</f>
        <v>47087</v>
      </c>
      <c r="AG61" s="536">
        <f>Time!AG$50</f>
        <v>47118</v>
      </c>
      <c r="AH61" s="536">
        <f>Time!AH$50</f>
        <v>47208</v>
      </c>
      <c r="AI61" s="536">
        <f>Time!AI$50</f>
        <v>47299</v>
      </c>
      <c r="AJ61" s="536">
        <f>Time!AJ$50</f>
        <v>47391</v>
      </c>
      <c r="AK61" s="536">
        <f>Time!AK$50</f>
        <v>47483</v>
      </c>
      <c r="AL61" s="536">
        <f>Time!AL$50</f>
        <v>47573</v>
      </c>
      <c r="AM61" s="536">
        <f>Time!AM$50</f>
        <v>47664</v>
      </c>
      <c r="AN61" s="536">
        <f>Time!AN$50</f>
        <v>47756</v>
      </c>
      <c r="AO61" s="536">
        <f>Time!AO$50</f>
        <v>47848</v>
      </c>
      <c r="AP61" s="536">
        <f>Time!AP$50</f>
        <v>47938</v>
      </c>
      <c r="AQ61" s="536">
        <f>Time!AQ$50</f>
        <v>48029</v>
      </c>
      <c r="AR61" s="536">
        <f>Time!AR$50</f>
        <v>48121</v>
      </c>
      <c r="AS61" s="536">
        <f>Time!AS$50</f>
        <v>48213</v>
      </c>
      <c r="AT61" s="536">
        <f>Time!AT$50</f>
        <v>48304</v>
      </c>
      <c r="AU61" s="536">
        <f>Time!AU$50</f>
        <v>48395</v>
      </c>
      <c r="AV61" s="536">
        <f>Time!AV$50</f>
        <v>48487</v>
      </c>
      <c r="AW61" s="536">
        <f>Time!AW$50</f>
        <v>48579</v>
      </c>
      <c r="AX61" s="536">
        <f>Time!AX$50</f>
        <v>48669</v>
      </c>
      <c r="AY61" s="536">
        <f>Time!AY$50</f>
        <v>48760</v>
      </c>
      <c r="AZ61" s="536">
        <f>Time!AZ$50</f>
        <v>48852</v>
      </c>
      <c r="BA61" s="536">
        <f>Time!BA$50</f>
        <v>48944</v>
      </c>
      <c r="BB61" s="536">
        <f>Time!BB$50</f>
        <v>49034</v>
      </c>
      <c r="BC61" s="536">
        <f>Time!BC$50</f>
        <v>49125</v>
      </c>
      <c r="BD61" s="536">
        <f>Time!BD$50</f>
        <v>49217</v>
      </c>
      <c r="BE61" s="536">
        <f>Time!BE$50</f>
        <v>49309</v>
      </c>
      <c r="BF61" s="536">
        <f>Time!BF$50</f>
        <v>49399</v>
      </c>
      <c r="BG61" s="536">
        <f>Time!BG$50</f>
        <v>49490</v>
      </c>
      <c r="BH61" s="536">
        <f>Time!BH$50</f>
        <v>49582</v>
      </c>
      <c r="BI61" s="536">
        <f>Time!BI$50</f>
        <v>49674</v>
      </c>
      <c r="BJ61" s="536">
        <f>Time!BJ$50</f>
        <v>49765</v>
      </c>
      <c r="BK61" s="536">
        <f>Time!BK$50</f>
        <v>49856</v>
      </c>
      <c r="BL61" s="536">
        <f>Time!BL$50</f>
        <v>49948</v>
      </c>
      <c r="BM61" s="536">
        <f>Time!BM$50</f>
        <v>50040</v>
      </c>
      <c r="BN61" s="536">
        <f>Time!BN$50</f>
        <v>50130</v>
      </c>
      <c r="BO61" s="536">
        <f>Time!BO$50</f>
        <v>50221</v>
      </c>
      <c r="BP61" s="536">
        <f>Time!BP$50</f>
        <v>50313</v>
      </c>
      <c r="BQ61" s="536">
        <f>Time!BQ$50</f>
        <v>50405</v>
      </c>
      <c r="BR61" s="536">
        <f>Time!BR$50</f>
        <v>50495</v>
      </c>
      <c r="BS61" s="536">
        <f>Time!BS$50</f>
        <v>50586</v>
      </c>
      <c r="BT61" s="536">
        <f>Time!BT$50</f>
        <v>50678</v>
      </c>
      <c r="BU61" s="536">
        <f>Time!BU$50</f>
        <v>50770</v>
      </c>
      <c r="BV61" s="536">
        <f>Time!BV$50</f>
        <v>50860</v>
      </c>
      <c r="BW61" s="536">
        <f>Time!BW$50</f>
        <v>50951</v>
      </c>
      <c r="BX61" s="536">
        <f>Time!BX$50</f>
        <v>51043</v>
      </c>
      <c r="BY61" s="536">
        <f>Time!BY$50</f>
        <v>51135</v>
      </c>
      <c r="BZ61" s="536">
        <f>Time!BZ$50</f>
        <v>51226</v>
      </c>
      <c r="CA61" s="536">
        <f>Time!CA$50</f>
        <v>51317</v>
      </c>
      <c r="CB61" s="536">
        <f>Time!CB$50</f>
        <v>51409</v>
      </c>
      <c r="CC61" s="536">
        <f>Time!CC$50</f>
        <v>51501</v>
      </c>
      <c r="CD61" s="536">
        <f>Time!CD$50</f>
        <v>51591</v>
      </c>
      <c r="CE61" s="536">
        <f>Time!CE$50</f>
        <v>51682</v>
      </c>
      <c r="CF61" s="536">
        <f>Time!CF$50</f>
        <v>51774</v>
      </c>
      <c r="CG61" s="536">
        <f>Time!CG$50</f>
        <v>51866</v>
      </c>
      <c r="CH61" s="536">
        <f>Time!CH$50</f>
        <v>51956</v>
      </c>
      <c r="CI61" s="536">
        <f>Time!CI$50</f>
        <v>52047</v>
      </c>
      <c r="CJ61" s="536">
        <f>Time!CJ$50</f>
        <v>52139</v>
      </c>
      <c r="CK61" s="536">
        <f>Time!CK$50</f>
        <v>52231</v>
      </c>
      <c r="CL61" s="536">
        <f>Time!CL$50</f>
        <v>52321</v>
      </c>
      <c r="CM61" s="536">
        <f>Time!CM$50</f>
        <v>52412</v>
      </c>
      <c r="CN61" s="536">
        <f>Time!CN$50</f>
        <v>52504</v>
      </c>
      <c r="CO61" s="536">
        <f>Time!CO$50</f>
        <v>52596</v>
      </c>
      <c r="CP61" s="536">
        <f>Time!CP$50</f>
        <v>52687</v>
      </c>
      <c r="CQ61" s="536">
        <f>Time!CQ$50</f>
        <v>52778</v>
      </c>
      <c r="CR61" s="536">
        <f>Time!CR$50</f>
        <v>52870</v>
      </c>
      <c r="CS61" s="536">
        <f>Time!CS$50</f>
        <v>52962</v>
      </c>
      <c r="CT61" s="536">
        <f>Time!CT$50</f>
        <v>53052</v>
      </c>
      <c r="CU61" s="536">
        <f>Time!CU$50</f>
        <v>53143</v>
      </c>
      <c r="CV61" s="536">
        <f>Time!CV$50</f>
        <v>53235</v>
      </c>
      <c r="CW61" s="536">
        <f>Time!CW$50</f>
        <v>53327</v>
      </c>
      <c r="CX61" s="536">
        <f>Time!CX$50</f>
        <v>53417</v>
      </c>
      <c r="CY61" s="536">
        <f>Time!CY$50</f>
        <v>53508</v>
      </c>
      <c r="CZ61" s="536">
        <f>Time!CZ$50</f>
        <v>53600</v>
      </c>
      <c r="DA61" s="536">
        <f>Time!DA$50</f>
        <v>53692</v>
      </c>
      <c r="DB61" s="536">
        <f>Time!DB$50</f>
        <v>53782</v>
      </c>
      <c r="DC61" s="536">
        <f>Time!DC$50</f>
        <v>53873</v>
      </c>
      <c r="DD61" s="536">
        <f>Time!DD$50</f>
        <v>53965</v>
      </c>
      <c r="DE61" s="536">
        <f>Time!DE$50</f>
        <v>54057</v>
      </c>
      <c r="DF61" s="536">
        <f>Time!DF$50</f>
        <v>54148</v>
      </c>
      <c r="DG61" s="536">
        <f>Time!DG$50</f>
        <v>54239</v>
      </c>
      <c r="DH61" s="536">
        <f>Time!DH$50</f>
        <v>54331</v>
      </c>
      <c r="DI61" s="536">
        <f>Time!DI$50</f>
        <v>54423</v>
      </c>
      <c r="DJ61" s="536">
        <f>Time!DJ$50</f>
        <v>54513</v>
      </c>
      <c r="DK61" s="536">
        <f>Time!DK$50</f>
        <v>54604</v>
      </c>
      <c r="DL61" s="536">
        <f>Time!DL$50</f>
        <v>54696</v>
      </c>
      <c r="DM61" s="536">
        <f>Time!DM$50</f>
        <v>54788</v>
      </c>
      <c r="DN61" s="536">
        <f>Time!DN$50</f>
        <v>54878</v>
      </c>
      <c r="DO61" s="536">
        <f>Time!DO$50</f>
        <v>54969</v>
      </c>
      <c r="DP61" s="536">
        <f>Time!DP$50</f>
        <v>55061</v>
      </c>
      <c r="DQ61" s="536">
        <f>Time!DQ$50</f>
        <v>55153</v>
      </c>
      <c r="DR61" s="536">
        <f>Time!DR$50</f>
        <v>55243</v>
      </c>
      <c r="DS61" s="536">
        <f>Time!DS$50</f>
        <v>55334</v>
      </c>
      <c r="DT61" s="536">
        <f>Time!DT$50</f>
        <v>55426</v>
      </c>
      <c r="DU61" s="536">
        <f>Time!DU$50</f>
        <v>55518</v>
      </c>
      <c r="DV61" s="536">
        <f>Time!DV$50</f>
        <v>55609</v>
      </c>
      <c r="DW61" s="536">
        <f>Time!DW$50</f>
        <v>55700</v>
      </c>
      <c r="DX61" s="536">
        <f>Time!DX$50</f>
        <v>55792</v>
      </c>
      <c r="DY61" s="536">
        <f>Time!DY$50</f>
        <v>55884</v>
      </c>
      <c r="DZ61" s="536">
        <f>Time!DZ$50</f>
        <v>55974</v>
      </c>
      <c r="EA61" s="536">
        <f>Time!EA$50</f>
        <v>56065</v>
      </c>
      <c r="EB61" s="536">
        <f>Time!EB$50</f>
        <v>56157</v>
      </c>
      <c r="EC61" s="536">
        <f>Time!EC$50</f>
        <v>56249</v>
      </c>
      <c r="ED61" s="536">
        <f>Time!ED$50</f>
        <v>56339</v>
      </c>
      <c r="EE61" s="536">
        <f>Time!EE$50</f>
        <v>56430</v>
      </c>
      <c r="EF61" s="536">
        <f>Time!EF$50</f>
        <v>56522</v>
      </c>
      <c r="EG61" s="536">
        <f>Time!EG$50</f>
        <v>56614</v>
      </c>
    </row>
    <row r="62" spans="5:137" ht="12.75">
      <c r="E62" s="538" t="s">
        <v>404</v>
      </c>
      <c r="G62" s="539" t="s">
        <v>30</v>
      </c>
      <c r="H62" s="539">
        <f>SUM(J62:EG62)</f>
        <v>3829510.7832251238</v>
      </c>
      <c r="J62" s="539">
        <f t="shared" si="16" ref="J62:EG62">SUMIFS($I58:I58,$I61:I61,"&gt;"&amp;EDATE(J61,-$F60))+J58</f>
        <v>0</v>
      </c>
      <c r="K62" s="539">
        <f t="shared" si="16"/>
        <v>0</v>
      </c>
      <c r="L62" s="539">
        <f t="shared" si="16"/>
        <v>0</v>
      </c>
      <c r="M62" s="539">
        <f t="shared" si="16"/>
        <v>0</v>
      </c>
      <c r="N62" s="539">
        <f t="shared" si="16"/>
        <v>0</v>
      </c>
      <c r="O62" s="539">
        <f t="shared" si="16"/>
        <v>0</v>
      </c>
      <c r="P62" s="539">
        <f t="shared" si="16"/>
        <v>0</v>
      </c>
      <c r="Q62" s="539">
        <f t="shared" si="16"/>
        <v>0</v>
      </c>
      <c r="R62" s="539">
        <f t="shared" si="16"/>
        <v>0</v>
      </c>
      <c r="S62" s="539">
        <f t="shared" si="16"/>
        <v>0</v>
      </c>
      <c r="T62" s="539">
        <f t="shared" si="16"/>
        <v>0</v>
      </c>
      <c r="U62" s="539">
        <f t="shared" si="16"/>
        <v>0</v>
      </c>
      <c r="V62" s="539">
        <f t="shared" si="16"/>
        <v>0</v>
      </c>
      <c r="W62" s="539">
        <f t="shared" si="16"/>
        <v>0</v>
      </c>
      <c r="X62" s="539">
        <f t="shared" si="16"/>
        <v>0</v>
      </c>
      <c r="Y62" s="539">
        <f t="shared" si="16"/>
        <v>0</v>
      </c>
      <c r="Z62" s="539">
        <f t="shared" si="16"/>
        <v>0</v>
      </c>
      <c r="AA62" s="539">
        <f t="shared" si="16"/>
        <v>0</v>
      </c>
      <c r="AB62" s="539">
        <f t="shared" si="16"/>
        <v>0</v>
      </c>
      <c r="AC62" s="539">
        <f t="shared" si="16"/>
        <v>0</v>
      </c>
      <c r="AD62" s="539">
        <f t="shared" si="16"/>
        <v>0</v>
      </c>
      <c r="AE62" s="539">
        <f t="shared" si="16"/>
        <v>0</v>
      </c>
      <c r="AF62" s="539">
        <f t="shared" si="16"/>
        <v>0</v>
      </c>
      <c r="AG62" s="539">
        <f t="shared" si="16"/>
        <v>0</v>
      </c>
      <c r="AH62" s="539">
        <f t="shared" si="16"/>
        <v>7126.237686929222</v>
      </c>
      <c r="AI62" s="539">
        <f t="shared" si="16"/>
        <v>16142.310792469514</v>
      </c>
      <c r="AJ62" s="539">
        <f t="shared" si="16"/>
        <v>25157.945372617625</v>
      </c>
      <c r="AK62" s="539">
        <f t="shared" si="16"/>
        <v>34153.846310117624</v>
      </c>
      <c r="AL62" s="539">
        <f t="shared" si="16"/>
        <v>36119.510649479162</v>
      </c>
      <c r="AM62" s="539">
        <f t="shared" si="16"/>
        <v>36277.778400652467</v>
      </c>
      <c r="AN62" s="539">
        <f t="shared" si="16"/>
        <v>36436.040868070653</v>
      </c>
      <c r="AO62" s="539">
        <f t="shared" si="16"/>
        <v>36594.06556650815</v>
      </c>
      <c r="AP62" s="539">
        <f t="shared" si="16"/>
        <v>36754.139701466149</v>
      </c>
      <c r="AQ62" s="539">
        <f t="shared" si="16"/>
        <v>36915.005039179778</v>
      </c>
      <c r="AR62" s="539">
        <f t="shared" si="16"/>
        <v>37075.86507722894</v>
      </c>
      <c r="AS62" s="539">
        <f t="shared" si="16"/>
        <v>37236.486630377374</v>
      </c>
      <c r="AT62" s="539">
        <f t="shared" si="16"/>
        <v>37420.104835974314</v>
      </c>
      <c r="AU62" s="539">
        <f t="shared" si="16"/>
        <v>37562.700095417676</v>
      </c>
      <c r="AV62" s="539">
        <f t="shared" si="16"/>
        <v>37726.193460099013</v>
      </c>
      <c r="AW62" s="539">
        <f t="shared" si="16"/>
        <v>37885.083650320703</v>
      </c>
      <c r="AX62" s="539">
        <f t="shared" si="16"/>
        <v>38029.572482874632</v>
      </c>
      <c r="AY62" s="539">
        <f t="shared" si="16"/>
        <v>38216.643923526251</v>
      </c>
      <c r="AZ62" s="539">
        <f t="shared" si="16"/>
        <v>38382.806620972369</v>
      </c>
      <c r="BA62" s="539">
        <f t="shared" si="16"/>
        <v>38548.379786717305</v>
      </c>
      <c r="BB62" s="539">
        <f t="shared" si="16"/>
        <v>38593.132246369278</v>
      </c>
      <c r="BC62" s="539">
        <f t="shared" si="16"/>
        <v>38621.020775450495</v>
      </c>
      <c r="BD62" s="539">
        <f t="shared" si="16"/>
        <v>38632.066616257289</v>
      </c>
      <c r="BE62" s="539">
        <f t="shared" si="16"/>
        <v>38631.506775231777</v>
      </c>
      <c r="BF62" s="539">
        <f t="shared" si="16"/>
        <v>38727.464707054198</v>
      </c>
      <c r="BG62" s="539">
        <f t="shared" si="16"/>
        <v>38827.145276357689</v>
      </c>
      <c r="BH62" s="539">
        <f t="shared" si="16"/>
        <v>38929.652724171508</v>
      </c>
      <c r="BI62" s="539">
        <f t="shared" si="16"/>
        <v>39034.624655294901</v>
      </c>
      <c r="BJ62" s="539">
        <f t="shared" si="16"/>
        <v>39166.197053289608</v>
      </c>
      <c r="BK62" s="539">
        <f t="shared" si="16"/>
        <v>39257.212270877455</v>
      </c>
      <c r="BL62" s="539">
        <f t="shared" si="16"/>
        <v>39372.463054743552</v>
      </c>
      <c r="BM62" s="539">
        <f t="shared" si="16"/>
        <v>39489.723195781036</v>
      </c>
      <c r="BN62" s="539">
        <f t="shared" si="16"/>
        <v>39589.425953995546</v>
      </c>
      <c r="BO62" s="539">
        <f t="shared" si="16"/>
        <v>39735.685268726083</v>
      </c>
      <c r="BP62" s="539">
        <f t="shared" si="16"/>
        <v>39862.013677902039</v>
      </c>
      <c r="BQ62" s="539">
        <f t="shared" si="16"/>
        <v>39989.972978474914</v>
      </c>
      <c r="BR62" s="539">
        <f t="shared" si="16"/>
        <v>40225.27331294107</v>
      </c>
      <c r="BS62" s="539">
        <f t="shared" si="16"/>
        <v>40463.00214270586</v>
      </c>
      <c r="BT62" s="539">
        <f t="shared" si="16"/>
        <v>40702.355554478498</v>
      </c>
      <c r="BU62" s="539">
        <f t="shared" si="16"/>
        <v>40943.025185383522</v>
      </c>
      <c r="BV62" s="539">
        <f t="shared" si="16"/>
        <v>40814.387744278756</v>
      </c>
      <c r="BW62" s="539">
        <f t="shared" si="16"/>
        <v>39891.487921402018</v>
      </c>
      <c r="BX62" s="539">
        <f t="shared" si="16"/>
        <v>38954.295586851134</v>
      </c>
      <c r="BY62" s="539">
        <f t="shared" si="16"/>
        <v>38003.218894050609</v>
      </c>
      <c r="BZ62" s="539">
        <f t="shared" si="16"/>
        <v>37311.307616264137</v>
      </c>
      <c r="CA62" s="539">
        <f t="shared" si="16"/>
        <v>37358.301488283229</v>
      </c>
      <c r="CB62" s="539">
        <f t="shared" si="16"/>
        <v>37362.253492127827</v>
      </c>
      <c r="CC62" s="539">
        <f t="shared" si="16"/>
        <v>37029.062413150867</v>
      </c>
      <c r="CD62" s="539">
        <f t="shared" si="16"/>
        <v>36641.590696109022</v>
      </c>
      <c r="CE62" s="539">
        <f t="shared" si="16"/>
        <v>36296.667766731647</v>
      </c>
      <c r="CF62" s="539">
        <f t="shared" si="16"/>
        <v>35994.046839425399</v>
      </c>
      <c r="CG62" s="539">
        <f t="shared" si="16"/>
        <v>36022.844823529376</v>
      </c>
      <c r="CH62" s="539">
        <f t="shared" si="16"/>
        <v>36059.647116198292</v>
      </c>
      <c r="CI62" s="539">
        <f t="shared" si="16"/>
        <v>36098.626591877415</v>
      </c>
      <c r="CJ62" s="539">
        <f t="shared" si="16"/>
        <v>36138.959428978225</v>
      </c>
      <c r="CK62" s="539">
        <f t="shared" si="16"/>
        <v>36180.794220024647</v>
      </c>
      <c r="CL62" s="539">
        <f t="shared" si="16"/>
        <v>36783.901866164495</v>
      </c>
      <c r="CM62" s="539">
        <f t="shared" si="16"/>
        <v>37387.636985103694</v>
      </c>
      <c r="CN62" s="539">
        <f t="shared" si="16"/>
        <v>37991.179755508092</v>
      </c>
      <c r="CO62" s="539">
        <f t="shared" si="16"/>
        <v>38594.729987048617</v>
      </c>
      <c r="CP62" s="539">
        <f t="shared" si="16"/>
        <v>38114.624448916409</v>
      </c>
      <c r="CQ62" s="539">
        <f t="shared" si="16"/>
        <v>37586.249716425766</v>
      </c>
      <c r="CR62" s="539">
        <f t="shared" si="16"/>
        <v>37083.052687452531</v>
      </c>
      <c r="CS62" s="539">
        <f t="shared" si="16"/>
        <v>36581.449785244142</v>
      </c>
      <c r="CT62" s="539">
        <f t="shared" si="16"/>
        <v>36615.072633229487</v>
      </c>
      <c r="CU62" s="539">
        <f t="shared" si="16"/>
        <v>36699.667014416409</v>
      </c>
      <c r="CV62" s="539">
        <f t="shared" si="16"/>
        <v>36760.34868755113</v>
      </c>
      <c r="CW62" s="539">
        <f t="shared" si="16"/>
        <v>36821.306034995345</v>
      </c>
      <c r="CX62" s="539">
        <f t="shared" si="16"/>
        <v>36886.034871543481</v>
      </c>
      <c r="CY62" s="539">
        <f t="shared" si="16"/>
        <v>36951.067872662221</v>
      </c>
      <c r="CZ62" s="539">
        <f t="shared" si="16"/>
        <v>37015.71968314657</v>
      </c>
      <c r="DA62" s="539">
        <f t="shared" si="16"/>
        <v>37080.349254251538</v>
      </c>
      <c r="DB62" s="539">
        <f t="shared" si="16"/>
        <v>37093.020520530263</v>
      </c>
      <c r="DC62" s="539">
        <f t="shared" si="16"/>
        <v>37121.503947316465</v>
      </c>
      <c r="DD62" s="539">
        <f t="shared" si="16"/>
        <v>37165.866731178838</v>
      </c>
      <c r="DE62" s="539">
        <f t="shared" si="16"/>
        <v>37227.155649290682</v>
      </c>
      <c r="DF62" s="539">
        <f t="shared" si="16"/>
        <v>38019.277152289491</v>
      </c>
      <c r="DG62" s="539">
        <f t="shared" si="16"/>
        <v>38763.2470929095</v>
      </c>
      <c r="DH62" s="539">
        <f t="shared" si="16"/>
        <v>39532.864904575981</v>
      </c>
      <c r="DI62" s="539">
        <f t="shared" si="16"/>
        <v>40303.075121520531</v>
      </c>
      <c r="DJ62" s="539">
        <f t="shared" si="16"/>
        <v>39791.777649123484</v>
      </c>
      <c r="DK62" s="539">
        <f t="shared" si="16"/>
        <v>39331.316631751026</v>
      </c>
      <c r="DL62" s="539">
        <f t="shared" si="16"/>
        <v>38846.775375609766</v>
      </c>
      <c r="DM62" s="539">
        <f t="shared" si="16"/>
        <v>38362.69025985981</v>
      </c>
      <c r="DN62" s="539">
        <f t="shared" si="16"/>
        <v>38511.341556481289</v>
      </c>
      <c r="DO62" s="539">
        <f t="shared" si="16"/>
        <v>38661.091431942419</v>
      </c>
      <c r="DP62" s="539">
        <f t="shared" si="16"/>
        <v>38811.432237996807</v>
      </c>
      <c r="DQ62" s="539">
        <f t="shared" si="16"/>
        <v>38962.116428585206</v>
      </c>
      <c r="DR62" s="539">
        <f t="shared" si="16"/>
        <v>39115.640374301482</v>
      </c>
      <c r="DS62" s="539">
        <f t="shared" si="16"/>
        <v>39270.127845813338</v>
      </c>
      <c r="DT62" s="539">
        <f t="shared" si="16"/>
        <v>39425.106060783604</v>
      </c>
      <c r="DU62" s="539">
        <f t="shared" si="16"/>
        <v>39580.334508569074</v>
      </c>
      <c r="DV62" s="539">
        <f t="shared" si="16"/>
        <v>39764.078091267322</v>
      </c>
      <c r="DW62" s="539">
        <f t="shared" si="16"/>
        <v>39897.248282035274</v>
      </c>
      <c r="DX62" s="539">
        <f t="shared" si="16"/>
        <v>40056.534788793397</v>
      </c>
      <c r="DY62" s="539">
        <f t="shared" si="16"/>
        <v>40215.994734819833</v>
      </c>
      <c r="DZ62" s="539">
        <f t="shared" si="16"/>
        <v>40352.535399829489</v>
      </c>
      <c r="EA62" s="539">
        <f t="shared" si="16"/>
        <v>40541.231987588049</v>
      </c>
      <c r="EB62" s="539">
        <f t="shared" si="16"/>
        <v>40704.557820043614</v>
      </c>
      <c r="EC62" s="539">
        <f t="shared" si="16"/>
        <v>41597.441284932749</v>
      </c>
      <c r="ED62" s="539">
        <f t="shared" si="16"/>
        <v>33752.399439380752</v>
      </c>
      <c r="EE62" s="539">
        <f t="shared" si="16"/>
        <v>23503.719244659074</v>
      </c>
      <c r="EF62" s="539">
        <f t="shared" si="16"/>
        <v>13257.298699716397</v>
      </c>
      <c r="EG62" s="539">
        <f t="shared" si="16"/>
        <v>2308.4176722004668</v>
      </c>
    </row>
    <row r="63" spans="5:137" ht="12.75">
      <c r="E63" s="538" t="s">
        <v>405</v>
      </c>
      <c r="G63" s="539" t="s">
        <v>30</v>
      </c>
      <c r="H63" s="539">
        <f>SUM(J63:EG63)</f>
        <v>1401731.7511565064</v>
      </c>
      <c r="J63" s="539">
        <f t="shared" si="17" ref="J63:EG63">SUMIFS($I59:I59,$I61:I61,"&gt;"&amp;EDATE(J61,-$F60))+J59</f>
        <v>0</v>
      </c>
      <c r="K63" s="539">
        <f t="shared" si="17"/>
        <v>0</v>
      </c>
      <c r="L63" s="539">
        <f t="shared" si="17"/>
        <v>0</v>
      </c>
      <c r="M63" s="539">
        <f t="shared" si="17"/>
        <v>0</v>
      </c>
      <c r="N63" s="539">
        <f t="shared" si="17"/>
        <v>0</v>
      </c>
      <c r="O63" s="539">
        <f t="shared" si="17"/>
        <v>0</v>
      </c>
      <c r="P63" s="539">
        <f t="shared" si="17"/>
        <v>-1.8189894035458565E-12</v>
      </c>
      <c r="Q63" s="539">
        <f t="shared" si="17"/>
        <v>-1.8189894035458565E-12</v>
      </c>
      <c r="R63" s="539">
        <f t="shared" si="17"/>
        <v>-1.8189894035458565E-12</v>
      </c>
      <c r="S63" s="539">
        <f t="shared" si="17"/>
        <v>-1.8189894035458565E-12</v>
      </c>
      <c r="T63" s="539">
        <f t="shared" si="17"/>
        <v>-1.8189894035458565E-12</v>
      </c>
      <c r="U63" s="539">
        <f t="shared" si="17"/>
        <v>-1.8189894035458565E-12</v>
      </c>
      <c r="V63" s="539">
        <f t="shared" si="17"/>
        <v>-1.8189894035458565E-12</v>
      </c>
      <c r="W63" s="539">
        <f t="shared" si="17"/>
        <v>-1.8189894035458565E-12</v>
      </c>
      <c r="X63" s="539">
        <f t="shared" si="17"/>
        <v>-1.8189894035458565E-12</v>
      </c>
      <c r="Y63" s="539">
        <f t="shared" si="17"/>
        <v>-1.8189894035458565E-12</v>
      </c>
      <c r="Z63" s="539">
        <f t="shared" si="17"/>
        <v>-1.8189894035458565E-12</v>
      </c>
      <c r="AA63" s="539">
        <f t="shared" si="17"/>
        <v>-1.8189894035458565E-12</v>
      </c>
      <c r="AB63" s="539">
        <f t="shared" si="17"/>
        <v>0</v>
      </c>
      <c r="AC63" s="539">
        <f t="shared" si="17"/>
        <v>0</v>
      </c>
      <c r="AD63" s="539">
        <f t="shared" si="17"/>
        <v>0</v>
      </c>
      <c r="AE63" s="539">
        <f t="shared" si="17"/>
        <v>0</v>
      </c>
      <c r="AF63" s="539">
        <f t="shared" si="17"/>
        <v>0</v>
      </c>
      <c r="AG63" s="539">
        <f t="shared" si="17"/>
        <v>0</v>
      </c>
      <c r="AH63" s="539">
        <f t="shared" si="17"/>
        <v>3678.8348581698501</v>
      </c>
      <c r="AI63" s="539">
        <f t="shared" si="17"/>
        <v>8333.2746174984604</v>
      </c>
      <c r="AJ63" s="539">
        <f t="shared" si="17"/>
        <v>12987.487993345376</v>
      </c>
      <c r="AK63" s="539">
        <f t="shared" si="17"/>
        <v>17631.514112516066</v>
      </c>
      <c r="AL63" s="539">
        <f t="shared" si="17"/>
        <v>18646.264785843759</v>
      </c>
      <c r="AM63" s="539">
        <f t="shared" si="17"/>
        <v>18727.968616886115</v>
      </c>
      <c r="AN63" s="539">
        <f t="shared" si="17"/>
        <v>18809.669720253165</v>
      </c>
      <c r="AO63" s="539">
        <f t="shared" si="17"/>
        <v>18891.248078231591</v>
      </c>
      <c r="AP63" s="539">
        <f t="shared" si="17"/>
        <v>18973.884433268555</v>
      </c>
      <c r="AQ63" s="539">
        <f t="shared" si="17"/>
        <v>19056.929237252232</v>
      </c>
      <c r="AR63" s="539">
        <f t="shared" si="17"/>
        <v>19139.971305347608</v>
      </c>
      <c r="AS63" s="539">
        <f t="shared" si="17"/>
        <v>19222.890258469208</v>
      </c>
      <c r="AT63" s="539">
        <f t="shared" si="17"/>
        <v>19317.680957996898</v>
      </c>
      <c r="AU63" s="539">
        <f t="shared" si="17"/>
        <v>19391.294052885973</v>
      </c>
      <c r="AV63" s="539">
        <f t="shared" si="17"/>
        <v>19475.695544317048</v>
      </c>
      <c r="AW63" s="539">
        <f t="shared" si="17"/>
        <v>19557.72070206346</v>
      </c>
      <c r="AX63" s="539">
        <f t="shared" si="17"/>
        <v>19632.311331392397</v>
      </c>
      <c r="AY63" s="539">
        <f t="shared" si="17"/>
        <v>19728.88472215924</v>
      </c>
      <c r="AZ63" s="539">
        <f t="shared" si="17"/>
        <v>19814.664224660755</v>
      </c>
      <c r="BA63" s="539">
        <f t="shared" si="17"/>
        <v>19900.139388482079</v>
      </c>
      <c r="BB63" s="539">
        <f t="shared" si="17"/>
        <v>19923.242309797562</v>
      </c>
      <c r="BC63" s="539">
        <f t="shared" si="17"/>
        <v>19937.639428927516</v>
      </c>
      <c r="BD63" s="539">
        <f t="shared" si="17"/>
        <v>19943.341711953013</v>
      </c>
      <c r="BE63" s="539">
        <f t="shared" si="17"/>
        <v>19943.052700728549</v>
      </c>
      <c r="BF63" s="539">
        <f t="shared" si="17"/>
        <v>19992.589833787373</v>
      </c>
      <c r="BG63" s="539">
        <f t="shared" si="17"/>
        <v>20044.048733861462</v>
      </c>
      <c r="BH63" s="539">
        <f t="shared" si="17"/>
        <v>20096.966976110267</v>
      </c>
      <c r="BI63" s="539">
        <f t="shared" si="17"/>
        <v>20151.157478351652</v>
      </c>
      <c r="BJ63" s="539">
        <f t="shared" si="17"/>
        <v>20219.08015303365</v>
      </c>
      <c r="BK63" s="539">
        <f t="shared" si="17"/>
        <v>20266.065669065516</v>
      </c>
      <c r="BL63" s="539">
        <f t="shared" si="17"/>
        <v>20325.562505930175</v>
      </c>
      <c r="BM63" s="539">
        <f t="shared" si="17"/>
        <v>20386.0966493694</v>
      </c>
      <c r="BN63" s="539">
        <f t="shared" si="17"/>
        <v>20437.567004203062</v>
      </c>
      <c r="BO63" s="539">
        <f t="shared" si="17"/>
        <v>20513.071623751413</v>
      </c>
      <c r="BP63" s="539">
        <f t="shared" si="17"/>
        <v>20578.287152010602</v>
      </c>
      <c r="BQ63" s="539">
        <f t="shared" si="17"/>
        <v>20644.344608421008</v>
      </c>
      <c r="BR63" s="539">
        <f t="shared" si="17"/>
        <v>20765.815588004083</v>
      </c>
      <c r="BS63" s="539">
        <f t="shared" si="17"/>
        <v>20888.540249200094</v>
      </c>
      <c r="BT63" s="539">
        <f t="shared" si="17"/>
        <v>21012.103581400777</v>
      </c>
      <c r="BU63" s="539">
        <f t="shared" si="17"/>
        <v>21136.3463959648</v>
      </c>
      <c r="BV63" s="539">
        <f t="shared" si="17"/>
        <v>21069.938857626585</v>
      </c>
      <c r="BW63" s="539">
        <f t="shared" si="17"/>
        <v>20593.502877217859</v>
      </c>
      <c r="BX63" s="539">
        <f t="shared" si="17"/>
        <v>20109.688558832269</v>
      </c>
      <c r="BY63" s="539">
        <f t="shared" si="17"/>
        <v>19618.706606786945</v>
      </c>
      <c r="BZ63" s="539">
        <f t="shared" si="17"/>
        <v>19261.51569633633</v>
      </c>
      <c r="CA63" s="539">
        <f t="shared" si="17"/>
        <v>19285.775719941958</v>
      </c>
      <c r="CB63" s="539">
        <f t="shared" si="17"/>
        <v>19287.815894595384</v>
      </c>
      <c r="CC63" s="539">
        <f t="shared" si="17"/>
        <v>19115.809990551519</v>
      </c>
      <c r="CD63" s="539">
        <f t="shared" si="17"/>
        <v>18915.782357201184</v>
      </c>
      <c r="CE63" s="539">
        <f t="shared" si="17"/>
        <v>18737.720025895145</v>
      </c>
      <c r="CF63" s="539">
        <f t="shared" si="17"/>
        <v>18581.495596526493</v>
      </c>
      <c r="CG63" s="539">
        <f t="shared" si="17"/>
        <v>18596.362210919815</v>
      </c>
      <c r="CH63" s="539">
        <f t="shared" si="17"/>
        <v>18615.360953745818</v>
      </c>
      <c r="CI63" s="539">
        <f t="shared" si="17"/>
        <v>18635.483641225717</v>
      </c>
      <c r="CJ63" s="539">
        <f t="shared" si="17"/>
        <v>18656.304985330968</v>
      </c>
      <c r="CK63" s="539">
        <f t="shared" si="17"/>
        <v>18677.901695172419</v>
      </c>
      <c r="CL63" s="539">
        <f t="shared" si="17"/>
        <v>18989.248794346164</v>
      </c>
      <c r="CM63" s="539">
        <f t="shared" si="17"/>
        <v>19300.919818837618</v>
      </c>
      <c r="CN63" s="539">
        <f t="shared" si="17"/>
        <v>19612.491545701654</v>
      </c>
      <c r="CO63" s="539">
        <f t="shared" si="17"/>
        <v>19924.067124287856</v>
      </c>
      <c r="CP63" s="539">
        <f t="shared" si="17"/>
        <v>19676.21839023276</v>
      </c>
      <c r="CQ63" s="539">
        <f t="shared" si="17"/>
        <v>19403.451262688293</v>
      </c>
      <c r="CR63" s="539">
        <f t="shared" si="17"/>
        <v>19143.681823042796</v>
      </c>
      <c r="CS63" s="539">
        <f t="shared" si="17"/>
        <v>18884.735332247517</v>
      </c>
      <c r="CT63" s="539">
        <f t="shared" si="17"/>
        <v>18902.092724834401</v>
      </c>
      <c r="CU63" s="539">
        <f t="shared" si="17"/>
        <v>18945.763560973719</v>
      </c>
      <c r="CV63" s="539">
        <f t="shared" si="17"/>
        <v>18977.089747972725</v>
      </c>
      <c r="CW63" s="539">
        <f t="shared" si="17"/>
        <v>19008.558248532372</v>
      </c>
      <c r="CX63" s="539">
        <f t="shared" si="17"/>
        <v>19041.973735172516</v>
      </c>
      <c r="CY63" s="539">
        <f t="shared" si="17"/>
        <v>19075.546243129393</v>
      </c>
      <c r="CZ63" s="539">
        <f t="shared" si="17"/>
        <v>19108.921965986614</v>
      </c>
      <c r="DA63" s="539">
        <f t="shared" si="17"/>
        <v>19142.286208030262</v>
      </c>
      <c r="DB63" s="539">
        <f t="shared" si="17"/>
        <v>14373.53502413358</v>
      </c>
      <c r="DC63" s="539">
        <f t="shared" si="17"/>
        <v>9567.0576877287931</v>
      </c>
      <c r="DD63" s="539">
        <f t="shared" si="17"/>
        <v>4771.6969558088413</v>
      </c>
      <c r="DE63" s="539">
        <f t="shared" si="17"/>
        <v>0</v>
      </c>
      <c r="DF63" s="539">
        <f t="shared" si="17"/>
        <v>0</v>
      </c>
      <c r="DG63" s="539">
        <f t="shared" si="17"/>
        <v>0</v>
      </c>
      <c r="DH63" s="539">
        <f t="shared" si="17"/>
        <v>0</v>
      </c>
      <c r="DI63" s="539">
        <f t="shared" si="17"/>
        <v>0</v>
      </c>
      <c r="DJ63" s="539">
        <f t="shared" si="17"/>
        <v>0</v>
      </c>
      <c r="DK63" s="539">
        <f t="shared" si="17"/>
        <v>0</v>
      </c>
      <c r="DL63" s="539">
        <f t="shared" si="17"/>
        <v>0</v>
      </c>
      <c r="DM63" s="539">
        <f t="shared" si="17"/>
        <v>0</v>
      </c>
      <c r="DN63" s="539">
        <f t="shared" si="17"/>
        <v>0</v>
      </c>
      <c r="DO63" s="539">
        <f t="shared" si="17"/>
        <v>0</v>
      </c>
      <c r="DP63" s="539">
        <f t="shared" si="17"/>
        <v>0</v>
      </c>
      <c r="DQ63" s="539">
        <f t="shared" si="17"/>
        <v>0</v>
      </c>
      <c r="DR63" s="539">
        <f t="shared" si="17"/>
        <v>0</v>
      </c>
      <c r="DS63" s="539">
        <f t="shared" si="17"/>
        <v>0</v>
      </c>
      <c r="DT63" s="539">
        <f t="shared" si="17"/>
        <v>0</v>
      </c>
      <c r="DU63" s="539">
        <f t="shared" si="17"/>
        <v>0</v>
      </c>
      <c r="DV63" s="539">
        <f t="shared" si="17"/>
        <v>0</v>
      </c>
      <c r="DW63" s="539">
        <f t="shared" si="17"/>
        <v>0</v>
      </c>
      <c r="DX63" s="539">
        <f t="shared" si="17"/>
        <v>0</v>
      </c>
      <c r="DY63" s="539">
        <f t="shared" si="17"/>
        <v>0</v>
      </c>
      <c r="DZ63" s="539">
        <f t="shared" si="17"/>
        <v>0</v>
      </c>
      <c r="EA63" s="539">
        <f t="shared" si="17"/>
        <v>0</v>
      </c>
      <c r="EB63" s="539">
        <f t="shared" si="17"/>
        <v>0</v>
      </c>
      <c r="EC63" s="539">
        <f t="shared" si="17"/>
        <v>0</v>
      </c>
      <c r="ED63" s="539">
        <f t="shared" si="17"/>
        <v>0</v>
      </c>
      <c r="EE63" s="539">
        <f t="shared" si="17"/>
        <v>0</v>
      </c>
      <c r="EF63" s="539">
        <f t="shared" si="17"/>
        <v>0</v>
      </c>
      <c r="EG63" s="539">
        <f t="shared" si="17"/>
        <v>0</v>
      </c>
    </row>
    <row r="65" spans="5:7" ht="12.75">
      <c r="E65" s="535" t="str">
        <f>InpC!E$128</f>
        <v>Check tolerance</v>
      </c>
      <c r="F65" s="537">
        <f>InpC!F$128</f>
        <v>0.001</v>
      </c>
      <c r="G65" s="537" t="str">
        <f>InpC!G$128</f>
        <v>EUR 000s</v>
      </c>
    </row>
    <row r="66" spans="5:137" ht="12.75">
      <c r="E66" s="538" t="str">
        <f>E$62</f>
        <v>CFADS - trailing 12 months</v>
      </c>
      <c r="G66" s="539" t="str">
        <f>G$62</f>
        <v>EUR 000s</v>
      </c>
      <c r="H66" s="539">
        <f>H$62</f>
        <v>3829510.7832251238</v>
      </c>
      <c r="J66" s="539">
        <f t="shared" si="18" ref="J66:EG66">J$62</f>
        <v>0</v>
      </c>
      <c r="K66" s="539">
        <f t="shared" si="18"/>
        <v>0</v>
      </c>
      <c r="L66" s="539">
        <f t="shared" si="18"/>
        <v>0</v>
      </c>
      <c r="M66" s="539">
        <f t="shared" si="18"/>
        <v>0</v>
      </c>
      <c r="N66" s="539">
        <f t="shared" si="18"/>
        <v>0</v>
      </c>
      <c r="O66" s="539">
        <f t="shared" si="18"/>
        <v>0</v>
      </c>
      <c r="P66" s="539">
        <f t="shared" si="18"/>
        <v>0</v>
      </c>
      <c r="Q66" s="539">
        <f t="shared" si="18"/>
        <v>0</v>
      </c>
      <c r="R66" s="539">
        <f t="shared" si="18"/>
        <v>0</v>
      </c>
      <c r="S66" s="539">
        <f t="shared" si="18"/>
        <v>0</v>
      </c>
      <c r="T66" s="539">
        <f t="shared" si="18"/>
        <v>0</v>
      </c>
      <c r="U66" s="539">
        <f t="shared" si="18"/>
        <v>0</v>
      </c>
      <c r="V66" s="539">
        <f t="shared" si="18"/>
        <v>0</v>
      </c>
      <c r="W66" s="539">
        <f t="shared" si="18"/>
        <v>0</v>
      </c>
      <c r="X66" s="539">
        <f t="shared" si="18"/>
        <v>0</v>
      </c>
      <c r="Y66" s="539">
        <f t="shared" si="18"/>
        <v>0</v>
      </c>
      <c r="Z66" s="539">
        <f t="shared" si="18"/>
        <v>0</v>
      </c>
      <c r="AA66" s="539">
        <f t="shared" si="18"/>
        <v>0</v>
      </c>
      <c r="AB66" s="539">
        <f t="shared" si="18"/>
        <v>0</v>
      </c>
      <c r="AC66" s="539">
        <f t="shared" si="18"/>
        <v>0</v>
      </c>
      <c r="AD66" s="539">
        <f t="shared" si="18"/>
        <v>0</v>
      </c>
      <c r="AE66" s="539">
        <f t="shared" si="18"/>
        <v>0</v>
      </c>
      <c r="AF66" s="539">
        <f t="shared" si="18"/>
        <v>0</v>
      </c>
      <c r="AG66" s="539">
        <f t="shared" si="18"/>
        <v>0</v>
      </c>
      <c r="AH66" s="539">
        <f t="shared" si="18"/>
        <v>7126.237686929222</v>
      </c>
      <c r="AI66" s="539">
        <f t="shared" si="18"/>
        <v>16142.310792469514</v>
      </c>
      <c r="AJ66" s="539">
        <f t="shared" si="18"/>
        <v>25157.945372617625</v>
      </c>
      <c r="AK66" s="539">
        <f t="shared" si="18"/>
        <v>34153.846310117624</v>
      </c>
      <c r="AL66" s="539">
        <f t="shared" si="18"/>
        <v>36119.510649479162</v>
      </c>
      <c r="AM66" s="539">
        <f t="shared" si="18"/>
        <v>36277.778400652467</v>
      </c>
      <c r="AN66" s="539">
        <f t="shared" si="18"/>
        <v>36436.040868070653</v>
      </c>
      <c r="AO66" s="539">
        <f t="shared" si="18"/>
        <v>36594.06556650815</v>
      </c>
      <c r="AP66" s="539">
        <f t="shared" si="18"/>
        <v>36754.139701466149</v>
      </c>
      <c r="AQ66" s="539">
        <f t="shared" si="18"/>
        <v>36915.005039179778</v>
      </c>
      <c r="AR66" s="539">
        <f t="shared" si="18"/>
        <v>37075.86507722894</v>
      </c>
      <c r="AS66" s="539">
        <f t="shared" si="18"/>
        <v>37236.486630377374</v>
      </c>
      <c r="AT66" s="539">
        <f t="shared" si="18"/>
        <v>37420.104835974314</v>
      </c>
      <c r="AU66" s="539">
        <f t="shared" si="18"/>
        <v>37562.700095417676</v>
      </c>
      <c r="AV66" s="539">
        <f t="shared" si="18"/>
        <v>37726.193460099013</v>
      </c>
      <c r="AW66" s="539">
        <f t="shared" si="18"/>
        <v>37885.083650320703</v>
      </c>
      <c r="AX66" s="539">
        <f t="shared" si="18"/>
        <v>38029.572482874632</v>
      </c>
      <c r="AY66" s="539">
        <f t="shared" si="18"/>
        <v>38216.643923526251</v>
      </c>
      <c r="AZ66" s="539">
        <f t="shared" si="18"/>
        <v>38382.806620972369</v>
      </c>
      <c r="BA66" s="539">
        <f t="shared" si="18"/>
        <v>38548.379786717305</v>
      </c>
      <c r="BB66" s="539">
        <f t="shared" si="18"/>
        <v>38593.132246369278</v>
      </c>
      <c r="BC66" s="539">
        <f t="shared" si="18"/>
        <v>38621.020775450495</v>
      </c>
      <c r="BD66" s="539">
        <f t="shared" si="18"/>
        <v>38632.066616257289</v>
      </c>
      <c r="BE66" s="539">
        <f t="shared" si="18"/>
        <v>38631.506775231777</v>
      </c>
      <c r="BF66" s="539">
        <f t="shared" si="18"/>
        <v>38727.464707054198</v>
      </c>
      <c r="BG66" s="539">
        <f t="shared" si="18"/>
        <v>38827.145276357689</v>
      </c>
      <c r="BH66" s="539">
        <f t="shared" si="18"/>
        <v>38929.652724171508</v>
      </c>
      <c r="BI66" s="539">
        <f t="shared" si="18"/>
        <v>39034.624655294901</v>
      </c>
      <c r="BJ66" s="539">
        <f t="shared" si="18"/>
        <v>39166.197053289608</v>
      </c>
      <c r="BK66" s="539">
        <f t="shared" si="18"/>
        <v>39257.212270877455</v>
      </c>
      <c r="BL66" s="539">
        <f t="shared" si="18"/>
        <v>39372.463054743552</v>
      </c>
      <c r="BM66" s="539">
        <f t="shared" si="18"/>
        <v>39489.723195781036</v>
      </c>
      <c r="BN66" s="539">
        <f t="shared" si="18"/>
        <v>39589.425953995546</v>
      </c>
      <c r="BO66" s="539">
        <f t="shared" si="18"/>
        <v>39735.685268726083</v>
      </c>
      <c r="BP66" s="539">
        <f t="shared" si="18"/>
        <v>39862.013677902039</v>
      </c>
      <c r="BQ66" s="539">
        <f t="shared" si="18"/>
        <v>39989.972978474914</v>
      </c>
      <c r="BR66" s="539">
        <f t="shared" si="18"/>
        <v>40225.27331294107</v>
      </c>
      <c r="BS66" s="539">
        <f t="shared" si="18"/>
        <v>40463.00214270586</v>
      </c>
      <c r="BT66" s="539">
        <f t="shared" si="18"/>
        <v>40702.355554478498</v>
      </c>
      <c r="BU66" s="539">
        <f t="shared" si="18"/>
        <v>40943.025185383522</v>
      </c>
      <c r="BV66" s="539">
        <f t="shared" si="18"/>
        <v>40814.387744278756</v>
      </c>
      <c r="BW66" s="539">
        <f t="shared" si="18"/>
        <v>39891.487921402018</v>
      </c>
      <c r="BX66" s="539">
        <f t="shared" si="18"/>
        <v>38954.295586851134</v>
      </c>
      <c r="BY66" s="539">
        <f t="shared" si="18"/>
        <v>38003.218894050609</v>
      </c>
      <c r="BZ66" s="539">
        <f t="shared" si="18"/>
        <v>37311.307616264137</v>
      </c>
      <c r="CA66" s="539">
        <f t="shared" si="18"/>
        <v>37358.301488283229</v>
      </c>
      <c r="CB66" s="539">
        <f t="shared" si="18"/>
        <v>37362.253492127827</v>
      </c>
      <c r="CC66" s="539">
        <f t="shared" si="18"/>
        <v>37029.062413150867</v>
      </c>
      <c r="CD66" s="539">
        <f t="shared" si="18"/>
        <v>36641.590696109022</v>
      </c>
      <c r="CE66" s="539">
        <f t="shared" si="18"/>
        <v>36296.667766731647</v>
      </c>
      <c r="CF66" s="539">
        <f t="shared" si="18"/>
        <v>35994.046839425399</v>
      </c>
      <c r="CG66" s="539">
        <f t="shared" si="18"/>
        <v>36022.844823529376</v>
      </c>
      <c r="CH66" s="539">
        <f t="shared" si="18"/>
        <v>36059.647116198292</v>
      </c>
      <c r="CI66" s="539">
        <f t="shared" si="18"/>
        <v>36098.626591877415</v>
      </c>
      <c r="CJ66" s="539">
        <f t="shared" si="18"/>
        <v>36138.959428978225</v>
      </c>
      <c r="CK66" s="539">
        <f t="shared" si="18"/>
        <v>36180.794220024647</v>
      </c>
      <c r="CL66" s="539">
        <f t="shared" si="18"/>
        <v>36783.901866164495</v>
      </c>
      <c r="CM66" s="539">
        <f t="shared" si="18"/>
        <v>37387.636985103694</v>
      </c>
      <c r="CN66" s="539">
        <f t="shared" si="18"/>
        <v>37991.179755508092</v>
      </c>
      <c r="CO66" s="539">
        <f t="shared" si="18"/>
        <v>38594.729987048617</v>
      </c>
      <c r="CP66" s="539">
        <f t="shared" si="18"/>
        <v>38114.624448916409</v>
      </c>
      <c r="CQ66" s="539">
        <f t="shared" si="18"/>
        <v>37586.249716425766</v>
      </c>
      <c r="CR66" s="539">
        <f t="shared" si="18"/>
        <v>37083.052687452531</v>
      </c>
      <c r="CS66" s="539">
        <f t="shared" si="18"/>
        <v>36581.449785244142</v>
      </c>
      <c r="CT66" s="539">
        <f t="shared" si="18"/>
        <v>36615.072633229487</v>
      </c>
      <c r="CU66" s="539">
        <f t="shared" si="18"/>
        <v>36699.667014416409</v>
      </c>
      <c r="CV66" s="539">
        <f t="shared" si="18"/>
        <v>36760.34868755113</v>
      </c>
      <c r="CW66" s="539">
        <f t="shared" si="18"/>
        <v>36821.306034995345</v>
      </c>
      <c r="CX66" s="539">
        <f t="shared" si="18"/>
        <v>36886.034871543481</v>
      </c>
      <c r="CY66" s="539">
        <f t="shared" si="18"/>
        <v>36951.067872662221</v>
      </c>
      <c r="CZ66" s="539">
        <f t="shared" si="18"/>
        <v>37015.71968314657</v>
      </c>
      <c r="DA66" s="539">
        <f t="shared" si="18"/>
        <v>37080.349254251538</v>
      </c>
      <c r="DB66" s="539">
        <f t="shared" si="18"/>
        <v>37093.020520530263</v>
      </c>
      <c r="DC66" s="539">
        <f t="shared" si="18"/>
        <v>37121.503947316465</v>
      </c>
      <c r="DD66" s="539">
        <f t="shared" si="18"/>
        <v>37165.866731178838</v>
      </c>
      <c r="DE66" s="539">
        <f t="shared" si="18"/>
        <v>37227.155649290682</v>
      </c>
      <c r="DF66" s="539">
        <f t="shared" si="18"/>
        <v>38019.277152289491</v>
      </c>
      <c r="DG66" s="539">
        <f t="shared" si="18"/>
        <v>38763.2470929095</v>
      </c>
      <c r="DH66" s="539">
        <f t="shared" si="18"/>
        <v>39532.864904575981</v>
      </c>
      <c r="DI66" s="539">
        <f t="shared" si="18"/>
        <v>40303.075121520531</v>
      </c>
      <c r="DJ66" s="539">
        <f t="shared" si="18"/>
        <v>39791.777649123484</v>
      </c>
      <c r="DK66" s="539">
        <f t="shared" si="18"/>
        <v>39331.316631751026</v>
      </c>
      <c r="DL66" s="539">
        <f t="shared" si="18"/>
        <v>38846.775375609766</v>
      </c>
      <c r="DM66" s="539">
        <f t="shared" si="18"/>
        <v>38362.69025985981</v>
      </c>
      <c r="DN66" s="539">
        <f t="shared" si="18"/>
        <v>38511.341556481289</v>
      </c>
      <c r="DO66" s="539">
        <f t="shared" si="18"/>
        <v>38661.091431942419</v>
      </c>
      <c r="DP66" s="539">
        <f t="shared" si="18"/>
        <v>38811.432237996807</v>
      </c>
      <c r="DQ66" s="539">
        <f t="shared" si="18"/>
        <v>38962.116428585206</v>
      </c>
      <c r="DR66" s="539">
        <f t="shared" si="18"/>
        <v>39115.640374301482</v>
      </c>
      <c r="DS66" s="539">
        <f t="shared" si="18"/>
        <v>39270.127845813338</v>
      </c>
      <c r="DT66" s="539">
        <f t="shared" si="18"/>
        <v>39425.106060783604</v>
      </c>
      <c r="DU66" s="539">
        <f t="shared" si="18"/>
        <v>39580.334508569074</v>
      </c>
      <c r="DV66" s="539">
        <f t="shared" si="18"/>
        <v>39764.078091267322</v>
      </c>
      <c r="DW66" s="539">
        <f t="shared" si="18"/>
        <v>39897.248282035274</v>
      </c>
      <c r="DX66" s="539">
        <f t="shared" si="18"/>
        <v>40056.534788793397</v>
      </c>
      <c r="DY66" s="539">
        <f t="shared" si="18"/>
        <v>40215.994734819833</v>
      </c>
      <c r="DZ66" s="539">
        <f t="shared" si="18"/>
        <v>40352.535399829489</v>
      </c>
      <c r="EA66" s="539">
        <f t="shared" si="18"/>
        <v>40541.231987588049</v>
      </c>
      <c r="EB66" s="539">
        <f t="shared" si="18"/>
        <v>40704.557820043614</v>
      </c>
      <c r="EC66" s="539">
        <f t="shared" si="18"/>
        <v>41597.441284932749</v>
      </c>
      <c r="ED66" s="539">
        <f t="shared" si="18"/>
        <v>33752.399439380752</v>
      </c>
      <c r="EE66" s="539">
        <f t="shared" si="18"/>
        <v>23503.719244659074</v>
      </c>
      <c r="EF66" s="539">
        <f t="shared" si="18"/>
        <v>13257.298699716397</v>
      </c>
      <c r="EG66" s="539">
        <f t="shared" si="18"/>
        <v>2308.4176722004668</v>
      </c>
    </row>
    <row r="67" spans="5:137" ht="12.75">
      <c r="E67" s="538" t="str">
        <f>E$63</f>
        <v>Senior debt service - trailing 12 months</v>
      </c>
      <c r="G67" s="539" t="str">
        <f>G$63</f>
        <v>EUR 000s</v>
      </c>
      <c r="H67" s="539">
        <f>H$63</f>
        <v>1401731.7511565064</v>
      </c>
      <c r="J67" s="539">
        <f t="shared" si="19" ref="J67:EG67">J$63</f>
        <v>0</v>
      </c>
      <c r="K67" s="539">
        <f t="shared" si="19"/>
        <v>0</v>
      </c>
      <c r="L67" s="539">
        <f t="shared" si="19"/>
        <v>0</v>
      </c>
      <c r="M67" s="539">
        <f t="shared" si="19"/>
        <v>0</v>
      </c>
      <c r="N67" s="539">
        <f t="shared" si="19"/>
        <v>0</v>
      </c>
      <c r="O67" s="539">
        <f t="shared" si="19"/>
        <v>0</v>
      </c>
      <c r="P67" s="539">
        <f t="shared" si="19"/>
        <v>-1.8189894035458565E-12</v>
      </c>
      <c r="Q67" s="539">
        <f t="shared" si="19"/>
        <v>-1.8189894035458565E-12</v>
      </c>
      <c r="R67" s="539">
        <f t="shared" si="19"/>
        <v>-1.8189894035458565E-12</v>
      </c>
      <c r="S67" s="539">
        <f t="shared" si="19"/>
        <v>-1.8189894035458565E-12</v>
      </c>
      <c r="T67" s="539">
        <f t="shared" si="19"/>
        <v>-1.8189894035458565E-12</v>
      </c>
      <c r="U67" s="539">
        <f t="shared" si="19"/>
        <v>-1.8189894035458565E-12</v>
      </c>
      <c r="V67" s="539">
        <f t="shared" si="19"/>
        <v>-1.8189894035458565E-12</v>
      </c>
      <c r="W67" s="539">
        <f t="shared" si="19"/>
        <v>-1.8189894035458565E-12</v>
      </c>
      <c r="X67" s="539">
        <f t="shared" si="19"/>
        <v>-1.8189894035458565E-12</v>
      </c>
      <c r="Y67" s="539">
        <f t="shared" si="19"/>
        <v>-1.8189894035458565E-12</v>
      </c>
      <c r="Z67" s="539">
        <f t="shared" si="19"/>
        <v>-1.8189894035458565E-12</v>
      </c>
      <c r="AA67" s="539">
        <f t="shared" si="19"/>
        <v>-1.8189894035458565E-12</v>
      </c>
      <c r="AB67" s="539">
        <f t="shared" si="19"/>
        <v>0</v>
      </c>
      <c r="AC67" s="539">
        <f t="shared" si="19"/>
        <v>0</v>
      </c>
      <c r="AD67" s="539">
        <f t="shared" si="19"/>
        <v>0</v>
      </c>
      <c r="AE67" s="539">
        <f t="shared" si="19"/>
        <v>0</v>
      </c>
      <c r="AF67" s="539">
        <f t="shared" si="19"/>
        <v>0</v>
      </c>
      <c r="AG67" s="539">
        <f t="shared" si="19"/>
        <v>0</v>
      </c>
      <c r="AH67" s="539">
        <f t="shared" si="19"/>
        <v>3678.8348581698501</v>
      </c>
      <c r="AI67" s="539">
        <f t="shared" si="19"/>
        <v>8333.2746174984604</v>
      </c>
      <c r="AJ67" s="539">
        <f t="shared" si="19"/>
        <v>12987.487993345376</v>
      </c>
      <c r="AK67" s="539">
        <f t="shared" si="19"/>
        <v>17631.514112516066</v>
      </c>
      <c r="AL67" s="539">
        <f t="shared" si="19"/>
        <v>18646.264785843759</v>
      </c>
      <c r="AM67" s="539">
        <f t="shared" si="19"/>
        <v>18727.968616886115</v>
      </c>
      <c r="AN67" s="539">
        <f t="shared" si="19"/>
        <v>18809.669720253165</v>
      </c>
      <c r="AO67" s="539">
        <f t="shared" si="19"/>
        <v>18891.248078231591</v>
      </c>
      <c r="AP67" s="539">
        <f t="shared" si="19"/>
        <v>18973.884433268555</v>
      </c>
      <c r="AQ67" s="539">
        <f t="shared" si="19"/>
        <v>19056.929237252232</v>
      </c>
      <c r="AR67" s="539">
        <f t="shared" si="19"/>
        <v>19139.971305347608</v>
      </c>
      <c r="AS67" s="539">
        <f t="shared" si="19"/>
        <v>19222.890258469208</v>
      </c>
      <c r="AT67" s="539">
        <f t="shared" si="19"/>
        <v>19317.680957996898</v>
      </c>
      <c r="AU67" s="539">
        <f t="shared" si="19"/>
        <v>19391.294052885973</v>
      </c>
      <c r="AV67" s="539">
        <f t="shared" si="19"/>
        <v>19475.695544317048</v>
      </c>
      <c r="AW67" s="539">
        <f t="shared" si="19"/>
        <v>19557.72070206346</v>
      </c>
      <c r="AX67" s="539">
        <f t="shared" si="19"/>
        <v>19632.311331392397</v>
      </c>
      <c r="AY67" s="539">
        <f t="shared" si="19"/>
        <v>19728.88472215924</v>
      </c>
      <c r="AZ67" s="539">
        <f t="shared" si="19"/>
        <v>19814.664224660755</v>
      </c>
      <c r="BA67" s="539">
        <f t="shared" si="19"/>
        <v>19900.139388482079</v>
      </c>
      <c r="BB67" s="539">
        <f t="shared" si="19"/>
        <v>19923.242309797562</v>
      </c>
      <c r="BC67" s="539">
        <f t="shared" si="19"/>
        <v>19937.639428927516</v>
      </c>
      <c r="BD67" s="539">
        <f t="shared" si="19"/>
        <v>19943.341711953013</v>
      </c>
      <c r="BE67" s="539">
        <f t="shared" si="19"/>
        <v>19943.052700728549</v>
      </c>
      <c r="BF67" s="539">
        <f t="shared" si="19"/>
        <v>19992.589833787373</v>
      </c>
      <c r="BG67" s="539">
        <f t="shared" si="19"/>
        <v>20044.048733861462</v>
      </c>
      <c r="BH67" s="539">
        <f t="shared" si="19"/>
        <v>20096.966976110267</v>
      </c>
      <c r="BI67" s="539">
        <f t="shared" si="19"/>
        <v>20151.157478351652</v>
      </c>
      <c r="BJ67" s="539">
        <f t="shared" si="19"/>
        <v>20219.08015303365</v>
      </c>
      <c r="BK67" s="539">
        <f t="shared" si="19"/>
        <v>20266.065669065516</v>
      </c>
      <c r="BL67" s="539">
        <f t="shared" si="19"/>
        <v>20325.562505930175</v>
      </c>
      <c r="BM67" s="539">
        <f t="shared" si="19"/>
        <v>20386.0966493694</v>
      </c>
      <c r="BN67" s="539">
        <f t="shared" si="19"/>
        <v>20437.567004203062</v>
      </c>
      <c r="BO67" s="539">
        <f t="shared" si="19"/>
        <v>20513.071623751413</v>
      </c>
      <c r="BP67" s="539">
        <f t="shared" si="19"/>
        <v>20578.287152010602</v>
      </c>
      <c r="BQ67" s="539">
        <f t="shared" si="19"/>
        <v>20644.344608421008</v>
      </c>
      <c r="BR67" s="539">
        <f t="shared" si="19"/>
        <v>20765.815588004083</v>
      </c>
      <c r="BS67" s="539">
        <f t="shared" si="19"/>
        <v>20888.540249200094</v>
      </c>
      <c r="BT67" s="539">
        <f t="shared" si="19"/>
        <v>21012.103581400777</v>
      </c>
      <c r="BU67" s="539">
        <f t="shared" si="19"/>
        <v>21136.3463959648</v>
      </c>
      <c r="BV67" s="539">
        <f t="shared" si="19"/>
        <v>21069.938857626585</v>
      </c>
      <c r="BW67" s="539">
        <f t="shared" si="19"/>
        <v>20593.502877217859</v>
      </c>
      <c r="BX67" s="539">
        <f t="shared" si="19"/>
        <v>20109.688558832269</v>
      </c>
      <c r="BY67" s="539">
        <f t="shared" si="19"/>
        <v>19618.706606786945</v>
      </c>
      <c r="BZ67" s="539">
        <f t="shared" si="19"/>
        <v>19261.51569633633</v>
      </c>
      <c r="CA67" s="539">
        <f t="shared" si="19"/>
        <v>19285.775719941958</v>
      </c>
      <c r="CB67" s="539">
        <f t="shared" si="19"/>
        <v>19287.815894595384</v>
      </c>
      <c r="CC67" s="539">
        <f t="shared" si="19"/>
        <v>19115.809990551519</v>
      </c>
      <c r="CD67" s="539">
        <f t="shared" si="19"/>
        <v>18915.782357201184</v>
      </c>
      <c r="CE67" s="539">
        <f t="shared" si="19"/>
        <v>18737.720025895145</v>
      </c>
      <c r="CF67" s="539">
        <f t="shared" si="19"/>
        <v>18581.495596526493</v>
      </c>
      <c r="CG67" s="539">
        <f t="shared" si="19"/>
        <v>18596.362210919815</v>
      </c>
      <c r="CH67" s="539">
        <f t="shared" si="19"/>
        <v>18615.360953745818</v>
      </c>
      <c r="CI67" s="539">
        <f t="shared" si="19"/>
        <v>18635.483641225717</v>
      </c>
      <c r="CJ67" s="539">
        <f t="shared" si="19"/>
        <v>18656.304985330968</v>
      </c>
      <c r="CK67" s="539">
        <f t="shared" si="19"/>
        <v>18677.901695172419</v>
      </c>
      <c r="CL67" s="539">
        <f t="shared" si="19"/>
        <v>18989.248794346164</v>
      </c>
      <c r="CM67" s="539">
        <f t="shared" si="19"/>
        <v>19300.919818837618</v>
      </c>
      <c r="CN67" s="539">
        <f t="shared" si="19"/>
        <v>19612.491545701654</v>
      </c>
      <c r="CO67" s="539">
        <f t="shared" si="19"/>
        <v>19924.067124287856</v>
      </c>
      <c r="CP67" s="539">
        <f t="shared" si="19"/>
        <v>19676.21839023276</v>
      </c>
      <c r="CQ67" s="539">
        <f t="shared" si="19"/>
        <v>19403.451262688293</v>
      </c>
      <c r="CR67" s="539">
        <f t="shared" si="19"/>
        <v>19143.681823042796</v>
      </c>
      <c r="CS67" s="539">
        <f t="shared" si="19"/>
        <v>18884.735332247517</v>
      </c>
      <c r="CT67" s="539">
        <f t="shared" si="19"/>
        <v>18902.092724834401</v>
      </c>
      <c r="CU67" s="539">
        <f t="shared" si="19"/>
        <v>18945.763560973719</v>
      </c>
      <c r="CV67" s="539">
        <f t="shared" si="19"/>
        <v>18977.089747972725</v>
      </c>
      <c r="CW67" s="539">
        <f t="shared" si="19"/>
        <v>19008.558248532372</v>
      </c>
      <c r="CX67" s="539">
        <f t="shared" si="19"/>
        <v>19041.973735172516</v>
      </c>
      <c r="CY67" s="539">
        <f t="shared" si="19"/>
        <v>19075.546243129393</v>
      </c>
      <c r="CZ67" s="539">
        <f t="shared" si="19"/>
        <v>19108.921965986614</v>
      </c>
      <c r="DA67" s="539">
        <f t="shared" si="19"/>
        <v>19142.286208030262</v>
      </c>
      <c r="DB67" s="539">
        <f t="shared" si="19"/>
        <v>14373.53502413358</v>
      </c>
      <c r="DC67" s="539">
        <f t="shared" si="19"/>
        <v>9567.0576877287931</v>
      </c>
      <c r="DD67" s="539">
        <f t="shared" si="19"/>
        <v>4771.6969558088413</v>
      </c>
      <c r="DE67" s="539">
        <f t="shared" si="19"/>
        <v>0</v>
      </c>
      <c r="DF67" s="539">
        <f t="shared" si="19"/>
        <v>0</v>
      </c>
      <c r="DG67" s="539">
        <f t="shared" si="19"/>
        <v>0</v>
      </c>
      <c r="DH67" s="539">
        <f t="shared" si="19"/>
        <v>0</v>
      </c>
      <c r="DI67" s="539">
        <f t="shared" si="19"/>
        <v>0</v>
      </c>
      <c r="DJ67" s="539">
        <f t="shared" si="19"/>
        <v>0</v>
      </c>
      <c r="DK67" s="539">
        <f t="shared" si="19"/>
        <v>0</v>
      </c>
      <c r="DL67" s="539">
        <f t="shared" si="19"/>
        <v>0</v>
      </c>
      <c r="DM67" s="539">
        <f t="shared" si="19"/>
        <v>0</v>
      </c>
      <c r="DN67" s="539">
        <f t="shared" si="19"/>
        <v>0</v>
      </c>
      <c r="DO67" s="539">
        <f t="shared" si="19"/>
        <v>0</v>
      </c>
      <c r="DP67" s="539">
        <f t="shared" si="19"/>
        <v>0</v>
      </c>
      <c r="DQ67" s="539">
        <f t="shared" si="19"/>
        <v>0</v>
      </c>
      <c r="DR67" s="539">
        <f t="shared" si="19"/>
        <v>0</v>
      </c>
      <c r="DS67" s="539">
        <f t="shared" si="19"/>
        <v>0</v>
      </c>
      <c r="DT67" s="539">
        <f t="shared" si="19"/>
        <v>0</v>
      </c>
      <c r="DU67" s="539">
        <f t="shared" si="19"/>
        <v>0</v>
      </c>
      <c r="DV67" s="539">
        <f t="shared" si="19"/>
        <v>0</v>
      </c>
      <c r="DW67" s="539">
        <f t="shared" si="19"/>
        <v>0</v>
      </c>
      <c r="DX67" s="539">
        <f t="shared" si="19"/>
        <v>0</v>
      </c>
      <c r="DY67" s="539">
        <f t="shared" si="19"/>
        <v>0</v>
      </c>
      <c r="DZ67" s="539">
        <f t="shared" si="19"/>
        <v>0</v>
      </c>
      <c r="EA67" s="539">
        <f t="shared" si="19"/>
        <v>0</v>
      </c>
      <c r="EB67" s="539">
        <f t="shared" si="19"/>
        <v>0</v>
      </c>
      <c r="EC67" s="539">
        <f t="shared" si="19"/>
        <v>0</v>
      </c>
      <c r="ED67" s="539">
        <f t="shared" si="19"/>
        <v>0</v>
      </c>
      <c r="EE67" s="539">
        <f t="shared" si="19"/>
        <v>0</v>
      </c>
      <c r="EF67" s="539">
        <f t="shared" si="19"/>
        <v>0</v>
      </c>
      <c r="EG67" s="539">
        <f t="shared" si="19"/>
        <v>0</v>
      </c>
    </row>
    <row r="68" spans="5:137" ht="12.75">
      <c r="E68" s="538" t="s">
        <v>406</v>
      </c>
      <c r="G68" s="548" t="s">
        <v>68</v>
      </c>
      <c r="H68" s="548">
        <f>SUM(J68:EG68)</f>
        <v>153.72014836135943</v>
      </c>
      <c r="J68" s="548">
        <f t="shared" si="20" ref="J68:EG68">IF(J67&gt;$F65,J66/J67,0)</f>
        <v>0</v>
      </c>
      <c r="K68" s="548">
        <f t="shared" si="20"/>
        <v>0</v>
      </c>
      <c r="L68" s="548">
        <f t="shared" si="20"/>
        <v>0</v>
      </c>
      <c r="M68" s="548">
        <f t="shared" si="20"/>
        <v>0</v>
      </c>
      <c r="N68" s="548">
        <f t="shared" si="20"/>
        <v>0</v>
      </c>
      <c r="O68" s="548">
        <f t="shared" si="20"/>
        <v>0</v>
      </c>
      <c r="P68" s="548">
        <f t="shared" si="20"/>
        <v>0</v>
      </c>
      <c r="Q68" s="548">
        <f t="shared" si="20"/>
        <v>0</v>
      </c>
      <c r="R68" s="548">
        <f t="shared" si="20"/>
        <v>0</v>
      </c>
      <c r="S68" s="548">
        <f t="shared" si="20"/>
        <v>0</v>
      </c>
      <c r="T68" s="548">
        <f t="shared" si="20"/>
        <v>0</v>
      </c>
      <c r="U68" s="548">
        <f t="shared" si="20"/>
        <v>0</v>
      </c>
      <c r="V68" s="548">
        <f t="shared" si="20"/>
        <v>0</v>
      </c>
      <c r="W68" s="548">
        <f t="shared" si="20"/>
        <v>0</v>
      </c>
      <c r="X68" s="548">
        <f t="shared" si="20"/>
        <v>0</v>
      </c>
      <c r="Y68" s="548">
        <f t="shared" si="20"/>
        <v>0</v>
      </c>
      <c r="Z68" s="548">
        <f t="shared" si="20"/>
        <v>0</v>
      </c>
      <c r="AA68" s="548">
        <f t="shared" si="20"/>
        <v>0</v>
      </c>
      <c r="AB68" s="548">
        <f t="shared" si="20"/>
        <v>0</v>
      </c>
      <c r="AC68" s="548">
        <f t="shared" si="20"/>
        <v>0</v>
      </c>
      <c r="AD68" s="548">
        <f t="shared" si="20"/>
        <v>0</v>
      </c>
      <c r="AE68" s="548">
        <f t="shared" si="20"/>
        <v>0</v>
      </c>
      <c r="AF68" s="548">
        <f t="shared" si="20"/>
        <v>0</v>
      </c>
      <c r="AG68" s="548">
        <f t="shared" si="20"/>
        <v>0</v>
      </c>
      <c r="AH68" s="548">
        <f t="shared" si="20"/>
        <v>1.9370909436457795</v>
      </c>
      <c r="AI68" s="548">
        <f t="shared" si="20"/>
        <v>1.9370909436457795</v>
      </c>
      <c r="AJ68" s="548">
        <f t="shared" si="20"/>
        <v>1.9370909436457795</v>
      </c>
      <c r="AK68" s="548">
        <f t="shared" si="20"/>
        <v>1.9370909436457795</v>
      </c>
      <c r="AL68" s="548">
        <f t="shared" si="20"/>
        <v>1.9370909436457797</v>
      </c>
      <c r="AM68" s="548">
        <f t="shared" si="20"/>
        <v>1.9370909436457795</v>
      </c>
      <c r="AN68" s="548">
        <f t="shared" si="20"/>
        <v>1.9370909436457797</v>
      </c>
      <c r="AO68" s="548">
        <f t="shared" si="20"/>
        <v>1.9370909436457795</v>
      </c>
      <c r="AP68" s="548">
        <f t="shared" si="20"/>
        <v>1.9370909436457793</v>
      </c>
      <c r="AQ68" s="548">
        <f t="shared" si="20"/>
        <v>1.9370909436457797</v>
      </c>
      <c r="AR68" s="548">
        <f t="shared" si="20"/>
        <v>1.9370909436457795</v>
      </c>
      <c r="AS68" s="548">
        <f t="shared" si="20"/>
        <v>1.9370909436457793</v>
      </c>
      <c r="AT68" s="548">
        <f t="shared" si="20"/>
        <v>1.9370909436457795</v>
      </c>
      <c r="AU68" s="548">
        <f t="shared" si="20"/>
        <v>1.9370909436457793</v>
      </c>
      <c r="AV68" s="548">
        <f t="shared" si="20"/>
        <v>1.9370909436457795</v>
      </c>
      <c r="AW68" s="548">
        <f t="shared" si="20"/>
        <v>1.9370909436457795</v>
      </c>
      <c r="AX68" s="548">
        <f t="shared" si="20"/>
        <v>1.9370909436457797</v>
      </c>
      <c r="AY68" s="548">
        <f t="shared" si="20"/>
        <v>1.9370909436457797</v>
      </c>
      <c r="AZ68" s="548">
        <f t="shared" si="20"/>
        <v>1.9370909436457795</v>
      </c>
      <c r="BA68" s="548">
        <f t="shared" si="20"/>
        <v>1.9370909436457799</v>
      </c>
      <c r="BB68" s="548">
        <f t="shared" si="20"/>
        <v>1.9370909436457795</v>
      </c>
      <c r="BC68" s="548">
        <f t="shared" si="20"/>
        <v>1.9370909436457793</v>
      </c>
      <c r="BD68" s="548">
        <f t="shared" si="20"/>
        <v>1.9370909436457791</v>
      </c>
      <c r="BE68" s="548">
        <f t="shared" si="20"/>
        <v>1.9370909436457795</v>
      </c>
      <c r="BF68" s="548">
        <f t="shared" si="20"/>
        <v>1.9370909436457793</v>
      </c>
      <c r="BG68" s="548">
        <f t="shared" si="20"/>
        <v>1.9370909436457793</v>
      </c>
      <c r="BH68" s="548">
        <f t="shared" si="20"/>
        <v>1.9370909436457797</v>
      </c>
      <c r="BI68" s="548">
        <f t="shared" si="20"/>
        <v>1.9370909436457793</v>
      </c>
      <c r="BJ68" s="548">
        <f t="shared" si="20"/>
        <v>1.9370909436457797</v>
      </c>
      <c r="BK68" s="548">
        <f t="shared" si="20"/>
        <v>1.9370909436457795</v>
      </c>
      <c r="BL68" s="548">
        <f t="shared" si="20"/>
        <v>1.9370909436457793</v>
      </c>
      <c r="BM68" s="548">
        <f t="shared" si="20"/>
        <v>1.9370909436457797</v>
      </c>
      <c r="BN68" s="548">
        <f t="shared" si="20"/>
        <v>1.9370909436457791</v>
      </c>
      <c r="BO68" s="548">
        <f t="shared" si="20"/>
        <v>1.9370909436457793</v>
      </c>
      <c r="BP68" s="548">
        <f t="shared" si="20"/>
        <v>1.9370909436457797</v>
      </c>
      <c r="BQ68" s="548">
        <f t="shared" si="20"/>
        <v>1.9370909436457797</v>
      </c>
      <c r="BR68" s="548">
        <f t="shared" si="20"/>
        <v>1.9370909436457797</v>
      </c>
      <c r="BS68" s="548">
        <f t="shared" si="20"/>
        <v>1.9370909436457797</v>
      </c>
      <c r="BT68" s="548">
        <f t="shared" si="20"/>
        <v>1.9370909436457797</v>
      </c>
      <c r="BU68" s="548">
        <f t="shared" si="20"/>
        <v>1.9370909436457793</v>
      </c>
      <c r="BV68" s="548">
        <f t="shared" si="20"/>
        <v>1.9370909436457795</v>
      </c>
      <c r="BW68" s="548">
        <f t="shared" si="20"/>
        <v>1.9370909436457795</v>
      </c>
      <c r="BX68" s="548">
        <f t="shared" si="20"/>
        <v>1.9370909436457795</v>
      </c>
      <c r="BY68" s="548">
        <f t="shared" si="20"/>
        <v>1.9370909436457793</v>
      </c>
      <c r="BZ68" s="548">
        <f t="shared" si="20"/>
        <v>1.9370909436457797</v>
      </c>
      <c r="CA68" s="548">
        <f t="shared" si="20"/>
        <v>1.9370909436457795</v>
      </c>
      <c r="CB68" s="548">
        <f t="shared" si="20"/>
        <v>1.9370909436457791</v>
      </c>
      <c r="CC68" s="548">
        <f t="shared" si="20"/>
        <v>1.9370909436457797</v>
      </c>
      <c r="CD68" s="548">
        <f t="shared" si="20"/>
        <v>1.9370909436457791</v>
      </c>
      <c r="CE68" s="548">
        <f t="shared" si="20"/>
        <v>1.9370909436457795</v>
      </c>
      <c r="CF68" s="548">
        <f t="shared" si="20"/>
        <v>1.9370909436457795</v>
      </c>
      <c r="CG68" s="548">
        <f t="shared" si="20"/>
        <v>1.9370909436457793</v>
      </c>
      <c r="CH68" s="548">
        <f t="shared" si="20"/>
        <v>1.9370909436457799</v>
      </c>
      <c r="CI68" s="548">
        <f t="shared" si="20"/>
        <v>1.9370909436457797</v>
      </c>
      <c r="CJ68" s="548">
        <f t="shared" si="20"/>
        <v>1.9370909436457795</v>
      </c>
      <c r="CK68" s="548">
        <f t="shared" si="20"/>
        <v>1.9370909436457795</v>
      </c>
      <c r="CL68" s="548">
        <f t="shared" si="20"/>
        <v>1.9370909436457797</v>
      </c>
      <c r="CM68" s="548">
        <f t="shared" si="20"/>
        <v>1.9370909436457797</v>
      </c>
      <c r="CN68" s="548">
        <f t="shared" si="20"/>
        <v>1.9370909436457797</v>
      </c>
      <c r="CO68" s="548">
        <f t="shared" si="20"/>
        <v>1.9370909436457795</v>
      </c>
      <c r="CP68" s="548">
        <f t="shared" si="20"/>
        <v>1.9370909436457791</v>
      </c>
      <c r="CQ68" s="548">
        <f t="shared" si="20"/>
        <v>1.9370909436457799</v>
      </c>
      <c r="CR68" s="548">
        <f t="shared" si="20"/>
        <v>1.9370909436457797</v>
      </c>
      <c r="CS68" s="548">
        <f t="shared" si="20"/>
        <v>1.9370909436457797</v>
      </c>
      <c r="CT68" s="548">
        <f t="shared" si="20"/>
        <v>1.9370909436457791</v>
      </c>
      <c r="CU68" s="548">
        <f t="shared" si="20"/>
        <v>1.9370909436457797</v>
      </c>
      <c r="CV68" s="548">
        <f t="shared" si="20"/>
        <v>1.9370909436457793</v>
      </c>
      <c r="CW68" s="548">
        <f t="shared" si="20"/>
        <v>1.9370909436457799</v>
      </c>
      <c r="CX68" s="548">
        <f t="shared" si="20"/>
        <v>1.9370909436457797</v>
      </c>
      <c r="CY68" s="548">
        <f t="shared" si="20"/>
        <v>1.9370909436457795</v>
      </c>
      <c r="CZ68" s="548">
        <f t="shared" si="20"/>
        <v>1.9370909436457793</v>
      </c>
      <c r="DA68" s="548">
        <f t="shared" si="20"/>
        <v>1.9370909436458112</v>
      </c>
      <c r="DB68" s="548">
        <f t="shared" si="20"/>
        <v>2.5806470334715859</v>
      </c>
      <c r="DC68" s="548">
        <f t="shared" si="20"/>
        <v>3.880137985885717</v>
      </c>
      <c r="DD68" s="548">
        <f t="shared" si="20"/>
        <v>7.7888153995057978</v>
      </c>
      <c r="DE68" s="548">
        <f t="shared" si="20"/>
        <v>0</v>
      </c>
      <c r="DF68" s="548">
        <f t="shared" si="20"/>
        <v>0</v>
      </c>
      <c r="DG68" s="548">
        <f t="shared" si="20"/>
        <v>0</v>
      </c>
      <c r="DH68" s="548">
        <f t="shared" si="20"/>
        <v>0</v>
      </c>
      <c r="DI68" s="548">
        <f t="shared" si="20"/>
        <v>0</v>
      </c>
      <c r="DJ68" s="548">
        <f t="shared" si="20"/>
        <v>0</v>
      </c>
      <c r="DK68" s="548">
        <f t="shared" si="20"/>
        <v>0</v>
      </c>
      <c r="DL68" s="548">
        <f t="shared" si="20"/>
        <v>0</v>
      </c>
      <c r="DM68" s="548">
        <f t="shared" si="20"/>
        <v>0</v>
      </c>
      <c r="DN68" s="548">
        <f t="shared" si="20"/>
        <v>0</v>
      </c>
      <c r="DO68" s="548">
        <f t="shared" si="20"/>
        <v>0</v>
      </c>
      <c r="DP68" s="548">
        <f t="shared" si="20"/>
        <v>0</v>
      </c>
      <c r="DQ68" s="548">
        <f t="shared" si="20"/>
        <v>0</v>
      </c>
      <c r="DR68" s="548">
        <f t="shared" si="20"/>
        <v>0</v>
      </c>
      <c r="DS68" s="548">
        <f t="shared" si="20"/>
        <v>0</v>
      </c>
      <c r="DT68" s="548">
        <f t="shared" si="20"/>
        <v>0</v>
      </c>
      <c r="DU68" s="548">
        <f t="shared" si="20"/>
        <v>0</v>
      </c>
      <c r="DV68" s="548">
        <f t="shared" si="20"/>
        <v>0</v>
      </c>
      <c r="DW68" s="548">
        <f t="shared" si="20"/>
        <v>0</v>
      </c>
      <c r="DX68" s="548">
        <f t="shared" si="20"/>
        <v>0</v>
      </c>
      <c r="DY68" s="548">
        <f t="shared" si="20"/>
        <v>0</v>
      </c>
      <c r="DZ68" s="548">
        <f t="shared" si="20"/>
        <v>0</v>
      </c>
      <c r="EA68" s="548">
        <f t="shared" si="20"/>
        <v>0</v>
      </c>
      <c r="EB68" s="548">
        <f t="shared" si="20"/>
        <v>0</v>
      </c>
      <c r="EC68" s="548">
        <f t="shared" si="20"/>
        <v>0</v>
      </c>
      <c r="ED68" s="548">
        <f t="shared" si="20"/>
        <v>0</v>
      </c>
      <c r="EE68" s="548">
        <f t="shared" si="20"/>
        <v>0</v>
      </c>
      <c r="EF68" s="548">
        <f t="shared" si="20"/>
        <v>0</v>
      </c>
      <c r="EG68" s="548">
        <f t="shared" si="20"/>
        <v>0</v>
      </c>
    </row>
    <row r="70" spans="2:2" ht="12.75">
      <c r="B70" s="534" t="s">
        <v>407</v>
      </c>
    </row>
    <row r="71" spans="5:7" ht="12.75">
      <c r="E71" s="535" t="str">
        <f>InpC!E$126</f>
        <v>Months in year</v>
      </c>
      <c r="F71" s="537">
        <f>InpC!F$126</f>
        <v>12</v>
      </c>
      <c r="G71" s="537" t="str">
        <f>InpC!G$126</f>
        <v>months</v>
      </c>
    </row>
    <row r="72" spans="5:7" ht="12.75">
      <c r="E72" s="535" t="str">
        <f>Time!E$21</f>
        <v>End of construction period date</v>
      </c>
      <c r="F72" s="536">
        <f>Time!F$21</f>
        <v>47118</v>
      </c>
      <c r="G72" s="536" t="str">
        <f>Time!G$21</f>
        <v>date</v>
      </c>
    </row>
    <row r="73" spans="5:137" ht="12.75">
      <c r="E73" s="535" t="str">
        <f>Time!E$50</f>
        <v>Model period ending</v>
      </c>
      <c r="G73" s="536" t="str">
        <f>Time!G$50</f>
        <v>date</v>
      </c>
      <c r="J73" s="536">
        <f>Time!J$50</f>
        <v>46418</v>
      </c>
      <c r="K73" s="536">
        <f>Time!K$50</f>
        <v>46446</v>
      </c>
      <c r="L73" s="536">
        <f>Time!L$50</f>
        <v>46477</v>
      </c>
      <c r="M73" s="536">
        <f>Time!M$50</f>
        <v>46507</v>
      </c>
      <c r="N73" s="536">
        <f>Time!N$50</f>
        <v>46538</v>
      </c>
      <c r="O73" s="536">
        <f>Time!O$50</f>
        <v>46568</v>
      </c>
      <c r="P73" s="536">
        <f>Time!P$50</f>
        <v>46599</v>
      </c>
      <c r="Q73" s="536">
        <f>Time!Q$50</f>
        <v>46630</v>
      </c>
      <c r="R73" s="536">
        <f>Time!R$50</f>
        <v>46660</v>
      </c>
      <c r="S73" s="536">
        <f>Time!S$50</f>
        <v>46691</v>
      </c>
      <c r="T73" s="536">
        <f>Time!T$50</f>
        <v>46721</v>
      </c>
      <c r="U73" s="536">
        <f>Time!U$50</f>
        <v>46752</v>
      </c>
      <c r="V73" s="536">
        <f>Time!V$50</f>
        <v>46783</v>
      </c>
      <c r="W73" s="536">
        <f>Time!W$50</f>
        <v>46812</v>
      </c>
      <c r="X73" s="536">
        <f>Time!X$50</f>
        <v>46843</v>
      </c>
      <c r="Y73" s="536">
        <f>Time!Y$50</f>
        <v>46873</v>
      </c>
      <c r="Z73" s="536">
        <f>Time!Z$50</f>
        <v>46904</v>
      </c>
      <c r="AA73" s="536">
        <f>Time!AA$50</f>
        <v>46934</v>
      </c>
      <c r="AB73" s="536">
        <f>Time!AB$50</f>
        <v>46965</v>
      </c>
      <c r="AC73" s="536">
        <f>Time!AC$50</f>
        <v>46996</v>
      </c>
      <c r="AD73" s="536">
        <f>Time!AD$50</f>
        <v>47026</v>
      </c>
      <c r="AE73" s="536">
        <f>Time!AE$50</f>
        <v>47057</v>
      </c>
      <c r="AF73" s="536">
        <f>Time!AF$50</f>
        <v>47087</v>
      </c>
      <c r="AG73" s="536">
        <f>Time!AG$50</f>
        <v>47118</v>
      </c>
      <c r="AH73" s="536">
        <f>Time!AH$50</f>
        <v>47208</v>
      </c>
      <c r="AI73" s="536">
        <f>Time!AI$50</f>
        <v>47299</v>
      </c>
      <c r="AJ73" s="536">
        <f>Time!AJ$50</f>
        <v>47391</v>
      </c>
      <c r="AK73" s="536">
        <f>Time!AK$50</f>
        <v>47483</v>
      </c>
      <c r="AL73" s="536">
        <f>Time!AL$50</f>
        <v>47573</v>
      </c>
      <c r="AM73" s="536">
        <f>Time!AM$50</f>
        <v>47664</v>
      </c>
      <c r="AN73" s="536">
        <f>Time!AN$50</f>
        <v>47756</v>
      </c>
      <c r="AO73" s="536">
        <f>Time!AO$50</f>
        <v>47848</v>
      </c>
      <c r="AP73" s="536">
        <f>Time!AP$50</f>
        <v>47938</v>
      </c>
      <c r="AQ73" s="536">
        <f>Time!AQ$50</f>
        <v>48029</v>
      </c>
      <c r="AR73" s="536">
        <f>Time!AR$50</f>
        <v>48121</v>
      </c>
      <c r="AS73" s="536">
        <f>Time!AS$50</f>
        <v>48213</v>
      </c>
      <c r="AT73" s="536">
        <f>Time!AT$50</f>
        <v>48304</v>
      </c>
      <c r="AU73" s="536">
        <f>Time!AU$50</f>
        <v>48395</v>
      </c>
      <c r="AV73" s="536">
        <f>Time!AV$50</f>
        <v>48487</v>
      </c>
      <c r="AW73" s="536">
        <f>Time!AW$50</f>
        <v>48579</v>
      </c>
      <c r="AX73" s="536">
        <f>Time!AX$50</f>
        <v>48669</v>
      </c>
      <c r="AY73" s="536">
        <f>Time!AY$50</f>
        <v>48760</v>
      </c>
      <c r="AZ73" s="536">
        <f>Time!AZ$50</f>
        <v>48852</v>
      </c>
      <c r="BA73" s="536">
        <f>Time!BA$50</f>
        <v>48944</v>
      </c>
      <c r="BB73" s="536">
        <f>Time!BB$50</f>
        <v>49034</v>
      </c>
      <c r="BC73" s="536">
        <f>Time!BC$50</f>
        <v>49125</v>
      </c>
      <c r="BD73" s="536">
        <f>Time!BD$50</f>
        <v>49217</v>
      </c>
      <c r="BE73" s="536">
        <f>Time!BE$50</f>
        <v>49309</v>
      </c>
      <c r="BF73" s="536">
        <f>Time!BF$50</f>
        <v>49399</v>
      </c>
      <c r="BG73" s="536">
        <f>Time!BG$50</f>
        <v>49490</v>
      </c>
      <c r="BH73" s="536">
        <f>Time!BH$50</f>
        <v>49582</v>
      </c>
      <c r="BI73" s="536">
        <f>Time!BI$50</f>
        <v>49674</v>
      </c>
      <c r="BJ73" s="536">
        <f>Time!BJ$50</f>
        <v>49765</v>
      </c>
      <c r="BK73" s="536">
        <f>Time!BK$50</f>
        <v>49856</v>
      </c>
      <c r="BL73" s="536">
        <f>Time!BL$50</f>
        <v>49948</v>
      </c>
      <c r="BM73" s="536">
        <f>Time!BM$50</f>
        <v>50040</v>
      </c>
      <c r="BN73" s="536">
        <f>Time!BN$50</f>
        <v>50130</v>
      </c>
      <c r="BO73" s="536">
        <f>Time!BO$50</f>
        <v>50221</v>
      </c>
      <c r="BP73" s="536">
        <f>Time!BP$50</f>
        <v>50313</v>
      </c>
      <c r="BQ73" s="536">
        <f>Time!BQ$50</f>
        <v>50405</v>
      </c>
      <c r="BR73" s="536">
        <f>Time!BR$50</f>
        <v>50495</v>
      </c>
      <c r="BS73" s="536">
        <f>Time!BS$50</f>
        <v>50586</v>
      </c>
      <c r="BT73" s="536">
        <f>Time!BT$50</f>
        <v>50678</v>
      </c>
      <c r="BU73" s="536">
        <f>Time!BU$50</f>
        <v>50770</v>
      </c>
      <c r="BV73" s="536">
        <f>Time!BV$50</f>
        <v>50860</v>
      </c>
      <c r="BW73" s="536">
        <f>Time!BW$50</f>
        <v>50951</v>
      </c>
      <c r="BX73" s="536">
        <f>Time!BX$50</f>
        <v>51043</v>
      </c>
      <c r="BY73" s="536">
        <f>Time!BY$50</f>
        <v>51135</v>
      </c>
      <c r="BZ73" s="536">
        <f>Time!BZ$50</f>
        <v>51226</v>
      </c>
      <c r="CA73" s="536">
        <f>Time!CA$50</f>
        <v>51317</v>
      </c>
      <c r="CB73" s="536">
        <f>Time!CB$50</f>
        <v>51409</v>
      </c>
      <c r="CC73" s="536">
        <f>Time!CC$50</f>
        <v>51501</v>
      </c>
      <c r="CD73" s="536">
        <f>Time!CD$50</f>
        <v>51591</v>
      </c>
      <c r="CE73" s="536">
        <f>Time!CE$50</f>
        <v>51682</v>
      </c>
      <c r="CF73" s="536">
        <f>Time!CF$50</f>
        <v>51774</v>
      </c>
      <c r="CG73" s="536">
        <f>Time!CG$50</f>
        <v>51866</v>
      </c>
      <c r="CH73" s="536">
        <f>Time!CH$50</f>
        <v>51956</v>
      </c>
      <c r="CI73" s="536">
        <f>Time!CI$50</f>
        <v>52047</v>
      </c>
      <c r="CJ73" s="536">
        <f>Time!CJ$50</f>
        <v>52139</v>
      </c>
      <c r="CK73" s="536">
        <f>Time!CK$50</f>
        <v>52231</v>
      </c>
      <c r="CL73" s="536">
        <f>Time!CL$50</f>
        <v>52321</v>
      </c>
      <c r="CM73" s="536">
        <f>Time!CM$50</f>
        <v>52412</v>
      </c>
      <c r="CN73" s="536">
        <f>Time!CN$50</f>
        <v>52504</v>
      </c>
      <c r="CO73" s="536">
        <f>Time!CO$50</f>
        <v>52596</v>
      </c>
      <c r="CP73" s="536">
        <f>Time!CP$50</f>
        <v>52687</v>
      </c>
      <c r="CQ73" s="536">
        <f>Time!CQ$50</f>
        <v>52778</v>
      </c>
      <c r="CR73" s="536">
        <f>Time!CR$50</f>
        <v>52870</v>
      </c>
      <c r="CS73" s="536">
        <f>Time!CS$50</f>
        <v>52962</v>
      </c>
      <c r="CT73" s="536">
        <f>Time!CT$50</f>
        <v>53052</v>
      </c>
      <c r="CU73" s="536">
        <f>Time!CU$50</f>
        <v>53143</v>
      </c>
      <c r="CV73" s="536">
        <f>Time!CV$50</f>
        <v>53235</v>
      </c>
      <c r="CW73" s="536">
        <f>Time!CW$50</f>
        <v>53327</v>
      </c>
      <c r="CX73" s="536">
        <f>Time!CX$50</f>
        <v>53417</v>
      </c>
      <c r="CY73" s="536">
        <f>Time!CY$50</f>
        <v>53508</v>
      </c>
      <c r="CZ73" s="536">
        <f>Time!CZ$50</f>
        <v>53600</v>
      </c>
      <c r="DA73" s="536">
        <f>Time!DA$50</f>
        <v>53692</v>
      </c>
      <c r="DB73" s="536">
        <f>Time!DB$50</f>
        <v>53782</v>
      </c>
      <c r="DC73" s="536">
        <f>Time!DC$50</f>
        <v>53873</v>
      </c>
      <c r="DD73" s="536">
        <f>Time!DD$50</f>
        <v>53965</v>
      </c>
      <c r="DE73" s="536">
        <f>Time!DE$50</f>
        <v>54057</v>
      </c>
      <c r="DF73" s="536">
        <f>Time!DF$50</f>
        <v>54148</v>
      </c>
      <c r="DG73" s="536">
        <f>Time!DG$50</f>
        <v>54239</v>
      </c>
      <c r="DH73" s="536">
        <f>Time!DH$50</f>
        <v>54331</v>
      </c>
      <c r="DI73" s="536">
        <f>Time!DI$50</f>
        <v>54423</v>
      </c>
      <c r="DJ73" s="536">
        <f>Time!DJ$50</f>
        <v>54513</v>
      </c>
      <c r="DK73" s="536">
        <f>Time!DK$50</f>
        <v>54604</v>
      </c>
      <c r="DL73" s="536">
        <f>Time!DL$50</f>
        <v>54696</v>
      </c>
      <c r="DM73" s="536">
        <f>Time!DM$50</f>
        <v>54788</v>
      </c>
      <c r="DN73" s="536">
        <f>Time!DN$50</f>
        <v>54878</v>
      </c>
      <c r="DO73" s="536">
        <f>Time!DO$50</f>
        <v>54969</v>
      </c>
      <c r="DP73" s="536">
        <f>Time!DP$50</f>
        <v>55061</v>
      </c>
      <c r="DQ73" s="536">
        <f>Time!DQ$50</f>
        <v>55153</v>
      </c>
      <c r="DR73" s="536">
        <f>Time!DR$50</f>
        <v>55243</v>
      </c>
      <c r="DS73" s="536">
        <f>Time!DS$50</f>
        <v>55334</v>
      </c>
      <c r="DT73" s="536">
        <f>Time!DT$50</f>
        <v>55426</v>
      </c>
      <c r="DU73" s="536">
        <f>Time!DU$50</f>
        <v>55518</v>
      </c>
      <c r="DV73" s="536">
        <f>Time!DV$50</f>
        <v>55609</v>
      </c>
      <c r="DW73" s="536">
        <f>Time!DW$50</f>
        <v>55700</v>
      </c>
      <c r="DX73" s="536">
        <f>Time!DX$50</f>
        <v>55792</v>
      </c>
      <c r="DY73" s="536">
        <f>Time!DY$50</f>
        <v>55884</v>
      </c>
      <c r="DZ73" s="536">
        <f>Time!DZ$50</f>
        <v>55974</v>
      </c>
      <c r="EA73" s="536">
        <f>Time!EA$50</f>
        <v>56065</v>
      </c>
      <c r="EB73" s="536">
        <f>Time!EB$50</f>
        <v>56157</v>
      </c>
      <c r="EC73" s="536">
        <f>Time!EC$50</f>
        <v>56249</v>
      </c>
      <c r="ED73" s="536">
        <f>Time!ED$50</f>
        <v>56339</v>
      </c>
      <c r="EE73" s="536">
        <f>Time!EE$50</f>
        <v>56430</v>
      </c>
      <c r="EF73" s="536">
        <f>Time!EF$50</f>
        <v>56522</v>
      </c>
      <c r="EG73" s="536">
        <f>Time!EG$50</f>
        <v>56614</v>
      </c>
    </row>
    <row r="74" spans="5:137" ht="12.75">
      <c r="E74" s="535" t="str">
        <f>Time!E$91</f>
        <v>Operating period flag</v>
      </c>
      <c r="G74" s="537" t="str">
        <f>Time!G$91</f>
        <v>flag</v>
      </c>
      <c r="H74" s="537">
        <f>Time!H$91</f>
        <v>100</v>
      </c>
      <c r="J74" s="537">
        <f>Time!J$91</f>
        <v>0</v>
      </c>
      <c r="K74" s="537">
        <f>Time!K$91</f>
        <v>0</v>
      </c>
      <c r="L74" s="537">
        <f>Time!L$91</f>
        <v>0</v>
      </c>
      <c r="M74" s="537">
        <f>Time!M$91</f>
        <v>0</v>
      </c>
      <c r="N74" s="537">
        <f>Time!N$91</f>
        <v>0</v>
      </c>
      <c r="O74" s="537">
        <f>Time!O$91</f>
        <v>0</v>
      </c>
      <c r="P74" s="537">
        <f>Time!P$91</f>
        <v>0</v>
      </c>
      <c r="Q74" s="537">
        <f>Time!Q$91</f>
        <v>0</v>
      </c>
      <c r="R74" s="537">
        <f>Time!R$91</f>
        <v>0</v>
      </c>
      <c r="S74" s="537">
        <f>Time!S$91</f>
        <v>0</v>
      </c>
      <c r="T74" s="537">
        <f>Time!T$91</f>
        <v>0</v>
      </c>
      <c r="U74" s="537">
        <f>Time!U$91</f>
        <v>0</v>
      </c>
      <c r="V74" s="537">
        <f>Time!V$91</f>
        <v>0</v>
      </c>
      <c r="W74" s="537">
        <f>Time!W$91</f>
        <v>0</v>
      </c>
      <c r="X74" s="537">
        <f>Time!X$91</f>
        <v>0</v>
      </c>
      <c r="Y74" s="537">
        <f>Time!Y$91</f>
        <v>0</v>
      </c>
      <c r="Z74" s="537">
        <f>Time!Z$91</f>
        <v>0</v>
      </c>
      <c r="AA74" s="537">
        <f>Time!AA$91</f>
        <v>0</v>
      </c>
      <c r="AB74" s="537">
        <f>Time!AB$91</f>
        <v>0</v>
      </c>
      <c r="AC74" s="537">
        <f>Time!AC$91</f>
        <v>0</v>
      </c>
      <c r="AD74" s="537">
        <f>Time!AD$91</f>
        <v>0</v>
      </c>
      <c r="AE74" s="537">
        <f>Time!AE$91</f>
        <v>0</v>
      </c>
      <c r="AF74" s="537">
        <f>Time!AF$91</f>
        <v>0</v>
      </c>
      <c r="AG74" s="537">
        <f>Time!AG$91</f>
        <v>0</v>
      </c>
      <c r="AH74" s="537">
        <f>Time!AH$91</f>
        <v>1</v>
      </c>
      <c r="AI74" s="537">
        <f>Time!AI$91</f>
        <v>1</v>
      </c>
      <c r="AJ74" s="537">
        <f>Time!AJ$91</f>
        <v>1</v>
      </c>
      <c r="AK74" s="537">
        <f>Time!AK$91</f>
        <v>1</v>
      </c>
      <c r="AL74" s="537">
        <f>Time!AL$91</f>
        <v>1</v>
      </c>
      <c r="AM74" s="537">
        <f>Time!AM$91</f>
        <v>1</v>
      </c>
      <c r="AN74" s="537">
        <f>Time!AN$91</f>
        <v>1</v>
      </c>
      <c r="AO74" s="537">
        <f>Time!AO$91</f>
        <v>1</v>
      </c>
      <c r="AP74" s="537">
        <f>Time!AP$91</f>
        <v>1</v>
      </c>
      <c r="AQ74" s="537">
        <f>Time!AQ$91</f>
        <v>1</v>
      </c>
      <c r="AR74" s="537">
        <f>Time!AR$91</f>
        <v>1</v>
      </c>
      <c r="AS74" s="537">
        <f>Time!AS$91</f>
        <v>1</v>
      </c>
      <c r="AT74" s="537">
        <f>Time!AT$91</f>
        <v>1</v>
      </c>
      <c r="AU74" s="537">
        <f>Time!AU$91</f>
        <v>1</v>
      </c>
      <c r="AV74" s="537">
        <f>Time!AV$91</f>
        <v>1</v>
      </c>
      <c r="AW74" s="537">
        <f>Time!AW$91</f>
        <v>1</v>
      </c>
      <c r="AX74" s="537">
        <f>Time!AX$91</f>
        <v>1</v>
      </c>
      <c r="AY74" s="537">
        <f>Time!AY$91</f>
        <v>1</v>
      </c>
      <c r="AZ74" s="537">
        <f>Time!AZ$91</f>
        <v>1</v>
      </c>
      <c r="BA74" s="537">
        <f>Time!BA$91</f>
        <v>1</v>
      </c>
      <c r="BB74" s="537">
        <f>Time!BB$91</f>
        <v>1</v>
      </c>
      <c r="BC74" s="537">
        <f>Time!BC$91</f>
        <v>1</v>
      </c>
      <c r="BD74" s="537">
        <f>Time!BD$91</f>
        <v>1</v>
      </c>
      <c r="BE74" s="537">
        <f>Time!BE$91</f>
        <v>1</v>
      </c>
      <c r="BF74" s="537">
        <f>Time!BF$91</f>
        <v>1</v>
      </c>
      <c r="BG74" s="537">
        <f>Time!BG$91</f>
        <v>1</v>
      </c>
      <c r="BH74" s="537">
        <f>Time!BH$91</f>
        <v>1</v>
      </c>
      <c r="BI74" s="537">
        <f>Time!BI$91</f>
        <v>1</v>
      </c>
      <c r="BJ74" s="537">
        <f>Time!BJ$91</f>
        <v>1</v>
      </c>
      <c r="BK74" s="537">
        <f>Time!BK$91</f>
        <v>1</v>
      </c>
      <c r="BL74" s="537">
        <f>Time!BL$91</f>
        <v>1</v>
      </c>
      <c r="BM74" s="537">
        <f>Time!BM$91</f>
        <v>1</v>
      </c>
      <c r="BN74" s="537">
        <f>Time!BN$91</f>
        <v>1</v>
      </c>
      <c r="BO74" s="537">
        <f>Time!BO$91</f>
        <v>1</v>
      </c>
      <c r="BP74" s="537">
        <f>Time!BP$91</f>
        <v>1</v>
      </c>
      <c r="BQ74" s="537">
        <f>Time!BQ$91</f>
        <v>1</v>
      </c>
      <c r="BR74" s="537">
        <f>Time!BR$91</f>
        <v>1</v>
      </c>
      <c r="BS74" s="537">
        <f>Time!BS$91</f>
        <v>1</v>
      </c>
      <c r="BT74" s="537">
        <f>Time!BT$91</f>
        <v>1</v>
      </c>
      <c r="BU74" s="537">
        <f>Time!BU$91</f>
        <v>1</v>
      </c>
      <c r="BV74" s="537">
        <f>Time!BV$91</f>
        <v>1</v>
      </c>
      <c r="BW74" s="537">
        <f>Time!BW$91</f>
        <v>1</v>
      </c>
      <c r="BX74" s="537">
        <f>Time!BX$91</f>
        <v>1</v>
      </c>
      <c r="BY74" s="537">
        <f>Time!BY$91</f>
        <v>1</v>
      </c>
      <c r="BZ74" s="537">
        <f>Time!BZ$91</f>
        <v>1</v>
      </c>
      <c r="CA74" s="537">
        <f>Time!CA$91</f>
        <v>1</v>
      </c>
      <c r="CB74" s="537">
        <f>Time!CB$91</f>
        <v>1</v>
      </c>
      <c r="CC74" s="537">
        <f>Time!CC$91</f>
        <v>1</v>
      </c>
      <c r="CD74" s="537">
        <f>Time!CD$91</f>
        <v>1</v>
      </c>
      <c r="CE74" s="537">
        <f>Time!CE$91</f>
        <v>1</v>
      </c>
      <c r="CF74" s="537">
        <f>Time!CF$91</f>
        <v>1</v>
      </c>
      <c r="CG74" s="537">
        <f>Time!CG$91</f>
        <v>1</v>
      </c>
      <c r="CH74" s="537">
        <f>Time!CH$91</f>
        <v>1</v>
      </c>
      <c r="CI74" s="537">
        <f>Time!CI$91</f>
        <v>1</v>
      </c>
      <c r="CJ74" s="537">
        <f>Time!CJ$91</f>
        <v>1</v>
      </c>
      <c r="CK74" s="537">
        <f>Time!CK$91</f>
        <v>1</v>
      </c>
      <c r="CL74" s="537">
        <f>Time!CL$91</f>
        <v>1</v>
      </c>
      <c r="CM74" s="537">
        <f>Time!CM$91</f>
        <v>1</v>
      </c>
      <c r="CN74" s="537">
        <f>Time!CN$91</f>
        <v>1</v>
      </c>
      <c r="CO74" s="537">
        <f>Time!CO$91</f>
        <v>1</v>
      </c>
      <c r="CP74" s="537">
        <f>Time!CP$91</f>
        <v>1</v>
      </c>
      <c r="CQ74" s="537">
        <f>Time!CQ$91</f>
        <v>1</v>
      </c>
      <c r="CR74" s="537">
        <f>Time!CR$91</f>
        <v>1</v>
      </c>
      <c r="CS74" s="537">
        <f>Time!CS$91</f>
        <v>1</v>
      </c>
      <c r="CT74" s="537">
        <f>Time!CT$91</f>
        <v>1</v>
      </c>
      <c r="CU74" s="537">
        <f>Time!CU$91</f>
        <v>1</v>
      </c>
      <c r="CV74" s="537">
        <f>Time!CV$91</f>
        <v>1</v>
      </c>
      <c r="CW74" s="537">
        <f>Time!CW$91</f>
        <v>1</v>
      </c>
      <c r="CX74" s="537">
        <f>Time!CX$91</f>
        <v>1</v>
      </c>
      <c r="CY74" s="537">
        <f>Time!CY$91</f>
        <v>1</v>
      </c>
      <c r="CZ74" s="537">
        <f>Time!CZ$91</f>
        <v>1</v>
      </c>
      <c r="DA74" s="537">
        <f>Time!DA$91</f>
        <v>1</v>
      </c>
      <c r="DB74" s="537">
        <f>Time!DB$91</f>
        <v>1</v>
      </c>
      <c r="DC74" s="537">
        <f>Time!DC$91</f>
        <v>1</v>
      </c>
      <c r="DD74" s="537">
        <f>Time!DD$91</f>
        <v>1</v>
      </c>
      <c r="DE74" s="537">
        <f>Time!DE$91</f>
        <v>1</v>
      </c>
      <c r="DF74" s="537">
        <f>Time!DF$91</f>
        <v>1</v>
      </c>
      <c r="DG74" s="537">
        <f>Time!DG$91</f>
        <v>1</v>
      </c>
      <c r="DH74" s="537">
        <f>Time!DH$91</f>
        <v>1</v>
      </c>
      <c r="DI74" s="537">
        <f>Time!DI$91</f>
        <v>1</v>
      </c>
      <c r="DJ74" s="537">
        <f>Time!DJ$91</f>
        <v>1</v>
      </c>
      <c r="DK74" s="537">
        <f>Time!DK$91</f>
        <v>1</v>
      </c>
      <c r="DL74" s="537">
        <f>Time!DL$91</f>
        <v>1</v>
      </c>
      <c r="DM74" s="537">
        <f>Time!DM$91</f>
        <v>1</v>
      </c>
      <c r="DN74" s="537">
        <f>Time!DN$91</f>
        <v>1</v>
      </c>
      <c r="DO74" s="537">
        <f>Time!DO$91</f>
        <v>1</v>
      </c>
      <c r="DP74" s="537">
        <f>Time!DP$91</f>
        <v>1</v>
      </c>
      <c r="DQ74" s="537">
        <f>Time!DQ$91</f>
        <v>1</v>
      </c>
      <c r="DR74" s="537">
        <f>Time!DR$91</f>
        <v>1</v>
      </c>
      <c r="DS74" s="537">
        <f>Time!DS$91</f>
        <v>1</v>
      </c>
      <c r="DT74" s="537">
        <f>Time!DT$91</f>
        <v>1</v>
      </c>
      <c r="DU74" s="537">
        <f>Time!DU$91</f>
        <v>1</v>
      </c>
      <c r="DV74" s="537">
        <f>Time!DV$91</f>
        <v>1</v>
      </c>
      <c r="DW74" s="537">
        <f>Time!DW$91</f>
        <v>1</v>
      </c>
      <c r="DX74" s="537">
        <f>Time!DX$91</f>
        <v>1</v>
      </c>
      <c r="DY74" s="537">
        <f>Time!DY$91</f>
        <v>1</v>
      </c>
      <c r="DZ74" s="537">
        <f>Time!DZ$91</f>
        <v>1</v>
      </c>
      <c r="EA74" s="537">
        <f>Time!EA$91</f>
        <v>1</v>
      </c>
      <c r="EB74" s="537">
        <f>Time!EB$91</f>
        <v>1</v>
      </c>
      <c r="EC74" s="537">
        <f>Time!EC$91</f>
        <v>1</v>
      </c>
      <c r="ED74" s="537">
        <f>Time!ED$91</f>
        <v>0</v>
      </c>
      <c r="EE74" s="537">
        <f>Time!EE$91</f>
        <v>0</v>
      </c>
      <c r="EF74" s="537">
        <f>Time!EF$91</f>
        <v>0</v>
      </c>
      <c r="EG74" s="537">
        <f>Time!EG$91</f>
        <v>0</v>
      </c>
    </row>
    <row r="75" spans="5:137" ht="12.75">
      <c r="E75" s="538" t="s">
        <v>408</v>
      </c>
      <c r="G75" s="539" t="s">
        <v>158</v>
      </c>
      <c r="H75" s="539">
        <f>SUM(J75:EG75)</f>
        <v>97</v>
      </c>
      <c r="J75" s="539">
        <f t="shared" si="21" ref="J75:EG75">J74*IF(EDATE(J73,-$F71)&gt;=$F72,1,0)</f>
        <v>0</v>
      </c>
      <c r="K75" s="539">
        <f t="shared" si="21"/>
        <v>0</v>
      </c>
      <c r="L75" s="539">
        <f t="shared" si="21"/>
        <v>0</v>
      </c>
      <c r="M75" s="539">
        <f t="shared" si="21"/>
        <v>0</v>
      </c>
      <c r="N75" s="539">
        <f t="shared" si="21"/>
        <v>0</v>
      </c>
      <c r="O75" s="539">
        <f t="shared" si="21"/>
        <v>0</v>
      </c>
      <c r="P75" s="539">
        <f t="shared" si="21"/>
        <v>0</v>
      </c>
      <c r="Q75" s="539">
        <f t="shared" si="21"/>
        <v>0</v>
      </c>
      <c r="R75" s="539">
        <f t="shared" si="21"/>
        <v>0</v>
      </c>
      <c r="S75" s="539">
        <f t="shared" si="21"/>
        <v>0</v>
      </c>
      <c r="T75" s="539">
        <f t="shared" si="21"/>
        <v>0</v>
      </c>
      <c r="U75" s="539">
        <f t="shared" si="21"/>
        <v>0</v>
      </c>
      <c r="V75" s="539">
        <f t="shared" si="21"/>
        <v>0</v>
      </c>
      <c r="W75" s="539">
        <f t="shared" si="21"/>
        <v>0</v>
      </c>
      <c r="X75" s="539">
        <f t="shared" si="21"/>
        <v>0</v>
      </c>
      <c r="Y75" s="539">
        <f t="shared" si="21"/>
        <v>0</v>
      </c>
      <c r="Z75" s="539">
        <f t="shared" si="21"/>
        <v>0</v>
      </c>
      <c r="AA75" s="539">
        <f t="shared" si="21"/>
        <v>0</v>
      </c>
      <c r="AB75" s="539">
        <f t="shared" si="21"/>
        <v>0</v>
      </c>
      <c r="AC75" s="539">
        <f t="shared" si="21"/>
        <v>0</v>
      </c>
      <c r="AD75" s="539">
        <f t="shared" si="21"/>
        <v>0</v>
      </c>
      <c r="AE75" s="539">
        <f t="shared" si="21"/>
        <v>0</v>
      </c>
      <c r="AF75" s="539">
        <f t="shared" si="21"/>
        <v>0</v>
      </c>
      <c r="AG75" s="539">
        <f t="shared" si="21"/>
        <v>0</v>
      </c>
      <c r="AH75" s="539">
        <f t="shared" si="21"/>
        <v>0</v>
      </c>
      <c r="AI75" s="539">
        <f t="shared" si="21"/>
        <v>0</v>
      </c>
      <c r="AJ75" s="539">
        <f t="shared" si="21"/>
        <v>0</v>
      </c>
      <c r="AK75" s="539">
        <f t="shared" si="21"/>
        <v>1</v>
      </c>
      <c r="AL75" s="539">
        <f t="shared" si="21"/>
        <v>1</v>
      </c>
      <c r="AM75" s="539">
        <f t="shared" si="21"/>
        <v>1</v>
      </c>
      <c r="AN75" s="539">
        <f t="shared" si="21"/>
        <v>1</v>
      </c>
      <c r="AO75" s="539">
        <f t="shared" si="21"/>
        <v>1</v>
      </c>
      <c r="AP75" s="539">
        <f t="shared" si="21"/>
        <v>1</v>
      </c>
      <c r="AQ75" s="539">
        <f t="shared" si="21"/>
        <v>1</v>
      </c>
      <c r="AR75" s="539">
        <f t="shared" si="21"/>
        <v>1</v>
      </c>
      <c r="AS75" s="539">
        <f t="shared" si="21"/>
        <v>1</v>
      </c>
      <c r="AT75" s="539">
        <f t="shared" si="21"/>
        <v>1</v>
      </c>
      <c r="AU75" s="539">
        <f t="shared" si="21"/>
        <v>1</v>
      </c>
      <c r="AV75" s="539">
        <f t="shared" si="21"/>
        <v>1</v>
      </c>
      <c r="AW75" s="539">
        <f t="shared" si="21"/>
        <v>1</v>
      </c>
      <c r="AX75" s="539">
        <f t="shared" si="21"/>
        <v>1</v>
      </c>
      <c r="AY75" s="539">
        <f t="shared" si="21"/>
        <v>1</v>
      </c>
      <c r="AZ75" s="539">
        <f t="shared" si="21"/>
        <v>1</v>
      </c>
      <c r="BA75" s="539">
        <f t="shared" si="21"/>
        <v>1</v>
      </c>
      <c r="BB75" s="539">
        <f t="shared" si="21"/>
        <v>1</v>
      </c>
      <c r="BC75" s="539">
        <f t="shared" si="21"/>
        <v>1</v>
      </c>
      <c r="BD75" s="539">
        <f t="shared" si="21"/>
        <v>1</v>
      </c>
      <c r="BE75" s="539">
        <f t="shared" si="21"/>
        <v>1</v>
      </c>
      <c r="BF75" s="539">
        <f t="shared" si="21"/>
        <v>1</v>
      </c>
      <c r="BG75" s="539">
        <f t="shared" si="21"/>
        <v>1</v>
      </c>
      <c r="BH75" s="539">
        <f t="shared" si="21"/>
        <v>1</v>
      </c>
      <c r="BI75" s="539">
        <f t="shared" si="21"/>
        <v>1</v>
      </c>
      <c r="BJ75" s="539">
        <f t="shared" si="21"/>
        <v>1</v>
      </c>
      <c r="BK75" s="539">
        <f t="shared" si="21"/>
        <v>1</v>
      </c>
      <c r="BL75" s="539">
        <f t="shared" si="21"/>
        <v>1</v>
      </c>
      <c r="BM75" s="539">
        <f t="shared" si="21"/>
        <v>1</v>
      </c>
      <c r="BN75" s="539">
        <f t="shared" si="21"/>
        <v>1</v>
      </c>
      <c r="BO75" s="539">
        <f t="shared" si="21"/>
        <v>1</v>
      </c>
      <c r="BP75" s="539">
        <f t="shared" si="21"/>
        <v>1</v>
      </c>
      <c r="BQ75" s="539">
        <f t="shared" si="21"/>
        <v>1</v>
      </c>
      <c r="BR75" s="539">
        <f t="shared" si="21"/>
        <v>1</v>
      </c>
      <c r="BS75" s="539">
        <f t="shared" si="21"/>
        <v>1</v>
      </c>
      <c r="BT75" s="539">
        <f t="shared" si="21"/>
        <v>1</v>
      </c>
      <c r="BU75" s="539">
        <f t="shared" si="21"/>
        <v>1</v>
      </c>
      <c r="BV75" s="539">
        <f t="shared" si="21"/>
        <v>1</v>
      </c>
      <c r="BW75" s="539">
        <f t="shared" si="21"/>
        <v>1</v>
      </c>
      <c r="BX75" s="539">
        <f t="shared" si="21"/>
        <v>1</v>
      </c>
      <c r="BY75" s="539">
        <f t="shared" si="21"/>
        <v>1</v>
      </c>
      <c r="BZ75" s="539">
        <f t="shared" si="21"/>
        <v>1</v>
      </c>
      <c r="CA75" s="539">
        <f t="shared" si="21"/>
        <v>1</v>
      </c>
      <c r="CB75" s="539">
        <f t="shared" si="21"/>
        <v>1</v>
      </c>
      <c r="CC75" s="539">
        <f t="shared" si="21"/>
        <v>1</v>
      </c>
      <c r="CD75" s="539">
        <f t="shared" si="21"/>
        <v>1</v>
      </c>
      <c r="CE75" s="539">
        <f t="shared" si="21"/>
        <v>1</v>
      </c>
      <c r="CF75" s="539">
        <f t="shared" si="21"/>
        <v>1</v>
      </c>
      <c r="CG75" s="539">
        <f t="shared" si="21"/>
        <v>1</v>
      </c>
      <c r="CH75" s="539">
        <f t="shared" si="21"/>
        <v>1</v>
      </c>
      <c r="CI75" s="539">
        <f t="shared" si="21"/>
        <v>1</v>
      </c>
      <c r="CJ75" s="539">
        <f t="shared" si="21"/>
        <v>1</v>
      </c>
      <c r="CK75" s="539">
        <f t="shared" si="21"/>
        <v>1</v>
      </c>
      <c r="CL75" s="539">
        <f t="shared" si="21"/>
        <v>1</v>
      </c>
      <c r="CM75" s="539">
        <f t="shared" si="21"/>
        <v>1</v>
      </c>
      <c r="CN75" s="539">
        <f t="shared" si="21"/>
        <v>1</v>
      </c>
      <c r="CO75" s="539">
        <f t="shared" si="21"/>
        <v>1</v>
      </c>
      <c r="CP75" s="539">
        <f t="shared" si="21"/>
        <v>1</v>
      </c>
      <c r="CQ75" s="539">
        <f t="shared" si="21"/>
        <v>1</v>
      </c>
      <c r="CR75" s="539">
        <f t="shared" si="21"/>
        <v>1</v>
      </c>
      <c r="CS75" s="539">
        <f t="shared" si="21"/>
        <v>1</v>
      </c>
      <c r="CT75" s="539">
        <f t="shared" si="21"/>
        <v>1</v>
      </c>
      <c r="CU75" s="539">
        <f t="shared" si="21"/>
        <v>1</v>
      </c>
      <c r="CV75" s="539">
        <f t="shared" si="21"/>
        <v>1</v>
      </c>
      <c r="CW75" s="539">
        <f t="shared" si="21"/>
        <v>1</v>
      </c>
      <c r="CX75" s="539">
        <f t="shared" si="21"/>
        <v>1</v>
      </c>
      <c r="CY75" s="539">
        <f t="shared" si="21"/>
        <v>1</v>
      </c>
      <c r="CZ75" s="539">
        <f t="shared" si="21"/>
        <v>1</v>
      </c>
      <c r="DA75" s="539">
        <f t="shared" si="21"/>
        <v>1</v>
      </c>
      <c r="DB75" s="539">
        <f t="shared" si="21"/>
        <v>1</v>
      </c>
      <c r="DC75" s="539">
        <f t="shared" si="21"/>
        <v>1</v>
      </c>
      <c r="DD75" s="539">
        <f t="shared" si="21"/>
        <v>1</v>
      </c>
      <c r="DE75" s="539">
        <f t="shared" si="21"/>
        <v>1</v>
      </c>
      <c r="DF75" s="539">
        <f t="shared" si="21"/>
        <v>1</v>
      </c>
      <c r="DG75" s="539">
        <f t="shared" si="21"/>
        <v>1</v>
      </c>
      <c r="DH75" s="539">
        <f t="shared" si="21"/>
        <v>1</v>
      </c>
      <c r="DI75" s="539">
        <f t="shared" si="21"/>
        <v>1</v>
      </c>
      <c r="DJ75" s="539">
        <f t="shared" si="21"/>
        <v>1</v>
      </c>
      <c r="DK75" s="539">
        <f t="shared" si="21"/>
        <v>1</v>
      </c>
      <c r="DL75" s="539">
        <f t="shared" si="21"/>
        <v>1</v>
      </c>
      <c r="DM75" s="539">
        <f t="shared" si="21"/>
        <v>1</v>
      </c>
      <c r="DN75" s="539">
        <f t="shared" si="21"/>
        <v>1</v>
      </c>
      <c r="DO75" s="539">
        <f t="shared" si="21"/>
        <v>1</v>
      </c>
      <c r="DP75" s="539">
        <f t="shared" si="21"/>
        <v>1</v>
      </c>
      <c r="DQ75" s="539">
        <f t="shared" si="21"/>
        <v>1</v>
      </c>
      <c r="DR75" s="539">
        <f t="shared" si="21"/>
        <v>1</v>
      </c>
      <c r="DS75" s="539">
        <f t="shared" si="21"/>
        <v>1</v>
      </c>
      <c r="DT75" s="539">
        <f t="shared" si="21"/>
        <v>1</v>
      </c>
      <c r="DU75" s="539">
        <f t="shared" si="21"/>
        <v>1</v>
      </c>
      <c r="DV75" s="539">
        <f t="shared" si="21"/>
        <v>1</v>
      </c>
      <c r="DW75" s="539">
        <f t="shared" si="21"/>
        <v>1</v>
      </c>
      <c r="DX75" s="539">
        <f t="shared" si="21"/>
        <v>1</v>
      </c>
      <c r="DY75" s="539">
        <f t="shared" si="21"/>
        <v>1</v>
      </c>
      <c r="DZ75" s="539">
        <f t="shared" si="21"/>
        <v>1</v>
      </c>
      <c r="EA75" s="539">
        <f t="shared" si="21"/>
        <v>1</v>
      </c>
      <c r="EB75" s="539">
        <f t="shared" si="21"/>
        <v>1</v>
      </c>
      <c r="EC75" s="539">
        <f t="shared" si="21"/>
        <v>1</v>
      </c>
      <c r="ED75" s="539">
        <f t="shared" si="21"/>
        <v>0</v>
      </c>
      <c r="EE75" s="539">
        <f t="shared" si="21"/>
        <v>0</v>
      </c>
      <c r="EF75" s="539">
        <f t="shared" si="21"/>
        <v>0</v>
      </c>
      <c r="EG75" s="539">
        <f t="shared" si="21"/>
        <v>0</v>
      </c>
    </row>
    <row r="77" spans="5:7" ht="12.75">
      <c r="E77" s="535" t="str">
        <f>InpC!E$104</f>
        <v>Distributions - lock-up DSCR (historical 12 months)</v>
      </c>
      <c r="F77" s="547">
        <f>InpC!F$104</f>
        <v>1.1499999999999999</v>
      </c>
      <c r="G77" s="547" t="str">
        <f>InpC!G$104</f>
        <v>ratio</v>
      </c>
    </row>
    <row r="78" spans="5:7" ht="12.75">
      <c r="E78" s="535" t="str">
        <f>InpC!E$128</f>
        <v>Check tolerance</v>
      </c>
      <c r="F78" s="537">
        <f>InpC!F$128</f>
        <v>0.001</v>
      </c>
      <c r="G78" s="537" t="str">
        <f>InpC!G$128</f>
        <v>EUR 000s</v>
      </c>
    </row>
    <row r="79" spans="5:137" ht="12.75">
      <c r="E79" s="538" t="str">
        <f>E$63</f>
        <v>Senior debt service - trailing 12 months</v>
      </c>
      <c r="G79" s="539" t="str">
        <f>G$63</f>
        <v>EUR 000s</v>
      </c>
      <c r="H79" s="539">
        <f>H$63</f>
        <v>1401731.7511565064</v>
      </c>
      <c r="J79" s="539">
        <f t="shared" si="22" ref="J79:EG79">J$63</f>
        <v>0</v>
      </c>
      <c r="K79" s="539">
        <f t="shared" si="22"/>
        <v>0</v>
      </c>
      <c r="L79" s="539">
        <f t="shared" si="22"/>
        <v>0</v>
      </c>
      <c r="M79" s="539">
        <f t="shared" si="22"/>
        <v>0</v>
      </c>
      <c r="N79" s="539">
        <f t="shared" si="22"/>
        <v>0</v>
      </c>
      <c r="O79" s="539">
        <f t="shared" si="22"/>
        <v>0</v>
      </c>
      <c r="P79" s="539">
        <f t="shared" si="22"/>
        <v>-1.8189894035458565E-12</v>
      </c>
      <c r="Q79" s="539">
        <f t="shared" si="22"/>
        <v>-1.8189894035458565E-12</v>
      </c>
      <c r="R79" s="539">
        <f t="shared" si="22"/>
        <v>-1.8189894035458565E-12</v>
      </c>
      <c r="S79" s="539">
        <f t="shared" si="22"/>
        <v>-1.8189894035458565E-12</v>
      </c>
      <c r="T79" s="539">
        <f t="shared" si="22"/>
        <v>-1.8189894035458565E-12</v>
      </c>
      <c r="U79" s="539">
        <f t="shared" si="22"/>
        <v>-1.8189894035458565E-12</v>
      </c>
      <c r="V79" s="539">
        <f t="shared" si="22"/>
        <v>-1.8189894035458565E-12</v>
      </c>
      <c r="W79" s="539">
        <f t="shared" si="22"/>
        <v>-1.8189894035458565E-12</v>
      </c>
      <c r="X79" s="539">
        <f t="shared" si="22"/>
        <v>-1.8189894035458565E-12</v>
      </c>
      <c r="Y79" s="539">
        <f t="shared" si="22"/>
        <v>-1.8189894035458565E-12</v>
      </c>
      <c r="Z79" s="539">
        <f t="shared" si="22"/>
        <v>-1.8189894035458565E-12</v>
      </c>
      <c r="AA79" s="539">
        <f t="shared" si="22"/>
        <v>-1.8189894035458565E-12</v>
      </c>
      <c r="AB79" s="539">
        <f t="shared" si="22"/>
        <v>0</v>
      </c>
      <c r="AC79" s="539">
        <f t="shared" si="22"/>
        <v>0</v>
      </c>
      <c r="AD79" s="539">
        <f t="shared" si="22"/>
        <v>0</v>
      </c>
      <c r="AE79" s="539">
        <f t="shared" si="22"/>
        <v>0</v>
      </c>
      <c r="AF79" s="539">
        <f t="shared" si="22"/>
        <v>0</v>
      </c>
      <c r="AG79" s="539">
        <f t="shared" si="22"/>
        <v>0</v>
      </c>
      <c r="AH79" s="539">
        <f t="shared" si="22"/>
        <v>3678.8348581698501</v>
      </c>
      <c r="AI79" s="539">
        <f t="shared" si="22"/>
        <v>8333.2746174984604</v>
      </c>
      <c r="AJ79" s="539">
        <f t="shared" si="22"/>
        <v>12987.487993345376</v>
      </c>
      <c r="AK79" s="539">
        <f t="shared" si="22"/>
        <v>17631.514112516066</v>
      </c>
      <c r="AL79" s="539">
        <f t="shared" si="22"/>
        <v>18646.264785843759</v>
      </c>
      <c r="AM79" s="539">
        <f t="shared" si="22"/>
        <v>18727.968616886115</v>
      </c>
      <c r="AN79" s="539">
        <f t="shared" si="22"/>
        <v>18809.669720253165</v>
      </c>
      <c r="AO79" s="539">
        <f t="shared" si="22"/>
        <v>18891.248078231591</v>
      </c>
      <c r="AP79" s="539">
        <f t="shared" si="22"/>
        <v>18973.884433268555</v>
      </c>
      <c r="AQ79" s="539">
        <f t="shared" si="22"/>
        <v>19056.929237252232</v>
      </c>
      <c r="AR79" s="539">
        <f t="shared" si="22"/>
        <v>19139.971305347608</v>
      </c>
      <c r="AS79" s="539">
        <f t="shared" si="22"/>
        <v>19222.890258469208</v>
      </c>
      <c r="AT79" s="539">
        <f t="shared" si="22"/>
        <v>19317.680957996898</v>
      </c>
      <c r="AU79" s="539">
        <f t="shared" si="22"/>
        <v>19391.294052885973</v>
      </c>
      <c r="AV79" s="539">
        <f t="shared" si="22"/>
        <v>19475.695544317048</v>
      </c>
      <c r="AW79" s="539">
        <f t="shared" si="22"/>
        <v>19557.72070206346</v>
      </c>
      <c r="AX79" s="539">
        <f t="shared" si="22"/>
        <v>19632.311331392397</v>
      </c>
      <c r="AY79" s="539">
        <f t="shared" si="22"/>
        <v>19728.88472215924</v>
      </c>
      <c r="AZ79" s="539">
        <f t="shared" si="22"/>
        <v>19814.664224660755</v>
      </c>
      <c r="BA79" s="539">
        <f t="shared" si="22"/>
        <v>19900.139388482079</v>
      </c>
      <c r="BB79" s="539">
        <f t="shared" si="22"/>
        <v>19923.242309797562</v>
      </c>
      <c r="BC79" s="539">
        <f t="shared" si="22"/>
        <v>19937.639428927516</v>
      </c>
      <c r="BD79" s="539">
        <f t="shared" si="22"/>
        <v>19943.341711953013</v>
      </c>
      <c r="BE79" s="539">
        <f t="shared" si="22"/>
        <v>19943.052700728549</v>
      </c>
      <c r="BF79" s="539">
        <f t="shared" si="22"/>
        <v>19992.589833787373</v>
      </c>
      <c r="BG79" s="539">
        <f t="shared" si="22"/>
        <v>20044.048733861462</v>
      </c>
      <c r="BH79" s="539">
        <f t="shared" si="22"/>
        <v>20096.966976110267</v>
      </c>
      <c r="BI79" s="539">
        <f t="shared" si="22"/>
        <v>20151.157478351652</v>
      </c>
      <c r="BJ79" s="539">
        <f t="shared" si="22"/>
        <v>20219.08015303365</v>
      </c>
      <c r="BK79" s="539">
        <f t="shared" si="22"/>
        <v>20266.065669065516</v>
      </c>
      <c r="BL79" s="539">
        <f t="shared" si="22"/>
        <v>20325.562505930175</v>
      </c>
      <c r="BM79" s="539">
        <f t="shared" si="22"/>
        <v>20386.0966493694</v>
      </c>
      <c r="BN79" s="539">
        <f t="shared" si="22"/>
        <v>20437.567004203062</v>
      </c>
      <c r="BO79" s="539">
        <f t="shared" si="22"/>
        <v>20513.071623751413</v>
      </c>
      <c r="BP79" s="539">
        <f t="shared" si="22"/>
        <v>20578.287152010602</v>
      </c>
      <c r="BQ79" s="539">
        <f t="shared" si="22"/>
        <v>20644.344608421008</v>
      </c>
      <c r="BR79" s="539">
        <f t="shared" si="22"/>
        <v>20765.815588004083</v>
      </c>
      <c r="BS79" s="539">
        <f t="shared" si="22"/>
        <v>20888.540249200094</v>
      </c>
      <c r="BT79" s="539">
        <f t="shared" si="22"/>
        <v>21012.103581400777</v>
      </c>
      <c r="BU79" s="539">
        <f t="shared" si="22"/>
        <v>21136.3463959648</v>
      </c>
      <c r="BV79" s="539">
        <f t="shared" si="22"/>
        <v>21069.938857626585</v>
      </c>
      <c r="BW79" s="539">
        <f t="shared" si="22"/>
        <v>20593.502877217859</v>
      </c>
      <c r="BX79" s="539">
        <f t="shared" si="22"/>
        <v>20109.688558832269</v>
      </c>
      <c r="BY79" s="539">
        <f t="shared" si="22"/>
        <v>19618.706606786945</v>
      </c>
      <c r="BZ79" s="539">
        <f t="shared" si="22"/>
        <v>19261.51569633633</v>
      </c>
      <c r="CA79" s="539">
        <f t="shared" si="22"/>
        <v>19285.775719941958</v>
      </c>
      <c r="CB79" s="539">
        <f t="shared" si="22"/>
        <v>19287.815894595384</v>
      </c>
      <c r="CC79" s="539">
        <f t="shared" si="22"/>
        <v>19115.809990551519</v>
      </c>
      <c r="CD79" s="539">
        <f t="shared" si="22"/>
        <v>18915.782357201184</v>
      </c>
      <c r="CE79" s="539">
        <f t="shared" si="22"/>
        <v>18737.720025895145</v>
      </c>
      <c r="CF79" s="539">
        <f t="shared" si="22"/>
        <v>18581.495596526493</v>
      </c>
      <c r="CG79" s="539">
        <f t="shared" si="22"/>
        <v>18596.362210919815</v>
      </c>
      <c r="CH79" s="539">
        <f t="shared" si="22"/>
        <v>18615.360953745818</v>
      </c>
      <c r="CI79" s="539">
        <f t="shared" si="22"/>
        <v>18635.483641225717</v>
      </c>
      <c r="CJ79" s="539">
        <f t="shared" si="22"/>
        <v>18656.304985330968</v>
      </c>
      <c r="CK79" s="539">
        <f t="shared" si="22"/>
        <v>18677.901695172419</v>
      </c>
      <c r="CL79" s="539">
        <f t="shared" si="22"/>
        <v>18989.248794346164</v>
      </c>
      <c r="CM79" s="539">
        <f t="shared" si="22"/>
        <v>19300.919818837618</v>
      </c>
      <c r="CN79" s="539">
        <f t="shared" si="22"/>
        <v>19612.491545701654</v>
      </c>
      <c r="CO79" s="539">
        <f t="shared" si="22"/>
        <v>19924.067124287856</v>
      </c>
      <c r="CP79" s="539">
        <f t="shared" si="22"/>
        <v>19676.21839023276</v>
      </c>
      <c r="CQ79" s="539">
        <f t="shared" si="22"/>
        <v>19403.451262688293</v>
      </c>
      <c r="CR79" s="539">
        <f t="shared" si="22"/>
        <v>19143.681823042796</v>
      </c>
      <c r="CS79" s="539">
        <f t="shared" si="22"/>
        <v>18884.735332247517</v>
      </c>
      <c r="CT79" s="539">
        <f t="shared" si="22"/>
        <v>18902.092724834401</v>
      </c>
      <c r="CU79" s="539">
        <f t="shared" si="22"/>
        <v>18945.763560973719</v>
      </c>
      <c r="CV79" s="539">
        <f t="shared" si="22"/>
        <v>18977.089747972725</v>
      </c>
      <c r="CW79" s="539">
        <f t="shared" si="22"/>
        <v>19008.558248532372</v>
      </c>
      <c r="CX79" s="539">
        <f t="shared" si="22"/>
        <v>19041.973735172516</v>
      </c>
      <c r="CY79" s="539">
        <f t="shared" si="22"/>
        <v>19075.546243129393</v>
      </c>
      <c r="CZ79" s="539">
        <f t="shared" si="22"/>
        <v>19108.921965986614</v>
      </c>
      <c r="DA79" s="539">
        <f t="shared" si="22"/>
        <v>19142.286208030262</v>
      </c>
      <c r="DB79" s="539">
        <f t="shared" si="22"/>
        <v>14373.53502413358</v>
      </c>
      <c r="DC79" s="539">
        <f t="shared" si="22"/>
        <v>9567.0576877287931</v>
      </c>
      <c r="DD79" s="539">
        <f t="shared" si="22"/>
        <v>4771.6969558088413</v>
      </c>
      <c r="DE79" s="539">
        <f t="shared" si="22"/>
        <v>0</v>
      </c>
      <c r="DF79" s="539">
        <f t="shared" si="22"/>
        <v>0</v>
      </c>
      <c r="DG79" s="539">
        <f t="shared" si="22"/>
        <v>0</v>
      </c>
      <c r="DH79" s="539">
        <f t="shared" si="22"/>
        <v>0</v>
      </c>
      <c r="DI79" s="539">
        <f t="shared" si="22"/>
        <v>0</v>
      </c>
      <c r="DJ79" s="539">
        <f t="shared" si="22"/>
        <v>0</v>
      </c>
      <c r="DK79" s="539">
        <f t="shared" si="22"/>
        <v>0</v>
      </c>
      <c r="DL79" s="539">
        <f t="shared" si="22"/>
        <v>0</v>
      </c>
      <c r="DM79" s="539">
        <f t="shared" si="22"/>
        <v>0</v>
      </c>
      <c r="DN79" s="539">
        <f t="shared" si="22"/>
        <v>0</v>
      </c>
      <c r="DO79" s="539">
        <f t="shared" si="22"/>
        <v>0</v>
      </c>
      <c r="DP79" s="539">
        <f t="shared" si="22"/>
        <v>0</v>
      </c>
      <c r="DQ79" s="539">
        <f t="shared" si="22"/>
        <v>0</v>
      </c>
      <c r="DR79" s="539">
        <f t="shared" si="22"/>
        <v>0</v>
      </c>
      <c r="DS79" s="539">
        <f t="shared" si="22"/>
        <v>0</v>
      </c>
      <c r="DT79" s="539">
        <f t="shared" si="22"/>
        <v>0</v>
      </c>
      <c r="DU79" s="539">
        <f t="shared" si="22"/>
        <v>0</v>
      </c>
      <c r="DV79" s="539">
        <f t="shared" si="22"/>
        <v>0</v>
      </c>
      <c r="DW79" s="539">
        <f t="shared" si="22"/>
        <v>0</v>
      </c>
      <c r="DX79" s="539">
        <f t="shared" si="22"/>
        <v>0</v>
      </c>
      <c r="DY79" s="539">
        <f t="shared" si="22"/>
        <v>0</v>
      </c>
      <c r="DZ79" s="539">
        <f t="shared" si="22"/>
        <v>0</v>
      </c>
      <c r="EA79" s="539">
        <f t="shared" si="22"/>
        <v>0</v>
      </c>
      <c r="EB79" s="539">
        <f t="shared" si="22"/>
        <v>0</v>
      </c>
      <c r="EC79" s="539">
        <f t="shared" si="22"/>
        <v>0</v>
      </c>
      <c r="ED79" s="539">
        <f t="shared" si="22"/>
        <v>0</v>
      </c>
      <c r="EE79" s="539">
        <f t="shared" si="22"/>
        <v>0</v>
      </c>
      <c r="EF79" s="539">
        <f t="shared" si="22"/>
        <v>0</v>
      </c>
      <c r="EG79" s="539">
        <f t="shared" si="22"/>
        <v>0</v>
      </c>
    </row>
    <row r="80" spans="5:137" ht="12.75">
      <c r="E80" s="538" t="str">
        <f>E$68</f>
        <v>Senior facility - historical 12-month DSCR</v>
      </c>
      <c r="G80" s="548" t="str">
        <f>G$68</f>
        <v>ratio</v>
      </c>
      <c r="H80" s="548">
        <f>H$68</f>
        <v>153.72014836135943</v>
      </c>
      <c r="J80" s="548">
        <f t="shared" si="23" ref="J80:EG80">J$68</f>
        <v>0</v>
      </c>
      <c r="K80" s="548">
        <f t="shared" si="23"/>
        <v>0</v>
      </c>
      <c r="L80" s="548">
        <f t="shared" si="23"/>
        <v>0</v>
      </c>
      <c r="M80" s="548">
        <f t="shared" si="23"/>
        <v>0</v>
      </c>
      <c r="N80" s="548">
        <f t="shared" si="23"/>
        <v>0</v>
      </c>
      <c r="O80" s="548">
        <f t="shared" si="23"/>
        <v>0</v>
      </c>
      <c r="P80" s="548">
        <f t="shared" si="23"/>
        <v>0</v>
      </c>
      <c r="Q80" s="548">
        <f t="shared" si="23"/>
        <v>0</v>
      </c>
      <c r="R80" s="548">
        <f t="shared" si="23"/>
        <v>0</v>
      </c>
      <c r="S80" s="548">
        <f t="shared" si="23"/>
        <v>0</v>
      </c>
      <c r="T80" s="548">
        <f t="shared" si="23"/>
        <v>0</v>
      </c>
      <c r="U80" s="548">
        <f t="shared" si="23"/>
        <v>0</v>
      </c>
      <c r="V80" s="548">
        <f t="shared" si="23"/>
        <v>0</v>
      </c>
      <c r="W80" s="548">
        <f t="shared" si="23"/>
        <v>0</v>
      </c>
      <c r="X80" s="548">
        <f t="shared" si="23"/>
        <v>0</v>
      </c>
      <c r="Y80" s="548">
        <f t="shared" si="23"/>
        <v>0</v>
      </c>
      <c r="Z80" s="548">
        <f t="shared" si="23"/>
        <v>0</v>
      </c>
      <c r="AA80" s="548">
        <f t="shared" si="23"/>
        <v>0</v>
      </c>
      <c r="AB80" s="548">
        <f t="shared" si="23"/>
        <v>0</v>
      </c>
      <c r="AC80" s="548">
        <f t="shared" si="23"/>
        <v>0</v>
      </c>
      <c r="AD80" s="548">
        <f t="shared" si="23"/>
        <v>0</v>
      </c>
      <c r="AE80" s="548">
        <f t="shared" si="23"/>
        <v>0</v>
      </c>
      <c r="AF80" s="548">
        <f t="shared" si="23"/>
        <v>0</v>
      </c>
      <c r="AG80" s="548">
        <f t="shared" si="23"/>
        <v>0</v>
      </c>
      <c r="AH80" s="548">
        <f t="shared" si="23"/>
        <v>1.9370909436457795</v>
      </c>
      <c r="AI80" s="548">
        <f t="shared" si="23"/>
        <v>1.9370909436457795</v>
      </c>
      <c r="AJ80" s="548">
        <f t="shared" si="23"/>
        <v>1.9370909436457795</v>
      </c>
      <c r="AK80" s="548">
        <f t="shared" si="23"/>
        <v>1.9370909436457795</v>
      </c>
      <c r="AL80" s="548">
        <f t="shared" si="23"/>
        <v>1.9370909436457797</v>
      </c>
      <c r="AM80" s="548">
        <f t="shared" si="23"/>
        <v>1.9370909436457795</v>
      </c>
      <c r="AN80" s="548">
        <f t="shared" si="23"/>
        <v>1.9370909436457797</v>
      </c>
      <c r="AO80" s="548">
        <f t="shared" si="23"/>
        <v>1.9370909436457795</v>
      </c>
      <c r="AP80" s="548">
        <f t="shared" si="23"/>
        <v>1.9370909436457793</v>
      </c>
      <c r="AQ80" s="548">
        <f t="shared" si="23"/>
        <v>1.9370909436457797</v>
      </c>
      <c r="AR80" s="548">
        <f t="shared" si="23"/>
        <v>1.9370909436457795</v>
      </c>
      <c r="AS80" s="548">
        <f t="shared" si="23"/>
        <v>1.9370909436457793</v>
      </c>
      <c r="AT80" s="548">
        <f t="shared" si="23"/>
        <v>1.9370909436457795</v>
      </c>
      <c r="AU80" s="548">
        <f t="shared" si="23"/>
        <v>1.9370909436457793</v>
      </c>
      <c r="AV80" s="548">
        <f t="shared" si="23"/>
        <v>1.9370909436457795</v>
      </c>
      <c r="AW80" s="548">
        <f t="shared" si="23"/>
        <v>1.9370909436457795</v>
      </c>
      <c r="AX80" s="548">
        <f t="shared" si="23"/>
        <v>1.9370909436457797</v>
      </c>
      <c r="AY80" s="548">
        <f t="shared" si="23"/>
        <v>1.9370909436457797</v>
      </c>
      <c r="AZ80" s="548">
        <f t="shared" si="23"/>
        <v>1.9370909436457795</v>
      </c>
      <c r="BA80" s="548">
        <f t="shared" si="23"/>
        <v>1.9370909436457799</v>
      </c>
      <c r="BB80" s="548">
        <f t="shared" si="23"/>
        <v>1.9370909436457795</v>
      </c>
      <c r="BC80" s="548">
        <f t="shared" si="23"/>
        <v>1.9370909436457793</v>
      </c>
      <c r="BD80" s="548">
        <f t="shared" si="23"/>
        <v>1.9370909436457791</v>
      </c>
      <c r="BE80" s="548">
        <f t="shared" si="23"/>
        <v>1.9370909436457795</v>
      </c>
      <c r="BF80" s="548">
        <f t="shared" si="23"/>
        <v>1.9370909436457793</v>
      </c>
      <c r="BG80" s="548">
        <f t="shared" si="23"/>
        <v>1.9370909436457793</v>
      </c>
      <c r="BH80" s="548">
        <f t="shared" si="23"/>
        <v>1.9370909436457797</v>
      </c>
      <c r="BI80" s="548">
        <f t="shared" si="23"/>
        <v>1.9370909436457793</v>
      </c>
      <c r="BJ80" s="548">
        <f t="shared" si="23"/>
        <v>1.9370909436457797</v>
      </c>
      <c r="BK80" s="548">
        <f t="shared" si="23"/>
        <v>1.9370909436457795</v>
      </c>
      <c r="BL80" s="548">
        <f t="shared" si="23"/>
        <v>1.9370909436457793</v>
      </c>
      <c r="BM80" s="548">
        <f t="shared" si="23"/>
        <v>1.9370909436457797</v>
      </c>
      <c r="BN80" s="548">
        <f t="shared" si="23"/>
        <v>1.9370909436457791</v>
      </c>
      <c r="BO80" s="548">
        <f t="shared" si="23"/>
        <v>1.9370909436457793</v>
      </c>
      <c r="BP80" s="548">
        <f t="shared" si="23"/>
        <v>1.9370909436457797</v>
      </c>
      <c r="BQ80" s="548">
        <f t="shared" si="23"/>
        <v>1.9370909436457797</v>
      </c>
      <c r="BR80" s="548">
        <f t="shared" si="23"/>
        <v>1.9370909436457797</v>
      </c>
      <c r="BS80" s="548">
        <f t="shared" si="23"/>
        <v>1.9370909436457797</v>
      </c>
      <c r="BT80" s="548">
        <f t="shared" si="23"/>
        <v>1.9370909436457797</v>
      </c>
      <c r="BU80" s="548">
        <f t="shared" si="23"/>
        <v>1.9370909436457793</v>
      </c>
      <c r="BV80" s="548">
        <f t="shared" si="23"/>
        <v>1.9370909436457795</v>
      </c>
      <c r="BW80" s="548">
        <f t="shared" si="23"/>
        <v>1.9370909436457795</v>
      </c>
      <c r="BX80" s="548">
        <f t="shared" si="23"/>
        <v>1.9370909436457795</v>
      </c>
      <c r="BY80" s="548">
        <f t="shared" si="23"/>
        <v>1.9370909436457793</v>
      </c>
      <c r="BZ80" s="548">
        <f t="shared" si="23"/>
        <v>1.9370909436457797</v>
      </c>
      <c r="CA80" s="548">
        <f t="shared" si="23"/>
        <v>1.9370909436457795</v>
      </c>
      <c r="CB80" s="548">
        <f t="shared" si="23"/>
        <v>1.9370909436457791</v>
      </c>
      <c r="CC80" s="548">
        <f t="shared" si="23"/>
        <v>1.9370909436457797</v>
      </c>
      <c r="CD80" s="548">
        <f t="shared" si="23"/>
        <v>1.9370909436457791</v>
      </c>
      <c r="CE80" s="548">
        <f t="shared" si="23"/>
        <v>1.9370909436457795</v>
      </c>
      <c r="CF80" s="548">
        <f t="shared" si="23"/>
        <v>1.9370909436457795</v>
      </c>
      <c r="CG80" s="548">
        <f t="shared" si="23"/>
        <v>1.9370909436457793</v>
      </c>
      <c r="CH80" s="548">
        <f t="shared" si="23"/>
        <v>1.9370909436457799</v>
      </c>
      <c r="CI80" s="548">
        <f t="shared" si="23"/>
        <v>1.9370909436457797</v>
      </c>
      <c r="CJ80" s="548">
        <f t="shared" si="23"/>
        <v>1.9370909436457795</v>
      </c>
      <c r="CK80" s="548">
        <f t="shared" si="23"/>
        <v>1.9370909436457795</v>
      </c>
      <c r="CL80" s="548">
        <f t="shared" si="23"/>
        <v>1.9370909436457797</v>
      </c>
      <c r="CM80" s="548">
        <f t="shared" si="23"/>
        <v>1.9370909436457797</v>
      </c>
      <c r="CN80" s="548">
        <f t="shared" si="23"/>
        <v>1.9370909436457797</v>
      </c>
      <c r="CO80" s="548">
        <f t="shared" si="23"/>
        <v>1.9370909436457795</v>
      </c>
      <c r="CP80" s="548">
        <f t="shared" si="23"/>
        <v>1.9370909436457791</v>
      </c>
      <c r="CQ80" s="548">
        <f t="shared" si="23"/>
        <v>1.9370909436457799</v>
      </c>
      <c r="CR80" s="548">
        <f t="shared" si="23"/>
        <v>1.9370909436457797</v>
      </c>
      <c r="CS80" s="548">
        <f t="shared" si="23"/>
        <v>1.9370909436457797</v>
      </c>
      <c r="CT80" s="548">
        <f t="shared" si="23"/>
        <v>1.9370909436457791</v>
      </c>
      <c r="CU80" s="548">
        <f t="shared" si="23"/>
        <v>1.9370909436457797</v>
      </c>
      <c r="CV80" s="548">
        <f t="shared" si="23"/>
        <v>1.9370909436457793</v>
      </c>
      <c r="CW80" s="548">
        <f t="shared" si="23"/>
        <v>1.9370909436457799</v>
      </c>
      <c r="CX80" s="548">
        <f t="shared" si="23"/>
        <v>1.9370909436457797</v>
      </c>
      <c r="CY80" s="548">
        <f t="shared" si="23"/>
        <v>1.9370909436457795</v>
      </c>
      <c r="CZ80" s="548">
        <f t="shared" si="23"/>
        <v>1.9370909436457793</v>
      </c>
      <c r="DA80" s="548">
        <f t="shared" si="23"/>
        <v>1.9370909436458112</v>
      </c>
      <c r="DB80" s="548">
        <f t="shared" si="23"/>
        <v>2.5806470334715859</v>
      </c>
      <c r="DC80" s="548">
        <f t="shared" si="23"/>
        <v>3.880137985885717</v>
      </c>
      <c r="DD80" s="548">
        <f t="shared" si="23"/>
        <v>7.7888153995057978</v>
      </c>
      <c r="DE80" s="548">
        <f t="shared" si="23"/>
        <v>0</v>
      </c>
      <c r="DF80" s="548">
        <f t="shared" si="23"/>
        <v>0</v>
      </c>
      <c r="DG80" s="548">
        <f t="shared" si="23"/>
        <v>0</v>
      </c>
      <c r="DH80" s="548">
        <f t="shared" si="23"/>
        <v>0</v>
      </c>
      <c r="DI80" s="548">
        <f t="shared" si="23"/>
        <v>0</v>
      </c>
      <c r="DJ80" s="548">
        <f t="shared" si="23"/>
        <v>0</v>
      </c>
      <c r="DK80" s="548">
        <f t="shared" si="23"/>
        <v>0</v>
      </c>
      <c r="DL80" s="548">
        <f t="shared" si="23"/>
        <v>0</v>
      </c>
      <c r="DM80" s="548">
        <f t="shared" si="23"/>
        <v>0</v>
      </c>
      <c r="DN80" s="548">
        <f t="shared" si="23"/>
        <v>0</v>
      </c>
      <c r="DO80" s="548">
        <f t="shared" si="23"/>
        <v>0</v>
      </c>
      <c r="DP80" s="548">
        <f t="shared" si="23"/>
        <v>0</v>
      </c>
      <c r="DQ80" s="548">
        <f t="shared" si="23"/>
        <v>0</v>
      </c>
      <c r="DR80" s="548">
        <f t="shared" si="23"/>
        <v>0</v>
      </c>
      <c r="DS80" s="548">
        <f t="shared" si="23"/>
        <v>0</v>
      </c>
      <c r="DT80" s="548">
        <f t="shared" si="23"/>
        <v>0</v>
      </c>
      <c r="DU80" s="548">
        <f t="shared" si="23"/>
        <v>0</v>
      </c>
      <c r="DV80" s="548">
        <f t="shared" si="23"/>
        <v>0</v>
      </c>
      <c r="DW80" s="548">
        <f t="shared" si="23"/>
        <v>0</v>
      </c>
      <c r="DX80" s="548">
        <f t="shared" si="23"/>
        <v>0</v>
      </c>
      <c r="DY80" s="548">
        <f t="shared" si="23"/>
        <v>0</v>
      </c>
      <c r="DZ80" s="548">
        <f t="shared" si="23"/>
        <v>0</v>
      </c>
      <c r="EA80" s="548">
        <f t="shared" si="23"/>
        <v>0</v>
      </c>
      <c r="EB80" s="548">
        <f t="shared" si="23"/>
        <v>0</v>
      </c>
      <c r="EC80" s="548">
        <f t="shared" si="23"/>
        <v>0</v>
      </c>
      <c r="ED80" s="548">
        <f t="shared" si="23"/>
        <v>0</v>
      </c>
      <c r="EE80" s="548">
        <f t="shared" si="23"/>
        <v>0</v>
      </c>
      <c r="EF80" s="548">
        <f t="shared" si="23"/>
        <v>0</v>
      </c>
      <c r="EG80" s="548">
        <f t="shared" si="23"/>
        <v>0</v>
      </c>
    </row>
    <row r="81" spans="5:137" ht="12.75">
      <c r="E81" s="538" t="str">
        <f>E$75</f>
        <v>Lock-up - full 12-month window flag</v>
      </c>
      <c r="G81" s="539" t="str">
        <f>G$75</f>
        <v>flag</v>
      </c>
      <c r="H81" s="539">
        <f>H$75</f>
        <v>97</v>
      </c>
      <c r="J81" s="539">
        <f t="shared" si="24" ref="J81:EG81">J$75</f>
        <v>0</v>
      </c>
      <c r="K81" s="539">
        <f t="shared" si="24"/>
        <v>0</v>
      </c>
      <c r="L81" s="539">
        <f t="shared" si="24"/>
        <v>0</v>
      </c>
      <c r="M81" s="539">
        <f t="shared" si="24"/>
        <v>0</v>
      </c>
      <c r="N81" s="539">
        <f t="shared" si="24"/>
        <v>0</v>
      </c>
      <c r="O81" s="539">
        <f t="shared" si="24"/>
        <v>0</v>
      </c>
      <c r="P81" s="539">
        <f t="shared" si="24"/>
        <v>0</v>
      </c>
      <c r="Q81" s="539">
        <f t="shared" si="24"/>
        <v>0</v>
      </c>
      <c r="R81" s="539">
        <f t="shared" si="24"/>
        <v>0</v>
      </c>
      <c r="S81" s="539">
        <f t="shared" si="24"/>
        <v>0</v>
      </c>
      <c r="T81" s="539">
        <f t="shared" si="24"/>
        <v>0</v>
      </c>
      <c r="U81" s="539">
        <f t="shared" si="24"/>
        <v>0</v>
      </c>
      <c r="V81" s="539">
        <f t="shared" si="24"/>
        <v>0</v>
      </c>
      <c r="W81" s="539">
        <f t="shared" si="24"/>
        <v>0</v>
      </c>
      <c r="X81" s="539">
        <f t="shared" si="24"/>
        <v>0</v>
      </c>
      <c r="Y81" s="539">
        <f t="shared" si="24"/>
        <v>0</v>
      </c>
      <c r="Z81" s="539">
        <f t="shared" si="24"/>
        <v>0</v>
      </c>
      <c r="AA81" s="539">
        <f t="shared" si="24"/>
        <v>0</v>
      </c>
      <c r="AB81" s="539">
        <f t="shared" si="24"/>
        <v>0</v>
      </c>
      <c r="AC81" s="539">
        <f t="shared" si="24"/>
        <v>0</v>
      </c>
      <c r="AD81" s="539">
        <f t="shared" si="24"/>
        <v>0</v>
      </c>
      <c r="AE81" s="539">
        <f t="shared" si="24"/>
        <v>0</v>
      </c>
      <c r="AF81" s="539">
        <f t="shared" si="24"/>
        <v>0</v>
      </c>
      <c r="AG81" s="539">
        <f t="shared" si="24"/>
        <v>0</v>
      </c>
      <c r="AH81" s="539">
        <f t="shared" si="24"/>
        <v>0</v>
      </c>
      <c r="AI81" s="539">
        <f t="shared" si="24"/>
        <v>0</v>
      </c>
      <c r="AJ81" s="539">
        <f t="shared" si="24"/>
        <v>0</v>
      </c>
      <c r="AK81" s="539">
        <f t="shared" si="24"/>
        <v>1</v>
      </c>
      <c r="AL81" s="539">
        <f t="shared" si="24"/>
        <v>1</v>
      </c>
      <c r="AM81" s="539">
        <f t="shared" si="24"/>
        <v>1</v>
      </c>
      <c r="AN81" s="539">
        <f t="shared" si="24"/>
        <v>1</v>
      </c>
      <c r="AO81" s="539">
        <f t="shared" si="24"/>
        <v>1</v>
      </c>
      <c r="AP81" s="539">
        <f t="shared" si="24"/>
        <v>1</v>
      </c>
      <c r="AQ81" s="539">
        <f t="shared" si="24"/>
        <v>1</v>
      </c>
      <c r="AR81" s="539">
        <f t="shared" si="24"/>
        <v>1</v>
      </c>
      <c r="AS81" s="539">
        <f t="shared" si="24"/>
        <v>1</v>
      </c>
      <c r="AT81" s="539">
        <f t="shared" si="24"/>
        <v>1</v>
      </c>
      <c r="AU81" s="539">
        <f t="shared" si="24"/>
        <v>1</v>
      </c>
      <c r="AV81" s="539">
        <f t="shared" si="24"/>
        <v>1</v>
      </c>
      <c r="AW81" s="539">
        <f t="shared" si="24"/>
        <v>1</v>
      </c>
      <c r="AX81" s="539">
        <f t="shared" si="24"/>
        <v>1</v>
      </c>
      <c r="AY81" s="539">
        <f t="shared" si="24"/>
        <v>1</v>
      </c>
      <c r="AZ81" s="539">
        <f t="shared" si="24"/>
        <v>1</v>
      </c>
      <c r="BA81" s="539">
        <f t="shared" si="24"/>
        <v>1</v>
      </c>
      <c r="BB81" s="539">
        <f t="shared" si="24"/>
        <v>1</v>
      </c>
      <c r="BC81" s="539">
        <f t="shared" si="24"/>
        <v>1</v>
      </c>
      <c r="BD81" s="539">
        <f t="shared" si="24"/>
        <v>1</v>
      </c>
      <c r="BE81" s="539">
        <f t="shared" si="24"/>
        <v>1</v>
      </c>
      <c r="BF81" s="539">
        <f t="shared" si="24"/>
        <v>1</v>
      </c>
      <c r="BG81" s="539">
        <f t="shared" si="24"/>
        <v>1</v>
      </c>
      <c r="BH81" s="539">
        <f t="shared" si="24"/>
        <v>1</v>
      </c>
      <c r="BI81" s="539">
        <f t="shared" si="24"/>
        <v>1</v>
      </c>
      <c r="BJ81" s="539">
        <f t="shared" si="24"/>
        <v>1</v>
      </c>
      <c r="BK81" s="539">
        <f t="shared" si="24"/>
        <v>1</v>
      </c>
      <c r="BL81" s="539">
        <f t="shared" si="24"/>
        <v>1</v>
      </c>
      <c r="BM81" s="539">
        <f t="shared" si="24"/>
        <v>1</v>
      </c>
      <c r="BN81" s="539">
        <f t="shared" si="24"/>
        <v>1</v>
      </c>
      <c r="BO81" s="539">
        <f t="shared" si="24"/>
        <v>1</v>
      </c>
      <c r="BP81" s="539">
        <f t="shared" si="24"/>
        <v>1</v>
      </c>
      <c r="BQ81" s="539">
        <f t="shared" si="24"/>
        <v>1</v>
      </c>
      <c r="BR81" s="539">
        <f t="shared" si="24"/>
        <v>1</v>
      </c>
      <c r="BS81" s="539">
        <f t="shared" si="24"/>
        <v>1</v>
      </c>
      <c r="BT81" s="539">
        <f t="shared" si="24"/>
        <v>1</v>
      </c>
      <c r="BU81" s="539">
        <f t="shared" si="24"/>
        <v>1</v>
      </c>
      <c r="BV81" s="539">
        <f t="shared" si="24"/>
        <v>1</v>
      </c>
      <c r="BW81" s="539">
        <f t="shared" si="24"/>
        <v>1</v>
      </c>
      <c r="BX81" s="539">
        <f t="shared" si="24"/>
        <v>1</v>
      </c>
      <c r="BY81" s="539">
        <f t="shared" si="24"/>
        <v>1</v>
      </c>
      <c r="BZ81" s="539">
        <f t="shared" si="24"/>
        <v>1</v>
      </c>
      <c r="CA81" s="539">
        <f t="shared" si="24"/>
        <v>1</v>
      </c>
      <c r="CB81" s="539">
        <f t="shared" si="24"/>
        <v>1</v>
      </c>
      <c r="CC81" s="539">
        <f t="shared" si="24"/>
        <v>1</v>
      </c>
      <c r="CD81" s="539">
        <f t="shared" si="24"/>
        <v>1</v>
      </c>
      <c r="CE81" s="539">
        <f t="shared" si="24"/>
        <v>1</v>
      </c>
      <c r="CF81" s="539">
        <f t="shared" si="24"/>
        <v>1</v>
      </c>
      <c r="CG81" s="539">
        <f t="shared" si="24"/>
        <v>1</v>
      </c>
      <c r="CH81" s="539">
        <f t="shared" si="24"/>
        <v>1</v>
      </c>
      <c r="CI81" s="539">
        <f t="shared" si="24"/>
        <v>1</v>
      </c>
      <c r="CJ81" s="539">
        <f t="shared" si="24"/>
        <v>1</v>
      </c>
      <c r="CK81" s="539">
        <f t="shared" si="24"/>
        <v>1</v>
      </c>
      <c r="CL81" s="539">
        <f t="shared" si="24"/>
        <v>1</v>
      </c>
      <c r="CM81" s="539">
        <f t="shared" si="24"/>
        <v>1</v>
      </c>
      <c r="CN81" s="539">
        <f t="shared" si="24"/>
        <v>1</v>
      </c>
      <c r="CO81" s="539">
        <f t="shared" si="24"/>
        <v>1</v>
      </c>
      <c r="CP81" s="539">
        <f t="shared" si="24"/>
        <v>1</v>
      </c>
      <c r="CQ81" s="539">
        <f t="shared" si="24"/>
        <v>1</v>
      </c>
      <c r="CR81" s="539">
        <f t="shared" si="24"/>
        <v>1</v>
      </c>
      <c r="CS81" s="539">
        <f t="shared" si="24"/>
        <v>1</v>
      </c>
      <c r="CT81" s="539">
        <f t="shared" si="24"/>
        <v>1</v>
      </c>
      <c r="CU81" s="539">
        <f t="shared" si="24"/>
        <v>1</v>
      </c>
      <c r="CV81" s="539">
        <f t="shared" si="24"/>
        <v>1</v>
      </c>
      <c r="CW81" s="539">
        <f t="shared" si="24"/>
        <v>1</v>
      </c>
      <c r="CX81" s="539">
        <f t="shared" si="24"/>
        <v>1</v>
      </c>
      <c r="CY81" s="539">
        <f t="shared" si="24"/>
        <v>1</v>
      </c>
      <c r="CZ81" s="539">
        <f t="shared" si="24"/>
        <v>1</v>
      </c>
      <c r="DA81" s="539">
        <f t="shared" si="24"/>
        <v>1</v>
      </c>
      <c r="DB81" s="539">
        <f t="shared" si="24"/>
        <v>1</v>
      </c>
      <c r="DC81" s="539">
        <f t="shared" si="24"/>
        <v>1</v>
      </c>
      <c r="DD81" s="539">
        <f t="shared" si="24"/>
        <v>1</v>
      </c>
      <c r="DE81" s="539">
        <f t="shared" si="24"/>
        <v>1</v>
      </c>
      <c r="DF81" s="539">
        <f t="shared" si="24"/>
        <v>1</v>
      </c>
      <c r="DG81" s="539">
        <f t="shared" si="24"/>
        <v>1</v>
      </c>
      <c r="DH81" s="539">
        <f t="shared" si="24"/>
        <v>1</v>
      </c>
      <c r="DI81" s="539">
        <f t="shared" si="24"/>
        <v>1</v>
      </c>
      <c r="DJ81" s="539">
        <f t="shared" si="24"/>
        <v>1</v>
      </c>
      <c r="DK81" s="539">
        <f t="shared" si="24"/>
        <v>1</v>
      </c>
      <c r="DL81" s="539">
        <f t="shared" si="24"/>
        <v>1</v>
      </c>
      <c r="DM81" s="539">
        <f t="shared" si="24"/>
        <v>1</v>
      </c>
      <c r="DN81" s="539">
        <f t="shared" si="24"/>
        <v>1</v>
      </c>
      <c r="DO81" s="539">
        <f t="shared" si="24"/>
        <v>1</v>
      </c>
      <c r="DP81" s="539">
        <f t="shared" si="24"/>
        <v>1</v>
      </c>
      <c r="DQ81" s="539">
        <f t="shared" si="24"/>
        <v>1</v>
      </c>
      <c r="DR81" s="539">
        <f t="shared" si="24"/>
        <v>1</v>
      </c>
      <c r="DS81" s="539">
        <f t="shared" si="24"/>
        <v>1</v>
      </c>
      <c r="DT81" s="539">
        <f t="shared" si="24"/>
        <v>1</v>
      </c>
      <c r="DU81" s="539">
        <f t="shared" si="24"/>
        <v>1</v>
      </c>
      <c r="DV81" s="539">
        <f t="shared" si="24"/>
        <v>1</v>
      </c>
      <c r="DW81" s="539">
        <f t="shared" si="24"/>
        <v>1</v>
      </c>
      <c r="DX81" s="539">
        <f t="shared" si="24"/>
        <v>1</v>
      </c>
      <c r="DY81" s="539">
        <f t="shared" si="24"/>
        <v>1</v>
      </c>
      <c r="DZ81" s="539">
        <f t="shared" si="24"/>
        <v>1</v>
      </c>
      <c r="EA81" s="539">
        <f t="shared" si="24"/>
        <v>1</v>
      </c>
      <c r="EB81" s="539">
        <f t="shared" si="24"/>
        <v>1</v>
      </c>
      <c r="EC81" s="539">
        <f t="shared" si="24"/>
        <v>1</v>
      </c>
      <c r="ED81" s="539">
        <f t="shared" si="24"/>
        <v>0</v>
      </c>
      <c r="EE81" s="539">
        <f t="shared" si="24"/>
        <v>0</v>
      </c>
      <c r="EF81" s="539">
        <f t="shared" si="24"/>
        <v>0</v>
      </c>
      <c r="EG81" s="539">
        <f t="shared" si="24"/>
        <v>0</v>
      </c>
    </row>
    <row r="82" spans="5:137" ht="12.75">
      <c r="E82" s="538" t="s">
        <v>409</v>
      </c>
      <c r="G82" s="539" t="s">
        <v>158</v>
      </c>
      <c r="H82" s="539">
        <f>SUM(J82:EG82)</f>
        <v>0</v>
      </c>
      <c r="J82" s="539">
        <f t="shared" si="25" ref="J82:EG82">J81*IF(AND(J79&gt;$F78,J80&lt;$F77),1,0)</f>
        <v>0</v>
      </c>
      <c r="K82" s="539">
        <f t="shared" si="25"/>
        <v>0</v>
      </c>
      <c r="L82" s="539">
        <f t="shared" si="25"/>
        <v>0</v>
      </c>
      <c r="M82" s="539">
        <f t="shared" si="25"/>
        <v>0</v>
      </c>
      <c r="N82" s="539">
        <f t="shared" si="25"/>
        <v>0</v>
      </c>
      <c r="O82" s="539">
        <f t="shared" si="25"/>
        <v>0</v>
      </c>
      <c r="P82" s="539">
        <f t="shared" si="25"/>
        <v>0</v>
      </c>
      <c r="Q82" s="539">
        <f t="shared" si="25"/>
        <v>0</v>
      </c>
      <c r="R82" s="539">
        <f t="shared" si="25"/>
        <v>0</v>
      </c>
      <c r="S82" s="539">
        <f t="shared" si="25"/>
        <v>0</v>
      </c>
      <c r="T82" s="539">
        <f t="shared" si="25"/>
        <v>0</v>
      </c>
      <c r="U82" s="539">
        <f t="shared" si="25"/>
        <v>0</v>
      </c>
      <c r="V82" s="539">
        <f t="shared" si="25"/>
        <v>0</v>
      </c>
      <c r="W82" s="539">
        <f t="shared" si="25"/>
        <v>0</v>
      </c>
      <c r="X82" s="539">
        <f t="shared" si="25"/>
        <v>0</v>
      </c>
      <c r="Y82" s="539">
        <f t="shared" si="25"/>
        <v>0</v>
      </c>
      <c r="Z82" s="539">
        <f t="shared" si="25"/>
        <v>0</v>
      </c>
      <c r="AA82" s="539">
        <f t="shared" si="25"/>
        <v>0</v>
      </c>
      <c r="AB82" s="539">
        <f t="shared" si="25"/>
        <v>0</v>
      </c>
      <c r="AC82" s="539">
        <f t="shared" si="25"/>
        <v>0</v>
      </c>
      <c r="AD82" s="539">
        <f t="shared" si="25"/>
        <v>0</v>
      </c>
      <c r="AE82" s="539">
        <f t="shared" si="25"/>
        <v>0</v>
      </c>
      <c r="AF82" s="539">
        <f t="shared" si="25"/>
        <v>0</v>
      </c>
      <c r="AG82" s="539">
        <f t="shared" si="25"/>
        <v>0</v>
      </c>
      <c r="AH82" s="539">
        <f t="shared" si="25"/>
        <v>0</v>
      </c>
      <c r="AI82" s="539">
        <f t="shared" si="25"/>
        <v>0</v>
      </c>
      <c r="AJ82" s="539">
        <f t="shared" si="25"/>
        <v>0</v>
      </c>
      <c r="AK82" s="539">
        <f t="shared" si="25"/>
        <v>0</v>
      </c>
      <c r="AL82" s="539">
        <f t="shared" si="25"/>
        <v>0</v>
      </c>
      <c r="AM82" s="539">
        <f t="shared" si="25"/>
        <v>0</v>
      </c>
      <c r="AN82" s="539">
        <f t="shared" si="25"/>
        <v>0</v>
      </c>
      <c r="AO82" s="539">
        <f t="shared" si="25"/>
        <v>0</v>
      </c>
      <c r="AP82" s="539">
        <f t="shared" si="25"/>
        <v>0</v>
      </c>
      <c r="AQ82" s="539">
        <f t="shared" si="25"/>
        <v>0</v>
      </c>
      <c r="AR82" s="539">
        <f t="shared" si="25"/>
        <v>0</v>
      </c>
      <c r="AS82" s="539">
        <f t="shared" si="25"/>
        <v>0</v>
      </c>
      <c r="AT82" s="539">
        <f t="shared" si="25"/>
        <v>0</v>
      </c>
      <c r="AU82" s="539">
        <f t="shared" si="25"/>
        <v>0</v>
      </c>
      <c r="AV82" s="539">
        <f t="shared" si="25"/>
        <v>0</v>
      </c>
      <c r="AW82" s="539">
        <f t="shared" si="25"/>
        <v>0</v>
      </c>
      <c r="AX82" s="539">
        <f t="shared" si="25"/>
        <v>0</v>
      </c>
      <c r="AY82" s="539">
        <f t="shared" si="25"/>
        <v>0</v>
      </c>
      <c r="AZ82" s="539">
        <f t="shared" si="25"/>
        <v>0</v>
      </c>
      <c r="BA82" s="539">
        <f t="shared" si="25"/>
        <v>0</v>
      </c>
      <c r="BB82" s="539">
        <f t="shared" si="25"/>
        <v>0</v>
      </c>
      <c r="BC82" s="539">
        <f t="shared" si="25"/>
        <v>0</v>
      </c>
      <c r="BD82" s="539">
        <f t="shared" si="25"/>
        <v>0</v>
      </c>
      <c r="BE82" s="539">
        <f t="shared" si="25"/>
        <v>0</v>
      </c>
      <c r="BF82" s="539">
        <f t="shared" si="25"/>
        <v>0</v>
      </c>
      <c r="BG82" s="539">
        <f t="shared" si="25"/>
        <v>0</v>
      </c>
      <c r="BH82" s="539">
        <f t="shared" si="25"/>
        <v>0</v>
      </c>
      <c r="BI82" s="539">
        <f t="shared" si="25"/>
        <v>0</v>
      </c>
      <c r="BJ82" s="539">
        <f t="shared" si="25"/>
        <v>0</v>
      </c>
      <c r="BK82" s="539">
        <f t="shared" si="25"/>
        <v>0</v>
      </c>
      <c r="BL82" s="539">
        <f t="shared" si="25"/>
        <v>0</v>
      </c>
      <c r="BM82" s="539">
        <f t="shared" si="25"/>
        <v>0</v>
      </c>
      <c r="BN82" s="539">
        <f t="shared" si="25"/>
        <v>0</v>
      </c>
      <c r="BO82" s="539">
        <f t="shared" si="25"/>
        <v>0</v>
      </c>
      <c r="BP82" s="539">
        <f t="shared" si="25"/>
        <v>0</v>
      </c>
      <c r="BQ82" s="539">
        <f t="shared" si="25"/>
        <v>0</v>
      </c>
      <c r="BR82" s="539">
        <f t="shared" si="25"/>
        <v>0</v>
      </c>
      <c r="BS82" s="539">
        <f t="shared" si="25"/>
        <v>0</v>
      </c>
      <c r="BT82" s="539">
        <f t="shared" si="25"/>
        <v>0</v>
      </c>
      <c r="BU82" s="539">
        <f t="shared" si="25"/>
        <v>0</v>
      </c>
      <c r="BV82" s="539">
        <f t="shared" si="25"/>
        <v>0</v>
      </c>
      <c r="BW82" s="539">
        <f t="shared" si="25"/>
        <v>0</v>
      </c>
      <c r="BX82" s="539">
        <f t="shared" si="25"/>
        <v>0</v>
      </c>
      <c r="BY82" s="539">
        <f t="shared" si="25"/>
        <v>0</v>
      </c>
      <c r="BZ82" s="539">
        <f t="shared" si="25"/>
        <v>0</v>
      </c>
      <c r="CA82" s="539">
        <f t="shared" si="25"/>
        <v>0</v>
      </c>
      <c r="CB82" s="539">
        <f t="shared" si="25"/>
        <v>0</v>
      </c>
      <c r="CC82" s="539">
        <f t="shared" si="25"/>
        <v>0</v>
      </c>
      <c r="CD82" s="539">
        <f t="shared" si="25"/>
        <v>0</v>
      </c>
      <c r="CE82" s="539">
        <f t="shared" si="25"/>
        <v>0</v>
      </c>
      <c r="CF82" s="539">
        <f t="shared" si="25"/>
        <v>0</v>
      </c>
      <c r="CG82" s="539">
        <f t="shared" si="25"/>
        <v>0</v>
      </c>
      <c r="CH82" s="539">
        <f t="shared" si="25"/>
        <v>0</v>
      </c>
      <c r="CI82" s="539">
        <f t="shared" si="25"/>
        <v>0</v>
      </c>
      <c r="CJ82" s="539">
        <f t="shared" si="25"/>
        <v>0</v>
      </c>
      <c r="CK82" s="539">
        <f t="shared" si="25"/>
        <v>0</v>
      </c>
      <c r="CL82" s="539">
        <f t="shared" si="25"/>
        <v>0</v>
      </c>
      <c r="CM82" s="539">
        <f t="shared" si="25"/>
        <v>0</v>
      </c>
      <c r="CN82" s="539">
        <f t="shared" si="25"/>
        <v>0</v>
      </c>
      <c r="CO82" s="539">
        <f t="shared" si="25"/>
        <v>0</v>
      </c>
      <c r="CP82" s="539">
        <f t="shared" si="25"/>
        <v>0</v>
      </c>
      <c r="CQ82" s="539">
        <f t="shared" si="25"/>
        <v>0</v>
      </c>
      <c r="CR82" s="539">
        <f t="shared" si="25"/>
        <v>0</v>
      </c>
      <c r="CS82" s="539">
        <f t="shared" si="25"/>
        <v>0</v>
      </c>
      <c r="CT82" s="539">
        <f t="shared" si="25"/>
        <v>0</v>
      </c>
      <c r="CU82" s="539">
        <f t="shared" si="25"/>
        <v>0</v>
      </c>
      <c r="CV82" s="539">
        <f t="shared" si="25"/>
        <v>0</v>
      </c>
      <c r="CW82" s="539">
        <f t="shared" si="25"/>
        <v>0</v>
      </c>
      <c r="CX82" s="539">
        <f t="shared" si="25"/>
        <v>0</v>
      </c>
      <c r="CY82" s="539">
        <f t="shared" si="25"/>
        <v>0</v>
      </c>
      <c r="CZ82" s="539">
        <f t="shared" si="25"/>
        <v>0</v>
      </c>
      <c r="DA82" s="539">
        <f t="shared" si="25"/>
        <v>0</v>
      </c>
      <c r="DB82" s="539">
        <f t="shared" si="25"/>
        <v>0</v>
      </c>
      <c r="DC82" s="539">
        <f t="shared" si="25"/>
        <v>0</v>
      </c>
      <c r="DD82" s="539">
        <f t="shared" si="25"/>
        <v>0</v>
      </c>
      <c r="DE82" s="539">
        <f t="shared" si="25"/>
        <v>0</v>
      </c>
      <c r="DF82" s="539">
        <f t="shared" si="25"/>
        <v>0</v>
      </c>
      <c r="DG82" s="539">
        <f t="shared" si="25"/>
        <v>0</v>
      </c>
      <c r="DH82" s="539">
        <f t="shared" si="25"/>
        <v>0</v>
      </c>
      <c r="DI82" s="539">
        <f t="shared" si="25"/>
        <v>0</v>
      </c>
      <c r="DJ82" s="539">
        <f t="shared" si="25"/>
        <v>0</v>
      </c>
      <c r="DK82" s="539">
        <f t="shared" si="25"/>
        <v>0</v>
      </c>
      <c r="DL82" s="539">
        <f t="shared" si="25"/>
        <v>0</v>
      </c>
      <c r="DM82" s="539">
        <f t="shared" si="25"/>
        <v>0</v>
      </c>
      <c r="DN82" s="539">
        <f t="shared" si="25"/>
        <v>0</v>
      </c>
      <c r="DO82" s="539">
        <f t="shared" si="25"/>
        <v>0</v>
      </c>
      <c r="DP82" s="539">
        <f t="shared" si="25"/>
        <v>0</v>
      </c>
      <c r="DQ82" s="539">
        <f t="shared" si="25"/>
        <v>0</v>
      </c>
      <c r="DR82" s="539">
        <f t="shared" si="25"/>
        <v>0</v>
      </c>
      <c r="DS82" s="539">
        <f t="shared" si="25"/>
        <v>0</v>
      </c>
      <c r="DT82" s="539">
        <f t="shared" si="25"/>
        <v>0</v>
      </c>
      <c r="DU82" s="539">
        <f t="shared" si="25"/>
        <v>0</v>
      </c>
      <c r="DV82" s="539">
        <f t="shared" si="25"/>
        <v>0</v>
      </c>
      <c r="DW82" s="539">
        <f t="shared" si="25"/>
        <v>0</v>
      </c>
      <c r="DX82" s="539">
        <f t="shared" si="25"/>
        <v>0</v>
      </c>
      <c r="DY82" s="539">
        <f t="shared" si="25"/>
        <v>0</v>
      </c>
      <c r="DZ82" s="539">
        <f t="shared" si="25"/>
        <v>0</v>
      </c>
      <c r="EA82" s="539">
        <f t="shared" si="25"/>
        <v>0</v>
      </c>
      <c r="EB82" s="539">
        <f t="shared" si="25"/>
        <v>0</v>
      </c>
      <c r="EC82" s="539">
        <f t="shared" si="25"/>
        <v>0</v>
      </c>
      <c r="ED82" s="539">
        <f t="shared" si="25"/>
        <v>0</v>
      </c>
      <c r="EE82" s="539">
        <f t="shared" si="25"/>
        <v>0</v>
      </c>
      <c r="EF82" s="539">
        <f t="shared" si="25"/>
        <v>0</v>
      </c>
      <c r="EG82" s="539">
        <f t="shared" si="25"/>
        <v>0</v>
      </c>
    </row>
    <row r="85" spans="1:1" ht="12.75">
      <c r="A85" s="534" t="s">
        <v>410</v>
      </c>
    </row>
    <row r="87" spans="5:7" ht="12.75">
      <c r="E87" s="535" t="str">
        <f>InpC!E$105</f>
        <v>Cash sweep - share of cash after junior debt service</v>
      </c>
      <c r="F87" s="542">
        <f>InpC!F$105</f>
        <v>0</v>
      </c>
      <c r="G87" s="542" t="str">
        <f>InpC!G$105</f>
        <v>%</v>
      </c>
    </row>
    <row r="88" spans="5:7" ht="12.75">
      <c r="E88" s="535" t="str">
        <f>InpC!E$106</f>
        <v>Cash sweep - full sweep while locked up</v>
      </c>
      <c r="F88" s="537">
        <f>InpC!F$106</f>
        <v>1</v>
      </c>
      <c r="G88" s="537" t="str">
        <f>InpC!G$106</f>
        <v>switch</v>
      </c>
    </row>
    <row r="89" spans="5:7" ht="12.75">
      <c r="E89" s="535" t="str">
        <f>InpC!E$147</f>
        <v>Lock-up sweep - on</v>
      </c>
      <c r="F89" s="537">
        <f>InpC!F$147</f>
        <v>1</v>
      </c>
      <c r="G89" s="537" t="str">
        <f>InpC!G$147</f>
        <v>switch</v>
      </c>
    </row>
    <row r="90" spans="5:137" ht="12.75">
      <c r="E90" s="538" t="str">
        <f>E$82</f>
        <v>Lock-up - distributions blocked flag</v>
      </c>
      <c r="G90" s="539" t="str">
        <f>G$82</f>
        <v>flag</v>
      </c>
      <c r="H90" s="539">
        <f>H$82</f>
        <v>0</v>
      </c>
      <c r="J90" s="539">
        <f t="shared" si="26" ref="J90:EG90">J$82</f>
        <v>0</v>
      </c>
      <c r="K90" s="539">
        <f t="shared" si="26"/>
        <v>0</v>
      </c>
      <c r="L90" s="539">
        <f t="shared" si="26"/>
        <v>0</v>
      </c>
      <c r="M90" s="539">
        <f t="shared" si="26"/>
        <v>0</v>
      </c>
      <c r="N90" s="539">
        <f t="shared" si="26"/>
        <v>0</v>
      </c>
      <c r="O90" s="539">
        <f t="shared" si="26"/>
        <v>0</v>
      </c>
      <c r="P90" s="539">
        <f t="shared" si="26"/>
        <v>0</v>
      </c>
      <c r="Q90" s="539">
        <f t="shared" si="26"/>
        <v>0</v>
      </c>
      <c r="R90" s="539">
        <f t="shared" si="26"/>
        <v>0</v>
      </c>
      <c r="S90" s="539">
        <f t="shared" si="26"/>
        <v>0</v>
      </c>
      <c r="T90" s="539">
        <f t="shared" si="26"/>
        <v>0</v>
      </c>
      <c r="U90" s="539">
        <f t="shared" si="26"/>
        <v>0</v>
      </c>
      <c r="V90" s="539">
        <f t="shared" si="26"/>
        <v>0</v>
      </c>
      <c r="W90" s="539">
        <f t="shared" si="26"/>
        <v>0</v>
      </c>
      <c r="X90" s="539">
        <f t="shared" si="26"/>
        <v>0</v>
      </c>
      <c r="Y90" s="539">
        <f t="shared" si="26"/>
        <v>0</v>
      </c>
      <c r="Z90" s="539">
        <f t="shared" si="26"/>
        <v>0</v>
      </c>
      <c r="AA90" s="539">
        <f t="shared" si="26"/>
        <v>0</v>
      </c>
      <c r="AB90" s="539">
        <f t="shared" si="26"/>
        <v>0</v>
      </c>
      <c r="AC90" s="539">
        <f t="shared" si="26"/>
        <v>0</v>
      </c>
      <c r="AD90" s="539">
        <f t="shared" si="26"/>
        <v>0</v>
      </c>
      <c r="AE90" s="539">
        <f t="shared" si="26"/>
        <v>0</v>
      </c>
      <c r="AF90" s="539">
        <f t="shared" si="26"/>
        <v>0</v>
      </c>
      <c r="AG90" s="539">
        <f t="shared" si="26"/>
        <v>0</v>
      </c>
      <c r="AH90" s="539">
        <f t="shared" si="26"/>
        <v>0</v>
      </c>
      <c r="AI90" s="539">
        <f t="shared" si="26"/>
        <v>0</v>
      </c>
      <c r="AJ90" s="539">
        <f t="shared" si="26"/>
        <v>0</v>
      </c>
      <c r="AK90" s="539">
        <f t="shared" si="26"/>
        <v>0</v>
      </c>
      <c r="AL90" s="539">
        <f t="shared" si="26"/>
        <v>0</v>
      </c>
      <c r="AM90" s="539">
        <f t="shared" si="26"/>
        <v>0</v>
      </c>
      <c r="AN90" s="539">
        <f t="shared" si="26"/>
        <v>0</v>
      </c>
      <c r="AO90" s="539">
        <f t="shared" si="26"/>
        <v>0</v>
      </c>
      <c r="AP90" s="539">
        <f t="shared" si="26"/>
        <v>0</v>
      </c>
      <c r="AQ90" s="539">
        <f t="shared" si="26"/>
        <v>0</v>
      </c>
      <c r="AR90" s="539">
        <f t="shared" si="26"/>
        <v>0</v>
      </c>
      <c r="AS90" s="539">
        <f t="shared" si="26"/>
        <v>0</v>
      </c>
      <c r="AT90" s="539">
        <f t="shared" si="26"/>
        <v>0</v>
      </c>
      <c r="AU90" s="539">
        <f t="shared" si="26"/>
        <v>0</v>
      </c>
      <c r="AV90" s="539">
        <f t="shared" si="26"/>
        <v>0</v>
      </c>
      <c r="AW90" s="539">
        <f t="shared" si="26"/>
        <v>0</v>
      </c>
      <c r="AX90" s="539">
        <f t="shared" si="26"/>
        <v>0</v>
      </c>
      <c r="AY90" s="539">
        <f t="shared" si="26"/>
        <v>0</v>
      </c>
      <c r="AZ90" s="539">
        <f t="shared" si="26"/>
        <v>0</v>
      </c>
      <c r="BA90" s="539">
        <f t="shared" si="26"/>
        <v>0</v>
      </c>
      <c r="BB90" s="539">
        <f t="shared" si="26"/>
        <v>0</v>
      </c>
      <c r="BC90" s="539">
        <f t="shared" si="26"/>
        <v>0</v>
      </c>
      <c r="BD90" s="539">
        <f t="shared" si="26"/>
        <v>0</v>
      </c>
      <c r="BE90" s="539">
        <f t="shared" si="26"/>
        <v>0</v>
      </c>
      <c r="BF90" s="539">
        <f t="shared" si="26"/>
        <v>0</v>
      </c>
      <c r="BG90" s="539">
        <f t="shared" si="26"/>
        <v>0</v>
      </c>
      <c r="BH90" s="539">
        <f t="shared" si="26"/>
        <v>0</v>
      </c>
      <c r="BI90" s="539">
        <f t="shared" si="26"/>
        <v>0</v>
      </c>
      <c r="BJ90" s="539">
        <f t="shared" si="26"/>
        <v>0</v>
      </c>
      <c r="BK90" s="539">
        <f t="shared" si="26"/>
        <v>0</v>
      </c>
      <c r="BL90" s="539">
        <f t="shared" si="26"/>
        <v>0</v>
      </c>
      <c r="BM90" s="539">
        <f t="shared" si="26"/>
        <v>0</v>
      </c>
      <c r="BN90" s="539">
        <f t="shared" si="26"/>
        <v>0</v>
      </c>
      <c r="BO90" s="539">
        <f t="shared" si="26"/>
        <v>0</v>
      </c>
      <c r="BP90" s="539">
        <f t="shared" si="26"/>
        <v>0</v>
      </c>
      <c r="BQ90" s="539">
        <f t="shared" si="26"/>
        <v>0</v>
      </c>
      <c r="BR90" s="539">
        <f t="shared" si="26"/>
        <v>0</v>
      </c>
      <c r="BS90" s="539">
        <f t="shared" si="26"/>
        <v>0</v>
      </c>
      <c r="BT90" s="539">
        <f t="shared" si="26"/>
        <v>0</v>
      </c>
      <c r="BU90" s="539">
        <f t="shared" si="26"/>
        <v>0</v>
      </c>
      <c r="BV90" s="539">
        <f t="shared" si="26"/>
        <v>0</v>
      </c>
      <c r="BW90" s="539">
        <f t="shared" si="26"/>
        <v>0</v>
      </c>
      <c r="BX90" s="539">
        <f t="shared" si="26"/>
        <v>0</v>
      </c>
      <c r="BY90" s="539">
        <f t="shared" si="26"/>
        <v>0</v>
      </c>
      <c r="BZ90" s="539">
        <f t="shared" si="26"/>
        <v>0</v>
      </c>
      <c r="CA90" s="539">
        <f t="shared" si="26"/>
        <v>0</v>
      </c>
      <c r="CB90" s="539">
        <f t="shared" si="26"/>
        <v>0</v>
      </c>
      <c r="CC90" s="539">
        <f t="shared" si="26"/>
        <v>0</v>
      </c>
      <c r="CD90" s="539">
        <f t="shared" si="26"/>
        <v>0</v>
      </c>
      <c r="CE90" s="539">
        <f t="shared" si="26"/>
        <v>0</v>
      </c>
      <c r="CF90" s="539">
        <f t="shared" si="26"/>
        <v>0</v>
      </c>
      <c r="CG90" s="539">
        <f t="shared" si="26"/>
        <v>0</v>
      </c>
      <c r="CH90" s="539">
        <f t="shared" si="26"/>
        <v>0</v>
      </c>
      <c r="CI90" s="539">
        <f t="shared" si="26"/>
        <v>0</v>
      </c>
      <c r="CJ90" s="539">
        <f t="shared" si="26"/>
        <v>0</v>
      </c>
      <c r="CK90" s="539">
        <f t="shared" si="26"/>
        <v>0</v>
      </c>
      <c r="CL90" s="539">
        <f t="shared" si="26"/>
        <v>0</v>
      </c>
      <c r="CM90" s="539">
        <f t="shared" si="26"/>
        <v>0</v>
      </c>
      <c r="CN90" s="539">
        <f t="shared" si="26"/>
        <v>0</v>
      </c>
      <c r="CO90" s="539">
        <f t="shared" si="26"/>
        <v>0</v>
      </c>
      <c r="CP90" s="539">
        <f t="shared" si="26"/>
        <v>0</v>
      </c>
      <c r="CQ90" s="539">
        <f t="shared" si="26"/>
        <v>0</v>
      </c>
      <c r="CR90" s="539">
        <f t="shared" si="26"/>
        <v>0</v>
      </c>
      <c r="CS90" s="539">
        <f t="shared" si="26"/>
        <v>0</v>
      </c>
      <c r="CT90" s="539">
        <f t="shared" si="26"/>
        <v>0</v>
      </c>
      <c r="CU90" s="539">
        <f t="shared" si="26"/>
        <v>0</v>
      </c>
      <c r="CV90" s="539">
        <f t="shared" si="26"/>
        <v>0</v>
      </c>
      <c r="CW90" s="539">
        <f t="shared" si="26"/>
        <v>0</v>
      </c>
      <c r="CX90" s="539">
        <f t="shared" si="26"/>
        <v>0</v>
      </c>
      <c r="CY90" s="539">
        <f t="shared" si="26"/>
        <v>0</v>
      </c>
      <c r="CZ90" s="539">
        <f t="shared" si="26"/>
        <v>0</v>
      </c>
      <c r="DA90" s="539">
        <f t="shared" si="26"/>
        <v>0</v>
      </c>
      <c r="DB90" s="539">
        <f t="shared" si="26"/>
        <v>0</v>
      </c>
      <c r="DC90" s="539">
        <f t="shared" si="26"/>
        <v>0</v>
      </c>
      <c r="DD90" s="539">
        <f t="shared" si="26"/>
        <v>0</v>
      </c>
      <c r="DE90" s="539">
        <f t="shared" si="26"/>
        <v>0</v>
      </c>
      <c r="DF90" s="539">
        <f t="shared" si="26"/>
        <v>0</v>
      </c>
      <c r="DG90" s="539">
        <f t="shared" si="26"/>
        <v>0</v>
      </c>
      <c r="DH90" s="539">
        <f t="shared" si="26"/>
        <v>0</v>
      </c>
      <c r="DI90" s="539">
        <f t="shared" si="26"/>
        <v>0</v>
      </c>
      <c r="DJ90" s="539">
        <f t="shared" si="26"/>
        <v>0</v>
      </c>
      <c r="DK90" s="539">
        <f t="shared" si="26"/>
        <v>0</v>
      </c>
      <c r="DL90" s="539">
        <f t="shared" si="26"/>
        <v>0</v>
      </c>
      <c r="DM90" s="539">
        <f t="shared" si="26"/>
        <v>0</v>
      </c>
      <c r="DN90" s="539">
        <f t="shared" si="26"/>
        <v>0</v>
      </c>
      <c r="DO90" s="539">
        <f t="shared" si="26"/>
        <v>0</v>
      </c>
      <c r="DP90" s="539">
        <f t="shared" si="26"/>
        <v>0</v>
      </c>
      <c r="DQ90" s="539">
        <f t="shared" si="26"/>
        <v>0</v>
      </c>
      <c r="DR90" s="539">
        <f t="shared" si="26"/>
        <v>0</v>
      </c>
      <c r="DS90" s="539">
        <f t="shared" si="26"/>
        <v>0</v>
      </c>
      <c r="DT90" s="539">
        <f t="shared" si="26"/>
        <v>0</v>
      </c>
      <c r="DU90" s="539">
        <f t="shared" si="26"/>
        <v>0</v>
      </c>
      <c r="DV90" s="539">
        <f t="shared" si="26"/>
        <v>0</v>
      </c>
      <c r="DW90" s="539">
        <f t="shared" si="26"/>
        <v>0</v>
      </c>
      <c r="DX90" s="539">
        <f t="shared" si="26"/>
        <v>0</v>
      </c>
      <c r="DY90" s="539">
        <f t="shared" si="26"/>
        <v>0</v>
      </c>
      <c r="DZ90" s="539">
        <f t="shared" si="26"/>
        <v>0</v>
      </c>
      <c r="EA90" s="539">
        <f t="shared" si="26"/>
        <v>0</v>
      </c>
      <c r="EB90" s="539">
        <f t="shared" si="26"/>
        <v>0</v>
      </c>
      <c r="EC90" s="539">
        <f t="shared" si="26"/>
        <v>0</v>
      </c>
      <c r="ED90" s="539">
        <f t="shared" si="26"/>
        <v>0</v>
      </c>
      <c r="EE90" s="539">
        <f t="shared" si="26"/>
        <v>0</v>
      </c>
      <c r="EF90" s="539">
        <f t="shared" si="26"/>
        <v>0</v>
      </c>
      <c r="EG90" s="539">
        <f t="shared" si="26"/>
        <v>0</v>
      </c>
    </row>
    <row r="91" spans="5:137" ht="12.75">
      <c r="E91" s="538" t="s">
        <v>411</v>
      </c>
      <c r="G91" s="550" t="s">
        <v>35</v>
      </c>
      <c r="H91" s="550">
        <f>SUM(J91:EG91)</f>
        <v>0</v>
      </c>
      <c r="J91" s="550">
        <f t="shared" si="27" ref="J91:EG91">$F87+IF($F88=$F89,J90,0)*(1-$F87)</f>
        <v>0</v>
      </c>
      <c r="K91" s="550">
        <f t="shared" si="27"/>
        <v>0</v>
      </c>
      <c r="L91" s="550">
        <f t="shared" si="27"/>
        <v>0</v>
      </c>
      <c r="M91" s="550">
        <f t="shared" si="27"/>
        <v>0</v>
      </c>
      <c r="N91" s="550">
        <f t="shared" si="27"/>
        <v>0</v>
      </c>
      <c r="O91" s="550">
        <f t="shared" si="27"/>
        <v>0</v>
      </c>
      <c r="P91" s="550">
        <f t="shared" si="27"/>
        <v>0</v>
      </c>
      <c r="Q91" s="550">
        <f t="shared" si="27"/>
        <v>0</v>
      </c>
      <c r="R91" s="550">
        <f t="shared" si="27"/>
        <v>0</v>
      </c>
      <c r="S91" s="550">
        <f t="shared" si="27"/>
        <v>0</v>
      </c>
      <c r="T91" s="550">
        <f t="shared" si="27"/>
        <v>0</v>
      </c>
      <c r="U91" s="550">
        <f t="shared" si="27"/>
        <v>0</v>
      </c>
      <c r="V91" s="550">
        <f t="shared" si="27"/>
        <v>0</v>
      </c>
      <c r="W91" s="550">
        <f t="shared" si="27"/>
        <v>0</v>
      </c>
      <c r="X91" s="550">
        <f t="shared" si="27"/>
        <v>0</v>
      </c>
      <c r="Y91" s="550">
        <f t="shared" si="27"/>
        <v>0</v>
      </c>
      <c r="Z91" s="550">
        <f t="shared" si="27"/>
        <v>0</v>
      </c>
      <c r="AA91" s="550">
        <f t="shared" si="27"/>
        <v>0</v>
      </c>
      <c r="AB91" s="550">
        <f t="shared" si="27"/>
        <v>0</v>
      </c>
      <c r="AC91" s="550">
        <f t="shared" si="27"/>
        <v>0</v>
      </c>
      <c r="AD91" s="550">
        <f t="shared" si="27"/>
        <v>0</v>
      </c>
      <c r="AE91" s="550">
        <f t="shared" si="27"/>
        <v>0</v>
      </c>
      <c r="AF91" s="550">
        <f t="shared" si="27"/>
        <v>0</v>
      </c>
      <c r="AG91" s="550">
        <f t="shared" si="27"/>
        <v>0</v>
      </c>
      <c r="AH91" s="550">
        <f t="shared" si="27"/>
        <v>0</v>
      </c>
      <c r="AI91" s="550">
        <f t="shared" si="27"/>
        <v>0</v>
      </c>
      <c r="AJ91" s="550">
        <f t="shared" si="27"/>
        <v>0</v>
      </c>
      <c r="AK91" s="550">
        <f t="shared" si="27"/>
        <v>0</v>
      </c>
      <c r="AL91" s="550">
        <f t="shared" si="27"/>
        <v>0</v>
      </c>
      <c r="AM91" s="550">
        <f t="shared" si="27"/>
        <v>0</v>
      </c>
      <c r="AN91" s="550">
        <f t="shared" si="27"/>
        <v>0</v>
      </c>
      <c r="AO91" s="550">
        <f t="shared" si="27"/>
        <v>0</v>
      </c>
      <c r="AP91" s="550">
        <f t="shared" si="27"/>
        <v>0</v>
      </c>
      <c r="AQ91" s="550">
        <f t="shared" si="27"/>
        <v>0</v>
      </c>
      <c r="AR91" s="550">
        <f t="shared" si="27"/>
        <v>0</v>
      </c>
      <c r="AS91" s="550">
        <f t="shared" si="27"/>
        <v>0</v>
      </c>
      <c r="AT91" s="550">
        <f t="shared" si="27"/>
        <v>0</v>
      </c>
      <c r="AU91" s="550">
        <f t="shared" si="27"/>
        <v>0</v>
      </c>
      <c r="AV91" s="550">
        <f t="shared" si="27"/>
        <v>0</v>
      </c>
      <c r="AW91" s="550">
        <f t="shared" si="27"/>
        <v>0</v>
      </c>
      <c r="AX91" s="550">
        <f t="shared" si="27"/>
        <v>0</v>
      </c>
      <c r="AY91" s="550">
        <f t="shared" si="27"/>
        <v>0</v>
      </c>
      <c r="AZ91" s="550">
        <f t="shared" si="27"/>
        <v>0</v>
      </c>
      <c r="BA91" s="550">
        <f t="shared" si="27"/>
        <v>0</v>
      </c>
      <c r="BB91" s="550">
        <f t="shared" si="27"/>
        <v>0</v>
      </c>
      <c r="BC91" s="550">
        <f t="shared" si="27"/>
        <v>0</v>
      </c>
      <c r="BD91" s="550">
        <f t="shared" si="27"/>
        <v>0</v>
      </c>
      <c r="BE91" s="550">
        <f t="shared" si="27"/>
        <v>0</v>
      </c>
      <c r="BF91" s="550">
        <f t="shared" si="27"/>
        <v>0</v>
      </c>
      <c r="BG91" s="550">
        <f t="shared" si="27"/>
        <v>0</v>
      </c>
      <c r="BH91" s="550">
        <f t="shared" si="27"/>
        <v>0</v>
      </c>
      <c r="BI91" s="550">
        <f t="shared" si="27"/>
        <v>0</v>
      </c>
      <c r="BJ91" s="550">
        <f t="shared" si="27"/>
        <v>0</v>
      </c>
      <c r="BK91" s="550">
        <f t="shared" si="27"/>
        <v>0</v>
      </c>
      <c r="BL91" s="550">
        <f t="shared" si="27"/>
        <v>0</v>
      </c>
      <c r="BM91" s="550">
        <f t="shared" si="27"/>
        <v>0</v>
      </c>
      <c r="BN91" s="550">
        <f t="shared" si="27"/>
        <v>0</v>
      </c>
      <c r="BO91" s="550">
        <f t="shared" si="27"/>
        <v>0</v>
      </c>
      <c r="BP91" s="550">
        <f t="shared" si="27"/>
        <v>0</v>
      </c>
      <c r="BQ91" s="550">
        <f t="shared" si="27"/>
        <v>0</v>
      </c>
      <c r="BR91" s="550">
        <f t="shared" si="27"/>
        <v>0</v>
      </c>
      <c r="BS91" s="550">
        <f t="shared" si="27"/>
        <v>0</v>
      </c>
      <c r="BT91" s="550">
        <f t="shared" si="27"/>
        <v>0</v>
      </c>
      <c r="BU91" s="550">
        <f t="shared" si="27"/>
        <v>0</v>
      </c>
      <c r="BV91" s="550">
        <f t="shared" si="27"/>
        <v>0</v>
      </c>
      <c r="BW91" s="550">
        <f t="shared" si="27"/>
        <v>0</v>
      </c>
      <c r="BX91" s="550">
        <f t="shared" si="27"/>
        <v>0</v>
      </c>
      <c r="BY91" s="550">
        <f t="shared" si="27"/>
        <v>0</v>
      </c>
      <c r="BZ91" s="550">
        <f t="shared" si="27"/>
        <v>0</v>
      </c>
      <c r="CA91" s="550">
        <f t="shared" si="27"/>
        <v>0</v>
      </c>
      <c r="CB91" s="550">
        <f t="shared" si="27"/>
        <v>0</v>
      </c>
      <c r="CC91" s="550">
        <f t="shared" si="27"/>
        <v>0</v>
      </c>
      <c r="CD91" s="550">
        <f t="shared" si="27"/>
        <v>0</v>
      </c>
      <c r="CE91" s="550">
        <f t="shared" si="27"/>
        <v>0</v>
      </c>
      <c r="CF91" s="550">
        <f t="shared" si="27"/>
        <v>0</v>
      </c>
      <c r="CG91" s="550">
        <f t="shared" si="27"/>
        <v>0</v>
      </c>
      <c r="CH91" s="550">
        <f t="shared" si="27"/>
        <v>0</v>
      </c>
      <c r="CI91" s="550">
        <f t="shared" si="27"/>
        <v>0</v>
      </c>
      <c r="CJ91" s="550">
        <f t="shared" si="27"/>
        <v>0</v>
      </c>
      <c r="CK91" s="550">
        <f t="shared" si="27"/>
        <v>0</v>
      </c>
      <c r="CL91" s="550">
        <f t="shared" si="27"/>
        <v>0</v>
      </c>
      <c r="CM91" s="550">
        <f t="shared" si="27"/>
        <v>0</v>
      </c>
      <c r="CN91" s="550">
        <f t="shared" si="27"/>
        <v>0</v>
      </c>
      <c r="CO91" s="550">
        <f t="shared" si="27"/>
        <v>0</v>
      </c>
      <c r="CP91" s="550">
        <f t="shared" si="27"/>
        <v>0</v>
      </c>
      <c r="CQ91" s="550">
        <f t="shared" si="27"/>
        <v>0</v>
      </c>
      <c r="CR91" s="550">
        <f t="shared" si="27"/>
        <v>0</v>
      </c>
      <c r="CS91" s="550">
        <f t="shared" si="27"/>
        <v>0</v>
      </c>
      <c r="CT91" s="550">
        <f t="shared" si="27"/>
        <v>0</v>
      </c>
      <c r="CU91" s="550">
        <f t="shared" si="27"/>
        <v>0</v>
      </c>
      <c r="CV91" s="550">
        <f t="shared" si="27"/>
        <v>0</v>
      </c>
      <c r="CW91" s="550">
        <f t="shared" si="27"/>
        <v>0</v>
      </c>
      <c r="CX91" s="550">
        <f t="shared" si="27"/>
        <v>0</v>
      </c>
      <c r="CY91" s="550">
        <f t="shared" si="27"/>
        <v>0</v>
      </c>
      <c r="CZ91" s="550">
        <f t="shared" si="27"/>
        <v>0</v>
      </c>
      <c r="DA91" s="550">
        <f t="shared" si="27"/>
        <v>0</v>
      </c>
      <c r="DB91" s="550">
        <f t="shared" si="27"/>
        <v>0</v>
      </c>
      <c r="DC91" s="550">
        <f t="shared" si="27"/>
        <v>0</v>
      </c>
      <c r="DD91" s="550">
        <f t="shared" si="27"/>
        <v>0</v>
      </c>
      <c r="DE91" s="550">
        <f t="shared" si="27"/>
        <v>0</v>
      </c>
      <c r="DF91" s="550">
        <f t="shared" si="27"/>
        <v>0</v>
      </c>
      <c r="DG91" s="550">
        <f t="shared" si="27"/>
        <v>0</v>
      </c>
      <c r="DH91" s="550">
        <f t="shared" si="27"/>
        <v>0</v>
      </c>
      <c r="DI91" s="550">
        <f t="shared" si="27"/>
        <v>0</v>
      </c>
      <c r="DJ91" s="550">
        <f t="shared" si="27"/>
        <v>0</v>
      </c>
      <c r="DK91" s="550">
        <f t="shared" si="27"/>
        <v>0</v>
      </c>
      <c r="DL91" s="550">
        <f t="shared" si="27"/>
        <v>0</v>
      </c>
      <c r="DM91" s="550">
        <f t="shared" si="27"/>
        <v>0</v>
      </c>
      <c r="DN91" s="550">
        <f t="shared" si="27"/>
        <v>0</v>
      </c>
      <c r="DO91" s="550">
        <f t="shared" si="27"/>
        <v>0</v>
      </c>
      <c r="DP91" s="550">
        <f t="shared" si="27"/>
        <v>0</v>
      </c>
      <c r="DQ91" s="550">
        <f t="shared" si="27"/>
        <v>0</v>
      </c>
      <c r="DR91" s="550">
        <f t="shared" si="27"/>
        <v>0</v>
      </c>
      <c r="DS91" s="550">
        <f t="shared" si="27"/>
        <v>0</v>
      </c>
      <c r="DT91" s="550">
        <f t="shared" si="27"/>
        <v>0</v>
      </c>
      <c r="DU91" s="550">
        <f t="shared" si="27"/>
        <v>0</v>
      </c>
      <c r="DV91" s="550">
        <f t="shared" si="27"/>
        <v>0</v>
      </c>
      <c r="DW91" s="550">
        <f t="shared" si="27"/>
        <v>0</v>
      </c>
      <c r="DX91" s="550">
        <f t="shared" si="27"/>
        <v>0</v>
      </c>
      <c r="DY91" s="550">
        <f t="shared" si="27"/>
        <v>0</v>
      </c>
      <c r="DZ91" s="550">
        <f t="shared" si="27"/>
        <v>0</v>
      </c>
      <c r="EA91" s="550">
        <f t="shared" si="27"/>
        <v>0</v>
      </c>
      <c r="EB91" s="550">
        <f t="shared" si="27"/>
        <v>0</v>
      </c>
      <c r="EC91" s="550">
        <f t="shared" si="27"/>
        <v>0</v>
      </c>
      <c r="ED91" s="550">
        <f t="shared" si="27"/>
        <v>0</v>
      </c>
      <c r="EE91" s="550">
        <f t="shared" si="27"/>
        <v>0</v>
      </c>
      <c r="EF91" s="550">
        <f t="shared" si="27"/>
        <v>0</v>
      </c>
      <c r="EG91" s="550">
        <f t="shared" si="27"/>
        <v>0</v>
      </c>
    </row>
    <row r="93" spans="5:137" ht="12.75">
      <c r="E93" s="535" t="str">
        <f>Debt!E$15</f>
        <v>Senior facility - repayment period flag</v>
      </c>
      <c r="G93" s="537" t="str">
        <f>Debt!G$15</f>
        <v>flag</v>
      </c>
      <c r="H93" s="537">
        <f>Debt!H$15</f>
        <v>72</v>
      </c>
      <c r="J93" s="537">
        <f>Debt!J$15</f>
        <v>0</v>
      </c>
      <c r="K93" s="537">
        <f>Debt!K$15</f>
        <v>0</v>
      </c>
      <c r="L93" s="537">
        <f>Debt!L$15</f>
        <v>0</v>
      </c>
      <c r="M93" s="537">
        <f>Debt!M$15</f>
        <v>0</v>
      </c>
      <c r="N93" s="537">
        <f>Debt!N$15</f>
        <v>0</v>
      </c>
      <c r="O93" s="537">
        <f>Debt!O$15</f>
        <v>0</v>
      </c>
      <c r="P93" s="537">
        <f>Debt!P$15</f>
        <v>0</v>
      </c>
      <c r="Q93" s="537">
        <f>Debt!Q$15</f>
        <v>0</v>
      </c>
      <c r="R93" s="537">
        <f>Debt!R$15</f>
        <v>0</v>
      </c>
      <c r="S93" s="537">
        <f>Debt!S$15</f>
        <v>0</v>
      </c>
      <c r="T93" s="537">
        <f>Debt!T$15</f>
        <v>0</v>
      </c>
      <c r="U93" s="537">
        <f>Debt!U$15</f>
        <v>0</v>
      </c>
      <c r="V93" s="537">
        <f>Debt!V$15</f>
        <v>0</v>
      </c>
      <c r="W93" s="537">
        <f>Debt!W$15</f>
        <v>0</v>
      </c>
      <c r="X93" s="537">
        <f>Debt!X$15</f>
        <v>0</v>
      </c>
      <c r="Y93" s="537">
        <f>Debt!Y$15</f>
        <v>0</v>
      </c>
      <c r="Z93" s="537">
        <f>Debt!Z$15</f>
        <v>0</v>
      </c>
      <c r="AA93" s="537">
        <f>Debt!AA$15</f>
        <v>0</v>
      </c>
      <c r="AB93" s="537">
        <f>Debt!AB$15</f>
        <v>0</v>
      </c>
      <c r="AC93" s="537">
        <f>Debt!AC$15</f>
        <v>0</v>
      </c>
      <c r="AD93" s="537">
        <f>Debt!AD$15</f>
        <v>0</v>
      </c>
      <c r="AE93" s="537">
        <f>Debt!AE$15</f>
        <v>0</v>
      </c>
      <c r="AF93" s="537">
        <f>Debt!AF$15</f>
        <v>0</v>
      </c>
      <c r="AG93" s="537">
        <f>Debt!AG$15</f>
        <v>0</v>
      </c>
      <c r="AH93" s="537">
        <f>Debt!AH$15</f>
        <v>1</v>
      </c>
      <c r="AI93" s="537">
        <f>Debt!AI$15</f>
        <v>1</v>
      </c>
      <c r="AJ93" s="537">
        <f>Debt!AJ$15</f>
        <v>1</v>
      </c>
      <c r="AK93" s="537">
        <f>Debt!AK$15</f>
        <v>1</v>
      </c>
      <c r="AL93" s="537">
        <f>Debt!AL$15</f>
        <v>1</v>
      </c>
      <c r="AM93" s="537">
        <f>Debt!AM$15</f>
        <v>1</v>
      </c>
      <c r="AN93" s="537">
        <f>Debt!AN$15</f>
        <v>1</v>
      </c>
      <c r="AO93" s="537">
        <f>Debt!AO$15</f>
        <v>1</v>
      </c>
      <c r="AP93" s="537">
        <f>Debt!AP$15</f>
        <v>1</v>
      </c>
      <c r="AQ93" s="537">
        <f>Debt!AQ$15</f>
        <v>1</v>
      </c>
      <c r="AR93" s="537">
        <f>Debt!AR$15</f>
        <v>1</v>
      </c>
      <c r="AS93" s="537">
        <f>Debt!AS$15</f>
        <v>1</v>
      </c>
      <c r="AT93" s="537">
        <f>Debt!AT$15</f>
        <v>1</v>
      </c>
      <c r="AU93" s="537">
        <f>Debt!AU$15</f>
        <v>1</v>
      </c>
      <c r="AV93" s="537">
        <f>Debt!AV$15</f>
        <v>1</v>
      </c>
      <c r="AW93" s="537">
        <f>Debt!AW$15</f>
        <v>1</v>
      </c>
      <c r="AX93" s="537">
        <f>Debt!AX$15</f>
        <v>1</v>
      </c>
      <c r="AY93" s="537">
        <f>Debt!AY$15</f>
        <v>1</v>
      </c>
      <c r="AZ93" s="537">
        <f>Debt!AZ$15</f>
        <v>1</v>
      </c>
      <c r="BA93" s="537">
        <f>Debt!BA$15</f>
        <v>1</v>
      </c>
      <c r="BB93" s="537">
        <f>Debt!BB$15</f>
        <v>1</v>
      </c>
      <c r="BC93" s="537">
        <f>Debt!BC$15</f>
        <v>1</v>
      </c>
      <c r="BD93" s="537">
        <f>Debt!BD$15</f>
        <v>1</v>
      </c>
      <c r="BE93" s="537">
        <f>Debt!BE$15</f>
        <v>1</v>
      </c>
      <c r="BF93" s="537">
        <f>Debt!BF$15</f>
        <v>1</v>
      </c>
      <c r="BG93" s="537">
        <f>Debt!BG$15</f>
        <v>1</v>
      </c>
      <c r="BH93" s="537">
        <f>Debt!BH$15</f>
        <v>1</v>
      </c>
      <c r="BI93" s="537">
        <f>Debt!BI$15</f>
        <v>1</v>
      </c>
      <c r="BJ93" s="537">
        <f>Debt!BJ$15</f>
        <v>1</v>
      </c>
      <c r="BK93" s="537">
        <f>Debt!BK$15</f>
        <v>1</v>
      </c>
      <c r="BL93" s="537">
        <f>Debt!BL$15</f>
        <v>1</v>
      </c>
      <c r="BM93" s="537">
        <f>Debt!BM$15</f>
        <v>1</v>
      </c>
      <c r="BN93" s="537">
        <f>Debt!BN$15</f>
        <v>1</v>
      </c>
      <c r="BO93" s="537">
        <f>Debt!BO$15</f>
        <v>1</v>
      </c>
      <c r="BP93" s="537">
        <f>Debt!BP$15</f>
        <v>1</v>
      </c>
      <c r="BQ93" s="537">
        <f>Debt!BQ$15</f>
        <v>1</v>
      </c>
      <c r="BR93" s="537">
        <f>Debt!BR$15</f>
        <v>1</v>
      </c>
      <c r="BS93" s="537">
        <f>Debt!BS$15</f>
        <v>1</v>
      </c>
      <c r="BT93" s="537">
        <f>Debt!BT$15</f>
        <v>1</v>
      </c>
      <c r="BU93" s="537">
        <f>Debt!BU$15</f>
        <v>1</v>
      </c>
      <c r="BV93" s="537">
        <f>Debt!BV$15</f>
        <v>1</v>
      </c>
      <c r="BW93" s="537">
        <f>Debt!BW$15</f>
        <v>1</v>
      </c>
      <c r="BX93" s="537">
        <f>Debt!BX$15</f>
        <v>1</v>
      </c>
      <c r="BY93" s="537">
        <f>Debt!BY$15</f>
        <v>1</v>
      </c>
      <c r="BZ93" s="537">
        <f>Debt!BZ$15</f>
        <v>1</v>
      </c>
      <c r="CA93" s="537">
        <f>Debt!CA$15</f>
        <v>1</v>
      </c>
      <c r="CB93" s="537">
        <f>Debt!CB$15</f>
        <v>1</v>
      </c>
      <c r="CC93" s="537">
        <f>Debt!CC$15</f>
        <v>1</v>
      </c>
      <c r="CD93" s="537">
        <f>Debt!CD$15</f>
        <v>1</v>
      </c>
      <c r="CE93" s="537">
        <f>Debt!CE$15</f>
        <v>1</v>
      </c>
      <c r="CF93" s="537">
        <f>Debt!CF$15</f>
        <v>1</v>
      </c>
      <c r="CG93" s="537">
        <f>Debt!CG$15</f>
        <v>1</v>
      </c>
      <c r="CH93" s="537">
        <f>Debt!CH$15</f>
        <v>1</v>
      </c>
      <c r="CI93" s="537">
        <f>Debt!CI$15</f>
        <v>1</v>
      </c>
      <c r="CJ93" s="537">
        <f>Debt!CJ$15</f>
        <v>1</v>
      </c>
      <c r="CK93" s="537">
        <f>Debt!CK$15</f>
        <v>1</v>
      </c>
      <c r="CL93" s="537">
        <f>Debt!CL$15</f>
        <v>1</v>
      </c>
      <c r="CM93" s="537">
        <f>Debt!CM$15</f>
        <v>1</v>
      </c>
      <c r="CN93" s="537">
        <f>Debt!CN$15</f>
        <v>1</v>
      </c>
      <c r="CO93" s="537">
        <f>Debt!CO$15</f>
        <v>1</v>
      </c>
      <c r="CP93" s="537">
        <f>Debt!CP$15</f>
        <v>1</v>
      </c>
      <c r="CQ93" s="537">
        <f>Debt!CQ$15</f>
        <v>1</v>
      </c>
      <c r="CR93" s="537">
        <f>Debt!CR$15</f>
        <v>1</v>
      </c>
      <c r="CS93" s="537">
        <f>Debt!CS$15</f>
        <v>1</v>
      </c>
      <c r="CT93" s="537">
        <f>Debt!CT$15</f>
        <v>1</v>
      </c>
      <c r="CU93" s="537">
        <f>Debt!CU$15</f>
        <v>1</v>
      </c>
      <c r="CV93" s="537">
        <f>Debt!CV$15</f>
        <v>1</v>
      </c>
      <c r="CW93" s="537">
        <f>Debt!CW$15</f>
        <v>1</v>
      </c>
      <c r="CX93" s="537">
        <f>Debt!CX$15</f>
        <v>1</v>
      </c>
      <c r="CY93" s="537">
        <f>Debt!CY$15</f>
        <v>1</v>
      </c>
      <c r="CZ93" s="537">
        <f>Debt!CZ$15</f>
        <v>1</v>
      </c>
      <c r="DA93" s="537">
        <f>Debt!DA$15</f>
        <v>1</v>
      </c>
      <c r="DB93" s="537">
        <f>Debt!DB$15</f>
        <v>0</v>
      </c>
      <c r="DC93" s="537">
        <f>Debt!DC$15</f>
        <v>0</v>
      </c>
      <c r="DD93" s="537">
        <f>Debt!DD$15</f>
        <v>0</v>
      </c>
      <c r="DE93" s="537">
        <f>Debt!DE$15</f>
        <v>0</v>
      </c>
      <c r="DF93" s="537">
        <f>Debt!DF$15</f>
        <v>0</v>
      </c>
      <c r="DG93" s="537">
        <f>Debt!DG$15</f>
        <v>0</v>
      </c>
      <c r="DH93" s="537">
        <f>Debt!DH$15</f>
        <v>0</v>
      </c>
      <c r="DI93" s="537">
        <f>Debt!DI$15</f>
        <v>0</v>
      </c>
      <c r="DJ93" s="537">
        <f>Debt!DJ$15</f>
        <v>0</v>
      </c>
      <c r="DK93" s="537">
        <f>Debt!DK$15</f>
        <v>0</v>
      </c>
      <c r="DL93" s="537">
        <f>Debt!DL$15</f>
        <v>0</v>
      </c>
      <c r="DM93" s="537">
        <f>Debt!DM$15</f>
        <v>0</v>
      </c>
      <c r="DN93" s="537">
        <f>Debt!DN$15</f>
        <v>0</v>
      </c>
      <c r="DO93" s="537">
        <f>Debt!DO$15</f>
        <v>0</v>
      </c>
      <c r="DP93" s="537">
        <f>Debt!DP$15</f>
        <v>0</v>
      </c>
      <c r="DQ93" s="537">
        <f>Debt!DQ$15</f>
        <v>0</v>
      </c>
      <c r="DR93" s="537">
        <f>Debt!DR$15</f>
        <v>0</v>
      </c>
      <c r="DS93" s="537">
        <f>Debt!DS$15</f>
        <v>0</v>
      </c>
      <c r="DT93" s="537">
        <f>Debt!DT$15</f>
        <v>0</v>
      </c>
      <c r="DU93" s="537">
        <f>Debt!DU$15</f>
        <v>0</v>
      </c>
      <c r="DV93" s="537">
        <f>Debt!DV$15</f>
        <v>0</v>
      </c>
      <c r="DW93" s="537">
        <f>Debt!DW$15</f>
        <v>0</v>
      </c>
      <c r="DX93" s="537">
        <f>Debt!DX$15</f>
        <v>0</v>
      </c>
      <c r="DY93" s="537">
        <f>Debt!DY$15</f>
        <v>0</v>
      </c>
      <c r="DZ93" s="537">
        <f>Debt!DZ$15</f>
        <v>0</v>
      </c>
      <c r="EA93" s="537">
        <f>Debt!EA$15</f>
        <v>0</v>
      </c>
      <c r="EB93" s="537">
        <f>Debt!EB$15</f>
        <v>0</v>
      </c>
      <c r="EC93" s="537">
        <f>Debt!EC$15</f>
        <v>0</v>
      </c>
      <c r="ED93" s="537">
        <f>Debt!ED$15</f>
        <v>0</v>
      </c>
      <c r="EE93" s="537">
        <f>Debt!EE$15</f>
        <v>0</v>
      </c>
      <c r="EF93" s="537">
        <f>Debt!EF$15</f>
        <v>0</v>
      </c>
      <c r="EG93" s="537">
        <f>Debt!EG$15</f>
        <v>0</v>
      </c>
    </row>
    <row r="94" spans="5:137" ht="12.75">
      <c r="E94" s="535" t="str">
        <f>Debt!E$57</f>
        <v>Senior facility - opening balance</v>
      </c>
      <c r="G94" s="537" t="str">
        <f>Debt!G$57</f>
        <v>EUR 000s</v>
      </c>
      <c r="H94" s="537">
        <f>Debt!H$57</f>
        <v>11123186.810732836</v>
      </c>
      <c r="J94" s="537">
        <f>Debt!J$57</f>
        <v>0</v>
      </c>
      <c r="K94" s="537">
        <f>Debt!K$57</f>
        <v>0</v>
      </c>
      <c r="L94" s="537">
        <f>Debt!L$57</f>
        <v>0</v>
      </c>
      <c r="M94" s="537">
        <f>Debt!M$57</f>
        <v>0</v>
      </c>
      <c r="N94" s="537">
        <f>Debt!N$57</f>
        <v>0</v>
      </c>
      <c r="O94" s="537">
        <f>Debt!O$57</f>
        <v>0</v>
      </c>
      <c r="P94" s="537">
        <f>Debt!P$57</f>
        <v>0</v>
      </c>
      <c r="Q94" s="537">
        <f>Debt!Q$57</f>
        <v>0</v>
      </c>
      <c r="R94" s="537">
        <f>Debt!R$57</f>
        <v>0</v>
      </c>
      <c r="S94" s="537">
        <f>Debt!S$57</f>
        <v>1382.3281928992874</v>
      </c>
      <c r="T94" s="537">
        <f>Debt!T$57</f>
        <v>19363.172958561812</v>
      </c>
      <c r="U94" s="537">
        <f>Debt!U$57</f>
        <v>37736.181514569398</v>
      </c>
      <c r="V94" s="537">
        <f>Debt!V$57</f>
        <v>56530.476117754166</v>
      </c>
      <c r="W94" s="537">
        <f>Debt!W$57</f>
        <v>74091.405530191638</v>
      </c>
      <c r="X94" s="537">
        <f>Debt!X$57</f>
        <v>91518.934879038119</v>
      </c>
      <c r="Y94" s="537">
        <f>Debt!Y$57</f>
        <v>107255.49759656707</v>
      </c>
      <c r="Z94" s="537">
        <f>Debt!Z$57</f>
        <v>121061.22875111677</v>
      </c>
      <c r="AA94" s="537">
        <f>Debt!AA$57</f>
        <v>133962.70617930786</v>
      </c>
      <c r="AB94" s="537">
        <f>Debt!AB$57</f>
        <v>148362.46790677981</v>
      </c>
      <c r="AC94" s="537">
        <f>Debt!AC$57</f>
        <v>163506.13990970366</v>
      </c>
      <c r="AD94" s="537">
        <f>Debt!AD$57</f>
        <v>178549.55229008626</v>
      </c>
      <c r="AE94" s="537">
        <f>Debt!AE$57</f>
        <v>192268.63360155231</v>
      </c>
      <c r="AF94" s="537">
        <f>Debt!AF$57</f>
        <v>200952.02892657305</v>
      </c>
      <c r="AG94" s="537">
        <f>Debt!AG$57</f>
        <v>207824.75792647921</v>
      </c>
      <c r="AH94" s="537">
        <f>Debt!AH$57</f>
        <v>221286.6479110517</v>
      </c>
      <c r="AI94" s="537">
        <f>Debt!AI$57</f>
        <v>220608.823757429</v>
      </c>
      <c r="AJ94" s="537">
        <f>Debt!AJ$57</f>
        <v>218979.44471839062</v>
      </c>
      <c r="AK94" s="537">
        <f>Debt!AK$57</f>
        <v>217360.94638439317</v>
      </c>
      <c r="AL94" s="537">
        <f>Debt!AL$57</f>
        <v>215730.19804249654</v>
      </c>
      <c r="AM94" s="537">
        <f>Debt!AM$57</f>
        <v>213962.26862143833</v>
      </c>
      <c r="AN94" s="537">
        <f>Debt!AN$57</f>
        <v>212160.04600216408</v>
      </c>
      <c r="AO94" s="537">
        <f>Debt!AO$57</f>
        <v>210365.30914698011</v>
      </c>
      <c r="AP94" s="537">
        <f>Debt!AP$57</f>
        <v>208556.00183225214</v>
      </c>
      <c r="AQ94" s="537">
        <f>Debt!AQ$57</f>
        <v>206608.1421623468</v>
      </c>
      <c r="AR94" s="537">
        <f>Debt!AR$57</f>
        <v>204622.0325392868</v>
      </c>
      <c r="AS94" s="537">
        <f>Debt!AS$57</f>
        <v>202639.75403211112</v>
      </c>
      <c r="AT94" s="537">
        <f>Debt!AT$57</f>
        <v>200640.42828787459</v>
      </c>
      <c r="AU94" s="537">
        <f>Debt!AU$57</f>
        <v>198520.66321847215</v>
      </c>
      <c r="AV94" s="537">
        <f>Debt!AV$57</f>
        <v>196350.0423303475</v>
      </c>
      <c r="AW94" s="537">
        <f>Debt!AW$57</f>
        <v>194168.68761815928</v>
      </c>
      <c r="AX94" s="537">
        <f>Debt!AX$57</f>
        <v>191969.90220643775</v>
      </c>
      <c r="AY94" s="537">
        <f>Debt!AY$57</f>
        <v>189627.72643192843</v>
      </c>
      <c r="AZ94" s="537">
        <f>Debt!AZ$57</f>
        <v>187238.5892801146</v>
      </c>
      <c r="BA94" s="537">
        <f>Debt!BA$57</f>
        <v>184845.14286697507</v>
      </c>
      <c r="BB94" s="537">
        <f>Debt!BB$57</f>
        <v>182431.62986282675</v>
      </c>
      <c r="BC94" s="537">
        <f>Debt!BC$57</f>
        <v>179936.99651467081</v>
      </c>
      <c r="BD94" s="537">
        <f>Debt!BD$57</f>
        <v>177400.57976910818</v>
      </c>
      <c r="BE94" s="537">
        <f>Debt!BE$57</f>
        <v>174865.04661232483</v>
      </c>
      <c r="BF94" s="537">
        <f>Debt!BF$57</f>
        <v>172313.4684083091</v>
      </c>
      <c r="BG94" s="537">
        <f>Debt!BG$57</f>
        <v>169632.07902517688</v>
      </c>
      <c r="BH94" s="537">
        <f>Debt!BH$57</f>
        <v>166902.89896300616</v>
      </c>
      <c r="BI94" s="537">
        <f>Debt!BI$57</f>
        <v>164168.91807115515</v>
      </c>
      <c r="BJ94" s="537">
        <f>Debt!BJ$57</f>
        <v>161414.86878840948</v>
      </c>
      <c r="BK94" s="537">
        <f>Debt!BK$57</f>
        <v>158542.07659269078</v>
      </c>
      <c r="BL94" s="537">
        <f>Debt!BL$57</f>
        <v>155613.84125510571</v>
      </c>
      <c r="BM94" s="537">
        <f>Debt!BM$57</f>
        <v>152663.86316474082</v>
      </c>
      <c r="BN94" s="537">
        <f>Debt!BN$57</f>
        <v>149689.78500478482</v>
      </c>
      <c r="BO94" s="537">
        <f>Debt!BO$57</f>
        <v>146582.18825556862</v>
      </c>
      <c r="BP94" s="537">
        <f>Debt!BP$57</f>
        <v>143414.45037753851</v>
      </c>
      <c r="BQ94" s="537">
        <f>Debt!BQ$57</f>
        <v>140230.13643606377</v>
      </c>
      <c r="BR94" s="537">
        <f>Debt!BR$57</f>
        <v>137017.63189573269</v>
      </c>
      <c r="BS94" s="537">
        <f>Debt!BS$57</f>
        <v>133616.70893983805</v>
      </c>
      <c r="BT94" s="537">
        <f>Debt!BT$57</f>
        <v>130148.4594856113</v>
      </c>
      <c r="BU94" s="537">
        <f>Debt!BU$57</f>
        <v>126656.67559847518</v>
      </c>
      <c r="BV94" s="537">
        <f>Debt!BV$57</f>
        <v>123131.75917005076</v>
      </c>
      <c r="BW94" s="537">
        <f>Debt!BW$57</f>
        <v>119608.92849224193</v>
      </c>
      <c r="BX94" s="537">
        <f>Debt!BX$57</f>
        <v>116425.03572762878</v>
      </c>
      <c r="BY94" s="537">
        <f>Debt!BY$57</f>
        <v>113226.81814732924</v>
      </c>
      <c r="BZ94" s="537">
        <f>Debt!BZ$57</f>
        <v>110006.70537313426</v>
      </c>
      <c r="CA94" s="537">
        <f>Debt!CA$57</f>
        <v>106679.6446537234</v>
      </c>
      <c r="CB94" s="537">
        <f>Debt!CB$57</f>
        <v>103294.20127478741</v>
      </c>
      <c r="CC94" s="537">
        <f>Debt!CC$57</f>
        <v>99911.910581940261</v>
      </c>
      <c r="CD94" s="537">
        <f>Debt!CD$57</f>
        <v>96679.218965814158</v>
      </c>
      <c r="CE94" s="537">
        <f>Debt!CE$57</f>
        <v>93354.866903009097</v>
      </c>
      <c r="CF94" s="537">
        <f>Debt!CF$57</f>
        <v>89964.772122112496</v>
      </c>
      <c r="CG94" s="537">
        <f>Debt!CG$57</f>
        <v>86553.919799695548</v>
      </c>
      <c r="CH94" s="537">
        <f>Debt!CH$57</f>
        <v>83121.179559975688</v>
      </c>
      <c r="CI94" s="537">
        <f>Debt!CI$57</f>
        <v>79593.959452813389</v>
      </c>
      <c r="CJ94" s="537">
        <f>Debt!CJ$57</f>
        <v>75995.047897345838</v>
      </c>
      <c r="CK94" s="537">
        <f>Debt!CK$57</f>
        <v>72369.711752529605</v>
      </c>
      <c r="CL94" s="537">
        <f>Debt!CL$57</f>
        <v>68718.73893250621</v>
      </c>
      <c r="CM94" s="537">
        <f>Debt!CM$57</f>
        <v>64684.850956016817</v>
      </c>
      <c r="CN94" s="537">
        <f>Debt!CN$57</f>
        <v>60569.829778725034</v>
      </c>
      <c r="CO94" s="537">
        <f>Debt!CO$57</f>
        <v>56419.081896961972</v>
      </c>
      <c r="CP94" s="537">
        <f>Debt!CP$57</f>
        <v>52235.409698162868</v>
      </c>
      <c r="CQ94" s="537">
        <f>Debt!CQ$57</f>
        <v>48233.700504559805</v>
      </c>
      <c r="CR94" s="537">
        <f>Debt!CR$57</f>
        <v>44165.862871224701</v>
      </c>
      <c r="CS94" s="537">
        <f>Debt!CS$57</f>
        <v>40047.476011156585</v>
      </c>
      <c r="CT94" s="537">
        <f>Debt!CT$57</f>
        <v>35895.790506489262</v>
      </c>
      <c r="CU94" s="537">
        <f>Debt!CU$57</f>
        <v>31647.260735279633</v>
      </c>
      <c r="CV94" s="537">
        <f>Debt!CV$57</f>
        <v>27308.313550612747</v>
      </c>
      <c r="CW94" s="537">
        <f>Debt!CW$57</f>
        <v>22924.904066388648</v>
      </c>
      <c r="CX94" s="537">
        <f>Debt!CX$57</f>
        <v>18504.379611735581</v>
      </c>
      <c r="CY94" s="537">
        <f>Debt!CY$57</f>
        <v>13986.578233532302</v>
      </c>
      <c r="CZ94" s="537">
        <f>Debt!CZ$57</f>
        <v>9371.8894561927991</v>
      </c>
      <c r="DA94" s="537">
        <f>Debt!DA$57</f>
        <v>4706.4513561860967</v>
      </c>
      <c r="DB94" s="537">
        <f>Debt!DB$57</f>
        <v>0</v>
      </c>
      <c r="DC94" s="537">
        <f>Debt!DC$57</f>
        <v>0</v>
      </c>
      <c r="DD94" s="537">
        <f>Debt!DD$57</f>
        <v>0</v>
      </c>
      <c r="DE94" s="537">
        <f>Debt!DE$57</f>
        <v>0</v>
      </c>
      <c r="DF94" s="537">
        <f>Debt!DF$57</f>
        <v>0</v>
      </c>
      <c r="DG94" s="537">
        <f>Debt!DG$57</f>
        <v>0</v>
      </c>
      <c r="DH94" s="537">
        <f>Debt!DH$57</f>
        <v>0</v>
      </c>
      <c r="DI94" s="537">
        <f>Debt!DI$57</f>
        <v>0</v>
      </c>
      <c r="DJ94" s="537">
        <f>Debt!DJ$57</f>
        <v>0</v>
      </c>
      <c r="DK94" s="537">
        <f>Debt!DK$57</f>
        <v>0</v>
      </c>
      <c r="DL94" s="537">
        <f>Debt!DL$57</f>
        <v>0</v>
      </c>
      <c r="DM94" s="537">
        <f>Debt!DM$57</f>
        <v>0</v>
      </c>
      <c r="DN94" s="537">
        <f>Debt!DN$57</f>
        <v>0</v>
      </c>
      <c r="DO94" s="537">
        <f>Debt!DO$57</f>
        <v>0</v>
      </c>
      <c r="DP94" s="537">
        <f>Debt!DP$57</f>
        <v>0</v>
      </c>
      <c r="DQ94" s="537">
        <f>Debt!DQ$57</f>
        <v>0</v>
      </c>
      <c r="DR94" s="537">
        <f>Debt!DR$57</f>
        <v>0</v>
      </c>
      <c r="DS94" s="537">
        <f>Debt!DS$57</f>
        <v>0</v>
      </c>
      <c r="DT94" s="537">
        <f>Debt!DT$57</f>
        <v>0</v>
      </c>
      <c r="DU94" s="537">
        <f>Debt!DU$57</f>
        <v>0</v>
      </c>
      <c r="DV94" s="537">
        <f>Debt!DV$57</f>
        <v>0</v>
      </c>
      <c r="DW94" s="537">
        <f>Debt!DW$57</f>
        <v>0</v>
      </c>
      <c r="DX94" s="537">
        <f>Debt!DX$57</f>
        <v>0</v>
      </c>
      <c r="DY94" s="537">
        <f>Debt!DY$57</f>
        <v>0</v>
      </c>
      <c r="DZ94" s="537">
        <f>Debt!DZ$57</f>
        <v>0</v>
      </c>
      <c r="EA94" s="537">
        <f>Debt!EA$57</f>
        <v>0</v>
      </c>
      <c r="EB94" s="537">
        <f>Debt!EB$57</f>
        <v>0</v>
      </c>
      <c r="EC94" s="537">
        <f>Debt!EC$57</f>
        <v>0</v>
      </c>
      <c r="ED94" s="537">
        <f>Debt!ED$57</f>
        <v>0</v>
      </c>
      <c r="EE94" s="537">
        <f>Debt!EE$57</f>
        <v>0</v>
      </c>
      <c r="EF94" s="537">
        <f>Debt!EF$57</f>
        <v>0</v>
      </c>
      <c r="EG94" s="537">
        <f>Debt!EG$57</f>
        <v>0</v>
      </c>
    </row>
    <row r="95" spans="5:137" ht="12.75">
      <c r="E95" s="535" t="str">
        <f>Debt!E$93</f>
        <v>Senior facility - scheduled principal</v>
      </c>
      <c r="G95" s="537" t="str">
        <f>Debt!G$93</f>
        <v>EUR 000s</v>
      </c>
      <c r="H95" s="537">
        <f>Debt!H$93</f>
        <v>221286.64791105178</v>
      </c>
      <c r="J95" s="537">
        <f>Debt!J$93</f>
        <v>0</v>
      </c>
      <c r="K95" s="537">
        <f>Debt!K$93</f>
        <v>0</v>
      </c>
      <c r="L95" s="537">
        <f>Debt!L$93</f>
        <v>0</v>
      </c>
      <c r="M95" s="537">
        <f>Debt!M$93</f>
        <v>0</v>
      </c>
      <c r="N95" s="537">
        <f>Debt!N$93</f>
        <v>0</v>
      </c>
      <c r="O95" s="537">
        <f>Debt!O$93</f>
        <v>0</v>
      </c>
      <c r="P95" s="537">
        <f>Debt!P$93</f>
        <v>-1.8189894035458565E-12</v>
      </c>
      <c r="Q95" s="537">
        <f>Debt!Q$93</f>
        <v>0</v>
      </c>
      <c r="R95" s="537">
        <f>Debt!R$93</f>
        <v>0</v>
      </c>
      <c r="S95" s="537">
        <f>Debt!S$93</f>
        <v>0</v>
      </c>
      <c r="T95" s="537">
        <f>Debt!T$93</f>
        <v>0</v>
      </c>
      <c r="U95" s="537">
        <f>Debt!U$93</f>
        <v>0</v>
      </c>
      <c r="V95" s="537">
        <f>Debt!V$93</f>
        <v>0</v>
      </c>
      <c r="W95" s="537">
        <f>Debt!W$93</f>
        <v>0</v>
      </c>
      <c r="X95" s="537">
        <f>Debt!X$93</f>
        <v>0</v>
      </c>
      <c r="Y95" s="537">
        <f>Debt!Y$93</f>
        <v>0</v>
      </c>
      <c r="Z95" s="537">
        <f>Debt!Z$93</f>
        <v>0</v>
      </c>
      <c r="AA95" s="537">
        <f>Debt!AA$93</f>
        <v>0</v>
      </c>
      <c r="AB95" s="537">
        <f>Debt!AB$93</f>
        <v>0</v>
      </c>
      <c r="AC95" s="537">
        <f>Debt!AC$93</f>
        <v>0</v>
      </c>
      <c r="AD95" s="537">
        <f>Debt!AD$93</f>
        <v>0</v>
      </c>
      <c r="AE95" s="537">
        <f>Debt!AE$93</f>
        <v>0</v>
      </c>
      <c r="AF95" s="537">
        <f>Debt!AF$93</f>
        <v>0</v>
      </c>
      <c r="AG95" s="537">
        <f>Debt!AG$93</f>
        <v>0</v>
      </c>
      <c r="AH95" s="537">
        <f>Debt!AH$93</f>
        <v>677.82415362271058</v>
      </c>
      <c r="AI95" s="537">
        <f>Debt!AI$93</f>
        <v>1629.3790390383851</v>
      </c>
      <c r="AJ95" s="537">
        <f>Debt!AJ$93</f>
        <v>1618.4983339974451</v>
      </c>
      <c r="AK95" s="537">
        <f>Debt!AK$93</f>
        <v>1630.7483418966362</v>
      </c>
      <c r="AL95" s="537">
        <f>Debt!AL$93</f>
        <v>1767.9294210582093</v>
      </c>
      <c r="AM95" s="537">
        <f>Debt!AM$93</f>
        <v>1802.2226192742546</v>
      </c>
      <c r="AN95" s="537">
        <f>Debt!AN$93</f>
        <v>1794.7368551839654</v>
      </c>
      <c r="AO95" s="537">
        <f>Debt!AO$93</f>
        <v>1809.3073147279661</v>
      </c>
      <c r="AP95" s="537">
        <f>Debt!AP$93</f>
        <v>1947.8596699053346</v>
      </c>
      <c r="AQ95" s="537">
        <f>Debt!AQ$93</f>
        <v>1986.1096230599974</v>
      </c>
      <c r="AR95" s="537">
        <f>Debt!AR$93</f>
        <v>1982.2785071756671</v>
      </c>
      <c r="AS95" s="537">
        <f>Debt!AS$93</f>
        <v>1999.3257442365161</v>
      </c>
      <c r="AT95" s="537">
        <f>Debt!AT$93</f>
        <v>2119.7650694024387</v>
      </c>
      <c r="AU95" s="537">
        <f>Debt!AU$93</f>
        <v>2170.6208881246671</v>
      </c>
      <c r="AV95" s="537">
        <f>Debt!AV$93</f>
        <v>2181.3547121882043</v>
      </c>
      <c r="AW95" s="537">
        <f>Debt!AW$93</f>
        <v>2198.7854117215456</v>
      </c>
      <c r="AX95" s="537">
        <f>Debt!AX$93</f>
        <v>2342.1757745093132</v>
      </c>
      <c r="AY95" s="537">
        <f>Debt!AY$93</f>
        <v>2389.1371518138408</v>
      </c>
      <c r="AZ95" s="537">
        <f>Debt!AZ$93</f>
        <v>2393.4464131395234</v>
      </c>
      <c r="BA95" s="537">
        <f>Debt!BA$93</f>
        <v>2413.5130041483303</v>
      </c>
      <c r="BB95" s="537">
        <f>Debt!BB$93</f>
        <v>2494.6333481559554</v>
      </c>
      <c r="BC95" s="537">
        <f>Debt!BC$93</f>
        <v>2536.416745562628</v>
      </c>
      <c r="BD95" s="537">
        <f>Debt!BD$93</f>
        <v>2535.5331567833546</v>
      </c>
      <c r="BE95" s="537">
        <f>Debt!BE$93</f>
        <v>2551.5782040157314</v>
      </c>
      <c r="BF95" s="537">
        <f>Debt!BF$93</f>
        <v>2681.3893831322102</v>
      </c>
      <c r="BG95" s="537">
        <f>Debt!BG$93</f>
        <v>2729.1800621707371</v>
      </c>
      <c r="BH95" s="537">
        <f>Debt!BH$93</f>
        <v>2733.9808918509984</v>
      </c>
      <c r="BI95" s="537">
        <f>Debt!BI$93</f>
        <v>2754.0492827456601</v>
      </c>
      <c r="BJ95" s="537">
        <f>Debt!BJ$93</f>
        <v>2872.7921957187036</v>
      </c>
      <c r="BK95" s="537">
        <f>Debt!BK$93</f>
        <v>2928.2353375850521</v>
      </c>
      <c r="BL95" s="537">
        <f>Debt!BL$93</f>
        <v>2949.9780903649021</v>
      </c>
      <c r="BM95" s="537">
        <f>Debt!BM$93</f>
        <v>2974.0781599560037</v>
      </c>
      <c r="BN95" s="537">
        <f>Debt!BN$93</f>
        <v>3107.5967492162099</v>
      </c>
      <c r="BO95" s="537">
        <f>Debt!BO$93</f>
        <v>3167.7378780301078</v>
      </c>
      <c r="BP95" s="537">
        <f>Debt!BP$93</f>
        <v>3184.3139414747466</v>
      </c>
      <c r="BQ95" s="537">
        <f>Debt!BQ$93</f>
        <v>3212.504540331086</v>
      </c>
      <c r="BR95" s="537">
        <f>Debt!BR$93</f>
        <v>3400.9229558946477</v>
      </c>
      <c r="BS95" s="537">
        <f>Debt!BS$93</f>
        <v>3468.2494542267559</v>
      </c>
      <c r="BT95" s="537">
        <f>Debt!BT$93</f>
        <v>3491.7838871361182</v>
      </c>
      <c r="BU95" s="537">
        <f>Debt!BU$93</f>
        <v>3524.9164284244171</v>
      </c>
      <c r="BV95" s="537">
        <f>Debt!BV$93</f>
        <v>3522.8306778088331</v>
      </c>
      <c r="BW95" s="537">
        <f>Debt!BW$93</f>
        <v>3183.8927646131478</v>
      </c>
      <c r="BX95" s="537">
        <f>Debt!BX$93</f>
        <v>3198.2175802995462</v>
      </c>
      <c r="BY95" s="537">
        <f>Debt!BY$93</f>
        <v>3220.1127741949776</v>
      </c>
      <c r="BZ95" s="537">
        <f>Debt!BZ$93</f>
        <v>3327.0607194108602</v>
      </c>
      <c r="CA95" s="537">
        <f>Debt!CA$93</f>
        <v>3385.4433789359969</v>
      </c>
      <c r="CB95" s="537">
        <f>Debt!CB$93</f>
        <v>3382.2906928471562</v>
      </c>
      <c r="CC95" s="537">
        <f>Debt!CC$93</f>
        <v>3232.6916161260979</v>
      </c>
      <c r="CD95" s="537">
        <f>Debt!CD$93</f>
        <v>3324.3520628050601</v>
      </c>
      <c r="CE95" s="537">
        <f>Debt!CE$93</f>
        <v>3390.0947808966057</v>
      </c>
      <c r="CF95" s="537">
        <f>Debt!CF$93</f>
        <v>3410.8523224169539</v>
      </c>
      <c r="CG95" s="537">
        <f>Debt!CG$93</f>
        <v>3432.7402397198557</v>
      </c>
      <c r="CH95" s="537">
        <f>Debt!CH$93</f>
        <v>3527.2201071622985</v>
      </c>
      <c r="CI95" s="537">
        <f>Debt!CI$93</f>
        <v>3598.911555467545</v>
      </c>
      <c r="CJ95" s="537">
        <f>Debt!CJ$93</f>
        <v>3625.3361448162268</v>
      </c>
      <c r="CK95" s="537">
        <f>Debt!CK$93</f>
        <v>3650.972820023389</v>
      </c>
      <c r="CL95" s="537">
        <f>Debt!CL$93</f>
        <v>4033.8879764893964</v>
      </c>
      <c r="CM95" s="537">
        <f>Debt!CM$93</f>
        <v>4115.0211772917837</v>
      </c>
      <c r="CN95" s="537">
        <f>Debt!CN$93</f>
        <v>4150.7478817630608</v>
      </c>
      <c r="CO95" s="537">
        <f>Debt!CO$93</f>
        <v>4183.6721987991059</v>
      </c>
      <c r="CP95" s="537">
        <f>Debt!CP$93</f>
        <v>4001.7091936030665</v>
      </c>
      <c r="CQ95" s="537">
        <f>Debt!CQ$93</f>
        <v>4067.8376333351075</v>
      </c>
      <c r="CR95" s="537">
        <f>Debt!CR$93</f>
        <v>4118.3868600681171</v>
      </c>
      <c r="CS95" s="537">
        <f>Debt!CS$93</f>
        <v>4151.6855046673199</v>
      </c>
      <c r="CT95" s="537">
        <f>Debt!CT$93</f>
        <v>4248.5297712096281</v>
      </c>
      <c r="CU95" s="537">
        <f>Debt!CU$93</f>
        <v>4338.9471846668848</v>
      </c>
      <c r="CV95" s="537">
        <f>Debt!CV$93</f>
        <v>4383.4094842240993</v>
      </c>
      <c r="CW95" s="537">
        <f>Debt!CW$93</f>
        <v>4420.5244546530666</v>
      </c>
      <c r="CX95" s="537">
        <f>Debt!CX$93</f>
        <v>4517.8013782032795</v>
      </c>
      <c r="CY95" s="537">
        <f>Debt!CY$93</f>
        <v>4614.6887773395028</v>
      </c>
      <c r="CZ95" s="537">
        <f>Debt!CZ$93</f>
        <v>4665.4381000067024</v>
      </c>
      <c r="DA95" s="537">
        <f>Debt!DA$93</f>
        <v>4706.4513561860967</v>
      </c>
      <c r="DB95" s="537">
        <f>Debt!DB$93</f>
        <v>0</v>
      </c>
      <c r="DC95" s="537">
        <f>Debt!DC$93</f>
        <v>0</v>
      </c>
      <c r="DD95" s="537">
        <f>Debt!DD$93</f>
        <v>0</v>
      </c>
      <c r="DE95" s="537">
        <f>Debt!DE$93</f>
        <v>0</v>
      </c>
      <c r="DF95" s="537">
        <f>Debt!DF$93</f>
        <v>0</v>
      </c>
      <c r="DG95" s="537">
        <f>Debt!DG$93</f>
        <v>0</v>
      </c>
      <c r="DH95" s="537">
        <f>Debt!DH$93</f>
        <v>0</v>
      </c>
      <c r="DI95" s="537">
        <f>Debt!DI$93</f>
        <v>0</v>
      </c>
      <c r="DJ95" s="537">
        <f>Debt!DJ$93</f>
        <v>0</v>
      </c>
      <c r="DK95" s="537">
        <f>Debt!DK$93</f>
        <v>0</v>
      </c>
      <c r="DL95" s="537">
        <f>Debt!DL$93</f>
        <v>0</v>
      </c>
      <c r="DM95" s="537">
        <f>Debt!DM$93</f>
        <v>0</v>
      </c>
      <c r="DN95" s="537">
        <f>Debt!DN$93</f>
        <v>0</v>
      </c>
      <c r="DO95" s="537">
        <f>Debt!DO$93</f>
        <v>0</v>
      </c>
      <c r="DP95" s="537">
        <f>Debt!DP$93</f>
        <v>0</v>
      </c>
      <c r="DQ95" s="537">
        <f>Debt!DQ$93</f>
        <v>0</v>
      </c>
      <c r="DR95" s="537">
        <f>Debt!DR$93</f>
        <v>0</v>
      </c>
      <c r="DS95" s="537">
        <f>Debt!DS$93</f>
        <v>0</v>
      </c>
      <c r="DT95" s="537">
        <f>Debt!DT$93</f>
        <v>0</v>
      </c>
      <c r="DU95" s="537">
        <f>Debt!DU$93</f>
        <v>0</v>
      </c>
      <c r="DV95" s="537">
        <f>Debt!DV$93</f>
        <v>0</v>
      </c>
      <c r="DW95" s="537">
        <f>Debt!DW$93</f>
        <v>0</v>
      </c>
      <c r="DX95" s="537">
        <f>Debt!DX$93</f>
        <v>0</v>
      </c>
      <c r="DY95" s="537">
        <f>Debt!DY$93</f>
        <v>0</v>
      </c>
      <c r="DZ95" s="537">
        <f>Debt!DZ$93</f>
        <v>0</v>
      </c>
      <c r="EA95" s="537">
        <f>Debt!EA$93</f>
        <v>0</v>
      </c>
      <c r="EB95" s="537">
        <f>Debt!EB$93</f>
        <v>0</v>
      </c>
      <c r="EC95" s="537">
        <f>Debt!EC$93</f>
        <v>0</v>
      </c>
      <c r="ED95" s="537">
        <f>Debt!ED$93</f>
        <v>0</v>
      </c>
      <c r="EE95" s="537">
        <f>Debt!EE$93</f>
        <v>0</v>
      </c>
      <c r="EF95" s="537">
        <f>Debt!EF$93</f>
        <v>0</v>
      </c>
      <c r="EG95" s="537">
        <f>Debt!EG$93</f>
        <v>0</v>
      </c>
    </row>
    <row r="96" spans="5:137" ht="12.75">
      <c r="E96" s="538" t="str">
        <f>E$52</f>
        <v>Cash flow - after junior debt service</v>
      </c>
      <c r="G96" s="539" t="str">
        <f>G$52</f>
        <v>EUR 000s</v>
      </c>
      <c r="H96" s="539">
        <f>H$52</f>
        <v>542229.52746011713</v>
      </c>
      <c r="J96" s="539">
        <f t="shared" si="28" ref="J96:EG96">J$52</f>
        <v>0</v>
      </c>
      <c r="K96" s="539">
        <f t="shared" si="28"/>
        <v>0</v>
      </c>
      <c r="L96" s="539">
        <f t="shared" si="28"/>
        <v>0</v>
      </c>
      <c r="M96" s="539">
        <f t="shared" si="28"/>
        <v>0</v>
      </c>
      <c r="N96" s="539">
        <f t="shared" si="28"/>
        <v>0</v>
      </c>
      <c r="O96" s="539">
        <f t="shared" si="28"/>
        <v>0</v>
      </c>
      <c r="P96" s="539">
        <f t="shared" si="28"/>
        <v>1.8189894035458565E-12</v>
      </c>
      <c r="Q96" s="539">
        <f t="shared" si="28"/>
        <v>0</v>
      </c>
      <c r="R96" s="539">
        <f t="shared" si="28"/>
        <v>0</v>
      </c>
      <c r="S96" s="539">
        <f t="shared" si="28"/>
        <v>0</v>
      </c>
      <c r="T96" s="539">
        <f t="shared" si="28"/>
        <v>0</v>
      </c>
      <c r="U96" s="539">
        <f t="shared" si="28"/>
        <v>0</v>
      </c>
      <c r="V96" s="539">
        <f t="shared" si="28"/>
        <v>0</v>
      </c>
      <c r="W96" s="539">
        <f t="shared" si="28"/>
        <v>0</v>
      </c>
      <c r="X96" s="539">
        <f t="shared" si="28"/>
        <v>0</v>
      </c>
      <c r="Y96" s="539">
        <f t="shared" si="28"/>
        <v>0</v>
      </c>
      <c r="Z96" s="539">
        <f t="shared" si="28"/>
        <v>0</v>
      </c>
      <c r="AA96" s="539">
        <f t="shared" si="28"/>
        <v>0</v>
      </c>
      <c r="AB96" s="539">
        <f t="shared" si="28"/>
        <v>0</v>
      </c>
      <c r="AC96" s="539">
        <f t="shared" si="28"/>
        <v>0</v>
      </c>
      <c r="AD96" s="539">
        <f t="shared" si="28"/>
        <v>0</v>
      </c>
      <c r="AE96" s="539">
        <f t="shared" si="28"/>
        <v>0</v>
      </c>
      <c r="AF96" s="539">
        <f t="shared" si="28"/>
        <v>0</v>
      </c>
      <c r="AG96" s="539">
        <f t="shared" si="28"/>
        <v>0</v>
      </c>
      <c r="AH96" s="539">
        <f t="shared" si="28"/>
        <v>1383.9233639501999</v>
      </c>
      <c r="AI96" s="539">
        <f t="shared" si="28"/>
        <v>3289.5323362199924</v>
      </c>
      <c r="AJ96" s="539">
        <f t="shared" si="28"/>
        <v>3245.3805232500731</v>
      </c>
      <c r="AK96" s="539">
        <f t="shared" si="28"/>
        <v>3195.0408989934072</v>
      </c>
      <c r="AL96" s="539">
        <f t="shared" si="28"/>
        <v>3314.6555979376371</v>
      </c>
      <c r="AM96" s="539">
        <f t="shared" si="28"/>
        <v>3413.5103829410727</v>
      </c>
      <c r="AN96" s="539">
        <f t="shared" si="28"/>
        <v>3368.8149446907446</v>
      </c>
      <c r="AO96" s="539">
        <f t="shared" si="28"/>
        <v>3317.8291025066792</v>
      </c>
      <c r="AP96" s="539">
        <f t="shared" si="28"/>
        <v>3438.4566627931977</v>
      </c>
      <c r="AQ96" s="539">
        <f t="shared" si="28"/>
        <v>3538.7454210592982</v>
      </c>
      <c r="AR96" s="539">
        <f t="shared" si="28"/>
        <v>3482.692592271675</v>
      </c>
      <c r="AS96" s="539">
        <f t="shared" si="28"/>
        <v>3452.6458698254974</v>
      </c>
      <c r="AT96" s="539">
        <f t="shared" si="28"/>
        <v>1840.225347833371</v>
      </c>
      <c r="AU96" s="539">
        <f t="shared" si="28"/>
        <v>1907.064048963113</v>
      </c>
      <c r="AV96" s="539">
        <f t="shared" si="28"/>
        <v>1879.8635093641863</v>
      </c>
      <c r="AW96" s="539">
        <f t="shared" si="28"/>
        <v>1823.2308510204605</v>
      </c>
      <c r="AX96" s="539">
        <f t="shared" si="28"/>
        <v>3689.9207029973613</v>
      </c>
      <c r="AY96" s="539">
        <f t="shared" si="28"/>
        <v>3795.4891066389291</v>
      </c>
      <c r="AZ96" s="539">
        <f t="shared" si="28"/>
        <v>3810.2717218736234</v>
      </c>
      <c r="BA96" s="539">
        <f t="shared" si="28"/>
        <v>3761.7553340142267</v>
      </c>
      <c r="BB96" s="539">
        <f t="shared" si="28"/>
        <v>3775.7398776167847</v>
      </c>
      <c r="BC96" s="539">
        <f t="shared" si="28"/>
        <v>3870.9553004708091</v>
      </c>
      <c r="BD96" s="539">
        <f t="shared" si="28"/>
        <v>3819.5887386810437</v>
      </c>
      <c r="BE96" s="539">
        <f t="shared" si="28"/>
        <v>3757.5449019740718</v>
      </c>
      <c r="BF96" s="539">
        <f t="shared" si="28"/>
        <v>3865.5485651833455</v>
      </c>
      <c r="BG96" s="539">
        <f t="shared" si="28"/>
        <v>3963.7340210591155</v>
      </c>
      <c r="BH96" s="539">
        <f t="shared" si="28"/>
        <v>3901.9818208723086</v>
      </c>
      <c r="BI96" s="539">
        <f t="shared" si="28"/>
        <v>3863.3396261250573</v>
      </c>
      <c r="BJ96" s="539">
        <f t="shared" si="28"/>
        <v>3981.7948466400562</v>
      </c>
      <c r="BK96" s="539">
        <f t="shared" si="28"/>
        <v>4041.5037487339391</v>
      </c>
      <c r="BL96" s="539">
        <f t="shared" si="28"/>
        <v>4013.5705589641948</v>
      </c>
      <c r="BM96" s="539">
        <f t="shared" si="28"/>
        <v>3952.9034566736409</v>
      </c>
      <c r="BN96" s="539">
        <f t="shared" si="28"/>
        <v>2097.5193655527028</v>
      </c>
      <c r="BO96" s="539">
        <f t="shared" si="28"/>
        <v>2200.864273878366</v>
      </c>
      <c r="BP96" s="539">
        <f t="shared" si="28"/>
        <v>2098.1063109146212</v>
      </c>
      <c r="BQ96" s="539">
        <f t="shared" si="28"/>
        <v>2037.8164184080592</v>
      </c>
      <c r="BR96" s="539">
        <f t="shared" si="28"/>
        <v>4224.1553525130121</v>
      </c>
      <c r="BS96" s="539">
        <f t="shared" si="28"/>
        <v>4329.7689293072381</v>
      </c>
      <c r="BT96" s="539">
        <f t="shared" si="28"/>
        <v>4419.8055567868232</v>
      </c>
      <c r="BU96" s="539">
        <f t="shared" si="28"/>
        <v>4770.8603254831687</v>
      </c>
      <c r="BV96" s="539">
        <f t="shared" si="28"/>
        <v>4626.1012277867885</v>
      </c>
      <c r="BW96" s="539">
        <f t="shared" si="28"/>
        <v>3945.1397120020174</v>
      </c>
      <c r="BX96" s="539">
        <f t="shared" si="28"/>
        <v>3887.6124417460055</v>
      </c>
      <c r="BY96" s="539">
        <f t="shared" si="28"/>
        <v>3843.3319181364645</v>
      </c>
      <c r="BZ96" s="539">
        <f t="shared" si="28"/>
        <v>3978.3991178064584</v>
      </c>
      <c r="CA96" s="539">
        <f t="shared" si="28"/>
        <v>4211.4281415911701</v>
      </c>
      <c r="CB96" s="539">
        <f t="shared" si="28"/>
        <v>4139.4003880005166</v>
      </c>
      <c r="CC96" s="539">
        <f t="shared" si="28"/>
        <v>3736.011479524982</v>
      </c>
      <c r="CD96" s="539">
        <f t="shared" si="28"/>
        <v>4321.3134548763692</v>
      </c>
      <c r="CE96" s="539">
        <f t="shared" si="28"/>
        <v>4413.9780591819081</v>
      </c>
      <c r="CF96" s="539">
        <f t="shared" si="28"/>
        <v>4368.5578436146661</v>
      </c>
      <c r="CG96" s="539">
        <f t="shared" si="28"/>
        <v>4283.5118246307165</v>
      </c>
      <c r="CH96" s="539">
        <f t="shared" si="28"/>
        <v>2110.5359724491877</v>
      </c>
      <c r="CI96" s="539">
        <f t="shared" si="28"/>
        <v>2204.6023940287428</v>
      </c>
      <c r="CJ96" s="539">
        <f t="shared" si="28"/>
        <v>1870.785150550882</v>
      </c>
      <c r="CK96" s="539">
        <f t="shared" si="28"/>
        <v>1786.9171601948424</v>
      </c>
      <c r="CL96" s="539">
        <f t="shared" si="28"/>
        <v>4628.8303227158403</v>
      </c>
      <c r="CM96" s="539">
        <f t="shared" si="28"/>
        <v>4723.5203653725785</v>
      </c>
      <c r="CN96" s="539">
        <f t="shared" si="28"/>
        <v>4948.935086001231</v>
      </c>
      <c r="CO96" s="539">
        <f t="shared" si="28"/>
        <v>4889.99295027068</v>
      </c>
      <c r="CP96" s="539">
        <f t="shared" si="28"/>
        <v>4408.4942242291327</v>
      </c>
      <c r="CQ96" s="539">
        <f t="shared" si="28"/>
        <v>4454.0921236772019</v>
      </c>
      <c r="CR96" s="539">
        <f t="shared" si="28"/>
        <v>4428.3806644411152</v>
      </c>
      <c r="CS96" s="539">
        <f t="shared" si="28"/>
        <v>4344.7192119229667</v>
      </c>
      <c r="CT96" s="539">
        <f t="shared" si="28"/>
        <v>4410.7908852154824</v>
      </c>
      <c r="CU96" s="539">
        <f t="shared" si="28"/>
        <v>4507.2180043044709</v>
      </c>
      <c r="CV96" s="539">
        <f t="shared" si="28"/>
        <v>4455.6468509356973</v>
      </c>
      <c r="CW96" s="539">
        <f t="shared" si="28"/>
        <v>4372.1040514103006</v>
      </c>
      <c r="CX96" s="539">
        <f t="shared" si="28"/>
        <v>4442.1439989063965</v>
      </c>
      <c r="CY96" s="539">
        <f t="shared" si="28"/>
        <v>4538.8867633803111</v>
      </c>
      <c r="CZ96" s="539">
        <f t="shared" si="28"/>
        <v>9289.0498453167747</v>
      </c>
      <c r="DA96" s="539">
        <f t="shared" si="28"/>
        <v>9243.2109589193478</v>
      </c>
      <c r="DB96" s="539">
        <f t="shared" si="28"/>
        <v>6730.8032201585938</v>
      </c>
      <c r="DC96" s="539">
        <f t="shared" si="28"/>
        <v>6819.6943690281241</v>
      </c>
      <c r="DD96" s="539">
        <f t="shared" si="28"/>
        <v>6814.0398522326241</v>
      </c>
      <c r="DE96" s="539">
        <f t="shared" si="28"/>
        <v>6785.1271000854231</v>
      </c>
      <c r="DF96" s="539">
        <f t="shared" si="28"/>
        <v>10042.297500103878</v>
      </c>
      <c r="DG96" s="539">
        <f t="shared" si="28"/>
        <v>10083.037086594606</v>
      </c>
      <c r="DH96" s="539">
        <f t="shared" si="28"/>
        <v>10103.030440845592</v>
      </c>
      <c r="DI96" s="539">
        <f t="shared" si="28"/>
        <v>10074.710093976457</v>
      </c>
      <c r="DJ96" s="539">
        <f t="shared" si="28"/>
        <v>9531.0000277068248</v>
      </c>
      <c r="DK96" s="539">
        <f t="shared" si="28"/>
        <v>9622.5760692221538</v>
      </c>
      <c r="DL96" s="539">
        <f t="shared" si="28"/>
        <v>9618.4891847043327</v>
      </c>
      <c r="DM96" s="539">
        <f t="shared" si="28"/>
        <v>9590.6249782264968</v>
      </c>
      <c r="DN96" s="539">
        <f t="shared" si="28"/>
        <v>9679.6513243283043</v>
      </c>
      <c r="DO96" s="539">
        <f t="shared" si="28"/>
        <v>9772.3259446832872</v>
      </c>
      <c r="DP96" s="539">
        <f t="shared" si="28"/>
        <v>9768.8299907587207</v>
      </c>
      <c r="DQ96" s="539">
        <f t="shared" si="28"/>
        <v>9741.3091688148925</v>
      </c>
      <c r="DR96" s="539">
        <f t="shared" si="28"/>
        <v>9833.1752700445759</v>
      </c>
      <c r="DS96" s="539">
        <f t="shared" si="28"/>
        <v>9926.8134161951511</v>
      </c>
      <c r="DT96" s="539">
        <f t="shared" si="28"/>
        <v>9923.8082057289866</v>
      </c>
      <c r="DU96" s="539">
        <f t="shared" si="28"/>
        <v>9896.5376166003607</v>
      </c>
      <c r="DV96" s="539">
        <f t="shared" si="28"/>
        <v>10016.918852742816</v>
      </c>
      <c r="DW96" s="539">
        <f t="shared" si="28"/>
        <v>10059.983606963106</v>
      </c>
      <c r="DX96" s="539">
        <f t="shared" si="28"/>
        <v>10083.094712487115</v>
      </c>
      <c r="DY96" s="539">
        <f t="shared" si="28"/>
        <v>10055.997562626802</v>
      </c>
      <c r="DZ96" s="539">
        <f t="shared" si="28"/>
        <v>10153.459517752461</v>
      </c>
      <c r="EA96" s="539">
        <f t="shared" si="28"/>
        <v>10248.680194721674</v>
      </c>
      <c r="EB96" s="539">
        <f t="shared" si="28"/>
        <v>10246.420544942679</v>
      </c>
      <c r="EC96" s="539">
        <f t="shared" si="28"/>
        <v>10948.88102751593</v>
      </c>
      <c r="ED96" s="539">
        <f t="shared" si="28"/>
        <v>2308.4176722004668</v>
      </c>
      <c r="EE96" s="539">
        <f t="shared" si="28"/>
        <v>0</v>
      </c>
      <c r="EF96" s="539">
        <f t="shared" si="28"/>
        <v>0</v>
      </c>
      <c r="EG96" s="539">
        <f t="shared" si="28"/>
        <v>0</v>
      </c>
    </row>
    <row r="97" spans="5:137" ht="12.75">
      <c r="E97" s="538" t="str">
        <f>E$91</f>
        <v>Cash sweep - share applied</v>
      </c>
      <c r="G97" s="550" t="str">
        <f>G$91</f>
        <v>%</v>
      </c>
      <c r="H97" s="550">
        <f>H$91</f>
        <v>0</v>
      </c>
      <c r="J97" s="550">
        <f t="shared" si="29" ref="J97:EG97">J$91</f>
        <v>0</v>
      </c>
      <c r="K97" s="550">
        <f t="shared" si="29"/>
        <v>0</v>
      </c>
      <c r="L97" s="550">
        <f t="shared" si="29"/>
        <v>0</v>
      </c>
      <c r="M97" s="550">
        <f t="shared" si="29"/>
        <v>0</v>
      </c>
      <c r="N97" s="550">
        <f t="shared" si="29"/>
        <v>0</v>
      </c>
      <c r="O97" s="550">
        <f t="shared" si="29"/>
        <v>0</v>
      </c>
      <c r="P97" s="550">
        <f t="shared" si="29"/>
        <v>0</v>
      </c>
      <c r="Q97" s="550">
        <f t="shared" si="29"/>
        <v>0</v>
      </c>
      <c r="R97" s="550">
        <f t="shared" si="29"/>
        <v>0</v>
      </c>
      <c r="S97" s="550">
        <f t="shared" si="29"/>
        <v>0</v>
      </c>
      <c r="T97" s="550">
        <f t="shared" si="29"/>
        <v>0</v>
      </c>
      <c r="U97" s="550">
        <f t="shared" si="29"/>
        <v>0</v>
      </c>
      <c r="V97" s="550">
        <f t="shared" si="29"/>
        <v>0</v>
      </c>
      <c r="W97" s="550">
        <f t="shared" si="29"/>
        <v>0</v>
      </c>
      <c r="X97" s="550">
        <f t="shared" si="29"/>
        <v>0</v>
      </c>
      <c r="Y97" s="550">
        <f t="shared" si="29"/>
        <v>0</v>
      </c>
      <c r="Z97" s="550">
        <f t="shared" si="29"/>
        <v>0</v>
      </c>
      <c r="AA97" s="550">
        <f t="shared" si="29"/>
        <v>0</v>
      </c>
      <c r="AB97" s="550">
        <f t="shared" si="29"/>
        <v>0</v>
      </c>
      <c r="AC97" s="550">
        <f t="shared" si="29"/>
        <v>0</v>
      </c>
      <c r="AD97" s="550">
        <f t="shared" si="29"/>
        <v>0</v>
      </c>
      <c r="AE97" s="550">
        <f t="shared" si="29"/>
        <v>0</v>
      </c>
      <c r="AF97" s="550">
        <f t="shared" si="29"/>
        <v>0</v>
      </c>
      <c r="AG97" s="550">
        <f t="shared" si="29"/>
        <v>0</v>
      </c>
      <c r="AH97" s="550">
        <f t="shared" si="29"/>
        <v>0</v>
      </c>
      <c r="AI97" s="550">
        <f t="shared" si="29"/>
        <v>0</v>
      </c>
      <c r="AJ97" s="550">
        <f t="shared" si="29"/>
        <v>0</v>
      </c>
      <c r="AK97" s="550">
        <f t="shared" si="29"/>
        <v>0</v>
      </c>
      <c r="AL97" s="550">
        <f t="shared" si="29"/>
        <v>0</v>
      </c>
      <c r="AM97" s="550">
        <f t="shared" si="29"/>
        <v>0</v>
      </c>
      <c r="AN97" s="550">
        <f t="shared" si="29"/>
        <v>0</v>
      </c>
      <c r="AO97" s="550">
        <f t="shared" si="29"/>
        <v>0</v>
      </c>
      <c r="AP97" s="550">
        <f t="shared" si="29"/>
        <v>0</v>
      </c>
      <c r="AQ97" s="550">
        <f t="shared" si="29"/>
        <v>0</v>
      </c>
      <c r="AR97" s="550">
        <f t="shared" si="29"/>
        <v>0</v>
      </c>
      <c r="AS97" s="550">
        <f t="shared" si="29"/>
        <v>0</v>
      </c>
      <c r="AT97" s="550">
        <f t="shared" si="29"/>
        <v>0</v>
      </c>
      <c r="AU97" s="550">
        <f t="shared" si="29"/>
        <v>0</v>
      </c>
      <c r="AV97" s="550">
        <f t="shared" si="29"/>
        <v>0</v>
      </c>
      <c r="AW97" s="550">
        <f t="shared" si="29"/>
        <v>0</v>
      </c>
      <c r="AX97" s="550">
        <f t="shared" si="29"/>
        <v>0</v>
      </c>
      <c r="AY97" s="550">
        <f t="shared" si="29"/>
        <v>0</v>
      </c>
      <c r="AZ97" s="550">
        <f t="shared" si="29"/>
        <v>0</v>
      </c>
      <c r="BA97" s="550">
        <f t="shared" si="29"/>
        <v>0</v>
      </c>
      <c r="BB97" s="550">
        <f t="shared" si="29"/>
        <v>0</v>
      </c>
      <c r="BC97" s="550">
        <f t="shared" si="29"/>
        <v>0</v>
      </c>
      <c r="BD97" s="550">
        <f t="shared" si="29"/>
        <v>0</v>
      </c>
      <c r="BE97" s="550">
        <f t="shared" si="29"/>
        <v>0</v>
      </c>
      <c r="BF97" s="550">
        <f t="shared" si="29"/>
        <v>0</v>
      </c>
      <c r="BG97" s="550">
        <f t="shared" si="29"/>
        <v>0</v>
      </c>
      <c r="BH97" s="550">
        <f t="shared" si="29"/>
        <v>0</v>
      </c>
      <c r="BI97" s="550">
        <f t="shared" si="29"/>
        <v>0</v>
      </c>
      <c r="BJ97" s="550">
        <f t="shared" si="29"/>
        <v>0</v>
      </c>
      <c r="BK97" s="550">
        <f t="shared" si="29"/>
        <v>0</v>
      </c>
      <c r="BL97" s="550">
        <f t="shared" si="29"/>
        <v>0</v>
      </c>
      <c r="BM97" s="550">
        <f t="shared" si="29"/>
        <v>0</v>
      </c>
      <c r="BN97" s="550">
        <f t="shared" si="29"/>
        <v>0</v>
      </c>
      <c r="BO97" s="550">
        <f t="shared" si="29"/>
        <v>0</v>
      </c>
      <c r="BP97" s="550">
        <f t="shared" si="29"/>
        <v>0</v>
      </c>
      <c r="BQ97" s="550">
        <f t="shared" si="29"/>
        <v>0</v>
      </c>
      <c r="BR97" s="550">
        <f t="shared" si="29"/>
        <v>0</v>
      </c>
      <c r="BS97" s="550">
        <f t="shared" si="29"/>
        <v>0</v>
      </c>
      <c r="BT97" s="550">
        <f t="shared" si="29"/>
        <v>0</v>
      </c>
      <c r="BU97" s="550">
        <f t="shared" si="29"/>
        <v>0</v>
      </c>
      <c r="BV97" s="550">
        <f t="shared" si="29"/>
        <v>0</v>
      </c>
      <c r="BW97" s="550">
        <f t="shared" si="29"/>
        <v>0</v>
      </c>
      <c r="BX97" s="550">
        <f t="shared" si="29"/>
        <v>0</v>
      </c>
      <c r="BY97" s="550">
        <f t="shared" si="29"/>
        <v>0</v>
      </c>
      <c r="BZ97" s="550">
        <f t="shared" si="29"/>
        <v>0</v>
      </c>
      <c r="CA97" s="550">
        <f t="shared" si="29"/>
        <v>0</v>
      </c>
      <c r="CB97" s="550">
        <f t="shared" si="29"/>
        <v>0</v>
      </c>
      <c r="CC97" s="550">
        <f t="shared" si="29"/>
        <v>0</v>
      </c>
      <c r="CD97" s="550">
        <f t="shared" si="29"/>
        <v>0</v>
      </c>
      <c r="CE97" s="550">
        <f t="shared" si="29"/>
        <v>0</v>
      </c>
      <c r="CF97" s="550">
        <f t="shared" si="29"/>
        <v>0</v>
      </c>
      <c r="CG97" s="550">
        <f t="shared" si="29"/>
        <v>0</v>
      </c>
      <c r="CH97" s="550">
        <f t="shared" si="29"/>
        <v>0</v>
      </c>
      <c r="CI97" s="550">
        <f t="shared" si="29"/>
        <v>0</v>
      </c>
      <c r="CJ97" s="550">
        <f t="shared" si="29"/>
        <v>0</v>
      </c>
      <c r="CK97" s="550">
        <f t="shared" si="29"/>
        <v>0</v>
      </c>
      <c r="CL97" s="550">
        <f t="shared" si="29"/>
        <v>0</v>
      </c>
      <c r="CM97" s="550">
        <f t="shared" si="29"/>
        <v>0</v>
      </c>
      <c r="CN97" s="550">
        <f t="shared" si="29"/>
        <v>0</v>
      </c>
      <c r="CO97" s="550">
        <f t="shared" si="29"/>
        <v>0</v>
      </c>
      <c r="CP97" s="550">
        <f t="shared" si="29"/>
        <v>0</v>
      </c>
      <c r="CQ97" s="550">
        <f t="shared" si="29"/>
        <v>0</v>
      </c>
      <c r="CR97" s="550">
        <f t="shared" si="29"/>
        <v>0</v>
      </c>
      <c r="CS97" s="550">
        <f t="shared" si="29"/>
        <v>0</v>
      </c>
      <c r="CT97" s="550">
        <f t="shared" si="29"/>
        <v>0</v>
      </c>
      <c r="CU97" s="550">
        <f t="shared" si="29"/>
        <v>0</v>
      </c>
      <c r="CV97" s="550">
        <f t="shared" si="29"/>
        <v>0</v>
      </c>
      <c r="CW97" s="550">
        <f t="shared" si="29"/>
        <v>0</v>
      </c>
      <c r="CX97" s="550">
        <f t="shared" si="29"/>
        <v>0</v>
      </c>
      <c r="CY97" s="550">
        <f t="shared" si="29"/>
        <v>0</v>
      </c>
      <c r="CZ97" s="550">
        <f t="shared" si="29"/>
        <v>0</v>
      </c>
      <c r="DA97" s="550">
        <f t="shared" si="29"/>
        <v>0</v>
      </c>
      <c r="DB97" s="550">
        <f t="shared" si="29"/>
        <v>0</v>
      </c>
      <c r="DC97" s="550">
        <f t="shared" si="29"/>
        <v>0</v>
      </c>
      <c r="DD97" s="550">
        <f t="shared" si="29"/>
        <v>0</v>
      </c>
      <c r="DE97" s="550">
        <f t="shared" si="29"/>
        <v>0</v>
      </c>
      <c r="DF97" s="550">
        <f t="shared" si="29"/>
        <v>0</v>
      </c>
      <c r="DG97" s="550">
        <f t="shared" si="29"/>
        <v>0</v>
      </c>
      <c r="DH97" s="550">
        <f t="shared" si="29"/>
        <v>0</v>
      </c>
      <c r="DI97" s="550">
        <f t="shared" si="29"/>
        <v>0</v>
      </c>
      <c r="DJ97" s="550">
        <f t="shared" si="29"/>
        <v>0</v>
      </c>
      <c r="DK97" s="550">
        <f t="shared" si="29"/>
        <v>0</v>
      </c>
      <c r="DL97" s="550">
        <f t="shared" si="29"/>
        <v>0</v>
      </c>
      <c r="DM97" s="550">
        <f t="shared" si="29"/>
        <v>0</v>
      </c>
      <c r="DN97" s="550">
        <f t="shared" si="29"/>
        <v>0</v>
      </c>
      <c r="DO97" s="550">
        <f t="shared" si="29"/>
        <v>0</v>
      </c>
      <c r="DP97" s="550">
        <f t="shared" si="29"/>
        <v>0</v>
      </c>
      <c r="DQ97" s="550">
        <f t="shared" si="29"/>
        <v>0</v>
      </c>
      <c r="DR97" s="550">
        <f t="shared" si="29"/>
        <v>0</v>
      </c>
      <c r="DS97" s="550">
        <f t="shared" si="29"/>
        <v>0</v>
      </c>
      <c r="DT97" s="550">
        <f t="shared" si="29"/>
        <v>0</v>
      </c>
      <c r="DU97" s="550">
        <f t="shared" si="29"/>
        <v>0</v>
      </c>
      <c r="DV97" s="550">
        <f t="shared" si="29"/>
        <v>0</v>
      </c>
      <c r="DW97" s="550">
        <f t="shared" si="29"/>
        <v>0</v>
      </c>
      <c r="DX97" s="550">
        <f t="shared" si="29"/>
        <v>0</v>
      </c>
      <c r="DY97" s="550">
        <f t="shared" si="29"/>
        <v>0</v>
      </c>
      <c r="DZ97" s="550">
        <f t="shared" si="29"/>
        <v>0</v>
      </c>
      <c r="EA97" s="550">
        <f t="shared" si="29"/>
        <v>0</v>
      </c>
      <c r="EB97" s="550">
        <f t="shared" si="29"/>
        <v>0</v>
      </c>
      <c r="EC97" s="550">
        <f t="shared" si="29"/>
        <v>0</v>
      </c>
      <c r="ED97" s="550">
        <f t="shared" si="29"/>
        <v>0</v>
      </c>
      <c r="EE97" s="550">
        <f t="shared" si="29"/>
        <v>0</v>
      </c>
      <c r="EF97" s="550">
        <f t="shared" si="29"/>
        <v>0</v>
      </c>
      <c r="EG97" s="550">
        <f t="shared" si="29"/>
        <v>0</v>
      </c>
    </row>
    <row r="98" spans="5:137" ht="12.75">
      <c r="E98" s="540" t="s">
        <v>412</v>
      </c>
      <c r="G98" s="541" t="s">
        <v>30</v>
      </c>
      <c r="H98" s="541">
        <f>SUM(J98:EG98)</f>
        <v>0</v>
      </c>
      <c r="J98" s="541">
        <f t="shared" si="30" ref="J98:EG98">MIN(MAX(0,J94-J95),J97*MAX(0,J96))*J93</f>
        <v>0</v>
      </c>
      <c r="K98" s="541">
        <f t="shared" si="30"/>
        <v>0</v>
      </c>
      <c r="L98" s="541">
        <f t="shared" si="30"/>
        <v>0</v>
      </c>
      <c r="M98" s="541">
        <f t="shared" si="30"/>
        <v>0</v>
      </c>
      <c r="N98" s="541">
        <f t="shared" si="30"/>
        <v>0</v>
      </c>
      <c r="O98" s="541">
        <f t="shared" si="30"/>
        <v>0</v>
      </c>
      <c r="P98" s="541">
        <f t="shared" si="30"/>
        <v>0</v>
      </c>
      <c r="Q98" s="541">
        <f t="shared" si="30"/>
        <v>0</v>
      </c>
      <c r="R98" s="541">
        <f t="shared" si="30"/>
        <v>0</v>
      </c>
      <c r="S98" s="541">
        <f t="shared" si="30"/>
        <v>0</v>
      </c>
      <c r="T98" s="541">
        <f t="shared" si="30"/>
        <v>0</v>
      </c>
      <c r="U98" s="541">
        <f t="shared" si="30"/>
        <v>0</v>
      </c>
      <c r="V98" s="541">
        <f t="shared" si="30"/>
        <v>0</v>
      </c>
      <c r="W98" s="541">
        <f t="shared" si="30"/>
        <v>0</v>
      </c>
      <c r="X98" s="541">
        <f t="shared" si="30"/>
        <v>0</v>
      </c>
      <c r="Y98" s="541">
        <f t="shared" si="30"/>
        <v>0</v>
      </c>
      <c r="Z98" s="541">
        <f t="shared" si="30"/>
        <v>0</v>
      </c>
      <c r="AA98" s="541">
        <f t="shared" si="30"/>
        <v>0</v>
      </c>
      <c r="AB98" s="541">
        <f t="shared" si="30"/>
        <v>0</v>
      </c>
      <c r="AC98" s="541">
        <f t="shared" si="30"/>
        <v>0</v>
      </c>
      <c r="AD98" s="541">
        <f t="shared" si="30"/>
        <v>0</v>
      </c>
      <c r="AE98" s="541">
        <f t="shared" si="30"/>
        <v>0</v>
      </c>
      <c r="AF98" s="541">
        <f t="shared" si="30"/>
        <v>0</v>
      </c>
      <c r="AG98" s="541">
        <f t="shared" si="30"/>
        <v>0</v>
      </c>
      <c r="AH98" s="541">
        <f t="shared" si="30"/>
        <v>0</v>
      </c>
      <c r="AI98" s="541">
        <f t="shared" si="30"/>
        <v>0</v>
      </c>
      <c r="AJ98" s="541">
        <f t="shared" si="30"/>
        <v>0</v>
      </c>
      <c r="AK98" s="541">
        <f t="shared" si="30"/>
        <v>0</v>
      </c>
      <c r="AL98" s="541">
        <f t="shared" si="30"/>
        <v>0</v>
      </c>
      <c r="AM98" s="541">
        <f t="shared" si="30"/>
        <v>0</v>
      </c>
      <c r="AN98" s="541">
        <f t="shared" si="30"/>
        <v>0</v>
      </c>
      <c r="AO98" s="541">
        <f t="shared" si="30"/>
        <v>0</v>
      </c>
      <c r="AP98" s="541">
        <f t="shared" si="30"/>
        <v>0</v>
      </c>
      <c r="AQ98" s="541">
        <f t="shared" si="30"/>
        <v>0</v>
      </c>
      <c r="AR98" s="541">
        <f t="shared" si="30"/>
        <v>0</v>
      </c>
      <c r="AS98" s="541">
        <f t="shared" si="30"/>
        <v>0</v>
      </c>
      <c r="AT98" s="541">
        <f t="shared" si="30"/>
        <v>0</v>
      </c>
      <c r="AU98" s="541">
        <f t="shared" si="30"/>
        <v>0</v>
      </c>
      <c r="AV98" s="541">
        <f t="shared" si="30"/>
        <v>0</v>
      </c>
      <c r="AW98" s="541">
        <f t="shared" si="30"/>
        <v>0</v>
      </c>
      <c r="AX98" s="541">
        <f t="shared" si="30"/>
        <v>0</v>
      </c>
      <c r="AY98" s="541">
        <f t="shared" si="30"/>
        <v>0</v>
      </c>
      <c r="AZ98" s="541">
        <f t="shared" si="30"/>
        <v>0</v>
      </c>
      <c r="BA98" s="541">
        <f t="shared" si="30"/>
        <v>0</v>
      </c>
      <c r="BB98" s="541">
        <f t="shared" si="30"/>
        <v>0</v>
      </c>
      <c r="BC98" s="541">
        <f t="shared" si="30"/>
        <v>0</v>
      </c>
      <c r="BD98" s="541">
        <f t="shared" si="30"/>
        <v>0</v>
      </c>
      <c r="BE98" s="541">
        <f t="shared" si="30"/>
        <v>0</v>
      </c>
      <c r="BF98" s="541">
        <f t="shared" si="30"/>
        <v>0</v>
      </c>
      <c r="BG98" s="541">
        <f t="shared" si="30"/>
        <v>0</v>
      </c>
      <c r="BH98" s="541">
        <f t="shared" si="30"/>
        <v>0</v>
      </c>
      <c r="BI98" s="541">
        <f t="shared" si="30"/>
        <v>0</v>
      </c>
      <c r="BJ98" s="541">
        <f t="shared" si="30"/>
        <v>0</v>
      </c>
      <c r="BK98" s="541">
        <f t="shared" si="30"/>
        <v>0</v>
      </c>
      <c r="BL98" s="541">
        <f t="shared" si="30"/>
        <v>0</v>
      </c>
      <c r="BM98" s="541">
        <f t="shared" si="30"/>
        <v>0</v>
      </c>
      <c r="BN98" s="541">
        <f t="shared" si="30"/>
        <v>0</v>
      </c>
      <c r="BO98" s="541">
        <f t="shared" si="30"/>
        <v>0</v>
      </c>
      <c r="BP98" s="541">
        <f t="shared" si="30"/>
        <v>0</v>
      </c>
      <c r="BQ98" s="541">
        <f t="shared" si="30"/>
        <v>0</v>
      </c>
      <c r="BR98" s="541">
        <f t="shared" si="30"/>
        <v>0</v>
      </c>
      <c r="BS98" s="541">
        <f t="shared" si="30"/>
        <v>0</v>
      </c>
      <c r="BT98" s="541">
        <f t="shared" si="30"/>
        <v>0</v>
      </c>
      <c r="BU98" s="541">
        <f t="shared" si="30"/>
        <v>0</v>
      </c>
      <c r="BV98" s="541">
        <f t="shared" si="30"/>
        <v>0</v>
      </c>
      <c r="BW98" s="541">
        <f t="shared" si="30"/>
        <v>0</v>
      </c>
      <c r="BX98" s="541">
        <f t="shared" si="30"/>
        <v>0</v>
      </c>
      <c r="BY98" s="541">
        <f t="shared" si="30"/>
        <v>0</v>
      </c>
      <c r="BZ98" s="541">
        <f t="shared" si="30"/>
        <v>0</v>
      </c>
      <c r="CA98" s="541">
        <f t="shared" si="30"/>
        <v>0</v>
      </c>
      <c r="CB98" s="541">
        <f t="shared" si="30"/>
        <v>0</v>
      </c>
      <c r="CC98" s="541">
        <f t="shared" si="30"/>
        <v>0</v>
      </c>
      <c r="CD98" s="541">
        <f t="shared" si="30"/>
        <v>0</v>
      </c>
      <c r="CE98" s="541">
        <f t="shared" si="30"/>
        <v>0</v>
      </c>
      <c r="CF98" s="541">
        <f t="shared" si="30"/>
        <v>0</v>
      </c>
      <c r="CG98" s="541">
        <f t="shared" si="30"/>
        <v>0</v>
      </c>
      <c r="CH98" s="541">
        <f t="shared" si="30"/>
        <v>0</v>
      </c>
      <c r="CI98" s="541">
        <f t="shared" si="30"/>
        <v>0</v>
      </c>
      <c r="CJ98" s="541">
        <f t="shared" si="30"/>
        <v>0</v>
      </c>
      <c r="CK98" s="541">
        <f t="shared" si="30"/>
        <v>0</v>
      </c>
      <c r="CL98" s="541">
        <f t="shared" si="30"/>
        <v>0</v>
      </c>
      <c r="CM98" s="541">
        <f t="shared" si="30"/>
        <v>0</v>
      </c>
      <c r="CN98" s="541">
        <f t="shared" si="30"/>
        <v>0</v>
      </c>
      <c r="CO98" s="541">
        <f t="shared" si="30"/>
        <v>0</v>
      </c>
      <c r="CP98" s="541">
        <f t="shared" si="30"/>
        <v>0</v>
      </c>
      <c r="CQ98" s="541">
        <f t="shared" si="30"/>
        <v>0</v>
      </c>
      <c r="CR98" s="541">
        <f t="shared" si="30"/>
        <v>0</v>
      </c>
      <c r="CS98" s="541">
        <f t="shared" si="30"/>
        <v>0</v>
      </c>
      <c r="CT98" s="541">
        <f t="shared" si="30"/>
        <v>0</v>
      </c>
      <c r="CU98" s="541">
        <f t="shared" si="30"/>
        <v>0</v>
      </c>
      <c r="CV98" s="541">
        <f t="shared" si="30"/>
        <v>0</v>
      </c>
      <c r="CW98" s="541">
        <f t="shared" si="30"/>
        <v>0</v>
      </c>
      <c r="CX98" s="541">
        <f t="shared" si="30"/>
        <v>0</v>
      </c>
      <c r="CY98" s="541">
        <f t="shared" si="30"/>
        <v>0</v>
      </c>
      <c r="CZ98" s="541">
        <f t="shared" si="30"/>
        <v>0</v>
      </c>
      <c r="DA98" s="541">
        <f t="shared" si="30"/>
        <v>0</v>
      </c>
      <c r="DB98" s="541">
        <f t="shared" si="30"/>
        <v>0</v>
      </c>
      <c r="DC98" s="541">
        <f t="shared" si="30"/>
        <v>0</v>
      </c>
      <c r="DD98" s="541">
        <f t="shared" si="30"/>
        <v>0</v>
      </c>
      <c r="DE98" s="541">
        <f t="shared" si="30"/>
        <v>0</v>
      </c>
      <c r="DF98" s="541">
        <f t="shared" si="30"/>
        <v>0</v>
      </c>
      <c r="DG98" s="541">
        <f t="shared" si="30"/>
        <v>0</v>
      </c>
      <c r="DH98" s="541">
        <f t="shared" si="30"/>
        <v>0</v>
      </c>
      <c r="DI98" s="541">
        <f t="shared" si="30"/>
        <v>0</v>
      </c>
      <c r="DJ98" s="541">
        <f t="shared" si="30"/>
        <v>0</v>
      </c>
      <c r="DK98" s="541">
        <f t="shared" si="30"/>
        <v>0</v>
      </c>
      <c r="DL98" s="541">
        <f t="shared" si="30"/>
        <v>0</v>
      </c>
      <c r="DM98" s="541">
        <f t="shared" si="30"/>
        <v>0</v>
      </c>
      <c r="DN98" s="541">
        <f t="shared" si="30"/>
        <v>0</v>
      </c>
      <c r="DO98" s="541">
        <f t="shared" si="30"/>
        <v>0</v>
      </c>
      <c r="DP98" s="541">
        <f t="shared" si="30"/>
        <v>0</v>
      </c>
      <c r="DQ98" s="541">
        <f t="shared" si="30"/>
        <v>0</v>
      </c>
      <c r="DR98" s="541">
        <f t="shared" si="30"/>
        <v>0</v>
      </c>
      <c r="DS98" s="541">
        <f t="shared" si="30"/>
        <v>0</v>
      </c>
      <c r="DT98" s="541">
        <f t="shared" si="30"/>
        <v>0</v>
      </c>
      <c r="DU98" s="541">
        <f t="shared" si="30"/>
        <v>0</v>
      </c>
      <c r="DV98" s="541">
        <f t="shared" si="30"/>
        <v>0</v>
      </c>
      <c r="DW98" s="541">
        <f t="shared" si="30"/>
        <v>0</v>
      </c>
      <c r="DX98" s="541">
        <f t="shared" si="30"/>
        <v>0</v>
      </c>
      <c r="DY98" s="541">
        <f t="shared" si="30"/>
        <v>0</v>
      </c>
      <c r="DZ98" s="541">
        <f t="shared" si="30"/>
        <v>0</v>
      </c>
      <c r="EA98" s="541">
        <f t="shared" si="30"/>
        <v>0</v>
      </c>
      <c r="EB98" s="541">
        <f t="shared" si="30"/>
        <v>0</v>
      </c>
      <c r="EC98" s="541">
        <f t="shared" si="30"/>
        <v>0</v>
      </c>
      <c r="ED98" s="541">
        <f t="shared" si="30"/>
        <v>0</v>
      </c>
      <c r="EE98" s="541">
        <f t="shared" si="30"/>
        <v>0</v>
      </c>
      <c r="EF98" s="541">
        <f t="shared" si="30"/>
        <v>0</v>
      </c>
      <c r="EG98" s="541">
        <f t="shared" si="30"/>
        <v>0</v>
      </c>
    </row>
    <row r="101" spans="1:1" ht="12.75">
      <c r="A101" s="534" t="s">
        <v>413</v>
      </c>
    </row>
    <row r="103" spans="2:2" ht="12.75">
      <c r="B103" s="534" t="s">
        <v>414</v>
      </c>
    </row>
    <row r="104" spans="5:137" ht="12.75">
      <c r="E104" s="538" t="str">
        <f>E$122</f>
        <v>Cash balance - closing</v>
      </c>
      <c r="G104" s="539" t="str">
        <f>G$122</f>
        <v>EUR 000s</v>
      </c>
      <c r="H104" s="539">
        <f>H$122</f>
        <v>21202.690295842913</v>
      </c>
      <c r="J104" s="539">
        <f t="shared" si="31" ref="J104:EG104">J$122</f>
        <v>0</v>
      </c>
      <c r="K104" s="539">
        <f t="shared" si="31"/>
        <v>0</v>
      </c>
      <c r="L104" s="539">
        <f t="shared" si="31"/>
        <v>0</v>
      </c>
      <c r="M104" s="539">
        <f t="shared" si="31"/>
        <v>0</v>
      </c>
      <c r="N104" s="539">
        <f t="shared" si="31"/>
        <v>0</v>
      </c>
      <c r="O104" s="539">
        <f t="shared" si="31"/>
        <v>0</v>
      </c>
      <c r="P104" s="539">
        <f t="shared" si="31"/>
        <v>0</v>
      </c>
      <c r="Q104" s="539">
        <f t="shared" si="31"/>
        <v>0</v>
      </c>
      <c r="R104" s="539">
        <f t="shared" si="31"/>
        <v>0</v>
      </c>
      <c r="S104" s="539">
        <f t="shared" si="31"/>
        <v>0</v>
      </c>
      <c r="T104" s="539">
        <f t="shared" si="31"/>
        <v>0</v>
      </c>
      <c r="U104" s="539">
        <f t="shared" si="31"/>
        <v>0</v>
      </c>
      <c r="V104" s="539">
        <f t="shared" si="31"/>
        <v>0</v>
      </c>
      <c r="W104" s="539">
        <f t="shared" si="31"/>
        <v>0</v>
      </c>
      <c r="X104" s="539">
        <f t="shared" si="31"/>
        <v>0</v>
      </c>
      <c r="Y104" s="539">
        <f t="shared" si="31"/>
        <v>0</v>
      </c>
      <c r="Z104" s="539">
        <f t="shared" si="31"/>
        <v>0</v>
      </c>
      <c r="AA104" s="539">
        <f t="shared" si="31"/>
        <v>0</v>
      </c>
      <c r="AB104" s="539">
        <f t="shared" si="31"/>
        <v>0</v>
      </c>
      <c r="AC104" s="539">
        <f t="shared" si="31"/>
        <v>0</v>
      </c>
      <c r="AD104" s="539">
        <f t="shared" si="31"/>
        <v>0</v>
      </c>
      <c r="AE104" s="539">
        <f t="shared" si="31"/>
        <v>0</v>
      </c>
      <c r="AF104" s="539">
        <f t="shared" si="31"/>
        <v>0</v>
      </c>
      <c r="AG104" s="539">
        <f t="shared" si="31"/>
        <v>0</v>
      </c>
      <c r="AH104" s="539">
        <f t="shared" si="31"/>
        <v>0</v>
      </c>
      <c r="AI104" s="539">
        <f t="shared" si="31"/>
        <v>0</v>
      </c>
      <c r="AJ104" s="539">
        <f t="shared" si="31"/>
        <v>0</v>
      </c>
      <c r="AK104" s="539">
        <f t="shared" si="31"/>
        <v>0</v>
      </c>
      <c r="AL104" s="539">
        <f t="shared" si="31"/>
        <v>0</v>
      </c>
      <c r="AM104" s="539">
        <f t="shared" si="31"/>
        <v>0</v>
      </c>
      <c r="AN104" s="539">
        <f t="shared" si="31"/>
        <v>0</v>
      </c>
      <c r="AO104" s="539">
        <f t="shared" si="31"/>
        <v>0</v>
      </c>
      <c r="AP104" s="539">
        <f t="shared" si="31"/>
        <v>0</v>
      </c>
      <c r="AQ104" s="539">
        <f t="shared" si="31"/>
        <v>0</v>
      </c>
      <c r="AR104" s="539">
        <f t="shared" si="31"/>
        <v>0</v>
      </c>
      <c r="AS104" s="539">
        <f t="shared" si="31"/>
        <v>0</v>
      </c>
      <c r="AT104" s="539">
        <f t="shared" si="31"/>
        <v>0</v>
      </c>
      <c r="AU104" s="539">
        <f t="shared" si="31"/>
        <v>0</v>
      </c>
      <c r="AV104" s="539">
        <f t="shared" si="31"/>
        <v>0</v>
      </c>
      <c r="AW104" s="539">
        <f t="shared" si="31"/>
        <v>0</v>
      </c>
      <c r="AX104" s="539">
        <f t="shared" si="31"/>
        <v>0</v>
      </c>
      <c r="AY104" s="539">
        <f t="shared" si="31"/>
        <v>0</v>
      </c>
      <c r="AZ104" s="539">
        <f t="shared" si="31"/>
        <v>0</v>
      </c>
      <c r="BA104" s="539">
        <f t="shared" si="31"/>
        <v>0</v>
      </c>
      <c r="BB104" s="539">
        <f t="shared" si="31"/>
        <v>0</v>
      </c>
      <c r="BC104" s="539">
        <f t="shared" si="31"/>
        <v>0</v>
      </c>
      <c r="BD104" s="539">
        <f t="shared" si="31"/>
        <v>0</v>
      </c>
      <c r="BE104" s="539">
        <f t="shared" si="31"/>
        <v>0</v>
      </c>
      <c r="BF104" s="539">
        <f t="shared" si="31"/>
        <v>0</v>
      </c>
      <c r="BG104" s="539">
        <f t="shared" si="31"/>
        <v>0</v>
      </c>
      <c r="BH104" s="539">
        <f t="shared" si="31"/>
        <v>0</v>
      </c>
      <c r="BI104" s="539">
        <f t="shared" si="31"/>
        <v>0</v>
      </c>
      <c r="BJ104" s="539">
        <f t="shared" si="31"/>
        <v>0</v>
      </c>
      <c r="BK104" s="539">
        <f t="shared" si="31"/>
        <v>0</v>
      </c>
      <c r="BL104" s="539">
        <f t="shared" si="31"/>
        <v>0</v>
      </c>
      <c r="BM104" s="539">
        <f t="shared" si="31"/>
        <v>0</v>
      </c>
      <c r="BN104" s="539">
        <f t="shared" si="31"/>
        <v>0</v>
      </c>
      <c r="BO104" s="539">
        <f t="shared" si="31"/>
        <v>0</v>
      </c>
      <c r="BP104" s="539">
        <f t="shared" si="31"/>
        <v>0</v>
      </c>
      <c r="BQ104" s="539">
        <f t="shared" si="31"/>
        <v>0</v>
      </c>
      <c r="BR104" s="539">
        <f t="shared" si="31"/>
        <v>0</v>
      </c>
      <c r="BS104" s="539">
        <f t="shared" si="31"/>
        <v>0</v>
      </c>
      <c r="BT104" s="539">
        <f t="shared" si="31"/>
        <v>0</v>
      </c>
      <c r="BU104" s="539">
        <f t="shared" si="31"/>
        <v>0</v>
      </c>
      <c r="BV104" s="539">
        <f t="shared" si="31"/>
        <v>0</v>
      </c>
      <c r="BW104" s="539">
        <f t="shared" si="31"/>
        <v>0</v>
      </c>
      <c r="BX104" s="539">
        <f t="shared" si="31"/>
        <v>0</v>
      </c>
      <c r="BY104" s="539">
        <f t="shared" si="31"/>
        <v>0</v>
      </c>
      <c r="BZ104" s="539">
        <f t="shared" si="31"/>
        <v>0</v>
      </c>
      <c r="CA104" s="539">
        <f t="shared" si="31"/>
        <v>0</v>
      </c>
      <c r="CB104" s="539">
        <f t="shared" si="31"/>
        <v>0</v>
      </c>
      <c r="CC104" s="539">
        <f t="shared" si="31"/>
        <v>0</v>
      </c>
      <c r="CD104" s="539">
        <f t="shared" si="31"/>
        <v>0</v>
      </c>
      <c r="CE104" s="539">
        <f t="shared" si="31"/>
        <v>0</v>
      </c>
      <c r="CF104" s="539">
        <f t="shared" si="31"/>
        <v>0</v>
      </c>
      <c r="CG104" s="539">
        <f t="shared" si="31"/>
        <v>0</v>
      </c>
      <c r="CH104" s="539">
        <f t="shared" si="31"/>
        <v>0</v>
      </c>
      <c r="CI104" s="539">
        <f t="shared" si="31"/>
        <v>0</v>
      </c>
      <c r="CJ104" s="539">
        <f t="shared" si="31"/>
        <v>0</v>
      </c>
      <c r="CK104" s="539">
        <f t="shared" si="31"/>
        <v>0</v>
      </c>
      <c r="CL104" s="539">
        <f t="shared" si="31"/>
        <v>0</v>
      </c>
      <c r="CM104" s="539">
        <f t="shared" si="31"/>
        <v>0</v>
      </c>
      <c r="CN104" s="539">
        <f t="shared" si="31"/>
        <v>0</v>
      </c>
      <c r="CO104" s="539">
        <f t="shared" si="31"/>
        <v>0</v>
      </c>
      <c r="CP104" s="539">
        <f t="shared" si="31"/>
        <v>0</v>
      </c>
      <c r="CQ104" s="539">
        <f t="shared" si="31"/>
        <v>0</v>
      </c>
      <c r="CR104" s="539">
        <f t="shared" si="31"/>
        <v>0</v>
      </c>
      <c r="CS104" s="539">
        <f t="shared" si="31"/>
        <v>0</v>
      </c>
      <c r="CT104" s="539">
        <f t="shared" si="31"/>
        <v>0</v>
      </c>
      <c r="CU104" s="539">
        <f t="shared" si="31"/>
        <v>0</v>
      </c>
      <c r="CV104" s="539">
        <f t="shared" si="31"/>
        <v>0</v>
      </c>
      <c r="CW104" s="539">
        <f t="shared" si="31"/>
        <v>0</v>
      </c>
      <c r="CX104" s="539">
        <f t="shared" si="31"/>
        <v>0</v>
      </c>
      <c r="CY104" s="539">
        <f t="shared" si="31"/>
        <v>0</v>
      </c>
      <c r="CZ104" s="539">
        <f t="shared" si="31"/>
        <v>0</v>
      </c>
      <c r="DA104" s="539">
        <f t="shared" si="31"/>
        <v>0</v>
      </c>
      <c r="DB104" s="539">
        <f t="shared" si="31"/>
        <v>0</v>
      </c>
      <c r="DC104" s="539">
        <f t="shared" si="31"/>
        <v>0</v>
      </c>
      <c r="DD104" s="539">
        <f t="shared" si="31"/>
        <v>0</v>
      </c>
      <c r="DE104" s="539">
        <f t="shared" si="31"/>
        <v>0</v>
      </c>
      <c r="DF104" s="539">
        <f t="shared" si="31"/>
        <v>0</v>
      </c>
      <c r="DG104" s="539">
        <f t="shared" si="31"/>
        <v>0</v>
      </c>
      <c r="DH104" s="539">
        <f t="shared" si="31"/>
        <v>0</v>
      </c>
      <c r="DI104" s="539">
        <f t="shared" si="31"/>
        <v>0</v>
      </c>
      <c r="DJ104" s="539">
        <f t="shared" si="31"/>
        <v>0</v>
      </c>
      <c r="DK104" s="539">
        <f t="shared" si="31"/>
        <v>0</v>
      </c>
      <c r="DL104" s="539">
        <f t="shared" si="31"/>
        <v>0</v>
      </c>
      <c r="DM104" s="539">
        <f t="shared" si="31"/>
        <v>0</v>
      </c>
      <c r="DN104" s="539">
        <f t="shared" si="31"/>
        <v>0</v>
      </c>
      <c r="DO104" s="539">
        <f t="shared" si="31"/>
        <v>0</v>
      </c>
      <c r="DP104" s="539">
        <f t="shared" si="31"/>
        <v>0</v>
      </c>
      <c r="DQ104" s="539">
        <f t="shared" si="31"/>
        <v>0</v>
      </c>
      <c r="DR104" s="539">
        <f t="shared" si="31"/>
        <v>0</v>
      </c>
      <c r="DS104" s="539">
        <f t="shared" si="31"/>
        <v>0</v>
      </c>
      <c r="DT104" s="539">
        <f t="shared" si="31"/>
        <v>0</v>
      </c>
      <c r="DU104" s="539">
        <f t="shared" si="31"/>
        <v>0</v>
      </c>
      <c r="DV104" s="539">
        <f t="shared" si="31"/>
        <v>0</v>
      </c>
      <c r="DW104" s="539">
        <f t="shared" si="31"/>
        <v>0</v>
      </c>
      <c r="DX104" s="539">
        <f t="shared" si="31"/>
        <v>0</v>
      </c>
      <c r="DY104" s="539">
        <f t="shared" si="31"/>
        <v>1997.2598334849408</v>
      </c>
      <c r="DZ104" s="539">
        <f t="shared" si="31"/>
        <v>4152.3012636137537</v>
      </c>
      <c r="EA104" s="539">
        <f t="shared" si="31"/>
        <v>6402.5633707117795</v>
      </c>
      <c r="EB104" s="539">
        <f t="shared" si="31"/>
        <v>8650.5658280308089</v>
      </c>
      <c r="EC104" s="539">
        <f t="shared" si="31"/>
        <v>0</v>
      </c>
      <c r="ED104" s="539">
        <f t="shared" si="31"/>
        <v>4.0745362639427185E-10</v>
      </c>
      <c r="EE104" s="539">
        <f t="shared" si="31"/>
        <v>4.0745362639427185E-10</v>
      </c>
      <c r="EF104" s="539">
        <f t="shared" si="31"/>
        <v>4.0745362639427185E-10</v>
      </c>
      <c r="EG104" s="539">
        <f t="shared" si="31"/>
        <v>4.0745362639427185E-10</v>
      </c>
    </row>
    <row r="105" spans="5:137" ht="12.75">
      <c r="E105" s="538" t="s">
        <v>415</v>
      </c>
      <c r="G105" s="539" t="s">
        <v>30</v>
      </c>
      <c r="H105" s="539">
        <f>SUM(J105:EG105)</f>
        <v>21202.690295842505</v>
      </c>
      <c r="J105" s="539">
        <f t="shared" si="32" ref="J105:EG105">I104</f>
        <v>0</v>
      </c>
      <c r="K105" s="539">
        <f t="shared" si="32"/>
        <v>0</v>
      </c>
      <c r="L105" s="539">
        <f t="shared" si="32"/>
        <v>0</v>
      </c>
      <c r="M105" s="539">
        <f t="shared" si="32"/>
        <v>0</v>
      </c>
      <c r="N105" s="539">
        <f t="shared" si="32"/>
        <v>0</v>
      </c>
      <c r="O105" s="539">
        <f t="shared" si="32"/>
        <v>0</v>
      </c>
      <c r="P105" s="539">
        <f t="shared" si="32"/>
        <v>0</v>
      </c>
      <c r="Q105" s="539">
        <f t="shared" si="32"/>
        <v>0</v>
      </c>
      <c r="R105" s="539">
        <f t="shared" si="32"/>
        <v>0</v>
      </c>
      <c r="S105" s="539">
        <f t="shared" si="32"/>
        <v>0</v>
      </c>
      <c r="T105" s="539">
        <f t="shared" si="32"/>
        <v>0</v>
      </c>
      <c r="U105" s="539">
        <f t="shared" si="32"/>
        <v>0</v>
      </c>
      <c r="V105" s="539">
        <f t="shared" si="32"/>
        <v>0</v>
      </c>
      <c r="W105" s="539">
        <f t="shared" si="32"/>
        <v>0</v>
      </c>
      <c r="X105" s="539">
        <f t="shared" si="32"/>
        <v>0</v>
      </c>
      <c r="Y105" s="539">
        <f t="shared" si="32"/>
        <v>0</v>
      </c>
      <c r="Z105" s="539">
        <f t="shared" si="32"/>
        <v>0</v>
      </c>
      <c r="AA105" s="539">
        <f t="shared" si="32"/>
        <v>0</v>
      </c>
      <c r="AB105" s="539">
        <f t="shared" si="32"/>
        <v>0</v>
      </c>
      <c r="AC105" s="539">
        <f t="shared" si="32"/>
        <v>0</v>
      </c>
      <c r="AD105" s="539">
        <f t="shared" si="32"/>
        <v>0</v>
      </c>
      <c r="AE105" s="539">
        <f t="shared" si="32"/>
        <v>0</v>
      </c>
      <c r="AF105" s="539">
        <f t="shared" si="32"/>
        <v>0</v>
      </c>
      <c r="AG105" s="539">
        <f t="shared" si="32"/>
        <v>0</v>
      </c>
      <c r="AH105" s="539">
        <f t="shared" si="32"/>
        <v>0</v>
      </c>
      <c r="AI105" s="539">
        <f t="shared" si="32"/>
        <v>0</v>
      </c>
      <c r="AJ105" s="539">
        <f t="shared" si="32"/>
        <v>0</v>
      </c>
      <c r="AK105" s="539">
        <f t="shared" si="32"/>
        <v>0</v>
      </c>
      <c r="AL105" s="539">
        <f t="shared" si="32"/>
        <v>0</v>
      </c>
      <c r="AM105" s="539">
        <f t="shared" si="32"/>
        <v>0</v>
      </c>
      <c r="AN105" s="539">
        <f t="shared" si="32"/>
        <v>0</v>
      </c>
      <c r="AO105" s="539">
        <f t="shared" si="32"/>
        <v>0</v>
      </c>
      <c r="AP105" s="539">
        <f t="shared" si="32"/>
        <v>0</v>
      </c>
      <c r="AQ105" s="539">
        <f t="shared" si="32"/>
        <v>0</v>
      </c>
      <c r="AR105" s="539">
        <f t="shared" si="32"/>
        <v>0</v>
      </c>
      <c r="AS105" s="539">
        <f t="shared" si="32"/>
        <v>0</v>
      </c>
      <c r="AT105" s="539">
        <f t="shared" si="32"/>
        <v>0</v>
      </c>
      <c r="AU105" s="539">
        <f t="shared" si="32"/>
        <v>0</v>
      </c>
      <c r="AV105" s="539">
        <f t="shared" si="32"/>
        <v>0</v>
      </c>
      <c r="AW105" s="539">
        <f t="shared" si="32"/>
        <v>0</v>
      </c>
      <c r="AX105" s="539">
        <f t="shared" si="32"/>
        <v>0</v>
      </c>
      <c r="AY105" s="539">
        <f t="shared" si="32"/>
        <v>0</v>
      </c>
      <c r="AZ105" s="539">
        <f t="shared" si="32"/>
        <v>0</v>
      </c>
      <c r="BA105" s="539">
        <f t="shared" si="32"/>
        <v>0</v>
      </c>
      <c r="BB105" s="539">
        <f t="shared" si="32"/>
        <v>0</v>
      </c>
      <c r="BC105" s="539">
        <f t="shared" si="32"/>
        <v>0</v>
      </c>
      <c r="BD105" s="539">
        <f t="shared" si="32"/>
        <v>0</v>
      </c>
      <c r="BE105" s="539">
        <f t="shared" si="32"/>
        <v>0</v>
      </c>
      <c r="BF105" s="539">
        <f t="shared" si="32"/>
        <v>0</v>
      </c>
      <c r="BG105" s="539">
        <f t="shared" si="32"/>
        <v>0</v>
      </c>
      <c r="BH105" s="539">
        <f t="shared" si="32"/>
        <v>0</v>
      </c>
      <c r="BI105" s="539">
        <f t="shared" si="32"/>
        <v>0</v>
      </c>
      <c r="BJ105" s="539">
        <f t="shared" si="32"/>
        <v>0</v>
      </c>
      <c r="BK105" s="539">
        <f t="shared" si="32"/>
        <v>0</v>
      </c>
      <c r="BL105" s="539">
        <f t="shared" si="32"/>
        <v>0</v>
      </c>
      <c r="BM105" s="539">
        <f t="shared" si="32"/>
        <v>0</v>
      </c>
      <c r="BN105" s="539">
        <f t="shared" si="32"/>
        <v>0</v>
      </c>
      <c r="BO105" s="539">
        <f t="shared" si="32"/>
        <v>0</v>
      </c>
      <c r="BP105" s="539">
        <f t="shared" si="32"/>
        <v>0</v>
      </c>
      <c r="BQ105" s="539">
        <f t="shared" si="32"/>
        <v>0</v>
      </c>
      <c r="BR105" s="539">
        <f t="shared" si="32"/>
        <v>0</v>
      </c>
      <c r="BS105" s="539">
        <f t="shared" si="32"/>
        <v>0</v>
      </c>
      <c r="BT105" s="539">
        <f t="shared" si="32"/>
        <v>0</v>
      </c>
      <c r="BU105" s="539">
        <f t="shared" si="32"/>
        <v>0</v>
      </c>
      <c r="BV105" s="539">
        <f t="shared" si="32"/>
        <v>0</v>
      </c>
      <c r="BW105" s="539">
        <f t="shared" si="32"/>
        <v>0</v>
      </c>
      <c r="BX105" s="539">
        <f t="shared" si="32"/>
        <v>0</v>
      </c>
      <c r="BY105" s="539">
        <f t="shared" si="32"/>
        <v>0</v>
      </c>
      <c r="BZ105" s="539">
        <f t="shared" si="32"/>
        <v>0</v>
      </c>
      <c r="CA105" s="539">
        <f t="shared" si="32"/>
        <v>0</v>
      </c>
      <c r="CB105" s="539">
        <f t="shared" si="32"/>
        <v>0</v>
      </c>
      <c r="CC105" s="539">
        <f t="shared" si="32"/>
        <v>0</v>
      </c>
      <c r="CD105" s="539">
        <f t="shared" si="32"/>
        <v>0</v>
      </c>
      <c r="CE105" s="539">
        <f t="shared" si="32"/>
        <v>0</v>
      </c>
      <c r="CF105" s="539">
        <f t="shared" si="32"/>
        <v>0</v>
      </c>
      <c r="CG105" s="539">
        <f t="shared" si="32"/>
        <v>0</v>
      </c>
      <c r="CH105" s="539">
        <f t="shared" si="32"/>
        <v>0</v>
      </c>
      <c r="CI105" s="539">
        <f t="shared" si="32"/>
        <v>0</v>
      </c>
      <c r="CJ105" s="539">
        <f t="shared" si="32"/>
        <v>0</v>
      </c>
      <c r="CK105" s="539">
        <f t="shared" si="32"/>
        <v>0</v>
      </c>
      <c r="CL105" s="539">
        <f t="shared" si="32"/>
        <v>0</v>
      </c>
      <c r="CM105" s="539">
        <f t="shared" si="32"/>
        <v>0</v>
      </c>
      <c r="CN105" s="539">
        <f t="shared" si="32"/>
        <v>0</v>
      </c>
      <c r="CO105" s="539">
        <f t="shared" si="32"/>
        <v>0</v>
      </c>
      <c r="CP105" s="539">
        <f t="shared" si="32"/>
        <v>0</v>
      </c>
      <c r="CQ105" s="539">
        <f t="shared" si="32"/>
        <v>0</v>
      </c>
      <c r="CR105" s="539">
        <f t="shared" si="32"/>
        <v>0</v>
      </c>
      <c r="CS105" s="539">
        <f t="shared" si="32"/>
        <v>0</v>
      </c>
      <c r="CT105" s="539">
        <f t="shared" si="32"/>
        <v>0</v>
      </c>
      <c r="CU105" s="539">
        <f t="shared" si="32"/>
        <v>0</v>
      </c>
      <c r="CV105" s="539">
        <f t="shared" si="32"/>
        <v>0</v>
      </c>
      <c r="CW105" s="539">
        <f t="shared" si="32"/>
        <v>0</v>
      </c>
      <c r="CX105" s="539">
        <f t="shared" si="32"/>
        <v>0</v>
      </c>
      <c r="CY105" s="539">
        <f t="shared" si="32"/>
        <v>0</v>
      </c>
      <c r="CZ105" s="539">
        <f t="shared" si="32"/>
        <v>0</v>
      </c>
      <c r="DA105" s="539">
        <f t="shared" si="32"/>
        <v>0</v>
      </c>
      <c r="DB105" s="539">
        <f t="shared" si="32"/>
        <v>0</v>
      </c>
      <c r="DC105" s="539">
        <f t="shared" si="32"/>
        <v>0</v>
      </c>
      <c r="DD105" s="539">
        <f t="shared" si="32"/>
        <v>0</v>
      </c>
      <c r="DE105" s="539">
        <f t="shared" si="32"/>
        <v>0</v>
      </c>
      <c r="DF105" s="539">
        <f t="shared" si="32"/>
        <v>0</v>
      </c>
      <c r="DG105" s="539">
        <f t="shared" si="32"/>
        <v>0</v>
      </c>
      <c r="DH105" s="539">
        <f t="shared" si="32"/>
        <v>0</v>
      </c>
      <c r="DI105" s="539">
        <f t="shared" si="32"/>
        <v>0</v>
      </c>
      <c r="DJ105" s="539">
        <f t="shared" si="32"/>
        <v>0</v>
      </c>
      <c r="DK105" s="539">
        <f t="shared" si="32"/>
        <v>0</v>
      </c>
      <c r="DL105" s="539">
        <f t="shared" si="32"/>
        <v>0</v>
      </c>
      <c r="DM105" s="539">
        <f t="shared" si="32"/>
        <v>0</v>
      </c>
      <c r="DN105" s="539">
        <f t="shared" si="32"/>
        <v>0</v>
      </c>
      <c r="DO105" s="539">
        <f t="shared" si="32"/>
        <v>0</v>
      </c>
      <c r="DP105" s="539">
        <f t="shared" si="32"/>
        <v>0</v>
      </c>
      <c r="DQ105" s="539">
        <f t="shared" si="32"/>
        <v>0</v>
      </c>
      <c r="DR105" s="539">
        <f t="shared" si="32"/>
        <v>0</v>
      </c>
      <c r="DS105" s="539">
        <f t="shared" si="32"/>
        <v>0</v>
      </c>
      <c r="DT105" s="539">
        <f t="shared" si="32"/>
        <v>0</v>
      </c>
      <c r="DU105" s="539">
        <f t="shared" si="32"/>
        <v>0</v>
      </c>
      <c r="DV105" s="539">
        <f t="shared" si="32"/>
        <v>0</v>
      </c>
      <c r="DW105" s="539">
        <f t="shared" si="32"/>
        <v>0</v>
      </c>
      <c r="DX105" s="539">
        <f t="shared" si="32"/>
        <v>0</v>
      </c>
      <c r="DY105" s="539">
        <f t="shared" si="32"/>
        <v>0</v>
      </c>
      <c r="DZ105" s="539">
        <f t="shared" si="32"/>
        <v>1997.2598334849408</v>
      </c>
      <c r="EA105" s="539">
        <f t="shared" si="32"/>
        <v>4152.3012636137537</v>
      </c>
      <c r="EB105" s="539">
        <f t="shared" si="32"/>
        <v>6402.5633707117795</v>
      </c>
      <c r="EC105" s="539">
        <f t="shared" si="32"/>
        <v>8650.5658280308089</v>
      </c>
      <c r="ED105" s="539">
        <f t="shared" si="32"/>
        <v>0</v>
      </c>
      <c r="EE105" s="539">
        <f t="shared" si="32"/>
        <v>4.0745362639427185E-10</v>
      </c>
      <c r="EF105" s="539">
        <f t="shared" si="32"/>
        <v>4.0745362639427185E-10</v>
      </c>
      <c r="EG105" s="539">
        <f t="shared" si="32"/>
        <v>4.0745362639427185E-10</v>
      </c>
    </row>
    <row r="107" spans="5:7" ht="12.75">
      <c r="E107" s="535" t="str">
        <f>InpC!E$103</f>
        <v>Distributions - minimum cash balance</v>
      </c>
      <c r="F107" s="537">
        <f>InpC!F$103</f>
        <v>0</v>
      </c>
      <c r="G107" s="537" t="str">
        <f>InpC!G$103</f>
        <v>EUR 000s</v>
      </c>
    </row>
    <row r="108" spans="5:137" ht="12.75">
      <c r="E108" s="535" t="str">
        <f>Time!E$91</f>
        <v>Operating period flag</v>
      </c>
      <c r="G108" s="537" t="str">
        <f>Time!G$91</f>
        <v>flag</v>
      </c>
      <c r="H108" s="537">
        <f>Time!H$91</f>
        <v>100</v>
      </c>
      <c r="J108" s="537">
        <f>Time!J$91</f>
        <v>0</v>
      </c>
      <c r="K108" s="537">
        <f>Time!K$91</f>
        <v>0</v>
      </c>
      <c r="L108" s="537">
        <f>Time!L$91</f>
        <v>0</v>
      </c>
      <c r="M108" s="537">
        <f>Time!M$91</f>
        <v>0</v>
      </c>
      <c r="N108" s="537">
        <f>Time!N$91</f>
        <v>0</v>
      </c>
      <c r="O108" s="537">
        <f>Time!O$91</f>
        <v>0</v>
      </c>
      <c r="P108" s="537">
        <f>Time!P$91</f>
        <v>0</v>
      </c>
      <c r="Q108" s="537">
        <f>Time!Q$91</f>
        <v>0</v>
      </c>
      <c r="R108" s="537">
        <f>Time!R$91</f>
        <v>0</v>
      </c>
      <c r="S108" s="537">
        <f>Time!S$91</f>
        <v>0</v>
      </c>
      <c r="T108" s="537">
        <f>Time!T$91</f>
        <v>0</v>
      </c>
      <c r="U108" s="537">
        <f>Time!U$91</f>
        <v>0</v>
      </c>
      <c r="V108" s="537">
        <f>Time!V$91</f>
        <v>0</v>
      </c>
      <c r="W108" s="537">
        <f>Time!W$91</f>
        <v>0</v>
      </c>
      <c r="X108" s="537">
        <f>Time!X$91</f>
        <v>0</v>
      </c>
      <c r="Y108" s="537">
        <f>Time!Y$91</f>
        <v>0</v>
      </c>
      <c r="Z108" s="537">
        <f>Time!Z$91</f>
        <v>0</v>
      </c>
      <c r="AA108" s="537">
        <f>Time!AA$91</f>
        <v>0</v>
      </c>
      <c r="AB108" s="537">
        <f>Time!AB$91</f>
        <v>0</v>
      </c>
      <c r="AC108" s="537">
        <f>Time!AC$91</f>
        <v>0</v>
      </c>
      <c r="AD108" s="537">
        <f>Time!AD$91</f>
        <v>0</v>
      </c>
      <c r="AE108" s="537">
        <f>Time!AE$91</f>
        <v>0</v>
      </c>
      <c r="AF108" s="537">
        <f>Time!AF$91</f>
        <v>0</v>
      </c>
      <c r="AG108" s="537">
        <f>Time!AG$91</f>
        <v>0</v>
      </c>
      <c r="AH108" s="537">
        <f>Time!AH$91</f>
        <v>1</v>
      </c>
      <c r="AI108" s="537">
        <f>Time!AI$91</f>
        <v>1</v>
      </c>
      <c r="AJ108" s="537">
        <f>Time!AJ$91</f>
        <v>1</v>
      </c>
      <c r="AK108" s="537">
        <f>Time!AK$91</f>
        <v>1</v>
      </c>
      <c r="AL108" s="537">
        <f>Time!AL$91</f>
        <v>1</v>
      </c>
      <c r="AM108" s="537">
        <f>Time!AM$91</f>
        <v>1</v>
      </c>
      <c r="AN108" s="537">
        <f>Time!AN$91</f>
        <v>1</v>
      </c>
      <c r="AO108" s="537">
        <f>Time!AO$91</f>
        <v>1</v>
      </c>
      <c r="AP108" s="537">
        <f>Time!AP$91</f>
        <v>1</v>
      </c>
      <c r="AQ108" s="537">
        <f>Time!AQ$91</f>
        <v>1</v>
      </c>
      <c r="AR108" s="537">
        <f>Time!AR$91</f>
        <v>1</v>
      </c>
      <c r="AS108" s="537">
        <f>Time!AS$91</f>
        <v>1</v>
      </c>
      <c r="AT108" s="537">
        <f>Time!AT$91</f>
        <v>1</v>
      </c>
      <c r="AU108" s="537">
        <f>Time!AU$91</f>
        <v>1</v>
      </c>
      <c r="AV108" s="537">
        <f>Time!AV$91</f>
        <v>1</v>
      </c>
      <c r="AW108" s="537">
        <f>Time!AW$91</f>
        <v>1</v>
      </c>
      <c r="AX108" s="537">
        <f>Time!AX$91</f>
        <v>1</v>
      </c>
      <c r="AY108" s="537">
        <f>Time!AY$91</f>
        <v>1</v>
      </c>
      <c r="AZ108" s="537">
        <f>Time!AZ$91</f>
        <v>1</v>
      </c>
      <c r="BA108" s="537">
        <f>Time!BA$91</f>
        <v>1</v>
      </c>
      <c r="BB108" s="537">
        <f>Time!BB$91</f>
        <v>1</v>
      </c>
      <c r="BC108" s="537">
        <f>Time!BC$91</f>
        <v>1</v>
      </c>
      <c r="BD108" s="537">
        <f>Time!BD$91</f>
        <v>1</v>
      </c>
      <c r="BE108" s="537">
        <f>Time!BE$91</f>
        <v>1</v>
      </c>
      <c r="BF108" s="537">
        <f>Time!BF$91</f>
        <v>1</v>
      </c>
      <c r="BG108" s="537">
        <f>Time!BG$91</f>
        <v>1</v>
      </c>
      <c r="BH108" s="537">
        <f>Time!BH$91</f>
        <v>1</v>
      </c>
      <c r="BI108" s="537">
        <f>Time!BI$91</f>
        <v>1</v>
      </c>
      <c r="BJ108" s="537">
        <f>Time!BJ$91</f>
        <v>1</v>
      </c>
      <c r="BK108" s="537">
        <f>Time!BK$91</f>
        <v>1</v>
      </c>
      <c r="BL108" s="537">
        <f>Time!BL$91</f>
        <v>1</v>
      </c>
      <c r="BM108" s="537">
        <f>Time!BM$91</f>
        <v>1</v>
      </c>
      <c r="BN108" s="537">
        <f>Time!BN$91</f>
        <v>1</v>
      </c>
      <c r="BO108" s="537">
        <f>Time!BO$91</f>
        <v>1</v>
      </c>
      <c r="BP108" s="537">
        <f>Time!BP$91</f>
        <v>1</v>
      </c>
      <c r="BQ108" s="537">
        <f>Time!BQ$91</f>
        <v>1</v>
      </c>
      <c r="BR108" s="537">
        <f>Time!BR$91</f>
        <v>1</v>
      </c>
      <c r="BS108" s="537">
        <f>Time!BS$91</f>
        <v>1</v>
      </c>
      <c r="BT108" s="537">
        <f>Time!BT$91</f>
        <v>1</v>
      </c>
      <c r="BU108" s="537">
        <f>Time!BU$91</f>
        <v>1</v>
      </c>
      <c r="BV108" s="537">
        <f>Time!BV$91</f>
        <v>1</v>
      </c>
      <c r="BW108" s="537">
        <f>Time!BW$91</f>
        <v>1</v>
      </c>
      <c r="BX108" s="537">
        <f>Time!BX$91</f>
        <v>1</v>
      </c>
      <c r="BY108" s="537">
        <f>Time!BY$91</f>
        <v>1</v>
      </c>
      <c r="BZ108" s="537">
        <f>Time!BZ$91</f>
        <v>1</v>
      </c>
      <c r="CA108" s="537">
        <f>Time!CA$91</f>
        <v>1</v>
      </c>
      <c r="CB108" s="537">
        <f>Time!CB$91</f>
        <v>1</v>
      </c>
      <c r="CC108" s="537">
        <f>Time!CC$91</f>
        <v>1</v>
      </c>
      <c r="CD108" s="537">
        <f>Time!CD$91</f>
        <v>1</v>
      </c>
      <c r="CE108" s="537">
        <f>Time!CE$91</f>
        <v>1</v>
      </c>
      <c r="CF108" s="537">
        <f>Time!CF$91</f>
        <v>1</v>
      </c>
      <c r="CG108" s="537">
        <f>Time!CG$91</f>
        <v>1</v>
      </c>
      <c r="CH108" s="537">
        <f>Time!CH$91</f>
        <v>1</v>
      </c>
      <c r="CI108" s="537">
        <f>Time!CI$91</f>
        <v>1</v>
      </c>
      <c r="CJ108" s="537">
        <f>Time!CJ$91</f>
        <v>1</v>
      </c>
      <c r="CK108" s="537">
        <f>Time!CK$91</f>
        <v>1</v>
      </c>
      <c r="CL108" s="537">
        <f>Time!CL$91</f>
        <v>1</v>
      </c>
      <c r="CM108" s="537">
        <f>Time!CM$91</f>
        <v>1</v>
      </c>
      <c r="CN108" s="537">
        <f>Time!CN$91</f>
        <v>1</v>
      </c>
      <c r="CO108" s="537">
        <f>Time!CO$91</f>
        <v>1</v>
      </c>
      <c r="CP108" s="537">
        <f>Time!CP$91</f>
        <v>1</v>
      </c>
      <c r="CQ108" s="537">
        <f>Time!CQ$91</f>
        <v>1</v>
      </c>
      <c r="CR108" s="537">
        <f>Time!CR$91</f>
        <v>1</v>
      </c>
      <c r="CS108" s="537">
        <f>Time!CS$91</f>
        <v>1</v>
      </c>
      <c r="CT108" s="537">
        <f>Time!CT$91</f>
        <v>1</v>
      </c>
      <c r="CU108" s="537">
        <f>Time!CU$91</f>
        <v>1</v>
      </c>
      <c r="CV108" s="537">
        <f>Time!CV$91</f>
        <v>1</v>
      </c>
      <c r="CW108" s="537">
        <f>Time!CW$91</f>
        <v>1</v>
      </c>
      <c r="CX108" s="537">
        <f>Time!CX$91</f>
        <v>1</v>
      </c>
      <c r="CY108" s="537">
        <f>Time!CY$91</f>
        <v>1</v>
      </c>
      <c r="CZ108" s="537">
        <f>Time!CZ$91</f>
        <v>1</v>
      </c>
      <c r="DA108" s="537">
        <f>Time!DA$91</f>
        <v>1</v>
      </c>
      <c r="DB108" s="537">
        <f>Time!DB$91</f>
        <v>1</v>
      </c>
      <c r="DC108" s="537">
        <f>Time!DC$91</f>
        <v>1</v>
      </c>
      <c r="DD108" s="537">
        <f>Time!DD$91</f>
        <v>1</v>
      </c>
      <c r="DE108" s="537">
        <f>Time!DE$91</f>
        <v>1</v>
      </c>
      <c r="DF108" s="537">
        <f>Time!DF$91</f>
        <v>1</v>
      </c>
      <c r="DG108" s="537">
        <f>Time!DG$91</f>
        <v>1</v>
      </c>
      <c r="DH108" s="537">
        <f>Time!DH$91</f>
        <v>1</v>
      </c>
      <c r="DI108" s="537">
        <f>Time!DI$91</f>
        <v>1</v>
      </c>
      <c r="DJ108" s="537">
        <f>Time!DJ$91</f>
        <v>1</v>
      </c>
      <c r="DK108" s="537">
        <f>Time!DK$91</f>
        <v>1</v>
      </c>
      <c r="DL108" s="537">
        <f>Time!DL$91</f>
        <v>1</v>
      </c>
      <c r="DM108" s="537">
        <f>Time!DM$91</f>
        <v>1</v>
      </c>
      <c r="DN108" s="537">
        <f>Time!DN$91</f>
        <v>1</v>
      </c>
      <c r="DO108" s="537">
        <f>Time!DO$91</f>
        <v>1</v>
      </c>
      <c r="DP108" s="537">
        <f>Time!DP$91</f>
        <v>1</v>
      </c>
      <c r="DQ108" s="537">
        <f>Time!DQ$91</f>
        <v>1</v>
      </c>
      <c r="DR108" s="537">
        <f>Time!DR$91</f>
        <v>1</v>
      </c>
      <c r="DS108" s="537">
        <f>Time!DS$91</f>
        <v>1</v>
      </c>
      <c r="DT108" s="537">
        <f>Time!DT$91</f>
        <v>1</v>
      </c>
      <c r="DU108" s="537">
        <f>Time!DU$91</f>
        <v>1</v>
      </c>
      <c r="DV108" s="537">
        <f>Time!DV$91</f>
        <v>1</v>
      </c>
      <c r="DW108" s="537">
        <f>Time!DW$91</f>
        <v>1</v>
      </c>
      <c r="DX108" s="537">
        <f>Time!DX$91</f>
        <v>1</v>
      </c>
      <c r="DY108" s="537">
        <f>Time!DY$91</f>
        <v>1</v>
      </c>
      <c r="DZ108" s="537">
        <f>Time!DZ$91</f>
        <v>1</v>
      </c>
      <c r="EA108" s="537">
        <f>Time!EA$91</f>
        <v>1</v>
      </c>
      <c r="EB108" s="537">
        <f>Time!EB$91</f>
        <v>1</v>
      </c>
      <c r="EC108" s="537">
        <f>Time!EC$91</f>
        <v>1</v>
      </c>
      <c r="ED108" s="537">
        <f>Time!ED$91</f>
        <v>0</v>
      </c>
      <c r="EE108" s="537">
        <f>Time!EE$91</f>
        <v>0</v>
      </c>
      <c r="EF108" s="537">
        <f>Time!EF$91</f>
        <v>0</v>
      </c>
      <c r="EG108" s="537">
        <f>Time!EG$91</f>
        <v>0</v>
      </c>
    </row>
    <row r="109" spans="5:137" ht="12.75">
      <c r="E109" s="538" t="str">
        <f>E$52</f>
        <v>Cash flow - after junior debt service</v>
      </c>
      <c r="G109" s="539" t="str">
        <f>G$52</f>
        <v>EUR 000s</v>
      </c>
      <c r="H109" s="539">
        <f>H$52</f>
        <v>542229.52746011713</v>
      </c>
      <c r="J109" s="539">
        <f t="shared" si="33" ref="J109:EG109">J$52</f>
        <v>0</v>
      </c>
      <c r="K109" s="539">
        <f t="shared" si="33"/>
        <v>0</v>
      </c>
      <c r="L109" s="539">
        <f t="shared" si="33"/>
        <v>0</v>
      </c>
      <c r="M109" s="539">
        <f t="shared" si="33"/>
        <v>0</v>
      </c>
      <c r="N109" s="539">
        <f t="shared" si="33"/>
        <v>0</v>
      </c>
      <c r="O109" s="539">
        <f t="shared" si="33"/>
        <v>0</v>
      </c>
      <c r="P109" s="539">
        <f t="shared" si="33"/>
        <v>1.8189894035458565E-12</v>
      </c>
      <c r="Q109" s="539">
        <f t="shared" si="33"/>
        <v>0</v>
      </c>
      <c r="R109" s="539">
        <f t="shared" si="33"/>
        <v>0</v>
      </c>
      <c r="S109" s="539">
        <f t="shared" si="33"/>
        <v>0</v>
      </c>
      <c r="T109" s="539">
        <f t="shared" si="33"/>
        <v>0</v>
      </c>
      <c r="U109" s="539">
        <f t="shared" si="33"/>
        <v>0</v>
      </c>
      <c r="V109" s="539">
        <f t="shared" si="33"/>
        <v>0</v>
      </c>
      <c r="W109" s="539">
        <f t="shared" si="33"/>
        <v>0</v>
      </c>
      <c r="X109" s="539">
        <f t="shared" si="33"/>
        <v>0</v>
      </c>
      <c r="Y109" s="539">
        <f t="shared" si="33"/>
        <v>0</v>
      </c>
      <c r="Z109" s="539">
        <f t="shared" si="33"/>
        <v>0</v>
      </c>
      <c r="AA109" s="539">
        <f t="shared" si="33"/>
        <v>0</v>
      </c>
      <c r="AB109" s="539">
        <f t="shared" si="33"/>
        <v>0</v>
      </c>
      <c r="AC109" s="539">
        <f t="shared" si="33"/>
        <v>0</v>
      </c>
      <c r="AD109" s="539">
        <f t="shared" si="33"/>
        <v>0</v>
      </c>
      <c r="AE109" s="539">
        <f t="shared" si="33"/>
        <v>0</v>
      </c>
      <c r="AF109" s="539">
        <f t="shared" si="33"/>
        <v>0</v>
      </c>
      <c r="AG109" s="539">
        <f t="shared" si="33"/>
        <v>0</v>
      </c>
      <c r="AH109" s="539">
        <f t="shared" si="33"/>
        <v>1383.9233639501999</v>
      </c>
      <c r="AI109" s="539">
        <f t="shared" si="33"/>
        <v>3289.5323362199924</v>
      </c>
      <c r="AJ109" s="539">
        <f t="shared" si="33"/>
        <v>3245.3805232500731</v>
      </c>
      <c r="AK109" s="539">
        <f t="shared" si="33"/>
        <v>3195.0408989934072</v>
      </c>
      <c r="AL109" s="539">
        <f t="shared" si="33"/>
        <v>3314.6555979376371</v>
      </c>
      <c r="AM109" s="539">
        <f t="shared" si="33"/>
        <v>3413.5103829410727</v>
      </c>
      <c r="AN109" s="539">
        <f t="shared" si="33"/>
        <v>3368.8149446907446</v>
      </c>
      <c r="AO109" s="539">
        <f t="shared" si="33"/>
        <v>3317.8291025066792</v>
      </c>
      <c r="AP109" s="539">
        <f t="shared" si="33"/>
        <v>3438.4566627931977</v>
      </c>
      <c r="AQ109" s="539">
        <f t="shared" si="33"/>
        <v>3538.7454210592982</v>
      </c>
      <c r="AR109" s="539">
        <f t="shared" si="33"/>
        <v>3482.692592271675</v>
      </c>
      <c r="AS109" s="539">
        <f t="shared" si="33"/>
        <v>3452.6458698254974</v>
      </c>
      <c r="AT109" s="539">
        <f t="shared" si="33"/>
        <v>1840.225347833371</v>
      </c>
      <c r="AU109" s="539">
        <f t="shared" si="33"/>
        <v>1907.064048963113</v>
      </c>
      <c r="AV109" s="539">
        <f t="shared" si="33"/>
        <v>1879.8635093641863</v>
      </c>
      <c r="AW109" s="539">
        <f t="shared" si="33"/>
        <v>1823.2308510204605</v>
      </c>
      <c r="AX109" s="539">
        <f t="shared" si="33"/>
        <v>3689.9207029973613</v>
      </c>
      <c r="AY109" s="539">
        <f t="shared" si="33"/>
        <v>3795.4891066389291</v>
      </c>
      <c r="AZ109" s="539">
        <f t="shared" si="33"/>
        <v>3810.2717218736234</v>
      </c>
      <c r="BA109" s="539">
        <f t="shared" si="33"/>
        <v>3761.7553340142267</v>
      </c>
      <c r="BB109" s="539">
        <f t="shared" si="33"/>
        <v>3775.7398776167847</v>
      </c>
      <c r="BC109" s="539">
        <f t="shared" si="33"/>
        <v>3870.9553004708091</v>
      </c>
      <c r="BD109" s="539">
        <f t="shared" si="33"/>
        <v>3819.5887386810437</v>
      </c>
      <c r="BE109" s="539">
        <f t="shared" si="33"/>
        <v>3757.5449019740718</v>
      </c>
      <c r="BF109" s="539">
        <f t="shared" si="33"/>
        <v>3865.5485651833455</v>
      </c>
      <c r="BG109" s="539">
        <f t="shared" si="33"/>
        <v>3963.7340210591155</v>
      </c>
      <c r="BH109" s="539">
        <f t="shared" si="33"/>
        <v>3901.9818208723086</v>
      </c>
      <c r="BI109" s="539">
        <f t="shared" si="33"/>
        <v>3863.3396261250573</v>
      </c>
      <c r="BJ109" s="539">
        <f t="shared" si="33"/>
        <v>3981.7948466400562</v>
      </c>
      <c r="BK109" s="539">
        <f t="shared" si="33"/>
        <v>4041.5037487339391</v>
      </c>
      <c r="BL109" s="539">
        <f t="shared" si="33"/>
        <v>4013.5705589641948</v>
      </c>
      <c r="BM109" s="539">
        <f t="shared" si="33"/>
        <v>3952.9034566736409</v>
      </c>
      <c r="BN109" s="539">
        <f t="shared" si="33"/>
        <v>2097.5193655527028</v>
      </c>
      <c r="BO109" s="539">
        <f t="shared" si="33"/>
        <v>2200.864273878366</v>
      </c>
      <c r="BP109" s="539">
        <f t="shared" si="33"/>
        <v>2098.1063109146212</v>
      </c>
      <c r="BQ109" s="539">
        <f t="shared" si="33"/>
        <v>2037.8164184080592</v>
      </c>
      <c r="BR109" s="539">
        <f t="shared" si="33"/>
        <v>4224.1553525130121</v>
      </c>
      <c r="BS109" s="539">
        <f t="shared" si="33"/>
        <v>4329.7689293072381</v>
      </c>
      <c r="BT109" s="539">
        <f t="shared" si="33"/>
        <v>4419.8055567868232</v>
      </c>
      <c r="BU109" s="539">
        <f t="shared" si="33"/>
        <v>4770.8603254831687</v>
      </c>
      <c r="BV109" s="539">
        <f t="shared" si="33"/>
        <v>4626.1012277867885</v>
      </c>
      <c r="BW109" s="539">
        <f t="shared" si="33"/>
        <v>3945.1397120020174</v>
      </c>
      <c r="BX109" s="539">
        <f t="shared" si="33"/>
        <v>3887.6124417460055</v>
      </c>
      <c r="BY109" s="539">
        <f t="shared" si="33"/>
        <v>3843.3319181364645</v>
      </c>
      <c r="BZ109" s="539">
        <f t="shared" si="33"/>
        <v>3978.3991178064584</v>
      </c>
      <c r="CA109" s="539">
        <f t="shared" si="33"/>
        <v>4211.4281415911701</v>
      </c>
      <c r="CB109" s="539">
        <f t="shared" si="33"/>
        <v>4139.4003880005166</v>
      </c>
      <c r="CC109" s="539">
        <f t="shared" si="33"/>
        <v>3736.011479524982</v>
      </c>
      <c r="CD109" s="539">
        <f t="shared" si="33"/>
        <v>4321.3134548763692</v>
      </c>
      <c r="CE109" s="539">
        <f t="shared" si="33"/>
        <v>4413.9780591819081</v>
      </c>
      <c r="CF109" s="539">
        <f t="shared" si="33"/>
        <v>4368.5578436146661</v>
      </c>
      <c r="CG109" s="539">
        <f t="shared" si="33"/>
        <v>4283.5118246307165</v>
      </c>
      <c r="CH109" s="539">
        <f t="shared" si="33"/>
        <v>2110.5359724491877</v>
      </c>
      <c r="CI109" s="539">
        <f t="shared" si="33"/>
        <v>2204.6023940287428</v>
      </c>
      <c r="CJ109" s="539">
        <f t="shared" si="33"/>
        <v>1870.785150550882</v>
      </c>
      <c r="CK109" s="539">
        <f t="shared" si="33"/>
        <v>1786.9171601948424</v>
      </c>
      <c r="CL109" s="539">
        <f t="shared" si="33"/>
        <v>4628.8303227158403</v>
      </c>
      <c r="CM109" s="539">
        <f t="shared" si="33"/>
        <v>4723.5203653725785</v>
      </c>
      <c r="CN109" s="539">
        <f t="shared" si="33"/>
        <v>4948.935086001231</v>
      </c>
      <c r="CO109" s="539">
        <f t="shared" si="33"/>
        <v>4889.99295027068</v>
      </c>
      <c r="CP109" s="539">
        <f t="shared" si="33"/>
        <v>4408.4942242291327</v>
      </c>
      <c r="CQ109" s="539">
        <f t="shared" si="33"/>
        <v>4454.0921236772019</v>
      </c>
      <c r="CR109" s="539">
        <f t="shared" si="33"/>
        <v>4428.3806644411152</v>
      </c>
      <c r="CS109" s="539">
        <f t="shared" si="33"/>
        <v>4344.7192119229667</v>
      </c>
      <c r="CT109" s="539">
        <f t="shared" si="33"/>
        <v>4410.7908852154824</v>
      </c>
      <c r="CU109" s="539">
        <f t="shared" si="33"/>
        <v>4507.2180043044709</v>
      </c>
      <c r="CV109" s="539">
        <f t="shared" si="33"/>
        <v>4455.6468509356973</v>
      </c>
      <c r="CW109" s="539">
        <f t="shared" si="33"/>
        <v>4372.1040514103006</v>
      </c>
      <c r="CX109" s="539">
        <f t="shared" si="33"/>
        <v>4442.1439989063965</v>
      </c>
      <c r="CY109" s="539">
        <f t="shared" si="33"/>
        <v>4538.8867633803111</v>
      </c>
      <c r="CZ109" s="539">
        <f t="shared" si="33"/>
        <v>9289.0498453167747</v>
      </c>
      <c r="DA109" s="539">
        <f t="shared" si="33"/>
        <v>9243.2109589193478</v>
      </c>
      <c r="DB109" s="539">
        <f t="shared" si="33"/>
        <v>6730.8032201585938</v>
      </c>
      <c r="DC109" s="539">
        <f t="shared" si="33"/>
        <v>6819.6943690281241</v>
      </c>
      <c r="DD109" s="539">
        <f t="shared" si="33"/>
        <v>6814.0398522326241</v>
      </c>
      <c r="DE109" s="539">
        <f t="shared" si="33"/>
        <v>6785.1271000854231</v>
      </c>
      <c r="DF109" s="539">
        <f t="shared" si="33"/>
        <v>10042.297500103878</v>
      </c>
      <c r="DG109" s="539">
        <f t="shared" si="33"/>
        <v>10083.037086594606</v>
      </c>
      <c r="DH109" s="539">
        <f t="shared" si="33"/>
        <v>10103.030440845592</v>
      </c>
      <c r="DI109" s="539">
        <f t="shared" si="33"/>
        <v>10074.710093976457</v>
      </c>
      <c r="DJ109" s="539">
        <f t="shared" si="33"/>
        <v>9531.0000277068248</v>
      </c>
      <c r="DK109" s="539">
        <f t="shared" si="33"/>
        <v>9622.5760692221538</v>
      </c>
      <c r="DL109" s="539">
        <f t="shared" si="33"/>
        <v>9618.4891847043327</v>
      </c>
      <c r="DM109" s="539">
        <f t="shared" si="33"/>
        <v>9590.6249782264968</v>
      </c>
      <c r="DN109" s="539">
        <f t="shared" si="33"/>
        <v>9679.6513243283043</v>
      </c>
      <c r="DO109" s="539">
        <f t="shared" si="33"/>
        <v>9772.3259446832872</v>
      </c>
      <c r="DP109" s="539">
        <f t="shared" si="33"/>
        <v>9768.8299907587207</v>
      </c>
      <c r="DQ109" s="539">
        <f t="shared" si="33"/>
        <v>9741.3091688148925</v>
      </c>
      <c r="DR109" s="539">
        <f t="shared" si="33"/>
        <v>9833.1752700445759</v>
      </c>
      <c r="DS109" s="539">
        <f t="shared" si="33"/>
        <v>9926.8134161951511</v>
      </c>
      <c r="DT109" s="539">
        <f t="shared" si="33"/>
        <v>9923.8082057289866</v>
      </c>
      <c r="DU109" s="539">
        <f t="shared" si="33"/>
        <v>9896.5376166003607</v>
      </c>
      <c r="DV109" s="539">
        <f t="shared" si="33"/>
        <v>10016.918852742816</v>
      </c>
      <c r="DW109" s="539">
        <f t="shared" si="33"/>
        <v>10059.983606963106</v>
      </c>
      <c r="DX109" s="539">
        <f t="shared" si="33"/>
        <v>10083.094712487115</v>
      </c>
      <c r="DY109" s="539">
        <f t="shared" si="33"/>
        <v>10055.997562626802</v>
      </c>
      <c r="DZ109" s="539">
        <f t="shared" si="33"/>
        <v>10153.459517752461</v>
      </c>
      <c r="EA109" s="539">
        <f t="shared" si="33"/>
        <v>10248.680194721674</v>
      </c>
      <c r="EB109" s="539">
        <f t="shared" si="33"/>
        <v>10246.420544942679</v>
      </c>
      <c r="EC109" s="539">
        <f t="shared" si="33"/>
        <v>10948.88102751593</v>
      </c>
      <c r="ED109" s="539">
        <f t="shared" si="33"/>
        <v>2308.4176722004668</v>
      </c>
      <c r="EE109" s="539">
        <f t="shared" si="33"/>
        <v>0</v>
      </c>
      <c r="EF109" s="539">
        <f t="shared" si="33"/>
        <v>0</v>
      </c>
      <c r="EG109" s="539">
        <f t="shared" si="33"/>
        <v>0</v>
      </c>
    </row>
    <row r="110" spans="5:137" ht="12.75">
      <c r="E110" s="538" t="str">
        <f>E$98</f>
        <v>Senior facility - cash sweep prepayment</v>
      </c>
      <c r="G110" s="539" t="str">
        <f>G$98</f>
        <v>EUR 000s</v>
      </c>
      <c r="H110" s="539">
        <f>H$98</f>
        <v>0</v>
      </c>
      <c r="J110" s="539">
        <f t="shared" si="34" ref="J110:EG110">J$98</f>
        <v>0</v>
      </c>
      <c r="K110" s="539">
        <f t="shared" si="34"/>
        <v>0</v>
      </c>
      <c r="L110" s="539">
        <f t="shared" si="34"/>
        <v>0</v>
      </c>
      <c r="M110" s="539">
        <f t="shared" si="34"/>
        <v>0</v>
      </c>
      <c r="N110" s="539">
        <f t="shared" si="34"/>
        <v>0</v>
      </c>
      <c r="O110" s="539">
        <f t="shared" si="34"/>
        <v>0</v>
      </c>
      <c r="P110" s="539">
        <f t="shared" si="34"/>
        <v>0</v>
      </c>
      <c r="Q110" s="539">
        <f t="shared" si="34"/>
        <v>0</v>
      </c>
      <c r="R110" s="539">
        <f t="shared" si="34"/>
        <v>0</v>
      </c>
      <c r="S110" s="539">
        <f t="shared" si="34"/>
        <v>0</v>
      </c>
      <c r="T110" s="539">
        <f t="shared" si="34"/>
        <v>0</v>
      </c>
      <c r="U110" s="539">
        <f t="shared" si="34"/>
        <v>0</v>
      </c>
      <c r="V110" s="539">
        <f t="shared" si="34"/>
        <v>0</v>
      </c>
      <c r="W110" s="539">
        <f t="shared" si="34"/>
        <v>0</v>
      </c>
      <c r="X110" s="539">
        <f t="shared" si="34"/>
        <v>0</v>
      </c>
      <c r="Y110" s="539">
        <f t="shared" si="34"/>
        <v>0</v>
      </c>
      <c r="Z110" s="539">
        <f t="shared" si="34"/>
        <v>0</v>
      </c>
      <c r="AA110" s="539">
        <f t="shared" si="34"/>
        <v>0</v>
      </c>
      <c r="AB110" s="539">
        <f t="shared" si="34"/>
        <v>0</v>
      </c>
      <c r="AC110" s="539">
        <f t="shared" si="34"/>
        <v>0</v>
      </c>
      <c r="AD110" s="539">
        <f t="shared" si="34"/>
        <v>0</v>
      </c>
      <c r="AE110" s="539">
        <f t="shared" si="34"/>
        <v>0</v>
      </c>
      <c r="AF110" s="539">
        <f t="shared" si="34"/>
        <v>0</v>
      </c>
      <c r="AG110" s="539">
        <f t="shared" si="34"/>
        <v>0</v>
      </c>
      <c r="AH110" s="539">
        <f t="shared" si="34"/>
        <v>0</v>
      </c>
      <c r="AI110" s="539">
        <f t="shared" si="34"/>
        <v>0</v>
      </c>
      <c r="AJ110" s="539">
        <f t="shared" si="34"/>
        <v>0</v>
      </c>
      <c r="AK110" s="539">
        <f t="shared" si="34"/>
        <v>0</v>
      </c>
      <c r="AL110" s="539">
        <f t="shared" si="34"/>
        <v>0</v>
      </c>
      <c r="AM110" s="539">
        <f t="shared" si="34"/>
        <v>0</v>
      </c>
      <c r="AN110" s="539">
        <f t="shared" si="34"/>
        <v>0</v>
      </c>
      <c r="AO110" s="539">
        <f t="shared" si="34"/>
        <v>0</v>
      </c>
      <c r="AP110" s="539">
        <f t="shared" si="34"/>
        <v>0</v>
      </c>
      <c r="AQ110" s="539">
        <f t="shared" si="34"/>
        <v>0</v>
      </c>
      <c r="AR110" s="539">
        <f t="shared" si="34"/>
        <v>0</v>
      </c>
      <c r="AS110" s="539">
        <f t="shared" si="34"/>
        <v>0</v>
      </c>
      <c r="AT110" s="539">
        <f t="shared" si="34"/>
        <v>0</v>
      </c>
      <c r="AU110" s="539">
        <f t="shared" si="34"/>
        <v>0</v>
      </c>
      <c r="AV110" s="539">
        <f t="shared" si="34"/>
        <v>0</v>
      </c>
      <c r="AW110" s="539">
        <f t="shared" si="34"/>
        <v>0</v>
      </c>
      <c r="AX110" s="539">
        <f t="shared" si="34"/>
        <v>0</v>
      </c>
      <c r="AY110" s="539">
        <f t="shared" si="34"/>
        <v>0</v>
      </c>
      <c r="AZ110" s="539">
        <f t="shared" si="34"/>
        <v>0</v>
      </c>
      <c r="BA110" s="539">
        <f t="shared" si="34"/>
        <v>0</v>
      </c>
      <c r="BB110" s="539">
        <f t="shared" si="34"/>
        <v>0</v>
      </c>
      <c r="BC110" s="539">
        <f t="shared" si="34"/>
        <v>0</v>
      </c>
      <c r="BD110" s="539">
        <f t="shared" si="34"/>
        <v>0</v>
      </c>
      <c r="BE110" s="539">
        <f t="shared" si="34"/>
        <v>0</v>
      </c>
      <c r="BF110" s="539">
        <f t="shared" si="34"/>
        <v>0</v>
      </c>
      <c r="BG110" s="539">
        <f t="shared" si="34"/>
        <v>0</v>
      </c>
      <c r="BH110" s="539">
        <f t="shared" si="34"/>
        <v>0</v>
      </c>
      <c r="BI110" s="539">
        <f t="shared" si="34"/>
        <v>0</v>
      </c>
      <c r="BJ110" s="539">
        <f t="shared" si="34"/>
        <v>0</v>
      </c>
      <c r="BK110" s="539">
        <f t="shared" si="34"/>
        <v>0</v>
      </c>
      <c r="BL110" s="539">
        <f t="shared" si="34"/>
        <v>0</v>
      </c>
      <c r="BM110" s="539">
        <f t="shared" si="34"/>
        <v>0</v>
      </c>
      <c r="BN110" s="539">
        <f t="shared" si="34"/>
        <v>0</v>
      </c>
      <c r="BO110" s="539">
        <f t="shared" si="34"/>
        <v>0</v>
      </c>
      <c r="BP110" s="539">
        <f t="shared" si="34"/>
        <v>0</v>
      </c>
      <c r="BQ110" s="539">
        <f t="shared" si="34"/>
        <v>0</v>
      </c>
      <c r="BR110" s="539">
        <f t="shared" si="34"/>
        <v>0</v>
      </c>
      <c r="BS110" s="539">
        <f t="shared" si="34"/>
        <v>0</v>
      </c>
      <c r="BT110" s="539">
        <f t="shared" si="34"/>
        <v>0</v>
      </c>
      <c r="BU110" s="539">
        <f t="shared" si="34"/>
        <v>0</v>
      </c>
      <c r="BV110" s="539">
        <f t="shared" si="34"/>
        <v>0</v>
      </c>
      <c r="BW110" s="539">
        <f t="shared" si="34"/>
        <v>0</v>
      </c>
      <c r="BX110" s="539">
        <f t="shared" si="34"/>
        <v>0</v>
      </c>
      <c r="BY110" s="539">
        <f t="shared" si="34"/>
        <v>0</v>
      </c>
      <c r="BZ110" s="539">
        <f t="shared" si="34"/>
        <v>0</v>
      </c>
      <c r="CA110" s="539">
        <f t="shared" si="34"/>
        <v>0</v>
      </c>
      <c r="CB110" s="539">
        <f t="shared" si="34"/>
        <v>0</v>
      </c>
      <c r="CC110" s="539">
        <f t="shared" si="34"/>
        <v>0</v>
      </c>
      <c r="CD110" s="539">
        <f t="shared" si="34"/>
        <v>0</v>
      </c>
      <c r="CE110" s="539">
        <f t="shared" si="34"/>
        <v>0</v>
      </c>
      <c r="CF110" s="539">
        <f t="shared" si="34"/>
        <v>0</v>
      </c>
      <c r="CG110" s="539">
        <f t="shared" si="34"/>
        <v>0</v>
      </c>
      <c r="CH110" s="539">
        <f t="shared" si="34"/>
        <v>0</v>
      </c>
      <c r="CI110" s="539">
        <f t="shared" si="34"/>
        <v>0</v>
      </c>
      <c r="CJ110" s="539">
        <f t="shared" si="34"/>
        <v>0</v>
      </c>
      <c r="CK110" s="539">
        <f t="shared" si="34"/>
        <v>0</v>
      </c>
      <c r="CL110" s="539">
        <f t="shared" si="34"/>
        <v>0</v>
      </c>
      <c r="CM110" s="539">
        <f t="shared" si="34"/>
        <v>0</v>
      </c>
      <c r="CN110" s="539">
        <f t="shared" si="34"/>
        <v>0</v>
      </c>
      <c r="CO110" s="539">
        <f t="shared" si="34"/>
        <v>0</v>
      </c>
      <c r="CP110" s="539">
        <f t="shared" si="34"/>
        <v>0</v>
      </c>
      <c r="CQ110" s="539">
        <f t="shared" si="34"/>
        <v>0</v>
      </c>
      <c r="CR110" s="539">
        <f t="shared" si="34"/>
        <v>0</v>
      </c>
      <c r="CS110" s="539">
        <f t="shared" si="34"/>
        <v>0</v>
      </c>
      <c r="CT110" s="539">
        <f t="shared" si="34"/>
        <v>0</v>
      </c>
      <c r="CU110" s="539">
        <f t="shared" si="34"/>
        <v>0</v>
      </c>
      <c r="CV110" s="539">
        <f t="shared" si="34"/>
        <v>0</v>
      </c>
      <c r="CW110" s="539">
        <f t="shared" si="34"/>
        <v>0</v>
      </c>
      <c r="CX110" s="539">
        <f t="shared" si="34"/>
        <v>0</v>
      </c>
      <c r="CY110" s="539">
        <f t="shared" si="34"/>
        <v>0</v>
      </c>
      <c r="CZ110" s="539">
        <f t="shared" si="34"/>
        <v>0</v>
      </c>
      <c r="DA110" s="539">
        <f t="shared" si="34"/>
        <v>0</v>
      </c>
      <c r="DB110" s="539">
        <f t="shared" si="34"/>
        <v>0</v>
      </c>
      <c r="DC110" s="539">
        <f t="shared" si="34"/>
        <v>0</v>
      </c>
      <c r="DD110" s="539">
        <f t="shared" si="34"/>
        <v>0</v>
      </c>
      <c r="DE110" s="539">
        <f t="shared" si="34"/>
        <v>0</v>
      </c>
      <c r="DF110" s="539">
        <f t="shared" si="34"/>
        <v>0</v>
      </c>
      <c r="DG110" s="539">
        <f t="shared" si="34"/>
        <v>0</v>
      </c>
      <c r="DH110" s="539">
        <f t="shared" si="34"/>
        <v>0</v>
      </c>
      <c r="DI110" s="539">
        <f t="shared" si="34"/>
        <v>0</v>
      </c>
      <c r="DJ110" s="539">
        <f t="shared" si="34"/>
        <v>0</v>
      </c>
      <c r="DK110" s="539">
        <f t="shared" si="34"/>
        <v>0</v>
      </c>
      <c r="DL110" s="539">
        <f t="shared" si="34"/>
        <v>0</v>
      </c>
      <c r="DM110" s="539">
        <f t="shared" si="34"/>
        <v>0</v>
      </c>
      <c r="DN110" s="539">
        <f t="shared" si="34"/>
        <v>0</v>
      </c>
      <c r="DO110" s="539">
        <f t="shared" si="34"/>
        <v>0</v>
      </c>
      <c r="DP110" s="539">
        <f t="shared" si="34"/>
        <v>0</v>
      </c>
      <c r="DQ110" s="539">
        <f t="shared" si="34"/>
        <v>0</v>
      </c>
      <c r="DR110" s="539">
        <f t="shared" si="34"/>
        <v>0</v>
      </c>
      <c r="DS110" s="539">
        <f t="shared" si="34"/>
        <v>0</v>
      </c>
      <c r="DT110" s="539">
        <f t="shared" si="34"/>
        <v>0</v>
      </c>
      <c r="DU110" s="539">
        <f t="shared" si="34"/>
        <v>0</v>
      </c>
      <c r="DV110" s="539">
        <f t="shared" si="34"/>
        <v>0</v>
      </c>
      <c r="DW110" s="539">
        <f t="shared" si="34"/>
        <v>0</v>
      </c>
      <c r="DX110" s="539">
        <f t="shared" si="34"/>
        <v>0</v>
      </c>
      <c r="DY110" s="539">
        <f t="shared" si="34"/>
        <v>0</v>
      </c>
      <c r="DZ110" s="539">
        <f t="shared" si="34"/>
        <v>0</v>
      </c>
      <c r="EA110" s="539">
        <f t="shared" si="34"/>
        <v>0</v>
      </c>
      <c r="EB110" s="539">
        <f t="shared" si="34"/>
        <v>0</v>
      </c>
      <c r="EC110" s="539">
        <f t="shared" si="34"/>
        <v>0</v>
      </c>
      <c r="ED110" s="539">
        <f t="shared" si="34"/>
        <v>0</v>
      </c>
      <c r="EE110" s="539">
        <f t="shared" si="34"/>
        <v>0</v>
      </c>
      <c r="EF110" s="539">
        <f t="shared" si="34"/>
        <v>0</v>
      </c>
      <c r="EG110" s="539">
        <f t="shared" si="34"/>
        <v>0</v>
      </c>
    </row>
    <row r="111" spans="5:137" ht="12.75">
      <c r="E111" s="538" t="str">
        <f>E$105</f>
        <v>Cash balance - opening</v>
      </c>
      <c r="G111" s="539" t="str">
        <f>G$105</f>
        <v>EUR 000s</v>
      </c>
      <c r="H111" s="539">
        <f>H$105</f>
        <v>21202.690295842505</v>
      </c>
      <c r="J111" s="539">
        <f t="shared" si="35" ref="J111:EG111">J$105</f>
        <v>0</v>
      </c>
      <c r="K111" s="539">
        <f t="shared" si="35"/>
        <v>0</v>
      </c>
      <c r="L111" s="539">
        <f t="shared" si="35"/>
        <v>0</v>
      </c>
      <c r="M111" s="539">
        <f t="shared" si="35"/>
        <v>0</v>
      </c>
      <c r="N111" s="539">
        <f t="shared" si="35"/>
        <v>0</v>
      </c>
      <c r="O111" s="539">
        <f t="shared" si="35"/>
        <v>0</v>
      </c>
      <c r="P111" s="539">
        <f t="shared" si="35"/>
        <v>0</v>
      </c>
      <c r="Q111" s="539">
        <f t="shared" si="35"/>
        <v>0</v>
      </c>
      <c r="R111" s="539">
        <f t="shared" si="35"/>
        <v>0</v>
      </c>
      <c r="S111" s="539">
        <f t="shared" si="35"/>
        <v>0</v>
      </c>
      <c r="T111" s="539">
        <f t="shared" si="35"/>
        <v>0</v>
      </c>
      <c r="U111" s="539">
        <f t="shared" si="35"/>
        <v>0</v>
      </c>
      <c r="V111" s="539">
        <f t="shared" si="35"/>
        <v>0</v>
      </c>
      <c r="W111" s="539">
        <f t="shared" si="35"/>
        <v>0</v>
      </c>
      <c r="X111" s="539">
        <f t="shared" si="35"/>
        <v>0</v>
      </c>
      <c r="Y111" s="539">
        <f t="shared" si="35"/>
        <v>0</v>
      </c>
      <c r="Z111" s="539">
        <f t="shared" si="35"/>
        <v>0</v>
      </c>
      <c r="AA111" s="539">
        <f t="shared" si="35"/>
        <v>0</v>
      </c>
      <c r="AB111" s="539">
        <f t="shared" si="35"/>
        <v>0</v>
      </c>
      <c r="AC111" s="539">
        <f t="shared" si="35"/>
        <v>0</v>
      </c>
      <c r="AD111" s="539">
        <f t="shared" si="35"/>
        <v>0</v>
      </c>
      <c r="AE111" s="539">
        <f t="shared" si="35"/>
        <v>0</v>
      </c>
      <c r="AF111" s="539">
        <f t="shared" si="35"/>
        <v>0</v>
      </c>
      <c r="AG111" s="539">
        <f t="shared" si="35"/>
        <v>0</v>
      </c>
      <c r="AH111" s="539">
        <f t="shared" si="35"/>
        <v>0</v>
      </c>
      <c r="AI111" s="539">
        <f t="shared" si="35"/>
        <v>0</v>
      </c>
      <c r="AJ111" s="539">
        <f t="shared" si="35"/>
        <v>0</v>
      </c>
      <c r="AK111" s="539">
        <f t="shared" si="35"/>
        <v>0</v>
      </c>
      <c r="AL111" s="539">
        <f t="shared" si="35"/>
        <v>0</v>
      </c>
      <c r="AM111" s="539">
        <f t="shared" si="35"/>
        <v>0</v>
      </c>
      <c r="AN111" s="539">
        <f t="shared" si="35"/>
        <v>0</v>
      </c>
      <c r="AO111" s="539">
        <f t="shared" si="35"/>
        <v>0</v>
      </c>
      <c r="AP111" s="539">
        <f t="shared" si="35"/>
        <v>0</v>
      </c>
      <c r="AQ111" s="539">
        <f t="shared" si="35"/>
        <v>0</v>
      </c>
      <c r="AR111" s="539">
        <f t="shared" si="35"/>
        <v>0</v>
      </c>
      <c r="AS111" s="539">
        <f t="shared" si="35"/>
        <v>0</v>
      </c>
      <c r="AT111" s="539">
        <f t="shared" si="35"/>
        <v>0</v>
      </c>
      <c r="AU111" s="539">
        <f t="shared" si="35"/>
        <v>0</v>
      </c>
      <c r="AV111" s="539">
        <f t="shared" si="35"/>
        <v>0</v>
      </c>
      <c r="AW111" s="539">
        <f t="shared" si="35"/>
        <v>0</v>
      </c>
      <c r="AX111" s="539">
        <f t="shared" si="35"/>
        <v>0</v>
      </c>
      <c r="AY111" s="539">
        <f t="shared" si="35"/>
        <v>0</v>
      </c>
      <c r="AZ111" s="539">
        <f t="shared" si="35"/>
        <v>0</v>
      </c>
      <c r="BA111" s="539">
        <f t="shared" si="35"/>
        <v>0</v>
      </c>
      <c r="BB111" s="539">
        <f t="shared" si="35"/>
        <v>0</v>
      </c>
      <c r="BC111" s="539">
        <f t="shared" si="35"/>
        <v>0</v>
      </c>
      <c r="BD111" s="539">
        <f t="shared" si="35"/>
        <v>0</v>
      </c>
      <c r="BE111" s="539">
        <f t="shared" si="35"/>
        <v>0</v>
      </c>
      <c r="BF111" s="539">
        <f t="shared" si="35"/>
        <v>0</v>
      </c>
      <c r="BG111" s="539">
        <f t="shared" si="35"/>
        <v>0</v>
      </c>
      <c r="BH111" s="539">
        <f t="shared" si="35"/>
        <v>0</v>
      </c>
      <c r="BI111" s="539">
        <f t="shared" si="35"/>
        <v>0</v>
      </c>
      <c r="BJ111" s="539">
        <f t="shared" si="35"/>
        <v>0</v>
      </c>
      <c r="BK111" s="539">
        <f t="shared" si="35"/>
        <v>0</v>
      </c>
      <c r="BL111" s="539">
        <f t="shared" si="35"/>
        <v>0</v>
      </c>
      <c r="BM111" s="539">
        <f t="shared" si="35"/>
        <v>0</v>
      </c>
      <c r="BN111" s="539">
        <f t="shared" si="35"/>
        <v>0</v>
      </c>
      <c r="BO111" s="539">
        <f t="shared" si="35"/>
        <v>0</v>
      </c>
      <c r="BP111" s="539">
        <f t="shared" si="35"/>
        <v>0</v>
      </c>
      <c r="BQ111" s="539">
        <f t="shared" si="35"/>
        <v>0</v>
      </c>
      <c r="BR111" s="539">
        <f t="shared" si="35"/>
        <v>0</v>
      </c>
      <c r="BS111" s="539">
        <f t="shared" si="35"/>
        <v>0</v>
      </c>
      <c r="BT111" s="539">
        <f t="shared" si="35"/>
        <v>0</v>
      </c>
      <c r="BU111" s="539">
        <f t="shared" si="35"/>
        <v>0</v>
      </c>
      <c r="BV111" s="539">
        <f t="shared" si="35"/>
        <v>0</v>
      </c>
      <c r="BW111" s="539">
        <f t="shared" si="35"/>
        <v>0</v>
      </c>
      <c r="BX111" s="539">
        <f t="shared" si="35"/>
        <v>0</v>
      </c>
      <c r="BY111" s="539">
        <f t="shared" si="35"/>
        <v>0</v>
      </c>
      <c r="BZ111" s="539">
        <f t="shared" si="35"/>
        <v>0</v>
      </c>
      <c r="CA111" s="539">
        <f t="shared" si="35"/>
        <v>0</v>
      </c>
      <c r="CB111" s="539">
        <f t="shared" si="35"/>
        <v>0</v>
      </c>
      <c r="CC111" s="539">
        <f t="shared" si="35"/>
        <v>0</v>
      </c>
      <c r="CD111" s="539">
        <f t="shared" si="35"/>
        <v>0</v>
      </c>
      <c r="CE111" s="539">
        <f t="shared" si="35"/>
        <v>0</v>
      </c>
      <c r="CF111" s="539">
        <f t="shared" si="35"/>
        <v>0</v>
      </c>
      <c r="CG111" s="539">
        <f t="shared" si="35"/>
        <v>0</v>
      </c>
      <c r="CH111" s="539">
        <f t="shared" si="35"/>
        <v>0</v>
      </c>
      <c r="CI111" s="539">
        <f t="shared" si="35"/>
        <v>0</v>
      </c>
      <c r="CJ111" s="539">
        <f t="shared" si="35"/>
        <v>0</v>
      </c>
      <c r="CK111" s="539">
        <f t="shared" si="35"/>
        <v>0</v>
      </c>
      <c r="CL111" s="539">
        <f t="shared" si="35"/>
        <v>0</v>
      </c>
      <c r="CM111" s="539">
        <f t="shared" si="35"/>
        <v>0</v>
      </c>
      <c r="CN111" s="539">
        <f t="shared" si="35"/>
        <v>0</v>
      </c>
      <c r="CO111" s="539">
        <f t="shared" si="35"/>
        <v>0</v>
      </c>
      <c r="CP111" s="539">
        <f t="shared" si="35"/>
        <v>0</v>
      </c>
      <c r="CQ111" s="539">
        <f t="shared" si="35"/>
        <v>0</v>
      </c>
      <c r="CR111" s="539">
        <f t="shared" si="35"/>
        <v>0</v>
      </c>
      <c r="CS111" s="539">
        <f t="shared" si="35"/>
        <v>0</v>
      </c>
      <c r="CT111" s="539">
        <f t="shared" si="35"/>
        <v>0</v>
      </c>
      <c r="CU111" s="539">
        <f t="shared" si="35"/>
        <v>0</v>
      </c>
      <c r="CV111" s="539">
        <f t="shared" si="35"/>
        <v>0</v>
      </c>
      <c r="CW111" s="539">
        <f t="shared" si="35"/>
        <v>0</v>
      </c>
      <c r="CX111" s="539">
        <f t="shared" si="35"/>
        <v>0</v>
      </c>
      <c r="CY111" s="539">
        <f t="shared" si="35"/>
        <v>0</v>
      </c>
      <c r="CZ111" s="539">
        <f t="shared" si="35"/>
        <v>0</v>
      </c>
      <c r="DA111" s="539">
        <f t="shared" si="35"/>
        <v>0</v>
      </c>
      <c r="DB111" s="539">
        <f t="shared" si="35"/>
        <v>0</v>
      </c>
      <c r="DC111" s="539">
        <f t="shared" si="35"/>
        <v>0</v>
      </c>
      <c r="DD111" s="539">
        <f t="shared" si="35"/>
        <v>0</v>
      </c>
      <c r="DE111" s="539">
        <f t="shared" si="35"/>
        <v>0</v>
      </c>
      <c r="DF111" s="539">
        <f t="shared" si="35"/>
        <v>0</v>
      </c>
      <c r="DG111" s="539">
        <f t="shared" si="35"/>
        <v>0</v>
      </c>
      <c r="DH111" s="539">
        <f t="shared" si="35"/>
        <v>0</v>
      </c>
      <c r="DI111" s="539">
        <f t="shared" si="35"/>
        <v>0</v>
      </c>
      <c r="DJ111" s="539">
        <f t="shared" si="35"/>
        <v>0</v>
      </c>
      <c r="DK111" s="539">
        <f t="shared" si="35"/>
        <v>0</v>
      </c>
      <c r="DL111" s="539">
        <f t="shared" si="35"/>
        <v>0</v>
      </c>
      <c r="DM111" s="539">
        <f t="shared" si="35"/>
        <v>0</v>
      </c>
      <c r="DN111" s="539">
        <f t="shared" si="35"/>
        <v>0</v>
      </c>
      <c r="DO111" s="539">
        <f t="shared" si="35"/>
        <v>0</v>
      </c>
      <c r="DP111" s="539">
        <f t="shared" si="35"/>
        <v>0</v>
      </c>
      <c r="DQ111" s="539">
        <f t="shared" si="35"/>
        <v>0</v>
      </c>
      <c r="DR111" s="539">
        <f t="shared" si="35"/>
        <v>0</v>
      </c>
      <c r="DS111" s="539">
        <f t="shared" si="35"/>
        <v>0</v>
      </c>
      <c r="DT111" s="539">
        <f t="shared" si="35"/>
        <v>0</v>
      </c>
      <c r="DU111" s="539">
        <f t="shared" si="35"/>
        <v>0</v>
      </c>
      <c r="DV111" s="539">
        <f t="shared" si="35"/>
        <v>0</v>
      </c>
      <c r="DW111" s="539">
        <f t="shared" si="35"/>
        <v>0</v>
      </c>
      <c r="DX111" s="539">
        <f t="shared" si="35"/>
        <v>0</v>
      </c>
      <c r="DY111" s="539">
        <f t="shared" si="35"/>
        <v>0</v>
      </c>
      <c r="DZ111" s="539">
        <f t="shared" si="35"/>
        <v>1997.2598334849408</v>
      </c>
      <c r="EA111" s="539">
        <f t="shared" si="35"/>
        <v>4152.3012636137537</v>
      </c>
      <c r="EB111" s="539">
        <f t="shared" si="35"/>
        <v>6402.5633707117795</v>
      </c>
      <c r="EC111" s="539">
        <f t="shared" si="35"/>
        <v>8650.5658280308089</v>
      </c>
      <c r="ED111" s="539">
        <f t="shared" si="35"/>
        <v>0</v>
      </c>
      <c r="EE111" s="539">
        <f t="shared" si="35"/>
        <v>4.0745362639427185E-10</v>
      </c>
      <c r="EF111" s="539">
        <f t="shared" si="35"/>
        <v>4.0745362639427185E-10</v>
      </c>
      <c r="EG111" s="539">
        <f t="shared" si="35"/>
        <v>4.0745362639427185E-10</v>
      </c>
    </row>
    <row r="112" spans="5:137" ht="12.75">
      <c r="E112" s="538" t="s">
        <v>416</v>
      </c>
      <c r="G112" s="539" t="s">
        <v>30</v>
      </c>
      <c r="H112" s="539">
        <f>SUM(J112:EG112)</f>
        <v>563432.21775595983</v>
      </c>
      <c r="J112" s="539">
        <f t="shared" si="36" ref="J112:EG112">MAX(0,J111+J109-J110-$F107*J108)</f>
        <v>0</v>
      </c>
      <c r="K112" s="539">
        <f t="shared" si="36"/>
        <v>0</v>
      </c>
      <c r="L112" s="539">
        <f t="shared" si="36"/>
        <v>0</v>
      </c>
      <c r="M112" s="539">
        <f t="shared" si="36"/>
        <v>0</v>
      </c>
      <c r="N112" s="539">
        <f t="shared" si="36"/>
        <v>0</v>
      </c>
      <c r="O112" s="539">
        <f t="shared" si="36"/>
        <v>0</v>
      </c>
      <c r="P112" s="539">
        <f t="shared" si="36"/>
        <v>1.8189894035458565E-12</v>
      </c>
      <c r="Q112" s="539">
        <f t="shared" si="36"/>
        <v>0</v>
      </c>
      <c r="R112" s="539">
        <f t="shared" si="36"/>
        <v>0</v>
      </c>
      <c r="S112" s="539">
        <f t="shared" si="36"/>
        <v>0</v>
      </c>
      <c r="T112" s="539">
        <f t="shared" si="36"/>
        <v>0</v>
      </c>
      <c r="U112" s="539">
        <f t="shared" si="36"/>
        <v>0</v>
      </c>
      <c r="V112" s="539">
        <f t="shared" si="36"/>
        <v>0</v>
      </c>
      <c r="W112" s="539">
        <f t="shared" si="36"/>
        <v>0</v>
      </c>
      <c r="X112" s="539">
        <f t="shared" si="36"/>
        <v>0</v>
      </c>
      <c r="Y112" s="539">
        <f t="shared" si="36"/>
        <v>0</v>
      </c>
      <c r="Z112" s="539">
        <f t="shared" si="36"/>
        <v>0</v>
      </c>
      <c r="AA112" s="539">
        <f t="shared" si="36"/>
        <v>0</v>
      </c>
      <c r="AB112" s="539">
        <f t="shared" si="36"/>
        <v>0</v>
      </c>
      <c r="AC112" s="539">
        <f t="shared" si="36"/>
        <v>0</v>
      </c>
      <c r="AD112" s="539">
        <f t="shared" si="36"/>
        <v>0</v>
      </c>
      <c r="AE112" s="539">
        <f t="shared" si="36"/>
        <v>0</v>
      </c>
      <c r="AF112" s="539">
        <f t="shared" si="36"/>
        <v>0</v>
      </c>
      <c r="AG112" s="539">
        <f t="shared" si="36"/>
        <v>0</v>
      </c>
      <c r="AH112" s="539">
        <f t="shared" si="36"/>
        <v>1383.9233639501999</v>
      </c>
      <c r="AI112" s="539">
        <f t="shared" si="36"/>
        <v>3289.5323362199924</v>
      </c>
      <c r="AJ112" s="539">
        <f t="shared" si="36"/>
        <v>3245.3805232500731</v>
      </c>
      <c r="AK112" s="539">
        <f t="shared" si="36"/>
        <v>3195.0408989934072</v>
      </c>
      <c r="AL112" s="539">
        <f t="shared" si="36"/>
        <v>3314.6555979376371</v>
      </c>
      <c r="AM112" s="539">
        <f t="shared" si="36"/>
        <v>3413.5103829410727</v>
      </c>
      <c r="AN112" s="539">
        <f t="shared" si="36"/>
        <v>3368.8149446907446</v>
      </c>
      <c r="AO112" s="539">
        <f t="shared" si="36"/>
        <v>3317.8291025066792</v>
      </c>
      <c r="AP112" s="539">
        <f t="shared" si="36"/>
        <v>3438.4566627931977</v>
      </c>
      <c r="AQ112" s="539">
        <f t="shared" si="36"/>
        <v>3538.7454210592982</v>
      </c>
      <c r="AR112" s="539">
        <f t="shared" si="36"/>
        <v>3482.692592271675</v>
      </c>
      <c r="AS112" s="539">
        <f t="shared" si="36"/>
        <v>3452.6458698254974</v>
      </c>
      <c r="AT112" s="539">
        <f t="shared" si="36"/>
        <v>1840.225347833371</v>
      </c>
      <c r="AU112" s="539">
        <f t="shared" si="36"/>
        <v>1907.064048963113</v>
      </c>
      <c r="AV112" s="539">
        <f t="shared" si="36"/>
        <v>1879.8635093641863</v>
      </c>
      <c r="AW112" s="539">
        <f t="shared" si="36"/>
        <v>1823.2308510204605</v>
      </c>
      <c r="AX112" s="539">
        <f t="shared" si="36"/>
        <v>3689.9207029973613</v>
      </c>
      <c r="AY112" s="539">
        <f t="shared" si="36"/>
        <v>3795.4891066389291</v>
      </c>
      <c r="AZ112" s="539">
        <f t="shared" si="36"/>
        <v>3810.2717218736234</v>
      </c>
      <c r="BA112" s="539">
        <f t="shared" si="36"/>
        <v>3761.7553340142267</v>
      </c>
      <c r="BB112" s="539">
        <f t="shared" si="36"/>
        <v>3775.7398776167847</v>
      </c>
      <c r="BC112" s="539">
        <f t="shared" si="36"/>
        <v>3870.9553004708091</v>
      </c>
      <c r="BD112" s="539">
        <f t="shared" si="36"/>
        <v>3819.5887386810437</v>
      </c>
      <c r="BE112" s="539">
        <f t="shared" si="36"/>
        <v>3757.5449019740718</v>
      </c>
      <c r="BF112" s="539">
        <f t="shared" si="36"/>
        <v>3865.5485651833455</v>
      </c>
      <c r="BG112" s="539">
        <f t="shared" si="36"/>
        <v>3963.7340210591155</v>
      </c>
      <c r="BH112" s="539">
        <f t="shared" si="36"/>
        <v>3901.9818208723086</v>
      </c>
      <c r="BI112" s="539">
        <f t="shared" si="36"/>
        <v>3863.3396261250573</v>
      </c>
      <c r="BJ112" s="539">
        <f t="shared" si="36"/>
        <v>3981.7948466400562</v>
      </c>
      <c r="BK112" s="539">
        <f t="shared" si="36"/>
        <v>4041.5037487339391</v>
      </c>
      <c r="BL112" s="539">
        <f t="shared" si="36"/>
        <v>4013.5705589641948</v>
      </c>
      <c r="BM112" s="539">
        <f t="shared" si="36"/>
        <v>3952.9034566736409</v>
      </c>
      <c r="BN112" s="539">
        <f t="shared" si="36"/>
        <v>2097.5193655527028</v>
      </c>
      <c r="BO112" s="539">
        <f t="shared" si="36"/>
        <v>2200.864273878366</v>
      </c>
      <c r="BP112" s="539">
        <f t="shared" si="36"/>
        <v>2098.1063109146212</v>
      </c>
      <c r="BQ112" s="539">
        <f t="shared" si="36"/>
        <v>2037.8164184080592</v>
      </c>
      <c r="BR112" s="539">
        <f t="shared" si="36"/>
        <v>4224.1553525130121</v>
      </c>
      <c r="BS112" s="539">
        <f t="shared" si="36"/>
        <v>4329.7689293072381</v>
      </c>
      <c r="BT112" s="539">
        <f t="shared" si="36"/>
        <v>4419.8055567868232</v>
      </c>
      <c r="BU112" s="539">
        <f t="shared" si="36"/>
        <v>4770.8603254831687</v>
      </c>
      <c r="BV112" s="539">
        <f t="shared" si="36"/>
        <v>4626.1012277867885</v>
      </c>
      <c r="BW112" s="539">
        <f t="shared" si="36"/>
        <v>3945.1397120020174</v>
      </c>
      <c r="BX112" s="539">
        <f t="shared" si="36"/>
        <v>3887.6124417460055</v>
      </c>
      <c r="BY112" s="539">
        <f t="shared" si="36"/>
        <v>3843.3319181364645</v>
      </c>
      <c r="BZ112" s="539">
        <f t="shared" si="36"/>
        <v>3978.3991178064584</v>
      </c>
      <c r="CA112" s="539">
        <f t="shared" si="36"/>
        <v>4211.4281415911701</v>
      </c>
      <c r="CB112" s="539">
        <f t="shared" si="36"/>
        <v>4139.4003880005166</v>
      </c>
      <c r="CC112" s="539">
        <f t="shared" si="36"/>
        <v>3736.011479524982</v>
      </c>
      <c r="CD112" s="539">
        <f t="shared" si="36"/>
        <v>4321.3134548763692</v>
      </c>
      <c r="CE112" s="539">
        <f t="shared" si="36"/>
        <v>4413.9780591819081</v>
      </c>
      <c r="CF112" s="539">
        <f t="shared" si="36"/>
        <v>4368.5578436146661</v>
      </c>
      <c r="CG112" s="539">
        <f t="shared" si="36"/>
        <v>4283.5118246307165</v>
      </c>
      <c r="CH112" s="539">
        <f t="shared" si="36"/>
        <v>2110.5359724491877</v>
      </c>
      <c r="CI112" s="539">
        <f t="shared" si="36"/>
        <v>2204.6023940287428</v>
      </c>
      <c r="CJ112" s="539">
        <f t="shared" si="36"/>
        <v>1870.785150550882</v>
      </c>
      <c r="CK112" s="539">
        <f t="shared" si="36"/>
        <v>1786.9171601948424</v>
      </c>
      <c r="CL112" s="539">
        <f t="shared" si="36"/>
        <v>4628.8303227158403</v>
      </c>
      <c r="CM112" s="539">
        <f t="shared" si="36"/>
        <v>4723.5203653725785</v>
      </c>
      <c r="CN112" s="539">
        <f t="shared" si="36"/>
        <v>4948.935086001231</v>
      </c>
      <c r="CO112" s="539">
        <f t="shared" si="36"/>
        <v>4889.99295027068</v>
      </c>
      <c r="CP112" s="539">
        <f t="shared" si="36"/>
        <v>4408.4942242291327</v>
      </c>
      <c r="CQ112" s="539">
        <f t="shared" si="36"/>
        <v>4454.0921236772019</v>
      </c>
      <c r="CR112" s="539">
        <f t="shared" si="36"/>
        <v>4428.3806644411152</v>
      </c>
      <c r="CS112" s="539">
        <f t="shared" si="36"/>
        <v>4344.7192119229667</v>
      </c>
      <c r="CT112" s="539">
        <f t="shared" si="36"/>
        <v>4410.7908852154824</v>
      </c>
      <c r="CU112" s="539">
        <f t="shared" si="36"/>
        <v>4507.2180043044709</v>
      </c>
      <c r="CV112" s="539">
        <f t="shared" si="36"/>
        <v>4455.6468509356973</v>
      </c>
      <c r="CW112" s="539">
        <f t="shared" si="36"/>
        <v>4372.1040514103006</v>
      </c>
      <c r="CX112" s="539">
        <f t="shared" si="36"/>
        <v>4442.1439989063965</v>
      </c>
      <c r="CY112" s="539">
        <f t="shared" si="36"/>
        <v>4538.8867633803111</v>
      </c>
      <c r="CZ112" s="539">
        <f t="shared" si="36"/>
        <v>9289.0498453167747</v>
      </c>
      <c r="DA112" s="539">
        <f t="shared" si="36"/>
        <v>9243.2109589193478</v>
      </c>
      <c r="DB112" s="539">
        <f t="shared" si="36"/>
        <v>6730.8032201585938</v>
      </c>
      <c r="DC112" s="539">
        <f t="shared" si="36"/>
        <v>6819.6943690281241</v>
      </c>
      <c r="DD112" s="539">
        <f t="shared" si="36"/>
        <v>6814.0398522326241</v>
      </c>
      <c r="DE112" s="539">
        <f t="shared" si="36"/>
        <v>6785.1271000854231</v>
      </c>
      <c r="DF112" s="539">
        <f t="shared" si="36"/>
        <v>10042.297500103878</v>
      </c>
      <c r="DG112" s="539">
        <f t="shared" si="36"/>
        <v>10083.037086594606</v>
      </c>
      <c r="DH112" s="539">
        <f t="shared" si="36"/>
        <v>10103.030440845592</v>
      </c>
      <c r="DI112" s="539">
        <f t="shared" si="36"/>
        <v>10074.710093976457</v>
      </c>
      <c r="DJ112" s="539">
        <f t="shared" si="36"/>
        <v>9531.0000277068248</v>
      </c>
      <c r="DK112" s="539">
        <f t="shared" si="36"/>
        <v>9622.5760692221538</v>
      </c>
      <c r="DL112" s="539">
        <f t="shared" si="36"/>
        <v>9618.4891847043327</v>
      </c>
      <c r="DM112" s="539">
        <f t="shared" si="36"/>
        <v>9590.6249782264968</v>
      </c>
      <c r="DN112" s="539">
        <f t="shared" si="36"/>
        <v>9679.6513243283043</v>
      </c>
      <c r="DO112" s="539">
        <f t="shared" si="36"/>
        <v>9772.3259446832872</v>
      </c>
      <c r="DP112" s="539">
        <f t="shared" si="36"/>
        <v>9768.8299907587207</v>
      </c>
      <c r="DQ112" s="539">
        <f t="shared" si="36"/>
        <v>9741.3091688148925</v>
      </c>
      <c r="DR112" s="539">
        <f t="shared" si="36"/>
        <v>9833.1752700445759</v>
      </c>
      <c r="DS112" s="539">
        <f t="shared" si="36"/>
        <v>9926.8134161951511</v>
      </c>
      <c r="DT112" s="539">
        <f t="shared" si="36"/>
        <v>9923.8082057289866</v>
      </c>
      <c r="DU112" s="539">
        <f t="shared" si="36"/>
        <v>9896.5376166003607</v>
      </c>
      <c r="DV112" s="539">
        <f t="shared" si="36"/>
        <v>10016.918852742816</v>
      </c>
      <c r="DW112" s="539">
        <f t="shared" si="36"/>
        <v>10059.983606963106</v>
      </c>
      <c r="DX112" s="539">
        <f t="shared" si="36"/>
        <v>10083.094712487115</v>
      </c>
      <c r="DY112" s="539">
        <f t="shared" si="36"/>
        <v>10055.997562626802</v>
      </c>
      <c r="DZ112" s="539">
        <f t="shared" si="36"/>
        <v>12150.719351237401</v>
      </c>
      <c r="EA112" s="539">
        <f t="shared" si="36"/>
        <v>14400.981458335427</v>
      </c>
      <c r="EB112" s="539">
        <f t="shared" si="36"/>
        <v>16648.983915654459</v>
      </c>
      <c r="EC112" s="539">
        <f t="shared" si="36"/>
        <v>19599.446855546739</v>
      </c>
      <c r="ED112" s="539">
        <f t="shared" si="36"/>
        <v>2308.4176722004668</v>
      </c>
      <c r="EE112" s="539">
        <f t="shared" si="36"/>
        <v>4.0745362639427185E-10</v>
      </c>
      <c r="EF112" s="539">
        <f t="shared" si="36"/>
        <v>4.0745362639427185E-10</v>
      </c>
      <c r="EG112" s="539">
        <f t="shared" si="36"/>
        <v>4.0745362639427185E-10</v>
      </c>
    </row>
    <row r="114" spans="5:137" ht="12.75">
      <c r="E114" s="538" t="str">
        <f>E$82</f>
        <v>Lock-up - distributions blocked flag</v>
      </c>
      <c r="G114" s="539" t="str">
        <f>G$82</f>
        <v>flag</v>
      </c>
      <c r="H114" s="539">
        <f>H$82</f>
        <v>0</v>
      </c>
      <c r="J114" s="539">
        <f t="shared" si="37" ref="J114:EG114">J$82</f>
        <v>0</v>
      </c>
      <c r="K114" s="539">
        <f t="shared" si="37"/>
        <v>0</v>
      </c>
      <c r="L114" s="539">
        <f t="shared" si="37"/>
        <v>0</v>
      </c>
      <c r="M114" s="539">
        <f t="shared" si="37"/>
        <v>0</v>
      </c>
      <c r="N114" s="539">
        <f t="shared" si="37"/>
        <v>0</v>
      </c>
      <c r="O114" s="539">
        <f t="shared" si="37"/>
        <v>0</v>
      </c>
      <c r="P114" s="539">
        <f t="shared" si="37"/>
        <v>0</v>
      </c>
      <c r="Q114" s="539">
        <f t="shared" si="37"/>
        <v>0</v>
      </c>
      <c r="R114" s="539">
        <f t="shared" si="37"/>
        <v>0</v>
      </c>
      <c r="S114" s="539">
        <f t="shared" si="37"/>
        <v>0</v>
      </c>
      <c r="T114" s="539">
        <f t="shared" si="37"/>
        <v>0</v>
      </c>
      <c r="U114" s="539">
        <f t="shared" si="37"/>
        <v>0</v>
      </c>
      <c r="V114" s="539">
        <f t="shared" si="37"/>
        <v>0</v>
      </c>
      <c r="W114" s="539">
        <f t="shared" si="37"/>
        <v>0</v>
      </c>
      <c r="X114" s="539">
        <f t="shared" si="37"/>
        <v>0</v>
      </c>
      <c r="Y114" s="539">
        <f t="shared" si="37"/>
        <v>0</v>
      </c>
      <c r="Z114" s="539">
        <f t="shared" si="37"/>
        <v>0</v>
      </c>
      <c r="AA114" s="539">
        <f t="shared" si="37"/>
        <v>0</v>
      </c>
      <c r="AB114" s="539">
        <f t="shared" si="37"/>
        <v>0</v>
      </c>
      <c r="AC114" s="539">
        <f t="shared" si="37"/>
        <v>0</v>
      </c>
      <c r="AD114" s="539">
        <f t="shared" si="37"/>
        <v>0</v>
      </c>
      <c r="AE114" s="539">
        <f t="shared" si="37"/>
        <v>0</v>
      </c>
      <c r="AF114" s="539">
        <f t="shared" si="37"/>
        <v>0</v>
      </c>
      <c r="AG114" s="539">
        <f t="shared" si="37"/>
        <v>0</v>
      </c>
      <c r="AH114" s="539">
        <f t="shared" si="37"/>
        <v>0</v>
      </c>
      <c r="AI114" s="539">
        <f t="shared" si="37"/>
        <v>0</v>
      </c>
      <c r="AJ114" s="539">
        <f t="shared" si="37"/>
        <v>0</v>
      </c>
      <c r="AK114" s="539">
        <f t="shared" si="37"/>
        <v>0</v>
      </c>
      <c r="AL114" s="539">
        <f t="shared" si="37"/>
        <v>0</v>
      </c>
      <c r="AM114" s="539">
        <f t="shared" si="37"/>
        <v>0</v>
      </c>
      <c r="AN114" s="539">
        <f t="shared" si="37"/>
        <v>0</v>
      </c>
      <c r="AO114" s="539">
        <f t="shared" si="37"/>
        <v>0</v>
      </c>
      <c r="AP114" s="539">
        <f t="shared" si="37"/>
        <v>0</v>
      </c>
      <c r="AQ114" s="539">
        <f t="shared" si="37"/>
        <v>0</v>
      </c>
      <c r="AR114" s="539">
        <f t="shared" si="37"/>
        <v>0</v>
      </c>
      <c r="AS114" s="539">
        <f t="shared" si="37"/>
        <v>0</v>
      </c>
      <c r="AT114" s="539">
        <f t="shared" si="37"/>
        <v>0</v>
      </c>
      <c r="AU114" s="539">
        <f t="shared" si="37"/>
        <v>0</v>
      </c>
      <c r="AV114" s="539">
        <f t="shared" si="37"/>
        <v>0</v>
      </c>
      <c r="AW114" s="539">
        <f t="shared" si="37"/>
        <v>0</v>
      </c>
      <c r="AX114" s="539">
        <f t="shared" si="37"/>
        <v>0</v>
      </c>
      <c r="AY114" s="539">
        <f t="shared" si="37"/>
        <v>0</v>
      </c>
      <c r="AZ114" s="539">
        <f t="shared" si="37"/>
        <v>0</v>
      </c>
      <c r="BA114" s="539">
        <f t="shared" si="37"/>
        <v>0</v>
      </c>
      <c r="BB114" s="539">
        <f t="shared" si="37"/>
        <v>0</v>
      </c>
      <c r="BC114" s="539">
        <f t="shared" si="37"/>
        <v>0</v>
      </c>
      <c r="BD114" s="539">
        <f t="shared" si="37"/>
        <v>0</v>
      </c>
      <c r="BE114" s="539">
        <f t="shared" si="37"/>
        <v>0</v>
      </c>
      <c r="BF114" s="539">
        <f t="shared" si="37"/>
        <v>0</v>
      </c>
      <c r="BG114" s="539">
        <f t="shared" si="37"/>
        <v>0</v>
      </c>
      <c r="BH114" s="539">
        <f t="shared" si="37"/>
        <v>0</v>
      </c>
      <c r="BI114" s="539">
        <f t="shared" si="37"/>
        <v>0</v>
      </c>
      <c r="BJ114" s="539">
        <f t="shared" si="37"/>
        <v>0</v>
      </c>
      <c r="BK114" s="539">
        <f t="shared" si="37"/>
        <v>0</v>
      </c>
      <c r="BL114" s="539">
        <f t="shared" si="37"/>
        <v>0</v>
      </c>
      <c r="BM114" s="539">
        <f t="shared" si="37"/>
        <v>0</v>
      </c>
      <c r="BN114" s="539">
        <f t="shared" si="37"/>
        <v>0</v>
      </c>
      <c r="BO114" s="539">
        <f t="shared" si="37"/>
        <v>0</v>
      </c>
      <c r="BP114" s="539">
        <f t="shared" si="37"/>
        <v>0</v>
      </c>
      <c r="BQ114" s="539">
        <f t="shared" si="37"/>
        <v>0</v>
      </c>
      <c r="BR114" s="539">
        <f t="shared" si="37"/>
        <v>0</v>
      </c>
      <c r="BS114" s="539">
        <f t="shared" si="37"/>
        <v>0</v>
      </c>
      <c r="BT114" s="539">
        <f t="shared" si="37"/>
        <v>0</v>
      </c>
      <c r="BU114" s="539">
        <f t="shared" si="37"/>
        <v>0</v>
      </c>
      <c r="BV114" s="539">
        <f t="shared" si="37"/>
        <v>0</v>
      </c>
      <c r="BW114" s="539">
        <f t="shared" si="37"/>
        <v>0</v>
      </c>
      <c r="BX114" s="539">
        <f t="shared" si="37"/>
        <v>0</v>
      </c>
      <c r="BY114" s="539">
        <f t="shared" si="37"/>
        <v>0</v>
      </c>
      <c r="BZ114" s="539">
        <f t="shared" si="37"/>
        <v>0</v>
      </c>
      <c r="CA114" s="539">
        <f t="shared" si="37"/>
        <v>0</v>
      </c>
      <c r="CB114" s="539">
        <f t="shared" si="37"/>
        <v>0</v>
      </c>
      <c r="CC114" s="539">
        <f t="shared" si="37"/>
        <v>0</v>
      </c>
      <c r="CD114" s="539">
        <f t="shared" si="37"/>
        <v>0</v>
      </c>
      <c r="CE114" s="539">
        <f t="shared" si="37"/>
        <v>0</v>
      </c>
      <c r="CF114" s="539">
        <f t="shared" si="37"/>
        <v>0</v>
      </c>
      <c r="CG114" s="539">
        <f t="shared" si="37"/>
        <v>0</v>
      </c>
      <c r="CH114" s="539">
        <f t="shared" si="37"/>
        <v>0</v>
      </c>
      <c r="CI114" s="539">
        <f t="shared" si="37"/>
        <v>0</v>
      </c>
      <c r="CJ114" s="539">
        <f t="shared" si="37"/>
        <v>0</v>
      </c>
      <c r="CK114" s="539">
        <f t="shared" si="37"/>
        <v>0</v>
      </c>
      <c r="CL114" s="539">
        <f t="shared" si="37"/>
        <v>0</v>
      </c>
      <c r="CM114" s="539">
        <f t="shared" si="37"/>
        <v>0</v>
      </c>
      <c r="CN114" s="539">
        <f t="shared" si="37"/>
        <v>0</v>
      </c>
      <c r="CO114" s="539">
        <f t="shared" si="37"/>
        <v>0</v>
      </c>
      <c r="CP114" s="539">
        <f t="shared" si="37"/>
        <v>0</v>
      </c>
      <c r="CQ114" s="539">
        <f t="shared" si="37"/>
        <v>0</v>
      </c>
      <c r="CR114" s="539">
        <f t="shared" si="37"/>
        <v>0</v>
      </c>
      <c r="CS114" s="539">
        <f t="shared" si="37"/>
        <v>0</v>
      </c>
      <c r="CT114" s="539">
        <f t="shared" si="37"/>
        <v>0</v>
      </c>
      <c r="CU114" s="539">
        <f t="shared" si="37"/>
        <v>0</v>
      </c>
      <c r="CV114" s="539">
        <f t="shared" si="37"/>
        <v>0</v>
      </c>
      <c r="CW114" s="539">
        <f t="shared" si="37"/>
        <v>0</v>
      </c>
      <c r="CX114" s="539">
        <f t="shared" si="37"/>
        <v>0</v>
      </c>
      <c r="CY114" s="539">
        <f t="shared" si="37"/>
        <v>0</v>
      </c>
      <c r="CZ114" s="539">
        <f t="shared" si="37"/>
        <v>0</v>
      </c>
      <c r="DA114" s="539">
        <f t="shared" si="37"/>
        <v>0</v>
      </c>
      <c r="DB114" s="539">
        <f t="shared" si="37"/>
        <v>0</v>
      </c>
      <c r="DC114" s="539">
        <f t="shared" si="37"/>
        <v>0</v>
      </c>
      <c r="DD114" s="539">
        <f t="shared" si="37"/>
        <v>0</v>
      </c>
      <c r="DE114" s="539">
        <f t="shared" si="37"/>
        <v>0</v>
      </c>
      <c r="DF114" s="539">
        <f t="shared" si="37"/>
        <v>0</v>
      </c>
      <c r="DG114" s="539">
        <f t="shared" si="37"/>
        <v>0</v>
      </c>
      <c r="DH114" s="539">
        <f t="shared" si="37"/>
        <v>0</v>
      </c>
      <c r="DI114" s="539">
        <f t="shared" si="37"/>
        <v>0</v>
      </c>
      <c r="DJ114" s="539">
        <f t="shared" si="37"/>
        <v>0</v>
      </c>
      <c r="DK114" s="539">
        <f t="shared" si="37"/>
        <v>0</v>
      </c>
      <c r="DL114" s="539">
        <f t="shared" si="37"/>
        <v>0</v>
      </c>
      <c r="DM114" s="539">
        <f t="shared" si="37"/>
        <v>0</v>
      </c>
      <c r="DN114" s="539">
        <f t="shared" si="37"/>
        <v>0</v>
      </c>
      <c r="DO114" s="539">
        <f t="shared" si="37"/>
        <v>0</v>
      </c>
      <c r="DP114" s="539">
        <f t="shared" si="37"/>
        <v>0</v>
      </c>
      <c r="DQ114" s="539">
        <f t="shared" si="37"/>
        <v>0</v>
      </c>
      <c r="DR114" s="539">
        <f t="shared" si="37"/>
        <v>0</v>
      </c>
      <c r="DS114" s="539">
        <f t="shared" si="37"/>
        <v>0</v>
      </c>
      <c r="DT114" s="539">
        <f t="shared" si="37"/>
        <v>0</v>
      </c>
      <c r="DU114" s="539">
        <f t="shared" si="37"/>
        <v>0</v>
      </c>
      <c r="DV114" s="539">
        <f t="shared" si="37"/>
        <v>0</v>
      </c>
      <c r="DW114" s="539">
        <f t="shared" si="37"/>
        <v>0</v>
      </c>
      <c r="DX114" s="539">
        <f t="shared" si="37"/>
        <v>0</v>
      </c>
      <c r="DY114" s="539">
        <f t="shared" si="37"/>
        <v>0</v>
      </c>
      <c r="DZ114" s="539">
        <f t="shared" si="37"/>
        <v>0</v>
      </c>
      <c r="EA114" s="539">
        <f t="shared" si="37"/>
        <v>0</v>
      </c>
      <c r="EB114" s="539">
        <f t="shared" si="37"/>
        <v>0</v>
      </c>
      <c r="EC114" s="539">
        <f t="shared" si="37"/>
        <v>0</v>
      </c>
      <c r="ED114" s="539">
        <f t="shared" si="37"/>
        <v>0</v>
      </c>
      <c r="EE114" s="539">
        <f t="shared" si="37"/>
        <v>0</v>
      </c>
      <c r="EF114" s="539">
        <f t="shared" si="37"/>
        <v>0</v>
      </c>
      <c r="EG114" s="539">
        <f t="shared" si="37"/>
        <v>0</v>
      </c>
    </row>
    <row r="115" spans="5:137" ht="12.75">
      <c r="E115" s="538" t="str">
        <f>E$112</f>
        <v>Distributions - cash available</v>
      </c>
      <c r="G115" s="539" t="str">
        <f>G$112</f>
        <v>EUR 000s</v>
      </c>
      <c r="H115" s="539">
        <f>H$112</f>
        <v>563432.21775595983</v>
      </c>
      <c r="J115" s="539">
        <f t="shared" si="38" ref="J115:EG115">J$112</f>
        <v>0</v>
      </c>
      <c r="K115" s="539">
        <f t="shared" si="38"/>
        <v>0</v>
      </c>
      <c r="L115" s="539">
        <f t="shared" si="38"/>
        <v>0</v>
      </c>
      <c r="M115" s="539">
        <f t="shared" si="38"/>
        <v>0</v>
      </c>
      <c r="N115" s="539">
        <f t="shared" si="38"/>
        <v>0</v>
      </c>
      <c r="O115" s="539">
        <f t="shared" si="38"/>
        <v>0</v>
      </c>
      <c r="P115" s="539">
        <f t="shared" si="38"/>
        <v>1.8189894035458565E-12</v>
      </c>
      <c r="Q115" s="539">
        <f t="shared" si="38"/>
        <v>0</v>
      </c>
      <c r="R115" s="539">
        <f t="shared" si="38"/>
        <v>0</v>
      </c>
      <c r="S115" s="539">
        <f t="shared" si="38"/>
        <v>0</v>
      </c>
      <c r="T115" s="539">
        <f t="shared" si="38"/>
        <v>0</v>
      </c>
      <c r="U115" s="539">
        <f t="shared" si="38"/>
        <v>0</v>
      </c>
      <c r="V115" s="539">
        <f t="shared" si="38"/>
        <v>0</v>
      </c>
      <c r="W115" s="539">
        <f t="shared" si="38"/>
        <v>0</v>
      </c>
      <c r="X115" s="539">
        <f t="shared" si="38"/>
        <v>0</v>
      </c>
      <c r="Y115" s="539">
        <f t="shared" si="38"/>
        <v>0</v>
      </c>
      <c r="Z115" s="539">
        <f t="shared" si="38"/>
        <v>0</v>
      </c>
      <c r="AA115" s="539">
        <f t="shared" si="38"/>
        <v>0</v>
      </c>
      <c r="AB115" s="539">
        <f t="shared" si="38"/>
        <v>0</v>
      </c>
      <c r="AC115" s="539">
        <f t="shared" si="38"/>
        <v>0</v>
      </c>
      <c r="AD115" s="539">
        <f t="shared" si="38"/>
        <v>0</v>
      </c>
      <c r="AE115" s="539">
        <f t="shared" si="38"/>
        <v>0</v>
      </c>
      <c r="AF115" s="539">
        <f t="shared" si="38"/>
        <v>0</v>
      </c>
      <c r="AG115" s="539">
        <f t="shared" si="38"/>
        <v>0</v>
      </c>
      <c r="AH115" s="539">
        <f t="shared" si="38"/>
        <v>1383.9233639501999</v>
      </c>
      <c r="AI115" s="539">
        <f t="shared" si="38"/>
        <v>3289.5323362199924</v>
      </c>
      <c r="AJ115" s="539">
        <f t="shared" si="38"/>
        <v>3245.3805232500731</v>
      </c>
      <c r="AK115" s="539">
        <f t="shared" si="38"/>
        <v>3195.0408989934072</v>
      </c>
      <c r="AL115" s="539">
        <f t="shared" si="38"/>
        <v>3314.6555979376371</v>
      </c>
      <c r="AM115" s="539">
        <f t="shared" si="38"/>
        <v>3413.5103829410727</v>
      </c>
      <c r="AN115" s="539">
        <f t="shared" si="38"/>
        <v>3368.8149446907446</v>
      </c>
      <c r="AO115" s="539">
        <f t="shared" si="38"/>
        <v>3317.8291025066792</v>
      </c>
      <c r="AP115" s="539">
        <f t="shared" si="38"/>
        <v>3438.4566627931977</v>
      </c>
      <c r="AQ115" s="539">
        <f t="shared" si="38"/>
        <v>3538.7454210592982</v>
      </c>
      <c r="AR115" s="539">
        <f t="shared" si="38"/>
        <v>3482.692592271675</v>
      </c>
      <c r="AS115" s="539">
        <f t="shared" si="38"/>
        <v>3452.6458698254974</v>
      </c>
      <c r="AT115" s="539">
        <f t="shared" si="38"/>
        <v>1840.225347833371</v>
      </c>
      <c r="AU115" s="539">
        <f t="shared" si="38"/>
        <v>1907.064048963113</v>
      </c>
      <c r="AV115" s="539">
        <f t="shared" si="38"/>
        <v>1879.8635093641863</v>
      </c>
      <c r="AW115" s="539">
        <f t="shared" si="38"/>
        <v>1823.2308510204605</v>
      </c>
      <c r="AX115" s="539">
        <f t="shared" si="38"/>
        <v>3689.9207029973613</v>
      </c>
      <c r="AY115" s="539">
        <f t="shared" si="38"/>
        <v>3795.4891066389291</v>
      </c>
      <c r="AZ115" s="539">
        <f t="shared" si="38"/>
        <v>3810.2717218736234</v>
      </c>
      <c r="BA115" s="539">
        <f t="shared" si="38"/>
        <v>3761.7553340142267</v>
      </c>
      <c r="BB115" s="539">
        <f t="shared" si="38"/>
        <v>3775.7398776167847</v>
      </c>
      <c r="BC115" s="539">
        <f t="shared" si="38"/>
        <v>3870.9553004708091</v>
      </c>
      <c r="BD115" s="539">
        <f t="shared" si="38"/>
        <v>3819.5887386810437</v>
      </c>
      <c r="BE115" s="539">
        <f t="shared" si="38"/>
        <v>3757.5449019740718</v>
      </c>
      <c r="BF115" s="539">
        <f t="shared" si="38"/>
        <v>3865.5485651833455</v>
      </c>
      <c r="BG115" s="539">
        <f t="shared" si="38"/>
        <v>3963.7340210591155</v>
      </c>
      <c r="BH115" s="539">
        <f t="shared" si="38"/>
        <v>3901.9818208723086</v>
      </c>
      <c r="BI115" s="539">
        <f t="shared" si="38"/>
        <v>3863.3396261250573</v>
      </c>
      <c r="BJ115" s="539">
        <f t="shared" si="38"/>
        <v>3981.7948466400562</v>
      </c>
      <c r="BK115" s="539">
        <f t="shared" si="38"/>
        <v>4041.5037487339391</v>
      </c>
      <c r="BL115" s="539">
        <f t="shared" si="38"/>
        <v>4013.5705589641948</v>
      </c>
      <c r="BM115" s="539">
        <f t="shared" si="38"/>
        <v>3952.9034566736409</v>
      </c>
      <c r="BN115" s="539">
        <f t="shared" si="38"/>
        <v>2097.5193655527028</v>
      </c>
      <c r="BO115" s="539">
        <f t="shared" si="38"/>
        <v>2200.864273878366</v>
      </c>
      <c r="BP115" s="539">
        <f t="shared" si="38"/>
        <v>2098.1063109146212</v>
      </c>
      <c r="BQ115" s="539">
        <f t="shared" si="38"/>
        <v>2037.8164184080592</v>
      </c>
      <c r="BR115" s="539">
        <f t="shared" si="38"/>
        <v>4224.1553525130121</v>
      </c>
      <c r="BS115" s="539">
        <f t="shared" si="38"/>
        <v>4329.7689293072381</v>
      </c>
      <c r="BT115" s="539">
        <f t="shared" si="38"/>
        <v>4419.8055567868232</v>
      </c>
      <c r="BU115" s="539">
        <f t="shared" si="38"/>
        <v>4770.8603254831687</v>
      </c>
      <c r="BV115" s="539">
        <f t="shared" si="38"/>
        <v>4626.1012277867885</v>
      </c>
      <c r="BW115" s="539">
        <f t="shared" si="38"/>
        <v>3945.1397120020174</v>
      </c>
      <c r="BX115" s="539">
        <f t="shared" si="38"/>
        <v>3887.6124417460055</v>
      </c>
      <c r="BY115" s="539">
        <f t="shared" si="38"/>
        <v>3843.3319181364645</v>
      </c>
      <c r="BZ115" s="539">
        <f t="shared" si="38"/>
        <v>3978.3991178064584</v>
      </c>
      <c r="CA115" s="539">
        <f t="shared" si="38"/>
        <v>4211.4281415911701</v>
      </c>
      <c r="CB115" s="539">
        <f t="shared" si="38"/>
        <v>4139.4003880005166</v>
      </c>
      <c r="CC115" s="539">
        <f t="shared" si="38"/>
        <v>3736.011479524982</v>
      </c>
      <c r="CD115" s="539">
        <f t="shared" si="38"/>
        <v>4321.3134548763692</v>
      </c>
      <c r="CE115" s="539">
        <f t="shared" si="38"/>
        <v>4413.9780591819081</v>
      </c>
      <c r="CF115" s="539">
        <f t="shared" si="38"/>
        <v>4368.5578436146661</v>
      </c>
      <c r="CG115" s="539">
        <f t="shared" si="38"/>
        <v>4283.5118246307165</v>
      </c>
      <c r="CH115" s="539">
        <f t="shared" si="38"/>
        <v>2110.5359724491877</v>
      </c>
      <c r="CI115" s="539">
        <f t="shared" si="38"/>
        <v>2204.6023940287428</v>
      </c>
      <c r="CJ115" s="539">
        <f t="shared" si="38"/>
        <v>1870.785150550882</v>
      </c>
      <c r="CK115" s="539">
        <f t="shared" si="38"/>
        <v>1786.9171601948424</v>
      </c>
      <c r="CL115" s="539">
        <f t="shared" si="38"/>
        <v>4628.8303227158403</v>
      </c>
      <c r="CM115" s="539">
        <f t="shared" si="38"/>
        <v>4723.5203653725785</v>
      </c>
      <c r="CN115" s="539">
        <f t="shared" si="38"/>
        <v>4948.935086001231</v>
      </c>
      <c r="CO115" s="539">
        <f t="shared" si="38"/>
        <v>4889.99295027068</v>
      </c>
      <c r="CP115" s="539">
        <f t="shared" si="38"/>
        <v>4408.4942242291327</v>
      </c>
      <c r="CQ115" s="539">
        <f t="shared" si="38"/>
        <v>4454.0921236772019</v>
      </c>
      <c r="CR115" s="539">
        <f t="shared" si="38"/>
        <v>4428.3806644411152</v>
      </c>
      <c r="CS115" s="539">
        <f t="shared" si="38"/>
        <v>4344.7192119229667</v>
      </c>
      <c r="CT115" s="539">
        <f t="shared" si="38"/>
        <v>4410.7908852154824</v>
      </c>
      <c r="CU115" s="539">
        <f t="shared" si="38"/>
        <v>4507.2180043044709</v>
      </c>
      <c r="CV115" s="539">
        <f t="shared" si="38"/>
        <v>4455.6468509356973</v>
      </c>
      <c r="CW115" s="539">
        <f t="shared" si="38"/>
        <v>4372.1040514103006</v>
      </c>
      <c r="CX115" s="539">
        <f t="shared" si="38"/>
        <v>4442.1439989063965</v>
      </c>
      <c r="CY115" s="539">
        <f t="shared" si="38"/>
        <v>4538.8867633803111</v>
      </c>
      <c r="CZ115" s="539">
        <f t="shared" si="38"/>
        <v>9289.0498453167747</v>
      </c>
      <c r="DA115" s="539">
        <f t="shared" si="38"/>
        <v>9243.2109589193478</v>
      </c>
      <c r="DB115" s="539">
        <f t="shared" si="38"/>
        <v>6730.8032201585938</v>
      </c>
      <c r="DC115" s="539">
        <f t="shared" si="38"/>
        <v>6819.6943690281241</v>
      </c>
      <c r="DD115" s="539">
        <f t="shared" si="38"/>
        <v>6814.0398522326241</v>
      </c>
      <c r="DE115" s="539">
        <f t="shared" si="38"/>
        <v>6785.1271000854231</v>
      </c>
      <c r="DF115" s="539">
        <f t="shared" si="38"/>
        <v>10042.297500103878</v>
      </c>
      <c r="DG115" s="539">
        <f t="shared" si="38"/>
        <v>10083.037086594606</v>
      </c>
      <c r="DH115" s="539">
        <f t="shared" si="38"/>
        <v>10103.030440845592</v>
      </c>
      <c r="DI115" s="539">
        <f t="shared" si="38"/>
        <v>10074.710093976457</v>
      </c>
      <c r="DJ115" s="539">
        <f t="shared" si="38"/>
        <v>9531.0000277068248</v>
      </c>
      <c r="DK115" s="539">
        <f t="shared" si="38"/>
        <v>9622.5760692221538</v>
      </c>
      <c r="DL115" s="539">
        <f t="shared" si="38"/>
        <v>9618.4891847043327</v>
      </c>
      <c r="DM115" s="539">
        <f t="shared" si="38"/>
        <v>9590.6249782264968</v>
      </c>
      <c r="DN115" s="539">
        <f t="shared" si="38"/>
        <v>9679.6513243283043</v>
      </c>
      <c r="DO115" s="539">
        <f t="shared" si="38"/>
        <v>9772.3259446832872</v>
      </c>
      <c r="DP115" s="539">
        <f t="shared" si="38"/>
        <v>9768.8299907587207</v>
      </c>
      <c r="DQ115" s="539">
        <f t="shared" si="38"/>
        <v>9741.3091688148925</v>
      </c>
      <c r="DR115" s="539">
        <f t="shared" si="38"/>
        <v>9833.1752700445759</v>
      </c>
      <c r="DS115" s="539">
        <f t="shared" si="38"/>
        <v>9926.8134161951511</v>
      </c>
      <c r="DT115" s="539">
        <f t="shared" si="38"/>
        <v>9923.8082057289866</v>
      </c>
      <c r="DU115" s="539">
        <f t="shared" si="38"/>
        <v>9896.5376166003607</v>
      </c>
      <c r="DV115" s="539">
        <f t="shared" si="38"/>
        <v>10016.918852742816</v>
      </c>
      <c r="DW115" s="539">
        <f t="shared" si="38"/>
        <v>10059.983606963106</v>
      </c>
      <c r="DX115" s="539">
        <f t="shared" si="38"/>
        <v>10083.094712487115</v>
      </c>
      <c r="DY115" s="539">
        <f t="shared" si="38"/>
        <v>10055.997562626802</v>
      </c>
      <c r="DZ115" s="539">
        <f t="shared" si="38"/>
        <v>12150.719351237401</v>
      </c>
      <c r="EA115" s="539">
        <f t="shared" si="38"/>
        <v>14400.981458335427</v>
      </c>
      <c r="EB115" s="539">
        <f t="shared" si="38"/>
        <v>16648.983915654459</v>
      </c>
      <c r="EC115" s="539">
        <f t="shared" si="38"/>
        <v>19599.446855546739</v>
      </c>
      <c r="ED115" s="539">
        <f t="shared" si="38"/>
        <v>2308.4176722004668</v>
      </c>
      <c r="EE115" s="539">
        <f t="shared" si="38"/>
        <v>4.0745362639427185E-10</v>
      </c>
      <c r="EF115" s="539">
        <f t="shared" si="38"/>
        <v>4.0745362639427185E-10</v>
      </c>
      <c r="EG115" s="539">
        <f t="shared" si="38"/>
        <v>4.0745362639427185E-10</v>
      </c>
    </row>
    <row r="116" spans="5:137" ht="12.75">
      <c r="E116" s="540" t="s">
        <v>417</v>
      </c>
      <c r="G116" s="541" t="s">
        <v>30</v>
      </c>
      <c r="H116" s="541">
        <f>SUM(J116:EG116)</f>
        <v>563432.21775595983</v>
      </c>
      <c r="J116" s="541">
        <f t="shared" si="39" ref="J116:EG116">J115*(1-J114)</f>
        <v>0</v>
      </c>
      <c r="K116" s="541">
        <f t="shared" si="39"/>
        <v>0</v>
      </c>
      <c r="L116" s="541">
        <f t="shared" si="39"/>
        <v>0</v>
      </c>
      <c r="M116" s="541">
        <f t="shared" si="39"/>
        <v>0</v>
      </c>
      <c r="N116" s="541">
        <f t="shared" si="39"/>
        <v>0</v>
      </c>
      <c r="O116" s="541">
        <f t="shared" si="39"/>
        <v>0</v>
      </c>
      <c r="P116" s="541">
        <f t="shared" si="39"/>
        <v>1.8189894035458565E-12</v>
      </c>
      <c r="Q116" s="541">
        <f t="shared" si="39"/>
        <v>0</v>
      </c>
      <c r="R116" s="541">
        <f t="shared" si="39"/>
        <v>0</v>
      </c>
      <c r="S116" s="541">
        <f t="shared" si="39"/>
        <v>0</v>
      </c>
      <c r="T116" s="541">
        <f t="shared" si="39"/>
        <v>0</v>
      </c>
      <c r="U116" s="541">
        <f t="shared" si="39"/>
        <v>0</v>
      </c>
      <c r="V116" s="541">
        <f t="shared" si="39"/>
        <v>0</v>
      </c>
      <c r="W116" s="541">
        <f t="shared" si="39"/>
        <v>0</v>
      </c>
      <c r="X116" s="541">
        <f t="shared" si="39"/>
        <v>0</v>
      </c>
      <c r="Y116" s="541">
        <f t="shared" si="39"/>
        <v>0</v>
      </c>
      <c r="Z116" s="541">
        <f t="shared" si="39"/>
        <v>0</v>
      </c>
      <c r="AA116" s="541">
        <f t="shared" si="39"/>
        <v>0</v>
      </c>
      <c r="AB116" s="541">
        <f t="shared" si="39"/>
        <v>0</v>
      </c>
      <c r="AC116" s="541">
        <f t="shared" si="39"/>
        <v>0</v>
      </c>
      <c r="AD116" s="541">
        <f t="shared" si="39"/>
        <v>0</v>
      </c>
      <c r="AE116" s="541">
        <f t="shared" si="39"/>
        <v>0</v>
      </c>
      <c r="AF116" s="541">
        <f t="shared" si="39"/>
        <v>0</v>
      </c>
      <c r="AG116" s="541">
        <f t="shared" si="39"/>
        <v>0</v>
      </c>
      <c r="AH116" s="541">
        <f t="shared" si="39"/>
        <v>1383.9233639501999</v>
      </c>
      <c r="AI116" s="541">
        <f t="shared" si="39"/>
        <v>3289.5323362199924</v>
      </c>
      <c r="AJ116" s="541">
        <f t="shared" si="39"/>
        <v>3245.3805232500731</v>
      </c>
      <c r="AK116" s="541">
        <f t="shared" si="39"/>
        <v>3195.0408989934072</v>
      </c>
      <c r="AL116" s="541">
        <f t="shared" si="39"/>
        <v>3314.6555979376371</v>
      </c>
      <c r="AM116" s="541">
        <f t="shared" si="39"/>
        <v>3413.5103829410727</v>
      </c>
      <c r="AN116" s="541">
        <f t="shared" si="39"/>
        <v>3368.8149446907446</v>
      </c>
      <c r="AO116" s="541">
        <f t="shared" si="39"/>
        <v>3317.8291025066792</v>
      </c>
      <c r="AP116" s="541">
        <f t="shared" si="39"/>
        <v>3438.4566627931977</v>
      </c>
      <c r="AQ116" s="541">
        <f t="shared" si="39"/>
        <v>3538.7454210592982</v>
      </c>
      <c r="AR116" s="541">
        <f t="shared" si="39"/>
        <v>3482.692592271675</v>
      </c>
      <c r="AS116" s="541">
        <f t="shared" si="39"/>
        <v>3452.6458698254974</v>
      </c>
      <c r="AT116" s="541">
        <f t="shared" si="39"/>
        <v>1840.225347833371</v>
      </c>
      <c r="AU116" s="541">
        <f t="shared" si="39"/>
        <v>1907.064048963113</v>
      </c>
      <c r="AV116" s="541">
        <f t="shared" si="39"/>
        <v>1879.8635093641863</v>
      </c>
      <c r="AW116" s="541">
        <f t="shared" si="39"/>
        <v>1823.2308510204605</v>
      </c>
      <c r="AX116" s="541">
        <f t="shared" si="39"/>
        <v>3689.9207029973613</v>
      </c>
      <c r="AY116" s="541">
        <f t="shared" si="39"/>
        <v>3795.4891066389291</v>
      </c>
      <c r="AZ116" s="541">
        <f t="shared" si="39"/>
        <v>3810.2717218736234</v>
      </c>
      <c r="BA116" s="541">
        <f t="shared" si="39"/>
        <v>3761.7553340142267</v>
      </c>
      <c r="BB116" s="541">
        <f t="shared" si="39"/>
        <v>3775.7398776167847</v>
      </c>
      <c r="BC116" s="541">
        <f t="shared" si="39"/>
        <v>3870.9553004708091</v>
      </c>
      <c r="BD116" s="541">
        <f t="shared" si="39"/>
        <v>3819.5887386810437</v>
      </c>
      <c r="BE116" s="541">
        <f t="shared" si="39"/>
        <v>3757.5449019740718</v>
      </c>
      <c r="BF116" s="541">
        <f t="shared" si="39"/>
        <v>3865.5485651833455</v>
      </c>
      <c r="BG116" s="541">
        <f t="shared" si="39"/>
        <v>3963.7340210591155</v>
      </c>
      <c r="BH116" s="541">
        <f t="shared" si="39"/>
        <v>3901.9818208723086</v>
      </c>
      <c r="BI116" s="541">
        <f t="shared" si="39"/>
        <v>3863.3396261250573</v>
      </c>
      <c r="BJ116" s="541">
        <f t="shared" si="39"/>
        <v>3981.7948466400562</v>
      </c>
      <c r="BK116" s="541">
        <f t="shared" si="39"/>
        <v>4041.5037487339391</v>
      </c>
      <c r="BL116" s="541">
        <f t="shared" si="39"/>
        <v>4013.5705589641948</v>
      </c>
      <c r="BM116" s="541">
        <f t="shared" si="39"/>
        <v>3952.9034566736409</v>
      </c>
      <c r="BN116" s="541">
        <f t="shared" si="39"/>
        <v>2097.5193655527028</v>
      </c>
      <c r="BO116" s="541">
        <f t="shared" si="39"/>
        <v>2200.864273878366</v>
      </c>
      <c r="BP116" s="541">
        <f t="shared" si="39"/>
        <v>2098.1063109146212</v>
      </c>
      <c r="BQ116" s="541">
        <f t="shared" si="39"/>
        <v>2037.8164184080592</v>
      </c>
      <c r="BR116" s="541">
        <f t="shared" si="39"/>
        <v>4224.1553525130121</v>
      </c>
      <c r="BS116" s="541">
        <f t="shared" si="39"/>
        <v>4329.7689293072381</v>
      </c>
      <c r="BT116" s="541">
        <f t="shared" si="39"/>
        <v>4419.8055567868232</v>
      </c>
      <c r="BU116" s="541">
        <f t="shared" si="39"/>
        <v>4770.8603254831687</v>
      </c>
      <c r="BV116" s="541">
        <f t="shared" si="39"/>
        <v>4626.1012277867885</v>
      </c>
      <c r="BW116" s="541">
        <f t="shared" si="39"/>
        <v>3945.1397120020174</v>
      </c>
      <c r="BX116" s="541">
        <f t="shared" si="39"/>
        <v>3887.6124417460055</v>
      </c>
      <c r="BY116" s="541">
        <f t="shared" si="39"/>
        <v>3843.3319181364645</v>
      </c>
      <c r="BZ116" s="541">
        <f t="shared" si="39"/>
        <v>3978.3991178064584</v>
      </c>
      <c r="CA116" s="541">
        <f t="shared" si="39"/>
        <v>4211.4281415911701</v>
      </c>
      <c r="CB116" s="541">
        <f t="shared" si="39"/>
        <v>4139.4003880005166</v>
      </c>
      <c r="CC116" s="541">
        <f t="shared" si="39"/>
        <v>3736.011479524982</v>
      </c>
      <c r="CD116" s="541">
        <f t="shared" si="39"/>
        <v>4321.3134548763692</v>
      </c>
      <c r="CE116" s="541">
        <f t="shared" si="39"/>
        <v>4413.9780591819081</v>
      </c>
      <c r="CF116" s="541">
        <f t="shared" si="39"/>
        <v>4368.5578436146661</v>
      </c>
      <c r="CG116" s="541">
        <f t="shared" si="39"/>
        <v>4283.5118246307165</v>
      </c>
      <c r="CH116" s="541">
        <f t="shared" si="39"/>
        <v>2110.5359724491877</v>
      </c>
      <c r="CI116" s="541">
        <f t="shared" si="39"/>
        <v>2204.6023940287428</v>
      </c>
      <c r="CJ116" s="541">
        <f t="shared" si="39"/>
        <v>1870.785150550882</v>
      </c>
      <c r="CK116" s="541">
        <f t="shared" si="39"/>
        <v>1786.9171601948424</v>
      </c>
      <c r="CL116" s="541">
        <f t="shared" si="39"/>
        <v>4628.8303227158403</v>
      </c>
      <c r="CM116" s="541">
        <f t="shared" si="39"/>
        <v>4723.5203653725785</v>
      </c>
      <c r="CN116" s="541">
        <f t="shared" si="39"/>
        <v>4948.935086001231</v>
      </c>
      <c r="CO116" s="541">
        <f t="shared" si="39"/>
        <v>4889.99295027068</v>
      </c>
      <c r="CP116" s="541">
        <f t="shared" si="39"/>
        <v>4408.4942242291327</v>
      </c>
      <c r="CQ116" s="541">
        <f t="shared" si="39"/>
        <v>4454.0921236772019</v>
      </c>
      <c r="CR116" s="541">
        <f t="shared" si="39"/>
        <v>4428.3806644411152</v>
      </c>
      <c r="CS116" s="541">
        <f t="shared" si="39"/>
        <v>4344.7192119229667</v>
      </c>
      <c r="CT116" s="541">
        <f t="shared" si="39"/>
        <v>4410.7908852154824</v>
      </c>
      <c r="CU116" s="541">
        <f t="shared" si="39"/>
        <v>4507.2180043044709</v>
      </c>
      <c r="CV116" s="541">
        <f t="shared" si="39"/>
        <v>4455.6468509356973</v>
      </c>
      <c r="CW116" s="541">
        <f t="shared" si="39"/>
        <v>4372.1040514103006</v>
      </c>
      <c r="CX116" s="541">
        <f t="shared" si="39"/>
        <v>4442.1439989063965</v>
      </c>
      <c r="CY116" s="541">
        <f t="shared" si="39"/>
        <v>4538.8867633803111</v>
      </c>
      <c r="CZ116" s="541">
        <f t="shared" si="39"/>
        <v>9289.0498453167747</v>
      </c>
      <c r="DA116" s="541">
        <f t="shared" si="39"/>
        <v>9243.2109589193478</v>
      </c>
      <c r="DB116" s="541">
        <f t="shared" si="39"/>
        <v>6730.8032201585938</v>
      </c>
      <c r="DC116" s="541">
        <f t="shared" si="39"/>
        <v>6819.6943690281241</v>
      </c>
      <c r="DD116" s="541">
        <f t="shared" si="39"/>
        <v>6814.0398522326241</v>
      </c>
      <c r="DE116" s="541">
        <f t="shared" si="39"/>
        <v>6785.1271000854231</v>
      </c>
      <c r="DF116" s="541">
        <f t="shared" si="39"/>
        <v>10042.297500103878</v>
      </c>
      <c r="DG116" s="541">
        <f t="shared" si="39"/>
        <v>10083.037086594606</v>
      </c>
      <c r="DH116" s="541">
        <f t="shared" si="39"/>
        <v>10103.030440845592</v>
      </c>
      <c r="DI116" s="541">
        <f t="shared" si="39"/>
        <v>10074.710093976457</v>
      </c>
      <c r="DJ116" s="541">
        <f t="shared" si="39"/>
        <v>9531.0000277068248</v>
      </c>
      <c r="DK116" s="541">
        <f t="shared" si="39"/>
        <v>9622.5760692221538</v>
      </c>
      <c r="DL116" s="541">
        <f t="shared" si="39"/>
        <v>9618.4891847043327</v>
      </c>
      <c r="DM116" s="541">
        <f t="shared" si="39"/>
        <v>9590.6249782264968</v>
      </c>
      <c r="DN116" s="541">
        <f t="shared" si="39"/>
        <v>9679.6513243283043</v>
      </c>
      <c r="DO116" s="541">
        <f t="shared" si="39"/>
        <v>9772.3259446832872</v>
      </c>
      <c r="DP116" s="541">
        <f t="shared" si="39"/>
        <v>9768.8299907587207</v>
      </c>
      <c r="DQ116" s="541">
        <f t="shared" si="39"/>
        <v>9741.3091688148925</v>
      </c>
      <c r="DR116" s="541">
        <f t="shared" si="39"/>
        <v>9833.1752700445759</v>
      </c>
      <c r="DS116" s="541">
        <f t="shared" si="39"/>
        <v>9926.8134161951511</v>
      </c>
      <c r="DT116" s="541">
        <f t="shared" si="39"/>
        <v>9923.8082057289866</v>
      </c>
      <c r="DU116" s="541">
        <f t="shared" si="39"/>
        <v>9896.5376166003607</v>
      </c>
      <c r="DV116" s="541">
        <f t="shared" si="39"/>
        <v>10016.918852742816</v>
      </c>
      <c r="DW116" s="541">
        <f t="shared" si="39"/>
        <v>10059.983606963106</v>
      </c>
      <c r="DX116" s="541">
        <f t="shared" si="39"/>
        <v>10083.094712487115</v>
      </c>
      <c r="DY116" s="541">
        <f t="shared" si="39"/>
        <v>10055.997562626802</v>
      </c>
      <c r="DZ116" s="541">
        <f t="shared" si="39"/>
        <v>12150.719351237401</v>
      </c>
      <c r="EA116" s="541">
        <f t="shared" si="39"/>
        <v>14400.981458335427</v>
      </c>
      <c r="EB116" s="541">
        <f t="shared" si="39"/>
        <v>16648.983915654459</v>
      </c>
      <c r="EC116" s="541">
        <f t="shared" si="39"/>
        <v>19599.446855546739</v>
      </c>
      <c r="ED116" s="541">
        <f t="shared" si="39"/>
        <v>2308.4176722004668</v>
      </c>
      <c r="EE116" s="541">
        <f t="shared" si="39"/>
        <v>4.0745362639427185E-10</v>
      </c>
      <c r="EF116" s="541">
        <f t="shared" si="39"/>
        <v>4.0745362639427185E-10</v>
      </c>
      <c r="EG116" s="541">
        <f t="shared" si="39"/>
        <v>4.0745362639427185E-10</v>
      </c>
    </row>
    <row r="118" spans="5:137" ht="12.75">
      <c r="E118" s="535" t="str">
        <f>Equity!E$100</f>
        <v>Shareholders - total cash paid</v>
      </c>
      <c r="G118" s="537" t="str">
        <f>Equity!G$100</f>
        <v>EUR 000s</v>
      </c>
      <c r="H118" s="537">
        <f>Equity!H$100</f>
        <v>542229.52746011666</v>
      </c>
      <c r="J118" s="537">
        <f>Equity!J$100</f>
        <v>0</v>
      </c>
      <c r="K118" s="537">
        <f>Equity!K$100</f>
        <v>0</v>
      </c>
      <c r="L118" s="537">
        <f>Equity!L$100</f>
        <v>0</v>
      </c>
      <c r="M118" s="537">
        <f>Equity!M$100</f>
        <v>0</v>
      </c>
      <c r="N118" s="537">
        <f>Equity!N$100</f>
        <v>0</v>
      </c>
      <c r="O118" s="537">
        <f>Equity!O$100</f>
        <v>0</v>
      </c>
      <c r="P118" s="537">
        <f>Equity!P$100</f>
        <v>1.8189894035458565E-12</v>
      </c>
      <c r="Q118" s="537">
        <f>Equity!Q$100</f>
        <v>0</v>
      </c>
      <c r="R118" s="537">
        <f>Equity!R$100</f>
        <v>0</v>
      </c>
      <c r="S118" s="537">
        <f>Equity!S$100</f>
        <v>0</v>
      </c>
      <c r="T118" s="537">
        <f>Equity!T$100</f>
        <v>0</v>
      </c>
      <c r="U118" s="537">
        <f>Equity!U$100</f>
        <v>0</v>
      </c>
      <c r="V118" s="537">
        <f>Equity!V$100</f>
        <v>0</v>
      </c>
      <c r="W118" s="537">
        <f>Equity!W$100</f>
        <v>0</v>
      </c>
      <c r="X118" s="537">
        <f>Equity!X$100</f>
        <v>0</v>
      </c>
      <c r="Y118" s="537">
        <f>Equity!Y$100</f>
        <v>0</v>
      </c>
      <c r="Z118" s="537">
        <f>Equity!Z$100</f>
        <v>0</v>
      </c>
      <c r="AA118" s="537">
        <f>Equity!AA$100</f>
        <v>0</v>
      </c>
      <c r="AB118" s="537">
        <f>Equity!AB$100</f>
        <v>0</v>
      </c>
      <c r="AC118" s="537">
        <f>Equity!AC$100</f>
        <v>0</v>
      </c>
      <c r="AD118" s="537">
        <f>Equity!AD$100</f>
        <v>0</v>
      </c>
      <c r="AE118" s="537">
        <f>Equity!AE$100</f>
        <v>0</v>
      </c>
      <c r="AF118" s="537">
        <f>Equity!AF$100</f>
        <v>0</v>
      </c>
      <c r="AG118" s="537">
        <f>Equity!AG$100</f>
        <v>0</v>
      </c>
      <c r="AH118" s="537">
        <f>Equity!AH$100</f>
        <v>1383.9233639501999</v>
      </c>
      <c r="AI118" s="537">
        <f>Equity!AI$100</f>
        <v>3289.5323362199924</v>
      </c>
      <c r="AJ118" s="537">
        <f>Equity!AJ$100</f>
        <v>3245.3805232500736</v>
      </c>
      <c r="AK118" s="537">
        <f>Equity!AK$100</f>
        <v>3195.0408989934072</v>
      </c>
      <c r="AL118" s="537">
        <f>Equity!AL$100</f>
        <v>3314.6555979376371</v>
      </c>
      <c r="AM118" s="537">
        <f>Equity!AM$100</f>
        <v>3413.5103829410727</v>
      </c>
      <c r="AN118" s="537">
        <f>Equity!AN$100</f>
        <v>3368.8149446907446</v>
      </c>
      <c r="AO118" s="537">
        <f>Equity!AO$100</f>
        <v>3317.8291025066792</v>
      </c>
      <c r="AP118" s="537">
        <f>Equity!AP$100</f>
        <v>3438.4566627931977</v>
      </c>
      <c r="AQ118" s="537">
        <f>Equity!AQ$100</f>
        <v>3538.7454210592987</v>
      </c>
      <c r="AR118" s="537">
        <f>Equity!AR$100</f>
        <v>3482.692592271675</v>
      </c>
      <c r="AS118" s="537">
        <f>Equity!AS$100</f>
        <v>3452.6458698254974</v>
      </c>
      <c r="AT118" s="537">
        <f>Equity!AT$100</f>
        <v>1840.225347833371</v>
      </c>
      <c r="AU118" s="537">
        <f>Equity!AU$100</f>
        <v>1907.064048963113</v>
      </c>
      <c r="AV118" s="537">
        <f>Equity!AV$100</f>
        <v>1879.8635093641863</v>
      </c>
      <c r="AW118" s="537">
        <f>Equity!AW$100</f>
        <v>1823.2308510204605</v>
      </c>
      <c r="AX118" s="537">
        <f>Equity!AX$100</f>
        <v>3689.9207029973613</v>
      </c>
      <c r="AY118" s="537">
        <f>Equity!AY$100</f>
        <v>3795.4891066389291</v>
      </c>
      <c r="AZ118" s="537">
        <f>Equity!AZ$100</f>
        <v>3810.2717218736234</v>
      </c>
      <c r="BA118" s="537">
        <f>Equity!BA$100</f>
        <v>3761.7553340142267</v>
      </c>
      <c r="BB118" s="537">
        <f>Equity!BB$100</f>
        <v>3775.7398776167847</v>
      </c>
      <c r="BC118" s="537">
        <f>Equity!BC$100</f>
        <v>3870.9553004708091</v>
      </c>
      <c r="BD118" s="537">
        <f>Equity!BD$100</f>
        <v>3819.5887386810437</v>
      </c>
      <c r="BE118" s="537">
        <f>Equity!BE$100</f>
        <v>3757.5449019740718</v>
      </c>
      <c r="BF118" s="537">
        <f>Equity!BF$100</f>
        <v>3865.5485651833455</v>
      </c>
      <c r="BG118" s="537">
        <f>Equity!BG$100</f>
        <v>3963.7340210591155</v>
      </c>
      <c r="BH118" s="537">
        <f>Equity!BH$100</f>
        <v>3901.9818208723086</v>
      </c>
      <c r="BI118" s="537">
        <f>Equity!BI$100</f>
        <v>3863.3396261250573</v>
      </c>
      <c r="BJ118" s="537">
        <f>Equity!BJ$100</f>
        <v>3981.7948466400562</v>
      </c>
      <c r="BK118" s="537">
        <f>Equity!BK$100</f>
        <v>4041.5037487339391</v>
      </c>
      <c r="BL118" s="537">
        <f>Equity!BL$100</f>
        <v>4013.5705589641948</v>
      </c>
      <c r="BM118" s="537">
        <f>Equity!BM$100</f>
        <v>3952.9034566736409</v>
      </c>
      <c r="BN118" s="537">
        <f>Equity!BN$100</f>
        <v>2097.5193655527028</v>
      </c>
      <c r="BO118" s="537">
        <f>Equity!BO$100</f>
        <v>2200.864273878366</v>
      </c>
      <c r="BP118" s="537">
        <f>Equity!BP$100</f>
        <v>2098.1063109146212</v>
      </c>
      <c r="BQ118" s="537">
        <f>Equity!BQ$100</f>
        <v>2037.8164184080592</v>
      </c>
      <c r="BR118" s="537">
        <f>Equity!BR$100</f>
        <v>4224.1553525130121</v>
      </c>
      <c r="BS118" s="537">
        <f>Equity!BS$100</f>
        <v>4329.7689293072381</v>
      </c>
      <c r="BT118" s="537">
        <f>Equity!BT$100</f>
        <v>4419.8055567868232</v>
      </c>
      <c r="BU118" s="537">
        <f>Equity!BU$100</f>
        <v>4770.8603254831687</v>
      </c>
      <c r="BV118" s="537">
        <f>Equity!BV$100</f>
        <v>4626.1012277867885</v>
      </c>
      <c r="BW118" s="537">
        <f>Equity!BW$100</f>
        <v>3945.1397120020174</v>
      </c>
      <c r="BX118" s="537">
        <f>Equity!BX$100</f>
        <v>3887.6124417460055</v>
      </c>
      <c r="BY118" s="537">
        <f>Equity!BY$100</f>
        <v>3843.3319181364645</v>
      </c>
      <c r="BZ118" s="537">
        <f>Equity!BZ$100</f>
        <v>3978.3991178064584</v>
      </c>
      <c r="CA118" s="537">
        <f>Equity!CA$100</f>
        <v>4211.4281415911701</v>
      </c>
      <c r="CB118" s="537">
        <f>Equity!CB$100</f>
        <v>4139.4003880005166</v>
      </c>
      <c r="CC118" s="537">
        <f>Equity!CC$100</f>
        <v>3736.011479524982</v>
      </c>
      <c r="CD118" s="537">
        <f>Equity!CD$100</f>
        <v>4321.3134548763692</v>
      </c>
      <c r="CE118" s="537">
        <f>Equity!CE$100</f>
        <v>4413.9780591819081</v>
      </c>
      <c r="CF118" s="537">
        <f>Equity!CF$100</f>
        <v>4368.5578436146661</v>
      </c>
      <c r="CG118" s="537">
        <f>Equity!CG$100</f>
        <v>4283.5118246307165</v>
      </c>
      <c r="CH118" s="537">
        <f>Equity!CH$100</f>
        <v>2110.5359724491877</v>
      </c>
      <c r="CI118" s="537">
        <f>Equity!CI$100</f>
        <v>2204.6023940287428</v>
      </c>
      <c r="CJ118" s="537">
        <f>Equity!CJ$100</f>
        <v>1870.785150550882</v>
      </c>
      <c r="CK118" s="537">
        <f>Equity!CK$100</f>
        <v>1786.9171601948424</v>
      </c>
      <c r="CL118" s="537">
        <f>Equity!CL$100</f>
        <v>4628.8303227158403</v>
      </c>
      <c r="CM118" s="537">
        <f>Equity!CM$100</f>
        <v>4723.5203653725785</v>
      </c>
      <c r="CN118" s="537">
        <f>Equity!CN$100</f>
        <v>4948.935086001231</v>
      </c>
      <c r="CO118" s="537">
        <f>Equity!CO$100</f>
        <v>4889.99295027068</v>
      </c>
      <c r="CP118" s="537">
        <f>Equity!CP$100</f>
        <v>4408.4942242291327</v>
      </c>
      <c r="CQ118" s="537">
        <f>Equity!CQ$100</f>
        <v>4454.0921236772019</v>
      </c>
      <c r="CR118" s="537">
        <f>Equity!CR$100</f>
        <v>4428.3806644411152</v>
      </c>
      <c r="CS118" s="537">
        <f>Equity!CS$100</f>
        <v>4344.7192119229667</v>
      </c>
      <c r="CT118" s="537">
        <f>Equity!CT$100</f>
        <v>4410.7908852154824</v>
      </c>
      <c r="CU118" s="537">
        <f>Equity!CU$100</f>
        <v>4507.2180043044709</v>
      </c>
      <c r="CV118" s="537">
        <f>Equity!CV$100</f>
        <v>4455.6468509356973</v>
      </c>
      <c r="CW118" s="537">
        <f>Equity!CW$100</f>
        <v>4372.1040514103006</v>
      </c>
      <c r="CX118" s="537">
        <f>Equity!CX$100</f>
        <v>4442.1439989063965</v>
      </c>
      <c r="CY118" s="537">
        <f>Equity!CY$100</f>
        <v>4538.8867633803111</v>
      </c>
      <c r="CZ118" s="537">
        <f>Equity!CZ$100</f>
        <v>9289.0498453167747</v>
      </c>
      <c r="DA118" s="537">
        <f>Equity!DA$100</f>
        <v>9243.2109589193478</v>
      </c>
      <c r="DB118" s="537">
        <f>Equity!DB$100</f>
        <v>6730.8032201585938</v>
      </c>
      <c r="DC118" s="537">
        <f>Equity!DC$100</f>
        <v>6819.6943690281241</v>
      </c>
      <c r="DD118" s="537">
        <f>Equity!DD$100</f>
        <v>6814.0398522326241</v>
      </c>
      <c r="DE118" s="537">
        <f>Equity!DE$100</f>
        <v>6785.1271000854231</v>
      </c>
      <c r="DF118" s="537">
        <f>Equity!DF$100</f>
        <v>10042.297500103878</v>
      </c>
      <c r="DG118" s="537">
        <f>Equity!DG$100</f>
        <v>10083.037086594606</v>
      </c>
      <c r="DH118" s="537">
        <f>Equity!DH$100</f>
        <v>10103.030440845592</v>
      </c>
      <c r="DI118" s="537">
        <f>Equity!DI$100</f>
        <v>10074.710093976457</v>
      </c>
      <c r="DJ118" s="537">
        <f>Equity!DJ$100</f>
        <v>9531.0000277068248</v>
      </c>
      <c r="DK118" s="537">
        <f>Equity!DK$100</f>
        <v>9622.5760692221538</v>
      </c>
      <c r="DL118" s="537">
        <f>Equity!DL$100</f>
        <v>9618.4891847043327</v>
      </c>
      <c r="DM118" s="537">
        <f>Equity!DM$100</f>
        <v>9590.6249782264968</v>
      </c>
      <c r="DN118" s="537">
        <f>Equity!DN$100</f>
        <v>9679.6513243283043</v>
      </c>
      <c r="DO118" s="537">
        <f>Equity!DO$100</f>
        <v>9772.3259446832872</v>
      </c>
      <c r="DP118" s="537">
        <f>Equity!DP$100</f>
        <v>9768.8299907587207</v>
      </c>
      <c r="DQ118" s="537">
        <f>Equity!DQ$100</f>
        <v>9741.3091688148925</v>
      </c>
      <c r="DR118" s="537">
        <f>Equity!DR$100</f>
        <v>9833.1752700445759</v>
      </c>
      <c r="DS118" s="537">
        <f>Equity!DS$100</f>
        <v>9926.8134161951511</v>
      </c>
      <c r="DT118" s="537">
        <f>Equity!DT$100</f>
        <v>9923.8082057289866</v>
      </c>
      <c r="DU118" s="537">
        <f>Equity!DU$100</f>
        <v>9896.5376166003607</v>
      </c>
      <c r="DV118" s="537">
        <f>Equity!DV$100</f>
        <v>10016.918852742816</v>
      </c>
      <c r="DW118" s="537">
        <f>Equity!DW$100</f>
        <v>10059.983606963106</v>
      </c>
      <c r="DX118" s="537">
        <f>Equity!DX$100</f>
        <v>10083.094712487115</v>
      </c>
      <c r="DY118" s="537">
        <f>Equity!DY$100</f>
        <v>8058.7377291418616</v>
      </c>
      <c r="DZ118" s="537">
        <f>Equity!DZ$100</f>
        <v>7998.4180876236478</v>
      </c>
      <c r="EA118" s="537">
        <f>Equity!EA$100</f>
        <v>7998.4180876236478</v>
      </c>
      <c r="EB118" s="537">
        <f>Equity!EB$100</f>
        <v>7998.4180876236487</v>
      </c>
      <c r="EC118" s="537">
        <f>Equity!EC$100</f>
        <v>19599.446855546739</v>
      </c>
      <c r="ED118" s="537">
        <f>Equity!ED$100</f>
        <v>2308.4176722000593</v>
      </c>
      <c r="EE118" s="537">
        <f>Equity!EE$100</f>
        <v>0</v>
      </c>
      <c r="EF118" s="537">
        <f>Equity!EF$100</f>
        <v>0</v>
      </c>
      <c r="EG118" s="537">
        <f>Equity!EG$100</f>
        <v>0</v>
      </c>
    </row>
    <row r="119" spans="5:137" ht="12.75">
      <c r="E119" s="538" t="str">
        <f>E$52</f>
        <v>Cash flow - after junior debt service</v>
      </c>
      <c r="G119" s="539" t="str">
        <f>G$52</f>
        <v>EUR 000s</v>
      </c>
      <c r="H119" s="539">
        <f>H$52</f>
        <v>542229.52746011713</v>
      </c>
      <c r="J119" s="539">
        <f t="shared" si="40" ref="J119:EG119">J$52</f>
        <v>0</v>
      </c>
      <c r="K119" s="539">
        <f t="shared" si="40"/>
        <v>0</v>
      </c>
      <c r="L119" s="539">
        <f t="shared" si="40"/>
        <v>0</v>
      </c>
      <c r="M119" s="539">
        <f t="shared" si="40"/>
        <v>0</v>
      </c>
      <c r="N119" s="539">
        <f t="shared" si="40"/>
        <v>0</v>
      </c>
      <c r="O119" s="539">
        <f t="shared" si="40"/>
        <v>0</v>
      </c>
      <c r="P119" s="539">
        <f t="shared" si="40"/>
        <v>1.8189894035458565E-12</v>
      </c>
      <c r="Q119" s="539">
        <f t="shared" si="40"/>
        <v>0</v>
      </c>
      <c r="R119" s="539">
        <f t="shared" si="40"/>
        <v>0</v>
      </c>
      <c r="S119" s="539">
        <f t="shared" si="40"/>
        <v>0</v>
      </c>
      <c r="T119" s="539">
        <f t="shared" si="40"/>
        <v>0</v>
      </c>
      <c r="U119" s="539">
        <f t="shared" si="40"/>
        <v>0</v>
      </c>
      <c r="V119" s="539">
        <f t="shared" si="40"/>
        <v>0</v>
      </c>
      <c r="W119" s="539">
        <f t="shared" si="40"/>
        <v>0</v>
      </c>
      <c r="X119" s="539">
        <f t="shared" si="40"/>
        <v>0</v>
      </c>
      <c r="Y119" s="539">
        <f t="shared" si="40"/>
        <v>0</v>
      </c>
      <c r="Z119" s="539">
        <f t="shared" si="40"/>
        <v>0</v>
      </c>
      <c r="AA119" s="539">
        <f t="shared" si="40"/>
        <v>0</v>
      </c>
      <c r="AB119" s="539">
        <f t="shared" si="40"/>
        <v>0</v>
      </c>
      <c r="AC119" s="539">
        <f t="shared" si="40"/>
        <v>0</v>
      </c>
      <c r="AD119" s="539">
        <f t="shared" si="40"/>
        <v>0</v>
      </c>
      <c r="AE119" s="539">
        <f t="shared" si="40"/>
        <v>0</v>
      </c>
      <c r="AF119" s="539">
        <f t="shared" si="40"/>
        <v>0</v>
      </c>
      <c r="AG119" s="539">
        <f t="shared" si="40"/>
        <v>0</v>
      </c>
      <c r="AH119" s="539">
        <f t="shared" si="40"/>
        <v>1383.9233639501999</v>
      </c>
      <c r="AI119" s="539">
        <f t="shared" si="40"/>
        <v>3289.5323362199924</v>
      </c>
      <c r="AJ119" s="539">
        <f t="shared" si="40"/>
        <v>3245.3805232500731</v>
      </c>
      <c r="AK119" s="539">
        <f t="shared" si="40"/>
        <v>3195.0408989934072</v>
      </c>
      <c r="AL119" s="539">
        <f t="shared" si="40"/>
        <v>3314.6555979376371</v>
      </c>
      <c r="AM119" s="539">
        <f t="shared" si="40"/>
        <v>3413.5103829410727</v>
      </c>
      <c r="AN119" s="539">
        <f t="shared" si="40"/>
        <v>3368.8149446907446</v>
      </c>
      <c r="AO119" s="539">
        <f t="shared" si="40"/>
        <v>3317.8291025066792</v>
      </c>
      <c r="AP119" s="539">
        <f t="shared" si="40"/>
        <v>3438.4566627931977</v>
      </c>
      <c r="AQ119" s="539">
        <f t="shared" si="40"/>
        <v>3538.7454210592982</v>
      </c>
      <c r="AR119" s="539">
        <f t="shared" si="40"/>
        <v>3482.692592271675</v>
      </c>
      <c r="AS119" s="539">
        <f t="shared" si="40"/>
        <v>3452.6458698254974</v>
      </c>
      <c r="AT119" s="539">
        <f t="shared" si="40"/>
        <v>1840.225347833371</v>
      </c>
      <c r="AU119" s="539">
        <f t="shared" si="40"/>
        <v>1907.064048963113</v>
      </c>
      <c r="AV119" s="539">
        <f t="shared" si="40"/>
        <v>1879.8635093641863</v>
      </c>
      <c r="AW119" s="539">
        <f t="shared" si="40"/>
        <v>1823.2308510204605</v>
      </c>
      <c r="AX119" s="539">
        <f t="shared" si="40"/>
        <v>3689.9207029973613</v>
      </c>
      <c r="AY119" s="539">
        <f t="shared" si="40"/>
        <v>3795.4891066389291</v>
      </c>
      <c r="AZ119" s="539">
        <f t="shared" si="40"/>
        <v>3810.2717218736234</v>
      </c>
      <c r="BA119" s="539">
        <f t="shared" si="40"/>
        <v>3761.7553340142267</v>
      </c>
      <c r="BB119" s="539">
        <f t="shared" si="40"/>
        <v>3775.7398776167847</v>
      </c>
      <c r="BC119" s="539">
        <f t="shared" si="40"/>
        <v>3870.9553004708091</v>
      </c>
      <c r="BD119" s="539">
        <f t="shared" si="40"/>
        <v>3819.5887386810437</v>
      </c>
      <c r="BE119" s="539">
        <f t="shared" si="40"/>
        <v>3757.5449019740718</v>
      </c>
      <c r="BF119" s="539">
        <f t="shared" si="40"/>
        <v>3865.5485651833455</v>
      </c>
      <c r="BG119" s="539">
        <f t="shared" si="40"/>
        <v>3963.7340210591155</v>
      </c>
      <c r="BH119" s="539">
        <f t="shared" si="40"/>
        <v>3901.9818208723086</v>
      </c>
      <c r="BI119" s="539">
        <f t="shared" si="40"/>
        <v>3863.3396261250573</v>
      </c>
      <c r="BJ119" s="539">
        <f t="shared" si="40"/>
        <v>3981.7948466400562</v>
      </c>
      <c r="BK119" s="539">
        <f t="shared" si="40"/>
        <v>4041.5037487339391</v>
      </c>
      <c r="BL119" s="539">
        <f t="shared" si="40"/>
        <v>4013.5705589641948</v>
      </c>
      <c r="BM119" s="539">
        <f t="shared" si="40"/>
        <v>3952.9034566736409</v>
      </c>
      <c r="BN119" s="539">
        <f t="shared" si="40"/>
        <v>2097.5193655527028</v>
      </c>
      <c r="BO119" s="539">
        <f t="shared" si="40"/>
        <v>2200.864273878366</v>
      </c>
      <c r="BP119" s="539">
        <f t="shared" si="40"/>
        <v>2098.1063109146212</v>
      </c>
      <c r="BQ119" s="539">
        <f t="shared" si="40"/>
        <v>2037.8164184080592</v>
      </c>
      <c r="BR119" s="539">
        <f t="shared" si="40"/>
        <v>4224.1553525130121</v>
      </c>
      <c r="BS119" s="539">
        <f t="shared" si="40"/>
        <v>4329.7689293072381</v>
      </c>
      <c r="BT119" s="539">
        <f t="shared" si="40"/>
        <v>4419.8055567868232</v>
      </c>
      <c r="BU119" s="539">
        <f t="shared" si="40"/>
        <v>4770.8603254831687</v>
      </c>
      <c r="BV119" s="539">
        <f t="shared" si="40"/>
        <v>4626.1012277867885</v>
      </c>
      <c r="BW119" s="539">
        <f t="shared" si="40"/>
        <v>3945.1397120020174</v>
      </c>
      <c r="BX119" s="539">
        <f t="shared" si="40"/>
        <v>3887.6124417460055</v>
      </c>
      <c r="BY119" s="539">
        <f t="shared" si="40"/>
        <v>3843.3319181364645</v>
      </c>
      <c r="BZ119" s="539">
        <f t="shared" si="40"/>
        <v>3978.3991178064584</v>
      </c>
      <c r="CA119" s="539">
        <f t="shared" si="40"/>
        <v>4211.4281415911701</v>
      </c>
      <c r="CB119" s="539">
        <f t="shared" si="40"/>
        <v>4139.4003880005166</v>
      </c>
      <c r="CC119" s="539">
        <f t="shared" si="40"/>
        <v>3736.011479524982</v>
      </c>
      <c r="CD119" s="539">
        <f t="shared" si="40"/>
        <v>4321.3134548763692</v>
      </c>
      <c r="CE119" s="539">
        <f t="shared" si="40"/>
        <v>4413.9780591819081</v>
      </c>
      <c r="CF119" s="539">
        <f t="shared" si="40"/>
        <v>4368.5578436146661</v>
      </c>
      <c r="CG119" s="539">
        <f t="shared" si="40"/>
        <v>4283.5118246307165</v>
      </c>
      <c r="CH119" s="539">
        <f t="shared" si="40"/>
        <v>2110.5359724491877</v>
      </c>
      <c r="CI119" s="539">
        <f t="shared" si="40"/>
        <v>2204.6023940287428</v>
      </c>
      <c r="CJ119" s="539">
        <f t="shared" si="40"/>
        <v>1870.785150550882</v>
      </c>
      <c r="CK119" s="539">
        <f t="shared" si="40"/>
        <v>1786.9171601948424</v>
      </c>
      <c r="CL119" s="539">
        <f t="shared" si="40"/>
        <v>4628.8303227158403</v>
      </c>
      <c r="CM119" s="539">
        <f t="shared" si="40"/>
        <v>4723.5203653725785</v>
      </c>
      <c r="CN119" s="539">
        <f t="shared" si="40"/>
        <v>4948.935086001231</v>
      </c>
      <c r="CO119" s="539">
        <f t="shared" si="40"/>
        <v>4889.99295027068</v>
      </c>
      <c r="CP119" s="539">
        <f t="shared" si="40"/>
        <v>4408.4942242291327</v>
      </c>
      <c r="CQ119" s="539">
        <f t="shared" si="40"/>
        <v>4454.0921236772019</v>
      </c>
      <c r="CR119" s="539">
        <f t="shared" si="40"/>
        <v>4428.3806644411152</v>
      </c>
      <c r="CS119" s="539">
        <f t="shared" si="40"/>
        <v>4344.7192119229667</v>
      </c>
      <c r="CT119" s="539">
        <f t="shared" si="40"/>
        <v>4410.7908852154824</v>
      </c>
      <c r="CU119" s="539">
        <f t="shared" si="40"/>
        <v>4507.2180043044709</v>
      </c>
      <c r="CV119" s="539">
        <f t="shared" si="40"/>
        <v>4455.6468509356973</v>
      </c>
      <c r="CW119" s="539">
        <f t="shared" si="40"/>
        <v>4372.1040514103006</v>
      </c>
      <c r="CX119" s="539">
        <f t="shared" si="40"/>
        <v>4442.1439989063965</v>
      </c>
      <c r="CY119" s="539">
        <f t="shared" si="40"/>
        <v>4538.8867633803111</v>
      </c>
      <c r="CZ119" s="539">
        <f t="shared" si="40"/>
        <v>9289.0498453167747</v>
      </c>
      <c r="DA119" s="539">
        <f t="shared" si="40"/>
        <v>9243.2109589193478</v>
      </c>
      <c r="DB119" s="539">
        <f t="shared" si="40"/>
        <v>6730.8032201585938</v>
      </c>
      <c r="DC119" s="539">
        <f t="shared" si="40"/>
        <v>6819.6943690281241</v>
      </c>
      <c r="DD119" s="539">
        <f t="shared" si="40"/>
        <v>6814.0398522326241</v>
      </c>
      <c r="DE119" s="539">
        <f t="shared" si="40"/>
        <v>6785.1271000854231</v>
      </c>
      <c r="DF119" s="539">
        <f t="shared" si="40"/>
        <v>10042.297500103878</v>
      </c>
      <c r="DG119" s="539">
        <f t="shared" si="40"/>
        <v>10083.037086594606</v>
      </c>
      <c r="DH119" s="539">
        <f t="shared" si="40"/>
        <v>10103.030440845592</v>
      </c>
      <c r="DI119" s="539">
        <f t="shared" si="40"/>
        <v>10074.710093976457</v>
      </c>
      <c r="DJ119" s="539">
        <f t="shared" si="40"/>
        <v>9531.0000277068248</v>
      </c>
      <c r="DK119" s="539">
        <f t="shared" si="40"/>
        <v>9622.5760692221538</v>
      </c>
      <c r="DL119" s="539">
        <f t="shared" si="40"/>
        <v>9618.4891847043327</v>
      </c>
      <c r="DM119" s="539">
        <f t="shared" si="40"/>
        <v>9590.6249782264968</v>
      </c>
      <c r="DN119" s="539">
        <f t="shared" si="40"/>
        <v>9679.6513243283043</v>
      </c>
      <c r="DO119" s="539">
        <f t="shared" si="40"/>
        <v>9772.3259446832872</v>
      </c>
      <c r="DP119" s="539">
        <f t="shared" si="40"/>
        <v>9768.8299907587207</v>
      </c>
      <c r="DQ119" s="539">
        <f t="shared" si="40"/>
        <v>9741.3091688148925</v>
      </c>
      <c r="DR119" s="539">
        <f t="shared" si="40"/>
        <v>9833.1752700445759</v>
      </c>
      <c r="DS119" s="539">
        <f t="shared" si="40"/>
        <v>9926.8134161951511</v>
      </c>
      <c r="DT119" s="539">
        <f t="shared" si="40"/>
        <v>9923.8082057289866</v>
      </c>
      <c r="DU119" s="539">
        <f t="shared" si="40"/>
        <v>9896.5376166003607</v>
      </c>
      <c r="DV119" s="539">
        <f t="shared" si="40"/>
        <v>10016.918852742816</v>
      </c>
      <c r="DW119" s="539">
        <f t="shared" si="40"/>
        <v>10059.983606963106</v>
      </c>
      <c r="DX119" s="539">
        <f t="shared" si="40"/>
        <v>10083.094712487115</v>
      </c>
      <c r="DY119" s="539">
        <f t="shared" si="40"/>
        <v>10055.997562626802</v>
      </c>
      <c r="DZ119" s="539">
        <f t="shared" si="40"/>
        <v>10153.459517752461</v>
      </c>
      <c r="EA119" s="539">
        <f t="shared" si="40"/>
        <v>10248.680194721674</v>
      </c>
      <c r="EB119" s="539">
        <f t="shared" si="40"/>
        <v>10246.420544942679</v>
      </c>
      <c r="EC119" s="539">
        <f t="shared" si="40"/>
        <v>10948.88102751593</v>
      </c>
      <c r="ED119" s="539">
        <f t="shared" si="40"/>
        <v>2308.4176722004668</v>
      </c>
      <c r="EE119" s="539">
        <f t="shared" si="40"/>
        <v>0</v>
      </c>
      <c r="EF119" s="539">
        <f t="shared" si="40"/>
        <v>0</v>
      </c>
      <c r="EG119" s="539">
        <f t="shared" si="40"/>
        <v>0</v>
      </c>
    </row>
    <row r="120" spans="5:137" ht="12.75">
      <c r="E120" s="538" t="str">
        <f>E$98</f>
        <v>Senior facility - cash sweep prepayment</v>
      </c>
      <c r="G120" s="539" t="str">
        <f>G$98</f>
        <v>EUR 000s</v>
      </c>
      <c r="H120" s="539">
        <f>H$98</f>
        <v>0</v>
      </c>
      <c r="J120" s="539">
        <f t="shared" si="41" ref="J120:EG120">J$98</f>
        <v>0</v>
      </c>
      <c r="K120" s="539">
        <f t="shared" si="41"/>
        <v>0</v>
      </c>
      <c r="L120" s="539">
        <f t="shared" si="41"/>
        <v>0</v>
      </c>
      <c r="M120" s="539">
        <f t="shared" si="41"/>
        <v>0</v>
      </c>
      <c r="N120" s="539">
        <f t="shared" si="41"/>
        <v>0</v>
      </c>
      <c r="O120" s="539">
        <f t="shared" si="41"/>
        <v>0</v>
      </c>
      <c r="P120" s="539">
        <f t="shared" si="41"/>
        <v>0</v>
      </c>
      <c r="Q120" s="539">
        <f t="shared" si="41"/>
        <v>0</v>
      </c>
      <c r="R120" s="539">
        <f t="shared" si="41"/>
        <v>0</v>
      </c>
      <c r="S120" s="539">
        <f t="shared" si="41"/>
        <v>0</v>
      </c>
      <c r="T120" s="539">
        <f t="shared" si="41"/>
        <v>0</v>
      </c>
      <c r="U120" s="539">
        <f t="shared" si="41"/>
        <v>0</v>
      </c>
      <c r="V120" s="539">
        <f t="shared" si="41"/>
        <v>0</v>
      </c>
      <c r="W120" s="539">
        <f t="shared" si="41"/>
        <v>0</v>
      </c>
      <c r="X120" s="539">
        <f t="shared" si="41"/>
        <v>0</v>
      </c>
      <c r="Y120" s="539">
        <f t="shared" si="41"/>
        <v>0</v>
      </c>
      <c r="Z120" s="539">
        <f t="shared" si="41"/>
        <v>0</v>
      </c>
      <c r="AA120" s="539">
        <f t="shared" si="41"/>
        <v>0</v>
      </c>
      <c r="AB120" s="539">
        <f t="shared" si="41"/>
        <v>0</v>
      </c>
      <c r="AC120" s="539">
        <f t="shared" si="41"/>
        <v>0</v>
      </c>
      <c r="AD120" s="539">
        <f t="shared" si="41"/>
        <v>0</v>
      </c>
      <c r="AE120" s="539">
        <f t="shared" si="41"/>
        <v>0</v>
      </c>
      <c r="AF120" s="539">
        <f t="shared" si="41"/>
        <v>0</v>
      </c>
      <c r="AG120" s="539">
        <f t="shared" si="41"/>
        <v>0</v>
      </c>
      <c r="AH120" s="539">
        <f t="shared" si="41"/>
        <v>0</v>
      </c>
      <c r="AI120" s="539">
        <f t="shared" si="41"/>
        <v>0</v>
      </c>
      <c r="AJ120" s="539">
        <f t="shared" si="41"/>
        <v>0</v>
      </c>
      <c r="AK120" s="539">
        <f t="shared" si="41"/>
        <v>0</v>
      </c>
      <c r="AL120" s="539">
        <f t="shared" si="41"/>
        <v>0</v>
      </c>
      <c r="AM120" s="539">
        <f t="shared" si="41"/>
        <v>0</v>
      </c>
      <c r="AN120" s="539">
        <f t="shared" si="41"/>
        <v>0</v>
      </c>
      <c r="AO120" s="539">
        <f t="shared" si="41"/>
        <v>0</v>
      </c>
      <c r="AP120" s="539">
        <f t="shared" si="41"/>
        <v>0</v>
      </c>
      <c r="AQ120" s="539">
        <f t="shared" si="41"/>
        <v>0</v>
      </c>
      <c r="AR120" s="539">
        <f t="shared" si="41"/>
        <v>0</v>
      </c>
      <c r="AS120" s="539">
        <f t="shared" si="41"/>
        <v>0</v>
      </c>
      <c r="AT120" s="539">
        <f t="shared" si="41"/>
        <v>0</v>
      </c>
      <c r="AU120" s="539">
        <f t="shared" si="41"/>
        <v>0</v>
      </c>
      <c r="AV120" s="539">
        <f t="shared" si="41"/>
        <v>0</v>
      </c>
      <c r="AW120" s="539">
        <f t="shared" si="41"/>
        <v>0</v>
      </c>
      <c r="AX120" s="539">
        <f t="shared" si="41"/>
        <v>0</v>
      </c>
      <c r="AY120" s="539">
        <f t="shared" si="41"/>
        <v>0</v>
      </c>
      <c r="AZ120" s="539">
        <f t="shared" si="41"/>
        <v>0</v>
      </c>
      <c r="BA120" s="539">
        <f t="shared" si="41"/>
        <v>0</v>
      </c>
      <c r="BB120" s="539">
        <f t="shared" si="41"/>
        <v>0</v>
      </c>
      <c r="BC120" s="539">
        <f t="shared" si="41"/>
        <v>0</v>
      </c>
      <c r="BD120" s="539">
        <f t="shared" si="41"/>
        <v>0</v>
      </c>
      <c r="BE120" s="539">
        <f t="shared" si="41"/>
        <v>0</v>
      </c>
      <c r="BF120" s="539">
        <f t="shared" si="41"/>
        <v>0</v>
      </c>
      <c r="BG120" s="539">
        <f t="shared" si="41"/>
        <v>0</v>
      </c>
      <c r="BH120" s="539">
        <f t="shared" si="41"/>
        <v>0</v>
      </c>
      <c r="BI120" s="539">
        <f t="shared" si="41"/>
        <v>0</v>
      </c>
      <c r="BJ120" s="539">
        <f t="shared" si="41"/>
        <v>0</v>
      </c>
      <c r="BK120" s="539">
        <f t="shared" si="41"/>
        <v>0</v>
      </c>
      <c r="BL120" s="539">
        <f t="shared" si="41"/>
        <v>0</v>
      </c>
      <c r="BM120" s="539">
        <f t="shared" si="41"/>
        <v>0</v>
      </c>
      <c r="BN120" s="539">
        <f t="shared" si="41"/>
        <v>0</v>
      </c>
      <c r="BO120" s="539">
        <f t="shared" si="41"/>
        <v>0</v>
      </c>
      <c r="BP120" s="539">
        <f t="shared" si="41"/>
        <v>0</v>
      </c>
      <c r="BQ120" s="539">
        <f t="shared" si="41"/>
        <v>0</v>
      </c>
      <c r="BR120" s="539">
        <f t="shared" si="41"/>
        <v>0</v>
      </c>
      <c r="BS120" s="539">
        <f t="shared" si="41"/>
        <v>0</v>
      </c>
      <c r="BT120" s="539">
        <f t="shared" si="41"/>
        <v>0</v>
      </c>
      <c r="BU120" s="539">
        <f t="shared" si="41"/>
        <v>0</v>
      </c>
      <c r="BV120" s="539">
        <f t="shared" si="41"/>
        <v>0</v>
      </c>
      <c r="BW120" s="539">
        <f t="shared" si="41"/>
        <v>0</v>
      </c>
      <c r="BX120" s="539">
        <f t="shared" si="41"/>
        <v>0</v>
      </c>
      <c r="BY120" s="539">
        <f t="shared" si="41"/>
        <v>0</v>
      </c>
      <c r="BZ120" s="539">
        <f t="shared" si="41"/>
        <v>0</v>
      </c>
      <c r="CA120" s="539">
        <f t="shared" si="41"/>
        <v>0</v>
      </c>
      <c r="CB120" s="539">
        <f t="shared" si="41"/>
        <v>0</v>
      </c>
      <c r="CC120" s="539">
        <f t="shared" si="41"/>
        <v>0</v>
      </c>
      <c r="CD120" s="539">
        <f t="shared" si="41"/>
        <v>0</v>
      </c>
      <c r="CE120" s="539">
        <f t="shared" si="41"/>
        <v>0</v>
      </c>
      <c r="CF120" s="539">
        <f t="shared" si="41"/>
        <v>0</v>
      </c>
      <c r="CG120" s="539">
        <f t="shared" si="41"/>
        <v>0</v>
      </c>
      <c r="CH120" s="539">
        <f t="shared" si="41"/>
        <v>0</v>
      </c>
      <c r="CI120" s="539">
        <f t="shared" si="41"/>
        <v>0</v>
      </c>
      <c r="CJ120" s="539">
        <f t="shared" si="41"/>
        <v>0</v>
      </c>
      <c r="CK120" s="539">
        <f t="shared" si="41"/>
        <v>0</v>
      </c>
      <c r="CL120" s="539">
        <f t="shared" si="41"/>
        <v>0</v>
      </c>
      <c r="CM120" s="539">
        <f t="shared" si="41"/>
        <v>0</v>
      </c>
      <c r="CN120" s="539">
        <f t="shared" si="41"/>
        <v>0</v>
      </c>
      <c r="CO120" s="539">
        <f t="shared" si="41"/>
        <v>0</v>
      </c>
      <c r="CP120" s="539">
        <f t="shared" si="41"/>
        <v>0</v>
      </c>
      <c r="CQ120" s="539">
        <f t="shared" si="41"/>
        <v>0</v>
      </c>
      <c r="CR120" s="539">
        <f t="shared" si="41"/>
        <v>0</v>
      </c>
      <c r="CS120" s="539">
        <f t="shared" si="41"/>
        <v>0</v>
      </c>
      <c r="CT120" s="539">
        <f t="shared" si="41"/>
        <v>0</v>
      </c>
      <c r="CU120" s="539">
        <f t="shared" si="41"/>
        <v>0</v>
      </c>
      <c r="CV120" s="539">
        <f t="shared" si="41"/>
        <v>0</v>
      </c>
      <c r="CW120" s="539">
        <f t="shared" si="41"/>
        <v>0</v>
      </c>
      <c r="CX120" s="539">
        <f t="shared" si="41"/>
        <v>0</v>
      </c>
      <c r="CY120" s="539">
        <f t="shared" si="41"/>
        <v>0</v>
      </c>
      <c r="CZ120" s="539">
        <f t="shared" si="41"/>
        <v>0</v>
      </c>
      <c r="DA120" s="539">
        <f t="shared" si="41"/>
        <v>0</v>
      </c>
      <c r="DB120" s="539">
        <f t="shared" si="41"/>
        <v>0</v>
      </c>
      <c r="DC120" s="539">
        <f t="shared" si="41"/>
        <v>0</v>
      </c>
      <c r="DD120" s="539">
        <f t="shared" si="41"/>
        <v>0</v>
      </c>
      <c r="DE120" s="539">
        <f t="shared" si="41"/>
        <v>0</v>
      </c>
      <c r="DF120" s="539">
        <f t="shared" si="41"/>
        <v>0</v>
      </c>
      <c r="DG120" s="539">
        <f t="shared" si="41"/>
        <v>0</v>
      </c>
      <c r="DH120" s="539">
        <f t="shared" si="41"/>
        <v>0</v>
      </c>
      <c r="DI120" s="539">
        <f t="shared" si="41"/>
        <v>0</v>
      </c>
      <c r="DJ120" s="539">
        <f t="shared" si="41"/>
        <v>0</v>
      </c>
      <c r="DK120" s="539">
        <f t="shared" si="41"/>
        <v>0</v>
      </c>
      <c r="DL120" s="539">
        <f t="shared" si="41"/>
        <v>0</v>
      </c>
      <c r="DM120" s="539">
        <f t="shared" si="41"/>
        <v>0</v>
      </c>
      <c r="DN120" s="539">
        <f t="shared" si="41"/>
        <v>0</v>
      </c>
      <c r="DO120" s="539">
        <f t="shared" si="41"/>
        <v>0</v>
      </c>
      <c r="DP120" s="539">
        <f t="shared" si="41"/>
        <v>0</v>
      </c>
      <c r="DQ120" s="539">
        <f t="shared" si="41"/>
        <v>0</v>
      </c>
      <c r="DR120" s="539">
        <f t="shared" si="41"/>
        <v>0</v>
      </c>
      <c r="DS120" s="539">
        <f t="shared" si="41"/>
        <v>0</v>
      </c>
      <c r="DT120" s="539">
        <f t="shared" si="41"/>
        <v>0</v>
      </c>
      <c r="DU120" s="539">
        <f t="shared" si="41"/>
        <v>0</v>
      </c>
      <c r="DV120" s="539">
        <f t="shared" si="41"/>
        <v>0</v>
      </c>
      <c r="DW120" s="539">
        <f t="shared" si="41"/>
        <v>0</v>
      </c>
      <c r="DX120" s="539">
        <f t="shared" si="41"/>
        <v>0</v>
      </c>
      <c r="DY120" s="539">
        <f t="shared" si="41"/>
        <v>0</v>
      </c>
      <c r="DZ120" s="539">
        <f t="shared" si="41"/>
        <v>0</v>
      </c>
      <c r="EA120" s="539">
        <f t="shared" si="41"/>
        <v>0</v>
      </c>
      <c r="EB120" s="539">
        <f t="shared" si="41"/>
        <v>0</v>
      </c>
      <c r="EC120" s="539">
        <f t="shared" si="41"/>
        <v>0</v>
      </c>
      <c r="ED120" s="539">
        <f t="shared" si="41"/>
        <v>0</v>
      </c>
      <c r="EE120" s="539">
        <f t="shared" si="41"/>
        <v>0</v>
      </c>
      <c r="EF120" s="539">
        <f t="shared" si="41"/>
        <v>0</v>
      </c>
      <c r="EG120" s="539">
        <f t="shared" si="41"/>
        <v>0</v>
      </c>
    </row>
    <row r="121" spans="5:137" ht="12.75">
      <c r="E121" s="538" t="str">
        <f>E$105</f>
        <v>Cash balance - opening</v>
      </c>
      <c r="G121" s="539" t="str">
        <f>G$105</f>
        <v>EUR 000s</v>
      </c>
      <c r="H121" s="539">
        <f>H$105</f>
        <v>21202.690295842505</v>
      </c>
      <c r="J121" s="539">
        <f t="shared" si="42" ref="J121:EG121">J$105</f>
        <v>0</v>
      </c>
      <c r="K121" s="539">
        <f t="shared" si="42"/>
        <v>0</v>
      </c>
      <c r="L121" s="539">
        <f t="shared" si="42"/>
        <v>0</v>
      </c>
      <c r="M121" s="539">
        <f t="shared" si="42"/>
        <v>0</v>
      </c>
      <c r="N121" s="539">
        <f t="shared" si="42"/>
        <v>0</v>
      </c>
      <c r="O121" s="539">
        <f t="shared" si="42"/>
        <v>0</v>
      </c>
      <c r="P121" s="539">
        <f t="shared" si="42"/>
        <v>0</v>
      </c>
      <c r="Q121" s="539">
        <f t="shared" si="42"/>
        <v>0</v>
      </c>
      <c r="R121" s="539">
        <f t="shared" si="42"/>
        <v>0</v>
      </c>
      <c r="S121" s="539">
        <f t="shared" si="42"/>
        <v>0</v>
      </c>
      <c r="T121" s="539">
        <f t="shared" si="42"/>
        <v>0</v>
      </c>
      <c r="U121" s="539">
        <f t="shared" si="42"/>
        <v>0</v>
      </c>
      <c r="V121" s="539">
        <f t="shared" si="42"/>
        <v>0</v>
      </c>
      <c r="W121" s="539">
        <f t="shared" si="42"/>
        <v>0</v>
      </c>
      <c r="X121" s="539">
        <f t="shared" si="42"/>
        <v>0</v>
      </c>
      <c r="Y121" s="539">
        <f t="shared" si="42"/>
        <v>0</v>
      </c>
      <c r="Z121" s="539">
        <f t="shared" si="42"/>
        <v>0</v>
      </c>
      <c r="AA121" s="539">
        <f t="shared" si="42"/>
        <v>0</v>
      </c>
      <c r="AB121" s="539">
        <f t="shared" si="42"/>
        <v>0</v>
      </c>
      <c r="AC121" s="539">
        <f t="shared" si="42"/>
        <v>0</v>
      </c>
      <c r="AD121" s="539">
        <f t="shared" si="42"/>
        <v>0</v>
      </c>
      <c r="AE121" s="539">
        <f t="shared" si="42"/>
        <v>0</v>
      </c>
      <c r="AF121" s="539">
        <f t="shared" si="42"/>
        <v>0</v>
      </c>
      <c r="AG121" s="539">
        <f t="shared" si="42"/>
        <v>0</v>
      </c>
      <c r="AH121" s="539">
        <f t="shared" si="42"/>
        <v>0</v>
      </c>
      <c r="AI121" s="539">
        <f t="shared" si="42"/>
        <v>0</v>
      </c>
      <c r="AJ121" s="539">
        <f t="shared" si="42"/>
        <v>0</v>
      </c>
      <c r="AK121" s="539">
        <f t="shared" si="42"/>
        <v>0</v>
      </c>
      <c r="AL121" s="539">
        <f t="shared" si="42"/>
        <v>0</v>
      </c>
      <c r="AM121" s="539">
        <f t="shared" si="42"/>
        <v>0</v>
      </c>
      <c r="AN121" s="539">
        <f t="shared" si="42"/>
        <v>0</v>
      </c>
      <c r="AO121" s="539">
        <f t="shared" si="42"/>
        <v>0</v>
      </c>
      <c r="AP121" s="539">
        <f t="shared" si="42"/>
        <v>0</v>
      </c>
      <c r="AQ121" s="539">
        <f t="shared" si="42"/>
        <v>0</v>
      </c>
      <c r="AR121" s="539">
        <f t="shared" si="42"/>
        <v>0</v>
      </c>
      <c r="AS121" s="539">
        <f t="shared" si="42"/>
        <v>0</v>
      </c>
      <c r="AT121" s="539">
        <f t="shared" si="42"/>
        <v>0</v>
      </c>
      <c r="AU121" s="539">
        <f t="shared" si="42"/>
        <v>0</v>
      </c>
      <c r="AV121" s="539">
        <f t="shared" si="42"/>
        <v>0</v>
      </c>
      <c r="AW121" s="539">
        <f t="shared" si="42"/>
        <v>0</v>
      </c>
      <c r="AX121" s="539">
        <f t="shared" si="42"/>
        <v>0</v>
      </c>
      <c r="AY121" s="539">
        <f t="shared" si="42"/>
        <v>0</v>
      </c>
      <c r="AZ121" s="539">
        <f t="shared" si="42"/>
        <v>0</v>
      </c>
      <c r="BA121" s="539">
        <f t="shared" si="42"/>
        <v>0</v>
      </c>
      <c r="BB121" s="539">
        <f t="shared" si="42"/>
        <v>0</v>
      </c>
      <c r="BC121" s="539">
        <f t="shared" si="42"/>
        <v>0</v>
      </c>
      <c r="BD121" s="539">
        <f t="shared" si="42"/>
        <v>0</v>
      </c>
      <c r="BE121" s="539">
        <f t="shared" si="42"/>
        <v>0</v>
      </c>
      <c r="BF121" s="539">
        <f t="shared" si="42"/>
        <v>0</v>
      </c>
      <c r="BG121" s="539">
        <f t="shared" si="42"/>
        <v>0</v>
      </c>
      <c r="BH121" s="539">
        <f t="shared" si="42"/>
        <v>0</v>
      </c>
      <c r="BI121" s="539">
        <f t="shared" si="42"/>
        <v>0</v>
      </c>
      <c r="BJ121" s="539">
        <f t="shared" si="42"/>
        <v>0</v>
      </c>
      <c r="BK121" s="539">
        <f t="shared" si="42"/>
        <v>0</v>
      </c>
      <c r="BL121" s="539">
        <f t="shared" si="42"/>
        <v>0</v>
      </c>
      <c r="BM121" s="539">
        <f t="shared" si="42"/>
        <v>0</v>
      </c>
      <c r="BN121" s="539">
        <f t="shared" si="42"/>
        <v>0</v>
      </c>
      <c r="BO121" s="539">
        <f t="shared" si="42"/>
        <v>0</v>
      </c>
      <c r="BP121" s="539">
        <f t="shared" si="42"/>
        <v>0</v>
      </c>
      <c r="BQ121" s="539">
        <f t="shared" si="42"/>
        <v>0</v>
      </c>
      <c r="BR121" s="539">
        <f t="shared" si="42"/>
        <v>0</v>
      </c>
      <c r="BS121" s="539">
        <f t="shared" si="42"/>
        <v>0</v>
      </c>
      <c r="BT121" s="539">
        <f t="shared" si="42"/>
        <v>0</v>
      </c>
      <c r="BU121" s="539">
        <f t="shared" si="42"/>
        <v>0</v>
      </c>
      <c r="BV121" s="539">
        <f t="shared" si="42"/>
        <v>0</v>
      </c>
      <c r="BW121" s="539">
        <f t="shared" si="42"/>
        <v>0</v>
      </c>
      <c r="BX121" s="539">
        <f t="shared" si="42"/>
        <v>0</v>
      </c>
      <c r="BY121" s="539">
        <f t="shared" si="42"/>
        <v>0</v>
      </c>
      <c r="BZ121" s="539">
        <f t="shared" si="42"/>
        <v>0</v>
      </c>
      <c r="CA121" s="539">
        <f t="shared" si="42"/>
        <v>0</v>
      </c>
      <c r="CB121" s="539">
        <f t="shared" si="42"/>
        <v>0</v>
      </c>
      <c r="CC121" s="539">
        <f t="shared" si="42"/>
        <v>0</v>
      </c>
      <c r="CD121" s="539">
        <f t="shared" si="42"/>
        <v>0</v>
      </c>
      <c r="CE121" s="539">
        <f t="shared" si="42"/>
        <v>0</v>
      </c>
      <c r="CF121" s="539">
        <f t="shared" si="42"/>
        <v>0</v>
      </c>
      <c r="CG121" s="539">
        <f t="shared" si="42"/>
        <v>0</v>
      </c>
      <c r="CH121" s="539">
        <f t="shared" si="42"/>
        <v>0</v>
      </c>
      <c r="CI121" s="539">
        <f t="shared" si="42"/>
        <v>0</v>
      </c>
      <c r="CJ121" s="539">
        <f t="shared" si="42"/>
        <v>0</v>
      </c>
      <c r="CK121" s="539">
        <f t="shared" si="42"/>
        <v>0</v>
      </c>
      <c r="CL121" s="539">
        <f t="shared" si="42"/>
        <v>0</v>
      </c>
      <c r="CM121" s="539">
        <f t="shared" si="42"/>
        <v>0</v>
      </c>
      <c r="CN121" s="539">
        <f t="shared" si="42"/>
        <v>0</v>
      </c>
      <c r="CO121" s="539">
        <f t="shared" si="42"/>
        <v>0</v>
      </c>
      <c r="CP121" s="539">
        <f t="shared" si="42"/>
        <v>0</v>
      </c>
      <c r="CQ121" s="539">
        <f t="shared" si="42"/>
        <v>0</v>
      </c>
      <c r="CR121" s="539">
        <f t="shared" si="42"/>
        <v>0</v>
      </c>
      <c r="CS121" s="539">
        <f t="shared" si="42"/>
        <v>0</v>
      </c>
      <c r="CT121" s="539">
        <f t="shared" si="42"/>
        <v>0</v>
      </c>
      <c r="CU121" s="539">
        <f t="shared" si="42"/>
        <v>0</v>
      </c>
      <c r="CV121" s="539">
        <f t="shared" si="42"/>
        <v>0</v>
      </c>
      <c r="CW121" s="539">
        <f t="shared" si="42"/>
        <v>0</v>
      </c>
      <c r="CX121" s="539">
        <f t="shared" si="42"/>
        <v>0</v>
      </c>
      <c r="CY121" s="539">
        <f t="shared" si="42"/>
        <v>0</v>
      </c>
      <c r="CZ121" s="539">
        <f t="shared" si="42"/>
        <v>0</v>
      </c>
      <c r="DA121" s="539">
        <f t="shared" si="42"/>
        <v>0</v>
      </c>
      <c r="DB121" s="539">
        <f t="shared" si="42"/>
        <v>0</v>
      </c>
      <c r="DC121" s="539">
        <f t="shared" si="42"/>
        <v>0</v>
      </c>
      <c r="DD121" s="539">
        <f t="shared" si="42"/>
        <v>0</v>
      </c>
      <c r="DE121" s="539">
        <f t="shared" si="42"/>
        <v>0</v>
      </c>
      <c r="DF121" s="539">
        <f t="shared" si="42"/>
        <v>0</v>
      </c>
      <c r="DG121" s="539">
        <f t="shared" si="42"/>
        <v>0</v>
      </c>
      <c r="DH121" s="539">
        <f t="shared" si="42"/>
        <v>0</v>
      </c>
      <c r="DI121" s="539">
        <f t="shared" si="42"/>
        <v>0</v>
      </c>
      <c r="DJ121" s="539">
        <f t="shared" si="42"/>
        <v>0</v>
      </c>
      <c r="DK121" s="539">
        <f t="shared" si="42"/>
        <v>0</v>
      </c>
      <c r="DL121" s="539">
        <f t="shared" si="42"/>
        <v>0</v>
      </c>
      <c r="DM121" s="539">
        <f t="shared" si="42"/>
        <v>0</v>
      </c>
      <c r="DN121" s="539">
        <f t="shared" si="42"/>
        <v>0</v>
      </c>
      <c r="DO121" s="539">
        <f t="shared" si="42"/>
        <v>0</v>
      </c>
      <c r="DP121" s="539">
        <f t="shared" si="42"/>
        <v>0</v>
      </c>
      <c r="DQ121" s="539">
        <f t="shared" si="42"/>
        <v>0</v>
      </c>
      <c r="DR121" s="539">
        <f t="shared" si="42"/>
        <v>0</v>
      </c>
      <c r="DS121" s="539">
        <f t="shared" si="42"/>
        <v>0</v>
      </c>
      <c r="DT121" s="539">
        <f t="shared" si="42"/>
        <v>0</v>
      </c>
      <c r="DU121" s="539">
        <f t="shared" si="42"/>
        <v>0</v>
      </c>
      <c r="DV121" s="539">
        <f t="shared" si="42"/>
        <v>0</v>
      </c>
      <c r="DW121" s="539">
        <f t="shared" si="42"/>
        <v>0</v>
      </c>
      <c r="DX121" s="539">
        <f t="shared" si="42"/>
        <v>0</v>
      </c>
      <c r="DY121" s="539">
        <f t="shared" si="42"/>
        <v>0</v>
      </c>
      <c r="DZ121" s="539">
        <f t="shared" si="42"/>
        <v>1997.2598334849408</v>
      </c>
      <c r="EA121" s="539">
        <f t="shared" si="42"/>
        <v>4152.3012636137537</v>
      </c>
      <c r="EB121" s="539">
        <f t="shared" si="42"/>
        <v>6402.5633707117795</v>
      </c>
      <c r="EC121" s="539">
        <f t="shared" si="42"/>
        <v>8650.5658280308089</v>
      </c>
      <c r="ED121" s="539">
        <f t="shared" si="42"/>
        <v>0</v>
      </c>
      <c r="EE121" s="539">
        <f t="shared" si="42"/>
        <v>4.0745362639427185E-10</v>
      </c>
      <c r="EF121" s="539">
        <f t="shared" si="42"/>
        <v>4.0745362639427185E-10</v>
      </c>
      <c r="EG121" s="539">
        <f t="shared" si="42"/>
        <v>4.0745362639427185E-10</v>
      </c>
    </row>
    <row r="122" spans="5:137" ht="12.75">
      <c r="E122" s="540" t="s">
        <v>418</v>
      </c>
      <c r="G122" s="541" t="s">
        <v>30</v>
      </c>
      <c r="H122" s="541">
        <f>SUM(J122:EG122)</f>
        <v>21202.690295842913</v>
      </c>
      <c r="J122" s="541">
        <f t="shared" si="43" ref="J122:EG122">J121+J119-J120-J118</f>
        <v>0</v>
      </c>
      <c r="K122" s="541">
        <f t="shared" si="43"/>
        <v>0</v>
      </c>
      <c r="L122" s="541">
        <f t="shared" si="43"/>
        <v>0</v>
      </c>
      <c r="M122" s="541">
        <f t="shared" si="43"/>
        <v>0</v>
      </c>
      <c r="N122" s="541">
        <f t="shared" si="43"/>
        <v>0</v>
      </c>
      <c r="O122" s="541">
        <f t="shared" si="43"/>
        <v>0</v>
      </c>
      <c r="P122" s="541">
        <f t="shared" si="43"/>
        <v>0</v>
      </c>
      <c r="Q122" s="541">
        <f t="shared" si="43"/>
        <v>0</v>
      </c>
      <c r="R122" s="541">
        <f t="shared" si="43"/>
        <v>0</v>
      </c>
      <c r="S122" s="541">
        <f t="shared" si="43"/>
        <v>0</v>
      </c>
      <c r="T122" s="541">
        <f t="shared" si="43"/>
        <v>0</v>
      </c>
      <c r="U122" s="541">
        <f t="shared" si="43"/>
        <v>0</v>
      </c>
      <c r="V122" s="541">
        <f t="shared" si="43"/>
        <v>0</v>
      </c>
      <c r="W122" s="541">
        <f t="shared" si="43"/>
        <v>0</v>
      </c>
      <c r="X122" s="541">
        <f t="shared" si="43"/>
        <v>0</v>
      </c>
      <c r="Y122" s="541">
        <f t="shared" si="43"/>
        <v>0</v>
      </c>
      <c r="Z122" s="541">
        <f t="shared" si="43"/>
        <v>0</v>
      </c>
      <c r="AA122" s="541">
        <f t="shared" si="43"/>
        <v>0</v>
      </c>
      <c r="AB122" s="541">
        <f t="shared" si="43"/>
        <v>0</v>
      </c>
      <c r="AC122" s="541">
        <f t="shared" si="43"/>
        <v>0</v>
      </c>
      <c r="AD122" s="541">
        <f t="shared" si="43"/>
        <v>0</v>
      </c>
      <c r="AE122" s="541">
        <f t="shared" si="43"/>
        <v>0</v>
      </c>
      <c r="AF122" s="541">
        <f t="shared" si="43"/>
        <v>0</v>
      </c>
      <c r="AG122" s="541">
        <f t="shared" si="43"/>
        <v>0</v>
      </c>
      <c r="AH122" s="541">
        <f t="shared" si="43"/>
        <v>0</v>
      </c>
      <c r="AI122" s="541">
        <f t="shared" si="43"/>
        <v>0</v>
      </c>
      <c r="AJ122" s="541">
        <f t="shared" si="43"/>
        <v>0</v>
      </c>
      <c r="AK122" s="541">
        <f t="shared" si="43"/>
        <v>0</v>
      </c>
      <c r="AL122" s="541">
        <f t="shared" si="43"/>
        <v>0</v>
      </c>
      <c r="AM122" s="541">
        <f t="shared" si="43"/>
        <v>0</v>
      </c>
      <c r="AN122" s="541">
        <f t="shared" si="43"/>
        <v>0</v>
      </c>
      <c r="AO122" s="541">
        <f t="shared" si="43"/>
        <v>0</v>
      </c>
      <c r="AP122" s="541">
        <f t="shared" si="43"/>
        <v>0</v>
      </c>
      <c r="AQ122" s="541">
        <f t="shared" si="43"/>
        <v>0</v>
      </c>
      <c r="AR122" s="541">
        <f t="shared" si="43"/>
        <v>0</v>
      </c>
      <c r="AS122" s="541">
        <f t="shared" si="43"/>
        <v>0</v>
      </c>
      <c r="AT122" s="541">
        <f t="shared" si="43"/>
        <v>0</v>
      </c>
      <c r="AU122" s="541">
        <f t="shared" si="43"/>
        <v>0</v>
      </c>
      <c r="AV122" s="541">
        <f t="shared" si="43"/>
        <v>0</v>
      </c>
      <c r="AW122" s="541">
        <f t="shared" si="43"/>
        <v>0</v>
      </c>
      <c r="AX122" s="541">
        <f t="shared" si="43"/>
        <v>0</v>
      </c>
      <c r="AY122" s="541">
        <f t="shared" si="43"/>
        <v>0</v>
      </c>
      <c r="AZ122" s="541">
        <f t="shared" si="43"/>
        <v>0</v>
      </c>
      <c r="BA122" s="541">
        <f t="shared" si="43"/>
        <v>0</v>
      </c>
      <c r="BB122" s="541">
        <f t="shared" si="43"/>
        <v>0</v>
      </c>
      <c r="BC122" s="541">
        <f t="shared" si="43"/>
        <v>0</v>
      </c>
      <c r="BD122" s="541">
        <f t="shared" si="43"/>
        <v>0</v>
      </c>
      <c r="BE122" s="541">
        <f t="shared" si="43"/>
        <v>0</v>
      </c>
      <c r="BF122" s="541">
        <f t="shared" si="43"/>
        <v>0</v>
      </c>
      <c r="BG122" s="541">
        <f t="shared" si="43"/>
        <v>0</v>
      </c>
      <c r="BH122" s="541">
        <f t="shared" si="43"/>
        <v>0</v>
      </c>
      <c r="BI122" s="541">
        <f t="shared" si="43"/>
        <v>0</v>
      </c>
      <c r="BJ122" s="541">
        <f t="shared" si="43"/>
        <v>0</v>
      </c>
      <c r="BK122" s="541">
        <f t="shared" si="43"/>
        <v>0</v>
      </c>
      <c r="BL122" s="541">
        <f t="shared" si="43"/>
        <v>0</v>
      </c>
      <c r="BM122" s="541">
        <f t="shared" si="43"/>
        <v>0</v>
      </c>
      <c r="BN122" s="541">
        <f t="shared" si="43"/>
        <v>0</v>
      </c>
      <c r="BO122" s="541">
        <f t="shared" si="43"/>
        <v>0</v>
      </c>
      <c r="BP122" s="541">
        <f t="shared" si="43"/>
        <v>0</v>
      </c>
      <c r="BQ122" s="541">
        <f t="shared" si="43"/>
        <v>0</v>
      </c>
      <c r="BR122" s="541">
        <f t="shared" si="43"/>
        <v>0</v>
      </c>
      <c r="BS122" s="541">
        <f t="shared" si="43"/>
        <v>0</v>
      </c>
      <c r="BT122" s="541">
        <f t="shared" si="43"/>
        <v>0</v>
      </c>
      <c r="BU122" s="541">
        <f t="shared" si="43"/>
        <v>0</v>
      </c>
      <c r="BV122" s="541">
        <f t="shared" si="43"/>
        <v>0</v>
      </c>
      <c r="BW122" s="541">
        <f t="shared" si="43"/>
        <v>0</v>
      </c>
      <c r="BX122" s="541">
        <f t="shared" si="43"/>
        <v>0</v>
      </c>
      <c r="BY122" s="541">
        <f t="shared" si="43"/>
        <v>0</v>
      </c>
      <c r="BZ122" s="541">
        <f t="shared" si="43"/>
        <v>0</v>
      </c>
      <c r="CA122" s="541">
        <f t="shared" si="43"/>
        <v>0</v>
      </c>
      <c r="CB122" s="541">
        <f t="shared" si="43"/>
        <v>0</v>
      </c>
      <c r="CC122" s="541">
        <f t="shared" si="43"/>
        <v>0</v>
      </c>
      <c r="CD122" s="541">
        <f t="shared" si="43"/>
        <v>0</v>
      </c>
      <c r="CE122" s="541">
        <f t="shared" si="43"/>
        <v>0</v>
      </c>
      <c r="CF122" s="541">
        <f t="shared" si="43"/>
        <v>0</v>
      </c>
      <c r="CG122" s="541">
        <f t="shared" si="43"/>
        <v>0</v>
      </c>
      <c r="CH122" s="541">
        <f t="shared" si="43"/>
        <v>0</v>
      </c>
      <c r="CI122" s="541">
        <f t="shared" si="43"/>
        <v>0</v>
      </c>
      <c r="CJ122" s="541">
        <f t="shared" si="43"/>
        <v>0</v>
      </c>
      <c r="CK122" s="541">
        <f t="shared" si="43"/>
        <v>0</v>
      </c>
      <c r="CL122" s="541">
        <f t="shared" si="43"/>
        <v>0</v>
      </c>
      <c r="CM122" s="541">
        <f t="shared" si="43"/>
        <v>0</v>
      </c>
      <c r="CN122" s="541">
        <f t="shared" si="43"/>
        <v>0</v>
      </c>
      <c r="CO122" s="541">
        <f t="shared" si="43"/>
        <v>0</v>
      </c>
      <c r="CP122" s="541">
        <f t="shared" si="43"/>
        <v>0</v>
      </c>
      <c r="CQ122" s="541">
        <f t="shared" si="43"/>
        <v>0</v>
      </c>
      <c r="CR122" s="541">
        <f t="shared" si="43"/>
        <v>0</v>
      </c>
      <c r="CS122" s="541">
        <f t="shared" si="43"/>
        <v>0</v>
      </c>
      <c r="CT122" s="541">
        <f t="shared" si="43"/>
        <v>0</v>
      </c>
      <c r="CU122" s="541">
        <f t="shared" si="43"/>
        <v>0</v>
      </c>
      <c r="CV122" s="541">
        <f t="shared" si="43"/>
        <v>0</v>
      </c>
      <c r="CW122" s="541">
        <f t="shared" si="43"/>
        <v>0</v>
      </c>
      <c r="CX122" s="541">
        <f t="shared" si="43"/>
        <v>0</v>
      </c>
      <c r="CY122" s="541">
        <f t="shared" si="43"/>
        <v>0</v>
      </c>
      <c r="CZ122" s="541">
        <f t="shared" si="43"/>
        <v>0</v>
      </c>
      <c r="DA122" s="541">
        <f t="shared" si="43"/>
        <v>0</v>
      </c>
      <c r="DB122" s="541">
        <f t="shared" si="43"/>
        <v>0</v>
      </c>
      <c r="DC122" s="541">
        <f t="shared" si="43"/>
        <v>0</v>
      </c>
      <c r="DD122" s="541">
        <f t="shared" si="43"/>
        <v>0</v>
      </c>
      <c r="DE122" s="541">
        <f t="shared" si="43"/>
        <v>0</v>
      </c>
      <c r="DF122" s="541">
        <f t="shared" si="43"/>
        <v>0</v>
      </c>
      <c r="DG122" s="541">
        <f t="shared" si="43"/>
        <v>0</v>
      </c>
      <c r="DH122" s="541">
        <f t="shared" si="43"/>
        <v>0</v>
      </c>
      <c r="DI122" s="541">
        <f t="shared" si="43"/>
        <v>0</v>
      </c>
      <c r="DJ122" s="541">
        <f t="shared" si="43"/>
        <v>0</v>
      </c>
      <c r="DK122" s="541">
        <f t="shared" si="43"/>
        <v>0</v>
      </c>
      <c r="DL122" s="541">
        <f t="shared" si="43"/>
        <v>0</v>
      </c>
      <c r="DM122" s="541">
        <f t="shared" si="43"/>
        <v>0</v>
      </c>
      <c r="DN122" s="541">
        <f t="shared" si="43"/>
        <v>0</v>
      </c>
      <c r="DO122" s="541">
        <f t="shared" si="43"/>
        <v>0</v>
      </c>
      <c r="DP122" s="541">
        <f t="shared" si="43"/>
        <v>0</v>
      </c>
      <c r="DQ122" s="541">
        <f t="shared" si="43"/>
        <v>0</v>
      </c>
      <c r="DR122" s="541">
        <f t="shared" si="43"/>
        <v>0</v>
      </c>
      <c r="DS122" s="541">
        <f t="shared" si="43"/>
        <v>0</v>
      </c>
      <c r="DT122" s="541">
        <f t="shared" si="43"/>
        <v>0</v>
      </c>
      <c r="DU122" s="541">
        <f t="shared" si="43"/>
        <v>0</v>
      </c>
      <c r="DV122" s="541">
        <f t="shared" si="43"/>
        <v>0</v>
      </c>
      <c r="DW122" s="541">
        <f t="shared" si="43"/>
        <v>0</v>
      </c>
      <c r="DX122" s="541">
        <f t="shared" si="43"/>
        <v>0</v>
      </c>
      <c r="DY122" s="541">
        <f t="shared" si="43"/>
        <v>1997.2598334849408</v>
      </c>
      <c r="DZ122" s="541">
        <f t="shared" si="43"/>
        <v>4152.3012636137537</v>
      </c>
      <c r="EA122" s="541">
        <f t="shared" si="43"/>
        <v>6402.5633707117795</v>
      </c>
      <c r="EB122" s="541">
        <f t="shared" si="43"/>
        <v>8650.5658280308089</v>
      </c>
      <c r="EC122" s="541">
        <f t="shared" si="43"/>
        <v>0</v>
      </c>
      <c r="ED122" s="541">
        <f t="shared" si="43"/>
        <v>4.0745362639427185E-10</v>
      </c>
      <c r="EE122" s="541">
        <f t="shared" si="43"/>
        <v>4.0745362639427185E-10</v>
      </c>
      <c r="EF122" s="541">
        <f t="shared" si="43"/>
        <v>4.0745362639427185E-10</v>
      </c>
      <c r="EG122" s="541">
        <f t="shared" si="43"/>
        <v>4.0745362639427185E-10</v>
      </c>
    </row>
    <row r="124" spans="2:2" ht="12.75">
      <c r="B124" s="534" t="s">
        <v>419</v>
      </c>
    </row>
    <row r="125" spans="5:137" ht="12.75">
      <c r="E125" s="538" t="str">
        <f>E$140</f>
        <v>Trapped cash - closing balance</v>
      </c>
      <c r="G125" s="539" t="str">
        <f>G$140</f>
        <v>EUR 000s</v>
      </c>
      <c r="H125" s="539">
        <f>H$140</f>
        <v>0</v>
      </c>
      <c r="J125" s="539">
        <f t="shared" si="44" ref="J125:EG125">J$140</f>
        <v>0</v>
      </c>
      <c r="K125" s="539">
        <f t="shared" si="44"/>
        <v>0</v>
      </c>
      <c r="L125" s="539">
        <f t="shared" si="44"/>
        <v>0</v>
      </c>
      <c r="M125" s="539">
        <f t="shared" si="44"/>
        <v>0</v>
      </c>
      <c r="N125" s="539">
        <f t="shared" si="44"/>
        <v>0</v>
      </c>
      <c r="O125" s="539">
        <f t="shared" si="44"/>
        <v>0</v>
      </c>
      <c r="P125" s="539">
        <f t="shared" si="44"/>
        <v>0</v>
      </c>
      <c r="Q125" s="539">
        <f t="shared" si="44"/>
        <v>0</v>
      </c>
      <c r="R125" s="539">
        <f t="shared" si="44"/>
        <v>0</v>
      </c>
      <c r="S125" s="539">
        <f t="shared" si="44"/>
        <v>0</v>
      </c>
      <c r="T125" s="539">
        <f t="shared" si="44"/>
        <v>0</v>
      </c>
      <c r="U125" s="539">
        <f t="shared" si="44"/>
        <v>0</v>
      </c>
      <c r="V125" s="539">
        <f t="shared" si="44"/>
        <v>0</v>
      </c>
      <c r="W125" s="539">
        <f t="shared" si="44"/>
        <v>0</v>
      </c>
      <c r="X125" s="539">
        <f t="shared" si="44"/>
        <v>0</v>
      </c>
      <c r="Y125" s="539">
        <f t="shared" si="44"/>
        <v>0</v>
      </c>
      <c r="Z125" s="539">
        <f t="shared" si="44"/>
        <v>0</v>
      </c>
      <c r="AA125" s="539">
        <f t="shared" si="44"/>
        <v>0</v>
      </c>
      <c r="AB125" s="539">
        <f t="shared" si="44"/>
        <v>0</v>
      </c>
      <c r="AC125" s="539">
        <f t="shared" si="44"/>
        <v>0</v>
      </c>
      <c r="AD125" s="539">
        <f t="shared" si="44"/>
        <v>0</v>
      </c>
      <c r="AE125" s="539">
        <f t="shared" si="44"/>
        <v>0</v>
      </c>
      <c r="AF125" s="539">
        <f t="shared" si="44"/>
        <v>0</v>
      </c>
      <c r="AG125" s="539">
        <f t="shared" si="44"/>
        <v>0</v>
      </c>
      <c r="AH125" s="539">
        <f t="shared" si="44"/>
        <v>0</v>
      </c>
      <c r="AI125" s="539">
        <f t="shared" si="44"/>
        <v>0</v>
      </c>
      <c r="AJ125" s="539">
        <f t="shared" si="44"/>
        <v>0</v>
      </c>
      <c r="AK125" s="539">
        <f t="shared" si="44"/>
        <v>0</v>
      </c>
      <c r="AL125" s="539">
        <f t="shared" si="44"/>
        <v>0</v>
      </c>
      <c r="AM125" s="539">
        <f t="shared" si="44"/>
        <v>0</v>
      </c>
      <c r="AN125" s="539">
        <f t="shared" si="44"/>
        <v>0</v>
      </c>
      <c r="AO125" s="539">
        <f t="shared" si="44"/>
        <v>0</v>
      </c>
      <c r="AP125" s="539">
        <f t="shared" si="44"/>
        <v>0</v>
      </c>
      <c r="AQ125" s="539">
        <f t="shared" si="44"/>
        <v>0</v>
      </c>
      <c r="AR125" s="539">
        <f t="shared" si="44"/>
        <v>0</v>
      </c>
      <c r="AS125" s="539">
        <f t="shared" si="44"/>
        <v>0</v>
      </c>
      <c r="AT125" s="539">
        <f t="shared" si="44"/>
        <v>0</v>
      </c>
      <c r="AU125" s="539">
        <f t="shared" si="44"/>
        <v>0</v>
      </c>
      <c r="AV125" s="539">
        <f t="shared" si="44"/>
        <v>0</v>
      </c>
      <c r="AW125" s="539">
        <f t="shared" si="44"/>
        <v>0</v>
      </c>
      <c r="AX125" s="539">
        <f t="shared" si="44"/>
        <v>0</v>
      </c>
      <c r="AY125" s="539">
        <f t="shared" si="44"/>
        <v>0</v>
      </c>
      <c r="AZ125" s="539">
        <f t="shared" si="44"/>
        <v>0</v>
      </c>
      <c r="BA125" s="539">
        <f t="shared" si="44"/>
        <v>0</v>
      </c>
      <c r="BB125" s="539">
        <f t="shared" si="44"/>
        <v>0</v>
      </c>
      <c r="BC125" s="539">
        <f t="shared" si="44"/>
        <v>0</v>
      </c>
      <c r="BD125" s="539">
        <f t="shared" si="44"/>
        <v>0</v>
      </c>
      <c r="BE125" s="539">
        <f t="shared" si="44"/>
        <v>0</v>
      </c>
      <c r="BF125" s="539">
        <f t="shared" si="44"/>
        <v>0</v>
      </c>
      <c r="BG125" s="539">
        <f t="shared" si="44"/>
        <v>0</v>
      </c>
      <c r="BH125" s="539">
        <f t="shared" si="44"/>
        <v>0</v>
      </c>
      <c r="BI125" s="539">
        <f t="shared" si="44"/>
        <v>0</v>
      </c>
      <c r="BJ125" s="539">
        <f t="shared" si="44"/>
        <v>0</v>
      </c>
      <c r="BK125" s="539">
        <f t="shared" si="44"/>
        <v>0</v>
      </c>
      <c r="BL125" s="539">
        <f t="shared" si="44"/>
        <v>0</v>
      </c>
      <c r="BM125" s="539">
        <f t="shared" si="44"/>
        <v>0</v>
      </c>
      <c r="BN125" s="539">
        <f t="shared" si="44"/>
        <v>0</v>
      </c>
      <c r="BO125" s="539">
        <f t="shared" si="44"/>
        <v>0</v>
      </c>
      <c r="BP125" s="539">
        <f t="shared" si="44"/>
        <v>0</v>
      </c>
      <c r="BQ125" s="539">
        <f t="shared" si="44"/>
        <v>0</v>
      </c>
      <c r="BR125" s="539">
        <f t="shared" si="44"/>
        <v>0</v>
      </c>
      <c r="BS125" s="539">
        <f t="shared" si="44"/>
        <v>0</v>
      </c>
      <c r="BT125" s="539">
        <f t="shared" si="44"/>
        <v>0</v>
      </c>
      <c r="BU125" s="539">
        <f t="shared" si="44"/>
        <v>0</v>
      </c>
      <c r="BV125" s="539">
        <f t="shared" si="44"/>
        <v>0</v>
      </c>
      <c r="BW125" s="539">
        <f t="shared" si="44"/>
        <v>0</v>
      </c>
      <c r="BX125" s="539">
        <f t="shared" si="44"/>
        <v>0</v>
      </c>
      <c r="BY125" s="539">
        <f t="shared" si="44"/>
        <v>0</v>
      </c>
      <c r="BZ125" s="539">
        <f t="shared" si="44"/>
        <v>0</v>
      </c>
      <c r="CA125" s="539">
        <f t="shared" si="44"/>
        <v>0</v>
      </c>
      <c r="CB125" s="539">
        <f t="shared" si="44"/>
        <v>0</v>
      </c>
      <c r="CC125" s="539">
        <f t="shared" si="44"/>
        <v>0</v>
      </c>
      <c r="CD125" s="539">
        <f t="shared" si="44"/>
        <v>0</v>
      </c>
      <c r="CE125" s="539">
        <f t="shared" si="44"/>
        <v>0</v>
      </c>
      <c r="CF125" s="539">
        <f t="shared" si="44"/>
        <v>0</v>
      </c>
      <c r="CG125" s="539">
        <f t="shared" si="44"/>
        <v>0</v>
      </c>
      <c r="CH125" s="539">
        <f t="shared" si="44"/>
        <v>0</v>
      </c>
      <c r="CI125" s="539">
        <f t="shared" si="44"/>
        <v>0</v>
      </c>
      <c r="CJ125" s="539">
        <f t="shared" si="44"/>
        <v>0</v>
      </c>
      <c r="CK125" s="539">
        <f t="shared" si="44"/>
        <v>0</v>
      </c>
      <c r="CL125" s="539">
        <f t="shared" si="44"/>
        <v>0</v>
      </c>
      <c r="CM125" s="539">
        <f t="shared" si="44"/>
        <v>0</v>
      </c>
      <c r="CN125" s="539">
        <f t="shared" si="44"/>
        <v>0</v>
      </c>
      <c r="CO125" s="539">
        <f t="shared" si="44"/>
        <v>0</v>
      </c>
      <c r="CP125" s="539">
        <f t="shared" si="44"/>
        <v>0</v>
      </c>
      <c r="CQ125" s="539">
        <f t="shared" si="44"/>
        <v>0</v>
      </c>
      <c r="CR125" s="539">
        <f t="shared" si="44"/>
        <v>0</v>
      </c>
      <c r="CS125" s="539">
        <f t="shared" si="44"/>
        <v>0</v>
      </c>
      <c r="CT125" s="539">
        <f t="shared" si="44"/>
        <v>0</v>
      </c>
      <c r="CU125" s="539">
        <f t="shared" si="44"/>
        <v>0</v>
      </c>
      <c r="CV125" s="539">
        <f t="shared" si="44"/>
        <v>0</v>
      </c>
      <c r="CW125" s="539">
        <f t="shared" si="44"/>
        <v>0</v>
      </c>
      <c r="CX125" s="539">
        <f t="shared" si="44"/>
        <v>0</v>
      </c>
      <c r="CY125" s="539">
        <f t="shared" si="44"/>
        <v>0</v>
      </c>
      <c r="CZ125" s="539">
        <f t="shared" si="44"/>
        <v>0</v>
      </c>
      <c r="DA125" s="539">
        <f t="shared" si="44"/>
        <v>0</v>
      </c>
      <c r="DB125" s="539">
        <f t="shared" si="44"/>
        <v>0</v>
      </c>
      <c r="DC125" s="539">
        <f t="shared" si="44"/>
        <v>0</v>
      </c>
      <c r="DD125" s="539">
        <f t="shared" si="44"/>
        <v>0</v>
      </c>
      <c r="DE125" s="539">
        <f t="shared" si="44"/>
        <v>0</v>
      </c>
      <c r="DF125" s="539">
        <f t="shared" si="44"/>
        <v>0</v>
      </c>
      <c r="DG125" s="539">
        <f t="shared" si="44"/>
        <v>0</v>
      </c>
      <c r="DH125" s="539">
        <f t="shared" si="44"/>
        <v>0</v>
      </c>
      <c r="DI125" s="539">
        <f t="shared" si="44"/>
        <v>0</v>
      </c>
      <c r="DJ125" s="539">
        <f t="shared" si="44"/>
        <v>0</v>
      </c>
      <c r="DK125" s="539">
        <f t="shared" si="44"/>
        <v>0</v>
      </c>
      <c r="DL125" s="539">
        <f t="shared" si="44"/>
        <v>0</v>
      </c>
      <c r="DM125" s="539">
        <f t="shared" si="44"/>
        <v>0</v>
      </c>
      <c r="DN125" s="539">
        <f t="shared" si="44"/>
        <v>0</v>
      </c>
      <c r="DO125" s="539">
        <f t="shared" si="44"/>
        <v>0</v>
      </c>
      <c r="DP125" s="539">
        <f t="shared" si="44"/>
        <v>0</v>
      </c>
      <c r="DQ125" s="539">
        <f t="shared" si="44"/>
        <v>0</v>
      </c>
      <c r="DR125" s="539">
        <f t="shared" si="44"/>
        <v>0</v>
      </c>
      <c r="DS125" s="539">
        <f t="shared" si="44"/>
        <v>0</v>
      </c>
      <c r="DT125" s="539">
        <f t="shared" si="44"/>
        <v>0</v>
      </c>
      <c r="DU125" s="539">
        <f t="shared" si="44"/>
        <v>0</v>
      </c>
      <c r="DV125" s="539">
        <f t="shared" si="44"/>
        <v>0</v>
      </c>
      <c r="DW125" s="539">
        <f t="shared" si="44"/>
        <v>0</v>
      </c>
      <c r="DX125" s="539">
        <f t="shared" si="44"/>
        <v>0</v>
      </c>
      <c r="DY125" s="539">
        <f t="shared" si="44"/>
        <v>0</v>
      </c>
      <c r="DZ125" s="539">
        <f t="shared" si="44"/>
        <v>0</v>
      </c>
      <c r="EA125" s="539">
        <f t="shared" si="44"/>
        <v>0</v>
      </c>
      <c r="EB125" s="539">
        <f t="shared" si="44"/>
        <v>0</v>
      </c>
      <c r="EC125" s="539">
        <f t="shared" si="44"/>
        <v>0</v>
      </c>
      <c r="ED125" s="539">
        <f t="shared" si="44"/>
        <v>0</v>
      </c>
      <c r="EE125" s="539">
        <f t="shared" si="44"/>
        <v>0</v>
      </c>
      <c r="EF125" s="539">
        <f t="shared" si="44"/>
        <v>0</v>
      </c>
      <c r="EG125" s="539">
        <f t="shared" si="44"/>
        <v>0</v>
      </c>
    </row>
    <row r="126" spans="5:137" ht="12.75">
      <c r="E126" s="538" t="s">
        <v>420</v>
      </c>
      <c r="G126" s="539" t="s">
        <v>30</v>
      </c>
      <c r="H126" s="539">
        <f>SUM(J126:EG126)</f>
        <v>0</v>
      </c>
      <c r="J126" s="539">
        <f t="shared" si="45" ref="J126:EG126">I125</f>
        <v>0</v>
      </c>
      <c r="K126" s="539">
        <f t="shared" si="45"/>
        <v>0</v>
      </c>
      <c r="L126" s="539">
        <f t="shared" si="45"/>
        <v>0</v>
      </c>
      <c r="M126" s="539">
        <f t="shared" si="45"/>
        <v>0</v>
      </c>
      <c r="N126" s="539">
        <f t="shared" si="45"/>
        <v>0</v>
      </c>
      <c r="O126" s="539">
        <f t="shared" si="45"/>
        <v>0</v>
      </c>
      <c r="P126" s="539">
        <f t="shared" si="45"/>
        <v>0</v>
      </c>
      <c r="Q126" s="539">
        <f t="shared" si="45"/>
        <v>0</v>
      </c>
      <c r="R126" s="539">
        <f t="shared" si="45"/>
        <v>0</v>
      </c>
      <c r="S126" s="539">
        <f t="shared" si="45"/>
        <v>0</v>
      </c>
      <c r="T126" s="539">
        <f t="shared" si="45"/>
        <v>0</v>
      </c>
      <c r="U126" s="539">
        <f t="shared" si="45"/>
        <v>0</v>
      </c>
      <c r="V126" s="539">
        <f t="shared" si="45"/>
        <v>0</v>
      </c>
      <c r="W126" s="539">
        <f t="shared" si="45"/>
        <v>0</v>
      </c>
      <c r="X126" s="539">
        <f t="shared" si="45"/>
        <v>0</v>
      </c>
      <c r="Y126" s="539">
        <f t="shared" si="45"/>
        <v>0</v>
      </c>
      <c r="Z126" s="539">
        <f t="shared" si="45"/>
        <v>0</v>
      </c>
      <c r="AA126" s="539">
        <f t="shared" si="45"/>
        <v>0</v>
      </c>
      <c r="AB126" s="539">
        <f t="shared" si="45"/>
        <v>0</v>
      </c>
      <c r="AC126" s="539">
        <f t="shared" si="45"/>
        <v>0</v>
      </c>
      <c r="AD126" s="539">
        <f t="shared" si="45"/>
        <v>0</v>
      </c>
      <c r="AE126" s="539">
        <f t="shared" si="45"/>
        <v>0</v>
      </c>
      <c r="AF126" s="539">
        <f t="shared" si="45"/>
        <v>0</v>
      </c>
      <c r="AG126" s="539">
        <f t="shared" si="45"/>
        <v>0</v>
      </c>
      <c r="AH126" s="539">
        <f t="shared" si="45"/>
        <v>0</v>
      </c>
      <c r="AI126" s="539">
        <f t="shared" si="45"/>
        <v>0</v>
      </c>
      <c r="AJ126" s="539">
        <f t="shared" si="45"/>
        <v>0</v>
      </c>
      <c r="AK126" s="539">
        <f t="shared" si="45"/>
        <v>0</v>
      </c>
      <c r="AL126" s="539">
        <f t="shared" si="45"/>
        <v>0</v>
      </c>
      <c r="AM126" s="539">
        <f t="shared" si="45"/>
        <v>0</v>
      </c>
      <c r="AN126" s="539">
        <f t="shared" si="45"/>
        <v>0</v>
      </c>
      <c r="AO126" s="539">
        <f t="shared" si="45"/>
        <v>0</v>
      </c>
      <c r="AP126" s="539">
        <f t="shared" si="45"/>
        <v>0</v>
      </c>
      <c r="AQ126" s="539">
        <f t="shared" si="45"/>
        <v>0</v>
      </c>
      <c r="AR126" s="539">
        <f t="shared" si="45"/>
        <v>0</v>
      </c>
      <c r="AS126" s="539">
        <f t="shared" si="45"/>
        <v>0</v>
      </c>
      <c r="AT126" s="539">
        <f t="shared" si="45"/>
        <v>0</v>
      </c>
      <c r="AU126" s="539">
        <f t="shared" si="45"/>
        <v>0</v>
      </c>
      <c r="AV126" s="539">
        <f t="shared" si="45"/>
        <v>0</v>
      </c>
      <c r="AW126" s="539">
        <f t="shared" si="45"/>
        <v>0</v>
      </c>
      <c r="AX126" s="539">
        <f t="shared" si="45"/>
        <v>0</v>
      </c>
      <c r="AY126" s="539">
        <f t="shared" si="45"/>
        <v>0</v>
      </c>
      <c r="AZ126" s="539">
        <f t="shared" si="45"/>
        <v>0</v>
      </c>
      <c r="BA126" s="539">
        <f t="shared" si="45"/>
        <v>0</v>
      </c>
      <c r="BB126" s="539">
        <f t="shared" si="45"/>
        <v>0</v>
      </c>
      <c r="BC126" s="539">
        <f t="shared" si="45"/>
        <v>0</v>
      </c>
      <c r="BD126" s="539">
        <f t="shared" si="45"/>
        <v>0</v>
      </c>
      <c r="BE126" s="539">
        <f t="shared" si="45"/>
        <v>0</v>
      </c>
      <c r="BF126" s="539">
        <f t="shared" si="45"/>
        <v>0</v>
      </c>
      <c r="BG126" s="539">
        <f t="shared" si="45"/>
        <v>0</v>
      </c>
      <c r="BH126" s="539">
        <f t="shared" si="45"/>
        <v>0</v>
      </c>
      <c r="BI126" s="539">
        <f t="shared" si="45"/>
        <v>0</v>
      </c>
      <c r="BJ126" s="539">
        <f t="shared" si="45"/>
        <v>0</v>
      </c>
      <c r="BK126" s="539">
        <f t="shared" si="45"/>
        <v>0</v>
      </c>
      <c r="BL126" s="539">
        <f t="shared" si="45"/>
        <v>0</v>
      </c>
      <c r="BM126" s="539">
        <f t="shared" si="45"/>
        <v>0</v>
      </c>
      <c r="BN126" s="539">
        <f t="shared" si="45"/>
        <v>0</v>
      </c>
      <c r="BO126" s="539">
        <f t="shared" si="45"/>
        <v>0</v>
      </c>
      <c r="BP126" s="539">
        <f t="shared" si="45"/>
        <v>0</v>
      </c>
      <c r="BQ126" s="539">
        <f t="shared" si="45"/>
        <v>0</v>
      </c>
      <c r="BR126" s="539">
        <f t="shared" si="45"/>
        <v>0</v>
      </c>
      <c r="BS126" s="539">
        <f t="shared" si="45"/>
        <v>0</v>
      </c>
      <c r="BT126" s="539">
        <f t="shared" si="45"/>
        <v>0</v>
      </c>
      <c r="BU126" s="539">
        <f t="shared" si="45"/>
        <v>0</v>
      </c>
      <c r="BV126" s="539">
        <f t="shared" si="45"/>
        <v>0</v>
      </c>
      <c r="BW126" s="539">
        <f t="shared" si="45"/>
        <v>0</v>
      </c>
      <c r="BX126" s="539">
        <f t="shared" si="45"/>
        <v>0</v>
      </c>
      <c r="BY126" s="539">
        <f t="shared" si="45"/>
        <v>0</v>
      </c>
      <c r="BZ126" s="539">
        <f t="shared" si="45"/>
        <v>0</v>
      </c>
      <c r="CA126" s="539">
        <f t="shared" si="45"/>
        <v>0</v>
      </c>
      <c r="CB126" s="539">
        <f t="shared" si="45"/>
        <v>0</v>
      </c>
      <c r="CC126" s="539">
        <f t="shared" si="45"/>
        <v>0</v>
      </c>
      <c r="CD126" s="539">
        <f t="shared" si="45"/>
        <v>0</v>
      </c>
      <c r="CE126" s="539">
        <f t="shared" si="45"/>
        <v>0</v>
      </c>
      <c r="CF126" s="539">
        <f t="shared" si="45"/>
        <v>0</v>
      </c>
      <c r="CG126" s="539">
        <f t="shared" si="45"/>
        <v>0</v>
      </c>
      <c r="CH126" s="539">
        <f t="shared" si="45"/>
        <v>0</v>
      </c>
      <c r="CI126" s="539">
        <f t="shared" si="45"/>
        <v>0</v>
      </c>
      <c r="CJ126" s="539">
        <f t="shared" si="45"/>
        <v>0</v>
      </c>
      <c r="CK126" s="539">
        <f t="shared" si="45"/>
        <v>0</v>
      </c>
      <c r="CL126" s="539">
        <f t="shared" si="45"/>
        <v>0</v>
      </c>
      <c r="CM126" s="539">
        <f t="shared" si="45"/>
        <v>0</v>
      </c>
      <c r="CN126" s="539">
        <f t="shared" si="45"/>
        <v>0</v>
      </c>
      <c r="CO126" s="539">
        <f t="shared" si="45"/>
        <v>0</v>
      </c>
      <c r="CP126" s="539">
        <f t="shared" si="45"/>
        <v>0</v>
      </c>
      <c r="CQ126" s="539">
        <f t="shared" si="45"/>
        <v>0</v>
      </c>
      <c r="CR126" s="539">
        <f t="shared" si="45"/>
        <v>0</v>
      </c>
      <c r="CS126" s="539">
        <f t="shared" si="45"/>
        <v>0</v>
      </c>
      <c r="CT126" s="539">
        <f t="shared" si="45"/>
        <v>0</v>
      </c>
      <c r="CU126" s="539">
        <f t="shared" si="45"/>
        <v>0</v>
      </c>
      <c r="CV126" s="539">
        <f t="shared" si="45"/>
        <v>0</v>
      </c>
      <c r="CW126" s="539">
        <f t="shared" si="45"/>
        <v>0</v>
      </c>
      <c r="CX126" s="539">
        <f t="shared" si="45"/>
        <v>0</v>
      </c>
      <c r="CY126" s="539">
        <f t="shared" si="45"/>
        <v>0</v>
      </c>
      <c r="CZ126" s="539">
        <f t="shared" si="45"/>
        <v>0</v>
      </c>
      <c r="DA126" s="539">
        <f t="shared" si="45"/>
        <v>0</v>
      </c>
      <c r="DB126" s="539">
        <f t="shared" si="45"/>
        <v>0</v>
      </c>
      <c r="DC126" s="539">
        <f t="shared" si="45"/>
        <v>0</v>
      </c>
      <c r="DD126" s="539">
        <f t="shared" si="45"/>
        <v>0</v>
      </c>
      <c r="DE126" s="539">
        <f t="shared" si="45"/>
        <v>0</v>
      </c>
      <c r="DF126" s="539">
        <f t="shared" si="45"/>
        <v>0</v>
      </c>
      <c r="DG126" s="539">
        <f t="shared" si="45"/>
        <v>0</v>
      </c>
      <c r="DH126" s="539">
        <f t="shared" si="45"/>
        <v>0</v>
      </c>
      <c r="DI126" s="539">
        <f t="shared" si="45"/>
        <v>0</v>
      </c>
      <c r="DJ126" s="539">
        <f t="shared" si="45"/>
        <v>0</v>
      </c>
      <c r="DK126" s="539">
        <f t="shared" si="45"/>
        <v>0</v>
      </c>
      <c r="DL126" s="539">
        <f t="shared" si="45"/>
        <v>0</v>
      </c>
      <c r="DM126" s="539">
        <f t="shared" si="45"/>
        <v>0</v>
      </c>
      <c r="DN126" s="539">
        <f t="shared" si="45"/>
        <v>0</v>
      </c>
      <c r="DO126" s="539">
        <f t="shared" si="45"/>
        <v>0</v>
      </c>
      <c r="DP126" s="539">
        <f t="shared" si="45"/>
        <v>0</v>
      </c>
      <c r="DQ126" s="539">
        <f t="shared" si="45"/>
        <v>0</v>
      </c>
      <c r="DR126" s="539">
        <f t="shared" si="45"/>
        <v>0</v>
      </c>
      <c r="DS126" s="539">
        <f t="shared" si="45"/>
        <v>0</v>
      </c>
      <c r="DT126" s="539">
        <f t="shared" si="45"/>
        <v>0</v>
      </c>
      <c r="DU126" s="539">
        <f t="shared" si="45"/>
        <v>0</v>
      </c>
      <c r="DV126" s="539">
        <f t="shared" si="45"/>
        <v>0</v>
      </c>
      <c r="DW126" s="539">
        <f t="shared" si="45"/>
        <v>0</v>
      </c>
      <c r="DX126" s="539">
        <f t="shared" si="45"/>
        <v>0</v>
      </c>
      <c r="DY126" s="539">
        <f t="shared" si="45"/>
        <v>0</v>
      </c>
      <c r="DZ126" s="539">
        <f t="shared" si="45"/>
        <v>0</v>
      </c>
      <c r="EA126" s="539">
        <f t="shared" si="45"/>
        <v>0</v>
      </c>
      <c r="EB126" s="539">
        <f t="shared" si="45"/>
        <v>0</v>
      </c>
      <c r="EC126" s="539">
        <f t="shared" si="45"/>
        <v>0</v>
      </c>
      <c r="ED126" s="539">
        <f t="shared" si="45"/>
        <v>0</v>
      </c>
      <c r="EE126" s="539">
        <f t="shared" si="45"/>
        <v>0</v>
      </c>
      <c r="EF126" s="539">
        <f t="shared" si="45"/>
        <v>0</v>
      </c>
      <c r="EG126" s="539">
        <f t="shared" si="45"/>
        <v>0</v>
      </c>
    </row>
    <row r="128" spans="5:137" ht="12.75">
      <c r="E128" s="538" t="str">
        <f>E$82</f>
        <v>Lock-up - distributions blocked flag</v>
      </c>
      <c r="G128" s="539" t="str">
        <f>G$82</f>
        <v>flag</v>
      </c>
      <c r="H128" s="539">
        <f>H$82</f>
        <v>0</v>
      </c>
      <c r="J128" s="539">
        <f t="shared" si="46" ref="J128:EG128">J$82</f>
        <v>0</v>
      </c>
      <c r="K128" s="539">
        <f t="shared" si="46"/>
        <v>0</v>
      </c>
      <c r="L128" s="539">
        <f t="shared" si="46"/>
        <v>0</v>
      </c>
      <c r="M128" s="539">
        <f t="shared" si="46"/>
        <v>0</v>
      </c>
      <c r="N128" s="539">
        <f t="shared" si="46"/>
        <v>0</v>
      </c>
      <c r="O128" s="539">
        <f t="shared" si="46"/>
        <v>0</v>
      </c>
      <c r="P128" s="539">
        <f t="shared" si="46"/>
        <v>0</v>
      </c>
      <c r="Q128" s="539">
        <f t="shared" si="46"/>
        <v>0</v>
      </c>
      <c r="R128" s="539">
        <f t="shared" si="46"/>
        <v>0</v>
      </c>
      <c r="S128" s="539">
        <f t="shared" si="46"/>
        <v>0</v>
      </c>
      <c r="T128" s="539">
        <f t="shared" si="46"/>
        <v>0</v>
      </c>
      <c r="U128" s="539">
        <f t="shared" si="46"/>
        <v>0</v>
      </c>
      <c r="V128" s="539">
        <f t="shared" si="46"/>
        <v>0</v>
      </c>
      <c r="W128" s="539">
        <f t="shared" si="46"/>
        <v>0</v>
      </c>
      <c r="X128" s="539">
        <f t="shared" si="46"/>
        <v>0</v>
      </c>
      <c r="Y128" s="539">
        <f t="shared" si="46"/>
        <v>0</v>
      </c>
      <c r="Z128" s="539">
        <f t="shared" si="46"/>
        <v>0</v>
      </c>
      <c r="AA128" s="539">
        <f t="shared" si="46"/>
        <v>0</v>
      </c>
      <c r="AB128" s="539">
        <f t="shared" si="46"/>
        <v>0</v>
      </c>
      <c r="AC128" s="539">
        <f t="shared" si="46"/>
        <v>0</v>
      </c>
      <c r="AD128" s="539">
        <f t="shared" si="46"/>
        <v>0</v>
      </c>
      <c r="AE128" s="539">
        <f t="shared" si="46"/>
        <v>0</v>
      </c>
      <c r="AF128" s="539">
        <f t="shared" si="46"/>
        <v>0</v>
      </c>
      <c r="AG128" s="539">
        <f t="shared" si="46"/>
        <v>0</v>
      </c>
      <c r="AH128" s="539">
        <f t="shared" si="46"/>
        <v>0</v>
      </c>
      <c r="AI128" s="539">
        <f t="shared" si="46"/>
        <v>0</v>
      </c>
      <c r="AJ128" s="539">
        <f t="shared" si="46"/>
        <v>0</v>
      </c>
      <c r="AK128" s="539">
        <f t="shared" si="46"/>
        <v>0</v>
      </c>
      <c r="AL128" s="539">
        <f t="shared" si="46"/>
        <v>0</v>
      </c>
      <c r="AM128" s="539">
        <f t="shared" si="46"/>
        <v>0</v>
      </c>
      <c r="AN128" s="539">
        <f t="shared" si="46"/>
        <v>0</v>
      </c>
      <c r="AO128" s="539">
        <f t="shared" si="46"/>
        <v>0</v>
      </c>
      <c r="AP128" s="539">
        <f t="shared" si="46"/>
        <v>0</v>
      </c>
      <c r="AQ128" s="539">
        <f t="shared" si="46"/>
        <v>0</v>
      </c>
      <c r="AR128" s="539">
        <f t="shared" si="46"/>
        <v>0</v>
      </c>
      <c r="AS128" s="539">
        <f t="shared" si="46"/>
        <v>0</v>
      </c>
      <c r="AT128" s="539">
        <f t="shared" si="46"/>
        <v>0</v>
      </c>
      <c r="AU128" s="539">
        <f t="shared" si="46"/>
        <v>0</v>
      </c>
      <c r="AV128" s="539">
        <f t="shared" si="46"/>
        <v>0</v>
      </c>
      <c r="AW128" s="539">
        <f t="shared" si="46"/>
        <v>0</v>
      </c>
      <c r="AX128" s="539">
        <f t="shared" si="46"/>
        <v>0</v>
      </c>
      <c r="AY128" s="539">
        <f t="shared" si="46"/>
        <v>0</v>
      </c>
      <c r="AZ128" s="539">
        <f t="shared" si="46"/>
        <v>0</v>
      </c>
      <c r="BA128" s="539">
        <f t="shared" si="46"/>
        <v>0</v>
      </c>
      <c r="BB128" s="539">
        <f t="shared" si="46"/>
        <v>0</v>
      </c>
      <c r="BC128" s="539">
        <f t="shared" si="46"/>
        <v>0</v>
      </c>
      <c r="BD128" s="539">
        <f t="shared" si="46"/>
        <v>0</v>
      </c>
      <c r="BE128" s="539">
        <f t="shared" si="46"/>
        <v>0</v>
      </c>
      <c r="BF128" s="539">
        <f t="shared" si="46"/>
        <v>0</v>
      </c>
      <c r="BG128" s="539">
        <f t="shared" si="46"/>
        <v>0</v>
      </c>
      <c r="BH128" s="539">
        <f t="shared" si="46"/>
        <v>0</v>
      </c>
      <c r="BI128" s="539">
        <f t="shared" si="46"/>
        <v>0</v>
      </c>
      <c r="BJ128" s="539">
        <f t="shared" si="46"/>
        <v>0</v>
      </c>
      <c r="BK128" s="539">
        <f t="shared" si="46"/>
        <v>0</v>
      </c>
      <c r="BL128" s="539">
        <f t="shared" si="46"/>
        <v>0</v>
      </c>
      <c r="BM128" s="539">
        <f t="shared" si="46"/>
        <v>0</v>
      </c>
      <c r="BN128" s="539">
        <f t="shared" si="46"/>
        <v>0</v>
      </c>
      <c r="BO128" s="539">
        <f t="shared" si="46"/>
        <v>0</v>
      </c>
      <c r="BP128" s="539">
        <f t="shared" si="46"/>
        <v>0</v>
      </c>
      <c r="BQ128" s="539">
        <f t="shared" si="46"/>
        <v>0</v>
      </c>
      <c r="BR128" s="539">
        <f t="shared" si="46"/>
        <v>0</v>
      </c>
      <c r="BS128" s="539">
        <f t="shared" si="46"/>
        <v>0</v>
      </c>
      <c r="BT128" s="539">
        <f t="shared" si="46"/>
        <v>0</v>
      </c>
      <c r="BU128" s="539">
        <f t="shared" si="46"/>
        <v>0</v>
      </c>
      <c r="BV128" s="539">
        <f t="shared" si="46"/>
        <v>0</v>
      </c>
      <c r="BW128" s="539">
        <f t="shared" si="46"/>
        <v>0</v>
      </c>
      <c r="BX128" s="539">
        <f t="shared" si="46"/>
        <v>0</v>
      </c>
      <c r="BY128" s="539">
        <f t="shared" si="46"/>
        <v>0</v>
      </c>
      <c r="BZ128" s="539">
        <f t="shared" si="46"/>
        <v>0</v>
      </c>
      <c r="CA128" s="539">
        <f t="shared" si="46"/>
        <v>0</v>
      </c>
      <c r="CB128" s="539">
        <f t="shared" si="46"/>
        <v>0</v>
      </c>
      <c r="CC128" s="539">
        <f t="shared" si="46"/>
        <v>0</v>
      </c>
      <c r="CD128" s="539">
        <f t="shared" si="46"/>
        <v>0</v>
      </c>
      <c r="CE128" s="539">
        <f t="shared" si="46"/>
        <v>0</v>
      </c>
      <c r="CF128" s="539">
        <f t="shared" si="46"/>
        <v>0</v>
      </c>
      <c r="CG128" s="539">
        <f t="shared" si="46"/>
        <v>0</v>
      </c>
      <c r="CH128" s="539">
        <f t="shared" si="46"/>
        <v>0</v>
      </c>
      <c r="CI128" s="539">
        <f t="shared" si="46"/>
        <v>0</v>
      </c>
      <c r="CJ128" s="539">
        <f t="shared" si="46"/>
        <v>0</v>
      </c>
      <c r="CK128" s="539">
        <f t="shared" si="46"/>
        <v>0</v>
      </c>
      <c r="CL128" s="539">
        <f t="shared" si="46"/>
        <v>0</v>
      </c>
      <c r="CM128" s="539">
        <f t="shared" si="46"/>
        <v>0</v>
      </c>
      <c r="CN128" s="539">
        <f t="shared" si="46"/>
        <v>0</v>
      </c>
      <c r="CO128" s="539">
        <f t="shared" si="46"/>
        <v>0</v>
      </c>
      <c r="CP128" s="539">
        <f t="shared" si="46"/>
        <v>0</v>
      </c>
      <c r="CQ128" s="539">
        <f t="shared" si="46"/>
        <v>0</v>
      </c>
      <c r="CR128" s="539">
        <f t="shared" si="46"/>
        <v>0</v>
      </c>
      <c r="CS128" s="539">
        <f t="shared" si="46"/>
        <v>0</v>
      </c>
      <c r="CT128" s="539">
        <f t="shared" si="46"/>
        <v>0</v>
      </c>
      <c r="CU128" s="539">
        <f t="shared" si="46"/>
        <v>0</v>
      </c>
      <c r="CV128" s="539">
        <f t="shared" si="46"/>
        <v>0</v>
      </c>
      <c r="CW128" s="539">
        <f t="shared" si="46"/>
        <v>0</v>
      </c>
      <c r="CX128" s="539">
        <f t="shared" si="46"/>
        <v>0</v>
      </c>
      <c r="CY128" s="539">
        <f t="shared" si="46"/>
        <v>0</v>
      </c>
      <c r="CZ128" s="539">
        <f t="shared" si="46"/>
        <v>0</v>
      </c>
      <c r="DA128" s="539">
        <f t="shared" si="46"/>
        <v>0</v>
      </c>
      <c r="DB128" s="539">
        <f t="shared" si="46"/>
        <v>0</v>
      </c>
      <c r="DC128" s="539">
        <f t="shared" si="46"/>
        <v>0</v>
      </c>
      <c r="DD128" s="539">
        <f t="shared" si="46"/>
        <v>0</v>
      </c>
      <c r="DE128" s="539">
        <f t="shared" si="46"/>
        <v>0</v>
      </c>
      <c r="DF128" s="539">
        <f t="shared" si="46"/>
        <v>0</v>
      </c>
      <c r="DG128" s="539">
        <f t="shared" si="46"/>
        <v>0</v>
      </c>
      <c r="DH128" s="539">
        <f t="shared" si="46"/>
        <v>0</v>
      </c>
      <c r="DI128" s="539">
        <f t="shared" si="46"/>
        <v>0</v>
      </c>
      <c r="DJ128" s="539">
        <f t="shared" si="46"/>
        <v>0</v>
      </c>
      <c r="DK128" s="539">
        <f t="shared" si="46"/>
        <v>0</v>
      </c>
      <c r="DL128" s="539">
        <f t="shared" si="46"/>
        <v>0</v>
      </c>
      <c r="DM128" s="539">
        <f t="shared" si="46"/>
        <v>0</v>
      </c>
      <c r="DN128" s="539">
        <f t="shared" si="46"/>
        <v>0</v>
      </c>
      <c r="DO128" s="539">
        <f t="shared" si="46"/>
        <v>0</v>
      </c>
      <c r="DP128" s="539">
        <f t="shared" si="46"/>
        <v>0</v>
      </c>
      <c r="DQ128" s="539">
        <f t="shared" si="46"/>
        <v>0</v>
      </c>
      <c r="DR128" s="539">
        <f t="shared" si="46"/>
        <v>0</v>
      </c>
      <c r="DS128" s="539">
        <f t="shared" si="46"/>
        <v>0</v>
      </c>
      <c r="DT128" s="539">
        <f t="shared" si="46"/>
        <v>0</v>
      </c>
      <c r="DU128" s="539">
        <f t="shared" si="46"/>
        <v>0</v>
      </c>
      <c r="DV128" s="539">
        <f t="shared" si="46"/>
        <v>0</v>
      </c>
      <c r="DW128" s="539">
        <f t="shared" si="46"/>
        <v>0</v>
      </c>
      <c r="DX128" s="539">
        <f t="shared" si="46"/>
        <v>0</v>
      </c>
      <c r="DY128" s="539">
        <f t="shared" si="46"/>
        <v>0</v>
      </c>
      <c r="DZ128" s="539">
        <f t="shared" si="46"/>
        <v>0</v>
      </c>
      <c r="EA128" s="539">
        <f t="shared" si="46"/>
        <v>0</v>
      </c>
      <c r="EB128" s="539">
        <f t="shared" si="46"/>
        <v>0</v>
      </c>
      <c r="EC128" s="539">
        <f t="shared" si="46"/>
        <v>0</v>
      </c>
      <c r="ED128" s="539">
        <f t="shared" si="46"/>
        <v>0</v>
      </c>
      <c r="EE128" s="539">
        <f t="shared" si="46"/>
        <v>0</v>
      </c>
      <c r="EF128" s="539">
        <f t="shared" si="46"/>
        <v>0</v>
      </c>
      <c r="EG128" s="539">
        <f t="shared" si="46"/>
        <v>0</v>
      </c>
    </row>
    <row r="129" spans="5:137" ht="12.75">
      <c r="E129" s="538" t="str">
        <f>E$112</f>
        <v>Distributions - cash available</v>
      </c>
      <c r="G129" s="539" t="str">
        <f>G$112</f>
        <v>EUR 000s</v>
      </c>
      <c r="H129" s="539">
        <f>H$112</f>
        <v>563432.21775595983</v>
      </c>
      <c r="J129" s="539">
        <f t="shared" si="47" ref="J129:EG129">J$112</f>
        <v>0</v>
      </c>
      <c r="K129" s="539">
        <f t="shared" si="47"/>
        <v>0</v>
      </c>
      <c r="L129" s="539">
        <f t="shared" si="47"/>
        <v>0</v>
      </c>
      <c r="M129" s="539">
        <f t="shared" si="47"/>
        <v>0</v>
      </c>
      <c r="N129" s="539">
        <f t="shared" si="47"/>
        <v>0</v>
      </c>
      <c r="O129" s="539">
        <f t="shared" si="47"/>
        <v>0</v>
      </c>
      <c r="P129" s="539">
        <f t="shared" si="47"/>
        <v>1.8189894035458565E-12</v>
      </c>
      <c r="Q129" s="539">
        <f t="shared" si="47"/>
        <v>0</v>
      </c>
      <c r="R129" s="539">
        <f t="shared" si="47"/>
        <v>0</v>
      </c>
      <c r="S129" s="539">
        <f t="shared" si="47"/>
        <v>0</v>
      </c>
      <c r="T129" s="539">
        <f t="shared" si="47"/>
        <v>0</v>
      </c>
      <c r="U129" s="539">
        <f t="shared" si="47"/>
        <v>0</v>
      </c>
      <c r="V129" s="539">
        <f t="shared" si="47"/>
        <v>0</v>
      </c>
      <c r="W129" s="539">
        <f t="shared" si="47"/>
        <v>0</v>
      </c>
      <c r="X129" s="539">
        <f t="shared" si="47"/>
        <v>0</v>
      </c>
      <c r="Y129" s="539">
        <f t="shared" si="47"/>
        <v>0</v>
      </c>
      <c r="Z129" s="539">
        <f t="shared" si="47"/>
        <v>0</v>
      </c>
      <c r="AA129" s="539">
        <f t="shared" si="47"/>
        <v>0</v>
      </c>
      <c r="AB129" s="539">
        <f t="shared" si="47"/>
        <v>0</v>
      </c>
      <c r="AC129" s="539">
        <f t="shared" si="47"/>
        <v>0</v>
      </c>
      <c r="AD129" s="539">
        <f t="shared" si="47"/>
        <v>0</v>
      </c>
      <c r="AE129" s="539">
        <f t="shared" si="47"/>
        <v>0</v>
      </c>
      <c r="AF129" s="539">
        <f t="shared" si="47"/>
        <v>0</v>
      </c>
      <c r="AG129" s="539">
        <f t="shared" si="47"/>
        <v>0</v>
      </c>
      <c r="AH129" s="539">
        <f t="shared" si="47"/>
        <v>1383.9233639501999</v>
      </c>
      <c r="AI129" s="539">
        <f t="shared" si="47"/>
        <v>3289.5323362199924</v>
      </c>
      <c r="AJ129" s="539">
        <f t="shared" si="47"/>
        <v>3245.3805232500731</v>
      </c>
      <c r="AK129" s="539">
        <f t="shared" si="47"/>
        <v>3195.0408989934072</v>
      </c>
      <c r="AL129" s="539">
        <f t="shared" si="47"/>
        <v>3314.6555979376371</v>
      </c>
      <c r="AM129" s="539">
        <f t="shared" si="47"/>
        <v>3413.5103829410727</v>
      </c>
      <c r="AN129" s="539">
        <f t="shared" si="47"/>
        <v>3368.8149446907446</v>
      </c>
      <c r="AO129" s="539">
        <f t="shared" si="47"/>
        <v>3317.8291025066792</v>
      </c>
      <c r="AP129" s="539">
        <f t="shared" si="47"/>
        <v>3438.4566627931977</v>
      </c>
      <c r="AQ129" s="539">
        <f t="shared" si="47"/>
        <v>3538.7454210592982</v>
      </c>
      <c r="AR129" s="539">
        <f t="shared" si="47"/>
        <v>3482.692592271675</v>
      </c>
      <c r="AS129" s="539">
        <f t="shared" si="47"/>
        <v>3452.6458698254974</v>
      </c>
      <c r="AT129" s="539">
        <f t="shared" si="47"/>
        <v>1840.225347833371</v>
      </c>
      <c r="AU129" s="539">
        <f t="shared" si="47"/>
        <v>1907.064048963113</v>
      </c>
      <c r="AV129" s="539">
        <f t="shared" si="47"/>
        <v>1879.8635093641863</v>
      </c>
      <c r="AW129" s="539">
        <f t="shared" si="47"/>
        <v>1823.2308510204605</v>
      </c>
      <c r="AX129" s="539">
        <f t="shared" si="47"/>
        <v>3689.9207029973613</v>
      </c>
      <c r="AY129" s="539">
        <f t="shared" si="47"/>
        <v>3795.4891066389291</v>
      </c>
      <c r="AZ129" s="539">
        <f t="shared" si="47"/>
        <v>3810.2717218736234</v>
      </c>
      <c r="BA129" s="539">
        <f t="shared" si="47"/>
        <v>3761.7553340142267</v>
      </c>
      <c r="BB129" s="539">
        <f t="shared" si="47"/>
        <v>3775.7398776167847</v>
      </c>
      <c r="BC129" s="539">
        <f t="shared" si="47"/>
        <v>3870.9553004708091</v>
      </c>
      <c r="BD129" s="539">
        <f t="shared" si="47"/>
        <v>3819.5887386810437</v>
      </c>
      <c r="BE129" s="539">
        <f t="shared" si="47"/>
        <v>3757.5449019740718</v>
      </c>
      <c r="BF129" s="539">
        <f t="shared" si="47"/>
        <v>3865.5485651833455</v>
      </c>
      <c r="BG129" s="539">
        <f t="shared" si="47"/>
        <v>3963.7340210591155</v>
      </c>
      <c r="BH129" s="539">
        <f t="shared" si="47"/>
        <v>3901.9818208723086</v>
      </c>
      <c r="BI129" s="539">
        <f t="shared" si="47"/>
        <v>3863.3396261250573</v>
      </c>
      <c r="BJ129" s="539">
        <f t="shared" si="47"/>
        <v>3981.7948466400562</v>
      </c>
      <c r="BK129" s="539">
        <f t="shared" si="47"/>
        <v>4041.5037487339391</v>
      </c>
      <c r="BL129" s="539">
        <f t="shared" si="47"/>
        <v>4013.5705589641948</v>
      </c>
      <c r="BM129" s="539">
        <f t="shared" si="47"/>
        <v>3952.9034566736409</v>
      </c>
      <c r="BN129" s="539">
        <f t="shared" si="47"/>
        <v>2097.5193655527028</v>
      </c>
      <c r="BO129" s="539">
        <f t="shared" si="47"/>
        <v>2200.864273878366</v>
      </c>
      <c r="BP129" s="539">
        <f t="shared" si="47"/>
        <v>2098.1063109146212</v>
      </c>
      <c r="BQ129" s="539">
        <f t="shared" si="47"/>
        <v>2037.8164184080592</v>
      </c>
      <c r="BR129" s="539">
        <f t="shared" si="47"/>
        <v>4224.1553525130121</v>
      </c>
      <c r="BS129" s="539">
        <f t="shared" si="47"/>
        <v>4329.7689293072381</v>
      </c>
      <c r="BT129" s="539">
        <f t="shared" si="47"/>
        <v>4419.8055567868232</v>
      </c>
      <c r="BU129" s="539">
        <f t="shared" si="47"/>
        <v>4770.8603254831687</v>
      </c>
      <c r="BV129" s="539">
        <f t="shared" si="47"/>
        <v>4626.1012277867885</v>
      </c>
      <c r="BW129" s="539">
        <f t="shared" si="47"/>
        <v>3945.1397120020174</v>
      </c>
      <c r="BX129" s="539">
        <f t="shared" si="47"/>
        <v>3887.6124417460055</v>
      </c>
      <c r="BY129" s="539">
        <f t="shared" si="47"/>
        <v>3843.3319181364645</v>
      </c>
      <c r="BZ129" s="539">
        <f t="shared" si="47"/>
        <v>3978.3991178064584</v>
      </c>
      <c r="CA129" s="539">
        <f t="shared" si="47"/>
        <v>4211.4281415911701</v>
      </c>
      <c r="CB129" s="539">
        <f t="shared" si="47"/>
        <v>4139.4003880005166</v>
      </c>
      <c r="CC129" s="539">
        <f t="shared" si="47"/>
        <v>3736.011479524982</v>
      </c>
      <c r="CD129" s="539">
        <f t="shared" si="47"/>
        <v>4321.3134548763692</v>
      </c>
      <c r="CE129" s="539">
        <f t="shared" si="47"/>
        <v>4413.9780591819081</v>
      </c>
      <c r="CF129" s="539">
        <f t="shared" si="47"/>
        <v>4368.5578436146661</v>
      </c>
      <c r="CG129" s="539">
        <f t="shared" si="47"/>
        <v>4283.5118246307165</v>
      </c>
      <c r="CH129" s="539">
        <f t="shared" si="47"/>
        <v>2110.5359724491877</v>
      </c>
      <c r="CI129" s="539">
        <f t="shared" si="47"/>
        <v>2204.6023940287428</v>
      </c>
      <c r="CJ129" s="539">
        <f t="shared" si="47"/>
        <v>1870.785150550882</v>
      </c>
      <c r="CK129" s="539">
        <f t="shared" si="47"/>
        <v>1786.9171601948424</v>
      </c>
      <c r="CL129" s="539">
        <f t="shared" si="47"/>
        <v>4628.8303227158403</v>
      </c>
      <c r="CM129" s="539">
        <f t="shared" si="47"/>
        <v>4723.5203653725785</v>
      </c>
      <c r="CN129" s="539">
        <f t="shared" si="47"/>
        <v>4948.935086001231</v>
      </c>
      <c r="CO129" s="539">
        <f t="shared" si="47"/>
        <v>4889.99295027068</v>
      </c>
      <c r="CP129" s="539">
        <f t="shared" si="47"/>
        <v>4408.4942242291327</v>
      </c>
      <c r="CQ129" s="539">
        <f t="shared" si="47"/>
        <v>4454.0921236772019</v>
      </c>
      <c r="CR129" s="539">
        <f t="shared" si="47"/>
        <v>4428.3806644411152</v>
      </c>
      <c r="CS129" s="539">
        <f t="shared" si="47"/>
        <v>4344.7192119229667</v>
      </c>
      <c r="CT129" s="539">
        <f t="shared" si="47"/>
        <v>4410.7908852154824</v>
      </c>
      <c r="CU129" s="539">
        <f t="shared" si="47"/>
        <v>4507.2180043044709</v>
      </c>
      <c r="CV129" s="539">
        <f t="shared" si="47"/>
        <v>4455.6468509356973</v>
      </c>
      <c r="CW129" s="539">
        <f t="shared" si="47"/>
        <v>4372.1040514103006</v>
      </c>
      <c r="CX129" s="539">
        <f t="shared" si="47"/>
        <v>4442.1439989063965</v>
      </c>
      <c r="CY129" s="539">
        <f t="shared" si="47"/>
        <v>4538.8867633803111</v>
      </c>
      <c r="CZ129" s="539">
        <f t="shared" si="47"/>
        <v>9289.0498453167747</v>
      </c>
      <c r="DA129" s="539">
        <f t="shared" si="47"/>
        <v>9243.2109589193478</v>
      </c>
      <c r="DB129" s="539">
        <f t="shared" si="47"/>
        <v>6730.8032201585938</v>
      </c>
      <c r="DC129" s="539">
        <f t="shared" si="47"/>
        <v>6819.6943690281241</v>
      </c>
      <c r="DD129" s="539">
        <f t="shared" si="47"/>
        <v>6814.0398522326241</v>
      </c>
      <c r="DE129" s="539">
        <f t="shared" si="47"/>
        <v>6785.1271000854231</v>
      </c>
      <c r="DF129" s="539">
        <f t="shared" si="47"/>
        <v>10042.297500103878</v>
      </c>
      <c r="DG129" s="539">
        <f t="shared" si="47"/>
        <v>10083.037086594606</v>
      </c>
      <c r="DH129" s="539">
        <f t="shared" si="47"/>
        <v>10103.030440845592</v>
      </c>
      <c r="DI129" s="539">
        <f t="shared" si="47"/>
        <v>10074.710093976457</v>
      </c>
      <c r="DJ129" s="539">
        <f t="shared" si="47"/>
        <v>9531.0000277068248</v>
      </c>
      <c r="DK129" s="539">
        <f t="shared" si="47"/>
        <v>9622.5760692221538</v>
      </c>
      <c r="DL129" s="539">
        <f t="shared" si="47"/>
        <v>9618.4891847043327</v>
      </c>
      <c r="DM129" s="539">
        <f t="shared" si="47"/>
        <v>9590.6249782264968</v>
      </c>
      <c r="DN129" s="539">
        <f t="shared" si="47"/>
        <v>9679.6513243283043</v>
      </c>
      <c r="DO129" s="539">
        <f t="shared" si="47"/>
        <v>9772.3259446832872</v>
      </c>
      <c r="DP129" s="539">
        <f t="shared" si="47"/>
        <v>9768.8299907587207</v>
      </c>
      <c r="DQ129" s="539">
        <f t="shared" si="47"/>
        <v>9741.3091688148925</v>
      </c>
      <c r="DR129" s="539">
        <f t="shared" si="47"/>
        <v>9833.1752700445759</v>
      </c>
      <c r="DS129" s="539">
        <f t="shared" si="47"/>
        <v>9926.8134161951511</v>
      </c>
      <c r="DT129" s="539">
        <f t="shared" si="47"/>
        <v>9923.8082057289866</v>
      </c>
      <c r="DU129" s="539">
        <f t="shared" si="47"/>
        <v>9896.5376166003607</v>
      </c>
      <c r="DV129" s="539">
        <f t="shared" si="47"/>
        <v>10016.918852742816</v>
      </c>
      <c r="DW129" s="539">
        <f t="shared" si="47"/>
        <v>10059.983606963106</v>
      </c>
      <c r="DX129" s="539">
        <f t="shared" si="47"/>
        <v>10083.094712487115</v>
      </c>
      <c r="DY129" s="539">
        <f t="shared" si="47"/>
        <v>10055.997562626802</v>
      </c>
      <c r="DZ129" s="539">
        <f t="shared" si="47"/>
        <v>12150.719351237401</v>
      </c>
      <c r="EA129" s="539">
        <f t="shared" si="47"/>
        <v>14400.981458335427</v>
      </c>
      <c r="EB129" s="539">
        <f t="shared" si="47"/>
        <v>16648.983915654459</v>
      </c>
      <c r="EC129" s="539">
        <f t="shared" si="47"/>
        <v>19599.446855546739</v>
      </c>
      <c r="ED129" s="539">
        <f t="shared" si="47"/>
        <v>2308.4176722004668</v>
      </c>
      <c r="EE129" s="539">
        <f t="shared" si="47"/>
        <v>4.0745362639427185E-10</v>
      </c>
      <c r="EF129" s="539">
        <f t="shared" si="47"/>
        <v>4.0745362639427185E-10</v>
      </c>
      <c r="EG129" s="539">
        <f t="shared" si="47"/>
        <v>4.0745362639427185E-10</v>
      </c>
    </row>
    <row r="130" spans="5:137" ht="12.75">
      <c r="E130" s="538" t="str">
        <f>E$126</f>
        <v>Trapped cash - opening balance</v>
      </c>
      <c r="G130" s="539" t="str">
        <f>G$126</f>
        <v>EUR 000s</v>
      </c>
      <c r="H130" s="539">
        <f>H$126</f>
        <v>0</v>
      </c>
      <c r="J130" s="539">
        <f t="shared" si="48" ref="J130:EG130">J$126</f>
        <v>0</v>
      </c>
      <c r="K130" s="539">
        <f t="shared" si="48"/>
        <v>0</v>
      </c>
      <c r="L130" s="539">
        <f t="shared" si="48"/>
        <v>0</v>
      </c>
      <c r="M130" s="539">
        <f t="shared" si="48"/>
        <v>0</v>
      </c>
      <c r="N130" s="539">
        <f t="shared" si="48"/>
        <v>0</v>
      </c>
      <c r="O130" s="539">
        <f t="shared" si="48"/>
        <v>0</v>
      </c>
      <c r="P130" s="539">
        <f t="shared" si="48"/>
        <v>0</v>
      </c>
      <c r="Q130" s="539">
        <f t="shared" si="48"/>
        <v>0</v>
      </c>
      <c r="R130" s="539">
        <f t="shared" si="48"/>
        <v>0</v>
      </c>
      <c r="S130" s="539">
        <f t="shared" si="48"/>
        <v>0</v>
      </c>
      <c r="T130" s="539">
        <f t="shared" si="48"/>
        <v>0</v>
      </c>
      <c r="U130" s="539">
        <f t="shared" si="48"/>
        <v>0</v>
      </c>
      <c r="V130" s="539">
        <f t="shared" si="48"/>
        <v>0</v>
      </c>
      <c r="W130" s="539">
        <f t="shared" si="48"/>
        <v>0</v>
      </c>
      <c r="X130" s="539">
        <f t="shared" si="48"/>
        <v>0</v>
      </c>
      <c r="Y130" s="539">
        <f t="shared" si="48"/>
        <v>0</v>
      </c>
      <c r="Z130" s="539">
        <f t="shared" si="48"/>
        <v>0</v>
      </c>
      <c r="AA130" s="539">
        <f t="shared" si="48"/>
        <v>0</v>
      </c>
      <c r="AB130" s="539">
        <f t="shared" si="48"/>
        <v>0</v>
      </c>
      <c r="AC130" s="539">
        <f t="shared" si="48"/>
        <v>0</v>
      </c>
      <c r="AD130" s="539">
        <f t="shared" si="48"/>
        <v>0</v>
      </c>
      <c r="AE130" s="539">
        <f t="shared" si="48"/>
        <v>0</v>
      </c>
      <c r="AF130" s="539">
        <f t="shared" si="48"/>
        <v>0</v>
      </c>
      <c r="AG130" s="539">
        <f t="shared" si="48"/>
        <v>0</v>
      </c>
      <c r="AH130" s="539">
        <f t="shared" si="48"/>
        <v>0</v>
      </c>
      <c r="AI130" s="539">
        <f t="shared" si="48"/>
        <v>0</v>
      </c>
      <c r="AJ130" s="539">
        <f t="shared" si="48"/>
        <v>0</v>
      </c>
      <c r="AK130" s="539">
        <f t="shared" si="48"/>
        <v>0</v>
      </c>
      <c r="AL130" s="539">
        <f t="shared" si="48"/>
        <v>0</v>
      </c>
      <c r="AM130" s="539">
        <f t="shared" si="48"/>
        <v>0</v>
      </c>
      <c r="AN130" s="539">
        <f t="shared" si="48"/>
        <v>0</v>
      </c>
      <c r="AO130" s="539">
        <f t="shared" si="48"/>
        <v>0</v>
      </c>
      <c r="AP130" s="539">
        <f t="shared" si="48"/>
        <v>0</v>
      </c>
      <c r="AQ130" s="539">
        <f t="shared" si="48"/>
        <v>0</v>
      </c>
      <c r="AR130" s="539">
        <f t="shared" si="48"/>
        <v>0</v>
      </c>
      <c r="AS130" s="539">
        <f t="shared" si="48"/>
        <v>0</v>
      </c>
      <c r="AT130" s="539">
        <f t="shared" si="48"/>
        <v>0</v>
      </c>
      <c r="AU130" s="539">
        <f t="shared" si="48"/>
        <v>0</v>
      </c>
      <c r="AV130" s="539">
        <f t="shared" si="48"/>
        <v>0</v>
      </c>
      <c r="AW130" s="539">
        <f t="shared" si="48"/>
        <v>0</v>
      </c>
      <c r="AX130" s="539">
        <f t="shared" si="48"/>
        <v>0</v>
      </c>
      <c r="AY130" s="539">
        <f t="shared" si="48"/>
        <v>0</v>
      </c>
      <c r="AZ130" s="539">
        <f t="shared" si="48"/>
        <v>0</v>
      </c>
      <c r="BA130" s="539">
        <f t="shared" si="48"/>
        <v>0</v>
      </c>
      <c r="BB130" s="539">
        <f t="shared" si="48"/>
        <v>0</v>
      </c>
      <c r="BC130" s="539">
        <f t="shared" si="48"/>
        <v>0</v>
      </c>
      <c r="BD130" s="539">
        <f t="shared" si="48"/>
        <v>0</v>
      </c>
      <c r="BE130" s="539">
        <f t="shared" si="48"/>
        <v>0</v>
      </c>
      <c r="BF130" s="539">
        <f t="shared" si="48"/>
        <v>0</v>
      </c>
      <c r="BG130" s="539">
        <f t="shared" si="48"/>
        <v>0</v>
      </c>
      <c r="BH130" s="539">
        <f t="shared" si="48"/>
        <v>0</v>
      </c>
      <c r="BI130" s="539">
        <f t="shared" si="48"/>
        <v>0</v>
      </c>
      <c r="BJ130" s="539">
        <f t="shared" si="48"/>
        <v>0</v>
      </c>
      <c r="BK130" s="539">
        <f t="shared" si="48"/>
        <v>0</v>
      </c>
      <c r="BL130" s="539">
        <f t="shared" si="48"/>
        <v>0</v>
      </c>
      <c r="BM130" s="539">
        <f t="shared" si="48"/>
        <v>0</v>
      </c>
      <c r="BN130" s="539">
        <f t="shared" si="48"/>
        <v>0</v>
      </c>
      <c r="BO130" s="539">
        <f t="shared" si="48"/>
        <v>0</v>
      </c>
      <c r="BP130" s="539">
        <f t="shared" si="48"/>
        <v>0</v>
      </c>
      <c r="BQ130" s="539">
        <f t="shared" si="48"/>
        <v>0</v>
      </c>
      <c r="BR130" s="539">
        <f t="shared" si="48"/>
        <v>0</v>
      </c>
      <c r="BS130" s="539">
        <f t="shared" si="48"/>
        <v>0</v>
      </c>
      <c r="BT130" s="539">
        <f t="shared" si="48"/>
        <v>0</v>
      </c>
      <c r="BU130" s="539">
        <f t="shared" si="48"/>
        <v>0</v>
      </c>
      <c r="BV130" s="539">
        <f t="shared" si="48"/>
        <v>0</v>
      </c>
      <c r="BW130" s="539">
        <f t="shared" si="48"/>
        <v>0</v>
      </c>
      <c r="BX130" s="539">
        <f t="shared" si="48"/>
        <v>0</v>
      </c>
      <c r="BY130" s="539">
        <f t="shared" si="48"/>
        <v>0</v>
      </c>
      <c r="BZ130" s="539">
        <f t="shared" si="48"/>
        <v>0</v>
      </c>
      <c r="CA130" s="539">
        <f t="shared" si="48"/>
        <v>0</v>
      </c>
      <c r="CB130" s="539">
        <f t="shared" si="48"/>
        <v>0</v>
      </c>
      <c r="CC130" s="539">
        <f t="shared" si="48"/>
        <v>0</v>
      </c>
      <c r="CD130" s="539">
        <f t="shared" si="48"/>
        <v>0</v>
      </c>
      <c r="CE130" s="539">
        <f t="shared" si="48"/>
        <v>0</v>
      </c>
      <c r="CF130" s="539">
        <f t="shared" si="48"/>
        <v>0</v>
      </c>
      <c r="CG130" s="539">
        <f t="shared" si="48"/>
        <v>0</v>
      </c>
      <c r="CH130" s="539">
        <f t="shared" si="48"/>
        <v>0</v>
      </c>
      <c r="CI130" s="539">
        <f t="shared" si="48"/>
        <v>0</v>
      </c>
      <c r="CJ130" s="539">
        <f t="shared" si="48"/>
        <v>0</v>
      </c>
      <c r="CK130" s="539">
        <f t="shared" si="48"/>
        <v>0</v>
      </c>
      <c r="CL130" s="539">
        <f t="shared" si="48"/>
        <v>0</v>
      </c>
      <c r="CM130" s="539">
        <f t="shared" si="48"/>
        <v>0</v>
      </c>
      <c r="CN130" s="539">
        <f t="shared" si="48"/>
        <v>0</v>
      </c>
      <c r="CO130" s="539">
        <f t="shared" si="48"/>
        <v>0</v>
      </c>
      <c r="CP130" s="539">
        <f t="shared" si="48"/>
        <v>0</v>
      </c>
      <c r="CQ130" s="539">
        <f t="shared" si="48"/>
        <v>0</v>
      </c>
      <c r="CR130" s="539">
        <f t="shared" si="48"/>
        <v>0</v>
      </c>
      <c r="CS130" s="539">
        <f t="shared" si="48"/>
        <v>0</v>
      </c>
      <c r="CT130" s="539">
        <f t="shared" si="48"/>
        <v>0</v>
      </c>
      <c r="CU130" s="539">
        <f t="shared" si="48"/>
        <v>0</v>
      </c>
      <c r="CV130" s="539">
        <f t="shared" si="48"/>
        <v>0</v>
      </c>
      <c r="CW130" s="539">
        <f t="shared" si="48"/>
        <v>0</v>
      </c>
      <c r="CX130" s="539">
        <f t="shared" si="48"/>
        <v>0</v>
      </c>
      <c r="CY130" s="539">
        <f t="shared" si="48"/>
        <v>0</v>
      </c>
      <c r="CZ130" s="539">
        <f t="shared" si="48"/>
        <v>0</v>
      </c>
      <c r="DA130" s="539">
        <f t="shared" si="48"/>
        <v>0</v>
      </c>
      <c r="DB130" s="539">
        <f t="shared" si="48"/>
        <v>0</v>
      </c>
      <c r="DC130" s="539">
        <f t="shared" si="48"/>
        <v>0</v>
      </c>
      <c r="DD130" s="539">
        <f t="shared" si="48"/>
        <v>0</v>
      </c>
      <c r="DE130" s="539">
        <f t="shared" si="48"/>
        <v>0</v>
      </c>
      <c r="DF130" s="539">
        <f t="shared" si="48"/>
        <v>0</v>
      </c>
      <c r="DG130" s="539">
        <f t="shared" si="48"/>
        <v>0</v>
      </c>
      <c r="DH130" s="539">
        <f t="shared" si="48"/>
        <v>0</v>
      </c>
      <c r="DI130" s="539">
        <f t="shared" si="48"/>
        <v>0</v>
      </c>
      <c r="DJ130" s="539">
        <f t="shared" si="48"/>
        <v>0</v>
      </c>
      <c r="DK130" s="539">
        <f t="shared" si="48"/>
        <v>0</v>
      </c>
      <c r="DL130" s="539">
        <f t="shared" si="48"/>
        <v>0</v>
      </c>
      <c r="DM130" s="539">
        <f t="shared" si="48"/>
        <v>0</v>
      </c>
      <c r="DN130" s="539">
        <f t="shared" si="48"/>
        <v>0</v>
      </c>
      <c r="DO130" s="539">
        <f t="shared" si="48"/>
        <v>0</v>
      </c>
      <c r="DP130" s="539">
        <f t="shared" si="48"/>
        <v>0</v>
      </c>
      <c r="DQ130" s="539">
        <f t="shared" si="48"/>
        <v>0</v>
      </c>
      <c r="DR130" s="539">
        <f t="shared" si="48"/>
        <v>0</v>
      </c>
      <c r="DS130" s="539">
        <f t="shared" si="48"/>
        <v>0</v>
      </c>
      <c r="DT130" s="539">
        <f t="shared" si="48"/>
        <v>0</v>
      </c>
      <c r="DU130" s="539">
        <f t="shared" si="48"/>
        <v>0</v>
      </c>
      <c r="DV130" s="539">
        <f t="shared" si="48"/>
        <v>0</v>
      </c>
      <c r="DW130" s="539">
        <f t="shared" si="48"/>
        <v>0</v>
      </c>
      <c r="DX130" s="539">
        <f t="shared" si="48"/>
        <v>0</v>
      </c>
      <c r="DY130" s="539">
        <f t="shared" si="48"/>
        <v>0</v>
      </c>
      <c r="DZ130" s="539">
        <f t="shared" si="48"/>
        <v>0</v>
      </c>
      <c r="EA130" s="539">
        <f t="shared" si="48"/>
        <v>0</v>
      </c>
      <c r="EB130" s="539">
        <f t="shared" si="48"/>
        <v>0</v>
      </c>
      <c r="EC130" s="539">
        <f t="shared" si="48"/>
        <v>0</v>
      </c>
      <c r="ED130" s="539">
        <f t="shared" si="48"/>
        <v>0</v>
      </c>
      <c r="EE130" s="539">
        <f t="shared" si="48"/>
        <v>0</v>
      </c>
      <c r="EF130" s="539">
        <f t="shared" si="48"/>
        <v>0</v>
      </c>
      <c r="EG130" s="539">
        <f t="shared" si="48"/>
        <v>0</v>
      </c>
    </row>
    <row r="131" spans="5:137" ht="12.75">
      <c r="E131" s="538" t="s">
        <v>421</v>
      </c>
      <c r="G131" s="539" t="s">
        <v>30</v>
      </c>
      <c r="H131" s="539">
        <f>SUM(J131:EG131)</f>
        <v>0</v>
      </c>
      <c r="J131" s="539">
        <f t="shared" si="49" ref="J131:EG131">J128*(J129-J130)</f>
        <v>0</v>
      </c>
      <c r="K131" s="539">
        <f t="shared" si="49"/>
        <v>0</v>
      </c>
      <c r="L131" s="539">
        <f t="shared" si="49"/>
        <v>0</v>
      </c>
      <c r="M131" s="539">
        <f t="shared" si="49"/>
        <v>0</v>
      </c>
      <c r="N131" s="539">
        <f t="shared" si="49"/>
        <v>0</v>
      </c>
      <c r="O131" s="539">
        <f t="shared" si="49"/>
        <v>0</v>
      </c>
      <c r="P131" s="539">
        <f t="shared" si="49"/>
        <v>0</v>
      </c>
      <c r="Q131" s="539">
        <f t="shared" si="49"/>
        <v>0</v>
      </c>
      <c r="R131" s="539">
        <f t="shared" si="49"/>
        <v>0</v>
      </c>
      <c r="S131" s="539">
        <f t="shared" si="49"/>
        <v>0</v>
      </c>
      <c r="T131" s="539">
        <f t="shared" si="49"/>
        <v>0</v>
      </c>
      <c r="U131" s="539">
        <f t="shared" si="49"/>
        <v>0</v>
      </c>
      <c r="V131" s="539">
        <f t="shared" si="49"/>
        <v>0</v>
      </c>
      <c r="W131" s="539">
        <f t="shared" si="49"/>
        <v>0</v>
      </c>
      <c r="X131" s="539">
        <f t="shared" si="49"/>
        <v>0</v>
      </c>
      <c r="Y131" s="539">
        <f t="shared" si="49"/>
        <v>0</v>
      </c>
      <c r="Z131" s="539">
        <f t="shared" si="49"/>
        <v>0</v>
      </c>
      <c r="AA131" s="539">
        <f t="shared" si="49"/>
        <v>0</v>
      </c>
      <c r="AB131" s="539">
        <f t="shared" si="49"/>
        <v>0</v>
      </c>
      <c r="AC131" s="539">
        <f t="shared" si="49"/>
        <v>0</v>
      </c>
      <c r="AD131" s="539">
        <f t="shared" si="49"/>
        <v>0</v>
      </c>
      <c r="AE131" s="539">
        <f t="shared" si="49"/>
        <v>0</v>
      </c>
      <c r="AF131" s="539">
        <f t="shared" si="49"/>
        <v>0</v>
      </c>
      <c r="AG131" s="539">
        <f t="shared" si="49"/>
        <v>0</v>
      </c>
      <c r="AH131" s="539">
        <f t="shared" si="49"/>
        <v>0</v>
      </c>
      <c r="AI131" s="539">
        <f t="shared" si="49"/>
        <v>0</v>
      </c>
      <c r="AJ131" s="539">
        <f t="shared" si="49"/>
        <v>0</v>
      </c>
      <c r="AK131" s="539">
        <f t="shared" si="49"/>
        <v>0</v>
      </c>
      <c r="AL131" s="539">
        <f t="shared" si="49"/>
        <v>0</v>
      </c>
      <c r="AM131" s="539">
        <f t="shared" si="49"/>
        <v>0</v>
      </c>
      <c r="AN131" s="539">
        <f t="shared" si="49"/>
        <v>0</v>
      </c>
      <c r="AO131" s="539">
        <f t="shared" si="49"/>
        <v>0</v>
      </c>
      <c r="AP131" s="539">
        <f t="shared" si="49"/>
        <v>0</v>
      </c>
      <c r="AQ131" s="539">
        <f t="shared" si="49"/>
        <v>0</v>
      </c>
      <c r="AR131" s="539">
        <f t="shared" si="49"/>
        <v>0</v>
      </c>
      <c r="AS131" s="539">
        <f t="shared" si="49"/>
        <v>0</v>
      </c>
      <c r="AT131" s="539">
        <f t="shared" si="49"/>
        <v>0</v>
      </c>
      <c r="AU131" s="539">
        <f t="shared" si="49"/>
        <v>0</v>
      </c>
      <c r="AV131" s="539">
        <f t="shared" si="49"/>
        <v>0</v>
      </c>
      <c r="AW131" s="539">
        <f t="shared" si="49"/>
        <v>0</v>
      </c>
      <c r="AX131" s="539">
        <f t="shared" si="49"/>
        <v>0</v>
      </c>
      <c r="AY131" s="539">
        <f t="shared" si="49"/>
        <v>0</v>
      </c>
      <c r="AZ131" s="539">
        <f t="shared" si="49"/>
        <v>0</v>
      </c>
      <c r="BA131" s="539">
        <f t="shared" si="49"/>
        <v>0</v>
      </c>
      <c r="BB131" s="539">
        <f t="shared" si="49"/>
        <v>0</v>
      </c>
      <c r="BC131" s="539">
        <f t="shared" si="49"/>
        <v>0</v>
      </c>
      <c r="BD131" s="539">
        <f t="shared" si="49"/>
        <v>0</v>
      </c>
      <c r="BE131" s="539">
        <f t="shared" si="49"/>
        <v>0</v>
      </c>
      <c r="BF131" s="539">
        <f t="shared" si="49"/>
        <v>0</v>
      </c>
      <c r="BG131" s="539">
        <f t="shared" si="49"/>
        <v>0</v>
      </c>
      <c r="BH131" s="539">
        <f t="shared" si="49"/>
        <v>0</v>
      </c>
      <c r="BI131" s="539">
        <f t="shared" si="49"/>
        <v>0</v>
      </c>
      <c r="BJ131" s="539">
        <f t="shared" si="49"/>
        <v>0</v>
      </c>
      <c r="BK131" s="539">
        <f t="shared" si="49"/>
        <v>0</v>
      </c>
      <c r="BL131" s="539">
        <f t="shared" si="49"/>
        <v>0</v>
      </c>
      <c r="BM131" s="539">
        <f t="shared" si="49"/>
        <v>0</v>
      </c>
      <c r="BN131" s="539">
        <f t="shared" si="49"/>
        <v>0</v>
      </c>
      <c r="BO131" s="539">
        <f t="shared" si="49"/>
        <v>0</v>
      </c>
      <c r="BP131" s="539">
        <f t="shared" si="49"/>
        <v>0</v>
      </c>
      <c r="BQ131" s="539">
        <f t="shared" si="49"/>
        <v>0</v>
      </c>
      <c r="BR131" s="539">
        <f t="shared" si="49"/>
        <v>0</v>
      </c>
      <c r="BS131" s="539">
        <f t="shared" si="49"/>
        <v>0</v>
      </c>
      <c r="BT131" s="539">
        <f t="shared" si="49"/>
        <v>0</v>
      </c>
      <c r="BU131" s="539">
        <f t="shared" si="49"/>
        <v>0</v>
      </c>
      <c r="BV131" s="539">
        <f t="shared" si="49"/>
        <v>0</v>
      </c>
      <c r="BW131" s="539">
        <f t="shared" si="49"/>
        <v>0</v>
      </c>
      <c r="BX131" s="539">
        <f t="shared" si="49"/>
        <v>0</v>
      </c>
      <c r="BY131" s="539">
        <f t="shared" si="49"/>
        <v>0</v>
      </c>
      <c r="BZ131" s="539">
        <f t="shared" si="49"/>
        <v>0</v>
      </c>
      <c r="CA131" s="539">
        <f t="shared" si="49"/>
        <v>0</v>
      </c>
      <c r="CB131" s="539">
        <f t="shared" si="49"/>
        <v>0</v>
      </c>
      <c r="CC131" s="539">
        <f t="shared" si="49"/>
        <v>0</v>
      </c>
      <c r="CD131" s="539">
        <f t="shared" si="49"/>
        <v>0</v>
      </c>
      <c r="CE131" s="539">
        <f t="shared" si="49"/>
        <v>0</v>
      </c>
      <c r="CF131" s="539">
        <f t="shared" si="49"/>
        <v>0</v>
      </c>
      <c r="CG131" s="539">
        <f t="shared" si="49"/>
        <v>0</v>
      </c>
      <c r="CH131" s="539">
        <f t="shared" si="49"/>
        <v>0</v>
      </c>
      <c r="CI131" s="539">
        <f t="shared" si="49"/>
        <v>0</v>
      </c>
      <c r="CJ131" s="539">
        <f t="shared" si="49"/>
        <v>0</v>
      </c>
      <c r="CK131" s="539">
        <f t="shared" si="49"/>
        <v>0</v>
      </c>
      <c r="CL131" s="539">
        <f t="shared" si="49"/>
        <v>0</v>
      </c>
      <c r="CM131" s="539">
        <f t="shared" si="49"/>
        <v>0</v>
      </c>
      <c r="CN131" s="539">
        <f t="shared" si="49"/>
        <v>0</v>
      </c>
      <c r="CO131" s="539">
        <f t="shared" si="49"/>
        <v>0</v>
      </c>
      <c r="CP131" s="539">
        <f t="shared" si="49"/>
        <v>0</v>
      </c>
      <c r="CQ131" s="539">
        <f t="shared" si="49"/>
        <v>0</v>
      </c>
      <c r="CR131" s="539">
        <f t="shared" si="49"/>
        <v>0</v>
      </c>
      <c r="CS131" s="539">
        <f t="shared" si="49"/>
        <v>0</v>
      </c>
      <c r="CT131" s="539">
        <f t="shared" si="49"/>
        <v>0</v>
      </c>
      <c r="CU131" s="539">
        <f t="shared" si="49"/>
        <v>0</v>
      </c>
      <c r="CV131" s="539">
        <f t="shared" si="49"/>
        <v>0</v>
      </c>
      <c r="CW131" s="539">
        <f t="shared" si="49"/>
        <v>0</v>
      </c>
      <c r="CX131" s="539">
        <f t="shared" si="49"/>
        <v>0</v>
      </c>
      <c r="CY131" s="539">
        <f t="shared" si="49"/>
        <v>0</v>
      </c>
      <c r="CZ131" s="539">
        <f t="shared" si="49"/>
        <v>0</v>
      </c>
      <c r="DA131" s="539">
        <f t="shared" si="49"/>
        <v>0</v>
      </c>
      <c r="DB131" s="539">
        <f t="shared" si="49"/>
        <v>0</v>
      </c>
      <c r="DC131" s="539">
        <f t="shared" si="49"/>
        <v>0</v>
      </c>
      <c r="DD131" s="539">
        <f t="shared" si="49"/>
        <v>0</v>
      </c>
      <c r="DE131" s="539">
        <f t="shared" si="49"/>
        <v>0</v>
      </c>
      <c r="DF131" s="539">
        <f t="shared" si="49"/>
        <v>0</v>
      </c>
      <c r="DG131" s="539">
        <f t="shared" si="49"/>
        <v>0</v>
      </c>
      <c r="DH131" s="539">
        <f t="shared" si="49"/>
        <v>0</v>
      </c>
      <c r="DI131" s="539">
        <f t="shared" si="49"/>
        <v>0</v>
      </c>
      <c r="DJ131" s="539">
        <f t="shared" si="49"/>
        <v>0</v>
      </c>
      <c r="DK131" s="539">
        <f t="shared" si="49"/>
        <v>0</v>
      </c>
      <c r="DL131" s="539">
        <f t="shared" si="49"/>
        <v>0</v>
      </c>
      <c r="DM131" s="539">
        <f t="shared" si="49"/>
        <v>0</v>
      </c>
      <c r="DN131" s="539">
        <f t="shared" si="49"/>
        <v>0</v>
      </c>
      <c r="DO131" s="539">
        <f t="shared" si="49"/>
        <v>0</v>
      </c>
      <c r="DP131" s="539">
        <f t="shared" si="49"/>
        <v>0</v>
      </c>
      <c r="DQ131" s="539">
        <f t="shared" si="49"/>
        <v>0</v>
      </c>
      <c r="DR131" s="539">
        <f t="shared" si="49"/>
        <v>0</v>
      </c>
      <c r="DS131" s="539">
        <f t="shared" si="49"/>
        <v>0</v>
      </c>
      <c r="DT131" s="539">
        <f t="shared" si="49"/>
        <v>0</v>
      </c>
      <c r="DU131" s="539">
        <f t="shared" si="49"/>
        <v>0</v>
      </c>
      <c r="DV131" s="539">
        <f t="shared" si="49"/>
        <v>0</v>
      </c>
      <c r="DW131" s="539">
        <f t="shared" si="49"/>
        <v>0</v>
      </c>
      <c r="DX131" s="539">
        <f t="shared" si="49"/>
        <v>0</v>
      </c>
      <c r="DY131" s="539">
        <f t="shared" si="49"/>
        <v>0</v>
      </c>
      <c r="DZ131" s="539">
        <f t="shared" si="49"/>
        <v>0</v>
      </c>
      <c r="EA131" s="539">
        <f t="shared" si="49"/>
        <v>0</v>
      </c>
      <c r="EB131" s="539">
        <f t="shared" si="49"/>
        <v>0</v>
      </c>
      <c r="EC131" s="539">
        <f t="shared" si="49"/>
        <v>0</v>
      </c>
      <c r="ED131" s="539">
        <f t="shared" si="49"/>
        <v>0</v>
      </c>
      <c r="EE131" s="539">
        <f t="shared" si="49"/>
        <v>0</v>
      </c>
      <c r="EF131" s="539">
        <f t="shared" si="49"/>
        <v>0</v>
      </c>
      <c r="EG131" s="539">
        <f t="shared" si="49"/>
        <v>0</v>
      </c>
    </row>
    <row r="133" spans="5:137" ht="12.75">
      <c r="E133" s="538" t="str">
        <f>E$82</f>
        <v>Lock-up - distributions blocked flag</v>
      </c>
      <c r="G133" s="539" t="str">
        <f>G$82</f>
        <v>flag</v>
      </c>
      <c r="H133" s="539">
        <f>H$82</f>
        <v>0</v>
      </c>
      <c r="J133" s="539">
        <f t="shared" si="50" ref="J133:EG133">J$82</f>
        <v>0</v>
      </c>
      <c r="K133" s="539">
        <f t="shared" si="50"/>
        <v>0</v>
      </c>
      <c r="L133" s="539">
        <f t="shared" si="50"/>
        <v>0</v>
      </c>
      <c r="M133" s="539">
        <f t="shared" si="50"/>
        <v>0</v>
      </c>
      <c r="N133" s="539">
        <f t="shared" si="50"/>
        <v>0</v>
      </c>
      <c r="O133" s="539">
        <f t="shared" si="50"/>
        <v>0</v>
      </c>
      <c r="P133" s="539">
        <f t="shared" si="50"/>
        <v>0</v>
      </c>
      <c r="Q133" s="539">
        <f t="shared" si="50"/>
        <v>0</v>
      </c>
      <c r="R133" s="539">
        <f t="shared" si="50"/>
        <v>0</v>
      </c>
      <c r="S133" s="539">
        <f t="shared" si="50"/>
        <v>0</v>
      </c>
      <c r="T133" s="539">
        <f t="shared" si="50"/>
        <v>0</v>
      </c>
      <c r="U133" s="539">
        <f t="shared" si="50"/>
        <v>0</v>
      </c>
      <c r="V133" s="539">
        <f t="shared" si="50"/>
        <v>0</v>
      </c>
      <c r="W133" s="539">
        <f t="shared" si="50"/>
        <v>0</v>
      </c>
      <c r="X133" s="539">
        <f t="shared" si="50"/>
        <v>0</v>
      </c>
      <c r="Y133" s="539">
        <f t="shared" si="50"/>
        <v>0</v>
      </c>
      <c r="Z133" s="539">
        <f t="shared" si="50"/>
        <v>0</v>
      </c>
      <c r="AA133" s="539">
        <f t="shared" si="50"/>
        <v>0</v>
      </c>
      <c r="AB133" s="539">
        <f t="shared" si="50"/>
        <v>0</v>
      </c>
      <c r="AC133" s="539">
        <f t="shared" si="50"/>
        <v>0</v>
      </c>
      <c r="AD133" s="539">
        <f t="shared" si="50"/>
        <v>0</v>
      </c>
      <c r="AE133" s="539">
        <f t="shared" si="50"/>
        <v>0</v>
      </c>
      <c r="AF133" s="539">
        <f t="shared" si="50"/>
        <v>0</v>
      </c>
      <c r="AG133" s="539">
        <f t="shared" si="50"/>
        <v>0</v>
      </c>
      <c r="AH133" s="539">
        <f t="shared" si="50"/>
        <v>0</v>
      </c>
      <c r="AI133" s="539">
        <f t="shared" si="50"/>
        <v>0</v>
      </c>
      <c r="AJ133" s="539">
        <f t="shared" si="50"/>
        <v>0</v>
      </c>
      <c r="AK133" s="539">
        <f t="shared" si="50"/>
        <v>0</v>
      </c>
      <c r="AL133" s="539">
        <f t="shared" si="50"/>
        <v>0</v>
      </c>
      <c r="AM133" s="539">
        <f t="shared" si="50"/>
        <v>0</v>
      </c>
      <c r="AN133" s="539">
        <f t="shared" si="50"/>
        <v>0</v>
      </c>
      <c r="AO133" s="539">
        <f t="shared" si="50"/>
        <v>0</v>
      </c>
      <c r="AP133" s="539">
        <f t="shared" si="50"/>
        <v>0</v>
      </c>
      <c r="AQ133" s="539">
        <f t="shared" si="50"/>
        <v>0</v>
      </c>
      <c r="AR133" s="539">
        <f t="shared" si="50"/>
        <v>0</v>
      </c>
      <c r="AS133" s="539">
        <f t="shared" si="50"/>
        <v>0</v>
      </c>
      <c r="AT133" s="539">
        <f t="shared" si="50"/>
        <v>0</v>
      </c>
      <c r="AU133" s="539">
        <f t="shared" si="50"/>
        <v>0</v>
      </c>
      <c r="AV133" s="539">
        <f t="shared" si="50"/>
        <v>0</v>
      </c>
      <c r="AW133" s="539">
        <f t="shared" si="50"/>
        <v>0</v>
      </c>
      <c r="AX133" s="539">
        <f t="shared" si="50"/>
        <v>0</v>
      </c>
      <c r="AY133" s="539">
        <f t="shared" si="50"/>
        <v>0</v>
      </c>
      <c r="AZ133" s="539">
        <f t="shared" si="50"/>
        <v>0</v>
      </c>
      <c r="BA133" s="539">
        <f t="shared" si="50"/>
        <v>0</v>
      </c>
      <c r="BB133" s="539">
        <f t="shared" si="50"/>
        <v>0</v>
      </c>
      <c r="BC133" s="539">
        <f t="shared" si="50"/>
        <v>0</v>
      </c>
      <c r="BD133" s="539">
        <f t="shared" si="50"/>
        <v>0</v>
      </c>
      <c r="BE133" s="539">
        <f t="shared" si="50"/>
        <v>0</v>
      </c>
      <c r="BF133" s="539">
        <f t="shared" si="50"/>
        <v>0</v>
      </c>
      <c r="BG133" s="539">
        <f t="shared" si="50"/>
        <v>0</v>
      </c>
      <c r="BH133" s="539">
        <f t="shared" si="50"/>
        <v>0</v>
      </c>
      <c r="BI133" s="539">
        <f t="shared" si="50"/>
        <v>0</v>
      </c>
      <c r="BJ133" s="539">
        <f t="shared" si="50"/>
        <v>0</v>
      </c>
      <c r="BK133" s="539">
        <f t="shared" si="50"/>
        <v>0</v>
      </c>
      <c r="BL133" s="539">
        <f t="shared" si="50"/>
        <v>0</v>
      </c>
      <c r="BM133" s="539">
        <f t="shared" si="50"/>
        <v>0</v>
      </c>
      <c r="BN133" s="539">
        <f t="shared" si="50"/>
        <v>0</v>
      </c>
      <c r="BO133" s="539">
        <f t="shared" si="50"/>
        <v>0</v>
      </c>
      <c r="BP133" s="539">
        <f t="shared" si="50"/>
        <v>0</v>
      </c>
      <c r="BQ133" s="539">
        <f t="shared" si="50"/>
        <v>0</v>
      </c>
      <c r="BR133" s="539">
        <f t="shared" si="50"/>
        <v>0</v>
      </c>
      <c r="BS133" s="539">
        <f t="shared" si="50"/>
        <v>0</v>
      </c>
      <c r="BT133" s="539">
        <f t="shared" si="50"/>
        <v>0</v>
      </c>
      <c r="BU133" s="539">
        <f t="shared" si="50"/>
        <v>0</v>
      </c>
      <c r="BV133" s="539">
        <f t="shared" si="50"/>
        <v>0</v>
      </c>
      <c r="BW133" s="539">
        <f t="shared" si="50"/>
        <v>0</v>
      </c>
      <c r="BX133" s="539">
        <f t="shared" si="50"/>
        <v>0</v>
      </c>
      <c r="BY133" s="539">
        <f t="shared" si="50"/>
        <v>0</v>
      </c>
      <c r="BZ133" s="539">
        <f t="shared" si="50"/>
        <v>0</v>
      </c>
      <c r="CA133" s="539">
        <f t="shared" si="50"/>
        <v>0</v>
      </c>
      <c r="CB133" s="539">
        <f t="shared" si="50"/>
        <v>0</v>
      </c>
      <c r="CC133" s="539">
        <f t="shared" si="50"/>
        <v>0</v>
      </c>
      <c r="CD133" s="539">
        <f t="shared" si="50"/>
        <v>0</v>
      </c>
      <c r="CE133" s="539">
        <f t="shared" si="50"/>
        <v>0</v>
      </c>
      <c r="CF133" s="539">
        <f t="shared" si="50"/>
        <v>0</v>
      </c>
      <c r="CG133" s="539">
        <f t="shared" si="50"/>
        <v>0</v>
      </c>
      <c r="CH133" s="539">
        <f t="shared" si="50"/>
        <v>0</v>
      </c>
      <c r="CI133" s="539">
        <f t="shared" si="50"/>
        <v>0</v>
      </c>
      <c r="CJ133" s="539">
        <f t="shared" si="50"/>
        <v>0</v>
      </c>
      <c r="CK133" s="539">
        <f t="shared" si="50"/>
        <v>0</v>
      </c>
      <c r="CL133" s="539">
        <f t="shared" si="50"/>
        <v>0</v>
      </c>
      <c r="CM133" s="539">
        <f t="shared" si="50"/>
        <v>0</v>
      </c>
      <c r="CN133" s="539">
        <f t="shared" si="50"/>
        <v>0</v>
      </c>
      <c r="CO133" s="539">
        <f t="shared" si="50"/>
        <v>0</v>
      </c>
      <c r="CP133" s="539">
        <f t="shared" si="50"/>
        <v>0</v>
      </c>
      <c r="CQ133" s="539">
        <f t="shared" si="50"/>
        <v>0</v>
      </c>
      <c r="CR133" s="539">
        <f t="shared" si="50"/>
        <v>0</v>
      </c>
      <c r="CS133" s="539">
        <f t="shared" si="50"/>
        <v>0</v>
      </c>
      <c r="CT133" s="539">
        <f t="shared" si="50"/>
        <v>0</v>
      </c>
      <c r="CU133" s="539">
        <f t="shared" si="50"/>
        <v>0</v>
      </c>
      <c r="CV133" s="539">
        <f t="shared" si="50"/>
        <v>0</v>
      </c>
      <c r="CW133" s="539">
        <f t="shared" si="50"/>
        <v>0</v>
      </c>
      <c r="CX133" s="539">
        <f t="shared" si="50"/>
        <v>0</v>
      </c>
      <c r="CY133" s="539">
        <f t="shared" si="50"/>
        <v>0</v>
      </c>
      <c r="CZ133" s="539">
        <f t="shared" si="50"/>
        <v>0</v>
      </c>
      <c r="DA133" s="539">
        <f t="shared" si="50"/>
        <v>0</v>
      </c>
      <c r="DB133" s="539">
        <f t="shared" si="50"/>
        <v>0</v>
      </c>
      <c r="DC133" s="539">
        <f t="shared" si="50"/>
        <v>0</v>
      </c>
      <c r="DD133" s="539">
        <f t="shared" si="50"/>
        <v>0</v>
      </c>
      <c r="DE133" s="539">
        <f t="shared" si="50"/>
        <v>0</v>
      </c>
      <c r="DF133" s="539">
        <f t="shared" si="50"/>
        <v>0</v>
      </c>
      <c r="DG133" s="539">
        <f t="shared" si="50"/>
        <v>0</v>
      </c>
      <c r="DH133" s="539">
        <f t="shared" si="50"/>
        <v>0</v>
      </c>
      <c r="DI133" s="539">
        <f t="shared" si="50"/>
        <v>0</v>
      </c>
      <c r="DJ133" s="539">
        <f t="shared" si="50"/>
        <v>0</v>
      </c>
      <c r="DK133" s="539">
        <f t="shared" si="50"/>
        <v>0</v>
      </c>
      <c r="DL133" s="539">
        <f t="shared" si="50"/>
        <v>0</v>
      </c>
      <c r="DM133" s="539">
        <f t="shared" si="50"/>
        <v>0</v>
      </c>
      <c r="DN133" s="539">
        <f t="shared" si="50"/>
        <v>0</v>
      </c>
      <c r="DO133" s="539">
        <f t="shared" si="50"/>
        <v>0</v>
      </c>
      <c r="DP133" s="539">
        <f t="shared" si="50"/>
        <v>0</v>
      </c>
      <c r="DQ133" s="539">
        <f t="shared" si="50"/>
        <v>0</v>
      </c>
      <c r="DR133" s="539">
        <f t="shared" si="50"/>
        <v>0</v>
      </c>
      <c r="DS133" s="539">
        <f t="shared" si="50"/>
        <v>0</v>
      </c>
      <c r="DT133" s="539">
        <f t="shared" si="50"/>
        <v>0</v>
      </c>
      <c r="DU133" s="539">
        <f t="shared" si="50"/>
        <v>0</v>
      </c>
      <c r="DV133" s="539">
        <f t="shared" si="50"/>
        <v>0</v>
      </c>
      <c r="DW133" s="539">
        <f t="shared" si="50"/>
        <v>0</v>
      </c>
      <c r="DX133" s="539">
        <f t="shared" si="50"/>
        <v>0</v>
      </c>
      <c r="DY133" s="539">
        <f t="shared" si="50"/>
        <v>0</v>
      </c>
      <c r="DZ133" s="539">
        <f t="shared" si="50"/>
        <v>0</v>
      </c>
      <c r="EA133" s="539">
        <f t="shared" si="50"/>
        <v>0</v>
      </c>
      <c r="EB133" s="539">
        <f t="shared" si="50"/>
        <v>0</v>
      </c>
      <c r="EC133" s="539">
        <f t="shared" si="50"/>
        <v>0</v>
      </c>
      <c r="ED133" s="539">
        <f t="shared" si="50"/>
        <v>0</v>
      </c>
      <c r="EE133" s="539">
        <f t="shared" si="50"/>
        <v>0</v>
      </c>
      <c r="EF133" s="539">
        <f t="shared" si="50"/>
        <v>0</v>
      </c>
      <c r="EG133" s="539">
        <f t="shared" si="50"/>
        <v>0</v>
      </c>
    </row>
    <row r="134" spans="5:137" ht="12.75">
      <c r="E134" s="538" t="str">
        <f>E$126</f>
        <v>Trapped cash - opening balance</v>
      </c>
      <c r="G134" s="539" t="str">
        <f>G$126</f>
        <v>EUR 000s</v>
      </c>
      <c r="H134" s="539">
        <f>H$126</f>
        <v>0</v>
      </c>
      <c r="J134" s="539">
        <f t="shared" si="51" ref="J134:EG134">J$126</f>
        <v>0</v>
      </c>
      <c r="K134" s="539">
        <f t="shared" si="51"/>
        <v>0</v>
      </c>
      <c r="L134" s="539">
        <f t="shared" si="51"/>
        <v>0</v>
      </c>
      <c r="M134" s="539">
        <f t="shared" si="51"/>
        <v>0</v>
      </c>
      <c r="N134" s="539">
        <f t="shared" si="51"/>
        <v>0</v>
      </c>
      <c r="O134" s="539">
        <f t="shared" si="51"/>
        <v>0</v>
      </c>
      <c r="P134" s="539">
        <f t="shared" si="51"/>
        <v>0</v>
      </c>
      <c r="Q134" s="539">
        <f t="shared" si="51"/>
        <v>0</v>
      </c>
      <c r="R134" s="539">
        <f t="shared" si="51"/>
        <v>0</v>
      </c>
      <c r="S134" s="539">
        <f t="shared" si="51"/>
        <v>0</v>
      </c>
      <c r="T134" s="539">
        <f t="shared" si="51"/>
        <v>0</v>
      </c>
      <c r="U134" s="539">
        <f t="shared" si="51"/>
        <v>0</v>
      </c>
      <c r="V134" s="539">
        <f t="shared" si="51"/>
        <v>0</v>
      </c>
      <c r="W134" s="539">
        <f t="shared" si="51"/>
        <v>0</v>
      </c>
      <c r="X134" s="539">
        <f t="shared" si="51"/>
        <v>0</v>
      </c>
      <c r="Y134" s="539">
        <f t="shared" si="51"/>
        <v>0</v>
      </c>
      <c r="Z134" s="539">
        <f t="shared" si="51"/>
        <v>0</v>
      </c>
      <c r="AA134" s="539">
        <f t="shared" si="51"/>
        <v>0</v>
      </c>
      <c r="AB134" s="539">
        <f t="shared" si="51"/>
        <v>0</v>
      </c>
      <c r="AC134" s="539">
        <f t="shared" si="51"/>
        <v>0</v>
      </c>
      <c r="AD134" s="539">
        <f t="shared" si="51"/>
        <v>0</v>
      </c>
      <c r="AE134" s="539">
        <f t="shared" si="51"/>
        <v>0</v>
      </c>
      <c r="AF134" s="539">
        <f t="shared" si="51"/>
        <v>0</v>
      </c>
      <c r="AG134" s="539">
        <f t="shared" si="51"/>
        <v>0</v>
      </c>
      <c r="AH134" s="539">
        <f t="shared" si="51"/>
        <v>0</v>
      </c>
      <c r="AI134" s="539">
        <f t="shared" si="51"/>
        <v>0</v>
      </c>
      <c r="AJ134" s="539">
        <f t="shared" si="51"/>
        <v>0</v>
      </c>
      <c r="AK134" s="539">
        <f t="shared" si="51"/>
        <v>0</v>
      </c>
      <c r="AL134" s="539">
        <f t="shared" si="51"/>
        <v>0</v>
      </c>
      <c r="AM134" s="539">
        <f t="shared" si="51"/>
        <v>0</v>
      </c>
      <c r="AN134" s="539">
        <f t="shared" si="51"/>
        <v>0</v>
      </c>
      <c r="AO134" s="539">
        <f t="shared" si="51"/>
        <v>0</v>
      </c>
      <c r="AP134" s="539">
        <f t="shared" si="51"/>
        <v>0</v>
      </c>
      <c r="AQ134" s="539">
        <f t="shared" si="51"/>
        <v>0</v>
      </c>
      <c r="AR134" s="539">
        <f t="shared" si="51"/>
        <v>0</v>
      </c>
      <c r="AS134" s="539">
        <f t="shared" si="51"/>
        <v>0</v>
      </c>
      <c r="AT134" s="539">
        <f t="shared" si="51"/>
        <v>0</v>
      </c>
      <c r="AU134" s="539">
        <f t="shared" si="51"/>
        <v>0</v>
      </c>
      <c r="AV134" s="539">
        <f t="shared" si="51"/>
        <v>0</v>
      </c>
      <c r="AW134" s="539">
        <f t="shared" si="51"/>
        <v>0</v>
      </c>
      <c r="AX134" s="539">
        <f t="shared" si="51"/>
        <v>0</v>
      </c>
      <c r="AY134" s="539">
        <f t="shared" si="51"/>
        <v>0</v>
      </c>
      <c r="AZ134" s="539">
        <f t="shared" si="51"/>
        <v>0</v>
      </c>
      <c r="BA134" s="539">
        <f t="shared" si="51"/>
        <v>0</v>
      </c>
      <c r="BB134" s="539">
        <f t="shared" si="51"/>
        <v>0</v>
      </c>
      <c r="BC134" s="539">
        <f t="shared" si="51"/>
        <v>0</v>
      </c>
      <c r="BD134" s="539">
        <f t="shared" si="51"/>
        <v>0</v>
      </c>
      <c r="BE134" s="539">
        <f t="shared" si="51"/>
        <v>0</v>
      </c>
      <c r="BF134" s="539">
        <f t="shared" si="51"/>
        <v>0</v>
      </c>
      <c r="BG134" s="539">
        <f t="shared" si="51"/>
        <v>0</v>
      </c>
      <c r="BH134" s="539">
        <f t="shared" si="51"/>
        <v>0</v>
      </c>
      <c r="BI134" s="539">
        <f t="shared" si="51"/>
        <v>0</v>
      </c>
      <c r="BJ134" s="539">
        <f t="shared" si="51"/>
        <v>0</v>
      </c>
      <c r="BK134" s="539">
        <f t="shared" si="51"/>
        <v>0</v>
      </c>
      <c r="BL134" s="539">
        <f t="shared" si="51"/>
        <v>0</v>
      </c>
      <c r="BM134" s="539">
        <f t="shared" si="51"/>
        <v>0</v>
      </c>
      <c r="BN134" s="539">
        <f t="shared" si="51"/>
        <v>0</v>
      </c>
      <c r="BO134" s="539">
        <f t="shared" si="51"/>
        <v>0</v>
      </c>
      <c r="BP134" s="539">
        <f t="shared" si="51"/>
        <v>0</v>
      </c>
      <c r="BQ134" s="539">
        <f t="shared" si="51"/>
        <v>0</v>
      </c>
      <c r="BR134" s="539">
        <f t="shared" si="51"/>
        <v>0</v>
      </c>
      <c r="BS134" s="539">
        <f t="shared" si="51"/>
        <v>0</v>
      </c>
      <c r="BT134" s="539">
        <f t="shared" si="51"/>
        <v>0</v>
      </c>
      <c r="BU134" s="539">
        <f t="shared" si="51"/>
        <v>0</v>
      </c>
      <c r="BV134" s="539">
        <f t="shared" si="51"/>
        <v>0</v>
      </c>
      <c r="BW134" s="539">
        <f t="shared" si="51"/>
        <v>0</v>
      </c>
      <c r="BX134" s="539">
        <f t="shared" si="51"/>
        <v>0</v>
      </c>
      <c r="BY134" s="539">
        <f t="shared" si="51"/>
        <v>0</v>
      </c>
      <c r="BZ134" s="539">
        <f t="shared" si="51"/>
        <v>0</v>
      </c>
      <c r="CA134" s="539">
        <f t="shared" si="51"/>
        <v>0</v>
      </c>
      <c r="CB134" s="539">
        <f t="shared" si="51"/>
        <v>0</v>
      </c>
      <c r="CC134" s="539">
        <f t="shared" si="51"/>
        <v>0</v>
      </c>
      <c r="CD134" s="539">
        <f t="shared" si="51"/>
        <v>0</v>
      </c>
      <c r="CE134" s="539">
        <f t="shared" si="51"/>
        <v>0</v>
      </c>
      <c r="CF134" s="539">
        <f t="shared" si="51"/>
        <v>0</v>
      </c>
      <c r="CG134" s="539">
        <f t="shared" si="51"/>
        <v>0</v>
      </c>
      <c r="CH134" s="539">
        <f t="shared" si="51"/>
        <v>0</v>
      </c>
      <c r="CI134" s="539">
        <f t="shared" si="51"/>
        <v>0</v>
      </c>
      <c r="CJ134" s="539">
        <f t="shared" si="51"/>
        <v>0</v>
      </c>
      <c r="CK134" s="539">
        <f t="shared" si="51"/>
        <v>0</v>
      </c>
      <c r="CL134" s="539">
        <f t="shared" si="51"/>
        <v>0</v>
      </c>
      <c r="CM134" s="539">
        <f t="shared" si="51"/>
        <v>0</v>
      </c>
      <c r="CN134" s="539">
        <f t="shared" si="51"/>
        <v>0</v>
      </c>
      <c r="CO134" s="539">
        <f t="shared" si="51"/>
        <v>0</v>
      </c>
      <c r="CP134" s="539">
        <f t="shared" si="51"/>
        <v>0</v>
      </c>
      <c r="CQ134" s="539">
        <f t="shared" si="51"/>
        <v>0</v>
      </c>
      <c r="CR134" s="539">
        <f t="shared" si="51"/>
        <v>0</v>
      </c>
      <c r="CS134" s="539">
        <f t="shared" si="51"/>
        <v>0</v>
      </c>
      <c r="CT134" s="539">
        <f t="shared" si="51"/>
        <v>0</v>
      </c>
      <c r="CU134" s="539">
        <f t="shared" si="51"/>
        <v>0</v>
      </c>
      <c r="CV134" s="539">
        <f t="shared" si="51"/>
        <v>0</v>
      </c>
      <c r="CW134" s="539">
        <f t="shared" si="51"/>
        <v>0</v>
      </c>
      <c r="CX134" s="539">
        <f t="shared" si="51"/>
        <v>0</v>
      </c>
      <c r="CY134" s="539">
        <f t="shared" si="51"/>
        <v>0</v>
      </c>
      <c r="CZ134" s="539">
        <f t="shared" si="51"/>
        <v>0</v>
      </c>
      <c r="DA134" s="539">
        <f t="shared" si="51"/>
        <v>0</v>
      </c>
      <c r="DB134" s="539">
        <f t="shared" si="51"/>
        <v>0</v>
      </c>
      <c r="DC134" s="539">
        <f t="shared" si="51"/>
        <v>0</v>
      </c>
      <c r="DD134" s="539">
        <f t="shared" si="51"/>
        <v>0</v>
      </c>
      <c r="DE134" s="539">
        <f t="shared" si="51"/>
        <v>0</v>
      </c>
      <c r="DF134" s="539">
        <f t="shared" si="51"/>
        <v>0</v>
      </c>
      <c r="DG134" s="539">
        <f t="shared" si="51"/>
        <v>0</v>
      </c>
      <c r="DH134" s="539">
        <f t="shared" si="51"/>
        <v>0</v>
      </c>
      <c r="DI134" s="539">
        <f t="shared" si="51"/>
        <v>0</v>
      </c>
      <c r="DJ134" s="539">
        <f t="shared" si="51"/>
        <v>0</v>
      </c>
      <c r="DK134" s="539">
        <f t="shared" si="51"/>
        <v>0</v>
      </c>
      <c r="DL134" s="539">
        <f t="shared" si="51"/>
        <v>0</v>
      </c>
      <c r="DM134" s="539">
        <f t="shared" si="51"/>
        <v>0</v>
      </c>
      <c r="DN134" s="539">
        <f t="shared" si="51"/>
        <v>0</v>
      </c>
      <c r="DO134" s="539">
        <f t="shared" si="51"/>
        <v>0</v>
      </c>
      <c r="DP134" s="539">
        <f t="shared" si="51"/>
        <v>0</v>
      </c>
      <c r="DQ134" s="539">
        <f t="shared" si="51"/>
        <v>0</v>
      </c>
      <c r="DR134" s="539">
        <f t="shared" si="51"/>
        <v>0</v>
      </c>
      <c r="DS134" s="539">
        <f t="shared" si="51"/>
        <v>0</v>
      </c>
      <c r="DT134" s="539">
        <f t="shared" si="51"/>
        <v>0</v>
      </c>
      <c r="DU134" s="539">
        <f t="shared" si="51"/>
        <v>0</v>
      </c>
      <c r="DV134" s="539">
        <f t="shared" si="51"/>
        <v>0</v>
      </c>
      <c r="DW134" s="539">
        <f t="shared" si="51"/>
        <v>0</v>
      </c>
      <c r="DX134" s="539">
        <f t="shared" si="51"/>
        <v>0</v>
      </c>
      <c r="DY134" s="539">
        <f t="shared" si="51"/>
        <v>0</v>
      </c>
      <c r="DZ134" s="539">
        <f t="shared" si="51"/>
        <v>0</v>
      </c>
      <c r="EA134" s="539">
        <f t="shared" si="51"/>
        <v>0</v>
      </c>
      <c r="EB134" s="539">
        <f t="shared" si="51"/>
        <v>0</v>
      </c>
      <c r="EC134" s="539">
        <f t="shared" si="51"/>
        <v>0</v>
      </c>
      <c r="ED134" s="539">
        <f t="shared" si="51"/>
        <v>0</v>
      </c>
      <c r="EE134" s="539">
        <f t="shared" si="51"/>
        <v>0</v>
      </c>
      <c r="EF134" s="539">
        <f t="shared" si="51"/>
        <v>0</v>
      </c>
      <c r="EG134" s="539">
        <f t="shared" si="51"/>
        <v>0</v>
      </c>
    </row>
    <row r="135" spans="5:137" ht="12.75">
      <c r="E135" s="538" t="s">
        <v>422</v>
      </c>
      <c r="G135" s="539" t="s">
        <v>30</v>
      </c>
      <c r="H135" s="539">
        <f>SUM(J135:EG135)</f>
        <v>0</v>
      </c>
      <c r="J135" s="539">
        <f t="shared" si="52" ref="J135:EG135">(1-J133)*J134</f>
        <v>0</v>
      </c>
      <c r="K135" s="539">
        <f t="shared" si="52"/>
        <v>0</v>
      </c>
      <c r="L135" s="539">
        <f t="shared" si="52"/>
        <v>0</v>
      </c>
      <c r="M135" s="539">
        <f t="shared" si="52"/>
        <v>0</v>
      </c>
      <c r="N135" s="539">
        <f t="shared" si="52"/>
        <v>0</v>
      </c>
      <c r="O135" s="539">
        <f t="shared" si="52"/>
        <v>0</v>
      </c>
      <c r="P135" s="539">
        <f t="shared" si="52"/>
        <v>0</v>
      </c>
      <c r="Q135" s="539">
        <f t="shared" si="52"/>
        <v>0</v>
      </c>
      <c r="R135" s="539">
        <f t="shared" si="52"/>
        <v>0</v>
      </c>
      <c r="S135" s="539">
        <f t="shared" si="52"/>
        <v>0</v>
      </c>
      <c r="T135" s="539">
        <f t="shared" si="52"/>
        <v>0</v>
      </c>
      <c r="U135" s="539">
        <f t="shared" si="52"/>
        <v>0</v>
      </c>
      <c r="V135" s="539">
        <f t="shared" si="52"/>
        <v>0</v>
      </c>
      <c r="W135" s="539">
        <f t="shared" si="52"/>
        <v>0</v>
      </c>
      <c r="X135" s="539">
        <f t="shared" si="52"/>
        <v>0</v>
      </c>
      <c r="Y135" s="539">
        <f t="shared" si="52"/>
        <v>0</v>
      </c>
      <c r="Z135" s="539">
        <f t="shared" si="52"/>
        <v>0</v>
      </c>
      <c r="AA135" s="539">
        <f t="shared" si="52"/>
        <v>0</v>
      </c>
      <c r="AB135" s="539">
        <f t="shared" si="52"/>
        <v>0</v>
      </c>
      <c r="AC135" s="539">
        <f t="shared" si="52"/>
        <v>0</v>
      </c>
      <c r="AD135" s="539">
        <f t="shared" si="52"/>
        <v>0</v>
      </c>
      <c r="AE135" s="539">
        <f t="shared" si="52"/>
        <v>0</v>
      </c>
      <c r="AF135" s="539">
        <f t="shared" si="52"/>
        <v>0</v>
      </c>
      <c r="AG135" s="539">
        <f t="shared" si="52"/>
        <v>0</v>
      </c>
      <c r="AH135" s="539">
        <f t="shared" si="52"/>
        <v>0</v>
      </c>
      <c r="AI135" s="539">
        <f t="shared" si="52"/>
        <v>0</v>
      </c>
      <c r="AJ135" s="539">
        <f t="shared" si="52"/>
        <v>0</v>
      </c>
      <c r="AK135" s="539">
        <f t="shared" si="52"/>
        <v>0</v>
      </c>
      <c r="AL135" s="539">
        <f t="shared" si="52"/>
        <v>0</v>
      </c>
      <c r="AM135" s="539">
        <f t="shared" si="52"/>
        <v>0</v>
      </c>
      <c r="AN135" s="539">
        <f t="shared" si="52"/>
        <v>0</v>
      </c>
      <c r="AO135" s="539">
        <f t="shared" si="52"/>
        <v>0</v>
      </c>
      <c r="AP135" s="539">
        <f t="shared" si="52"/>
        <v>0</v>
      </c>
      <c r="AQ135" s="539">
        <f t="shared" si="52"/>
        <v>0</v>
      </c>
      <c r="AR135" s="539">
        <f t="shared" si="52"/>
        <v>0</v>
      </c>
      <c r="AS135" s="539">
        <f t="shared" si="52"/>
        <v>0</v>
      </c>
      <c r="AT135" s="539">
        <f t="shared" si="52"/>
        <v>0</v>
      </c>
      <c r="AU135" s="539">
        <f t="shared" si="52"/>
        <v>0</v>
      </c>
      <c r="AV135" s="539">
        <f t="shared" si="52"/>
        <v>0</v>
      </c>
      <c r="AW135" s="539">
        <f t="shared" si="52"/>
        <v>0</v>
      </c>
      <c r="AX135" s="539">
        <f t="shared" si="52"/>
        <v>0</v>
      </c>
      <c r="AY135" s="539">
        <f t="shared" si="52"/>
        <v>0</v>
      </c>
      <c r="AZ135" s="539">
        <f t="shared" si="52"/>
        <v>0</v>
      </c>
      <c r="BA135" s="539">
        <f t="shared" si="52"/>
        <v>0</v>
      </c>
      <c r="BB135" s="539">
        <f t="shared" si="52"/>
        <v>0</v>
      </c>
      <c r="BC135" s="539">
        <f t="shared" si="52"/>
        <v>0</v>
      </c>
      <c r="BD135" s="539">
        <f t="shared" si="52"/>
        <v>0</v>
      </c>
      <c r="BE135" s="539">
        <f t="shared" si="52"/>
        <v>0</v>
      </c>
      <c r="BF135" s="539">
        <f t="shared" si="52"/>
        <v>0</v>
      </c>
      <c r="BG135" s="539">
        <f t="shared" si="52"/>
        <v>0</v>
      </c>
      <c r="BH135" s="539">
        <f t="shared" si="52"/>
        <v>0</v>
      </c>
      <c r="BI135" s="539">
        <f t="shared" si="52"/>
        <v>0</v>
      </c>
      <c r="BJ135" s="539">
        <f t="shared" si="52"/>
        <v>0</v>
      </c>
      <c r="BK135" s="539">
        <f t="shared" si="52"/>
        <v>0</v>
      </c>
      <c r="BL135" s="539">
        <f t="shared" si="52"/>
        <v>0</v>
      </c>
      <c r="BM135" s="539">
        <f t="shared" si="52"/>
        <v>0</v>
      </c>
      <c r="BN135" s="539">
        <f t="shared" si="52"/>
        <v>0</v>
      </c>
      <c r="BO135" s="539">
        <f t="shared" si="52"/>
        <v>0</v>
      </c>
      <c r="BP135" s="539">
        <f t="shared" si="52"/>
        <v>0</v>
      </c>
      <c r="BQ135" s="539">
        <f t="shared" si="52"/>
        <v>0</v>
      </c>
      <c r="BR135" s="539">
        <f t="shared" si="52"/>
        <v>0</v>
      </c>
      <c r="BS135" s="539">
        <f t="shared" si="52"/>
        <v>0</v>
      </c>
      <c r="BT135" s="539">
        <f t="shared" si="52"/>
        <v>0</v>
      </c>
      <c r="BU135" s="539">
        <f t="shared" si="52"/>
        <v>0</v>
      </c>
      <c r="BV135" s="539">
        <f t="shared" si="52"/>
        <v>0</v>
      </c>
      <c r="BW135" s="539">
        <f t="shared" si="52"/>
        <v>0</v>
      </c>
      <c r="BX135" s="539">
        <f t="shared" si="52"/>
        <v>0</v>
      </c>
      <c r="BY135" s="539">
        <f t="shared" si="52"/>
        <v>0</v>
      </c>
      <c r="BZ135" s="539">
        <f t="shared" si="52"/>
        <v>0</v>
      </c>
      <c r="CA135" s="539">
        <f t="shared" si="52"/>
        <v>0</v>
      </c>
      <c r="CB135" s="539">
        <f t="shared" si="52"/>
        <v>0</v>
      </c>
      <c r="CC135" s="539">
        <f t="shared" si="52"/>
        <v>0</v>
      </c>
      <c r="CD135" s="539">
        <f t="shared" si="52"/>
        <v>0</v>
      </c>
      <c r="CE135" s="539">
        <f t="shared" si="52"/>
        <v>0</v>
      </c>
      <c r="CF135" s="539">
        <f t="shared" si="52"/>
        <v>0</v>
      </c>
      <c r="CG135" s="539">
        <f t="shared" si="52"/>
        <v>0</v>
      </c>
      <c r="CH135" s="539">
        <f t="shared" si="52"/>
        <v>0</v>
      </c>
      <c r="CI135" s="539">
        <f t="shared" si="52"/>
        <v>0</v>
      </c>
      <c r="CJ135" s="539">
        <f t="shared" si="52"/>
        <v>0</v>
      </c>
      <c r="CK135" s="539">
        <f t="shared" si="52"/>
        <v>0</v>
      </c>
      <c r="CL135" s="539">
        <f t="shared" si="52"/>
        <v>0</v>
      </c>
      <c r="CM135" s="539">
        <f t="shared" si="52"/>
        <v>0</v>
      </c>
      <c r="CN135" s="539">
        <f t="shared" si="52"/>
        <v>0</v>
      </c>
      <c r="CO135" s="539">
        <f t="shared" si="52"/>
        <v>0</v>
      </c>
      <c r="CP135" s="539">
        <f t="shared" si="52"/>
        <v>0</v>
      </c>
      <c r="CQ135" s="539">
        <f t="shared" si="52"/>
        <v>0</v>
      </c>
      <c r="CR135" s="539">
        <f t="shared" si="52"/>
        <v>0</v>
      </c>
      <c r="CS135" s="539">
        <f t="shared" si="52"/>
        <v>0</v>
      </c>
      <c r="CT135" s="539">
        <f t="shared" si="52"/>
        <v>0</v>
      </c>
      <c r="CU135" s="539">
        <f t="shared" si="52"/>
        <v>0</v>
      </c>
      <c r="CV135" s="539">
        <f t="shared" si="52"/>
        <v>0</v>
      </c>
      <c r="CW135" s="539">
        <f t="shared" si="52"/>
        <v>0</v>
      </c>
      <c r="CX135" s="539">
        <f t="shared" si="52"/>
        <v>0</v>
      </c>
      <c r="CY135" s="539">
        <f t="shared" si="52"/>
        <v>0</v>
      </c>
      <c r="CZ135" s="539">
        <f t="shared" si="52"/>
        <v>0</v>
      </c>
      <c r="DA135" s="539">
        <f t="shared" si="52"/>
        <v>0</v>
      </c>
      <c r="DB135" s="539">
        <f t="shared" si="52"/>
        <v>0</v>
      </c>
      <c r="DC135" s="539">
        <f t="shared" si="52"/>
        <v>0</v>
      </c>
      <c r="DD135" s="539">
        <f t="shared" si="52"/>
        <v>0</v>
      </c>
      <c r="DE135" s="539">
        <f t="shared" si="52"/>
        <v>0</v>
      </c>
      <c r="DF135" s="539">
        <f t="shared" si="52"/>
        <v>0</v>
      </c>
      <c r="DG135" s="539">
        <f t="shared" si="52"/>
        <v>0</v>
      </c>
      <c r="DH135" s="539">
        <f t="shared" si="52"/>
        <v>0</v>
      </c>
      <c r="DI135" s="539">
        <f t="shared" si="52"/>
        <v>0</v>
      </c>
      <c r="DJ135" s="539">
        <f t="shared" si="52"/>
        <v>0</v>
      </c>
      <c r="DK135" s="539">
        <f t="shared" si="52"/>
        <v>0</v>
      </c>
      <c r="DL135" s="539">
        <f t="shared" si="52"/>
        <v>0</v>
      </c>
      <c r="DM135" s="539">
        <f t="shared" si="52"/>
        <v>0</v>
      </c>
      <c r="DN135" s="539">
        <f t="shared" si="52"/>
        <v>0</v>
      </c>
      <c r="DO135" s="539">
        <f t="shared" si="52"/>
        <v>0</v>
      </c>
      <c r="DP135" s="539">
        <f t="shared" si="52"/>
        <v>0</v>
      </c>
      <c r="DQ135" s="539">
        <f t="shared" si="52"/>
        <v>0</v>
      </c>
      <c r="DR135" s="539">
        <f t="shared" si="52"/>
        <v>0</v>
      </c>
      <c r="DS135" s="539">
        <f t="shared" si="52"/>
        <v>0</v>
      </c>
      <c r="DT135" s="539">
        <f t="shared" si="52"/>
        <v>0</v>
      </c>
      <c r="DU135" s="539">
        <f t="shared" si="52"/>
        <v>0</v>
      </c>
      <c r="DV135" s="539">
        <f t="shared" si="52"/>
        <v>0</v>
      </c>
      <c r="DW135" s="539">
        <f t="shared" si="52"/>
        <v>0</v>
      </c>
      <c r="DX135" s="539">
        <f t="shared" si="52"/>
        <v>0</v>
      </c>
      <c r="DY135" s="539">
        <f t="shared" si="52"/>
        <v>0</v>
      </c>
      <c r="DZ135" s="539">
        <f t="shared" si="52"/>
        <v>0</v>
      </c>
      <c r="EA135" s="539">
        <f t="shared" si="52"/>
        <v>0</v>
      </c>
      <c r="EB135" s="539">
        <f t="shared" si="52"/>
        <v>0</v>
      </c>
      <c r="EC135" s="539">
        <f t="shared" si="52"/>
        <v>0</v>
      </c>
      <c r="ED135" s="539">
        <f t="shared" si="52"/>
        <v>0</v>
      </c>
      <c r="EE135" s="539">
        <f t="shared" si="52"/>
        <v>0</v>
      </c>
      <c r="EF135" s="539">
        <f t="shared" si="52"/>
        <v>0</v>
      </c>
      <c r="EG135" s="539">
        <f t="shared" si="52"/>
        <v>0</v>
      </c>
    </row>
    <row r="137" spans="5:137" ht="12.75">
      <c r="E137" s="538" t="str">
        <f>E$126</f>
        <v>Trapped cash - opening balance</v>
      </c>
      <c r="G137" s="539" t="str">
        <f>G$126</f>
        <v>EUR 000s</v>
      </c>
      <c r="H137" s="539">
        <f>H$126</f>
        <v>0</v>
      </c>
      <c r="J137" s="539">
        <f t="shared" si="53" ref="J137:EG137">J$126</f>
        <v>0</v>
      </c>
      <c r="K137" s="539">
        <f t="shared" si="53"/>
        <v>0</v>
      </c>
      <c r="L137" s="539">
        <f t="shared" si="53"/>
        <v>0</v>
      </c>
      <c r="M137" s="539">
        <f t="shared" si="53"/>
        <v>0</v>
      </c>
      <c r="N137" s="539">
        <f t="shared" si="53"/>
        <v>0</v>
      </c>
      <c r="O137" s="539">
        <f t="shared" si="53"/>
        <v>0</v>
      </c>
      <c r="P137" s="539">
        <f t="shared" si="53"/>
        <v>0</v>
      </c>
      <c r="Q137" s="539">
        <f t="shared" si="53"/>
        <v>0</v>
      </c>
      <c r="R137" s="539">
        <f t="shared" si="53"/>
        <v>0</v>
      </c>
      <c r="S137" s="539">
        <f t="shared" si="53"/>
        <v>0</v>
      </c>
      <c r="T137" s="539">
        <f t="shared" si="53"/>
        <v>0</v>
      </c>
      <c r="U137" s="539">
        <f t="shared" si="53"/>
        <v>0</v>
      </c>
      <c r="V137" s="539">
        <f t="shared" si="53"/>
        <v>0</v>
      </c>
      <c r="W137" s="539">
        <f t="shared" si="53"/>
        <v>0</v>
      </c>
      <c r="X137" s="539">
        <f t="shared" si="53"/>
        <v>0</v>
      </c>
      <c r="Y137" s="539">
        <f t="shared" si="53"/>
        <v>0</v>
      </c>
      <c r="Z137" s="539">
        <f t="shared" si="53"/>
        <v>0</v>
      </c>
      <c r="AA137" s="539">
        <f t="shared" si="53"/>
        <v>0</v>
      </c>
      <c r="AB137" s="539">
        <f t="shared" si="53"/>
        <v>0</v>
      </c>
      <c r="AC137" s="539">
        <f t="shared" si="53"/>
        <v>0</v>
      </c>
      <c r="AD137" s="539">
        <f t="shared" si="53"/>
        <v>0</v>
      </c>
      <c r="AE137" s="539">
        <f t="shared" si="53"/>
        <v>0</v>
      </c>
      <c r="AF137" s="539">
        <f t="shared" si="53"/>
        <v>0</v>
      </c>
      <c r="AG137" s="539">
        <f t="shared" si="53"/>
        <v>0</v>
      </c>
      <c r="AH137" s="539">
        <f t="shared" si="53"/>
        <v>0</v>
      </c>
      <c r="AI137" s="539">
        <f t="shared" si="53"/>
        <v>0</v>
      </c>
      <c r="AJ137" s="539">
        <f t="shared" si="53"/>
        <v>0</v>
      </c>
      <c r="AK137" s="539">
        <f t="shared" si="53"/>
        <v>0</v>
      </c>
      <c r="AL137" s="539">
        <f t="shared" si="53"/>
        <v>0</v>
      </c>
      <c r="AM137" s="539">
        <f t="shared" si="53"/>
        <v>0</v>
      </c>
      <c r="AN137" s="539">
        <f t="shared" si="53"/>
        <v>0</v>
      </c>
      <c r="AO137" s="539">
        <f t="shared" si="53"/>
        <v>0</v>
      </c>
      <c r="AP137" s="539">
        <f t="shared" si="53"/>
        <v>0</v>
      </c>
      <c r="AQ137" s="539">
        <f t="shared" si="53"/>
        <v>0</v>
      </c>
      <c r="AR137" s="539">
        <f t="shared" si="53"/>
        <v>0</v>
      </c>
      <c r="AS137" s="539">
        <f t="shared" si="53"/>
        <v>0</v>
      </c>
      <c r="AT137" s="539">
        <f t="shared" si="53"/>
        <v>0</v>
      </c>
      <c r="AU137" s="539">
        <f t="shared" si="53"/>
        <v>0</v>
      </c>
      <c r="AV137" s="539">
        <f t="shared" si="53"/>
        <v>0</v>
      </c>
      <c r="AW137" s="539">
        <f t="shared" si="53"/>
        <v>0</v>
      </c>
      <c r="AX137" s="539">
        <f t="shared" si="53"/>
        <v>0</v>
      </c>
      <c r="AY137" s="539">
        <f t="shared" si="53"/>
        <v>0</v>
      </c>
      <c r="AZ137" s="539">
        <f t="shared" si="53"/>
        <v>0</v>
      </c>
      <c r="BA137" s="539">
        <f t="shared" si="53"/>
        <v>0</v>
      </c>
      <c r="BB137" s="539">
        <f t="shared" si="53"/>
        <v>0</v>
      </c>
      <c r="BC137" s="539">
        <f t="shared" si="53"/>
        <v>0</v>
      </c>
      <c r="BD137" s="539">
        <f t="shared" si="53"/>
        <v>0</v>
      </c>
      <c r="BE137" s="539">
        <f t="shared" si="53"/>
        <v>0</v>
      </c>
      <c r="BF137" s="539">
        <f t="shared" si="53"/>
        <v>0</v>
      </c>
      <c r="BG137" s="539">
        <f t="shared" si="53"/>
        <v>0</v>
      </c>
      <c r="BH137" s="539">
        <f t="shared" si="53"/>
        <v>0</v>
      </c>
      <c r="BI137" s="539">
        <f t="shared" si="53"/>
        <v>0</v>
      </c>
      <c r="BJ137" s="539">
        <f t="shared" si="53"/>
        <v>0</v>
      </c>
      <c r="BK137" s="539">
        <f t="shared" si="53"/>
        <v>0</v>
      </c>
      <c r="BL137" s="539">
        <f t="shared" si="53"/>
        <v>0</v>
      </c>
      <c r="BM137" s="539">
        <f t="shared" si="53"/>
        <v>0</v>
      </c>
      <c r="BN137" s="539">
        <f t="shared" si="53"/>
        <v>0</v>
      </c>
      <c r="BO137" s="539">
        <f t="shared" si="53"/>
        <v>0</v>
      </c>
      <c r="BP137" s="539">
        <f t="shared" si="53"/>
        <v>0</v>
      </c>
      <c r="BQ137" s="539">
        <f t="shared" si="53"/>
        <v>0</v>
      </c>
      <c r="BR137" s="539">
        <f t="shared" si="53"/>
        <v>0</v>
      </c>
      <c r="BS137" s="539">
        <f t="shared" si="53"/>
        <v>0</v>
      </c>
      <c r="BT137" s="539">
        <f t="shared" si="53"/>
        <v>0</v>
      </c>
      <c r="BU137" s="539">
        <f t="shared" si="53"/>
        <v>0</v>
      </c>
      <c r="BV137" s="539">
        <f t="shared" si="53"/>
        <v>0</v>
      </c>
      <c r="BW137" s="539">
        <f t="shared" si="53"/>
        <v>0</v>
      </c>
      <c r="BX137" s="539">
        <f t="shared" si="53"/>
        <v>0</v>
      </c>
      <c r="BY137" s="539">
        <f t="shared" si="53"/>
        <v>0</v>
      </c>
      <c r="BZ137" s="539">
        <f t="shared" si="53"/>
        <v>0</v>
      </c>
      <c r="CA137" s="539">
        <f t="shared" si="53"/>
        <v>0</v>
      </c>
      <c r="CB137" s="539">
        <f t="shared" si="53"/>
        <v>0</v>
      </c>
      <c r="CC137" s="539">
        <f t="shared" si="53"/>
        <v>0</v>
      </c>
      <c r="CD137" s="539">
        <f t="shared" si="53"/>
        <v>0</v>
      </c>
      <c r="CE137" s="539">
        <f t="shared" si="53"/>
        <v>0</v>
      </c>
      <c r="CF137" s="539">
        <f t="shared" si="53"/>
        <v>0</v>
      </c>
      <c r="CG137" s="539">
        <f t="shared" si="53"/>
        <v>0</v>
      </c>
      <c r="CH137" s="539">
        <f t="shared" si="53"/>
        <v>0</v>
      </c>
      <c r="CI137" s="539">
        <f t="shared" si="53"/>
        <v>0</v>
      </c>
      <c r="CJ137" s="539">
        <f t="shared" si="53"/>
        <v>0</v>
      </c>
      <c r="CK137" s="539">
        <f t="shared" si="53"/>
        <v>0</v>
      </c>
      <c r="CL137" s="539">
        <f t="shared" si="53"/>
        <v>0</v>
      </c>
      <c r="CM137" s="539">
        <f t="shared" si="53"/>
        <v>0</v>
      </c>
      <c r="CN137" s="539">
        <f t="shared" si="53"/>
        <v>0</v>
      </c>
      <c r="CO137" s="539">
        <f t="shared" si="53"/>
        <v>0</v>
      </c>
      <c r="CP137" s="539">
        <f t="shared" si="53"/>
        <v>0</v>
      </c>
      <c r="CQ137" s="539">
        <f t="shared" si="53"/>
        <v>0</v>
      </c>
      <c r="CR137" s="539">
        <f t="shared" si="53"/>
        <v>0</v>
      </c>
      <c r="CS137" s="539">
        <f t="shared" si="53"/>
        <v>0</v>
      </c>
      <c r="CT137" s="539">
        <f t="shared" si="53"/>
        <v>0</v>
      </c>
      <c r="CU137" s="539">
        <f t="shared" si="53"/>
        <v>0</v>
      </c>
      <c r="CV137" s="539">
        <f t="shared" si="53"/>
        <v>0</v>
      </c>
      <c r="CW137" s="539">
        <f t="shared" si="53"/>
        <v>0</v>
      </c>
      <c r="CX137" s="539">
        <f t="shared" si="53"/>
        <v>0</v>
      </c>
      <c r="CY137" s="539">
        <f t="shared" si="53"/>
        <v>0</v>
      </c>
      <c r="CZ137" s="539">
        <f t="shared" si="53"/>
        <v>0</v>
      </c>
      <c r="DA137" s="539">
        <f t="shared" si="53"/>
        <v>0</v>
      </c>
      <c r="DB137" s="539">
        <f t="shared" si="53"/>
        <v>0</v>
      </c>
      <c r="DC137" s="539">
        <f t="shared" si="53"/>
        <v>0</v>
      </c>
      <c r="DD137" s="539">
        <f t="shared" si="53"/>
        <v>0</v>
      </c>
      <c r="DE137" s="539">
        <f t="shared" si="53"/>
        <v>0</v>
      </c>
      <c r="DF137" s="539">
        <f t="shared" si="53"/>
        <v>0</v>
      </c>
      <c r="DG137" s="539">
        <f t="shared" si="53"/>
        <v>0</v>
      </c>
      <c r="DH137" s="539">
        <f t="shared" si="53"/>
        <v>0</v>
      </c>
      <c r="DI137" s="539">
        <f t="shared" si="53"/>
        <v>0</v>
      </c>
      <c r="DJ137" s="539">
        <f t="shared" si="53"/>
        <v>0</v>
      </c>
      <c r="DK137" s="539">
        <f t="shared" si="53"/>
        <v>0</v>
      </c>
      <c r="DL137" s="539">
        <f t="shared" si="53"/>
        <v>0</v>
      </c>
      <c r="DM137" s="539">
        <f t="shared" si="53"/>
        <v>0</v>
      </c>
      <c r="DN137" s="539">
        <f t="shared" si="53"/>
        <v>0</v>
      </c>
      <c r="DO137" s="539">
        <f t="shared" si="53"/>
        <v>0</v>
      </c>
      <c r="DP137" s="539">
        <f t="shared" si="53"/>
        <v>0</v>
      </c>
      <c r="DQ137" s="539">
        <f t="shared" si="53"/>
        <v>0</v>
      </c>
      <c r="DR137" s="539">
        <f t="shared" si="53"/>
        <v>0</v>
      </c>
      <c r="DS137" s="539">
        <f t="shared" si="53"/>
        <v>0</v>
      </c>
      <c r="DT137" s="539">
        <f t="shared" si="53"/>
        <v>0</v>
      </c>
      <c r="DU137" s="539">
        <f t="shared" si="53"/>
        <v>0</v>
      </c>
      <c r="DV137" s="539">
        <f t="shared" si="53"/>
        <v>0</v>
      </c>
      <c r="DW137" s="539">
        <f t="shared" si="53"/>
        <v>0</v>
      </c>
      <c r="DX137" s="539">
        <f t="shared" si="53"/>
        <v>0</v>
      </c>
      <c r="DY137" s="539">
        <f t="shared" si="53"/>
        <v>0</v>
      </c>
      <c r="DZ137" s="539">
        <f t="shared" si="53"/>
        <v>0</v>
      </c>
      <c r="EA137" s="539">
        <f t="shared" si="53"/>
        <v>0</v>
      </c>
      <c r="EB137" s="539">
        <f t="shared" si="53"/>
        <v>0</v>
      </c>
      <c r="EC137" s="539">
        <f t="shared" si="53"/>
        <v>0</v>
      </c>
      <c r="ED137" s="539">
        <f t="shared" si="53"/>
        <v>0</v>
      </c>
      <c r="EE137" s="539">
        <f t="shared" si="53"/>
        <v>0</v>
      </c>
      <c r="EF137" s="539">
        <f t="shared" si="53"/>
        <v>0</v>
      </c>
      <c r="EG137" s="539">
        <f t="shared" si="53"/>
        <v>0</v>
      </c>
    </row>
    <row r="138" spans="5:137" ht="12.75">
      <c r="E138" s="538" t="str">
        <f>E$131</f>
        <v>Trapped cash - retained in the period (net)</v>
      </c>
      <c r="G138" s="539" t="str">
        <f>G$131</f>
        <v>EUR 000s</v>
      </c>
      <c r="H138" s="539">
        <f>H$131</f>
        <v>0</v>
      </c>
      <c r="J138" s="539">
        <f t="shared" si="54" ref="J138:EG138">J$131</f>
        <v>0</v>
      </c>
      <c r="K138" s="539">
        <f t="shared" si="54"/>
        <v>0</v>
      </c>
      <c r="L138" s="539">
        <f t="shared" si="54"/>
        <v>0</v>
      </c>
      <c r="M138" s="539">
        <f t="shared" si="54"/>
        <v>0</v>
      </c>
      <c r="N138" s="539">
        <f t="shared" si="54"/>
        <v>0</v>
      </c>
      <c r="O138" s="539">
        <f t="shared" si="54"/>
        <v>0</v>
      </c>
      <c r="P138" s="539">
        <f t="shared" si="54"/>
        <v>0</v>
      </c>
      <c r="Q138" s="539">
        <f t="shared" si="54"/>
        <v>0</v>
      </c>
      <c r="R138" s="539">
        <f t="shared" si="54"/>
        <v>0</v>
      </c>
      <c r="S138" s="539">
        <f t="shared" si="54"/>
        <v>0</v>
      </c>
      <c r="T138" s="539">
        <f t="shared" si="54"/>
        <v>0</v>
      </c>
      <c r="U138" s="539">
        <f t="shared" si="54"/>
        <v>0</v>
      </c>
      <c r="V138" s="539">
        <f t="shared" si="54"/>
        <v>0</v>
      </c>
      <c r="W138" s="539">
        <f t="shared" si="54"/>
        <v>0</v>
      </c>
      <c r="X138" s="539">
        <f t="shared" si="54"/>
        <v>0</v>
      </c>
      <c r="Y138" s="539">
        <f t="shared" si="54"/>
        <v>0</v>
      </c>
      <c r="Z138" s="539">
        <f t="shared" si="54"/>
        <v>0</v>
      </c>
      <c r="AA138" s="539">
        <f t="shared" si="54"/>
        <v>0</v>
      </c>
      <c r="AB138" s="539">
        <f t="shared" si="54"/>
        <v>0</v>
      </c>
      <c r="AC138" s="539">
        <f t="shared" si="54"/>
        <v>0</v>
      </c>
      <c r="AD138" s="539">
        <f t="shared" si="54"/>
        <v>0</v>
      </c>
      <c r="AE138" s="539">
        <f t="shared" si="54"/>
        <v>0</v>
      </c>
      <c r="AF138" s="539">
        <f t="shared" si="54"/>
        <v>0</v>
      </c>
      <c r="AG138" s="539">
        <f t="shared" si="54"/>
        <v>0</v>
      </c>
      <c r="AH138" s="539">
        <f t="shared" si="54"/>
        <v>0</v>
      </c>
      <c r="AI138" s="539">
        <f t="shared" si="54"/>
        <v>0</v>
      </c>
      <c r="AJ138" s="539">
        <f t="shared" si="54"/>
        <v>0</v>
      </c>
      <c r="AK138" s="539">
        <f t="shared" si="54"/>
        <v>0</v>
      </c>
      <c r="AL138" s="539">
        <f t="shared" si="54"/>
        <v>0</v>
      </c>
      <c r="AM138" s="539">
        <f t="shared" si="54"/>
        <v>0</v>
      </c>
      <c r="AN138" s="539">
        <f t="shared" si="54"/>
        <v>0</v>
      </c>
      <c r="AO138" s="539">
        <f t="shared" si="54"/>
        <v>0</v>
      </c>
      <c r="AP138" s="539">
        <f t="shared" si="54"/>
        <v>0</v>
      </c>
      <c r="AQ138" s="539">
        <f t="shared" si="54"/>
        <v>0</v>
      </c>
      <c r="AR138" s="539">
        <f t="shared" si="54"/>
        <v>0</v>
      </c>
      <c r="AS138" s="539">
        <f t="shared" si="54"/>
        <v>0</v>
      </c>
      <c r="AT138" s="539">
        <f t="shared" si="54"/>
        <v>0</v>
      </c>
      <c r="AU138" s="539">
        <f t="shared" si="54"/>
        <v>0</v>
      </c>
      <c r="AV138" s="539">
        <f t="shared" si="54"/>
        <v>0</v>
      </c>
      <c r="AW138" s="539">
        <f t="shared" si="54"/>
        <v>0</v>
      </c>
      <c r="AX138" s="539">
        <f t="shared" si="54"/>
        <v>0</v>
      </c>
      <c r="AY138" s="539">
        <f t="shared" si="54"/>
        <v>0</v>
      </c>
      <c r="AZ138" s="539">
        <f t="shared" si="54"/>
        <v>0</v>
      </c>
      <c r="BA138" s="539">
        <f t="shared" si="54"/>
        <v>0</v>
      </c>
      <c r="BB138" s="539">
        <f t="shared" si="54"/>
        <v>0</v>
      </c>
      <c r="BC138" s="539">
        <f t="shared" si="54"/>
        <v>0</v>
      </c>
      <c r="BD138" s="539">
        <f t="shared" si="54"/>
        <v>0</v>
      </c>
      <c r="BE138" s="539">
        <f t="shared" si="54"/>
        <v>0</v>
      </c>
      <c r="BF138" s="539">
        <f t="shared" si="54"/>
        <v>0</v>
      </c>
      <c r="BG138" s="539">
        <f t="shared" si="54"/>
        <v>0</v>
      </c>
      <c r="BH138" s="539">
        <f t="shared" si="54"/>
        <v>0</v>
      </c>
      <c r="BI138" s="539">
        <f t="shared" si="54"/>
        <v>0</v>
      </c>
      <c r="BJ138" s="539">
        <f t="shared" si="54"/>
        <v>0</v>
      </c>
      <c r="BK138" s="539">
        <f t="shared" si="54"/>
        <v>0</v>
      </c>
      <c r="BL138" s="539">
        <f t="shared" si="54"/>
        <v>0</v>
      </c>
      <c r="BM138" s="539">
        <f t="shared" si="54"/>
        <v>0</v>
      </c>
      <c r="BN138" s="539">
        <f t="shared" si="54"/>
        <v>0</v>
      </c>
      <c r="BO138" s="539">
        <f t="shared" si="54"/>
        <v>0</v>
      </c>
      <c r="BP138" s="539">
        <f t="shared" si="54"/>
        <v>0</v>
      </c>
      <c r="BQ138" s="539">
        <f t="shared" si="54"/>
        <v>0</v>
      </c>
      <c r="BR138" s="539">
        <f t="shared" si="54"/>
        <v>0</v>
      </c>
      <c r="BS138" s="539">
        <f t="shared" si="54"/>
        <v>0</v>
      </c>
      <c r="BT138" s="539">
        <f t="shared" si="54"/>
        <v>0</v>
      </c>
      <c r="BU138" s="539">
        <f t="shared" si="54"/>
        <v>0</v>
      </c>
      <c r="BV138" s="539">
        <f t="shared" si="54"/>
        <v>0</v>
      </c>
      <c r="BW138" s="539">
        <f t="shared" si="54"/>
        <v>0</v>
      </c>
      <c r="BX138" s="539">
        <f t="shared" si="54"/>
        <v>0</v>
      </c>
      <c r="BY138" s="539">
        <f t="shared" si="54"/>
        <v>0</v>
      </c>
      <c r="BZ138" s="539">
        <f t="shared" si="54"/>
        <v>0</v>
      </c>
      <c r="CA138" s="539">
        <f t="shared" si="54"/>
        <v>0</v>
      </c>
      <c r="CB138" s="539">
        <f t="shared" si="54"/>
        <v>0</v>
      </c>
      <c r="CC138" s="539">
        <f t="shared" si="54"/>
        <v>0</v>
      </c>
      <c r="CD138" s="539">
        <f t="shared" si="54"/>
        <v>0</v>
      </c>
      <c r="CE138" s="539">
        <f t="shared" si="54"/>
        <v>0</v>
      </c>
      <c r="CF138" s="539">
        <f t="shared" si="54"/>
        <v>0</v>
      </c>
      <c r="CG138" s="539">
        <f t="shared" si="54"/>
        <v>0</v>
      </c>
      <c r="CH138" s="539">
        <f t="shared" si="54"/>
        <v>0</v>
      </c>
      <c r="CI138" s="539">
        <f t="shared" si="54"/>
        <v>0</v>
      </c>
      <c r="CJ138" s="539">
        <f t="shared" si="54"/>
        <v>0</v>
      </c>
      <c r="CK138" s="539">
        <f t="shared" si="54"/>
        <v>0</v>
      </c>
      <c r="CL138" s="539">
        <f t="shared" si="54"/>
        <v>0</v>
      </c>
      <c r="CM138" s="539">
        <f t="shared" si="54"/>
        <v>0</v>
      </c>
      <c r="CN138" s="539">
        <f t="shared" si="54"/>
        <v>0</v>
      </c>
      <c r="CO138" s="539">
        <f t="shared" si="54"/>
        <v>0</v>
      </c>
      <c r="CP138" s="539">
        <f t="shared" si="54"/>
        <v>0</v>
      </c>
      <c r="CQ138" s="539">
        <f t="shared" si="54"/>
        <v>0</v>
      </c>
      <c r="CR138" s="539">
        <f t="shared" si="54"/>
        <v>0</v>
      </c>
      <c r="CS138" s="539">
        <f t="shared" si="54"/>
        <v>0</v>
      </c>
      <c r="CT138" s="539">
        <f t="shared" si="54"/>
        <v>0</v>
      </c>
      <c r="CU138" s="539">
        <f t="shared" si="54"/>
        <v>0</v>
      </c>
      <c r="CV138" s="539">
        <f t="shared" si="54"/>
        <v>0</v>
      </c>
      <c r="CW138" s="539">
        <f t="shared" si="54"/>
        <v>0</v>
      </c>
      <c r="CX138" s="539">
        <f t="shared" si="54"/>
        <v>0</v>
      </c>
      <c r="CY138" s="539">
        <f t="shared" si="54"/>
        <v>0</v>
      </c>
      <c r="CZ138" s="539">
        <f t="shared" si="54"/>
        <v>0</v>
      </c>
      <c r="DA138" s="539">
        <f t="shared" si="54"/>
        <v>0</v>
      </c>
      <c r="DB138" s="539">
        <f t="shared" si="54"/>
        <v>0</v>
      </c>
      <c r="DC138" s="539">
        <f t="shared" si="54"/>
        <v>0</v>
      </c>
      <c r="DD138" s="539">
        <f t="shared" si="54"/>
        <v>0</v>
      </c>
      <c r="DE138" s="539">
        <f t="shared" si="54"/>
        <v>0</v>
      </c>
      <c r="DF138" s="539">
        <f t="shared" si="54"/>
        <v>0</v>
      </c>
      <c r="DG138" s="539">
        <f t="shared" si="54"/>
        <v>0</v>
      </c>
      <c r="DH138" s="539">
        <f t="shared" si="54"/>
        <v>0</v>
      </c>
      <c r="DI138" s="539">
        <f t="shared" si="54"/>
        <v>0</v>
      </c>
      <c r="DJ138" s="539">
        <f t="shared" si="54"/>
        <v>0</v>
      </c>
      <c r="DK138" s="539">
        <f t="shared" si="54"/>
        <v>0</v>
      </c>
      <c r="DL138" s="539">
        <f t="shared" si="54"/>
        <v>0</v>
      </c>
      <c r="DM138" s="539">
        <f t="shared" si="54"/>
        <v>0</v>
      </c>
      <c r="DN138" s="539">
        <f t="shared" si="54"/>
        <v>0</v>
      </c>
      <c r="DO138" s="539">
        <f t="shared" si="54"/>
        <v>0</v>
      </c>
      <c r="DP138" s="539">
        <f t="shared" si="54"/>
        <v>0</v>
      </c>
      <c r="DQ138" s="539">
        <f t="shared" si="54"/>
        <v>0</v>
      </c>
      <c r="DR138" s="539">
        <f t="shared" si="54"/>
        <v>0</v>
      </c>
      <c r="DS138" s="539">
        <f t="shared" si="54"/>
        <v>0</v>
      </c>
      <c r="DT138" s="539">
        <f t="shared" si="54"/>
        <v>0</v>
      </c>
      <c r="DU138" s="539">
        <f t="shared" si="54"/>
        <v>0</v>
      </c>
      <c r="DV138" s="539">
        <f t="shared" si="54"/>
        <v>0</v>
      </c>
      <c r="DW138" s="539">
        <f t="shared" si="54"/>
        <v>0</v>
      </c>
      <c r="DX138" s="539">
        <f t="shared" si="54"/>
        <v>0</v>
      </c>
      <c r="DY138" s="539">
        <f t="shared" si="54"/>
        <v>0</v>
      </c>
      <c r="DZ138" s="539">
        <f t="shared" si="54"/>
        <v>0</v>
      </c>
      <c r="EA138" s="539">
        <f t="shared" si="54"/>
        <v>0</v>
      </c>
      <c r="EB138" s="539">
        <f t="shared" si="54"/>
        <v>0</v>
      </c>
      <c r="EC138" s="539">
        <f t="shared" si="54"/>
        <v>0</v>
      </c>
      <c r="ED138" s="539">
        <f t="shared" si="54"/>
        <v>0</v>
      </c>
      <c r="EE138" s="539">
        <f t="shared" si="54"/>
        <v>0</v>
      </c>
      <c r="EF138" s="539">
        <f t="shared" si="54"/>
        <v>0</v>
      </c>
      <c r="EG138" s="539">
        <f t="shared" si="54"/>
        <v>0</v>
      </c>
    </row>
    <row r="139" spans="5:137" ht="12.75">
      <c r="E139" s="538" t="str">
        <f>E$135</f>
        <v>Trapped cash - released on recovery</v>
      </c>
      <c r="G139" s="539" t="str">
        <f>G$135</f>
        <v>EUR 000s</v>
      </c>
      <c r="H139" s="539">
        <f>H$135</f>
        <v>0</v>
      </c>
      <c r="J139" s="539">
        <f t="shared" si="55" ref="J139:EG139">J$135</f>
        <v>0</v>
      </c>
      <c r="K139" s="539">
        <f t="shared" si="55"/>
        <v>0</v>
      </c>
      <c r="L139" s="539">
        <f t="shared" si="55"/>
        <v>0</v>
      </c>
      <c r="M139" s="539">
        <f t="shared" si="55"/>
        <v>0</v>
      </c>
      <c r="N139" s="539">
        <f t="shared" si="55"/>
        <v>0</v>
      </c>
      <c r="O139" s="539">
        <f t="shared" si="55"/>
        <v>0</v>
      </c>
      <c r="P139" s="539">
        <f t="shared" si="55"/>
        <v>0</v>
      </c>
      <c r="Q139" s="539">
        <f t="shared" si="55"/>
        <v>0</v>
      </c>
      <c r="R139" s="539">
        <f t="shared" si="55"/>
        <v>0</v>
      </c>
      <c r="S139" s="539">
        <f t="shared" si="55"/>
        <v>0</v>
      </c>
      <c r="T139" s="539">
        <f t="shared" si="55"/>
        <v>0</v>
      </c>
      <c r="U139" s="539">
        <f t="shared" si="55"/>
        <v>0</v>
      </c>
      <c r="V139" s="539">
        <f t="shared" si="55"/>
        <v>0</v>
      </c>
      <c r="W139" s="539">
        <f t="shared" si="55"/>
        <v>0</v>
      </c>
      <c r="X139" s="539">
        <f t="shared" si="55"/>
        <v>0</v>
      </c>
      <c r="Y139" s="539">
        <f t="shared" si="55"/>
        <v>0</v>
      </c>
      <c r="Z139" s="539">
        <f t="shared" si="55"/>
        <v>0</v>
      </c>
      <c r="AA139" s="539">
        <f t="shared" si="55"/>
        <v>0</v>
      </c>
      <c r="AB139" s="539">
        <f t="shared" si="55"/>
        <v>0</v>
      </c>
      <c r="AC139" s="539">
        <f t="shared" si="55"/>
        <v>0</v>
      </c>
      <c r="AD139" s="539">
        <f t="shared" si="55"/>
        <v>0</v>
      </c>
      <c r="AE139" s="539">
        <f t="shared" si="55"/>
        <v>0</v>
      </c>
      <c r="AF139" s="539">
        <f t="shared" si="55"/>
        <v>0</v>
      </c>
      <c r="AG139" s="539">
        <f t="shared" si="55"/>
        <v>0</v>
      </c>
      <c r="AH139" s="539">
        <f t="shared" si="55"/>
        <v>0</v>
      </c>
      <c r="AI139" s="539">
        <f t="shared" si="55"/>
        <v>0</v>
      </c>
      <c r="AJ139" s="539">
        <f t="shared" si="55"/>
        <v>0</v>
      </c>
      <c r="AK139" s="539">
        <f t="shared" si="55"/>
        <v>0</v>
      </c>
      <c r="AL139" s="539">
        <f t="shared" si="55"/>
        <v>0</v>
      </c>
      <c r="AM139" s="539">
        <f t="shared" si="55"/>
        <v>0</v>
      </c>
      <c r="AN139" s="539">
        <f t="shared" si="55"/>
        <v>0</v>
      </c>
      <c r="AO139" s="539">
        <f t="shared" si="55"/>
        <v>0</v>
      </c>
      <c r="AP139" s="539">
        <f t="shared" si="55"/>
        <v>0</v>
      </c>
      <c r="AQ139" s="539">
        <f t="shared" si="55"/>
        <v>0</v>
      </c>
      <c r="AR139" s="539">
        <f t="shared" si="55"/>
        <v>0</v>
      </c>
      <c r="AS139" s="539">
        <f t="shared" si="55"/>
        <v>0</v>
      </c>
      <c r="AT139" s="539">
        <f t="shared" si="55"/>
        <v>0</v>
      </c>
      <c r="AU139" s="539">
        <f t="shared" si="55"/>
        <v>0</v>
      </c>
      <c r="AV139" s="539">
        <f t="shared" si="55"/>
        <v>0</v>
      </c>
      <c r="AW139" s="539">
        <f t="shared" si="55"/>
        <v>0</v>
      </c>
      <c r="AX139" s="539">
        <f t="shared" si="55"/>
        <v>0</v>
      </c>
      <c r="AY139" s="539">
        <f t="shared" si="55"/>
        <v>0</v>
      </c>
      <c r="AZ139" s="539">
        <f t="shared" si="55"/>
        <v>0</v>
      </c>
      <c r="BA139" s="539">
        <f t="shared" si="55"/>
        <v>0</v>
      </c>
      <c r="BB139" s="539">
        <f t="shared" si="55"/>
        <v>0</v>
      </c>
      <c r="BC139" s="539">
        <f t="shared" si="55"/>
        <v>0</v>
      </c>
      <c r="BD139" s="539">
        <f t="shared" si="55"/>
        <v>0</v>
      </c>
      <c r="BE139" s="539">
        <f t="shared" si="55"/>
        <v>0</v>
      </c>
      <c r="BF139" s="539">
        <f t="shared" si="55"/>
        <v>0</v>
      </c>
      <c r="BG139" s="539">
        <f t="shared" si="55"/>
        <v>0</v>
      </c>
      <c r="BH139" s="539">
        <f t="shared" si="55"/>
        <v>0</v>
      </c>
      <c r="BI139" s="539">
        <f t="shared" si="55"/>
        <v>0</v>
      </c>
      <c r="BJ139" s="539">
        <f t="shared" si="55"/>
        <v>0</v>
      </c>
      <c r="BK139" s="539">
        <f t="shared" si="55"/>
        <v>0</v>
      </c>
      <c r="BL139" s="539">
        <f t="shared" si="55"/>
        <v>0</v>
      </c>
      <c r="BM139" s="539">
        <f t="shared" si="55"/>
        <v>0</v>
      </c>
      <c r="BN139" s="539">
        <f t="shared" si="55"/>
        <v>0</v>
      </c>
      <c r="BO139" s="539">
        <f t="shared" si="55"/>
        <v>0</v>
      </c>
      <c r="BP139" s="539">
        <f t="shared" si="55"/>
        <v>0</v>
      </c>
      <c r="BQ139" s="539">
        <f t="shared" si="55"/>
        <v>0</v>
      </c>
      <c r="BR139" s="539">
        <f t="shared" si="55"/>
        <v>0</v>
      </c>
      <c r="BS139" s="539">
        <f t="shared" si="55"/>
        <v>0</v>
      </c>
      <c r="BT139" s="539">
        <f t="shared" si="55"/>
        <v>0</v>
      </c>
      <c r="BU139" s="539">
        <f t="shared" si="55"/>
        <v>0</v>
      </c>
      <c r="BV139" s="539">
        <f t="shared" si="55"/>
        <v>0</v>
      </c>
      <c r="BW139" s="539">
        <f t="shared" si="55"/>
        <v>0</v>
      </c>
      <c r="BX139" s="539">
        <f t="shared" si="55"/>
        <v>0</v>
      </c>
      <c r="BY139" s="539">
        <f t="shared" si="55"/>
        <v>0</v>
      </c>
      <c r="BZ139" s="539">
        <f t="shared" si="55"/>
        <v>0</v>
      </c>
      <c r="CA139" s="539">
        <f t="shared" si="55"/>
        <v>0</v>
      </c>
      <c r="CB139" s="539">
        <f t="shared" si="55"/>
        <v>0</v>
      </c>
      <c r="CC139" s="539">
        <f t="shared" si="55"/>
        <v>0</v>
      </c>
      <c r="CD139" s="539">
        <f t="shared" si="55"/>
        <v>0</v>
      </c>
      <c r="CE139" s="539">
        <f t="shared" si="55"/>
        <v>0</v>
      </c>
      <c r="CF139" s="539">
        <f t="shared" si="55"/>
        <v>0</v>
      </c>
      <c r="CG139" s="539">
        <f t="shared" si="55"/>
        <v>0</v>
      </c>
      <c r="CH139" s="539">
        <f t="shared" si="55"/>
        <v>0</v>
      </c>
      <c r="CI139" s="539">
        <f t="shared" si="55"/>
        <v>0</v>
      </c>
      <c r="CJ139" s="539">
        <f t="shared" si="55"/>
        <v>0</v>
      </c>
      <c r="CK139" s="539">
        <f t="shared" si="55"/>
        <v>0</v>
      </c>
      <c r="CL139" s="539">
        <f t="shared" si="55"/>
        <v>0</v>
      </c>
      <c r="CM139" s="539">
        <f t="shared" si="55"/>
        <v>0</v>
      </c>
      <c r="CN139" s="539">
        <f t="shared" si="55"/>
        <v>0</v>
      </c>
      <c r="CO139" s="539">
        <f t="shared" si="55"/>
        <v>0</v>
      </c>
      <c r="CP139" s="539">
        <f t="shared" si="55"/>
        <v>0</v>
      </c>
      <c r="CQ139" s="539">
        <f t="shared" si="55"/>
        <v>0</v>
      </c>
      <c r="CR139" s="539">
        <f t="shared" si="55"/>
        <v>0</v>
      </c>
      <c r="CS139" s="539">
        <f t="shared" si="55"/>
        <v>0</v>
      </c>
      <c r="CT139" s="539">
        <f t="shared" si="55"/>
        <v>0</v>
      </c>
      <c r="CU139" s="539">
        <f t="shared" si="55"/>
        <v>0</v>
      </c>
      <c r="CV139" s="539">
        <f t="shared" si="55"/>
        <v>0</v>
      </c>
      <c r="CW139" s="539">
        <f t="shared" si="55"/>
        <v>0</v>
      </c>
      <c r="CX139" s="539">
        <f t="shared" si="55"/>
        <v>0</v>
      </c>
      <c r="CY139" s="539">
        <f t="shared" si="55"/>
        <v>0</v>
      </c>
      <c r="CZ139" s="539">
        <f t="shared" si="55"/>
        <v>0</v>
      </c>
      <c r="DA139" s="539">
        <f t="shared" si="55"/>
        <v>0</v>
      </c>
      <c r="DB139" s="539">
        <f t="shared" si="55"/>
        <v>0</v>
      </c>
      <c r="DC139" s="539">
        <f t="shared" si="55"/>
        <v>0</v>
      </c>
      <c r="DD139" s="539">
        <f t="shared" si="55"/>
        <v>0</v>
      </c>
      <c r="DE139" s="539">
        <f t="shared" si="55"/>
        <v>0</v>
      </c>
      <c r="DF139" s="539">
        <f t="shared" si="55"/>
        <v>0</v>
      </c>
      <c r="DG139" s="539">
        <f t="shared" si="55"/>
        <v>0</v>
      </c>
      <c r="DH139" s="539">
        <f t="shared" si="55"/>
        <v>0</v>
      </c>
      <c r="DI139" s="539">
        <f t="shared" si="55"/>
        <v>0</v>
      </c>
      <c r="DJ139" s="539">
        <f t="shared" si="55"/>
        <v>0</v>
      </c>
      <c r="DK139" s="539">
        <f t="shared" si="55"/>
        <v>0</v>
      </c>
      <c r="DL139" s="539">
        <f t="shared" si="55"/>
        <v>0</v>
      </c>
      <c r="DM139" s="539">
        <f t="shared" si="55"/>
        <v>0</v>
      </c>
      <c r="DN139" s="539">
        <f t="shared" si="55"/>
        <v>0</v>
      </c>
      <c r="DO139" s="539">
        <f t="shared" si="55"/>
        <v>0</v>
      </c>
      <c r="DP139" s="539">
        <f t="shared" si="55"/>
        <v>0</v>
      </c>
      <c r="DQ139" s="539">
        <f t="shared" si="55"/>
        <v>0</v>
      </c>
      <c r="DR139" s="539">
        <f t="shared" si="55"/>
        <v>0</v>
      </c>
      <c r="DS139" s="539">
        <f t="shared" si="55"/>
        <v>0</v>
      </c>
      <c r="DT139" s="539">
        <f t="shared" si="55"/>
        <v>0</v>
      </c>
      <c r="DU139" s="539">
        <f t="shared" si="55"/>
        <v>0</v>
      </c>
      <c r="DV139" s="539">
        <f t="shared" si="55"/>
        <v>0</v>
      </c>
      <c r="DW139" s="539">
        <f t="shared" si="55"/>
        <v>0</v>
      </c>
      <c r="DX139" s="539">
        <f t="shared" si="55"/>
        <v>0</v>
      </c>
      <c r="DY139" s="539">
        <f t="shared" si="55"/>
        <v>0</v>
      </c>
      <c r="DZ139" s="539">
        <f t="shared" si="55"/>
        <v>0</v>
      </c>
      <c r="EA139" s="539">
        <f t="shared" si="55"/>
        <v>0</v>
      </c>
      <c r="EB139" s="539">
        <f t="shared" si="55"/>
        <v>0</v>
      </c>
      <c r="EC139" s="539">
        <f t="shared" si="55"/>
        <v>0</v>
      </c>
      <c r="ED139" s="539">
        <f t="shared" si="55"/>
        <v>0</v>
      </c>
      <c r="EE139" s="539">
        <f t="shared" si="55"/>
        <v>0</v>
      </c>
      <c r="EF139" s="539">
        <f t="shared" si="55"/>
        <v>0</v>
      </c>
      <c r="EG139" s="539">
        <f t="shared" si="55"/>
        <v>0</v>
      </c>
    </row>
    <row r="140" spans="5:137" ht="12.75">
      <c r="E140" s="538" t="s">
        <v>423</v>
      </c>
      <c r="G140" s="539" t="s">
        <v>30</v>
      </c>
      <c r="H140" s="539">
        <f>SUM(J140:EG140)</f>
        <v>0</v>
      </c>
      <c r="J140" s="539">
        <f t="shared" si="56" ref="J140:EG140">J137+J138-J139</f>
        <v>0</v>
      </c>
      <c r="K140" s="539">
        <f t="shared" si="56"/>
        <v>0</v>
      </c>
      <c r="L140" s="539">
        <f t="shared" si="56"/>
        <v>0</v>
      </c>
      <c r="M140" s="539">
        <f t="shared" si="56"/>
        <v>0</v>
      </c>
      <c r="N140" s="539">
        <f t="shared" si="56"/>
        <v>0</v>
      </c>
      <c r="O140" s="539">
        <f t="shared" si="56"/>
        <v>0</v>
      </c>
      <c r="P140" s="539">
        <f t="shared" si="56"/>
        <v>0</v>
      </c>
      <c r="Q140" s="539">
        <f t="shared" si="56"/>
        <v>0</v>
      </c>
      <c r="R140" s="539">
        <f t="shared" si="56"/>
        <v>0</v>
      </c>
      <c r="S140" s="539">
        <f t="shared" si="56"/>
        <v>0</v>
      </c>
      <c r="T140" s="539">
        <f t="shared" si="56"/>
        <v>0</v>
      </c>
      <c r="U140" s="539">
        <f t="shared" si="56"/>
        <v>0</v>
      </c>
      <c r="V140" s="539">
        <f t="shared" si="56"/>
        <v>0</v>
      </c>
      <c r="W140" s="539">
        <f t="shared" si="56"/>
        <v>0</v>
      </c>
      <c r="X140" s="539">
        <f t="shared" si="56"/>
        <v>0</v>
      </c>
      <c r="Y140" s="539">
        <f t="shared" si="56"/>
        <v>0</v>
      </c>
      <c r="Z140" s="539">
        <f t="shared" si="56"/>
        <v>0</v>
      </c>
      <c r="AA140" s="539">
        <f t="shared" si="56"/>
        <v>0</v>
      </c>
      <c r="AB140" s="539">
        <f t="shared" si="56"/>
        <v>0</v>
      </c>
      <c r="AC140" s="539">
        <f t="shared" si="56"/>
        <v>0</v>
      </c>
      <c r="AD140" s="539">
        <f t="shared" si="56"/>
        <v>0</v>
      </c>
      <c r="AE140" s="539">
        <f t="shared" si="56"/>
        <v>0</v>
      </c>
      <c r="AF140" s="539">
        <f t="shared" si="56"/>
        <v>0</v>
      </c>
      <c r="AG140" s="539">
        <f t="shared" si="56"/>
        <v>0</v>
      </c>
      <c r="AH140" s="539">
        <f t="shared" si="56"/>
        <v>0</v>
      </c>
      <c r="AI140" s="539">
        <f t="shared" si="56"/>
        <v>0</v>
      </c>
      <c r="AJ140" s="539">
        <f t="shared" si="56"/>
        <v>0</v>
      </c>
      <c r="AK140" s="539">
        <f t="shared" si="56"/>
        <v>0</v>
      </c>
      <c r="AL140" s="539">
        <f t="shared" si="56"/>
        <v>0</v>
      </c>
      <c r="AM140" s="539">
        <f t="shared" si="56"/>
        <v>0</v>
      </c>
      <c r="AN140" s="539">
        <f t="shared" si="56"/>
        <v>0</v>
      </c>
      <c r="AO140" s="539">
        <f t="shared" si="56"/>
        <v>0</v>
      </c>
      <c r="AP140" s="539">
        <f t="shared" si="56"/>
        <v>0</v>
      </c>
      <c r="AQ140" s="539">
        <f t="shared" si="56"/>
        <v>0</v>
      </c>
      <c r="AR140" s="539">
        <f t="shared" si="56"/>
        <v>0</v>
      </c>
      <c r="AS140" s="539">
        <f t="shared" si="56"/>
        <v>0</v>
      </c>
      <c r="AT140" s="539">
        <f t="shared" si="56"/>
        <v>0</v>
      </c>
      <c r="AU140" s="539">
        <f t="shared" si="56"/>
        <v>0</v>
      </c>
      <c r="AV140" s="539">
        <f t="shared" si="56"/>
        <v>0</v>
      </c>
      <c r="AW140" s="539">
        <f t="shared" si="56"/>
        <v>0</v>
      </c>
      <c r="AX140" s="539">
        <f t="shared" si="56"/>
        <v>0</v>
      </c>
      <c r="AY140" s="539">
        <f t="shared" si="56"/>
        <v>0</v>
      </c>
      <c r="AZ140" s="539">
        <f t="shared" si="56"/>
        <v>0</v>
      </c>
      <c r="BA140" s="539">
        <f t="shared" si="56"/>
        <v>0</v>
      </c>
      <c r="BB140" s="539">
        <f t="shared" si="56"/>
        <v>0</v>
      </c>
      <c r="BC140" s="539">
        <f t="shared" si="56"/>
        <v>0</v>
      </c>
      <c r="BD140" s="539">
        <f t="shared" si="56"/>
        <v>0</v>
      </c>
      <c r="BE140" s="539">
        <f t="shared" si="56"/>
        <v>0</v>
      </c>
      <c r="BF140" s="539">
        <f t="shared" si="56"/>
        <v>0</v>
      </c>
      <c r="BG140" s="539">
        <f t="shared" si="56"/>
        <v>0</v>
      </c>
      <c r="BH140" s="539">
        <f t="shared" si="56"/>
        <v>0</v>
      </c>
      <c r="BI140" s="539">
        <f t="shared" si="56"/>
        <v>0</v>
      </c>
      <c r="BJ140" s="539">
        <f t="shared" si="56"/>
        <v>0</v>
      </c>
      <c r="BK140" s="539">
        <f t="shared" si="56"/>
        <v>0</v>
      </c>
      <c r="BL140" s="539">
        <f t="shared" si="56"/>
        <v>0</v>
      </c>
      <c r="BM140" s="539">
        <f t="shared" si="56"/>
        <v>0</v>
      </c>
      <c r="BN140" s="539">
        <f t="shared" si="56"/>
        <v>0</v>
      </c>
      <c r="BO140" s="539">
        <f t="shared" si="56"/>
        <v>0</v>
      </c>
      <c r="BP140" s="539">
        <f t="shared" si="56"/>
        <v>0</v>
      </c>
      <c r="BQ140" s="539">
        <f t="shared" si="56"/>
        <v>0</v>
      </c>
      <c r="BR140" s="539">
        <f t="shared" si="56"/>
        <v>0</v>
      </c>
      <c r="BS140" s="539">
        <f t="shared" si="56"/>
        <v>0</v>
      </c>
      <c r="BT140" s="539">
        <f t="shared" si="56"/>
        <v>0</v>
      </c>
      <c r="BU140" s="539">
        <f t="shared" si="56"/>
        <v>0</v>
      </c>
      <c r="BV140" s="539">
        <f t="shared" si="56"/>
        <v>0</v>
      </c>
      <c r="BW140" s="539">
        <f t="shared" si="56"/>
        <v>0</v>
      </c>
      <c r="BX140" s="539">
        <f t="shared" si="56"/>
        <v>0</v>
      </c>
      <c r="BY140" s="539">
        <f t="shared" si="56"/>
        <v>0</v>
      </c>
      <c r="BZ140" s="539">
        <f t="shared" si="56"/>
        <v>0</v>
      </c>
      <c r="CA140" s="539">
        <f t="shared" si="56"/>
        <v>0</v>
      </c>
      <c r="CB140" s="539">
        <f t="shared" si="56"/>
        <v>0</v>
      </c>
      <c r="CC140" s="539">
        <f t="shared" si="56"/>
        <v>0</v>
      </c>
      <c r="CD140" s="539">
        <f t="shared" si="56"/>
        <v>0</v>
      </c>
      <c r="CE140" s="539">
        <f t="shared" si="56"/>
        <v>0</v>
      </c>
      <c r="CF140" s="539">
        <f t="shared" si="56"/>
        <v>0</v>
      </c>
      <c r="CG140" s="539">
        <f t="shared" si="56"/>
        <v>0</v>
      </c>
      <c r="CH140" s="539">
        <f t="shared" si="56"/>
        <v>0</v>
      </c>
      <c r="CI140" s="539">
        <f t="shared" si="56"/>
        <v>0</v>
      </c>
      <c r="CJ140" s="539">
        <f t="shared" si="56"/>
        <v>0</v>
      </c>
      <c r="CK140" s="539">
        <f t="shared" si="56"/>
        <v>0</v>
      </c>
      <c r="CL140" s="539">
        <f t="shared" si="56"/>
        <v>0</v>
      </c>
      <c r="CM140" s="539">
        <f t="shared" si="56"/>
        <v>0</v>
      </c>
      <c r="CN140" s="539">
        <f t="shared" si="56"/>
        <v>0</v>
      </c>
      <c r="CO140" s="539">
        <f t="shared" si="56"/>
        <v>0</v>
      </c>
      <c r="CP140" s="539">
        <f t="shared" si="56"/>
        <v>0</v>
      </c>
      <c r="CQ140" s="539">
        <f t="shared" si="56"/>
        <v>0</v>
      </c>
      <c r="CR140" s="539">
        <f t="shared" si="56"/>
        <v>0</v>
      </c>
      <c r="CS140" s="539">
        <f t="shared" si="56"/>
        <v>0</v>
      </c>
      <c r="CT140" s="539">
        <f t="shared" si="56"/>
        <v>0</v>
      </c>
      <c r="CU140" s="539">
        <f t="shared" si="56"/>
        <v>0</v>
      </c>
      <c r="CV140" s="539">
        <f t="shared" si="56"/>
        <v>0</v>
      </c>
      <c r="CW140" s="539">
        <f t="shared" si="56"/>
        <v>0</v>
      </c>
      <c r="CX140" s="539">
        <f t="shared" si="56"/>
        <v>0</v>
      </c>
      <c r="CY140" s="539">
        <f t="shared" si="56"/>
        <v>0</v>
      </c>
      <c r="CZ140" s="539">
        <f t="shared" si="56"/>
        <v>0</v>
      </c>
      <c r="DA140" s="539">
        <f t="shared" si="56"/>
        <v>0</v>
      </c>
      <c r="DB140" s="539">
        <f t="shared" si="56"/>
        <v>0</v>
      </c>
      <c r="DC140" s="539">
        <f t="shared" si="56"/>
        <v>0</v>
      </c>
      <c r="DD140" s="539">
        <f t="shared" si="56"/>
        <v>0</v>
      </c>
      <c r="DE140" s="539">
        <f t="shared" si="56"/>
        <v>0</v>
      </c>
      <c r="DF140" s="539">
        <f t="shared" si="56"/>
        <v>0</v>
      </c>
      <c r="DG140" s="539">
        <f t="shared" si="56"/>
        <v>0</v>
      </c>
      <c r="DH140" s="539">
        <f t="shared" si="56"/>
        <v>0</v>
      </c>
      <c r="DI140" s="539">
        <f t="shared" si="56"/>
        <v>0</v>
      </c>
      <c r="DJ140" s="539">
        <f t="shared" si="56"/>
        <v>0</v>
      </c>
      <c r="DK140" s="539">
        <f t="shared" si="56"/>
        <v>0</v>
      </c>
      <c r="DL140" s="539">
        <f t="shared" si="56"/>
        <v>0</v>
      </c>
      <c r="DM140" s="539">
        <f t="shared" si="56"/>
        <v>0</v>
      </c>
      <c r="DN140" s="539">
        <f t="shared" si="56"/>
        <v>0</v>
      </c>
      <c r="DO140" s="539">
        <f t="shared" si="56"/>
        <v>0</v>
      </c>
      <c r="DP140" s="539">
        <f t="shared" si="56"/>
        <v>0</v>
      </c>
      <c r="DQ140" s="539">
        <f t="shared" si="56"/>
        <v>0</v>
      </c>
      <c r="DR140" s="539">
        <f t="shared" si="56"/>
        <v>0</v>
      </c>
      <c r="DS140" s="539">
        <f t="shared" si="56"/>
        <v>0</v>
      </c>
      <c r="DT140" s="539">
        <f t="shared" si="56"/>
        <v>0</v>
      </c>
      <c r="DU140" s="539">
        <f t="shared" si="56"/>
        <v>0</v>
      </c>
      <c r="DV140" s="539">
        <f t="shared" si="56"/>
        <v>0</v>
      </c>
      <c r="DW140" s="539">
        <f t="shared" si="56"/>
        <v>0</v>
      </c>
      <c r="DX140" s="539">
        <f t="shared" si="56"/>
        <v>0</v>
      </c>
      <c r="DY140" s="539">
        <f t="shared" si="56"/>
        <v>0</v>
      </c>
      <c r="DZ140" s="539">
        <f t="shared" si="56"/>
        <v>0</v>
      </c>
      <c r="EA140" s="539">
        <f t="shared" si="56"/>
        <v>0</v>
      </c>
      <c r="EB140" s="539">
        <f t="shared" si="56"/>
        <v>0</v>
      </c>
      <c r="EC140" s="539">
        <f t="shared" si="56"/>
        <v>0</v>
      </c>
      <c r="ED140" s="539">
        <f t="shared" si="56"/>
        <v>0</v>
      </c>
      <c r="EE140" s="539">
        <f t="shared" si="56"/>
        <v>0</v>
      </c>
      <c r="EF140" s="539">
        <f t="shared" si="56"/>
        <v>0</v>
      </c>
      <c r="EG140" s="539">
        <f t="shared" si="56"/>
        <v>0</v>
      </c>
    </row>
    <row r="143" spans="1:1" ht="12.75">
      <c r="A143" s="534" t="s">
        <v>424</v>
      </c>
    </row>
    <row r="145" spans="5:7" ht="12.75">
      <c r="E145" s="535" t="str">
        <f>InpC!E$128</f>
        <v>Check tolerance</v>
      </c>
      <c r="F145" s="537">
        <f>InpC!F$128</f>
        <v>0.001</v>
      </c>
      <c r="G145" s="537" t="str">
        <f>InpC!G$128</f>
        <v>EUR 000s</v>
      </c>
    </row>
    <row r="146" spans="5:137" ht="12.75">
      <c r="E146" s="538" t="str">
        <f>E$122</f>
        <v>Cash balance - closing</v>
      </c>
      <c r="G146" s="539" t="str">
        <f>G$122</f>
        <v>EUR 000s</v>
      </c>
      <c r="H146" s="539">
        <f>H$122</f>
        <v>21202.690295842913</v>
      </c>
      <c r="J146" s="539">
        <f t="shared" si="57" ref="J146:EG146">J$122</f>
        <v>0</v>
      </c>
      <c r="K146" s="539">
        <f t="shared" si="57"/>
        <v>0</v>
      </c>
      <c r="L146" s="539">
        <f t="shared" si="57"/>
        <v>0</v>
      </c>
      <c r="M146" s="539">
        <f t="shared" si="57"/>
        <v>0</v>
      </c>
      <c r="N146" s="539">
        <f t="shared" si="57"/>
        <v>0</v>
      </c>
      <c r="O146" s="539">
        <f t="shared" si="57"/>
        <v>0</v>
      </c>
      <c r="P146" s="539">
        <f t="shared" si="57"/>
        <v>0</v>
      </c>
      <c r="Q146" s="539">
        <f t="shared" si="57"/>
        <v>0</v>
      </c>
      <c r="R146" s="539">
        <f t="shared" si="57"/>
        <v>0</v>
      </c>
      <c r="S146" s="539">
        <f t="shared" si="57"/>
        <v>0</v>
      </c>
      <c r="T146" s="539">
        <f t="shared" si="57"/>
        <v>0</v>
      </c>
      <c r="U146" s="539">
        <f t="shared" si="57"/>
        <v>0</v>
      </c>
      <c r="V146" s="539">
        <f t="shared" si="57"/>
        <v>0</v>
      </c>
      <c r="W146" s="539">
        <f t="shared" si="57"/>
        <v>0</v>
      </c>
      <c r="X146" s="539">
        <f t="shared" si="57"/>
        <v>0</v>
      </c>
      <c r="Y146" s="539">
        <f t="shared" si="57"/>
        <v>0</v>
      </c>
      <c r="Z146" s="539">
        <f t="shared" si="57"/>
        <v>0</v>
      </c>
      <c r="AA146" s="539">
        <f t="shared" si="57"/>
        <v>0</v>
      </c>
      <c r="AB146" s="539">
        <f t="shared" si="57"/>
        <v>0</v>
      </c>
      <c r="AC146" s="539">
        <f t="shared" si="57"/>
        <v>0</v>
      </c>
      <c r="AD146" s="539">
        <f t="shared" si="57"/>
        <v>0</v>
      </c>
      <c r="AE146" s="539">
        <f t="shared" si="57"/>
        <v>0</v>
      </c>
      <c r="AF146" s="539">
        <f t="shared" si="57"/>
        <v>0</v>
      </c>
      <c r="AG146" s="539">
        <f t="shared" si="57"/>
        <v>0</v>
      </c>
      <c r="AH146" s="539">
        <f t="shared" si="57"/>
        <v>0</v>
      </c>
      <c r="AI146" s="539">
        <f t="shared" si="57"/>
        <v>0</v>
      </c>
      <c r="AJ146" s="539">
        <f t="shared" si="57"/>
        <v>0</v>
      </c>
      <c r="AK146" s="539">
        <f t="shared" si="57"/>
        <v>0</v>
      </c>
      <c r="AL146" s="539">
        <f t="shared" si="57"/>
        <v>0</v>
      </c>
      <c r="AM146" s="539">
        <f t="shared" si="57"/>
        <v>0</v>
      </c>
      <c r="AN146" s="539">
        <f t="shared" si="57"/>
        <v>0</v>
      </c>
      <c r="AO146" s="539">
        <f t="shared" si="57"/>
        <v>0</v>
      </c>
      <c r="AP146" s="539">
        <f t="shared" si="57"/>
        <v>0</v>
      </c>
      <c r="AQ146" s="539">
        <f t="shared" si="57"/>
        <v>0</v>
      </c>
      <c r="AR146" s="539">
        <f t="shared" si="57"/>
        <v>0</v>
      </c>
      <c r="AS146" s="539">
        <f t="shared" si="57"/>
        <v>0</v>
      </c>
      <c r="AT146" s="539">
        <f t="shared" si="57"/>
        <v>0</v>
      </c>
      <c r="AU146" s="539">
        <f t="shared" si="57"/>
        <v>0</v>
      </c>
      <c r="AV146" s="539">
        <f t="shared" si="57"/>
        <v>0</v>
      </c>
      <c r="AW146" s="539">
        <f t="shared" si="57"/>
        <v>0</v>
      </c>
      <c r="AX146" s="539">
        <f t="shared" si="57"/>
        <v>0</v>
      </c>
      <c r="AY146" s="539">
        <f t="shared" si="57"/>
        <v>0</v>
      </c>
      <c r="AZ146" s="539">
        <f t="shared" si="57"/>
        <v>0</v>
      </c>
      <c r="BA146" s="539">
        <f t="shared" si="57"/>
        <v>0</v>
      </c>
      <c r="BB146" s="539">
        <f t="shared" si="57"/>
        <v>0</v>
      </c>
      <c r="BC146" s="539">
        <f t="shared" si="57"/>
        <v>0</v>
      </c>
      <c r="BD146" s="539">
        <f t="shared" si="57"/>
        <v>0</v>
      </c>
      <c r="BE146" s="539">
        <f t="shared" si="57"/>
        <v>0</v>
      </c>
      <c r="BF146" s="539">
        <f t="shared" si="57"/>
        <v>0</v>
      </c>
      <c r="BG146" s="539">
        <f t="shared" si="57"/>
        <v>0</v>
      </c>
      <c r="BH146" s="539">
        <f t="shared" si="57"/>
        <v>0</v>
      </c>
      <c r="BI146" s="539">
        <f t="shared" si="57"/>
        <v>0</v>
      </c>
      <c r="BJ146" s="539">
        <f t="shared" si="57"/>
        <v>0</v>
      </c>
      <c r="BK146" s="539">
        <f t="shared" si="57"/>
        <v>0</v>
      </c>
      <c r="BL146" s="539">
        <f t="shared" si="57"/>
        <v>0</v>
      </c>
      <c r="BM146" s="539">
        <f t="shared" si="57"/>
        <v>0</v>
      </c>
      <c r="BN146" s="539">
        <f t="shared" si="57"/>
        <v>0</v>
      </c>
      <c r="BO146" s="539">
        <f t="shared" si="57"/>
        <v>0</v>
      </c>
      <c r="BP146" s="539">
        <f t="shared" si="57"/>
        <v>0</v>
      </c>
      <c r="BQ146" s="539">
        <f t="shared" si="57"/>
        <v>0</v>
      </c>
      <c r="BR146" s="539">
        <f t="shared" si="57"/>
        <v>0</v>
      </c>
      <c r="BS146" s="539">
        <f t="shared" si="57"/>
        <v>0</v>
      </c>
      <c r="BT146" s="539">
        <f t="shared" si="57"/>
        <v>0</v>
      </c>
      <c r="BU146" s="539">
        <f t="shared" si="57"/>
        <v>0</v>
      </c>
      <c r="BV146" s="539">
        <f t="shared" si="57"/>
        <v>0</v>
      </c>
      <c r="BW146" s="539">
        <f t="shared" si="57"/>
        <v>0</v>
      </c>
      <c r="BX146" s="539">
        <f t="shared" si="57"/>
        <v>0</v>
      </c>
      <c r="BY146" s="539">
        <f t="shared" si="57"/>
        <v>0</v>
      </c>
      <c r="BZ146" s="539">
        <f t="shared" si="57"/>
        <v>0</v>
      </c>
      <c r="CA146" s="539">
        <f t="shared" si="57"/>
        <v>0</v>
      </c>
      <c r="CB146" s="539">
        <f t="shared" si="57"/>
        <v>0</v>
      </c>
      <c r="CC146" s="539">
        <f t="shared" si="57"/>
        <v>0</v>
      </c>
      <c r="CD146" s="539">
        <f t="shared" si="57"/>
        <v>0</v>
      </c>
      <c r="CE146" s="539">
        <f t="shared" si="57"/>
        <v>0</v>
      </c>
      <c r="CF146" s="539">
        <f t="shared" si="57"/>
        <v>0</v>
      </c>
      <c r="CG146" s="539">
        <f t="shared" si="57"/>
        <v>0</v>
      </c>
      <c r="CH146" s="539">
        <f t="shared" si="57"/>
        <v>0</v>
      </c>
      <c r="CI146" s="539">
        <f t="shared" si="57"/>
        <v>0</v>
      </c>
      <c r="CJ146" s="539">
        <f t="shared" si="57"/>
        <v>0</v>
      </c>
      <c r="CK146" s="539">
        <f t="shared" si="57"/>
        <v>0</v>
      </c>
      <c r="CL146" s="539">
        <f t="shared" si="57"/>
        <v>0</v>
      </c>
      <c r="CM146" s="539">
        <f t="shared" si="57"/>
        <v>0</v>
      </c>
      <c r="CN146" s="539">
        <f t="shared" si="57"/>
        <v>0</v>
      </c>
      <c r="CO146" s="539">
        <f t="shared" si="57"/>
        <v>0</v>
      </c>
      <c r="CP146" s="539">
        <f t="shared" si="57"/>
        <v>0</v>
      </c>
      <c r="CQ146" s="539">
        <f t="shared" si="57"/>
        <v>0</v>
      </c>
      <c r="CR146" s="539">
        <f t="shared" si="57"/>
        <v>0</v>
      </c>
      <c r="CS146" s="539">
        <f t="shared" si="57"/>
        <v>0</v>
      </c>
      <c r="CT146" s="539">
        <f t="shared" si="57"/>
        <v>0</v>
      </c>
      <c r="CU146" s="539">
        <f t="shared" si="57"/>
        <v>0</v>
      </c>
      <c r="CV146" s="539">
        <f t="shared" si="57"/>
        <v>0</v>
      </c>
      <c r="CW146" s="539">
        <f t="shared" si="57"/>
        <v>0</v>
      </c>
      <c r="CX146" s="539">
        <f t="shared" si="57"/>
        <v>0</v>
      </c>
      <c r="CY146" s="539">
        <f t="shared" si="57"/>
        <v>0</v>
      </c>
      <c r="CZ146" s="539">
        <f t="shared" si="57"/>
        <v>0</v>
      </c>
      <c r="DA146" s="539">
        <f t="shared" si="57"/>
        <v>0</v>
      </c>
      <c r="DB146" s="539">
        <f t="shared" si="57"/>
        <v>0</v>
      </c>
      <c r="DC146" s="539">
        <f t="shared" si="57"/>
        <v>0</v>
      </c>
      <c r="DD146" s="539">
        <f t="shared" si="57"/>
        <v>0</v>
      </c>
      <c r="DE146" s="539">
        <f t="shared" si="57"/>
        <v>0</v>
      </c>
      <c r="DF146" s="539">
        <f t="shared" si="57"/>
        <v>0</v>
      </c>
      <c r="DG146" s="539">
        <f t="shared" si="57"/>
        <v>0</v>
      </c>
      <c r="DH146" s="539">
        <f t="shared" si="57"/>
        <v>0</v>
      </c>
      <c r="DI146" s="539">
        <f t="shared" si="57"/>
        <v>0</v>
      </c>
      <c r="DJ146" s="539">
        <f t="shared" si="57"/>
        <v>0</v>
      </c>
      <c r="DK146" s="539">
        <f t="shared" si="57"/>
        <v>0</v>
      </c>
      <c r="DL146" s="539">
        <f t="shared" si="57"/>
        <v>0</v>
      </c>
      <c r="DM146" s="539">
        <f t="shared" si="57"/>
        <v>0</v>
      </c>
      <c r="DN146" s="539">
        <f t="shared" si="57"/>
        <v>0</v>
      </c>
      <c r="DO146" s="539">
        <f t="shared" si="57"/>
        <v>0</v>
      </c>
      <c r="DP146" s="539">
        <f t="shared" si="57"/>
        <v>0</v>
      </c>
      <c r="DQ146" s="539">
        <f t="shared" si="57"/>
        <v>0</v>
      </c>
      <c r="DR146" s="539">
        <f t="shared" si="57"/>
        <v>0</v>
      </c>
      <c r="DS146" s="539">
        <f t="shared" si="57"/>
        <v>0</v>
      </c>
      <c r="DT146" s="539">
        <f t="shared" si="57"/>
        <v>0</v>
      </c>
      <c r="DU146" s="539">
        <f t="shared" si="57"/>
        <v>0</v>
      </c>
      <c r="DV146" s="539">
        <f t="shared" si="57"/>
        <v>0</v>
      </c>
      <c r="DW146" s="539">
        <f t="shared" si="57"/>
        <v>0</v>
      </c>
      <c r="DX146" s="539">
        <f t="shared" si="57"/>
        <v>0</v>
      </c>
      <c r="DY146" s="539">
        <f t="shared" si="57"/>
        <v>1997.2598334849408</v>
      </c>
      <c r="DZ146" s="539">
        <f t="shared" si="57"/>
        <v>4152.3012636137537</v>
      </c>
      <c r="EA146" s="539">
        <f t="shared" si="57"/>
        <v>6402.5633707117795</v>
      </c>
      <c r="EB146" s="539">
        <f t="shared" si="57"/>
        <v>8650.5658280308089</v>
      </c>
      <c r="EC146" s="539">
        <f t="shared" si="57"/>
        <v>0</v>
      </c>
      <c r="ED146" s="539">
        <f t="shared" si="57"/>
        <v>4.0745362639427185E-10</v>
      </c>
      <c r="EE146" s="539">
        <f t="shared" si="57"/>
        <v>4.0745362639427185E-10</v>
      </c>
      <c r="EF146" s="539">
        <f t="shared" si="57"/>
        <v>4.0745362639427185E-10</v>
      </c>
      <c r="EG146" s="539">
        <f t="shared" si="57"/>
        <v>4.0745362639427185E-10</v>
      </c>
    </row>
    <row r="147" spans="5:7" ht="12.75">
      <c r="E147" s="540" t="s">
        <v>425</v>
      </c>
      <c r="F147" s="543">
        <f>IF(MIN($J146:$EG146)&lt;-$F145,1,0)</f>
        <v>0</v>
      </c>
      <c r="G147" s="541" t="s">
        <v>298</v>
      </c>
    </row>
    <row r="149" spans="5:7" ht="12.75">
      <c r="E149" s="535" t="str">
        <f>InpC!E$128</f>
        <v>Check tolerance</v>
      </c>
      <c r="F149" s="537">
        <f>InpC!F$128</f>
        <v>0.001</v>
      </c>
      <c r="G149" s="537" t="str">
        <f>InpC!G$128</f>
        <v>EUR 000s</v>
      </c>
    </row>
    <row r="150" spans="5:137" ht="12.75">
      <c r="E150" s="535" t="str">
        <f>Debt!E$104</f>
        <v>Senior facility - debt service</v>
      </c>
      <c r="G150" s="537" t="str">
        <f>Debt!G$104</f>
        <v>EUR 000s</v>
      </c>
      <c r="H150" s="537">
        <f>Debt!H$104</f>
        <v>350432.93778912647</v>
      </c>
      <c r="J150" s="537">
        <f>Debt!J$104</f>
        <v>0</v>
      </c>
      <c r="K150" s="537">
        <f>Debt!K$104</f>
        <v>0</v>
      </c>
      <c r="L150" s="537">
        <f>Debt!L$104</f>
        <v>0</v>
      </c>
      <c r="M150" s="537">
        <f>Debt!M$104</f>
        <v>0</v>
      </c>
      <c r="N150" s="537">
        <f>Debt!N$104</f>
        <v>0</v>
      </c>
      <c r="O150" s="537">
        <f>Debt!O$104</f>
        <v>0</v>
      </c>
      <c r="P150" s="537">
        <f>Debt!P$104</f>
        <v>-1.8189894035458565E-12</v>
      </c>
      <c r="Q150" s="537">
        <f>Debt!Q$104</f>
        <v>0</v>
      </c>
      <c r="R150" s="537">
        <f>Debt!R$104</f>
        <v>0</v>
      </c>
      <c r="S150" s="537">
        <f>Debt!S$104</f>
        <v>0</v>
      </c>
      <c r="T150" s="537">
        <f>Debt!T$104</f>
        <v>0</v>
      </c>
      <c r="U150" s="537">
        <f>Debt!U$104</f>
        <v>0</v>
      </c>
      <c r="V150" s="537">
        <f>Debt!V$104</f>
        <v>0</v>
      </c>
      <c r="W150" s="537">
        <f>Debt!W$104</f>
        <v>0</v>
      </c>
      <c r="X150" s="537">
        <f>Debt!X$104</f>
        <v>0</v>
      </c>
      <c r="Y150" s="537">
        <f>Debt!Y$104</f>
        <v>0</v>
      </c>
      <c r="Z150" s="537">
        <f>Debt!Z$104</f>
        <v>0</v>
      </c>
      <c r="AA150" s="537">
        <f>Debt!AA$104</f>
        <v>0</v>
      </c>
      <c r="AB150" s="537">
        <f>Debt!AB$104</f>
        <v>0</v>
      </c>
      <c r="AC150" s="537">
        <f>Debt!AC$104</f>
        <v>0</v>
      </c>
      <c r="AD150" s="537">
        <f>Debt!AD$104</f>
        <v>0</v>
      </c>
      <c r="AE150" s="537">
        <f>Debt!AE$104</f>
        <v>0</v>
      </c>
      <c r="AF150" s="537">
        <f>Debt!AF$104</f>
        <v>0</v>
      </c>
      <c r="AG150" s="537">
        <f>Debt!AG$104</f>
        <v>0</v>
      </c>
      <c r="AH150" s="537">
        <f>Debt!AH$104</f>
        <v>3678.8348581698501</v>
      </c>
      <c r="AI150" s="537">
        <f>Debt!AI$104</f>
        <v>4654.4397593286103</v>
      </c>
      <c r="AJ150" s="537">
        <f>Debt!AJ$104</f>
        <v>4654.2133758469154</v>
      </c>
      <c r="AK150" s="537">
        <f>Debt!AK$104</f>
        <v>4644.0261191706895</v>
      </c>
      <c r="AL150" s="537">
        <f>Debt!AL$104</f>
        <v>4693.5855314975461</v>
      </c>
      <c r="AM150" s="537">
        <f>Debt!AM$104</f>
        <v>4736.1435903709635</v>
      </c>
      <c r="AN150" s="537">
        <f>Debt!AN$104</f>
        <v>4735.9144792139659</v>
      </c>
      <c r="AO150" s="537">
        <f>Debt!AO$104</f>
        <v>4725.6044771491152</v>
      </c>
      <c r="AP150" s="537">
        <f>Debt!AP$104</f>
        <v>4776.2218865345076</v>
      </c>
      <c r="AQ150" s="537">
        <f>Debt!AQ$104</f>
        <v>4819.1883943546436</v>
      </c>
      <c r="AR150" s="537">
        <f>Debt!AR$104</f>
        <v>4818.9565473093417</v>
      </c>
      <c r="AS150" s="537">
        <f>Debt!AS$104</f>
        <v>4808.523430270714</v>
      </c>
      <c r="AT150" s="537">
        <f>Debt!AT$104</f>
        <v>4871.0125860621984</v>
      </c>
      <c r="AU150" s="537">
        <f>Debt!AU$104</f>
        <v>4892.8014892437168</v>
      </c>
      <c r="AV150" s="537">
        <f>Debt!AV$104</f>
        <v>4903.358038740419</v>
      </c>
      <c r="AW150" s="537">
        <f>Debt!AW$104</f>
        <v>4890.5485880171236</v>
      </c>
      <c r="AX150" s="537">
        <f>Debt!AX$104</f>
        <v>4945.6032153911401</v>
      </c>
      <c r="AY150" s="537">
        <f>Debt!AY$104</f>
        <v>4989.3748800105577</v>
      </c>
      <c r="AZ150" s="537">
        <f>Debt!AZ$104</f>
        <v>4989.1375412419338</v>
      </c>
      <c r="BA150" s="537">
        <f>Debt!BA$104</f>
        <v>4976.0237518384511</v>
      </c>
      <c r="BB150" s="537">
        <f>Debt!BB$104</f>
        <v>4968.7061367066199</v>
      </c>
      <c r="BC150" s="537">
        <f>Debt!BC$104</f>
        <v>5003.7719991405111</v>
      </c>
      <c r="BD150" s="537">
        <f>Debt!BD$104</f>
        <v>4994.8398242674302</v>
      </c>
      <c r="BE150" s="537">
        <f>Debt!BE$104</f>
        <v>4975.7347406139879</v>
      </c>
      <c r="BF150" s="537">
        <f>Debt!BF$104</f>
        <v>5018.2432697654431</v>
      </c>
      <c r="BG150" s="537">
        <f>Debt!BG$104</f>
        <v>5055.2308992146009</v>
      </c>
      <c r="BH150" s="537">
        <f>Debt!BH$104</f>
        <v>5047.7580665162341</v>
      </c>
      <c r="BI150" s="537">
        <f>Debt!BI$104</f>
        <v>5029.9252428553727</v>
      </c>
      <c r="BJ150" s="537">
        <f>Debt!BJ$104</f>
        <v>5086.1659444474417</v>
      </c>
      <c r="BK150" s="537">
        <f>Debt!BK$104</f>
        <v>5102.2164152464693</v>
      </c>
      <c r="BL150" s="537">
        <f>Debt!BL$104</f>
        <v>5107.2549033808882</v>
      </c>
      <c r="BM150" s="537">
        <f>Debt!BM$104</f>
        <v>5090.4593862946022</v>
      </c>
      <c r="BN150" s="537">
        <f>Debt!BN$104</f>
        <v>5137.6362992811</v>
      </c>
      <c r="BO150" s="537">
        <f>Debt!BO$104</f>
        <v>5177.721034794823</v>
      </c>
      <c r="BP150" s="537">
        <f>Debt!BP$104</f>
        <v>5172.4704316400748</v>
      </c>
      <c r="BQ150" s="537">
        <f>Debt!BQ$104</f>
        <v>5156.5168427050112</v>
      </c>
      <c r="BR150" s="537">
        <f>Debt!BR$104</f>
        <v>5259.1072788641732</v>
      </c>
      <c r="BS150" s="537">
        <f>Debt!BS$104</f>
        <v>5300.4456959908366</v>
      </c>
      <c r="BT150" s="537">
        <f>Debt!BT$104</f>
        <v>5296.0337638407573</v>
      </c>
      <c r="BU150" s="537">
        <f>Debt!BU$104</f>
        <v>5280.7596572690318</v>
      </c>
      <c r="BV150" s="537">
        <f>Debt!BV$104</f>
        <v>5192.6997405259599</v>
      </c>
      <c r="BW150" s="537">
        <f>Debt!BW$104</f>
        <v>4824.0097155821095</v>
      </c>
      <c r="BX150" s="537">
        <f>Debt!BX$104</f>
        <v>4812.2194454551673</v>
      </c>
      <c r="BY150" s="537">
        <f>Debt!BY$104</f>
        <v>4789.7777052237061</v>
      </c>
      <c r="BZ150" s="537">
        <f>Debt!BZ$104</f>
        <v>4835.508830075345</v>
      </c>
      <c r="CA150" s="537">
        <f>Debt!CA$104</f>
        <v>4848.2697391877382</v>
      </c>
      <c r="CB150" s="537">
        <f>Debt!CB$104</f>
        <v>4814.2596201085926</v>
      </c>
      <c r="CC150" s="537">
        <f>Debt!CC$104</f>
        <v>4617.7718011798452</v>
      </c>
      <c r="CD150" s="537">
        <f>Debt!CD$104</f>
        <v>4635.4811967250052</v>
      </c>
      <c r="CE150" s="537">
        <f>Debt!CE$104</f>
        <v>4670.2074078817031</v>
      </c>
      <c r="CF150" s="537">
        <f>Debt!CF$104</f>
        <v>4658.0351907399381</v>
      </c>
      <c r="CG150" s="537">
        <f>Debt!CG$104</f>
        <v>4632.6384155731694</v>
      </c>
      <c r="CH150" s="537">
        <f>Debt!CH$104</f>
        <v>4654.4799395510099</v>
      </c>
      <c r="CI150" s="537">
        <f>Debt!CI$104</f>
        <v>4690.3300953616026</v>
      </c>
      <c r="CJ150" s="537">
        <f>Debt!CJ$104</f>
        <v>4678.8565348451857</v>
      </c>
      <c r="CK150" s="537">
        <f>Debt!CK$104</f>
        <v>4654.2351254146215</v>
      </c>
      <c r="CL150" s="537">
        <f>Debt!CL$104</f>
        <v>4965.8270387247549</v>
      </c>
      <c r="CM150" s="537">
        <f>Debt!CM$104</f>
        <v>5002.0011198530556</v>
      </c>
      <c r="CN150" s="537">
        <f>Debt!CN$104</f>
        <v>4990.4282617092213</v>
      </c>
      <c r="CO150" s="537">
        <f>Debt!CO$104</f>
        <v>4965.8107040008254</v>
      </c>
      <c r="CP150" s="537">
        <f>Debt!CP$104</f>
        <v>4717.9783046696557</v>
      </c>
      <c r="CQ150" s="537">
        <f>Debt!CQ$104</f>
        <v>4729.233992308592</v>
      </c>
      <c r="CR150" s="537">
        <f>Debt!CR$104</f>
        <v>4730.658822063725</v>
      </c>
      <c r="CS150" s="537">
        <f>Debt!CS$104</f>
        <v>4706.8642132055456</v>
      </c>
      <c r="CT150" s="537">
        <f>Debt!CT$104</f>
        <v>4735.3356972565371</v>
      </c>
      <c r="CU150" s="537">
        <f>Debt!CU$104</f>
        <v>4772.9048284479113</v>
      </c>
      <c r="CV150" s="537">
        <f>Debt!CV$104</f>
        <v>4761.9850090627306</v>
      </c>
      <c r="CW150" s="537">
        <f>Debt!CW$104</f>
        <v>4738.3327137651941</v>
      </c>
      <c r="CX150" s="537">
        <f>Debt!CX$104</f>
        <v>4768.7511838966802</v>
      </c>
      <c r="CY150" s="537">
        <f>Debt!CY$104</f>
        <v>4806.4773364047887</v>
      </c>
      <c r="CZ150" s="537">
        <f>Debt!CZ$104</f>
        <v>4795.3607319199509</v>
      </c>
      <c r="DA150" s="537">
        <f>Debt!DA$104</f>
        <v>4771.6969558088413</v>
      </c>
      <c r="DB150" s="537">
        <f>Debt!DB$104</f>
        <v>0</v>
      </c>
      <c r="DC150" s="537">
        <f>Debt!DC$104</f>
        <v>0</v>
      </c>
      <c r="DD150" s="537">
        <f>Debt!DD$104</f>
        <v>0</v>
      </c>
      <c r="DE150" s="537">
        <f>Debt!DE$104</f>
        <v>0</v>
      </c>
      <c r="DF150" s="537">
        <f>Debt!DF$104</f>
        <v>0</v>
      </c>
      <c r="DG150" s="537">
        <f>Debt!DG$104</f>
        <v>0</v>
      </c>
      <c r="DH150" s="537">
        <f>Debt!DH$104</f>
        <v>0</v>
      </c>
      <c r="DI150" s="537">
        <f>Debt!DI$104</f>
        <v>0</v>
      </c>
      <c r="DJ150" s="537">
        <f>Debt!DJ$104</f>
        <v>0</v>
      </c>
      <c r="DK150" s="537">
        <f>Debt!DK$104</f>
        <v>0</v>
      </c>
      <c r="DL150" s="537">
        <f>Debt!DL$104</f>
        <v>0</v>
      </c>
      <c r="DM150" s="537">
        <f>Debt!DM$104</f>
        <v>0</v>
      </c>
      <c r="DN150" s="537">
        <f>Debt!DN$104</f>
        <v>0</v>
      </c>
      <c r="DO150" s="537">
        <f>Debt!DO$104</f>
        <v>0</v>
      </c>
      <c r="DP150" s="537">
        <f>Debt!DP$104</f>
        <v>0</v>
      </c>
      <c r="DQ150" s="537">
        <f>Debt!DQ$104</f>
        <v>0</v>
      </c>
      <c r="DR150" s="537">
        <f>Debt!DR$104</f>
        <v>0</v>
      </c>
      <c r="DS150" s="537">
        <f>Debt!DS$104</f>
        <v>0</v>
      </c>
      <c r="DT150" s="537">
        <f>Debt!DT$104</f>
        <v>0</v>
      </c>
      <c r="DU150" s="537">
        <f>Debt!DU$104</f>
        <v>0</v>
      </c>
      <c r="DV150" s="537">
        <f>Debt!DV$104</f>
        <v>0</v>
      </c>
      <c r="DW150" s="537">
        <f>Debt!DW$104</f>
        <v>0</v>
      </c>
      <c r="DX150" s="537">
        <f>Debt!DX$104</f>
        <v>0</v>
      </c>
      <c r="DY150" s="537">
        <f>Debt!DY$104</f>
        <v>0</v>
      </c>
      <c r="DZ150" s="537">
        <f>Debt!DZ$104</f>
        <v>0</v>
      </c>
      <c r="EA150" s="537">
        <f>Debt!EA$104</f>
        <v>0</v>
      </c>
      <c r="EB150" s="537">
        <f>Debt!EB$104</f>
        <v>0</v>
      </c>
      <c r="EC150" s="537">
        <f>Debt!EC$104</f>
        <v>0</v>
      </c>
      <c r="ED150" s="537">
        <f>Debt!ED$104</f>
        <v>0</v>
      </c>
      <c r="EE150" s="537">
        <f>Debt!EE$104</f>
        <v>0</v>
      </c>
      <c r="EF150" s="537">
        <f>Debt!EF$104</f>
        <v>0</v>
      </c>
      <c r="EG150" s="537">
        <f>Debt!EG$104</f>
        <v>0</v>
      </c>
    </row>
    <row r="151" spans="5:137" ht="12.75">
      <c r="E151" s="535" t="str">
        <f>Debt!E$226</f>
        <v>Junior facility - debt service paid</v>
      </c>
      <c r="G151" s="537" t="str">
        <f>Debt!G$226</f>
        <v>EUR 000s</v>
      </c>
      <c r="H151" s="537">
        <f>Debt!H$226</f>
        <v>39233.299886701796</v>
      </c>
      <c r="J151" s="537">
        <f>Debt!J$226</f>
        <v>0</v>
      </c>
      <c r="K151" s="537">
        <f>Debt!K$226</f>
        <v>0</v>
      </c>
      <c r="L151" s="537">
        <f>Debt!L$226</f>
        <v>0</v>
      </c>
      <c r="M151" s="537">
        <f>Debt!M$226</f>
        <v>0</v>
      </c>
      <c r="N151" s="537">
        <f>Debt!N$226</f>
        <v>0</v>
      </c>
      <c r="O151" s="537">
        <f>Debt!O$226</f>
        <v>0</v>
      </c>
      <c r="P151" s="537">
        <f>Debt!P$226</f>
        <v>0</v>
      </c>
      <c r="Q151" s="537">
        <f>Debt!Q$226</f>
        <v>0</v>
      </c>
      <c r="R151" s="537">
        <f>Debt!R$226</f>
        <v>0</v>
      </c>
      <c r="S151" s="537">
        <f>Debt!S$226</f>
        <v>0</v>
      </c>
      <c r="T151" s="537">
        <f>Debt!T$226</f>
        <v>0</v>
      </c>
      <c r="U151" s="537">
        <f>Debt!U$226</f>
        <v>0</v>
      </c>
      <c r="V151" s="537">
        <f>Debt!V$226</f>
        <v>0</v>
      </c>
      <c r="W151" s="537">
        <f>Debt!W$226</f>
        <v>0</v>
      </c>
      <c r="X151" s="537">
        <f>Debt!X$226</f>
        <v>0</v>
      </c>
      <c r="Y151" s="537">
        <f>Debt!Y$226</f>
        <v>0</v>
      </c>
      <c r="Z151" s="537">
        <f>Debt!Z$226</f>
        <v>0</v>
      </c>
      <c r="AA151" s="537">
        <f>Debt!AA$226</f>
        <v>0</v>
      </c>
      <c r="AB151" s="537">
        <f>Debt!AB$226</f>
        <v>0</v>
      </c>
      <c r="AC151" s="537">
        <f>Debt!AC$226</f>
        <v>0</v>
      </c>
      <c r="AD151" s="537">
        <f>Debt!AD$226</f>
        <v>0</v>
      </c>
      <c r="AE151" s="537">
        <f>Debt!AE$226</f>
        <v>0</v>
      </c>
      <c r="AF151" s="537">
        <f>Debt!AF$226</f>
        <v>0</v>
      </c>
      <c r="AG151" s="537">
        <f>Debt!AG$226</f>
        <v>0</v>
      </c>
      <c r="AH151" s="537">
        <f>Debt!AH$226</f>
        <v>1088.1009471320995</v>
      </c>
      <c r="AI151" s="537">
        <f>Debt!AI$226</f>
        <v>1082.514650149609</v>
      </c>
      <c r="AJ151" s="537">
        <f>Debt!AJ$226</f>
        <v>1076.668525400491</v>
      </c>
      <c r="AK151" s="537">
        <f>Debt!AK$226</f>
        <v>1064.7164481356281</v>
      </c>
      <c r="AL151" s="537">
        <f>Debt!AL$226</f>
        <v>1041.3319491391567</v>
      </c>
      <c r="AM151" s="537">
        <f>Debt!AM$226</f>
        <v>1035.2259966234114</v>
      </c>
      <c r="AN151" s="537">
        <f>Debt!AN$226</f>
        <v>1028.8602163410387</v>
      </c>
      <c r="AO151" s="537">
        <f>Debt!AO$226</f>
        <v>1016.9081390761755</v>
      </c>
      <c r="AP151" s="537">
        <f>Debt!AP$226</f>
        <v>994.56295114621435</v>
      </c>
      <c r="AQ151" s="537">
        <f>Debt!AQ$226</f>
        <v>987.93734309721401</v>
      </c>
      <c r="AR151" s="537">
        <f>Debt!AR$226</f>
        <v>981.0519072815863</v>
      </c>
      <c r="AS151" s="537">
        <f>Debt!AS$226</f>
        <v>969.09983001672322</v>
      </c>
      <c r="AT151" s="537">
        <f>Debt!AT$226</f>
        <v>952.47085295256591</v>
      </c>
      <c r="AU151" s="537">
        <f>Debt!AU$226</f>
        <v>940.64868957101658</v>
      </c>
      <c r="AV151" s="537">
        <f>Debt!AV$226</f>
        <v>933.24359822213387</v>
      </c>
      <c r="AW151" s="537">
        <f>Debt!AW$226</f>
        <v>921.2915209572709</v>
      </c>
      <c r="AX151" s="537">
        <f>Debt!AX$226</f>
        <v>901.02495516032911</v>
      </c>
      <c r="AY151" s="537">
        <f>Debt!AY$226</f>
        <v>893.36003604481903</v>
      </c>
      <c r="AZ151" s="537">
        <f>Debt!AZ$226</f>
        <v>885.43528916268156</v>
      </c>
      <c r="BA151" s="537">
        <f>Debt!BA$226</f>
        <v>873.48321189781848</v>
      </c>
      <c r="BB151" s="537">
        <f>Debt!BB$226</f>
        <v>854.25595716738667</v>
      </c>
      <c r="BC151" s="537">
        <f>Debt!BC$226</f>
        <v>846.0713825186217</v>
      </c>
      <c r="BD151" s="537">
        <f>Debt!BD$226</f>
        <v>837.62698010322936</v>
      </c>
      <c r="BE151" s="537">
        <f>Debt!BE$226</f>
        <v>825.67490283836628</v>
      </c>
      <c r="BF151" s="537">
        <f>Debt!BF$226</f>
        <v>807.48695917444422</v>
      </c>
      <c r="BG151" s="537">
        <f>Debt!BG$226</f>
        <v>798.78272899242438</v>
      </c>
      <c r="BH151" s="537">
        <f>Debt!BH$226</f>
        <v>789.81867104377704</v>
      </c>
      <c r="BI151" s="537">
        <f>Debt!BI$226</f>
        <v>777.86659377891397</v>
      </c>
      <c r="BJ151" s="537">
        <f>Debt!BJ$226</f>
        <v>763.31623884777639</v>
      </c>
      <c r="BK151" s="537">
        <f>Debt!BK$226</f>
        <v>751.49407546622706</v>
      </c>
      <c r="BL151" s="537">
        <f>Debt!BL$226</f>
        <v>742.01036198432485</v>
      </c>
      <c r="BM151" s="537">
        <f>Debt!BM$226</f>
        <v>730.05828471946177</v>
      </c>
      <c r="BN151" s="537">
        <f>Debt!BN$226</f>
        <v>713.94896318855945</v>
      </c>
      <c r="BO151" s="537">
        <f>Debt!BO$226</f>
        <v>704.20542194002974</v>
      </c>
      <c r="BP151" s="537">
        <f>Debt!BP$226</f>
        <v>694.20205292487253</v>
      </c>
      <c r="BQ151" s="537">
        <f>Debt!BQ$226</f>
        <v>682.24997566000945</v>
      </c>
      <c r="BR151" s="537">
        <f>Debt!BR$226</f>
        <v>667.17996519561689</v>
      </c>
      <c r="BS151" s="537">
        <f>Debt!BS$226</f>
        <v>656.91676841383241</v>
      </c>
      <c r="BT151" s="537">
        <f>Debt!BT$226</f>
        <v>646.39374386542033</v>
      </c>
      <c r="BU151" s="537">
        <f>Debt!BU$226</f>
        <v>634.44166660055726</v>
      </c>
      <c r="BV151" s="537">
        <f>Debt!BV$226</f>
        <v>620.41096720267456</v>
      </c>
      <c r="BW151" s="537">
        <f>Debt!BW$226</f>
        <v>609.62811488763498</v>
      </c>
      <c r="BX151" s="537">
        <f>Debt!BX$226</f>
        <v>598.58543480596802</v>
      </c>
      <c r="BY151" s="537">
        <f>Debt!BY$226</f>
        <v>586.63335754110494</v>
      </c>
      <c r="BZ151" s="537">
        <f>Debt!BZ$226</f>
        <v>574.16162474298699</v>
      </c>
      <c r="CA151" s="537">
        <f>Debt!CA$226</f>
        <v>562.33946136143766</v>
      </c>
      <c r="CB151" s="537">
        <f>Debt!CB$226</f>
        <v>550.77712574651571</v>
      </c>
      <c r="CC151" s="537">
        <f>Debt!CC$226</f>
        <v>538.82504848165263</v>
      </c>
      <c r="CD151" s="537">
        <f>Debt!CD$226</f>
        <v>-3.9862031483869642E-13</v>
      </c>
      <c r="CE151" s="537">
        <f>Debt!CE$226</f>
        <v>-4.0304942944801527E-13</v>
      </c>
      <c r="CF151" s="537">
        <f>Debt!CF$226</f>
        <v>-4.0747854405733406E-13</v>
      </c>
      <c r="CG151" s="537">
        <f>Debt!CG$226</f>
        <v>-4.0747854405733406E-13</v>
      </c>
      <c r="CH151" s="537">
        <f>Debt!CH$226</f>
        <v>-3.9862031483869642E-13</v>
      </c>
      <c r="CI151" s="537">
        <f>Debt!CI$226</f>
        <v>-4.0304942944801527E-13</v>
      </c>
      <c r="CJ151" s="537">
        <f>Debt!CJ$226</f>
        <v>-4.0747854405733406E-13</v>
      </c>
      <c r="CK151" s="537">
        <f>Debt!CK$226</f>
        <v>-4.0747854405733406E-13</v>
      </c>
      <c r="CL151" s="537">
        <f>Debt!CL$226</f>
        <v>-3.9862031483869642E-13</v>
      </c>
      <c r="CM151" s="537">
        <f>Debt!CM$226</f>
        <v>-4.0304942944801527E-13</v>
      </c>
      <c r="CN151" s="537">
        <f>Debt!CN$226</f>
        <v>-4.0747854405733406E-13</v>
      </c>
      <c r="CO151" s="537">
        <f>Debt!CO$226</f>
        <v>-4.0747854405733406E-13</v>
      </c>
      <c r="CP151" s="537">
        <f>Debt!CP$226</f>
        <v>-4.0304942944801527E-13</v>
      </c>
      <c r="CQ151" s="537">
        <f>Debt!CQ$226</f>
        <v>-4.0304942944801527E-13</v>
      </c>
      <c r="CR151" s="537">
        <f>Debt!CR$226</f>
        <v>-4.0747854405733406E-13</v>
      </c>
      <c r="CS151" s="537">
        <f>Debt!CS$226</f>
        <v>-4.0747854405733406E-13</v>
      </c>
      <c r="CT151" s="537">
        <f>Debt!CT$226</f>
        <v>-3.9862031483869642E-13</v>
      </c>
      <c r="CU151" s="537">
        <f>Debt!CU$226</f>
        <v>-4.0304942944801527E-13</v>
      </c>
      <c r="CV151" s="537">
        <f>Debt!CV$226</f>
        <v>-4.0747854405733406E-13</v>
      </c>
      <c r="CW151" s="537">
        <f>Debt!CW$226</f>
        <v>-4.0747854405733406E-13</v>
      </c>
      <c r="CX151" s="537">
        <f>Debt!CX$226</f>
        <v>-3.9862031483869642E-13</v>
      </c>
      <c r="CY151" s="537">
        <f>Debt!CY$226</f>
        <v>-4.0304942944801527E-13</v>
      </c>
      <c r="CZ151" s="537">
        <f>Debt!CZ$226</f>
        <v>-4.0747854405733406E-13</v>
      </c>
      <c r="DA151" s="537">
        <f>Debt!DA$226</f>
        <v>-4.0747854405733406E-13</v>
      </c>
      <c r="DB151" s="537">
        <f>Debt!DB$226</f>
        <v>-3.9862031483869642E-13</v>
      </c>
      <c r="DC151" s="537">
        <f>Debt!DC$226</f>
        <v>-4.0304942944801527E-13</v>
      </c>
      <c r="DD151" s="537">
        <f>Debt!DD$226</f>
        <v>-4.0747854405733406E-13</v>
      </c>
      <c r="DE151" s="537">
        <f>Debt!DE$226</f>
        <v>-4.0747854405733406E-13</v>
      </c>
      <c r="DF151" s="537">
        <f>Debt!DF$226</f>
        <v>-4.0304942944801527E-13</v>
      </c>
      <c r="DG151" s="537">
        <f>Debt!DG$226</f>
        <v>-4.0304942944801527E-13</v>
      </c>
      <c r="DH151" s="537">
        <f>Debt!DH$226</f>
        <v>-4.0747854405733406E-13</v>
      </c>
      <c r="DI151" s="537">
        <f>Debt!DI$226</f>
        <v>-4.0747854405733406E-13</v>
      </c>
      <c r="DJ151" s="537">
        <f>Debt!DJ$226</f>
        <v>-3.9862031483869642E-13</v>
      </c>
      <c r="DK151" s="537">
        <f>Debt!DK$226</f>
        <v>-4.0304942944801527E-13</v>
      </c>
      <c r="DL151" s="537">
        <f>Debt!DL$226</f>
        <v>-4.0747854405733406E-13</v>
      </c>
      <c r="DM151" s="537">
        <f>Debt!DM$226</f>
        <v>-4.0747854405733406E-13</v>
      </c>
      <c r="DN151" s="537">
        <f>Debt!DN$226</f>
        <v>-3.9862031483869642E-13</v>
      </c>
      <c r="DO151" s="537">
        <f>Debt!DO$226</f>
        <v>-4.0304942944801527E-13</v>
      </c>
      <c r="DP151" s="537">
        <f>Debt!DP$226</f>
        <v>-4.0747854405733406E-13</v>
      </c>
      <c r="DQ151" s="537">
        <f>Debt!DQ$226</f>
        <v>-4.0747854405733406E-13</v>
      </c>
      <c r="DR151" s="537">
        <f>Debt!DR$226</f>
        <v>-3.9862031483869642E-13</v>
      </c>
      <c r="DS151" s="537">
        <f>Debt!DS$226</f>
        <v>-4.0304942944801527E-13</v>
      </c>
      <c r="DT151" s="537">
        <f>Debt!DT$226</f>
        <v>-4.0747854405733406E-13</v>
      </c>
      <c r="DU151" s="537">
        <f>Debt!DU$226</f>
        <v>-4.0747854405733406E-13</v>
      </c>
      <c r="DV151" s="537">
        <f>Debt!DV$226</f>
        <v>-4.0304942944801527E-13</v>
      </c>
      <c r="DW151" s="537">
        <f>Debt!DW$226</f>
        <v>-4.0304942944801527E-13</v>
      </c>
      <c r="DX151" s="537">
        <f>Debt!DX$226</f>
        <v>-4.0747854405733406E-13</v>
      </c>
      <c r="DY151" s="537">
        <f>Debt!DY$226</f>
        <v>-4.0747854405733406E-13</v>
      </c>
      <c r="DZ151" s="537">
        <f>Debt!DZ$226</f>
        <v>-3.9862031483869642E-13</v>
      </c>
      <c r="EA151" s="537">
        <f>Debt!EA$226</f>
        <v>-4.0304942944801527E-13</v>
      </c>
      <c r="EB151" s="537">
        <f>Debt!EB$226</f>
        <v>-4.0747854405733406E-13</v>
      </c>
      <c r="EC151" s="537">
        <f>Debt!EC$226</f>
        <v>-4.0747854405733406E-13</v>
      </c>
      <c r="ED151" s="537">
        <f>Debt!ED$226</f>
        <v>0</v>
      </c>
      <c r="EE151" s="537">
        <f>Debt!EE$226</f>
        <v>0</v>
      </c>
      <c r="EF151" s="537">
        <f>Debt!EF$226</f>
        <v>0</v>
      </c>
      <c r="EG151" s="537">
        <f>Debt!EG$226</f>
        <v>0</v>
      </c>
    </row>
    <row r="152" spans="5:137" ht="12.75">
      <c r="E152" s="535" t="str">
        <f>Equity!E$100</f>
        <v>Shareholders - total cash paid</v>
      </c>
      <c r="G152" s="537" t="str">
        <f>Equity!G$100</f>
        <v>EUR 000s</v>
      </c>
      <c r="H152" s="537">
        <f>Equity!H$100</f>
        <v>542229.52746011666</v>
      </c>
      <c r="J152" s="537">
        <f>Equity!J$100</f>
        <v>0</v>
      </c>
      <c r="K152" s="537">
        <f>Equity!K$100</f>
        <v>0</v>
      </c>
      <c r="L152" s="537">
        <f>Equity!L$100</f>
        <v>0</v>
      </c>
      <c r="M152" s="537">
        <f>Equity!M$100</f>
        <v>0</v>
      </c>
      <c r="N152" s="537">
        <f>Equity!N$100</f>
        <v>0</v>
      </c>
      <c r="O152" s="537">
        <f>Equity!O$100</f>
        <v>0</v>
      </c>
      <c r="P152" s="537">
        <f>Equity!P$100</f>
        <v>1.8189894035458565E-12</v>
      </c>
      <c r="Q152" s="537">
        <f>Equity!Q$100</f>
        <v>0</v>
      </c>
      <c r="R152" s="537">
        <f>Equity!R$100</f>
        <v>0</v>
      </c>
      <c r="S152" s="537">
        <f>Equity!S$100</f>
        <v>0</v>
      </c>
      <c r="T152" s="537">
        <f>Equity!T$100</f>
        <v>0</v>
      </c>
      <c r="U152" s="537">
        <f>Equity!U$100</f>
        <v>0</v>
      </c>
      <c r="V152" s="537">
        <f>Equity!V$100</f>
        <v>0</v>
      </c>
      <c r="W152" s="537">
        <f>Equity!W$100</f>
        <v>0</v>
      </c>
      <c r="X152" s="537">
        <f>Equity!X$100</f>
        <v>0</v>
      </c>
      <c r="Y152" s="537">
        <f>Equity!Y$100</f>
        <v>0</v>
      </c>
      <c r="Z152" s="537">
        <f>Equity!Z$100</f>
        <v>0</v>
      </c>
      <c r="AA152" s="537">
        <f>Equity!AA$100</f>
        <v>0</v>
      </c>
      <c r="AB152" s="537">
        <f>Equity!AB$100</f>
        <v>0</v>
      </c>
      <c r="AC152" s="537">
        <f>Equity!AC$100</f>
        <v>0</v>
      </c>
      <c r="AD152" s="537">
        <f>Equity!AD$100</f>
        <v>0</v>
      </c>
      <c r="AE152" s="537">
        <f>Equity!AE$100</f>
        <v>0</v>
      </c>
      <c r="AF152" s="537">
        <f>Equity!AF$100</f>
        <v>0</v>
      </c>
      <c r="AG152" s="537">
        <f>Equity!AG$100</f>
        <v>0</v>
      </c>
      <c r="AH152" s="537">
        <f>Equity!AH$100</f>
        <v>1383.9233639501999</v>
      </c>
      <c r="AI152" s="537">
        <f>Equity!AI$100</f>
        <v>3289.5323362199924</v>
      </c>
      <c r="AJ152" s="537">
        <f>Equity!AJ$100</f>
        <v>3245.3805232500736</v>
      </c>
      <c r="AK152" s="537">
        <f>Equity!AK$100</f>
        <v>3195.0408989934072</v>
      </c>
      <c r="AL152" s="537">
        <f>Equity!AL$100</f>
        <v>3314.6555979376371</v>
      </c>
      <c r="AM152" s="537">
        <f>Equity!AM$100</f>
        <v>3413.5103829410727</v>
      </c>
      <c r="AN152" s="537">
        <f>Equity!AN$100</f>
        <v>3368.8149446907446</v>
      </c>
      <c r="AO152" s="537">
        <f>Equity!AO$100</f>
        <v>3317.8291025066792</v>
      </c>
      <c r="AP152" s="537">
        <f>Equity!AP$100</f>
        <v>3438.4566627931977</v>
      </c>
      <c r="AQ152" s="537">
        <f>Equity!AQ$100</f>
        <v>3538.7454210592987</v>
      </c>
      <c r="AR152" s="537">
        <f>Equity!AR$100</f>
        <v>3482.692592271675</v>
      </c>
      <c r="AS152" s="537">
        <f>Equity!AS$100</f>
        <v>3452.6458698254974</v>
      </c>
      <c r="AT152" s="537">
        <f>Equity!AT$100</f>
        <v>1840.225347833371</v>
      </c>
      <c r="AU152" s="537">
        <f>Equity!AU$100</f>
        <v>1907.064048963113</v>
      </c>
      <c r="AV152" s="537">
        <f>Equity!AV$100</f>
        <v>1879.8635093641863</v>
      </c>
      <c r="AW152" s="537">
        <f>Equity!AW$100</f>
        <v>1823.2308510204605</v>
      </c>
      <c r="AX152" s="537">
        <f>Equity!AX$100</f>
        <v>3689.9207029973613</v>
      </c>
      <c r="AY152" s="537">
        <f>Equity!AY$100</f>
        <v>3795.4891066389291</v>
      </c>
      <c r="AZ152" s="537">
        <f>Equity!AZ$100</f>
        <v>3810.2717218736234</v>
      </c>
      <c r="BA152" s="537">
        <f>Equity!BA$100</f>
        <v>3761.7553340142267</v>
      </c>
      <c r="BB152" s="537">
        <f>Equity!BB$100</f>
        <v>3775.7398776167847</v>
      </c>
      <c r="BC152" s="537">
        <f>Equity!BC$100</f>
        <v>3870.9553004708091</v>
      </c>
      <c r="BD152" s="537">
        <f>Equity!BD$100</f>
        <v>3819.5887386810437</v>
      </c>
      <c r="BE152" s="537">
        <f>Equity!BE$100</f>
        <v>3757.5449019740718</v>
      </c>
      <c r="BF152" s="537">
        <f>Equity!BF$100</f>
        <v>3865.5485651833455</v>
      </c>
      <c r="BG152" s="537">
        <f>Equity!BG$100</f>
        <v>3963.7340210591155</v>
      </c>
      <c r="BH152" s="537">
        <f>Equity!BH$100</f>
        <v>3901.9818208723086</v>
      </c>
      <c r="BI152" s="537">
        <f>Equity!BI$100</f>
        <v>3863.3396261250573</v>
      </c>
      <c r="BJ152" s="537">
        <f>Equity!BJ$100</f>
        <v>3981.7948466400562</v>
      </c>
      <c r="BK152" s="537">
        <f>Equity!BK$100</f>
        <v>4041.5037487339391</v>
      </c>
      <c r="BL152" s="537">
        <f>Equity!BL$100</f>
        <v>4013.5705589641948</v>
      </c>
      <c r="BM152" s="537">
        <f>Equity!BM$100</f>
        <v>3952.9034566736409</v>
      </c>
      <c r="BN152" s="537">
        <f>Equity!BN$100</f>
        <v>2097.5193655527028</v>
      </c>
      <c r="BO152" s="537">
        <f>Equity!BO$100</f>
        <v>2200.864273878366</v>
      </c>
      <c r="BP152" s="537">
        <f>Equity!BP$100</f>
        <v>2098.1063109146212</v>
      </c>
      <c r="BQ152" s="537">
        <f>Equity!BQ$100</f>
        <v>2037.8164184080592</v>
      </c>
      <c r="BR152" s="537">
        <f>Equity!BR$100</f>
        <v>4224.1553525130121</v>
      </c>
      <c r="BS152" s="537">
        <f>Equity!BS$100</f>
        <v>4329.7689293072381</v>
      </c>
      <c r="BT152" s="537">
        <f>Equity!BT$100</f>
        <v>4419.8055567868232</v>
      </c>
      <c r="BU152" s="537">
        <f>Equity!BU$100</f>
        <v>4770.8603254831687</v>
      </c>
      <c r="BV152" s="537">
        <f>Equity!BV$100</f>
        <v>4626.1012277867885</v>
      </c>
      <c r="BW152" s="537">
        <f>Equity!BW$100</f>
        <v>3945.1397120020174</v>
      </c>
      <c r="BX152" s="537">
        <f>Equity!BX$100</f>
        <v>3887.6124417460055</v>
      </c>
      <c r="BY152" s="537">
        <f>Equity!BY$100</f>
        <v>3843.3319181364645</v>
      </c>
      <c r="BZ152" s="537">
        <f>Equity!BZ$100</f>
        <v>3978.3991178064584</v>
      </c>
      <c r="CA152" s="537">
        <f>Equity!CA$100</f>
        <v>4211.4281415911701</v>
      </c>
      <c r="CB152" s="537">
        <f>Equity!CB$100</f>
        <v>4139.4003880005166</v>
      </c>
      <c r="CC152" s="537">
        <f>Equity!CC$100</f>
        <v>3736.011479524982</v>
      </c>
      <c r="CD152" s="537">
        <f>Equity!CD$100</f>
        <v>4321.3134548763692</v>
      </c>
      <c r="CE152" s="537">
        <f>Equity!CE$100</f>
        <v>4413.9780591819081</v>
      </c>
      <c r="CF152" s="537">
        <f>Equity!CF$100</f>
        <v>4368.5578436146661</v>
      </c>
      <c r="CG152" s="537">
        <f>Equity!CG$100</f>
        <v>4283.5118246307165</v>
      </c>
      <c r="CH152" s="537">
        <f>Equity!CH$100</f>
        <v>2110.5359724491877</v>
      </c>
      <c r="CI152" s="537">
        <f>Equity!CI$100</f>
        <v>2204.6023940287428</v>
      </c>
      <c r="CJ152" s="537">
        <f>Equity!CJ$100</f>
        <v>1870.785150550882</v>
      </c>
      <c r="CK152" s="537">
        <f>Equity!CK$100</f>
        <v>1786.9171601948424</v>
      </c>
      <c r="CL152" s="537">
        <f>Equity!CL$100</f>
        <v>4628.8303227158403</v>
      </c>
      <c r="CM152" s="537">
        <f>Equity!CM$100</f>
        <v>4723.5203653725785</v>
      </c>
      <c r="CN152" s="537">
        <f>Equity!CN$100</f>
        <v>4948.935086001231</v>
      </c>
      <c r="CO152" s="537">
        <f>Equity!CO$100</f>
        <v>4889.99295027068</v>
      </c>
      <c r="CP152" s="537">
        <f>Equity!CP$100</f>
        <v>4408.4942242291327</v>
      </c>
      <c r="CQ152" s="537">
        <f>Equity!CQ$100</f>
        <v>4454.0921236772019</v>
      </c>
      <c r="CR152" s="537">
        <f>Equity!CR$100</f>
        <v>4428.3806644411152</v>
      </c>
      <c r="CS152" s="537">
        <f>Equity!CS$100</f>
        <v>4344.7192119229667</v>
      </c>
      <c r="CT152" s="537">
        <f>Equity!CT$100</f>
        <v>4410.7908852154824</v>
      </c>
      <c r="CU152" s="537">
        <f>Equity!CU$100</f>
        <v>4507.2180043044709</v>
      </c>
      <c r="CV152" s="537">
        <f>Equity!CV$100</f>
        <v>4455.6468509356973</v>
      </c>
      <c r="CW152" s="537">
        <f>Equity!CW$100</f>
        <v>4372.1040514103006</v>
      </c>
      <c r="CX152" s="537">
        <f>Equity!CX$100</f>
        <v>4442.1439989063965</v>
      </c>
      <c r="CY152" s="537">
        <f>Equity!CY$100</f>
        <v>4538.8867633803111</v>
      </c>
      <c r="CZ152" s="537">
        <f>Equity!CZ$100</f>
        <v>9289.0498453167747</v>
      </c>
      <c r="DA152" s="537">
        <f>Equity!DA$100</f>
        <v>9243.2109589193478</v>
      </c>
      <c r="DB152" s="537">
        <f>Equity!DB$100</f>
        <v>6730.8032201585938</v>
      </c>
      <c r="DC152" s="537">
        <f>Equity!DC$100</f>
        <v>6819.6943690281241</v>
      </c>
      <c r="DD152" s="537">
        <f>Equity!DD$100</f>
        <v>6814.0398522326241</v>
      </c>
      <c r="DE152" s="537">
        <f>Equity!DE$100</f>
        <v>6785.1271000854231</v>
      </c>
      <c r="DF152" s="537">
        <f>Equity!DF$100</f>
        <v>10042.297500103878</v>
      </c>
      <c r="DG152" s="537">
        <f>Equity!DG$100</f>
        <v>10083.037086594606</v>
      </c>
      <c r="DH152" s="537">
        <f>Equity!DH$100</f>
        <v>10103.030440845592</v>
      </c>
      <c r="DI152" s="537">
        <f>Equity!DI$100</f>
        <v>10074.710093976457</v>
      </c>
      <c r="DJ152" s="537">
        <f>Equity!DJ$100</f>
        <v>9531.0000277068248</v>
      </c>
      <c r="DK152" s="537">
        <f>Equity!DK$100</f>
        <v>9622.5760692221538</v>
      </c>
      <c r="DL152" s="537">
        <f>Equity!DL$100</f>
        <v>9618.4891847043327</v>
      </c>
      <c r="DM152" s="537">
        <f>Equity!DM$100</f>
        <v>9590.6249782264968</v>
      </c>
      <c r="DN152" s="537">
        <f>Equity!DN$100</f>
        <v>9679.6513243283043</v>
      </c>
      <c r="DO152" s="537">
        <f>Equity!DO$100</f>
        <v>9772.3259446832872</v>
      </c>
      <c r="DP152" s="537">
        <f>Equity!DP$100</f>
        <v>9768.8299907587207</v>
      </c>
      <c r="DQ152" s="537">
        <f>Equity!DQ$100</f>
        <v>9741.3091688148925</v>
      </c>
      <c r="DR152" s="537">
        <f>Equity!DR$100</f>
        <v>9833.1752700445759</v>
      </c>
      <c r="DS152" s="537">
        <f>Equity!DS$100</f>
        <v>9926.8134161951511</v>
      </c>
      <c r="DT152" s="537">
        <f>Equity!DT$100</f>
        <v>9923.8082057289866</v>
      </c>
      <c r="DU152" s="537">
        <f>Equity!DU$100</f>
        <v>9896.5376166003607</v>
      </c>
      <c r="DV152" s="537">
        <f>Equity!DV$100</f>
        <v>10016.918852742816</v>
      </c>
      <c r="DW152" s="537">
        <f>Equity!DW$100</f>
        <v>10059.983606963106</v>
      </c>
      <c r="DX152" s="537">
        <f>Equity!DX$100</f>
        <v>10083.094712487115</v>
      </c>
      <c r="DY152" s="537">
        <f>Equity!DY$100</f>
        <v>8058.7377291418616</v>
      </c>
      <c r="DZ152" s="537">
        <f>Equity!DZ$100</f>
        <v>7998.4180876236478</v>
      </c>
      <c r="EA152" s="537">
        <f>Equity!EA$100</f>
        <v>7998.4180876236478</v>
      </c>
      <c r="EB152" s="537">
        <f>Equity!EB$100</f>
        <v>7998.4180876236487</v>
      </c>
      <c r="EC152" s="537">
        <f>Equity!EC$100</f>
        <v>19599.446855546739</v>
      </c>
      <c r="ED152" s="537">
        <f>Equity!ED$100</f>
        <v>2308.4176722000593</v>
      </c>
      <c r="EE152" s="537">
        <f>Equity!EE$100</f>
        <v>0</v>
      </c>
      <c r="EF152" s="537">
        <f>Equity!EF$100</f>
        <v>0</v>
      </c>
      <c r="EG152" s="537">
        <f>Equity!EG$100</f>
        <v>0</v>
      </c>
    </row>
    <row r="153" spans="5:137" ht="12.75">
      <c r="E153" s="535" t="str">
        <f>Reserves!E$31</f>
        <v>DSRF - fee on the facility</v>
      </c>
      <c r="G153" s="537" t="str">
        <f>Reserves!G$31</f>
        <v>EUR 000s</v>
      </c>
      <c r="H153" s="537">
        <f>Reserves!H$31</f>
        <v>0</v>
      </c>
      <c r="J153" s="537">
        <f>Reserves!J$31</f>
        <v>0</v>
      </c>
      <c r="K153" s="537">
        <f>Reserves!K$31</f>
        <v>0</v>
      </c>
      <c r="L153" s="537">
        <f>Reserves!L$31</f>
        <v>0</v>
      </c>
      <c r="M153" s="537">
        <f>Reserves!M$31</f>
        <v>0</v>
      </c>
      <c r="N153" s="537">
        <f>Reserves!N$31</f>
        <v>0</v>
      </c>
      <c r="O153" s="537">
        <f>Reserves!O$31</f>
        <v>0</v>
      </c>
      <c r="P153" s="537">
        <f>Reserves!P$31</f>
        <v>0</v>
      </c>
      <c r="Q153" s="537">
        <f>Reserves!Q$31</f>
        <v>0</v>
      </c>
      <c r="R153" s="537">
        <f>Reserves!R$31</f>
        <v>0</v>
      </c>
      <c r="S153" s="537">
        <f>Reserves!S$31</f>
        <v>0</v>
      </c>
      <c r="T153" s="537">
        <f>Reserves!T$31</f>
        <v>0</v>
      </c>
      <c r="U153" s="537">
        <f>Reserves!U$31</f>
        <v>0</v>
      </c>
      <c r="V153" s="537">
        <f>Reserves!V$31</f>
        <v>0</v>
      </c>
      <c r="W153" s="537">
        <f>Reserves!W$31</f>
        <v>0</v>
      </c>
      <c r="X153" s="537">
        <f>Reserves!X$31</f>
        <v>0</v>
      </c>
      <c r="Y153" s="537">
        <f>Reserves!Y$31</f>
        <v>0</v>
      </c>
      <c r="Z153" s="537">
        <f>Reserves!Z$31</f>
        <v>0</v>
      </c>
      <c r="AA153" s="537">
        <f>Reserves!AA$31</f>
        <v>0</v>
      </c>
      <c r="AB153" s="537">
        <f>Reserves!AB$31</f>
        <v>0</v>
      </c>
      <c r="AC153" s="537">
        <f>Reserves!AC$31</f>
        <v>0</v>
      </c>
      <c r="AD153" s="537">
        <f>Reserves!AD$31</f>
        <v>0</v>
      </c>
      <c r="AE153" s="537">
        <f>Reserves!AE$31</f>
        <v>0</v>
      </c>
      <c r="AF153" s="537">
        <f>Reserves!AF$31</f>
        <v>0</v>
      </c>
      <c r="AG153" s="537">
        <f>Reserves!AG$31</f>
        <v>0</v>
      </c>
      <c r="AH153" s="537">
        <f>Reserves!AH$31</f>
        <v>0</v>
      </c>
      <c r="AI153" s="537">
        <f>Reserves!AI$31</f>
        <v>0</v>
      </c>
      <c r="AJ153" s="537">
        <f>Reserves!AJ$31</f>
        <v>0</v>
      </c>
      <c r="AK153" s="537">
        <f>Reserves!AK$31</f>
        <v>0</v>
      </c>
      <c r="AL153" s="537">
        <f>Reserves!AL$31</f>
        <v>0</v>
      </c>
      <c r="AM153" s="537">
        <f>Reserves!AM$31</f>
        <v>0</v>
      </c>
      <c r="AN153" s="537">
        <f>Reserves!AN$31</f>
        <v>0</v>
      </c>
      <c r="AO153" s="537">
        <f>Reserves!AO$31</f>
        <v>0</v>
      </c>
      <c r="AP153" s="537">
        <f>Reserves!AP$31</f>
        <v>0</v>
      </c>
      <c r="AQ153" s="537">
        <f>Reserves!AQ$31</f>
        <v>0</v>
      </c>
      <c r="AR153" s="537">
        <f>Reserves!AR$31</f>
        <v>0</v>
      </c>
      <c r="AS153" s="537">
        <f>Reserves!AS$31</f>
        <v>0</v>
      </c>
      <c r="AT153" s="537">
        <f>Reserves!AT$31</f>
        <v>0</v>
      </c>
      <c r="AU153" s="537">
        <f>Reserves!AU$31</f>
        <v>0</v>
      </c>
      <c r="AV153" s="537">
        <f>Reserves!AV$31</f>
        <v>0</v>
      </c>
      <c r="AW153" s="537">
        <f>Reserves!AW$31</f>
        <v>0</v>
      </c>
      <c r="AX153" s="537">
        <f>Reserves!AX$31</f>
        <v>0</v>
      </c>
      <c r="AY153" s="537">
        <f>Reserves!AY$31</f>
        <v>0</v>
      </c>
      <c r="AZ153" s="537">
        <f>Reserves!AZ$31</f>
        <v>0</v>
      </c>
      <c r="BA153" s="537">
        <f>Reserves!BA$31</f>
        <v>0</v>
      </c>
      <c r="BB153" s="537">
        <f>Reserves!BB$31</f>
        <v>0</v>
      </c>
      <c r="BC153" s="537">
        <f>Reserves!BC$31</f>
        <v>0</v>
      </c>
      <c r="BD153" s="537">
        <f>Reserves!BD$31</f>
        <v>0</v>
      </c>
      <c r="BE153" s="537">
        <f>Reserves!BE$31</f>
        <v>0</v>
      </c>
      <c r="BF153" s="537">
        <f>Reserves!BF$31</f>
        <v>0</v>
      </c>
      <c r="BG153" s="537">
        <f>Reserves!BG$31</f>
        <v>0</v>
      </c>
      <c r="BH153" s="537">
        <f>Reserves!BH$31</f>
        <v>0</v>
      </c>
      <c r="BI153" s="537">
        <f>Reserves!BI$31</f>
        <v>0</v>
      </c>
      <c r="BJ153" s="537">
        <f>Reserves!BJ$31</f>
        <v>0</v>
      </c>
      <c r="BK153" s="537">
        <f>Reserves!BK$31</f>
        <v>0</v>
      </c>
      <c r="BL153" s="537">
        <f>Reserves!BL$31</f>
        <v>0</v>
      </c>
      <c r="BM153" s="537">
        <f>Reserves!BM$31</f>
        <v>0</v>
      </c>
      <c r="BN153" s="537">
        <f>Reserves!BN$31</f>
        <v>0</v>
      </c>
      <c r="BO153" s="537">
        <f>Reserves!BO$31</f>
        <v>0</v>
      </c>
      <c r="BP153" s="537">
        <f>Reserves!BP$31</f>
        <v>0</v>
      </c>
      <c r="BQ153" s="537">
        <f>Reserves!BQ$31</f>
        <v>0</v>
      </c>
      <c r="BR153" s="537">
        <f>Reserves!BR$31</f>
        <v>0</v>
      </c>
      <c r="BS153" s="537">
        <f>Reserves!BS$31</f>
        <v>0</v>
      </c>
      <c r="BT153" s="537">
        <f>Reserves!BT$31</f>
        <v>0</v>
      </c>
      <c r="BU153" s="537">
        <f>Reserves!BU$31</f>
        <v>0</v>
      </c>
      <c r="BV153" s="537">
        <f>Reserves!BV$31</f>
        <v>0</v>
      </c>
      <c r="BW153" s="537">
        <f>Reserves!BW$31</f>
        <v>0</v>
      </c>
      <c r="BX153" s="537">
        <f>Reserves!BX$31</f>
        <v>0</v>
      </c>
      <c r="BY153" s="537">
        <f>Reserves!BY$31</f>
        <v>0</v>
      </c>
      <c r="BZ153" s="537">
        <f>Reserves!BZ$31</f>
        <v>0</v>
      </c>
      <c r="CA153" s="537">
        <f>Reserves!CA$31</f>
        <v>0</v>
      </c>
      <c r="CB153" s="537">
        <f>Reserves!CB$31</f>
        <v>0</v>
      </c>
      <c r="CC153" s="537">
        <f>Reserves!CC$31</f>
        <v>0</v>
      </c>
      <c r="CD153" s="537">
        <f>Reserves!CD$31</f>
        <v>0</v>
      </c>
      <c r="CE153" s="537">
        <f>Reserves!CE$31</f>
        <v>0</v>
      </c>
      <c r="CF153" s="537">
        <f>Reserves!CF$31</f>
        <v>0</v>
      </c>
      <c r="CG153" s="537">
        <f>Reserves!CG$31</f>
        <v>0</v>
      </c>
      <c r="CH153" s="537">
        <f>Reserves!CH$31</f>
        <v>0</v>
      </c>
      <c r="CI153" s="537">
        <f>Reserves!CI$31</f>
        <v>0</v>
      </c>
      <c r="CJ153" s="537">
        <f>Reserves!CJ$31</f>
        <v>0</v>
      </c>
      <c r="CK153" s="537">
        <f>Reserves!CK$31</f>
        <v>0</v>
      </c>
      <c r="CL153" s="537">
        <f>Reserves!CL$31</f>
        <v>0</v>
      </c>
      <c r="CM153" s="537">
        <f>Reserves!CM$31</f>
        <v>0</v>
      </c>
      <c r="CN153" s="537">
        <f>Reserves!CN$31</f>
        <v>0</v>
      </c>
      <c r="CO153" s="537">
        <f>Reserves!CO$31</f>
        <v>0</v>
      </c>
      <c r="CP153" s="537">
        <f>Reserves!CP$31</f>
        <v>0</v>
      </c>
      <c r="CQ153" s="537">
        <f>Reserves!CQ$31</f>
        <v>0</v>
      </c>
      <c r="CR153" s="537">
        <f>Reserves!CR$31</f>
        <v>0</v>
      </c>
      <c r="CS153" s="537">
        <f>Reserves!CS$31</f>
        <v>0</v>
      </c>
      <c r="CT153" s="537">
        <f>Reserves!CT$31</f>
        <v>0</v>
      </c>
      <c r="CU153" s="537">
        <f>Reserves!CU$31</f>
        <v>0</v>
      </c>
      <c r="CV153" s="537">
        <f>Reserves!CV$31</f>
        <v>0</v>
      </c>
      <c r="CW153" s="537">
        <f>Reserves!CW$31</f>
        <v>0</v>
      </c>
      <c r="CX153" s="537">
        <f>Reserves!CX$31</f>
        <v>0</v>
      </c>
      <c r="CY153" s="537">
        <f>Reserves!CY$31</f>
        <v>0</v>
      </c>
      <c r="CZ153" s="537">
        <f>Reserves!CZ$31</f>
        <v>0</v>
      </c>
      <c r="DA153" s="537">
        <f>Reserves!DA$31</f>
        <v>0</v>
      </c>
      <c r="DB153" s="537">
        <f>Reserves!DB$31</f>
        <v>0</v>
      </c>
      <c r="DC153" s="537">
        <f>Reserves!DC$31</f>
        <v>0</v>
      </c>
      <c r="DD153" s="537">
        <f>Reserves!DD$31</f>
        <v>0</v>
      </c>
      <c r="DE153" s="537">
        <f>Reserves!DE$31</f>
        <v>0</v>
      </c>
      <c r="DF153" s="537">
        <f>Reserves!DF$31</f>
        <v>0</v>
      </c>
      <c r="DG153" s="537">
        <f>Reserves!DG$31</f>
        <v>0</v>
      </c>
      <c r="DH153" s="537">
        <f>Reserves!DH$31</f>
        <v>0</v>
      </c>
      <c r="DI153" s="537">
        <f>Reserves!DI$31</f>
        <v>0</v>
      </c>
      <c r="DJ153" s="537">
        <f>Reserves!DJ$31</f>
        <v>0</v>
      </c>
      <c r="DK153" s="537">
        <f>Reserves!DK$31</f>
        <v>0</v>
      </c>
      <c r="DL153" s="537">
        <f>Reserves!DL$31</f>
        <v>0</v>
      </c>
      <c r="DM153" s="537">
        <f>Reserves!DM$31</f>
        <v>0</v>
      </c>
      <c r="DN153" s="537">
        <f>Reserves!DN$31</f>
        <v>0</v>
      </c>
      <c r="DO153" s="537">
        <f>Reserves!DO$31</f>
        <v>0</v>
      </c>
      <c r="DP153" s="537">
        <f>Reserves!DP$31</f>
        <v>0</v>
      </c>
      <c r="DQ153" s="537">
        <f>Reserves!DQ$31</f>
        <v>0</v>
      </c>
      <c r="DR153" s="537">
        <f>Reserves!DR$31</f>
        <v>0</v>
      </c>
      <c r="DS153" s="537">
        <f>Reserves!DS$31</f>
        <v>0</v>
      </c>
      <c r="DT153" s="537">
        <f>Reserves!DT$31</f>
        <v>0</v>
      </c>
      <c r="DU153" s="537">
        <f>Reserves!DU$31</f>
        <v>0</v>
      </c>
      <c r="DV153" s="537">
        <f>Reserves!DV$31</f>
        <v>0</v>
      </c>
      <c r="DW153" s="537">
        <f>Reserves!DW$31</f>
        <v>0</v>
      </c>
      <c r="DX153" s="537">
        <f>Reserves!DX$31</f>
        <v>0</v>
      </c>
      <c r="DY153" s="537">
        <f>Reserves!DY$31</f>
        <v>0</v>
      </c>
      <c r="DZ153" s="537">
        <f>Reserves!DZ$31</f>
        <v>0</v>
      </c>
      <c r="EA153" s="537">
        <f>Reserves!EA$31</f>
        <v>0</v>
      </c>
      <c r="EB153" s="537">
        <f>Reserves!EB$31</f>
        <v>0</v>
      </c>
      <c r="EC153" s="537">
        <f>Reserves!EC$31</f>
        <v>0</v>
      </c>
      <c r="ED153" s="537">
        <f>Reserves!ED$31</f>
        <v>0</v>
      </c>
      <c r="EE153" s="537">
        <f>Reserves!EE$31</f>
        <v>0</v>
      </c>
      <c r="EF153" s="537">
        <f>Reserves!EF$31</f>
        <v>0</v>
      </c>
      <c r="EG153" s="537">
        <f>Reserves!EG$31</f>
        <v>0</v>
      </c>
    </row>
    <row r="154" spans="5:137" ht="12.75">
      <c r="E154" s="535" t="str">
        <f>Reserves!E$43</f>
        <v>DSRA - draw for senior debt service shortfall</v>
      </c>
      <c r="G154" s="537" t="str">
        <f>Reserves!G$43</f>
        <v>EUR 000s</v>
      </c>
      <c r="H154" s="537">
        <f>Reserves!H$43</f>
        <v>-1.8189894035458565E-12</v>
      </c>
      <c r="J154" s="537">
        <f>Reserves!J$43</f>
        <v>0</v>
      </c>
      <c r="K154" s="537">
        <f>Reserves!K$43</f>
        <v>0</v>
      </c>
      <c r="L154" s="537">
        <f>Reserves!L$43</f>
        <v>0</v>
      </c>
      <c r="M154" s="537">
        <f>Reserves!M$43</f>
        <v>0</v>
      </c>
      <c r="N154" s="537">
        <f>Reserves!N$43</f>
        <v>0</v>
      </c>
      <c r="O154" s="537">
        <f>Reserves!O$43</f>
        <v>0</v>
      </c>
      <c r="P154" s="537">
        <f>Reserves!P$43</f>
        <v>-1.8189894035458565E-12</v>
      </c>
      <c r="Q154" s="537">
        <f>Reserves!Q$43</f>
        <v>0</v>
      </c>
      <c r="R154" s="537">
        <f>Reserves!R$43</f>
        <v>0</v>
      </c>
      <c r="S154" s="537">
        <f>Reserves!S$43</f>
        <v>0</v>
      </c>
      <c r="T154" s="537">
        <f>Reserves!T$43</f>
        <v>0</v>
      </c>
      <c r="U154" s="537">
        <f>Reserves!U$43</f>
        <v>0</v>
      </c>
      <c r="V154" s="537">
        <f>Reserves!V$43</f>
        <v>0</v>
      </c>
      <c r="W154" s="537">
        <f>Reserves!W$43</f>
        <v>0</v>
      </c>
      <c r="X154" s="537">
        <f>Reserves!X$43</f>
        <v>0</v>
      </c>
      <c r="Y154" s="537">
        <f>Reserves!Y$43</f>
        <v>0</v>
      </c>
      <c r="Z154" s="537">
        <f>Reserves!Z$43</f>
        <v>0</v>
      </c>
      <c r="AA154" s="537">
        <f>Reserves!AA$43</f>
        <v>0</v>
      </c>
      <c r="AB154" s="537">
        <f>Reserves!AB$43</f>
        <v>0</v>
      </c>
      <c r="AC154" s="537">
        <f>Reserves!AC$43</f>
        <v>0</v>
      </c>
      <c r="AD154" s="537">
        <f>Reserves!AD$43</f>
        <v>0</v>
      </c>
      <c r="AE154" s="537">
        <f>Reserves!AE$43</f>
        <v>0</v>
      </c>
      <c r="AF154" s="537">
        <f>Reserves!AF$43</f>
        <v>0</v>
      </c>
      <c r="AG154" s="537">
        <f>Reserves!AG$43</f>
        <v>0</v>
      </c>
      <c r="AH154" s="537">
        <f>Reserves!AH$43</f>
        <v>0</v>
      </c>
      <c r="AI154" s="537">
        <f>Reserves!AI$43</f>
        <v>0</v>
      </c>
      <c r="AJ154" s="537">
        <f>Reserves!AJ$43</f>
        <v>0</v>
      </c>
      <c r="AK154" s="537">
        <f>Reserves!AK$43</f>
        <v>0</v>
      </c>
      <c r="AL154" s="537">
        <f>Reserves!AL$43</f>
        <v>0</v>
      </c>
      <c r="AM154" s="537">
        <f>Reserves!AM$43</f>
        <v>0</v>
      </c>
      <c r="AN154" s="537">
        <f>Reserves!AN$43</f>
        <v>0</v>
      </c>
      <c r="AO154" s="537">
        <f>Reserves!AO$43</f>
        <v>0</v>
      </c>
      <c r="AP154" s="537">
        <f>Reserves!AP$43</f>
        <v>0</v>
      </c>
      <c r="AQ154" s="537">
        <f>Reserves!AQ$43</f>
        <v>0</v>
      </c>
      <c r="AR154" s="537">
        <f>Reserves!AR$43</f>
        <v>0</v>
      </c>
      <c r="AS154" s="537">
        <f>Reserves!AS$43</f>
        <v>0</v>
      </c>
      <c r="AT154" s="537">
        <f>Reserves!AT$43</f>
        <v>0</v>
      </c>
      <c r="AU154" s="537">
        <f>Reserves!AU$43</f>
        <v>0</v>
      </c>
      <c r="AV154" s="537">
        <f>Reserves!AV$43</f>
        <v>0</v>
      </c>
      <c r="AW154" s="537">
        <f>Reserves!AW$43</f>
        <v>0</v>
      </c>
      <c r="AX154" s="537">
        <f>Reserves!AX$43</f>
        <v>0</v>
      </c>
      <c r="AY154" s="537">
        <f>Reserves!AY$43</f>
        <v>0</v>
      </c>
      <c r="AZ154" s="537">
        <f>Reserves!AZ$43</f>
        <v>0</v>
      </c>
      <c r="BA154" s="537">
        <f>Reserves!BA$43</f>
        <v>0</v>
      </c>
      <c r="BB154" s="537">
        <f>Reserves!BB$43</f>
        <v>0</v>
      </c>
      <c r="BC154" s="537">
        <f>Reserves!BC$43</f>
        <v>0</v>
      </c>
      <c r="BD154" s="537">
        <f>Reserves!BD$43</f>
        <v>0</v>
      </c>
      <c r="BE154" s="537">
        <f>Reserves!BE$43</f>
        <v>0</v>
      </c>
      <c r="BF154" s="537">
        <f>Reserves!BF$43</f>
        <v>0</v>
      </c>
      <c r="BG154" s="537">
        <f>Reserves!BG$43</f>
        <v>0</v>
      </c>
      <c r="BH154" s="537">
        <f>Reserves!BH$43</f>
        <v>0</v>
      </c>
      <c r="BI154" s="537">
        <f>Reserves!BI$43</f>
        <v>0</v>
      </c>
      <c r="BJ154" s="537">
        <f>Reserves!BJ$43</f>
        <v>0</v>
      </c>
      <c r="BK154" s="537">
        <f>Reserves!BK$43</f>
        <v>0</v>
      </c>
      <c r="BL154" s="537">
        <f>Reserves!BL$43</f>
        <v>0</v>
      </c>
      <c r="BM154" s="537">
        <f>Reserves!BM$43</f>
        <v>0</v>
      </c>
      <c r="BN154" s="537">
        <f>Reserves!BN$43</f>
        <v>0</v>
      </c>
      <c r="BO154" s="537">
        <f>Reserves!BO$43</f>
        <v>0</v>
      </c>
      <c r="BP154" s="537">
        <f>Reserves!BP$43</f>
        <v>0</v>
      </c>
      <c r="BQ154" s="537">
        <f>Reserves!BQ$43</f>
        <v>0</v>
      </c>
      <c r="BR154" s="537">
        <f>Reserves!BR$43</f>
        <v>0</v>
      </c>
      <c r="BS154" s="537">
        <f>Reserves!BS$43</f>
        <v>0</v>
      </c>
      <c r="BT154" s="537">
        <f>Reserves!BT$43</f>
        <v>0</v>
      </c>
      <c r="BU154" s="537">
        <f>Reserves!BU$43</f>
        <v>0</v>
      </c>
      <c r="BV154" s="537">
        <f>Reserves!BV$43</f>
        <v>0</v>
      </c>
      <c r="BW154" s="537">
        <f>Reserves!BW$43</f>
        <v>0</v>
      </c>
      <c r="BX154" s="537">
        <f>Reserves!BX$43</f>
        <v>0</v>
      </c>
      <c r="BY154" s="537">
        <f>Reserves!BY$43</f>
        <v>0</v>
      </c>
      <c r="BZ154" s="537">
        <f>Reserves!BZ$43</f>
        <v>0</v>
      </c>
      <c r="CA154" s="537">
        <f>Reserves!CA$43</f>
        <v>0</v>
      </c>
      <c r="CB154" s="537">
        <f>Reserves!CB$43</f>
        <v>0</v>
      </c>
      <c r="CC154" s="537">
        <f>Reserves!CC$43</f>
        <v>0</v>
      </c>
      <c r="CD154" s="537">
        <f>Reserves!CD$43</f>
        <v>0</v>
      </c>
      <c r="CE154" s="537">
        <f>Reserves!CE$43</f>
        <v>0</v>
      </c>
      <c r="CF154" s="537">
        <f>Reserves!CF$43</f>
        <v>0</v>
      </c>
      <c r="CG154" s="537">
        <f>Reserves!CG$43</f>
        <v>0</v>
      </c>
      <c r="CH154" s="537">
        <f>Reserves!CH$43</f>
        <v>0</v>
      </c>
      <c r="CI154" s="537">
        <f>Reserves!CI$43</f>
        <v>0</v>
      </c>
      <c r="CJ154" s="537">
        <f>Reserves!CJ$43</f>
        <v>0</v>
      </c>
      <c r="CK154" s="537">
        <f>Reserves!CK$43</f>
        <v>0</v>
      </c>
      <c r="CL154" s="537">
        <f>Reserves!CL$43</f>
        <v>0</v>
      </c>
      <c r="CM154" s="537">
        <f>Reserves!CM$43</f>
        <v>0</v>
      </c>
      <c r="CN154" s="537">
        <f>Reserves!CN$43</f>
        <v>0</v>
      </c>
      <c r="CO154" s="537">
        <f>Reserves!CO$43</f>
        <v>0</v>
      </c>
      <c r="CP154" s="537">
        <f>Reserves!CP$43</f>
        <v>0</v>
      </c>
      <c r="CQ154" s="537">
        <f>Reserves!CQ$43</f>
        <v>0</v>
      </c>
      <c r="CR154" s="537">
        <f>Reserves!CR$43</f>
        <v>0</v>
      </c>
      <c r="CS154" s="537">
        <f>Reserves!CS$43</f>
        <v>0</v>
      </c>
      <c r="CT154" s="537">
        <f>Reserves!CT$43</f>
        <v>0</v>
      </c>
      <c r="CU154" s="537">
        <f>Reserves!CU$43</f>
        <v>0</v>
      </c>
      <c r="CV154" s="537">
        <f>Reserves!CV$43</f>
        <v>0</v>
      </c>
      <c r="CW154" s="537">
        <f>Reserves!CW$43</f>
        <v>0</v>
      </c>
      <c r="CX154" s="537">
        <f>Reserves!CX$43</f>
        <v>0</v>
      </c>
      <c r="CY154" s="537">
        <f>Reserves!CY$43</f>
        <v>0</v>
      </c>
      <c r="CZ154" s="537">
        <f>Reserves!CZ$43</f>
        <v>0</v>
      </c>
      <c r="DA154" s="537">
        <f>Reserves!DA$43</f>
        <v>0</v>
      </c>
      <c r="DB154" s="537">
        <f>Reserves!DB$43</f>
        <v>0</v>
      </c>
      <c r="DC154" s="537">
        <f>Reserves!DC$43</f>
        <v>0</v>
      </c>
      <c r="DD154" s="537">
        <f>Reserves!DD$43</f>
        <v>0</v>
      </c>
      <c r="DE154" s="537">
        <f>Reserves!DE$43</f>
        <v>0</v>
      </c>
      <c r="DF154" s="537">
        <f>Reserves!DF$43</f>
        <v>0</v>
      </c>
      <c r="DG154" s="537">
        <f>Reserves!DG$43</f>
        <v>0</v>
      </c>
      <c r="DH154" s="537">
        <f>Reserves!DH$43</f>
        <v>0</v>
      </c>
      <c r="DI154" s="537">
        <f>Reserves!DI$43</f>
        <v>0</v>
      </c>
      <c r="DJ154" s="537">
        <f>Reserves!DJ$43</f>
        <v>0</v>
      </c>
      <c r="DK154" s="537">
        <f>Reserves!DK$43</f>
        <v>0</v>
      </c>
      <c r="DL154" s="537">
        <f>Reserves!DL$43</f>
        <v>0</v>
      </c>
      <c r="DM154" s="537">
        <f>Reserves!DM$43</f>
        <v>0</v>
      </c>
      <c r="DN154" s="537">
        <f>Reserves!DN$43</f>
        <v>0</v>
      </c>
      <c r="DO154" s="537">
        <f>Reserves!DO$43</f>
        <v>0</v>
      </c>
      <c r="DP154" s="537">
        <f>Reserves!DP$43</f>
        <v>0</v>
      </c>
      <c r="DQ154" s="537">
        <f>Reserves!DQ$43</f>
        <v>0</v>
      </c>
      <c r="DR154" s="537">
        <f>Reserves!DR$43</f>
        <v>0</v>
      </c>
      <c r="DS154" s="537">
        <f>Reserves!DS$43</f>
        <v>0</v>
      </c>
      <c r="DT154" s="537">
        <f>Reserves!DT$43</f>
        <v>0</v>
      </c>
      <c r="DU154" s="537">
        <f>Reserves!DU$43</f>
        <v>0</v>
      </c>
      <c r="DV154" s="537">
        <f>Reserves!DV$43</f>
        <v>0</v>
      </c>
      <c r="DW154" s="537">
        <f>Reserves!DW$43</f>
        <v>0</v>
      </c>
      <c r="DX154" s="537">
        <f>Reserves!DX$43</f>
        <v>0</v>
      </c>
      <c r="DY154" s="537">
        <f>Reserves!DY$43</f>
        <v>0</v>
      </c>
      <c r="DZ154" s="537">
        <f>Reserves!DZ$43</f>
        <v>0</v>
      </c>
      <c r="EA154" s="537">
        <f>Reserves!EA$43</f>
        <v>0</v>
      </c>
      <c r="EB154" s="537">
        <f>Reserves!EB$43</f>
        <v>0</v>
      </c>
      <c r="EC154" s="537">
        <f>Reserves!EC$43</f>
        <v>0</v>
      </c>
      <c r="ED154" s="537">
        <f>Reserves!ED$43</f>
        <v>0</v>
      </c>
      <c r="EE154" s="537">
        <f>Reserves!EE$43</f>
        <v>0</v>
      </c>
      <c r="EF154" s="537">
        <f>Reserves!EF$43</f>
        <v>0</v>
      </c>
      <c r="EG154" s="537">
        <f>Reserves!EG$43</f>
        <v>0</v>
      </c>
    </row>
    <row r="155" spans="5:137" ht="12.75">
      <c r="E155" s="535" t="str">
        <f>Reserves!E$53</f>
        <v>DSRA - release of balance above target</v>
      </c>
      <c r="G155" s="537" t="str">
        <f>Reserves!G$53</f>
        <v>EUR 000s</v>
      </c>
      <c r="H155" s="537">
        <f>Reserves!H$53</f>
        <v>11860.181427975176</v>
      </c>
      <c r="J155" s="537">
        <f>Reserves!J$53</f>
        <v>0</v>
      </c>
      <c r="K155" s="537">
        <f>Reserves!K$53</f>
        <v>0</v>
      </c>
      <c r="L155" s="537">
        <f>Reserves!L$53</f>
        <v>0</v>
      </c>
      <c r="M155" s="537">
        <f>Reserves!M$53</f>
        <v>0</v>
      </c>
      <c r="N155" s="537">
        <f>Reserves!N$53</f>
        <v>0</v>
      </c>
      <c r="O155" s="537">
        <f>Reserves!O$53</f>
        <v>0</v>
      </c>
      <c r="P155" s="537">
        <f>Reserves!P$53</f>
        <v>1.8189894035458565E-12</v>
      </c>
      <c r="Q155" s="537">
        <f>Reserves!Q$53</f>
        <v>0</v>
      </c>
      <c r="R155" s="537">
        <f>Reserves!R$53</f>
        <v>0</v>
      </c>
      <c r="S155" s="537">
        <f>Reserves!S$53</f>
        <v>0</v>
      </c>
      <c r="T155" s="537">
        <f>Reserves!T$53</f>
        <v>0</v>
      </c>
      <c r="U155" s="537">
        <f>Reserves!U$53</f>
        <v>0</v>
      </c>
      <c r="V155" s="537">
        <f>Reserves!V$53</f>
        <v>0</v>
      </c>
      <c r="W155" s="537">
        <f>Reserves!W$53</f>
        <v>0</v>
      </c>
      <c r="X155" s="537">
        <f>Reserves!X$53</f>
        <v>0</v>
      </c>
      <c r="Y155" s="537">
        <f>Reserves!Y$53</f>
        <v>0</v>
      </c>
      <c r="Z155" s="537">
        <f>Reserves!Z$53</f>
        <v>0</v>
      </c>
      <c r="AA155" s="537">
        <f>Reserves!AA$53</f>
        <v>0</v>
      </c>
      <c r="AB155" s="537">
        <f>Reserves!AB$53</f>
        <v>0</v>
      </c>
      <c r="AC155" s="537">
        <f>Reserves!AC$53</f>
        <v>0</v>
      </c>
      <c r="AD155" s="537">
        <f>Reserves!AD$53</f>
        <v>0</v>
      </c>
      <c r="AE155" s="537">
        <f>Reserves!AE$53</f>
        <v>0</v>
      </c>
      <c r="AF155" s="537">
        <f>Reserves!AF$53</f>
        <v>0</v>
      </c>
      <c r="AG155" s="537">
        <f>Reserves!AG$53</f>
        <v>0</v>
      </c>
      <c r="AH155" s="537">
        <f>Reserves!AH$53</f>
        <v>0</v>
      </c>
      <c r="AI155" s="537">
        <f>Reserves!AI$53</f>
        <v>10.413640157919872</v>
      </c>
      <c r="AJ155" s="537">
        <f>Reserves!AJ$53</f>
        <v>0</v>
      </c>
      <c r="AK155" s="537">
        <f>Reserves!AK$53</f>
        <v>0</v>
      </c>
      <c r="AL155" s="537">
        <f>Reserves!AL$53</f>
        <v>0</v>
      </c>
      <c r="AM155" s="537">
        <f>Reserves!AM$53</f>
        <v>10.539113221848311</v>
      </c>
      <c r="AN155" s="537">
        <f>Reserves!AN$53</f>
        <v>0</v>
      </c>
      <c r="AO155" s="537">
        <f>Reserves!AO$53</f>
        <v>0</v>
      </c>
      <c r="AP155" s="537">
        <f>Reserves!AP$53</f>
        <v>0</v>
      </c>
      <c r="AQ155" s="537">
        <f>Reserves!AQ$53</f>
        <v>10.66496408392959</v>
      </c>
      <c r="AR155" s="537">
        <f>Reserves!AR$53</f>
        <v>0</v>
      </c>
      <c r="AS155" s="537">
        <f>Reserves!AS$53</f>
        <v>0</v>
      </c>
      <c r="AT155" s="537">
        <f>Reserves!AT$53</f>
        <v>0</v>
      </c>
      <c r="AU155" s="537">
        <f>Reserves!AU$53</f>
        <v>2.2529012265949859</v>
      </c>
      <c r="AV155" s="537">
        <f>Reserves!AV$53</f>
        <v>0</v>
      </c>
      <c r="AW155" s="537">
        <f>Reserves!AW$53</f>
        <v>0</v>
      </c>
      <c r="AX155" s="537">
        <f>Reserves!AX$53</f>
        <v>0</v>
      </c>
      <c r="AY155" s="537">
        <f>Reserves!AY$53</f>
        <v>13.351128172105746</v>
      </c>
      <c r="AZ155" s="537">
        <f>Reserves!AZ$53</f>
        <v>20.431404535316688</v>
      </c>
      <c r="BA155" s="537">
        <f>Reserves!BA$53</f>
        <v>0</v>
      </c>
      <c r="BB155" s="537">
        <f>Reserves!BB$53</f>
        <v>0</v>
      </c>
      <c r="BC155" s="537">
        <f>Reserves!BC$53</f>
        <v>28.037258526521327</v>
      </c>
      <c r="BD155" s="537">
        <f>Reserves!BD$53</f>
        <v>0</v>
      </c>
      <c r="BE155" s="537">
        <f>Reserves!BE$53</f>
        <v>0</v>
      </c>
      <c r="BF155" s="537">
        <f>Reserves!BF$53</f>
        <v>0</v>
      </c>
      <c r="BG155" s="537">
        <f>Reserves!BG$53</f>
        <v>25.305656359227214</v>
      </c>
      <c r="BH155" s="537">
        <f>Reserves!BH$53</f>
        <v>0</v>
      </c>
      <c r="BI155" s="537">
        <f>Reserves!BI$53</f>
        <v>0</v>
      </c>
      <c r="BJ155" s="537">
        <f>Reserves!BJ$53</f>
        <v>0</v>
      </c>
      <c r="BK155" s="537">
        <f>Reserves!BK$53</f>
        <v>11.757028951866232</v>
      </c>
      <c r="BL155" s="537">
        <f>Reserves!BL$53</f>
        <v>0</v>
      </c>
      <c r="BM155" s="537">
        <f>Reserves!BM$53</f>
        <v>0</v>
      </c>
      <c r="BN155" s="537">
        <f>Reserves!BN$53</f>
        <v>0</v>
      </c>
      <c r="BO155" s="537">
        <f>Reserves!BO$53</f>
        <v>21.204192089811841</v>
      </c>
      <c r="BP155" s="537">
        <f>Reserves!BP$53</f>
        <v>0</v>
      </c>
      <c r="BQ155" s="537">
        <f>Reserves!BQ$53</f>
        <v>0</v>
      </c>
      <c r="BR155" s="537">
        <f>Reserves!BR$53</f>
        <v>0</v>
      </c>
      <c r="BS155" s="537">
        <f>Reserves!BS$53</f>
        <v>19.686038721805744</v>
      </c>
      <c r="BT155" s="537">
        <f>Reserves!BT$53</f>
        <v>103.3340233147992</v>
      </c>
      <c r="BU155" s="537">
        <f>Reserves!BU$53</f>
        <v>456.74994168692501</v>
      </c>
      <c r="BV155" s="537">
        <f>Reserves!BV$53</f>
        <v>380.48029507079627</v>
      </c>
      <c r="BW155" s="537">
        <f>Reserves!BW$53</f>
        <v>34.232010358404295</v>
      </c>
      <c r="BX155" s="537">
        <f>Reserves!BX$53</f>
        <v>0</v>
      </c>
      <c r="BY155" s="537">
        <f>Reserves!BY$53</f>
        <v>0</v>
      </c>
      <c r="BZ155" s="537">
        <f>Reserves!BZ$53</f>
        <v>21.249209966641502</v>
      </c>
      <c r="CA155" s="537">
        <f>Reserves!CA$53</f>
        <v>230.49793800789303</v>
      </c>
      <c r="CB155" s="537">
        <f>Reserves!CB$53</f>
        <v>178.77842338369919</v>
      </c>
      <c r="CC155" s="537">
        <f>Reserves!CC$53</f>
        <v>0</v>
      </c>
      <c r="CD155" s="537">
        <f>Reserves!CD$53</f>
        <v>0</v>
      </c>
      <c r="CE155" s="537">
        <f>Reserves!CE$53</f>
        <v>37.56899230853378</v>
      </c>
      <c r="CF155" s="537">
        <f>Reserves!CF$53</f>
        <v>3.5552511889291054</v>
      </c>
      <c r="CG155" s="537">
        <f>Reserves!CG$53</f>
        <v>0</v>
      </c>
      <c r="CH155" s="537">
        <f>Reserves!CH$53</f>
        <v>0</v>
      </c>
      <c r="CI155" s="537">
        <f>Reserves!CI$53</f>
        <v>36.094969946982019</v>
      </c>
      <c r="CJ155" s="537">
        <f>Reserves!CJ$53</f>
        <v>0</v>
      </c>
      <c r="CK155" s="537">
        <f>Reserves!CK$53</f>
        <v>0</v>
      </c>
      <c r="CL155" s="537">
        <f>Reserves!CL$53</f>
        <v>0</v>
      </c>
      <c r="CM155" s="537">
        <f>Reserves!CM$53</f>
        <v>36.190415852232036</v>
      </c>
      <c r="CN155" s="537">
        <f>Reserves!CN$53</f>
        <v>272.4499570395692</v>
      </c>
      <c r="CO155" s="537">
        <f>Reserves!CO$53</f>
        <v>236.57671169223431</v>
      </c>
      <c r="CP155" s="537">
        <f>Reserves!CP$53</f>
        <v>0</v>
      </c>
      <c r="CQ155" s="537">
        <f>Reserves!CQ$53</f>
        <v>22.369779103046312</v>
      </c>
      <c r="CR155" s="537">
        <f>Reserves!CR$53</f>
        <v>0</v>
      </c>
      <c r="CS155" s="537">
        <f>Reserves!CS$53</f>
        <v>0</v>
      </c>
      <c r="CT155" s="537">
        <f>Reserves!CT$53</f>
        <v>0</v>
      </c>
      <c r="CU155" s="537">
        <f>Reserves!CU$53</f>
        <v>34.572114682719985</v>
      </c>
      <c r="CV155" s="537">
        <f>Reserves!CV$53</f>
        <v>0</v>
      </c>
      <c r="CW155" s="537">
        <f>Reserves!CW$53</f>
        <v>0</v>
      </c>
      <c r="CX155" s="537">
        <f>Reserves!CX$53</f>
        <v>0</v>
      </c>
      <c r="CY155" s="537">
        <f>Reserves!CY$53</f>
        <v>34.780380596695977</v>
      </c>
      <c r="CZ155" s="537">
        <f>Reserves!CZ$53</f>
        <v>4795.3607319199918</v>
      </c>
      <c r="DA155" s="537">
        <f>Reserves!DA$53</f>
        <v>4771.6969558081337</v>
      </c>
      <c r="DB155" s="537">
        <f>Reserves!DB$53</f>
        <v>0</v>
      </c>
      <c r="DC155" s="537">
        <f>Reserves!DC$53</f>
        <v>0</v>
      </c>
      <c r="DD155" s="537">
        <f>Reserves!DD$53</f>
        <v>0</v>
      </c>
      <c r="DE155" s="537">
        <f>Reserves!DE$53</f>
        <v>0</v>
      </c>
      <c r="DF155" s="537">
        <f>Reserves!DF$53</f>
        <v>0</v>
      </c>
      <c r="DG155" s="537">
        <f>Reserves!DG$53</f>
        <v>0</v>
      </c>
      <c r="DH155" s="537">
        <f>Reserves!DH$53</f>
        <v>0</v>
      </c>
      <c r="DI155" s="537">
        <f>Reserves!DI$53</f>
        <v>0</v>
      </c>
      <c r="DJ155" s="537">
        <f>Reserves!DJ$53</f>
        <v>0</v>
      </c>
      <c r="DK155" s="537">
        <f>Reserves!DK$53</f>
        <v>0</v>
      </c>
      <c r="DL155" s="537">
        <f>Reserves!DL$53</f>
        <v>0</v>
      </c>
      <c r="DM155" s="537">
        <f>Reserves!DM$53</f>
        <v>0</v>
      </c>
      <c r="DN155" s="537">
        <f>Reserves!DN$53</f>
        <v>0</v>
      </c>
      <c r="DO155" s="537">
        <f>Reserves!DO$53</f>
        <v>0</v>
      </c>
      <c r="DP155" s="537">
        <f>Reserves!DP$53</f>
        <v>0</v>
      </c>
      <c r="DQ155" s="537">
        <f>Reserves!DQ$53</f>
        <v>0</v>
      </c>
      <c r="DR155" s="537">
        <f>Reserves!DR$53</f>
        <v>0</v>
      </c>
      <c r="DS155" s="537">
        <f>Reserves!DS$53</f>
        <v>0</v>
      </c>
      <c r="DT155" s="537">
        <f>Reserves!DT$53</f>
        <v>0</v>
      </c>
      <c r="DU155" s="537">
        <f>Reserves!DU$53</f>
        <v>0</v>
      </c>
      <c r="DV155" s="537">
        <f>Reserves!DV$53</f>
        <v>0</v>
      </c>
      <c r="DW155" s="537">
        <f>Reserves!DW$53</f>
        <v>0</v>
      </c>
      <c r="DX155" s="537">
        <f>Reserves!DX$53</f>
        <v>0</v>
      </c>
      <c r="DY155" s="537">
        <f>Reserves!DY$53</f>
        <v>0</v>
      </c>
      <c r="DZ155" s="537">
        <f>Reserves!DZ$53</f>
        <v>0</v>
      </c>
      <c r="EA155" s="537">
        <f>Reserves!EA$53</f>
        <v>0</v>
      </c>
      <c r="EB155" s="537">
        <f>Reserves!EB$53</f>
        <v>0</v>
      </c>
      <c r="EC155" s="537">
        <f>Reserves!EC$53</f>
        <v>0</v>
      </c>
      <c r="ED155" s="537">
        <f>Reserves!ED$53</f>
        <v>0</v>
      </c>
      <c r="EE155" s="537">
        <f>Reserves!EE$53</f>
        <v>0</v>
      </c>
      <c r="EF155" s="537">
        <f>Reserves!EF$53</f>
        <v>0</v>
      </c>
      <c r="EG155" s="537">
        <f>Reserves!EG$53</f>
        <v>0</v>
      </c>
    </row>
    <row r="156" spans="5:137" ht="12.75">
      <c r="E156" s="535" t="str">
        <f>Reserves!E$58</f>
        <v>DSRA - deposit towards target</v>
      </c>
      <c r="G156" s="537" t="str">
        <f>Reserves!G$58</f>
        <v>EUR 000s</v>
      </c>
      <c r="H156" s="537">
        <f>Reserves!H$58</f>
        <v>3526.9068104766411</v>
      </c>
      <c r="J156" s="537">
        <f>Reserves!J$58</f>
        <v>0</v>
      </c>
      <c r="K156" s="537">
        <f>Reserves!K$58</f>
        <v>0</v>
      </c>
      <c r="L156" s="537">
        <f>Reserves!L$58</f>
        <v>0</v>
      </c>
      <c r="M156" s="537">
        <f>Reserves!M$58</f>
        <v>0</v>
      </c>
      <c r="N156" s="537">
        <f>Reserves!N$58</f>
        <v>0</v>
      </c>
      <c r="O156" s="537">
        <f>Reserves!O$58</f>
        <v>0</v>
      </c>
      <c r="P156" s="537">
        <f>Reserves!P$58</f>
        <v>0</v>
      </c>
      <c r="Q156" s="537">
        <f>Reserves!Q$58</f>
        <v>0</v>
      </c>
      <c r="R156" s="537">
        <f>Reserves!R$58</f>
        <v>0</v>
      </c>
      <c r="S156" s="537">
        <f>Reserves!S$58</f>
        <v>0</v>
      </c>
      <c r="T156" s="537">
        <f>Reserves!T$58</f>
        <v>0</v>
      </c>
      <c r="U156" s="537">
        <f>Reserves!U$58</f>
        <v>0</v>
      </c>
      <c r="V156" s="537">
        <f>Reserves!V$58</f>
        <v>0</v>
      </c>
      <c r="W156" s="537">
        <f>Reserves!W$58</f>
        <v>0</v>
      </c>
      <c r="X156" s="537">
        <f>Reserves!X$58</f>
        <v>0</v>
      </c>
      <c r="Y156" s="537">
        <f>Reserves!Y$58</f>
        <v>0</v>
      </c>
      <c r="Z156" s="537">
        <f>Reserves!Z$58</f>
        <v>0</v>
      </c>
      <c r="AA156" s="537">
        <f>Reserves!AA$58</f>
        <v>0</v>
      </c>
      <c r="AB156" s="537">
        <f>Reserves!AB$58</f>
        <v>0</v>
      </c>
      <c r="AC156" s="537">
        <f>Reserves!AC$58</f>
        <v>0</v>
      </c>
      <c r="AD156" s="537">
        <f>Reserves!AD$58</f>
        <v>0</v>
      </c>
      <c r="AE156" s="537">
        <f>Reserves!AE$58</f>
        <v>0</v>
      </c>
      <c r="AF156" s="537">
        <f>Reserves!AF$58</f>
        <v>0</v>
      </c>
      <c r="AG156" s="537">
        <f>Reserves!AG$58</f>
        <v>0</v>
      </c>
      <c r="AH156" s="537">
        <f>Reserves!AH$58</f>
        <v>975.37851767707252</v>
      </c>
      <c r="AI156" s="537">
        <f>Reserves!AI$58</f>
        <v>0</v>
      </c>
      <c r="AJ156" s="537">
        <f>Reserves!AJ$58</f>
        <v>39.372155650631612</v>
      </c>
      <c r="AK156" s="537">
        <f>Reserves!AK$58</f>
        <v>92.11747120027394</v>
      </c>
      <c r="AL156" s="537">
        <f>Reserves!AL$58</f>
        <v>42.328947716419862</v>
      </c>
      <c r="AM156" s="537">
        <f>Reserves!AM$58</f>
        <v>0</v>
      </c>
      <c r="AN156" s="537">
        <f>Reserves!AN$58</f>
        <v>40.307407320542552</v>
      </c>
      <c r="AO156" s="537">
        <f>Reserves!AO$58</f>
        <v>93.58391720552936</v>
      </c>
      <c r="AP156" s="537">
        <f>Reserves!AP$58</f>
        <v>42.734660774834992</v>
      </c>
      <c r="AQ156" s="537">
        <f>Reserves!AQ$58</f>
        <v>0</v>
      </c>
      <c r="AR156" s="537">
        <f>Reserves!AR$58</f>
        <v>52.056038752856693</v>
      </c>
      <c r="AS156" s="537">
        <f>Reserves!AS$58</f>
        <v>84.278058973002771</v>
      </c>
      <c r="AT156" s="537">
        <f>Reserves!AT$58</f>
        <v>32.3454526782225</v>
      </c>
      <c r="AU156" s="537">
        <f>Reserves!AU$58</f>
        <v>0</v>
      </c>
      <c r="AV156" s="537">
        <f>Reserves!AV$58</f>
        <v>42.245176650721987</v>
      </c>
      <c r="AW156" s="537">
        <f>Reserves!AW$58</f>
        <v>98.826291993435007</v>
      </c>
      <c r="AX156" s="537">
        <f>Reserves!AX$58</f>
        <v>43.53432585079463</v>
      </c>
      <c r="AY156" s="537">
        <f>Reserves!AY$58</f>
        <v>0</v>
      </c>
      <c r="AZ156" s="537">
        <f>Reserves!AZ$58</f>
        <v>0</v>
      </c>
      <c r="BA156" s="537">
        <f>Reserves!BA$58</f>
        <v>27.748247302060918</v>
      </c>
      <c r="BB156" s="537">
        <f>Reserves!BB$58</f>
        <v>26.133687560810358</v>
      </c>
      <c r="BC156" s="537">
        <f>Reserves!BC$58</f>
        <v>0</v>
      </c>
      <c r="BD156" s="537">
        <f>Reserves!BD$58</f>
        <v>23.403445498011934</v>
      </c>
      <c r="BE156" s="537">
        <f>Reserves!BE$58</f>
        <v>79.496158600612034</v>
      </c>
      <c r="BF156" s="537">
        <f>Reserves!BF$58</f>
        <v>29.514796750790993</v>
      </c>
      <c r="BG156" s="537">
        <f>Reserves!BG$58</f>
        <v>0</v>
      </c>
      <c r="BH156" s="537">
        <f>Reserves!BH$58</f>
        <v>38.407877931207622</v>
      </c>
      <c r="BI156" s="537">
        <f>Reserves!BI$58</f>
        <v>72.291172391096552</v>
      </c>
      <c r="BJ156" s="537">
        <f>Reserves!BJ$58</f>
        <v>21.088958933447429</v>
      </c>
      <c r="BK156" s="537">
        <f>Reserves!BK$58</f>
        <v>0</v>
      </c>
      <c r="BL156" s="537">
        <f>Reserves!BL$58</f>
        <v>30.381395900210919</v>
      </c>
      <c r="BM156" s="537">
        <f>Reserves!BM$58</f>
        <v>87.261648500221781</v>
      </c>
      <c r="BN156" s="537">
        <f>Reserves!BN$58</f>
        <v>34.834132358975694</v>
      </c>
      <c r="BO156" s="537">
        <f>Reserves!BO$58</f>
        <v>0</v>
      </c>
      <c r="BP156" s="537">
        <f>Reserves!BP$58</f>
        <v>86.636847224099256</v>
      </c>
      <c r="BQ156" s="537">
        <f>Reserves!BQ$58</f>
        <v>143.92885328582634</v>
      </c>
      <c r="BR156" s="537">
        <f>Reserves!BR$58</f>
        <v>36.926484976585925</v>
      </c>
      <c r="BS156" s="537">
        <f>Reserves!BS$58</f>
        <v>0</v>
      </c>
      <c r="BT156" s="537">
        <f>Reserves!BT$58</f>
        <v>0</v>
      </c>
      <c r="BU156" s="537">
        <f>Reserves!BU$58</f>
        <v>0</v>
      </c>
      <c r="BV156" s="537">
        <f>Reserves!BV$58</f>
        <v>0</v>
      </c>
      <c r="BW156" s="537">
        <f>Reserves!BW$58</f>
        <v>0</v>
      </c>
      <c r="BX156" s="537">
        <f>Reserves!BX$58</f>
        <v>23.28938462017868</v>
      </c>
      <c r="BY156" s="537">
        <f>Reserves!BY$58</f>
        <v>58.49203396403027</v>
      </c>
      <c r="BZ156" s="537">
        <f>Reserves!BZ$58</f>
        <v>0</v>
      </c>
      <c r="CA156" s="537">
        <f>Reserves!CA$58</f>
        <v>0</v>
      </c>
      <c r="CB156" s="537">
        <f>Reserves!CB$58</f>
        <v>0</v>
      </c>
      <c r="CC156" s="537">
        <f>Reserves!CC$58</f>
        <v>52.435606701857978</v>
      </c>
      <c r="CD156" s="537">
        <f>Reserves!CD$58</f>
        <v>22.553994014933778</v>
      </c>
      <c r="CE156" s="537">
        <f>Reserves!CE$58</f>
        <v>0</v>
      </c>
      <c r="CF156" s="537">
        <f>Reserves!CF$58</f>
        <v>0</v>
      </c>
      <c r="CG156" s="537">
        <f>Reserves!CG$58</f>
        <v>57.691679788433248</v>
      </c>
      <c r="CH156" s="537">
        <f>Reserves!CH$58</f>
        <v>24.376595294175786</v>
      </c>
      <c r="CI156" s="537">
        <f>Reserves!CI$58</f>
        <v>0</v>
      </c>
      <c r="CJ156" s="537">
        <f>Reserves!CJ$58</f>
        <v>286.97050387957279</v>
      </c>
      <c r="CK156" s="537">
        <f>Reserves!CK$58</f>
        <v>347.76599443843588</v>
      </c>
      <c r="CL156" s="537">
        <f>Reserves!CL$58</f>
        <v>24.601222984467313</v>
      </c>
      <c r="CM156" s="537">
        <f>Reserves!CM$58</f>
        <v>0</v>
      </c>
      <c r="CN156" s="537">
        <f>Reserves!CN$58</f>
        <v>0</v>
      </c>
      <c r="CO156" s="537">
        <f>Reserves!CO$58</f>
        <v>0</v>
      </c>
      <c r="CP156" s="537">
        <f>Reserves!CP$58</f>
        <v>12.680517394070193</v>
      </c>
      <c r="CQ156" s="537">
        <f>Reserves!CQ$58</f>
        <v>0</v>
      </c>
      <c r="CR156" s="537">
        <f>Reserves!CR$58</f>
        <v>4.6768751928120764</v>
      </c>
      <c r="CS156" s="537">
        <f>Reserves!CS$58</f>
        <v>66.040615242367494</v>
      </c>
      <c r="CT156" s="537">
        <f>Reserves!CT$58</f>
        <v>26.64931180619169</v>
      </c>
      <c r="CU156" s="537">
        <f>Reserves!CU$58</f>
        <v>0</v>
      </c>
      <c r="CV156" s="537">
        <f>Reserves!CV$58</f>
        <v>6.7661748339523911</v>
      </c>
      <c r="CW156" s="537">
        <f>Reserves!CW$58</f>
        <v>68.144622639592853</v>
      </c>
      <c r="CX156" s="537">
        <f>Reserves!CX$58</f>
        <v>26.609548023272509</v>
      </c>
      <c r="CY156" s="537">
        <f>Reserves!CY$58</f>
        <v>0</v>
      </c>
      <c r="CZ156" s="537">
        <f>Reserves!CZ$58</f>
        <v>0</v>
      </c>
      <c r="DA156" s="537">
        <f>Reserves!DA$58</f>
        <v>0</v>
      </c>
      <c r="DB156" s="537">
        <f>Reserves!DB$58</f>
        <v>0</v>
      </c>
      <c r="DC156" s="537">
        <f>Reserves!DC$58</f>
        <v>0</v>
      </c>
      <c r="DD156" s="537">
        <f>Reserves!DD$58</f>
        <v>0</v>
      </c>
      <c r="DE156" s="537">
        <f>Reserves!DE$58</f>
        <v>0</v>
      </c>
      <c r="DF156" s="537">
        <f>Reserves!DF$58</f>
        <v>0</v>
      </c>
      <c r="DG156" s="537">
        <f>Reserves!DG$58</f>
        <v>0</v>
      </c>
      <c r="DH156" s="537">
        <f>Reserves!DH$58</f>
        <v>0</v>
      </c>
      <c r="DI156" s="537">
        <f>Reserves!DI$58</f>
        <v>0</v>
      </c>
      <c r="DJ156" s="537">
        <f>Reserves!DJ$58</f>
        <v>0</v>
      </c>
      <c r="DK156" s="537">
        <f>Reserves!DK$58</f>
        <v>0</v>
      </c>
      <c r="DL156" s="537">
        <f>Reserves!DL$58</f>
        <v>0</v>
      </c>
      <c r="DM156" s="537">
        <f>Reserves!DM$58</f>
        <v>0</v>
      </c>
      <c r="DN156" s="537">
        <f>Reserves!DN$58</f>
        <v>0</v>
      </c>
      <c r="DO156" s="537">
        <f>Reserves!DO$58</f>
        <v>0</v>
      </c>
      <c r="DP156" s="537">
        <f>Reserves!DP$58</f>
        <v>0</v>
      </c>
      <c r="DQ156" s="537">
        <f>Reserves!DQ$58</f>
        <v>0</v>
      </c>
      <c r="DR156" s="537">
        <f>Reserves!DR$58</f>
        <v>0</v>
      </c>
      <c r="DS156" s="537">
        <f>Reserves!DS$58</f>
        <v>0</v>
      </c>
      <c r="DT156" s="537">
        <f>Reserves!DT$58</f>
        <v>0</v>
      </c>
      <c r="DU156" s="537">
        <f>Reserves!DU$58</f>
        <v>0</v>
      </c>
      <c r="DV156" s="537">
        <f>Reserves!DV$58</f>
        <v>0</v>
      </c>
      <c r="DW156" s="537">
        <f>Reserves!DW$58</f>
        <v>0</v>
      </c>
      <c r="DX156" s="537">
        <f>Reserves!DX$58</f>
        <v>0</v>
      </c>
      <c r="DY156" s="537">
        <f>Reserves!DY$58</f>
        <v>0</v>
      </c>
      <c r="DZ156" s="537">
        <f>Reserves!DZ$58</f>
        <v>0</v>
      </c>
      <c r="EA156" s="537">
        <f>Reserves!EA$58</f>
        <v>0</v>
      </c>
      <c r="EB156" s="537">
        <f>Reserves!EB$58</f>
        <v>0</v>
      </c>
      <c r="EC156" s="537">
        <f>Reserves!EC$58</f>
        <v>0</v>
      </c>
      <c r="ED156" s="537">
        <f>Reserves!ED$58</f>
        <v>0</v>
      </c>
      <c r="EE156" s="537">
        <f>Reserves!EE$58</f>
        <v>0</v>
      </c>
      <c r="EF156" s="537">
        <f>Reserves!EF$58</f>
        <v>0</v>
      </c>
      <c r="EG156" s="537">
        <f>Reserves!EG$58</f>
        <v>0</v>
      </c>
    </row>
    <row r="157" spans="5:137" ht="12.75">
      <c r="E157" s="535" t="str">
        <f>Reserves!E$100</f>
        <v>MRA - release of balance above target</v>
      </c>
      <c r="G157" s="537" t="str">
        <f>Reserves!G$100</f>
        <v>EUR 000s</v>
      </c>
      <c r="H157" s="537">
        <f>Reserves!H$100</f>
        <v>1.3642420526593924E-12</v>
      </c>
      <c r="J157" s="537">
        <f>Reserves!J$100</f>
        <v>0</v>
      </c>
      <c r="K157" s="537">
        <f>Reserves!K$100</f>
        <v>0</v>
      </c>
      <c r="L157" s="537">
        <f>Reserves!L$100</f>
        <v>0</v>
      </c>
      <c r="M157" s="537">
        <f>Reserves!M$100</f>
        <v>0</v>
      </c>
      <c r="N157" s="537">
        <f>Reserves!N$100</f>
        <v>0</v>
      </c>
      <c r="O157" s="537">
        <f>Reserves!O$100</f>
        <v>0</v>
      </c>
      <c r="P157" s="537">
        <f>Reserves!P$100</f>
        <v>0</v>
      </c>
      <c r="Q157" s="537">
        <f>Reserves!Q$100</f>
        <v>0</v>
      </c>
      <c r="R157" s="537">
        <f>Reserves!R$100</f>
        <v>0</v>
      </c>
      <c r="S157" s="537">
        <f>Reserves!S$100</f>
        <v>0</v>
      </c>
      <c r="T157" s="537">
        <f>Reserves!T$100</f>
        <v>0</v>
      </c>
      <c r="U157" s="537">
        <f>Reserves!U$100</f>
        <v>0</v>
      </c>
      <c r="V157" s="537">
        <f>Reserves!V$100</f>
        <v>0</v>
      </c>
      <c r="W157" s="537">
        <f>Reserves!W$100</f>
        <v>0</v>
      </c>
      <c r="X157" s="537">
        <f>Reserves!X$100</f>
        <v>0</v>
      </c>
      <c r="Y157" s="537">
        <f>Reserves!Y$100</f>
        <v>0</v>
      </c>
      <c r="Z157" s="537">
        <f>Reserves!Z$100</f>
        <v>0</v>
      </c>
      <c r="AA157" s="537">
        <f>Reserves!AA$100</f>
        <v>0</v>
      </c>
      <c r="AB157" s="537">
        <f>Reserves!AB$100</f>
        <v>0</v>
      </c>
      <c r="AC157" s="537">
        <f>Reserves!AC$100</f>
        <v>0</v>
      </c>
      <c r="AD157" s="537">
        <f>Reserves!AD$100</f>
        <v>0</v>
      </c>
      <c r="AE157" s="537">
        <f>Reserves!AE$100</f>
        <v>0</v>
      </c>
      <c r="AF157" s="537">
        <f>Reserves!AF$100</f>
        <v>0</v>
      </c>
      <c r="AG157" s="537">
        <f>Reserves!AG$100</f>
        <v>0</v>
      </c>
      <c r="AH157" s="537">
        <f>Reserves!AH$100</f>
        <v>0</v>
      </c>
      <c r="AI157" s="537">
        <f>Reserves!AI$100</f>
        <v>0</v>
      </c>
      <c r="AJ157" s="537">
        <f>Reserves!AJ$100</f>
        <v>0</v>
      </c>
      <c r="AK157" s="537">
        <f>Reserves!AK$100</f>
        <v>0</v>
      </c>
      <c r="AL157" s="537">
        <f>Reserves!AL$100</f>
        <v>0</v>
      </c>
      <c r="AM157" s="537">
        <f>Reserves!AM$100</f>
        <v>0</v>
      </c>
      <c r="AN157" s="537">
        <f>Reserves!AN$100</f>
        <v>0</v>
      </c>
      <c r="AO157" s="537">
        <f>Reserves!AO$100</f>
        <v>0</v>
      </c>
      <c r="AP157" s="537">
        <f>Reserves!AP$100</f>
        <v>0</v>
      </c>
      <c r="AQ157" s="537">
        <f>Reserves!AQ$100</f>
        <v>0</v>
      </c>
      <c r="AR157" s="537">
        <f>Reserves!AR$100</f>
        <v>0</v>
      </c>
      <c r="AS157" s="537">
        <f>Reserves!AS$100</f>
        <v>0</v>
      </c>
      <c r="AT157" s="537">
        <f>Reserves!AT$100</f>
        <v>0</v>
      </c>
      <c r="AU157" s="537">
        <f>Reserves!AU$100</f>
        <v>0</v>
      </c>
      <c r="AV157" s="537">
        <f>Reserves!AV$100</f>
        <v>0</v>
      </c>
      <c r="AW157" s="537">
        <f>Reserves!AW$100</f>
        <v>0</v>
      </c>
      <c r="AX157" s="537">
        <f>Reserves!AX$100</f>
        <v>0</v>
      </c>
      <c r="AY157" s="537">
        <f>Reserves!AY$100</f>
        <v>4.5474735088646412E-13</v>
      </c>
      <c r="AZ157" s="537">
        <f>Reserves!AZ$100</f>
        <v>0</v>
      </c>
      <c r="BA157" s="537">
        <f>Reserves!BA$100</f>
        <v>0</v>
      </c>
      <c r="BB157" s="537">
        <f>Reserves!BB$100</f>
        <v>0</v>
      </c>
      <c r="BC157" s="537">
        <f>Reserves!BC$100</f>
        <v>0</v>
      </c>
      <c r="BD157" s="537">
        <f>Reserves!BD$100</f>
        <v>0</v>
      </c>
      <c r="BE157" s="537">
        <f>Reserves!BE$100</f>
        <v>0</v>
      </c>
      <c r="BF157" s="537">
        <f>Reserves!BF$100</f>
        <v>0</v>
      </c>
      <c r="BG157" s="537">
        <f>Reserves!BG$100</f>
        <v>0</v>
      </c>
      <c r="BH157" s="537">
        <f>Reserves!BH$100</f>
        <v>0</v>
      </c>
      <c r="BI157" s="537">
        <f>Reserves!BI$100</f>
        <v>0</v>
      </c>
      <c r="BJ157" s="537">
        <f>Reserves!BJ$100</f>
        <v>0</v>
      </c>
      <c r="BK157" s="537">
        <f>Reserves!BK$100</f>
        <v>0</v>
      </c>
      <c r="BL157" s="537">
        <f>Reserves!BL$100</f>
        <v>0</v>
      </c>
      <c r="BM157" s="537">
        <f>Reserves!BM$100</f>
        <v>0</v>
      </c>
      <c r="BN157" s="537">
        <f>Reserves!BN$100</f>
        <v>0</v>
      </c>
      <c r="BO157" s="537">
        <f>Reserves!BO$100</f>
        <v>0</v>
      </c>
      <c r="BP157" s="537">
        <f>Reserves!BP$100</f>
        <v>0</v>
      </c>
      <c r="BQ157" s="537">
        <f>Reserves!BQ$100</f>
        <v>0</v>
      </c>
      <c r="BR157" s="537">
        <f>Reserves!BR$100</f>
        <v>0</v>
      </c>
      <c r="BS157" s="537">
        <f>Reserves!BS$100</f>
        <v>0</v>
      </c>
      <c r="BT157" s="537">
        <f>Reserves!BT$100</f>
        <v>0</v>
      </c>
      <c r="BU157" s="537">
        <f>Reserves!BU$100</f>
        <v>0</v>
      </c>
      <c r="BV157" s="537">
        <f>Reserves!BV$100</f>
        <v>0</v>
      </c>
      <c r="BW157" s="537">
        <f>Reserves!BW$100</f>
        <v>0</v>
      </c>
      <c r="BX157" s="537">
        <f>Reserves!BX$100</f>
        <v>0</v>
      </c>
      <c r="BY157" s="537">
        <f>Reserves!BY$100</f>
        <v>0</v>
      </c>
      <c r="BZ157" s="537">
        <f>Reserves!BZ$100</f>
        <v>0</v>
      </c>
      <c r="CA157" s="537">
        <f>Reserves!CA$100</f>
        <v>0</v>
      </c>
      <c r="CB157" s="537">
        <f>Reserves!CB$100</f>
        <v>0</v>
      </c>
      <c r="CC157" s="537">
        <f>Reserves!CC$100</f>
        <v>0</v>
      </c>
      <c r="CD157" s="537">
        <f>Reserves!CD$100</f>
        <v>0</v>
      </c>
      <c r="CE157" s="537">
        <f>Reserves!CE$100</f>
        <v>0</v>
      </c>
      <c r="CF157" s="537">
        <f>Reserves!CF$100</f>
        <v>0</v>
      </c>
      <c r="CG157" s="537">
        <f>Reserves!CG$100</f>
        <v>0</v>
      </c>
      <c r="CH157" s="537">
        <f>Reserves!CH$100</f>
        <v>0</v>
      </c>
      <c r="CI157" s="537">
        <f>Reserves!CI$100</f>
        <v>0</v>
      </c>
      <c r="CJ157" s="537">
        <f>Reserves!CJ$100</f>
        <v>0</v>
      </c>
      <c r="CK157" s="537">
        <f>Reserves!CK$100</f>
        <v>0</v>
      </c>
      <c r="CL157" s="537">
        <f>Reserves!CL$100</f>
        <v>0</v>
      </c>
      <c r="CM157" s="537">
        <f>Reserves!CM$100</f>
        <v>0</v>
      </c>
      <c r="CN157" s="537">
        <f>Reserves!CN$100</f>
        <v>0</v>
      </c>
      <c r="CO157" s="537">
        <f>Reserves!CO$100</f>
        <v>0</v>
      </c>
      <c r="CP157" s="537">
        <f>Reserves!CP$100</f>
        <v>0</v>
      </c>
      <c r="CQ157" s="537">
        <f>Reserves!CQ$100</f>
        <v>0</v>
      </c>
      <c r="CR157" s="537">
        <f>Reserves!CR$100</f>
        <v>0</v>
      </c>
      <c r="CS157" s="537">
        <f>Reserves!CS$100</f>
        <v>0</v>
      </c>
      <c r="CT157" s="537">
        <f>Reserves!CT$100</f>
        <v>0</v>
      </c>
      <c r="CU157" s="537">
        <f>Reserves!CU$100</f>
        <v>0</v>
      </c>
      <c r="CV157" s="537">
        <f>Reserves!CV$100</f>
        <v>0</v>
      </c>
      <c r="CW157" s="537">
        <f>Reserves!CW$100</f>
        <v>0</v>
      </c>
      <c r="CX157" s="537">
        <f>Reserves!CX$100</f>
        <v>0</v>
      </c>
      <c r="CY157" s="537">
        <f>Reserves!CY$100</f>
        <v>0</v>
      </c>
      <c r="CZ157" s="537">
        <f>Reserves!CZ$100</f>
        <v>0</v>
      </c>
      <c r="DA157" s="537">
        <f>Reserves!DA$100</f>
        <v>0</v>
      </c>
      <c r="DB157" s="537">
        <f>Reserves!DB$100</f>
        <v>0</v>
      </c>
      <c r="DC157" s="537">
        <f>Reserves!DC$100</f>
        <v>0</v>
      </c>
      <c r="DD157" s="537">
        <f>Reserves!DD$100</f>
        <v>0</v>
      </c>
      <c r="DE157" s="537">
        <f>Reserves!DE$100</f>
        <v>0</v>
      </c>
      <c r="DF157" s="537">
        <f>Reserves!DF$100</f>
        <v>0</v>
      </c>
      <c r="DG157" s="537">
        <f>Reserves!DG$100</f>
        <v>9.0949470177292824E-13</v>
      </c>
      <c r="DH157" s="537">
        <f>Reserves!DH$100</f>
        <v>0</v>
      </c>
      <c r="DI157" s="537">
        <f>Reserves!DI$100</f>
        <v>0</v>
      </c>
      <c r="DJ157" s="537">
        <f>Reserves!DJ$100</f>
        <v>0</v>
      </c>
      <c r="DK157" s="537">
        <f>Reserves!DK$100</f>
        <v>0</v>
      </c>
      <c r="DL157" s="537">
        <f>Reserves!DL$100</f>
        <v>0</v>
      </c>
      <c r="DM157" s="537">
        <f>Reserves!DM$100</f>
        <v>0</v>
      </c>
      <c r="DN157" s="537">
        <f>Reserves!DN$100</f>
        <v>0</v>
      </c>
      <c r="DO157" s="537">
        <f>Reserves!DO$100</f>
        <v>0</v>
      </c>
      <c r="DP157" s="537">
        <f>Reserves!DP$100</f>
        <v>0</v>
      </c>
      <c r="DQ157" s="537">
        <f>Reserves!DQ$100</f>
        <v>0</v>
      </c>
      <c r="DR157" s="537">
        <f>Reserves!DR$100</f>
        <v>0</v>
      </c>
      <c r="DS157" s="537">
        <f>Reserves!DS$100</f>
        <v>0</v>
      </c>
      <c r="DT157" s="537">
        <f>Reserves!DT$100</f>
        <v>0</v>
      </c>
      <c r="DU157" s="537">
        <f>Reserves!DU$100</f>
        <v>0</v>
      </c>
      <c r="DV157" s="537">
        <f>Reserves!DV$100</f>
        <v>0</v>
      </c>
      <c r="DW157" s="537">
        <f>Reserves!DW$100</f>
        <v>0</v>
      </c>
      <c r="DX157" s="537">
        <f>Reserves!DX$100</f>
        <v>0</v>
      </c>
      <c r="DY157" s="537">
        <f>Reserves!DY$100</f>
        <v>0</v>
      </c>
      <c r="DZ157" s="537">
        <f>Reserves!DZ$100</f>
        <v>0</v>
      </c>
      <c r="EA157" s="537">
        <f>Reserves!EA$100</f>
        <v>0</v>
      </c>
      <c r="EB157" s="537">
        <f>Reserves!EB$100</f>
        <v>0</v>
      </c>
      <c r="EC157" s="537">
        <f>Reserves!EC$100</f>
        <v>0</v>
      </c>
      <c r="ED157" s="537">
        <f>Reserves!ED$100</f>
        <v>0</v>
      </c>
      <c r="EE157" s="537">
        <f>Reserves!EE$100</f>
        <v>0</v>
      </c>
      <c r="EF157" s="537">
        <f>Reserves!EF$100</f>
        <v>0</v>
      </c>
      <c r="EG157" s="537">
        <f>Reserves!EG$100</f>
        <v>0</v>
      </c>
    </row>
    <row r="158" spans="5:137" ht="12.75">
      <c r="E158" s="535" t="str">
        <f>Reserves!E$105</f>
        <v>MRA - deposit towards target</v>
      </c>
      <c r="G158" s="537" t="str">
        <f>Reserves!G$105</f>
        <v>EUR 000s</v>
      </c>
      <c r="H158" s="537">
        <f>Reserves!H$105</f>
        <v>33815.205287834237</v>
      </c>
      <c r="J158" s="537">
        <f>Reserves!J$105</f>
        <v>0</v>
      </c>
      <c r="K158" s="537">
        <f>Reserves!K$105</f>
        <v>0</v>
      </c>
      <c r="L158" s="537">
        <f>Reserves!L$105</f>
        <v>0</v>
      </c>
      <c r="M158" s="537">
        <f>Reserves!M$105</f>
        <v>0</v>
      </c>
      <c r="N158" s="537">
        <f>Reserves!N$105</f>
        <v>0</v>
      </c>
      <c r="O158" s="537">
        <f>Reserves!O$105</f>
        <v>0</v>
      </c>
      <c r="P158" s="537">
        <f>Reserves!P$105</f>
        <v>0</v>
      </c>
      <c r="Q158" s="537">
        <f>Reserves!Q$105</f>
        <v>0</v>
      </c>
      <c r="R158" s="537">
        <f>Reserves!R$105</f>
        <v>0</v>
      </c>
      <c r="S158" s="537">
        <f>Reserves!S$105</f>
        <v>0</v>
      </c>
      <c r="T158" s="537">
        <f>Reserves!T$105</f>
        <v>0</v>
      </c>
      <c r="U158" s="537">
        <f>Reserves!U$105</f>
        <v>0</v>
      </c>
      <c r="V158" s="537">
        <f>Reserves!V$105</f>
        <v>0</v>
      </c>
      <c r="W158" s="537">
        <f>Reserves!W$105</f>
        <v>0</v>
      </c>
      <c r="X158" s="537">
        <f>Reserves!X$105</f>
        <v>0</v>
      </c>
      <c r="Y158" s="537">
        <f>Reserves!Y$105</f>
        <v>0</v>
      </c>
      <c r="Z158" s="537">
        <f>Reserves!Z$105</f>
        <v>0</v>
      </c>
      <c r="AA158" s="537">
        <f>Reserves!AA$105</f>
        <v>0</v>
      </c>
      <c r="AB158" s="537">
        <f>Reserves!AB$105</f>
        <v>0</v>
      </c>
      <c r="AC158" s="537">
        <f>Reserves!AC$105</f>
        <v>0</v>
      </c>
      <c r="AD158" s="537">
        <f>Reserves!AD$105</f>
        <v>0</v>
      </c>
      <c r="AE158" s="537">
        <f>Reserves!AE$105</f>
        <v>0</v>
      </c>
      <c r="AF158" s="537">
        <f>Reserves!AF$105</f>
        <v>0</v>
      </c>
      <c r="AG158" s="537">
        <f>Reserves!AG$105</f>
        <v>0</v>
      </c>
      <c r="AH158" s="537">
        <f>Reserves!AH$105</f>
        <v>0</v>
      </c>
      <c r="AI158" s="537">
        <f>Reserves!AI$105</f>
        <v>0</v>
      </c>
      <c r="AJ158" s="537">
        <f>Reserves!AJ$105</f>
        <v>0</v>
      </c>
      <c r="AK158" s="537">
        <f>Reserves!AK$105</f>
        <v>0</v>
      </c>
      <c r="AL158" s="537">
        <f>Reserves!AL$105</f>
        <v>0</v>
      </c>
      <c r="AM158" s="537">
        <f>Reserves!AM$105</f>
        <v>0</v>
      </c>
      <c r="AN158" s="537">
        <f>Reserves!AN$105</f>
        <v>0</v>
      </c>
      <c r="AO158" s="537">
        <f>Reserves!AO$105</f>
        <v>0</v>
      </c>
      <c r="AP158" s="537">
        <f>Reserves!AP$105</f>
        <v>0</v>
      </c>
      <c r="AQ158" s="537">
        <f>Reserves!AQ$105</f>
        <v>0</v>
      </c>
      <c r="AR158" s="537">
        <f>Reserves!AR$105</f>
        <v>0</v>
      </c>
      <c r="AS158" s="537">
        <f>Reserves!AS$105</f>
        <v>0</v>
      </c>
      <c r="AT158" s="537">
        <f>Reserves!AT$105</f>
        <v>1739.5401273193352</v>
      </c>
      <c r="AU158" s="537">
        <f>Reserves!AU$105</f>
        <v>1739.5401273193352</v>
      </c>
      <c r="AV158" s="537">
        <f>Reserves!AV$105</f>
        <v>1739.5401273193356</v>
      </c>
      <c r="AW158" s="537">
        <f>Reserves!AW$105</f>
        <v>1739.5401273193347</v>
      </c>
      <c r="AX158" s="537">
        <f>Reserves!AX$105</f>
        <v>0</v>
      </c>
      <c r="AY158" s="537">
        <f>Reserves!AY$105</f>
        <v>0</v>
      </c>
      <c r="AZ158" s="537">
        <f>Reserves!AZ$105</f>
        <v>0</v>
      </c>
      <c r="BA158" s="537">
        <f>Reserves!BA$105</f>
        <v>0</v>
      </c>
      <c r="BB158" s="537">
        <f>Reserves!BB$105</f>
        <v>0</v>
      </c>
      <c r="BC158" s="537">
        <f>Reserves!BC$105</f>
        <v>0</v>
      </c>
      <c r="BD158" s="537">
        <f>Reserves!BD$105</f>
        <v>0</v>
      </c>
      <c r="BE158" s="537">
        <f>Reserves!BE$105</f>
        <v>0</v>
      </c>
      <c r="BF158" s="537">
        <f>Reserves!BF$105</f>
        <v>0</v>
      </c>
      <c r="BG158" s="537">
        <f>Reserves!BG$105</f>
        <v>0</v>
      </c>
      <c r="BH158" s="537">
        <f>Reserves!BH$105</f>
        <v>0</v>
      </c>
      <c r="BI158" s="537">
        <f>Reserves!BI$105</f>
        <v>0</v>
      </c>
      <c r="BJ158" s="537">
        <f>Reserves!BJ$105</f>
        <v>0</v>
      </c>
      <c r="BK158" s="537">
        <f>Reserves!BK$105</f>
        <v>0</v>
      </c>
      <c r="BL158" s="537">
        <f>Reserves!BL$105</f>
        <v>0</v>
      </c>
      <c r="BM158" s="537">
        <f>Reserves!BM$105</f>
        <v>0</v>
      </c>
      <c r="BN158" s="537">
        <f>Reserves!BN$105</f>
        <v>1968.1299867018984</v>
      </c>
      <c r="BO158" s="537">
        <f>Reserves!BO$105</f>
        <v>1968.1299867018984</v>
      </c>
      <c r="BP158" s="537">
        <f>Reserves!BP$105</f>
        <v>1968.1299867018979</v>
      </c>
      <c r="BQ158" s="537">
        <f>Reserves!BQ$105</f>
        <v>1968.1299867018988</v>
      </c>
      <c r="BR158" s="537">
        <f>Reserves!BR$105</f>
        <v>0</v>
      </c>
      <c r="BS158" s="537">
        <f>Reserves!BS$105</f>
        <v>4.5474735088646412E-13</v>
      </c>
      <c r="BT158" s="537">
        <f>Reserves!BT$105</f>
        <v>0</v>
      </c>
      <c r="BU158" s="537">
        <f>Reserves!BU$105</f>
        <v>0</v>
      </c>
      <c r="BV158" s="537">
        <f>Reserves!BV$105</f>
        <v>0</v>
      </c>
      <c r="BW158" s="537">
        <f>Reserves!BW$105</f>
        <v>0</v>
      </c>
      <c r="BX158" s="537">
        <f>Reserves!BX$105</f>
        <v>0</v>
      </c>
      <c r="BY158" s="537">
        <f>Reserves!BY$105</f>
        <v>0</v>
      </c>
      <c r="BZ158" s="537">
        <f>Reserves!BZ$105</f>
        <v>0</v>
      </c>
      <c r="CA158" s="537">
        <f>Reserves!CA$105</f>
        <v>0</v>
      </c>
      <c r="CB158" s="537">
        <f>Reserves!CB$105</f>
        <v>0</v>
      </c>
      <c r="CC158" s="537">
        <f>Reserves!CC$105</f>
        <v>0</v>
      </c>
      <c r="CD158" s="537">
        <f>Reserves!CD$105</f>
        <v>0</v>
      </c>
      <c r="CE158" s="537">
        <f>Reserves!CE$105</f>
        <v>0</v>
      </c>
      <c r="CF158" s="537">
        <f>Reserves!CF$105</f>
        <v>0</v>
      </c>
      <c r="CG158" s="537">
        <f>Reserves!CG$105</f>
        <v>0</v>
      </c>
      <c r="CH158" s="537">
        <f>Reserves!CH$105</f>
        <v>2226.7584309908434</v>
      </c>
      <c r="CI158" s="537">
        <f>Reserves!CI$105</f>
        <v>2226.7584309908434</v>
      </c>
      <c r="CJ158" s="537">
        <f>Reserves!CJ$105</f>
        <v>2226.7584309908434</v>
      </c>
      <c r="CK158" s="537">
        <f>Reserves!CK$105</f>
        <v>2226.7584309908434</v>
      </c>
      <c r="CL158" s="537">
        <f>Reserves!CL$105</f>
        <v>0</v>
      </c>
      <c r="CM158" s="537">
        <f>Reserves!CM$105</f>
        <v>0</v>
      </c>
      <c r="CN158" s="537">
        <f>Reserves!CN$105</f>
        <v>0</v>
      </c>
      <c r="CO158" s="537">
        <f>Reserves!CO$105</f>
        <v>0</v>
      </c>
      <c r="CP158" s="537">
        <f>Reserves!CP$105</f>
        <v>0</v>
      </c>
      <c r="CQ158" s="537">
        <f>Reserves!CQ$105</f>
        <v>0</v>
      </c>
      <c r="CR158" s="537">
        <f>Reserves!CR$105</f>
        <v>0</v>
      </c>
      <c r="CS158" s="537">
        <f>Reserves!CS$105</f>
        <v>0</v>
      </c>
      <c r="CT158" s="537">
        <f>Reserves!CT$105</f>
        <v>0</v>
      </c>
      <c r="CU158" s="537">
        <f>Reserves!CU$105</f>
        <v>0</v>
      </c>
      <c r="CV158" s="537">
        <f>Reserves!CV$105</f>
        <v>0</v>
      </c>
      <c r="CW158" s="537">
        <f>Reserves!CW$105</f>
        <v>0</v>
      </c>
      <c r="CX158" s="537">
        <f>Reserves!CX$105</f>
        <v>0</v>
      </c>
      <c r="CY158" s="537">
        <f>Reserves!CY$105</f>
        <v>0</v>
      </c>
      <c r="CZ158" s="537">
        <f>Reserves!CZ$105</f>
        <v>0</v>
      </c>
      <c r="DA158" s="537">
        <f>Reserves!DA$105</f>
        <v>0</v>
      </c>
      <c r="DB158" s="537">
        <f>Reserves!DB$105</f>
        <v>2519.3727769464808</v>
      </c>
      <c r="DC158" s="537">
        <f>Reserves!DC$105</f>
        <v>2519.3727769464808</v>
      </c>
      <c r="DD158" s="537">
        <f>Reserves!DD$105</f>
        <v>2519.3727769464813</v>
      </c>
      <c r="DE158" s="537">
        <f>Reserves!DE$105</f>
        <v>2519.3727769464804</v>
      </c>
      <c r="DF158" s="537">
        <f>Reserves!DF$105</f>
        <v>0</v>
      </c>
      <c r="DG158" s="537">
        <f>Reserves!DG$105</f>
        <v>0</v>
      </c>
      <c r="DH158" s="537">
        <f>Reserves!DH$105</f>
        <v>0</v>
      </c>
      <c r="DI158" s="537">
        <f>Reserves!DI$105</f>
        <v>0</v>
      </c>
      <c r="DJ158" s="537">
        <f>Reserves!DJ$105</f>
        <v>0</v>
      </c>
      <c r="DK158" s="537">
        <f>Reserves!DK$105</f>
        <v>0</v>
      </c>
      <c r="DL158" s="537">
        <f>Reserves!DL$105</f>
        <v>0</v>
      </c>
      <c r="DM158" s="537">
        <f>Reserves!DM$105</f>
        <v>0</v>
      </c>
      <c r="DN158" s="537">
        <f>Reserves!DN$105</f>
        <v>0</v>
      </c>
      <c r="DO158" s="537">
        <f>Reserves!DO$105</f>
        <v>0</v>
      </c>
      <c r="DP158" s="537">
        <f>Reserves!DP$105</f>
        <v>0</v>
      </c>
      <c r="DQ158" s="537">
        <f>Reserves!DQ$105</f>
        <v>0</v>
      </c>
      <c r="DR158" s="537">
        <f>Reserves!DR$105</f>
        <v>0</v>
      </c>
      <c r="DS158" s="537">
        <f>Reserves!DS$105</f>
        <v>0</v>
      </c>
      <c r="DT158" s="537">
        <f>Reserves!DT$105</f>
        <v>0</v>
      </c>
      <c r="DU158" s="537">
        <f>Reserves!DU$105</f>
        <v>0</v>
      </c>
      <c r="DV158" s="537">
        <f>Reserves!DV$105</f>
        <v>0</v>
      </c>
      <c r="DW158" s="537">
        <f>Reserves!DW$105</f>
        <v>0</v>
      </c>
      <c r="DX158" s="537">
        <f>Reserves!DX$105</f>
        <v>0</v>
      </c>
      <c r="DY158" s="537">
        <f>Reserves!DY$105</f>
        <v>0</v>
      </c>
      <c r="DZ158" s="537">
        <f>Reserves!DZ$105</f>
        <v>0</v>
      </c>
      <c r="EA158" s="537">
        <f>Reserves!EA$105</f>
        <v>0</v>
      </c>
      <c r="EB158" s="537">
        <f>Reserves!EB$105</f>
        <v>0</v>
      </c>
      <c r="EC158" s="537">
        <f>Reserves!EC$105</f>
        <v>0</v>
      </c>
      <c r="ED158" s="537">
        <f>Reserves!ED$105</f>
        <v>0</v>
      </c>
      <c r="EE158" s="537">
        <f>Reserves!EE$105</f>
        <v>0</v>
      </c>
      <c r="EF158" s="537">
        <f>Reserves!EF$105</f>
        <v>0</v>
      </c>
      <c r="EG158" s="537">
        <f>Reserves!EG$105</f>
        <v>0</v>
      </c>
    </row>
    <row r="159" spans="5:137" ht="12.75">
      <c r="E159" s="535" t="str">
        <f>Time!E$170</f>
        <v>Last model period flag</v>
      </c>
      <c r="G159" s="537" t="str">
        <f>Time!G$170</f>
        <v>flag</v>
      </c>
      <c r="H159" s="537">
        <f>Time!H$170</f>
        <v>1</v>
      </c>
      <c r="J159" s="537">
        <f>Time!J$170</f>
        <v>0</v>
      </c>
      <c r="K159" s="537">
        <f>Time!K$170</f>
        <v>0</v>
      </c>
      <c r="L159" s="537">
        <f>Time!L$170</f>
        <v>0</v>
      </c>
      <c r="M159" s="537">
        <f>Time!M$170</f>
        <v>0</v>
      </c>
      <c r="N159" s="537">
        <f>Time!N$170</f>
        <v>0</v>
      </c>
      <c r="O159" s="537">
        <f>Time!O$170</f>
        <v>0</v>
      </c>
      <c r="P159" s="537">
        <f>Time!P$170</f>
        <v>0</v>
      </c>
      <c r="Q159" s="537">
        <f>Time!Q$170</f>
        <v>0</v>
      </c>
      <c r="R159" s="537">
        <f>Time!R$170</f>
        <v>0</v>
      </c>
      <c r="S159" s="537">
        <f>Time!S$170</f>
        <v>0</v>
      </c>
      <c r="T159" s="537">
        <f>Time!T$170</f>
        <v>0</v>
      </c>
      <c r="U159" s="537">
        <f>Time!U$170</f>
        <v>0</v>
      </c>
      <c r="V159" s="537">
        <f>Time!V$170</f>
        <v>0</v>
      </c>
      <c r="W159" s="537">
        <f>Time!W$170</f>
        <v>0</v>
      </c>
      <c r="X159" s="537">
        <f>Time!X$170</f>
        <v>0</v>
      </c>
      <c r="Y159" s="537">
        <f>Time!Y$170</f>
        <v>0</v>
      </c>
      <c r="Z159" s="537">
        <f>Time!Z$170</f>
        <v>0</v>
      </c>
      <c r="AA159" s="537">
        <f>Time!AA$170</f>
        <v>0</v>
      </c>
      <c r="AB159" s="537">
        <f>Time!AB$170</f>
        <v>0</v>
      </c>
      <c r="AC159" s="537">
        <f>Time!AC$170</f>
        <v>0</v>
      </c>
      <c r="AD159" s="537">
        <f>Time!AD$170</f>
        <v>0</v>
      </c>
      <c r="AE159" s="537">
        <f>Time!AE$170</f>
        <v>0</v>
      </c>
      <c r="AF159" s="537">
        <f>Time!AF$170</f>
        <v>0</v>
      </c>
      <c r="AG159" s="537">
        <f>Time!AG$170</f>
        <v>0</v>
      </c>
      <c r="AH159" s="537">
        <f>Time!AH$170</f>
        <v>0</v>
      </c>
      <c r="AI159" s="537">
        <f>Time!AI$170</f>
        <v>0</v>
      </c>
      <c r="AJ159" s="537">
        <f>Time!AJ$170</f>
        <v>0</v>
      </c>
      <c r="AK159" s="537">
        <f>Time!AK$170</f>
        <v>0</v>
      </c>
      <c r="AL159" s="537">
        <f>Time!AL$170</f>
        <v>0</v>
      </c>
      <c r="AM159" s="537">
        <f>Time!AM$170</f>
        <v>0</v>
      </c>
      <c r="AN159" s="537">
        <f>Time!AN$170</f>
        <v>0</v>
      </c>
      <c r="AO159" s="537">
        <f>Time!AO$170</f>
        <v>0</v>
      </c>
      <c r="AP159" s="537">
        <f>Time!AP$170</f>
        <v>0</v>
      </c>
      <c r="AQ159" s="537">
        <f>Time!AQ$170</f>
        <v>0</v>
      </c>
      <c r="AR159" s="537">
        <f>Time!AR$170</f>
        <v>0</v>
      </c>
      <c r="AS159" s="537">
        <f>Time!AS$170</f>
        <v>0</v>
      </c>
      <c r="AT159" s="537">
        <f>Time!AT$170</f>
        <v>0</v>
      </c>
      <c r="AU159" s="537">
        <f>Time!AU$170</f>
        <v>0</v>
      </c>
      <c r="AV159" s="537">
        <f>Time!AV$170</f>
        <v>0</v>
      </c>
      <c r="AW159" s="537">
        <f>Time!AW$170</f>
        <v>0</v>
      </c>
      <c r="AX159" s="537">
        <f>Time!AX$170</f>
        <v>0</v>
      </c>
      <c r="AY159" s="537">
        <f>Time!AY$170</f>
        <v>0</v>
      </c>
      <c r="AZ159" s="537">
        <f>Time!AZ$170</f>
        <v>0</v>
      </c>
      <c r="BA159" s="537">
        <f>Time!BA$170</f>
        <v>0</v>
      </c>
      <c r="BB159" s="537">
        <f>Time!BB$170</f>
        <v>0</v>
      </c>
      <c r="BC159" s="537">
        <f>Time!BC$170</f>
        <v>0</v>
      </c>
      <c r="BD159" s="537">
        <f>Time!BD$170</f>
        <v>0</v>
      </c>
      <c r="BE159" s="537">
        <f>Time!BE$170</f>
        <v>0</v>
      </c>
      <c r="BF159" s="537">
        <f>Time!BF$170</f>
        <v>0</v>
      </c>
      <c r="BG159" s="537">
        <f>Time!BG$170</f>
        <v>0</v>
      </c>
      <c r="BH159" s="537">
        <f>Time!BH$170</f>
        <v>0</v>
      </c>
      <c r="BI159" s="537">
        <f>Time!BI$170</f>
        <v>0</v>
      </c>
      <c r="BJ159" s="537">
        <f>Time!BJ$170</f>
        <v>0</v>
      </c>
      <c r="BK159" s="537">
        <f>Time!BK$170</f>
        <v>0</v>
      </c>
      <c r="BL159" s="537">
        <f>Time!BL$170</f>
        <v>0</v>
      </c>
      <c r="BM159" s="537">
        <f>Time!BM$170</f>
        <v>0</v>
      </c>
      <c r="BN159" s="537">
        <f>Time!BN$170</f>
        <v>0</v>
      </c>
      <c r="BO159" s="537">
        <f>Time!BO$170</f>
        <v>0</v>
      </c>
      <c r="BP159" s="537">
        <f>Time!BP$170</f>
        <v>0</v>
      </c>
      <c r="BQ159" s="537">
        <f>Time!BQ$170</f>
        <v>0</v>
      </c>
      <c r="BR159" s="537">
        <f>Time!BR$170</f>
        <v>0</v>
      </c>
      <c r="BS159" s="537">
        <f>Time!BS$170</f>
        <v>0</v>
      </c>
      <c r="BT159" s="537">
        <f>Time!BT$170</f>
        <v>0</v>
      </c>
      <c r="BU159" s="537">
        <f>Time!BU$170</f>
        <v>0</v>
      </c>
      <c r="BV159" s="537">
        <f>Time!BV$170</f>
        <v>0</v>
      </c>
      <c r="BW159" s="537">
        <f>Time!BW$170</f>
        <v>0</v>
      </c>
      <c r="BX159" s="537">
        <f>Time!BX$170</f>
        <v>0</v>
      </c>
      <c r="BY159" s="537">
        <f>Time!BY$170</f>
        <v>0</v>
      </c>
      <c r="BZ159" s="537">
        <f>Time!BZ$170</f>
        <v>0</v>
      </c>
      <c r="CA159" s="537">
        <f>Time!CA$170</f>
        <v>0</v>
      </c>
      <c r="CB159" s="537">
        <f>Time!CB$170</f>
        <v>0</v>
      </c>
      <c r="CC159" s="537">
        <f>Time!CC$170</f>
        <v>0</v>
      </c>
      <c r="CD159" s="537">
        <f>Time!CD$170</f>
        <v>0</v>
      </c>
      <c r="CE159" s="537">
        <f>Time!CE$170</f>
        <v>0</v>
      </c>
      <c r="CF159" s="537">
        <f>Time!CF$170</f>
        <v>0</v>
      </c>
      <c r="CG159" s="537">
        <f>Time!CG$170</f>
        <v>0</v>
      </c>
      <c r="CH159" s="537">
        <f>Time!CH$170</f>
        <v>0</v>
      </c>
      <c r="CI159" s="537">
        <f>Time!CI$170</f>
        <v>0</v>
      </c>
      <c r="CJ159" s="537">
        <f>Time!CJ$170</f>
        <v>0</v>
      </c>
      <c r="CK159" s="537">
        <f>Time!CK$170</f>
        <v>0</v>
      </c>
      <c r="CL159" s="537">
        <f>Time!CL$170</f>
        <v>0</v>
      </c>
      <c r="CM159" s="537">
        <f>Time!CM$170</f>
        <v>0</v>
      </c>
      <c r="CN159" s="537">
        <f>Time!CN$170</f>
        <v>0</v>
      </c>
      <c r="CO159" s="537">
        <f>Time!CO$170</f>
        <v>0</v>
      </c>
      <c r="CP159" s="537">
        <f>Time!CP$170</f>
        <v>0</v>
      </c>
      <c r="CQ159" s="537">
        <f>Time!CQ$170</f>
        <v>0</v>
      </c>
      <c r="CR159" s="537">
        <f>Time!CR$170</f>
        <v>0</v>
      </c>
      <c r="CS159" s="537">
        <f>Time!CS$170</f>
        <v>0</v>
      </c>
      <c r="CT159" s="537">
        <f>Time!CT$170</f>
        <v>0</v>
      </c>
      <c r="CU159" s="537">
        <f>Time!CU$170</f>
        <v>0</v>
      </c>
      <c r="CV159" s="537">
        <f>Time!CV$170</f>
        <v>0</v>
      </c>
      <c r="CW159" s="537">
        <f>Time!CW$170</f>
        <v>0</v>
      </c>
      <c r="CX159" s="537">
        <f>Time!CX$170</f>
        <v>0</v>
      </c>
      <c r="CY159" s="537">
        <f>Time!CY$170</f>
        <v>0</v>
      </c>
      <c r="CZ159" s="537">
        <f>Time!CZ$170</f>
        <v>0</v>
      </c>
      <c r="DA159" s="537">
        <f>Time!DA$170</f>
        <v>0</v>
      </c>
      <c r="DB159" s="537">
        <f>Time!DB$170</f>
        <v>0</v>
      </c>
      <c r="DC159" s="537">
        <f>Time!DC$170</f>
        <v>0</v>
      </c>
      <c r="DD159" s="537">
        <f>Time!DD$170</f>
        <v>0</v>
      </c>
      <c r="DE159" s="537">
        <f>Time!DE$170</f>
        <v>0</v>
      </c>
      <c r="DF159" s="537">
        <f>Time!DF$170</f>
        <v>0</v>
      </c>
      <c r="DG159" s="537">
        <f>Time!DG$170</f>
        <v>0</v>
      </c>
      <c r="DH159" s="537">
        <f>Time!DH$170</f>
        <v>0</v>
      </c>
      <c r="DI159" s="537">
        <f>Time!DI$170</f>
        <v>0</v>
      </c>
      <c r="DJ159" s="537">
        <f>Time!DJ$170</f>
        <v>0</v>
      </c>
      <c r="DK159" s="537">
        <f>Time!DK$170</f>
        <v>0</v>
      </c>
      <c r="DL159" s="537">
        <f>Time!DL$170</f>
        <v>0</v>
      </c>
      <c r="DM159" s="537">
        <f>Time!DM$170</f>
        <v>0</v>
      </c>
      <c r="DN159" s="537">
        <f>Time!DN$170</f>
        <v>0</v>
      </c>
      <c r="DO159" s="537">
        <f>Time!DO$170</f>
        <v>0</v>
      </c>
      <c r="DP159" s="537">
        <f>Time!DP$170</f>
        <v>0</v>
      </c>
      <c r="DQ159" s="537">
        <f>Time!DQ$170</f>
        <v>0</v>
      </c>
      <c r="DR159" s="537">
        <f>Time!DR$170</f>
        <v>0</v>
      </c>
      <c r="DS159" s="537">
        <f>Time!DS$170</f>
        <v>0</v>
      </c>
      <c r="DT159" s="537">
        <f>Time!DT$170</f>
        <v>0</v>
      </c>
      <c r="DU159" s="537">
        <f>Time!DU$170</f>
        <v>0</v>
      </c>
      <c r="DV159" s="537">
        <f>Time!DV$170</f>
        <v>0</v>
      </c>
      <c r="DW159" s="537">
        <f>Time!DW$170</f>
        <v>0</v>
      </c>
      <c r="DX159" s="537">
        <f>Time!DX$170</f>
        <v>0</v>
      </c>
      <c r="DY159" s="537">
        <f>Time!DY$170</f>
        <v>0</v>
      </c>
      <c r="DZ159" s="537">
        <f>Time!DZ$170</f>
        <v>0</v>
      </c>
      <c r="EA159" s="537">
        <f>Time!EA$170</f>
        <v>0</v>
      </c>
      <c r="EB159" s="537">
        <f>Time!EB$170</f>
        <v>0</v>
      </c>
      <c r="EC159" s="537">
        <f>Time!EC$170</f>
        <v>0</v>
      </c>
      <c r="ED159" s="537">
        <f>Time!ED$170</f>
        <v>0</v>
      </c>
      <c r="EE159" s="537">
        <f>Time!EE$170</f>
        <v>0</v>
      </c>
      <c r="EF159" s="537">
        <f>Time!EF$170</f>
        <v>0</v>
      </c>
      <c r="EG159" s="537">
        <f>Time!EG$170</f>
        <v>1</v>
      </c>
    </row>
    <row r="160" spans="5:137" ht="12.75">
      <c r="E160" s="538" t="str">
        <f>E$14</f>
        <v>Cash flow available for debt service</v>
      </c>
      <c r="G160" s="539" t="str">
        <f>G$14</f>
        <v>EUR 000s</v>
      </c>
      <c r="H160" s="539">
        <f>H$14</f>
        <v>957377.69580628083</v>
      </c>
      <c r="J160" s="539">
        <f t="shared" si="58" ref="J160:EG160">J$14</f>
        <v>0</v>
      </c>
      <c r="K160" s="539">
        <f t="shared" si="58"/>
        <v>0</v>
      </c>
      <c r="L160" s="539">
        <f t="shared" si="58"/>
        <v>0</v>
      </c>
      <c r="M160" s="539">
        <f t="shared" si="58"/>
        <v>0</v>
      </c>
      <c r="N160" s="539">
        <f t="shared" si="58"/>
        <v>0</v>
      </c>
      <c r="O160" s="539">
        <f t="shared" si="58"/>
        <v>0</v>
      </c>
      <c r="P160" s="539">
        <f t="shared" si="58"/>
        <v>0</v>
      </c>
      <c r="Q160" s="539">
        <f t="shared" si="58"/>
        <v>0</v>
      </c>
      <c r="R160" s="539">
        <f t="shared" si="58"/>
        <v>0</v>
      </c>
      <c r="S160" s="539">
        <f t="shared" si="58"/>
        <v>0</v>
      </c>
      <c r="T160" s="539">
        <f t="shared" si="58"/>
        <v>0</v>
      </c>
      <c r="U160" s="539">
        <f t="shared" si="58"/>
        <v>0</v>
      </c>
      <c r="V160" s="539">
        <f t="shared" si="58"/>
        <v>0</v>
      </c>
      <c r="W160" s="539">
        <f t="shared" si="58"/>
        <v>0</v>
      </c>
      <c r="X160" s="539">
        <f t="shared" si="58"/>
        <v>0</v>
      </c>
      <c r="Y160" s="539">
        <f t="shared" si="58"/>
        <v>0</v>
      </c>
      <c r="Z160" s="539">
        <f t="shared" si="58"/>
        <v>0</v>
      </c>
      <c r="AA160" s="539">
        <f t="shared" si="58"/>
        <v>0</v>
      </c>
      <c r="AB160" s="539">
        <f t="shared" si="58"/>
        <v>0</v>
      </c>
      <c r="AC160" s="539">
        <f t="shared" si="58"/>
        <v>0</v>
      </c>
      <c r="AD160" s="539">
        <f t="shared" si="58"/>
        <v>0</v>
      </c>
      <c r="AE160" s="539">
        <f t="shared" si="58"/>
        <v>0</v>
      </c>
      <c r="AF160" s="539">
        <f t="shared" si="58"/>
        <v>0</v>
      </c>
      <c r="AG160" s="539">
        <f t="shared" si="58"/>
        <v>0</v>
      </c>
      <c r="AH160" s="539">
        <f t="shared" si="58"/>
        <v>7126.237686929222</v>
      </c>
      <c r="AI160" s="539">
        <f t="shared" si="58"/>
        <v>9016.0731055402921</v>
      </c>
      <c r="AJ160" s="539">
        <f t="shared" si="58"/>
        <v>9015.6345801481111</v>
      </c>
      <c r="AK160" s="539">
        <f t="shared" si="58"/>
        <v>8995.9009374999987</v>
      </c>
      <c r="AL160" s="539">
        <f t="shared" si="58"/>
        <v>9091.9020262907597</v>
      </c>
      <c r="AM160" s="539">
        <f t="shared" si="58"/>
        <v>9174.3408567135994</v>
      </c>
      <c r="AN160" s="539">
        <f t="shared" si="58"/>
        <v>9173.8970475662918</v>
      </c>
      <c r="AO160" s="539">
        <f t="shared" si="58"/>
        <v>9153.9256359374995</v>
      </c>
      <c r="AP160" s="539">
        <f t="shared" si="58"/>
        <v>9251.9761612487546</v>
      </c>
      <c r="AQ160" s="539">
        <f t="shared" si="58"/>
        <v>9335.2061944272264</v>
      </c>
      <c r="AR160" s="539">
        <f t="shared" si="58"/>
        <v>9334.7570856154598</v>
      </c>
      <c r="AS160" s="539">
        <f t="shared" si="58"/>
        <v>9314.5471890859371</v>
      </c>
      <c r="AT160" s="539">
        <f t="shared" si="58"/>
        <v>9435.594366845693</v>
      </c>
      <c r="AU160" s="539">
        <f t="shared" si="58"/>
        <v>9477.8014538705866</v>
      </c>
      <c r="AV160" s="539">
        <f t="shared" si="58"/>
        <v>9498.2504502967968</v>
      </c>
      <c r="AW160" s="539">
        <f t="shared" si="58"/>
        <v>9473.4373793076247</v>
      </c>
      <c r="AX160" s="539">
        <f t="shared" si="58"/>
        <v>9580.0831993996253</v>
      </c>
      <c r="AY160" s="539">
        <f t="shared" si="58"/>
        <v>9664.8728945221992</v>
      </c>
      <c r="AZ160" s="539">
        <f t="shared" si="58"/>
        <v>9664.4131477429219</v>
      </c>
      <c r="BA160" s="539">
        <f t="shared" si="58"/>
        <v>9639.0105450525571</v>
      </c>
      <c r="BB160" s="539">
        <f t="shared" si="58"/>
        <v>9624.8356590516014</v>
      </c>
      <c r="BC160" s="539">
        <f t="shared" si="58"/>
        <v>9692.7614236034206</v>
      </c>
      <c r="BD160" s="539">
        <f t="shared" si="58"/>
        <v>9675.4589885497153</v>
      </c>
      <c r="BE160" s="539">
        <f t="shared" si="58"/>
        <v>9638.4507040270382</v>
      </c>
      <c r="BF160" s="539">
        <f t="shared" si="58"/>
        <v>9720.7935908740237</v>
      </c>
      <c r="BG160" s="539">
        <f t="shared" si="58"/>
        <v>9792.4419929069136</v>
      </c>
      <c r="BH160" s="539">
        <f t="shared" si="58"/>
        <v>9777.9664363635275</v>
      </c>
      <c r="BI160" s="539">
        <f t="shared" si="58"/>
        <v>9743.4226351504403</v>
      </c>
      <c r="BJ160" s="539">
        <f t="shared" si="58"/>
        <v>9852.3659888687216</v>
      </c>
      <c r="BK160" s="539">
        <f t="shared" si="58"/>
        <v>9883.4572104947692</v>
      </c>
      <c r="BL160" s="539">
        <f t="shared" si="58"/>
        <v>9893.2172202296188</v>
      </c>
      <c r="BM160" s="539">
        <f t="shared" si="58"/>
        <v>9860.6827761879267</v>
      </c>
      <c r="BN160" s="539">
        <f t="shared" si="58"/>
        <v>9952.0687470832363</v>
      </c>
      <c r="BO160" s="539">
        <f t="shared" si="58"/>
        <v>10029.716525225305</v>
      </c>
      <c r="BP160" s="539">
        <f t="shared" si="58"/>
        <v>10019.545629405566</v>
      </c>
      <c r="BQ160" s="539">
        <f t="shared" si="58"/>
        <v>9988.6420767608051</v>
      </c>
      <c r="BR160" s="539">
        <f t="shared" si="58"/>
        <v>10187.369081549388</v>
      </c>
      <c r="BS160" s="539">
        <f t="shared" si="58"/>
        <v>10267.445354990101</v>
      </c>
      <c r="BT160" s="539">
        <f t="shared" si="58"/>
        <v>10258.899041178202</v>
      </c>
      <c r="BU160" s="539">
        <f t="shared" si="58"/>
        <v>10229.311707665833</v>
      </c>
      <c r="BV160" s="539">
        <f t="shared" si="58"/>
        <v>10058.731640444626</v>
      </c>
      <c r="BW160" s="539">
        <f t="shared" si="58"/>
        <v>9344.5455321133577</v>
      </c>
      <c r="BX160" s="539">
        <f t="shared" si="58"/>
        <v>9321.7067066273194</v>
      </c>
      <c r="BY160" s="539">
        <f t="shared" si="58"/>
        <v>9278.2350148653059</v>
      </c>
      <c r="BZ160" s="539">
        <f t="shared" si="58"/>
        <v>9366.820362658149</v>
      </c>
      <c r="CA160" s="539">
        <f t="shared" si="58"/>
        <v>9391.5394041324525</v>
      </c>
      <c r="CB160" s="539">
        <f t="shared" si="58"/>
        <v>9325.6587104719256</v>
      </c>
      <c r="CC160" s="539">
        <f t="shared" si="58"/>
        <v>8945.0439358883377</v>
      </c>
      <c r="CD160" s="539">
        <f t="shared" si="58"/>
        <v>8979.3486456163082</v>
      </c>
      <c r="CE160" s="539">
        <f t="shared" si="58"/>
        <v>9046.6164747550774</v>
      </c>
      <c r="CF160" s="539">
        <f t="shared" si="58"/>
        <v>9023.0377831656751</v>
      </c>
      <c r="CG160" s="539">
        <f t="shared" si="58"/>
        <v>8973.8419199923192</v>
      </c>
      <c r="CH160" s="539">
        <f t="shared" si="58"/>
        <v>9016.1509382852164</v>
      </c>
      <c r="CI160" s="539">
        <f t="shared" si="58"/>
        <v>9085.5959504342063</v>
      </c>
      <c r="CJ160" s="539">
        <f t="shared" si="58"/>
        <v>9063.3706202664835</v>
      </c>
      <c r="CK160" s="539">
        <f t="shared" si="58"/>
        <v>9015.6767110387427</v>
      </c>
      <c r="CL160" s="539">
        <f t="shared" si="58"/>
        <v>9619.2585844250625</v>
      </c>
      <c r="CM160" s="539">
        <f t="shared" si="58"/>
        <v>9689.331069373402</v>
      </c>
      <c r="CN160" s="539">
        <f t="shared" si="58"/>
        <v>9666.913390670883</v>
      </c>
      <c r="CO160" s="539">
        <f t="shared" si="58"/>
        <v>9619.2269425792711</v>
      </c>
      <c r="CP160" s="539">
        <f t="shared" si="58"/>
        <v>9139.1530462928586</v>
      </c>
      <c r="CQ160" s="539">
        <f t="shared" si="58"/>
        <v>9160.9563368827476</v>
      </c>
      <c r="CR160" s="539">
        <f t="shared" si="58"/>
        <v>9163.7163616976522</v>
      </c>
      <c r="CS160" s="539">
        <f t="shared" si="58"/>
        <v>9117.6240403708798</v>
      </c>
      <c r="CT160" s="539">
        <f t="shared" si="58"/>
        <v>9172.7758942782111</v>
      </c>
      <c r="CU160" s="539">
        <f t="shared" si="58"/>
        <v>9245.5507180696623</v>
      </c>
      <c r="CV160" s="539">
        <f t="shared" si="58"/>
        <v>9224.3980348323803</v>
      </c>
      <c r="CW160" s="539">
        <f t="shared" si="58"/>
        <v>9178.5813878150875</v>
      </c>
      <c r="CX160" s="539">
        <f t="shared" si="58"/>
        <v>9237.5047308263493</v>
      </c>
      <c r="CY160" s="539">
        <f t="shared" si="58"/>
        <v>9310.5837191884038</v>
      </c>
      <c r="CZ160" s="539">
        <f t="shared" si="58"/>
        <v>9289.0498453167329</v>
      </c>
      <c r="DA160" s="539">
        <f t="shared" si="58"/>
        <v>9243.2109589200554</v>
      </c>
      <c r="DB160" s="539">
        <f t="shared" si="58"/>
        <v>9250.1759971050742</v>
      </c>
      <c r="DC160" s="539">
        <f t="shared" si="58"/>
        <v>9339.0671459746045</v>
      </c>
      <c r="DD160" s="539">
        <f t="shared" si="58"/>
        <v>9333.4126291791054</v>
      </c>
      <c r="DE160" s="539">
        <f t="shared" si="58"/>
        <v>9304.4998770319035</v>
      </c>
      <c r="DF160" s="539">
        <f t="shared" si="58"/>
        <v>10042.297500103878</v>
      </c>
      <c r="DG160" s="539">
        <f t="shared" si="58"/>
        <v>10083.037086594606</v>
      </c>
      <c r="DH160" s="539">
        <f t="shared" si="58"/>
        <v>10103.030440845592</v>
      </c>
      <c r="DI160" s="539">
        <f t="shared" si="58"/>
        <v>10074.710093976457</v>
      </c>
      <c r="DJ160" s="539">
        <f t="shared" si="58"/>
        <v>9531.0000277068248</v>
      </c>
      <c r="DK160" s="539">
        <f t="shared" si="58"/>
        <v>9622.5760692221538</v>
      </c>
      <c r="DL160" s="539">
        <f t="shared" si="58"/>
        <v>9618.4891847043327</v>
      </c>
      <c r="DM160" s="539">
        <f t="shared" si="58"/>
        <v>9590.6249782264968</v>
      </c>
      <c r="DN160" s="539">
        <f t="shared" si="58"/>
        <v>9679.6513243283043</v>
      </c>
      <c r="DO160" s="539">
        <f t="shared" si="58"/>
        <v>9772.3259446832872</v>
      </c>
      <c r="DP160" s="539">
        <f t="shared" si="58"/>
        <v>9768.8299907587207</v>
      </c>
      <c r="DQ160" s="539">
        <f t="shared" si="58"/>
        <v>9741.3091688148925</v>
      </c>
      <c r="DR160" s="539">
        <f t="shared" si="58"/>
        <v>9833.1752700445759</v>
      </c>
      <c r="DS160" s="539">
        <f t="shared" si="58"/>
        <v>9926.8134161951511</v>
      </c>
      <c r="DT160" s="539">
        <f t="shared" si="58"/>
        <v>9923.8082057289866</v>
      </c>
      <c r="DU160" s="539">
        <f t="shared" si="58"/>
        <v>9896.5376166003607</v>
      </c>
      <c r="DV160" s="539">
        <f t="shared" si="58"/>
        <v>10016.918852742816</v>
      </c>
      <c r="DW160" s="539">
        <f t="shared" si="58"/>
        <v>10059.983606963106</v>
      </c>
      <c r="DX160" s="539">
        <f t="shared" si="58"/>
        <v>10083.094712487115</v>
      </c>
      <c r="DY160" s="539">
        <f t="shared" si="58"/>
        <v>10055.997562626802</v>
      </c>
      <c r="DZ160" s="539">
        <f t="shared" si="58"/>
        <v>10153.459517752461</v>
      </c>
      <c r="EA160" s="539">
        <f t="shared" si="58"/>
        <v>10248.680194721674</v>
      </c>
      <c r="EB160" s="539">
        <f t="shared" si="58"/>
        <v>10246.420544942679</v>
      </c>
      <c r="EC160" s="539">
        <f t="shared" si="58"/>
        <v>10948.88102751593</v>
      </c>
      <c r="ED160" s="539">
        <f t="shared" si="58"/>
        <v>2308.4176722004668</v>
      </c>
      <c r="EE160" s="539">
        <f t="shared" si="58"/>
        <v>0</v>
      </c>
      <c r="EF160" s="539">
        <f t="shared" si="58"/>
        <v>0</v>
      </c>
      <c r="EG160" s="539">
        <f t="shared" si="58"/>
        <v>0</v>
      </c>
    </row>
    <row r="161" spans="5:137" ht="12.75">
      <c r="E161" s="538" t="str">
        <f>E$98</f>
        <v>Senior facility - cash sweep prepayment</v>
      </c>
      <c r="G161" s="539" t="str">
        <f>G$98</f>
        <v>EUR 000s</v>
      </c>
      <c r="H161" s="539">
        <f>H$98</f>
        <v>0</v>
      </c>
      <c r="J161" s="539">
        <f t="shared" si="59" ref="J161:EG161">J$98</f>
        <v>0</v>
      </c>
      <c r="K161" s="539">
        <f t="shared" si="59"/>
        <v>0</v>
      </c>
      <c r="L161" s="539">
        <f t="shared" si="59"/>
        <v>0</v>
      </c>
      <c r="M161" s="539">
        <f t="shared" si="59"/>
        <v>0</v>
      </c>
      <c r="N161" s="539">
        <f t="shared" si="59"/>
        <v>0</v>
      </c>
      <c r="O161" s="539">
        <f t="shared" si="59"/>
        <v>0</v>
      </c>
      <c r="P161" s="539">
        <f t="shared" si="59"/>
        <v>0</v>
      </c>
      <c r="Q161" s="539">
        <f t="shared" si="59"/>
        <v>0</v>
      </c>
      <c r="R161" s="539">
        <f t="shared" si="59"/>
        <v>0</v>
      </c>
      <c r="S161" s="539">
        <f t="shared" si="59"/>
        <v>0</v>
      </c>
      <c r="T161" s="539">
        <f t="shared" si="59"/>
        <v>0</v>
      </c>
      <c r="U161" s="539">
        <f t="shared" si="59"/>
        <v>0</v>
      </c>
      <c r="V161" s="539">
        <f t="shared" si="59"/>
        <v>0</v>
      </c>
      <c r="W161" s="539">
        <f t="shared" si="59"/>
        <v>0</v>
      </c>
      <c r="X161" s="539">
        <f t="shared" si="59"/>
        <v>0</v>
      </c>
      <c r="Y161" s="539">
        <f t="shared" si="59"/>
        <v>0</v>
      </c>
      <c r="Z161" s="539">
        <f t="shared" si="59"/>
        <v>0</v>
      </c>
      <c r="AA161" s="539">
        <f t="shared" si="59"/>
        <v>0</v>
      </c>
      <c r="AB161" s="539">
        <f t="shared" si="59"/>
        <v>0</v>
      </c>
      <c r="AC161" s="539">
        <f t="shared" si="59"/>
        <v>0</v>
      </c>
      <c r="AD161" s="539">
        <f t="shared" si="59"/>
        <v>0</v>
      </c>
      <c r="AE161" s="539">
        <f t="shared" si="59"/>
        <v>0</v>
      </c>
      <c r="AF161" s="539">
        <f t="shared" si="59"/>
        <v>0</v>
      </c>
      <c r="AG161" s="539">
        <f t="shared" si="59"/>
        <v>0</v>
      </c>
      <c r="AH161" s="539">
        <f t="shared" si="59"/>
        <v>0</v>
      </c>
      <c r="AI161" s="539">
        <f t="shared" si="59"/>
        <v>0</v>
      </c>
      <c r="AJ161" s="539">
        <f t="shared" si="59"/>
        <v>0</v>
      </c>
      <c r="AK161" s="539">
        <f t="shared" si="59"/>
        <v>0</v>
      </c>
      <c r="AL161" s="539">
        <f t="shared" si="59"/>
        <v>0</v>
      </c>
      <c r="AM161" s="539">
        <f t="shared" si="59"/>
        <v>0</v>
      </c>
      <c r="AN161" s="539">
        <f t="shared" si="59"/>
        <v>0</v>
      </c>
      <c r="AO161" s="539">
        <f t="shared" si="59"/>
        <v>0</v>
      </c>
      <c r="AP161" s="539">
        <f t="shared" si="59"/>
        <v>0</v>
      </c>
      <c r="AQ161" s="539">
        <f t="shared" si="59"/>
        <v>0</v>
      </c>
      <c r="AR161" s="539">
        <f t="shared" si="59"/>
        <v>0</v>
      </c>
      <c r="AS161" s="539">
        <f t="shared" si="59"/>
        <v>0</v>
      </c>
      <c r="AT161" s="539">
        <f t="shared" si="59"/>
        <v>0</v>
      </c>
      <c r="AU161" s="539">
        <f t="shared" si="59"/>
        <v>0</v>
      </c>
      <c r="AV161" s="539">
        <f t="shared" si="59"/>
        <v>0</v>
      </c>
      <c r="AW161" s="539">
        <f t="shared" si="59"/>
        <v>0</v>
      </c>
      <c r="AX161" s="539">
        <f t="shared" si="59"/>
        <v>0</v>
      </c>
      <c r="AY161" s="539">
        <f t="shared" si="59"/>
        <v>0</v>
      </c>
      <c r="AZ161" s="539">
        <f t="shared" si="59"/>
        <v>0</v>
      </c>
      <c r="BA161" s="539">
        <f t="shared" si="59"/>
        <v>0</v>
      </c>
      <c r="BB161" s="539">
        <f t="shared" si="59"/>
        <v>0</v>
      </c>
      <c r="BC161" s="539">
        <f t="shared" si="59"/>
        <v>0</v>
      </c>
      <c r="BD161" s="539">
        <f t="shared" si="59"/>
        <v>0</v>
      </c>
      <c r="BE161" s="539">
        <f t="shared" si="59"/>
        <v>0</v>
      </c>
      <c r="BF161" s="539">
        <f t="shared" si="59"/>
        <v>0</v>
      </c>
      <c r="BG161" s="539">
        <f t="shared" si="59"/>
        <v>0</v>
      </c>
      <c r="BH161" s="539">
        <f t="shared" si="59"/>
        <v>0</v>
      </c>
      <c r="BI161" s="539">
        <f t="shared" si="59"/>
        <v>0</v>
      </c>
      <c r="BJ161" s="539">
        <f t="shared" si="59"/>
        <v>0</v>
      </c>
      <c r="BK161" s="539">
        <f t="shared" si="59"/>
        <v>0</v>
      </c>
      <c r="BL161" s="539">
        <f t="shared" si="59"/>
        <v>0</v>
      </c>
      <c r="BM161" s="539">
        <f t="shared" si="59"/>
        <v>0</v>
      </c>
      <c r="BN161" s="539">
        <f t="shared" si="59"/>
        <v>0</v>
      </c>
      <c r="BO161" s="539">
        <f t="shared" si="59"/>
        <v>0</v>
      </c>
      <c r="BP161" s="539">
        <f t="shared" si="59"/>
        <v>0</v>
      </c>
      <c r="BQ161" s="539">
        <f t="shared" si="59"/>
        <v>0</v>
      </c>
      <c r="BR161" s="539">
        <f t="shared" si="59"/>
        <v>0</v>
      </c>
      <c r="BS161" s="539">
        <f t="shared" si="59"/>
        <v>0</v>
      </c>
      <c r="BT161" s="539">
        <f t="shared" si="59"/>
        <v>0</v>
      </c>
      <c r="BU161" s="539">
        <f t="shared" si="59"/>
        <v>0</v>
      </c>
      <c r="BV161" s="539">
        <f t="shared" si="59"/>
        <v>0</v>
      </c>
      <c r="BW161" s="539">
        <f t="shared" si="59"/>
        <v>0</v>
      </c>
      <c r="BX161" s="539">
        <f t="shared" si="59"/>
        <v>0</v>
      </c>
      <c r="BY161" s="539">
        <f t="shared" si="59"/>
        <v>0</v>
      </c>
      <c r="BZ161" s="539">
        <f t="shared" si="59"/>
        <v>0</v>
      </c>
      <c r="CA161" s="539">
        <f t="shared" si="59"/>
        <v>0</v>
      </c>
      <c r="CB161" s="539">
        <f t="shared" si="59"/>
        <v>0</v>
      </c>
      <c r="CC161" s="539">
        <f t="shared" si="59"/>
        <v>0</v>
      </c>
      <c r="CD161" s="539">
        <f t="shared" si="59"/>
        <v>0</v>
      </c>
      <c r="CE161" s="539">
        <f t="shared" si="59"/>
        <v>0</v>
      </c>
      <c r="CF161" s="539">
        <f t="shared" si="59"/>
        <v>0</v>
      </c>
      <c r="CG161" s="539">
        <f t="shared" si="59"/>
        <v>0</v>
      </c>
      <c r="CH161" s="539">
        <f t="shared" si="59"/>
        <v>0</v>
      </c>
      <c r="CI161" s="539">
        <f t="shared" si="59"/>
        <v>0</v>
      </c>
      <c r="CJ161" s="539">
        <f t="shared" si="59"/>
        <v>0</v>
      </c>
      <c r="CK161" s="539">
        <f t="shared" si="59"/>
        <v>0</v>
      </c>
      <c r="CL161" s="539">
        <f t="shared" si="59"/>
        <v>0</v>
      </c>
      <c r="CM161" s="539">
        <f t="shared" si="59"/>
        <v>0</v>
      </c>
      <c r="CN161" s="539">
        <f t="shared" si="59"/>
        <v>0</v>
      </c>
      <c r="CO161" s="539">
        <f t="shared" si="59"/>
        <v>0</v>
      </c>
      <c r="CP161" s="539">
        <f t="shared" si="59"/>
        <v>0</v>
      </c>
      <c r="CQ161" s="539">
        <f t="shared" si="59"/>
        <v>0</v>
      </c>
      <c r="CR161" s="539">
        <f t="shared" si="59"/>
        <v>0</v>
      </c>
      <c r="CS161" s="539">
        <f t="shared" si="59"/>
        <v>0</v>
      </c>
      <c r="CT161" s="539">
        <f t="shared" si="59"/>
        <v>0</v>
      </c>
      <c r="CU161" s="539">
        <f t="shared" si="59"/>
        <v>0</v>
      </c>
      <c r="CV161" s="539">
        <f t="shared" si="59"/>
        <v>0</v>
      </c>
      <c r="CW161" s="539">
        <f t="shared" si="59"/>
        <v>0</v>
      </c>
      <c r="CX161" s="539">
        <f t="shared" si="59"/>
        <v>0</v>
      </c>
      <c r="CY161" s="539">
        <f t="shared" si="59"/>
        <v>0</v>
      </c>
      <c r="CZ161" s="539">
        <f t="shared" si="59"/>
        <v>0</v>
      </c>
      <c r="DA161" s="539">
        <f t="shared" si="59"/>
        <v>0</v>
      </c>
      <c r="DB161" s="539">
        <f t="shared" si="59"/>
        <v>0</v>
      </c>
      <c r="DC161" s="539">
        <f t="shared" si="59"/>
        <v>0</v>
      </c>
      <c r="DD161" s="539">
        <f t="shared" si="59"/>
        <v>0</v>
      </c>
      <c r="DE161" s="539">
        <f t="shared" si="59"/>
        <v>0</v>
      </c>
      <c r="DF161" s="539">
        <f t="shared" si="59"/>
        <v>0</v>
      </c>
      <c r="DG161" s="539">
        <f t="shared" si="59"/>
        <v>0</v>
      </c>
      <c r="DH161" s="539">
        <f t="shared" si="59"/>
        <v>0</v>
      </c>
      <c r="DI161" s="539">
        <f t="shared" si="59"/>
        <v>0</v>
      </c>
      <c r="DJ161" s="539">
        <f t="shared" si="59"/>
        <v>0</v>
      </c>
      <c r="DK161" s="539">
        <f t="shared" si="59"/>
        <v>0</v>
      </c>
      <c r="DL161" s="539">
        <f t="shared" si="59"/>
        <v>0</v>
      </c>
      <c r="DM161" s="539">
        <f t="shared" si="59"/>
        <v>0</v>
      </c>
      <c r="DN161" s="539">
        <f t="shared" si="59"/>
        <v>0</v>
      </c>
      <c r="DO161" s="539">
        <f t="shared" si="59"/>
        <v>0</v>
      </c>
      <c r="DP161" s="539">
        <f t="shared" si="59"/>
        <v>0</v>
      </c>
      <c r="DQ161" s="539">
        <f t="shared" si="59"/>
        <v>0</v>
      </c>
      <c r="DR161" s="539">
        <f t="shared" si="59"/>
        <v>0</v>
      </c>
      <c r="DS161" s="539">
        <f t="shared" si="59"/>
        <v>0</v>
      </c>
      <c r="DT161" s="539">
        <f t="shared" si="59"/>
        <v>0</v>
      </c>
      <c r="DU161" s="539">
        <f t="shared" si="59"/>
        <v>0</v>
      </c>
      <c r="DV161" s="539">
        <f t="shared" si="59"/>
        <v>0</v>
      </c>
      <c r="DW161" s="539">
        <f t="shared" si="59"/>
        <v>0</v>
      </c>
      <c r="DX161" s="539">
        <f t="shared" si="59"/>
        <v>0</v>
      </c>
      <c r="DY161" s="539">
        <f t="shared" si="59"/>
        <v>0</v>
      </c>
      <c r="DZ161" s="539">
        <f t="shared" si="59"/>
        <v>0</v>
      </c>
      <c r="EA161" s="539">
        <f t="shared" si="59"/>
        <v>0</v>
      </c>
      <c r="EB161" s="539">
        <f t="shared" si="59"/>
        <v>0</v>
      </c>
      <c r="EC161" s="539">
        <f t="shared" si="59"/>
        <v>0</v>
      </c>
      <c r="ED161" s="539">
        <f t="shared" si="59"/>
        <v>0</v>
      </c>
      <c r="EE161" s="539">
        <f t="shared" si="59"/>
        <v>0</v>
      </c>
      <c r="EF161" s="539">
        <f t="shared" si="59"/>
        <v>0</v>
      </c>
      <c r="EG161" s="539">
        <f t="shared" si="59"/>
        <v>0</v>
      </c>
    </row>
    <row r="162" spans="5:137" ht="12.75">
      <c r="E162" s="538" t="str">
        <f>E$122</f>
        <v>Cash balance - closing</v>
      </c>
      <c r="G162" s="539" t="str">
        <f>G$122</f>
        <v>EUR 000s</v>
      </c>
      <c r="H162" s="539">
        <f>H$122</f>
        <v>21202.690295842913</v>
      </c>
      <c r="J162" s="539">
        <f t="shared" si="60" ref="J162:EG162">J$122</f>
        <v>0</v>
      </c>
      <c r="K162" s="539">
        <f t="shared" si="60"/>
        <v>0</v>
      </c>
      <c r="L162" s="539">
        <f t="shared" si="60"/>
        <v>0</v>
      </c>
      <c r="M162" s="539">
        <f t="shared" si="60"/>
        <v>0</v>
      </c>
      <c r="N162" s="539">
        <f t="shared" si="60"/>
        <v>0</v>
      </c>
      <c r="O162" s="539">
        <f t="shared" si="60"/>
        <v>0</v>
      </c>
      <c r="P162" s="539">
        <f t="shared" si="60"/>
        <v>0</v>
      </c>
      <c r="Q162" s="539">
        <f t="shared" si="60"/>
        <v>0</v>
      </c>
      <c r="R162" s="539">
        <f t="shared" si="60"/>
        <v>0</v>
      </c>
      <c r="S162" s="539">
        <f t="shared" si="60"/>
        <v>0</v>
      </c>
      <c r="T162" s="539">
        <f t="shared" si="60"/>
        <v>0</v>
      </c>
      <c r="U162" s="539">
        <f t="shared" si="60"/>
        <v>0</v>
      </c>
      <c r="V162" s="539">
        <f t="shared" si="60"/>
        <v>0</v>
      </c>
      <c r="W162" s="539">
        <f t="shared" si="60"/>
        <v>0</v>
      </c>
      <c r="X162" s="539">
        <f t="shared" si="60"/>
        <v>0</v>
      </c>
      <c r="Y162" s="539">
        <f t="shared" si="60"/>
        <v>0</v>
      </c>
      <c r="Z162" s="539">
        <f t="shared" si="60"/>
        <v>0</v>
      </c>
      <c r="AA162" s="539">
        <f t="shared" si="60"/>
        <v>0</v>
      </c>
      <c r="AB162" s="539">
        <f t="shared" si="60"/>
        <v>0</v>
      </c>
      <c r="AC162" s="539">
        <f t="shared" si="60"/>
        <v>0</v>
      </c>
      <c r="AD162" s="539">
        <f t="shared" si="60"/>
        <v>0</v>
      </c>
      <c r="AE162" s="539">
        <f t="shared" si="60"/>
        <v>0</v>
      </c>
      <c r="AF162" s="539">
        <f t="shared" si="60"/>
        <v>0</v>
      </c>
      <c r="AG162" s="539">
        <f t="shared" si="60"/>
        <v>0</v>
      </c>
      <c r="AH162" s="539">
        <f t="shared" si="60"/>
        <v>0</v>
      </c>
      <c r="AI162" s="539">
        <f t="shared" si="60"/>
        <v>0</v>
      </c>
      <c r="AJ162" s="539">
        <f t="shared" si="60"/>
        <v>0</v>
      </c>
      <c r="AK162" s="539">
        <f t="shared" si="60"/>
        <v>0</v>
      </c>
      <c r="AL162" s="539">
        <f t="shared" si="60"/>
        <v>0</v>
      </c>
      <c r="AM162" s="539">
        <f t="shared" si="60"/>
        <v>0</v>
      </c>
      <c r="AN162" s="539">
        <f t="shared" si="60"/>
        <v>0</v>
      </c>
      <c r="AO162" s="539">
        <f t="shared" si="60"/>
        <v>0</v>
      </c>
      <c r="AP162" s="539">
        <f t="shared" si="60"/>
        <v>0</v>
      </c>
      <c r="AQ162" s="539">
        <f t="shared" si="60"/>
        <v>0</v>
      </c>
      <c r="AR162" s="539">
        <f t="shared" si="60"/>
        <v>0</v>
      </c>
      <c r="AS162" s="539">
        <f t="shared" si="60"/>
        <v>0</v>
      </c>
      <c r="AT162" s="539">
        <f t="shared" si="60"/>
        <v>0</v>
      </c>
      <c r="AU162" s="539">
        <f t="shared" si="60"/>
        <v>0</v>
      </c>
      <c r="AV162" s="539">
        <f t="shared" si="60"/>
        <v>0</v>
      </c>
      <c r="AW162" s="539">
        <f t="shared" si="60"/>
        <v>0</v>
      </c>
      <c r="AX162" s="539">
        <f t="shared" si="60"/>
        <v>0</v>
      </c>
      <c r="AY162" s="539">
        <f t="shared" si="60"/>
        <v>0</v>
      </c>
      <c r="AZ162" s="539">
        <f t="shared" si="60"/>
        <v>0</v>
      </c>
      <c r="BA162" s="539">
        <f t="shared" si="60"/>
        <v>0</v>
      </c>
      <c r="BB162" s="539">
        <f t="shared" si="60"/>
        <v>0</v>
      </c>
      <c r="BC162" s="539">
        <f t="shared" si="60"/>
        <v>0</v>
      </c>
      <c r="BD162" s="539">
        <f t="shared" si="60"/>
        <v>0</v>
      </c>
      <c r="BE162" s="539">
        <f t="shared" si="60"/>
        <v>0</v>
      </c>
      <c r="BF162" s="539">
        <f t="shared" si="60"/>
        <v>0</v>
      </c>
      <c r="BG162" s="539">
        <f t="shared" si="60"/>
        <v>0</v>
      </c>
      <c r="BH162" s="539">
        <f t="shared" si="60"/>
        <v>0</v>
      </c>
      <c r="BI162" s="539">
        <f t="shared" si="60"/>
        <v>0</v>
      </c>
      <c r="BJ162" s="539">
        <f t="shared" si="60"/>
        <v>0</v>
      </c>
      <c r="BK162" s="539">
        <f t="shared" si="60"/>
        <v>0</v>
      </c>
      <c r="BL162" s="539">
        <f t="shared" si="60"/>
        <v>0</v>
      </c>
      <c r="BM162" s="539">
        <f t="shared" si="60"/>
        <v>0</v>
      </c>
      <c r="BN162" s="539">
        <f t="shared" si="60"/>
        <v>0</v>
      </c>
      <c r="BO162" s="539">
        <f t="shared" si="60"/>
        <v>0</v>
      </c>
      <c r="BP162" s="539">
        <f t="shared" si="60"/>
        <v>0</v>
      </c>
      <c r="BQ162" s="539">
        <f t="shared" si="60"/>
        <v>0</v>
      </c>
      <c r="BR162" s="539">
        <f t="shared" si="60"/>
        <v>0</v>
      </c>
      <c r="BS162" s="539">
        <f t="shared" si="60"/>
        <v>0</v>
      </c>
      <c r="BT162" s="539">
        <f t="shared" si="60"/>
        <v>0</v>
      </c>
      <c r="BU162" s="539">
        <f t="shared" si="60"/>
        <v>0</v>
      </c>
      <c r="BV162" s="539">
        <f t="shared" si="60"/>
        <v>0</v>
      </c>
      <c r="BW162" s="539">
        <f t="shared" si="60"/>
        <v>0</v>
      </c>
      <c r="BX162" s="539">
        <f t="shared" si="60"/>
        <v>0</v>
      </c>
      <c r="BY162" s="539">
        <f t="shared" si="60"/>
        <v>0</v>
      </c>
      <c r="BZ162" s="539">
        <f t="shared" si="60"/>
        <v>0</v>
      </c>
      <c r="CA162" s="539">
        <f t="shared" si="60"/>
        <v>0</v>
      </c>
      <c r="CB162" s="539">
        <f t="shared" si="60"/>
        <v>0</v>
      </c>
      <c r="CC162" s="539">
        <f t="shared" si="60"/>
        <v>0</v>
      </c>
      <c r="CD162" s="539">
        <f t="shared" si="60"/>
        <v>0</v>
      </c>
      <c r="CE162" s="539">
        <f t="shared" si="60"/>
        <v>0</v>
      </c>
      <c r="CF162" s="539">
        <f t="shared" si="60"/>
        <v>0</v>
      </c>
      <c r="CG162" s="539">
        <f t="shared" si="60"/>
        <v>0</v>
      </c>
      <c r="CH162" s="539">
        <f t="shared" si="60"/>
        <v>0</v>
      </c>
      <c r="CI162" s="539">
        <f t="shared" si="60"/>
        <v>0</v>
      </c>
      <c r="CJ162" s="539">
        <f t="shared" si="60"/>
        <v>0</v>
      </c>
      <c r="CK162" s="539">
        <f t="shared" si="60"/>
        <v>0</v>
      </c>
      <c r="CL162" s="539">
        <f t="shared" si="60"/>
        <v>0</v>
      </c>
      <c r="CM162" s="539">
        <f t="shared" si="60"/>
        <v>0</v>
      </c>
      <c r="CN162" s="539">
        <f t="shared" si="60"/>
        <v>0</v>
      </c>
      <c r="CO162" s="539">
        <f t="shared" si="60"/>
        <v>0</v>
      </c>
      <c r="CP162" s="539">
        <f t="shared" si="60"/>
        <v>0</v>
      </c>
      <c r="CQ162" s="539">
        <f t="shared" si="60"/>
        <v>0</v>
      </c>
      <c r="CR162" s="539">
        <f t="shared" si="60"/>
        <v>0</v>
      </c>
      <c r="CS162" s="539">
        <f t="shared" si="60"/>
        <v>0</v>
      </c>
      <c r="CT162" s="539">
        <f t="shared" si="60"/>
        <v>0</v>
      </c>
      <c r="CU162" s="539">
        <f t="shared" si="60"/>
        <v>0</v>
      </c>
      <c r="CV162" s="539">
        <f t="shared" si="60"/>
        <v>0</v>
      </c>
      <c r="CW162" s="539">
        <f t="shared" si="60"/>
        <v>0</v>
      </c>
      <c r="CX162" s="539">
        <f t="shared" si="60"/>
        <v>0</v>
      </c>
      <c r="CY162" s="539">
        <f t="shared" si="60"/>
        <v>0</v>
      </c>
      <c r="CZ162" s="539">
        <f t="shared" si="60"/>
        <v>0</v>
      </c>
      <c r="DA162" s="539">
        <f t="shared" si="60"/>
        <v>0</v>
      </c>
      <c r="DB162" s="539">
        <f t="shared" si="60"/>
        <v>0</v>
      </c>
      <c r="DC162" s="539">
        <f t="shared" si="60"/>
        <v>0</v>
      </c>
      <c r="DD162" s="539">
        <f t="shared" si="60"/>
        <v>0</v>
      </c>
      <c r="DE162" s="539">
        <f t="shared" si="60"/>
        <v>0</v>
      </c>
      <c r="DF162" s="539">
        <f t="shared" si="60"/>
        <v>0</v>
      </c>
      <c r="DG162" s="539">
        <f t="shared" si="60"/>
        <v>0</v>
      </c>
      <c r="DH162" s="539">
        <f t="shared" si="60"/>
        <v>0</v>
      </c>
      <c r="DI162" s="539">
        <f t="shared" si="60"/>
        <v>0</v>
      </c>
      <c r="DJ162" s="539">
        <f t="shared" si="60"/>
        <v>0</v>
      </c>
      <c r="DK162" s="539">
        <f t="shared" si="60"/>
        <v>0</v>
      </c>
      <c r="DL162" s="539">
        <f t="shared" si="60"/>
        <v>0</v>
      </c>
      <c r="DM162" s="539">
        <f t="shared" si="60"/>
        <v>0</v>
      </c>
      <c r="DN162" s="539">
        <f t="shared" si="60"/>
        <v>0</v>
      </c>
      <c r="DO162" s="539">
        <f t="shared" si="60"/>
        <v>0</v>
      </c>
      <c r="DP162" s="539">
        <f t="shared" si="60"/>
        <v>0</v>
      </c>
      <c r="DQ162" s="539">
        <f t="shared" si="60"/>
        <v>0</v>
      </c>
      <c r="DR162" s="539">
        <f t="shared" si="60"/>
        <v>0</v>
      </c>
      <c r="DS162" s="539">
        <f t="shared" si="60"/>
        <v>0</v>
      </c>
      <c r="DT162" s="539">
        <f t="shared" si="60"/>
        <v>0</v>
      </c>
      <c r="DU162" s="539">
        <f t="shared" si="60"/>
        <v>0</v>
      </c>
      <c r="DV162" s="539">
        <f t="shared" si="60"/>
        <v>0</v>
      </c>
      <c r="DW162" s="539">
        <f t="shared" si="60"/>
        <v>0</v>
      </c>
      <c r="DX162" s="539">
        <f t="shared" si="60"/>
        <v>0</v>
      </c>
      <c r="DY162" s="539">
        <f t="shared" si="60"/>
        <v>1997.2598334849408</v>
      </c>
      <c r="DZ162" s="539">
        <f t="shared" si="60"/>
        <v>4152.3012636137537</v>
      </c>
      <c r="EA162" s="539">
        <f t="shared" si="60"/>
        <v>6402.5633707117795</v>
      </c>
      <c r="EB162" s="539">
        <f t="shared" si="60"/>
        <v>8650.5658280308089</v>
      </c>
      <c r="EC162" s="539">
        <f t="shared" si="60"/>
        <v>0</v>
      </c>
      <c r="ED162" s="539">
        <f t="shared" si="60"/>
        <v>4.0745362639427185E-10</v>
      </c>
      <c r="EE162" s="539">
        <f t="shared" si="60"/>
        <v>4.0745362639427185E-10</v>
      </c>
      <c r="EF162" s="539">
        <f t="shared" si="60"/>
        <v>4.0745362639427185E-10</v>
      </c>
      <c r="EG162" s="539">
        <f t="shared" si="60"/>
        <v>4.0745362639427185E-10</v>
      </c>
    </row>
    <row r="163" spans="5:7" ht="12.75">
      <c r="E163" s="540" t="s">
        <v>426</v>
      </c>
      <c r="F163" s="543">
        <f>IF(ABS(SUM($J160:$EG160)-SUM($J150:$EG150)-SUM($J153:$EG153)+SUM($J154:$EG154)+SUM($J155:$EG155)-SUM($J156:$EG156)+SUM($J157:$EG157)-SUM($J158:$EG158)-SUM($J151:$EG151)-SUM($J161:$EG161)-SUM($J152:$EG152)-SUMIFS($J162:$EG162,$J159:$EG159,1))&gt;$F149,1,0)</f>
        <v>0</v>
      </c>
      <c r="G163" s="541" t="s">
        <v>224</v>
      </c>
    </row>
    <row r="165" spans="5:7" ht="12.75">
      <c r="E165" s="535" t="str">
        <f>InpC!E$128</f>
        <v>Check tolerance</v>
      </c>
      <c r="F165" s="537">
        <f>InpC!F$128</f>
        <v>0.001</v>
      </c>
      <c r="G165" s="537" t="str">
        <f>InpC!G$128</f>
        <v>EUR 000s</v>
      </c>
    </row>
    <row r="166" spans="5:137" ht="12.75">
      <c r="E166" s="538" t="str">
        <f>E$122</f>
        <v>Cash balance - closing</v>
      </c>
      <c r="G166" s="539" t="str">
        <f>G$122</f>
        <v>EUR 000s</v>
      </c>
      <c r="H166" s="539">
        <f>H$122</f>
        <v>21202.690295842913</v>
      </c>
      <c r="J166" s="539">
        <f t="shared" si="61" ref="J166:EG166">J$122</f>
        <v>0</v>
      </c>
      <c r="K166" s="539">
        <f t="shared" si="61"/>
        <v>0</v>
      </c>
      <c r="L166" s="539">
        <f t="shared" si="61"/>
        <v>0</v>
      </c>
      <c r="M166" s="539">
        <f t="shared" si="61"/>
        <v>0</v>
      </c>
      <c r="N166" s="539">
        <f t="shared" si="61"/>
        <v>0</v>
      </c>
      <c r="O166" s="539">
        <f t="shared" si="61"/>
        <v>0</v>
      </c>
      <c r="P166" s="539">
        <f t="shared" si="61"/>
        <v>0</v>
      </c>
      <c r="Q166" s="539">
        <f t="shared" si="61"/>
        <v>0</v>
      </c>
      <c r="R166" s="539">
        <f t="shared" si="61"/>
        <v>0</v>
      </c>
      <c r="S166" s="539">
        <f t="shared" si="61"/>
        <v>0</v>
      </c>
      <c r="T166" s="539">
        <f t="shared" si="61"/>
        <v>0</v>
      </c>
      <c r="U166" s="539">
        <f t="shared" si="61"/>
        <v>0</v>
      </c>
      <c r="V166" s="539">
        <f t="shared" si="61"/>
        <v>0</v>
      </c>
      <c r="W166" s="539">
        <f t="shared" si="61"/>
        <v>0</v>
      </c>
      <c r="X166" s="539">
        <f t="shared" si="61"/>
        <v>0</v>
      </c>
      <c r="Y166" s="539">
        <f t="shared" si="61"/>
        <v>0</v>
      </c>
      <c r="Z166" s="539">
        <f t="shared" si="61"/>
        <v>0</v>
      </c>
      <c r="AA166" s="539">
        <f t="shared" si="61"/>
        <v>0</v>
      </c>
      <c r="AB166" s="539">
        <f t="shared" si="61"/>
        <v>0</v>
      </c>
      <c r="AC166" s="539">
        <f t="shared" si="61"/>
        <v>0</v>
      </c>
      <c r="AD166" s="539">
        <f t="shared" si="61"/>
        <v>0</v>
      </c>
      <c r="AE166" s="539">
        <f t="shared" si="61"/>
        <v>0</v>
      </c>
      <c r="AF166" s="539">
        <f t="shared" si="61"/>
        <v>0</v>
      </c>
      <c r="AG166" s="539">
        <f t="shared" si="61"/>
        <v>0</v>
      </c>
      <c r="AH166" s="539">
        <f t="shared" si="61"/>
        <v>0</v>
      </c>
      <c r="AI166" s="539">
        <f t="shared" si="61"/>
        <v>0</v>
      </c>
      <c r="AJ166" s="539">
        <f t="shared" si="61"/>
        <v>0</v>
      </c>
      <c r="AK166" s="539">
        <f t="shared" si="61"/>
        <v>0</v>
      </c>
      <c r="AL166" s="539">
        <f t="shared" si="61"/>
        <v>0</v>
      </c>
      <c r="AM166" s="539">
        <f t="shared" si="61"/>
        <v>0</v>
      </c>
      <c r="AN166" s="539">
        <f t="shared" si="61"/>
        <v>0</v>
      </c>
      <c r="AO166" s="539">
        <f t="shared" si="61"/>
        <v>0</v>
      </c>
      <c r="AP166" s="539">
        <f t="shared" si="61"/>
        <v>0</v>
      </c>
      <c r="AQ166" s="539">
        <f t="shared" si="61"/>
        <v>0</v>
      </c>
      <c r="AR166" s="539">
        <f t="shared" si="61"/>
        <v>0</v>
      </c>
      <c r="AS166" s="539">
        <f t="shared" si="61"/>
        <v>0</v>
      </c>
      <c r="AT166" s="539">
        <f t="shared" si="61"/>
        <v>0</v>
      </c>
      <c r="AU166" s="539">
        <f t="shared" si="61"/>
        <v>0</v>
      </c>
      <c r="AV166" s="539">
        <f t="shared" si="61"/>
        <v>0</v>
      </c>
      <c r="AW166" s="539">
        <f t="shared" si="61"/>
        <v>0</v>
      </c>
      <c r="AX166" s="539">
        <f t="shared" si="61"/>
        <v>0</v>
      </c>
      <c r="AY166" s="539">
        <f t="shared" si="61"/>
        <v>0</v>
      </c>
      <c r="AZ166" s="539">
        <f t="shared" si="61"/>
        <v>0</v>
      </c>
      <c r="BA166" s="539">
        <f t="shared" si="61"/>
        <v>0</v>
      </c>
      <c r="BB166" s="539">
        <f t="shared" si="61"/>
        <v>0</v>
      </c>
      <c r="BC166" s="539">
        <f t="shared" si="61"/>
        <v>0</v>
      </c>
      <c r="BD166" s="539">
        <f t="shared" si="61"/>
        <v>0</v>
      </c>
      <c r="BE166" s="539">
        <f t="shared" si="61"/>
        <v>0</v>
      </c>
      <c r="BF166" s="539">
        <f t="shared" si="61"/>
        <v>0</v>
      </c>
      <c r="BG166" s="539">
        <f t="shared" si="61"/>
        <v>0</v>
      </c>
      <c r="BH166" s="539">
        <f t="shared" si="61"/>
        <v>0</v>
      </c>
      <c r="BI166" s="539">
        <f t="shared" si="61"/>
        <v>0</v>
      </c>
      <c r="BJ166" s="539">
        <f t="shared" si="61"/>
        <v>0</v>
      </c>
      <c r="BK166" s="539">
        <f t="shared" si="61"/>
        <v>0</v>
      </c>
      <c r="BL166" s="539">
        <f t="shared" si="61"/>
        <v>0</v>
      </c>
      <c r="BM166" s="539">
        <f t="shared" si="61"/>
        <v>0</v>
      </c>
      <c r="BN166" s="539">
        <f t="shared" si="61"/>
        <v>0</v>
      </c>
      <c r="BO166" s="539">
        <f t="shared" si="61"/>
        <v>0</v>
      </c>
      <c r="BP166" s="539">
        <f t="shared" si="61"/>
        <v>0</v>
      </c>
      <c r="BQ166" s="539">
        <f t="shared" si="61"/>
        <v>0</v>
      </c>
      <c r="BR166" s="539">
        <f t="shared" si="61"/>
        <v>0</v>
      </c>
      <c r="BS166" s="539">
        <f t="shared" si="61"/>
        <v>0</v>
      </c>
      <c r="BT166" s="539">
        <f t="shared" si="61"/>
        <v>0</v>
      </c>
      <c r="BU166" s="539">
        <f t="shared" si="61"/>
        <v>0</v>
      </c>
      <c r="BV166" s="539">
        <f t="shared" si="61"/>
        <v>0</v>
      </c>
      <c r="BW166" s="539">
        <f t="shared" si="61"/>
        <v>0</v>
      </c>
      <c r="BX166" s="539">
        <f t="shared" si="61"/>
        <v>0</v>
      </c>
      <c r="BY166" s="539">
        <f t="shared" si="61"/>
        <v>0</v>
      </c>
      <c r="BZ166" s="539">
        <f t="shared" si="61"/>
        <v>0</v>
      </c>
      <c r="CA166" s="539">
        <f t="shared" si="61"/>
        <v>0</v>
      </c>
      <c r="CB166" s="539">
        <f t="shared" si="61"/>
        <v>0</v>
      </c>
      <c r="CC166" s="539">
        <f t="shared" si="61"/>
        <v>0</v>
      </c>
      <c r="CD166" s="539">
        <f t="shared" si="61"/>
        <v>0</v>
      </c>
      <c r="CE166" s="539">
        <f t="shared" si="61"/>
        <v>0</v>
      </c>
      <c r="CF166" s="539">
        <f t="shared" si="61"/>
        <v>0</v>
      </c>
      <c r="CG166" s="539">
        <f t="shared" si="61"/>
        <v>0</v>
      </c>
      <c r="CH166" s="539">
        <f t="shared" si="61"/>
        <v>0</v>
      </c>
      <c r="CI166" s="539">
        <f t="shared" si="61"/>
        <v>0</v>
      </c>
      <c r="CJ166" s="539">
        <f t="shared" si="61"/>
        <v>0</v>
      </c>
      <c r="CK166" s="539">
        <f t="shared" si="61"/>
        <v>0</v>
      </c>
      <c r="CL166" s="539">
        <f t="shared" si="61"/>
        <v>0</v>
      </c>
      <c r="CM166" s="539">
        <f t="shared" si="61"/>
        <v>0</v>
      </c>
      <c r="CN166" s="539">
        <f t="shared" si="61"/>
        <v>0</v>
      </c>
      <c r="CO166" s="539">
        <f t="shared" si="61"/>
        <v>0</v>
      </c>
      <c r="CP166" s="539">
        <f t="shared" si="61"/>
        <v>0</v>
      </c>
      <c r="CQ166" s="539">
        <f t="shared" si="61"/>
        <v>0</v>
      </c>
      <c r="CR166" s="539">
        <f t="shared" si="61"/>
        <v>0</v>
      </c>
      <c r="CS166" s="539">
        <f t="shared" si="61"/>
        <v>0</v>
      </c>
      <c r="CT166" s="539">
        <f t="shared" si="61"/>
        <v>0</v>
      </c>
      <c r="CU166" s="539">
        <f t="shared" si="61"/>
        <v>0</v>
      </c>
      <c r="CV166" s="539">
        <f t="shared" si="61"/>
        <v>0</v>
      </c>
      <c r="CW166" s="539">
        <f t="shared" si="61"/>
        <v>0</v>
      </c>
      <c r="CX166" s="539">
        <f t="shared" si="61"/>
        <v>0</v>
      </c>
      <c r="CY166" s="539">
        <f t="shared" si="61"/>
        <v>0</v>
      </c>
      <c r="CZ166" s="539">
        <f t="shared" si="61"/>
        <v>0</v>
      </c>
      <c r="DA166" s="539">
        <f t="shared" si="61"/>
        <v>0</v>
      </c>
      <c r="DB166" s="539">
        <f t="shared" si="61"/>
        <v>0</v>
      </c>
      <c r="DC166" s="539">
        <f t="shared" si="61"/>
        <v>0</v>
      </c>
      <c r="DD166" s="539">
        <f t="shared" si="61"/>
        <v>0</v>
      </c>
      <c r="DE166" s="539">
        <f t="shared" si="61"/>
        <v>0</v>
      </c>
      <c r="DF166" s="539">
        <f t="shared" si="61"/>
        <v>0</v>
      </c>
      <c r="DG166" s="539">
        <f t="shared" si="61"/>
        <v>0</v>
      </c>
      <c r="DH166" s="539">
        <f t="shared" si="61"/>
        <v>0</v>
      </c>
      <c r="DI166" s="539">
        <f t="shared" si="61"/>
        <v>0</v>
      </c>
      <c r="DJ166" s="539">
        <f t="shared" si="61"/>
        <v>0</v>
      </c>
      <c r="DK166" s="539">
        <f t="shared" si="61"/>
        <v>0</v>
      </c>
      <c r="DL166" s="539">
        <f t="shared" si="61"/>
        <v>0</v>
      </c>
      <c r="DM166" s="539">
        <f t="shared" si="61"/>
        <v>0</v>
      </c>
      <c r="DN166" s="539">
        <f t="shared" si="61"/>
        <v>0</v>
      </c>
      <c r="DO166" s="539">
        <f t="shared" si="61"/>
        <v>0</v>
      </c>
      <c r="DP166" s="539">
        <f t="shared" si="61"/>
        <v>0</v>
      </c>
      <c r="DQ166" s="539">
        <f t="shared" si="61"/>
        <v>0</v>
      </c>
      <c r="DR166" s="539">
        <f t="shared" si="61"/>
        <v>0</v>
      </c>
      <c r="DS166" s="539">
        <f t="shared" si="61"/>
        <v>0</v>
      </c>
      <c r="DT166" s="539">
        <f t="shared" si="61"/>
        <v>0</v>
      </c>
      <c r="DU166" s="539">
        <f t="shared" si="61"/>
        <v>0</v>
      </c>
      <c r="DV166" s="539">
        <f t="shared" si="61"/>
        <v>0</v>
      </c>
      <c r="DW166" s="539">
        <f t="shared" si="61"/>
        <v>0</v>
      </c>
      <c r="DX166" s="539">
        <f t="shared" si="61"/>
        <v>0</v>
      </c>
      <c r="DY166" s="539">
        <f t="shared" si="61"/>
        <v>1997.2598334849408</v>
      </c>
      <c r="DZ166" s="539">
        <f t="shared" si="61"/>
        <v>4152.3012636137537</v>
      </c>
      <c r="EA166" s="539">
        <f t="shared" si="61"/>
        <v>6402.5633707117795</v>
      </c>
      <c r="EB166" s="539">
        <f t="shared" si="61"/>
        <v>8650.5658280308089</v>
      </c>
      <c r="EC166" s="539">
        <f t="shared" si="61"/>
        <v>0</v>
      </c>
      <c r="ED166" s="539">
        <f t="shared" si="61"/>
        <v>4.0745362639427185E-10</v>
      </c>
      <c r="EE166" s="539">
        <f t="shared" si="61"/>
        <v>4.0745362639427185E-10</v>
      </c>
      <c r="EF166" s="539">
        <f t="shared" si="61"/>
        <v>4.0745362639427185E-10</v>
      </c>
      <c r="EG166" s="539">
        <f t="shared" si="61"/>
        <v>4.0745362639427185E-10</v>
      </c>
    </row>
    <row r="167" spans="5:137" ht="12.75">
      <c r="E167" s="538" t="str">
        <f>E$140</f>
        <v>Trapped cash - closing balance</v>
      </c>
      <c r="G167" s="539" t="str">
        <f>G$140</f>
        <v>EUR 000s</v>
      </c>
      <c r="H167" s="539">
        <f>H$140</f>
        <v>0</v>
      </c>
      <c r="J167" s="539">
        <f t="shared" si="62" ref="J167:EG167">J$140</f>
        <v>0</v>
      </c>
      <c r="K167" s="539">
        <f t="shared" si="62"/>
        <v>0</v>
      </c>
      <c r="L167" s="539">
        <f t="shared" si="62"/>
        <v>0</v>
      </c>
      <c r="M167" s="539">
        <f t="shared" si="62"/>
        <v>0</v>
      </c>
      <c r="N167" s="539">
        <f t="shared" si="62"/>
        <v>0</v>
      </c>
      <c r="O167" s="539">
        <f t="shared" si="62"/>
        <v>0</v>
      </c>
      <c r="P167" s="539">
        <f t="shared" si="62"/>
        <v>0</v>
      </c>
      <c r="Q167" s="539">
        <f t="shared" si="62"/>
        <v>0</v>
      </c>
      <c r="R167" s="539">
        <f t="shared" si="62"/>
        <v>0</v>
      </c>
      <c r="S167" s="539">
        <f t="shared" si="62"/>
        <v>0</v>
      </c>
      <c r="T167" s="539">
        <f t="shared" si="62"/>
        <v>0</v>
      </c>
      <c r="U167" s="539">
        <f t="shared" si="62"/>
        <v>0</v>
      </c>
      <c r="V167" s="539">
        <f t="shared" si="62"/>
        <v>0</v>
      </c>
      <c r="W167" s="539">
        <f t="shared" si="62"/>
        <v>0</v>
      </c>
      <c r="X167" s="539">
        <f t="shared" si="62"/>
        <v>0</v>
      </c>
      <c r="Y167" s="539">
        <f t="shared" si="62"/>
        <v>0</v>
      </c>
      <c r="Z167" s="539">
        <f t="shared" si="62"/>
        <v>0</v>
      </c>
      <c r="AA167" s="539">
        <f t="shared" si="62"/>
        <v>0</v>
      </c>
      <c r="AB167" s="539">
        <f t="shared" si="62"/>
        <v>0</v>
      </c>
      <c r="AC167" s="539">
        <f t="shared" si="62"/>
        <v>0</v>
      </c>
      <c r="AD167" s="539">
        <f t="shared" si="62"/>
        <v>0</v>
      </c>
      <c r="AE167" s="539">
        <f t="shared" si="62"/>
        <v>0</v>
      </c>
      <c r="AF167" s="539">
        <f t="shared" si="62"/>
        <v>0</v>
      </c>
      <c r="AG167" s="539">
        <f t="shared" si="62"/>
        <v>0</v>
      </c>
      <c r="AH167" s="539">
        <f t="shared" si="62"/>
        <v>0</v>
      </c>
      <c r="AI167" s="539">
        <f t="shared" si="62"/>
        <v>0</v>
      </c>
      <c r="AJ167" s="539">
        <f t="shared" si="62"/>
        <v>0</v>
      </c>
      <c r="AK167" s="539">
        <f t="shared" si="62"/>
        <v>0</v>
      </c>
      <c r="AL167" s="539">
        <f t="shared" si="62"/>
        <v>0</v>
      </c>
      <c r="AM167" s="539">
        <f t="shared" si="62"/>
        <v>0</v>
      </c>
      <c r="AN167" s="539">
        <f t="shared" si="62"/>
        <v>0</v>
      </c>
      <c r="AO167" s="539">
        <f t="shared" si="62"/>
        <v>0</v>
      </c>
      <c r="AP167" s="539">
        <f t="shared" si="62"/>
        <v>0</v>
      </c>
      <c r="AQ167" s="539">
        <f t="shared" si="62"/>
        <v>0</v>
      </c>
      <c r="AR167" s="539">
        <f t="shared" si="62"/>
        <v>0</v>
      </c>
      <c r="AS167" s="539">
        <f t="shared" si="62"/>
        <v>0</v>
      </c>
      <c r="AT167" s="539">
        <f t="shared" si="62"/>
        <v>0</v>
      </c>
      <c r="AU167" s="539">
        <f t="shared" si="62"/>
        <v>0</v>
      </c>
      <c r="AV167" s="539">
        <f t="shared" si="62"/>
        <v>0</v>
      </c>
      <c r="AW167" s="539">
        <f t="shared" si="62"/>
        <v>0</v>
      </c>
      <c r="AX167" s="539">
        <f t="shared" si="62"/>
        <v>0</v>
      </c>
      <c r="AY167" s="539">
        <f t="shared" si="62"/>
        <v>0</v>
      </c>
      <c r="AZ167" s="539">
        <f t="shared" si="62"/>
        <v>0</v>
      </c>
      <c r="BA167" s="539">
        <f t="shared" si="62"/>
        <v>0</v>
      </c>
      <c r="BB167" s="539">
        <f t="shared" si="62"/>
        <v>0</v>
      </c>
      <c r="BC167" s="539">
        <f t="shared" si="62"/>
        <v>0</v>
      </c>
      <c r="BD167" s="539">
        <f t="shared" si="62"/>
        <v>0</v>
      </c>
      <c r="BE167" s="539">
        <f t="shared" si="62"/>
        <v>0</v>
      </c>
      <c r="BF167" s="539">
        <f t="shared" si="62"/>
        <v>0</v>
      </c>
      <c r="BG167" s="539">
        <f t="shared" si="62"/>
        <v>0</v>
      </c>
      <c r="BH167" s="539">
        <f t="shared" si="62"/>
        <v>0</v>
      </c>
      <c r="BI167" s="539">
        <f t="shared" si="62"/>
        <v>0</v>
      </c>
      <c r="BJ167" s="539">
        <f t="shared" si="62"/>
        <v>0</v>
      </c>
      <c r="BK167" s="539">
        <f t="shared" si="62"/>
        <v>0</v>
      </c>
      <c r="BL167" s="539">
        <f t="shared" si="62"/>
        <v>0</v>
      </c>
      <c r="BM167" s="539">
        <f t="shared" si="62"/>
        <v>0</v>
      </c>
      <c r="BN167" s="539">
        <f t="shared" si="62"/>
        <v>0</v>
      </c>
      <c r="BO167" s="539">
        <f t="shared" si="62"/>
        <v>0</v>
      </c>
      <c r="BP167" s="539">
        <f t="shared" si="62"/>
        <v>0</v>
      </c>
      <c r="BQ167" s="539">
        <f t="shared" si="62"/>
        <v>0</v>
      </c>
      <c r="BR167" s="539">
        <f t="shared" si="62"/>
        <v>0</v>
      </c>
      <c r="BS167" s="539">
        <f t="shared" si="62"/>
        <v>0</v>
      </c>
      <c r="BT167" s="539">
        <f t="shared" si="62"/>
        <v>0</v>
      </c>
      <c r="BU167" s="539">
        <f t="shared" si="62"/>
        <v>0</v>
      </c>
      <c r="BV167" s="539">
        <f t="shared" si="62"/>
        <v>0</v>
      </c>
      <c r="BW167" s="539">
        <f t="shared" si="62"/>
        <v>0</v>
      </c>
      <c r="BX167" s="539">
        <f t="shared" si="62"/>
        <v>0</v>
      </c>
      <c r="BY167" s="539">
        <f t="shared" si="62"/>
        <v>0</v>
      </c>
      <c r="BZ167" s="539">
        <f t="shared" si="62"/>
        <v>0</v>
      </c>
      <c r="CA167" s="539">
        <f t="shared" si="62"/>
        <v>0</v>
      </c>
      <c r="CB167" s="539">
        <f t="shared" si="62"/>
        <v>0</v>
      </c>
      <c r="CC167" s="539">
        <f t="shared" si="62"/>
        <v>0</v>
      </c>
      <c r="CD167" s="539">
        <f t="shared" si="62"/>
        <v>0</v>
      </c>
      <c r="CE167" s="539">
        <f t="shared" si="62"/>
        <v>0</v>
      </c>
      <c r="CF167" s="539">
        <f t="shared" si="62"/>
        <v>0</v>
      </c>
      <c r="CG167" s="539">
        <f t="shared" si="62"/>
        <v>0</v>
      </c>
      <c r="CH167" s="539">
        <f t="shared" si="62"/>
        <v>0</v>
      </c>
      <c r="CI167" s="539">
        <f t="shared" si="62"/>
        <v>0</v>
      </c>
      <c r="CJ167" s="539">
        <f t="shared" si="62"/>
        <v>0</v>
      </c>
      <c r="CK167" s="539">
        <f t="shared" si="62"/>
        <v>0</v>
      </c>
      <c r="CL167" s="539">
        <f t="shared" si="62"/>
        <v>0</v>
      </c>
      <c r="CM167" s="539">
        <f t="shared" si="62"/>
        <v>0</v>
      </c>
      <c r="CN167" s="539">
        <f t="shared" si="62"/>
        <v>0</v>
      </c>
      <c r="CO167" s="539">
        <f t="shared" si="62"/>
        <v>0</v>
      </c>
      <c r="CP167" s="539">
        <f t="shared" si="62"/>
        <v>0</v>
      </c>
      <c r="CQ167" s="539">
        <f t="shared" si="62"/>
        <v>0</v>
      </c>
      <c r="CR167" s="539">
        <f t="shared" si="62"/>
        <v>0</v>
      </c>
      <c r="CS167" s="539">
        <f t="shared" si="62"/>
        <v>0</v>
      </c>
      <c r="CT167" s="539">
        <f t="shared" si="62"/>
        <v>0</v>
      </c>
      <c r="CU167" s="539">
        <f t="shared" si="62"/>
        <v>0</v>
      </c>
      <c r="CV167" s="539">
        <f t="shared" si="62"/>
        <v>0</v>
      </c>
      <c r="CW167" s="539">
        <f t="shared" si="62"/>
        <v>0</v>
      </c>
      <c r="CX167" s="539">
        <f t="shared" si="62"/>
        <v>0</v>
      </c>
      <c r="CY167" s="539">
        <f t="shared" si="62"/>
        <v>0</v>
      </c>
      <c r="CZ167" s="539">
        <f t="shared" si="62"/>
        <v>0</v>
      </c>
      <c r="DA167" s="539">
        <f t="shared" si="62"/>
        <v>0</v>
      </c>
      <c r="DB167" s="539">
        <f t="shared" si="62"/>
        <v>0</v>
      </c>
      <c r="DC167" s="539">
        <f t="shared" si="62"/>
        <v>0</v>
      </c>
      <c r="DD167" s="539">
        <f t="shared" si="62"/>
        <v>0</v>
      </c>
      <c r="DE167" s="539">
        <f t="shared" si="62"/>
        <v>0</v>
      </c>
      <c r="DF167" s="539">
        <f t="shared" si="62"/>
        <v>0</v>
      </c>
      <c r="DG167" s="539">
        <f t="shared" si="62"/>
        <v>0</v>
      </c>
      <c r="DH167" s="539">
        <f t="shared" si="62"/>
        <v>0</v>
      </c>
      <c r="DI167" s="539">
        <f t="shared" si="62"/>
        <v>0</v>
      </c>
      <c r="DJ167" s="539">
        <f t="shared" si="62"/>
        <v>0</v>
      </c>
      <c r="DK167" s="539">
        <f t="shared" si="62"/>
        <v>0</v>
      </c>
      <c r="DL167" s="539">
        <f t="shared" si="62"/>
        <v>0</v>
      </c>
      <c r="DM167" s="539">
        <f t="shared" si="62"/>
        <v>0</v>
      </c>
      <c r="DN167" s="539">
        <f t="shared" si="62"/>
        <v>0</v>
      </c>
      <c r="DO167" s="539">
        <f t="shared" si="62"/>
        <v>0</v>
      </c>
      <c r="DP167" s="539">
        <f t="shared" si="62"/>
        <v>0</v>
      </c>
      <c r="DQ167" s="539">
        <f t="shared" si="62"/>
        <v>0</v>
      </c>
      <c r="DR167" s="539">
        <f t="shared" si="62"/>
        <v>0</v>
      </c>
      <c r="DS167" s="539">
        <f t="shared" si="62"/>
        <v>0</v>
      </c>
      <c r="DT167" s="539">
        <f t="shared" si="62"/>
        <v>0</v>
      </c>
      <c r="DU167" s="539">
        <f t="shared" si="62"/>
        <v>0</v>
      </c>
      <c r="DV167" s="539">
        <f t="shared" si="62"/>
        <v>0</v>
      </c>
      <c r="DW167" s="539">
        <f t="shared" si="62"/>
        <v>0</v>
      </c>
      <c r="DX167" s="539">
        <f t="shared" si="62"/>
        <v>0</v>
      </c>
      <c r="DY167" s="539">
        <f t="shared" si="62"/>
        <v>0</v>
      </c>
      <c r="DZ167" s="539">
        <f t="shared" si="62"/>
        <v>0</v>
      </c>
      <c r="EA167" s="539">
        <f t="shared" si="62"/>
        <v>0</v>
      </c>
      <c r="EB167" s="539">
        <f t="shared" si="62"/>
        <v>0</v>
      </c>
      <c r="EC167" s="539">
        <f t="shared" si="62"/>
        <v>0</v>
      </c>
      <c r="ED167" s="539">
        <f t="shared" si="62"/>
        <v>0</v>
      </c>
      <c r="EE167" s="539">
        <f t="shared" si="62"/>
        <v>0</v>
      </c>
      <c r="EF167" s="539">
        <f t="shared" si="62"/>
        <v>0</v>
      </c>
      <c r="EG167" s="539">
        <f t="shared" si="62"/>
        <v>0</v>
      </c>
    </row>
    <row r="168" spans="5:7" ht="12.75">
      <c r="E168" s="540" t="s">
        <v>427</v>
      </c>
      <c r="F168" s="543">
        <f>IF(SUMPRODUCT(($J167:$EG167-$J166:$EG166*($J166:$EG166&gt;0)&gt;$F165)*1)&gt;0,1,0)</f>
        <v>0</v>
      </c>
      <c r="G168" s="541" t="s">
        <v>224</v>
      </c>
    </row>
    <row r="170" spans="5:137" ht="12.75">
      <c r="E170" s="538" t="str">
        <f>E$82</f>
        <v>Lock-up - distributions blocked flag</v>
      </c>
      <c r="G170" s="539" t="str">
        <f>G$82</f>
        <v>flag</v>
      </c>
      <c r="H170" s="539">
        <f>H$82</f>
        <v>0</v>
      </c>
      <c r="J170" s="539">
        <f t="shared" si="63" ref="J170:EG170">J$82</f>
        <v>0</v>
      </c>
      <c r="K170" s="539">
        <f t="shared" si="63"/>
        <v>0</v>
      </c>
      <c r="L170" s="539">
        <f t="shared" si="63"/>
        <v>0</v>
      </c>
      <c r="M170" s="539">
        <f t="shared" si="63"/>
        <v>0</v>
      </c>
      <c r="N170" s="539">
        <f t="shared" si="63"/>
        <v>0</v>
      </c>
      <c r="O170" s="539">
        <f t="shared" si="63"/>
        <v>0</v>
      </c>
      <c r="P170" s="539">
        <f t="shared" si="63"/>
        <v>0</v>
      </c>
      <c r="Q170" s="539">
        <f t="shared" si="63"/>
        <v>0</v>
      </c>
      <c r="R170" s="539">
        <f t="shared" si="63"/>
        <v>0</v>
      </c>
      <c r="S170" s="539">
        <f t="shared" si="63"/>
        <v>0</v>
      </c>
      <c r="T170" s="539">
        <f t="shared" si="63"/>
        <v>0</v>
      </c>
      <c r="U170" s="539">
        <f t="shared" si="63"/>
        <v>0</v>
      </c>
      <c r="V170" s="539">
        <f t="shared" si="63"/>
        <v>0</v>
      </c>
      <c r="W170" s="539">
        <f t="shared" si="63"/>
        <v>0</v>
      </c>
      <c r="X170" s="539">
        <f t="shared" si="63"/>
        <v>0</v>
      </c>
      <c r="Y170" s="539">
        <f t="shared" si="63"/>
        <v>0</v>
      </c>
      <c r="Z170" s="539">
        <f t="shared" si="63"/>
        <v>0</v>
      </c>
      <c r="AA170" s="539">
        <f t="shared" si="63"/>
        <v>0</v>
      </c>
      <c r="AB170" s="539">
        <f t="shared" si="63"/>
        <v>0</v>
      </c>
      <c r="AC170" s="539">
        <f t="shared" si="63"/>
        <v>0</v>
      </c>
      <c r="AD170" s="539">
        <f t="shared" si="63"/>
        <v>0</v>
      </c>
      <c r="AE170" s="539">
        <f t="shared" si="63"/>
        <v>0</v>
      </c>
      <c r="AF170" s="539">
        <f t="shared" si="63"/>
        <v>0</v>
      </c>
      <c r="AG170" s="539">
        <f t="shared" si="63"/>
        <v>0</v>
      </c>
      <c r="AH170" s="539">
        <f t="shared" si="63"/>
        <v>0</v>
      </c>
      <c r="AI170" s="539">
        <f t="shared" si="63"/>
        <v>0</v>
      </c>
      <c r="AJ170" s="539">
        <f t="shared" si="63"/>
        <v>0</v>
      </c>
      <c r="AK170" s="539">
        <f t="shared" si="63"/>
        <v>0</v>
      </c>
      <c r="AL170" s="539">
        <f t="shared" si="63"/>
        <v>0</v>
      </c>
      <c r="AM170" s="539">
        <f t="shared" si="63"/>
        <v>0</v>
      </c>
      <c r="AN170" s="539">
        <f t="shared" si="63"/>
        <v>0</v>
      </c>
      <c r="AO170" s="539">
        <f t="shared" si="63"/>
        <v>0</v>
      </c>
      <c r="AP170" s="539">
        <f t="shared" si="63"/>
        <v>0</v>
      </c>
      <c r="AQ170" s="539">
        <f t="shared" si="63"/>
        <v>0</v>
      </c>
      <c r="AR170" s="539">
        <f t="shared" si="63"/>
        <v>0</v>
      </c>
      <c r="AS170" s="539">
        <f t="shared" si="63"/>
        <v>0</v>
      </c>
      <c r="AT170" s="539">
        <f t="shared" si="63"/>
        <v>0</v>
      </c>
      <c r="AU170" s="539">
        <f t="shared" si="63"/>
        <v>0</v>
      </c>
      <c r="AV170" s="539">
        <f t="shared" si="63"/>
        <v>0</v>
      </c>
      <c r="AW170" s="539">
        <f t="shared" si="63"/>
        <v>0</v>
      </c>
      <c r="AX170" s="539">
        <f t="shared" si="63"/>
        <v>0</v>
      </c>
      <c r="AY170" s="539">
        <f t="shared" si="63"/>
        <v>0</v>
      </c>
      <c r="AZ170" s="539">
        <f t="shared" si="63"/>
        <v>0</v>
      </c>
      <c r="BA170" s="539">
        <f t="shared" si="63"/>
        <v>0</v>
      </c>
      <c r="BB170" s="539">
        <f t="shared" si="63"/>
        <v>0</v>
      </c>
      <c r="BC170" s="539">
        <f t="shared" si="63"/>
        <v>0</v>
      </c>
      <c r="BD170" s="539">
        <f t="shared" si="63"/>
        <v>0</v>
      </c>
      <c r="BE170" s="539">
        <f t="shared" si="63"/>
        <v>0</v>
      </c>
      <c r="BF170" s="539">
        <f t="shared" si="63"/>
        <v>0</v>
      </c>
      <c r="BG170" s="539">
        <f t="shared" si="63"/>
        <v>0</v>
      </c>
      <c r="BH170" s="539">
        <f t="shared" si="63"/>
        <v>0</v>
      </c>
      <c r="BI170" s="539">
        <f t="shared" si="63"/>
        <v>0</v>
      </c>
      <c r="BJ170" s="539">
        <f t="shared" si="63"/>
        <v>0</v>
      </c>
      <c r="BK170" s="539">
        <f t="shared" si="63"/>
        <v>0</v>
      </c>
      <c r="BL170" s="539">
        <f t="shared" si="63"/>
        <v>0</v>
      </c>
      <c r="BM170" s="539">
        <f t="shared" si="63"/>
        <v>0</v>
      </c>
      <c r="BN170" s="539">
        <f t="shared" si="63"/>
        <v>0</v>
      </c>
      <c r="BO170" s="539">
        <f t="shared" si="63"/>
        <v>0</v>
      </c>
      <c r="BP170" s="539">
        <f t="shared" si="63"/>
        <v>0</v>
      </c>
      <c r="BQ170" s="539">
        <f t="shared" si="63"/>
        <v>0</v>
      </c>
      <c r="BR170" s="539">
        <f t="shared" si="63"/>
        <v>0</v>
      </c>
      <c r="BS170" s="539">
        <f t="shared" si="63"/>
        <v>0</v>
      </c>
      <c r="BT170" s="539">
        <f t="shared" si="63"/>
        <v>0</v>
      </c>
      <c r="BU170" s="539">
        <f t="shared" si="63"/>
        <v>0</v>
      </c>
      <c r="BV170" s="539">
        <f t="shared" si="63"/>
        <v>0</v>
      </c>
      <c r="BW170" s="539">
        <f t="shared" si="63"/>
        <v>0</v>
      </c>
      <c r="BX170" s="539">
        <f t="shared" si="63"/>
        <v>0</v>
      </c>
      <c r="BY170" s="539">
        <f t="shared" si="63"/>
        <v>0</v>
      </c>
      <c r="BZ170" s="539">
        <f t="shared" si="63"/>
        <v>0</v>
      </c>
      <c r="CA170" s="539">
        <f t="shared" si="63"/>
        <v>0</v>
      </c>
      <c r="CB170" s="539">
        <f t="shared" si="63"/>
        <v>0</v>
      </c>
      <c r="CC170" s="539">
        <f t="shared" si="63"/>
        <v>0</v>
      </c>
      <c r="CD170" s="539">
        <f t="shared" si="63"/>
        <v>0</v>
      </c>
      <c r="CE170" s="539">
        <f t="shared" si="63"/>
        <v>0</v>
      </c>
      <c r="CF170" s="539">
        <f t="shared" si="63"/>
        <v>0</v>
      </c>
      <c r="CG170" s="539">
        <f t="shared" si="63"/>
        <v>0</v>
      </c>
      <c r="CH170" s="539">
        <f t="shared" si="63"/>
        <v>0</v>
      </c>
      <c r="CI170" s="539">
        <f t="shared" si="63"/>
        <v>0</v>
      </c>
      <c r="CJ170" s="539">
        <f t="shared" si="63"/>
        <v>0</v>
      </c>
      <c r="CK170" s="539">
        <f t="shared" si="63"/>
        <v>0</v>
      </c>
      <c r="CL170" s="539">
        <f t="shared" si="63"/>
        <v>0</v>
      </c>
      <c r="CM170" s="539">
        <f t="shared" si="63"/>
        <v>0</v>
      </c>
      <c r="CN170" s="539">
        <f t="shared" si="63"/>
        <v>0</v>
      </c>
      <c r="CO170" s="539">
        <f t="shared" si="63"/>
        <v>0</v>
      </c>
      <c r="CP170" s="539">
        <f t="shared" si="63"/>
        <v>0</v>
      </c>
      <c r="CQ170" s="539">
        <f t="shared" si="63"/>
        <v>0</v>
      </c>
      <c r="CR170" s="539">
        <f t="shared" si="63"/>
        <v>0</v>
      </c>
      <c r="CS170" s="539">
        <f t="shared" si="63"/>
        <v>0</v>
      </c>
      <c r="CT170" s="539">
        <f t="shared" si="63"/>
        <v>0</v>
      </c>
      <c r="CU170" s="539">
        <f t="shared" si="63"/>
        <v>0</v>
      </c>
      <c r="CV170" s="539">
        <f t="shared" si="63"/>
        <v>0</v>
      </c>
      <c r="CW170" s="539">
        <f t="shared" si="63"/>
        <v>0</v>
      </c>
      <c r="CX170" s="539">
        <f t="shared" si="63"/>
        <v>0</v>
      </c>
      <c r="CY170" s="539">
        <f t="shared" si="63"/>
        <v>0</v>
      </c>
      <c r="CZ170" s="539">
        <f t="shared" si="63"/>
        <v>0</v>
      </c>
      <c r="DA170" s="539">
        <f t="shared" si="63"/>
        <v>0</v>
      </c>
      <c r="DB170" s="539">
        <f t="shared" si="63"/>
        <v>0</v>
      </c>
      <c r="DC170" s="539">
        <f t="shared" si="63"/>
        <v>0</v>
      </c>
      <c r="DD170" s="539">
        <f t="shared" si="63"/>
        <v>0</v>
      </c>
      <c r="DE170" s="539">
        <f t="shared" si="63"/>
        <v>0</v>
      </c>
      <c r="DF170" s="539">
        <f t="shared" si="63"/>
        <v>0</v>
      </c>
      <c r="DG170" s="539">
        <f t="shared" si="63"/>
        <v>0</v>
      </c>
      <c r="DH170" s="539">
        <f t="shared" si="63"/>
        <v>0</v>
      </c>
      <c r="DI170" s="539">
        <f t="shared" si="63"/>
        <v>0</v>
      </c>
      <c r="DJ170" s="539">
        <f t="shared" si="63"/>
        <v>0</v>
      </c>
      <c r="DK170" s="539">
        <f t="shared" si="63"/>
        <v>0</v>
      </c>
      <c r="DL170" s="539">
        <f t="shared" si="63"/>
        <v>0</v>
      </c>
      <c r="DM170" s="539">
        <f t="shared" si="63"/>
        <v>0</v>
      </c>
      <c r="DN170" s="539">
        <f t="shared" si="63"/>
        <v>0</v>
      </c>
      <c r="DO170" s="539">
        <f t="shared" si="63"/>
        <v>0</v>
      </c>
      <c r="DP170" s="539">
        <f t="shared" si="63"/>
        <v>0</v>
      </c>
      <c r="DQ170" s="539">
        <f t="shared" si="63"/>
        <v>0</v>
      </c>
      <c r="DR170" s="539">
        <f t="shared" si="63"/>
        <v>0</v>
      </c>
      <c r="DS170" s="539">
        <f t="shared" si="63"/>
        <v>0</v>
      </c>
      <c r="DT170" s="539">
        <f t="shared" si="63"/>
        <v>0</v>
      </c>
      <c r="DU170" s="539">
        <f t="shared" si="63"/>
        <v>0</v>
      </c>
      <c r="DV170" s="539">
        <f t="shared" si="63"/>
        <v>0</v>
      </c>
      <c r="DW170" s="539">
        <f t="shared" si="63"/>
        <v>0</v>
      </c>
      <c r="DX170" s="539">
        <f t="shared" si="63"/>
        <v>0</v>
      </c>
      <c r="DY170" s="539">
        <f t="shared" si="63"/>
        <v>0</v>
      </c>
      <c r="DZ170" s="539">
        <f t="shared" si="63"/>
        <v>0</v>
      </c>
      <c r="EA170" s="539">
        <f t="shared" si="63"/>
        <v>0</v>
      </c>
      <c r="EB170" s="539">
        <f t="shared" si="63"/>
        <v>0</v>
      </c>
      <c r="EC170" s="539">
        <f t="shared" si="63"/>
        <v>0</v>
      </c>
      <c r="ED170" s="539">
        <f t="shared" si="63"/>
        <v>0</v>
      </c>
      <c r="EE170" s="539">
        <f t="shared" si="63"/>
        <v>0</v>
      </c>
      <c r="EF170" s="539">
        <f t="shared" si="63"/>
        <v>0</v>
      </c>
      <c r="EG170" s="539">
        <f t="shared" si="63"/>
        <v>0</v>
      </c>
    </row>
    <row r="171" spans="5:7" ht="12.75">
      <c r="E171" s="540" t="s">
        <v>428</v>
      </c>
      <c r="F171" s="543">
        <f>IF(MAX($J170:$EG170)&gt;0,1,0)</f>
        <v>0</v>
      </c>
      <c r="G171" s="541" t="s">
        <v>298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47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63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168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171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outlinePr summaryBelow="0" summaryRight="0"/>
  </sheetPr>
  <dimension ref="A1:RL150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Tax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429</v>
      </c>
    </row>
    <row r="9" spans="2:2" ht="12.75">
      <c r="B9" s="534" t="s">
        <v>430</v>
      </c>
    </row>
    <row r="10" spans="5:137" ht="12.75">
      <c r="E10" s="535" t="str">
        <f>Ops!E$101</f>
        <v>EBITDA</v>
      </c>
      <c r="G10" s="537" t="str">
        <f>Ops!G$101</f>
        <v>EUR 000s</v>
      </c>
      <c r="H10" s="537">
        <f>Ops!H$101</f>
        <v>1114972.4568516857</v>
      </c>
      <c r="J10" s="537">
        <f>Ops!J$101</f>
        <v>0</v>
      </c>
      <c r="K10" s="537">
        <f>Ops!K$101</f>
        <v>0</v>
      </c>
      <c r="L10" s="537">
        <f>Ops!L$101</f>
        <v>0</v>
      </c>
      <c r="M10" s="537">
        <f>Ops!M$101</f>
        <v>0</v>
      </c>
      <c r="N10" s="537">
        <f>Ops!N$101</f>
        <v>0</v>
      </c>
      <c r="O10" s="537">
        <f>Ops!O$101</f>
        <v>0</v>
      </c>
      <c r="P10" s="537">
        <f>Ops!P$101</f>
        <v>0</v>
      </c>
      <c r="Q10" s="537">
        <f>Ops!Q$101</f>
        <v>0</v>
      </c>
      <c r="R10" s="537">
        <f>Ops!R$101</f>
        <v>0</v>
      </c>
      <c r="S10" s="537">
        <f>Ops!S$101</f>
        <v>0</v>
      </c>
      <c r="T10" s="537">
        <f>Ops!T$101</f>
        <v>0</v>
      </c>
      <c r="U10" s="537">
        <f>Ops!U$101</f>
        <v>0</v>
      </c>
      <c r="V10" s="537">
        <f>Ops!V$101</f>
        <v>0</v>
      </c>
      <c r="W10" s="537">
        <f>Ops!W$101</f>
        <v>0</v>
      </c>
      <c r="X10" s="537">
        <f>Ops!X$101</f>
        <v>0</v>
      </c>
      <c r="Y10" s="537">
        <f>Ops!Y$101</f>
        <v>0</v>
      </c>
      <c r="Z10" s="537">
        <f>Ops!Z$101</f>
        <v>0</v>
      </c>
      <c r="AA10" s="537">
        <f>Ops!AA$101</f>
        <v>0</v>
      </c>
      <c r="AB10" s="537">
        <f>Ops!AB$101</f>
        <v>0</v>
      </c>
      <c r="AC10" s="537">
        <f>Ops!AC$101</f>
        <v>0</v>
      </c>
      <c r="AD10" s="537">
        <f>Ops!AD$101</f>
        <v>0</v>
      </c>
      <c r="AE10" s="537">
        <f>Ops!AE$101</f>
        <v>0</v>
      </c>
      <c r="AF10" s="537">
        <f>Ops!AF$101</f>
        <v>0</v>
      </c>
      <c r="AG10" s="537">
        <f>Ops!AG$101</f>
        <v>0</v>
      </c>
      <c r="AH10" s="537">
        <f>Ops!AH$101</f>
        <v>8995.9009374999987</v>
      </c>
      <c r="AI10" s="537">
        <f>Ops!AI$101</f>
        <v>8995.9009374999987</v>
      </c>
      <c r="AJ10" s="537">
        <f>Ops!AJ$101</f>
        <v>8995.9009374999987</v>
      </c>
      <c r="AK10" s="537">
        <f>Ops!AK$101</f>
        <v>8995.9009374999987</v>
      </c>
      <c r="AL10" s="537">
        <f>Ops!AL$101</f>
        <v>9153.9256359374995</v>
      </c>
      <c r="AM10" s="537">
        <f>Ops!AM$101</f>
        <v>9153.9256359374995</v>
      </c>
      <c r="AN10" s="537">
        <f>Ops!AN$101</f>
        <v>9153.9256359374995</v>
      </c>
      <c r="AO10" s="537">
        <f>Ops!AO$101</f>
        <v>9153.9256359374995</v>
      </c>
      <c r="AP10" s="537">
        <f>Ops!AP$101</f>
        <v>9314.5471890859371</v>
      </c>
      <c r="AQ10" s="537">
        <f>Ops!AQ$101</f>
        <v>9314.5471890859371</v>
      </c>
      <c r="AR10" s="537">
        <f>Ops!AR$101</f>
        <v>9314.5471890859371</v>
      </c>
      <c r="AS10" s="537">
        <f>Ops!AS$101</f>
        <v>9314.5471890859371</v>
      </c>
      <c r="AT10" s="537">
        <f>Ops!AT$101</f>
        <v>9477.8014538705866</v>
      </c>
      <c r="AU10" s="537">
        <f>Ops!AU$101</f>
        <v>9477.8014538705866</v>
      </c>
      <c r="AV10" s="537">
        <f>Ops!AV$101</f>
        <v>9477.8014538705866</v>
      </c>
      <c r="AW10" s="537">
        <f>Ops!AW$101</f>
        <v>9477.8014538705866</v>
      </c>
      <c r="AX10" s="537">
        <f>Ops!AX$101</f>
        <v>9643.7245426753761</v>
      </c>
      <c r="AY10" s="537">
        <f>Ops!AY$101</f>
        <v>9643.7245426753761</v>
      </c>
      <c r="AZ10" s="537">
        <f>Ops!AZ$101</f>
        <v>9643.7245426753761</v>
      </c>
      <c r="BA10" s="537">
        <f>Ops!BA$101</f>
        <v>9643.7245426753761</v>
      </c>
      <c r="BB10" s="537">
        <f>Ops!BB$101</f>
        <v>9812.3528151198025</v>
      </c>
      <c r="BC10" s="537">
        <f>Ops!BC$101</f>
        <v>9812.3528151198025</v>
      </c>
      <c r="BD10" s="537">
        <f>Ops!BD$101</f>
        <v>9812.3528151198025</v>
      </c>
      <c r="BE10" s="537">
        <f>Ops!BE$101</f>
        <v>9812.3528151198025</v>
      </c>
      <c r="BF10" s="537">
        <f>Ops!BF$101</f>
        <v>9983.7228692843601</v>
      </c>
      <c r="BG10" s="537">
        <f>Ops!BG$101</f>
        <v>9983.7228692843601</v>
      </c>
      <c r="BH10" s="537">
        <f>Ops!BH$101</f>
        <v>9983.7228692843601</v>
      </c>
      <c r="BI10" s="537">
        <f>Ops!BI$101</f>
        <v>9983.7228692843601</v>
      </c>
      <c r="BJ10" s="537">
        <f>Ops!BJ$101</f>
        <v>10157.871532362169</v>
      </c>
      <c r="BK10" s="537">
        <f>Ops!BK$101</f>
        <v>10157.871532362169</v>
      </c>
      <c r="BL10" s="537">
        <f>Ops!BL$101</f>
        <v>10157.871532362169</v>
      </c>
      <c r="BM10" s="537">
        <f>Ops!BM$101</f>
        <v>10157.871532362169</v>
      </c>
      <c r="BN10" s="537">
        <f>Ops!BN$101</f>
        <v>10334.835850713753</v>
      </c>
      <c r="BO10" s="537">
        <f>Ops!BO$101</f>
        <v>10334.835850713753</v>
      </c>
      <c r="BP10" s="537">
        <f>Ops!BP$101</f>
        <v>10334.835850713753</v>
      </c>
      <c r="BQ10" s="537">
        <f>Ops!BQ$101</f>
        <v>10334.835850713753</v>
      </c>
      <c r="BR10" s="537">
        <f>Ops!BR$101</f>
        <v>10514.653079300988</v>
      </c>
      <c r="BS10" s="537">
        <f>Ops!BS$101</f>
        <v>10514.653079300988</v>
      </c>
      <c r="BT10" s="537">
        <f>Ops!BT$101</f>
        <v>10514.653079300988</v>
      </c>
      <c r="BU10" s="537">
        <f>Ops!BU$101</f>
        <v>10514.653079300988</v>
      </c>
      <c r="BV10" s="537">
        <f>Ops!BV$101</f>
        <v>10697.360670475582</v>
      </c>
      <c r="BW10" s="537">
        <f>Ops!BW$101</f>
        <v>10697.360670475582</v>
      </c>
      <c r="BX10" s="537">
        <f>Ops!BX$101</f>
        <v>10697.360670475582</v>
      </c>
      <c r="BY10" s="537">
        <f>Ops!BY$101</f>
        <v>10697.360670475582</v>
      </c>
      <c r="BZ10" s="537">
        <f>Ops!BZ$101</f>
        <v>10882.996262096458</v>
      </c>
      <c r="CA10" s="537">
        <f>Ops!CA$101</f>
        <v>10882.996262096458</v>
      </c>
      <c r="CB10" s="537">
        <f>Ops!CB$101</f>
        <v>10882.996262096458</v>
      </c>
      <c r="CC10" s="537">
        <f>Ops!CC$101</f>
        <v>10882.996262096458</v>
      </c>
      <c r="CD10" s="537">
        <f>Ops!CD$101</f>
        <v>11071.597664949615</v>
      </c>
      <c r="CE10" s="537">
        <f>Ops!CE$101</f>
        <v>11071.597664949615</v>
      </c>
      <c r="CF10" s="537">
        <f>Ops!CF$101</f>
        <v>11071.597664949615</v>
      </c>
      <c r="CG10" s="537">
        <f>Ops!CG$101</f>
        <v>11071.597664949615</v>
      </c>
      <c r="CH10" s="537">
        <f>Ops!CH$101</f>
        <v>11263.202849443021</v>
      </c>
      <c r="CI10" s="537">
        <f>Ops!CI$101</f>
        <v>11263.202849443021</v>
      </c>
      <c r="CJ10" s="537">
        <f>Ops!CJ$101</f>
        <v>11263.202849443021</v>
      </c>
      <c r="CK10" s="537">
        <f>Ops!CK$101</f>
        <v>11263.202849443021</v>
      </c>
      <c r="CL10" s="537">
        <f>Ops!CL$101</f>
        <v>11457.849931548353</v>
      </c>
      <c r="CM10" s="537">
        <f>Ops!CM$101</f>
        <v>11457.849931548353</v>
      </c>
      <c r="CN10" s="537">
        <f>Ops!CN$101</f>
        <v>11457.849931548353</v>
      </c>
      <c r="CO10" s="537">
        <f>Ops!CO$101</f>
        <v>11457.849931548353</v>
      </c>
      <c r="CP10" s="537">
        <f>Ops!CP$101</f>
        <v>11655.577157960166</v>
      </c>
      <c r="CQ10" s="537">
        <f>Ops!CQ$101</f>
        <v>11655.577157960166</v>
      </c>
      <c r="CR10" s="537">
        <f>Ops!CR$101</f>
        <v>11655.577157960166</v>
      </c>
      <c r="CS10" s="537">
        <f>Ops!CS$101</f>
        <v>11655.577157960166</v>
      </c>
      <c r="CT10" s="537">
        <f>Ops!CT$101</f>
        <v>11856.422890442294</v>
      </c>
      <c r="CU10" s="537">
        <f>Ops!CU$101</f>
        <v>11856.422890442294</v>
      </c>
      <c r="CV10" s="537">
        <f>Ops!CV$101</f>
        <v>11856.422890442294</v>
      </c>
      <c r="CW10" s="537">
        <f>Ops!CW$101</f>
        <v>11856.422890442294</v>
      </c>
      <c r="CX10" s="537">
        <f>Ops!CX$101</f>
        <v>12060.42558933012</v>
      </c>
      <c r="CY10" s="537">
        <f>Ops!CY$101</f>
        <v>12060.42558933012</v>
      </c>
      <c r="CZ10" s="537">
        <f>Ops!CZ$101</f>
        <v>12060.42558933012</v>
      </c>
      <c r="DA10" s="537">
        <f>Ops!DA$101</f>
        <v>12060.42558933012</v>
      </c>
      <c r="DB10" s="537">
        <f>Ops!DB$101</f>
        <v>12267.623796156346</v>
      </c>
      <c r="DC10" s="537">
        <f>Ops!DC$101</f>
        <v>12267.623796156346</v>
      </c>
      <c r="DD10" s="537">
        <f>Ops!DD$101</f>
        <v>12267.623796156346</v>
      </c>
      <c r="DE10" s="537">
        <f>Ops!DE$101</f>
        <v>12267.623796156346</v>
      </c>
      <c r="DF10" s="537">
        <f>Ops!DF$101</f>
        <v>12478.056115366777</v>
      </c>
      <c r="DG10" s="537">
        <f>Ops!DG$101</f>
        <v>12478.056115366777</v>
      </c>
      <c r="DH10" s="537">
        <f>Ops!DH$101</f>
        <v>12478.056115366777</v>
      </c>
      <c r="DI10" s="537">
        <f>Ops!DI$101</f>
        <v>12478.056115366777</v>
      </c>
      <c r="DJ10" s="537">
        <f>Ops!DJ$101</f>
        <v>12691.761195091425</v>
      </c>
      <c r="DK10" s="537">
        <f>Ops!DK$101</f>
        <v>12691.761195091425</v>
      </c>
      <c r="DL10" s="537">
        <f>Ops!DL$101</f>
        <v>12691.761195091425</v>
      </c>
      <c r="DM10" s="537">
        <f>Ops!DM$101</f>
        <v>12691.761195091425</v>
      </c>
      <c r="DN10" s="537">
        <f>Ops!DN$101</f>
        <v>12908.777706935271</v>
      </c>
      <c r="DO10" s="537">
        <f>Ops!DO$101</f>
        <v>12908.777706935271</v>
      </c>
      <c r="DP10" s="537">
        <f>Ops!DP$101</f>
        <v>12908.777706935271</v>
      </c>
      <c r="DQ10" s="537">
        <f>Ops!DQ$101</f>
        <v>12908.777706935271</v>
      </c>
      <c r="DR10" s="537">
        <f>Ops!DR$101</f>
        <v>13129.144324751487</v>
      </c>
      <c r="DS10" s="537">
        <f>Ops!DS$101</f>
        <v>13129.144324751487</v>
      </c>
      <c r="DT10" s="537">
        <f>Ops!DT$101</f>
        <v>13129.144324751487</v>
      </c>
      <c r="DU10" s="537">
        <f>Ops!DU$101</f>
        <v>13129.144324751487</v>
      </c>
      <c r="DV10" s="537">
        <f>Ops!DV$101</f>
        <v>13352.899702359024</v>
      </c>
      <c r="DW10" s="537">
        <f>Ops!DW$101</f>
        <v>13352.899702359024</v>
      </c>
      <c r="DX10" s="537">
        <f>Ops!DX$101</f>
        <v>13352.899702359024</v>
      </c>
      <c r="DY10" s="537">
        <f>Ops!DY$101</f>
        <v>13352.899702359024</v>
      </c>
      <c r="DZ10" s="537">
        <f>Ops!DZ$101</f>
        <v>13580.082450164866</v>
      </c>
      <c r="EA10" s="537">
        <f>Ops!EA$101</f>
        <v>13580.082450164866</v>
      </c>
      <c r="EB10" s="537">
        <f>Ops!EB$101</f>
        <v>13580.082450164866</v>
      </c>
      <c r="EC10" s="537">
        <f>Ops!EC$101</f>
        <v>13580.082450164866</v>
      </c>
      <c r="ED10" s="537">
        <f>Ops!ED$101</f>
        <v>0</v>
      </c>
      <c r="EE10" s="537">
        <f>Ops!EE$101</f>
        <v>0</v>
      </c>
      <c r="EF10" s="537">
        <f>Ops!EF$101</f>
        <v>0</v>
      </c>
      <c r="EG10" s="537">
        <f>Ops!EG$101</f>
        <v>0</v>
      </c>
    </row>
    <row r="11" spans="5:137" ht="12.75">
      <c r="E11" s="535" t="str">
        <f>Reserves!E$71</f>
        <v>Maintenance cost - nominal</v>
      </c>
      <c r="G11" s="537" t="str">
        <f>Reserves!G$71</f>
        <v>EUR 000s</v>
      </c>
      <c r="H11" s="537">
        <f>Reserves!H$71</f>
        <v>33815.205287834237</v>
      </c>
      <c r="J11" s="537">
        <f>Reserves!J$71</f>
        <v>0</v>
      </c>
      <c r="K11" s="537">
        <f>Reserves!K$71</f>
        <v>0</v>
      </c>
      <c r="L11" s="537">
        <f>Reserves!L$71</f>
        <v>0</v>
      </c>
      <c r="M11" s="537">
        <f>Reserves!M$71</f>
        <v>0</v>
      </c>
      <c r="N11" s="537">
        <f>Reserves!N$71</f>
        <v>0</v>
      </c>
      <c r="O11" s="537">
        <f>Reserves!O$71</f>
        <v>0</v>
      </c>
      <c r="P11" s="537">
        <f>Reserves!P$71</f>
        <v>0</v>
      </c>
      <c r="Q11" s="537">
        <f>Reserves!Q$71</f>
        <v>0</v>
      </c>
      <c r="R11" s="537">
        <f>Reserves!R$71</f>
        <v>0</v>
      </c>
      <c r="S11" s="537">
        <f>Reserves!S$71</f>
        <v>0</v>
      </c>
      <c r="T11" s="537">
        <f>Reserves!T$71</f>
        <v>0</v>
      </c>
      <c r="U11" s="537">
        <f>Reserves!U$71</f>
        <v>0</v>
      </c>
      <c r="V11" s="537">
        <f>Reserves!V$71</f>
        <v>0</v>
      </c>
      <c r="W11" s="537">
        <f>Reserves!W$71</f>
        <v>0</v>
      </c>
      <c r="X11" s="537">
        <f>Reserves!X$71</f>
        <v>0</v>
      </c>
      <c r="Y11" s="537">
        <f>Reserves!Y$71</f>
        <v>0</v>
      </c>
      <c r="Z11" s="537">
        <f>Reserves!Z$71</f>
        <v>0</v>
      </c>
      <c r="AA11" s="537">
        <f>Reserves!AA$71</f>
        <v>0</v>
      </c>
      <c r="AB11" s="537">
        <f>Reserves!AB$71</f>
        <v>0</v>
      </c>
      <c r="AC11" s="537">
        <f>Reserves!AC$71</f>
        <v>0</v>
      </c>
      <c r="AD11" s="537">
        <f>Reserves!AD$71</f>
        <v>0</v>
      </c>
      <c r="AE11" s="537">
        <f>Reserves!AE$71</f>
        <v>0</v>
      </c>
      <c r="AF11" s="537">
        <f>Reserves!AF$71</f>
        <v>0</v>
      </c>
      <c r="AG11" s="537">
        <f>Reserves!AG$71</f>
        <v>0</v>
      </c>
      <c r="AH11" s="537">
        <f>Reserves!AH$71</f>
        <v>0</v>
      </c>
      <c r="AI11" s="537">
        <f>Reserves!AI$71</f>
        <v>0</v>
      </c>
      <c r="AJ11" s="537">
        <f>Reserves!AJ$71</f>
        <v>0</v>
      </c>
      <c r="AK11" s="537">
        <f>Reserves!AK$71</f>
        <v>0</v>
      </c>
      <c r="AL11" s="537">
        <f>Reserves!AL$71</f>
        <v>0</v>
      </c>
      <c r="AM11" s="537">
        <f>Reserves!AM$71</f>
        <v>0</v>
      </c>
      <c r="AN11" s="537">
        <f>Reserves!AN$71</f>
        <v>0</v>
      </c>
      <c r="AO11" s="537">
        <f>Reserves!AO$71</f>
        <v>0</v>
      </c>
      <c r="AP11" s="537">
        <f>Reserves!AP$71</f>
        <v>0</v>
      </c>
      <c r="AQ11" s="537">
        <f>Reserves!AQ$71</f>
        <v>0</v>
      </c>
      <c r="AR11" s="537">
        <f>Reserves!AR$71</f>
        <v>0</v>
      </c>
      <c r="AS11" s="537">
        <f>Reserves!AS$71</f>
        <v>0</v>
      </c>
      <c r="AT11" s="537">
        <f>Reserves!AT$71</f>
        <v>0</v>
      </c>
      <c r="AU11" s="537">
        <f>Reserves!AU$71</f>
        <v>0</v>
      </c>
      <c r="AV11" s="537">
        <f>Reserves!AV$71</f>
        <v>0</v>
      </c>
      <c r="AW11" s="537">
        <f>Reserves!AW$71</f>
        <v>0</v>
      </c>
      <c r="AX11" s="537">
        <f>Reserves!AX$71</f>
        <v>1739.5401273193352</v>
      </c>
      <c r="AY11" s="537">
        <f>Reserves!AY$71</f>
        <v>1739.5401273193352</v>
      </c>
      <c r="AZ11" s="537">
        <f>Reserves!AZ$71</f>
        <v>1739.5401273193352</v>
      </c>
      <c r="BA11" s="537">
        <f>Reserves!BA$71</f>
        <v>1739.5401273193352</v>
      </c>
      <c r="BB11" s="537">
        <f>Reserves!BB$71</f>
        <v>0</v>
      </c>
      <c r="BC11" s="537">
        <f>Reserves!BC$71</f>
        <v>0</v>
      </c>
      <c r="BD11" s="537">
        <f>Reserves!BD$71</f>
        <v>0</v>
      </c>
      <c r="BE11" s="537">
        <f>Reserves!BE$71</f>
        <v>0</v>
      </c>
      <c r="BF11" s="537">
        <f>Reserves!BF$71</f>
        <v>0</v>
      </c>
      <c r="BG11" s="537">
        <f>Reserves!BG$71</f>
        <v>0</v>
      </c>
      <c r="BH11" s="537">
        <f>Reserves!BH$71</f>
        <v>0</v>
      </c>
      <c r="BI11" s="537">
        <f>Reserves!BI$71</f>
        <v>0</v>
      </c>
      <c r="BJ11" s="537">
        <f>Reserves!BJ$71</f>
        <v>0</v>
      </c>
      <c r="BK11" s="537">
        <f>Reserves!BK$71</f>
        <v>0</v>
      </c>
      <c r="BL11" s="537">
        <f>Reserves!BL$71</f>
        <v>0</v>
      </c>
      <c r="BM11" s="537">
        <f>Reserves!BM$71</f>
        <v>0</v>
      </c>
      <c r="BN11" s="537">
        <f>Reserves!BN$71</f>
        <v>0</v>
      </c>
      <c r="BO11" s="537">
        <f>Reserves!BO$71</f>
        <v>0</v>
      </c>
      <c r="BP11" s="537">
        <f>Reserves!BP$71</f>
        <v>0</v>
      </c>
      <c r="BQ11" s="537">
        <f>Reserves!BQ$71</f>
        <v>0</v>
      </c>
      <c r="BR11" s="537">
        <f>Reserves!BR$71</f>
        <v>1968.1299867018984</v>
      </c>
      <c r="BS11" s="537">
        <f>Reserves!BS$71</f>
        <v>1968.1299867018984</v>
      </c>
      <c r="BT11" s="537">
        <f>Reserves!BT$71</f>
        <v>1968.1299867018984</v>
      </c>
      <c r="BU11" s="537">
        <f>Reserves!BU$71</f>
        <v>1968.1299867018984</v>
      </c>
      <c r="BV11" s="537">
        <f>Reserves!BV$71</f>
        <v>0</v>
      </c>
      <c r="BW11" s="537">
        <f>Reserves!BW$71</f>
        <v>0</v>
      </c>
      <c r="BX11" s="537">
        <f>Reserves!BX$71</f>
        <v>0</v>
      </c>
      <c r="BY11" s="537">
        <f>Reserves!BY$71</f>
        <v>0</v>
      </c>
      <c r="BZ11" s="537">
        <f>Reserves!BZ$71</f>
        <v>0</v>
      </c>
      <c r="CA11" s="537">
        <f>Reserves!CA$71</f>
        <v>0</v>
      </c>
      <c r="CB11" s="537">
        <f>Reserves!CB$71</f>
        <v>0</v>
      </c>
      <c r="CC11" s="537">
        <f>Reserves!CC$71</f>
        <v>0</v>
      </c>
      <c r="CD11" s="537">
        <f>Reserves!CD$71</f>
        <v>0</v>
      </c>
      <c r="CE11" s="537">
        <f>Reserves!CE$71</f>
        <v>0</v>
      </c>
      <c r="CF11" s="537">
        <f>Reserves!CF$71</f>
        <v>0</v>
      </c>
      <c r="CG11" s="537">
        <f>Reserves!CG$71</f>
        <v>0</v>
      </c>
      <c r="CH11" s="537">
        <f>Reserves!CH$71</f>
        <v>0</v>
      </c>
      <c r="CI11" s="537">
        <f>Reserves!CI$71</f>
        <v>0</v>
      </c>
      <c r="CJ11" s="537">
        <f>Reserves!CJ$71</f>
        <v>0</v>
      </c>
      <c r="CK11" s="537">
        <f>Reserves!CK$71</f>
        <v>0</v>
      </c>
      <c r="CL11" s="537">
        <f>Reserves!CL$71</f>
        <v>2226.7584309908434</v>
      </c>
      <c r="CM11" s="537">
        <f>Reserves!CM$71</f>
        <v>2226.7584309908434</v>
      </c>
      <c r="CN11" s="537">
        <f>Reserves!CN$71</f>
        <v>2226.7584309908434</v>
      </c>
      <c r="CO11" s="537">
        <f>Reserves!CO$71</f>
        <v>2226.7584309908434</v>
      </c>
      <c r="CP11" s="537">
        <f>Reserves!CP$71</f>
        <v>0</v>
      </c>
      <c r="CQ11" s="537">
        <f>Reserves!CQ$71</f>
        <v>0</v>
      </c>
      <c r="CR11" s="537">
        <f>Reserves!CR$71</f>
        <v>0</v>
      </c>
      <c r="CS11" s="537">
        <f>Reserves!CS$71</f>
        <v>0</v>
      </c>
      <c r="CT11" s="537">
        <f>Reserves!CT$71</f>
        <v>0</v>
      </c>
      <c r="CU11" s="537">
        <f>Reserves!CU$71</f>
        <v>0</v>
      </c>
      <c r="CV11" s="537">
        <f>Reserves!CV$71</f>
        <v>0</v>
      </c>
      <c r="CW11" s="537">
        <f>Reserves!CW$71</f>
        <v>0</v>
      </c>
      <c r="CX11" s="537">
        <f>Reserves!CX$71</f>
        <v>0</v>
      </c>
      <c r="CY11" s="537">
        <f>Reserves!CY$71</f>
        <v>0</v>
      </c>
      <c r="CZ11" s="537">
        <f>Reserves!CZ$71</f>
        <v>0</v>
      </c>
      <c r="DA11" s="537">
        <f>Reserves!DA$71</f>
        <v>0</v>
      </c>
      <c r="DB11" s="537">
        <f>Reserves!DB$71</f>
        <v>0</v>
      </c>
      <c r="DC11" s="537">
        <f>Reserves!DC$71</f>
        <v>0</v>
      </c>
      <c r="DD11" s="537">
        <f>Reserves!DD$71</f>
        <v>0</v>
      </c>
      <c r="DE11" s="537">
        <f>Reserves!DE$71</f>
        <v>0</v>
      </c>
      <c r="DF11" s="537">
        <f>Reserves!DF$71</f>
        <v>2519.3727769464808</v>
      </c>
      <c r="DG11" s="537">
        <f>Reserves!DG$71</f>
        <v>2519.3727769464808</v>
      </c>
      <c r="DH11" s="537">
        <f>Reserves!DH$71</f>
        <v>2519.3727769464808</v>
      </c>
      <c r="DI11" s="537">
        <f>Reserves!DI$71</f>
        <v>2519.3727769464808</v>
      </c>
      <c r="DJ11" s="537">
        <f>Reserves!DJ$71</f>
        <v>0</v>
      </c>
      <c r="DK11" s="537">
        <f>Reserves!DK$71</f>
        <v>0</v>
      </c>
      <c r="DL11" s="537">
        <f>Reserves!DL$71</f>
        <v>0</v>
      </c>
      <c r="DM11" s="537">
        <f>Reserves!DM$71</f>
        <v>0</v>
      </c>
      <c r="DN11" s="537">
        <f>Reserves!DN$71</f>
        <v>0</v>
      </c>
      <c r="DO11" s="537">
        <f>Reserves!DO$71</f>
        <v>0</v>
      </c>
      <c r="DP11" s="537">
        <f>Reserves!DP$71</f>
        <v>0</v>
      </c>
      <c r="DQ11" s="537">
        <f>Reserves!DQ$71</f>
        <v>0</v>
      </c>
      <c r="DR11" s="537">
        <f>Reserves!DR$71</f>
        <v>0</v>
      </c>
      <c r="DS11" s="537">
        <f>Reserves!DS$71</f>
        <v>0</v>
      </c>
      <c r="DT11" s="537">
        <f>Reserves!DT$71</f>
        <v>0</v>
      </c>
      <c r="DU11" s="537">
        <f>Reserves!DU$71</f>
        <v>0</v>
      </c>
      <c r="DV11" s="537">
        <f>Reserves!DV$71</f>
        <v>0</v>
      </c>
      <c r="DW11" s="537">
        <f>Reserves!DW$71</f>
        <v>0</v>
      </c>
      <c r="DX11" s="537">
        <f>Reserves!DX$71</f>
        <v>0</v>
      </c>
      <c r="DY11" s="537">
        <f>Reserves!DY$71</f>
        <v>0</v>
      </c>
      <c r="DZ11" s="537">
        <f>Reserves!DZ$71</f>
        <v>0</v>
      </c>
      <c r="EA11" s="537">
        <f>Reserves!EA$71</f>
        <v>0</v>
      </c>
      <c r="EB11" s="537">
        <f>Reserves!EB$71</f>
        <v>0</v>
      </c>
      <c r="EC11" s="537">
        <f>Reserves!EC$71</f>
        <v>0</v>
      </c>
      <c r="ED11" s="537">
        <f>Reserves!ED$71</f>
        <v>0</v>
      </c>
      <c r="EE11" s="537">
        <f>Reserves!EE$71</f>
        <v>0</v>
      </c>
      <c r="EF11" s="537">
        <f>Reserves!EF$71</f>
        <v>0</v>
      </c>
      <c r="EG11" s="537">
        <f>Reserves!EG$71</f>
        <v>0</v>
      </c>
    </row>
    <row r="12" spans="5:137" ht="12.75">
      <c r="E12" s="535" t="str">
        <f>Time!E$91</f>
        <v>Operating period flag</v>
      </c>
      <c r="G12" s="537" t="str">
        <f>Time!G$91</f>
        <v>flag</v>
      </c>
      <c r="H12" s="537">
        <f>Time!H$91</f>
        <v>100</v>
      </c>
      <c r="J12" s="537">
        <f>Time!J$91</f>
        <v>0</v>
      </c>
      <c r="K12" s="537">
        <f>Time!K$91</f>
        <v>0</v>
      </c>
      <c r="L12" s="537">
        <f>Time!L$91</f>
        <v>0</v>
      </c>
      <c r="M12" s="537">
        <f>Time!M$91</f>
        <v>0</v>
      </c>
      <c r="N12" s="537">
        <f>Time!N$91</f>
        <v>0</v>
      </c>
      <c r="O12" s="537">
        <f>Time!O$91</f>
        <v>0</v>
      </c>
      <c r="P12" s="537">
        <f>Time!P$91</f>
        <v>0</v>
      </c>
      <c r="Q12" s="537">
        <f>Time!Q$91</f>
        <v>0</v>
      </c>
      <c r="R12" s="537">
        <f>Time!R$91</f>
        <v>0</v>
      </c>
      <c r="S12" s="537">
        <f>Time!S$91</f>
        <v>0</v>
      </c>
      <c r="T12" s="537">
        <f>Time!T$91</f>
        <v>0</v>
      </c>
      <c r="U12" s="537">
        <f>Time!U$91</f>
        <v>0</v>
      </c>
      <c r="V12" s="537">
        <f>Time!V$91</f>
        <v>0</v>
      </c>
      <c r="W12" s="537">
        <f>Time!W$91</f>
        <v>0</v>
      </c>
      <c r="X12" s="537">
        <f>Time!X$91</f>
        <v>0</v>
      </c>
      <c r="Y12" s="537">
        <f>Time!Y$91</f>
        <v>0</v>
      </c>
      <c r="Z12" s="537">
        <f>Time!Z$91</f>
        <v>0</v>
      </c>
      <c r="AA12" s="537">
        <f>Time!AA$91</f>
        <v>0</v>
      </c>
      <c r="AB12" s="537">
        <f>Time!AB$91</f>
        <v>0</v>
      </c>
      <c r="AC12" s="537">
        <f>Time!AC$91</f>
        <v>0</v>
      </c>
      <c r="AD12" s="537">
        <f>Time!AD$91</f>
        <v>0</v>
      </c>
      <c r="AE12" s="537">
        <f>Time!AE$91</f>
        <v>0</v>
      </c>
      <c r="AF12" s="537">
        <f>Time!AF$91</f>
        <v>0</v>
      </c>
      <c r="AG12" s="537">
        <f>Time!AG$91</f>
        <v>0</v>
      </c>
      <c r="AH12" s="537">
        <f>Time!AH$91</f>
        <v>1</v>
      </c>
      <c r="AI12" s="537">
        <f>Time!AI$91</f>
        <v>1</v>
      </c>
      <c r="AJ12" s="537">
        <f>Time!AJ$91</f>
        <v>1</v>
      </c>
      <c r="AK12" s="537">
        <f>Time!AK$91</f>
        <v>1</v>
      </c>
      <c r="AL12" s="537">
        <f>Time!AL$91</f>
        <v>1</v>
      </c>
      <c r="AM12" s="537">
        <f>Time!AM$91</f>
        <v>1</v>
      </c>
      <c r="AN12" s="537">
        <f>Time!AN$91</f>
        <v>1</v>
      </c>
      <c r="AO12" s="537">
        <f>Time!AO$91</f>
        <v>1</v>
      </c>
      <c r="AP12" s="537">
        <f>Time!AP$91</f>
        <v>1</v>
      </c>
      <c r="AQ12" s="537">
        <f>Time!AQ$91</f>
        <v>1</v>
      </c>
      <c r="AR12" s="537">
        <f>Time!AR$91</f>
        <v>1</v>
      </c>
      <c r="AS12" s="537">
        <f>Time!AS$91</f>
        <v>1</v>
      </c>
      <c r="AT12" s="537">
        <f>Time!AT$91</f>
        <v>1</v>
      </c>
      <c r="AU12" s="537">
        <f>Time!AU$91</f>
        <v>1</v>
      </c>
      <c r="AV12" s="537">
        <f>Time!AV$91</f>
        <v>1</v>
      </c>
      <c r="AW12" s="537">
        <f>Time!AW$91</f>
        <v>1</v>
      </c>
      <c r="AX12" s="537">
        <f>Time!AX$91</f>
        <v>1</v>
      </c>
      <c r="AY12" s="537">
        <f>Time!AY$91</f>
        <v>1</v>
      </c>
      <c r="AZ12" s="537">
        <f>Time!AZ$91</f>
        <v>1</v>
      </c>
      <c r="BA12" s="537">
        <f>Time!BA$91</f>
        <v>1</v>
      </c>
      <c r="BB12" s="537">
        <f>Time!BB$91</f>
        <v>1</v>
      </c>
      <c r="BC12" s="537">
        <f>Time!BC$91</f>
        <v>1</v>
      </c>
      <c r="BD12" s="537">
        <f>Time!BD$91</f>
        <v>1</v>
      </c>
      <c r="BE12" s="537">
        <f>Time!BE$91</f>
        <v>1</v>
      </c>
      <c r="BF12" s="537">
        <f>Time!BF$91</f>
        <v>1</v>
      </c>
      <c r="BG12" s="537">
        <f>Time!BG$91</f>
        <v>1</v>
      </c>
      <c r="BH12" s="537">
        <f>Time!BH$91</f>
        <v>1</v>
      </c>
      <c r="BI12" s="537">
        <f>Time!BI$91</f>
        <v>1</v>
      </c>
      <c r="BJ12" s="537">
        <f>Time!BJ$91</f>
        <v>1</v>
      </c>
      <c r="BK12" s="537">
        <f>Time!BK$91</f>
        <v>1</v>
      </c>
      <c r="BL12" s="537">
        <f>Time!BL$91</f>
        <v>1</v>
      </c>
      <c r="BM12" s="537">
        <f>Time!BM$91</f>
        <v>1</v>
      </c>
      <c r="BN12" s="537">
        <f>Time!BN$91</f>
        <v>1</v>
      </c>
      <c r="BO12" s="537">
        <f>Time!BO$91</f>
        <v>1</v>
      </c>
      <c r="BP12" s="537">
        <f>Time!BP$91</f>
        <v>1</v>
      </c>
      <c r="BQ12" s="537">
        <f>Time!BQ$91</f>
        <v>1</v>
      </c>
      <c r="BR12" s="537">
        <f>Time!BR$91</f>
        <v>1</v>
      </c>
      <c r="BS12" s="537">
        <f>Time!BS$91</f>
        <v>1</v>
      </c>
      <c r="BT12" s="537">
        <f>Time!BT$91</f>
        <v>1</v>
      </c>
      <c r="BU12" s="537">
        <f>Time!BU$91</f>
        <v>1</v>
      </c>
      <c r="BV12" s="537">
        <f>Time!BV$91</f>
        <v>1</v>
      </c>
      <c r="BW12" s="537">
        <f>Time!BW$91</f>
        <v>1</v>
      </c>
      <c r="BX12" s="537">
        <f>Time!BX$91</f>
        <v>1</v>
      </c>
      <c r="BY12" s="537">
        <f>Time!BY$91</f>
        <v>1</v>
      </c>
      <c r="BZ12" s="537">
        <f>Time!BZ$91</f>
        <v>1</v>
      </c>
      <c r="CA12" s="537">
        <f>Time!CA$91</f>
        <v>1</v>
      </c>
      <c r="CB12" s="537">
        <f>Time!CB$91</f>
        <v>1</v>
      </c>
      <c r="CC12" s="537">
        <f>Time!CC$91</f>
        <v>1</v>
      </c>
      <c r="CD12" s="537">
        <f>Time!CD$91</f>
        <v>1</v>
      </c>
      <c r="CE12" s="537">
        <f>Time!CE$91</f>
        <v>1</v>
      </c>
      <c r="CF12" s="537">
        <f>Time!CF$91</f>
        <v>1</v>
      </c>
      <c r="CG12" s="537">
        <f>Time!CG$91</f>
        <v>1</v>
      </c>
      <c r="CH12" s="537">
        <f>Time!CH$91</f>
        <v>1</v>
      </c>
      <c r="CI12" s="537">
        <f>Time!CI$91</f>
        <v>1</v>
      </c>
      <c r="CJ12" s="537">
        <f>Time!CJ$91</f>
        <v>1</v>
      </c>
      <c r="CK12" s="537">
        <f>Time!CK$91</f>
        <v>1</v>
      </c>
      <c r="CL12" s="537">
        <f>Time!CL$91</f>
        <v>1</v>
      </c>
      <c r="CM12" s="537">
        <f>Time!CM$91</f>
        <v>1</v>
      </c>
      <c r="CN12" s="537">
        <f>Time!CN$91</f>
        <v>1</v>
      </c>
      <c r="CO12" s="537">
        <f>Time!CO$91</f>
        <v>1</v>
      </c>
      <c r="CP12" s="537">
        <f>Time!CP$91</f>
        <v>1</v>
      </c>
      <c r="CQ12" s="537">
        <f>Time!CQ$91</f>
        <v>1</v>
      </c>
      <c r="CR12" s="537">
        <f>Time!CR$91</f>
        <v>1</v>
      </c>
      <c r="CS12" s="537">
        <f>Time!CS$91</f>
        <v>1</v>
      </c>
      <c r="CT12" s="537">
        <f>Time!CT$91</f>
        <v>1</v>
      </c>
      <c r="CU12" s="537">
        <f>Time!CU$91</f>
        <v>1</v>
      </c>
      <c r="CV12" s="537">
        <f>Time!CV$91</f>
        <v>1</v>
      </c>
      <c r="CW12" s="537">
        <f>Time!CW$91</f>
        <v>1</v>
      </c>
      <c r="CX12" s="537">
        <f>Time!CX$91</f>
        <v>1</v>
      </c>
      <c r="CY12" s="537">
        <f>Time!CY$91</f>
        <v>1</v>
      </c>
      <c r="CZ12" s="537">
        <f>Time!CZ$91</f>
        <v>1</v>
      </c>
      <c r="DA12" s="537">
        <f>Time!DA$91</f>
        <v>1</v>
      </c>
      <c r="DB12" s="537">
        <f>Time!DB$91</f>
        <v>1</v>
      </c>
      <c r="DC12" s="537">
        <f>Time!DC$91</f>
        <v>1</v>
      </c>
      <c r="DD12" s="537">
        <f>Time!DD$91</f>
        <v>1</v>
      </c>
      <c r="DE12" s="537">
        <f>Time!DE$91</f>
        <v>1</v>
      </c>
      <c r="DF12" s="537">
        <f>Time!DF$91</f>
        <v>1</v>
      </c>
      <c r="DG12" s="537">
        <f>Time!DG$91</f>
        <v>1</v>
      </c>
      <c r="DH12" s="537">
        <f>Time!DH$91</f>
        <v>1</v>
      </c>
      <c r="DI12" s="537">
        <f>Time!DI$91</f>
        <v>1</v>
      </c>
      <c r="DJ12" s="537">
        <f>Time!DJ$91</f>
        <v>1</v>
      </c>
      <c r="DK12" s="537">
        <f>Time!DK$91</f>
        <v>1</v>
      </c>
      <c r="DL12" s="537">
        <f>Time!DL$91</f>
        <v>1</v>
      </c>
      <c r="DM12" s="537">
        <f>Time!DM$91</f>
        <v>1</v>
      </c>
      <c r="DN12" s="537">
        <f>Time!DN$91</f>
        <v>1</v>
      </c>
      <c r="DO12" s="537">
        <f>Time!DO$91</f>
        <v>1</v>
      </c>
      <c r="DP12" s="537">
        <f>Time!DP$91</f>
        <v>1</v>
      </c>
      <c r="DQ12" s="537">
        <f>Time!DQ$91</f>
        <v>1</v>
      </c>
      <c r="DR12" s="537">
        <f>Time!DR$91</f>
        <v>1</v>
      </c>
      <c r="DS12" s="537">
        <f>Time!DS$91</f>
        <v>1</v>
      </c>
      <c r="DT12" s="537">
        <f>Time!DT$91</f>
        <v>1</v>
      </c>
      <c r="DU12" s="537">
        <f>Time!DU$91</f>
        <v>1</v>
      </c>
      <c r="DV12" s="537">
        <f>Time!DV$91</f>
        <v>1</v>
      </c>
      <c r="DW12" s="537">
        <f>Time!DW$91</f>
        <v>1</v>
      </c>
      <c r="DX12" s="537">
        <f>Time!DX$91</f>
        <v>1</v>
      </c>
      <c r="DY12" s="537">
        <f>Time!DY$91</f>
        <v>1</v>
      </c>
      <c r="DZ12" s="537">
        <f>Time!DZ$91</f>
        <v>1</v>
      </c>
      <c r="EA12" s="537">
        <f>Time!EA$91</f>
        <v>1</v>
      </c>
      <c r="EB12" s="537">
        <f>Time!EB$91</f>
        <v>1</v>
      </c>
      <c r="EC12" s="537">
        <f>Time!EC$91</f>
        <v>1</v>
      </c>
      <c r="ED12" s="537">
        <f>Time!ED$91</f>
        <v>0</v>
      </c>
      <c r="EE12" s="537">
        <f>Time!EE$91</f>
        <v>0</v>
      </c>
      <c r="EF12" s="537">
        <f>Time!EF$91</f>
        <v>0</v>
      </c>
      <c r="EG12" s="537">
        <f>Time!EG$91</f>
        <v>0</v>
      </c>
    </row>
    <row r="13" spans="5:137" ht="12.75">
      <c r="E13" s="538" t="s">
        <v>431</v>
      </c>
      <c r="G13" s="539" t="s">
        <v>30</v>
      </c>
      <c r="H13" s="539">
        <f>SUM(J13:EG13)</f>
        <v>1081157.2515638513</v>
      </c>
      <c r="J13" s="539">
        <f t="shared" si="0" ref="J13:EG13">(J10-J11)*J12</f>
        <v>0</v>
      </c>
      <c r="K13" s="539">
        <f t="shared" si="0"/>
        <v>0</v>
      </c>
      <c r="L13" s="539">
        <f t="shared" si="0"/>
        <v>0</v>
      </c>
      <c r="M13" s="539">
        <f t="shared" si="0"/>
        <v>0</v>
      </c>
      <c r="N13" s="539">
        <f t="shared" si="0"/>
        <v>0</v>
      </c>
      <c r="O13" s="539">
        <f t="shared" si="0"/>
        <v>0</v>
      </c>
      <c r="P13" s="539">
        <f t="shared" si="0"/>
        <v>0</v>
      </c>
      <c r="Q13" s="539">
        <f t="shared" si="0"/>
        <v>0</v>
      </c>
      <c r="R13" s="539">
        <f t="shared" si="0"/>
        <v>0</v>
      </c>
      <c r="S13" s="539">
        <f t="shared" si="0"/>
        <v>0</v>
      </c>
      <c r="T13" s="539">
        <f t="shared" si="0"/>
        <v>0</v>
      </c>
      <c r="U13" s="539">
        <f t="shared" si="0"/>
        <v>0</v>
      </c>
      <c r="V13" s="539">
        <f t="shared" si="0"/>
        <v>0</v>
      </c>
      <c r="W13" s="539">
        <f t="shared" si="0"/>
        <v>0</v>
      </c>
      <c r="X13" s="539">
        <f t="shared" si="0"/>
        <v>0</v>
      </c>
      <c r="Y13" s="539">
        <f t="shared" si="0"/>
        <v>0</v>
      </c>
      <c r="Z13" s="539">
        <f t="shared" si="0"/>
        <v>0</v>
      </c>
      <c r="AA13" s="539">
        <f t="shared" si="0"/>
        <v>0</v>
      </c>
      <c r="AB13" s="539">
        <f t="shared" si="0"/>
        <v>0</v>
      </c>
      <c r="AC13" s="539">
        <f t="shared" si="0"/>
        <v>0</v>
      </c>
      <c r="AD13" s="539">
        <f t="shared" si="0"/>
        <v>0</v>
      </c>
      <c r="AE13" s="539">
        <f t="shared" si="0"/>
        <v>0</v>
      </c>
      <c r="AF13" s="539">
        <f t="shared" si="0"/>
        <v>0</v>
      </c>
      <c r="AG13" s="539">
        <f t="shared" si="0"/>
        <v>0</v>
      </c>
      <c r="AH13" s="539">
        <f t="shared" si="0"/>
        <v>8995.9009374999987</v>
      </c>
      <c r="AI13" s="539">
        <f t="shared" si="0"/>
        <v>8995.9009374999987</v>
      </c>
      <c r="AJ13" s="539">
        <f t="shared" si="0"/>
        <v>8995.9009374999987</v>
      </c>
      <c r="AK13" s="539">
        <f t="shared" si="0"/>
        <v>8995.9009374999987</v>
      </c>
      <c r="AL13" s="539">
        <f t="shared" si="0"/>
        <v>9153.9256359374995</v>
      </c>
      <c r="AM13" s="539">
        <f t="shared" si="0"/>
        <v>9153.9256359374995</v>
      </c>
      <c r="AN13" s="539">
        <f t="shared" si="0"/>
        <v>9153.9256359374995</v>
      </c>
      <c r="AO13" s="539">
        <f t="shared" si="0"/>
        <v>9153.9256359374995</v>
      </c>
      <c r="AP13" s="539">
        <f t="shared" si="0"/>
        <v>9314.5471890859371</v>
      </c>
      <c r="AQ13" s="539">
        <f t="shared" si="0"/>
        <v>9314.5471890859371</v>
      </c>
      <c r="AR13" s="539">
        <f t="shared" si="0"/>
        <v>9314.5471890859371</v>
      </c>
      <c r="AS13" s="539">
        <f t="shared" si="0"/>
        <v>9314.5471890859371</v>
      </c>
      <c r="AT13" s="539">
        <f t="shared" si="0"/>
        <v>9477.8014538705866</v>
      </c>
      <c r="AU13" s="539">
        <f t="shared" si="0"/>
        <v>9477.8014538705866</v>
      </c>
      <c r="AV13" s="539">
        <f t="shared" si="0"/>
        <v>9477.8014538705866</v>
      </c>
      <c r="AW13" s="539">
        <f t="shared" si="0"/>
        <v>9477.8014538705866</v>
      </c>
      <c r="AX13" s="539">
        <f t="shared" si="0"/>
        <v>7904.1844153560414</v>
      </c>
      <c r="AY13" s="539">
        <f t="shared" si="0"/>
        <v>7904.1844153560414</v>
      </c>
      <c r="AZ13" s="539">
        <f t="shared" si="0"/>
        <v>7904.1844153560414</v>
      </c>
      <c r="BA13" s="539">
        <f t="shared" si="0"/>
        <v>7904.1844153560414</v>
      </c>
      <c r="BB13" s="539">
        <f t="shared" si="0"/>
        <v>9812.3528151198025</v>
      </c>
      <c r="BC13" s="539">
        <f t="shared" si="0"/>
        <v>9812.3528151198025</v>
      </c>
      <c r="BD13" s="539">
        <f t="shared" si="0"/>
        <v>9812.3528151198025</v>
      </c>
      <c r="BE13" s="539">
        <f t="shared" si="0"/>
        <v>9812.3528151198025</v>
      </c>
      <c r="BF13" s="539">
        <f t="shared" si="0"/>
        <v>9983.7228692843601</v>
      </c>
      <c r="BG13" s="539">
        <f t="shared" si="0"/>
        <v>9983.7228692843601</v>
      </c>
      <c r="BH13" s="539">
        <f t="shared" si="0"/>
        <v>9983.7228692843601</v>
      </c>
      <c r="BI13" s="539">
        <f t="shared" si="0"/>
        <v>9983.7228692843601</v>
      </c>
      <c r="BJ13" s="539">
        <f t="shared" si="0"/>
        <v>10157.871532362169</v>
      </c>
      <c r="BK13" s="539">
        <f t="shared" si="0"/>
        <v>10157.871532362169</v>
      </c>
      <c r="BL13" s="539">
        <f t="shared" si="0"/>
        <v>10157.871532362169</v>
      </c>
      <c r="BM13" s="539">
        <f t="shared" si="0"/>
        <v>10157.871532362169</v>
      </c>
      <c r="BN13" s="539">
        <f t="shared" si="0"/>
        <v>10334.835850713753</v>
      </c>
      <c r="BO13" s="539">
        <f t="shared" si="0"/>
        <v>10334.835850713753</v>
      </c>
      <c r="BP13" s="539">
        <f t="shared" si="0"/>
        <v>10334.835850713753</v>
      </c>
      <c r="BQ13" s="539">
        <f t="shared" si="0"/>
        <v>10334.835850713753</v>
      </c>
      <c r="BR13" s="539">
        <f t="shared" si="0"/>
        <v>8546.5230925990891</v>
      </c>
      <c r="BS13" s="539">
        <f t="shared" si="0"/>
        <v>8546.5230925990891</v>
      </c>
      <c r="BT13" s="539">
        <f t="shared" si="0"/>
        <v>8546.5230925990891</v>
      </c>
      <c r="BU13" s="539">
        <f t="shared" si="0"/>
        <v>8546.5230925990891</v>
      </c>
      <c r="BV13" s="539">
        <f t="shared" si="0"/>
        <v>10697.360670475582</v>
      </c>
      <c r="BW13" s="539">
        <f t="shared" si="0"/>
        <v>10697.360670475582</v>
      </c>
      <c r="BX13" s="539">
        <f t="shared" si="0"/>
        <v>10697.360670475582</v>
      </c>
      <c r="BY13" s="539">
        <f t="shared" si="0"/>
        <v>10697.360670475582</v>
      </c>
      <c r="BZ13" s="539">
        <f t="shared" si="0"/>
        <v>10882.996262096458</v>
      </c>
      <c r="CA13" s="539">
        <f t="shared" si="0"/>
        <v>10882.996262096458</v>
      </c>
      <c r="CB13" s="539">
        <f t="shared" si="0"/>
        <v>10882.996262096458</v>
      </c>
      <c r="CC13" s="539">
        <f t="shared" si="0"/>
        <v>10882.996262096458</v>
      </c>
      <c r="CD13" s="539">
        <f t="shared" si="0"/>
        <v>11071.597664949615</v>
      </c>
      <c r="CE13" s="539">
        <f t="shared" si="0"/>
        <v>11071.597664949615</v>
      </c>
      <c r="CF13" s="539">
        <f t="shared" si="0"/>
        <v>11071.597664949615</v>
      </c>
      <c r="CG13" s="539">
        <f t="shared" si="0"/>
        <v>11071.597664949615</v>
      </c>
      <c r="CH13" s="539">
        <f t="shared" si="0"/>
        <v>11263.202849443021</v>
      </c>
      <c r="CI13" s="539">
        <f t="shared" si="0"/>
        <v>11263.202849443021</v>
      </c>
      <c r="CJ13" s="539">
        <f t="shared" si="0"/>
        <v>11263.202849443021</v>
      </c>
      <c r="CK13" s="539">
        <f t="shared" si="0"/>
        <v>11263.202849443021</v>
      </c>
      <c r="CL13" s="539">
        <f t="shared" si="0"/>
        <v>9231.0915005575098</v>
      </c>
      <c r="CM13" s="539">
        <f t="shared" si="0"/>
        <v>9231.0915005575098</v>
      </c>
      <c r="CN13" s="539">
        <f t="shared" si="0"/>
        <v>9231.0915005575098</v>
      </c>
      <c r="CO13" s="539">
        <f t="shared" si="0"/>
        <v>9231.0915005575098</v>
      </c>
      <c r="CP13" s="539">
        <f t="shared" si="0"/>
        <v>11655.577157960166</v>
      </c>
      <c r="CQ13" s="539">
        <f t="shared" si="0"/>
        <v>11655.577157960166</v>
      </c>
      <c r="CR13" s="539">
        <f t="shared" si="0"/>
        <v>11655.577157960166</v>
      </c>
      <c r="CS13" s="539">
        <f t="shared" si="0"/>
        <v>11655.577157960166</v>
      </c>
      <c r="CT13" s="539">
        <f t="shared" si="0"/>
        <v>11856.422890442294</v>
      </c>
      <c r="CU13" s="539">
        <f t="shared" si="0"/>
        <v>11856.422890442294</v>
      </c>
      <c r="CV13" s="539">
        <f t="shared" si="0"/>
        <v>11856.422890442294</v>
      </c>
      <c r="CW13" s="539">
        <f t="shared" si="0"/>
        <v>11856.422890442294</v>
      </c>
      <c r="CX13" s="539">
        <f t="shared" si="0"/>
        <v>12060.42558933012</v>
      </c>
      <c r="CY13" s="539">
        <f t="shared" si="0"/>
        <v>12060.42558933012</v>
      </c>
      <c r="CZ13" s="539">
        <f t="shared" si="0"/>
        <v>12060.42558933012</v>
      </c>
      <c r="DA13" s="539">
        <f t="shared" si="0"/>
        <v>12060.42558933012</v>
      </c>
      <c r="DB13" s="539">
        <f t="shared" si="0"/>
        <v>12267.623796156346</v>
      </c>
      <c r="DC13" s="539">
        <f t="shared" si="0"/>
        <v>12267.623796156346</v>
      </c>
      <c r="DD13" s="539">
        <f t="shared" si="0"/>
        <v>12267.623796156346</v>
      </c>
      <c r="DE13" s="539">
        <f t="shared" si="0"/>
        <v>12267.623796156346</v>
      </c>
      <c r="DF13" s="539">
        <f t="shared" si="0"/>
        <v>9958.6833384202964</v>
      </c>
      <c r="DG13" s="539">
        <f t="shared" si="0"/>
        <v>9958.6833384202964</v>
      </c>
      <c r="DH13" s="539">
        <f t="shared" si="0"/>
        <v>9958.6833384202964</v>
      </c>
      <c r="DI13" s="539">
        <f t="shared" si="0"/>
        <v>9958.6833384202964</v>
      </c>
      <c r="DJ13" s="539">
        <f t="shared" si="0"/>
        <v>12691.761195091425</v>
      </c>
      <c r="DK13" s="539">
        <f t="shared" si="0"/>
        <v>12691.761195091425</v>
      </c>
      <c r="DL13" s="539">
        <f t="shared" si="0"/>
        <v>12691.761195091425</v>
      </c>
      <c r="DM13" s="539">
        <f t="shared" si="0"/>
        <v>12691.761195091425</v>
      </c>
      <c r="DN13" s="539">
        <f t="shared" si="0"/>
        <v>12908.777706935271</v>
      </c>
      <c r="DO13" s="539">
        <f t="shared" si="0"/>
        <v>12908.777706935271</v>
      </c>
      <c r="DP13" s="539">
        <f t="shared" si="0"/>
        <v>12908.777706935271</v>
      </c>
      <c r="DQ13" s="539">
        <f t="shared" si="0"/>
        <v>12908.777706935271</v>
      </c>
      <c r="DR13" s="539">
        <f t="shared" si="0"/>
        <v>13129.144324751487</v>
      </c>
      <c r="DS13" s="539">
        <f t="shared" si="0"/>
        <v>13129.144324751487</v>
      </c>
      <c r="DT13" s="539">
        <f t="shared" si="0"/>
        <v>13129.144324751487</v>
      </c>
      <c r="DU13" s="539">
        <f t="shared" si="0"/>
        <v>13129.144324751487</v>
      </c>
      <c r="DV13" s="539">
        <f t="shared" si="0"/>
        <v>13352.899702359024</v>
      </c>
      <c r="DW13" s="539">
        <f t="shared" si="0"/>
        <v>13352.899702359024</v>
      </c>
      <c r="DX13" s="539">
        <f t="shared" si="0"/>
        <v>13352.899702359024</v>
      </c>
      <c r="DY13" s="539">
        <f t="shared" si="0"/>
        <v>13352.899702359024</v>
      </c>
      <c r="DZ13" s="539">
        <f t="shared" si="0"/>
        <v>13580.082450164866</v>
      </c>
      <c r="EA13" s="539">
        <f t="shared" si="0"/>
        <v>13580.082450164866</v>
      </c>
      <c r="EB13" s="539">
        <f t="shared" si="0"/>
        <v>13580.082450164866</v>
      </c>
      <c r="EC13" s="539">
        <f t="shared" si="0"/>
        <v>13580.082450164866</v>
      </c>
      <c r="ED13" s="539">
        <f t="shared" si="0"/>
        <v>0</v>
      </c>
      <c r="EE13" s="539">
        <f t="shared" si="0"/>
        <v>0</v>
      </c>
      <c r="EF13" s="539">
        <f t="shared" si="0"/>
        <v>0</v>
      </c>
      <c r="EG13" s="539">
        <f t="shared" si="0"/>
        <v>0</v>
      </c>
    </row>
    <row r="15" spans="5:137" ht="12.75">
      <c r="E15" s="535" t="str">
        <f>Assets!E$69</f>
        <v>Financing costs - amortisation</v>
      </c>
      <c r="G15" s="537" t="str">
        <f>Assets!G$69</f>
        <v>EUR 000s</v>
      </c>
      <c r="H15" s="537">
        <f>Assets!H$69</f>
        <v>16238.008112575733</v>
      </c>
      <c r="J15" s="537">
        <f>Assets!J$69</f>
        <v>0</v>
      </c>
      <c r="K15" s="537">
        <f>Assets!K$69</f>
        <v>0</v>
      </c>
      <c r="L15" s="537">
        <f>Assets!L$69</f>
        <v>0</v>
      </c>
      <c r="M15" s="537">
        <f>Assets!M$69</f>
        <v>0</v>
      </c>
      <c r="N15" s="537">
        <f>Assets!N$69</f>
        <v>0</v>
      </c>
      <c r="O15" s="537">
        <f>Assets!O$69</f>
        <v>0</v>
      </c>
      <c r="P15" s="537">
        <f>Assets!P$69</f>
        <v>0</v>
      </c>
      <c r="Q15" s="537">
        <f>Assets!Q$69</f>
        <v>0</v>
      </c>
      <c r="R15" s="537">
        <f>Assets!R$69</f>
        <v>0</v>
      </c>
      <c r="S15" s="537">
        <f>Assets!S$69</f>
        <v>0</v>
      </c>
      <c r="T15" s="537">
        <f>Assets!T$69</f>
        <v>0</v>
      </c>
      <c r="U15" s="537">
        <f>Assets!U$69</f>
        <v>0</v>
      </c>
      <c r="V15" s="537">
        <f>Assets!V$69</f>
        <v>0</v>
      </c>
      <c r="W15" s="537">
        <f>Assets!W$69</f>
        <v>0</v>
      </c>
      <c r="X15" s="537">
        <f>Assets!X$69</f>
        <v>0</v>
      </c>
      <c r="Y15" s="537">
        <f>Assets!Y$69</f>
        <v>0</v>
      </c>
      <c r="Z15" s="537">
        <f>Assets!Z$69</f>
        <v>0</v>
      </c>
      <c r="AA15" s="537">
        <f>Assets!AA$69</f>
        <v>0</v>
      </c>
      <c r="AB15" s="537">
        <f>Assets!AB$69</f>
        <v>0</v>
      </c>
      <c r="AC15" s="537">
        <f>Assets!AC$69</f>
        <v>0</v>
      </c>
      <c r="AD15" s="537">
        <f>Assets!AD$69</f>
        <v>0</v>
      </c>
      <c r="AE15" s="537">
        <f>Assets!AE$69</f>
        <v>0</v>
      </c>
      <c r="AF15" s="537">
        <f>Assets!AF$69</f>
        <v>0</v>
      </c>
      <c r="AG15" s="537">
        <f>Assets!AG$69</f>
        <v>0</v>
      </c>
      <c r="AH15" s="537">
        <f>Assets!AH$69</f>
        <v>222.30312292847819</v>
      </c>
      <c r="AI15" s="537">
        <f>Assets!AI$69</f>
        <v>224.77315762768353</v>
      </c>
      <c r="AJ15" s="537">
        <f>Assets!AJ$69</f>
        <v>227.24319232688882</v>
      </c>
      <c r="AK15" s="537">
        <f>Assets!AK$69</f>
        <v>227.24319232688882</v>
      </c>
      <c r="AL15" s="537">
        <f>Assets!AL$69</f>
        <v>222.30312292847819</v>
      </c>
      <c r="AM15" s="537">
        <f>Assets!AM$69</f>
        <v>224.77315762768353</v>
      </c>
      <c r="AN15" s="537">
        <f>Assets!AN$69</f>
        <v>227.24319232688882</v>
      </c>
      <c r="AO15" s="537">
        <f>Assets!AO$69</f>
        <v>227.24319232688882</v>
      </c>
      <c r="AP15" s="537">
        <f>Assets!AP$69</f>
        <v>222.30312292847819</v>
      </c>
      <c r="AQ15" s="537">
        <f>Assets!AQ$69</f>
        <v>224.77315762768353</v>
      </c>
      <c r="AR15" s="537">
        <f>Assets!AR$69</f>
        <v>227.24319232688882</v>
      </c>
      <c r="AS15" s="537">
        <f>Assets!AS$69</f>
        <v>227.24319232688882</v>
      </c>
      <c r="AT15" s="537">
        <f>Assets!AT$69</f>
        <v>224.77315762768353</v>
      </c>
      <c r="AU15" s="537">
        <f>Assets!AU$69</f>
        <v>224.77315762768353</v>
      </c>
      <c r="AV15" s="537">
        <f>Assets!AV$69</f>
        <v>227.24319232688882</v>
      </c>
      <c r="AW15" s="537">
        <f>Assets!AW$69</f>
        <v>227.24319232688882</v>
      </c>
      <c r="AX15" s="537">
        <f>Assets!AX$69</f>
        <v>222.30312292847819</v>
      </c>
      <c r="AY15" s="537">
        <f>Assets!AY$69</f>
        <v>224.77315762768353</v>
      </c>
      <c r="AZ15" s="537">
        <f>Assets!AZ$69</f>
        <v>227.24319232688882</v>
      </c>
      <c r="BA15" s="537">
        <f>Assets!BA$69</f>
        <v>227.24319232688882</v>
      </c>
      <c r="BB15" s="537">
        <f>Assets!BB$69</f>
        <v>222.30312292847819</v>
      </c>
      <c r="BC15" s="537">
        <f>Assets!BC$69</f>
        <v>224.77315762768353</v>
      </c>
      <c r="BD15" s="537">
        <f>Assets!BD$69</f>
        <v>227.24319232688882</v>
      </c>
      <c r="BE15" s="537">
        <f>Assets!BE$69</f>
        <v>227.24319232688882</v>
      </c>
      <c r="BF15" s="537">
        <f>Assets!BF$69</f>
        <v>222.30312292847819</v>
      </c>
      <c r="BG15" s="537">
        <f>Assets!BG$69</f>
        <v>224.77315762768353</v>
      </c>
      <c r="BH15" s="537">
        <f>Assets!BH$69</f>
        <v>227.24319232688882</v>
      </c>
      <c r="BI15" s="537">
        <f>Assets!BI$69</f>
        <v>227.24319232688882</v>
      </c>
      <c r="BJ15" s="537">
        <f>Assets!BJ$69</f>
        <v>224.77315762768353</v>
      </c>
      <c r="BK15" s="537">
        <f>Assets!BK$69</f>
        <v>224.77315762768353</v>
      </c>
      <c r="BL15" s="537">
        <f>Assets!BL$69</f>
        <v>227.24319232688882</v>
      </c>
      <c r="BM15" s="537">
        <f>Assets!BM$69</f>
        <v>227.24319232688882</v>
      </c>
      <c r="BN15" s="537">
        <f>Assets!BN$69</f>
        <v>222.30312292847819</v>
      </c>
      <c r="BO15" s="537">
        <f>Assets!BO$69</f>
        <v>224.77315762768353</v>
      </c>
      <c r="BP15" s="537">
        <f>Assets!BP$69</f>
        <v>227.24319232688882</v>
      </c>
      <c r="BQ15" s="537">
        <f>Assets!BQ$69</f>
        <v>227.24319232688882</v>
      </c>
      <c r="BR15" s="537">
        <f>Assets!BR$69</f>
        <v>222.30312292847819</v>
      </c>
      <c r="BS15" s="537">
        <f>Assets!BS$69</f>
        <v>224.77315762768353</v>
      </c>
      <c r="BT15" s="537">
        <f>Assets!BT$69</f>
        <v>227.24319232688882</v>
      </c>
      <c r="BU15" s="537">
        <f>Assets!BU$69</f>
        <v>227.24319232688882</v>
      </c>
      <c r="BV15" s="537">
        <f>Assets!BV$69</f>
        <v>222.30312292847819</v>
      </c>
      <c r="BW15" s="537">
        <f>Assets!BW$69</f>
        <v>224.77315762768353</v>
      </c>
      <c r="BX15" s="537">
        <f>Assets!BX$69</f>
        <v>227.24319232688882</v>
      </c>
      <c r="BY15" s="537">
        <f>Assets!BY$69</f>
        <v>227.24319232688882</v>
      </c>
      <c r="BZ15" s="537">
        <f>Assets!BZ$69</f>
        <v>224.77315762768353</v>
      </c>
      <c r="CA15" s="537">
        <f>Assets!CA$69</f>
        <v>224.77315762768353</v>
      </c>
      <c r="CB15" s="537">
        <f>Assets!CB$69</f>
        <v>227.24319232688882</v>
      </c>
      <c r="CC15" s="537">
        <f>Assets!CC$69</f>
        <v>227.24319232688882</v>
      </c>
      <c r="CD15" s="537">
        <f>Assets!CD$69</f>
        <v>222.30312292847819</v>
      </c>
      <c r="CE15" s="537">
        <f>Assets!CE$69</f>
        <v>224.77315762768353</v>
      </c>
      <c r="CF15" s="537">
        <f>Assets!CF$69</f>
        <v>227.24319232688882</v>
      </c>
      <c r="CG15" s="537">
        <f>Assets!CG$69</f>
        <v>227.24319232688882</v>
      </c>
      <c r="CH15" s="537">
        <f>Assets!CH$69</f>
        <v>222.30312292847819</v>
      </c>
      <c r="CI15" s="537">
        <f>Assets!CI$69</f>
        <v>224.77315762768353</v>
      </c>
      <c r="CJ15" s="537">
        <f>Assets!CJ$69</f>
        <v>227.24319232688882</v>
      </c>
      <c r="CK15" s="537">
        <f>Assets!CK$69</f>
        <v>227.24319232688882</v>
      </c>
      <c r="CL15" s="537">
        <f>Assets!CL$69</f>
        <v>222.30312292847819</v>
      </c>
      <c r="CM15" s="537">
        <f>Assets!CM$69</f>
        <v>224.77315762768353</v>
      </c>
      <c r="CN15" s="537">
        <f>Assets!CN$69</f>
        <v>227.24319232688882</v>
      </c>
      <c r="CO15" s="537">
        <f>Assets!CO$69</f>
        <v>227.24319232688882</v>
      </c>
      <c r="CP15" s="537">
        <f>Assets!CP$69</f>
        <v>224.77315762768353</v>
      </c>
      <c r="CQ15" s="537">
        <f>Assets!CQ$69</f>
        <v>224.77315762768353</v>
      </c>
      <c r="CR15" s="537">
        <f>Assets!CR$69</f>
        <v>227.24319232688882</v>
      </c>
      <c r="CS15" s="537">
        <f>Assets!CS$69</f>
        <v>227.24319232688882</v>
      </c>
      <c r="CT15" s="537">
        <f>Assets!CT$69</f>
        <v>222.30312292847819</v>
      </c>
      <c r="CU15" s="537">
        <f>Assets!CU$69</f>
        <v>224.77315762768353</v>
      </c>
      <c r="CV15" s="537">
        <f>Assets!CV$69</f>
        <v>227.24319232688882</v>
      </c>
      <c r="CW15" s="537">
        <f>Assets!CW$69</f>
        <v>227.24319232688882</v>
      </c>
      <c r="CX15" s="537">
        <f>Assets!CX$69</f>
        <v>222.30312292847819</v>
      </c>
      <c r="CY15" s="537">
        <f>Assets!CY$69</f>
        <v>224.77315762768353</v>
      </c>
      <c r="CZ15" s="537">
        <f>Assets!CZ$69</f>
        <v>227.24319232688882</v>
      </c>
      <c r="DA15" s="537">
        <f>Assets!DA$69</f>
        <v>227.24319232688882</v>
      </c>
      <c r="DB15" s="537">
        <f>Assets!DB$69</f>
        <v>0</v>
      </c>
      <c r="DC15" s="537">
        <f>Assets!DC$69</f>
        <v>0</v>
      </c>
      <c r="DD15" s="537">
        <f>Assets!DD$69</f>
        <v>0</v>
      </c>
      <c r="DE15" s="537">
        <f>Assets!DE$69</f>
        <v>0</v>
      </c>
      <c r="DF15" s="537">
        <f>Assets!DF$69</f>
        <v>0</v>
      </c>
      <c r="DG15" s="537">
        <f>Assets!DG$69</f>
        <v>0</v>
      </c>
      <c r="DH15" s="537">
        <f>Assets!DH$69</f>
        <v>0</v>
      </c>
      <c r="DI15" s="537">
        <f>Assets!DI$69</f>
        <v>0</v>
      </c>
      <c r="DJ15" s="537">
        <f>Assets!DJ$69</f>
        <v>0</v>
      </c>
      <c r="DK15" s="537">
        <f>Assets!DK$69</f>
        <v>0</v>
      </c>
      <c r="DL15" s="537">
        <f>Assets!DL$69</f>
        <v>0</v>
      </c>
      <c r="DM15" s="537">
        <f>Assets!DM$69</f>
        <v>0</v>
      </c>
      <c r="DN15" s="537">
        <f>Assets!DN$69</f>
        <v>0</v>
      </c>
      <c r="DO15" s="537">
        <f>Assets!DO$69</f>
        <v>0</v>
      </c>
      <c r="DP15" s="537">
        <f>Assets!DP$69</f>
        <v>0</v>
      </c>
      <c r="DQ15" s="537">
        <f>Assets!DQ$69</f>
        <v>0</v>
      </c>
      <c r="DR15" s="537">
        <f>Assets!DR$69</f>
        <v>0</v>
      </c>
      <c r="DS15" s="537">
        <f>Assets!DS$69</f>
        <v>0</v>
      </c>
      <c r="DT15" s="537">
        <f>Assets!DT$69</f>
        <v>0</v>
      </c>
      <c r="DU15" s="537">
        <f>Assets!DU$69</f>
        <v>0</v>
      </c>
      <c r="DV15" s="537">
        <f>Assets!DV$69</f>
        <v>0</v>
      </c>
      <c r="DW15" s="537">
        <f>Assets!DW$69</f>
        <v>0</v>
      </c>
      <c r="DX15" s="537">
        <f>Assets!DX$69</f>
        <v>0</v>
      </c>
      <c r="DY15" s="537">
        <f>Assets!DY$69</f>
        <v>0</v>
      </c>
      <c r="DZ15" s="537">
        <f>Assets!DZ$69</f>
        <v>0</v>
      </c>
      <c r="EA15" s="537">
        <f>Assets!EA$69</f>
        <v>0</v>
      </c>
      <c r="EB15" s="537">
        <f>Assets!EB$69</f>
        <v>0</v>
      </c>
      <c r="EC15" s="537">
        <f>Assets!EC$69</f>
        <v>0</v>
      </c>
      <c r="ED15" s="537">
        <f>Assets!ED$69</f>
        <v>0</v>
      </c>
      <c r="EE15" s="537">
        <f>Assets!EE$69</f>
        <v>0</v>
      </c>
      <c r="EF15" s="537">
        <f>Assets!EF$69</f>
        <v>0</v>
      </c>
      <c r="EG15" s="537">
        <f>Assets!EG$69</f>
        <v>0</v>
      </c>
    </row>
    <row r="16" spans="5:137" ht="12.75">
      <c r="E16" s="535" t="str">
        <f>Cons!E$96</f>
        <v>VAT facility - interest in operations</v>
      </c>
      <c r="G16" s="537" t="str">
        <f>Cons!G$96</f>
        <v>EUR 000s</v>
      </c>
      <c r="H16" s="537">
        <f>Cons!H$96</f>
        <v>33.995958904109585</v>
      </c>
      <c r="J16" s="537">
        <f>Cons!J$96</f>
        <v>0</v>
      </c>
      <c r="K16" s="537">
        <f>Cons!K$96</f>
        <v>0</v>
      </c>
      <c r="L16" s="537">
        <f>Cons!L$96</f>
        <v>0</v>
      </c>
      <c r="M16" s="537">
        <f>Cons!M$96</f>
        <v>0</v>
      </c>
      <c r="N16" s="537">
        <f>Cons!N$96</f>
        <v>0</v>
      </c>
      <c r="O16" s="537">
        <f>Cons!O$96</f>
        <v>0</v>
      </c>
      <c r="P16" s="537">
        <f>Cons!P$96</f>
        <v>0</v>
      </c>
      <c r="Q16" s="537">
        <f>Cons!Q$96</f>
        <v>0</v>
      </c>
      <c r="R16" s="537">
        <f>Cons!R$96</f>
        <v>0</v>
      </c>
      <c r="S16" s="537">
        <f>Cons!S$96</f>
        <v>0</v>
      </c>
      <c r="T16" s="537">
        <f>Cons!T$96</f>
        <v>0</v>
      </c>
      <c r="U16" s="537">
        <f>Cons!U$96</f>
        <v>0</v>
      </c>
      <c r="V16" s="537">
        <f>Cons!V$96</f>
        <v>0</v>
      </c>
      <c r="W16" s="537">
        <f>Cons!W$96</f>
        <v>0</v>
      </c>
      <c r="X16" s="537">
        <f>Cons!X$96</f>
        <v>0</v>
      </c>
      <c r="Y16" s="537">
        <f>Cons!Y$96</f>
        <v>0</v>
      </c>
      <c r="Z16" s="537">
        <f>Cons!Z$96</f>
        <v>0</v>
      </c>
      <c r="AA16" s="537">
        <f>Cons!AA$96</f>
        <v>0</v>
      </c>
      <c r="AB16" s="537">
        <f>Cons!AB$96</f>
        <v>0</v>
      </c>
      <c r="AC16" s="537">
        <f>Cons!AC$96</f>
        <v>0</v>
      </c>
      <c r="AD16" s="537">
        <f>Cons!AD$96</f>
        <v>0</v>
      </c>
      <c r="AE16" s="537">
        <f>Cons!AE$96</f>
        <v>0</v>
      </c>
      <c r="AF16" s="537">
        <f>Cons!AF$96</f>
        <v>0</v>
      </c>
      <c r="AG16" s="537">
        <f>Cons!AG$96</f>
        <v>0</v>
      </c>
      <c r="AH16" s="537">
        <f>Cons!AH$96</f>
        <v>33.995958904109585</v>
      </c>
      <c r="AI16" s="537">
        <f>Cons!AI$96</f>
        <v>0</v>
      </c>
      <c r="AJ16" s="537">
        <f>Cons!AJ$96</f>
        <v>0</v>
      </c>
      <c r="AK16" s="537">
        <f>Cons!AK$96</f>
        <v>0</v>
      </c>
      <c r="AL16" s="537">
        <f>Cons!AL$96</f>
        <v>0</v>
      </c>
      <c r="AM16" s="537">
        <f>Cons!AM$96</f>
        <v>0</v>
      </c>
      <c r="AN16" s="537">
        <f>Cons!AN$96</f>
        <v>0</v>
      </c>
      <c r="AO16" s="537">
        <f>Cons!AO$96</f>
        <v>0</v>
      </c>
      <c r="AP16" s="537">
        <f>Cons!AP$96</f>
        <v>0</v>
      </c>
      <c r="AQ16" s="537">
        <f>Cons!AQ$96</f>
        <v>0</v>
      </c>
      <c r="AR16" s="537">
        <f>Cons!AR$96</f>
        <v>0</v>
      </c>
      <c r="AS16" s="537">
        <f>Cons!AS$96</f>
        <v>0</v>
      </c>
      <c r="AT16" s="537">
        <f>Cons!AT$96</f>
        <v>0</v>
      </c>
      <c r="AU16" s="537">
        <f>Cons!AU$96</f>
        <v>0</v>
      </c>
      <c r="AV16" s="537">
        <f>Cons!AV$96</f>
        <v>0</v>
      </c>
      <c r="AW16" s="537">
        <f>Cons!AW$96</f>
        <v>0</v>
      </c>
      <c r="AX16" s="537">
        <f>Cons!AX$96</f>
        <v>0</v>
      </c>
      <c r="AY16" s="537">
        <f>Cons!AY$96</f>
        <v>0</v>
      </c>
      <c r="AZ16" s="537">
        <f>Cons!AZ$96</f>
        <v>0</v>
      </c>
      <c r="BA16" s="537">
        <f>Cons!BA$96</f>
        <v>0</v>
      </c>
      <c r="BB16" s="537">
        <f>Cons!BB$96</f>
        <v>0</v>
      </c>
      <c r="BC16" s="537">
        <f>Cons!BC$96</f>
        <v>0</v>
      </c>
      <c r="BD16" s="537">
        <f>Cons!BD$96</f>
        <v>0</v>
      </c>
      <c r="BE16" s="537">
        <f>Cons!BE$96</f>
        <v>0</v>
      </c>
      <c r="BF16" s="537">
        <f>Cons!BF$96</f>
        <v>0</v>
      </c>
      <c r="BG16" s="537">
        <f>Cons!BG$96</f>
        <v>0</v>
      </c>
      <c r="BH16" s="537">
        <f>Cons!BH$96</f>
        <v>0</v>
      </c>
      <c r="BI16" s="537">
        <f>Cons!BI$96</f>
        <v>0</v>
      </c>
      <c r="BJ16" s="537">
        <f>Cons!BJ$96</f>
        <v>0</v>
      </c>
      <c r="BK16" s="537">
        <f>Cons!BK$96</f>
        <v>0</v>
      </c>
      <c r="BL16" s="537">
        <f>Cons!BL$96</f>
        <v>0</v>
      </c>
      <c r="BM16" s="537">
        <f>Cons!BM$96</f>
        <v>0</v>
      </c>
      <c r="BN16" s="537">
        <f>Cons!BN$96</f>
        <v>0</v>
      </c>
      <c r="BO16" s="537">
        <f>Cons!BO$96</f>
        <v>0</v>
      </c>
      <c r="BP16" s="537">
        <f>Cons!BP$96</f>
        <v>0</v>
      </c>
      <c r="BQ16" s="537">
        <f>Cons!BQ$96</f>
        <v>0</v>
      </c>
      <c r="BR16" s="537">
        <f>Cons!BR$96</f>
        <v>0</v>
      </c>
      <c r="BS16" s="537">
        <f>Cons!BS$96</f>
        <v>0</v>
      </c>
      <c r="BT16" s="537">
        <f>Cons!BT$96</f>
        <v>0</v>
      </c>
      <c r="BU16" s="537">
        <f>Cons!BU$96</f>
        <v>0</v>
      </c>
      <c r="BV16" s="537">
        <f>Cons!BV$96</f>
        <v>0</v>
      </c>
      <c r="BW16" s="537">
        <f>Cons!BW$96</f>
        <v>0</v>
      </c>
      <c r="BX16" s="537">
        <f>Cons!BX$96</f>
        <v>0</v>
      </c>
      <c r="BY16" s="537">
        <f>Cons!BY$96</f>
        <v>0</v>
      </c>
      <c r="BZ16" s="537">
        <f>Cons!BZ$96</f>
        <v>0</v>
      </c>
      <c r="CA16" s="537">
        <f>Cons!CA$96</f>
        <v>0</v>
      </c>
      <c r="CB16" s="537">
        <f>Cons!CB$96</f>
        <v>0</v>
      </c>
      <c r="CC16" s="537">
        <f>Cons!CC$96</f>
        <v>0</v>
      </c>
      <c r="CD16" s="537">
        <f>Cons!CD$96</f>
        <v>0</v>
      </c>
      <c r="CE16" s="537">
        <f>Cons!CE$96</f>
        <v>0</v>
      </c>
      <c r="CF16" s="537">
        <f>Cons!CF$96</f>
        <v>0</v>
      </c>
      <c r="CG16" s="537">
        <f>Cons!CG$96</f>
        <v>0</v>
      </c>
      <c r="CH16" s="537">
        <f>Cons!CH$96</f>
        <v>0</v>
      </c>
      <c r="CI16" s="537">
        <f>Cons!CI$96</f>
        <v>0</v>
      </c>
      <c r="CJ16" s="537">
        <f>Cons!CJ$96</f>
        <v>0</v>
      </c>
      <c r="CK16" s="537">
        <f>Cons!CK$96</f>
        <v>0</v>
      </c>
      <c r="CL16" s="537">
        <f>Cons!CL$96</f>
        <v>0</v>
      </c>
      <c r="CM16" s="537">
        <f>Cons!CM$96</f>
        <v>0</v>
      </c>
      <c r="CN16" s="537">
        <f>Cons!CN$96</f>
        <v>0</v>
      </c>
      <c r="CO16" s="537">
        <f>Cons!CO$96</f>
        <v>0</v>
      </c>
      <c r="CP16" s="537">
        <f>Cons!CP$96</f>
        <v>0</v>
      </c>
      <c r="CQ16" s="537">
        <f>Cons!CQ$96</f>
        <v>0</v>
      </c>
      <c r="CR16" s="537">
        <f>Cons!CR$96</f>
        <v>0</v>
      </c>
      <c r="CS16" s="537">
        <f>Cons!CS$96</f>
        <v>0</v>
      </c>
      <c r="CT16" s="537">
        <f>Cons!CT$96</f>
        <v>0</v>
      </c>
      <c r="CU16" s="537">
        <f>Cons!CU$96</f>
        <v>0</v>
      </c>
      <c r="CV16" s="537">
        <f>Cons!CV$96</f>
        <v>0</v>
      </c>
      <c r="CW16" s="537">
        <f>Cons!CW$96</f>
        <v>0</v>
      </c>
      <c r="CX16" s="537">
        <f>Cons!CX$96</f>
        <v>0</v>
      </c>
      <c r="CY16" s="537">
        <f>Cons!CY$96</f>
        <v>0</v>
      </c>
      <c r="CZ16" s="537">
        <f>Cons!CZ$96</f>
        <v>0</v>
      </c>
      <c r="DA16" s="537">
        <f>Cons!DA$96</f>
        <v>0</v>
      </c>
      <c r="DB16" s="537">
        <f>Cons!DB$96</f>
        <v>0</v>
      </c>
      <c r="DC16" s="537">
        <f>Cons!DC$96</f>
        <v>0</v>
      </c>
      <c r="DD16" s="537">
        <f>Cons!DD$96</f>
        <v>0</v>
      </c>
      <c r="DE16" s="537">
        <f>Cons!DE$96</f>
        <v>0</v>
      </c>
      <c r="DF16" s="537">
        <f>Cons!DF$96</f>
        <v>0</v>
      </c>
      <c r="DG16" s="537">
        <f>Cons!DG$96</f>
        <v>0</v>
      </c>
      <c r="DH16" s="537">
        <f>Cons!DH$96</f>
        <v>0</v>
      </c>
      <c r="DI16" s="537">
        <f>Cons!DI$96</f>
        <v>0</v>
      </c>
      <c r="DJ16" s="537">
        <f>Cons!DJ$96</f>
        <v>0</v>
      </c>
      <c r="DK16" s="537">
        <f>Cons!DK$96</f>
        <v>0</v>
      </c>
      <c r="DL16" s="537">
        <f>Cons!DL$96</f>
        <v>0</v>
      </c>
      <c r="DM16" s="537">
        <f>Cons!DM$96</f>
        <v>0</v>
      </c>
      <c r="DN16" s="537">
        <f>Cons!DN$96</f>
        <v>0</v>
      </c>
      <c r="DO16" s="537">
        <f>Cons!DO$96</f>
        <v>0</v>
      </c>
      <c r="DP16" s="537">
        <f>Cons!DP$96</f>
        <v>0</v>
      </c>
      <c r="DQ16" s="537">
        <f>Cons!DQ$96</f>
        <v>0</v>
      </c>
      <c r="DR16" s="537">
        <f>Cons!DR$96</f>
        <v>0</v>
      </c>
      <c r="DS16" s="537">
        <f>Cons!DS$96</f>
        <v>0</v>
      </c>
      <c r="DT16" s="537">
        <f>Cons!DT$96</f>
        <v>0</v>
      </c>
      <c r="DU16" s="537">
        <f>Cons!DU$96</f>
        <v>0</v>
      </c>
      <c r="DV16" s="537">
        <f>Cons!DV$96</f>
        <v>0</v>
      </c>
      <c r="DW16" s="537">
        <f>Cons!DW$96</f>
        <v>0</v>
      </c>
      <c r="DX16" s="537">
        <f>Cons!DX$96</f>
        <v>0</v>
      </c>
      <c r="DY16" s="537">
        <f>Cons!DY$96</f>
        <v>0</v>
      </c>
      <c r="DZ16" s="537">
        <f>Cons!DZ$96</f>
        <v>0</v>
      </c>
      <c r="EA16" s="537">
        <f>Cons!EA$96</f>
        <v>0</v>
      </c>
      <c r="EB16" s="537">
        <f>Cons!EB$96</f>
        <v>0</v>
      </c>
      <c r="EC16" s="537">
        <f>Cons!EC$96</f>
        <v>0</v>
      </c>
      <c r="ED16" s="537">
        <f>Cons!ED$96</f>
        <v>0</v>
      </c>
      <c r="EE16" s="537">
        <f>Cons!EE$96</f>
        <v>0</v>
      </c>
      <c r="EF16" s="537">
        <f>Cons!EF$96</f>
        <v>0</v>
      </c>
      <c r="EG16" s="537">
        <f>Cons!EG$96</f>
        <v>0</v>
      </c>
    </row>
    <row r="17" spans="5:137" ht="12.75">
      <c r="E17" s="535" t="str">
        <f>Debt!E$64</f>
        <v>Senior facility - interest</v>
      </c>
      <c r="G17" s="537" t="str">
        <f>Debt!G$64</f>
        <v>EUR 000s</v>
      </c>
      <c r="H17" s="537">
        <f>Debt!H$64</f>
        <v>129146.28987807478</v>
      </c>
      <c r="J17" s="537">
        <f>Debt!J$64</f>
        <v>0</v>
      </c>
      <c r="K17" s="537">
        <f>Debt!K$64</f>
        <v>0</v>
      </c>
      <c r="L17" s="537">
        <f>Debt!L$64</f>
        <v>0</v>
      </c>
      <c r="M17" s="537">
        <f>Debt!M$64</f>
        <v>0</v>
      </c>
      <c r="N17" s="537">
        <f>Debt!N$64</f>
        <v>0</v>
      </c>
      <c r="O17" s="537">
        <f>Debt!O$64</f>
        <v>0</v>
      </c>
      <c r="P17" s="537">
        <f>Debt!P$64</f>
        <v>0</v>
      </c>
      <c r="Q17" s="537">
        <f>Debt!Q$64</f>
        <v>0</v>
      </c>
      <c r="R17" s="537">
        <f>Debt!R$64</f>
        <v>0</v>
      </c>
      <c r="S17" s="537">
        <f>Debt!S$64</f>
        <v>0</v>
      </c>
      <c r="T17" s="537">
        <f>Debt!T$64</f>
        <v>0</v>
      </c>
      <c r="U17" s="537">
        <f>Debt!U$64</f>
        <v>0</v>
      </c>
      <c r="V17" s="537">
        <f>Debt!V$64</f>
        <v>0</v>
      </c>
      <c r="W17" s="537">
        <f>Debt!W$64</f>
        <v>0</v>
      </c>
      <c r="X17" s="537">
        <f>Debt!X$64</f>
        <v>0</v>
      </c>
      <c r="Y17" s="537">
        <f>Debt!Y$64</f>
        <v>0</v>
      </c>
      <c r="Z17" s="537">
        <f>Debt!Z$64</f>
        <v>0</v>
      </c>
      <c r="AA17" s="537">
        <f>Debt!AA$64</f>
        <v>0</v>
      </c>
      <c r="AB17" s="537">
        <f>Debt!AB$64</f>
        <v>0</v>
      </c>
      <c r="AC17" s="537">
        <f>Debt!AC$64</f>
        <v>0</v>
      </c>
      <c r="AD17" s="537">
        <f>Debt!AD$64</f>
        <v>0</v>
      </c>
      <c r="AE17" s="537">
        <f>Debt!AE$64</f>
        <v>0</v>
      </c>
      <c r="AF17" s="537">
        <f>Debt!AF$64</f>
        <v>0</v>
      </c>
      <c r="AG17" s="537">
        <f>Debt!AG$64</f>
        <v>0</v>
      </c>
      <c r="AH17" s="537">
        <f>Debt!AH$64</f>
        <v>3001.0107045471395</v>
      </c>
      <c r="AI17" s="537">
        <f>Debt!AI$64</f>
        <v>3025.0607202902252</v>
      </c>
      <c r="AJ17" s="537">
        <f>Debt!AJ$64</f>
        <v>3035.7150418494703</v>
      </c>
      <c r="AK17" s="537">
        <f>Debt!AK$64</f>
        <v>3013.2777772740533</v>
      </c>
      <c r="AL17" s="537">
        <f>Debt!AL$64</f>
        <v>2925.6561104393368</v>
      </c>
      <c r="AM17" s="537">
        <f>Debt!AM$64</f>
        <v>2933.9209710967089</v>
      </c>
      <c r="AN17" s="537">
        <f>Debt!AN$64</f>
        <v>2941.1776240300005</v>
      </c>
      <c r="AO17" s="537">
        <f>Debt!AO$64</f>
        <v>2916.2971624211491</v>
      </c>
      <c r="AP17" s="537">
        <f>Debt!AP$64</f>
        <v>2828.362216629173</v>
      </c>
      <c r="AQ17" s="537">
        <f>Debt!AQ$64</f>
        <v>2833.0787712946462</v>
      </c>
      <c r="AR17" s="537">
        <f>Debt!AR$64</f>
        <v>2836.6780401336746</v>
      </c>
      <c r="AS17" s="537">
        <f>Debt!AS$64</f>
        <v>2809.1976860341979</v>
      </c>
      <c r="AT17" s="537">
        <f>Debt!AT$64</f>
        <v>2751.2475166597596</v>
      </c>
      <c r="AU17" s="537">
        <f>Debt!AU$64</f>
        <v>2722.1806011190497</v>
      </c>
      <c r="AV17" s="537">
        <f>Debt!AV$64</f>
        <v>2722.0033265522147</v>
      </c>
      <c r="AW17" s="537">
        <f>Debt!AW$64</f>
        <v>2691.763176295578</v>
      </c>
      <c r="AX17" s="537">
        <f>Debt!AX$64</f>
        <v>2603.4274408818269</v>
      </c>
      <c r="AY17" s="537">
        <f>Debt!AY$64</f>
        <v>2600.2377281967169</v>
      </c>
      <c r="AZ17" s="537">
        <f>Debt!AZ$64</f>
        <v>2595.6911281024104</v>
      </c>
      <c r="BA17" s="537">
        <f>Debt!BA$64</f>
        <v>2562.5107476901208</v>
      </c>
      <c r="BB17" s="537">
        <f>Debt!BB$64</f>
        <v>2474.0727885506644</v>
      </c>
      <c r="BC17" s="537">
        <f>Debt!BC$64</f>
        <v>2467.3552535778831</v>
      </c>
      <c r="BD17" s="537">
        <f>Debt!BD$64</f>
        <v>2459.3066674840757</v>
      </c>
      <c r="BE17" s="537">
        <f>Debt!BE$64</f>
        <v>2424.1565365982565</v>
      </c>
      <c r="BF17" s="537">
        <f>Debt!BF$64</f>
        <v>2336.8538866332328</v>
      </c>
      <c r="BG17" s="537">
        <f>Debt!BG$64</f>
        <v>2326.0508370438638</v>
      </c>
      <c r="BH17" s="537">
        <f>Debt!BH$64</f>
        <v>2313.7771746652356</v>
      </c>
      <c r="BI17" s="537">
        <f>Debt!BI$64</f>
        <v>2275.8759601097127</v>
      </c>
      <c r="BJ17" s="537">
        <f>Debt!BJ$64</f>
        <v>2213.3737487287381</v>
      </c>
      <c r="BK17" s="537">
        <f>Debt!BK$64</f>
        <v>2173.9810776614172</v>
      </c>
      <c r="BL17" s="537">
        <f>Debt!BL$64</f>
        <v>2157.2768130159861</v>
      </c>
      <c r="BM17" s="537">
        <f>Debt!BM$64</f>
        <v>2116.3812263385985</v>
      </c>
      <c r="BN17" s="537">
        <f>Debt!BN$64</f>
        <v>2030.0395500648901</v>
      </c>
      <c r="BO17" s="537">
        <f>Debt!BO$64</f>
        <v>2009.983156764715</v>
      </c>
      <c r="BP17" s="537">
        <f>Debt!BP$64</f>
        <v>1988.1564901653285</v>
      </c>
      <c r="BQ17" s="537">
        <f>Debt!BQ$64</f>
        <v>1944.012302373925</v>
      </c>
      <c r="BR17" s="537">
        <f>Debt!BR$64</f>
        <v>1858.1843229695255</v>
      </c>
      <c r="BS17" s="537">
        <f>Debt!BS$64</f>
        <v>1832.1962417640807</v>
      </c>
      <c r="BT17" s="537">
        <f>Debt!BT$64</f>
        <v>1804.2498767046388</v>
      </c>
      <c r="BU17" s="537">
        <f>Debt!BU$64</f>
        <v>1755.8432288446147</v>
      </c>
      <c r="BV17" s="537">
        <f>Debt!BV$64</f>
        <v>1669.8690627171268</v>
      </c>
      <c r="BW17" s="537">
        <f>Debt!BW$64</f>
        <v>1640.1169509689614</v>
      </c>
      <c r="BX17" s="537">
        <f>Debt!BX$64</f>
        <v>1614.0018651556209</v>
      </c>
      <c r="BY17" s="537">
        <f>Debt!BY$64</f>
        <v>1569.6649310287287</v>
      </c>
      <c r="BZ17" s="537">
        <f>Debt!BZ$64</f>
        <v>1508.4481106644848</v>
      </c>
      <c r="CA17" s="537">
        <f>Debt!CA$64</f>
        <v>1462.8263602517413</v>
      </c>
      <c r="CB17" s="537">
        <f>Debt!CB$64</f>
        <v>1431.9689272614364</v>
      </c>
      <c r="CC17" s="537">
        <f>Debt!CC$64</f>
        <v>1385.0801850537471</v>
      </c>
      <c r="CD17" s="537">
        <f>Debt!CD$64</f>
        <v>1311.1291339199454</v>
      </c>
      <c r="CE17" s="537">
        <f>Debt!CE$64</f>
        <v>1280.1126269850974</v>
      </c>
      <c r="CF17" s="537">
        <f>Debt!CF$64</f>
        <v>1247.1828683229842</v>
      </c>
      <c r="CG17" s="537">
        <f>Debt!CG$64</f>
        <v>1199.8981758533134</v>
      </c>
      <c r="CH17" s="537">
        <f>Debt!CH$64</f>
        <v>1127.2598323887116</v>
      </c>
      <c r="CI17" s="537">
        <f>Debt!CI$64</f>
        <v>1091.4185398940576</v>
      </c>
      <c r="CJ17" s="537">
        <f>Debt!CJ$64</f>
        <v>1053.5203900289587</v>
      </c>
      <c r="CK17" s="537">
        <f>Debt!CK$64</f>
        <v>1003.2623053912324</v>
      </c>
      <c r="CL17" s="537">
        <f>Debt!CL$64</f>
        <v>931.93906223535828</v>
      </c>
      <c r="CM17" s="537">
        <f>Debt!CM$64</f>
        <v>886.97994256127174</v>
      </c>
      <c r="CN17" s="537">
        <f>Debt!CN$64</f>
        <v>839.68037994616066</v>
      </c>
      <c r="CO17" s="537">
        <f>Debt!CO$64</f>
        <v>782.13850520171934</v>
      </c>
      <c r="CP17" s="537">
        <f>Debt!CP$64</f>
        <v>716.2691110665894</v>
      </c>
      <c r="CQ17" s="537">
        <f>Debt!CQ$64</f>
        <v>661.39635897348455</v>
      </c>
      <c r="CR17" s="537">
        <f>Debt!CR$64</f>
        <v>612.27196199560819</v>
      </c>
      <c r="CS17" s="537">
        <f>Debt!CS$64</f>
        <v>555.17870853822558</v>
      </c>
      <c r="CT17" s="537">
        <f>Debt!CT$64</f>
        <v>486.80592604690918</v>
      </c>
      <c r="CU17" s="537">
        <f>Debt!CU$64</f>
        <v>433.95764378102621</v>
      </c>
      <c r="CV17" s="537">
        <f>Debt!CV$64</f>
        <v>378.57552483863145</v>
      </c>
      <c r="CW17" s="537">
        <f>Debt!CW$64</f>
        <v>317.80825911212753</v>
      </c>
      <c r="CX17" s="537">
        <f>Debt!CX$64</f>
        <v>250.94980569340035</v>
      </c>
      <c r="CY17" s="537">
        <f>Debt!CY$64</f>
        <v>191.78855906528543</v>
      </c>
      <c r="CZ17" s="537">
        <f>Debt!CZ$64</f>
        <v>129.9226319132481</v>
      </c>
      <c r="DA17" s="537">
        <f>Debt!DA$64</f>
        <v>65.245599622744237</v>
      </c>
      <c r="DB17" s="537">
        <f>Debt!DB$64</f>
        <v>0</v>
      </c>
      <c r="DC17" s="537">
        <f>Debt!DC$64</f>
        <v>0</v>
      </c>
      <c r="DD17" s="537">
        <f>Debt!DD$64</f>
        <v>0</v>
      </c>
      <c r="DE17" s="537">
        <f>Debt!DE$64</f>
        <v>0</v>
      </c>
      <c r="DF17" s="537">
        <f>Debt!DF$64</f>
        <v>0</v>
      </c>
      <c r="DG17" s="537">
        <f>Debt!DG$64</f>
        <v>0</v>
      </c>
      <c r="DH17" s="537">
        <f>Debt!DH$64</f>
        <v>0</v>
      </c>
      <c r="DI17" s="537">
        <f>Debt!DI$64</f>
        <v>0</v>
      </c>
      <c r="DJ17" s="537">
        <f>Debt!DJ$64</f>
        <v>0</v>
      </c>
      <c r="DK17" s="537">
        <f>Debt!DK$64</f>
        <v>0</v>
      </c>
      <c r="DL17" s="537">
        <f>Debt!DL$64</f>
        <v>0</v>
      </c>
      <c r="DM17" s="537">
        <f>Debt!DM$64</f>
        <v>0</v>
      </c>
      <c r="DN17" s="537">
        <f>Debt!DN$64</f>
        <v>0</v>
      </c>
      <c r="DO17" s="537">
        <f>Debt!DO$64</f>
        <v>0</v>
      </c>
      <c r="DP17" s="537">
        <f>Debt!DP$64</f>
        <v>0</v>
      </c>
      <c r="DQ17" s="537">
        <f>Debt!DQ$64</f>
        <v>0</v>
      </c>
      <c r="DR17" s="537">
        <f>Debt!DR$64</f>
        <v>0</v>
      </c>
      <c r="DS17" s="537">
        <f>Debt!DS$64</f>
        <v>0</v>
      </c>
      <c r="DT17" s="537">
        <f>Debt!DT$64</f>
        <v>0</v>
      </c>
      <c r="DU17" s="537">
        <f>Debt!DU$64</f>
        <v>0</v>
      </c>
      <c r="DV17" s="537">
        <f>Debt!DV$64</f>
        <v>0</v>
      </c>
      <c r="DW17" s="537">
        <f>Debt!DW$64</f>
        <v>0</v>
      </c>
      <c r="DX17" s="537">
        <f>Debt!DX$64</f>
        <v>0</v>
      </c>
      <c r="DY17" s="537">
        <f>Debt!DY$64</f>
        <v>0</v>
      </c>
      <c r="DZ17" s="537">
        <f>Debt!DZ$64</f>
        <v>0</v>
      </c>
      <c r="EA17" s="537">
        <f>Debt!EA$64</f>
        <v>0</v>
      </c>
      <c r="EB17" s="537">
        <f>Debt!EB$64</f>
        <v>0</v>
      </c>
      <c r="EC17" s="537">
        <f>Debt!EC$64</f>
        <v>0</v>
      </c>
      <c r="ED17" s="537">
        <f>Debt!ED$64</f>
        <v>0</v>
      </c>
      <c r="EE17" s="537">
        <f>Debt!EE$64</f>
        <v>0</v>
      </c>
      <c r="EF17" s="537">
        <f>Debt!EF$64</f>
        <v>0</v>
      </c>
      <c r="EG17" s="537">
        <f>Debt!EG$64</f>
        <v>0</v>
      </c>
    </row>
    <row r="18" spans="5:137" ht="12.75">
      <c r="E18" s="535" t="str">
        <f>Debt!E$190</f>
        <v>Junior facility - interest</v>
      </c>
      <c r="G18" s="537" t="str">
        <f>Debt!G$190</f>
        <v>EUR 000s</v>
      </c>
      <c r="H18" s="537">
        <f>Debt!H$190</f>
        <v>13943.397268295888</v>
      </c>
      <c r="J18" s="537">
        <f>Debt!J$190</f>
        <v>0</v>
      </c>
      <c r="K18" s="537">
        <f>Debt!K$190</f>
        <v>0</v>
      </c>
      <c r="L18" s="537">
        <f>Debt!L$190</f>
        <v>0</v>
      </c>
      <c r="M18" s="537">
        <f>Debt!M$190</f>
        <v>0</v>
      </c>
      <c r="N18" s="537">
        <f>Debt!N$190</f>
        <v>0</v>
      </c>
      <c r="O18" s="537">
        <f>Debt!O$190</f>
        <v>0</v>
      </c>
      <c r="P18" s="537">
        <f>Debt!P$190</f>
        <v>0</v>
      </c>
      <c r="Q18" s="537">
        <f>Debt!Q$190</f>
        <v>0</v>
      </c>
      <c r="R18" s="537">
        <f>Debt!R$190</f>
        <v>0</v>
      </c>
      <c r="S18" s="537">
        <f>Debt!S$190</f>
        <v>0</v>
      </c>
      <c r="T18" s="537">
        <f>Debt!T$190</f>
        <v>0</v>
      </c>
      <c r="U18" s="537">
        <f>Debt!U$190</f>
        <v>0</v>
      </c>
      <c r="V18" s="537">
        <f>Debt!V$190</f>
        <v>0</v>
      </c>
      <c r="W18" s="537">
        <f>Debt!W$190</f>
        <v>0</v>
      </c>
      <c r="X18" s="537">
        <f>Debt!X$190</f>
        <v>0</v>
      </c>
      <c r="Y18" s="537">
        <f>Debt!Y$190</f>
        <v>0</v>
      </c>
      <c r="Z18" s="537">
        <f>Debt!Z$190</f>
        <v>0</v>
      </c>
      <c r="AA18" s="537">
        <f>Debt!AA$190</f>
        <v>0</v>
      </c>
      <c r="AB18" s="537">
        <f>Debt!AB$190</f>
        <v>0</v>
      </c>
      <c r="AC18" s="537">
        <f>Debt!AC$190</f>
        <v>0</v>
      </c>
      <c r="AD18" s="537">
        <f>Debt!AD$190</f>
        <v>0</v>
      </c>
      <c r="AE18" s="537">
        <f>Debt!AE$190</f>
        <v>0</v>
      </c>
      <c r="AF18" s="537">
        <f>Debt!AF$190</f>
        <v>0</v>
      </c>
      <c r="AG18" s="537">
        <f>Debt!AG$190</f>
        <v>0</v>
      </c>
      <c r="AH18" s="537">
        <f>Debt!AH$190</f>
        <v>561.22797591530946</v>
      </c>
      <c r="AI18" s="537">
        <f>Debt!AI$190</f>
        <v>555.64167893281899</v>
      </c>
      <c r="AJ18" s="537">
        <f>Debt!AJ$190</f>
        <v>549.79555418370114</v>
      </c>
      <c r="AK18" s="537">
        <f>Debt!AK$190</f>
        <v>537.84347691883806</v>
      </c>
      <c r="AL18" s="537">
        <f>Debt!AL$190</f>
        <v>514.45897792236678</v>
      </c>
      <c r="AM18" s="537">
        <f>Debt!AM$190</f>
        <v>508.35302540662155</v>
      </c>
      <c r="AN18" s="537">
        <f>Debt!AN$190</f>
        <v>501.98724512424877</v>
      </c>
      <c r="AO18" s="537">
        <f>Debt!AO$190</f>
        <v>490.03516785938558</v>
      </c>
      <c r="AP18" s="537">
        <f>Debt!AP$190</f>
        <v>467.68997992942428</v>
      </c>
      <c r="AQ18" s="537">
        <f>Debt!AQ$190</f>
        <v>461.06437188042401</v>
      </c>
      <c r="AR18" s="537">
        <f>Debt!AR$190</f>
        <v>454.17893606479629</v>
      </c>
      <c r="AS18" s="537">
        <f>Debt!AS$190</f>
        <v>442.22685879993327</v>
      </c>
      <c r="AT18" s="537">
        <f>Debt!AT$190</f>
        <v>425.5978817357759</v>
      </c>
      <c r="AU18" s="537">
        <f>Debt!AU$190</f>
        <v>413.77571835422651</v>
      </c>
      <c r="AV18" s="537">
        <f>Debt!AV$190</f>
        <v>406.37062700534392</v>
      </c>
      <c r="AW18" s="537">
        <f>Debt!AW$190</f>
        <v>394.41854974048084</v>
      </c>
      <c r="AX18" s="537">
        <f>Debt!AX$190</f>
        <v>374.15198394353911</v>
      </c>
      <c r="AY18" s="537">
        <f>Debt!AY$190</f>
        <v>366.48706482802908</v>
      </c>
      <c r="AZ18" s="537">
        <f>Debt!AZ$190</f>
        <v>358.56231794589155</v>
      </c>
      <c r="BA18" s="537">
        <f>Debt!BA$190</f>
        <v>346.61024068102847</v>
      </c>
      <c r="BB18" s="537">
        <f>Debt!BB$190</f>
        <v>327.38298595059666</v>
      </c>
      <c r="BC18" s="537">
        <f>Debt!BC$190</f>
        <v>319.1984113018317</v>
      </c>
      <c r="BD18" s="537">
        <f>Debt!BD$190</f>
        <v>310.75400888643935</v>
      </c>
      <c r="BE18" s="537">
        <f>Debt!BE$190</f>
        <v>298.80193162157627</v>
      </c>
      <c r="BF18" s="537">
        <f>Debt!BF$190</f>
        <v>280.61398795765422</v>
      </c>
      <c r="BG18" s="537">
        <f>Debt!BG$190</f>
        <v>271.90975777563438</v>
      </c>
      <c r="BH18" s="537">
        <f>Debt!BH$190</f>
        <v>262.94569982698704</v>
      </c>
      <c r="BI18" s="537">
        <f>Debt!BI$190</f>
        <v>250.99362256212402</v>
      </c>
      <c r="BJ18" s="537">
        <f>Debt!BJ$190</f>
        <v>236.44326763098636</v>
      </c>
      <c r="BK18" s="537">
        <f>Debt!BK$190</f>
        <v>224.62110424943702</v>
      </c>
      <c r="BL18" s="537">
        <f>Debt!BL$190</f>
        <v>215.13739076753484</v>
      </c>
      <c r="BM18" s="537">
        <f>Debt!BM$190</f>
        <v>203.18531350267176</v>
      </c>
      <c r="BN18" s="537">
        <f>Debt!BN$190</f>
        <v>187.07599197176938</v>
      </c>
      <c r="BO18" s="537">
        <f>Debt!BO$190</f>
        <v>177.33245072323967</v>
      </c>
      <c r="BP18" s="537">
        <f>Debt!BP$190</f>
        <v>167.32908170808255</v>
      </c>
      <c r="BQ18" s="537">
        <f>Debt!BQ$190</f>
        <v>155.37700444321948</v>
      </c>
      <c r="BR18" s="537">
        <f>Debt!BR$190</f>
        <v>140.30699397882694</v>
      </c>
      <c r="BS18" s="537">
        <f>Debt!BS$190</f>
        <v>130.04379719704235</v>
      </c>
      <c r="BT18" s="537">
        <f>Debt!BT$190</f>
        <v>119.52077264863031</v>
      </c>
      <c r="BU18" s="537">
        <f>Debt!BU$190</f>
        <v>107.56869538376725</v>
      </c>
      <c r="BV18" s="537">
        <f>Debt!BV$190</f>
        <v>93.537995985884535</v>
      </c>
      <c r="BW18" s="537">
        <f>Debt!BW$190</f>
        <v>82.755143670845015</v>
      </c>
      <c r="BX18" s="537">
        <f>Debt!BX$190</f>
        <v>71.712463589178029</v>
      </c>
      <c r="BY18" s="537">
        <f>Debt!BY$190</f>
        <v>59.760386324314958</v>
      </c>
      <c r="BZ18" s="537">
        <f>Debt!BZ$190</f>
        <v>47.288653526196974</v>
      </c>
      <c r="CA18" s="537">
        <f>Debt!CA$190</f>
        <v>35.466490144647629</v>
      </c>
      <c r="CB18" s="537">
        <f>Debt!CB$190</f>
        <v>23.904154529725734</v>
      </c>
      <c r="CC18" s="537">
        <f>Debt!CC$190</f>
        <v>11.952077264862666</v>
      </c>
      <c r="CD18" s="537">
        <f>Debt!CD$190</f>
        <v>-3.9862031483869642E-13</v>
      </c>
      <c r="CE18" s="537">
        <f>Debt!CE$190</f>
        <v>-4.0304942944801527E-13</v>
      </c>
      <c r="CF18" s="537">
        <f>Debt!CF$190</f>
        <v>-4.0747854405733406E-13</v>
      </c>
      <c r="CG18" s="537">
        <f>Debt!CG$190</f>
        <v>-4.0747854405733406E-13</v>
      </c>
      <c r="CH18" s="537">
        <f>Debt!CH$190</f>
        <v>-3.9862031483869642E-13</v>
      </c>
      <c r="CI18" s="537">
        <f>Debt!CI$190</f>
        <v>-4.0304942944801527E-13</v>
      </c>
      <c r="CJ18" s="537">
        <f>Debt!CJ$190</f>
        <v>-4.0747854405733406E-13</v>
      </c>
      <c r="CK18" s="537">
        <f>Debt!CK$190</f>
        <v>-4.0747854405733406E-13</v>
      </c>
      <c r="CL18" s="537">
        <f>Debt!CL$190</f>
        <v>-3.9862031483869642E-13</v>
      </c>
      <c r="CM18" s="537">
        <f>Debt!CM$190</f>
        <v>-4.0304942944801527E-13</v>
      </c>
      <c r="CN18" s="537">
        <f>Debt!CN$190</f>
        <v>-4.0747854405733406E-13</v>
      </c>
      <c r="CO18" s="537">
        <f>Debt!CO$190</f>
        <v>-4.0747854405733406E-13</v>
      </c>
      <c r="CP18" s="537">
        <f>Debt!CP$190</f>
        <v>-4.0304942944801527E-13</v>
      </c>
      <c r="CQ18" s="537">
        <f>Debt!CQ$190</f>
        <v>-4.0304942944801527E-13</v>
      </c>
      <c r="CR18" s="537">
        <f>Debt!CR$190</f>
        <v>-4.0747854405733406E-13</v>
      </c>
      <c r="CS18" s="537">
        <f>Debt!CS$190</f>
        <v>-4.0747854405733406E-13</v>
      </c>
      <c r="CT18" s="537">
        <f>Debt!CT$190</f>
        <v>-3.9862031483869642E-13</v>
      </c>
      <c r="CU18" s="537">
        <f>Debt!CU$190</f>
        <v>-4.0304942944801527E-13</v>
      </c>
      <c r="CV18" s="537">
        <f>Debt!CV$190</f>
        <v>-4.0747854405733406E-13</v>
      </c>
      <c r="CW18" s="537">
        <f>Debt!CW$190</f>
        <v>-4.0747854405733406E-13</v>
      </c>
      <c r="CX18" s="537">
        <f>Debt!CX$190</f>
        <v>-3.9862031483869642E-13</v>
      </c>
      <c r="CY18" s="537">
        <f>Debt!CY$190</f>
        <v>-4.0304942944801527E-13</v>
      </c>
      <c r="CZ18" s="537">
        <f>Debt!CZ$190</f>
        <v>-4.0747854405733406E-13</v>
      </c>
      <c r="DA18" s="537">
        <f>Debt!DA$190</f>
        <v>-4.0747854405733406E-13</v>
      </c>
      <c r="DB18" s="537">
        <f>Debt!DB$190</f>
        <v>-3.9862031483869642E-13</v>
      </c>
      <c r="DC18" s="537">
        <f>Debt!DC$190</f>
        <v>-4.0304942944801527E-13</v>
      </c>
      <c r="DD18" s="537">
        <f>Debt!DD$190</f>
        <v>-4.0747854405733406E-13</v>
      </c>
      <c r="DE18" s="537">
        <f>Debt!DE$190</f>
        <v>-4.0747854405733406E-13</v>
      </c>
      <c r="DF18" s="537">
        <f>Debt!DF$190</f>
        <v>-4.0304942944801527E-13</v>
      </c>
      <c r="DG18" s="537">
        <f>Debt!DG$190</f>
        <v>-4.0304942944801527E-13</v>
      </c>
      <c r="DH18" s="537">
        <f>Debt!DH$190</f>
        <v>-4.0747854405733406E-13</v>
      </c>
      <c r="DI18" s="537">
        <f>Debt!DI$190</f>
        <v>-4.0747854405733406E-13</v>
      </c>
      <c r="DJ18" s="537">
        <f>Debt!DJ$190</f>
        <v>-3.9862031483869642E-13</v>
      </c>
      <c r="DK18" s="537">
        <f>Debt!DK$190</f>
        <v>-4.0304942944801527E-13</v>
      </c>
      <c r="DL18" s="537">
        <f>Debt!DL$190</f>
        <v>-4.0747854405733406E-13</v>
      </c>
      <c r="DM18" s="537">
        <f>Debt!DM$190</f>
        <v>-4.0747854405733406E-13</v>
      </c>
      <c r="DN18" s="537">
        <f>Debt!DN$190</f>
        <v>-3.9862031483869642E-13</v>
      </c>
      <c r="DO18" s="537">
        <f>Debt!DO$190</f>
        <v>-4.0304942944801527E-13</v>
      </c>
      <c r="DP18" s="537">
        <f>Debt!DP$190</f>
        <v>-4.0747854405733406E-13</v>
      </c>
      <c r="DQ18" s="537">
        <f>Debt!DQ$190</f>
        <v>-4.0747854405733406E-13</v>
      </c>
      <c r="DR18" s="537">
        <f>Debt!DR$190</f>
        <v>-3.9862031483869642E-13</v>
      </c>
      <c r="DS18" s="537">
        <f>Debt!DS$190</f>
        <v>-4.0304942944801527E-13</v>
      </c>
      <c r="DT18" s="537">
        <f>Debt!DT$190</f>
        <v>-4.0747854405733406E-13</v>
      </c>
      <c r="DU18" s="537">
        <f>Debt!DU$190</f>
        <v>-4.0747854405733406E-13</v>
      </c>
      <c r="DV18" s="537">
        <f>Debt!DV$190</f>
        <v>-4.0304942944801527E-13</v>
      </c>
      <c r="DW18" s="537">
        <f>Debt!DW$190</f>
        <v>-4.0304942944801527E-13</v>
      </c>
      <c r="DX18" s="537">
        <f>Debt!DX$190</f>
        <v>-4.0747854405733406E-13</v>
      </c>
      <c r="DY18" s="537">
        <f>Debt!DY$190</f>
        <v>-4.0747854405733406E-13</v>
      </c>
      <c r="DZ18" s="537">
        <f>Debt!DZ$190</f>
        <v>-3.9862031483869642E-13</v>
      </c>
      <c r="EA18" s="537">
        <f>Debt!EA$190</f>
        <v>-4.0304942944801527E-13</v>
      </c>
      <c r="EB18" s="537">
        <f>Debt!EB$190</f>
        <v>-4.0747854405733406E-13</v>
      </c>
      <c r="EC18" s="537">
        <f>Debt!EC$190</f>
        <v>-4.0747854405733406E-13</v>
      </c>
      <c r="ED18" s="537">
        <f>Debt!ED$190</f>
        <v>0</v>
      </c>
      <c r="EE18" s="537">
        <f>Debt!EE$190</f>
        <v>0</v>
      </c>
      <c r="EF18" s="537">
        <f>Debt!EF$190</f>
        <v>0</v>
      </c>
      <c r="EG18" s="537">
        <f>Debt!EG$190</f>
        <v>0</v>
      </c>
    </row>
    <row r="19" spans="5:137" ht="12.75">
      <c r="E19" s="535" t="str">
        <f>Reserves!E$31</f>
        <v>DSRF - fee on the facility</v>
      </c>
      <c r="G19" s="537" t="str">
        <f>Reserves!G$31</f>
        <v>EUR 000s</v>
      </c>
      <c r="H19" s="537">
        <f>Reserves!H$31</f>
        <v>0</v>
      </c>
      <c r="J19" s="537">
        <f>Reserves!J$31</f>
        <v>0</v>
      </c>
      <c r="K19" s="537">
        <f>Reserves!K$31</f>
        <v>0</v>
      </c>
      <c r="L19" s="537">
        <f>Reserves!L$31</f>
        <v>0</v>
      </c>
      <c r="M19" s="537">
        <f>Reserves!M$31</f>
        <v>0</v>
      </c>
      <c r="N19" s="537">
        <f>Reserves!N$31</f>
        <v>0</v>
      </c>
      <c r="O19" s="537">
        <f>Reserves!O$31</f>
        <v>0</v>
      </c>
      <c r="P19" s="537">
        <f>Reserves!P$31</f>
        <v>0</v>
      </c>
      <c r="Q19" s="537">
        <f>Reserves!Q$31</f>
        <v>0</v>
      </c>
      <c r="R19" s="537">
        <f>Reserves!R$31</f>
        <v>0</v>
      </c>
      <c r="S19" s="537">
        <f>Reserves!S$31</f>
        <v>0</v>
      </c>
      <c r="T19" s="537">
        <f>Reserves!T$31</f>
        <v>0</v>
      </c>
      <c r="U19" s="537">
        <f>Reserves!U$31</f>
        <v>0</v>
      </c>
      <c r="V19" s="537">
        <f>Reserves!V$31</f>
        <v>0</v>
      </c>
      <c r="W19" s="537">
        <f>Reserves!W$31</f>
        <v>0</v>
      </c>
      <c r="X19" s="537">
        <f>Reserves!X$31</f>
        <v>0</v>
      </c>
      <c r="Y19" s="537">
        <f>Reserves!Y$31</f>
        <v>0</v>
      </c>
      <c r="Z19" s="537">
        <f>Reserves!Z$31</f>
        <v>0</v>
      </c>
      <c r="AA19" s="537">
        <f>Reserves!AA$31</f>
        <v>0</v>
      </c>
      <c r="AB19" s="537">
        <f>Reserves!AB$31</f>
        <v>0</v>
      </c>
      <c r="AC19" s="537">
        <f>Reserves!AC$31</f>
        <v>0</v>
      </c>
      <c r="AD19" s="537">
        <f>Reserves!AD$31</f>
        <v>0</v>
      </c>
      <c r="AE19" s="537">
        <f>Reserves!AE$31</f>
        <v>0</v>
      </c>
      <c r="AF19" s="537">
        <f>Reserves!AF$31</f>
        <v>0</v>
      </c>
      <c r="AG19" s="537">
        <f>Reserves!AG$31</f>
        <v>0</v>
      </c>
      <c r="AH19" s="537">
        <f>Reserves!AH$31</f>
        <v>0</v>
      </c>
      <c r="AI19" s="537">
        <f>Reserves!AI$31</f>
        <v>0</v>
      </c>
      <c r="AJ19" s="537">
        <f>Reserves!AJ$31</f>
        <v>0</v>
      </c>
      <c r="AK19" s="537">
        <f>Reserves!AK$31</f>
        <v>0</v>
      </c>
      <c r="AL19" s="537">
        <f>Reserves!AL$31</f>
        <v>0</v>
      </c>
      <c r="AM19" s="537">
        <f>Reserves!AM$31</f>
        <v>0</v>
      </c>
      <c r="AN19" s="537">
        <f>Reserves!AN$31</f>
        <v>0</v>
      </c>
      <c r="AO19" s="537">
        <f>Reserves!AO$31</f>
        <v>0</v>
      </c>
      <c r="AP19" s="537">
        <f>Reserves!AP$31</f>
        <v>0</v>
      </c>
      <c r="AQ19" s="537">
        <f>Reserves!AQ$31</f>
        <v>0</v>
      </c>
      <c r="AR19" s="537">
        <f>Reserves!AR$31</f>
        <v>0</v>
      </c>
      <c r="AS19" s="537">
        <f>Reserves!AS$31</f>
        <v>0</v>
      </c>
      <c r="AT19" s="537">
        <f>Reserves!AT$31</f>
        <v>0</v>
      </c>
      <c r="AU19" s="537">
        <f>Reserves!AU$31</f>
        <v>0</v>
      </c>
      <c r="AV19" s="537">
        <f>Reserves!AV$31</f>
        <v>0</v>
      </c>
      <c r="AW19" s="537">
        <f>Reserves!AW$31</f>
        <v>0</v>
      </c>
      <c r="AX19" s="537">
        <f>Reserves!AX$31</f>
        <v>0</v>
      </c>
      <c r="AY19" s="537">
        <f>Reserves!AY$31</f>
        <v>0</v>
      </c>
      <c r="AZ19" s="537">
        <f>Reserves!AZ$31</f>
        <v>0</v>
      </c>
      <c r="BA19" s="537">
        <f>Reserves!BA$31</f>
        <v>0</v>
      </c>
      <c r="BB19" s="537">
        <f>Reserves!BB$31</f>
        <v>0</v>
      </c>
      <c r="BC19" s="537">
        <f>Reserves!BC$31</f>
        <v>0</v>
      </c>
      <c r="BD19" s="537">
        <f>Reserves!BD$31</f>
        <v>0</v>
      </c>
      <c r="BE19" s="537">
        <f>Reserves!BE$31</f>
        <v>0</v>
      </c>
      <c r="BF19" s="537">
        <f>Reserves!BF$31</f>
        <v>0</v>
      </c>
      <c r="BG19" s="537">
        <f>Reserves!BG$31</f>
        <v>0</v>
      </c>
      <c r="BH19" s="537">
        <f>Reserves!BH$31</f>
        <v>0</v>
      </c>
      <c r="BI19" s="537">
        <f>Reserves!BI$31</f>
        <v>0</v>
      </c>
      <c r="BJ19" s="537">
        <f>Reserves!BJ$31</f>
        <v>0</v>
      </c>
      <c r="BK19" s="537">
        <f>Reserves!BK$31</f>
        <v>0</v>
      </c>
      <c r="BL19" s="537">
        <f>Reserves!BL$31</f>
        <v>0</v>
      </c>
      <c r="BM19" s="537">
        <f>Reserves!BM$31</f>
        <v>0</v>
      </c>
      <c r="BN19" s="537">
        <f>Reserves!BN$31</f>
        <v>0</v>
      </c>
      <c r="BO19" s="537">
        <f>Reserves!BO$31</f>
        <v>0</v>
      </c>
      <c r="BP19" s="537">
        <f>Reserves!BP$31</f>
        <v>0</v>
      </c>
      <c r="BQ19" s="537">
        <f>Reserves!BQ$31</f>
        <v>0</v>
      </c>
      <c r="BR19" s="537">
        <f>Reserves!BR$31</f>
        <v>0</v>
      </c>
      <c r="BS19" s="537">
        <f>Reserves!BS$31</f>
        <v>0</v>
      </c>
      <c r="BT19" s="537">
        <f>Reserves!BT$31</f>
        <v>0</v>
      </c>
      <c r="BU19" s="537">
        <f>Reserves!BU$31</f>
        <v>0</v>
      </c>
      <c r="BV19" s="537">
        <f>Reserves!BV$31</f>
        <v>0</v>
      </c>
      <c r="BW19" s="537">
        <f>Reserves!BW$31</f>
        <v>0</v>
      </c>
      <c r="BX19" s="537">
        <f>Reserves!BX$31</f>
        <v>0</v>
      </c>
      <c r="BY19" s="537">
        <f>Reserves!BY$31</f>
        <v>0</v>
      </c>
      <c r="BZ19" s="537">
        <f>Reserves!BZ$31</f>
        <v>0</v>
      </c>
      <c r="CA19" s="537">
        <f>Reserves!CA$31</f>
        <v>0</v>
      </c>
      <c r="CB19" s="537">
        <f>Reserves!CB$31</f>
        <v>0</v>
      </c>
      <c r="CC19" s="537">
        <f>Reserves!CC$31</f>
        <v>0</v>
      </c>
      <c r="CD19" s="537">
        <f>Reserves!CD$31</f>
        <v>0</v>
      </c>
      <c r="CE19" s="537">
        <f>Reserves!CE$31</f>
        <v>0</v>
      </c>
      <c r="CF19" s="537">
        <f>Reserves!CF$31</f>
        <v>0</v>
      </c>
      <c r="CG19" s="537">
        <f>Reserves!CG$31</f>
        <v>0</v>
      </c>
      <c r="CH19" s="537">
        <f>Reserves!CH$31</f>
        <v>0</v>
      </c>
      <c r="CI19" s="537">
        <f>Reserves!CI$31</f>
        <v>0</v>
      </c>
      <c r="CJ19" s="537">
        <f>Reserves!CJ$31</f>
        <v>0</v>
      </c>
      <c r="CK19" s="537">
        <f>Reserves!CK$31</f>
        <v>0</v>
      </c>
      <c r="CL19" s="537">
        <f>Reserves!CL$31</f>
        <v>0</v>
      </c>
      <c r="CM19" s="537">
        <f>Reserves!CM$31</f>
        <v>0</v>
      </c>
      <c r="CN19" s="537">
        <f>Reserves!CN$31</f>
        <v>0</v>
      </c>
      <c r="CO19" s="537">
        <f>Reserves!CO$31</f>
        <v>0</v>
      </c>
      <c r="CP19" s="537">
        <f>Reserves!CP$31</f>
        <v>0</v>
      </c>
      <c r="CQ19" s="537">
        <f>Reserves!CQ$31</f>
        <v>0</v>
      </c>
      <c r="CR19" s="537">
        <f>Reserves!CR$31</f>
        <v>0</v>
      </c>
      <c r="CS19" s="537">
        <f>Reserves!CS$31</f>
        <v>0</v>
      </c>
      <c r="CT19" s="537">
        <f>Reserves!CT$31</f>
        <v>0</v>
      </c>
      <c r="CU19" s="537">
        <f>Reserves!CU$31</f>
        <v>0</v>
      </c>
      <c r="CV19" s="537">
        <f>Reserves!CV$31</f>
        <v>0</v>
      </c>
      <c r="CW19" s="537">
        <f>Reserves!CW$31</f>
        <v>0</v>
      </c>
      <c r="CX19" s="537">
        <f>Reserves!CX$31</f>
        <v>0</v>
      </c>
      <c r="CY19" s="537">
        <f>Reserves!CY$31</f>
        <v>0</v>
      </c>
      <c r="CZ19" s="537">
        <f>Reserves!CZ$31</f>
        <v>0</v>
      </c>
      <c r="DA19" s="537">
        <f>Reserves!DA$31</f>
        <v>0</v>
      </c>
      <c r="DB19" s="537">
        <f>Reserves!DB$31</f>
        <v>0</v>
      </c>
      <c r="DC19" s="537">
        <f>Reserves!DC$31</f>
        <v>0</v>
      </c>
      <c r="DD19" s="537">
        <f>Reserves!DD$31</f>
        <v>0</v>
      </c>
      <c r="DE19" s="537">
        <f>Reserves!DE$31</f>
        <v>0</v>
      </c>
      <c r="DF19" s="537">
        <f>Reserves!DF$31</f>
        <v>0</v>
      </c>
      <c r="DG19" s="537">
        <f>Reserves!DG$31</f>
        <v>0</v>
      </c>
      <c r="DH19" s="537">
        <f>Reserves!DH$31</f>
        <v>0</v>
      </c>
      <c r="DI19" s="537">
        <f>Reserves!DI$31</f>
        <v>0</v>
      </c>
      <c r="DJ19" s="537">
        <f>Reserves!DJ$31</f>
        <v>0</v>
      </c>
      <c r="DK19" s="537">
        <f>Reserves!DK$31</f>
        <v>0</v>
      </c>
      <c r="DL19" s="537">
        <f>Reserves!DL$31</f>
        <v>0</v>
      </c>
      <c r="DM19" s="537">
        <f>Reserves!DM$31</f>
        <v>0</v>
      </c>
      <c r="DN19" s="537">
        <f>Reserves!DN$31</f>
        <v>0</v>
      </c>
      <c r="DO19" s="537">
        <f>Reserves!DO$31</f>
        <v>0</v>
      </c>
      <c r="DP19" s="537">
        <f>Reserves!DP$31</f>
        <v>0</v>
      </c>
      <c r="DQ19" s="537">
        <f>Reserves!DQ$31</f>
        <v>0</v>
      </c>
      <c r="DR19" s="537">
        <f>Reserves!DR$31</f>
        <v>0</v>
      </c>
      <c r="DS19" s="537">
        <f>Reserves!DS$31</f>
        <v>0</v>
      </c>
      <c r="DT19" s="537">
        <f>Reserves!DT$31</f>
        <v>0</v>
      </c>
      <c r="DU19" s="537">
        <f>Reserves!DU$31</f>
        <v>0</v>
      </c>
      <c r="DV19" s="537">
        <f>Reserves!DV$31</f>
        <v>0</v>
      </c>
      <c r="DW19" s="537">
        <f>Reserves!DW$31</f>
        <v>0</v>
      </c>
      <c r="DX19" s="537">
        <f>Reserves!DX$31</f>
        <v>0</v>
      </c>
      <c r="DY19" s="537">
        <f>Reserves!DY$31</f>
        <v>0</v>
      </c>
      <c r="DZ19" s="537">
        <f>Reserves!DZ$31</f>
        <v>0</v>
      </c>
      <c r="EA19" s="537">
        <f>Reserves!EA$31</f>
        <v>0</v>
      </c>
      <c r="EB19" s="537">
        <f>Reserves!EB$31</f>
        <v>0</v>
      </c>
      <c r="EC19" s="537">
        <f>Reserves!EC$31</f>
        <v>0</v>
      </c>
      <c r="ED19" s="537">
        <f>Reserves!ED$31</f>
        <v>0</v>
      </c>
      <c r="EE19" s="537">
        <f>Reserves!EE$31</f>
        <v>0</v>
      </c>
      <c r="EF19" s="537">
        <f>Reserves!EF$31</f>
        <v>0</v>
      </c>
      <c r="EG19" s="537">
        <f>Reserves!EG$31</f>
        <v>0</v>
      </c>
    </row>
    <row r="20" spans="5:137" ht="12.75">
      <c r="E20" s="535" t="str">
        <f>Time!E$91</f>
        <v>Operating period flag</v>
      </c>
      <c r="G20" s="537" t="str">
        <f>Time!G$91</f>
        <v>flag</v>
      </c>
      <c r="H20" s="537">
        <f>Time!H$91</f>
        <v>100</v>
      </c>
      <c r="J20" s="537">
        <f>Time!J$91</f>
        <v>0</v>
      </c>
      <c r="K20" s="537">
        <f>Time!K$91</f>
        <v>0</v>
      </c>
      <c r="L20" s="537">
        <f>Time!L$91</f>
        <v>0</v>
      </c>
      <c r="M20" s="537">
        <f>Time!M$91</f>
        <v>0</v>
      </c>
      <c r="N20" s="537">
        <f>Time!N$91</f>
        <v>0</v>
      </c>
      <c r="O20" s="537">
        <f>Time!O$91</f>
        <v>0</v>
      </c>
      <c r="P20" s="537">
        <f>Time!P$91</f>
        <v>0</v>
      </c>
      <c r="Q20" s="537">
        <f>Time!Q$91</f>
        <v>0</v>
      </c>
      <c r="R20" s="537">
        <f>Time!R$91</f>
        <v>0</v>
      </c>
      <c r="S20" s="537">
        <f>Time!S$91</f>
        <v>0</v>
      </c>
      <c r="T20" s="537">
        <f>Time!T$91</f>
        <v>0</v>
      </c>
      <c r="U20" s="537">
        <f>Time!U$91</f>
        <v>0</v>
      </c>
      <c r="V20" s="537">
        <f>Time!V$91</f>
        <v>0</v>
      </c>
      <c r="W20" s="537">
        <f>Time!W$91</f>
        <v>0</v>
      </c>
      <c r="X20" s="537">
        <f>Time!X$91</f>
        <v>0</v>
      </c>
      <c r="Y20" s="537">
        <f>Time!Y$91</f>
        <v>0</v>
      </c>
      <c r="Z20" s="537">
        <f>Time!Z$91</f>
        <v>0</v>
      </c>
      <c r="AA20" s="537">
        <f>Time!AA$91</f>
        <v>0</v>
      </c>
      <c r="AB20" s="537">
        <f>Time!AB$91</f>
        <v>0</v>
      </c>
      <c r="AC20" s="537">
        <f>Time!AC$91</f>
        <v>0</v>
      </c>
      <c r="AD20" s="537">
        <f>Time!AD$91</f>
        <v>0</v>
      </c>
      <c r="AE20" s="537">
        <f>Time!AE$91</f>
        <v>0</v>
      </c>
      <c r="AF20" s="537">
        <f>Time!AF$91</f>
        <v>0</v>
      </c>
      <c r="AG20" s="537">
        <f>Time!AG$91</f>
        <v>0</v>
      </c>
      <c r="AH20" s="537">
        <f>Time!AH$91</f>
        <v>1</v>
      </c>
      <c r="AI20" s="537">
        <f>Time!AI$91</f>
        <v>1</v>
      </c>
      <c r="AJ20" s="537">
        <f>Time!AJ$91</f>
        <v>1</v>
      </c>
      <c r="AK20" s="537">
        <f>Time!AK$91</f>
        <v>1</v>
      </c>
      <c r="AL20" s="537">
        <f>Time!AL$91</f>
        <v>1</v>
      </c>
      <c r="AM20" s="537">
        <f>Time!AM$91</f>
        <v>1</v>
      </c>
      <c r="AN20" s="537">
        <f>Time!AN$91</f>
        <v>1</v>
      </c>
      <c r="AO20" s="537">
        <f>Time!AO$91</f>
        <v>1</v>
      </c>
      <c r="AP20" s="537">
        <f>Time!AP$91</f>
        <v>1</v>
      </c>
      <c r="AQ20" s="537">
        <f>Time!AQ$91</f>
        <v>1</v>
      </c>
      <c r="AR20" s="537">
        <f>Time!AR$91</f>
        <v>1</v>
      </c>
      <c r="AS20" s="537">
        <f>Time!AS$91</f>
        <v>1</v>
      </c>
      <c r="AT20" s="537">
        <f>Time!AT$91</f>
        <v>1</v>
      </c>
      <c r="AU20" s="537">
        <f>Time!AU$91</f>
        <v>1</v>
      </c>
      <c r="AV20" s="537">
        <f>Time!AV$91</f>
        <v>1</v>
      </c>
      <c r="AW20" s="537">
        <f>Time!AW$91</f>
        <v>1</v>
      </c>
      <c r="AX20" s="537">
        <f>Time!AX$91</f>
        <v>1</v>
      </c>
      <c r="AY20" s="537">
        <f>Time!AY$91</f>
        <v>1</v>
      </c>
      <c r="AZ20" s="537">
        <f>Time!AZ$91</f>
        <v>1</v>
      </c>
      <c r="BA20" s="537">
        <f>Time!BA$91</f>
        <v>1</v>
      </c>
      <c r="BB20" s="537">
        <f>Time!BB$91</f>
        <v>1</v>
      </c>
      <c r="BC20" s="537">
        <f>Time!BC$91</f>
        <v>1</v>
      </c>
      <c r="BD20" s="537">
        <f>Time!BD$91</f>
        <v>1</v>
      </c>
      <c r="BE20" s="537">
        <f>Time!BE$91</f>
        <v>1</v>
      </c>
      <c r="BF20" s="537">
        <f>Time!BF$91</f>
        <v>1</v>
      </c>
      <c r="BG20" s="537">
        <f>Time!BG$91</f>
        <v>1</v>
      </c>
      <c r="BH20" s="537">
        <f>Time!BH$91</f>
        <v>1</v>
      </c>
      <c r="BI20" s="537">
        <f>Time!BI$91</f>
        <v>1</v>
      </c>
      <c r="BJ20" s="537">
        <f>Time!BJ$91</f>
        <v>1</v>
      </c>
      <c r="BK20" s="537">
        <f>Time!BK$91</f>
        <v>1</v>
      </c>
      <c r="BL20" s="537">
        <f>Time!BL$91</f>
        <v>1</v>
      </c>
      <c r="BM20" s="537">
        <f>Time!BM$91</f>
        <v>1</v>
      </c>
      <c r="BN20" s="537">
        <f>Time!BN$91</f>
        <v>1</v>
      </c>
      <c r="BO20" s="537">
        <f>Time!BO$91</f>
        <v>1</v>
      </c>
      <c r="BP20" s="537">
        <f>Time!BP$91</f>
        <v>1</v>
      </c>
      <c r="BQ20" s="537">
        <f>Time!BQ$91</f>
        <v>1</v>
      </c>
      <c r="BR20" s="537">
        <f>Time!BR$91</f>
        <v>1</v>
      </c>
      <c r="BS20" s="537">
        <f>Time!BS$91</f>
        <v>1</v>
      </c>
      <c r="BT20" s="537">
        <f>Time!BT$91</f>
        <v>1</v>
      </c>
      <c r="BU20" s="537">
        <f>Time!BU$91</f>
        <v>1</v>
      </c>
      <c r="BV20" s="537">
        <f>Time!BV$91</f>
        <v>1</v>
      </c>
      <c r="BW20" s="537">
        <f>Time!BW$91</f>
        <v>1</v>
      </c>
      <c r="BX20" s="537">
        <f>Time!BX$91</f>
        <v>1</v>
      </c>
      <c r="BY20" s="537">
        <f>Time!BY$91</f>
        <v>1</v>
      </c>
      <c r="BZ20" s="537">
        <f>Time!BZ$91</f>
        <v>1</v>
      </c>
      <c r="CA20" s="537">
        <f>Time!CA$91</f>
        <v>1</v>
      </c>
      <c r="CB20" s="537">
        <f>Time!CB$91</f>
        <v>1</v>
      </c>
      <c r="CC20" s="537">
        <f>Time!CC$91</f>
        <v>1</v>
      </c>
      <c r="CD20" s="537">
        <f>Time!CD$91</f>
        <v>1</v>
      </c>
      <c r="CE20" s="537">
        <f>Time!CE$91</f>
        <v>1</v>
      </c>
      <c r="CF20" s="537">
        <f>Time!CF$91</f>
        <v>1</v>
      </c>
      <c r="CG20" s="537">
        <f>Time!CG$91</f>
        <v>1</v>
      </c>
      <c r="CH20" s="537">
        <f>Time!CH$91</f>
        <v>1</v>
      </c>
      <c r="CI20" s="537">
        <f>Time!CI$91</f>
        <v>1</v>
      </c>
      <c r="CJ20" s="537">
        <f>Time!CJ$91</f>
        <v>1</v>
      </c>
      <c r="CK20" s="537">
        <f>Time!CK$91</f>
        <v>1</v>
      </c>
      <c r="CL20" s="537">
        <f>Time!CL$91</f>
        <v>1</v>
      </c>
      <c r="CM20" s="537">
        <f>Time!CM$91</f>
        <v>1</v>
      </c>
      <c r="CN20" s="537">
        <f>Time!CN$91</f>
        <v>1</v>
      </c>
      <c r="CO20" s="537">
        <f>Time!CO$91</f>
        <v>1</v>
      </c>
      <c r="CP20" s="537">
        <f>Time!CP$91</f>
        <v>1</v>
      </c>
      <c r="CQ20" s="537">
        <f>Time!CQ$91</f>
        <v>1</v>
      </c>
      <c r="CR20" s="537">
        <f>Time!CR$91</f>
        <v>1</v>
      </c>
      <c r="CS20" s="537">
        <f>Time!CS$91</f>
        <v>1</v>
      </c>
      <c r="CT20" s="537">
        <f>Time!CT$91</f>
        <v>1</v>
      </c>
      <c r="CU20" s="537">
        <f>Time!CU$91</f>
        <v>1</v>
      </c>
      <c r="CV20" s="537">
        <f>Time!CV$91</f>
        <v>1</v>
      </c>
      <c r="CW20" s="537">
        <f>Time!CW$91</f>
        <v>1</v>
      </c>
      <c r="CX20" s="537">
        <f>Time!CX$91</f>
        <v>1</v>
      </c>
      <c r="CY20" s="537">
        <f>Time!CY$91</f>
        <v>1</v>
      </c>
      <c r="CZ20" s="537">
        <f>Time!CZ$91</f>
        <v>1</v>
      </c>
      <c r="DA20" s="537">
        <f>Time!DA$91</f>
        <v>1</v>
      </c>
      <c r="DB20" s="537">
        <f>Time!DB$91</f>
        <v>1</v>
      </c>
      <c r="DC20" s="537">
        <f>Time!DC$91</f>
        <v>1</v>
      </c>
      <c r="DD20" s="537">
        <f>Time!DD$91</f>
        <v>1</v>
      </c>
      <c r="DE20" s="537">
        <f>Time!DE$91</f>
        <v>1</v>
      </c>
      <c r="DF20" s="537">
        <f>Time!DF$91</f>
        <v>1</v>
      </c>
      <c r="DG20" s="537">
        <f>Time!DG$91</f>
        <v>1</v>
      </c>
      <c r="DH20" s="537">
        <f>Time!DH$91</f>
        <v>1</v>
      </c>
      <c r="DI20" s="537">
        <f>Time!DI$91</f>
        <v>1</v>
      </c>
      <c r="DJ20" s="537">
        <f>Time!DJ$91</f>
        <v>1</v>
      </c>
      <c r="DK20" s="537">
        <f>Time!DK$91</f>
        <v>1</v>
      </c>
      <c r="DL20" s="537">
        <f>Time!DL$91</f>
        <v>1</v>
      </c>
      <c r="DM20" s="537">
        <f>Time!DM$91</f>
        <v>1</v>
      </c>
      <c r="DN20" s="537">
        <f>Time!DN$91</f>
        <v>1</v>
      </c>
      <c r="DO20" s="537">
        <f>Time!DO$91</f>
        <v>1</v>
      </c>
      <c r="DP20" s="537">
        <f>Time!DP$91</f>
        <v>1</v>
      </c>
      <c r="DQ20" s="537">
        <f>Time!DQ$91</f>
        <v>1</v>
      </c>
      <c r="DR20" s="537">
        <f>Time!DR$91</f>
        <v>1</v>
      </c>
      <c r="DS20" s="537">
        <f>Time!DS$91</f>
        <v>1</v>
      </c>
      <c r="DT20" s="537">
        <f>Time!DT$91</f>
        <v>1</v>
      </c>
      <c r="DU20" s="537">
        <f>Time!DU$91</f>
        <v>1</v>
      </c>
      <c r="DV20" s="537">
        <f>Time!DV$91</f>
        <v>1</v>
      </c>
      <c r="DW20" s="537">
        <f>Time!DW$91</f>
        <v>1</v>
      </c>
      <c r="DX20" s="537">
        <f>Time!DX$91</f>
        <v>1</v>
      </c>
      <c r="DY20" s="537">
        <f>Time!DY$91</f>
        <v>1</v>
      </c>
      <c r="DZ20" s="537">
        <f>Time!DZ$91</f>
        <v>1</v>
      </c>
      <c r="EA20" s="537">
        <f>Time!EA$91</f>
        <v>1</v>
      </c>
      <c r="EB20" s="537">
        <f>Time!EB$91</f>
        <v>1</v>
      </c>
      <c r="EC20" s="537">
        <f>Time!EC$91</f>
        <v>1</v>
      </c>
      <c r="ED20" s="537">
        <f>Time!ED$91</f>
        <v>0</v>
      </c>
      <c r="EE20" s="537">
        <f>Time!EE$91</f>
        <v>0</v>
      </c>
      <c r="EF20" s="537">
        <f>Time!EF$91</f>
        <v>0</v>
      </c>
      <c r="EG20" s="537">
        <f>Time!EG$91</f>
        <v>0</v>
      </c>
    </row>
    <row r="21" spans="5:137" ht="12.75">
      <c r="E21" s="538" t="s">
        <v>432</v>
      </c>
      <c r="G21" s="539" t="s">
        <v>30</v>
      </c>
      <c r="H21" s="539">
        <f>SUM(J21:EG21)</f>
        <v>159361.69121785057</v>
      </c>
      <c r="J21" s="539">
        <f t="shared" si="1" ref="J21:EG21">(J17+J18+J16+J15+J19)*J20</f>
        <v>0</v>
      </c>
      <c r="K21" s="539">
        <f t="shared" si="1"/>
        <v>0</v>
      </c>
      <c r="L21" s="539">
        <f t="shared" si="1"/>
        <v>0</v>
      </c>
      <c r="M21" s="539">
        <f t="shared" si="1"/>
        <v>0</v>
      </c>
      <c r="N21" s="539">
        <f t="shared" si="1"/>
        <v>0</v>
      </c>
      <c r="O21" s="539">
        <f t="shared" si="1"/>
        <v>0</v>
      </c>
      <c r="P21" s="539">
        <f t="shared" si="1"/>
        <v>0</v>
      </c>
      <c r="Q21" s="539">
        <f t="shared" si="1"/>
        <v>0</v>
      </c>
      <c r="R21" s="539">
        <f t="shared" si="1"/>
        <v>0</v>
      </c>
      <c r="S21" s="539">
        <f t="shared" si="1"/>
        <v>0</v>
      </c>
      <c r="T21" s="539">
        <f t="shared" si="1"/>
        <v>0</v>
      </c>
      <c r="U21" s="539">
        <f t="shared" si="1"/>
        <v>0</v>
      </c>
      <c r="V21" s="539">
        <f t="shared" si="1"/>
        <v>0</v>
      </c>
      <c r="W21" s="539">
        <f t="shared" si="1"/>
        <v>0</v>
      </c>
      <c r="X21" s="539">
        <f t="shared" si="1"/>
        <v>0</v>
      </c>
      <c r="Y21" s="539">
        <f t="shared" si="1"/>
        <v>0</v>
      </c>
      <c r="Z21" s="539">
        <f t="shared" si="1"/>
        <v>0</v>
      </c>
      <c r="AA21" s="539">
        <f t="shared" si="1"/>
        <v>0</v>
      </c>
      <c r="AB21" s="539">
        <f t="shared" si="1"/>
        <v>0</v>
      </c>
      <c r="AC21" s="539">
        <f t="shared" si="1"/>
        <v>0</v>
      </c>
      <c r="AD21" s="539">
        <f t="shared" si="1"/>
        <v>0</v>
      </c>
      <c r="AE21" s="539">
        <f t="shared" si="1"/>
        <v>0</v>
      </c>
      <c r="AF21" s="539">
        <f t="shared" si="1"/>
        <v>0</v>
      </c>
      <c r="AG21" s="539">
        <f t="shared" si="1"/>
        <v>0</v>
      </c>
      <c r="AH21" s="539">
        <f t="shared" si="1"/>
        <v>3818.5377622950368</v>
      </c>
      <c r="AI21" s="539">
        <f t="shared" si="1"/>
        <v>3805.475556850728</v>
      </c>
      <c r="AJ21" s="539">
        <f t="shared" si="1"/>
        <v>3812.7537883600598</v>
      </c>
      <c r="AK21" s="539">
        <f t="shared" si="1"/>
        <v>3778.3644465197799</v>
      </c>
      <c r="AL21" s="539">
        <f t="shared" si="1"/>
        <v>3662.4182112901822</v>
      </c>
      <c r="AM21" s="539">
        <f t="shared" si="1"/>
        <v>3667.0471541310144</v>
      </c>
      <c r="AN21" s="539">
        <f t="shared" si="1"/>
        <v>3670.4080614811378</v>
      </c>
      <c r="AO21" s="539">
        <f t="shared" si="1"/>
        <v>3633.5755226074234</v>
      </c>
      <c r="AP21" s="539">
        <f t="shared" si="1"/>
        <v>3518.3553194870756</v>
      </c>
      <c r="AQ21" s="539">
        <f t="shared" si="1"/>
        <v>3518.9163008027535</v>
      </c>
      <c r="AR21" s="539">
        <f t="shared" si="1"/>
        <v>3518.1001685253595</v>
      </c>
      <c r="AS21" s="539">
        <f t="shared" si="1"/>
        <v>3478.6677371610199</v>
      </c>
      <c r="AT21" s="539">
        <f t="shared" si="1"/>
        <v>3401.6185560232188</v>
      </c>
      <c r="AU21" s="539">
        <f t="shared" si="1"/>
        <v>3360.7294771009601</v>
      </c>
      <c r="AV21" s="539">
        <f t="shared" si="1"/>
        <v>3355.6171458844474</v>
      </c>
      <c r="AW21" s="539">
        <f t="shared" si="1"/>
        <v>3313.4249183629477</v>
      </c>
      <c r="AX21" s="539">
        <f t="shared" si="1"/>
        <v>3199.8825477538444</v>
      </c>
      <c r="AY21" s="539">
        <f t="shared" si="1"/>
        <v>3191.4979506524296</v>
      </c>
      <c r="AZ21" s="539">
        <f t="shared" si="1"/>
        <v>3181.4966383751907</v>
      </c>
      <c r="BA21" s="539">
        <f t="shared" si="1"/>
        <v>3136.3641806980377</v>
      </c>
      <c r="BB21" s="539">
        <f t="shared" si="1"/>
        <v>3023.7588974297396</v>
      </c>
      <c r="BC21" s="539">
        <f t="shared" si="1"/>
        <v>3011.326822507398</v>
      </c>
      <c r="BD21" s="539">
        <f t="shared" si="1"/>
        <v>2997.3038686974037</v>
      </c>
      <c r="BE21" s="539">
        <f t="shared" si="1"/>
        <v>2950.2016605467215</v>
      </c>
      <c r="BF21" s="539">
        <f t="shared" si="1"/>
        <v>2839.7709975193652</v>
      </c>
      <c r="BG21" s="539">
        <f t="shared" si="1"/>
        <v>2822.7337524471814</v>
      </c>
      <c r="BH21" s="539">
        <f t="shared" si="1"/>
        <v>2803.9660668191113</v>
      </c>
      <c r="BI21" s="539">
        <f t="shared" si="1"/>
        <v>2754.1127749987254</v>
      </c>
      <c r="BJ21" s="539">
        <f t="shared" si="1"/>
        <v>2674.590173987408</v>
      </c>
      <c r="BK21" s="539">
        <f t="shared" si="1"/>
        <v>2623.3753395385374</v>
      </c>
      <c r="BL21" s="539">
        <f t="shared" si="1"/>
        <v>2599.6573961104095</v>
      </c>
      <c r="BM21" s="539">
        <f t="shared" si="1"/>
        <v>2546.8097321681589</v>
      </c>
      <c r="BN21" s="539">
        <f t="shared" si="1"/>
        <v>2439.4186649651379</v>
      </c>
      <c r="BO21" s="539">
        <f t="shared" si="1"/>
        <v>2412.0887651156381</v>
      </c>
      <c r="BP21" s="539">
        <f t="shared" si="1"/>
        <v>2382.7287642002998</v>
      </c>
      <c r="BQ21" s="539">
        <f t="shared" si="1"/>
        <v>2326.6324991440333</v>
      </c>
      <c r="BR21" s="539">
        <f t="shared" si="1"/>
        <v>2220.7944398768309</v>
      </c>
      <c r="BS21" s="539">
        <f t="shared" si="1"/>
        <v>2187.0131965888067</v>
      </c>
      <c r="BT21" s="539">
        <f t="shared" si="1"/>
        <v>2151.0138416801578</v>
      </c>
      <c r="BU21" s="539">
        <f t="shared" si="1"/>
        <v>2090.6551165552705</v>
      </c>
      <c r="BV21" s="539">
        <f t="shared" si="1"/>
        <v>1985.7101816314894</v>
      </c>
      <c r="BW21" s="539">
        <f t="shared" si="1"/>
        <v>1947.6452522674899</v>
      </c>
      <c r="BX21" s="539">
        <f t="shared" si="1"/>
        <v>1912.9575210716878</v>
      </c>
      <c r="BY21" s="539">
        <f t="shared" si="1"/>
        <v>1856.6685096799326</v>
      </c>
      <c r="BZ21" s="539">
        <f t="shared" si="1"/>
        <v>1780.5099218183652</v>
      </c>
      <c r="CA21" s="539">
        <f t="shared" si="1"/>
        <v>1723.0660080240725</v>
      </c>
      <c r="CB21" s="539">
        <f t="shared" si="1"/>
        <v>1683.116274118051</v>
      </c>
      <c r="CC21" s="539">
        <f t="shared" si="1"/>
        <v>1624.2754546454987</v>
      </c>
      <c r="CD21" s="539">
        <f t="shared" si="1"/>
        <v>1533.4322568484231</v>
      </c>
      <c r="CE21" s="539">
        <f t="shared" si="1"/>
        <v>1504.8857846127805</v>
      </c>
      <c r="CF21" s="539">
        <f t="shared" si="1"/>
        <v>1474.4260606498726</v>
      </c>
      <c r="CG21" s="539">
        <f t="shared" si="1"/>
        <v>1427.1413681802019</v>
      </c>
      <c r="CH21" s="539">
        <f t="shared" si="1"/>
        <v>1349.5629553171893</v>
      </c>
      <c r="CI21" s="539">
        <f t="shared" si="1"/>
        <v>1316.1916975217407</v>
      </c>
      <c r="CJ21" s="539">
        <f t="shared" si="1"/>
        <v>1280.7635823558471</v>
      </c>
      <c r="CK21" s="539">
        <f t="shared" si="1"/>
        <v>1230.5054977181208</v>
      </c>
      <c r="CL21" s="539">
        <f t="shared" si="1"/>
        <v>1154.242185163836</v>
      </c>
      <c r="CM21" s="539">
        <f t="shared" si="1"/>
        <v>1111.7531001889547</v>
      </c>
      <c r="CN21" s="539">
        <f t="shared" si="1"/>
        <v>1066.9235722730491</v>
      </c>
      <c r="CO21" s="539">
        <f t="shared" si="1"/>
        <v>1009.3816975286077</v>
      </c>
      <c r="CP21" s="539">
        <f t="shared" si="1"/>
        <v>941.04226869427248</v>
      </c>
      <c r="CQ21" s="539">
        <f t="shared" si="1"/>
        <v>886.16951660116763</v>
      </c>
      <c r="CR21" s="539">
        <f t="shared" si="1"/>
        <v>839.51515432249653</v>
      </c>
      <c r="CS21" s="539">
        <f t="shared" si="1"/>
        <v>782.42190086511391</v>
      </c>
      <c r="CT21" s="539">
        <f t="shared" si="1"/>
        <v>709.10904897538694</v>
      </c>
      <c r="CU21" s="539">
        <f t="shared" si="1"/>
        <v>658.73080140870934</v>
      </c>
      <c r="CV21" s="539">
        <f t="shared" si="1"/>
        <v>605.81871716551984</v>
      </c>
      <c r="CW21" s="539">
        <f t="shared" si="1"/>
        <v>545.05145143901598</v>
      </c>
      <c r="CX21" s="539">
        <f t="shared" si="1"/>
        <v>473.25292862187814</v>
      </c>
      <c r="CY21" s="539">
        <f t="shared" si="1"/>
        <v>416.56171669296856</v>
      </c>
      <c r="CZ21" s="539">
        <f t="shared" si="1"/>
        <v>357.16582424013654</v>
      </c>
      <c r="DA21" s="539">
        <f t="shared" si="1"/>
        <v>292.48879194963263</v>
      </c>
      <c r="DB21" s="539">
        <f t="shared" si="1"/>
        <v>-3.9862031483869642E-13</v>
      </c>
      <c r="DC21" s="539">
        <f t="shared" si="1"/>
        <v>-4.0304942944801527E-13</v>
      </c>
      <c r="DD21" s="539">
        <f t="shared" si="1"/>
        <v>-4.0747854405733406E-13</v>
      </c>
      <c r="DE21" s="539">
        <f t="shared" si="1"/>
        <v>-4.0747854405733406E-13</v>
      </c>
      <c r="DF21" s="539">
        <f t="shared" si="1"/>
        <v>-4.0304942944801527E-13</v>
      </c>
      <c r="DG21" s="539">
        <f t="shared" si="1"/>
        <v>-4.0304942944801527E-13</v>
      </c>
      <c r="DH21" s="539">
        <f t="shared" si="1"/>
        <v>-4.0747854405733406E-13</v>
      </c>
      <c r="DI21" s="539">
        <f t="shared" si="1"/>
        <v>-4.0747854405733406E-13</v>
      </c>
      <c r="DJ21" s="539">
        <f t="shared" si="1"/>
        <v>-3.9862031483869642E-13</v>
      </c>
      <c r="DK21" s="539">
        <f t="shared" si="1"/>
        <v>-4.0304942944801527E-13</v>
      </c>
      <c r="DL21" s="539">
        <f t="shared" si="1"/>
        <v>-4.0747854405733406E-13</v>
      </c>
      <c r="DM21" s="539">
        <f t="shared" si="1"/>
        <v>-4.0747854405733406E-13</v>
      </c>
      <c r="DN21" s="539">
        <f t="shared" si="1"/>
        <v>-3.9862031483869642E-13</v>
      </c>
      <c r="DO21" s="539">
        <f t="shared" si="1"/>
        <v>-4.0304942944801527E-13</v>
      </c>
      <c r="DP21" s="539">
        <f t="shared" si="1"/>
        <v>-4.0747854405733406E-13</v>
      </c>
      <c r="DQ21" s="539">
        <f t="shared" si="1"/>
        <v>-4.0747854405733406E-13</v>
      </c>
      <c r="DR21" s="539">
        <f t="shared" si="1"/>
        <v>-3.9862031483869642E-13</v>
      </c>
      <c r="DS21" s="539">
        <f t="shared" si="1"/>
        <v>-4.0304942944801527E-13</v>
      </c>
      <c r="DT21" s="539">
        <f t="shared" si="1"/>
        <v>-4.0747854405733406E-13</v>
      </c>
      <c r="DU21" s="539">
        <f t="shared" si="1"/>
        <v>-4.0747854405733406E-13</v>
      </c>
      <c r="DV21" s="539">
        <f t="shared" si="1"/>
        <v>-4.0304942944801527E-13</v>
      </c>
      <c r="DW21" s="539">
        <f t="shared" si="1"/>
        <v>-4.0304942944801527E-13</v>
      </c>
      <c r="DX21" s="539">
        <f t="shared" si="1"/>
        <v>-4.0747854405733406E-13</v>
      </c>
      <c r="DY21" s="539">
        <f t="shared" si="1"/>
        <v>-4.0747854405733406E-13</v>
      </c>
      <c r="DZ21" s="539">
        <f t="shared" si="1"/>
        <v>-3.9862031483869642E-13</v>
      </c>
      <c r="EA21" s="539">
        <f t="shared" si="1"/>
        <v>-4.0304942944801527E-13</v>
      </c>
      <c r="EB21" s="539">
        <f t="shared" si="1"/>
        <v>-4.0747854405733406E-13</v>
      </c>
      <c r="EC21" s="539">
        <f t="shared" si="1"/>
        <v>-4.0747854405733406E-13</v>
      </c>
      <c r="ED21" s="539">
        <f t="shared" si="1"/>
        <v>0</v>
      </c>
      <c r="EE21" s="539">
        <f t="shared" si="1"/>
        <v>0</v>
      </c>
      <c r="EF21" s="539">
        <f t="shared" si="1"/>
        <v>0</v>
      </c>
      <c r="EG21" s="539">
        <f t="shared" si="1"/>
        <v>0</v>
      </c>
    </row>
    <row r="23" spans="5:7" ht="12.75">
      <c r="E23" s="535" t="str">
        <f>InpC!E$119</f>
        <v>Tax - interest cap share of tax EBITDA</v>
      </c>
      <c r="F23" s="542">
        <f>InpC!F$119</f>
        <v>0.29999999999999999</v>
      </c>
      <c r="G23" s="542" t="str">
        <f>InpC!G$119</f>
        <v>%</v>
      </c>
    </row>
    <row r="24" spans="5:137" ht="12.75">
      <c r="E24" s="538" t="str">
        <f>E$13</f>
        <v>Tax EBITDA - after maintenance expensed</v>
      </c>
      <c r="G24" s="539" t="str">
        <f>G$13</f>
        <v>EUR 000s</v>
      </c>
      <c r="H24" s="539">
        <f>H$13</f>
        <v>1081157.2515638513</v>
      </c>
      <c r="J24" s="539">
        <f t="shared" si="2" ref="J24:EG24">J$13</f>
        <v>0</v>
      </c>
      <c r="K24" s="539">
        <f t="shared" si="2"/>
        <v>0</v>
      </c>
      <c r="L24" s="539">
        <f t="shared" si="2"/>
        <v>0</v>
      </c>
      <c r="M24" s="539">
        <f t="shared" si="2"/>
        <v>0</v>
      </c>
      <c r="N24" s="539">
        <f t="shared" si="2"/>
        <v>0</v>
      </c>
      <c r="O24" s="539">
        <f t="shared" si="2"/>
        <v>0</v>
      </c>
      <c r="P24" s="539">
        <f t="shared" si="2"/>
        <v>0</v>
      </c>
      <c r="Q24" s="539">
        <f t="shared" si="2"/>
        <v>0</v>
      </c>
      <c r="R24" s="539">
        <f t="shared" si="2"/>
        <v>0</v>
      </c>
      <c r="S24" s="539">
        <f t="shared" si="2"/>
        <v>0</v>
      </c>
      <c r="T24" s="539">
        <f t="shared" si="2"/>
        <v>0</v>
      </c>
      <c r="U24" s="539">
        <f t="shared" si="2"/>
        <v>0</v>
      </c>
      <c r="V24" s="539">
        <f t="shared" si="2"/>
        <v>0</v>
      </c>
      <c r="W24" s="539">
        <f t="shared" si="2"/>
        <v>0</v>
      </c>
      <c r="X24" s="539">
        <f t="shared" si="2"/>
        <v>0</v>
      </c>
      <c r="Y24" s="539">
        <f t="shared" si="2"/>
        <v>0</v>
      </c>
      <c r="Z24" s="539">
        <f t="shared" si="2"/>
        <v>0</v>
      </c>
      <c r="AA24" s="539">
        <f t="shared" si="2"/>
        <v>0</v>
      </c>
      <c r="AB24" s="539">
        <f t="shared" si="2"/>
        <v>0</v>
      </c>
      <c r="AC24" s="539">
        <f t="shared" si="2"/>
        <v>0</v>
      </c>
      <c r="AD24" s="539">
        <f t="shared" si="2"/>
        <v>0</v>
      </c>
      <c r="AE24" s="539">
        <f t="shared" si="2"/>
        <v>0</v>
      </c>
      <c r="AF24" s="539">
        <f t="shared" si="2"/>
        <v>0</v>
      </c>
      <c r="AG24" s="539">
        <f t="shared" si="2"/>
        <v>0</v>
      </c>
      <c r="AH24" s="539">
        <f t="shared" si="2"/>
        <v>8995.9009374999987</v>
      </c>
      <c r="AI24" s="539">
        <f t="shared" si="2"/>
        <v>8995.9009374999987</v>
      </c>
      <c r="AJ24" s="539">
        <f t="shared" si="2"/>
        <v>8995.9009374999987</v>
      </c>
      <c r="AK24" s="539">
        <f t="shared" si="2"/>
        <v>8995.9009374999987</v>
      </c>
      <c r="AL24" s="539">
        <f t="shared" si="2"/>
        <v>9153.9256359374995</v>
      </c>
      <c r="AM24" s="539">
        <f t="shared" si="2"/>
        <v>9153.9256359374995</v>
      </c>
      <c r="AN24" s="539">
        <f t="shared" si="2"/>
        <v>9153.9256359374995</v>
      </c>
      <c r="AO24" s="539">
        <f t="shared" si="2"/>
        <v>9153.9256359374995</v>
      </c>
      <c r="AP24" s="539">
        <f t="shared" si="2"/>
        <v>9314.5471890859371</v>
      </c>
      <c r="AQ24" s="539">
        <f t="shared" si="2"/>
        <v>9314.5471890859371</v>
      </c>
      <c r="AR24" s="539">
        <f t="shared" si="2"/>
        <v>9314.5471890859371</v>
      </c>
      <c r="AS24" s="539">
        <f t="shared" si="2"/>
        <v>9314.5471890859371</v>
      </c>
      <c r="AT24" s="539">
        <f t="shared" si="2"/>
        <v>9477.8014538705866</v>
      </c>
      <c r="AU24" s="539">
        <f t="shared" si="2"/>
        <v>9477.8014538705866</v>
      </c>
      <c r="AV24" s="539">
        <f t="shared" si="2"/>
        <v>9477.8014538705866</v>
      </c>
      <c r="AW24" s="539">
        <f t="shared" si="2"/>
        <v>9477.8014538705866</v>
      </c>
      <c r="AX24" s="539">
        <f t="shared" si="2"/>
        <v>7904.1844153560414</v>
      </c>
      <c r="AY24" s="539">
        <f t="shared" si="2"/>
        <v>7904.1844153560414</v>
      </c>
      <c r="AZ24" s="539">
        <f t="shared" si="2"/>
        <v>7904.1844153560414</v>
      </c>
      <c r="BA24" s="539">
        <f t="shared" si="2"/>
        <v>7904.1844153560414</v>
      </c>
      <c r="BB24" s="539">
        <f t="shared" si="2"/>
        <v>9812.3528151198025</v>
      </c>
      <c r="BC24" s="539">
        <f t="shared" si="2"/>
        <v>9812.3528151198025</v>
      </c>
      <c r="BD24" s="539">
        <f t="shared" si="2"/>
        <v>9812.3528151198025</v>
      </c>
      <c r="BE24" s="539">
        <f t="shared" si="2"/>
        <v>9812.3528151198025</v>
      </c>
      <c r="BF24" s="539">
        <f t="shared" si="2"/>
        <v>9983.7228692843601</v>
      </c>
      <c r="BG24" s="539">
        <f t="shared" si="2"/>
        <v>9983.7228692843601</v>
      </c>
      <c r="BH24" s="539">
        <f t="shared" si="2"/>
        <v>9983.7228692843601</v>
      </c>
      <c r="BI24" s="539">
        <f t="shared" si="2"/>
        <v>9983.7228692843601</v>
      </c>
      <c r="BJ24" s="539">
        <f t="shared" si="2"/>
        <v>10157.871532362169</v>
      </c>
      <c r="BK24" s="539">
        <f t="shared" si="2"/>
        <v>10157.871532362169</v>
      </c>
      <c r="BL24" s="539">
        <f t="shared" si="2"/>
        <v>10157.871532362169</v>
      </c>
      <c r="BM24" s="539">
        <f t="shared" si="2"/>
        <v>10157.871532362169</v>
      </c>
      <c r="BN24" s="539">
        <f t="shared" si="2"/>
        <v>10334.835850713753</v>
      </c>
      <c r="BO24" s="539">
        <f t="shared" si="2"/>
        <v>10334.835850713753</v>
      </c>
      <c r="BP24" s="539">
        <f t="shared" si="2"/>
        <v>10334.835850713753</v>
      </c>
      <c r="BQ24" s="539">
        <f t="shared" si="2"/>
        <v>10334.835850713753</v>
      </c>
      <c r="BR24" s="539">
        <f t="shared" si="2"/>
        <v>8546.5230925990891</v>
      </c>
      <c r="BS24" s="539">
        <f t="shared" si="2"/>
        <v>8546.5230925990891</v>
      </c>
      <c r="BT24" s="539">
        <f t="shared" si="2"/>
        <v>8546.5230925990891</v>
      </c>
      <c r="BU24" s="539">
        <f t="shared" si="2"/>
        <v>8546.5230925990891</v>
      </c>
      <c r="BV24" s="539">
        <f t="shared" si="2"/>
        <v>10697.360670475582</v>
      </c>
      <c r="BW24" s="539">
        <f t="shared" si="2"/>
        <v>10697.360670475582</v>
      </c>
      <c r="BX24" s="539">
        <f t="shared" si="2"/>
        <v>10697.360670475582</v>
      </c>
      <c r="BY24" s="539">
        <f t="shared" si="2"/>
        <v>10697.360670475582</v>
      </c>
      <c r="BZ24" s="539">
        <f t="shared" si="2"/>
        <v>10882.996262096458</v>
      </c>
      <c r="CA24" s="539">
        <f t="shared" si="2"/>
        <v>10882.996262096458</v>
      </c>
      <c r="CB24" s="539">
        <f t="shared" si="2"/>
        <v>10882.996262096458</v>
      </c>
      <c r="CC24" s="539">
        <f t="shared" si="2"/>
        <v>10882.996262096458</v>
      </c>
      <c r="CD24" s="539">
        <f t="shared" si="2"/>
        <v>11071.597664949615</v>
      </c>
      <c r="CE24" s="539">
        <f t="shared" si="2"/>
        <v>11071.597664949615</v>
      </c>
      <c r="CF24" s="539">
        <f t="shared" si="2"/>
        <v>11071.597664949615</v>
      </c>
      <c r="CG24" s="539">
        <f t="shared" si="2"/>
        <v>11071.597664949615</v>
      </c>
      <c r="CH24" s="539">
        <f t="shared" si="2"/>
        <v>11263.202849443021</v>
      </c>
      <c r="CI24" s="539">
        <f t="shared" si="2"/>
        <v>11263.202849443021</v>
      </c>
      <c r="CJ24" s="539">
        <f t="shared" si="2"/>
        <v>11263.202849443021</v>
      </c>
      <c r="CK24" s="539">
        <f t="shared" si="2"/>
        <v>11263.202849443021</v>
      </c>
      <c r="CL24" s="539">
        <f t="shared" si="2"/>
        <v>9231.0915005575098</v>
      </c>
      <c r="CM24" s="539">
        <f t="shared" si="2"/>
        <v>9231.0915005575098</v>
      </c>
      <c r="CN24" s="539">
        <f t="shared" si="2"/>
        <v>9231.0915005575098</v>
      </c>
      <c r="CO24" s="539">
        <f t="shared" si="2"/>
        <v>9231.0915005575098</v>
      </c>
      <c r="CP24" s="539">
        <f t="shared" si="2"/>
        <v>11655.577157960166</v>
      </c>
      <c r="CQ24" s="539">
        <f t="shared" si="2"/>
        <v>11655.577157960166</v>
      </c>
      <c r="CR24" s="539">
        <f t="shared" si="2"/>
        <v>11655.577157960166</v>
      </c>
      <c r="CS24" s="539">
        <f t="shared" si="2"/>
        <v>11655.577157960166</v>
      </c>
      <c r="CT24" s="539">
        <f t="shared" si="2"/>
        <v>11856.422890442294</v>
      </c>
      <c r="CU24" s="539">
        <f t="shared" si="2"/>
        <v>11856.422890442294</v>
      </c>
      <c r="CV24" s="539">
        <f t="shared" si="2"/>
        <v>11856.422890442294</v>
      </c>
      <c r="CW24" s="539">
        <f t="shared" si="2"/>
        <v>11856.422890442294</v>
      </c>
      <c r="CX24" s="539">
        <f t="shared" si="2"/>
        <v>12060.42558933012</v>
      </c>
      <c r="CY24" s="539">
        <f t="shared" si="2"/>
        <v>12060.42558933012</v>
      </c>
      <c r="CZ24" s="539">
        <f t="shared" si="2"/>
        <v>12060.42558933012</v>
      </c>
      <c r="DA24" s="539">
        <f t="shared" si="2"/>
        <v>12060.42558933012</v>
      </c>
      <c r="DB24" s="539">
        <f t="shared" si="2"/>
        <v>12267.623796156346</v>
      </c>
      <c r="DC24" s="539">
        <f t="shared" si="2"/>
        <v>12267.623796156346</v>
      </c>
      <c r="DD24" s="539">
        <f t="shared" si="2"/>
        <v>12267.623796156346</v>
      </c>
      <c r="DE24" s="539">
        <f t="shared" si="2"/>
        <v>12267.623796156346</v>
      </c>
      <c r="DF24" s="539">
        <f t="shared" si="2"/>
        <v>9958.6833384202964</v>
      </c>
      <c r="DG24" s="539">
        <f t="shared" si="2"/>
        <v>9958.6833384202964</v>
      </c>
      <c r="DH24" s="539">
        <f t="shared" si="2"/>
        <v>9958.6833384202964</v>
      </c>
      <c r="DI24" s="539">
        <f t="shared" si="2"/>
        <v>9958.6833384202964</v>
      </c>
      <c r="DJ24" s="539">
        <f t="shared" si="2"/>
        <v>12691.761195091425</v>
      </c>
      <c r="DK24" s="539">
        <f t="shared" si="2"/>
        <v>12691.761195091425</v>
      </c>
      <c r="DL24" s="539">
        <f t="shared" si="2"/>
        <v>12691.761195091425</v>
      </c>
      <c r="DM24" s="539">
        <f t="shared" si="2"/>
        <v>12691.761195091425</v>
      </c>
      <c r="DN24" s="539">
        <f t="shared" si="2"/>
        <v>12908.777706935271</v>
      </c>
      <c r="DO24" s="539">
        <f t="shared" si="2"/>
        <v>12908.777706935271</v>
      </c>
      <c r="DP24" s="539">
        <f t="shared" si="2"/>
        <v>12908.777706935271</v>
      </c>
      <c r="DQ24" s="539">
        <f t="shared" si="2"/>
        <v>12908.777706935271</v>
      </c>
      <c r="DR24" s="539">
        <f t="shared" si="2"/>
        <v>13129.144324751487</v>
      </c>
      <c r="DS24" s="539">
        <f t="shared" si="2"/>
        <v>13129.144324751487</v>
      </c>
      <c r="DT24" s="539">
        <f t="shared" si="2"/>
        <v>13129.144324751487</v>
      </c>
      <c r="DU24" s="539">
        <f t="shared" si="2"/>
        <v>13129.144324751487</v>
      </c>
      <c r="DV24" s="539">
        <f t="shared" si="2"/>
        <v>13352.899702359024</v>
      </c>
      <c r="DW24" s="539">
        <f t="shared" si="2"/>
        <v>13352.899702359024</v>
      </c>
      <c r="DX24" s="539">
        <f t="shared" si="2"/>
        <v>13352.899702359024</v>
      </c>
      <c r="DY24" s="539">
        <f t="shared" si="2"/>
        <v>13352.899702359024</v>
      </c>
      <c r="DZ24" s="539">
        <f t="shared" si="2"/>
        <v>13580.082450164866</v>
      </c>
      <c r="EA24" s="539">
        <f t="shared" si="2"/>
        <v>13580.082450164866</v>
      </c>
      <c r="EB24" s="539">
        <f t="shared" si="2"/>
        <v>13580.082450164866</v>
      </c>
      <c r="EC24" s="539">
        <f t="shared" si="2"/>
        <v>13580.082450164866</v>
      </c>
      <c r="ED24" s="539">
        <f t="shared" si="2"/>
        <v>0</v>
      </c>
      <c r="EE24" s="539">
        <f t="shared" si="2"/>
        <v>0</v>
      </c>
      <c r="EF24" s="539">
        <f t="shared" si="2"/>
        <v>0</v>
      </c>
      <c r="EG24" s="539">
        <f t="shared" si="2"/>
        <v>0</v>
      </c>
    </row>
    <row r="25" spans="5:137" ht="12.75">
      <c r="E25" s="538" t="s">
        <v>433</v>
      </c>
      <c r="G25" s="539" t="s">
        <v>30</v>
      </c>
      <c r="H25" s="539">
        <f>SUM(J25:EG25)</f>
        <v>324347.17546915525</v>
      </c>
      <c r="J25" s="539">
        <f t="shared" si="3" ref="J25:EG25">MAX(0,J24)*$F23</f>
        <v>0</v>
      </c>
      <c r="K25" s="539">
        <f t="shared" si="3"/>
        <v>0</v>
      </c>
      <c r="L25" s="539">
        <f t="shared" si="3"/>
        <v>0</v>
      </c>
      <c r="M25" s="539">
        <f t="shared" si="3"/>
        <v>0</v>
      </c>
      <c r="N25" s="539">
        <f t="shared" si="3"/>
        <v>0</v>
      </c>
      <c r="O25" s="539">
        <f t="shared" si="3"/>
        <v>0</v>
      </c>
      <c r="P25" s="539">
        <f t="shared" si="3"/>
        <v>0</v>
      </c>
      <c r="Q25" s="539">
        <f t="shared" si="3"/>
        <v>0</v>
      </c>
      <c r="R25" s="539">
        <f t="shared" si="3"/>
        <v>0</v>
      </c>
      <c r="S25" s="539">
        <f t="shared" si="3"/>
        <v>0</v>
      </c>
      <c r="T25" s="539">
        <f t="shared" si="3"/>
        <v>0</v>
      </c>
      <c r="U25" s="539">
        <f t="shared" si="3"/>
        <v>0</v>
      </c>
      <c r="V25" s="539">
        <f t="shared" si="3"/>
        <v>0</v>
      </c>
      <c r="W25" s="539">
        <f t="shared" si="3"/>
        <v>0</v>
      </c>
      <c r="X25" s="539">
        <f t="shared" si="3"/>
        <v>0</v>
      </c>
      <c r="Y25" s="539">
        <f t="shared" si="3"/>
        <v>0</v>
      </c>
      <c r="Z25" s="539">
        <f t="shared" si="3"/>
        <v>0</v>
      </c>
      <c r="AA25" s="539">
        <f t="shared" si="3"/>
        <v>0</v>
      </c>
      <c r="AB25" s="539">
        <f t="shared" si="3"/>
        <v>0</v>
      </c>
      <c r="AC25" s="539">
        <f t="shared" si="3"/>
        <v>0</v>
      </c>
      <c r="AD25" s="539">
        <f t="shared" si="3"/>
        <v>0</v>
      </c>
      <c r="AE25" s="539">
        <f t="shared" si="3"/>
        <v>0</v>
      </c>
      <c r="AF25" s="539">
        <f t="shared" si="3"/>
        <v>0</v>
      </c>
      <c r="AG25" s="539">
        <f t="shared" si="3"/>
        <v>0</v>
      </c>
      <c r="AH25" s="539">
        <f t="shared" si="3"/>
        <v>2698.7702812499997</v>
      </c>
      <c r="AI25" s="539">
        <f t="shared" si="3"/>
        <v>2698.7702812499997</v>
      </c>
      <c r="AJ25" s="539">
        <f t="shared" si="3"/>
        <v>2698.7702812499997</v>
      </c>
      <c r="AK25" s="539">
        <f t="shared" si="3"/>
        <v>2698.7702812499997</v>
      </c>
      <c r="AL25" s="539">
        <f t="shared" si="3"/>
        <v>2746.1776907812496</v>
      </c>
      <c r="AM25" s="539">
        <f t="shared" si="3"/>
        <v>2746.1776907812496</v>
      </c>
      <c r="AN25" s="539">
        <f t="shared" si="3"/>
        <v>2746.1776907812496</v>
      </c>
      <c r="AO25" s="539">
        <f t="shared" si="3"/>
        <v>2746.1776907812496</v>
      </c>
      <c r="AP25" s="539">
        <f t="shared" si="3"/>
        <v>2794.364156725781</v>
      </c>
      <c r="AQ25" s="539">
        <f t="shared" si="3"/>
        <v>2794.364156725781</v>
      </c>
      <c r="AR25" s="539">
        <f t="shared" si="3"/>
        <v>2794.364156725781</v>
      </c>
      <c r="AS25" s="539">
        <f t="shared" si="3"/>
        <v>2794.364156725781</v>
      </c>
      <c r="AT25" s="539">
        <f t="shared" si="3"/>
        <v>2843.3404361611761</v>
      </c>
      <c r="AU25" s="539">
        <f t="shared" si="3"/>
        <v>2843.3404361611761</v>
      </c>
      <c r="AV25" s="539">
        <f t="shared" si="3"/>
        <v>2843.3404361611761</v>
      </c>
      <c r="AW25" s="539">
        <f t="shared" si="3"/>
        <v>2843.3404361611761</v>
      </c>
      <c r="AX25" s="539">
        <f t="shared" si="3"/>
        <v>2371.2553246068123</v>
      </c>
      <c r="AY25" s="539">
        <f t="shared" si="3"/>
        <v>2371.2553246068123</v>
      </c>
      <c r="AZ25" s="539">
        <f t="shared" si="3"/>
        <v>2371.2553246068123</v>
      </c>
      <c r="BA25" s="539">
        <f t="shared" si="3"/>
        <v>2371.2553246068123</v>
      </c>
      <c r="BB25" s="539">
        <f t="shared" si="3"/>
        <v>2943.7058445359407</v>
      </c>
      <c r="BC25" s="539">
        <f t="shared" si="3"/>
        <v>2943.7058445359407</v>
      </c>
      <c r="BD25" s="539">
        <f t="shared" si="3"/>
        <v>2943.7058445359407</v>
      </c>
      <c r="BE25" s="539">
        <f t="shared" si="3"/>
        <v>2943.7058445359407</v>
      </c>
      <c r="BF25" s="539">
        <f t="shared" si="3"/>
        <v>2995.1168607853078</v>
      </c>
      <c r="BG25" s="539">
        <f t="shared" si="3"/>
        <v>2995.1168607853078</v>
      </c>
      <c r="BH25" s="539">
        <f t="shared" si="3"/>
        <v>2995.1168607853078</v>
      </c>
      <c r="BI25" s="539">
        <f t="shared" si="3"/>
        <v>2995.1168607853078</v>
      </c>
      <c r="BJ25" s="539">
        <f t="shared" si="3"/>
        <v>3047.3614597086507</v>
      </c>
      <c r="BK25" s="539">
        <f t="shared" si="3"/>
        <v>3047.3614597086507</v>
      </c>
      <c r="BL25" s="539">
        <f t="shared" si="3"/>
        <v>3047.3614597086507</v>
      </c>
      <c r="BM25" s="539">
        <f t="shared" si="3"/>
        <v>3047.3614597086507</v>
      </c>
      <c r="BN25" s="539">
        <f t="shared" si="3"/>
        <v>3100.4507552141258</v>
      </c>
      <c r="BO25" s="539">
        <f t="shared" si="3"/>
        <v>3100.4507552141258</v>
      </c>
      <c r="BP25" s="539">
        <f t="shared" si="3"/>
        <v>3100.4507552141258</v>
      </c>
      <c r="BQ25" s="539">
        <f t="shared" si="3"/>
        <v>3100.4507552141258</v>
      </c>
      <c r="BR25" s="539">
        <f t="shared" si="3"/>
        <v>2563.9569277797268</v>
      </c>
      <c r="BS25" s="539">
        <f t="shared" si="3"/>
        <v>2563.9569277797268</v>
      </c>
      <c r="BT25" s="539">
        <f t="shared" si="3"/>
        <v>2563.9569277797268</v>
      </c>
      <c r="BU25" s="539">
        <f t="shared" si="3"/>
        <v>2563.9569277797268</v>
      </c>
      <c r="BV25" s="539">
        <f t="shared" si="3"/>
        <v>3209.2082011426746</v>
      </c>
      <c r="BW25" s="539">
        <f t="shared" si="3"/>
        <v>3209.2082011426746</v>
      </c>
      <c r="BX25" s="539">
        <f t="shared" si="3"/>
        <v>3209.2082011426746</v>
      </c>
      <c r="BY25" s="539">
        <f t="shared" si="3"/>
        <v>3209.2082011426746</v>
      </c>
      <c r="BZ25" s="539">
        <f t="shared" si="3"/>
        <v>3264.8988786289374</v>
      </c>
      <c r="CA25" s="539">
        <f t="shared" si="3"/>
        <v>3264.8988786289374</v>
      </c>
      <c r="CB25" s="539">
        <f t="shared" si="3"/>
        <v>3264.8988786289374</v>
      </c>
      <c r="CC25" s="539">
        <f t="shared" si="3"/>
        <v>3264.8988786289374</v>
      </c>
      <c r="CD25" s="539">
        <f t="shared" si="3"/>
        <v>3321.4792994848845</v>
      </c>
      <c r="CE25" s="539">
        <f t="shared" si="3"/>
        <v>3321.4792994848845</v>
      </c>
      <c r="CF25" s="539">
        <f t="shared" si="3"/>
        <v>3321.4792994848845</v>
      </c>
      <c r="CG25" s="539">
        <f t="shared" si="3"/>
        <v>3321.4792994848845</v>
      </c>
      <c r="CH25" s="539">
        <f t="shared" si="3"/>
        <v>3378.9608548329065</v>
      </c>
      <c r="CI25" s="539">
        <f t="shared" si="3"/>
        <v>3378.9608548329065</v>
      </c>
      <c r="CJ25" s="539">
        <f t="shared" si="3"/>
        <v>3378.9608548329065</v>
      </c>
      <c r="CK25" s="539">
        <f t="shared" si="3"/>
        <v>3378.9608548329065</v>
      </c>
      <c r="CL25" s="539">
        <f t="shared" si="3"/>
        <v>2769.3274501672527</v>
      </c>
      <c r="CM25" s="539">
        <f t="shared" si="3"/>
        <v>2769.3274501672527</v>
      </c>
      <c r="CN25" s="539">
        <f t="shared" si="3"/>
        <v>2769.3274501672527</v>
      </c>
      <c r="CO25" s="539">
        <f t="shared" si="3"/>
        <v>2769.3274501672527</v>
      </c>
      <c r="CP25" s="539">
        <f t="shared" si="3"/>
        <v>3496.6731473880495</v>
      </c>
      <c r="CQ25" s="539">
        <f t="shared" si="3"/>
        <v>3496.6731473880495</v>
      </c>
      <c r="CR25" s="539">
        <f t="shared" si="3"/>
        <v>3496.6731473880495</v>
      </c>
      <c r="CS25" s="539">
        <f t="shared" si="3"/>
        <v>3496.6731473880495</v>
      </c>
      <c r="CT25" s="539">
        <f t="shared" si="3"/>
        <v>3556.9268671326881</v>
      </c>
      <c r="CU25" s="539">
        <f t="shared" si="3"/>
        <v>3556.9268671326881</v>
      </c>
      <c r="CV25" s="539">
        <f t="shared" si="3"/>
        <v>3556.9268671326881</v>
      </c>
      <c r="CW25" s="539">
        <f t="shared" si="3"/>
        <v>3556.9268671326881</v>
      </c>
      <c r="CX25" s="539">
        <f t="shared" si="3"/>
        <v>3618.1276767990357</v>
      </c>
      <c r="CY25" s="539">
        <f t="shared" si="3"/>
        <v>3618.1276767990357</v>
      </c>
      <c r="CZ25" s="539">
        <f t="shared" si="3"/>
        <v>3618.1276767990357</v>
      </c>
      <c r="DA25" s="539">
        <f t="shared" si="3"/>
        <v>3618.1276767990357</v>
      </c>
      <c r="DB25" s="539">
        <f t="shared" si="3"/>
        <v>3680.2871388469034</v>
      </c>
      <c r="DC25" s="539">
        <f t="shared" si="3"/>
        <v>3680.2871388469034</v>
      </c>
      <c r="DD25" s="539">
        <f t="shared" si="3"/>
        <v>3680.2871388469034</v>
      </c>
      <c r="DE25" s="539">
        <f t="shared" si="3"/>
        <v>3680.2871388469034</v>
      </c>
      <c r="DF25" s="539">
        <f t="shared" si="3"/>
        <v>2987.6050015260889</v>
      </c>
      <c r="DG25" s="539">
        <f t="shared" si="3"/>
        <v>2987.6050015260889</v>
      </c>
      <c r="DH25" s="539">
        <f t="shared" si="3"/>
        <v>2987.6050015260889</v>
      </c>
      <c r="DI25" s="539">
        <f t="shared" si="3"/>
        <v>2987.6050015260889</v>
      </c>
      <c r="DJ25" s="539">
        <f t="shared" si="3"/>
        <v>3807.5283585274274</v>
      </c>
      <c r="DK25" s="539">
        <f t="shared" si="3"/>
        <v>3807.5283585274274</v>
      </c>
      <c r="DL25" s="539">
        <f t="shared" si="3"/>
        <v>3807.5283585274274</v>
      </c>
      <c r="DM25" s="539">
        <f t="shared" si="3"/>
        <v>3807.5283585274274</v>
      </c>
      <c r="DN25" s="539">
        <f t="shared" si="3"/>
        <v>3872.6333120805812</v>
      </c>
      <c r="DO25" s="539">
        <f t="shared" si="3"/>
        <v>3872.6333120805812</v>
      </c>
      <c r="DP25" s="539">
        <f t="shared" si="3"/>
        <v>3872.6333120805812</v>
      </c>
      <c r="DQ25" s="539">
        <f t="shared" si="3"/>
        <v>3872.6333120805812</v>
      </c>
      <c r="DR25" s="539">
        <f t="shared" si="3"/>
        <v>3938.7432974254461</v>
      </c>
      <c r="DS25" s="539">
        <f t="shared" si="3"/>
        <v>3938.7432974254461</v>
      </c>
      <c r="DT25" s="539">
        <f t="shared" si="3"/>
        <v>3938.7432974254461</v>
      </c>
      <c r="DU25" s="539">
        <f t="shared" si="3"/>
        <v>3938.7432974254461</v>
      </c>
      <c r="DV25" s="539">
        <f t="shared" si="3"/>
        <v>4005.8699107077068</v>
      </c>
      <c r="DW25" s="539">
        <f t="shared" si="3"/>
        <v>4005.8699107077068</v>
      </c>
      <c r="DX25" s="539">
        <f t="shared" si="3"/>
        <v>4005.8699107077068</v>
      </c>
      <c r="DY25" s="539">
        <f t="shared" si="3"/>
        <v>4005.8699107077068</v>
      </c>
      <c r="DZ25" s="539">
        <f t="shared" si="3"/>
        <v>4074.0247350494597</v>
      </c>
      <c r="EA25" s="539">
        <f t="shared" si="3"/>
        <v>4074.0247350494597</v>
      </c>
      <c r="EB25" s="539">
        <f t="shared" si="3"/>
        <v>4074.0247350494597</v>
      </c>
      <c r="EC25" s="539">
        <f t="shared" si="3"/>
        <v>4074.0247350494597</v>
      </c>
      <c r="ED25" s="539">
        <f t="shared" si="3"/>
        <v>0</v>
      </c>
      <c r="EE25" s="539">
        <f t="shared" si="3"/>
        <v>0</v>
      </c>
      <c r="EF25" s="539">
        <f t="shared" si="3"/>
        <v>0</v>
      </c>
      <c r="EG25" s="539">
        <f t="shared" si="3"/>
        <v>0</v>
      </c>
    </row>
    <row r="27" spans="2:2" ht="12.75">
      <c r="B27" s="534" t="s">
        <v>434</v>
      </c>
    </row>
    <row r="28" spans="5:137" ht="12.75">
      <c r="E28" s="538" t="str">
        <f>E$50</f>
        <v>Disallowed interest - closing balance</v>
      </c>
      <c r="G28" s="539" t="str">
        <f>G$50</f>
        <v>EUR 000s</v>
      </c>
      <c r="H28" s="539">
        <f>H$50</f>
        <v>492908.97033742344</v>
      </c>
      <c r="J28" s="539">
        <f t="shared" si="4" ref="J28:EG28">J$50</f>
        <v>0</v>
      </c>
      <c r="K28" s="539">
        <f t="shared" si="4"/>
        <v>0</v>
      </c>
      <c r="L28" s="539">
        <f t="shared" si="4"/>
        <v>0</v>
      </c>
      <c r="M28" s="539">
        <f t="shared" si="4"/>
        <v>0</v>
      </c>
      <c r="N28" s="539">
        <f t="shared" si="4"/>
        <v>0</v>
      </c>
      <c r="O28" s="539">
        <f t="shared" si="4"/>
        <v>0</v>
      </c>
      <c r="P28" s="539">
        <f t="shared" si="4"/>
        <v>0</v>
      </c>
      <c r="Q28" s="539">
        <f t="shared" si="4"/>
        <v>0</v>
      </c>
      <c r="R28" s="539">
        <f t="shared" si="4"/>
        <v>0</v>
      </c>
      <c r="S28" s="539">
        <f t="shared" si="4"/>
        <v>0</v>
      </c>
      <c r="T28" s="539">
        <f t="shared" si="4"/>
        <v>0</v>
      </c>
      <c r="U28" s="539">
        <f t="shared" si="4"/>
        <v>0</v>
      </c>
      <c r="V28" s="539">
        <f t="shared" si="4"/>
        <v>0</v>
      </c>
      <c r="W28" s="539">
        <f t="shared" si="4"/>
        <v>0</v>
      </c>
      <c r="X28" s="539">
        <f t="shared" si="4"/>
        <v>0</v>
      </c>
      <c r="Y28" s="539">
        <f t="shared" si="4"/>
        <v>0</v>
      </c>
      <c r="Z28" s="539">
        <f t="shared" si="4"/>
        <v>0</v>
      </c>
      <c r="AA28" s="539">
        <f t="shared" si="4"/>
        <v>0</v>
      </c>
      <c r="AB28" s="539">
        <f t="shared" si="4"/>
        <v>0</v>
      </c>
      <c r="AC28" s="539">
        <f t="shared" si="4"/>
        <v>0</v>
      </c>
      <c r="AD28" s="539">
        <f t="shared" si="4"/>
        <v>0</v>
      </c>
      <c r="AE28" s="539">
        <f t="shared" si="4"/>
        <v>0</v>
      </c>
      <c r="AF28" s="539">
        <f t="shared" si="4"/>
        <v>0</v>
      </c>
      <c r="AG28" s="539">
        <f t="shared" si="4"/>
        <v>0</v>
      </c>
      <c r="AH28" s="539">
        <f t="shared" si="4"/>
        <v>1119.7674810450371</v>
      </c>
      <c r="AI28" s="539">
        <f t="shared" si="4"/>
        <v>2226.4727566457655</v>
      </c>
      <c r="AJ28" s="539">
        <f t="shared" si="4"/>
        <v>3340.4562637558256</v>
      </c>
      <c r="AK28" s="539">
        <f t="shared" si="4"/>
        <v>4420.0504290256058</v>
      </c>
      <c r="AL28" s="539">
        <f t="shared" si="4"/>
        <v>5336.2909495345384</v>
      </c>
      <c r="AM28" s="539">
        <f t="shared" si="4"/>
        <v>6257.1604128843028</v>
      </c>
      <c r="AN28" s="539">
        <f t="shared" si="4"/>
        <v>7181.390783584191</v>
      </c>
      <c r="AO28" s="539">
        <f t="shared" si="4"/>
        <v>8068.7886154103653</v>
      </c>
      <c r="AP28" s="539">
        <f t="shared" si="4"/>
        <v>8792.7797781716599</v>
      </c>
      <c r="AQ28" s="539">
        <f t="shared" si="4"/>
        <v>9517.3319222486316</v>
      </c>
      <c r="AR28" s="539">
        <f t="shared" si="4"/>
        <v>10241.067934048209</v>
      </c>
      <c r="AS28" s="539">
        <f t="shared" si="4"/>
        <v>10925.371514483448</v>
      </c>
      <c r="AT28" s="539">
        <f t="shared" si="4"/>
        <v>11483.649634345491</v>
      </c>
      <c r="AU28" s="539">
        <f t="shared" si="4"/>
        <v>12001.038675285276</v>
      </c>
      <c r="AV28" s="539">
        <f t="shared" si="4"/>
        <v>12513.315385008547</v>
      </c>
      <c r="AW28" s="539">
        <f t="shared" si="4"/>
        <v>12983.399867210319</v>
      </c>
      <c r="AX28" s="539">
        <f t="shared" si="4"/>
        <v>13812.027090357351</v>
      </c>
      <c r="AY28" s="539">
        <f t="shared" si="4"/>
        <v>14632.269716402969</v>
      </c>
      <c r="AZ28" s="539">
        <f t="shared" si="4"/>
        <v>15442.511030171347</v>
      </c>
      <c r="BA28" s="539">
        <f t="shared" si="4"/>
        <v>16207.619886262572</v>
      </c>
      <c r="BB28" s="539">
        <f t="shared" si="4"/>
        <v>16287.672939156371</v>
      </c>
      <c r="BC28" s="539">
        <f t="shared" si="4"/>
        <v>16355.293917127829</v>
      </c>
      <c r="BD28" s="539">
        <f t="shared" si="4"/>
        <v>16408.89194128929</v>
      </c>
      <c r="BE28" s="539">
        <f t="shared" si="4"/>
        <v>16415.387757300072</v>
      </c>
      <c r="BF28" s="539">
        <f t="shared" si="4"/>
        <v>16260.04189403413</v>
      </c>
      <c r="BG28" s="539">
        <f t="shared" si="4"/>
        <v>16087.658785696003</v>
      </c>
      <c r="BH28" s="539">
        <f t="shared" si="4"/>
        <v>15896.507991729806</v>
      </c>
      <c r="BI28" s="539">
        <f t="shared" si="4"/>
        <v>15655.503905943224</v>
      </c>
      <c r="BJ28" s="539">
        <f t="shared" si="4"/>
        <v>15282.732620221981</v>
      </c>
      <c r="BK28" s="539">
        <f t="shared" si="4"/>
        <v>14858.746500051868</v>
      </c>
      <c r="BL28" s="539">
        <f t="shared" si="4"/>
        <v>14411.042436453627</v>
      </c>
      <c r="BM28" s="539">
        <f t="shared" si="4"/>
        <v>13910.490708913134</v>
      </c>
      <c r="BN28" s="539">
        <f t="shared" si="4"/>
        <v>13249.458618664146</v>
      </c>
      <c r="BO28" s="539">
        <f t="shared" si="4"/>
        <v>12561.096628565658</v>
      </c>
      <c r="BP28" s="539">
        <f t="shared" si="4"/>
        <v>11843.374637551831</v>
      </c>
      <c r="BQ28" s="539">
        <f t="shared" si="4"/>
        <v>11069.55638148174</v>
      </c>
      <c r="BR28" s="539">
        <f t="shared" si="4"/>
        <v>10726.393893578843</v>
      </c>
      <c r="BS28" s="539">
        <f t="shared" si="4"/>
        <v>10349.450162387922</v>
      </c>
      <c r="BT28" s="539">
        <f t="shared" si="4"/>
        <v>9936.5070762883533</v>
      </c>
      <c r="BU28" s="539">
        <f t="shared" si="4"/>
        <v>9463.205265063898</v>
      </c>
      <c r="BV28" s="539">
        <f t="shared" si="4"/>
        <v>8239.7072455527123</v>
      </c>
      <c r="BW28" s="539">
        <f t="shared" si="4"/>
        <v>6978.1442966775276</v>
      </c>
      <c r="BX28" s="539">
        <f t="shared" si="4"/>
        <v>5681.8936166065405</v>
      </c>
      <c r="BY28" s="539">
        <f t="shared" si="4"/>
        <v>4329.3539251437987</v>
      </c>
      <c r="BZ28" s="539">
        <f t="shared" si="4"/>
        <v>2844.9649683332264</v>
      </c>
      <c r="CA28" s="539">
        <f t="shared" si="4"/>
        <v>1303.1320977283615</v>
      </c>
      <c r="CB28" s="539">
        <f t="shared" si="4"/>
        <v>0</v>
      </c>
      <c r="CC28" s="539">
        <f t="shared" si="4"/>
        <v>0</v>
      </c>
      <c r="CD28" s="539">
        <f t="shared" si="4"/>
        <v>0</v>
      </c>
      <c r="CE28" s="539">
        <f t="shared" si="4"/>
        <v>0</v>
      </c>
      <c r="CF28" s="539">
        <f t="shared" si="4"/>
        <v>0</v>
      </c>
      <c r="CG28" s="539">
        <f t="shared" si="4"/>
        <v>0</v>
      </c>
      <c r="CH28" s="539">
        <f t="shared" si="4"/>
        <v>0</v>
      </c>
      <c r="CI28" s="539">
        <f t="shared" si="4"/>
        <v>0</v>
      </c>
      <c r="CJ28" s="539">
        <f t="shared" si="4"/>
        <v>0</v>
      </c>
      <c r="CK28" s="539">
        <f t="shared" si="4"/>
        <v>0</v>
      </c>
      <c r="CL28" s="539">
        <f t="shared" si="4"/>
        <v>0</v>
      </c>
      <c r="CM28" s="539">
        <f t="shared" si="4"/>
        <v>0</v>
      </c>
      <c r="CN28" s="539">
        <f t="shared" si="4"/>
        <v>0</v>
      </c>
      <c r="CO28" s="539">
        <f t="shared" si="4"/>
        <v>0</v>
      </c>
      <c r="CP28" s="539">
        <f t="shared" si="4"/>
        <v>0</v>
      </c>
      <c r="CQ28" s="539">
        <f t="shared" si="4"/>
        <v>0</v>
      </c>
      <c r="CR28" s="539">
        <f t="shared" si="4"/>
        <v>0</v>
      </c>
      <c r="CS28" s="539">
        <f t="shared" si="4"/>
        <v>0</v>
      </c>
      <c r="CT28" s="539">
        <f t="shared" si="4"/>
        <v>0</v>
      </c>
      <c r="CU28" s="539">
        <f t="shared" si="4"/>
        <v>0</v>
      </c>
      <c r="CV28" s="539">
        <f t="shared" si="4"/>
        <v>0</v>
      </c>
      <c r="CW28" s="539">
        <f t="shared" si="4"/>
        <v>0</v>
      </c>
      <c r="CX28" s="539">
        <f t="shared" si="4"/>
        <v>0</v>
      </c>
      <c r="CY28" s="539">
        <f t="shared" si="4"/>
        <v>0</v>
      </c>
      <c r="CZ28" s="539">
        <f t="shared" si="4"/>
        <v>0</v>
      </c>
      <c r="DA28" s="539">
        <f t="shared" si="4"/>
        <v>0</v>
      </c>
      <c r="DB28" s="539">
        <f t="shared" si="4"/>
        <v>0</v>
      </c>
      <c r="DC28" s="539">
        <f t="shared" si="4"/>
        <v>0</v>
      </c>
      <c r="DD28" s="539">
        <f t="shared" si="4"/>
        <v>0</v>
      </c>
      <c r="DE28" s="539">
        <f t="shared" si="4"/>
        <v>0</v>
      </c>
      <c r="DF28" s="539">
        <f t="shared" si="4"/>
        <v>0</v>
      </c>
      <c r="DG28" s="539">
        <f t="shared" si="4"/>
        <v>0</v>
      </c>
      <c r="DH28" s="539">
        <f t="shared" si="4"/>
        <v>0</v>
      </c>
      <c r="DI28" s="539">
        <f t="shared" si="4"/>
        <v>0</v>
      </c>
      <c r="DJ28" s="539">
        <f t="shared" si="4"/>
        <v>0</v>
      </c>
      <c r="DK28" s="539">
        <f t="shared" si="4"/>
        <v>0</v>
      </c>
      <c r="DL28" s="539">
        <f t="shared" si="4"/>
        <v>0</v>
      </c>
      <c r="DM28" s="539">
        <f t="shared" si="4"/>
        <v>0</v>
      </c>
      <c r="DN28" s="539">
        <f t="shared" si="4"/>
        <v>0</v>
      </c>
      <c r="DO28" s="539">
        <f t="shared" si="4"/>
        <v>0</v>
      </c>
      <c r="DP28" s="539">
        <f t="shared" si="4"/>
        <v>0</v>
      </c>
      <c r="DQ28" s="539">
        <f t="shared" si="4"/>
        <v>0</v>
      </c>
      <c r="DR28" s="539">
        <f t="shared" si="4"/>
        <v>0</v>
      </c>
      <c r="DS28" s="539">
        <f t="shared" si="4"/>
        <v>0</v>
      </c>
      <c r="DT28" s="539">
        <f t="shared" si="4"/>
        <v>0</v>
      </c>
      <c r="DU28" s="539">
        <f t="shared" si="4"/>
        <v>0</v>
      </c>
      <c r="DV28" s="539">
        <f t="shared" si="4"/>
        <v>0</v>
      </c>
      <c r="DW28" s="539">
        <f t="shared" si="4"/>
        <v>0</v>
      </c>
      <c r="DX28" s="539">
        <f t="shared" si="4"/>
        <v>0</v>
      </c>
      <c r="DY28" s="539">
        <f t="shared" si="4"/>
        <v>0</v>
      </c>
      <c r="DZ28" s="539">
        <f t="shared" si="4"/>
        <v>0</v>
      </c>
      <c r="EA28" s="539">
        <f t="shared" si="4"/>
        <v>0</v>
      </c>
      <c r="EB28" s="539">
        <f t="shared" si="4"/>
        <v>0</v>
      </c>
      <c r="EC28" s="539">
        <f t="shared" si="4"/>
        <v>0</v>
      </c>
      <c r="ED28" s="539">
        <f t="shared" si="4"/>
        <v>0</v>
      </c>
      <c r="EE28" s="539">
        <f t="shared" si="4"/>
        <v>0</v>
      </c>
      <c r="EF28" s="539">
        <f t="shared" si="4"/>
        <v>0</v>
      </c>
      <c r="EG28" s="539">
        <f t="shared" si="4"/>
        <v>0</v>
      </c>
    </row>
    <row r="29" spans="5:137" ht="12.75">
      <c r="E29" s="538" t="s">
        <v>435</v>
      </c>
      <c r="G29" s="539" t="s">
        <v>30</v>
      </c>
      <c r="H29" s="539">
        <f>SUM(J29:EG29)</f>
        <v>492908.97033742344</v>
      </c>
      <c r="J29" s="539">
        <f t="shared" si="5" ref="J29:EG29">I28</f>
        <v>0</v>
      </c>
      <c r="K29" s="539">
        <f t="shared" si="5"/>
        <v>0</v>
      </c>
      <c r="L29" s="539">
        <f t="shared" si="5"/>
        <v>0</v>
      </c>
      <c r="M29" s="539">
        <f t="shared" si="5"/>
        <v>0</v>
      </c>
      <c r="N29" s="539">
        <f t="shared" si="5"/>
        <v>0</v>
      </c>
      <c r="O29" s="539">
        <f t="shared" si="5"/>
        <v>0</v>
      </c>
      <c r="P29" s="539">
        <f t="shared" si="5"/>
        <v>0</v>
      </c>
      <c r="Q29" s="539">
        <f t="shared" si="5"/>
        <v>0</v>
      </c>
      <c r="R29" s="539">
        <f t="shared" si="5"/>
        <v>0</v>
      </c>
      <c r="S29" s="539">
        <f t="shared" si="5"/>
        <v>0</v>
      </c>
      <c r="T29" s="539">
        <f t="shared" si="5"/>
        <v>0</v>
      </c>
      <c r="U29" s="539">
        <f t="shared" si="5"/>
        <v>0</v>
      </c>
      <c r="V29" s="539">
        <f t="shared" si="5"/>
        <v>0</v>
      </c>
      <c r="W29" s="539">
        <f t="shared" si="5"/>
        <v>0</v>
      </c>
      <c r="X29" s="539">
        <f t="shared" si="5"/>
        <v>0</v>
      </c>
      <c r="Y29" s="539">
        <f t="shared" si="5"/>
        <v>0</v>
      </c>
      <c r="Z29" s="539">
        <f t="shared" si="5"/>
        <v>0</v>
      </c>
      <c r="AA29" s="539">
        <f t="shared" si="5"/>
        <v>0</v>
      </c>
      <c r="AB29" s="539">
        <f t="shared" si="5"/>
        <v>0</v>
      </c>
      <c r="AC29" s="539">
        <f t="shared" si="5"/>
        <v>0</v>
      </c>
      <c r="AD29" s="539">
        <f t="shared" si="5"/>
        <v>0</v>
      </c>
      <c r="AE29" s="539">
        <f t="shared" si="5"/>
        <v>0</v>
      </c>
      <c r="AF29" s="539">
        <f t="shared" si="5"/>
        <v>0</v>
      </c>
      <c r="AG29" s="539">
        <f t="shared" si="5"/>
        <v>0</v>
      </c>
      <c r="AH29" s="539">
        <f t="shared" si="5"/>
        <v>0</v>
      </c>
      <c r="AI29" s="539">
        <f t="shared" si="5"/>
        <v>1119.7674810450371</v>
      </c>
      <c r="AJ29" s="539">
        <f t="shared" si="5"/>
        <v>2226.4727566457655</v>
      </c>
      <c r="AK29" s="539">
        <f t="shared" si="5"/>
        <v>3340.4562637558256</v>
      </c>
      <c r="AL29" s="539">
        <f t="shared" si="5"/>
        <v>4420.0504290256058</v>
      </c>
      <c r="AM29" s="539">
        <f t="shared" si="5"/>
        <v>5336.2909495345384</v>
      </c>
      <c r="AN29" s="539">
        <f t="shared" si="5"/>
        <v>6257.1604128843028</v>
      </c>
      <c r="AO29" s="539">
        <f t="shared" si="5"/>
        <v>7181.390783584191</v>
      </c>
      <c r="AP29" s="539">
        <f t="shared" si="5"/>
        <v>8068.7886154103653</v>
      </c>
      <c r="AQ29" s="539">
        <f t="shared" si="5"/>
        <v>8792.7797781716599</v>
      </c>
      <c r="AR29" s="539">
        <f t="shared" si="5"/>
        <v>9517.3319222486316</v>
      </c>
      <c r="AS29" s="539">
        <f t="shared" si="5"/>
        <v>10241.067934048209</v>
      </c>
      <c r="AT29" s="539">
        <f t="shared" si="5"/>
        <v>10925.371514483448</v>
      </c>
      <c r="AU29" s="539">
        <f t="shared" si="5"/>
        <v>11483.649634345491</v>
      </c>
      <c r="AV29" s="539">
        <f t="shared" si="5"/>
        <v>12001.038675285276</v>
      </c>
      <c r="AW29" s="539">
        <f t="shared" si="5"/>
        <v>12513.315385008547</v>
      </c>
      <c r="AX29" s="539">
        <f t="shared" si="5"/>
        <v>12983.399867210319</v>
      </c>
      <c r="AY29" s="539">
        <f t="shared" si="5"/>
        <v>13812.027090357351</v>
      </c>
      <c r="AZ29" s="539">
        <f t="shared" si="5"/>
        <v>14632.269716402969</v>
      </c>
      <c r="BA29" s="539">
        <f t="shared" si="5"/>
        <v>15442.511030171347</v>
      </c>
      <c r="BB29" s="539">
        <f t="shared" si="5"/>
        <v>16207.619886262572</v>
      </c>
      <c r="BC29" s="539">
        <f t="shared" si="5"/>
        <v>16287.672939156371</v>
      </c>
      <c r="BD29" s="539">
        <f t="shared" si="5"/>
        <v>16355.293917127829</v>
      </c>
      <c r="BE29" s="539">
        <f t="shared" si="5"/>
        <v>16408.89194128929</v>
      </c>
      <c r="BF29" s="539">
        <f t="shared" si="5"/>
        <v>16415.387757300072</v>
      </c>
      <c r="BG29" s="539">
        <f t="shared" si="5"/>
        <v>16260.04189403413</v>
      </c>
      <c r="BH29" s="539">
        <f t="shared" si="5"/>
        <v>16087.658785696003</v>
      </c>
      <c r="BI29" s="539">
        <f t="shared" si="5"/>
        <v>15896.507991729806</v>
      </c>
      <c r="BJ29" s="539">
        <f t="shared" si="5"/>
        <v>15655.503905943224</v>
      </c>
      <c r="BK29" s="539">
        <f t="shared" si="5"/>
        <v>15282.732620221981</v>
      </c>
      <c r="BL29" s="539">
        <f t="shared" si="5"/>
        <v>14858.746500051868</v>
      </c>
      <c r="BM29" s="539">
        <f t="shared" si="5"/>
        <v>14411.042436453627</v>
      </c>
      <c r="BN29" s="539">
        <f t="shared" si="5"/>
        <v>13910.490708913134</v>
      </c>
      <c r="BO29" s="539">
        <f t="shared" si="5"/>
        <v>13249.458618664146</v>
      </c>
      <c r="BP29" s="539">
        <f t="shared" si="5"/>
        <v>12561.096628565658</v>
      </c>
      <c r="BQ29" s="539">
        <f t="shared" si="5"/>
        <v>11843.374637551831</v>
      </c>
      <c r="BR29" s="539">
        <f t="shared" si="5"/>
        <v>11069.55638148174</v>
      </c>
      <c r="BS29" s="539">
        <f t="shared" si="5"/>
        <v>10726.393893578843</v>
      </c>
      <c r="BT29" s="539">
        <f t="shared" si="5"/>
        <v>10349.450162387922</v>
      </c>
      <c r="BU29" s="539">
        <f t="shared" si="5"/>
        <v>9936.5070762883533</v>
      </c>
      <c r="BV29" s="539">
        <f t="shared" si="5"/>
        <v>9463.205265063898</v>
      </c>
      <c r="BW29" s="539">
        <f t="shared" si="5"/>
        <v>8239.7072455527123</v>
      </c>
      <c r="BX29" s="539">
        <f t="shared" si="5"/>
        <v>6978.1442966775276</v>
      </c>
      <c r="BY29" s="539">
        <f t="shared" si="5"/>
        <v>5681.8936166065405</v>
      </c>
      <c r="BZ29" s="539">
        <f t="shared" si="5"/>
        <v>4329.3539251437987</v>
      </c>
      <c r="CA29" s="539">
        <f t="shared" si="5"/>
        <v>2844.9649683332264</v>
      </c>
      <c r="CB29" s="539">
        <f t="shared" si="5"/>
        <v>1303.1320977283615</v>
      </c>
      <c r="CC29" s="539">
        <f t="shared" si="5"/>
        <v>0</v>
      </c>
      <c r="CD29" s="539">
        <f t="shared" si="5"/>
        <v>0</v>
      </c>
      <c r="CE29" s="539">
        <f t="shared" si="5"/>
        <v>0</v>
      </c>
      <c r="CF29" s="539">
        <f t="shared" si="5"/>
        <v>0</v>
      </c>
      <c r="CG29" s="539">
        <f t="shared" si="5"/>
        <v>0</v>
      </c>
      <c r="CH29" s="539">
        <f t="shared" si="5"/>
        <v>0</v>
      </c>
      <c r="CI29" s="539">
        <f t="shared" si="5"/>
        <v>0</v>
      </c>
      <c r="CJ29" s="539">
        <f t="shared" si="5"/>
        <v>0</v>
      </c>
      <c r="CK29" s="539">
        <f t="shared" si="5"/>
        <v>0</v>
      </c>
      <c r="CL29" s="539">
        <f t="shared" si="5"/>
        <v>0</v>
      </c>
      <c r="CM29" s="539">
        <f t="shared" si="5"/>
        <v>0</v>
      </c>
      <c r="CN29" s="539">
        <f t="shared" si="5"/>
        <v>0</v>
      </c>
      <c r="CO29" s="539">
        <f t="shared" si="5"/>
        <v>0</v>
      </c>
      <c r="CP29" s="539">
        <f t="shared" si="5"/>
        <v>0</v>
      </c>
      <c r="CQ29" s="539">
        <f t="shared" si="5"/>
        <v>0</v>
      </c>
      <c r="CR29" s="539">
        <f t="shared" si="5"/>
        <v>0</v>
      </c>
      <c r="CS29" s="539">
        <f t="shared" si="5"/>
        <v>0</v>
      </c>
      <c r="CT29" s="539">
        <f t="shared" si="5"/>
        <v>0</v>
      </c>
      <c r="CU29" s="539">
        <f t="shared" si="5"/>
        <v>0</v>
      </c>
      <c r="CV29" s="539">
        <f t="shared" si="5"/>
        <v>0</v>
      </c>
      <c r="CW29" s="539">
        <f t="shared" si="5"/>
        <v>0</v>
      </c>
      <c r="CX29" s="539">
        <f t="shared" si="5"/>
        <v>0</v>
      </c>
      <c r="CY29" s="539">
        <f t="shared" si="5"/>
        <v>0</v>
      </c>
      <c r="CZ29" s="539">
        <f t="shared" si="5"/>
        <v>0</v>
      </c>
      <c r="DA29" s="539">
        <f t="shared" si="5"/>
        <v>0</v>
      </c>
      <c r="DB29" s="539">
        <f t="shared" si="5"/>
        <v>0</v>
      </c>
      <c r="DC29" s="539">
        <f t="shared" si="5"/>
        <v>0</v>
      </c>
      <c r="DD29" s="539">
        <f t="shared" si="5"/>
        <v>0</v>
      </c>
      <c r="DE29" s="539">
        <f t="shared" si="5"/>
        <v>0</v>
      </c>
      <c r="DF29" s="539">
        <f t="shared" si="5"/>
        <v>0</v>
      </c>
      <c r="DG29" s="539">
        <f t="shared" si="5"/>
        <v>0</v>
      </c>
      <c r="DH29" s="539">
        <f t="shared" si="5"/>
        <v>0</v>
      </c>
      <c r="DI29" s="539">
        <f t="shared" si="5"/>
        <v>0</v>
      </c>
      <c r="DJ29" s="539">
        <f t="shared" si="5"/>
        <v>0</v>
      </c>
      <c r="DK29" s="539">
        <f t="shared" si="5"/>
        <v>0</v>
      </c>
      <c r="DL29" s="539">
        <f t="shared" si="5"/>
        <v>0</v>
      </c>
      <c r="DM29" s="539">
        <f t="shared" si="5"/>
        <v>0</v>
      </c>
      <c r="DN29" s="539">
        <f t="shared" si="5"/>
        <v>0</v>
      </c>
      <c r="DO29" s="539">
        <f t="shared" si="5"/>
        <v>0</v>
      </c>
      <c r="DP29" s="539">
        <f t="shared" si="5"/>
        <v>0</v>
      </c>
      <c r="DQ29" s="539">
        <f t="shared" si="5"/>
        <v>0</v>
      </c>
      <c r="DR29" s="539">
        <f t="shared" si="5"/>
        <v>0</v>
      </c>
      <c r="DS29" s="539">
        <f t="shared" si="5"/>
        <v>0</v>
      </c>
      <c r="DT29" s="539">
        <f t="shared" si="5"/>
        <v>0</v>
      </c>
      <c r="DU29" s="539">
        <f t="shared" si="5"/>
        <v>0</v>
      </c>
      <c r="DV29" s="539">
        <f t="shared" si="5"/>
        <v>0</v>
      </c>
      <c r="DW29" s="539">
        <f t="shared" si="5"/>
        <v>0</v>
      </c>
      <c r="DX29" s="539">
        <f t="shared" si="5"/>
        <v>0</v>
      </c>
      <c r="DY29" s="539">
        <f t="shared" si="5"/>
        <v>0</v>
      </c>
      <c r="DZ29" s="539">
        <f t="shared" si="5"/>
        <v>0</v>
      </c>
      <c r="EA29" s="539">
        <f t="shared" si="5"/>
        <v>0</v>
      </c>
      <c r="EB29" s="539">
        <f t="shared" si="5"/>
        <v>0</v>
      </c>
      <c r="EC29" s="539">
        <f t="shared" si="5"/>
        <v>0</v>
      </c>
      <c r="ED29" s="539">
        <f t="shared" si="5"/>
        <v>0</v>
      </c>
      <c r="EE29" s="539">
        <f t="shared" si="5"/>
        <v>0</v>
      </c>
      <c r="EF29" s="539">
        <f t="shared" si="5"/>
        <v>0</v>
      </c>
      <c r="EG29" s="539">
        <f t="shared" si="5"/>
        <v>0</v>
      </c>
    </row>
    <row r="31" spans="5:137" ht="12.75">
      <c r="E31" s="538" t="str">
        <f>E$21</f>
        <v>Interest expense - for tax</v>
      </c>
      <c r="G31" s="539" t="str">
        <f>G$21</f>
        <v>EUR 000s</v>
      </c>
      <c r="H31" s="539">
        <f>H$21</f>
        <v>159361.69121785057</v>
      </c>
      <c r="J31" s="539">
        <f t="shared" si="6" ref="J31:EG31">J$21</f>
        <v>0</v>
      </c>
      <c r="K31" s="539">
        <f t="shared" si="6"/>
        <v>0</v>
      </c>
      <c r="L31" s="539">
        <f t="shared" si="6"/>
        <v>0</v>
      </c>
      <c r="M31" s="539">
        <f t="shared" si="6"/>
        <v>0</v>
      </c>
      <c r="N31" s="539">
        <f t="shared" si="6"/>
        <v>0</v>
      </c>
      <c r="O31" s="539">
        <f t="shared" si="6"/>
        <v>0</v>
      </c>
      <c r="P31" s="539">
        <f t="shared" si="6"/>
        <v>0</v>
      </c>
      <c r="Q31" s="539">
        <f t="shared" si="6"/>
        <v>0</v>
      </c>
      <c r="R31" s="539">
        <f t="shared" si="6"/>
        <v>0</v>
      </c>
      <c r="S31" s="539">
        <f t="shared" si="6"/>
        <v>0</v>
      </c>
      <c r="T31" s="539">
        <f t="shared" si="6"/>
        <v>0</v>
      </c>
      <c r="U31" s="539">
        <f t="shared" si="6"/>
        <v>0</v>
      </c>
      <c r="V31" s="539">
        <f t="shared" si="6"/>
        <v>0</v>
      </c>
      <c r="W31" s="539">
        <f t="shared" si="6"/>
        <v>0</v>
      </c>
      <c r="X31" s="539">
        <f t="shared" si="6"/>
        <v>0</v>
      </c>
      <c r="Y31" s="539">
        <f t="shared" si="6"/>
        <v>0</v>
      </c>
      <c r="Z31" s="539">
        <f t="shared" si="6"/>
        <v>0</v>
      </c>
      <c r="AA31" s="539">
        <f t="shared" si="6"/>
        <v>0</v>
      </c>
      <c r="AB31" s="539">
        <f t="shared" si="6"/>
        <v>0</v>
      </c>
      <c r="AC31" s="539">
        <f t="shared" si="6"/>
        <v>0</v>
      </c>
      <c r="AD31" s="539">
        <f t="shared" si="6"/>
        <v>0</v>
      </c>
      <c r="AE31" s="539">
        <f t="shared" si="6"/>
        <v>0</v>
      </c>
      <c r="AF31" s="539">
        <f t="shared" si="6"/>
        <v>0</v>
      </c>
      <c r="AG31" s="539">
        <f t="shared" si="6"/>
        <v>0</v>
      </c>
      <c r="AH31" s="539">
        <f t="shared" si="6"/>
        <v>3818.5377622950368</v>
      </c>
      <c r="AI31" s="539">
        <f t="shared" si="6"/>
        <v>3805.475556850728</v>
      </c>
      <c r="AJ31" s="539">
        <f t="shared" si="6"/>
        <v>3812.7537883600598</v>
      </c>
      <c r="AK31" s="539">
        <f t="shared" si="6"/>
        <v>3778.3644465197799</v>
      </c>
      <c r="AL31" s="539">
        <f t="shared" si="6"/>
        <v>3662.4182112901822</v>
      </c>
      <c r="AM31" s="539">
        <f t="shared" si="6"/>
        <v>3667.0471541310144</v>
      </c>
      <c r="AN31" s="539">
        <f t="shared" si="6"/>
        <v>3670.4080614811378</v>
      </c>
      <c r="AO31" s="539">
        <f t="shared" si="6"/>
        <v>3633.5755226074234</v>
      </c>
      <c r="AP31" s="539">
        <f t="shared" si="6"/>
        <v>3518.3553194870756</v>
      </c>
      <c r="AQ31" s="539">
        <f t="shared" si="6"/>
        <v>3518.9163008027535</v>
      </c>
      <c r="AR31" s="539">
        <f t="shared" si="6"/>
        <v>3518.1001685253595</v>
      </c>
      <c r="AS31" s="539">
        <f t="shared" si="6"/>
        <v>3478.6677371610199</v>
      </c>
      <c r="AT31" s="539">
        <f t="shared" si="6"/>
        <v>3401.6185560232188</v>
      </c>
      <c r="AU31" s="539">
        <f t="shared" si="6"/>
        <v>3360.7294771009601</v>
      </c>
      <c r="AV31" s="539">
        <f t="shared" si="6"/>
        <v>3355.6171458844474</v>
      </c>
      <c r="AW31" s="539">
        <f t="shared" si="6"/>
        <v>3313.4249183629477</v>
      </c>
      <c r="AX31" s="539">
        <f t="shared" si="6"/>
        <v>3199.8825477538444</v>
      </c>
      <c r="AY31" s="539">
        <f t="shared" si="6"/>
        <v>3191.4979506524296</v>
      </c>
      <c r="AZ31" s="539">
        <f t="shared" si="6"/>
        <v>3181.4966383751907</v>
      </c>
      <c r="BA31" s="539">
        <f t="shared" si="6"/>
        <v>3136.3641806980377</v>
      </c>
      <c r="BB31" s="539">
        <f t="shared" si="6"/>
        <v>3023.7588974297396</v>
      </c>
      <c r="BC31" s="539">
        <f t="shared" si="6"/>
        <v>3011.326822507398</v>
      </c>
      <c r="BD31" s="539">
        <f t="shared" si="6"/>
        <v>2997.3038686974037</v>
      </c>
      <c r="BE31" s="539">
        <f t="shared" si="6"/>
        <v>2950.2016605467215</v>
      </c>
      <c r="BF31" s="539">
        <f t="shared" si="6"/>
        <v>2839.7709975193652</v>
      </c>
      <c r="BG31" s="539">
        <f t="shared" si="6"/>
        <v>2822.7337524471814</v>
      </c>
      <c r="BH31" s="539">
        <f t="shared" si="6"/>
        <v>2803.9660668191113</v>
      </c>
      <c r="BI31" s="539">
        <f t="shared" si="6"/>
        <v>2754.1127749987254</v>
      </c>
      <c r="BJ31" s="539">
        <f t="shared" si="6"/>
        <v>2674.590173987408</v>
      </c>
      <c r="BK31" s="539">
        <f t="shared" si="6"/>
        <v>2623.3753395385374</v>
      </c>
      <c r="BL31" s="539">
        <f t="shared" si="6"/>
        <v>2599.6573961104095</v>
      </c>
      <c r="BM31" s="539">
        <f t="shared" si="6"/>
        <v>2546.8097321681589</v>
      </c>
      <c r="BN31" s="539">
        <f t="shared" si="6"/>
        <v>2439.4186649651379</v>
      </c>
      <c r="BO31" s="539">
        <f t="shared" si="6"/>
        <v>2412.0887651156381</v>
      </c>
      <c r="BP31" s="539">
        <f t="shared" si="6"/>
        <v>2382.7287642002998</v>
      </c>
      <c r="BQ31" s="539">
        <f t="shared" si="6"/>
        <v>2326.6324991440333</v>
      </c>
      <c r="BR31" s="539">
        <f t="shared" si="6"/>
        <v>2220.7944398768309</v>
      </c>
      <c r="BS31" s="539">
        <f t="shared" si="6"/>
        <v>2187.0131965888067</v>
      </c>
      <c r="BT31" s="539">
        <f t="shared" si="6"/>
        <v>2151.0138416801578</v>
      </c>
      <c r="BU31" s="539">
        <f t="shared" si="6"/>
        <v>2090.6551165552705</v>
      </c>
      <c r="BV31" s="539">
        <f t="shared" si="6"/>
        <v>1985.7101816314894</v>
      </c>
      <c r="BW31" s="539">
        <f t="shared" si="6"/>
        <v>1947.6452522674899</v>
      </c>
      <c r="BX31" s="539">
        <f t="shared" si="6"/>
        <v>1912.9575210716878</v>
      </c>
      <c r="BY31" s="539">
        <f t="shared" si="6"/>
        <v>1856.6685096799326</v>
      </c>
      <c r="BZ31" s="539">
        <f t="shared" si="6"/>
        <v>1780.5099218183652</v>
      </c>
      <c r="CA31" s="539">
        <f t="shared" si="6"/>
        <v>1723.0660080240725</v>
      </c>
      <c r="CB31" s="539">
        <f t="shared" si="6"/>
        <v>1683.116274118051</v>
      </c>
      <c r="CC31" s="539">
        <f t="shared" si="6"/>
        <v>1624.2754546454987</v>
      </c>
      <c r="CD31" s="539">
        <f t="shared" si="6"/>
        <v>1533.4322568484231</v>
      </c>
      <c r="CE31" s="539">
        <f t="shared" si="6"/>
        <v>1504.8857846127805</v>
      </c>
      <c r="CF31" s="539">
        <f t="shared" si="6"/>
        <v>1474.4260606498726</v>
      </c>
      <c r="CG31" s="539">
        <f t="shared" si="6"/>
        <v>1427.1413681802019</v>
      </c>
      <c r="CH31" s="539">
        <f t="shared" si="6"/>
        <v>1349.5629553171893</v>
      </c>
      <c r="CI31" s="539">
        <f t="shared" si="6"/>
        <v>1316.1916975217407</v>
      </c>
      <c r="CJ31" s="539">
        <f t="shared" si="6"/>
        <v>1280.7635823558471</v>
      </c>
      <c r="CK31" s="539">
        <f t="shared" si="6"/>
        <v>1230.5054977181208</v>
      </c>
      <c r="CL31" s="539">
        <f t="shared" si="6"/>
        <v>1154.242185163836</v>
      </c>
      <c r="CM31" s="539">
        <f t="shared" si="6"/>
        <v>1111.7531001889547</v>
      </c>
      <c r="CN31" s="539">
        <f t="shared" si="6"/>
        <v>1066.9235722730491</v>
      </c>
      <c r="CO31" s="539">
        <f t="shared" si="6"/>
        <v>1009.3816975286077</v>
      </c>
      <c r="CP31" s="539">
        <f t="shared" si="6"/>
        <v>941.04226869427248</v>
      </c>
      <c r="CQ31" s="539">
        <f t="shared" si="6"/>
        <v>886.16951660116763</v>
      </c>
      <c r="CR31" s="539">
        <f t="shared" si="6"/>
        <v>839.51515432249653</v>
      </c>
      <c r="CS31" s="539">
        <f t="shared" si="6"/>
        <v>782.42190086511391</v>
      </c>
      <c r="CT31" s="539">
        <f t="shared" si="6"/>
        <v>709.10904897538694</v>
      </c>
      <c r="CU31" s="539">
        <f t="shared" si="6"/>
        <v>658.73080140870934</v>
      </c>
      <c r="CV31" s="539">
        <f t="shared" si="6"/>
        <v>605.81871716551984</v>
      </c>
      <c r="CW31" s="539">
        <f t="shared" si="6"/>
        <v>545.05145143901598</v>
      </c>
      <c r="CX31" s="539">
        <f t="shared" si="6"/>
        <v>473.25292862187814</v>
      </c>
      <c r="CY31" s="539">
        <f t="shared" si="6"/>
        <v>416.56171669296856</v>
      </c>
      <c r="CZ31" s="539">
        <f t="shared" si="6"/>
        <v>357.16582424013654</v>
      </c>
      <c r="DA31" s="539">
        <f t="shared" si="6"/>
        <v>292.48879194963263</v>
      </c>
      <c r="DB31" s="539">
        <f t="shared" si="6"/>
        <v>-3.9862031483869642E-13</v>
      </c>
      <c r="DC31" s="539">
        <f t="shared" si="6"/>
        <v>-4.0304942944801527E-13</v>
      </c>
      <c r="DD31" s="539">
        <f t="shared" si="6"/>
        <v>-4.0747854405733406E-13</v>
      </c>
      <c r="DE31" s="539">
        <f t="shared" si="6"/>
        <v>-4.0747854405733406E-13</v>
      </c>
      <c r="DF31" s="539">
        <f t="shared" si="6"/>
        <v>-4.0304942944801527E-13</v>
      </c>
      <c r="DG31" s="539">
        <f t="shared" si="6"/>
        <v>-4.0304942944801527E-13</v>
      </c>
      <c r="DH31" s="539">
        <f t="shared" si="6"/>
        <v>-4.0747854405733406E-13</v>
      </c>
      <c r="DI31" s="539">
        <f t="shared" si="6"/>
        <v>-4.0747854405733406E-13</v>
      </c>
      <c r="DJ31" s="539">
        <f t="shared" si="6"/>
        <v>-3.9862031483869642E-13</v>
      </c>
      <c r="DK31" s="539">
        <f t="shared" si="6"/>
        <v>-4.0304942944801527E-13</v>
      </c>
      <c r="DL31" s="539">
        <f t="shared" si="6"/>
        <v>-4.0747854405733406E-13</v>
      </c>
      <c r="DM31" s="539">
        <f t="shared" si="6"/>
        <v>-4.0747854405733406E-13</v>
      </c>
      <c r="DN31" s="539">
        <f t="shared" si="6"/>
        <v>-3.9862031483869642E-13</v>
      </c>
      <c r="DO31" s="539">
        <f t="shared" si="6"/>
        <v>-4.0304942944801527E-13</v>
      </c>
      <c r="DP31" s="539">
        <f t="shared" si="6"/>
        <v>-4.0747854405733406E-13</v>
      </c>
      <c r="DQ31" s="539">
        <f t="shared" si="6"/>
        <v>-4.0747854405733406E-13</v>
      </c>
      <c r="DR31" s="539">
        <f t="shared" si="6"/>
        <v>-3.9862031483869642E-13</v>
      </c>
      <c r="DS31" s="539">
        <f t="shared" si="6"/>
        <v>-4.0304942944801527E-13</v>
      </c>
      <c r="DT31" s="539">
        <f t="shared" si="6"/>
        <v>-4.0747854405733406E-13</v>
      </c>
      <c r="DU31" s="539">
        <f t="shared" si="6"/>
        <v>-4.0747854405733406E-13</v>
      </c>
      <c r="DV31" s="539">
        <f t="shared" si="6"/>
        <v>-4.0304942944801527E-13</v>
      </c>
      <c r="DW31" s="539">
        <f t="shared" si="6"/>
        <v>-4.0304942944801527E-13</v>
      </c>
      <c r="DX31" s="539">
        <f t="shared" si="6"/>
        <v>-4.0747854405733406E-13</v>
      </c>
      <c r="DY31" s="539">
        <f t="shared" si="6"/>
        <v>-4.0747854405733406E-13</v>
      </c>
      <c r="DZ31" s="539">
        <f t="shared" si="6"/>
        <v>-3.9862031483869642E-13</v>
      </c>
      <c r="EA31" s="539">
        <f t="shared" si="6"/>
        <v>-4.0304942944801527E-13</v>
      </c>
      <c r="EB31" s="539">
        <f t="shared" si="6"/>
        <v>-4.0747854405733406E-13</v>
      </c>
      <c r="EC31" s="539">
        <f t="shared" si="6"/>
        <v>-4.0747854405733406E-13</v>
      </c>
      <c r="ED31" s="539">
        <f t="shared" si="6"/>
        <v>0</v>
      </c>
      <c r="EE31" s="539">
        <f t="shared" si="6"/>
        <v>0</v>
      </c>
      <c r="EF31" s="539">
        <f t="shared" si="6"/>
        <v>0</v>
      </c>
      <c r="EG31" s="539">
        <f t="shared" si="6"/>
        <v>0</v>
      </c>
    </row>
    <row r="32" spans="5:137" ht="12.75">
      <c r="E32" s="538" t="str">
        <f>E$25</f>
        <v>Interest cap - allowance</v>
      </c>
      <c r="G32" s="539" t="str">
        <f>G$25</f>
        <v>EUR 000s</v>
      </c>
      <c r="H32" s="539">
        <f>H$25</f>
        <v>324347.17546915525</v>
      </c>
      <c r="J32" s="539">
        <f t="shared" si="7" ref="J32:EG32">J$25</f>
        <v>0</v>
      </c>
      <c r="K32" s="539">
        <f t="shared" si="7"/>
        <v>0</v>
      </c>
      <c r="L32" s="539">
        <f t="shared" si="7"/>
        <v>0</v>
      </c>
      <c r="M32" s="539">
        <f t="shared" si="7"/>
        <v>0</v>
      </c>
      <c r="N32" s="539">
        <f t="shared" si="7"/>
        <v>0</v>
      </c>
      <c r="O32" s="539">
        <f t="shared" si="7"/>
        <v>0</v>
      </c>
      <c r="P32" s="539">
        <f t="shared" si="7"/>
        <v>0</v>
      </c>
      <c r="Q32" s="539">
        <f t="shared" si="7"/>
        <v>0</v>
      </c>
      <c r="R32" s="539">
        <f t="shared" si="7"/>
        <v>0</v>
      </c>
      <c r="S32" s="539">
        <f t="shared" si="7"/>
        <v>0</v>
      </c>
      <c r="T32" s="539">
        <f t="shared" si="7"/>
        <v>0</v>
      </c>
      <c r="U32" s="539">
        <f t="shared" si="7"/>
        <v>0</v>
      </c>
      <c r="V32" s="539">
        <f t="shared" si="7"/>
        <v>0</v>
      </c>
      <c r="W32" s="539">
        <f t="shared" si="7"/>
        <v>0</v>
      </c>
      <c r="X32" s="539">
        <f t="shared" si="7"/>
        <v>0</v>
      </c>
      <c r="Y32" s="539">
        <f t="shared" si="7"/>
        <v>0</v>
      </c>
      <c r="Z32" s="539">
        <f t="shared" si="7"/>
        <v>0</v>
      </c>
      <c r="AA32" s="539">
        <f t="shared" si="7"/>
        <v>0</v>
      </c>
      <c r="AB32" s="539">
        <f t="shared" si="7"/>
        <v>0</v>
      </c>
      <c r="AC32" s="539">
        <f t="shared" si="7"/>
        <v>0</v>
      </c>
      <c r="AD32" s="539">
        <f t="shared" si="7"/>
        <v>0</v>
      </c>
      <c r="AE32" s="539">
        <f t="shared" si="7"/>
        <v>0</v>
      </c>
      <c r="AF32" s="539">
        <f t="shared" si="7"/>
        <v>0</v>
      </c>
      <c r="AG32" s="539">
        <f t="shared" si="7"/>
        <v>0</v>
      </c>
      <c r="AH32" s="539">
        <f t="shared" si="7"/>
        <v>2698.7702812499997</v>
      </c>
      <c r="AI32" s="539">
        <f t="shared" si="7"/>
        <v>2698.7702812499997</v>
      </c>
      <c r="AJ32" s="539">
        <f t="shared" si="7"/>
        <v>2698.7702812499997</v>
      </c>
      <c r="AK32" s="539">
        <f t="shared" si="7"/>
        <v>2698.7702812499997</v>
      </c>
      <c r="AL32" s="539">
        <f t="shared" si="7"/>
        <v>2746.1776907812496</v>
      </c>
      <c r="AM32" s="539">
        <f t="shared" si="7"/>
        <v>2746.1776907812496</v>
      </c>
      <c r="AN32" s="539">
        <f t="shared" si="7"/>
        <v>2746.1776907812496</v>
      </c>
      <c r="AO32" s="539">
        <f t="shared" si="7"/>
        <v>2746.1776907812496</v>
      </c>
      <c r="AP32" s="539">
        <f t="shared" si="7"/>
        <v>2794.364156725781</v>
      </c>
      <c r="AQ32" s="539">
        <f t="shared" si="7"/>
        <v>2794.364156725781</v>
      </c>
      <c r="AR32" s="539">
        <f t="shared" si="7"/>
        <v>2794.364156725781</v>
      </c>
      <c r="AS32" s="539">
        <f t="shared" si="7"/>
        <v>2794.364156725781</v>
      </c>
      <c r="AT32" s="539">
        <f t="shared" si="7"/>
        <v>2843.3404361611761</v>
      </c>
      <c r="AU32" s="539">
        <f t="shared" si="7"/>
        <v>2843.3404361611761</v>
      </c>
      <c r="AV32" s="539">
        <f t="shared" si="7"/>
        <v>2843.3404361611761</v>
      </c>
      <c r="AW32" s="539">
        <f t="shared" si="7"/>
        <v>2843.3404361611761</v>
      </c>
      <c r="AX32" s="539">
        <f t="shared" si="7"/>
        <v>2371.2553246068123</v>
      </c>
      <c r="AY32" s="539">
        <f t="shared" si="7"/>
        <v>2371.2553246068123</v>
      </c>
      <c r="AZ32" s="539">
        <f t="shared" si="7"/>
        <v>2371.2553246068123</v>
      </c>
      <c r="BA32" s="539">
        <f t="shared" si="7"/>
        <v>2371.2553246068123</v>
      </c>
      <c r="BB32" s="539">
        <f t="shared" si="7"/>
        <v>2943.7058445359407</v>
      </c>
      <c r="BC32" s="539">
        <f t="shared" si="7"/>
        <v>2943.7058445359407</v>
      </c>
      <c r="BD32" s="539">
        <f t="shared" si="7"/>
        <v>2943.7058445359407</v>
      </c>
      <c r="BE32" s="539">
        <f t="shared" si="7"/>
        <v>2943.7058445359407</v>
      </c>
      <c r="BF32" s="539">
        <f t="shared" si="7"/>
        <v>2995.1168607853078</v>
      </c>
      <c r="BG32" s="539">
        <f t="shared" si="7"/>
        <v>2995.1168607853078</v>
      </c>
      <c r="BH32" s="539">
        <f t="shared" si="7"/>
        <v>2995.1168607853078</v>
      </c>
      <c r="BI32" s="539">
        <f t="shared" si="7"/>
        <v>2995.1168607853078</v>
      </c>
      <c r="BJ32" s="539">
        <f t="shared" si="7"/>
        <v>3047.3614597086507</v>
      </c>
      <c r="BK32" s="539">
        <f t="shared" si="7"/>
        <v>3047.3614597086507</v>
      </c>
      <c r="BL32" s="539">
        <f t="shared" si="7"/>
        <v>3047.3614597086507</v>
      </c>
      <c r="BM32" s="539">
        <f t="shared" si="7"/>
        <v>3047.3614597086507</v>
      </c>
      <c r="BN32" s="539">
        <f t="shared" si="7"/>
        <v>3100.4507552141258</v>
      </c>
      <c r="BO32" s="539">
        <f t="shared" si="7"/>
        <v>3100.4507552141258</v>
      </c>
      <c r="BP32" s="539">
        <f t="shared" si="7"/>
        <v>3100.4507552141258</v>
      </c>
      <c r="BQ32" s="539">
        <f t="shared" si="7"/>
        <v>3100.4507552141258</v>
      </c>
      <c r="BR32" s="539">
        <f t="shared" si="7"/>
        <v>2563.9569277797268</v>
      </c>
      <c r="BS32" s="539">
        <f t="shared" si="7"/>
        <v>2563.9569277797268</v>
      </c>
      <c r="BT32" s="539">
        <f t="shared" si="7"/>
        <v>2563.9569277797268</v>
      </c>
      <c r="BU32" s="539">
        <f t="shared" si="7"/>
        <v>2563.9569277797268</v>
      </c>
      <c r="BV32" s="539">
        <f t="shared" si="7"/>
        <v>3209.2082011426746</v>
      </c>
      <c r="BW32" s="539">
        <f t="shared" si="7"/>
        <v>3209.2082011426746</v>
      </c>
      <c r="BX32" s="539">
        <f t="shared" si="7"/>
        <v>3209.2082011426746</v>
      </c>
      <c r="BY32" s="539">
        <f t="shared" si="7"/>
        <v>3209.2082011426746</v>
      </c>
      <c r="BZ32" s="539">
        <f t="shared" si="7"/>
        <v>3264.8988786289374</v>
      </c>
      <c r="CA32" s="539">
        <f t="shared" si="7"/>
        <v>3264.8988786289374</v>
      </c>
      <c r="CB32" s="539">
        <f t="shared" si="7"/>
        <v>3264.8988786289374</v>
      </c>
      <c r="CC32" s="539">
        <f t="shared" si="7"/>
        <v>3264.8988786289374</v>
      </c>
      <c r="CD32" s="539">
        <f t="shared" si="7"/>
        <v>3321.4792994848845</v>
      </c>
      <c r="CE32" s="539">
        <f t="shared" si="7"/>
        <v>3321.4792994848845</v>
      </c>
      <c r="CF32" s="539">
        <f t="shared" si="7"/>
        <v>3321.4792994848845</v>
      </c>
      <c r="CG32" s="539">
        <f t="shared" si="7"/>
        <v>3321.4792994848845</v>
      </c>
      <c r="CH32" s="539">
        <f t="shared" si="7"/>
        <v>3378.9608548329065</v>
      </c>
      <c r="CI32" s="539">
        <f t="shared" si="7"/>
        <v>3378.9608548329065</v>
      </c>
      <c r="CJ32" s="539">
        <f t="shared" si="7"/>
        <v>3378.9608548329065</v>
      </c>
      <c r="CK32" s="539">
        <f t="shared" si="7"/>
        <v>3378.9608548329065</v>
      </c>
      <c r="CL32" s="539">
        <f t="shared" si="7"/>
        <v>2769.3274501672527</v>
      </c>
      <c r="CM32" s="539">
        <f t="shared" si="7"/>
        <v>2769.3274501672527</v>
      </c>
      <c r="CN32" s="539">
        <f t="shared" si="7"/>
        <v>2769.3274501672527</v>
      </c>
      <c r="CO32" s="539">
        <f t="shared" si="7"/>
        <v>2769.3274501672527</v>
      </c>
      <c r="CP32" s="539">
        <f t="shared" si="7"/>
        <v>3496.6731473880495</v>
      </c>
      <c r="CQ32" s="539">
        <f t="shared" si="7"/>
        <v>3496.6731473880495</v>
      </c>
      <c r="CR32" s="539">
        <f t="shared" si="7"/>
        <v>3496.6731473880495</v>
      </c>
      <c r="CS32" s="539">
        <f t="shared" si="7"/>
        <v>3496.6731473880495</v>
      </c>
      <c r="CT32" s="539">
        <f t="shared" si="7"/>
        <v>3556.9268671326881</v>
      </c>
      <c r="CU32" s="539">
        <f t="shared" si="7"/>
        <v>3556.9268671326881</v>
      </c>
      <c r="CV32" s="539">
        <f t="shared" si="7"/>
        <v>3556.9268671326881</v>
      </c>
      <c r="CW32" s="539">
        <f t="shared" si="7"/>
        <v>3556.9268671326881</v>
      </c>
      <c r="CX32" s="539">
        <f t="shared" si="7"/>
        <v>3618.1276767990357</v>
      </c>
      <c r="CY32" s="539">
        <f t="shared" si="7"/>
        <v>3618.1276767990357</v>
      </c>
      <c r="CZ32" s="539">
        <f t="shared" si="7"/>
        <v>3618.1276767990357</v>
      </c>
      <c r="DA32" s="539">
        <f t="shared" si="7"/>
        <v>3618.1276767990357</v>
      </c>
      <c r="DB32" s="539">
        <f t="shared" si="7"/>
        <v>3680.2871388469034</v>
      </c>
      <c r="DC32" s="539">
        <f t="shared" si="7"/>
        <v>3680.2871388469034</v>
      </c>
      <c r="DD32" s="539">
        <f t="shared" si="7"/>
        <v>3680.2871388469034</v>
      </c>
      <c r="DE32" s="539">
        <f t="shared" si="7"/>
        <v>3680.2871388469034</v>
      </c>
      <c r="DF32" s="539">
        <f t="shared" si="7"/>
        <v>2987.6050015260889</v>
      </c>
      <c r="DG32" s="539">
        <f t="shared" si="7"/>
        <v>2987.6050015260889</v>
      </c>
      <c r="DH32" s="539">
        <f t="shared" si="7"/>
        <v>2987.6050015260889</v>
      </c>
      <c r="DI32" s="539">
        <f t="shared" si="7"/>
        <v>2987.6050015260889</v>
      </c>
      <c r="DJ32" s="539">
        <f t="shared" si="7"/>
        <v>3807.5283585274274</v>
      </c>
      <c r="DK32" s="539">
        <f t="shared" si="7"/>
        <v>3807.5283585274274</v>
      </c>
      <c r="DL32" s="539">
        <f t="shared" si="7"/>
        <v>3807.5283585274274</v>
      </c>
      <c r="DM32" s="539">
        <f t="shared" si="7"/>
        <v>3807.5283585274274</v>
      </c>
      <c r="DN32" s="539">
        <f t="shared" si="7"/>
        <v>3872.6333120805812</v>
      </c>
      <c r="DO32" s="539">
        <f t="shared" si="7"/>
        <v>3872.6333120805812</v>
      </c>
      <c r="DP32" s="539">
        <f t="shared" si="7"/>
        <v>3872.6333120805812</v>
      </c>
      <c r="DQ32" s="539">
        <f t="shared" si="7"/>
        <v>3872.6333120805812</v>
      </c>
      <c r="DR32" s="539">
        <f t="shared" si="7"/>
        <v>3938.7432974254461</v>
      </c>
      <c r="DS32" s="539">
        <f t="shared" si="7"/>
        <v>3938.7432974254461</v>
      </c>
      <c r="DT32" s="539">
        <f t="shared" si="7"/>
        <v>3938.7432974254461</v>
      </c>
      <c r="DU32" s="539">
        <f t="shared" si="7"/>
        <v>3938.7432974254461</v>
      </c>
      <c r="DV32" s="539">
        <f t="shared" si="7"/>
        <v>4005.8699107077068</v>
      </c>
      <c r="DW32" s="539">
        <f t="shared" si="7"/>
        <v>4005.8699107077068</v>
      </c>
      <c r="DX32" s="539">
        <f t="shared" si="7"/>
        <v>4005.8699107077068</v>
      </c>
      <c r="DY32" s="539">
        <f t="shared" si="7"/>
        <v>4005.8699107077068</v>
      </c>
      <c r="DZ32" s="539">
        <f t="shared" si="7"/>
        <v>4074.0247350494597</v>
      </c>
      <c r="EA32" s="539">
        <f t="shared" si="7"/>
        <v>4074.0247350494597</v>
      </c>
      <c r="EB32" s="539">
        <f t="shared" si="7"/>
        <v>4074.0247350494597</v>
      </c>
      <c r="EC32" s="539">
        <f t="shared" si="7"/>
        <v>4074.0247350494597</v>
      </c>
      <c r="ED32" s="539">
        <f t="shared" si="7"/>
        <v>0</v>
      </c>
      <c r="EE32" s="539">
        <f t="shared" si="7"/>
        <v>0</v>
      </c>
      <c r="EF32" s="539">
        <f t="shared" si="7"/>
        <v>0</v>
      </c>
      <c r="EG32" s="539">
        <f t="shared" si="7"/>
        <v>0</v>
      </c>
    </row>
    <row r="33" spans="5:137" ht="12.75">
      <c r="E33" s="538" t="s">
        <v>436</v>
      </c>
      <c r="G33" s="539" t="s">
        <v>30</v>
      </c>
      <c r="H33" s="539">
        <f>SUM(J33:EG33)</f>
        <v>16415.387757300072</v>
      </c>
      <c r="J33" s="539">
        <f t="shared" si="8" ref="J33:EG33">MAX(0,J31-J32)</f>
        <v>0</v>
      </c>
      <c r="K33" s="539">
        <f t="shared" si="8"/>
        <v>0</v>
      </c>
      <c r="L33" s="539">
        <f t="shared" si="8"/>
        <v>0</v>
      </c>
      <c r="M33" s="539">
        <f t="shared" si="8"/>
        <v>0</v>
      </c>
      <c r="N33" s="539">
        <f t="shared" si="8"/>
        <v>0</v>
      </c>
      <c r="O33" s="539">
        <f t="shared" si="8"/>
        <v>0</v>
      </c>
      <c r="P33" s="539">
        <f t="shared" si="8"/>
        <v>0</v>
      </c>
      <c r="Q33" s="539">
        <f t="shared" si="8"/>
        <v>0</v>
      </c>
      <c r="R33" s="539">
        <f t="shared" si="8"/>
        <v>0</v>
      </c>
      <c r="S33" s="539">
        <f t="shared" si="8"/>
        <v>0</v>
      </c>
      <c r="T33" s="539">
        <f t="shared" si="8"/>
        <v>0</v>
      </c>
      <c r="U33" s="539">
        <f t="shared" si="8"/>
        <v>0</v>
      </c>
      <c r="V33" s="539">
        <f t="shared" si="8"/>
        <v>0</v>
      </c>
      <c r="W33" s="539">
        <f t="shared" si="8"/>
        <v>0</v>
      </c>
      <c r="X33" s="539">
        <f t="shared" si="8"/>
        <v>0</v>
      </c>
      <c r="Y33" s="539">
        <f t="shared" si="8"/>
        <v>0</v>
      </c>
      <c r="Z33" s="539">
        <f t="shared" si="8"/>
        <v>0</v>
      </c>
      <c r="AA33" s="539">
        <f t="shared" si="8"/>
        <v>0</v>
      </c>
      <c r="AB33" s="539">
        <f t="shared" si="8"/>
        <v>0</v>
      </c>
      <c r="AC33" s="539">
        <f t="shared" si="8"/>
        <v>0</v>
      </c>
      <c r="AD33" s="539">
        <f t="shared" si="8"/>
        <v>0</v>
      </c>
      <c r="AE33" s="539">
        <f t="shared" si="8"/>
        <v>0</v>
      </c>
      <c r="AF33" s="539">
        <f t="shared" si="8"/>
        <v>0</v>
      </c>
      <c r="AG33" s="539">
        <f t="shared" si="8"/>
        <v>0</v>
      </c>
      <c r="AH33" s="539">
        <f t="shared" si="8"/>
        <v>1119.7674810450371</v>
      </c>
      <c r="AI33" s="539">
        <f t="shared" si="8"/>
        <v>1106.7052756007283</v>
      </c>
      <c r="AJ33" s="539">
        <f t="shared" si="8"/>
        <v>1113.9835071100601</v>
      </c>
      <c r="AK33" s="539">
        <f t="shared" si="8"/>
        <v>1079.5941652697802</v>
      </c>
      <c r="AL33" s="539">
        <f t="shared" si="8"/>
        <v>916.2405205089326</v>
      </c>
      <c r="AM33" s="539">
        <f t="shared" si="8"/>
        <v>920.86946334976483</v>
      </c>
      <c r="AN33" s="539">
        <f t="shared" si="8"/>
        <v>924.23037069988823</v>
      </c>
      <c r="AO33" s="539">
        <f t="shared" si="8"/>
        <v>887.39783182617384</v>
      </c>
      <c r="AP33" s="539">
        <f t="shared" si="8"/>
        <v>723.99116276129462</v>
      </c>
      <c r="AQ33" s="539">
        <f t="shared" si="8"/>
        <v>724.55214407697258</v>
      </c>
      <c r="AR33" s="539">
        <f t="shared" si="8"/>
        <v>723.73601179957859</v>
      </c>
      <c r="AS33" s="539">
        <f t="shared" si="8"/>
        <v>684.30358043523893</v>
      </c>
      <c r="AT33" s="539">
        <f t="shared" si="8"/>
        <v>558.27811986204279</v>
      </c>
      <c r="AU33" s="539">
        <f t="shared" si="8"/>
        <v>517.38904093978408</v>
      </c>
      <c r="AV33" s="539">
        <f t="shared" si="8"/>
        <v>512.27670972327132</v>
      </c>
      <c r="AW33" s="539">
        <f t="shared" si="8"/>
        <v>470.08448220177161</v>
      </c>
      <c r="AX33" s="539">
        <f t="shared" si="8"/>
        <v>828.62722314703205</v>
      </c>
      <c r="AY33" s="539">
        <f t="shared" si="8"/>
        <v>820.24262604561727</v>
      </c>
      <c r="AZ33" s="539">
        <f t="shared" si="8"/>
        <v>810.2413137683784</v>
      </c>
      <c r="BA33" s="539">
        <f t="shared" si="8"/>
        <v>765.10885609122533</v>
      </c>
      <c r="BB33" s="539">
        <f t="shared" si="8"/>
        <v>80.053052893798849</v>
      </c>
      <c r="BC33" s="539">
        <f t="shared" si="8"/>
        <v>67.620977971457251</v>
      </c>
      <c r="BD33" s="539">
        <f t="shared" si="8"/>
        <v>53.598024161462945</v>
      </c>
      <c r="BE33" s="539">
        <f t="shared" si="8"/>
        <v>6.4958160107807998</v>
      </c>
      <c r="BF33" s="539">
        <f t="shared" si="8"/>
        <v>0</v>
      </c>
      <c r="BG33" s="539">
        <f t="shared" si="8"/>
        <v>0</v>
      </c>
      <c r="BH33" s="539">
        <f t="shared" si="8"/>
        <v>0</v>
      </c>
      <c r="BI33" s="539">
        <f t="shared" si="8"/>
        <v>0</v>
      </c>
      <c r="BJ33" s="539">
        <f t="shared" si="8"/>
        <v>0</v>
      </c>
      <c r="BK33" s="539">
        <f t="shared" si="8"/>
        <v>0</v>
      </c>
      <c r="BL33" s="539">
        <f t="shared" si="8"/>
        <v>0</v>
      </c>
      <c r="BM33" s="539">
        <f t="shared" si="8"/>
        <v>0</v>
      </c>
      <c r="BN33" s="539">
        <f t="shared" si="8"/>
        <v>0</v>
      </c>
      <c r="BO33" s="539">
        <f t="shared" si="8"/>
        <v>0</v>
      </c>
      <c r="BP33" s="539">
        <f t="shared" si="8"/>
        <v>0</v>
      </c>
      <c r="BQ33" s="539">
        <f t="shared" si="8"/>
        <v>0</v>
      </c>
      <c r="BR33" s="539">
        <f t="shared" si="8"/>
        <v>0</v>
      </c>
      <c r="BS33" s="539">
        <f t="shared" si="8"/>
        <v>0</v>
      </c>
      <c r="BT33" s="539">
        <f t="shared" si="8"/>
        <v>0</v>
      </c>
      <c r="BU33" s="539">
        <f t="shared" si="8"/>
        <v>0</v>
      </c>
      <c r="BV33" s="539">
        <f t="shared" si="8"/>
        <v>0</v>
      </c>
      <c r="BW33" s="539">
        <f t="shared" si="8"/>
        <v>0</v>
      </c>
      <c r="BX33" s="539">
        <f t="shared" si="8"/>
        <v>0</v>
      </c>
      <c r="BY33" s="539">
        <f t="shared" si="8"/>
        <v>0</v>
      </c>
      <c r="BZ33" s="539">
        <f t="shared" si="8"/>
        <v>0</v>
      </c>
      <c r="CA33" s="539">
        <f t="shared" si="8"/>
        <v>0</v>
      </c>
      <c r="CB33" s="539">
        <f t="shared" si="8"/>
        <v>0</v>
      </c>
      <c r="CC33" s="539">
        <f t="shared" si="8"/>
        <v>0</v>
      </c>
      <c r="CD33" s="539">
        <f t="shared" si="8"/>
        <v>0</v>
      </c>
      <c r="CE33" s="539">
        <f t="shared" si="8"/>
        <v>0</v>
      </c>
      <c r="CF33" s="539">
        <f t="shared" si="8"/>
        <v>0</v>
      </c>
      <c r="CG33" s="539">
        <f t="shared" si="8"/>
        <v>0</v>
      </c>
      <c r="CH33" s="539">
        <f t="shared" si="8"/>
        <v>0</v>
      </c>
      <c r="CI33" s="539">
        <f t="shared" si="8"/>
        <v>0</v>
      </c>
      <c r="CJ33" s="539">
        <f t="shared" si="8"/>
        <v>0</v>
      </c>
      <c r="CK33" s="539">
        <f t="shared" si="8"/>
        <v>0</v>
      </c>
      <c r="CL33" s="539">
        <f t="shared" si="8"/>
        <v>0</v>
      </c>
      <c r="CM33" s="539">
        <f t="shared" si="8"/>
        <v>0</v>
      </c>
      <c r="CN33" s="539">
        <f t="shared" si="8"/>
        <v>0</v>
      </c>
      <c r="CO33" s="539">
        <f t="shared" si="8"/>
        <v>0</v>
      </c>
      <c r="CP33" s="539">
        <f t="shared" si="8"/>
        <v>0</v>
      </c>
      <c r="CQ33" s="539">
        <f t="shared" si="8"/>
        <v>0</v>
      </c>
      <c r="CR33" s="539">
        <f t="shared" si="8"/>
        <v>0</v>
      </c>
      <c r="CS33" s="539">
        <f t="shared" si="8"/>
        <v>0</v>
      </c>
      <c r="CT33" s="539">
        <f t="shared" si="8"/>
        <v>0</v>
      </c>
      <c r="CU33" s="539">
        <f t="shared" si="8"/>
        <v>0</v>
      </c>
      <c r="CV33" s="539">
        <f t="shared" si="8"/>
        <v>0</v>
      </c>
      <c r="CW33" s="539">
        <f t="shared" si="8"/>
        <v>0</v>
      </c>
      <c r="CX33" s="539">
        <f t="shared" si="8"/>
        <v>0</v>
      </c>
      <c r="CY33" s="539">
        <f t="shared" si="8"/>
        <v>0</v>
      </c>
      <c r="CZ33" s="539">
        <f t="shared" si="8"/>
        <v>0</v>
      </c>
      <c r="DA33" s="539">
        <f t="shared" si="8"/>
        <v>0</v>
      </c>
      <c r="DB33" s="539">
        <f t="shared" si="8"/>
        <v>0</v>
      </c>
      <c r="DC33" s="539">
        <f t="shared" si="8"/>
        <v>0</v>
      </c>
      <c r="DD33" s="539">
        <f t="shared" si="8"/>
        <v>0</v>
      </c>
      <c r="DE33" s="539">
        <f t="shared" si="8"/>
        <v>0</v>
      </c>
      <c r="DF33" s="539">
        <f t="shared" si="8"/>
        <v>0</v>
      </c>
      <c r="DG33" s="539">
        <f t="shared" si="8"/>
        <v>0</v>
      </c>
      <c r="DH33" s="539">
        <f t="shared" si="8"/>
        <v>0</v>
      </c>
      <c r="DI33" s="539">
        <f t="shared" si="8"/>
        <v>0</v>
      </c>
      <c r="DJ33" s="539">
        <f t="shared" si="8"/>
        <v>0</v>
      </c>
      <c r="DK33" s="539">
        <f t="shared" si="8"/>
        <v>0</v>
      </c>
      <c r="DL33" s="539">
        <f t="shared" si="8"/>
        <v>0</v>
      </c>
      <c r="DM33" s="539">
        <f t="shared" si="8"/>
        <v>0</v>
      </c>
      <c r="DN33" s="539">
        <f t="shared" si="8"/>
        <v>0</v>
      </c>
      <c r="DO33" s="539">
        <f t="shared" si="8"/>
        <v>0</v>
      </c>
      <c r="DP33" s="539">
        <f t="shared" si="8"/>
        <v>0</v>
      </c>
      <c r="DQ33" s="539">
        <f t="shared" si="8"/>
        <v>0</v>
      </c>
      <c r="DR33" s="539">
        <f t="shared" si="8"/>
        <v>0</v>
      </c>
      <c r="DS33" s="539">
        <f t="shared" si="8"/>
        <v>0</v>
      </c>
      <c r="DT33" s="539">
        <f t="shared" si="8"/>
        <v>0</v>
      </c>
      <c r="DU33" s="539">
        <f t="shared" si="8"/>
        <v>0</v>
      </c>
      <c r="DV33" s="539">
        <f t="shared" si="8"/>
        <v>0</v>
      </c>
      <c r="DW33" s="539">
        <f t="shared" si="8"/>
        <v>0</v>
      </c>
      <c r="DX33" s="539">
        <f t="shared" si="8"/>
        <v>0</v>
      </c>
      <c r="DY33" s="539">
        <f t="shared" si="8"/>
        <v>0</v>
      </c>
      <c r="DZ33" s="539">
        <f t="shared" si="8"/>
        <v>0</v>
      </c>
      <c r="EA33" s="539">
        <f t="shared" si="8"/>
        <v>0</v>
      </c>
      <c r="EB33" s="539">
        <f t="shared" si="8"/>
        <v>0</v>
      </c>
      <c r="EC33" s="539">
        <f t="shared" si="8"/>
        <v>0</v>
      </c>
      <c r="ED33" s="539">
        <f t="shared" si="8"/>
        <v>0</v>
      </c>
      <c r="EE33" s="539">
        <f t="shared" si="8"/>
        <v>0</v>
      </c>
      <c r="EF33" s="539">
        <f t="shared" si="8"/>
        <v>0</v>
      </c>
      <c r="EG33" s="539">
        <f t="shared" si="8"/>
        <v>0</v>
      </c>
    </row>
    <row r="35" spans="5:137" ht="12.75">
      <c r="E35" s="538" t="str">
        <f>E$21</f>
        <v>Interest expense - for tax</v>
      </c>
      <c r="G35" s="539" t="str">
        <f>G$21</f>
        <v>EUR 000s</v>
      </c>
      <c r="H35" s="539">
        <f>H$21</f>
        <v>159361.69121785057</v>
      </c>
      <c r="J35" s="539">
        <f t="shared" si="9" ref="J35:EG35">J$21</f>
        <v>0</v>
      </c>
      <c r="K35" s="539">
        <f t="shared" si="9"/>
        <v>0</v>
      </c>
      <c r="L35" s="539">
        <f t="shared" si="9"/>
        <v>0</v>
      </c>
      <c r="M35" s="539">
        <f t="shared" si="9"/>
        <v>0</v>
      </c>
      <c r="N35" s="539">
        <f t="shared" si="9"/>
        <v>0</v>
      </c>
      <c r="O35" s="539">
        <f t="shared" si="9"/>
        <v>0</v>
      </c>
      <c r="P35" s="539">
        <f t="shared" si="9"/>
        <v>0</v>
      </c>
      <c r="Q35" s="539">
        <f t="shared" si="9"/>
        <v>0</v>
      </c>
      <c r="R35" s="539">
        <f t="shared" si="9"/>
        <v>0</v>
      </c>
      <c r="S35" s="539">
        <f t="shared" si="9"/>
        <v>0</v>
      </c>
      <c r="T35" s="539">
        <f t="shared" si="9"/>
        <v>0</v>
      </c>
      <c r="U35" s="539">
        <f t="shared" si="9"/>
        <v>0</v>
      </c>
      <c r="V35" s="539">
        <f t="shared" si="9"/>
        <v>0</v>
      </c>
      <c r="W35" s="539">
        <f t="shared" si="9"/>
        <v>0</v>
      </c>
      <c r="X35" s="539">
        <f t="shared" si="9"/>
        <v>0</v>
      </c>
      <c r="Y35" s="539">
        <f t="shared" si="9"/>
        <v>0</v>
      </c>
      <c r="Z35" s="539">
        <f t="shared" si="9"/>
        <v>0</v>
      </c>
      <c r="AA35" s="539">
        <f t="shared" si="9"/>
        <v>0</v>
      </c>
      <c r="AB35" s="539">
        <f t="shared" si="9"/>
        <v>0</v>
      </c>
      <c r="AC35" s="539">
        <f t="shared" si="9"/>
        <v>0</v>
      </c>
      <c r="AD35" s="539">
        <f t="shared" si="9"/>
        <v>0</v>
      </c>
      <c r="AE35" s="539">
        <f t="shared" si="9"/>
        <v>0</v>
      </c>
      <c r="AF35" s="539">
        <f t="shared" si="9"/>
        <v>0</v>
      </c>
      <c r="AG35" s="539">
        <f t="shared" si="9"/>
        <v>0</v>
      </c>
      <c r="AH35" s="539">
        <f t="shared" si="9"/>
        <v>3818.5377622950368</v>
      </c>
      <c r="AI35" s="539">
        <f t="shared" si="9"/>
        <v>3805.475556850728</v>
      </c>
      <c r="AJ35" s="539">
        <f t="shared" si="9"/>
        <v>3812.7537883600598</v>
      </c>
      <c r="AK35" s="539">
        <f t="shared" si="9"/>
        <v>3778.3644465197799</v>
      </c>
      <c r="AL35" s="539">
        <f t="shared" si="9"/>
        <v>3662.4182112901822</v>
      </c>
      <c r="AM35" s="539">
        <f t="shared" si="9"/>
        <v>3667.0471541310144</v>
      </c>
      <c r="AN35" s="539">
        <f t="shared" si="9"/>
        <v>3670.4080614811378</v>
      </c>
      <c r="AO35" s="539">
        <f t="shared" si="9"/>
        <v>3633.5755226074234</v>
      </c>
      <c r="AP35" s="539">
        <f t="shared" si="9"/>
        <v>3518.3553194870756</v>
      </c>
      <c r="AQ35" s="539">
        <f t="shared" si="9"/>
        <v>3518.9163008027535</v>
      </c>
      <c r="AR35" s="539">
        <f t="shared" si="9"/>
        <v>3518.1001685253595</v>
      </c>
      <c r="AS35" s="539">
        <f t="shared" si="9"/>
        <v>3478.6677371610199</v>
      </c>
      <c r="AT35" s="539">
        <f t="shared" si="9"/>
        <v>3401.6185560232188</v>
      </c>
      <c r="AU35" s="539">
        <f t="shared" si="9"/>
        <v>3360.7294771009601</v>
      </c>
      <c r="AV35" s="539">
        <f t="shared" si="9"/>
        <v>3355.6171458844474</v>
      </c>
      <c r="AW35" s="539">
        <f t="shared" si="9"/>
        <v>3313.4249183629477</v>
      </c>
      <c r="AX35" s="539">
        <f t="shared" si="9"/>
        <v>3199.8825477538444</v>
      </c>
      <c r="AY35" s="539">
        <f t="shared" si="9"/>
        <v>3191.4979506524296</v>
      </c>
      <c r="AZ35" s="539">
        <f t="shared" si="9"/>
        <v>3181.4966383751907</v>
      </c>
      <c r="BA35" s="539">
        <f t="shared" si="9"/>
        <v>3136.3641806980377</v>
      </c>
      <c r="BB35" s="539">
        <f t="shared" si="9"/>
        <v>3023.7588974297396</v>
      </c>
      <c r="BC35" s="539">
        <f t="shared" si="9"/>
        <v>3011.326822507398</v>
      </c>
      <c r="BD35" s="539">
        <f t="shared" si="9"/>
        <v>2997.3038686974037</v>
      </c>
      <c r="BE35" s="539">
        <f t="shared" si="9"/>
        <v>2950.2016605467215</v>
      </c>
      <c r="BF35" s="539">
        <f t="shared" si="9"/>
        <v>2839.7709975193652</v>
      </c>
      <c r="BG35" s="539">
        <f t="shared" si="9"/>
        <v>2822.7337524471814</v>
      </c>
      <c r="BH35" s="539">
        <f t="shared" si="9"/>
        <v>2803.9660668191113</v>
      </c>
      <c r="BI35" s="539">
        <f t="shared" si="9"/>
        <v>2754.1127749987254</v>
      </c>
      <c r="BJ35" s="539">
        <f t="shared" si="9"/>
        <v>2674.590173987408</v>
      </c>
      <c r="BK35" s="539">
        <f t="shared" si="9"/>
        <v>2623.3753395385374</v>
      </c>
      <c r="BL35" s="539">
        <f t="shared" si="9"/>
        <v>2599.6573961104095</v>
      </c>
      <c r="BM35" s="539">
        <f t="shared" si="9"/>
        <v>2546.8097321681589</v>
      </c>
      <c r="BN35" s="539">
        <f t="shared" si="9"/>
        <v>2439.4186649651379</v>
      </c>
      <c r="BO35" s="539">
        <f t="shared" si="9"/>
        <v>2412.0887651156381</v>
      </c>
      <c r="BP35" s="539">
        <f t="shared" si="9"/>
        <v>2382.7287642002998</v>
      </c>
      <c r="BQ35" s="539">
        <f t="shared" si="9"/>
        <v>2326.6324991440333</v>
      </c>
      <c r="BR35" s="539">
        <f t="shared" si="9"/>
        <v>2220.7944398768309</v>
      </c>
      <c r="BS35" s="539">
        <f t="shared" si="9"/>
        <v>2187.0131965888067</v>
      </c>
      <c r="BT35" s="539">
        <f t="shared" si="9"/>
        <v>2151.0138416801578</v>
      </c>
      <c r="BU35" s="539">
        <f t="shared" si="9"/>
        <v>2090.6551165552705</v>
      </c>
      <c r="BV35" s="539">
        <f t="shared" si="9"/>
        <v>1985.7101816314894</v>
      </c>
      <c r="BW35" s="539">
        <f t="shared" si="9"/>
        <v>1947.6452522674899</v>
      </c>
      <c r="BX35" s="539">
        <f t="shared" si="9"/>
        <v>1912.9575210716878</v>
      </c>
      <c r="BY35" s="539">
        <f t="shared" si="9"/>
        <v>1856.6685096799326</v>
      </c>
      <c r="BZ35" s="539">
        <f t="shared" si="9"/>
        <v>1780.5099218183652</v>
      </c>
      <c r="CA35" s="539">
        <f t="shared" si="9"/>
        <v>1723.0660080240725</v>
      </c>
      <c r="CB35" s="539">
        <f t="shared" si="9"/>
        <v>1683.116274118051</v>
      </c>
      <c r="CC35" s="539">
        <f t="shared" si="9"/>
        <v>1624.2754546454987</v>
      </c>
      <c r="CD35" s="539">
        <f t="shared" si="9"/>
        <v>1533.4322568484231</v>
      </c>
      <c r="CE35" s="539">
        <f t="shared" si="9"/>
        <v>1504.8857846127805</v>
      </c>
      <c r="CF35" s="539">
        <f t="shared" si="9"/>
        <v>1474.4260606498726</v>
      </c>
      <c r="CG35" s="539">
        <f t="shared" si="9"/>
        <v>1427.1413681802019</v>
      </c>
      <c r="CH35" s="539">
        <f t="shared" si="9"/>
        <v>1349.5629553171893</v>
      </c>
      <c r="CI35" s="539">
        <f t="shared" si="9"/>
        <v>1316.1916975217407</v>
      </c>
      <c r="CJ35" s="539">
        <f t="shared" si="9"/>
        <v>1280.7635823558471</v>
      </c>
      <c r="CK35" s="539">
        <f t="shared" si="9"/>
        <v>1230.5054977181208</v>
      </c>
      <c r="CL35" s="539">
        <f t="shared" si="9"/>
        <v>1154.242185163836</v>
      </c>
      <c r="CM35" s="539">
        <f t="shared" si="9"/>
        <v>1111.7531001889547</v>
      </c>
      <c r="CN35" s="539">
        <f t="shared" si="9"/>
        <v>1066.9235722730491</v>
      </c>
      <c r="CO35" s="539">
        <f t="shared" si="9"/>
        <v>1009.3816975286077</v>
      </c>
      <c r="CP35" s="539">
        <f t="shared" si="9"/>
        <v>941.04226869427248</v>
      </c>
      <c r="CQ35" s="539">
        <f t="shared" si="9"/>
        <v>886.16951660116763</v>
      </c>
      <c r="CR35" s="539">
        <f t="shared" si="9"/>
        <v>839.51515432249653</v>
      </c>
      <c r="CS35" s="539">
        <f t="shared" si="9"/>
        <v>782.42190086511391</v>
      </c>
      <c r="CT35" s="539">
        <f t="shared" si="9"/>
        <v>709.10904897538694</v>
      </c>
      <c r="CU35" s="539">
        <f t="shared" si="9"/>
        <v>658.73080140870934</v>
      </c>
      <c r="CV35" s="539">
        <f t="shared" si="9"/>
        <v>605.81871716551984</v>
      </c>
      <c r="CW35" s="539">
        <f t="shared" si="9"/>
        <v>545.05145143901598</v>
      </c>
      <c r="CX35" s="539">
        <f t="shared" si="9"/>
        <v>473.25292862187814</v>
      </c>
      <c r="CY35" s="539">
        <f t="shared" si="9"/>
        <v>416.56171669296856</v>
      </c>
      <c r="CZ35" s="539">
        <f t="shared" si="9"/>
        <v>357.16582424013654</v>
      </c>
      <c r="DA35" s="539">
        <f t="shared" si="9"/>
        <v>292.48879194963263</v>
      </c>
      <c r="DB35" s="539">
        <f t="shared" si="9"/>
        <v>-3.9862031483869642E-13</v>
      </c>
      <c r="DC35" s="539">
        <f t="shared" si="9"/>
        <v>-4.0304942944801527E-13</v>
      </c>
      <c r="DD35" s="539">
        <f t="shared" si="9"/>
        <v>-4.0747854405733406E-13</v>
      </c>
      <c r="DE35" s="539">
        <f t="shared" si="9"/>
        <v>-4.0747854405733406E-13</v>
      </c>
      <c r="DF35" s="539">
        <f t="shared" si="9"/>
        <v>-4.0304942944801527E-13</v>
      </c>
      <c r="DG35" s="539">
        <f t="shared" si="9"/>
        <v>-4.0304942944801527E-13</v>
      </c>
      <c r="DH35" s="539">
        <f t="shared" si="9"/>
        <v>-4.0747854405733406E-13</v>
      </c>
      <c r="DI35" s="539">
        <f t="shared" si="9"/>
        <v>-4.0747854405733406E-13</v>
      </c>
      <c r="DJ35" s="539">
        <f t="shared" si="9"/>
        <v>-3.9862031483869642E-13</v>
      </c>
      <c r="DK35" s="539">
        <f t="shared" si="9"/>
        <v>-4.0304942944801527E-13</v>
      </c>
      <c r="DL35" s="539">
        <f t="shared" si="9"/>
        <v>-4.0747854405733406E-13</v>
      </c>
      <c r="DM35" s="539">
        <f t="shared" si="9"/>
        <v>-4.0747854405733406E-13</v>
      </c>
      <c r="DN35" s="539">
        <f t="shared" si="9"/>
        <v>-3.9862031483869642E-13</v>
      </c>
      <c r="DO35" s="539">
        <f t="shared" si="9"/>
        <v>-4.0304942944801527E-13</v>
      </c>
      <c r="DP35" s="539">
        <f t="shared" si="9"/>
        <v>-4.0747854405733406E-13</v>
      </c>
      <c r="DQ35" s="539">
        <f t="shared" si="9"/>
        <v>-4.0747854405733406E-13</v>
      </c>
      <c r="DR35" s="539">
        <f t="shared" si="9"/>
        <v>-3.9862031483869642E-13</v>
      </c>
      <c r="DS35" s="539">
        <f t="shared" si="9"/>
        <v>-4.0304942944801527E-13</v>
      </c>
      <c r="DT35" s="539">
        <f t="shared" si="9"/>
        <v>-4.0747854405733406E-13</v>
      </c>
      <c r="DU35" s="539">
        <f t="shared" si="9"/>
        <v>-4.0747854405733406E-13</v>
      </c>
      <c r="DV35" s="539">
        <f t="shared" si="9"/>
        <v>-4.0304942944801527E-13</v>
      </c>
      <c r="DW35" s="539">
        <f t="shared" si="9"/>
        <v>-4.0304942944801527E-13</v>
      </c>
      <c r="DX35" s="539">
        <f t="shared" si="9"/>
        <v>-4.0747854405733406E-13</v>
      </c>
      <c r="DY35" s="539">
        <f t="shared" si="9"/>
        <v>-4.0747854405733406E-13</v>
      </c>
      <c r="DZ35" s="539">
        <f t="shared" si="9"/>
        <v>-3.9862031483869642E-13</v>
      </c>
      <c r="EA35" s="539">
        <f t="shared" si="9"/>
        <v>-4.0304942944801527E-13</v>
      </c>
      <c r="EB35" s="539">
        <f t="shared" si="9"/>
        <v>-4.0747854405733406E-13</v>
      </c>
      <c r="EC35" s="539">
        <f t="shared" si="9"/>
        <v>-4.0747854405733406E-13</v>
      </c>
      <c r="ED35" s="539">
        <f t="shared" si="9"/>
        <v>0</v>
      </c>
      <c r="EE35" s="539">
        <f t="shared" si="9"/>
        <v>0</v>
      </c>
      <c r="EF35" s="539">
        <f t="shared" si="9"/>
        <v>0</v>
      </c>
      <c r="EG35" s="539">
        <f t="shared" si="9"/>
        <v>0</v>
      </c>
    </row>
    <row r="36" spans="5:137" ht="12.75">
      <c r="E36" s="538" t="str">
        <f>E$25</f>
        <v>Interest cap - allowance</v>
      </c>
      <c r="G36" s="539" t="str">
        <f>G$25</f>
        <v>EUR 000s</v>
      </c>
      <c r="H36" s="539">
        <f>H$25</f>
        <v>324347.17546915525</v>
      </c>
      <c r="J36" s="539">
        <f t="shared" si="10" ref="J36:EG36">J$25</f>
        <v>0</v>
      </c>
      <c r="K36" s="539">
        <f t="shared" si="10"/>
        <v>0</v>
      </c>
      <c r="L36" s="539">
        <f t="shared" si="10"/>
        <v>0</v>
      </c>
      <c r="M36" s="539">
        <f t="shared" si="10"/>
        <v>0</v>
      </c>
      <c r="N36" s="539">
        <f t="shared" si="10"/>
        <v>0</v>
      </c>
      <c r="O36" s="539">
        <f t="shared" si="10"/>
        <v>0</v>
      </c>
      <c r="P36" s="539">
        <f t="shared" si="10"/>
        <v>0</v>
      </c>
      <c r="Q36" s="539">
        <f t="shared" si="10"/>
        <v>0</v>
      </c>
      <c r="R36" s="539">
        <f t="shared" si="10"/>
        <v>0</v>
      </c>
      <c r="S36" s="539">
        <f t="shared" si="10"/>
        <v>0</v>
      </c>
      <c r="T36" s="539">
        <f t="shared" si="10"/>
        <v>0</v>
      </c>
      <c r="U36" s="539">
        <f t="shared" si="10"/>
        <v>0</v>
      </c>
      <c r="V36" s="539">
        <f t="shared" si="10"/>
        <v>0</v>
      </c>
      <c r="W36" s="539">
        <f t="shared" si="10"/>
        <v>0</v>
      </c>
      <c r="X36" s="539">
        <f t="shared" si="10"/>
        <v>0</v>
      </c>
      <c r="Y36" s="539">
        <f t="shared" si="10"/>
        <v>0</v>
      </c>
      <c r="Z36" s="539">
        <f t="shared" si="10"/>
        <v>0</v>
      </c>
      <c r="AA36" s="539">
        <f t="shared" si="10"/>
        <v>0</v>
      </c>
      <c r="AB36" s="539">
        <f t="shared" si="10"/>
        <v>0</v>
      </c>
      <c r="AC36" s="539">
        <f t="shared" si="10"/>
        <v>0</v>
      </c>
      <c r="AD36" s="539">
        <f t="shared" si="10"/>
        <v>0</v>
      </c>
      <c r="AE36" s="539">
        <f t="shared" si="10"/>
        <v>0</v>
      </c>
      <c r="AF36" s="539">
        <f t="shared" si="10"/>
        <v>0</v>
      </c>
      <c r="AG36" s="539">
        <f t="shared" si="10"/>
        <v>0</v>
      </c>
      <c r="AH36" s="539">
        <f t="shared" si="10"/>
        <v>2698.7702812499997</v>
      </c>
      <c r="AI36" s="539">
        <f t="shared" si="10"/>
        <v>2698.7702812499997</v>
      </c>
      <c r="AJ36" s="539">
        <f t="shared" si="10"/>
        <v>2698.7702812499997</v>
      </c>
      <c r="AK36" s="539">
        <f t="shared" si="10"/>
        <v>2698.7702812499997</v>
      </c>
      <c r="AL36" s="539">
        <f t="shared" si="10"/>
        <v>2746.1776907812496</v>
      </c>
      <c r="AM36" s="539">
        <f t="shared" si="10"/>
        <v>2746.1776907812496</v>
      </c>
      <c r="AN36" s="539">
        <f t="shared" si="10"/>
        <v>2746.1776907812496</v>
      </c>
      <c r="AO36" s="539">
        <f t="shared" si="10"/>
        <v>2746.1776907812496</v>
      </c>
      <c r="AP36" s="539">
        <f t="shared" si="10"/>
        <v>2794.364156725781</v>
      </c>
      <c r="AQ36" s="539">
        <f t="shared" si="10"/>
        <v>2794.364156725781</v>
      </c>
      <c r="AR36" s="539">
        <f t="shared" si="10"/>
        <v>2794.364156725781</v>
      </c>
      <c r="AS36" s="539">
        <f t="shared" si="10"/>
        <v>2794.364156725781</v>
      </c>
      <c r="AT36" s="539">
        <f t="shared" si="10"/>
        <v>2843.3404361611761</v>
      </c>
      <c r="AU36" s="539">
        <f t="shared" si="10"/>
        <v>2843.3404361611761</v>
      </c>
      <c r="AV36" s="539">
        <f t="shared" si="10"/>
        <v>2843.3404361611761</v>
      </c>
      <c r="AW36" s="539">
        <f t="shared" si="10"/>
        <v>2843.3404361611761</v>
      </c>
      <c r="AX36" s="539">
        <f t="shared" si="10"/>
        <v>2371.2553246068123</v>
      </c>
      <c r="AY36" s="539">
        <f t="shared" si="10"/>
        <v>2371.2553246068123</v>
      </c>
      <c r="AZ36" s="539">
        <f t="shared" si="10"/>
        <v>2371.2553246068123</v>
      </c>
      <c r="BA36" s="539">
        <f t="shared" si="10"/>
        <v>2371.2553246068123</v>
      </c>
      <c r="BB36" s="539">
        <f t="shared" si="10"/>
        <v>2943.7058445359407</v>
      </c>
      <c r="BC36" s="539">
        <f t="shared" si="10"/>
        <v>2943.7058445359407</v>
      </c>
      <c r="BD36" s="539">
        <f t="shared" si="10"/>
        <v>2943.7058445359407</v>
      </c>
      <c r="BE36" s="539">
        <f t="shared" si="10"/>
        <v>2943.7058445359407</v>
      </c>
      <c r="BF36" s="539">
        <f t="shared" si="10"/>
        <v>2995.1168607853078</v>
      </c>
      <c r="BG36" s="539">
        <f t="shared" si="10"/>
        <v>2995.1168607853078</v>
      </c>
      <c r="BH36" s="539">
        <f t="shared" si="10"/>
        <v>2995.1168607853078</v>
      </c>
      <c r="BI36" s="539">
        <f t="shared" si="10"/>
        <v>2995.1168607853078</v>
      </c>
      <c r="BJ36" s="539">
        <f t="shared" si="10"/>
        <v>3047.3614597086507</v>
      </c>
      <c r="BK36" s="539">
        <f t="shared" si="10"/>
        <v>3047.3614597086507</v>
      </c>
      <c r="BL36" s="539">
        <f t="shared" si="10"/>
        <v>3047.3614597086507</v>
      </c>
      <c r="BM36" s="539">
        <f t="shared" si="10"/>
        <v>3047.3614597086507</v>
      </c>
      <c r="BN36" s="539">
        <f t="shared" si="10"/>
        <v>3100.4507552141258</v>
      </c>
      <c r="BO36" s="539">
        <f t="shared" si="10"/>
        <v>3100.4507552141258</v>
      </c>
      <c r="BP36" s="539">
        <f t="shared" si="10"/>
        <v>3100.4507552141258</v>
      </c>
      <c r="BQ36" s="539">
        <f t="shared" si="10"/>
        <v>3100.4507552141258</v>
      </c>
      <c r="BR36" s="539">
        <f t="shared" si="10"/>
        <v>2563.9569277797268</v>
      </c>
      <c r="BS36" s="539">
        <f t="shared" si="10"/>
        <v>2563.9569277797268</v>
      </c>
      <c r="BT36" s="539">
        <f t="shared" si="10"/>
        <v>2563.9569277797268</v>
      </c>
      <c r="BU36" s="539">
        <f t="shared" si="10"/>
        <v>2563.9569277797268</v>
      </c>
      <c r="BV36" s="539">
        <f t="shared" si="10"/>
        <v>3209.2082011426746</v>
      </c>
      <c r="BW36" s="539">
        <f t="shared" si="10"/>
        <v>3209.2082011426746</v>
      </c>
      <c r="BX36" s="539">
        <f t="shared" si="10"/>
        <v>3209.2082011426746</v>
      </c>
      <c r="BY36" s="539">
        <f t="shared" si="10"/>
        <v>3209.2082011426746</v>
      </c>
      <c r="BZ36" s="539">
        <f t="shared" si="10"/>
        <v>3264.8988786289374</v>
      </c>
      <c r="CA36" s="539">
        <f t="shared" si="10"/>
        <v>3264.8988786289374</v>
      </c>
      <c r="CB36" s="539">
        <f t="shared" si="10"/>
        <v>3264.8988786289374</v>
      </c>
      <c r="CC36" s="539">
        <f t="shared" si="10"/>
        <v>3264.8988786289374</v>
      </c>
      <c r="CD36" s="539">
        <f t="shared" si="10"/>
        <v>3321.4792994848845</v>
      </c>
      <c r="CE36" s="539">
        <f t="shared" si="10"/>
        <v>3321.4792994848845</v>
      </c>
      <c r="CF36" s="539">
        <f t="shared" si="10"/>
        <v>3321.4792994848845</v>
      </c>
      <c r="CG36" s="539">
        <f t="shared" si="10"/>
        <v>3321.4792994848845</v>
      </c>
      <c r="CH36" s="539">
        <f t="shared" si="10"/>
        <v>3378.9608548329065</v>
      </c>
      <c r="CI36" s="539">
        <f t="shared" si="10"/>
        <v>3378.9608548329065</v>
      </c>
      <c r="CJ36" s="539">
        <f t="shared" si="10"/>
        <v>3378.9608548329065</v>
      </c>
      <c r="CK36" s="539">
        <f t="shared" si="10"/>
        <v>3378.9608548329065</v>
      </c>
      <c r="CL36" s="539">
        <f t="shared" si="10"/>
        <v>2769.3274501672527</v>
      </c>
      <c r="CM36" s="539">
        <f t="shared" si="10"/>
        <v>2769.3274501672527</v>
      </c>
      <c r="CN36" s="539">
        <f t="shared" si="10"/>
        <v>2769.3274501672527</v>
      </c>
      <c r="CO36" s="539">
        <f t="shared" si="10"/>
        <v>2769.3274501672527</v>
      </c>
      <c r="CP36" s="539">
        <f t="shared" si="10"/>
        <v>3496.6731473880495</v>
      </c>
      <c r="CQ36" s="539">
        <f t="shared" si="10"/>
        <v>3496.6731473880495</v>
      </c>
      <c r="CR36" s="539">
        <f t="shared" si="10"/>
        <v>3496.6731473880495</v>
      </c>
      <c r="CS36" s="539">
        <f t="shared" si="10"/>
        <v>3496.6731473880495</v>
      </c>
      <c r="CT36" s="539">
        <f t="shared" si="10"/>
        <v>3556.9268671326881</v>
      </c>
      <c r="CU36" s="539">
        <f t="shared" si="10"/>
        <v>3556.9268671326881</v>
      </c>
      <c r="CV36" s="539">
        <f t="shared" si="10"/>
        <v>3556.9268671326881</v>
      </c>
      <c r="CW36" s="539">
        <f t="shared" si="10"/>
        <v>3556.9268671326881</v>
      </c>
      <c r="CX36" s="539">
        <f t="shared" si="10"/>
        <v>3618.1276767990357</v>
      </c>
      <c r="CY36" s="539">
        <f t="shared" si="10"/>
        <v>3618.1276767990357</v>
      </c>
      <c r="CZ36" s="539">
        <f t="shared" si="10"/>
        <v>3618.1276767990357</v>
      </c>
      <c r="DA36" s="539">
        <f t="shared" si="10"/>
        <v>3618.1276767990357</v>
      </c>
      <c r="DB36" s="539">
        <f t="shared" si="10"/>
        <v>3680.2871388469034</v>
      </c>
      <c r="DC36" s="539">
        <f t="shared" si="10"/>
        <v>3680.2871388469034</v>
      </c>
      <c r="DD36" s="539">
        <f t="shared" si="10"/>
        <v>3680.2871388469034</v>
      </c>
      <c r="DE36" s="539">
        <f t="shared" si="10"/>
        <v>3680.2871388469034</v>
      </c>
      <c r="DF36" s="539">
        <f t="shared" si="10"/>
        <v>2987.6050015260889</v>
      </c>
      <c r="DG36" s="539">
        <f t="shared" si="10"/>
        <v>2987.6050015260889</v>
      </c>
      <c r="DH36" s="539">
        <f t="shared" si="10"/>
        <v>2987.6050015260889</v>
      </c>
      <c r="DI36" s="539">
        <f t="shared" si="10"/>
        <v>2987.6050015260889</v>
      </c>
      <c r="DJ36" s="539">
        <f t="shared" si="10"/>
        <v>3807.5283585274274</v>
      </c>
      <c r="DK36" s="539">
        <f t="shared" si="10"/>
        <v>3807.5283585274274</v>
      </c>
      <c r="DL36" s="539">
        <f t="shared" si="10"/>
        <v>3807.5283585274274</v>
      </c>
      <c r="DM36" s="539">
        <f t="shared" si="10"/>
        <v>3807.5283585274274</v>
      </c>
      <c r="DN36" s="539">
        <f t="shared" si="10"/>
        <v>3872.6333120805812</v>
      </c>
      <c r="DO36" s="539">
        <f t="shared" si="10"/>
        <v>3872.6333120805812</v>
      </c>
      <c r="DP36" s="539">
        <f t="shared" si="10"/>
        <v>3872.6333120805812</v>
      </c>
      <c r="DQ36" s="539">
        <f t="shared" si="10"/>
        <v>3872.6333120805812</v>
      </c>
      <c r="DR36" s="539">
        <f t="shared" si="10"/>
        <v>3938.7432974254461</v>
      </c>
      <c r="DS36" s="539">
        <f t="shared" si="10"/>
        <v>3938.7432974254461</v>
      </c>
      <c r="DT36" s="539">
        <f t="shared" si="10"/>
        <v>3938.7432974254461</v>
      </c>
      <c r="DU36" s="539">
        <f t="shared" si="10"/>
        <v>3938.7432974254461</v>
      </c>
      <c r="DV36" s="539">
        <f t="shared" si="10"/>
        <v>4005.8699107077068</v>
      </c>
      <c r="DW36" s="539">
        <f t="shared" si="10"/>
        <v>4005.8699107077068</v>
      </c>
      <c r="DX36" s="539">
        <f t="shared" si="10"/>
        <v>4005.8699107077068</v>
      </c>
      <c r="DY36" s="539">
        <f t="shared" si="10"/>
        <v>4005.8699107077068</v>
      </c>
      <c r="DZ36" s="539">
        <f t="shared" si="10"/>
        <v>4074.0247350494597</v>
      </c>
      <c r="EA36" s="539">
        <f t="shared" si="10"/>
        <v>4074.0247350494597</v>
      </c>
      <c r="EB36" s="539">
        <f t="shared" si="10"/>
        <v>4074.0247350494597</v>
      </c>
      <c r="EC36" s="539">
        <f t="shared" si="10"/>
        <v>4074.0247350494597</v>
      </c>
      <c r="ED36" s="539">
        <f t="shared" si="10"/>
        <v>0</v>
      </c>
      <c r="EE36" s="539">
        <f t="shared" si="10"/>
        <v>0</v>
      </c>
      <c r="EF36" s="539">
        <f t="shared" si="10"/>
        <v>0</v>
      </c>
      <c r="EG36" s="539">
        <f t="shared" si="10"/>
        <v>0</v>
      </c>
    </row>
    <row r="37" spans="5:137" ht="12.75">
      <c r="E37" s="538" t="str">
        <f>E$29</f>
        <v>Disallowed interest - opening balance</v>
      </c>
      <c r="G37" s="539" t="str">
        <f>G$29</f>
        <v>EUR 000s</v>
      </c>
      <c r="H37" s="539">
        <f>H$29</f>
        <v>492908.97033742344</v>
      </c>
      <c r="J37" s="539">
        <f t="shared" si="11" ref="J37:EG37">J$29</f>
        <v>0</v>
      </c>
      <c r="K37" s="539">
        <f t="shared" si="11"/>
        <v>0</v>
      </c>
      <c r="L37" s="539">
        <f t="shared" si="11"/>
        <v>0</v>
      </c>
      <c r="M37" s="539">
        <f t="shared" si="11"/>
        <v>0</v>
      </c>
      <c r="N37" s="539">
        <f t="shared" si="11"/>
        <v>0</v>
      </c>
      <c r="O37" s="539">
        <f t="shared" si="11"/>
        <v>0</v>
      </c>
      <c r="P37" s="539">
        <f t="shared" si="11"/>
        <v>0</v>
      </c>
      <c r="Q37" s="539">
        <f t="shared" si="11"/>
        <v>0</v>
      </c>
      <c r="R37" s="539">
        <f t="shared" si="11"/>
        <v>0</v>
      </c>
      <c r="S37" s="539">
        <f t="shared" si="11"/>
        <v>0</v>
      </c>
      <c r="T37" s="539">
        <f t="shared" si="11"/>
        <v>0</v>
      </c>
      <c r="U37" s="539">
        <f t="shared" si="11"/>
        <v>0</v>
      </c>
      <c r="V37" s="539">
        <f t="shared" si="11"/>
        <v>0</v>
      </c>
      <c r="W37" s="539">
        <f t="shared" si="11"/>
        <v>0</v>
      </c>
      <c r="X37" s="539">
        <f t="shared" si="11"/>
        <v>0</v>
      </c>
      <c r="Y37" s="539">
        <f t="shared" si="11"/>
        <v>0</v>
      </c>
      <c r="Z37" s="539">
        <f t="shared" si="11"/>
        <v>0</v>
      </c>
      <c r="AA37" s="539">
        <f t="shared" si="11"/>
        <v>0</v>
      </c>
      <c r="AB37" s="539">
        <f t="shared" si="11"/>
        <v>0</v>
      </c>
      <c r="AC37" s="539">
        <f t="shared" si="11"/>
        <v>0</v>
      </c>
      <c r="AD37" s="539">
        <f t="shared" si="11"/>
        <v>0</v>
      </c>
      <c r="AE37" s="539">
        <f t="shared" si="11"/>
        <v>0</v>
      </c>
      <c r="AF37" s="539">
        <f t="shared" si="11"/>
        <v>0</v>
      </c>
      <c r="AG37" s="539">
        <f t="shared" si="11"/>
        <v>0</v>
      </c>
      <c r="AH37" s="539">
        <f t="shared" si="11"/>
        <v>0</v>
      </c>
      <c r="AI37" s="539">
        <f t="shared" si="11"/>
        <v>1119.7674810450371</v>
      </c>
      <c r="AJ37" s="539">
        <f t="shared" si="11"/>
        <v>2226.4727566457655</v>
      </c>
      <c r="AK37" s="539">
        <f t="shared" si="11"/>
        <v>3340.4562637558256</v>
      </c>
      <c r="AL37" s="539">
        <f t="shared" si="11"/>
        <v>4420.0504290256058</v>
      </c>
      <c r="AM37" s="539">
        <f t="shared" si="11"/>
        <v>5336.2909495345384</v>
      </c>
      <c r="AN37" s="539">
        <f t="shared" si="11"/>
        <v>6257.1604128843028</v>
      </c>
      <c r="AO37" s="539">
        <f t="shared" si="11"/>
        <v>7181.390783584191</v>
      </c>
      <c r="AP37" s="539">
        <f t="shared" si="11"/>
        <v>8068.7886154103653</v>
      </c>
      <c r="AQ37" s="539">
        <f t="shared" si="11"/>
        <v>8792.7797781716599</v>
      </c>
      <c r="AR37" s="539">
        <f t="shared" si="11"/>
        <v>9517.3319222486316</v>
      </c>
      <c r="AS37" s="539">
        <f t="shared" si="11"/>
        <v>10241.067934048209</v>
      </c>
      <c r="AT37" s="539">
        <f t="shared" si="11"/>
        <v>10925.371514483448</v>
      </c>
      <c r="AU37" s="539">
        <f t="shared" si="11"/>
        <v>11483.649634345491</v>
      </c>
      <c r="AV37" s="539">
        <f t="shared" si="11"/>
        <v>12001.038675285276</v>
      </c>
      <c r="AW37" s="539">
        <f t="shared" si="11"/>
        <v>12513.315385008547</v>
      </c>
      <c r="AX37" s="539">
        <f t="shared" si="11"/>
        <v>12983.399867210319</v>
      </c>
      <c r="AY37" s="539">
        <f t="shared" si="11"/>
        <v>13812.027090357351</v>
      </c>
      <c r="AZ37" s="539">
        <f t="shared" si="11"/>
        <v>14632.269716402969</v>
      </c>
      <c r="BA37" s="539">
        <f t="shared" si="11"/>
        <v>15442.511030171347</v>
      </c>
      <c r="BB37" s="539">
        <f t="shared" si="11"/>
        <v>16207.619886262572</v>
      </c>
      <c r="BC37" s="539">
        <f t="shared" si="11"/>
        <v>16287.672939156371</v>
      </c>
      <c r="BD37" s="539">
        <f t="shared" si="11"/>
        <v>16355.293917127829</v>
      </c>
      <c r="BE37" s="539">
        <f t="shared" si="11"/>
        <v>16408.89194128929</v>
      </c>
      <c r="BF37" s="539">
        <f t="shared" si="11"/>
        <v>16415.387757300072</v>
      </c>
      <c r="BG37" s="539">
        <f t="shared" si="11"/>
        <v>16260.04189403413</v>
      </c>
      <c r="BH37" s="539">
        <f t="shared" si="11"/>
        <v>16087.658785696003</v>
      </c>
      <c r="BI37" s="539">
        <f t="shared" si="11"/>
        <v>15896.507991729806</v>
      </c>
      <c r="BJ37" s="539">
        <f t="shared" si="11"/>
        <v>15655.503905943224</v>
      </c>
      <c r="BK37" s="539">
        <f t="shared" si="11"/>
        <v>15282.732620221981</v>
      </c>
      <c r="BL37" s="539">
        <f t="shared" si="11"/>
        <v>14858.746500051868</v>
      </c>
      <c r="BM37" s="539">
        <f t="shared" si="11"/>
        <v>14411.042436453627</v>
      </c>
      <c r="BN37" s="539">
        <f t="shared" si="11"/>
        <v>13910.490708913134</v>
      </c>
      <c r="BO37" s="539">
        <f t="shared" si="11"/>
        <v>13249.458618664146</v>
      </c>
      <c r="BP37" s="539">
        <f t="shared" si="11"/>
        <v>12561.096628565658</v>
      </c>
      <c r="BQ37" s="539">
        <f t="shared" si="11"/>
        <v>11843.374637551831</v>
      </c>
      <c r="BR37" s="539">
        <f t="shared" si="11"/>
        <v>11069.55638148174</v>
      </c>
      <c r="BS37" s="539">
        <f t="shared" si="11"/>
        <v>10726.393893578843</v>
      </c>
      <c r="BT37" s="539">
        <f t="shared" si="11"/>
        <v>10349.450162387922</v>
      </c>
      <c r="BU37" s="539">
        <f t="shared" si="11"/>
        <v>9936.5070762883533</v>
      </c>
      <c r="BV37" s="539">
        <f t="shared" si="11"/>
        <v>9463.205265063898</v>
      </c>
      <c r="BW37" s="539">
        <f t="shared" si="11"/>
        <v>8239.7072455527123</v>
      </c>
      <c r="BX37" s="539">
        <f t="shared" si="11"/>
        <v>6978.1442966775276</v>
      </c>
      <c r="BY37" s="539">
        <f t="shared" si="11"/>
        <v>5681.8936166065405</v>
      </c>
      <c r="BZ37" s="539">
        <f t="shared" si="11"/>
        <v>4329.3539251437987</v>
      </c>
      <c r="CA37" s="539">
        <f t="shared" si="11"/>
        <v>2844.9649683332264</v>
      </c>
      <c r="CB37" s="539">
        <f t="shared" si="11"/>
        <v>1303.1320977283615</v>
      </c>
      <c r="CC37" s="539">
        <f t="shared" si="11"/>
        <v>0</v>
      </c>
      <c r="CD37" s="539">
        <f t="shared" si="11"/>
        <v>0</v>
      </c>
      <c r="CE37" s="539">
        <f t="shared" si="11"/>
        <v>0</v>
      </c>
      <c r="CF37" s="539">
        <f t="shared" si="11"/>
        <v>0</v>
      </c>
      <c r="CG37" s="539">
        <f t="shared" si="11"/>
        <v>0</v>
      </c>
      <c r="CH37" s="539">
        <f t="shared" si="11"/>
        <v>0</v>
      </c>
      <c r="CI37" s="539">
        <f t="shared" si="11"/>
        <v>0</v>
      </c>
      <c r="CJ37" s="539">
        <f t="shared" si="11"/>
        <v>0</v>
      </c>
      <c r="CK37" s="539">
        <f t="shared" si="11"/>
        <v>0</v>
      </c>
      <c r="CL37" s="539">
        <f t="shared" si="11"/>
        <v>0</v>
      </c>
      <c r="CM37" s="539">
        <f t="shared" si="11"/>
        <v>0</v>
      </c>
      <c r="CN37" s="539">
        <f t="shared" si="11"/>
        <v>0</v>
      </c>
      <c r="CO37" s="539">
        <f t="shared" si="11"/>
        <v>0</v>
      </c>
      <c r="CP37" s="539">
        <f t="shared" si="11"/>
        <v>0</v>
      </c>
      <c r="CQ37" s="539">
        <f t="shared" si="11"/>
        <v>0</v>
      </c>
      <c r="CR37" s="539">
        <f t="shared" si="11"/>
        <v>0</v>
      </c>
      <c r="CS37" s="539">
        <f t="shared" si="11"/>
        <v>0</v>
      </c>
      <c r="CT37" s="539">
        <f t="shared" si="11"/>
        <v>0</v>
      </c>
      <c r="CU37" s="539">
        <f t="shared" si="11"/>
        <v>0</v>
      </c>
      <c r="CV37" s="539">
        <f t="shared" si="11"/>
        <v>0</v>
      </c>
      <c r="CW37" s="539">
        <f t="shared" si="11"/>
        <v>0</v>
      </c>
      <c r="CX37" s="539">
        <f t="shared" si="11"/>
        <v>0</v>
      </c>
      <c r="CY37" s="539">
        <f t="shared" si="11"/>
        <v>0</v>
      </c>
      <c r="CZ37" s="539">
        <f t="shared" si="11"/>
        <v>0</v>
      </c>
      <c r="DA37" s="539">
        <f t="shared" si="11"/>
        <v>0</v>
      </c>
      <c r="DB37" s="539">
        <f t="shared" si="11"/>
        <v>0</v>
      </c>
      <c r="DC37" s="539">
        <f t="shared" si="11"/>
        <v>0</v>
      </c>
      <c r="DD37" s="539">
        <f t="shared" si="11"/>
        <v>0</v>
      </c>
      <c r="DE37" s="539">
        <f t="shared" si="11"/>
        <v>0</v>
      </c>
      <c r="DF37" s="539">
        <f t="shared" si="11"/>
        <v>0</v>
      </c>
      <c r="DG37" s="539">
        <f t="shared" si="11"/>
        <v>0</v>
      </c>
      <c r="DH37" s="539">
        <f t="shared" si="11"/>
        <v>0</v>
      </c>
      <c r="DI37" s="539">
        <f t="shared" si="11"/>
        <v>0</v>
      </c>
      <c r="DJ37" s="539">
        <f t="shared" si="11"/>
        <v>0</v>
      </c>
      <c r="DK37" s="539">
        <f t="shared" si="11"/>
        <v>0</v>
      </c>
      <c r="DL37" s="539">
        <f t="shared" si="11"/>
        <v>0</v>
      </c>
      <c r="DM37" s="539">
        <f t="shared" si="11"/>
        <v>0</v>
      </c>
      <c r="DN37" s="539">
        <f t="shared" si="11"/>
        <v>0</v>
      </c>
      <c r="DO37" s="539">
        <f t="shared" si="11"/>
        <v>0</v>
      </c>
      <c r="DP37" s="539">
        <f t="shared" si="11"/>
        <v>0</v>
      </c>
      <c r="DQ37" s="539">
        <f t="shared" si="11"/>
        <v>0</v>
      </c>
      <c r="DR37" s="539">
        <f t="shared" si="11"/>
        <v>0</v>
      </c>
      <c r="DS37" s="539">
        <f t="shared" si="11"/>
        <v>0</v>
      </c>
      <c r="DT37" s="539">
        <f t="shared" si="11"/>
        <v>0</v>
      </c>
      <c r="DU37" s="539">
        <f t="shared" si="11"/>
        <v>0</v>
      </c>
      <c r="DV37" s="539">
        <f t="shared" si="11"/>
        <v>0</v>
      </c>
      <c r="DW37" s="539">
        <f t="shared" si="11"/>
        <v>0</v>
      </c>
      <c r="DX37" s="539">
        <f t="shared" si="11"/>
        <v>0</v>
      </c>
      <c r="DY37" s="539">
        <f t="shared" si="11"/>
        <v>0</v>
      </c>
      <c r="DZ37" s="539">
        <f t="shared" si="11"/>
        <v>0</v>
      </c>
      <c r="EA37" s="539">
        <f t="shared" si="11"/>
        <v>0</v>
      </c>
      <c r="EB37" s="539">
        <f t="shared" si="11"/>
        <v>0</v>
      </c>
      <c r="EC37" s="539">
        <f t="shared" si="11"/>
        <v>0</v>
      </c>
      <c r="ED37" s="539">
        <f t="shared" si="11"/>
        <v>0</v>
      </c>
      <c r="EE37" s="539">
        <f t="shared" si="11"/>
        <v>0</v>
      </c>
      <c r="EF37" s="539">
        <f t="shared" si="11"/>
        <v>0</v>
      </c>
      <c r="EG37" s="539">
        <f t="shared" si="11"/>
        <v>0</v>
      </c>
    </row>
    <row r="38" spans="5:137" ht="12.75">
      <c r="E38" s="538" t="s">
        <v>437</v>
      </c>
      <c r="G38" s="539" t="s">
        <v>30</v>
      </c>
      <c r="H38" s="539">
        <f>SUM(J38:EG38)</f>
        <v>16415.387757300072</v>
      </c>
      <c r="J38" s="539">
        <f t="shared" si="12" ref="J38:EG38">MIN(J37,MAX(0,J36-J35))</f>
        <v>0</v>
      </c>
      <c r="K38" s="539">
        <f t="shared" si="12"/>
        <v>0</v>
      </c>
      <c r="L38" s="539">
        <f t="shared" si="12"/>
        <v>0</v>
      </c>
      <c r="M38" s="539">
        <f t="shared" si="12"/>
        <v>0</v>
      </c>
      <c r="N38" s="539">
        <f t="shared" si="12"/>
        <v>0</v>
      </c>
      <c r="O38" s="539">
        <f t="shared" si="12"/>
        <v>0</v>
      </c>
      <c r="P38" s="539">
        <f t="shared" si="12"/>
        <v>0</v>
      </c>
      <c r="Q38" s="539">
        <f t="shared" si="12"/>
        <v>0</v>
      </c>
      <c r="R38" s="539">
        <f t="shared" si="12"/>
        <v>0</v>
      </c>
      <c r="S38" s="539">
        <f t="shared" si="12"/>
        <v>0</v>
      </c>
      <c r="T38" s="539">
        <f t="shared" si="12"/>
        <v>0</v>
      </c>
      <c r="U38" s="539">
        <f t="shared" si="12"/>
        <v>0</v>
      </c>
      <c r="V38" s="539">
        <f t="shared" si="12"/>
        <v>0</v>
      </c>
      <c r="W38" s="539">
        <f t="shared" si="12"/>
        <v>0</v>
      </c>
      <c r="X38" s="539">
        <f t="shared" si="12"/>
        <v>0</v>
      </c>
      <c r="Y38" s="539">
        <f t="shared" si="12"/>
        <v>0</v>
      </c>
      <c r="Z38" s="539">
        <f t="shared" si="12"/>
        <v>0</v>
      </c>
      <c r="AA38" s="539">
        <f t="shared" si="12"/>
        <v>0</v>
      </c>
      <c r="AB38" s="539">
        <f t="shared" si="12"/>
        <v>0</v>
      </c>
      <c r="AC38" s="539">
        <f t="shared" si="12"/>
        <v>0</v>
      </c>
      <c r="AD38" s="539">
        <f t="shared" si="12"/>
        <v>0</v>
      </c>
      <c r="AE38" s="539">
        <f t="shared" si="12"/>
        <v>0</v>
      </c>
      <c r="AF38" s="539">
        <f t="shared" si="12"/>
        <v>0</v>
      </c>
      <c r="AG38" s="539">
        <f t="shared" si="12"/>
        <v>0</v>
      </c>
      <c r="AH38" s="539">
        <f t="shared" si="12"/>
        <v>0</v>
      </c>
      <c r="AI38" s="539">
        <f t="shared" si="12"/>
        <v>0</v>
      </c>
      <c r="AJ38" s="539">
        <f t="shared" si="12"/>
        <v>0</v>
      </c>
      <c r="AK38" s="539">
        <f t="shared" si="12"/>
        <v>0</v>
      </c>
      <c r="AL38" s="539">
        <f t="shared" si="12"/>
        <v>0</v>
      </c>
      <c r="AM38" s="539">
        <f t="shared" si="12"/>
        <v>0</v>
      </c>
      <c r="AN38" s="539">
        <f t="shared" si="12"/>
        <v>0</v>
      </c>
      <c r="AO38" s="539">
        <f t="shared" si="12"/>
        <v>0</v>
      </c>
      <c r="AP38" s="539">
        <f t="shared" si="12"/>
        <v>0</v>
      </c>
      <c r="AQ38" s="539">
        <f t="shared" si="12"/>
        <v>0</v>
      </c>
      <c r="AR38" s="539">
        <f t="shared" si="12"/>
        <v>0</v>
      </c>
      <c r="AS38" s="539">
        <f t="shared" si="12"/>
        <v>0</v>
      </c>
      <c r="AT38" s="539">
        <f t="shared" si="12"/>
        <v>0</v>
      </c>
      <c r="AU38" s="539">
        <f t="shared" si="12"/>
        <v>0</v>
      </c>
      <c r="AV38" s="539">
        <f t="shared" si="12"/>
        <v>0</v>
      </c>
      <c r="AW38" s="539">
        <f t="shared" si="12"/>
        <v>0</v>
      </c>
      <c r="AX38" s="539">
        <f t="shared" si="12"/>
        <v>0</v>
      </c>
      <c r="AY38" s="539">
        <f t="shared" si="12"/>
        <v>0</v>
      </c>
      <c r="AZ38" s="539">
        <f t="shared" si="12"/>
        <v>0</v>
      </c>
      <c r="BA38" s="539">
        <f t="shared" si="12"/>
        <v>0</v>
      </c>
      <c r="BB38" s="539">
        <f t="shared" si="12"/>
        <v>0</v>
      </c>
      <c r="BC38" s="539">
        <f t="shared" si="12"/>
        <v>0</v>
      </c>
      <c r="BD38" s="539">
        <f t="shared" si="12"/>
        <v>0</v>
      </c>
      <c r="BE38" s="539">
        <f t="shared" si="12"/>
        <v>0</v>
      </c>
      <c r="BF38" s="539">
        <f t="shared" si="12"/>
        <v>155.34586326594263</v>
      </c>
      <c r="BG38" s="539">
        <f t="shared" si="12"/>
        <v>172.38310833812648</v>
      </c>
      <c r="BH38" s="539">
        <f t="shared" si="12"/>
        <v>191.15079396619649</v>
      </c>
      <c r="BI38" s="539">
        <f t="shared" si="12"/>
        <v>241.00408578658244</v>
      </c>
      <c r="BJ38" s="539">
        <f t="shared" si="12"/>
        <v>372.77128572124275</v>
      </c>
      <c r="BK38" s="539">
        <f t="shared" si="12"/>
        <v>423.98612017011328</v>
      </c>
      <c r="BL38" s="539">
        <f t="shared" si="12"/>
        <v>447.70406359824119</v>
      </c>
      <c r="BM38" s="539">
        <f t="shared" si="12"/>
        <v>500.55172754049181</v>
      </c>
      <c r="BN38" s="539">
        <f t="shared" si="12"/>
        <v>661.03209024898797</v>
      </c>
      <c r="BO38" s="539">
        <f t="shared" si="12"/>
        <v>688.36199009848769</v>
      </c>
      <c r="BP38" s="539">
        <f t="shared" si="12"/>
        <v>717.72199101382603</v>
      </c>
      <c r="BQ38" s="539">
        <f t="shared" si="12"/>
        <v>773.8182560700925</v>
      </c>
      <c r="BR38" s="539">
        <f t="shared" si="12"/>
        <v>343.16248790289592</v>
      </c>
      <c r="BS38" s="539">
        <f t="shared" si="12"/>
        <v>376.94373119092006</v>
      </c>
      <c r="BT38" s="539">
        <f t="shared" si="12"/>
        <v>412.94308609956897</v>
      </c>
      <c r="BU38" s="539">
        <f t="shared" si="12"/>
        <v>473.30181122445629</v>
      </c>
      <c r="BV38" s="539">
        <f t="shared" si="12"/>
        <v>1223.4980195111852</v>
      </c>
      <c r="BW38" s="539">
        <f t="shared" si="12"/>
        <v>1261.5629488751847</v>
      </c>
      <c r="BX38" s="539">
        <f t="shared" si="12"/>
        <v>1296.2506800709868</v>
      </c>
      <c r="BY38" s="539">
        <f t="shared" si="12"/>
        <v>1352.539691462742</v>
      </c>
      <c r="BZ38" s="539">
        <f t="shared" si="12"/>
        <v>1484.3889568105722</v>
      </c>
      <c r="CA38" s="539">
        <f t="shared" si="12"/>
        <v>1541.8328706048649</v>
      </c>
      <c r="CB38" s="539">
        <f t="shared" si="12"/>
        <v>1303.1320977283615</v>
      </c>
      <c r="CC38" s="539">
        <f t="shared" si="12"/>
        <v>0</v>
      </c>
      <c r="CD38" s="539">
        <f t="shared" si="12"/>
        <v>0</v>
      </c>
      <c r="CE38" s="539">
        <f t="shared" si="12"/>
        <v>0</v>
      </c>
      <c r="CF38" s="539">
        <f t="shared" si="12"/>
        <v>0</v>
      </c>
      <c r="CG38" s="539">
        <f t="shared" si="12"/>
        <v>0</v>
      </c>
      <c r="CH38" s="539">
        <f t="shared" si="12"/>
        <v>0</v>
      </c>
      <c r="CI38" s="539">
        <f t="shared" si="12"/>
        <v>0</v>
      </c>
      <c r="CJ38" s="539">
        <f t="shared" si="12"/>
        <v>0</v>
      </c>
      <c r="CK38" s="539">
        <f t="shared" si="12"/>
        <v>0</v>
      </c>
      <c r="CL38" s="539">
        <f t="shared" si="12"/>
        <v>0</v>
      </c>
      <c r="CM38" s="539">
        <f t="shared" si="12"/>
        <v>0</v>
      </c>
      <c r="CN38" s="539">
        <f t="shared" si="12"/>
        <v>0</v>
      </c>
      <c r="CO38" s="539">
        <f t="shared" si="12"/>
        <v>0</v>
      </c>
      <c r="CP38" s="539">
        <f t="shared" si="12"/>
        <v>0</v>
      </c>
      <c r="CQ38" s="539">
        <f t="shared" si="12"/>
        <v>0</v>
      </c>
      <c r="CR38" s="539">
        <f t="shared" si="12"/>
        <v>0</v>
      </c>
      <c r="CS38" s="539">
        <f t="shared" si="12"/>
        <v>0</v>
      </c>
      <c r="CT38" s="539">
        <f t="shared" si="12"/>
        <v>0</v>
      </c>
      <c r="CU38" s="539">
        <f t="shared" si="12"/>
        <v>0</v>
      </c>
      <c r="CV38" s="539">
        <f t="shared" si="12"/>
        <v>0</v>
      </c>
      <c r="CW38" s="539">
        <f t="shared" si="12"/>
        <v>0</v>
      </c>
      <c r="CX38" s="539">
        <f t="shared" si="12"/>
        <v>0</v>
      </c>
      <c r="CY38" s="539">
        <f t="shared" si="12"/>
        <v>0</v>
      </c>
      <c r="CZ38" s="539">
        <f t="shared" si="12"/>
        <v>0</v>
      </c>
      <c r="DA38" s="539">
        <f t="shared" si="12"/>
        <v>0</v>
      </c>
      <c r="DB38" s="539">
        <f t="shared" si="12"/>
        <v>0</v>
      </c>
      <c r="DC38" s="539">
        <f t="shared" si="12"/>
        <v>0</v>
      </c>
      <c r="DD38" s="539">
        <f t="shared" si="12"/>
        <v>0</v>
      </c>
      <c r="DE38" s="539">
        <f t="shared" si="12"/>
        <v>0</v>
      </c>
      <c r="DF38" s="539">
        <f t="shared" si="12"/>
        <v>0</v>
      </c>
      <c r="DG38" s="539">
        <f t="shared" si="12"/>
        <v>0</v>
      </c>
      <c r="DH38" s="539">
        <f t="shared" si="12"/>
        <v>0</v>
      </c>
      <c r="DI38" s="539">
        <f t="shared" si="12"/>
        <v>0</v>
      </c>
      <c r="DJ38" s="539">
        <f t="shared" si="12"/>
        <v>0</v>
      </c>
      <c r="DK38" s="539">
        <f t="shared" si="12"/>
        <v>0</v>
      </c>
      <c r="DL38" s="539">
        <f t="shared" si="12"/>
        <v>0</v>
      </c>
      <c r="DM38" s="539">
        <f t="shared" si="12"/>
        <v>0</v>
      </c>
      <c r="DN38" s="539">
        <f t="shared" si="12"/>
        <v>0</v>
      </c>
      <c r="DO38" s="539">
        <f t="shared" si="12"/>
        <v>0</v>
      </c>
      <c r="DP38" s="539">
        <f t="shared" si="12"/>
        <v>0</v>
      </c>
      <c r="DQ38" s="539">
        <f t="shared" si="12"/>
        <v>0</v>
      </c>
      <c r="DR38" s="539">
        <f t="shared" si="12"/>
        <v>0</v>
      </c>
      <c r="DS38" s="539">
        <f t="shared" si="12"/>
        <v>0</v>
      </c>
      <c r="DT38" s="539">
        <f t="shared" si="12"/>
        <v>0</v>
      </c>
      <c r="DU38" s="539">
        <f t="shared" si="12"/>
        <v>0</v>
      </c>
      <c r="DV38" s="539">
        <f t="shared" si="12"/>
        <v>0</v>
      </c>
      <c r="DW38" s="539">
        <f t="shared" si="12"/>
        <v>0</v>
      </c>
      <c r="DX38" s="539">
        <f t="shared" si="12"/>
        <v>0</v>
      </c>
      <c r="DY38" s="539">
        <f t="shared" si="12"/>
        <v>0</v>
      </c>
      <c r="DZ38" s="539">
        <f t="shared" si="12"/>
        <v>0</v>
      </c>
      <c r="EA38" s="539">
        <f t="shared" si="12"/>
        <v>0</v>
      </c>
      <c r="EB38" s="539">
        <f t="shared" si="12"/>
        <v>0</v>
      </c>
      <c r="EC38" s="539">
        <f t="shared" si="12"/>
        <v>0</v>
      </c>
      <c r="ED38" s="539">
        <f t="shared" si="12"/>
        <v>0</v>
      </c>
      <c r="EE38" s="539">
        <f t="shared" si="12"/>
        <v>0</v>
      </c>
      <c r="EF38" s="539">
        <f t="shared" si="12"/>
        <v>0</v>
      </c>
      <c r="EG38" s="539">
        <f t="shared" si="12"/>
        <v>0</v>
      </c>
    </row>
    <row r="40" spans="5:137" ht="12.75">
      <c r="E40" s="535" t="str">
        <f>Time!E$86</f>
        <v>Last operating period flag</v>
      </c>
      <c r="G40" s="537" t="str">
        <f>Time!G$86</f>
        <v>flag</v>
      </c>
      <c r="H40" s="537">
        <f>Time!H$86</f>
        <v>1</v>
      </c>
      <c r="J40" s="537">
        <f>Time!J$86</f>
        <v>0</v>
      </c>
      <c r="K40" s="537">
        <f>Time!K$86</f>
        <v>0</v>
      </c>
      <c r="L40" s="537">
        <f>Time!L$86</f>
        <v>0</v>
      </c>
      <c r="M40" s="537">
        <f>Time!M$86</f>
        <v>0</v>
      </c>
      <c r="N40" s="537">
        <f>Time!N$86</f>
        <v>0</v>
      </c>
      <c r="O40" s="537">
        <f>Time!O$86</f>
        <v>0</v>
      </c>
      <c r="P40" s="537">
        <f>Time!P$86</f>
        <v>0</v>
      </c>
      <c r="Q40" s="537">
        <f>Time!Q$86</f>
        <v>0</v>
      </c>
      <c r="R40" s="537">
        <f>Time!R$86</f>
        <v>0</v>
      </c>
      <c r="S40" s="537">
        <f>Time!S$86</f>
        <v>0</v>
      </c>
      <c r="T40" s="537">
        <f>Time!T$86</f>
        <v>0</v>
      </c>
      <c r="U40" s="537">
        <f>Time!U$86</f>
        <v>0</v>
      </c>
      <c r="V40" s="537">
        <f>Time!V$86</f>
        <v>0</v>
      </c>
      <c r="W40" s="537">
        <f>Time!W$86</f>
        <v>0</v>
      </c>
      <c r="X40" s="537">
        <f>Time!X$86</f>
        <v>0</v>
      </c>
      <c r="Y40" s="537">
        <f>Time!Y$86</f>
        <v>0</v>
      </c>
      <c r="Z40" s="537">
        <f>Time!Z$86</f>
        <v>0</v>
      </c>
      <c r="AA40" s="537">
        <f>Time!AA$86</f>
        <v>0</v>
      </c>
      <c r="AB40" s="537">
        <f>Time!AB$86</f>
        <v>0</v>
      </c>
      <c r="AC40" s="537">
        <f>Time!AC$86</f>
        <v>0</v>
      </c>
      <c r="AD40" s="537">
        <f>Time!AD$86</f>
        <v>0</v>
      </c>
      <c r="AE40" s="537">
        <f>Time!AE$86</f>
        <v>0</v>
      </c>
      <c r="AF40" s="537">
        <f>Time!AF$86</f>
        <v>0</v>
      </c>
      <c r="AG40" s="537">
        <f>Time!AG$86</f>
        <v>0</v>
      </c>
      <c r="AH40" s="537">
        <f>Time!AH$86</f>
        <v>0</v>
      </c>
      <c r="AI40" s="537">
        <f>Time!AI$86</f>
        <v>0</v>
      </c>
      <c r="AJ40" s="537">
        <f>Time!AJ$86</f>
        <v>0</v>
      </c>
      <c r="AK40" s="537">
        <f>Time!AK$86</f>
        <v>0</v>
      </c>
      <c r="AL40" s="537">
        <f>Time!AL$86</f>
        <v>0</v>
      </c>
      <c r="AM40" s="537">
        <f>Time!AM$86</f>
        <v>0</v>
      </c>
      <c r="AN40" s="537">
        <f>Time!AN$86</f>
        <v>0</v>
      </c>
      <c r="AO40" s="537">
        <f>Time!AO$86</f>
        <v>0</v>
      </c>
      <c r="AP40" s="537">
        <f>Time!AP$86</f>
        <v>0</v>
      </c>
      <c r="AQ40" s="537">
        <f>Time!AQ$86</f>
        <v>0</v>
      </c>
      <c r="AR40" s="537">
        <f>Time!AR$86</f>
        <v>0</v>
      </c>
      <c r="AS40" s="537">
        <f>Time!AS$86</f>
        <v>0</v>
      </c>
      <c r="AT40" s="537">
        <f>Time!AT$86</f>
        <v>0</v>
      </c>
      <c r="AU40" s="537">
        <f>Time!AU$86</f>
        <v>0</v>
      </c>
      <c r="AV40" s="537">
        <f>Time!AV$86</f>
        <v>0</v>
      </c>
      <c r="AW40" s="537">
        <f>Time!AW$86</f>
        <v>0</v>
      </c>
      <c r="AX40" s="537">
        <f>Time!AX$86</f>
        <v>0</v>
      </c>
      <c r="AY40" s="537">
        <f>Time!AY$86</f>
        <v>0</v>
      </c>
      <c r="AZ40" s="537">
        <f>Time!AZ$86</f>
        <v>0</v>
      </c>
      <c r="BA40" s="537">
        <f>Time!BA$86</f>
        <v>0</v>
      </c>
      <c r="BB40" s="537">
        <f>Time!BB$86</f>
        <v>0</v>
      </c>
      <c r="BC40" s="537">
        <f>Time!BC$86</f>
        <v>0</v>
      </c>
      <c r="BD40" s="537">
        <f>Time!BD$86</f>
        <v>0</v>
      </c>
      <c r="BE40" s="537">
        <f>Time!BE$86</f>
        <v>0</v>
      </c>
      <c r="BF40" s="537">
        <f>Time!BF$86</f>
        <v>0</v>
      </c>
      <c r="BG40" s="537">
        <f>Time!BG$86</f>
        <v>0</v>
      </c>
      <c r="BH40" s="537">
        <f>Time!BH$86</f>
        <v>0</v>
      </c>
      <c r="BI40" s="537">
        <f>Time!BI$86</f>
        <v>0</v>
      </c>
      <c r="BJ40" s="537">
        <f>Time!BJ$86</f>
        <v>0</v>
      </c>
      <c r="BK40" s="537">
        <f>Time!BK$86</f>
        <v>0</v>
      </c>
      <c r="BL40" s="537">
        <f>Time!BL$86</f>
        <v>0</v>
      </c>
      <c r="BM40" s="537">
        <f>Time!BM$86</f>
        <v>0</v>
      </c>
      <c r="BN40" s="537">
        <f>Time!BN$86</f>
        <v>0</v>
      </c>
      <c r="BO40" s="537">
        <f>Time!BO$86</f>
        <v>0</v>
      </c>
      <c r="BP40" s="537">
        <f>Time!BP$86</f>
        <v>0</v>
      </c>
      <c r="BQ40" s="537">
        <f>Time!BQ$86</f>
        <v>0</v>
      </c>
      <c r="BR40" s="537">
        <f>Time!BR$86</f>
        <v>0</v>
      </c>
      <c r="BS40" s="537">
        <f>Time!BS$86</f>
        <v>0</v>
      </c>
      <c r="BT40" s="537">
        <f>Time!BT$86</f>
        <v>0</v>
      </c>
      <c r="BU40" s="537">
        <f>Time!BU$86</f>
        <v>0</v>
      </c>
      <c r="BV40" s="537">
        <f>Time!BV$86</f>
        <v>0</v>
      </c>
      <c r="BW40" s="537">
        <f>Time!BW$86</f>
        <v>0</v>
      </c>
      <c r="BX40" s="537">
        <f>Time!BX$86</f>
        <v>0</v>
      </c>
      <c r="BY40" s="537">
        <f>Time!BY$86</f>
        <v>0</v>
      </c>
      <c r="BZ40" s="537">
        <f>Time!BZ$86</f>
        <v>0</v>
      </c>
      <c r="CA40" s="537">
        <f>Time!CA$86</f>
        <v>0</v>
      </c>
      <c r="CB40" s="537">
        <f>Time!CB$86</f>
        <v>0</v>
      </c>
      <c r="CC40" s="537">
        <f>Time!CC$86</f>
        <v>0</v>
      </c>
      <c r="CD40" s="537">
        <f>Time!CD$86</f>
        <v>0</v>
      </c>
      <c r="CE40" s="537">
        <f>Time!CE$86</f>
        <v>0</v>
      </c>
      <c r="CF40" s="537">
        <f>Time!CF$86</f>
        <v>0</v>
      </c>
      <c r="CG40" s="537">
        <f>Time!CG$86</f>
        <v>0</v>
      </c>
      <c r="CH40" s="537">
        <f>Time!CH$86</f>
        <v>0</v>
      </c>
      <c r="CI40" s="537">
        <f>Time!CI$86</f>
        <v>0</v>
      </c>
      <c r="CJ40" s="537">
        <f>Time!CJ$86</f>
        <v>0</v>
      </c>
      <c r="CK40" s="537">
        <f>Time!CK$86</f>
        <v>0</v>
      </c>
      <c r="CL40" s="537">
        <f>Time!CL$86</f>
        <v>0</v>
      </c>
      <c r="CM40" s="537">
        <f>Time!CM$86</f>
        <v>0</v>
      </c>
      <c r="CN40" s="537">
        <f>Time!CN$86</f>
        <v>0</v>
      </c>
      <c r="CO40" s="537">
        <f>Time!CO$86</f>
        <v>0</v>
      </c>
      <c r="CP40" s="537">
        <f>Time!CP$86</f>
        <v>0</v>
      </c>
      <c r="CQ40" s="537">
        <f>Time!CQ$86</f>
        <v>0</v>
      </c>
      <c r="CR40" s="537">
        <f>Time!CR$86</f>
        <v>0</v>
      </c>
      <c r="CS40" s="537">
        <f>Time!CS$86</f>
        <v>0</v>
      </c>
      <c r="CT40" s="537">
        <f>Time!CT$86</f>
        <v>0</v>
      </c>
      <c r="CU40" s="537">
        <f>Time!CU$86</f>
        <v>0</v>
      </c>
      <c r="CV40" s="537">
        <f>Time!CV$86</f>
        <v>0</v>
      </c>
      <c r="CW40" s="537">
        <f>Time!CW$86</f>
        <v>0</v>
      </c>
      <c r="CX40" s="537">
        <f>Time!CX$86</f>
        <v>0</v>
      </c>
      <c r="CY40" s="537">
        <f>Time!CY$86</f>
        <v>0</v>
      </c>
      <c r="CZ40" s="537">
        <f>Time!CZ$86</f>
        <v>0</v>
      </c>
      <c r="DA40" s="537">
        <f>Time!DA$86</f>
        <v>0</v>
      </c>
      <c r="DB40" s="537">
        <f>Time!DB$86</f>
        <v>0</v>
      </c>
      <c r="DC40" s="537">
        <f>Time!DC$86</f>
        <v>0</v>
      </c>
      <c r="DD40" s="537">
        <f>Time!DD$86</f>
        <v>0</v>
      </c>
      <c r="DE40" s="537">
        <f>Time!DE$86</f>
        <v>0</v>
      </c>
      <c r="DF40" s="537">
        <f>Time!DF$86</f>
        <v>0</v>
      </c>
      <c r="DG40" s="537">
        <f>Time!DG$86</f>
        <v>0</v>
      </c>
      <c r="DH40" s="537">
        <f>Time!DH$86</f>
        <v>0</v>
      </c>
      <c r="DI40" s="537">
        <f>Time!DI$86</f>
        <v>0</v>
      </c>
      <c r="DJ40" s="537">
        <f>Time!DJ$86</f>
        <v>0</v>
      </c>
      <c r="DK40" s="537">
        <f>Time!DK$86</f>
        <v>0</v>
      </c>
      <c r="DL40" s="537">
        <f>Time!DL$86</f>
        <v>0</v>
      </c>
      <c r="DM40" s="537">
        <f>Time!DM$86</f>
        <v>0</v>
      </c>
      <c r="DN40" s="537">
        <f>Time!DN$86</f>
        <v>0</v>
      </c>
      <c r="DO40" s="537">
        <f>Time!DO$86</f>
        <v>0</v>
      </c>
      <c r="DP40" s="537">
        <f>Time!DP$86</f>
        <v>0</v>
      </c>
      <c r="DQ40" s="537">
        <f>Time!DQ$86</f>
        <v>0</v>
      </c>
      <c r="DR40" s="537">
        <f>Time!DR$86</f>
        <v>0</v>
      </c>
      <c r="DS40" s="537">
        <f>Time!DS$86</f>
        <v>0</v>
      </c>
      <c r="DT40" s="537">
        <f>Time!DT$86</f>
        <v>0</v>
      </c>
      <c r="DU40" s="537">
        <f>Time!DU$86</f>
        <v>0</v>
      </c>
      <c r="DV40" s="537">
        <f>Time!DV$86</f>
        <v>0</v>
      </c>
      <c r="DW40" s="537">
        <f>Time!DW$86</f>
        <v>0</v>
      </c>
      <c r="DX40" s="537">
        <f>Time!DX$86</f>
        <v>0</v>
      </c>
      <c r="DY40" s="537">
        <f>Time!DY$86</f>
        <v>0</v>
      </c>
      <c r="DZ40" s="537">
        <f>Time!DZ$86</f>
        <v>0</v>
      </c>
      <c r="EA40" s="537">
        <f>Time!EA$86</f>
        <v>0</v>
      </c>
      <c r="EB40" s="537">
        <f>Time!EB$86</f>
        <v>0</v>
      </c>
      <c r="EC40" s="537">
        <f>Time!EC$86</f>
        <v>1</v>
      </c>
      <c r="ED40" s="537">
        <f>Time!ED$86</f>
        <v>0</v>
      </c>
      <c r="EE40" s="537">
        <f>Time!EE$86</f>
        <v>0</v>
      </c>
      <c r="EF40" s="537">
        <f>Time!EF$86</f>
        <v>0</v>
      </c>
      <c r="EG40" s="537">
        <f>Time!EG$86</f>
        <v>0</v>
      </c>
    </row>
    <row r="41" spans="5:137" ht="12.75">
      <c r="E41" s="538" t="str">
        <f>E$29</f>
        <v>Disallowed interest - opening balance</v>
      </c>
      <c r="G41" s="539" t="str">
        <f>G$29</f>
        <v>EUR 000s</v>
      </c>
      <c r="H41" s="539">
        <f>H$29</f>
        <v>492908.97033742344</v>
      </c>
      <c r="J41" s="539">
        <f t="shared" si="13" ref="J41:EG41">J$29</f>
        <v>0</v>
      </c>
      <c r="K41" s="539">
        <f t="shared" si="13"/>
        <v>0</v>
      </c>
      <c r="L41" s="539">
        <f t="shared" si="13"/>
        <v>0</v>
      </c>
      <c r="M41" s="539">
        <f t="shared" si="13"/>
        <v>0</v>
      </c>
      <c r="N41" s="539">
        <f t="shared" si="13"/>
        <v>0</v>
      </c>
      <c r="O41" s="539">
        <f t="shared" si="13"/>
        <v>0</v>
      </c>
      <c r="P41" s="539">
        <f t="shared" si="13"/>
        <v>0</v>
      </c>
      <c r="Q41" s="539">
        <f t="shared" si="13"/>
        <v>0</v>
      </c>
      <c r="R41" s="539">
        <f t="shared" si="13"/>
        <v>0</v>
      </c>
      <c r="S41" s="539">
        <f t="shared" si="13"/>
        <v>0</v>
      </c>
      <c r="T41" s="539">
        <f t="shared" si="13"/>
        <v>0</v>
      </c>
      <c r="U41" s="539">
        <f t="shared" si="13"/>
        <v>0</v>
      </c>
      <c r="V41" s="539">
        <f t="shared" si="13"/>
        <v>0</v>
      </c>
      <c r="W41" s="539">
        <f t="shared" si="13"/>
        <v>0</v>
      </c>
      <c r="X41" s="539">
        <f t="shared" si="13"/>
        <v>0</v>
      </c>
      <c r="Y41" s="539">
        <f t="shared" si="13"/>
        <v>0</v>
      </c>
      <c r="Z41" s="539">
        <f t="shared" si="13"/>
        <v>0</v>
      </c>
      <c r="AA41" s="539">
        <f t="shared" si="13"/>
        <v>0</v>
      </c>
      <c r="AB41" s="539">
        <f t="shared" si="13"/>
        <v>0</v>
      </c>
      <c r="AC41" s="539">
        <f t="shared" si="13"/>
        <v>0</v>
      </c>
      <c r="AD41" s="539">
        <f t="shared" si="13"/>
        <v>0</v>
      </c>
      <c r="AE41" s="539">
        <f t="shared" si="13"/>
        <v>0</v>
      </c>
      <c r="AF41" s="539">
        <f t="shared" si="13"/>
        <v>0</v>
      </c>
      <c r="AG41" s="539">
        <f t="shared" si="13"/>
        <v>0</v>
      </c>
      <c r="AH41" s="539">
        <f t="shared" si="13"/>
        <v>0</v>
      </c>
      <c r="AI41" s="539">
        <f t="shared" si="13"/>
        <v>1119.7674810450371</v>
      </c>
      <c r="AJ41" s="539">
        <f t="shared" si="13"/>
        <v>2226.4727566457655</v>
      </c>
      <c r="AK41" s="539">
        <f t="shared" si="13"/>
        <v>3340.4562637558256</v>
      </c>
      <c r="AL41" s="539">
        <f t="shared" si="13"/>
        <v>4420.0504290256058</v>
      </c>
      <c r="AM41" s="539">
        <f t="shared" si="13"/>
        <v>5336.2909495345384</v>
      </c>
      <c r="AN41" s="539">
        <f t="shared" si="13"/>
        <v>6257.1604128843028</v>
      </c>
      <c r="AO41" s="539">
        <f t="shared" si="13"/>
        <v>7181.390783584191</v>
      </c>
      <c r="AP41" s="539">
        <f t="shared" si="13"/>
        <v>8068.7886154103653</v>
      </c>
      <c r="AQ41" s="539">
        <f t="shared" si="13"/>
        <v>8792.7797781716599</v>
      </c>
      <c r="AR41" s="539">
        <f t="shared" si="13"/>
        <v>9517.3319222486316</v>
      </c>
      <c r="AS41" s="539">
        <f t="shared" si="13"/>
        <v>10241.067934048209</v>
      </c>
      <c r="AT41" s="539">
        <f t="shared" si="13"/>
        <v>10925.371514483448</v>
      </c>
      <c r="AU41" s="539">
        <f t="shared" si="13"/>
        <v>11483.649634345491</v>
      </c>
      <c r="AV41" s="539">
        <f t="shared" si="13"/>
        <v>12001.038675285276</v>
      </c>
      <c r="AW41" s="539">
        <f t="shared" si="13"/>
        <v>12513.315385008547</v>
      </c>
      <c r="AX41" s="539">
        <f t="shared" si="13"/>
        <v>12983.399867210319</v>
      </c>
      <c r="AY41" s="539">
        <f t="shared" si="13"/>
        <v>13812.027090357351</v>
      </c>
      <c r="AZ41" s="539">
        <f t="shared" si="13"/>
        <v>14632.269716402969</v>
      </c>
      <c r="BA41" s="539">
        <f t="shared" si="13"/>
        <v>15442.511030171347</v>
      </c>
      <c r="BB41" s="539">
        <f t="shared" si="13"/>
        <v>16207.619886262572</v>
      </c>
      <c r="BC41" s="539">
        <f t="shared" si="13"/>
        <v>16287.672939156371</v>
      </c>
      <c r="BD41" s="539">
        <f t="shared" si="13"/>
        <v>16355.293917127829</v>
      </c>
      <c r="BE41" s="539">
        <f t="shared" si="13"/>
        <v>16408.89194128929</v>
      </c>
      <c r="BF41" s="539">
        <f t="shared" si="13"/>
        <v>16415.387757300072</v>
      </c>
      <c r="BG41" s="539">
        <f t="shared" si="13"/>
        <v>16260.04189403413</v>
      </c>
      <c r="BH41" s="539">
        <f t="shared" si="13"/>
        <v>16087.658785696003</v>
      </c>
      <c r="BI41" s="539">
        <f t="shared" si="13"/>
        <v>15896.507991729806</v>
      </c>
      <c r="BJ41" s="539">
        <f t="shared" si="13"/>
        <v>15655.503905943224</v>
      </c>
      <c r="BK41" s="539">
        <f t="shared" si="13"/>
        <v>15282.732620221981</v>
      </c>
      <c r="BL41" s="539">
        <f t="shared" si="13"/>
        <v>14858.746500051868</v>
      </c>
      <c r="BM41" s="539">
        <f t="shared" si="13"/>
        <v>14411.042436453627</v>
      </c>
      <c r="BN41" s="539">
        <f t="shared" si="13"/>
        <v>13910.490708913134</v>
      </c>
      <c r="BO41" s="539">
        <f t="shared" si="13"/>
        <v>13249.458618664146</v>
      </c>
      <c r="BP41" s="539">
        <f t="shared" si="13"/>
        <v>12561.096628565658</v>
      </c>
      <c r="BQ41" s="539">
        <f t="shared" si="13"/>
        <v>11843.374637551831</v>
      </c>
      <c r="BR41" s="539">
        <f t="shared" si="13"/>
        <v>11069.55638148174</v>
      </c>
      <c r="BS41" s="539">
        <f t="shared" si="13"/>
        <v>10726.393893578843</v>
      </c>
      <c r="BT41" s="539">
        <f t="shared" si="13"/>
        <v>10349.450162387922</v>
      </c>
      <c r="BU41" s="539">
        <f t="shared" si="13"/>
        <v>9936.5070762883533</v>
      </c>
      <c r="BV41" s="539">
        <f t="shared" si="13"/>
        <v>9463.205265063898</v>
      </c>
      <c r="BW41" s="539">
        <f t="shared" si="13"/>
        <v>8239.7072455527123</v>
      </c>
      <c r="BX41" s="539">
        <f t="shared" si="13"/>
        <v>6978.1442966775276</v>
      </c>
      <c r="BY41" s="539">
        <f t="shared" si="13"/>
        <v>5681.8936166065405</v>
      </c>
      <c r="BZ41" s="539">
        <f t="shared" si="13"/>
        <v>4329.3539251437987</v>
      </c>
      <c r="CA41" s="539">
        <f t="shared" si="13"/>
        <v>2844.9649683332264</v>
      </c>
      <c r="CB41" s="539">
        <f t="shared" si="13"/>
        <v>1303.1320977283615</v>
      </c>
      <c r="CC41" s="539">
        <f t="shared" si="13"/>
        <v>0</v>
      </c>
      <c r="CD41" s="539">
        <f t="shared" si="13"/>
        <v>0</v>
      </c>
      <c r="CE41" s="539">
        <f t="shared" si="13"/>
        <v>0</v>
      </c>
      <c r="CF41" s="539">
        <f t="shared" si="13"/>
        <v>0</v>
      </c>
      <c r="CG41" s="539">
        <f t="shared" si="13"/>
        <v>0</v>
      </c>
      <c r="CH41" s="539">
        <f t="shared" si="13"/>
        <v>0</v>
      </c>
      <c r="CI41" s="539">
        <f t="shared" si="13"/>
        <v>0</v>
      </c>
      <c r="CJ41" s="539">
        <f t="shared" si="13"/>
        <v>0</v>
      </c>
      <c r="CK41" s="539">
        <f t="shared" si="13"/>
        <v>0</v>
      </c>
      <c r="CL41" s="539">
        <f t="shared" si="13"/>
        <v>0</v>
      </c>
      <c r="CM41" s="539">
        <f t="shared" si="13"/>
        <v>0</v>
      </c>
      <c r="CN41" s="539">
        <f t="shared" si="13"/>
        <v>0</v>
      </c>
      <c r="CO41" s="539">
        <f t="shared" si="13"/>
        <v>0</v>
      </c>
      <c r="CP41" s="539">
        <f t="shared" si="13"/>
        <v>0</v>
      </c>
      <c r="CQ41" s="539">
        <f t="shared" si="13"/>
        <v>0</v>
      </c>
      <c r="CR41" s="539">
        <f t="shared" si="13"/>
        <v>0</v>
      </c>
      <c r="CS41" s="539">
        <f t="shared" si="13"/>
        <v>0</v>
      </c>
      <c r="CT41" s="539">
        <f t="shared" si="13"/>
        <v>0</v>
      </c>
      <c r="CU41" s="539">
        <f t="shared" si="13"/>
        <v>0</v>
      </c>
      <c r="CV41" s="539">
        <f t="shared" si="13"/>
        <v>0</v>
      </c>
      <c r="CW41" s="539">
        <f t="shared" si="13"/>
        <v>0</v>
      </c>
      <c r="CX41" s="539">
        <f t="shared" si="13"/>
        <v>0</v>
      </c>
      <c r="CY41" s="539">
        <f t="shared" si="13"/>
        <v>0</v>
      </c>
      <c r="CZ41" s="539">
        <f t="shared" si="13"/>
        <v>0</v>
      </c>
      <c r="DA41" s="539">
        <f t="shared" si="13"/>
        <v>0</v>
      </c>
      <c r="DB41" s="539">
        <f t="shared" si="13"/>
        <v>0</v>
      </c>
      <c r="DC41" s="539">
        <f t="shared" si="13"/>
        <v>0</v>
      </c>
      <c r="DD41" s="539">
        <f t="shared" si="13"/>
        <v>0</v>
      </c>
      <c r="DE41" s="539">
        <f t="shared" si="13"/>
        <v>0</v>
      </c>
      <c r="DF41" s="539">
        <f t="shared" si="13"/>
        <v>0</v>
      </c>
      <c r="DG41" s="539">
        <f t="shared" si="13"/>
        <v>0</v>
      </c>
      <c r="DH41" s="539">
        <f t="shared" si="13"/>
        <v>0</v>
      </c>
      <c r="DI41" s="539">
        <f t="shared" si="13"/>
        <v>0</v>
      </c>
      <c r="DJ41" s="539">
        <f t="shared" si="13"/>
        <v>0</v>
      </c>
      <c r="DK41" s="539">
        <f t="shared" si="13"/>
        <v>0</v>
      </c>
      <c r="DL41" s="539">
        <f t="shared" si="13"/>
        <v>0</v>
      </c>
      <c r="DM41" s="539">
        <f t="shared" si="13"/>
        <v>0</v>
      </c>
      <c r="DN41" s="539">
        <f t="shared" si="13"/>
        <v>0</v>
      </c>
      <c r="DO41" s="539">
        <f t="shared" si="13"/>
        <v>0</v>
      </c>
      <c r="DP41" s="539">
        <f t="shared" si="13"/>
        <v>0</v>
      </c>
      <c r="DQ41" s="539">
        <f t="shared" si="13"/>
        <v>0</v>
      </c>
      <c r="DR41" s="539">
        <f t="shared" si="13"/>
        <v>0</v>
      </c>
      <c r="DS41" s="539">
        <f t="shared" si="13"/>
        <v>0</v>
      </c>
      <c r="DT41" s="539">
        <f t="shared" si="13"/>
        <v>0</v>
      </c>
      <c r="DU41" s="539">
        <f t="shared" si="13"/>
        <v>0</v>
      </c>
      <c r="DV41" s="539">
        <f t="shared" si="13"/>
        <v>0</v>
      </c>
      <c r="DW41" s="539">
        <f t="shared" si="13"/>
        <v>0</v>
      </c>
      <c r="DX41" s="539">
        <f t="shared" si="13"/>
        <v>0</v>
      </c>
      <c r="DY41" s="539">
        <f t="shared" si="13"/>
        <v>0</v>
      </c>
      <c r="DZ41" s="539">
        <f t="shared" si="13"/>
        <v>0</v>
      </c>
      <c r="EA41" s="539">
        <f t="shared" si="13"/>
        <v>0</v>
      </c>
      <c r="EB41" s="539">
        <f t="shared" si="13"/>
        <v>0</v>
      </c>
      <c r="EC41" s="539">
        <f t="shared" si="13"/>
        <v>0</v>
      </c>
      <c r="ED41" s="539">
        <f t="shared" si="13"/>
        <v>0</v>
      </c>
      <c r="EE41" s="539">
        <f t="shared" si="13"/>
        <v>0</v>
      </c>
      <c r="EF41" s="539">
        <f t="shared" si="13"/>
        <v>0</v>
      </c>
      <c r="EG41" s="539">
        <f t="shared" si="13"/>
        <v>0</v>
      </c>
    </row>
    <row r="42" spans="5:137" ht="12.75">
      <c r="E42" s="538" t="str">
        <f>E$33</f>
        <v>Disallowed interest - added above cap</v>
      </c>
      <c r="G42" s="539" t="str">
        <f>G$33</f>
        <v>EUR 000s</v>
      </c>
      <c r="H42" s="539">
        <f>H$33</f>
        <v>16415.387757300072</v>
      </c>
      <c r="J42" s="539">
        <f t="shared" si="14" ref="J42:EG42">J$33</f>
        <v>0</v>
      </c>
      <c r="K42" s="539">
        <f t="shared" si="14"/>
        <v>0</v>
      </c>
      <c r="L42" s="539">
        <f t="shared" si="14"/>
        <v>0</v>
      </c>
      <c r="M42" s="539">
        <f t="shared" si="14"/>
        <v>0</v>
      </c>
      <c r="N42" s="539">
        <f t="shared" si="14"/>
        <v>0</v>
      </c>
      <c r="O42" s="539">
        <f t="shared" si="14"/>
        <v>0</v>
      </c>
      <c r="P42" s="539">
        <f t="shared" si="14"/>
        <v>0</v>
      </c>
      <c r="Q42" s="539">
        <f t="shared" si="14"/>
        <v>0</v>
      </c>
      <c r="R42" s="539">
        <f t="shared" si="14"/>
        <v>0</v>
      </c>
      <c r="S42" s="539">
        <f t="shared" si="14"/>
        <v>0</v>
      </c>
      <c r="T42" s="539">
        <f t="shared" si="14"/>
        <v>0</v>
      </c>
      <c r="U42" s="539">
        <f t="shared" si="14"/>
        <v>0</v>
      </c>
      <c r="V42" s="539">
        <f t="shared" si="14"/>
        <v>0</v>
      </c>
      <c r="W42" s="539">
        <f t="shared" si="14"/>
        <v>0</v>
      </c>
      <c r="X42" s="539">
        <f t="shared" si="14"/>
        <v>0</v>
      </c>
      <c r="Y42" s="539">
        <f t="shared" si="14"/>
        <v>0</v>
      </c>
      <c r="Z42" s="539">
        <f t="shared" si="14"/>
        <v>0</v>
      </c>
      <c r="AA42" s="539">
        <f t="shared" si="14"/>
        <v>0</v>
      </c>
      <c r="AB42" s="539">
        <f t="shared" si="14"/>
        <v>0</v>
      </c>
      <c r="AC42" s="539">
        <f t="shared" si="14"/>
        <v>0</v>
      </c>
      <c r="AD42" s="539">
        <f t="shared" si="14"/>
        <v>0</v>
      </c>
      <c r="AE42" s="539">
        <f t="shared" si="14"/>
        <v>0</v>
      </c>
      <c r="AF42" s="539">
        <f t="shared" si="14"/>
        <v>0</v>
      </c>
      <c r="AG42" s="539">
        <f t="shared" si="14"/>
        <v>0</v>
      </c>
      <c r="AH42" s="539">
        <f t="shared" si="14"/>
        <v>1119.7674810450371</v>
      </c>
      <c r="AI42" s="539">
        <f t="shared" si="14"/>
        <v>1106.7052756007283</v>
      </c>
      <c r="AJ42" s="539">
        <f t="shared" si="14"/>
        <v>1113.9835071100601</v>
      </c>
      <c r="AK42" s="539">
        <f t="shared" si="14"/>
        <v>1079.5941652697802</v>
      </c>
      <c r="AL42" s="539">
        <f t="shared" si="14"/>
        <v>916.2405205089326</v>
      </c>
      <c r="AM42" s="539">
        <f t="shared" si="14"/>
        <v>920.86946334976483</v>
      </c>
      <c r="AN42" s="539">
        <f t="shared" si="14"/>
        <v>924.23037069988823</v>
      </c>
      <c r="AO42" s="539">
        <f t="shared" si="14"/>
        <v>887.39783182617384</v>
      </c>
      <c r="AP42" s="539">
        <f t="shared" si="14"/>
        <v>723.99116276129462</v>
      </c>
      <c r="AQ42" s="539">
        <f t="shared" si="14"/>
        <v>724.55214407697258</v>
      </c>
      <c r="AR42" s="539">
        <f t="shared" si="14"/>
        <v>723.73601179957859</v>
      </c>
      <c r="AS42" s="539">
        <f t="shared" si="14"/>
        <v>684.30358043523893</v>
      </c>
      <c r="AT42" s="539">
        <f t="shared" si="14"/>
        <v>558.27811986204279</v>
      </c>
      <c r="AU42" s="539">
        <f t="shared" si="14"/>
        <v>517.38904093978408</v>
      </c>
      <c r="AV42" s="539">
        <f t="shared" si="14"/>
        <v>512.27670972327132</v>
      </c>
      <c r="AW42" s="539">
        <f t="shared" si="14"/>
        <v>470.08448220177161</v>
      </c>
      <c r="AX42" s="539">
        <f t="shared" si="14"/>
        <v>828.62722314703205</v>
      </c>
      <c r="AY42" s="539">
        <f t="shared" si="14"/>
        <v>820.24262604561727</v>
      </c>
      <c r="AZ42" s="539">
        <f t="shared" si="14"/>
        <v>810.2413137683784</v>
      </c>
      <c r="BA42" s="539">
        <f t="shared" si="14"/>
        <v>765.10885609122533</v>
      </c>
      <c r="BB42" s="539">
        <f t="shared" si="14"/>
        <v>80.053052893798849</v>
      </c>
      <c r="BC42" s="539">
        <f t="shared" si="14"/>
        <v>67.620977971457251</v>
      </c>
      <c r="BD42" s="539">
        <f t="shared" si="14"/>
        <v>53.598024161462945</v>
      </c>
      <c r="BE42" s="539">
        <f t="shared" si="14"/>
        <v>6.4958160107807998</v>
      </c>
      <c r="BF42" s="539">
        <f t="shared" si="14"/>
        <v>0</v>
      </c>
      <c r="BG42" s="539">
        <f t="shared" si="14"/>
        <v>0</v>
      </c>
      <c r="BH42" s="539">
        <f t="shared" si="14"/>
        <v>0</v>
      </c>
      <c r="BI42" s="539">
        <f t="shared" si="14"/>
        <v>0</v>
      </c>
      <c r="BJ42" s="539">
        <f t="shared" si="14"/>
        <v>0</v>
      </c>
      <c r="BK42" s="539">
        <f t="shared" si="14"/>
        <v>0</v>
      </c>
      <c r="BL42" s="539">
        <f t="shared" si="14"/>
        <v>0</v>
      </c>
      <c r="BM42" s="539">
        <f t="shared" si="14"/>
        <v>0</v>
      </c>
      <c r="BN42" s="539">
        <f t="shared" si="14"/>
        <v>0</v>
      </c>
      <c r="BO42" s="539">
        <f t="shared" si="14"/>
        <v>0</v>
      </c>
      <c r="BP42" s="539">
        <f t="shared" si="14"/>
        <v>0</v>
      </c>
      <c r="BQ42" s="539">
        <f t="shared" si="14"/>
        <v>0</v>
      </c>
      <c r="BR42" s="539">
        <f t="shared" si="14"/>
        <v>0</v>
      </c>
      <c r="BS42" s="539">
        <f t="shared" si="14"/>
        <v>0</v>
      </c>
      <c r="BT42" s="539">
        <f t="shared" si="14"/>
        <v>0</v>
      </c>
      <c r="BU42" s="539">
        <f t="shared" si="14"/>
        <v>0</v>
      </c>
      <c r="BV42" s="539">
        <f t="shared" si="14"/>
        <v>0</v>
      </c>
      <c r="BW42" s="539">
        <f t="shared" si="14"/>
        <v>0</v>
      </c>
      <c r="BX42" s="539">
        <f t="shared" si="14"/>
        <v>0</v>
      </c>
      <c r="BY42" s="539">
        <f t="shared" si="14"/>
        <v>0</v>
      </c>
      <c r="BZ42" s="539">
        <f t="shared" si="14"/>
        <v>0</v>
      </c>
      <c r="CA42" s="539">
        <f t="shared" si="14"/>
        <v>0</v>
      </c>
      <c r="CB42" s="539">
        <f t="shared" si="14"/>
        <v>0</v>
      </c>
      <c r="CC42" s="539">
        <f t="shared" si="14"/>
        <v>0</v>
      </c>
      <c r="CD42" s="539">
        <f t="shared" si="14"/>
        <v>0</v>
      </c>
      <c r="CE42" s="539">
        <f t="shared" si="14"/>
        <v>0</v>
      </c>
      <c r="CF42" s="539">
        <f t="shared" si="14"/>
        <v>0</v>
      </c>
      <c r="CG42" s="539">
        <f t="shared" si="14"/>
        <v>0</v>
      </c>
      <c r="CH42" s="539">
        <f t="shared" si="14"/>
        <v>0</v>
      </c>
      <c r="CI42" s="539">
        <f t="shared" si="14"/>
        <v>0</v>
      </c>
      <c r="CJ42" s="539">
        <f t="shared" si="14"/>
        <v>0</v>
      </c>
      <c r="CK42" s="539">
        <f t="shared" si="14"/>
        <v>0</v>
      </c>
      <c r="CL42" s="539">
        <f t="shared" si="14"/>
        <v>0</v>
      </c>
      <c r="CM42" s="539">
        <f t="shared" si="14"/>
        <v>0</v>
      </c>
      <c r="CN42" s="539">
        <f t="shared" si="14"/>
        <v>0</v>
      </c>
      <c r="CO42" s="539">
        <f t="shared" si="14"/>
        <v>0</v>
      </c>
      <c r="CP42" s="539">
        <f t="shared" si="14"/>
        <v>0</v>
      </c>
      <c r="CQ42" s="539">
        <f t="shared" si="14"/>
        <v>0</v>
      </c>
      <c r="CR42" s="539">
        <f t="shared" si="14"/>
        <v>0</v>
      </c>
      <c r="CS42" s="539">
        <f t="shared" si="14"/>
        <v>0</v>
      </c>
      <c r="CT42" s="539">
        <f t="shared" si="14"/>
        <v>0</v>
      </c>
      <c r="CU42" s="539">
        <f t="shared" si="14"/>
        <v>0</v>
      </c>
      <c r="CV42" s="539">
        <f t="shared" si="14"/>
        <v>0</v>
      </c>
      <c r="CW42" s="539">
        <f t="shared" si="14"/>
        <v>0</v>
      </c>
      <c r="CX42" s="539">
        <f t="shared" si="14"/>
        <v>0</v>
      </c>
      <c r="CY42" s="539">
        <f t="shared" si="14"/>
        <v>0</v>
      </c>
      <c r="CZ42" s="539">
        <f t="shared" si="14"/>
        <v>0</v>
      </c>
      <c r="DA42" s="539">
        <f t="shared" si="14"/>
        <v>0</v>
      </c>
      <c r="DB42" s="539">
        <f t="shared" si="14"/>
        <v>0</v>
      </c>
      <c r="DC42" s="539">
        <f t="shared" si="14"/>
        <v>0</v>
      </c>
      <c r="DD42" s="539">
        <f t="shared" si="14"/>
        <v>0</v>
      </c>
      <c r="DE42" s="539">
        <f t="shared" si="14"/>
        <v>0</v>
      </c>
      <c r="DF42" s="539">
        <f t="shared" si="14"/>
        <v>0</v>
      </c>
      <c r="DG42" s="539">
        <f t="shared" si="14"/>
        <v>0</v>
      </c>
      <c r="DH42" s="539">
        <f t="shared" si="14"/>
        <v>0</v>
      </c>
      <c r="DI42" s="539">
        <f t="shared" si="14"/>
        <v>0</v>
      </c>
      <c r="DJ42" s="539">
        <f t="shared" si="14"/>
        <v>0</v>
      </c>
      <c r="DK42" s="539">
        <f t="shared" si="14"/>
        <v>0</v>
      </c>
      <c r="DL42" s="539">
        <f t="shared" si="14"/>
        <v>0</v>
      </c>
      <c r="DM42" s="539">
        <f t="shared" si="14"/>
        <v>0</v>
      </c>
      <c r="DN42" s="539">
        <f t="shared" si="14"/>
        <v>0</v>
      </c>
      <c r="DO42" s="539">
        <f t="shared" si="14"/>
        <v>0</v>
      </c>
      <c r="DP42" s="539">
        <f t="shared" si="14"/>
        <v>0</v>
      </c>
      <c r="DQ42" s="539">
        <f t="shared" si="14"/>
        <v>0</v>
      </c>
      <c r="DR42" s="539">
        <f t="shared" si="14"/>
        <v>0</v>
      </c>
      <c r="DS42" s="539">
        <f t="shared" si="14"/>
        <v>0</v>
      </c>
      <c r="DT42" s="539">
        <f t="shared" si="14"/>
        <v>0</v>
      </c>
      <c r="DU42" s="539">
        <f t="shared" si="14"/>
        <v>0</v>
      </c>
      <c r="DV42" s="539">
        <f t="shared" si="14"/>
        <v>0</v>
      </c>
      <c r="DW42" s="539">
        <f t="shared" si="14"/>
        <v>0</v>
      </c>
      <c r="DX42" s="539">
        <f t="shared" si="14"/>
        <v>0</v>
      </c>
      <c r="DY42" s="539">
        <f t="shared" si="14"/>
        <v>0</v>
      </c>
      <c r="DZ42" s="539">
        <f t="shared" si="14"/>
        <v>0</v>
      </c>
      <c r="EA42" s="539">
        <f t="shared" si="14"/>
        <v>0</v>
      </c>
      <c r="EB42" s="539">
        <f t="shared" si="14"/>
        <v>0</v>
      </c>
      <c r="EC42" s="539">
        <f t="shared" si="14"/>
        <v>0</v>
      </c>
      <c r="ED42" s="539">
        <f t="shared" si="14"/>
        <v>0</v>
      </c>
      <c r="EE42" s="539">
        <f t="shared" si="14"/>
        <v>0</v>
      </c>
      <c r="EF42" s="539">
        <f t="shared" si="14"/>
        <v>0</v>
      </c>
      <c r="EG42" s="539">
        <f t="shared" si="14"/>
        <v>0</v>
      </c>
    </row>
    <row r="43" spans="5:137" ht="12.75">
      <c r="E43" s="538" t="str">
        <f>E$38</f>
        <v>Disallowed interest - used within headroom</v>
      </c>
      <c r="G43" s="539" t="str">
        <f>G$38</f>
        <v>EUR 000s</v>
      </c>
      <c r="H43" s="539">
        <f>H$38</f>
        <v>16415.387757300072</v>
      </c>
      <c r="J43" s="539">
        <f t="shared" si="15" ref="J43:EG43">J$38</f>
        <v>0</v>
      </c>
      <c r="K43" s="539">
        <f t="shared" si="15"/>
        <v>0</v>
      </c>
      <c r="L43" s="539">
        <f t="shared" si="15"/>
        <v>0</v>
      </c>
      <c r="M43" s="539">
        <f t="shared" si="15"/>
        <v>0</v>
      </c>
      <c r="N43" s="539">
        <f t="shared" si="15"/>
        <v>0</v>
      </c>
      <c r="O43" s="539">
        <f t="shared" si="15"/>
        <v>0</v>
      </c>
      <c r="P43" s="539">
        <f t="shared" si="15"/>
        <v>0</v>
      </c>
      <c r="Q43" s="539">
        <f t="shared" si="15"/>
        <v>0</v>
      </c>
      <c r="R43" s="539">
        <f t="shared" si="15"/>
        <v>0</v>
      </c>
      <c r="S43" s="539">
        <f t="shared" si="15"/>
        <v>0</v>
      </c>
      <c r="T43" s="539">
        <f t="shared" si="15"/>
        <v>0</v>
      </c>
      <c r="U43" s="539">
        <f t="shared" si="15"/>
        <v>0</v>
      </c>
      <c r="V43" s="539">
        <f t="shared" si="15"/>
        <v>0</v>
      </c>
      <c r="W43" s="539">
        <f t="shared" si="15"/>
        <v>0</v>
      </c>
      <c r="X43" s="539">
        <f t="shared" si="15"/>
        <v>0</v>
      </c>
      <c r="Y43" s="539">
        <f t="shared" si="15"/>
        <v>0</v>
      </c>
      <c r="Z43" s="539">
        <f t="shared" si="15"/>
        <v>0</v>
      </c>
      <c r="AA43" s="539">
        <f t="shared" si="15"/>
        <v>0</v>
      </c>
      <c r="AB43" s="539">
        <f t="shared" si="15"/>
        <v>0</v>
      </c>
      <c r="AC43" s="539">
        <f t="shared" si="15"/>
        <v>0</v>
      </c>
      <c r="AD43" s="539">
        <f t="shared" si="15"/>
        <v>0</v>
      </c>
      <c r="AE43" s="539">
        <f t="shared" si="15"/>
        <v>0</v>
      </c>
      <c r="AF43" s="539">
        <f t="shared" si="15"/>
        <v>0</v>
      </c>
      <c r="AG43" s="539">
        <f t="shared" si="15"/>
        <v>0</v>
      </c>
      <c r="AH43" s="539">
        <f t="shared" si="15"/>
        <v>0</v>
      </c>
      <c r="AI43" s="539">
        <f t="shared" si="15"/>
        <v>0</v>
      </c>
      <c r="AJ43" s="539">
        <f t="shared" si="15"/>
        <v>0</v>
      </c>
      <c r="AK43" s="539">
        <f t="shared" si="15"/>
        <v>0</v>
      </c>
      <c r="AL43" s="539">
        <f t="shared" si="15"/>
        <v>0</v>
      </c>
      <c r="AM43" s="539">
        <f t="shared" si="15"/>
        <v>0</v>
      </c>
      <c r="AN43" s="539">
        <f t="shared" si="15"/>
        <v>0</v>
      </c>
      <c r="AO43" s="539">
        <f t="shared" si="15"/>
        <v>0</v>
      </c>
      <c r="AP43" s="539">
        <f t="shared" si="15"/>
        <v>0</v>
      </c>
      <c r="AQ43" s="539">
        <f t="shared" si="15"/>
        <v>0</v>
      </c>
      <c r="AR43" s="539">
        <f t="shared" si="15"/>
        <v>0</v>
      </c>
      <c r="AS43" s="539">
        <f t="shared" si="15"/>
        <v>0</v>
      </c>
      <c r="AT43" s="539">
        <f t="shared" si="15"/>
        <v>0</v>
      </c>
      <c r="AU43" s="539">
        <f t="shared" si="15"/>
        <v>0</v>
      </c>
      <c r="AV43" s="539">
        <f t="shared" si="15"/>
        <v>0</v>
      </c>
      <c r="AW43" s="539">
        <f t="shared" si="15"/>
        <v>0</v>
      </c>
      <c r="AX43" s="539">
        <f t="shared" si="15"/>
        <v>0</v>
      </c>
      <c r="AY43" s="539">
        <f t="shared" si="15"/>
        <v>0</v>
      </c>
      <c r="AZ43" s="539">
        <f t="shared" si="15"/>
        <v>0</v>
      </c>
      <c r="BA43" s="539">
        <f t="shared" si="15"/>
        <v>0</v>
      </c>
      <c r="BB43" s="539">
        <f t="shared" si="15"/>
        <v>0</v>
      </c>
      <c r="BC43" s="539">
        <f t="shared" si="15"/>
        <v>0</v>
      </c>
      <c r="BD43" s="539">
        <f t="shared" si="15"/>
        <v>0</v>
      </c>
      <c r="BE43" s="539">
        <f t="shared" si="15"/>
        <v>0</v>
      </c>
      <c r="BF43" s="539">
        <f t="shared" si="15"/>
        <v>155.34586326594263</v>
      </c>
      <c r="BG43" s="539">
        <f t="shared" si="15"/>
        <v>172.38310833812648</v>
      </c>
      <c r="BH43" s="539">
        <f t="shared" si="15"/>
        <v>191.15079396619649</v>
      </c>
      <c r="BI43" s="539">
        <f t="shared" si="15"/>
        <v>241.00408578658244</v>
      </c>
      <c r="BJ43" s="539">
        <f t="shared" si="15"/>
        <v>372.77128572124275</v>
      </c>
      <c r="BK43" s="539">
        <f t="shared" si="15"/>
        <v>423.98612017011328</v>
      </c>
      <c r="BL43" s="539">
        <f t="shared" si="15"/>
        <v>447.70406359824119</v>
      </c>
      <c r="BM43" s="539">
        <f t="shared" si="15"/>
        <v>500.55172754049181</v>
      </c>
      <c r="BN43" s="539">
        <f t="shared" si="15"/>
        <v>661.03209024898797</v>
      </c>
      <c r="BO43" s="539">
        <f t="shared" si="15"/>
        <v>688.36199009848769</v>
      </c>
      <c r="BP43" s="539">
        <f t="shared" si="15"/>
        <v>717.72199101382603</v>
      </c>
      <c r="BQ43" s="539">
        <f t="shared" si="15"/>
        <v>773.8182560700925</v>
      </c>
      <c r="BR43" s="539">
        <f t="shared" si="15"/>
        <v>343.16248790289592</v>
      </c>
      <c r="BS43" s="539">
        <f t="shared" si="15"/>
        <v>376.94373119092006</v>
      </c>
      <c r="BT43" s="539">
        <f t="shared" si="15"/>
        <v>412.94308609956897</v>
      </c>
      <c r="BU43" s="539">
        <f t="shared" si="15"/>
        <v>473.30181122445629</v>
      </c>
      <c r="BV43" s="539">
        <f t="shared" si="15"/>
        <v>1223.4980195111852</v>
      </c>
      <c r="BW43" s="539">
        <f t="shared" si="15"/>
        <v>1261.5629488751847</v>
      </c>
      <c r="BX43" s="539">
        <f t="shared" si="15"/>
        <v>1296.2506800709868</v>
      </c>
      <c r="BY43" s="539">
        <f t="shared" si="15"/>
        <v>1352.539691462742</v>
      </c>
      <c r="BZ43" s="539">
        <f t="shared" si="15"/>
        <v>1484.3889568105722</v>
      </c>
      <c r="CA43" s="539">
        <f t="shared" si="15"/>
        <v>1541.8328706048649</v>
      </c>
      <c r="CB43" s="539">
        <f t="shared" si="15"/>
        <v>1303.1320977283615</v>
      </c>
      <c r="CC43" s="539">
        <f t="shared" si="15"/>
        <v>0</v>
      </c>
      <c r="CD43" s="539">
        <f t="shared" si="15"/>
        <v>0</v>
      </c>
      <c r="CE43" s="539">
        <f t="shared" si="15"/>
        <v>0</v>
      </c>
      <c r="CF43" s="539">
        <f t="shared" si="15"/>
        <v>0</v>
      </c>
      <c r="CG43" s="539">
        <f t="shared" si="15"/>
        <v>0</v>
      </c>
      <c r="CH43" s="539">
        <f t="shared" si="15"/>
        <v>0</v>
      </c>
      <c r="CI43" s="539">
        <f t="shared" si="15"/>
        <v>0</v>
      </c>
      <c r="CJ43" s="539">
        <f t="shared" si="15"/>
        <v>0</v>
      </c>
      <c r="CK43" s="539">
        <f t="shared" si="15"/>
        <v>0</v>
      </c>
      <c r="CL43" s="539">
        <f t="shared" si="15"/>
        <v>0</v>
      </c>
      <c r="CM43" s="539">
        <f t="shared" si="15"/>
        <v>0</v>
      </c>
      <c r="CN43" s="539">
        <f t="shared" si="15"/>
        <v>0</v>
      </c>
      <c r="CO43" s="539">
        <f t="shared" si="15"/>
        <v>0</v>
      </c>
      <c r="CP43" s="539">
        <f t="shared" si="15"/>
        <v>0</v>
      </c>
      <c r="CQ43" s="539">
        <f t="shared" si="15"/>
        <v>0</v>
      </c>
      <c r="CR43" s="539">
        <f t="shared" si="15"/>
        <v>0</v>
      </c>
      <c r="CS43" s="539">
        <f t="shared" si="15"/>
        <v>0</v>
      </c>
      <c r="CT43" s="539">
        <f t="shared" si="15"/>
        <v>0</v>
      </c>
      <c r="CU43" s="539">
        <f t="shared" si="15"/>
        <v>0</v>
      </c>
      <c r="CV43" s="539">
        <f t="shared" si="15"/>
        <v>0</v>
      </c>
      <c r="CW43" s="539">
        <f t="shared" si="15"/>
        <v>0</v>
      </c>
      <c r="CX43" s="539">
        <f t="shared" si="15"/>
        <v>0</v>
      </c>
      <c r="CY43" s="539">
        <f t="shared" si="15"/>
        <v>0</v>
      </c>
      <c r="CZ43" s="539">
        <f t="shared" si="15"/>
        <v>0</v>
      </c>
      <c r="DA43" s="539">
        <f t="shared" si="15"/>
        <v>0</v>
      </c>
      <c r="DB43" s="539">
        <f t="shared" si="15"/>
        <v>0</v>
      </c>
      <c r="DC43" s="539">
        <f t="shared" si="15"/>
        <v>0</v>
      </c>
      <c r="DD43" s="539">
        <f t="shared" si="15"/>
        <v>0</v>
      </c>
      <c r="DE43" s="539">
        <f t="shared" si="15"/>
        <v>0</v>
      </c>
      <c r="DF43" s="539">
        <f t="shared" si="15"/>
        <v>0</v>
      </c>
      <c r="DG43" s="539">
        <f t="shared" si="15"/>
        <v>0</v>
      </c>
      <c r="DH43" s="539">
        <f t="shared" si="15"/>
        <v>0</v>
      </c>
      <c r="DI43" s="539">
        <f t="shared" si="15"/>
        <v>0</v>
      </c>
      <c r="DJ43" s="539">
        <f t="shared" si="15"/>
        <v>0</v>
      </c>
      <c r="DK43" s="539">
        <f t="shared" si="15"/>
        <v>0</v>
      </c>
      <c r="DL43" s="539">
        <f t="shared" si="15"/>
        <v>0</v>
      </c>
      <c r="DM43" s="539">
        <f t="shared" si="15"/>
        <v>0</v>
      </c>
      <c r="DN43" s="539">
        <f t="shared" si="15"/>
        <v>0</v>
      </c>
      <c r="DO43" s="539">
        <f t="shared" si="15"/>
        <v>0</v>
      </c>
      <c r="DP43" s="539">
        <f t="shared" si="15"/>
        <v>0</v>
      </c>
      <c r="DQ43" s="539">
        <f t="shared" si="15"/>
        <v>0</v>
      </c>
      <c r="DR43" s="539">
        <f t="shared" si="15"/>
        <v>0</v>
      </c>
      <c r="DS43" s="539">
        <f t="shared" si="15"/>
        <v>0</v>
      </c>
      <c r="DT43" s="539">
        <f t="shared" si="15"/>
        <v>0</v>
      </c>
      <c r="DU43" s="539">
        <f t="shared" si="15"/>
        <v>0</v>
      </c>
      <c r="DV43" s="539">
        <f t="shared" si="15"/>
        <v>0</v>
      </c>
      <c r="DW43" s="539">
        <f t="shared" si="15"/>
        <v>0</v>
      </c>
      <c r="DX43" s="539">
        <f t="shared" si="15"/>
        <v>0</v>
      </c>
      <c r="DY43" s="539">
        <f t="shared" si="15"/>
        <v>0</v>
      </c>
      <c r="DZ43" s="539">
        <f t="shared" si="15"/>
        <v>0</v>
      </c>
      <c r="EA43" s="539">
        <f t="shared" si="15"/>
        <v>0</v>
      </c>
      <c r="EB43" s="539">
        <f t="shared" si="15"/>
        <v>0</v>
      </c>
      <c r="EC43" s="539">
        <f t="shared" si="15"/>
        <v>0</v>
      </c>
      <c r="ED43" s="539">
        <f t="shared" si="15"/>
        <v>0</v>
      </c>
      <c r="EE43" s="539">
        <f t="shared" si="15"/>
        <v>0</v>
      </c>
      <c r="EF43" s="539">
        <f t="shared" si="15"/>
        <v>0</v>
      </c>
      <c r="EG43" s="539">
        <f t="shared" si="15"/>
        <v>0</v>
      </c>
    </row>
    <row r="44" spans="5:137" ht="12.75">
      <c r="E44" s="538" t="s">
        <v>438</v>
      </c>
      <c r="G44" s="539" t="s">
        <v>30</v>
      </c>
      <c r="H44" s="539">
        <f>SUM(J44:EG44)</f>
        <v>0</v>
      </c>
      <c r="J44" s="539">
        <f t="shared" si="16" ref="J44:EG44">(J41+J42-J43)*J40</f>
        <v>0</v>
      </c>
      <c r="K44" s="539">
        <f t="shared" si="16"/>
        <v>0</v>
      </c>
      <c r="L44" s="539">
        <f t="shared" si="16"/>
        <v>0</v>
      </c>
      <c r="M44" s="539">
        <f t="shared" si="16"/>
        <v>0</v>
      </c>
      <c r="N44" s="539">
        <f t="shared" si="16"/>
        <v>0</v>
      </c>
      <c r="O44" s="539">
        <f t="shared" si="16"/>
        <v>0</v>
      </c>
      <c r="P44" s="539">
        <f t="shared" si="16"/>
        <v>0</v>
      </c>
      <c r="Q44" s="539">
        <f t="shared" si="16"/>
        <v>0</v>
      </c>
      <c r="R44" s="539">
        <f t="shared" si="16"/>
        <v>0</v>
      </c>
      <c r="S44" s="539">
        <f t="shared" si="16"/>
        <v>0</v>
      </c>
      <c r="T44" s="539">
        <f t="shared" si="16"/>
        <v>0</v>
      </c>
      <c r="U44" s="539">
        <f t="shared" si="16"/>
        <v>0</v>
      </c>
      <c r="V44" s="539">
        <f t="shared" si="16"/>
        <v>0</v>
      </c>
      <c r="W44" s="539">
        <f t="shared" si="16"/>
        <v>0</v>
      </c>
      <c r="X44" s="539">
        <f t="shared" si="16"/>
        <v>0</v>
      </c>
      <c r="Y44" s="539">
        <f t="shared" si="16"/>
        <v>0</v>
      </c>
      <c r="Z44" s="539">
        <f t="shared" si="16"/>
        <v>0</v>
      </c>
      <c r="AA44" s="539">
        <f t="shared" si="16"/>
        <v>0</v>
      </c>
      <c r="AB44" s="539">
        <f t="shared" si="16"/>
        <v>0</v>
      </c>
      <c r="AC44" s="539">
        <f t="shared" si="16"/>
        <v>0</v>
      </c>
      <c r="AD44" s="539">
        <f t="shared" si="16"/>
        <v>0</v>
      </c>
      <c r="AE44" s="539">
        <f t="shared" si="16"/>
        <v>0</v>
      </c>
      <c r="AF44" s="539">
        <f t="shared" si="16"/>
        <v>0</v>
      </c>
      <c r="AG44" s="539">
        <f t="shared" si="16"/>
        <v>0</v>
      </c>
      <c r="AH44" s="539">
        <f t="shared" si="16"/>
        <v>0</v>
      </c>
      <c r="AI44" s="539">
        <f t="shared" si="16"/>
        <v>0</v>
      </c>
      <c r="AJ44" s="539">
        <f t="shared" si="16"/>
        <v>0</v>
      </c>
      <c r="AK44" s="539">
        <f t="shared" si="16"/>
        <v>0</v>
      </c>
      <c r="AL44" s="539">
        <f t="shared" si="16"/>
        <v>0</v>
      </c>
      <c r="AM44" s="539">
        <f t="shared" si="16"/>
        <v>0</v>
      </c>
      <c r="AN44" s="539">
        <f t="shared" si="16"/>
        <v>0</v>
      </c>
      <c r="AO44" s="539">
        <f t="shared" si="16"/>
        <v>0</v>
      </c>
      <c r="AP44" s="539">
        <f t="shared" si="16"/>
        <v>0</v>
      </c>
      <c r="AQ44" s="539">
        <f t="shared" si="16"/>
        <v>0</v>
      </c>
      <c r="AR44" s="539">
        <f t="shared" si="16"/>
        <v>0</v>
      </c>
      <c r="AS44" s="539">
        <f t="shared" si="16"/>
        <v>0</v>
      </c>
      <c r="AT44" s="539">
        <f t="shared" si="16"/>
        <v>0</v>
      </c>
      <c r="AU44" s="539">
        <f t="shared" si="16"/>
        <v>0</v>
      </c>
      <c r="AV44" s="539">
        <f t="shared" si="16"/>
        <v>0</v>
      </c>
      <c r="AW44" s="539">
        <f t="shared" si="16"/>
        <v>0</v>
      </c>
      <c r="AX44" s="539">
        <f t="shared" si="16"/>
        <v>0</v>
      </c>
      <c r="AY44" s="539">
        <f t="shared" si="16"/>
        <v>0</v>
      </c>
      <c r="AZ44" s="539">
        <f t="shared" si="16"/>
        <v>0</v>
      </c>
      <c r="BA44" s="539">
        <f t="shared" si="16"/>
        <v>0</v>
      </c>
      <c r="BB44" s="539">
        <f t="shared" si="16"/>
        <v>0</v>
      </c>
      <c r="BC44" s="539">
        <f t="shared" si="16"/>
        <v>0</v>
      </c>
      <c r="BD44" s="539">
        <f t="shared" si="16"/>
        <v>0</v>
      </c>
      <c r="BE44" s="539">
        <f t="shared" si="16"/>
        <v>0</v>
      </c>
      <c r="BF44" s="539">
        <f t="shared" si="16"/>
        <v>0</v>
      </c>
      <c r="BG44" s="539">
        <f t="shared" si="16"/>
        <v>0</v>
      </c>
      <c r="BH44" s="539">
        <f t="shared" si="16"/>
        <v>0</v>
      </c>
      <c r="BI44" s="539">
        <f t="shared" si="16"/>
        <v>0</v>
      </c>
      <c r="BJ44" s="539">
        <f t="shared" si="16"/>
        <v>0</v>
      </c>
      <c r="BK44" s="539">
        <f t="shared" si="16"/>
        <v>0</v>
      </c>
      <c r="BL44" s="539">
        <f t="shared" si="16"/>
        <v>0</v>
      </c>
      <c r="BM44" s="539">
        <f t="shared" si="16"/>
        <v>0</v>
      </c>
      <c r="BN44" s="539">
        <f t="shared" si="16"/>
        <v>0</v>
      </c>
      <c r="BO44" s="539">
        <f t="shared" si="16"/>
        <v>0</v>
      </c>
      <c r="BP44" s="539">
        <f t="shared" si="16"/>
        <v>0</v>
      </c>
      <c r="BQ44" s="539">
        <f t="shared" si="16"/>
        <v>0</v>
      </c>
      <c r="BR44" s="539">
        <f t="shared" si="16"/>
        <v>0</v>
      </c>
      <c r="BS44" s="539">
        <f t="shared" si="16"/>
        <v>0</v>
      </c>
      <c r="BT44" s="539">
        <f t="shared" si="16"/>
        <v>0</v>
      </c>
      <c r="BU44" s="539">
        <f t="shared" si="16"/>
        <v>0</v>
      </c>
      <c r="BV44" s="539">
        <f t="shared" si="16"/>
        <v>0</v>
      </c>
      <c r="BW44" s="539">
        <f t="shared" si="16"/>
        <v>0</v>
      </c>
      <c r="BX44" s="539">
        <f t="shared" si="16"/>
        <v>0</v>
      </c>
      <c r="BY44" s="539">
        <f t="shared" si="16"/>
        <v>0</v>
      </c>
      <c r="BZ44" s="539">
        <f t="shared" si="16"/>
        <v>0</v>
      </c>
      <c r="CA44" s="539">
        <f t="shared" si="16"/>
        <v>0</v>
      </c>
      <c r="CB44" s="539">
        <f t="shared" si="16"/>
        <v>0</v>
      </c>
      <c r="CC44" s="539">
        <f t="shared" si="16"/>
        <v>0</v>
      </c>
      <c r="CD44" s="539">
        <f t="shared" si="16"/>
        <v>0</v>
      </c>
      <c r="CE44" s="539">
        <f t="shared" si="16"/>
        <v>0</v>
      </c>
      <c r="CF44" s="539">
        <f t="shared" si="16"/>
        <v>0</v>
      </c>
      <c r="CG44" s="539">
        <f t="shared" si="16"/>
        <v>0</v>
      </c>
      <c r="CH44" s="539">
        <f t="shared" si="16"/>
        <v>0</v>
      </c>
      <c r="CI44" s="539">
        <f t="shared" si="16"/>
        <v>0</v>
      </c>
      <c r="CJ44" s="539">
        <f t="shared" si="16"/>
        <v>0</v>
      </c>
      <c r="CK44" s="539">
        <f t="shared" si="16"/>
        <v>0</v>
      </c>
      <c r="CL44" s="539">
        <f t="shared" si="16"/>
        <v>0</v>
      </c>
      <c r="CM44" s="539">
        <f t="shared" si="16"/>
        <v>0</v>
      </c>
      <c r="CN44" s="539">
        <f t="shared" si="16"/>
        <v>0</v>
      </c>
      <c r="CO44" s="539">
        <f t="shared" si="16"/>
        <v>0</v>
      </c>
      <c r="CP44" s="539">
        <f t="shared" si="16"/>
        <v>0</v>
      </c>
      <c r="CQ44" s="539">
        <f t="shared" si="16"/>
        <v>0</v>
      </c>
      <c r="CR44" s="539">
        <f t="shared" si="16"/>
        <v>0</v>
      </c>
      <c r="CS44" s="539">
        <f t="shared" si="16"/>
        <v>0</v>
      </c>
      <c r="CT44" s="539">
        <f t="shared" si="16"/>
        <v>0</v>
      </c>
      <c r="CU44" s="539">
        <f t="shared" si="16"/>
        <v>0</v>
      </c>
      <c r="CV44" s="539">
        <f t="shared" si="16"/>
        <v>0</v>
      </c>
      <c r="CW44" s="539">
        <f t="shared" si="16"/>
        <v>0</v>
      </c>
      <c r="CX44" s="539">
        <f t="shared" si="16"/>
        <v>0</v>
      </c>
      <c r="CY44" s="539">
        <f t="shared" si="16"/>
        <v>0</v>
      </c>
      <c r="CZ44" s="539">
        <f t="shared" si="16"/>
        <v>0</v>
      </c>
      <c r="DA44" s="539">
        <f t="shared" si="16"/>
        <v>0</v>
      </c>
      <c r="DB44" s="539">
        <f t="shared" si="16"/>
        <v>0</v>
      </c>
      <c r="DC44" s="539">
        <f t="shared" si="16"/>
        <v>0</v>
      </c>
      <c r="DD44" s="539">
        <f t="shared" si="16"/>
        <v>0</v>
      </c>
      <c r="DE44" s="539">
        <f t="shared" si="16"/>
        <v>0</v>
      </c>
      <c r="DF44" s="539">
        <f t="shared" si="16"/>
        <v>0</v>
      </c>
      <c r="DG44" s="539">
        <f t="shared" si="16"/>
        <v>0</v>
      </c>
      <c r="DH44" s="539">
        <f t="shared" si="16"/>
        <v>0</v>
      </c>
      <c r="DI44" s="539">
        <f t="shared" si="16"/>
        <v>0</v>
      </c>
      <c r="DJ44" s="539">
        <f t="shared" si="16"/>
        <v>0</v>
      </c>
      <c r="DK44" s="539">
        <f t="shared" si="16"/>
        <v>0</v>
      </c>
      <c r="DL44" s="539">
        <f t="shared" si="16"/>
        <v>0</v>
      </c>
      <c r="DM44" s="539">
        <f t="shared" si="16"/>
        <v>0</v>
      </c>
      <c r="DN44" s="539">
        <f t="shared" si="16"/>
        <v>0</v>
      </c>
      <c r="DO44" s="539">
        <f t="shared" si="16"/>
        <v>0</v>
      </c>
      <c r="DP44" s="539">
        <f t="shared" si="16"/>
        <v>0</v>
      </c>
      <c r="DQ44" s="539">
        <f t="shared" si="16"/>
        <v>0</v>
      </c>
      <c r="DR44" s="539">
        <f t="shared" si="16"/>
        <v>0</v>
      </c>
      <c r="DS44" s="539">
        <f t="shared" si="16"/>
        <v>0</v>
      </c>
      <c r="DT44" s="539">
        <f t="shared" si="16"/>
        <v>0</v>
      </c>
      <c r="DU44" s="539">
        <f t="shared" si="16"/>
        <v>0</v>
      </c>
      <c r="DV44" s="539">
        <f t="shared" si="16"/>
        <v>0</v>
      </c>
      <c r="DW44" s="539">
        <f t="shared" si="16"/>
        <v>0</v>
      </c>
      <c r="DX44" s="539">
        <f t="shared" si="16"/>
        <v>0</v>
      </c>
      <c r="DY44" s="539">
        <f t="shared" si="16"/>
        <v>0</v>
      </c>
      <c r="DZ44" s="539">
        <f t="shared" si="16"/>
        <v>0</v>
      </c>
      <c r="EA44" s="539">
        <f t="shared" si="16"/>
        <v>0</v>
      </c>
      <c r="EB44" s="539">
        <f t="shared" si="16"/>
        <v>0</v>
      </c>
      <c r="EC44" s="539">
        <f t="shared" si="16"/>
        <v>0</v>
      </c>
      <c r="ED44" s="539">
        <f t="shared" si="16"/>
        <v>0</v>
      </c>
      <c r="EE44" s="539">
        <f t="shared" si="16"/>
        <v>0</v>
      </c>
      <c r="EF44" s="539">
        <f t="shared" si="16"/>
        <v>0</v>
      </c>
      <c r="EG44" s="539">
        <f t="shared" si="16"/>
        <v>0</v>
      </c>
    </row>
    <row r="46" spans="5:137" ht="12.75">
      <c r="E46" s="538" t="str">
        <f>E$29</f>
        <v>Disallowed interest - opening balance</v>
      </c>
      <c r="G46" s="539" t="str">
        <f>G$29</f>
        <v>EUR 000s</v>
      </c>
      <c r="H46" s="539">
        <f>H$29</f>
        <v>492908.97033742344</v>
      </c>
      <c r="J46" s="539">
        <f t="shared" si="17" ref="J46:EG46">J$29</f>
        <v>0</v>
      </c>
      <c r="K46" s="539">
        <f t="shared" si="17"/>
        <v>0</v>
      </c>
      <c r="L46" s="539">
        <f t="shared" si="17"/>
        <v>0</v>
      </c>
      <c r="M46" s="539">
        <f t="shared" si="17"/>
        <v>0</v>
      </c>
      <c r="N46" s="539">
        <f t="shared" si="17"/>
        <v>0</v>
      </c>
      <c r="O46" s="539">
        <f t="shared" si="17"/>
        <v>0</v>
      </c>
      <c r="P46" s="539">
        <f t="shared" si="17"/>
        <v>0</v>
      </c>
      <c r="Q46" s="539">
        <f t="shared" si="17"/>
        <v>0</v>
      </c>
      <c r="R46" s="539">
        <f t="shared" si="17"/>
        <v>0</v>
      </c>
      <c r="S46" s="539">
        <f t="shared" si="17"/>
        <v>0</v>
      </c>
      <c r="T46" s="539">
        <f t="shared" si="17"/>
        <v>0</v>
      </c>
      <c r="U46" s="539">
        <f t="shared" si="17"/>
        <v>0</v>
      </c>
      <c r="V46" s="539">
        <f t="shared" si="17"/>
        <v>0</v>
      </c>
      <c r="W46" s="539">
        <f t="shared" si="17"/>
        <v>0</v>
      </c>
      <c r="X46" s="539">
        <f t="shared" si="17"/>
        <v>0</v>
      </c>
      <c r="Y46" s="539">
        <f t="shared" si="17"/>
        <v>0</v>
      </c>
      <c r="Z46" s="539">
        <f t="shared" si="17"/>
        <v>0</v>
      </c>
      <c r="AA46" s="539">
        <f t="shared" si="17"/>
        <v>0</v>
      </c>
      <c r="AB46" s="539">
        <f t="shared" si="17"/>
        <v>0</v>
      </c>
      <c r="AC46" s="539">
        <f t="shared" si="17"/>
        <v>0</v>
      </c>
      <c r="AD46" s="539">
        <f t="shared" si="17"/>
        <v>0</v>
      </c>
      <c r="AE46" s="539">
        <f t="shared" si="17"/>
        <v>0</v>
      </c>
      <c r="AF46" s="539">
        <f t="shared" si="17"/>
        <v>0</v>
      </c>
      <c r="AG46" s="539">
        <f t="shared" si="17"/>
        <v>0</v>
      </c>
      <c r="AH46" s="539">
        <f t="shared" si="17"/>
        <v>0</v>
      </c>
      <c r="AI46" s="539">
        <f t="shared" si="17"/>
        <v>1119.7674810450371</v>
      </c>
      <c r="AJ46" s="539">
        <f t="shared" si="17"/>
        <v>2226.4727566457655</v>
      </c>
      <c r="AK46" s="539">
        <f t="shared" si="17"/>
        <v>3340.4562637558256</v>
      </c>
      <c r="AL46" s="539">
        <f t="shared" si="17"/>
        <v>4420.0504290256058</v>
      </c>
      <c r="AM46" s="539">
        <f t="shared" si="17"/>
        <v>5336.2909495345384</v>
      </c>
      <c r="AN46" s="539">
        <f t="shared" si="17"/>
        <v>6257.1604128843028</v>
      </c>
      <c r="AO46" s="539">
        <f t="shared" si="17"/>
        <v>7181.390783584191</v>
      </c>
      <c r="AP46" s="539">
        <f t="shared" si="17"/>
        <v>8068.7886154103653</v>
      </c>
      <c r="AQ46" s="539">
        <f t="shared" si="17"/>
        <v>8792.7797781716599</v>
      </c>
      <c r="AR46" s="539">
        <f t="shared" si="17"/>
        <v>9517.3319222486316</v>
      </c>
      <c r="AS46" s="539">
        <f t="shared" si="17"/>
        <v>10241.067934048209</v>
      </c>
      <c r="AT46" s="539">
        <f t="shared" si="17"/>
        <v>10925.371514483448</v>
      </c>
      <c r="AU46" s="539">
        <f t="shared" si="17"/>
        <v>11483.649634345491</v>
      </c>
      <c r="AV46" s="539">
        <f t="shared" si="17"/>
        <v>12001.038675285276</v>
      </c>
      <c r="AW46" s="539">
        <f t="shared" si="17"/>
        <v>12513.315385008547</v>
      </c>
      <c r="AX46" s="539">
        <f t="shared" si="17"/>
        <v>12983.399867210319</v>
      </c>
      <c r="AY46" s="539">
        <f t="shared" si="17"/>
        <v>13812.027090357351</v>
      </c>
      <c r="AZ46" s="539">
        <f t="shared" si="17"/>
        <v>14632.269716402969</v>
      </c>
      <c r="BA46" s="539">
        <f t="shared" si="17"/>
        <v>15442.511030171347</v>
      </c>
      <c r="BB46" s="539">
        <f t="shared" si="17"/>
        <v>16207.619886262572</v>
      </c>
      <c r="BC46" s="539">
        <f t="shared" si="17"/>
        <v>16287.672939156371</v>
      </c>
      <c r="BD46" s="539">
        <f t="shared" si="17"/>
        <v>16355.293917127829</v>
      </c>
      <c r="BE46" s="539">
        <f t="shared" si="17"/>
        <v>16408.89194128929</v>
      </c>
      <c r="BF46" s="539">
        <f t="shared" si="17"/>
        <v>16415.387757300072</v>
      </c>
      <c r="BG46" s="539">
        <f t="shared" si="17"/>
        <v>16260.04189403413</v>
      </c>
      <c r="BH46" s="539">
        <f t="shared" si="17"/>
        <v>16087.658785696003</v>
      </c>
      <c r="BI46" s="539">
        <f t="shared" si="17"/>
        <v>15896.507991729806</v>
      </c>
      <c r="BJ46" s="539">
        <f t="shared" si="17"/>
        <v>15655.503905943224</v>
      </c>
      <c r="BK46" s="539">
        <f t="shared" si="17"/>
        <v>15282.732620221981</v>
      </c>
      <c r="BL46" s="539">
        <f t="shared" si="17"/>
        <v>14858.746500051868</v>
      </c>
      <c r="BM46" s="539">
        <f t="shared" si="17"/>
        <v>14411.042436453627</v>
      </c>
      <c r="BN46" s="539">
        <f t="shared" si="17"/>
        <v>13910.490708913134</v>
      </c>
      <c r="BO46" s="539">
        <f t="shared" si="17"/>
        <v>13249.458618664146</v>
      </c>
      <c r="BP46" s="539">
        <f t="shared" si="17"/>
        <v>12561.096628565658</v>
      </c>
      <c r="BQ46" s="539">
        <f t="shared" si="17"/>
        <v>11843.374637551831</v>
      </c>
      <c r="BR46" s="539">
        <f t="shared" si="17"/>
        <v>11069.55638148174</v>
      </c>
      <c r="BS46" s="539">
        <f t="shared" si="17"/>
        <v>10726.393893578843</v>
      </c>
      <c r="BT46" s="539">
        <f t="shared" si="17"/>
        <v>10349.450162387922</v>
      </c>
      <c r="BU46" s="539">
        <f t="shared" si="17"/>
        <v>9936.5070762883533</v>
      </c>
      <c r="BV46" s="539">
        <f t="shared" si="17"/>
        <v>9463.205265063898</v>
      </c>
      <c r="BW46" s="539">
        <f t="shared" si="17"/>
        <v>8239.7072455527123</v>
      </c>
      <c r="BX46" s="539">
        <f t="shared" si="17"/>
        <v>6978.1442966775276</v>
      </c>
      <c r="BY46" s="539">
        <f t="shared" si="17"/>
        <v>5681.8936166065405</v>
      </c>
      <c r="BZ46" s="539">
        <f t="shared" si="17"/>
        <v>4329.3539251437987</v>
      </c>
      <c r="CA46" s="539">
        <f t="shared" si="17"/>
        <v>2844.9649683332264</v>
      </c>
      <c r="CB46" s="539">
        <f t="shared" si="17"/>
        <v>1303.1320977283615</v>
      </c>
      <c r="CC46" s="539">
        <f t="shared" si="17"/>
        <v>0</v>
      </c>
      <c r="CD46" s="539">
        <f t="shared" si="17"/>
        <v>0</v>
      </c>
      <c r="CE46" s="539">
        <f t="shared" si="17"/>
        <v>0</v>
      </c>
      <c r="CF46" s="539">
        <f t="shared" si="17"/>
        <v>0</v>
      </c>
      <c r="CG46" s="539">
        <f t="shared" si="17"/>
        <v>0</v>
      </c>
      <c r="CH46" s="539">
        <f t="shared" si="17"/>
        <v>0</v>
      </c>
      <c r="CI46" s="539">
        <f t="shared" si="17"/>
        <v>0</v>
      </c>
      <c r="CJ46" s="539">
        <f t="shared" si="17"/>
        <v>0</v>
      </c>
      <c r="CK46" s="539">
        <f t="shared" si="17"/>
        <v>0</v>
      </c>
      <c r="CL46" s="539">
        <f t="shared" si="17"/>
        <v>0</v>
      </c>
      <c r="CM46" s="539">
        <f t="shared" si="17"/>
        <v>0</v>
      </c>
      <c r="CN46" s="539">
        <f t="shared" si="17"/>
        <v>0</v>
      </c>
      <c r="CO46" s="539">
        <f t="shared" si="17"/>
        <v>0</v>
      </c>
      <c r="CP46" s="539">
        <f t="shared" si="17"/>
        <v>0</v>
      </c>
      <c r="CQ46" s="539">
        <f t="shared" si="17"/>
        <v>0</v>
      </c>
      <c r="CR46" s="539">
        <f t="shared" si="17"/>
        <v>0</v>
      </c>
      <c r="CS46" s="539">
        <f t="shared" si="17"/>
        <v>0</v>
      </c>
      <c r="CT46" s="539">
        <f t="shared" si="17"/>
        <v>0</v>
      </c>
      <c r="CU46" s="539">
        <f t="shared" si="17"/>
        <v>0</v>
      </c>
      <c r="CV46" s="539">
        <f t="shared" si="17"/>
        <v>0</v>
      </c>
      <c r="CW46" s="539">
        <f t="shared" si="17"/>
        <v>0</v>
      </c>
      <c r="CX46" s="539">
        <f t="shared" si="17"/>
        <v>0</v>
      </c>
      <c r="CY46" s="539">
        <f t="shared" si="17"/>
        <v>0</v>
      </c>
      <c r="CZ46" s="539">
        <f t="shared" si="17"/>
        <v>0</v>
      </c>
      <c r="DA46" s="539">
        <f t="shared" si="17"/>
        <v>0</v>
      </c>
      <c r="DB46" s="539">
        <f t="shared" si="17"/>
        <v>0</v>
      </c>
      <c r="DC46" s="539">
        <f t="shared" si="17"/>
        <v>0</v>
      </c>
      <c r="DD46" s="539">
        <f t="shared" si="17"/>
        <v>0</v>
      </c>
      <c r="DE46" s="539">
        <f t="shared" si="17"/>
        <v>0</v>
      </c>
      <c r="DF46" s="539">
        <f t="shared" si="17"/>
        <v>0</v>
      </c>
      <c r="DG46" s="539">
        <f t="shared" si="17"/>
        <v>0</v>
      </c>
      <c r="DH46" s="539">
        <f t="shared" si="17"/>
        <v>0</v>
      </c>
      <c r="DI46" s="539">
        <f t="shared" si="17"/>
        <v>0</v>
      </c>
      <c r="DJ46" s="539">
        <f t="shared" si="17"/>
        <v>0</v>
      </c>
      <c r="DK46" s="539">
        <f t="shared" si="17"/>
        <v>0</v>
      </c>
      <c r="DL46" s="539">
        <f t="shared" si="17"/>
        <v>0</v>
      </c>
      <c r="DM46" s="539">
        <f t="shared" si="17"/>
        <v>0</v>
      </c>
      <c r="DN46" s="539">
        <f t="shared" si="17"/>
        <v>0</v>
      </c>
      <c r="DO46" s="539">
        <f t="shared" si="17"/>
        <v>0</v>
      </c>
      <c r="DP46" s="539">
        <f t="shared" si="17"/>
        <v>0</v>
      </c>
      <c r="DQ46" s="539">
        <f t="shared" si="17"/>
        <v>0</v>
      </c>
      <c r="DR46" s="539">
        <f t="shared" si="17"/>
        <v>0</v>
      </c>
      <c r="DS46" s="539">
        <f t="shared" si="17"/>
        <v>0</v>
      </c>
      <c r="DT46" s="539">
        <f t="shared" si="17"/>
        <v>0</v>
      </c>
      <c r="DU46" s="539">
        <f t="shared" si="17"/>
        <v>0</v>
      </c>
      <c r="DV46" s="539">
        <f t="shared" si="17"/>
        <v>0</v>
      </c>
      <c r="DW46" s="539">
        <f t="shared" si="17"/>
        <v>0</v>
      </c>
      <c r="DX46" s="539">
        <f t="shared" si="17"/>
        <v>0</v>
      </c>
      <c r="DY46" s="539">
        <f t="shared" si="17"/>
        <v>0</v>
      </c>
      <c r="DZ46" s="539">
        <f t="shared" si="17"/>
        <v>0</v>
      </c>
      <c r="EA46" s="539">
        <f t="shared" si="17"/>
        <v>0</v>
      </c>
      <c r="EB46" s="539">
        <f t="shared" si="17"/>
        <v>0</v>
      </c>
      <c r="EC46" s="539">
        <f t="shared" si="17"/>
        <v>0</v>
      </c>
      <c r="ED46" s="539">
        <f t="shared" si="17"/>
        <v>0</v>
      </c>
      <c r="EE46" s="539">
        <f t="shared" si="17"/>
        <v>0</v>
      </c>
      <c r="EF46" s="539">
        <f t="shared" si="17"/>
        <v>0</v>
      </c>
      <c r="EG46" s="539">
        <f t="shared" si="17"/>
        <v>0</v>
      </c>
    </row>
    <row r="47" spans="5:137" ht="12.75">
      <c r="E47" s="538" t="str">
        <f>E$33</f>
        <v>Disallowed interest - added above cap</v>
      </c>
      <c r="G47" s="539" t="str">
        <f>G$33</f>
        <v>EUR 000s</v>
      </c>
      <c r="H47" s="539">
        <f>H$33</f>
        <v>16415.387757300072</v>
      </c>
      <c r="J47" s="539">
        <f t="shared" si="18" ref="J47:EG47">J$33</f>
        <v>0</v>
      </c>
      <c r="K47" s="539">
        <f t="shared" si="18"/>
        <v>0</v>
      </c>
      <c r="L47" s="539">
        <f t="shared" si="18"/>
        <v>0</v>
      </c>
      <c r="M47" s="539">
        <f t="shared" si="18"/>
        <v>0</v>
      </c>
      <c r="N47" s="539">
        <f t="shared" si="18"/>
        <v>0</v>
      </c>
      <c r="O47" s="539">
        <f t="shared" si="18"/>
        <v>0</v>
      </c>
      <c r="P47" s="539">
        <f t="shared" si="18"/>
        <v>0</v>
      </c>
      <c r="Q47" s="539">
        <f t="shared" si="18"/>
        <v>0</v>
      </c>
      <c r="R47" s="539">
        <f t="shared" si="18"/>
        <v>0</v>
      </c>
      <c r="S47" s="539">
        <f t="shared" si="18"/>
        <v>0</v>
      </c>
      <c r="T47" s="539">
        <f t="shared" si="18"/>
        <v>0</v>
      </c>
      <c r="U47" s="539">
        <f t="shared" si="18"/>
        <v>0</v>
      </c>
      <c r="V47" s="539">
        <f t="shared" si="18"/>
        <v>0</v>
      </c>
      <c r="W47" s="539">
        <f t="shared" si="18"/>
        <v>0</v>
      </c>
      <c r="X47" s="539">
        <f t="shared" si="18"/>
        <v>0</v>
      </c>
      <c r="Y47" s="539">
        <f t="shared" si="18"/>
        <v>0</v>
      </c>
      <c r="Z47" s="539">
        <f t="shared" si="18"/>
        <v>0</v>
      </c>
      <c r="AA47" s="539">
        <f t="shared" si="18"/>
        <v>0</v>
      </c>
      <c r="AB47" s="539">
        <f t="shared" si="18"/>
        <v>0</v>
      </c>
      <c r="AC47" s="539">
        <f t="shared" si="18"/>
        <v>0</v>
      </c>
      <c r="AD47" s="539">
        <f t="shared" si="18"/>
        <v>0</v>
      </c>
      <c r="AE47" s="539">
        <f t="shared" si="18"/>
        <v>0</v>
      </c>
      <c r="AF47" s="539">
        <f t="shared" si="18"/>
        <v>0</v>
      </c>
      <c r="AG47" s="539">
        <f t="shared" si="18"/>
        <v>0</v>
      </c>
      <c r="AH47" s="539">
        <f t="shared" si="18"/>
        <v>1119.7674810450371</v>
      </c>
      <c r="AI47" s="539">
        <f t="shared" si="18"/>
        <v>1106.7052756007283</v>
      </c>
      <c r="AJ47" s="539">
        <f t="shared" si="18"/>
        <v>1113.9835071100601</v>
      </c>
      <c r="AK47" s="539">
        <f t="shared" si="18"/>
        <v>1079.5941652697802</v>
      </c>
      <c r="AL47" s="539">
        <f t="shared" si="18"/>
        <v>916.2405205089326</v>
      </c>
      <c r="AM47" s="539">
        <f t="shared" si="18"/>
        <v>920.86946334976483</v>
      </c>
      <c r="AN47" s="539">
        <f t="shared" si="18"/>
        <v>924.23037069988823</v>
      </c>
      <c r="AO47" s="539">
        <f t="shared" si="18"/>
        <v>887.39783182617384</v>
      </c>
      <c r="AP47" s="539">
        <f t="shared" si="18"/>
        <v>723.99116276129462</v>
      </c>
      <c r="AQ47" s="539">
        <f t="shared" si="18"/>
        <v>724.55214407697258</v>
      </c>
      <c r="AR47" s="539">
        <f t="shared" si="18"/>
        <v>723.73601179957859</v>
      </c>
      <c r="AS47" s="539">
        <f t="shared" si="18"/>
        <v>684.30358043523893</v>
      </c>
      <c r="AT47" s="539">
        <f t="shared" si="18"/>
        <v>558.27811986204279</v>
      </c>
      <c r="AU47" s="539">
        <f t="shared" si="18"/>
        <v>517.38904093978408</v>
      </c>
      <c r="AV47" s="539">
        <f t="shared" si="18"/>
        <v>512.27670972327132</v>
      </c>
      <c r="AW47" s="539">
        <f t="shared" si="18"/>
        <v>470.08448220177161</v>
      </c>
      <c r="AX47" s="539">
        <f t="shared" si="18"/>
        <v>828.62722314703205</v>
      </c>
      <c r="AY47" s="539">
        <f t="shared" si="18"/>
        <v>820.24262604561727</v>
      </c>
      <c r="AZ47" s="539">
        <f t="shared" si="18"/>
        <v>810.2413137683784</v>
      </c>
      <c r="BA47" s="539">
        <f t="shared" si="18"/>
        <v>765.10885609122533</v>
      </c>
      <c r="BB47" s="539">
        <f t="shared" si="18"/>
        <v>80.053052893798849</v>
      </c>
      <c r="BC47" s="539">
        <f t="shared" si="18"/>
        <v>67.620977971457251</v>
      </c>
      <c r="BD47" s="539">
        <f t="shared" si="18"/>
        <v>53.598024161462945</v>
      </c>
      <c r="BE47" s="539">
        <f t="shared" si="18"/>
        <v>6.4958160107807998</v>
      </c>
      <c r="BF47" s="539">
        <f t="shared" si="18"/>
        <v>0</v>
      </c>
      <c r="BG47" s="539">
        <f t="shared" si="18"/>
        <v>0</v>
      </c>
      <c r="BH47" s="539">
        <f t="shared" si="18"/>
        <v>0</v>
      </c>
      <c r="BI47" s="539">
        <f t="shared" si="18"/>
        <v>0</v>
      </c>
      <c r="BJ47" s="539">
        <f t="shared" si="18"/>
        <v>0</v>
      </c>
      <c r="BK47" s="539">
        <f t="shared" si="18"/>
        <v>0</v>
      </c>
      <c r="BL47" s="539">
        <f t="shared" si="18"/>
        <v>0</v>
      </c>
      <c r="BM47" s="539">
        <f t="shared" si="18"/>
        <v>0</v>
      </c>
      <c r="BN47" s="539">
        <f t="shared" si="18"/>
        <v>0</v>
      </c>
      <c r="BO47" s="539">
        <f t="shared" si="18"/>
        <v>0</v>
      </c>
      <c r="BP47" s="539">
        <f t="shared" si="18"/>
        <v>0</v>
      </c>
      <c r="BQ47" s="539">
        <f t="shared" si="18"/>
        <v>0</v>
      </c>
      <c r="BR47" s="539">
        <f t="shared" si="18"/>
        <v>0</v>
      </c>
      <c r="BS47" s="539">
        <f t="shared" si="18"/>
        <v>0</v>
      </c>
      <c r="BT47" s="539">
        <f t="shared" si="18"/>
        <v>0</v>
      </c>
      <c r="BU47" s="539">
        <f t="shared" si="18"/>
        <v>0</v>
      </c>
      <c r="BV47" s="539">
        <f t="shared" si="18"/>
        <v>0</v>
      </c>
      <c r="BW47" s="539">
        <f t="shared" si="18"/>
        <v>0</v>
      </c>
      <c r="BX47" s="539">
        <f t="shared" si="18"/>
        <v>0</v>
      </c>
      <c r="BY47" s="539">
        <f t="shared" si="18"/>
        <v>0</v>
      </c>
      <c r="BZ47" s="539">
        <f t="shared" si="18"/>
        <v>0</v>
      </c>
      <c r="CA47" s="539">
        <f t="shared" si="18"/>
        <v>0</v>
      </c>
      <c r="CB47" s="539">
        <f t="shared" si="18"/>
        <v>0</v>
      </c>
      <c r="CC47" s="539">
        <f t="shared" si="18"/>
        <v>0</v>
      </c>
      <c r="CD47" s="539">
        <f t="shared" si="18"/>
        <v>0</v>
      </c>
      <c r="CE47" s="539">
        <f t="shared" si="18"/>
        <v>0</v>
      </c>
      <c r="CF47" s="539">
        <f t="shared" si="18"/>
        <v>0</v>
      </c>
      <c r="CG47" s="539">
        <f t="shared" si="18"/>
        <v>0</v>
      </c>
      <c r="CH47" s="539">
        <f t="shared" si="18"/>
        <v>0</v>
      </c>
      <c r="CI47" s="539">
        <f t="shared" si="18"/>
        <v>0</v>
      </c>
      <c r="CJ47" s="539">
        <f t="shared" si="18"/>
        <v>0</v>
      </c>
      <c r="CK47" s="539">
        <f t="shared" si="18"/>
        <v>0</v>
      </c>
      <c r="CL47" s="539">
        <f t="shared" si="18"/>
        <v>0</v>
      </c>
      <c r="CM47" s="539">
        <f t="shared" si="18"/>
        <v>0</v>
      </c>
      <c r="CN47" s="539">
        <f t="shared" si="18"/>
        <v>0</v>
      </c>
      <c r="CO47" s="539">
        <f t="shared" si="18"/>
        <v>0</v>
      </c>
      <c r="CP47" s="539">
        <f t="shared" si="18"/>
        <v>0</v>
      </c>
      <c r="CQ47" s="539">
        <f t="shared" si="18"/>
        <v>0</v>
      </c>
      <c r="CR47" s="539">
        <f t="shared" si="18"/>
        <v>0</v>
      </c>
      <c r="CS47" s="539">
        <f t="shared" si="18"/>
        <v>0</v>
      </c>
      <c r="CT47" s="539">
        <f t="shared" si="18"/>
        <v>0</v>
      </c>
      <c r="CU47" s="539">
        <f t="shared" si="18"/>
        <v>0</v>
      </c>
      <c r="CV47" s="539">
        <f t="shared" si="18"/>
        <v>0</v>
      </c>
      <c r="CW47" s="539">
        <f t="shared" si="18"/>
        <v>0</v>
      </c>
      <c r="CX47" s="539">
        <f t="shared" si="18"/>
        <v>0</v>
      </c>
      <c r="CY47" s="539">
        <f t="shared" si="18"/>
        <v>0</v>
      </c>
      <c r="CZ47" s="539">
        <f t="shared" si="18"/>
        <v>0</v>
      </c>
      <c r="DA47" s="539">
        <f t="shared" si="18"/>
        <v>0</v>
      </c>
      <c r="DB47" s="539">
        <f t="shared" si="18"/>
        <v>0</v>
      </c>
      <c r="DC47" s="539">
        <f t="shared" si="18"/>
        <v>0</v>
      </c>
      <c r="DD47" s="539">
        <f t="shared" si="18"/>
        <v>0</v>
      </c>
      <c r="DE47" s="539">
        <f t="shared" si="18"/>
        <v>0</v>
      </c>
      <c r="DF47" s="539">
        <f t="shared" si="18"/>
        <v>0</v>
      </c>
      <c r="DG47" s="539">
        <f t="shared" si="18"/>
        <v>0</v>
      </c>
      <c r="DH47" s="539">
        <f t="shared" si="18"/>
        <v>0</v>
      </c>
      <c r="DI47" s="539">
        <f t="shared" si="18"/>
        <v>0</v>
      </c>
      <c r="DJ47" s="539">
        <f t="shared" si="18"/>
        <v>0</v>
      </c>
      <c r="DK47" s="539">
        <f t="shared" si="18"/>
        <v>0</v>
      </c>
      <c r="DL47" s="539">
        <f t="shared" si="18"/>
        <v>0</v>
      </c>
      <c r="DM47" s="539">
        <f t="shared" si="18"/>
        <v>0</v>
      </c>
      <c r="DN47" s="539">
        <f t="shared" si="18"/>
        <v>0</v>
      </c>
      <c r="DO47" s="539">
        <f t="shared" si="18"/>
        <v>0</v>
      </c>
      <c r="DP47" s="539">
        <f t="shared" si="18"/>
        <v>0</v>
      </c>
      <c r="DQ47" s="539">
        <f t="shared" si="18"/>
        <v>0</v>
      </c>
      <c r="DR47" s="539">
        <f t="shared" si="18"/>
        <v>0</v>
      </c>
      <c r="DS47" s="539">
        <f t="shared" si="18"/>
        <v>0</v>
      </c>
      <c r="DT47" s="539">
        <f t="shared" si="18"/>
        <v>0</v>
      </c>
      <c r="DU47" s="539">
        <f t="shared" si="18"/>
        <v>0</v>
      </c>
      <c r="DV47" s="539">
        <f t="shared" si="18"/>
        <v>0</v>
      </c>
      <c r="DW47" s="539">
        <f t="shared" si="18"/>
        <v>0</v>
      </c>
      <c r="DX47" s="539">
        <f t="shared" si="18"/>
        <v>0</v>
      </c>
      <c r="DY47" s="539">
        <f t="shared" si="18"/>
        <v>0</v>
      </c>
      <c r="DZ47" s="539">
        <f t="shared" si="18"/>
        <v>0</v>
      </c>
      <c r="EA47" s="539">
        <f t="shared" si="18"/>
        <v>0</v>
      </c>
      <c r="EB47" s="539">
        <f t="shared" si="18"/>
        <v>0</v>
      </c>
      <c r="EC47" s="539">
        <f t="shared" si="18"/>
        <v>0</v>
      </c>
      <c r="ED47" s="539">
        <f t="shared" si="18"/>
        <v>0</v>
      </c>
      <c r="EE47" s="539">
        <f t="shared" si="18"/>
        <v>0</v>
      </c>
      <c r="EF47" s="539">
        <f t="shared" si="18"/>
        <v>0</v>
      </c>
      <c r="EG47" s="539">
        <f t="shared" si="18"/>
        <v>0</v>
      </c>
    </row>
    <row r="48" spans="5:137" ht="12.75">
      <c r="E48" s="538" t="str">
        <f>E$38</f>
        <v>Disallowed interest - used within headroom</v>
      </c>
      <c r="G48" s="539" t="str">
        <f>G$38</f>
        <v>EUR 000s</v>
      </c>
      <c r="H48" s="539">
        <f>H$38</f>
        <v>16415.387757300072</v>
      </c>
      <c r="J48" s="539">
        <f t="shared" si="19" ref="J48:EG48">J$38</f>
        <v>0</v>
      </c>
      <c r="K48" s="539">
        <f t="shared" si="19"/>
        <v>0</v>
      </c>
      <c r="L48" s="539">
        <f t="shared" si="19"/>
        <v>0</v>
      </c>
      <c r="M48" s="539">
        <f t="shared" si="19"/>
        <v>0</v>
      </c>
      <c r="N48" s="539">
        <f t="shared" si="19"/>
        <v>0</v>
      </c>
      <c r="O48" s="539">
        <f t="shared" si="19"/>
        <v>0</v>
      </c>
      <c r="P48" s="539">
        <f t="shared" si="19"/>
        <v>0</v>
      </c>
      <c r="Q48" s="539">
        <f t="shared" si="19"/>
        <v>0</v>
      </c>
      <c r="R48" s="539">
        <f t="shared" si="19"/>
        <v>0</v>
      </c>
      <c r="S48" s="539">
        <f t="shared" si="19"/>
        <v>0</v>
      </c>
      <c r="T48" s="539">
        <f t="shared" si="19"/>
        <v>0</v>
      </c>
      <c r="U48" s="539">
        <f t="shared" si="19"/>
        <v>0</v>
      </c>
      <c r="V48" s="539">
        <f t="shared" si="19"/>
        <v>0</v>
      </c>
      <c r="W48" s="539">
        <f t="shared" si="19"/>
        <v>0</v>
      </c>
      <c r="X48" s="539">
        <f t="shared" si="19"/>
        <v>0</v>
      </c>
      <c r="Y48" s="539">
        <f t="shared" si="19"/>
        <v>0</v>
      </c>
      <c r="Z48" s="539">
        <f t="shared" si="19"/>
        <v>0</v>
      </c>
      <c r="AA48" s="539">
        <f t="shared" si="19"/>
        <v>0</v>
      </c>
      <c r="AB48" s="539">
        <f t="shared" si="19"/>
        <v>0</v>
      </c>
      <c r="AC48" s="539">
        <f t="shared" si="19"/>
        <v>0</v>
      </c>
      <c r="AD48" s="539">
        <f t="shared" si="19"/>
        <v>0</v>
      </c>
      <c r="AE48" s="539">
        <f t="shared" si="19"/>
        <v>0</v>
      </c>
      <c r="AF48" s="539">
        <f t="shared" si="19"/>
        <v>0</v>
      </c>
      <c r="AG48" s="539">
        <f t="shared" si="19"/>
        <v>0</v>
      </c>
      <c r="AH48" s="539">
        <f t="shared" si="19"/>
        <v>0</v>
      </c>
      <c r="AI48" s="539">
        <f t="shared" si="19"/>
        <v>0</v>
      </c>
      <c r="AJ48" s="539">
        <f t="shared" si="19"/>
        <v>0</v>
      </c>
      <c r="AK48" s="539">
        <f t="shared" si="19"/>
        <v>0</v>
      </c>
      <c r="AL48" s="539">
        <f t="shared" si="19"/>
        <v>0</v>
      </c>
      <c r="AM48" s="539">
        <f t="shared" si="19"/>
        <v>0</v>
      </c>
      <c r="AN48" s="539">
        <f t="shared" si="19"/>
        <v>0</v>
      </c>
      <c r="AO48" s="539">
        <f t="shared" si="19"/>
        <v>0</v>
      </c>
      <c r="AP48" s="539">
        <f t="shared" si="19"/>
        <v>0</v>
      </c>
      <c r="AQ48" s="539">
        <f t="shared" si="19"/>
        <v>0</v>
      </c>
      <c r="AR48" s="539">
        <f t="shared" si="19"/>
        <v>0</v>
      </c>
      <c r="AS48" s="539">
        <f t="shared" si="19"/>
        <v>0</v>
      </c>
      <c r="AT48" s="539">
        <f t="shared" si="19"/>
        <v>0</v>
      </c>
      <c r="AU48" s="539">
        <f t="shared" si="19"/>
        <v>0</v>
      </c>
      <c r="AV48" s="539">
        <f t="shared" si="19"/>
        <v>0</v>
      </c>
      <c r="AW48" s="539">
        <f t="shared" si="19"/>
        <v>0</v>
      </c>
      <c r="AX48" s="539">
        <f t="shared" si="19"/>
        <v>0</v>
      </c>
      <c r="AY48" s="539">
        <f t="shared" si="19"/>
        <v>0</v>
      </c>
      <c r="AZ48" s="539">
        <f t="shared" si="19"/>
        <v>0</v>
      </c>
      <c r="BA48" s="539">
        <f t="shared" si="19"/>
        <v>0</v>
      </c>
      <c r="BB48" s="539">
        <f t="shared" si="19"/>
        <v>0</v>
      </c>
      <c r="BC48" s="539">
        <f t="shared" si="19"/>
        <v>0</v>
      </c>
      <c r="BD48" s="539">
        <f t="shared" si="19"/>
        <v>0</v>
      </c>
      <c r="BE48" s="539">
        <f t="shared" si="19"/>
        <v>0</v>
      </c>
      <c r="BF48" s="539">
        <f t="shared" si="19"/>
        <v>155.34586326594263</v>
      </c>
      <c r="BG48" s="539">
        <f t="shared" si="19"/>
        <v>172.38310833812648</v>
      </c>
      <c r="BH48" s="539">
        <f t="shared" si="19"/>
        <v>191.15079396619649</v>
      </c>
      <c r="BI48" s="539">
        <f t="shared" si="19"/>
        <v>241.00408578658244</v>
      </c>
      <c r="BJ48" s="539">
        <f t="shared" si="19"/>
        <v>372.77128572124275</v>
      </c>
      <c r="BK48" s="539">
        <f t="shared" si="19"/>
        <v>423.98612017011328</v>
      </c>
      <c r="BL48" s="539">
        <f t="shared" si="19"/>
        <v>447.70406359824119</v>
      </c>
      <c r="BM48" s="539">
        <f t="shared" si="19"/>
        <v>500.55172754049181</v>
      </c>
      <c r="BN48" s="539">
        <f t="shared" si="19"/>
        <v>661.03209024898797</v>
      </c>
      <c r="BO48" s="539">
        <f t="shared" si="19"/>
        <v>688.36199009848769</v>
      </c>
      <c r="BP48" s="539">
        <f t="shared" si="19"/>
        <v>717.72199101382603</v>
      </c>
      <c r="BQ48" s="539">
        <f t="shared" si="19"/>
        <v>773.8182560700925</v>
      </c>
      <c r="BR48" s="539">
        <f t="shared" si="19"/>
        <v>343.16248790289592</v>
      </c>
      <c r="BS48" s="539">
        <f t="shared" si="19"/>
        <v>376.94373119092006</v>
      </c>
      <c r="BT48" s="539">
        <f t="shared" si="19"/>
        <v>412.94308609956897</v>
      </c>
      <c r="BU48" s="539">
        <f t="shared" si="19"/>
        <v>473.30181122445629</v>
      </c>
      <c r="BV48" s="539">
        <f t="shared" si="19"/>
        <v>1223.4980195111852</v>
      </c>
      <c r="BW48" s="539">
        <f t="shared" si="19"/>
        <v>1261.5629488751847</v>
      </c>
      <c r="BX48" s="539">
        <f t="shared" si="19"/>
        <v>1296.2506800709868</v>
      </c>
      <c r="BY48" s="539">
        <f t="shared" si="19"/>
        <v>1352.539691462742</v>
      </c>
      <c r="BZ48" s="539">
        <f t="shared" si="19"/>
        <v>1484.3889568105722</v>
      </c>
      <c r="CA48" s="539">
        <f t="shared" si="19"/>
        <v>1541.8328706048649</v>
      </c>
      <c r="CB48" s="539">
        <f t="shared" si="19"/>
        <v>1303.1320977283615</v>
      </c>
      <c r="CC48" s="539">
        <f t="shared" si="19"/>
        <v>0</v>
      </c>
      <c r="CD48" s="539">
        <f t="shared" si="19"/>
        <v>0</v>
      </c>
      <c r="CE48" s="539">
        <f t="shared" si="19"/>
        <v>0</v>
      </c>
      <c r="CF48" s="539">
        <f t="shared" si="19"/>
        <v>0</v>
      </c>
      <c r="CG48" s="539">
        <f t="shared" si="19"/>
        <v>0</v>
      </c>
      <c r="CH48" s="539">
        <f t="shared" si="19"/>
        <v>0</v>
      </c>
      <c r="CI48" s="539">
        <f t="shared" si="19"/>
        <v>0</v>
      </c>
      <c r="CJ48" s="539">
        <f t="shared" si="19"/>
        <v>0</v>
      </c>
      <c r="CK48" s="539">
        <f t="shared" si="19"/>
        <v>0</v>
      </c>
      <c r="CL48" s="539">
        <f t="shared" si="19"/>
        <v>0</v>
      </c>
      <c r="CM48" s="539">
        <f t="shared" si="19"/>
        <v>0</v>
      </c>
      <c r="CN48" s="539">
        <f t="shared" si="19"/>
        <v>0</v>
      </c>
      <c r="CO48" s="539">
        <f t="shared" si="19"/>
        <v>0</v>
      </c>
      <c r="CP48" s="539">
        <f t="shared" si="19"/>
        <v>0</v>
      </c>
      <c r="CQ48" s="539">
        <f t="shared" si="19"/>
        <v>0</v>
      </c>
      <c r="CR48" s="539">
        <f t="shared" si="19"/>
        <v>0</v>
      </c>
      <c r="CS48" s="539">
        <f t="shared" si="19"/>
        <v>0</v>
      </c>
      <c r="CT48" s="539">
        <f t="shared" si="19"/>
        <v>0</v>
      </c>
      <c r="CU48" s="539">
        <f t="shared" si="19"/>
        <v>0</v>
      </c>
      <c r="CV48" s="539">
        <f t="shared" si="19"/>
        <v>0</v>
      </c>
      <c r="CW48" s="539">
        <f t="shared" si="19"/>
        <v>0</v>
      </c>
      <c r="CX48" s="539">
        <f t="shared" si="19"/>
        <v>0</v>
      </c>
      <c r="CY48" s="539">
        <f t="shared" si="19"/>
        <v>0</v>
      </c>
      <c r="CZ48" s="539">
        <f t="shared" si="19"/>
        <v>0</v>
      </c>
      <c r="DA48" s="539">
        <f t="shared" si="19"/>
        <v>0</v>
      </c>
      <c r="DB48" s="539">
        <f t="shared" si="19"/>
        <v>0</v>
      </c>
      <c r="DC48" s="539">
        <f t="shared" si="19"/>
        <v>0</v>
      </c>
      <c r="DD48" s="539">
        <f t="shared" si="19"/>
        <v>0</v>
      </c>
      <c r="DE48" s="539">
        <f t="shared" si="19"/>
        <v>0</v>
      </c>
      <c r="DF48" s="539">
        <f t="shared" si="19"/>
        <v>0</v>
      </c>
      <c r="DG48" s="539">
        <f t="shared" si="19"/>
        <v>0</v>
      </c>
      <c r="DH48" s="539">
        <f t="shared" si="19"/>
        <v>0</v>
      </c>
      <c r="DI48" s="539">
        <f t="shared" si="19"/>
        <v>0</v>
      </c>
      <c r="DJ48" s="539">
        <f t="shared" si="19"/>
        <v>0</v>
      </c>
      <c r="DK48" s="539">
        <f t="shared" si="19"/>
        <v>0</v>
      </c>
      <c r="DL48" s="539">
        <f t="shared" si="19"/>
        <v>0</v>
      </c>
      <c r="DM48" s="539">
        <f t="shared" si="19"/>
        <v>0</v>
      </c>
      <c r="DN48" s="539">
        <f t="shared" si="19"/>
        <v>0</v>
      </c>
      <c r="DO48" s="539">
        <f t="shared" si="19"/>
        <v>0</v>
      </c>
      <c r="DP48" s="539">
        <f t="shared" si="19"/>
        <v>0</v>
      </c>
      <c r="DQ48" s="539">
        <f t="shared" si="19"/>
        <v>0</v>
      </c>
      <c r="DR48" s="539">
        <f t="shared" si="19"/>
        <v>0</v>
      </c>
      <c r="DS48" s="539">
        <f t="shared" si="19"/>
        <v>0</v>
      </c>
      <c r="DT48" s="539">
        <f t="shared" si="19"/>
        <v>0</v>
      </c>
      <c r="DU48" s="539">
        <f t="shared" si="19"/>
        <v>0</v>
      </c>
      <c r="DV48" s="539">
        <f t="shared" si="19"/>
        <v>0</v>
      </c>
      <c r="DW48" s="539">
        <f t="shared" si="19"/>
        <v>0</v>
      </c>
      <c r="DX48" s="539">
        <f t="shared" si="19"/>
        <v>0</v>
      </c>
      <c r="DY48" s="539">
        <f t="shared" si="19"/>
        <v>0</v>
      </c>
      <c r="DZ48" s="539">
        <f t="shared" si="19"/>
        <v>0</v>
      </c>
      <c r="EA48" s="539">
        <f t="shared" si="19"/>
        <v>0</v>
      </c>
      <c r="EB48" s="539">
        <f t="shared" si="19"/>
        <v>0</v>
      </c>
      <c r="EC48" s="539">
        <f t="shared" si="19"/>
        <v>0</v>
      </c>
      <c r="ED48" s="539">
        <f t="shared" si="19"/>
        <v>0</v>
      </c>
      <c r="EE48" s="539">
        <f t="shared" si="19"/>
        <v>0</v>
      </c>
      <c r="EF48" s="539">
        <f t="shared" si="19"/>
        <v>0</v>
      </c>
      <c r="EG48" s="539">
        <f t="shared" si="19"/>
        <v>0</v>
      </c>
    </row>
    <row r="49" spans="5:137" ht="12.75">
      <c r="E49" s="538" t="str">
        <f>E$44</f>
        <v>Disallowed interest - lapsed at operations end</v>
      </c>
      <c r="G49" s="539" t="str">
        <f>G$44</f>
        <v>EUR 000s</v>
      </c>
      <c r="H49" s="539">
        <f>H$44</f>
        <v>0</v>
      </c>
      <c r="J49" s="539">
        <f t="shared" si="20" ref="J49:EG49">J$44</f>
        <v>0</v>
      </c>
      <c r="K49" s="539">
        <f t="shared" si="20"/>
        <v>0</v>
      </c>
      <c r="L49" s="539">
        <f t="shared" si="20"/>
        <v>0</v>
      </c>
      <c r="M49" s="539">
        <f t="shared" si="20"/>
        <v>0</v>
      </c>
      <c r="N49" s="539">
        <f t="shared" si="20"/>
        <v>0</v>
      </c>
      <c r="O49" s="539">
        <f t="shared" si="20"/>
        <v>0</v>
      </c>
      <c r="P49" s="539">
        <f t="shared" si="20"/>
        <v>0</v>
      </c>
      <c r="Q49" s="539">
        <f t="shared" si="20"/>
        <v>0</v>
      </c>
      <c r="R49" s="539">
        <f t="shared" si="20"/>
        <v>0</v>
      </c>
      <c r="S49" s="539">
        <f t="shared" si="20"/>
        <v>0</v>
      </c>
      <c r="T49" s="539">
        <f t="shared" si="20"/>
        <v>0</v>
      </c>
      <c r="U49" s="539">
        <f t="shared" si="20"/>
        <v>0</v>
      </c>
      <c r="V49" s="539">
        <f t="shared" si="20"/>
        <v>0</v>
      </c>
      <c r="W49" s="539">
        <f t="shared" si="20"/>
        <v>0</v>
      </c>
      <c r="X49" s="539">
        <f t="shared" si="20"/>
        <v>0</v>
      </c>
      <c r="Y49" s="539">
        <f t="shared" si="20"/>
        <v>0</v>
      </c>
      <c r="Z49" s="539">
        <f t="shared" si="20"/>
        <v>0</v>
      </c>
      <c r="AA49" s="539">
        <f t="shared" si="20"/>
        <v>0</v>
      </c>
      <c r="AB49" s="539">
        <f t="shared" si="20"/>
        <v>0</v>
      </c>
      <c r="AC49" s="539">
        <f t="shared" si="20"/>
        <v>0</v>
      </c>
      <c r="AD49" s="539">
        <f t="shared" si="20"/>
        <v>0</v>
      </c>
      <c r="AE49" s="539">
        <f t="shared" si="20"/>
        <v>0</v>
      </c>
      <c r="AF49" s="539">
        <f t="shared" si="20"/>
        <v>0</v>
      </c>
      <c r="AG49" s="539">
        <f t="shared" si="20"/>
        <v>0</v>
      </c>
      <c r="AH49" s="539">
        <f t="shared" si="20"/>
        <v>0</v>
      </c>
      <c r="AI49" s="539">
        <f t="shared" si="20"/>
        <v>0</v>
      </c>
      <c r="AJ49" s="539">
        <f t="shared" si="20"/>
        <v>0</v>
      </c>
      <c r="AK49" s="539">
        <f t="shared" si="20"/>
        <v>0</v>
      </c>
      <c r="AL49" s="539">
        <f t="shared" si="20"/>
        <v>0</v>
      </c>
      <c r="AM49" s="539">
        <f t="shared" si="20"/>
        <v>0</v>
      </c>
      <c r="AN49" s="539">
        <f t="shared" si="20"/>
        <v>0</v>
      </c>
      <c r="AO49" s="539">
        <f t="shared" si="20"/>
        <v>0</v>
      </c>
      <c r="AP49" s="539">
        <f t="shared" si="20"/>
        <v>0</v>
      </c>
      <c r="AQ49" s="539">
        <f t="shared" si="20"/>
        <v>0</v>
      </c>
      <c r="AR49" s="539">
        <f t="shared" si="20"/>
        <v>0</v>
      </c>
      <c r="AS49" s="539">
        <f t="shared" si="20"/>
        <v>0</v>
      </c>
      <c r="AT49" s="539">
        <f t="shared" si="20"/>
        <v>0</v>
      </c>
      <c r="AU49" s="539">
        <f t="shared" si="20"/>
        <v>0</v>
      </c>
      <c r="AV49" s="539">
        <f t="shared" si="20"/>
        <v>0</v>
      </c>
      <c r="AW49" s="539">
        <f t="shared" si="20"/>
        <v>0</v>
      </c>
      <c r="AX49" s="539">
        <f t="shared" si="20"/>
        <v>0</v>
      </c>
      <c r="AY49" s="539">
        <f t="shared" si="20"/>
        <v>0</v>
      </c>
      <c r="AZ49" s="539">
        <f t="shared" si="20"/>
        <v>0</v>
      </c>
      <c r="BA49" s="539">
        <f t="shared" si="20"/>
        <v>0</v>
      </c>
      <c r="BB49" s="539">
        <f t="shared" si="20"/>
        <v>0</v>
      </c>
      <c r="BC49" s="539">
        <f t="shared" si="20"/>
        <v>0</v>
      </c>
      <c r="BD49" s="539">
        <f t="shared" si="20"/>
        <v>0</v>
      </c>
      <c r="BE49" s="539">
        <f t="shared" si="20"/>
        <v>0</v>
      </c>
      <c r="BF49" s="539">
        <f t="shared" si="20"/>
        <v>0</v>
      </c>
      <c r="BG49" s="539">
        <f t="shared" si="20"/>
        <v>0</v>
      </c>
      <c r="BH49" s="539">
        <f t="shared" si="20"/>
        <v>0</v>
      </c>
      <c r="BI49" s="539">
        <f t="shared" si="20"/>
        <v>0</v>
      </c>
      <c r="BJ49" s="539">
        <f t="shared" si="20"/>
        <v>0</v>
      </c>
      <c r="BK49" s="539">
        <f t="shared" si="20"/>
        <v>0</v>
      </c>
      <c r="BL49" s="539">
        <f t="shared" si="20"/>
        <v>0</v>
      </c>
      <c r="BM49" s="539">
        <f t="shared" si="20"/>
        <v>0</v>
      </c>
      <c r="BN49" s="539">
        <f t="shared" si="20"/>
        <v>0</v>
      </c>
      <c r="BO49" s="539">
        <f t="shared" si="20"/>
        <v>0</v>
      </c>
      <c r="BP49" s="539">
        <f t="shared" si="20"/>
        <v>0</v>
      </c>
      <c r="BQ49" s="539">
        <f t="shared" si="20"/>
        <v>0</v>
      </c>
      <c r="BR49" s="539">
        <f t="shared" si="20"/>
        <v>0</v>
      </c>
      <c r="BS49" s="539">
        <f t="shared" si="20"/>
        <v>0</v>
      </c>
      <c r="BT49" s="539">
        <f t="shared" si="20"/>
        <v>0</v>
      </c>
      <c r="BU49" s="539">
        <f t="shared" si="20"/>
        <v>0</v>
      </c>
      <c r="BV49" s="539">
        <f t="shared" si="20"/>
        <v>0</v>
      </c>
      <c r="BW49" s="539">
        <f t="shared" si="20"/>
        <v>0</v>
      </c>
      <c r="BX49" s="539">
        <f t="shared" si="20"/>
        <v>0</v>
      </c>
      <c r="BY49" s="539">
        <f t="shared" si="20"/>
        <v>0</v>
      </c>
      <c r="BZ49" s="539">
        <f t="shared" si="20"/>
        <v>0</v>
      </c>
      <c r="CA49" s="539">
        <f t="shared" si="20"/>
        <v>0</v>
      </c>
      <c r="CB49" s="539">
        <f t="shared" si="20"/>
        <v>0</v>
      </c>
      <c r="CC49" s="539">
        <f t="shared" si="20"/>
        <v>0</v>
      </c>
      <c r="CD49" s="539">
        <f t="shared" si="20"/>
        <v>0</v>
      </c>
      <c r="CE49" s="539">
        <f t="shared" si="20"/>
        <v>0</v>
      </c>
      <c r="CF49" s="539">
        <f t="shared" si="20"/>
        <v>0</v>
      </c>
      <c r="CG49" s="539">
        <f t="shared" si="20"/>
        <v>0</v>
      </c>
      <c r="CH49" s="539">
        <f t="shared" si="20"/>
        <v>0</v>
      </c>
      <c r="CI49" s="539">
        <f t="shared" si="20"/>
        <v>0</v>
      </c>
      <c r="CJ49" s="539">
        <f t="shared" si="20"/>
        <v>0</v>
      </c>
      <c r="CK49" s="539">
        <f t="shared" si="20"/>
        <v>0</v>
      </c>
      <c r="CL49" s="539">
        <f t="shared" si="20"/>
        <v>0</v>
      </c>
      <c r="CM49" s="539">
        <f t="shared" si="20"/>
        <v>0</v>
      </c>
      <c r="CN49" s="539">
        <f t="shared" si="20"/>
        <v>0</v>
      </c>
      <c r="CO49" s="539">
        <f t="shared" si="20"/>
        <v>0</v>
      </c>
      <c r="CP49" s="539">
        <f t="shared" si="20"/>
        <v>0</v>
      </c>
      <c r="CQ49" s="539">
        <f t="shared" si="20"/>
        <v>0</v>
      </c>
      <c r="CR49" s="539">
        <f t="shared" si="20"/>
        <v>0</v>
      </c>
      <c r="CS49" s="539">
        <f t="shared" si="20"/>
        <v>0</v>
      </c>
      <c r="CT49" s="539">
        <f t="shared" si="20"/>
        <v>0</v>
      </c>
      <c r="CU49" s="539">
        <f t="shared" si="20"/>
        <v>0</v>
      </c>
      <c r="CV49" s="539">
        <f t="shared" si="20"/>
        <v>0</v>
      </c>
      <c r="CW49" s="539">
        <f t="shared" si="20"/>
        <v>0</v>
      </c>
      <c r="CX49" s="539">
        <f t="shared" si="20"/>
        <v>0</v>
      </c>
      <c r="CY49" s="539">
        <f t="shared" si="20"/>
        <v>0</v>
      </c>
      <c r="CZ49" s="539">
        <f t="shared" si="20"/>
        <v>0</v>
      </c>
      <c r="DA49" s="539">
        <f t="shared" si="20"/>
        <v>0</v>
      </c>
      <c r="DB49" s="539">
        <f t="shared" si="20"/>
        <v>0</v>
      </c>
      <c r="DC49" s="539">
        <f t="shared" si="20"/>
        <v>0</v>
      </c>
      <c r="DD49" s="539">
        <f t="shared" si="20"/>
        <v>0</v>
      </c>
      <c r="DE49" s="539">
        <f t="shared" si="20"/>
        <v>0</v>
      </c>
      <c r="DF49" s="539">
        <f t="shared" si="20"/>
        <v>0</v>
      </c>
      <c r="DG49" s="539">
        <f t="shared" si="20"/>
        <v>0</v>
      </c>
      <c r="DH49" s="539">
        <f t="shared" si="20"/>
        <v>0</v>
      </c>
      <c r="DI49" s="539">
        <f t="shared" si="20"/>
        <v>0</v>
      </c>
      <c r="DJ49" s="539">
        <f t="shared" si="20"/>
        <v>0</v>
      </c>
      <c r="DK49" s="539">
        <f t="shared" si="20"/>
        <v>0</v>
      </c>
      <c r="DL49" s="539">
        <f t="shared" si="20"/>
        <v>0</v>
      </c>
      <c r="DM49" s="539">
        <f t="shared" si="20"/>
        <v>0</v>
      </c>
      <c r="DN49" s="539">
        <f t="shared" si="20"/>
        <v>0</v>
      </c>
      <c r="DO49" s="539">
        <f t="shared" si="20"/>
        <v>0</v>
      </c>
      <c r="DP49" s="539">
        <f t="shared" si="20"/>
        <v>0</v>
      </c>
      <c r="DQ49" s="539">
        <f t="shared" si="20"/>
        <v>0</v>
      </c>
      <c r="DR49" s="539">
        <f t="shared" si="20"/>
        <v>0</v>
      </c>
      <c r="DS49" s="539">
        <f t="shared" si="20"/>
        <v>0</v>
      </c>
      <c r="DT49" s="539">
        <f t="shared" si="20"/>
        <v>0</v>
      </c>
      <c r="DU49" s="539">
        <f t="shared" si="20"/>
        <v>0</v>
      </c>
      <c r="DV49" s="539">
        <f t="shared" si="20"/>
        <v>0</v>
      </c>
      <c r="DW49" s="539">
        <f t="shared" si="20"/>
        <v>0</v>
      </c>
      <c r="DX49" s="539">
        <f t="shared" si="20"/>
        <v>0</v>
      </c>
      <c r="DY49" s="539">
        <f t="shared" si="20"/>
        <v>0</v>
      </c>
      <c r="DZ49" s="539">
        <f t="shared" si="20"/>
        <v>0</v>
      </c>
      <c r="EA49" s="539">
        <f t="shared" si="20"/>
        <v>0</v>
      </c>
      <c r="EB49" s="539">
        <f t="shared" si="20"/>
        <v>0</v>
      </c>
      <c r="EC49" s="539">
        <f t="shared" si="20"/>
        <v>0</v>
      </c>
      <c r="ED49" s="539">
        <f t="shared" si="20"/>
        <v>0</v>
      </c>
      <c r="EE49" s="539">
        <f t="shared" si="20"/>
        <v>0</v>
      </c>
      <c r="EF49" s="539">
        <f t="shared" si="20"/>
        <v>0</v>
      </c>
      <c r="EG49" s="539">
        <f t="shared" si="20"/>
        <v>0</v>
      </c>
    </row>
    <row r="50" spans="5:137" ht="12.75">
      <c r="E50" s="538" t="s">
        <v>439</v>
      </c>
      <c r="G50" s="539" t="s">
        <v>30</v>
      </c>
      <c r="H50" s="539">
        <f>SUM(J50:EG50)</f>
        <v>492908.97033742344</v>
      </c>
      <c r="J50" s="539">
        <f t="shared" si="21" ref="J50:EG50">J46+J47-J48-J49</f>
        <v>0</v>
      </c>
      <c r="K50" s="539">
        <f t="shared" si="21"/>
        <v>0</v>
      </c>
      <c r="L50" s="539">
        <f t="shared" si="21"/>
        <v>0</v>
      </c>
      <c r="M50" s="539">
        <f t="shared" si="21"/>
        <v>0</v>
      </c>
      <c r="N50" s="539">
        <f t="shared" si="21"/>
        <v>0</v>
      </c>
      <c r="O50" s="539">
        <f t="shared" si="21"/>
        <v>0</v>
      </c>
      <c r="P50" s="539">
        <f t="shared" si="21"/>
        <v>0</v>
      </c>
      <c r="Q50" s="539">
        <f t="shared" si="21"/>
        <v>0</v>
      </c>
      <c r="R50" s="539">
        <f t="shared" si="21"/>
        <v>0</v>
      </c>
      <c r="S50" s="539">
        <f t="shared" si="21"/>
        <v>0</v>
      </c>
      <c r="T50" s="539">
        <f t="shared" si="21"/>
        <v>0</v>
      </c>
      <c r="U50" s="539">
        <f t="shared" si="21"/>
        <v>0</v>
      </c>
      <c r="V50" s="539">
        <f t="shared" si="21"/>
        <v>0</v>
      </c>
      <c r="W50" s="539">
        <f t="shared" si="21"/>
        <v>0</v>
      </c>
      <c r="X50" s="539">
        <f t="shared" si="21"/>
        <v>0</v>
      </c>
      <c r="Y50" s="539">
        <f t="shared" si="21"/>
        <v>0</v>
      </c>
      <c r="Z50" s="539">
        <f t="shared" si="21"/>
        <v>0</v>
      </c>
      <c r="AA50" s="539">
        <f t="shared" si="21"/>
        <v>0</v>
      </c>
      <c r="AB50" s="539">
        <f t="shared" si="21"/>
        <v>0</v>
      </c>
      <c r="AC50" s="539">
        <f t="shared" si="21"/>
        <v>0</v>
      </c>
      <c r="AD50" s="539">
        <f t="shared" si="21"/>
        <v>0</v>
      </c>
      <c r="AE50" s="539">
        <f t="shared" si="21"/>
        <v>0</v>
      </c>
      <c r="AF50" s="539">
        <f t="shared" si="21"/>
        <v>0</v>
      </c>
      <c r="AG50" s="539">
        <f t="shared" si="21"/>
        <v>0</v>
      </c>
      <c r="AH50" s="539">
        <f t="shared" si="21"/>
        <v>1119.7674810450371</v>
      </c>
      <c r="AI50" s="539">
        <f t="shared" si="21"/>
        <v>2226.4727566457655</v>
      </c>
      <c r="AJ50" s="539">
        <f t="shared" si="21"/>
        <v>3340.4562637558256</v>
      </c>
      <c r="AK50" s="539">
        <f t="shared" si="21"/>
        <v>4420.0504290256058</v>
      </c>
      <c r="AL50" s="539">
        <f t="shared" si="21"/>
        <v>5336.2909495345384</v>
      </c>
      <c r="AM50" s="539">
        <f t="shared" si="21"/>
        <v>6257.1604128843028</v>
      </c>
      <c r="AN50" s="539">
        <f t="shared" si="21"/>
        <v>7181.390783584191</v>
      </c>
      <c r="AO50" s="539">
        <f t="shared" si="21"/>
        <v>8068.7886154103653</v>
      </c>
      <c r="AP50" s="539">
        <f t="shared" si="21"/>
        <v>8792.7797781716599</v>
      </c>
      <c r="AQ50" s="539">
        <f t="shared" si="21"/>
        <v>9517.3319222486316</v>
      </c>
      <c r="AR50" s="539">
        <f t="shared" si="21"/>
        <v>10241.067934048209</v>
      </c>
      <c r="AS50" s="539">
        <f t="shared" si="21"/>
        <v>10925.371514483448</v>
      </c>
      <c r="AT50" s="539">
        <f t="shared" si="21"/>
        <v>11483.649634345491</v>
      </c>
      <c r="AU50" s="539">
        <f t="shared" si="21"/>
        <v>12001.038675285276</v>
      </c>
      <c r="AV50" s="539">
        <f t="shared" si="21"/>
        <v>12513.315385008547</v>
      </c>
      <c r="AW50" s="539">
        <f t="shared" si="21"/>
        <v>12983.399867210319</v>
      </c>
      <c r="AX50" s="539">
        <f t="shared" si="21"/>
        <v>13812.027090357351</v>
      </c>
      <c r="AY50" s="539">
        <f t="shared" si="21"/>
        <v>14632.269716402969</v>
      </c>
      <c r="AZ50" s="539">
        <f t="shared" si="21"/>
        <v>15442.511030171347</v>
      </c>
      <c r="BA50" s="539">
        <f t="shared" si="21"/>
        <v>16207.619886262572</v>
      </c>
      <c r="BB50" s="539">
        <f t="shared" si="21"/>
        <v>16287.672939156371</v>
      </c>
      <c r="BC50" s="539">
        <f t="shared" si="21"/>
        <v>16355.293917127829</v>
      </c>
      <c r="BD50" s="539">
        <f t="shared" si="21"/>
        <v>16408.89194128929</v>
      </c>
      <c r="BE50" s="539">
        <f t="shared" si="21"/>
        <v>16415.387757300072</v>
      </c>
      <c r="BF50" s="539">
        <f t="shared" si="21"/>
        <v>16260.04189403413</v>
      </c>
      <c r="BG50" s="539">
        <f t="shared" si="21"/>
        <v>16087.658785696003</v>
      </c>
      <c r="BH50" s="539">
        <f t="shared" si="21"/>
        <v>15896.507991729806</v>
      </c>
      <c r="BI50" s="539">
        <f t="shared" si="21"/>
        <v>15655.503905943224</v>
      </c>
      <c r="BJ50" s="539">
        <f t="shared" si="21"/>
        <v>15282.732620221981</v>
      </c>
      <c r="BK50" s="539">
        <f t="shared" si="21"/>
        <v>14858.746500051868</v>
      </c>
      <c r="BL50" s="539">
        <f t="shared" si="21"/>
        <v>14411.042436453627</v>
      </c>
      <c r="BM50" s="539">
        <f t="shared" si="21"/>
        <v>13910.490708913134</v>
      </c>
      <c r="BN50" s="539">
        <f t="shared" si="21"/>
        <v>13249.458618664146</v>
      </c>
      <c r="BO50" s="539">
        <f t="shared" si="21"/>
        <v>12561.096628565658</v>
      </c>
      <c r="BP50" s="539">
        <f t="shared" si="21"/>
        <v>11843.374637551831</v>
      </c>
      <c r="BQ50" s="539">
        <f t="shared" si="21"/>
        <v>11069.55638148174</v>
      </c>
      <c r="BR50" s="539">
        <f t="shared" si="21"/>
        <v>10726.393893578843</v>
      </c>
      <c r="BS50" s="539">
        <f t="shared" si="21"/>
        <v>10349.450162387922</v>
      </c>
      <c r="BT50" s="539">
        <f t="shared" si="21"/>
        <v>9936.5070762883533</v>
      </c>
      <c r="BU50" s="539">
        <f t="shared" si="21"/>
        <v>9463.205265063898</v>
      </c>
      <c r="BV50" s="539">
        <f t="shared" si="21"/>
        <v>8239.7072455527123</v>
      </c>
      <c r="BW50" s="539">
        <f t="shared" si="21"/>
        <v>6978.1442966775276</v>
      </c>
      <c r="BX50" s="539">
        <f t="shared" si="21"/>
        <v>5681.8936166065405</v>
      </c>
      <c r="BY50" s="539">
        <f t="shared" si="21"/>
        <v>4329.3539251437987</v>
      </c>
      <c r="BZ50" s="539">
        <f t="shared" si="21"/>
        <v>2844.9649683332264</v>
      </c>
      <c r="CA50" s="539">
        <f t="shared" si="21"/>
        <v>1303.1320977283615</v>
      </c>
      <c r="CB50" s="539">
        <f t="shared" si="21"/>
        <v>0</v>
      </c>
      <c r="CC50" s="539">
        <f t="shared" si="21"/>
        <v>0</v>
      </c>
      <c r="CD50" s="539">
        <f t="shared" si="21"/>
        <v>0</v>
      </c>
      <c r="CE50" s="539">
        <f t="shared" si="21"/>
        <v>0</v>
      </c>
      <c r="CF50" s="539">
        <f t="shared" si="21"/>
        <v>0</v>
      </c>
      <c r="CG50" s="539">
        <f t="shared" si="21"/>
        <v>0</v>
      </c>
      <c r="CH50" s="539">
        <f t="shared" si="21"/>
        <v>0</v>
      </c>
      <c r="CI50" s="539">
        <f t="shared" si="21"/>
        <v>0</v>
      </c>
      <c r="CJ50" s="539">
        <f t="shared" si="21"/>
        <v>0</v>
      </c>
      <c r="CK50" s="539">
        <f t="shared" si="21"/>
        <v>0</v>
      </c>
      <c r="CL50" s="539">
        <f t="shared" si="21"/>
        <v>0</v>
      </c>
      <c r="CM50" s="539">
        <f t="shared" si="21"/>
        <v>0</v>
      </c>
      <c r="CN50" s="539">
        <f t="shared" si="21"/>
        <v>0</v>
      </c>
      <c r="CO50" s="539">
        <f t="shared" si="21"/>
        <v>0</v>
      </c>
      <c r="CP50" s="539">
        <f t="shared" si="21"/>
        <v>0</v>
      </c>
      <c r="CQ50" s="539">
        <f t="shared" si="21"/>
        <v>0</v>
      </c>
      <c r="CR50" s="539">
        <f t="shared" si="21"/>
        <v>0</v>
      </c>
      <c r="CS50" s="539">
        <f t="shared" si="21"/>
        <v>0</v>
      </c>
      <c r="CT50" s="539">
        <f t="shared" si="21"/>
        <v>0</v>
      </c>
      <c r="CU50" s="539">
        <f t="shared" si="21"/>
        <v>0</v>
      </c>
      <c r="CV50" s="539">
        <f t="shared" si="21"/>
        <v>0</v>
      </c>
      <c r="CW50" s="539">
        <f t="shared" si="21"/>
        <v>0</v>
      </c>
      <c r="CX50" s="539">
        <f t="shared" si="21"/>
        <v>0</v>
      </c>
      <c r="CY50" s="539">
        <f t="shared" si="21"/>
        <v>0</v>
      </c>
      <c r="CZ50" s="539">
        <f t="shared" si="21"/>
        <v>0</v>
      </c>
      <c r="DA50" s="539">
        <f t="shared" si="21"/>
        <v>0</v>
      </c>
      <c r="DB50" s="539">
        <f t="shared" si="21"/>
        <v>0</v>
      </c>
      <c r="DC50" s="539">
        <f t="shared" si="21"/>
        <v>0</v>
      </c>
      <c r="DD50" s="539">
        <f t="shared" si="21"/>
        <v>0</v>
      </c>
      <c r="DE50" s="539">
        <f t="shared" si="21"/>
        <v>0</v>
      </c>
      <c r="DF50" s="539">
        <f t="shared" si="21"/>
        <v>0</v>
      </c>
      <c r="DG50" s="539">
        <f t="shared" si="21"/>
        <v>0</v>
      </c>
      <c r="DH50" s="539">
        <f t="shared" si="21"/>
        <v>0</v>
      </c>
      <c r="DI50" s="539">
        <f t="shared" si="21"/>
        <v>0</v>
      </c>
      <c r="DJ50" s="539">
        <f t="shared" si="21"/>
        <v>0</v>
      </c>
      <c r="DK50" s="539">
        <f t="shared" si="21"/>
        <v>0</v>
      </c>
      <c r="DL50" s="539">
        <f t="shared" si="21"/>
        <v>0</v>
      </c>
      <c r="DM50" s="539">
        <f t="shared" si="21"/>
        <v>0</v>
      </c>
      <c r="DN50" s="539">
        <f t="shared" si="21"/>
        <v>0</v>
      </c>
      <c r="DO50" s="539">
        <f t="shared" si="21"/>
        <v>0</v>
      </c>
      <c r="DP50" s="539">
        <f t="shared" si="21"/>
        <v>0</v>
      </c>
      <c r="DQ50" s="539">
        <f t="shared" si="21"/>
        <v>0</v>
      </c>
      <c r="DR50" s="539">
        <f t="shared" si="21"/>
        <v>0</v>
      </c>
      <c r="DS50" s="539">
        <f t="shared" si="21"/>
        <v>0</v>
      </c>
      <c r="DT50" s="539">
        <f t="shared" si="21"/>
        <v>0</v>
      </c>
      <c r="DU50" s="539">
        <f t="shared" si="21"/>
        <v>0</v>
      </c>
      <c r="DV50" s="539">
        <f t="shared" si="21"/>
        <v>0</v>
      </c>
      <c r="DW50" s="539">
        <f t="shared" si="21"/>
        <v>0</v>
      </c>
      <c r="DX50" s="539">
        <f t="shared" si="21"/>
        <v>0</v>
      </c>
      <c r="DY50" s="539">
        <f t="shared" si="21"/>
        <v>0</v>
      </c>
      <c r="DZ50" s="539">
        <f t="shared" si="21"/>
        <v>0</v>
      </c>
      <c r="EA50" s="539">
        <f t="shared" si="21"/>
        <v>0</v>
      </c>
      <c r="EB50" s="539">
        <f t="shared" si="21"/>
        <v>0</v>
      </c>
      <c r="EC50" s="539">
        <f t="shared" si="21"/>
        <v>0</v>
      </c>
      <c r="ED50" s="539">
        <f t="shared" si="21"/>
        <v>0</v>
      </c>
      <c r="EE50" s="539">
        <f t="shared" si="21"/>
        <v>0</v>
      </c>
      <c r="EF50" s="539">
        <f t="shared" si="21"/>
        <v>0</v>
      </c>
      <c r="EG50" s="539">
        <f t="shared" si="21"/>
        <v>0</v>
      </c>
    </row>
    <row r="52" spans="5:137" ht="12.75">
      <c r="E52" s="538" t="str">
        <f>E$21</f>
        <v>Interest expense - for tax</v>
      </c>
      <c r="G52" s="539" t="str">
        <f>G$21</f>
        <v>EUR 000s</v>
      </c>
      <c r="H52" s="539">
        <f>H$21</f>
        <v>159361.69121785057</v>
      </c>
      <c r="J52" s="539">
        <f t="shared" si="22" ref="J52:EG52">J$21</f>
        <v>0</v>
      </c>
      <c r="K52" s="539">
        <f t="shared" si="22"/>
        <v>0</v>
      </c>
      <c r="L52" s="539">
        <f t="shared" si="22"/>
        <v>0</v>
      </c>
      <c r="M52" s="539">
        <f t="shared" si="22"/>
        <v>0</v>
      </c>
      <c r="N52" s="539">
        <f t="shared" si="22"/>
        <v>0</v>
      </c>
      <c r="O52" s="539">
        <f t="shared" si="22"/>
        <v>0</v>
      </c>
      <c r="P52" s="539">
        <f t="shared" si="22"/>
        <v>0</v>
      </c>
      <c r="Q52" s="539">
        <f t="shared" si="22"/>
        <v>0</v>
      </c>
      <c r="R52" s="539">
        <f t="shared" si="22"/>
        <v>0</v>
      </c>
      <c r="S52" s="539">
        <f t="shared" si="22"/>
        <v>0</v>
      </c>
      <c r="T52" s="539">
        <f t="shared" si="22"/>
        <v>0</v>
      </c>
      <c r="U52" s="539">
        <f t="shared" si="22"/>
        <v>0</v>
      </c>
      <c r="V52" s="539">
        <f t="shared" si="22"/>
        <v>0</v>
      </c>
      <c r="W52" s="539">
        <f t="shared" si="22"/>
        <v>0</v>
      </c>
      <c r="X52" s="539">
        <f t="shared" si="22"/>
        <v>0</v>
      </c>
      <c r="Y52" s="539">
        <f t="shared" si="22"/>
        <v>0</v>
      </c>
      <c r="Z52" s="539">
        <f t="shared" si="22"/>
        <v>0</v>
      </c>
      <c r="AA52" s="539">
        <f t="shared" si="22"/>
        <v>0</v>
      </c>
      <c r="AB52" s="539">
        <f t="shared" si="22"/>
        <v>0</v>
      </c>
      <c r="AC52" s="539">
        <f t="shared" si="22"/>
        <v>0</v>
      </c>
      <c r="AD52" s="539">
        <f t="shared" si="22"/>
        <v>0</v>
      </c>
      <c r="AE52" s="539">
        <f t="shared" si="22"/>
        <v>0</v>
      </c>
      <c r="AF52" s="539">
        <f t="shared" si="22"/>
        <v>0</v>
      </c>
      <c r="AG52" s="539">
        <f t="shared" si="22"/>
        <v>0</v>
      </c>
      <c r="AH52" s="539">
        <f t="shared" si="22"/>
        <v>3818.5377622950368</v>
      </c>
      <c r="AI52" s="539">
        <f t="shared" si="22"/>
        <v>3805.475556850728</v>
      </c>
      <c r="AJ52" s="539">
        <f t="shared" si="22"/>
        <v>3812.7537883600598</v>
      </c>
      <c r="AK52" s="539">
        <f t="shared" si="22"/>
        <v>3778.3644465197799</v>
      </c>
      <c r="AL52" s="539">
        <f t="shared" si="22"/>
        <v>3662.4182112901822</v>
      </c>
      <c r="AM52" s="539">
        <f t="shared" si="22"/>
        <v>3667.0471541310144</v>
      </c>
      <c r="AN52" s="539">
        <f t="shared" si="22"/>
        <v>3670.4080614811378</v>
      </c>
      <c r="AO52" s="539">
        <f t="shared" si="22"/>
        <v>3633.5755226074234</v>
      </c>
      <c r="AP52" s="539">
        <f t="shared" si="22"/>
        <v>3518.3553194870756</v>
      </c>
      <c r="AQ52" s="539">
        <f t="shared" si="22"/>
        <v>3518.9163008027535</v>
      </c>
      <c r="AR52" s="539">
        <f t="shared" si="22"/>
        <v>3518.1001685253595</v>
      </c>
      <c r="AS52" s="539">
        <f t="shared" si="22"/>
        <v>3478.6677371610199</v>
      </c>
      <c r="AT52" s="539">
        <f t="shared" si="22"/>
        <v>3401.6185560232188</v>
      </c>
      <c r="AU52" s="539">
        <f t="shared" si="22"/>
        <v>3360.7294771009601</v>
      </c>
      <c r="AV52" s="539">
        <f t="shared" si="22"/>
        <v>3355.6171458844474</v>
      </c>
      <c r="AW52" s="539">
        <f t="shared" si="22"/>
        <v>3313.4249183629477</v>
      </c>
      <c r="AX52" s="539">
        <f t="shared" si="22"/>
        <v>3199.8825477538444</v>
      </c>
      <c r="AY52" s="539">
        <f t="shared" si="22"/>
        <v>3191.4979506524296</v>
      </c>
      <c r="AZ52" s="539">
        <f t="shared" si="22"/>
        <v>3181.4966383751907</v>
      </c>
      <c r="BA52" s="539">
        <f t="shared" si="22"/>
        <v>3136.3641806980377</v>
      </c>
      <c r="BB52" s="539">
        <f t="shared" si="22"/>
        <v>3023.7588974297396</v>
      </c>
      <c r="BC52" s="539">
        <f t="shared" si="22"/>
        <v>3011.326822507398</v>
      </c>
      <c r="BD52" s="539">
        <f t="shared" si="22"/>
        <v>2997.3038686974037</v>
      </c>
      <c r="BE52" s="539">
        <f t="shared" si="22"/>
        <v>2950.2016605467215</v>
      </c>
      <c r="BF52" s="539">
        <f t="shared" si="22"/>
        <v>2839.7709975193652</v>
      </c>
      <c r="BG52" s="539">
        <f t="shared" si="22"/>
        <v>2822.7337524471814</v>
      </c>
      <c r="BH52" s="539">
        <f t="shared" si="22"/>
        <v>2803.9660668191113</v>
      </c>
      <c r="BI52" s="539">
        <f t="shared" si="22"/>
        <v>2754.1127749987254</v>
      </c>
      <c r="BJ52" s="539">
        <f t="shared" si="22"/>
        <v>2674.590173987408</v>
      </c>
      <c r="BK52" s="539">
        <f t="shared" si="22"/>
        <v>2623.3753395385374</v>
      </c>
      <c r="BL52" s="539">
        <f t="shared" si="22"/>
        <v>2599.6573961104095</v>
      </c>
      <c r="BM52" s="539">
        <f t="shared" si="22"/>
        <v>2546.8097321681589</v>
      </c>
      <c r="BN52" s="539">
        <f t="shared" si="22"/>
        <v>2439.4186649651379</v>
      </c>
      <c r="BO52" s="539">
        <f t="shared" si="22"/>
        <v>2412.0887651156381</v>
      </c>
      <c r="BP52" s="539">
        <f t="shared" si="22"/>
        <v>2382.7287642002998</v>
      </c>
      <c r="BQ52" s="539">
        <f t="shared" si="22"/>
        <v>2326.6324991440333</v>
      </c>
      <c r="BR52" s="539">
        <f t="shared" si="22"/>
        <v>2220.7944398768309</v>
      </c>
      <c r="BS52" s="539">
        <f t="shared" si="22"/>
        <v>2187.0131965888067</v>
      </c>
      <c r="BT52" s="539">
        <f t="shared" si="22"/>
        <v>2151.0138416801578</v>
      </c>
      <c r="BU52" s="539">
        <f t="shared" si="22"/>
        <v>2090.6551165552705</v>
      </c>
      <c r="BV52" s="539">
        <f t="shared" si="22"/>
        <v>1985.7101816314894</v>
      </c>
      <c r="BW52" s="539">
        <f t="shared" si="22"/>
        <v>1947.6452522674899</v>
      </c>
      <c r="BX52" s="539">
        <f t="shared" si="22"/>
        <v>1912.9575210716878</v>
      </c>
      <c r="BY52" s="539">
        <f t="shared" si="22"/>
        <v>1856.6685096799326</v>
      </c>
      <c r="BZ52" s="539">
        <f t="shared" si="22"/>
        <v>1780.5099218183652</v>
      </c>
      <c r="CA52" s="539">
        <f t="shared" si="22"/>
        <v>1723.0660080240725</v>
      </c>
      <c r="CB52" s="539">
        <f t="shared" si="22"/>
        <v>1683.116274118051</v>
      </c>
      <c r="CC52" s="539">
        <f t="shared" si="22"/>
        <v>1624.2754546454987</v>
      </c>
      <c r="CD52" s="539">
        <f t="shared" si="22"/>
        <v>1533.4322568484231</v>
      </c>
      <c r="CE52" s="539">
        <f t="shared" si="22"/>
        <v>1504.8857846127805</v>
      </c>
      <c r="CF52" s="539">
        <f t="shared" si="22"/>
        <v>1474.4260606498726</v>
      </c>
      <c r="CG52" s="539">
        <f t="shared" si="22"/>
        <v>1427.1413681802019</v>
      </c>
      <c r="CH52" s="539">
        <f t="shared" si="22"/>
        <v>1349.5629553171893</v>
      </c>
      <c r="CI52" s="539">
        <f t="shared" si="22"/>
        <v>1316.1916975217407</v>
      </c>
      <c r="CJ52" s="539">
        <f t="shared" si="22"/>
        <v>1280.7635823558471</v>
      </c>
      <c r="CK52" s="539">
        <f t="shared" si="22"/>
        <v>1230.5054977181208</v>
      </c>
      <c r="CL52" s="539">
        <f t="shared" si="22"/>
        <v>1154.242185163836</v>
      </c>
      <c r="CM52" s="539">
        <f t="shared" si="22"/>
        <v>1111.7531001889547</v>
      </c>
      <c r="CN52" s="539">
        <f t="shared" si="22"/>
        <v>1066.9235722730491</v>
      </c>
      <c r="CO52" s="539">
        <f t="shared" si="22"/>
        <v>1009.3816975286077</v>
      </c>
      <c r="CP52" s="539">
        <f t="shared" si="22"/>
        <v>941.04226869427248</v>
      </c>
      <c r="CQ52" s="539">
        <f t="shared" si="22"/>
        <v>886.16951660116763</v>
      </c>
      <c r="CR52" s="539">
        <f t="shared" si="22"/>
        <v>839.51515432249653</v>
      </c>
      <c r="CS52" s="539">
        <f t="shared" si="22"/>
        <v>782.42190086511391</v>
      </c>
      <c r="CT52" s="539">
        <f t="shared" si="22"/>
        <v>709.10904897538694</v>
      </c>
      <c r="CU52" s="539">
        <f t="shared" si="22"/>
        <v>658.73080140870934</v>
      </c>
      <c r="CV52" s="539">
        <f t="shared" si="22"/>
        <v>605.81871716551984</v>
      </c>
      <c r="CW52" s="539">
        <f t="shared" si="22"/>
        <v>545.05145143901598</v>
      </c>
      <c r="CX52" s="539">
        <f t="shared" si="22"/>
        <v>473.25292862187814</v>
      </c>
      <c r="CY52" s="539">
        <f t="shared" si="22"/>
        <v>416.56171669296856</v>
      </c>
      <c r="CZ52" s="539">
        <f t="shared" si="22"/>
        <v>357.16582424013654</v>
      </c>
      <c r="DA52" s="539">
        <f t="shared" si="22"/>
        <v>292.48879194963263</v>
      </c>
      <c r="DB52" s="539">
        <f t="shared" si="22"/>
        <v>-3.9862031483869642E-13</v>
      </c>
      <c r="DC52" s="539">
        <f t="shared" si="22"/>
        <v>-4.0304942944801527E-13</v>
      </c>
      <c r="DD52" s="539">
        <f t="shared" si="22"/>
        <v>-4.0747854405733406E-13</v>
      </c>
      <c r="DE52" s="539">
        <f t="shared" si="22"/>
        <v>-4.0747854405733406E-13</v>
      </c>
      <c r="DF52" s="539">
        <f t="shared" si="22"/>
        <v>-4.0304942944801527E-13</v>
      </c>
      <c r="DG52" s="539">
        <f t="shared" si="22"/>
        <v>-4.0304942944801527E-13</v>
      </c>
      <c r="DH52" s="539">
        <f t="shared" si="22"/>
        <v>-4.0747854405733406E-13</v>
      </c>
      <c r="DI52" s="539">
        <f t="shared" si="22"/>
        <v>-4.0747854405733406E-13</v>
      </c>
      <c r="DJ52" s="539">
        <f t="shared" si="22"/>
        <v>-3.9862031483869642E-13</v>
      </c>
      <c r="DK52" s="539">
        <f t="shared" si="22"/>
        <v>-4.0304942944801527E-13</v>
      </c>
      <c r="DL52" s="539">
        <f t="shared" si="22"/>
        <v>-4.0747854405733406E-13</v>
      </c>
      <c r="DM52" s="539">
        <f t="shared" si="22"/>
        <v>-4.0747854405733406E-13</v>
      </c>
      <c r="DN52" s="539">
        <f t="shared" si="22"/>
        <v>-3.9862031483869642E-13</v>
      </c>
      <c r="DO52" s="539">
        <f t="shared" si="22"/>
        <v>-4.0304942944801527E-13</v>
      </c>
      <c r="DP52" s="539">
        <f t="shared" si="22"/>
        <v>-4.0747854405733406E-13</v>
      </c>
      <c r="DQ52" s="539">
        <f t="shared" si="22"/>
        <v>-4.0747854405733406E-13</v>
      </c>
      <c r="DR52" s="539">
        <f t="shared" si="22"/>
        <v>-3.9862031483869642E-13</v>
      </c>
      <c r="DS52" s="539">
        <f t="shared" si="22"/>
        <v>-4.0304942944801527E-13</v>
      </c>
      <c r="DT52" s="539">
        <f t="shared" si="22"/>
        <v>-4.0747854405733406E-13</v>
      </c>
      <c r="DU52" s="539">
        <f t="shared" si="22"/>
        <v>-4.0747854405733406E-13</v>
      </c>
      <c r="DV52" s="539">
        <f t="shared" si="22"/>
        <v>-4.0304942944801527E-13</v>
      </c>
      <c r="DW52" s="539">
        <f t="shared" si="22"/>
        <v>-4.0304942944801527E-13</v>
      </c>
      <c r="DX52" s="539">
        <f t="shared" si="22"/>
        <v>-4.0747854405733406E-13</v>
      </c>
      <c r="DY52" s="539">
        <f t="shared" si="22"/>
        <v>-4.0747854405733406E-13</v>
      </c>
      <c r="DZ52" s="539">
        <f t="shared" si="22"/>
        <v>-3.9862031483869642E-13</v>
      </c>
      <c r="EA52" s="539">
        <f t="shared" si="22"/>
        <v>-4.0304942944801527E-13</v>
      </c>
      <c r="EB52" s="539">
        <f t="shared" si="22"/>
        <v>-4.0747854405733406E-13</v>
      </c>
      <c r="EC52" s="539">
        <f t="shared" si="22"/>
        <v>-4.0747854405733406E-13</v>
      </c>
      <c r="ED52" s="539">
        <f t="shared" si="22"/>
        <v>0</v>
      </c>
      <c r="EE52" s="539">
        <f t="shared" si="22"/>
        <v>0</v>
      </c>
      <c r="EF52" s="539">
        <f t="shared" si="22"/>
        <v>0</v>
      </c>
      <c r="EG52" s="539">
        <f t="shared" si="22"/>
        <v>0</v>
      </c>
    </row>
    <row r="53" spans="5:137" ht="12.75">
      <c r="E53" s="538" t="str">
        <f>E$25</f>
        <v>Interest cap - allowance</v>
      </c>
      <c r="G53" s="539" t="str">
        <f>G$25</f>
        <v>EUR 000s</v>
      </c>
      <c r="H53" s="539">
        <f>H$25</f>
        <v>324347.17546915525</v>
      </c>
      <c r="J53" s="539">
        <f t="shared" si="23" ref="J53:EG53">J$25</f>
        <v>0</v>
      </c>
      <c r="K53" s="539">
        <f t="shared" si="23"/>
        <v>0</v>
      </c>
      <c r="L53" s="539">
        <f t="shared" si="23"/>
        <v>0</v>
      </c>
      <c r="M53" s="539">
        <f t="shared" si="23"/>
        <v>0</v>
      </c>
      <c r="N53" s="539">
        <f t="shared" si="23"/>
        <v>0</v>
      </c>
      <c r="O53" s="539">
        <f t="shared" si="23"/>
        <v>0</v>
      </c>
      <c r="P53" s="539">
        <f t="shared" si="23"/>
        <v>0</v>
      </c>
      <c r="Q53" s="539">
        <f t="shared" si="23"/>
        <v>0</v>
      </c>
      <c r="R53" s="539">
        <f t="shared" si="23"/>
        <v>0</v>
      </c>
      <c r="S53" s="539">
        <f t="shared" si="23"/>
        <v>0</v>
      </c>
      <c r="T53" s="539">
        <f t="shared" si="23"/>
        <v>0</v>
      </c>
      <c r="U53" s="539">
        <f t="shared" si="23"/>
        <v>0</v>
      </c>
      <c r="V53" s="539">
        <f t="shared" si="23"/>
        <v>0</v>
      </c>
      <c r="W53" s="539">
        <f t="shared" si="23"/>
        <v>0</v>
      </c>
      <c r="X53" s="539">
        <f t="shared" si="23"/>
        <v>0</v>
      </c>
      <c r="Y53" s="539">
        <f t="shared" si="23"/>
        <v>0</v>
      </c>
      <c r="Z53" s="539">
        <f t="shared" si="23"/>
        <v>0</v>
      </c>
      <c r="AA53" s="539">
        <f t="shared" si="23"/>
        <v>0</v>
      </c>
      <c r="AB53" s="539">
        <f t="shared" si="23"/>
        <v>0</v>
      </c>
      <c r="AC53" s="539">
        <f t="shared" si="23"/>
        <v>0</v>
      </c>
      <c r="AD53" s="539">
        <f t="shared" si="23"/>
        <v>0</v>
      </c>
      <c r="AE53" s="539">
        <f t="shared" si="23"/>
        <v>0</v>
      </c>
      <c r="AF53" s="539">
        <f t="shared" si="23"/>
        <v>0</v>
      </c>
      <c r="AG53" s="539">
        <f t="shared" si="23"/>
        <v>0</v>
      </c>
      <c r="AH53" s="539">
        <f t="shared" si="23"/>
        <v>2698.7702812499997</v>
      </c>
      <c r="AI53" s="539">
        <f t="shared" si="23"/>
        <v>2698.7702812499997</v>
      </c>
      <c r="AJ53" s="539">
        <f t="shared" si="23"/>
        <v>2698.7702812499997</v>
      </c>
      <c r="AK53" s="539">
        <f t="shared" si="23"/>
        <v>2698.7702812499997</v>
      </c>
      <c r="AL53" s="539">
        <f t="shared" si="23"/>
        <v>2746.1776907812496</v>
      </c>
      <c r="AM53" s="539">
        <f t="shared" si="23"/>
        <v>2746.1776907812496</v>
      </c>
      <c r="AN53" s="539">
        <f t="shared" si="23"/>
        <v>2746.1776907812496</v>
      </c>
      <c r="AO53" s="539">
        <f t="shared" si="23"/>
        <v>2746.1776907812496</v>
      </c>
      <c r="AP53" s="539">
        <f t="shared" si="23"/>
        <v>2794.364156725781</v>
      </c>
      <c r="AQ53" s="539">
        <f t="shared" si="23"/>
        <v>2794.364156725781</v>
      </c>
      <c r="AR53" s="539">
        <f t="shared" si="23"/>
        <v>2794.364156725781</v>
      </c>
      <c r="AS53" s="539">
        <f t="shared" si="23"/>
        <v>2794.364156725781</v>
      </c>
      <c r="AT53" s="539">
        <f t="shared" si="23"/>
        <v>2843.3404361611761</v>
      </c>
      <c r="AU53" s="539">
        <f t="shared" si="23"/>
        <v>2843.3404361611761</v>
      </c>
      <c r="AV53" s="539">
        <f t="shared" si="23"/>
        <v>2843.3404361611761</v>
      </c>
      <c r="AW53" s="539">
        <f t="shared" si="23"/>
        <v>2843.3404361611761</v>
      </c>
      <c r="AX53" s="539">
        <f t="shared" si="23"/>
        <v>2371.2553246068123</v>
      </c>
      <c r="AY53" s="539">
        <f t="shared" si="23"/>
        <v>2371.2553246068123</v>
      </c>
      <c r="AZ53" s="539">
        <f t="shared" si="23"/>
        <v>2371.2553246068123</v>
      </c>
      <c r="BA53" s="539">
        <f t="shared" si="23"/>
        <v>2371.2553246068123</v>
      </c>
      <c r="BB53" s="539">
        <f t="shared" si="23"/>
        <v>2943.7058445359407</v>
      </c>
      <c r="BC53" s="539">
        <f t="shared" si="23"/>
        <v>2943.7058445359407</v>
      </c>
      <c r="BD53" s="539">
        <f t="shared" si="23"/>
        <v>2943.7058445359407</v>
      </c>
      <c r="BE53" s="539">
        <f t="shared" si="23"/>
        <v>2943.7058445359407</v>
      </c>
      <c r="BF53" s="539">
        <f t="shared" si="23"/>
        <v>2995.1168607853078</v>
      </c>
      <c r="BG53" s="539">
        <f t="shared" si="23"/>
        <v>2995.1168607853078</v>
      </c>
      <c r="BH53" s="539">
        <f t="shared" si="23"/>
        <v>2995.1168607853078</v>
      </c>
      <c r="BI53" s="539">
        <f t="shared" si="23"/>
        <v>2995.1168607853078</v>
      </c>
      <c r="BJ53" s="539">
        <f t="shared" si="23"/>
        <v>3047.3614597086507</v>
      </c>
      <c r="BK53" s="539">
        <f t="shared" si="23"/>
        <v>3047.3614597086507</v>
      </c>
      <c r="BL53" s="539">
        <f t="shared" si="23"/>
        <v>3047.3614597086507</v>
      </c>
      <c r="BM53" s="539">
        <f t="shared" si="23"/>
        <v>3047.3614597086507</v>
      </c>
      <c r="BN53" s="539">
        <f t="shared" si="23"/>
        <v>3100.4507552141258</v>
      </c>
      <c r="BO53" s="539">
        <f t="shared" si="23"/>
        <v>3100.4507552141258</v>
      </c>
      <c r="BP53" s="539">
        <f t="shared" si="23"/>
        <v>3100.4507552141258</v>
      </c>
      <c r="BQ53" s="539">
        <f t="shared" si="23"/>
        <v>3100.4507552141258</v>
      </c>
      <c r="BR53" s="539">
        <f t="shared" si="23"/>
        <v>2563.9569277797268</v>
      </c>
      <c r="BS53" s="539">
        <f t="shared" si="23"/>
        <v>2563.9569277797268</v>
      </c>
      <c r="BT53" s="539">
        <f t="shared" si="23"/>
        <v>2563.9569277797268</v>
      </c>
      <c r="BU53" s="539">
        <f t="shared" si="23"/>
        <v>2563.9569277797268</v>
      </c>
      <c r="BV53" s="539">
        <f t="shared" si="23"/>
        <v>3209.2082011426746</v>
      </c>
      <c r="BW53" s="539">
        <f t="shared" si="23"/>
        <v>3209.2082011426746</v>
      </c>
      <c r="BX53" s="539">
        <f t="shared" si="23"/>
        <v>3209.2082011426746</v>
      </c>
      <c r="BY53" s="539">
        <f t="shared" si="23"/>
        <v>3209.2082011426746</v>
      </c>
      <c r="BZ53" s="539">
        <f t="shared" si="23"/>
        <v>3264.8988786289374</v>
      </c>
      <c r="CA53" s="539">
        <f t="shared" si="23"/>
        <v>3264.8988786289374</v>
      </c>
      <c r="CB53" s="539">
        <f t="shared" si="23"/>
        <v>3264.8988786289374</v>
      </c>
      <c r="CC53" s="539">
        <f t="shared" si="23"/>
        <v>3264.8988786289374</v>
      </c>
      <c r="CD53" s="539">
        <f t="shared" si="23"/>
        <v>3321.4792994848845</v>
      </c>
      <c r="CE53" s="539">
        <f t="shared" si="23"/>
        <v>3321.4792994848845</v>
      </c>
      <c r="CF53" s="539">
        <f t="shared" si="23"/>
        <v>3321.4792994848845</v>
      </c>
      <c r="CG53" s="539">
        <f t="shared" si="23"/>
        <v>3321.4792994848845</v>
      </c>
      <c r="CH53" s="539">
        <f t="shared" si="23"/>
        <v>3378.9608548329065</v>
      </c>
      <c r="CI53" s="539">
        <f t="shared" si="23"/>
        <v>3378.9608548329065</v>
      </c>
      <c r="CJ53" s="539">
        <f t="shared" si="23"/>
        <v>3378.9608548329065</v>
      </c>
      <c r="CK53" s="539">
        <f t="shared" si="23"/>
        <v>3378.9608548329065</v>
      </c>
      <c r="CL53" s="539">
        <f t="shared" si="23"/>
        <v>2769.3274501672527</v>
      </c>
      <c r="CM53" s="539">
        <f t="shared" si="23"/>
        <v>2769.3274501672527</v>
      </c>
      <c r="CN53" s="539">
        <f t="shared" si="23"/>
        <v>2769.3274501672527</v>
      </c>
      <c r="CO53" s="539">
        <f t="shared" si="23"/>
        <v>2769.3274501672527</v>
      </c>
      <c r="CP53" s="539">
        <f t="shared" si="23"/>
        <v>3496.6731473880495</v>
      </c>
      <c r="CQ53" s="539">
        <f t="shared" si="23"/>
        <v>3496.6731473880495</v>
      </c>
      <c r="CR53" s="539">
        <f t="shared" si="23"/>
        <v>3496.6731473880495</v>
      </c>
      <c r="CS53" s="539">
        <f t="shared" si="23"/>
        <v>3496.6731473880495</v>
      </c>
      <c r="CT53" s="539">
        <f t="shared" si="23"/>
        <v>3556.9268671326881</v>
      </c>
      <c r="CU53" s="539">
        <f t="shared" si="23"/>
        <v>3556.9268671326881</v>
      </c>
      <c r="CV53" s="539">
        <f t="shared" si="23"/>
        <v>3556.9268671326881</v>
      </c>
      <c r="CW53" s="539">
        <f t="shared" si="23"/>
        <v>3556.9268671326881</v>
      </c>
      <c r="CX53" s="539">
        <f t="shared" si="23"/>
        <v>3618.1276767990357</v>
      </c>
      <c r="CY53" s="539">
        <f t="shared" si="23"/>
        <v>3618.1276767990357</v>
      </c>
      <c r="CZ53" s="539">
        <f t="shared" si="23"/>
        <v>3618.1276767990357</v>
      </c>
      <c r="DA53" s="539">
        <f t="shared" si="23"/>
        <v>3618.1276767990357</v>
      </c>
      <c r="DB53" s="539">
        <f t="shared" si="23"/>
        <v>3680.2871388469034</v>
      </c>
      <c r="DC53" s="539">
        <f t="shared" si="23"/>
        <v>3680.2871388469034</v>
      </c>
      <c r="DD53" s="539">
        <f t="shared" si="23"/>
        <v>3680.2871388469034</v>
      </c>
      <c r="DE53" s="539">
        <f t="shared" si="23"/>
        <v>3680.2871388469034</v>
      </c>
      <c r="DF53" s="539">
        <f t="shared" si="23"/>
        <v>2987.6050015260889</v>
      </c>
      <c r="DG53" s="539">
        <f t="shared" si="23"/>
        <v>2987.6050015260889</v>
      </c>
      <c r="DH53" s="539">
        <f t="shared" si="23"/>
        <v>2987.6050015260889</v>
      </c>
      <c r="DI53" s="539">
        <f t="shared" si="23"/>
        <v>2987.6050015260889</v>
      </c>
      <c r="DJ53" s="539">
        <f t="shared" si="23"/>
        <v>3807.5283585274274</v>
      </c>
      <c r="DK53" s="539">
        <f t="shared" si="23"/>
        <v>3807.5283585274274</v>
      </c>
      <c r="DL53" s="539">
        <f t="shared" si="23"/>
        <v>3807.5283585274274</v>
      </c>
      <c r="DM53" s="539">
        <f t="shared" si="23"/>
        <v>3807.5283585274274</v>
      </c>
      <c r="DN53" s="539">
        <f t="shared" si="23"/>
        <v>3872.6333120805812</v>
      </c>
      <c r="DO53" s="539">
        <f t="shared" si="23"/>
        <v>3872.6333120805812</v>
      </c>
      <c r="DP53" s="539">
        <f t="shared" si="23"/>
        <v>3872.6333120805812</v>
      </c>
      <c r="DQ53" s="539">
        <f t="shared" si="23"/>
        <v>3872.6333120805812</v>
      </c>
      <c r="DR53" s="539">
        <f t="shared" si="23"/>
        <v>3938.7432974254461</v>
      </c>
      <c r="DS53" s="539">
        <f t="shared" si="23"/>
        <v>3938.7432974254461</v>
      </c>
      <c r="DT53" s="539">
        <f t="shared" si="23"/>
        <v>3938.7432974254461</v>
      </c>
      <c r="DU53" s="539">
        <f t="shared" si="23"/>
        <v>3938.7432974254461</v>
      </c>
      <c r="DV53" s="539">
        <f t="shared" si="23"/>
        <v>4005.8699107077068</v>
      </c>
      <c r="DW53" s="539">
        <f t="shared" si="23"/>
        <v>4005.8699107077068</v>
      </c>
      <c r="DX53" s="539">
        <f t="shared" si="23"/>
        <v>4005.8699107077068</v>
      </c>
      <c r="DY53" s="539">
        <f t="shared" si="23"/>
        <v>4005.8699107077068</v>
      </c>
      <c r="DZ53" s="539">
        <f t="shared" si="23"/>
        <v>4074.0247350494597</v>
      </c>
      <c r="EA53" s="539">
        <f t="shared" si="23"/>
        <v>4074.0247350494597</v>
      </c>
      <c r="EB53" s="539">
        <f t="shared" si="23"/>
        <v>4074.0247350494597</v>
      </c>
      <c r="EC53" s="539">
        <f t="shared" si="23"/>
        <v>4074.0247350494597</v>
      </c>
      <c r="ED53" s="539">
        <f t="shared" si="23"/>
        <v>0</v>
      </c>
      <c r="EE53" s="539">
        <f t="shared" si="23"/>
        <v>0</v>
      </c>
      <c r="EF53" s="539">
        <f t="shared" si="23"/>
        <v>0</v>
      </c>
      <c r="EG53" s="539">
        <f t="shared" si="23"/>
        <v>0</v>
      </c>
    </row>
    <row r="54" spans="5:137" ht="12.75">
      <c r="E54" s="538" t="str">
        <f>E$38</f>
        <v>Disallowed interest - used within headroom</v>
      </c>
      <c r="G54" s="539" t="str">
        <f>G$38</f>
        <v>EUR 000s</v>
      </c>
      <c r="H54" s="539">
        <f>H$38</f>
        <v>16415.387757300072</v>
      </c>
      <c r="J54" s="539">
        <f t="shared" si="24" ref="J54:EG54">J$38</f>
        <v>0</v>
      </c>
      <c r="K54" s="539">
        <f t="shared" si="24"/>
        <v>0</v>
      </c>
      <c r="L54" s="539">
        <f t="shared" si="24"/>
        <v>0</v>
      </c>
      <c r="M54" s="539">
        <f t="shared" si="24"/>
        <v>0</v>
      </c>
      <c r="N54" s="539">
        <f t="shared" si="24"/>
        <v>0</v>
      </c>
      <c r="O54" s="539">
        <f t="shared" si="24"/>
        <v>0</v>
      </c>
      <c r="P54" s="539">
        <f t="shared" si="24"/>
        <v>0</v>
      </c>
      <c r="Q54" s="539">
        <f t="shared" si="24"/>
        <v>0</v>
      </c>
      <c r="R54" s="539">
        <f t="shared" si="24"/>
        <v>0</v>
      </c>
      <c r="S54" s="539">
        <f t="shared" si="24"/>
        <v>0</v>
      </c>
      <c r="T54" s="539">
        <f t="shared" si="24"/>
        <v>0</v>
      </c>
      <c r="U54" s="539">
        <f t="shared" si="24"/>
        <v>0</v>
      </c>
      <c r="V54" s="539">
        <f t="shared" si="24"/>
        <v>0</v>
      </c>
      <c r="W54" s="539">
        <f t="shared" si="24"/>
        <v>0</v>
      </c>
      <c r="X54" s="539">
        <f t="shared" si="24"/>
        <v>0</v>
      </c>
      <c r="Y54" s="539">
        <f t="shared" si="24"/>
        <v>0</v>
      </c>
      <c r="Z54" s="539">
        <f t="shared" si="24"/>
        <v>0</v>
      </c>
      <c r="AA54" s="539">
        <f t="shared" si="24"/>
        <v>0</v>
      </c>
      <c r="AB54" s="539">
        <f t="shared" si="24"/>
        <v>0</v>
      </c>
      <c r="AC54" s="539">
        <f t="shared" si="24"/>
        <v>0</v>
      </c>
      <c r="AD54" s="539">
        <f t="shared" si="24"/>
        <v>0</v>
      </c>
      <c r="AE54" s="539">
        <f t="shared" si="24"/>
        <v>0</v>
      </c>
      <c r="AF54" s="539">
        <f t="shared" si="24"/>
        <v>0</v>
      </c>
      <c r="AG54" s="539">
        <f t="shared" si="24"/>
        <v>0</v>
      </c>
      <c r="AH54" s="539">
        <f t="shared" si="24"/>
        <v>0</v>
      </c>
      <c r="AI54" s="539">
        <f t="shared" si="24"/>
        <v>0</v>
      </c>
      <c r="AJ54" s="539">
        <f t="shared" si="24"/>
        <v>0</v>
      </c>
      <c r="AK54" s="539">
        <f t="shared" si="24"/>
        <v>0</v>
      </c>
      <c r="AL54" s="539">
        <f t="shared" si="24"/>
        <v>0</v>
      </c>
      <c r="AM54" s="539">
        <f t="shared" si="24"/>
        <v>0</v>
      </c>
      <c r="AN54" s="539">
        <f t="shared" si="24"/>
        <v>0</v>
      </c>
      <c r="AO54" s="539">
        <f t="shared" si="24"/>
        <v>0</v>
      </c>
      <c r="AP54" s="539">
        <f t="shared" si="24"/>
        <v>0</v>
      </c>
      <c r="AQ54" s="539">
        <f t="shared" si="24"/>
        <v>0</v>
      </c>
      <c r="AR54" s="539">
        <f t="shared" si="24"/>
        <v>0</v>
      </c>
      <c r="AS54" s="539">
        <f t="shared" si="24"/>
        <v>0</v>
      </c>
      <c r="AT54" s="539">
        <f t="shared" si="24"/>
        <v>0</v>
      </c>
      <c r="AU54" s="539">
        <f t="shared" si="24"/>
        <v>0</v>
      </c>
      <c r="AV54" s="539">
        <f t="shared" si="24"/>
        <v>0</v>
      </c>
      <c r="AW54" s="539">
        <f t="shared" si="24"/>
        <v>0</v>
      </c>
      <c r="AX54" s="539">
        <f t="shared" si="24"/>
        <v>0</v>
      </c>
      <c r="AY54" s="539">
        <f t="shared" si="24"/>
        <v>0</v>
      </c>
      <c r="AZ54" s="539">
        <f t="shared" si="24"/>
        <v>0</v>
      </c>
      <c r="BA54" s="539">
        <f t="shared" si="24"/>
        <v>0</v>
      </c>
      <c r="BB54" s="539">
        <f t="shared" si="24"/>
        <v>0</v>
      </c>
      <c r="BC54" s="539">
        <f t="shared" si="24"/>
        <v>0</v>
      </c>
      <c r="BD54" s="539">
        <f t="shared" si="24"/>
        <v>0</v>
      </c>
      <c r="BE54" s="539">
        <f t="shared" si="24"/>
        <v>0</v>
      </c>
      <c r="BF54" s="539">
        <f t="shared" si="24"/>
        <v>155.34586326594263</v>
      </c>
      <c r="BG54" s="539">
        <f t="shared" si="24"/>
        <v>172.38310833812648</v>
      </c>
      <c r="BH54" s="539">
        <f t="shared" si="24"/>
        <v>191.15079396619649</v>
      </c>
      <c r="BI54" s="539">
        <f t="shared" si="24"/>
        <v>241.00408578658244</v>
      </c>
      <c r="BJ54" s="539">
        <f t="shared" si="24"/>
        <v>372.77128572124275</v>
      </c>
      <c r="BK54" s="539">
        <f t="shared" si="24"/>
        <v>423.98612017011328</v>
      </c>
      <c r="BL54" s="539">
        <f t="shared" si="24"/>
        <v>447.70406359824119</v>
      </c>
      <c r="BM54" s="539">
        <f t="shared" si="24"/>
        <v>500.55172754049181</v>
      </c>
      <c r="BN54" s="539">
        <f t="shared" si="24"/>
        <v>661.03209024898797</v>
      </c>
      <c r="BO54" s="539">
        <f t="shared" si="24"/>
        <v>688.36199009848769</v>
      </c>
      <c r="BP54" s="539">
        <f t="shared" si="24"/>
        <v>717.72199101382603</v>
      </c>
      <c r="BQ54" s="539">
        <f t="shared" si="24"/>
        <v>773.8182560700925</v>
      </c>
      <c r="BR54" s="539">
        <f t="shared" si="24"/>
        <v>343.16248790289592</v>
      </c>
      <c r="BS54" s="539">
        <f t="shared" si="24"/>
        <v>376.94373119092006</v>
      </c>
      <c r="BT54" s="539">
        <f t="shared" si="24"/>
        <v>412.94308609956897</v>
      </c>
      <c r="BU54" s="539">
        <f t="shared" si="24"/>
        <v>473.30181122445629</v>
      </c>
      <c r="BV54" s="539">
        <f t="shared" si="24"/>
        <v>1223.4980195111852</v>
      </c>
      <c r="BW54" s="539">
        <f t="shared" si="24"/>
        <v>1261.5629488751847</v>
      </c>
      <c r="BX54" s="539">
        <f t="shared" si="24"/>
        <v>1296.2506800709868</v>
      </c>
      <c r="BY54" s="539">
        <f t="shared" si="24"/>
        <v>1352.539691462742</v>
      </c>
      <c r="BZ54" s="539">
        <f t="shared" si="24"/>
        <v>1484.3889568105722</v>
      </c>
      <c r="CA54" s="539">
        <f t="shared" si="24"/>
        <v>1541.8328706048649</v>
      </c>
      <c r="CB54" s="539">
        <f t="shared" si="24"/>
        <v>1303.1320977283615</v>
      </c>
      <c r="CC54" s="539">
        <f t="shared" si="24"/>
        <v>0</v>
      </c>
      <c r="CD54" s="539">
        <f t="shared" si="24"/>
        <v>0</v>
      </c>
      <c r="CE54" s="539">
        <f t="shared" si="24"/>
        <v>0</v>
      </c>
      <c r="CF54" s="539">
        <f t="shared" si="24"/>
        <v>0</v>
      </c>
      <c r="CG54" s="539">
        <f t="shared" si="24"/>
        <v>0</v>
      </c>
      <c r="CH54" s="539">
        <f t="shared" si="24"/>
        <v>0</v>
      </c>
      <c r="CI54" s="539">
        <f t="shared" si="24"/>
        <v>0</v>
      </c>
      <c r="CJ54" s="539">
        <f t="shared" si="24"/>
        <v>0</v>
      </c>
      <c r="CK54" s="539">
        <f t="shared" si="24"/>
        <v>0</v>
      </c>
      <c r="CL54" s="539">
        <f t="shared" si="24"/>
        <v>0</v>
      </c>
      <c r="CM54" s="539">
        <f t="shared" si="24"/>
        <v>0</v>
      </c>
      <c r="CN54" s="539">
        <f t="shared" si="24"/>
        <v>0</v>
      </c>
      <c r="CO54" s="539">
        <f t="shared" si="24"/>
        <v>0</v>
      </c>
      <c r="CP54" s="539">
        <f t="shared" si="24"/>
        <v>0</v>
      </c>
      <c r="CQ54" s="539">
        <f t="shared" si="24"/>
        <v>0</v>
      </c>
      <c r="CR54" s="539">
        <f t="shared" si="24"/>
        <v>0</v>
      </c>
      <c r="CS54" s="539">
        <f t="shared" si="24"/>
        <v>0</v>
      </c>
      <c r="CT54" s="539">
        <f t="shared" si="24"/>
        <v>0</v>
      </c>
      <c r="CU54" s="539">
        <f t="shared" si="24"/>
        <v>0</v>
      </c>
      <c r="CV54" s="539">
        <f t="shared" si="24"/>
        <v>0</v>
      </c>
      <c r="CW54" s="539">
        <f t="shared" si="24"/>
        <v>0</v>
      </c>
      <c r="CX54" s="539">
        <f t="shared" si="24"/>
        <v>0</v>
      </c>
      <c r="CY54" s="539">
        <f t="shared" si="24"/>
        <v>0</v>
      </c>
      <c r="CZ54" s="539">
        <f t="shared" si="24"/>
        <v>0</v>
      </c>
      <c r="DA54" s="539">
        <f t="shared" si="24"/>
        <v>0</v>
      </c>
      <c r="DB54" s="539">
        <f t="shared" si="24"/>
        <v>0</v>
      </c>
      <c r="DC54" s="539">
        <f t="shared" si="24"/>
        <v>0</v>
      </c>
      <c r="DD54" s="539">
        <f t="shared" si="24"/>
        <v>0</v>
      </c>
      <c r="DE54" s="539">
        <f t="shared" si="24"/>
        <v>0</v>
      </c>
      <c r="DF54" s="539">
        <f t="shared" si="24"/>
        <v>0</v>
      </c>
      <c r="DG54" s="539">
        <f t="shared" si="24"/>
        <v>0</v>
      </c>
      <c r="DH54" s="539">
        <f t="shared" si="24"/>
        <v>0</v>
      </c>
      <c r="DI54" s="539">
        <f t="shared" si="24"/>
        <v>0</v>
      </c>
      <c r="DJ54" s="539">
        <f t="shared" si="24"/>
        <v>0</v>
      </c>
      <c r="DK54" s="539">
        <f t="shared" si="24"/>
        <v>0</v>
      </c>
      <c r="DL54" s="539">
        <f t="shared" si="24"/>
        <v>0</v>
      </c>
      <c r="DM54" s="539">
        <f t="shared" si="24"/>
        <v>0</v>
      </c>
      <c r="DN54" s="539">
        <f t="shared" si="24"/>
        <v>0</v>
      </c>
      <c r="DO54" s="539">
        <f t="shared" si="24"/>
        <v>0</v>
      </c>
      <c r="DP54" s="539">
        <f t="shared" si="24"/>
        <v>0</v>
      </c>
      <c r="DQ54" s="539">
        <f t="shared" si="24"/>
        <v>0</v>
      </c>
      <c r="DR54" s="539">
        <f t="shared" si="24"/>
        <v>0</v>
      </c>
      <c r="DS54" s="539">
        <f t="shared" si="24"/>
        <v>0</v>
      </c>
      <c r="DT54" s="539">
        <f t="shared" si="24"/>
        <v>0</v>
      </c>
      <c r="DU54" s="539">
        <f t="shared" si="24"/>
        <v>0</v>
      </c>
      <c r="DV54" s="539">
        <f t="shared" si="24"/>
        <v>0</v>
      </c>
      <c r="DW54" s="539">
        <f t="shared" si="24"/>
        <v>0</v>
      </c>
      <c r="DX54" s="539">
        <f t="shared" si="24"/>
        <v>0</v>
      </c>
      <c r="DY54" s="539">
        <f t="shared" si="24"/>
        <v>0</v>
      </c>
      <c r="DZ54" s="539">
        <f t="shared" si="24"/>
        <v>0</v>
      </c>
      <c r="EA54" s="539">
        <f t="shared" si="24"/>
        <v>0</v>
      </c>
      <c r="EB54" s="539">
        <f t="shared" si="24"/>
        <v>0</v>
      </c>
      <c r="EC54" s="539">
        <f t="shared" si="24"/>
        <v>0</v>
      </c>
      <c r="ED54" s="539">
        <f t="shared" si="24"/>
        <v>0</v>
      </c>
      <c r="EE54" s="539">
        <f t="shared" si="24"/>
        <v>0</v>
      </c>
      <c r="EF54" s="539">
        <f t="shared" si="24"/>
        <v>0</v>
      </c>
      <c r="EG54" s="539">
        <f t="shared" si="24"/>
        <v>0</v>
      </c>
    </row>
    <row r="55" spans="5:137" ht="12.75">
      <c r="E55" s="538" t="s">
        <v>440</v>
      </c>
      <c r="G55" s="539" t="s">
        <v>30</v>
      </c>
      <c r="H55" s="539">
        <f>SUM(J55:EG55)</f>
        <v>159361.69121785052</v>
      </c>
      <c r="J55" s="539">
        <f t="shared" si="25" ref="J55:EG55">MIN(J52,J53)+J54</f>
        <v>0</v>
      </c>
      <c r="K55" s="539">
        <f t="shared" si="25"/>
        <v>0</v>
      </c>
      <c r="L55" s="539">
        <f t="shared" si="25"/>
        <v>0</v>
      </c>
      <c r="M55" s="539">
        <f t="shared" si="25"/>
        <v>0</v>
      </c>
      <c r="N55" s="539">
        <f t="shared" si="25"/>
        <v>0</v>
      </c>
      <c r="O55" s="539">
        <f t="shared" si="25"/>
        <v>0</v>
      </c>
      <c r="P55" s="539">
        <f t="shared" si="25"/>
        <v>0</v>
      </c>
      <c r="Q55" s="539">
        <f t="shared" si="25"/>
        <v>0</v>
      </c>
      <c r="R55" s="539">
        <f t="shared" si="25"/>
        <v>0</v>
      </c>
      <c r="S55" s="539">
        <f t="shared" si="25"/>
        <v>0</v>
      </c>
      <c r="T55" s="539">
        <f t="shared" si="25"/>
        <v>0</v>
      </c>
      <c r="U55" s="539">
        <f t="shared" si="25"/>
        <v>0</v>
      </c>
      <c r="V55" s="539">
        <f t="shared" si="25"/>
        <v>0</v>
      </c>
      <c r="W55" s="539">
        <f t="shared" si="25"/>
        <v>0</v>
      </c>
      <c r="X55" s="539">
        <f t="shared" si="25"/>
        <v>0</v>
      </c>
      <c r="Y55" s="539">
        <f t="shared" si="25"/>
        <v>0</v>
      </c>
      <c r="Z55" s="539">
        <f t="shared" si="25"/>
        <v>0</v>
      </c>
      <c r="AA55" s="539">
        <f t="shared" si="25"/>
        <v>0</v>
      </c>
      <c r="AB55" s="539">
        <f t="shared" si="25"/>
        <v>0</v>
      </c>
      <c r="AC55" s="539">
        <f t="shared" si="25"/>
        <v>0</v>
      </c>
      <c r="AD55" s="539">
        <f t="shared" si="25"/>
        <v>0</v>
      </c>
      <c r="AE55" s="539">
        <f t="shared" si="25"/>
        <v>0</v>
      </c>
      <c r="AF55" s="539">
        <f t="shared" si="25"/>
        <v>0</v>
      </c>
      <c r="AG55" s="539">
        <f t="shared" si="25"/>
        <v>0</v>
      </c>
      <c r="AH55" s="539">
        <f t="shared" si="25"/>
        <v>2698.7702812499997</v>
      </c>
      <c r="AI55" s="539">
        <f t="shared" si="25"/>
        <v>2698.7702812499997</v>
      </c>
      <c r="AJ55" s="539">
        <f t="shared" si="25"/>
        <v>2698.7702812499997</v>
      </c>
      <c r="AK55" s="539">
        <f t="shared" si="25"/>
        <v>2698.7702812499997</v>
      </c>
      <c r="AL55" s="539">
        <f t="shared" si="25"/>
        <v>2746.1776907812496</v>
      </c>
      <c r="AM55" s="539">
        <f t="shared" si="25"/>
        <v>2746.1776907812496</v>
      </c>
      <c r="AN55" s="539">
        <f t="shared" si="25"/>
        <v>2746.1776907812496</v>
      </c>
      <c r="AO55" s="539">
        <f t="shared" si="25"/>
        <v>2746.1776907812496</v>
      </c>
      <c r="AP55" s="539">
        <f t="shared" si="25"/>
        <v>2794.364156725781</v>
      </c>
      <c r="AQ55" s="539">
        <f t="shared" si="25"/>
        <v>2794.364156725781</v>
      </c>
      <c r="AR55" s="539">
        <f t="shared" si="25"/>
        <v>2794.364156725781</v>
      </c>
      <c r="AS55" s="539">
        <f t="shared" si="25"/>
        <v>2794.364156725781</v>
      </c>
      <c r="AT55" s="539">
        <f t="shared" si="25"/>
        <v>2843.3404361611761</v>
      </c>
      <c r="AU55" s="539">
        <f t="shared" si="25"/>
        <v>2843.3404361611761</v>
      </c>
      <c r="AV55" s="539">
        <f t="shared" si="25"/>
        <v>2843.3404361611761</v>
      </c>
      <c r="AW55" s="539">
        <f t="shared" si="25"/>
        <v>2843.3404361611761</v>
      </c>
      <c r="AX55" s="539">
        <f t="shared" si="25"/>
        <v>2371.2553246068123</v>
      </c>
      <c r="AY55" s="539">
        <f t="shared" si="25"/>
        <v>2371.2553246068123</v>
      </c>
      <c r="AZ55" s="539">
        <f t="shared" si="25"/>
        <v>2371.2553246068123</v>
      </c>
      <c r="BA55" s="539">
        <f t="shared" si="25"/>
        <v>2371.2553246068123</v>
      </c>
      <c r="BB55" s="539">
        <f t="shared" si="25"/>
        <v>2943.7058445359407</v>
      </c>
      <c r="BC55" s="539">
        <f t="shared" si="25"/>
        <v>2943.7058445359407</v>
      </c>
      <c r="BD55" s="539">
        <f t="shared" si="25"/>
        <v>2943.7058445359407</v>
      </c>
      <c r="BE55" s="539">
        <f t="shared" si="25"/>
        <v>2943.7058445359407</v>
      </c>
      <c r="BF55" s="539">
        <f t="shared" si="25"/>
        <v>2995.1168607853078</v>
      </c>
      <c r="BG55" s="539">
        <f t="shared" si="25"/>
        <v>2995.1168607853078</v>
      </c>
      <c r="BH55" s="539">
        <f t="shared" si="25"/>
        <v>2995.1168607853078</v>
      </c>
      <c r="BI55" s="539">
        <f t="shared" si="25"/>
        <v>2995.1168607853078</v>
      </c>
      <c r="BJ55" s="539">
        <f t="shared" si="25"/>
        <v>3047.3614597086507</v>
      </c>
      <c r="BK55" s="539">
        <f t="shared" si="25"/>
        <v>3047.3614597086507</v>
      </c>
      <c r="BL55" s="539">
        <f t="shared" si="25"/>
        <v>3047.3614597086507</v>
      </c>
      <c r="BM55" s="539">
        <f t="shared" si="25"/>
        <v>3047.3614597086507</v>
      </c>
      <c r="BN55" s="539">
        <f t="shared" si="25"/>
        <v>3100.4507552141258</v>
      </c>
      <c r="BO55" s="539">
        <f t="shared" si="25"/>
        <v>3100.4507552141258</v>
      </c>
      <c r="BP55" s="539">
        <f t="shared" si="25"/>
        <v>3100.4507552141258</v>
      </c>
      <c r="BQ55" s="539">
        <f t="shared" si="25"/>
        <v>3100.4507552141258</v>
      </c>
      <c r="BR55" s="539">
        <f t="shared" si="25"/>
        <v>2563.9569277797268</v>
      </c>
      <c r="BS55" s="539">
        <f t="shared" si="25"/>
        <v>2563.9569277797268</v>
      </c>
      <c r="BT55" s="539">
        <f t="shared" si="25"/>
        <v>2563.9569277797268</v>
      </c>
      <c r="BU55" s="539">
        <f t="shared" si="25"/>
        <v>2563.9569277797268</v>
      </c>
      <c r="BV55" s="539">
        <f t="shared" si="25"/>
        <v>3209.2082011426746</v>
      </c>
      <c r="BW55" s="539">
        <f t="shared" si="25"/>
        <v>3209.2082011426746</v>
      </c>
      <c r="BX55" s="539">
        <f t="shared" si="25"/>
        <v>3209.2082011426746</v>
      </c>
      <c r="BY55" s="539">
        <f t="shared" si="25"/>
        <v>3209.2082011426746</v>
      </c>
      <c r="BZ55" s="539">
        <f t="shared" si="25"/>
        <v>3264.8988786289374</v>
      </c>
      <c r="CA55" s="539">
        <f t="shared" si="25"/>
        <v>3264.8988786289374</v>
      </c>
      <c r="CB55" s="539">
        <f t="shared" si="25"/>
        <v>2986.2483718464127</v>
      </c>
      <c r="CC55" s="539">
        <f t="shared" si="25"/>
        <v>1624.2754546454987</v>
      </c>
      <c r="CD55" s="539">
        <f t="shared" si="25"/>
        <v>1533.4322568484231</v>
      </c>
      <c r="CE55" s="539">
        <f t="shared" si="25"/>
        <v>1504.8857846127805</v>
      </c>
      <c r="CF55" s="539">
        <f t="shared" si="25"/>
        <v>1474.4260606498726</v>
      </c>
      <c r="CG55" s="539">
        <f t="shared" si="25"/>
        <v>1427.1413681802019</v>
      </c>
      <c r="CH55" s="539">
        <f t="shared" si="25"/>
        <v>1349.5629553171893</v>
      </c>
      <c r="CI55" s="539">
        <f t="shared" si="25"/>
        <v>1316.1916975217407</v>
      </c>
      <c r="CJ55" s="539">
        <f t="shared" si="25"/>
        <v>1280.7635823558471</v>
      </c>
      <c r="CK55" s="539">
        <f t="shared" si="25"/>
        <v>1230.5054977181208</v>
      </c>
      <c r="CL55" s="539">
        <f t="shared" si="25"/>
        <v>1154.242185163836</v>
      </c>
      <c r="CM55" s="539">
        <f t="shared" si="25"/>
        <v>1111.7531001889547</v>
      </c>
      <c r="CN55" s="539">
        <f t="shared" si="25"/>
        <v>1066.9235722730491</v>
      </c>
      <c r="CO55" s="539">
        <f t="shared" si="25"/>
        <v>1009.3816975286077</v>
      </c>
      <c r="CP55" s="539">
        <f t="shared" si="25"/>
        <v>941.04226869427248</v>
      </c>
      <c r="CQ55" s="539">
        <f t="shared" si="25"/>
        <v>886.16951660116763</v>
      </c>
      <c r="CR55" s="539">
        <f t="shared" si="25"/>
        <v>839.51515432249653</v>
      </c>
      <c r="CS55" s="539">
        <f t="shared" si="25"/>
        <v>782.42190086511391</v>
      </c>
      <c r="CT55" s="539">
        <f t="shared" si="25"/>
        <v>709.10904897538694</v>
      </c>
      <c r="CU55" s="539">
        <f t="shared" si="25"/>
        <v>658.73080140870934</v>
      </c>
      <c r="CV55" s="539">
        <f t="shared" si="25"/>
        <v>605.81871716551984</v>
      </c>
      <c r="CW55" s="539">
        <f t="shared" si="25"/>
        <v>545.05145143901598</v>
      </c>
      <c r="CX55" s="539">
        <f t="shared" si="25"/>
        <v>473.25292862187814</v>
      </c>
      <c r="CY55" s="539">
        <f t="shared" si="25"/>
        <v>416.56171669296856</v>
      </c>
      <c r="CZ55" s="539">
        <f t="shared" si="25"/>
        <v>357.16582424013654</v>
      </c>
      <c r="DA55" s="539">
        <f t="shared" si="25"/>
        <v>292.48879194963263</v>
      </c>
      <c r="DB55" s="539">
        <f t="shared" si="25"/>
        <v>-3.9862031483869642E-13</v>
      </c>
      <c r="DC55" s="539">
        <f t="shared" si="25"/>
        <v>-4.0304942944801527E-13</v>
      </c>
      <c r="DD55" s="539">
        <f t="shared" si="25"/>
        <v>-4.0747854405733406E-13</v>
      </c>
      <c r="DE55" s="539">
        <f t="shared" si="25"/>
        <v>-4.0747854405733406E-13</v>
      </c>
      <c r="DF55" s="539">
        <f t="shared" si="25"/>
        <v>-4.0304942944801527E-13</v>
      </c>
      <c r="DG55" s="539">
        <f t="shared" si="25"/>
        <v>-4.0304942944801527E-13</v>
      </c>
      <c r="DH55" s="539">
        <f t="shared" si="25"/>
        <v>-4.0747854405733406E-13</v>
      </c>
      <c r="DI55" s="539">
        <f t="shared" si="25"/>
        <v>-4.0747854405733406E-13</v>
      </c>
      <c r="DJ55" s="539">
        <f t="shared" si="25"/>
        <v>-3.9862031483869642E-13</v>
      </c>
      <c r="DK55" s="539">
        <f t="shared" si="25"/>
        <v>-4.0304942944801527E-13</v>
      </c>
      <c r="DL55" s="539">
        <f t="shared" si="25"/>
        <v>-4.0747854405733406E-13</v>
      </c>
      <c r="DM55" s="539">
        <f t="shared" si="25"/>
        <v>-4.0747854405733406E-13</v>
      </c>
      <c r="DN55" s="539">
        <f t="shared" si="25"/>
        <v>-3.9862031483869642E-13</v>
      </c>
      <c r="DO55" s="539">
        <f t="shared" si="25"/>
        <v>-4.0304942944801527E-13</v>
      </c>
      <c r="DP55" s="539">
        <f t="shared" si="25"/>
        <v>-4.0747854405733406E-13</v>
      </c>
      <c r="DQ55" s="539">
        <f t="shared" si="25"/>
        <v>-4.0747854405733406E-13</v>
      </c>
      <c r="DR55" s="539">
        <f t="shared" si="25"/>
        <v>-3.9862031483869642E-13</v>
      </c>
      <c r="DS55" s="539">
        <f t="shared" si="25"/>
        <v>-4.0304942944801527E-13</v>
      </c>
      <c r="DT55" s="539">
        <f t="shared" si="25"/>
        <v>-4.0747854405733406E-13</v>
      </c>
      <c r="DU55" s="539">
        <f t="shared" si="25"/>
        <v>-4.0747854405733406E-13</v>
      </c>
      <c r="DV55" s="539">
        <f t="shared" si="25"/>
        <v>-4.0304942944801527E-13</v>
      </c>
      <c r="DW55" s="539">
        <f t="shared" si="25"/>
        <v>-4.0304942944801527E-13</v>
      </c>
      <c r="DX55" s="539">
        <f t="shared" si="25"/>
        <v>-4.0747854405733406E-13</v>
      </c>
      <c r="DY55" s="539">
        <f t="shared" si="25"/>
        <v>-4.0747854405733406E-13</v>
      </c>
      <c r="DZ55" s="539">
        <f t="shared" si="25"/>
        <v>-3.9862031483869642E-13</v>
      </c>
      <c r="EA55" s="539">
        <f t="shared" si="25"/>
        <v>-4.0304942944801527E-13</v>
      </c>
      <c r="EB55" s="539">
        <f t="shared" si="25"/>
        <v>-4.0747854405733406E-13</v>
      </c>
      <c r="EC55" s="539">
        <f t="shared" si="25"/>
        <v>-4.0747854405733406E-13</v>
      </c>
      <c r="ED55" s="539">
        <f t="shared" si="25"/>
        <v>0</v>
      </c>
      <c r="EE55" s="539">
        <f t="shared" si="25"/>
        <v>0</v>
      </c>
      <c r="EF55" s="539">
        <f t="shared" si="25"/>
        <v>0</v>
      </c>
      <c r="EG55" s="539">
        <f t="shared" si="25"/>
        <v>0</v>
      </c>
    </row>
    <row r="58" spans="1:1" ht="12.75">
      <c r="A58" s="534" t="s">
        <v>441</v>
      </c>
    </row>
    <row r="60" spans="2:2" ht="12.75">
      <c r="B60" s="534" t="s">
        <v>442</v>
      </c>
    </row>
    <row r="61" spans="5:137" ht="12.75">
      <c r="E61" s="535" t="str">
        <f>Assets!E$41</f>
        <v>Fixed assets - tax depreciation</v>
      </c>
      <c r="G61" s="537" t="str">
        <f>Assets!G$41</f>
        <v>EUR 000s</v>
      </c>
      <c r="H61" s="537">
        <f>Assets!H$41</f>
        <v>291552.50000000012</v>
      </c>
      <c r="J61" s="537">
        <f>Assets!J$41</f>
        <v>0</v>
      </c>
      <c r="K61" s="537">
        <f>Assets!K$41</f>
        <v>0</v>
      </c>
      <c r="L61" s="537">
        <f>Assets!L$41</f>
        <v>0</v>
      </c>
      <c r="M61" s="537">
        <f>Assets!M$41</f>
        <v>0</v>
      </c>
      <c r="N61" s="537">
        <f>Assets!N$41</f>
        <v>0</v>
      </c>
      <c r="O61" s="537">
        <f>Assets!O$41</f>
        <v>0</v>
      </c>
      <c r="P61" s="537">
        <f>Assets!P$41</f>
        <v>0</v>
      </c>
      <c r="Q61" s="537">
        <f>Assets!Q$41</f>
        <v>0</v>
      </c>
      <c r="R61" s="537">
        <f>Assets!R$41</f>
        <v>0</v>
      </c>
      <c r="S61" s="537">
        <f>Assets!S$41</f>
        <v>0</v>
      </c>
      <c r="T61" s="537">
        <f>Assets!T$41</f>
        <v>0</v>
      </c>
      <c r="U61" s="537">
        <f>Assets!U$41</f>
        <v>0</v>
      </c>
      <c r="V61" s="537">
        <f>Assets!V$41</f>
        <v>0</v>
      </c>
      <c r="W61" s="537">
        <f>Assets!W$41</f>
        <v>0</v>
      </c>
      <c r="X61" s="537">
        <f>Assets!X$41</f>
        <v>0</v>
      </c>
      <c r="Y61" s="537">
        <f>Assets!Y$41</f>
        <v>0</v>
      </c>
      <c r="Z61" s="537">
        <f>Assets!Z$41</f>
        <v>0</v>
      </c>
      <c r="AA61" s="537">
        <f>Assets!AA$41</f>
        <v>0</v>
      </c>
      <c r="AB61" s="537">
        <f>Assets!AB$41</f>
        <v>0</v>
      </c>
      <c r="AC61" s="537">
        <f>Assets!AC$41</f>
        <v>0</v>
      </c>
      <c r="AD61" s="537">
        <f>Assets!AD$41</f>
        <v>0</v>
      </c>
      <c r="AE61" s="537">
        <f>Assets!AE$41</f>
        <v>0</v>
      </c>
      <c r="AF61" s="537">
        <f>Assets!AF$41</f>
        <v>0</v>
      </c>
      <c r="AG61" s="537">
        <f>Assets!AG$41</f>
        <v>0</v>
      </c>
      <c r="AH61" s="537">
        <f>Assets!AH$41</f>
        <v>13119.862499999999</v>
      </c>
      <c r="AI61" s="537">
        <f>Assets!AI$41</f>
        <v>12529.468687500001</v>
      </c>
      <c r="AJ61" s="537">
        <f>Assets!AJ$41</f>
        <v>11965.6425965625</v>
      </c>
      <c r="AK61" s="537">
        <f>Assets!AK$41</f>
        <v>11427.188679717188</v>
      </c>
      <c r="AL61" s="537">
        <f>Assets!AL$41</f>
        <v>10912.965189129915</v>
      </c>
      <c r="AM61" s="537">
        <f>Assets!AM$41</f>
        <v>10421.881755619068</v>
      </c>
      <c r="AN61" s="537">
        <f>Assets!AN$41</f>
        <v>9952.8970766162092</v>
      </c>
      <c r="AO61" s="537">
        <f>Assets!AO$41</f>
        <v>9505.0167081684795</v>
      </c>
      <c r="AP61" s="537">
        <f>Assets!AP$41</f>
        <v>9077.290956300898</v>
      </c>
      <c r="AQ61" s="537">
        <f>Assets!AQ$41</f>
        <v>8668.8128632673579</v>
      </c>
      <c r="AR61" s="537">
        <f>Assets!AR$41</f>
        <v>8278.7162844203267</v>
      </c>
      <c r="AS61" s="537">
        <f>Assets!AS$41</f>
        <v>7906.1740516214131</v>
      </c>
      <c r="AT61" s="537">
        <f>Assets!AT$41</f>
        <v>7550.39621929845</v>
      </c>
      <c r="AU61" s="537">
        <f>Assets!AU$41</f>
        <v>7210.6283894300195</v>
      </c>
      <c r="AV61" s="537">
        <f>Assets!AV$41</f>
        <v>6886.1501119056684</v>
      </c>
      <c r="AW61" s="537">
        <f>Assets!AW$41</f>
        <v>6576.2733568699123</v>
      </c>
      <c r="AX61" s="537">
        <f>Assets!AX$41</f>
        <v>6280.3410558107671</v>
      </c>
      <c r="AY61" s="537">
        <f>Assets!AY$41</f>
        <v>5997.7257082992819</v>
      </c>
      <c r="AZ61" s="537">
        <f>Assets!AZ$41</f>
        <v>5727.828051425814</v>
      </c>
      <c r="BA61" s="537">
        <f>Assets!BA$41</f>
        <v>5470.0757891116527</v>
      </c>
      <c r="BB61" s="537">
        <f>Assets!BB$41</f>
        <v>5223.9223786016291</v>
      </c>
      <c r="BC61" s="537">
        <f>Assets!BC$41</f>
        <v>4988.8458715645556</v>
      </c>
      <c r="BD61" s="537">
        <f>Assets!BD$41</f>
        <v>4764.3478073441511</v>
      </c>
      <c r="BE61" s="537">
        <f>Assets!BE$41</f>
        <v>4549.9521560136636</v>
      </c>
      <c r="BF61" s="537">
        <f>Assets!BF$41</f>
        <v>4345.2043089930494</v>
      </c>
      <c r="BG61" s="537">
        <f>Assets!BG$41</f>
        <v>4149.6701150883619</v>
      </c>
      <c r="BH61" s="537">
        <f>Assets!BH$41</f>
        <v>3962.9349599093857</v>
      </c>
      <c r="BI61" s="537">
        <f>Assets!BI$41</f>
        <v>3784.6028867134632</v>
      </c>
      <c r="BJ61" s="537">
        <f>Assets!BJ$41</f>
        <v>3614.2957568113579</v>
      </c>
      <c r="BK61" s="537">
        <f>Assets!BK$41</f>
        <v>3451.6524477548464</v>
      </c>
      <c r="BL61" s="537">
        <f>Assets!BL$41</f>
        <v>3296.328087605878</v>
      </c>
      <c r="BM61" s="537">
        <f>Assets!BM$41</f>
        <v>3147.9933236636139</v>
      </c>
      <c r="BN61" s="537">
        <f>Assets!BN$41</f>
        <v>3006.3336240987514</v>
      </c>
      <c r="BO61" s="537">
        <f>Assets!BO$41</f>
        <v>2871.0486110143074</v>
      </c>
      <c r="BP61" s="537">
        <f>Assets!BP$41</f>
        <v>2741.8514235186635</v>
      </c>
      <c r="BQ61" s="537">
        <f>Assets!BQ$41</f>
        <v>2618.4681094603238</v>
      </c>
      <c r="BR61" s="537">
        <f>Assets!BR$41</f>
        <v>2500.6370445346092</v>
      </c>
      <c r="BS61" s="537">
        <f>Assets!BS$41</f>
        <v>2388.1083775305515</v>
      </c>
      <c r="BT61" s="537">
        <f>Assets!BT$41</f>
        <v>2280.643500541677</v>
      </c>
      <c r="BU61" s="537">
        <f>Assets!BU$41</f>
        <v>2178.0145430173011</v>
      </c>
      <c r="BV61" s="537">
        <f>Assets!BV$41</f>
        <v>2080.0038885815229</v>
      </c>
      <c r="BW61" s="537">
        <f>Assets!BW$41</f>
        <v>1986.4037135953542</v>
      </c>
      <c r="BX61" s="537">
        <f>Assets!BX$41</f>
        <v>1897.0155464835634</v>
      </c>
      <c r="BY61" s="537">
        <f>Assets!BY$41</f>
        <v>1811.649846891803</v>
      </c>
      <c r="BZ61" s="537">
        <f>Assets!BZ$41</f>
        <v>1730.125603781672</v>
      </c>
      <c r="CA61" s="537">
        <f>Assets!CA$41</f>
        <v>1652.2699516114967</v>
      </c>
      <c r="CB61" s="537">
        <f>Assets!CB$41</f>
        <v>1577.9178037889794</v>
      </c>
      <c r="CC61" s="537">
        <f>Assets!CC$41</f>
        <v>1506.9115026184754</v>
      </c>
      <c r="CD61" s="537">
        <f>Assets!CD$41</f>
        <v>1439.1004850006441</v>
      </c>
      <c r="CE61" s="537">
        <f>Assets!CE$41</f>
        <v>1374.3409631756151</v>
      </c>
      <c r="CF61" s="537">
        <f>Assets!CF$41</f>
        <v>1312.4956198327125</v>
      </c>
      <c r="CG61" s="537">
        <f>Assets!CG$41</f>
        <v>1253.4333169402405</v>
      </c>
      <c r="CH61" s="537">
        <f>Assets!CH$41</f>
        <v>1197.0288176779295</v>
      </c>
      <c r="CI61" s="537">
        <f>Assets!CI$41</f>
        <v>1143.1625208824228</v>
      </c>
      <c r="CJ61" s="537">
        <f>Assets!CJ$41</f>
        <v>1091.7202074427139</v>
      </c>
      <c r="CK61" s="537">
        <f>Assets!CK$41</f>
        <v>1042.5927981077916</v>
      </c>
      <c r="CL61" s="537">
        <f>Assets!CL$41</f>
        <v>995.67612219294097</v>
      </c>
      <c r="CM61" s="537">
        <f>Assets!CM$41</f>
        <v>950.87069669425864</v>
      </c>
      <c r="CN61" s="537">
        <f>Assets!CN$41</f>
        <v>908.08151534301703</v>
      </c>
      <c r="CO61" s="537">
        <f>Assets!CO$41</f>
        <v>867.21784715258127</v>
      </c>
      <c r="CP61" s="537">
        <f>Assets!CP$41</f>
        <v>828.19304403071521</v>
      </c>
      <c r="CQ61" s="537">
        <f>Assets!CQ$41</f>
        <v>790.92435704933303</v>
      </c>
      <c r="CR61" s="537">
        <f>Assets!CR$41</f>
        <v>755.33276098211297</v>
      </c>
      <c r="CS61" s="537">
        <f>Assets!CS$41</f>
        <v>721.34278673791789</v>
      </c>
      <c r="CT61" s="537">
        <f>Assets!CT$41</f>
        <v>688.8823613347115</v>
      </c>
      <c r="CU61" s="537">
        <f>Assets!CU$41</f>
        <v>657.88265507464951</v>
      </c>
      <c r="CV61" s="537">
        <f>Assets!CV$41</f>
        <v>628.27793559629026</v>
      </c>
      <c r="CW61" s="537">
        <f>Assets!CW$41</f>
        <v>600.00542849445731</v>
      </c>
      <c r="CX61" s="537">
        <f>Assets!CX$41</f>
        <v>573.00518421220659</v>
      </c>
      <c r="CY61" s="537">
        <f>Assets!CY$41</f>
        <v>547.21995092265729</v>
      </c>
      <c r="CZ61" s="537">
        <f>Assets!CZ$41</f>
        <v>522.59505313113777</v>
      </c>
      <c r="DA61" s="537">
        <f>Assets!DA$41</f>
        <v>499.07827574023656</v>
      </c>
      <c r="DB61" s="537">
        <f>Assets!DB$41</f>
        <v>476.61975333192595</v>
      </c>
      <c r="DC61" s="537">
        <f>Assets!DC$41</f>
        <v>455.17186443198926</v>
      </c>
      <c r="DD61" s="537">
        <f>Assets!DD$41</f>
        <v>434.68913053254971</v>
      </c>
      <c r="DE61" s="537">
        <f>Assets!DE$41</f>
        <v>415.12811965858498</v>
      </c>
      <c r="DF61" s="537">
        <f>Assets!DF$41</f>
        <v>396.44735427394869</v>
      </c>
      <c r="DG61" s="537">
        <f>Assets!DG$41</f>
        <v>378.60722333162101</v>
      </c>
      <c r="DH61" s="537">
        <f>Assets!DH$41</f>
        <v>361.5698982816981</v>
      </c>
      <c r="DI61" s="537">
        <f>Assets!DI$41</f>
        <v>345.29925285902164</v>
      </c>
      <c r="DJ61" s="537">
        <f>Assets!DJ$41</f>
        <v>329.76078648036571</v>
      </c>
      <c r="DK61" s="537">
        <f>Assets!DK$41</f>
        <v>314.92155108874925</v>
      </c>
      <c r="DL61" s="537">
        <f>Assets!DL$41</f>
        <v>300.75008128975554</v>
      </c>
      <c r="DM61" s="537">
        <f>Assets!DM$41</f>
        <v>287.21632763171652</v>
      </c>
      <c r="DN61" s="537">
        <f>Assets!DN$41</f>
        <v>274.2915928882893</v>
      </c>
      <c r="DO61" s="537">
        <f>Assets!DO$41</f>
        <v>261.94847120831628</v>
      </c>
      <c r="DP61" s="537">
        <f>Assets!DP$41</f>
        <v>250.16079000394205</v>
      </c>
      <c r="DQ61" s="537">
        <f>Assets!DQ$41</f>
        <v>238.90355445376468</v>
      </c>
      <c r="DR61" s="537">
        <f>Assets!DR$41</f>
        <v>228.15289450334527</v>
      </c>
      <c r="DS61" s="537">
        <f>Assets!DS$41</f>
        <v>217.88601425069476</v>
      </c>
      <c r="DT61" s="537">
        <f>Assets!DT$41</f>
        <v>208.08114360941349</v>
      </c>
      <c r="DU61" s="537">
        <f>Assets!DU$41</f>
        <v>198.71749214698988</v>
      </c>
      <c r="DV61" s="537">
        <f>Assets!DV$41</f>
        <v>189.77520500037534</v>
      </c>
      <c r="DW61" s="537">
        <f>Assets!DW$41</f>
        <v>181.23532077535845</v>
      </c>
      <c r="DX61" s="537">
        <f>Assets!DX$41</f>
        <v>173.0797313404673</v>
      </c>
      <c r="DY61" s="537">
        <f>Assets!DY$41</f>
        <v>165.29114343014629</v>
      </c>
      <c r="DZ61" s="537">
        <f>Assets!DZ$41</f>
        <v>157.85304197578969</v>
      </c>
      <c r="EA61" s="537">
        <f>Assets!EA$41</f>
        <v>150.74965508687916</v>
      </c>
      <c r="EB61" s="537">
        <f>Assets!EB$41</f>
        <v>143.96592060796959</v>
      </c>
      <c r="EC61" s="537">
        <f>Assets!EC$41</f>
        <v>3055.2767595691325</v>
      </c>
      <c r="ED61" s="537">
        <f>Assets!ED$41</f>
        <v>0</v>
      </c>
      <c r="EE61" s="537">
        <f>Assets!EE$41</f>
        <v>0</v>
      </c>
      <c r="EF61" s="537">
        <f>Assets!EF$41</f>
        <v>0</v>
      </c>
      <c r="EG61" s="537">
        <f>Assets!EG$41</f>
        <v>0</v>
      </c>
    </row>
    <row r="62" spans="5:137" ht="12.75">
      <c r="E62" s="538" t="str">
        <f>E$13</f>
        <v>Tax EBITDA - after maintenance expensed</v>
      </c>
      <c r="G62" s="539" t="str">
        <f>G$13</f>
        <v>EUR 000s</v>
      </c>
      <c r="H62" s="539">
        <f>H$13</f>
        <v>1081157.2515638513</v>
      </c>
      <c r="J62" s="539">
        <f t="shared" si="26" ref="J62:EG62">J$13</f>
        <v>0</v>
      </c>
      <c r="K62" s="539">
        <f t="shared" si="26"/>
        <v>0</v>
      </c>
      <c r="L62" s="539">
        <f t="shared" si="26"/>
        <v>0</v>
      </c>
      <c r="M62" s="539">
        <f t="shared" si="26"/>
        <v>0</v>
      </c>
      <c r="N62" s="539">
        <f t="shared" si="26"/>
        <v>0</v>
      </c>
      <c r="O62" s="539">
        <f t="shared" si="26"/>
        <v>0</v>
      </c>
      <c r="P62" s="539">
        <f t="shared" si="26"/>
        <v>0</v>
      </c>
      <c r="Q62" s="539">
        <f t="shared" si="26"/>
        <v>0</v>
      </c>
      <c r="R62" s="539">
        <f t="shared" si="26"/>
        <v>0</v>
      </c>
      <c r="S62" s="539">
        <f t="shared" si="26"/>
        <v>0</v>
      </c>
      <c r="T62" s="539">
        <f t="shared" si="26"/>
        <v>0</v>
      </c>
      <c r="U62" s="539">
        <f t="shared" si="26"/>
        <v>0</v>
      </c>
      <c r="V62" s="539">
        <f t="shared" si="26"/>
        <v>0</v>
      </c>
      <c r="W62" s="539">
        <f t="shared" si="26"/>
        <v>0</v>
      </c>
      <c r="X62" s="539">
        <f t="shared" si="26"/>
        <v>0</v>
      </c>
      <c r="Y62" s="539">
        <f t="shared" si="26"/>
        <v>0</v>
      </c>
      <c r="Z62" s="539">
        <f t="shared" si="26"/>
        <v>0</v>
      </c>
      <c r="AA62" s="539">
        <f t="shared" si="26"/>
        <v>0</v>
      </c>
      <c r="AB62" s="539">
        <f t="shared" si="26"/>
        <v>0</v>
      </c>
      <c r="AC62" s="539">
        <f t="shared" si="26"/>
        <v>0</v>
      </c>
      <c r="AD62" s="539">
        <f t="shared" si="26"/>
        <v>0</v>
      </c>
      <c r="AE62" s="539">
        <f t="shared" si="26"/>
        <v>0</v>
      </c>
      <c r="AF62" s="539">
        <f t="shared" si="26"/>
        <v>0</v>
      </c>
      <c r="AG62" s="539">
        <f t="shared" si="26"/>
        <v>0</v>
      </c>
      <c r="AH62" s="539">
        <f t="shared" si="26"/>
        <v>8995.9009374999987</v>
      </c>
      <c r="AI62" s="539">
        <f t="shared" si="26"/>
        <v>8995.9009374999987</v>
      </c>
      <c r="AJ62" s="539">
        <f t="shared" si="26"/>
        <v>8995.9009374999987</v>
      </c>
      <c r="AK62" s="539">
        <f t="shared" si="26"/>
        <v>8995.9009374999987</v>
      </c>
      <c r="AL62" s="539">
        <f t="shared" si="26"/>
        <v>9153.9256359374995</v>
      </c>
      <c r="AM62" s="539">
        <f t="shared" si="26"/>
        <v>9153.9256359374995</v>
      </c>
      <c r="AN62" s="539">
        <f t="shared" si="26"/>
        <v>9153.9256359374995</v>
      </c>
      <c r="AO62" s="539">
        <f t="shared" si="26"/>
        <v>9153.9256359374995</v>
      </c>
      <c r="AP62" s="539">
        <f t="shared" si="26"/>
        <v>9314.5471890859371</v>
      </c>
      <c r="AQ62" s="539">
        <f t="shared" si="26"/>
        <v>9314.5471890859371</v>
      </c>
      <c r="AR62" s="539">
        <f t="shared" si="26"/>
        <v>9314.5471890859371</v>
      </c>
      <c r="AS62" s="539">
        <f t="shared" si="26"/>
        <v>9314.5471890859371</v>
      </c>
      <c r="AT62" s="539">
        <f t="shared" si="26"/>
        <v>9477.8014538705866</v>
      </c>
      <c r="AU62" s="539">
        <f t="shared" si="26"/>
        <v>9477.8014538705866</v>
      </c>
      <c r="AV62" s="539">
        <f t="shared" si="26"/>
        <v>9477.8014538705866</v>
      </c>
      <c r="AW62" s="539">
        <f t="shared" si="26"/>
        <v>9477.8014538705866</v>
      </c>
      <c r="AX62" s="539">
        <f t="shared" si="26"/>
        <v>7904.1844153560414</v>
      </c>
      <c r="AY62" s="539">
        <f t="shared" si="26"/>
        <v>7904.1844153560414</v>
      </c>
      <c r="AZ62" s="539">
        <f t="shared" si="26"/>
        <v>7904.1844153560414</v>
      </c>
      <c r="BA62" s="539">
        <f t="shared" si="26"/>
        <v>7904.1844153560414</v>
      </c>
      <c r="BB62" s="539">
        <f t="shared" si="26"/>
        <v>9812.3528151198025</v>
      </c>
      <c r="BC62" s="539">
        <f t="shared" si="26"/>
        <v>9812.3528151198025</v>
      </c>
      <c r="BD62" s="539">
        <f t="shared" si="26"/>
        <v>9812.3528151198025</v>
      </c>
      <c r="BE62" s="539">
        <f t="shared" si="26"/>
        <v>9812.3528151198025</v>
      </c>
      <c r="BF62" s="539">
        <f t="shared" si="26"/>
        <v>9983.7228692843601</v>
      </c>
      <c r="BG62" s="539">
        <f t="shared" si="26"/>
        <v>9983.7228692843601</v>
      </c>
      <c r="BH62" s="539">
        <f t="shared" si="26"/>
        <v>9983.7228692843601</v>
      </c>
      <c r="BI62" s="539">
        <f t="shared" si="26"/>
        <v>9983.7228692843601</v>
      </c>
      <c r="BJ62" s="539">
        <f t="shared" si="26"/>
        <v>10157.871532362169</v>
      </c>
      <c r="BK62" s="539">
        <f t="shared" si="26"/>
        <v>10157.871532362169</v>
      </c>
      <c r="BL62" s="539">
        <f t="shared" si="26"/>
        <v>10157.871532362169</v>
      </c>
      <c r="BM62" s="539">
        <f t="shared" si="26"/>
        <v>10157.871532362169</v>
      </c>
      <c r="BN62" s="539">
        <f t="shared" si="26"/>
        <v>10334.835850713753</v>
      </c>
      <c r="BO62" s="539">
        <f t="shared" si="26"/>
        <v>10334.835850713753</v>
      </c>
      <c r="BP62" s="539">
        <f t="shared" si="26"/>
        <v>10334.835850713753</v>
      </c>
      <c r="BQ62" s="539">
        <f t="shared" si="26"/>
        <v>10334.835850713753</v>
      </c>
      <c r="BR62" s="539">
        <f t="shared" si="26"/>
        <v>8546.5230925990891</v>
      </c>
      <c r="BS62" s="539">
        <f t="shared" si="26"/>
        <v>8546.5230925990891</v>
      </c>
      <c r="BT62" s="539">
        <f t="shared" si="26"/>
        <v>8546.5230925990891</v>
      </c>
      <c r="BU62" s="539">
        <f t="shared" si="26"/>
        <v>8546.5230925990891</v>
      </c>
      <c r="BV62" s="539">
        <f t="shared" si="26"/>
        <v>10697.360670475582</v>
      </c>
      <c r="BW62" s="539">
        <f t="shared" si="26"/>
        <v>10697.360670475582</v>
      </c>
      <c r="BX62" s="539">
        <f t="shared" si="26"/>
        <v>10697.360670475582</v>
      </c>
      <c r="BY62" s="539">
        <f t="shared" si="26"/>
        <v>10697.360670475582</v>
      </c>
      <c r="BZ62" s="539">
        <f t="shared" si="26"/>
        <v>10882.996262096458</v>
      </c>
      <c r="CA62" s="539">
        <f t="shared" si="26"/>
        <v>10882.996262096458</v>
      </c>
      <c r="CB62" s="539">
        <f t="shared" si="26"/>
        <v>10882.996262096458</v>
      </c>
      <c r="CC62" s="539">
        <f t="shared" si="26"/>
        <v>10882.996262096458</v>
      </c>
      <c r="CD62" s="539">
        <f t="shared" si="26"/>
        <v>11071.597664949615</v>
      </c>
      <c r="CE62" s="539">
        <f t="shared" si="26"/>
        <v>11071.597664949615</v>
      </c>
      <c r="CF62" s="539">
        <f t="shared" si="26"/>
        <v>11071.597664949615</v>
      </c>
      <c r="CG62" s="539">
        <f t="shared" si="26"/>
        <v>11071.597664949615</v>
      </c>
      <c r="CH62" s="539">
        <f t="shared" si="26"/>
        <v>11263.202849443021</v>
      </c>
      <c r="CI62" s="539">
        <f t="shared" si="26"/>
        <v>11263.202849443021</v>
      </c>
      <c r="CJ62" s="539">
        <f t="shared" si="26"/>
        <v>11263.202849443021</v>
      </c>
      <c r="CK62" s="539">
        <f t="shared" si="26"/>
        <v>11263.202849443021</v>
      </c>
      <c r="CL62" s="539">
        <f t="shared" si="26"/>
        <v>9231.0915005575098</v>
      </c>
      <c r="CM62" s="539">
        <f t="shared" si="26"/>
        <v>9231.0915005575098</v>
      </c>
      <c r="CN62" s="539">
        <f t="shared" si="26"/>
        <v>9231.0915005575098</v>
      </c>
      <c r="CO62" s="539">
        <f t="shared" si="26"/>
        <v>9231.0915005575098</v>
      </c>
      <c r="CP62" s="539">
        <f t="shared" si="26"/>
        <v>11655.577157960166</v>
      </c>
      <c r="CQ62" s="539">
        <f t="shared" si="26"/>
        <v>11655.577157960166</v>
      </c>
      <c r="CR62" s="539">
        <f t="shared" si="26"/>
        <v>11655.577157960166</v>
      </c>
      <c r="CS62" s="539">
        <f t="shared" si="26"/>
        <v>11655.577157960166</v>
      </c>
      <c r="CT62" s="539">
        <f t="shared" si="26"/>
        <v>11856.422890442294</v>
      </c>
      <c r="CU62" s="539">
        <f t="shared" si="26"/>
        <v>11856.422890442294</v>
      </c>
      <c r="CV62" s="539">
        <f t="shared" si="26"/>
        <v>11856.422890442294</v>
      </c>
      <c r="CW62" s="539">
        <f t="shared" si="26"/>
        <v>11856.422890442294</v>
      </c>
      <c r="CX62" s="539">
        <f t="shared" si="26"/>
        <v>12060.42558933012</v>
      </c>
      <c r="CY62" s="539">
        <f t="shared" si="26"/>
        <v>12060.42558933012</v>
      </c>
      <c r="CZ62" s="539">
        <f t="shared" si="26"/>
        <v>12060.42558933012</v>
      </c>
      <c r="DA62" s="539">
        <f t="shared" si="26"/>
        <v>12060.42558933012</v>
      </c>
      <c r="DB62" s="539">
        <f t="shared" si="26"/>
        <v>12267.623796156346</v>
      </c>
      <c r="DC62" s="539">
        <f t="shared" si="26"/>
        <v>12267.623796156346</v>
      </c>
      <c r="DD62" s="539">
        <f t="shared" si="26"/>
        <v>12267.623796156346</v>
      </c>
      <c r="DE62" s="539">
        <f t="shared" si="26"/>
        <v>12267.623796156346</v>
      </c>
      <c r="DF62" s="539">
        <f t="shared" si="26"/>
        <v>9958.6833384202964</v>
      </c>
      <c r="DG62" s="539">
        <f t="shared" si="26"/>
        <v>9958.6833384202964</v>
      </c>
      <c r="DH62" s="539">
        <f t="shared" si="26"/>
        <v>9958.6833384202964</v>
      </c>
      <c r="DI62" s="539">
        <f t="shared" si="26"/>
        <v>9958.6833384202964</v>
      </c>
      <c r="DJ62" s="539">
        <f t="shared" si="26"/>
        <v>12691.761195091425</v>
      </c>
      <c r="DK62" s="539">
        <f t="shared" si="26"/>
        <v>12691.761195091425</v>
      </c>
      <c r="DL62" s="539">
        <f t="shared" si="26"/>
        <v>12691.761195091425</v>
      </c>
      <c r="DM62" s="539">
        <f t="shared" si="26"/>
        <v>12691.761195091425</v>
      </c>
      <c r="DN62" s="539">
        <f t="shared" si="26"/>
        <v>12908.777706935271</v>
      </c>
      <c r="DO62" s="539">
        <f t="shared" si="26"/>
        <v>12908.777706935271</v>
      </c>
      <c r="DP62" s="539">
        <f t="shared" si="26"/>
        <v>12908.777706935271</v>
      </c>
      <c r="DQ62" s="539">
        <f t="shared" si="26"/>
        <v>12908.777706935271</v>
      </c>
      <c r="DR62" s="539">
        <f t="shared" si="26"/>
        <v>13129.144324751487</v>
      </c>
      <c r="DS62" s="539">
        <f t="shared" si="26"/>
        <v>13129.144324751487</v>
      </c>
      <c r="DT62" s="539">
        <f t="shared" si="26"/>
        <v>13129.144324751487</v>
      </c>
      <c r="DU62" s="539">
        <f t="shared" si="26"/>
        <v>13129.144324751487</v>
      </c>
      <c r="DV62" s="539">
        <f t="shared" si="26"/>
        <v>13352.899702359024</v>
      </c>
      <c r="DW62" s="539">
        <f t="shared" si="26"/>
        <v>13352.899702359024</v>
      </c>
      <c r="DX62" s="539">
        <f t="shared" si="26"/>
        <v>13352.899702359024</v>
      </c>
      <c r="DY62" s="539">
        <f t="shared" si="26"/>
        <v>13352.899702359024</v>
      </c>
      <c r="DZ62" s="539">
        <f t="shared" si="26"/>
        <v>13580.082450164866</v>
      </c>
      <c r="EA62" s="539">
        <f t="shared" si="26"/>
        <v>13580.082450164866</v>
      </c>
      <c r="EB62" s="539">
        <f t="shared" si="26"/>
        <v>13580.082450164866</v>
      </c>
      <c r="EC62" s="539">
        <f t="shared" si="26"/>
        <v>13580.082450164866</v>
      </c>
      <c r="ED62" s="539">
        <f t="shared" si="26"/>
        <v>0</v>
      </c>
      <c r="EE62" s="539">
        <f t="shared" si="26"/>
        <v>0</v>
      </c>
      <c r="EF62" s="539">
        <f t="shared" si="26"/>
        <v>0</v>
      </c>
      <c r="EG62" s="539">
        <f t="shared" si="26"/>
        <v>0</v>
      </c>
    </row>
    <row r="63" spans="5:137" ht="12.75">
      <c r="E63" s="538" t="str">
        <f>E$55</f>
        <v>Interest - deductible</v>
      </c>
      <c r="G63" s="539" t="str">
        <f>G$55</f>
        <v>EUR 000s</v>
      </c>
      <c r="H63" s="539">
        <f>H$55</f>
        <v>159361.69121785052</v>
      </c>
      <c r="J63" s="539">
        <f t="shared" si="27" ref="J63:EG63">J$55</f>
        <v>0</v>
      </c>
      <c r="K63" s="539">
        <f t="shared" si="27"/>
        <v>0</v>
      </c>
      <c r="L63" s="539">
        <f t="shared" si="27"/>
        <v>0</v>
      </c>
      <c r="M63" s="539">
        <f t="shared" si="27"/>
        <v>0</v>
      </c>
      <c r="N63" s="539">
        <f t="shared" si="27"/>
        <v>0</v>
      </c>
      <c r="O63" s="539">
        <f t="shared" si="27"/>
        <v>0</v>
      </c>
      <c r="P63" s="539">
        <f t="shared" si="27"/>
        <v>0</v>
      </c>
      <c r="Q63" s="539">
        <f t="shared" si="27"/>
        <v>0</v>
      </c>
      <c r="R63" s="539">
        <f t="shared" si="27"/>
        <v>0</v>
      </c>
      <c r="S63" s="539">
        <f t="shared" si="27"/>
        <v>0</v>
      </c>
      <c r="T63" s="539">
        <f t="shared" si="27"/>
        <v>0</v>
      </c>
      <c r="U63" s="539">
        <f t="shared" si="27"/>
        <v>0</v>
      </c>
      <c r="V63" s="539">
        <f t="shared" si="27"/>
        <v>0</v>
      </c>
      <c r="W63" s="539">
        <f t="shared" si="27"/>
        <v>0</v>
      </c>
      <c r="X63" s="539">
        <f t="shared" si="27"/>
        <v>0</v>
      </c>
      <c r="Y63" s="539">
        <f t="shared" si="27"/>
        <v>0</v>
      </c>
      <c r="Z63" s="539">
        <f t="shared" si="27"/>
        <v>0</v>
      </c>
      <c r="AA63" s="539">
        <f t="shared" si="27"/>
        <v>0</v>
      </c>
      <c r="AB63" s="539">
        <f t="shared" si="27"/>
        <v>0</v>
      </c>
      <c r="AC63" s="539">
        <f t="shared" si="27"/>
        <v>0</v>
      </c>
      <c r="AD63" s="539">
        <f t="shared" si="27"/>
        <v>0</v>
      </c>
      <c r="AE63" s="539">
        <f t="shared" si="27"/>
        <v>0</v>
      </c>
      <c r="AF63" s="539">
        <f t="shared" si="27"/>
        <v>0</v>
      </c>
      <c r="AG63" s="539">
        <f t="shared" si="27"/>
        <v>0</v>
      </c>
      <c r="AH63" s="539">
        <f t="shared" si="27"/>
        <v>2698.7702812499997</v>
      </c>
      <c r="AI63" s="539">
        <f t="shared" si="27"/>
        <v>2698.7702812499997</v>
      </c>
      <c r="AJ63" s="539">
        <f t="shared" si="27"/>
        <v>2698.7702812499997</v>
      </c>
      <c r="AK63" s="539">
        <f t="shared" si="27"/>
        <v>2698.7702812499997</v>
      </c>
      <c r="AL63" s="539">
        <f t="shared" si="27"/>
        <v>2746.1776907812496</v>
      </c>
      <c r="AM63" s="539">
        <f t="shared" si="27"/>
        <v>2746.1776907812496</v>
      </c>
      <c r="AN63" s="539">
        <f t="shared" si="27"/>
        <v>2746.1776907812496</v>
      </c>
      <c r="AO63" s="539">
        <f t="shared" si="27"/>
        <v>2746.1776907812496</v>
      </c>
      <c r="AP63" s="539">
        <f t="shared" si="27"/>
        <v>2794.364156725781</v>
      </c>
      <c r="AQ63" s="539">
        <f t="shared" si="27"/>
        <v>2794.364156725781</v>
      </c>
      <c r="AR63" s="539">
        <f t="shared" si="27"/>
        <v>2794.364156725781</v>
      </c>
      <c r="AS63" s="539">
        <f t="shared" si="27"/>
        <v>2794.364156725781</v>
      </c>
      <c r="AT63" s="539">
        <f t="shared" si="27"/>
        <v>2843.3404361611761</v>
      </c>
      <c r="AU63" s="539">
        <f t="shared" si="27"/>
        <v>2843.3404361611761</v>
      </c>
      <c r="AV63" s="539">
        <f t="shared" si="27"/>
        <v>2843.3404361611761</v>
      </c>
      <c r="AW63" s="539">
        <f t="shared" si="27"/>
        <v>2843.3404361611761</v>
      </c>
      <c r="AX63" s="539">
        <f t="shared" si="27"/>
        <v>2371.2553246068123</v>
      </c>
      <c r="AY63" s="539">
        <f t="shared" si="27"/>
        <v>2371.2553246068123</v>
      </c>
      <c r="AZ63" s="539">
        <f t="shared" si="27"/>
        <v>2371.2553246068123</v>
      </c>
      <c r="BA63" s="539">
        <f t="shared" si="27"/>
        <v>2371.2553246068123</v>
      </c>
      <c r="BB63" s="539">
        <f t="shared" si="27"/>
        <v>2943.7058445359407</v>
      </c>
      <c r="BC63" s="539">
        <f t="shared" si="27"/>
        <v>2943.7058445359407</v>
      </c>
      <c r="BD63" s="539">
        <f t="shared" si="27"/>
        <v>2943.7058445359407</v>
      </c>
      <c r="BE63" s="539">
        <f t="shared" si="27"/>
        <v>2943.7058445359407</v>
      </c>
      <c r="BF63" s="539">
        <f t="shared" si="27"/>
        <v>2995.1168607853078</v>
      </c>
      <c r="BG63" s="539">
        <f t="shared" si="27"/>
        <v>2995.1168607853078</v>
      </c>
      <c r="BH63" s="539">
        <f t="shared" si="27"/>
        <v>2995.1168607853078</v>
      </c>
      <c r="BI63" s="539">
        <f t="shared" si="27"/>
        <v>2995.1168607853078</v>
      </c>
      <c r="BJ63" s="539">
        <f t="shared" si="27"/>
        <v>3047.3614597086507</v>
      </c>
      <c r="BK63" s="539">
        <f t="shared" si="27"/>
        <v>3047.3614597086507</v>
      </c>
      <c r="BL63" s="539">
        <f t="shared" si="27"/>
        <v>3047.3614597086507</v>
      </c>
      <c r="BM63" s="539">
        <f t="shared" si="27"/>
        <v>3047.3614597086507</v>
      </c>
      <c r="BN63" s="539">
        <f t="shared" si="27"/>
        <v>3100.4507552141258</v>
      </c>
      <c r="BO63" s="539">
        <f t="shared" si="27"/>
        <v>3100.4507552141258</v>
      </c>
      <c r="BP63" s="539">
        <f t="shared" si="27"/>
        <v>3100.4507552141258</v>
      </c>
      <c r="BQ63" s="539">
        <f t="shared" si="27"/>
        <v>3100.4507552141258</v>
      </c>
      <c r="BR63" s="539">
        <f t="shared" si="27"/>
        <v>2563.9569277797268</v>
      </c>
      <c r="BS63" s="539">
        <f t="shared" si="27"/>
        <v>2563.9569277797268</v>
      </c>
      <c r="BT63" s="539">
        <f t="shared" si="27"/>
        <v>2563.9569277797268</v>
      </c>
      <c r="BU63" s="539">
        <f t="shared" si="27"/>
        <v>2563.9569277797268</v>
      </c>
      <c r="BV63" s="539">
        <f t="shared" si="27"/>
        <v>3209.2082011426746</v>
      </c>
      <c r="BW63" s="539">
        <f t="shared" si="27"/>
        <v>3209.2082011426746</v>
      </c>
      <c r="BX63" s="539">
        <f t="shared" si="27"/>
        <v>3209.2082011426746</v>
      </c>
      <c r="BY63" s="539">
        <f t="shared" si="27"/>
        <v>3209.2082011426746</v>
      </c>
      <c r="BZ63" s="539">
        <f t="shared" si="27"/>
        <v>3264.8988786289374</v>
      </c>
      <c r="CA63" s="539">
        <f t="shared" si="27"/>
        <v>3264.8988786289374</v>
      </c>
      <c r="CB63" s="539">
        <f t="shared" si="27"/>
        <v>2986.2483718464127</v>
      </c>
      <c r="CC63" s="539">
        <f t="shared" si="27"/>
        <v>1624.2754546454987</v>
      </c>
      <c r="CD63" s="539">
        <f t="shared" si="27"/>
        <v>1533.4322568484231</v>
      </c>
      <c r="CE63" s="539">
        <f t="shared" si="27"/>
        <v>1504.8857846127805</v>
      </c>
      <c r="CF63" s="539">
        <f t="shared" si="27"/>
        <v>1474.4260606498726</v>
      </c>
      <c r="CG63" s="539">
        <f t="shared" si="27"/>
        <v>1427.1413681802019</v>
      </c>
      <c r="CH63" s="539">
        <f t="shared" si="27"/>
        <v>1349.5629553171893</v>
      </c>
      <c r="CI63" s="539">
        <f t="shared" si="27"/>
        <v>1316.1916975217407</v>
      </c>
      <c r="CJ63" s="539">
        <f t="shared" si="27"/>
        <v>1280.7635823558471</v>
      </c>
      <c r="CK63" s="539">
        <f t="shared" si="27"/>
        <v>1230.5054977181208</v>
      </c>
      <c r="CL63" s="539">
        <f t="shared" si="27"/>
        <v>1154.242185163836</v>
      </c>
      <c r="CM63" s="539">
        <f t="shared" si="27"/>
        <v>1111.7531001889547</v>
      </c>
      <c r="CN63" s="539">
        <f t="shared" si="27"/>
        <v>1066.9235722730491</v>
      </c>
      <c r="CO63" s="539">
        <f t="shared" si="27"/>
        <v>1009.3816975286077</v>
      </c>
      <c r="CP63" s="539">
        <f t="shared" si="27"/>
        <v>941.04226869427248</v>
      </c>
      <c r="CQ63" s="539">
        <f t="shared" si="27"/>
        <v>886.16951660116763</v>
      </c>
      <c r="CR63" s="539">
        <f t="shared" si="27"/>
        <v>839.51515432249653</v>
      </c>
      <c r="CS63" s="539">
        <f t="shared" si="27"/>
        <v>782.42190086511391</v>
      </c>
      <c r="CT63" s="539">
        <f t="shared" si="27"/>
        <v>709.10904897538694</v>
      </c>
      <c r="CU63" s="539">
        <f t="shared" si="27"/>
        <v>658.73080140870934</v>
      </c>
      <c r="CV63" s="539">
        <f t="shared" si="27"/>
        <v>605.81871716551984</v>
      </c>
      <c r="CW63" s="539">
        <f t="shared" si="27"/>
        <v>545.05145143901598</v>
      </c>
      <c r="CX63" s="539">
        <f t="shared" si="27"/>
        <v>473.25292862187814</v>
      </c>
      <c r="CY63" s="539">
        <f t="shared" si="27"/>
        <v>416.56171669296856</v>
      </c>
      <c r="CZ63" s="539">
        <f t="shared" si="27"/>
        <v>357.16582424013654</v>
      </c>
      <c r="DA63" s="539">
        <f t="shared" si="27"/>
        <v>292.48879194963263</v>
      </c>
      <c r="DB63" s="539">
        <f t="shared" si="27"/>
        <v>-3.9862031483869642E-13</v>
      </c>
      <c r="DC63" s="539">
        <f t="shared" si="27"/>
        <v>-4.0304942944801527E-13</v>
      </c>
      <c r="DD63" s="539">
        <f t="shared" si="27"/>
        <v>-4.0747854405733406E-13</v>
      </c>
      <c r="DE63" s="539">
        <f t="shared" si="27"/>
        <v>-4.0747854405733406E-13</v>
      </c>
      <c r="DF63" s="539">
        <f t="shared" si="27"/>
        <v>-4.0304942944801527E-13</v>
      </c>
      <c r="DG63" s="539">
        <f t="shared" si="27"/>
        <v>-4.0304942944801527E-13</v>
      </c>
      <c r="DH63" s="539">
        <f t="shared" si="27"/>
        <v>-4.0747854405733406E-13</v>
      </c>
      <c r="DI63" s="539">
        <f t="shared" si="27"/>
        <v>-4.0747854405733406E-13</v>
      </c>
      <c r="DJ63" s="539">
        <f t="shared" si="27"/>
        <v>-3.9862031483869642E-13</v>
      </c>
      <c r="DK63" s="539">
        <f t="shared" si="27"/>
        <v>-4.0304942944801527E-13</v>
      </c>
      <c r="DL63" s="539">
        <f t="shared" si="27"/>
        <v>-4.0747854405733406E-13</v>
      </c>
      <c r="DM63" s="539">
        <f t="shared" si="27"/>
        <v>-4.0747854405733406E-13</v>
      </c>
      <c r="DN63" s="539">
        <f t="shared" si="27"/>
        <v>-3.9862031483869642E-13</v>
      </c>
      <c r="DO63" s="539">
        <f t="shared" si="27"/>
        <v>-4.0304942944801527E-13</v>
      </c>
      <c r="DP63" s="539">
        <f t="shared" si="27"/>
        <v>-4.0747854405733406E-13</v>
      </c>
      <c r="DQ63" s="539">
        <f t="shared" si="27"/>
        <v>-4.0747854405733406E-13</v>
      </c>
      <c r="DR63" s="539">
        <f t="shared" si="27"/>
        <v>-3.9862031483869642E-13</v>
      </c>
      <c r="DS63" s="539">
        <f t="shared" si="27"/>
        <v>-4.0304942944801527E-13</v>
      </c>
      <c r="DT63" s="539">
        <f t="shared" si="27"/>
        <v>-4.0747854405733406E-13</v>
      </c>
      <c r="DU63" s="539">
        <f t="shared" si="27"/>
        <v>-4.0747854405733406E-13</v>
      </c>
      <c r="DV63" s="539">
        <f t="shared" si="27"/>
        <v>-4.0304942944801527E-13</v>
      </c>
      <c r="DW63" s="539">
        <f t="shared" si="27"/>
        <v>-4.0304942944801527E-13</v>
      </c>
      <c r="DX63" s="539">
        <f t="shared" si="27"/>
        <v>-4.0747854405733406E-13</v>
      </c>
      <c r="DY63" s="539">
        <f t="shared" si="27"/>
        <v>-4.0747854405733406E-13</v>
      </c>
      <c r="DZ63" s="539">
        <f t="shared" si="27"/>
        <v>-3.9862031483869642E-13</v>
      </c>
      <c r="EA63" s="539">
        <f t="shared" si="27"/>
        <v>-4.0304942944801527E-13</v>
      </c>
      <c r="EB63" s="539">
        <f t="shared" si="27"/>
        <v>-4.0747854405733406E-13</v>
      </c>
      <c r="EC63" s="539">
        <f t="shared" si="27"/>
        <v>-4.0747854405733406E-13</v>
      </c>
      <c r="ED63" s="539">
        <f t="shared" si="27"/>
        <v>0</v>
      </c>
      <c r="EE63" s="539">
        <f t="shared" si="27"/>
        <v>0</v>
      </c>
      <c r="EF63" s="539">
        <f t="shared" si="27"/>
        <v>0</v>
      </c>
      <c r="EG63" s="539">
        <f t="shared" si="27"/>
        <v>0</v>
      </c>
    </row>
    <row r="64" spans="5:137" ht="12.75">
      <c r="E64" s="538" t="s">
        <v>443</v>
      </c>
      <c r="G64" s="539" t="s">
        <v>30</v>
      </c>
      <c r="H64" s="539">
        <f>SUM(J64:EG64)</f>
        <v>630243.06034600048</v>
      </c>
      <c r="J64" s="539">
        <f t="shared" si="28" ref="J64:EG64">J62-J61-J63</f>
        <v>0</v>
      </c>
      <c r="K64" s="539">
        <f t="shared" si="28"/>
        <v>0</v>
      </c>
      <c r="L64" s="539">
        <f t="shared" si="28"/>
        <v>0</v>
      </c>
      <c r="M64" s="539">
        <f t="shared" si="28"/>
        <v>0</v>
      </c>
      <c r="N64" s="539">
        <f t="shared" si="28"/>
        <v>0</v>
      </c>
      <c r="O64" s="539">
        <f t="shared" si="28"/>
        <v>0</v>
      </c>
      <c r="P64" s="539">
        <f t="shared" si="28"/>
        <v>0</v>
      </c>
      <c r="Q64" s="539">
        <f t="shared" si="28"/>
        <v>0</v>
      </c>
      <c r="R64" s="539">
        <f t="shared" si="28"/>
        <v>0</v>
      </c>
      <c r="S64" s="539">
        <f t="shared" si="28"/>
        <v>0</v>
      </c>
      <c r="T64" s="539">
        <f t="shared" si="28"/>
        <v>0</v>
      </c>
      <c r="U64" s="539">
        <f t="shared" si="28"/>
        <v>0</v>
      </c>
      <c r="V64" s="539">
        <f t="shared" si="28"/>
        <v>0</v>
      </c>
      <c r="W64" s="539">
        <f t="shared" si="28"/>
        <v>0</v>
      </c>
      <c r="X64" s="539">
        <f t="shared" si="28"/>
        <v>0</v>
      </c>
      <c r="Y64" s="539">
        <f t="shared" si="28"/>
        <v>0</v>
      </c>
      <c r="Z64" s="539">
        <f t="shared" si="28"/>
        <v>0</v>
      </c>
      <c r="AA64" s="539">
        <f t="shared" si="28"/>
        <v>0</v>
      </c>
      <c r="AB64" s="539">
        <f t="shared" si="28"/>
        <v>0</v>
      </c>
      <c r="AC64" s="539">
        <f t="shared" si="28"/>
        <v>0</v>
      </c>
      <c r="AD64" s="539">
        <f t="shared" si="28"/>
        <v>0</v>
      </c>
      <c r="AE64" s="539">
        <f t="shared" si="28"/>
        <v>0</v>
      </c>
      <c r="AF64" s="539">
        <f t="shared" si="28"/>
        <v>0</v>
      </c>
      <c r="AG64" s="539">
        <f t="shared" si="28"/>
        <v>0</v>
      </c>
      <c r="AH64" s="539">
        <f t="shared" si="28"/>
        <v>-6822.7318437499998</v>
      </c>
      <c r="AI64" s="539">
        <f t="shared" si="28"/>
        <v>-6232.3380312500012</v>
      </c>
      <c r="AJ64" s="539">
        <f t="shared" si="28"/>
        <v>-5668.5119403125009</v>
      </c>
      <c r="AK64" s="539">
        <f t="shared" si="28"/>
        <v>-5130.0580234671888</v>
      </c>
      <c r="AL64" s="539">
        <f t="shared" si="28"/>
        <v>-4505.2172439736642</v>
      </c>
      <c r="AM64" s="539">
        <f t="shared" si="28"/>
        <v>-4014.133810462818</v>
      </c>
      <c r="AN64" s="539">
        <f t="shared" si="28"/>
        <v>-3545.1491314599593</v>
      </c>
      <c r="AO64" s="539">
        <f t="shared" si="28"/>
        <v>-3097.2687630122296</v>
      </c>
      <c r="AP64" s="539">
        <f t="shared" si="28"/>
        <v>-2557.1079239407418</v>
      </c>
      <c r="AQ64" s="539">
        <f t="shared" si="28"/>
        <v>-2148.6298309072017</v>
      </c>
      <c r="AR64" s="539">
        <f t="shared" si="28"/>
        <v>-1758.5332520601705</v>
      </c>
      <c r="AS64" s="539">
        <f t="shared" si="28"/>
        <v>-1385.991019261257</v>
      </c>
      <c r="AT64" s="539">
        <f t="shared" si="28"/>
        <v>-915.93520158903948</v>
      </c>
      <c r="AU64" s="539">
        <f t="shared" si="28"/>
        <v>-576.16737172060903</v>
      </c>
      <c r="AV64" s="539">
        <f t="shared" si="28"/>
        <v>-251.68909419625788</v>
      </c>
      <c r="AW64" s="539">
        <f t="shared" si="28"/>
        <v>58.187660839498221</v>
      </c>
      <c r="AX64" s="539">
        <f t="shared" si="28"/>
        <v>-747.41196506153801</v>
      </c>
      <c r="AY64" s="539">
        <f t="shared" si="28"/>
        <v>-464.79661755005282</v>
      </c>
      <c r="AZ64" s="539">
        <f t="shared" si="28"/>
        <v>-194.89896067658492</v>
      </c>
      <c r="BA64" s="539">
        <f t="shared" si="28"/>
        <v>62.853301637576351</v>
      </c>
      <c r="BB64" s="539">
        <f t="shared" si="28"/>
        <v>1644.7245919822326</v>
      </c>
      <c r="BC64" s="539">
        <f t="shared" si="28"/>
        <v>1879.8010990193061</v>
      </c>
      <c r="BD64" s="539">
        <f t="shared" si="28"/>
        <v>2104.2991632397107</v>
      </c>
      <c r="BE64" s="539">
        <f t="shared" si="28"/>
        <v>2318.6948145701981</v>
      </c>
      <c r="BF64" s="539">
        <f t="shared" si="28"/>
        <v>2643.4016995060028</v>
      </c>
      <c r="BG64" s="539">
        <f t="shared" si="28"/>
        <v>2838.9358934106904</v>
      </c>
      <c r="BH64" s="539">
        <f t="shared" si="28"/>
        <v>3025.6710485896665</v>
      </c>
      <c r="BI64" s="539">
        <f t="shared" si="28"/>
        <v>3204.0031217855894</v>
      </c>
      <c r="BJ64" s="539">
        <f t="shared" si="28"/>
        <v>3496.2143158421604</v>
      </c>
      <c r="BK64" s="539">
        <f t="shared" si="28"/>
        <v>3658.8576248986719</v>
      </c>
      <c r="BL64" s="539">
        <f t="shared" si="28"/>
        <v>3814.1819850476404</v>
      </c>
      <c r="BM64" s="539">
        <f t="shared" si="28"/>
        <v>3962.516748989905</v>
      </c>
      <c r="BN64" s="539">
        <f t="shared" si="28"/>
        <v>4228.051471400875</v>
      </c>
      <c r="BO64" s="539">
        <f t="shared" si="28"/>
        <v>4363.3364844853195</v>
      </c>
      <c r="BP64" s="539">
        <f t="shared" si="28"/>
        <v>4492.5336719809638</v>
      </c>
      <c r="BQ64" s="539">
        <f t="shared" si="28"/>
        <v>4615.9169860393031</v>
      </c>
      <c r="BR64" s="539">
        <f t="shared" si="28"/>
        <v>3481.929120284753</v>
      </c>
      <c r="BS64" s="539">
        <f t="shared" si="28"/>
        <v>3594.4577872888108</v>
      </c>
      <c r="BT64" s="539">
        <f t="shared" si="28"/>
        <v>3701.9226642776853</v>
      </c>
      <c r="BU64" s="539">
        <f t="shared" si="28"/>
        <v>3804.5516218020607</v>
      </c>
      <c r="BV64" s="539">
        <f t="shared" si="28"/>
        <v>5408.1485807513845</v>
      </c>
      <c r="BW64" s="539">
        <f t="shared" si="28"/>
        <v>5501.7487557375525</v>
      </c>
      <c r="BX64" s="539">
        <f t="shared" si="28"/>
        <v>5591.1369228493431</v>
      </c>
      <c r="BY64" s="539">
        <f t="shared" si="28"/>
        <v>5676.502622441104</v>
      </c>
      <c r="BZ64" s="539">
        <f t="shared" si="28"/>
        <v>5887.9717796858495</v>
      </c>
      <c r="CA64" s="539">
        <f t="shared" si="28"/>
        <v>5965.8274318560234</v>
      </c>
      <c r="CB64" s="539">
        <f t="shared" si="28"/>
        <v>6318.8300864610655</v>
      </c>
      <c r="CC64" s="539">
        <f t="shared" si="28"/>
        <v>7751.8093048324836</v>
      </c>
      <c r="CD64" s="539">
        <f t="shared" si="28"/>
        <v>8099.0649231005473</v>
      </c>
      <c r="CE64" s="539">
        <f t="shared" si="28"/>
        <v>8192.370917161219</v>
      </c>
      <c r="CF64" s="539">
        <f t="shared" si="28"/>
        <v>8284.6759844670305</v>
      </c>
      <c r="CG64" s="539">
        <f t="shared" si="28"/>
        <v>8391.022979829173</v>
      </c>
      <c r="CH64" s="539">
        <f t="shared" si="28"/>
        <v>8716.6110764479017</v>
      </c>
      <c r="CI64" s="539">
        <f t="shared" si="28"/>
        <v>8803.848631038858</v>
      </c>
      <c r="CJ64" s="539">
        <f t="shared" si="28"/>
        <v>8890.7190596444616</v>
      </c>
      <c r="CK64" s="539">
        <f t="shared" si="28"/>
        <v>8990.1045536171096</v>
      </c>
      <c r="CL64" s="539">
        <f t="shared" si="28"/>
        <v>7081.1731932007333</v>
      </c>
      <c r="CM64" s="539">
        <f t="shared" si="28"/>
        <v>7168.467703674296</v>
      </c>
      <c r="CN64" s="539">
        <f t="shared" si="28"/>
        <v>7256.0864129414431</v>
      </c>
      <c r="CO64" s="539">
        <f t="shared" si="28"/>
        <v>7354.4919558763195</v>
      </c>
      <c r="CP64" s="539">
        <f t="shared" si="28"/>
        <v>9886.341845235178</v>
      </c>
      <c r="CQ64" s="539">
        <f t="shared" si="28"/>
        <v>9978.4832843096665</v>
      </c>
      <c r="CR64" s="539">
        <f t="shared" si="28"/>
        <v>10060.729242655556</v>
      </c>
      <c r="CS64" s="539">
        <f t="shared" si="28"/>
        <v>10151.812470357134</v>
      </c>
      <c r="CT64" s="539">
        <f t="shared" si="28"/>
        <v>10458.431480132196</v>
      </c>
      <c r="CU64" s="539">
        <f t="shared" si="28"/>
        <v>10539.809433958937</v>
      </c>
      <c r="CV64" s="539">
        <f t="shared" si="28"/>
        <v>10622.326237680485</v>
      </c>
      <c r="CW64" s="539">
        <f t="shared" si="28"/>
        <v>10711.36601050882</v>
      </c>
      <c r="CX64" s="539">
        <f t="shared" si="28"/>
        <v>11014.167476496035</v>
      </c>
      <c r="CY64" s="539">
        <f t="shared" si="28"/>
        <v>11096.643921714494</v>
      </c>
      <c r="CZ64" s="539">
        <f t="shared" si="28"/>
        <v>11180.664711958845</v>
      </c>
      <c r="DA64" s="539">
        <f t="shared" si="28"/>
        <v>11268.858521640252</v>
      </c>
      <c r="DB64" s="539">
        <f t="shared" si="28"/>
        <v>11791.004042824419</v>
      </c>
      <c r="DC64" s="539">
        <f t="shared" si="28"/>
        <v>11812.451931724356</v>
      </c>
      <c r="DD64" s="539">
        <f t="shared" si="28"/>
        <v>11832.934665623796</v>
      </c>
      <c r="DE64" s="539">
        <f t="shared" si="28"/>
        <v>11852.495676497761</v>
      </c>
      <c r="DF64" s="539">
        <f t="shared" si="28"/>
        <v>9562.2359841463476</v>
      </c>
      <c r="DG64" s="539">
        <f t="shared" si="28"/>
        <v>9580.0761150886756</v>
      </c>
      <c r="DH64" s="539">
        <f t="shared" si="28"/>
        <v>9597.1134401385989</v>
      </c>
      <c r="DI64" s="539">
        <f t="shared" si="28"/>
        <v>9613.3840855612743</v>
      </c>
      <c r="DJ64" s="539">
        <f t="shared" si="28"/>
        <v>12362.00040861106</v>
      </c>
      <c r="DK64" s="539">
        <f t="shared" si="28"/>
        <v>12376.839644002675</v>
      </c>
      <c r="DL64" s="539">
        <f t="shared" si="28"/>
        <v>12391.011113801669</v>
      </c>
      <c r="DM64" s="539">
        <f t="shared" si="28"/>
        <v>12404.544867459708</v>
      </c>
      <c r="DN64" s="539">
        <f t="shared" si="28"/>
        <v>12634.486114046982</v>
      </c>
      <c r="DO64" s="539">
        <f t="shared" si="28"/>
        <v>12646.829235726955</v>
      </c>
      <c r="DP64" s="539">
        <f t="shared" si="28"/>
        <v>12658.616916931329</v>
      </c>
      <c r="DQ64" s="539">
        <f t="shared" si="28"/>
        <v>12669.874152481505</v>
      </c>
      <c r="DR64" s="539">
        <f t="shared" si="28"/>
        <v>12900.991430248141</v>
      </c>
      <c r="DS64" s="539">
        <f t="shared" si="28"/>
        <v>12911.258310500793</v>
      </c>
      <c r="DT64" s="539">
        <f t="shared" si="28"/>
        <v>12921.063181142074</v>
      </c>
      <c r="DU64" s="539">
        <f t="shared" si="28"/>
        <v>12930.426832604497</v>
      </c>
      <c r="DV64" s="539">
        <f t="shared" si="28"/>
        <v>13163.124497358649</v>
      </c>
      <c r="DW64" s="539">
        <f t="shared" si="28"/>
        <v>13171.664381583665</v>
      </c>
      <c r="DX64" s="539">
        <f t="shared" si="28"/>
        <v>13179.819971018556</v>
      </c>
      <c r="DY64" s="539">
        <f t="shared" si="28"/>
        <v>13187.608558928878</v>
      </c>
      <c r="DZ64" s="539">
        <f t="shared" si="28"/>
        <v>13422.229408189076</v>
      </c>
      <c r="EA64" s="539">
        <f t="shared" si="28"/>
        <v>13429.332795077986</v>
      </c>
      <c r="EB64" s="539">
        <f t="shared" si="28"/>
        <v>13436.116529556895</v>
      </c>
      <c r="EC64" s="539">
        <f t="shared" si="28"/>
        <v>10524.805690595733</v>
      </c>
      <c r="ED64" s="539">
        <f t="shared" si="28"/>
        <v>0</v>
      </c>
      <c r="EE64" s="539">
        <f t="shared" si="28"/>
        <v>0</v>
      </c>
      <c r="EF64" s="539">
        <f t="shared" si="28"/>
        <v>0</v>
      </c>
      <c r="EG64" s="539">
        <f t="shared" si="28"/>
        <v>0</v>
      </c>
    </row>
    <row r="66" spans="5:137" ht="12.75">
      <c r="E66" s="538" t="str">
        <f>E$98</f>
        <v>Tax losses - closing balance</v>
      </c>
      <c r="G66" s="539" t="str">
        <f>G$98</f>
        <v>EUR 000s</v>
      </c>
      <c r="H66" s="539">
        <f>H$98</f>
        <v>1331931.5675670947</v>
      </c>
      <c r="J66" s="539">
        <f t="shared" si="29" ref="J66:EG66">J$98</f>
        <v>0</v>
      </c>
      <c r="K66" s="539">
        <f t="shared" si="29"/>
        <v>0</v>
      </c>
      <c r="L66" s="539">
        <f t="shared" si="29"/>
        <v>0</v>
      </c>
      <c r="M66" s="539">
        <f t="shared" si="29"/>
        <v>0</v>
      </c>
      <c r="N66" s="539">
        <f t="shared" si="29"/>
        <v>0</v>
      </c>
      <c r="O66" s="539">
        <f t="shared" si="29"/>
        <v>0</v>
      </c>
      <c r="P66" s="539">
        <f t="shared" si="29"/>
        <v>0</v>
      </c>
      <c r="Q66" s="539">
        <f t="shared" si="29"/>
        <v>0</v>
      </c>
      <c r="R66" s="539">
        <f t="shared" si="29"/>
        <v>0</v>
      </c>
      <c r="S66" s="539">
        <f t="shared" si="29"/>
        <v>0</v>
      </c>
      <c r="T66" s="539">
        <f t="shared" si="29"/>
        <v>0</v>
      </c>
      <c r="U66" s="539">
        <f t="shared" si="29"/>
        <v>0</v>
      </c>
      <c r="V66" s="539">
        <f t="shared" si="29"/>
        <v>0</v>
      </c>
      <c r="W66" s="539">
        <f t="shared" si="29"/>
        <v>0</v>
      </c>
      <c r="X66" s="539">
        <f t="shared" si="29"/>
        <v>0</v>
      </c>
      <c r="Y66" s="539">
        <f t="shared" si="29"/>
        <v>0</v>
      </c>
      <c r="Z66" s="539">
        <f t="shared" si="29"/>
        <v>0</v>
      </c>
      <c r="AA66" s="539">
        <f t="shared" si="29"/>
        <v>0</v>
      </c>
      <c r="AB66" s="539">
        <f t="shared" si="29"/>
        <v>0</v>
      </c>
      <c r="AC66" s="539">
        <f t="shared" si="29"/>
        <v>0</v>
      </c>
      <c r="AD66" s="539">
        <f t="shared" si="29"/>
        <v>0</v>
      </c>
      <c r="AE66" s="539">
        <f t="shared" si="29"/>
        <v>0</v>
      </c>
      <c r="AF66" s="539">
        <f t="shared" si="29"/>
        <v>0</v>
      </c>
      <c r="AG66" s="539">
        <f t="shared" si="29"/>
        <v>0</v>
      </c>
      <c r="AH66" s="539">
        <f t="shared" si="29"/>
        <v>6822.7318437499998</v>
      </c>
      <c r="AI66" s="539">
        <f t="shared" si="29"/>
        <v>13055.069875000001</v>
      </c>
      <c r="AJ66" s="539">
        <f t="shared" si="29"/>
        <v>18723.5818153125</v>
      </c>
      <c r="AK66" s="539">
        <f t="shared" si="29"/>
        <v>23853.639838779687</v>
      </c>
      <c r="AL66" s="539">
        <f t="shared" si="29"/>
        <v>28358.857082753351</v>
      </c>
      <c r="AM66" s="539">
        <f t="shared" si="29"/>
        <v>32372.990893216171</v>
      </c>
      <c r="AN66" s="539">
        <f t="shared" si="29"/>
        <v>35918.140024676133</v>
      </c>
      <c r="AO66" s="539">
        <f t="shared" si="29"/>
        <v>39015.408787688364</v>
      </c>
      <c r="AP66" s="539">
        <f t="shared" si="29"/>
        <v>41572.516711629105</v>
      </c>
      <c r="AQ66" s="539">
        <f t="shared" si="29"/>
        <v>43721.146542536306</v>
      </c>
      <c r="AR66" s="539">
        <f t="shared" si="29"/>
        <v>45479.679794596479</v>
      </c>
      <c r="AS66" s="539">
        <f t="shared" si="29"/>
        <v>46865.670813857738</v>
      </c>
      <c r="AT66" s="539">
        <f t="shared" si="29"/>
        <v>47781.606015446778</v>
      </c>
      <c r="AU66" s="539">
        <f t="shared" si="29"/>
        <v>48357.773387167384</v>
      </c>
      <c r="AV66" s="539">
        <f t="shared" si="29"/>
        <v>48609.46248136364</v>
      </c>
      <c r="AW66" s="539">
        <f t="shared" si="29"/>
        <v>48568.731118775991</v>
      </c>
      <c r="AX66" s="539">
        <f t="shared" si="29"/>
        <v>49316.143083837531</v>
      </c>
      <c r="AY66" s="539">
        <f t="shared" si="29"/>
        <v>49780.939701387586</v>
      </c>
      <c r="AZ66" s="539">
        <f t="shared" si="29"/>
        <v>49975.838662064169</v>
      </c>
      <c r="BA66" s="539">
        <f t="shared" si="29"/>
        <v>49931.841350917864</v>
      </c>
      <c r="BB66" s="539">
        <f t="shared" si="29"/>
        <v>48780.534136530303</v>
      </c>
      <c r="BC66" s="539">
        <f t="shared" si="29"/>
        <v>47464.67336721679</v>
      </c>
      <c r="BD66" s="539">
        <f t="shared" si="29"/>
        <v>45991.663952948991</v>
      </c>
      <c r="BE66" s="539">
        <f t="shared" si="29"/>
        <v>44368.577582749851</v>
      </c>
      <c r="BF66" s="539">
        <f t="shared" si="29"/>
        <v>42518.196393095648</v>
      </c>
      <c r="BG66" s="539">
        <f t="shared" si="29"/>
        <v>40530.941267708164</v>
      </c>
      <c r="BH66" s="539">
        <f t="shared" si="29"/>
        <v>38412.971533695396</v>
      </c>
      <c r="BI66" s="539">
        <f t="shared" si="29"/>
        <v>36170.169348445481</v>
      </c>
      <c r="BJ66" s="539">
        <f t="shared" si="29"/>
        <v>33722.819327355966</v>
      </c>
      <c r="BK66" s="539">
        <f t="shared" si="29"/>
        <v>31161.618989926897</v>
      </c>
      <c r="BL66" s="539">
        <f t="shared" si="29"/>
        <v>28491.691600393548</v>
      </c>
      <c r="BM66" s="539">
        <f t="shared" si="29"/>
        <v>25717.929876100614</v>
      </c>
      <c r="BN66" s="539">
        <f t="shared" si="29"/>
        <v>22758.293846120003</v>
      </c>
      <c r="BO66" s="539">
        <f t="shared" si="29"/>
        <v>19703.958306980279</v>
      </c>
      <c r="BP66" s="539">
        <f t="shared" si="29"/>
        <v>16559.184736593605</v>
      </c>
      <c r="BQ66" s="539">
        <f t="shared" si="29"/>
        <v>13328.042846366094</v>
      </c>
      <c r="BR66" s="539">
        <f t="shared" si="29"/>
        <v>10890.692462166768</v>
      </c>
      <c r="BS66" s="539">
        <f t="shared" si="29"/>
        <v>8374.5720110645998</v>
      </c>
      <c r="BT66" s="539">
        <f t="shared" si="29"/>
        <v>5783.2261460702202</v>
      </c>
      <c r="BU66" s="539">
        <f t="shared" si="29"/>
        <v>3120.0400108087779</v>
      </c>
      <c r="BV66" s="539">
        <f t="shared" si="29"/>
        <v>0</v>
      </c>
      <c r="BW66" s="539">
        <f t="shared" si="29"/>
        <v>0</v>
      </c>
      <c r="BX66" s="539">
        <f t="shared" si="29"/>
        <v>0</v>
      </c>
      <c r="BY66" s="539">
        <f t="shared" si="29"/>
        <v>0</v>
      </c>
      <c r="BZ66" s="539">
        <f t="shared" si="29"/>
        <v>0</v>
      </c>
      <c r="CA66" s="539">
        <f t="shared" si="29"/>
        <v>0</v>
      </c>
      <c r="CB66" s="539">
        <f t="shared" si="29"/>
        <v>0</v>
      </c>
      <c r="CC66" s="539">
        <f t="shared" si="29"/>
        <v>0</v>
      </c>
      <c r="CD66" s="539">
        <f t="shared" si="29"/>
        <v>0</v>
      </c>
      <c r="CE66" s="539">
        <f t="shared" si="29"/>
        <v>0</v>
      </c>
      <c r="CF66" s="539">
        <f t="shared" si="29"/>
        <v>-7.2759576141834259E-12</v>
      </c>
      <c r="CG66" s="539">
        <f t="shared" si="29"/>
        <v>-7.2759576141834259E-12</v>
      </c>
      <c r="CH66" s="539">
        <f t="shared" si="29"/>
        <v>-7.2759576141834259E-12</v>
      </c>
      <c r="CI66" s="539">
        <f t="shared" si="29"/>
        <v>-7.2759576141834259E-12</v>
      </c>
      <c r="CJ66" s="539">
        <f t="shared" si="29"/>
        <v>-7.2759576141834259E-12</v>
      </c>
      <c r="CK66" s="539">
        <f t="shared" si="29"/>
        <v>-7.2759576141834259E-12</v>
      </c>
      <c r="CL66" s="539">
        <f t="shared" si="29"/>
        <v>-7.2759576141834259E-12</v>
      </c>
      <c r="CM66" s="539">
        <f t="shared" si="29"/>
        <v>-7.2759576141834259E-12</v>
      </c>
      <c r="CN66" s="539">
        <f t="shared" si="29"/>
        <v>-7.2759576141834259E-12</v>
      </c>
      <c r="CO66" s="539">
        <f t="shared" si="29"/>
        <v>-7.2759576141834259E-12</v>
      </c>
      <c r="CP66" s="539">
        <f t="shared" si="29"/>
        <v>-7.2759576141834259E-12</v>
      </c>
      <c r="CQ66" s="539">
        <f t="shared" si="29"/>
        <v>-7.2759576141834259E-12</v>
      </c>
      <c r="CR66" s="539">
        <f t="shared" si="29"/>
        <v>-7.2759576141834259E-12</v>
      </c>
      <c r="CS66" s="539">
        <f t="shared" si="29"/>
        <v>-7.2759576141834259E-12</v>
      </c>
      <c r="CT66" s="539">
        <f t="shared" si="29"/>
        <v>-7.2759576141834259E-12</v>
      </c>
      <c r="CU66" s="539">
        <f t="shared" si="29"/>
        <v>-7.2759576141834259E-12</v>
      </c>
      <c r="CV66" s="539">
        <f t="shared" si="29"/>
        <v>-7.2759576141834259E-12</v>
      </c>
      <c r="CW66" s="539">
        <f t="shared" si="29"/>
        <v>-7.2759576141834259E-12</v>
      </c>
      <c r="CX66" s="539">
        <f t="shared" si="29"/>
        <v>-7.2759576141834259E-12</v>
      </c>
      <c r="CY66" s="539">
        <f t="shared" si="29"/>
        <v>-7.2759576141834259E-12</v>
      </c>
      <c r="CZ66" s="539">
        <f t="shared" si="29"/>
        <v>-7.2759576141834259E-12</v>
      </c>
      <c r="DA66" s="539">
        <f t="shared" si="29"/>
        <v>-7.2759576141834259E-12</v>
      </c>
      <c r="DB66" s="539">
        <f t="shared" si="29"/>
        <v>-7.2759576141834259E-12</v>
      </c>
      <c r="DC66" s="539">
        <f t="shared" si="29"/>
        <v>-7.2759576141834259E-12</v>
      </c>
      <c r="DD66" s="539">
        <f t="shared" si="29"/>
        <v>-7.2759576141834259E-12</v>
      </c>
      <c r="DE66" s="539">
        <f t="shared" si="29"/>
        <v>-7.2759576141834259E-12</v>
      </c>
      <c r="DF66" s="539">
        <f t="shared" si="29"/>
        <v>-7.2759576141834259E-12</v>
      </c>
      <c r="DG66" s="539">
        <f t="shared" si="29"/>
        <v>-7.2759576141834259E-12</v>
      </c>
      <c r="DH66" s="539">
        <f t="shared" si="29"/>
        <v>-7.2759576141834259E-12</v>
      </c>
      <c r="DI66" s="539">
        <f t="shared" si="29"/>
        <v>-7.2759576141834259E-12</v>
      </c>
      <c r="DJ66" s="539">
        <f t="shared" si="29"/>
        <v>-7.2759576141834259E-12</v>
      </c>
      <c r="DK66" s="539">
        <f t="shared" si="29"/>
        <v>-7.2759576141834259E-12</v>
      </c>
      <c r="DL66" s="539">
        <f t="shared" si="29"/>
        <v>-7.2759576141834259E-12</v>
      </c>
      <c r="DM66" s="539">
        <f t="shared" si="29"/>
        <v>-7.2759576141834259E-12</v>
      </c>
      <c r="DN66" s="539">
        <f t="shared" si="29"/>
        <v>-7.2759576141834259E-12</v>
      </c>
      <c r="DO66" s="539">
        <f t="shared" si="29"/>
        <v>-7.2759576141834259E-12</v>
      </c>
      <c r="DP66" s="539">
        <f t="shared" si="29"/>
        <v>-7.2759576141834259E-12</v>
      </c>
      <c r="DQ66" s="539">
        <f t="shared" si="29"/>
        <v>-7.2759576141834259E-12</v>
      </c>
      <c r="DR66" s="539">
        <f t="shared" si="29"/>
        <v>-7.2759576141834259E-12</v>
      </c>
      <c r="DS66" s="539">
        <f t="shared" si="29"/>
        <v>-7.2759576141834259E-12</v>
      </c>
      <c r="DT66" s="539">
        <f t="shared" si="29"/>
        <v>-7.2759576141834259E-12</v>
      </c>
      <c r="DU66" s="539">
        <f t="shared" si="29"/>
        <v>-7.2759576141834259E-12</v>
      </c>
      <c r="DV66" s="539">
        <f t="shared" si="29"/>
        <v>-7.2759576141834259E-12</v>
      </c>
      <c r="DW66" s="539">
        <f t="shared" si="29"/>
        <v>-7.2759576141834259E-12</v>
      </c>
      <c r="DX66" s="539">
        <f t="shared" si="29"/>
        <v>-7.2759576141834259E-12</v>
      </c>
      <c r="DY66" s="539">
        <f t="shared" si="29"/>
        <v>-7.2759576141834259E-12</v>
      </c>
      <c r="DZ66" s="539">
        <f t="shared" si="29"/>
        <v>-7.2759576141834259E-12</v>
      </c>
      <c r="EA66" s="539">
        <f t="shared" si="29"/>
        <v>-7.2759576141834259E-12</v>
      </c>
      <c r="EB66" s="539">
        <f t="shared" si="29"/>
        <v>-7.2759576141834259E-12</v>
      </c>
      <c r="EC66" s="539">
        <f t="shared" si="29"/>
        <v>0</v>
      </c>
      <c r="ED66" s="539">
        <f t="shared" si="29"/>
        <v>0</v>
      </c>
      <c r="EE66" s="539">
        <f t="shared" si="29"/>
        <v>0</v>
      </c>
      <c r="EF66" s="539">
        <f t="shared" si="29"/>
        <v>0</v>
      </c>
      <c r="EG66" s="539">
        <f t="shared" si="29"/>
        <v>0</v>
      </c>
    </row>
    <row r="67" spans="5:137" ht="12.75">
      <c r="E67" s="538" t="s">
        <v>444</v>
      </c>
      <c r="G67" s="539" t="s">
        <v>30</v>
      </c>
      <c r="H67" s="539">
        <f>SUM(J67:EG67)</f>
        <v>1331931.5675670947</v>
      </c>
      <c r="J67" s="539">
        <f t="shared" si="30" ref="J67:EG67">I66</f>
        <v>0</v>
      </c>
      <c r="K67" s="539">
        <f t="shared" si="30"/>
        <v>0</v>
      </c>
      <c r="L67" s="539">
        <f t="shared" si="30"/>
        <v>0</v>
      </c>
      <c r="M67" s="539">
        <f t="shared" si="30"/>
        <v>0</v>
      </c>
      <c r="N67" s="539">
        <f t="shared" si="30"/>
        <v>0</v>
      </c>
      <c r="O67" s="539">
        <f t="shared" si="30"/>
        <v>0</v>
      </c>
      <c r="P67" s="539">
        <f t="shared" si="30"/>
        <v>0</v>
      </c>
      <c r="Q67" s="539">
        <f t="shared" si="30"/>
        <v>0</v>
      </c>
      <c r="R67" s="539">
        <f t="shared" si="30"/>
        <v>0</v>
      </c>
      <c r="S67" s="539">
        <f t="shared" si="30"/>
        <v>0</v>
      </c>
      <c r="T67" s="539">
        <f t="shared" si="30"/>
        <v>0</v>
      </c>
      <c r="U67" s="539">
        <f t="shared" si="30"/>
        <v>0</v>
      </c>
      <c r="V67" s="539">
        <f t="shared" si="30"/>
        <v>0</v>
      </c>
      <c r="W67" s="539">
        <f t="shared" si="30"/>
        <v>0</v>
      </c>
      <c r="X67" s="539">
        <f t="shared" si="30"/>
        <v>0</v>
      </c>
      <c r="Y67" s="539">
        <f t="shared" si="30"/>
        <v>0</v>
      </c>
      <c r="Z67" s="539">
        <f t="shared" si="30"/>
        <v>0</v>
      </c>
      <c r="AA67" s="539">
        <f t="shared" si="30"/>
        <v>0</v>
      </c>
      <c r="AB67" s="539">
        <f t="shared" si="30"/>
        <v>0</v>
      </c>
      <c r="AC67" s="539">
        <f t="shared" si="30"/>
        <v>0</v>
      </c>
      <c r="AD67" s="539">
        <f t="shared" si="30"/>
        <v>0</v>
      </c>
      <c r="AE67" s="539">
        <f t="shared" si="30"/>
        <v>0</v>
      </c>
      <c r="AF67" s="539">
        <f t="shared" si="30"/>
        <v>0</v>
      </c>
      <c r="AG67" s="539">
        <f t="shared" si="30"/>
        <v>0</v>
      </c>
      <c r="AH67" s="539">
        <f t="shared" si="30"/>
        <v>0</v>
      </c>
      <c r="AI67" s="539">
        <f t="shared" si="30"/>
        <v>6822.7318437499998</v>
      </c>
      <c r="AJ67" s="539">
        <f t="shared" si="30"/>
        <v>13055.069875000001</v>
      </c>
      <c r="AK67" s="539">
        <f t="shared" si="30"/>
        <v>18723.5818153125</v>
      </c>
      <c r="AL67" s="539">
        <f t="shared" si="30"/>
        <v>23853.639838779687</v>
      </c>
      <c r="AM67" s="539">
        <f t="shared" si="30"/>
        <v>28358.857082753351</v>
      </c>
      <c r="AN67" s="539">
        <f t="shared" si="30"/>
        <v>32372.990893216171</v>
      </c>
      <c r="AO67" s="539">
        <f t="shared" si="30"/>
        <v>35918.140024676133</v>
      </c>
      <c r="AP67" s="539">
        <f t="shared" si="30"/>
        <v>39015.408787688364</v>
      </c>
      <c r="AQ67" s="539">
        <f t="shared" si="30"/>
        <v>41572.516711629105</v>
      </c>
      <c r="AR67" s="539">
        <f t="shared" si="30"/>
        <v>43721.146542536306</v>
      </c>
      <c r="AS67" s="539">
        <f t="shared" si="30"/>
        <v>45479.679794596479</v>
      </c>
      <c r="AT67" s="539">
        <f t="shared" si="30"/>
        <v>46865.670813857738</v>
      </c>
      <c r="AU67" s="539">
        <f t="shared" si="30"/>
        <v>47781.606015446778</v>
      </c>
      <c r="AV67" s="539">
        <f t="shared" si="30"/>
        <v>48357.773387167384</v>
      </c>
      <c r="AW67" s="539">
        <f t="shared" si="30"/>
        <v>48609.46248136364</v>
      </c>
      <c r="AX67" s="539">
        <f t="shared" si="30"/>
        <v>48568.731118775991</v>
      </c>
      <c r="AY67" s="539">
        <f t="shared" si="30"/>
        <v>49316.143083837531</v>
      </c>
      <c r="AZ67" s="539">
        <f t="shared" si="30"/>
        <v>49780.939701387586</v>
      </c>
      <c r="BA67" s="539">
        <f t="shared" si="30"/>
        <v>49975.838662064169</v>
      </c>
      <c r="BB67" s="539">
        <f t="shared" si="30"/>
        <v>49931.841350917864</v>
      </c>
      <c r="BC67" s="539">
        <f t="shared" si="30"/>
        <v>48780.534136530303</v>
      </c>
      <c r="BD67" s="539">
        <f t="shared" si="30"/>
        <v>47464.67336721679</v>
      </c>
      <c r="BE67" s="539">
        <f t="shared" si="30"/>
        <v>45991.663952948991</v>
      </c>
      <c r="BF67" s="539">
        <f t="shared" si="30"/>
        <v>44368.577582749851</v>
      </c>
      <c r="BG67" s="539">
        <f t="shared" si="30"/>
        <v>42518.196393095648</v>
      </c>
      <c r="BH67" s="539">
        <f t="shared" si="30"/>
        <v>40530.941267708164</v>
      </c>
      <c r="BI67" s="539">
        <f t="shared" si="30"/>
        <v>38412.971533695396</v>
      </c>
      <c r="BJ67" s="539">
        <f t="shared" si="30"/>
        <v>36170.169348445481</v>
      </c>
      <c r="BK67" s="539">
        <f t="shared" si="30"/>
        <v>33722.819327355966</v>
      </c>
      <c r="BL67" s="539">
        <f t="shared" si="30"/>
        <v>31161.618989926897</v>
      </c>
      <c r="BM67" s="539">
        <f t="shared" si="30"/>
        <v>28491.691600393548</v>
      </c>
      <c r="BN67" s="539">
        <f t="shared" si="30"/>
        <v>25717.929876100614</v>
      </c>
      <c r="BO67" s="539">
        <f t="shared" si="30"/>
        <v>22758.293846120003</v>
      </c>
      <c r="BP67" s="539">
        <f t="shared" si="30"/>
        <v>19703.958306980279</v>
      </c>
      <c r="BQ67" s="539">
        <f t="shared" si="30"/>
        <v>16559.184736593605</v>
      </c>
      <c r="BR67" s="539">
        <f t="shared" si="30"/>
        <v>13328.042846366094</v>
      </c>
      <c r="BS67" s="539">
        <f t="shared" si="30"/>
        <v>10890.692462166768</v>
      </c>
      <c r="BT67" s="539">
        <f t="shared" si="30"/>
        <v>8374.5720110645998</v>
      </c>
      <c r="BU67" s="539">
        <f t="shared" si="30"/>
        <v>5783.2261460702202</v>
      </c>
      <c r="BV67" s="539">
        <f t="shared" si="30"/>
        <v>3120.0400108087779</v>
      </c>
      <c r="BW67" s="539">
        <f t="shared" si="30"/>
        <v>0</v>
      </c>
      <c r="BX67" s="539">
        <f t="shared" si="30"/>
        <v>0</v>
      </c>
      <c r="BY67" s="539">
        <f t="shared" si="30"/>
        <v>0</v>
      </c>
      <c r="BZ67" s="539">
        <f t="shared" si="30"/>
        <v>0</v>
      </c>
      <c r="CA67" s="539">
        <f t="shared" si="30"/>
        <v>0</v>
      </c>
      <c r="CB67" s="539">
        <f t="shared" si="30"/>
        <v>0</v>
      </c>
      <c r="CC67" s="539">
        <f t="shared" si="30"/>
        <v>0</v>
      </c>
      <c r="CD67" s="539">
        <f t="shared" si="30"/>
        <v>0</v>
      </c>
      <c r="CE67" s="539">
        <f t="shared" si="30"/>
        <v>0</v>
      </c>
      <c r="CF67" s="539">
        <f t="shared" si="30"/>
        <v>0</v>
      </c>
      <c r="CG67" s="539">
        <f t="shared" si="30"/>
        <v>-7.2759576141834259E-12</v>
      </c>
      <c r="CH67" s="539">
        <f t="shared" si="30"/>
        <v>-7.2759576141834259E-12</v>
      </c>
      <c r="CI67" s="539">
        <f t="shared" si="30"/>
        <v>-7.2759576141834259E-12</v>
      </c>
      <c r="CJ67" s="539">
        <f t="shared" si="30"/>
        <v>-7.2759576141834259E-12</v>
      </c>
      <c r="CK67" s="539">
        <f t="shared" si="30"/>
        <v>-7.2759576141834259E-12</v>
      </c>
      <c r="CL67" s="539">
        <f t="shared" si="30"/>
        <v>-7.2759576141834259E-12</v>
      </c>
      <c r="CM67" s="539">
        <f t="shared" si="30"/>
        <v>-7.2759576141834259E-12</v>
      </c>
      <c r="CN67" s="539">
        <f t="shared" si="30"/>
        <v>-7.2759576141834259E-12</v>
      </c>
      <c r="CO67" s="539">
        <f t="shared" si="30"/>
        <v>-7.2759576141834259E-12</v>
      </c>
      <c r="CP67" s="539">
        <f t="shared" si="30"/>
        <v>-7.2759576141834259E-12</v>
      </c>
      <c r="CQ67" s="539">
        <f t="shared" si="30"/>
        <v>-7.2759576141834259E-12</v>
      </c>
      <c r="CR67" s="539">
        <f t="shared" si="30"/>
        <v>-7.2759576141834259E-12</v>
      </c>
      <c r="CS67" s="539">
        <f t="shared" si="30"/>
        <v>-7.2759576141834259E-12</v>
      </c>
      <c r="CT67" s="539">
        <f t="shared" si="30"/>
        <v>-7.2759576141834259E-12</v>
      </c>
      <c r="CU67" s="539">
        <f t="shared" si="30"/>
        <v>-7.2759576141834259E-12</v>
      </c>
      <c r="CV67" s="539">
        <f t="shared" si="30"/>
        <v>-7.2759576141834259E-12</v>
      </c>
      <c r="CW67" s="539">
        <f t="shared" si="30"/>
        <v>-7.2759576141834259E-12</v>
      </c>
      <c r="CX67" s="539">
        <f t="shared" si="30"/>
        <v>-7.2759576141834259E-12</v>
      </c>
      <c r="CY67" s="539">
        <f t="shared" si="30"/>
        <v>-7.2759576141834259E-12</v>
      </c>
      <c r="CZ67" s="539">
        <f t="shared" si="30"/>
        <v>-7.2759576141834259E-12</v>
      </c>
      <c r="DA67" s="539">
        <f t="shared" si="30"/>
        <v>-7.2759576141834259E-12</v>
      </c>
      <c r="DB67" s="539">
        <f t="shared" si="30"/>
        <v>-7.2759576141834259E-12</v>
      </c>
      <c r="DC67" s="539">
        <f t="shared" si="30"/>
        <v>-7.2759576141834259E-12</v>
      </c>
      <c r="DD67" s="539">
        <f t="shared" si="30"/>
        <v>-7.2759576141834259E-12</v>
      </c>
      <c r="DE67" s="539">
        <f t="shared" si="30"/>
        <v>-7.2759576141834259E-12</v>
      </c>
      <c r="DF67" s="539">
        <f t="shared" si="30"/>
        <v>-7.2759576141834259E-12</v>
      </c>
      <c r="DG67" s="539">
        <f t="shared" si="30"/>
        <v>-7.2759576141834259E-12</v>
      </c>
      <c r="DH67" s="539">
        <f t="shared" si="30"/>
        <v>-7.2759576141834259E-12</v>
      </c>
      <c r="DI67" s="539">
        <f t="shared" si="30"/>
        <v>-7.2759576141834259E-12</v>
      </c>
      <c r="DJ67" s="539">
        <f t="shared" si="30"/>
        <v>-7.2759576141834259E-12</v>
      </c>
      <c r="DK67" s="539">
        <f t="shared" si="30"/>
        <v>-7.2759576141834259E-12</v>
      </c>
      <c r="DL67" s="539">
        <f t="shared" si="30"/>
        <v>-7.2759576141834259E-12</v>
      </c>
      <c r="DM67" s="539">
        <f t="shared" si="30"/>
        <v>-7.2759576141834259E-12</v>
      </c>
      <c r="DN67" s="539">
        <f t="shared" si="30"/>
        <v>-7.2759576141834259E-12</v>
      </c>
      <c r="DO67" s="539">
        <f t="shared" si="30"/>
        <v>-7.2759576141834259E-12</v>
      </c>
      <c r="DP67" s="539">
        <f t="shared" si="30"/>
        <v>-7.2759576141834259E-12</v>
      </c>
      <c r="DQ67" s="539">
        <f t="shared" si="30"/>
        <v>-7.2759576141834259E-12</v>
      </c>
      <c r="DR67" s="539">
        <f t="shared" si="30"/>
        <v>-7.2759576141834259E-12</v>
      </c>
      <c r="DS67" s="539">
        <f t="shared" si="30"/>
        <v>-7.2759576141834259E-12</v>
      </c>
      <c r="DT67" s="539">
        <f t="shared" si="30"/>
        <v>-7.2759576141834259E-12</v>
      </c>
      <c r="DU67" s="539">
        <f t="shared" si="30"/>
        <v>-7.2759576141834259E-12</v>
      </c>
      <c r="DV67" s="539">
        <f t="shared" si="30"/>
        <v>-7.2759576141834259E-12</v>
      </c>
      <c r="DW67" s="539">
        <f t="shared" si="30"/>
        <v>-7.2759576141834259E-12</v>
      </c>
      <c r="DX67" s="539">
        <f t="shared" si="30"/>
        <v>-7.2759576141834259E-12</v>
      </c>
      <c r="DY67" s="539">
        <f t="shared" si="30"/>
        <v>-7.2759576141834259E-12</v>
      </c>
      <c r="DZ67" s="539">
        <f t="shared" si="30"/>
        <v>-7.2759576141834259E-12</v>
      </c>
      <c r="EA67" s="539">
        <f t="shared" si="30"/>
        <v>-7.2759576141834259E-12</v>
      </c>
      <c r="EB67" s="539">
        <f t="shared" si="30"/>
        <v>-7.2759576141834259E-12</v>
      </c>
      <c r="EC67" s="539">
        <f t="shared" si="30"/>
        <v>-7.2759576141834259E-12</v>
      </c>
      <c r="ED67" s="539">
        <f t="shared" si="30"/>
        <v>0</v>
      </c>
      <c r="EE67" s="539">
        <f t="shared" si="30"/>
        <v>0</v>
      </c>
      <c r="EF67" s="539">
        <f t="shared" si="30"/>
        <v>0</v>
      </c>
      <c r="EG67" s="539">
        <f t="shared" si="30"/>
        <v>0</v>
      </c>
    </row>
    <row r="69" spans="5:137" ht="12.75">
      <c r="E69" s="538" t="str">
        <f>E$64</f>
        <v>Taxable profit - before losses</v>
      </c>
      <c r="G69" s="539" t="str">
        <f>G$64</f>
        <v>EUR 000s</v>
      </c>
      <c r="H69" s="539">
        <f>H$64</f>
        <v>630243.06034600048</v>
      </c>
      <c r="J69" s="539">
        <f t="shared" si="31" ref="J69:EG69">J$64</f>
        <v>0</v>
      </c>
      <c r="K69" s="539">
        <f t="shared" si="31"/>
        <v>0</v>
      </c>
      <c r="L69" s="539">
        <f t="shared" si="31"/>
        <v>0</v>
      </c>
      <c r="M69" s="539">
        <f t="shared" si="31"/>
        <v>0</v>
      </c>
      <c r="N69" s="539">
        <f t="shared" si="31"/>
        <v>0</v>
      </c>
      <c r="O69" s="539">
        <f t="shared" si="31"/>
        <v>0</v>
      </c>
      <c r="P69" s="539">
        <f t="shared" si="31"/>
        <v>0</v>
      </c>
      <c r="Q69" s="539">
        <f t="shared" si="31"/>
        <v>0</v>
      </c>
      <c r="R69" s="539">
        <f t="shared" si="31"/>
        <v>0</v>
      </c>
      <c r="S69" s="539">
        <f t="shared" si="31"/>
        <v>0</v>
      </c>
      <c r="T69" s="539">
        <f t="shared" si="31"/>
        <v>0</v>
      </c>
      <c r="U69" s="539">
        <f t="shared" si="31"/>
        <v>0</v>
      </c>
      <c r="V69" s="539">
        <f t="shared" si="31"/>
        <v>0</v>
      </c>
      <c r="W69" s="539">
        <f t="shared" si="31"/>
        <v>0</v>
      </c>
      <c r="X69" s="539">
        <f t="shared" si="31"/>
        <v>0</v>
      </c>
      <c r="Y69" s="539">
        <f t="shared" si="31"/>
        <v>0</v>
      </c>
      <c r="Z69" s="539">
        <f t="shared" si="31"/>
        <v>0</v>
      </c>
      <c r="AA69" s="539">
        <f t="shared" si="31"/>
        <v>0</v>
      </c>
      <c r="AB69" s="539">
        <f t="shared" si="31"/>
        <v>0</v>
      </c>
      <c r="AC69" s="539">
        <f t="shared" si="31"/>
        <v>0</v>
      </c>
      <c r="AD69" s="539">
        <f t="shared" si="31"/>
        <v>0</v>
      </c>
      <c r="AE69" s="539">
        <f t="shared" si="31"/>
        <v>0</v>
      </c>
      <c r="AF69" s="539">
        <f t="shared" si="31"/>
        <v>0</v>
      </c>
      <c r="AG69" s="539">
        <f t="shared" si="31"/>
        <v>0</v>
      </c>
      <c r="AH69" s="539">
        <f t="shared" si="31"/>
        <v>-6822.7318437499998</v>
      </c>
      <c r="AI69" s="539">
        <f t="shared" si="31"/>
        <v>-6232.3380312500012</v>
      </c>
      <c r="AJ69" s="539">
        <f t="shared" si="31"/>
        <v>-5668.5119403125009</v>
      </c>
      <c r="AK69" s="539">
        <f t="shared" si="31"/>
        <v>-5130.0580234671888</v>
      </c>
      <c r="AL69" s="539">
        <f t="shared" si="31"/>
        <v>-4505.2172439736642</v>
      </c>
      <c r="AM69" s="539">
        <f t="shared" si="31"/>
        <v>-4014.133810462818</v>
      </c>
      <c r="AN69" s="539">
        <f t="shared" si="31"/>
        <v>-3545.1491314599593</v>
      </c>
      <c r="AO69" s="539">
        <f t="shared" si="31"/>
        <v>-3097.2687630122296</v>
      </c>
      <c r="AP69" s="539">
        <f t="shared" si="31"/>
        <v>-2557.1079239407418</v>
      </c>
      <c r="AQ69" s="539">
        <f t="shared" si="31"/>
        <v>-2148.6298309072017</v>
      </c>
      <c r="AR69" s="539">
        <f t="shared" si="31"/>
        <v>-1758.5332520601705</v>
      </c>
      <c r="AS69" s="539">
        <f t="shared" si="31"/>
        <v>-1385.991019261257</v>
      </c>
      <c r="AT69" s="539">
        <f t="shared" si="31"/>
        <v>-915.93520158903948</v>
      </c>
      <c r="AU69" s="539">
        <f t="shared" si="31"/>
        <v>-576.16737172060903</v>
      </c>
      <c r="AV69" s="539">
        <f t="shared" si="31"/>
        <v>-251.68909419625788</v>
      </c>
      <c r="AW69" s="539">
        <f t="shared" si="31"/>
        <v>58.187660839498221</v>
      </c>
      <c r="AX69" s="539">
        <f t="shared" si="31"/>
        <v>-747.41196506153801</v>
      </c>
      <c r="AY69" s="539">
        <f t="shared" si="31"/>
        <v>-464.79661755005282</v>
      </c>
      <c r="AZ69" s="539">
        <f t="shared" si="31"/>
        <v>-194.89896067658492</v>
      </c>
      <c r="BA69" s="539">
        <f t="shared" si="31"/>
        <v>62.853301637576351</v>
      </c>
      <c r="BB69" s="539">
        <f t="shared" si="31"/>
        <v>1644.7245919822326</v>
      </c>
      <c r="BC69" s="539">
        <f t="shared" si="31"/>
        <v>1879.8010990193061</v>
      </c>
      <c r="BD69" s="539">
        <f t="shared" si="31"/>
        <v>2104.2991632397107</v>
      </c>
      <c r="BE69" s="539">
        <f t="shared" si="31"/>
        <v>2318.6948145701981</v>
      </c>
      <c r="BF69" s="539">
        <f t="shared" si="31"/>
        <v>2643.4016995060028</v>
      </c>
      <c r="BG69" s="539">
        <f t="shared" si="31"/>
        <v>2838.9358934106904</v>
      </c>
      <c r="BH69" s="539">
        <f t="shared" si="31"/>
        <v>3025.6710485896665</v>
      </c>
      <c r="BI69" s="539">
        <f t="shared" si="31"/>
        <v>3204.0031217855894</v>
      </c>
      <c r="BJ69" s="539">
        <f t="shared" si="31"/>
        <v>3496.2143158421604</v>
      </c>
      <c r="BK69" s="539">
        <f t="shared" si="31"/>
        <v>3658.8576248986719</v>
      </c>
      <c r="BL69" s="539">
        <f t="shared" si="31"/>
        <v>3814.1819850476404</v>
      </c>
      <c r="BM69" s="539">
        <f t="shared" si="31"/>
        <v>3962.516748989905</v>
      </c>
      <c r="BN69" s="539">
        <f t="shared" si="31"/>
        <v>4228.051471400875</v>
      </c>
      <c r="BO69" s="539">
        <f t="shared" si="31"/>
        <v>4363.3364844853195</v>
      </c>
      <c r="BP69" s="539">
        <f t="shared" si="31"/>
        <v>4492.5336719809638</v>
      </c>
      <c r="BQ69" s="539">
        <f t="shared" si="31"/>
        <v>4615.9169860393031</v>
      </c>
      <c r="BR69" s="539">
        <f t="shared" si="31"/>
        <v>3481.929120284753</v>
      </c>
      <c r="BS69" s="539">
        <f t="shared" si="31"/>
        <v>3594.4577872888108</v>
      </c>
      <c r="BT69" s="539">
        <f t="shared" si="31"/>
        <v>3701.9226642776853</v>
      </c>
      <c r="BU69" s="539">
        <f t="shared" si="31"/>
        <v>3804.5516218020607</v>
      </c>
      <c r="BV69" s="539">
        <f t="shared" si="31"/>
        <v>5408.1485807513845</v>
      </c>
      <c r="BW69" s="539">
        <f t="shared" si="31"/>
        <v>5501.7487557375525</v>
      </c>
      <c r="BX69" s="539">
        <f t="shared" si="31"/>
        <v>5591.1369228493431</v>
      </c>
      <c r="BY69" s="539">
        <f t="shared" si="31"/>
        <v>5676.502622441104</v>
      </c>
      <c r="BZ69" s="539">
        <f t="shared" si="31"/>
        <v>5887.9717796858495</v>
      </c>
      <c r="CA69" s="539">
        <f t="shared" si="31"/>
        <v>5965.8274318560234</v>
      </c>
      <c r="CB69" s="539">
        <f t="shared" si="31"/>
        <v>6318.8300864610655</v>
      </c>
      <c r="CC69" s="539">
        <f t="shared" si="31"/>
        <v>7751.8093048324836</v>
      </c>
      <c r="CD69" s="539">
        <f t="shared" si="31"/>
        <v>8099.0649231005473</v>
      </c>
      <c r="CE69" s="539">
        <f t="shared" si="31"/>
        <v>8192.370917161219</v>
      </c>
      <c r="CF69" s="539">
        <f t="shared" si="31"/>
        <v>8284.6759844670305</v>
      </c>
      <c r="CG69" s="539">
        <f t="shared" si="31"/>
        <v>8391.022979829173</v>
      </c>
      <c r="CH69" s="539">
        <f t="shared" si="31"/>
        <v>8716.6110764479017</v>
      </c>
      <c r="CI69" s="539">
        <f t="shared" si="31"/>
        <v>8803.848631038858</v>
      </c>
      <c r="CJ69" s="539">
        <f t="shared" si="31"/>
        <v>8890.7190596444616</v>
      </c>
      <c r="CK69" s="539">
        <f t="shared" si="31"/>
        <v>8990.1045536171096</v>
      </c>
      <c r="CL69" s="539">
        <f t="shared" si="31"/>
        <v>7081.1731932007333</v>
      </c>
      <c r="CM69" s="539">
        <f t="shared" si="31"/>
        <v>7168.467703674296</v>
      </c>
      <c r="CN69" s="539">
        <f t="shared" si="31"/>
        <v>7256.0864129414431</v>
      </c>
      <c r="CO69" s="539">
        <f t="shared" si="31"/>
        <v>7354.4919558763195</v>
      </c>
      <c r="CP69" s="539">
        <f t="shared" si="31"/>
        <v>9886.341845235178</v>
      </c>
      <c r="CQ69" s="539">
        <f t="shared" si="31"/>
        <v>9978.4832843096665</v>
      </c>
      <c r="CR69" s="539">
        <f t="shared" si="31"/>
        <v>10060.729242655556</v>
      </c>
      <c r="CS69" s="539">
        <f t="shared" si="31"/>
        <v>10151.812470357134</v>
      </c>
      <c r="CT69" s="539">
        <f t="shared" si="31"/>
        <v>10458.431480132196</v>
      </c>
      <c r="CU69" s="539">
        <f t="shared" si="31"/>
        <v>10539.809433958937</v>
      </c>
      <c r="CV69" s="539">
        <f t="shared" si="31"/>
        <v>10622.326237680485</v>
      </c>
      <c r="CW69" s="539">
        <f t="shared" si="31"/>
        <v>10711.36601050882</v>
      </c>
      <c r="CX69" s="539">
        <f t="shared" si="31"/>
        <v>11014.167476496035</v>
      </c>
      <c r="CY69" s="539">
        <f t="shared" si="31"/>
        <v>11096.643921714494</v>
      </c>
      <c r="CZ69" s="539">
        <f t="shared" si="31"/>
        <v>11180.664711958845</v>
      </c>
      <c r="DA69" s="539">
        <f t="shared" si="31"/>
        <v>11268.858521640252</v>
      </c>
      <c r="DB69" s="539">
        <f t="shared" si="31"/>
        <v>11791.004042824419</v>
      </c>
      <c r="DC69" s="539">
        <f t="shared" si="31"/>
        <v>11812.451931724356</v>
      </c>
      <c r="DD69" s="539">
        <f t="shared" si="31"/>
        <v>11832.934665623796</v>
      </c>
      <c r="DE69" s="539">
        <f t="shared" si="31"/>
        <v>11852.495676497761</v>
      </c>
      <c r="DF69" s="539">
        <f t="shared" si="31"/>
        <v>9562.2359841463476</v>
      </c>
      <c r="DG69" s="539">
        <f t="shared" si="31"/>
        <v>9580.0761150886756</v>
      </c>
      <c r="DH69" s="539">
        <f t="shared" si="31"/>
        <v>9597.1134401385989</v>
      </c>
      <c r="DI69" s="539">
        <f t="shared" si="31"/>
        <v>9613.3840855612743</v>
      </c>
      <c r="DJ69" s="539">
        <f t="shared" si="31"/>
        <v>12362.00040861106</v>
      </c>
      <c r="DK69" s="539">
        <f t="shared" si="31"/>
        <v>12376.839644002675</v>
      </c>
      <c r="DL69" s="539">
        <f t="shared" si="31"/>
        <v>12391.011113801669</v>
      </c>
      <c r="DM69" s="539">
        <f t="shared" si="31"/>
        <v>12404.544867459708</v>
      </c>
      <c r="DN69" s="539">
        <f t="shared" si="31"/>
        <v>12634.486114046982</v>
      </c>
      <c r="DO69" s="539">
        <f t="shared" si="31"/>
        <v>12646.829235726955</v>
      </c>
      <c r="DP69" s="539">
        <f t="shared" si="31"/>
        <v>12658.616916931329</v>
      </c>
      <c r="DQ69" s="539">
        <f t="shared" si="31"/>
        <v>12669.874152481505</v>
      </c>
      <c r="DR69" s="539">
        <f t="shared" si="31"/>
        <v>12900.991430248141</v>
      </c>
      <c r="DS69" s="539">
        <f t="shared" si="31"/>
        <v>12911.258310500793</v>
      </c>
      <c r="DT69" s="539">
        <f t="shared" si="31"/>
        <v>12921.063181142074</v>
      </c>
      <c r="DU69" s="539">
        <f t="shared" si="31"/>
        <v>12930.426832604497</v>
      </c>
      <c r="DV69" s="539">
        <f t="shared" si="31"/>
        <v>13163.124497358649</v>
      </c>
      <c r="DW69" s="539">
        <f t="shared" si="31"/>
        <v>13171.664381583665</v>
      </c>
      <c r="DX69" s="539">
        <f t="shared" si="31"/>
        <v>13179.819971018556</v>
      </c>
      <c r="DY69" s="539">
        <f t="shared" si="31"/>
        <v>13187.608558928878</v>
      </c>
      <c r="DZ69" s="539">
        <f t="shared" si="31"/>
        <v>13422.229408189076</v>
      </c>
      <c r="EA69" s="539">
        <f t="shared" si="31"/>
        <v>13429.332795077986</v>
      </c>
      <c r="EB69" s="539">
        <f t="shared" si="31"/>
        <v>13436.116529556895</v>
      </c>
      <c r="EC69" s="539">
        <f t="shared" si="31"/>
        <v>10524.805690595733</v>
      </c>
      <c r="ED69" s="539">
        <f t="shared" si="31"/>
        <v>0</v>
      </c>
      <c r="EE69" s="539">
        <f t="shared" si="31"/>
        <v>0</v>
      </c>
      <c r="EF69" s="539">
        <f t="shared" si="31"/>
        <v>0</v>
      </c>
      <c r="EG69" s="539">
        <f t="shared" si="31"/>
        <v>0</v>
      </c>
    </row>
    <row r="70" spans="5:137" ht="12.75">
      <c r="E70" s="538" t="s">
        <v>445</v>
      </c>
      <c r="G70" s="539" t="s">
        <v>30</v>
      </c>
      <c r="H70" s="539">
        <f>SUM(J70:EG70)</f>
        <v>50016.570024651817</v>
      </c>
      <c r="J70" s="539">
        <f t="shared" si="32" ref="J70:EG70">MAX(0,-J69)</f>
        <v>0</v>
      </c>
      <c r="K70" s="539">
        <f t="shared" si="32"/>
        <v>0</v>
      </c>
      <c r="L70" s="539">
        <f t="shared" si="32"/>
        <v>0</v>
      </c>
      <c r="M70" s="539">
        <f t="shared" si="32"/>
        <v>0</v>
      </c>
      <c r="N70" s="539">
        <f t="shared" si="32"/>
        <v>0</v>
      </c>
      <c r="O70" s="539">
        <f t="shared" si="32"/>
        <v>0</v>
      </c>
      <c r="P70" s="539">
        <f t="shared" si="32"/>
        <v>0</v>
      </c>
      <c r="Q70" s="539">
        <f t="shared" si="32"/>
        <v>0</v>
      </c>
      <c r="R70" s="539">
        <f t="shared" si="32"/>
        <v>0</v>
      </c>
      <c r="S70" s="539">
        <f t="shared" si="32"/>
        <v>0</v>
      </c>
      <c r="T70" s="539">
        <f t="shared" si="32"/>
        <v>0</v>
      </c>
      <c r="U70" s="539">
        <f t="shared" si="32"/>
        <v>0</v>
      </c>
      <c r="V70" s="539">
        <f t="shared" si="32"/>
        <v>0</v>
      </c>
      <c r="W70" s="539">
        <f t="shared" si="32"/>
        <v>0</v>
      </c>
      <c r="X70" s="539">
        <f t="shared" si="32"/>
        <v>0</v>
      </c>
      <c r="Y70" s="539">
        <f t="shared" si="32"/>
        <v>0</v>
      </c>
      <c r="Z70" s="539">
        <f t="shared" si="32"/>
        <v>0</v>
      </c>
      <c r="AA70" s="539">
        <f t="shared" si="32"/>
        <v>0</v>
      </c>
      <c r="AB70" s="539">
        <f t="shared" si="32"/>
        <v>0</v>
      </c>
      <c r="AC70" s="539">
        <f t="shared" si="32"/>
        <v>0</v>
      </c>
      <c r="AD70" s="539">
        <f t="shared" si="32"/>
        <v>0</v>
      </c>
      <c r="AE70" s="539">
        <f t="shared" si="32"/>
        <v>0</v>
      </c>
      <c r="AF70" s="539">
        <f t="shared" si="32"/>
        <v>0</v>
      </c>
      <c r="AG70" s="539">
        <f t="shared" si="32"/>
        <v>0</v>
      </c>
      <c r="AH70" s="539">
        <f t="shared" si="32"/>
        <v>6822.7318437499998</v>
      </c>
      <c r="AI70" s="539">
        <f t="shared" si="32"/>
        <v>6232.3380312500012</v>
      </c>
      <c r="AJ70" s="539">
        <f t="shared" si="32"/>
        <v>5668.5119403125009</v>
      </c>
      <c r="AK70" s="539">
        <f t="shared" si="32"/>
        <v>5130.0580234671888</v>
      </c>
      <c r="AL70" s="539">
        <f t="shared" si="32"/>
        <v>4505.2172439736642</v>
      </c>
      <c r="AM70" s="539">
        <f t="shared" si="32"/>
        <v>4014.133810462818</v>
      </c>
      <c r="AN70" s="539">
        <f t="shared" si="32"/>
        <v>3545.1491314599593</v>
      </c>
      <c r="AO70" s="539">
        <f t="shared" si="32"/>
        <v>3097.2687630122296</v>
      </c>
      <c r="AP70" s="539">
        <f t="shared" si="32"/>
        <v>2557.1079239407418</v>
      </c>
      <c r="AQ70" s="539">
        <f t="shared" si="32"/>
        <v>2148.6298309072017</v>
      </c>
      <c r="AR70" s="539">
        <f t="shared" si="32"/>
        <v>1758.5332520601705</v>
      </c>
      <c r="AS70" s="539">
        <f t="shared" si="32"/>
        <v>1385.991019261257</v>
      </c>
      <c r="AT70" s="539">
        <f t="shared" si="32"/>
        <v>915.93520158903948</v>
      </c>
      <c r="AU70" s="539">
        <f t="shared" si="32"/>
        <v>576.16737172060903</v>
      </c>
      <c r="AV70" s="539">
        <f t="shared" si="32"/>
        <v>251.68909419625788</v>
      </c>
      <c r="AW70" s="539">
        <f t="shared" si="32"/>
        <v>0</v>
      </c>
      <c r="AX70" s="539">
        <f t="shared" si="32"/>
        <v>747.41196506153801</v>
      </c>
      <c r="AY70" s="539">
        <f t="shared" si="32"/>
        <v>464.79661755005282</v>
      </c>
      <c r="AZ70" s="539">
        <f t="shared" si="32"/>
        <v>194.89896067658492</v>
      </c>
      <c r="BA70" s="539">
        <f t="shared" si="32"/>
        <v>0</v>
      </c>
      <c r="BB70" s="539">
        <f t="shared" si="32"/>
        <v>0</v>
      </c>
      <c r="BC70" s="539">
        <f t="shared" si="32"/>
        <v>0</v>
      </c>
      <c r="BD70" s="539">
        <f t="shared" si="32"/>
        <v>0</v>
      </c>
      <c r="BE70" s="539">
        <f t="shared" si="32"/>
        <v>0</v>
      </c>
      <c r="BF70" s="539">
        <f t="shared" si="32"/>
        <v>0</v>
      </c>
      <c r="BG70" s="539">
        <f t="shared" si="32"/>
        <v>0</v>
      </c>
      <c r="BH70" s="539">
        <f t="shared" si="32"/>
        <v>0</v>
      </c>
      <c r="BI70" s="539">
        <f t="shared" si="32"/>
        <v>0</v>
      </c>
      <c r="BJ70" s="539">
        <f t="shared" si="32"/>
        <v>0</v>
      </c>
      <c r="BK70" s="539">
        <f t="shared" si="32"/>
        <v>0</v>
      </c>
      <c r="BL70" s="539">
        <f t="shared" si="32"/>
        <v>0</v>
      </c>
      <c r="BM70" s="539">
        <f t="shared" si="32"/>
        <v>0</v>
      </c>
      <c r="BN70" s="539">
        <f t="shared" si="32"/>
        <v>0</v>
      </c>
      <c r="BO70" s="539">
        <f t="shared" si="32"/>
        <v>0</v>
      </c>
      <c r="BP70" s="539">
        <f t="shared" si="32"/>
        <v>0</v>
      </c>
      <c r="BQ70" s="539">
        <f t="shared" si="32"/>
        <v>0</v>
      </c>
      <c r="BR70" s="539">
        <f t="shared" si="32"/>
        <v>0</v>
      </c>
      <c r="BS70" s="539">
        <f t="shared" si="32"/>
        <v>0</v>
      </c>
      <c r="BT70" s="539">
        <f t="shared" si="32"/>
        <v>0</v>
      </c>
      <c r="BU70" s="539">
        <f t="shared" si="32"/>
        <v>0</v>
      </c>
      <c r="BV70" s="539">
        <f t="shared" si="32"/>
        <v>0</v>
      </c>
      <c r="BW70" s="539">
        <f t="shared" si="32"/>
        <v>0</v>
      </c>
      <c r="BX70" s="539">
        <f t="shared" si="32"/>
        <v>0</v>
      </c>
      <c r="BY70" s="539">
        <f t="shared" si="32"/>
        <v>0</v>
      </c>
      <c r="BZ70" s="539">
        <f t="shared" si="32"/>
        <v>0</v>
      </c>
      <c r="CA70" s="539">
        <f t="shared" si="32"/>
        <v>0</v>
      </c>
      <c r="CB70" s="539">
        <f t="shared" si="32"/>
        <v>0</v>
      </c>
      <c r="CC70" s="539">
        <f t="shared" si="32"/>
        <v>0</v>
      </c>
      <c r="CD70" s="539">
        <f t="shared" si="32"/>
        <v>0</v>
      </c>
      <c r="CE70" s="539">
        <f t="shared" si="32"/>
        <v>0</v>
      </c>
      <c r="CF70" s="539">
        <f t="shared" si="32"/>
        <v>0</v>
      </c>
      <c r="CG70" s="539">
        <f t="shared" si="32"/>
        <v>0</v>
      </c>
      <c r="CH70" s="539">
        <f t="shared" si="32"/>
        <v>0</v>
      </c>
      <c r="CI70" s="539">
        <f t="shared" si="32"/>
        <v>0</v>
      </c>
      <c r="CJ70" s="539">
        <f t="shared" si="32"/>
        <v>0</v>
      </c>
      <c r="CK70" s="539">
        <f t="shared" si="32"/>
        <v>0</v>
      </c>
      <c r="CL70" s="539">
        <f t="shared" si="32"/>
        <v>0</v>
      </c>
      <c r="CM70" s="539">
        <f t="shared" si="32"/>
        <v>0</v>
      </c>
      <c r="CN70" s="539">
        <f t="shared" si="32"/>
        <v>0</v>
      </c>
      <c r="CO70" s="539">
        <f t="shared" si="32"/>
        <v>0</v>
      </c>
      <c r="CP70" s="539">
        <f t="shared" si="32"/>
        <v>0</v>
      </c>
      <c r="CQ70" s="539">
        <f t="shared" si="32"/>
        <v>0</v>
      </c>
      <c r="CR70" s="539">
        <f t="shared" si="32"/>
        <v>0</v>
      </c>
      <c r="CS70" s="539">
        <f t="shared" si="32"/>
        <v>0</v>
      </c>
      <c r="CT70" s="539">
        <f t="shared" si="32"/>
        <v>0</v>
      </c>
      <c r="CU70" s="539">
        <f t="shared" si="32"/>
        <v>0</v>
      </c>
      <c r="CV70" s="539">
        <f t="shared" si="32"/>
        <v>0</v>
      </c>
      <c r="CW70" s="539">
        <f t="shared" si="32"/>
        <v>0</v>
      </c>
      <c r="CX70" s="539">
        <f t="shared" si="32"/>
        <v>0</v>
      </c>
      <c r="CY70" s="539">
        <f t="shared" si="32"/>
        <v>0</v>
      </c>
      <c r="CZ70" s="539">
        <f t="shared" si="32"/>
        <v>0</v>
      </c>
      <c r="DA70" s="539">
        <f t="shared" si="32"/>
        <v>0</v>
      </c>
      <c r="DB70" s="539">
        <f t="shared" si="32"/>
        <v>0</v>
      </c>
      <c r="DC70" s="539">
        <f t="shared" si="32"/>
        <v>0</v>
      </c>
      <c r="DD70" s="539">
        <f t="shared" si="32"/>
        <v>0</v>
      </c>
      <c r="DE70" s="539">
        <f t="shared" si="32"/>
        <v>0</v>
      </c>
      <c r="DF70" s="539">
        <f t="shared" si="32"/>
        <v>0</v>
      </c>
      <c r="DG70" s="539">
        <f t="shared" si="32"/>
        <v>0</v>
      </c>
      <c r="DH70" s="539">
        <f t="shared" si="32"/>
        <v>0</v>
      </c>
      <c r="DI70" s="539">
        <f t="shared" si="32"/>
        <v>0</v>
      </c>
      <c r="DJ70" s="539">
        <f t="shared" si="32"/>
        <v>0</v>
      </c>
      <c r="DK70" s="539">
        <f t="shared" si="32"/>
        <v>0</v>
      </c>
      <c r="DL70" s="539">
        <f t="shared" si="32"/>
        <v>0</v>
      </c>
      <c r="DM70" s="539">
        <f t="shared" si="32"/>
        <v>0</v>
      </c>
      <c r="DN70" s="539">
        <f t="shared" si="32"/>
        <v>0</v>
      </c>
      <c r="DO70" s="539">
        <f t="shared" si="32"/>
        <v>0</v>
      </c>
      <c r="DP70" s="539">
        <f t="shared" si="32"/>
        <v>0</v>
      </c>
      <c r="DQ70" s="539">
        <f t="shared" si="32"/>
        <v>0</v>
      </c>
      <c r="DR70" s="539">
        <f t="shared" si="32"/>
        <v>0</v>
      </c>
      <c r="DS70" s="539">
        <f t="shared" si="32"/>
        <v>0</v>
      </c>
      <c r="DT70" s="539">
        <f t="shared" si="32"/>
        <v>0</v>
      </c>
      <c r="DU70" s="539">
        <f t="shared" si="32"/>
        <v>0</v>
      </c>
      <c r="DV70" s="539">
        <f t="shared" si="32"/>
        <v>0</v>
      </c>
      <c r="DW70" s="539">
        <f t="shared" si="32"/>
        <v>0</v>
      </c>
      <c r="DX70" s="539">
        <f t="shared" si="32"/>
        <v>0</v>
      </c>
      <c r="DY70" s="539">
        <f t="shared" si="32"/>
        <v>0</v>
      </c>
      <c r="DZ70" s="539">
        <f t="shared" si="32"/>
        <v>0</v>
      </c>
      <c r="EA70" s="539">
        <f t="shared" si="32"/>
        <v>0</v>
      </c>
      <c r="EB70" s="539">
        <f t="shared" si="32"/>
        <v>0</v>
      </c>
      <c r="EC70" s="539">
        <f t="shared" si="32"/>
        <v>0</v>
      </c>
      <c r="ED70" s="539">
        <f t="shared" si="32"/>
        <v>0</v>
      </c>
      <c r="EE70" s="539">
        <f t="shared" si="32"/>
        <v>0</v>
      </c>
      <c r="EF70" s="539">
        <f t="shared" si="32"/>
        <v>0</v>
      </c>
      <c r="EG70" s="539">
        <f t="shared" si="32"/>
        <v>0</v>
      </c>
    </row>
    <row r="72" spans="5:7" ht="12.75">
      <c r="E72" s="535" t="str">
        <f>InpC!E$121</f>
        <v>Tax losses - maximum share of profit offset</v>
      </c>
      <c r="F72" s="542">
        <f>InpC!F$121</f>
        <v>0.69999999999999996</v>
      </c>
      <c r="G72" s="542" t="str">
        <f>InpC!G$121</f>
        <v>%</v>
      </c>
    </row>
    <row r="73" spans="5:137" ht="12.75">
      <c r="E73" s="538" t="str">
        <f>E$64</f>
        <v>Taxable profit - before losses</v>
      </c>
      <c r="G73" s="539" t="str">
        <f>G$64</f>
        <v>EUR 000s</v>
      </c>
      <c r="H73" s="539">
        <f>H$64</f>
        <v>630243.06034600048</v>
      </c>
      <c r="J73" s="539">
        <f t="shared" si="33" ref="J73:EG73">J$64</f>
        <v>0</v>
      </c>
      <c r="K73" s="539">
        <f t="shared" si="33"/>
        <v>0</v>
      </c>
      <c r="L73" s="539">
        <f t="shared" si="33"/>
        <v>0</v>
      </c>
      <c r="M73" s="539">
        <f t="shared" si="33"/>
        <v>0</v>
      </c>
      <c r="N73" s="539">
        <f t="shared" si="33"/>
        <v>0</v>
      </c>
      <c r="O73" s="539">
        <f t="shared" si="33"/>
        <v>0</v>
      </c>
      <c r="P73" s="539">
        <f t="shared" si="33"/>
        <v>0</v>
      </c>
      <c r="Q73" s="539">
        <f t="shared" si="33"/>
        <v>0</v>
      </c>
      <c r="R73" s="539">
        <f t="shared" si="33"/>
        <v>0</v>
      </c>
      <c r="S73" s="539">
        <f t="shared" si="33"/>
        <v>0</v>
      </c>
      <c r="T73" s="539">
        <f t="shared" si="33"/>
        <v>0</v>
      </c>
      <c r="U73" s="539">
        <f t="shared" si="33"/>
        <v>0</v>
      </c>
      <c r="V73" s="539">
        <f t="shared" si="33"/>
        <v>0</v>
      </c>
      <c r="W73" s="539">
        <f t="shared" si="33"/>
        <v>0</v>
      </c>
      <c r="X73" s="539">
        <f t="shared" si="33"/>
        <v>0</v>
      </c>
      <c r="Y73" s="539">
        <f t="shared" si="33"/>
        <v>0</v>
      </c>
      <c r="Z73" s="539">
        <f t="shared" si="33"/>
        <v>0</v>
      </c>
      <c r="AA73" s="539">
        <f t="shared" si="33"/>
        <v>0</v>
      </c>
      <c r="AB73" s="539">
        <f t="shared" si="33"/>
        <v>0</v>
      </c>
      <c r="AC73" s="539">
        <f t="shared" si="33"/>
        <v>0</v>
      </c>
      <c r="AD73" s="539">
        <f t="shared" si="33"/>
        <v>0</v>
      </c>
      <c r="AE73" s="539">
        <f t="shared" si="33"/>
        <v>0</v>
      </c>
      <c r="AF73" s="539">
        <f t="shared" si="33"/>
        <v>0</v>
      </c>
      <c r="AG73" s="539">
        <f t="shared" si="33"/>
        <v>0</v>
      </c>
      <c r="AH73" s="539">
        <f t="shared" si="33"/>
        <v>-6822.7318437499998</v>
      </c>
      <c r="AI73" s="539">
        <f t="shared" si="33"/>
        <v>-6232.3380312500012</v>
      </c>
      <c r="AJ73" s="539">
        <f t="shared" si="33"/>
        <v>-5668.5119403125009</v>
      </c>
      <c r="AK73" s="539">
        <f t="shared" si="33"/>
        <v>-5130.0580234671888</v>
      </c>
      <c r="AL73" s="539">
        <f t="shared" si="33"/>
        <v>-4505.2172439736642</v>
      </c>
      <c r="AM73" s="539">
        <f t="shared" si="33"/>
        <v>-4014.133810462818</v>
      </c>
      <c r="AN73" s="539">
        <f t="shared" si="33"/>
        <v>-3545.1491314599593</v>
      </c>
      <c r="AO73" s="539">
        <f t="shared" si="33"/>
        <v>-3097.2687630122296</v>
      </c>
      <c r="AP73" s="539">
        <f t="shared" si="33"/>
        <v>-2557.1079239407418</v>
      </c>
      <c r="AQ73" s="539">
        <f t="shared" si="33"/>
        <v>-2148.6298309072017</v>
      </c>
      <c r="AR73" s="539">
        <f t="shared" si="33"/>
        <v>-1758.5332520601705</v>
      </c>
      <c r="AS73" s="539">
        <f t="shared" si="33"/>
        <v>-1385.991019261257</v>
      </c>
      <c r="AT73" s="539">
        <f t="shared" si="33"/>
        <v>-915.93520158903948</v>
      </c>
      <c r="AU73" s="539">
        <f t="shared" si="33"/>
        <v>-576.16737172060903</v>
      </c>
      <c r="AV73" s="539">
        <f t="shared" si="33"/>
        <v>-251.68909419625788</v>
      </c>
      <c r="AW73" s="539">
        <f t="shared" si="33"/>
        <v>58.187660839498221</v>
      </c>
      <c r="AX73" s="539">
        <f t="shared" si="33"/>
        <v>-747.41196506153801</v>
      </c>
      <c r="AY73" s="539">
        <f t="shared" si="33"/>
        <v>-464.79661755005282</v>
      </c>
      <c r="AZ73" s="539">
        <f t="shared" si="33"/>
        <v>-194.89896067658492</v>
      </c>
      <c r="BA73" s="539">
        <f t="shared" si="33"/>
        <v>62.853301637576351</v>
      </c>
      <c r="BB73" s="539">
        <f t="shared" si="33"/>
        <v>1644.7245919822326</v>
      </c>
      <c r="BC73" s="539">
        <f t="shared" si="33"/>
        <v>1879.8010990193061</v>
      </c>
      <c r="BD73" s="539">
        <f t="shared" si="33"/>
        <v>2104.2991632397107</v>
      </c>
      <c r="BE73" s="539">
        <f t="shared" si="33"/>
        <v>2318.6948145701981</v>
      </c>
      <c r="BF73" s="539">
        <f t="shared" si="33"/>
        <v>2643.4016995060028</v>
      </c>
      <c r="BG73" s="539">
        <f t="shared" si="33"/>
        <v>2838.9358934106904</v>
      </c>
      <c r="BH73" s="539">
        <f t="shared" si="33"/>
        <v>3025.6710485896665</v>
      </c>
      <c r="BI73" s="539">
        <f t="shared" si="33"/>
        <v>3204.0031217855894</v>
      </c>
      <c r="BJ73" s="539">
        <f t="shared" si="33"/>
        <v>3496.2143158421604</v>
      </c>
      <c r="BK73" s="539">
        <f t="shared" si="33"/>
        <v>3658.8576248986719</v>
      </c>
      <c r="BL73" s="539">
        <f t="shared" si="33"/>
        <v>3814.1819850476404</v>
      </c>
      <c r="BM73" s="539">
        <f t="shared" si="33"/>
        <v>3962.516748989905</v>
      </c>
      <c r="BN73" s="539">
        <f t="shared" si="33"/>
        <v>4228.051471400875</v>
      </c>
      <c r="BO73" s="539">
        <f t="shared" si="33"/>
        <v>4363.3364844853195</v>
      </c>
      <c r="BP73" s="539">
        <f t="shared" si="33"/>
        <v>4492.5336719809638</v>
      </c>
      <c r="BQ73" s="539">
        <f t="shared" si="33"/>
        <v>4615.9169860393031</v>
      </c>
      <c r="BR73" s="539">
        <f t="shared" si="33"/>
        <v>3481.929120284753</v>
      </c>
      <c r="BS73" s="539">
        <f t="shared" si="33"/>
        <v>3594.4577872888108</v>
      </c>
      <c r="BT73" s="539">
        <f t="shared" si="33"/>
        <v>3701.9226642776853</v>
      </c>
      <c r="BU73" s="539">
        <f t="shared" si="33"/>
        <v>3804.5516218020607</v>
      </c>
      <c r="BV73" s="539">
        <f t="shared" si="33"/>
        <v>5408.1485807513845</v>
      </c>
      <c r="BW73" s="539">
        <f t="shared" si="33"/>
        <v>5501.7487557375525</v>
      </c>
      <c r="BX73" s="539">
        <f t="shared" si="33"/>
        <v>5591.1369228493431</v>
      </c>
      <c r="BY73" s="539">
        <f t="shared" si="33"/>
        <v>5676.502622441104</v>
      </c>
      <c r="BZ73" s="539">
        <f t="shared" si="33"/>
        <v>5887.9717796858495</v>
      </c>
      <c r="CA73" s="539">
        <f t="shared" si="33"/>
        <v>5965.8274318560234</v>
      </c>
      <c r="CB73" s="539">
        <f t="shared" si="33"/>
        <v>6318.8300864610655</v>
      </c>
      <c r="CC73" s="539">
        <f t="shared" si="33"/>
        <v>7751.8093048324836</v>
      </c>
      <c r="CD73" s="539">
        <f t="shared" si="33"/>
        <v>8099.0649231005473</v>
      </c>
      <c r="CE73" s="539">
        <f t="shared" si="33"/>
        <v>8192.370917161219</v>
      </c>
      <c r="CF73" s="539">
        <f t="shared" si="33"/>
        <v>8284.6759844670305</v>
      </c>
      <c r="CG73" s="539">
        <f t="shared" si="33"/>
        <v>8391.022979829173</v>
      </c>
      <c r="CH73" s="539">
        <f t="shared" si="33"/>
        <v>8716.6110764479017</v>
      </c>
      <c r="CI73" s="539">
        <f t="shared" si="33"/>
        <v>8803.848631038858</v>
      </c>
      <c r="CJ73" s="539">
        <f t="shared" si="33"/>
        <v>8890.7190596444616</v>
      </c>
      <c r="CK73" s="539">
        <f t="shared" si="33"/>
        <v>8990.1045536171096</v>
      </c>
      <c r="CL73" s="539">
        <f t="shared" si="33"/>
        <v>7081.1731932007333</v>
      </c>
      <c r="CM73" s="539">
        <f t="shared" si="33"/>
        <v>7168.467703674296</v>
      </c>
      <c r="CN73" s="539">
        <f t="shared" si="33"/>
        <v>7256.0864129414431</v>
      </c>
      <c r="CO73" s="539">
        <f t="shared" si="33"/>
        <v>7354.4919558763195</v>
      </c>
      <c r="CP73" s="539">
        <f t="shared" si="33"/>
        <v>9886.341845235178</v>
      </c>
      <c r="CQ73" s="539">
        <f t="shared" si="33"/>
        <v>9978.4832843096665</v>
      </c>
      <c r="CR73" s="539">
        <f t="shared" si="33"/>
        <v>10060.729242655556</v>
      </c>
      <c r="CS73" s="539">
        <f t="shared" si="33"/>
        <v>10151.812470357134</v>
      </c>
      <c r="CT73" s="539">
        <f t="shared" si="33"/>
        <v>10458.431480132196</v>
      </c>
      <c r="CU73" s="539">
        <f t="shared" si="33"/>
        <v>10539.809433958937</v>
      </c>
      <c r="CV73" s="539">
        <f t="shared" si="33"/>
        <v>10622.326237680485</v>
      </c>
      <c r="CW73" s="539">
        <f t="shared" si="33"/>
        <v>10711.36601050882</v>
      </c>
      <c r="CX73" s="539">
        <f t="shared" si="33"/>
        <v>11014.167476496035</v>
      </c>
      <c r="CY73" s="539">
        <f t="shared" si="33"/>
        <v>11096.643921714494</v>
      </c>
      <c r="CZ73" s="539">
        <f t="shared" si="33"/>
        <v>11180.664711958845</v>
      </c>
      <c r="DA73" s="539">
        <f t="shared" si="33"/>
        <v>11268.858521640252</v>
      </c>
      <c r="DB73" s="539">
        <f t="shared" si="33"/>
        <v>11791.004042824419</v>
      </c>
      <c r="DC73" s="539">
        <f t="shared" si="33"/>
        <v>11812.451931724356</v>
      </c>
      <c r="DD73" s="539">
        <f t="shared" si="33"/>
        <v>11832.934665623796</v>
      </c>
      <c r="DE73" s="539">
        <f t="shared" si="33"/>
        <v>11852.495676497761</v>
      </c>
      <c r="DF73" s="539">
        <f t="shared" si="33"/>
        <v>9562.2359841463476</v>
      </c>
      <c r="DG73" s="539">
        <f t="shared" si="33"/>
        <v>9580.0761150886756</v>
      </c>
      <c r="DH73" s="539">
        <f t="shared" si="33"/>
        <v>9597.1134401385989</v>
      </c>
      <c r="DI73" s="539">
        <f t="shared" si="33"/>
        <v>9613.3840855612743</v>
      </c>
      <c r="DJ73" s="539">
        <f t="shared" si="33"/>
        <v>12362.00040861106</v>
      </c>
      <c r="DK73" s="539">
        <f t="shared" si="33"/>
        <v>12376.839644002675</v>
      </c>
      <c r="DL73" s="539">
        <f t="shared" si="33"/>
        <v>12391.011113801669</v>
      </c>
      <c r="DM73" s="539">
        <f t="shared" si="33"/>
        <v>12404.544867459708</v>
      </c>
      <c r="DN73" s="539">
        <f t="shared" si="33"/>
        <v>12634.486114046982</v>
      </c>
      <c r="DO73" s="539">
        <f t="shared" si="33"/>
        <v>12646.829235726955</v>
      </c>
      <c r="DP73" s="539">
        <f t="shared" si="33"/>
        <v>12658.616916931329</v>
      </c>
      <c r="DQ73" s="539">
        <f t="shared" si="33"/>
        <v>12669.874152481505</v>
      </c>
      <c r="DR73" s="539">
        <f t="shared" si="33"/>
        <v>12900.991430248141</v>
      </c>
      <c r="DS73" s="539">
        <f t="shared" si="33"/>
        <v>12911.258310500793</v>
      </c>
      <c r="DT73" s="539">
        <f t="shared" si="33"/>
        <v>12921.063181142074</v>
      </c>
      <c r="DU73" s="539">
        <f t="shared" si="33"/>
        <v>12930.426832604497</v>
      </c>
      <c r="DV73" s="539">
        <f t="shared" si="33"/>
        <v>13163.124497358649</v>
      </c>
      <c r="DW73" s="539">
        <f t="shared" si="33"/>
        <v>13171.664381583665</v>
      </c>
      <c r="DX73" s="539">
        <f t="shared" si="33"/>
        <v>13179.819971018556</v>
      </c>
      <c r="DY73" s="539">
        <f t="shared" si="33"/>
        <v>13187.608558928878</v>
      </c>
      <c r="DZ73" s="539">
        <f t="shared" si="33"/>
        <v>13422.229408189076</v>
      </c>
      <c r="EA73" s="539">
        <f t="shared" si="33"/>
        <v>13429.332795077986</v>
      </c>
      <c r="EB73" s="539">
        <f t="shared" si="33"/>
        <v>13436.116529556895</v>
      </c>
      <c r="EC73" s="539">
        <f t="shared" si="33"/>
        <v>10524.805690595733</v>
      </c>
      <c r="ED73" s="539">
        <f t="shared" si="33"/>
        <v>0</v>
      </c>
      <c r="EE73" s="539">
        <f t="shared" si="33"/>
        <v>0</v>
      </c>
      <c r="EF73" s="539">
        <f t="shared" si="33"/>
        <v>0</v>
      </c>
      <c r="EG73" s="539">
        <f t="shared" si="33"/>
        <v>0</v>
      </c>
    </row>
    <row r="74" spans="5:137" ht="12.75">
      <c r="E74" s="538" t="str">
        <f>E$67</f>
        <v>Tax losses - available at start of period</v>
      </c>
      <c r="G74" s="539" t="str">
        <f>G$67</f>
        <v>EUR 000s</v>
      </c>
      <c r="H74" s="539">
        <f>H$67</f>
        <v>1331931.5675670947</v>
      </c>
      <c r="J74" s="539">
        <f t="shared" si="34" ref="J74:EG74">J$67</f>
        <v>0</v>
      </c>
      <c r="K74" s="539">
        <f t="shared" si="34"/>
        <v>0</v>
      </c>
      <c r="L74" s="539">
        <f t="shared" si="34"/>
        <v>0</v>
      </c>
      <c r="M74" s="539">
        <f t="shared" si="34"/>
        <v>0</v>
      </c>
      <c r="N74" s="539">
        <f t="shared" si="34"/>
        <v>0</v>
      </c>
      <c r="O74" s="539">
        <f t="shared" si="34"/>
        <v>0</v>
      </c>
      <c r="P74" s="539">
        <f t="shared" si="34"/>
        <v>0</v>
      </c>
      <c r="Q74" s="539">
        <f t="shared" si="34"/>
        <v>0</v>
      </c>
      <c r="R74" s="539">
        <f t="shared" si="34"/>
        <v>0</v>
      </c>
      <c r="S74" s="539">
        <f t="shared" si="34"/>
        <v>0</v>
      </c>
      <c r="T74" s="539">
        <f t="shared" si="34"/>
        <v>0</v>
      </c>
      <c r="U74" s="539">
        <f t="shared" si="34"/>
        <v>0</v>
      </c>
      <c r="V74" s="539">
        <f t="shared" si="34"/>
        <v>0</v>
      </c>
      <c r="W74" s="539">
        <f t="shared" si="34"/>
        <v>0</v>
      </c>
      <c r="X74" s="539">
        <f t="shared" si="34"/>
        <v>0</v>
      </c>
      <c r="Y74" s="539">
        <f t="shared" si="34"/>
        <v>0</v>
      </c>
      <c r="Z74" s="539">
        <f t="shared" si="34"/>
        <v>0</v>
      </c>
      <c r="AA74" s="539">
        <f t="shared" si="34"/>
        <v>0</v>
      </c>
      <c r="AB74" s="539">
        <f t="shared" si="34"/>
        <v>0</v>
      </c>
      <c r="AC74" s="539">
        <f t="shared" si="34"/>
        <v>0</v>
      </c>
      <c r="AD74" s="539">
        <f t="shared" si="34"/>
        <v>0</v>
      </c>
      <c r="AE74" s="539">
        <f t="shared" si="34"/>
        <v>0</v>
      </c>
      <c r="AF74" s="539">
        <f t="shared" si="34"/>
        <v>0</v>
      </c>
      <c r="AG74" s="539">
        <f t="shared" si="34"/>
        <v>0</v>
      </c>
      <c r="AH74" s="539">
        <f t="shared" si="34"/>
        <v>0</v>
      </c>
      <c r="AI74" s="539">
        <f t="shared" si="34"/>
        <v>6822.7318437499998</v>
      </c>
      <c r="AJ74" s="539">
        <f t="shared" si="34"/>
        <v>13055.069875000001</v>
      </c>
      <c r="AK74" s="539">
        <f t="shared" si="34"/>
        <v>18723.5818153125</v>
      </c>
      <c r="AL74" s="539">
        <f t="shared" si="34"/>
        <v>23853.639838779687</v>
      </c>
      <c r="AM74" s="539">
        <f t="shared" si="34"/>
        <v>28358.857082753351</v>
      </c>
      <c r="AN74" s="539">
        <f t="shared" si="34"/>
        <v>32372.990893216171</v>
      </c>
      <c r="AO74" s="539">
        <f t="shared" si="34"/>
        <v>35918.140024676133</v>
      </c>
      <c r="AP74" s="539">
        <f t="shared" si="34"/>
        <v>39015.408787688364</v>
      </c>
      <c r="AQ74" s="539">
        <f t="shared" si="34"/>
        <v>41572.516711629105</v>
      </c>
      <c r="AR74" s="539">
        <f t="shared" si="34"/>
        <v>43721.146542536306</v>
      </c>
      <c r="AS74" s="539">
        <f t="shared" si="34"/>
        <v>45479.679794596479</v>
      </c>
      <c r="AT74" s="539">
        <f t="shared" si="34"/>
        <v>46865.670813857738</v>
      </c>
      <c r="AU74" s="539">
        <f t="shared" si="34"/>
        <v>47781.606015446778</v>
      </c>
      <c r="AV74" s="539">
        <f t="shared" si="34"/>
        <v>48357.773387167384</v>
      </c>
      <c r="AW74" s="539">
        <f t="shared" si="34"/>
        <v>48609.46248136364</v>
      </c>
      <c r="AX74" s="539">
        <f t="shared" si="34"/>
        <v>48568.731118775991</v>
      </c>
      <c r="AY74" s="539">
        <f t="shared" si="34"/>
        <v>49316.143083837531</v>
      </c>
      <c r="AZ74" s="539">
        <f t="shared" si="34"/>
        <v>49780.939701387586</v>
      </c>
      <c r="BA74" s="539">
        <f t="shared" si="34"/>
        <v>49975.838662064169</v>
      </c>
      <c r="BB74" s="539">
        <f t="shared" si="34"/>
        <v>49931.841350917864</v>
      </c>
      <c r="BC74" s="539">
        <f t="shared" si="34"/>
        <v>48780.534136530303</v>
      </c>
      <c r="BD74" s="539">
        <f t="shared" si="34"/>
        <v>47464.67336721679</v>
      </c>
      <c r="BE74" s="539">
        <f t="shared" si="34"/>
        <v>45991.663952948991</v>
      </c>
      <c r="BF74" s="539">
        <f t="shared" si="34"/>
        <v>44368.577582749851</v>
      </c>
      <c r="BG74" s="539">
        <f t="shared" si="34"/>
        <v>42518.196393095648</v>
      </c>
      <c r="BH74" s="539">
        <f t="shared" si="34"/>
        <v>40530.941267708164</v>
      </c>
      <c r="BI74" s="539">
        <f t="shared" si="34"/>
        <v>38412.971533695396</v>
      </c>
      <c r="BJ74" s="539">
        <f t="shared" si="34"/>
        <v>36170.169348445481</v>
      </c>
      <c r="BK74" s="539">
        <f t="shared" si="34"/>
        <v>33722.819327355966</v>
      </c>
      <c r="BL74" s="539">
        <f t="shared" si="34"/>
        <v>31161.618989926897</v>
      </c>
      <c r="BM74" s="539">
        <f t="shared" si="34"/>
        <v>28491.691600393548</v>
      </c>
      <c r="BN74" s="539">
        <f t="shared" si="34"/>
        <v>25717.929876100614</v>
      </c>
      <c r="BO74" s="539">
        <f t="shared" si="34"/>
        <v>22758.293846120003</v>
      </c>
      <c r="BP74" s="539">
        <f t="shared" si="34"/>
        <v>19703.958306980279</v>
      </c>
      <c r="BQ74" s="539">
        <f t="shared" si="34"/>
        <v>16559.184736593605</v>
      </c>
      <c r="BR74" s="539">
        <f t="shared" si="34"/>
        <v>13328.042846366094</v>
      </c>
      <c r="BS74" s="539">
        <f t="shared" si="34"/>
        <v>10890.692462166768</v>
      </c>
      <c r="BT74" s="539">
        <f t="shared" si="34"/>
        <v>8374.5720110645998</v>
      </c>
      <c r="BU74" s="539">
        <f t="shared" si="34"/>
        <v>5783.2261460702202</v>
      </c>
      <c r="BV74" s="539">
        <f t="shared" si="34"/>
        <v>3120.0400108087779</v>
      </c>
      <c r="BW74" s="539">
        <f t="shared" si="34"/>
        <v>0</v>
      </c>
      <c r="BX74" s="539">
        <f t="shared" si="34"/>
        <v>0</v>
      </c>
      <c r="BY74" s="539">
        <f t="shared" si="34"/>
        <v>0</v>
      </c>
      <c r="BZ74" s="539">
        <f t="shared" si="34"/>
        <v>0</v>
      </c>
      <c r="CA74" s="539">
        <f t="shared" si="34"/>
        <v>0</v>
      </c>
      <c r="CB74" s="539">
        <f t="shared" si="34"/>
        <v>0</v>
      </c>
      <c r="CC74" s="539">
        <f t="shared" si="34"/>
        <v>0</v>
      </c>
      <c r="CD74" s="539">
        <f t="shared" si="34"/>
        <v>0</v>
      </c>
      <c r="CE74" s="539">
        <f t="shared" si="34"/>
        <v>0</v>
      </c>
      <c r="CF74" s="539">
        <f t="shared" si="34"/>
        <v>0</v>
      </c>
      <c r="CG74" s="539">
        <f t="shared" si="34"/>
        <v>-7.2759576141834259E-12</v>
      </c>
      <c r="CH74" s="539">
        <f t="shared" si="34"/>
        <v>-7.2759576141834259E-12</v>
      </c>
      <c r="CI74" s="539">
        <f t="shared" si="34"/>
        <v>-7.2759576141834259E-12</v>
      </c>
      <c r="CJ74" s="539">
        <f t="shared" si="34"/>
        <v>-7.2759576141834259E-12</v>
      </c>
      <c r="CK74" s="539">
        <f t="shared" si="34"/>
        <v>-7.2759576141834259E-12</v>
      </c>
      <c r="CL74" s="539">
        <f t="shared" si="34"/>
        <v>-7.2759576141834259E-12</v>
      </c>
      <c r="CM74" s="539">
        <f t="shared" si="34"/>
        <v>-7.2759576141834259E-12</v>
      </c>
      <c r="CN74" s="539">
        <f t="shared" si="34"/>
        <v>-7.2759576141834259E-12</v>
      </c>
      <c r="CO74" s="539">
        <f t="shared" si="34"/>
        <v>-7.2759576141834259E-12</v>
      </c>
      <c r="CP74" s="539">
        <f t="shared" si="34"/>
        <v>-7.2759576141834259E-12</v>
      </c>
      <c r="CQ74" s="539">
        <f t="shared" si="34"/>
        <v>-7.2759576141834259E-12</v>
      </c>
      <c r="CR74" s="539">
        <f t="shared" si="34"/>
        <v>-7.2759576141834259E-12</v>
      </c>
      <c r="CS74" s="539">
        <f t="shared" si="34"/>
        <v>-7.2759576141834259E-12</v>
      </c>
      <c r="CT74" s="539">
        <f t="shared" si="34"/>
        <v>-7.2759576141834259E-12</v>
      </c>
      <c r="CU74" s="539">
        <f t="shared" si="34"/>
        <v>-7.2759576141834259E-12</v>
      </c>
      <c r="CV74" s="539">
        <f t="shared" si="34"/>
        <v>-7.2759576141834259E-12</v>
      </c>
      <c r="CW74" s="539">
        <f t="shared" si="34"/>
        <v>-7.2759576141834259E-12</v>
      </c>
      <c r="CX74" s="539">
        <f t="shared" si="34"/>
        <v>-7.2759576141834259E-12</v>
      </c>
      <c r="CY74" s="539">
        <f t="shared" si="34"/>
        <v>-7.2759576141834259E-12</v>
      </c>
      <c r="CZ74" s="539">
        <f t="shared" si="34"/>
        <v>-7.2759576141834259E-12</v>
      </c>
      <c r="DA74" s="539">
        <f t="shared" si="34"/>
        <v>-7.2759576141834259E-12</v>
      </c>
      <c r="DB74" s="539">
        <f t="shared" si="34"/>
        <v>-7.2759576141834259E-12</v>
      </c>
      <c r="DC74" s="539">
        <f t="shared" si="34"/>
        <v>-7.2759576141834259E-12</v>
      </c>
      <c r="DD74" s="539">
        <f t="shared" si="34"/>
        <v>-7.2759576141834259E-12</v>
      </c>
      <c r="DE74" s="539">
        <f t="shared" si="34"/>
        <v>-7.2759576141834259E-12</v>
      </c>
      <c r="DF74" s="539">
        <f t="shared" si="34"/>
        <v>-7.2759576141834259E-12</v>
      </c>
      <c r="DG74" s="539">
        <f t="shared" si="34"/>
        <v>-7.2759576141834259E-12</v>
      </c>
      <c r="DH74" s="539">
        <f t="shared" si="34"/>
        <v>-7.2759576141834259E-12</v>
      </c>
      <c r="DI74" s="539">
        <f t="shared" si="34"/>
        <v>-7.2759576141834259E-12</v>
      </c>
      <c r="DJ74" s="539">
        <f t="shared" si="34"/>
        <v>-7.2759576141834259E-12</v>
      </c>
      <c r="DK74" s="539">
        <f t="shared" si="34"/>
        <v>-7.2759576141834259E-12</v>
      </c>
      <c r="DL74" s="539">
        <f t="shared" si="34"/>
        <v>-7.2759576141834259E-12</v>
      </c>
      <c r="DM74" s="539">
        <f t="shared" si="34"/>
        <v>-7.2759576141834259E-12</v>
      </c>
      <c r="DN74" s="539">
        <f t="shared" si="34"/>
        <v>-7.2759576141834259E-12</v>
      </c>
      <c r="DO74" s="539">
        <f t="shared" si="34"/>
        <v>-7.2759576141834259E-12</v>
      </c>
      <c r="DP74" s="539">
        <f t="shared" si="34"/>
        <v>-7.2759576141834259E-12</v>
      </c>
      <c r="DQ74" s="539">
        <f t="shared" si="34"/>
        <v>-7.2759576141834259E-12</v>
      </c>
      <c r="DR74" s="539">
        <f t="shared" si="34"/>
        <v>-7.2759576141834259E-12</v>
      </c>
      <c r="DS74" s="539">
        <f t="shared" si="34"/>
        <v>-7.2759576141834259E-12</v>
      </c>
      <c r="DT74" s="539">
        <f t="shared" si="34"/>
        <v>-7.2759576141834259E-12</v>
      </c>
      <c r="DU74" s="539">
        <f t="shared" si="34"/>
        <v>-7.2759576141834259E-12</v>
      </c>
      <c r="DV74" s="539">
        <f t="shared" si="34"/>
        <v>-7.2759576141834259E-12</v>
      </c>
      <c r="DW74" s="539">
        <f t="shared" si="34"/>
        <v>-7.2759576141834259E-12</v>
      </c>
      <c r="DX74" s="539">
        <f t="shared" si="34"/>
        <v>-7.2759576141834259E-12</v>
      </c>
      <c r="DY74" s="539">
        <f t="shared" si="34"/>
        <v>-7.2759576141834259E-12</v>
      </c>
      <c r="DZ74" s="539">
        <f t="shared" si="34"/>
        <v>-7.2759576141834259E-12</v>
      </c>
      <c r="EA74" s="539">
        <f t="shared" si="34"/>
        <v>-7.2759576141834259E-12</v>
      </c>
      <c r="EB74" s="539">
        <f t="shared" si="34"/>
        <v>-7.2759576141834259E-12</v>
      </c>
      <c r="EC74" s="539">
        <f t="shared" si="34"/>
        <v>-7.2759576141834259E-12</v>
      </c>
      <c r="ED74" s="539">
        <f t="shared" si="34"/>
        <v>0</v>
      </c>
      <c r="EE74" s="539">
        <f t="shared" si="34"/>
        <v>0</v>
      </c>
      <c r="EF74" s="539">
        <f t="shared" si="34"/>
        <v>0</v>
      </c>
      <c r="EG74" s="539">
        <f t="shared" si="34"/>
        <v>0</v>
      </c>
    </row>
    <row r="75" spans="5:137" ht="12.75">
      <c r="E75" s="538" t="s">
        <v>446</v>
      </c>
      <c r="G75" s="539" t="s">
        <v>30</v>
      </c>
      <c r="H75" s="539">
        <f>SUM(J75:EG75)</f>
        <v>50016.570024651453</v>
      </c>
      <c r="J75" s="539">
        <f t="shared" si="35" ref="J75:EG75">MIN(J74,MAX(0,J73)*$F72)</f>
        <v>0</v>
      </c>
      <c r="K75" s="539">
        <f t="shared" si="35"/>
        <v>0</v>
      </c>
      <c r="L75" s="539">
        <f t="shared" si="35"/>
        <v>0</v>
      </c>
      <c r="M75" s="539">
        <f t="shared" si="35"/>
        <v>0</v>
      </c>
      <c r="N75" s="539">
        <f t="shared" si="35"/>
        <v>0</v>
      </c>
      <c r="O75" s="539">
        <f t="shared" si="35"/>
        <v>0</v>
      </c>
      <c r="P75" s="539">
        <f t="shared" si="35"/>
        <v>0</v>
      </c>
      <c r="Q75" s="539">
        <f t="shared" si="35"/>
        <v>0</v>
      </c>
      <c r="R75" s="539">
        <f t="shared" si="35"/>
        <v>0</v>
      </c>
      <c r="S75" s="539">
        <f t="shared" si="35"/>
        <v>0</v>
      </c>
      <c r="T75" s="539">
        <f t="shared" si="35"/>
        <v>0</v>
      </c>
      <c r="U75" s="539">
        <f t="shared" si="35"/>
        <v>0</v>
      </c>
      <c r="V75" s="539">
        <f t="shared" si="35"/>
        <v>0</v>
      </c>
      <c r="W75" s="539">
        <f t="shared" si="35"/>
        <v>0</v>
      </c>
      <c r="X75" s="539">
        <f t="shared" si="35"/>
        <v>0</v>
      </c>
      <c r="Y75" s="539">
        <f t="shared" si="35"/>
        <v>0</v>
      </c>
      <c r="Z75" s="539">
        <f t="shared" si="35"/>
        <v>0</v>
      </c>
      <c r="AA75" s="539">
        <f t="shared" si="35"/>
        <v>0</v>
      </c>
      <c r="AB75" s="539">
        <f t="shared" si="35"/>
        <v>0</v>
      </c>
      <c r="AC75" s="539">
        <f t="shared" si="35"/>
        <v>0</v>
      </c>
      <c r="AD75" s="539">
        <f t="shared" si="35"/>
        <v>0</v>
      </c>
      <c r="AE75" s="539">
        <f t="shared" si="35"/>
        <v>0</v>
      </c>
      <c r="AF75" s="539">
        <f t="shared" si="35"/>
        <v>0</v>
      </c>
      <c r="AG75" s="539">
        <f t="shared" si="35"/>
        <v>0</v>
      </c>
      <c r="AH75" s="539">
        <f t="shared" si="35"/>
        <v>0</v>
      </c>
      <c r="AI75" s="539">
        <f t="shared" si="35"/>
        <v>0</v>
      </c>
      <c r="AJ75" s="539">
        <f t="shared" si="35"/>
        <v>0</v>
      </c>
      <c r="AK75" s="539">
        <f t="shared" si="35"/>
        <v>0</v>
      </c>
      <c r="AL75" s="539">
        <f t="shared" si="35"/>
        <v>0</v>
      </c>
      <c r="AM75" s="539">
        <f t="shared" si="35"/>
        <v>0</v>
      </c>
      <c r="AN75" s="539">
        <f t="shared" si="35"/>
        <v>0</v>
      </c>
      <c r="AO75" s="539">
        <f t="shared" si="35"/>
        <v>0</v>
      </c>
      <c r="AP75" s="539">
        <f t="shared" si="35"/>
        <v>0</v>
      </c>
      <c r="AQ75" s="539">
        <f t="shared" si="35"/>
        <v>0</v>
      </c>
      <c r="AR75" s="539">
        <f t="shared" si="35"/>
        <v>0</v>
      </c>
      <c r="AS75" s="539">
        <f t="shared" si="35"/>
        <v>0</v>
      </c>
      <c r="AT75" s="539">
        <f t="shared" si="35"/>
        <v>0</v>
      </c>
      <c r="AU75" s="539">
        <f t="shared" si="35"/>
        <v>0</v>
      </c>
      <c r="AV75" s="539">
        <f t="shared" si="35"/>
        <v>0</v>
      </c>
      <c r="AW75" s="539">
        <f t="shared" si="35"/>
        <v>40.731362587648754</v>
      </c>
      <c r="AX75" s="539">
        <f t="shared" si="35"/>
        <v>0</v>
      </c>
      <c r="AY75" s="539">
        <f t="shared" si="35"/>
        <v>0</v>
      </c>
      <c r="AZ75" s="539">
        <f t="shared" si="35"/>
        <v>0</v>
      </c>
      <c r="BA75" s="539">
        <f t="shared" si="35"/>
        <v>43.997311146303446</v>
      </c>
      <c r="BB75" s="539">
        <f t="shared" si="35"/>
        <v>1151.3072143875627</v>
      </c>
      <c r="BC75" s="539">
        <f t="shared" si="35"/>
        <v>1315.8607693135141</v>
      </c>
      <c r="BD75" s="539">
        <f t="shared" si="35"/>
        <v>1473.0094142677974</v>
      </c>
      <c r="BE75" s="539">
        <f t="shared" si="35"/>
        <v>1623.0863701991386</v>
      </c>
      <c r="BF75" s="539">
        <f t="shared" si="35"/>
        <v>1850.3811896542018</v>
      </c>
      <c r="BG75" s="539">
        <f t="shared" si="35"/>
        <v>1987.2551253874831</v>
      </c>
      <c r="BH75" s="539">
        <f t="shared" si="35"/>
        <v>2117.9697340127664</v>
      </c>
      <c r="BI75" s="539">
        <f t="shared" si="35"/>
        <v>2242.8021852499123</v>
      </c>
      <c r="BJ75" s="539">
        <f t="shared" si="35"/>
        <v>2447.3500210895122</v>
      </c>
      <c r="BK75" s="539">
        <f t="shared" si="35"/>
        <v>2561.2003374290703</v>
      </c>
      <c r="BL75" s="539">
        <f t="shared" si="35"/>
        <v>2669.9273895333481</v>
      </c>
      <c r="BM75" s="539">
        <f t="shared" si="35"/>
        <v>2773.7617242929332</v>
      </c>
      <c r="BN75" s="539">
        <f t="shared" si="35"/>
        <v>2959.6360299806124</v>
      </c>
      <c r="BO75" s="539">
        <f t="shared" si="35"/>
        <v>3054.3355391397236</v>
      </c>
      <c r="BP75" s="539">
        <f t="shared" si="35"/>
        <v>3144.7735703866747</v>
      </c>
      <c r="BQ75" s="539">
        <f t="shared" si="35"/>
        <v>3231.1418902275118</v>
      </c>
      <c r="BR75" s="539">
        <f t="shared" si="35"/>
        <v>2437.350384199327</v>
      </c>
      <c r="BS75" s="539">
        <f t="shared" si="35"/>
        <v>2516.1204511021674</v>
      </c>
      <c r="BT75" s="539">
        <f t="shared" si="35"/>
        <v>2591.3458649943796</v>
      </c>
      <c r="BU75" s="539">
        <f t="shared" si="35"/>
        <v>2663.1861352614424</v>
      </c>
      <c r="BV75" s="539">
        <f t="shared" si="35"/>
        <v>3120.0400108087779</v>
      </c>
      <c r="BW75" s="539">
        <f t="shared" si="35"/>
        <v>0</v>
      </c>
      <c r="BX75" s="539">
        <f t="shared" si="35"/>
        <v>0</v>
      </c>
      <c r="BY75" s="539">
        <f t="shared" si="35"/>
        <v>0</v>
      </c>
      <c r="BZ75" s="539">
        <f t="shared" si="35"/>
        <v>0</v>
      </c>
      <c r="CA75" s="539">
        <f t="shared" si="35"/>
        <v>0</v>
      </c>
      <c r="CB75" s="539">
        <f t="shared" si="35"/>
        <v>0</v>
      </c>
      <c r="CC75" s="539">
        <f t="shared" si="35"/>
        <v>0</v>
      </c>
      <c r="CD75" s="539">
        <f t="shared" si="35"/>
        <v>0</v>
      </c>
      <c r="CE75" s="539">
        <f t="shared" si="35"/>
        <v>0</v>
      </c>
      <c r="CF75" s="539">
        <f t="shared" si="35"/>
        <v>0</v>
      </c>
      <c r="CG75" s="539">
        <f t="shared" si="35"/>
        <v>-7.2759576141834259E-12</v>
      </c>
      <c r="CH75" s="539">
        <f t="shared" si="35"/>
        <v>-7.2759576141834259E-12</v>
      </c>
      <c r="CI75" s="539">
        <f t="shared" si="35"/>
        <v>-7.2759576141834259E-12</v>
      </c>
      <c r="CJ75" s="539">
        <f t="shared" si="35"/>
        <v>-7.2759576141834259E-12</v>
      </c>
      <c r="CK75" s="539">
        <f t="shared" si="35"/>
        <v>-7.2759576141834259E-12</v>
      </c>
      <c r="CL75" s="539">
        <f t="shared" si="35"/>
        <v>-7.2759576141834259E-12</v>
      </c>
      <c r="CM75" s="539">
        <f t="shared" si="35"/>
        <v>-7.2759576141834259E-12</v>
      </c>
      <c r="CN75" s="539">
        <f t="shared" si="35"/>
        <v>-7.2759576141834259E-12</v>
      </c>
      <c r="CO75" s="539">
        <f t="shared" si="35"/>
        <v>-7.2759576141834259E-12</v>
      </c>
      <c r="CP75" s="539">
        <f t="shared" si="35"/>
        <v>-7.2759576141834259E-12</v>
      </c>
      <c r="CQ75" s="539">
        <f t="shared" si="35"/>
        <v>-7.2759576141834259E-12</v>
      </c>
      <c r="CR75" s="539">
        <f t="shared" si="35"/>
        <v>-7.2759576141834259E-12</v>
      </c>
      <c r="CS75" s="539">
        <f t="shared" si="35"/>
        <v>-7.2759576141834259E-12</v>
      </c>
      <c r="CT75" s="539">
        <f t="shared" si="35"/>
        <v>-7.2759576141834259E-12</v>
      </c>
      <c r="CU75" s="539">
        <f t="shared" si="35"/>
        <v>-7.2759576141834259E-12</v>
      </c>
      <c r="CV75" s="539">
        <f t="shared" si="35"/>
        <v>-7.2759576141834259E-12</v>
      </c>
      <c r="CW75" s="539">
        <f t="shared" si="35"/>
        <v>-7.2759576141834259E-12</v>
      </c>
      <c r="CX75" s="539">
        <f t="shared" si="35"/>
        <v>-7.2759576141834259E-12</v>
      </c>
      <c r="CY75" s="539">
        <f t="shared" si="35"/>
        <v>-7.2759576141834259E-12</v>
      </c>
      <c r="CZ75" s="539">
        <f t="shared" si="35"/>
        <v>-7.2759576141834259E-12</v>
      </c>
      <c r="DA75" s="539">
        <f t="shared" si="35"/>
        <v>-7.2759576141834259E-12</v>
      </c>
      <c r="DB75" s="539">
        <f t="shared" si="35"/>
        <v>-7.2759576141834259E-12</v>
      </c>
      <c r="DC75" s="539">
        <f t="shared" si="35"/>
        <v>-7.2759576141834259E-12</v>
      </c>
      <c r="DD75" s="539">
        <f t="shared" si="35"/>
        <v>-7.2759576141834259E-12</v>
      </c>
      <c r="DE75" s="539">
        <f t="shared" si="35"/>
        <v>-7.2759576141834259E-12</v>
      </c>
      <c r="DF75" s="539">
        <f t="shared" si="35"/>
        <v>-7.2759576141834259E-12</v>
      </c>
      <c r="DG75" s="539">
        <f t="shared" si="35"/>
        <v>-7.2759576141834259E-12</v>
      </c>
      <c r="DH75" s="539">
        <f t="shared" si="35"/>
        <v>-7.2759576141834259E-12</v>
      </c>
      <c r="DI75" s="539">
        <f t="shared" si="35"/>
        <v>-7.2759576141834259E-12</v>
      </c>
      <c r="DJ75" s="539">
        <f t="shared" si="35"/>
        <v>-7.2759576141834259E-12</v>
      </c>
      <c r="DK75" s="539">
        <f t="shared" si="35"/>
        <v>-7.2759576141834259E-12</v>
      </c>
      <c r="DL75" s="539">
        <f t="shared" si="35"/>
        <v>-7.2759576141834259E-12</v>
      </c>
      <c r="DM75" s="539">
        <f t="shared" si="35"/>
        <v>-7.2759576141834259E-12</v>
      </c>
      <c r="DN75" s="539">
        <f t="shared" si="35"/>
        <v>-7.2759576141834259E-12</v>
      </c>
      <c r="DO75" s="539">
        <f t="shared" si="35"/>
        <v>-7.2759576141834259E-12</v>
      </c>
      <c r="DP75" s="539">
        <f t="shared" si="35"/>
        <v>-7.2759576141834259E-12</v>
      </c>
      <c r="DQ75" s="539">
        <f t="shared" si="35"/>
        <v>-7.2759576141834259E-12</v>
      </c>
      <c r="DR75" s="539">
        <f t="shared" si="35"/>
        <v>-7.2759576141834259E-12</v>
      </c>
      <c r="DS75" s="539">
        <f t="shared" si="35"/>
        <v>-7.2759576141834259E-12</v>
      </c>
      <c r="DT75" s="539">
        <f t="shared" si="35"/>
        <v>-7.2759576141834259E-12</v>
      </c>
      <c r="DU75" s="539">
        <f t="shared" si="35"/>
        <v>-7.2759576141834259E-12</v>
      </c>
      <c r="DV75" s="539">
        <f t="shared" si="35"/>
        <v>-7.2759576141834259E-12</v>
      </c>
      <c r="DW75" s="539">
        <f t="shared" si="35"/>
        <v>-7.2759576141834259E-12</v>
      </c>
      <c r="DX75" s="539">
        <f t="shared" si="35"/>
        <v>-7.2759576141834259E-12</v>
      </c>
      <c r="DY75" s="539">
        <f t="shared" si="35"/>
        <v>-7.2759576141834259E-12</v>
      </c>
      <c r="DZ75" s="539">
        <f t="shared" si="35"/>
        <v>-7.2759576141834259E-12</v>
      </c>
      <c r="EA75" s="539">
        <f t="shared" si="35"/>
        <v>-7.2759576141834259E-12</v>
      </c>
      <c r="EB75" s="539">
        <f t="shared" si="35"/>
        <v>-7.2759576141834259E-12</v>
      </c>
      <c r="EC75" s="539">
        <f t="shared" si="35"/>
        <v>-7.2759576141834259E-12</v>
      </c>
      <c r="ED75" s="539">
        <f t="shared" si="35"/>
        <v>0</v>
      </c>
      <c r="EE75" s="539">
        <f t="shared" si="35"/>
        <v>0</v>
      </c>
      <c r="EF75" s="539">
        <f t="shared" si="35"/>
        <v>0</v>
      </c>
      <c r="EG75" s="539">
        <f t="shared" si="35"/>
        <v>0</v>
      </c>
    </row>
    <row r="77" spans="2:2" ht="12.75">
      <c r="B77" s="534" t="s">
        <v>447</v>
      </c>
    </row>
    <row r="78" spans="5:7" ht="12.75">
      <c r="E78" s="535" t="str">
        <f>InpC!E$120</f>
        <v>Tax losses - expiry period</v>
      </c>
      <c r="F78" s="537">
        <f>InpC!F$120</f>
        <v>8</v>
      </c>
      <c r="G78" s="537" t="str">
        <f>InpC!G$120</f>
        <v>years</v>
      </c>
    </row>
    <row r="79" spans="5:7" ht="12.75">
      <c r="E79" s="535" t="str">
        <f>InpC!E$126</f>
        <v>Months in year</v>
      </c>
      <c r="F79" s="537">
        <f>InpC!F$126</f>
        <v>12</v>
      </c>
      <c r="G79" s="537" t="str">
        <f>InpC!G$126</f>
        <v>months</v>
      </c>
    </row>
    <row r="80" spans="5:137" ht="12.75">
      <c r="E80" s="535" t="str">
        <f>Time!E$50</f>
        <v>Model period ending</v>
      </c>
      <c r="G80" s="536" t="str">
        <f>Time!G$50</f>
        <v>date</v>
      </c>
      <c r="J80" s="536">
        <f>Time!J$50</f>
        <v>46418</v>
      </c>
      <c r="K80" s="536">
        <f>Time!K$50</f>
        <v>46446</v>
      </c>
      <c r="L80" s="536">
        <f>Time!L$50</f>
        <v>46477</v>
      </c>
      <c r="M80" s="536">
        <f>Time!M$50</f>
        <v>46507</v>
      </c>
      <c r="N80" s="536">
        <f>Time!N$50</f>
        <v>46538</v>
      </c>
      <c r="O80" s="536">
        <f>Time!O$50</f>
        <v>46568</v>
      </c>
      <c r="P80" s="536">
        <f>Time!P$50</f>
        <v>46599</v>
      </c>
      <c r="Q80" s="536">
        <f>Time!Q$50</f>
        <v>46630</v>
      </c>
      <c r="R80" s="536">
        <f>Time!R$50</f>
        <v>46660</v>
      </c>
      <c r="S80" s="536">
        <f>Time!S$50</f>
        <v>46691</v>
      </c>
      <c r="T80" s="536">
        <f>Time!T$50</f>
        <v>46721</v>
      </c>
      <c r="U80" s="536">
        <f>Time!U$50</f>
        <v>46752</v>
      </c>
      <c r="V80" s="536">
        <f>Time!V$50</f>
        <v>46783</v>
      </c>
      <c r="W80" s="536">
        <f>Time!W$50</f>
        <v>46812</v>
      </c>
      <c r="X80" s="536">
        <f>Time!X$50</f>
        <v>46843</v>
      </c>
      <c r="Y80" s="536">
        <f>Time!Y$50</f>
        <v>46873</v>
      </c>
      <c r="Z80" s="536">
        <f>Time!Z$50</f>
        <v>46904</v>
      </c>
      <c r="AA80" s="536">
        <f>Time!AA$50</f>
        <v>46934</v>
      </c>
      <c r="AB80" s="536">
        <f>Time!AB$50</f>
        <v>46965</v>
      </c>
      <c r="AC80" s="536">
        <f>Time!AC$50</f>
        <v>46996</v>
      </c>
      <c r="AD80" s="536">
        <f>Time!AD$50</f>
        <v>47026</v>
      </c>
      <c r="AE80" s="536">
        <f>Time!AE$50</f>
        <v>47057</v>
      </c>
      <c r="AF80" s="536">
        <f>Time!AF$50</f>
        <v>47087</v>
      </c>
      <c r="AG80" s="536">
        <f>Time!AG$50</f>
        <v>47118</v>
      </c>
      <c r="AH80" s="536">
        <f>Time!AH$50</f>
        <v>47208</v>
      </c>
      <c r="AI80" s="536">
        <f>Time!AI$50</f>
        <v>47299</v>
      </c>
      <c r="AJ80" s="536">
        <f>Time!AJ$50</f>
        <v>47391</v>
      </c>
      <c r="AK80" s="536">
        <f>Time!AK$50</f>
        <v>47483</v>
      </c>
      <c r="AL80" s="536">
        <f>Time!AL$50</f>
        <v>47573</v>
      </c>
      <c r="AM80" s="536">
        <f>Time!AM$50</f>
        <v>47664</v>
      </c>
      <c r="AN80" s="536">
        <f>Time!AN$50</f>
        <v>47756</v>
      </c>
      <c r="AO80" s="536">
        <f>Time!AO$50</f>
        <v>47848</v>
      </c>
      <c r="AP80" s="536">
        <f>Time!AP$50</f>
        <v>47938</v>
      </c>
      <c r="AQ80" s="536">
        <f>Time!AQ$50</f>
        <v>48029</v>
      </c>
      <c r="AR80" s="536">
        <f>Time!AR$50</f>
        <v>48121</v>
      </c>
      <c r="AS80" s="536">
        <f>Time!AS$50</f>
        <v>48213</v>
      </c>
      <c r="AT80" s="536">
        <f>Time!AT$50</f>
        <v>48304</v>
      </c>
      <c r="AU80" s="536">
        <f>Time!AU$50</f>
        <v>48395</v>
      </c>
      <c r="AV80" s="536">
        <f>Time!AV$50</f>
        <v>48487</v>
      </c>
      <c r="AW80" s="536">
        <f>Time!AW$50</f>
        <v>48579</v>
      </c>
      <c r="AX80" s="536">
        <f>Time!AX$50</f>
        <v>48669</v>
      </c>
      <c r="AY80" s="536">
        <f>Time!AY$50</f>
        <v>48760</v>
      </c>
      <c r="AZ80" s="536">
        <f>Time!AZ$50</f>
        <v>48852</v>
      </c>
      <c r="BA80" s="536">
        <f>Time!BA$50</f>
        <v>48944</v>
      </c>
      <c r="BB80" s="536">
        <f>Time!BB$50</f>
        <v>49034</v>
      </c>
      <c r="BC80" s="536">
        <f>Time!BC$50</f>
        <v>49125</v>
      </c>
      <c r="BD80" s="536">
        <f>Time!BD$50</f>
        <v>49217</v>
      </c>
      <c r="BE80" s="536">
        <f>Time!BE$50</f>
        <v>49309</v>
      </c>
      <c r="BF80" s="536">
        <f>Time!BF$50</f>
        <v>49399</v>
      </c>
      <c r="BG80" s="536">
        <f>Time!BG$50</f>
        <v>49490</v>
      </c>
      <c r="BH80" s="536">
        <f>Time!BH$50</f>
        <v>49582</v>
      </c>
      <c r="BI80" s="536">
        <f>Time!BI$50</f>
        <v>49674</v>
      </c>
      <c r="BJ80" s="536">
        <f>Time!BJ$50</f>
        <v>49765</v>
      </c>
      <c r="BK80" s="536">
        <f>Time!BK$50</f>
        <v>49856</v>
      </c>
      <c r="BL80" s="536">
        <f>Time!BL$50</f>
        <v>49948</v>
      </c>
      <c r="BM80" s="536">
        <f>Time!BM$50</f>
        <v>50040</v>
      </c>
      <c r="BN80" s="536">
        <f>Time!BN$50</f>
        <v>50130</v>
      </c>
      <c r="BO80" s="536">
        <f>Time!BO$50</f>
        <v>50221</v>
      </c>
      <c r="BP80" s="536">
        <f>Time!BP$50</f>
        <v>50313</v>
      </c>
      <c r="BQ80" s="536">
        <f>Time!BQ$50</f>
        <v>50405</v>
      </c>
      <c r="BR80" s="536">
        <f>Time!BR$50</f>
        <v>50495</v>
      </c>
      <c r="BS80" s="536">
        <f>Time!BS$50</f>
        <v>50586</v>
      </c>
      <c r="BT80" s="536">
        <f>Time!BT$50</f>
        <v>50678</v>
      </c>
      <c r="BU80" s="536">
        <f>Time!BU$50</f>
        <v>50770</v>
      </c>
      <c r="BV80" s="536">
        <f>Time!BV$50</f>
        <v>50860</v>
      </c>
      <c r="BW80" s="536">
        <f>Time!BW$50</f>
        <v>50951</v>
      </c>
      <c r="BX80" s="536">
        <f>Time!BX$50</f>
        <v>51043</v>
      </c>
      <c r="BY80" s="536">
        <f>Time!BY$50</f>
        <v>51135</v>
      </c>
      <c r="BZ80" s="536">
        <f>Time!BZ$50</f>
        <v>51226</v>
      </c>
      <c r="CA80" s="536">
        <f>Time!CA$50</f>
        <v>51317</v>
      </c>
      <c r="CB80" s="536">
        <f>Time!CB$50</f>
        <v>51409</v>
      </c>
      <c r="CC80" s="536">
        <f>Time!CC$50</f>
        <v>51501</v>
      </c>
      <c r="CD80" s="536">
        <f>Time!CD$50</f>
        <v>51591</v>
      </c>
      <c r="CE80" s="536">
        <f>Time!CE$50</f>
        <v>51682</v>
      </c>
      <c r="CF80" s="536">
        <f>Time!CF$50</f>
        <v>51774</v>
      </c>
      <c r="CG80" s="536">
        <f>Time!CG$50</f>
        <v>51866</v>
      </c>
      <c r="CH80" s="536">
        <f>Time!CH$50</f>
        <v>51956</v>
      </c>
      <c r="CI80" s="536">
        <f>Time!CI$50</f>
        <v>52047</v>
      </c>
      <c r="CJ80" s="536">
        <f>Time!CJ$50</f>
        <v>52139</v>
      </c>
      <c r="CK80" s="536">
        <f>Time!CK$50</f>
        <v>52231</v>
      </c>
      <c r="CL80" s="536">
        <f>Time!CL$50</f>
        <v>52321</v>
      </c>
      <c r="CM80" s="536">
        <f>Time!CM$50</f>
        <v>52412</v>
      </c>
      <c r="CN80" s="536">
        <f>Time!CN$50</f>
        <v>52504</v>
      </c>
      <c r="CO80" s="536">
        <f>Time!CO$50</f>
        <v>52596</v>
      </c>
      <c r="CP80" s="536">
        <f>Time!CP$50</f>
        <v>52687</v>
      </c>
      <c r="CQ80" s="536">
        <f>Time!CQ$50</f>
        <v>52778</v>
      </c>
      <c r="CR80" s="536">
        <f>Time!CR$50</f>
        <v>52870</v>
      </c>
      <c r="CS80" s="536">
        <f>Time!CS$50</f>
        <v>52962</v>
      </c>
      <c r="CT80" s="536">
        <f>Time!CT$50</f>
        <v>53052</v>
      </c>
      <c r="CU80" s="536">
        <f>Time!CU$50</f>
        <v>53143</v>
      </c>
      <c r="CV80" s="536">
        <f>Time!CV$50</f>
        <v>53235</v>
      </c>
      <c r="CW80" s="536">
        <f>Time!CW$50</f>
        <v>53327</v>
      </c>
      <c r="CX80" s="536">
        <f>Time!CX$50</f>
        <v>53417</v>
      </c>
      <c r="CY80" s="536">
        <f>Time!CY$50</f>
        <v>53508</v>
      </c>
      <c r="CZ80" s="536">
        <f>Time!CZ$50</f>
        <v>53600</v>
      </c>
      <c r="DA80" s="536">
        <f>Time!DA$50</f>
        <v>53692</v>
      </c>
      <c r="DB80" s="536">
        <f>Time!DB$50</f>
        <v>53782</v>
      </c>
      <c r="DC80" s="536">
        <f>Time!DC$50</f>
        <v>53873</v>
      </c>
      <c r="DD80" s="536">
        <f>Time!DD$50</f>
        <v>53965</v>
      </c>
      <c r="DE80" s="536">
        <f>Time!DE$50</f>
        <v>54057</v>
      </c>
      <c r="DF80" s="536">
        <f>Time!DF$50</f>
        <v>54148</v>
      </c>
      <c r="DG80" s="536">
        <f>Time!DG$50</f>
        <v>54239</v>
      </c>
      <c r="DH80" s="536">
        <f>Time!DH$50</f>
        <v>54331</v>
      </c>
      <c r="DI80" s="536">
        <f>Time!DI$50</f>
        <v>54423</v>
      </c>
      <c r="DJ80" s="536">
        <f>Time!DJ$50</f>
        <v>54513</v>
      </c>
      <c r="DK80" s="536">
        <f>Time!DK$50</f>
        <v>54604</v>
      </c>
      <c r="DL80" s="536">
        <f>Time!DL$50</f>
        <v>54696</v>
      </c>
      <c r="DM80" s="536">
        <f>Time!DM$50</f>
        <v>54788</v>
      </c>
      <c r="DN80" s="536">
        <f>Time!DN$50</f>
        <v>54878</v>
      </c>
      <c r="DO80" s="536">
        <f>Time!DO$50</f>
        <v>54969</v>
      </c>
      <c r="DP80" s="536">
        <f>Time!DP$50</f>
        <v>55061</v>
      </c>
      <c r="DQ80" s="536">
        <f>Time!DQ$50</f>
        <v>55153</v>
      </c>
      <c r="DR80" s="536">
        <f>Time!DR$50</f>
        <v>55243</v>
      </c>
      <c r="DS80" s="536">
        <f>Time!DS$50</f>
        <v>55334</v>
      </c>
      <c r="DT80" s="536">
        <f>Time!DT$50</f>
        <v>55426</v>
      </c>
      <c r="DU80" s="536">
        <f>Time!DU$50</f>
        <v>55518</v>
      </c>
      <c r="DV80" s="536">
        <f>Time!DV$50</f>
        <v>55609</v>
      </c>
      <c r="DW80" s="536">
        <f>Time!DW$50</f>
        <v>55700</v>
      </c>
      <c r="DX80" s="536">
        <f>Time!DX$50</f>
        <v>55792</v>
      </c>
      <c r="DY80" s="536">
        <f>Time!DY$50</f>
        <v>55884</v>
      </c>
      <c r="DZ80" s="536">
        <f>Time!DZ$50</f>
        <v>55974</v>
      </c>
      <c r="EA80" s="536">
        <f>Time!EA$50</f>
        <v>56065</v>
      </c>
      <c r="EB80" s="536">
        <f>Time!EB$50</f>
        <v>56157</v>
      </c>
      <c r="EC80" s="536">
        <f>Time!EC$50</f>
        <v>56249</v>
      </c>
      <c r="ED80" s="536">
        <f>Time!ED$50</f>
        <v>56339</v>
      </c>
      <c r="EE80" s="536">
        <f>Time!EE$50</f>
        <v>56430</v>
      </c>
      <c r="EF80" s="536">
        <f>Time!EF$50</f>
        <v>56522</v>
      </c>
      <c r="EG80" s="536">
        <f>Time!EG$50</f>
        <v>56614</v>
      </c>
    </row>
    <row r="81" spans="5:137" ht="12.75">
      <c r="E81" s="535" t="str">
        <f>Time!E$91</f>
        <v>Operating period flag</v>
      </c>
      <c r="G81" s="537" t="str">
        <f>Time!G$91</f>
        <v>flag</v>
      </c>
      <c r="H81" s="537">
        <f>Time!H$91</f>
        <v>100</v>
      </c>
      <c r="J81" s="537">
        <f>Time!J$91</f>
        <v>0</v>
      </c>
      <c r="K81" s="537">
        <f>Time!K$91</f>
        <v>0</v>
      </c>
      <c r="L81" s="537">
        <f>Time!L$91</f>
        <v>0</v>
      </c>
      <c r="M81" s="537">
        <f>Time!M$91</f>
        <v>0</v>
      </c>
      <c r="N81" s="537">
        <f>Time!N$91</f>
        <v>0</v>
      </c>
      <c r="O81" s="537">
        <f>Time!O$91</f>
        <v>0</v>
      </c>
      <c r="P81" s="537">
        <f>Time!P$91</f>
        <v>0</v>
      </c>
      <c r="Q81" s="537">
        <f>Time!Q$91</f>
        <v>0</v>
      </c>
      <c r="R81" s="537">
        <f>Time!R$91</f>
        <v>0</v>
      </c>
      <c r="S81" s="537">
        <f>Time!S$91</f>
        <v>0</v>
      </c>
      <c r="T81" s="537">
        <f>Time!T$91</f>
        <v>0</v>
      </c>
      <c r="U81" s="537">
        <f>Time!U$91</f>
        <v>0</v>
      </c>
      <c r="V81" s="537">
        <f>Time!V$91</f>
        <v>0</v>
      </c>
      <c r="W81" s="537">
        <f>Time!W$91</f>
        <v>0</v>
      </c>
      <c r="X81" s="537">
        <f>Time!X$91</f>
        <v>0</v>
      </c>
      <c r="Y81" s="537">
        <f>Time!Y$91</f>
        <v>0</v>
      </c>
      <c r="Z81" s="537">
        <f>Time!Z$91</f>
        <v>0</v>
      </c>
      <c r="AA81" s="537">
        <f>Time!AA$91</f>
        <v>0</v>
      </c>
      <c r="AB81" s="537">
        <f>Time!AB$91</f>
        <v>0</v>
      </c>
      <c r="AC81" s="537">
        <f>Time!AC$91</f>
        <v>0</v>
      </c>
      <c r="AD81" s="537">
        <f>Time!AD$91</f>
        <v>0</v>
      </c>
      <c r="AE81" s="537">
        <f>Time!AE$91</f>
        <v>0</v>
      </c>
      <c r="AF81" s="537">
        <f>Time!AF$91</f>
        <v>0</v>
      </c>
      <c r="AG81" s="537">
        <f>Time!AG$91</f>
        <v>0</v>
      </c>
      <c r="AH81" s="537">
        <f>Time!AH$91</f>
        <v>1</v>
      </c>
      <c r="AI81" s="537">
        <f>Time!AI$91</f>
        <v>1</v>
      </c>
      <c r="AJ81" s="537">
        <f>Time!AJ$91</f>
        <v>1</v>
      </c>
      <c r="AK81" s="537">
        <f>Time!AK$91</f>
        <v>1</v>
      </c>
      <c r="AL81" s="537">
        <f>Time!AL$91</f>
        <v>1</v>
      </c>
      <c r="AM81" s="537">
        <f>Time!AM$91</f>
        <v>1</v>
      </c>
      <c r="AN81" s="537">
        <f>Time!AN$91</f>
        <v>1</v>
      </c>
      <c r="AO81" s="537">
        <f>Time!AO$91</f>
        <v>1</v>
      </c>
      <c r="AP81" s="537">
        <f>Time!AP$91</f>
        <v>1</v>
      </c>
      <c r="AQ81" s="537">
        <f>Time!AQ$91</f>
        <v>1</v>
      </c>
      <c r="AR81" s="537">
        <f>Time!AR$91</f>
        <v>1</v>
      </c>
      <c r="AS81" s="537">
        <f>Time!AS$91</f>
        <v>1</v>
      </c>
      <c r="AT81" s="537">
        <f>Time!AT$91</f>
        <v>1</v>
      </c>
      <c r="AU81" s="537">
        <f>Time!AU$91</f>
        <v>1</v>
      </c>
      <c r="AV81" s="537">
        <f>Time!AV$91</f>
        <v>1</v>
      </c>
      <c r="AW81" s="537">
        <f>Time!AW$91</f>
        <v>1</v>
      </c>
      <c r="AX81" s="537">
        <f>Time!AX$91</f>
        <v>1</v>
      </c>
      <c r="AY81" s="537">
        <f>Time!AY$91</f>
        <v>1</v>
      </c>
      <c r="AZ81" s="537">
        <f>Time!AZ$91</f>
        <v>1</v>
      </c>
      <c r="BA81" s="537">
        <f>Time!BA$91</f>
        <v>1</v>
      </c>
      <c r="BB81" s="537">
        <f>Time!BB$91</f>
        <v>1</v>
      </c>
      <c r="BC81" s="537">
        <f>Time!BC$91</f>
        <v>1</v>
      </c>
      <c r="BD81" s="537">
        <f>Time!BD$91</f>
        <v>1</v>
      </c>
      <c r="BE81" s="537">
        <f>Time!BE$91</f>
        <v>1</v>
      </c>
      <c r="BF81" s="537">
        <f>Time!BF$91</f>
        <v>1</v>
      </c>
      <c r="BG81" s="537">
        <f>Time!BG$91</f>
        <v>1</v>
      </c>
      <c r="BH81" s="537">
        <f>Time!BH$91</f>
        <v>1</v>
      </c>
      <c r="BI81" s="537">
        <f>Time!BI$91</f>
        <v>1</v>
      </c>
      <c r="BJ81" s="537">
        <f>Time!BJ$91</f>
        <v>1</v>
      </c>
      <c r="BK81" s="537">
        <f>Time!BK$91</f>
        <v>1</v>
      </c>
      <c r="BL81" s="537">
        <f>Time!BL$91</f>
        <v>1</v>
      </c>
      <c r="BM81" s="537">
        <f>Time!BM$91</f>
        <v>1</v>
      </c>
      <c r="BN81" s="537">
        <f>Time!BN$91</f>
        <v>1</v>
      </c>
      <c r="BO81" s="537">
        <f>Time!BO$91</f>
        <v>1</v>
      </c>
      <c r="BP81" s="537">
        <f>Time!BP$91</f>
        <v>1</v>
      </c>
      <c r="BQ81" s="537">
        <f>Time!BQ$91</f>
        <v>1</v>
      </c>
      <c r="BR81" s="537">
        <f>Time!BR$91</f>
        <v>1</v>
      </c>
      <c r="BS81" s="537">
        <f>Time!BS$91</f>
        <v>1</v>
      </c>
      <c r="BT81" s="537">
        <f>Time!BT$91</f>
        <v>1</v>
      </c>
      <c r="BU81" s="537">
        <f>Time!BU$91</f>
        <v>1</v>
      </c>
      <c r="BV81" s="537">
        <f>Time!BV$91</f>
        <v>1</v>
      </c>
      <c r="BW81" s="537">
        <f>Time!BW$91</f>
        <v>1</v>
      </c>
      <c r="BX81" s="537">
        <f>Time!BX$91</f>
        <v>1</v>
      </c>
      <c r="BY81" s="537">
        <f>Time!BY$91</f>
        <v>1</v>
      </c>
      <c r="BZ81" s="537">
        <f>Time!BZ$91</f>
        <v>1</v>
      </c>
      <c r="CA81" s="537">
        <f>Time!CA$91</f>
        <v>1</v>
      </c>
      <c r="CB81" s="537">
        <f>Time!CB$91</f>
        <v>1</v>
      </c>
      <c r="CC81" s="537">
        <f>Time!CC$91</f>
        <v>1</v>
      </c>
      <c r="CD81" s="537">
        <f>Time!CD$91</f>
        <v>1</v>
      </c>
      <c r="CE81" s="537">
        <f>Time!CE$91</f>
        <v>1</v>
      </c>
      <c r="CF81" s="537">
        <f>Time!CF$91</f>
        <v>1</v>
      </c>
      <c r="CG81" s="537">
        <f>Time!CG$91</f>
        <v>1</v>
      </c>
      <c r="CH81" s="537">
        <f>Time!CH$91</f>
        <v>1</v>
      </c>
      <c r="CI81" s="537">
        <f>Time!CI$91</f>
        <v>1</v>
      </c>
      <c r="CJ81" s="537">
        <f>Time!CJ$91</f>
        <v>1</v>
      </c>
      <c r="CK81" s="537">
        <f>Time!CK$91</f>
        <v>1</v>
      </c>
      <c r="CL81" s="537">
        <f>Time!CL$91</f>
        <v>1</v>
      </c>
      <c r="CM81" s="537">
        <f>Time!CM$91</f>
        <v>1</v>
      </c>
      <c r="CN81" s="537">
        <f>Time!CN$91</f>
        <v>1</v>
      </c>
      <c r="CO81" s="537">
        <f>Time!CO$91</f>
        <v>1</v>
      </c>
      <c r="CP81" s="537">
        <f>Time!CP$91</f>
        <v>1</v>
      </c>
      <c r="CQ81" s="537">
        <f>Time!CQ$91</f>
        <v>1</v>
      </c>
      <c r="CR81" s="537">
        <f>Time!CR$91</f>
        <v>1</v>
      </c>
      <c r="CS81" s="537">
        <f>Time!CS$91</f>
        <v>1</v>
      </c>
      <c r="CT81" s="537">
        <f>Time!CT$91</f>
        <v>1</v>
      </c>
      <c r="CU81" s="537">
        <f>Time!CU$91</f>
        <v>1</v>
      </c>
      <c r="CV81" s="537">
        <f>Time!CV$91</f>
        <v>1</v>
      </c>
      <c r="CW81" s="537">
        <f>Time!CW$91</f>
        <v>1</v>
      </c>
      <c r="CX81" s="537">
        <f>Time!CX$91</f>
        <v>1</v>
      </c>
      <c r="CY81" s="537">
        <f>Time!CY$91</f>
        <v>1</v>
      </c>
      <c r="CZ81" s="537">
        <f>Time!CZ$91</f>
        <v>1</v>
      </c>
      <c r="DA81" s="537">
        <f>Time!DA$91</f>
        <v>1</v>
      </c>
      <c r="DB81" s="537">
        <f>Time!DB$91</f>
        <v>1</v>
      </c>
      <c r="DC81" s="537">
        <f>Time!DC$91</f>
        <v>1</v>
      </c>
      <c r="DD81" s="537">
        <f>Time!DD$91</f>
        <v>1</v>
      </c>
      <c r="DE81" s="537">
        <f>Time!DE$91</f>
        <v>1</v>
      </c>
      <c r="DF81" s="537">
        <f>Time!DF$91</f>
        <v>1</v>
      </c>
      <c r="DG81" s="537">
        <f>Time!DG$91</f>
        <v>1</v>
      </c>
      <c r="DH81" s="537">
        <f>Time!DH$91</f>
        <v>1</v>
      </c>
      <c r="DI81" s="537">
        <f>Time!DI$91</f>
        <v>1</v>
      </c>
      <c r="DJ81" s="537">
        <f>Time!DJ$91</f>
        <v>1</v>
      </c>
      <c r="DK81" s="537">
        <f>Time!DK$91</f>
        <v>1</v>
      </c>
      <c r="DL81" s="537">
        <f>Time!DL$91</f>
        <v>1</v>
      </c>
      <c r="DM81" s="537">
        <f>Time!DM$91</f>
        <v>1</v>
      </c>
      <c r="DN81" s="537">
        <f>Time!DN$91</f>
        <v>1</v>
      </c>
      <c r="DO81" s="537">
        <f>Time!DO$91</f>
        <v>1</v>
      </c>
      <c r="DP81" s="537">
        <f>Time!DP$91</f>
        <v>1</v>
      </c>
      <c r="DQ81" s="537">
        <f>Time!DQ$91</f>
        <v>1</v>
      </c>
      <c r="DR81" s="537">
        <f>Time!DR$91</f>
        <v>1</v>
      </c>
      <c r="DS81" s="537">
        <f>Time!DS$91</f>
        <v>1</v>
      </c>
      <c r="DT81" s="537">
        <f>Time!DT$91</f>
        <v>1</v>
      </c>
      <c r="DU81" s="537">
        <f>Time!DU$91</f>
        <v>1</v>
      </c>
      <c r="DV81" s="537">
        <f>Time!DV$91</f>
        <v>1</v>
      </c>
      <c r="DW81" s="537">
        <f>Time!DW$91</f>
        <v>1</v>
      </c>
      <c r="DX81" s="537">
        <f>Time!DX$91</f>
        <v>1</v>
      </c>
      <c r="DY81" s="537">
        <f>Time!DY$91</f>
        <v>1</v>
      </c>
      <c r="DZ81" s="537">
        <f>Time!DZ$91</f>
        <v>1</v>
      </c>
      <c r="EA81" s="537">
        <f>Time!EA$91</f>
        <v>1</v>
      </c>
      <c r="EB81" s="537">
        <f>Time!EB$91</f>
        <v>1</v>
      </c>
      <c r="EC81" s="537">
        <f>Time!EC$91</f>
        <v>1</v>
      </c>
      <c r="ED81" s="537">
        <f>Time!ED$91</f>
        <v>0</v>
      </c>
      <c r="EE81" s="537">
        <f>Time!EE$91</f>
        <v>0</v>
      </c>
      <c r="EF81" s="537">
        <f>Time!EF$91</f>
        <v>0</v>
      </c>
      <c r="EG81" s="537">
        <f>Time!EG$91</f>
        <v>0</v>
      </c>
    </row>
    <row r="82" spans="5:137" ht="12.75">
      <c r="E82" s="538" t="str">
        <f>E$70</f>
        <v>Tax losses - generated</v>
      </c>
      <c r="G82" s="539" t="str">
        <f>G$70</f>
        <v>EUR 000s</v>
      </c>
      <c r="H82" s="539">
        <f>H$70</f>
        <v>50016.570024651817</v>
      </c>
      <c r="J82" s="539">
        <f t="shared" si="36" ref="J82:EG82">J$70</f>
        <v>0</v>
      </c>
      <c r="K82" s="539">
        <f t="shared" si="36"/>
        <v>0</v>
      </c>
      <c r="L82" s="539">
        <f t="shared" si="36"/>
        <v>0</v>
      </c>
      <c r="M82" s="539">
        <f t="shared" si="36"/>
        <v>0</v>
      </c>
      <c r="N82" s="539">
        <f t="shared" si="36"/>
        <v>0</v>
      </c>
      <c r="O82" s="539">
        <f t="shared" si="36"/>
        <v>0</v>
      </c>
      <c r="P82" s="539">
        <f t="shared" si="36"/>
        <v>0</v>
      </c>
      <c r="Q82" s="539">
        <f t="shared" si="36"/>
        <v>0</v>
      </c>
      <c r="R82" s="539">
        <f t="shared" si="36"/>
        <v>0</v>
      </c>
      <c r="S82" s="539">
        <f t="shared" si="36"/>
        <v>0</v>
      </c>
      <c r="T82" s="539">
        <f t="shared" si="36"/>
        <v>0</v>
      </c>
      <c r="U82" s="539">
        <f t="shared" si="36"/>
        <v>0</v>
      </c>
      <c r="V82" s="539">
        <f t="shared" si="36"/>
        <v>0</v>
      </c>
      <c r="W82" s="539">
        <f t="shared" si="36"/>
        <v>0</v>
      </c>
      <c r="X82" s="539">
        <f t="shared" si="36"/>
        <v>0</v>
      </c>
      <c r="Y82" s="539">
        <f t="shared" si="36"/>
        <v>0</v>
      </c>
      <c r="Z82" s="539">
        <f t="shared" si="36"/>
        <v>0</v>
      </c>
      <c r="AA82" s="539">
        <f t="shared" si="36"/>
        <v>0</v>
      </c>
      <c r="AB82" s="539">
        <f t="shared" si="36"/>
        <v>0</v>
      </c>
      <c r="AC82" s="539">
        <f t="shared" si="36"/>
        <v>0</v>
      </c>
      <c r="AD82" s="539">
        <f t="shared" si="36"/>
        <v>0</v>
      </c>
      <c r="AE82" s="539">
        <f t="shared" si="36"/>
        <v>0</v>
      </c>
      <c r="AF82" s="539">
        <f t="shared" si="36"/>
        <v>0</v>
      </c>
      <c r="AG82" s="539">
        <f t="shared" si="36"/>
        <v>0</v>
      </c>
      <c r="AH82" s="539">
        <f t="shared" si="36"/>
        <v>6822.7318437499998</v>
      </c>
      <c r="AI82" s="539">
        <f t="shared" si="36"/>
        <v>6232.3380312500012</v>
      </c>
      <c r="AJ82" s="539">
        <f t="shared" si="36"/>
        <v>5668.5119403125009</v>
      </c>
      <c r="AK82" s="539">
        <f t="shared" si="36"/>
        <v>5130.0580234671888</v>
      </c>
      <c r="AL82" s="539">
        <f t="shared" si="36"/>
        <v>4505.2172439736642</v>
      </c>
      <c r="AM82" s="539">
        <f t="shared" si="36"/>
        <v>4014.133810462818</v>
      </c>
      <c r="AN82" s="539">
        <f t="shared" si="36"/>
        <v>3545.1491314599593</v>
      </c>
      <c r="AO82" s="539">
        <f t="shared" si="36"/>
        <v>3097.2687630122296</v>
      </c>
      <c r="AP82" s="539">
        <f t="shared" si="36"/>
        <v>2557.1079239407418</v>
      </c>
      <c r="AQ82" s="539">
        <f t="shared" si="36"/>
        <v>2148.6298309072017</v>
      </c>
      <c r="AR82" s="539">
        <f t="shared" si="36"/>
        <v>1758.5332520601705</v>
      </c>
      <c r="AS82" s="539">
        <f t="shared" si="36"/>
        <v>1385.991019261257</v>
      </c>
      <c r="AT82" s="539">
        <f t="shared" si="36"/>
        <v>915.93520158903948</v>
      </c>
      <c r="AU82" s="539">
        <f t="shared" si="36"/>
        <v>576.16737172060903</v>
      </c>
      <c r="AV82" s="539">
        <f t="shared" si="36"/>
        <v>251.68909419625788</v>
      </c>
      <c r="AW82" s="539">
        <f t="shared" si="36"/>
        <v>0</v>
      </c>
      <c r="AX82" s="539">
        <f t="shared" si="36"/>
        <v>747.41196506153801</v>
      </c>
      <c r="AY82" s="539">
        <f t="shared" si="36"/>
        <v>464.79661755005282</v>
      </c>
      <c r="AZ82" s="539">
        <f t="shared" si="36"/>
        <v>194.89896067658492</v>
      </c>
      <c r="BA82" s="539">
        <f t="shared" si="36"/>
        <v>0</v>
      </c>
      <c r="BB82" s="539">
        <f t="shared" si="36"/>
        <v>0</v>
      </c>
      <c r="BC82" s="539">
        <f t="shared" si="36"/>
        <v>0</v>
      </c>
      <c r="BD82" s="539">
        <f t="shared" si="36"/>
        <v>0</v>
      </c>
      <c r="BE82" s="539">
        <f t="shared" si="36"/>
        <v>0</v>
      </c>
      <c r="BF82" s="539">
        <f t="shared" si="36"/>
        <v>0</v>
      </c>
      <c r="BG82" s="539">
        <f t="shared" si="36"/>
        <v>0</v>
      </c>
      <c r="BH82" s="539">
        <f t="shared" si="36"/>
        <v>0</v>
      </c>
      <c r="BI82" s="539">
        <f t="shared" si="36"/>
        <v>0</v>
      </c>
      <c r="BJ82" s="539">
        <f t="shared" si="36"/>
        <v>0</v>
      </c>
      <c r="BK82" s="539">
        <f t="shared" si="36"/>
        <v>0</v>
      </c>
      <c r="BL82" s="539">
        <f t="shared" si="36"/>
        <v>0</v>
      </c>
      <c r="BM82" s="539">
        <f t="shared" si="36"/>
        <v>0</v>
      </c>
      <c r="BN82" s="539">
        <f t="shared" si="36"/>
        <v>0</v>
      </c>
      <c r="BO82" s="539">
        <f t="shared" si="36"/>
        <v>0</v>
      </c>
      <c r="BP82" s="539">
        <f t="shared" si="36"/>
        <v>0</v>
      </c>
      <c r="BQ82" s="539">
        <f t="shared" si="36"/>
        <v>0</v>
      </c>
      <c r="BR82" s="539">
        <f t="shared" si="36"/>
        <v>0</v>
      </c>
      <c r="BS82" s="539">
        <f t="shared" si="36"/>
        <v>0</v>
      </c>
      <c r="BT82" s="539">
        <f t="shared" si="36"/>
        <v>0</v>
      </c>
      <c r="BU82" s="539">
        <f t="shared" si="36"/>
        <v>0</v>
      </c>
      <c r="BV82" s="539">
        <f t="shared" si="36"/>
        <v>0</v>
      </c>
      <c r="BW82" s="539">
        <f t="shared" si="36"/>
        <v>0</v>
      </c>
      <c r="BX82" s="539">
        <f t="shared" si="36"/>
        <v>0</v>
      </c>
      <c r="BY82" s="539">
        <f t="shared" si="36"/>
        <v>0</v>
      </c>
      <c r="BZ82" s="539">
        <f t="shared" si="36"/>
        <v>0</v>
      </c>
      <c r="CA82" s="539">
        <f t="shared" si="36"/>
        <v>0</v>
      </c>
      <c r="CB82" s="539">
        <f t="shared" si="36"/>
        <v>0</v>
      </c>
      <c r="CC82" s="539">
        <f t="shared" si="36"/>
        <v>0</v>
      </c>
      <c r="CD82" s="539">
        <f t="shared" si="36"/>
        <v>0</v>
      </c>
      <c r="CE82" s="539">
        <f t="shared" si="36"/>
        <v>0</v>
      </c>
      <c r="CF82" s="539">
        <f t="shared" si="36"/>
        <v>0</v>
      </c>
      <c r="CG82" s="539">
        <f t="shared" si="36"/>
        <v>0</v>
      </c>
      <c r="CH82" s="539">
        <f t="shared" si="36"/>
        <v>0</v>
      </c>
      <c r="CI82" s="539">
        <f t="shared" si="36"/>
        <v>0</v>
      </c>
      <c r="CJ82" s="539">
        <f t="shared" si="36"/>
        <v>0</v>
      </c>
      <c r="CK82" s="539">
        <f t="shared" si="36"/>
        <v>0</v>
      </c>
      <c r="CL82" s="539">
        <f t="shared" si="36"/>
        <v>0</v>
      </c>
      <c r="CM82" s="539">
        <f t="shared" si="36"/>
        <v>0</v>
      </c>
      <c r="CN82" s="539">
        <f t="shared" si="36"/>
        <v>0</v>
      </c>
      <c r="CO82" s="539">
        <f t="shared" si="36"/>
        <v>0</v>
      </c>
      <c r="CP82" s="539">
        <f t="shared" si="36"/>
        <v>0</v>
      </c>
      <c r="CQ82" s="539">
        <f t="shared" si="36"/>
        <v>0</v>
      </c>
      <c r="CR82" s="539">
        <f t="shared" si="36"/>
        <v>0</v>
      </c>
      <c r="CS82" s="539">
        <f t="shared" si="36"/>
        <v>0</v>
      </c>
      <c r="CT82" s="539">
        <f t="shared" si="36"/>
        <v>0</v>
      </c>
      <c r="CU82" s="539">
        <f t="shared" si="36"/>
        <v>0</v>
      </c>
      <c r="CV82" s="539">
        <f t="shared" si="36"/>
        <v>0</v>
      </c>
      <c r="CW82" s="539">
        <f t="shared" si="36"/>
        <v>0</v>
      </c>
      <c r="CX82" s="539">
        <f t="shared" si="36"/>
        <v>0</v>
      </c>
      <c r="CY82" s="539">
        <f t="shared" si="36"/>
        <v>0</v>
      </c>
      <c r="CZ82" s="539">
        <f t="shared" si="36"/>
        <v>0</v>
      </c>
      <c r="DA82" s="539">
        <f t="shared" si="36"/>
        <v>0</v>
      </c>
      <c r="DB82" s="539">
        <f t="shared" si="36"/>
        <v>0</v>
      </c>
      <c r="DC82" s="539">
        <f t="shared" si="36"/>
        <v>0</v>
      </c>
      <c r="DD82" s="539">
        <f t="shared" si="36"/>
        <v>0</v>
      </c>
      <c r="DE82" s="539">
        <f t="shared" si="36"/>
        <v>0</v>
      </c>
      <c r="DF82" s="539">
        <f t="shared" si="36"/>
        <v>0</v>
      </c>
      <c r="DG82" s="539">
        <f t="shared" si="36"/>
        <v>0</v>
      </c>
      <c r="DH82" s="539">
        <f t="shared" si="36"/>
        <v>0</v>
      </c>
      <c r="DI82" s="539">
        <f t="shared" si="36"/>
        <v>0</v>
      </c>
      <c r="DJ82" s="539">
        <f t="shared" si="36"/>
        <v>0</v>
      </c>
      <c r="DK82" s="539">
        <f t="shared" si="36"/>
        <v>0</v>
      </c>
      <c r="DL82" s="539">
        <f t="shared" si="36"/>
        <v>0</v>
      </c>
      <c r="DM82" s="539">
        <f t="shared" si="36"/>
        <v>0</v>
      </c>
      <c r="DN82" s="539">
        <f t="shared" si="36"/>
        <v>0</v>
      </c>
      <c r="DO82" s="539">
        <f t="shared" si="36"/>
        <v>0</v>
      </c>
      <c r="DP82" s="539">
        <f t="shared" si="36"/>
        <v>0</v>
      </c>
      <c r="DQ82" s="539">
        <f t="shared" si="36"/>
        <v>0</v>
      </c>
      <c r="DR82" s="539">
        <f t="shared" si="36"/>
        <v>0</v>
      </c>
      <c r="DS82" s="539">
        <f t="shared" si="36"/>
        <v>0</v>
      </c>
      <c r="DT82" s="539">
        <f t="shared" si="36"/>
        <v>0</v>
      </c>
      <c r="DU82" s="539">
        <f t="shared" si="36"/>
        <v>0</v>
      </c>
      <c r="DV82" s="539">
        <f t="shared" si="36"/>
        <v>0</v>
      </c>
      <c r="DW82" s="539">
        <f t="shared" si="36"/>
        <v>0</v>
      </c>
      <c r="DX82" s="539">
        <f t="shared" si="36"/>
        <v>0</v>
      </c>
      <c r="DY82" s="539">
        <f t="shared" si="36"/>
        <v>0</v>
      </c>
      <c r="DZ82" s="539">
        <f t="shared" si="36"/>
        <v>0</v>
      </c>
      <c r="EA82" s="539">
        <f t="shared" si="36"/>
        <v>0</v>
      </c>
      <c r="EB82" s="539">
        <f t="shared" si="36"/>
        <v>0</v>
      </c>
      <c r="EC82" s="539">
        <f t="shared" si="36"/>
        <v>0</v>
      </c>
      <c r="ED82" s="539">
        <f t="shared" si="36"/>
        <v>0</v>
      </c>
      <c r="EE82" s="539">
        <f t="shared" si="36"/>
        <v>0</v>
      </c>
      <c r="EF82" s="539">
        <f t="shared" si="36"/>
        <v>0</v>
      </c>
      <c r="EG82" s="539">
        <f t="shared" si="36"/>
        <v>0</v>
      </c>
    </row>
    <row r="83" spans="5:137" ht="12.75">
      <c r="E83" s="538" t="str">
        <f>E$75</f>
        <v>Tax losses - used</v>
      </c>
      <c r="G83" s="539" t="str">
        <f>G$75</f>
        <v>EUR 000s</v>
      </c>
      <c r="H83" s="539">
        <f>H$75</f>
        <v>50016.570024651453</v>
      </c>
      <c r="J83" s="539">
        <f t="shared" si="37" ref="J83:EG83">J$75</f>
        <v>0</v>
      </c>
      <c r="K83" s="539">
        <f t="shared" si="37"/>
        <v>0</v>
      </c>
      <c r="L83" s="539">
        <f t="shared" si="37"/>
        <v>0</v>
      </c>
      <c r="M83" s="539">
        <f t="shared" si="37"/>
        <v>0</v>
      </c>
      <c r="N83" s="539">
        <f t="shared" si="37"/>
        <v>0</v>
      </c>
      <c r="O83" s="539">
        <f t="shared" si="37"/>
        <v>0</v>
      </c>
      <c r="P83" s="539">
        <f t="shared" si="37"/>
        <v>0</v>
      </c>
      <c r="Q83" s="539">
        <f t="shared" si="37"/>
        <v>0</v>
      </c>
      <c r="R83" s="539">
        <f t="shared" si="37"/>
        <v>0</v>
      </c>
      <c r="S83" s="539">
        <f t="shared" si="37"/>
        <v>0</v>
      </c>
      <c r="T83" s="539">
        <f t="shared" si="37"/>
        <v>0</v>
      </c>
      <c r="U83" s="539">
        <f t="shared" si="37"/>
        <v>0</v>
      </c>
      <c r="V83" s="539">
        <f t="shared" si="37"/>
        <v>0</v>
      </c>
      <c r="W83" s="539">
        <f t="shared" si="37"/>
        <v>0</v>
      </c>
      <c r="X83" s="539">
        <f t="shared" si="37"/>
        <v>0</v>
      </c>
      <c r="Y83" s="539">
        <f t="shared" si="37"/>
        <v>0</v>
      </c>
      <c r="Z83" s="539">
        <f t="shared" si="37"/>
        <v>0</v>
      </c>
      <c r="AA83" s="539">
        <f t="shared" si="37"/>
        <v>0</v>
      </c>
      <c r="AB83" s="539">
        <f t="shared" si="37"/>
        <v>0</v>
      </c>
      <c r="AC83" s="539">
        <f t="shared" si="37"/>
        <v>0</v>
      </c>
      <c r="AD83" s="539">
        <f t="shared" si="37"/>
        <v>0</v>
      </c>
      <c r="AE83" s="539">
        <f t="shared" si="37"/>
        <v>0</v>
      </c>
      <c r="AF83" s="539">
        <f t="shared" si="37"/>
        <v>0</v>
      </c>
      <c r="AG83" s="539">
        <f t="shared" si="37"/>
        <v>0</v>
      </c>
      <c r="AH83" s="539">
        <f t="shared" si="37"/>
        <v>0</v>
      </c>
      <c r="AI83" s="539">
        <f t="shared" si="37"/>
        <v>0</v>
      </c>
      <c r="AJ83" s="539">
        <f t="shared" si="37"/>
        <v>0</v>
      </c>
      <c r="AK83" s="539">
        <f t="shared" si="37"/>
        <v>0</v>
      </c>
      <c r="AL83" s="539">
        <f t="shared" si="37"/>
        <v>0</v>
      </c>
      <c r="AM83" s="539">
        <f t="shared" si="37"/>
        <v>0</v>
      </c>
      <c r="AN83" s="539">
        <f t="shared" si="37"/>
        <v>0</v>
      </c>
      <c r="AO83" s="539">
        <f t="shared" si="37"/>
        <v>0</v>
      </c>
      <c r="AP83" s="539">
        <f t="shared" si="37"/>
        <v>0</v>
      </c>
      <c r="AQ83" s="539">
        <f t="shared" si="37"/>
        <v>0</v>
      </c>
      <c r="AR83" s="539">
        <f t="shared" si="37"/>
        <v>0</v>
      </c>
      <c r="AS83" s="539">
        <f t="shared" si="37"/>
        <v>0</v>
      </c>
      <c r="AT83" s="539">
        <f t="shared" si="37"/>
        <v>0</v>
      </c>
      <c r="AU83" s="539">
        <f t="shared" si="37"/>
        <v>0</v>
      </c>
      <c r="AV83" s="539">
        <f t="shared" si="37"/>
        <v>0</v>
      </c>
      <c r="AW83" s="539">
        <f t="shared" si="37"/>
        <v>40.731362587648754</v>
      </c>
      <c r="AX83" s="539">
        <f t="shared" si="37"/>
        <v>0</v>
      </c>
      <c r="AY83" s="539">
        <f t="shared" si="37"/>
        <v>0</v>
      </c>
      <c r="AZ83" s="539">
        <f t="shared" si="37"/>
        <v>0</v>
      </c>
      <c r="BA83" s="539">
        <f t="shared" si="37"/>
        <v>43.997311146303446</v>
      </c>
      <c r="BB83" s="539">
        <f t="shared" si="37"/>
        <v>1151.3072143875627</v>
      </c>
      <c r="BC83" s="539">
        <f t="shared" si="37"/>
        <v>1315.8607693135141</v>
      </c>
      <c r="BD83" s="539">
        <f t="shared" si="37"/>
        <v>1473.0094142677974</v>
      </c>
      <c r="BE83" s="539">
        <f t="shared" si="37"/>
        <v>1623.0863701991386</v>
      </c>
      <c r="BF83" s="539">
        <f t="shared" si="37"/>
        <v>1850.3811896542018</v>
      </c>
      <c r="BG83" s="539">
        <f t="shared" si="37"/>
        <v>1987.2551253874831</v>
      </c>
      <c r="BH83" s="539">
        <f t="shared" si="37"/>
        <v>2117.9697340127664</v>
      </c>
      <c r="BI83" s="539">
        <f t="shared" si="37"/>
        <v>2242.8021852499123</v>
      </c>
      <c r="BJ83" s="539">
        <f t="shared" si="37"/>
        <v>2447.3500210895122</v>
      </c>
      <c r="BK83" s="539">
        <f t="shared" si="37"/>
        <v>2561.2003374290703</v>
      </c>
      <c r="BL83" s="539">
        <f t="shared" si="37"/>
        <v>2669.9273895333481</v>
      </c>
      <c r="BM83" s="539">
        <f t="shared" si="37"/>
        <v>2773.7617242929332</v>
      </c>
      <c r="BN83" s="539">
        <f t="shared" si="37"/>
        <v>2959.6360299806124</v>
      </c>
      <c r="BO83" s="539">
        <f t="shared" si="37"/>
        <v>3054.3355391397236</v>
      </c>
      <c r="BP83" s="539">
        <f t="shared" si="37"/>
        <v>3144.7735703866747</v>
      </c>
      <c r="BQ83" s="539">
        <f t="shared" si="37"/>
        <v>3231.1418902275118</v>
      </c>
      <c r="BR83" s="539">
        <f t="shared" si="37"/>
        <v>2437.350384199327</v>
      </c>
      <c r="BS83" s="539">
        <f t="shared" si="37"/>
        <v>2516.1204511021674</v>
      </c>
      <c r="BT83" s="539">
        <f t="shared" si="37"/>
        <v>2591.3458649943796</v>
      </c>
      <c r="BU83" s="539">
        <f t="shared" si="37"/>
        <v>2663.1861352614424</v>
      </c>
      <c r="BV83" s="539">
        <f t="shared" si="37"/>
        <v>3120.0400108087779</v>
      </c>
      <c r="BW83" s="539">
        <f t="shared" si="37"/>
        <v>0</v>
      </c>
      <c r="BX83" s="539">
        <f t="shared" si="37"/>
        <v>0</v>
      </c>
      <c r="BY83" s="539">
        <f t="shared" si="37"/>
        <v>0</v>
      </c>
      <c r="BZ83" s="539">
        <f t="shared" si="37"/>
        <v>0</v>
      </c>
      <c r="CA83" s="539">
        <f t="shared" si="37"/>
        <v>0</v>
      </c>
      <c r="CB83" s="539">
        <f t="shared" si="37"/>
        <v>0</v>
      </c>
      <c r="CC83" s="539">
        <f t="shared" si="37"/>
        <v>0</v>
      </c>
      <c r="CD83" s="539">
        <f t="shared" si="37"/>
        <v>0</v>
      </c>
      <c r="CE83" s="539">
        <f t="shared" si="37"/>
        <v>0</v>
      </c>
      <c r="CF83" s="539">
        <f t="shared" si="37"/>
        <v>0</v>
      </c>
      <c r="CG83" s="539">
        <f t="shared" si="37"/>
        <v>-7.2759576141834259E-12</v>
      </c>
      <c r="CH83" s="539">
        <f t="shared" si="37"/>
        <v>-7.2759576141834259E-12</v>
      </c>
      <c r="CI83" s="539">
        <f t="shared" si="37"/>
        <v>-7.2759576141834259E-12</v>
      </c>
      <c r="CJ83" s="539">
        <f t="shared" si="37"/>
        <v>-7.2759576141834259E-12</v>
      </c>
      <c r="CK83" s="539">
        <f t="shared" si="37"/>
        <v>-7.2759576141834259E-12</v>
      </c>
      <c r="CL83" s="539">
        <f t="shared" si="37"/>
        <v>-7.2759576141834259E-12</v>
      </c>
      <c r="CM83" s="539">
        <f t="shared" si="37"/>
        <v>-7.2759576141834259E-12</v>
      </c>
      <c r="CN83" s="539">
        <f t="shared" si="37"/>
        <v>-7.2759576141834259E-12</v>
      </c>
      <c r="CO83" s="539">
        <f t="shared" si="37"/>
        <v>-7.2759576141834259E-12</v>
      </c>
      <c r="CP83" s="539">
        <f t="shared" si="37"/>
        <v>-7.2759576141834259E-12</v>
      </c>
      <c r="CQ83" s="539">
        <f t="shared" si="37"/>
        <v>-7.2759576141834259E-12</v>
      </c>
      <c r="CR83" s="539">
        <f t="shared" si="37"/>
        <v>-7.2759576141834259E-12</v>
      </c>
      <c r="CS83" s="539">
        <f t="shared" si="37"/>
        <v>-7.2759576141834259E-12</v>
      </c>
      <c r="CT83" s="539">
        <f t="shared" si="37"/>
        <v>-7.2759576141834259E-12</v>
      </c>
      <c r="CU83" s="539">
        <f t="shared" si="37"/>
        <v>-7.2759576141834259E-12</v>
      </c>
      <c r="CV83" s="539">
        <f t="shared" si="37"/>
        <v>-7.2759576141834259E-12</v>
      </c>
      <c r="CW83" s="539">
        <f t="shared" si="37"/>
        <v>-7.2759576141834259E-12</v>
      </c>
      <c r="CX83" s="539">
        <f t="shared" si="37"/>
        <v>-7.2759576141834259E-12</v>
      </c>
      <c r="CY83" s="539">
        <f t="shared" si="37"/>
        <v>-7.2759576141834259E-12</v>
      </c>
      <c r="CZ83" s="539">
        <f t="shared" si="37"/>
        <v>-7.2759576141834259E-12</v>
      </c>
      <c r="DA83" s="539">
        <f t="shared" si="37"/>
        <v>-7.2759576141834259E-12</v>
      </c>
      <c r="DB83" s="539">
        <f t="shared" si="37"/>
        <v>-7.2759576141834259E-12</v>
      </c>
      <c r="DC83" s="539">
        <f t="shared" si="37"/>
        <v>-7.2759576141834259E-12</v>
      </c>
      <c r="DD83" s="539">
        <f t="shared" si="37"/>
        <v>-7.2759576141834259E-12</v>
      </c>
      <c r="DE83" s="539">
        <f t="shared" si="37"/>
        <v>-7.2759576141834259E-12</v>
      </c>
      <c r="DF83" s="539">
        <f t="shared" si="37"/>
        <v>-7.2759576141834259E-12</v>
      </c>
      <c r="DG83" s="539">
        <f t="shared" si="37"/>
        <v>-7.2759576141834259E-12</v>
      </c>
      <c r="DH83" s="539">
        <f t="shared" si="37"/>
        <v>-7.2759576141834259E-12</v>
      </c>
      <c r="DI83" s="539">
        <f t="shared" si="37"/>
        <v>-7.2759576141834259E-12</v>
      </c>
      <c r="DJ83" s="539">
        <f t="shared" si="37"/>
        <v>-7.2759576141834259E-12</v>
      </c>
      <c r="DK83" s="539">
        <f t="shared" si="37"/>
        <v>-7.2759576141834259E-12</v>
      </c>
      <c r="DL83" s="539">
        <f t="shared" si="37"/>
        <v>-7.2759576141834259E-12</v>
      </c>
      <c r="DM83" s="539">
        <f t="shared" si="37"/>
        <v>-7.2759576141834259E-12</v>
      </c>
      <c r="DN83" s="539">
        <f t="shared" si="37"/>
        <v>-7.2759576141834259E-12</v>
      </c>
      <c r="DO83" s="539">
        <f t="shared" si="37"/>
        <v>-7.2759576141834259E-12</v>
      </c>
      <c r="DP83" s="539">
        <f t="shared" si="37"/>
        <v>-7.2759576141834259E-12</v>
      </c>
      <c r="DQ83" s="539">
        <f t="shared" si="37"/>
        <v>-7.2759576141834259E-12</v>
      </c>
      <c r="DR83" s="539">
        <f t="shared" si="37"/>
        <v>-7.2759576141834259E-12</v>
      </c>
      <c r="DS83" s="539">
        <f t="shared" si="37"/>
        <v>-7.2759576141834259E-12</v>
      </c>
      <c r="DT83" s="539">
        <f t="shared" si="37"/>
        <v>-7.2759576141834259E-12</v>
      </c>
      <c r="DU83" s="539">
        <f t="shared" si="37"/>
        <v>-7.2759576141834259E-12</v>
      </c>
      <c r="DV83" s="539">
        <f t="shared" si="37"/>
        <v>-7.2759576141834259E-12</v>
      </c>
      <c r="DW83" s="539">
        <f t="shared" si="37"/>
        <v>-7.2759576141834259E-12</v>
      </c>
      <c r="DX83" s="539">
        <f t="shared" si="37"/>
        <v>-7.2759576141834259E-12</v>
      </c>
      <c r="DY83" s="539">
        <f t="shared" si="37"/>
        <v>-7.2759576141834259E-12</v>
      </c>
      <c r="DZ83" s="539">
        <f t="shared" si="37"/>
        <v>-7.2759576141834259E-12</v>
      </c>
      <c r="EA83" s="539">
        <f t="shared" si="37"/>
        <v>-7.2759576141834259E-12</v>
      </c>
      <c r="EB83" s="539">
        <f t="shared" si="37"/>
        <v>-7.2759576141834259E-12</v>
      </c>
      <c r="EC83" s="539">
        <f t="shared" si="37"/>
        <v>-7.2759576141834259E-12</v>
      </c>
      <c r="ED83" s="539">
        <f t="shared" si="37"/>
        <v>0</v>
      </c>
      <c r="EE83" s="539">
        <f t="shared" si="37"/>
        <v>0</v>
      </c>
      <c r="EF83" s="539">
        <f t="shared" si="37"/>
        <v>0</v>
      </c>
      <c r="EG83" s="539">
        <f t="shared" si="37"/>
        <v>0</v>
      </c>
    </row>
    <row r="84" spans="5:137" ht="12.75">
      <c r="E84" s="538" t="s">
        <v>448</v>
      </c>
      <c r="G84" s="539" t="s">
        <v>30</v>
      </c>
      <c r="H84" s="539">
        <f>SUM(J84:EG84)</f>
        <v>3.637978807091713E-10</v>
      </c>
      <c r="J84" s="539">
        <f t="shared" si="38" ref="J84:EG84">MAX(0,SUMIFS($I82:I82,$I80:I80,"&lt;="&amp;EDATE(J80,-$F79*$F78))-SUM($I83:I83)-J83-SUM($I84:I84))*J81</f>
        <v>0</v>
      </c>
      <c r="K84" s="539">
        <f t="shared" si="38"/>
        <v>0</v>
      </c>
      <c r="L84" s="539">
        <f t="shared" si="38"/>
        <v>0</v>
      </c>
      <c r="M84" s="539">
        <f t="shared" si="38"/>
        <v>0</v>
      </c>
      <c r="N84" s="539">
        <f t="shared" si="38"/>
        <v>0</v>
      </c>
      <c r="O84" s="539">
        <f t="shared" si="38"/>
        <v>0</v>
      </c>
      <c r="P84" s="539">
        <f t="shared" si="38"/>
        <v>0</v>
      </c>
      <c r="Q84" s="539">
        <f t="shared" si="38"/>
        <v>0</v>
      </c>
      <c r="R84" s="539">
        <f t="shared" si="38"/>
        <v>0</v>
      </c>
      <c r="S84" s="539">
        <f t="shared" si="38"/>
        <v>0</v>
      </c>
      <c r="T84" s="539">
        <f t="shared" si="38"/>
        <v>0</v>
      </c>
      <c r="U84" s="539">
        <f t="shared" si="38"/>
        <v>0</v>
      </c>
      <c r="V84" s="539">
        <f t="shared" si="38"/>
        <v>0</v>
      </c>
      <c r="W84" s="539">
        <f t="shared" si="38"/>
        <v>0</v>
      </c>
      <c r="X84" s="539">
        <f t="shared" si="38"/>
        <v>0</v>
      </c>
      <c r="Y84" s="539">
        <f t="shared" si="38"/>
        <v>0</v>
      </c>
      <c r="Z84" s="539">
        <f t="shared" si="38"/>
        <v>0</v>
      </c>
      <c r="AA84" s="539">
        <f t="shared" si="38"/>
        <v>0</v>
      </c>
      <c r="AB84" s="539">
        <f t="shared" si="38"/>
        <v>0</v>
      </c>
      <c r="AC84" s="539">
        <f t="shared" si="38"/>
        <v>0</v>
      </c>
      <c r="AD84" s="539">
        <f t="shared" si="38"/>
        <v>0</v>
      </c>
      <c r="AE84" s="539">
        <f t="shared" si="38"/>
        <v>0</v>
      </c>
      <c r="AF84" s="539">
        <f t="shared" si="38"/>
        <v>0</v>
      </c>
      <c r="AG84" s="539">
        <f t="shared" si="38"/>
        <v>0</v>
      </c>
      <c r="AH84" s="539">
        <f t="shared" si="38"/>
        <v>0</v>
      </c>
      <c r="AI84" s="539">
        <f t="shared" si="38"/>
        <v>0</v>
      </c>
      <c r="AJ84" s="539">
        <f t="shared" si="38"/>
        <v>0</v>
      </c>
      <c r="AK84" s="539">
        <f t="shared" si="38"/>
        <v>0</v>
      </c>
      <c r="AL84" s="539">
        <f t="shared" si="38"/>
        <v>0</v>
      </c>
      <c r="AM84" s="539">
        <f t="shared" si="38"/>
        <v>0</v>
      </c>
      <c r="AN84" s="539">
        <f t="shared" si="38"/>
        <v>0</v>
      </c>
      <c r="AO84" s="539">
        <f t="shared" si="38"/>
        <v>0</v>
      </c>
      <c r="AP84" s="539">
        <f t="shared" si="38"/>
        <v>0</v>
      </c>
      <c r="AQ84" s="539">
        <f t="shared" si="38"/>
        <v>0</v>
      </c>
      <c r="AR84" s="539">
        <f t="shared" si="38"/>
        <v>0</v>
      </c>
      <c r="AS84" s="539">
        <f t="shared" si="38"/>
        <v>0</v>
      </c>
      <c r="AT84" s="539">
        <f t="shared" si="38"/>
        <v>0</v>
      </c>
      <c r="AU84" s="539">
        <f t="shared" si="38"/>
        <v>0</v>
      </c>
      <c r="AV84" s="539">
        <f t="shared" si="38"/>
        <v>0</v>
      </c>
      <c r="AW84" s="539">
        <f t="shared" si="38"/>
        <v>0</v>
      </c>
      <c r="AX84" s="539">
        <f t="shared" si="38"/>
        <v>0</v>
      </c>
      <c r="AY84" s="539">
        <f t="shared" si="38"/>
        <v>0</v>
      </c>
      <c r="AZ84" s="539">
        <f t="shared" si="38"/>
        <v>0</v>
      </c>
      <c r="BA84" s="539">
        <f t="shared" si="38"/>
        <v>0</v>
      </c>
      <c r="BB84" s="539">
        <f t="shared" si="38"/>
        <v>0</v>
      </c>
      <c r="BC84" s="539">
        <f t="shared" si="38"/>
        <v>0</v>
      </c>
      <c r="BD84" s="539">
        <f t="shared" si="38"/>
        <v>0</v>
      </c>
      <c r="BE84" s="539">
        <f t="shared" si="38"/>
        <v>0</v>
      </c>
      <c r="BF84" s="539">
        <f t="shared" si="38"/>
        <v>0</v>
      </c>
      <c r="BG84" s="539">
        <f t="shared" si="38"/>
        <v>0</v>
      </c>
      <c r="BH84" s="539">
        <f t="shared" si="38"/>
        <v>0</v>
      </c>
      <c r="BI84" s="539">
        <f t="shared" si="38"/>
        <v>0</v>
      </c>
      <c r="BJ84" s="539">
        <f t="shared" si="38"/>
        <v>0</v>
      </c>
      <c r="BK84" s="539">
        <f t="shared" si="38"/>
        <v>0</v>
      </c>
      <c r="BL84" s="539">
        <f t="shared" si="38"/>
        <v>0</v>
      </c>
      <c r="BM84" s="539">
        <f t="shared" si="38"/>
        <v>0</v>
      </c>
      <c r="BN84" s="539">
        <f t="shared" si="38"/>
        <v>0</v>
      </c>
      <c r="BO84" s="539">
        <f t="shared" si="38"/>
        <v>0</v>
      </c>
      <c r="BP84" s="539">
        <f t="shared" si="38"/>
        <v>0</v>
      </c>
      <c r="BQ84" s="539">
        <f t="shared" si="38"/>
        <v>0</v>
      </c>
      <c r="BR84" s="539">
        <f t="shared" si="38"/>
        <v>0</v>
      </c>
      <c r="BS84" s="539">
        <f t="shared" si="38"/>
        <v>0</v>
      </c>
      <c r="BT84" s="539">
        <f t="shared" si="38"/>
        <v>0</v>
      </c>
      <c r="BU84" s="539">
        <f t="shared" si="38"/>
        <v>0</v>
      </c>
      <c r="BV84" s="539">
        <f t="shared" si="38"/>
        <v>0</v>
      </c>
      <c r="BW84" s="539">
        <f t="shared" si="38"/>
        <v>0</v>
      </c>
      <c r="BX84" s="539">
        <f t="shared" si="38"/>
        <v>0</v>
      </c>
      <c r="BY84" s="539">
        <f t="shared" si="38"/>
        <v>0</v>
      </c>
      <c r="BZ84" s="539">
        <f t="shared" si="38"/>
        <v>0</v>
      </c>
      <c r="CA84" s="539">
        <f t="shared" si="38"/>
        <v>0</v>
      </c>
      <c r="CB84" s="539">
        <f t="shared" si="38"/>
        <v>0</v>
      </c>
      <c r="CC84" s="539">
        <f t="shared" si="38"/>
        <v>0</v>
      </c>
      <c r="CD84" s="539">
        <f t="shared" si="38"/>
        <v>0</v>
      </c>
      <c r="CE84" s="539">
        <f t="shared" si="38"/>
        <v>0</v>
      </c>
      <c r="CF84" s="539">
        <f t="shared" si="38"/>
        <v>7.2759576141834259E-12</v>
      </c>
      <c r="CG84" s="539">
        <f t="shared" si="38"/>
        <v>7.2759576141834259E-12</v>
      </c>
      <c r="CH84" s="539">
        <f t="shared" si="38"/>
        <v>7.2759576141834259E-12</v>
      </c>
      <c r="CI84" s="539">
        <f t="shared" si="38"/>
        <v>7.2759576141834259E-12</v>
      </c>
      <c r="CJ84" s="539">
        <f t="shared" si="38"/>
        <v>7.2759576141834259E-12</v>
      </c>
      <c r="CK84" s="539">
        <f t="shared" si="38"/>
        <v>7.2759576141834259E-12</v>
      </c>
      <c r="CL84" s="539">
        <f t="shared" si="38"/>
        <v>7.2759576141834259E-12</v>
      </c>
      <c r="CM84" s="539">
        <f t="shared" si="38"/>
        <v>7.2759576141834259E-12</v>
      </c>
      <c r="CN84" s="539">
        <f t="shared" si="38"/>
        <v>7.2759576141834259E-12</v>
      </c>
      <c r="CO84" s="539">
        <f t="shared" si="38"/>
        <v>7.2759576141834259E-12</v>
      </c>
      <c r="CP84" s="539">
        <f t="shared" si="38"/>
        <v>7.2759576141834259E-12</v>
      </c>
      <c r="CQ84" s="539">
        <f t="shared" si="38"/>
        <v>7.2759576141834259E-12</v>
      </c>
      <c r="CR84" s="539">
        <f t="shared" si="38"/>
        <v>7.2759576141834259E-12</v>
      </c>
      <c r="CS84" s="539">
        <f t="shared" si="38"/>
        <v>7.2759576141834259E-12</v>
      </c>
      <c r="CT84" s="539">
        <f t="shared" si="38"/>
        <v>7.2759576141834259E-12</v>
      </c>
      <c r="CU84" s="539">
        <f t="shared" si="38"/>
        <v>7.2759576141834259E-12</v>
      </c>
      <c r="CV84" s="539">
        <f t="shared" si="38"/>
        <v>7.2759576141834259E-12</v>
      </c>
      <c r="CW84" s="539">
        <f t="shared" si="38"/>
        <v>7.2759576141834259E-12</v>
      </c>
      <c r="CX84" s="539">
        <f t="shared" si="38"/>
        <v>7.2759576141834259E-12</v>
      </c>
      <c r="CY84" s="539">
        <f t="shared" si="38"/>
        <v>7.2759576141834259E-12</v>
      </c>
      <c r="CZ84" s="539">
        <f t="shared" si="38"/>
        <v>7.2759576141834259E-12</v>
      </c>
      <c r="DA84" s="539">
        <f t="shared" si="38"/>
        <v>7.2759576141834259E-12</v>
      </c>
      <c r="DB84" s="539">
        <f t="shared" si="38"/>
        <v>7.2759576141834259E-12</v>
      </c>
      <c r="DC84" s="539">
        <f t="shared" si="38"/>
        <v>7.2759576141834259E-12</v>
      </c>
      <c r="DD84" s="539">
        <f t="shared" si="38"/>
        <v>7.2759576141834259E-12</v>
      </c>
      <c r="DE84" s="539">
        <f t="shared" si="38"/>
        <v>7.2759576141834259E-12</v>
      </c>
      <c r="DF84" s="539">
        <f t="shared" si="38"/>
        <v>7.2759576141834259E-12</v>
      </c>
      <c r="DG84" s="539">
        <f t="shared" si="38"/>
        <v>7.2759576141834259E-12</v>
      </c>
      <c r="DH84" s="539">
        <f t="shared" si="38"/>
        <v>7.2759576141834259E-12</v>
      </c>
      <c r="DI84" s="539">
        <f t="shared" si="38"/>
        <v>7.2759576141834259E-12</v>
      </c>
      <c r="DJ84" s="539">
        <f t="shared" si="38"/>
        <v>7.2759576141834259E-12</v>
      </c>
      <c r="DK84" s="539">
        <f t="shared" si="38"/>
        <v>7.2759576141834259E-12</v>
      </c>
      <c r="DL84" s="539">
        <f t="shared" si="38"/>
        <v>7.2759576141834259E-12</v>
      </c>
      <c r="DM84" s="539">
        <f t="shared" si="38"/>
        <v>7.2759576141834259E-12</v>
      </c>
      <c r="DN84" s="539">
        <f t="shared" si="38"/>
        <v>7.2759576141834259E-12</v>
      </c>
      <c r="DO84" s="539">
        <f t="shared" si="38"/>
        <v>7.2759576141834259E-12</v>
      </c>
      <c r="DP84" s="539">
        <f t="shared" si="38"/>
        <v>7.2759576141834259E-12</v>
      </c>
      <c r="DQ84" s="539">
        <f t="shared" si="38"/>
        <v>7.2759576141834259E-12</v>
      </c>
      <c r="DR84" s="539">
        <f t="shared" si="38"/>
        <v>7.2759576141834259E-12</v>
      </c>
      <c r="DS84" s="539">
        <f t="shared" si="38"/>
        <v>7.2759576141834259E-12</v>
      </c>
      <c r="DT84" s="539">
        <f t="shared" si="38"/>
        <v>7.2759576141834259E-12</v>
      </c>
      <c r="DU84" s="539">
        <f t="shared" si="38"/>
        <v>7.2759576141834259E-12</v>
      </c>
      <c r="DV84" s="539">
        <f t="shared" si="38"/>
        <v>7.2759576141834259E-12</v>
      </c>
      <c r="DW84" s="539">
        <f t="shared" si="38"/>
        <v>7.2759576141834259E-12</v>
      </c>
      <c r="DX84" s="539">
        <f t="shared" si="38"/>
        <v>7.2759576141834259E-12</v>
      </c>
      <c r="DY84" s="539">
        <f t="shared" si="38"/>
        <v>7.2759576141834259E-12</v>
      </c>
      <c r="DZ84" s="539">
        <f t="shared" si="38"/>
        <v>7.2759576141834259E-12</v>
      </c>
      <c r="EA84" s="539">
        <f t="shared" si="38"/>
        <v>7.2759576141834259E-12</v>
      </c>
      <c r="EB84" s="539">
        <f t="shared" si="38"/>
        <v>7.2759576141834259E-12</v>
      </c>
      <c r="EC84" s="539">
        <f t="shared" si="38"/>
        <v>7.2759576141834259E-12</v>
      </c>
      <c r="ED84" s="539">
        <f t="shared" si="38"/>
        <v>0</v>
      </c>
      <c r="EE84" s="539">
        <f t="shared" si="38"/>
        <v>0</v>
      </c>
      <c r="EF84" s="539">
        <f t="shared" si="38"/>
        <v>0</v>
      </c>
      <c r="EG84" s="539">
        <f t="shared" si="38"/>
        <v>0</v>
      </c>
    </row>
    <row r="86" spans="5:137" ht="12.75">
      <c r="E86" s="535" t="str">
        <f>Time!E$86</f>
        <v>Last operating period flag</v>
      </c>
      <c r="G86" s="537" t="str">
        <f>Time!G$86</f>
        <v>flag</v>
      </c>
      <c r="H86" s="537">
        <f>Time!H$86</f>
        <v>1</v>
      </c>
      <c r="J86" s="537">
        <f>Time!J$86</f>
        <v>0</v>
      </c>
      <c r="K86" s="537">
        <f>Time!K$86</f>
        <v>0</v>
      </c>
      <c r="L86" s="537">
        <f>Time!L$86</f>
        <v>0</v>
      </c>
      <c r="M86" s="537">
        <f>Time!M$86</f>
        <v>0</v>
      </c>
      <c r="N86" s="537">
        <f>Time!N$86</f>
        <v>0</v>
      </c>
      <c r="O86" s="537">
        <f>Time!O$86</f>
        <v>0</v>
      </c>
      <c r="P86" s="537">
        <f>Time!P$86</f>
        <v>0</v>
      </c>
      <c r="Q86" s="537">
        <f>Time!Q$86</f>
        <v>0</v>
      </c>
      <c r="R86" s="537">
        <f>Time!R$86</f>
        <v>0</v>
      </c>
      <c r="S86" s="537">
        <f>Time!S$86</f>
        <v>0</v>
      </c>
      <c r="T86" s="537">
        <f>Time!T$86</f>
        <v>0</v>
      </c>
      <c r="U86" s="537">
        <f>Time!U$86</f>
        <v>0</v>
      </c>
      <c r="V86" s="537">
        <f>Time!V$86</f>
        <v>0</v>
      </c>
      <c r="W86" s="537">
        <f>Time!W$86</f>
        <v>0</v>
      </c>
      <c r="X86" s="537">
        <f>Time!X$86</f>
        <v>0</v>
      </c>
      <c r="Y86" s="537">
        <f>Time!Y$86</f>
        <v>0</v>
      </c>
      <c r="Z86" s="537">
        <f>Time!Z$86</f>
        <v>0</v>
      </c>
      <c r="AA86" s="537">
        <f>Time!AA$86</f>
        <v>0</v>
      </c>
      <c r="AB86" s="537">
        <f>Time!AB$86</f>
        <v>0</v>
      </c>
      <c r="AC86" s="537">
        <f>Time!AC$86</f>
        <v>0</v>
      </c>
      <c r="AD86" s="537">
        <f>Time!AD$86</f>
        <v>0</v>
      </c>
      <c r="AE86" s="537">
        <f>Time!AE$86</f>
        <v>0</v>
      </c>
      <c r="AF86" s="537">
        <f>Time!AF$86</f>
        <v>0</v>
      </c>
      <c r="AG86" s="537">
        <f>Time!AG$86</f>
        <v>0</v>
      </c>
      <c r="AH86" s="537">
        <f>Time!AH$86</f>
        <v>0</v>
      </c>
      <c r="AI86" s="537">
        <f>Time!AI$86</f>
        <v>0</v>
      </c>
      <c r="AJ86" s="537">
        <f>Time!AJ$86</f>
        <v>0</v>
      </c>
      <c r="AK86" s="537">
        <f>Time!AK$86</f>
        <v>0</v>
      </c>
      <c r="AL86" s="537">
        <f>Time!AL$86</f>
        <v>0</v>
      </c>
      <c r="AM86" s="537">
        <f>Time!AM$86</f>
        <v>0</v>
      </c>
      <c r="AN86" s="537">
        <f>Time!AN$86</f>
        <v>0</v>
      </c>
      <c r="AO86" s="537">
        <f>Time!AO$86</f>
        <v>0</v>
      </c>
      <c r="AP86" s="537">
        <f>Time!AP$86</f>
        <v>0</v>
      </c>
      <c r="AQ86" s="537">
        <f>Time!AQ$86</f>
        <v>0</v>
      </c>
      <c r="AR86" s="537">
        <f>Time!AR$86</f>
        <v>0</v>
      </c>
      <c r="AS86" s="537">
        <f>Time!AS$86</f>
        <v>0</v>
      </c>
      <c r="AT86" s="537">
        <f>Time!AT$86</f>
        <v>0</v>
      </c>
      <c r="AU86" s="537">
        <f>Time!AU$86</f>
        <v>0</v>
      </c>
      <c r="AV86" s="537">
        <f>Time!AV$86</f>
        <v>0</v>
      </c>
      <c r="AW86" s="537">
        <f>Time!AW$86</f>
        <v>0</v>
      </c>
      <c r="AX86" s="537">
        <f>Time!AX$86</f>
        <v>0</v>
      </c>
      <c r="AY86" s="537">
        <f>Time!AY$86</f>
        <v>0</v>
      </c>
      <c r="AZ86" s="537">
        <f>Time!AZ$86</f>
        <v>0</v>
      </c>
      <c r="BA86" s="537">
        <f>Time!BA$86</f>
        <v>0</v>
      </c>
      <c r="BB86" s="537">
        <f>Time!BB$86</f>
        <v>0</v>
      </c>
      <c r="BC86" s="537">
        <f>Time!BC$86</f>
        <v>0</v>
      </c>
      <c r="BD86" s="537">
        <f>Time!BD$86</f>
        <v>0</v>
      </c>
      <c r="BE86" s="537">
        <f>Time!BE$86</f>
        <v>0</v>
      </c>
      <c r="BF86" s="537">
        <f>Time!BF$86</f>
        <v>0</v>
      </c>
      <c r="BG86" s="537">
        <f>Time!BG$86</f>
        <v>0</v>
      </c>
      <c r="BH86" s="537">
        <f>Time!BH$86</f>
        <v>0</v>
      </c>
      <c r="BI86" s="537">
        <f>Time!BI$86</f>
        <v>0</v>
      </c>
      <c r="BJ86" s="537">
        <f>Time!BJ$86</f>
        <v>0</v>
      </c>
      <c r="BK86" s="537">
        <f>Time!BK$86</f>
        <v>0</v>
      </c>
      <c r="BL86" s="537">
        <f>Time!BL$86</f>
        <v>0</v>
      </c>
      <c r="BM86" s="537">
        <f>Time!BM$86</f>
        <v>0</v>
      </c>
      <c r="BN86" s="537">
        <f>Time!BN$86</f>
        <v>0</v>
      </c>
      <c r="BO86" s="537">
        <f>Time!BO$86</f>
        <v>0</v>
      </c>
      <c r="BP86" s="537">
        <f>Time!BP$86</f>
        <v>0</v>
      </c>
      <c r="BQ86" s="537">
        <f>Time!BQ$86</f>
        <v>0</v>
      </c>
      <c r="BR86" s="537">
        <f>Time!BR$86</f>
        <v>0</v>
      </c>
      <c r="BS86" s="537">
        <f>Time!BS$86</f>
        <v>0</v>
      </c>
      <c r="BT86" s="537">
        <f>Time!BT$86</f>
        <v>0</v>
      </c>
      <c r="BU86" s="537">
        <f>Time!BU$86</f>
        <v>0</v>
      </c>
      <c r="BV86" s="537">
        <f>Time!BV$86</f>
        <v>0</v>
      </c>
      <c r="BW86" s="537">
        <f>Time!BW$86</f>
        <v>0</v>
      </c>
      <c r="BX86" s="537">
        <f>Time!BX$86</f>
        <v>0</v>
      </c>
      <c r="BY86" s="537">
        <f>Time!BY$86</f>
        <v>0</v>
      </c>
      <c r="BZ86" s="537">
        <f>Time!BZ$86</f>
        <v>0</v>
      </c>
      <c r="CA86" s="537">
        <f>Time!CA$86</f>
        <v>0</v>
      </c>
      <c r="CB86" s="537">
        <f>Time!CB$86</f>
        <v>0</v>
      </c>
      <c r="CC86" s="537">
        <f>Time!CC$86</f>
        <v>0</v>
      </c>
      <c r="CD86" s="537">
        <f>Time!CD$86</f>
        <v>0</v>
      </c>
      <c r="CE86" s="537">
        <f>Time!CE$86</f>
        <v>0</v>
      </c>
      <c r="CF86" s="537">
        <f>Time!CF$86</f>
        <v>0</v>
      </c>
      <c r="CG86" s="537">
        <f>Time!CG$86</f>
        <v>0</v>
      </c>
      <c r="CH86" s="537">
        <f>Time!CH$86</f>
        <v>0</v>
      </c>
      <c r="CI86" s="537">
        <f>Time!CI$86</f>
        <v>0</v>
      </c>
      <c r="CJ86" s="537">
        <f>Time!CJ$86</f>
        <v>0</v>
      </c>
      <c r="CK86" s="537">
        <f>Time!CK$86</f>
        <v>0</v>
      </c>
      <c r="CL86" s="537">
        <f>Time!CL$86</f>
        <v>0</v>
      </c>
      <c r="CM86" s="537">
        <f>Time!CM$86</f>
        <v>0</v>
      </c>
      <c r="CN86" s="537">
        <f>Time!CN$86</f>
        <v>0</v>
      </c>
      <c r="CO86" s="537">
        <f>Time!CO$86</f>
        <v>0</v>
      </c>
      <c r="CP86" s="537">
        <f>Time!CP$86</f>
        <v>0</v>
      </c>
      <c r="CQ86" s="537">
        <f>Time!CQ$86</f>
        <v>0</v>
      </c>
      <c r="CR86" s="537">
        <f>Time!CR$86</f>
        <v>0</v>
      </c>
      <c r="CS86" s="537">
        <f>Time!CS$86</f>
        <v>0</v>
      </c>
      <c r="CT86" s="537">
        <f>Time!CT$86</f>
        <v>0</v>
      </c>
      <c r="CU86" s="537">
        <f>Time!CU$86</f>
        <v>0</v>
      </c>
      <c r="CV86" s="537">
        <f>Time!CV$86</f>
        <v>0</v>
      </c>
      <c r="CW86" s="537">
        <f>Time!CW$86</f>
        <v>0</v>
      </c>
      <c r="CX86" s="537">
        <f>Time!CX$86</f>
        <v>0</v>
      </c>
      <c r="CY86" s="537">
        <f>Time!CY$86</f>
        <v>0</v>
      </c>
      <c r="CZ86" s="537">
        <f>Time!CZ$86</f>
        <v>0</v>
      </c>
      <c r="DA86" s="537">
        <f>Time!DA$86</f>
        <v>0</v>
      </c>
      <c r="DB86" s="537">
        <f>Time!DB$86</f>
        <v>0</v>
      </c>
      <c r="DC86" s="537">
        <f>Time!DC$86</f>
        <v>0</v>
      </c>
      <c r="DD86" s="537">
        <f>Time!DD$86</f>
        <v>0</v>
      </c>
      <c r="DE86" s="537">
        <f>Time!DE$86</f>
        <v>0</v>
      </c>
      <c r="DF86" s="537">
        <f>Time!DF$86</f>
        <v>0</v>
      </c>
      <c r="DG86" s="537">
        <f>Time!DG$86</f>
        <v>0</v>
      </c>
      <c r="DH86" s="537">
        <f>Time!DH$86</f>
        <v>0</v>
      </c>
      <c r="DI86" s="537">
        <f>Time!DI$86</f>
        <v>0</v>
      </c>
      <c r="DJ86" s="537">
        <f>Time!DJ$86</f>
        <v>0</v>
      </c>
      <c r="DK86" s="537">
        <f>Time!DK$86</f>
        <v>0</v>
      </c>
      <c r="DL86" s="537">
        <f>Time!DL$86</f>
        <v>0</v>
      </c>
      <c r="DM86" s="537">
        <f>Time!DM$86</f>
        <v>0</v>
      </c>
      <c r="DN86" s="537">
        <f>Time!DN$86</f>
        <v>0</v>
      </c>
      <c r="DO86" s="537">
        <f>Time!DO$86</f>
        <v>0</v>
      </c>
      <c r="DP86" s="537">
        <f>Time!DP$86</f>
        <v>0</v>
      </c>
      <c r="DQ86" s="537">
        <f>Time!DQ$86</f>
        <v>0</v>
      </c>
      <c r="DR86" s="537">
        <f>Time!DR$86</f>
        <v>0</v>
      </c>
      <c r="DS86" s="537">
        <f>Time!DS$86</f>
        <v>0</v>
      </c>
      <c r="DT86" s="537">
        <f>Time!DT$86</f>
        <v>0</v>
      </c>
      <c r="DU86" s="537">
        <f>Time!DU$86</f>
        <v>0</v>
      </c>
      <c r="DV86" s="537">
        <f>Time!DV$86</f>
        <v>0</v>
      </c>
      <c r="DW86" s="537">
        <f>Time!DW$86</f>
        <v>0</v>
      </c>
      <c r="DX86" s="537">
        <f>Time!DX$86</f>
        <v>0</v>
      </c>
      <c r="DY86" s="537">
        <f>Time!DY$86</f>
        <v>0</v>
      </c>
      <c r="DZ86" s="537">
        <f>Time!DZ$86</f>
        <v>0</v>
      </c>
      <c r="EA86" s="537">
        <f>Time!EA$86</f>
        <v>0</v>
      </c>
      <c r="EB86" s="537">
        <f>Time!EB$86</f>
        <v>0</v>
      </c>
      <c r="EC86" s="537">
        <f>Time!EC$86</f>
        <v>1</v>
      </c>
      <c r="ED86" s="537">
        <f>Time!ED$86</f>
        <v>0</v>
      </c>
      <c r="EE86" s="537">
        <f>Time!EE$86</f>
        <v>0</v>
      </c>
      <c r="EF86" s="537">
        <f>Time!EF$86</f>
        <v>0</v>
      </c>
      <c r="EG86" s="537">
        <f>Time!EG$86</f>
        <v>0</v>
      </c>
    </row>
    <row r="87" spans="5:137" ht="12.75">
      <c r="E87" s="538" t="str">
        <f>E$67</f>
        <v>Tax losses - available at start of period</v>
      </c>
      <c r="G87" s="539" t="str">
        <f>G$67</f>
        <v>EUR 000s</v>
      </c>
      <c r="H87" s="539">
        <f>H$67</f>
        <v>1331931.5675670947</v>
      </c>
      <c r="J87" s="539">
        <f t="shared" si="39" ref="J87:EG87">J$67</f>
        <v>0</v>
      </c>
      <c r="K87" s="539">
        <f t="shared" si="39"/>
        <v>0</v>
      </c>
      <c r="L87" s="539">
        <f t="shared" si="39"/>
        <v>0</v>
      </c>
      <c r="M87" s="539">
        <f t="shared" si="39"/>
        <v>0</v>
      </c>
      <c r="N87" s="539">
        <f t="shared" si="39"/>
        <v>0</v>
      </c>
      <c r="O87" s="539">
        <f t="shared" si="39"/>
        <v>0</v>
      </c>
      <c r="P87" s="539">
        <f t="shared" si="39"/>
        <v>0</v>
      </c>
      <c r="Q87" s="539">
        <f t="shared" si="39"/>
        <v>0</v>
      </c>
      <c r="R87" s="539">
        <f t="shared" si="39"/>
        <v>0</v>
      </c>
      <c r="S87" s="539">
        <f t="shared" si="39"/>
        <v>0</v>
      </c>
      <c r="T87" s="539">
        <f t="shared" si="39"/>
        <v>0</v>
      </c>
      <c r="U87" s="539">
        <f t="shared" si="39"/>
        <v>0</v>
      </c>
      <c r="V87" s="539">
        <f t="shared" si="39"/>
        <v>0</v>
      </c>
      <c r="W87" s="539">
        <f t="shared" si="39"/>
        <v>0</v>
      </c>
      <c r="X87" s="539">
        <f t="shared" si="39"/>
        <v>0</v>
      </c>
      <c r="Y87" s="539">
        <f t="shared" si="39"/>
        <v>0</v>
      </c>
      <c r="Z87" s="539">
        <f t="shared" si="39"/>
        <v>0</v>
      </c>
      <c r="AA87" s="539">
        <f t="shared" si="39"/>
        <v>0</v>
      </c>
      <c r="AB87" s="539">
        <f t="shared" si="39"/>
        <v>0</v>
      </c>
      <c r="AC87" s="539">
        <f t="shared" si="39"/>
        <v>0</v>
      </c>
      <c r="AD87" s="539">
        <f t="shared" si="39"/>
        <v>0</v>
      </c>
      <c r="AE87" s="539">
        <f t="shared" si="39"/>
        <v>0</v>
      </c>
      <c r="AF87" s="539">
        <f t="shared" si="39"/>
        <v>0</v>
      </c>
      <c r="AG87" s="539">
        <f t="shared" si="39"/>
        <v>0</v>
      </c>
      <c r="AH87" s="539">
        <f t="shared" si="39"/>
        <v>0</v>
      </c>
      <c r="AI87" s="539">
        <f t="shared" si="39"/>
        <v>6822.7318437499998</v>
      </c>
      <c r="AJ87" s="539">
        <f t="shared" si="39"/>
        <v>13055.069875000001</v>
      </c>
      <c r="AK87" s="539">
        <f t="shared" si="39"/>
        <v>18723.5818153125</v>
      </c>
      <c r="AL87" s="539">
        <f t="shared" si="39"/>
        <v>23853.639838779687</v>
      </c>
      <c r="AM87" s="539">
        <f t="shared" si="39"/>
        <v>28358.857082753351</v>
      </c>
      <c r="AN87" s="539">
        <f t="shared" si="39"/>
        <v>32372.990893216171</v>
      </c>
      <c r="AO87" s="539">
        <f t="shared" si="39"/>
        <v>35918.140024676133</v>
      </c>
      <c r="AP87" s="539">
        <f t="shared" si="39"/>
        <v>39015.408787688364</v>
      </c>
      <c r="AQ87" s="539">
        <f t="shared" si="39"/>
        <v>41572.516711629105</v>
      </c>
      <c r="AR87" s="539">
        <f t="shared" si="39"/>
        <v>43721.146542536306</v>
      </c>
      <c r="AS87" s="539">
        <f t="shared" si="39"/>
        <v>45479.679794596479</v>
      </c>
      <c r="AT87" s="539">
        <f t="shared" si="39"/>
        <v>46865.670813857738</v>
      </c>
      <c r="AU87" s="539">
        <f t="shared" si="39"/>
        <v>47781.606015446778</v>
      </c>
      <c r="AV87" s="539">
        <f t="shared" si="39"/>
        <v>48357.773387167384</v>
      </c>
      <c r="AW87" s="539">
        <f t="shared" si="39"/>
        <v>48609.46248136364</v>
      </c>
      <c r="AX87" s="539">
        <f t="shared" si="39"/>
        <v>48568.731118775991</v>
      </c>
      <c r="AY87" s="539">
        <f t="shared" si="39"/>
        <v>49316.143083837531</v>
      </c>
      <c r="AZ87" s="539">
        <f t="shared" si="39"/>
        <v>49780.939701387586</v>
      </c>
      <c r="BA87" s="539">
        <f t="shared" si="39"/>
        <v>49975.838662064169</v>
      </c>
      <c r="BB87" s="539">
        <f t="shared" si="39"/>
        <v>49931.841350917864</v>
      </c>
      <c r="BC87" s="539">
        <f t="shared" si="39"/>
        <v>48780.534136530303</v>
      </c>
      <c r="BD87" s="539">
        <f t="shared" si="39"/>
        <v>47464.67336721679</v>
      </c>
      <c r="BE87" s="539">
        <f t="shared" si="39"/>
        <v>45991.663952948991</v>
      </c>
      <c r="BF87" s="539">
        <f t="shared" si="39"/>
        <v>44368.577582749851</v>
      </c>
      <c r="BG87" s="539">
        <f t="shared" si="39"/>
        <v>42518.196393095648</v>
      </c>
      <c r="BH87" s="539">
        <f t="shared" si="39"/>
        <v>40530.941267708164</v>
      </c>
      <c r="BI87" s="539">
        <f t="shared" si="39"/>
        <v>38412.971533695396</v>
      </c>
      <c r="BJ87" s="539">
        <f t="shared" si="39"/>
        <v>36170.169348445481</v>
      </c>
      <c r="BK87" s="539">
        <f t="shared" si="39"/>
        <v>33722.819327355966</v>
      </c>
      <c r="BL87" s="539">
        <f t="shared" si="39"/>
        <v>31161.618989926897</v>
      </c>
      <c r="BM87" s="539">
        <f t="shared" si="39"/>
        <v>28491.691600393548</v>
      </c>
      <c r="BN87" s="539">
        <f t="shared" si="39"/>
        <v>25717.929876100614</v>
      </c>
      <c r="BO87" s="539">
        <f t="shared" si="39"/>
        <v>22758.293846120003</v>
      </c>
      <c r="BP87" s="539">
        <f t="shared" si="39"/>
        <v>19703.958306980279</v>
      </c>
      <c r="BQ87" s="539">
        <f t="shared" si="39"/>
        <v>16559.184736593605</v>
      </c>
      <c r="BR87" s="539">
        <f t="shared" si="39"/>
        <v>13328.042846366094</v>
      </c>
      <c r="BS87" s="539">
        <f t="shared" si="39"/>
        <v>10890.692462166768</v>
      </c>
      <c r="BT87" s="539">
        <f t="shared" si="39"/>
        <v>8374.5720110645998</v>
      </c>
      <c r="BU87" s="539">
        <f t="shared" si="39"/>
        <v>5783.2261460702202</v>
      </c>
      <c r="BV87" s="539">
        <f t="shared" si="39"/>
        <v>3120.0400108087779</v>
      </c>
      <c r="BW87" s="539">
        <f t="shared" si="39"/>
        <v>0</v>
      </c>
      <c r="BX87" s="539">
        <f t="shared" si="39"/>
        <v>0</v>
      </c>
      <c r="BY87" s="539">
        <f t="shared" si="39"/>
        <v>0</v>
      </c>
      <c r="BZ87" s="539">
        <f t="shared" si="39"/>
        <v>0</v>
      </c>
      <c r="CA87" s="539">
        <f t="shared" si="39"/>
        <v>0</v>
      </c>
      <c r="CB87" s="539">
        <f t="shared" si="39"/>
        <v>0</v>
      </c>
      <c r="CC87" s="539">
        <f t="shared" si="39"/>
        <v>0</v>
      </c>
      <c r="CD87" s="539">
        <f t="shared" si="39"/>
        <v>0</v>
      </c>
      <c r="CE87" s="539">
        <f t="shared" si="39"/>
        <v>0</v>
      </c>
      <c r="CF87" s="539">
        <f t="shared" si="39"/>
        <v>0</v>
      </c>
      <c r="CG87" s="539">
        <f t="shared" si="39"/>
        <v>-7.2759576141834259E-12</v>
      </c>
      <c r="CH87" s="539">
        <f t="shared" si="39"/>
        <v>-7.2759576141834259E-12</v>
      </c>
      <c r="CI87" s="539">
        <f t="shared" si="39"/>
        <v>-7.2759576141834259E-12</v>
      </c>
      <c r="CJ87" s="539">
        <f t="shared" si="39"/>
        <v>-7.2759576141834259E-12</v>
      </c>
      <c r="CK87" s="539">
        <f t="shared" si="39"/>
        <v>-7.2759576141834259E-12</v>
      </c>
      <c r="CL87" s="539">
        <f t="shared" si="39"/>
        <v>-7.2759576141834259E-12</v>
      </c>
      <c r="CM87" s="539">
        <f t="shared" si="39"/>
        <v>-7.2759576141834259E-12</v>
      </c>
      <c r="CN87" s="539">
        <f t="shared" si="39"/>
        <v>-7.2759576141834259E-12</v>
      </c>
      <c r="CO87" s="539">
        <f t="shared" si="39"/>
        <v>-7.2759576141834259E-12</v>
      </c>
      <c r="CP87" s="539">
        <f t="shared" si="39"/>
        <v>-7.2759576141834259E-12</v>
      </c>
      <c r="CQ87" s="539">
        <f t="shared" si="39"/>
        <v>-7.2759576141834259E-12</v>
      </c>
      <c r="CR87" s="539">
        <f t="shared" si="39"/>
        <v>-7.2759576141834259E-12</v>
      </c>
      <c r="CS87" s="539">
        <f t="shared" si="39"/>
        <v>-7.2759576141834259E-12</v>
      </c>
      <c r="CT87" s="539">
        <f t="shared" si="39"/>
        <v>-7.2759576141834259E-12</v>
      </c>
      <c r="CU87" s="539">
        <f t="shared" si="39"/>
        <v>-7.2759576141834259E-12</v>
      </c>
      <c r="CV87" s="539">
        <f t="shared" si="39"/>
        <v>-7.2759576141834259E-12</v>
      </c>
      <c r="CW87" s="539">
        <f t="shared" si="39"/>
        <v>-7.2759576141834259E-12</v>
      </c>
      <c r="CX87" s="539">
        <f t="shared" si="39"/>
        <v>-7.2759576141834259E-12</v>
      </c>
      <c r="CY87" s="539">
        <f t="shared" si="39"/>
        <v>-7.2759576141834259E-12</v>
      </c>
      <c r="CZ87" s="539">
        <f t="shared" si="39"/>
        <v>-7.2759576141834259E-12</v>
      </c>
      <c r="DA87" s="539">
        <f t="shared" si="39"/>
        <v>-7.2759576141834259E-12</v>
      </c>
      <c r="DB87" s="539">
        <f t="shared" si="39"/>
        <v>-7.2759576141834259E-12</v>
      </c>
      <c r="DC87" s="539">
        <f t="shared" si="39"/>
        <v>-7.2759576141834259E-12</v>
      </c>
      <c r="DD87" s="539">
        <f t="shared" si="39"/>
        <v>-7.2759576141834259E-12</v>
      </c>
      <c r="DE87" s="539">
        <f t="shared" si="39"/>
        <v>-7.2759576141834259E-12</v>
      </c>
      <c r="DF87" s="539">
        <f t="shared" si="39"/>
        <v>-7.2759576141834259E-12</v>
      </c>
      <c r="DG87" s="539">
        <f t="shared" si="39"/>
        <v>-7.2759576141834259E-12</v>
      </c>
      <c r="DH87" s="539">
        <f t="shared" si="39"/>
        <v>-7.2759576141834259E-12</v>
      </c>
      <c r="DI87" s="539">
        <f t="shared" si="39"/>
        <v>-7.2759576141834259E-12</v>
      </c>
      <c r="DJ87" s="539">
        <f t="shared" si="39"/>
        <v>-7.2759576141834259E-12</v>
      </c>
      <c r="DK87" s="539">
        <f t="shared" si="39"/>
        <v>-7.2759576141834259E-12</v>
      </c>
      <c r="DL87" s="539">
        <f t="shared" si="39"/>
        <v>-7.2759576141834259E-12</v>
      </c>
      <c r="DM87" s="539">
        <f t="shared" si="39"/>
        <v>-7.2759576141834259E-12</v>
      </c>
      <c r="DN87" s="539">
        <f t="shared" si="39"/>
        <v>-7.2759576141834259E-12</v>
      </c>
      <c r="DO87" s="539">
        <f t="shared" si="39"/>
        <v>-7.2759576141834259E-12</v>
      </c>
      <c r="DP87" s="539">
        <f t="shared" si="39"/>
        <v>-7.2759576141834259E-12</v>
      </c>
      <c r="DQ87" s="539">
        <f t="shared" si="39"/>
        <v>-7.2759576141834259E-12</v>
      </c>
      <c r="DR87" s="539">
        <f t="shared" si="39"/>
        <v>-7.2759576141834259E-12</v>
      </c>
      <c r="DS87" s="539">
        <f t="shared" si="39"/>
        <v>-7.2759576141834259E-12</v>
      </c>
      <c r="DT87" s="539">
        <f t="shared" si="39"/>
        <v>-7.2759576141834259E-12</v>
      </c>
      <c r="DU87" s="539">
        <f t="shared" si="39"/>
        <v>-7.2759576141834259E-12</v>
      </c>
      <c r="DV87" s="539">
        <f t="shared" si="39"/>
        <v>-7.2759576141834259E-12</v>
      </c>
      <c r="DW87" s="539">
        <f t="shared" si="39"/>
        <v>-7.2759576141834259E-12</v>
      </c>
      <c r="DX87" s="539">
        <f t="shared" si="39"/>
        <v>-7.2759576141834259E-12</v>
      </c>
      <c r="DY87" s="539">
        <f t="shared" si="39"/>
        <v>-7.2759576141834259E-12</v>
      </c>
      <c r="DZ87" s="539">
        <f t="shared" si="39"/>
        <v>-7.2759576141834259E-12</v>
      </c>
      <c r="EA87" s="539">
        <f t="shared" si="39"/>
        <v>-7.2759576141834259E-12</v>
      </c>
      <c r="EB87" s="539">
        <f t="shared" si="39"/>
        <v>-7.2759576141834259E-12</v>
      </c>
      <c r="EC87" s="539">
        <f t="shared" si="39"/>
        <v>-7.2759576141834259E-12</v>
      </c>
      <c r="ED87" s="539">
        <f t="shared" si="39"/>
        <v>0</v>
      </c>
      <c r="EE87" s="539">
        <f t="shared" si="39"/>
        <v>0</v>
      </c>
      <c r="EF87" s="539">
        <f t="shared" si="39"/>
        <v>0</v>
      </c>
      <c r="EG87" s="539">
        <f t="shared" si="39"/>
        <v>0</v>
      </c>
    </row>
    <row r="88" spans="5:137" ht="12.75">
      <c r="E88" s="538" t="str">
        <f>E$70</f>
        <v>Tax losses - generated</v>
      </c>
      <c r="G88" s="539" t="str">
        <f>G$70</f>
        <v>EUR 000s</v>
      </c>
      <c r="H88" s="539">
        <f>H$70</f>
        <v>50016.570024651817</v>
      </c>
      <c r="J88" s="539">
        <f t="shared" si="40" ref="J88:EG88">J$70</f>
        <v>0</v>
      </c>
      <c r="K88" s="539">
        <f t="shared" si="40"/>
        <v>0</v>
      </c>
      <c r="L88" s="539">
        <f t="shared" si="40"/>
        <v>0</v>
      </c>
      <c r="M88" s="539">
        <f t="shared" si="40"/>
        <v>0</v>
      </c>
      <c r="N88" s="539">
        <f t="shared" si="40"/>
        <v>0</v>
      </c>
      <c r="O88" s="539">
        <f t="shared" si="40"/>
        <v>0</v>
      </c>
      <c r="P88" s="539">
        <f t="shared" si="40"/>
        <v>0</v>
      </c>
      <c r="Q88" s="539">
        <f t="shared" si="40"/>
        <v>0</v>
      </c>
      <c r="R88" s="539">
        <f t="shared" si="40"/>
        <v>0</v>
      </c>
      <c r="S88" s="539">
        <f t="shared" si="40"/>
        <v>0</v>
      </c>
      <c r="T88" s="539">
        <f t="shared" si="40"/>
        <v>0</v>
      </c>
      <c r="U88" s="539">
        <f t="shared" si="40"/>
        <v>0</v>
      </c>
      <c r="V88" s="539">
        <f t="shared" si="40"/>
        <v>0</v>
      </c>
      <c r="W88" s="539">
        <f t="shared" si="40"/>
        <v>0</v>
      </c>
      <c r="X88" s="539">
        <f t="shared" si="40"/>
        <v>0</v>
      </c>
      <c r="Y88" s="539">
        <f t="shared" si="40"/>
        <v>0</v>
      </c>
      <c r="Z88" s="539">
        <f t="shared" si="40"/>
        <v>0</v>
      </c>
      <c r="AA88" s="539">
        <f t="shared" si="40"/>
        <v>0</v>
      </c>
      <c r="AB88" s="539">
        <f t="shared" si="40"/>
        <v>0</v>
      </c>
      <c r="AC88" s="539">
        <f t="shared" si="40"/>
        <v>0</v>
      </c>
      <c r="AD88" s="539">
        <f t="shared" si="40"/>
        <v>0</v>
      </c>
      <c r="AE88" s="539">
        <f t="shared" si="40"/>
        <v>0</v>
      </c>
      <c r="AF88" s="539">
        <f t="shared" si="40"/>
        <v>0</v>
      </c>
      <c r="AG88" s="539">
        <f t="shared" si="40"/>
        <v>0</v>
      </c>
      <c r="AH88" s="539">
        <f t="shared" si="40"/>
        <v>6822.7318437499998</v>
      </c>
      <c r="AI88" s="539">
        <f t="shared" si="40"/>
        <v>6232.3380312500012</v>
      </c>
      <c r="AJ88" s="539">
        <f t="shared" si="40"/>
        <v>5668.5119403125009</v>
      </c>
      <c r="AK88" s="539">
        <f t="shared" si="40"/>
        <v>5130.0580234671888</v>
      </c>
      <c r="AL88" s="539">
        <f t="shared" si="40"/>
        <v>4505.2172439736642</v>
      </c>
      <c r="AM88" s="539">
        <f t="shared" si="40"/>
        <v>4014.133810462818</v>
      </c>
      <c r="AN88" s="539">
        <f t="shared" si="40"/>
        <v>3545.1491314599593</v>
      </c>
      <c r="AO88" s="539">
        <f t="shared" si="40"/>
        <v>3097.2687630122296</v>
      </c>
      <c r="AP88" s="539">
        <f t="shared" si="40"/>
        <v>2557.1079239407418</v>
      </c>
      <c r="AQ88" s="539">
        <f t="shared" si="40"/>
        <v>2148.6298309072017</v>
      </c>
      <c r="AR88" s="539">
        <f t="shared" si="40"/>
        <v>1758.5332520601705</v>
      </c>
      <c r="AS88" s="539">
        <f t="shared" si="40"/>
        <v>1385.991019261257</v>
      </c>
      <c r="AT88" s="539">
        <f t="shared" si="40"/>
        <v>915.93520158903948</v>
      </c>
      <c r="AU88" s="539">
        <f t="shared" si="40"/>
        <v>576.16737172060903</v>
      </c>
      <c r="AV88" s="539">
        <f t="shared" si="40"/>
        <v>251.68909419625788</v>
      </c>
      <c r="AW88" s="539">
        <f t="shared" si="40"/>
        <v>0</v>
      </c>
      <c r="AX88" s="539">
        <f t="shared" si="40"/>
        <v>747.41196506153801</v>
      </c>
      <c r="AY88" s="539">
        <f t="shared" si="40"/>
        <v>464.79661755005282</v>
      </c>
      <c r="AZ88" s="539">
        <f t="shared" si="40"/>
        <v>194.89896067658492</v>
      </c>
      <c r="BA88" s="539">
        <f t="shared" si="40"/>
        <v>0</v>
      </c>
      <c r="BB88" s="539">
        <f t="shared" si="40"/>
        <v>0</v>
      </c>
      <c r="BC88" s="539">
        <f t="shared" si="40"/>
        <v>0</v>
      </c>
      <c r="BD88" s="539">
        <f t="shared" si="40"/>
        <v>0</v>
      </c>
      <c r="BE88" s="539">
        <f t="shared" si="40"/>
        <v>0</v>
      </c>
      <c r="BF88" s="539">
        <f t="shared" si="40"/>
        <v>0</v>
      </c>
      <c r="BG88" s="539">
        <f t="shared" si="40"/>
        <v>0</v>
      </c>
      <c r="BH88" s="539">
        <f t="shared" si="40"/>
        <v>0</v>
      </c>
      <c r="BI88" s="539">
        <f t="shared" si="40"/>
        <v>0</v>
      </c>
      <c r="BJ88" s="539">
        <f t="shared" si="40"/>
        <v>0</v>
      </c>
      <c r="BK88" s="539">
        <f t="shared" si="40"/>
        <v>0</v>
      </c>
      <c r="BL88" s="539">
        <f t="shared" si="40"/>
        <v>0</v>
      </c>
      <c r="BM88" s="539">
        <f t="shared" si="40"/>
        <v>0</v>
      </c>
      <c r="BN88" s="539">
        <f t="shared" si="40"/>
        <v>0</v>
      </c>
      <c r="BO88" s="539">
        <f t="shared" si="40"/>
        <v>0</v>
      </c>
      <c r="BP88" s="539">
        <f t="shared" si="40"/>
        <v>0</v>
      </c>
      <c r="BQ88" s="539">
        <f t="shared" si="40"/>
        <v>0</v>
      </c>
      <c r="BR88" s="539">
        <f t="shared" si="40"/>
        <v>0</v>
      </c>
      <c r="BS88" s="539">
        <f t="shared" si="40"/>
        <v>0</v>
      </c>
      <c r="BT88" s="539">
        <f t="shared" si="40"/>
        <v>0</v>
      </c>
      <c r="BU88" s="539">
        <f t="shared" si="40"/>
        <v>0</v>
      </c>
      <c r="BV88" s="539">
        <f t="shared" si="40"/>
        <v>0</v>
      </c>
      <c r="BW88" s="539">
        <f t="shared" si="40"/>
        <v>0</v>
      </c>
      <c r="BX88" s="539">
        <f t="shared" si="40"/>
        <v>0</v>
      </c>
      <c r="BY88" s="539">
        <f t="shared" si="40"/>
        <v>0</v>
      </c>
      <c r="BZ88" s="539">
        <f t="shared" si="40"/>
        <v>0</v>
      </c>
      <c r="CA88" s="539">
        <f t="shared" si="40"/>
        <v>0</v>
      </c>
      <c r="CB88" s="539">
        <f t="shared" si="40"/>
        <v>0</v>
      </c>
      <c r="CC88" s="539">
        <f t="shared" si="40"/>
        <v>0</v>
      </c>
      <c r="CD88" s="539">
        <f t="shared" si="40"/>
        <v>0</v>
      </c>
      <c r="CE88" s="539">
        <f t="shared" si="40"/>
        <v>0</v>
      </c>
      <c r="CF88" s="539">
        <f t="shared" si="40"/>
        <v>0</v>
      </c>
      <c r="CG88" s="539">
        <f t="shared" si="40"/>
        <v>0</v>
      </c>
      <c r="CH88" s="539">
        <f t="shared" si="40"/>
        <v>0</v>
      </c>
      <c r="CI88" s="539">
        <f t="shared" si="40"/>
        <v>0</v>
      </c>
      <c r="CJ88" s="539">
        <f t="shared" si="40"/>
        <v>0</v>
      </c>
      <c r="CK88" s="539">
        <f t="shared" si="40"/>
        <v>0</v>
      </c>
      <c r="CL88" s="539">
        <f t="shared" si="40"/>
        <v>0</v>
      </c>
      <c r="CM88" s="539">
        <f t="shared" si="40"/>
        <v>0</v>
      </c>
      <c r="CN88" s="539">
        <f t="shared" si="40"/>
        <v>0</v>
      </c>
      <c r="CO88" s="539">
        <f t="shared" si="40"/>
        <v>0</v>
      </c>
      <c r="CP88" s="539">
        <f t="shared" si="40"/>
        <v>0</v>
      </c>
      <c r="CQ88" s="539">
        <f t="shared" si="40"/>
        <v>0</v>
      </c>
      <c r="CR88" s="539">
        <f t="shared" si="40"/>
        <v>0</v>
      </c>
      <c r="CS88" s="539">
        <f t="shared" si="40"/>
        <v>0</v>
      </c>
      <c r="CT88" s="539">
        <f t="shared" si="40"/>
        <v>0</v>
      </c>
      <c r="CU88" s="539">
        <f t="shared" si="40"/>
        <v>0</v>
      </c>
      <c r="CV88" s="539">
        <f t="shared" si="40"/>
        <v>0</v>
      </c>
      <c r="CW88" s="539">
        <f t="shared" si="40"/>
        <v>0</v>
      </c>
      <c r="CX88" s="539">
        <f t="shared" si="40"/>
        <v>0</v>
      </c>
      <c r="CY88" s="539">
        <f t="shared" si="40"/>
        <v>0</v>
      </c>
      <c r="CZ88" s="539">
        <f t="shared" si="40"/>
        <v>0</v>
      </c>
      <c r="DA88" s="539">
        <f t="shared" si="40"/>
        <v>0</v>
      </c>
      <c r="DB88" s="539">
        <f t="shared" si="40"/>
        <v>0</v>
      </c>
      <c r="DC88" s="539">
        <f t="shared" si="40"/>
        <v>0</v>
      </c>
      <c r="DD88" s="539">
        <f t="shared" si="40"/>
        <v>0</v>
      </c>
      <c r="DE88" s="539">
        <f t="shared" si="40"/>
        <v>0</v>
      </c>
      <c r="DF88" s="539">
        <f t="shared" si="40"/>
        <v>0</v>
      </c>
      <c r="DG88" s="539">
        <f t="shared" si="40"/>
        <v>0</v>
      </c>
      <c r="DH88" s="539">
        <f t="shared" si="40"/>
        <v>0</v>
      </c>
      <c r="DI88" s="539">
        <f t="shared" si="40"/>
        <v>0</v>
      </c>
      <c r="DJ88" s="539">
        <f t="shared" si="40"/>
        <v>0</v>
      </c>
      <c r="DK88" s="539">
        <f t="shared" si="40"/>
        <v>0</v>
      </c>
      <c r="DL88" s="539">
        <f t="shared" si="40"/>
        <v>0</v>
      </c>
      <c r="DM88" s="539">
        <f t="shared" si="40"/>
        <v>0</v>
      </c>
      <c r="DN88" s="539">
        <f t="shared" si="40"/>
        <v>0</v>
      </c>
      <c r="DO88" s="539">
        <f t="shared" si="40"/>
        <v>0</v>
      </c>
      <c r="DP88" s="539">
        <f t="shared" si="40"/>
        <v>0</v>
      </c>
      <c r="DQ88" s="539">
        <f t="shared" si="40"/>
        <v>0</v>
      </c>
      <c r="DR88" s="539">
        <f t="shared" si="40"/>
        <v>0</v>
      </c>
      <c r="DS88" s="539">
        <f t="shared" si="40"/>
        <v>0</v>
      </c>
      <c r="DT88" s="539">
        <f t="shared" si="40"/>
        <v>0</v>
      </c>
      <c r="DU88" s="539">
        <f t="shared" si="40"/>
        <v>0</v>
      </c>
      <c r="DV88" s="539">
        <f t="shared" si="40"/>
        <v>0</v>
      </c>
      <c r="DW88" s="539">
        <f t="shared" si="40"/>
        <v>0</v>
      </c>
      <c r="DX88" s="539">
        <f t="shared" si="40"/>
        <v>0</v>
      </c>
      <c r="DY88" s="539">
        <f t="shared" si="40"/>
        <v>0</v>
      </c>
      <c r="DZ88" s="539">
        <f t="shared" si="40"/>
        <v>0</v>
      </c>
      <c r="EA88" s="539">
        <f t="shared" si="40"/>
        <v>0</v>
      </c>
      <c r="EB88" s="539">
        <f t="shared" si="40"/>
        <v>0</v>
      </c>
      <c r="EC88" s="539">
        <f t="shared" si="40"/>
        <v>0</v>
      </c>
      <c r="ED88" s="539">
        <f t="shared" si="40"/>
        <v>0</v>
      </c>
      <c r="EE88" s="539">
        <f t="shared" si="40"/>
        <v>0</v>
      </c>
      <c r="EF88" s="539">
        <f t="shared" si="40"/>
        <v>0</v>
      </c>
      <c r="EG88" s="539">
        <f t="shared" si="40"/>
        <v>0</v>
      </c>
    </row>
    <row r="89" spans="5:137" ht="12.75">
      <c r="E89" s="538" t="str">
        <f>E$75</f>
        <v>Tax losses - used</v>
      </c>
      <c r="G89" s="539" t="str">
        <f>G$75</f>
        <v>EUR 000s</v>
      </c>
      <c r="H89" s="539">
        <f>H$75</f>
        <v>50016.570024651453</v>
      </c>
      <c r="J89" s="539">
        <f t="shared" si="41" ref="J89:EG89">J$75</f>
        <v>0</v>
      </c>
      <c r="K89" s="539">
        <f t="shared" si="41"/>
        <v>0</v>
      </c>
      <c r="L89" s="539">
        <f t="shared" si="41"/>
        <v>0</v>
      </c>
      <c r="M89" s="539">
        <f t="shared" si="41"/>
        <v>0</v>
      </c>
      <c r="N89" s="539">
        <f t="shared" si="41"/>
        <v>0</v>
      </c>
      <c r="O89" s="539">
        <f t="shared" si="41"/>
        <v>0</v>
      </c>
      <c r="P89" s="539">
        <f t="shared" si="41"/>
        <v>0</v>
      </c>
      <c r="Q89" s="539">
        <f t="shared" si="41"/>
        <v>0</v>
      </c>
      <c r="R89" s="539">
        <f t="shared" si="41"/>
        <v>0</v>
      </c>
      <c r="S89" s="539">
        <f t="shared" si="41"/>
        <v>0</v>
      </c>
      <c r="T89" s="539">
        <f t="shared" si="41"/>
        <v>0</v>
      </c>
      <c r="U89" s="539">
        <f t="shared" si="41"/>
        <v>0</v>
      </c>
      <c r="V89" s="539">
        <f t="shared" si="41"/>
        <v>0</v>
      </c>
      <c r="W89" s="539">
        <f t="shared" si="41"/>
        <v>0</v>
      </c>
      <c r="X89" s="539">
        <f t="shared" si="41"/>
        <v>0</v>
      </c>
      <c r="Y89" s="539">
        <f t="shared" si="41"/>
        <v>0</v>
      </c>
      <c r="Z89" s="539">
        <f t="shared" si="41"/>
        <v>0</v>
      </c>
      <c r="AA89" s="539">
        <f t="shared" si="41"/>
        <v>0</v>
      </c>
      <c r="AB89" s="539">
        <f t="shared" si="41"/>
        <v>0</v>
      </c>
      <c r="AC89" s="539">
        <f t="shared" si="41"/>
        <v>0</v>
      </c>
      <c r="AD89" s="539">
        <f t="shared" si="41"/>
        <v>0</v>
      </c>
      <c r="AE89" s="539">
        <f t="shared" si="41"/>
        <v>0</v>
      </c>
      <c r="AF89" s="539">
        <f t="shared" si="41"/>
        <v>0</v>
      </c>
      <c r="AG89" s="539">
        <f t="shared" si="41"/>
        <v>0</v>
      </c>
      <c r="AH89" s="539">
        <f t="shared" si="41"/>
        <v>0</v>
      </c>
      <c r="AI89" s="539">
        <f t="shared" si="41"/>
        <v>0</v>
      </c>
      <c r="AJ89" s="539">
        <f t="shared" si="41"/>
        <v>0</v>
      </c>
      <c r="AK89" s="539">
        <f t="shared" si="41"/>
        <v>0</v>
      </c>
      <c r="AL89" s="539">
        <f t="shared" si="41"/>
        <v>0</v>
      </c>
      <c r="AM89" s="539">
        <f t="shared" si="41"/>
        <v>0</v>
      </c>
      <c r="AN89" s="539">
        <f t="shared" si="41"/>
        <v>0</v>
      </c>
      <c r="AO89" s="539">
        <f t="shared" si="41"/>
        <v>0</v>
      </c>
      <c r="AP89" s="539">
        <f t="shared" si="41"/>
        <v>0</v>
      </c>
      <c r="AQ89" s="539">
        <f t="shared" si="41"/>
        <v>0</v>
      </c>
      <c r="AR89" s="539">
        <f t="shared" si="41"/>
        <v>0</v>
      </c>
      <c r="AS89" s="539">
        <f t="shared" si="41"/>
        <v>0</v>
      </c>
      <c r="AT89" s="539">
        <f t="shared" si="41"/>
        <v>0</v>
      </c>
      <c r="AU89" s="539">
        <f t="shared" si="41"/>
        <v>0</v>
      </c>
      <c r="AV89" s="539">
        <f t="shared" si="41"/>
        <v>0</v>
      </c>
      <c r="AW89" s="539">
        <f t="shared" si="41"/>
        <v>40.731362587648754</v>
      </c>
      <c r="AX89" s="539">
        <f t="shared" si="41"/>
        <v>0</v>
      </c>
      <c r="AY89" s="539">
        <f t="shared" si="41"/>
        <v>0</v>
      </c>
      <c r="AZ89" s="539">
        <f t="shared" si="41"/>
        <v>0</v>
      </c>
      <c r="BA89" s="539">
        <f t="shared" si="41"/>
        <v>43.997311146303446</v>
      </c>
      <c r="BB89" s="539">
        <f t="shared" si="41"/>
        <v>1151.3072143875627</v>
      </c>
      <c r="BC89" s="539">
        <f t="shared" si="41"/>
        <v>1315.8607693135141</v>
      </c>
      <c r="BD89" s="539">
        <f t="shared" si="41"/>
        <v>1473.0094142677974</v>
      </c>
      <c r="BE89" s="539">
        <f t="shared" si="41"/>
        <v>1623.0863701991386</v>
      </c>
      <c r="BF89" s="539">
        <f t="shared" si="41"/>
        <v>1850.3811896542018</v>
      </c>
      <c r="BG89" s="539">
        <f t="shared" si="41"/>
        <v>1987.2551253874831</v>
      </c>
      <c r="BH89" s="539">
        <f t="shared" si="41"/>
        <v>2117.9697340127664</v>
      </c>
      <c r="BI89" s="539">
        <f t="shared" si="41"/>
        <v>2242.8021852499123</v>
      </c>
      <c r="BJ89" s="539">
        <f t="shared" si="41"/>
        <v>2447.3500210895122</v>
      </c>
      <c r="BK89" s="539">
        <f t="shared" si="41"/>
        <v>2561.2003374290703</v>
      </c>
      <c r="BL89" s="539">
        <f t="shared" si="41"/>
        <v>2669.9273895333481</v>
      </c>
      <c r="BM89" s="539">
        <f t="shared" si="41"/>
        <v>2773.7617242929332</v>
      </c>
      <c r="BN89" s="539">
        <f t="shared" si="41"/>
        <v>2959.6360299806124</v>
      </c>
      <c r="BO89" s="539">
        <f t="shared" si="41"/>
        <v>3054.3355391397236</v>
      </c>
      <c r="BP89" s="539">
        <f t="shared" si="41"/>
        <v>3144.7735703866747</v>
      </c>
      <c r="BQ89" s="539">
        <f t="shared" si="41"/>
        <v>3231.1418902275118</v>
      </c>
      <c r="BR89" s="539">
        <f t="shared" si="41"/>
        <v>2437.350384199327</v>
      </c>
      <c r="BS89" s="539">
        <f t="shared" si="41"/>
        <v>2516.1204511021674</v>
      </c>
      <c r="BT89" s="539">
        <f t="shared" si="41"/>
        <v>2591.3458649943796</v>
      </c>
      <c r="BU89" s="539">
        <f t="shared" si="41"/>
        <v>2663.1861352614424</v>
      </c>
      <c r="BV89" s="539">
        <f t="shared" si="41"/>
        <v>3120.0400108087779</v>
      </c>
      <c r="BW89" s="539">
        <f t="shared" si="41"/>
        <v>0</v>
      </c>
      <c r="BX89" s="539">
        <f t="shared" si="41"/>
        <v>0</v>
      </c>
      <c r="BY89" s="539">
        <f t="shared" si="41"/>
        <v>0</v>
      </c>
      <c r="BZ89" s="539">
        <f t="shared" si="41"/>
        <v>0</v>
      </c>
      <c r="CA89" s="539">
        <f t="shared" si="41"/>
        <v>0</v>
      </c>
      <c r="CB89" s="539">
        <f t="shared" si="41"/>
        <v>0</v>
      </c>
      <c r="CC89" s="539">
        <f t="shared" si="41"/>
        <v>0</v>
      </c>
      <c r="CD89" s="539">
        <f t="shared" si="41"/>
        <v>0</v>
      </c>
      <c r="CE89" s="539">
        <f t="shared" si="41"/>
        <v>0</v>
      </c>
      <c r="CF89" s="539">
        <f t="shared" si="41"/>
        <v>0</v>
      </c>
      <c r="CG89" s="539">
        <f t="shared" si="41"/>
        <v>-7.2759576141834259E-12</v>
      </c>
      <c r="CH89" s="539">
        <f t="shared" si="41"/>
        <v>-7.2759576141834259E-12</v>
      </c>
      <c r="CI89" s="539">
        <f t="shared" si="41"/>
        <v>-7.2759576141834259E-12</v>
      </c>
      <c r="CJ89" s="539">
        <f t="shared" si="41"/>
        <v>-7.2759576141834259E-12</v>
      </c>
      <c r="CK89" s="539">
        <f t="shared" si="41"/>
        <v>-7.2759576141834259E-12</v>
      </c>
      <c r="CL89" s="539">
        <f t="shared" si="41"/>
        <v>-7.2759576141834259E-12</v>
      </c>
      <c r="CM89" s="539">
        <f t="shared" si="41"/>
        <v>-7.2759576141834259E-12</v>
      </c>
      <c r="CN89" s="539">
        <f t="shared" si="41"/>
        <v>-7.2759576141834259E-12</v>
      </c>
      <c r="CO89" s="539">
        <f t="shared" si="41"/>
        <v>-7.2759576141834259E-12</v>
      </c>
      <c r="CP89" s="539">
        <f t="shared" si="41"/>
        <v>-7.2759576141834259E-12</v>
      </c>
      <c r="CQ89" s="539">
        <f t="shared" si="41"/>
        <v>-7.2759576141834259E-12</v>
      </c>
      <c r="CR89" s="539">
        <f t="shared" si="41"/>
        <v>-7.2759576141834259E-12</v>
      </c>
      <c r="CS89" s="539">
        <f t="shared" si="41"/>
        <v>-7.2759576141834259E-12</v>
      </c>
      <c r="CT89" s="539">
        <f t="shared" si="41"/>
        <v>-7.2759576141834259E-12</v>
      </c>
      <c r="CU89" s="539">
        <f t="shared" si="41"/>
        <v>-7.2759576141834259E-12</v>
      </c>
      <c r="CV89" s="539">
        <f t="shared" si="41"/>
        <v>-7.2759576141834259E-12</v>
      </c>
      <c r="CW89" s="539">
        <f t="shared" si="41"/>
        <v>-7.2759576141834259E-12</v>
      </c>
      <c r="CX89" s="539">
        <f t="shared" si="41"/>
        <v>-7.2759576141834259E-12</v>
      </c>
      <c r="CY89" s="539">
        <f t="shared" si="41"/>
        <v>-7.2759576141834259E-12</v>
      </c>
      <c r="CZ89" s="539">
        <f t="shared" si="41"/>
        <v>-7.2759576141834259E-12</v>
      </c>
      <c r="DA89" s="539">
        <f t="shared" si="41"/>
        <v>-7.2759576141834259E-12</v>
      </c>
      <c r="DB89" s="539">
        <f t="shared" si="41"/>
        <v>-7.2759576141834259E-12</v>
      </c>
      <c r="DC89" s="539">
        <f t="shared" si="41"/>
        <v>-7.2759576141834259E-12</v>
      </c>
      <c r="DD89" s="539">
        <f t="shared" si="41"/>
        <v>-7.2759576141834259E-12</v>
      </c>
      <c r="DE89" s="539">
        <f t="shared" si="41"/>
        <v>-7.2759576141834259E-12</v>
      </c>
      <c r="DF89" s="539">
        <f t="shared" si="41"/>
        <v>-7.2759576141834259E-12</v>
      </c>
      <c r="DG89" s="539">
        <f t="shared" si="41"/>
        <v>-7.2759576141834259E-12</v>
      </c>
      <c r="DH89" s="539">
        <f t="shared" si="41"/>
        <v>-7.2759576141834259E-12</v>
      </c>
      <c r="DI89" s="539">
        <f t="shared" si="41"/>
        <v>-7.2759576141834259E-12</v>
      </c>
      <c r="DJ89" s="539">
        <f t="shared" si="41"/>
        <v>-7.2759576141834259E-12</v>
      </c>
      <c r="DK89" s="539">
        <f t="shared" si="41"/>
        <v>-7.2759576141834259E-12</v>
      </c>
      <c r="DL89" s="539">
        <f t="shared" si="41"/>
        <v>-7.2759576141834259E-12</v>
      </c>
      <c r="DM89" s="539">
        <f t="shared" si="41"/>
        <v>-7.2759576141834259E-12</v>
      </c>
      <c r="DN89" s="539">
        <f t="shared" si="41"/>
        <v>-7.2759576141834259E-12</v>
      </c>
      <c r="DO89" s="539">
        <f t="shared" si="41"/>
        <v>-7.2759576141834259E-12</v>
      </c>
      <c r="DP89" s="539">
        <f t="shared" si="41"/>
        <v>-7.2759576141834259E-12</v>
      </c>
      <c r="DQ89" s="539">
        <f t="shared" si="41"/>
        <v>-7.2759576141834259E-12</v>
      </c>
      <c r="DR89" s="539">
        <f t="shared" si="41"/>
        <v>-7.2759576141834259E-12</v>
      </c>
      <c r="DS89" s="539">
        <f t="shared" si="41"/>
        <v>-7.2759576141834259E-12</v>
      </c>
      <c r="DT89" s="539">
        <f t="shared" si="41"/>
        <v>-7.2759576141834259E-12</v>
      </c>
      <c r="DU89" s="539">
        <f t="shared" si="41"/>
        <v>-7.2759576141834259E-12</v>
      </c>
      <c r="DV89" s="539">
        <f t="shared" si="41"/>
        <v>-7.2759576141834259E-12</v>
      </c>
      <c r="DW89" s="539">
        <f t="shared" si="41"/>
        <v>-7.2759576141834259E-12</v>
      </c>
      <c r="DX89" s="539">
        <f t="shared" si="41"/>
        <v>-7.2759576141834259E-12</v>
      </c>
      <c r="DY89" s="539">
        <f t="shared" si="41"/>
        <v>-7.2759576141834259E-12</v>
      </c>
      <c r="DZ89" s="539">
        <f t="shared" si="41"/>
        <v>-7.2759576141834259E-12</v>
      </c>
      <c r="EA89" s="539">
        <f t="shared" si="41"/>
        <v>-7.2759576141834259E-12</v>
      </c>
      <c r="EB89" s="539">
        <f t="shared" si="41"/>
        <v>-7.2759576141834259E-12</v>
      </c>
      <c r="EC89" s="539">
        <f t="shared" si="41"/>
        <v>-7.2759576141834259E-12</v>
      </c>
      <c r="ED89" s="539">
        <f t="shared" si="41"/>
        <v>0</v>
      </c>
      <c r="EE89" s="539">
        <f t="shared" si="41"/>
        <v>0</v>
      </c>
      <c r="EF89" s="539">
        <f t="shared" si="41"/>
        <v>0</v>
      </c>
      <c r="EG89" s="539">
        <f t="shared" si="41"/>
        <v>0</v>
      </c>
    </row>
    <row r="90" spans="5:137" ht="12.75">
      <c r="E90" s="538" t="str">
        <f>E$84</f>
        <v>Tax losses - expired by age</v>
      </c>
      <c r="G90" s="539" t="str">
        <f>G$84</f>
        <v>EUR 000s</v>
      </c>
      <c r="H90" s="539">
        <f>H$84</f>
        <v>3.637978807091713E-10</v>
      </c>
      <c r="J90" s="539">
        <f t="shared" si="42" ref="J90:EG90">J$84</f>
        <v>0</v>
      </c>
      <c r="K90" s="539">
        <f t="shared" si="42"/>
        <v>0</v>
      </c>
      <c r="L90" s="539">
        <f t="shared" si="42"/>
        <v>0</v>
      </c>
      <c r="M90" s="539">
        <f t="shared" si="42"/>
        <v>0</v>
      </c>
      <c r="N90" s="539">
        <f t="shared" si="42"/>
        <v>0</v>
      </c>
      <c r="O90" s="539">
        <f t="shared" si="42"/>
        <v>0</v>
      </c>
      <c r="P90" s="539">
        <f t="shared" si="42"/>
        <v>0</v>
      </c>
      <c r="Q90" s="539">
        <f t="shared" si="42"/>
        <v>0</v>
      </c>
      <c r="R90" s="539">
        <f t="shared" si="42"/>
        <v>0</v>
      </c>
      <c r="S90" s="539">
        <f t="shared" si="42"/>
        <v>0</v>
      </c>
      <c r="T90" s="539">
        <f t="shared" si="42"/>
        <v>0</v>
      </c>
      <c r="U90" s="539">
        <f t="shared" si="42"/>
        <v>0</v>
      </c>
      <c r="V90" s="539">
        <f t="shared" si="42"/>
        <v>0</v>
      </c>
      <c r="W90" s="539">
        <f t="shared" si="42"/>
        <v>0</v>
      </c>
      <c r="X90" s="539">
        <f t="shared" si="42"/>
        <v>0</v>
      </c>
      <c r="Y90" s="539">
        <f t="shared" si="42"/>
        <v>0</v>
      </c>
      <c r="Z90" s="539">
        <f t="shared" si="42"/>
        <v>0</v>
      </c>
      <c r="AA90" s="539">
        <f t="shared" si="42"/>
        <v>0</v>
      </c>
      <c r="AB90" s="539">
        <f t="shared" si="42"/>
        <v>0</v>
      </c>
      <c r="AC90" s="539">
        <f t="shared" si="42"/>
        <v>0</v>
      </c>
      <c r="AD90" s="539">
        <f t="shared" si="42"/>
        <v>0</v>
      </c>
      <c r="AE90" s="539">
        <f t="shared" si="42"/>
        <v>0</v>
      </c>
      <c r="AF90" s="539">
        <f t="shared" si="42"/>
        <v>0</v>
      </c>
      <c r="AG90" s="539">
        <f t="shared" si="42"/>
        <v>0</v>
      </c>
      <c r="AH90" s="539">
        <f t="shared" si="42"/>
        <v>0</v>
      </c>
      <c r="AI90" s="539">
        <f t="shared" si="42"/>
        <v>0</v>
      </c>
      <c r="AJ90" s="539">
        <f t="shared" si="42"/>
        <v>0</v>
      </c>
      <c r="AK90" s="539">
        <f t="shared" si="42"/>
        <v>0</v>
      </c>
      <c r="AL90" s="539">
        <f t="shared" si="42"/>
        <v>0</v>
      </c>
      <c r="AM90" s="539">
        <f t="shared" si="42"/>
        <v>0</v>
      </c>
      <c r="AN90" s="539">
        <f t="shared" si="42"/>
        <v>0</v>
      </c>
      <c r="AO90" s="539">
        <f t="shared" si="42"/>
        <v>0</v>
      </c>
      <c r="AP90" s="539">
        <f t="shared" si="42"/>
        <v>0</v>
      </c>
      <c r="AQ90" s="539">
        <f t="shared" si="42"/>
        <v>0</v>
      </c>
      <c r="AR90" s="539">
        <f t="shared" si="42"/>
        <v>0</v>
      </c>
      <c r="AS90" s="539">
        <f t="shared" si="42"/>
        <v>0</v>
      </c>
      <c r="AT90" s="539">
        <f t="shared" si="42"/>
        <v>0</v>
      </c>
      <c r="AU90" s="539">
        <f t="shared" si="42"/>
        <v>0</v>
      </c>
      <c r="AV90" s="539">
        <f t="shared" si="42"/>
        <v>0</v>
      </c>
      <c r="AW90" s="539">
        <f t="shared" si="42"/>
        <v>0</v>
      </c>
      <c r="AX90" s="539">
        <f t="shared" si="42"/>
        <v>0</v>
      </c>
      <c r="AY90" s="539">
        <f t="shared" si="42"/>
        <v>0</v>
      </c>
      <c r="AZ90" s="539">
        <f t="shared" si="42"/>
        <v>0</v>
      </c>
      <c r="BA90" s="539">
        <f t="shared" si="42"/>
        <v>0</v>
      </c>
      <c r="BB90" s="539">
        <f t="shared" si="42"/>
        <v>0</v>
      </c>
      <c r="BC90" s="539">
        <f t="shared" si="42"/>
        <v>0</v>
      </c>
      <c r="BD90" s="539">
        <f t="shared" si="42"/>
        <v>0</v>
      </c>
      <c r="BE90" s="539">
        <f t="shared" si="42"/>
        <v>0</v>
      </c>
      <c r="BF90" s="539">
        <f t="shared" si="42"/>
        <v>0</v>
      </c>
      <c r="BG90" s="539">
        <f t="shared" si="42"/>
        <v>0</v>
      </c>
      <c r="BH90" s="539">
        <f t="shared" si="42"/>
        <v>0</v>
      </c>
      <c r="BI90" s="539">
        <f t="shared" si="42"/>
        <v>0</v>
      </c>
      <c r="BJ90" s="539">
        <f t="shared" si="42"/>
        <v>0</v>
      </c>
      <c r="BK90" s="539">
        <f t="shared" si="42"/>
        <v>0</v>
      </c>
      <c r="BL90" s="539">
        <f t="shared" si="42"/>
        <v>0</v>
      </c>
      <c r="BM90" s="539">
        <f t="shared" si="42"/>
        <v>0</v>
      </c>
      <c r="BN90" s="539">
        <f t="shared" si="42"/>
        <v>0</v>
      </c>
      <c r="BO90" s="539">
        <f t="shared" si="42"/>
        <v>0</v>
      </c>
      <c r="BP90" s="539">
        <f t="shared" si="42"/>
        <v>0</v>
      </c>
      <c r="BQ90" s="539">
        <f t="shared" si="42"/>
        <v>0</v>
      </c>
      <c r="BR90" s="539">
        <f t="shared" si="42"/>
        <v>0</v>
      </c>
      <c r="BS90" s="539">
        <f t="shared" si="42"/>
        <v>0</v>
      </c>
      <c r="BT90" s="539">
        <f t="shared" si="42"/>
        <v>0</v>
      </c>
      <c r="BU90" s="539">
        <f t="shared" si="42"/>
        <v>0</v>
      </c>
      <c r="BV90" s="539">
        <f t="shared" si="42"/>
        <v>0</v>
      </c>
      <c r="BW90" s="539">
        <f t="shared" si="42"/>
        <v>0</v>
      </c>
      <c r="BX90" s="539">
        <f t="shared" si="42"/>
        <v>0</v>
      </c>
      <c r="BY90" s="539">
        <f t="shared" si="42"/>
        <v>0</v>
      </c>
      <c r="BZ90" s="539">
        <f t="shared" si="42"/>
        <v>0</v>
      </c>
      <c r="CA90" s="539">
        <f t="shared" si="42"/>
        <v>0</v>
      </c>
      <c r="CB90" s="539">
        <f t="shared" si="42"/>
        <v>0</v>
      </c>
      <c r="CC90" s="539">
        <f t="shared" si="42"/>
        <v>0</v>
      </c>
      <c r="CD90" s="539">
        <f t="shared" si="42"/>
        <v>0</v>
      </c>
      <c r="CE90" s="539">
        <f t="shared" si="42"/>
        <v>0</v>
      </c>
      <c r="CF90" s="539">
        <f t="shared" si="42"/>
        <v>7.2759576141834259E-12</v>
      </c>
      <c r="CG90" s="539">
        <f t="shared" si="42"/>
        <v>7.2759576141834259E-12</v>
      </c>
      <c r="CH90" s="539">
        <f t="shared" si="42"/>
        <v>7.2759576141834259E-12</v>
      </c>
      <c r="CI90" s="539">
        <f t="shared" si="42"/>
        <v>7.2759576141834259E-12</v>
      </c>
      <c r="CJ90" s="539">
        <f t="shared" si="42"/>
        <v>7.2759576141834259E-12</v>
      </c>
      <c r="CK90" s="539">
        <f t="shared" si="42"/>
        <v>7.2759576141834259E-12</v>
      </c>
      <c r="CL90" s="539">
        <f t="shared" si="42"/>
        <v>7.2759576141834259E-12</v>
      </c>
      <c r="CM90" s="539">
        <f t="shared" si="42"/>
        <v>7.2759576141834259E-12</v>
      </c>
      <c r="CN90" s="539">
        <f t="shared" si="42"/>
        <v>7.2759576141834259E-12</v>
      </c>
      <c r="CO90" s="539">
        <f t="shared" si="42"/>
        <v>7.2759576141834259E-12</v>
      </c>
      <c r="CP90" s="539">
        <f t="shared" si="42"/>
        <v>7.2759576141834259E-12</v>
      </c>
      <c r="CQ90" s="539">
        <f t="shared" si="42"/>
        <v>7.2759576141834259E-12</v>
      </c>
      <c r="CR90" s="539">
        <f t="shared" si="42"/>
        <v>7.2759576141834259E-12</v>
      </c>
      <c r="CS90" s="539">
        <f t="shared" si="42"/>
        <v>7.2759576141834259E-12</v>
      </c>
      <c r="CT90" s="539">
        <f t="shared" si="42"/>
        <v>7.2759576141834259E-12</v>
      </c>
      <c r="CU90" s="539">
        <f t="shared" si="42"/>
        <v>7.2759576141834259E-12</v>
      </c>
      <c r="CV90" s="539">
        <f t="shared" si="42"/>
        <v>7.2759576141834259E-12</v>
      </c>
      <c r="CW90" s="539">
        <f t="shared" si="42"/>
        <v>7.2759576141834259E-12</v>
      </c>
      <c r="CX90" s="539">
        <f t="shared" si="42"/>
        <v>7.2759576141834259E-12</v>
      </c>
      <c r="CY90" s="539">
        <f t="shared" si="42"/>
        <v>7.2759576141834259E-12</v>
      </c>
      <c r="CZ90" s="539">
        <f t="shared" si="42"/>
        <v>7.2759576141834259E-12</v>
      </c>
      <c r="DA90" s="539">
        <f t="shared" si="42"/>
        <v>7.2759576141834259E-12</v>
      </c>
      <c r="DB90" s="539">
        <f t="shared" si="42"/>
        <v>7.2759576141834259E-12</v>
      </c>
      <c r="DC90" s="539">
        <f t="shared" si="42"/>
        <v>7.2759576141834259E-12</v>
      </c>
      <c r="DD90" s="539">
        <f t="shared" si="42"/>
        <v>7.2759576141834259E-12</v>
      </c>
      <c r="DE90" s="539">
        <f t="shared" si="42"/>
        <v>7.2759576141834259E-12</v>
      </c>
      <c r="DF90" s="539">
        <f t="shared" si="42"/>
        <v>7.2759576141834259E-12</v>
      </c>
      <c r="DG90" s="539">
        <f t="shared" si="42"/>
        <v>7.2759576141834259E-12</v>
      </c>
      <c r="DH90" s="539">
        <f t="shared" si="42"/>
        <v>7.2759576141834259E-12</v>
      </c>
      <c r="DI90" s="539">
        <f t="shared" si="42"/>
        <v>7.2759576141834259E-12</v>
      </c>
      <c r="DJ90" s="539">
        <f t="shared" si="42"/>
        <v>7.2759576141834259E-12</v>
      </c>
      <c r="DK90" s="539">
        <f t="shared" si="42"/>
        <v>7.2759576141834259E-12</v>
      </c>
      <c r="DL90" s="539">
        <f t="shared" si="42"/>
        <v>7.2759576141834259E-12</v>
      </c>
      <c r="DM90" s="539">
        <f t="shared" si="42"/>
        <v>7.2759576141834259E-12</v>
      </c>
      <c r="DN90" s="539">
        <f t="shared" si="42"/>
        <v>7.2759576141834259E-12</v>
      </c>
      <c r="DO90" s="539">
        <f t="shared" si="42"/>
        <v>7.2759576141834259E-12</v>
      </c>
      <c r="DP90" s="539">
        <f t="shared" si="42"/>
        <v>7.2759576141834259E-12</v>
      </c>
      <c r="DQ90" s="539">
        <f t="shared" si="42"/>
        <v>7.2759576141834259E-12</v>
      </c>
      <c r="DR90" s="539">
        <f t="shared" si="42"/>
        <v>7.2759576141834259E-12</v>
      </c>
      <c r="DS90" s="539">
        <f t="shared" si="42"/>
        <v>7.2759576141834259E-12</v>
      </c>
      <c r="DT90" s="539">
        <f t="shared" si="42"/>
        <v>7.2759576141834259E-12</v>
      </c>
      <c r="DU90" s="539">
        <f t="shared" si="42"/>
        <v>7.2759576141834259E-12</v>
      </c>
      <c r="DV90" s="539">
        <f t="shared" si="42"/>
        <v>7.2759576141834259E-12</v>
      </c>
      <c r="DW90" s="539">
        <f t="shared" si="42"/>
        <v>7.2759576141834259E-12</v>
      </c>
      <c r="DX90" s="539">
        <f t="shared" si="42"/>
        <v>7.2759576141834259E-12</v>
      </c>
      <c r="DY90" s="539">
        <f t="shared" si="42"/>
        <v>7.2759576141834259E-12</v>
      </c>
      <c r="DZ90" s="539">
        <f t="shared" si="42"/>
        <v>7.2759576141834259E-12</v>
      </c>
      <c r="EA90" s="539">
        <f t="shared" si="42"/>
        <v>7.2759576141834259E-12</v>
      </c>
      <c r="EB90" s="539">
        <f t="shared" si="42"/>
        <v>7.2759576141834259E-12</v>
      </c>
      <c r="EC90" s="539">
        <f t="shared" si="42"/>
        <v>7.2759576141834259E-12</v>
      </c>
      <c r="ED90" s="539">
        <f t="shared" si="42"/>
        <v>0</v>
      </c>
      <c r="EE90" s="539">
        <f t="shared" si="42"/>
        <v>0</v>
      </c>
      <c r="EF90" s="539">
        <f t="shared" si="42"/>
        <v>0</v>
      </c>
      <c r="EG90" s="539">
        <f t="shared" si="42"/>
        <v>0</v>
      </c>
    </row>
    <row r="91" spans="5:137" ht="12.75">
      <c r="E91" s="538" t="s">
        <v>449</v>
      </c>
      <c r="G91" s="539" t="s">
        <v>30</v>
      </c>
      <c r="H91" s="539">
        <f>SUM(J91:EG91)</f>
        <v>-7.2759576141834259E-12</v>
      </c>
      <c r="J91" s="539">
        <f t="shared" si="43" ref="J91:EG91">(J87+J88-J89-J90)*J86</f>
        <v>0</v>
      </c>
      <c r="K91" s="539">
        <f t="shared" si="43"/>
        <v>0</v>
      </c>
      <c r="L91" s="539">
        <f t="shared" si="43"/>
        <v>0</v>
      </c>
      <c r="M91" s="539">
        <f t="shared" si="43"/>
        <v>0</v>
      </c>
      <c r="N91" s="539">
        <f t="shared" si="43"/>
        <v>0</v>
      </c>
      <c r="O91" s="539">
        <f t="shared" si="43"/>
        <v>0</v>
      </c>
      <c r="P91" s="539">
        <f t="shared" si="43"/>
        <v>0</v>
      </c>
      <c r="Q91" s="539">
        <f t="shared" si="43"/>
        <v>0</v>
      </c>
      <c r="R91" s="539">
        <f t="shared" si="43"/>
        <v>0</v>
      </c>
      <c r="S91" s="539">
        <f t="shared" si="43"/>
        <v>0</v>
      </c>
      <c r="T91" s="539">
        <f t="shared" si="43"/>
        <v>0</v>
      </c>
      <c r="U91" s="539">
        <f t="shared" si="43"/>
        <v>0</v>
      </c>
      <c r="V91" s="539">
        <f t="shared" si="43"/>
        <v>0</v>
      </c>
      <c r="W91" s="539">
        <f t="shared" si="43"/>
        <v>0</v>
      </c>
      <c r="X91" s="539">
        <f t="shared" si="43"/>
        <v>0</v>
      </c>
      <c r="Y91" s="539">
        <f t="shared" si="43"/>
        <v>0</v>
      </c>
      <c r="Z91" s="539">
        <f t="shared" si="43"/>
        <v>0</v>
      </c>
      <c r="AA91" s="539">
        <f t="shared" si="43"/>
        <v>0</v>
      </c>
      <c r="AB91" s="539">
        <f t="shared" si="43"/>
        <v>0</v>
      </c>
      <c r="AC91" s="539">
        <f t="shared" si="43"/>
        <v>0</v>
      </c>
      <c r="AD91" s="539">
        <f t="shared" si="43"/>
        <v>0</v>
      </c>
      <c r="AE91" s="539">
        <f t="shared" si="43"/>
        <v>0</v>
      </c>
      <c r="AF91" s="539">
        <f t="shared" si="43"/>
        <v>0</v>
      </c>
      <c r="AG91" s="539">
        <f t="shared" si="43"/>
        <v>0</v>
      </c>
      <c r="AH91" s="539">
        <f t="shared" si="43"/>
        <v>0</v>
      </c>
      <c r="AI91" s="539">
        <f t="shared" si="43"/>
        <v>0</v>
      </c>
      <c r="AJ91" s="539">
        <f t="shared" si="43"/>
        <v>0</v>
      </c>
      <c r="AK91" s="539">
        <f t="shared" si="43"/>
        <v>0</v>
      </c>
      <c r="AL91" s="539">
        <f t="shared" si="43"/>
        <v>0</v>
      </c>
      <c r="AM91" s="539">
        <f t="shared" si="43"/>
        <v>0</v>
      </c>
      <c r="AN91" s="539">
        <f t="shared" si="43"/>
        <v>0</v>
      </c>
      <c r="AO91" s="539">
        <f t="shared" si="43"/>
        <v>0</v>
      </c>
      <c r="AP91" s="539">
        <f t="shared" si="43"/>
        <v>0</v>
      </c>
      <c r="AQ91" s="539">
        <f t="shared" si="43"/>
        <v>0</v>
      </c>
      <c r="AR91" s="539">
        <f t="shared" si="43"/>
        <v>0</v>
      </c>
      <c r="AS91" s="539">
        <f t="shared" si="43"/>
        <v>0</v>
      </c>
      <c r="AT91" s="539">
        <f t="shared" si="43"/>
        <v>0</v>
      </c>
      <c r="AU91" s="539">
        <f t="shared" si="43"/>
        <v>0</v>
      </c>
      <c r="AV91" s="539">
        <f t="shared" si="43"/>
        <v>0</v>
      </c>
      <c r="AW91" s="539">
        <f t="shared" si="43"/>
        <v>0</v>
      </c>
      <c r="AX91" s="539">
        <f t="shared" si="43"/>
        <v>0</v>
      </c>
      <c r="AY91" s="539">
        <f t="shared" si="43"/>
        <v>0</v>
      </c>
      <c r="AZ91" s="539">
        <f t="shared" si="43"/>
        <v>0</v>
      </c>
      <c r="BA91" s="539">
        <f t="shared" si="43"/>
        <v>0</v>
      </c>
      <c r="BB91" s="539">
        <f t="shared" si="43"/>
        <v>0</v>
      </c>
      <c r="BC91" s="539">
        <f t="shared" si="43"/>
        <v>0</v>
      </c>
      <c r="BD91" s="539">
        <f t="shared" si="43"/>
        <v>0</v>
      </c>
      <c r="BE91" s="539">
        <f t="shared" si="43"/>
        <v>0</v>
      </c>
      <c r="BF91" s="539">
        <f t="shared" si="43"/>
        <v>0</v>
      </c>
      <c r="BG91" s="539">
        <f t="shared" si="43"/>
        <v>0</v>
      </c>
      <c r="BH91" s="539">
        <f t="shared" si="43"/>
        <v>0</v>
      </c>
      <c r="BI91" s="539">
        <f t="shared" si="43"/>
        <v>0</v>
      </c>
      <c r="BJ91" s="539">
        <f t="shared" si="43"/>
        <v>0</v>
      </c>
      <c r="BK91" s="539">
        <f t="shared" si="43"/>
        <v>0</v>
      </c>
      <c r="BL91" s="539">
        <f t="shared" si="43"/>
        <v>0</v>
      </c>
      <c r="BM91" s="539">
        <f t="shared" si="43"/>
        <v>0</v>
      </c>
      <c r="BN91" s="539">
        <f t="shared" si="43"/>
        <v>0</v>
      </c>
      <c r="BO91" s="539">
        <f t="shared" si="43"/>
        <v>0</v>
      </c>
      <c r="BP91" s="539">
        <f t="shared" si="43"/>
        <v>0</v>
      </c>
      <c r="BQ91" s="539">
        <f t="shared" si="43"/>
        <v>0</v>
      </c>
      <c r="BR91" s="539">
        <f t="shared" si="43"/>
        <v>0</v>
      </c>
      <c r="BS91" s="539">
        <f t="shared" si="43"/>
        <v>0</v>
      </c>
      <c r="BT91" s="539">
        <f t="shared" si="43"/>
        <v>0</v>
      </c>
      <c r="BU91" s="539">
        <f t="shared" si="43"/>
        <v>0</v>
      </c>
      <c r="BV91" s="539">
        <f t="shared" si="43"/>
        <v>0</v>
      </c>
      <c r="BW91" s="539">
        <f t="shared" si="43"/>
        <v>0</v>
      </c>
      <c r="BX91" s="539">
        <f t="shared" si="43"/>
        <v>0</v>
      </c>
      <c r="BY91" s="539">
        <f t="shared" si="43"/>
        <v>0</v>
      </c>
      <c r="BZ91" s="539">
        <f t="shared" si="43"/>
        <v>0</v>
      </c>
      <c r="CA91" s="539">
        <f t="shared" si="43"/>
        <v>0</v>
      </c>
      <c r="CB91" s="539">
        <f t="shared" si="43"/>
        <v>0</v>
      </c>
      <c r="CC91" s="539">
        <f t="shared" si="43"/>
        <v>0</v>
      </c>
      <c r="CD91" s="539">
        <f t="shared" si="43"/>
        <v>0</v>
      </c>
      <c r="CE91" s="539">
        <f t="shared" si="43"/>
        <v>0</v>
      </c>
      <c r="CF91" s="539">
        <f t="shared" si="43"/>
        <v>0</v>
      </c>
      <c r="CG91" s="539">
        <f t="shared" si="43"/>
        <v>0</v>
      </c>
      <c r="CH91" s="539">
        <f t="shared" si="43"/>
        <v>0</v>
      </c>
      <c r="CI91" s="539">
        <f t="shared" si="43"/>
        <v>0</v>
      </c>
      <c r="CJ91" s="539">
        <f t="shared" si="43"/>
        <v>0</v>
      </c>
      <c r="CK91" s="539">
        <f t="shared" si="43"/>
        <v>0</v>
      </c>
      <c r="CL91" s="539">
        <f t="shared" si="43"/>
        <v>0</v>
      </c>
      <c r="CM91" s="539">
        <f t="shared" si="43"/>
        <v>0</v>
      </c>
      <c r="CN91" s="539">
        <f t="shared" si="43"/>
        <v>0</v>
      </c>
      <c r="CO91" s="539">
        <f t="shared" si="43"/>
        <v>0</v>
      </c>
      <c r="CP91" s="539">
        <f t="shared" si="43"/>
        <v>0</v>
      </c>
      <c r="CQ91" s="539">
        <f t="shared" si="43"/>
        <v>0</v>
      </c>
      <c r="CR91" s="539">
        <f t="shared" si="43"/>
        <v>0</v>
      </c>
      <c r="CS91" s="539">
        <f t="shared" si="43"/>
        <v>0</v>
      </c>
      <c r="CT91" s="539">
        <f t="shared" si="43"/>
        <v>0</v>
      </c>
      <c r="CU91" s="539">
        <f t="shared" si="43"/>
        <v>0</v>
      </c>
      <c r="CV91" s="539">
        <f t="shared" si="43"/>
        <v>0</v>
      </c>
      <c r="CW91" s="539">
        <f t="shared" si="43"/>
        <v>0</v>
      </c>
      <c r="CX91" s="539">
        <f t="shared" si="43"/>
        <v>0</v>
      </c>
      <c r="CY91" s="539">
        <f t="shared" si="43"/>
        <v>0</v>
      </c>
      <c r="CZ91" s="539">
        <f t="shared" si="43"/>
        <v>0</v>
      </c>
      <c r="DA91" s="539">
        <f t="shared" si="43"/>
        <v>0</v>
      </c>
      <c r="DB91" s="539">
        <f t="shared" si="43"/>
        <v>0</v>
      </c>
      <c r="DC91" s="539">
        <f t="shared" si="43"/>
        <v>0</v>
      </c>
      <c r="DD91" s="539">
        <f t="shared" si="43"/>
        <v>0</v>
      </c>
      <c r="DE91" s="539">
        <f t="shared" si="43"/>
        <v>0</v>
      </c>
      <c r="DF91" s="539">
        <f t="shared" si="43"/>
        <v>0</v>
      </c>
      <c r="DG91" s="539">
        <f t="shared" si="43"/>
        <v>0</v>
      </c>
      <c r="DH91" s="539">
        <f t="shared" si="43"/>
        <v>0</v>
      </c>
      <c r="DI91" s="539">
        <f t="shared" si="43"/>
        <v>0</v>
      </c>
      <c r="DJ91" s="539">
        <f t="shared" si="43"/>
        <v>0</v>
      </c>
      <c r="DK91" s="539">
        <f t="shared" si="43"/>
        <v>0</v>
      </c>
      <c r="DL91" s="539">
        <f t="shared" si="43"/>
        <v>0</v>
      </c>
      <c r="DM91" s="539">
        <f t="shared" si="43"/>
        <v>0</v>
      </c>
      <c r="DN91" s="539">
        <f t="shared" si="43"/>
        <v>0</v>
      </c>
      <c r="DO91" s="539">
        <f t="shared" si="43"/>
        <v>0</v>
      </c>
      <c r="DP91" s="539">
        <f t="shared" si="43"/>
        <v>0</v>
      </c>
      <c r="DQ91" s="539">
        <f t="shared" si="43"/>
        <v>0</v>
      </c>
      <c r="DR91" s="539">
        <f t="shared" si="43"/>
        <v>0</v>
      </c>
      <c r="DS91" s="539">
        <f t="shared" si="43"/>
        <v>0</v>
      </c>
      <c r="DT91" s="539">
        <f t="shared" si="43"/>
        <v>0</v>
      </c>
      <c r="DU91" s="539">
        <f t="shared" si="43"/>
        <v>0</v>
      </c>
      <c r="DV91" s="539">
        <f t="shared" si="43"/>
        <v>0</v>
      </c>
      <c r="DW91" s="539">
        <f t="shared" si="43"/>
        <v>0</v>
      </c>
      <c r="DX91" s="539">
        <f t="shared" si="43"/>
        <v>0</v>
      </c>
      <c r="DY91" s="539">
        <f t="shared" si="43"/>
        <v>0</v>
      </c>
      <c r="DZ91" s="539">
        <f t="shared" si="43"/>
        <v>0</v>
      </c>
      <c r="EA91" s="539">
        <f t="shared" si="43"/>
        <v>0</v>
      </c>
      <c r="EB91" s="539">
        <f t="shared" si="43"/>
        <v>0</v>
      </c>
      <c r="EC91" s="539">
        <f t="shared" si="43"/>
        <v>-7.2759576141834259E-12</v>
      </c>
      <c r="ED91" s="539">
        <f t="shared" si="43"/>
        <v>0</v>
      </c>
      <c r="EE91" s="539">
        <f t="shared" si="43"/>
        <v>0</v>
      </c>
      <c r="EF91" s="539">
        <f t="shared" si="43"/>
        <v>0</v>
      </c>
      <c r="EG91" s="539">
        <f t="shared" si="43"/>
        <v>0</v>
      </c>
    </row>
    <row r="93" spans="5:137" ht="12.75">
      <c r="E93" s="538" t="str">
        <f>E$67</f>
        <v>Tax losses - available at start of period</v>
      </c>
      <c r="G93" s="539" t="str">
        <f>G$67</f>
        <v>EUR 000s</v>
      </c>
      <c r="H93" s="539">
        <f>H$67</f>
        <v>1331931.5675670947</v>
      </c>
      <c r="J93" s="539">
        <f t="shared" si="44" ref="J93:EG93">J$67</f>
        <v>0</v>
      </c>
      <c r="K93" s="539">
        <f t="shared" si="44"/>
        <v>0</v>
      </c>
      <c r="L93" s="539">
        <f t="shared" si="44"/>
        <v>0</v>
      </c>
      <c r="M93" s="539">
        <f t="shared" si="44"/>
        <v>0</v>
      </c>
      <c r="N93" s="539">
        <f t="shared" si="44"/>
        <v>0</v>
      </c>
      <c r="O93" s="539">
        <f t="shared" si="44"/>
        <v>0</v>
      </c>
      <c r="P93" s="539">
        <f t="shared" si="44"/>
        <v>0</v>
      </c>
      <c r="Q93" s="539">
        <f t="shared" si="44"/>
        <v>0</v>
      </c>
      <c r="R93" s="539">
        <f t="shared" si="44"/>
        <v>0</v>
      </c>
      <c r="S93" s="539">
        <f t="shared" si="44"/>
        <v>0</v>
      </c>
      <c r="T93" s="539">
        <f t="shared" si="44"/>
        <v>0</v>
      </c>
      <c r="U93" s="539">
        <f t="shared" si="44"/>
        <v>0</v>
      </c>
      <c r="V93" s="539">
        <f t="shared" si="44"/>
        <v>0</v>
      </c>
      <c r="W93" s="539">
        <f t="shared" si="44"/>
        <v>0</v>
      </c>
      <c r="X93" s="539">
        <f t="shared" si="44"/>
        <v>0</v>
      </c>
      <c r="Y93" s="539">
        <f t="shared" si="44"/>
        <v>0</v>
      </c>
      <c r="Z93" s="539">
        <f t="shared" si="44"/>
        <v>0</v>
      </c>
      <c r="AA93" s="539">
        <f t="shared" si="44"/>
        <v>0</v>
      </c>
      <c r="AB93" s="539">
        <f t="shared" si="44"/>
        <v>0</v>
      </c>
      <c r="AC93" s="539">
        <f t="shared" si="44"/>
        <v>0</v>
      </c>
      <c r="AD93" s="539">
        <f t="shared" si="44"/>
        <v>0</v>
      </c>
      <c r="AE93" s="539">
        <f t="shared" si="44"/>
        <v>0</v>
      </c>
      <c r="AF93" s="539">
        <f t="shared" si="44"/>
        <v>0</v>
      </c>
      <c r="AG93" s="539">
        <f t="shared" si="44"/>
        <v>0</v>
      </c>
      <c r="AH93" s="539">
        <f t="shared" si="44"/>
        <v>0</v>
      </c>
      <c r="AI93" s="539">
        <f t="shared" si="44"/>
        <v>6822.7318437499998</v>
      </c>
      <c r="AJ93" s="539">
        <f t="shared" si="44"/>
        <v>13055.069875000001</v>
      </c>
      <c r="AK93" s="539">
        <f t="shared" si="44"/>
        <v>18723.5818153125</v>
      </c>
      <c r="AL93" s="539">
        <f t="shared" si="44"/>
        <v>23853.639838779687</v>
      </c>
      <c r="AM93" s="539">
        <f t="shared" si="44"/>
        <v>28358.857082753351</v>
      </c>
      <c r="AN93" s="539">
        <f t="shared" si="44"/>
        <v>32372.990893216171</v>
      </c>
      <c r="AO93" s="539">
        <f t="shared" si="44"/>
        <v>35918.140024676133</v>
      </c>
      <c r="AP93" s="539">
        <f t="shared" si="44"/>
        <v>39015.408787688364</v>
      </c>
      <c r="AQ93" s="539">
        <f t="shared" si="44"/>
        <v>41572.516711629105</v>
      </c>
      <c r="AR93" s="539">
        <f t="shared" si="44"/>
        <v>43721.146542536306</v>
      </c>
      <c r="AS93" s="539">
        <f t="shared" si="44"/>
        <v>45479.679794596479</v>
      </c>
      <c r="AT93" s="539">
        <f t="shared" si="44"/>
        <v>46865.670813857738</v>
      </c>
      <c r="AU93" s="539">
        <f t="shared" si="44"/>
        <v>47781.606015446778</v>
      </c>
      <c r="AV93" s="539">
        <f t="shared" si="44"/>
        <v>48357.773387167384</v>
      </c>
      <c r="AW93" s="539">
        <f t="shared" si="44"/>
        <v>48609.46248136364</v>
      </c>
      <c r="AX93" s="539">
        <f t="shared" si="44"/>
        <v>48568.731118775991</v>
      </c>
      <c r="AY93" s="539">
        <f t="shared" si="44"/>
        <v>49316.143083837531</v>
      </c>
      <c r="AZ93" s="539">
        <f t="shared" si="44"/>
        <v>49780.939701387586</v>
      </c>
      <c r="BA93" s="539">
        <f t="shared" si="44"/>
        <v>49975.838662064169</v>
      </c>
      <c r="BB93" s="539">
        <f t="shared" si="44"/>
        <v>49931.841350917864</v>
      </c>
      <c r="BC93" s="539">
        <f t="shared" si="44"/>
        <v>48780.534136530303</v>
      </c>
      <c r="BD93" s="539">
        <f t="shared" si="44"/>
        <v>47464.67336721679</v>
      </c>
      <c r="BE93" s="539">
        <f t="shared" si="44"/>
        <v>45991.663952948991</v>
      </c>
      <c r="BF93" s="539">
        <f t="shared" si="44"/>
        <v>44368.577582749851</v>
      </c>
      <c r="BG93" s="539">
        <f t="shared" si="44"/>
        <v>42518.196393095648</v>
      </c>
      <c r="BH93" s="539">
        <f t="shared" si="44"/>
        <v>40530.941267708164</v>
      </c>
      <c r="BI93" s="539">
        <f t="shared" si="44"/>
        <v>38412.971533695396</v>
      </c>
      <c r="BJ93" s="539">
        <f t="shared" si="44"/>
        <v>36170.169348445481</v>
      </c>
      <c r="BK93" s="539">
        <f t="shared" si="44"/>
        <v>33722.819327355966</v>
      </c>
      <c r="BL93" s="539">
        <f t="shared" si="44"/>
        <v>31161.618989926897</v>
      </c>
      <c r="BM93" s="539">
        <f t="shared" si="44"/>
        <v>28491.691600393548</v>
      </c>
      <c r="BN93" s="539">
        <f t="shared" si="44"/>
        <v>25717.929876100614</v>
      </c>
      <c r="BO93" s="539">
        <f t="shared" si="44"/>
        <v>22758.293846120003</v>
      </c>
      <c r="BP93" s="539">
        <f t="shared" si="44"/>
        <v>19703.958306980279</v>
      </c>
      <c r="BQ93" s="539">
        <f t="shared" si="44"/>
        <v>16559.184736593605</v>
      </c>
      <c r="BR93" s="539">
        <f t="shared" si="44"/>
        <v>13328.042846366094</v>
      </c>
      <c r="BS93" s="539">
        <f t="shared" si="44"/>
        <v>10890.692462166768</v>
      </c>
      <c r="BT93" s="539">
        <f t="shared" si="44"/>
        <v>8374.5720110645998</v>
      </c>
      <c r="BU93" s="539">
        <f t="shared" si="44"/>
        <v>5783.2261460702202</v>
      </c>
      <c r="BV93" s="539">
        <f t="shared" si="44"/>
        <v>3120.0400108087779</v>
      </c>
      <c r="BW93" s="539">
        <f t="shared" si="44"/>
        <v>0</v>
      </c>
      <c r="BX93" s="539">
        <f t="shared" si="44"/>
        <v>0</v>
      </c>
      <c r="BY93" s="539">
        <f t="shared" si="44"/>
        <v>0</v>
      </c>
      <c r="BZ93" s="539">
        <f t="shared" si="44"/>
        <v>0</v>
      </c>
      <c r="CA93" s="539">
        <f t="shared" si="44"/>
        <v>0</v>
      </c>
      <c r="CB93" s="539">
        <f t="shared" si="44"/>
        <v>0</v>
      </c>
      <c r="CC93" s="539">
        <f t="shared" si="44"/>
        <v>0</v>
      </c>
      <c r="CD93" s="539">
        <f t="shared" si="44"/>
        <v>0</v>
      </c>
      <c r="CE93" s="539">
        <f t="shared" si="44"/>
        <v>0</v>
      </c>
      <c r="CF93" s="539">
        <f t="shared" si="44"/>
        <v>0</v>
      </c>
      <c r="CG93" s="539">
        <f t="shared" si="44"/>
        <v>-7.2759576141834259E-12</v>
      </c>
      <c r="CH93" s="539">
        <f t="shared" si="44"/>
        <v>-7.2759576141834259E-12</v>
      </c>
      <c r="CI93" s="539">
        <f t="shared" si="44"/>
        <v>-7.2759576141834259E-12</v>
      </c>
      <c r="CJ93" s="539">
        <f t="shared" si="44"/>
        <v>-7.2759576141834259E-12</v>
      </c>
      <c r="CK93" s="539">
        <f t="shared" si="44"/>
        <v>-7.2759576141834259E-12</v>
      </c>
      <c r="CL93" s="539">
        <f t="shared" si="44"/>
        <v>-7.2759576141834259E-12</v>
      </c>
      <c r="CM93" s="539">
        <f t="shared" si="44"/>
        <v>-7.2759576141834259E-12</v>
      </c>
      <c r="CN93" s="539">
        <f t="shared" si="44"/>
        <v>-7.2759576141834259E-12</v>
      </c>
      <c r="CO93" s="539">
        <f t="shared" si="44"/>
        <v>-7.2759576141834259E-12</v>
      </c>
      <c r="CP93" s="539">
        <f t="shared" si="44"/>
        <v>-7.2759576141834259E-12</v>
      </c>
      <c r="CQ93" s="539">
        <f t="shared" si="44"/>
        <v>-7.2759576141834259E-12</v>
      </c>
      <c r="CR93" s="539">
        <f t="shared" si="44"/>
        <v>-7.2759576141834259E-12</v>
      </c>
      <c r="CS93" s="539">
        <f t="shared" si="44"/>
        <v>-7.2759576141834259E-12</v>
      </c>
      <c r="CT93" s="539">
        <f t="shared" si="44"/>
        <v>-7.2759576141834259E-12</v>
      </c>
      <c r="CU93" s="539">
        <f t="shared" si="44"/>
        <v>-7.2759576141834259E-12</v>
      </c>
      <c r="CV93" s="539">
        <f t="shared" si="44"/>
        <v>-7.2759576141834259E-12</v>
      </c>
      <c r="CW93" s="539">
        <f t="shared" si="44"/>
        <v>-7.2759576141834259E-12</v>
      </c>
      <c r="CX93" s="539">
        <f t="shared" si="44"/>
        <v>-7.2759576141834259E-12</v>
      </c>
      <c r="CY93" s="539">
        <f t="shared" si="44"/>
        <v>-7.2759576141834259E-12</v>
      </c>
      <c r="CZ93" s="539">
        <f t="shared" si="44"/>
        <v>-7.2759576141834259E-12</v>
      </c>
      <c r="DA93" s="539">
        <f t="shared" si="44"/>
        <v>-7.2759576141834259E-12</v>
      </c>
      <c r="DB93" s="539">
        <f t="shared" si="44"/>
        <v>-7.2759576141834259E-12</v>
      </c>
      <c r="DC93" s="539">
        <f t="shared" si="44"/>
        <v>-7.2759576141834259E-12</v>
      </c>
      <c r="DD93" s="539">
        <f t="shared" si="44"/>
        <v>-7.2759576141834259E-12</v>
      </c>
      <c r="DE93" s="539">
        <f t="shared" si="44"/>
        <v>-7.2759576141834259E-12</v>
      </c>
      <c r="DF93" s="539">
        <f t="shared" si="44"/>
        <v>-7.2759576141834259E-12</v>
      </c>
      <c r="DG93" s="539">
        <f t="shared" si="44"/>
        <v>-7.2759576141834259E-12</v>
      </c>
      <c r="DH93" s="539">
        <f t="shared" si="44"/>
        <v>-7.2759576141834259E-12</v>
      </c>
      <c r="DI93" s="539">
        <f t="shared" si="44"/>
        <v>-7.2759576141834259E-12</v>
      </c>
      <c r="DJ93" s="539">
        <f t="shared" si="44"/>
        <v>-7.2759576141834259E-12</v>
      </c>
      <c r="DK93" s="539">
        <f t="shared" si="44"/>
        <v>-7.2759576141834259E-12</v>
      </c>
      <c r="DL93" s="539">
        <f t="shared" si="44"/>
        <v>-7.2759576141834259E-12</v>
      </c>
      <c r="DM93" s="539">
        <f t="shared" si="44"/>
        <v>-7.2759576141834259E-12</v>
      </c>
      <c r="DN93" s="539">
        <f t="shared" si="44"/>
        <v>-7.2759576141834259E-12</v>
      </c>
      <c r="DO93" s="539">
        <f t="shared" si="44"/>
        <v>-7.2759576141834259E-12</v>
      </c>
      <c r="DP93" s="539">
        <f t="shared" si="44"/>
        <v>-7.2759576141834259E-12</v>
      </c>
      <c r="DQ93" s="539">
        <f t="shared" si="44"/>
        <v>-7.2759576141834259E-12</v>
      </c>
      <c r="DR93" s="539">
        <f t="shared" si="44"/>
        <v>-7.2759576141834259E-12</v>
      </c>
      <c r="DS93" s="539">
        <f t="shared" si="44"/>
        <v>-7.2759576141834259E-12</v>
      </c>
      <c r="DT93" s="539">
        <f t="shared" si="44"/>
        <v>-7.2759576141834259E-12</v>
      </c>
      <c r="DU93" s="539">
        <f t="shared" si="44"/>
        <v>-7.2759576141834259E-12</v>
      </c>
      <c r="DV93" s="539">
        <f t="shared" si="44"/>
        <v>-7.2759576141834259E-12</v>
      </c>
      <c r="DW93" s="539">
        <f t="shared" si="44"/>
        <v>-7.2759576141834259E-12</v>
      </c>
      <c r="DX93" s="539">
        <f t="shared" si="44"/>
        <v>-7.2759576141834259E-12</v>
      </c>
      <c r="DY93" s="539">
        <f t="shared" si="44"/>
        <v>-7.2759576141834259E-12</v>
      </c>
      <c r="DZ93" s="539">
        <f t="shared" si="44"/>
        <v>-7.2759576141834259E-12</v>
      </c>
      <c r="EA93" s="539">
        <f t="shared" si="44"/>
        <v>-7.2759576141834259E-12</v>
      </c>
      <c r="EB93" s="539">
        <f t="shared" si="44"/>
        <v>-7.2759576141834259E-12</v>
      </c>
      <c r="EC93" s="539">
        <f t="shared" si="44"/>
        <v>-7.2759576141834259E-12</v>
      </c>
      <c r="ED93" s="539">
        <f t="shared" si="44"/>
        <v>0</v>
      </c>
      <c r="EE93" s="539">
        <f t="shared" si="44"/>
        <v>0</v>
      </c>
      <c r="EF93" s="539">
        <f t="shared" si="44"/>
        <v>0</v>
      </c>
      <c r="EG93" s="539">
        <f t="shared" si="44"/>
        <v>0</v>
      </c>
    </row>
    <row r="94" spans="5:137" ht="12.75">
      <c r="E94" s="538" t="str">
        <f>E$70</f>
        <v>Tax losses - generated</v>
      </c>
      <c r="G94" s="539" t="str">
        <f>G$70</f>
        <v>EUR 000s</v>
      </c>
      <c r="H94" s="539">
        <f>H$70</f>
        <v>50016.570024651817</v>
      </c>
      <c r="J94" s="539">
        <f t="shared" si="45" ref="J94:EG94">J$70</f>
        <v>0</v>
      </c>
      <c r="K94" s="539">
        <f t="shared" si="45"/>
        <v>0</v>
      </c>
      <c r="L94" s="539">
        <f t="shared" si="45"/>
        <v>0</v>
      </c>
      <c r="M94" s="539">
        <f t="shared" si="45"/>
        <v>0</v>
      </c>
      <c r="N94" s="539">
        <f t="shared" si="45"/>
        <v>0</v>
      </c>
      <c r="O94" s="539">
        <f t="shared" si="45"/>
        <v>0</v>
      </c>
      <c r="P94" s="539">
        <f t="shared" si="45"/>
        <v>0</v>
      </c>
      <c r="Q94" s="539">
        <f t="shared" si="45"/>
        <v>0</v>
      </c>
      <c r="R94" s="539">
        <f t="shared" si="45"/>
        <v>0</v>
      </c>
      <c r="S94" s="539">
        <f t="shared" si="45"/>
        <v>0</v>
      </c>
      <c r="T94" s="539">
        <f t="shared" si="45"/>
        <v>0</v>
      </c>
      <c r="U94" s="539">
        <f t="shared" si="45"/>
        <v>0</v>
      </c>
      <c r="V94" s="539">
        <f t="shared" si="45"/>
        <v>0</v>
      </c>
      <c r="W94" s="539">
        <f t="shared" si="45"/>
        <v>0</v>
      </c>
      <c r="X94" s="539">
        <f t="shared" si="45"/>
        <v>0</v>
      </c>
      <c r="Y94" s="539">
        <f t="shared" si="45"/>
        <v>0</v>
      </c>
      <c r="Z94" s="539">
        <f t="shared" si="45"/>
        <v>0</v>
      </c>
      <c r="AA94" s="539">
        <f t="shared" si="45"/>
        <v>0</v>
      </c>
      <c r="AB94" s="539">
        <f t="shared" si="45"/>
        <v>0</v>
      </c>
      <c r="AC94" s="539">
        <f t="shared" si="45"/>
        <v>0</v>
      </c>
      <c r="AD94" s="539">
        <f t="shared" si="45"/>
        <v>0</v>
      </c>
      <c r="AE94" s="539">
        <f t="shared" si="45"/>
        <v>0</v>
      </c>
      <c r="AF94" s="539">
        <f t="shared" si="45"/>
        <v>0</v>
      </c>
      <c r="AG94" s="539">
        <f t="shared" si="45"/>
        <v>0</v>
      </c>
      <c r="AH94" s="539">
        <f t="shared" si="45"/>
        <v>6822.7318437499998</v>
      </c>
      <c r="AI94" s="539">
        <f t="shared" si="45"/>
        <v>6232.3380312500012</v>
      </c>
      <c r="AJ94" s="539">
        <f t="shared" si="45"/>
        <v>5668.5119403125009</v>
      </c>
      <c r="AK94" s="539">
        <f t="shared" si="45"/>
        <v>5130.0580234671888</v>
      </c>
      <c r="AL94" s="539">
        <f t="shared" si="45"/>
        <v>4505.2172439736642</v>
      </c>
      <c r="AM94" s="539">
        <f t="shared" si="45"/>
        <v>4014.133810462818</v>
      </c>
      <c r="AN94" s="539">
        <f t="shared" si="45"/>
        <v>3545.1491314599593</v>
      </c>
      <c r="AO94" s="539">
        <f t="shared" si="45"/>
        <v>3097.2687630122296</v>
      </c>
      <c r="AP94" s="539">
        <f t="shared" si="45"/>
        <v>2557.1079239407418</v>
      </c>
      <c r="AQ94" s="539">
        <f t="shared" si="45"/>
        <v>2148.6298309072017</v>
      </c>
      <c r="AR94" s="539">
        <f t="shared" si="45"/>
        <v>1758.5332520601705</v>
      </c>
      <c r="AS94" s="539">
        <f t="shared" si="45"/>
        <v>1385.991019261257</v>
      </c>
      <c r="AT94" s="539">
        <f t="shared" si="45"/>
        <v>915.93520158903948</v>
      </c>
      <c r="AU94" s="539">
        <f t="shared" si="45"/>
        <v>576.16737172060903</v>
      </c>
      <c r="AV94" s="539">
        <f t="shared" si="45"/>
        <v>251.68909419625788</v>
      </c>
      <c r="AW94" s="539">
        <f t="shared" si="45"/>
        <v>0</v>
      </c>
      <c r="AX94" s="539">
        <f t="shared" si="45"/>
        <v>747.41196506153801</v>
      </c>
      <c r="AY94" s="539">
        <f t="shared" si="45"/>
        <v>464.79661755005282</v>
      </c>
      <c r="AZ94" s="539">
        <f t="shared" si="45"/>
        <v>194.89896067658492</v>
      </c>
      <c r="BA94" s="539">
        <f t="shared" si="45"/>
        <v>0</v>
      </c>
      <c r="BB94" s="539">
        <f t="shared" si="45"/>
        <v>0</v>
      </c>
      <c r="BC94" s="539">
        <f t="shared" si="45"/>
        <v>0</v>
      </c>
      <c r="BD94" s="539">
        <f t="shared" si="45"/>
        <v>0</v>
      </c>
      <c r="BE94" s="539">
        <f t="shared" si="45"/>
        <v>0</v>
      </c>
      <c r="BF94" s="539">
        <f t="shared" si="45"/>
        <v>0</v>
      </c>
      <c r="BG94" s="539">
        <f t="shared" si="45"/>
        <v>0</v>
      </c>
      <c r="BH94" s="539">
        <f t="shared" si="45"/>
        <v>0</v>
      </c>
      <c r="BI94" s="539">
        <f t="shared" si="45"/>
        <v>0</v>
      </c>
      <c r="BJ94" s="539">
        <f t="shared" si="45"/>
        <v>0</v>
      </c>
      <c r="BK94" s="539">
        <f t="shared" si="45"/>
        <v>0</v>
      </c>
      <c r="BL94" s="539">
        <f t="shared" si="45"/>
        <v>0</v>
      </c>
      <c r="BM94" s="539">
        <f t="shared" si="45"/>
        <v>0</v>
      </c>
      <c r="BN94" s="539">
        <f t="shared" si="45"/>
        <v>0</v>
      </c>
      <c r="BO94" s="539">
        <f t="shared" si="45"/>
        <v>0</v>
      </c>
      <c r="BP94" s="539">
        <f t="shared" si="45"/>
        <v>0</v>
      </c>
      <c r="BQ94" s="539">
        <f t="shared" si="45"/>
        <v>0</v>
      </c>
      <c r="BR94" s="539">
        <f t="shared" si="45"/>
        <v>0</v>
      </c>
      <c r="BS94" s="539">
        <f t="shared" si="45"/>
        <v>0</v>
      </c>
      <c r="BT94" s="539">
        <f t="shared" si="45"/>
        <v>0</v>
      </c>
      <c r="BU94" s="539">
        <f t="shared" si="45"/>
        <v>0</v>
      </c>
      <c r="BV94" s="539">
        <f t="shared" si="45"/>
        <v>0</v>
      </c>
      <c r="BW94" s="539">
        <f t="shared" si="45"/>
        <v>0</v>
      </c>
      <c r="BX94" s="539">
        <f t="shared" si="45"/>
        <v>0</v>
      </c>
      <c r="BY94" s="539">
        <f t="shared" si="45"/>
        <v>0</v>
      </c>
      <c r="BZ94" s="539">
        <f t="shared" si="45"/>
        <v>0</v>
      </c>
      <c r="CA94" s="539">
        <f t="shared" si="45"/>
        <v>0</v>
      </c>
      <c r="CB94" s="539">
        <f t="shared" si="45"/>
        <v>0</v>
      </c>
      <c r="CC94" s="539">
        <f t="shared" si="45"/>
        <v>0</v>
      </c>
      <c r="CD94" s="539">
        <f t="shared" si="45"/>
        <v>0</v>
      </c>
      <c r="CE94" s="539">
        <f t="shared" si="45"/>
        <v>0</v>
      </c>
      <c r="CF94" s="539">
        <f t="shared" si="45"/>
        <v>0</v>
      </c>
      <c r="CG94" s="539">
        <f t="shared" si="45"/>
        <v>0</v>
      </c>
      <c r="CH94" s="539">
        <f t="shared" si="45"/>
        <v>0</v>
      </c>
      <c r="CI94" s="539">
        <f t="shared" si="45"/>
        <v>0</v>
      </c>
      <c r="CJ94" s="539">
        <f t="shared" si="45"/>
        <v>0</v>
      </c>
      <c r="CK94" s="539">
        <f t="shared" si="45"/>
        <v>0</v>
      </c>
      <c r="CL94" s="539">
        <f t="shared" si="45"/>
        <v>0</v>
      </c>
      <c r="CM94" s="539">
        <f t="shared" si="45"/>
        <v>0</v>
      </c>
      <c r="CN94" s="539">
        <f t="shared" si="45"/>
        <v>0</v>
      </c>
      <c r="CO94" s="539">
        <f t="shared" si="45"/>
        <v>0</v>
      </c>
      <c r="CP94" s="539">
        <f t="shared" si="45"/>
        <v>0</v>
      </c>
      <c r="CQ94" s="539">
        <f t="shared" si="45"/>
        <v>0</v>
      </c>
      <c r="CR94" s="539">
        <f t="shared" si="45"/>
        <v>0</v>
      </c>
      <c r="CS94" s="539">
        <f t="shared" si="45"/>
        <v>0</v>
      </c>
      <c r="CT94" s="539">
        <f t="shared" si="45"/>
        <v>0</v>
      </c>
      <c r="CU94" s="539">
        <f t="shared" si="45"/>
        <v>0</v>
      </c>
      <c r="CV94" s="539">
        <f t="shared" si="45"/>
        <v>0</v>
      </c>
      <c r="CW94" s="539">
        <f t="shared" si="45"/>
        <v>0</v>
      </c>
      <c r="CX94" s="539">
        <f t="shared" si="45"/>
        <v>0</v>
      </c>
      <c r="CY94" s="539">
        <f t="shared" si="45"/>
        <v>0</v>
      </c>
      <c r="CZ94" s="539">
        <f t="shared" si="45"/>
        <v>0</v>
      </c>
      <c r="DA94" s="539">
        <f t="shared" si="45"/>
        <v>0</v>
      </c>
      <c r="DB94" s="539">
        <f t="shared" si="45"/>
        <v>0</v>
      </c>
      <c r="DC94" s="539">
        <f t="shared" si="45"/>
        <v>0</v>
      </c>
      <c r="DD94" s="539">
        <f t="shared" si="45"/>
        <v>0</v>
      </c>
      <c r="DE94" s="539">
        <f t="shared" si="45"/>
        <v>0</v>
      </c>
      <c r="DF94" s="539">
        <f t="shared" si="45"/>
        <v>0</v>
      </c>
      <c r="DG94" s="539">
        <f t="shared" si="45"/>
        <v>0</v>
      </c>
      <c r="DH94" s="539">
        <f t="shared" si="45"/>
        <v>0</v>
      </c>
      <c r="DI94" s="539">
        <f t="shared" si="45"/>
        <v>0</v>
      </c>
      <c r="DJ94" s="539">
        <f t="shared" si="45"/>
        <v>0</v>
      </c>
      <c r="DK94" s="539">
        <f t="shared" si="45"/>
        <v>0</v>
      </c>
      <c r="DL94" s="539">
        <f t="shared" si="45"/>
        <v>0</v>
      </c>
      <c r="DM94" s="539">
        <f t="shared" si="45"/>
        <v>0</v>
      </c>
      <c r="DN94" s="539">
        <f t="shared" si="45"/>
        <v>0</v>
      </c>
      <c r="DO94" s="539">
        <f t="shared" si="45"/>
        <v>0</v>
      </c>
      <c r="DP94" s="539">
        <f t="shared" si="45"/>
        <v>0</v>
      </c>
      <c r="DQ94" s="539">
        <f t="shared" si="45"/>
        <v>0</v>
      </c>
      <c r="DR94" s="539">
        <f t="shared" si="45"/>
        <v>0</v>
      </c>
      <c r="DS94" s="539">
        <f t="shared" si="45"/>
        <v>0</v>
      </c>
      <c r="DT94" s="539">
        <f t="shared" si="45"/>
        <v>0</v>
      </c>
      <c r="DU94" s="539">
        <f t="shared" si="45"/>
        <v>0</v>
      </c>
      <c r="DV94" s="539">
        <f t="shared" si="45"/>
        <v>0</v>
      </c>
      <c r="DW94" s="539">
        <f t="shared" si="45"/>
        <v>0</v>
      </c>
      <c r="DX94" s="539">
        <f t="shared" si="45"/>
        <v>0</v>
      </c>
      <c r="DY94" s="539">
        <f t="shared" si="45"/>
        <v>0</v>
      </c>
      <c r="DZ94" s="539">
        <f t="shared" si="45"/>
        <v>0</v>
      </c>
      <c r="EA94" s="539">
        <f t="shared" si="45"/>
        <v>0</v>
      </c>
      <c r="EB94" s="539">
        <f t="shared" si="45"/>
        <v>0</v>
      </c>
      <c r="EC94" s="539">
        <f t="shared" si="45"/>
        <v>0</v>
      </c>
      <c r="ED94" s="539">
        <f t="shared" si="45"/>
        <v>0</v>
      </c>
      <c r="EE94" s="539">
        <f t="shared" si="45"/>
        <v>0</v>
      </c>
      <c r="EF94" s="539">
        <f t="shared" si="45"/>
        <v>0</v>
      </c>
      <c r="EG94" s="539">
        <f t="shared" si="45"/>
        <v>0</v>
      </c>
    </row>
    <row r="95" spans="5:137" ht="12.75">
      <c r="E95" s="538" t="str">
        <f>E$75</f>
        <v>Tax losses - used</v>
      </c>
      <c r="G95" s="539" t="str">
        <f>G$75</f>
        <v>EUR 000s</v>
      </c>
      <c r="H95" s="539">
        <f>H$75</f>
        <v>50016.570024651453</v>
      </c>
      <c r="J95" s="539">
        <f t="shared" si="46" ref="J95:EG95">J$75</f>
        <v>0</v>
      </c>
      <c r="K95" s="539">
        <f t="shared" si="46"/>
        <v>0</v>
      </c>
      <c r="L95" s="539">
        <f t="shared" si="46"/>
        <v>0</v>
      </c>
      <c r="M95" s="539">
        <f t="shared" si="46"/>
        <v>0</v>
      </c>
      <c r="N95" s="539">
        <f t="shared" si="46"/>
        <v>0</v>
      </c>
      <c r="O95" s="539">
        <f t="shared" si="46"/>
        <v>0</v>
      </c>
      <c r="P95" s="539">
        <f t="shared" si="46"/>
        <v>0</v>
      </c>
      <c r="Q95" s="539">
        <f t="shared" si="46"/>
        <v>0</v>
      </c>
      <c r="R95" s="539">
        <f t="shared" si="46"/>
        <v>0</v>
      </c>
      <c r="S95" s="539">
        <f t="shared" si="46"/>
        <v>0</v>
      </c>
      <c r="T95" s="539">
        <f t="shared" si="46"/>
        <v>0</v>
      </c>
      <c r="U95" s="539">
        <f t="shared" si="46"/>
        <v>0</v>
      </c>
      <c r="V95" s="539">
        <f t="shared" si="46"/>
        <v>0</v>
      </c>
      <c r="W95" s="539">
        <f t="shared" si="46"/>
        <v>0</v>
      </c>
      <c r="X95" s="539">
        <f t="shared" si="46"/>
        <v>0</v>
      </c>
      <c r="Y95" s="539">
        <f t="shared" si="46"/>
        <v>0</v>
      </c>
      <c r="Z95" s="539">
        <f t="shared" si="46"/>
        <v>0</v>
      </c>
      <c r="AA95" s="539">
        <f t="shared" si="46"/>
        <v>0</v>
      </c>
      <c r="AB95" s="539">
        <f t="shared" si="46"/>
        <v>0</v>
      </c>
      <c r="AC95" s="539">
        <f t="shared" si="46"/>
        <v>0</v>
      </c>
      <c r="AD95" s="539">
        <f t="shared" si="46"/>
        <v>0</v>
      </c>
      <c r="AE95" s="539">
        <f t="shared" si="46"/>
        <v>0</v>
      </c>
      <c r="AF95" s="539">
        <f t="shared" si="46"/>
        <v>0</v>
      </c>
      <c r="AG95" s="539">
        <f t="shared" si="46"/>
        <v>0</v>
      </c>
      <c r="AH95" s="539">
        <f t="shared" si="46"/>
        <v>0</v>
      </c>
      <c r="AI95" s="539">
        <f t="shared" si="46"/>
        <v>0</v>
      </c>
      <c r="AJ95" s="539">
        <f t="shared" si="46"/>
        <v>0</v>
      </c>
      <c r="AK95" s="539">
        <f t="shared" si="46"/>
        <v>0</v>
      </c>
      <c r="AL95" s="539">
        <f t="shared" si="46"/>
        <v>0</v>
      </c>
      <c r="AM95" s="539">
        <f t="shared" si="46"/>
        <v>0</v>
      </c>
      <c r="AN95" s="539">
        <f t="shared" si="46"/>
        <v>0</v>
      </c>
      <c r="AO95" s="539">
        <f t="shared" si="46"/>
        <v>0</v>
      </c>
      <c r="AP95" s="539">
        <f t="shared" si="46"/>
        <v>0</v>
      </c>
      <c r="AQ95" s="539">
        <f t="shared" si="46"/>
        <v>0</v>
      </c>
      <c r="AR95" s="539">
        <f t="shared" si="46"/>
        <v>0</v>
      </c>
      <c r="AS95" s="539">
        <f t="shared" si="46"/>
        <v>0</v>
      </c>
      <c r="AT95" s="539">
        <f t="shared" si="46"/>
        <v>0</v>
      </c>
      <c r="AU95" s="539">
        <f t="shared" si="46"/>
        <v>0</v>
      </c>
      <c r="AV95" s="539">
        <f t="shared" si="46"/>
        <v>0</v>
      </c>
      <c r="AW95" s="539">
        <f t="shared" si="46"/>
        <v>40.731362587648754</v>
      </c>
      <c r="AX95" s="539">
        <f t="shared" si="46"/>
        <v>0</v>
      </c>
      <c r="AY95" s="539">
        <f t="shared" si="46"/>
        <v>0</v>
      </c>
      <c r="AZ95" s="539">
        <f t="shared" si="46"/>
        <v>0</v>
      </c>
      <c r="BA95" s="539">
        <f t="shared" si="46"/>
        <v>43.997311146303446</v>
      </c>
      <c r="BB95" s="539">
        <f t="shared" si="46"/>
        <v>1151.3072143875627</v>
      </c>
      <c r="BC95" s="539">
        <f t="shared" si="46"/>
        <v>1315.8607693135141</v>
      </c>
      <c r="BD95" s="539">
        <f t="shared" si="46"/>
        <v>1473.0094142677974</v>
      </c>
      <c r="BE95" s="539">
        <f t="shared" si="46"/>
        <v>1623.0863701991386</v>
      </c>
      <c r="BF95" s="539">
        <f t="shared" si="46"/>
        <v>1850.3811896542018</v>
      </c>
      <c r="BG95" s="539">
        <f t="shared" si="46"/>
        <v>1987.2551253874831</v>
      </c>
      <c r="BH95" s="539">
        <f t="shared" si="46"/>
        <v>2117.9697340127664</v>
      </c>
      <c r="BI95" s="539">
        <f t="shared" si="46"/>
        <v>2242.8021852499123</v>
      </c>
      <c r="BJ95" s="539">
        <f t="shared" si="46"/>
        <v>2447.3500210895122</v>
      </c>
      <c r="BK95" s="539">
        <f t="shared" si="46"/>
        <v>2561.2003374290703</v>
      </c>
      <c r="BL95" s="539">
        <f t="shared" si="46"/>
        <v>2669.9273895333481</v>
      </c>
      <c r="BM95" s="539">
        <f t="shared" si="46"/>
        <v>2773.7617242929332</v>
      </c>
      <c r="BN95" s="539">
        <f t="shared" si="46"/>
        <v>2959.6360299806124</v>
      </c>
      <c r="BO95" s="539">
        <f t="shared" si="46"/>
        <v>3054.3355391397236</v>
      </c>
      <c r="BP95" s="539">
        <f t="shared" si="46"/>
        <v>3144.7735703866747</v>
      </c>
      <c r="BQ95" s="539">
        <f t="shared" si="46"/>
        <v>3231.1418902275118</v>
      </c>
      <c r="BR95" s="539">
        <f t="shared" si="46"/>
        <v>2437.350384199327</v>
      </c>
      <c r="BS95" s="539">
        <f t="shared" si="46"/>
        <v>2516.1204511021674</v>
      </c>
      <c r="BT95" s="539">
        <f t="shared" si="46"/>
        <v>2591.3458649943796</v>
      </c>
      <c r="BU95" s="539">
        <f t="shared" si="46"/>
        <v>2663.1861352614424</v>
      </c>
      <c r="BV95" s="539">
        <f t="shared" si="46"/>
        <v>3120.0400108087779</v>
      </c>
      <c r="BW95" s="539">
        <f t="shared" si="46"/>
        <v>0</v>
      </c>
      <c r="BX95" s="539">
        <f t="shared" si="46"/>
        <v>0</v>
      </c>
      <c r="BY95" s="539">
        <f t="shared" si="46"/>
        <v>0</v>
      </c>
      <c r="BZ95" s="539">
        <f t="shared" si="46"/>
        <v>0</v>
      </c>
      <c r="CA95" s="539">
        <f t="shared" si="46"/>
        <v>0</v>
      </c>
      <c r="CB95" s="539">
        <f t="shared" si="46"/>
        <v>0</v>
      </c>
      <c r="CC95" s="539">
        <f t="shared" si="46"/>
        <v>0</v>
      </c>
      <c r="CD95" s="539">
        <f t="shared" si="46"/>
        <v>0</v>
      </c>
      <c r="CE95" s="539">
        <f t="shared" si="46"/>
        <v>0</v>
      </c>
      <c r="CF95" s="539">
        <f t="shared" si="46"/>
        <v>0</v>
      </c>
      <c r="CG95" s="539">
        <f t="shared" si="46"/>
        <v>-7.2759576141834259E-12</v>
      </c>
      <c r="CH95" s="539">
        <f t="shared" si="46"/>
        <v>-7.2759576141834259E-12</v>
      </c>
      <c r="CI95" s="539">
        <f t="shared" si="46"/>
        <v>-7.2759576141834259E-12</v>
      </c>
      <c r="CJ95" s="539">
        <f t="shared" si="46"/>
        <v>-7.2759576141834259E-12</v>
      </c>
      <c r="CK95" s="539">
        <f t="shared" si="46"/>
        <v>-7.2759576141834259E-12</v>
      </c>
      <c r="CL95" s="539">
        <f t="shared" si="46"/>
        <v>-7.2759576141834259E-12</v>
      </c>
      <c r="CM95" s="539">
        <f t="shared" si="46"/>
        <v>-7.2759576141834259E-12</v>
      </c>
      <c r="CN95" s="539">
        <f t="shared" si="46"/>
        <v>-7.2759576141834259E-12</v>
      </c>
      <c r="CO95" s="539">
        <f t="shared" si="46"/>
        <v>-7.2759576141834259E-12</v>
      </c>
      <c r="CP95" s="539">
        <f t="shared" si="46"/>
        <v>-7.2759576141834259E-12</v>
      </c>
      <c r="CQ95" s="539">
        <f t="shared" si="46"/>
        <v>-7.2759576141834259E-12</v>
      </c>
      <c r="CR95" s="539">
        <f t="shared" si="46"/>
        <v>-7.2759576141834259E-12</v>
      </c>
      <c r="CS95" s="539">
        <f t="shared" si="46"/>
        <v>-7.2759576141834259E-12</v>
      </c>
      <c r="CT95" s="539">
        <f t="shared" si="46"/>
        <v>-7.2759576141834259E-12</v>
      </c>
      <c r="CU95" s="539">
        <f t="shared" si="46"/>
        <v>-7.2759576141834259E-12</v>
      </c>
      <c r="CV95" s="539">
        <f t="shared" si="46"/>
        <v>-7.2759576141834259E-12</v>
      </c>
      <c r="CW95" s="539">
        <f t="shared" si="46"/>
        <v>-7.2759576141834259E-12</v>
      </c>
      <c r="CX95" s="539">
        <f t="shared" si="46"/>
        <v>-7.2759576141834259E-12</v>
      </c>
      <c r="CY95" s="539">
        <f t="shared" si="46"/>
        <v>-7.2759576141834259E-12</v>
      </c>
      <c r="CZ95" s="539">
        <f t="shared" si="46"/>
        <v>-7.2759576141834259E-12</v>
      </c>
      <c r="DA95" s="539">
        <f t="shared" si="46"/>
        <v>-7.2759576141834259E-12</v>
      </c>
      <c r="DB95" s="539">
        <f t="shared" si="46"/>
        <v>-7.2759576141834259E-12</v>
      </c>
      <c r="DC95" s="539">
        <f t="shared" si="46"/>
        <v>-7.2759576141834259E-12</v>
      </c>
      <c r="DD95" s="539">
        <f t="shared" si="46"/>
        <v>-7.2759576141834259E-12</v>
      </c>
      <c r="DE95" s="539">
        <f t="shared" si="46"/>
        <v>-7.2759576141834259E-12</v>
      </c>
      <c r="DF95" s="539">
        <f t="shared" si="46"/>
        <v>-7.2759576141834259E-12</v>
      </c>
      <c r="DG95" s="539">
        <f t="shared" si="46"/>
        <v>-7.2759576141834259E-12</v>
      </c>
      <c r="DH95" s="539">
        <f t="shared" si="46"/>
        <v>-7.2759576141834259E-12</v>
      </c>
      <c r="DI95" s="539">
        <f t="shared" si="46"/>
        <v>-7.2759576141834259E-12</v>
      </c>
      <c r="DJ95" s="539">
        <f t="shared" si="46"/>
        <v>-7.2759576141834259E-12</v>
      </c>
      <c r="DK95" s="539">
        <f t="shared" si="46"/>
        <v>-7.2759576141834259E-12</v>
      </c>
      <c r="DL95" s="539">
        <f t="shared" si="46"/>
        <v>-7.2759576141834259E-12</v>
      </c>
      <c r="DM95" s="539">
        <f t="shared" si="46"/>
        <v>-7.2759576141834259E-12</v>
      </c>
      <c r="DN95" s="539">
        <f t="shared" si="46"/>
        <v>-7.2759576141834259E-12</v>
      </c>
      <c r="DO95" s="539">
        <f t="shared" si="46"/>
        <v>-7.2759576141834259E-12</v>
      </c>
      <c r="DP95" s="539">
        <f t="shared" si="46"/>
        <v>-7.2759576141834259E-12</v>
      </c>
      <c r="DQ95" s="539">
        <f t="shared" si="46"/>
        <v>-7.2759576141834259E-12</v>
      </c>
      <c r="DR95" s="539">
        <f t="shared" si="46"/>
        <v>-7.2759576141834259E-12</v>
      </c>
      <c r="DS95" s="539">
        <f t="shared" si="46"/>
        <v>-7.2759576141834259E-12</v>
      </c>
      <c r="DT95" s="539">
        <f t="shared" si="46"/>
        <v>-7.2759576141834259E-12</v>
      </c>
      <c r="DU95" s="539">
        <f t="shared" si="46"/>
        <v>-7.2759576141834259E-12</v>
      </c>
      <c r="DV95" s="539">
        <f t="shared" si="46"/>
        <v>-7.2759576141834259E-12</v>
      </c>
      <c r="DW95" s="539">
        <f t="shared" si="46"/>
        <v>-7.2759576141834259E-12</v>
      </c>
      <c r="DX95" s="539">
        <f t="shared" si="46"/>
        <v>-7.2759576141834259E-12</v>
      </c>
      <c r="DY95" s="539">
        <f t="shared" si="46"/>
        <v>-7.2759576141834259E-12</v>
      </c>
      <c r="DZ95" s="539">
        <f t="shared" si="46"/>
        <v>-7.2759576141834259E-12</v>
      </c>
      <c r="EA95" s="539">
        <f t="shared" si="46"/>
        <v>-7.2759576141834259E-12</v>
      </c>
      <c r="EB95" s="539">
        <f t="shared" si="46"/>
        <v>-7.2759576141834259E-12</v>
      </c>
      <c r="EC95" s="539">
        <f t="shared" si="46"/>
        <v>-7.2759576141834259E-12</v>
      </c>
      <c r="ED95" s="539">
        <f t="shared" si="46"/>
        <v>0</v>
      </c>
      <c r="EE95" s="539">
        <f t="shared" si="46"/>
        <v>0</v>
      </c>
      <c r="EF95" s="539">
        <f t="shared" si="46"/>
        <v>0</v>
      </c>
      <c r="EG95" s="539">
        <f t="shared" si="46"/>
        <v>0</v>
      </c>
    </row>
    <row r="96" spans="5:137" ht="12.75">
      <c r="E96" s="538" t="str">
        <f>E$84</f>
        <v>Tax losses - expired by age</v>
      </c>
      <c r="G96" s="539" t="str">
        <f>G$84</f>
        <v>EUR 000s</v>
      </c>
      <c r="H96" s="539">
        <f>H$84</f>
        <v>3.637978807091713E-10</v>
      </c>
      <c r="J96" s="539">
        <f t="shared" si="47" ref="J96:EG96">J$84</f>
        <v>0</v>
      </c>
      <c r="K96" s="539">
        <f t="shared" si="47"/>
        <v>0</v>
      </c>
      <c r="L96" s="539">
        <f t="shared" si="47"/>
        <v>0</v>
      </c>
      <c r="M96" s="539">
        <f t="shared" si="47"/>
        <v>0</v>
      </c>
      <c r="N96" s="539">
        <f t="shared" si="47"/>
        <v>0</v>
      </c>
      <c r="O96" s="539">
        <f t="shared" si="47"/>
        <v>0</v>
      </c>
      <c r="P96" s="539">
        <f t="shared" si="47"/>
        <v>0</v>
      </c>
      <c r="Q96" s="539">
        <f t="shared" si="47"/>
        <v>0</v>
      </c>
      <c r="R96" s="539">
        <f t="shared" si="47"/>
        <v>0</v>
      </c>
      <c r="S96" s="539">
        <f t="shared" si="47"/>
        <v>0</v>
      </c>
      <c r="T96" s="539">
        <f t="shared" si="47"/>
        <v>0</v>
      </c>
      <c r="U96" s="539">
        <f t="shared" si="47"/>
        <v>0</v>
      </c>
      <c r="V96" s="539">
        <f t="shared" si="47"/>
        <v>0</v>
      </c>
      <c r="W96" s="539">
        <f t="shared" si="47"/>
        <v>0</v>
      </c>
      <c r="X96" s="539">
        <f t="shared" si="47"/>
        <v>0</v>
      </c>
      <c r="Y96" s="539">
        <f t="shared" si="47"/>
        <v>0</v>
      </c>
      <c r="Z96" s="539">
        <f t="shared" si="47"/>
        <v>0</v>
      </c>
      <c r="AA96" s="539">
        <f t="shared" si="47"/>
        <v>0</v>
      </c>
      <c r="AB96" s="539">
        <f t="shared" si="47"/>
        <v>0</v>
      </c>
      <c r="AC96" s="539">
        <f t="shared" si="47"/>
        <v>0</v>
      </c>
      <c r="AD96" s="539">
        <f t="shared" si="47"/>
        <v>0</v>
      </c>
      <c r="AE96" s="539">
        <f t="shared" si="47"/>
        <v>0</v>
      </c>
      <c r="AF96" s="539">
        <f t="shared" si="47"/>
        <v>0</v>
      </c>
      <c r="AG96" s="539">
        <f t="shared" si="47"/>
        <v>0</v>
      </c>
      <c r="AH96" s="539">
        <f t="shared" si="47"/>
        <v>0</v>
      </c>
      <c r="AI96" s="539">
        <f t="shared" si="47"/>
        <v>0</v>
      </c>
      <c r="AJ96" s="539">
        <f t="shared" si="47"/>
        <v>0</v>
      </c>
      <c r="AK96" s="539">
        <f t="shared" si="47"/>
        <v>0</v>
      </c>
      <c r="AL96" s="539">
        <f t="shared" si="47"/>
        <v>0</v>
      </c>
      <c r="AM96" s="539">
        <f t="shared" si="47"/>
        <v>0</v>
      </c>
      <c r="AN96" s="539">
        <f t="shared" si="47"/>
        <v>0</v>
      </c>
      <c r="AO96" s="539">
        <f t="shared" si="47"/>
        <v>0</v>
      </c>
      <c r="AP96" s="539">
        <f t="shared" si="47"/>
        <v>0</v>
      </c>
      <c r="AQ96" s="539">
        <f t="shared" si="47"/>
        <v>0</v>
      </c>
      <c r="AR96" s="539">
        <f t="shared" si="47"/>
        <v>0</v>
      </c>
      <c r="AS96" s="539">
        <f t="shared" si="47"/>
        <v>0</v>
      </c>
      <c r="AT96" s="539">
        <f t="shared" si="47"/>
        <v>0</v>
      </c>
      <c r="AU96" s="539">
        <f t="shared" si="47"/>
        <v>0</v>
      </c>
      <c r="AV96" s="539">
        <f t="shared" si="47"/>
        <v>0</v>
      </c>
      <c r="AW96" s="539">
        <f t="shared" si="47"/>
        <v>0</v>
      </c>
      <c r="AX96" s="539">
        <f t="shared" si="47"/>
        <v>0</v>
      </c>
      <c r="AY96" s="539">
        <f t="shared" si="47"/>
        <v>0</v>
      </c>
      <c r="AZ96" s="539">
        <f t="shared" si="47"/>
        <v>0</v>
      </c>
      <c r="BA96" s="539">
        <f t="shared" si="47"/>
        <v>0</v>
      </c>
      <c r="BB96" s="539">
        <f t="shared" si="47"/>
        <v>0</v>
      </c>
      <c r="BC96" s="539">
        <f t="shared" si="47"/>
        <v>0</v>
      </c>
      <c r="BD96" s="539">
        <f t="shared" si="47"/>
        <v>0</v>
      </c>
      <c r="BE96" s="539">
        <f t="shared" si="47"/>
        <v>0</v>
      </c>
      <c r="BF96" s="539">
        <f t="shared" si="47"/>
        <v>0</v>
      </c>
      <c r="BG96" s="539">
        <f t="shared" si="47"/>
        <v>0</v>
      </c>
      <c r="BH96" s="539">
        <f t="shared" si="47"/>
        <v>0</v>
      </c>
      <c r="BI96" s="539">
        <f t="shared" si="47"/>
        <v>0</v>
      </c>
      <c r="BJ96" s="539">
        <f t="shared" si="47"/>
        <v>0</v>
      </c>
      <c r="BK96" s="539">
        <f t="shared" si="47"/>
        <v>0</v>
      </c>
      <c r="BL96" s="539">
        <f t="shared" si="47"/>
        <v>0</v>
      </c>
      <c r="BM96" s="539">
        <f t="shared" si="47"/>
        <v>0</v>
      </c>
      <c r="BN96" s="539">
        <f t="shared" si="47"/>
        <v>0</v>
      </c>
      <c r="BO96" s="539">
        <f t="shared" si="47"/>
        <v>0</v>
      </c>
      <c r="BP96" s="539">
        <f t="shared" si="47"/>
        <v>0</v>
      </c>
      <c r="BQ96" s="539">
        <f t="shared" si="47"/>
        <v>0</v>
      </c>
      <c r="BR96" s="539">
        <f t="shared" si="47"/>
        <v>0</v>
      </c>
      <c r="BS96" s="539">
        <f t="shared" si="47"/>
        <v>0</v>
      </c>
      <c r="BT96" s="539">
        <f t="shared" si="47"/>
        <v>0</v>
      </c>
      <c r="BU96" s="539">
        <f t="shared" si="47"/>
        <v>0</v>
      </c>
      <c r="BV96" s="539">
        <f t="shared" si="47"/>
        <v>0</v>
      </c>
      <c r="BW96" s="539">
        <f t="shared" si="47"/>
        <v>0</v>
      </c>
      <c r="BX96" s="539">
        <f t="shared" si="47"/>
        <v>0</v>
      </c>
      <c r="BY96" s="539">
        <f t="shared" si="47"/>
        <v>0</v>
      </c>
      <c r="BZ96" s="539">
        <f t="shared" si="47"/>
        <v>0</v>
      </c>
      <c r="CA96" s="539">
        <f t="shared" si="47"/>
        <v>0</v>
      </c>
      <c r="CB96" s="539">
        <f t="shared" si="47"/>
        <v>0</v>
      </c>
      <c r="CC96" s="539">
        <f t="shared" si="47"/>
        <v>0</v>
      </c>
      <c r="CD96" s="539">
        <f t="shared" si="47"/>
        <v>0</v>
      </c>
      <c r="CE96" s="539">
        <f t="shared" si="47"/>
        <v>0</v>
      </c>
      <c r="CF96" s="539">
        <f t="shared" si="47"/>
        <v>7.2759576141834259E-12</v>
      </c>
      <c r="CG96" s="539">
        <f t="shared" si="47"/>
        <v>7.2759576141834259E-12</v>
      </c>
      <c r="CH96" s="539">
        <f t="shared" si="47"/>
        <v>7.2759576141834259E-12</v>
      </c>
      <c r="CI96" s="539">
        <f t="shared" si="47"/>
        <v>7.2759576141834259E-12</v>
      </c>
      <c r="CJ96" s="539">
        <f t="shared" si="47"/>
        <v>7.2759576141834259E-12</v>
      </c>
      <c r="CK96" s="539">
        <f t="shared" si="47"/>
        <v>7.2759576141834259E-12</v>
      </c>
      <c r="CL96" s="539">
        <f t="shared" si="47"/>
        <v>7.2759576141834259E-12</v>
      </c>
      <c r="CM96" s="539">
        <f t="shared" si="47"/>
        <v>7.2759576141834259E-12</v>
      </c>
      <c r="CN96" s="539">
        <f t="shared" si="47"/>
        <v>7.2759576141834259E-12</v>
      </c>
      <c r="CO96" s="539">
        <f t="shared" si="47"/>
        <v>7.2759576141834259E-12</v>
      </c>
      <c r="CP96" s="539">
        <f t="shared" si="47"/>
        <v>7.2759576141834259E-12</v>
      </c>
      <c r="CQ96" s="539">
        <f t="shared" si="47"/>
        <v>7.2759576141834259E-12</v>
      </c>
      <c r="CR96" s="539">
        <f t="shared" si="47"/>
        <v>7.2759576141834259E-12</v>
      </c>
      <c r="CS96" s="539">
        <f t="shared" si="47"/>
        <v>7.2759576141834259E-12</v>
      </c>
      <c r="CT96" s="539">
        <f t="shared" si="47"/>
        <v>7.2759576141834259E-12</v>
      </c>
      <c r="CU96" s="539">
        <f t="shared" si="47"/>
        <v>7.2759576141834259E-12</v>
      </c>
      <c r="CV96" s="539">
        <f t="shared" si="47"/>
        <v>7.2759576141834259E-12</v>
      </c>
      <c r="CW96" s="539">
        <f t="shared" si="47"/>
        <v>7.2759576141834259E-12</v>
      </c>
      <c r="CX96" s="539">
        <f t="shared" si="47"/>
        <v>7.2759576141834259E-12</v>
      </c>
      <c r="CY96" s="539">
        <f t="shared" si="47"/>
        <v>7.2759576141834259E-12</v>
      </c>
      <c r="CZ96" s="539">
        <f t="shared" si="47"/>
        <v>7.2759576141834259E-12</v>
      </c>
      <c r="DA96" s="539">
        <f t="shared" si="47"/>
        <v>7.2759576141834259E-12</v>
      </c>
      <c r="DB96" s="539">
        <f t="shared" si="47"/>
        <v>7.2759576141834259E-12</v>
      </c>
      <c r="DC96" s="539">
        <f t="shared" si="47"/>
        <v>7.2759576141834259E-12</v>
      </c>
      <c r="DD96" s="539">
        <f t="shared" si="47"/>
        <v>7.2759576141834259E-12</v>
      </c>
      <c r="DE96" s="539">
        <f t="shared" si="47"/>
        <v>7.2759576141834259E-12</v>
      </c>
      <c r="DF96" s="539">
        <f t="shared" si="47"/>
        <v>7.2759576141834259E-12</v>
      </c>
      <c r="DG96" s="539">
        <f t="shared" si="47"/>
        <v>7.2759576141834259E-12</v>
      </c>
      <c r="DH96" s="539">
        <f t="shared" si="47"/>
        <v>7.2759576141834259E-12</v>
      </c>
      <c r="DI96" s="539">
        <f t="shared" si="47"/>
        <v>7.2759576141834259E-12</v>
      </c>
      <c r="DJ96" s="539">
        <f t="shared" si="47"/>
        <v>7.2759576141834259E-12</v>
      </c>
      <c r="DK96" s="539">
        <f t="shared" si="47"/>
        <v>7.2759576141834259E-12</v>
      </c>
      <c r="DL96" s="539">
        <f t="shared" si="47"/>
        <v>7.2759576141834259E-12</v>
      </c>
      <c r="DM96" s="539">
        <f t="shared" si="47"/>
        <v>7.2759576141834259E-12</v>
      </c>
      <c r="DN96" s="539">
        <f t="shared" si="47"/>
        <v>7.2759576141834259E-12</v>
      </c>
      <c r="DO96" s="539">
        <f t="shared" si="47"/>
        <v>7.2759576141834259E-12</v>
      </c>
      <c r="DP96" s="539">
        <f t="shared" si="47"/>
        <v>7.2759576141834259E-12</v>
      </c>
      <c r="DQ96" s="539">
        <f t="shared" si="47"/>
        <v>7.2759576141834259E-12</v>
      </c>
      <c r="DR96" s="539">
        <f t="shared" si="47"/>
        <v>7.2759576141834259E-12</v>
      </c>
      <c r="DS96" s="539">
        <f t="shared" si="47"/>
        <v>7.2759576141834259E-12</v>
      </c>
      <c r="DT96" s="539">
        <f t="shared" si="47"/>
        <v>7.2759576141834259E-12</v>
      </c>
      <c r="DU96" s="539">
        <f t="shared" si="47"/>
        <v>7.2759576141834259E-12</v>
      </c>
      <c r="DV96" s="539">
        <f t="shared" si="47"/>
        <v>7.2759576141834259E-12</v>
      </c>
      <c r="DW96" s="539">
        <f t="shared" si="47"/>
        <v>7.2759576141834259E-12</v>
      </c>
      <c r="DX96" s="539">
        <f t="shared" si="47"/>
        <v>7.2759576141834259E-12</v>
      </c>
      <c r="DY96" s="539">
        <f t="shared" si="47"/>
        <v>7.2759576141834259E-12</v>
      </c>
      <c r="DZ96" s="539">
        <f t="shared" si="47"/>
        <v>7.2759576141834259E-12</v>
      </c>
      <c r="EA96" s="539">
        <f t="shared" si="47"/>
        <v>7.2759576141834259E-12</v>
      </c>
      <c r="EB96" s="539">
        <f t="shared" si="47"/>
        <v>7.2759576141834259E-12</v>
      </c>
      <c r="EC96" s="539">
        <f t="shared" si="47"/>
        <v>7.2759576141834259E-12</v>
      </c>
      <c r="ED96" s="539">
        <f t="shared" si="47"/>
        <v>0</v>
      </c>
      <c r="EE96" s="539">
        <f t="shared" si="47"/>
        <v>0</v>
      </c>
      <c r="EF96" s="539">
        <f t="shared" si="47"/>
        <v>0</v>
      </c>
      <c r="EG96" s="539">
        <f t="shared" si="47"/>
        <v>0</v>
      </c>
    </row>
    <row r="97" spans="5:137" ht="12.75">
      <c r="E97" s="538" t="str">
        <f>E$91</f>
        <v>Tax losses - lapsed at operations end</v>
      </c>
      <c r="G97" s="539" t="str">
        <f>G$91</f>
        <v>EUR 000s</v>
      </c>
      <c r="H97" s="539">
        <f>H$91</f>
        <v>-7.2759576141834259E-12</v>
      </c>
      <c r="J97" s="539">
        <f t="shared" si="48" ref="J97:EG97">J$91</f>
        <v>0</v>
      </c>
      <c r="K97" s="539">
        <f t="shared" si="48"/>
        <v>0</v>
      </c>
      <c r="L97" s="539">
        <f t="shared" si="48"/>
        <v>0</v>
      </c>
      <c r="M97" s="539">
        <f t="shared" si="48"/>
        <v>0</v>
      </c>
      <c r="N97" s="539">
        <f t="shared" si="48"/>
        <v>0</v>
      </c>
      <c r="O97" s="539">
        <f t="shared" si="48"/>
        <v>0</v>
      </c>
      <c r="P97" s="539">
        <f t="shared" si="48"/>
        <v>0</v>
      </c>
      <c r="Q97" s="539">
        <f t="shared" si="48"/>
        <v>0</v>
      </c>
      <c r="R97" s="539">
        <f t="shared" si="48"/>
        <v>0</v>
      </c>
      <c r="S97" s="539">
        <f t="shared" si="48"/>
        <v>0</v>
      </c>
      <c r="T97" s="539">
        <f t="shared" si="48"/>
        <v>0</v>
      </c>
      <c r="U97" s="539">
        <f t="shared" si="48"/>
        <v>0</v>
      </c>
      <c r="V97" s="539">
        <f t="shared" si="48"/>
        <v>0</v>
      </c>
      <c r="W97" s="539">
        <f t="shared" si="48"/>
        <v>0</v>
      </c>
      <c r="X97" s="539">
        <f t="shared" si="48"/>
        <v>0</v>
      </c>
      <c r="Y97" s="539">
        <f t="shared" si="48"/>
        <v>0</v>
      </c>
      <c r="Z97" s="539">
        <f t="shared" si="48"/>
        <v>0</v>
      </c>
      <c r="AA97" s="539">
        <f t="shared" si="48"/>
        <v>0</v>
      </c>
      <c r="AB97" s="539">
        <f t="shared" si="48"/>
        <v>0</v>
      </c>
      <c r="AC97" s="539">
        <f t="shared" si="48"/>
        <v>0</v>
      </c>
      <c r="AD97" s="539">
        <f t="shared" si="48"/>
        <v>0</v>
      </c>
      <c r="AE97" s="539">
        <f t="shared" si="48"/>
        <v>0</v>
      </c>
      <c r="AF97" s="539">
        <f t="shared" si="48"/>
        <v>0</v>
      </c>
      <c r="AG97" s="539">
        <f t="shared" si="48"/>
        <v>0</v>
      </c>
      <c r="AH97" s="539">
        <f t="shared" si="48"/>
        <v>0</v>
      </c>
      <c r="AI97" s="539">
        <f t="shared" si="48"/>
        <v>0</v>
      </c>
      <c r="AJ97" s="539">
        <f t="shared" si="48"/>
        <v>0</v>
      </c>
      <c r="AK97" s="539">
        <f t="shared" si="48"/>
        <v>0</v>
      </c>
      <c r="AL97" s="539">
        <f t="shared" si="48"/>
        <v>0</v>
      </c>
      <c r="AM97" s="539">
        <f t="shared" si="48"/>
        <v>0</v>
      </c>
      <c r="AN97" s="539">
        <f t="shared" si="48"/>
        <v>0</v>
      </c>
      <c r="AO97" s="539">
        <f t="shared" si="48"/>
        <v>0</v>
      </c>
      <c r="AP97" s="539">
        <f t="shared" si="48"/>
        <v>0</v>
      </c>
      <c r="AQ97" s="539">
        <f t="shared" si="48"/>
        <v>0</v>
      </c>
      <c r="AR97" s="539">
        <f t="shared" si="48"/>
        <v>0</v>
      </c>
      <c r="AS97" s="539">
        <f t="shared" si="48"/>
        <v>0</v>
      </c>
      <c r="AT97" s="539">
        <f t="shared" si="48"/>
        <v>0</v>
      </c>
      <c r="AU97" s="539">
        <f t="shared" si="48"/>
        <v>0</v>
      </c>
      <c r="AV97" s="539">
        <f t="shared" si="48"/>
        <v>0</v>
      </c>
      <c r="AW97" s="539">
        <f t="shared" si="48"/>
        <v>0</v>
      </c>
      <c r="AX97" s="539">
        <f t="shared" si="48"/>
        <v>0</v>
      </c>
      <c r="AY97" s="539">
        <f t="shared" si="48"/>
        <v>0</v>
      </c>
      <c r="AZ97" s="539">
        <f t="shared" si="48"/>
        <v>0</v>
      </c>
      <c r="BA97" s="539">
        <f t="shared" si="48"/>
        <v>0</v>
      </c>
      <c r="BB97" s="539">
        <f t="shared" si="48"/>
        <v>0</v>
      </c>
      <c r="BC97" s="539">
        <f t="shared" si="48"/>
        <v>0</v>
      </c>
      <c r="BD97" s="539">
        <f t="shared" si="48"/>
        <v>0</v>
      </c>
      <c r="BE97" s="539">
        <f t="shared" si="48"/>
        <v>0</v>
      </c>
      <c r="BF97" s="539">
        <f t="shared" si="48"/>
        <v>0</v>
      </c>
      <c r="BG97" s="539">
        <f t="shared" si="48"/>
        <v>0</v>
      </c>
      <c r="BH97" s="539">
        <f t="shared" si="48"/>
        <v>0</v>
      </c>
      <c r="BI97" s="539">
        <f t="shared" si="48"/>
        <v>0</v>
      </c>
      <c r="BJ97" s="539">
        <f t="shared" si="48"/>
        <v>0</v>
      </c>
      <c r="BK97" s="539">
        <f t="shared" si="48"/>
        <v>0</v>
      </c>
      <c r="BL97" s="539">
        <f t="shared" si="48"/>
        <v>0</v>
      </c>
      <c r="BM97" s="539">
        <f t="shared" si="48"/>
        <v>0</v>
      </c>
      <c r="BN97" s="539">
        <f t="shared" si="48"/>
        <v>0</v>
      </c>
      <c r="BO97" s="539">
        <f t="shared" si="48"/>
        <v>0</v>
      </c>
      <c r="BP97" s="539">
        <f t="shared" si="48"/>
        <v>0</v>
      </c>
      <c r="BQ97" s="539">
        <f t="shared" si="48"/>
        <v>0</v>
      </c>
      <c r="BR97" s="539">
        <f t="shared" si="48"/>
        <v>0</v>
      </c>
      <c r="BS97" s="539">
        <f t="shared" si="48"/>
        <v>0</v>
      </c>
      <c r="BT97" s="539">
        <f t="shared" si="48"/>
        <v>0</v>
      </c>
      <c r="BU97" s="539">
        <f t="shared" si="48"/>
        <v>0</v>
      </c>
      <c r="BV97" s="539">
        <f t="shared" si="48"/>
        <v>0</v>
      </c>
      <c r="BW97" s="539">
        <f t="shared" si="48"/>
        <v>0</v>
      </c>
      <c r="BX97" s="539">
        <f t="shared" si="48"/>
        <v>0</v>
      </c>
      <c r="BY97" s="539">
        <f t="shared" si="48"/>
        <v>0</v>
      </c>
      <c r="BZ97" s="539">
        <f t="shared" si="48"/>
        <v>0</v>
      </c>
      <c r="CA97" s="539">
        <f t="shared" si="48"/>
        <v>0</v>
      </c>
      <c r="CB97" s="539">
        <f t="shared" si="48"/>
        <v>0</v>
      </c>
      <c r="CC97" s="539">
        <f t="shared" si="48"/>
        <v>0</v>
      </c>
      <c r="CD97" s="539">
        <f t="shared" si="48"/>
        <v>0</v>
      </c>
      <c r="CE97" s="539">
        <f t="shared" si="48"/>
        <v>0</v>
      </c>
      <c r="CF97" s="539">
        <f t="shared" si="48"/>
        <v>0</v>
      </c>
      <c r="CG97" s="539">
        <f t="shared" si="48"/>
        <v>0</v>
      </c>
      <c r="CH97" s="539">
        <f t="shared" si="48"/>
        <v>0</v>
      </c>
      <c r="CI97" s="539">
        <f t="shared" si="48"/>
        <v>0</v>
      </c>
      <c r="CJ97" s="539">
        <f t="shared" si="48"/>
        <v>0</v>
      </c>
      <c r="CK97" s="539">
        <f t="shared" si="48"/>
        <v>0</v>
      </c>
      <c r="CL97" s="539">
        <f t="shared" si="48"/>
        <v>0</v>
      </c>
      <c r="CM97" s="539">
        <f t="shared" si="48"/>
        <v>0</v>
      </c>
      <c r="CN97" s="539">
        <f t="shared" si="48"/>
        <v>0</v>
      </c>
      <c r="CO97" s="539">
        <f t="shared" si="48"/>
        <v>0</v>
      </c>
      <c r="CP97" s="539">
        <f t="shared" si="48"/>
        <v>0</v>
      </c>
      <c r="CQ97" s="539">
        <f t="shared" si="48"/>
        <v>0</v>
      </c>
      <c r="CR97" s="539">
        <f t="shared" si="48"/>
        <v>0</v>
      </c>
      <c r="CS97" s="539">
        <f t="shared" si="48"/>
        <v>0</v>
      </c>
      <c r="CT97" s="539">
        <f t="shared" si="48"/>
        <v>0</v>
      </c>
      <c r="CU97" s="539">
        <f t="shared" si="48"/>
        <v>0</v>
      </c>
      <c r="CV97" s="539">
        <f t="shared" si="48"/>
        <v>0</v>
      </c>
      <c r="CW97" s="539">
        <f t="shared" si="48"/>
        <v>0</v>
      </c>
      <c r="CX97" s="539">
        <f t="shared" si="48"/>
        <v>0</v>
      </c>
      <c r="CY97" s="539">
        <f t="shared" si="48"/>
        <v>0</v>
      </c>
      <c r="CZ97" s="539">
        <f t="shared" si="48"/>
        <v>0</v>
      </c>
      <c r="DA97" s="539">
        <f t="shared" si="48"/>
        <v>0</v>
      </c>
      <c r="DB97" s="539">
        <f t="shared" si="48"/>
        <v>0</v>
      </c>
      <c r="DC97" s="539">
        <f t="shared" si="48"/>
        <v>0</v>
      </c>
      <c r="DD97" s="539">
        <f t="shared" si="48"/>
        <v>0</v>
      </c>
      <c r="DE97" s="539">
        <f t="shared" si="48"/>
        <v>0</v>
      </c>
      <c r="DF97" s="539">
        <f t="shared" si="48"/>
        <v>0</v>
      </c>
      <c r="DG97" s="539">
        <f t="shared" si="48"/>
        <v>0</v>
      </c>
      <c r="DH97" s="539">
        <f t="shared" si="48"/>
        <v>0</v>
      </c>
      <c r="DI97" s="539">
        <f t="shared" si="48"/>
        <v>0</v>
      </c>
      <c r="DJ97" s="539">
        <f t="shared" si="48"/>
        <v>0</v>
      </c>
      <c r="DK97" s="539">
        <f t="shared" si="48"/>
        <v>0</v>
      </c>
      <c r="DL97" s="539">
        <f t="shared" si="48"/>
        <v>0</v>
      </c>
      <c r="DM97" s="539">
        <f t="shared" si="48"/>
        <v>0</v>
      </c>
      <c r="DN97" s="539">
        <f t="shared" si="48"/>
        <v>0</v>
      </c>
      <c r="DO97" s="539">
        <f t="shared" si="48"/>
        <v>0</v>
      </c>
      <c r="DP97" s="539">
        <f t="shared" si="48"/>
        <v>0</v>
      </c>
      <c r="DQ97" s="539">
        <f t="shared" si="48"/>
        <v>0</v>
      </c>
      <c r="DR97" s="539">
        <f t="shared" si="48"/>
        <v>0</v>
      </c>
      <c r="DS97" s="539">
        <f t="shared" si="48"/>
        <v>0</v>
      </c>
      <c r="DT97" s="539">
        <f t="shared" si="48"/>
        <v>0</v>
      </c>
      <c r="DU97" s="539">
        <f t="shared" si="48"/>
        <v>0</v>
      </c>
      <c r="DV97" s="539">
        <f t="shared" si="48"/>
        <v>0</v>
      </c>
      <c r="DW97" s="539">
        <f t="shared" si="48"/>
        <v>0</v>
      </c>
      <c r="DX97" s="539">
        <f t="shared" si="48"/>
        <v>0</v>
      </c>
      <c r="DY97" s="539">
        <f t="shared" si="48"/>
        <v>0</v>
      </c>
      <c r="DZ97" s="539">
        <f t="shared" si="48"/>
        <v>0</v>
      </c>
      <c r="EA97" s="539">
        <f t="shared" si="48"/>
        <v>0</v>
      </c>
      <c r="EB97" s="539">
        <f t="shared" si="48"/>
        <v>0</v>
      </c>
      <c r="EC97" s="539">
        <f t="shared" si="48"/>
        <v>-7.2759576141834259E-12</v>
      </c>
      <c r="ED97" s="539">
        <f t="shared" si="48"/>
        <v>0</v>
      </c>
      <c r="EE97" s="539">
        <f t="shared" si="48"/>
        <v>0</v>
      </c>
      <c r="EF97" s="539">
        <f t="shared" si="48"/>
        <v>0</v>
      </c>
      <c r="EG97" s="539">
        <f t="shared" si="48"/>
        <v>0</v>
      </c>
    </row>
    <row r="98" spans="5:137" ht="12.75">
      <c r="E98" s="538" t="s">
        <v>450</v>
      </c>
      <c r="G98" s="539" t="s">
        <v>30</v>
      </c>
      <c r="H98" s="539">
        <f>SUM(J98:EG98)</f>
        <v>1331931.5675670947</v>
      </c>
      <c r="J98" s="539">
        <f t="shared" si="49" ref="J98:EG98">J93+J94-J95-J96-J97</f>
        <v>0</v>
      </c>
      <c r="K98" s="539">
        <f t="shared" si="49"/>
        <v>0</v>
      </c>
      <c r="L98" s="539">
        <f t="shared" si="49"/>
        <v>0</v>
      </c>
      <c r="M98" s="539">
        <f t="shared" si="49"/>
        <v>0</v>
      </c>
      <c r="N98" s="539">
        <f t="shared" si="49"/>
        <v>0</v>
      </c>
      <c r="O98" s="539">
        <f t="shared" si="49"/>
        <v>0</v>
      </c>
      <c r="P98" s="539">
        <f t="shared" si="49"/>
        <v>0</v>
      </c>
      <c r="Q98" s="539">
        <f t="shared" si="49"/>
        <v>0</v>
      </c>
      <c r="R98" s="539">
        <f t="shared" si="49"/>
        <v>0</v>
      </c>
      <c r="S98" s="539">
        <f t="shared" si="49"/>
        <v>0</v>
      </c>
      <c r="T98" s="539">
        <f t="shared" si="49"/>
        <v>0</v>
      </c>
      <c r="U98" s="539">
        <f t="shared" si="49"/>
        <v>0</v>
      </c>
      <c r="V98" s="539">
        <f t="shared" si="49"/>
        <v>0</v>
      </c>
      <c r="W98" s="539">
        <f t="shared" si="49"/>
        <v>0</v>
      </c>
      <c r="X98" s="539">
        <f t="shared" si="49"/>
        <v>0</v>
      </c>
      <c r="Y98" s="539">
        <f t="shared" si="49"/>
        <v>0</v>
      </c>
      <c r="Z98" s="539">
        <f t="shared" si="49"/>
        <v>0</v>
      </c>
      <c r="AA98" s="539">
        <f t="shared" si="49"/>
        <v>0</v>
      </c>
      <c r="AB98" s="539">
        <f t="shared" si="49"/>
        <v>0</v>
      </c>
      <c r="AC98" s="539">
        <f t="shared" si="49"/>
        <v>0</v>
      </c>
      <c r="AD98" s="539">
        <f t="shared" si="49"/>
        <v>0</v>
      </c>
      <c r="AE98" s="539">
        <f t="shared" si="49"/>
        <v>0</v>
      </c>
      <c r="AF98" s="539">
        <f t="shared" si="49"/>
        <v>0</v>
      </c>
      <c r="AG98" s="539">
        <f t="shared" si="49"/>
        <v>0</v>
      </c>
      <c r="AH98" s="539">
        <f t="shared" si="49"/>
        <v>6822.7318437499998</v>
      </c>
      <c r="AI98" s="539">
        <f t="shared" si="49"/>
        <v>13055.069875000001</v>
      </c>
      <c r="AJ98" s="539">
        <f t="shared" si="49"/>
        <v>18723.5818153125</v>
      </c>
      <c r="AK98" s="539">
        <f t="shared" si="49"/>
        <v>23853.639838779687</v>
      </c>
      <c r="AL98" s="539">
        <f t="shared" si="49"/>
        <v>28358.857082753351</v>
      </c>
      <c r="AM98" s="539">
        <f t="shared" si="49"/>
        <v>32372.990893216171</v>
      </c>
      <c r="AN98" s="539">
        <f t="shared" si="49"/>
        <v>35918.140024676133</v>
      </c>
      <c r="AO98" s="539">
        <f t="shared" si="49"/>
        <v>39015.408787688364</v>
      </c>
      <c r="AP98" s="539">
        <f t="shared" si="49"/>
        <v>41572.516711629105</v>
      </c>
      <c r="AQ98" s="539">
        <f t="shared" si="49"/>
        <v>43721.146542536306</v>
      </c>
      <c r="AR98" s="539">
        <f t="shared" si="49"/>
        <v>45479.679794596479</v>
      </c>
      <c r="AS98" s="539">
        <f t="shared" si="49"/>
        <v>46865.670813857738</v>
      </c>
      <c r="AT98" s="539">
        <f t="shared" si="49"/>
        <v>47781.606015446778</v>
      </c>
      <c r="AU98" s="539">
        <f t="shared" si="49"/>
        <v>48357.773387167384</v>
      </c>
      <c r="AV98" s="539">
        <f t="shared" si="49"/>
        <v>48609.46248136364</v>
      </c>
      <c r="AW98" s="539">
        <f t="shared" si="49"/>
        <v>48568.731118775991</v>
      </c>
      <c r="AX98" s="539">
        <f t="shared" si="49"/>
        <v>49316.143083837531</v>
      </c>
      <c r="AY98" s="539">
        <f t="shared" si="49"/>
        <v>49780.939701387586</v>
      </c>
      <c r="AZ98" s="539">
        <f t="shared" si="49"/>
        <v>49975.838662064169</v>
      </c>
      <c r="BA98" s="539">
        <f t="shared" si="49"/>
        <v>49931.841350917864</v>
      </c>
      <c r="BB98" s="539">
        <f t="shared" si="49"/>
        <v>48780.534136530303</v>
      </c>
      <c r="BC98" s="539">
        <f t="shared" si="49"/>
        <v>47464.67336721679</v>
      </c>
      <c r="BD98" s="539">
        <f t="shared" si="49"/>
        <v>45991.663952948991</v>
      </c>
      <c r="BE98" s="539">
        <f t="shared" si="49"/>
        <v>44368.577582749851</v>
      </c>
      <c r="BF98" s="539">
        <f t="shared" si="49"/>
        <v>42518.196393095648</v>
      </c>
      <c r="BG98" s="539">
        <f t="shared" si="49"/>
        <v>40530.941267708164</v>
      </c>
      <c r="BH98" s="539">
        <f t="shared" si="49"/>
        <v>38412.971533695396</v>
      </c>
      <c r="BI98" s="539">
        <f t="shared" si="49"/>
        <v>36170.169348445481</v>
      </c>
      <c r="BJ98" s="539">
        <f t="shared" si="49"/>
        <v>33722.819327355966</v>
      </c>
      <c r="BK98" s="539">
        <f t="shared" si="49"/>
        <v>31161.618989926897</v>
      </c>
      <c r="BL98" s="539">
        <f t="shared" si="49"/>
        <v>28491.691600393548</v>
      </c>
      <c r="BM98" s="539">
        <f t="shared" si="49"/>
        <v>25717.929876100614</v>
      </c>
      <c r="BN98" s="539">
        <f t="shared" si="49"/>
        <v>22758.293846120003</v>
      </c>
      <c r="BO98" s="539">
        <f t="shared" si="49"/>
        <v>19703.958306980279</v>
      </c>
      <c r="BP98" s="539">
        <f t="shared" si="49"/>
        <v>16559.184736593605</v>
      </c>
      <c r="BQ98" s="539">
        <f t="shared" si="49"/>
        <v>13328.042846366094</v>
      </c>
      <c r="BR98" s="539">
        <f t="shared" si="49"/>
        <v>10890.692462166768</v>
      </c>
      <c r="BS98" s="539">
        <f t="shared" si="49"/>
        <v>8374.5720110645998</v>
      </c>
      <c r="BT98" s="539">
        <f t="shared" si="49"/>
        <v>5783.2261460702202</v>
      </c>
      <c r="BU98" s="539">
        <f t="shared" si="49"/>
        <v>3120.0400108087779</v>
      </c>
      <c r="BV98" s="539">
        <f t="shared" si="49"/>
        <v>0</v>
      </c>
      <c r="BW98" s="539">
        <f t="shared" si="49"/>
        <v>0</v>
      </c>
      <c r="BX98" s="539">
        <f t="shared" si="49"/>
        <v>0</v>
      </c>
      <c r="BY98" s="539">
        <f t="shared" si="49"/>
        <v>0</v>
      </c>
      <c r="BZ98" s="539">
        <f t="shared" si="49"/>
        <v>0</v>
      </c>
      <c r="CA98" s="539">
        <f t="shared" si="49"/>
        <v>0</v>
      </c>
      <c r="CB98" s="539">
        <f t="shared" si="49"/>
        <v>0</v>
      </c>
      <c r="CC98" s="539">
        <f t="shared" si="49"/>
        <v>0</v>
      </c>
      <c r="CD98" s="539">
        <f t="shared" si="49"/>
        <v>0</v>
      </c>
      <c r="CE98" s="539">
        <f t="shared" si="49"/>
        <v>0</v>
      </c>
      <c r="CF98" s="539">
        <f t="shared" si="49"/>
        <v>-7.2759576141834259E-12</v>
      </c>
      <c r="CG98" s="539">
        <f t="shared" si="49"/>
        <v>-7.2759576141834259E-12</v>
      </c>
      <c r="CH98" s="539">
        <f t="shared" si="49"/>
        <v>-7.2759576141834259E-12</v>
      </c>
      <c r="CI98" s="539">
        <f t="shared" si="49"/>
        <v>-7.2759576141834259E-12</v>
      </c>
      <c r="CJ98" s="539">
        <f t="shared" si="49"/>
        <v>-7.2759576141834259E-12</v>
      </c>
      <c r="CK98" s="539">
        <f t="shared" si="49"/>
        <v>-7.2759576141834259E-12</v>
      </c>
      <c r="CL98" s="539">
        <f t="shared" si="49"/>
        <v>-7.2759576141834259E-12</v>
      </c>
      <c r="CM98" s="539">
        <f t="shared" si="49"/>
        <v>-7.2759576141834259E-12</v>
      </c>
      <c r="CN98" s="539">
        <f t="shared" si="49"/>
        <v>-7.2759576141834259E-12</v>
      </c>
      <c r="CO98" s="539">
        <f t="shared" si="49"/>
        <v>-7.2759576141834259E-12</v>
      </c>
      <c r="CP98" s="539">
        <f t="shared" si="49"/>
        <v>-7.2759576141834259E-12</v>
      </c>
      <c r="CQ98" s="539">
        <f t="shared" si="49"/>
        <v>-7.2759576141834259E-12</v>
      </c>
      <c r="CR98" s="539">
        <f t="shared" si="49"/>
        <v>-7.2759576141834259E-12</v>
      </c>
      <c r="CS98" s="539">
        <f t="shared" si="49"/>
        <v>-7.2759576141834259E-12</v>
      </c>
      <c r="CT98" s="539">
        <f t="shared" si="49"/>
        <v>-7.2759576141834259E-12</v>
      </c>
      <c r="CU98" s="539">
        <f t="shared" si="49"/>
        <v>-7.2759576141834259E-12</v>
      </c>
      <c r="CV98" s="539">
        <f t="shared" si="49"/>
        <v>-7.2759576141834259E-12</v>
      </c>
      <c r="CW98" s="539">
        <f t="shared" si="49"/>
        <v>-7.2759576141834259E-12</v>
      </c>
      <c r="CX98" s="539">
        <f t="shared" si="49"/>
        <v>-7.2759576141834259E-12</v>
      </c>
      <c r="CY98" s="539">
        <f t="shared" si="49"/>
        <v>-7.2759576141834259E-12</v>
      </c>
      <c r="CZ98" s="539">
        <f t="shared" si="49"/>
        <v>-7.2759576141834259E-12</v>
      </c>
      <c r="DA98" s="539">
        <f t="shared" si="49"/>
        <v>-7.2759576141834259E-12</v>
      </c>
      <c r="DB98" s="539">
        <f t="shared" si="49"/>
        <v>-7.2759576141834259E-12</v>
      </c>
      <c r="DC98" s="539">
        <f t="shared" si="49"/>
        <v>-7.2759576141834259E-12</v>
      </c>
      <c r="DD98" s="539">
        <f t="shared" si="49"/>
        <v>-7.2759576141834259E-12</v>
      </c>
      <c r="DE98" s="539">
        <f t="shared" si="49"/>
        <v>-7.2759576141834259E-12</v>
      </c>
      <c r="DF98" s="539">
        <f t="shared" si="49"/>
        <v>-7.2759576141834259E-12</v>
      </c>
      <c r="DG98" s="539">
        <f t="shared" si="49"/>
        <v>-7.2759576141834259E-12</v>
      </c>
      <c r="DH98" s="539">
        <f t="shared" si="49"/>
        <v>-7.2759576141834259E-12</v>
      </c>
      <c r="DI98" s="539">
        <f t="shared" si="49"/>
        <v>-7.2759576141834259E-12</v>
      </c>
      <c r="DJ98" s="539">
        <f t="shared" si="49"/>
        <v>-7.2759576141834259E-12</v>
      </c>
      <c r="DK98" s="539">
        <f t="shared" si="49"/>
        <v>-7.2759576141834259E-12</v>
      </c>
      <c r="DL98" s="539">
        <f t="shared" si="49"/>
        <v>-7.2759576141834259E-12</v>
      </c>
      <c r="DM98" s="539">
        <f t="shared" si="49"/>
        <v>-7.2759576141834259E-12</v>
      </c>
      <c r="DN98" s="539">
        <f t="shared" si="49"/>
        <v>-7.2759576141834259E-12</v>
      </c>
      <c r="DO98" s="539">
        <f t="shared" si="49"/>
        <v>-7.2759576141834259E-12</v>
      </c>
      <c r="DP98" s="539">
        <f t="shared" si="49"/>
        <v>-7.2759576141834259E-12</v>
      </c>
      <c r="DQ98" s="539">
        <f t="shared" si="49"/>
        <v>-7.2759576141834259E-12</v>
      </c>
      <c r="DR98" s="539">
        <f t="shared" si="49"/>
        <v>-7.2759576141834259E-12</v>
      </c>
      <c r="DS98" s="539">
        <f t="shared" si="49"/>
        <v>-7.2759576141834259E-12</v>
      </c>
      <c r="DT98" s="539">
        <f t="shared" si="49"/>
        <v>-7.2759576141834259E-12</v>
      </c>
      <c r="DU98" s="539">
        <f t="shared" si="49"/>
        <v>-7.2759576141834259E-12</v>
      </c>
      <c r="DV98" s="539">
        <f t="shared" si="49"/>
        <v>-7.2759576141834259E-12</v>
      </c>
      <c r="DW98" s="539">
        <f t="shared" si="49"/>
        <v>-7.2759576141834259E-12</v>
      </c>
      <c r="DX98" s="539">
        <f t="shared" si="49"/>
        <v>-7.2759576141834259E-12</v>
      </c>
      <c r="DY98" s="539">
        <f t="shared" si="49"/>
        <v>-7.2759576141834259E-12</v>
      </c>
      <c r="DZ98" s="539">
        <f t="shared" si="49"/>
        <v>-7.2759576141834259E-12</v>
      </c>
      <c r="EA98" s="539">
        <f t="shared" si="49"/>
        <v>-7.2759576141834259E-12</v>
      </c>
      <c r="EB98" s="539">
        <f t="shared" si="49"/>
        <v>-7.2759576141834259E-12</v>
      </c>
      <c r="EC98" s="539">
        <f t="shared" si="49"/>
        <v>0</v>
      </c>
      <c r="ED98" s="539">
        <f t="shared" si="49"/>
        <v>0</v>
      </c>
      <c r="EE98" s="539">
        <f t="shared" si="49"/>
        <v>0</v>
      </c>
      <c r="EF98" s="539">
        <f t="shared" si="49"/>
        <v>0</v>
      </c>
      <c r="EG98" s="539">
        <f t="shared" si="49"/>
        <v>0</v>
      </c>
    </row>
    <row r="101" spans="1:1" ht="12.75">
      <c r="A101" s="534" t="s">
        <v>451</v>
      </c>
    </row>
    <row r="103" spans="5:137" ht="12.75">
      <c r="E103" s="538" t="str">
        <f>E$64</f>
        <v>Taxable profit - before losses</v>
      </c>
      <c r="G103" s="539" t="str">
        <f>G$64</f>
        <v>EUR 000s</v>
      </c>
      <c r="H103" s="539">
        <f>H$64</f>
        <v>630243.06034600048</v>
      </c>
      <c r="J103" s="539">
        <f t="shared" si="50" ref="J103:EG103">J$64</f>
        <v>0</v>
      </c>
      <c r="K103" s="539">
        <f t="shared" si="50"/>
        <v>0</v>
      </c>
      <c r="L103" s="539">
        <f t="shared" si="50"/>
        <v>0</v>
      </c>
      <c r="M103" s="539">
        <f t="shared" si="50"/>
        <v>0</v>
      </c>
      <c r="N103" s="539">
        <f t="shared" si="50"/>
        <v>0</v>
      </c>
      <c r="O103" s="539">
        <f t="shared" si="50"/>
        <v>0</v>
      </c>
      <c r="P103" s="539">
        <f t="shared" si="50"/>
        <v>0</v>
      </c>
      <c r="Q103" s="539">
        <f t="shared" si="50"/>
        <v>0</v>
      </c>
      <c r="R103" s="539">
        <f t="shared" si="50"/>
        <v>0</v>
      </c>
      <c r="S103" s="539">
        <f t="shared" si="50"/>
        <v>0</v>
      </c>
      <c r="T103" s="539">
        <f t="shared" si="50"/>
        <v>0</v>
      </c>
      <c r="U103" s="539">
        <f t="shared" si="50"/>
        <v>0</v>
      </c>
      <c r="V103" s="539">
        <f t="shared" si="50"/>
        <v>0</v>
      </c>
      <c r="W103" s="539">
        <f t="shared" si="50"/>
        <v>0</v>
      </c>
      <c r="X103" s="539">
        <f t="shared" si="50"/>
        <v>0</v>
      </c>
      <c r="Y103" s="539">
        <f t="shared" si="50"/>
        <v>0</v>
      </c>
      <c r="Z103" s="539">
        <f t="shared" si="50"/>
        <v>0</v>
      </c>
      <c r="AA103" s="539">
        <f t="shared" si="50"/>
        <v>0</v>
      </c>
      <c r="AB103" s="539">
        <f t="shared" si="50"/>
        <v>0</v>
      </c>
      <c r="AC103" s="539">
        <f t="shared" si="50"/>
        <v>0</v>
      </c>
      <c r="AD103" s="539">
        <f t="shared" si="50"/>
        <v>0</v>
      </c>
      <c r="AE103" s="539">
        <f t="shared" si="50"/>
        <v>0</v>
      </c>
      <c r="AF103" s="539">
        <f t="shared" si="50"/>
        <v>0</v>
      </c>
      <c r="AG103" s="539">
        <f t="shared" si="50"/>
        <v>0</v>
      </c>
      <c r="AH103" s="539">
        <f t="shared" si="50"/>
        <v>-6822.7318437499998</v>
      </c>
      <c r="AI103" s="539">
        <f t="shared" si="50"/>
        <v>-6232.3380312500012</v>
      </c>
      <c r="AJ103" s="539">
        <f t="shared" si="50"/>
        <v>-5668.5119403125009</v>
      </c>
      <c r="AK103" s="539">
        <f t="shared" si="50"/>
        <v>-5130.0580234671888</v>
      </c>
      <c r="AL103" s="539">
        <f t="shared" si="50"/>
        <v>-4505.2172439736642</v>
      </c>
      <c r="AM103" s="539">
        <f t="shared" si="50"/>
        <v>-4014.133810462818</v>
      </c>
      <c r="AN103" s="539">
        <f t="shared" si="50"/>
        <v>-3545.1491314599593</v>
      </c>
      <c r="AO103" s="539">
        <f t="shared" si="50"/>
        <v>-3097.2687630122296</v>
      </c>
      <c r="AP103" s="539">
        <f t="shared" si="50"/>
        <v>-2557.1079239407418</v>
      </c>
      <c r="AQ103" s="539">
        <f t="shared" si="50"/>
        <v>-2148.6298309072017</v>
      </c>
      <c r="AR103" s="539">
        <f t="shared" si="50"/>
        <v>-1758.5332520601705</v>
      </c>
      <c r="AS103" s="539">
        <f t="shared" si="50"/>
        <v>-1385.991019261257</v>
      </c>
      <c r="AT103" s="539">
        <f t="shared" si="50"/>
        <v>-915.93520158903948</v>
      </c>
      <c r="AU103" s="539">
        <f t="shared" si="50"/>
        <v>-576.16737172060903</v>
      </c>
      <c r="AV103" s="539">
        <f t="shared" si="50"/>
        <v>-251.68909419625788</v>
      </c>
      <c r="AW103" s="539">
        <f t="shared" si="50"/>
        <v>58.187660839498221</v>
      </c>
      <c r="AX103" s="539">
        <f t="shared" si="50"/>
        <v>-747.41196506153801</v>
      </c>
      <c r="AY103" s="539">
        <f t="shared" si="50"/>
        <v>-464.79661755005282</v>
      </c>
      <c r="AZ103" s="539">
        <f t="shared" si="50"/>
        <v>-194.89896067658492</v>
      </c>
      <c r="BA103" s="539">
        <f t="shared" si="50"/>
        <v>62.853301637576351</v>
      </c>
      <c r="BB103" s="539">
        <f t="shared" si="50"/>
        <v>1644.7245919822326</v>
      </c>
      <c r="BC103" s="539">
        <f t="shared" si="50"/>
        <v>1879.8010990193061</v>
      </c>
      <c r="BD103" s="539">
        <f t="shared" si="50"/>
        <v>2104.2991632397107</v>
      </c>
      <c r="BE103" s="539">
        <f t="shared" si="50"/>
        <v>2318.6948145701981</v>
      </c>
      <c r="BF103" s="539">
        <f t="shared" si="50"/>
        <v>2643.4016995060028</v>
      </c>
      <c r="BG103" s="539">
        <f t="shared" si="50"/>
        <v>2838.9358934106904</v>
      </c>
      <c r="BH103" s="539">
        <f t="shared" si="50"/>
        <v>3025.6710485896665</v>
      </c>
      <c r="BI103" s="539">
        <f t="shared" si="50"/>
        <v>3204.0031217855894</v>
      </c>
      <c r="BJ103" s="539">
        <f t="shared" si="50"/>
        <v>3496.2143158421604</v>
      </c>
      <c r="BK103" s="539">
        <f t="shared" si="50"/>
        <v>3658.8576248986719</v>
      </c>
      <c r="BL103" s="539">
        <f t="shared" si="50"/>
        <v>3814.1819850476404</v>
      </c>
      <c r="BM103" s="539">
        <f t="shared" si="50"/>
        <v>3962.516748989905</v>
      </c>
      <c r="BN103" s="539">
        <f t="shared" si="50"/>
        <v>4228.051471400875</v>
      </c>
      <c r="BO103" s="539">
        <f t="shared" si="50"/>
        <v>4363.3364844853195</v>
      </c>
      <c r="BP103" s="539">
        <f t="shared" si="50"/>
        <v>4492.5336719809638</v>
      </c>
      <c r="BQ103" s="539">
        <f t="shared" si="50"/>
        <v>4615.9169860393031</v>
      </c>
      <c r="BR103" s="539">
        <f t="shared" si="50"/>
        <v>3481.929120284753</v>
      </c>
      <c r="BS103" s="539">
        <f t="shared" si="50"/>
        <v>3594.4577872888108</v>
      </c>
      <c r="BT103" s="539">
        <f t="shared" si="50"/>
        <v>3701.9226642776853</v>
      </c>
      <c r="BU103" s="539">
        <f t="shared" si="50"/>
        <v>3804.5516218020607</v>
      </c>
      <c r="BV103" s="539">
        <f t="shared" si="50"/>
        <v>5408.1485807513845</v>
      </c>
      <c r="BW103" s="539">
        <f t="shared" si="50"/>
        <v>5501.7487557375525</v>
      </c>
      <c r="BX103" s="539">
        <f t="shared" si="50"/>
        <v>5591.1369228493431</v>
      </c>
      <c r="BY103" s="539">
        <f t="shared" si="50"/>
        <v>5676.502622441104</v>
      </c>
      <c r="BZ103" s="539">
        <f t="shared" si="50"/>
        <v>5887.9717796858495</v>
      </c>
      <c r="CA103" s="539">
        <f t="shared" si="50"/>
        <v>5965.8274318560234</v>
      </c>
      <c r="CB103" s="539">
        <f t="shared" si="50"/>
        <v>6318.8300864610655</v>
      </c>
      <c r="CC103" s="539">
        <f t="shared" si="50"/>
        <v>7751.8093048324836</v>
      </c>
      <c r="CD103" s="539">
        <f t="shared" si="50"/>
        <v>8099.0649231005473</v>
      </c>
      <c r="CE103" s="539">
        <f t="shared" si="50"/>
        <v>8192.370917161219</v>
      </c>
      <c r="CF103" s="539">
        <f t="shared" si="50"/>
        <v>8284.6759844670305</v>
      </c>
      <c r="CG103" s="539">
        <f t="shared" si="50"/>
        <v>8391.022979829173</v>
      </c>
      <c r="CH103" s="539">
        <f t="shared" si="50"/>
        <v>8716.6110764479017</v>
      </c>
      <c r="CI103" s="539">
        <f t="shared" si="50"/>
        <v>8803.848631038858</v>
      </c>
      <c r="CJ103" s="539">
        <f t="shared" si="50"/>
        <v>8890.7190596444616</v>
      </c>
      <c r="CK103" s="539">
        <f t="shared" si="50"/>
        <v>8990.1045536171096</v>
      </c>
      <c r="CL103" s="539">
        <f t="shared" si="50"/>
        <v>7081.1731932007333</v>
      </c>
      <c r="CM103" s="539">
        <f t="shared" si="50"/>
        <v>7168.467703674296</v>
      </c>
      <c r="CN103" s="539">
        <f t="shared" si="50"/>
        <v>7256.0864129414431</v>
      </c>
      <c r="CO103" s="539">
        <f t="shared" si="50"/>
        <v>7354.4919558763195</v>
      </c>
      <c r="CP103" s="539">
        <f t="shared" si="50"/>
        <v>9886.341845235178</v>
      </c>
      <c r="CQ103" s="539">
        <f t="shared" si="50"/>
        <v>9978.4832843096665</v>
      </c>
      <c r="CR103" s="539">
        <f t="shared" si="50"/>
        <v>10060.729242655556</v>
      </c>
      <c r="CS103" s="539">
        <f t="shared" si="50"/>
        <v>10151.812470357134</v>
      </c>
      <c r="CT103" s="539">
        <f t="shared" si="50"/>
        <v>10458.431480132196</v>
      </c>
      <c r="CU103" s="539">
        <f t="shared" si="50"/>
        <v>10539.809433958937</v>
      </c>
      <c r="CV103" s="539">
        <f t="shared" si="50"/>
        <v>10622.326237680485</v>
      </c>
      <c r="CW103" s="539">
        <f t="shared" si="50"/>
        <v>10711.36601050882</v>
      </c>
      <c r="CX103" s="539">
        <f t="shared" si="50"/>
        <v>11014.167476496035</v>
      </c>
      <c r="CY103" s="539">
        <f t="shared" si="50"/>
        <v>11096.643921714494</v>
      </c>
      <c r="CZ103" s="539">
        <f t="shared" si="50"/>
        <v>11180.664711958845</v>
      </c>
      <c r="DA103" s="539">
        <f t="shared" si="50"/>
        <v>11268.858521640252</v>
      </c>
      <c r="DB103" s="539">
        <f t="shared" si="50"/>
        <v>11791.004042824419</v>
      </c>
      <c r="DC103" s="539">
        <f t="shared" si="50"/>
        <v>11812.451931724356</v>
      </c>
      <c r="DD103" s="539">
        <f t="shared" si="50"/>
        <v>11832.934665623796</v>
      </c>
      <c r="DE103" s="539">
        <f t="shared" si="50"/>
        <v>11852.495676497761</v>
      </c>
      <c r="DF103" s="539">
        <f t="shared" si="50"/>
        <v>9562.2359841463476</v>
      </c>
      <c r="DG103" s="539">
        <f t="shared" si="50"/>
        <v>9580.0761150886756</v>
      </c>
      <c r="DH103" s="539">
        <f t="shared" si="50"/>
        <v>9597.1134401385989</v>
      </c>
      <c r="DI103" s="539">
        <f t="shared" si="50"/>
        <v>9613.3840855612743</v>
      </c>
      <c r="DJ103" s="539">
        <f t="shared" si="50"/>
        <v>12362.00040861106</v>
      </c>
      <c r="DK103" s="539">
        <f t="shared" si="50"/>
        <v>12376.839644002675</v>
      </c>
      <c r="DL103" s="539">
        <f t="shared" si="50"/>
        <v>12391.011113801669</v>
      </c>
      <c r="DM103" s="539">
        <f t="shared" si="50"/>
        <v>12404.544867459708</v>
      </c>
      <c r="DN103" s="539">
        <f t="shared" si="50"/>
        <v>12634.486114046982</v>
      </c>
      <c r="DO103" s="539">
        <f t="shared" si="50"/>
        <v>12646.829235726955</v>
      </c>
      <c r="DP103" s="539">
        <f t="shared" si="50"/>
        <v>12658.616916931329</v>
      </c>
      <c r="DQ103" s="539">
        <f t="shared" si="50"/>
        <v>12669.874152481505</v>
      </c>
      <c r="DR103" s="539">
        <f t="shared" si="50"/>
        <v>12900.991430248141</v>
      </c>
      <c r="DS103" s="539">
        <f t="shared" si="50"/>
        <v>12911.258310500793</v>
      </c>
      <c r="DT103" s="539">
        <f t="shared" si="50"/>
        <v>12921.063181142074</v>
      </c>
      <c r="DU103" s="539">
        <f t="shared" si="50"/>
        <v>12930.426832604497</v>
      </c>
      <c r="DV103" s="539">
        <f t="shared" si="50"/>
        <v>13163.124497358649</v>
      </c>
      <c r="DW103" s="539">
        <f t="shared" si="50"/>
        <v>13171.664381583665</v>
      </c>
      <c r="DX103" s="539">
        <f t="shared" si="50"/>
        <v>13179.819971018556</v>
      </c>
      <c r="DY103" s="539">
        <f t="shared" si="50"/>
        <v>13187.608558928878</v>
      </c>
      <c r="DZ103" s="539">
        <f t="shared" si="50"/>
        <v>13422.229408189076</v>
      </c>
      <c r="EA103" s="539">
        <f t="shared" si="50"/>
        <v>13429.332795077986</v>
      </c>
      <c r="EB103" s="539">
        <f t="shared" si="50"/>
        <v>13436.116529556895</v>
      </c>
      <c r="EC103" s="539">
        <f t="shared" si="50"/>
        <v>10524.805690595733</v>
      </c>
      <c r="ED103" s="539">
        <f t="shared" si="50"/>
        <v>0</v>
      </c>
      <c r="EE103" s="539">
        <f t="shared" si="50"/>
        <v>0</v>
      </c>
      <c r="EF103" s="539">
        <f t="shared" si="50"/>
        <v>0</v>
      </c>
      <c r="EG103" s="539">
        <f t="shared" si="50"/>
        <v>0</v>
      </c>
    </row>
    <row r="104" spans="5:137" ht="12.75">
      <c r="E104" s="538" t="str">
        <f>E$75</f>
        <v>Tax losses - used</v>
      </c>
      <c r="G104" s="539" t="str">
        <f>G$75</f>
        <v>EUR 000s</v>
      </c>
      <c r="H104" s="539">
        <f>H$75</f>
        <v>50016.570024651453</v>
      </c>
      <c r="J104" s="539">
        <f t="shared" si="51" ref="J104:EG104">J$75</f>
        <v>0</v>
      </c>
      <c r="K104" s="539">
        <f t="shared" si="51"/>
        <v>0</v>
      </c>
      <c r="L104" s="539">
        <f t="shared" si="51"/>
        <v>0</v>
      </c>
      <c r="M104" s="539">
        <f t="shared" si="51"/>
        <v>0</v>
      </c>
      <c r="N104" s="539">
        <f t="shared" si="51"/>
        <v>0</v>
      </c>
      <c r="O104" s="539">
        <f t="shared" si="51"/>
        <v>0</v>
      </c>
      <c r="P104" s="539">
        <f t="shared" si="51"/>
        <v>0</v>
      </c>
      <c r="Q104" s="539">
        <f t="shared" si="51"/>
        <v>0</v>
      </c>
      <c r="R104" s="539">
        <f t="shared" si="51"/>
        <v>0</v>
      </c>
      <c r="S104" s="539">
        <f t="shared" si="51"/>
        <v>0</v>
      </c>
      <c r="T104" s="539">
        <f t="shared" si="51"/>
        <v>0</v>
      </c>
      <c r="U104" s="539">
        <f t="shared" si="51"/>
        <v>0</v>
      </c>
      <c r="V104" s="539">
        <f t="shared" si="51"/>
        <v>0</v>
      </c>
      <c r="W104" s="539">
        <f t="shared" si="51"/>
        <v>0</v>
      </c>
      <c r="X104" s="539">
        <f t="shared" si="51"/>
        <v>0</v>
      </c>
      <c r="Y104" s="539">
        <f t="shared" si="51"/>
        <v>0</v>
      </c>
      <c r="Z104" s="539">
        <f t="shared" si="51"/>
        <v>0</v>
      </c>
      <c r="AA104" s="539">
        <f t="shared" si="51"/>
        <v>0</v>
      </c>
      <c r="AB104" s="539">
        <f t="shared" si="51"/>
        <v>0</v>
      </c>
      <c r="AC104" s="539">
        <f t="shared" si="51"/>
        <v>0</v>
      </c>
      <c r="AD104" s="539">
        <f t="shared" si="51"/>
        <v>0</v>
      </c>
      <c r="AE104" s="539">
        <f t="shared" si="51"/>
        <v>0</v>
      </c>
      <c r="AF104" s="539">
        <f t="shared" si="51"/>
        <v>0</v>
      </c>
      <c r="AG104" s="539">
        <f t="shared" si="51"/>
        <v>0</v>
      </c>
      <c r="AH104" s="539">
        <f t="shared" si="51"/>
        <v>0</v>
      </c>
      <c r="AI104" s="539">
        <f t="shared" si="51"/>
        <v>0</v>
      </c>
      <c r="AJ104" s="539">
        <f t="shared" si="51"/>
        <v>0</v>
      </c>
      <c r="AK104" s="539">
        <f t="shared" si="51"/>
        <v>0</v>
      </c>
      <c r="AL104" s="539">
        <f t="shared" si="51"/>
        <v>0</v>
      </c>
      <c r="AM104" s="539">
        <f t="shared" si="51"/>
        <v>0</v>
      </c>
      <c r="AN104" s="539">
        <f t="shared" si="51"/>
        <v>0</v>
      </c>
      <c r="AO104" s="539">
        <f t="shared" si="51"/>
        <v>0</v>
      </c>
      <c r="AP104" s="539">
        <f t="shared" si="51"/>
        <v>0</v>
      </c>
      <c r="AQ104" s="539">
        <f t="shared" si="51"/>
        <v>0</v>
      </c>
      <c r="AR104" s="539">
        <f t="shared" si="51"/>
        <v>0</v>
      </c>
      <c r="AS104" s="539">
        <f t="shared" si="51"/>
        <v>0</v>
      </c>
      <c r="AT104" s="539">
        <f t="shared" si="51"/>
        <v>0</v>
      </c>
      <c r="AU104" s="539">
        <f t="shared" si="51"/>
        <v>0</v>
      </c>
      <c r="AV104" s="539">
        <f t="shared" si="51"/>
        <v>0</v>
      </c>
      <c r="AW104" s="539">
        <f t="shared" si="51"/>
        <v>40.731362587648754</v>
      </c>
      <c r="AX104" s="539">
        <f t="shared" si="51"/>
        <v>0</v>
      </c>
      <c r="AY104" s="539">
        <f t="shared" si="51"/>
        <v>0</v>
      </c>
      <c r="AZ104" s="539">
        <f t="shared" si="51"/>
        <v>0</v>
      </c>
      <c r="BA104" s="539">
        <f t="shared" si="51"/>
        <v>43.997311146303446</v>
      </c>
      <c r="BB104" s="539">
        <f t="shared" si="51"/>
        <v>1151.3072143875627</v>
      </c>
      <c r="BC104" s="539">
        <f t="shared" si="51"/>
        <v>1315.8607693135141</v>
      </c>
      <c r="BD104" s="539">
        <f t="shared" si="51"/>
        <v>1473.0094142677974</v>
      </c>
      <c r="BE104" s="539">
        <f t="shared" si="51"/>
        <v>1623.0863701991386</v>
      </c>
      <c r="BF104" s="539">
        <f t="shared" si="51"/>
        <v>1850.3811896542018</v>
      </c>
      <c r="BG104" s="539">
        <f t="shared" si="51"/>
        <v>1987.2551253874831</v>
      </c>
      <c r="BH104" s="539">
        <f t="shared" si="51"/>
        <v>2117.9697340127664</v>
      </c>
      <c r="BI104" s="539">
        <f t="shared" si="51"/>
        <v>2242.8021852499123</v>
      </c>
      <c r="BJ104" s="539">
        <f t="shared" si="51"/>
        <v>2447.3500210895122</v>
      </c>
      <c r="BK104" s="539">
        <f t="shared" si="51"/>
        <v>2561.2003374290703</v>
      </c>
      <c r="BL104" s="539">
        <f t="shared" si="51"/>
        <v>2669.9273895333481</v>
      </c>
      <c r="BM104" s="539">
        <f t="shared" si="51"/>
        <v>2773.7617242929332</v>
      </c>
      <c r="BN104" s="539">
        <f t="shared" si="51"/>
        <v>2959.6360299806124</v>
      </c>
      <c r="BO104" s="539">
        <f t="shared" si="51"/>
        <v>3054.3355391397236</v>
      </c>
      <c r="BP104" s="539">
        <f t="shared" si="51"/>
        <v>3144.7735703866747</v>
      </c>
      <c r="BQ104" s="539">
        <f t="shared" si="51"/>
        <v>3231.1418902275118</v>
      </c>
      <c r="BR104" s="539">
        <f t="shared" si="51"/>
        <v>2437.350384199327</v>
      </c>
      <c r="BS104" s="539">
        <f t="shared" si="51"/>
        <v>2516.1204511021674</v>
      </c>
      <c r="BT104" s="539">
        <f t="shared" si="51"/>
        <v>2591.3458649943796</v>
      </c>
      <c r="BU104" s="539">
        <f t="shared" si="51"/>
        <v>2663.1861352614424</v>
      </c>
      <c r="BV104" s="539">
        <f t="shared" si="51"/>
        <v>3120.0400108087779</v>
      </c>
      <c r="BW104" s="539">
        <f t="shared" si="51"/>
        <v>0</v>
      </c>
      <c r="BX104" s="539">
        <f t="shared" si="51"/>
        <v>0</v>
      </c>
      <c r="BY104" s="539">
        <f t="shared" si="51"/>
        <v>0</v>
      </c>
      <c r="BZ104" s="539">
        <f t="shared" si="51"/>
        <v>0</v>
      </c>
      <c r="CA104" s="539">
        <f t="shared" si="51"/>
        <v>0</v>
      </c>
      <c r="CB104" s="539">
        <f t="shared" si="51"/>
        <v>0</v>
      </c>
      <c r="CC104" s="539">
        <f t="shared" si="51"/>
        <v>0</v>
      </c>
      <c r="CD104" s="539">
        <f t="shared" si="51"/>
        <v>0</v>
      </c>
      <c r="CE104" s="539">
        <f t="shared" si="51"/>
        <v>0</v>
      </c>
      <c r="CF104" s="539">
        <f t="shared" si="51"/>
        <v>0</v>
      </c>
      <c r="CG104" s="539">
        <f t="shared" si="51"/>
        <v>-7.2759576141834259E-12</v>
      </c>
      <c r="CH104" s="539">
        <f t="shared" si="51"/>
        <v>-7.2759576141834259E-12</v>
      </c>
      <c r="CI104" s="539">
        <f t="shared" si="51"/>
        <v>-7.2759576141834259E-12</v>
      </c>
      <c r="CJ104" s="539">
        <f t="shared" si="51"/>
        <v>-7.2759576141834259E-12</v>
      </c>
      <c r="CK104" s="539">
        <f t="shared" si="51"/>
        <v>-7.2759576141834259E-12</v>
      </c>
      <c r="CL104" s="539">
        <f t="shared" si="51"/>
        <v>-7.2759576141834259E-12</v>
      </c>
      <c r="CM104" s="539">
        <f t="shared" si="51"/>
        <v>-7.2759576141834259E-12</v>
      </c>
      <c r="CN104" s="539">
        <f t="shared" si="51"/>
        <v>-7.2759576141834259E-12</v>
      </c>
      <c r="CO104" s="539">
        <f t="shared" si="51"/>
        <v>-7.2759576141834259E-12</v>
      </c>
      <c r="CP104" s="539">
        <f t="shared" si="51"/>
        <v>-7.2759576141834259E-12</v>
      </c>
      <c r="CQ104" s="539">
        <f t="shared" si="51"/>
        <v>-7.2759576141834259E-12</v>
      </c>
      <c r="CR104" s="539">
        <f t="shared" si="51"/>
        <v>-7.2759576141834259E-12</v>
      </c>
      <c r="CS104" s="539">
        <f t="shared" si="51"/>
        <v>-7.2759576141834259E-12</v>
      </c>
      <c r="CT104" s="539">
        <f t="shared" si="51"/>
        <v>-7.2759576141834259E-12</v>
      </c>
      <c r="CU104" s="539">
        <f t="shared" si="51"/>
        <v>-7.2759576141834259E-12</v>
      </c>
      <c r="CV104" s="539">
        <f t="shared" si="51"/>
        <v>-7.2759576141834259E-12</v>
      </c>
      <c r="CW104" s="539">
        <f t="shared" si="51"/>
        <v>-7.2759576141834259E-12</v>
      </c>
      <c r="CX104" s="539">
        <f t="shared" si="51"/>
        <v>-7.2759576141834259E-12</v>
      </c>
      <c r="CY104" s="539">
        <f t="shared" si="51"/>
        <v>-7.2759576141834259E-12</v>
      </c>
      <c r="CZ104" s="539">
        <f t="shared" si="51"/>
        <v>-7.2759576141834259E-12</v>
      </c>
      <c r="DA104" s="539">
        <f t="shared" si="51"/>
        <v>-7.2759576141834259E-12</v>
      </c>
      <c r="DB104" s="539">
        <f t="shared" si="51"/>
        <v>-7.2759576141834259E-12</v>
      </c>
      <c r="DC104" s="539">
        <f t="shared" si="51"/>
        <v>-7.2759576141834259E-12</v>
      </c>
      <c r="DD104" s="539">
        <f t="shared" si="51"/>
        <v>-7.2759576141834259E-12</v>
      </c>
      <c r="DE104" s="539">
        <f t="shared" si="51"/>
        <v>-7.2759576141834259E-12</v>
      </c>
      <c r="DF104" s="539">
        <f t="shared" si="51"/>
        <v>-7.2759576141834259E-12</v>
      </c>
      <c r="DG104" s="539">
        <f t="shared" si="51"/>
        <v>-7.2759576141834259E-12</v>
      </c>
      <c r="DH104" s="539">
        <f t="shared" si="51"/>
        <v>-7.2759576141834259E-12</v>
      </c>
      <c r="DI104" s="539">
        <f t="shared" si="51"/>
        <v>-7.2759576141834259E-12</v>
      </c>
      <c r="DJ104" s="539">
        <f t="shared" si="51"/>
        <v>-7.2759576141834259E-12</v>
      </c>
      <c r="DK104" s="539">
        <f t="shared" si="51"/>
        <v>-7.2759576141834259E-12</v>
      </c>
      <c r="DL104" s="539">
        <f t="shared" si="51"/>
        <v>-7.2759576141834259E-12</v>
      </c>
      <c r="DM104" s="539">
        <f t="shared" si="51"/>
        <v>-7.2759576141834259E-12</v>
      </c>
      <c r="DN104" s="539">
        <f t="shared" si="51"/>
        <v>-7.2759576141834259E-12</v>
      </c>
      <c r="DO104" s="539">
        <f t="shared" si="51"/>
        <v>-7.2759576141834259E-12</v>
      </c>
      <c r="DP104" s="539">
        <f t="shared" si="51"/>
        <v>-7.2759576141834259E-12</v>
      </c>
      <c r="DQ104" s="539">
        <f t="shared" si="51"/>
        <v>-7.2759576141834259E-12</v>
      </c>
      <c r="DR104" s="539">
        <f t="shared" si="51"/>
        <v>-7.2759576141834259E-12</v>
      </c>
      <c r="DS104" s="539">
        <f t="shared" si="51"/>
        <v>-7.2759576141834259E-12</v>
      </c>
      <c r="DT104" s="539">
        <f t="shared" si="51"/>
        <v>-7.2759576141834259E-12</v>
      </c>
      <c r="DU104" s="539">
        <f t="shared" si="51"/>
        <v>-7.2759576141834259E-12</v>
      </c>
      <c r="DV104" s="539">
        <f t="shared" si="51"/>
        <v>-7.2759576141834259E-12</v>
      </c>
      <c r="DW104" s="539">
        <f t="shared" si="51"/>
        <v>-7.2759576141834259E-12</v>
      </c>
      <c r="DX104" s="539">
        <f t="shared" si="51"/>
        <v>-7.2759576141834259E-12</v>
      </c>
      <c r="DY104" s="539">
        <f t="shared" si="51"/>
        <v>-7.2759576141834259E-12</v>
      </c>
      <c r="DZ104" s="539">
        <f t="shared" si="51"/>
        <v>-7.2759576141834259E-12</v>
      </c>
      <c r="EA104" s="539">
        <f t="shared" si="51"/>
        <v>-7.2759576141834259E-12</v>
      </c>
      <c r="EB104" s="539">
        <f t="shared" si="51"/>
        <v>-7.2759576141834259E-12</v>
      </c>
      <c r="EC104" s="539">
        <f t="shared" si="51"/>
        <v>-7.2759576141834259E-12</v>
      </c>
      <c r="ED104" s="539">
        <f t="shared" si="51"/>
        <v>0</v>
      </c>
      <c r="EE104" s="539">
        <f t="shared" si="51"/>
        <v>0</v>
      </c>
      <c r="EF104" s="539">
        <f t="shared" si="51"/>
        <v>0</v>
      </c>
      <c r="EG104" s="539">
        <f t="shared" si="51"/>
        <v>0</v>
      </c>
    </row>
    <row r="105" spans="5:137" ht="12.75">
      <c r="E105" s="538" t="s">
        <v>452</v>
      </c>
      <c r="G105" s="539" t="s">
        <v>30</v>
      </c>
      <c r="H105" s="539">
        <f>SUM(J105:EG105)</f>
        <v>630243.06034600094</v>
      </c>
      <c r="J105" s="539">
        <f t="shared" si="52" ref="J105:EG105">MAX(0,J103-J104)</f>
        <v>0</v>
      </c>
      <c r="K105" s="539">
        <f t="shared" si="52"/>
        <v>0</v>
      </c>
      <c r="L105" s="539">
        <f t="shared" si="52"/>
        <v>0</v>
      </c>
      <c r="M105" s="539">
        <f t="shared" si="52"/>
        <v>0</v>
      </c>
      <c r="N105" s="539">
        <f t="shared" si="52"/>
        <v>0</v>
      </c>
      <c r="O105" s="539">
        <f t="shared" si="52"/>
        <v>0</v>
      </c>
      <c r="P105" s="539">
        <f t="shared" si="52"/>
        <v>0</v>
      </c>
      <c r="Q105" s="539">
        <f t="shared" si="52"/>
        <v>0</v>
      </c>
      <c r="R105" s="539">
        <f t="shared" si="52"/>
        <v>0</v>
      </c>
      <c r="S105" s="539">
        <f t="shared" si="52"/>
        <v>0</v>
      </c>
      <c r="T105" s="539">
        <f t="shared" si="52"/>
        <v>0</v>
      </c>
      <c r="U105" s="539">
        <f t="shared" si="52"/>
        <v>0</v>
      </c>
      <c r="V105" s="539">
        <f t="shared" si="52"/>
        <v>0</v>
      </c>
      <c r="W105" s="539">
        <f t="shared" si="52"/>
        <v>0</v>
      </c>
      <c r="X105" s="539">
        <f t="shared" si="52"/>
        <v>0</v>
      </c>
      <c r="Y105" s="539">
        <f t="shared" si="52"/>
        <v>0</v>
      </c>
      <c r="Z105" s="539">
        <f t="shared" si="52"/>
        <v>0</v>
      </c>
      <c r="AA105" s="539">
        <f t="shared" si="52"/>
        <v>0</v>
      </c>
      <c r="AB105" s="539">
        <f t="shared" si="52"/>
        <v>0</v>
      </c>
      <c r="AC105" s="539">
        <f t="shared" si="52"/>
        <v>0</v>
      </c>
      <c r="AD105" s="539">
        <f t="shared" si="52"/>
        <v>0</v>
      </c>
      <c r="AE105" s="539">
        <f t="shared" si="52"/>
        <v>0</v>
      </c>
      <c r="AF105" s="539">
        <f t="shared" si="52"/>
        <v>0</v>
      </c>
      <c r="AG105" s="539">
        <f t="shared" si="52"/>
        <v>0</v>
      </c>
      <c r="AH105" s="539">
        <f t="shared" si="52"/>
        <v>0</v>
      </c>
      <c r="AI105" s="539">
        <f t="shared" si="52"/>
        <v>0</v>
      </c>
      <c r="AJ105" s="539">
        <f t="shared" si="52"/>
        <v>0</v>
      </c>
      <c r="AK105" s="539">
        <f t="shared" si="52"/>
        <v>0</v>
      </c>
      <c r="AL105" s="539">
        <f t="shared" si="52"/>
        <v>0</v>
      </c>
      <c r="AM105" s="539">
        <f t="shared" si="52"/>
        <v>0</v>
      </c>
      <c r="AN105" s="539">
        <f t="shared" si="52"/>
        <v>0</v>
      </c>
      <c r="AO105" s="539">
        <f t="shared" si="52"/>
        <v>0</v>
      </c>
      <c r="AP105" s="539">
        <f t="shared" si="52"/>
        <v>0</v>
      </c>
      <c r="AQ105" s="539">
        <f t="shared" si="52"/>
        <v>0</v>
      </c>
      <c r="AR105" s="539">
        <f t="shared" si="52"/>
        <v>0</v>
      </c>
      <c r="AS105" s="539">
        <f t="shared" si="52"/>
        <v>0</v>
      </c>
      <c r="AT105" s="539">
        <f t="shared" si="52"/>
        <v>0</v>
      </c>
      <c r="AU105" s="539">
        <f t="shared" si="52"/>
        <v>0</v>
      </c>
      <c r="AV105" s="539">
        <f t="shared" si="52"/>
        <v>0</v>
      </c>
      <c r="AW105" s="539">
        <f t="shared" si="52"/>
        <v>17.456298251849468</v>
      </c>
      <c r="AX105" s="539">
        <f t="shared" si="52"/>
        <v>0</v>
      </c>
      <c r="AY105" s="539">
        <f t="shared" si="52"/>
        <v>0</v>
      </c>
      <c r="AZ105" s="539">
        <f t="shared" si="52"/>
        <v>0</v>
      </c>
      <c r="BA105" s="539">
        <f t="shared" si="52"/>
        <v>18.855990491272905</v>
      </c>
      <c r="BB105" s="539">
        <f t="shared" si="52"/>
        <v>493.41737759466992</v>
      </c>
      <c r="BC105" s="539">
        <f t="shared" si="52"/>
        <v>563.94032970579201</v>
      </c>
      <c r="BD105" s="539">
        <f t="shared" si="52"/>
        <v>631.28974897191324</v>
      </c>
      <c r="BE105" s="539">
        <f t="shared" si="52"/>
        <v>695.60844437105948</v>
      </c>
      <c r="BF105" s="539">
        <f t="shared" si="52"/>
        <v>793.02050985180108</v>
      </c>
      <c r="BG105" s="539">
        <f t="shared" si="52"/>
        <v>851.68076802320729</v>
      </c>
      <c r="BH105" s="539">
        <f t="shared" si="52"/>
        <v>907.70131457690013</v>
      </c>
      <c r="BI105" s="539">
        <f t="shared" si="52"/>
        <v>961.2009365356771</v>
      </c>
      <c r="BJ105" s="539">
        <f t="shared" si="52"/>
        <v>1048.8642947526482</v>
      </c>
      <c r="BK105" s="539">
        <f t="shared" si="52"/>
        <v>1097.6572874696017</v>
      </c>
      <c r="BL105" s="539">
        <f t="shared" si="52"/>
        <v>1144.2545955142923</v>
      </c>
      <c r="BM105" s="539">
        <f t="shared" si="52"/>
        <v>1188.7550246969718</v>
      </c>
      <c r="BN105" s="539">
        <f t="shared" si="52"/>
        <v>1268.4154414202626</v>
      </c>
      <c r="BO105" s="539">
        <f t="shared" si="52"/>
        <v>1309.0009453455959</v>
      </c>
      <c r="BP105" s="539">
        <f t="shared" si="52"/>
        <v>1347.7601015942892</v>
      </c>
      <c r="BQ105" s="539">
        <f t="shared" si="52"/>
        <v>1384.7750958117913</v>
      </c>
      <c r="BR105" s="539">
        <f t="shared" si="52"/>
        <v>1044.578736085426</v>
      </c>
      <c r="BS105" s="539">
        <f t="shared" si="52"/>
        <v>1078.3373361866434</v>
      </c>
      <c r="BT105" s="539">
        <f t="shared" si="52"/>
        <v>1110.5767992833057</v>
      </c>
      <c r="BU105" s="539">
        <f t="shared" si="52"/>
        <v>1141.3654865406183</v>
      </c>
      <c r="BV105" s="539">
        <f t="shared" si="52"/>
        <v>2288.1085699426067</v>
      </c>
      <c r="BW105" s="539">
        <f t="shared" si="52"/>
        <v>5501.7487557375525</v>
      </c>
      <c r="BX105" s="539">
        <f t="shared" si="52"/>
        <v>5591.1369228493431</v>
      </c>
      <c r="BY105" s="539">
        <f t="shared" si="52"/>
        <v>5676.502622441104</v>
      </c>
      <c r="BZ105" s="539">
        <f t="shared" si="52"/>
        <v>5887.9717796858495</v>
      </c>
      <c r="CA105" s="539">
        <f t="shared" si="52"/>
        <v>5965.8274318560234</v>
      </c>
      <c r="CB105" s="539">
        <f t="shared" si="52"/>
        <v>6318.8300864610655</v>
      </c>
      <c r="CC105" s="539">
        <f t="shared" si="52"/>
        <v>7751.8093048324836</v>
      </c>
      <c r="CD105" s="539">
        <f t="shared" si="52"/>
        <v>8099.0649231005473</v>
      </c>
      <c r="CE105" s="539">
        <f t="shared" si="52"/>
        <v>8192.370917161219</v>
      </c>
      <c r="CF105" s="539">
        <f t="shared" si="52"/>
        <v>8284.6759844670305</v>
      </c>
      <c r="CG105" s="539">
        <f t="shared" si="52"/>
        <v>8391.0229798291803</v>
      </c>
      <c r="CH105" s="539">
        <f t="shared" si="52"/>
        <v>8716.611076447909</v>
      </c>
      <c r="CI105" s="539">
        <f t="shared" si="52"/>
        <v>8803.8486310388653</v>
      </c>
      <c r="CJ105" s="539">
        <f t="shared" si="52"/>
        <v>8890.7190596444689</v>
      </c>
      <c r="CK105" s="539">
        <f t="shared" si="52"/>
        <v>8990.1045536171168</v>
      </c>
      <c r="CL105" s="539">
        <f t="shared" si="52"/>
        <v>7081.1731932007406</v>
      </c>
      <c r="CM105" s="539">
        <f t="shared" si="52"/>
        <v>7168.4677036743033</v>
      </c>
      <c r="CN105" s="539">
        <f t="shared" si="52"/>
        <v>7256.0864129414504</v>
      </c>
      <c r="CO105" s="539">
        <f t="shared" si="52"/>
        <v>7354.4919558763268</v>
      </c>
      <c r="CP105" s="539">
        <f t="shared" si="52"/>
        <v>9886.3418452351852</v>
      </c>
      <c r="CQ105" s="539">
        <f t="shared" si="52"/>
        <v>9978.4832843096738</v>
      </c>
      <c r="CR105" s="539">
        <f t="shared" si="52"/>
        <v>10060.729242655563</v>
      </c>
      <c r="CS105" s="539">
        <f t="shared" si="52"/>
        <v>10151.812470357141</v>
      </c>
      <c r="CT105" s="539">
        <f t="shared" si="52"/>
        <v>10458.431480132203</v>
      </c>
      <c r="CU105" s="539">
        <f t="shared" si="52"/>
        <v>10539.809433958944</v>
      </c>
      <c r="CV105" s="539">
        <f t="shared" si="52"/>
        <v>10622.326237680492</v>
      </c>
      <c r="CW105" s="539">
        <f t="shared" si="52"/>
        <v>10711.366010508827</v>
      </c>
      <c r="CX105" s="539">
        <f t="shared" si="52"/>
        <v>11014.167476496043</v>
      </c>
      <c r="CY105" s="539">
        <f t="shared" si="52"/>
        <v>11096.643921714502</v>
      </c>
      <c r="CZ105" s="539">
        <f t="shared" si="52"/>
        <v>11180.664711958852</v>
      </c>
      <c r="DA105" s="539">
        <f t="shared" si="52"/>
        <v>11268.858521640259</v>
      </c>
      <c r="DB105" s="539">
        <f t="shared" si="52"/>
        <v>11791.004042824427</v>
      </c>
      <c r="DC105" s="539">
        <f t="shared" si="52"/>
        <v>11812.451931724363</v>
      </c>
      <c r="DD105" s="539">
        <f t="shared" si="52"/>
        <v>11832.934665623803</v>
      </c>
      <c r="DE105" s="539">
        <f t="shared" si="52"/>
        <v>11852.495676497769</v>
      </c>
      <c r="DF105" s="539">
        <f t="shared" si="52"/>
        <v>9562.2359841463549</v>
      </c>
      <c r="DG105" s="539">
        <f t="shared" si="52"/>
        <v>9580.0761150886829</v>
      </c>
      <c r="DH105" s="539">
        <f t="shared" si="52"/>
        <v>9597.1134401386062</v>
      </c>
      <c r="DI105" s="539">
        <f t="shared" si="52"/>
        <v>9613.3840855612816</v>
      </c>
      <c r="DJ105" s="539">
        <f t="shared" si="52"/>
        <v>12362.000408611068</v>
      </c>
      <c r="DK105" s="539">
        <f t="shared" si="52"/>
        <v>12376.839644002683</v>
      </c>
      <c r="DL105" s="539">
        <f t="shared" si="52"/>
        <v>12391.011113801676</v>
      </c>
      <c r="DM105" s="539">
        <f t="shared" si="52"/>
        <v>12404.544867459716</v>
      </c>
      <c r="DN105" s="539">
        <f t="shared" si="52"/>
        <v>12634.486114046989</v>
      </c>
      <c r="DO105" s="539">
        <f t="shared" si="52"/>
        <v>12646.829235726962</v>
      </c>
      <c r="DP105" s="539">
        <f t="shared" si="52"/>
        <v>12658.616916931336</v>
      </c>
      <c r="DQ105" s="539">
        <f t="shared" si="52"/>
        <v>12669.874152481512</v>
      </c>
      <c r="DR105" s="539">
        <f t="shared" si="52"/>
        <v>12900.991430248148</v>
      </c>
      <c r="DS105" s="539">
        <f t="shared" si="52"/>
        <v>12911.2583105008</v>
      </c>
      <c r="DT105" s="539">
        <f t="shared" si="52"/>
        <v>12921.063181142081</v>
      </c>
      <c r="DU105" s="539">
        <f t="shared" si="52"/>
        <v>12930.426832604504</v>
      </c>
      <c r="DV105" s="539">
        <f t="shared" si="52"/>
        <v>13163.124497358656</v>
      </c>
      <c r="DW105" s="539">
        <f t="shared" si="52"/>
        <v>13171.664381583672</v>
      </c>
      <c r="DX105" s="539">
        <f t="shared" si="52"/>
        <v>13179.819971018564</v>
      </c>
      <c r="DY105" s="539">
        <f t="shared" si="52"/>
        <v>13187.608558928885</v>
      </c>
      <c r="DZ105" s="539">
        <f t="shared" si="52"/>
        <v>13422.229408189083</v>
      </c>
      <c r="EA105" s="539">
        <f t="shared" si="52"/>
        <v>13429.332795077993</v>
      </c>
      <c r="EB105" s="539">
        <f t="shared" si="52"/>
        <v>13436.116529556903</v>
      </c>
      <c r="EC105" s="539">
        <f t="shared" si="52"/>
        <v>10524.80569059574</v>
      </c>
      <c r="ED105" s="539">
        <f t="shared" si="52"/>
        <v>0</v>
      </c>
      <c r="EE105" s="539">
        <f t="shared" si="52"/>
        <v>0</v>
      </c>
      <c r="EF105" s="539">
        <f t="shared" si="52"/>
        <v>0</v>
      </c>
      <c r="EG105" s="539">
        <f t="shared" si="52"/>
        <v>0</v>
      </c>
    </row>
    <row r="107" spans="5:7" ht="12.75">
      <c r="E107" s="535" t="str">
        <f>InpC!E$118</f>
        <v>Tax - corporate tax rate</v>
      </c>
      <c r="F107" s="542">
        <f>InpC!F$118</f>
        <v>0.25</v>
      </c>
      <c r="G107" s="542" t="str">
        <f>InpC!G$118</f>
        <v>%</v>
      </c>
    </row>
    <row r="108" spans="5:137" ht="12.75">
      <c r="E108" s="538" t="str">
        <f>E$105</f>
        <v>Taxable profit - after losses</v>
      </c>
      <c r="G108" s="539" t="str">
        <f>G$105</f>
        <v>EUR 000s</v>
      </c>
      <c r="H108" s="539">
        <f>H$105</f>
        <v>630243.06034600094</v>
      </c>
      <c r="J108" s="539">
        <f t="shared" si="53" ref="J108:EG108">J$105</f>
        <v>0</v>
      </c>
      <c r="K108" s="539">
        <f t="shared" si="53"/>
        <v>0</v>
      </c>
      <c r="L108" s="539">
        <f t="shared" si="53"/>
        <v>0</v>
      </c>
      <c r="M108" s="539">
        <f t="shared" si="53"/>
        <v>0</v>
      </c>
      <c r="N108" s="539">
        <f t="shared" si="53"/>
        <v>0</v>
      </c>
      <c r="O108" s="539">
        <f t="shared" si="53"/>
        <v>0</v>
      </c>
      <c r="P108" s="539">
        <f t="shared" si="53"/>
        <v>0</v>
      </c>
      <c r="Q108" s="539">
        <f t="shared" si="53"/>
        <v>0</v>
      </c>
      <c r="R108" s="539">
        <f t="shared" si="53"/>
        <v>0</v>
      </c>
      <c r="S108" s="539">
        <f t="shared" si="53"/>
        <v>0</v>
      </c>
      <c r="T108" s="539">
        <f t="shared" si="53"/>
        <v>0</v>
      </c>
      <c r="U108" s="539">
        <f t="shared" si="53"/>
        <v>0</v>
      </c>
      <c r="V108" s="539">
        <f t="shared" si="53"/>
        <v>0</v>
      </c>
      <c r="W108" s="539">
        <f t="shared" si="53"/>
        <v>0</v>
      </c>
      <c r="X108" s="539">
        <f t="shared" si="53"/>
        <v>0</v>
      </c>
      <c r="Y108" s="539">
        <f t="shared" si="53"/>
        <v>0</v>
      </c>
      <c r="Z108" s="539">
        <f t="shared" si="53"/>
        <v>0</v>
      </c>
      <c r="AA108" s="539">
        <f t="shared" si="53"/>
        <v>0</v>
      </c>
      <c r="AB108" s="539">
        <f t="shared" si="53"/>
        <v>0</v>
      </c>
      <c r="AC108" s="539">
        <f t="shared" si="53"/>
        <v>0</v>
      </c>
      <c r="AD108" s="539">
        <f t="shared" si="53"/>
        <v>0</v>
      </c>
      <c r="AE108" s="539">
        <f t="shared" si="53"/>
        <v>0</v>
      </c>
      <c r="AF108" s="539">
        <f t="shared" si="53"/>
        <v>0</v>
      </c>
      <c r="AG108" s="539">
        <f t="shared" si="53"/>
        <v>0</v>
      </c>
      <c r="AH108" s="539">
        <f t="shared" si="53"/>
        <v>0</v>
      </c>
      <c r="AI108" s="539">
        <f t="shared" si="53"/>
        <v>0</v>
      </c>
      <c r="AJ108" s="539">
        <f t="shared" si="53"/>
        <v>0</v>
      </c>
      <c r="AK108" s="539">
        <f t="shared" si="53"/>
        <v>0</v>
      </c>
      <c r="AL108" s="539">
        <f t="shared" si="53"/>
        <v>0</v>
      </c>
      <c r="AM108" s="539">
        <f t="shared" si="53"/>
        <v>0</v>
      </c>
      <c r="AN108" s="539">
        <f t="shared" si="53"/>
        <v>0</v>
      </c>
      <c r="AO108" s="539">
        <f t="shared" si="53"/>
        <v>0</v>
      </c>
      <c r="AP108" s="539">
        <f t="shared" si="53"/>
        <v>0</v>
      </c>
      <c r="AQ108" s="539">
        <f t="shared" si="53"/>
        <v>0</v>
      </c>
      <c r="AR108" s="539">
        <f t="shared" si="53"/>
        <v>0</v>
      </c>
      <c r="AS108" s="539">
        <f t="shared" si="53"/>
        <v>0</v>
      </c>
      <c r="AT108" s="539">
        <f t="shared" si="53"/>
        <v>0</v>
      </c>
      <c r="AU108" s="539">
        <f t="shared" si="53"/>
        <v>0</v>
      </c>
      <c r="AV108" s="539">
        <f t="shared" si="53"/>
        <v>0</v>
      </c>
      <c r="AW108" s="539">
        <f t="shared" si="53"/>
        <v>17.456298251849468</v>
      </c>
      <c r="AX108" s="539">
        <f t="shared" si="53"/>
        <v>0</v>
      </c>
      <c r="AY108" s="539">
        <f t="shared" si="53"/>
        <v>0</v>
      </c>
      <c r="AZ108" s="539">
        <f t="shared" si="53"/>
        <v>0</v>
      </c>
      <c r="BA108" s="539">
        <f t="shared" si="53"/>
        <v>18.855990491272905</v>
      </c>
      <c r="BB108" s="539">
        <f t="shared" si="53"/>
        <v>493.41737759466992</v>
      </c>
      <c r="BC108" s="539">
        <f t="shared" si="53"/>
        <v>563.94032970579201</v>
      </c>
      <c r="BD108" s="539">
        <f t="shared" si="53"/>
        <v>631.28974897191324</v>
      </c>
      <c r="BE108" s="539">
        <f t="shared" si="53"/>
        <v>695.60844437105948</v>
      </c>
      <c r="BF108" s="539">
        <f t="shared" si="53"/>
        <v>793.02050985180108</v>
      </c>
      <c r="BG108" s="539">
        <f t="shared" si="53"/>
        <v>851.68076802320729</v>
      </c>
      <c r="BH108" s="539">
        <f t="shared" si="53"/>
        <v>907.70131457690013</v>
      </c>
      <c r="BI108" s="539">
        <f t="shared" si="53"/>
        <v>961.2009365356771</v>
      </c>
      <c r="BJ108" s="539">
        <f t="shared" si="53"/>
        <v>1048.8642947526482</v>
      </c>
      <c r="BK108" s="539">
        <f t="shared" si="53"/>
        <v>1097.6572874696017</v>
      </c>
      <c r="BL108" s="539">
        <f t="shared" si="53"/>
        <v>1144.2545955142923</v>
      </c>
      <c r="BM108" s="539">
        <f t="shared" si="53"/>
        <v>1188.7550246969718</v>
      </c>
      <c r="BN108" s="539">
        <f t="shared" si="53"/>
        <v>1268.4154414202626</v>
      </c>
      <c r="BO108" s="539">
        <f t="shared" si="53"/>
        <v>1309.0009453455959</v>
      </c>
      <c r="BP108" s="539">
        <f t="shared" si="53"/>
        <v>1347.7601015942892</v>
      </c>
      <c r="BQ108" s="539">
        <f t="shared" si="53"/>
        <v>1384.7750958117913</v>
      </c>
      <c r="BR108" s="539">
        <f t="shared" si="53"/>
        <v>1044.578736085426</v>
      </c>
      <c r="BS108" s="539">
        <f t="shared" si="53"/>
        <v>1078.3373361866434</v>
      </c>
      <c r="BT108" s="539">
        <f t="shared" si="53"/>
        <v>1110.5767992833057</v>
      </c>
      <c r="BU108" s="539">
        <f t="shared" si="53"/>
        <v>1141.3654865406183</v>
      </c>
      <c r="BV108" s="539">
        <f t="shared" si="53"/>
        <v>2288.1085699426067</v>
      </c>
      <c r="BW108" s="539">
        <f t="shared" si="53"/>
        <v>5501.7487557375525</v>
      </c>
      <c r="BX108" s="539">
        <f t="shared" si="53"/>
        <v>5591.1369228493431</v>
      </c>
      <c r="BY108" s="539">
        <f t="shared" si="53"/>
        <v>5676.502622441104</v>
      </c>
      <c r="BZ108" s="539">
        <f t="shared" si="53"/>
        <v>5887.9717796858495</v>
      </c>
      <c r="CA108" s="539">
        <f t="shared" si="53"/>
        <v>5965.8274318560234</v>
      </c>
      <c r="CB108" s="539">
        <f t="shared" si="53"/>
        <v>6318.8300864610655</v>
      </c>
      <c r="CC108" s="539">
        <f t="shared" si="53"/>
        <v>7751.8093048324836</v>
      </c>
      <c r="CD108" s="539">
        <f t="shared" si="53"/>
        <v>8099.0649231005473</v>
      </c>
      <c r="CE108" s="539">
        <f t="shared" si="53"/>
        <v>8192.370917161219</v>
      </c>
      <c r="CF108" s="539">
        <f t="shared" si="53"/>
        <v>8284.6759844670305</v>
      </c>
      <c r="CG108" s="539">
        <f t="shared" si="53"/>
        <v>8391.0229798291803</v>
      </c>
      <c r="CH108" s="539">
        <f t="shared" si="53"/>
        <v>8716.611076447909</v>
      </c>
      <c r="CI108" s="539">
        <f t="shared" si="53"/>
        <v>8803.8486310388653</v>
      </c>
      <c r="CJ108" s="539">
        <f t="shared" si="53"/>
        <v>8890.7190596444689</v>
      </c>
      <c r="CK108" s="539">
        <f t="shared" si="53"/>
        <v>8990.1045536171168</v>
      </c>
      <c r="CL108" s="539">
        <f t="shared" si="53"/>
        <v>7081.1731932007406</v>
      </c>
      <c r="CM108" s="539">
        <f t="shared" si="53"/>
        <v>7168.4677036743033</v>
      </c>
      <c r="CN108" s="539">
        <f t="shared" si="53"/>
        <v>7256.0864129414504</v>
      </c>
      <c r="CO108" s="539">
        <f t="shared" si="53"/>
        <v>7354.4919558763268</v>
      </c>
      <c r="CP108" s="539">
        <f t="shared" si="53"/>
        <v>9886.3418452351852</v>
      </c>
      <c r="CQ108" s="539">
        <f t="shared" si="53"/>
        <v>9978.4832843096738</v>
      </c>
      <c r="CR108" s="539">
        <f t="shared" si="53"/>
        <v>10060.729242655563</v>
      </c>
      <c r="CS108" s="539">
        <f t="shared" si="53"/>
        <v>10151.812470357141</v>
      </c>
      <c r="CT108" s="539">
        <f t="shared" si="53"/>
        <v>10458.431480132203</v>
      </c>
      <c r="CU108" s="539">
        <f t="shared" si="53"/>
        <v>10539.809433958944</v>
      </c>
      <c r="CV108" s="539">
        <f t="shared" si="53"/>
        <v>10622.326237680492</v>
      </c>
      <c r="CW108" s="539">
        <f t="shared" si="53"/>
        <v>10711.366010508827</v>
      </c>
      <c r="CX108" s="539">
        <f t="shared" si="53"/>
        <v>11014.167476496043</v>
      </c>
      <c r="CY108" s="539">
        <f t="shared" si="53"/>
        <v>11096.643921714502</v>
      </c>
      <c r="CZ108" s="539">
        <f t="shared" si="53"/>
        <v>11180.664711958852</v>
      </c>
      <c r="DA108" s="539">
        <f t="shared" si="53"/>
        <v>11268.858521640259</v>
      </c>
      <c r="DB108" s="539">
        <f t="shared" si="53"/>
        <v>11791.004042824427</v>
      </c>
      <c r="DC108" s="539">
        <f t="shared" si="53"/>
        <v>11812.451931724363</v>
      </c>
      <c r="DD108" s="539">
        <f t="shared" si="53"/>
        <v>11832.934665623803</v>
      </c>
      <c r="DE108" s="539">
        <f t="shared" si="53"/>
        <v>11852.495676497769</v>
      </c>
      <c r="DF108" s="539">
        <f t="shared" si="53"/>
        <v>9562.2359841463549</v>
      </c>
      <c r="DG108" s="539">
        <f t="shared" si="53"/>
        <v>9580.0761150886829</v>
      </c>
      <c r="DH108" s="539">
        <f t="shared" si="53"/>
        <v>9597.1134401386062</v>
      </c>
      <c r="DI108" s="539">
        <f t="shared" si="53"/>
        <v>9613.3840855612816</v>
      </c>
      <c r="DJ108" s="539">
        <f t="shared" si="53"/>
        <v>12362.000408611068</v>
      </c>
      <c r="DK108" s="539">
        <f t="shared" si="53"/>
        <v>12376.839644002683</v>
      </c>
      <c r="DL108" s="539">
        <f t="shared" si="53"/>
        <v>12391.011113801676</v>
      </c>
      <c r="DM108" s="539">
        <f t="shared" si="53"/>
        <v>12404.544867459716</v>
      </c>
      <c r="DN108" s="539">
        <f t="shared" si="53"/>
        <v>12634.486114046989</v>
      </c>
      <c r="DO108" s="539">
        <f t="shared" si="53"/>
        <v>12646.829235726962</v>
      </c>
      <c r="DP108" s="539">
        <f t="shared" si="53"/>
        <v>12658.616916931336</v>
      </c>
      <c r="DQ108" s="539">
        <f t="shared" si="53"/>
        <v>12669.874152481512</v>
      </c>
      <c r="DR108" s="539">
        <f t="shared" si="53"/>
        <v>12900.991430248148</v>
      </c>
      <c r="DS108" s="539">
        <f t="shared" si="53"/>
        <v>12911.2583105008</v>
      </c>
      <c r="DT108" s="539">
        <f t="shared" si="53"/>
        <v>12921.063181142081</v>
      </c>
      <c r="DU108" s="539">
        <f t="shared" si="53"/>
        <v>12930.426832604504</v>
      </c>
      <c r="DV108" s="539">
        <f t="shared" si="53"/>
        <v>13163.124497358656</v>
      </c>
      <c r="DW108" s="539">
        <f t="shared" si="53"/>
        <v>13171.664381583672</v>
      </c>
      <c r="DX108" s="539">
        <f t="shared" si="53"/>
        <v>13179.819971018564</v>
      </c>
      <c r="DY108" s="539">
        <f t="shared" si="53"/>
        <v>13187.608558928885</v>
      </c>
      <c r="DZ108" s="539">
        <f t="shared" si="53"/>
        <v>13422.229408189083</v>
      </c>
      <c r="EA108" s="539">
        <f t="shared" si="53"/>
        <v>13429.332795077993</v>
      </c>
      <c r="EB108" s="539">
        <f t="shared" si="53"/>
        <v>13436.116529556903</v>
      </c>
      <c r="EC108" s="539">
        <f t="shared" si="53"/>
        <v>10524.80569059574</v>
      </c>
      <c r="ED108" s="539">
        <f t="shared" si="53"/>
        <v>0</v>
      </c>
      <c r="EE108" s="539">
        <f t="shared" si="53"/>
        <v>0</v>
      </c>
      <c r="EF108" s="539">
        <f t="shared" si="53"/>
        <v>0</v>
      </c>
      <c r="EG108" s="539">
        <f t="shared" si="53"/>
        <v>0</v>
      </c>
    </row>
    <row r="109" spans="5:137" ht="12.75">
      <c r="E109" s="540" t="s">
        <v>453</v>
      </c>
      <c r="G109" s="541" t="s">
        <v>30</v>
      </c>
      <c r="H109" s="541">
        <f>SUM(J109:EG109)</f>
        <v>157560.76508650024</v>
      </c>
      <c r="J109" s="541">
        <f t="shared" si="54" ref="J109:EG109">J108*$F107</f>
        <v>0</v>
      </c>
      <c r="K109" s="541">
        <f t="shared" si="54"/>
        <v>0</v>
      </c>
      <c r="L109" s="541">
        <f t="shared" si="54"/>
        <v>0</v>
      </c>
      <c r="M109" s="541">
        <f t="shared" si="54"/>
        <v>0</v>
      </c>
      <c r="N109" s="541">
        <f t="shared" si="54"/>
        <v>0</v>
      </c>
      <c r="O109" s="541">
        <f t="shared" si="54"/>
        <v>0</v>
      </c>
      <c r="P109" s="541">
        <f t="shared" si="54"/>
        <v>0</v>
      </c>
      <c r="Q109" s="541">
        <f t="shared" si="54"/>
        <v>0</v>
      </c>
      <c r="R109" s="541">
        <f t="shared" si="54"/>
        <v>0</v>
      </c>
      <c r="S109" s="541">
        <f t="shared" si="54"/>
        <v>0</v>
      </c>
      <c r="T109" s="541">
        <f t="shared" si="54"/>
        <v>0</v>
      </c>
      <c r="U109" s="541">
        <f t="shared" si="54"/>
        <v>0</v>
      </c>
      <c r="V109" s="541">
        <f t="shared" si="54"/>
        <v>0</v>
      </c>
      <c r="W109" s="541">
        <f t="shared" si="54"/>
        <v>0</v>
      </c>
      <c r="X109" s="541">
        <f t="shared" si="54"/>
        <v>0</v>
      </c>
      <c r="Y109" s="541">
        <f t="shared" si="54"/>
        <v>0</v>
      </c>
      <c r="Z109" s="541">
        <f t="shared" si="54"/>
        <v>0</v>
      </c>
      <c r="AA109" s="541">
        <f t="shared" si="54"/>
        <v>0</v>
      </c>
      <c r="AB109" s="541">
        <f t="shared" si="54"/>
        <v>0</v>
      </c>
      <c r="AC109" s="541">
        <f t="shared" si="54"/>
        <v>0</v>
      </c>
      <c r="AD109" s="541">
        <f t="shared" si="54"/>
        <v>0</v>
      </c>
      <c r="AE109" s="541">
        <f t="shared" si="54"/>
        <v>0</v>
      </c>
      <c r="AF109" s="541">
        <f t="shared" si="54"/>
        <v>0</v>
      </c>
      <c r="AG109" s="541">
        <f t="shared" si="54"/>
        <v>0</v>
      </c>
      <c r="AH109" s="541">
        <f t="shared" si="54"/>
        <v>0</v>
      </c>
      <c r="AI109" s="541">
        <f t="shared" si="54"/>
        <v>0</v>
      </c>
      <c r="AJ109" s="541">
        <f t="shared" si="54"/>
        <v>0</v>
      </c>
      <c r="AK109" s="541">
        <f t="shared" si="54"/>
        <v>0</v>
      </c>
      <c r="AL109" s="541">
        <f t="shared" si="54"/>
        <v>0</v>
      </c>
      <c r="AM109" s="541">
        <f t="shared" si="54"/>
        <v>0</v>
      </c>
      <c r="AN109" s="541">
        <f t="shared" si="54"/>
        <v>0</v>
      </c>
      <c r="AO109" s="541">
        <f t="shared" si="54"/>
        <v>0</v>
      </c>
      <c r="AP109" s="541">
        <f t="shared" si="54"/>
        <v>0</v>
      </c>
      <c r="AQ109" s="541">
        <f t="shared" si="54"/>
        <v>0</v>
      </c>
      <c r="AR109" s="541">
        <f t="shared" si="54"/>
        <v>0</v>
      </c>
      <c r="AS109" s="541">
        <f t="shared" si="54"/>
        <v>0</v>
      </c>
      <c r="AT109" s="541">
        <f t="shared" si="54"/>
        <v>0</v>
      </c>
      <c r="AU109" s="541">
        <f t="shared" si="54"/>
        <v>0</v>
      </c>
      <c r="AV109" s="541">
        <f t="shared" si="54"/>
        <v>0</v>
      </c>
      <c r="AW109" s="541">
        <f t="shared" si="54"/>
        <v>4.364074562962367</v>
      </c>
      <c r="AX109" s="541">
        <f t="shared" si="54"/>
        <v>0</v>
      </c>
      <c r="AY109" s="541">
        <f t="shared" si="54"/>
        <v>0</v>
      </c>
      <c r="AZ109" s="541">
        <f t="shared" si="54"/>
        <v>0</v>
      </c>
      <c r="BA109" s="541">
        <f t="shared" si="54"/>
        <v>4.7139976228182263</v>
      </c>
      <c r="BB109" s="541">
        <f t="shared" si="54"/>
        <v>123.35434439866748</v>
      </c>
      <c r="BC109" s="541">
        <f t="shared" si="54"/>
        <v>140.985082426448</v>
      </c>
      <c r="BD109" s="541">
        <f t="shared" si="54"/>
        <v>157.82243724297831</v>
      </c>
      <c r="BE109" s="541">
        <f t="shared" si="54"/>
        <v>173.90211109276487</v>
      </c>
      <c r="BF109" s="541">
        <f t="shared" si="54"/>
        <v>198.25512746295027</v>
      </c>
      <c r="BG109" s="541">
        <f t="shared" si="54"/>
        <v>212.92019200580182</v>
      </c>
      <c r="BH109" s="541">
        <f t="shared" si="54"/>
        <v>226.92532864422503</v>
      </c>
      <c r="BI109" s="541">
        <f t="shared" si="54"/>
        <v>240.30023413391928</v>
      </c>
      <c r="BJ109" s="541">
        <f t="shared" si="54"/>
        <v>262.21607368816206</v>
      </c>
      <c r="BK109" s="541">
        <f t="shared" si="54"/>
        <v>274.41432186740042</v>
      </c>
      <c r="BL109" s="541">
        <f t="shared" si="54"/>
        <v>286.06364887857308</v>
      </c>
      <c r="BM109" s="541">
        <f t="shared" si="54"/>
        <v>297.18875617424294</v>
      </c>
      <c r="BN109" s="541">
        <f t="shared" si="54"/>
        <v>317.10386035506565</v>
      </c>
      <c r="BO109" s="541">
        <f t="shared" si="54"/>
        <v>327.25023633639898</v>
      </c>
      <c r="BP109" s="541">
        <f t="shared" si="54"/>
        <v>336.94002539857229</v>
      </c>
      <c r="BQ109" s="541">
        <f t="shared" si="54"/>
        <v>346.19377395294782</v>
      </c>
      <c r="BR109" s="541">
        <f t="shared" si="54"/>
        <v>261.14468402135651</v>
      </c>
      <c r="BS109" s="541">
        <f t="shared" si="54"/>
        <v>269.58433404666084</v>
      </c>
      <c r="BT109" s="541">
        <f t="shared" si="54"/>
        <v>277.64419982082643</v>
      </c>
      <c r="BU109" s="541">
        <f t="shared" si="54"/>
        <v>285.34137163515459</v>
      </c>
      <c r="BV109" s="541">
        <f t="shared" si="54"/>
        <v>572.02714248565167</v>
      </c>
      <c r="BW109" s="541">
        <f t="shared" si="54"/>
        <v>1375.4371889343881</v>
      </c>
      <c r="BX109" s="541">
        <f t="shared" si="54"/>
        <v>1397.7842307123358</v>
      </c>
      <c r="BY109" s="541">
        <f t="shared" si="54"/>
        <v>1419.125655610276</v>
      </c>
      <c r="BZ109" s="541">
        <f t="shared" si="54"/>
        <v>1471.9929449214624</v>
      </c>
      <c r="CA109" s="541">
        <f t="shared" si="54"/>
        <v>1491.4568579640058</v>
      </c>
      <c r="CB109" s="541">
        <f t="shared" si="54"/>
        <v>1579.7075216152664</v>
      </c>
      <c r="CC109" s="541">
        <f t="shared" si="54"/>
        <v>1937.9523262081209</v>
      </c>
      <c r="CD109" s="541">
        <f t="shared" si="54"/>
        <v>2024.7662307751368</v>
      </c>
      <c r="CE109" s="541">
        <f t="shared" si="54"/>
        <v>2048.0927292903048</v>
      </c>
      <c r="CF109" s="541">
        <f t="shared" si="54"/>
        <v>2071.1689961167576</v>
      </c>
      <c r="CG109" s="541">
        <f t="shared" si="54"/>
        <v>2097.7557449572951</v>
      </c>
      <c r="CH109" s="541">
        <f t="shared" si="54"/>
        <v>2179.1527691119772</v>
      </c>
      <c r="CI109" s="541">
        <f t="shared" si="54"/>
        <v>2200.9621577597163</v>
      </c>
      <c r="CJ109" s="541">
        <f t="shared" si="54"/>
        <v>2222.6797649111172</v>
      </c>
      <c r="CK109" s="541">
        <f t="shared" si="54"/>
        <v>2247.5261384042792</v>
      </c>
      <c r="CL109" s="541">
        <f t="shared" si="54"/>
        <v>1770.2932983001851</v>
      </c>
      <c r="CM109" s="541">
        <f t="shared" si="54"/>
        <v>1792.1169259185758</v>
      </c>
      <c r="CN109" s="541">
        <f t="shared" si="54"/>
        <v>1814.0216032353626</v>
      </c>
      <c r="CO109" s="541">
        <f t="shared" si="54"/>
        <v>1838.6229889690817</v>
      </c>
      <c r="CP109" s="541">
        <f t="shared" si="54"/>
        <v>2471.5854613087963</v>
      </c>
      <c r="CQ109" s="541">
        <f t="shared" si="54"/>
        <v>2494.6208210774184</v>
      </c>
      <c r="CR109" s="541">
        <f t="shared" si="54"/>
        <v>2515.1823106638908</v>
      </c>
      <c r="CS109" s="541">
        <f t="shared" si="54"/>
        <v>2537.9531175892853</v>
      </c>
      <c r="CT109" s="541">
        <f t="shared" si="54"/>
        <v>2614.6078700330509</v>
      </c>
      <c r="CU109" s="541">
        <f t="shared" si="54"/>
        <v>2634.9523584897361</v>
      </c>
      <c r="CV109" s="541">
        <f t="shared" si="54"/>
        <v>2655.5815594201231</v>
      </c>
      <c r="CW109" s="541">
        <f t="shared" si="54"/>
        <v>2677.8415026272069</v>
      </c>
      <c r="CX109" s="541">
        <f t="shared" si="54"/>
        <v>2753.5418691240106</v>
      </c>
      <c r="CY109" s="541">
        <f t="shared" si="54"/>
        <v>2774.1609804286254</v>
      </c>
      <c r="CZ109" s="541">
        <f t="shared" si="54"/>
        <v>2795.1661779897131</v>
      </c>
      <c r="DA109" s="541">
        <f t="shared" si="54"/>
        <v>2817.2146304100647</v>
      </c>
      <c r="DB109" s="541">
        <f t="shared" si="54"/>
        <v>2947.7510107061066</v>
      </c>
      <c r="DC109" s="541">
        <f t="shared" si="54"/>
        <v>2953.1129829310908</v>
      </c>
      <c r="DD109" s="541">
        <f t="shared" si="54"/>
        <v>2958.2336664059508</v>
      </c>
      <c r="DE109" s="541">
        <f t="shared" si="54"/>
        <v>2963.1239191244422</v>
      </c>
      <c r="DF109" s="541">
        <f t="shared" si="54"/>
        <v>2390.5589960365887</v>
      </c>
      <c r="DG109" s="541">
        <f t="shared" si="54"/>
        <v>2395.0190287721707</v>
      </c>
      <c r="DH109" s="541">
        <f t="shared" si="54"/>
        <v>2399.2783600346515</v>
      </c>
      <c r="DI109" s="541">
        <f t="shared" si="54"/>
        <v>2403.3460213903204</v>
      </c>
      <c r="DJ109" s="541">
        <f t="shared" si="54"/>
        <v>3090.5001021527669</v>
      </c>
      <c r="DK109" s="541">
        <f t="shared" si="54"/>
        <v>3094.2099110006707</v>
      </c>
      <c r="DL109" s="541">
        <f t="shared" si="54"/>
        <v>3097.7527784504191</v>
      </c>
      <c r="DM109" s="541">
        <f t="shared" si="54"/>
        <v>3101.1362168649289</v>
      </c>
      <c r="DN109" s="541">
        <f t="shared" si="54"/>
        <v>3158.6215285117473</v>
      </c>
      <c r="DO109" s="541">
        <f t="shared" si="54"/>
        <v>3161.7073089317405</v>
      </c>
      <c r="DP109" s="541">
        <f t="shared" si="54"/>
        <v>3164.654229232834</v>
      </c>
      <c r="DQ109" s="541">
        <f t="shared" si="54"/>
        <v>3167.4685381203781</v>
      </c>
      <c r="DR109" s="541">
        <f t="shared" si="54"/>
        <v>3225.2478575620371</v>
      </c>
      <c r="DS109" s="541">
        <f t="shared" si="54"/>
        <v>3227.8145776251999</v>
      </c>
      <c r="DT109" s="541">
        <f t="shared" si="54"/>
        <v>3230.2657952855202</v>
      </c>
      <c r="DU109" s="541">
        <f t="shared" si="54"/>
        <v>3232.606708151126</v>
      </c>
      <c r="DV109" s="541">
        <f t="shared" si="54"/>
        <v>3290.7811243396641</v>
      </c>
      <c r="DW109" s="541">
        <f t="shared" si="54"/>
        <v>3292.9160953959181</v>
      </c>
      <c r="DX109" s="541">
        <f t="shared" si="54"/>
        <v>3294.9549927546409</v>
      </c>
      <c r="DY109" s="541">
        <f t="shared" si="54"/>
        <v>3296.9021397322213</v>
      </c>
      <c r="DZ109" s="541">
        <f t="shared" si="54"/>
        <v>3355.5573520472708</v>
      </c>
      <c r="EA109" s="541">
        <f t="shared" si="54"/>
        <v>3357.3331987694983</v>
      </c>
      <c r="EB109" s="541">
        <f t="shared" si="54"/>
        <v>3359.0291323892257</v>
      </c>
      <c r="EC109" s="541">
        <f t="shared" si="54"/>
        <v>2631.201422648935</v>
      </c>
      <c r="ED109" s="541">
        <f t="shared" si="54"/>
        <v>0</v>
      </c>
      <c r="EE109" s="541">
        <f t="shared" si="54"/>
        <v>0</v>
      </c>
      <c r="EF109" s="541">
        <f t="shared" si="54"/>
        <v>0</v>
      </c>
      <c r="EG109" s="541">
        <f t="shared" si="54"/>
        <v>0</v>
      </c>
    </row>
    <row r="112" spans="1:1" ht="12.75">
      <c r="A112" s="534" t="s">
        <v>454</v>
      </c>
    </row>
    <row r="114" spans="5:7" ht="12.75">
      <c r="E114" s="535" t="str">
        <f>InpC!E$118</f>
        <v>Tax - corporate tax rate</v>
      </c>
      <c r="F114" s="542">
        <f>InpC!F$118</f>
        <v>0.25</v>
      </c>
      <c r="G114" s="542" t="str">
        <f>InpC!G$118</f>
        <v>%</v>
      </c>
    </row>
    <row r="115" spans="5:137" ht="12.75">
      <c r="E115" s="535" t="str">
        <f>Assets!E$32</f>
        <v>Fixed assets - net book value</v>
      </c>
      <c r="G115" s="537" t="str">
        <f>Assets!G$32</f>
        <v>EUR 000s</v>
      </c>
      <c r="H115" s="537">
        <f>Assets!H$32</f>
        <v>17999762.187499996</v>
      </c>
      <c r="J115" s="537">
        <f>Assets!J$32</f>
        <v>0</v>
      </c>
      <c r="K115" s="537">
        <f>Assets!K$32</f>
        <v>0</v>
      </c>
      <c r="L115" s="537">
        <f>Assets!L$32</f>
        <v>8000</v>
      </c>
      <c r="M115" s="537">
        <f>Assets!M$32</f>
        <v>21291.5625</v>
      </c>
      <c r="N115" s="537">
        <f>Assets!N$32</f>
        <v>34911.25</v>
      </c>
      <c r="O115" s="537">
        <f>Assets!O$32</f>
        <v>48202.8125</v>
      </c>
      <c r="P115" s="537">
        <f>Assets!P$32</f>
        <v>61822.5</v>
      </c>
      <c r="Q115" s="537">
        <f>Assets!Q$32</f>
        <v>75114.0625</v>
      </c>
      <c r="R115" s="537">
        <f>Assets!R$32</f>
        <v>92056.015625</v>
      </c>
      <c r="S115" s="537">
        <f>Assets!S$32</f>
        <v>109695.234375</v>
      </c>
      <c r="T115" s="537">
        <f>Assets!T$32</f>
        <v>127662.578125</v>
      </c>
      <c r="U115" s="537">
        <f>Assets!U$32</f>
        <v>145958.046875</v>
      </c>
      <c r="V115" s="537">
        <f>Assets!V$32</f>
        <v>162941.015625</v>
      </c>
      <c r="W115" s="537">
        <f>Assets!W$32</f>
        <v>179759.921875</v>
      </c>
      <c r="X115" s="537">
        <f>Assets!X$32</f>
        <v>194774.140625</v>
      </c>
      <c r="Y115" s="537">
        <f>Assets!Y$32</f>
        <v>207819.609375</v>
      </c>
      <c r="Z115" s="537">
        <f>Assets!Z$32</f>
        <v>219880.703125</v>
      </c>
      <c r="AA115" s="537">
        <f>Assets!AA$32</f>
        <v>233418.359375</v>
      </c>
      <c r="AB115" s="537">
        <f>Assets!AB$32</f>
        <v>247612.265625</v>
      </c>
      <c r="AC115" s="537">
        <f>Assets!AC$32</f>
        <v>261642.109375</v>
      </c>
      <c r="AD115" s="537">
        <f>Assets!AD$32</f>
        <v>274318.4375</v>
      </c>
      <c r="AE115" s="537">
        <f>Assets!AE$32</f>
        <v>281867.8125</v>
      </c>
      <c r="AF115" s="537">
        <f>Assets!AF$32</f>
        <v>287612.5</v>
      </c>
      <c r="AG115" s="537">
        <f>Assets!AG$32</f>
        <v>291552.5</v>
      </c>
      <c r="AH115" s="537">
        <f>Assets!AH$32</f>
        <v>288636.97499999998</v>
      </c>
      <c r="AI115" s="537">
        <f>Assets!AI$32</f>
        <v>285721.44999999995</v>
      </c>
      <c r="AJ115" s="537">
        <f>Assets!AJ$32</f>
        <v>282805.92499999993</v>
      </c>
      <c r="AK115" s="537">
        <f>Assets!AK$32</f>
        <v>279890.39999999991</v>
      </c>
      <c r="AL115" s="537">
        <f>Assets!AL$32</f>
        <v>276974.87499999988</v>
      </c>
      <c r="AM115" s="537">
        <f>Assets!AM$32</f>
        <v>274059.34999999986</v>
      </c>
      <c r="AN115" s="537">
        <f>Assets!AN$32</f>
        <v>271143.82499999984</v>
      </c>
      <c r="AO115" s="537">
        <f>Assets!AO$32</f>
        <v>268228.29999999981</v>
      </c>
      <c r="AP115" s="537">
        <f>Assets!AP$32</f>
        <v>265312.77499999979</v>
      </c>
      <c r="AQ115" s="537">
        <f>Assets!AQ$32</f>
        <v>262397.24999999977</v>
      </c>
      <c r="AR115" s="537">
        <f>Assets!AR$32</f>
        <v>259481.72499999977</v>
      </c>
      <c r="AS115" s="537">
        <f>Assets!AS$32</f>
        <v>256566.19999999978</v>
      </c>
      <c r="AT115" s="537">
        <f>Assets!AT$32</f>
        <v>253650.67499999978</v>
      </c>
      <c r="AU115" s="537">
        <f>Assets!AU$32</f>
        <v>250735.14999999979</v>
      </c>
      <c r="AV115" s="537">
        <f>Assets!AV$32</f>
        <v>247819.6249999998</v>
      </c>
      <c r="AW115" s="537">
        <f>Assets!AW$32</f>
        <v>244904.0999999998</v>
      </c>
      <c r="AX115" s="537">
        <f>Assets!AX$32</f>
        <v>241988.57499999981</v>
      </c>
      <c r="AY115" s="537">
        <f>Assets!AY$32</f>
        <v>239073.04999999981</v>
      </c>
      <c r="AZ115" s="537">
        <f>Assets!AZ$32</f>
        <v>236157.52499999982</v>
      </c>
      <c r="BA115" s="537">
        <f>Assets!BA$32</f>
        <v>233241.99999999983</v>
      </c>
      <c r="BB115" s="537">
        <f>Assets!BB$32</f>
        <v>230326.47499999983</v>
      </c>
      <c r="BC115" s="537">
        <f>Assets!BC$32</f>
        <v>227410.94999999984</v>
      </c>
      <c r="BD115" s="537">
        <f>Assets!BD$32</f>
        <v>224495.42499999984</v>
      </c>
      <c r="BE115" s="537">
        <f>Assets!BE$32</f>
        <v>221579.89999999985</v>
      </c>
      <c r="BF115" s="537">
        <f>Assets!BF$32</f>
        <v>218664.37499999985</v>
      </c>
      <c r="BG115" s="537">
        <f>Assets!BG$32</f>
        <v>215748.84999999986</v>
      </c>
      <c r="BH115" s="537">
        <f>Assets!BH$32</f>
        <v>212833.32499999987</v>
      </c>
      <c r="BI115" s="537">
        <f>Assets!BI$32</f>
        <v>209917.79999999987</v>
      </c>
      <c r="BJ115" s="537">
        <f>Assets!BJ$32</f>
        <v>207002.27499999988</v>
      </c>
      <c r="BK115" s="537">
        <f>Assets!BK$32</f>
        <v>204086.74999999988</v>
      </c>
      <c r="BL115" s="537">
        <f>Assets!BL$32</f>
        <v>201171.22499999989</v>
      </c>
      <c r="BM115" s="537">
        <f>Assets!BM$32</f>
        <v>198255.6999999999</v>
      </c>
      <c r="BN115" s="537">
        <f>Assets!BN$32</f>
        <v>195340.1749999999</v>
      </c>
      <c r="BO115" s="537">
        <f>Assets!BO$32</f>
        <v>192424.64999999991</v>
      </c>
      <c r="BP115" s="537">
        <f>Assets!BP$32</f>
        <v>189509.12499999991</v>
      </c>
      <c r="BQ115" s="537">
        <f>Assets!BQ$32</f>
        <v>186593.59999999992</v>
      </c>
      <c r="BR115" s="537">
        <f>Assets!BR$32</f>
        <v>183678.07499999992</v>
      </c>
      <c r="BS115" s="537">
        <f>Assets!BS$32</f>
        <v>180762.54999999993</v>
      </c>
      <c r="BT115" s="537">
        <f>Assets!BT$32</f>
        <v>177847.02499999994</v>
      </c>
      <c r="BU115" s="537">
        <f>Assets!BU$32</f>
        <v>174931.49999999994</v>
      </c>
      <c r="BV115" s="537">
        <f>Assets!BV$32</f>
        <v>172015.97499999995</v>
      </c>
      <c r="BW115" s="537">
        <f>Assets!BW$32</f>
        <v>169100.44999999995</v>
      </c>
      <c r="BX115" s="537">
        <f>Assets!BX$32</f>
        <v>166184.92499999996</v>
      </c>
      <c r="BY115" s="537">
        <f>Assets!BY$32</f>
        <v>163269.39999999997</v>
      </c>
      <c r="BZ115" s="537">
        <f>Assets!BZ$32</f>
        <v>160353.87499999997</v>
      </c>
      <c r="CA115" s="537">
        <f>Assets!CA$32</f>
        <v>157438.34999999998</v>
      </c>
      <c r="CB115" s="537">
        <f>Assets!CB$32</f>
        <v>154522.82499999998</v>
      </c>
      <c r="CC115" s="537">
        <f>Assets!CC$32</f>
        <v>151607.29999999999</v>
      </c>
      <c r="CD115" s="537">
        <f>Assets!CD$32</f>
        <v>148691.77499999999</v>
      </c>
      <c r="CE115" s="537">
        <f>Assets!CE$32</f>
        <v>145776.25</v>
      </c>
      <c r="CF115" s="537">
        <f>Assets!CF$32</f>
        <v>142860.72500000001</v>
      </c>
      <c r="CG115" s="537">
        <f>Assets!CG$32</f>
        <v>139945.20000000001</v>
      </c>
      <c r="CH115" s="537">
        <f>Assets!CH$32</f>
        <v>137029.67500000002</v>
      </c>
      <c r="CI115" s="537">
        <f>Assets!CI$32</f>
        <v>134114.15000000002</v>
      </c>
      <c r="CJ115" s="537">
        <f>Assets!CJ$32</f>
        <v>131198.62500000003</v>
      </c>
      <c r="CK115" s="537">
        <f>Assets!CK$32</f>
        <v>128283.10000000003</v>
      </c>
      <c r="CL115" s="537">
        <f>Assets!CL$32</f>
        <v>125367.57500000004</v>
      </c>
      <c r="CM115" s="537">
        <f>Assets!CM$32</f>
        <v>122452.05000000005</v>
      </c>
      <c r="CN115" s="537">
        <f>Assets!CN$32</f>
        <v>119536.52500000005</v>
      </c>
      <c r="CO115" s="537">
        <f>Assets!CO$32</f>
        <v>116621.00000000006</v>
      </c>
      <c r="CP115" s="537">
        <f>Assets!CP$32</f>
        <v>113705.47500000006</v>
      </c>
      <c r="CQ115" s="537">
        <f>Assets!CQ$32</f>
        <v>110789.95000000007</v>
      </c>
      <c r="CR115" s="537">
        <f>Assets!CR$32</f>
        <v>107874.42500000008</v>
      </c>
      <c r="CS115" s="537">
        <f>Assets!CS$32</f>
        <v>104958.90000000008</v>
      </c>
      <c r="CT115" s="537">
        <f>Assets!CT$32</f>
        <v>102043.37500000009</v>
      </c>
      <c r="CU115" s="537">
        <f>Assets!CU$32</f>
        <v>99127.850000000093</v>
      </c>
      <c r="CV115" s="537">
        <f>Assets!CV$32</f>
        <v>96212.325000000099</v>
      </c>
      <c r="CW115" s="537">
        <f>Assets!CW$32</f>
        <v>93296.800000000105</v>
      </c>
      <c r="CX115" s="537">
        <f>Assets!CX$32</f>
        <v>90381.275000000111</v>
      </c>
      <c r="CY115" s="537">
        <f>Assets!CY$32</f>
        <v>87465.750000000116</v>
      </c>
      <c r="CZ115" s="537">
        <f>Assets!CZ$32</f>
        <v>84550.225000000122</v>
      </c>
      <c r="DA115" s="537">
        <f>Assets!DA$32</f>
        <v>81634.700000000128</v>
      </c>
      <c r="DB115" s="537">
        <f>Assets!DB$32</f>
        <v>78719.175000000134</v>
      </c>
      <c r="DC115" s="537">
        <f>Assets!DC$32</f>
        <v>75803.65000000014</v>
      </c>
      <c r="DD115" s="537">
        <f>Assets!DD$32</f>
        <v>72888.125000000146</v>
      </c>
      <c r="DE115" s="537">
        <f>Assets!DE$32</f>
        <v>69972.600000000151</v>
      </c>
      <c r="DF115" s="537">
        <f>Assets!DF$32</f>
        <v>67057.075000000157</v>
      </c>
      <c r="DG115" s="537">
        <f>Assets!DG$32</f>
        <v>64141.550000000156</v>
      </c>
      <c r="DH115" s="537">
        <f>Assets!DH$32</f>
        <v>61226.025000000154</v>
      </c>
      <c r="DI115" s="537">
        <f>Assets!DI$32</f>
        <v>58310.500000000153</v>
      </c>
      <c r="DJ115" s="537">
        <f>Assets!DJ$32</f>
        <v>55394.975000000151</v>
      </c>
      <c r="DK115" s="537">
        <f>Assets!DK$32</f>
        <v>52479.45000000015</v>
      </c>
      <c r="DL115" s="537">
        <f>Assets!DL$32</f>
        <v>49563.925000000148</v>
      </c>
      <c r="DM115" s="537">
        <f>Assets!DM$32</f>
        <v>46648.400000000147</v>
      </c>
      <c r="DN115" s="537">
        <f>Assets!DN$32</f>
        <v>43732.875000000146</v>
      </c>
      <c r="DO115" s="537">
        <f>Assets!DO$32</f>
        <v>40817.350000000144</v>
      </c>
      <c r="DP115" s="537">
        <f>Assets!DP$32</f>
        <v>37901.825000000143</v>
      </c>
      <c r="DQ115" s="537">
        <f>Assets!DQ$32</f>
        <v>34986.300000000141</v>
      </c>
      <c r="DR115" s="537">
        <f>Assets!DR$32</f>
        <v>32070.77500000014</v>
      </c>
      <c r="DS115" s="537">
        <f>Assets!DS$32</f>
        <v>29155.250000000138</v>
      </c>
      <c r="DT115" s="537">
        <f>Assets!DT$32</f>
        <v>26239.725000000137</v>
      </c>
      <c r="DU115" s="537">
        <f>Assets!DU$32</f>
        <v>23324.200000000135</v>
      </c>
      <c r="DV115" s="537">
        <f>Assets!DV$32</f>
        <v>20408.675000000134</v>
      </c>
      <c r="DW115" s="537">
        <f>Assets!DW$32</f>
        <v>17493.150000000132</v>
      </c>
      <c r="DX115" s="537">
        <f>Assets!DX$32</f>
        <v>14577.625000000133</v>
      </c>
      <c r="DY115" s="537">
        <f>Assets!DY$32</f>
        <v>11662.100000000133</v>
      </c>
      <c r="DZ115" s="537">
        <f>Assets!DZ$32</f>
        <v>8746.5750000001335</v>
      </c>
      <c r="EA115" s="537">
        <f>Assets!EA$32</f>
        <v>5831.0500000001339</v>
      </c>
      <c r="EB115" s="537">
        <f>Assets!EB$32</f>
        <v>2915.5250000001338</v>
      </c>
      <c r="EC115" s="537">
        <f>Assets!EC$32</f>
        <v>0</v>
      </c>
      <c r="ED115" s="537">
        <f>Assets!ED$32</f>
        <v>0</v>
      </c>
      <c r="EE115" s="537">
        <f>Assets!EE$32</f>
        <v>0</v>
      </c>
      <c r="EF115" s="537">
        <f>Assets!EF$32</f>
        <v>0</v>
      </c>
      <c r="EG115" s="537">
        <f>Assets!EG$32</f>
        <v>0</v>
      </c>
    </row>
    <row r="116" spans="5:137" ht="12.75">
      <c r="E116" s="535" t="str">
        <f>Assets!E$45</f>
        <v>Fixed assets - tax written-down value</v>
      </c>
      <c r="G116" s="537" t="str">
        <f>Assets!G$45</f>
        <v>EUR 000s</v>
      </c>
      <c r="H116" s="537">
        <f>Assets!H$45</f>
        <v>9690465.6196024753</v>
      </c>
      <c r="J116" s="537">
        <f>Assets!J$45</f>
        <v>0</v>
      </c>
      <c r="K116" s="537">
        <f>Assets!K$45</f>
        <v>0</v>
      </c>
      <c r="L116" s="537">
        <f>Assets!L$45</f>
        <v>8000</v>
      </c>
      <c r="M116" s="537">
        <f>Assets!M$45</f>
        <v>21291.5625</v>
      </c>
      <c r="N116" s="537">
        <f>Assets!N$45</f>
        <v>34911.25</v>
      </c>
      <c r="O116" s="537">
        <f>Assets!O$45</f>
        <v>48202.8125</v>
      </c>
      <c r="P116" s="537">
        <f>Assets!P$45</f>
        <v>61822.5</v>
      </c>
      <c r="Q116" s="537">
        <f>Assets!Q$45</f>
        <v>75114.0625</v>
      </c>
      <c r="R116" s="537">
        <f>Assets!R$45</f>
        <v>92056.015625</v>
      </c>
      <c r="S116" s="537">
        <f>Assets!S$45</f>
        <v>109695.234375</v>
      </c>
      <c r="T116" s="537">
        <f>Assets!T$45</f>
        <v>127662.578125</v>
      </c>
      <c r="U116" s="537">
        <f>Assets!U$45</f>
        <v>145958.046875</v>
      </c>
      <c r="V116" s="537">
        <f>Assets!V$45</f>
        <v>162941.015625</v>
      </c>
      <c r="W116" s="537">
        <f>Assets!W$45</f>
        <v>179759.921875</v>
      </c>
      <c r="X116" s="537">
        <f>Assets!X$45</f>
        <v>194774.140625</v>
      </c>
      <c r="Y116" s="537">
        <f>Assets!Y$45</f>
        <v>207819.609375</v>
      </c>
      <c r="Z116" s="537">
        <f>Assets!Z$45</f>
        <v>219880.703125</v>
      </c>
      <c r="AA116" s="537">
        <f>Assets!AA$45</f>
        <v>233418.359375</v>
      </c>
      <c r="AB116" s="537">
        <f>Assets!AB$45</f>
        <v>247612.265625</v>
      </c>
      <c r="AC116" s="537">
        <f>Assets!AC$45</f>
        <v>261642.109375</v>
      </c>
      <c r="AD116" s="537">
        <f>Assets!AD$45</f>
        <v>274318.4375</v>
      </c>
      <c r="AE116" s="537">
        <f>Assets!AE$45</f>
        <v>281867.8125</v>
      </c>
      <c r="AF116" s="537">
        <f>Assets!AF$45</f>
        <v>287612.5</v>
      </c>
      <c r="AG116" s="537">
        <f>Assets!AG$45</f>
        <v>291552.5</v>
      </c>
      <c r="AH116" s="537">
        <f>Assets!AH$45</f>
        <v>278432.63750000001</v>
      </c>
      <c r="AI116" s="537">
        <f>Assets!AI$45</f>
        <v>265903.16881250002</v>
      </c>
      <c r="AJ116" s="537">
        <f>Assets!AJ$45</f>
        <v>253937.52621593751</v>
      </c>
      <c r="AK116" s="537">
        <f>Assets!AK$45</f>
        <v>242510.33753622032</v>
      </c>
      <c r="AL116" s="537">
        <f>Assets!AL$45</f>
        <v>231597.37234709039</v>
      </c>
      <c r="AM116" s="537">
        <f>Assets!AM$45</f>
        <v>221175.49059147132</v>
      </c>
      <c r="AN116" s="537">
        <f>Assets!AN$45</f>
        <v>211222.59351485511</v>
      </c>
      <c r="AO116" s="537">
        <f>Assets!AO$45</f>
        <v>201717.57680668661</v>
      </c>
      <c r="AP116" s="537">
        <f>Assets!AP$45</f>
        <v>192640.28585038573</v>
      </c>
      <c r="AQ116" s="537">
        <f>Assets!AQ$45</f>
        <v>183971.47298711838</v>
      </c>
      <c r="AR116" s="537">
        <f>Assets!AR$45</f>
        <v>175692.75670269807</v>
      </c>
      <c r="AS116" s="537">
        <f>Assets!AS$45</f>
        <v>167786.58265107666</v>
      </c>
      <c r="AT116" s="537">
        <f>Assets!AT$45</f>
        <v>160236.18643177822</v>
      </c>
      <c r="AU116" s="537">
        <f>Assets!AU$45</f>
        <v>153025.55804234819</v>
      </c>
      <c r="AV116" s="537">
        <f>Assets!AV$45</f>
        <v>146139.40793044251</v>
      </c>
      <c r="AW116" s="537">
        <f>Assets!AW$45</f>
        <v>139563.13457357261</v>
      </c>
      <c r="AX116" s="537">
        <f>Assets!AX$45</f>
        <v>133282.79351776183</v>
      </c>
      <c r="AY116" s="537">
        <f>Assets!AY$45</f>
        <v>127285.06780946255</v>
      </c>
      <c r="AZ116" s="537">
        <f>Assets!AZ$45</f>
        <v>121557.23975803674</v>
      </c>
      <c r="BA116" s="537">
        <f>Assets!BA$45</f>
        <v>116087.16396892509</v>
      </c>
      <c r="BB116" s="537">
        <f>Assets!BB$45</f>
        <v>110863.24159032347</v>
      </c>
      <c r="BC116" s="537">
        <f>Assets!BC$45</f>
        <v>105874.39571875891</v>
      </c>
      <c r="BD116" s="537">
        <f>Assets!BD$45</f>
        <v>101110.04791141476</v>
      </c>
      <c r="BE116" s="537">
        <f>Assets!BE$45</f>
        <v>96560.095755401097</v>
      </c>
      <c r="BF116" s="537">
        <f>Assets!BF$45</f>
        <v>92214.891446408044</v>
      </c>
      <c r="BG116" s="537">
        <f>Assets!BG$45</f>
        <v>88065.221331319684</v>
      </c>
      <c r="BH116" s="537">
        <f>Assets!BH$45</f>
        <v>84102.2863714103</v>
      </c>
      <c r="BI116" s="537">
        <f>Assets!BI$45</f>
        <v>80317.683484696841</v>
      </c>
      <c r="BJ116" s="537">
        <f>Assets!BJ$45</f>
        <v>76703.387727885478</v>
      </c>
      <c r="BK116" s="537">
        <f>Assets!BK$45</f>
        <v>73251.735280130626</v>
      </c>
      <c r="BL116" s="537">
        <f>Assets!BL$45</f>
        <v>69955.407192524755</v>
      </c>
      <c r="BM116" s="537">
        <f>Assets!BM$45</f>
        <v>66807.413868861142</v>
      </c>
      <c r="BN116" s="537">
        <f>Assets!BN$45</f>
        <v>63801.080244762394</v>
      </c>
      <c r="BO116" s="537">
        <f>Assets!BO$45</f>
        <v>60930.031633748084</v>
      </c>
      <c r="BP116" s="537">
        <f>Assets!BP$45</f>
        <v>58188.180210229417</v>
      </c>
      <c r="BQ116" s="537">
        <f>Assets!BQ$45</f>
        <v>55569.712100769095</v>
      </c>
      <c r="BR116" s="537">
        <f>Assets!BR$45</f>
        <v>53069.075056234484</v>
      </c>
      <c r="BS116" s="537">
        <f>Assets!BS$45</f>
        <v>50680.966678703931</v>
      </c>
      <c r="BT116" s="537">
        <f>Assets!BT$45</f>
        <v>48400.323178162253</v>
      </c>
      <c r="BU116" s="537">
        <f>Assets!BU$45</f>
        <v>46222.308635144953</v>
      </c>
      <c r="BV116" s="537">
        <f>Assets!BV$45</f>
        <v>44142.30474656343</v>
      </c>
      <c r="BW116" s="537">
        <f>Assets!BW$45</f>
        <v>42155.901032968075</v>
      </c>
      <c r="BX116" s="537">
        <f>Assets!BX$45</f>
        <v>40258.885486484513</v>
      </c>
      <c r="BY116" s="537">
        <f>Assets!BY$45</f>
        <v>38447.235639592713</v>
      </c>
      <c r="BZ116" s="537">
        <f>Assets!BZ$45</f>
        <v>36717.110035811042</v>
      </c>
      <c r="CA116" s="537">
        <f>Assets!CA$45</f>
        <v>35064.840084199546</v>
      </c>
      <c r="CB116" s="537">
        <f>Assets!CB$45</f>
        <v>33486.922280410567</v>
      </c>
      <c r="CC116" s="537">
        <f>Assets!CC$45</f>
        <v>31980.010777792093</v>
      </c>
      <c r="CD116" s="537">
        <f>Assets!CD$45</f>
        <v>30540.91029279145</v>
      </c>
      <c r="CE116" s="537">
        <f>Assets!CE$45</f>
        <v>29166.569329615835</v>
      </c>
      <c r="CF116" s="537">
        <f>Assets!CF$45</f>
        <v>27854.073709783122</v>
      </c>
      <c r="CG116" s="537">
        <f>Assets!CG$45</f>
        <v>26600.640392842881</v>
      </c>
      <c r="CH116" s="537">
        <f>Assets!CH$45</f>
        <v>25403.611575164952</v>
      </c>
      <c r="CI116" s="537">
        <f>Assets!CI$45</f>
        <v>24260.44905428253</v>
      </c>
      <c r="CJ116" s="537">
        <f>Assets!CJ$45</f>
        <v>23168.728846839815</v>
      </c>
      <c r="CK116" s="537">
        <f>Assets!CK$45</f>
        <v>22126.136048732023</v>
      </c>
      <c r="CL116" s="537">
        <f>Assets!CL$45</f>
        <v>21130.459926539083</v>
      </c>
      <c r="CM116" s="537">
        <f>Assets!CM$45</f>
        <v>20179.589229844823</v>
      </c>
      <c r="CN116" s="537">
        <f>Assets!CN$45</f>
        <v>19271.507714501808</v>
      </c>
      <c r="CO116" s="537">
        <f>Assets!CO$45</f>
        <v>18404.289867349227</v>
      </c>
      <c r="CP116" s="537">
        <f>Assets!CP$45</f>
        <v>17576.096823318512</v>
      </c>
      <c r="CQ116" s="537">
        <f>Assets!CQ$45</f>
        <v>16785.172466269178</v>
      </c>
      <c r="CR116" s="537">
        <f>Assets!CR$45</f>
        <v>16029.839705287064</v>
      </c>
      <c r="CS116" s="537">
        <f>Assets!CS$45</f>
        <v>15308.496918549146</v>
      </c>
      <c r="CT116" s="537">
        <f>Assets!CT$45</f>
        <v>14619.614557214434</v>
      </c>
      <c r="CU116" s="537">
        <f>Assets!CU$45</f>
        <v>13961.731902139785</v>
      </c>
      <c r="CV116" s="537">
        <f>Assets!CV$45</f>
        <v>13333.453966543495</v>
      </c>
      <c r="CW116" s="537">
        <f>Assets!CW$45</f>
        <v>12733.448538049037</v>
      </c>
      <c r="CX116" s="537">
        <f>Assets!CX$45</f>
        <v>12160.44335383683</v>
      </c>
      <c r="CY116" s="537">
        <f>Assets!CY$45</f>
        <v>11613.223402914173</v>
      </c>
      <c r="CZ116" s="537">
        <f>Assets!CZ$45</f>
        <v>11090.628349783035</v>
      </c>
      <c r="DA116" s="537">
        <f>Assets!DA$45</f>
        <v>10591.5500740428</v>
      </c>
      <c r="DB116" s="537">
        <f>Assets!DB$45</f>
        <v>10114.930320710873</v>
      </c>
      <c r="DC116" s="537">
        <f>Assets!DC$45</f>
        <v>9659.7584562788834</v>
      </c>
      <c r="DD116" s="537">
        <f>Assets!DD$45</f>
        <v>9225.0693257463336</v>
      </c>
      <c r="DE116" s="537">
        <f>Assets!DE$45</f>
        <v>8809.9412060877494</v>
      </c>
      <c r="DF116" s="537">
        <f>Assets!DF$45</f>
        <v>8413.4938518138006</v>
      </c>
      <c r="DG116" s="537">
        <f>Assets!DG$45</f>
        <v>8034.8866284821797</v>
      </c>
      <c r="DH116" s="537">
        <f>Assets!DH$45</f>
        <v>7673.3167302004813</v>
      </c>
      <c r="DI116" s="537">
        <f>Assets!DI$45</f>
        <v>7328.0174773414601</v>
      </c>
      <c r="DJ116" s="537">
        <f>Assets!DJ$45</f>
        <v>6998.2566908610943</v>
      </c>
      <c r="DK116" s="537">
        <f>Assets!DK$45</f>
        <v>6683.3351397723454</v>
      </c>
      <c r="DL116" s="537">
        <f>Assets!DL$45</f>
        <v>6382.5850584825903</v>
      </c>
      <c r="DM116" s="537">
        <f>Assets!DM$45</f>
        <v>6095.3687308508734</v>
      </c>
      <c r="DN116" s="537">
        <f>Assets!DN$45</f>
        <v>5821.0771379625839</v>
      </c>
      <c r="DO116" s="537">
        <f>Assets!DO$45</f>
        <v>5559.1286667542681</v>
      </c>
      <c r="DP116" s="537">
        <f>Assets!DP$45</f>
        <v>5308.9678767503265</v>
      </c>
      <c r="DQ116" s="537">
        <f>Assets!DQ$45</f>
        <v>5070.0643222965618</v>
      </c>
      <c r="DR116" s="537">
        <f>Assets!DR$45</f>
        <v>4841.9114277932167</v>
      </c>
      <c r="DS116" s="537">
        <f>Assets!DS$45</f>
        <v>4624.0254135425221</v>
      </c>
      <c r="DT116" s="537">
        <f>Assets!DT$45</f>
        <v>4415.9442699331084</v>
      </c>
      <c r="DU116" s="537">
        <f>Assets!DU$45</f>
        <v>4217.2267777861189</v>
      </c>
      <c r="DV116" s="537">
        <f>Assets!DV$45</f>
        <v>4027.4515727857433</v>
      </c>
      <c r="DW116" s="537">
        <f>Assets!DW$45</f>
        <v>3846.2162520103848</v>
      </c>
      <c r="DX116" s="537">
        <f>Assets!DX$45</f>
        <v>3673.1365206699174</v>
      </c>
      <c r="DY116" s="537">
        <f>Assets!DY$45</f>
        <v>3507.8453772397711</v>
      </c>
      <c r="DZ116" s="537">
        <f>Assets!DZ$45</f>
        <v>3349.9923352639812</v>
      </c>
      <c r="EA116" s="537">
        <f>Assets!EA$45</f>
        <v>3199.2426801771021</v>
      </c>
      <c r="EB116" s="537">
        <f>Assets!EB$45</f>
        <v>3055.2767595691325</v>
      </c>
      <c r="EC116" s="537">
        <f>Assets!EC$45</f>
        <v>0</v>
      </c>
      <c r="ED116" s="537">
        <f>Assets!ED$45</f>
        <v>0</v>
      </c>
      <c r="EE116" s="537">
        <f>Assets!EE$45</f>
        <v>0</v>
      </c>
      <c r="EF116" s="537">
        <f>Assets!EF$45</f>
        <v>0</v>
      </c>
      <c r="EG116" s="537">
        <f>Assets!EG$45</f>
        <v>0</v>
      </c>
    </row>
    <row r="117" spans="5:137" ht="12.75">
      <c r="E117" s="538" t="str">
        <f>E$50</f>
        <v>Disallowed interest - closing balance</v>
      </c>
      <c r="G117" s="539" t="str">
        <f>G$50</f>
        <v>EUR 000s</v>
      </c>
      <c r="H117" s="539">
        <f>H$50</f>
        <v>492908.97033742344</v>
      </c>
      <c r="J117" s="539">
        <f t="shared" si="55" ref="J117:EG117">J$50</f>
        <v>0</v>
      </c>
      <c r="K117" s="539">
        <f t="shared" si="55"/>
        <v>0</v>
      </c>
      <c r="L117" s="539">
        <f t="shared" si="55"/>
        <v>0</v>
      </c>
      <c r="M117" s="539">
        <f t="shared" si="55"/>
        <v>0</v>
      </c>
      <c r="N117" s="539">
        <f t="shared" si="55"/>
        <v>0</v>
      </c>
      <c r="O117" s="539">
        <f t="shared" si="55"/>
        <v>0</v>
      </c>
      <c r="P117" s="539">
        <f t="shared" si="55"/>
        <v>0</v>
      </c>
      <c r="Q117" s="539">
        <f t="shared" si="55"/>
        <v>0</v>
      </c>
      <c r="R117" s="539">
        <f t="shared" si="55"/>
        <v>0</v>
      </c>
      <c r="S117" s="539">
        <f t="shared" si="55"/>
        <v>0</v>
      </c>
      <c r="T117" s="539">
        <f t="shared" si="55"/>
        <v>0</v>
      </c>
      <c r="U117" s="539">
        <f t="shared" si="55"/>
        <v>0</v>
      </c>
      <c r="V117" s="539">
        <f t="shared" si="55"/>
        <v>0</v>
      </c>
      <c r="W117" s="539">
        <f t="shared" si="55"/>
        <v>0</v>
      </c>
      <c r="X117" s="539">
        <f t="shared" si="55"/>
        <v>0</v>
      </c>
      <c r="Y117" s="539">
        <f t="shared" si="55"/>
        <v>0</v>
      </c>
      <c r="Z117" s="539">
        <f t="shared" si="55"/>
        <v>0</v>
      </c>
      <c r="AA117" s="539">
        <f t="shared" si="55"/>
        <v>0</v>
      </c>
      <c r="AB117" s="539">
        <f t="shared" si="55"/>
        <v>0</v>
      </c>
      <c r="AC117" s="539">
        <f t="shared" si="55"/>
        <v>0</v>
      </c>
      <c r="AD117" s="539">
        <f t="shared" si="55"/>
        <v>0</v>
      </c>
      <c r="AE117" s="539">
        <f t="shared" si="55"/>
        <v>0</v>
      </c>
      <c r="AF117" s="539">
        <f t="shared" si="55"/>
        <v>0</v>
      </c>
      <c r="AG117" s="539">
        <f t="shared" si="55"/>
        <v>0</v>
      </c>
      <c r="AH117" s="539">
        <f t="shared" si="55"/>
        <v>1119.7674810450371</v>
      </c>
      <c r="AI117" s="539">
        <f t="shared" si="55"/>
        <v>2226.4727566457655</v>
      </c>
      <c r="AJ117" s="539">
        <f t="shared" si="55"/>
        <v>3340.4562637558256</v>
      </c>
      <c r="AK117" s="539">
        <f t="shared" si="55"/>
        <v>4420.0504290256058</v>
      </c>
      <c r="AL117" s="539">
        <f t="shared" si="55"/>
        <v>5336.2909495345384</v>
      </c>
      <c r="AM117" s="539">
        <f t="shared" si="55"/>
        <v>6257.1604128843028</v>
      </c>
      <c r="AN117" s="539">
        <f t="shared" si="55"/>
        <v>7181.390783584191</v>
      </c>
      <c r="AO117" s="539">
        <f t="shared" si="55"/>
        <v>8068.7886154103653</v>
      </c>
      <c r="AP117" s="539">
        <f t="shared" si="55"/>
        <v>8792.7797781716599</v>
      </c>
      <c r="AQ117" s="539">
        <f t="shared" si="55"/>
        <v>9517.3319222486316</v>
      </c>
      <c r="AR117" s="539">
        <f t="shared" si="55"/>
        <v>10241.067934048209</v>
      </c>
      <c r="AS117" s="539">
        <f t="shared" si="55"/>
        <v>10925.371514483448</v>
      </c>
      <c r="AT117" s="539">
        <f t="shared" si="55"/>
        <v>11483.649634345491</v>
      </c>
      <c r="AU117" s="539">
        <f t="shared" si="55"/>
        <v>12001.038675285276</v>
      </c>
      <c r="AV117" s="539">
        <f t="shared" si="55"/>
        <v>12513.315385008547</v>
      </c>
      <c r="AW117" s="539">
        <f t="shared" si="55"/>
        <v>12983.399867210319</v>
      </c>
      <c r="AX117" s="539">
        <f t="shared" si="55"/>
        <v>13812.027090357351</v>
      </c>
      <c r="AY117" s="539">
        <f t="shared" si="55"/>
        <v>14632.269716402969</v>
      </c>
      <c r="AZ117" s="539">
        <f t="shared" si="55"/>
        <v>15442.511030171347</v>
      </c>
      <c r="BA117" s="539">
        <f t="shared" si="55"/>
        <v>16207.619886262572</v>
      </c>
      <c r="BB117" s="539">
        <f t="shared" si="55"/>
        <v>16287.672939156371</v>
      </c>
      <c r="BC117" s="539">
        <f t="shared" si="55"/>
        <v>16355.293917127829</v>
      </c>
      <c r="BD117" s="539">
        <f t="shared" si="55"/>
        <v>16408.89194128929</v>
      </c>
      <c r="BE117" s="539">
        <f t="shared" si="55"/>
        <v>16415.387757300072</v>
      </c>
      <c r="BF117" s="539">
        <f t="shared" si="55"/>
        <v>16260.04189403413</v>
      </c>
      <c r="BG117" s="539">
        <f t="shared" si="55"/>
        <v>16087.658785696003</v>
      </c>
      <c r="BH117" s="539">
        <f t="shared" si="55"/>
        <v>15896.507991729806</v>
      </c>
      <c r="BI117" s="539">
        <f t="shared" si="55"/>
        <v>15655.503905943224</v>
      </c>
      <c r="BJ117" s="539">
        <f t="shared" si="55"/>
        <v>15282.732620221981</v>
      </c>
      <c r="BK117" s="539">
        <f t="shared" si="55"/>
        <v>14858.746500051868</v>
      </c>
      <c r="BL117" s="539">
        <f t="shared" si="55"/>
        <v>14411.042436453627</v>
      </c>
      <c r="BM117" s="539">
        <f t="shared" si="55"/>
        <v>13910.490708913134</v>
      </c>
      <c r="BN117" s="539">
        <f t="shared" si="55"/>
        <v>13249.458618664146</v>
      </c>
      <c r="BO117" s="539">
        <f t="shared" si="55"/>
        <v>12561.096628565658</v>
      </c>
      <c r="BP117" s="539">
        <f t="shared" si="55"/>
        <v>11843.374637551831</v>
      </c>
      <c r="BQ117" s="539">
        <f t="shared" si="55"/>
        <v>11069.55638148174</v>
      </c>
      <c r="BR117" s="539">
        <f t="shared" si="55"/>
        <v>10726.393893578843</v>
      </c>
      <c r="BS117" s="539">
        <f t="shared" si="55"/>
        <v>10349.450162387922</v>
      </c>
      <c r="BT117" s="539">
        <f t="shared" si="55"/>
        <v>9936.5070762883533</v>
      </c>
      <c r="BU117" s="539">
        <f t="shared" si="55"/>
        <v>9463.205265063898</v>
      </c>
      <c r="BV117" s="539">
        <f t="shared" si="55"/>
        <v>8239.7072455527123</v>
      </c>
      <c r="BW117" s="539">
        <f t="shared" si="55"/>
        <v>6978.1442966775276</v>
      </c>
      <c r="BX117" s="539">
        <f t="shared" si="55"/>
        <v>5681.8936166065405</v>
      </c>
      <c r="BY117" s="539">
        <f t="shared" si="55"/>
        <v>4329.3539251437987</v>
      </c>
      <c r="BZ117" s="539">
        <f t="shared" si="55"/>
        <v>2844.9649683332264</v>
      </c>
      <c r="CA117" s="539">
        <f t="shared" si="55"/>
        <v>1303.1320977283615</v>
      </c>
      <c r="CB117" s="539">
        <f t="shared" si="55"/>
        <v>0</v>
      </c>
      <c r="CC117" s="539">
        <f t="shared" si="55"/>
        <v>0</v>
      </c>
      <c r="CD117" s="539">
        <f t="shared" si="55"/>
        <v>0</v>
      </c>
      <c r="CE117" s="539">
        <f t="shared" si="55"/>
        <v>0</v>
      </c>
      <c r="CF117" s="539">
        <f t="shared" si="55"/>
        <v>0</v>
      </c>
      <c r="CG117" s="539">
        <f t="shared" si="55"/>
        <v>0</v>
      </c>
      <c r="CH117" s="539">
        <f t="shared" si="55"/>
        <v>0</v>
      </c>
      <c r="CI117" s="539">
        <f t="shared" si="55"/>
        <v>0</v>
      </c>
      <c r="CJ117" s="539">
        <f t="shared" si="55"/>
        <v>0</v>
      </c>
      <c r="CK117" s="539">
        <f t="shared" si="55"/>
        <v>0</v>
      </c>
      <c r="CL117" s="539">
        <f t="shared" si="55"/>
        <v>0</v>
      </c>
      <c r="CM117" s="539">
        <f t="shared" si="55"/>
        <v>0</v>
      </c>
      <c r="CN117" s="539">
        <f t="shared" si="55"/>
        <v>0</v>
      </c>
      <c r="CO117" s="539">
        <f t="shared" si="55"/>
        <v>0</v>
      </c>
      <c r="CP117" s="539">
        <f t="shared" si="55"/>
        <v>0</v>
      </c>
      <c r="CQ117" s="539">
        <f t="shared" si="55"/>
        <v>0</v>
      </c>
      <c r="CR117" s="539">
        <f t="shared" si="55"/>
        <v>0</v>
      </c>
      <c r="CS117" s="539">
        <f t="shared" si="55"/>
        <v>0</v>
      </c>
      <c r="CT117" s="539">
        <f t="shared" si="55"/>
        <v>0</v>
      </c>
      <c r="CU117" s="539">
        <f t="shared" si="55"/>
        <v>0</v>
      </c>
      <c r="CV117" s="539">
        <f t="shared" si="55"/>
        <v>0</v>
      </c>
      <c r="CW117" s="539">
        <f t="shared" si="55"/>
        <v>0</v>
      </c>
      <c r="CX117" s="539">
        <f t="shared" si="55"/>
        <v>0</v>
      </c>
      <c r="CY117" s="539">
        <f t="shared" si="55"/>
        <v>0</v>
      </c>
      <c r="CZ117" s="539">
        <f t="shared" si="55"/>
        <v>0</v>
      </c>
      <c r="DA117" s="539">
        <f t="shared" si="55"/>
        <v>0</v>
      </c>
      <c r="DB117" s="539">
        <f t="shared" si="55"/>
        <v>0</v>
      </c>
      <c r="DC117" s="539">
        <f t="shared" si="55"/>
        <v>0</v>
      </c>
      <c r="DD117" s="539">
        <f t="shared" si="55"/>
        <v>0</v>
      </c>
      <c r="DE117" s="539">
        <f t="shared" si="55"/>
        <v>0</v>
      </c>
      <c r="DF117" s="539">
        <f t="shared" si="55"/>
        <v>0</v>
      </c>
      <c r="DG117" s="539">
        <f t="shared" si="55"/>
        <v>0</v>
      </c>
      <c r="DH117" s="539">
        <f t="shared" si="55"/>
        <v>0</v>
      </c>
      <c r="DI117" s="539">
        <f t="shared" si="55"/>
        <v>0</v>
      </c>
      <c r="DJ117" s="539">
        <f t="shared" si="55"/>
        <v>0</v>
      </c>
      <c r="DK117" s="539">
        <f t="shared" si="55"/>
        <v>0</v>
      </c>
      <c r="DL117" s="539">
        <f t="shared" si="55"/>
        <v>0</v>
      </c>
      <c r="DM117" s="539">
        <f t="shared" si="55"/>
        <v>0</v>
      </c>
      <c r="DN117" s="539">
        <f t="shared" si="55"/>
        <v>0</v>
      </c>
      <c r="DO117" s="539">
        <f t="shared" si="55"/>
        <v>0</v>
      </c>
      <c r="DP117" s="539">
        <f t="shared" si="55"/>
        <v>0</v>
      </c>
      <c r="DQ117" s="539">
        <f t="shared" si="55"/>
        <v>0</v>
      </c>
      <c r="DR117" s="539">
        <f t="shared" si="55"/>
        <v>0</v>
      </c>
      <c r="DS117" s="539">
        <f t="shared" si="55"/>
        <v>0</v>
      </c>
      <c r="DT117" s="539">
        <f t="shared" si="55"/>
        <v>0</v>
      </c>
      <c r="DU117" s="539">
        <f t="shared" si="55"/>
        <v>0</v>
      </c>
      <c r="DV117" s="539">
        <f t="shared" si="55"/>
        <v>0</v>
      </c>
      <c r="DW117" s="539">
        <f t="shared" si="55"/>
        <v>0</v>
      </c>
      <c r="DX117" s="539">
        <f t="shared" si="55"/>
        <v>0</v>
      </c>
      <c r="DY117" s="539">
        <f t="shared" si="55"/>
        <v>0</v>
      </c>
      <c r="DZ117" s="539">
        <f t="shared" si="55"/>
        <v>0</v>
      </c>
      <c r="EA117" s="539">
        <f t="shared" si="55"/>
        <v>0</v>
      </c>
      <c r="EB117" s="539">
        <f t="shared" si="55"/>
        <v>0</v>
      </c>
      <c r="EC117" s="539">
        <f t="shared" si="55"/>
        <v>0</v>
      </c>
      <c r="ED117" s="539">
        <f t="shared" si="55"/>
        <v>0</v>
      </c>
      <c r="EE117" s="539">
        <f t="shared" si="55"/>
        <v>0</v>
      </c>
      <c r="EF117" s="539">
        <f t="shared" si="55"/>
        <v>0</v>
      </c>
      <c r="EG117" s="539">
        <f t="shared" si="55"/>
        <v>0</v>
      </c>
    </row>
    <row r="118" spans="5:137" ht="12.75">
      <c r="E118" s="538" t="str">
        <f>E$98</f>
        <v>Tax losses - closing balance</v>
      </c>
      <c r="G118" s="539" t="str">
        <f>G$98</f>
        <v>EUR 000s</v>
      </c>
      <c r="H118" s="539">
        <f>H$98</f>
        <v>1331931.5675670947</v>
      </c>
      <c r="J118" s="539">
        <f t="shared" si="56" ref="J118:EG118">J$98</f>
        <v>0</v>
      </c>
      <c r="K118" s="539">
        <f t="shared" si="56"/>
        <v>0</v>
      </c>
      <c r="L118" s="539">
        <f t="shared" si="56"/>
        <v>0</v>
      </c>
      <c r="M118" s="539">
        <f t="shared" si="56"/>
        <v>0</v>
      </c>
      <c r="N118" s="539">
        <f t="shared" si="56"/>
        <v>0</v>
      </c>
      <c r="O118" s="539">
        <f t="shared" si="56"/>
        <v>0</v>
      </c>
      <c r="P118" s="539">
        <f t="shared" si="56"/>
        <v>0</v>
      </c>
      <c r="Q118" s="539">
        <f t="shared" si="56"/>
        <v>0</v>
      </c>
      <c r="R118" s="539">
        <f t="shared" si="56"/>
        <v>0</v>
      </c>
      <c r="S118" s="539">
        <f t="shared" si="56"/>
        <v>0</v>
      </c>
      <c r="T118" s="539">
        <f t="shared" si="56"/>
        <v>0</v>
      </c>
      <c r="U118" s="539">
        <f t="shared" si="56"/>
        <v>0</v>
      </c>
      <c r="V118" s="539">
        <f t="shared" si="56"/>
        <v>0</v>
      </c>
      <c r="W118" s="539">
        <f t="shared" si="56"/>
        <v>0</v>
      </c>
      <c r="X118" s="539">
        <f t="shared" si="56"/>
        <v>0</v>
      </c>
      <c r="Y118" s="539">
        <f t="shared" si="56"/>
        <v>0</v>
      </c>
      <c r="Z118" s="539">
        <f t="shared" si="56"/>
        <v>0</v>
      </c>
      <c r="AA118" s="539">
        <f t="shared" si="56"/>
        <v>0</v>
      </c>
      <c r="AB118" s="539">
        <f t="shared" si="56"/>
        <v>0</v>
      </c>
      <c r="AC118" s="539">
        <f t="shared" si="56"/>
        <v>0</v>
      </c>
      <c r="AD118" s="539">
        <f t="shared" si="56"/>
        <v>0</v>
      </c>
      <c r="AE118" s="539">
        <f t="shared" si="56"/>
        <v>0</v>
      </c>
      <c r="AF118" s="539">
        <f t="shared" si="56"/>
        <v>0</v>
      </c>
      <c r="AG118" s="539">
        <f t="shared" si="56"/>
        <v>0</v>
      </c>
      <c r="AH118" s="539">
        <f t="shared" si="56"/>
        <v>6822.7318437499998</v>
      </c>
      <c r="AI118" s="539">
        <f t="shared" si="56"/>
        <v>13055.069875000001</v>
      </c>
      <c r="AJ118" s="539">
        <f t="shared" si="56"/>
        <v>18723.5818153125</v>
      </c>
      <c r="AK118" s="539">
        <f t="shared" si="56"/>
        <v>23853.639838779687</v>
      </c>
      <c r="AL118" s="539">
        <f t="shared" si="56"/>
        <v>28358.857082753351</v>
      </c>
      <c r="AM118" s="539">
        <f t="shared" si="56"/>
        <v>32372.990893216171</v>
      </c>
      <c r="AN118" s="539">
        <f t="shared" si="56"/>
        <v>35918.140024676133</v>
      </c>
      <c r="AO118" s="539">
        <f t="shared" si="56"/>
        <v>39015.408787688364</v>
      </c>
      <c r="AP118" s="539">
        <f t="shared" si="56"/>
        <v>41572.516711629105</v>
      </c>
      <c r="AQ118" s="539">
        <f t="shared" si="56"/>
        <v>43721.146542536306</v>
      </c>
      <c r="AR118" s="539">
        <f t="shared" si="56"/>
        <v>45479.679794596479</v>
      </c>
      <c r="AS118" s="539">
        <f t="shared" si="56"/>
        <v>46865.670813857738</v>
      </c>
      <c r="AT118" s="539">
        <f t="shared" si="56"/>
        <v>47781.606015446778</v>
      </c>
      <c r="AU118" s="539">
        <f t="shared" si="56"/>
        <v>48357.773387167384</v>
      </c>
      <c r="AV118" s="539">
        <f t="shared" si="56"/>
        <v>48609.46248136364</v>
      </c>
      <c r="AW118" s="539">
        <f t="shared" si="56"/>
        <v>48568.731118775991</v>
      </c>
      <c r="AX118" s="539">
        <f t="shared" si="56"/>
        <v>49316.143083837531</v>
      </c>
      <c r="AY118" s="539">
        <f t="shared" si="56"/>
        <v>49780.939701387586</v>
      </c>
      <c r="AZ118" s="539">
        <f t="shared" si="56"/>
        <v>49975.838662064169</v>
      </c>
      <c r="BA118" s="539">
        <f t="shared" si="56"/>
        <v>49931.841350917864</v>
      </c>
      <c r="BB118" s="539">
        <f t="shared" si="56"/>
        <v>48780.534136530303</v>
      </c>
      <c r="BC118" s="539">
        <f t="shared" si="56"/>
        <v>47464.67336721679</v>
      </c>
      <c r="BD118" s="539">
        <f t="shared" si="56"/>
        <v>45991.663952948991</v>
      </c>
      <c r="BE118" s="539">
        <f t="shared" si="56"/>
        <v>44368.577582749851</v>
      </c>
      <c r="BF118" s="539">
        <f t="shared" si="56"/>
        <v>42518.196393095648</v>
      </c>
      <c r="BG118" s="539">
        <f t="shared" si="56"/>
        <v>40530.941267708164</v>
      </c>
      <c r="BH118" s="539">
        <f t="shared" si="56"/>
        <v>38412.971533695396</v>
      </c>
      <c r="BI118" s="539">
        <f t="shared" si="56"/>
        <v>36170.169348445481</v>
      </c>
      <c r="BJ118" s="539">
        <f t="shared" si="56"/>
        <v>33722.819327355966</v>
      </c>
      <c r="BK118" s="539">
        <f t="shared" si="56"/>
        <v>31161.618989926897</v>
      </c>
      <c r="BL118" s="539">
        <f t="shared" si="56"/>
        <v>28491.691600393548</v>
      </c>
      <c r="BM118" s="539">
        <f t="shared" si="56"/>
        <v>25717.929876100614</v>
      </c>
      <c r="BN118" s="539">
        <f t="shared" si="56"/>
        <v>22758.293846120003</v>
      </c>
      <c r="BO118" s="539">
        <f t="shared" si="56"/>
        <v>19703.958306980279</v>
      </c>
      <c r="BP118" s="539">
        <f t="shared" si="56"/>
        <v>16559.184736593605</v>
      </c>
      <c r="BQ118" s="539">
        <f t="shared" si="56"/>
        <v>13328.042846366094</v>
      </c>
      <c r="BR118" s="539">
        <f t="shared" si="56"/>
        <v>10890.692462166768</v>
      </c>
      <c r="BS118" s="539">
        <f t="shared" si="56"/>
        <v>8374.5720110645998</v>
      </c>
      <c r="BT118" s="539">
        <f t="shared" si="56"/>
        <v>5783.2261460702202</v>
      </c>
      <c r="BU118" s="539">
        <f t="shared" si="56"/>
        <v>3120.0400108087779</v>
      </c>
      <c r="BV118" s="539">
        <f t="shared" si="56"/>
        <v>0</v>
      </c>
      <c r="BW118" s="539">
        <f t="shared" si="56"/>
        <v>0</v>
      </c>
      <c r="BX118" s="539">
        <f t="shared" si="56"/>
        <v>0</v>
      </c>
      <c r="BY118" s="539">
        <f t="shared" si="56"/>
        <v>0</v>
      </c>
      <c r="BZ118" s="539">
        <f t="shared" si="56"/>
        <v>0</v>
      </c>
      <c r="CA118" s="539">
        <f t="shared" si="56"/>
        <v>0</v>
      </c>
      <c r="CB118" s="539">
        <f t="shared" si="56"/>
        <v>0</v>
      </c>
      <c r="CC118" s="539">
        <f t="shared" si="56"/>
        <v>0</v>
      </c>
      <c r="CD118" s="539">
        <f t="shared" si="56"/>
        <v>0</v>
      </c>
      <c r="CE118" s="539">
        <f t="shared" si="56"/>
        <v>0</v>
      </c>
      <c r="CF118" s="539">
        <f t="shared" si="56"/>
        <v>-7.2759576141834259E-12</v>
      </c>
      <c r="CG118" s="539">
        <f t="shared" si="56"/>
        <v>-7.2759576141834259E-12</v>
      </c>
      <c r="CH118" s="539">
        <f t="shared" si="56"/>
        <v>-7.2759576141834259E-12</v>
      </c>
      <c r="CI118" s="539">
        <f t="shared" si="56"/>
        <v>-7.2759576141834259E-12</v>
      </c>
      <c r="CJ118" s="539">
        <f t="shared" si="56"/>
        <v>-7.2759576141834259E-12</v>
      </c>
      <c r="CK118" s="539">
        <f t="shared" si="56"/>
        <v>-7.2759576141834259E-12</v>
      </c>
      <c r="CL118" s="539">
        <f t="shared" si="56"/>
        <v>-7.2759576141834259E-12</v>
      </c>
      <c r="CM118" s="539">
        <f t="shared" si="56"/>
        <v>-7.2759576141834259E-12</v>
      </c>
      <c r="CN118" s="539">
        <f t="shared" si="56"/>
        <v>-7.2759576141834259E-12</v>
      </c>
      <c r="CO118" s="539">
        <f t="shared" si="56"/>
        <v>-7.2759576141834259E-12</v>
      </c>
      <c r="CP118" s="539">
        <f t="shared" si="56"/>
        <v>-7.2759576141834259E-12</v>
      </c>
      <c r="CQ118" s="539">
        <f t="shared" si="56"/>
        <v>-7.2759576141834259E-12</v>
      </c>
      <c r="CR118" s="539">
        <f t="shared" si="56"/>
        <v>-7.2759576141834259E-12</v>
      </c>
      <c r="CS118" s="539">
        <f t="shared" si="56"/>
        <v>-7.2759576141834259E-12</v>
      </c>
      <c r="CT118" s="539">
        <f t="shared" si="56"/>
        <v>-7.2759576141834259E-12</v>
      </c>
      <c r="CU118" s="539">
        <f t="shared" si="56"/>
        <v>-7.2759576141834259E-12</v>
      </c>
      <c r="CV118" s="539">
        <f t="shared" si="56"/>
        <v>-7.2759576141834259E-12</v>
      </c>
      <c r="CW118" s="539">
        <f t="shared" si="56"/>
        <v>-7.2759576141834259E-12</v>
      </c>
      <c r="CX118" s="539">
        <f t="shared" si="56"/>
        <v>-7.2759576141834259E-12</v>
      </c>
      <c r="CY118" s="539">
        <f t="shared" si="56"/>
        <v>-7.2759576141834259E-12</v>
      </c>
      <c r="CZ118" s="539">
        <f t="shared" si="56"/>
        <v>-7.2759576141834259E-12</v>
      </c>
      <c r="DA118" s="539">
        <f t="shared" si="56"/>
        <v>-7.2759576141834259E-12</v>
      </c>
      <c r="DB118" s="539">
        <f t="shared" si="56"/>
        <v>-7.2759576141834259E-12</v>
      </c>
      <c r="DC118" s="539">
        <f t="shared" si="56"/>
        <v>-7.2759576141834259E-12</v>
      </c>
      <c r="DD118" s="539">
        <f t="shared" si="56"/>
        <v>-7.2759576141834259E-12</v>
      </c>
      <c r="DE118" s="539">
        <f t="shared" si="56"/>
        <v>-7.2759576141834259E-12</v>
      </c>
      <c r="DF118" s="539">
        <f t="shared" si="56"/>
        <v>-7.2759576141834259E-12</v>
      </c>
      <c r="DG118" s="539">
        <f t="shared" si="56"/>
        <v>-7.2759576141834259E-12</v>
      </c>
      <c r="DH118" s="539">
        <f t="shared" si="56"/>
        <v>-7.2759576141834259E-12</v>
      </c>
      <c r="DI118" s="539">
        <f t="shared" si="56"/>
        <v>-7.2759576141834259E-12</v>
      </c>
      <c r="DJ118" s="539">
        <f t="shared" si="56"/>
        <v>-7.2759576141834259E-12</v>
      </c>
      <c r="DK118" s="539">
        <f t="shared" si="56"/>
        <v>-7.2759576141834259E-12</v>
      </c>
      <c r="DL118" s="539">
        <f t="shared" si="56"/>
        <v>-7.2759576141834259E-12</v>
      </c>
      <c r="DM118" s="539">
        <f t="shared" si="56"/>
        <v>-7.2759576141834259E-12</v>
      </c>
      <c r="DN118" s="539">
        <f t="shared" si="56"/>
        <v>-7.2759576141834259E-12</v>
      </c>
      <c r="DO118" s="539">
        <f t="shared" si="56"/>
        <v>-7.2759576141834259E-12</v>
      </c>
      <c r="DP118" s="539">
        <f t="shared" si="56"/>
        <v>-7.2759576141834259E-12</v>
      </c>
      <c r="DQ118" s="539">
        <f t="shared" si="56"/>
        <v>-7.2759576141834259E-12</v>
      </c>
      <c r="DR118" s="539">
        <f t="shared" si="56"/>
        <v>-7.2759576141834259E-12</v>
      </c>
      <c r="DS118" s="539">
        <f t="shared" si="56"/>
        <v>-7.2759576141834259E-12</v>
      </c>
      <c r="DT118" s="539">
        <f t="shared" si="56"/>
        <v>-7.2759576141834259E-12</v>
      </c>
      <c r="DU118" s="539">
        <f t="shared" si="56"/>
        <v>-7.2759576141834259E-12</v>
      </c>
      <c r="DV118" s="539">
        <f t="shared" si="56"/>
        <v>-7.2759576141834259E-12</v>
      </c>
      <c r="DW118" s="539">
        <f t="shared" si="56"/>
        <v>-7.2759576141834259E-12</v>
      </c>
      <c r="DX118" s="539">
        <f t="shared" si="56"/>
        <v>-7.2759576141834259E-12</v>
      </c>
      <c r="DY118" s="539">
        <f t="shared" si="56"/>
        <v>-7.2759576141834259E-12</v>
      </c>
      <c r="DZ118" s="539">
        <f t="shared" si="56"/>
        <v>-7.2759576141834259E-12</v>
      </c>
      <c r="EA118" s="539">
        <f t="shared" si="56"/>
        <v>-7.2759576141834259E-12</v>
      </c>
      <c r="EB118" s="539">
        <f t="shared" si="56"/>
        <v>-7.2759576141834259E-12</v>
      </c>
      <c r="EC118" s="539">
        <f t="shared" si="56"/>
        <v>0</v>
      </c>
      <c r="ED118" s="539">
        <f t="shared" si="56"/>
        <v>0</v>
      </c>
      <c r="EE118" s="539">
        <f t="shared" si="56"/>
        <v>0</v>
      </c>
      <c r="EF118" s="539">
        <f t="shared" si="56"/>
        <v>0</v>
      </c>
      <c r="EG118" s="539">
        <f t="shared" si="56"/>
        <v>0</v>
      </c>
    </row>
    <row r="119" spans="5:137" ht="12.75">
      <c r="E119" s="540" t="s">
        <v>455</v>
      </c>
      <c r="G119" s="541" t="s">
        <v>30</v>
      </c>
      <c r="H119" s="541">
        <f>SUM(J119:EG119)</f>
        <v>1621114.0074982508</v>
      </c>
      <c r="J119" s="541">
        <f t="shared" si="57" ref="J119:EG119">$F114*(J115-J116)-$F114*J118-$F114*J117</f>
        <v>0</v>
      </c>
      <c r="K119" s="541">
        <f t="shared" si="57"/>
        <v>0</v>
      </c>
      <c r="L119" s="541">
        <f t="shared" si="57"/>
        <v>0</v>
      </c>
      <c r="M119" s="541">
        <f t="shared" si="57"/>
        <v>0</v>
      </c>
      <c r="N119" s="541">
        <f t="shared" si="57"/>
        <v>0</v>
      </c>
      <c r="O119" s="541">
        <f t="shared" si="57"/>
        <v>0</v>
      </c>
      <c r="P119" s="541">
        <f t="shared" si="57"/>
        <v>0</v>
      </c>
      <c r="Q119" s="541">
        <f t="shared" si="57"/>
        <v>0</v>
      </c>
      <c r="R119" s="541">
        <f t="shared" si="57"/>
        <v>0</v>
      </c>
      <c r="S119" s="541">
        <f t="shared" si="57"/>
        <v>0</v>
      </c>
      <c r="T119" s="541">
        <f t="shared" si="57"/>
        <v>0</v>
      </c>
      <c r="U119" s="541">
        <f t="shared" si="57"/>
        <v>0</v>
      </c>
      <c r="V119" s="541">
        <f t="shared" si="57"/>
        <v>0</v>
      </c>
      <c r="W119" s="541">
        <f t="shared" si="57"/>
        <v>0</v>
      </c>
      <c r="X119" s="541">
        <f t="shared" si="57"/>
        <v>0</v>
      </c>
      <c r="Y119" s="541">
        <f t="shared" si="57"/>
        <v>0</v>
      </c>
      <c r="Z119" s="541">
        <f t="shared" si="57"/>
        <v>0</v>
      </c>
      <c r="AA119" s="541">
        <f t="shared" si="57"/>
        <v>0</v>
      </c>
      <c r="AB119" s="541">
        <f t="shared" si="57"/>
        <v>0</v>
      </c>
      <c r="AC119" s="541">
        <f t="shared" si="57"/>
        <v>0</v>
      </c>
      <c r="AD119" s="541">
        <f t="shared" si="57"/>
        <v>0</v>
      </c>
      <c r="AE119" s="541">
        <f t="shared" si="57"/>
        <v>0</v>
      </c>
      <c r="AF119" s="541">
        <f t="shared" si="57"/>
        <v>0</v>
      </c>
      <c r="AG119" s="541">
        <f t="shared" si="57"/>
        <v>0</v>
      </c>
      <c r="AH119" s="541">
        <f t="shared" si="57"/>
        <v>565.45954380123203</v>
      </c>
      <c r="AI119" s="541">
        <f t="shared" si="57"/>
        <v>1134.1846389635411</v>
      </c>
      <c r="AJ119" s="541">
        <f t="shared" si="57"/>
        <v>1701.090176248523</v>
      </c>
      <c r="AK119" s="541">
        <f t="shared" si="57"/>
        <v>2276.5930489935727</v>
      </c>
      <c r="AL119" s="541">
        <f t="shared" si="57"/>
        <v>2920.5886551554004</v>
      </c>
      <c r="AM119" s="541">
        <f t="shared" si="57"/>
        <v>3563.4270256070176</v>
      </c>
      <c r="AN119" s="541">
        <f t="shared" si="57"/>
        <v>4205.4251692211019</v>
      </c>
      <c r="AO119" s="541">
        <f t="shared" si="57"/>
        <v>4856.6314475536174</v>
      </c>
      <c r="AP119" s="541">
        <f t="shared" si="57"/>
        <v>5576.7981649533249</v>
      </c>
      <c r="AQ119" s="541">
        <f t="shared" si="57"/>
        <v>6296.8246370241122</v>
      </c>
      <c r="AR119" s="541">
        <f t="shared" si="57"/>
        <v>7017.055142164254</v>
      </c>
      <c r="AS119" s="541">
        <f t="shared" si="57"/>
        <v>7747.1437551454819</v>
      </c>
      <c r="AT119" s="541">
        <f t="shared" si="57"/>
        <v>8537.3082296073244</v>
      </c>
      <c r="AU119" s="541">
        <f t="shared" si="57"/>
        <v>9337.6949737997347</v>
      </c>
      <c r="AV119" s="541">
        <f t="shared" si="57"/>
        <v>10139.359800796276</v>
      </c>
      <c r="AW119" s="541">
        <f t="shared" si="57"/>
        <v>10947.208610110221</v>
      </c>
      <c r="AX119" s="541">
        <f t="shared" si="57"/>
        <v>11394.402827010774</v>
      </c>
      <c r="AY119" s="541">
        <f t="shared" si="57"/>
        <v>11843.693193186678</v>
      </c>
      <c r="AZ119" s="541">
        <f t="shared" si="57"/>
        <v>12295.483887431892</v>
      </c>
      <c r="BA119" s="541">
        <f t="shared" si="57"/>
        <v>12753.843698473574</v>
      </c>
      <c r="BB119" s="541">
        <f t="shared" si="57"/>
        <v>13598.756583497423</v>
      </c>
      <c r="BC119" s="541">
        <f t="shared" si="57"/>
        <v>14429.146749224077</v>
      </c>
      <c r="BD119" s="541">
        <f t="shared" si="57"/>
        <v>15246.205298586701</v>
      </c>
      <c r="BE119" s="541">
        <f t="shared" si="57"/>
        <v>16058.959726137206</v>
      </c>
      <c r="BF119" s="541">
        <f t="shared" si="57"/>
        <v>16917.811316615509</v>
      </c>
      <c r="BG119" s="541">
        <f t="shared" si="57"/>
        <v>17766.257153819002</v>
      </c>
      <c r="BH119" s="541">
        <f t="shared" si="57"/>
        <v>18605.389775791089</v>
      </c>
      <c r="BI119" s="541">
        <f t="shared" si="57"/>
        <v>19443.610815228581</v>
      </c>
      <c r="BJ119" s="541">
        <f t="shared" si="57"/>
        <v>20323.33383113411</v>
      </c>
      <c r="BK119" s="541">
        <f t="shared" si="57"/>
        <v>21203.662307472623</v>
      </c>
      <c r="BL119" s="541">
        <f t="shared" si="57"/>
        <v>22078.270942656989</v>
      </c>
      <c r="BM119" s="541">
        <f t="shared" si="57"/>
        <v>22954.966386531247</v>
      </c>
      <c r="BN119" s="541">
        <f t="shared" si="57"/>
        <v>23882.835572613338</v>
      </c>
      <c r="BO119" s="541">
        <f t="shared" si="57"/>
        <v>24807.39085767647</v>
      </c>
      <c r="BP119" s="541">
        <f t="shared" si="57"/>
        <v>25729.596353906265</v>
      </c>
      <c r="BQ119" s="541">
        <f t="shared" si="57"/>
        <v>26656.572167845745</v>
      </c>
      <c r="BR119" s="541">
        <f t="shared" si="57"/>
        <v>27247.978397004954</v>
      </c>
      <c r="BS119" s="541">
        <f t="shared" si="57"/>
        <v>27839.390286960872</v>
      </c>
      <c r="BT119" s="541">
        <f t="shared" si="57"/>
        <v>28431.74214986978</v>
      </c>
      <c r="BU119" s="541">
        <f t="shared" si="57"/>
        <v>29031.486522245577</v>
      </c>
      <c r="BV119" s="541">
        <f t="shared" si="57"/>
        <v>29908.490751970952</v>
      </c>
      <c r="BW119" s="541">
        <f t="shared" si="57"/>
        <v>29991.601167588589</v>
      </c>
      <c r="BX119" s="541">
        <f t="shared" si="57"/>
        <v>30061.036474227229</v>
      </c>
      <c r="BY119" s="541">
        <f t="shared" si="57"/>
        <v>30123.20260881586</v>
      </c>
      <c r="BZ119" s="541">
        <f t="shared" si="57"/>
        <v>30197.949998963926</v>
      </c>
      <c r="CA119" s="541">
        <f t="shared" si="57"/>
        <v>30267.594454518017</v>
      </c>
      <c r="CB119" s="541">
        <f t="shared" si="57"/>
        <v>30258.975679897354</v>
      </c>
      <c r="CC119" s="541">
        <f t="shared" si="57"/>
        <v>29906.822305551974</v>
      </c>
      <c r="CD119" s="541">
        <f t="shared" si="57"/>
        <v>29537.716176802136</v>
      </c>
      <c r="CE119" s="541">
        <f t="shared" si="57"/>
        <v>29152.420167596043</v>
      </c>
      <c r="CF119" s="541">
        <f t="shared" si="57"/>
        <v>28751.662822554223</v>
      </c>
      <c r="CG119" s="541">
        <f t="shared" si="57"/>
        <v>28336.139901789284</v>
      </c>
      <c r="CH119" s="541">
        <f t="shared" si="57"/>
        <v>27906.515856208767</v>
      </c>
      <c r="CI119" s="541">
        <f t="shared" si="57"/>
        <v>27463.425236429372</v>
      </c>
      <c r="CJ119" s="541">
        <f t="shared" si="57"/>
        <v>27007.474038290056</v>
      </c>
      <c r="CK119" s="541">
        <f t="shared" si="57"/>
        <v>26539.240987817007</v>
      </c>
      <c r="CL119" s="541">
        <f t="shared" si="57"/>
        <v>26059.278768365242</v>
      </c>
      <c r="CM119" s="541">
        <f t="shared" si="57"/>
        <v>25568.115192538804</v>
      </c>
      <c r="CN119" s="541">
        <f t="shared" si="57"/>
        <v>25066.254321374559</v>
      </c>
      <c r="CO119" s="541">
        <f t="shared" si="57"/>
        <v>24554.177533162707</v>
      </c>
      <c r="CP119" s="541">
        <f t="shared" si="57"/>
        <v>24032.344544170388</v>
      </c>
      <c r="CQ119" s="541">
        <f t="shared" si="57"/>
        <v>23501.194383432725</v>
      </c>
      <c r="CR119" s="541">
        <f t="shared" si="57"/>
        <v>22961.146323678251</v>
      </c>
      <c r="CS119" s="541">
        <f t="shared" si="57"/>
        <v>22412.600770362733</v>
      </c>
      <c r="CT119" s="541">
        <f t="shared" si="57"/>
        <v>21855.940110696414</v>
      </c>
      <c r="CU119" s="541">
        <f t="shared" si="57"/>
        <v>21291.529524465077</v>
      </c>
      <c r="CV119" s="541">
        <f t="shared" si="57"/>
        <v>20719.717758364153</v>
      </c>
      <c r="CW119" s="541">
        <f t="shared" si="57"/>
        <v>20140.837865487767</v>
      </c>
      <c r="CX119" s="541">
        <f t="shared" si="57"/>
        <v>19555.20791154082</v>
      </c>
      <c r="CY119" s="541">
        <f t="shared" si="57"/>
        <v>18963.13164927149</v>
      </c>
      <c r="CZ119" s="541">
        <f t="shared" si="57"/>
        <v>18364.899162554277</v>
      </c>
      <c r="DA119" s="541">
        <f t="shared" si="57"/>
        <v>17760.787481489337</v>
      </c>
      <c r="DB119" s="541">
        <f t="shared" si="57"/>
        <v>17151.061169822315</v>
      </c>
      <c r="DC119" s="541">
        <f t="shared" si="57"/>
        <v>16535.972885930314</v>
      </c>
      <c r="DD119" s="541">
        <f t="shared" si="57"/>
        <v>15915.763918563454</v>
      </c>
      <c r="DE119" s="541">
        <f t="shared" si="57"/>
        <v>15290.664698478102</v>
      </c>
      <c r="DF119" s="541">
        <f t="shared" si="57"/>
        <v>14660.895287046591</v>
      </c>
      <c r="DG119" s="541">
        <f t="shared" si="57"/>
        <v>14026.665842879496</v>
      </c>
      <c r="DH119" s="541">
        <f t="shared" si="57"/>
        <v>13388.17706744992</v>
      </c>
      <c r="DI119" s="541">
        <f t="shared" si="57"/>
        <v>12745.620630664675</v>
      </c>
      <c r="DJ119" s="541">
        <f t="shared" si="57"/>
        <v>12099.179577284765</v>
      </c>
      <c r="DK119" s="541">
        <f t="shared" si="57"/>
        <v>11449.028715056953</v>
      </c>
      <c r="DL119" s="541">
        <f t="shared" si="57"/>
        <v>10795.334985379392</v>
      </c>
      <c r="DM119" s="541">
        <f t="shared" si="57"/>
        <v>10138.25781728732</v>
      </c>
      <c r="DN119" s="541">
        <f t="shared" si="57"/>
        <v>9477.9494655093931</v>
      </c>
      <c r="DO119" s="541">
        <f t="shared" si="57"/>
        <v>8814.5553333114713</v>
      </c>
      <c r="DP119" s="541">
        <f t="shared" si="57"/>
        <v>8148.2142808124554</v>
      </c>
      <c r="DQ119" s="541">
        <f t="shared" si="57"/>
        <v>7479.0589194258964</v>
      </c>
      <c r="DR119" s="541">
        <f t="shared" si="57"/>
        <v>6807.2158930517326</v>
      </c>
      <c r="DS119" s="541">
        <f t="shared" si="57"/>
        <v>6132.8061466144063</v>
      </c>
      <c r="DT119" s="541">
        <f t="shared" si="57"/>
        <v>5455.9451825167589</v>
      </c>
      <c r="DU119" s="541">
        <f t="shared" si="57"/>
        <v>4776.7433055535057</v>
      </c>
      <c r="DV119" s="541">
        <f t="shared" si="57"/>
        <v>4095.3058568035995</v>
      </c>
      <c r="DW119" s="541">
        <f t="shared" si="57"/>
        <v>3411.7334369974387</v>
      </c>
      <c r="DX119" s="541">
        <f t="shared" si="57"/>
        <v>2726.1221198325557</v>
      </c>
      <c r="DY119" s="541">
        <f t="shared" si="57"/>
        <v>2038.5636556900922</v>
      </c>
      <c r="DZ119" s="541">
        <f t="shared" si="57"/>
        <v>1349.1456661840398</v>
      </c>
      <c r="EA119" s="541">
        <f t="shared" si="57"/>
        <v>657.95182995575976</v>
      </c>
      <c r="EB119" s="541">
        <f t="shared" si="57"/>
        <v>-34.937939892247869</v>
      </c>
      <c r="EC119" s="541">
        <f t="shared" si="57"/>
        <v>0</v>
      </c>
      <c r="ED119" s="541">
        <f t="shared" si="57"/>
        <v>0</v>
      </c>
      <c r="EE119" s="541">
        <f t="shared" si="57"/>
        <v>0</v>
      </c>
      <c r="EF119" s="541">
        <f t="shared" si="57"/>
        <v>0</v>
      </c>
      <c r="EG119" s="541">
        <f t="shared" si="57"/>
        <v>0</v>
      </c>
    </row>
    <row r="121" spans="5:137" ht="12.75">
      <c r="E121" s="538" t="str">
        <f>E$119</f>
        <v>Deferred tax - balance</v>
      </c>
      <c r="G121" s="539" t="str">
        <f>G$119</f>
        <v>EUR 000s</v>
      </c>
      <c r="H121" s="539">
        <f>H$119</f>
        <v>1621114.0074982508</v>
      </c>
      <c r="J121" s="539">
        <f t="shared" si="58" ref="J121:EG121">J$119</f>
        <v>0</v>
      </c>
      <c r="K121" s="539">
        <f t="shared" si="58"/>
        <v>0</v>
      </c>
      <c r="L121" s="539">
        <f t="shared" si="58"/>
        <v>0</v>
      </c>
      <c r="M121" s="539">
        <f t="shared" si="58"/>
        <v>0</v>
      </c>
      <c r="N121" s="539">
        <f t="shared" si="58"/>
        <v>0</v>
      </c>
      <c r="O121" s="539">
        <f t="shared" si="58"/>
        <v>0</v>
      </c>
      <c r="P121" s="539">
        <f t="shared" si="58"/>
        <v>0</v>
      </c>
      <c r="Q121" s="539">
        <f t="shared" si="58"/>
        <v>0</v>
      </c>
      <c r="R121" s="539">
        <f t="shared" si="58"/>
        <v>0</v>
      </c>
      <c r="S121" s="539">
        <f t="shared" si="58"/>
        <v>0</v>
      </c>
      <c r="T121" s="539">
        <f t="shared" si="58"/>
        <v>0</v>
      </c>
      <c r="U121" s="539">
        <f t="shared" si="58"/>
        <v>0</v>
      </c>
      <c r="V121" s="539">
        <f t="shared" si="58"/>
        <v>0</v>
      </c>
      <c r="W121" s="539">
        <f t="shared" si="58"/>
        <v>0</v>
      </c>
      <c r="X121" s="539">
        <f t="shared" si="58"/>
        <v>0</v>
      </c>
      <c r="Y121" s="539">
        <f t="shared" si="58"/>
        <v>0</v>
      </c>
      <c r="Z121" s="539">
        <f t="shared" si="58"/>
        <v>0</v>
      </c>
      <c r="AA121" s="539">
        <f t="shared" si="58"/>
        <v>0</v>
      </c>
      <c r="AB121" s="539">
        <f t="shared" si="58"/>
        <v>0</v>
      </c>
      <c r="AC121" s="539">
        <f t="shared" si="58"/>
        <v>0</v>
      </c>
      <c r="AD121" s="539">
        <f t="shared" si="58"/>
        <v>0</v>
      </c>
      <c r="AE121" s="539">
        <f t="shared" si="58"/>
        <v>0</v>
      </c>
      <c r="AF121" s="539">
        <f t="shared" si="58"/>
        <v>0</v>
      </c>
      <c r="AG121" s="539">
        <f t="shared" si="58"/>
        <v>0</v>
      </c>
      <c r="AH121" s="539">
        <f t="shared" si="58"/>
        <v>565.45954380123203</v>
      </c>
      <c r="AI121" s="539">
        <f t="shared" si="58"/>
        <v>1134.1846389635411</v>
      </c>
      <c r="AJ121" s="539">
        <f t="shared" si="58"/>
        <v>1701.090176248523</v>
      </c>
      <c r="AK121" s="539">
        <f t="shared" si="58"/>
        <v>2276.5930489935727</v>
      </c>
      <c r="AL121" s="539">
        <f t="shared" si="58"/>
        <v>2920.5886551554004</v>
      </c>
      <c r="AM121" s="539">
        <f t="shared" si="58"/>
        <v>3563.4270256070176</v>
      </c>
      <c r="AN121" s="539">
        <f t="shared" si="58"/>
        <v>4205.4251692211019</v>
      </c>
      <c r="AO121" s="539">
        <f t="shared" si="58"/>
        <v>4856.6314475536174</v>
      </c>
      <c r="AP121" s="539">
        <f t="shared" si="58"/>
        <v>5576.7981649533249</v>
      </c>
      <c r="AQ121" s="539">
        <f t="shared" si="58"/>
        <v>6296.8246370241122</v>
      </c>
      <c r="AR121" s="539">
        <f t="shared" si="58"/>
        <v>7017.055142164254</v>
      </c>
      <c r="AS121" s="539">
        <f t="shared" si="58"/>
        <v>7747.1437551454819</v>
      </c>
      <c r="AT121" s="539">
        <f t="shared" si="58"/>
        <v>8537.3082296073244</v>
      </c>
      <c r="AU121" s="539">
        <f t="shared" si="58"/>
        <v>9337.6949737997347</v>
      </c>
      <c r="AV121" s="539">
        <f t="shared" si="58"/>
        <v>10139.359800796276</v>
      </c>
      <c r="AW121" s="539">
        <f t="shared" si="58"/>
        <v>10947.208610110221</v>
      </c>
      <c r="AX121" s="539">
        <f t="shared" si="58"/>
        <v>11394.402827010774</v>
      </c>
      <c r="AY121" s="539">
        <f t="shared" si="58"/>
        <v>11843.693193186678</v>
      </c>
      <c r="AZ121" s="539">
        <f t="shared" si="58"/>
        <v>12295.483887431892</v>
      </c>
      <c r="BA121" s="539">
        <f t="shared" si="58"/>
        <v>12753.843698473574</v>
      </c>
      <c r="BB121" s="539">
        <f t="shared" si="58"/>
        <v>13598.756583497423</v>
      </c>
      <c r="BC121" s="539">
        <f t="shared" si="58"/>
        <v>14429.146749224077</v>
      </c>
      <c r="BD121" s="539">
        <f t="shared" si="58"/>
        <v>15246.205298586701</v>
      </c>
      <c r="BE121" s="539">
        <f t="shared" si="58"/>
        <v>16058.959726137206</v>
      </c>
      <c r="BF121" s="539">
        <f t="shared" si="58"/>
        <v>16917.811316615509</v>
      </c>
      <c r="BG121" s="539">
        <f t="shared" si="58"/>
        <v>17766.257153819002</v>
      </c>
      <c r="BH121" s="539">
        <f t="shared" si="58"/>
        <v>18605.389775791089</v>
      </c>
      <c r="BI121" s="539">
        <f t="shared" si="58"/>
        <v>19443.610815228581</v>
      </c>
      <c r="BJ121" s="539">
        <f t="shared" si="58"/>
        <v>20323.33383113411</v>
      </c>
      <c r="BK121" s="539">
        <f t="shared" si="58"/>
        <v>21203.662307472623</v>
      </c>
      <c r="BL121" s="539">
        <f t="shared" si="58"/>
        <v>22078.270942656989</v>
      </c>
      <c r="BM121" s="539">
        <f t="shared" si="58"/>
        <v>22954.966386531247</v>
      </c>
      <c r="BN121" s="539">
        <f t="shared" si="58"/>
        <v>23882.835572613338</v>
      </c>
      <c r="BO121" s="539">
        <f t="shared" si="58"/>
        <v>24807.39085767647</v>
      </c>
      <c r="BP121" s="539">
        <f t="shared" si="58"/>
        <v>25729.596353906265</v>
      </c>
      <c r="BQ121" s="539">
        <f t="shared" si="58"/>
        <v>26656.572167845745</v>
      </c>
      <c r="BR121" s="539">
        <f t="shared" si="58"/>
        <v>27247.978397004954</v>
      </c>
      <c r="BS121" s="539">
        <f t="shared" si="58"/>
        <v>27839.390286960872</v>
      </c>
      <c r="BT121" s="539">
        <f t="shared" si="58"/>
        <v>28431.74214986978</v>
      </c>
      <c r="BU121" s="539">
        <f t="shared" si="58"/>
        <v>29031.486522245577</v>
      </c>
      <c r="BV121" s="539">
        <f t="shared" si="58"/>
        <v>29908.490751970952</v>
      </c>
      <c r="BW121" s="539">
        <f t="shared" si="58"/>
        <v>29991.601167588589</v>
      </c>
      <c r="BX121" s="539">
        <f t="shared" si="58"/>
        <v>30061.036474227229</v>
      </c>
      <c r="BY121" s="539">
        <f t="shared" si="58"/>
        <v>30123.20260881586</v>
      </c>
      <c r="BZ121" s="539">
        <f t="shared" si="58"/>
        <v>30197.949998963926</v>
      </c>
      <c r="CA121" s="539">
        <f t="shared" si="58"/>
        <v>30267.594454518017</v>
      </c>
      <c r="CB121" s="539">
        <f t="shared" si="58"/>
        <v>30258.975679897354</v>
      </c>
      <c r="CC121" s="539">
        <f t="shared" si="58"/>
        <v>29906.822305551974</v>
      </c>
      <c r="CD121" s="539">
        <f t="shared" si="58"/>
        <v>29537.716176802136</v>
      </c>
      <c r="CE121" s="539">
        <f t="shared" si="58"/>
        <v>29152.420167596043</v>
      </c>
      <c r="CF121" s="539">
        <f t="shared" si="58"/>
        <v>28751.662822554223</v>
      </c>
      <c r="CG121" s="539">
        <f t="shared" si="58"/>
        <v>28336.139901789284</v>
      </c>
      <c r="CH121" s="539">
        <f t="shared" si="58"/>
        <v>27906.515856208767</v>
      </c>
      <c r="CI121" s="539">
        <f t="shared" si="58"/>
        <v>27463.425236429372</v>
      </c>
      <c r="CJ121" s="539">
        <f t="shared" si="58"/>
        <v>27007.474038290056</v>
      </c>
      <c r="CK121" s="539">
        <f t="shared" si="58"/>
        <v>26539.240987817007</v>
      </c>
      <c r="CL121" s="539">
        <f t="shared" si="58"/>
        <v>26059.278768365242</v>
      </c>
      <c r="CM121" s="539">
        <f t="shared" si="58"/>
        <v>25568.115192538804</v>
      </c>
      <c r="CN121" s="539">
        <f t="shared" si="58"/>
        <v>25066.254321374559</v>
      </c>
      <c r="CO121" s="539">
        <f t="shared" si="58"/>
        <v>24554.177533162707</v>
      </c>
      <c r="CP121" s="539">
        <f t="shared" si="58"/>
        <v>24032.344544170388</v>
      </c>
      <c r="CQ121" s="539">
        <f t="shared" si="58"/>
        <v>23501.194383432725</v>
      </c>
      <c r="CR121" s="539">
        <f t="shared" si="58"/>
        <v>22961.146323678251</v>
      </c>
      <c r="CS121" s="539">
        <f t="shared" si="58"/>
        <v>22412.600770362733</v>
      </c>
      <c r="CT121" s="539">
        <f t="shared" si="58"/>
        <v>21855.940110696414</v>
      </c>
      <c r="CU121" s="539">
        <f t="shared" si="58"/>
        <v>21291.529524465077</v>
      </c>
      <c r="CV121" s="539">
        <f t="shared" si="58"/>
        <v>20719.717758364153</v>
      </c>
      <c r="CW121" s="539">
        <f t="shared" si="58"/>
        <v>20140.837865487767</v>
      </c>
      <c r="CX121" s="539">
        <f t="shared" si="58"/>
        <v>19555.20791154082</v>
      </c>
      <c r="CY121" s="539">
        <f t="shared" si="58"/>
        <v>18963.13164927149</v>
      </c>
      <c r="CZ121" s="539">
        <f t="shared" si="58"/>
        <v>18364.899162554277</v>
      </c>
      <c r="DA121" s="539">
        <f t="shared" si="58"/>
        <v>17760.787481489337</v>
      </c>
      <c r="DB121" s="539">
        <f t="shared" si="58"/>
        <v>17151.061169822315</v>
      </c>
      <c r="DC121" s="539">
        <f t="shared" si="58"/>
        <v>16535.972885930314</v>
      </c>
      <c r="DD121" s="539">
        <f t="shared" si="58"/>
        <v>15915.763918563454</v>
      </c>
      <c r="DE121" s="539">
        <f t="shared" si="58"/>
        <v>15290.664698478102</v>
      </c>
      <c r="DF121" s="539">
        <f t="shared" si="58"/>
        <v>14660.895287046591</v>
      </c>
      <c r="DG121" s="539">
        <f t="shared" si="58"/>
        <v>14026.665842879496</v>
      </c>
      <c r="DH121" s="539">
        <f t="shared" si="58"/>
        <v>13388.17706744992</v>
      </c>
      <c r="DI121" s="539">
        <f t="shared" si="58"/>
        <v>12745.620630664675</v>
      </c>
      <c r="DJ121" s="539">
        <f t="shared" si="58"/>
        <v>12099.179577284765</v>
      </c>
      <c r="DK121" s="539">
        <f t="shared" si="58"/>
        <v>11449.028715056953</v>
      </c>
      <c r="DL121" s="539">
        <f t="shared" si="58"/>
        <v>10795.334985379392</v>
      </c>
      <c r="DM121" s="539">
        <f t="shared" si="58"/>
        <v>10138.25781728732</v>
      </c>
      <c r="DN121" s="539">
        <f t="shared" si="58"/>
        <v>9477.9494655093931</v>
      </c>
      <c r="DO121" s="539">
        <f t="shared" si="58"/>
        <v>8814.5553333114713</v>
      </c>
      <c r="DP121" s="539">
        <f t="shared" si="58"/>
        <v>8148.2142808124554</v>
      </c>
      <c r="DQ121" s="539">
        <f t="shared" si="58"/>
        <v>7479.0589194258964</v>
      </c>
      <c r="DR121" s="539">
        <f t="shared" si="58"/>
        <v>6807.2158930517326</v>
      </c>
      <c r="DS121" s="539">
        <f t="shared" si="58"/>
        <v>6132.8061466144063</v>
      </c>
      <c r="DT121" s="539">
        <f t="shared" si="58"/>
        <v>5455.9451825167589</v>
      </c>
      <c r="DU121" s="539">
        <f t="shared" si="58"/>
        <v>4776.7433055535057</v>
      </c>
      <c r="DV121" s="539">
        <f t="shared" si="58"/>
        <v>4095.3058568035995</v>
      </c>
      <c r="DW121" s="539">
        <f t="shared" si="58"/>
        <v>3411.7334369974387</v>
      </c>
      <c r="DX121" s="539">
        <f t="shared" si="58"/>
        <v>2726.1221198325557</v>
      </c>
      <c r="DY121" s="539">
        <f t="shared" si="58"/>
        <v>2038.5636556900922</v>
      </c>
      <c r="DZ121" s="539">
        <f t="shared" si="58"/>
        <v>1349.1456661840398</v>
      </c>
      <c r="EA121" s="539">
        <f t="shared" si="58"/>
        <v>657.95182995575976</v>
      </c>
      <c r="EB121" s="539">
        <f t="shared" si="58"/>
        <v>-34.937939892247869</v>
      </c>
      <c r="EC121" s="539">
        <f t="shared" si="58"/>
        <v>0</v>
      </c>
      <c r="ED121" s="539">
        <f t="shared" si="58"/>
        <v>0</v>
      </c>
      <c r="EE121" s="539">
        <f t="shared" si="58"/>
        <v>0</v>
      </c>
      <c r="EF121" s="539">
        <f t="shared" si="58"/>
        <v>0</v>
      </c>
      <c r="EG121" s="539">
        <f t="shared" si="58"/>
        <v>0</v>
      </c>
    </row>
    <row r="122" spans="5:137" ht="12.75">
      <c r="E122" s="540" t="s">
        <v>456</v>
      </c>
      <c r="G122" s="541" t="s">
        <v>30</v>
      </c>
      <c r="H122" s="541">
        <f>SUM(J122:EG122)</f>
        <v>0</v>
      </c>
      <c r="J122" s="541">
        <f t="shared" si="59" ref="J122:EG122">J121-I121</f>
        <v>0</v>
      </c>
      <c r="K122" s="541">
        <f t="shared" si="59"/>
        <v>0</v>
      </c>
      <c r="L122" s="541">
        <f t="shared" si="59"/>
        <v>0</v>
      </c>
      <c r="M122" s="541">
        <f t="shared" si="59"/>
        <v>0</v>
      </c>
      <c r="N122" s="541">
        <f t="shared" si="59"/>
        <v>0</v>
      </c>
      <c r="O122" s="541">
        <f t="shared" si="59"/>
        <v>0</v>
      </c>
      <c r="P122" s="541">
        <f t="shared" si="59"/>
        <v>0</v>
      </c>
      <c r="Q122" s="541">
        <f t="shared" si="59"/>
        <v>0</v>
      </c>
      <c r="R122" s="541">
        <f t="shared" si="59"/>
        <v>0</v>
      </c>
      <c r="S122" s="541">
        <f t="shared" si="59"/>
        <v>0</v>
      </c>
      <c r="T122" s="541">
        <f t="shared" si="59"/>
        <v>0</v>
      </c>
      <c r="U122" s="541">
        <f t="shared" si="59"/>
        <v>0</v>
      </c>
      <c r="V122" s="541">
        <f t="shared" si="59"/>
        <v>0</v>
      </c>
      <c r="W122" s="541">
        <f t="shared" si="59"/>
        <v>0</v>
      </c>
      <c r="X122" s="541">
        <f t="shared" si="59"/>
        <v>0</v>
      </c>
      <c r="Y122" s="541">
        <f t="shared" si="59"/>
        <v>0</v>
      </c>
      <c r="Z122" s="541">
        <f t="shared" si="59"/>
        <v>0</v>
      </c>
      <c r="AA122" s="541">
        <f t="shared" si="59"/>
        <v>0</v>
      </c>
      <c r="AB122" s="541">
        <f t="shared" si="59"/>
        <v>0</v>
      </c>
      <c r="AC122" s="541">
        <f t="shared" si="59"/>
        <v>0</v>
      </c>
      <c r="AD122" s="541">
        <f t="shared" si="59"/>
        <v>0</v>
      </c>
      <c r="AE122" s="541">
        <f t="shared" si="59"/>
        <v>0</v>
      </c>
      <c r="AF122" s="541">
        <f t="shared" si="59"/>
        <v>0</v>
      </c>
      <c r="AG122" s="541">
        <f t="shared" si="59"/>
        <v>0</v>
      </c>
      <c r="AH122" s="541">
        <f t="shared" si="59"/>
        <v>565.45954380123203</v>
      </c>
      <c r="AI122" s="541">
        <f t="shared" si="59"/>
        <v>568.72509516230912</v>
      </c>
      <c r="AJ122" s="541">
        <f t="shared" si="59"/>
        <v>566.90553728498185</v>
      </c>
      <c r="AK122" s="541">
        <f t="shared" si="59"/>
        <v>575.50287274504967</v>
      </c>
      <c r="AL122" s="541">
        <f t="shared" si="59"/>
        <v>643.99560616182771</v>
      </c>
      <c r="AM122" s="541">
        <f t="shared" si="59"/>
        <v>642.83837045161727</v>
      </c>
      <c r="AN122" s="541">
        <f t="shared" si="59"/>
        <v>641.99814361408426</v>
      </c>
      <c r="AO122" s="541">
        <f t="shared" si="59"/>
        <v>651.20627833251547</v>
      </c>
      <c r="AP122" s="541">
        <f t="shared" si="59"/>
        <v>720.16671739970752</v>
      </c>
      <c r="AQ122" s="541">
        <f t="shared" si="59"/>
        <v>720.02647207078735</v>
      </c>
      <c r="AR122" s="541">
        <f t="shared" si="59"/>
        <v>720.23050514014176</v>
      </c>
      <c r="AS122" s="541">
        <f t="shared" si="59"/>
        <v>730.08861298122793</v>
      </c>
      <c r="AT122" s="541">
        <f t="shared" si="59"/>
        <v>790.16447446184247</v>
      </c>
      <c r="AU122" s="541">
        <f t="shared" si="59"/>
        <v>800.38674419241033</v>
      </c>
      <c r="AV122" s="541">
        <f t="shared" si="59"/>
        <v>801.6648269965408</v>
      </c>
      <c r="AW122" s="541">
        <f t="shared" si="59"/>
        <v>807.84880931394582</v>
      </c>
      <c r="AX122" s="541">
        <f t="shared" si="59"/>
        <v>447.19421690055242</v>
      </c>
      <c r="AY122" s="541">
        <f t="shared" si="59"/>
        <v>449.29036617590464</v>
      </c>
      <c r="AZ122" s="541">
        <f t="shared" si="59"/>
        <v>451.79069424521367</v>
      </c>
      <c r="BA122" s="541">
        <f t="shared" si="59"/>
        <v>458.35981104168241</v>
      </c>
      <c r="BB122" s="541">
        <f t="shared" si="59"/>
        <v>844.9128850238485</v>
      </c>
      <c r="BC122" s="541">
        <f t="shared" si="59"/>
        <v>830.39016572665423</v>
      </c>
      <c r="BD122" s="541">
        <f t="shared" si="59"/>
        <v>817.05854936262403</v>
      </c>
      <c r="BE122" s="541">
        <f t="shared" si="59"/>
        <v>812.75442755050426</v>
      </c>
      <c r="BF122" s="541">
        <f t="shared" si="59"/>
        <v>858.85159047830348</v>
      </c>
      <c r="BG122" s="541">
        <f t="shared" si="59"/>
        <v>848.44583720349328</v>
      </c>
      <c r="BH122" s="541">
        <f t="shared" si="59"/>
        <v>839.13262197208678</v>
      </c>
      <c r="BI122" s="541">
        <f t="shared" si="59"/>
        <v>838.22103943749244</v>
      </c>
      <c r="BJ122" s="541">
        <f t="shared" si="59"/>
        <v>879.72301590552888</v>
      </c>
      <c r="BK122" s="541">
        <f t="shared" si="59"/>
        <v>880.3284763385127</v>
      </c>
      <c r="BL122" s="541">
        <f t="shared" si="59"/>
        <v>874.60863518436599</v>
      </c>
      <c r="BM122" s="541">
        <f t="shared" si="59"/>
        <v>876.69544387425776</v>
      </c>
      <c r="BN122" s="541">
        <f t="shared" si="59"/>
        <v>927.86918608209089</v>
      </c>
      <c r="BO122" s="541">
        <f t="shared" si="59"/>
        <v>924.55528506313203</v>
      </c>
      <c r="BP122" s="541">
        <f t="shared" si="59"/>
        <v>922.20549622979524</v>
      </c>
      <c r="BQ122" s="541">
        <f t="shared" si="59"/>
        <v>926.97581393947985</v>
      </c>
      <c r="BR122" s="541">
        <f t="shared" si="59"/>
        <v>591.40622915920903</v>
      </c>
      <c r="BS122" s="541">
        <f t="shared" si="59"/>
        <v>591.41188995591801</v>
      </c>
      <c r="BT122" s="541">
        <f t="shared" si="59"/>
        <v>592.35186290890852</v>
      </c>
      <c r="BU122" s="541">
        <f t="shared" si="59"/>
        <v>599.74437237579696</v>
      </c>
      <c r="BV122" s="541">
        <f t="shared" si="59"/>
        <v>877.0042297253749</v>
      </c>
      <c r="BW122" s="541">
        <f t="shared" si="59"/>
        <v>83.110415617637045</v>
      </c>
      <c r="BX122" s="541">
        <f t="shared" si="59"/>
        <v>69.435306638639304</v>
      </c>
      <c r="BY122" s="541">
        <f t="shared" si="59"/>
        <v>62.166134588631394</v>
      </c>
      <c r="BZ122" s="541">
        <f t="shared" si="59"/>
        <v>74.747390148066188</v>
      </c>
      <c r="CA122" s="541">
        <f t="shared" si="59"/>
        <v>69.64445555409111</v>
      </c>
      <c r="CB122" s="541">
        <f t="shared" si="59"/>
        <v>-8.6187746206633165</v>
      </c>
      <c r="CC122" s="541">
        <f t="shared" si="59"/>
        <v>-352.15337434538014</v>
      </c>
      <c r="CD122" s="541">
        <f t="shared" si="59"/>
        <v>-369.10612874983781</v>
      </c>
      <c r="CE122" s="541">
        <f t="shared" si="59"/>
        <v>-385.296009206093</v>
      </c>
      <c r="CF122" s="541">
        <f t="shared" si="59"/>
        <v>-400.75734504182037</v>
      </c>
      <c r="CG122" s="541">
        <f t="shared" si="59"/>
        <v>-415.52292076493904</v>
      </c>
      <c r="CH122" s="541">
        <f t="shared" si="59"/>
        <v>-429.62404558051639</v>
      </c>
      <c r="CI122" s="541">
        <f t="shared" si="59"/>
        <v>-443.09061977939564</v>
      </c>
      <c r="CJ122" s="541">
        <f t="shared" si="59"/>
        <v>-455.95119813931524</v>
      </c>
      <c r="CK122" s="541">
        <f t="shared" si="59"/>
        <v>-468.23305047304893</v>
      </c>
      <c r="CL122" s="541">
        <f t="shared" si="59"/>
        <v>-479.96221945176512</v>
      </c>
      <c r="CM122" s="541">
        <f t="shared" si="59"/>
        <v>-491.16357582643832</v>
      </c>
      <c r="CN122" s="541">
        <f t="shared" si="59"/>
        <v>-501.8608711642446</v>
      </c>
      <c r="CO122" s="541">
        <f t="shared" si="59"/>
        <v>-512.07678821185254</v>
      </c>
      <c r="CP122" s="541">
        <f t="shared" si="59"/>
        <v>-521.83298899231886</v>
      </c>
      <c r="CQ122" s="541">
        <f t="shared" si="59"/>
        <v>-531.1501607376631</v>
      </c>
      <c r="CR122" s="541">
        <f t="shared" si="59"/>
        <v>-540.0480597544738</v>
      </c>
      <c r="CS122" s="541">
        <f t="shared" si="59"/>
        <v>-548.54555331551819</v>
      </c>
      <c r="CT122" s="541">
        <f t="shared" si="59"/>
        <v>-556.66065966631868</v>
      </c>
      <c r="CU122" s="541">
        <f t="shared" si="59"/>
        <v>-564.41058623133722</v>
      </c>
      <c r="CV122" s="541">
        <f t="shared" si="59"/>
        <v>-571.81176610092371</v>
      </c>
      <c r="CW122" s="541">
        <f t="shared" si="59"/>
        <v>-578.87989287638629</v>
      </c>
      <c r="CX122" s="541">
        <f t="shared" si="59"/>
        <v>-585.62995394694735</v>
      </c>
      <c r="CY122" s="541">
        <f t="shared" si="59"/>
        <v>-592.07626226932916</v>
      </c>
      <c r="CZ122" s="541">
        <f t="shared" si="59"/>
        <v>-598.23248671721376</v>
      </c>
      <c r="DA122" s="541">
        <f t="shared" si="59"/>
        <v>-604.11168106494006</v>
      </c>
      <c r="DB122" s="541">
        <f t="shared" si="59"/>
        <v>-609.72631166702195</v>
      </c>
      <c r="DC122" s="541">
        <f t="shared" si="59"/>
        <v>-615.08828389200062</v>
      </c>
      <c r="DD122" s="541">
        <f t="shared" si="59"/>
        <v>-620.20896736685972</v>
      </c>
      <c r="DE122" s="541">
        <f t="shared" si="59"/>
        <v>-625.0992200853525</v>
      </c>
      <c r="DF122" s="541">
        <f t="shared" si="59"/>
        <v>-629.76941143151089</v>
      </c>
      <c r="DG122" s="541">
        <f t="shared" si="59"/>
        <v>-634.2294441670947</v>
      </c>
      <c r="DH122" s="541">
        <f t="shared" si="59"/>
        <v>-638.48877542957598</v>
      </c>
      <c r="DI122" s="541">
        <f t="shared" si="59"/>
        <v>-642.55643678524575</v>
      </c>
      <c r="DJ122" s="541">
        <f t="shared" si="59"/>
        <v>-646.44105337990914</v>
      </c>
      <c r="DK122" s="541">
        <f t="shared" si="59"/>
        <v>-650.15086222781247</v>
      </c>
      <c r="DL122" s="541">
        <f t="shared" si="59"/>
        <v>-653.69372967756135</v>
      </c>
      <c r="DM122" s="541">
        <f t="shared" si="59"/>
        <v>-657.07716809207159</v>
      </c>
      <c r="DN122" s="541">
        <f t="shared" si="59"/>
        <v>-660.30835177792687</v>
      </c>
      <c r="DO122" s="541">
        <f t="shared" si="59"/>
        <v>-663.39413219792186</v>
      </c>
      <c r="DP122" s="541">
        <f t="shared" si="59"/>
        <v>-666.34105249901586</v>
      </c>
      <c r="DQ122" s="541">
        <f t="shared" si="59"/>
        <v>-669.15536138655898</v>
      </c>
      <c r="DR122" s="541">
        <f t="shared" si="59"/>
        <v>-671.84302637416386</v>
      </c>
      <c r="DS122" s="541">
        <f t="shared" si="59"/>
        <v>-674.40974643732625</v>
      </c>
      <c r="DT122" s="541">
        <f t="shared" si="59"/>
        <v>-676.86096409764741</v>
      </c>
      <c r="DU122" s="541">
        <f t="shared" si="59"/>
        <v>-679.2018769632532</v>
      </c>
      <c r="DV122" s="541">
        <f t="shared" si="59"/>
        <v>-681.43744874990625</v>
      </c>
      <c r="DW122" s="541">
        <f t="shared" si="59"/>
        <v>-683.57241980616072</v>
      </c>
      <c r="DX122" s="541">
        <f t="shared" si="59"/>
        <v>-685.61131716488308</v>
      </c>
      <c r="DY122" s="541">
        <f t="shared" si="59"/>
        <v>-687.55846414246344</v>
      </c>
      <c r="DZ122" s="541">
        <f t="shared" si="59"/>
        <v>-689.41798950605244</v>
      </c>
      <c r="EA122" s="541">
        <f t="shared" si="59"/>
        <v>-691.19383622828002</v>
      </c>
      <c r="EB122" s="541">
        <f t="shared" si="59"/>
        <v>-692.88976984800763</v>
      </c>
      <c r="EC122" s="541">
        <f t="shared" si="59"/>
        <v>34.937939892247869</v>
      </c>
      <c r="ED122" s="541">
        <f t="shared" si="59"/>
        <v>0</v>
      </c>
      <c r="EE122" s="541">
        <f t="shared" si="59"/>
        <v>0</v>
      </c>
      <c r="EF122" s="541">
        <f t="shared" si="59"/>
        <v>0</v>
      </c>
      <c r="EG122" s="541">
        <f t="shared" si="59"/>
        <v>0</v>
      </c>
    </row>
    <row r="125" spans="1:1" ht="12.75">
      <c r="A125" s="534" t="s">
        <v>457</v>
      </c>
    </row>
    <row r="127" spans="5:7" ht="12.75">
      <c r="E127" s="535" t="str">
        <f>InpC!E$128</f>
        <v>Check tolerance</v>
      </c>
      <c r="F127" s="537">
        <f>InpC!F$128</f>
        <v>0.001</v>
      </c>
      <c r="G127" s="537" t="str">
        <f>InpC!G$128</f>
        <v>EUR 000s</v>
      </c>
    </row>
    <row r="128" spans="5:137" ht="12.75">
      <c r="E128" s="538" t="str">
        <f>E$98</f>
        <v>Tax losses - closing balance</v>
      </c>
      <c r="G128" s="539" t="str">
        <f>G$98</f>
        <v>EUR 000s</v>
      </c>
      <c r="H128" s="539">
        <f>H$98</f>
        <v>1331931.5675670947</v>
      </c>
      <c r="J128" s="539">
        <f t="shared" si="60" ref="J128:EG128">J$98</f>
        <v>0</v>
      </c>
      <c r="K128" s="539">
        <f t="shared" si="60"/>
        <v>0</v>
      </c>
      <c r="L128" s="539">
        <f t="shared" si="60"/>
        <v>0</v>
      </c>
      <c r="M128" s="539">
        <f t="shared" si="60"/>
        <v>0</v>
      </c>
      <c r="N128" s="539">
        <f t="shared" si="60"/>
        <v>0</v>
      </c>
      <c r="O128" s="539">
        <f t="shared" si="60"/>
        <v>0</v>
      </c>
      <c r="P128" s="539">
        <f t="shared" si="60"/>
        <v>0</v>
      </c>
      <c r="Q128" s="539">
        <f t="shared" si="60"/>
        <v>0</v>
      </c>
      <c r="R128" s="539">
        <f t="shared" si="60"/>
        <v>0</v>
      </c>
      <c r="S128" s="539">
        <f t="shared" si="60"/>
        <v>0</v>
      </c>
      <c r="T128" s="539">
        <f t="shared" si="60"/>
        <v>0</v>
      </c>
      <c r="U128" s="539">
        <f t="shared" si="60"/>
        <v>0</v>
      </c>
      <c r="V128" s="539">
        <f t="shared" si="60"/>
        <v>0</v>
      </c>
      <c r="W128" s="539">
        <f t="shared" si="60"/>
        <v>0</v>
      </c>
      <c r="X128" s="539">
        <f t="shared" si="60"/>
        <v>0</v>
      </c>
      <c r="Y128" s="539">
        <f t="shared" si="60"/>
        <v>0</v>
      </c>
      <c r="Z128" s="539">
        <f t="shared" si="60"/>
        <v>0</v>
      </c>
      <c r="AA128" s="539">
        <f t="shared" si="60"/>
        <v>0</v>
      </c>
      <c r="AB128" s="539">
        <f t="shared" si="60"/>
        <v>0</v>
      </c>
      <c r="AC128" s="539">
        <f t="shared" si="60"/>
        <v>0</v>
      </c>
      <c r="AD128" s="539">
        <f t="shared" si="60"/>
        <v>0</v>
      </c>
      <c r="AE128" s="539">
        <f t="shared" si="60"/>
        <v>0</v>
      </c>
      <c r="AF128" s="539">
        <f t="shared" si="60"/>
        <v>0</v>
      </c>
      <c r="AG128" s="539">
        <f t="shared" si="60"/>
        <v>0</v>
      </c>
      <c r="AH128" s="539">
        <f t="shared" si="60"/>
        <v>6822.7318437499998</v>
      </c>
      <c r="AI128" s="539">
        <f t="shared" si="60"/>
        <v>13055.069875000001</v>
      </c>
      <c r="AJ128" s="539">
        <f t="shared" si="60"/>
        <v>18723.5818153125</v>
      </c>
      <c r="AK128" s="539">
        <f t="shared" si="60"/>
        <v>23853.639838779687</v>
      </c>
      <c r="AL128" s="539">
        <f t="shared" si="60"/>
        <v>28358.857082753351</v>
      </c>
      <c r="AM128" s="539">
        <f t="shared" si="60"/>
        <v>32372.990893216171</v>
      </c>
      <c r="AN128" s="539">
        <f t="shared" si="60"/>
        <v>35918.140024676133</v>
      </c>
      <c r="AO128" s="539">
        <f t="shared" si="60"/>
        <v>39015.408787688364</v>
      </c>
      <c r="AP128" s="539">
        <f t="shared" si="60"/>
        <v>41572.516711629105</v>
      </c>
      <c r="AQ128" s="539">
        <f t="shared" si="60"/>
        <v>43721.146542536306</v>
      </c>
      <c r="AR128" s="539">
        <f t="shared" si="60"/>
        <v>45479.679794596479</v>
      </c>
      <c r="AS128" s="539">
        <f t="shared" si="60"/>
        <v>46865.670813857738</v>
      </c>
      <c r="AT128" s="539">
        <f t="shared" si="60"/>
        <v>47781.606015446778</v>
      </c>
      <c r="AU128" s="539">
        <f t="shared" si="60"/>
        <v>48357.773387167384</v>
      </c>
      <c r="AV128" s="539">
        <f t="shared" si="60"/>
        <v>48609.46248136364</v>
      </c>
      <c r="AW128" s="539">
        <f t="shared" si="60"/>
        <v>48568.731118775991</v>
      </c>
      <c r="AX128" s="539">
        <f t="shared" si="60"/>
        <v>49316.143083837531</v>
      </c>
      <c r="AY128" s="539">
        <f t="shared" si="60"/>
        <v>49780.939701387586</v>
      </c>
      <c r="AZ128" s="539">
        <f t="shared" si="60"/>
        <v>49975.838662064169</v>
      </c>
      <c r="BA128" s="539">
        <f t="shared" si="60"/>
        <v>49931.841350917864</v>
      </c>
      <c r="BB128" s="539">
        <f t="shared" si="60"/>
        <v>48780.534136530303</v>
      </c>
      <c r="BC128" s="539">
        <f t="shared" si="60"/>
        <v>47464.67336721679</v>
      </c>
      <c r="BD128" s="539">
        <f t="shared" si="60"/>
        <v>45991.663952948991</v>
      </c>
      <c r="BE128" s="539">
        <f t="shared" si="60"/>
        <v>44368.577582749851</v>
      </c>
      <c r="BF128" s="539">
        <f t="shared" si="60"/>
        <v>42518.196393095648</v>
      </c>
      <c r="BG128" s="539">
        <f t="shared" si="60"/>
        <v>40530.941267708164</v>
      </c>
      <c r="BH128" s="539">
        <f t="shared" si="60"/>
        <v>38412.971533695396</v>
      </c>
      <c r="BI128" s="539">
        <f t="shared" si="60"/>
        <v>36170.169348445481</v>
      </c>
      <c r="BJ128" s="539">
        <f t="shared" si="60"/>
        <v>33722.819327355966</v>
      </c>
      <c r="BK128" s="539">
        <f t="shared" si="60"/>
        <v>31161.618989926897</v>
      </c>
      <c r="BL128" s="539">
        <f t="shared" si="60"/>
        <v>28491.691600393548</v>
      </c>
      <c r="BM128" s="539">
        <f t="shared" si="60"/>
        <v>25717.929876100614</v>
      </c>
      <c r="BN128" s="539">
        <f t="shared" si="60"/>
        <v>22758.293846120003</v>
      </c>
      <c r="BO128" s="539">
        <f t="shared" si="60"/>
        <v>19703.958306980279</v>
      </c>
      <c r="BP128" s="539">
        <f t="shared" si="60"/>
        <v>16559.184736593605</v>
      </c>
      <c r="BQ128" s="539">
        <f t="shared" si="60"/>
        <v>13328.042846366094</v>
      </c>
      <c r="BR128" s="539">
        <f t="shared" si="60"/>
        <v>10890.692462166768</v>
      </c>
      <c r="BS128" s="539">
        <f t="shared" si="60"/>
        <v>8374.5720110645998</v>
      </c>
      <c r="BT128" s="539">
        <f t="shared" si="60"/>
        <v>5783.2261460702202</v>
      </c>
      <c r="BU128" s="539">
        <f t="shared" si="60"/>
        <v>3120.0400108087779</v>
      </c>
      <c r="BV128" s="539">
        <f t="shared" si="60"/>
        <v>0</v>
      </c>
      <c r="BW128" s="539">
        <f t="shared" si="60"/>
        <v>0</v>
      </c>
      <c r="BX128" s="539">
        <f t="shared" si="60"/>
        <v>0</v>
      </c>
      <c r="BY128" s="539">
        <f t="shared" si="60"/>
        <v>0</v>
      </c>
      <c r="BZ128" s="539">
        <f t="shared" si="60"/>
        <v>0</v>
      </c>
      <c r="CA128" s="539">
        <f t="shared" si="60"/>
        <v>0</v>
      </c>
      <c r="CB128" s="539">
        <f t="shared" si="60"/>
        <v>0</v>
      </c>
      <c r="CC128" s="539">
        <f t="shared" si="60"/>
        <v>0</v>
      </c>
      <c r="CD128" s="539">
        <f t="shared" si="60"/>
        <v>0</v>
      </c>
      <c r="CE128" s="539">
        <f t="shared" si="60"/>
        <v>0</v>
      </c>
      <c r="CF128" s="539">
        <f t="shared" si="60"/>
        <v>-7.2759576141834259E-12</v>
      </c>
      <c r="CG128" s="539">
        <f t="shared" si="60"/>
        <v>-7.2759576141834259E-12</v>
      </c>
      <c r="CH128" s="539">
        <f t="shared" si="60"/>
        <v>-7.2759576141834259E-12</v>
      </c>
      <c r="CI128" s="539">
        <f t="shared" si="60"/>
        <v>-7.2759576141834259E-12</v>
      </c>
      <c r="CJ128" s="539">
        <f t="shared" si="60"/>
        <v>-7.2759576141834259E-12</v>
      </c>
      <c r="CK128" s="539">
        <f t="shared" si="60"/>
        <v>-7.2759576141834259E-12</v>
      </c>
      <c r="CL128" s="539">
        <f t="shared" si="60"/>
        <v>-7.2759576141834259E-12</v>
      </c>
      <c r="CM128" s="539">
        <f t="shared" si="60"/>
        <v>-7.2759576141834259E-12</v>
      </c>
      <c r="CN128" s="539">
        <f t="shared" si="60"/>
        <v>-7.2759576141834259E-12</v>
      </c>
      <c r="CO128" s="539">
        <f t="shared" si="60"/>
        <v>-7.2759576141834259E-12</v>
      </c>
      <c r="CP128" s="539">
        <f t="shared" si="60"/>
        <v>-7.2759576141834259E-12</v>
      </c>
      <c r="CQ128" s="539">
        <f t="shared" si="60"/>
        <v>-7.2759576141834259E-12</v>
      </c>
      <c r="CR128" s="539">
        <f t="shared" si="60"/>
        <v>-7.2759576141834259E-12</v>
      </c>
      <c r="CS128" s="539">
        <f t="shared" si="60"/>
        <v>-7.2759576141834259E-12</v>
      </c>
      <c r="CT128" s="539">
        <f t="shared" si="60"/>
        <v>-7.2759576141834259E-12</v>
      </c>
      <c r="CU128" s="539">
        <f t="shared" si="60"/>
        <v>-7.2759576141834259E-12</v>
      </c>
      <c r="CV128" s="539">
        <f t="shared" si="60"/>
        <v>-7.2759576141834259E-12</v>
      </c>
      <c r="CW128" s="539">
        <f t="shared" si="60"/>
        <v>-7.2759576141834259E-12</v>
      </c>
      <c r="CX128" s="539">
        <f t="shared" si="60"/>
        <v>-7.2759576141834259E-12</v>
      </c>
      <c r="CY128" s="539">
        <f t="shared" si="60"/>
        <v>-7.2759576141834259E-12</v>
      </c>
      <c r="CZ128" s="539">
        <f t="shared" si="60"/>
        <v>-7.2759576141834259E-12</v>
      </c>
      <c r="DA128" s="539">
        <f t="shared" si="60"/>
        <v>-7.2759576141834259E-12</v>
      </c>
      <c r="DB128" s="539">
        <f t="shared" si="60"/>
        <v>-7.2759576141834259E-12</v>
      </c>
      <c r="DC128" s="539">
        <f t="shared" si="60"/>
        <v>-7.2759576141834259E-12</v>
      </c>
      <c r="DD128" s="539">
        <f t="shared" si="60"/>
        <v>-7.2759576141834259E-12</v>
      </c>
      <c r="DE128" s="539">
        <f t="shared" si="60"/>
        <v>-7.2759576141834259E-12</v>
      </c>
      <c r="DF128" s="539">
        <f t="shared" si="60"/>
        <v>-7.2759576141834259E-12</v>
      </c>
      <c r="DG128" s="539">
        <f t="shared" si="60"/>
        <v>-7.2759576141834259E-12</v>
      </c>
      <c r="DH128" s="539">
        <f t="shared" si="60"/>
        <v>-7.2759576141834259E-12</v>
      </c>
      <c r="DI128" s="539">
        <f t="shared" si="60"/>
        <v>-7.2759576141834259E-12</v>
      </c>
      <c r="DJ128" s="539">
        <f t="shared" si="60"/>
        <v>-7.2759576141834259E-12</v>
      </c>
      <c r="DK128" s="539">
        <f t="shared" si="60"/>
        <v>-7.2759576141834259E-12</v>
      </c>
      <c r="DL128" s="539">
        <f t="shared" si="60"/>
        <v>-7.2759576141834259E-12</v>
      </c>
      <c r="DM128" s="539">
        <f t="shared" si="60"/>
        <v>-7.2759576141834259E-12</v>
      </c>
      <c r="DN128" s="539">
        <f t="shared" si="60"/>
        <v>-7.2759576141834259E-12</v>
      </c>
      <c r="DO128" s="539">
        <f t="shared" si="60"/>
        <v>-7.2759576141834259E-12</v>
      </c>
      <c r="DP128" s="539">
        <f t="shared" si="60"/>
        <v>-7.2759576141834259E-12</v>
      </c>
      <c r="DQ128" s="539">
        <f t="shared" si="60"/>
        <v>-7.2759576141834259E-12</v>
      </c>
      <c r="DR128" s="539">
        <f t="shared" si="60"/>
        <v>-7.2759576141834259E-12</v>
      </c>
      <c r="DS128" s="539">
        <f t="shared" si="60"/>
        <v>-7.2759576141834259E-12</v>
      </c>
      <c r="DT128" s="539">
        <f t="shared" si="60"/>
        <v>-7.2759576141834259E-12</v>
      </c>
      <c r="DU128" s="539">
        <f t="shared" si="60"/>
        <v>-7.2759576141834259E-12</v>
      </c>
      <c r="DV128" s="539">
        <f t="shared" si="60"/>
        <v>-7.2759576141834259E-12</v>
      </c>
      <c r="DW128" s="539">
        <f t="shared" si="60"/>
        <v>-7.2759576141834259E-12</v>
      </c>
      <c r="DX128" s="539">
        <f t="shared" si="60"/>
        <v>-7.2759576141834259E-12</v>
      </c>
      <c r="DY128" s="539">
        <f t="shared" si="60"/>
        <v>-7.2759576141834259E-12</v>
      </c>
      <c r="DZ128" s="539">
        <f t="shared" si="60"/>
        <v>-7.2759576141834259E-12</v>
      </c>
      <c r="EA128" s="539">
        <f t="shared" si="60"/>
        <v>-7.2759576141834259E-12</v>
      </c>
      <c r="EB128" s="539">
        <f t="shared" si="60"/>
        <v>-7.2759576141834259E-12</v>
      </c>
      <c r="EC128" s="539">
        <f t="shared" si="60"/>
        <v>0</v>
      </c>
      <c r="ED128" s="539">
        <f t="shared" si="60"/>
        <v>0</v>
      </c>
      <c r="EE128" s="539">
        <f t="shared" si="60"/>
        <v>0</v>
      </c>
      <c r="EF128" s="539">
        <f t="shared" si="60"/>
        <v>0</v>
      </c>
      <c r="EG128" s="539">
        <f t="shared" si="60"/>
        <v>0</v>
      </c>
    </row>
    <row r="129" spans="5:7" ht="12.75">
      <c r="E129" s="540" t="s">
        <v>458</v>
      </c>
      <c r="F129" s="543">
        <f>IF(MIN($J128:$EG128)&lt;-$F127,1,0)</f>
        <v>0</v>
      </c>
      <c r="G129" s="541" t="s">
        <v>224</v>
      </c>
    </row>
    <row r="131" spans="5:7" ht="12.75">
      <c r="E131" s="535" t="str">
        <f>InpC!E$128</f>
        <v>Check tolerance</v>
      </c>
      <c r="F131" s="537">
        <f>InpC!F$128</f>
        <v>0.001</v>
      </c>
      <c r="G131" s="537" t="str">
        <f>InpC!G$128</f>
        <v>EUR 000s</v>
      </c>
    </row>
    <row r="132" spans="5:137" ht="12.75">
      <c r="E132" s="535" t="str">
        <f>Time!E$170</f>
        <v>Last model period flag</v>
      </c>
      <c r="G132" s="537" t="str">
        <f>Time!G$170</f>
        <v>flag</v>
      </c>
      <c r="H132" s="537">
        <f>Time!H$170</f>
        <v>1</v>
      </c>
      <c r="J132" s="537">
        <f>Time!J$170</f>
        <v>0</v>
      </c>
      <c r="K132" s="537">
        <f>Time!K$170</f>
        <v>0</v>
      </c>
      <c r="L132" s="537">
        <f>Time!L$170</f>
        <v>0</v>
      </c>
      <c r="M132" s="537">
        <f>Time!M$170</f>
        <v>0</v>
      </c>
      <c r="N132" s="537">
        <f>Time!N$170</f>
        <v>0</v>
      </c>
      <c r="O132" s="537">
        <f>Time!O$170</f>
        <v>0</v>
      </c>
      <c r="P132" s="537">
        <f>Time!P$170</f>
        <v>0</v>
      </c>
      <c r="Q132" s="537">
        <f>Time!Q$170</f>
        <v>0</v>
      </c>
      <c r="R132" s="537">
        <f>Time!R$170</f>
        <v>0</v>
      </c>
      <c r="S132" s="537">
        <f>Time!S$170</f>
        <v>0</v>
      </c>
      <c r="T132" s="537">
        <f>Time!T$170</f>
        <v>0</v>
      </c>
      <c r="U132" s="537">
        <f>Time!U$170</f>
        <v>0</v>
      </c>
      <c r="V132" s="537">
        <f>Time!V$170</f>
        <v>0</v>
      </c>
      <c r="W132" s="537">
        <f>Time!W$170</f>
        <v>0</v>
      </c>
      <c r="X132" s="537">
        <f>Time!X$170</f>
        <v>0</v>
      </c>
      <c r="Y132" s="537">
        <f>Time!Y$170</f>
        <v>0</v>
      </c>
      <c r="Z132" s="537">
        <f>Time!Z$170</f>
        <v>0</v>
      </c>
      <c r="AA132" s="537">
        <f>Time!AA$170</f>
        <v>0</v>
      </c>
      <c r="AB132" s="537">
        <f>Time!AB$170</f>
        <v>0</v>
      </c>
      <c r="AC132" s="537">
        <f>Time!AC$170</f>
        <v>0</v>
      </c>
      <c r="AD132" s="537">
        <f>Time!AD$170</f>
        <v>0</v>
      </c>
      <c r="AE132" s="537">
        <f>Time!AE$170</f>
        <v>0</v>
      </c>
      <c r="AF132" s="537">
        <f>Time!AF$170</f>
        <v>0</v>
      </c>
      <c r="AG132" s="537">
        <f>Time!AG$170</f>
        <v>0</v>
      </c>
      <c r="AH132" s="537">
        <f>Time!AH$170</f>
        <v>0</v>
      </c>
      <c r="AI132" s="537">
        <f>Time!AI$170</f>
        <v>0</v>
      </c>
      <c r="AJ132" s="537">
        <f>Time!AJ$170</f>
        <v>0</v>
      </c>
      <c r="AK132" s="537">
        <f>Time!AK$170</f>
        <v>0</v>
      </c>
      <c r="AL132" s="537">
        <f>Time!AL$170</f>
        <v>0</v>
      </c>
      <c r="AM132" s="537">
        <f>Time!AM$170</f>
        <v>0</v>
      </c>
      <c r="AN132" s="537">
        <f>Time!AN$170</f>
        <v>0</v>
      </c>
      <c r="AO132" s="537">
        <f>Time!AO$170</f>
        <v>0</v>
      </c>
      <c r="AP132" s="537">
        <f>Time!AP$170</f>
        <v>0</v>
      </c>
      <c r="AQ132" s="537">
        <f>Time!AQ$170</f>
        <v>0</v>
      </c>
      <c r="AR132" s="537">
        <f>Time!AR$170</f>
        <v>0</v>
      </c>
      <c r="AS132" s="537">
        <f>Time!AS$170</f>
        <v>0</v>
      </c>
      <c r="AT132" s="537">
        <f>Time!AT$170</f>
        <v>0</v>
      </c>
      <c r="AU132" s="537">
        <f>Time!AU$170</f>
        <v>0</v>
      </c>
      <c r="AV132" s="537">
        <f>Time!AV$170</f>
        <v>0</v>
      </c>
      <c r="AW132" s="537">
        <f>Time!AW$170</f>
        <v>0</v>
      </c>
      <c r="AX132" s="537">
        <f>Time!AX$170</f>
        <v>0</v>
      </c>
      <c r="AY132" s="537">
        <f>Time!AY$170</f>
        <v>0</v>
      </c>
      <c r="AZ132" s="537">
        <f>Time!AZ$170</f>
        <v>0</v>
      </c>
      <c r="BA132" s="537">
        <f>Time!BA$170</f>
        <v>0</v>
      </c>
      <c r="BB132" s="537">
        <f>Time!BB$170</f>
        <v>0</v>
      </c>
      <c r="BC132" s="537">
        <f>Time!BC$170</f>
        <v>0</v>
      </c>
      <c r="BD132" s="537">
        <f>Time!BD$170</f>
        <v>0</v>
      </c>
      <c r="BE132" s="537">
        <f>Time!BE$170</f>
        <v>0</v>
      </c>
      <c r="BF132" s="537">
        <f>Time!BF$170</f>
        <v>0</v>
      </c>
      <c r="BG132" s="537">
        <f>Time!BG$170</f>
        <v>0</v>
      </c>
      <c r="BH132" s="537">
        <f>Time!BH$170</f>
        <v>0</v>
      </c>
      <c r="BI132" s="537">
        <f>Time!BI$170</f>
        <v>0</v>
      </c>
      <c r="BJ132" s="537">
        <f>Time!BJ$170</f>
        <v>0</v>
      </c>
      <c r="BK132" s="537">
        <f>Time!BK$170</f>
        <v>0</v>
      </c>
      <c r="BL132" s="537">
        <f>Time!BL$170</f>
        <v>0</v>
      </c>
      <c r="BM132" s="537">
        <f>Time!BM$170</f>
        <v>0</v>
      </c>
      <c r="BN132" s="537">
        <f>Time!BN$170</f>
        <v>0</v>
      </c>
      <c r="BO132" s="537">
        <f>Time!BO$170</f>
        <v>0</v>
      </c>
      <c r="BP132" s="537">
        <f>Time!BP$170</f>
        <v>0</v>
      </c>
      <c r="BQ132" s="537">
        <f>Time!BQ$170</f>
        <v>0</v>
      </c>
      <c r="BR132" s="537">
        <f>Time!BR$170</f>
        <v>0</v>
      </c>
      <c r="BS132" s="537">
        <f>Time!BS$170</f>
        <v>0</v>
      </c>
      <c r="BT132" s="537">
        <f>Time!BT$170</f>
        <v>0</v>
      </c>
      <c r="BU132" s="537">
        <f>Time!BU$170</f>
        <v>0</v>
      </c>
      <c r="BV132" s="537">
        <f>Time!BV$170</f>
        <v>0</v>
      </c>
      <c r="BW132" s="537">
        <f>Time!BW$170</f>
        <v>0</v>
      </c>
      <c r="BX132" s="537">
        <f>Time!BX$170</f>
        <v>0</v>
      </c>
      <c r="BY132" s="537">
        <f>Time!BY$170</f>
        <v>0</v>
      </c>
      <c r="BZ132" s="537">
        <f>Time!BZ$170</f>
        <v>0</v>
      </c>
      <c r="CA132" s="537">
        <f>Time!CA$170</f>
        <v>0</v>
      </c>
      <c r="CB132" s="537">
        <f>Time!CB$170</f>
        <v>0</v>
      </c>
      <c r="CC132" s="537">
        <f>Time!CC$170</f>
        <v>0</v>
      </c>
      <c r="CD132" s="537">
        <f>Time!CD$170</f>
        <v>0</v>
      </c>
      <c r="CE132" s="537">
        <f>Time!CE$170</f>
        <v>0</v>
      </c>
      <c r="CF132" s="537">
        <f>Time!CF$170</f>
        <v>0</v>
      </c>
      <c r="CG132" s="537">
        <f>Time!CG$170</f>
        <v>0</v>
      </c>
      <c r="CH132" s="537">
        <f>Time!CH$170</f>
        <v>0</v>
      </c>
      <c r="CI132" s="537">
        <f>Time!CI$170</f>
        <v>0</v>
      </c>
      <c r="CJ132" s="537">
        <f>Time!CJ$170</f>
        <v>0</v>
      </c>
      <c r="CK132" s="537">
        <f>Time!CK$170</f>
        <v>0</v>
      </c>
      <c r="CL132" s="537">
        <f>Time!CL$170</f>
        <v>0</v>
      </c>
      <c r="CM132" s="537">
        <f>Time!CM$170</f>
        <v>0</v>
      </c>
      <c r="CN132" s="537">
        <f>Time!CN$170</f>
        <v>0</v>
      </c>
      <c r="CO132" s="537">
        <f>Time!CO$170</f>
        <v>0</v>
      </c>
      <c r="CP132" s="537">
        <f>Time!CP$170</f>
        <v>0</v>
      </c>
      <c r="CQ132" s="537">
        <f>Time!CQ$170</f>
        <v>0</v>
      </c>
      <c r="CR132" s="537">
        <f>Time!CR$170</f>
        <v>0</v>
      </c>
      <c r="CS132" s="537">
        <f>Time!CS$170</f>
        <v>0</v>
      </c>
      <c r="CT132" s="537">
        <f>Time!CT$170</f>
        <v>0</v>
      </c>
      <c r="CU132" s="537">
        <f>Time!CU$170</f>
        <v>0</v>
      </c>
      <c r="CV132" s="537">
        <f>Time!CV$170</f>
        <v>0</v>
      </c>
      <c r="CW132" s="537">
        <f>Time!CW$170</f>
        <v>0</v>
      </c>
      <c r="CX132" s="537">
        <f>Time!CX$170</f>
        <v>0</v>
      </c>
      <c r="CY132" s="537">
        <f>Time!CY$170</f>
        <v>0</v>
      </c>
      <c r="CZ132" s="537">
        <f>Time!CZ$170</f>
        <v>0</v>
      </c>
      <c r="DA132" s="537">
        <f>Time!DA$170</f>
        <v>0</v>
      </c>
      <c r="DB132" s="537">
        <f>Time!DB$170</f>
        <v>0</v>
      </c>
      <c r="DC132" s="537">
        <f>Time!DC$170</f>
        <v>0</v>
      </c>
      <c r="DD132" s="537">
        <f>Time!DD$170</f>
        <v>0</v>
      </c>
      <c r="DE132" s="537">
        <f>Time!DE$170</f>
        <v>0</v>
      </c>
      <c r="DF132" s="537">
        <f>Time!DF$170</f>
        <v>0</v>
      </c>
      <c r="DG132" s="537">
        <f>Time!DG$170</f>
        <v>0</v>
      </c>
      <c r="DH132" s="537">
        <f>Time!DH$170</f>
        <v>0</v>
      </c>
      <c r="DI132" s="537">
        <f>Time!DI$170</f>
        <v>0</v>
      </c>
      <c r="DJ132" s="537">
        <f>Time!DJ$170</f>
        <v>0</v>
      </c>
      <c r="DK132" s="537">
        <f>Time!DK$170</f>
        <v>0</v>
      </c>
      <c r="DL132" s="537">
        <f>Time!DL$170</f>
        <v>0</v>
      </c>
      <c r="DM132" s="537">
        <f>Time!DM$170</f>
        <v>0</v>
      </c>
      <c r="DN132" s="537">
        <f>Time!DN$170</f>
        <v>0</v>
      </c>
      <c r="DO132" s="537">
        <f>Time!DO$170</f>
        <v>0</v>
      </c>
      <c r="DP132" s="537">
        <f>Time!DP$170</f>
        <v>0</v>
      </c>
      <c r="DQ132" s="537">
        <f>Time!DQ$170</f>
        <v>0</v>
      </c>
      <c r="DR132" s="537">
        <f>Time!DR$170</f>
        <v>0</v>
      </c>
      <c r="DS132" s="537">
        <f>Time!DS$170</f>
        <v>0</v>
      </c>
      <c r="DT132" s="537">
        <f>Time!DT$170</f>
        <v>0</v>
      </c>
      <c r="DU132" s="537">
        <f>Time!DU$170</f>
        <v>0</v>
      </c>
      <c r="DV132" s="537">
        <f>Time!DV$170</f>
        <v>0</v>
      </c>
      <c r="DW132" s="537">
        <f>Time!DW$170</f>
        <v>0</v>
      </c>
      <c r="DX132" s="537">
        <f>Time!DX$170</f>
        <v>0</v>
      </c>
      <c r="DY132" s="537">
        <f>Time!DY$170</f>
        <v>0</v>
      </c>
      <c r="DZ132" s="537">
        <f>Time!DZ$170</f>
        <v>0</v>
      </c>
      <c r="EA132" s="537">
        <f>Time!EA$170</f>
        <v>0</v>
      </c>
      <c r="EB132" s="537">
        <f>Time!EB$170</f>
        <v>0</v>
      </c>
      <c r="EC132" s="537">
        <f>Time!EC$170</f>
        <v>0</v>
      </c>
      <c r="ED132" s="537">
        <f>Time!ED$170</f>
        <v>0</v>
      </c>
      <c r="EE132" s="537">
        <f>Time!EE$170</f>
        <v>0</v>
      </c>
      <c r="EF132" s="537">
        <f>Time!EF$170</f>
        <v>0</v>
      </c>
      <c r="EG132" s="537">
        <f>Time!EG$170</f>
        <v>1</v>
      </c>
    </row>
    <row r="133" spans="5:137" ht="12.75">
      <c r="E133" s="538" t="str">
        <f>E$119</f>
        <v>Deferred tax - balance</v>
      </c>
      <c r="G133" s="539" t="str">
        <f>G$119</f>
        <v>EUR 000s</v>
      </c>
      <c r="H133" s="539">
        <f>H$119</f>
        <v>1621114.0074982508</v>
      </c>
      <c r="J133" s="539">
        <f t="shared" si="61" ref="J133:EG133">J$119</f>
        <v>0</v>
      </c>
      <c r="K133" s="539">
        <f t="shared" si="61"/>
        <v>0</v>
      </c>
      <c r="L133" s="539">
        <f t="shared" si="61"/>
        <v>0</v>
      </c>
      <c r="M133" s="539">
        <f t="shared" si="61"/>
        <v>0</v>
      </c>
      <c r="N133" s="539">
        <f t="shared" si="61"/>
        <v>0</v>
      </c>
      <c r="O133" s="539">
        <f t="shared" si="61"/>
        <v>0</v>
      </c>
      <c r="P133" s="539">
        <f t="shared" si="61"/>
        <v>0</v>
      </c>
      <c r="Q133" s="539">
        <f t="shared" si="61"/>
        <v>0</v>
      </c>
      <c r="R133" s="539">
        <f t="shared" si="61"/>
        <v>0</v>
      </c>
      <c r="S133" s="539">
        <f t="shared" si="61"/>
        <v>0</v>
      </c>
      <c r="T133" s="539">
        <f t="shared" si="61"/>
        <v>0</v>
      </c>
      <c r="U133" s="539">
        <f t="shared" si="61"/>
        <v>0</v>
      </c>
      <c r="V133" s="539">
        <f t="shared" si="61"/>
        <v>0</v>
      </c>
      <c r="W133" s="539">
        <f t="shared" si="61"/>
        <v>0</v>
      </c>
      <c r="X133" s="539">
        <f t="shared" si="61"/>
        <v>0</v>
      </c>
      <c r="Y133" s="539">
        <f t="shared" si="61"/>
        <v>0</v>
      </c>
      <c r="Z133" s="539">
        <f t="shared" si="61"/>
        <v>0</v>
      </c>
      <c r="AA133" s="539">
        <f t="shared" si="61"/>
        <v>0</v>
      </c>
      <c r="AB133" s="539">
        <f t="shared" si="61"/>
        <v>0</v>
      </c>
      <c r="AC133" s="539">
        <f t="shared" si="61"/>
        <v>0</v>
      </c>
      <c r="AD133" s="539">
        <f t="shared" si="61"/>
        <v>0</v>
      </c>
      <c r="AE133" s="539">
        <f t="shared" si="61"/>
        <v>0</v>
      </c>
      <c r="AF133" s="539">
        <f t="shared" si="61"/>
        <v>0</v>
      </c>
      <c r="AG133" s="539">
        <f t="shared" si="61"/>
        <v>0</v>
      </c>
      <c r="AH133" s="539">
        <f t="shared" si="61"/>
        <v>565.45954380123203</v>
      </c>
      <c r="AI133" s="539">
        <f t="shared" si="61"/>
        <v>1134.1846389635411</v>
      </c>
      <c r="AJ133" s="539">
        <f t="shared" si="61"/>
        <v>1701.090176248523</v>
      </c>
      <c r="AK133" s="539">
        <f t="shared" si="61"/>
        <v>2276.5930489935727</v>
      </c>
      <c r="AL133" s="539">
        <f t="shared" si="61"/>
        <v>2920.5886551554004</v>
      </c>
      <c r="AM133" s="539">
        <f t="shared" si="61"/>
        <v>3563.4270256070176</v>
      </c>
      <c r="AN133" s="539">
        <f t="shared" si="61"/>
        <v>4205.4251692211019</v>
      </c>
      <c r="AO133" s="539">
        <f t="shared" si="61"/>
        <v>4856.6314475536174</v>
      </c>
      <c r="AP133" s="539">
        <f t="shared" si="61"/>
        <v>5576.7981649533249</v>
      </c>
      <c r="AQ133" s="539">
        <f t="shared" si="61"/>
        <v>6296.8246370241122</v>
      </c>
      <c r="AR133" s="539">
        <f t="shared" si="61"/>
        <v>7017.055142164254</v>
      </c>
      <c r="AS133" s="539">
        <f t="shared" si="61"/>
        <v>7747.1437551454819</v>
      </c>
      <c r="AT133" s="539">
        <f t="shared" si="61"/>
        <v>8537.3082296073244</v>
      </c>
      <c r="AU133" s="539">
        <f t="shared" si="61"/>
        <v>9337.6949737997347</v>
      </c>
      <c r="AV133" s="539">
        <f t="shared" si="61"/>
        <v>10139.359800796276</v>
      </c>
      <c r="AW133" s="539">
        <f t="shared" si="61"/>
        <v>10947.208610110221</v>
      </c>
      <c r="AX133" s="539">
        <f t="shared" si="61"/>
        <v>11394.402827010774</v>
      </c>
      <c r="AY133" s="539">
        <f t="shared" si="61"/>
        <v>11843.693193186678</v>
      </c>
      <c r="AZ133" s="539">
        <f t="shared" si="61"/>
        <v>12295.483887431892</v>
      </c>
      <c r="BA133" s="539">
        <f t="shared" si="61"/>
        <v>12753.843698473574</v>
      </c>
      <c r="BB133" s="539">
        <f t="shared" si="61"/>
        <v>13598.756583497423</v>
      </c>
      <c r="BC133" s="539">
        <f t="shared" si="61"/>
        <v>14429.146749224077</v>
      </c>
      <c r="BD133" s="539">
        <f t="shared" si="61"/>
        <v>15246.205298586701</v>
      </c>
      <c r="BE133" s="539">
        <f t="shared" si="61"/>
        <v>16058.959726137206</v>
      </c>
      <c r="BF133" s="539">
        <f t="shared" si="61"/>
        <v>16917.811316615509</v>
      </c>
      <c r="BG133" s="539">
        <f t="shared" si="61"/>
        <v>17766.257153819002</v>
      </c>
      <c r="BH133" s="539">
        <f t="shared" si="61"/>
        <v>18605.389775791089</v>
      </c>
      <c r="BI133" s="539">
        <f t="shared" si="61"/>
        <v>19443.610815228581</v>
      </c>
      <c r="BJ133" s="539">
        <f t="shared" si="61"/>
        <v>20323.33383113411</v>
      </c>
      <c r="BK133" s="539">
        <f t="shared" si="61"/>
        <v>21203.662307472623</v>
      </c>
      <c r="BL133" s="539">
        <f t="shared" si="61"/>
        <v>22078.270942656989</v>
      </c>
      <c r="BM133" s="539">
        <f t="shared" si="61"/>
        <v>22954.966386531247</v>
      </c>
      <c r="BN133" s="539">
        <f t="shared" si="61"/>
        <v>23882.835572613338</v>
      </c>
      <c r="BO133" s="539">
        <f t="shared" si="61"/>
        <v>24807.39085767647</v>
      </c>
      <c r="BP133" s="539">
        <f t="shared" si="61"/>
        <v>25729.596353906265</v>
      </c>
      <c r="BQ133" s="539">
        <f t="shared" si="61"/>
        <v>26656.572167845745</v>
      </c>
      <c r="BR133" s="539">
        <f t="shared" si="61"/>
        <v>27247.978397004954</v>
      </c>
      <c r="BS133" s="539">
        <f t="shared" si="61"/>
        <v>27839.390286960872</v>
      </c>
      <c r="BT133" s="539">
        <f t="shared" si="61"/>
        <v>28431.74214986978</v>
      </c>
      <c r="BU133" s="539">
        <f t="shared" si="61"/>
        <v>29031.486522245577</v>
      </c>
      <c r="BV133" s="539">
        <f t="shared" si="61"/>
        <v>29908.490751970952</v>
      </c>
      <c r="BW133" s="539">
        <f t="shared" si="61"/>
        <v>29991.601167588589</v>
      </c>
      <c r="BX133" s="539">
        <f t="shared" si="61"/>
        <v>30061.036474227229</v>
      </c>
      <c r="BY133" s="539">
        <f t="shared" si="61"/>
        <v>30123.20260881586</v>
      </c>
      <c r="BZ133" s="539">
        <f t="shared" si="61"/>
        <v>30197.949998963926</v>
      </c>
      <c r="CA133" s="539">
        <f t="shared" si="61"/>
        <v>30267.594454518017</v>
      </c>
      <c r="CB133" s="539">
        <f t="shared" si="61"/>
        <v>30258.975679897354</v>
      </c>
      <c r="CC133" s="539">
        <f t="shared" si="61"/>
        <v>29906.822305551974</v>
      </c>
      <c r="CD133" s="539">
        <f t="shared" si="61"/>
        <v>29537.716176802136</v>
      </c>
      <c r="CE133" s="539">
        <f t="shared" si="61"/>
        <v>29152.420167596043</v>
      </c>
      <c r="CF133" s="539">
        <f t="shared" si="61"/>
        <v>28751.662822554223</v>
      </c>
      <c r="CG133" s="539">
        <f t="shared" si="61"/>
        <v>28336.139901789284</v>
      </c>
      <c r="CH133" s="539">
        <f t="shared" si="61"/>
        <v>27906.515856208767</v>
      </c>
      <c r="CI133" s="539">
        <f t="shared" si="61"/>
        <v>27463.425236429372</v>
      </c>
      <c r="CJ133" s="539">
        <f t="shared" si="61"/>
        <v>27007.474038290056</v>
      </c>
      <c r="CK133" s="539">
        <f t="shared" si="61"/>
        <v>26539.240987817007</v>
      </c>
      <c r="CL133" s="539">
        <f t="shared" si="61"/>
        <v>26059.278768365242</v>
      </c>
      <c r="CM133" s="539">
        <f t="shared" si="61"/>
        <v>25568.115192538804</v>
      </c>
      <c r="CN133" s="539">
        <f t="shared" si="61"/>
        <v>25066.254321374559</v>
      </c>
      <c r="CO133" s="539">
        <f t="shared" si="61"/>
        <v>24554.177533162707</v>
      </c>
      <c r="CP133" s="539">
        <f t="shared" si="61"/>
        <v>24032.344544170388</v>
      </c>
      <c r="CQ133" s="539">
        <f t="shared" si="61"/>
        <v>23501.194383432725</v>
      </c>
      <c r="CR133" s="539">
        <f t="shared" si="61"/>
        <v>22961.146323678251</v>
      </c>
      <c r="CS133" s="539">
        <f t="shared" si="61"/>
        <v>22412.600770362733</v>
      </c>
      <c r="CT133" s="539">
        <f t="shared" si="61"/>
        <v>21855.940110696414</v>
      </c>
      <c r="CU133" s="539">
        <f t="shared" si="61"/>
        <v>21291.529524465077</v>
      </c>
      <c r="CV133" s="539">
        <f t="shared" si="61"/>
        <v>20719.717758364153</v>
      </c>
      <c r="CW133" s="539">
        <f t="shared" si="61"/>
        <v>20140.837865487767</v>
      </c>
      <c r="CX133" s="539">
        <f t="shared" si="61"/>
        <v>19555.20791154082</v>
      </c>
      <c r="CY133" s="539">
        <f t="shared" si="61"/>
        <v>18963.13164927149</v>
      </c>
      <c r="CZ133" s="539">
        <f t="shared" si="61"/>
        <v>18364.899162554277</v>
      </c>
      <c r="DA133" s="539">
        <f t="shared" si="61"/>
        <v>17760.787481489337</v>
      </c>
      <c r="DB133" s="539">
        <f t="shared" si="61"/>
        <v>17151.061169822315</v>
      </c>
      <c r="DC133" s="539">
        <f t="shared" si="61"/>
        <v>16535.972885930314</v>
      </c>
      <c r="DD133" s="539">
        <f t="shared" si="61"/>
        <v>15915.763918563454</v>
      </c>
      <c r="DE133" s="539">
        <f t="shared" si="61"/>
        <v>15290.664698478102</v>
      </c>
      <c r="DF133" s="539">
        <f t="shared" si="61"/>
        <v>14660.895287046591</v>
      </c>
      <c r="DG133" s="539">
        <f t="shared" si="61"/>
        <v>14026.665842879496</v>
      </c>
      <c r="DH133" s="539">
        <f t="shared" si="61"/>
        <v>13388.17706744992</v>
      </c>
      <c r="DI133" s="539">
        <f t="shared" si="61"/>
        <v>12745.620630664675</v>
      </c>
      <c r="DJ133" s="539">
        <f t="shared" si="61"/>
        <v>12099.179577284765</v>
      </c>
      <c r="DK133" s="539">
        <f t="shared" si="61"/>
        <v>11449.028715056953</v>
      </c>
      <c r="DL133" s="539">
        <f t="shared" si="61"/>
        <v>10795.334985379392</v>
      </c>
      <c r="DM133" s="539">
        <f t="shared" si="61"/>
        <v>10138.25781728732</v>
      </c>
      <c r="DN133" s="539">
        <f t="shared" si="61"/>
        <v>9477.9494655093931</v>
      </c>
      <c r="DO133" s="539">
        <f t="shared" si="61"/>
        <v>8814.5553333114713</v>
      </c>
      <c r="DP133" s="539">
        <f t="shared" si="61"/>
        <v>8148.2142808124554</v>
      </c>
      <c r="DQ133" s="539">
        <f t="shared" si="61"/>
        <v>7479.0589194258964</v>
      </c>
      <c r="DR133" s="539">
        <f t="shared" si="61"/>
        <v>6807.2158930517326</v>
      </c>
      <c r="DS133" s="539">
        <f t="shared" si="61"/>
        <v>6132.8061466144063</v>
      </c>
      <c r="DT133" s="539">
        <f t="shared" si="61"/>
        <v>5455.9451825167589</v>
      </c>
      <c r="DU133" s="539">
        <f t="shared" si="61"/>
        <v>4776.7433055535057</v>
      </c>
      <c r="DV133" s="539">
        <f t="shared" si="61"/>
        <v>4095.3058568035995</v>
      </c>
      <c r="DW133" s="539">
        <f t="shared" si="61"/>
        <v>3411.7334369974387</v>
      </c>
      <c r="DX133" s="539">
        <f t="shared" si="61"/>
        <v>2726.1221198325557</v>
      </c>
      <c r="DY133" s="539">
        <f t="shared" si="61"/>
        <v>2038.5636556900922</v>
      </c>
      <c r="DZ133" s="539">
        <f t="shared" si="61"/>
        <v>1349.1456661840398</v>
      </c>
      <c r="EA133" s="539">
        <f t="shared" si="61"/>
        <v>657.95182995575976</v>
      </c>
      <c r="EB133" s="539">
        <f t="shared" si="61"/>
        <v>-34.937939892247869</v>
      </c>
      <c r="EC133" s="539">
        <f t="shared" si="61"/>
        <v>0</v>
      </c>
      <c r="ED133" s="539">
        <f t="shared" si="61"/>
        <v>0</v>
      </c>
      <c r="EE133" s="539">
        <f t="shared" si="61"/>
        <v>0</v>
      </c>
      <c r="EF133" s="539">
        <f t="shared" si="61"/>
        <v>0</v>
      </c>
      <c r="EG133" s="539">
        <f t="shared" si="61"/>
        <v>0</v>
      </c>
    </row>
    <row r="134" spans="5:137" ht="12.75">
      <c r="E134" s="538" t="str">
        <f>E$122</f>
        <v>Deferred tax - charge</v>
      </c>
      <c r="G134" s="539" t="str">
        <f>G$122</f>
        <v>EUR 000s</v>
      </c>
      <c r="H134" s="539">
        <f>H$122</f>
        <v>0</v>
      </c>
      <c r="J134" s="539">
        <f t="shared" si="62" ref="J134:EG134">J$122</f>
        <v>0</v>
      </c>
      <c r="K134" s="539">
        <f t="shared" si="62"/>
        <v>0</v>
      </c>
      <c r="L134" s="539">
        <f t="shared" si="62"/>
        <v>0</v>
      </c>
      <c r="M134" s="539">
        <f t="shared" si="62"/>
        <v>0</v>
      </c>
      <c r="N134" s="539">
        <f t="shared" si="62"/>
        <v>0</v>
      </c>
      <c r="O134" s="539">
        <f t="shared" si="62"/>
        <v>0</v>
      </c>
      <c r="P134" s="539">
        <f t="shared" si="62"/>
        <v>0</v>
      </c>
      <c r="Q134" s="539">
        <f t="shared" si="62"/>
        <v>0</v>
      </c>
      <c r="R134" s="539">
        <f t="shared" si="62"/>
        <v>0</v>
      </c>
      <c r="S134" s="539">
        <f t="shared" si="62"/>
        <v>0</v>
      </c>
      <c r="T134" s="539">
        <f t="shared" si="62"/>
        <v>0</v>
      </c>
      <c r="U134" s="539">
        <f t="shared" si="62"/>
        <v>0</v>
      </c>
      <c r="V134" s="539">
        <f t="shared" si="62"/>
        <v>0</v>
      </c>
      <c r="W134" s="539">
        <f t="shared" si="62"/>
        <v>0</v>
      </c>
      <c r="X134" s="539">
        <f t="shared" si="62"/>
        <v>0</v>
      </c>
      <c r="Y134" s="539">
        <f t="shared" si="62"/>
        <v>0</v>
      </c>
      <c r="Z134" s="539">
        <f t="shared" si="62"/>
        <v>0</v>
      </c>
      <c r="AA134" s="539">
        <f t="shared" si="62"/>
        <v>0</v>
      </c>
      <c r="AB134" s="539">
        <f t="shared" si="62"/>
        <v>0</v>
      </c>
      <c r="AC134" s="539">
        <f t="shared" si="62"/>
        <v>0</v>
      </c>
      <c r="AD134" s="539">
        <f t="shared" si="62"/>
        <v>0</v>
      </c>
      <c r="AE134" s="539">
        <f t="shared" si="62"/>
        <v>0</v>
      </c>
      <c r="AF134" s="539">
        <f t="shared" si="62"/>
        <v>0</v>
      </c>
      <c r="AG134" s="539">
        <f t="shared" si="62"/>
        <v>0</v>
      </c>
      <c r="AH134" s="539">
        <f t="shared" si="62"/>
        <v>565.45954380123203</v>
      </c>
      <c r="AI134" s="539">
        <f t="shared" si="62"/>
        <v>568.72509516230912</v>
      </c>
      <c r="AJ134" s="539">
        <f t="shared" si="62"/>
        <v>566.90553728498185</v>
      </c>
      <c r="AK134" s="539">
        <f t="shared" si="62"/>
        <v>575.50287274504967</v>
      </c>
      <c r="AL134" s="539">
        <f t="shared" si="62"/>
        <v>643.99560616182771</v>
      </c>
      <c r="AM134" s="539">
        <f t="shared" si="62"/>
        <v>642.83837045161727</v>
      </c>
      <c r="AN134" s="539">
        <f t="shared" si="62"/>
        <v>641.99814361408426</v>
      </c>
      <c r="AO134" s="539">
        <f t="shared" si="62"/>
        <v>651.20627833251547</v>
      </c>
      <c r="AP134" s="539">
        <f t="shared" si="62"/>
        <v>720.16671739970752</v>
      </c>
      <c r="AQ134" s="539">
        <f t="shared" si="62"/>
        <v>720.02647207078735</v>
      </c>
      <c r="AR134" s="539">
        <f t="shared" si="62"/>
        <v>720.23050514014176</v>
      </c>
      <c r="AS134" s="539">
        <f t="shared" si="62"/>
        <v>730.08861298122793</v>
      </c>
      <c r="AT134" s="539">
        <f t="shared" si="62"/>
        <v>790.16447446184247</v>
      </c>
      <c r="AU134" s="539">
        <f t="shared" si="62"/>
        <v>800.38674419241033</v>
      </c>
      <c r="AV134" s="539">
        <f t="shared" si="62"/>
        <v>801.6648269965408</v>
      </c>
      <c r="AW134" s="539">
        <f t="shared" si="62"/>
        <v>807.84880931394582</v>
      </c>
      <c r="AX134" s="539">
        <f t="shared" si="62"/>
        <v>447.19421690055242</v>
      </c>
      <c r="AY134" s="539">
        <f t="shared" si="62"/>
        <v>449.29036617590464</v>
      </c>
      <c r="AZ134" s="539">
        <f t="shared" si="62"/>
        <v>451.79069424521367</v>
      </c>
      <c r="BA134" s="539">
        <f t="shared" si="62"/>
        <v>458.35981104168241</v>
      </c>
      <c r="BB134" s="539">
        <f t="shared" si="62"/>
        <v>844.9128850238485</v>
      </c>
      <c r="BC134" s="539">
        <f t="shared" si="62"/>
        <v>830.39016572665423</v>
      </c>
      <c r="BD134" s="539">
        <f t="shared" si="62"/>
        <v>817.05854936262403</v>
      </c>
      <c r="BE134" s="539">
        <f t="shared" si="62"/>
        <v>812.75442755050426</v>
      </c>
      <c r="BF134" s="539">
        <f t="shared" si="62"/>
        <v>858.85159047830348</v>
      </c>
      <c r="BG134" s="539">
        <f t="shared" si="62"/>
        <v>848.44583720349328</v>
      </c>
      <c r="BH134" s="539">
        <f t="shared" si="62"/>
        <v>839.13262197208678</v>
      </c>
      <c r="BI134" s="539">
        <f t="shared" si="62"/>
        <v>838.22103943749244</v>
      </c>
      <c r="BJ134" s="539">
        <f t="shared" si="62"/>
        <v>879.72301590552888</v>
      </c>
      <c r="BK134" s="539">
        <f t="shared" si="62"/>
        <v>880.3284763385127</v>
      </c>
      <c r="BL134" s="539">
        <f t="shared" si="62"/>
        <v>874.60863518436599</v>
      </c>
      <c r="BM134" s="539">
        <f t="shared" si="62"/>
        <v>876.69544387425776</v>
      </c>
      <c r="BN134" s="539">
        <f t="shared" si="62"/>
        <v>927.86918608209089</v>
      </c>
      <c r="BO134" s="539">
        <f t="shared" si="62"/>
        <v>924.55528506313203</v>
      </c>
      <c r="BP134" s="539">
        <f t="shared" si="62"/>
        <v>922.20549622979524</v>
      </c>
      <c r="BQ134" s="539">
        <f t="shared" si="62"/>
        <v>926.97581393947985</v>
      </c>
      <c r="BR134" s="539">
        <f t="shared" si="62"/>
        <v>591.40622915920903</v>
      </c>
      <c r="BS134" s="539">
        <f t="shared" si="62"/>
        <v>591.41188995591801</v>
      </c>
      <c r="BT134" s="539">
        <f t="shared" si="62"/>
        <v>592.35186290890852</v>
      </c>
      <c r="BU134" s="539">
        <f t="shared" si="62"/>
        <v>599.74437237579696</v>
      </c>
      <c r="BV134" s="539">
        <f t="shared" si="62"/>
        <v>877.0042297253749</v>
      </c>
      <c r="BW134" s="539">
        <f t="shared" si="62"/>
        <v>83.110415617637045</v>
      </c>
      <c r="BX134" s="539">
        <f t="shared" si="62"/>
        <v>69.435306638639304</v>
      </c>
      <c r="BY134" s="539">
        <f t="shared" si="62"/>
        <v>62.166134588631394</v>
      </c>
      <c r="BZ134" s="539">
        <f t="shared" si="62"/>
        <v>74.747390148066188</v>
      </c>
      <c r="CA134" s="539">
        <f t="shared" si="62"/>
        <v>69.64445555409111</v>
      </c>
      <c r="CB134" s="539">
        <f t="shared" si="62"/>
        <v>-8.6187746206633165</v>
      </c>
      <c r="CC134" s="539">
        <f t="shared" si="62"/>
        <v>-352.15337434538014</v>
      </c>
      <c r="CD134" s="539">
        <f t="shared" si="62"/>
        <v>-369.10612874983781</v>
      </c>
      <c r="CE134" s="539">
        <f t="shared" si="62"/>
        <v>-385.296009206093</v>
      </c>
      <c r="CF134" s="539">
        <f t="shared" si="62"/>
        <v>-400.75734504182037</v>
      </c>
      <c r="CG134" s="539">
        <f t="shared" si="62"/>
        <v>-415.52292076493904</v>
      </c>
      <c r="CH134" s="539">
        <f t="shared" si="62"/>
        <v>-429.62404558051639</v>
      </c>
      <c r="CI134" s="539">
        <f t="shared" si="62"/>
        <v>-443.09061977939564</v>
      </c>
      <c r="CJ134" s="539">
        <f t="shared" si="62"/>
        <v>-455.95119813931524</v>
      </c>
      <c r="CK134" s="539">
        <f t="shared" si="62"/>
        <v>-468.23305047304893</v>
      </c>
      <c r="CL134" s="539">
        <f t="shared" si="62"/>
        <v>-479.96221945176512</v>
      </c>
      <c r="CM134" s="539">
        <f t="shared" si="62"/>
        <v>-491.16357582643832</v>
      </c>
      <c r="CN134" s="539">
        <f t="shared" si="62"/>
        <v>-501.8608711642446</v>
      </c>
      <c r="CO134" s="539">
        <f t="shared" si="62"/>
        <v>-512.07678821185254</v>
      </c>
      <c r="CP134" s="539">
        <f t="shared" si="62"/>
        <v>-521.83298899231886</v>
      </c>
      <c r="CQ134" s="539">
        <f t="shared" si="62"/>
        <v>-531.1501607376631</v>
      </c>
      <c r="CR134" s="539">
        <f t="shared" si="62"/>
        <v>-540.0480597544738</v>
      </c>
      <c r="CS134" s="539">
        <f t="shared" si="62"/>
        <v>-548.54555331551819</v>
      </c>
      <c r="CT134" s="539">
        <f t="shared" si="62"/>
        <v>-556.66065966631868</v>
      </c>
      <c r="CU134" s="539">
        <f t="shared" si="62"/>
        <v>-564.41058623133722</v>
      </c>
      <c r="CV134" s="539">
        <f t="shared" si="62"/>
        <v>-571.81176610092371</v>
      </c>
      <c r="CW134" s="539">
        <f t="shared" si="62"/>
        <v>-578.87989287638629</v>
      </c>
      <c r="CX134" s="539">
        <f t="shared" si="62"/>
        <v>-585.62995394694735</v>
      </c>
      <c r="CY134" s="539">
        <f t="shared" si="62"/>
        <v>-592.07626226932916</v>
      </c>
      <c r="CZ134" s="539">
        <f t="shared" si="62"/>
        <v>-598.23248671721376</v>
      </c>
      <c r="DA134" s="539">
        <f t="shared" si="62"/>
        <v>-604.11168106494006</v>
      </c>
      <c r="DB134" s="539">
        <f t="shared" si="62"/>
        <v>-609.72631166702195</v>
      </c>
      <c r="DC134" s="539">
        <f t="shared" si="62"/>
        <v>-615.08828389200062</v>
      </c>
      <c r="DD134" s="539">
        <f t="shared" si="62"/>
        <v>-620.20896736685972</v>
      </c>
      <c r="DE134" s="539">
        <f t="shared" si="62"/>
        <v>-625.0992200853525</v>
      </c>
      <c r="DF134" s="539">
        <f t="shared" si="62"/>
        <v>-629.76941143151089</v>
      </c>
      <c r="DG134" s="539">
        <f t="shared" si="62"/>
        <v>-634.2294441670947</v>
      </c>
      <c r="DH134" s="539">
        <f t="shared" si="62"/>
        <v>-638.48877542957598</v>
      </c>
      <c r="DI134" s="539">
        <f t="shared" si="62"/>
        <v>-642.55643678524575</v>
      </c>
      <c r="DJ134" s="539">
        <f t="shared" si="62"/>
        <v>-646.44105337990914</v>
      </c>
      <c r="DK134" s="539">
        <f t="shared" si="62"/>
        <v>-650.15086222781247</v>
      </c>
      <c r="DL134" s="539">
        <f t="shared" si="62"/>
        <v>-653.69372967756135</v>
      </c>
      <c r="DM134" s="539">
        <f t="shared" si="62"/>
        <v>-657.07716809207159</v>
      </c>
      <c r="DN134" s="539">
        <f t="shared" si="62"/>
        <v>-660.30835177792687</v>
      </c>
      <c r="DO134" s="539">
        <f t="shared" si="62"/>
        <v>-663.39413219792186</v>
      </c>
      <c r="DP134" s="539">
        <f t="shared" si="62"/>
        <v>-666.34105249901586</v>
      </c>
      <c r="DQ134" s="539">
        <f t="shared" si="62"/>
        <v>-669.15536138655898</v>
      </c>
      <c r="DR134" s="539">
        <f t="shared" si="62"/>
        <v>-671.84302637416386</v>
      </c>
      <c r="DS134" s="539">
        <f t="shared" si="62"/>
        <v>-674.40974643732625</v>
      </c>
      <c r="DT134" s="539">
        <f t="shared" si="62"/>
        <v>-676.86096409764741</v>
      </c>
      <c r="DU134" s="539">
        <f t="shared" si="62"/>
        <v>-679.2018769632532</v>
      </c>
      <c r="DV134" s="539">
        <f t="shared" si="62"/>
        <v>-681.43744874990625</v>
      </c>
      <c r="DW134" s="539">
        <f t="shared" si="62"/>
        <v>-683.57241980616072</v>
      </c>
      <c r="DX134" s="539">
        <f t="shared" si="62"/>
        <v>-685.61131716488308</v>
      </c>
      <c r="DY134" s="539">
        <f t="shared" si="62"/>
        <v>-687.55846414246344</v>
      </c>
      <c r="DZ134" s="539">
        <f t="shared" si="62"/>
        <v>-689.41798950605244</v>
      </c>
      <c r="EA134" s="539">
        <f t="shared" si="62"/>
        <v>-691.19383622828002</v>
      </c>
      <c r="EB134" s="539">
        <f t="shared" si="62"/>
        <v>-692.88976984800763</v>
      </c>
      <c r="EC134" s="539">
        <f t="shared" si="62"/>
        <v>34.937939892247869</v>
      </c>
      <c r="ED134" s="539">
        <f t="shared" si="62"/>
        <v>0</v>
      </c>
      <c r="EE134" s="539">
        <f t="shared" si="62"/>
        <v>0</v>
      </c>
      <c r="EF134" s="539">
        <f t="shared" si="62"/>
        <v>0</v>
      </c>
      <c r="EG134" s="539">
        <f t="shared" si="62"/>
        <v>0</v>
      </c>
    </row>
    <row r="135" spans="5:7" ht="12.75">
      <c r="E135" s="540" t="s">
        <v>459</v>
      </c>
      <c r="F135" s="543">
        <f>IF(ABS(SUM($J134:$EG134)-SUMIFS($J133:$EG133,$J132:$EG132,1))&gt;$F131,1,0)</f>
        <v>0</v>
      </c>
      <c r="G135" s="541" t="s">
        <v>224</v>
      </c>
    </row>
    <row r="137" spans="5:7" ht="12.75">
      <c r="E137" s="535" t="str">
        <f>InpC!E$128</f>
        <v>Check tolerance</v>
      </c>
      <c r="F137" s="537">
        <f>InpC!F$128</f>
        <v>0.001</v>
      </c>
      <c r="G137" s="537" t="str">
        <f>InpC!G$128</f>
        <v>EUR 000s</v>
      </c>
    </row>
    <row r="138" spans="5:137" ht="12.75">
      <c r="E138" s="538" t="str">
        <f>E$84</f>
        <v>Tax losses - expired by age</v>
      </c>
      <c r="G138" s="539" t="str">
        <f>G$84</f>
        <v>EUR 000s</v>
      </c>
      <c r="H138" s="539">
        <f>H$84</f>
        <v>3.637978807091713E-10</v>
      </c>
      <c r="J138" s="539">
        <f t="shared" si="63" ref="J138:EG138">J$84</f>
        <v>0</v>
      </c>
      <c r="K138" s="539">
        <f t="shared" si="63"/>
        <v>0</v>
      </c>
      <c r="L138" s="539">
        <f t="shared" si="63"/>
        <v>0</v>
      </c>
      <c r="M138" s="539">
        <f t="shared" si="63"/>
        <v>0</v>
      </c>
      <c r="N138" s="539">
        <f t="shared" si="63"/>
        <v>0</v>
      </c>
      <c r="O138" s="539">
        <f t="shared" si="63"/>
        <v>0</v>
      </c>
      <c r="P138" s="539">
        <f t="shared" si="63"/>
        <v>0</v>
      </c>
      <c r="Q138" s="539">
        <f t="shared" si="63"/>
        <v>0</v>
      </c>
      <c r="R138" s="539">
        <f t="shared" si="63"/>
        <v>0</v>
      </c>
      <c r="S138" s="539">
        <f t="shared" si="63"/>
        <v>0</v>
      </c>
      <c r="T138" s="539">
        <f t="shared" si="63"/>
        <v>0</v>
      </c>
      <c r="U138" s="539">
        <f t="shared" si="63"/>
        <v>0</v>
      </c>
      <c r="V138" s="539">
        <f t="shared" si="63"/>
        <v>0</v>
      </c>
      <c r="W138" s="539">
        <f t="shared" si="63"/>
        <v>0</v>
      </c>
      <c r="X138" s="539">
        <f t="shared" si="63"/>
        <v>0</v>
      </c>
      <c r="Y138" s="539">
        <f t="shared" si="63"/>
        <v>0</v>
      </c>
      <c r="Z138" s="539">
        <f t="shared" si="63"/>
        <v>0</v>
      </c>
      <c r="AA138" s="539">
        <f t="shared" si="63"/>
        <v>0</v>
      </c>
      <c r="AB138" s="539">
        <f t="shared" si="63"/>
        <v>0</v>
      </c>
      <c r="AC138" s="539">
        <f t="shared" si="63"/>
        <v>0</v>
      </c>
      <c r="AD138" s="539">
        <f t="shared" si="63"/>
        <v>0</v>
      </c>
      <c r="AE138" s="539">
        <f t="shared" si="63"/>
        <v>0</v>
      </c>
      <c r="AF138" s="539">
        <f t="shared" si="63"/>
        <v>0</v>
      </c>
      <c r="AG138" s="539">
        <f t="shared" si="63"/>
        <v>0</v>
      </c>
      <c r="AH138" s="539">
        <f t="shared" si="63"/>
        <v>0</v>
      </c>
      <c r="AI138" s="539">
        <f t="shared" si="63"/>
        <v>0</v>
      </c>
      <c r="AJ138" s="539">
        <f t="shared" si="63"/>
        <v>0</v>
      </c>
      <c r="AK138" s="539">
        <f t="shared" si="63"/>
        <v>0</v>
      </c>
      <c r="AL138" s="539">
        <f t="shared" si="63"/>
        <v>0</v>
      </c>
      <c r="AM138" s="539">
        <f t="shared" si="63"/>
        <v>0</v>
      </c>
      <c r="AN138" s="539">
        <f t="shared" si="63"/>
        <v>0</v>
      </c>
      <c r="AO138" s="539">
        <f t="shared" si="63"/>
        <v>0</v>
      </c>
      <c r="AP138" s="539">
        <f t="shared" si="63"/>
        <v>0</v>
      </c>
      <c r="AQ138" s="539">
        <f t="shared" si="63"/>
        <v>0</v>
      </c>
      <c r="AR138" s="539">
        <f t="shared" si="63"/>
        <v>0</v>
      </c>
      <c r="AS138" s="539">
        <f t="shared" si="63"/>
        <v>0</v>
      </c>
      <c r="AT138" s="539">
        <f t="shared" si="63"/>
        <v>0</v>
      </c>
      <c r="AU138" s="539">
        <f t="shared" si="63"/>
        <v>0</v>
      </c>
      <c r="AV138" s="539">
        <f t="shared" si="63"/>
        <v>0</v>
      </c>
      <c r="AW138" s="539">
        <f t="shared" si="63"/>
        <v>0</v>
      </c>
      <c r="AX138" s="539">
        <f t="shared" si="63"/>
        <v>0</v>
      </c>
      <c r="AY138" s="539">
        <f t="shared" si="63"/>
        <v>0</v>
      </c>
      <c r="AZ138" s="539">
        <f t="shared" si="63"/>
        <v>0</v>
      </c>
      <c r="BA138" s="539">
        <f t="shared" si="63"/>
        <v>0</v>
      </c>
      <c r="BB138" s="539">
        <f t="shared" si="63"/>
        <v>0</v>
      </c>
      <c r="BC138" s="539">
        <f t="shared" si="63"/>
        <v>0</v>
      </c>
      <c r="BD138" s="539">
        <f t="shared" si="63"/>
        <v>0</v>
      </c>
      <c r="BE138" s="539">
        <f t="shared" si="63"/>
        <v>0</v>
      </c>
      <c r="BF138" s="539">
        <f t="shared" si="63"/>
        <v>0</v>
      </c>
      <c r="BG138" s="539">
        <f t="shared" si="63"/>
        <v>0</v>
      </c>
      <c r="BH138" s="539">
        <f t="shared" si="63"/>
        <v>0</v>
      </c>
      <c r="BI138" s="539">
        <f t="shared" si="63"/>
        <v>0</v>
      </c>
      <c r="BJ138" s="539">
        <f t="shared" si="63"/>
        <v>0</v>
      </c>
      <c r="BK138" s="539">
        <f t="shared" si="63"/>
        <v>0</v>
      </c>
      <c r="BL138" s="539">
        <f t="shared" si="63"/>
        <v>0</v>
      </c>
      <c r="BM138" s="539">
        <f t="shared" si="63"/>
        <v>0</v>
      </c>
      <c r="BN138" s="539">
        <f t="shared" si="63"/>
        <v>0</v>
      </c>
      <c r="BO138" s="539">
        <f t="shared" si="63"/>
        <v>0</v>
      </c>
      <c r="BP138" s="539">
        <f t="shared" si="63"/>
        <v>0</v>
      </c>
      <c r="BQ138" s="539">
        <f t="shared" si="63"/>
        <v>0</v>
      </c>
      <c r="BR138" s="539">
        <f t="shared" si="63"/>
        <v>0</v>
      </c>
      <c r="BS138" s="539">
        <f t="shared" si="63"/>
        <v>0</v>
      </c>
      <c r="BT138" s="539">
        <f t="shared" si="63"/>
        <v>0</v>
      </c>
      <c r="BU138" s="539">
        <f t="shared" si="63"/>
        <v>0</v>
      </c>
      <c r="BV138" s="539">
        <f t="shared" si="63"/>
        <v>0</v>
      </c>
      <c r="BW138" s="539">
        <f t="shared" si="63"/>
        <v>0</v>
      </c>
      <c r="BX138" s="539">
        <f t="shared" si="63"/>
        <v>0</v>
      </c>
      <c r="BY138" s="539">
        <f t="shared" si="63"/>
        <v>0</v>
      </c>
      <c r="BZ138" s="539">
        <f t="shared" si="63"/>
        <v>0</v>
      </c>
      <c r="CA138" s="539">
        <f t="shared" si="63"/>
        <v>0</v>
      </c>
      <c r="CB138" s="539">
        <f t="shared" si="63"/>
        <v>0</v>
      </c>
      <c r="CC138" s="539">
        <f t="shared" si="63"/>
        <v>0</v>
      </c>
      <c r="CD138" s="539">
        <f t="shared" si="63"/>
        <v>0</v>
      </c>
      <c r="CE138" s="539">
        <f t="shared" si="63"/>
        <v>0</v>
      </c>
      <c r="CF138" s="539">
        <f t="shared" si="63"/>
        <v>7.2759576141834259E-12</v>
      </c>
      <c r="CG138" s="539">
        <f t="shared" si="63"/>
        <v>7.2759576141834259E-12</v>
      </c>
      <c r="CH138" s="539">
        <f t="shared" si="63"/>
        <v>7.2759576141834259E-12</v>
      </c>
      <c r="CI138" s="539">
        <f t="shared" si="63"/>
        <v>7.2759576141834259E-12</v>
      </c>
      <c r="CJ138" s="539">
        <f t="shared" si="63"/>
        <v>7.2759576141834259E-12</v>
      </c>
      <c r="CK138" s="539">
        <f t="shared" si="63"/>
        <v>7.2759576141834259E-12</v>
      </c>
      <c r="CL138" s="539">
        <f t="shared" si="63"/>
        <v>7.2759576141834259E-12</v>
      </c>
      <c r="CM138" s="539">
        <f t="shared" si="63"/>
        <v>7.2759576141834259E-12</v>
      </c>
      <c r="CN138" s="539">
        <f t="shared" si="63"/>
        <v>7.2759576141834259E-12</v>
      </c>
      <c r="CO138" s="539">
        <f t="shared" si="63"/>
        <v>7.2759576141834259E-12</v>
      </c>
      <c r="CP138" s="539">
        <f t="shared" si="63"/>
        <v>7.2759576141834259E-12</v>
      </c>
      <c r="CQ138" s="539">
        <f t="shared" si="63"/>
        <v>7.2759576141834259E-12</v>
      </c>
      <c r="CR138" s="539">
        <f t="shared" si="63"/>
        <v>7.2759576141834259E-12</v>
      </c>
      <c r="CS138" s="539">
        <f t="shared" si="63"/>
        <v>7.2759576141834259E-12</v>
      </c>
      <c r="CT138" s="539">
        <f t="shared" si="63"/>
        <v>7.2759576141834259E-12</v>
      </c>
      <c r="CU138" s="539">
        <f t="shared" si="63"/>
        <v>7.2759576141834259E-12</v>
      </c>
      <c r="CV138" s="539">
        <f t="shared" si="63"/>
        <v>7.2759576141834259E-12</v>
      </c>
      <c r="CW138" s="539">
        <f t="shared" si="63"/>
        <v>7.2759576141834259E-12</v>
      </c>
      <c r="CX138" s="539">
        <f t="shared" si="63"/>
        <v>7.2759576141834259E-12</v>
      </c>
      <c r="CY138" s="539">
        <f t="shared" si="63"/>
        <v>7.2759576141834259E-12</v>
      </c>
      <c r="CZ138" s="539">
        <f t="shared" si="63"/>
        <v>7.2759576141834259E-12</v>
      </c>
      <c r="DA138" s="539">
        <f t="shared" si="63"/>
        <v>7.2759576141834259E-12</v>
      </c>
      <c r="DB138" s="539">
        <f t="shared" si="63"/>
        <v>7.2759576141834259E-12</v>
      </c>
      <c r="DC138" s="539">
        <f t="shared" si="63"/>
        <v>7.2759576141834259E-12</v>
      </c>
      <c r="DD138" s="539">
        <f t="shared" si="63"/>
        <v>7.2759576141834259E-12</v>
      </c>
      <c r="DE138" s="539">
        <f t="shared" si="63"/>
        <v>7.2759576141834259E-12</v>
      </c>
      <c r="DF138" s="539">
        <f t="shared" si="63"/>
        <v>7.2759576141834259E-12</v>
      </c>
      <c r="DG138" s="539">
        <f t="shared" si="63"/>
        <v>7.2759576141834259E-12</v>
      </c>
      <c r="DH138" s="539">
        <f t="shared" si="63"/>
        <v>7.2759576141834259E-12</v>
      </c>
      <c r="DI138" s="539">
        <f t="shared" si="63"/>
        <v>7.2759576141834259E-12</v>
      </c>
      <c r="DJ138" s="539">
        <f t="shared" si="63"/>
        <v>7.2759576141834259E-12</v>
      </c>
      <c r="DK138" s="539">
        <f t="shared" si="63"/>
        <v>7.2759576141834259E-12</v>
      </c>
      <c r="DL138" s="539">
        <f t="shared" si="63"/>
        <v>7.2759576141834259E-12</v>
      </c>
      <c r="DM138" s="539">
        <f t="shared" si="63"/>
        <v>7.2759576141834259E-12</v>
      </c>
      <c r="DN138" s="539">
        <f t="shared" si="63"/>
        <v>7.2759576141834259E-12</v>
      </c>
      <c r="DO138" s="539">
        <f t="shared" si="63"/>
        <v>7.2759576141834259E-12</v>
      </c>
      <c r="DP138" s="539">
        <f t="shared" si="63"/>
        <v>7.2759576141834259E-12</v>
      </c>
      <c r="DQ138" s="539">
        <f t="shared" si="63"/>
        <v>7.2759576141834259E-12</v>
      </c>
      <c r="DR138" s="539">
        <f t="shared" si="63"/>
        <v>7.2759576141834259E-12</v>
      </c>
      <c r="DS138" s="539">
        <f t="shared" si="63"/>
        <v>7.2759576141834259E-12</v>
      </c>
      <c r="DT138" s="539">
        <f t="shared" si="63"/>
        <v>7.2759576141834259E-12</v>
      </c>
      <c r="DU138" s="539">
        <f t="shared" si="63"/>
        <v>7.2759576141834259E-12</v>
      </c>
      <c r="DV138" s="539">
        <f t="shared" si="63"/>
        <v>7.2759576141834259E-12</v>
      </c>
      <c r="DW138" s="539">
        <f t="shared" si="63"/>
        <v>7.2759576141834259E-12</v>
      </c>
      <c r="DX138" s="539">
        <f t="shared" si="63"/>
        <v>7.2759576141834259E-12</v>
      </c>
      <c r="DY138" s="539">
        <f t="shared" si="63"/>
        <v>7.2759576141834259E-12</v>
      </c>
      <c r="DZ138" s="539">
        <f t="shared" si="63"/>
        <v>7.2759576141834259E-12</v>
      </c>
      <c r="EA138" s="539">
        <f t="shared" si="63"/>
        <v>7.2759576141834259E-12</v>
      </c>
      <c r="EB138" s="539">
        <f t="shared" si="63"/>
        <v>7.2759576141834259E-12</v>
      </c>
      <c r="EC138" s="539">
        <f t="shared" si="63"/>
        <v>7.2759576141834259E-12</v>
      </c>
      <c r="ED138" s="539">
        <f t="shared" si="63"/>
        <v>0</v>
      </c>
      <c r="EE138" s="539">
        <f t="shared" si="63"/>
        <v>0</v>
      </c>
      <c r="EF138" s="539">
        <f t="shared" si="63"/>
        <v>0</v>
      </c>
      <c r="EG138" s="539">
        <f t="shared" si="63"/>
        <v>0</v>
      </c>
    </row>
    <row r="139" spans="5:7" ht="12.75">
      <c r="E139" s="540" t="s">
        <v>460</v>
      </c>
      <c r="F139" s="543">
        <f>IF(SUM($J138:$EG138)&gt;$F137,1,0)</f>
        <v>0</v>
      </c>
      <c r="G139" s="541" t="s">
        <v>298</v>
      </c>
    </row>
    <row r="141" spans="5:7" ht="12.75">
      <c r="E141" s="535" t="str">
        <f>InpC!E$128</f>
        <v>Check tolerance</v>
      </c>
      <c r="F141" s="537">
        <f>InpC!F$128</f>
        <v>0.001</v>
      </c>
      <c r="G141" s="537" t="str">
        <f>InpC!G$128</f>
        <v>EUR 000s</v>
      </c>
    </row>
    <row r="142" spans="5:137" ht="12.75">
      <c r="E142" s="535" t="str">
        <f>Time!E$86</f>
        <v>Last operating period flag</v>
      </c>
      <c r="G142" s="537" t="str">
        <f>Time!G$86</f>
        <v>flag</v>
      </c>
      <c r="H142" s="537">
        <f>Time!H$86</f>
        <v>1</v>
      </c>
      <c r="J142" s="537">
        <f>Time!J$86</f>
        <v>0</v>
      </c>
      <c r="K142" s="537">
        <f>Time!K$86</f>
        <v>0</v>
      </c>
      <c r="L142" s="537">
        <f>Time!L$86</f>
        <v>0</v>
      </c>
      <c r="M142" s="537">
        <f>Time!M$86</f>
        <v>0</v>
      </c>
      <c r="N142" s="537">
        <f>Time!N$86</f>
        <v>0</v>
      </c>
      <c r="O142" s="537">
        <f>Time!O$86</f>
        <v>0</v>
      </c>
      <c r="P142" s="537">
        <f>Time!P$86</f>
        <v>0</v>
      </c>
      <c r="Q142" s="537">
        <f>Time!Q$86</f>
        <v>0</v>
      </c>
      <c r="R142" s="537">
        <f>Time!R$86</f>
        <v>0</v>
      </c>
      <c r="S142" s="537">
        <f>Time!S$86</f>
        <v>0</v>
      </c>
      <c r="T142" s="537">
        <f>Time!T$86</f>
        <v>0</v>
      </c>
      <c r="U142" s="537">
        <f>Time!U$86</f>
        <v>0</v>
      </c>
      <c r="V142" s="537">
        <f>Time!V$86</f>
        <v>0</v>
      </c>
      <c r="W142" s="537">
        <f>Time!W$86</f>
        <v>0</v>
      </c>
      <c r="X142" s="537">
        <f>Time!X$86</f>
        <v>0</v>
      </c>
      <c r="Y142" s="537">
        <f>Time!Y$86</f>
        <v>0</v>
      </c>
      <c r="Z142" s="537">
        <f>Time!Z$86</f>
        <v>0</v>
      </c>
      <c r="AA142" s="537">
        <f>Time!AA$86</f>
        <v>0</v>
      </c>
      <c r="AB142" s="537">
        <f>Time!AB$86</f>
        <v>0</v>
      </c>
      <c r="AC142" s="537">
        <f>Time!AC$86</f>
        <v>0</v>
      </c>
      <c r="AD142" s="537">
        <f>Time!AD$86</f>
        <v>0</v>
      </c>
      <c r="AE142" s="537">
        <f>Time!AE$86</f>
        <v>0</v>
      </c>
      <c r="AF142" s="537">
        <f>Time!AF$86</f>
        <v>0</v>
      </c>
      <c r="AG142" s="537">
        <f>Time!AG$86</f>
        <v>0</v>
      </c>
      <c r="AH142" s="537">
        <f>Time!AH$86</f>
        <v>0</v>
      </c>
      <c r="AI142" s="537">
        <f>Time!AI$86</f>
        <v>0</v>
      </c>
      <c r="AJ142" s="537">
        <f>Time!AJ$86</f>
        <v>0</v>
      </c>
      <c r="AK142" s="537">
        <f>Time!AK$86</f>
        <v>0</v>
      </c>
      <c r="AL142" s="537">
        <f>Time!AL$86</f>
        <v>0</v>
      </c>
      <c r="AM142" s="537">
        <f>Time!AM$86</f>
        <v>0</v>
      </c>
      <c r="AN142" s="537">
        <f>Time!AN$86</f>
        <v>0</v>
      </c>
      <c r="AO142" s="537">
        <f>Time!AO$86</f>
        <v>0</v>
      </c>
      <c r="AP142" s="537">
        <f>Time!AP$86</f>
        <v>0</v>
      </c>
      <c r="AQ142" s="537">
        <f>Time!AQ$86</f>
        <v>0</v>
      </c>
      <c r="AR142" s="537">
        <f>Time!AR$86</f>
        <v>0</v>
      </c>
      <c r="AS142" s="537">
        <f>Time!AS$86</f>
        <v>0</v>
      </c>
      <c r="AT142" s="537">
        <f>Time!AT$86</f>
        <v>0</v>
      </c>
      <c r="AU142" s="537">
        <f>Time!AU$86</f>
        <v>0</v>
      </c>
      <c r="AV142" s="537">
        <f>Time!AV$86</f>
        <v>0</v>
      </c>
      <c r="AW142" s="537">
        <f>Time!AW$86</f>
        <v>0</v>
      </c>
      <c r="AX142" s="537">
        <f>Time!AX$86</f>
        <v>0</v>
      </c>
      <c r="AY142" s="537">
        <f>Time!AY$86</f>
        <v>0</v>
      </c>
      <c r="AZ142" s="537">
        <f>Time!AZ$86</f>
        <v>0</v>
      </c>
      <c r="BA142" s="537">
        <f>Time!BA$86</f>
        <v>0</v>
      </c>
      <c r="BB142" s="537">
        <f>Time!BB$86</f>
        <v>0</v>
      </c>
      <c r="BC142" s="537">
        <f>Time!BC$86</f>
        <v>0</v>
      </c>
      <c r="BD142" s="537">
        <f>Time!BD$86</f>
        <v>0</v>
      </c>
      <c r="BE142" s="537">
        <f>Time!BE$86</f>
        <v>0</v>
      </c>
      <c r="BF142" s="537">
        <f>Time!BF$86</f>
        <v>0</v>
      </c>
      <c r="BG142" s="537">
        <f>Time!BG$86</f>
        <v>0</v>
      </c>
      <c r="BH142" s="537">
        <f>Time!BH$86</f>
        <v>0</v>
      </c>
      <c r="BI142" s="537">
        <f>Time!BI$86</f>
        <v>0</v>
      </c>
      <c r="BJ142" s="537">
        <f>Time!BJ$86</f>
        <v>0</v>
      </c>
      <c r="BK142" s="537">
        <f>Time!BK$86</f>
        <v>0</v>
      </c>
      <c r="BL142" s="537">
        <f>Time!BL$86</f>
        <v>0</v>
      </c>
      <c r="BM142" s="537">
        <f>Time!BM$86</f>
        <v>0</v>
      </c>
      <c r="BN142" s="537">
        <f>Time!BN$86</f>
        <v>0</v>
      </c>
      <c r="BO142" s="537">
        <f>Time!BO$86</f>
        <v>0</v>
      </c>
      <c r="BP142" s="537">
        <f>Time!BP$86</f>
        <v>0</v>
      </c>
      <c r="BQ142" s="537">
        <f>Time!BQ$86</f>
        <v>0</v>
      </c>
      <c r="BR142" s="537">
        <f>Time!BR$86</f>
        <v>0</v>
      </c>
      <c r="BS142" s="537">
        <f>Time!BS$86</f>
        <v>0</v>
      </c>
      <c r="BT142" s="537">
        <f>Time!BT$86</f>
        <v>0</v>
      </c>
      <c r="BU142" s="537">
        <f>Time!BU$86</f>
        <v>0</v>
      </c>
      <c r="BV142" s="537">
        <f>Time!BV$86</f>
        <v>0</v>
      </c>
      <c r="BW142" s="537">
        <f>Time!BW$86</f>
        <v>0</v>
      </c>
      <c r="BX142" s="537">
        <f>Time!BX$86</f>
        <v>0</v>
      </c>
      <c r="BY142" s="537">
        <f>Time!BY$86</f>
        <v>0</v>
      </c>
      <c r="BZ142" s="537">
        <f>Time!BZ$86</f>
        <v>0</v>
      </c>
      <c r="CA142" s="537">
        <f>Time!CA$86</f>
        <v>0</v>
      </c>
      <c r="CB142" s="537">
        <f>Time!CB$86</f>
        <v>0</v>
      </c>
      <c r="CC142" s="537">
        <f>Time!CC$86</f>
        <v>0</v>
      </c>
      <c r="CD142" s="537">
        <f>Time!CD$86</f>
        <v>0</v>
      </c>
      <c r="CE142" s="537">
        <f>Time!CE$86</f>
        <v>0</v>
      </c>
      <c r="CF142" s="537">
        <f>Time!CF$86</f>
        <v>0</v>
      </c>
      <c r="CG142" s="537">
        <f>Time!CG$86</f>
        <v>0</v>
      </c>
      <c r="CH142" s="537">
        <f>Time!CH$86</f>
        <v>0</v>
      </c>
      <c r="CI142" s="537">
        <f>Time!CI$86</f>
        <v>0</v>
      </c>
      <c r="CJ142" s="537">
        <f>Time!CJ$86</f>
        <v>0</v>
      </c>
      <c r="CK142" s="537">
        <f>Time!CK$86</f>
        <v>0</v>
      </c>
      <c r="CL142" s="537">
        <f>Time!CL$86</f>
        <v>0</v>
      </c>
      <c r="CM142" s="537">
        <f>Time!CM$86</f>
        <v>0</v>
      </c>
      <c r="CN142" s="537">
        <f>Time!CN$86</f>
        <v>0</v>
      </c>
      <c r="CO142" s="537">
        <f>Time!CO$86</f>
        <v>0</v>
      </c>
      <c r="CP142" s="537">
        <f>Time!CP$86</f>
        <v>0</v>
      </c>
      <c r="CQ142" s="537">
        <f>Time!CQ$86</f>
        <v>0</v>
      </c>
      <c r="CR142" s="537">
        <f>Time!CR$86</f>
        <v>0</v>
      </c>
      <c r="CS142" s="537">
        <f>Time!CS$86</f>
        <v>0</v>
      </c>
      <c r="CT142" s="537">
        <f>Time!CT$86</f>
        <v>0</v>
      </c>
      <c r="CU142" s="537">
        <f>Time!CU$86</f>
        <v>0</v>
      </c>
      <c r="CV142" s="537">
        <f>Time!CV$86</f>
        <v>0</v>
      </c>
      <c r="CW142" s="537">
        <f>Time!CW$86</f>
        <v>0</v>
      </c>
      <c r="CX142" s="537">
        <f>Time!CX$86</f>
        <v>0</v>
      </c>
      <c r="CY142" s="537">
        <f>Time!CY$86</f>
        <v>0</v>
      </c>
      <c r="CZ142" s="537">
        <f>Time!CZ$86</f>
        <v>0</v>
      </c>
      <c r="DA142" s="537">
        <f>Time!DA$86</f>
        <v>0</v>
      </c>
      <c r="DB142" s="537">
        <f>Time!DB$86</f>
        <v>0</v>
      </c>
      <c r="DC142" s="537">
        <f>Time!DC$86</f>
        <v>0</v>
      </c>
      <c r="DD142" s="537">
        <f>Time!DD$86</f>
        <v>0</v>
      </c>
      <c r="DE142" s="537">
        <f>Time!DE$86</f>
        <v>0</v>
      </c>
      <c r="DF142" s="537">
        <f>Time!DF$86</f>
        <v>0</v>
      </c>
      <c r="DG142" s="537">
        <f>Time!DG$86</f>
        <v>0</v>
      </c>
      <c r="DH142" s="537">
        <f>Time!DH$86</f>
        <v>0</v>
      </c>
      <c r="DI142" s="537">
        <f>Time!DI$86</f>
        <v>0</v>
      </c>
      <c r="DJ142" s="537">
        <f>Time!DJ$86</f>
        <v>0</v>
      </c>
      <c r="DK142" s="537">
        <f>Time!DK$86</f>
        <v>0</v>
      </c>
      <c r="DL142" s="537">
        <f>Time!DL$86</f>
        <v>0</v>
      </c>
      <c r="DM142" s="537">
        <f>Time!DM$86</f>
        <v>0</v>
      </c>
      <c r="DN142" s="537">
        <f>Time!DN$86</f>
        <v>0</v>
      </c>
      <c r="DO142" s="537">
        <f>Time!DO$86</f>
        <v>0</v>
      </c>
      <c r="DP142" s="537">
        <f>Time!DP$86</f>
        <v>0</v>
      </c>
      <c r="DQ142" s="537">
        <f>Time!DQ$86</f>
        <v>0</v>
      </c>
      <c r="DR142" s="537">
        <f>Time!DR$86</f>
        <v>0</v>
      </c>
      <c r="DS142" s="537">
        <f>Time!DS$86</f>
        <v>0</v>
      </c>
      <c r="DT142" s="537">
        <f>Time!DT$86</f>
        <v>0</v>
      </c>
      <c r="DU142" s="537">
        <f>Time!DU$86</f>
        <v>0</v>
      </c>
      <c r="DV142" s="537">
        <f>Time!DV$86</f>
        <v>0</v>
      </c>
      <c r="DW142" s="537">
        <f>Time!DW$86</f>
        <v>0</v>
      </c>
      <c r="DX142" s="537">
        <f>Time!DX$86</f>
        <v>0</v>
      </c>
      <c r="DY142" s="537">
        <f>Time!DY$86</f>
        <v>0</v>
      </c>
      <c r="DZ142" s="537">
        <f>Time!DZ$86</f>
        <v>0</v>
      </c>
      <c r="EA142" s="537">
        <f>Time!EA$86</f>
        <v>0</v>
      </c>
      <c r="EB142" s="537">
        <f>Time!EB$86</f>
        <v>0</v>
      </c>
      <c r="EC142" s="537">
        <f>Time!EC$86</f>
        <v>1</v>
      </c>
      <c r="ED142" s="537">
        <f>Time!ED$86</f>
        <v>0</v>
      </c>
      <c r="EE142" s="537">
        <f>Time!EE$86</f>
        <v>0</v>
      </c>
      <c r="EF142" s="537">
        <f>Time!EF$86</f>
        <v>0</v>
      </c>
      <c r="EG142" s="537">
        <f>Time!EG$86</f>
        <v>0</v>
      </c>
    </row>
    <row r="143" spans="5:137" ht="12.75">
      <c r="E143" s="535" t="str">
        <f>Time!E$170</f>
        <v>Last model period flag</v>
      </c>
      <c r="G143" s="537" t="str">
        <f>Time!G$170</f>
        <v>flag</v>
      </c>
      <c r="H143" s="537">
        <f>Time!H$170</f>
        <v>1</v>
      </c>
      <c r="J143" s="537">
        <f>Time!J$170</f>
        <v>0</v>
      </c>
      <c r="K143" s="537">
        <f>Time!K$170</f>
        <v>0</v>
      </c>
      <c r="L143" s="537">
        <f>Time!L$170</f>
        <v>0</v>
      </c>
      <c r="M143" s="537">
        <f>Time!M$170</f>
        <v>0</v>
      </c>
      <c r="N143" s="537">
        <f>Time!N$170</f>
        <v>0</v>
      </c>
      <c r="O143" s="537">
        <f>Time!O$170</f>
        <v>0</v>
      </c>
      <c r="P143" s="537">
        <f>Time!P$170</f>
        <v>0</v>
      </c>
      <c r="Q143" s="537">
        <f>Time!Q$170</f>
        <v>0</v>
      </c>
      <c r="R143" s="537">
        <f>Time!R$170</f>
        <v>0</v>
      </c>
      <c r="S143" s="537">
        <f>Time!S$170</f>
        <v>0</v>
      </c>
      <c r="T143" s="537">
        <f>Time!T$170</f>
        <v>0</v>
      </c>
      <c r="U143" s="537">
        <f>Time!U$170</f>
        <v>0</v>
      </c>
      <c r="V143" s="537">
        <f>Time!V$170</f>
        <v>0</v>
      </c>
      <c r="W143" s="537">
        <f>Time!W$170</f>
        <v>0</v>
      </c>
      <c r="X143" s="537">
        <f>Time!X$170</f>
        <v>0</v>
      </c>
      <c r="Y143" s="537">
        <f>Time!Y$170</f>
        <v>0</v>
      </c>
      <c r="Z143" s="537">
        <f>Time!Z$170</f>
        <v>0</v>
      </c>
      <c r="AA143" s="537">
        <f>Time!AA$170</f>
        <v>0</v>
      </c>
      <c r="AB143" s="537">
        <f>Time!AB$170</f>
        <v>0</v>
      </c>
      <c r="AC143" s="537">
        <f>Time!AC$170</f>
        <v>0</v>
      </c>
      <c r="AD143" s="537">
        <f>Time!AD$170</f>
        <v>0</v>
      </c>
      <c r="AE143" s="537">
        <f>Time!AE$170</f>
        <v>0</v>
      </c>
      <c r="AF143" s="537">
        <f>Time!AF$170</f>
        <v>0</v>
      </c>
      <c r="AG143" s="537">
        <f>Time!AG$170</f>
        <v>0</v>
      </c>
      <c r="AH143" s="537">
        <f>Time!AH$170</f>
        <v>0</v>
      </c>
      <c r="AI143" s="537">
        <f>Time!AI$170</f>
        <v>0</v>
      </c>
      <c r="AJ143" s="537">
        <f>Time!AJ$170</f>
        <v>0</v>
      </c>
      <c r="AK143" s="537">
        <f>Time!AK$170</f>
        <v>0</v>
      </c>
      <c r="AL143" s="537">
        <f>Time!AL$170</f>
        <v>0</v>
      </c>
      <c r="AM143" s="537">
        <f>Time!AM$170</f>
        <v>0</v>
      </c>
      <c r="AN143" s="537">
        <f>Time!AN$170</f>
        <v>0</v>
      </c>
      <c r="AO143" s="537">
        <f>Time!AO$170</f>
        <v>0</v>
      </c>
      <c r="AP143" s="537">
        <f>Time!AP$170</f>
        <v>0</v>
      </c>
      <c r="AQ143" s="537">
        <f>Time!AQ$170</f>
        <v>0</v>
      </c>
      <c r="AR143" s="537">
        <f>Time!AR$170</f>
        <v>0</v>
      </c>
      <c r="AS143" s="537">
        <f>Time!AS$170</f>
        <v>0</v>
      </c>
      <c r="AT143" s="537">
        <f>Time!AT$170</f>
        <v>0</v>
      </c>
      <c r="AU143" s="537">
        <f>Time!AU$170</f>
        <v>0</v>
      </c>
      <c r="AV143" s="537">
        <f>Time!AV$170</f>
        <v>0</v>
      </c>
      <c r="AW143" s="537">
        <f>Time!AW$170</f>
        <v>0</v>
      </c>
      <c r="AX143" s="537">
        <f>Time!AX$170</f>
        <v>0</v>
      </c>
      <c r="AY143" s="537">
        <f>Time!AY$170</f>
        <v>0</v>
      </c>
      <c r="AZ143" s="537">
        <f>Time!AZ$170</f>
        <v>0</v>
      </c>
      <c r="BA143" s="537">
        <f>Time!BA$170</f>
        <v>0</v>
      </c>
      <c r="BB143" s="537">
        <f>Time!BB$170</f>
        <v>0</v>
      </c>
      <c r="BC143" s="537">
        <f>Time!BC$170</f>
        <v>0</v>
      </c>
      <c r="BD143" s="537">
        <f>Time!BD$170</f>
        <v>0</v>
      </c>
      <c r="BE143" s="537">
        <f>Time!BE$170</f>
        <v>0</v>
      </c>
      <c r="BF143" s="537">
        <f>Time!BF$170</f>
        <v>0</v>
      </c>
      <c r="BG143" s="537">
        <f>Time!BG$170</f>
        <v>0</v>
      </c>
      <c r="BH143" s="537">
        <f>Time!BH$170</f>
        <v>0</v>
      </c>
      <c r="BI143" s="537">
        <f>Time!BI$170</f>
        <v>0</v>
      </c>
      <c r="BJ143" s="537">
        <f>Time!BJ$170</f>
        <v>0</v>
      </c>
      <c r="BK143" s="537">
        <f>Time!BK$170</f>
        <v>0</v>
      </c>
      <c r="BL143" s="537">
        <f>Time!BL$170</f>
        <v>0</v>
      </c>
      <c r="BM143" s="537">
        <f>Time!BM$170</f>
        <v>0</v>
      </c>
      <c r="BN143" s="537">
        <f>Time!BN$170</f>
        <v>0</v>
      </c>
      <c r="BO143" s="537">
        <f>Time!BO$170</f>
        <v>0</v>
      </c>
      <c r="BP143" s="537">
        <f>Time!BP$170</f>
        <v>0</v>
      </c>
      <c r="BQ143" s="537">
        <f>Time!BQ$170</f>
        <v>0</v>
      </c>
      <c r="BR143" s="537">
        <f>Time!BR$170</f>
        <v>0</v>
      </c>
      <c r="BS143" s="537">
        <f>Time!BS$170</f>
        <v>0</v>
      </c>
      <c r="BT143" s="537">
        <f>Time!BT$170</f>
        <v>0</v>
      </c>
      <c r="BU143" s="537">
        <f>Time!BU$170</f>
        <v>0</v>
      </c>
      <c r="BV143" s="537">
        <f>Time!BV$170</f>
        <v>0</v>
      </c>
      <c r="BW143" s="537">
        <f>Time!BW$170</f>
        <v>0</v>
      </c>
      <c r="BX143" s="537">
        <f>Time!BX$170</f>
        <v>0</v>
      </c>
      <c r="BY143" s="537">
        <f>Time!BY$170</f>
        <v>0</v>
      </c>
      <c r="BZ143" s="537">
        <f>Time!BZ$170</f>
        <v>0</v>
      </c>
      <c r="CA143" s="537">
        <f>Time!CA$170</f>
        <v>0</v>
      </c>
      <c r="CB143" s="537">
        <f>Time!CB$170</f>
        <v>0</v>
      </c>
      <c r="CC143" s="537">
        <f>Time!CC$170</f>
        <v>0</v>
      </c>
      <c r="CD143" s="537">
        <f>Time!CD$170</f>
        <v>0</v>
      </c>
      <c r="CE143" s="537">
        <f>Time!CE$170</f>
        <v>0</v>
      </c>
      <c r="CF143" s="537">
        <f>Time!CF$170</f>
        <v>0</v>
      </c>
      <c r="CG143" s="537">
        <f>Time!CG$170</f>
        <v>0</v>
      </c>
      <c r="CH143" s="537">
        <f>Time!CH$170</f>
        <v>0</v>
      </c>
      <c r="CI143" s="537">
        <f>Time!CI$170</f>
        <v>0</v>
      </c>
      <c r="CJ143" s="537">
        <f>Time!CJ$170</f>
        <v>0</v>
      </c>
      <c r="CK143" s="537">
        <f>Time!CK$170</f>
        <v>0</v>
      </c>
      <c r="CL143" s="537">
        <f>Time!CL$170</f>
        <v>0</v>
      </c>
      <c r="CM143" s="537">
        <f>Time!CM$170</f>
        <v>0</v>
      </c>
      <c r="CN143" s="537">
        <f>Time!CN$170</f>
        <v>0</v>
      </c>
      <c r="CO143" s="537">
        <f>Time!CO$170</f>
        <v>0</v>
      </c>
      <c r="CP143" s="537">
        <f>Time!CP$170</f>
        <v>0</v>
      </c>
      <c r="CQ143" s="537">
        <f>Time!CQ$170</f>
        <v>0</v>
      </c>
      <c r="CR143" s="537">
        <f>Time!CR$170</f>
        <v>0</v>
      </c>
      <c r="CS143" s="537">
        <f>Time!CS$170</f>
        <v>0</v>
      </c>
      <c r="CT143" s="537">
        <f>Time!CT$170</f>
        <v>0</v>
      </c>
      <c r="CU143" s="537">
        <f>Time!CU$170</f>
        <v>0</v>
      </c>
      <c r="CV143" s="537">
        <f>Time!CV$170</f>
        <v>0</v>
      </c>
      <c r="CW143" s="537">
        <f>Time!CW$170</f>
        <v>0</v>
      </c>
      <c r="CX143" s="537">
        <f>Time!CX$170</f>
        <v>0</v>
      </c>
      <c r="CY143" s="537">
        <f>Time!CY$170</f>
        <v>0</v>
      </c>
      <c r="CZ143" s="537">
        <f>Time!CZ$170</f>
        <v>0</v>
      </c>
      <c r="DA143" s="537">
        <f>Time!DA$170</f>
        <v>0</v>
      </c>
      <c r="DB143" s="537">
        <f>Time!DB$170</f>
        <v>0</v>
      </c>
      <c r="DC143" s="537">
        <f>Time!DC$170</f>
        <v>0</v>
      </c>
      <c r="DD143" s="537">
        <f>Time!DD$170</f>
        <v>0</v>
      </c>
      <c r="DE143" s="537">
        <f>Time!DE$170</f>
        <v>0</v>
      </c>
      <c r="DF143" s="537">
        <f>Time!DF$170</f>
        <v>0</v>
      </c>
      <c r="DG143" s="537">
        <f>Time!DG$170</f>
        <v>0</v>
      </c>
      <c r="DH143" s="537">
        <f>Time!DH$170</f>
        <v>0</v>
      </c>
      <c r="DI143" s="537">
        <f>Time!DI$170</f>
        <v>0</v>
      </c>
      <c r="DJ143" s="537">
        <f>Time!DJ$170</f>
        <v>0</v>
      </c>
      <c r="DK143" s="537">
        <f>Time!DK$170</f>
        <v>0</v>
      </c>
      <c r="DL143" s="537">
        <f>Time!DL$170</f>
        <v>0</v>
      </c>
      <c r="DM143" s="537">
        <f>Time!DM$170</f>
        <v>0</v>
      </c>
      <c r="DN143" s="537">
        <f>Time!DN$170</f>
        <v>0</v>
      </c>
      <c r="DO143" s="537">
        <f>Time!DO$170</f>
        <v>0</v>
      </c>
      <c r="DP143" s="537">
        <f>Time!DP$170</f>
        <v>0</v>
      </c>
      <c r="DQ143" s="537">
        <f>Time!DQ$170</f>
        <v>0</v>
      </c>
      <c r="DR143" s="537">
        <f>Time!DR$170</f>
        <v>0</v>
      </c>
      <c r="DS143" s="537">
        <f>Time!DS$170</f>
        <v>0</v>
      </c>
      <c r="DT143" s="537">
        <f>Time!DT$170</f>
        <v>0</v>
      </c>
      <c r="DU143" s="537">
        <f>Time!DU$170</f>
        <v>0</v>
      </c>
      <c r="DV143" s="537">
        <f>Time!DV$170</f>
        <v>0</v>
      </c>
      <c r="DW143" s="537">
        <f>Time!DW$170</f>
        <v>0</v>
      </c>
      <c r="DX143" s="537">
        <f>Time!DX$170</f>
        <v>0</v>
      </c>
      <c r="DY143" s="537">
        <f>Time!DY$170</f>
        <v>0</v>
      </c>
      <c r="DZ143" s="537">
        <f>Time!DZ$170</f>
        <v>0</v>
      </c>
      <c r="EA143" s="537">
        <f>Time!EA$170</f>
        <v>0</v>
      </c>
      <c r="EB143" s="537">
        <f>Time!EB$170</f>
        <v>0</v>
      </c>
      <c r="EC143" s="537">
        <f>Time!EC$170</f>
        <v>0</v>
      </c>
      <c r="ED143" s="537">
        <f>Time!ED$170</f>
        <v>0</v>
      </c>
      <c r="EE143" s="537">
        <f>Time!EE$170</f>
        <v>0</v>
      </c>
      <c r="EF143" s="537">
        <f>Time!EF$170</f>
        <v>0</v>
      </c>
      <c r="EG143" s="537">
        <f>Time!EG$170</f>
        <v>1</v>
      </c>
    </row>
    <row r="144" spans="5:137" ht="12.75">
      <c r="E144" s="538" t="str">
        <f>E$119</f>
        <v>Deferred tax - balance</v>
      </c>
      <c r="G144" s="539" t="str">
        <f>G$119</f>
        <v>EUR 000s</v>
      </c>
      <c r="H144" s="539">
        <f>H$119</f>
        <v>1621114.0074982508</v>
      </c>
      <c r="J144" s="539">
        <f t="shared" si="64" ref="J144:EG144">J$119</f>
        <v>0</v>
      </c>
      <c r="K144" s="539">
        <f t="shared" si="64"/>
        <v>0</v>
      </c>
      <c r="L144" s="539">
        <f t="shared" si="64"/>
        <v>0</v>
      </c>
      <c r="M144" s="539">
        <f t="shared" si="64"/>
        <v>0</v>
      </c>
      <c r="N144" s="539">
        <f t="shared" si="64"/>
        <v>0</v>
      </c>
      <c r="O144" s="539">
        <f t="shared" si="64"/>
        <v>0</v>
      </c>
      <c r="P144" s="539">
        <f t="shared" si="64"/>
        <v>0</v>
      </c>
      <c r="Q144" s="539">
        <f t="shared" si="64"/>
        <v>0</v>
      </c>
      <c r="R144" s="539">
        <f t="shared" si="64"/>
        <v>0</v>
      </c>
      <c r="S144" s="539">
        <f t="shared" si="64"/>
        <v>0</v>
      </c>
      <c r="T144" s="539">
        <f t="shared" si="64"/>
        <v>0</v>
      </c>
      <c r="U144" s="539">
        <f t="shared" si="64"/>
        <v>0</v>
      </c>
      <c r="V144" s="539">
        <f t="shared" si="64"/>
        <v>0</v>
      </c>
      <c r="W144" s="539">
        <f t="shared" si="64"/>
        <v>0</v>
      </c>
      <c r="X144" s="539">
        <f t="shared" si="64"/>
        <v>0</v>
      </c>
      <c r="Y144" s="539">
        <f t="shared" si="64"/>
        <v>0</v>
      </c>
      <c r="Z144" s="539">
        <f t="shared" si="64"/>
        <v>0</v>
      </c>
      <c r="AA144" s="539">
        <f t="shared" si="64"/>
        <v>0</v>
      </c>
      <c r="AB144" s="539">
        <f t="shared" si="64"/>
        <v>0</v>
      </c>
      <c r="AC144" s="539">
        <f t="shared" si="64"/>
        <v>0</v>
      </c>
      <c r="AD144" s="539">
        <f t="shared" si="64"/>
        <v>0</v>
      </c>
      <c r="AE144" s="539">
        <f t="shared" si="64"/>
        <v>0</v>
      </c>
      <c r="AF144" s="539">
        <f t="shared" si="64"/>
        <v>0</v>
      </c>
      <c r="AG144" s="539">
        <f t="shared" si="64"/>
        <v>0</v>
      </c>
      <c r="AH144" s="539">
        <f t="shared" si="64"/>
        <v>565.45954380123203</v>
      </c>
      <c r="AI144" s="539">
        <f t="shared" si="64"/>
        <v>1134.1846389635411</v>
      </c>
      <c r="AJ144" s="539">
        <f t="shared" si="64"/>
        <v>1701.090176248523</v>
      </c>
      <c r="AK144" s="539">
        <f t="shared" si="64"/>
        <v>2276.5930489935727</v>
      </c>
      <c r="AL144" s="539">
        <f t="shared" si="64"/>
        <v>2920.5886551554004</v>
      </c>
      <c r="AM144" s="539">
        <f t="shared" si="64"/>
        <v>3563.4270256070176</v>
      </c>
      <c r="AN144" s="539">
        <f t="shared" si="64"/>
        <v>4205.4251692211019</v>
      </c>
      <c r="AO144" s="539">
        <f t="shared" si="64"/>
        <v>4856.6314475536174</v>
      </c>
      <c r="AP144" s="539">
        <f t="shared" si="64"/>
        <v>5576.7981649533249</v>
      </c>
      <c r="AQ144" s="539">
        <f t="shared" si="64"/>
        <v>6296.8246370241122</v>
      </c>
      <c r="AR144" s="539">
        <f t="shared" si="64"/>
        <v>7017.055142164254</v>
      </c>
      <c r="AS144" s="539">
        <f t="shared" si="64"/>
        <v>7747.1437551454819</v>
      </c>
      <c r="AT144" s="539">
        <f t="shared" si="64"/>
        <v>8537.3082296073244</v>
      </c>
      <c r="AU144" s="539">
        <f t="shared" si="64"/>
        <v>9337.6949737997347</v>
      </c>
      <c r="AV144" s="539">
        <f t="shared" si="64"/>
        <v>10139.359800796276</v>
      </c>
      <c r="AW144" s="539">
        <f t="shared" si="64"/>
        <v>10947.208610110221</v>
      </c>
      <c r="AX144" s="539">
        <f t="shared" si="64"/>
        <v>11394.402827010774</v>
      </c>
      <c r="AY144" s="539">
        <f t="shared" si="64"/>
        <v>11843.693193186678</v>
      </c>
      <c r="AZ144" s="539">
        <f t="shared" si="64"/>
        <v>12295.483887431892</v>
      </c>
      <c r="BA144" s="539">
        <f t="shared" si="64"/>
        <v>12753.843698473574</v>
      </c>
      <c r="BB144" s="539">
        <f t="shared" si="64"/>
        <v>13598.756583497423</v>
      </c>
      <c r="BC144" s="539">
        <f t="shared" si="64"/>
        <v>14429.146749224077</v>
      </c>
      <c r="BD144" s="539">
        <f t="shared" si="64"/>
        <v>15246.205298586701</v>
      </c>
      <c r="BE144" s="539">
        <f t="shared" si="64"/>
        <v>16058.959726137206</v>
      </c>
      <c r="BF144" s="539">
        <f t="shared" si="64"/>
        <v>16917.811316615509</v>
      </c>
      <c r="BG144" s="539">
        <f t="shared" si="64"/>
        <v>17766.257153819002</v>
      </c>
      <c r="BH144" s="539">
        <f t="shared" si="64"/>
        <v>18605.389775791089</v>
      </c>
      <c r="BI144" s="539">
        <f t="shared" si="64"/>
        <v>19443.610815228581</v>
      </c>
      <c r="BJ144" s="539">
        <f t="shared" si="64"/>
        <v>20323.33383113411</v>
      </c>
      <c r="BK144" s="539">
        <f t="shared" si="64"/>
        <v>21203.662307472623</v>
      </c>
      <c r="BL144" s="539">
        <f t="shared" si="64"/>
        <v>22078.270942656989</v>
      </c>
      <c r="BM144" s="539">
        <f t="shared" si="64"/>
        <v>22954.966386531247</v>
      </c>
      <c r="BN144" s="539">
        <f t="shared" si="64"/>
        <v>23882.835572613338</v>
      </c>
      <c r="BO144" s="539">
        <f t="shared" si="64"/>
        <v>24807.39085767647</v>
      </c>
      <c r="BP144" s="539">
        <f t="shared" si="64"/>
        <v>25729.596353906265</v>
      </c>
      <c r="BQ144" s="539">
        <f t="shared" si="64"/>
        <v>26656.572167845745</v>
      </c>
      <c r="BR144" s="539">
        <f t="shared" si="64"/>
        <v>27247.978397004954</v>
      </c>
      <c r="BS144" s="539">
        <f t="shared" si="64"/>
        <v>27839.390286960872</v>
      </c>
      <c r="BT144" s="539">
        <f t="shared" si="64"/>
        <v>28431.74214986978</v>
      </c>
      <c r="BU144" s="539">
        <f t="shared" si="64"/>
        <v>29031.486522245577</v>
      </c>
      <c r="BV144" s="539">
        <f t="shared" si="64"/>
        <v>29908.490751970952</v>
      </c>
      <c r="BW144" s="539">
        <f t="shared" si="64"/>
        <v>29991.601167588589</v>
      </c>
      <c r="BX144" s="539">
        <f t="shared" si="64"/>
        <v>30061.036474227229</v>
      </c>
      <c r="BY144" s="539">
        <f t="shared" si="64"/>
        <v>30123.20260881586</v>
      </c>
      <c r="BZ144" s="539">
        <f t="shared" si="64"/>
        <v>30197.949998963926</v>
      </c>
      <c r="CA144" s="539">
        <f t="shared" si="64"/>
        <v>30267.594454518017</v>
      </c>
      <c r="CB144" s="539">
        <f t="shared" si="64"/>
        <v>30258.975679897354</v>
      </c>
      <c r="CC144" s="539">
        <f t="shared" si="64"/>
        <v>29906.822305551974</v>
      </c>
      <c r="CD144" s="539">
        <f t="shared" si="64"/>
        <v>29537.716176802136</v>
      </c>
      <c r="CE144" s="539">
        <f t="shared" si="64"/>
        <v>29152.420167596043</v>
      </c>
      <c r="CF144" s="539">
        <f t="shared" si="64"/>
        <v>28751.662822554223</v>
      </c>
      <c r="CG144" s="539">
        <f t="shared" si="64"/>
        <v>28336.139901789284</v>
      </c>
      <c r="CH144" s="539">
        <f t="shared" si="64"/>
        <v>27906.515856208767</v>
      </c>
      <c r="CI144" s="539">
        <f t="shared" si="64"/>
        <v>27463.425236429372</v>
      </c>
      <c r="CJ144" s="539">
        <f t="shared" si="64"/>
        <v>27007.474038290056</v>
      </c>
      <c r="CK144" s="539">
        <f t="shared" si="64"/>
        <v>26539.240987817007</v>
      </c>
      <c r="CL144" s="539">
        <f t="shared" si="64"/>
        <v>26059.278768365242</v>
      </c>
      <c r="CM144" s="539">
        <f t="shared" si="64"/>
        <v>25568.115192538804</v>
      </c>
      <c r="CN144" s="539">
        <f t="shared" si="64"/>
        <v>25066.254321374559</v>
      </c>
      <c r="CO144" s="539">
        <f t="shared" si="64"/>
        <v>24554.177533162707</v>
      </c>
      <c r="CP144" s="539">
        <f t="shared" si="64"/>
        <v>24032.344544170388</v>
      </c>
      <c r="CQ144" s="539">
        <f t="shared" si="64"/>
        <v>23501.194383432725</v>
      </c>
      <c r="CR144" s="539">
        <f t="shared" si="64"/>
        <v>22961.146323678251</v>
      </c>
      <c r="CS144" s="539">
        <f t="shared" si="64"/>
        <v>22412.600770362733</v>
      </c>
      <c r="CT144" s="539">
        <f t="shared" si="64"/>
        <v>21855.940110696414</v>
      </c>
      <c r="CU144" s="539">
        <f t="shared" si="64"/>
        <v>21291.529524465077</v>
      </c>
      <c r="CV144" s="539">
        <f t="shared" si="64"/>
        <v>20719.717758364153</v>
      </c>
      <c r="CW144" s="539">
        <f t="shared" si="64"/>
        <v>20140.837865487767</v>
      </c>
      <c r="CX144" s="539">
        <f t="shared" si="64"/>
        <v>19555.20791154082</v>
      </c>
      <c r="CY144" s="539">
        <f t="shared" si="64"/>
        <v>18963.13164927149</v>
      </c>
      <c r="CZ144" s="539">
        <f t="shared" si="64"/>
        <v>18364.899162554277</v>
      </c>
      <c r="DA144" s="539">
        <f t="shared" si="64"/>
        <v>17760.787481489337</v>
      </c>
      <c r="DB144" s="539">
        <f t="shared" si="64"/>
        <v>17151.061169822315</v>
      </c>
      <c r="DC144" s="539">
        <f t="shared" si="64"/>
        <v>16535.972885930314</v>
      </c>
      <c r="DD144" s="539">
        <f t="shared" si="64"/>
        <v>15915.763918563454</v>
      </c>
      <c r="DE144" s="539">
        <f t="shared" si="64"/>
        <v>15290.664698478102</v>
      </c>
      <c r="DF144" s="539">
        <f t="shared" si="64"/>
        <v>14660.895287046591</v>
      </c>
      <c r="DG144" s="539">
        <f t="shared" si="64"/>
        <v>14026.665842879496</v>
      </c>
      <c r="DH144" s="539">
        <f t="shared" si="64"/>
        <v>13388.17706744992</v>
      </c>
      <c r="DI144" s="539">
        <f t="shared" si="64"/>
        <v>12745.620630664675</v>
      </c>
      <c r="DJ144" s="539">
        <f t="shared" si="64"/>
        <v>12099.179577284765</v>
      </c>
      <c r="DK144" s="539">
        <f t="shared" si="64"/>
        <v>11449.028715056953</v>
      </c>
      <c r="DL144" s="539">
        <f t="shared" si="64"/>
        <v>10795.334985379392</v>
      </c>
      <c r="DM144" s="539">
        <f t="shared" si="64"/>
        <v>10138.25781728732</v>
      </c>
      <c r="DN144" s="539">
        <f t="shared" si="64"/>
        <v>9477.9494655093931</v>
      </c>
      <c r="DO144" s="539">
        <f t="shared" si="64"/>
        <v>8814.5553333114713</v>
      </c>
      <c r="DP144" s="539">
        <f t="shared" si="64"/>
        <v>8148.2142808124554</v>
      </c>
      <c r="DQ144" s="539">
        <f t="shared" si="64"/>
        <v>7479.0589194258964</v>
      </c>
      <c r="DR144" s="539">
        <f t="shared" si="64"/>
        <v>6807.2158930517326</v>
      </c>
      <c r="DS144" s="539">
        <f t="shared" si="64"/>
        <v>6132.8061466144063</v>
      </c>
      <c r="DT144" s="539">
        <f t="shared" si="64"/>
        <v>5455.9451825167589</v>
      </c>
      <c r="DU144" s="539">
        <f t="shared" si="64"/>
        <v>4776.7433055535057</v>
      </c>
      <c r="DV144" s="539">
        <f t="shared" si="64"/>
        <v>4095.3058568035995</v>
      </c>
      <c r="DW144" s="539">
        <f t="shared" si="64"/>
        <v>3411.7334369974387</v>
      </c>
      <c r="DX144" s="539">
        <f t="shared" si="64"/>
        <v>2726.1221198325557</v>
      </c>
      <c r="DY144" s="539">
        <f t="shared" si="64"/>
        <v>2038.5636556900922</v>
      </c>
      <c r="DZ144" s="539">
        <f t="shared" si="64"/>
        <v>1349.1456661840398</v>
      </c>
      <c r="EA144" s="539">
        <f t="shared" si="64"/>
        <v>657.95182995575976</v>
      </c>
      <c r="EB144" s="539">
        <f t="shared" si="64"/>
        <v>-34.937939892247869</v>
      </c>
      <c r="EC144" s="539">
        <f t="shared" si="64"/>
        <v>0</v>
      </c>
      <c r="ED144" s="539">
        <f t="shared" si="64"/>
        <v>0</v>
      </c>
      <c r="EE144" s="539">
        <f t="shared" si="64"/>
        <v>0</v>
      </c>
      <c r="EF144" s="539">
        <f t="shared" si="64"/>
        <v>0</v>
      </c>
      <c r="EG144" s="539">
        <f t="shared" si="64"/>
        <v>0</v>
      </c>
    </row>
    <row r="145" spans="5:7" ht="12.75">
      <c r="E145" s="540" t="s">
        <v>461</v>
      </c>
      <c r="F145" s="543">
        <f>IF(ABS(SUMIFS($J144:$EG144,$J142:$EG142,1))+ABS(SUMIFS($J144:$EG144,$J143:$EG143,1))&gt;$F141,1,0)</f>
        <v>0</v>
      </c>
      <c r="G145" s="541" t="s">
        <v>224</v>
      </c>
    </row>
    <row r="147" spans="5:7" ht="12.75">
      <c r="E147" s="535" t="str">
        <f>InpC!E$128</f>
        <v>Check tolerance</v>
      </c>
      <c r="F147" s="537">
        <f>InpC!F$128</f>
        <v>0.001</v>
      </c>
      <c r="G147" s="537" t="str">
        <f>InpC!G$128</f>
        <v>EUR 000s</v>
      </c>
    </row>
    <row r="148" spans="5:137" ht="12.75">
      <c r="E148" s="538" t="str">
        <f>E$44</f>
        <v>Disallowed interest - lapsed at operations end</v>
      </c>
      <c r="G148" s="539" t="str">
        <f>G$44</f>
        <v>EUR 000s</v>
      </c>
      <c r="H148" s="539">
        <f>H$44</f>
        <v>0</v>
      </c>
      <c r="J148" s="539">
        <f t="shared" si="65" ref="J148:EG148">J$44</f>
        <v>0</v>
      </c>
      <c r="K148" s="539">
        <f t="shared" si="65"/>
        <v>0</v>
      </c>
      <c r="L148" s="539">
        <f t="shared" si="65"/>
        <v>0</v>
      </c>
      <c r="M148" s="539">
        <f t="shared" si="65"/>
        <v>0</v>
      </c>
      <c r="N148" s="539">
        <f t="shared" si="65"/>
        <v>0</v>
      </c>
      <c r="O148" s="539">
        <f t="shared" si="65"/>
        <v>0</v>
      </c>
      <c r="P148" s="539">
        <f t="shared" si="65"/>
        <v>0</v>
      </c>
      <c r="Q148" s="539">
        <f t="shared" si="65"/>
        <v>0</v>
      </c>
      <c r="R148" s="539">
        <f t="shared" si="65"/>
        <v>0</v>
      </c>
      <c r="S148" s="539">
        <f t="shared" si="65"/>
        <v>0</v>
      </c>
      <c r="T148" s="539">
        <f t="shared" si="65"/>
        <v>0</v>
      </c>
      <c r="U148" s="539">
        <f t="shared" si="65"/>
        <v>0</v>
      </c>
      <c r="V148" s="539">
        <f t="shared" si="65"/>
        <v>0</v>
      </c>
      <c r="W148" s="539">
        <f t="shared" si="65"/>
        <v>0</v>
      </c>
      <c r="X148" s="539">
        <f t="shared" si="65"/>
        <v>0</v>
      </c>
      <c r="Y148" s="539">
        <f t="shared" si="65"/>
        <v>0</v>
      </c>
      <c r="Z148" s="539">
        <f t="shared" si="65"/>
        <v>0</v>
      </c>
      <c r="AA148" s="539">
        <f t="shared" si="65"/>
        <v>0</v>
      </c>
      <c r="AB148" s="539">
        <f t="shared" si="65"/>
        <v>0</v>
      </c>
      <c r="AC148" s="539">
        <f t="shared" si="65"/>
        <v>0</v>
      </c>
      <c r="AD148" s="539">
        <f t="shared" si="65"/>
        <v>0</v>
      </c>
      <c r="AE148" s="539">
        <f t="shared" si="65"/>
        <v>0</v>
      </c>
      <c r="AF148" s="539">
        <f t="shared" si="65"/>
        <v>0</v>
      </c>
      <c r="AG148" s="539">
        <f t="shared" si="65"/>
        <v>0</v>
      </c>
      <c r="AH148" s="539">
        <f t="shared" si="65"/>
        <v>0</v>
      </c>
      <c r="AI148" s="539">
        <f t="shared" si="65"/>
        <v>0</v>
      </c>
      <c r="AJ148" s="539">
        <f t="shared" si="65"/>
        <v>0</v>
      </c>
      <c r="AK148" s="539">
        <f t="shared" si="65"/>
        <v>0</v>
      </c>
      <c r="AL148" s="539">
        <f t="shared" si="65"/>
        <v>0</v>
      </c>
      <c r="AM148" s="539">
        <f t="shared" si="65"/>
        <v>0</v>
      </c>
      <c r="AN148" s="539">
        <f t="shared" si="65"/>
        <v>0</v>
      </c>
      <c r="AO148" s="539">
        <f t="shared" si="65"/>
        <v>0</v>
      </c>
      <c r="AP148" s="539">
        <f t="shared" si="65"/>
        <v>0</v>
      </c>
      <c r="AQ148" s="539">
        <f t="shared" si="65"/>
        <v>0</v>
      </c>
      <c r="AR148" s="539">
        <f t="shared" si="65"/>
        <v>0</v>
      </c>
      <c r="AS148" s="539">
        <f t="shared" si="65"/>
        <v>0</v>
      </c>
      <c r="AT148" s="539">
        <f t="shared" si="65"/>
        <v>0</v>
      </c>
      <c r="AU148" s="539">
        <f t="shared" si="65"/>
        <v>0</v>
      </c>
      <c r="AV148" s="539">
        <f t="shared" si="65"/>
        <v>0</v>
      </c>
      <c r="AW148" s="539">
        <f t="shared" si="65"/>
        <v>0</v>
      </c>
      <c r="AX148" s="539">
        <f t="shared" si="65"/>
        <v>0</v>
      </c>
      <c r="AY148" s="539">
        <f t="shared" si="65"/>
        <v>0</v>
      </c>
      <c r="AZ148" s="539">
        <f t="shared" si="65"/>
        <v>0</v>
      </c>
      <c r="BA148" s="539">
        <f t="shared" si="65"/>
        <v>0</v>
      </c>
      <c r="BB148" s="539">
        <f t="shared" si="65"/>
        <v>0</v>
      </c>
      <c r="BC148" s="539">
        <f t="shared" si="65"/>
        <v>0</v>
      </c>
      <c r="BD148" s="539">
        <f t="shared" si="65"/>
        <v>0</v>
      </c>
      <c r="BE148" s="539">
        <f t="shared" si="65"/>
        <v>0</v>
      </c>
      <c r="BF148" s="539">
        <f t="shared" si="65"/>
        <v>0</v>
      </c>
      <c r="BG148" s="539">
        <f t="shared" si="65"/>
        <v>0</v>
      </c>
      <c r="BH148" s="539">
        <f t="shared" si="65"/>
        <v>0</v>
      </c>
      <c r="BI148" s="539">
        <f t="shared" si="65"/>
        <v>0</v>
      </c>
      <c r="BJ148" s="539">
        <f t="shared" si="65"/>
        <v>0</v>
      </c>
      <c r="BK148" s="539">
        <f t="shared" si="65"/>
        <v>0</v>
      </c>
      <c r="BL148" s="539">
        <f t="shared" si="65"/>
        <v>0</v>
      </c>
      <c r="BM148" s="539">
        <f t="shared" si="65"/>
        <v>0</v>
      </c>
      <c r="BN148" s="539">
        <f t="shared" si="65"/>
        <v>0</v>
      </c>
      <c r="BO148" s="539">
        <f t="shared" si="65"/>
        <v>0</v>
      </c>
      <c r="BP148" s="539">
        <f t="shared" si="65"/>
        <v>0</v>
      </c>
      <c r="BQ148" s="539">
        <f t="shared" si="65"/>
        <v>0</v>
      </c>
      <c r="BR148" s="539">
        <f t="shared" si="65"/>
        <v>0</v>
      </c>
      <c r="BS148" s="539">
        <f t="shared" si="65"/>
        <v>0</v>
      </c>
      <c r="BT148" s="539">
        <f t="shared" si="65"/>
        <v>0</v>
      </c>
      <c r="BU148" s="539">
        <f t="shared" si="65"/>
        <v>0</v>
      </c>
      <c r="BV148" s="539">
        <f t="shared" si="65"/>
        <v>0</v>
      </c>
      <c r="BW148" s="539">
        <f t="shared" si="65"/>
        <v>0</v>
      </c>
      <c r="BX148" s="539">
        <f t="shared" si="65"/>
        <v>0</v>
      </c>
      <c r="BY148" s="539">
        <f t="shared" si="65"/>
        <v>0</v>
      </c>
      <c r="BZ148" s="539">
        <f t="shared" si="65"/>
        <v>0</v>
      </c>
      <c r="CA148" s="539">
        <f t="shared" si="65"/>
        <v>0</v>
      </c>
      <c r="CB148" s="539">
        <f t="shared" si="65"/>
        <v>0</v>
      </c>
      <c r="CC148" s="539">
        <f t="shared" si="65"/>
        <v>0</v>
      </c>
      <c r="CD148" s="539">
        <f t="shared" si="65"/>
        <v>0</v>
      </c>
      <c r="CE148" s="539">
        <f t="shared" si="65"/>
        <v>0</v>
      </c>
      <c r="CF148" s="539">
        <f t="shared" si="65"/>
        <v>0</v>
      </c>
      <c r="CG148" s="539">
        <f t="shared" si="65"/>
        <v>0</v>
      </c>
      <c r="CH148" s="539">
        <f t="shared" si="65"/>
        <v>0</v>
      </c>
      <c r="CI148" s="539">
        <f t="shared" si="65"/>
        <v>0</v>
      </c>
      <c r="CJ148" s="539">
        <f t="shared" si="65"/>
        <v>0</v>
      </c>
      <c r="CK148" s="539">
        <f t="shared" si="65"/>
        <v>0</v>
      </c>
      <c r="CL148" s="539">
        <f t="shared" si="65"/>
        <v>0</v>
      </c>
      <c r="CM148" s="539">
        <f t="shared" si="65"/>
        <v>0</v>
      </c>
      <c r="CN148" s="539">
        <f t="shared" si="65"/>
        <v>0</v>
      </c>
      <c r="CO148" s="539">
        <f t="shared" si="65"/>
        <v>0</v>
      </c>
      <c r="CP148" s="539">
        <f t="shared" si="65"/>
        <v>0</v>
      </c>
      <c r="CQ148" s="539">
        <f t="shared" si="65"/>
        <v>0</v>
      </c>
      <c r="CR148" s="539">
        <f t="shared" si="65"/>
        <v>0</v>
      </c>
      <c r="CS148" s="539">
        <f t="shared" si="65"/>
        <v>0</v>
      </c>
      <c r="CT148" s="539">
        <f t="shared" si="65"/>
        <v>0</v>
      </c>
      <c r="CU148" s="539">
        <f t="shared" si="65"/>
        <v>0</v>
      </c>
      <c r="CV148" s="539">
        <f t="shared" si="65"/>
        <v>0</v>
      </c>
      <c r="CW148" s="539">
        <f t="shared" si="65"/>
        <v>0</v>
      </c>
      <c r="CX148" s="539">
        <f t="shared" si="65"/>
        <v>0</v>
      </c>
      <c r="CY148" s="539">
        <f t="shared" si="65"/>
        <v>0</v>
      </c>
      <c r="CZ148" s="539">
        <f t="shared" si="65"/>
        <v>0</v>
      </c>
      <c r="DA148" s="539">
        <f t="shared" si="65"/>
        <v>0</v>
      </c>
      <c r="DB148" s="539">
        <f t="shared" si="65"/>
        <v>0</v>
      </c>
      <c r="DC148" s="539">
        <f t="shared" si="65"/>
        <v>0</v>
      </c>
      <c r="DD148" s="539">
        <f t="shared" si="65"/>
        <v>0</v>
      </c>
      <c r="DE148" s="539">
        <f t="shared" si="65"/>
        <v>0</v>
      </c>
      <c r="DF148" s="539">
        <f t="shared" si="65"/>
        <v>0</v>
      </c>
      <c r="DG148" s="539">
        <f t="shared" si="65"/>
        <v>0</v>
      </c>
      <c r="DH148" s="539">
        <f t="shared" si="65"/>
        <v>0</v>
      </c>
      <c r="DI148" s="539">
        <f t="shared" si="65"/>
        <v>0</v>
      </c>
      <c r="DJ148" s="539">
        <f t="shared" si="65"/>
        <v>0</v>
      </c>
      <c r="DK148" s="539">
        <f t="shared" si="65"/>
        <v>0</v>
      </c>
      <c r="DL148" s="539">
        <f t="shared" si="65"/>
        <v>0</v>
      </c>
      <c r="DM148" s="539">
        <f t="shared" si="65"/>
        <v>0</v>
      </c>
      <c r="DN148" s="539">
        <f t="shared" si="65"/>
        <v>0</v>
      </c>
      <c r="DO148" s="539">
        <f t="shared" si="65"/>
        <v>0</v>
      </c>
      <c r="DP148" s="539">
        <f t="shared" si="65"/>
        <v>0</v>
      </c>
      <c r="DQ148" s="539">
        <f t="shared" si="65"/>
        <v>0</v>
      </c>
      <c r="DR148" s="539">
        <f t="shared" si="65"/>
        <v>0</v>
      </c>
      <c r="DS148" s="539">
        <f t="shared" si="65"/>
        <v>0</v>
      </c>
      <c r="DT148" s="539">
        <f t="shared" si="65"/>
        <v>0</v>
      </c>
      <c r="DU148" s="539">
        <f t="shared" si="65"/>
        <v>0</v>
      </c>
      <c r="DV148" s="539">
        <f t="shared" si="65"/>
        <v>0</v>
      </c>
      <c r="DW148" s="539">
        <f t="shared" si="65"/>
        <v>0</v>
      </c>
      <c r="DX148" s="539">
        <f t="shared" si="65"/>
        <v>0</v>
      </c>
      <c r="DY148" s="539">
        <f t="shared" si="65"/>
        <v>0</v>
      </c>
      <c r="DZ148" s="539">
        <f t="shared" si="65"/>
        <v>0</v>
      </c>
      <c r="EA148" s="539">
        <f t="shared" si="65"/>
        <v>0</v>
      </c>
      <c r="EB148" s="539">
        <f t="shared" si="65"/>
        <v>0</v>
      </c>
      <c r="EC148" s="539">
        <f t="shared" si="65"/>
        <v>0</v>
      </c>
      <c r="ED148" s="539">
        <f t="shared" si="65"/>
        <v>0</v>
      </c>
      <c r="EE148" s="539">
        <f t="shared" si="65"/>
        <v>0</v>
      </c>
      <c r="EF148" s="539">
        <f t="shared" si="65"/>
        <v>0</v>
      </c>
      <c r="EG148" s="539">
        <f t="shared" si="65"/>
        <v>0</v>
      </c>
    </row>
    <row r="149" spans="5:137" ht="12.75">
      <c r="E149" s="538" t="str">
        <f>E$91</f>
        <v>Tax losses - lapsed at operations end</v>
      </c>
      <c r="G149" s="539" t="str">
        <f>G$91</f>
        <v>EUR 000s</v>
      </c>
      <c r="H149" s="539">
        <f>H$91</f>
        <v>-7.2759576141834259E-12</v>
      </c>
      <c r="J149" s="539">
        <f t="shared" si="66" ref="J149:EG149">J$91</f>
        <v>0</v>
      </c>
      <c r="K149" s="539">
        <f t="shared" si="66"/>
        <v>0</v>
      </c>
      <c r="L149" s="539">
        <f t="shared" si="66"/>
        <v>0</v>
      </c>
      <c r="M149" s="539">
        <f t="shared" si="66"/>
        <v>0</v>
      </c>
      <c r="N149" s="539">
        <f t="shared" si="66"/>
        <v>0</v>
      </c>
      <c r="O149" s="539">
        <f t="shared" si="66"/>
        <v>0</v>
      </c>
      <c r="P149" s="539">
        <f t="shared" si="66"/>
        <v>0</v>
      </c>
      <c r="Q149" s="539">
        <f t="shared" si="66"/>
        <v>0</v>
      </c>
      <c r="R149" s="539">
        <f t="shared" si="66"/>
        <v>0</v>
      </c>
      <c r="S149" s="539">
        <f t="shared" si="66"/>
        <v>0</v>
      </c>
      <c r="T149" s="539">
        <f t="shared" si="66"/>
        <v>0</v>
      </c>
      <c r="U149" s="539">
        <f t="shared" si="66"/>
        <v>0</v>
      </c>
      <c r="V149" s="539">
        <f t="shared" si="66"/>
        <v>0</v>
      </c>
      <c r="W149" s="539">
        <f t="shared" si="66"/>
        <v>0</v>
      </c>
      <c r="X149" s="539">
        <f t="shared" si="66"/>
        <v>0</v>
      </c>
      <c r="Y149" s="539">
        <f t="shared" si="66"/>
        <v>0</v>
      </c>
      <c r="Z149" s="539">
        <f t="shared" si="66"/>
        <v>0</v>
      </c>
      <c r="AA149" s="539">
        <f t="shared" si="66"/>
        <v>0</v>
      </c>
      <c r="AB149" s="539">
        <f t="shared" si="66"/>
        <v>0</v>
      </c>
      <c r="AC149" s="539">
        <f t="shared" si="66"/>
        <v>0</v>
      </c>
      <c r="AD149" s="539">
        <f t="shared" si="66"/>
        <v>0</v>
      </c>
      <c r="AE149" s="539">
        <f t="shared" si="66"/>
        <v>0</v>
      </c>
      <c r="AF149" s="539">
        <f t="shared" si="66"/>
        <v>0</v>
      </c>
      <c r="AG149" s="539">
        <f t="shared" si="66"/>
        <v>0</v>
      </c>
      <c r="AH149" s="539">
        <f t="shared" si="66"/>
        <v>0</v>
      </c>
      <c r="AI149" s="539">
        <f t="shared" si="66"/>
        <v>0</v>
      </c>
      <c r="AJ149" s="539">
        <f t="shared" si="66"/>
        <v>0</v>
      </c>
      <c r="AK149" s="539">
        <f t="shared" si="66"/>
        <v>0</v>
      </c>
      <c r="AL149" s="539">
        <f t="shared" si="66"/>
        <v>0</v>
      </c>
      <c r="AM149" s="539">
        <f t="shared" si="66"/>
        <v>0</v>
      </c>
      <c r="AN149" s="539">
        <f t="shared" si="66"/>
        <v>0</v>
      </c>
      <c r="AO149" s="539">
        <f t="shared" si="66"/>
        <v>0</v>
      </c>
      <c r="AP149" s="539">
        <f t="shared" si="66"/>
        <v>0</v>
      </c>
      <c r="AQ149" s="539">
        <f t="shared" si="66"/>
        <v>0</v>
      </c>
      <c r="AR149" s="539">
        <f t="shared" si="66"/>
        <v>0</v>
      </c>
      <c r="AS149" s="539">
        <f t="shared" si="66"/>
        <v>0</v>
      </c>
      <c r="AT149" s="539">
        <f t="shared" si="66"/>
        <v>0</v>
      </c>
      <c r="AU149" s="539">
        <f t="shared" si="66"/>
        <v>0</v>
      </c>
      <c r="AV149" s="539">
        <f t="shared" si="66"/>
        <v>0</v>
      </c>
      <c r="AW149" s="539">
        <f t="shared" si="66"/>
        <v>0</v>
      </c>
      <c r="AX149" s="539">
        <f t="shared" si="66"/>
        <v>0</v>
      </c>
      <c r="AY149" s="539">
        <f t="shared" si="66"/>
        <v>0</v>
      </c>
      <c r="AZ149" s="539">
        <f t="shared" si="66"/>
        <v>0</v>
      </c>
      <c r="BA149" s="539">
        <f t="shared" si="66"/>
        <v>0</v>
      </c>
      <c r="BB149" s="539">
        <f t="shared" si="66"/>
        <v>0</v>
      </c>
      <c r="BC149" s="539">
        <f t="shared" si="66"/>
        <v>0</v>
      </c>
      <c r="BD149" s="539">
        <f t="shared" si="66"/>
        <v>0</v>
      </c>
      <c r="BE149" s="539">
        <f t="shared" si="66"/>
        <v>0</v>
      </c>
      <c r="BF149" s="539">
        <f t="shared" si="66"/>
        <v>0</v>
      </c>
      <c r="BG149" s="539">
        <f t="shared" si="66"/>
        <v>0</v>
      </c>
      <c r="BH149" s="539">
        <f t="shared" si="66"/>
        <v>0</v>
      </c>
      <c r="BI149" s="539">
        <f t="shared" si="66"/>
        <v>0</v>
      </c>
      <c r="BJ149" s="539">
        <f t="shared" si="66"/>
        <v>0</v>
      </c>
      <c r="BK149" s="539">
        <f t="shared" si="66"/>
        <v>0</v>
      </c>
      <c r="BL149" s="539">
        <f t="shared" si="66"/>
        <v>0</v>
      </c>
      <c r="BM149" s="539">
        <f t="shared" si="66"/>
        <v>0</v>
      </c>
      <c r="BN149" s="539">
        <f t="shared" si="66"/>
        <v>0</v>
      </c>
      <c r="BO149" s="539">
        <f t="shared" si="66"/>
        <v>0</v>
      </c>
      <c r="BP149" s="539">
        <f t="shared" si="66"/>
        <v>0</v>
      </c>
      <c r="BQ149" s="539">
        <f t="shared" si="66"/>
        <v>0</v>
      </c>
      <c r="BR149" s="539">
        <f t="shared" si="66"/>
        <v>0</v>
      </c>
      <c r="BS149" s="539">
        <f t="shared" si="66"/>
        <v>0</v>
      </c>
      <c r="BT149" s="539">
        <f t="shared" si="66"/>
        <v>0</v>
      </c>
      <c r="BU149" s="539">
        <f t="shared" si="66"/>
        <v>0</v>
      </c>
      <c r="BV149" s="539">
        <f t="shared" si="66"/>
        <v>0</v>
      </c>
      <c r="BW149" s="539">
        <f t="shared" si="66"/>
        <v>0</v>
      </c>
      <c r="BX149" s="539">
        <f t="shared" si="66"/>
        <v>0</v>
      </c>
      <c r="BY149" s="539">
        <f t="shared" si="66"/>
        <v>0</v>
      </c>
      <c r="BZ149" s="539">
        <f t="shared" si="66"/>
        <v>0</v>
      </c>
      <c r="CA149" s="539">
        <f t="shared" si="66"/>
        <v>0</v>
      </c>
      <c r="CB149" s="539">
        <f t="shared" si="66"/>
        <v>0</v>
      </c>
      <c r="CC149" s="539">
        <f t="shared" si="66"/>
        <v>0</v>
      </c>
      <c r="CD149" s="539">
        <f t="shared" si="66"/>
        <v>0</v>
      </c>
      <c r="CE149" s="539">
        <f t="shared" si="66"/>
        <v>0</v>
      </c>
      <c r="CF149" s="539">
        <f t="shared" si="66"/>
        <v>0</v>
      </c>
      <c r="CG149" s="539">
        <f t="shared" si="66"/>
        <v>0</v>
      </c>
      <c r="CH149" s="539">
        <f t="shared" si="66"/>
        <v>0</v>
      </c>
      <c r="CI149" s="539">
        <f t="shared" si="66"/>
        <v>0</v>
      </c>
      <c r="CJ149" s="539">
        <f t="shared" si="66"/>
        <v>0</v>
      </c>
      <c r="CK149" s="539">
        <f t="shared" si="66"/>
        <v>0</v>
      </c>
      <c r="CL149" s="539">
        <f t="shared" si="66"/>
        <v>0</v>
      </c>
      <c r="CM149" s="539">
        <f t="shared" si="66"/>
        <v>0</v>
      </c>
      <c r="CN149" s="539">
        <f t="shared" si="66"/>
        <v>0</v>
      </c>
      <c r="CO149" s="539">
        <f t="shared" si="66"/>
        <v>0</v>
      </c>
      <c r="CP149" s="539">
        <f t="shared" si="66"/>
        <v>0</v>
      </c>
      <c r="CQ149" s="539">
        <f t="shared" si="66"/>
        <v>0</v>
      </c>
      <c r="CR149" s="539">
        <f t="shared" si="66"/>
        <v>0</v>
      </c>
      <c r="CS149" s="539">
        <f t="shared" si="66"/>
        <v>0</v>
      </c>
      <c r="CT149" s="539">
        <f t="shared" si="66"/>
        <v>0</v>
      </c>
      <c r="CU149" s="539">
        <f t="shared" si="66"/>
        <v>0</v>
      </c>
      <c r="CV149" s="539">
        <f t="shared" si="66"/>
        <v>0</v>
      </c>
      <c r="CW149" s="539">
        <f t="shared" si="66"/>
        <v>0</v>
      </c>
      <c r="CX149" s="539">
        <f t="shared" si="66"/>
        <v>0</v>
      </c>
      <c r="CY149" s="539">
        <f t="shared" si="66"/>
        <v>0</v>
      </c>
      <c r="CZ149" s="539">
        <f t="shared" si="66"/>
        <v>0</v>
      </c>
      <c r="DA149" s="539">
        <f t="shared" si="66"/>
        <v>0</v>
      </c>
      <c r="DB149" s="539">
        <f t="shared" si="66"/>
        <v>0</v>
      </c>
      <c r="DC149" s="539">
        <f t="shared" si="66"/>
        <v>0</v>
      </c>
      <c r="DD149" s="539">
        <f t="shared" si="66"/>
        <v>0</v>
      </c>
      <c r="DE149" s="539">
        <f t="shared" si="66"/>
        <v>0</v>
      </c>
      <c r="DF149" s="539">
        <f t="shared" si="66"/>
        <v>0</v>
      </c>
      <c r="DG149" s="539">
        <f t="shared" si="66"/>
        <v>0</v>
      </c>
      <c r="DH149" s="539">
        <f t="shared" si="66"/>
        <v>0</v>
      </c>
      <c r="DI149" s="539">
        <f t="shared" si="66"/>
        <v>0</v>
      </c>
      <c r="DJ149" s="539">
        <f t="shared" si="66"/>
        <v>0</v>
      </c>
      <c r="DK149" s="539">
        <f t="shared" si="66"/>
        <v>0</v>
      </c>
      <c r="DL149" s="539">
        <f t="shared" si="66"/>
        <v>0</v>
      </c>
      <c r="DM149" s="539">
        <f t="shared" si="66"/>
        <v>0</v>
      </c>
      <c r="DN149" s="539">
        <f t="shared" si="66"/>
        <v>0</v>
      </c>
      <c r="DO149" s="539">
        <f t="shared" si="66"/>
        <v>0</v>
      </c>
      <c r="DP149" s="539">
        <f t="shared" si="66"/>
        <v>0</v>
      </c>
      <c r="DQ149" s="539">
        <f t="shared" si="66"/>
        <v>0</v>
      </c>
      <c r="DR149" s="539">
        <f t="shared" si="66"/>
        <v>0</v>
      </c>
      <c r="DS149" s="539">
        <f t="shared" si="66"/>
        <v>0</v>
      </c>
      <c r="DT149" s="539">
        <f t="shared" si="66"/>
        <v>0</v>
      </c>
      <c r="DU149" s="539">
        <f t="shared" si="66"/>
        <v>0</v>
      </c>
      <c r="DV149" s="539">
        <f t="shared" si="66"/>
        <v>0</v>
      </c>
      <c r="DW149" s="539">
        <f t="shared" si="66"/>
        <v>0</v>
      </c>
      <c r="DX149" s="539">
        <f t="shared" si="66"/>
        <v>0</v>
      </c>
      <c r="DY149" s="539">
        <f t="shared" si="66"/>
        <v>0</v>
      </c>
      <c r="DZ149" s="539">
        <f t="shared" si="66"/>
        <v>0</v>
      </c>
      <c r="EA149" s="539">
        <f t="shared" si="66"/>
        <v>0</v>
      </c>
      <c r="EB149" s="539">
        <f t="shared" si="66"/>
        <v>0</v>
      </c>
      <c r="EC149" s="539">
        <f t="shared" si="66"/>
        <v>-7.2759576141834259E-12</v>
      </c>
      <c r="ED149" s="539">
        <f t="shared" si="66"/>
        <v>0</v>
      </c>
      <c r="EE149" s="539">
        <f t="shared" si="66"/>
        <v>0</v>
      </c>
      <c r="EF149" s="539">
        <f t="shared" si="66"/>
        <v>0</v>
      </c>
      <c r="EG149" s="539">
        <f t="shared" si="66"/>
        <v>0</v>
      </c>
    </row>
    <row r="150" spans="5:7" ht="12.75">
      <c r="E150" s="540" t="s">
        <v>462</v>
      </c>
      <c r="F150" s="543">
        <f>IF(SUM($J149:$EG149)+SUM($J148:$EG148)&gt;$F147,1,0)</f>
        <v>0</v>
      </c>
      <c r="G150" s="541" t="s">
        <v>298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29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35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139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145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conditionalFormatting sqref="F150">
    <cfRule type="cellIs" priority="9" dxfId="242" operator="notEqual" stopIfTrue="1">
      <formula>0</formula>
    </cfRule>
    <cfRule type="cellIs" priority="10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outlinePr summaryBelow="0" summaryRight="0"/>
  </sheetPr>
  <dimension ref="A1:RL206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Equity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 t="s">
        <v>9</v>
      </c>
      <c r="G5" s="402" t="s">
        <v>10</v>
      </c>
      <c r="H5" s="401" t="s">
        <v>144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463</v>
      </c>
    </row>
    <row r="9" spans="5:7" ht="12.75">
      <c r="E9" s="535" t="str">
        <f>InpC!E$109</f>
        <v>Shareholder loan - share of equity funding</v>
      </c>
      <c r="F9" s="542">
        <f>InpC!F$109</f>
        <v>0.80000000000000004</v>
      </c>
      <c r="G9" s="542" t="str">
        <f>InpC!G$109</f>
        <v>%</v>
      </c>
    </row>
    <row r="10" spans="5:137" ht="12.75">
      <c r="E10" s="535" t="str">
        <f>Cons!E$134</f>
        <v>Sponsor equity - drawdown</v>
      </c>
      <c r="G10" s="537" t="str">
        <f>Cons!G$134</f>
        <v>EUR 000s</v>
      </c>
      <c r="H10" s="537">
        <f>Cons!H$134</f>
        <v>69547.232200616272</v>
      </c>
      <c r="J10" s="537">
        <f>Cons!J$134</f>
        <v>0</v>
      </c>
      <c r="K10" s="537">
        <f>Cons!K$134</f>
        <v>0</v>
      </c>
      <c r="L10" s="537">
        <f>Cons!L$134</f>
        <v>11319.299718665801</v>
      </c>
      <c r="M10" s="537">
        <f>Cons!M$134</f>
        <v>13400.690161983533</v>
      </c>
      <c r="N10" s="537">
        <f>Cons!N$134</f>
        <v>13741.483730168373</v>
      </c>
      <c r="O10" s="537">
        <f>Cons!O$134</f>
        <v>13418.385230476684</v>
      </c>
      <c r="P10" s="537">
        <f>Cons!P$134</f>
        <v>13759.768634277963</v>
      </c>
      <c r="Q10" s="537">
        <f>Cons!Q$134</f>
        <v>3907.6047250439151</v>
      </c>
      <c r="R10" s="537">
        <f>Cons!R$134</f>
        <v>0</v>
      </c>
      <c r="S10" s="537">
        <f>Cons!S$134</f>
        <v>0</v>
      </c>
      <c r="T10" s="537">
        <f>Cons!T$134</f>
        <v>0</v>
      </c>
      <c r="U10" s="537">
        <f>Cons!U$134</f>
        <v>0</v>
      </c>
      <c r="V10" s="537">
        <f>Cons!V$134</f>
        <v>0</v>
      </c>
      <c r="W10" s="537">
        <f>Cons!W$134</f>
        <v>0</v>
      </c>
      <c r="X10" s="537">
        <f>Cons!X$134</f>
        <v>0</v>
      </c>
      <c r="Y10" s="537">
        <f>Cons!Y$134</f>
        <v>0</v>
      </c>
      <c r="Z10" s="537">
        <f>Cons!Z$134</f>
        <v>0</v>
      </c>
      <c r="AA10" s="537">
        <f>Cons!AA$134</f>
        <v>0</v>
      </c>
      <c r="AB10" s="537">
        <f>Cons!AB$134</f>
        <v>0</v>
      </c>
      <c r="AC10" s="537">
        <f>Cons!AC$134</f>
        <v>0</v>
      </c>
      <c r="AD10" s="537">
        <f>Cons!AD$134</f>
        <v>0</v>
      </c>
      <c r="AE10" s="537">
        <f>Cons!AE$134</f>
        <v>0</v>
      </c>
      <c r="AF10" s="537">
        <f>Cons!AF$134</f>
        <v>0</v>
      </c>
      <c r="AG10" s="537">
        <f>Cons!AG$134</f>
        <v>0</v>
      </c>
      <c r="AH10" s="537">
        <f>Cons!AH$134</f>
        <v>0</v>
      </c>
      <c r="AI10" s="537">
        <f>Cons!AI$134</f>
        <v>0</v>
      </c>
      <c r="AJ10" s="537">
        <f>Cons!AJ$134</f>
        <v>0</v>
      </c>
      <c r="AK10" s="537">
        <f>Cons!AK$134</f>
        <v>0</v>
      </c>
      <c r="AL10" s="537">
        <f>Cons!AL$134</f>
        <v>0</v>
      </c>
      <c r="AM10" s="537">
        <f>Cons!AM$134</f>
        <v>0</v>
      </c>
      <c r="AN10" s="537">
        <f>Cons!AN$134</f>
        <v>0</v>
      </c>
      <c r="AO10" s="537">
        <f>Cons!AO$134</f>
        <v>0</v>
      </c>
      <c r="AP10" s="537">
        <f>Cons!AP$134</f>
        <v>0</v>
      </c>
      <c r="AQ10" s="537">
        <f>Cons!AQ$134</f>
        <v>0</v>
      </c>
      <c r="AR10" s="537">
        <f>Cons!AR$134</f>
        <v>0</v>
      </c>
      <c r="AS10" s="537">
        <f>Cons!AS$134</f>
        <v>0</v>
      </c>
      <c r="AT10" s="537">
        <f>Cons!AT$134</f>
        <v>0</v>
      </c>
      <c r="AU10" s="537">
        <f>Cons!AU$134</f>
        <v>0</v>
      </c>
      <c r="AV10" s="537">
        <f>Cons!AV$134</f>
        <v>0</v>
      </c>
      <c r="AW10" s="537">
        <f>Cons!AW$134</f>
        <v>0</v>
      </c>
      <c r="AX10" s="537">
        <f>Cons!AX$134</f>
        <v>0</v>
      </c>
      <c r="AY10" s="537">
        <f>Cons!AY$134</f>
        <v>0</v>
      </c>
      <c r="AZ10" s="537">
        <f>Cons!AZ$134</f>
        <v>0</v>
      </c>
      <c r="BA10" s="537">
        <f>Cons!BA$134</f>
        <v>0</v>
      </c>
      <c r="BB10" s="537">
        <f>Cons!BB$134</f>
        <v>0</v>
      </c>
      <c r="BC10" s="537">
        <f>Cons!BC$134</f>
        <v>0</v>
      </c>
      <c r="BD10" s="537">
        <f>Cons!BD$134</f>
        <v>0</v>
      </c>
      <c r="BE10" s="537">
        <f>Cons!BE$134</f>
        <v>0</v>
      </c>
      <c r="BF10" s="537">
        <f>Cons!BF$134</f>
        <v>0</v>
      </c>
      <c r="BG10" s="537">
        <f>Cons!BG$134</f>
        <v>0</v>
      </c>
      <c r="BH10" s="537">
        <f>Cons!BH$134</f>
        <v>0</v>
      </c>
      <c r="BI10" s="537">
        <f>Cons!BI$134</f>
        <v>0</v>
      </c>
      <c r="BJ10" s="537">
        <f>Cons!BJ$134</f>
        <v>0</v>
      </c>
      <c r="BK10" s="537">
        <f>Cons!BK$134</f>
        <v>0</v>
      </c>
      <c r="BL10" s="537">
        <f>Cons!BL$134</f>
        <v>0</v>
      </c>
      <c r="BM10" s="537">
        <f>Cons!BM$134</f>
        <v>0</v>
      </c>
      <c r="BN10" s="537">
        <f>Cons!BN$134</f>
        <v>0</v>
      </c>
      <c r="BO10" s="537">
        <f>Cons!BO$134</f>
        <v>0</v>
      </c>
      <c r="BP10" s="537">
        <f>Cons!BP$134</f>
        <v>0</v>
      </c>
      <c r="BQ10" s="537">
        <f>Cons!BQ$134</f>
        <v>0</v>
      </c>
      <c r="BR10" s="537">
        <f>Cons!BR$134</f>
        <v>0</v>
      </c>
      <c r="BS10" s="537">
        <f>Cons!BS$134</f>
        <v>0</v>
      </c>
      <c r="BT10" s="537">
        <f>Cons!BT$134</f>
        <v>0</v>
      </c>
      <c r="BU10" s="537">
        <f>Cons!BU$134</f>
        <v>0</v>
      </c>
      <c r="BV10" s="537">
        <f>Cons!BV$134</f>
        <v>0</v>
      </c>
      <c r="BW10" s="537">
        <f>Cons!BW$134</f>
        <v>0</v>
      </c>
      <c r="BX10" s="537">
        <f>Cons!BX$134</f>
        <v>0</v>
      </c>
      <c r="BY10" s="537">
        <f>Cons!BY$134</f>
        <v>0</v>
      </c>
      <c r="BZ10" s="537">
        <f>Cons!BZ$134</f>
        <v>0</v>
      </c>
      <c r="CA10" s="537">
        <f>Cons!CA$134</f>
        <v>0</v>
      </c>
      <c r="CB10" s="537">
        <f>Cons!CB$134</f>
        <v>0</v>
      </c>
      <c r="CC10" s="537">
        <f>Cons!CC$134</f>
        <v>0</v>
      </c>
      <c r="CD10" s="537">
        <f>Cons!CD$134</f>
        <v>0</v>
      </c>
      <c r="CE10" s="537">
        <f>Cons!CE$134</f>
        <v>0</v>
      </c>
      <c r="CF10" s="537">
        <f>Cons!CF$134</f>
        <v>0</v>
      </c>
      <c r="CG10" s="537">
        <f>Cons!CG$134</f>
        <v>0</v>
      </c>
      <c r="CH10" s="537">
        <f>Cons!CH$134</f>
        <v>0</v>
      </c>
      <c r="CI10" s="537">
        <f>Cons!CI$134</f>
        <v>0</v>
      </c>
      <c r="CJ10" s="537">
        <f>Cons!CJ$134</f>
        <v>0</v>
      </c>
      <c r="CK10" s="537">
        <f>Cons!CK$134</f>
        <v>0</v>
      </c>
      <c r="CL10" s="537">
        <f>Cons!CL$134</f>
        <v>0</v>
      </c>
      <c r="CM10" s="537">
        <f>Cons!CM$134</f>
        <v>0</v>
      </c>
      <c r="CN10" s="537">
        <f>Cons!CN$134</f>
        <v>0</v>
      </c>
      <c r="CO10" s="537">
        <f>Cons!CO$134</f>
        <v>0</v>
      </c>
      <c r="CP10" s="537">
        <f>Cons!CP$134</f>
        <v>0</v>
      </c>
      <c r="CQ10" s="537">
        <f>Cons!CQ$134</f>
        <v>0</v>
      </c>
      <c r="CR10" s="537">
        <f>Cons!CR$134</f>
        <v>0</v>
      </c>
      <c r="CS10" s="537">
        <f>Cons!CS$134</f>
        <v>0</v>
      </c>
      <c r="CT10" s="537">
        <f>Cons!CT$134</f>
        <v>0</v>
      </c>
      <c r="CU10" s="537">
        <f>Cons!CU$134</f>
        <v>0</v>
      </c>
      <c r="CV10" s="537">
        <f>Cons!CV$134</f>
        <v>0</v>
      </c>
      <c r="CW10" s="537">
        <f>Cons!CW$134</f>
        <v>0</v>
      </c>
      <c r="CX10" s="537">
        <f>Cons!CX$134</f>
        <v>0</v>
      </c>
      <c r="CY10" s="537">
        <f>Cons!CY$134</f>
        <v>0</v>
      </c>
      <c r="CZ10" s="537">
        <f>Cons!CZ$134</f>
        <v>0</v>
      </c>
      <c r="DA10" s="537">
        <f>Cons!DA$134</f>
        <v>0</v>
      </c>
      <c r="DB10" s="537">
        <f>Cons!DB$134</f>
        <v>0</v>
      </c>
      <c r="DC10" s="537">
        <f>Cons!DC$134</f>
        <v>0</v>
      </c>
      <c r="DD10" s="537">
        <f>Cons!DD$134</f>
        <v>0</v>
      </c>
      <c r="DE10" s="537">
        <f>Cons!DE$134</f>
        <v>0</v>
      </c>
      <c r="DF10" s="537">
        <f>Cons!DF$134</f>
        <v>0</v>
      </c>
      <c r="DG10" s="537">
        <f>Cons!DG$134</f>
        <v>0</v>
      </c>
      <c r="DH10" s="537">
        <f>Cons!DH$134</f>
        <v>0</v>
      </c>
      <c r="DI10" s="537">
        <f>Cons!DI$134</f>
        <v>0</v>
      </c>
      <c r="DJ10" s="537">
        <f>Cons!DJ$134</f>
        <v>0</v>
      </c>
      <c r="DK10" s="537">
        <f>Cons!DK$134</f>
        <v>0</v>
      </c>
      <c r="DL10" s="537">
        <f>Cons!DL$134</f>
        <v>0</v>
      </c>
      <c r="DM10" s="537">
        <f>Cons!DM$134</f>
        <v>0</v>
      </c>
      <c r="DN10" s="537">
        <f>Cons!DN$134</f>
        <v>0</v>
      </c>
      <c r="DO10" s="537">
        <f>Cons!DO$134</f>
        <v>0</v>
      </c>
      <c r="DP10" s="537">
        <f>Cons!DP$134</f>
        <v>0</v>
      </c>
      <c r="DQ10" s="537">
        <f>Cons!DQ$134</f>
        <v>0</v>
      </c>
      <c r="DR10" s="537">
        <f>Cons!DR$134</f>
        <v>0</v>
      </c>
      <c r="DS10" s="537">
        <f>Cons!DS$134</f>
        <v>0</v>
      </c>
      <c r="DT10" s="537">
        <f>Cons!DT$134</f>
        <v>0</v>
      </c>
      <c r="DU10" s="537">
        <f>Cons!DU$134</f>
        <v>0</v>
      </c>
      <c r="DV10" s="537">
        <f>Cons!DV$134</f>
        <v>0</v>
      </c>
      <c r="DW10" s="537">
        <f>Cons!DW$134</f>
        <v>0</v>
      </c>
      <c r="DX10" s="537">
        <f>Cons!DX$134</f>
        <v>0</v>
      </c>
      <c r="DY10" s="537">
        <f>Cons!DY$134</f>
        <v>0</v>
      </c>
      <c r="DZ10" s="537">
        <f>Cons!DZ$134</f>
        <v>0</v>
      </c>
      <c r="EA10" s="537">
        <f>Cons!EA$134</f>
        <v>0</v>
      </c>
      <c r="EB10" s="537">
        <f>Cons!EB$134</f>
        <v>0</v>
      </c>
      <c r="EC10" s="537">
        <f>Cons!EC$134</f>
        <v>0</v>
      </c>
      <c r="ED10" s="537">
        <f>Cons!ED$134</f>
        <v>0</v>
      </c>
      <c r="EE10" s="537">
        <f>Cons!EE$134</f>
        <v>0</v>
      </c>
      <c r="EF10" s="537">
        <f>Cons!EF$134</f>
        <v>0</v>
      </c>
      <c r="EG10" s="537">
        <f>Cons!EG$134</f>
        <v>0</v>
      </c>
    </row>
    <row r="11" spans="5:137" ht="12.75">
      <c r="E11" s="538" t="s">
        <v>464</v>
      </c>
      <c r="G11" s="539" t="s">
        <v>30</v>
      </c>
      <c r="H11" s="539">
        <f>SUM(J11:EG11)</f>
        <v>55637.785760493018</v>
      </c>
      <c r="J11" s="539">
        <f t="shared" si="0" ref="J11:EG11">J10*$F9</f>
        <v>0</v>
      </c>
      <c r="K11" s="539">
        <f t="shared" si="0"/>
        <v>0</v>
      </c>
      <c r="L11" s="539">
        <f t="shared" si="0"/>
        <v>9055.4397749326417</v>
      </c>
      <c r="M11" s="539">
        <f t="shared" si="0"/>
        <v>10720.552129586828</v>
      </c>
      <c r="N11" s="539">
        <f t="shared" si="0"/>
        <v>10993.1869841347</v>
      </c>
      <c r="O11" s="539">
        <f t="shared" si="0"/>
        <v>10734.708184381348</v>
      </c>
      <c r="P11" s="539">
        <f t="shared" si="0"/>
        <v>11007.814907422371</v>
      </c>
      <c r="Q11" s="539">
        <f t="shared" si="0"/>
        <v>3126.0837800351323</v>
      </c>
      <c r="R11" s="539">
        <f t="shared" si="0"/>
        <v>0</v>
      </c>
      <c r="S11" s="539">
        <f t="shared" si="0"/>
        <v>0</v>
      </c>
      <c r="T11" s="539">
        <f t="shared" si="0"/>
        <v>0</v>
      </c>
      <c r="U11" s="539">
        <f t="shared" si="0"/>
        <v>0</v>
      </c>
      <c r="V11" s="539">
        <f t="shared" si="0"/>
        <v>0</v>
      </c>
      <c r="W11" s="539">
        <f t="shared" si="0"/>
        <v>0</v>
      </c>
      <c r="X11" s="539">
        <f t="shared" si="0"/>
        <v>0</v>
      </c>
      <c r="Y11" s="539">
        <f t="shared" si="0"/>
        <v>0</v>
      </c>
      <c r="Z11" s="539">
        <f t="shared" si="0"/>
        <v>0</v>
      </c>
      <c r="AA11" s="539">
        <f t="shared" si="0"/>
        <v>0</v>
      </c>
      <c r="AB11" s="539">
        <f t="shared" si="0"/>
        <v>0</v>
      </c>
      <c r="AC11" s="539">
        <f t="shared" si="0"/>
        <v>0</v>
      </c>
      <c r="AD11" s="539">
        <f t="shared" si="0"/>
        <v>0</v>
      </c>
      <c r="AE11" s="539">
        <f t="shared" si="0"/>
        <v>0</v>
      </c>
      <c r="AF11" s="539">
        <f t="shared" si="0"/>
        <v>0</v>
      </c>
      <c r="AG11" s="539">
        <f t="shared" si="0"/>
        <v>0</v>
      </c>
      <c r="AH11" s="539">
        <f t="shared" si="0"/>
        <v>0</v>
      </c>
      <c r="AI11" s="539">
        <f t="shared" si="0"/>
        <v>0</v>
      </c>
      <c r="AJ11" s="539">
        <f t="shared" si="0"/>
        <v>0</v>
      </c>
      <c r="AK11" s="539">
        <f t="shared" si="0"/>
        <v>0</v>
      </c>
      <c r="AL11" s="539">
        <f t="shared" si="0"/>
        <v>0</v>
      </c>
      <c r="AM11" s="539">
        <f t="shared" si="0"/>
        <v>0</v>
      </c>
      <c r="AN11" s="539">
        <f t="shared" si="0"/>
        <v>0</v>
      </c>
      <c r="AO11" s="539">
        <f t="shared" si="0"/>
        <v>0</v>
      </c>
      <c r="AP11" s="539">
        <f t="shared" si="0"/>
        <v>0</v>
      </c>
      <c r="AQ11" s="539">
        <f t="shared" si="0"/>
        <v>0</v>
      </c>
      <c r="AR11" s="539">
        <f t="shared" si="0"/>
        <v>0</v>
      </c>
      <c r="AS11" s="539">
        <f t="shared" si="0"/>
        <v>0</v>
      </c>
      <c r="AT11" s="539">
        <f t="shared" si="0"/>
        <v>0</v>
      </c>
      <c r="AU11" s="539">
        <f t="shared" si="0"/>
        <v>0</v>
      </c>
      <c r="AV11" s="539">
        <f t="shared" si="0"/>
        <v>0</v>
      </c>
      <c r="AW11" s="539">
        <f t="shared" si="0"/>
        <v>0</v>
      </c>
      <c r="AX11" s="539">
        <f t="shared" si="0"/>
        <v>0</v>
      </c>
      <c r="AY11" s="539">
        <f t="shared" si="0"/>
        <v>0</v>
      </c>
      <c r="AZ11" s="539">
        <f t="shared" si="0"/>
        <v>0</v>
      </c>
      <c r="BA11" s="539">
        <f t="shared" si="0"/>
        <v>0</v>
      </c>
      <c r="BB11" s="539">
        <f t="shared" si="0"/>
        <v>0</v>
      </c>
      <c r="BC11" s="539">
        <f t="shared" si="0"/>
        <v>0</v>
      </c>
      <c r="BD11" s="539">
        <f t="shared" si="0"/>
        <v>0</v>
      </c>
      <c r="BE11" s="539">
        <f t="shared" si="0"/>
        <v>0</v>
      </c>
      <c r="BF11" s="539">
        <f t="shared" si="0"/>
        <v>0</v>
      </c>
      <c r="BG11" s="539">
        <f t="shared" si="0"/>
        <v>0</v>
      </c>
      <c r="BH11" s="539">
        <f t="shared" si="0"/>
        <v>0</v>
      </c>
      <c r="BI11" s="539">
        <f t="shared" si="0"/>
        <v>0</v>
      </c>
      <c r="BJ11" s="539">
        <f t="shared" si="0"/>
        <v>0</v>
      </c>
      <c r="BK11" s="539">
        <f t="shared" si="0"/>
        <v>0</v>
      </c>
      <c r="BL11" s="539">
        <f t="shared" si="0"/>
        <v>0</v>
      </c>
      <c r="BM11" s="539">
        <f t="shared" si="0"/>
        <v>0</v>
      </c>
      <c r="BN11" s="539">
        <f t="shared" si="0"/>
        <v>0</v>
      </c>
      <c r="BO11" s="539">
        <f t="shared" si="0"/>
        <v>0</v>
      </c>
      <c r="BP11" s="539">
        <f t="shared" si="0"/>
        <v>0</v>
      </c>
      <c r="BQ11" s="539">
        <f t="shared" si="0"/>
        <v>0</v>
      </c>
      <c r="BR11" s="539">
        <f t="shared" si="0"/>
        <v>0</v>
      </c>
      <c r="BS11" s="539">
        <f t="shared" si="0"/>
        <v>0</v>
      </c>
      <c r="BT11" s="539">
        <f t="shared" si="0"/>
        <v>0</v>
      </c>
      <c r="BU11" s="539">
        <f t="shared" si="0"/>
        <v>0</v>
      </c>
      <c r="BV11" s="539">
        <f t="shared" si="0"/>
        <v>0</v>
      </c>
      <c r="BW11" s="539">
        <f t="shared" si="0"/>
        <v>0</v>
      </c>
      <c r="BX11" s="539">
        <f t="shared" si="0"/>
        <v>0</v>
      </c>
      <c r="BY11" s="539">
        <f t="shared" si="0"/>
        <v>0</v>
      </c>
      <c r="BZ11" s="539">
        <f t="shared" si="0"/>
        <v>0</v>
      </c>
      <c r="CA11" s="539">
        <f t="shared" si="0"/>
        <v>0</v>
      </c>
      <c r="CB11" s="539">
        <f t="shared" si="0"/>
        <v>0</v>
      </c>
      <c r="CC11" s="539">
        <f t="shared" si="0"/>
        <v>0</v>
      </c>
      <c r="CD11" s="539">
        <f t="shared" si="0"/>
        <v>0</v>
      </c>
      <c r="CE11" s="539">
        <f t="shared" si="0"/>
        <v>0</v>
      </c>
      <c r="CF11" s="539">
        <f t="shared" si="0"/>
        <v>0</v>
      </c>
      <c r="CG11" s="539">
        <f t="shared" si="0"/>
        <v>0</v>
      </c>
      <c r="CH11" s="539">
        <f t="shared" si="0"/>
        <v>0</v>
      </c>
      <c r="CI11" s="539">
        <f t="shared" si="0"/>
        <v>0</v>
      </c>
      <c r="CJ11" s="539">
        <f t="shared" si="0"/>
        <v>0</v>
      </c>
      <c r="CK11" s="539">
        <f t="shared" si="0"/>
        <v>0</v>
      </c>
      <c r="CL11" s="539">
        <f t="shared" si="0"/>
        <v>0</v>
      </c>
      <c r="CM11" s="539">
        <f t="shared" si="0"/>
        <v>0</v>
      </c>
      <c r="CN11" s="539">
        <f t="shared" si="0"/>
        <v>0</v>
      </c>
      <c r="CO11" s="539">
        <f t="shared" si="0"/>
        <v>0</v>
      </c>
      <c r="CP11" s="539">
        <f t="shared" si="0"/>
        <v>0</v>
      </c>
      <c r="CQ11" s="539">
        <f t="shared" si="0"/>
        <v>0</v>
      </c>
      <c r="CR11" s="539">
        <f t="shared" si="0"/>
        <v>0</v>
      </c>
      <c r="CS11" s="539">
        <f t="shared" si="0"/>
        <v>0</v>
      </c>
      <c r="CT11" s="539">
        <f t="shared" si="0"/>
        <v>0</v>
      </c>
      <c r="CU11" s="539">
        <f t="shared" si="0"/>
        <v>0</v>
      </c>
      <c r="CV11" s="539">
        <f t="shared" si="0"/>
        <v>0</v>
      </c>
      <c r="CW11" s="539">
        <f t="shared" si="0"/>
        <v>0</v>
      </c>
      <c r="CX11" s="539">
        <f t="shared" si="0"/>
        <v>0</v>
      </c>
      <c r="CY11" s="539">
        <f t="shared" si="0"/>
        <v>0</v>
      </c>
      <c r="CZ11" s="539">
        <f t="shared" si="0"/>
        <v>0</v>
      </c>
      <c r="DA11" s="539">
        <f t="shared" si="0"/>
        <v>0</v>
      </c>
      <c r="DB11" s="539">
        <f t="shared" si="0"/>
        <v>0</v>
      </c>
      <c r="DC11" s="539">
        <f t="shared" si="0"/>
        <v>0</v>
      </c>
      <c r="DD11" s="539">
        <f t="shared" si="0"/>
        <v>0</v>
      </c>
      <c r="DE11" s="539">
        <f t="shared" si="0"/>
        <v>0</v>
      </c>
      <c r="DF11" s="539">
        <f t="shared" si="0"/>
        <v>0</v>
      </c>
      <c r="DG11" s="539">
        <f t="shared" si="0"/>
        <v>0</v>
      </c>
      <c r="DH11" s="539">
        <f t="shared" si="0"/>
        <v>0</v>
      </c>
      <c r="DI11" s="539">
        <f t="shared" si="0"/>
        <v>0</v>
      </c>
      <c r="DJ11" s="539">
        <f t="shared" si="0"/>
        <v>0</v>
      </c>
      <c r="DK11" s="539">
        <f t="shared" si="0"/>
        <v>0</v>
      </c>
      <c r="DL11" s="539">
        <f t="shared" si="0"/>
        <v>0</v>
      </c>
      <c r="DM11" s="539">
        <f t="shared" si="0"/>
        <v>0</v>
      </c>
      <c r="DN11" s="539">
        <f t="shared" si="0"/>
        <v>0</v>
      </c>
      <c r="DO11" s="539">
        <f t="shared" si="0"/>
        <v>0</v>
      </c>
      <c r="DP11" s="539">
        <f t="shared" si="0"/>
        <v>0</v>
      </c>
      <c r="DQ11" s="539">
        <f t="shared" si="0"/>
        <v>0</v>
      </c>
      <c r="DR11" s="539">
        <f t="shared" si="0"/>
        <v>0</v>
      </c>
      <c r="DS11" s="539">
        <f t="shared" si="0"/>
        <v>0</v>
      </c>
      <c r="DT11" s="539">
        <f t="shared" si="0"/>
        <v>0</v>
      </c>
      <c r="DU11" s="539">
        <f t="shared" si="0"/>
        <v>0</v>
      </c>
      <c r="DV11" s="539">
        <f t="shared" si="0"/>
        <v>0</v>
      </c>
      <c r="DW11" s="539">
        <f t="shared" si="0"/>
        <v>0</v>
      </c>
      <c r="DX11" s="539">
        <f t="shared" si="0"/>
        <v>0</v>
      </c>
      <c r="DY11" s="539">
        <f t="shared" si="0"/>
        <v>0</v>
      </c>
      <c r="DZ11" s="539">
        <f t="shared" si="0"/>
        <v>0</v>
      </c>
      <c r="EA11" s="539">
        <f t="shared" si="0"/>
        <v>0</v>
      </c>
      <c r="EB11" s="539">
        <f t="shared" si="0"/>
        <v>0</v>
      </c>
      <c r="EC11" s="539">
        <f t="shared" si="0"/>
        <v>0</v>
      </c>
      <c r="ED11" s="539">
        <f t="shared" si="0"/>
        <v>0</v>
      </c>
      <c r="EE11" s="539">
        <f t="shared" si="0"/>
        <v>0</v>
      </c>
      <c r="EF11" s="539">
        <f t="shared" si="0"/>
        <v>0</v>
      </c>
      <c r="EG11" s="539">
        <f t="shared" si="0"/>
        <v>0</v>
      </c>
    </row>
    <row r="13" spans="5:7" ht="12.75">
      <c r="E13" s="535" t="str">
        <f>InpC!E$109</f>
        <v>Shareholder loan - share of equity funding</v>
      </c>
      <c r="F13" s="542">
        <f>InpC!F$109</f>
        <v>0.80000000000000004</v>
      </c>
      <c r="G13" s="542" t="str">
        <f>InpC!G$109</f>
        <v>%</v>
      </c>
    </row>
    <row r="14" spans="5:137" ht="12.75">
      <c r="E14" s="535" t="str">
        <f>Cons!E$134</f>
        <v>Sponsor equity - drawdown</v>
      </c>
      <c r="G14" s="537" t="str">
        <f>Cons!G$134</f>
        <v>EUR 000s</v>
      </c>
      <c r="H14" s="537">
        <f>Cons!H$134</f>
        <v>69547.232200616272</v>
      </c>
      <c r="J14" s="537">
        <f>Cons!J$134</f>
        <v>0</v>
      </c>
      <c r="K14" s="537">
        <f>Cons!K$134</f>
        <v>0</v>
      </c>
      <c r="L14" s="537">
        <f>Cons!L$134</f>
        <v>11319.299718665801</v>
      </c>
      <c r="M14" s="537">
        <f>Cons!M$134</f>
        <v>13400.690161983533</v>
      </c>
      <c r="N14" s="537">
        <f>Cons!N$134</f>
        <v>13741.483730168373</v>
      </c>
      <c r="O14" s="537">
        <f>Cons!O$134</f>
        <v>13418.385230476684</v>
      </c>
      <c r="P14" s="537">
        <f>Cons!P$134</f>
        <v>13759.768634277963</v>
      </c>
      <c r="Q14" s="537">
        <f>Cons!Q$134</f>
        <v>3907.6047250439151</v>
      </c>
      <c r="R14" s="537">
        <f>Cons!R$134</f>
        <v>0</v>
      </c>
      <c r="S14" s="537">
        <f>Cons!S$134</f>
        <v>0</v>
      </c>
      <c r="T14" s="537">
        <f>Cons!T$134</f>
        <v>0</v>
      </c>
      <c r="U14" s="537">
        <f>Cons!U$134</f>
        <v>0</v>
      </c>
      <c r="V14" s="537">
        <f>Cons!V$134</f>
        <v>0</v>
      </c>
      <c r="W14" s="537">
        <f>Cons!W$134</f>
        <v>0</v>
      </c>
      <c r="X14" s="537">
        <f>Cons!X$134</f>
        <v>0</v>
      </c>
      <c r="Y14" s="537">
        <f>Cons!Y$134</f>
        <v>0</v>
      </c>
      <c r="Z14" s="537">
        <f>Cons!Z$134</f>
        <v>0</v>
      </c>
      <c r="AA14" s="537">
        <f>Cons!AA$134</f>
        <v>0</v>
      </c>
      <c r="AB14" s="537">
        <f>Cons!AB$134</f>
        <v>0</v>
      </c>
      <c r="AC14" s="537">
        <f>Cons!AC$134</f>
        <v>0</v>
      </c>
      <c r="AD14" s="537">
        <f>Cons!AD$134</f>
        <v>0</v>
      </c>
      <c r="AE14" s="537">
        <f>Cons!AE$134</f>
        <v>0</v>
      </c>
      <c r="AF14" s="537">
        <f>Cons!AF$134</f>
        <v>0</v>
      </c>
      <c r="AG14" s="537">
        <f>Cons!AG$134</f>
        <v>0</v>
      </c>
      <c r="AH14" s="537">
        <f>Cons!AH$134</f>
        <v>0</v>
      </c>
      <c r="AI14" s="537">
        <f>Cons!AI$134</f>
        <v>0</v>
      </c>
      <c r="AJ14" s="537">
        <f>Cons!AJ$134</f>
        <v>0</v>
      </c>
      <c r="AK14" s="537">
        <f>Cons!AK$134</f>
        <v>0</v>
      </c>
      <c r="AL14" s="537">
        <f>Cons!AL$134</f>
        <v>0</v>
      </c>
      <c r="AM14" s="537">
        <f>Cons!AM$134</f>
        <v>0</v>
      </c>
      <c r="AN14" s="537">
        <f>Cons!AN$134</f>
        <v>0</v>
      </c>
      <c r="AO14" s="537">
        <f>Cons!AO$134</f>
        <v>0</v>
      </c>
      <c r="AP14" s="537">
        <f>Cons!AP$134</f>
        <v>0</v>
      </c>
      <c r="AQ14" s="537">
        <f>Cons!AQ$134</f>
        <v>0</v>
      </c>
      <c r="AR14" s="537">
        <f>Cons!AR$134</f>
        <v>0</v>
      </c>
      <c r="AS14" s="537">
        <f>Cons!AS$134</f>
        <v>0</v>
      </c>
      <c r="AT14" s="537">
        <f>Cons!AT$134</f>
        <v>0</v>
      </c>
      <c r="AU14" s="537">
        <f>Cons!AU$134</f>
        <v>0</v>
      </c>
      <c r="AV14" s="537">
        <f>Cons!AV$134</f>
        <v>0</v>
      </c>
      <c r="AW14" s="537">
        <f>Cons!AW$134</f>
        <v>0</v>
      </c>
      <c r="AX14" s="537">
        <f>Cons!AX$134</f>
        <v>0</v>
      </c>
      <c r="AY14" s="537">
        <f>Cons!AY$134</f>
        <v>0</v>
      </c>
      <c r="AZ14" s="537">
        <f>Cons!AZ$134</f>
        <v>0</v>
      </c>
      <c r="BA14" s="537">
        <f>Cons!BA$134</f>
        <v>0</v>
      </c>
      <c r="BB14" s="537">
        <f>Cons!BB$134</f>
        <v>0</v>
      </c>
      <c r="BC14" s="537">
        <f>Cons!BC$134</f>
        <v>0</v>
      </c>
      <c r="BD14" s="537">
        <f>Cons!BD$134</f>
        <v>0</v>
      </c>
      <c r="BE14" s="537">
        <f>Cons!BE$134</f>
        <v>0</v>
      </c>
      <c r="BF14" s="537">
        <f>Cons!BF$134</f>
        <v>0</v>
      </c>
      <c r="BG14" s="537">
        <f>Cons!BG$134</f>
        <v>0</v>
      </c>
      <c r="BH14" s="537">
        <f>Cons!BH$134</f>
        <v>0</v>
      </c>
      <c r="BI14" s="537">
        <f>Cons!BI$134</f>
        <v>0</v>
      </c>
      <c r="BJ14" s="537">
        <f>Cons!BJ$134</f>
        <v>0</v>
      </c>
      <c r="BK14" s="537">
        <f>Cons!BK$134</f>
        <v>0</v>
      </c>
      <c r="BL14" s="537">
        <f>Cons!BL$134</f>
        <v>0</v>
      </c>
      <c r="BM14" s="537">
        <f>Cons!BM$134</f>
        <v>0</v>
      </c>
      <c r="BN14" s="537">
        <f>Cons!BN$134</f>
        <v>0</v>
      </c>
      <c r="BO14" s="537">
        <f>Cons!BO$134</f>
        <v>0</v>
      </c>
      <c r="BP14" s="537">
        <f>Cons!BP$134</f>
        <v>0</v>
      </c>
      <c r="BQ14" s="537">
        <f>Cons!BQ$134</f>
        <v>0</v>
      </c>
      <c r="BR14" s="537">
        <f>Cons!BR$134</f>
        <v>0</v>
      </c>
      <c r="BS14" s="537">
        <f>Cons!BS$134</f>
        <v>0</v>
      </c>
      <c r="BT14" s="537">
        <f>Cons!BT$134</f>
        <v>0</v>
      </c>
      <c r="BU14" s="537">
        <f>Cons!BU$134</f>
        <v>0</v>
      </c>
      <c r="BV14" s="537">
        <f>Cons!BV$134</f>
        <v>0</v>
      </c>
      <c r="BW14" s="537">
        <f>Cons!BW$134</f>
        <v>0</v>
      </c>
      <c r="BX14" s="537">
        <f>Cons!BX$134</f>
        <v>0</v>
      </c>
      <c r="BY14" s="537">
        <f>Cons!BY$134</f>
        <v>0</v>
      </c>
      <c r="BZ14" s="537">
        <f>Cons!BZ$134</f>
        <v>0</v>
      </c>
      <c r="CA14" s="537">
        <f>Cons!CA$134</f>
        <v>0</v>
      </c>
      <c r="CB14" s="537">
        <f>Cons!CB$134</f>
        <v>0</v>
      </c>
      <c r="CC14" s="537">
        <f>Cons!CC$134</f>
        <v>0</v>
      </c>
      <c r="CD14" s="537">
        <f>Cons!CD$134</f>
        <v>0</v>
      </c>
      <c r="CE14" s="537">
        <f>Cons!CE$134</f>
        <v>0</v>
      </c>
      <c r="CF14" s="537">
        <f>Cons!CF$134</f>
        <v>0</v>
      </c>
      <c r="CG14" s="537">
        <f>Cons!CG$134</f>
        <v>0</v>
      </c>
      <c r="CH14" s="537">
        <f>Cons!CH$134</f>
        <v>0</v>
      </c>
      <c r="CI14" s="537">
        <f>Cons!CI$134</f>
        <v>0</v>
      </c>
      <c r="CJ14" s="537">
        <f>Cons!CJ$134</f>
        <v>0</v>
      </c>
      <c r="CK14" s="537">
        <f>Cons!CK$134</f>
        <v>0</v>
      </c>
      <c r="CL14" s="537">
        <f>Cons!CL$134</f>
        <v>0</v>
      </c>
      <c r="CM14" s="537">
        <f>Cons!CM$134</f>
        <v>0</v>
      </c>
      <c r="CN14" s="537">
        <f>Cons!CN$134</f>
        <v>0</v>
      </c>
      <c r="CO14" s="537">
        <f>Cons!CO$134</f>
        <v>0</v>
      </c>
      <c r="CP14" s="537">
        <f>Cons!CP$134</f>
        <v>0</v>
      </c>
      <c r="CQ14" s="537">
        <f>Cons!CQ$134</f>
        <v>0</v>
      </c>
      <c r="CR14" s="537">
        <f>Cons!CR$134</f>
        <v>0</v>
      </c>
      <c r="CS14" s="537">
        <f>Cons!CS$134</f>
        <v>0</v>
      </c>
      <c r="CT14" s="537">
        <f>Cons!CT$134</f>
        <v>0</v>
      </c>
      <c r="CU14" s="537">
        <f>Cons!CU$134</f>
        <v>0</v>
      </c>
      <c r="CV14" s="537">
        <f>Cons!CV$134</f>
        <v>0</v>
      </c>
      <c r="CW14" s="537">
        <f>Cons!CW$134</f>
        <v>0</v>
      </c>
      <c r="CX14" s="537">
        <f>Cons!CX$134</f>
        <v>0</v>
      </c>
      <c r="CY14" s="537">
        <f>Cons!CY$134</f>
        <v>0</v>
      </c>
      <c r="CZ14" s="537">
        <f>Cons!CZ$134</f>
        <v>0</v>
      </c>
      <c r="DA14" s="537">
        <f>Cons!DA$134</f>
        <v>0</v>
      </c>
      <c r="DB14" s="537">
        <f>Cons!DB$134</f>
        <v>0</v>
      </c>
      <c r="DC14" s="537">
        <f>Cons!DC$134</f>
        <v>0</v>
      </c>
      <c r="DD14" s="537">
        <f>Cons!DD$134</f>
        <v>0</v>
      </c>
      <c r="DE14" s="537">
        <f>Cons!DE$134</f>
        <v>0</v>
      </c>
      <c r="DF14" s="537">
        <f>Cons!DF$134</f>
        <v>0</v>
      </c>
      <c r="DG14" s="537">
        <f>Cons!DG$134</f>
        <v>0</v>
      </c>
      <c r="DH14" s="537">
        <f>Cons!DH$134</f>
        <v>0</v>
      </c>
      <c r="DI14" s="537">
        <f>Cons!DI$134</f>
        <v>0</v>
      </c>
      <c r="DJ14" s="537">
        <f>Cons!DJ$134</f>
        <v>0</v>
      </c>
      <c r="DK14" s="537">
        <f>Cons!DK$134</f>
        <v>0</v>
      </c>
      <c r="DL14" s="537">
        <f>Cons!DL$134</f>
        <v>0</v>
      </c>
      <c r="DM14" s="537">
        <f>Cons!DM$134</f>
        <v>0</v>
      </c>
      <c r="DN14" s="537">
        <f>Cons!DN$134</f>
        <v>0</v>
      </c>
      <c r="DO14" s="537">
        <f>Cons!DO$134</f>
        <v>0</v>
      </c>
      <c r="DP14" s="537">
        <f>Cons!DP$134</f>
        <v>0</v>
      </c>
      <c r="DQ14" s="537">
        <f>Cons!DQ$134</f>
        <v>0</v>
      </c>
      <c r="DR14" s="537">
        <f>Cons!DR$134</f>
        <v>0</v>
      </c>
      <c r="DS14" s="537">
        <f>Cons!DS$134</f>
        <v>0</v>
      </c>
      <c r="DT14" s="537">
        <f>Cons!DT$134</f>
        <v>0</v>
      </c>
      <c r="DU14" s="537">
        <f>Cons!DU$134</f>
        <v>0</v>
      </c>
      <c r="DV14" s="537">
        <f>Cons!DV$134</f>
        <v>0</v>
      </c>
      <c r="DW14" s="537">
        <f>Cons!DW$134</f>
        <v>0</v>
      </c>
      <c r="DX14" s="537">
        <f>Cons!DX$134</f>
        <v>0</v>
      </c>
      <c r="DY14" s="537">
        <f>Cons!DY$134</f>
        <v>0</v>
      </c>
      <c r="DZ14" s="537">
        <f>Cons!DZ$134</f>
        <v>0</v>
      </c>
      <c r="EA14" s="537">
        <f>Cons!EA$134</f>
        <v>0</v>
      </c>
      <c r="EB14" s="537">
        <f>Cons!EB$134</f>
        <v>0</v>
      </c>
      <c r="EC14" s="537">
        <f>Cons!EC$134</f>
        <v>0</v>
      </c>
      <c r="ED14" s="537">
        <f>Cons!ED$134</f>
        <v>0</v>
      </c>
      <c r="EE14" s="537">
        <f>Cons!EE$134</f>
        <v>0</v>
      </c>
      <c r="EF14" s="537">
        <f>Cons!EF$134</f>
        <v>0</v>
      </c>
      <c r="EG14" s="537">
        <f>Cons!EG$134</f>
        <v>0</v>
      </c>
    </row>
    <row r="15" spans="5:137" ht="12.75">
      <c r="E15" s="538" t="s">
        <v>465</v>
      </c>
      <c r="G15" s="539" t="s">
        <v>30</v>
      </c>
      <c r="H15" s="539">
        <f>SUM(J15:EG15)</f>
        <v>13909.446440123251</v>
      </c>
      <c r="J15" s="539">
        <f t="shared" si="1" ref="J15:EG15">J14*(1-$F13)</f>
        <v>0</v>
      </c>
      <c r="K15" s="539">
        <f t="shared" si="1"/>
        <v>0</v>
      </c>
      <c r="L15" s="539">
        <f t="shared" si="1"/>
        <v>2263.8599437331595</v>
      </c>
      <c r="M15" s="539">
        <f t="shared" si="1"/>
        <v>2680.138032396706</v>
      </c>
      <c r="N15" s="539">
        <f t="shared" si="1"/>
        <v>2748.296746033674</v>
      </c>
      <c r="O15" s="539">
        <f t="shared" si="1"/>
        <v>2683.6770460953362</v>
      </c>
      <c r="P15" s="539">
        <f t="shared" si="1"/>
        <v>2751.9537268555919</v>
      </c>
      <c r="Q15" s="539">
        <f t="shared" si="1"/>
        <v>781.52094500878286</v>
      </c>
      <c r="R15" s="539">
        <f t="shared" si="1"/>
        <v>0</v>
      </c>
      <c r="S15" s="539">
        <f t="shared" si="1"/>
        <v>0</v>
      </c>
      <c r="T15" s="539">
        <f t="shared" si="1"/>
        <v>0</v>
      </c>
      <c r="U15" s="539">
        <f t="shared" si="1"/>
        <v>0</v>
      </c>
      <c r="V15" s="539">
        <f t="shared" si="1"/>
        <v>0</v>
      </c>
      <c r="W15" s="539">
        <f t="shared" si="1"/>
        <v>0</v>
      </c>
      <c r="X15" s="539">
        <f t="shared" si="1"/>
        <v>0</v>
      </c>
      <c r="Y15" s="539">
        <f t="shared" si="1"/>
        <v>0</v>
      </c>
      <c r="Z15" s="539">
        <f t="shared" si="1"/>
        <v>0</v>
      </c>
      <c r="AA15" s="539">
        <f t="shared" si="1"/>
        <v>0</v>
      </c>
      <c r="AB15" s="539">
        <f t="shared" si="1"/>
        <v>0</v>
      </c>
      <c r="AC15" s="539">
        <f t="shared" si="1"/>
        <v>0</v>
      </c>
      <c r="AD15" s="539">
        <f t="shared" si="1"/>
        <v>0</v>
      </c>
      <c r="AE15" s="539">
        <f t="shared" si="1"/>
        <v>0</v>
      </c>
      <c r="AF15" s="539">
        <f t="shared" si="1"/>
        <v>0</v>
      </c>
      <c r="AG15" s="539">
        <f t="shared" si="1"/>
        <v>0</v>
      </c>
      <c r="AH15" s="539">
        <f t="shared" si="1"/>
        <v>0</v>
      </c>
      <c r="AI15" s="539">
        <f t="shared" si="1"/>
        <v>0</v>
      </c>
      <c r="AJ15" s="539">
        <f t="shared" si="1"/>
        <v>0</v>
      </c>
      <c r="AK15" s="539">
        <f t="shared" si="1"/>
        <v>0</v>
      </c>
      <c r="AL15" s="539">
        <f t="shared" si="1"/>
        <v>0</v>
      </c>
      <c r="AM15" s="539">
        <f t="shared" si="1"/>
        <v>0</v>
      </c>
      <c r="AN15" s="539">
        <f t="shared" si="1"/>
        <v>0</v>
      </c>
      <c r="AO15" s="539">
        <f t="shared" si="1"/>
        <v>0</v>
      </c>
      <c r="AP15" s="539">
        <f t="shared" si="1"/>
        <v>0</v>
      </c>
      <c r="AQ15" s="539">
        <f t="shared" si="1"/>
        <v>0</v>
      </c>
      <c r="AR15" s="539">
        <f t="shared" si="1"/>
        <v>0</v>
      </c>
      <c r="AS15" s="539">
        <f t="shared" si="1"/>
        <v>0</v>
      </c>
      <c r="AT15" s="539">
        <f t="shared" si="1"/>
        <v>0</v>
      </c>
      <c r="AU15" s="539">
        <f t="shared" si="1"/>
        <v>0</v>
      </c>
      <c r="AV15" s="539">
        <f t="shared" si="1"/>
        <v>0</v>
      </c>
      <c r="AW15" s="539">
        <f t="shared" si="1"/>
        <v>0</v>
      </c>
      <c r="AX15" s="539">
        <f t="shared" si="1"/>
        <v>0</v>
      </c>
      <c r="AY15" s="539">
        <f t="shared" si="1"/>
        <v>0</v>
      </c>
      <c r="AZ15" s="539">
        <f t="shared" si="1"/>
        <v>0</v>
      </c>
      <c r="BA15" s="539">
        <f t="shared" si="1"/>
        <v>0</v>
      </c>
      <c r="BB15" s="539">
        <f t="shared" si="1"/>
        <v>0</v>
      </c>
      <c r="BC15" s="539">
        <f t="shared" si="1"/>
        <v>0</v>
      </c>
      <c r="BD15" s="539">
        <f t="shared" si="1"/>
        <v>0</v>
      </c>
      <c r="BE15" s="539">
        <f t="shared" si="1"/>
        <v>0</v>
      </c>
      <c r="BF15" s="539">
        <f t="shared" si="1"/>
        <v>0</v>
      </c>
      <c r="BG15" s="539">
        <f t="shared" si="1"/>
        <v>0</v>
      </c>
      <c r="BH15" s="539">
        <f t="shared" si="1"/>
        <v>0</v>
      </c>
      <c r="BI15" s="539">
        <f t="shared" si="1"/>
        <v>0</v>
      </c>
      <c r="BJ15" s="539">
        <f t="shared" si="1"/>
        <v>0</v>
      </c>
      <c r="BK15" s="539">
        <f t="shared" si="1"/>
        <v>0</v>
      </c>
      <c r="BL15" s="539">
        <f t="shared" si="1"/>
        <v>0</v>
      </c>
      <c r="BM15" s="539">
        <f t="shared" si="1"/>
        <v>0</v>
      </c>
      <c r="BN15" s="539">
        <f t="shared" si="1"/>
        <v>0</v>
      </c>
      <c r="BO15" s="539">
        <f t="shared" si="1"/>
        <v>0</v>
      </c>
      <c r="BP15" s="539">
        <f t="shared" si="1"/>
        <v>0</v>
      </c>
      <c r="BQ15" s="539">
        <f t="shared" si="1"/>
        <v>0</v>
      </c>
      <c r="BR15" s="539">
        <f t="shared" si="1"/>
        <v>0</v>
      </c>
      <c r="BS15" s="539">
        <f t="shared" si="1"/>
        <v>0</v>
      </c>
      <c r="BT15" s="539">
        <f t="shared" si="1"/>
        <v>0</v>
      </c>
      <c r="BU15" s="539">
        <f t="shared" si="1"/>
        <v>0</v>
      </c>
      <c r="BV15" s="539">
        <f t="shared" si="1"/>
        <v>0</v>
      </c>
      <c r="BW15" s="539">
        <f t="shared" si="1"/>
        <v>0</v>
      </c>
      <c r="BX15" s="539">
        <f t="shared" si="1"/>
        <v>0</v>
      </c>
      <c r="BY15" s="539">
        <f t="shared" si="1"/>
        <v>0</v>
      </c>
      <c r="BZ15" s="539">
        <f t="shared" si="1"/>
        <v>0</v>
      </c>
      <c r="CA15" s="539">
        <f t="shared" si="1"/>
        <v>0</v>
      </c>
      <c r="CB15" s="539">
        <f t="shared" si="1"/>
        <v>0</v>
      </c>
      <c r="CC15" s="539">
        <f t="shared" si="1"/>
        <v>0</v>
      </c>
      <c r="CD15" s="539">
        <f t="shared" si="1"/>
        <v>0</v>
      </c>
      <c r="CE15" s="539">
        <f t="shared" si="1"/>
        <v>0</v>
      </c>
      <c r="CF15" s="539">
        <f t="shared" si="1"/>
        <v>0</v>
      </c>
      <c r="CG15" s="539">
        <f t="shared" si="1"/>
        <v>0</v>
      </c>
      <c r="CH15" s="539">
        <f t="shared" si="1"/>
        <v>0</v>
      </c>
      <c r="CI15" s="539">
        <f t="shared" si="1"/>
        <v>0</v>
      </c>
      <c r="CJ15" s="539">
        <f t="shared" si="1"/>
        <v>0</v>
      </c>
      <c r="CK15" s="539">
        <f t="shared" si="1"/>
        <v>0</v>
      </c>
      <c r="CL15" s="539">
        <f t="shared" si="1"/>
        <v>0</v>
      </c>
      <c r="CM15" s="539">
        <f t="shared" si="1"/>
        <v>0</v>
      </c>
      <c r="CN15" s="539">
        <f t="shared" si="1"/>
        <v>0</v>
      </c>
      <c r="CO15" s="539">
        <f t="shared" si="1"/>
        <v>0</v>
      </c>
      <c r="CP15" s="539">
        <f t="shared" si="1"/>
        <v>0</v>
      </c>
      <c r="CQ15" s="539">
        <f t="shared" si="1"/>
        <v>0</v>
      </c>
      <c r="CR15" s="539">
        <f t="shared" si="1"/>
        <v>0</v>
      </c>
      <c r="CS15" s="539">
        <f t="shared" si="1"/>
        <v>0</v>
      </c>
      <c r="CT15" s="539">
        <f t="shared" si="1"/>
        <v>0</v>
      </c>
      <c r="CU15" s="539">
        <f t="shared" si="1"/>
        <v>0</v>
      </c>
      <c r="CV15" s="539">
        <f t="shared" si="1"/>
        <v>0</v>
      </c>
      <c r="CW15" s="539">
        <f t="shared" si="1"/>
        <v>0</v>
      </c>
      <c r="CX15" s="539">
        <f t="shared" si="1"/>
        <v>0</v>
      </c>
      <c r="CY15" s="539">
        <f t="shared" si="1"/>
        <v>0</v>
      </c>
      <c r="CZ15" s="539">
        <f t="shared" si="1"/>
        <v>0</v>
      </c>
      <c r="DA15" s="539">
        <f t="shared" si="1"/>
        <v>0</v>
      </c>
      <c r="DB15" s="539">
        <f t="shared" si="1"/>
        <v>0</v>
      </c>
      <c r="DC15" s="539">
        <f t="shared" si="1"/>
        <v>0</v>
      </c>
      <c r="DD15" s="539">
        <f t="shared" si="1"/>
        <v>0</v>
      </c>
      <c r="DE15" s="539">
        <f t="shared" si="1"/>
        <v>0</v>
      </c>
      <c r="DF15" s="539">
        <f t="shared" si="1"/>
        <v>0</v>
      </c>
      <c r="DG15" s="539">
        <f t="shared" si="1"/>
        <v>0</v>
      </c>
      <c r="DH15" s="539">
        <f t="shared" si="1"/>
        <v>0</v>
      </c>
      <c r="DI15" s="539">
        <f t="shared" si="1"/>
        <v>0</v>
      </c>
      <c r="DJ15" s="539">
        <f t="shared" si="1"/>
        <v>0</v>
      </c>
      <c r="DK15" s="539">
        <f t="shared" si="1"/>
        <v>0</v>
      </c>
      <c r="DL15" s="539">
        <f t="shared" si="1"/>
        <v>0</v>
      </c>
      <c r="DM15" s="539">
        <f t="shared" si="1"/>
        <v>0</v>
      </c>
      <c r="DN15" s="539">
        <f t="shared" si="1"/>
        <v>0</v>
      </c>
      <c r="DO15" s="539">
        <f t="shared" si="1"/>
        <v>0</v>
      </c>
      <c r="DP15" s="539">
        <f t="shared" si="1"/>
        <v>0</v>
      </c>
      <c r="DQ15" s="539">
        <f t="shared" si="1"/>
        <v>0</v>
      </c>
      <c r="DR15" s="539">
        <f t="shared" si="1"/>
        <v>0</v>
      </c>
      <c r="DS15" s="539">
        <f t="shared" si="1"/>
        <v>0</v>
      </c>
      <c r="DT15" s="539">
        <f t="shared" si="1"/>
        <v>0</v>
      </c>
      <c r="DU15" s="539">
        <f t="shared" si="1"/>
        <v>0</v>
      </c>
      <c r="DV15" s="539">
        <f t="shared" si="1"/>
        <v>0</v>
      </c>
      <c r="DW15" s="539">
        <f t="shared" si="1"/>
        <v>0</v>
      </c>
      <c r="DX15" s="539">
        <f t="shared" si="1"/>
        <v>0</v>
      </c>
      <c r="DY15" s="539">
        <f t="shared" si="1"/>
        <v>0</v>
      </c>
      <c r="DZ15" s="539">
        <f t="shared" si="1"/>
        <v>0</v>
      </c>
      <c r="EA15" s="539">
        <f t="shared" si="1"/>
        <v>0</v>
      </c>
      <c r="EB15" s="539">
        <f t="shared" si="1"/>
        <v>0</v>
      </c>
      <c r="EC15" s="539">
        <f t="shared" si="1"/>
        <v>0</v>
      </c>
      <c r="ED15" s="539">
        <f t="shared" si="1"/>
        <v>0</v>
      </c>
      <c r="EE15" s="539">
        <f t="shared" si="1"/>
        <v>0</v>
      </c>
      <c r="EF15" s="539">
        <f t="shared" si="1"/>
        <v>0</v>
      </c>
      <c r="EG15" s="539">
        <f t="shared" si="1"/>
        <v>0</v>
      </c>
    </row>
    <row r="18" spans="1:1" ht="12.75">
      <c r="A18" s="534" t="s">
        <v>466</v>
      </c>
    </row>
    <row r="20" spans="2:2" ht="12.75">
      <c r="B20" s="534" t="s">
        <v>467</v>
      </c>
    </row>
    <row r="21" spans="5:137" ht="12.75">
      <c r="E21" s="538" t="str">
        <f>E$64</f>
        <v>Shareholder loan - closing balance</v>
      </c>
      <c r="G21" s="539" t="str">
        <f>G$64</f>
        <v>EUR 000s</v>
      </c>
      <c r="H21" s="539">
        <f>H$64</f>
        <v>1982209.3275418179</v>
      </c>
      <c r="J21" s="539">
        <f t="shared" si="2" ref="J21:EG21">J$64</f>
        <v>0</v>
      </c>
      <c r="K21" s="539">
        <f t="shared" si="2"/>
        <v>0</v>
      </c>
      <c r="L21" s="539">
        <f t="shared" si="2"/>
        <v>9055.4397749326417</v>
      </c>
      <c r="M21" s="539">
        <f t="shared" si="2"/>
        <v>19828.091695005383</v>
      </c>
      <c r="N21" s="539">
        <f t="shared" si="2"/>
        <v>30939.160758532307</v>
      </c>
      <c r="O21" s="539">
        <f t="shared" si="2"/>
        <v>41851.875073305215</v>
      </c>
      <c r="P21" s="539">
        <f t="shared" si="2"/>
        <v>53108.507977738744</v>
      </c>
      <c r="Q21" s="539">
        <f t="shared" si="2"/>
        <v>56550.332750408648</v>
      </c>
      <c r="R21" s="539">
        <f t="shared" si="2"/>
        <v>56875.690829246618</v>
      </c>
      <c r="S21" s="539">
        <f t="shared" si="2"/>
        <v>57213.828498012277</v>
      </c>
      <c r="T21" s="539">
        <f t="shared" si="2"/>
        <v>57543.003949644677</v>
      </c>
      <c r="U21" s="539">
        <f t="shared" si="2"/>
        <v>57885.108932030234</v>
      </c>
      <c r="V21" s="539">
        <f t="shared" si="2"/>
        <v>58229.247798831617</v>
      </c>
      <c r="W21" s="539">
        <f t="shared" si="2"/>
        <v>58553.098135904569</v>
      </c>
      <c r="X21" s="539">
        <f t="shared" si="2"/>
        <v>58901.208335781041</v>
      </c>
      <c r="Y21" s="539">
        <f t="shared" si="2"/>
        <v>59240.092000178687</v>
      </c>
      <c r="Z21" s="539">
        <f t="shared" si="2"/>
        <v>59592.286519741392</v>
      </c>
      <c r="AA21" s="539">
        <f t="shared" si="2"/>
        <v>59935.146250402919</v>
      </c>
      <c r="AB21" s="539">
        <f t="shared" si="2"/>
        <v>60291.473010302572</v>
      </c>
      <c r="AC21" s="539">
        <f t="shared" si="2"/>
        <v>60649.918206007656</v>
      </c>
      <c r="AD21" s="539">
        <f t="shared" si="2"/>
        <v>60998.862940891537</v>
      </c>
      <c r="AE21" s="539">
        <f t="shared" si="2"/>
        <v>61361.513715088069</v>
      </c>
      <c r="AF21" s="539">
        <f t="shared" si="2"/>
        <v>61714.552561120079</v>
      </c>
      <c r="AG21" s="539">
        <f t="shared" si="2"/>
        <v>62081.458257168379</v>
      </c>
      <c r="AH21" s="539">
        <f t="shared" si="2"/>
        <v>61769.077871355606</v>
      </c>
      <c r="AI21" s="539">
        <f t="shared" si="2"/>
        <v>59557.542866753516</v>
      </c>
      <c r="AJ21" s="539">
        <f t="shared" si="2"/>
        <v>57362.985839563422</v>
      </c>
      <c r="AK21" s="539">
        <f t="shared" si="2"/>
        <v>55180.048033191357</v>
      </c>
      <c r="AL21" s="539">
        <f t="shared" si="2"/>
        <v>52817.815182127983</v>
      </c>
      <c r="AM21" s="539">
        <f t="shared" si="2"/>
        <v>50326.084203872269</v>
      </c>
      <c r="AN21" s="539">
        <f t="shared" si="2"/>
        <v>47845.21441609368</v>
      </c>
      <c r="AO21" s="539">
        <f t="shared" si="2"/>
        <v>45371.558411777805</v>
      </c>
      <c r="AP21" s="539">
        <f t="shared" si="2"/>
        <v>42716.227277735845</v>
      </c>
      <c r="AQ21" s="539">
        <f t="shared" si="2"/>
        <v>39922.967795742785</v>
      </c>
      <c r="AR21" s="539">
        <f t="shared" si="2"/>
        <v>37144.669484579557</v>
      </c>
      <c r="AS21" s="539">
        <f t="shared" si="2"/>
        <v>34347.398057166916</v>
      </c>
      <c r="AT21" s="539">
        <f t="shared" si="2"/>
        <v>33106.60538227643</v>
      </c>
      <c r="AU21" s="539">
        <f t="shared" si="2"/>
        <v>31777.319624505373</v>
      </c>
      <c r="AV21" s="539">
        <f t="shared" si="2"/>
        <v>30458.129918926981</v>
      </c>
      <c r="AW21" s="539">
        <f t="shared" si="2"/>
        <v>29172.297305380191</v>
      </c>
      <c r="AX21" s="539">
        <f t="shared" si="2"/>
        <v>25985.898446283911</v>
      </c>
      <c r="AY21" s="539">
        <f t="shared" si="2"/>
        <v>22643.916663214375</v>
      </c>
      <c r="AZ21" s="539">
        <f t="shared" si="2"/>
        <v>19233.170484658836</v>
      </c>
      <c r="BA21" s="539">
        <f t="shared" si="2"/>
        <v>15810.762049058863</v>
      </c>
      <c r="BB21" s="539">
        <f t="shared" si="2"/>
        <v>12307.920256124464</v>
      </c>
      <c r="BC21" s="539">
        <f t="shared" si="2"/>
        <v>8651.7634543701279</v>
      </c>
      <c r="BD21" s="539">
        <f t="shared" si="2"/>
        <v>4984.8250078702995</v>
      </c>
      <c r="BE21" s="539">
        <f t="shared" si="2"/>
        <v>1315.2315389118025</v>
      </c>
      <c r="BF21" s="539">
        <f t="shared" si="2"/>
        <v>0</v>
      </c>
      <c r="BG21" s="539">
        <f t="shared" si="2"/>
        <v>0</v>
      </c>
      <c r="BH21" s="539">
        <f t="shared" si="2"/>
        <v>0</v>
      </c>
      <c r="BI21" s="539">
        <f t="shared" si="2"/>
        <v>0</v>
      </c>
      <c r="BJ21" s="539">
        <f t="shared" si="2"/>
        <v>0</v>
      </c>
      <c r="BK21" s="539">
        <f t="shared" si="2"/>
        <v>0</v>
      </c>
      <c r="BL21" s="539">
        <f t="shared" si="2"/>
        <v>0</v>
      </c>
      <c r="BM21" s="539">
        <f t="shared" si="2"/>
        <v>0</v>
      </c>
      <c r="BN21" s="539">
        <f t="shared" si="2"/>
        <v>0</v>
      </c>
      <c r="BO21" s="539">
        <f t="shared" si="2"/>
        <v>0</v>
      </c>
      <c r="BP21" s="539">
        <f t="shared" si="2"/>
        <v>0</v>
      </c>
      <c r="BQ21" s="539">
        <f t="shared" si="2"/>
        <v>0</v>
      </c>
      <c r="BR21" s="539">
        <f t="shared" si="2"/>
        <v>0</v>
      </c>
      <c r="BS21" s="539">
        <f t="shared" si="2"/>
        <v>0</v>
      </c>
      <c r="BT21" s="539">
        <f t="shared" si="2"/>
        <v>0</v>
      </c>
      <c r="BU21" s="539">
        <f t="shared" si="2"/>
        <v>0</v>
      </c>
      <c r="BV21" s="539">
        <f t="shared" si="2"/>
        <v>0</v>
      </c>
      <c r="BW21" s="539">
        <f t="shared" si="2"/>
        <v>0</v>
      </c>
      <c r="BX21" s="539">
        <f t="shared" si="2"/>
        <v>0</v>
      </c>
      <c r="BY21" s="539">
        <f t="shared" si="2"/>
        <v>0</v>
      </c>
      <c r="BZ21" s="539">
        <f t="shared" si="2"/>
        <v>0</v>
      </c>
      <c r="CA21" s="539">
        <f t="shared" si="2"/>
        <v>0</v>
      </c>
      <c r="CB21" s="539">
        <f t="shared" si="2"/>
        <v>0</v>
      </c>
      <c r="CC21" s="539">
        <f t="shared" si="2"/>
        <v>0</v>
      </c>
      <c r="CD21" s="539">
        <f t="shared" si="2"/>
        <v>0</v>
      </c>
      <c r="CE21" s="539">
        <f t="shared" si="2"/>
        <v>0</v>
      </c>
      <c r="CF21" s="539">
        <f t="shared" si="2"/>
        <v>0</v>
      </c>
      <c r="CG21" s="539">
        <f t="shared" si="2"/>
        <v>0</v>
      </c>
      <c r="CH21" s="539">
        <f t="shared" si="2"/>
        <v>0</v>
      </c>
      <c r="CI21" s="539">
        <f t="shared" si="2"/>
        <v>0</v>
      </c>
      <c r="CJ21" s="539">
        <f t="shared" si="2"/>
        <v>0</v>
      </c>
      <c r="CK21" s="539">
        <f t="shared" si="2"/>
        <v>0</v>
      </c>
      <c r="CL21" s="539">
        <f t="shared" si="2"/>
        <v>0</v>
      </c>
      <c r="CM21" s="539">
        <f t="shared" si="2"/>
        <v>0</v>
      </c>
      <c r="CN21" s="539">
        <f t="shared" si="2"/>
        <v>0</v>
      </c>
      <c r="CO21" s="539">
        <f t="shared" si="2"/>
        <v>0</v>
      </c>
      <c r="CP21" s="539">
        <f t="shared" si="2"/>
        <v>0</v>
      </c>
      <c r="CQ21" s="539">
        <f t="shared" si="2"/>
        <v>0</v>
      </c>
      <c r="CR21" s="539">
        <f t="shared" si="2"/>
        <v>0</v>
      </c>
      <c r="CS21" s="539">
        <f t="shared" si="2"/>
        <v>0</v>
      </c>
      <c r="CT21" s="539">
        <f t="shared" si="2"/>
        <v>0</v>
      </c>
      <c r="CU21" s="539">
        <f t="shared" si="2"/>
        <v>0</v>
      </c>
      <c r="CV21" s="539">
        <f t="shared" si="2"/>
        <v>0</v>
      </c>
      <c r="CW21" s="539">
        <f t="shared" si="2"/>
        <v>0</v>
      </c>
      <c r="CX21" s="539">
        <f t="shared" si="2"/>
        <v>0</v>
      </c>
      <c r="CY21" s="539">
        <f t="shared" si="2"/>
        <v>0</v>
      </c>
      <c r="CZ21" s="539">
        <f t="shared" si="2"/>
        <v>0</v>
      </c>
      <c r="DA21" s="539">
        <f t="shared" si="2"/>
        <v>0</v>
      </c>
      <c r="DB21" s="539">
        <f t="shared" si="2"/>
        <v>0</v>
      </c>
      <c r="DC21" s="539">
        <f t="shared" si="2"/>
        <v>0</v>
      </c>
      <c r="DD21" s="539">
        <f t="shared" si="2"/>
        <v>0</v>
      </c>
      <c r="DE21" s="539">
        <f t="shared" si="2"/>
        <v>0</v>
      </c>
      <c r="DF21" s="539">
        <f t="shared" si="2"/>
        <v>0</v>
      </c>
      <c r="DG21" s="539">
        <f t="shared" si="2"/>
        <v>0</v>
      </c>
      <c r="DH21" s="539">
        <f t="shared" si="2"/>
        <v>0</v>
      </c>
      <c r="DI21" s="539">
        <f t="shared" si="2"/>
        <v>0</v>
      </c>
      <c r="DJ21" s="539">
        <f t="shared" si="2"/>
        <v>0</v>
      </c>
      <c r="DK21" s="539">
        <f t="shared" si="2"/>
        <v>0</v>
      </c>
      <c r="DL21" s="539">
        <f t="shared" si="2"/>
        <v>0</v>
      </c>
      <c r="DM21" s="539">
        <f t="shared" si="2"/>
        <v>0</v>
      </c>
      <c r="DN21" s="539">
        <f t="shared" si="2"/>
        <v>0</v>
      </c>
      <c r="DO21" s="539">
        <f t="shared" si="2"/>
        <v>0</v>
      </c>
      <c r="DP21" s="539">
        <f t="shared" si="2"/>
        <v>0</v>
      </c>
      <c r="DQ21" s="539">
        <f t="shared" si="2"/>
        <v>0</v>
      </c>
      <c r="DR21" s="539">
        <f t="shared" si="2"/>
        <v>0</v>
      </c>
      <c r="DS21" s="539">
        <f t="shared" si="2"/>
        <v>0</v>
      </c>
      <c r="DT21" s="539">
        <f t="shared" si="2"/>
        <v>0</v>
      </c>
      <c r="DU21" s="539">
        <f t="shared" si="2"/>
        <v>0</v>
      </c>
      <c r="DV21" s="539">
        <f t="shared" si="2"/>
        <v>0</v>
      </c>
      <c r="DW21" s="539">
        <f t="shared" si="2"/>
        <v>0</v>
      </c>
      <c r="DX21" s="539">
        <f t="shared" si="2"/>
        <v>0</v>
      </c>
      <c r="DY21" s="539">
        <f t="shared" si="2"/>
        <v>0</v>
      </c>
      <c r="DZ21" s="539">
        <f t="shared" si="2"/>
        <v>0</v>
      </c>
      <c r="EA21" s="539">
        <f t="shared" si="2"/>
        <v>0</v>
      </c>
      <c r="EB21" s="539">
        <f t="shared" si="2"/>
        <v>0</v>
      </c>
      <c r="EC21" s="539">
        <f t="shared" si="2"/>
        <v>0</v>
      </c>
      <c r="ED21" s="539">
        <f t="shared" si="2"/>
        <v>0</v>
      </c>
      <c r="EE21" s="539">
        <f t="shared" si="2"/>
        <v>0</v>
      </c>
      <c r="EF21" s="539">
        <f t="shared" si="2"/>
        <v>0</v>
      </c>
      <c r="EG21" s="539">
        <f t="shared" si="2"/>
        <v>0</v>
      </c>
    </row>
    <row r="22" spans="5:137" ht="12.75">
      <c r="E22" s="538" t="str">
        <f>E$53</f>
        <v>Shareholder loan - closing unpaid interest</v>
      </c>
      <c r="G22" s="539" t="str">
        <f>G$53</f>
        <v>EUR 000s</v>
      </c>
      <c r="H22" s="539">
        <f>H$53</f>
        <v>0</v>
      </c>
      <c r="J22" s="539">
        <f t="shared" si="3" ref="J22:EG22">J$53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0</v>
      </c>
      <c r="AB22" s="539">
        <f t="shared" si="3"/>
        <v>0</v>
      </c>
      <c r="AC22" s="539">
        <f t="shared" si="3"/>
        <v>0</v>
      </c>
      <c r="AD22" s="539">
        <f t="shared" si="3"/>
        <v>0</v>
      </c>
      <c r="AE22" s="539">
        <f t="shared" si="3"/>
        <v>0</v>
      </c>
      <c r="AF22" s="539">
        <f t="shared" si="3"/>
        <v>0</v>
      </c>
      <c r="AG22" s="539">
        <f t="shared" si="3"/>
        <v>0</v>
      </c>
      <c r="AH22" s="539">
        <f t="shared" si="3"/>
        <v>0</v>
      </c>
      <c r="AI22" s="539">
        <f t="shared" si="3"/>
        <v>0</v>
      </c>
      <c r="AJ22" s="539">
        <f t="shared" si="3"/>
        <v>0</v>
      </c>
      <c r="AK22" s="539">
        <f t="shared" si="3"/>
        <v>0</v>
      </c>
      <c r="AL22" s="539">
        <f t="shared" si="3"/>
        <v>0</v>
      </c>
      <c r="AM22" s="539">
        <f t="shared" si="3"/>
        <v>0</v>
      </c>
      <c r="AN22" s="539">
        <f t="shared" si="3"/>
        <v>0</v>
      </c>
      <c r="AO22" s="539">
        <f t="shared" si="3"/>
        <v>0</v>
      </c>
      <c r="AP22" s="539">
        <f t="shared" si="3"/>
        <v>0</v>
      </c>
      <c r="AQ22" s="539">
        <f t="shared" si="3"/>
        <v>0</v>
      </c>
      <c r="AR22" s="539">
        <f t="shared" si="3"/>
        <v>0</v>
      </c>
      <c r="AS22" s="539">
        <f t="shared" si="3"/>
        <v>0</v>
      </c>
      <c r="AT22" s="539">
        <f t="shared" si="3"/>
        <v>0</v>
      </c>
      <c r="AU22" s="539">
        <f t="shared" si="3"/>
        <v>0</v>
      </c>
      <c r="AV22" s="539">
        <f t="shared" si="3"/>
        <v>0</v>
      </c>
      <c r="AW22" s="539">
        <f t="shared" si="3"/>
        <v>0</v>
      </c>
      <c r="AX22" s="539">
        <f t="shared" si="3"/>
        <v>0</v>
      </c>
      <c r="AY22" s="539">
        <f t="shared" si="3"/>
        <v>0</v>
      </c>
      <c r="AZ22" s="539">
        <f t="shared" si="3"/>
        <v>0</v>
      </c>
      <c r="BA22" s="539">
        <f t="shared" si="3"/>
        <v>0</v>
      </c>
      <c r="BB22" s="539">
        <f t="shared" si="3"/>
        <v>0</v>
      </c>
      <c r="BC22" s="539">
        <f t="shared" si="3"/>
        <v>0</v>
      </c>
      <c r="BD22" s="539">
        <f t="shared" si="3"/>
        <v>0</v>
      </c>
      <c r="BE22" s="539">
        <f t="shared" si="3"/>
        <v>0</v>
      </c>
      <c r="BF22" s="539">
        <f t="shared" si="3"/>
        <v>0</v>
      </c>
      <c r="BG22" s="539">
        <f t="shared" si="3"/>
        <v>0</v>
      </c>
      <c r="BH22" s="539">
        <f t="shared" si="3"/>
        <v>0</v>
      </c>
      <c r="BI22" s="539">
        <f t="shared" si="3"/>
        <v>0</v>
      </c>
      <c r="BJ22" s="539">
        <f t="shared" si="3"/>
        <v>0</v>
      </c>
      <c r="BK22" s="539">
        <f t="shared" si="3"/>
        <v>0</v>
      </c>
      <c r="BL22" s="539">
        <f t="shared" si="3"/>
        <v>0</v>
      </c>
      <c r="BM22" s="539">
        <f t="shared" si="3"/>
        <v>0</v>
      </c>
      <c r="BN22" s="539">
        <f t="shared" si="3"/>
        <v>0</v>
      </c>
      <c r="BO22" s="539">
        <f t="shared" si="3"/>
        <v>0</v>
      </c>
      <c r="BP22" s="539">
        <f t="shared" si="3"/>
        <v>0</v>
      </c>
      <c r="BQ22" s="539">
        <f t="shared" si="3"/>
        <v>0</v>
      </c>
      <c r="BR22" s="539">
        <f t="shared" si="3"/>
        <v>0</v>
      </c>
      <c r="BS22" s="539">
        <f t="shared" si="3"/>
        <v>0</v>
      </c>
      <c r="BT22" s="539">
        <f t="shared" si="3"/>
        <v>0</v>
      </c>
      <c r="BU22" s="539">
        <f t="shared" si="3"/>
        <v>0</v>
      </c>
      <c r="BV22" s="539">
        <f t="shared" si="3"/>
        <v>0</v>
      </c>
      <c r="BW22" s="539">
        <f t="shared" si="3"/>
        <v>0</v>
      </c>
      <c r="BX22" s="539">
        <f t="shared" si="3"/>
        <v>0</v>
      </c>
      <c r="BY22" s="539">
        <f t="shared" si="3"/>
        <v>0</v>
      </c>
      <c r="BZ22" s="539">
        <f t="shared" si="3"/>
        <v>0</v>
      </c>
      <c r="CA22" s="539">
        <f t="shared" si="3"/>
        <v>0</v>
      </c>
      <c r="CB22" s="539">
        <f t="shared" si="3"/>
        <v>0</v>
      </c>
      <c r="CC22" s="539">
        <f t="shared" si="3"/>
        <v>0</v>
      </c>
      <c r="CD22" s="539">
        <f t="shared" si="3"/>
        <v>0</v>
      </c>
      <c r="CE22" s="539">
        <f t="shared" si="3"/>
        <v>0</v>
      </c>
      <c r="CF22" s="539">
        <f t="shared" si="3"/>
        <v>0</v>
      </c>
      <c r="CG22" s="539">
        <f t="shared" si="3"/>
        <v>0</v>
      </c>
      <c r="CH22" s="539">
        <f t="shared" si="3"/>
        <v>0</v>
      </c>
      <c r="CI22" s="539">
        <f t="shared" si="3"/>
        <v>0</v>
      </c>
      <c r="CJ22" s="539">
        <f t="shared" si="3"/>
        <v>0</v>
      </c>
      <c r="CK22" s="539">
        <f t="shared" si="3"/>
        <v>0</v>
      </c>
      <c r="CL22" s="539">
        <f t="shared" si="3"/>
        <v>0</v>
      </c>
      <c r="CM22" s="539">
        <f t="shared" si="3"/>
        <v>0</v>
      </c>
      <c r="CN22" s="539">
        <f t="shared" si="3"/>
        <v>0</v>
      </c>
      <c r="CO22" s="539">
        <f t="shared" si="3"/>
        <v>0</v>
      </c>
      <c r="CP22" s="539">
        <f t="shared" si="3"/>
        <v>0</v>
      </c>
      <c r="CQ22" s="539">
        <f t="shared" si="3"/>
        <v>0</v>
      </c>
      <c r="CR22" s="539">
        <f t="shared" si="3"/>
        <v>0</v>
      </c>
      <c r="CS22" s="539">
        <f t="shared" si="3"/>
        <v>0</v>
      </c>
      <c r="CT22" s="539">
        <f t="shared" si="3"/>
        <v>0</v>
      </c>
      <c r="CU22" s="539">
        <f t="shared" si="3"/>
        <v>0</v>
      </c>
      <c r="CV22" s="539">
        <f t="shared" si="3"/>
        <v>0</v>
      </c>
      <c r="CW22" s="539">
        <f t="shared" si="3"/>
        <v>0</v>
      </c>
      <c r="CX22" s="539">
        <f t="shared" si="3"/>
        <v>0</v>
      </c>
      <c r="CY22" s="539">
        <f t="shared" si="3"/>
        <v>0</v>
      </c>
      <c r="CZ22" s="539">
        <f t="shared" si="3"/>
        <v>0</v>
      </c>
      <c r="DA22" s="539">
        <f t="shared" si="3"/>
        <v>0</v>
      </c>
      <c r="DB22" s="539">
        <f t="shared" si="3"/>
        <v>0</v>
      </c>
      <c r="DC22" s="539">
        <f t="shared" si="3"/>
        <v>0</v>
      </c>
      <c r="DD22" s="539">
        <f t="shared" si="3"/>
        <v>0</v>
      </c>
      <c r="DE22" s="539">
        <f t="shared" si="3"/>
        <v>0</v>
      </c>
      <c r="DF22" s="539">
        <f t="shared" si="3"/>
        <v>0</v>
      </c>
      <c r="DG22" s="539">
        <f t="shared" si="3"/>
        <v>0</v>
      </c>
      <c r="DH22" s="539">
        <f t="shared" si="3"/>
        <v>0</v>
      </c>
      <c r="DI22" s="539">
        <f t="shared" si="3"/>
        <v>0</v>
      </c>
      <c r="DJ22" s="539">
        <f t="shared" si="3"/>
        <v>0</v>
      </c>
      <c r="DK22" s="539">
        <f t="shared" si="3"/>
        <v>0</v>
      </c>
      <c r="DL22" s="539">
        <f t="shared" si="3"/>
        <v>0</v>
      </c>
      <c r="DM22" s="539">
        <f t="shared" si="3"/>
        <v>0</v>
      </c>
      <c r="DN22" s="539">
        <f t="shared" si="3"/>
        <v>0</v>
      </c>
      <c r="DO22" s="539">
        <f t="shared" si="3"/>
        <v>0</v>
      </c>
      <c r="DP22" s="539">
        <f t="shared" si="3"/>
        <v>0</v>
      </c>
      <c r="DQ22" s="539">
        <f t="shared" si="3"/>
        <v>0</v>
      </c>
      <c r="DR22" s="539">
        <f t="shared" si="3"/>
        <v>0</v>
      </c>
      <c r="DS22" s="539">
        <f t="shared" si="3"/>
        <v>0</v>
      </c>
      <c r="DT22" s="539">
        <f t="shared" si="3"/>
        <v>0</v>
      </c>
      <c r="DU22" s="539">
        <f t="shared" si="3"/>
        <v>0</v>
      </c>
      <c r="DV22" s="539">
        <f t="shared" si="3"/>
        <v>0</v>
      </c>
      <c r="DW22" s="539">
        <f t="shared" si="3"/>
        <v>0</v>
      </c>
      <c r="DX22" s="539">
        <f t="shared" si="3"/>
        <v>0</v>
      </c>
      <c r="DY22" s="539">
        <f t="shared" si="3"/>
        <v>0</v>
      </c>
      <c r="DZ22" s="539">
        <f t="shared" si="3"/>
        <v>0</v>
      </c>
      <c r="EA22" s="539">
        <f t="shared" si="3"/>
        <v>0</v>
      </c>
      <c r="EB22" s="539">
        <f t="shared" si="3"/>
        <v>0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3" spans="5:137" ht="12.75">
      <c r="E23" s="538" t="s">
        <v>468</v>
      </c>
      <c r="G23" s="539" t="s">
        <v>30</v>
      </c>
      <c r="H23" s="539">
        <f>SUM(J23:EG23)</f>
        <v>1982209.3275418179</v>
      </c>
      <c r="J23" s="539">
        <f t="shared" si="4" ref="J23:EG23">I21</f>
        <v>0</v>
      </c>
      <c r="K23" s="539">
        <f t="shared" si="4"/>
        <v>0</v>
      </c>
      <c r="L23" s="539">
        <f t="shared" si="4"/>
        <v>0</v>
      </c>
      <c r="M23" s="539">
        <f t="shared" si="4"/>
        <v>9055.4397749326417</v>
      </c>
      <c r="N23" s="539">
        <f t="shared" si="4"/>
        <v>19828.091695005383</v>
      </c>
      <c r="O23" s="539">
        <f t="shared" si="4"/>
        <v>30939.160758532307</v>
      </c>
      <c r="P23" s="539">
        <f t="shared" si="4"/>
        <v>41851.875073305215</v>
      </c>
      <c r="Q23" s="539">
        <f t="shared" si="4"/>
        <v>53108.507977738744</v>
      </c>
      <c r="R23" s="539">
        <f t="shared" si="4"/>
        <v>56550.332750408648</v>
      </c>
      <c r="S23" s="539">
        <f t="shared" si="4"/>
        <v>56875.690829246618</v>
      </c>
      <c r="T23" s="539">
        <f t="shared" si="4"/>
        <v>57213.828498012277</v>
      </c>
      <c r="U23" s="539">
        <f t="shared" si="4"/>
        <v>57543.003949644677</v>
      </c>
      <c r="V23" s="539">
        <f t="shared" si="4"/>
        <v>57885.108932030234</v>
      </c>
      <c r="W23" s="539">
        <f t="shared" si="4"/>
        <v>58229.247798831617</v>
      </c>
      <c r="X23" s="539">
        <f t="shared" si="4"/>
        <v>58553.098135904569</v>
      </c>
      <c r="Y23" s="539">
        <f t="shared" si="4"/>
        <v>58901.208335781041</v>
      </c>
      <c r="Z23" s="539">
        <f t="shared" si="4"/>
        <v>59240.092000178687</v>
      </c>
      <c r="AA23" s="539">
        <f t="shared" si="4"/>
        <v>59592.286519741392</v>
      </c>
      <c r="AB23" s="539">
        <f t="shared" si="4"/>
        <v>59935.146250402919</v>
      </c>
      <c r="AC23" s="539">
        <f t="shared" si="4"/>
        <v>60291.473010302572</v>
      </c>
      <c r="AD23" s="539">
        <f t="shared" si="4"/>
        <v>60649.918206007656</v>
      </c>
      <c r="AE23" s="539">
        <f t="shared" si="4"/>
        <v>60998.862940891537</v>
      </c>
      <c r="AF23" s="539">
        <f t="shared" si="4"/>
        <v>61361.513715088069</v>
      </c>
      <c r="AG23" s="539">
        <f t="shared" si="4"/>
        <v>61714.552561120079</v>
      </c>
      <c r="AH23" s="539">
        <f t="shared" si="4"/>
        <v>62081.458257168379</v>
      </c>
      <c r="AI23" s="539">
        <f t="shared" si="4"/>
        <v>61769.077871355606</v>
      </c>
      <c r="AJ23" s="539">
        <f t="shared" si="4"/>
        <v>59557.542866753516</v>
      </c>
      <c r="AK23" s="539">
        <f t="shared" si="4"/>
        <v>57362.985839563422</v>
      </c>
      <c r="AL23" s="539">
        <f t="shared" si="4"/>
        <v>55180.048033191357</v>
      </c>
      <c r="AM23" s="539">
        <f t="shared" si="4"/>
        <v>52817.815182127983</v>
      </c>
      <c r="AN23" s="539">
        <f t="shared" si="4"/>
        <v>50326.084203872269</v>
      </c>
      <c r="AO23" s="539">
        <f t="shared" si="4"/>
        <v>47845.21441609368</v>
      </c>
      <c r="AP23" s="539">
        <f t="shared" si="4"/>
        <v>45371.558411777805</v>
      </c>
      <c r="AQ23" s="539">
        <f t="shared" si="4"/>
        <v>42716.227277735845</v>
      </c>
      <c r="AR23" s="539">
        <f t="shared" si="4"/>
        <v>39922.967795742785</v>
      </c>
      <c r="AS23" s="539">
        <f t="shared" si="4"/>
        <v>37144.669484579557</v>
      </c>
      <c r="AT23" s="539">
        <f t="shared" si="4"/>
        <v>34347.398057166916</v>
      </c>
      <c r="AU23" s="539">
        <f t="shared" si="4"/>
        <v>33106.60538227643</v>
      </c>
      <c r="AV23" s="539">
        <f t="shared" si="4"/>
        <v>31777.319624505373</v>
      </c>
      <c r="AW23" s="539">
        <f t="shared" si="4"/>
        <v>30458.129918926981</v>
      </c>
      <c r="AX23" s="539">
        <f t="shared" si="4"/>
        <v>29172.297305380191</v>
      </c>
      <c r="AY23" s="539">
        <f t="shared" si="4"/>
        <v>25985.898446283911</v>
      </c>
      <c r="AZ23" s="539">
        <f t="shared" si="4"/>
        <v>22643.916663214375</v>
      </c>
      <c r="BA23" s="539">
        <f t="shared" si="4"/>
        <v>19233.170484658836</v>
      </c>
      <c r="BB23" s="539">
        <f t="shared" si="4"/>
        <v>15810.762049058863</v>
      </c>
      <c r="BC23" s="539">
        <f t="shared" si="4"/>
        <v>12307.920256124464</v>
      </c>
      <c r="BD23" s="539">
        <f t="shared" si="4"/>
        <v>8651.7634543701279</v>
      </c>
      <c r="BE23" s="539">
        <f t="shared" si="4"/>
        <v>4984.8250078702995</v>
      </c>
      <c r="BF23" s="539">
        <f t="shared" si="4"/>
        <v>1315.2315389118025</v>
      </c>
      <c r="BG23" s="539">
        <f t="shared" si="4"/>
        <v>0</v>
      </c>
      <c r="BH23" s="539">
        <f t="shared" si="4"/>
        <v>0</v>
      </c>
      <c r="BI23" s="539">
        <f t="shared" si="4"/>
        <v>0</v>
      </c>
      <c r="BJ23" s="539">
        <f t="shared" si="4"/>
        <v>0</v>
      </c>
      <c r="BK23" s="539">
        <f t="shared" si="4"/>
        <v>0</v>
      </c>
      <c r="BL23" s="539">
        <f t="shared" si="4"/>
        <v>0</v>
      </c>
      <c r="BM23" s="539">
        <f t="shared" si="4"/>
        <v>0</v>
      </c>
      <c r="BN23" s="539">
        <f t="shared" si="4"/>
        <v>0</v>
      </c>
      <c r="BO23" s="539">
        <f t="shared" si="4"/>
        <v>0</v>
      </c>
      <c r="BP23" s="539">
        <f t="shared" si="4"/>
        <v>0</v>
      </c>
      <c r="BQ23" s="539">
        <f t="shared" si="4"/>
        <v>0</v>
      </c>
      <c r="BR23" s="539">
        <f t="shared" si="4"/>
        <v>0</v>
      </c>
      <c r="BS23" s="539">
        <f t="shared" si="4"/>
        <v>0</v>
      </c>
      <c r="BT23" s="539">
        <f t="shared" si="4"/>
        <v>0</v>
      </c>
      <c r="BU23" s="539">
        <f t="shared" si="4"/>
        <v>0</v>
      </c>
      <c r="BV23" s="539">
        <f t="shared" si="4"/>
        <v>0</v>
      </c>
      <c r="BW23" s="539">
        <f t="shared" si="4"/>
        <v>0</v>
      </c>
      <c r="BX23" s="539">
        <f t="shared" si="4"/>
        <v>0</v>
      </c>
      <c r="BY23" s="539">
        <f t="shared" si="4"/>
        <v>0</v>
      </c>
      <c r="BZ23" s="539">
        <f t="shared" si="4"/>
        <v>0</v>
      </c>
      <c r="CA23" s="539">
        <f t="shared" si="4"/>
        <v>0</v>
      </c>
      <c r="CB23" s="539">
        <f t="shared" si="4"/>
        <v>0</v>
      </c>
      <c r="CC23" s="539">
        <f t="shared" si="4"/>
        <v>0</v>
      </c>
      <c r="CD23" s="539">
        <f t="shared" si="4"/>
        <v>0</v>
      </c>
      <c r="CE23" s="539">
        <f t="shared" si="4"/>
        <v>0</v>
      </c>
      <c r="CF23" s="539">
        <f t="shared" si="4"/>
        <v>0</v>
      </c>
      <c r="CG23" s="539">
        <f t="shared" si="4"/>
        <v>0</v>
      </c>
      <c r="CH23" s="539">
        <f t="shared" si="4"/>
        <v>0</v>
      </c>
      <c r="CI23" s="539">
        <f t="shared" si="4"/>
        <v>0</v>
      </c>
      <c r="CJ23" s="539">
        <f t="shared" si="4"/>
        <v>0</v>
      </c>
      <c r="CK23" s="539">
        <f t="shared" si="4"/>
        <v>0</v>
      </c>
      <c r="CL23" s="539">
        <f t="shared" si="4"/>
        <v>0</v>
      </c>
      <c r="CM23" s="539">
        <f t="shared" si="4"/>
        <v>0</v>
      </c>
      <c r="CN23" s="539">
        <f t="shared" si="4"/>
        <v>0</v>
      </c>
      <c r="CO23" s="539">
        <f t="shared" si="4"/>
        <v>0</v>
      </c>
      <c r="CP23" s="539">
        <f t="shared" si="4"/>
        <v>0</v>
      </c>
      <c r="CQ23" s="539">
        <f t="shared" si="4"/>
        <v>0</v>
      </c>
      <c r="CR23" s="539">
        <f t="shared" si="4"/>
        <v>0</v>
      </c>
      <c r="CS23" s="539">
        <f t="shared" si="4"/>
        <v>0</v>
      </c>
      <c r="CT23" s="539">
        <f t="shared" si="4"/>
        <v>0</v>
      </c>
      <c r="CU23" s="539">
        <f t="shared" si="4"/>
        <v>0</v>
      </c>
      <c r="CV23" s="539">
        <f t="shared" si="4"/>
        <v>0</v>
      </c>
      <c r="CW23" s="539">
        <f t="shared" si="4"/>
        <v>0</v>
      </c>
      <c r="CX23" s="539">
        <f t="shared" si="4"/>
        <v>0</v>
      </c>
      <c r="CY23" s="539">
        <f t="shared" si="4"/>
        <v>0</v>
      </c>
      <c r="CZ23" s="539">
        <f t="shared" si="4"/>
        <v>0</v>
      </c>
      <c r="DA23" s="539">
        <f t="shared" si="4"/>
        <v>0</v>
      </c>
      <c r="DB23" s="539">
        <f t="shared" si="4"/>
        <v>0</v>
      </c>
      <c r="DC23" s="539">
        <f t="shared" si="4"/>
        <v>0</v>
      </c>
      <c r="DD23" s="539">
        <f t="shared" si="4"/>
        <v>0</v>
      </c>
      <c r="DE23" s="539">
        <f t="shared" si="4"/>
        <v>0</v>
      </c>
      <c r="DF23" s="539">
        <f t="shared" si="4"/>
        <v>0</v>
      </c>
      <c r="DG23" s="539">
        <f t="shared" si="4"/>
        <v>0</v>
      </c>
      <c r="DH23" s="539">
        <f t="shared" si="4"/>
        <v>0</v>
      </c>
      <c r="DI23" s="539">
        <f t="shared" si="4"/>
        <v>0</v>
      </c>
      <c r="DJ23" s="539">
        <f t="shared" si="4"/>
        <v>0</v>
      </c>
      <c r="DK23" s="539">
        <f t="shared" si="4"/>
        <v>0</v>
      </c>
      <c r="DL23" s="539">
        <f t="shared" si="4"/>
        <v>0</v>
      </c>
      <c r="DM23" s="539">
        <f t="shared" si="4"/>
        <v>0</v>
      </c>
      <c r="DN23" s="539">
        <f t="shared" si="4"/>
        <v>0</v>
      </c>
      <c r="DO23" s="539">
        <f t="shared" si="4"/>
        <v>0</v>
      </c>
      <c r="DP23" s="539">
        <f t="shared" si="4"/>
        <v>0</v>
      </c>
      <c r="DQ23" s="539">
        <f t="shared" si="4"/>
        <v>0</v>
      </c>
      <c r="DR23" s="539">
        <f t="shared" si="4"/>
        <v>0</v>
      </c>
      <c r="DS23" s="539">
        <f t="shared" si="4"/>
        <v>0</v>
      </c>
      <c r="DT23" s="539">
        <f t="shared" si="4"/>
        <v>0</v>
      </c>
      <c r="DU23" s="539">
        <f t="shared" si="4"/>
        <v>0</v>
      </c>
      <c r="DV23" s="539">
        <f t="shared" si="4"/>
        <v>0</v>
      </c>
      <c r="DW23" s="539">
        <f t="shared" si="4"/>
        <v>0</v>
      </c>
      <c r="DX23" s="539">
        <f t="shared" si="4"/>
        <v>0</v>
      </c>
      <c r="DY23" s="539">
        <f t="shared" si="4"/>
        <v>0</v>
      </c>
      <c r="DZ23" s="539">
        <f t="shared" si="4"/>
        <v>0</v>
      </c>
      <c r="EA23" s="539">
        <f t="shared" si="4"/>
        <v>0</v>
      </c>
      <c r="EB23" s="539">
        <f t="shared" si="4"/>
        <v>0</v>
      </c>
      <c r="EC23" s="539">
        <f t="shared" si="4"/>
        <v>0</v>
      </c>
      <c r="ED23" s="539">
        <f t="shared" si="4"/>
        <v>0</v>
      </c>
      <c r="EE23" s="539">
        <f t="shared" si="4"/>
        <v>0</v>
      </c>
      <c r="EF23" s="539">
        <f t="shared" si="4"/>
        <v>0</v>
      </c>
      <c r="EG23" s="539">
        <f t="shared" si="4"/>
        <v>0</v>
      </c>
    </row>
    <row r="24" spans="5:137" ht="12.75">
      <c r="E24" s="538" t="s">
        <v>469</v>
      </c>
      <c r="G24" s="539" t="s">
        <v>30</v>
      </c>
      <c r="H24" s="539">
        <f>SUM(J24:EG24)</f>
        <v>0</v>
      </c>
      <c r="J24" s="539">
        <f t="shared" si="5" ref="J24:EG24">I22</f>
        <v>0</v>
      </c>
      <c r="K24" s="539">
        <f t="shared" si="5"/>
        <v>0</v>
      </c>
      <c r="L24" s="539">
        <f t="shared" si="5"/>
        <v>0</v>
      </c>
      <c r="M24" s="539">
        <f t="shared" si="5"/>
        <v>0</v>
      </c>
      <c r="N24" s="539">
        <f t="shared" si="5"/>
        <v>0</v>
      </c>
      <c r="O24" s="539">
        <f t="shared" si="5"/>
        <v>0</v>
      </c>
      <c r="P24" s="539">
        <f t="shared" si="5"/>
        <v>0</v>
      </c>
      <c r="Q24" s="539">
        <f t="shared" si="5"/>
        <v>0</v>
      </c>
      <c r="R24" s="539">
        <f t="shared" si="5"/>
        <v>0</v>
      </c>
      <c r="S24" s="539">
        <f t="shared" si="5"/>
        <v>0</v>
      </c>
      <c r="T24" s="539">
        <f t="shared" si="5"/>
        <v>0</v>
      </c>
      <c r="U24" s="539">
        <f t="shared" si="5"/>
        <v>0</v>
      </c>
      <c r="V24" s="539">
        <f t="shared" si="5"/>
        <v>0</v>
      </c>
      <c r="W24" s="539">
        <f t="shared" si="5"/>
        <v>0</v>
      </c>
      <c r="X24" s="539">
        <f t="shared" si="5"/>
        <v>0</v>
      </c>
      <c r="Y24" s="539">
        <f t="shared" si="5"/>
        <v>0</v>
      </c>
      <c r="Z24" s="539">
        <f t="shared" si="5"/>
        <v>0</v>
      </c>
      <c r="AA24" s="539">
        <f t="shared" si="5"/>
        <v>0</v>
      </c>
      <c r="AB24" s="539">
        <f t="shared" si="5"/>
        <v>0</v>
      </c>
      <c r="AC24" s="539">
        <f t="shared" si="5"/>
        <v>0</v>
      </c>
      <c r="AD24" s="539">
        <f t="shared" si="5"/>
        <v>0</v>
      </c>
      <c r="AE24" s="539">
        <f t="shared" si="5"/>
        <v>0</v>
      </c>
      <c r="AF24" s="539">
        <f t="shared" si="5"/>
        <v>0</v>
      </c>
      <c r="AG24" s="539">
        <f t="shared" si="5"/>
        <v>0</v>
      </c>
      <c r="AH24" s="539">
        <f t="shared" si="5"/>
        <v>0</v>
      </c>
      <c r="AI24" s="539">
        <f t="shared" si="5"/>
        <v>0</v>
      </c>
      <c r="AJ24" s="539">
        <f t="shared" si="5"/>
        <v>0</v>
      </c>
      <c r="AK24" s="539">
        <f t="shared" si="5"/>
        <v>0</v>
      </c>
      <c r="AL24" s="539">
        <f t="shared" si="5"/>
        <v>0</v>
      </c>
      <c r="AM24" s="539">
        <f t="shared" si="5"/>
        <v>0</v>
      </c>
      <c r="AN24" s="539">
        <f t="shared" si="5"/>
        <v>0</v>
      </c>
      <c r="AO24" s="539">
        <f t="shared" si="5"/>
        <v>0</v>
      </c>
      <c r="AP24" s="539">
        <f t="shared" si="5"/>
        <v>0</v>
      </c>
      <c r="AQ24" s="539">
        <f t="shared" si="5"/>
        <v>0</v>
      </c>
      <c r="AR24" s="539">
        <f t="shared" si="5"/>
        <v>0</v>
      </c>
      <c r="AS24" s="539">
        <f t="shared" si="5"/>
        <v>0</v>
      </c>
      <c r="AT24" s="539">
        <f t="shared" si="5"/>
        <v>0</v>
      </c>
      <c r="AU24" s="539">
        <f t="shared" si="5"/>
        <v>0</v>
      </c>
      <c r="AV24" s="539">
        <f t="shared" si="5"/>
        <v>0</v>
      </c>
      <c r="AW24" s="539">
        <f t="shared" si="5"/>
        <v>0</v>
      </c>
      <c r="AX24" s="539">
        <f t="shared" si="5"/>
        <v>0</v>
      </c>
      <c r="AY24" s="539">
        <f t="shared" si="5"/>
        <v>0</v>
      </c>
      <c r="AZ24" s="539">
        <f t="shared" si="5"/>
        <v>0</v>
      </c>
      <c r="BA24" s="539">
        <f t="shared" si="5"/>
        <v>0</v>
      </c>
      <c r="BB24" s="539">
        <f t="shared" si="5"/>
        <v>0</v>
      </c>
      <c r="BC24" s="539">
        <f t="shared" si="5"/>
        <v>0</v>
      </c>
      <c r="BD24" s="539">
        <f t="shared" si="5"/>
        <v>0</v>
      </c>
      <c r="BE24" s="539">
        <f t="shared" si="5"/>
        <v>0</v>
      </c>
      <c r="BF24" s="539">
        <f t="shared" si="5"/>
        <v>0</v>
      </c>
      <c r="BG24" s="539">
        <f t="shared" si="5"/>
        <v>0</v>
      </c>
      <c r="BH24" s="539">
        <f t="shared" si="5"/>
        <v>0</v>
      </c>
      <c r="BI24" s="539">
        <f t="shared" si="5"/>
        <v>0</v>
      </c>
      <c r="BJ24" s="539">
        <f t="shared" si="5"/>
        <v>0</v>
      </c>
      <c r="BK24" s="539">
        <f t="shared" si="5"/>
        <v>0</v>
      </c>
      <c r="BL24" s="539">
        <f t="shared" si="5"/>
        <v>0</v>
      </c>
      <c r="BM24" s="539">
        <f t="shared" si="5"/>
        <v>0</v>
      </c>
      <c r="BN24" s="539">
        <f t="shared" si="5"/>
        <v>0</v>
      </c>
      <c r="BO24" s="539">
        <f t="shared" si="5"/>
        <v>0</v>
      </c>
      <c r="BP24" s="539">
        <f t="shared" si="5"/>
        <v>0</v>
      </c>
      <c r="BQ24" s="539">
        <f t="shared" si="5"/>
        <v>0</v>
      </c>
      <c r="BR24" s="539">
        <f t="shared" si="5"/>
        <v>0</v>
      </c>
      <c r="BS24" s="539">
        <f t="shared" si="5"/>
        <v>0</v>
      </c>
      <c r="BT24" s="539">
        <f t="shared" si="5"/>
        <v>0</v>
      </c>
      <c r="BU24" s="539">
        <f t="shared" si="5"/>
        <v>0</v>
      </c>
      <c r="BV24" s="539">
        <f t="shared" si="5"/>
        <v>0</v>
      </c>
      <c r="BW24" s="539">
        <f t="shared" si="5"/>
        <v>0</v>
      </c>
      <c r="BX24" s="539">
        <f t="shared" si="5"/>
        <v>0</v>
      </c>
      <c r="BY24" s="539">
        <f t="shared" si="5"/>
        <v>0</v>
      </c>
      <c r="BZ24" s="539">
        <f t="shared" si="5"/>
        <v>0</v>
      </c>
      <c r="CA24" s="539">
        <f t="shared" si="5"/>
        <v>0</v>
      </c>
      <c r="CB24" s="539">
        <f t="shared" si="5"/>
        <v>0</v>
      </c>
      <c r="CC24" s="539">
        <f t="shared" si="5"/>
        <v>0</v>
      </c>
      <c r="CD24" s="539">
        <f t="shared" si="5"/>
        <v>0</v>
      </c>
      <c r="CE24" s="539">
        <f t="shared" si="5"/>
        <v>0</v>
      </c>
      <c r="CF24" s="539">
        <f t="shared" si="5"/>
        <v>0</v>
      </c>
      <c r="CG24" s="539">
        <f t="shared" si="5"/>
        <v>0</v>
      </c>
      <c r="CH24" s="539">
        <f t="shared" si="5"/>
        <v>0</v>
      </c>
      <c r="CI24" s="539">
        <f t="shared" si="5"/>
        <v>0</v>
      </c>
      <c r="CJ24" s="539">
        <f t="shared" si="5"/>
        <v>0</v>
      </c>
      <c r="CK24" s="539">
        <f t="shared" si="5"/>
        <v>0</v>
      </c>
      <c r="CL24" s="539">
        <f t="shared" si="5"/>
        <v>0</v>
      </c>
      <c r="CM24" s="539">
        <f t="shared" si="5"/>
        <v>0</v>
      </c>
      <c r="CN24" s="539">
        <f t="shared" si="5"/>
        <v>0</v>
      </c>
      <c r="CO24" s="539">
        <f t="shared" si="5"/>
        <v>0</v>
      </c>
      <c r="CP24" s="539">
        <f t="shared" si="5"/>
        <v>0</v>
      </c>
      <c r="CQ24" s="539">
        <f t="shared" si="5"/>
        <v>0</v>
      </c>
      <c r="CR24" s="539">
        <f t="shared" si="5"/>
        <v>0</v>
      </c>
      <c r="CS24" s="539">
        <f t="shared" si="5"/>
        <v>0</v>
      </c>
      <c r="CT24" s="539">
        <f t="shared" si="5"/>
        <v>0</v>
      </c>
      <c r="CU24" s="539">
        <f t="shared" si="5"/>
        <v>0</v>
      </c>
      <c r="CV24" s="539">
        <f t="shared" si="5"/>
        <v>0</v>
      </c>
      <c r="CW24" s="539">
        <f t="shared" si="5"/>
        <v>0</v>
      </c>
      <c r="CX24" s="539">
        <f t="shared" si="5"/>
        <v>0</v>
      </c>
      <c r="CY24" s="539">
        <f t="shared" si="5"/>
        <v>0</v>
      </c>
      <c r="CZ24" s="539">
        <f t="shared" si="5"/>
        <v>0</v>
      </c>
      <c r="DA24" s="539">
        <f t="shared" si="5"/>
        <v>0</v>
      </c>
      <c r="DB24" s="539">
        <f t="shared" si="5"/>
        <v>0</v>
      </c>
      <c r="DC24" s="539">
        <f t="shared" si="5"/>
        <v>0</v>
      </c>
      <c r="DD24" s="539">
        <f t="shared" si="5"/>
        <v>0</v>
      </c>
      <c r="DE24" s="539">
        <f t="shared" si="5"/>
        <v>0</v>
      </c>
      <c r="DF24" s="539">
        <f t="shared" si="5"/>
        <v>0</v>
      </c>
      <c r="DG24" s="539">
        <f t="shared" si="5"/>
        <v>0</v>
      </c>
      <c r="DH24" s="539">
        <f t="shared" si="5"/>
        <v>0</v>
      </c>
      <c r="DI24" s="539">
        <f t="shared" si="5"/>
        <v>0</v>
      </c>
      <c r="DJ24" s="539">
        <f t="shared" si="5"/>
        <v>0</v>
      </c>
      <c r="DK24" s="539">
        <f t="shared" si="5"/>
        <v>0</v>
      </c>
      <c r="DL24" s="539">
        <f t="shared" si="5"/>
        <v>0</v>
      </c>
      <c r="DM24" s="539">
        <f t="shared" si="5"/>
        <v>0</v>
      </c>
      <c r="DN24" s="539">
        <f t="shared" si="5"/>
        <v>0</v>
      </c>
      <c r="DO24" s="539">
        <f t="shared" si="5"/>
        <v>0</v>
      </c>
      <c r="DP24" s="539">
        <f t="shared" si="5"/>
        <v>0</v>
      </c>
      <c r="DQ24" s="539">
        <f t="shared" si="5"/>
        <v>0</v>
      </c>
      <c r="DR24" s="539">
        <f t="shared" si="5"/>
        <v>0</v>
      </c>
      <c r="DS24" s="539">
        <f t="shared" si="5"/>
        <v>0</v>
      </c>
      <c r="DT24" s="539">
        <f t="shared" si="5"/>
        <v>0</v>
      </c>
      <c r="DU24" s="539">
        <f t="shared" si="5"/>
        <v>0</v>
      </c>
      <c r="DV24" s="539">
        <f t="shared" si="5"/>
        <v>0</v>
      </c>
      <c r="DW24" s="539">
        <f t="shared" si="5"/>
        <v>0</v>
      </c>
      <c r="DX24" s="539">
        <f t="shared" si="5"/>
        <v>0</v>
      </c>
      <c r="DY24" s="539">
        <f t="shared" si="5"/>
        <v>0</v>
      </c>
      <c r="DZ24" s="539">
        <f t="shared" si="5"/>
        <v>0</v>
      </c>
      <c r="EA24" s="539">
        <f t="shared" si="5"/>
        <v>0</v>
      </c>
      <c r="EB24" s="539">
        <f t="shared" si="5"/>
        <v>0</v>
      </c>
      <c r="EC24" s="539">
        <f t="shared" si="5"/>
        <v>0</v>
      </c>
      <c r="ED24" s="539">
        <f t="shared" si="5"/>
        <v>0</v>
      </c>
      <c r="EE24" s="539">
        <f t="shared" si="5"/>
        <v>0</v>
      </c>
      <c r="EF24" s="539">
        <f t="shared" si="5"/>
        <v>0</v>
      </c>
      <c r="EG24" s="539">
        <f t="shared" si="5"/>
        <v>0</v>
      </c>
    </row>
    <row r="26" spans="5:7" ht="12.75">
      <c r="E26" s="535" t="str">
        <f>InpC!E$110</f>
        <v>Shareholder loan - annual coupon</v>
      </c>
      <c r="F26" s="542">
        <f>InpC!F$110</f>
        <v>0.070000000000000007</v>
      </c>
      <c r="G26" s="542" t="str">
        <f>InpC!G$110</f>
        <v>% p.a.</v>
      </c>
    </row>
    <row r="27" spans="5:7" ht="12.75">
      <c r="E27" s="535" t="str">
        <f>InpC!E$127</f>
        <v>Days per year (interest day count)</v>
      </c>
      <c r="F27" s="537">
        <f>InpC!F$127</f>
        <v>365</v>
      </c>
      <c r="G27" s="537" t="str">
        <f>InpC!G$127</f>
        <v>days</v>
      </c>
    </row>
    <row r="28" spans="5:137" ht="12.75">
      <c r="E28" s="535" t="str">
        <f>Time!E$163</f>
        <v>Days in period</v>
      </c>
      <c r="G28" s="537" t="str">
        <f>Time!G$163</f>
        <v>days</v>
      </c>
      <c r="H28" s="537">
        <f>Time!H$163</f>
        <v>10227</v>
      </c>
      <c r="J28" s="537">
        <f>Time!J$163</f>
        <v>31</v>
      </c>
      <c r="K28" s="537">
        <f>Time!K$163</f>
        <v>28</v>
      </c>
      <c r="L28" s="537">
        <f>Time!L$163</f>
        <v>31</v>
      </c>
      <c r="M28" s="537">
        <f>Time!M$163</f>
        <v>30</v>
      </c>
      <c r="N28" s="537">
        <f>Time!N$163</f>
        <v>31</v>
      </c>
      <c r="O28" s="537">
        <f>Time!O$163</f>
        <v>30</v>
      </c>
      <c r="P28" s="537">
        <f>Time!P$163</f>
        <v>31</v>
      </c>
      <c r="Q28" s="537">
        <f>Time!Q$163</f>
        <v>31</v>
      </c>
      <c r="R28" s="537">
        <f>Time!R$163</f>
        <v>30</v>
      </c>
      <c r="S28" s="537">
        <f>Time!S$163</f>
        <v>31</v>
      </c>
      <c r="T28" s="537">
        <f>Time!T$163</f>
        <v>30</v>
      </c>
      <c r="U28" s="537">
        <f>Time!U$163</f>
        <v>31</v>
      </c>
      <c r="V28" s="537">
        <f>Time!V$163</f>
        <v>31</v>
      </c>
      <c r="W28" s="537">
        <f>Time!W$163</f>
        <v>29</v>
      </c>
      <c r="X28" s="537">
        <f>Time!X$163</f>
        <v>31</v>
      </c>
      <c r="Y28" s="537">
        <f>Time!Y$163</f>
        <v>30</v>
      </c>
      <c r="Z28" s="537">
        <f>Time!Z$163</f>
        <v>31</v>
      </c>
      <c r="AA28" s="537">
        <f>Time!AA$163</f>
        <v>30</v>
      </c>
      <c r="AB28" s="537">
        <f>Time!AB$163</f>
        <v>31</v>
      </c>
      <c r="AC28" s="537">
        <f>Time!AC$163</f>
        <v>31</v>
      </c>
      <c r="AD28" s="537">
        <f>Time!AD$163</f>
        <v>30</v>
      </c>
      <c r="AE28" s="537">
        <f>Time!AE$163</f>
        <v>31</v>
      </c>
      <c r="AF28" s="537">
        <f>Time!AF$163</f>
        <v>30</v>
      </c>
      <c r="AG28" s="537">
        <f>Time!AG$163</f>
        <v>31</v>
      </c>
      <c r="AH28" s="537">
        <f>Time!AH$163</f>
        <v>90</v>
      </c>
      <c r="AI28" s="537">
        <f>Time!AI$163</f>
        <v>91</v>
      </c>
      <c r="AJ28" s="537">
        <f>Time!AJ$163</f>
        <v>92</v>
      </c>
      <c r="AK28" s="537">
        <f>Time!AK$163</f>
        <v>92</v>
      </c>
      <c r="AL28" s="537">
        <f>Time!AL$163</f>
        <v>90</v>
      </c>
      <c r="AM28" s="537">
        <f>Time!AM$163</f>
        <v>91</v>
      </c>
      <c r="AN28" s="537">
        <f>Time!AN$163</f>
        <v>92</v>
      </c>
      <c r="AO28" s="537">
        <f>Time!AO$163</f>
        <v>92</v>
      </c>
      <c r="AP28" s="537">
        <f>Time!AP$163</f>
        <v>90</v>
      </c>
      <c r="AQ28" s="537">
        <f>Time!AQ$163</f>
        <v>91</v>
      </c>
      <c r="AR28" s="537">
        <f>Time!AR$163</f>
        <v>92</v>
      </c>
      <c r="AS28" s="537">
        <f>Time!AS$163</f>
        <v>92</v>
      </c>
      <c r="AT28" s="537">
        <f>Time!AT$163</f>
        <v>91</v>
      </c>
      <c r="AU28" s="537">
        <f>Time!AU$163</f>
        <v>91</v>
      </c>
      <c r="AV28" s="537">
        <f>Time!AV$163</f>
        <v>92</v>
      </c>
      <c r="AW28" s="537">
        <f>Time!AW$163</f>
        <v>92</v>
      </c>
      <c r="AX28" s="537">
        <f>Time!AX$163</f>
        <v>90</v>
      </c>
      <c r="AY28" s="537">
        <f>Time!AY$163</f>
        <v>91</v>
      </c>
      <c r="AZ28" s="537">
        <f>Time!AZ$163</f>
        <v>92</v>
      </c>
      <c r="BA28" s="537">
        <f>Time!BA$163</f>
        <v>92</v>
      </c>
      <c r="BB28" s="537">
        <f>Time!BB$163</f>
        <v>90</v>
      </c>
      <c r="BC28" s="537">
        <f>Time!BC$163</f>
        <v>91</v>
      </c>
      <c r="BD28" s="537">
        <f>Time!BD$163</f>
        <v>92</v>
      </c>
      <c r="BE28" s="537">
        <f>Time!BE$163</f>
        <v>92</v>
      </c>
      <c r="BF28" s="537">
        <f>Time!BF$163</f>
        <v>90</v>
      </c>
      <c r="BG28" s="537">
        <f>Time!BG$163</f>
        <v>91</v>
      </c>
      <c r="BH28" s="537">
        <f>Time!BH$163</f>
        <v>92</v>
      </c>
      <c r="BI28" s="537">
        <f>Time!BI$163</f>
        <v>92</v>
      </c>
      <c r="BJ28" s="537">
        <f>Time!BJ$163</f>
        <v>91</v>
      </c>
      <c r="BK28" s="537">
        <f>Time!BK$163</f>
        <v>91</v>
      </c>
      <c r="BL28" s="537">
        <f>Time!BL$163</f>
        <v>92</v>
      </c>
      <c r="BM28" s="537">
        <f>Time!BM$163</f>
        <v>92</v>
      </c>
      <c r="BN28" s="537">
        <f>Time!BN$163</f>
        <v>90</v>
      </c>
      <c r="BO28" s="537">
        <f>Time!BO$163</f>
        <v>91</v>
      </c>
      <c r="BP28" s="537">
        <f>Time!BP$163</f>
        <v>92</v>
      </c>
      <c r="BQ28" s="537">
        <f>Time!BQ$163</f>
        <v>92</v>
      </c>
      <c r="BR28" s="537">
        <f>Time!BR$163</f>
        <v>90</v>
      </c>
      <c r="BS28" s="537">
        <f>Time!BS$163</f>
        <v>91</v>
      </c>
      <c r="BT28" s="537">
        <f>Time!BT$163</f>
        <v>92</v>
      </c>
      <c r="BU28" s="537">
        <f>Time!BU$163</f>
        <v>92</v>
      </c>
      <c r="BV28" s="537">
        <f>Time!BV$163</f>
        <v>90</v>
      </c>
      <c r="BW28" s="537">
        <f>Time!BW$163</f>
        <v>91</v>
      </c>
      <c r="BX28" s="537">
        <f>Time!BX$163</f>
        <v>92</v>
      </c>
      <c r="BY28" s="537">
        <f>Time!BY$163</f>
        <v>92</v>
      </c>
      <c r="BZ28" s="537">
        <f>Time!BZ$163</f>
        <v>91</v>
      </c>
      <c r="CA28" s="537">
        <f>Time!CA$163</f>
        <v>91</v>
      </c>
      <c r="CB28" s="537">
        <f>Time!CB$163</f>
        <v>92</v>
      </c>
      <c r="CC28" s="537">
        <f>Time!CC$163</f>
        <v>92</v>
      </c>
      <c r="CD28" s="537">
        <f>Time!CD$163</f>
        <v>90</v>
      </c>
      <c r="CE28" s="537">
        <f>Time!CE$163</f>
        <v>91</v>
      </c>
      <c r="CF28" s="537">
        <f>Time!CF$163</f>
        <v>92</v>
      </c>
      <c r="CG28" s="537">
        <f>Time!CG$163</f>
        <v>92</v>
      </c>
      <c r="CH28" s="537">
        <f>Time!CH$163</f>
        <v>90</v>
      </c>
      <c r="CI28" s="537">
        <f>Time!CI$163</f>
        <v>91</v>
      </c>
      <c r="CJ28" s="537">
        <f>Time!CJ$163</f>
        <v>92</v>
      </c>
      <c r="CK28" s="537">
        <f>Time!CK$163</f>
        <v>92</v>
      </c>
      <c r="CL28" s="537">
        <f>Time!CL$163</f>
        <v>90</v>
      </c>
      <c r="CM28" s="537">
        <f>Time!CM$163</f>
        <v>91</v>
      </c>
      <c r="CN28" s="537">
        <f>Time!CN$163</f>
        <v>92</v>
      </c>
      <c r="CO28" s="537">
        <f>Time!CO$163</f>
        <v>92</v>
      </c>
      <c r="CP28" s="537">
        <f>Time!CP$163</f>
        <v>91</v>
      </c>
      <c r="CQ28" s="537">
        <f>Time!CQ$163</f>
        <v>91</v>
      </c>
      <c r="CR28" s="537">
        <f>Time!CR$163</f>
        <v>92</v>
      </c>
      <c r="CS28" s="537">
        <f>Time!CS$163</f>
        <v>92</v>
      </c>
      <c r="CT28" s="537">
        <f>Time!CT$163</f>
        <v>90</v>
      </c>
      <c r="CU28" s="537">
        <f>Time!CU$163</f>
        <v>91</v>
      </c>
      <c r="CV28" s="537">
        <f>Time!CV$163</f>
        <v>92</v>
      </c>
      <c r="CW28" s="537">
        <f>Time!CW$163</f>
        <v>92</v>
      </c>
      <c r="CX28" s="537">
        <f>Time!CX$163</f>
        <v>90</v>
      </c>
      <c r="CY28" s="537">
        <f>Time!CY$163</f>
        <v>91</v>
      </c>
      <c r="CZ28" s="537">
        <f>Time!CZ$163</f>
        <v>92</v>
      </c>
      <c r="DA28" s="537">
        <f>Time!DA$163</f>
        <v>92</v>
      </c>
      <c r="DB28" s="537">
        <f>Time!DB$163</f>
        <v>90</v>
      </c>
      <c r="DC28" s="537">
        <f>Time!DC$163</f>
        <v>91</v>
      </c>
      <c r="DD28" s="537">
        <f>Time!DD$163</f>
        <v>92</v>
      </c>
      <c r="DE28" s="537">
        <f>Time!DE$163</f>
        <v>92</v>
      </c>
      <c r="DF28" s="537">
        <f>Time!DF$163</f>
        <v>91</v>
      </c>
      <c r="DG28" s="537">
        <f>Time!DG$163</f>
        <v>91</v>
      </c>
      <c r="DH28" s="537">
        <f>Time!DH$163</f>
        <v>92</v>
      </c>
      <c r="DI28" s="537">
        <f>Time!DI$163</f>
        <v>92</v>
      </c>
      <c r="DJ28" s="537">
        <f>Time!DJ$163</f>
        <v>90</v>
      </c>
      <c r="DK28" s="537">
        <f>Time!DK$163</f>
        <v>91</v>
      </c>
      <c r="DL28" s="537">
        <f>Time!DL$163</f>
        <v>92</v>
      </c>
      <c r="DM28" s="537">
        <f>Time!DM$163</f>
        <v>92</v>
      </c>
      <c r="DN28" s="537">
        <f>Time!DN$163</f>
        <v>90</v>
      </c>
      <c r="DO28" s="537">
        <f>Time!DO$163</f>
        <v>91</v>
      </c>
      <c r="DP28" s="537">
        <f>Time!DP$163</f>
        <v>92</v>
      </c>
      <c r="DQ28" s="537">
        <f>Time!DQ$163</f>
        <v>92</v>
      </c>
      <c r="DR28" s="537">
        <f>Time!DR$163</f>
        <v>90</v>
      </c>
      <c r="DS28" s="537">
        <f>Time!DS$163</f>
        <v>91</v>
      </c>
      <c r="DT28" s="537">
        <f>Time!DT$163</f>
        <v>92</v>
      </c>
      <c r="DU28" s="537">
        <f>Time!DU$163</f>
        <v>92</v>
      </c>
      <c r="DV28" s="537">
        <f>Time!DV$163</f>
        <v>91</v>
      </c>
      <c r="DW28" s="537">
        <f>Time!DW$163</f>
        <v>91</v>
      </c>
      <c r="DX28" s="537">
        <f>Time!DX$163</f>
        <v>92</v>
      </c>
      <c r="DY28" s="537">
        <f>Time!DY$163</f>
        <v>92</v>
      </c>
      <c r="DZ28" s="537">
        <f>Time!DZ$163</f>
        <v>90</v>
      </c>
      <c r="EA28" s="537">
        <f>Time!EA$163</f>
        <v>91</v>
      </c>
      <c r="EB28" s="537">
        <f>Time!EB$163</f>
        <v>92</v>
      </c>
      <c r="EC28" s="537">
        <f>Time!EC$163</f>
        <v>92</v>
      </c>
      <c r="ED28" s="537">
        <f>Time!ED$163</f>
        <v>90</v>
      </c>
      <c r="EE28" s="537">
        <f>Time!EE$163</f>
        <v>91</v>
      </c>
      <c r="EF28" s="537">
        <f>Time!EF$163</f>
        <v>92</v>
      </c>
      <c r="EG28" s="537">
        <f>Time!EG$163</f>
        <v>92</v>
      </c>
    </row>
    <row r="29" spans="5:137" ht="12.75">
      <c r="E29" s="538" t="str">
        <f>E$23</f>
        <v>Shareholder loan - opening balance</v>
      </c>
      <c r="G29" s="539" t="str">
        <f>G$23</f>
        <v>EUR 000s</v>
      </c>
      <c r="H29" s="539">
        <f>H$23</f>
        <v>1982209.3275418179</v>
      </c>
      <c r="J29" s="539">
        <f t="shared" si="6" ref="J29:EG29">J$23</f>
        <v>0</v>
      </c>
      <c r="K29" s="539">
        <f t="shared" si="6"/>
        <v>0</v>
      </c>
      <c r="L29" s="539">
        <f t="shared" si="6"/>
        <v>0</v>
      </c>
      <c r="M29" s="539">
        <f t="shared" si="6"/>
        <v>9055.4397749326417</v>
      </c>
      <c r="N29" s="539">
        <f t="shared" si="6"/>
        <v>19828.091695005383</v>
      </c>
      <c r="O29" s="539">
        <f t="shared" si="6"/>
        <v>30939.160758532307</v>
      </c>
      <c r="P29" s="539">
        <f t="shared" si="6"/>
        <v>41851.875073305215</v>
      </c>
      <c r="Q29" s="539">
        <f t="shared" si="6"/>
        <v>53108.507977738744</v>
      </c>
      <c r="R29" s="539">
        <f t="shared" si="6"/>
        <v>56550.332750408648</v>
      </c>
      <c r="S29" s="539">
        <f t="shared" si="6"/>
        <v>56875.690829246618</v>
      </c>
      <c r="T29" s="539">
        <f t="shared" si="6"/>
        <v>57213.828498012277</v>
      </c>
      <c r="U29" s="539">
        <f t="shared" si="6"/>
        <v>57543.003949644677</v>
      </c>
      <c r="V29" s="539">
        <f t="shared" si="6"/>
        <v>57885.108932030234</v>
      </c>
      <c r="W29" s="539">
        <f t="shared" si="6"/>
        <v>58229.247798831617</v>
      </c>
      <c r="X29" s="539">
        <f t="shared" si="6"/>
        <v>58553.098135904569</v>
      </c>
      <c r="Y29" s="539">
        <f t="shared" si="6"/>
        <v>58901.208335781041</v>
      </c>
      <c r="Z29" s="539">
        <f t="shared" si="6"/>
        <v>59240.092000178687</v>
      </c>
      <c r="AA29" s="539">
        <f t="shared" si="6"/>
        <v>59592.286519741392</v>
      </c>
      <c r="AB29" s="539">
        <f t="shared" si="6"/>
        <v>59935.146250402919</v>
      </c>
      <c r="AC29" s="539">
        <f t="shared" si="6"/>
        <v>60291.473010302572</v>
      </c>
      <c r="AD29" s="539">
        <f t="shared" si="6"/>
        <v>60649.918206007656</v>
      </c>
      <c r="AE29" s="539">
        <f t="shared" si="6"/>
        <v>60998.862940891537</v>
      </c>
      <c r="AF29" s="539">
        <f t="shared" si="6"/>
        <v>61361.513715088069</v>
      </c>
      <c r="AG29" s="539">
        <f t="shared" si="6"/>
        <v>61714.552561120079</v>
      </c>
      <c r="AH29" s="539">
        <f t="shared" si="6"/>
        <v>62081.458257168379</v>
      </c>
      <c r="AI29" s="539">
        <f t="shared" si="6"/>
        <v>61769.077871355606</v>
      </c>
      <c r="AJ29" s="539">
        <f t="shared" si="6"/>
        <v>59557.542866753516</v>
      </c>
      <c r="AK29" s="539">
        <f t="shared" si="6"/>
        <v>57362.985839563422</v>
      </c>
      <c r="AL29" s="539">
        <f t="shared" si="6"/>
        <v>55180.048033191357</v>
      </c>
      <c r="AM29" s="539">
        <f t="shared" si="6"/>
        <v>52817.815182127983</v>
      </c>
      <c r="AN29" s="539">
        <f t="shared" si="6"/>
        <v>50326.084203872269</v>
      </c>
      <c r="AO29" s="539">
        <f t="shared" si="6"/>
        <v>47845.21441609368</v>
      </c>
      <c r="AP29" s="539">
        <f t="shared" si="6"/>
        <v>45371.558411777805</v>
      </c>
      <c r="AQ29" s="539">
        <f t="shared" si="6"/>
        <v>42716.227277735845</v>
      </c>
      <c r="AR29" s="539">
        <f t="shared" si="6"/>
        <v>39922.967795742785</v>
      </c>
      <c r="AS29" s="539">
        <f t="shared" si="6"/>
        <v>37144.669484579557</v>
      </c>
      <c r="AT29" s="539">
        <f t="shared" si="6"/>
        <v>34347.398057166916</v>
      </c>
      <c r="AU29" s="539">
        <f t="shared" si="6"/>
        <v>33106.60538227643</v>
      </c>
      <c r="AV29" s="539">
        <f t="shared" si="6"/>
        <v>31777.319624505373</v>
      </c>
      <c r="AW29" s="539">
        <f t="shared" si="6"/>
        <v>30458.129918926981</v>
      </c>
      <c r="AX29" s="539">
        <f t="shared" si="6"/>
        <v>29172.297305380191</v>
      </c>
      <c r="AY29" s="539">
        <f t="shared" si="6"/>
        <v>25985.898446283911</v>
      </c>
      <c r="AZ29" s="539">
        <f t="shared" si="6"/>
        <v>22643.916663214375</v>
      </c>
      <c r="BA29" s="539">
        <f t="shared" si="6"/>
        <v>19233.170484658836</v>
      </c>
      <c r="BB29" s="539">
        <f t="shared" si="6"/>
        <v>15810.762049058863</v>
      </c>
      <c r="BC29" s="539">
        <f t="shared" si="6"/>
        <v>12307.920256124464</v>
      </c>
      <c r="BD29" s="539">
        <f t="shared" si="6"/>
        <v>8651.7634543701279</v>
      </c>
      <c r="BE29" s="539">
        <f t="shared" si="6"/>
        <v>4984.8250078702995</v>
      </c>
      <c r="BF29" s="539">
        <f t="shared" si="6"/>
        <v>1315.2315389118025</v>
      </c>
      <c r="BG29" s="539">
        <f t="shared" si="6"/>
        <v>0</v>
      </c>
      <c r="BH29" s="539">
        <f t="shared" si="6"/>
        <v>0</v>
      </c>
      <c r="BI29" s="539">
        <f t="shared" si="6"/>
        <v>0</v>
      </c>
      <c r="BJ29" s="539">
        <f t="shared" si="6"/>
        <v>0</v>
      </c>
      <c r="BK29" s="539">
        <f t="shared" si="6"/>
        <v>0</v>
      </c>
      <c r="BL29" s="539">
        <f t="shared" si="6"/>
        <v>0</v>
      </c>
      <c r="BM29" s="539">
        <f t="shared" si="6"/>
        <v>0</v>
      </c>
      <c r="BN29" s="539">
        <f t="shared" si="6"/>
        <v>0</v>
      </c>
      <c r="BO29" s="539">
        <f t="shared" si="6"/>
        <v>0</v>
      </c>
      <c r="BP29" s="539">
        <f t="shared" si="6"/>
        <v>0</v>
      </c>
      <c r="BQ29" s="539">
        <f t="shared" si="6"/>
        <v>0</v>
      </c>
      <c r="BR29" s="539">
        <f t="shared" si="6"/>
        <v>0</v>
      </c>
      <c r="BS29" s="539">
        <f t="shared" si="6"/>
        <v>0</v>
      </c>
      <c r="BT29" s="539">
        <f t="shared" si="6"/>
        <v>0</v>
      </c>
      <c r="BU29" s="539">
        <f t="shared" si="6"/>
        <v>0</v>
      </c>
      <c r="BV29" s="539">
        <f t="shared" si="6"/>
        <v>0</v>
      </c>
      <c r="BW29" s="539">
        <f t="shared" si="6"/>
        <v>0</v>
      </c>
      <c r="BX29" s="539">
        <f t="shared" si="6"/>
        <v>0</v>
      </c>
      <c r="BY29" s="539">
        <f t="shared" si="6"/>
        <v>0</v>
      </c>
      <c r="BZ29" s="539">
        <f t="shared" si="6"/>
        <v>0</v>
      </c>
      <c r="CA29" s="539">
        <f t="shared" si="6"/>
        <v>0</v>
      </c>
      <c r="CB29" s="539">
        <f t="shared" si="6"/>
        <v>0</v>
      </c>
      <c r="CC29" s="539">
        <f t="shared" si="6"/>
        <v>0</v>
      </c>
      <c r="CD29" s="539">
        <f t="shared" si="6"/>
        <v>0</v>
      </c>
      <c r="CE29" s="539">
        <f t="shared" si="6"/>
        <v>0</v>
      </c>
      <c r="CF29" s="539">
        <f t="shared" si="6"/>
        <v>0</v>
      </c>
      <c r="CG29" s="539">
        <f t="shared" si="6"/>
        <v>0</v>
      </c>
      <c r="CH29" s="539">
        <f t="shared" si="6"/>
        <v>0</v>
      </c>
      <c r="CI29" s="539">
        <f t="shared" si="6"/>
        <v>0</v>
      </c>
      <c r="CJ29" s="539">
        <f t="shared" si="6"/>
        <v>0</v>
      </c>
      <c r="CK29" s="539">
        <f t="shared" si="6"/>
        <v>0</v>
      </c>
      <c r="CL29" s="539">
        <f t="shared" si="6"/>
        <v>0</v>
      </c>
      <c r="CM29" s="539">
        <f t="shared" si="6"/>
        <v>0</v>
      </c>
      <c r="CN29" s="539">
        <f t="shared" si="6"/>
        <v>0</v>
      </c>
      <c r="CO29" s="539">
        <f t="shared" si="6"/>
        <v>0</v>
      </c>
      <c r="CP29" s="539">
        <f t="shared" si="6"/>
        <v>0</v>
      </c>
      <c r="CQ29" s="539">
        <f t="shared" si="6"/>
        <v>0</v>
      </c>
      <c r="CR29" s="539">
        <f t="shared" si="6"/>
        <v>0</v>
      </c>
      <c r="CS29" s="539">
        <f t="shared" si="6"/>
        <v>0</v>
      </c>
      <c r="CT29" s="539">
        <f t="shared" si="6"/>
        <v>0</v>
      </c>
      <c r="CU29" s="539">
        <f t="shared" si="6"/>
        <v>0</v>
      </c>
      <c r="CV29" s="539">
        <f t="shared" si="6"/>
        <v>0</v>
      </c>
      <c r="CW29" s="539">
        <f t="shared" si="6"/>
        <v>0</v>
      </c>
      <c r="CX29" s="539">
        <f t="shared" si="6"/>
        <v>0</v>
      </c>
      <c r="CY29" s="539">
        <f t="shared" si="6"/>
        <v>0</v>
      </c>
      <c r="CZ29" s="539">
        <f t="shared" si="6"/>
        <v>0</v>
      </c>
      <c r="DA29" s="539">
        <f t="shared" si="6"/>
        <v>0</v>
      </c>
      <c r="DB29" s="539">
        <f t="shared" si="6"/>
        <v>0</v>
      </c>
      <c r="DC29" s="539">
        <f t="shared" si="6"/>
        <v>0</v>
      </c>
      <c r="DD29" s="539">
        <f t="shared" si="6"/>
        <v>0</v>
      </c>
      <c r="DE29" s="539">
        <f t="shared" si="6"/>
        <v>0</v>
      </c>
      <c r="DF29" s="539">
        <f t="shared" si="6"/>
        <v>0</v>
      </c>
      <c r="DG29" s="539">
        <f t="shared" si="6"/>
        <v>0</v>
      </c>
      <c r="DH29" s="539">
        <f t="shared" si="6"/>
        <v>0</v>
      </c>
      <c r="DI29" s="539">
        <f t="shared" si="6"/>
        <v>0</v>
      </c>
      <c r="DJ29" s="539">
        <f t="shared" si="6"/>
        <v>0</v>
      </c>
      <c r="DK29" s="539">
        <f t="shared" si="6"/>
        <v>0</v>
      </c>
      <c r="DL29" s="539">
        <f t="shared" si="6"/>
        <v>0</v>
      </c>
      <c r="DM29" s="539">
        <f t="shared" si="6"/>
        <v>0</v>
      </c>
      <c r="DN29" s="539">
        <f t="shared" si="6"/>
        <v>0</v>
      </c>
      <c r="DO29" s="539">
        <f t="shared" si="6"/>
        <v>0</v>
      </c>
      <c r="DP29" s="539">
        <f t="shared" si="6"/>
        <v>0</v>
      </c>
      <c r="DQ29" s="539">
        <f t="shared" si="6"/>
        <v>0</v>
      </c>
      <c r="DR29" s="539">
        <f t="shared" si="6"/>
        <v>0</v>
      </c>
      <c r="DS29" s="539">
        <f t="shared" si="6"/>
        <v>0</v>
      </c>
      <c r="DT29" s="539">
        <f t="shared" si="6"/>
        <v>0</v>
      </c>
      <c r="DU29" s="539">
        <f t="shared" si="6"/>
        <v>0</v>
      </c>
      <c r="DV29" s="539">
        <f t="shared" si="6"/>
        <v>0</v>
      </c>
      <c r="DW29" s="539">
        <f t="shared" si="6"/>
        <v>0</v>
      </c>
      <c r="DX29" s="539">
        <f t="shared" si="6"/>
        <v>0</v>
      </c>
      <c r="DY29" s="539">
        <f t="shared" si="6"/>
        <v>0</v>
      </c>
      <c r="DZ29" s="539">
        <f t="shared" si="6"/>
        <v>0</v>
      </c>
      <c r="EA29" s="539">
        <f t="shared" si="6"/>
        <v>0</v>
      </c>
      <c r="EB29" s="539">
        <f t="shared" si="6"/>
        <v>0</v>
      </c>
      <c r="EC29" s="539">
        <f t="shared" si="6"/>
        <v>0</v>
      </c>
      <c r="ED29" s="539">
        <f t="shared" si="6"/>
        <v>0</v>
      </c>
      <c r="EE29" s="539">
        <f t="shared" si="6"/>
        <v>0</v>
      </c>
      <c r="EF29" s="539">
        <f t="shared" si="6"/>
        <v>0</v>
      </c>
      <c r="EG29" s="539">
        <f t="shared" si="6"/>
        <v>0</v>
      </c>
    </row>
    <row r="30" spans="5:137" ht="12.75">
      <c r="E30" s="538" t="str">
        <f>E$24</f>
        <v>Shareholder loan - opening unpaid interest</v>
      </c>
      <c r="G30" s="539" t="str">
        <f>G$24</f>
        <v>EUR 000s</v>
      </c>
      <c r="H30" s="539">
        <f>H$24</f>
        <v>0</v>
      </c>
      <c r="J30" s="539">
        <f t="shared" si="7" ref="J30:EG30">J$24</f>
        <v>0</v>
      </c>
      <c r="K30" s="539">
        <f t="shared" si="7"/>
        <v>0</v>
      </c>
      <c r="L30" s="539">
        <f t="shared" si="7"/>
        <v>0</v>
      </c>
      <c r="M30" s="539">
        <f t="shared" si="7"/>
        <v>0</v>
      </c>
      <c r="N30" s="539">
        <f t="shared" si="7"/>
        <v>0</v>
      </c>
      <c r="O30" s="539">
        <f t="shared" si="7"/>
        <v>0</v>
      </c>
      <c r="P30" s="539">
        <f t="shared" si="7"/>
        <v>0</v>
      </c>
      <c r="Q30" s="539">
        <f t="shared" si="7"/>
        <v>0</v>
      </c>
      <c r="R30" s="539">
        <f t="shared" si="7"/>
        <v>0</v>
      </c>
      <c r="S30" s="539">
        <f t="shared" si="7"/>
        <v>0</v>
      </c>
      <c r="T30" s="539">
        <f t="shared" si="7"/>
        <v>0</v>
      </c>
      <c r="U30" s="539">
        <f t="shared" si="7"/>
        <v>0</v>
      </c>
      <c r="V30" s="539">
        <f t="shared" si="7"/>
        <v>0</v>
      </c>
      <c r="W30" s="539">
        <f t="shared" si="7"/>
        <v>0</v>
      </c>
      <c r="X30" s="539">
        <f t="shared" si="7"/>
        <v>0</v>
      </c>
      <c r="Y30" s="539">
        <f t="shared" si="7"/>
        <v>0</v>
      </c>
      <c r="Z30" s="539">
        <f t="shared" si="7"/>
        <v>0</v>
      </c>
      <c r="AA30" s="539">
        <f t="shared" si="7"/>
        <v>0</v>
      </c>
      <c r="AB30" s="539">
        <f t="shared" si="7"/>
        <v>0</v>
      </c>
      <c r="AC30" s="539">
        <f t="shared" si="7"/>
        <v>0</v>
      </c>
      <c r="AD30" s="539">
        <f t="shared" si="7"/>
        <v>0</v>
      </c>
      <c r="AE30" s="539">
        <f t="shared" si="7"/>
        <v>0</v>
      </c>
      <c r="AF30" s="539">
        <f t="shared" si="7"/>
        <v>0</v>
      </c>
      <c r="AG30" s="539">
        <f t="shared" si="7"/>
        <v>0</v>
      </c>
      <c r="AH30" s="539">
        <f t="shared" si="7"/>
        <v>0</v>
      </c>
      <c r="AI30" s="539">
        <f t="shared" si="7"/>
        <v>0</v>
      </c>
      <c r="AJ30" s="539">
        <f t="shared" si="7"/>
        <v>0</v>
      </c>
      <c r="AK30" s="539">
        <f t="shared" si="7"/>
        <v>0</v>
      </c>
      <c r="AL30" s="539">
        <f t="shared" si="7"/>
        <v>0</v>
      </c>
      <c r="AM30" s="539">
        <f t="shared" si="7"/>
        <v>0</v>
      </c>
      <c r="AN30" s="539">
        <f t="shared" si="7"/>
        <v>0</v>
      </c>
      <c r="AO30" s="539">
        <f t="shared" si="7"/>
        <v>0</v>
      </c>
      <c r="AP30" s="539">
        <f t="shared" si="7"/>
        <v>0</v>
      </c>
      <c r="AQ30" s="539">
        <f t="shared" si="7"/>
        <v>0</v>
      </c>
      <c r="AR30" s="539">
        <f t="shared" si="7"/>
        <v>0</v>
      </c>
      <c r="AS30" s="539">
        <f t="shared" si="7"/>
        <v>0</v>
      </c>
      <c r="AT30" s="539">
        <f t="shared" si="7"/>
        <v>0</v>
      </c>
      <c r="AU30" s="539">
        <f t="shared" si="7"/>
        <v>0</v>
      </c>
      <c r="AV30" s="539">
        <f t="shared" si="7"/>
        <v>0</v>
      </c>
      <c r="AW30" s="539">
        <f t="shared" si="7"/>
        <v>0</v>
      </c>
      <c r="AX30" s="539">
        <f t="shared" si="7"/>
        <v>0</v>
      </c>
      <c r="AY30" s="539">
        <f t="shared" si="7"/>
        <v>0</v>
      </c>
      <c r="AZ30" s="539">
        <f t="shared" si="7"/>
        <v>0</v>
      </c>
      <c r="BA30" s="539">
        <f t="shared" si="7"/>
        <v>0</v>
      </c>
      <c r="BB30" s="539">
        <f t="shared" si="7"/>
        <v>0</v>
      </c>
      <c r="BC30" s="539">
        <f t="shared" si="7"/>
        <v>0</v>
      </c>
      <c r="BD30" s="539">
        <f t="shared" si="7"/>
        <v>0</v>
      </c>
      <c r="BE30" s="539">
        <f t="shared" si="7"/>
        <v>0</v>
      </c>
      <c r="BF30" s="539">
        <f t="shared" si="7"/>
        <v>0</v>
      </c>
      <c r="BG30" s="539">
        <f t="shared" si="7"/>
        <v>0</v>
      </c>
      <c r="BH30" s="539">
        <f t="shared" si="7"/>
        <v>0</v>
      </c>
      <c r="BI30" s="539">
        <f t="shared" si="7"/>
        <v>0</v>
      </c>
      <c r="BJ30" s="539">
        <f t="shared" si="7"/>
        <v>0</v>
      </c>
      <c r="BK30" s="539">
        <f t="shared" si="7"/>
        <v>0</v>
      </c>
      <c r="BL30" s="539">
        <f t="shared" si="7"/>
        <v>0</v>
      </c>
      <c r="BM30" s="539">
        <f t="shared" si="7"/>
        <v>0</v>
      </c>
      <c r="BN30" s="539">
        <f t="shared" si="7"/>
        <v>0</v>
      </c>
      <c r="BO30" s="539">
        <f t="shared" si="7"/>
        <v>0</v>
      </c>
      <c r="BP30" s="539">
        <f t="shared" si="7"/>
        <v>0</v>
      </c>
      <c r="BQ30" s="539">
        <f t="shared" si="7"/>
        <v>0</v>
      </c>
      <c r="BR30" s="539">
        <f t="shared" si="7"/>
        <v>0</v>
      </c>
      <c r="BS30" s="539">
        <f t="shared" si="7"/>
        <v>0</v>
      </c>
      <c r="BT30" s="539">
        <f t="shared" si="7"/>
        <v>0</v>
      </c>
      <c r="BU30" s="539">
        <f t="shared" si="7"/>
        <v>0</v>
      </c>
      <c r="BV30" s="539">
        <f t="shared" si="7"/>
        <v>0</v>
      </c>
      <c r="BW30" s="539">
        <f t="shared" si="7"/>
        <v>0</v>
      </c>
      <c r="BX30" s="539">
        <f t="shared" si="7"/>
        <v>0</v>
      </c>
      <c r="BY30" s="539">
        <f t="shared" si="7"/>
        <v>0</v>
      </c>
      <c r="BZ30" s="539">
        <f t="shared" si="7"/>
        <v>0</v>
      </c>
      <c r="CA30" s="539">
        <f t="shared" si="7"/>
        <v>0</v>
      </c>
      <c r="CB30" s="539">
        <f t="shared" si="7"/>
        <v>0</v>
      </c>
      <c r="CC30" s="539">
        <f t="shared" si="7"/>
        <v>0</v>
      </c>
      <c r="CD30" s="539">
        <f t="shared" si="7"/>
        <v>0</v>
      </c>
      <c r="CE30" s="539">
        <f t="shared" si="7"/>
        <v>0</v>
      </c>
      <c r="CF30" s="539">
        <f t="shared" si="7"/>
        <v>0</v>
      </c>
      <c r="CG30" s="539">
        <f t="shared" si="7"/>
        <v>0</v>
      </c>
      <c r="CH30" s="539">
        <f t="shared" si="7"/>
        <v>0</v>
      </c>
      <c r="CI30" s="539">
        <f t="shared" si="7"/>
        <v>0</v>
      </c>
      <c r="CJ30" s="539">
        <f t="shared" si="7"/>
        <v>0</v>
      </c>
      <c r="CK30" s="539">
        <f t="shared" si="7"/>
        <v>0</v>
      </c>
      <c r="CL30" s="539">
        <f t="shared" si="7"/>
        <v>0</v>
      </c>
      <c r="CM30" s="539">
        <f t="shared" si="7"/>
        <v>0</v>
      </c>
      <c r="CN30" s="539">
        <f t="shared" si="7"/>
        <v>0</v>
      </c>
      <c r="CO30" s="539">
        <f t="shared" si="7"/>
        <v>0</v>
      </c>
      <c r="CP30" s="539">
        <f t="shared" si="7"/>
        <v>0</v>
      </c>
      <c r="CQ30" s="539">
        <f t="shared" si="7"/>
        <v>0</v>
      </c>
      <c r="CR30" s="539">
        <f t="shared" si="7"/>
        <v>0</v>
      </c>
      <c r="CS30" s="539">
        <f t="shared" si="7"/>
        <v>0</v>
      </c>
      <c r="CT30" s="539">
        <f t="shared" si="7"/>
        <v>0</v>
      </c>
      <c r="CU30" s="539">
        <f t="shared" si="7"/>
        <v>0</v>
      </c>
      <c r="CV30" s="539">
        <f t="shared" si="7"/>
        <v>0</v>
      </c>
      <c r="CW30" s="539">
        <f t="shared" si="7"/>
        <v>0</v>
      </c>
      <c r="CX30" s="539">
        <f t="shared" si="7"/>
        <v>0</v>
      </c>
      <c r="CY30" s="539">
        <f t="shared" si="7"/>
        <v>0</v>
      </c>
      <c r="CZ30" s="539">
        <f t="shared" si="7"/>
        <v>0</v>
      </c>
      <c r="DA30" s="539">
        <f t="shared" si="7"/>
        <v>0</v>
      </c>
      <c r="DB30" s="539">
        <f t="shared" si="7"/>
        <v>0</v>
      </c>
      <c r="DC30" s="539">
        <f t="shared" si="7"/>
        <v>0</v>
      </c>
      <c r="DD30" s="539">
        <f t="shared" si="7"/>
        <v>0</v>
      </c>
      <c r="DE30" s="539">
        <f t="shared" si="7"/>
        <v>0</v>
      </c>
      <c r="DF30" s="539">
        <f t="shared" si="7"/>
        <v>0</v>
      </c>
      <c r="DG30" s="539">
        <f t="shared" si="7"/>
        <v>0</v>
      </c>
      <c r="DH30" s="539">
        <f t="shared" si="7"/>
        <v>0</v>
      </c>
      <c r="DI30" s="539">
        <f t="shared" si="7"/>
        <v>0</v>
      </c>
      <c r="DJ30" s="539">
        <f t="shared" si="7"/>
        <v>0</v>
      </c>
      <c r="DK30" s="539">
        <f t="shared" si="7"/>
        <v>0</v>
      </c>
      <c r="DL30" s="539">
        <f t="shared" si="7"/>
        <v>0</v>
      </c>
      <c r="DM30" s="539">
        <f t="shared" si="7"/>
        <v>0</v>
      </c>
      <c r="DN30" s="539">
        <f t="shared" si="7"/>
        <v>0</v>
      </c>
      <c r="DO30" s="539">
        <f t="shared" si="7"/>
        <v>0</v>
      </c>
      <c r="DP30" s="539">
        <f t="shared" si="7"/>
        <v>0</v>
      </c>
      <c r="DQ30" s="539">
        <f t="shared" si="7"/>
        <v>0</v>
      </c>
      <c r="DR30" s="539">
        <f t="shared" si="7"/>
        <v>0</v>
      </c>
      <c r="DS30" s="539">
        <f t="shared" si="7"/>
        <v>0</v>
      </c>
      <c r="DT30" s="539">
        <f t="shared" si="7"/>
        <v>0</v>
      </c>
      <c r="DU30" s="539">
        <f t="shared" si="7"/>
        <v>0</v>
      </c>
      <c r="DV30" s="539">
        <f t="shared" si="7"/>
        <v>0</v>
      </c>
      <c r="DW30" s="539">
        <f t="shared" si="7"/>
        <v>0</v>
      </c>
      <c r="DX30" s="539">
        <f t="shared" si="7"/>
        <v>0</v>
      </c>
      <c r="DY30" s="539">
        <f t="shared" si="7"/>
        <v>0</v>
      </c>
      <c r="DZ30" s="539">
        <f t="shared" si="7"/>
        <v>0</v>
      </c>
      <c r="EA30" s="539">
        <f t="shared" si="7"/>
        <v>0</v>
      </c>
      <c r="EB30" s="539">
        <f t="shared" si="7"/>
        <v>0</v>
      </c>
      <c r="EC30" s="539">
        <f t="shared" si="7"/>
        <v>0</v>
      </c>
      <c r="ED30" s="539">
        <f t="shared" si="7"/>
        <v>0</v>
      </c>
      <c r="EE30" s="539">
        <f t="shared" si="7"/>
        <v>0</v>
      </c>
      <c r="EF30" s="539">
        <f t="shared" si="7"/>
        <v>0</v>
      </c>
      <c r="EG30" s="539">
        <f t="shared" si="7"/>
        <v>0</v>
      </c>
    </row>
    <row r="31" spans="5:137" ht="12.75">
      <c r="E31" s="540" t="s">
        <v>470</v>
      </c>
      <c r="G31" s="541" t="s">
        <v>30</v>
      </c>
      <c r="H31" s="541">
        <f>SUM(J31:EG31)</f>
        <v>21873.02417300528</v>
      </c>
      <c r="J31" s="541">
        <f t="shared" si="8" ref="J31:EG31">(J29+J30)*$F26*J28/$F27</f>
        <v>0</v>
      </c>
      <c r="K31" s="541">
        <f t="shared" si="8"/>
        <v>0</v>
      </c>
      <c r="L31" s="541">
        <f t="shared" si="8"/>
        <v>0</v>
      </c>
      <c r="M31" s="541">
        <f t="shared" si="8"/>
        <v>52.099790485913836</v>
      </c>
      <c r="N31" s="541">
        <f t="shared" si="8"/>
        <v>117.88207939222379</v>
      </c>
      <c r="O31" s="541">
        <f t="shared" si="8"/>
        <v>178.00613039155573</v>
      </c>
      <c r="P31" s="541">
        <f t="shared" si="8"/>
        <v>248.81799701115708</v>
      </c>
      <c r="Q31" s="541">
        <f t="shared" si="8"/>
        <v>315.74099263477558</v>
      </c>
      <c r="R31" s="541">
        <f t="shared" si="8"/>
        <v>325.35807883796764</v>
      </c>
      <c r="S31" s="541">
        <f t="shared" si="8"/>
        <v>338.13766876565802</v>
      </c>
      <c r="T31" s="541">
        <f t="shared" si="8"/>
        <v>329.17545163239942</v>
      </c>
      <c r="U31" s="541">
        <f t="shared" si="8"/>
        <v>342.1049823855588</v>
      </c>
      <c r="V31" s="541">
        <f t="shared" si="8"/>
        <v>344.13886680138523</v>
      </c>
      <c r="W31" s="541">
        <f t="shared" si="8"/>
        <v>323.85033707295395</v>
      </c>
      <c r="X31" s="541">
        <f t="shared" si="8"/>
        <v>348.11019987647381</v>
      </c>
      <c r="Y31" s="541">
        <f t="shared" si="8"/>
        <v>338.88366439764434</v>
      </c>
      <c r="Z31" s="541">
        <f t="shared" si="8"/>
        <v>352.1945195627062</v>
      </c>
      <c r="AA31" s="541">
        <f t="shared" si="8"/>
        <v>342.85973066152582</v>
      </c>
      <c r="AB31" s="541">
        <f t="shared" si="8"/>
        <v>356.32675989965577</v>
      </c>
      <c r="AC31" s="541">
        <f t="shared" si="8"/>
        <v>358.44519570508658</v>
      </c>
      <c r="AD31" s="541">
        <f t="shared" si="8"/>
        <v>348.94473488387973</v>
      </c>
      <c r="AE31" s="541">
        <f t="shared" si="8"/>
        <v>362.65077419653329</v>
      </c>
      <c r="AF31" s="541">
        <f t="shared" si="8"/>
        <v>353.03884603201357</v>
      </c>
      <c r="AG31" s="541">
        <f t="shared" si="8"/>
        <v>366.90569604830296</v>
      </c>
      <c r="AH31" s="541">
        <f t="shared" si="8"/>
        <v>1071.5429781374269</v>
      </c>
      <c r="AI31" s="541">
        <f t="shared" si="8"/>
        <v>1077.9973316179048</v>
      </c>
      <c r="AJ31" s="541">
        <f t="shared" si="8"/>
        <v>1050.82349605998</v>
      </c>
      <c r="AK31" s="541">
        <f t="shared" si="8"/>
        <v>1012.1030926213383</v>
      </c>
      <c r="AL31" s="541">
        <f t="shared" si="8"/>
        <v>952.42274687426186</v>
      </c>
      <c r="AM31" s="541">
        <f t="shared" si="8"/>
        <v>921.77940468535701</v>
      </c>
      <c r="AN31" s="541">
        <f t="shared" si="8"/>
        <v>887.94515691215736</v>
      </c>
      <c r="AO31" s="541">
        <f t="shared" si="8"/>
        <v>844.17309819080367</v>
      </c>
      <c r="AP31" s="541">
        <f t="shared" si="8"/>
        <v>783.12552875123345</v>
      </c>
      <c r="AQ31" s="541">
        <f t="shared" si="8"/>
        <v>745.48593906623933</v>
      </c>
      <c r="AR31" s="541">
        <f t="shared" si="8"/>
        <v>704.39428110844801</v>
      </c>
      <c r="AS31" s="541">
        <f t="shared" si="8"/>
        <v>655.37444241285584</v>
      </c>
      <c r="AT31" s="541">
        <f t="shared" si="8"/>
        <v>599.43267294288569</v>
      </c>
      <c r="AU31" s="541">
        <f t="shared" si="8"/>
        <v>577.77829119205717</v>
      </c>
      <c r="AV31" s="541">
        <f t="shared" si="8"/>
        <v>560.67380378579355</v>
      </c>
      <c r="AW31" s="541">
        <f t="shared" si="8"/>
        <v>537.39823747367063</v>
      </c>
      <c r="AX31" s="541">
        <f t="shared" si="8"/>
        <v>503.52184390108283</v>
      </c>
      <c r="AY31" s="541">
        <f t="shared" si="8"/>
        <v>453.50732356939324</v>
      </c>
      <c r="AZ31" s="541">
        <f t="shared" si="8"/>
        <v>399.52554331808381</v>
      </c>
      <c r="BA31" s="541">
        <f t="shared" si="8"/>
        <v>339.34689841425455</v>
      </c>
      <c r="BB31" s="541">
        <f t="shared" si="8"/>
        <v>272.8980846823859</v>
      </c>
      <c r="BC31" s="541">
        <f t="shared" si="8"/>
        <v>214.79849871647352</v>
      </c>
      <c r="BD31" s="541">
        <f t="shared" si="8"/>
        <v>152.65029218121541</v>
      </c>
      <c r="BE31" s="541">
        <f t="shared" si="8"/>
        <v>87.951433015574608</v>
      </c>
      <c r="BF31" s="541">
        <f t="shared" si="8"/>
        <v>22.701256699025635</v>
      </c>
      <c r="BG31" s="541">
        <f t="shared" si="8"/>
        <v>0</v>
      </c>
      <c r="BH31" s="541">
        <f t="shared" si="8"/>
        <v>0</v>
      </c>
      <c r="BI31" s="541">
        <f t="shared" si="8"/>
        <v>0</v>
      </c>
      <c r="BJ31" s="541">
        <f t="shared" si="8"/>
        <v>0</v>
      </c>
      <c r="BK31" s="541">
        <f t="shared" si="8"/>
        <v>0</v>
      </c>
      <c r="BL31" s="541">
        <f t="shared" si="8"/>
        <v>0</v>
      </c>
      <c r="BM31" s="541">
        <f t="shared" si="8"/>
        <v>0</v>
      </c>
      <c r="BN31" s="541">
        <f t="shared" si="8"/>
        <v>0</v>
      </c>
      <c r="BO31" s="541">
        <f t="shared" si="8"/>
        <v>0</v>
      </c>
      <c r="BP31" s="541">
        <f t="shared" si="8"/>
        <v>0</v>
      </c>
      <c r="BQ31" s="541">
        <f t="shared" si="8"/>
        <v>0</v>
      </c>
      <c r="BR31" s="541">
        <f t="shared" si="8"/>
        <v>0</v>
      </c>
      <c r="BS31" s="541">
        <f t="shared" si="8"/>
        <v>0</v>
      </c>
      <c r="BT31" s="541">
        <f t="shared" si="8"/>
        <v>0</v>
      </c>
      <c r="BU31" s="541">
        <f t="shared" si="8"/>
        <v>0</v>
      </c>
      <c r="BV31" s="541">
        <f t="shared" si="8"/>
        <v>0</v>
      </c>
      <c r="BW31" s="541">
        <f t="shared" si="8"/>
        <v>0</v>
      </c>
      <c r="BX31" s="541">
        <f t="shared" si="8"/>
        <v>0</v>
      </c>
      <c r="BY31" s="541">
        <f t="shared" si="8"/>
        <v>0</v>
      </c>
      <c r="BZ31" s="541">
        <f t="shared" si="8"/>
        <v>0</v>
      </c>
      <c r="CA31" s="541">
        <f t="shared" si="8"/>
        <v>0</v>
      </c>
      <c r="CB31" s="541">
        <f t="shared" si="8"/>
        <v>0</v>
      </c>
      <c r="CC31" s="541">
        <f t="shared" si="8"/>
        <v>0</v>
      </c>
      <c r="CD31" s="541">
        <f t="shared" si="8"/>
        <v>0</v>
      </c>
      <c r="CE31" s="541">
        <f t="shared" si="8"/>
        <v>0</v>
      </c>
      <c r="CF31" s="541">
        <f t="shared" si="8"/>
        <v>0</v>
      </c>
      <c r="CG31" s="541">
        <f t="shared" si="8"/>
        <v>0</v>
      </c>
      <c r="CH31" s="541">
        <f t="shared" si="8"/>
        <v>0</v>
      </c>
      <c r="CI31" s="541">
        <f t="shared" si="8"/>
        <v>0</v>
      </c>
      <c r="CJ31" s="541">
        <f t="shared" si="8"/>
        <v>0</v>
      </c>
      <c r="CK31" s="541">
        <f t="shared" si="8"/>
        <v>0</v>
      </c>
      <c r="CL31" s="541">
        <f t="shared" si="8"/>
        <v>0</v>
      </c>
      <c r="CM31" s="541">
        <f t="shared" si="8"/>
        <v>0</v>
      </c>
      <c r="CN31" s="541">
        <f t="shared" si="8"/>
        <v>0</v>
      </c>
      <c r="CO31" s="541">
        <f t="shared" si="8"/>
        <v>0</v>
      </c>
      <c r="CP31" s="541">
        <f t="shared" si="8"/>
        <v>0</v>
      </c>
      <c r="CQ31" s="541">
        <f t="shared" si="8"/>
        <v>0</v>
      </c>
      <c r="CR31" s="541">
        <f t="shared" si="8"/>
        <v>0</v>
      </c>
      <c r="CS31" s="541">
        <f t="shared" si="8"/>
        <v>0</v>
      </c>
      <c r="CT31" s="541">
        <f t="shared" si="8"/>
        <v>0</v>
      </c>
      <c r="CU31" s="541">
        <f t="shared" si="8"/>
        <v>0</v>
      </c>
      <c r="CV31" s="541">
        <f t="shared" si="8"/>
        <v>0</v>
      </c>
      <c r="CW31" s="541">
        <f t="shared" si="8"/>
        <v>0</v>
      </c>
      <c r="CX31" s="541">
        <f t="shared" si="8"/>
        <v>0</v>
      </c>
      <c r="CY31" s="541">
        <f t="shared" si="8"/>
        <v>0</v>
      </c>
      <c r="CZ31" s="541">
        <f t="shared" si="8"/>
        <v>0</v>
      </c>
      <c r="DA31" s="541">
        <f t="shared" si="8"/>
        <v>0</v>
      </c>
      <c r="DB31" s="541">
        <f t="shared" si="8"/>
        <v>0</v>
      </c>
      <c r="DC31" s="541">
        <f t="shared" si="8"/>
        <v>0</v>
      </c>
      <c r="DD31" s="541">
        <f t="shared" si="8"/>
        <v>0</v>
      </c>
      <c r="DE31" s="541">
        <f t="shared" si="8"/>
        <v>0</v>
      </c>
      <c r="DF31" s="541">
        <f t="shared" si="8"/>
        <v>0</v>
      </c>
      <c r="DG31" s="541">
        <f t="shared" si="8"/>
        <v>0</v>
      </c>
      <c r="DH31" s="541">
        <f t="shared" si="8"/>
        <v>0</v>
      </c>
      <c r="DI31" s="541">
        <f t="shared" si="8"/>
        <v>0</v>
      </c>
      <c r="DJ31" s="541">
        <f t="shared" si="8"/>
        <v>0</v>
      </c>
      <c r="DK31" s="541">
        <f t="shared" si="8"/>
        <v>0</v>
      </c>
      <c r="DL31" s="541">
        <f t="shared" si="8"/>
        <v>0</v>
      </c>
      <c r="DM31" s="541">
        <f t="shared" si="8"/>
        <v>0</v>
      </c>
      <c r="DN31" s="541">
        <f t="shared" si="8"/>
        <v>0</v>
      </c>
      <c r="DO31" s="541">
        <f t="shared" si="8"/>
        <v>0</v>
      </c>
      <c r="DP31" s="541">
        <f t="shared" si="8"/>
        <v>0</v>
      </c>
      <c r="DQ31" s="541">
        <f t="shared" si="8"/>
        <v>0</v>
      </c>
      <c r="DR31" s="541">
        <f t="shared" si="8"/>
        <v>0</v>
      </c>
      <c r="DS31" s="541">
        <f t="shared" si="8"/>
        <v>0</v>
      </c>
      <c r="DT31" s="541">
        <f t="shared" si="8"/>
        <v>0</v>
      </c>
      <c r="DU31" s="541">
        <f t="shared" si="8"/>
        <v>0</v>
      </c>
      <c r="DV31" s="541">
        <f t="shared" si="8"/>
        <v>0</v>
      </c>
      <c r="DW31" s="541">
        <f t="shared" si="8"/>
        <v>0</v>
      </c>
      <c r="DX31" s="541">
        <f t="shared" si="8"/>
        <v>0</v>
      </c>
      <c r="DY31" s="541">
        <f t="shared" si="8"/>
        <v>0</v>
      </c>
      <c r="DZ31" s="541">
        <f t="shared" si="8"/>
        <v>0</v>
      </c>
      <c r="EA31" s="541">
        <f t="shared" si="8"/>
        <v>0</v>
      </c>
      <c r="EB31" s="541">
        <f t="shared" si="8"/>
        <v>0</v>
      </c>
      <c r="EC31" s="541">
        <f t="shared" si="8"/>
        <v>0</v>
      </c>
      <c r="ED31" s="541">
        <f t="shared" si="8"/>
        <v>0</v>
      </c>
      <c r="EE31" s="541">
        <f t="shared" si="8"/>
        <v>0</v>
      </c>
      <c r="EF31" s="541">
        <f t="shared" si="8"/>
        <v>0</v>
      </c>
      <c r="EG31" s="541">
        <f t="shared" si="8"/>
        <v>0</v>
      </c>
    </row>
    <row r="33" spans="5:7" ht="12.75">
      <c r="E33" s="535" t="str">
        <f>InpC!E$111</f>
        <v>Shareholder loan - construction interest rolled up</v>
      </c>
      <c r="F33" s="537">
        <f>InpC!F$111</f>
        <v>1</v>
      </c>
      <c r="G33" s="537" t="str">
        <f>InpC!G$111</f>
        <v>switch</v>
      </c>
    </row>
    <row r="34" spans="5:7" ht="12.75">
      <c r="E34" s="535" t="str">
        <f>InpC!E$151</f>
        <v>Shareholder loan rollup - interest capitalised</v>
      </c>
      <c r="F34" s="537">
        <f>InpC!F$151</f>
        <v>1</v>
      </c>
      <c r="G34" s="537" t="str">
        <f>InpC!G$151</f>
        <v>switch</v>
      </c>
    </row>
    <row r="35" spans="5:7" ht="12.75">
      <c r="E35" s="535" t="str">
        <f>Time!E$21</f>
        <v>End of construction period date</v>
      </c>
      <c r="F35" s="536">
        <f>Time!F$21</f>
        <v>47118</v>
      </c>
      <c r="G35" s="536" t="str">
        <f>Time!G$21</f>
        <v>date</v>
      </c>
    </row>
    <row r="36" spans="5:137" ht="12.75">
      <c r="E36" s="535" t="str">
        <f>Time!E$50</f>
        <v>Model period ending</v>
      </c>
      <c r="G36" s="536" t="str">
        <f>Time!G$50</f>
        <v>date</v>
      </c>
      <c r="J36" s="536">
        <f>Time!J$50</f>
        <v>46418</v>
      </c>
      <c r="K36" s="536">
        <f>Time!K$50</f>
        <v>46446</v>
      </c>
      <c r="L36" s="536">
        <f>Time!L$50</f>
        <v>46477</v>
      </c>
      <c r="M36" s="536">
        <f>Time!M$50</f>
        <v>46507</v>
      </c>
      <c r="N36" s="536">
        <f>Time!N$50</f>
        <v>46538</v>
      </c>
      <c r="O36" s="536">
        <f>Time!O$50</f>
        <v>46568</v>
      </c>
      <c r="P36" s="536">
        <f>Time!P$50</f>
        <v>46599</v>
      </c>
      <c r="Q36" s="536">
        <f>Time!Q$50</f>
        <v>46630</v>
      </c>
      <c r="R36" s="536">
        <f>Time!R$50</f>
        <v>46660</v>
      </c>
      <c r="S36" s="536">
        <f>Time!S$50</f>
        <v>46691</v>
      </c>
      <c r="T36" s="536">
        <f>Time!T$50</f>
        <v>46721</v>
      </c>
      <c r="U36" s="536">
        <f>Time!U$50</f>
        <v>46752</v>
      </c>
      <c r="V36" s="536">
        <f>Time!V$50</f>
        <v>46783</v>
      </c>
      <c r="W36" s="536">
        <f>Time!W$50</f>
        <v>46812</v>
      </c>
      <c r="X36" s="536">
        <f>Time!X$50</f>
        <v>46843</v>
      </c>
      <c r="Y36" s="536">
        <f>Time!Y$50</f>
        <v>46873</v>
      </c>
      <c r="Z36" s="536">
        <f>Time!Z$50</f>
        <v>46904</v>
      </c>
      <c r="AA36" s="536">
        <f>Time!AA$50</f>
        <v>46934</v>
      </c>
      <c r="AB36" s="536">
        <f>Time!AB$50</f>
        <v>46965</v>
      </c>
      <c r="AC36" s="536">
        <f>Time!AC$50</f>
        <v>46996</v>
      </c>
      <c r="AD36" s="536">
        <f>Time!AD$50</f>
        <v>47026</v>
      </c>
      <c r="AE36" s="536">
        <f>Time!AE$50</f>
        <v>47057</v>
      </c>
      <c r="AF36" s="536">
        <f>Time!AF$50</f>
        <v>47087</v>
      </c>
      <c r="AG36" s="536">
        <f>Time!AG$50</f>
        <v>47118</v>
      </c>
      <c r="AH36" s="536">
        <f>Time!AH$50</f>
        <v>47208</v>
      </c>
      <c r="AI36" s="536">
        <f>Time!AI$50</f>
        <v>47299</v>
      </c>
      <c r="AJ36" s="536">
        <f>Time!AJ$50</f>
        <v>47391</v>
      </c>
      <c r="AK36" s="536">
        <f>Time!AK$50</f>
        <v>47483</v>
      </c>
      <c r="AL36" s="536">
        <f>Time!AL$50</f>
        <v>47573</v>
      </c>
      <c r="AM36" s="536">
        <f>Time!AM$50</f>
        <v>47664</v>
      </c>
      <c r="AN36" s="536">
        <f>Time!AN$50</f>
        <v>47756</v>
      </c>
      <c r="AO36" s="536">
        <f>Time!AO$50</f>
        <v>47848</v>
      </c>
      <c r="AP36" s="536">
        <f>Time!AP$50</f>
        <v>47938</v>
      </c>
      <c r="AQ36" s="536">
        <f>Time!AQ$50</f>
        <v>48029</v>
      </c>
      <c r="AR36" s="536">
        <f>Time!AR$50</f>
        <v>48121</v>
      </c>
      <c r="AS36" s="536">
        <f>Time!AS$50</f>
        <v>48213</v>
      </c>
      <c r="AT36" s="536">
        <f>Time!AT$50</f>
        <v>48304</v>
      </c>
      <c r="AU36" s="536">
        <f>Time!AU$50</f>
        <v>48395</v>
      </c>
      <c r="AV36" s="536">
        <f>Time!AV$50</f>
        <v>48487</v>
      </c>
      <c r="AW36" s="536">
        <f>Time!AW$50</f>
        <v>48579</v>
      </c>
      <c r="AX36" s="536">
        <f>Time!AX$50</f>
        <v>48669</v>
      </c>
      <c r="AY36" s="536">
        <f>Time!AY$50</f>
        <v>48760</v>
      </c>
      <c r="AZ36" s="536">
        <f>Time!AZ$50</f>
        <v>48852</v>
      </c>
      <c r="BA36" s="536">
        <f>Time!BA$50</f>
        <v>48944</v>
      </c>
      <c r="BB36" s="536">
        <f>Time!BB$50</f>
        <v>49034</v>
      </c>
      <c r="BC36" s="536">
        <f>Time!BC$50</f>
        <v>49125</v>
      </c>
      <c r="BD36" s="536">
        <f>Time!BD$50</f>
        <v>49217</v>
      </c>
      <c r="BE36" s="536">
        <f>Time!BE$50</f>
        <v>49309</v>
      </c>
      <c r="BF36" s="536">
        <f>Time!BF$50</f>
        <v>49399</v>
      </c>
      <c r="BG36" s="536">
        <f>Time!BG$50</f>
        <v>49490</v>
      </c>
      <c r="BH36" s="536">
        <f>Time!BH$50</f>
        <v>49582</v>
      </c>
      <c r="BI36" s="536">
        <f>Time!BI$50</f>
        <v>49674</v>
      </c>
      <c r="BJ36" s="536">
        <f>Time!BJ$50</f>
        <v>49765</v>
      </c>
      <c r="BK36" s="536">
        <f>Time!BK$50</f>
        <v>49856</v>
      </c>
      <c r="BL36" s="536">
        <f>Time!BL$50</f>
        <v>49948</v>
      </c>
      <c r="BM36" s="536">
        <f>Time!BM$50</f>
        <v>50040</v>
      </c>
      <c r="BN36" s="536">
        <f>Time!BN$50</f>
        <v>50130</v>
      </c>
      <c r="BO36" s="536">
        <f>Time!BO$50</f>
        <v>50221</v>
      </c>
      <c r="BP36" s="536">
        <f>Time!BP$50</f>
        <v>50313</v>
      </c>
      <c r="BQ36" s="536">
        <f>Time!BQ$50</f>
        <v>50405</v>
      </c>
      <c r="BR36" s="536">
        <f>Time!BR$50</f>
        <v>50495</v>
      </c>
      <c r="BS36" s="536">
        <f>Time!BS$50</f>
        <v>50586</v>
      </c>
      <c r="BT36" s="536">
        <f>Time!BT$50</f>
        <v>50678</v>
      </c>
      <c r="BU36" s="536">
        <f>Time!BU$50</f>
        <v>50770</v>
      </c>
      <c r="BV36" s="536">
        <f>Time!BV$50</f>
        <v>50860</v>
      </c>
      <c r="BW36" s="536">
        <f>Time!BW$50</f>
        <v>50951</v>
      </c>
      <c r="BX36" s="536">
        <f>Time!BX$50</f>
        <v>51043</v>
      </c>
      <c r="BY36" s="536">
        <f>Time!BY$50</f>
        <v>51135</v>
      </c>
      <c r="BZ36" s="536">
        <f>Time!BZ$50</f>
        <v>51226</v>
      </c>
      <c r="CA36" s="536">
        <f>Time!CA$50</f>
        <v>51317</v>
      </c>
      <c r="CB36" s="536">
        <f>Time!CB$50</f>
        <v>51409</v>
      </c>
      <c r="CC36" s="536">
        <f>Time!CC$50</f>
        <v>51501</v>
      </c>
      <c r="CD36" s="536">
        <f>Time!CD$50</f>
        <v>51591</v>
      </c>
      <c r="CE36" s="536">
        <f>Time!CE$50</f>
        <v>51682</v>
      </c>
      <c r="CF36" s="536">
        <f>Time!CF$50</f>
        <v>51774</v>
      </c>
      <c r="CG36" s="536">
        <f>Time!CG$50</f>
        <v>51866</v>
      </c>
      <c r="CH36" s="536">
        <f>Time!CH$50</f>
        <v>51956</v>
      </c>
      <c r="CI36" s="536">
        <f>Time!CI$50</f>
        <v>52047</v>
      </c>
      <c r="CJ36" s="536">
        <f>Time!CJ$50</f>
        <v>52139</v>
      </c>
      <c r="CK36" s="536">
        <f>Time!CK$50</f>
        <v>52231</v>
      </c>
      <c r="CL36" s="536">
        <f>Time!CL$50</f>
        <v>52321</v>
      </c>
      <c r="CM36" s="536">
        <f>Time!CM$50</f>
        <v>52412</v>
      </c>
      <c r="CN36" s="536">
        <f>Time!CN$50</f>
        <v>52504</v>
      </c>
      <c r="CO36" s="536">
        <f>Time!CO$50</f>
        <v>52596</v>
      </c>
      <c r="CP36" s="536">
        <f>Time!CP$50</f>
        <v>52687</v>
      </c>
      <c r="CQ36" s="536">
        <f>Time!CQ$50</f>
        <v>52778</v>
      </c>
      <c r="CR36" s="536">
        <f>Time!CR$50</f>
        <v>52870</v>
      </c>
      <c r="CS36" s="536">
        <f>Time!CS$50</f>
        <v>52962</v>
      </c>
      <c r="CT36" s="536">
        <f>Time!CT$50</f>
        <v>53052</v>
      </c>
      <c r="CU36" s="536">
        <f>Time!CU$50</f>
        <v>53143</v>
      </c>
      <c r="CV36" s="536">
        <f>Time!CV$50</f>
        <v>53235</v>
      </c>
      <c r="CW36" s="536">
        <f>Time!CW$50</f>
        <v>53327</v>
      </c>
      <c r="CX36" s="536">
        <f>Time!CX$50</f>
        <v>53417</v>
      </c>
      <c r="CY36" s="536">
        <f>Time!CY$50</f>
        <v>53508</v>
      </c>
      <c r="CZ36" s="536">
        <f>Time!CZ$50</f>
        <v>53600</v>
      </c>
      <c r="DA36" s="536">
        <f>Time!DA$50</f>
        <v>53692</v>
      </c>
      <c r="DB36" s="536">
        <f>Time!DB$50</f>
        <v>53782</v>
      </c>
      <c r="DC36" s="536">
        <f>Time!DC$50</f>
        <v>53873</v>
      </c>
      <c r="DD36" s="536">
        <f>Time!DD$50</f>
        <v>53965</v>
      </c>
      <c r="DE36" s="536">
        <f>Time!DE$50</f>
        <v>54057</v>
      </c>
      <c r="DF36" s="536">
        <f>Time!DF$50</f>
        <v>54148</v>
      </c>
      <c r="DG36" s="536">
        <f>Time!DG$50</f>
        <v>54239</v>
      </c>
      <c r="DH36" s="536">
        <f>Time!DH$50</f>
        <v>54331</v>
      </c>
      <c r="DI36" s="536">
        <f>Time!DI$50</f>
        <v>54423</v>
      </c>
      <c r="DJ36" s="536">
        <f>Time!DJ$50</f>
        <v>54513</v>
      </c>
      <c r="DK36" s="536">
        <f>Time!DK$50</f>
        <v>54604</v>
      </c>
      <c r="DL36" s="536">
        <f>Time!DL$50</f>
        <v>54696</v>
      </c>
      <c r="DM36" s="536">
        <f>Time!DM$50</f>
        <v>54788</v>
      </c>
      <c r="DN36" s="536">
        <f>Time!DN$50</f>
        <v>54878</v>
      </c>
      <c r="DO36" s="536">
        <f>Time!DO$50</f>
        <v>54969</v>
      </c>
      <c r="DP36" s="536">
        <f>Time!DP$50</f>
        <v>55061</v>
      </c>
      <c r="DQ36" s="536">
        <f>Time!DQ$50</f>
        <v>55153</v>
      </c>
      <c r="DR36" s="536">
        <f>Time!DR$50</f>
        <v>55243</v>
      </c>
      <c r="DS36" s="536">
        <f>Time!DS$50</f>
        <v>55334</v>
      </c>
      <c r="DT36" s="536">
        <f>Time!DT$50</f>
        <v>55426</v>
      </c>
      <c r="DU36" s="536">
        <f>Time!DU$50</f>
        <v>55518</v>
      </c>
      <c r="DV36" s="536">
        <f>Time!DV$50</f>
        <v>55609</v>
      </c>
      <c r="DW36" s="536">
        <f>Time!DW$50</f>
        <v>55700</v>
      </c>
      <c r="DX36" s="536">
        <f>Time!DX$50</f>
        <v>55792</v>
      </c>
      <c r="DY36" s="536">
        <f>Time!DY$50</f>
        <v>55884</v>
      </c>
      <c r="DZ36" s="536">
        <f>Time!DZ$50</f>
        <v>55974</v>
      </c>
      <c r="EA36" s="536">
        <f>Time!EA$50</f>
        <v>56065</v>
      </c>
      <c r="EB36" s="536">
        <f>Time!EB$50</f>
        <v>56157</v>
      </c>
      <c r="EC36" s="536">
        <f>Time!EC$50</f>
        <v>56249</v>
      </c>
      <c r="ED36" s="536">
        <f>Time!ED$50</f>
        <v>56339</v>
      </c>
      <c r="EE36" s="536">
        <f>Time!EE$50</f>
        <v>56430</v>
      </c>
      <c r="EF36" s="536">
        <f>Time!EF$50</f>
        <v>56522</v>
      </c>
      <c r="EG36" s="536">
        <f>Time!EG$50</f>
        <v>56614</v>
      </c>
    </row>
    <row r="37" spans="5:137" ht="12.75">
      <c r="E37" s="538" t="str">
        <f>E$31</f>
        <v>Shareholder loan - interest accrued</v>
      </c>
      <c r="G37" s="539" t="str">
        <f>G$31</f>
        <v>EUR 000s</v>
      </c>
      <c r="H37" s="539">
        <f>H$31</f>
        <v>21873.02417300528</v>
      </c>
      <c r="J37" s="539">
        <f t="shared" si="9" ref="J37:EG37">J$31</f>
        <v>0</v>
      </c>
      <c r="K37" s="539">
        <f t="shared" si="9"/>
        <v>0</v>
      </c>
      <c r="L37" s="539">
        <f t="shared" si="9"/>
        <v>0</v>
      </c>
      <c r="M37" s="539">
        <f t="shared" si="9"/>
        <v>52.099790485913836</v>
      </c>
      <c r="N37" s="539">
        <f t="shared" si="9"/>
        <v>117.88207939222379</v>
      </c>
      <c r="O37" s="539">
        <f t="shared" si="9"/>
        <v>178.00613039155573</v>
      </c>
      <c r="P37" s="539">
        <f t="shared" si="9"/>
        <v>248.81799701115708</v>
      </c>
      <c r="Q37" s="539">
        <f t="shared" si="9"/>
        <v>315.74099263477558</v>
      </c>
      <c r="R37" s="539">
        <f t="shared" si="9"/>
        <v>325.35807883796764</v>
      </c>
      <c r="S37" s="539">
        <f t="shared" si="9"/>
        <v>338.13766876565802</v>
      </c>
      <c r="T37" s="539">
        <f t="shared" si="9"/>
        <v>329.17545163239942</v>
      </c>
      <c r="U37" s="539">
        <f t="shared" si="9"/>
        <v>342.1049823855588</v>
      </c>
      <c r="V37" s="539">
        <f t="shared" si="9"/>
        <v>344.13886680138523</v>
      </c>
      <c r="W37" s="539">
        <f t="shared" si="9"/>
        <v>323.85033707295395</v>
      </c>
      <c r="X37" s="539">
        <f t="shared" si="9"/>
        <v>348.11019987647381</v>
      </c>
      <c r="Y37" s="539">
        <f t="shared" si="9"/>
        <v>338.88366439764434</v>
      </c>
      <c r="Z37" s="539">
        <f t="shared" si="9"/>
        <v>352.1945195627062</v>
      </c>
      <c r="AA37" s="539">
        <f t="shared" si="9"/>
        <v>342.85973066152582</v>
      </c>
      <c r="AB37" s="539">
        <f t="shared" si="9"/>
        <v>356.32675989965577</v>
      </c>
      <c r="AC37" s="539">
        <f t="shared" si="9"/>
        <v>358.44519570508658</v>
      </c>
      <c r="AD37" s="539">
        <f t="shared" si="9"/>
        <v>348.94473488387973</v>
      </c>
      <c r="AE37" s="539">
        <f t="shared" si="9"/>
        <v>362.65077419653329</v>
      </c>
      <c r="AF37" s="539">
        <f t="shared" si="9"/>
        <v>353.03884603201357</v>
      </c>
      <c r="AG37" s="539">
        <f t="shared" si="9"/>
        <v>366.90569604830296</v>
      </c>
      <c r="AH37" s="539">
        <f t="shared" si="9"/>
        <v>1071.5429781374269</v>
      </c>
      <c r="AI37" s="539">
        <f t="shared" si="9"/>
        <v>1077.9973316179048</v>
      </c>
      <c r="AJ37" s="539">
        <f t="shared" si="9"/>
        <v>1050.82349605998</v>
      </c>
      <c r="AK37" s="539">
        <f t="shared" si="9"/>
        <v>1012.1030926213383</v>
      </c>
      <c r="AL37" s="539">
        <f t="shared" si="9"/>
        <v>952.42274687426186</v>
      </c>
      <c r="AM37" s="539">
        <f t="shared" si="9"/>
        <v>921.77940468535701</v>
      </c>
      <c r="AN37" s="539">
        <f t="shared" si="9"/>
        <v>887.94515691215736</v>
      </c>
      <c r="AO37" s="539">
        <f t="shared" si="9"/>
        <v>844.17309819080367</v>
      </c>
      <c r="AP37" s="539">
        <f t="shared" si="9"/>
        <v>783.12552875123345</v>
      </c>
      <c r="AQ37" s="539">
        <f t="shared" si="9"/>
        <v>745.48593906623933</v>
      </c>
      <c r="AR37" s="539">
        <f t="shared" si="9"/>
        <v>704.39428110844801</v>
      </c>
      <c r="AS37" s="539">
        <f t="shared" si="9"/>
        <v>655.37444241285584</v>
      </c>
      <c r="AT37" s="539">
        <f t="shared" si="9"/>
        <v>599.43267294288569</v>
      </c>
      <c r="AU37" s="539">
        <f t="shared" si="9"/>
        <v>577.77829119205717</v>
      </c>
      <c r="AV37" s="539">
        <f t="shared" si="9"/>
        <v>560.67380378579355</v>
      </c>
      <c r="AW37" s="539">
        <f t="shared" si="9"/>
        <v>537.39823747367063</v>
      </c>
      <c r="AX37" s="539">
        <f t="shared" si="9"/>
        <v>503.52184390108283</v>
      </c>
      <c r="AY37" s="539">
        <f t="shared" si="9"/>
        <v>453.50732356939324</v>
      </c>
      <c r="AZ37" s="539">
        <f t="shared" si="9"/>
        <v>399.52554331808381</v>
      </c>
      <c r="BA37" s="539">
        <f t="shared" si="9"/>
        <v>339.34689841425455</v>
      </c>
      <c r="BB37" s="539">
        <f t="shared" si="9"/>
        <v>272.8980846823859</v>
      </c>
      <c r="BC37" s="539">
        <f t="shared" si="9"/>
        <v>214.79849871647352</v>
      </c>
      <c r="BD37" s="539">
        <f t="shared" si="9"/>
        <v>152.65029218121541</v>
      </c>
      <c r="BE37" s="539">
        <f t="shared" si="9"/>
        <v>87.951433015574608</v>
      </c>
      <c r="BF37" s="539">
        <f t="shared" si="9"/>
        <v>22.701256699025635</v>
      </c>
      <c r="BG37" s="539">
        <f t="shared" si="9"/>
        <v>0</v>
      </c>
      <c r="BH37" s="539">
        <f t="shared" si="9"/>
        <v>0</v>
      </c>
      <c r="BI37" s="539">
        <f t="shared" si="9"/>
        <v>0</v>
      </c>
      <c r="BJ37" s="539">
        <f t="shared" si="9"/>
        <v>0</v>
      </c>
      <c r="BK37" s="539">
        <f t="shared" si="9"/>
        <v>0</v>
      </c>
      <c r="BL37" s="539">
        <f t="shared" si="9"/>
        <v>0</v>
      </c>
      <c r="BM37" s="539">
        <f t="shared" si="9"/>
        <v>0</v>
      </c>
      <c r="BN37" s="539">
        <f t="shared" si="9"/>
        <v>0</v>
      </c>
      <c r="BO37" s="539">
        <f t="shared" si="9"/>
        <v>0</v>
      </c>
      <c r="BP37" s="539">
        <f t="shared" si="9"/>
        <v>0</v>
      </c>
      <c r="BQ37" s="539">
        <f t="shared" si="9"/>
        <v>0</v>
      </c>
      <c r="BR37" s="539">
        <f t="shared" si="9"/>
        <v>0</v>
      </c>
      <c r="BS37" s="539">
        <f t="shared" si="9"/>
        <v>0</v>
      </c>
      <c r="BT37" s="539">
        <f t="shared" si="9"/>
        <v>0</v>
      </c>
      <c r="BU37" s="539">
        <f t="shared" si="9"/>
        <v>0</v>
      </c>
      <c r="BV37" s="539">
        <f t="shared" si="9"/>
        <v>0</v>
      </c>
      <c r="BW37" s="539">
        <f t="shared" si="9"/>
        <v>0</v>
      </c>
      <c r="BX37" s="539">
        <f t="shared" si="9"/>
        <v>0</v>
      </c>
      <c r="BY37" s="539">
        <f t="shared" si="9"/>
        <v>0</v>
      </c>
      <c r="BZ37" s="539">
        <f t="shared" si="9"/>
        <v>0</v>
      </c>
      <c r="CA37" s="539">
        <f t="shared" si="9"/>
        <v>0</v>
      </c>
      <c r="CB37" s="539">
        <f t="shared" si="9"/>
        <v>0</v>
      </c>
      <c r="CC37" s="539">
        <f t="shared" si="9"/>
        <v>0</v>
      </c>
      <c r="CD37" s="539">
        <f t="shared" si="9"/>
        <v>0</v>
      </c>
      <c r="CE37" s="539">
        <f t="shared" si="9"/>
        <v>0</v>
      </c>
      <c r="CF37" s="539">
        <f t="shared" si="9"/>
        <v>0</v>
      </c>
      <c r="CG37" s="539">
        <f t="shared" si="9"/>
        <v>0</v>
      </c>
      <c r="CH37" s="539">
        <f t="shared" si="9"/>
        <v>0</v>
      </c>
      <c r="CI37" s="539">
        <f t="shared" si="9"/>
        <v>0</v>
      </c>
      <c r="CJ37" s="539">
        <f t="shared" si="9"/>
        <v>0</v>
      </c>
      <c r="CK37" s="539">
        <f t="shared" si="9"/>
        <v>0</v>
      </c>
      <c r="CL37" s="539">
        <f t="shared" si="9"/>
        <v>0</v>
      </c>
      <c r="CM37" s="539">
        <f t="shared" si="9"/>
        <v>0</v>
      </c>
      <c r="CN37" s="539">
        <f t="shared" si="9"/>
        <v>0</v>
      </c>
      <c r="CO37" s="539">
        <f t="shared" si="9"/>
        <v>0</v>
      </c>
      <c r="CP37" s="539">
        <f t="shared" si="9"/>
        <v>0</v>
      </c>
      <c r="CQ37" s="539">
        <f t="shared" si="9"/>
        <v>0</v>
      </c>
      <c r="CR37" s="539">
        <f t="shared" si="9"/>
        <v>0</v>
      </c>
      <c r="CS37" s="539">
        <f t="shared" si="9"/>
        <v>0</v>
      </c>
      <c r="CT37" s="539">
        <f t="shared" si="9"/>
        <v>0</v>
      </c>
      <c r="CU37" s="539">
        <f t="shared" si="9"/>
        <v>0</v>
      </c>
      <c r="CV37" s="539">
        <f t="shared" si="9"/>
        <v>0</v>
      </c>
      <c r="CW37" s="539">
        <f t="shared" si="9"/>
        <v>0</v>
      </c>
      <c r="CX37" s="539">
        <f t="shared" si="9"/>
        <v>0</v>
      </c>
      <c r="CY37" s="539">
        <f t="shared" si="9"/>
        <v>0</v>
      </c>
      <c r="CZ37" s="539">
        <f t="shared" si="9"/>
        <v>0</v>
      </c>
      <c r="DA37" s="539">
        <f t="shared" si="9"/>
        <v>0</v>
      </c>
      <c r="DB37" s="539">
        <f t="shared" si="9"/>
        <v>0</v>
      </c>
      <c r="DC37" s="539">
        <f t="shared" si="9"/>
        <v>0</v>
      </c>
      <c r="DD37" s="539">
        <f t="shared" si="9"/>
        <v>0</v>
      </c>
      <c r="DE37" s="539">
        <f t="shared" si="9"/>
        <v>0</v>
      </c>
      <c r="DF37" s="539">
        <f t="shared" si="9"/>
        <v>0</v>
      </c>
      <c r="DG37" s="539">
        <f t="shared" si="9"/>
        <v>0</v>
      </c>
      <c r="DH37" s="539">
        <f t="shared" si="9"/>
        <v>0</v>
      </c>
      <c r="DI37" s="539">
        <f t="shared" si="9"/>
        <v>0</v>
      </c>
      <c r="DJ37" s="539">
        <f t="shared" si="9"/>
        <v>0</v>
      </c>
      <c r="DK37" s="539">
        <f t="shared" si="9"/>
        <v>0</v>
      </c>
      <c r="DL37" s="539">
        <f t="shared" si="9"/>
        <v>0</v>
      </c>
      <c r="DM37" s="539">
        <f t="shared" si="9"/>
        <v>0</v>
      </c>
      <c r="DN37" s="539">
        <f t="shared" si="9"/>
        <v>0</v>
      </c>
      <c r="DO37" s="539">
        <f t="shared" si="9"/>
        <v>0</v>
      </c>
      <c r="DP37" s="539">
        <f t="shared" si="9"/>
        <v>0</v>
      </c>
      <c r="DQ37" s="539">
        <f t="shared" si="9"/>
        <v>0</v>
      </c>
      <c r="DR37" s="539">
        <f t="shared" si="9"/>
        <v>0</v>
      </c>
      <c r="DS37" s="539">
        <f t="shared" si="9"/>
        <v>0</v>
      </c>
      <c r="DT37" s="539">
        <f t="shared" si="9"/>
        <v>0</v>
      </c>
      <c r="DU37" s="539">
        <f t="shared" si="9"/>
        <v>0</v>
      </c>
      <c r="DV37" s="539">
        <f t="shared" si="9"/>
        <v>0</v>
      </c>
      <c r="DW37" s="539">
        <f t="shared" si="9"/>
        <v>0</v>
      </c>
      <c r="DX37" s="539">
        <f t="shared" si="9"/>
        <v>0</v>
      </c>
      <c r="DY37" s="539">
        <f t="shared" si="9"/>
        <v>0</v>
      </c>
      <c r="DZ37" s="539">
        <f t="shared" si="9"/>
        <v>0</v>
      </c>
      <c r="EA37" s="539">
        <f t="shared" si="9"/>
        <v>0</v>
      </c>
      <c r="EB37" s="539">
        <f t="shared" si="9"/>
        <v>0</v>
      </c>
      <c r="EC37" s="539">
        <f t="shared" si="9"/>
        <v>0</v>
      </c>
      <c r="ED37" s="539">
        <f t="shared" si="9"/>
        <v>0</v>
      </c>
      <c r="EE37" s="539">
        <f t="shared" si="9"/>
        <v>0</v>
      </c>
      <c r="EF37" s="539">
        <f t="shared" si="9"/>
        <v>0</v>
      </c>
      <c r="EG37" s="539">
        <f t="shared" si="9"/>
        <v>0</v>
      </c>
    </row>
    <row r="38" spans="5:137" ht="12.75">
      <c r="E38" s="538" t="s">
        <v>471</v>
      </c>
      <c r="G38" s="539" t="s">
        <v>30</v>
      </c>
      <c r="H38" s="539">
        <f>SUM(J38:EG38)</f>
        <v>6443.6724966753709</v>
      </c>
      <c r="J38" s="539">
        <f t="shared" si="10" ref="J38:EG38">J37*IF(J36&lt;=$F35,1,0)*IF($F33=$F34,1,0)</f>
        <v>0</v>
      </c>
      <c r="K38" s="539">
        <f t="shared" si="10"/>
        <v>0</v>
      </c>
      <c r="L38" s="539">
        <f t="shared" si="10"/>
        <v>0</v>
      </c>
      <c r="M38" s="539">
        <f t="shared" si="10"/>
        <v>52.099790485913836</v>
      </c>
      <c r="N38" s="539">
        <f t="shared" si="10"/>
        <v>117.88207939222379</v>
      </c>
      <c r="O38" s="539">
        <f t="shared" si="10"/>
        <v>178.00613039155573</v>
      </c>
      <c r="P38" s="539">
        <f t="shared" si="10"/>
        <v>248.81799701115708</v>
      </c>
      <c r="Q38" s="539">
        <f t="shared" si="10"/>
        <v>315.74099263477558</v>
      </c>
      <c r="R38" s="539">
        <f t="shared" si="10"/>
        <v>325.35807883796764</v>
      </c>
      <c r="S38" s="539">
        <f t="shared" si="10"/>
        <v>338.13766876565802</v>
      </c>
      <c r="T38" s="539">
        <f t="shared" si="10"/>
        <v>329.17545163239942</v>
      </c>
      <c r="U38" s="539">
        <f t="shared" si="10"/>
        <v>342.1049823855588</v>
      </c>
      <c r="V38" s="539">
        <f t="shared" si="10"/>
        <v>344.13886680138523</v>
      </c>
      <c r="W38" s="539">
        <f t="shared" si="10"/>
        <v>323.85033707295395</v>
      </c>
      <c r="X38" s="539">
        <f t="shared" si="10"/>
        <v>348.11019987647381</v>
      </c>
      <c r="Y38" s="539">
        <f t="shared" si="10"/>
        <v>338.88366439764434</v>
      </c>
      <c r="Z38" s="539">
        <f t="shared" si="10"/>
        <v>352.1945195627062</v>
      </c>
      <c r="AA38" s="539">
        <f t="shared" si="10"/>
        <v>342.85973066152582</v>
      </c>
      <c r="AB38" s="539">
        <f t="shared" si="10"/>
        <v>356.32675989965577</v>
      </c>
      <c r="AC38" s="539">
        <f t="shared" si="10"/>
        <v>358.44519570508658</v>
      </c>
      <c r="AD38" s="539">
        <f t="shared" si="10"/>
        <v>348.94473488387973</v>
      </c>
      <c r="AE38" s="539">
        <f t="shared" si="10"/>
        <v>362.65077419653329</v>
      </c>
      <c r="AF38" s="539">
        <f t="shared" si="10"/>
        <v>353.03884603201357</v>
      </c>
      <c r="AG38" s="539">
        <f t="shared" si="10"/>
        <v>366.90569604830296</v>
      </c>
      <c r="AH38" s="539">
        <f t="shared" si="10"/>
        <v>0</v>
      </c>
      <c r="AI38" s="539">
        <f t="shared" si="10"/>
        <v>0</v>
      </c>
      <c r="AJ38" s="539">
        <f t="shared" si="10"/>
        <v>0</v>
      </c>
      <c r="AK38" s="539">
        <f t="shared" si="10"/>
        <v>0</v>
      </c>
      <c r="AL38" s="539">
        <f t="shared" si="10"/>
        <v>0</v>
      </c>
      <c r="AM38" s="539">
        <f t="shared" si="10"/>
        <v>0</v>
      </c>
      <c r="AN38" s="539">
        <f t="shared" si="10"/>
        <v>0</v>
      </c>
      <c r="AO38" s="539">
        <f t="shared" si="10"/>
        <v>0</v>
      </c>
      <c r="AP38" s="539">
        <f t="shared" si="10"/>
        <v>0</v>
      </c>
      <c r="AQ38" s="539">
        <f t="shared" si="10"/>
        <v>0</v>
      </c>
      <c r="AR38" s="539">
        <f t="shared" si="10"/>
        <v>0</v>
      </c>
      <c r="AS38" s="539">
        <f t="shared" si="10"/>
        <v>0</v>
      </c>
      <c r="AT38" s="539">
        <f t="shared" si="10"/>
        <v>0</v>
      </c>
      <c r="AU38" s="539">
        <f t="shared" si="10"/>
        <v>0</v>
      </c>
      <c r="AV38" s="539">
        <f t="shared" si="10"/>
        <v>0</v>
      </c>
      <c r="AW38" s="539">
        <f t="shared" si="10"/>
        <v>0</v>
      </c>
      <c r="AX38" s="539">
        <f t="shared" si="10"/>
        <v>0</v>
      </c>
      <c r="AY38" s="539">
        <f t="shared" si="10"/>
        <v>0</v>
      </c>
      <c r="AZ38" s="539">
        <f t="shared" si="10"/>
        <v>0</v>
      </c>
      <c r="BA38" s="539">
        <f t="shared" si="10"/>
        <v>0</v>
      </c>
      <c r="BB38" s="539">
        <f t="shared" si="10"/>
        <v>0</v>
      </c>
      <c r="BC38" s="539">
        <f t="shared" si="10"/>
        <v>0</v>
      </c>
      <c r="BD38" s="539">
        <f t="shared" si="10"/>
        <v>0</v>
      </c>
      <c r="BE38" s="539">
        <f t="shared" si="10"/>
        <v>0</v>
      </c>
      <c r="BF38" s="539">
        <f t="shared" si="10"/>
        <v>0</v>
      </c>
      <c r="BG38" s="539">
        <f t="shared" si="10"/>
        <v>0</v>
      </c>
      <c r="BH38" s="539">
        <f t="shared" si="10"/>
        <v>0</v>
      </c>
      <c r="BI38" s="539">
        <f t="shared" si="10"/>
        <v>0</v>
      </c>
      <c r="BJ38" s="539">
        <f t="shared" si="10"/>
        <v>0</v>
      </c>
      <c r="BK38" s="539">
        <f t="shared" si="10"/>
        <v>0</v>
      </c>
      <c r="BL38" s="539">
        <f t="shared" si="10"/>
        <v>0</v>
      </c>
      <c r="BM38" s="539">
        <f t="shared" si="10"/>
        <v>0</v>
      </c>
      <c r="BN38" s="539">
        <f t="shared" si="10"/>
        <v>0</v>
      </c>
      <c r="BO38" s="539">
        <f t="shared" si="10"/>
        <v>0</v>
      </c>
      <c r="BP38" s="539">
        <f t="shared" si="10"/>
        <v>0</v>
      </c>
      <c r="BQ38" s="539">
        <f t="shared" si="10"/>
        <v>0</v>
      </c>
      <c r="BR38" s="539">
        <f t="shared" si="10"/>
        <v>0</v>
      </c>
      <c r="BS38" s="539">
        <f t="shared" si="10"/>
        <v>0</v>
      </c>
      <c r="BT38" s="539">
        <f t="shared" si="10"/>
        <v>0</v>
      </c>
      <c r="BU38" s="539">
        <f t="shared" si="10"/>
        <v>0</v>
      </c>
      <c r="BV38" s="539">
        <f t="shared" si="10"/>
        <v>0</v>
      </c>
      <c r="BW38" s="539">
        <f t="shared" si="10"/>
        <v>0</v>
      </c>
      <c r="BX38" s="539">
        <f t="shared" si="10"/>
        <v>0</v>
      </c>
      <c r="BY38" s="539">
        <f t="shared" si="10"/>
        <v>0</v>
      </c>
      <c r="BZ38" s="539">
        <f t="shared" si="10"/>
        <v>0</v>
      </c>
      <c r="CA38" s="539">
        <f t="shared" si="10"/>
        <v>0</v>
      </c>
      <c r="CB38" s="539">
        <f t="shared" si="10"/>
        <v>0</v>
      </c>
      <c r="CC38" s="539">
        <f t="shared" si="10"/>
        <v>0</v>
      </c>
      <c r="CD38" s="539">
        <f t="shared" si="10"/>
        <v>0</v>
      </c>
      <c r="CE38" s="539">
        <f t="shared" si="10"/>
        <v>0</v>
      </c>
      <c r="CF38" s="539">
        <f t="shared" si="10"/>
        <v>0</v>
      </c>
      <c r="CG38" s="539">
        <f t="shared" si="10"/>
        <v>0</v>
      </c>
      <c r="CH38" s="539">
        <f t="shared" si="10"/>
        <v>0</v>
      </c>
      <c r="CI38" s="539">
        <f t="shared" si="10"/>
        <v>0</v>
      </c>
      <c r="CJ38" s="539">
        <f t="shared" si="10"/>
        <v>0</v>
      </c>
      <c r="CK38" s="539">
        <f t="shared" si="10"/>
        <v>0</v>
      </c>
      <c r="CL38" s="539">
        <f t="shared" si="10"/>
        <v>0</v>
      </c>
      <c r="CM38" s="539">
        <f t="shared" si="10"/>
        <v>0</v>
      </c>
      <c r="CN38" s="539">
        <f t="shared" si="10"/>
        <v>0</v>
      </c>
      <c r="CO38" s="539">
        <f t="shared" si="10"/>
        <v>0</v>
      </c>
      <c r="CP38" s="539">
        <f t="shared" si="10"/>
        <v>0</v>
      </c>
      <c r="CQ38" s="539">
        <f t="shared" si="10"/>
        <v>0</v>
      </c>
      <c r="CR38" s="539">
        <f t="shared" si="10"/>
        <v>0</v>
      </c>
      <c r="CS38" s="539">
        <f t="shared" si="10"/>
        <v>0</v>
      </c>
      <c r="CT38" s="539">
        <f t="shared" si="10"/>
        <v>0</v>
      </c>
      <c r="CU38" s="539">
        <f t="shared" si="10"/>
        <v>0</v>
      </c>
      <c r="CV38" s="539">
        <f t="shared" si="10"/>
        <v>0</v>
      </c>
      <c r="CW38" s="539">
        <f t="shared" si="10"/>
        <v>0</v>
      </c>
      <c r="CX38" s="539">
        <f t="shared" si="10"/>
        <v>0</v>
      </c>
      <c r="CY38" s="539">
        <f t="shared" si="10"/>
        <v>0</v>
      </c>
      <c r="CZ38" s="539">
        <f t="shared" si="10"/>
        <v>0</v>
      </c>
      <c r="DA38" s="539">
        <f t="shared" si="10"/>
        <v>0</v>
      </c>
      <c r="DB38" s="539">
        <f t="shared" si="10"/>
        <v>0</v>
      </c>
      <c r="DC38" s="539">
        <f t="shared" si="10"/>
        <v>0</v>
      </c>
      <c r="DD38" s="539">
        <f t="shared" si="10"/>
        <v>0</v>
      </c>
      <c r="DE38" s="539">
        <f t="shared" si="10"/>
        <v>0</v>
      </c>
      <c r="DF38" s="539">
        <f t="shared" si="10"/>
        <v>0</v>
      </c>
      <c r="DG38" s="539">
        <f t="shared" si="10"/>
        <v>0</v>
      </c>
      <c r="DH38" s="539">
        <f t="shared" si="10"/>
        <v>0</v>
      </c>
      <c r="DI38" s="539">
        <f t="shared" si="10"/>
        <v>0</v>
      </c>
      <c r="DJ38" s="539">
        <f t="shared" si="10"/>
        <v>0</v>
      </c>
      <c r="DK38" s="539">
        <f t="shared" si="10"/>
        <v>0</v>
      </c>
      <c r="DL38" s="539">
        <f t="shared" si="10"/>
        <v>0</v>
      </c>
      <c r="DM38" s="539">
        <f t="shared" si="10"/>
        <v>0</v>
      </c>
      <c r="DN38" s="539">
        <f t="shared" si="10"/>
        <v>0</v>
      </c>
      <c r="DO38" s="539">
        <f t="shared" si="10"/>
        <v>0</v>
      </c>
      <c r="DP38" s="539">
        <f t="shared" si="10"/>
        <v>0</v>
      </c>
      <c r="DQ38" s="539">
        <f t="shared" si="10"/>
        <v>0</v>
      </c>
      <c r="DR38" s="539">
        <f t="shared" si="10"/>
        <v>0</v>
      </c>
      <c r="DS38" s="539">
        <f t="shared" si="10"/>
        <v>0</v>
      </c>
      <c r="DT38" s="539">
        <f t="shared" si="10"/>
        <v>0</v>
      </c>
      <c r="DU38" s="539">
        <f t="shared" si="10"/>
        <v>0</v>
      </c>
      <c r="DV38" s="539">
        <f t="shared" si="10"/>
        <v>0</v>
      </c>
      <c r="DW38" s="539">
        <f t="shared" si="10"/>
        <v>0</v>
      </c>
      <c r="DX38" s="539">
        <f t="shared" si="10"/>
        <v>0</v>
      </c>
      <c r="DY38" s="539">
        <f t="shared" si="10"/>
        <v>0</v>
      </c>
      <c r="DZ38" s="539">
        <f t="shared" si="10"/>
        <v>0</v>
      </c>
      <c r="EA38" s="539">
        <f t="shared" si="10"/>
        <v>0</v>
      </c>
      <c r="EB38" s="539">
        <f t="shared" si="10"/>
        <v>0</v>
      </c>
      <c r="EC38" s="539">
        <f t="shared" si="10"/>
        <v>0</v>
      </c>
      <c r="ED38" s="539">
        <f t="shared" si="10"/>
        <v>0</v>
      </c>
      <c r="EE38" s="539">
        <f t="shared" si="10"/>
        <v>0</v>
      </c>
      <c r="EF38" s="539">
        <f t="shared" si="10"/>
        <v>0</v>
      </c>
      <c r="EG38" s="539">
        <f t="shared" si="10"/>
        <v>0</v>
      </c>
    </row>
    <row r="40" spans="5:137" ht="12.75">
      <c r="E40" s="538" t="str">
        <f>E$31</f>
        <v>Shareholder loan - interest accrued</v>
      </c>
      <c r="G40" s="539" t="str">
        <f>G$31</f>
        <v>EUR 000s</v>
      </c>
      <c r="H40" s="539">
        <f>H$31</f>
        <v>21873.02417300528</v>
      </c>
      <c r="J40" s="539">
        <f t="shared" si="11" ref="J40:EG40">J$31</f>
        <v>0</v>
      </c>
      <c r="K40" s="539">
        <f t="shared" si="11"/>
        <v>0</v>
      </c>
      <c r="L40" s="539">
        <f t="shared" si="11"/>
        <v>0</v>
      </c>
      <c r="M40" s="539">
        <f t="shared" si="11"/>
        <v>52.099790485913836</v>
      </c>
      <c r="N40" s="539">
        <f t="shared" si="11"/>
        <v>117.88207939222379</v>
      </c>
      <c r="O40" s="539">
        <f t="shared" si="11"/>
        <v>178.00613039155573</v>
      </c>
      <c r="P40" s="539">
        <f t="shared" si="11"/>
        <v>248.81799701115708</v>
      </c>
      <c r="Q40" s="539">
        <f t="shared" si="11"/>
        <v>315.74099263477558</v>
      </c>
      <c r="R40" s="539">
        <f t="shared" si="11"/>
        <v>325.35807883796764</v>
      </c>
      <c r="S40" s="539">
        <f t="shared" si="11"/>
        <v>338.13766876565802</v>
      </c>
      <c r="T40" s="539">
        <f t="shared" si="11"/>
        <v>329.17545163239942</v>
      </c>
      <c r="U40" s="539">
        <f t="shared" si="11"/>
        <v>342.1049823855588</v>
      </c>
      <c r="V40" s="539">
        <f t="shared" si="11"/>
        <v>344.13886680138523</v>
      </c>
      <c r="W40" s="539">
        <f t="shared" si="11"/>
        <v>323.85033707295395</v>
      </c>
      <c r="X40" s="539">
        <f t="shared" si="11"/>
        <v>348.11019987647381</v>
      </c>
      <c r="Y40" s="539">
        <f t="shared" si="11"/>
        <v>338.88366439764434</v>
      </c>
      <c r="Z40" s="539">
        <f t="shared" si="11"/>
        <v>352.1945195627062</v>
      </c>
      <c r="AA40" s="539">
        <f t="shared" si="11"/>
        <v>342.85973066152582</v>
      </c>
      <c r="AB40" s="539">
        <f t="shared" si="11"/>
        <v>356.32675989965577</v>
      </c>
      <c r="AC40" s="539">
        <f t="shared" si="11"/>
        <v>358.44519570508658</v>
      </c>
      <c r="AD40" s="539">
        <f t="shared" si="11"/>
        <v>348.94473488387973</v>
      </c>
      <c r="AE40" s="539">
        <f t="shared" si="11"/>
        <v>362.65077419653329</v>
      </c>
      <c r="AF40" s="539">
        <f t="shared" si="11"/>
        <v>353.03884603201357</v>
      </c>
      <c r="AG40" s="539">
        <f t="shared" si="11"/>
        <v>366.90569604830296</v>
      </c>
      <c r="AH40" s="539">
        <f t="shared" si="11"/>
        <v>1071.5429781374269</v>
      </c>
      <c r="AI40" s="539">
        <f t="shared" si="11"/>
        <v>1077.9973316179048</v>
      </c>
      <c r="AJ40" s="539">
        <f t="shared" si="11"/>
        <v>1050.82349605998</v>
      </c>
      <c r="AK40" s="539">
        <f t="shared" si="11"/>
        <v>1012.1030926213383</v>
      </c>
      <c r="AL40" s="539">
        <f t="shared" si="11"/>
        <v>952.42274687426186</v>
      </c>
      <c r="AM40" s="539">
        <f t="shared" si="11"/>
        <v>921.77940468535701</v>
      </c>
      <c r="AN40" s="539">
        <f t="shared" si="11"/>
        <v>887.94515691215736</v>
      </c>
      <c r="AO40" s="539">
        <f t="shared" si="11"/>
        <v>844.17309819080367</v>
      </c>
      <c r="AP40" s="539">
        <f t="shared" si="11"/>
        <v>783.12552875123345</v>
      </c>
      <c r="AQ40" s="539">
        <f t="shared" si="11"/>
        <v>745.48593906623933</v>
      </c>
      <c r="AR40" s="539">
        <f t="shared" si="11"/>
        <v>704.39428110844801</v>
      </c>
      <c r="AS40" s="539">
        <f t="shared" si="11"/>
        <v>655.37444241285584</v>
      </c>
      <c r="AT40" s="539">
        <f t="shared" si="11"/>
        <v>599.43267294288569</v>
      </c>
      <c r="AU40" s="539">
        <f t="shared" si="11"/>
        <v>577.77829119205717</v>
      </c>
      <c r="AV40" s="539">
        <f t="shared" si="11"/>
        <v>560.67380378579355</v>
      </c>
      <c r="AW40" s="539">
        <f t="shared" si="11"/>
        <v>537.39823747367063</v>
      </c>
      <c r="AX40" s="539">
        <f t="shared" si="11"/>
        <v>503.52184390108283</v>
      </c>
      <c r="AY40" s="539">
        <f t="shared" si="11"/>
        <v>453.50732356939324</v>
      </c>
      <c r="AZ40" s="539">
        <f t="shared" si="11"/>
        <v>399.52554331808381</v>
      </c>
      <c r="BA40" s="539">
        <f t="shared" si="11"/>
        <v>339.34689841425455</v>
      </c>
      <c r="BB40" s="539">
        <f t="shared" si="11"/>
        <v>272.8980846823859</v>
      </c>
      <c r="BC40" s="539">
        <f t="shared" si="11"/>
        <v>214.79849871647352</v>
      </c>
      <c r="BD40" s="539">
        <f t="shared" si="11"/>
        <v>152.65029218121541</v>
      </c>
      <c r="BE40" s="539">
        <f t="shared" si="11"/>
        <v>87.951433015574608</v>
      </c>
      <c r="BF40" s="539">
        <f t="shared" si="11"/>
        <v>22.701256699025635</v>
      </c>
      <c r="BG40" s="539">
        <f t="shared" si="11"/>
        <v>0</v>
      </c>
      <c r="BH40" s="539">
        <f t="shared" si="11"/>
        <v>0</v>
      </c>
      <c r="BI40" s="539">
        <f t="shared" si="11"/>
        <v>0</v>
      </c>
      <c r="BJ40" s="539">
        <f t="shared" si="11"/>
        <v>0</v>
      </c>
      <c r="BK40" s="539">
        <f t="shared" si="11"/>
        <v>0</v>
      </c>
      <c r="BL40" s="539">
        <f t="shared" si="11"/>
        <v>0</v>
      </c>
      <c r="BM40" s="539">
        <f t="shared" si="11"/>
        <v>0</v>
      </c>
      <c r="BN40" s="539">
        <f t="shared" si="11"/>
        <v>0</v>
      </c>
      <c r="BO40" s="539">
        <f t="shared" si="11"/>
        <v>0</v>
      </c>
      <c r="BP40" s="539">
        <f t="shared" si="11"/>
        <v>0</v>
      </c>
      <c r="BQ40" s="539">
        <f t="shared" si="11"/>
        <v>0</v>
      </c>
      <c r="BR40" s="539">
        <f t="shared" si="11"/>
        <v>0</v>
      </c>
      <c r="BS40" s="539">
        <f t="shared" si="11"/>
        <v>0</v>
      </c>
      <c r="BT40" s="539">
        <f t="shared" si="11"/>
        <v>0</v>
      </c>
      <c r="BU40" s="539">
        <f t="shared" si="11"/>
        <v>0</v>
      </c>
      <c r="BV40" s="539">
        <f t="shared" si="11"/>
        <v>0</v>
      </c>
      <c r="BW40" s="539">
        <f t="shared" si="11"/>
        <v>0</v>
      </c>
      <c r="BX40" s="539">
        <f t="shared" si="11"/>
        <v>0</v>
      </c>
      <c r="BY40" s="539">
        <f t="shared" si="11"/>
        <v>0</v>
      </c>
      <c r="BZ40" s="539">
        <f t="shared" si="11"/>
        <v>0</v>
      </c>
      <c r="CA40" s="539">
        <f t="shared" si="11"/>
        <v>0</v>
      </c>
      <c r="CB40" s="539">
        <f t="shared" si="11"/>
        <v>0</v>
      </c>
      <c r="CC40" s="539">
        <f t="shared" si="11"/>
        <v>0</v>
      </c>
      <c r="CD40" s="539">
        <f t="shared" si="11"/>
        <v>0</v>
      </c>
      <c r="CE40" s="539">
        <f t="shared" si="11"/>
        <v>0</v>
      </c>
      <c r="CF40" s="539">
        <f t="shared" si="11"/>
        <v>0</v>
      </c>
      <c r="CG40" s="539">
        <f t="shared" si="11"/>
        <v>0</v>
      </c>
      <c r="CH40" s="539">
        <f t="shared" si="11"/>
        <v>0</v>
      </c>
      <c r="CI40" s="539">
        <f t="shared" si="11"/>
        <v>0</v>
      </c>
      <c r="CJ40" s="539">
        <f t="shared" si="11"/>
        <v>0</v>
      </c>
      <c r="CK40" s="539">
        <f t="shared" si="11"/>
        <v>0</v>
      </c>
      <c r="CL40" s="539">
        <f t="shared" si="11"/>
        <v>0</v>
      </c>
      <c r="CM40" s="539">
        <f t="shared" si="11"/>
        <v>0</v>
      </c>
      <c r="CN40" s="539">
        <f t="shared" si="11"/>
        <v>0</v>
      </c>
      <c r="CO40" s="539">
        <f t="shared" si="11"/>
        <v>0</v>
      </c>
      <c r="CP40" s="539">
        <f t="shared" si="11"/>
        <v>0</v>
      </c>
      <c r="CQ40" s="539">
        <f t="shared" si="11"/>
        <v>0</v>
      </c>
      <c r="CR40" s="539">
        <f t="shared" si="11"/>
        <v>0</v>
      </c>
      <c r="CS40" s="539">
        <f t="shared" si="11"/>
        <v>0</v>
      </c>
      <c r="CT40" s="539">
        <f t="shared" si="11"/>
        <v>0</v>
      </c>
      <c r="CU40" s="539">
        <f t="shared" si="11"/>
        <v>0</v>
      </c>
      <c r="CV40" s="539">
        <f t="shared" si="11"/>
        <v>0</v>
      </c>
      <c r="CW40" s="539">
        <f t="shared" si="11"/>
        <v>0</v>
      </c>
      <c r="CX40" s="539">
        <f t="shared" si="11"/>
        <v>0</v>
      </c>
      <c r="CY40" s="539">
        <f t="shared" si="11"/>
        <v>0</v>
      </c>
      <c r="CZ40" s="539">
        <f t="shared" si="11"/>
        <v>0</v>
      </c>
      <c r="DA40" s="539">
        <f t="shared" si="11"/>
        <v>0</v>
      </c>
      <c r="DB40" s="539">
        <f t="shared" si="11"/>
        <v>0</v>
      </c>
      <c r="DC40" s="539">
        <f t="shared" si="11"/>
        <v>0</v>
      </c>
      <c r="DD40" s="539">
        <f t="shared" si="11"/>
        <v>0</v>
      </c>
      <c r="DE40" s="539">
        <f t="shared" si="11"/>
        <v>0</v>
      </c>
      <c r="DF40" s="539">
        <f t="shared" si="11"/>
        <v>0</v>
      </c>
      <c r="DG40" s="539">
        <f t="shared" si="11"/>
        <v>0</v>
      </c>
      <c r="DH40" s="539">
        <f t="shared" si="11"/>
        <v>0</v>
      </c>
      <c r="DI40" s="539">
        <f t="shared" si="11"/>
        <v>0</v>
      </c>
      <c r="DJ40" s="539">
        <f t="shared" si="11"/>
        <v>0</v>
      </c>
      <c r="DK40" s="539">
        <f t="shared" si="11"/>
        <v>0</v>
      </c>
      <c r="DL40" s="539">
        <f t="shared" si="11"/>
        <v>0</v>
      </c>
      <c r="DM40" s="539">
        <f t="shared" si="11"/>
        <v>0</v>
      </c>
      <c r="DN40" s="539">
        <f t="shared" si="11"/>
        <v>0</v>
      </c>
      <c r="DO40" s="539">
        <f t="shared" si="11"/>
        <v>0</v>
      </c>
      <c r="DP40" s="539">
        <f t="shared" si="11"/>
        <v>0</v>
      </c>
      <c r="DQ40" s="539">
        <f t="shared" si="11"/>
        <v>0</v>
      </c>
      <c r="DR40" s="539">
        <f t="shared" si="11"/>
        <v>0</v>
      </c>
      <c r="DS40" s="539">
        <f t="shared" si="11"/>
        <v>0</v>
      </c>
      <c r="DT40" s="539">
        <f t="shared" si="11"/>
        <v>0</v>
      </c>
      <c r="DU40" s="539">
        <f t="shared" si="11"/>
        <v>0</v>
      </c>
      <c r="DV40" s="539">
        <f t="shared" si="11"/>
        <v>0</v>
      </c>
      <c r="DW40" s="539">
        <f t="shared" si="11"/>
        <v>0</v>
      </c>
      <c r="DX40" s="539">
        <f t="shared" si="11"/>
        <v>0</v>
      </c>
      <c r="DY40" s="539">
        <f t="shared" si="11"/>
        <v>0</v>
      </c>
      <c r="DZ40" s="539">
        <f t="shared" si="11"/>
        <v>0</v>
      </c>
      <c r="EA40" s="539">
        <f t="shared" si="11"/>
        <v>0</v>
      </c>
      <c r="EB40" s="539">
        <f t="shared" si="11"/>
        <v>0</v>
      </c>
      <c r="EC40" s="539">
        <f t="shared" si="11"/>
        <v>0</v>
      </c>
      <c r="ED40" s="539">
        <f t="shared" si="11"/>
        <v>0</v>
      </c>
      <c r="EE40" s="539">
        <f t="shared" si="11"/>
        <v>0</v>
      </c>
      <c r="EF40" s="539">
        <f t="shared" si="11"/>
        <v>0</v>
      </c>
      <c r="EG40" s="539">
        <f t="shared" si="11"/>
        <v>0</v>
      </c>
    </row>
    <row r="41" spans="5:137" ht="12.75">
      <c r="E41" s="538" t="str">
        <f>E$38</f>
        <v>Shareholder loan - interest capitalised</v>
      </c>
      <c r="G41" s="539" t="str">
        <f>G$38</f>
        <v>EUR 000s</v>
      </c>
      <c r="H41" s="539">
        <f>H$38</f>
        <v>6443.6724966753709</v>
      </c>
      <c r="J41" s="539">
        <f t="shared" si="12" ref="J41:EG41">J$38</f>
        <v>0</v>
      </c>
      <c r="K41" s="539">
        <f t="shared" si="12"/>
        <v>0</v>
      </c>
      <c r="L41" s="539">
        <f t="shared" si="12"/>
        <v>0</v>
      </c>
      <c r="M41" s="539">
        <f t="shared" si="12"/>
        <v>52.099790485913836</v>
      </c>
      <c r="N41" s="539">
        <f t="shared" si="12"/>
        <v>117.88207939222379</v>
      </c>
      <c r="O41" s="539">
        <f t="shared" si="12"/>
        <v>178.00613039155573</v>
      </c>
      <c r="P41" s="539">
        <f t="shared" si="12"/>
        <v>248.81799701115708</v>
      </c>
      <c r="Q41" s="539">
        <f t="shared" si="12"/>
        <v>315.74099263477558</v>
      </c>
      <c r="R41" s="539">
        <f t="shared" si="12"/>
        <v>325.35807883796764</v>
      </c>
      <c r="S41" s="539">
        <f t="shared" si="12"/>
        <v>338.13766876565802</v>
      </c>
      <c r="T41" s="539">
        <f t="shared" si="12"/>
        <v>329.17545163239942</v>
      </c>
      <c r="U41" s="539">
        <f t="shared" si="12"/>
        <v>342.1049823855588</v>
      </c>
      <c r="V41" s="539">
        <f t="shared" si="12"/>
        <v>344.13886680138523</v>
      </c>
      <c r="W41" s="539">
        <f t="shared" si="12"/>
        <v>323.85033707295395</v>
      </c>
      <c r="X41" s="539">
        <f t="shared" si="12"/>
        <v>348.11019987647381</v>
      </c>
      <c r="Y41" s="539">
        <f t="shared" si="12"/>
        <v>338.88366439764434</v>
      </c>
      <c r="Z41" s="539">
        <f t="shared" si="12"/>
        <v>352.1945195627062</v>
      </c>
      <c r="AA41" s="539">
        <f t="shared" si="12"/>
        <v>342.85973066152582</v>
      </c>
      <c r="AB41" s="539">
        <f t="shared" si="12"/>
        <v>356.32675989965577</v>
      </c>
      <c r="AC41" s="539">
        <f t="shared" si="12"/>
        <v>358.44519570508658</v>
      </c>
      <c r="AD41" s="539">
        <f t="shared" si="12"/>
        <v>348.94473488387973</v>
      </c>
      <c r="AE41" s="539">
        <f t="shared" si="12"/>
        <v>362.65077419653329</v>
      </c>
      <c r="AF41" s="539">
        <f t="shared" si="12"/>
        <v>353.03884603201357</v>
      </c>
      <c r="AG41" s="539">
        <f t="shared" si="12"/>
        <v>366.90569604830296</v>
      </c>
      <c r="AH41" s="539">
        <f t="shared" si="12"/>
        <v>0</v>
      </c>
      <c r="AI41" s="539">
        <f t="shared" si="12"/>
        <v>0</v>
      </c>
      <c r="AJ41" s="539">
        <f t="shared" si="12"/>
        <v>0</v>
      </c>
      <c r="AK41" s="539">
        <f t="shared" si="12"/>
        <v>0</v>
      </c>
      <c r="AL41" s="539">
        <f t="shared" si="12"/>
        <v>0</v>
      </c>
      <c r="AM41" s="539">
        <f t="shared" si="12"/>
        <v>0</v>
      </c>
      <c r="AN41" s="539">
        <f t="shared" si="12"/>
        <v>0</v>
      </c>
      <c r="AO41" s="539">
        <f t="shared" si="12"/>
        <v>0</v>
      </c>
      <c r="AP41" s="539">
        <f t="shared" si="12"/>
        <v>0</v>
      </c>
      <c r="AQ41" s="539">
        <f t="shared" si="12"/>
        <v>0</v>
      </c>
      <c r="AR41" s="539">
        <f t="shared" si="12"/>
        <v>0</v>
      </c>
      <c r="AS41" s="539">
        <f t="shared" si="12"/>
        <v>0</v>
      </c>
      <c r="AT41" s="539">
        <f t="shared" si="12"/>
        <v>0</v>
      </c>
      <c r="AU41" s="539">
        <f t="shared" si="12"/>
        <v>0</v>
      </c>
      <c r="AV41" s="539">
        <f t="shared" si="12"/>
        <v>0</v>
      </c>
      <c r="AW41" s="539">
        <f t="shared" si="12"/>
        <v>0</v>
      </c>
      <c r="AX41" s="539">
        <f t="shared" si="12"/>
        <v>0</v>
      </c>
      <c r="AY41" s="539">
        <f t="shared" si="12"/>
        <v>0</v>
      </c>
      <c r="AZ41" s="539">
        <f t="shared" si="12"/>
        <v>0</v>
      </c>
      <c r="BA41" s="539">
        <f t="shared" si="12"/>
        <v>0</v>
      </c>
      <c r="BB41" s="539">
        <f t="shared" si="12"/>
        <v>0</v>
      </c>
      <c r="BC41" s="539">
        <f t="shared" si="12"/>
        <v>0</v>
      </c>
      <c r="BD41" s="539">
        <f t="shared" si="12"/>
        <v>0</v>
      </c>
      <c r="BE41" s="539">
        <f t="shared" si="12"/>
        <v>0</v>
      </c>
      <c r="BF41" s="539">
        <f t="shared" si="12"/>
        <v>0</v>
      </c>
      <c r="BG41" s="539">
        <f t="shared" si="12"/>
        <v>0</v>
      </c>
      <c r="BH41" s="539">
        <f t="shared" si="12"/>
        <v>0</v>
      </c>
      <c r="BI41" s="539">
        <f t="shared" si="12"/>
        <v>0</v>
      </c>
      <c r="BJ41" s="539">
        <f t="shared" si="12"/>
        <v>0</v>
      </c>
      <c r="BK41" s="539">
        <f t="shared" si="12"/>
        <v>0</v>
      </c>
      <c r="BL41" s="539">
        <f t="shared" si="12"/>
        <v>0</v>
      </c>
      <c r="BM41" s="539">
        <f t="shared" si="12"/>
        <v>0</v>
      </c>
      <c r="BN41" s="539">
        <f t="shared" si="12"/>
        <v>0</v>
      </c>
      <c r="BO41" s="539">
        <f t="shared" si="12"/>
        <v>0</v>
      </c>
      <c r="BP41" s="539">
        <f t="shared" si="12"/>
        <v>0</v>
      </c>
      <c r="BQ41" s="539">
        <f t="shared" si="12"/>
        <v>0</v>
      </c>
      <c r="BR41" s="539">
        <f t="shared" si="12"/>
        <v>0</v>
      </c>
      <c r="BS41" s="539">
        <f t="shared" si="12"/>
        <v>0</v>
      </c>
      <c r="BT41" s="539">
        <f t="shared" si="12"/>
        <v>0</v>
      </c>
      <c r="BU41" s="539">
        <f t="shared" si="12"/>
        <v>0</v>
      </c>
      <c r="BV41" s="539">
        <f t="shared" si="12"/>
        <v>0</v>
      </c>
      <c r="BW41" s="539">
        <f t="shared" si="12"/>
        <v>0</v>
      </c>
      <c r="BX41" s="539">
        <f t="shared" si="12"/>
        <v>0</v>
      </c>
      <c r="BY41" s="539">
        <f t="shared" si="12"/>
        <v>0</v>
      </c>
      <c r="BZ41" s="539">
        <f t="shared" si="12"/>
        <v>0</v>
      </c>
      <c r="CA41" s="539">
        <f t="shared" si="12"/>
        <v>0</v>
      </c>
      <c r="CB41" s="539">
        <f t="shared" si="12"/>
        <v>0</v>
      </c>
      <c r="CC41" s="539">
        <f t="shared" si="12"/>
        <v>0</v>
      </c>
      <c r="CD41" s="539">
        <f t="shared" si="12"/>
        <v>0</v>
      </c>
      <c r="CE41" s="539">
        <f t="shared" si="12"/>
        <v>0</v>
      </c>
      <c r="CF41" s="539">
        <f t="shared" si="12"/>
        <v>0</v>
      </c>
      <c r="CG41" s="539">
        <f t="shared" si="12"/>
        <v>0</v>
      </c>
      <c r="CH41" s="539">
        <f t="shared" si="12"/>
        <v>0</v>
      </c>
      <c r="CI41" s="539">
        <f t="shared" si="12"/>
        <v>0</v>
      </c>
      <c r="CJ41" s="539">
        <f t="shared" si="12"/>
        <v>0</v>
      </c>
      <c r="CK41" s="539">
        <f t="shared" si="12"/>
        <v>0</v>
      </c>
      <c r="CL41" s="539">
        <f t="shared" si="12"/>
        <v>0</v>
      </c>
      <c r="CM41" s="539">
        <f t="shared" si="12"/>
        <v>0</v>
      </c>
      <c r="CN41" s="539">
        <f t="shared" si="12"/>
        <v>0</v>
      </c>
      <c r="CO41" s="539">
        <f t="shared" si="12"/>
        <v>0</v>
      </c>
      <c r="CP41" s="539">
        <f t="shared" si="12"/>
        <v>0</v>
      </c>
      <c r="CQ41" s="539">
        <f t="shared" si="12"/>
        <v>0</v>
      </c>
      <c r="CR41" s="539">
        <f t="shared" si="12"/>
        <v>0</v>
      </c>
      <c r="CS41" s="539">
        <f t="shared" si="12"/>
        <v>0</v>
      </c>
      <c r="CT41" s="539">
        <f t="shared" si="12"/>
        <v>0</v>
      </c>
      <c r="CU41" s="539">
        <f t="shared" si="12"/>
        <v>0</v>
      </c>
      <c r="CV41" s="539">
        <f t="shared" si="12"/>
        <v>0</v>
      </c>
      <c r="CW41" s="539">
        <f t="shared" si="12"/>
        <v>0</v>
      </c>
      <c r="CX41" s="539">
        <f t="shared" si="12"/>
        <v>0</v>
      </c>
      <c r="CY41" s="539">
        <f t="shared" si="12"/>
        <v>0</v>
      </c>
      <c r="CZ41" s="539">
        <f t="shared" si="12"/>
        <v>0</v>
      </c>
      <c r="DA41" s="539">
        <f t="shared" si="12"/>
        <v>0</v>
      </c>
      <c r="DB41" s="539">
        <f t="shared" si="12"/>
        <v>0</v>
      </c>
      <c r="DC41" s="539">
        <f t="shared" si="12"/>
        <v>0</v>
      </c>
      <c r="DD41" s="539">
        <f t="shared" si="12"/>
        <v>0</v>
      </c>
      <c r="DE41" s="539">
        <f t="shared" si="12"/>
        <v>0</v>
      </c>
      <c r="DF41" s="539">
        <f t="shared" si="12"/>
        <v>0</v>
      </c>
      <c r="DG41" s="539">
        <f t="shared" si="12"/>
        <v>0</v>
      </c>
      <c r="DH41" s="539">
        <f t="shared" si="12"/>
        <v>0</v>
      </c>
      <c r="DI41" s="539">
        <f t="shared" si="12"/>
        <v>0</v>
      </c>
      <c r="DJ41" s="539">
        <f t="shared" si="12"/>
        <v>0</v>
      </c>
      <c r="DK41" s="539">
        <f t="shared" si="12"/>
        <v>0</v>
      </c>
      <c r="DL41" s="539">
        <f t="shared" si="12"/>
        <v>0</v>
      </c>
      <c r="DM41" s="539">
        <f t="shared" si="12"/>
        <v>0</v>
      </c>
      <c r="DN41" s="539">
        <f t="shared" si="12"/>
        <v>0</v>
      </c>
      <c r="DO41" s="539">
        <f t="shared" si="12"/>
        <v>0</v>
      </c>
      <c r="DP41" s="539">
        <f t="shared" si="12"/>
        <v>0</v>
      </c>
      <c r="DQ41" s="539">
        <f t="shared" si="12"/>
        <v>0</v>
      </c>
      <c r="DR41" s="539">
        <f t="shared" si="12"/>
        <v>0</v>
      </c>
      <c r="DS41" s="539">
        <f t="shared" si="12"/>
        <v>0</v>
      </c>
      <c r="DT41" s="539">
        <f t="shared" si="12"/>
        <v>0</v>
      </c>
      <c r="DU41" s="539">
        <f t="shared" si="12"/>
        <v>0</v>
      </c>
      <c r="DV41" s="539">
        <f t="shared" si="12"/>
        <v>0</v>
      </c>
      <c r="DW41" s="539">
        <f t="shared" si="12"/>
        <v>0</v>
      </c>
      <c r="DX41" s="539">
        <f t="shared" si="12"/>
        <v>0</v>
      </c>
      <c r="DY41" s="539">
        <f t="shared" si="12"/>
        <v>0</v>
      </c>
      <c r="DZ41" s="539">
        <f t="shared" si="12"/>
        <v>0</v>
      </c>
      <c r="EA41" s="539">
        <f t="shared" si="12"/>
        <v>0</v>
      </c>
      <c r="EB41" s="539">
        <f t="shared" si="12"/>
        <v>0</v>
      </c>
      <c r="EC41" s="539">
        <f t="shared" si="12"/>
        <v>0</v>
      </c>
      <c r="ED41" s="539">
        <f t="shared" si="12"/>
        <v>0</v>
      </c>
      <c r="EE41" s="539">
        <f t="shared" si="12"/>
        <v>0</v>
      </c>
      <c r="EF41" s="539">
        <f t="shared" si="12"/>
        <v>0</v>
      </c>
      <c r="EG41" s="539">
        <f t="shared" si="12"/>
        <v>0</v>
      </c>
    </row>
    <row r="42" spans="5:137" ht="12.75">
      <c r="E42" s="538" t="s">
        <v>472</v>
      </c>
      <c r="G42" s="539" t="s">
        <v>30</v>
      </c>
      <c r="H42" s="539">
        <f>SUM(J42:EG42)</f>
        <v>15429.351676329899</v>
      </c>
      <c r="J42" s="539">
        <f t="shared" si="13" ref="J42:EG42">J40-J41</f>
        <v>0</v>
      </c>
      <c r="K42" s="539">
        <f t="shared" si="13"/>
        <v>0</v>
      </c>
      <c r="L42" s="539">
        <f t="shared" si="13"/>
        <v>0</v>
      </c>
      <c r="M42" s="539">
        <f t="shared" si="13"/>
        <v>0</v>
      </c>
      <c r="N42" s="539">
        <f t="shared" si="13"/>
        <v>0</v>
      </c>
      <c r="O42" s="539">
        <f t="shared" si="13"/>
        <v>0</v>
      </c>
      <c r="P42" s="539">
        <f t="shared" si="13"/>
        <v>0</v>
      </c>
      <c r="Q42" s="539">
        <f t="shared" si="13"/>
        <v>0</v>
      </c>
      <c r="R42" s="539">
        <f t="shared" si="13"/>
        <v>0</v>
      </c>
      <c r="S42" s="539">
        <f t="shared" si="13"/>
        <v>0</v>
      </c>
      <c r="T42" s="539">
        <f t="shared" si="13"/>
        <v>0</v>
      </c>
      <c r="U42" s="539">
        <f t="shared" si="13"/>
        <v>0</v>
      </c>
      <c r="V42" s="539">
        <f t="shared" si="13"/>
        <v>0</v>
      </c>
      <c r="W42" s="539">
        <f t="shared" si="13"/>
        <v>0</v>
      </c>
      <c r="X42" s="539">
        <f t="shared" si="13"/>
        <v>0</v>
      </c>
      <c r="Y42" s="539">
        <f t="shared" si="13"/>
        <v>0</v>
      </c>
      <c r="Z42" s="539">
        <f t="shared" si="13"/>
        <v>0</v>
      </c>
      <c r="AA42" s="539">
        <f t="shared" si="13"/>
        <v>0</v>
      </c>
      <c r="AB42" s="539">
        <f t="shared" si="13"/>
        <v>0</v>
      </c>
      <c r="AC42" s="539">
        <f t="shared" si="13"/>
        <v>0</v>
      </c>
      <c r="AD42" s="539">
        <f t="shared" si="13"/>
        <v>0</v>
      </c>
      <c r="AE42" s="539">
        <f t="shared" si="13"/>
        <v>0</v>
      </c>
      <c r="AF42" s="539">
        <f t="shared" si="13"/>
        <v>0</v>
      </c>
      <c r="AG42" s="539">
        <f t="shared" si="13"/>
        <v>0</v>
      </c>
      <c r="AH42" s="539">
        <f t="shared" si="13"/>
        <v>1071.5429781374269</v>
      </c>
      <c r="AI42" s="539">
        <f t="shared" si="13"/>
        <v>1077.9973316179048</v>
      </c>
      <c r="AJ42" s="539">
        <f t="shared" si="13"/>
        <v>1050.82349605998</v>
      </c>
      <c r="AK42" s="539">
        <f t="shared" si="13"/>
        <v>1012.1030926213383</v>
      </c>
      <c r="AL42" s="539">
        <f t="shared" si="13"/>
        <v>952.42274687426186</v>
      </c>
      <c r="AM42" s="539">
        <f t="shared" si="13"/>
        <v>921.77940468535701</v>
      </c>
      <c r="AN42" s="539">
        <f t="shared" si="13"/>
        <v>887.94515691215736</v>
      </c>
      <c r="AO42" s="539">
        <f t="shared" si="13"/>
        <v>844.17309819080367</v>
      </c>
      <c r="AP42" s="539">
        <f t="shared" si="13"/>
        <v>783.12552875123345</v>
      </c>
      <c r="AQ42" s="539">
        <f t="shared" si="13"/>
        <v>745.48593906623933</v>
      </c>
      <c r="AR42" s="539">
        <f t="shared" si="13"/>
        <v>704.39428110844801</v>
      </c>
      <c r="AS42" s="539">
        <f t="shared" si="13"/>
        <v>655.37444241285584</v>
      </c>
      <c r="AT42" s="539">
        <f t="shared" si="13"/>
        <v>599.43267294288569</v>
      </c>
      <c r="AU42" s="539">
        <f t="shared" si="13"/>
        <v>577.77829119205717</v>
      </c>
      <c r="AV42" s="539">
        <f t="shared" si="13"/>
        <v>560.67380378579355</v>
      </c>
      <c r="AW42" s="539">
        <f t="shared" si="13"/>
        <v>537.39823747367063</v>
      </c>
      <c r="AX42" s="539">
        <f t="shared" si="13"/>
        <v>503.52184390108283</v>
      </c>
      <c r="AY42" s="539">
        <f t="shared" si="13"/>
        <v>453.50732356939324</v>
      </c>
      <c r="AZ42" s="539">
        <f t="shared" si="13"/>
        <v>399.52554331808381</v>
      </c>
      <c r="BA42" s="539">
        <f t="shared" si="13"/>
        <v>339.34689841425455</v>
      </c>
      <c r="BB42" s="539">
        <f t="shared" si="13"/>
        <v>272.8980846823859</v>
      </c>
      <c r="BC42" s="539">
        <f t="shared" si="13"/>
        <v>214.79849871647352</v>
      </c>
      <c r="BD42" s="539">
        <f t="shared" si="13"/>
        <v>152.65029218121541</v>
      </c>
      <c r="BE42" s="539">
        <f t="shared" si="13"/>
        <v>87.951433015574608</v>
      </c>
      <c r="BF42" s="539">
        <f t="shared" si="13"/>
        <v>22.701256699025635</v>
      </c>
      <c r="BG42" s="539">
        <f t="shared" si="13"/>
        <v>0</v>
      </c>
      <c r="BH42" s="539">
        <f t="shared" si="13"/>
        <v>0</v>
      </c>
      <c r="BI42" s="539">
        <f t="shared" si="13"/>
        <v>0</v>
      </c>
      <c r="BJ42" s="539">
        <f t="shared" si="13"/>
        <v>0</v>
      </c>
      <c r="BK42" s="539">
        <f t="shared" si="13"/>
        <v>0</v>
      </c>
      <c r="BL42" s="539">
        <f t="shared" si="13"/>
        <v>0</v>
      </c>
      <c r="BM42" s="539">
        <f t="shared" si="13"/>
        <v>0</v>
      </c>
      <c r="BN42" s="539">
        <f t="shared" si="13"/>
        <v>0</v>
      </c>
      <c r="BO42" s="539">
        <f t="shared" si="13"/>
        <v>0</v>
      </c>
      <c r="BP42" s="539">
        <f t="shared" si="13"/>
        <v>0</v>
      </c>
      <c r="BQ42" s="539">
        <f t="shared" si="13"/>
        <v>0</v>
      </c>
      <c r="BR42" s="539">
        <f t="shared" si="13"/>
        <v>0</v>
      </c>
      <c r="BS42" s="539">
        <f t="shared" si="13"/>
        <v>0</v>
      </c>
      <c r="BT42" s="539">
        <f t="shared" si="13"/>
        <v>0</v>
      </c>
      <c r="BU42" s="539">
        <f t="shared" si="13"/>
        <v>0</v>
      </c>
      <c r="BV42" s="539">
        <f t="shared" si="13"/>
        <v>0</v>
      </c>
      <c r="BW42" s="539">
        <f t="shared" si="13"/>
        <v>0</v>
      </c>
      <c r="BX42" s="539">
        <f t="shared" si="13"/>
        <v>0</v>
      </c>
      <c r="BY42" s="539">
        <f t="shared" si="13"/>
        <v>0</v>
      </c>
      <c r="BZ42" s="539">
        <f t="shared" si="13"/>
        <v>0</v>
      </c>
      <c r="CA42" s="539">
        <f t="shared" si="13"/>
        <v>0</v>
      </c>
      <c r="CB42" s="539">
        <f t="shared" si="13"/>
        <v>0</v>
      </c>
      <c r="CC42" s="539">
        <f t="shared" si="13"/>
        <v>0</v>
      </c>
      <c r="CD42" s="539">
        <f t="shared" si="13"/>
        <v>0</v>
      </c>
      <c r="CE42" s="539">
        <f t="shared" si="13"/>
        <v>0</v>
      </c>
      <c r="CF42" s="539">
        <f t="shared" si="13"/>
        <v>0</v>
      </c>
      <c r="CG42" s="539">
        <f t="shared" si="13"/>
        <v>0</v>
      </c>
      <c r="CH42" s="539">
        <f t="shared" si="13"/>
        <v>0</v>
      </c>
      <c r="CI42" s="539">
        <f t="shared" si="13"/>
        <v>0</v>
      </c>
      <c r="CJ42" s="539">
        <f t="shared" si="13"/>
        <v>0</v>
      </c>
      <c r="CK42" s="539">
        <f t="shared" si="13"/>
        <v>0</v>
      </c>
      <c r="CL42" s="539">
        <f t="shared" si="13"/>
        <v>0</v>
      </c>
      <c r="CM42" s="539">
        <f t="shared" si="13"/>
        <v>0</v>
      </c>
      <c r="CN42" s="539">
        <f t="shared" si="13"/>
        <v>0</v>
      </c>
      <c r="CO42" s="539">
        <f t="shared" si="13"/>
        <v>0</v>
      </c>
      <c r="CP42" s="539">
        <f t="shared" si="13"/>
        <v>0</v>
      </c>
      <c r="CQ42" s="539">
        <f t="shared" si="13"/>
        <v>0</v>
      </c>
      <c r="CR42" s="539">
        <f t="shared" si="13"/>
        <v>0</v>
      </c>
      <c r="CS42" s="539">
        <f t="shared" si="13"/>
        <v>0</v>
      </c>
      <c r="CT42" s="539">
        <f t="shared" si="13"/>
        <v>0</v>
      </c>
      <c r="CU42" s="539">
        <f t="shared" si="13"/>
        <v>0</v>
      </c>
      <c r="CV42" s="539">
        <f t="shared" si="13"/>
        <v>0</v>
      </c>
      <c r="CW42" s="539">
        <f t="shared" si="13"/>
        <v>0</v>
      </c>
      <c r="CX42" s="539">
        <f t="shared" si="13"/>
        <v>0</v>
      </c>
      <c r="CY42" s="539">
        <f t="shared" si="13"/>
        <v>0</v>
      </c>
      <c r="CZ42" s="539">
        <f t="shared" si="13"/>
        <v>0</v>
      </c>
      <c r="DA42" s="539">
        <f t="shared" si="13"/>
        <v>0</v>
      </c>
      <c r="DB42" s="539">
        <f t="shared" si="13"/>
        <v>0</v>
      </c>
      <c r="DC42" s="539">
        <f t="shared" si="13"/>
        <v>0</v>
      </c>
      <c r="DD42" s="539">
        <f t="shared" si="13"/>
        <v>0</v>
      </c>
      <c r="DE42" s="539">
        <f t="shared" si="13"/>
        <v>0</v>
      </c>
      <c r="DF42" s="539">
        <f t="shared" si="13"/>
        <v>0</v>
      </c>
      <c r="DG42" s="539">
        <f t="shared" si="13"/>
        <v>0</v>
      </c>
      <c r="DH42" s="539">
        <f t="shared" si="13"/>
        <v>0</v>
      </c>
      <c r="DI42" s="539">
        <f t="shared" si="13"/>
        <v>0</v>
      </c>
      <c r="DJ42" s="539">
        <f t="shared" si="13"/>
        <v>0</v>
      </c>
      <c r="DK42" s="539">
        <f t="shared" si="13"/>
        <v>0</v>
      </c>
      <c r="DL42" s="539">
        <f t="shared" si="13"/>
        <v>0</v>
      </c>
      <c r="DM42" s="539">
        <f t="shared" si="13"/>
        <v>0</v>
      </c>
      <c r="DN42" s="539">
        <f t="shared" si="13"/>
        <v>0</v>
      </c>
      <c r="DO42" s="539">
        <f t="shared" si="13"/>
        <v>0</v>
      </c>
      <c r="DP42" s="539">
        <f t="shared" si="13"/>
        <v>0</v>
      </c>
      <c r="DQ42" s="539">
        <f t="shared" si="13"/>
        <v>0</v>
      </c>
      <c r="DR42" s="539">
        <f t="shared" si="13"/>
        <v>0</v>
      </c>
      <c r="DS42" s="539">
        <f t="shared" si="13"/>
        <v>0</v>
      </c>
      <c r="DT42" s="539">
        <f t="shared" si="13"/>
        <v>0</v>
      </c>
      <c r="DU42" s="539">
        <f t="shared" si="13"/>
        <v>0</v>
      </c>
      <c r="DV42" s="539">
        <f t="shared" si="13"/>
        <v>0</v>
      </c>
      <c r="DW42" s="539">
        <f t="shared" si="13"/>
        <v>0</v>
      </c>
      <c r="DX42" s="539">
        <f t="shared" si="13"/>
        <v>0</v>
      </c>
      <c r="DY42" s="539">
        <f t="shared" si="13"/>
        <v>0</v>
      </c>
      <c r="DZ42" s="539">
        <f t="shared" si="13"/>
        <v>0</v>
      </c>
      <c r="EA42" s="539">
        <f t="shared" si="13"/>
        <v>0</v>
      </c>
      <c r="EB42" s="539">
        <f t="shared" si="13"/>
        <v>0</v>
      </c>
      <c r="EC42" s="539">
        <f t="shared" si="13"/>
        <v>0</v>
      </c>
      <c r="ED42" s="539">
        <f t="shared" si="13"/>
        <v>0</v>
      </c>
      <c r="EE42" s="539">
        <f t="shared" si="13"/>
        <v>0</v>
      </c>
      <c r="EF42" s="539">
        <f t="shared" si="13"/>
        <v>0</v>
      </c>
      <c r="EG42" s="539">
        <f t="shared" si="13"/>
        <v>0</v>
      </c>
    </row>
    <row r="44" spans="2:2" ht="12.75">
      <c r="B44" s="534" t="s">
        <v>473</v>
      </c>
    </row>
    <row r="45" spans="5:137" ht="12.75">
      <c r="E45" s="535" t="str">
        <f>Waterfall!E$116</f>
        <v>Distributions - cash released to shareholders</v>
      </c>
      <c r="G45" s="537" t="str">
        <f>Waterfall!G$116</f>
        <v>EUR 000s</v>
      </c>
      <c r="H45" s="537">
        <f>Waterfall!H$116</f>
        <v>563432.21775595983</v>
      </c>
      <c r="J45" s="537">
        <f>Waterfall!J$116</f>
        <v>0</v>
      </c>
      <c r="K45" s="537">
        <f>Waterfall!K$116</f>
        <v>0</v>
      </c>
      <c r="L45" s="537">
        <f>Waterfall!L$116</f>
        <v>0</v>
      </c>
      <c r="M45" s="537">
        <f>Waterfall!M$116</f>
        <v>0</v>
      </c>
      <c r="N45" s="537">
        <f>Waterfall!N$116</f>
        <v>0</v>
      </c>
      <c r="O45" s="537">
        <f>Waterfall!O$116</f>
        <v>0</v>
      </c>
      <c r="P45" s="537">
        <f>Waterfall!P$116</f>
        <v>1.8189894035458565E-12</v>
      </c>
      <c r="Q45" s="537">
        <f>Waterfall!Q$116</f>
        <v>0</v>
      </c>
      <c r="R45" s="537">
        <f>Waterfall!R$116</f>
        <v>0</v>
      </c>
      <c r="S45" s="537">
        <f>Waterfall!S$116</f>
        <v>0</v>
      </c>
      <c r="T45" s="537">
        <f>Waterfall!T$116</f>
        <v>0</v>
      </c>
      <c r="U45" s="537">
        <f>Waterfall!U$116</f>
        <v>0</v>
      </c>
      <c r="V45" s="537">
        <f>Waterfall!V$116</f>
        <v>0</v>
      </c>
      <c r="W45" s="537">
        <f>Waterfall!W$116</f>
        <v>0</v>
      </c>
      <c r="X45" s="537">
        <f>Waterfall!X$116</f>
        <v>0</v>
      </c>
      <c r="Y45" s="537">
        <f>Waterfall!Y$116</f>
        <v>0</v>
      </c>
      <c r="Z45" s="537">
        <f>Waterfall!Z$116</f>
        <v>0</v>
      </c>
      <c r="AA45" s="537">
        <f>Waterfall!AA$116</f>
        <v>0</v>
      </c>
      <c r="AB45" s="537">
        <f>Waterfall!AB$116</f>
        <v>0</v>
      </c>
      <c r="AC45" s="537">
        <f>Waterfall!AC$116</f>
        <v>0</v>
      </c>
      <c r="AD45" s="537">
        <f>Waterfall!AD$116</f>
        <v>0</v>
      </c>
      <c r="AE45" s="537">
        <f>Waterfall!AE$116</f>
        <v>0</v>
      </c>
      <c r="AF45" s="537">
        <f>Waterfall!AF$116</f>
        <v>0</v>
      </c>
      <c r="AG45" s="537">
        <f>Waterfall!AG$116</f>
        <v>0</v>
      </c>
      <c r="AH45" s="537">
        <f>Waterfall!AH$116</f>
        <v>1383.9233639501999</v>
      </c>
      <c r="AI45" s="537">
        <f>Waterfall!AI$116</f>
        <v>3289.5323362199924</v>
      </c>
      <c r="AJ45" s="537">
        <f>Waterfall!AJ$116</f>
        <v>3245.3805232500731</v>
      </c>
      <c r="AK45" s="537">
        <f>Waterfall!AK$116</f>
        <v>3195.0408989934072</v>
      </c>
      <c r="AL45" s="537">
        <f>Waterfall!AL$116</f>
        <v>3314.6555979376371</v>
      </c>
      <c r="AM45" s="537">
        <f>Waterfall!AM$116</f>
        <v>3413.5103829410727</v>
      </c>
      <c r="AN45" s="537">
        <f>Waterfall!AN$116</f>
        <v>3368.8149446907446</v>
      </c>
      <c r="AO45" s="537">
        <f>Waterfall!AO$116</f>
        <v>3317.8291025066792</v>
      </c>
      <c r="AP45" s="537">
        <f>Waterfall!AP$116</f>
        <v>3438.4566627931977</v>
      </c>
      <c r="AQ45" s="537">
        <f>Waterfall!AQ$116</f>
        <v>3538.7454210592982</v>
      </c>
      <c r="AR45" s="537">
        <f>Waterfall!AR$116</f>
        <v>3482.692592271675</v>
      </c>
      <c r="AS45" s="537">
        <f>Waterfall!AS$116</f>
        <v>3452.6458698254974</v>
      </c>
      <c r="AT45" s="537">
        <f>Waterfall!AT$116</f>
        <v>1840.225347833371</v>
      </c>
      <c r="AU45" s="537">
        <f>Waterfall!AU$116</f>
        <v>1907.064048963113</v>
      </c>
      <c r="AV45" s="537">
        <f>Waterfall!AV$116</f>
        <v>1879.8635093641863</v>
      </c>
      <c r="AW45" s="537">
        <f>Waterfall!AW$116</f>
        <v>1823.2308510204605</v>
      </c>
      <c r="AX45" s="537">
        <f>Waterfall!AX$116</f>
        <v>3689.9207029973613</v>
      </c>
      <c r="AY45" s="537">
        <f>Waterfall!AY$116</f>
        <v>3795.4891066389291</v>
      </c>
      <c r="AZ45" s="537">
        <f>Waterfall!AZ$116</f>
        <v>3810.2717218736234</v>
      </c>
      <c r="BA45" s="537">
        <f>Waterfall!BA$116</f>
        <v>3761.7553340142267</v>
      </c>
      <c r="BB45" s="537">
        <f>Waterfall!BB$116</f>
        <v>3775.7398776167847</v>
      </c>
      <c r="BC45" s="537">
        <f>Waterfall!BC$116</f>
        <v>3870.9553004708091</v>
      </c>
      <c r="BD45" s="537">
        <f>Waterfall!BD$116</f>
        <v>3819.5887386810437</v>
      </c>
      <c r="BE45" s="537">
        <f>Waterfall!BE$116</f>
        <v>3757.5449019740718</v>
      </c>
      <c r="BF45" s="537">
        <f>Waterfall!BF$116</f>
        <v>3865.5485651833455</v>
      </c>
      <c r="BG45" s="537">
        <f>Waterfall!BG$116</f>
        <v>3963.7340210591155</v>
      </c>
      <c r="BH45" s="537">
        <f>Waterfall!BH$116</f>
        <v>3901.9818208723086</v>
      </c>
      <c r="BI45" s="537">
        <f>Waterfall!BI$116</f>
        <v>3863.3396261250573</v>
      </c>
      <c r="BJ45" s="537">
        <f>Waterfall!BJ$116</f>
        <v>3981.7948466400562</v>
      </c>
      <c r="BK45" s="537">
        <f>Waterfall!BK$116</f>
        <v>4041.5037487339391</v>
      </c>
      <c r="BL45" s="537">
        <f>Waterfall!BL$116</f>
        <v>4013.5705589641948</v>
      </c>
      <c r="BM45" s="537">
        <f>Waterfall!BM$116</f>
        <v>3952.9034566736409</v>
      </c>
      <c r="BN45" s="537">
        <f>Waterfall!BN$116</f>
        <v>2097.5193655527028</v>
      </c>
      <c r="BO45" s="537">
        <f>Waterfall!BO$116</f>
        <v>2200.864273878366</v>
      </c>
      <c r="BP45" s="537">
        <f>Waterfall!BP$116</f>
        <v>2098.1063109146212</v>
      </c>
      <c r="BQ45" s="537">
        <f>Waterfall!BQ$116</f>
        <v>2037.8164184080592</v>
      </c>
      <c r="BR45" s="537">
        <f>Waterfall!BR$116</f>
        <v>4224.1553525130121</v>
      </c>
      <c r="BS45" s="537">
        <f>Waterfall!BS$116</f>
        <v>4329.7689293072381</v>
      </c>
      <c r="BT45" s="537">
        <f>Waterfall!BT$116</f>
        <v>4419.8055567868232</v>
      </c>
      <c r="BU45" s="537">
        <f>Waterfall!BU$116</f>
        <v>4770.8603254831687</v>
      </c>
      <c r="BV45" s="537">
        <f>Waterfall!BV$116</f>
        <v>4626.1012277867885</v>
      </c>
      <c r="BW45" s="537">
        <f>Waterfall!BW$116</f>
        <v>3945.1397120020174</v>
      </c>
      <c r="BX45" s="537">
        <f>Waterfall!BX$116</f>
        <v>3887.6124417460055</v>
      </c>
      <c r="BY45" s="537">
        <f>Waterfall!BY$116</f>
        <v>3843.3319181364645</v>
      </c>
      <c r="BZ45" s="537">
        <f>Waterfall!BZ$116</f>
        <v>3978.3991178064584</v>
      </c>
      <c r="CA45" s="537">
        <f>Waterfall!CA$116</f>
        <v>4211.4281415911701</v>
      </c>
      <c r="CB45" s="537">
        <f>Waterfall!CB$116</f>
        <v>4139.4003880005166</v>
      </c>
      <c r="CC45" s="537">
        <f>Waterfall!CC$116</f>
        <v>3736.011479524982</v>
      </c>
      <c r="CD45" s="537">
        <f>Waterfall!CD$116</f>
        <v>4321.3134548763692</v>
      </c>
      <c r="CE45" s="537">
        <f>Waterfall!CE$116</f>
        <v>4413.9780591819081</v>
      </c>
      <c r="CF45" s="537">
        <f>Waterfall!CF$116</f>
        <v>4368.5578436146661</v>
      </c>
      <c r="CG45" s="537">
        <f>Waterfall!CG$116</f>
        <v>4283.5118246307165</v>
      </c>
      <c r="CH45" s="537">
        <f>Waterfall!CH$116</f>
        <v>2110.5359724491877</v>
      </c>
      <c r="CI45" s="537">
        <f>Waterfall!CI$116</f>
        <v>2204.6023940287428</v>
      </c>
      <c r="CJ45" s="537">
        <f>Waterfall!CJ$116</f>
        <v>1870.785150550882</v>
      </c>
      <c r="CK45" s="537">
        <f>Waterfall!CK$116</f>
        <v>1786.9171601948424</v>
      </c>
      <c r="CL45" s="537">
        <f>Waterfall!CL$116</f>
        <v>4628.8303227158403</v>
      </c>
      <c r="CM45" s="537">
        <f>Waterfall!CM$116</f>
        <v>4723.5203653725785</v>
      </c>
      <c r="CN45" s="537">
        <f>Waterfall!CN$116</f>
        <v>4948.935086001231</v>
      </c>
      <c r="CO45" s="537">
        <f>Waterfall!CO$116</f>
        <v>4889.99295027068</v>
      </c>
      <c r="CP45" s="537">
        <f>Waterfall!CP$116</f>
        <v>4408.4942242291327</v>
      </c>
      <c r="CQ45" s="537">
        <f>Waterfall!CQ$116</f>
        <v>4454.0921236772019</v>
      </c>
      <c r="CR45" s="537">
        <f>Waterfall!CR$116</f>
        <v>4428.3806644411152</v>
      </c>
      <c r="CS45" s="537">
        <f>Waterfall!CS$116</f>
        <v>4344.7192119229667</v>
      </c>
      <c r="CT45" s="537">
        <f>Waterfall!CT$116</f>
        <v>4410.7908852154824</v>
      </c>
      <c r="CU45" s="537">
        <f>Waterfall!CU$116</f>
        <v>4507.2180043044709</v>
      </c>
      <c r="CV45" s="537">
        <f>Waterfall!CV$116</f>
        <v>4455.6468509356973</v>
      </c>
      <c r="CW45" s="537">
        <f>Waterfall!CW$116</f>
        <v>4372.1040514103006</v>
      </c>
      <c r="CX45" s="537">
        <f>Waterfall!CX$116</f>
        <v>4442.1439989063965</v>
      </c>
      <c r="CY45" s="537">
        <f>Waterfall!CY$116</f>
        <v>4538.8867633803111</v>
      </c>
      <c r="CZ45" s="537">
        <f>Waterfall!CZ$116</f>
        <v>9289.0498453167747</v>
      </c>
      <c r="DA45" s="537">
        <f>Waterfall!DA$116</f>
        <v>9243.2109589193478</v>
      </c>
      <c r="DB45" s="537">
        <f>Waterfall!DB$116</f>
        <v>6730.8032201585938</v>
      </c>
      <c r="DC45" s="537">
        <f>Waterfall!DC$116</f>
        <v>6819.6943690281241</v>
      </c>
      <c r="DD45" s="537">
        <f>Waterfall!DD$116</f>
        <v>6814.0398522326241</v>
      </c>
      <c r="DE45" s="537">
        <f>Waterfall!DE$116</f>
        <v>6785.1271000854231</v>
      </c>
      <c r="DF45" s="537">
        <f>Waterfall!DF$116</f>
        <v>10042.297500103878</v>
      </c>
      <c r="DG45" s="537">
        <f>Waterfall!DG$116</f>
        <v>10083.037086594606</v>
      </c>
      <c r="DH45" s="537">
        <f>Waterfall!DH$116</f>
        <v>10103.030440845592</v>
      </c>
      <c r="DI45" s="537">
        <f>Waterfall!DI$116</f>
        <v>10074.710093976457</v>
      </c>
      <c r="DJ45" s="537">
        <f>Waterfall!DJ$116</f>
        <v>9531.0000277068248</v>
      </c>
      <c r="DK45" s="537">
        <f>Waterfall!DK$116</f>
        <v>9622.5760692221538</v>
      </c>
      <c r="DL45" s="537">
        <f>Waterfall!DL$116</f>
        <v>9618.4891847043327</v>
      </c>
      <c r="DM45" s="537">
        <f>Waterfall!DM$116</f>
        <v>9590.6249782264968</v>
      </c>
      <c r="DN45" s="537">
        <f>Waterfall!DN$116</f>
        <v>9679.6513243283043</v>
      </c>
      <c r="DO45" s="537">
        <f>Waterfall!DO$116</f>
        <v>9772.3259446832872</v>
      </c>
      <c r="DP45" s="537">
        <f>Waterfall!DP$116</f>
        <v>9768.8299907587207</v>
      </c>
      <c r="DQ45" s="537">
        <f>Waterfall!DQ$116</f>
        <v>9741.3091688148925</v>
      </c>
      <c r="DR45" s="537">
        <f>Waterfall!DR$116</f>
        <v>9833.1752700445759</v>
      </c>
      <c r="DS45" s="537">
        <f>Waterfall!DS$116</f>
        <v>9926.8134161951511</v>
      </c>
      <c r="DT45" s="537">
        <f>Waterfall!DT$116</f>
        <v>9923.8082057289866</v>
      </c>
      <c r="DU45" s="537">
        <f>Waterfall!DU$116</f>
        <v>9896.5376166003607</v>
      </c>
      <c r="DV45" s="537">
        <f>Waterfall!DV$116</f>
        <v>10016.918852742816</v>
      </c>
      <c r="DW45" s="537">
        <f>Waterfall!DW$116</f>
        <v>10059.983606963106</v>
      </c>
      <c r="DX45" s="537">
        <f>Waterfall!DX$116</f>
        <v>10083.094712487115</v>
      </c>
      <c r="DY45" s="537">
        <f>Waterfall!DY$116</f>
        <v>10055.997562626802</v>
      </c>
      <c r="DZ45" s="537">
        <f>Waterfall!DZ$116</f>
        <v>12150.719351237401</v>
      </c>
      <c r="EA45" s="537">
        <f>Waterfall!EA$116</f>
        <v>14400.981458335427</v>
      </c>
      <c r="EB45" s="537">
        <f>Waterfall!EB$116</f>
        <v>16648.983915654459</v>
      </c>
      <c r="EC45" s="537">
        <f>Waterfall!EC$116</f>
        <v>19599.446855546739</v>
      </c>
      <c r="ED45" s="537">
        <f>Waterfall!ED$116</f>
        <v>2308.4176722004668</v>
      </c>
      <c r="EE45" s="537">
        <f>Waterfall!EE$116</f>
        <v>4.0745362639427185E-10</v>
      </c>
      <c r="EF45" s="537">
        <f>Waterfall!EF$116</f>
        <v>4.0745362639427185E-10</v>
      </c>
      <c r="EG45" s="537">
        <f>Waterfall!EG$116</f>
        <v>4.0745362639427185E-10</v>
      </c>
    </row>
    <row r="46" spans="5:137" ht="12.75">
      <c r="E46" s="538" t="str">
        <f>E$24</f>
        <v>Shareholder loan - opening unpaid interest</v>
      </c>
      <c r="G46" s="539" t="str">
        <f>G$24</f>
        <v>EUR 000s</v>
      </c>
      <c r="H46" s="539">
        <f>H$24</f>
        <v>0</v>
      </c>
      <c r="J46" s="539">
        <f t="shared" si="14" ref="J46:EG46">J$24</f>
        <v>0</v>
      </c>
      <c r="K46" s="539">
        <f t="shared" si="14"/>
        <v>0</v>
      </c>
      <c r="L46" s="539">
        <f t="shared" si="14"/>
        <v>0</v>
      </c>
      <c r="M46" s="539">
        <f t="shared" si="14"/>
        <v>0</v>
      </c>
      <c r="N46" s="539">
        <f t="shared" si="14"/>
        <v>0</v>
      </c>
      <c r="O46" s="539">
        <f t="shared" si="14"/>
        <v>0</v>
      </c>
      <c r="P46" s="539">
        <f t="shared" si="14"/>
        <v>0</v>
      </c>
      <c r="Q46" s="539">
        <f t="shared" si="14"/>
        <v>0</v>
      </c>
      <c r="R46" s="539">
        <f t="shared" si="14"/>
        <v>0</v>
      </c>
      <c r="S46" s="539">
        <f t="shared" si="14"/>
        <v>0</v>
      </c>
      <c r="T46" s="539">
        <f t="shared" si="14"/>
        <v>0</v>
      </c>
      <c r="U46" s="539">
        <f t="shared" si="14"/>
        <v>0</v>
      </c>
      <c r="V46" s="539">
        <f t="shared" si="14"/>
        <v>0</v>
      </c>
      <c r="W46" s="539">
        <f t="shared" si="14"/>
        <v>0</v>
      </c>
      <c r="X46" s="539">
        <f t="shared" si="14"/>
        <v>0</v>
      </c>
      <c r="Y46" s="539">
        <f t="shared" si="14"/>
        <v>0</v>
      </c>
      <c r="Z46" s="539">
        <f t="shared" si="14"/>
        <v>0</v>
      </c>
      <c r="AA46" s="539">
        <f t="shared" si="14"/>
        <v>0</v>
      </c>
      <c r="AB46" s="539">
        <f t="shared" si="14"/>
        <v>0</v>
      </c>
      <c r="AC46" s="539">
        <f t="shared" si="14"/>
        <v>0</v>
      </c>
      <c r="AD46" s="539">
        <f t="shared" si="14"/>
        <v>0</v>
      </c>
      <c r="AE46" s="539">
        <f t="shared" si="14"/>
        <v>0</v>
      </c>
      <c r="AF46" s="539">
        <f t="shared" si="14"/>
        <v>0</v>
      </c>
      <c r="AG46" s="539">
        <f t="shared" si="14"/>
        <v>0</v>
      </c>
      <c r="AH46" s="539">
        <f t="shared" si="14"/>
        <v>0</v>
      </c>
      <c r="AI46" s="539">
        <f t="shared" si="14"/>
        <v>0</v>
      </c>
      <c r="AJ46" s="539">
        <f t="shared" si="14"/>
        <v>0</v>
      </c>
      <c r="AK46" s="539">
        <f t="shared" si="14"/>
        <v>0</v>
      </c>
      <c r="AL46" s="539">
        <f t="shared" si="14"/>
        <v>0</v>
      </c>
      <c r="AM46" s="539">
        <f t="shared" si="14"/>
        <v>0</v>
      </c>
      <c r="AN46" s="539">
        <f t="shared" si="14"/>
        <v>0</v>
      </c>
      <c r="AO46" s="539">
        <f t="shared" si="14"/>
        <v>0</v>
      </c>
      <c r="AP46" s="539">
        <f t="shared" si="14"/>
        <v>0</v>
      </c>
      <c r="AQ46" s="539">
        <f t="shared" si="14"/>
        <v>0</v>
      </c>
      <c r="AR46" s="539">
        <f t="shared" si="14"/>
        <v>0</v>
      </c>
      <c r="AS46" s="539">
        <f t="shared" si="14"/>
        <v>0</v>
      </c>
      <c r="AT46" s="539">
        <f t="shared" si="14"/>
        <v>0</v>
      </c>
      <c r="AU46" s="539">
        <f t="shared" si="14"/>
        <v>0</v>
      </c>
      <c r="AV46" s="539">
        <f t="shared" si="14"/>
        <v>0</v>
      </c>
      <c r="AW46" s="539">
        <f t="shared" si="14"/>
        <v>0</v>
      </c>
      <c r="AX46" s="539">
        <f t="shared" si="14"/>
        <v>0</v>
      </c>
      <c r="AY46" s="539">
        <f t="shared" si="14"/>
        <v>0</v>
      </c>
      <c r="AZ46" s="539">
        <f t="shared" si="14"/>
        <v>0</v>
      </c>
      <c r="BA46" s="539">
        <f t="shared" si="14"/>
        <v>0</v>
      </c>
      <c r="BB46" s="539">
        <f t="shared" si="14"/>
        <v>0</v>
      </c>
      <c r="BC46" s="539">
        <f t="shared" si="14"/>
        <v>0</v>
      </c>
      <c r="BD46" s="539">
        <f t="shared" si="14"/>
        <v>0</v>
      </c>
      <c r="BE46" s="539">
        <f t="shared" si="14"/>
        <v>0</v>
      </c>
      <c r="BF46" s="539">
        <f t="shared" si="14"/>
        <v>0</v>
      </c>
      <c r="BG46" s="539">
        <f t="shared" si="14"/>
        <v>0</v>
      </c>
      <c r="BH46" s="539">
        <f t="shared" si="14"/>
        <v>0</v>
      </c>
      <c r="BI46" s="539">
        <f t="shared" si="14"/>
        <v>0</v>
      </c>
      <c r="BJ46" s="539">
        <f t="shared" si="14"/>
        <v>0</v>
      </c>
      <c r="BK46" s="539">
        <f t="shared" si="14"/>
        <v>0</v>
      </c>
      <c r="BL46" s="539">
        <f t="shared" si="14"/>
        <v>0</v>
      </c>
      <c r="BM46" s="539">
        <f t="shared" si="14"/>
        <v>0</v>
      </c>
      <c r="BN46" s="539">
        <f t="shared" si="14"/>
        <v>0</v>
      </c>
      <c r="BO46" s="539">
        <f t="shared" si="14"/>
        <v>0</v>
      </c>
      <c r="BP46" s="539">
        <f t="shared" si="14"/>
        <v>0</v>
      </c>
      <c r="BQ46" s="539">
        <f t="shared" si="14"/>
        <v>0</v>
      </c>
      <c r="BR46" s="539">
        <f t="shared" si="14"/>
        <v>0</v>
      </c>
      <c r="BS46" s="539">
        <f t="shared" si="14"/>
        <v>0</v>
      </c>
      <c r="BT46" s="539">
        <f t="shared" si="14"/>
        <v>0</v>
      </c>
      <c r="BU46" s="539">
        <f t="shared" si="14"/>
        <v>0</v>
      </c>
      <c r="BV46" s="539">
        <f t="shared" si="14"/>
        <v>0</v>
      </c>
      <c r="BW46" s="539">
        <f t="shared" si="14"/>
        <v>0</v>
      </c>
      <c r="BX46" s="539">
        <f t="shared" si="14"/>
        <v>0</v>
      </c>
      <c r="BY46" s="539">
        <f t="shared" si="14"/>
        <v>0</v>
      </c>
      <c r="BZ46" s="539">
        <f t="shared" si="14"/>
        <v>0</v>
      </c>
      <c r="CA46" s="539">
        <f t="shared" si="14"/>
        <v>0</v>
      </c>
      <c r="CB46" s="539">
        <f t="shared" si="14"/>
        <v>0</v>
      </c>
      <c r="CC46" s="539">
        <f t="shared" si="14"/>
        <v>0</v>
      </c>
      <c r="CD46" s="539">
        <f t="shared" si="14"/>
        <v>0</v>
      </c>
      <c r="CE46" s="539">
        <f t="shared" si="14"/>
        <v>0</v>
      </c>
      <c r="CF46" s="539">
        <f t="shared" si="14"/>
        <v>0</v>
      </c>
      <c r="CG46" s="539">
        <f t="shared" si="14"/>
        <v>0</v>
      </c>
      <c r="CH46" s="539">
        <f t="shared" si="14"/>
        <v>0</v>
      </c>
      <c r="CI46" s="539">
        <f t="shared" si="14"/>
        <v>0</v>
      </c>
      <c r="CJ46" s="539">
        <f t="shared" si="14"/>
        <v>0</v>
      </c>
      <c r="CK46" s="539">
        <f t="shared" si="14"/>
        <v>0</v>
      </c>
      <c r="CL46" s="539">
        <f t="shared" si="14"/>
        <v>0</v>
      </c>
      <c r="CM46" s="539">
        <f t="shared" si="14"/>
        <v>0</v>
      </c>
      <c r="CN46" s="539">
        <f t="shared" si="14"/>
        <v>0</v>
      </c>
      <c r="CO46" s="539">
        <f t="shared" si="14"/>
        <v>0</v>
      </c>
      <c r="CP46" s="539">
        <f t="shared" si="14"/>
        <v>0</v>
      </c>
      <c r="CQ46" s="539">
        <f t="shared" si="14"/>
        <v>0</v>
      </c>
      <c r="CR46" s="539">
        <f t="shared" si="14"/>
        <v>0</v>
      </c>
      <c r="CS46" s="539">
        <f t="shared" si="14"/>
        <v>0</v>
      </c>
      <c r="CT46" s="539">
        <f t="shared" si="14"/>
        <v>0</v>
      </c>
      <c r="CU46" s="539">
        <f t="shared" si="14"/>
        <v>0</v>
      </c>
      <c r="CV46" s="539">
        <f t="shared" si="14"/>
        <v>0</v>
      </c>
      <c r="CW46" s="539">
        <f t="shared" si="14"/>
        <v>0</v>
      </c>
      <c r="CX46" s="539">
        <f t="shared" si="14"/>
        <v>0</v>
      </c>
      <c r="CY46" s="539">
        <f t="shared" si="14"/>
        <v>0</v>
      </c>
      <c r="CZ46" s="539">
        <f t="shared" si="14"/>
        <v>0</v>
      </c>
      <c r="DA46" s="539">
        <f t="shared" si="14"/>
        <v>0</v>
      </c>
      <c r="DB46" s="539">
        <f t="shared" si="14"/>
        <v>0</v>
      </c>
      <c r="DC46" s="539">
        <f t="shared" si="14"/>
        <v>0</v>
      </c>
      <c r="DD46" s="539">
        <f t="shared" si="14"/>
        <v>0</v>
      </c>
      <c r="DE46" s="539">
        <f t="shared" si="14"/>
        <v>0</v>
      </c>
      <c r="DF46" s="539">
        <f t="shared" si="14"/>
        <v>0</v>
      </c>
      <c r="DG46" s="539">
        <f t="shared" si="14"/>
        <v>0</v>
      </c>
      <c r="DH46" s="539">
        <f t="shared" si="14"/>
        <v>0</v>
      </c>
      <c r="DI46" s="539">
        <f t="shared" si="14"/>
        <v>0</v>
      </c>
      <c r="DJ46" s="539">
        <f t="shared" si="14"/>
        <v>0</v>
      </c>
      <c r="DK46" s="539">
        <f t="shared" si="14"/>
        <v>0</v>
      </c>
      <c r="DL46" s="539">
        <f t="shared" si="14"/>
        <v>0</v>
      </c>
      <c r="DM46" s="539">
        <f t="shared" si="14"/>
        <v>0</v>
      </c>
      <c r="DN46" s="539">
        <f t="shared" si="14"/>
        <v>0</v>
      </c>
      <c r="DO46" s="539">
        <f t="shared" si="14"/>
        <v>0</v>
      </c>
      <c r="DP46" s="539">
        <f t="shared" si="14"/>
        <v>0</v>
      </c>
      <c r="DQ46" s="539">
        <f t="shared" si="14"/>
        <v>0</v>
      </c>
      <c r="DR46" s="539">
        <f t="shared" si="14"/>
        <v>0</v>
      </c>
      <c r="DS46" s="539">
        <f t="shared" si="14"/>
        <v>0</v>
      </c>
      <c r="DT46" s="539">
        <f t="shared" si="14"/>
        <v>0</v>
      </c>
      <c r="DU46" s="539">
        <f t="shared" si="14"/>
        <v>0</v>
      </c>
      <c r="DV46" s="539">
        <f t="shared" si="14"/>
        <v>0</v>
      </c>
      <c r="DW46" s="539">
        <f t="shared" si="14"/>
        <v>0</v>
      </c>
      <c r="DX46" s="539">
        <f t="shared" si="14"/>
        <v>0</v>
      </c>
      <c r="DY46" s="539">
        <f t="shared" si="14"/>
        <v>0</v>
      </c>
      <c r="DZ46" s="539">
        <f t="shared" si="14"/>
        <v>0</v>
      </c>
      <c r="EA46" s="539">
        <f t="shared" si="14"/>
        <v>0</v>
      </c>
      <c r="EB46" s="539">
        <f t="shared" si="14"/>
        <v>0</v>
      </c>
      <c r="EC46" s="539">
        <f t="shared" si="14"/>
        <v>0</v>
      </c>
      <c r="ED46" s="539">
        <f t="shared" si="14"/>
        <v>0</v>
      </c>
      <c r="EE46" s="539">
        <f t="shared" si="14"/>
        <v>0</v>
      </c>
      <c r="EF46" s="539">
        <f t="shared" si="14"/>
        <v>0</v>
      </c>
      <c r="EG46" s="539">
        <f t="shared" si="14"/>
        <v>0</v>
      </c>
    </row>
    <row r="47" spans="5:137" ht="12.75">
      <c r="E47" s="538" t="str">
        <f>E$42</f>
        <v>Shareholder loan - interest payable in cash</v>
      </c>
      <c r="G47" s="539" t="str">
        <f>G$42</f>
        <v>EUR 000s</v>
      </c>
      <c r="H47" s="539">
        <f>H$42</f>
        <v>15429.351676329899</v>
      </c>
      <c r="J47" s="539">
        <f t="shared" si="15" ref="J47:EG47">J$42</f>
        <v>0</v>
      </c>
      <c r="K47" s="539">
        <f t="shared" si="15"/>
        <v>0</v>
      </c>
      <c r="L47" s="539">
        <f t="shared" si="15"/>
        <v>0</v>
      </c>
      <c r="M47" s="539">
        <f t="shared" si="15"/>
        <v>0</v>
      </c>
      <c r="N47" s="539">
        <f t="shared" si="15"/>
        <v>0</v>
      </c>
      <c r="O47" s="539">
        <f t="shared" si="15"/>
        <v>0</v>
      </c>
      <c r="P47" s="539">
        <f t="shared" si="15"/>
        <v>0</v>
      </c>
      <c r="Q47" s="539">
        <f t="shared" si="15"/>
        <v>0</v>
      </c>
      <c r="R47" s="539">
        <f t="shared" si="15"/>
        <v>0</v>
      </c>
      <c r="S47" s="539">
        <f t="shared" si="15"/>
        <v>0</v>
      </c>
      <c r="T47" s="539">
        <f t="shared" si="15"/>
        <v>0</v>
      </c>
      <c r="U47" s="539">
        <f t="shared" si="15"/>
        <v>0</v>
      </c>
      <c r="V47" s="539">
        <f t="shared" si="15"/>
        <v>0</v>
      </c>
      <c r="W47" s="539">
        <f t="shared" si="15"/>
        <v>0</v>
      </c>
      <c r="X47" s="539">
        <f t="shared" si="15"/>
        <v>0</v>
      </c>
      <c r="Y47" s="539">
        <f t="shared" si="15"/>
        <v>0</v>
      </c>
      <c r="Z47" s="539">
        <f t="shared" si="15"/>
        <v>0</v>
      </c>
      <c r="AA47" s="539">
        <f t="shared" si="15"/>
        <v>0</v>
      </c>
      <c r="AB47" s="539">
        <f t="shared" si="15"/>
        <v>0</v>
      </c>
      <c r="AC47" s="539">
        <f t="shared" si="15"/>
        <v>0</v>
      </c>
      <c r="AD47" s="539">
        <f t="shared" si="15"/>
        <v>0</v>
      </c>
      <c r="AE47" s="539">
        <f t="shared" si="15"/>
        <v>0</v>
      </c>
      <c r="AF47" s="539">
        <f t="shared" si="15"/>
        <v>0</v>
      </c>
      <c r="AG47" s="539">
        <f t="shared" si="15"/>
        <v>0</v>
      </c>
      <c r="AH47" s="539">
        <f t="shared" si="15"/>
        <v>1071.5429781374269</v>
      </c>
      <c r="AI47" s="539">
        <f t="shared" si="15"/>
        <v>1077.9973316179048</v>
      </c>
      <c r="AJ47" s="539">
        <f t="shared" si="15"/>
        <v>1050.82349605998</v>
      </c>
      <c r="AK47" s="539">
        <f t="shared" si="15"/>
        <v>1012.1030926213383</v>
      </c>
      <c r="AL47" s="539">
        <f t="shared" si="15"/>
        <v>952.42274687426186</v>
      </c>
      <c r="AM47" s="539">
        <f t="shared" si="15"/>
        <v>921.77940468535701</v>
      </c>
      <c r="AN47" s="539">
        <f t="shared" si="15"/>
        <v>887.94515691215736</v>
      </c>
      <c r="AO47" s="539">
        <f t="shared" si="15"/>
        <v>844.17309819080367</v>
      </c>
      <c r="AP47" s="539">
        <f t="shared" si="15"/>
        <v>783.12552875123345</v>
      </c>
      <c r="AQ47" s="539">
        <f t="shared" si="15"/>
        <v>745.48593906623933</v>
      </c>
      <c r="AR47" s="539">
        <f t="shared" si="15"/>
        <v>704.39428110844801</v>
      </c>
      <c r="AS47" s="539">
        <f t="shared" si="15"/>
        <v>655.37444241285584</v>
      </c>
      <c r="AT47" s="539">
        <f t="shared" si="15"/>
        <v>599.43267294288569</v>
      </c>
      <c r="AU47" s="539">
        <f t="shared" si="15"/>
        <v>577.77829119205717</v>
      </c>
      <c r="AV47" s="539">
        <f t="shared" si="15"/>
        <v>560.67380378579355</v>
      </c>
      <c r="AW47" s="539">
        <f t="shared" si="15"/>
        <v>537.39823747367063</v>
      </c>
      <c r="AX47" s="539">
        <f t="shared" si="15"/>
        <v>503.52184390108283</v>
      </c>
      <c r="AY47" s="539">
        <f t="shared" si="15"/>
        <v>453.50732356939324</v>
      </c>
      <c r="AZ47" s="539">
        <f t="shared" si="15"/>
        <v>399.52554331808381</v>
      </c>
      <c r="BA47" s="539">
        <f t="shared" si="15"/>
        <v>339.34689841425455</v>
      </c>
      <c r="BB47" s="539">
        <f t="shared" si="15"/>
        <v>272.8980846823859</v>
      </c>
      <c r="BC47" s="539">
        <f t="shared" si="15"/>
        <v>214.79849871647352</v>
      </c>
      <c r="BD47" s="539">
        <f t="shared" si="15"/>
        <v>152.65029218121541</v>
      </c>
      <c r="BE47" s="539">
        <f t="shared" si="15"/>
        <v>87.951433015574608</v>
      </c>
      <c r="BF47" s="539">
        <f t="shared" si="15"/>
        <v>22.701256699025635</v>
      </c>
      <c r="BG47" s="539">
        <f t="shared" si="15"/>
        <v>0</v>
      </c>
      <c r="BH47" s="539">
        <f t="shared" si="15"/>
        <v>0</v>
      </c>
      <c r="BI47" s="539">
        <f t="shared" si="15"/>
        <v>0</v>
      </c>
      <c r="BJ47" s="539">
        <f t="shared" si="15"/>
        <v>0</v>
      </c>
      <c r="BK47" s="539">
        <f t="shared" si="15"/>
        <v>0</v>
      </c>
      <c r="BL47" s="539">
        <f t="shared" si="15"/>
        <v>0</v>
      </c>
      <c r="BM47" s="539">
        <f t="shared" si="15"/>
        <v>0</v>
      </c>
      <c r="BN47" s="539">
        <f t="shared" si="15"/>
        <v>0</v>
      </c>
      <c r="BO47" s="539">
        <f t="shared" si="15"/>
        <v>0</v>
      </c>
      <c r="BP47" s="539">
        <f t="shared" si="15"/>
        <v>0</v>
      </c>
      <c r="BQ47" s="539">
        <f t="shared" si="15"/>
        <v>0</v>
      </c>
      <c r="BR47" s="539">
        <f t="shared" si="15"/>
        <v>0</v>
      </c>
      <c r="BS47" s="539">
        <f t="shared" si="15"/>
        <v>0</v>
      </c>
      <c r="BT47" s="539">
        <f t="shared" si="15"/>
        <v>0</v>
      </c>
      <c r="BU47" s="539">
        <f t="shared" si="15"/>
        <v>0</v>
      </c>
      <c r="BV47" s="539">
        <f t="shared" si="15"/>
        <v>0</v>
      </c>
      <c r="BW47" s="539">
        <f t="shared" si="15"/>
        <v>0</v>
      </c>
      <c r="BX47" s="539">
        <f t="shared" si="15"/>
        <v>0</v>
      </c>
      <c r="BY47" s="539">
        <f t="shared" si="15"/>
        <v>0</v>
      </c>
      <c r="BZ47" s="539">
        <f t="shared" si="15"/>
        <v>0</v>
      </c>
      <c r="CA47" s="539">
        <f t="shared" si="15"/>
        <v>0</v>
      </c>
      <c r="CB47" s="539">
        <f t="shared" si="15"/>
        <v>0</v>
      </c>
      <c r="CC47" s="539">
        <f t="shared" si="15"/>
        <v>0</v>
      </c>
      <c r="CD47" s="539">
        <f t="shared" si="15"/>
        <v>0</v>
      </c>
      <c r="CE47" s="539">
        <f t="shared" si="15"/>
        <v>0</v>
      </c>
      <c r="CF47" s="539">
        <f t="shared" si="15"/>
        <v>0</v>
      </c>
      <c r="CG47" s="539">
        <f t="shared" si="15"/>
        <v>0</v>
      </c>
      <c r="CH47" s="539">
        <f t="shared" si="15"/>
        <v>0</v>
      </c>
      <c r="CI47" s="539">
        <f t="shared" si="15"/>
        <v>0</v>
      </c>
      <c r="CJ47" s="539">
        <f t="shared" si="15"/>
        <v>0</v>
      </c>
      <c r="CK47" s="539">
        <f t="shared" si="15"/>
        <v>0</v>
      </c>
      <c r="CL47" s="539">
        <f t="shared" si="15"/>
        <v>0</v>
      </c>
      <c r="CM47" s="539">
        <f t="shared" si="15"/>
        <v>0</v>
      </c>
      <c r="CN47" s="539">
        <f t="shared" si="15"/>
        <v>0</v>
      </c>
      <c r="CO47" s="539">
        <f t="shared" si="15"/>
        <v>0</v>
      </c>
      <c r="CP47" s="539">
        <f t="shared" si="15"/>
        <v>0</v>
      </c>
      <c r="CQ47" s="539">
        <f t="shared" si="15"/>
        <v>0</v>
      </c>
      <c r="CR47" s="539">
        <f t="shared" si="15"/>
        <v>0</v>
      </c>
      <c r="CS47" s="539">
        <f t="shared" si="15"/>
        <v>0</v>
      </c>
      <c r="CT47" s="539">
        <f t="shared" si="15"/>
        <v>0</v>
      </c>
      <c r="CU47" s="539">
        <f t="shared" si="15"/>
        <v>0</v>
      </c>
      <c r="CV47" s="539">
        <f t="shared" si="15"/>
        <v>0</v>
      </c>
      <c r="CW47" s="539">
        <f t="shared" si="15"/>
        <v>0</v>
      </c>
      <c r="CX47" s="539">
        <f t="shared" si="15"/>
        <v>0</v>
      </c>
      <c r="CY47" s="539">
        <f t="shared" si="15"/>
        <v>0</v>
      </c>
      <c r="CZ47" s="539">
        <f t="shared" si="15"/>
        <v>0</v>
      </c>
      <c r="DA47" s="539">
        <f t="shared" si="15"/>
        <v>0</v>
      </c>
      <c r="DB47" s="539">
        <f t="shared" si="15"/>
        <v>0</v>
      </c>
      <c r="DC47" s="539">
        <f t="shared" si="15"/>
        <v>0</v>
      </c>
      <c r="DD47" s="539">
        <f t="shared" si="15"/>
        <v>0</v>
      </c>
      <c r="DE47" s="539">
        <f t="shared" si="15"/>
        <v>0</v>
      </c>
      <c r="DF47" s="539">
        <f t="shared" si="15"/>
        <v>0</v>
      </c>
      <c r="DG47" s="539">
        <f t="shared" si="15"/>
        <v>0</v>
      </c>
      <c r="DH47" s="539">
        <f t="shared" si="15"/>
        <v>0</v>
      </c>
      <c r="DI47" s="539">
        <f t="shared" si="15"/>
        <v>0</v>
      </c>
      <c r="DJ47" s="539">
        <f t="shared" si="15"/>
        <v>0</v>
      </c>
      <c r="DK47" s="539">
        <f t="shared" si="15"/>
        <v>0</v>
      </c>
      <c r="DL47" s="539">
        <f t="shared" si="15"/>
        <v>0</v>
      </c>
      <c r="DM47" s="539">
        <f t="shared" si="15"/>
        <v>0</v>
      </c>
      <c r="DN47" s="539">
        <f t="shared" si="15"/>
        <v>0</v>
      </c>
      <c r="DO47" s="539">
        <f t="shared" si="15"/>
        <v>0</v>
      </c>
      <c r="DP47" s="539">
        <f t="shared" si="15"/>
        <v>0</v>
      </c>
      <c r="DQ47" s="539">
        <f t="shared" si="15"/>
        <v>0</v>
      </c>
      <c r="DR47" s="539">
        <f t="shared" si="15"/>
        <v>0</v>
      </c>
      <c r="DS47" s="539">
        <f t="shared" si="15"/>
        <v>0</v>
      </c>
      <c r="DT47" s="539">
        <f t="shared" si="15"/>
        <v>0</v>
      </c>
      <c r="DU47" s="539">
        <f t="shared" si="15"/>
        <v>0</v>
      </c>
      <c r="DV47" s="539">
        <f t="shared" si="15"/>
        <v>0</v>
      </c>
      <c r="DW47" s="539">
        <f t="shared" si="15"/>
        <v>0</v>
      </c>
      <c r="DX47" s="539">
        <f t="shared" si="15"/>
        <v>0</v>
      </c>
      <c r="DY47" s="539">
        <f t="shared" si="15"/>
        <v>0</v>
      </c>
      <c r="DZ47" s="539">
        <f t="shared" si="15"/>
        <v>0</v>
      </c>
      <c r="EA47" s="539">
        <f t="shared" si="15"/>
        <v>0</v>
      </c>
      <c r="EB47" s="539">
        <f t="shared" si="15"/>
        <v>0</v>
      </c>
      <c r="EC47" s="539">
        <f t="shared" si="15"/>
        <v>0</v>
      </c>
      <c r="ED47" s="539">
        <f t="shared" si="15"/>
        <v>0</v>
      </c>
      <c r="EE47" s="539">
        <f t="shared" si="15"/>
        <v>0</v>
      </c>
      <c r="EF47" s="539">
        <f t="shared" si="15"/>
        <v>0</v>
      </c>
      <c r="EG47" s="539">
        <f t="shared" si="15"/>
        <v>0</v>
      </c>
    </row>
    <row r="48" spans="5:137" ht="12.75">
      <c r="E48" s="540" t="s">
        <v>474</v>
      </c>
      <c r="G48" s="541" t="s">
        <v>30</v>
      </c>
      <c r="H48" s="541">
        <f>SUM(J48:EG48)</f>
        <v>15429.351676329899</v>
      </c>
      <c r="J48" s="541">
        <f t="shared" si="16" ref="J48:EG48">MIN(J46+J47,J45)</f>
        <v>0</v>
      </c>
      <c r="K48" s="541">
        <f t="shared" si="16"/>
        <v>0</v>
      </c>
      <c r="L48" s="541">
        <f t="shared" si="16"/>
        <v>0</v>
      </c>
      <c r="M48" s="541">
        <f t="shared" si="16"/>
        <v>0</v>
      </c>
      <c r="N48" s="541">
        <f t="shared" si="16"/>
        <v>0</v>
      </c>
      <c r="O48" s="541">
        <f t="shared" si="16"/>
        <v>0</v>
      </c>
      <c r="P48" s="541">
        <f t="shared" si="16"/>
        <v>0</v>
      </c>
      <c r="Q48" s="541">
        <f t="shared" si="16"/>
        <v>0</v>
      </c>
      <c r="R48" s="541">
        <f t="shared" si="16"/>
        <v>0</v>
      </c>
      <c r="S48" s="541">
        <f t="shared" si="16"/>
        <v>0</v>
      </c>
      <c r="T48" s="541">
        <f t="shared" si="16"/>
        <v>0</v>
      </c>
      <c r="U48" s="541">
        <f t="shared" si="16"/>
        <v>0</v>
      </c>
      <c r="V48" s="541">
        <f t="shared" si="16"/>
        <v>0</v>
      </c>
      <c r="W48" s="541">
        <f t="shared" si="16"/>
        <v>0</v>
      </c>
      <c r="X48" s="541">
        <f t="shared" si="16"/>
        <v>0</v>
      </c>
      <c r="Y48" s="541">
        <f t="shared" si="16"/>
        <v>0</v>
      </c>
      <c r="Z48" s="541">
        <f t="shared" si="16"/>
        <v>0</v>
      </c>
      <c r="AA48" s="541">
        <f t="shared" si="16"/>
        <v>0</v>
      </c>
      <c r="AB48" s="541">
        <f t="shared" si="16"/>
        <v>0</v>
      </c>
      <c r="AC48" s="541">
        <f t="shared" si="16"/>
        <v>0</v>
      </c>
      <c r="AD48" s="541">
        <f t="shared" si="16"/>
        <v>0</v>
      </c>
      <c r="AE48" s="541">
        <f t="shared" si="16"/>
        <v>0</v>
      </c>
      <c r="AF48" s="541">
        <f t="shared" si="16"/>
        <v>0</v>
      </c>
      <c r="AG48" s="541">
        <f t="shared" si="16"/>
        <v>0</v>
      </c>
      <c r="AH48" s="541">
        <f t="shared" si="16"/>
        <v>1071.5429781374269</v>
      </c>
      <c r="AI48" s="541">
        <f t="shared" si="16"/>
        <v>1077.9973316179048</v>
      </c>
      <c r="AJ48" s="541">
        <f t="shared" si="16"/>
        <v>1050.82349605998</v>
      </c>
      <c r="AK48" s="541">
        <f t="shared" si="16"/>
        <v>1012.1030926213383</v>
      </c>
      <c r="AL48" s="541">
        <f t="shared" si="16"/>
        <v>952.42274687426186</v>
      </c>
      <c r="AM48" s="541">
        <f t="shared" si="16"/>
        <v>921.77940468535701</v>
      </c>
      <c r="AN48" s="541">
        <f t="shared" si="16"/>
        <v>887.94515691215736</v>
      </c>
      <c r="AO48" s="541">
        <f t="shared" si="16"/>
        <v>844.17309819080367</v>
      </c>
      <c r="AP48" s="541">
        <f t="shared" si="16"/>
        <v>783.12552875123345</v>
      </c>
      <c r="AQ48" s="541">
        <f t="shared" si="16"/>
        <v>745.48593906623933</v>
      </c>
      <c r="AR48" s="541">
        <f t="shared" si="16"/>
        <v>704.39428110844801</v>
      </c>
      <c r="AS48" s="541">
        <f t="shared" si="16"/>
        <v>655.37444241285584</v>
      </c>
      <c r="AT48" s="541">
        <f t="shared" si="16"/>
        <v>599.43267294288569</v>
      </c>
      <c r="AU48" s="541">
        <f t="shared" si="16"/>
        <v>577.77829119205717</v>
      </c>
      <c r="AV48" s="541">
        <f t="shared" si="16"/>
        <v>560.67380378579355</v>
      </c>
      <c r="AW48" s="541">
        <f t="shared" si="16"/>
        <v>537.39823747367063</v>
      </c>
      <c r="AX48" s="541">
        <f t="shared" si="16"/>
        <v>503.52184390108283</v>
      </c>
      <c r="AY48" s="541">
        <f t="shared" si="16"/>
        <v>453.50732356939324</v>
      </c>
      <c r="AZ48" s="541">
        <f t="shared" si="16"/>
        <v>399.52554331808381</v>
      </c>
      <c r="BA48" s="541">
        <f t="shared" si="16"/>
        <v>339.34689841425455</v>
      </c>
      <c r="BB48" s="541">
        <f t="shared" si="16"/>
        <v>272.8980846823859</v>
      </c>
      <c r="BC48" s="541">
        <f t="shared" si="16"/>
        <v>214.79849871647352</v>
      </c>
      <c r="BD48" s="541">
        <f t="shared" si="16"/>
        <v>152.65029218121541</v>
      </c>
      <c r="BE48" s="541">
        <f t="shared" si="16"/>
        <v>87.951433015574608</v>
      </c>
      <c r="BF48" s="541">
        <f t="shared" si="16"/>
        <v>22.701256699025635</v>
      </c>
      <c r="BG48" s="541">
        <f t="shared" si="16"/>
        <v>0</v>
      </c>
      <c r="BH48" s="541">
        <f t="shared" si="16"/>
        <v>0</v>
      </c>
      <c r="BI48" s="541">
        <f t="shared" si="16"/>
        <v>0</v>
      </c>
      <c r="BJ48" s="541">
        <f t="shared" si="16"/>
        <v>0</v>
      </c>
      <c r="BK48" s="541">
        <f t="shared" si="16"/>
        <v>0</v>
      </c>
      <c r="BL48" s="541">
        <f t="shared" si="16"/>
        <v>0</v>
      </c>
      <c r="BM48" s="541">
        <f t="shared" si="16"/>
        <v>0</v>
      </c>
      <c r="BN48" s="541">
        <f t="shared" si="16"/>
        <v>0</v>
      </c>
      <c r="BO48" s="541">
        <f t="shared" si="16"/>
        <v>0</v>
      </c>
      <c r="BP48" s="541">
        <f t="shared" si="16"/>
        <v>0</v>
      </c>
      <c r="BQ48" s="541">
        <f t="shared" si="16"/>
        <v>0</v>
      </c>
      <c r="BR48" s="541">
        <f t="shared" si="16"/>
        <v>0</v>
      </c>
      <c r="BS48" s="541">
        <f t="shared" si="16"/>
        <v>0</v>
      </c>
      <c r="BT48" s="541">
        <f t="shared" si="16"/>
        <v>0</v>
      </c>
      <c r="BU48" s="541">
        <f t="shared" si="16"/>
        <v>0</v>
      </c>
      <c r="BV48" s="541">
        <f t="shared" si="16"/>
        <v>0</v>
      </c>
      <c r="BW48" s="541">
        <f t="shared" si="16"/>
        <v>0</v>
      </c>
      <c r="BX48" s="541">
        <f t="shared" si="16"/>
        <v>0</v>
      </c>
      <c r="BY48" s="541">
        <f t="shared" si="16"/>
        <v>0</v>
      </c>
      <c r="BZ48" s="541">
        <f t="shared" si="16"/>
        <v>0</v>
      </c>
      <c r="CA48" s="541">
        <f t="shared" si="16"/>
        <v>0</v>
      </c>
      <c r="CB48" s="541">
        <f t="shared" si="16"/>
        <v>0</v>
      </c>
      <c r="CC48" s="541">
        <f t="shared" si="16"/>
        <v>0</v>
      </c>
      <c r="CD48" s="541">
        <f t="shared" si="16"/>
        <v>0</v>
      </c>
      <c r="CE48" s="541">
        <f t="shared" si="16"/>
        <v>0</v>
      </c>
      <c r="CF48" s="541">
        <f t="shared" si="16"/>
        <v>0</v>
      </c>
      <c r="CG48" s="541">
        <f t="shared" si="16"/>
        <v>0</v>
      </c>
      <c r="CH48" s="541">
        <f t="shared" si="16"/>
        <v>0</v>
      </c>
      <c r="CI48" s="541">
        <f t="shared" si="16"/>
        <v>0</v>
      </c>
      <c r="CJ48" s="541">
        <f t="shared" si="16"/>
        <v>0</v>
      </c>
      <c r="CK48" s="541">
        <f t="shared" si="16"/>
        <v>0</v>
      </c>
      <c r="CL48" s="541">
        <f t="shared" si="16"/>
        <v>0</v>
      </c>
      <c r="CM48" s="541">
        <f t="shared" si="16"/>
        <v>0</v>
      </c>
      <c r="CN48" s="541">
        <f t="shared" si="16"/>
        <v>0</v>
      </c>
      <c r="CO48" s="541">
        <f t="shared" si="16"/>
        <v>0</v>
      </c>
      <c r="CP48" s="541">
        <f t="shared" si="16"/>
        <v>0</v>
      </c>
      <c r="CQ48" s="541">
        <f t="shared" si="16"/>
        <v>0</v>
      </c>
      <c r="CR48" s="541">
        <f t="shared" si="16"/>
        <v>0</v>
      </c>
      <c r="CS48" s="541">
        <f t="shared" si="16"/>
        <v>0</v>
      </c>
      <c r="CT48" s="541">
        <f t="shared" si="16"/>
        <v>0</v>
      </c>
      <c r="CU48" s="541">
        <f t="shared" si="16"/>
        <v>0</v>
      </c>
      <c r="CV48" s="541">
        <f t="shared" si="16"/>
        <v>0</v>
      </c>
      <c r="CW48" s="541">
        <f t="shared" si="16"/>
        <v>0</v>
      </c>
      <c r="CX48" s="541">
        <f t="shared" si="16"/>
        <v>0</v>
      </c>
      <c r="CY48" s="541">
        <f t="shared" si="16"/>
        <v>0</v>
      </c>
      <c r="CZ48" s="541">
        <f t="shared" si="16"/>
        <v>0</v>
      </c>
      <c r="DA48" s="541">
        <f t="shared" si="16"/>
        <v>0</v>
      </c>
      <c r="DB48" s="541">
        <f t="shared" si="16"/>
        <v>0</v>
      </c>
      <c r="DC48" s="541">
        <f t="shared" si="16"/>
        <v>0</v>
      </c>
      <c r="DD48" s="541">
        <f t="shared" si="16"/>
        <v>0</v>
      </c>
      <c r="DE48" s="541">
        <f t="shared" si="16"/>
        <v>0</v>
      </c>
      <c r="DF48" s="541">
        <f t="shared" si="16"/>
        <v>0</v>
      </c>
      <c r="DG48" s="541">
        <f t="shared" si="16"/>
        <v>0</v>
      </c>
      <c r="DH48" s="541">
        <f t="shared" si="16"/>
        <v>0</v>
      </c>
      <c r="DI48" s="541">
        <f t="shared" si="16"/>
        <v>0</v>
      </c>
      <c r="DJ48" s="541">
        <f t="shared" si="16"/>
        <v>0</v>
      </c>
      <c r="DK48" s="541">
        <f t="shared" si="16"/>
        <v>0</v>
      </c>
      <c r="DL48" s="541">
        <f t="shared" si="16"/>
        <v>0</v>
      </c>
      <c r="DM48" s="541">
        <f t="shared" si="16"/>
        <v>0</v>
      </c>
      <c r="DN48" s="541">
        <f t="shared" si="16"/>
        <v>0</v>
      </c>
      <c r="DO48" s="541">
        <f t="shared" si="16"/>
        <v>0</v>
      </c>
      <c r="DP48" s="541">
        <f t="shared" si="16"/>
        <v>0</v>
      </c>
      <c r="DQ48" s="541">
        <f t="shared" si="16"/>
        <v>0</v>
      </c>
      <c r="DR48" s="541">
        <f t="shared" si="16"/>
        <v>0</v>
      </c>
      <c r="DS48" s="541">
        <f t="shared" si="16"/>
        <v>0</v>
      </c>
      <c r="DT48" s="541">
        <f t="shared" si="16"/>
        <v>0</v>
      </c>
      <c r="DU48" s="541">
        <f t="shared" si="16"/>
        <v>0</v>
      </c>
      <c r="DV48" s="541">
        <f t="shared" si="16"/>
        <v>0</v>
      </c>
      <c r="DW48" s="541">
        <f t="shared" si="16"/>
        <v>0</v>
      </c>
      <c r="DX48" s="541">
        <f t="shared" si="16"/>
        <v>0</v>
      </c>
      <c r="DY48" s="541">
        <f t="shared" si="16"/>
        <v>0</v>
      </c>
      <c r="DZ48" s="541">
        <f t="shared" si="16"/>
        <v>0</v>
      </c>
      <c r="EA48" s="541">
        <f t="shared" si="16"/>
        <v>0</v>
      </c>
      <c r="EB48" s="541">
        <f t="shared" si="16"/>
        <v>0</v>
      </c>
      <c r="EC48" s="541">
        <f t="shared" si="16"/>
        <v>0</v>
      </c>
      <c r="ED48" s="541">
        <f t="shared" si="16"/>
        <v>0</v>
      </c>
      <c r="EE48" s="541">
        <f t="shared" si="16"/>
        <v>0</v>
      </c>
      <c r="EF48" s="541">
        <f t="shared" si="16"/>
        <v>0</v>
      </c>
      <c r="EG48" s="541">
        <f t="shared" si="16"/>
        <v>0</v>
      </c>
    </row>
    <row r="50" spans="5:137" ht="12.75">
      <c r="E50" s="538" t="str">
        <f>E$24</f>
        <v>Shareholder loan - opening unpaid interest</v>
      </c>
      <c r="G50" s="539" t="str">
        <f>G$24</f>
        <v>EUR 000s</v>
      </c>
      <c r="H50" s="539">
        <f>H$24</f>
        <v>0</v>
      </c>
      <c r="J50" s="539">
        <f t="shared" si="17" ref="J50:EG50">J$24</f>
        <v>0</v>
      </c>
      <c r="K50" s="539">
        <f t="shared" si="17"/>
        <v>0</v>
      </c>
      <c r="L50" s="539">
        <f t="shared" si="17"/>
        <v>0</v>
      </c>
      <c r="M50" s="539">
        <f t="shared" si="17"/>
        <v>0</v>
      </c>
      <c r="N50" s="539">
        <f t="shared" si="17"/>
        <v>0</v>
      </c>
      <c r="O50" s="539">
        <f t="shared" si="17"/>
        <v>0</v>
      </c>
      <c r="P50" s="539">
        <f t="shared" si="17"/>
        <v>0</v>
      </c>
      <c r="Q50" s="539">
        <f t="shared" si="17"/>
        <v>0</v>
      </c>
      <c r="R50" s="539">
        <f t="shared" si="17"/>
        <v>0</v>
      </c>
      <c r="S50" s="539">
        <f t="shared" si="17"/>
        <v>0</v>
      </c>
      <c r="T50" s="539">
        <f t="shared" si="17"/>
        <v>0</v>
      </c>
      <c r="U50" s="539">
        <f t="shared" si="17"/>
        <v>0</v>
      </c>
      <c r="V50" s="539">
        <f t="shared" si="17"/>
        <v>0</v>
      </c>
      <c r="W50" s="539">
        <f t="shared" si="17"/>
        <v>0</v>
      </c>
      <c r="X50" s="539">
        <f t="shared" si="17"/>
        <v>0</v>
      </c>
      <c r="Y50" s="539">
        <f t="shared" si="17"/>
        <v>0</v>
      </c>
      <c r="Z50" s="539">
        <f t="shared" si="17"/>
        <v>0</v>
      </c>
      <c r="AA50" s="539">
        <f t="shared" si="17"/>
        <v>0</v>
      </c>
      <c r="AB50" s="539">
        <f t="shared" si="17"/>
        <v>0</v>
      </c>
      <c r="AC50" s="539">
        <f t="shared" si="17"/>
        <v>0</v>
      </c>
      <c r="AD50" s="539">
        <f t="shared" si="17"/>
        <v>0</v>
      </c>
      <c r="AE50" s="539">
        <f t="shared" si="17"/>
        <v>0</v>
      </c>
      <c r="AF50" s="539">
        <f t="shared" si="17"/>
        <v>0</v>
      </c>
      <c r="AG50" s="539">
        <f t="shared" si="17"/>
        <v>0</v>
      </c>
      <c r="AH50" s="539">
        <f t="shared" si="17"/>
        <v>0</v>
      </c>
      <c r="AI50" s="539">
        <f t="shared" si="17"/>
        <v>0</v>
      </c>
      <c r="AJ50" s="539">
        <f t="shared" si="17"/>
        <v>0</v>
      </c>
      <c r="AK50" s="539">
        <f t="shared" si="17"/>
        <v>0</v>
      </c>
      <c r="AL50" s="539">
        <f t="shared" si="17"/>
        <v>0</v>
      </c>
      <c r="AM50" s="539">
        <f t="shared" si="17"/>
        <v>0</v>
      </c>
      <c r="AN50" s="539">
        <f t="shared" si="17"/>
        <v>0</v>
      </c>
      <c r="AO50" s="539">
        <f t="shared" si="17"/>
        <v>0</v>
      </c>
      <c r="AP50" s="539">
        <f t="shared" si="17"/>
        <v>0</v>
      </c>
      <c r="AQ50" s="539">
        <f t="shared" si="17"/>
        <v>0</v>
      </c>
      <c r="AR50" s="539">
        <f t="shared" si="17"/>
        <v>0</v>
      </c>
      <c r="AS50" s="539">
        <f t="shared" si="17"/>
        <v>0</v>
      </c>
      <c r="AT50" s="539">
        <f t="shared" si="17"/>
        <v>0</v>
      </c>
      <c r="AU50" s="539">
        <f t="shared" si="17"/>
        <v>0</v>
      </c>
      <c r="AV50" s="539">
        <f t="shared" si="17"/>
        <v>0</v>
      </c>
      <c r="AW50" s="539">
        <f t="shared" si="17"/>
        <v>0</v>
      </c>
      <c r="AX50" s="539">
        <f t="shared" si="17"/>
        <v>0</v>
      </c>
      <c r="AY50" s="539">
        <f t="shared" si="17"/>
        <v>0</v>
      </c>
      <c r="AZ50" s="539">
        <f t="shared" si="17"/>
        <v>0</v>
      </c>
      <c r="BA50" s="539">
        <f t="shared" si="17"/>
        <v>0</v>
      </c>
      <c r="BB50" s="539">
        <f t="shared" si="17"/>
        <v>0</v>
      </c>
      <c r="BC50" s="539">
        <f t="shared" si="17"/>
        <v>0</v>
      </c>
      <c r="BD50" s="539">
        <f t="shared" si="17"/>
        <v>0</v>
      </c>
      <c r="BE50" s="539">
        <f t="shared" si="17"/>
        <v>0</v>
      </c>
      <c r="BF50" s="539">
        <f t="shared" si="17"/>
        <v>0</v>
      </c>
      <c r="BG50" s="539">
        <f t="shared" si="17"/>
        <v>0</v>
      </c>
      <c r="BH50" s="539">
        <f t="shared" si="17"/>
        <v>0</v>
      </c>
      <c r="BI50" s="539">
        <f t="shared" si="17"/>
        <v>0</v>
      </c>
      <c r="BJ50" s="539">
        <f t="shared" si="17"/>
        <v>0</v>
      </c>
      <c r="BK50" s="539">
        <f t="shared" si="17"/>
        <v>0</v>
      </c>
      <c r="BL50" s="539">
        <f t="shared" si="17"/>
        <v>0</v>
      </c>
      <c r="BM50" s="539">
        <f t="shared" si="17"/>
        <v>0</v>
      </c>
      <c r="BN50" s="539">
        <f t="shared" si="17"/>
        <v>0</v>
      </c>
      <c r="BO50" s="539">
        <f t="shared" si="17"/>
        <v>0</v>
      </c>
      <c r="BP50" s="539">
        <f t="shared" si="17"/>
        <v>0</v>
      </c>
      <c r="BQ50" s="539">
        <f t="shared" si="17"/>
        <v>0</v>
      </c>
      <c r="BR50" s="539">
        <f t="shared" si="17"/>
        <v>0</v>
      </c>
      <c r="BS50" s="539">
        <f t="shared" si="17"/>
        <v>0</v>
      </c>
      <c r="BT50" s="539">
        <f t="shared" si="17"/>
        <v>0</v>
      </c>
      <c r="BU50" s="539">
        <f t="shared" si="17"/>
        <v>0</v>
      </c>
      <c r="BV50" s="539">
        <f t="shared" si="17"/>
        <v>0</v>
      </c>
      <c r="BW50" s="539">
        <f t="shared" si="17"/>
        <v>0</v>
      </c>
      <c r="BX50" s="539">
        <f t="shared" si="17"/>
        <v>0</v>
      </c>
      <c r="BY50" s="539">
        <f t="shared" si="17"/>
        <v>0</v>
      </c>
      <c r="BZ50" s="539">
        <f t="shared" si="17"/>
        <v>0</v>
      </c>
      <c r="CA50" s="539">
        <f t="shared" si="17"/>
        <v>0</v>
      </c>
      <c r="CB50" s="539">
        <f t="shared" si="17"/>
        <v>0</v>
      </c>
      <c r="CC50" s="539">
        <f t="shared" si="17"/>
        <v>0</v>
      </c>
      <c r="CD50" s="539">
        <f t="shared" si="17"/>
        <v>0</v>
      </c>
      <c r="CE50" s="539">
        <f t="shared" si="17"/>
        <v>0</v>
      </c>
      <c r="CF50" s="539">
        <f t="shared" si="17"/>
        <v>0</v>
      </c>
      <c r="CG50" s="539">
        <f t="shared" si="17"/>
        <v>0</v>
      </c>
      <c r="CH50" s="539">
        <f t="shared" si="17"/>
        <v>0</v>
      </c>
      <c r="CI50" s="539">
        <f t="shared" si="17"/>
        <v>0</v>
      </c>
      <c r="CJ50" s="539">
        <f t="shared" si="17"/>
        <v>0</v>
      </c>
      <c r="CK50" s="539">
        <f t="shared" si="17"/>
        <v>0</v>
      </c>
      <c r="CL50" s="539">
        <f t="shared" si="17"/>
        <v>0</v>
      </c>
      <c r="CM50" s="539">
        <f t="shared" si="17"/>
        <v>0</v>
      </c>
      <c r="CN50" s="539">
        <f t="shared" si="17"/>
        <v>0</v>
      </c>
      <c r="CO50" s="539">
        <f t="shared" si="17"/>
        <v>0</v>
      </c>
      <c r="CP50" s="539">
        <f t="shared" si="17"/>
        <v>0</v>
      </c>
      <c r="CQ50" s="539">
        <f t="shared" si="17"/>
        <v>0</v>
      </c>
      <c r="CR50" s="539">
        <f t="shared" si="17"/>
        <v>0</v>
      </c>
      <c r="CS50" s="539">
        <f t="shared" si="17"/>
        <v>0</v>
      </c>
      <c r="CT50" s="539">
        <f t="shared" si="17"/>
        <v>0</v>
      </c>
      <c r="CU50" s="539">
        <f t="shared" si="17"/>
        <v>0</v>
      </c>
      <c r="CV50" s="539">
        <f t="shared" si="17"/>
        <v>0</v>
      </c>
      <c r="CW50" s="539">
        <f t="shared" si="17"/>
        <v>0</v>
      </c>
      <c r="CX50" s="539">
        <f t="shared" si="17"/>
        <v>0</v>
      </c>
      <c r="CY50" s="539">
        <f t="shared" si="17"/>
        <v>0</v>
      </c>
      <c r="CZ50" s="539">
        <f t="shared" si="17"/>
        <v>0</v>
      </c>
      <c r="DA50" s="539">
        <f t="shared" si="17"/>
        <v>0</v>
      </c>
      <c r="DB50" s="539">
        <f t="shared" si="17"/>
        <v>0</v>
      </c>
      <c r="DC50" s="539">
        <f t="shared" si="17"/>
        <v>0</v>
      </c>
      <c r="DD50" s="539">
        <f t="shared" si="17"/>
        <v>0</v>
      </c>
      <c r="DE50" s="539">
        <f t="shared" si="17"/>
        <v>0</v>
      </c>
      <c r="DF50" s="539">
        <f t="shared" si="17"/>
        <v>0</v>
      </c>
      <c r="DG50" s="539">
        <f t="shared" si="17"/>
        <v>0</v>
      </c>
      <c r="DH50" s="539">
        <f t="shared" si="17"/>
        <v>0</v>
      </c>
      <c r="DI50" s="539">
        <f t="shared" si="17"/>
        <v>0</v>
      </c>
      <c r="DJ50" s="539">
        <f t="shared" si="17"/>
        <v>0</v>
      </c>
      <c r="DK50" s="539">
        <f t="shared" si="17"/>
        <v>0</v>
      </c>
      <c r="DL50" s="539">
        <f t="shared" si="17"/>
        <v>0</v>
      </c>
      <c r="DM50" s="539">
        <f t="shared" si="17"/>
        <v>0</v>
      </c>
      <c r="DN50" s="539">
        <f t="shared" si="17"/>
        <v>0</v>
      </c>
      <c r="DO50" s="539">
        <f t="shared" si="17"/>
        <v>0</v>
      </c>
      <c r="DP50" s="539">
        <f t="shared" si="17"/>
        <v>0</v>
      </c>
      <c r="DQ50" s="539">
        <f t="shared" si="17"/>
        <v>0</v>
      </c>
      <c r="DR50" s="539">
        <f t="shared" si="17"/>
        <v>0</v>
      </c>
      <c r="DS50" s="539">
        <f t="shared" si="17"/>
        <v>0</v>
      </c>
      <c r="DT50" s="539">
        <f t="shared" si="17"/>
        <v>0</v>
      </c>
      <c r="DU50" s="539">
        <f t="shared" si="17"/>
        <v>0</v>
      </c>
      <c r="DV50" s="539">
        <f t="shared" si="17"/>
        <v>0</v>
      </c>
      <c r="DW50" s="539">
        <f t="shared" si="17"/>
        <v>0</v>
      </c>
      <c r="DX50" s="539">
        <f t="shared" si="17"/>
        <v>0</v>
      </c>
      <c r="DY50" s="539">
        <f t="shared" si="17"/>
        <v>0</v>
      </c>
      <c r="DZ50" s="539">
        <f t="shared" si="17"/>
        <v>0</v>
      </c>
      <c r="EA50" s="539">
        <f t="shared" si="17"/>
        <v>0</v>
      </c>
      <c r="EB50" s="539">
        <f t="shared" si="17"/>
        <v>0</v>
      </c>
      <c r="EC50" s="539">
        <f t="shared" si="17"/>
        <v>0</v>
      </c>
      <c r="ED50" s="539">
        <f t="shared" si="17"/>
        <v>0</v>
      </c>
      <c r="EE50" s="539">
        <f t="shared" si="17"/>
        <v>0</v>
      </c>
      <c r="EF50" s="539">
        <f t="shared" si="17"/>
        <v>0</v>
      </c>
      <c r="EG50" s="539">
        <f t="shared" si="17"/>
        <v>0</v>
      </c>
    </row>
    <row r="51" spans="5:137" ht="12.75">
      <c r="E51" s="538" t="str">
        <f>E$42</f>
        <v>Shareholder loan - interest payable in cash</v>
      </c>
      <c r="G51" s="539" t="str">
        <f>G$42</f>
        <v>EUR 000s</v>
      </c>
      <c r="H51" s="539">
        <f>H$42</f>
        <v>15429.351676329899</v>
      </c>
      <c r="J51" s="539">
        <f t="shared" si="18" ref="J51:EG51">J$42</f>
        <v>0</v>
      </c>
      <c r="K51" s="539">
        <f t="shared" si="18"/>
        <v>0</v>
      </c>
      <c r="L51" s="539">
        <f t="shared" si="18"/>
        <v>0</v>
      </c>
      <c r="M51" s="539">
        <f t="shared" si="18"/>
        <v>0</v>
      </c>
      <c r="N51" s="539">
        <f t="shared" si="18"/>
        <v>0</v>
      </c>
      <c r="O51" s="539">
        <f t="shared" si="18"/>
        <v>0</v>
      </c>
      <c r="P51" s="539">
        <f t="shared" si="18"/>
        <v>0</v>
      </c>
      <c r="Q51" s="539">
        <f t="shared" si="18"/>
        <v>0</v>
      </c>
      <c r="R51" s="539">
        <f t="shared" si="18"/>
        <v>0</v>
      </c>
      <c r="S51" s="539">
        <f t="shared" si="18"/>
        <v>0</v>
      </c>
      <c r="T51" s="539">
        <f t="shared" si="18"/>
        <v>0</v>
      </c>
      <c r="U51" s="539">
        <f t="shared" si="18"/>
        <v>0</v>
      </c>
      <c r="V51" s="539">
        <f t="shared" si="18"/>
        <v>0</v>
      </c>
      <c r="W51" s="539">
        <f t="shared" si="18"/>
        <v>0</v>
      </c>
      <c r="X51" s="539">
        <f t="shared" si="18"/>
        <v>0</v>
      </c>
      <c r="Y51" s="539">
        <f t="shared" si="18"/>
        <v>0</v>
      </c>
      <c r="Z51" s="539">
        <f t="shared" si="18"/>
        <v>0</v>
      </c>
      <c r="AA51" s="539">
        <f t="shared" si="18"/>
        <v>0</v>
      </c>
      <c r="AB51" s="539">
        <f t="shared" si="18"/>
        <v>0</v>
      </c>
      <c r="AC51" s="539">
        <f t="shared" si="18"/>
        <v>0</v>
      </c>
      <c r="AD51" s="539">
        <f t="shared" si="18"/>
        <v>0</v>
      </c>
      <c r="AE51" s="539">
        <f t="shared" si="18"/>
        <v>0</v>
      </c>
      <c r="AF51" s="539">
        <f t="shared" si="18"/>
        <v>0</v>
      </c>
      <c r="AG51" s="539">
        <f t="shared" si="18"/>
        <v>0</v>
      </c>
      <c r="AH51" s="539">
        <f t="shared" si="18"/>
        <v>1071.5429781374269</v>
      </c>
      <c r="AI51" s="539">
        <f t="shared" si="18"/>
        <v>1077.9973316179048</v>
      </c>
      <c r="AJ51" s="539">
        <f t="shared" si="18"/>
        <v>1050.82349605998</v>
      </c>
      <c r="AK51" s="539">
        <f t="shared" si="18"/>
        <v>1012.1030926213383</v>
      </c>
      <c r="AL51" s="539">
        <f t="shared" si="18"/>
        <v>952.42274687426186</v>
      </c>
      <c r="AM51" s="539">
        <f t="shared" si="18"/>
        <v>921.77940468535701</v>
      </c>
      <c r="AN51" s="539">
        <f t="shared" si="18"/>
        <v>887.94515691215736</v>
      </c>
      <c r="AO51" s="539">
        <f t="shared" si="18"/>
        <v>844.17309819080367</v>
      </c>
      <c r="AP51" s="539">
        <f t="shared" si="18"/>
        <v>783.12552875123345</v>
      </c>
      <c r="AQ51" s="539">
        <f t="shared" si="18"/>
        <v>745.48593906623933</v>
      </c>
      <c r="AR51" s="539">
        <f t="shared" si="18"/>
        <v>704.39428110844801</v>
      </c>
      <c r="AS51" s="539">
        <f t="shared" si="18"/>
        <v>655.37444241285584</v>
      </c>
      <c r="AT51" s="539">
        <f t="shared" si="18"/>
        <v>599.43267294288569</v>
      </c>
      <c r="AU51" s="539">
        <f t="shared" si="18"/>
        <v>577.77829119205717</v>
      </c>
      <c r="AV51" s="539">
        <f t="shared" si="18"/>
        <v>560.67380378579355</v>
      </c>
      <c r="AW51" s="539">
        <f t="shared" si="18"/>
        <v>537.39823747367063</v>
      </c>
      <c r="AX51" s="539">
        <f t="shared" si="18"/>
        <v>503.52184390108283</v>
      </c>
      <c r="AY51" s="539">
        <f t="shared" si="18"/>
        <v>453.50732356939324</v>
      </c>
      <c r="AZ51" s="539">
        <f t="shared" si="18"/>
        <v>399.52554331808381</v>
      </c>
      <c r="BA51" s="539">
        <f t="shared" si="18"/>
        <v>339.34689841425455</v>
      </c>
      <c r="BB51" s="539">
        <f t="shared" si="18"/>
        <v>272.8980846823859</v>
      </c>
      <c r="BC51" s="539">
        <f t="shared" si="18"/>
        <v>214.79849871647352</v>
      </c>
      <c r="BD51" s="539">
        <f t="shared" si="18"/>
        <v>152.65029218121541</v>
      </c>
      <c r="BE51" s="539">
        <f t="shared" si="18"/>
        <v>87.951433015574608</v>
      </c>
      <c r="BF51" s="539">
        <f t="shared" si="18"/>
        <v>22.701256699025635</v>
      </c>
      <c r="BG51" s="539">
        <f t="shared" si="18"/>
        <v>0</v>
      </c>
      <c r="BH51" s="539">
        <f t="shared" si="18"/>
        <v>0</v>
      </c>
      <c r="BI51" s="539">
        <f t="shared" si="18"/>
        <v>0</v>
      </c>
      <c r="BJ51" s="539">
        <f t="shared" si="18"/>
        <v>0</v>
      </c>
      <c r="BK51" s="539">
        <f t="shared" si="18"/>
        <v>0</v>
      </c>
      <c r="BL51" s="539">
        <f t="shared" si="18"/>
        <v>0</v>
      </c>
      <c r="BM51" s="539">
        <f t="shared" si="18"/>
        <v>0</v>
      </c>
      <c r="BN51" s="539">
        <f t="shared" si="18"/>
        <v>0</v>
      </c>
      <c r="BO51" s="539">
        <f t="shared" si="18"/>
        <v>0</v>
      </c>
      <c r="BP51" s="539">
        <f t="shared" si="18"/>
        <v>0</v>
      </c>
      <c r="BQ51" s="539">
        <f t="shared" si="18"/>
        <v>0</v>
      </c>
      <c r="BR51" s="539">
        <f t="shared" si="18"/>
        <v>0</v>
      </c>
      <c r="BS51" s="539">
        <f t="shared" si="18"/>
        <v>0</v>
      </c>
      <c r="BT51" s="539">
        <f t="shared" si="18"/>
        <v>0</v>
      </c>
      <c r="BU51" s="539">
        <f t="shared" si="18"/>
        <v>0</v>
      </c>
      <c r="BV51" s="539">
        <f t="shared" si="18"/>
        <v>0</v>
      </c>
      <c r="BW51" s="539">
        <f t="shared" si="18"/>
        <v>0</v>
      </c>
      <c r="BX51" s="539">
        <f t="shared" si="18"/>
        <v>0</v>
      </c>
      <c r="BY51" s="539">
        <f t="shared" si="18"/>
        <v>0</v>
      </c>
      <c r="BZ51" s="539">
        <f t="shared" si="18"/>
        <v>0</v>
      </c>
      <c r="CA51" s="539">
        <f t="shared" si="18"/>
        <v>0</v>
      </c>
      <c r="CB51" s="539">
        <f t="shared" si="18"/>
        <v>0</v>
      </c>
      <c r="CC51" s="539">
        <f t="shared" si="18"/>
        <v>0</v>
      </c>
      <c r="CD51" s="539">
        <f t="shared" si="18"/>
        <v>0</v>
      </c>
      <c r="CE51" s="539">
        <f t="shared" si="18"/>
        <v>0</v>
      </c>
      <c r="CF51" s="539">
        <f t="shared" si="18"/>
        <v>0</v>
      </c>
      <c r="CG51" s="539">
        <f t="shared" si="18"/>
        <v>0</v>
      </c>
      <c r="CH51" s="539">
        <f t="shared" si="18"/>
        <v>0</v>
      </c>
      <c r="CI51" s="539">
        <f t="shared" si="18"/>
        <v>0</v>
      </c>
      <c r="CJ51" s="539">
        <f t="shared" si="18"/>
        <v>0</v>
      </c>
      <c r="CK51" s="539">
        <f t="shared" si="18"/>
        <v>0</v>
      </c>
      <c r="CL51" s="539">
        <f t="shared" si="18"/>
        <v>0</v>
      </c>
      <c r="CM51" s="539">
        <f t="shared" si="18"/>
        <v>0</v>
      </c>
      <c r="CN51" s="539">
        <f t="shared" si="18"/>
        <v>0</v>
      </c>
      <c r="CO51" s="539">
        <f t="shared" si="18"/>
        <v>0</v>
      </c>
      <c r="CP51" s="539">
        <f t="shared" si="18"/>
        <v>0</v>
      </c>
      <c r="CQ51" s="539">
        <f t="shared" si="18"/>
        <v>0</v>
      </c>
      <c r="CR51" s="539">
        <f t="shared" si="18"/>
        <v>0</v>
      </c>
      <c r="CS51" s="539">
        <f t="shared" si="18"/>
        <v>0</v>
      </c>
      <c r="CT51" s="539">
        <f t="shared" si="18"/>
        <v>0</v>
      </c>
      <c r="CU51" s="539">
        <f t="shared" si="18"/>
        <v>0</v>
      </c>
      <c r="CV51" s="539">
        <f t="shared" si="18"/>
        <v>0</v>
      </c>
      <c r="CW51" s="539">
        <f t="shared" si="18"/>
        <v>0</v>
      </c>
      <c r="CX51" s="539">
        <f t="shared" si="18"/>
        <v>0</v>
      </c>
      <c r="CY51" s="539">
        <f t="shared" si="18"/>
        <v>0</v>
      </c>
      <c r="CZ51" s="539">
        <f t="shared" si="18"/>
        <v>0</v>
      </c>
      <c r="DA51" s="539">
        <f t="shared" si="18"/>
        <v>0</v>
      </c>
      <c r="DB51" s="539">
        <f t="shared" si="18"/>
        <v>0</v>
      </c>
      <c r="DC51" s="539">
        <f t="shared" si="18"/>
        <v>0</v>
      </c>
      <c r="DD51" s="539">
        <f t="shared" si="18"/>
        <v>0</v>
      </c>
      <c r="DE51" s="539">
        <f t="shared" si="18"/>
        <v>0</v>
      </c>
      <c r="DF51" s="539">
        <f t="shared" si="18"/>
        <v>0</v>
      </c>
      <c r="DG51" s="539">
        <f t="shared" si="18"/>
        <v>0</v>
      </c>
      <c r="DH51" s="539">
        <f t="shared" si="18"/>
        <v>0</v>
      </c>
      <c r="DI51" s="539">
        <f t="shared" si="18"/>
        <v>0</v>
      </c>
      <c r="DJ51" s="539">
        <f t="shared" si="18"/>
        <v>0</v>
      </c>
      <c r="DK51" s="539">
        <f t="shared" si="18"/>
        <v>0</v>
      </c>
      <c r="DL51" s="539">
        <f t="shared" si="18"/>
        <v>0</v>
      </c>
      <c r="DM51" s="539">
        <f t="shared" si="18"/>
        <v>0</v>
      </c>
      <c r="DN51" s="539">
        <f t="shared" si="18"/>
        <v>0</v>
      </c>
      <c r="DO51" s="539">
        <f t="shared" si="18"/>
        <v>0</v>
      </c>
      <c r="DP51" s="539">
        <f t="shared" si="18"/>
        <v>0</v>
      </c>
      <c r="DQ51" s="539">
        <f t="shared" si="18"/>
        <v>0</v>
      </c>
      <c r="DR51" s="539">
        <f t="shared" si="18"/>
        <v>0</v>
      </c>
      <c r="DS51" s="539">
        <f t="shared" si="18"/>
        <v>0</v>
      </c>
      <c r="DT51" s="539">
        <f t="shared" si="18"/>
        <v>0</v>
      </c>
      <c r="DU51" s="539">
        <f t="shared" si="18"/>
        <v>0</v>
      </c>
      <c r="DV51" s="539">
        <f t="shared" si="18"/>
        <v>0</v>
      </c>
      <c r="DW51" s="539">
        <f t="shared" si="18"/>
        <v>0</v>
      </c>
      <c r="DX51" s="539">
        <f t="shared" si="18"/>
        <v>0</v>
      </c>
      <c r="DY51" s="539">
        <f t="shared" si="18"/>
        <v>0</v>
      </c>
      <c r="DZ51" s="539">
        <f t="shared" si="18"/>
        <v>0</v>
      </c>
      <c r="EA51" s="539">
        <f t="shared" si="18"/>
        <v>0</v>
      </c>
      <c r="EB51" s="539">
        <f t="shared" si="18"/>
        <v>0</v>
      </c>
      <c r="EC51" s="539">
        <f t="shared" si="18"/>
        <v>0</v>
      </c>
      <c r="ED51" s="539">
        <f t="shared" si="18"/>
        <v>0</v>
      </c>
      <c r="EE51" s="539">
        <f t="shared" si="18"/>
        <v>0</v>
      </c>
      <c r="EF51" s="539">
        <f t="shared" si="18"/>
        <v>0</v>
      </c>
      <c r="EG51" s="539">
        <f t="shared" si="18"/>
        <v>0</v>
      </c>
    </row>
    <row r="52" spans="5:137" ht="12.75">
      <c r="E52" s="538" t="str">
        <f>E$48</f>
        <v>Shareholder loan - interest settled</v>
      </c>
      <c r="G52" s="539" t="str">
        <f>G$48</f>
        <v>EUR 000s</v>
      </c>
      <c r="H52" s="539">
        <f>H$48</f>
        <v>15429.351676329899</v>
      </c>
      <c r="J52" s="539">
        <f t="shared" si="19" ref="J52:EG52">J$48</f>
        <v>0</v>
      </c>
      <c r="K52" s="539">
        <f t="shared" si="19"/>
        <v>0</v>
      </c>
      <c r="L52" s="539">
        <f t="shared" si="19"/>
        <v>0</v>
      </c>
      <c r="M52" s="539">
        <f t="shared" si="19"/>
        <v>0</v>
      </c>
      <c r="N52" s="539">
        <f t="shared" si="19"/>
        <v>0</v>
      </c>
      <c r="O52" s="539">
        <f t="shared" si="19"/>
        <v>0</v>
      </c>
      <c r="P52" s="539">
        <f t="shared" si="19"/>
        <v>0</v>
      </c>
      <c r="Q52" s="539">
        <f t="shared" si="19"/>
        <v>0</v>
      </c>
      <c r="R52" s="539">
        <f t="shared" si="19"/>
        <v>0</v>
      </c>
      <c r="S52" s="539">
        <f t="shared" si="19"/>
        <v>0</v>
      </c>
      <c r="T52" s="539">
        <f t="shared" si="19"/>
        <v>0</v>
      </c>
      <c r="U52" s="539">
        <f t="shared" si="19"/>
        <v>0</v>
      </c>
      <c r="V52" s="539">
        <f t="shared" si="19"/>
        <v>0</v>
      </c>
      <c r="W52" s="539">
        <f t="shared" si="19"/>
        <v>0</v>
      </c>
      <c r="X52" s="539">
        <f t="shared" si="19"/>
        <v>0</v>
      </c>
      <c r="Y52" s="539">
        <f t="shared" si="19"/>
        <v>0</v>
      </c>
      <c r="Z52" s="539">
        <f t="shared" si="19"/>
        <v>0</v>
      </c>
      <c r="AA52" s="539">
        <f t="shared" si="19"/>
        <v>0</v>
      </c>
      <c r="AB52" s="539">
        <f t="shared" si="19"/>
        <v>0</v>
      </c>
      <c r="AC52" s="539">
        <f t="shared" si="19"/>
        <v>0</v>
      </c>
      <c r="AD52" s="539">
        <f t="shared" si="19"/>
        <v>0</v>
      </c>
      <c r="AE52" s="539">
        <f t="shared" si="19"/>
        <v>0</v>
      </c>
      <c r="AF52" s="539">
        <f t="shared" si="19"/>
        <v>0</v>
      </c>
      <c r="AG52" s="539">
        <f t="shared" si="19"/>
        <v>0</v>
      </c>
      <c r="AH52" s="539">
        <f t="shared" si="19"/>
        <v>1071.5429781374269</v>
      </c>
      <c r="AI52" s="539">
        <f t="shared" si="19"/>
        <v>1077.9973316179048</v>
      </c>
      <c r="AJ52" s="539">
        <f t="shared" si="19"/>
        <v>1050.82349605998</v>
      </c>
      <c r="AK52" s="539">
        <f t="shared" si="19"/>
        <v>1012.1030926213383</v>
      </c>
      <c r="AL52" s="539">
        <f t="shared" si="19"/>
        <v>952.42274687426186</v>
      </c>
      <c r="AM52" s="539">
        <f t="shared" si="19"/>
        <v>921.77940468535701</v>
      </c>
      <c r="AN52" s="539">
        <f t="shared" si="19"/>
        <v>887.94515691215736</v>
      </c>
      <c r="AO52" s="539">
        <f t="shared" si="19"/>
        <v>844.17309819080367</v>
      </c>
      <c r="AP52" s="539">
        <f t="shared" si="19"/>
        <v>783.12552875123345</v>
      </c>
      <c r="AQ52" s="539">
        <f t="shared" si="19"/>
        <v>745.48593906623933</v>
      </c>
      <c r="AR52" s="539">
        <f t="shared" si="19"/>
        <v>704.39428110844801</v>
      </c>
      <c r="AS52" s="539">
        <f t="shared" si="19"/>
        <v>655.37444241285584</v>
      </c>
      <c r="AT52" s="539">
        <f t="shared" si="19"/>
        <v>599.43267294288569</v>
      </c>
      <c r="AU52" s="539">
        <f t="shared" si="19"/>
        <v>577.77829119205717</v>
      </c>
      <c r="AV52" s="539">
        <f t="shared" si="19"/>
        <v>560.67380378579355</v>
      </c>
      <c r="AW52" s="539">
        <f t="shared" si="19"/>
        <v>537.39823747367063</v>
      </c>
      <c r="AX52" s="539">
        <f t="shared" si="19"/>
        <v>503.52184390108283</v>
      </c>
      <c r="AY52" s="539">
        <f t="shared" si="19"/>
        <v>453.50732356939324</v>
      </c>
      <c r="AZ52" s="539">
        <f t="shared" si="19"/>
        <v>399.52554331808381</v>
      </c>
      <c r="BA52" s="539">
        <f t="shared" si="19"/>
        <v>339.34689841425455</v>
      </c>
      <c r="BB52" s="539">
        <f t="shared" si="19"/>
        <v>272.8980846823859</v>
      </c>
      <c r="BC52" s="539">
        <f t="shared" si="19"/>
        <v>214.79849871647352</v>
      </c>
      <c r="BD52" s="539">
        <f t="shared" si="19"/>
        <v>152.65029218121541</v>
      </c>
      <c r="BE52" s="539">
        <f t="shared" si="19"/>
        <v>87.951433015574608</v>
      </c>
      <c r="BF52" s="539">
        <f t="shared" si="19"/>
        <v>22.701256699025635</v>
      </c>
      <c r="BG52" s="539">
        <f t="shared" si="19"/>
        <v>0</v>
      </c>
      <c r="BH52" s="539">
        <f t="shared" si="19"/>
        <v>0</v>
      </c>
      <c r="BI52" s="539">
        <f t="shared" si="19"/>
        <v>0</v>
      </c>
      <c r="BJ52" s="539">
        <f t="shared" si="19"/>
        <v>0</v>
      </c>
      <c r="BK52" s="539">
        <f t="shared" si="19"/>
        <v>0</v>
      </c>
      <c r="BL52" s="539">
        <f t="shared" si="19"/>
        <v>0</v>
      </c>
      <c r="BM52" s="539">
        <f t="shared" si="19"/>
        <v>0</v>
      </c>
      <c r="BN52" s="539">
        <f t="shared" si="19"/>
        <v>0</v>
      </c>
      <c r="BO52" s="539">
        <f t="shared" si="19"/>
        <v>0</v>
      </c>
      <c r="BP52" s="539">
        <f t="shared" si="19"/>
        <v>0</v>
      </c>
      <c r="BQ52" s="539">
        <f t="shared" si="19"/>
        <v>0</v>
      </c>
      <c r="BR52" s="539">
        <f t="shared" si="19"/>
        <v>0</v>
      </c>
      <c r="BS52" s="539">
        <f t="shared" si="19"/>
        <v>0</v>
      </c>
      <c r="BT52" s="539">
        <f t="shared" si="19"/>
        <v>0</v>
      </c>
      <c r="BU52" s="539">
        <f t="shared" si="19"/>
        <v>0</v>
      </c>
      <c r="BV52" s="539">
        <f t="shared" si="19"/>
        <v>0</v>
      </c>
      <c r="BW52" s="539">
        <f t="shared" si="19"/>
        <v>0</v>
      </c>
      <c r="BX52" s="539">
        <f t="shared" si="19"/>
        <v>0</v>
      </c>
      <c r="BY52" s="539">
        <f t="shared" si="19"/>
        <v>0</v>
      </c>
      <c r="BZ52" s="539">
        <f t="shared" si="19"/>
        <v>0</v>
      </c>
      <c r="CA52" s="539">
        <f t="shared" si="19"/>
        <v>0</v>
      </c>
      <c r="CB52" s="539">
        <f t="shared" si="19"/>
        <v>0</v>
      </c>
      <c r="CC52" s="539">
        <f t="shared" si="19"/>
        <v>0</v>
      </c>
      <c r="CD52" s="539">
        <f t="shared" si="19"/>
        <v>0</v>
      </c>
      <c r="CE52" s="539">
        <f t="shared" si="19"/>
        <v>0</v>
      </c>
      <c r="CF52" s="539">
        <f t="shared" si="19"/>
        <v>0</v>
      </c>
      <c r="CG52" s="539">
        <f t="shared" si="19"/>
        <v>0</v>
      </c>
      <c r="CH52" s="539">
        <f t="shared" si="19"/>
        <v>0</v>
      </c>
      <c r="CI52" s="539">
        <f t="shared" si="19"/>
        <v>0</v>
      </c>
      <c r="CJ52" s="539">
        <f t="shared" si="19"/>
        <v>0</v>
      </c>
      <c r="CK52" s="539">
        <f t="shared" si="19"/>
        <v>0</v>
      </c>
      <c r="CL52" s="539">
        <f t="shared" si="19"/>
        <v>0</v>
      </c>
      <c r="CM52" s="539">
        <f t="shared" si="19"/>
        <v>0</v>
      </c>
      <c r="CN52" s="539">
        <f t="shared" si="19"/>
        <v>0</v>
      </c>
      <c r="CO52" s="539">
        <f t="shared" si="19"/>
        <v>0</v>
      </c>
      <c r="CP52" s="539">
        <f t="shared" si="19"/>
        <v>0</v>
      </c>
      <c r="CQ52" s="539">
        <f t="shared" si="19"/>
        <v>0</v>
      </c>
      <c r="CR52" s="539">
        <f t="shared" si="19"/>
        <v>0</v>
      </c>
      <c r="CS52" s="539">
        <f t="shared" si="19"/>
        <v>0</v>
      </c>
      <c r="CT52" s="539">
        <f t="shared" si="19"/>
        <v>0</v>
      </c>
      <c r="CU52" s="539">
        <f t="shared" si="19"/>
        <v>0</v>
      </c>
      <c r="CV52" s="539">
        <f t="shared" si="19"/>
        <v>0</v>
      </c>
      <c r="CW52" s="539">
        <f t="shared" si="19"/>
        <v>0</v>
      </c>
      <c r="CX52" s="539">
        <f t="shared" si="19"/>
        <v>0</v>
      </c>
      <c r="CY52" s="539">
        <f t="shared" si="19"/>
        <v>0</v>
      </c>
      <c r="CZ52" s="539">
        <f t="shared" si="19"/>
        <v>0</v>
      </c>
      <c r="DA52" s="539">
        <f t="shared" si="19"/>
        <v>0</v>
      </c>
      <c r="DB52" s="539">
        <f t="shared" si="19"/>
        <v>0</v>
      </c>
      <c r="DC52" s="539">
        <f t="shared" si="19"/>
        <v>0</v>
      </c>
      <c r="DD52" s="539">
        <f t="shared" si="19"/>
        <v>0</v>
      </c>
      <c r="DE52" s="539">
        <f t="shared" si="19"/>
        <v>0</v>
      </c>
      <c r="DF52" s="539">
        <f t="shared" si="19"/>
        <v>0</v>
      </c>
      <c r="DG52" s="539">
        <f t="shared" si="19"/>
        <v>0</v>
      </c>
      <c r="DH52" s="539">
        <f t="shared" si="19"/>
        <v>0</v>
      </c>
      <c r="DI52" s="539">
        <f t="shared" si="19"/>
        <v>0</v>
      </c>
      <c r="DJ52" s="539">
        <f t="shared" si="19"/>
        <v>0</v>
      </c>
      <c r="DK52" s="539">
        <f t="shared" si="19"/>
        <v>0</v>
      </c>
      <c r="DL52" s="539">
        <f t="shared" si="19"/>
        <v>0</v>
      </c>
      <c r="DM52" s="539">
        <f t="shared" si="19"/>
        <v>0</v>
      </c>
      <c r="DN52" s="539">
        <f t="shared" si="19"/>
        <v>0</v>
      </c>
      <c r="DO52" s="539">
        <f t="shared" si="19"/>
        <v>0</v>
      </c>
      <c r="DP52" s="539">
        <f t="shared" si="19"/>
        <v>0</v>
      </c>
      <c r="DQ52" s="539">
        <f t="shared" si="19"/>
        <v>0</v>
      </c>
      <c r="DR52" s="539">
        <f t="shared" si="19"/>
        <v>0</v>
      </c>
      <c r="DS52" s="539">
        <f t="shared" si="19"/>
        <v>0</v>
      </c>
      <c r="DT52" s="539">
        <f t="shared" si="19"/>
        <v>0</v>
      </c>
      <c r="DU52" s="539">
        <f t="shared" si="19"/>
        <v>0</v>
      </c>
      <c r="DV52" s="539">
        <f t="shared" si="19"/>
        <v>0</v>
      </c>
      <c r="DW52" s="539">
        <f t="shared" si="19"/>
        <v>0</v>
      </c>
      <c r="DX52" s="539">
        <f t="shared" si="19"/>
        <v>0</v>
      </c>
      <c r="DY52" s="539">
        <f t="shared" si="19"/>
        <v>0</v>
      </c>
      <c r="DZ52" s="539">
        <f t="shared" si="19"/>
        <v>0</v>
      </c>
      <c r="EA52" s="539">
        <f t="shared" si="19"/>
        <v>0</v>
      </c>
      <c r="EB52" s="539">
        <f t="shared" si="19"/>
        <v>0</v>
      </c>
      <c r="EC52" s="539">
        <f t="shared" si="19"/>
        <v>0</v>
      </c>
      <c r="ED52" s="539">
        <f t="shared" si="19"/>
        <v>0</v>
      </c>
      <c r="EE52" s="539">
        <f t="shared" si="19"/>
        <v>0</v>
      </c>
      <c r="EF52" s="539">
        <f t="shared" si="19"/>
        <v>0</v>
      </c>
      <c r="EG52" s="539">
        <f t="shared" si="19"/>
        <v>0</v>
      </c>
    </row>
    <row r="53" spans="5:137" ht="12.75">
      <c r="E53" s="540" t="s">
        <v>475</v>
      </c>
      <c r="G53" s="541" t="s">
        <v>30</v>
      </c>
      <c r="H53" s="541">
        <f>SUM(J53:EG53)</f>
        <v>0</v>
      </c>
      <c r="J53" s="541">
        <f t="shared" si="20" ref="J53:EG53">J50+J51-J52</f>
        <v>0</v>
      </c>
      <c r="K53" s="541">
        <f t="shared" si="20"/>
        <v>0</v>
      </c>
      <c r="L53" s="541">
        <f t="shared" si="20"/>
        <v>0</v>
      </c>
      <c r="M53" s="541">
        <f t="shared" si="20"/>
        <v>0</v>
      </c>
      <c r="N53" s="541">
        <f t="shared" si="20"/>
        <v>0</v>
      </c>
      <c r="O53" s="541">
        <f t="shared" si="20"/>
        <v>0</v>
      </c>
      <c r="P53" s="541">
        <f t="shared" si="20"/>
        <v>0</v>
      </c>
      <c r="Q53" s="541">
        <f t="shared" si="20"/>
        <v>0</v>
      </c>
      <c r="R53" s="541">
        <f t="shared" si="20"/>
        <v>0</v>
      </c>
      <c r="S53" s="541">
        <f t="shared" si="20"/>
        <v>0</v>
      </c>
      <c r="T53" s="541">
        <f t="shared" si="20"/>
        <v>0</v>
      </c>
      <c r="U53" s="541">
        <f t="shared" si="20"/>
        <v>0</v>
      </c>
      <c r="V53" s="541">
        <f t="shared" si="20"/>
        <v>0</v>
      </c>
      <c r="W53" s="541">
        <f t="shared" si="20"/>
        <v>0</v>
      </c>
      <c r="X53" s="541">
        <f t="shared" si="20"/>
        <v>0</v>
      </c>
      <c r="Y53" s="541">
        <f t="shared" si="20"/>
        <v>0</v>
      </c>
      <c r="Z53" s="541">
        <f t="shared" si="20"/>
        <v>0</v>
      </c>
      <c r="AA53" s="541">
        <f t="shared" si="20"/>
        <v>0</v>
      </c>
      <c r="AB53" s="541">
        <f t="shared" si="20"/>
        <v>0</v>
      </c>
      <c r="AC53" s="541">
        <f t="shared" si="20"/>
        <v>0</v>
      </c>
      <c r="AD53" s="541">
        <f t="shared" si="20"/>
        <v>0</v>
      </c>
      <c r="AE53" s="541">
        <f t="shared" si="20"/>
        <v>0</v>
      </c>
      <c r="AF53" s="541">
        <f t="shared" si="20"/>
        <v>0</v>
      </c>
      <c r="AG53" s="541">
        <f t="shared" si="20"/>
        <v>0</v>
      </c>
      <c r="AH53" s="541">
        <f t="shared" si="20"/>
        <v>0</v>
      </c>
      <c r="AI53" s="541">
        <f t="shared" si="20"/>
        <v>0</v>
      </c>
      <c r="AJ53" s="541">
        <f t="shared" si="20"/>
        <v>0</v>
      </c>
      <c r="AK53" s="541">
        <f t="shared" si="20"/>
        <v>0</v>
      </c>
      <c r="AL53" s="541">
        <f t="shared" si="20"/>
        <v>0</v>
      </c>
      <c r="AM53" s="541">
        <f t="shared" si="20"/>
        <v>0</v>
      </c>
      <c r="AN53" s="541">
        <f t="shared" si="20"/>
        <v>0</v>
      </c>
      <c r="AO53" s="541">
        <f t="shared" si="20"/>
        <v>0</v>
      </c>
      <c r="AP53" s="541">
        <f t="shared" si="20"/>
        <v>0</v>
      </c>
      <c r="AQ53" s="541">
        <f t="shared" si="20"/>
        <v>0</v>
      </c>
      <c r="AR53" s="541">
        <f t="shared" si="20"/>
        <v>0</v>
      </c>
      <c r="AS53" s="541">
        <f t="shared" si="20"/>
        <v>0</v>
      </c>
      <c r="AT53" s="541">
        <f t="shared" si="20"/>
        <v>0</v>
      </c>
      <c r="AU53" s="541">
        <f t="shared" si="20"/>
        <v>0</v>
      </c>
      <c r="AV53" s="541">
        <f t="shared" si="20"/>
        <v>0</v>
      </c>
      <c r="AW53" s="541">
        <f t="shared" si="20"/>
        <v>0</v>
      </c>
      <c r="AX53" s="541">
        <f t="shared" si="20"/>
        <v>0</v>
      </c>
      <c r="AY53" s="541">
        <f t="shared" si="20"/>
        <v>0</v>
      </c>
      <c r="AZ53" s="541">
        <f t="shared" si="20"/>
        <v>0</v>
      </c>
      <c r="BA53" s="541">
        <f t="shared" si="20"/>
        <v>0</v>
      </c>
      <c r="BB53" s="541">
        <f t="shared" si="20"/>
        <v>0</v>
      </c>
      <c r="BC53" s="541">
        <f t="shared" si="20"/>
        <v>0</v>
      </c>
      <c r="BD53" s="541">
        <f t="shared" si="20"/>
        <v>0</v>
      </c>
      <c r="BE53" s="541">
        <f t="shared" si="20"/>
        <v>0</v>
      </c>
      <c r="BF53" s="541">
        <f t="shared" si="20"/>
        <v>0</v>
      </c>
      <c r="BG53" s="541">
        <f t="shared" si="20"/>
        <v>0</v>
      </c>
      <c r="BH53" s="541">
        <f t="shared" si="20"/>
        <v>0</v>
      </c>
      <c r="BI53" s="541">
        <f t="shared" si="20"/>
        <v>0</v>
      </c>
      <c r="BJ53" s="541">
        <f t="shared" si="20"/>
        <v>0</v>
      </c>
      <c r="BK53" s="541">
        <f t="shared" si="20"/>
        <v>0</v>
      </c>
      <c r="BL53" s="541">
        <f t="shared" si="20"/>
        <v>0</v>
      </c>
      <c r="BM53" s="541">
        <f t="shared" si="20"/>
        <v>0</v>
      </c>
      <c r="BN53" s="541">
        <f t="shared" si="20"/>
        <v>0</v>
      </c>
      <c r="BO53" s="541">
        <f t="shared" si="20"/>
        <v>0</v>
      </c>
      <c r="BP53" s="541">
        <f t="shared" si="20"/>
        <v>0</v>
      </c>
      <c r="BQ53" s="541">
        <f t="shared" si="20"/>
        <v>0</v>
      </c>
      <c r="BR53" s="541">
        <f t="shared" si="20"/>
        <v>0</v>
      </c>
      <c r="BS53" s="541">
        <f t="shared" si="20"/>
        <v>0</v>
      </c>
      <c r="BT53" s="541">
        <f t="shared" si="20"/>
        <v>0</v>
      </c>
      <c r="BU53" s="541">
        <f t="shared" si="20"/>
        <v>0</v>
      </c>
      <c r="BV53" s="541">
        <f t="shared" si="20"/>
        <v>0</v>
      </c>
      <c r="BW53" s="541">
        <f t="shared" si="20"/>
        <v>0</v>
      </c>
      <c r="BX53" s="541">
        <f t="shared" si="20"/>
        <v>0</v>
      </c>
      <c r="BY53" s="541">
        <f t="shared" si="20"/>
        <v>0</v>
      </c>
      <c r="BZ53" s="541">
        <f t="shared" si="20"/>
        <v>0</v>
      </c>
      <c r="CA53" s="541">
        <f t="shared" si="20"/>
        <v>0</v>
      </c>
      <c r="CB53" s="541">
        <f t="shared" si="20"/>
        <v>0</v>
      </c>
      <c r="CC53" s="541">
        <f t="shared" si="20"/>
        <v>0</v>
      </c>
      <c r="CD53" s="541">
        <f t="shared" si="20"/>
        <v>0</v>
      </c>
      <c r="CE53" s="541">
        <f t="shared" si="20"/>
        <v>0</v>
      </c>
      <c r="CF53" s="541">
        <f t="shared" si="20"/>
        <v>0</v>
      </c>
      <c r="CG53" s="541">
        <f t="shared" si="20"/>
        <v>0</v>
      </c>
      <c r="CH53" s="541">
        <f t="shared" si="20"/>
        <v>0</v>
      </c>
      <c r="CI53" s="541">
        <f t="shared" si="20"/>
        <v>0</v>
      </c>
      <c r="CJ53" s="541">
        <f t="shared" si="20"/>
        <v>0</v>
      </c>
      <c r="CK53" s="541">
        <f t="shared" si="20"/>
        <v>0</v>
      </c>
      <c r="CL53" s="541">
        <f t="shared" si="20"/>
        <v>0</v>
      </c>
      <c r="CM53" s="541">
        <f t="shared" si="20"/>
        <v>0</v>
      </c>
      <c r="CN53" s="541">
        <f t="shared" si="20"/>
        <v>0</v>
      </c>
      <c r="CO53" s="541">
        <f t="shared" si="20"/>
        <v>0</v>
      </c>
      <c r="CP53" s="541">
        <f t="shared" si="20"/>
        <v>0</v>
      </c>
      <c r="CQ53" s="541">
        <f t="shared" si="20"/>
        <v>0</v>
      </c>
      <c r="CR53" s="541">
        <f t="shared" si="20"/>
        <v>0</v>
      </c>
      <c r="CS53" s="541">
        <f t="shared" si="20"/>
        <v>0</v>
      </c>
      <c r="CT53" s="541">
        <f t="shared" si="20"/>
        <v>0</v>
      </c>
      <c r="CU53" s="541">
        <f t="shared" si="20"/>
        <v>0</v>
      </c>
      <c r="CV53" s="541">
        <f t="shared" si="20"/>
        <v>0</v>
      </c>
      <c r="CW53" s="541">
        <f t="shared" si="20"/>
        <v>0</v>
      </c>
      <c r="CX53" s="541">
        <f t="shared" si="20"/>
        <v>0</v>
      </c>
      <c r="CY53" s="541">
        <f t="shared" si="20"/>
        <v>0</v>
      </c>
      <c r="CZ53" s="541">
        <f t="shared" si="20"/>
        <v>0</v>
      </c>
      <c r="DA53" s="541">
        <f t="shared" si="20"/>
        <v>0</v>
      </c>
      <c r="DB53" s="541">
        <f t="shared" si="20"/>
        <v>0</v>
      </c>
      <c r="DC53" s="541">
        <f t="shared" si="20"/>
        <v>0</v>
      </c>
      <c r="DD53" s="541">
        <f t="shared" si="20"/>
        <v>0</v>
      </c>
      <c r="DE53" s="541">
        <f t="shared" si="20"/>
        <v>0</v>
      </c>
      <c r="DF53" s="541">
        <f t="shared" si="20"/>
        <v>0</v>
      </c>
      <c r="DG53" s="541">
        <f t="shared" si="20"/>
        <v>0</v>
      </c>
      <c r="DH53" s="541">
        <f t="shared" si="20"/>
        <v>0</v>
      </c>
      <c r="DI53" s="541">
        <f t="shared" si="20"/>
        <v>0</v>
      </c>
      <c r="DJ53" s="541">
        <f t="shared" si="20"/>
        <v>0</v>
      </c>
      <c r="DK53" s="541">
        <f t="shared" si="20"/>
        <v>0</v>
      </c>
      <c r="DL53" s="541">
        <f t="shared" si="20"/>
        <v>0</v>
      </c>
      <c r="DM53" s="541">
        <f t="shared" si="20"/>
        <v>0</v>
      </c>
      <c r="DN53" s="541">
        <f t="shared" si="20"/>
        <v>0</v>
      </c>
      <c r="DO53" s="541">
        <f t="shared" si="20"/>
        <v>0</v>
      </c>
      <c r="DP53" s="541">
        <f t="shared" si="20"/>
        <v>0</v>
      </c>
      <c r="DQ53" s="541">
        <f t="shared" si="20"/>
        <v>0</v>
      </c>
      <c r="DR53" s="541">
        <f t="shared" si="20"/>
        <v>0</v>
      </c>
      <c r="DS53" s="541">
        <f t="shared" si="20"/>
        <v>0</v>
      </c>
      <c r="DT53" s="541">
        <f t="shared" si="20"/>
        <v>0</v>
      </c>
      <c r="DU53" s="541">
        <f t="shared" si="20"/>
        <v>0</v>
      </c>
      <c r="DV53" s="541">
        <f t="shared" si="20"/>
        <v>0</v>
      </c>
      <c r="DW53" s="541">
        <f t="shared" si="20"/>
        <v>0</v>
      </c>
      <c r="DX53" s="541">
        <f t="shared" si="20"/>
        <v>0</v>
      </c>
      <c r="DY53" s="541">
        <f t="shared" si="20"/>
        <v>0</v>
      </c>
      <c r="DZ53" s="541">
        <f t="shared" si="20"/>
        <v>0</v>
      </c>
      <c r="EA53" s="541">
        <f t="shared" si="20"/>
        <v>0</v>
      </c>
      <c r="EB53" s="541">
        <f t="shared" si="20"/>
        <v>0</v>
      </c>
      <c r="EC53" s="541">
        <f t="shared" si="20"/>
        <v>0</v>
      </c>
      <c r="ED53" s="541">
        <f t="shared" si="20"/>
        <v>0</v>
      </c>
      <c r="EE53" s="541">
        <f t="shared" si="20"/>
        <v>0</v>
      </c>
      <c r="EF53" s="541">
        <f t="shared" si="20"/>
        <v>0</v>
      </c>
      <c r="EG53" s="541">
        <f t="shared" si="20"/>
        <v>0</v>
      </c>
    </row>
    <row r="55" spans="5:137" ht="12.75">
      <c r="E55" s="535" t="str">
        <f>Waterfall!E$116</f>
        <v>Distributions - cash released to shareholders</v>
      </c>
      <c r="G55" s="537" t="str">
        <f>Waterfall!G$116</f>
        <v>EUR 000s</v>
      </c>
      <c r="H55" s="537">
        <f>Waterfall!H$116</f>
        <v>563432.21775595983</v>
      </c>
      <c r="J55" s="537">
        <f>Waterfall!J$116</f>
        <v>0</v>
      </c>
      <c r="K55" s="537">
        <f>Waterfall!K$116</f>
        <v>0</v>
      </c>
      <c r="L55" s="537">
        <f>Waterfall!L$116</f>
        <v>0</v>
      </c>
      <c r="M55" s="537">
        <f>Waterfall!M$116</f>
        <v>0</v>
      </c>
      <c r="N55" s="537">
        <f>Waterfall!N$116</f>
        <v>0</v>
      </c>
      <c r="O55" s="537">
        <f>Waterfall!O$116</f>
        <v>0</v>
      </c>
      <c r="P55" s="537">
        <f>Waterfall!P$116</f>
        <v>1.8189894035458565E-12</v>
      </c>
      <c r="Q55" s="537">
        <f>Waterfall!Q$116</f>
        <v>0</v>
      </c>
      <c r="R55" s="537">
        <f>Waterfall!R$116</f>
        <v>0</v>
      </c>
      <c r="S55" s="537">
        <f>Waterfall!S$116</f>
        <v>0</v>
      </c>
      <c r="T55" s="537">
        <f>Waterfall!T$116</f>
        <v>0</v>
      </c>
      <c r="U55" s="537">
        <f>Waterfall!U$116</f>
        <v>0</v>
      </c>
      <c r="V55" s="537">
        <f>Waterfall!V$116</f>
        <v>0</v>
      </c>
      <c r="W55" s="537">
        <f>Waterfall!W$116</f>
        <v>0</v>
      </c>
      <c r="X55" s="537">
        <f>Waterfall!X$116</f>
        <v>0</v>
      </c>
      <c r="Y55" s="537">
        <f>Waterfall!Y$116</f>
        <v>0</v>
      </c>
      <c r="Z55" s="537">
        <f>Waterfall!Z$116</f>
        <v>0</v>
      </c>
      <c r="AA55" s="537">
        <f>Waterfall!AA$116</f>
        <v>0</v>
      </c>
      <c r="AB55" s="537">
        <f>Waterfall!AB$116</f>
        <v>0</v>
      </c>
      <c r="AC55" s="537">
        <f>Waterfall!AC$116</f>
        <v>0</v>
      </c>
      <c r="AD55" s="537">
        <f>Waterfall!AD$116</f>
        <v>0</v>
      </c>
      <c r="AE55" s="537">
        <f>Waterfall!AE$116</f>
        <v>0</v>
      </c>
      <c r="AF55" s="537">
        <f>Waterfall!AF$116</f>
        <v>0</v>
      </c>
      <c r="AG55" s="537">
        <f>Waterfall!AG$116</f>
        <v>0</v>
      </c>
      <c r="AH55" s="537">
        <f>Waterfall!AH$116</f>
        <v>1383.9233639501999</v>
      </c>
      <c r="AI55" s="537">
        <f>Waterfall!AI$116</f>
        <v>3289.5323362199924</v>
      </c>
      <c r="AJ55" s="537">
        <f>Waterfall!AJ$116</f>
        <v>3245.3805232500731</v>
      </c>
      <c r="AK55" s="537">
        <f>Waterfall!AK$116</f>
        <v>3195.0408989934072</v>
      </c>
      <c r="AL55" s="537">
        <f>Waterfall!AL$116</f>
        <v>3314.6555979376371</v>
      </c>
      <c r="AM55" s="537">
        <f>Waterfall!AM$116</f>
        <v>3413.5103829410727</v>
      </c>
      <c r="AN55" s="537">
        <f>Waterfall!AN$116</f>
        <v>3368.8149446907446</v>
      </c>
      <c r="AO55" s="537">
        <f>Waterfall!AO$116</f>
        <v>3317.8291025066792</v>
      </c>
      <c r="AP55" s="537">
        <f>Waterfall!AP$116</f>
        <v>3438.4566627931977</v>
      </c>
      <c r="AQ55" s="537">
        <f>Waterfall!AQ$116</f>
        <v>3538.7454210592982</v>
      </c>
      <c r="AR55" s="537">
        <f>Waterfall!AR$116</f>
        <v>3482.692592271675</v>
      </c>
      <c r="AS55" s="537">
        <f>Waterfall!AS$116</f>
        <v>3452.6458698254974</v>
      </c>
      <c r="AT55" s="537">
        <f>Waterfall!AT$116</f>
        <v>1840.225347833371</v>
      </c>
      <c r="AU55" s="537">
        <f>Waterfall!AU$116</f>
        <v>1907.064048963113</v>
      </c>
      <c r="AV55" s="537">
        <f>Waterfall!AV$116</f>
        <v>1879.8635093641863</v>
      </c>
      <c r="AW55" s="537">
        <f>Waterfall!AW$116</f>
        <v>1823.2308510204605</v>
      </c>
      <c r="AX55" s="537">
        <f>Waterfall!AX$116</f>
        <v>3689.9207029973613</v>
      </c>
      <c r="AY55" s="537">
        <f>Waterfall!AY$116</f>
        <v>3795.4891066389291</v>
      </c>
      <c r="AZ55" s="537">
        <f>Waterfall!AZ$116</f>
        <v>3810.2717218736234</v>
      </c>
      <c r="BA55" s="537">
        <f>Waterfall!BA$116</f>
        <v>3761.7553340142267</v>
      </c>
      <c r="BB55" s="537">
        <f>Waterfall!BB$116</f>
        <v>3775.7398776167847</v>
      </c>
      <c r="BC55" s="537">
        <f>Waterfall!BC$116</f>
        <v>3870.9553004708091</v>
      </c>
      <c r="BD55" s="537">
        <f>Waterfall!BD$116</f>
        <v>3819.5887386810437</v>
      </c>
      <c r="BE55" s="537">
        <f>Waterfall!BE$116</f>
        <v>3757.5449019740718</v>
      </c>
      <c r="BF55" s="537">
        <f>Waterfall!BF$116</f>
        <v>3865.5485651833455</v>
      </c>
      <c r="BG55" s="537">
        <f>Waterfall!BG$116</f>
        <v>3963.7340210591155</v>
      </c>
      <c r="BH55" s="537">
        <f>Waterfall!BH$116</f>
        <v>3901.9818208723086</v>
      </c>
      <c r="BI55" s="537">
        <f>Waterfall!BI$116</f>
        <v>3863.3396261250573</v>
      </c>
      <c r="BJ55" s="537">
        <f>Waterfall!BJ$116</f>
        <v>3981.7948466400562</v>
      </c>
      <c r="BK55" s="537">
        <f>Waterfall!BK$116</f>
        <v>4041.5037487339391</v>
      </c>
      <c r="BL55" s="537">
        <f>Waterfall!BL$116</f>
        <v>4013.5705589641948</v>
      </c>
      <c r="BM55" s="537">
        <f>Waterfall!BM$116</f>
        <v>3952.9034566736409</v>
      </c>
      <c r="BN55" s="537">
        <f>Waterfall!BN$116</f>
        <v>2097.5193655527028</v>
      </c>
      <c r="BO55" s="537">
        <f>Waterfall!BO$116</f>
        <v>2200.864273878366</v>
      </c>
      <c r="BP55" s="537">
        <f>Waterfall!BP$116</f>
        <v>2098.1063109146212</v>
      </c>
      <c r="BQ55" s="537">
        <f>Waterfall!BQ$116</f>
        <v>2037.8164184080592</v>
      </c>
      <c r="BR55" s="537">
        <f>Waterfall!BR$116</f>
        <v>4224.1553525130121</v>
      </c>
      <c r="BS55" s="537">
        <f>Waterfall!BS$116</f>
        <v>4329.7689293072381</v>
      </c>
      <c r="BT55" s="537">
        <f>Waterfall!BT$116</f>
        <v>4419.8055567868232</v>
      </c>
      <c r="BU55" s="537">
        <f>Waterfall!BU$116</f>
        <v>4770.8603254831687</v>
      </c>
      <c r="BV55" s="537">
        <f>Waterfall!BV$116</f>
        <v>4626.1012277867885</v>
      </c>
      <c r="BW55" s="537">
        <f>Waterfall!BW$116</f>
        <v>3945.1397120020174</v>
      </c>
      <c r="BX55" s="537">
        <f>Waterfall!BX$116</f>
        <v>3887.6124417460055</v>
      </c>
      <c r="BY55" s="537">
        <f>Waterfall!BY$116</f>
        <v>3843.3319181364645</v>
      </c>
      <c r="BZ55" s="537">
        <f>Waterfall!BZ$116</f>
        <v>3978.3991178064584</v>
      </c>
      <c r="CA55" s="537">
        <f>Waterfall!CA$116</f>
        <v>4211.4281415911701</v>
      </c>
      <c r="CB55" s="537">
        <f>Waterfall!CB$116</f>
        <v>4139.4003880005166</v>
      </c>
      <c r="CC55" s="537">
        <f>Waterfall!CC$116</f>
        <v>3736.011479524982</v>
      </c>
      <c r="CD55" s="537">
        <f>Waterfall!CD$116</f>
        <v>4321.3134548763692</v>
      </c>
      <c r="CE55" s="537">
        <f>Waterfall!CE$116</f>
        <v>4413.9780591819081</v>
      </c>
      <c r="CF55" s="537">
        <f>Waterfall!CF$116</f>
        <v>4368.5578436146661</v>
      </c>
      <c r="CG55" s="537">
        <f>Waterfall!CG$116</f>
        <v>4283.5118246307165</v>
      </c>
      <c r="CH55" s="537">
        <f>Waterfall!CH$116</f>
        <v>2110.5359724491877</v>
      </c>
      <c r="CI55" s="537">
        <f>Waterfall!CI$116</f>
        <v>2204.6023940287428</v>
      </c>
      <c r="CJ55" s="537">
        <f>Waterfall!CJ$116</f>
        <v>1870.785150550882</v>
      </c>
      <c r="CK55" s="537">
        <f>Waterfall!CK$116</f>
        <v>1786.9171601948424</v>
      </c>
      <c r="CL55" s="537">
        <f>Waterfall!CL$116</f>
        <v>4628.8303227158403</v>
      </c>
      <c r="CM55" s="537">
        <f>Waterfall!CM$116</f>
        <v>4723.5203653725785</v>
      </c>
      <c r="CN55" s="537">
        <f>Waterfall!CN$116</f>
        <v>4948.935086001231</v>
      </c>
      <c r="CO55" s="537">
        <f>Waterfall!CO$116</f>
        <v>4889.99295027068</v>
      </c>
      <c r="CP55" s="537">
        <f>Waterfall!CP$116</f>
        <v>4408.4942242291327</v>
      </c>
      <c r="CQ55" s="537">
        <f>Waterfall!CQ$116</f>
        <v>4454.0921236772019</v>
      </c>
      <c r="CR55" s="537">
        <f>Waterfall!CR$116</f>
        <v>4428.3806644411152</v>
      </c>
      <c r="CS55" s="537">
        <f>Waterfall!CS$116</f>
        <v>4344.7192119229667</v>
      </c>
      <c r="CT55" s="537">
        <f>Waterfall!CT$116</f>
        <v>4410.7908852154824</v>
      </c>
      <c r="CU55" s="537">
        <f>Waterfall!CU$116</f>
        <v>4507.2180043044709</v>
      </c>
      <c r="CV55" s="537">
        <f>Waterfall!CV$116</f>
        <v>4455.6468509356973</v>
      </c>
      <c r="CW55" s="537">
        <f>Waterfall!CW$116</f>
        <v>4372.1040514103006</v>
      </c>
      <c r="CX55" s="537">
        <f>Waterfall!CX$116</f>
        <v>4442.1439989063965</v>
      </c>
      <c r="CY55" s="537">
        <f>Waterfall!CY$116</f>
        <v>4538.8867633803111</v>
      </c>
      <c r="CZ55" s="537">
        <f>Waterfall!CZ$116</f>
        <v>9289.0498453167747</v>
      </c>
      <c r="DA55" s="537">
        <f>Waterfall!DA$116</f>
        <v>9243.2109589193478</v>
      </c>
      <c r="DB55" s="537">
        <f>Waterfall!DB$116</f>
        <v>6730.8032201585938</v>
      </c>
      <c r="DC55" s="537">
        <f>Waterfall!DC$116</f>
        <v>6819.6943690281241</v>
      </c>
      <c r="DD55" s="537">
        <f>Waterfall!DD$116</f>
        <v>6814.0398522326241</v>
      </c>
      <c r="DE55" s="537">
        <f>Waterfall!DE$116</f>
        <v>6785.1271000854231</v>
      </c>
      <c r="DF55" s="537">
        <f>Waterfall!DF$116</f>
        <v>10042.297500103878</v>
      </c>
      <c r="DG55" s="537">
        <f>Waterfall!DG$116</f>
        <v>10083.037086594606</v>
      </c>
      <c r="DH55" s="537">
        <f>Waterfall!DH$116</f>
        <v>10103.030440845592</v>
      </c>
      <c r="DI55" s="537">
        <f>Waterfall!DI$116</f>
        <v>10074.710093976457</v>
      </c>
      <c r="DJ55" s="537">
        <f>Waterfall!DJ$116</f>
        <v>9531.0000277068248</v>
      </c>
      <c r="DK55" s="537">
        <f>Waterfall!DK$116</f>
        <v>9622.5760692221538</v>
      </c>
      <c r="DL55" s="537">
        <f>Waterfall!DL$116</f>
        <v>9618.4891847043327</v>
      </c>
      <c r="DM55" s="537">
        <f>Waterfall!DM$116</f>
        <v>9590.6249782264968</v>
      </c>
      <c r="DN55" s="537">
        <f>Waterfall!DN$116</f>
        <v>9679.6513243283043</v>
      </c>
      <c r="DO55" s="537">
        <f>Waterfall!DO$116</f>
        <v>9772.3259446832872</v>
      </c>
      <c r="DP55" s="537">
        <f>Waterfall!DP$116</f>
        <v>9768.8299907587207</v>
      </c>
      <c r="DQ55" s="537">
        <f>Waterfall!DQ$116</f>
        <v>9741.3091688148925</v>
      </c>
      <c r="DR55" s="537">
        <f>Waterfall!DR$116</f>
        <v>9833.1752700445759</v>
      </c>
      <c r="DS55" s="537">
        <f>Waterfall!DS$116</f>
        <v>9926.8134161951511</v>
      </c>
      <c r="DT55" s="537">
        <f>Waterfall!DT$116</f>
        <v>9923.8082057289866</v>
      </c>
      <c r="DU55" s="537">
        <f>Waterfall!DU$116</f>
        <v>9896.5376166003607</v>
      </c>
      <c r="DV55" s="537">
        <f>Waterfall!DV$116</f>
        <v>10016.918852742816</v>
      </c>
      <c r="DW55" s="537">
        <f>Waterfall!DW$116</f>
        <v>10059.983606963106</v>
      </c>
      <c r="DX55" s="537">
        <f>Waterfall!DX$116</f>
        <v>10083.094712487115</v>
      </c>
      <c r="DY55" s="537">
        <f>Waterfall!DY$116</f>
        <v>10055.997562626802</v>
      </c>
      <c r="DZ55" s="537">
        <f>Waterfall!DZ$116</f>
        <v>12150.719351237401</v>
      </c>
      <c r="EA55" s="537">
        <f>Waterfall!EA$116</f>
        <v>14400.981458335427</v>
      </c>
      <c r="EB55" s="537">
        <f>Waterfall!EB$116</f>
        <v>16648.983915654459</v>
      </c>
      <c r="EC55" s="537">
        <f>Waterfall!EC$116</f>
        <v>19599.446855546739</v>
      </c>
      <c r="ED55" s="537">
        <f>Waterfall!ED$116</f>
        <v>2308.4176722004668</v>
      </c>
      <c r="EE55" s="537">
        <f>Waterfall!EE$116</f>
        <v>4.0745362639427185E-10</v>
      </c>
      <c r="EF55" s="537">
        <f>Waterfall!EF$116</f>
        <v>4.0745362639427185E-10</v>
      </c>
      <c r="EG55" s="537">
        <f>Waterfall!EG$116</f>
        <v>4.0745362639427185E-10</v>
      </c>
    </row>
    <row r="56" spans="5:137" ht="12.75">
      <c r="E56" s="538" t="str">
        <f>E$23</f>
        <v>Shareholder loan - opening balance</v>
      </c>
      <c r="G56" s="539" t="str">
        <f>G$23</f>
        <v>EUR 000s</v>
      </c>
      <c r="H56" s="539">
        <f>H$23</f>
        <v>1982209.3275418179</v>
      </c>
      <c r="J56" s="539">
        <f t="shared" si="21" ref="J56:EG56">J$23</f>
        <v>0</v>
      </c>
      <c r="K56" s="539">
        <f t="shared" si="21"/>
        <v>0</v>
      </c>
      <c r="L56" s="539">
        <f t="shared" si="21"/>
        <v>0</v>
      </c>
      <c r="M56" s="539">
        <f t="shared" si="21"/>
        <v>9055.4397749326417</v>
      </c>
      <c r="N56" s="539">
        <f t="shared" si="21"/>
        <v>19828.091695005383</v>
      </c>
      <c r="O56" s="539">
        <f t="shared" si="21"/>
        <v>30939.160758532307</v>
      </c>
      <c r="P56" s="539">
        <f t="shared" si="21"/>
        <v>41851.875073305215</v>
      </c>
      <c r="Q56" s="539">
        <f t="shared" si="21"/>
        <v>53108.507977738744</v>
      </c>
      <c r="R56" s="539">
        <f t="shared" si="21"/>
        <v>56550.332750408648</v>
      </c>
      <c r="S56" s="539">
        <f t="shared" si="21"/>
        <v>56875.690829246618</v>
      </c>
      <c r="T56" s="539">
        <f t="shared" si="21"/>
        <v>57213.828498012277</v>
      </c>
      <c r="U56" s="539">
        <f t="shared" si="21"/>
        <v>57543.003949644677</v>
      </c>
      <c r="V56" s="539">
        <f t="shared" si="21"/>
        <v>57885.108932030234</v>
      </c>
      <c r="W56" s="539">
        <f t="shared" si="21"/>
        <v>58229.247798831617</v>
      </c>
      <c r="X56" s="539">
        <f t="shared" si="21"/>
        <v>58553.098135904569</v>
      </c>
      <c r="Y56" s="539">
        <f t="shared" si="21"/>
        <v>58901.208335781041</v>
      </c>
      <c r="Z56" s="539">
        <f t="shared" si="21"/>
        <v>59240.092000178687</v>
      </c>
      <c r="AA56" s="539">
        <f t="shared" si="21"/>
        <v>59592.286519741392</v>
      </c>
      <c r="AB56" s="539">
        <f t="shared" si="21"/>
        <v>59935.146250402919</v>
      </c>
      <c r="AC56" s="539">
        <f t="shared" si="21"/>
        <v>60291.473010302572</v>
      </c>
      <c r="AD56" s="539">
        <f t="shared" si="21"/>
        <v>60649.918206007656</v>
      </c>
      <c r="AE56" s="539">
        <f t="shared" si="21"/>
        <v>60998.862940891537</v>
      </c>
      <c r="AF56" s="539">
        <f t="shared" si="21"/>
        <v>61361.513715088069</v>
      </c>
      <c r="AG56" s="539">
        <f t="shared" si="21"/>
        <v>61714.552561120079</v>
      </c>
      <c r="AH56" s="539">
        <f t="shared" si="21"/>
        <v>62081.458257168379</v>
      </c>
      <c r="AI56" s="539">
        <f t="shared" si="21"/>
        <v>61769.077871355606</v>
      </c>
      <c r="AJ56" s="539">
        <f t="shared" si="21"/>
        <v>59557.542866753516</v>
      </c>
      <c r="AK56" s="539">
        <f t="shared" si="21"/>
        <v>57362.985839563422</v>
      </c>
      <c r="AL56" s="539">
        <f t="shared" si="21"/>
        <v>55180.048033191357</v>
      </c>
      <c r="AM56" s="539">
        <f t="shared" si="21"/>
        <v>52817.815182127983</v>
      </c>
      <c r="AN56" s="539">
        <f t="shared" si="21"/>
        <v>50326.084203872269</v>
      </c>
      <c r="AO56" s="539">
        <f t="shared" si="21"/>
        <v>47845.21441609368</v>
      </c>
      <c r="AP56" s="539">
        <f t="shared" si="21"/>
        <v>45371.558411777805</v>
      </c>
      <c r="AQ56" s="539">
        <f t="shared" si="21"/>
        <v>42716.227277735845</v>
      </c>
      <c r="AR56" s="539">
        <f t="shared" si="21"/>
        <v>39922.967795742785</v>
      </c>
      <c r="AS56" s="539">
        <f t="shared" si="21"/>
        <v>37144.669484579557</v>
      </c>
      <c r="AT56" s="539">
        <f t="shared" si="21"/>
        <v>34347.398057166916</v>
      </c>
      <c r="AU56" s="539">
        <f t="shared" si="21"/>
        <v>33106.60538227643</v>
      </c>
      <c r="AV56" s="539">
        <f t="shared" si="21"/>
        <v>31777.319624505373</v>
      </c>
      <c r="AW56" s="539">
        <f t="shared" si="21"/>
        <v>30458.129918926981</v>
      </c>
      <c r="AX56" s="539">
        <f t="shared" si="21"/>
        <v>29172.297305380191</v>
      </c>
      <c r="AY56" s="539">
        <f t="shared" si="21"/>
        <v>25985.898446283911</v>
      </c>
      <c r="AZ56" s="539">
        <f t="shared" si="21"/>
        <v>22643.916663214375</v>
      </c>
      <c r="BA56" s="539">
        <f t="shared" si="21"/>
        <v>19233.170484658836</v>
      </c>
      <c r="BB56" s="539">
        <f t="shared" si="21"/>
        <v>15810.762049058863</v>
      </c>
      <c r="BC56" s="539">
        <f t="shared" si="21"/>
        <v>12307.920256124464</v>
      </c>
      <c r="BD56" s="539">
        <f t="shared" si="21"/>
        <v>8651.7634543701279</v>
      </c>
      <c r="BE56" s="539">
        <f t="shared" si="21"/>
        <v>4984.8250078702995</v>
      </c>
      <c r="BF56" s="539">
        <f t="shared" si="21"/>
        <v>1315.2315389118025</v>
      </c>
      <c r="BG56" s="539">
        <f t="shared" si="21"/>
        <v>0</v>
      </c>
      <c r="BH56" s="539">
        <f t="shared" si="21"/>
        <v>0</v>
      </c>
      <c r="BI56" s="539">
        <f t="shared" si="21"/>
        <v>0</v>
      </c>
      <c r="BJ56" s="539">
        <f t="shared" si="21"/>
        <v>0</v>
      </c>
      <c r="BK56" s="539">
        <f t="shared" si="21"/>
        <v>0</v>
      </c>
      <c r="BL56" s="539">
        <f t="shared" si="21"/>
        <v>0</v>
      </c>
      <c r="BM56" s="539">
        <f t="shared" si="21"/>
        <v>0</v>
      </c>
      <c r="BN56" s="539">
        <f t="shared" si="21"/>
        <v>0</v>
      </c>
      <c r="BO56" s="539">
        <f t="shared" si="21"/>
        <v>0</v>
      </c>
      <c r="BP56" s="539">
        <f t="shared" si="21"/>
        <v>0</v>
      </c>
      <c r="BQ56" s="539">
        <f t="shared" si="21"/>
        <v>0</v>
      </c>
      <c r="BR56" s="539">
        <f t="shared" si="21"/>
        <v>0</v>
      </c>
      <c r="BS56" s="539">
        <f t="shared" si="21"/>
        <v>0</v>
      </c>
      <c r="BT56" s="539">
        <f t="shared" si="21"/>
        <v>0</v>
      </c>
      <c r="BU56" s="539">
        <f t="shared" si="21"/>
        <v>0</v>
      </c>
      <c r="BV56" s="539">
        <f t="shared" si="21"/>
        <v>0</v>
      </c>
      <c r="BW56" s="539">
        <f t="shared" si="21"/>
        <v>0</v>
      </c>
      <c r="BX56" s="539">
        <f t="shared" si="21"/>
        <v>0</v>
      </c>
      <c r="BY56" s="539">
        <f t="shared" si="21"/>
        <v>0</v>
      </c>
      <c r="BZ56" s="539">
        <f t="shared" si="21"/>
        <v>0</v>
      </c>
      <c r="CA56" s="539">
        <f t="shared" si="21"/>
        <v>0</v>
      </c>
      <c r="CB56" s="539">
        <f t="shared" si="21"/>
        <v>0</v>
      </c>
      <c r="CC56" s="539">
        <f t="shared" si="21"/>
        <v>0</v>
      </c>
      <c r="CD56" s="539">
        <f t="shared" si="21"/>
        <v>0</v>
      </c>
      <c r="CE56" s="539">
        <f t="shared" si="21"/>
        <v>0</v>
      </c>
      <c r="CF56" s="539">
        <f t="shared" si="21"/>
        <v>0</v>
      </c>
      <c r="CG56" s="539">
        <f t="shared" si="21"/>
        <v>0</v>
      </c>
      <c r="CH56" s="539">
        <f t="shared" si="21"/>
        <v>0</v>
      </c>
      <c r="CI56" s="539">
        <f t="shared" si="21"/>
        <v>0</v>
      </c>
      <c r="CJ56" s="539">
        <f t="shared" si="21"/>
        <v>0</v>
      </c>
      <c r="CK56" s="539">
        <f t="shared" si="21"/>
        <v>0</v>
      </c>
      <c r="CL56" s="539">
        <f t="shared" si="21"/>
        <v>0</v>
      </c>
      <c r="CM56" s="539">
        <f t="shared" si="21"/>
        <v>0</v>
      </c>
      <c r="CN56" s="539">
        <f t="shared" si="21"/>
        <v>0</v>
      </c>
      <c r="CO56" s="539">
        <f t="shared" si="21"/>
        <v>0</v>
      </c>
      <c r="CP56" s="539">
        <f t="shared" si="21"/>
        <v>0</v>
      </c>
      <c r="CQ56" s="539">
        <f t="shared" si="21"/>
        <v>0</v>
      </c>
      <c r="CR56" s="539">
        <f t="shared" si="21"/>
        <v>0</v>
      </c>
      <c r="CS56" s="539">
        <f t="shared" si="21"/>
        <v>0</v>
      </c>
      <c r="CT56" s="539">
        <f t="shared" si="21"/>
        <v>0</v>
      </c>
      <c r="CU56" s="539">
        <f t="shared" si="21"/>
        <v>0</v>
      </c>
      <c r="CV56" s="539">
        <f t="shared" si="21"/>
        <v>0</v>
      </c>
      <c r="CW56" s="539">
        <f t="shared" si="21"/>
        <v>0</v>
      </c>
      <c r="CX56" s="539">
        <f t="shared" si="21"/>
        <v>0</v>
      </c>
      <c r="CY56" s="539">
        <f t="shared" si="21"/>
        <v>0</v>
      </c>
      <c r="CZ56" s="539">
        <f t="shared" si="21"/>
        <v>0</v>
      </c>
      <c r="DA56" s="539">
        <f t="shared" si="21"/>
        <v>0</v>
      </c>
      <c r="DB56" s="539">
        <f t="shared" si="21"/>
        <v>0</v>
      </c>
      <c r="DC56" s="539">
        <f t="shared" si="21"/>
        <v>0</v>
      </c>
      <c r="DD56" s="539">
        <f t="shared" si="21"/>
        <v>0</v>
      </c>
      <c r="DE56" s="539">
        <f t="shared" si="21"/>
        <v>0</v>
      </c>
      <c r="DF56" s="539">
        <f t="shared" si="21"/>
        <v>0</v>
      </c>
      <c r="DG56" s="539">
        <f t="shared" si="21"/>
        <v>0</v>
      </c>
      <c r="DH56" s="539">
        <f t="shared" si="21"/>
        <v>0</v>
      </c>
      <c r="DI56" s="539">
        <f t="shared" si="21"/>
        <v>0</v>
      </c>
      <c r="DJ56" s="539">
        <f t="shared" si="21"/>
        <v>0</v>
      </c>
      <c r="DK56" s="539">
        <f t="shared" si="21"/>
        <v>0</v>
      </c>
      <c r="DL56" s="539">
        <f t="shared" si="21"/>
        <v>0</v>
      </c>
      <c r="DM56" s="539">
        <f t="shared" si="21"/>
        <v>0</v>
      </c>
      <c r="DN56" s="539">
        <f t="shared" si="21"/>
        <v>0</v>
      </c>
      <c r="DO56" s="539">
        <f t="shared" si="21"/>
        <v>0</v>
      </c>
      <c r="DP56" s="539">
        <f t="shared" si="21"/>
        <v>0</v>
      </c>
      <c r="DQ56" s="539">
        <f t="shared" si="21"/>
        <v>0</v>
      </c>
      <c r="DR56" s="539">
        <f t="shared" si="21"/>
        <v>0</v>
      </c>
      <c r="DS56" s="539">
        <f t="shared" si="21"/>
        <v>0</v>
      </c>
      <c r="DT56" s="539">
        <f t="shared" si="21"/>
        <v>0</v>
      </c>
      <c r="DU56" s="539">
        <f t="shared" si="21"/>
        <v>0</v>
      </c>
      <c r="DV56" s="539">
        <f t="shared" si="21"/>
        <v>0</v>
      </c>
      <c r="DW56" s="539">
        <f t="shared" si="21"/>
        <v>0</v>
      </c>
      <c r="DX56" s="539">
        <f t="shared" si="21"/>
        <v>0</v>
      </c>
      <c r="DY56" s="539">
        <f t="shared" si="21"/>
        <v>0</v>
      </c>
      <c r="DZ56" s="539">
        <f t="shared" si="21"/>
        <v>0</v>
      </c>
      <c r="EA56" s="539">
        <f t="shared" si="21"/>
        <v>0</v>
      </c>
      <c r="EB56" s="539">
        <f t="shared" si="21"/>
        <v>0</v>
      </c>
      <c r="EC56" s="539">
        <f t="shared" si="21"/>
        <v>0</v>
      </c>
      <c r="ED56" s="539">
        <f t="shared" si="21"/>
        <v>0</v>
      </c>
      <c r="EE56" s="539">
        <f t="shared" si="21"/>
        <v>0</v>
      </c>
      <c r="EF56" s="539">
        <f t="shared" si="21"/>
        <v>0</v>
      </c>
      <c r="EG56" s="539">
        <f t="shared" si="21"/>
        <v>0</v>
      </c>
    </row>
    <row r="57" spans="5:137" ht="12.75">
      <c r="E57" s="538" t="str">
        <f>E$48</f>
        <v>Shareholder loan - interest settled</v>
      </c>
      <c r="G57" s="539" t="str">
        <f>G$48</f>
        <v>EUR 000s</v>
      </c>
      <c r="H57" s="539">
        <f>H$48</f>
        <v>15429.351676329899</v>
      </c>
      <c r="J57" s="539">
        <f t="shared" si="22" ref="J57:EG57">J$48</f>
        <v>0</v>
      </c>
      <c r="K57" s="539">
        <f t="shared" si="22"/>
        <v>0</v>
      </c>
      <c r="L57" s="539">
        <f t="shared" si="22"/>
        <v>0</v>
      </c>
      <c r="M57" s="539">
        <f t="shared" si="22"/>
        <v>0</v>
      </c>
      <c r="N57" s="539">
        <f t="shared" si="22"/>
        <v>0</v>
      </c>
      <c r="O57" s="539">
        <f t="shared" si="22"/>
        <v>0</v>
      </c>
      <c r="P57" s="539">
        <f t="shared" si="22"/>
        <v>0</v>
      </c>
      <c r="Q57" s="539">
        <f t="shared" si="22"/>
        <v>0</v>
      </c>
      <c r="R57" s="539">
        <f t="shared" si="22"/>
        <v>0</v>
      </c>
      <c r="S57" s="539">
        <f t="shared" si="22"/>
        <v>0</v>
      </c>
      <c r="T57" s="539">
        <f t="shared" si="22"/>
        <v>0</v>
      </c>
      <c r="U57" s="539">
        <f t="shared" si="22"/>
        <v>0</v>
      </c>
      <c r="V57" s="539">
        <f t="shared" si="22"/>
        <v>0</v>
      </c>
      <c r="W57" s="539">
        <f t="shared" si="22"/>
        <v>0</v>
      </c>
      <c r="X57" s="539">
        <f t="shared" si="22"/>
        <v>0</v>
      </c>
      <c r="Y57" s="539">
        <f t="shared" si="22"/>
        <v>0</v>
      </c>
      <c r="Z57" s="539">
        <f t="shared" si="22"/>
        <v>0</v>
      </c>
      <c r="AA57" s="539">
        <f t="shared" si="22"/>
        <v>0</v>
      </c>
      <c r="AB57" s="539">
        <f t="shared" si="22"/>
        <v>0</v>
      </c>
      <c r="AC57" s="539">
        <f t="shared" si="22"/>
        <v>0</v>
      </c>
      <c r="AD57" s="539">
        <f t="shared" si="22"/>
        <v>0</v>
      </c>
      <c r="AE57" s="539">
        <f t="shared" si="22"/>
        <v>0</v>
      </c>
      <c r="AF57" s="539">
        <f t="shared" si="22"/>
        <v>0</v>
      </c>
      <c r="AG57" s="539">
        <f t="shared" si="22"/>
        <v>0</v>
      </c>
      <c r="AH57" s="539">
        <f t="shared" si="22"/>
        <v>1071.5429781374269</v>
      </c>
      <c r="AI57" s="539">
        <f t="shared" si="22"/>
        <v>1077.9973316179048</v>
      </c>
      <c r="AJ57" s="539">
        <f t="shared" si="22"/>
        <v>1050.82349605998</v>
      </c>
      <c r="AK57" s="539">
        <f t="shared" si="22"/>
        <v>1012.1030926213383</v>
      </c>
      <c r="AL57" s="539">
        <f t="shared" si="22"/>
        <v>952.42274687426186</v>
      </c>
      <c r="AM57" s="539">
        <f t="shared" si="22"/>
        <v>921.77940468535701</v>
      </c>
      <c r="AN57" s="539">
        <f t="shared" si="22"/>
        <v>887.94515691215736</v>
      </c>
      <c r="AO57" s="539">
        <f t="shared" si="22"/>
        <v>844.17309819080367</v>
      </c>
      <c r="AP57" s="539">
        <f t="shared" si="22"/>
        <v>783.12552875123345</v>
      </c>
      <c r="AQ57" s="539">
        <f t="shared" si="22"/>
        <v>745.48593906623933</v>
      </c>
      <c r="AR57" s="539">
        <f t="shared" si="22"/>
        <v>704.39428110844801</v>
      </c>
      <c r="AS57" s="539">
        <f t="shared" si="22"/>
        <v>655.37444241285584</v>
      </c>
      <c r="AT57" s="539">
        <f t="shared" si="22"/>
        <v>599.43267294288569</v>
      </c>
      <c r="AU57" s="539">
        <f t="shared" si="22"/>
        <v>577.77829119205717</v>
      </c>
      <c r="AV57" s="539">
        <f t="shared" si="22"/>
        <v>560.67380378579355</v>
      </c>
      <c r="AW57" s="539">
        <f t="shared" si="22"/>
        <v>537.39823747367063</v>
      </c>
      <c r="AX57" s="539">
        <f t="shared" si="22"/>
        <v>503.52184390108283</v>
      </c>
      <c r="AY57" s="539">
        <f t="shared" si="22"/>
        <v>453.50732356939324</v>
      </c>
      <c r="AZ57" s="539">
        <f t="shared" si="22"/>
        <v>399.52554331808381</v>
      </c>
      <c r="BA57" s="539">
        <f t="shared" si="22"/>
        <v>339.34689841425455</v>
      </c>
      <c r="BB57" s="539">
        <f t="shared" si="22"/>
        <v>272.8980846823859</v>
      </c>
      <c r="BC57" s="539">
        <f t="shared" si="22"/>
        <v>214.79849871647352</v>
      </c>
      <c r="BD57" s="539">
        <f t="shared" si="22"/>
        <v>152.65029218121541</v>
      </c>
      <c r="BE57" s="539">
        <f t="shared" si="22"/>
        <v>87.951433015574608</v>
      </c>
      <c r="BF57" s="539">
        <f t="shared" si="22"/>
        <v>22.701256699025635</v>
      </c>
      <c r="BG57" s="539">
        <f t="shared" si="22"/>
        <v>0</v>
      </c>
      <c r="BH57" s="539">
        <f t="shared" si="22"/>
        <v>0</v>
      </c>
      <c r="BI57" s="539">
        <f t="shared" si="22"/>
        <v>0</v>
      </c>
      <c r="BJ57" s="539">
        <f t="shared" si="22"/>
        <v>0</v>
      </c>
      <c r="BK57" s="539">
        <f t="shared" si="22"/>
        <v>0</v>
      </c>
      <c r="BL57" s="539">
        <f t="shared" si="22"/>
        <v>0</v>
      </c>
      <c r="BM57" s="539">
        <f t="shared" si="22"/>
        <v>0</v>
      </c>
      <c r="BN57" s="539">
        <f t="shared" si="22"/>
        <v>0</v>
      </c>
      <c r="BO57" s="539">
        <f t="shared" si="22"/>
        <v>0</v>
      </c>
      <c r="BP57" s="539">
        <f t="shared" si="22"/>
        <v>0</v>
      </c>
      <c r="BQ57" s="539">
        <f t="shared" si="22"/>
        <v>0</v>
      </c>
      <c r="BR57" s="539">
        <f t="shared" si="22"/>
        <v>0</v>
      </c>
      <c r="BS57" s="539">
        <f t="shared" si="22"/>
        <v>0</v>
      </c>
      <c r="BT57" s="539">
        <f t="shared" si="22"/>
        <v>0</v>
      </c>
      <c r="BU57" s="539">
        <f t="shared" si="22"/>
        <v>0</v>
      </c>
      <c r="BV57" s="539">
        <f t="shared" si="22"/>
        <v>0</v>
      </c>
      <c r="BW57" s="539">
        <f t="shared" si="22"/>
        <v>0</v>
      </c>
      <c r="BX57" s="539">
        <f t="shared" si="22"/>
        <v>0</v>
      </c>
      <c r="BY57" s="539">
        <f t="shared" si="22"/>
        <v>0</v>
      </c>
      <c r="BZ57" s="539">
        <f t="shared" si="22"/>
        <v>0</v>
      </c>
      <c r="CA57" s="539">
        <f t="shared" si="22"/>
        <v>0</v>
      </c>
      <c r="CB57" s="539">
        <f t="shared" si="22"/>
        <v>0</v>
      </c>
      <c r="CC57" s="539">
        <f t="shared" si="22"/>
        <v>0</v>
      </c>
      <c r="CD57" s="539">
        <f t="shared" si="22"/>
        <v>0</v>
      </c>
      <c r="CE57" s="539">
        <f t="shared" si="22"/>
        <v>0</v>
      </c>
      <c r="CF57" s="539">
        <f t="shared" si="22"/>
        <v>0</v>
      </c>
      <c r="CG57" s="539">
        <f t="shared" si="22"/>
        <v>0</v>
      </c>
      <c r="CH57" s="539">
        <f t="shared" si="22"/>
        <v>0</v>
      </c>
      <c r="CI57" s="539">
        <f t="shared" si="22"/>
        <v>0</v>
      </c>
      <c r="CJ57" s="539">
        <f t="shared" si="22"/>
        <v>0</v>
      </c>
      <c r="CK57" s="539">
        <f t="shared" si="22"/>
        <v>0</v>
      </c>
      <c r="CL57" s="539">
        <f t="shared" si="22"/>
        <v>0</v>
      </c>
      <c r="CM57" s="539">
        <f t="shared" si="22"/>
        <v>0</v>
      </c>
      <c r="CN57" s="539">
        <f t="shared" si="22"/>
        <v>0</v>
      </c>
      <c r="CO57" s="539">
        <f t="shared" si="22"/>
        <v>0</v>
      </c>
      <c r="CP57" s="539">
        <f t="shared" si="22"/>
        <v>0</v>
      </c>
      <c r="CQ57" s="539">
        <f t="shared" si="22"/>
        <v>0</v>
      </c>
      <c r="CR57" s="539">
        <f t="shared" si="22"/>
        <v>0</v>
      </c>
      <c r="CS57" s="539">
        <f t="shared" si="22"/>
        <v>0</v>
      </c>
      <c r="CT57" s="539">
        <f t="shared" si="22"/>
        <v>0</v>
      </c>
      <c r="CU57" s="539">
        <f t="shared" si="22"/>
        <v>0</v>
      </c>
      <c r="CV57" s="539">
        <f t="shared" si="22"/>
        <v>0</v>
      </c>
      <c r="CW57" s="539">
        <f t="shared" si="22"/>
        <v>0</v>
      </c>
      <c r="CX57" s="539">
        <f t="shared" si="22"/>
        <v>0</v>
      </c>
      <c r="CY57" s="539">
        <f t="shared" si="22"/>
        <v>0</v>
      </c>
      <c r="CZ57" s="539">
        <f t="shared" si="22"/>
        <v>0</v>
      </c>
      <c r="DA57" s="539">
        <f t="shared" si="22"/>
        <v>0</v>
      </c>
      <c r="DB57" s="539">
        <f t="shared" si="22"/>
        <v>0</v>
      </c>
      <c r="DC57" s="539">
        <f t="shared" si="22"/>
        <v>0</v>
      </c>
      <c r="DD57" s="539">
        <f t="shared" si="22"/>
        <v>0</v>
      </c>
      <c r="DE57" s="539">
        <f t="shared" si="22"/>
        <v>0</v>
      </c>
      <c r="DF57" s="539">
        <f t="shared" si="22"/>
        <v>0</v>
      </c>
      <c r="DG57" s="539">
        <f t="shared" si="22"/>
        <v>0</v>
      </c>
      <c r="DH57" s="539">
        <f t="shared" si="22"/>
        <v>0</v>
      </c>
      <c r="DI57" s="539">
        <f t="shared" si="22"/>
        <v>0</v>
      </c>
      <c r="DJ57" s="539">
        <f t="shared" si="22"/>
        <v>0</v>
      </c>
      <c r="DK57" s="539">
        <f t="shared" si="22"/>
        <v>0</v>
      </c>
      <c r="DL57" s="539">
        <f t="shared" si="22"/>
        <v>0</v>
      </c>
      <c r="DM57" s="539">
        <f t="shared" si="22"/>
        <v>0</v>
      </c>
      <c r="DN57" s="539">
        <f t="shared" si="22"/>
        <v>0</v>
      </c>
      <c r="DO57" s="539">
        <f t="shared" si="22"/>
        <v>0</v>
      </c>
      <c r="DP57" s="539">
        <f t="shared" si="22"/>
        <v>0</v>
      </c>
      <c r="DQ57" s="539">
        <f t="shared" si="22"/>
        <v>0</v>
      </c>
      <c r="DR57" s="539">
        <f t="shared" si="22"/>
        <v>0</v>
      </c>
      <c r="DS57" s="539">
        <f t="shared" si="22"/>
        <v>0</v>
      </c>
      <c r="DT57" s="539">
        <f t="shared" si="22"/>
        <v>0</v>
      </c>
      <c r="DU57" s="539">
        <f t="shared" si="22"/>
        <v>0</v>
      </c>
      <c r="DV57" s="539">
        <f t="shared" si="22"/>
        <v>0</v>
      </c>
      <c r="DW57" s="539">
        <f t="shared" si="22"/>
        <v>0</v>
      </c>
      <c r="DX57" s="539">
        <f t="shared" si="22"/>
        <v>0</v>
      </c>
      <c r="DY57" s="539">
        <f t="shared" si="22"/>
        <v>0</v>
      </c>
      <c r="DZ57" s="539">
        <f t="shared" si="22"/>
        <v>0</v>
      </c>
      <c r="EA57" s="539">
        <f t="shared" si="22"/>
        <v>0</v>
      </c>
      <c r="EB57" s="539">
        <f t="shared" si="22"/>
        <v>0</v>
      </c>
      <c r="EC57" s="539">
        <f t="shared" si="22"/>
        <v>0</v>
      </c>
      <c r="ED57" s="539">
        <f t="shared" si="22"/>
        <v>0</v>
      </c>
      <c r="EE57" s="539">
        <f t="shared" si="22"/>
        <v>0</v>
      </c>
      <c r="EF57" s="539">
        <f t="shared" si="22"/>
        <v>0</v>
      </c>
      <c r="EG57" s="539">
        <f t="shared" si="22"/>
        <v>0</v>
      </c>
    </row>
    <row r="58" spans="5:137" ht="12.75">
      <c r="E58" s="540" t="s">
        <v>476</v>
      </c>
      <c r="G58" s="541" t="s">
        <v>30</v>
      </c>
      <c r="H58" s="541">
        <f>SUM(J58:EG58)</f>
        <v>62081.458257168386</v>
      </c>
      <c r="J58" s="541">
        <f t="shared" si="23" ref="J58:EG58">MIN(J56,J55-J57)</f>
        <v>0</v>
      </c>
      <c r="K58" s="541">
        <f t="shared" si="23"/>
        <v>0</v>
      </c>
      <c r="L58" s="541">
        <f t="shared" si="23"/>
        <v>0</v>
      </c>
      <c r="M58" s="541">
        <f t="shared" si="23"/>
        <v>0</v>
      </c>
      <c r="N58" s="541">
        <f t="shared" si="23"/>
        <v>0</v>
      </c>
      <c r="O58" s="541">
        <f t="shared" si="23"/>
        <v>0</v>
      </c>
      <c r="P58" s="541">
        <f t="shared" si="23"/>
        <v>1.8189894035458565E-12</v>
      </c>
      <c r="Q58" s="541">
        <f t="shared" si="23"/>
        <v>0</v>
      </c>
      <c r="R58" s="541">
        <f t="shared" si="23"/>
        <v>0</v>
      </c>
      <c r="S58" s="541">
        <f t="shared" si="23"/>
        <v>0</v>
      </c>
      <c r="T58" s="541">
        <f t="shared" si="23"/>
        <v>0</v>
      </c>
      <c r="U58" s="541">
        <f t="shared" si="23"/>
        <v>0</v>
      </c>
      <c r="V58" s="541">
        <f t="shared" si="23"/>
        <v>0</v>
      </c>
      <c r="W58" s="541">
        <f t="shared" si="23"/>
        <v>0</v>
      </c>
      <c r="X58" s="541">
        <f t="shared" si="23"/>
        <v>0</v>
      </c>
      <c r="Y58" s="541">
        <f t="shared" si="23"/>
        <v>0</v>
      </c>
      <c r="Z58" s="541">
        <f t="shared" si="23"/>
        <v>0</v>
      </c>
      <c r="AA58" s="541">
        <f t="shared" si="23"/>
        <v>0</v>
      </c>
      <c r="AB58" s="541">
        <f t="shared" si="23"/>
        <v>0</v>
      </c>
      <c r="AC58" s="541">
        <f t="shared" si="23"/>
        <v>0</v>
      </c>
      <c r="AD58" s="541">
        <f t="shared" si="23"/>
        <v>0</v>
      </c>
      <c r="AE58" s="541">
        <f t="shared" si="23"/>
        <v>0</v>
      </c>
      <c r="AF58" s="541">
        <f t="shared" si="23"/>
        <v>0</v>
      </c>
      <c r="AG58" s="541">
        <f t="shared" si="23"/>
        <v>0</v>
      </c>
      <c r="AH58" s="541">
        <f t="shared" si="23"/>
        <v>312.38038581277306</v>
      </c>
      <c r="AI58" s="541">
        <f t="shared" si="23"/>
        <v>2211.5350046020876</v>
      </c>
      <c r="AJ58" s="541">
        <f t="shared" si="23"/>
        <v>2194.5570271900933</v>
      </c>
      <c r="AK58" s="541">
        <f t="shared" si="23"/>
        <v>2182.9378063720687</v>
      </c>
      <c r="AL58" s="541">
        <f t="shared" si="23"/>
        <v>2362.2328510633752</v>
      </c>
      <c r="AM58" s="541">
        <f t="shared" si="23"/>
        <v>2491.7309782557159</v>
      </c>
      <c r="AN58" s="541">
        <f t="shared" si="23"/>
        <v>2480.8697877785871</v>
      </c>
      <c r="AO58" s="541">
        <f t="shared" si="23"/>
        <v>2473.6560043158756</v>
      </c>
      <c r="AP58" s="541">
        <f t="shared" si="23"/>
        <v>2655.3311340419641</v>
      </c>
      <c r="AQ58" s="541">
        <f t="shared" si="23"/>
        <v>2793.2594819930591</v>
      </c>
      <c r="AR58" s="541">
        <f t="shared" si="23"/>
        <v>2778.298311163227</v>
      </c>
      <c r="AS58" s="541">
        <f t="shared" si="23"/>
        <v>2797.2714274126415</v>
      </c>
      <c r="AT58" s="541">
        <f t="shared" si="23"/>
        <v>1240.7926748904852</v>
      </c>
      <c r="AU58" s="541">
        <f t="shared" si="23"/>
        <v>1329.2857577710558</v>
      </c>
      <c r="AV58" s="541">
        <f t="shared" si="23"/>
        <v>1319.1897055783927</v>
      </c>
      <c r="AW58" s="541">
        <f t="shared" si="23"/>
        <v>1285.8326135467898</v>
      </c>
      <c r="AX58" s="541">
        <f t="shared" si="23"/>
        <v>3186.3988590962786</v>
      </c>
      <c r="AY58" s="541">
        <f t="shared" si="23"/>
        <v>3341.981783069536</v>
      </c>
      <c r="AZ58" s="541">
        <f t="shared" si="23"/>
        <v>3410.7461785555397</v>
      </c>
      <c r="BA58" s="541">
        <f t="shared" si="23"/>
        <v>3422.4084355999721</v>
      </c>
      <c r="BB58" s="541">
        <f t="shared" si="23"/>
        <v>3502.8417929343987</v>
      </c>
      <c r="BC58" s="541">
        <f t="shared" si="23"/>
        <v>3656.1568017543354</v>
      </c>
      <c r="BD58" s="541">
        <f t="shared" si="23"/>
        <v>3666.9384464998284</v>
      </c>
      <c r="BE58" s="541">
        <f t="shared" si="23"/>
        <v>3669.5934689584969</v>
      </c>
      <c r="BF58" s="541">
        <f t="shared" si="23"/>
        <v>1315.2315389118025</v>
      </c>
      <c r="BG58" s="541">
        <f t="shared" si="23"/>
        <v>0</v>
      </c>
      <c r="BH58" s="541">
        <f t="shared" si="23"/>
        <v>0</v>
      </c>
      <c r="BI58" s="541">
        <f t="shared" si="23"/>
        <v>0</v>
      </c>
      <c r="BJ58" s="541">
        <f t="shared" si="23"/>
        <v>0</v>
      </c>
      <c r="BK58" s="541">
        <f t="shared" si="23"/>
        <v>0</v>
      </c>
      <c r="BL58" s="541">
        <f t="shared" si="23"/>
        <v>0</v>
      </c>
      <c r="BM58" s="541">
        <f t="shared" si="23"/>
        <v>0</v>
      </c>
      <c r="BN58" s="541">
        <f t="shared" si="23"/>
        <v>0</v>
      </c>
      <c r="BO58" s="541">
        <f t="shared" si="23"/>
        <v>0</v>
      </c>
      <c r="BP58" s="541">
        <f t="shared" si="23"/>
        <v>0</v>
      </c>
      <c r="BQ58" s="541">
        <f t="shared" si="23"/>
        <v>0</v>
      </c>
      <c r="BR58" s="541">
        <f t="shared" si="23"/>
        <v>0</v>
      </c>
      <c r="BS58" s="541">
        <f t="shared" si="23"/>
        <v>0</v>
      </c>
      <c r="BT58" s="541">
        <f t="shared" si="23"/>
        <v>0</v>
      </c>
      <c r="BU58" s="541">
        <f t="shared" si="23"/>
        <v>0</v>
      </c>
      <c r="BV58" s="541">
        <f t="shared" si="23"/>
        <v>0</v>
      </c>
      <c r="BW58" s="541">
        <f t="shared" si="23"/>
        <v>0</v>
      </c>
      <c r="BX58" s="541">
        <f t="shared" si="23"/>
        <v>0</v>
      </c>
      <c r="BY58" s="541">
        <f t="shared" si="23"/>
        <v>0</v>
      </c>
      <c r="BZ58" s="541">
        <f t="shared" si="23"/>
        <v>0</v>
      </c>
      <c r="CA58" s="541">
        <f t="shared" si="23"/>
        <v>0</v>
      </c>
      <c r="CB58" s="541">
        <f t="shared" si="23"/>
        <v>0</v>
      </c>
      <c r="CC58" s="541">
        <f t="shared" si="23"/>
        <v>0</v>
      </c>
      <c r="CD58" s="541">
        <f t="shared" si="23"/>
        <v>0</v>
      </c>
      <c r="CE58" s="541">
        <f t="shared" si="23"/>
        <v>0</v>
      </c>
      <c r="CF58" s="541">
        <f t="shared" si="23"/>
        <v>0</v>
      </c>
      <c r="CG58" s="541">
        <f t="shared" si="23"/>
        <v>0</v>
      </c>
      <c r="CH58" s="541">
        <f t="shared" si="23"/>
        <v>0</v>
      </c>
      <c r="CI58" s="541">
        <f t="shared" si="23"/>
        <v>0</v>
      </c>
      <c r="CJ58" s="541">
        <f t="shared" si="23"/>
        <v>0</v>
      </c>
      <c r="CK58" s="541">
        <f t="shared" si="23"/>
        <v>0</v>
      </c>
      <c r="CL58" s="541">
        <f t="shared" si="23"/>
        <v>0</v>
      </c>
      <c r="CM58" s="541">
        <f t="shared" si="23"/>
        <v>0</v>
      </c>
      <c r="CN58" s="541">
        <f t="shared" si="23"/>
        <v>0</v>
      </c>
      <c r="CO58" s="541">
        <f t="shared" si="23"/>
        <v>0</v>
      </c>
      <c r="CP58" s="541">
        <f t="shared" si="23"/>
        <v>0</v>
      </c>
      <c r="CQ58" s="541">
        <f t="shared" si="23"/>
        <v>0</v>
      </c>
      <c r="CR58" s="541">
        <f t="shared" si="23"/>
        <v>0</v>
      </c>
      <c r="CS58" s="541">
        <f t="shared" si="23"/>
        <v>0</v>
      </c>
      <c r="CT58" s="541">
        <f t="shared" si="23"/>
        <v>0</v>
      </c>
      <c r="CU58" s="541">
        <f t="shared" si="23"/>
        <v>0</v>
      </c>
      <c r="CV58" s="541">
        <f t="shared" si="23"/>
        <v>0</v>
      </c>
      <c r="CW58" s="541">
        <f t="shared" si="23"/>
        <v>0</v>
      </c>
      <c r="CX58" s="541">
        <f t="shared" si="23"/>
        <v>0</v>
      </c>
      <c r="CY58" s="541">
        <f t="shared" si="23"/>
        <v>0</v>
      </c>
      <c r="CZ58" s="541">
        <f t="shared" si="23"/>
        <v>0</v>
      </c>
      <c r="DA58" s="541">
        <f t="shared" si="23"/>
        <v>0</v>
      </c>
      <c r="DB58" s="541">
        <f t="shared" si="23"/>
        <v>0</v>
      </c>
      <c r="DC58" s="541">
        <f t="shared" si="23"/>
        <v>0</v>
      </c>
      <c r="DD58" s="541">
        <f t="shared" si="23"/>
        <v>0</v>
      </c>
      <c r="DE58" s="541">
        <f t="shared" si="23"/>
        <v>0</v>
      </c>
      <c r="DF58" s="541">
        <f t="shared" si="23"/>
        <v>0</v>
      </c>
      <c r="DG58" s="541">
        <f t="shared" si="23"/>
        <v>0</v>
      </c>
      <c r="DH58" s="541">
        <f t="shared" si="23"/>
        <v>0</v>
      </c>
      <c r="DI58" s="541">
        <f t="shared" si="23"/>
        <v>0</v>
      </c>
      <c r="DJ58" s="541">
        <f t="shared" si="23"/>
        <v>0</v>
      </c>
      <c r="DK58" s="541">
        <f t="shared" si="23"/>
        <v>0</v>
      </c>
      <c r="DL58" s="541">
        <f t="shared" si="23"/>
        <v>0</v>
      </c>
      <c r="DM58" s="541">
        <f t="shared" si="23"/>
        <v>0</v>
      </c>
      <c r="DN58" s="541">
        <f t="shared" si="23"/>
        <v>0</v>
      </c>
      <c r="DO58" s="541">
        <f t="shared" si="23"/>
        <v>0</v>
      </c>
      <c r="DP58" s="541">
        <f t="shared" si="23"/>
        <v>0</v>
      </c>
      <c r="DQ58" s="541">
        <f t="shared" si="23"/>
        <v>0</v>
      </c>
      <c r="DR58" s="541">
        <f t="shared" si="23"/>
        <v>0</v>
      </c>
      <c r="DS58" s="541">
        <f t="shared" si="23"/>
        <v>0</v>
      </c>
      <c r="DT58" s="541">
        <f t="shared" si="23"/>
        <v>0</v>
      </c>
      <c r="DU58" s="541">
        <f t="shared" si="23"/>
        <v>0</v>
      </c>
      <c r="DV58" s="541">
        <f t="shared" si="23"/>
        <v>0</v>
      </c>
      <c r="DW58" s="541">
        <f t="shared" si="23"/>
        <v>0</v>
      </c>
      <c r="DX58" s="541">
        <f t="shared" si="23"/>
        <v>0</v>
      </c>
      <c r="DY58" s="541">
        <f t="shared" si="23"/>
        <v>0</v>
      </c>
      <c r="DZ58" s="541">
        <f t="shared" si="23"/>
        <v>0</v>
      </c>
      <c r="EA58" s="541">
        <f t="shared" si="23"/>
        <v>0</v>
      </c>
      <c r="EB58" s="541">
        <f t="shared" si="23"/>
        <v>0</v>
      </c>
      <c r="EC58" s="541">
        <f t="shared" si="23"/>
        <v>0</v>
      </c>
      <c r="ED58" s="541">
        <f t="shared" si="23"/>
        <v>0</v>
      </c>
      <c r="EE58" s="541">
        <f t="shared" si="23"/>
        <v>0</v>
      </c>
      <c r="EF58" s="541">
        <f t="shared" si="23"/>
        <v>0</v>
      </c>
      <c r="EG58" s="541">
        <f t="shared" si="23"/>
        <v>0</v>
      </c>
    </row>
    <row r="60" spans="5:137" ht="12.75">
      <c r="E60" s="538" t="str">
        <f>E$11</f>
        <v>Shareholder loan - amount drawn</v>
      </c>
      <c r="G60" s="539" t="str">
        <f>G$11</f>
        <v>EUR 000s</v>
      </c>
      <c r="H60" s="539">
        <f>H$11</f>
        <v>55637.785760493018</v>
      </c>
      <c r="J60" s="539">
        <f t="shared" si="24" ref="J60:EG60">J$11</f>
        <v>0</v>
      </c>
      <c r="K60" s="539">
        <f t="shared" si="24"/>
        <v>0</v>
      </c>
      <c r="L60" s="539">
        <f t="shared" si="24"/>
        <v>9055.4397749326417</v>
      </c>
      <c r="M60" s="539">
        <f t="shared" si="24"/>
        <v>10720.552129586828</v>
      </c>
      <c r="N60" s="539">
        <f t="shared" si="24"/>
        <v>10993.1869841347</v>
      </c>
      <c r="O60" s="539">
        <f t="shared" si="24"/>
        <v>10734.708184381348</v>
      </c>
      <c r="P60" s="539">
        <f t="shared" si="24"/>
        <v>11007.814907422371</v>
      </c>
      <c r="Q60" s="539">
        <f t="shared" si="24"/>
        <v>3126.0837800351323</v>
      </c>
      <c r="R60" s="539">
        <f t="shared" si="24"/>
        <v>0</v>
      </c>
      <c r="S60" s="539">
        <f t="shared" si="24"/>
        <v>0</v>
      </c>
      <c r="T60" s="539">
        <f t="shared" si="24"/>
        <v>0</v>
      </c>
      <c r="U60" s="539">
        <f t="shared" si="24"/>
        <v>0</v>
      </c>
      <c r="V60" s="539">
        <f t="shared" si="24"/>
        <v>0</v>
      </c>
      <c r="W60" s="539">
        <f t="shared" si="24"/>
        <v>0</v>
      </c>
      <c r="X60" s="539">
        <f t="shared" si="24"/>
        <v>0</v>
      </c>
      <c r="Y60" s="539">
        <f t="shared" si="24"/>
        <v>0</v>
      </c>
      <c r="Z60" s="539">
        <f t="shared" si="24"/>
        <v>0</v>
      </c>
      <c r="AA60" s="539">
        <f t="shared" si="24"/>
        <v>0</v>
      </c>
      <c r="AB60" s="539">
        <f t="shared" si="24"/>
        <v>0</v>
      </c>
      <c r="AC60" s="539">
        <f t="shared" si="24"/>
        <v>0</v>
      </c>
      <c r="AD60" s="539">
        <f t="shared" si="24"/>
        <v>0</v>
      </c>
      <c r="AE60" s="539">
        <f t="shared" si="24"/>
        <v>0</v>
      </c>
      <c r="AF60" s="539">
        <f t="shared" si="24"/>
        <v>0</v>
      </c>
      <c r="AG60" s="539">
        <f t="shared" si="24"/>
        <v>0</v>
      </c>
      <c r="AH60" s="539">
        <f t="shared" si="24"/>
        <v>0</v>
      </c>
      <c r="AI60" s="539">
        <f t="shared" si="24"/>
        <v>0</v>
      </c>
      <c r="AJ60" s="539">
        <f t="shared" si="24"/>
        <v>0</v>
      </c>
      <c r="AK60" s="539">
        <f t="shared" si="24"/>
        <v>0</v>
      </c>
      <c r="AL60" s="539">
        <f t="shared" si="24"/>
        <v>0</v>
      </c>
      <c r="AM60" s="539">
        <f t="shared" si="24"/>
        <v>0</v>
      </c>
      <c r="AN60" s="539">
        <f t="shared" si="24"/>
        <v>0</v>
      </c>
      <c r="AO60" s="539">
        <f t="shared" si="24"/>
        <v>0</v>
      </c>
      <c r="AP60" s="539">
        <f t="shared" si="24"/>
        <v>0</v>
      </c>
      <c r="AQ60" s="539">
        <f t="shared" si="24"/>
        <v>0</v>
      </c>
      <c r="AR60" s="539">
        <f t="shared" si="24"/>
        <v>0</v>
      </c>
      <c r="AS60" s="539">
        <f t="shared" si="24"/>
        <v>0</v>
      </c>
      <c r="AT60" s="539">
        <f t="shared" si="24"/>
        <v>0</v>
      </c>
      <c r="AU60" s="539">
        <f t="shared" si="24"/>
        <v>0</v>
      </c>
      <c r="AV60" s="539">
        <f t="shared" si="24"/>
        <v>0</v>
      </c>
      <c r="AW60" s="539">
        <f t="shared" si="24"/>
        <v>0</v>
      </c>
      <c r="AX60" s="539">
        <f t="shared" si="24"/>
        <v>0</v>
      </c>
      <c r="AY60" s="539">
        <f t="shared" si="24"/>
        <v>0</v>
      </c>
      <c r="AZ60" s="539">
        <f t="shared" si="24"/>
        <v>0</v>
      </c>
      <c r="BA60" s="539">
        <f t="shared" si="24"/>
        <v>0</v>
      </c>
      <c r="BB60" s="539">
        <f t="shared" si="24"/>
        <v>0</v>
      </c>
      <c r="BC60" s="539">
        <f t="shared" si="24"/>
        <v>0</v>
      </c>
      <c r="BD60" s="539">
        <f t="shared" si="24"/>
        <v>0</v>
      </c>
      <c r="BE60" s="539">
        <f t="shared" si="24"/>
        <v>0</v>
      </c>
      <c r="BF60" s="539">
        <f t="shared" si="24"/>
        <v>0</v>
      </c>
      <c r="BG60" s="539">
        <f t="shared" si="24"/>
        <v>0</v>
      </c>
      <c r="BH60" s="539">
        <f t="shared" si="24"/>
        <v>0</v>
      </c>
      <c r="BI60" s="539">
        <f t="shared" si="24"/>
        <v>0</v>
      </c>
      <c r="BJ60" s="539">
        <f t="shared" si="24"/>
        <v>0</v>
      </c>
      <c r="BK60" s="539">
        <f t="shared" si="24"/>
        <v>0</v>
      </c>
      <c r="BL60" s="539">
        <f t="shared" si="24"/>
        <v>0</v>
      </c>
      <c r="BM60" s="539">
        <f t="shared" si="24"/>
        <v>0</v>
      </c>
      <c r="BN60" s="539">
        <f t="shared" si="24"/>
        <v>0</v>
      </c>
      <c r="BO60" s="539">
        <f t="shared" si="24"/>
        <v>0</v>
      </c>
      <c r="BP60" s="539">
        <f t="shared" si="24"/>
        <v>0</v>
      </c>
      <c r="BQ60" s="539">
        <f t="shared" si="24"/>
        <v>0</v>
      </c>
      <c r="BR60" s="539">
        <f t="shared" si="24"/>
        <v>0</v>
      </c>
      <c r="BS60" s="539">
        <f t="shared" si="24"/>
        <v>0</v>
      </c>
      <c r="BT60" s="539">
        <f t="shared" si="24"/>
        <v>0</v>
      </c>
      <c r="BU60" s="539">
        <f t="shared" si="24"/>
        <v>0</v>
      </c>
      <c r="BV60" s="539">
        <f t="shared" si="24"/>
        <v>0</v>
      </c>
      <c r="BW60" s="539">
        <f t="shared" si="24"/>
        <v>0</v>
      </c>
      <c r="BX60" s="539">
        <f t="shared" si="24"/>
        <v>0</v>
      </c>
      <c r="BY60" s="539">
        <f t="shared" si="24"/>
        <v>0</v>
      </c>
      <c r="BZ60" s="539">
        <f t="shared" si="24"/>
        <v>0</v>
      </c>
      <c r="CA60" s="539">
        <f t="shared" si="24"/>
        <v>0</v>
      </c>
      <c r="CB60" s="539">
        <f t="shared" si="24"/>
        <v>0</v>
      </c>
      <c r="CC60" s="539">
        <f t="shared" si="24"/>
        <v>0</v>
      </c>
      <c r="CD60" s="539">
        <f t="shared" si="24"/>
        <v>0</v>
      </c>
      <c r="CE60" s="539">
        <f t="shared" si="24"/>
        <v>0</v>
      </c>
      <c r="CF60" s="539">
        <f t="shared" si="24"/>
        <v>0</v>
      </c>
      <c r="CG60" s="539">
        <f t="shared" si="24"/>
        <v>0</v>
      </c>
      <c r="CH60" s="539">
        <f t="shared" si="24"/>
        <v>0</v>
      </c>
      <c r="CI60" s="539">
        <f t="shared" si="24"/>
        <v>0</v>
      </c>
      <c r="CJ60" s="539">
        <f t="shared" si="24"/>
        <v>0</v>
      </c>
      <c r="CK60" s="539">
        <f t="shared" si="24"/>
        <v>0</v>
      </c>
      <c r="CL60" s="539">
        <f t="shared" si="24"/>
        <v>0</v>
      </c>
      <c r="CM60" s="539">
        <f t="shared" si="24"/>
        <v>0</v>
      </c>
      <c r="CN60" s="539">
        <f t="shared" si="24"/>
        <v>0</v>
      </c>
      <c r="CO60" s="539">
        <f t="shared" si="24"/>
        <v>0</v>
      </c>
      <c r="CP60" s="539">
        <f t="shared" si="24"/>
        <v>0</v>
      </c>
      <c r="CQ60" s="539">
        <f t="shared" si="24"/>
        <v>0</v>
      </c>
      <c r="CR60" s="539">
        <f t="shared" si="24"/>
        <v>0</v>
      </c>
      <c r="CS60" s="539">
        <f t="shared" si="24"/>
        <v>0</v>
      </c>
      <c r="CT60" s="539">
        <f t="shared" si="24"/>
        <v>0</v>
      </c>
      <c r="CU60" s="539">
        <f t="shared" si="24"/>
        <v>0</v>
      </c>
      <c r="CV60" s="539">
        <f t="shared" si="24"/>
        <v>0</v>
      </c>
      <c r="CW60" s="539">
        <f t="shared" si="24"/>
        <v>0</v>
      </c>
      <c r="CX60" s="539">
        <f t="shared" si="24"/>
        <v>0</v>
      </c>
      <c r="CY60" s="539">
        <f t="shared" si="24"/>
        <v>0</v>
      </c>
      <c r="CZ60" s="539">
        <f t="shared" si="24"/>
        <v>0</v>
      </c>
      <c r="DA60" s="539">
        <f t="shared" si="24"/>
        <v>0</v>
      </c>
      <c r="DB60" s="539">
        <f t="shared" si="24"/>
        <v>0</v>
      </c>
      <c r="DC60" s="539">
        <f t="shared" si="24"/>
        <v>0</v>
      </c>
      <c r="DD60" s="539">
        <f t="shared" si="24"/>
        <v>0</v>
      </c>
      <c r="DE60" s="539">
        <f t="shared" si="24"/>
        <v>0</v>
      </c>
      <c r="DF60" s="539">
        <f t="shared" si="24"/>
        <v>0</v>
      </c>
      <c r="DG60" s="539">
        <f t="shared" si="24"/>
        <v>0</v>
      </c>
      <c r="DH60" s="539">
        <f t="shared" si="24"/>
        <v>0</v>
      </c>
      <c r="DI60" s="539">
        <f t="shared" si="24"/>
        <v>0</v>
      </c>
      <c r="DJ60" s="539">
        <f t="shared" si="24"/>
        <v>0</v>
      </c>
      <c r="DK60" s="539">
        <f t="shared" si="24"/>
        <v>0</v>
      </c>
      <c r="DL60" s="539">
        <f t="shared" si="24"/>
        <v>0</v>
      </c>
      <c r="DM60" s="539">
        <f t="shared" si="24"/>
        <v>0</v>
      </c>
      <c r="DN60" s="539">
        <f t="shared" si="24"/>
        <v>0</v>
      </c>
      <c r="DO60" s="539">
        <f t="shared" si="24"/>
        <v>0</v>
      </c>
      <c r="DP60" s="539">
        <f t="shared" si="24"/>
        <v>0</v>
      </c>
      <c r="DQ60" s="539">
        <f t="shared" si="24"/>
        <v>0</v>
      </c>
      <c r="DR60" s="539">
        <f t="shared" si="24"/>
        <v>0</v>
      </c>
      <c r="DS60" s="539">
        <f t="shared" si="24"/>
        <v>0</v>
      </c>
      <c r="DT60" s="539">
        <f t="shared" si="24"/>
        <v>0</v>
      </c>
      <c r="DU60" s="539">
        <f t="shared" si="24"/>
        <v>0</v>
      </c>
      <c r="DV60" s="539">
        <f t="shared" si="24"/>
        <v>0</v>
      </c>
      <c r="DW60" s="539">
        <f t="shared" si="24"/>
        <v>0</v>
      </c>
      <c r="DX60" s="539">
        <f t="shared" si="24"/>
        <v>0</v>
      </c>
      <c r="DY60" s="539">
        <f t="shared" si="24"/>
        <v>0</v>
      </c>
      <c r="DZ60" s="539">
        <f t="shared" si="24"/>
        <v>0</v>
      </c>
      <c r="EA60" s="539">
        <f t="shared" si="24"/>
        <v>0</v>
      </c>
      <c r="EB60" s="539">
        <f t="shared" si="24"/>
        <v>0</v>
      </c>
      <c r="EC60" s="539">
        <f t="shared" si="24"/>
        <v>0</v>
      </c>
      <c r="ED60" s="539">
        <f t="shared" si="24"/>
        <v>0</v>
      </c>
      <c r="EE60" s="539">
        <f t="shared" si="24"/>
        <v>0</v>
      </c>
      <c r="EF60" s="539">
        <f t="shared" si="24"/>
        <v>0</v>
      </c>
      <c r="EG60" s="539">
        <f t="shared" si="24"/>
        <v>0</v>
      </c>
    </row>
    <row r="61" spans="5:137" ht="12.75">
      <c r="E61" s="538" t="str">
        <f>E$23</f>
        <v>Shareholder loan - opening balance</v>
      </c>
      <c r="G61" s="539" t="str">
        <f>G$23</f>
        <v>EUR 000s</v>
      </c>
      <c r="H61" s="539">
        <f>H$23</f>
        <v>1982209.3275418179</v>
      </c>
      <c r="J61" s="539">
        <f t="shared" si="25" ref="J61:EG61">J$23</f>
        <v>0</v>
      </c>
      <c r="K61" s="539">
        <f t="shared" si="25"/>
        <v>0</v>
      </c>
      <c r="L61" s="539">
        <f t="shared" si="25"/>
        <v>0</v>
      </c>
      <c r="M61" s="539">
        <f t="shared" si="25"/>
        <v>9055.4397749326417</v>
      </c>
      <c r="N61" s="539">
        <f t="shared" si="25"/>
        <v>19828.091695005383</v>
      </c>
      <c r="O61" s="539">
        <f t="shared" si="25"/>
        <v>30939.160758532307</v>
      </c>
      <c r="P61" s="539">
        <f t="shared" si="25"/>
        <v>41851.875073305215</v>
      </c>
      <c r="Q61" s="539">
        <f t="shared" si="25"/>
        <v>53108.507977738744</v>
      </c>
      <c r="R61" s="539">
        <f t="shared" si="25"/>
        <v>56550.332750408648</v>
      </c>
      <c r="S61" s="539">
        <f t="shared" si="25"/>
        <v>56875.690829246618</v>
      </c>
      <c r="T61" s="539">
        <f t="shared" si="25"/>
        <v>57213.828498012277</v>
      </c>
      <c r="U61" s="539">
        <f t="shared" si="25"/>
        <v>57543.003949644677</v>
      </c>
      <c r="V61" s="539">
        <f t="shared" si="25"/>
        <v>57885.108932030234</v>
      </c>
      <c r="W61" s="539">
        <f t="shared" si="25"/>
        <v>58229.247798831617</v>
      </c>
      <c r="X61" s="539">
        <f t="shared" si="25"/>
        <v>58553.098135904569</v>
      </c>
      <c r="Y61" s="539">
        <f t="shared" si="25"/>
        <v>58901.208335781041</v>
      </c>
      <c r="Z61" s="539">
        <f t="shared" si="25"/>
        <v>59240.092000178687</v>
      </c>
      <c r="AA61" s="539">
        <f t="shared" si="25"/>
        <v>59592.286519741392</v>
      </c>
      <c r="AB61" s="539">
        <f t="shared" si="25"/>
        <v>59935.146250402919</v>
      </c>
      <c r="AC61" s="539">
        <f t="shared" si="25"/>
        <v>60291.473010302572</v>
      </c>
      <c r="AD61" s="539">
        <f t="shared" si="25"/>
        <v>60649.918206007656</v>
      </c>
      <c r="AE61" s="539">
        <f t="shared" si="25"/>
        <v>60998.862940891537</v>
      </c>
      <c r="AF61" s="539">
        <f t="shared" si="25"/>
        <v>61361.513715088069</v>
      </c>
      <c r="AG61" s="539">
        <f t="shared" si="25"/>
        <v>61714.552561120079</v>
      </c>
      <c r="AH61" s="539">
        <f t="shared" si="25"/>
        <v>62081.458257168379</v>
      </c>
      <c r="AI61" s="539">
        <f t="shared" si="25"/>
        <v>61769.077871355606</v>
      </c>
      <c r="AJ61" s="539">
        <f t="shared" si="25"/>
        <v>59557.542866753516</v>
      </c>
      <c r="AK61" s="539">
        <f t="shared" si="25"/>
        <v>57362.985839563422</v>
      </c>
      <c r="AL61" s="539">
        <f t="shared" si="25"/>
        <v>55180.048033191357</v>
      </c>
      <c r="AM61" s="539">
        <f t="shared" si="25"/>
        <v>52817.815182127983</v>
      </c>
      <c r="AN61" s="539">
        <f t="shared" si="25"/>
        <v>50326.084203872269</v>
      </c>
      <c r="AO61" s="539">
        <f t="shared" si="25"/>
        <v>47845.21441609368</v>
      </c>
      <c r="AP61" s="539">
        <f t="shared" si="25"/>
        <v>45371.558411777805</v>
      </c>
      <c r="AQ61" s="539">
        <f t="shared" si="25"/>
        <v>42716.227277735845</v>
      </c>
      <c r="AR61" s="539">
        <f t="shared" si="25"/>
        <v>39922.967795742785</v>
      </c>
      <c r="AS61" s="539">
        <f t="shared" si="25"/>
        <v>37144.669484579557</v>
      </c>
      <c r="AT61" s="539">
        <f t="shared" si="25"/>
        <v>34347.398057166916</v>
      </c>
      <c r="AU61" s="539">
        <f t="shared" si="25"/>
        <v>33106.60538227643</v>
      </c>
      <c r="AV61" s="539">
        <f t="shared" si="25"/>
        <v>31777.319624505373</v>
      </c>
      <c r="AW61" s="539">
        <f t="shared" si="25"/>
        <v>30458.129918926981</v>
      </c>
      <c r="AX61" s="539">
        <f t="shared" si="25"/>
        <v>29172.297305380191</v>
      </c>
      <c r="AY61" s="539">
        <f t="shared" si="25"/>
        <v>25985.898446283911</v>
      </c>
      <c r="AZ61" s="539">
        <f t="shared" si="25"/>
        <v>22643.916663214375</v>
      </c>
      <c r="BA61" s="539">
        <f t="shared" si="25"/>
        <v>19233.170484658836</v>
      </c>
      <c r="BB61" s="539">
        <f t="shared" si="25"/>
        <v>15810.762049058863</v>
      </c>
      <c r="BC61" s="539">
        <f t="shared" si="25"/>
        <v>12307.920256124464</v>
      </c>
      <c r="BD61" s="539">
        <f t="shared" si="25"/>
        <v>8651.7634543701279</v>
      </c>
      <c r="BE61" s="539">
        <f t="shared" si="25"/>
        <v>4984.8250078702995</v>
      </c>
      <c r="BF61" s="539">
        <f t="shared" si="25"/>
        <v>1315.2315389118025</v>
      </c>
      <c r="BG61" s="539">
        <f t="shared" si="25"/>
        <v>0</v>
      </c>
      <c r="BH61" s="539">
        <f t="shared" si="25"/>
        <v>0</v>
      </c>
      <c r="BI61" s="539">
        <f t="shared" si="25"/>
        <v>0</v>
      </c>
      <c r="BJ61" s="539">
        <f t="shared" si="25"/>
        <v>0</v>
      </c>
      <c r="BK61" s="539">
        <f t="shared" si="25"/>
        <v>0</v>
      </c>
      <c r="BL61" s="539">
        <f t="shared" si="25"/>
        <v>0</v>
      </c>
      <c r="BM61" s="539">
        <f t="shared" si="25"/>
        <v>0</v>
      </c>
      <c r="BN61" s="539">
        <f t="shared" si="25"/>
        <v>0</v>
      </c>
      <c r="BO61" s="539">
        <f t="shared" si="25"/>
        <v>0</v>
      </c>
      <c r="BP61" s="539">
        <f t="shared" si="25"/>
        <v>0</v>
      </c>
      <c r="BQ61" s="539">
        <f t="shared" si="25"/>
        <v>0</v>
      </c>
      <c r="BR61" s="539">
        <f t="shared" si="25"/>
        <v>0</v>
      </c>
      <c r="BS61" s="539">
        <f t="shared" si="25"/>
        <v>0</v>
      </c>
      <c r="BT61" s="539">
        <f t="shared" si="25"/>
        <v>0</v>
      </c>
      <c r="BU61" s="539">
        <f t="shared" si="25"/>
        <v>0</v>
      </c>
      <c r="BV61" s="539">
        <f t="shared" si="25"/>
        <v>0</v>
      </c>
      <c r="BW61" s="539">
        <f t="shared" si="25"/>
        <v>0</v>
      </c>
      <c r="BX61" s="539">
        <f t="shared" si="25"/>
        <v>0</v>
      </c>
      <c r="BY61" s="539">
        <f t="shared" si="25"/>
        <v>0</v>
      </c>
      <c r="BZ61" s="539">
        <f t="shared" si="25"/>
        <v>0</v>
      </c>
      <c r="CA61" s="539">
        <f t="shared" si="25"/>
        <v>0</v>
      </c>
      <c r="CB61" s="539">
        <f t="shared" si="25"/>
        <v>0</v>
      </c>
      <c r="CC61" s="539">
        <f t="shared" si="25"/>
        <v>0</v>
      </c>
      <c r="CD61" s="539">
        <f t="shared" si="25"/>
        <v>0</v>
      </c>
      <c r="CE61" s="539">
        <f t="shared" si="25"/>
        <v>0</v>
      </c>
      <c r="CF61" s="539">
        <f t="shared" si="25"/>
        <v>0</v>
      </c>
      <c r="CG61" s="539">
        <f t="shared" si="25"/>
        <v>0</v>
      </c>
      <c r="CH61" s="539">
        <f t="shared" si="25"/>
        <v>0</v>
      </c>
      <c r="CI61" s="539">
        <f t="shared" si="25"/>
        <v>0</v>
      </c>
      <c r="CJ61" s="539">
        <f t="shared" si="25"/>
        <v>0</v>
      </c>
      <c r="CK61" s="539">
        <f t="shared" si="25"/>
        <v>0</v>
      </c>
      <c r="CL61" s="539">
        <f t="shared" si="25"/>
        <v>0</v>
      </c>
      <c r="CM61" s="539">
        <f t="shared" si="25"/>
        <v>0</v>
      </c>
      <c r="CN61" s="539">
        <f t="shared" si="25"/>
        <v>0</v>
      </c>
      <c r="CO61" s="539">
        <f t="shared" si="25"/>
        <v>0</v>
      </c>
      <c r="CP61" s="539">
        <f t="shared" si="25"/>
        <v>0</v>
      </c>
      <c r="CQ61" s="539">
        <f t="shared" si="25"/>
        <v>0</v>
      </c>
      <c r="CR61" s="539">
        <f t="shared" si="25"/>
        <v>0</v>
      </c>
      <c r="CS61" s="539">
        <f t="shared" si="25"/>
        <v>0</v>
      </c>
      <c r="CT61" s="539">
        <f t="shared" si="25"/>
        <v>0</v>
      </c>
      <c r="CU61" s="539">
        <f t="shared" si="25"/>
        <v>0</v>
      </c>
      <c r="CV61" s="539">
        <f t="shared" si="25"/>
        <v>0</v>
      </c>
      <c r="CW61" s="539">
        <f t="shared" si="25"/>
        <v>0</v>
      </c>
      <c r="CX61" s="539">
        <f t="shared" si="25"/>
        <v>0</v>
      </c>
      <c r="CY61" s="539">
        <f t="shared" si="25"/>
        <v>0</v>
      </c>
      <c r="CZ61" s="539">
        <f t="shared" si="25"/>
        <v>0</v>
      </c>
      <c r="DA61" s="539">
        <f t="shared" si="25"/>
        <v>0</v>
      </c>
      <c r="DB61" s="539">
        <f t="shared" si="25"/>
        <v>0</v>
      </c>
      <c r="DC61" s="539">
        <f t="shared" si="25"/>
        <v>0</v>
      </c>
      <c r="DD61" s="539">
        <f t="shared" si="25"/>
        <v>0</v>
      </c>
      <c r="DE61" s="539">
        <f t="shared" si="25"/>
        <v>0</v>
      </c>
      <c r="DF61" s="539">
        <f t="shared" si="25"/>
        <v>0</v>
      </c>
      <c r="DG61" s="539">
        <f t="shared" si="25"/>
        <v>0</v>
      </c>
      <c r="DH61" s="539">
        <f t="shared" si="25"/>
        <v>0</v>
      </c>
      <c r="DI61" s="539">
        <f t="shared" si="25"/>
        <v>0</v>
      </c>
      <c r="DJ61" s="539">
        <f t="shared" si="25"/>
        <v>0</v>
      </c>
      <c r="DK61" s="539">
        <f t="shared" si="25"/>
        <v>0</v>
      </c>
      <c r="DL61" s="539">
        <f t="shared" si="25"/>
        <v>0</v>
      </c>
      <c r="DM61" s="539">
        <f t="shared" si="25"/>
        <v>0</v>
      </c>
      <c r="DN61" s="539">
        <f t="shared" si="25"/>
        <v>0</v>
      </c>
      <c r="DO61" s="539">
        <f t="shared" si="25"/>
        <v>0</v>
      </c>
      <c r="DP61" s="539">
        <f t="shared" si="25"/>
        <v>0</v>
      </c>
      <c r="DQ61" s="539">
        <f t="shared" si="25"/>
        <v>0</v>
      </c>
      <c r="DR61" s="539">
        <f t="shared" si="25"/>
        <v>0</v>
      </c>
      <c r="DS61" s="539">
        <f t="shared" si="25"/>
        <v>0</v>
      </c>
      <c r="DT61" s="539">
        <f t="shared" si="25"/>
        <v>0</v>
      </c>
      <c r="DU61" s="539">
        <f t="shared" si="25"/>
        <v>0</v>
      </c>
      <c r="DV61" s="539">
        <f t="shared" si="25"/>
        <v>0</v>
      </c>
      <c r="DW61" s="539">
        <f t="shared" si="25"/>
        <v>0</v>
      </c>
      <c r="DX61" s="539">
        <f t="shared" si="25"/>
        <v>0</v>
      </c>
      <c r="DY61" s="539">
        <f t="shared" si="25"/>
        <v>0</v>
      </c>
      <c r="DZ61" s="539">
        <f t="shared" si="25"/>
        <v>0</v>
      </c>
      <c r="EA61" s="539">
        <f t="shared" si="25"/>
        <v>0</v>
      </c>
      <c r="EB61" s="539">
        <f t="shared" si="25"/>
        <v>0</v>
      </c>
      <c r="EC61" s="539">
        <f t="shared" si="25"/>
        <v>0</v>
      </c>
      <c r="ED61" s="539">
        <f t="shared" si="25"/>
        <v>0</v>
      </c>
      <c r="EE61" s="539">
        <f t="shared" si="25"/>
        <v>0</v>
      </c>
      <c r="EF61" s="539">
        <f t="shared" si="25"/>
        <v>0</v>
      </c>
      <c r="EG61" s="539">
        <f t="shared" si="25"/>
        <v>0</v>
      </c>
    </row>
    <row r="62" spans="5:137" ht="12.75">
      <c r="E62" s="538" t="str">
        <f>E$38</f>
        <v>Shareholder loan - interest capitalised</v>
      </c>
      <c r="G62" s="539" t="str">
        <f>G$38</f>
        <v>EUR 000s</v>
      </c>
      <c r="H62" s="539">
        <f>H$38</f>
        <v>6443.6724966753709</v>
      </c>
      <c r="J62" s="539">
        <f t="shared" si="26" ref="J62:EG62">J$38</f>
        <v>0</v>
      </c>
      <c r="K62" s="539">
        <f t="shared" si="26"/>
        <v>0</v>
      </c>
      <c r="L62" s="539">
        <f t="shared" si="26"/>
        <v>0</v>
      </c>
      <c r="M62" s="539">
        <f t="shared" si="26"/>
        <v>52.099790485913836</v>
      </c>
      <c r="N62" s="539">
        <f t="shared" si="26"/>
        <v>117.88207939222379</v>
      </c>
      <c r="O62" s="539">
        <f t="shared" si="26"/>
        <v>178.00613039155573</v>
      </c>
      <c r="P62" s="539">
        <f t="shared" si="26"/>
        <v>248.81799701115708</v>
      </c>
      <c r="Q62" s="539">
        <f t="shared" si="26"/>
        <v>315.74099263477558</v>
      </c>
      <c r="R62" s="539">
        <f t="shared" si="26"/>
        <v>325.35807883796764</v>
      </c>
      <c r="S62" s="539">
        <f t="shared" si="26"/>
        <v>338.13766876565802</v>
      </c>
      <c r="T62" s="539">
        <f t="shared" si="26"/>
        <v>329.17545163239942</v>
      </c>
      <c r="U62" s="539">
        <f t="shared" si="26"/>
        <v>342.1049823855588</v>
      </c>
      <c r="V62" s="539">
        <f t="shared" si="26"/>
        <v>344.13886680138523</v>
      </c>
      <c r="W62" s="539">
        <f t="shared" si="26"/>
        <v>323.85033707295395</v>
      </c>
      <c r="X62" s="539">
        <f t="shared" si="26"/>
        <v>348.11019987647381</v>
      </c>
      <c r="Y62" s="539">
        <f t="shared" si="26"/>
        <v>338.88366439764434</v>
      </c>
      <c r="Z62" s="539">
        <f t="shared" si="26"/>
        <v>352.1945195627062</v>
      </c>
      <c r="AA62" s="539">
        <f t="shared" si="26"/>
        <v>342.85973066152582</v>
      </c>
      <c r="AB62" s="539">
        <f t="shared" si="26"/>
        <v>356.32675989965577</v>
      </c>
      <c r="AC62" s="539">
        <f t="shared" si="26"/>
        <v>358.44519570508658</v>
      </c>
      <c r="AD62" s="539">
        <f t="shared" si="26"/>
        <v>348.94473488387973</v>
      </c>
      <c r="AE62" s="539">
        <f t="shared" si="26"/>
        <v>362.65077419653329</v>
      </c>
      <c r="AF62" s="539">
        <f t="shared" si="26"/>
        <v>353.03884603201357</v>
      </c>
      <c r="AG62" s="539">
        <f t="shared" si="26"/>
        <v>366.90569604830296</v>
      </c>
      <c r="AH62" s="539">
        <f t="shared" si="26"/>
        <v>0</v>
      </c>
      <c r="AI62" s="539">
        <f t="shared" si="26"/>
        <v>0</v>
      </c>
      <c r="AJ62" s="539">
        <f t="shared" si="26"/>
        <v>0</v>
      </c>
      <c r="AK62" s="539">
        <f t="shared" si="26"/>
        <v>0</v>
      </c>
      <c r="AL62" s="539">
        <f t="shared" si="26"/>
        <v>0</v>
      </c>
      <c r="AM62" s="539">
        <f t="shared" si="26"/>
        <v>0</v>
      </c>
      <c r="AN62" s="539">
        <f t="shared" si="26"/>
        <v>0</v>
      </c>
      <c r="AO62" s="539">
        <f t="shared" si="26"/>
        <v>0</v>
      </c>
      <c r="AP62" s="539">
        <f t="shared" si="26"/>
        <v>0</v>
      </c>
      <c r="AQ62" s="539">
        <f t="shared" si="26"/>
        <v>0</v>
      </c>
      <c r="AR62" s="539">
        <f t="shared" si="26"/>
        <v>0</v>
      </c>
      <c r="AS62" s="539">
        <f t="shared" si="26"/>
        <v>0</v>
      </c>
      <c r="AT62" s="539">
        <f t="shared" si="26"/>
        <v>0</v>
      </c>
      <c r="AU62" s="539">
        <f t="shared" si="26"/>
        <v>0</v>
      </c>
      <c r="AV62" s="539">
        <f t="shared" si="26"/>
        <v>0</v>
      </c>
      <c r="AW62" s="539">
        <f t="shared" si="26"/>
        <v>0</v>
      </c>
      <c r="AX62" s="539">
        <f t="shared" si="26"/>
        <v>0</v>
      </c>
      <c r="AY62" s="539">
        <f t="shared" si="26"/>
        <v>0</v>
      </c>
      <c r="AZ62" s="539">
        <f t="shared" si="26"/>
        <v>0</v>
      </c>
      <c r="BA62" s="539">
        <f t="shared" si="26"/>
        <v>0</v>
      </c>
      <c r="BB62" s="539">
        <f t="shared" si="26"/>
        <v>0</v>
      </c>
      <c r="BC62" s="539">
        <f t="shared" si="26"/>
        <v>0</v>
      </c>
      <c r="BD62" s="539">
        <f t="shared" si="26"/>
        <v>0</v>
      </c>
      <c r="BE62" s="539">
        <f t="shared" si="26"/>
        <v>0</v>
      </c>
      <c r="BF62" s="539">
        <f t="shared" si="26"/>
        <v>0</v>
      </c>
      <c r="BG62" s="539">
        <f t="shared" si="26"/>
        <v>0</v>
      </c>
      <c r="BH62" s="539">
        <f t="shared" si="26"/>
        <v>0</v>
      </c>
      <c r="BI62" s="539">
        <f t="shared" si="26"/>
        <v>0</v>
      </c>
      <c r="BJ62" s="539">
        <f t="shared" si="26"/>
        <v>0</v>
      </c>
      <c r="BK62" s="539">
        <f t="shared" si="26"/>
        <v>0</v>
      </c>
      <c r="BL62" s="539">
        <f t="shared" si="26"/>
        <v>0</v>
      </c>
      <c r="BM62" s="539">
        <f t="shared" si="26"/>
        <v>0</v>
      </c>
      <c r="BN62" s="539">
        <f t="shared" si="26"/>
        <v>0</v>
      </c>
      <c r="BO62" s="539">
        <f t="shared" si="26"/>
        <v>0</v>
      </c>
      <c r="BP62" s="539">
        <f t="shared" si="26"/>
        <v>0</v>
      </c>
      <c r="BQ62" s="539">
        <f t="shared" si="26"/>
        <v>0</v>
      </c>
      <c r="BR62" s="539">
        <f t="shared" si="26"/>
        <v>0</v>
      </c>
      <c r="BS62" s="539">
        <f t="shared" si="26"/>
        <v>0</v>
      </c>
      <c r="BT62" s="539">
        <f t="shared" si="26"/>
        <v>0</v>
      </c>
      <c r="BU62" s="539">
        <f t="shared" si="26"/>
        <v>0</v>
      </c>
      <c r="BV62" s="539">
        <f t="shared" si="26"/>
        <v>0</v>
      </c>
      <c r="BW62" s="539">
        <f t="shared" si="26"/>
        <v>0</v>
      </c>
      <c r="BX62" s="539">
        <f t="shared" si="26"/>
        <v>0</v>
      </c>
      <c r="BY62" s="539">
        <f t="shared" si="26"/>
        <v>0</v>
      </c>
      <c r="BZ62" s="539">
        <f t="shared" si="26"/>
        <v>0</v>
      </c>
      <c r="CA62" s="539">
        <f t="shared" si="26"/>
        <v>0</v>
      </c>
      <c r="CB62" s="539">
        <f t="shared" si="26"/>
        <v>0</v>
      </c>
      <c r="CC62" s="539">
        <f t="shared" si="26"/>
        <v>0</v>
      </c>
      <c r="CD62" s="539">
        <f t="shared" si="26"/>
        <v>0</v>
      </c>
      <c r="CE62" s="539">
        <f t="shared" si="26"/>
        <v>0</v>
      </c>
      <c r="CF62" s="539">
        <f t="shared" si="26"/>
        <v>0</v>
      </c>
      <c r="CG62" s="539">
        <f t="shared" si="26"/>
        <v>0</v>
      </c>
      <c r="CH62" s="539">
        <f t="shared" si="26"/>
        <v>0</v>
      </c>
      <c r="CI62" s="539">
        <f t="shared" si="26"/>
        <v>0</v>
      </c>
      <c r="CJ62" s="539">
        <f t="shared" si="26"/>
        <v>0</v>
      </c>
      <c r="CK62" s="539">
        <f t="shared" si="26"/>
        <v>0</v>
      </c>
      <c r="CL62" s="539">
        <f t="shared" si="26"/>
        <v>0</v>
      </c>
      <c r="CM62" s="539">
        <f t="shared" si="26"/>
        <v>0</v>
      </c>
      <c r="CN62" s="539">
        <f t="shared" si="26"/>
        <v>0</v>
      </c>
      <c r="CO62" s="539">
        <f t="shared" si="26"/>
        <v>0</v>
      </c>
      <c r="CP62" s="539">
        <f t="shared" si="26"/>
        <v>0</v>
      </c>
      <c r="CQ62" s="539">
        <f t="shared" si="26"/>
        <v>0</v>
      </c>
      <c r="CR62" s="539">
        <f t="shared" si="26"/>
        <v>0</v>
      </c>
      <c r="CS62" s="539">
        <f t="shared" si="26"/>
        <v>0</v>
      </c>
      <c r="CT62" s="539">
        <f t="shared" si="26"/>
        <v>0</v>
      </c>
      <c r="CU62" s="539">
        <f t="shared" si="26"/>
        <v>0</v>
      </c>
      <c r="CV62" s="539">
        <f t="shared" si="26"/>
        <v>0</v>
      </c>
      <c r="CW62" s="539">
        <f t="shared" si="26"/>
        <v>0</v>
      </c>
      <c r="CX62" s="539">
        <f t="shared" si="26"/>
        <v>0</v>
      </c>
      <c r="CY62" s="539">
        <f t="shared" si="26"/>
        <v>0</v>
      </c>
      <c r="CZ62" s="539">
        <f t="shared" si="26"/>
        <v>0</v>
      </c>
      <c r="DA62" s="539">
        <f t="shared" si="26"/>
        <v>0</v>
      </c>
      <c r="DB62" s="539">
        <f t="shared" si="26"/>
        <v>0</v>
      </c>
      <c r="DC62" s="539">
        <f t="shared" si="26"/>
        <v>0</v>
      </c>
      <c r="DD62" s="539">
        <f t="shared" si="26"/>
        <v>0</v>
      </c>
      <c r="DE62" s="539">
        <f t="shared" si="26"/>
        <v>0</v>
      </c>
      <c r="DF62" s="539">
        <f t="shared" si="26"/>
        <v>0</v>
      </c>
      <c r="DG62" s="539">
        <f t="shared" si="26"/>
        <v>0</v>
      </c>
      <c r="DH62" s="539">
        <f t="shared" si="26"/>
        <v>0</v>
      </c>
      <c r="DI62" s="539">
        <f t="shared" si="26"/>
        <v>0</v>
      </c>
      <c r="DJ62" s="539">
        <f t="shared" si="26"/>
        <v>0</v>
      </c>
      <c r="DK62" s="539">
        <f t="shared" si="26"/>
        <v>0</v>
      </c>
      <c r="DL62" s="539">
        <f t="shared" si="26"/>
        <v>0</v>
      </c>
      <c r="DM62" s="539">
        <f t="shared" si="26"/>
        <v>0</v>
      </c>
      <c r="DN62" s="539">
        <f t="shared" si="26"/>
        <v>0</v>
      </c>
      <c r="DO62" s="539">
        <f t="shared" si="26"/>
        <v>0</v>
      </c>
      <c r="DP62" s="539">
        <f t="shared" si="26"/>
        <v>0</v>
      </c>
      <c r="DQ62" s="539">
        <f t="shared" si="26"/>
        <v>0</v>
      </c>
      <c r="DR62" s="539">
        <f t="shared" si="26"/>
        <v>0</v>
      </c>
      <c r="DS62" s="539">
        <f t="shared" si="26"/>
        <v>0</v>
      </c>
      <c r="DT62" s="539">
        <f t="shared" si="26"/>
        <v>0</v>
      </c>
      <c r="DU62" s="539">
        <f t="shared" si="26"/>
        <v>0</v>
      </c>
      <c r="DV62" s="539">
        <f t="shared" si="26"/>
        <v>0</v>
      </c>
      <c r="DW62" s="539">
        <f t="shared" si="26"/>
        <v>0</v>
      </c>
      <c r="DX62" s="539">
        <f t="shared" si="26"/>
        <v>0</v>
      </c>
      <c r="DY62" s="539">
        <f t="shared" si="26"/>
        <v>0</v>
      </c>
      <c r="DZ62" s="539">
        <f t="shared" si="26"/>
        <v>0</v>
      </c>
      <c r="EA62" s="539">
        <f t="shared" si="26"/>
        <v>0</v>
      </c>
      <c r="EB62" s="539">
        <f t="shared" si="26"/>
        <v>0</v>
      </c>
      <c r="EC62" s="539">
        <f t="shared" si="26"/>
        <v>0</v>
      </c>
      <c r="ED62" s="539">
        <f t="shared" si="26"/>
        <v>0</v>
      </c>
      <c r="EE62" s="539">
        <f t="shared" si="26"/>
        <v>0</v>
      </c>
      <c r="EF62" s="539">
        <f t="shared" si="26"/>
        <v>0</v>
      </c>
      <c r="EG62" s="539">
        <f t="shared" si="26"/>
        <v>0</v>
      </c>
    </row>
    <row r="63" spans="5:137" ht="12.75">
      <c r="E63" s="538" t="str">
        <f>E$58</f>
        <v>Shareholder loan - principal repaid</v>
      </c>
      <c r="G63" s="539" t="str">
        <f>G$58</f>
        <v>EUR 000s</v>
      </c>
      <c r="H63" s="539">
        <f>H$58</f>
        <v>62081.458257168386</v>
      </c>
      <c r="J63" s="539">
        <f t="shared" si="27" ref="J63:EG63">J$58</f>
        <v>0</v>
      </c>
      <c r="K63" s="539">
        <f t="shared" si="27"/>
        <v>0</v>
      </c>
      <c r="L63" s="539">
        <f t="shared" si="27"/>
        <v>0</v>
      </c>
      <c r="M63" s="539">
        <f t="shared" si="27"/>
        <v>0</v>
      </c>
      <c r="N63" s="539">
        <f t="shared" si="27"/>
        <v>0</v>
      </c>
      <c r="O63" s="539">
        <f t="shared" si="27"/>
        <v>0</v>
      </c>
      <c r="P63" s="539">
        <f t="shared" si="27"/>
        <v>1.8189894035458565E-12</v>
      </c>
      <c r="Q63" s="539">
        <f t="shared" si="27"/>
        <v>0</v>
      </c>
      <c r="R63" s="539">
        <f t="shared" si="27"/>
        <v>0</v>
      </c>
      <c r="S63" s="539">
        <f t="shared" si="27"/>
        <v>0</v>
      </c>
      <c r="T63" s="539">
        <f t="shared" si="27"/>
        <v>0</v>
      </c>
      <c r="U63" s="539">
        <f t="shared" si="27"/>
        <v>0</v>
      </c>
      <c r="V63" s="539">
        <f t="shared" si="27"/>
        <v>0</v>
      </c>
      <c r="W63" s="539">
        <f t="shared" si="27"/>
        <v>0</v>
      </c>
      <c r="X63" s="539">
        <f t="shared" si="27"/>
        <v>0</v>
      </c>
      <c r="Y63" s="539">
        <f t="shared" si="27"/>
        <v>0</v>
      </c>
      <c r="Z63" s="539">
        <f t="shared" si="27"/>
        <v>0</v>
      </c>
      <c r="AA63" s="539">
        <f t="shared" si="27"/>
        <v>0</v>
      </c>
      <c r="AB63" s="539">
        <f t="shared" si="27"/>
        <v>0</v>
      </c>
      <c r="AC63" s="539">
        <f t="shared" si="27"/>
        <v>0</v>
      </c>
      <c r="AD63" s="539">
        <f t="shared" si="27"/>
        <v>0</v>
      </c>
      <c r="AE63" s="539">
        <f t="shared" si="27"/>
        <v>0</v>
      </c>
      <c r="AF63" s="539">
        <f t="shared" si="27"/>
        <v>0</v>
      </c>
      <c r="AG63" s="539">
        <f t="shared" si="27"/>
        <v>0</v>
      </c>
      <c r="AH63" s="539">
        <f t="shared" si="27"/>
        <v>312.38038581277306</v>
      </c>
      <c r="AI63" s="539">
        <f t="shared" si="27"/>
        <v>2211.5350046020876</v>
      </c>
      <c r="AJ63" s="539">
        <f t="shared" si="27"/>
        <v>2194.5570271900933</v>
      </c>
      <c r="AK63" s="539">
        <f t="shared" si="27"/>
        <v>2182.9378063720687</v>
      </c>
      <c r="AL63" s="539">
        <f t="shared" si="27"/>
        <v>2362.2328510633752</v>
      </c>
      <c r="AM63" s="539">
        <f t="shared" si="27"/>
        <v>2491.7309782557159</v>
      </c>
      <c r="AN63" s="539">
        <f t="shared" si="27"/>
        <v>2480.8697877785871</v>
      </c>
      <c r="AO63" s="539">
        <f t="shared" si="27"/>
        <v>2473.6560043158756</v>
      </c>
      <c r="AP63" s="539">
        <f t="shared" si="27"/>
        <v>2655.3311340419641</v>
      </c>
      <c r="AQ63" s="539">
        <f t="shared" si="27"/>
        <v>2793.2594819930591</v>
      </c>
      <c r="AR63" s="539">
        <f t="shared" si="27"/>
        <v>2778.298311163227</v>
      </c>
      <c r="AS63" s="539">
        <f t="shared" si="27"/>
        <v>2797.2714274126415</v>
      </c>
      <c r="AT63" s="539">
        <f t="shared" si="27"/>
        <v>1240.7926748904852</v>
      </c>
      <c r="AU63" s="539">
        <f t="shared" si="27"/>
        <v>1329.2857577710558</v>
      </c>
      <c r="AV63" s="539">
        <f t="shared" si="27"/>
        <v>1319.1897055783927</v>
      </c>
      <c r="AW63" s="539">
        <f t="shared" si="27"/>
        <v>1285.8326135467898</v>
      </c>
      <c r="AX63" s="539">
        <f t="shared" si="27"/>
        <v>3186.3988590962786</v>
      </c>
      <c r="AY63" s="539">
        <f t="shared" si="27"/>
        <v>3341.981783069536</v>
      </c>
      <c r="AZ63" s="539">
        <f t="shared" si="27"/>
        <v>3410.7461785555397</v>
      </c>
      <c r="BA63" s="539">
        <f t="shared" si="27"/>
        <v>3422.4084355999721</v>
      </c>
      <c r="BB63" s="539">
        <f t="shared" si="27"/>
        <v>3502.8417929343987</v>
      </c>
      <c r="BC63" s="539">
        <f t="shared" si="27"/>
        <v>3656.1568017543354</v>
      </c>
      <c r="BD63" s="539">
        <f t="shared" si="27"/>
        <v>3666.9384464998284</v>
      </c>
      <c r="BE63" s="539">
        <f t="shared" si="27"/>
        <v>3669.5934689584969</v>
      </c>
      <c r="BF63" s="539">
        <f t="shared" si="27"/>
        <v>1315.2315389118025</v>
      </c>
      <c r="BG63" s="539">
        <f t="shared" si="27"/>
        <v>0</v>
      </c>
      <c r="BH63" s="539">
        <f t="shared" si="27"/>
        <v>0</v>
      </c>
      <c r="BI63" s="539">
        <f t="shared" si="27"/>
        <v>0</v>
      </c>
      <c r="BJ63" s="539">
        <f t="shared" si="27"/>
        <v>0</v>
      </c>
      <c r="BK63" s="539">
        <f t="shared" si="27"/>
        <v>0</v>
      </c>
      <c r="BL63" s="539">
        <f t="shared" si="27"/>
        <v>0</v>
      </c>
      <c r="BM63" s="539">
        <f t="shared" si="27"/>
        <v>0</v>
      </c>
      <c r="BN63" s="539">
        <f t="shared" si="27"/>
        <v>0</v>
      </c>
      <c r="BO63" s="539">
        <f t="shared" si="27"/>
        <v>0</v>
      </c>
      <c r="BP63" s="539">
        <f t="shared" si="27"/>
        <v>0</v>
      </c>
      <c r="BQ63" s="539">
        <f t="shared" si="27"/>
        <v>0</v>
      </c>
      <c r="BR63" s="539">
        <f t="shared" si="27"/>
        <v>0</v>
      </c>
      <c r="BS63" s="539">
        <f t="shared" si="27"/>
        <v>0</v>
      </c>
      <c r="BT63" s="539">
        <f t="shared" si="27"/>
        <v>0</v>
      </c>
      <c r="BU63" s="539">
        <f t="shared" si="27"/>
        <v>0</v>
      </c>
      <c r="BV63" s="539">
        <f t="shared" si="27"/>
        <v>0</v>
      </c>
      <c r="BW63" s="539">
        <f t="shared" si="27"/>
        <v>0</v>
      </c>
      <c r="BX63" s="539">
        <f t="shared" si="27"/>
        <v>0</v>
      </c>
      <c r="BY63" s="539">
        <f t="shared" si="27"/>
        <v>0</v>
      </c>
      <c r="BZ63" s="539">
        <f t="shared" si="27"/>
        <v>0</v>
      </c>
      <c r="CA63" s="539">
        <f t="shared" si="27"/>
        <v>0</v>
      </c>
      <c r="CB63" s="539">
        <f t="shared" si="27"/>
        <v>0</v>
      </c>
      <c r="CC63" s="539">
        <f t="shared" si="27"/>
        <v>0</v>
      </c>
      <c r="CD63" s="539">
        <f t="shared" si="27"/>
        <v>0</v>
      </c>
      <c r="CE63" s="539">
        <f t="shared" si="27"/>
        <v>0</v>
      </c>
      <c r="CF63" s="539">
        <f t="shared" si="27"/>
        <v>0</v>
      </c>
      <c r="CG63" s="539">
        <f t="shared" si="27"/>
        <v>0</v>
      </c>
      <c r="CH63" s="539">
        <f t="shared" si="27"/>
        <v>0</v>
      </c>
      <c r="CI63" s="539">
        <f t="shared" si="27"/>
        <v>0</v>
      </c>
      <c r="CJ63" s="539">
        <f t="shared" si="27"/>
        <v>0</v>
      </c>
      <c r="CK63" s="539">
        <f t="shared" si="27"/>
        <v>0</v>
      </c>
      <c r="CL63" s="539">
        <f t="shared" si="27"/>
        <v>0</v>
      </c>
      <c r="CM63" s="539">
        <f t="shared" si="27"/>
        <v>0</v>
      </c>
      <c r="CN63" s="539">
        <f t="shared" si="27"/>
        <v>0</v>
      </c>
      <c r="CO63" s="539">
        <f t="shared" si="27"/>
        <v>0</v>
      </c>
      <c r="CP63" s="539">
        <f t="shared" si="27"/>
        <v>0</v>
      </c>
      <c r="CQ63" s="539">
        <f t="shared" si="27"/>
        <v>0</v>
      </c>
      <c r="CR63" s="539">
        <f t="shared" si="27"/>
        <v>0</v>
      </c>
      <c r="CS63" s="539">
        <f t="shared" si="27"/>
        <v>0</v>
      </c>
      <c r="CT63" s="539">
        <f t="shared" si="27"/>
        <v>0</v>
      </c>
      <c r="CU63" s="539">
        <f t="shared" si="27"/>
        <v>0</v>
      </c>
      <c r="CV63" s="539">
        <f t="shared" si="27"/>
        <v>0</v>
      </c>
      <c r="CW63" s="539">
        <f t="shared" si="27"/>
        <v>0</v>
      </c>
      <c r="CX63" s="539">
        <f t="shared" si="27"/>
        <v>0</v>
      </c>
      <c r="CY63" s="539">
        <f t="shared" si="27"/>
        <v>0</v>
      </c>
      <c r="CZ63" s="539">
        <f t="shared" si="27"/>
        <v>0</v>
      </c>
      <c r="DA63" s="539">
        <f t="shared" si="27"/>
        <v>0</v>
      </c>
      <c r="DB63" s="539">
        <f t="shared" si="27"/>
        <v>0</v>
      </c>
      <c r="DC63" s="539">
        <f t="shared" si="27"/>
        <v>0</v>
      </c>
      <c r="DD63" s="539">
        <f t="shared" si="27"/>
        <v>0</v>
      </c>
      <c r="DE63" s="539">
        <f t="shared" si="27"/>
        <v>0</v>
      </c>
      <c r="DF63" s="539">
        <f t="shared" si="27"/>
        <v>0</v>
      </c>
      <c r="DG63" s="539">
        <f t="shared" si="27"/>
        <v>0</v>
      </c>
      <c r="DH63" s="539">
        <f t="shared" si="27"/>
        <v>0</v>
      </c>
      <c r="DI63" s="539">
        <f t="shared" si="27"/>
        <v>0</v>
      </c>
      <c r="DJ63" s="539">
        <f t="shared" si="27"/>
        <v>0</v>
      </c>
      <c r="DK63" s="539">
        <f t="shared" si="27"/>
        <v>0</v>
      </c>
      <c r="DL63" s="539">
        <f t="shared" si="27"/>
        <v>0</v>
      </c>
      <c r="DM63" s="539">
        <f t="shared" si="27"/>
        <v>0</v>
      </c>
      <c r="DN63" s="539">
        <f t="shared" si="27"/>
        <v>0</v>
      </c>
      <c r="DO63" s="539">
        <f t="shared" si="27"/>
        <v>0</v>
      </c>
      <c r="DP63" s="539">
        <f t="shared" si="27"/>
        <v>0</v>
      </c>
      <c r="DQ63" s="539">
        <f t="shared" si="27"/>
        <v>0</v>
      </c>
      <c r="DR63" s="539">
        <f t="shared" si="27"/>
        <v>0</v>
      </c>
      <c r="DS63" s="539">
        <f t="shared" si="27"/>
        <v>0</v>
      </c>
      <c r="DT63" s="539">
        <f t="shared" si="27"/>
        <v>0</v>
      </c>
      <c r="DU63" s="539">
        <f t="shared" si="27"/>
        <v>0</v>
      </c>
      <c r="DV63" s="539">
        <f t="shared" si="27"/>
        <v>0</v>
      </c>
      <c r="DW63" s="539">
        <f t="shared" si="27"/>
        <v>0</v>
      </c>
      <c r="DX63" s="539">
        <f t="shared" si="27"/>
        <v>0</v>
      </c>
      <c r="DY63" s="539">
        <f t="shared" si="27"/>
        <v>0</v>
      </c>
      <c r="DZ63" s="539">
        <f t="shared" si="27"/>
        <v>0</v>
      </c>
      <c r="EA63" s="539">
        <f t="shared" si="27"/>
        <v>0</v>
      </c>
      <c r="EB63" s="539">
        <f t="shared" si="27"/>
        <v>0</v>
      </c>
      <c r="EC63" s="539">
        <f t="shared" si="27"/>
        <v>0</v>
      </c>
      <c r="ED63" s="539">
        <f t="shared" si="27"/>
        <v>0</v>
      </c>
      <c r="EE63" s="539">
        <f t="shared" si="27"/>
        <v>0</v>
      </c>
      <c r="EF63" s="539">
        <f t="shared" si="27"/>
        <v>0</v>
      </c>
      <c r="EG63" s="539">
        <f t="shared" si="27"/>
        <v>0</v>
      </c>
    </row>
    <row r="64" spans="5:137" ht="12.75">
      <c r="E64" s="540" t="s">
        <v>477</v>
      </c>
      <c r="G64" s="541" t="s">
        <v>30</v>
      </c>
      <c r="H64" s="541">
        <f>SUM(J64:EG64)</f>
        <v>1982209.3275418179</v>
      </c>
      <c r="J64" s="541">
        <f t="shared" si="28" ref="J64:EG64">J61+J60+J62-J63</f>
        <v>0</v>
      </c>
      <c r="K64" s="541">
        <f t="shared" si="28"/>
        <v>0</v>
      </c>
      <c r="L64" s="541">
        <f t="shared" si="28"/>
        <v>9055.4397749326417</v>
      </c>
      <c r="M64" s="541">
        <f t="shared" si="28"/>
        <v>19828.091695005383</v>
      </c>
      <c r="N64" s="541">
        <f t="shared" si="28"/>
        <v>30939.160758532307</v>
      </c>
      <c r="O64" s="541">
        <f t="shared" si="28"/>
        <v>41851.875073305215</v>
      </c>
      <c r="P64" s="541">
        <f t="shared" si="28"/>
        <v>53108.507977738744</v>
      </c>
      <c r="Q64" s="541">
        <f t="shared" si="28"/>
        <v>56550.332750408648</v>
      </c>
      <c r="R64" s="541">
        <f t="shared" si="28"/>
        <v>56875.690829246618</v>
      </c>
      <c r="S64" s="541">
        <f t="shared" si="28"/>
        <v>57213.828498012277</v>
      </c>
      <c r="T64" s="541">
        <f t="shared" si="28"/>
        <v>57543.003949644677</v>
      </c>
      <c r="U64" s="541">
        <f t="shared" si="28"/>
        <v>57885.108932030234</v>
      </c>
      <c r="V64" s="541">
        <f t="shared" si="28"/>
        <v>58229.247798831617</v>
      </c>
      <c r="W64" s="541">
        <f t="shared" si="28"/>
        <v>58553.098135904569</v>
      </c>
      <c r="X64" s="541">
        <f t="shared" si="28"/>
        <v>58901.208335781041</v>
      </c>
      <c r="Y64" s="541">
        <f t="shared" si="28"/>
        <v>59240.092000178687</v>
      </c>
      <c r="Z64" s="541">
        <f t="shared" si="28"/>
        <v>59592.286519741392</v>
      </c>
      <c r="AA64" s="541">
        <f t="shared" si="28"/>
        <v>59935.146250402919</v>
      </c>
      <c r="AB64" s="541">
        <f t="shared" si="28"/>
        <v>60291.473010302572</v>
      </c>
      <c r="AC64" s="541">
        <f t="shared" si="28"/>
        <v>60649.918206007656</v>
      </c>
      <c r="AD64" s="541">
        <f t="shared" si="28"/>
        <v>60998.862940891537</v>
      </c>
      <c r="AE64" s="541">
        <f t="shared" si="28"/>
        <v>61361.513715088069</v>
      </c>
      <c r="AF64" s="541">
        <f t="shared" si="28"/>
        <v>61714.552561120079</v>
      </c>
      <c r="AG64" s="541">
        <f t="shared" si="28"/>
        <v>62081.458257168379</v>
      </c>
      <c r="AH64" s="541">
        <f t="shared" si="28"/>
        <v>61769.077871355606</v>
      </c>
      <c r="AI64" s="541">
        <f t="shared" si="28"/>
        <v>59557.542866753516</v>
      </c>
      <c r="AJ64" s="541">
        <f t="shared" si="28"/>
        <v>57362.985839563422</v>
      </c>
      <c r="AK64" s="541">
        <f t="shared" si="28"/>
        <v>55180.048033191357</v>
      </c>
      <c r="AL64" s="541">
        <f t="shared" si="28"/>
        <v>52817.815182127983</v>
      </c>
      <c r="AM64" s="541">
        <f t="shared" si="28"/>
        <v>50326.084203872269</v>
      </c>
      <c r="AN64" s="541">
        <f t="shared" si="28"/>
        <v>47845.21441609368</v>
      </c>
      <c r="AO64" s="541">
        <f t="shared" si="28"/>
        <v>45371.558411777805</v>
      </c>
      <c r="AP64" s="541">
        <f t="shared" si="28"/>
        <v>42716.227277735845</v>
      </c>
      <c r="AQ64" s="541">
        <f t="shared" si="28"/>
        <v>39922.967795742785</v>
      </c>
      <c r="AR64" s="541">
        <f t="shared" si="28"/>
        <v>37144.669484579557</v>
      </c>
      <c r="AS64" s="541">
        <f t="shared" si="28"/>
        <v>34347.398057166916</v>
      </c>
      <c r="AT64" s="541">
        <f t="shared" si="28"/>
        <v>33106.60538227643</v>
      </c>
      <c r="AU64" s="541">
        <f t="shared" si="28"/>
        <v>31777.319624505373</v>
      </c>
      <c r="AV64" s="541">
        <f t="shared" si="28"/>
        <v>30458.129918926981</v>
      </c>
      <c r="AW64" s="541">
        <f t="shared" si="28"/>
        <v>29172.297305380191</v>
      </c>
      <c r="AX64" s="541">
        <f t="shared" si="28"/>
        <v>25985.898446283911</v>
      </c>
      <c r="AY64" s="541">
        <f t="shared" si="28"/>
        <v>22643.916663214375</v>
      </c>
      <c r="AZ64" s="541">
        <f t="shared" si="28"/>
        <v>19233.170484658836</v>
      </c>
      <c r="BA64" s="541">
        <f t="shared" si="28"/>
        <v>15810.762049058863</v>
      </c>
      <c r="BB64" s="541">
        <f t="shared" si="28"/>
        <v>12307.920256124464</v>
      </c>
      <c r="BC64" s="541">
        <f t="shared" si="28"/>
        <v>8651.7634543701279</v>
      </c>
      <c r="BD64" s="541">
        <f t="shared" si="28"/>
        <v>4984.8250078702995</v>
      </c>
      <c r="BE64" s="541">
        <f t="shared" si="28"/>
        <v>1315.2315389118025</v>
      </c>
      <c r="BF64" s="541">
        <f t="shared" si="28"/>
        <v>0</v>
      </c>
      <c r="BG64" s="541">
        <f t="shared" si="28"/>
        <v>0</v>
      </c>
      <c r="BH64" s="541">
        <f t="shared" si="28"/>
        <v>0</v>
      </c>
      <c r="BI64" s="541">
        <f t="shared" si="28"/>
        <v>0</v>
      </c>
      <c r="BJ64" s="541">
        <f t="shared" si="28"/>
        <v>0</v>
      </c>
      <c r="BK64" s="541">
        <f t="shared" si="28"/>
        <v>0</v>
      </c>
      <c r="BL64" s="541">
        <f t="shared" si="28"/>
        <v>0</v>
      </c>
      <c r="BM64" s="541">
        <f t="shared" si="28"/>
        <v>0</v>
      </c>
      <c r="BN64" s="541">
        <f t="shared" si="28"/>
        <v>0</v>
      </c>
      <c r="BO64" s="541">
        <f t="shared" si="28"/>
        <v>0</v>
      </c>
      <c r="BP64" s="541">
        <f t="shared" si="28"/>
        <v>0</v>
      </c>
      <c r="BQ64" s="541">
        <f t="shared" si="28"/>
        <v>0</v>
      </c>
      <c r="BR64" s="541">
        <f t="shared" si="28"/>
        <v>0</v>
      </c>
      <c r="BS64" s="541">
        <f t="shared" si="28"/>
        <v>0</v>
      </c>
      <c r="BT64" s="541">
        <f t="shared" si="28"/>
        <v>0</v>
      </c>
      <c r="BU64" s="541">
        <f t="shared" si="28"/>
        <v>0</v>
      </c>
      <c r="BV64" s="541">
        <f t="shared" si="28"/>
        <v>0</v>
      </c>
      <c r="BW64" s="541">
        <f t="shared" si="28"/>
        <v>0</v>
      </c>
      <c r="BX64" s="541">
        <f t="shared" si="28"/>
        <v>0</v>
      </c>
      <c r="BY64" s="541">
        <f t="shared" si="28"/>
        <v>0</v>
      </c>
      <c r="BZ64" s="541">
        <f t="shared" si="28"/>
        <v>0</v>
      </c>
      <c r="CA64" s="541">
        <f t="shared" si="28"/>
        <v>0</v>
      </c>
      <c r="CB64" s="541">
        <f t="shared" si="28"/>
        <v>0</v>
      </c>
      <c r="CC64" s="541">
        <f t="shared" si="28"/>
        <v>0</v>
      </c>
      <c r="CD64" s="541">
        <f t="shared" si="28"/>
        <v>0</v>
      </c>
      <c r="CE64" s="541">
        <f t="shared" si="28"/>
        <v>0</v>
      </c>
      <c r="CF64" s="541">
        <f t="shared" si="28"/>
        <v>0</v>
      </c>
      <c r="CG64" s="541">
        <f t="shared" si="28"/>
        <v>0</v>
      </c>
      <c r="CH64" s="541">
        <f t="shared" si="28"/>
        <v>0</v>
      </c>
      <c r="CI64" s="541">
        <f t="shared" si="28"/>
        <v>0</v>
      </c>
      <c r="CJ64" s="541">
        <f t="shared" si="28"/>
        <v>0</v>
      </c>
      <c r="CK64" s="541">
        <f t="shared" si="28"/>
        <v>0</v>
      </c>
      <c r="CL64" s="541">
        <f t="shared" si="28"/>
        <v>0</v>
      </c>
      <c r="CM64" s="541">
        <f t="shared" si="28"/>
        <v>0</v>
      </c>
      <c r="CN64" s="541">
        <f t="shared" si="28"/>
        <v>0</v>
      </c>
      <c r="CO64" s="541">
        <f t="shared" si="28"/>
        <v>0</v>
      </c>
      <c r="CP64" s="541">
        <f t="shared" si="28"/>
        <v>0</v>
      </c>
      <c r="CQ64" s="541">
        <f t="shared" si="28"/>
        <v>0</v>
      </c>
      <c r="CR64" s="541">
        <f t="shared" si="28"/>
        <v>0</v>
      </c>
      <c r="CS64" s="541">
        <f t="shared" si="28"/>
        <v>0</v>
      </c>
      <c r="CT64" s="541">
        <f t="shared" si="28"/>
        <v>0</v>
      </c>
      <c r="CU64" s="541">
        <f t="shared" si="28"/>
        <v>0</v>
      </c>
      <c r="CV64" s="541">
        <f t="shared" si="28"/>
        <v>0</v>
      </c>
      <c r="CW64" s="541">
        <f t="shared" si="28"/>
        <v>0</v>
      </c>
      <c r="CX64" s="541">
        <f t="shared" si="28"/>
        <v>0</v>
      </c>
      <c r="CY64" s="541">
        <f t="shared" si="28"/>
        <v>0</v>
      </c>
      <c r="CZ64" s="541">
        <f t="shared" si="28"/>
        <v>0</v>
      </c>
      <c r="DA64" s="541">
        <f t="shared" si="28"/>
        <v>0</v>
      </c>
      <c r="DB64" s="541">
        <f t="shared" si="28"/>
        <v>0</v>
      </c>
      <c r="DC64" s="541">
        <f t="shared" si="28"/>
        <v>0</v>
      </c>
      <c r="DD64" s="541">
        <f t="shared" si="28"/>
        <v>0</v>
      </c>
      <c r="DE64" s="541">
        <f t="shared" si="28"/>
        <v>0</v>
      </c>
      <c r="DF64" s="541">
        <f t="shared" si="28"/>
        <v>0</v>
      </c>
      <c r="DG64" s="541">
        <f t="shared" si="28"/>
        <v>0</v>
      </c>
      <c r="DH64" s="541">
        <f t="shared" si="28"/>
        <v>0</v>
      </c>
      <c r="DI64" s="541">
        <f t="shared" si="28"/>
        <v>0</v>
      </c>
      <c r="DJ64" s="541">
        <f t="shared" si="28"/>
        <v>0</v>
      </c>
      <c r="DK64" s="541">
        <f t="shared" si="28"/>
        <v>0</v>
      </c>
      <c r="DL64" s="541">
        <f t="shared" si="28"/>
        <v>0</v>
      </c>
      <c r="DM64" s="541">
        <f t="shared" si="28"/>
        <v>0</v>
      </c>
      <c r="DN64" s="541">
        <f t="shared" si="28"/>
        <v>0</v>
      </c>
      <c r="DO64" s="541">
        <f t="shared" si="28"/>
        <v>0</v>
      </c>
      <c r="DP64" s="541">
        <f t="shared" si="28"/>
        <v>0</v>
      </c>
      <c r="DQ64" s="541">
        <f t="shared" si="28"/>
        <v>0</v>
      </c>
      <c r="DR64" s="541">
        <f t="shared" si="28"/>
        <v>0</v>
      </c>
      <c r="DS64" s="541">
        <f t="shared" si="28"/>
        <v>0</v>
      </c>
      <c r="DT64" s="541">
        <f t="shared" si="28"/>
        <v>0</v>
      </c>
      <c r="DU64" s="541">
        <f t="shared" si="28"/>
        <v>0</v>
      </c>
      <c r="DV64" s="541">
        <f t="shared" si="28"/>
        <v>0</v>
      </c>
      <c r="DW64" s="541">
        <f t="shared" si="28"/>
        <v>0</v>
      </c>
      <c r="DX64" s="541">
        <f t="shared" si="28"/>
        <v>0</v>
      </c>
      <c r="DY64" s="541">
        <f t="shared" si="28"/>
        <v>0</v>
      </c>
      <c r="DZ64" s="541">
        <f t="shared" si="28"/>
        <v>0</v>
      </c>
      <c r="EA64" s="541">
        <f t="shared" si="28"/>
        <v>0</v>
      </c>
      <c r="EB64" s="541">
        <f t="shared" si="28"/>
        <v>0</v>
      </c>
      <c r="EC64" s="541">
        <f t="shared" si="28"/>
        <v>0</v>
      </c>
      <c r="ED64" s="541">
        <f t="shared" si="28"/>
        <v>0</v>
      </c>
      <c r="EE64" s="541">
        <f t="shared" si="28"/>
        <v>0</v>
      </c>
      <c r="EF64" s="541">
        <f t="shared" si="28"/>
        <v>0</v>
      </c>
      <c r="EG64" s="541">
        <f t="shared" si="28"/>
        <v>0</v>
      </c>
    </row>
    <row r="67" spans="1:1" ht="12.75">
      <c r="A67" s="534" t="s">
        <v>478</v>
      </c>
    </row>
    <row r="69" spans="5:137" ht="12.75">
      <c r="E69" s="535" t="str">
        <f>Waterfall!E$116</f>
        <v>Distributions - cash released to shareholders</v>
      </c>
      <c r="G69" s="537" t="str">
        <f>Waterfall!G$116</f>
        <v>EUR 000s</v>
      </c>
      <c r="H69" s="537">
        <f>Waterfall!H$116</f>
        <v>563432.21775595983</v>
      </c>
      <c r="J69" s="537">
        <f>Waterfall!J$116</f>
        <v>0</v>
      </c>
      <c r="K69" s="537">
        <f>Waterfall!K$116</f>
        <v>0</v>
      </c>
      <c r="L69" s="537">
        <f>Waterfall!L$116</f>
        <v>0</v>
      </c>
      <c r="M69" s="537">
        <f>Waterfall!M$116</f>
        <v>0</v>
      </c>
      <c r="N69" s="537">
        <f>Waterfall!N$116</f>
        <v>0</v>
      </c>
      <c r="O69" s="537">
        <f>Waterfall!O$116</f>
        <v>0</v>
      </c>
      <c r="P69" s="537">
        <f>Waterfall!P$116</f>
        <v>1.8189894035458565E-12</v>
      </c>
      <c r="Q69" s="537">
        <f>Waterfall!Q$116</f>
        <v>0</v>
      </c>
      <c r="R69" s="537">
        <f>Waterfall!R$116</f>
        <v>0</v>
      </c>
      <c r="S69" s="537">
        <f>Waterfall!S$116</f>
        <v>0</v>
      </c>
      <c r="T69" s="537">
        <f>Waterfall!T$116</f>
        <v>0</v>
      </c>
      <c r="U69" s="537">
        <f>Waterfall!U$116</f>
        <v>0</v>
      </c>
      <c r="V69" s="537">
        <f>Waterfall!V$116</f>
        <v>0</v>
      </c>
      <c r="W69" s="537">
        <f>Waterfall!W$116</f>
        <v>0</v>
      </c>
      <c r="X69" s="537">
        <f>Waterfall!X$116</f>
        <v>0</v>
      </c>
      <c r="Y69" s="537">
        <f>Waterfall!Y$116</f>
        <v>0</v>
      </c>
      <c r="Z69" s="537">
        <f>Waterfall!Z$116</f>
        <v>0</v>
      </c>
      <c r="AA69" s="537">
        <f>Waterfall!AA$116</f>
        <v>0</v>
      </c>
      <c r="AB69" s="537">
        <f>Waterfall!AB$116</f>
        <v>0</v>
      </c>
      <c r="AC69" s="537">
        <f>Waterfall!AC$116</f>
        <v>0</v>
      </c>
      <c r="AD69" s="537">
        <f>Waterfall!AD$116</f>
        <v>0</v>
      </c>
      <c r="AE69" s="537">
        <f>Waterfall!AE$116</f>
        <v>0</v>
      </c>
      <c r="AF69" s="537">
        <f>Waterfall!AF$116</f>
        <v>0</v>
      </c>
      <c r="AG69" s="537">
        <f>Waterfall!AG$116</f>
        <v>0</v>
      </c>
      <c r="AH69" s="537">
        <f>Waterfall!AH$116</f>
        <v>1383.9233639501999</v>
      </c>
      <c r="AI69" s="537">
        <f>Waterfall!AI$116</f>
        <v>3289.5323362199924</v>
      </c>
      <c r="AJ69" s="537">
        <f>Waterfall!AJ$116</f>
        <v>3245.3805232500731</v>
      </c>
      <c r="AK69" s="537">
        <f>Waterfall!AK$116</f>
        <v>3195.0408989934072</v>
      </c>
      <c r="AL69" s="537">
        <f>Waterfall!AL$116</f>
        <v>3314.6555979376371</v>
      </c>
      <c r="AM69" s="537">
        <f>Waterfall!AM$116</f>
        <v>3413.5103829410727</v>
      </c>
      <c r="AN69" s="537">
        <f>Waterfall!AN$116</f>
        <v>3368.8149446907446</v>
      </c>
      <c r="AO69" s="537">
        <f>Waterfall!AO$116</f>
        <v>3317.8291025066792</v>
      </c>
      <c r="AP69" s="537">
        <f>Waterfall!AP$116</f>
        <v>3438.4566627931977</v>
      </c>
      <c r="AQ69" s="537">
        <f>Waterfall!AQ$116</f>
        <v>3538.7454210592982</v>
      </c>
      <c r="AR69" s="537">
        <f>Waterfall!AR$116</f>
        <v>3482.692592271675</v>
      </c>
      <c r="AS69" s="537">
        <f>Waterfall!AS$116</f>
        <v>3452.6458698254974</v>
      </c>
      <c r="AT69" s="537">
        <f>Waterfall!AT$116</f>
        <v>1840.225347833371</v>
      </c>
      <c r="AU69" s="537">
        <f>Waterfall!AU$116</f>
        <v>1907.064048963113</v>
      </c>
      <c r="AV69" s="537">
        <f>Waterfall!AV$116</f>
        <v>1879.8635093641863</v>
      </c>
      <c r="AW69" s="537">
        <f>Waterfall!AW$116</f>
        <v>1823.2308510204605</v>
      </c>
      <c r="AX69" s="537">
        <f>Waterfall!AX$116</f>
        <v>3689.9207029973613</v>
      </c>
      <c r="AY69" s="537">
        <f>Waterfall!AY$116</f>
        <v>3795.4891066389291</v>
      </c>
      <c r="AZ69" s="537">
        <f>Waterfall!AZ$116</f>
        <v>3810.2717218736234</v>
      </c>
      <c r="BA69" s="537">
        <f>Waterfall!BA$116</f>
        <v>3761.7553340142267</v>
      </c>
      <c r="BB69" s="537">
        <f>Waterfall!BB$116</f>
        <v>3775.7398776167847</v>
      </c>
      <c r="BC69" s="537">
        <f>Waterfall!BC$116</f>
        <v>3870.9553004708091</v>
      </c>
      <c r="BD69" s="537">
        <f>Waterfall!BD$116</f>
        <v>3819.5887386810437</v>
      </c>
      <c r="BE69" s="537">
        <f>Waterfall!BE$116</f>
        <v>3757.5449019740718</v>
      </c>
      <c r="BF69" s="537">
        <f>Waterfall!BF$116</f>
        <v>3865.5485651833455</v>
      </c>
      <c r="BG69" s="537">
        <f>Waterfall!BG$116</f>
        <v>3963.7340210591155</v>
      </c>
      <c r="BH69" s="537">
        <f>Waterfall!BH$116</f>
        <v>3901.9818208723086</v>
      </c>
      <c r="BI69" s="537">
        <f>Waterfall!BI$116</f>
        <v>3863.3396261250573</v>
      </c>
      <c r="BJ69" s="537">
        <f>Waterfall!BJ$116</f>
        <v>3981.7948466400562</v>
      </c>
      <c r="BK69" s="537">
        <f>Waterfall!BK$116</f>
        <v>4041.5037487339391</v>
      </c>
      <c r="BL69" s="537">
        <f>Waterfall!BL$116</f>
        <v>4013.5705589641948</v>
      </c>
      <c r="BM69" s="537">
        <f>Waterfall!BM$116</f>
        <v>3952.9034566736409</v>
      </c>
      <c r="BN69" s="537">
        <f>Waterfall!BN$116</f>
        <v>2097.5193655527028</v>
      </c>
      <c r="BO69" s="537">
        <f>Waterfall!BO$116</f>
        <v>2200.864273878366</v>
      </c>
      <c r="BP69" s="537">
        <f>Waterfall!BP$116</f>
        <v>2098.1063109146212</v>
      </c>
      <c r="BQ69" s="537">
        <f>Waterfall!BQ$116</f>
        <v>2037.8164184080592</v>
      </c>
      <c r="BR69" s="537">
        <f>Waterfall!BR$116</f>
        <v>4224.1553525130121</v>
      </c>
      <c r="BS69" s="537">
        <f>Waterfall!BS$116</f>
        <v>4329.7689293072381</v>
      </c>
      <c r="BT69" s="537">
        <f>Waterfall!BT$116</f>
        <v>4419.8055567868232</v>
      </c>
      <c r="BU69" s="537">
        <f>Waterfall!BU$116</f>
        <v>4770.8603254831687</v>
      </c>
      <c r="BV69" s="537">
        <f>Waterfall!BV$116</f>
        <v>4626.1012277867885</v>
      </c>
      <c r="BW69" s="537">
        <f>Waterfall!BW$116</f>
        <v>3945.1397120020174</v>
      </c>
      <c r="BX69" s="537">
        <f>Waterfall!BX$116</f>
        <v>3887.6124417460055</v>
      </c>
      <c r="BY69" s="537">
        <f>Waterfall!BY$116</f>
        <v>3843.3319181364645</v>
      </c>
      <c r="BZ69" s="537">
        <f>Waterfall!BZ$116</f>
        <v>3978.3991178064584</v>
      </c>
      <c r="CA69" s="537">
        <f>Waterfall!CA$116</f>
        <v>4211.4281415911701</v>
      </c>
      <c r="CB69" s="537">
        <f>Waterfall!CB$116</f>
        <v>4139.4003880005166</v>
      </c>
      <c r="CC69" s="537">
        <f>Waterfall!CC$116</f>
        <v>3736.011479524982</v>
      </c>
      <c r="CD69" s="537">
        <f>Waterfall!CD$116</f>
        <v>4321.3134548763692</v>
      </c>
      <c r="CE69" s="537">
        <f>Waterfall!CE$116</f>
        <v>4413.9780591819081</v>
      </c>
      <c r="CF69" s="537">
        <f>Waterfall!CF$116</f>
        <v>4368.5578436146661</v>
      </c>
      <c r="CG69" s="537">
        <f>Waterfall!CG$116</f>
        <v>4283.5118246307165</v>
      </c>
      <c r="CH69" s="537">
        <f>Waterfall!CH$116</f>
        <v>2110.5359724491877</v>
      </c>
      <c r="CI69" s="537">
        <f>Waterfall!CI$116</f>
        <v>2204.6023940287428</v>
      </c>
      <c r="CJ69" s="537">
        <f>Waterfall!CJ$116</f>
        <v>1870.785150550882</v>
      </c>
      <c r="CK69" s="537">
        <f>Waterfall!CK$116</f>
        <v>1786.9171601948424</v>
      </c>
      <c r="CL69" s="537">
        <f>Waterfall!CL$116</f>
        <v>4628.8303227158403</v>
      </c>
      <c r="CM69" s="537">
        <f>Waterfall!CM$116</f>
        <v>4723.5203653725785</v>
      </c>
      <c r="CN69" s="537">
        <f>Waterfall!CN$116</f>
        <v>4948.935086001231</v>
      </c>
      <c r="CO69" s="537">
        <f>Waterfall!CO$116</f>
        <v>4889.99295027068</v>
      </c>
      <c r="CP69" s="537">
        <f>Waterfall!CP$116</f>
        <v>4408.4942242291327</v>
      </c>
      <c r="CQ69" s="537">
        <f>Waterfall!CQ$116</f>
        <v>4454.0921236772019</v>
      </c>
      <c r="CR69" s="537">
        <f>Waterfall!CR$116</f>
        <v>4428.3806644411152</v>
      </c>
      <c r="CS69" s="537">
        <f>Waterfall!CS$116</f>
        <v>4344.7192119229667</v>
      </c>
      <c r="CT69" s="537">
        <f>Waterfall!CT$116</f>
        <v>4410.7908852154824</v>
      </c>
      <c r="CU69" s="537">
        <f>Waterfall!CU$116</f>
        <v>4507.2180043044709</v>
      </c>
      <c r="CV69" s="537">
        <f>Waterfall!CV$116</f>
        <v>4455.6468509356973</v>
      </c>
      <c r="CW69" s="537">
        <f>Waterfall!CW$116</f>
        <v>4372.1040514103006</v>
      </c>
      <c r="CX69" s="537">
        <f>Waterfall!CX$116</f>
        <v>4442.1439989063965</v>
      </c>
      <c r="CY69" s="537">
        <f>Waterfall!CY$116</f>
        <v>4538.8867633803111</v>
      </c>
      <c r="CZ69" s="537">
        <f>Waterfall!CZ$116</f>
        <v>9289.0498453167747</v>
      </c>
      <c r="DA69" s="537">
        <f>Waterfall!DA$116</f>
        <v>9243.2109589193478</v>
      </c>
      <c r="DB69" s="537">
        <f>Waterfall!DB$116</f>
        <v>6730.8032201585938</v>
      </c>
      <c r="DC69" s="537">
        <f>Waterfall!DC$116</f>
        <v>6819.6943690281241</v>
      </c>
      <c r="DD69" s="537">
        <f>Waterfall!DD$116</f>
        <v>6814.0398522326241</v>
      </c>
      <c r="DE69" s="537">
        <f>Waterfall!DE$116</f>
        <v>6785.1271000854231</v>
      </c>
      <c r="DF69" s="537">
        <f>Waterfall!DF$116</f>
        <v>10042.297500103878</v>
      </c>
      <c r="DG69" s="537">
        <f>Waterfall!DG$116</f>
        <v>10083.037086594606</v>
      </c>
      <c r="DH69" s="537">
        <f>Waterfall!DH$116</f>
        <v>10103.030440845592</v>
      </c>
      <c r="DI69" s="537">
        <f>Waterfall!DI$116</f>
        <v>10074.710093976457</v>
      </c>
      <c r="DJ69" s="537">
        <f>Waterfall!DJ$116</f>
        <v>9531.0000277068248</v>
      </c>
      <c r="DK69" s="537">
        <f>Waterfall!DK$116</f>
        <v>9622.5760692221538</v>
      </c>
      <c r="DL69" s="537">
        <f>Waterfall!DL$116</f>
        <v>9618.4891847043327</v>
      </c>
      <c r="DM69" s="537">
        <f>Waterfall!DM$116</f>
        <v>9590.6249782264968</v>
      </c>
      <c r="DN69" s="537">
        <f>Waterfall!DN$116</f>
        <v>9679.6513243283043</v>
      </c>
      <c r="DO69" s="537">
        <f>Waterfall!DO$116</f>
        <v>9772.3259446832872</v>
      </c>
      <c r="DP69" s="537">
        <f>Waterfall!DP$116</f>
        <v>9768.8299907587207</v>
      </c>
      <c r="DQ69" s="537">
        <f>Waterfall!DQ$116</f>
        <v>9741.3091688148925</v>
      </c>
      <c r="DR69" s="537">
        <f>Waterfall!DR$116</f>
        <v>9833.1752700445759</v>
      </c>
      <c r="DS69" s="537">
        <f>Waterfall!DS$116</f>
        <v>9926.8134161951511</v>
      </c>
      <c r="DT69" s="537">
        <f>Waterfall!DT$116</f>
        <v>9923.8082057289866</v>
      </c>
      <c r="DU69" s="537">
        <f>Waterfall!DU$116</f>
        <v>9896.5376166003607</v>
      </c>
      <c r="DV69" s="537">
        <f>Waterfall!DV$116</f>
        <v>10016.918852742816</v>
      </c>
      <c r="DW69" s="537">
        <f>Waterfall!DW$116</f>
        <v>10059.983606963106</v>
      </c>
      <c r="DX69" s="537">
        <f>Waterfall!DX$116</f>
        <v>10083.094712487115</v>
      </c>
      <c r="DY69" s="537">
        <f>Waterfall!DY$116</f>
        <v>10055.997562626802</v>
      </c>
      <c r="DZ69" s="537">
        <f>Waterfall!DZ$116</f>
        <v>12150.719351237401</v>
      </c>
      <c r="EA69" s="537">
        <f>Waterfall!EA$116</f>
        <v>14400.981458335427</v>
      </c>
      <c r="EB69" s="537">
        <f>Waterfall!EB$116</f>
        <v>16648.983915654459</v>
      </c>
      <c r="EC69" s="537">
        <f>Waterfall!EC$116</f>
        <v>19599.446855546739</v>
      </c>
      <c r="ED69" s="537">
        <f>Waterfall!ED$116</f>
        <v>2308.4176722004668</v>
      </c>
      <c r="EE69" s="537">
        <f>Waterfall!EE$116</f>
        <v>4.0745362639427185E-10</v>
      </c>
      <c r="EF69" s="537">
        <f>Waterfall!EF$116</f>
        <v>4.0745362639427185E-10</v>
      </c>
      <c r="EG69" s="537">
        <f>Waterfall!EG$116</f>
        <v>4.0745362639427185E-10</v>
      </c>
    </row>
    <row r="70" spans="5:137" ht="12.75">
      <c r="E70" s="538" t="str">
        <f>E$48</f>
        <v>Shareholder loan - interest settled</v>
      </c>
      <c r="G70" s="539" t="str">
        <f>G$48</f>
        <v>EUR 000s</v>
      </c>
      <c r="H70" s="539">
        <f>H$48</f>
        <v>15429.351676329899</v>
      </c>
      <c r="J70" s="539">
        <f t="shared" si="29" ref="J70:EG70">J$48</f>
        <v>0</v>
      </c>
      <c r="K70" s="539">
        <f t="shared" si="29"/>
        <v>0</v>
      </c>
      <c r="L70" s="539">
        <f t="shared" si="29"/>
        <v>0</v>
      </c>
      <c r="M70" s="539">
        <f t="shared" si="29"/>
        <v>0</v>
      </c>
      <c r="N70" s="539">
        <f t="shared" si="29"/>
        <v>0</v>
      </c>
      <c r="O70" s="539">
        <f t="shared" si="29"/>
        <v>0</v>
      </c>
      <c r="P70" s="539">
        <f t="shared" si="29"/>
        <v>0</v>
      </c>
      <c r="Q70" s="539">
        <f t="shared" si="29"/>
        <v>0</v>
      </c>
      <c r="R70" s="539">
        <f t="shared" si="29"/>
        <v>0</v>
      </c>
      <c r="S70" s="539">
        <f t="shared" si="29"/>
        <v>0</v>
      </c>
      <c r="T70" s="539">
        <f t="shared" si="29"/>
        <v>0</v>
      </c>
      <c r="U70" s="539">
        <f t="shared" si="29"/>
        <v>0</v>
      </c>
      <c r="V70" s="539">
        <f t="shared" si="29"/>
        <v>0</v>
      </c>
      <c r="W70" s="539">
        <f t="shared" si="29"/>
        <v>0</v>
      </c>
      <c r="X70" s="539">
        <f t="shared" si="29"/>
        <v>0</v>
      </c>
      <c r="Y70" s="539">
        <f t="shared" si="29"/>
        <v>0</v>
      </c>
      <c r="Z70" s="539">
        <f t="shared" si="29"/>
        <v>0</v>
      </c>
      <c r="AA70" s="539">
        <f t="shared" si="29"/>
        <v>0</v>
      </c>
      <c r="AB70" s="539">
        <f t="shared" si="29"/>
        <v>0</v>
      </c>
      <c r="AC70" s="539">
        <f t="shared" si="29"/>
        <v>0</v>
      </c>
      <c r="AD70" s="539">
        <f t="shared" si="29"/>
        <v>0</v>
      </c>
      <c r="AE70" s="539">
        <f t="shared" si="29"/>
        <v>0</v>
      </c>
      <c r="AF70" s="539">
        <f t="shared" si="29"/>
        <v>0</v>
      </c>
      <c r="AG70" s="539">
        <f t="shared" si="29"/>
        <v>0</v>
      </c>
      <c r="AH70" s="539">
        <f t="shared" si="29"/>
        <v>1071.5429781374269</v>
      </c>
      <c r="AI70" s="539">
        <f t="shared" si="29"/>
        <v>1077.9973316179048</v>
      </c>
      <c r="AJ70" s="539">
        <f t="shared" si="29"/>
        <v>1050.82349605998</v>
      </c>
      <c r="AK70" s="539">
        <f t="shared" si="29"/>
        <v>1012.1030926213383</v>
      </c>
      <c r="AL70" s="539">
        <f t="shared" si="29"/>
        <v>952.42274687426186</v>
      </c>
      <c r="AM70" s="539">
        <f t="shared" si="29"/>
        <v>921.77940468535701</v>
      </c>
      <c r="AN70" s="539">
        <f t="shared" si="29"/>
        <v>887.94515691215736</v>
      </c>
      <c r="AO70" s="539">
        <f t="shared" si="29"/>
        <v>844.17309819080367</v>
      </c>
      <c r="AP70" s="539">
        <f t="shared" si="29"/>
        <v>783.12552875123345</v>
      </c>
      <c r="AQ70" s="539">
        <f t="shared" si="29"/>
        <v>745.48593906623933</v>
      </c>
      <c r="AR70" s="539">
        <f t="shared" si="29"/>
        <v>704.39428110844801</v>
      </c>
      <c r="AS70" s="539">
        <f t="shared" si="29"/>
        <v>655.37444241285584</v>
      </c>
      <c r="AT70" s="539">
        <f t="shared" si="29"/>
        <v>599.43267294288569</v>
      </c>
      <c r="AU70" s="539">
        <f t="shared" si="29"/>
        <v>577.77829119205717</v>
      </c>
      <c r="AV70" s="539">
        <f t="shared" si="29"/>
        <v>560.67380378579355</v>
      </c>
      <c r="AW70" s="539">
        <f t="shared" si="29"/>
        <v>537.39823747367063</v>
      </c>
      <c r="AX70" s="539">
        <f t="shared" si="29"/>
        <v>503.52184390108283</v>
      </c>
      <c r="AY70" s="539">
        <f t="shared" si="29"/>
        <v>453.50732356939324</v>
      </c>
      <c r="AZ70" s="539">
        <f t="shared" si="29"/>
        <v>399.52554331808381</v>
      </c>
      <c r="BA70" s="539">
        <f t="shared" si="29"/>
        <v>339.34689841425455</v>
      </c>
      <c r="BB70" s="539">
        <f t="shared" si="29"/>
        <v>272.8980846823859</v>
      </c>
      <c r="BC70" s="539">
        <f t="shared" si="29"/>
        <v>214.79849871647352</v>
      </c>
      <c r="BD70" s="539">
        <f t="shared" si="29"/>
        <v>152.65029218121541</v>
      </c>
      <c r="BE70" s="539">
        <f t="shared" si="29"/>
        <v>87.951433015574608</v>
      </c>
      <c r="BF70" s="539">
        <f t="shared" si="29"/>
        <v>22.701256699025635</v>
      </c>
      <c r="BG70" s="539">
        <f t="shared" si="29"/>
        <v>0</v>
      </c>
      <c r="BH70" s="539">
        <f t="shared" si="29"/>
        <v>0</v>
      </c>
      <c r="BI70" s="539">
        <f t="shared" si="29"/>
        <v>0</v>
      </c>
      <c r="BJ70" s="539">
        <f t="shared" si="29"/>
        <v>0</v>
      </c>
      <c r="BK70" s="539">
        <f t="shared" si="29"/>
        <v>0</v>
      </c>
      <c r="BL70" s="539">
        <f t="shared" si="29"/>
        <v>0</v>
      </c>
      <c r="BM70" s="539">
        <f t="shared" si="29"/>
        <v>0</v>
      </c>
      <c r="BN70" s="539">
        <f t="shared" si="29"/>
        <v>0</v>
      </c>
      <c r="BO70" s="539">
        <f t="shared" si="29"/>
        <v>0</v>
      </c>
      <c r="BP70" s="539">
        <f t="shared" si="29"/>
        <v>0</v>
      </c>
      <c r="BQ70" s="539">
        <f t="shared" si="29"/>
        <v>0</v>
      </c>
      <c r="BR70" s="539">
        <f t="shared" si="29"/>
        <v>0</v>
      </c>
      <c r="BS70" s="539">
        <f t="shared" si="29"/>
        <v>0</v>
      </c>
      <c r="BT70" s="539">
        <f t="shared" si="29"/>
        <v>0</v>
      </c>
      <c r="BU70" s="539">
        <f t="shared" si="29"/>
        <v>0</v>
      </c>
      <c r="BV70" s="539">
        <f t="shared" si="29"/>
        <v>0</v>
      </c>
      <c r="BW70" s="539">
        <f t="shared" si="29"/>
        <v>0</v>
      </c>
      <c r="BX70" s="539">
        <f t="shared" si="29"/>
        <v>0</v>
      </c>
      <c r="BY70" s="539">
        <f t="shared" si="29"/>
        <v>0</v>
      </c>
      <c r="BZ70" s="539">
        <f t="shared" si="29"/>
        <v>0</v>
      </c>
      <c r="CA70" s="539">
        <f t="shared" si="29"/>
        <v>0</v>
      </c>
      <c r="CB70" s="539">
        <f t="shared" si="29"/>
        <v>0</v>
      </c>
      <c r="CC70" s="539">
        <f t="shared" si="29"/>
        <v>0</v>
      </c>
      <c r="CD70" s="539">
        <f t="shared" si="29"/>
        <v>0</v>
      </c>
      <c r="CE70" s="539">
        <f t="shared" si="29"/>
        <v>0</v>
      </c>
      <c r="CF70" s="539">
        <f t="shared" si="29"/>
        <v>0</v>
      </c>
      <c r="CG70" s="539">
        <f t="shared" si="29"/>
        <v>0</v>
      </c>
      <c r="CH70" s="539">
        <f t="shared" si="29"/>
        <v>0</v>
      </c>
      <c r="CI70" s="539">
        <f t="shared" si="29"/>
        <v>0</v>
      </c>
      <c r="CJ70" s="539">
        <f t="shared" si="29"/>
        <v>0</v>
      </c>
      <c r="CK70" s="539">
        <f t="shared" si="29"/>
        <v>0</v>
      </c>
      <c r="CL70" s="539">
        <f t="shared" si="29"/>
        <v>0</v>
      </c>
      <c r="CM70" s="539">
        <f t="shared" si="29"/>
        <v>0</v>
      </c>
      <c r="CN70" s="539">
        <f t="shared" si="29"/>
        <v>0</v>
      </c>
      <c r="CO70" s="539">
        <f t="shared" si="29"/>
        <v>0</v>
      </c>
      <c r="CP70" s="539">
        <f t="shared" si="29"/>
        <v>0</v>
      </c>
      <c r="CQ70" s="539">
        <f t="shared" si="29"/>
        <v>0</v>
      </c>
      <c r="CR70" s="539">
        <f t="shared" si="29"/>
        <v>0</v>
      </c>
      <c r="CS70" s="539">
        <f t="shared" si="29"/>
        <v>0</v>
      </c>
      <c r="CT70" s="539">
        <f t="shared" si="29"/>
        <v>0</v>
      </c>
      <c r="CU70" s="539">
        <f t="shared" si="29"/>
        <v>0</v>
      </c>
      <c r="CV70" s="539">
        <f t="shared" si="29"/>
        <v>0</v>
      </c>
      <c r="CW70" s="539">
        <f t="shared" si="29"/>
        <v>0</v>
      </c>
      <c r="CX70" s="539">
        <f t="shared" si="29"/>
        <v>0</v>
      </c>
      <c r="CY70" s="539">
        <f t="shared" si="29"/>
        <v>0</v>
      </c>
      <c r="CZ70" s="539">
        <f t="shared" si="29"/>
        <v>0</v>
      </c>
      <c r="DA70" s="539">
        <f t="shared" si="29"/>
        <v>0</v>
      </c>
      <c r="DB70" s="539">
        <f t="shared" si="29"/>
        <v>0</v>
      </c>
      <c r="DC70" s="539">
        <f t="shared" si="29"/>
        <v>0</v>
      </c>
      <c r="DD70" s="539">
        <f t="shared" si="29"/>
        <v>0</v>
      </c>
      <c r="DE70" s="539">
        <f t="shared" si="29"/>
        <v>0</v>
      </c>
      <c r="DF70" s="539">
        <f t="shared" si="29"/>
        <v>0</v>
      </c>
      <c r="DG70" s="539">
        <f t="shared" si="29"/>
        <v>0</v>
      </c>
      <c r="DH70" s="539">
        <f t="shared" si="29"/>
        <v>0</v>
      </c>
      <c r="DI70" s="539">
        <f t="shared" si="29"/>
        <v>0</v>
      </c>
      <c r="DJ70" s="539">
        <f t="shared" si="29"/>
        <v>0</v>
      </c>
      <c r="DK70" s="539">
        <f t="shared" si="29"/>
        <v>0</v>
      </c>
      <c r="DL70" s="539">
        <f t="shared" si="29"/>
        <v>0</v>
      </c>
      <c r="DM70" s="539">
        <f t="shared" si="29"/>
        <v>0</v>
      </c>
      <c r="DN70" s="539">
        <f t="shared" si="29"/>
        <v>0</v>
      </c>
      <c r="DO70" s="539">
        <f t="shared" si="29"/>
        <v>0</v>
      </c>
      <c r="DP70" s="539">
        <f t="shared" si="29"/>
        <v>0</v>
      </c>
      <c r="DQ70" s="539">
        <f t="shared" si="29"/>
        <v>0</v>
      </c>
      <c r="DR70" s="539">
        <f t="shared" si="29"/>
        <v>0</v>
      </c>
      <c r="DS70" s="539">
        <f t="shared" si="29"/>
        <v>0</v>
      </c>
      <c r="DT70" s="539">
        <f t="shared" si="29"/>
        <v>0</v>
      </c>
      <c r="DU70" s="539">
        <f t="shared" si="29"/>
        <v>0</v>
      </c>
      <c r="DV70" s="539">
        <f t="shared" si="29"/>
        <v>0</v>
      </c>
      <c r="DW70" s="539">
        <f t="shared" si="29"/>
        <v>0</v>
      </c>
      <c r="DX70" s="539">
        <f t="shared" si="29"/>
        <v>0</v>
      </c>
      <c r="DY70" s="539">
        <f t="shared" si="29"/>
        <v>0</v>
      </c>
      <c r="DZ70" s="539">
        <f t="shared" si="29"/>
        <v>0</v>
      </c>
      <c r="EA70" s="539">
        <f t="shared" si="29"/>
        <v>0</v>
      </c>
      <c r="EB70" s="539">
        <f t="shared" si="29"/>
        <v>0</v>
      </c>
      <c r="EC70" s="539">
        <f t="shared" si="29"/>
        <v>0</v>
      </c>
      <c r="ED70" s="539">
        <f t="shared" si="29"/>
        <v>0</v>
      </c>
      <c r="EE70" s="539">
        <f t="shared" si="29"/>
        <v>0</v>
      </c>
      <c r="EF70" s="539">
        <f t="shared" si="29"/>
        <v>0</v>
      </c>
      <c r="EG70" s="539">
        <f t="shared" si="29"/>
        <v>0</v>
      </c>
    </row>
    <row r="71" spans="5:137" ht="12.75">
      <c r="E71" s="538" t="str">
        <f>E$58</f>
        <v>Shareholder loan - principal repaid</v>
      </c>
      <c r="G71" s="539" t="str">
        <f>G$58</f>
        <v>EUR 000s</v>
      </c>
      <c r="H71" s="539">
        <f>H$58</f>
        <v>62081.458257168386</v>
      </c>
      <c r="J71" s="539">
        <f t="shared" si="30" ref="J71:EG71">J$58</f>
        <v>0</v>
      </c>
      <c r="K71" s="539">
        <f t="shared" si="30"/>
        <v>0</v>
      </c>
      <c r="L71" s="539">
        <f t="shared" si="30"/>
        <v>0</v>
      </c>
      <c r="M71" s="539">
        <f t="shared" si="30"/>
        <v>0</v>
      </c>
      <c r="N71" s="539">
        <f t="shared" si="30"/>
        <v>0</v>
      </c>
      <c r="O71" s="539">
        <f t="shared" si="30"/>
        <v>0</v>
      </c>
      <c r="P71" s="539">
        <f t="shared" si="30"/>
        <v>1.8189894035458565E-12</v>
      </c>
      <c r="Q71" s="539">
        <f t="shared" si="30"/>
        <v>0</v>
      </c>
      <c r="R71" s="539">
        <f t="shared" si="30"/>
        <v>0</v>
      </c>
      <c r="S71" s="539">
        <f t="shared" si="30"/>
        <v>0</v>
      </c>
      <c r="T71" s="539">
        <f t="shared" si="30"/>
        <v>0</v>
      </c>
      <c r="U71" s="539">
        <f t="shared" si="30"/>
        <v>0</v>
      </c>
      <c r="V71" s="539">
        <f t="shared" si="30"/>
        <v>0</v>
      </c>
      <c r="W71" s="539">
        <f t="shared" si="30"/>
        <v>0</v>
      </c>
      <c r="X71" s="539">
        <f t="shared" si="30"/>
        <v>0</v>
      </c>
      <c r="Y71" s="539">
        <f t="shared" si="30"/>
        <v>0</v>
      </c>
      <c r="Z71" s="539">
        <f t="shared" si="30"/>
        <v>0</v>
      </c>
      <c r="AA71" s="539">
        <f t="shared" si="30"/>
        <v>0</v>
      </c>
      <c r="AB71" s="539">
        <f t="shared" si="30"/>
        <v>0</v>
      </c>
      <c r="AC71" s="539">
        <f t="shared" si="30"/>
        <v>0</v>
      </c>
      <c r="AD71" s="539">
        <f t="shared" si="30"/>
        <v>0</v>
      </c>
      <c r="AE71" s="539">
        <f t="shared" si="30"/>
        <v>0</v>
      </c>
      <c r="AF71" s="539">
        <f t="shared" si="30"/>
        <v>0</v>
      </c>
      <c r="AG71" s="539">
        <f t="shared" si="30"/>
        <v>0</v>
      </c>
      <c r="AH71" s="539">
        <f t="shared" si="30"/>
        <v>312.38038581277306</v>
      </c>
      <c r="AI71" s="539">
        <f t="shared" si="30"/>
        <v>2211.5350046020876</v>
      </c>
      <c r="AJ71" s="539">
        <f t="shared" si="30"/>
        <v>2194.5570271900933</v>
      </c>
      <c r="AK71" s="539">
        <f t="shared" si="30"/>
        <v>2182.9378063720687</v>
      </c>
      <c r="AL71" s="539">
        <f t="shared" si="30"/>
        <v>2362.2328510633752</v>
      </c>
      <c r="AM71" s="539">
        <f t="shared" si="30"/>
        <v>2491.7309782557159</v>
      </c>
      <c r="AN71" s="539">
        <f t="shared" si="30"/>
        <v>2480.8697877785871</v>
      </c>
      <c r="AO71" s="539">
        <f t="shared" si="30"/>
        <v>2473.6560043158756</v>
      </c>
      <c r="AP71" s="539">
        <f t="shared" si="30"/>
        <v>2655.3311340419641</v>
      </c>
      <c r="AQ71" s="539">
        <f t="shared" si="30"/>
        <v>2793.2594819930591</v>
      </c>
      <c r="AR71" s="539">
        <f t="shared" si="30"/>
        <v>2778.298311163227</v>
      </c>
      <c r="AS71" s="539">
        <f t="shared" si="30"/>
        <v>2797.2714274126415</v>
      </c>
      <c r="AT71" s="539">
        <f t="shared" si="30"/>
        <v>1240.7926748904852</v>
      </c>
      <c r="AU71" s="539">
        <f t="shared" si="30"/>
        <v>1329.2857577710558</v>
      </c>
      <c r="AV71" s="539">
        <f t="shared" si="30"/>
        <v>1319.1897055783927</v>
      </c>
      <c r="AW71" s="539">
        <f t="shared" si="30"/>
        <v>1285.8326135467898</v>
      </c>
      <c r="AX71" s="539">
        <f t="shared" si="30"/>
        <v>3186.3988590962786</v>
      </c>
      <c r="AY71" s="539">
        <f t="shared" si="30"/>
        <v>3341.981783069536</v>
      </c>
      <c r="AZ71" s="539">
        <f t="shared" si="30"/>
        <v>3410.7461785555397</v>
      </c>
      <c r="BA71" s="539">
        <f t="shared" si="30"/>
        <v>3422.4084355999721</v>
      </c>
      <c r="BB71" s="539">
        <f t="shared" si="30"/>
        <v>3502.8417929343987</v>
      </c>
      <c r="BC71" s="539">
        <f t="shared" si="30"/>
        <v>3656.1568017543354</v>
      </c>
      <c r="BD71" s="539">
        <f t="shared" si="30"/>
        <v>3666.9384464998284</v>
      </c>
      <c r="BE71" s="539">
        <f t="shared" si="30"/>
        <v>3669.5934689584969</v>
      </c>
      <c r="BF71" s="539">
        <f t="shared" si="30"/>
        <v>1315.2315389118025</v>
      </c>
      <c r="BG71" s="539">
        <f t="shared" si="30"/>
        <v>0</v>
      </c>
      <c r="BH71" s="539">
        <f t="shared" si="30"/>
        <v>0</v>
      </c>
      <c r="BI71" s="539">
        <f t="shared" si="30"/>
        <v>0</v>
      </c>
      <c r="BJ71" s="539">
        <f t="shared" si="30"/>
        <v>0</v>
      </c>
      <c r="BK71" s="539">
        <f t="shared" si="30"/>
        <v>0</v>
      </c>
      <c r="BL71" s="539">
        <f t="shared" si="30"/>
        <v>0</v>
      </c>
      <c r="BM71" s="539">
        <f t="shared" si="30"/>
        <v>0</v>
      </c>
      <c r="BN71" s="539">
        <f t="shared" si="30"/>
        <v>0</v>
      </c>
      <c r="BO71" s="539">
        <f t="shared" si="30"/>
        <v>0</v>
      </c>
      <c r="BP71" s="539">
        <f t="shared" si="30"/>
        <v>0</v>
      </c>
      <c r="BQ71" s="539">
        <f t="shared" si="30"/>
        <v>0</v>
      </c>
      <c r="BR71" s="539">
        <f t="shared" si="30"/>
        <v>0</v>
      </c>
      <c r="BS71" s="539">
        <f t="shared" si="30"/>
        <v>0</v>
      </c>
      <c r="BT71" s="539">
        <f t="shared" si="30"/>
        <v>0</v>
      </c>
      <c r="BU71" s="539">
        <f t="shared" si="30"/>
        <v>0</v>
      </c>
      <c r="BV71" s="539">
        <f t="shared" si="30"/>
        <v>0</v>
      </c>
      <c r="BW71" s="539">
        <f t="shared" si="30"/>
        <v>0</v>
      </c>
      <c r="BX71" s="539">
        <f t="shared" si="30"/>
        <v>0</v>
      </c>
      <c r="BY71" s="539">
        <f t="shared" si="30"/>
        <v>0</v>
      </c>
      <c r="BZ71" s="539">
        <f t="shared" si="30"/>
        <v>0</v>
      </c>
      <c r="CA71" s="539">
        <f t="shared" si="30"/>
        <v>0</v>
      </c>
      <c r="CB71" s="539">
        <f t="shared" si="30"/>
        <v>0</v>
      </c>
      <c r="CC71" s="539">
        <f t="shared" si="30"/>
        <v>0</v>
      </c>
      <c r="CD71" s="539">
        <f t="shared" si="30"/>
        <v>0</v>
      </c>
      <c r="CE71" s="539">
        <f t="shared" si="30"/>
        <v>0</v>
      </c>
      <c r="CF71" s="539">
        <f t="shared" si="30"/>
        <v>0</v>
      </c>
      <c r="CG71" s="539">
        <f t="shared" si="30"/>
        <v>0</v>
      </c>
      <c r="CH71" s="539">
        <f t="shared" si="30"/>
        <v>0</v>
      </c>
      <c r="CI71" s="539">
        <f t="shared" si="30"/>
        <v>0</v>
      </c>
      <c r="CJ71" s="539">
        <f t="shared" si="30"/>
        <v>0</v>
      </c>
      <c r="CK71" s="539">
        <f t="shared" si="30"/>
        <v>0</v>
      </c>
      <c r="CL71" s="539">
        <f t="shared" si="30"/>
        <v>0</v>
      </c>
      <c r="CM71" s="539">
        <f t="shared" si="30"/>
        <v>0</v>
      </c>
      <c r="CN71" s="539">
        <f t="shared" si="30"/>
        <v>0</v>
      </c>
      <c r="CO71" s="539">
        <f t="shared" si="30"/>
        <v>0</v>
      </c>
      <c r="CP71" s="539">
        <f t="shared" si="30"/>
        <v>0</v>
      </c>
      <c r="CQ71" s="539">
        <f t="shared" si="30"/>
        <v>0</v>
      </c>
      <c r="CR71" s="539">
        <f t="shared" si="30"/>
        <v>0</v>
      </c>
      <c r="CS71" s="539">
        <f t="shared" si="30"/>
        <v>0</v>
      </c>
      <c r="CT71" s="539">
        <f t="shared" si="30"/>
        <v>0</v>
      </c>
      <c r="CU71" s="539">
        <f t="shared" si="30"/>
        <v>0</v>
      </c>
      <c r="CV71" s="539">
        <f t="shared" si="30"/>
        <v>0</v>
      </c>
      <c r="CW71" s="539">
        <f t="shared" si="30"/>
        <v>0</v>
      </c>
      <c r="CX71" s="539">
        <f t="shared" si="30"/>
        <v>0</v>
      </c>
      <c r="CY71" s="539">
        <f t="shared" si="30"/>
        <v>0</v>
      </c>
      <c r="CZ71" s="539">
        <f t="shared" si="30"/>
        <v>0</v>
      </c>
      <c r="DA71" s="539">
        <f t="shared" si="30"/>
        <v>0</v>
      </c>
      <c r="DB71" s="539">
        <f t="shared" si="30"/>
        <v>0</v>
      </c>
      <c r="DC71" s="539">
        <f t="shared" si="30"/>
        <v>0</v>
      </c>
      <c r="DD71" s="539">
        <f t="shared" si="30"/>
        <v>0</v>
      </c>
      <c r="DE71" s="539">
        <f t="shared" si="30"/>
        <v>0</v>
      </c>
      <c r="DF71" s="539">
        <f t="shared" si="30"/>
        <v>0</v>
      </c>
      <c r="DG71" s="539">
        <f t="shared" si="30"/>
        <v>0</v>
      </c>
      <c r="DH71" s="539">
        <f t="shared" si="30"/>
        <v>0</v>
      </c>
      <c r="DI71" s="539">
        <f t="shared" si="30"/>
        <v>0</v>
      </c>
      <c r="DJ71" s="539">
        <f t="shared" si="30"/>
        <v>0</v>
      </c>
      <c r="DK71" s="539">
        <f t="shared" si="30"/>
        <v>0</v>
      </c>
      <c r="DL71" s="539">
        <f t="shared" si="30"/>
        <v>0</v>
      </c>
      <c r="DM71" s="539">
        <f t="shared" si="30"/>
        <v>0</v>
      </c>
      <c r="DN71" s="539">
        <f t="shared" si="30"/>
        <v>0</v>
      </c>
      <c r="DO71" s="539">
        <f t="shared" si="30"/>
        <v>0</v>
      </c>
      <c r="DP71" s="539">
        <f t="shared" si="30"/>
        <v>0</v>
      </c>
      <c r="DQ71" s="539">
        <f t="shared" si="30"/>
        <v>0</v>
      </c>
      <c r="DR71" s="539">
        <f t="shared" si="30"/>
        <v>0</v>
      </c>
      <c r="DS71" s="539">
        <f t="shared" si="30"/>
        <v>0</v>
      </c>
      <c r="DT71" s="539">
        <f t="shared" si="30"/>
        <v>0</v>
      </c>
      <c r="DU71" s="539">
        <f t="shared" si="30"/>
        <v>0</v>
      </c>
      <c r="DV71" s="539">
        <f t="shared" si="30"/>
        <v>0</v>
      </c>
      <c r="DW71" s="539">
        <f t="shared" si="30"/>
        <v>0</v>
      </c>
      <c r="DX71" s="539">
        <f t="shared" si="30"/>
        <v>0</v>
      </c>
      <c r="DY71" s="539">
        <f t="shared" si="30"/>
        <v>0</v>
      </c>
      <c r="DZ71" s="539">
        <f t="shared" si="30"/>
        <v>0</v>
      </c>
      <c r="EA71" s="539">
        <f t="shared" si="30"/>
        <v>0</v>
      </c>
      <c r="EB71" s="539">
        <f t="shared" si="30"/>
        <v>0</v>
      </c>
      <c r="EC71" s="539">
        <f t="shared" si="30"/>
        <v>0</v>
      </c>
      <c r="ED71" s="539">
        <f t="shared" si="30"/>
        <v>0</v>
      </c>
      <c r="EE71" s="539">
        <f t="shared" si="30"/>
        <v>0</v>
      </c>
      <c r="EF71" s="539">
        <f t="shared" si="30"/>
        <v>0</v>
      </c>
      <c r="EG71" s="539">
        <f t="shared" si="30"/>
        <v>0</v>
      </c>
    </row>
    <row r="72" spans="5:137" ht="12.75">
      <c r="E72" s="538" t="s">
        <v>479</v>
      </c>
      <c r="G72" s="539" t="s">
        <v>30</v>
      </c>
      <c r="H72" s="539">
        <f>SUM(J72:EG72)</f>
        <v>485921.40782246116</v>
      </c>
      <c r="J72" s="539">
        <f t="shared" si="31" ref="J72:EG72">J69-J70-J71</f>
        <v>0</v>
      </c>
      <c r="K72" s="539">
        <f t="shared" si="31"/>
        <v>0</v>
      </c>
      <c r="L72" s="539">
        <f t="shared" si="31"/>
        <v>0</v>
      </c>
      <c r="M72" s="539">
        <f t="shared" si="31"/>
        <v>0</v>
      </c>
      <c r="N72" s="539">
        <f t="shared" si="31"/>
        <v>0</v>
      </c>
      <c r="O72" s="539">
        <f t="shared" si="31"/>
        <v>0</v>
      </c>
      <c r="P72" s="539">
        <f t="shared" si="31"/>
        <v>0</v>
      </c>
      <c r="Q72" s="539">
        <f t="shared" si="31"/>
        <v>0</v>
      </c>
      <c r="R72" s="539">
        <f t="shared" si="31"/>
        <v>0</v>
      </c>
      <c r="S72" s="539">
        <f t="shared" si="31"/>
        <v>0</v>
      </c>
      <c r="T72" s="539">
        <f t="shared" si="31"/>
        <v>0</v>
      </c>
      <c r="U72" s="539">
        <f t="shared" si="31"/>
        <v>0</v>
      </c>
      <c r="V72" s="539">
        <f t="shared" si="31"/>
        <v>0</v>
      </c>
      <c r="W72" s="539">
        <f t="shared" si="31"/>
        <v>0</v>
      </c>
      <c r="X72" s="539">
        <f t="shared" si="31"/>
        <v>0</v>
      </c>
      <c r="Y72" s="539">
        <f t="shared" si="31"/>
        <v>0</v>
      </c>
      <c r="Z72" s="539">
        <f t="shared" si="31"/>
        <v>0</v>
      </c>
      <c r="AA72" s="539">
        <f t="shared" si="31"/>
        <v>0</v>
      </c>
      <c r="AB72" s="539">
        <f t="shared" si="31"/>
        <v>0</v>
      </c>
      <c r="AC72" s="539">
        <f t="shared" si="31"/>
        <v>0</v>
      </c>
      <c r="AD72" s="539">
        <f t="shared" si="31"/>
        <v>0</v>
      </c>
      <c r="AE72" s="539">
        <f t="shared" si="31"/>
        <v>0</v>
      </c>
      <c r="AF72" s="539">
        <f t="shared" si="31"/>
        <v>0</v>
      </c>
      <c r="AG72" s="539">
        <f t="shared" si="31"/>
        <v>0</v>
      </c>
      <c r="AH72" s="539">
        <f t="shared" si="31"/>
        <v>0</v>
      </c>
      <c r="AI72" s="539">
        <f t="shared" si="31"/>
        <v>0</v>
      </c>
      <c r="AJ72" s="539">
        <f t="shared" si="31"/>
        <v>0</v>
      </c>
      <c r="AK72" s="539">
        <f t="shared" si="31"/>
        <v>0</v>
      </c>
      <c r="AL72" s="539">
        <f t="shared" si="31"/>
        <v>0</v>
      </c>
      <c r="AM72" s="539">
        <f t="shared" si="31"/>
        <v>0</v>
      </c>
      <c r="AN72" s="539">
        <f t="shared" si="31"/>
        <v>0</v>
      </c>
      <c r="AO72" s="539">
        <f t="shared" si="31"/>
        <v>0</v>
      </c>
      <c r="AP72" s="539">
        <f t="shared" si="31"/>
        <v>0</v>
      </c>
      <c r="AQ72" s="539">
        <f t="shared" si="31"/>
        <v>0</v>
      </c>
      <c r="AR72" s="539">
        <f t="shared" si="31"/>
        <v>0</v>
      </c>
      <c r="AS72" s="539">
        <f t="shared" si="31"/>
        <v>0</v>
      </c>
      <c r="AT72" s="539">
        <f t="shared" si="31"/>
        <v>0</v>
      </c>
      <c r="AU72" s="539">
        <f t="shared" si="31"/>
        <v>0</v>
      </c>
      <c r="AV72" s="539">
        <f t="shared" si="31"/>
        <v>0</v>
      </c>
      <c r="AW72" s="539">
        <f t="shared" si="31"/>
        <v>0</v>
      </c>
      <c r="AX72" s="539">
        <f t="shared" si="31"/>
        <v>0</v>
      </c>
      <c r="AY72" s="539">
        <f t="shared" si="31"/>
        <v>0</v>
      </c>
      <c r="AZ72" s="539">
        <f t="shared" si="31"/>
        <v>0</v>
      </c>
      <c r="BA72" s="539">
        <f t="shared" si="31"/>
        <v>0</v>
      </c>
      <c r="BB72" s="539">
        <f t="shared" si="31"/>
        <v>0</v>
      </c>
      <c r="BC72" s="539">
        <f t="shared" si="31"/>
        <v>0</v>
      </c>
      <c r="BD72" s="539">
        <f t="shared" si="31"/>
        <v>0</v>
      </c>
      <c r="BE72" s="539">
        <f t="shared" si="31"/>
        <v>0</v>
      </c>
      <c r="BF72" s="539">
        <f t="shared" si="31"/>
        <v>2527.6157695725174</v>
      </c>
      <c r="BG72" s="539">
        <f t="shared" si="31"/>
        <v>3963.7340210591155</v>
      </c>
      <c r="BH72" s="539">
        <f t="shared" si="31"/>
        <v>3901.9818208723086</v>
      </c>
      <c r="BI72" s="539">
        <f t="shared" si="31"/>
        <v>3863.3396261250573</v>
      </c>
      <c r="BJ72" s="539">
        <f t="shared" si="31"/>
        <v>3981.7948466400562</v>
      </c>
      <c r="BK72" s="539">
        <f t="shared" si="31"/>
        <v>4041.5037487339391</v>
      </c>
      <c r="BL72" s="539">
        <f t="shared" si="31"/>
        <v>4013.5705589641948</v>
      </c>
      <c r="BM72" s="539">
        <f t="shared" si="31"/>
        <v>3952.9034566736409</v>
      </c>
      <c r="BN72" s="539">
        <f t="shared" si="31"/>
        <v>2097.5193655527028</v>
      </c>
      <c r="BO72" s="539">
        <f t="shared" si="31"/>
        <v>2200.864273878366</v>
      </c>
      <c r="BP72" s="539">
        <f t="shared" si="31"/>
        <v>2098.1063109146212</v>
      </c>
      <c r="BQ72" s="539">
        <f t="shared" si="31"/>
        <v>2037.8164184080592</v>
      </c>
      <c r="BR72" s="539">
        <f t="shared" si="31"/>
        <v>4224.1553525130121</v>
      </c>
      <c r="BS72" s="539">
        <f t="shared" si="31"/>
        <v>4329.7689293072381</v>
      </c>
      <c r="BT72" s="539">
        <f t="shared" si="31"/>
        <v>4419.8055567868232</v>
      </c>
      <c r="BU72" s="539">
        <f t="shared" si="31"/>
        <v>4770.8603254831687</v>
      </c>
      <c r="BV72" s="539">
        <f t="shared" si="31"/>
        <v>4626.1012277867885</v>
      </c>
      <c r="BW72" s="539">
        <f t="shared" si="31"/>
        <v>3945.1397120020174</v>
      </c>
      <c r="BX72" s="539">
        <f t="shared" si="31"/>
        <v>3887.6124417460055</v>
      </c>
      <c r="BY72" s="539">
        <f t="shared" si="31"/>
        <v>3843.3319181364645</v>
      </c>
      <c r="BZ72" s="539">
        <f t="shared" si="31"/>
        <v>3978.3991178064584</v>
      </c>
      <c r="CA72" s="539">
        <f t="shared" si="31"/>
        <v>4211.4281415911701</v>
      </c>
      <c r="CB72" s="539">
        <f t="shared" si="31"/>
        <v>4139.4003880005166</v>
      </c>
      <c r="CC72" s="539">
        <f t="shared" si="31"/>
        <v>3736.011479524982</v>
      </c>
      <c r="CD72" s="539">
        <f t="shared" si="31"/>
        <v>4321.3134548763692</v>
      </c>
      <c r="CE72" s="539">
        <f t="shared" si="31"/>
        <v>4413.9780591819081</v>
      </c>
      <c r="CF72" s="539">
        <f t="shared" si="31"/>
        <v>4368.5578436146661</v>
      </c>
      <c r="CG72" s="539">
        <f t="shared" si="31"/>
        <v>4283.5118246307165</v>
      </c>
      <c r="CH72" s="539">
        <f t="shared" si="31"/>
        <v>2110.5359724491877</v>
      </c>
      <c r="CI72" s="539">
        <f t="shared" si="31"/>
        <v>2204.6023940287428</v>
      </c>
      <c r="CJ72" s="539">
        <f t="shared" si="31"/>
        <v>1870.785150550882</v>
      </c>
      <c r="CK72" s="539">
        <f t="shared" si="31"/>
        <v>1786.9171601948424</v>
      </c>
      <c r="CL72" s="539">
        <f t="shared" si="31"/>
        <v>4628.8303227158403</v>
      </c>
      <c r="CM72" s="539">
        <f t="shared" si="31"/>
        <v>4723.5203653725785</v>
      </c>
      <c r="CN72" s="539">
        <f t="shared" si="31"/>
        <v>4948.935086001231</v>
      </c>
      <c r="CO72" s="539">
        <f t="shared" si="31"/>
        <v>4889.99295027068</v>
      </c>
      <c r="CP72" s="539">
        <f t="shared" si="31"/>
        <v>4408.4942242291327</v>
      </c>
      <c r="CQ72" s="539">
        <f t="shared" si="31"/>
        <v>4454.0921236772019</v>
      </c>
      <c r="CR72" s="539">
        <f t="shared" si="31"/>
        <v>4428.3806644411152</v>
      </c>
      <c r="CS72" s="539">
        <f t="shared" si="31"/>
        <v>4344.7192119229667</v>
      </c>
      <c r="CT72" s="539">
        <f t="shared" si="31"/>
        <v>4410.7908852154824</v>
      </c>
      <c r="CU72" s="539">
        <f t="shared" si="31"/>
        <v>4507.2180043044709</v>
      </c>
      <c r="CV72" s="539">
        <f t="shared" si="31"/>
        <v>4455.6468509356973</v>
      </c>
      <c r="CW72" s="539">
        <f t="shared" si="31"/>
        <v>4372.1040514103006</v>
      </c>
      <c r="CX72" s="539">
        <f t="shared" si="31"/>
        <v>4442.1439989063965</v>
      </c>
      <c r="CY72" s="539">
        <f t="shared" si="31"/>
        <v>4538.8867633803111</v>
      </c>
      <c r="CZ72" s="539">
        <f t="shared" si="31"/>
        <v>9289.0498453167747</v>
      </c>
      <c r="DA72" s="539">
        <f t="shared" si="31"/>
        <v>9243.2109589193478</v>
      </c>
      <c r="DB72" s="539">
        <f t="shared" si="31"/>
        <v>6730.8032201585938</v>
      </c>
      <c r="DC72" s="539">
        <f t="shared" si="31"/>
        <v>6819.6943690281241</v>
      </c>
      <c r="DD72" s="539">
        <f t="shared" si="31"/>
        <v>6814.0398522326241</v>
      </c>
      <c r="DE72" s="539">
        <f t="shared" si="31"/>
        <v>6785.1271000854231</v>
      </c>
      <c r="DF72" s="539">
        <f t="shared" si="31"/>
        <v>10042.297500103878</v>
      </c>
      <c r="DG72" s="539">
        <f t="shared" si="31"/>
        <v>10083.037086594606</v>
      </c>
      <c r="DH72" s="539">
        <f t="shared" si="31"/>
        <v>10103.030440845592</v>
      </c>
      <c r="DI72" s="539">
        <f t="shared" si="31"/>
        <v>10074.710093976457</v>
      </c>
      <c r="DJ72" s="539">
        <f t="shared" si="31"/>
        <v>9531.0000277068248</v>
      </c>
      <c r="DK72" s="539">
        <f t="shared" si="31"/>
        <v>9622.5760692221538</v>
      </c>
      <c r="DL72" s="539">
        <f t="shared" si="31"/>
        <v>9618.4891847043327</v>
      </c>
      <c r="DM72" s="539">
        <f t="shared" si="31"/>
        <v>9590.6249782264968</v>
      </c>
      <c r="DN72" s="539">
        <f t="shared" si="31"/>
        <v>9679.6513243283043</v>
      </c>
      <c r="DO72" s="539">
        <f t="shared" si="31"/>
        <v>9772.3259446832872</v>
      </c>
      <c r="DP72" s="539">
        <f t="shared" si="31"/>
        <v>9768.8299907587207</v>
      </c>
      <c r="DQ72" s="539">
        <f t="shared" si="31"/>
        <v>9741.3091688148925</v>
      </c>
      <c r="DR72" s="539">
        <f t="shared" si="31"/>
        <v>9833.1752700445759</v>
      </c>
      <c r="DS72" s="539">
        <f t="shared" si="31"/>
        <v>9926.8134161951511</v>
      </c>
      <c r="DT72" s="539">
        <f t="shared" si="31"/>
        <v>9923.8082057289866</v>
      </c>
      <c r="DU72" s="539">
        <f t="shared" si="31"/>
        <v>9896.5376166003607</v>
      </c>
      <c r="DV72" s="539">
        <f t="shared" si="31"/>
        <v>10016.918852742816</v>
      </c>
      <c r="DW72" s="539">
        <f t="shared" si="31"/>
        <v>10059.983606963106</v>
      </c>
      <c r="DX72" s="539">
        <f t="shared" si="31"/>
        <v>10083.094712487115</v>
      </c>
      <c r="DY72" s="539">
        <f t="shared" si="31"/>
        <v>10055.997562626802</v>
      </c>
      <c r="DZ72" s="539">
        <f t="shared" si="31"/>
        <v>12150.719351237401</v>
      </c>
      <c r="EA72" s="539">
        <f t="shared" si="31"/>
        <v>14400.981458335427</v>
      </c>
      <c r="EB72" s="539">
        <f t="shared" si="31"/>
        <v>16648.983915654459</v>
      </c>
      <c r="EC72" s="539">
        <f t="shared" si="31"/>
        <v>19599.446855546739</v>
      </c>
      <c r="ED72" s="539">
        <f t="shared" si="31"/>
        <v>2308.4176722004668</v>
      </c>
      <c r="EE72" s="539">
        <f t="shared" si="31"/>
        <v>4.0745362639427185E-10</v>
      </c>
      <c r="EF72" s="539">
        <f t="shared" si="31"/>
        <v>4.0745362639427185E-10</v>
      </c>
      <c r="EG72" s="539">
        <f t="shared" si="31"/>
        <v>4.0745362639427185E-10</v>
      </c>
    </row>
    <row r="74" spans="5:137" ht="12.75">
      <c r="E74" s="538" t="str">
        <f>E$86</f>
        <v>Share capital - closing balance</v>
      </c>
      <c r="G74" s="539" t="str">
        <f>G$86</f>
        <v>EUR 000s</v>
      </c>
      <c r="H74" s="539">
        <f>H$86</f>
        <v>1651899.8369596973</v>
      </c>
      <c r="J74" s="539">
        <f t="shared" si="32" ref="J74:EG74">J$86</f>
        <v>0</v>
      </c>
      <c r="K74" s="539">
        <f t="shared" si="32"/>
        <v>0</v>
      </c>
      <c r="L74" s="539">
        <f t="shared" si="32"/>
        <v>2263.8599437331595</v>
      </c>
      <c r="M74" s="539">
        <f t="shared" si="32"/>
        <v>4943.9979761298655</v>
      </c>
      <c r="N74" s="539">
        <f t="shared" si="32"/>
        <v>7692.2947221635395</v>
      </c>
      <c r="O74" s="539">
        <f t="shared" si="32"/>
        <v>10375.971768258876</v>
      </c>
      <c r="P74" s="539">
        <f t="shared" si="32"/>
        <v>13127.925495114469</v>
      </c>
      <c r="Q74" s="539">
        <f t="shared" si="32"/>
        <v>13909.446440123251</v>
      </c>
      <c r="R74" s="539">
        <f t="shared" si="32"/>
        <v>13909.446440123251</v>
      </c>
      <c r="S74" s="539">
        <f t="shared" si="32"/>
        <v>13909.446440123251</v>
      </c>
      <c r="T74" s="539">
        <f t="shared" si="32"/>
        <v>13909.446440123251</v>
      </c>
      <c r="U74" s="539">
        <f t="shared" si="32"/>
        <v>13909.446440123251</v>
      </c>
      <c r="V74" s="539">
        <f t="shared" si="32"/>
        <v>13909.446440123251</v>
      </c>
      <c r="W74" s="539">
        <f t="shared" si="32"/>
        <v>13909.446440123251</v>
      </c>
      <c r="X74" s="539">
        <f t="shared" si="32"/>
        <v>13909.446440123251</v>
      </c>
      <c r="Y74" s="539">
        <f t="shared" si="32"/>
        <v>13909.446440123251</v>
      </c>
      <c r="Z74" s="539">
        <f t="shared" si="32"/>
        <v>13909.446440123251</v>
      </c>
      <c r="AA74" s="539">
        <f t="shared" si="32"/>
        <v>13909.446440123251</v>
      </c>
      <c r="AB74" s="539">
        <f t="shared" si="32"/>
        <v>13909.446440123251</v>
      </c>
      <c r="AC74" s="539">
        <f t="shared" si="32"/>
        <v>13909.446440123251</v>
      </c>
      <c r="AD74" s="539">
        <f t="shared" si="32"/>
        <v>13909.446440123251</v>
      </c>
      <c r="AE74" s="539">
        <f t="shared" si="32"/>
        <v>13909.446440123251</v>
      </c>
      <c r="AF74" s="539">
        <f t="shared" si="32"/>
        <v>13909.446440123251</v>
      </c>
      <c r="AG74" s="539">
        <f t="shared" si="32"/>
        <v>13909.446440123251</v>
      </c>
      <c r="AH74" s="539">
        <f t="shared" si="32"/>
        <v>13909.446440123251</v>
      </c>
      <c r="AI74" s="539">
        <f t="shared" si="32"/>
        <v>13909.446440123251</v>
      </c>
      <c r="AJ74" s="539">
        <f t="shared" si="32"/>
        <v>13909.446440123251</v>
      </c>
      <c r="AK74" s="539">
        <f t="shared" si="32"/>
        <v>13909.446440123251</v>
      </c>
      <c r="AL74" s="539">
        <f t="shared" si="32"/>
        <v>13909.446440123251</v>
      </c>
      <c r="AM74" s="539">
        <f t="shared" si="32"/>
        <v>13909.446440123251</v>
      </c>
      <c r="AN74" s="539">
        <f t="shared" si="32"/>
        <v>13909.446440123251</v>
      </c>
      <c r="AO74" s="539">
        <f t="shared" si="32"/>
        <v>13909.446440123251</v>
      </c>
      <c r="AP74" s="539">
        <f t="shared" si="32"/>
        <v>13909.446440123251</v>
      </c>
      <c r="AQ74" s="539">
        <f t="shared" si="32"/>
        <v>13909.446440123251</v>
      </c>
      <c r="AR74" s="539">
        <f t="shared" si="32"/>
        <v>13909.446440123251</v>
      </c>
      <c r="AS74" s="539">
        <f t="shared" si="32"/>
        <v>13909.446440123251</v>
      </c>
      <c r="AT74" s="539">
        <f t="shared" si="32"/>
        <v>13909.446440123251</v>
      </c>
      <c r="AU74" s="539">
        <f t="shared" si="32"/>
        <v>13909.446440123251</v>
      </c>
      <c r="AV74" s="539">
        <f t="shared" si="32"/>
        <v>13909.446440123251</v>
      </c>
      <c r="AW74" s="539">
        <f t="shared" si="32"/>
        <v>13909.446440123251</v>
      </c>
      <c r="AX74" s="539">
        <f t="shared" si="32"/>
        <v>13909.446440123251</v>
      </c>
      <c r="AY74" s="539">
        <f t="shared" si="32"/>
        <v>13909.446440123251</v>
      </c>
      <c r="AZ74" s="539">
        <f t="shared" si="32"/>
        <v>13909.446440123251</v>
      </c>
      <c r="BA74" s="539">
        <f t="shared" si="32"/>
        <v>13909.446440123251</v>
      </c>
      <c r="BB74" s="539">
        <f t="shared" si="32"/>
        <v>13909.446440123251</v>
      </c>
      <c r="BC74" s="539">
        <f t="shared" si="32"/>
        <v>13909.446440123251</v>
      </c>
      <c r="BD74" s="539">
        <f t="shared" si="32"/>
        <v>13909.446440123251</v>
      </c>
      <c r="BE74" s="539">
        <f t="shared" si="32"/>
        <v>13909.446440123251</v>
      </c>
      <c r="BF74" s="539">
        <f t="shared" si="32"/>
        <v>13909.446440123251</v>
      </c>
      <c r="BG74" s="539">
        <f t="shared" si="32"/>
        <v>13909.446440123251</v>
      </c>
      <c r="BH74" s="539">
        <f t="shared" si="32"/>
        <v>13909.446440123251</v>
      </c>
      <c r="BI74" s="539">
        <f t="shared" si="32"/>
        <v>13909.446440123251</v>
      </c>
      <c r="BJ74" s="539">
        <f t="shared" si="32"/>
        <v>13909.446440123251</v>
      </c>
      <c r="BK74" s="539">
        <f t="shared" si="32"/>
        <v>13909.446440123251</v>
      </c>
      <c r="BL74" s="539">
        <f t="shared" si="32"/>
        <v>13909.446440123251</v>
      </c>
      <c r="BM74" s="539">
        <f t="shared" si="32"/>
        <v>13909.446440123251</v>
      </c>
      <c r="BN74" s="539">
        <f t="shared" si="32"/>
        <v>13909.446440123251</v>
      </c>
      <c r="BO74" s="539">
        <f t="shared" si="32"/>
        <v>13909.446440123251</v>
      </c>
      <c r="BP74" s="539">
        <f t="shared" si="32"/>
        <v>13909.446440123251</v>
      </c>
      <c r="BQ74" s="539">
        <f t="shared" si="32"/>
        <v>13909.446440123251</v>
      </c>
      <c r="BR74" s="539">
        <f t="shared" si="32"/>
        <v>13909.446440123251</v>
      </c>
      <c r="BS74" s="539">
        <f t="shared" si="32"/>
        <v>13909.446440123251</v>
      </c>
      <c r="BT74" s="539">
        <f t="shared" si="32"/>
        <v>13909.446440123251</v>
      </c>
      <c r="BU74" s="539">
        <f t="shared" si="32"/>
        <v>13909.446440123251</v>
      </c>
      <c r="BV74" s="539">
        <f t="shared" si="32"/>
        <v>13909.446440123251</v>
      </c>
      <c r="BW74" s="539">
        <f t="shared" si="32"/>
        <v>13909.446440123251</v>
      </c>
      <c r="BX74" s="539">
        <f t="shared" si="32"/>
        <v>13909.446440123251</v>
      </c>
      <c r="BY74" s="539">
        <f t="shared" si="32"/>
        <v>13909.446440123251</v>
      </c>
      <c r="BZ74" s="539">
        <f t="shared" si="32"/>
        <v>13909.446440123251</v>
      </c>
      <c r="CA74" s="539">
        <f t="shared" si="32"/>
        <v>13909.446440123251</v>
      </c>
      <c r="CB74" s="539">
        <f t="shared" si="32"/>
        <v>13909.446440123251</v>
      </c>
      <c r="CC74" s="539">
        <f t="shared" si="32"/>
        <v>13909.446440123251</v>
      </c>
      <c r="CD74" s="539">
        <f t="shared" si="32"/>
        <v>13909.446440123251</v>
      </c>
      <c r="CE74" s="539">
        <f t="shared" si="32"/>
        <v>13909.446440123251</v>
      </c>
      <c r="CF74" s="539">
        <f t="shared" si="32"/>
        <v>13909.446440123251</v>
      </c>
      <c r="CG74" s="539">
        <f t="shared" si="32"/>
        <v>13909.446440123251</v>
      </c>
      <c r="CH74" s="539">
        <f t="shared" si="32"/>
        <v>13909.446440123251</v>
      </c>
      <c r="CI74" s="539">
        <f t="shared" si="32"/>
        <v>13909.446440123251</v>
      </c>
      <c r="CJ74" s="539">
        <f t="shared" si="32"/>
        <v>13909.446440123251</v>
      </c>
      <c r="CK74" s="539">
        <f t="shared" si="32"/>
        <v>13909.446440123251</v>
      </c>
      <c r="CL74" s="539">
        <f t="shared" si="32"/>
        <v>13909.446440123251</v>
      </c>
      <c r="CM74" s="539">
        <f t="shared" si="32"/>
        <v>13909.446440123251</v>
      </c>
      <c r="CN74" s="539">
        <f t="shared" si="32"/>
        <v>13909.446440123251</v>
      </c>
      <c r="CO74" s="539">
        <f t="shared" si="32"/>
        <v>13909.446440123251</v>
      </c>
      <c r="CP74" s="539">
        <f t="shared" si="32"/>
        <v>13909.446440123251</v>
      </c>
      <c r="CQ74" s="539">
        <f t="shared" si="32"/>
        <v>13909.446440123251</v>
      </c>
      <c r="CR74" s="539">
        <f t="shared" si="32"/>
        <v>13909.446440123251</v>
      </c>
      <c r="CS74" s="539">
        <f t="shared" si="32"/>
        <v>13909.446440123251</v>
      </c>
      <c r="CT74" s="539">
        <f t="shared" si="32"/>
        <v>13909.446440123251</v>
      </c>
      <c r="CU74" s="539">
        <f t="shared" si="32"/>
        <v>13909.446440123251</v>
      </c>
      <c r="CV74" s="539">
        <f t="shared" si="32"/>
        <v>13909.446440123251</v>
      </c>
      <c r="CW74" s="539">
        <f t="shared" si="32"/>
        <v>13909.446440123251</v>
      </c>
      <c r="CX74" s="539">
        <f t="shared" si="32"/>
        <v>13909.446440123251</v>
      </c>
      <c r="CY74" s="539">
        <f t="shared" si="32"/>
        <v>13909.446440123251</v>
      </c>
      <c r="CZ74" s="539">
        <f t="shared" si="32"/>
        <v>13909.446440123251</v>
      </c>
      <c r="DA74" s="539">
        <f t="shared" si="32"/>
        <v>13909.446440123251</v>
      </c>
      <c r="DB74" s="539">
        <f t="shared" si="32"/>
        <v>13909.446440123251</v>
      </c>
      <c r="DC74" s="539">
        <f t="shared" si="32"/>
        <v>13909.446440123251</v>
      </c>
      <c r="DD74" s="539">
        <f t="shared" si="32"/>
        <v>13909.446440123251</v>
      </c>
      <c r="DE74" s="539">
        <f t="shared" si="32"/>
        <v>13909.446440123251</v>
      </c>
      <c r="DF74" s="539">
        <f t="shared" si="32"/>
        <v>13909.446440123251</v>
      </c>
      <c r="DG74" s="539">
        <f t="shared" si="32"/>
        <v>13909.446440123251</v>
      </c>
      <c r="DH74" s="539">
        <f t="shared" si="32"/>
        <v>13909.446440123251</v>
      </c>
      <c r="DI74" s="539">
        <f t="shared" si="32"/>
        <v>13909.446440123251</v>
      </c>
      <c r="DJ74" s="539">
        <f t="shared" si="32"/>
        <v>13909.446440123251</v>
      </c>
      <c r="DK74" s="539">
        <f t="shared" si="32"/>
        <v>13909.446440123251</v>
      </c>
      <c r="DL74" s="539">
        <f t="shared" si="32"/>
        <v>13909.446440123251</v>
      </c>
      <c r="DM74" s="539">
        <f t="shared" si="32"/>
        <v>13909.446440123251</v>
      </c>
      <c r="DN74" s="539">
        <f t="shared" si="32"/>
        <v>13909.446440123251</v>
      </c>
      <c r="DO74" s="539">
        <f t="shared" si="32"/>
        <v>13909.446440123251</v>
      </c>
      <c r="DP74" s="539">
        <f t="shared" si="32"/>
        <v>13909.446440123251</v>
      </c>
      <c r="DQ74" s="539">
        <f t="shared" si="32"/>
        <v>13909.446440123251</v>
      </c>
      <c r="DR74" s="539">
        <f t="shared" si="32"/>
        <v>13909.446440123251</v>
      </c>
      <c r="DS74" s="539">
        <f t="shared" si="32"/>
        <v>13909.446440123251</v>
      </c>
      <c r="DT74" s="539">
        <f t="shared" si="32"/>
        <v>13909.446440123251</v>
      </c>
      <c r="DU74" s="539">
        <f t="shared" si="32"/>
        <v>13909.446440123251</v>
      </c>
      <c r="DV74" s="539">
        <f t="shared" si="32"/>
        <v>13909.446440123251</v>
      </c>
      <c r="DW74" s="539">
        <f t="shared" si="32"/>
        <v>13909.446440123251</v>
      </c>
      <c r="DX74" s="539">
        <f t="shared" si="32"/>
        <v>13909.446440123251</v>
      </c>
      <c r="DY74" s="539">
        <f t="shared" si="32"/>
        <v>13909.446440123251</v>
      </c>
      <c r="DZ74" s="539">
        <f t="shared" si="32"/>
        <v>13909.446440123251</v>
      </c>
      <c r="EA74" s="539">
        <f t="shared" si="32"/>
        <v>13909.446440123251</v>
      </c>
      <c r="EB74" s="539">
        <f t="shared" si="32"/>
        <v>13909.446440123251</v>
      </c>
      <c r="EC74" s="539">
        <f t="shared" si="32"/>
        <v>0</v>
      </c>
      <c r="ED74" s="539">
        <f t="shared" si="32"/>
        <v>0</v>
      </c>
      <c r="EE74" s="539">
        <f t="shared" si="32"/>
        <v>0</v>
      </c>
      <c r="EF74" s="539">
        <f t="shared" si="32"/>
        <v>0</v>
      </c>
      <c r="EG74" s="539">
        <f t="shared" si="32"/>
        <v>0</v>
      </c>
    </row>
    <row r="75" spans="5:137" ht="12.75">
      <c r="E75" s="538" t="s">
        <v>480</v>
      </c>
      <c r="G75" s="539" t="s">
        <v>30</v>
      </c>
      <c r="H75" s="539">
        <f>SUM(J75:EG75)</f>
        <v>1651899.8369596973</v>
      </c>
      <c r="J75" s="539">
        <f t="shared" si="33" ref="J75:EG75">I74</f>
        <v>0</v>
      </c>
      <c r="K75" s="539">
        <f t="shared" si="33"/>
        <v>0</v>
      </c>
      <c r="L75" s="539">
        <f t="shared" si="33"/>
        <v>0</v>
      </c>
      <c r="M75" s="539">
        <f t="shared" si="33"/>
        <v>2263.8599437331595</v>
      </c>
      <c r="N75" s="539">
        <f t="shared" si="33"/>
        <v>4943.9979761298655</v>
      </c>
      <c r="O75" s="539">
        <f t="shared" si="33"/>
        <v>7692.2947221635395</v>
      </c>
      <c r="P75" s="539">
        <f t="shared" si="33"/>
        <v>10375.971768258876</v>
      </c>
      <c r="Q75" s="539">
        <f t="shared" si="33"/>
        <v>13127.925495114469</v>
      </c>
      <c r="R75" s="539">
        <f t="shared" si="33"/>
        <v>13909.446440123251</v>
      </c>
      <c r="S75" s="539">
        <f t="shared" si="33"/>
        <v>13909.446440123251</v>
      </c>
      <c r="T75" s="539">
        <f t="shared" si="33"/>
        <v>13909.446440123251</v>
      </c>
      <c r="U75" s="539">
        <f t="shared" si="33"/>
        <v>13909.446440123251</v>
      </c>
      <c r="V75" s="539">
        <f t="shared" si="33"/>
        <v>13909.446440123251</v>
      </c>
      <c r="W75" s="539">
        <f t="shared" si="33"/>
        <v>13909.446440123251</v>
      </c>
      <c r="X75" s="539">
        <f t="shared" si="33"/>
        <v>13909.446440123251</v>
      </c>
      <c r="Y75" s="539">
        <f t="shared" si="33"/>
        <v>13909.446440123251</v>
      </c>
      <c r="Z75" s="539">
        <f t="shared" si="33"/>
        <v>13909.446440123251</v>
      </c>
      <c r="AA75" s="539">
        <f t="shared" si="33"/>
        <v>13909.446440123251</v>
      </c>
      <c r="AB75" s="539">
        <f t="shared" si="33"/>
        <v>13909.446440123251</v>
      </c>
      <c r="AC75" s="539">
        <f t="shared" si="33"/>
        <v>13909.446440123251</v>
      </c>
      <c r="AD75" s="539">
        <f t="shared" si="33"/>
        <v>13909.446440123251</v>
      </c>
      <c r="AE75" s="539">
        <f t="shared" si="33"/>
        <v>13909.446440123251</v>
      </c>
      <c r="AF75" s="539">
        <f t="shared" si="33"/>
        <v>13909.446440123251</v>
      </c>
      <c r="AG75" s="539">
        <f t="shared" si="33"/>
        <v>13909.446440123251</v>
      </c>
      <c r="AH75" s="539">
        <f t="shared" si="33"/>
        <v>13909.446440123251</v>
      </c>
      <c r="AI75" s="539">
        <f t="shared" si="33"/>
        <v>13909.446440123251</v>
      </c>
      <c r="AJ75" s="539">
        <f t="shared" si="33"/>
        <v>13909.446440123251</v>
      </c>
      <c r="AK75" s="539">
        <f t="shared" si="33"/>
        <v>13909.446440123251</v>
      </c>
      <c r="AL75" s="539">
        <f t="shared" si="33"/>
        <v>13909.446440123251</v>
      </c>
      <c r="AM75" s="539">
        <f t="shared" si="33"/>
        <v>13909.446440123251</v>
      </c>
      <c r="AN75" s="539">
        <f t="shared" si="33"/>
        <v>13909.446440123251</v>
      </c>
      <c r="AO75" s="539">
        <f t="shared" si="33"/>
        <v>13909.446440123251</v>
      </c>
      <c r="AP75" s="539">
        <f t="shared" si="33"/>
        <v>13909.446440123251</v>
      </c>
      <c r="AQ75" s="539">
        <f t="shared" si="33"/>
        <v>13909.446440123251</v>
      </c>
      <c r="AR75" s="539">
        <f t="shared" si="33"/>
        <v>13909.446440123251</v>
      </c>
      <c r="AS75" s="539">
        <f t="shared" si="33"/>
        <v>13909.446440123251</v>
      </c>
      <c r="AT75" s="539">
        <f t="shared" si="33"/>
        <v>13909.446440123251</v>
      </c>
      <c r="AU75" s="539">
        <f t="shared" si="33"/>
        <v>13909.446440123251</v>
      </c>
      <c r="AV75" s="539">
        <f t="shared" si="33"/>
        <v>13909.446440123251</v>
      </c>
      <c r="AW75" s="539">
        <f t="shared" si="33"/>
        <v>13909.446440123251</v>
      </c>
      <c r="AX75" s="539">
        <f t="shared" si="33"/>
        <v>13909.446440123251</v>
      </c>
      <c r="AY75" s="539">
        <f t="shared" si="33"/>
        <v>13909.446440123251</v>
      </c>
      <c r="AZ75" s="539">
        <f t="shared" si="33"/>
        <v>13909.446440123251</v>
      </c>
      <c r="BA75" s="539">
        <f t="shared" si="33"/>
        <v>13909.446440123251</v>
      </c>
      <c r="BB75" s="539">
        <f t="shared" si="33"/>
        <v>13909.446440123251</v>
      </c>
      <c r="BC75" s="539">
        <f t="shared" si="33"/>
        <v>13909.446440123251</v>
      </c>
      <c r="BD75" s="539">
        <f t="shared" si="33"/>
        <v>13909.446440123251</v>
      </c>
      <c r="BE75" s="539">
        <f t="shared" si="33"/>
        <v>13909.446440123251</v>
      </c>
      <c r="BF75" s="539">
        <f t="shared" si="33"/>
        <v>13909.446440123251</v>
      </c>
      <c r="BG75" s="539">
        <f t="shared" si="33"/>
        <v>13909.446440123251</v>
      </c>
      <c r="BH75" s="539">
        <f t="shared" si="33"/>
        <v>13909.446440123251</v>
      </c>
      <c r="BI75" s="539">
        <f t="shared" si="33"/>
        <v>13909.446440123251</v>
      </c>
      <c r="BJ75" s="539">
        <f t="shared" si="33"/>
        <v>13909.446440123251</v>
      </c>
      <c r="BK75" s="539">
        <f t="shared" si="33"/>
        <v>13909.446440123251</v>
      </c>
      <c r="BL75" s="539">
        <f t="shared" si="33"/>
        <v>13909.446440123251</v>
      </c>
      <c r="BM75" s="539">
        <f t="shared" si="33"/>
        <v>13909.446440123251</v>
      </c>
      <c r="BN75" s="539">
        <f t="shared" si="33"/>
        <v>13909.446440123251</v>
      </c>
      <c r="BO75" s="539">
        <f t="shared" si="33"/>
        <v>13909.446440123251</v>
      </c>
      <c r="BP75" s="539">
        <f t="shared" si="33"/>
        <v>13909.446440123251</v>
      </c>
      <c r="BQ75" s="539">
        <f t="shared" si="33"/>
        <v>13909.446440123251</v>
      </c>
      <c r="BR75" s="539">
        <f t="shared" si="33"/>
        <v>13909.446440123251</v>
      </c>
      <c r="BS75" s="539">
        <f t="shared" si="33"/>
        <v>13909.446440123251</v>
      </c>
      <c r="BT75" s="539">
        <f t="shared" si="33"/>
        <v>13909.446440123251</v>
      </c>
      <c r="BU75" s="539">
        <f t="shared" si="33"/>
        <v>13909.446440123251</v>
      </c>
      <c r="BV75" s="539">
        <f t="shared" si="33"/>
        <v>13909.446440123251</v>
      </c>
      <c r="BW75" s="539">
        <f t="shared" si="33"/>
        <v>13909.446440123251</v>
      </c>
      <c r="BX75" s="539">
        <f t="shared" si="33"/>
        <v>13909.446440123251</v>
      </c>
      <c r="BY75" s="539">
        <f t="shared" si="33"/>
        <v>13909.446440123251</v>
      </c>
      <c r="BZ75" s="539">
        <f t="shared" si="33"/>
        <v>13909.446440123251</v>
      </c>
      <c r="CA75" s="539">
        <f t="shared" si="33"/>
        <v>13909.446440123251</v>
      </c>
      <c r="CB75" s="539">
        <f t="shared" si="33"/>
        <v>13909.446440123251</v>
      </c>
      <c r="CC75" s="539">
        <f t="shared" si="33"/>
        <v>13909.446440123251</v>
      </c>
      <c r="CD75" s="539">
        <f t="shared" si="33"/>
        <v>13909.446440123251</v>
      </c>
      <c r="CE75" s="539">
        <f t="shared" si="33"/>
        <v>13909.446440123251</v>
      </c>
      <c r="CF75" s="539">
        <f t="shared" si="33"/>
        <v>13909.446440123251</v>
      </c>
      <c r="CG75" s="539">
        <f t="shared" si="33"/>
        <v>13909.446440123251</v>
      </c>
      <c r="CH75" s="539">
        <f t="shared" si="33"/>
        <v>13909.446440123251</v>
      </c>
      <c r="CI75" s="539">
        <f t="shared" si="33"/>
        <v>13909.446440123251</v>
      </c>
      <c r="CJ75" s="539">
        <f t="shared" si="33"/>
        <v>13909.446440123251</v>
      </c>
      <c r="CK75" s="539">
        <f t="shared" si="33"/>
        <v>13909.446440123251</v>
      </c>
      <c r="CL75" s="539">
        <f t="shared" si="33"/>
        <v>13909.446440123251</v>
      </c>
      <c r="CM75" s="539">
        <f t="shared" si="33"/>
        <v>13909.446440123251</v>
      </c>
      <c r="CN75" s="539">
        <f t="shared" si="33"/>
        <v>13909.446440123251</v>
      </c>
      <c r="CO75" s="539">
        <f t="shared" si="33"/>
        <v>13909.446440123251</v>
      </c>
      <c r="CP75" s="539">
        <f t="shared" si="33"/>
        <v>13909.446440123251</v>
      </c>
      <c r="CQ75" s="539">
        <f t="shared" si="33"/>
        <v>13909.446440123251</v>
      </c>
      <c r="CR75" s="539">
        <f t="shared" si="33"/>
        <v>13909.446440123251</v>
      </c>
      <c r="CS75" s="539">
        <f t="shared" si="33"/>
        <v>13909.446440123251</v>
      </c>
      <c r="CT75" s="539">
        <f t="shared" si="33"/>
        <v>13909.446440123251</v>
      </c>
      <c r="CU75" s="539">
        <f t="shared" si="33"/>
        <v>13909.446440123251</v>
      </c>
      <c r="CV75" s="539">
        <f t="shared" si="33"/>
        <v>13909.446440123251</v>
      </c>
      <c r="CW75" s="539">
        <f t="shared" si="33"/>
        <v>13909.446440123251</v>
      </c>
      <c r="CX75" s="539">
        <f t="shared" si="33"/>
        <v>13909.446440123251</v>
      </c>
      <c r="CY75" s="539">
        <f t="shared" si="33"/>
        <v>13909.446440123251</v>
      </c>
      <c r="CZ75" s="539">
        <f t="shared" si="33"/>
        <v>13909.446440123251</v>
      </c>
      <c r="DA75" s="539">
        <f t="shared" si="33"/>
        <v>13909.446440123251</v>
      </c>
      <c r="DB75" s="539">
        <f t="shared" si="33"/>
        <v>13909.446440123251</v>
      </c>
      <c r="DC75" s="539">
        <f t="shared" si="33"/>
        <v>13909.446440123251</v>
      </c>
      <c r="DD75" s="539">
        <f t="shared" si="33"/>
        <v>13909.446440123251</v>
      </c>
      <c r="DE75" s="539">
        <f t="shared" si="33"/>
        <v>13909.446440123251</v>
      </c>
      <c r="DF75" s="539">
        <f t="shared" si="33"/>
        <v>13909.446440123251</v>
      </c>
      <c r="DG75" s="539">
        <f t="shared" si="33"/>
        <v>13909.446440123251</v>
      </c>
      <c r="DH75" s="539">
        <f t="shared" si="33"/>
        <v>13909.446440123251</v>
      </c>
      <c r="DI75" s="539">
        <f t="shared" si="33"/>
        <v>13909.446440123251</v>
      </c>
      <c r="DJ75" s="539">
        <f t="shared" si="33"/>
        <v>13909.446440123251</v>
      </c>
      <c r="DK75" s="539">
        <f t="shared" si="33"/>
        <v>13909.446440123251</v>
      </c>
      <c r="DL75" s="539">
        <f t="shared" si="33"/>
        <v>13909.446440123251</v>
      </c>
      <c r="DM75" s="539">
        <f t="shared" si="33"/>
        <v>13909.446440123251</v>
      </c>
      <c r="DN75" s="539">
        <f t="shared" si="33"/>
        <v>13909.446440123251</v>
      </c>
      <c r="DO75" s="539">
        <f t="shared" si="33"/>
        <v>13909.446440123251</v>
      </c>
      <c r="DP75" s="539">
        <f t="shared" si="33"/>
        <v>13909.446440123251</v>
      </c>
      <c r="DQ75" s="539">
        <f t="shared" si="33"/>
        <v>13909.446440123251</v>
      </c>
      <c r="DR75" s="539">
        <f t="shared" si="33"/>
        <v>13909.446440123251</v>
      </c>
      <c r="DS75" s="539">
        <f t="shared" si="33"/>
        <v>13909.446440123251</v>
      </c>
      <c r="DT75" s="539">
        <f t="shared" si="33"/>
        <v>13909.446440123251</v>
      </c>
      <c r="DU75" s="539">
        <f t="shared" si="33"/>
        <v>13909.446440123251</v>
      </c>
      <c r="DV75" s="539">
        <f t="shared" si="33"/>
        <v>13909.446440123251</v>
      </c>
      <c r="DW75" s="539">
        <f t="shared" si="33"/>
        <v>13909.446440123251</v>
      </c>
      <c r="DX75" s="539">
        <f t="shared" si="33"/>
        <v>13909.446440123251</v>
      </c>
      <c r="DY75" s="539">
        <f t="shared" si="33"/>
        <v>13909.446440123251</v>
      </c>
      <c r="DZ75" s="539">
        <f t="shared" si="33"/>
        <v>13909.446440123251</v>
      </c>
      <c r="EA75" s="539">
        <f t="shared" si="33"/>
        <v>13909.446440123251</v>
      </c>
      <c r="EB75" s="539">
        <f t="shared" si="33"/>
        <v>13909.446440123251</v>
      </c>
      <c r="EC75" s="539">
        <f t="shared" si="33"/>
        <v>13909.446440123251</v>
      </c>
      <c r="ED75" s="539">
        <f t="shared" si="33"/>
        <v>0</v>
      </c>
      <c r="EE75" s="539">
        <f t="shared" si="33"/>
        <v>0</v>
      </c>
      <c r="EF75" s="539">
        <f t="shared" si="33"/>
        <v>0</v>
      </c>
      <c r="EG75" s="539">
        <f t="shared" si="33"/>
        <v>0</v>
      </c>
    </row>
    <row r="77" spans="5:7" ht="12.75">
      <c r="E77" s="535" t="str">
        <f>Time!E$82</f>
        <v>End of operating period</v>
      </c>
      <c r="F77" s="536">
        <f>Time!F$82</f>
        <v>56249</v>
      </c>
      <c r="G77" s="536" t="str">
        <f>Time!G$82</f>
        <v>date</v>
      </c>
    </row>
    <row r="78" spans="5:137" ht="12.75">
      <c r="E78" s="535" t="str">
        <f>Time!E$50</f>
        <v>Model period ending</v>
      </c>
      <c r="G78" s="536" t="str">
        <f>Time!G$50</f>
        <v>date</v>
      </c>
      <c r="J78" s="536">
        <f>Time!J$50</f>
        <v>46418</v>
      </c>
      <c r="K78" s="536">
        <f>Time!K$50</f>
        <v>46446</v>
      </c>
      <c r="L78" s="536">
        <f>Time!L$50</f>
        <v>46477</v>
      </c>
      <c r="M78" s="536">
        <f>Time!M$50</f>
        <v>46507</v>
      </c>
      <c r="N78" s="536">
        <f>Time!N$50</f>
        <v>46538</v>
      </c>
      <c r="O78" s="536">
        <f>Time!O$50</f>
        <v>46568</v>
      </c>
      <c r="P78" s="536">
        <f>Time!P$50</f>
        <v>46599</v>
      </c>
      <c r="Q78" s="536">
        <f>Time!Q$50</f>
        <v>46630</v>
      </c>
      <c r="R78" s="536">
        <f>Time!R$50</f>
        <v>46660</v>
      </c>
      <c r="S78" s="536">
        <f>Time!S$50</f>
        <v>46691</v>
      </c>
      <c r="T78" s="536">
        <f>Time!T$50</f>
        <v>46721</v>
      </c>
      <c r="U78" s="536">
        <f>Time!U$50</f>
        <v>46752</v>
      </c>
      <c r="V78" s="536">
        <f>Time!V$50</f>
        <v>46783</v>
      </c>
      <c r="W78" s="536">
        <f>Time!W$50</f>
        <v>46812</v>
      </c>
      <c r="X78" s="536">
        <f>Time!X$50</f>
        <v>46843</v>
      </c>
      <c r="Y78" s="536">
        <f>Time!Y$50</f>
        <v>46873</v>
      </c>
      <c r="Z78" s="536">
        <f>Time!Z$50</f>
        <v>46904</v>
      </c>
      <c r="AA78" s="536">
        <f>Time!AA$50</f>
        <v>46934</v>
      </c>
      <c r="AB78" s="536">
        <f>Time!AB$50</f>
        <v>46965</v>
      </c>
      <c r="AC78" s="536">
        <f>Time!AC$50</f>
        <v>46996</v>
      </c>
      <c r="AD78" s="536">
        <f>Time!AD$50</f>
        <v>47026</v>
      </c>
      <c r="AE78" s="536">
        <f>Time!AE$50</f>
        <v>47057</v>
      </c>
      <c r="AF78" s="536">
        <f>Time!AF$50</f>
        <v>47087</v>
      </c>
      <c r="AG78" s="536">
        <f>Time!AG$50</f>
        <v>47118</v>
      </c>
      <c r="AH78" s="536">
        <f>Time!AH$50</f>
        <v>47208</v>
      </c>
      <c r="AI78" s="536">
        <f>Time!AI$50</f>
        <v>47299</v>
      </c>
      <c r="AJ78" s="536">
        <f>Time!AJ$50</f>
        <v>47391</v>
      </c>
      <c r="AK78" s="536">
        <f>Time!AK$50</f>
        <v>47483</v>
      </c>
      <c r="AL78" s="536">
        <f>Time!AL$50</f>
        <v>47573</v>
      </c>
      <c r="AM78" s="536">
        <f>Time!AM$50</f>
        <v>47664</v>
      </c>
      <c r="AN78" s="536">
        <f>Time!AN$50</f>
        <v>47756</v>
      </c>
      <c r="AO78" s="536">
        <f>Time!AO$50</f>
        <v>47848</v>
      </c>
      <c r="AP78" s="536">
        <f>Time!AP$50</f>
        <v>47938</v>
      </c>
      <c r="AQ78" s="536">
        <f>Time!AQ$50</f>
        <v>48029</v>
      </c>
      <c r="AR78" s="536">
        <f>Time!AR$50</f>
        <v>48121</v>
      </c>
      <c r="AS78" s="536">
        <f>Time!AS$50</f>
        <v>48213</v>
      </c>
      <c r="AT78" s="536">
        <f>Time!AT$50</f>
        <v>48304</v>
      </c>
      <c r="AU78" s="536">
        <f>Time!AU$50</f>
        <v>48395</v>
      </c>
      <c r="AV78" s="536">
        <f>Time!AV$50</f>
        <v>48487</v>
      </c>
      <c r="AW78" s="536">
        <f>Time!AW$50</f>
        <v>48579</v>
      </c>
      <c r="AX78" s="536">
        <f>Time!AX$50</f>
        <v>48669</v>
      </c>
      <c r="AY78" s="536">
        <f>Time!AY$50</f>
        <v>48760</v>
      </c>
      <c r="AZ78" s="536">
        <f>Time!AZ$50</f>
        <v>48852</v>
      </c>
      <c r="BA78" s="536">
        <f>Time!BA$50</f>
        <v>48944</v>
      </c>
      <c r="BB78" s="536">
        <f>Time!BB$50</f>
        <v>49034</v>
      </c>
      <c r="BC78" s="536">
        <f>Time!BC$50</f>
        <v>49125</v>
      </c>
      <c r="BD78" s="536">
        <f>Time!BD$50</f>
        <v>49217</v>
      </c>
      <c r="BE78" s="536">
        <f>Time!BE$50</f>
        <v>49309</v>
      </c>
      <c r="BF78" s="536">
        <f>Time!BF$50</f>
        <v>49399</v>
      </c>
      <c r="BG78" s="536">
        <f>Time!BG$50</f>
        <v>49490</v>
      </c>
      <c r="BH78" s="536">
        <f>Time!BH$50</f>
        <v>49582</v>
      </c>
      <c r="BI78" s="536">
        <f>Time!BI$50</f>
        <v>49674</v>
      </c>
      <c r="BJ78" s="536">
        <f>Time!BJ$50</f>
        <v>49765</v>
      </c>
      <c r="BK78" s="536">
        <f>Time!BK$50</f>
        <v>49856</v>
      </c>
      <c r="BL78" s="536">
        <f>Time!BL$50</f>
        <v>49948</v>
      </c>
      <c r="BM78" s="536">
        <f>Time!BM$50</f>
        <v>50040</v>
      </c>
      <c r="BN78" s="536">
        <f>Time!BN$50</f>
        <v>50130</v>
      </c>
      <c r="BO78" s="536">
        <f>Time!BO$50</f>
        <v>50221</v>
      </c>
      <c r="BP78" s="536">
        <f>Time!BP$50</f>
        <v>50313</v>
      </c>
      <c r="BQ78" s="536">
        <f>Time!BQ$50</f>
        <v>50405</v>
      </c>
      <c r="BR78" s="536">
        <f>Time!BR$50</f>
        <v>50495</v>
      </c>
      <c r="BS78" s="536">
        <f>Time!BS$50</f>
        <v>50586</v>
      </c>
      <c r="BT78" s="536">
        <f>Time!BT$50</f>
        <v>50678</v>
      </c>
      <c r="BU78" s="536">
        <f>Time!BU$50</f>
        <v>50770</v>
      </c>
      <c r="BV78" s="536">
        <f>Time!BV$50</f>
        <v>50860</v>
      </c>
      <c r="BW78" s="536">
        <f>Time!BW$50</f>
        <v>50951</v>
      </c>
      <c r="BX78" s="536">
        <f>Time!BX$50</f>
        <v>51043</v>
      </c>
      <c r="BY78" s="536">
        <f>Time!BY$50</f>
        <v>51135</v>
      </c>
      <c r="BZ78" s="536">
        <f>Time!BZ$50</f>
        <v>51226</v>
      </c>
      <c r="CA78" s="536">
        <f>Time!CA$50</f>
        <v>51317</v>
      </c>
      <c r="CB78" s="536">
        <f>Time!CB$50</f>
        <v>51409</v>
      </c>
      <c r="CC78" s="536">
        <f>Time!CC$50</f>
        <v>51501</v>
      </c>
      <c r="CD78" s="536">
        <f>Time!CD$50</f>
        <v>51591</v>
      </c>
      <c r="CE78" s="536">
        <f>Time!CE$50</f>
        <v>51682</v>
      </c>
      <c r="CF78" s="536">
        <f>Time!CF$50</f>
        <v>51774</v>
      </c>
      <c r="CG78" s="536">
        <f>Time!CG$50</f>
        <v>51866</v>
      </c>
      <c r="CH78" s="536">
        <f>Time!CH$50</f>
        <v>51956</v>
      </c>
      <c r="CI78" s="536">
        <f>Time!CI$50</f>
        <v>52047</v>
      </c>
      <c r="CJ78" s="536">
        <f>Time!CJ$50</f>
        <v>52139</v>
      </c>
      <c r="CK78" s="536">
        <f>Time!CK$50</f>
        <v>52231</v>
      </c>
      <c r="CL78" s="536">
        <f>Time!CL$50</f>
        <v>52321</v>
      </c>
      <c r="CM78" s="536">
        <f>Time!CM$50</f>
        <v>52412</v>
      </c>
      <c r="CN78" s="536">
        <f>Time!CN$50</f>
        <v>52504</v>
      </c>
      <c r="CO78" s="536">
        <f>Time!CO$50</f>
        <v>52596</v>
      </c>
      <c r="CP78" s="536">
        <f>Time!CP$50</f>
        <v>52687</v>
      </c>
      <c r="CQ78" s="536">
        <f>Time!CQ$50</f>
        <v>52778</v>
      </c>
      <c r="CR78" s="536">
        <f>Time!CR$50</f>
        <v>52870</v>
      </c>
      <c r="CS78" s="536">
        <f>Time!CS$50</f>
        <v>52962</v>
      </c>
      <c r="CT78" s="536">
        <f>Time!CT$50</f>
        <v>53052</v>
      </c>
      <c r="CU78" s="536">
        <f>Time!CU$50</f>
        <v>53143</v>
      </c>
      <c r="CV78" s="536">
        <f>Time!CV$50</f>
        <v>53235</v>
      </c>
      <c r="CW78" s="536">
        <f>Time!CW$50</f>
        <v>53327</v>
      </c>
      <c r="CX78" s="536">
        <f>Time!CX$50</f>
        <v>53417</v>
      </c>
      <c r="CY78" s="536">
        <f>Time!CY$50</f>
        <v>53508</v>
      </c>
      <c r="CZ78" s="536">
        <f>Time!CZ$50</f>
        <v>53600</v>
      </c>
      <c r="DA78" s="536">
        <f>Time!DA$50</f>
        <v>53692</v>
      </c>
      <c r="DB78" s="536">
        <f>Time!DB$50</f>
        <v>53782</v>
      </c>
      <c r="DC78" s="536">
        <f>Time!DC$50</f>
        <v>53873</v>
      </c>
      <c r="DD78" s="536">
        <f>Time!DD$50</f>
        <v>53965</v>
      </c>
      <c r="DE78" s="536">
        <f>Time!DE$50</f>
        <v>54057</v>
      </c>
      <c r="DF78" s="536">
        <f>Time!DF$50</f>
        <v>54148</v>
      </c>
      <c r="DG78" s="536">
        <f>Time!DG$50</f>
        <v>54239</v>
      </c>
      <c r="DH78" s="536">
        <f>Time!DH$50</f>
        <v>54331</v>
      </c>
      <c r="DI78" s="536">
        <f>Time!DI$50</f>
        <v>54423</v>
      </c>
      <c r="DJ78" s="536">
        <f>Time!DJ$50</f>
        <v>54513</v>
      </c>
      <c r="DK78" s="536">
        <f>Time!DK$50</f>
        <v>54604</v>
      </c>
      <c r="DL78" s="536">
        <f>Time!DL$50</f>
        <v>54696</v>
      </c>
      <c r="DM78" s="536">
        <f>Time!DM$50</f>
        <v>54788</v>
      </c>
      <c r="DN78" s="536">
        <f>Time!DN$50</f>
        <v>54878</v>
      </c>
      <c r="DO78" s="536">
        <f>Time!DO$50</f>
        <v>54969</v>
      </c>
      <c r="DP78" s="536">
        <f>Time!DP$50</f>
        <v>55061</v>
      </c>
      <c r="DQ78" s="536">
        <f>Time!DQ$50</f>
        <v>55153</v>
      </c>
      <c r="DR78" s="536">
        <f>Time!DR$50</f>
        <v>55243</v>
      </c>
      <c r="DS78" s="536">
        <f>Time!DS$50</f>
        <v>55334</v>
      </c>
      <c r="DT78" s="536">
        <f>Time!DT$50</f>
        <v>55426</v>
      </c>
      <c r="DU78" s="536">
        <f>Time!DU$50</f>
        <v>55518</v>
      </c>
      <c r="DV78" s="536">
        <f>Time!DV$50</f>
        <v>55609</v>
      </c>
      <c r="DW78" s="536">
        <f>Time!DW$50</f>
        <v>55700</v>
      </c>
      <c r="DX78" s="536">
        <f>Time!DX$50</f>
        <v>55792</v>
      </c>
      <c r="DY78" s="536">
        <f>Time!DY$50</f>
        <v>55884</v>
      </c>
      <c r="DZ78" s="536">
        <f>Time!DZ$50</f>
        <v>55974</v>
      </c>
      <c r="EA78" s="536">
        <f>Time!EA$50</f>
        <v>56065</v>
      </c>
      <c r="EB78" s="536">
        <f>Time!EB$50</f>
        <v>56157</v>
      </c>
      <c r="EC78" s="536">
        <f>Time!EC$50</f>
        <v>56249</v>
      </c>
      <c r="ED78" s="536">
        <f>Time!ED$50</f>
        <v>56339</v>
      </c>
      <c r="EE78" s="536">
        <f>Time!EE$50</f>
        <v>56430</v>
      </c>
      <c r="EF78" s="536">
        <f>Time!EF$50</f>
        <v>56522</v>
      </c>
      <c r="EG78" s="536">
        <f>Time!EG$50</f>
        <v>56614</v>
      </c>
    </row>
    <row r="79" spans="5:137" ht="12.75">
      <c r="E79" s="538" t="str">
        <f>E$72</f>
        <v>Shareholders - cash after shareholder loan</v>
      </c>
      <c r="G79" s="539" t="str">
        <f>G$72</f>
        <v>EUR 000s</v>
      </c>
      <c r="H79" s="539">
        <f>H$72</f>
        <v>485921.40782246116</v>
      </c>
      <c r="J79" s="539">
        <f t="shared" si="34" ref="J79:EG79">J$72</f>
        <v>0</v>
      </c>
      <c r="K79" s="539">
        <f t="shared" si="34"/>
        <v>0</v>
      </c>
      <c r="L79" s="539">
        <f t="shared" si="34"/>
        <v>0</v>
      </c>
      <c r="M79" s="539">
        <f t="shared" si="34"/>
        <v>0</v>
      </c>
      <c r="N79" s="539">
        <f t="shared" si="34"/>
        <v>0</v>
      </c>
      <c r="O79" s="539">
        <f t="shared" si="34"/>
        <v>0</v>
      </c>
      <c r="P79" s="539">
        <f t="shared" si="34"/>
        <v>0</v>
      </c>
      <c r="Q79" s="539">
        <f t="shared" si="34"/>
        <v>0</v>
      </c>
      <c r="R79" s="539">
        <f t="shared" si="34"/>
        <v>0</v>
      </c>
      <c r="S79" s="539">
        <f t="shared" si="34"/>
        <v>0</v>
      </c>
      <c r="T79" s="539">
        <f t="shared" si="34"/>
        <v>0</v>
      </c>
      <c r="U79" s="539">
        <f t="shared" si="34"/>
        <v>0</v>
      </c>
      <c r="V79" s="539">
        <f t="shared" si="34"/>
        <v>0</v>
      </c>
      <c r="W79" s="539">
        <f t="shared" si="34"/>
        <v>0</v>
      </c>
      <c r="X79" s="539">
        <f t="shared" si="34"/>
        <v>0</v>
      </c>
      <c r="Y79" s="539">
        <f t="shared" si="34"/>
        <v>0</v>
      </c>
      <c r="Z79" s="539">
        <f t="shared" si="34"/>
        <v>0</v>
      </c>
      <c r="AA79" s="539">
        <f t="shared" si="34"/>
        <v>0</v>
      </c>
      <c r="AB79" s="539">
        <f t="shared" si="34"/>
        <v>0</v>
      </c>
      <c r="AC79" s="539">
        <f t="shared" si="34"/>
        <v>0</v>
      </c>
      <c r="AD79" s="539">
        <f t="shared" si="34"/>
        <v>0</v>
      </c>
      <c r="AE79" s="539">
        <f t="shared" si="34"/>
        <v>0</v>
      </c>
      <c r="AF79" s="539">
        <f t="shared" si="34"/>
        <v>0</v>
      </c>
      <c r="AG79" s="539">
        <f t="shared" si="34"/>
        <v>0</v>
      </c>
      <c r="AH79" s="539">
        <f t="shared" si="34"/>
        <v>0</v>
      </c>
      <c r="AI79" s="539">
        <f t="shared" si="34"/>
        <v>0</v>
      </c>
      <c r="AJ79" s="539">
        <f t="shared" si="34"/>
        <v>0</v>
      </c>
      <c r="AK79" s="539">
        <f t="shared" si="34"/>
        <v>0</v>
      </c>
      <c r="AL79" s="539">
        <f t="shared" si="34"/>
        <v>0</v>
      </c>
      <c r="AM79" s="539">
        <f t="shared" si="34"/>
        <v>0</v>
      </c>
      <c r="AN79" s="539">
        <f t="shared" si="34"/>
        <v>0</v>
      </c>
      <c r="AO79" s="539">
        <f t="shared" si="34"/>
        <v>0</v>
      </c>
      <c r="AP79" s="539">
        <f t="shared" si="34"/>
        <v>0</v>
      </c>
      <c r="AQ79" s="539">
        <f t="shared" si="34"/>
        <v>0</v>
      </c>
      <c r="AR79" s="539">
        <f t="shared" si="34"/>
        <v>0</v>
      </c>
      <c r="AS79" s="539">
        <f t="shared" si="34"/>
        <v>0</v>
      </c>
      <c r="AT79" s="539">
        <f t="shared" si="34"/>
        <v>0</v>
      </c>
      <c r="AU79" s="539">
        <f t="shared" si="34"/>
        <v>0</v>
      </c>
      <c r="AV79" s="539">
        <f t="shared" si="34"/>
        <v>0</v>
      </c>
      <c r="AW79" s="539">
        <f t="shared" si="34"/>
        <v>0</v>
      </c>
      <c r="AX79" s="539">
        <f t="shared" si="34"/>
        <v>0</v>
      </c>
      <c r="AY79" s="539">
        <f t="shared" si="34"/>
        <v>0</v>
      </c>
      <c r="AZ79" s="539">
        <f t="shared" si="34"/>
        <v>0</v>
      </c>
      <c r="BA79" s="539">
        <f t="shared" si="34"/>
        <v>0</v>
      </c>
      <c r="BB79" s="539">
        <f t="shared" si="34"/>
        <v>0</v>
      </c>
      <c r="BC79" s="539">
        <f t="shared" si="34"/>
        <v>0</v>
      </c>
      <c r="BD79" s="539">
        <f t="shared" si="34"/>
        <v>0</v>
      </c>
      <c r="BE79" s="539">
        <f t="shared" si="34"/>
        <v>0</v>
      </c>
      <c r="BF79" s="539">
        <f t="shared" si="34"/>
        <v>2527.6157695725174</v>
      </c>
      <c r="BG79" s="539">
        <f t="shared" si="34"/>
        <v>3963.7340210591155</v>
      </c>
      <c r="BH79" s="539">
        <f t="shared" si="34"/>
        <v>3901.9818208723086</v>
      </c>
      <c r="BI79" s="539">
        <f t="shared" si="34"/>
        <v>3863.3396261250573</v>
      </c>
      <c r="BJ79" s="539">
        <f t="shared" si="34"/>
        <v>3981.7948466400562</v>
      </c>
      <c r="BK79" s="539">
        <f t="shared" si="34"/>
        <v>4041.5037487339391</v>
      </c>
      <c r="BL79" s="539">
        <f t="shared" si="34"/>
        <v>4013.5705589641948</v>
      </c>
      <c r="BM79" s="539">
        <f t="shared" si="34"/>
        <v>3952.9034566736409</v>
      </c>
      <c r="BN79" s="539">
        <f t="shared" si="34"/>
        <v>2097.5193655527028</v>
      </c>
      <c r="BO79" s="539">
        <f t="shared" si="34"/>
        <v>2200.864273878366</v>
      </c>
      <c r="BP79" s="539">
        <f t="shared" si="34"/>
        <v>2098.1063109146212</v>
      </c>
      <c r="BQ79" s="539">
        <f t="shared" si="34"/>
        <v>2037.8164184080592</v>
      </c>
      <c r="BR79" s="539">
        <f t="shared" si="34"/>
        <v>4224.1553525130121</v>
      </c>
      <c r="BS79" s="539">
        <f t="shared" si="34"/>
        <v>4329.7689293072381</v>
      </c>
      <c r="BT79" s="539">
        <f t="shared" si="34"/>
        <v>4419.8055567868232</v>
      </c>
      <c r="BU79" s="539">
        <f t="shared" si="34"/>
        <v>4770.8603254831687</v>
      </c>
      <c r="BV79" s="539">
        <f t="shared" si="34"/>
        <v>4626.1012277867885</v>
      </c>
      <c r="BW79" s="539">
        <f t="shared" si="34"/>
        <v>3945.1397120020174</v>
      </c>
      <c r="BX79" s="539">
        <f t="shared" si="34"/>
        <v>3887.6124417460055</v>
      </c>
      <c r="BY79" s="539">
        <f t="shared" si="34"/>
        <v>3843.3319181364645</v>
      </c>
      <c r="BZ79" s="539">
        <f t="shared" si="34"/>
        <v>3978.3991178064584</v>
      </c>
      <c r="CA79" s="539">
        <f t="shared" si="34"/>
        <v>4211.4281415911701</v>
      </c>
      <c r="CB79" s="539">
        <f t="shared" si="34"/>
        <v>4139.4003880005166</v>
      </c>
      <c r="CC79" s="539">
        <f t="shared" si="34"/>
        <v>3736.011479524982</v>
      </c>
      <c r="CD79" s="539">
        <f t="shared" si="34"/>
        <v>4321.3134548763692</v>
      </c>
      <c r="CE79" s="539">
        <f t="shared" si="34"/>
        <v>4413.9780591819081</v>
      </c>
      <c r="CF79" s="539">
        <f t="shared" si="34"/>
        <v>4368.5578436146661</v>
      </c>
      <c r="CG79" s="539">
        <f t="shared" si="34"/>
        <v>4283.5118246307165</v>
      </c>
      <c r="CH79" s="539">
        <f t="shared" si="34"/>
        <v>2110.5359724491877</v>
      </c>
      <c r="CI79" s="539">
        <f t="shared" si="34"/>
        <v>2204.6023940287428</v>
      </c>
      <c r="CJ79" s="539">
        <f t="shared" si="34"/>
        <v>1870.785150550882</v>
      </c>
      <c r="CK79" s="539">
        <f t="shared" si="34"/>
        <v>1786.9171601948424</v>
      </c>
      <c r="CL79" s="539">
        <f t="shared" si="34"/>
        <v>4628.8303227158403</v>
      </c>
      <c r="CM79" s="539">
        <f t="shared" si="34"/>
        <v>4723.5203653725785</v>
      </c>
      <c r="CN79" s="539">
        <f t="shared" si="34"/>
        <v>4948.935086001231</v>
      </c>
      <c r="CO79" s="539">
        <f t="shared" si="34"/>
        <v>4889.99295027068</v>
      </c>
      <c r="CP79" s="539">
        <f t="shared" si="34"/>
        <v>4408.4942242291327</v>
      </c>
      <c r="CQ79" s="539">
        <f t="shared" si="34"/>
        <v>4454.0921236772019</v>
      </c>
      <c r="CR79" s="539">
        <f t="shared" si="34"/>
        <v>4428.3806644411152</v>
      </c>
      <c r="CS79" s="539">
        <f t="shared" si="34"/>
        <v>4344.7192119229667</v>
      </c>
      <c r="CT79" s="539">
        <f t="shared" si="34"/>
        <v>4410.7908852154824</v>
      </c>
      <c r="CU79" s="539">
        <f t="shared" si="34"/>
        <v>4507.2180043044709</v>
      </c>
      <c r="CV79" s="539">
        <f t="shared" si="34"/>
        <v>4455.6468509356973</v>
      </c>
      <c r="CW79" s="539">
        <f t="shared" si="34"/>
        <v>4372.1040514103006</v>
      </c>
      <c r="CX79" s="539">
        <f t="shared" si="34"/>
        <v>4442.1439989063965</v>
      </c>
      <c r="CY79" s="539">
        <f t="shared" si="34"/>
        <v>4538.8867633803111</v>
      </c>
      <c r="CZ79" s="539">
        <f t="shared" si="34"/>
        <v>9289.0498453167747</v>
      </c>
      <c r="DA79" s="539">
        <f t="shared" si="34"/>
        <v>9243.2109589193478</v>
      </c>
      <c r="DB79" s="539">
        <f t="shared" si="34"/>
        <v>6730.8032201585938</v>
      </c>
      <c r="DC79" s="539">
        <f t="shared" si="34"/>
        <v>6819.6943690281241</v>
      </c>
      <c r="DD79" s="539">
        <f t="shared" si="34"/>
        <v>6814.0398522326241</v>
      </c>
      <c r="DE79" s="539">
        <f t="shared" si="34"/>
        <v>6785.1271000854231</v>
      </c>
      <c r="DF79" s="539">
        <f t="shared" si="34"/>
        <v>10042.297500103878</v>
      </c>
      <c r="DG79" s="539">
        <f t="shared" si="34"/>
        <v>10083.037086594606</v>
      </c>
      <c r="DH79" s="539">
        <f t="shared" si="34"/>
        <v>10103.030440845592</v>
      </c>
      <c r="DI79" s="539">
        <f t="shared" si="34"/>
        <v>10074.710093976457</v>
      </c>
      <c r="DJ79" s="539">
        <f t="shared" si="34"/>
        <v>9531.0000277068248</v>
      </c>
      <c r="DK79" s="539">
        <f t="shared" si="34"/>
        <v>9622.5760692221538</v>
      </c>
      <c r="DL79" s="539">
        <f t="shared" si="34"/>
        <v>9618.4891847043327</v>
      </c>
      <c r="DM79" s="539">
        <f t="shared" si="34"/>
        <v>9590.6249782264968</v>
      </c>
      <c r="DN79" s="539">
        <f t="shared" si="34"/>
        <v>9679.6513243283043</v>
      </c>
      <c r="DO79" s="539">
        <f t="shared" si="34"/>
        <v>9772.3259446832872</v>
      </c>
      <c r="DP79" s="539">
        <f t="shared" si="34"/>
        <v>9768.8299907587207</v>
      </c>
      <c r="DQ79" s="539">
        <f t="shared" si="34"/>
        <v>9741.3091688148925</v>
      </c>
      <c r="DR79" s="539">
        <f t="shared" si="34"/>
        <v>9833.1752700445759</v>
      </c>
      <c r="DS79" s="539">
        <f t="shared" si="34"/>
        <v>9926.8134161951511</v>
      </c>
      <c r="DT79" s="539">
        <f t="shared" si="34"/>
        <v>9923.8082057289866</v>
      </c>
      <c r="DU79" s="539">
        <f t="shared" si="34"/>
        <v>9896.5376166003607</v>
      </c>
      <c r="DV79" s="539">
        <f t="shared" si="34"/>
        <v>10016.918852742816</v>
      </c>
      <c r="DW79" s="539">
        <f t="shared" si="34"/>
        <v>10059.983606963106</v>
      </c>
      <c r="DX79" s="539">
        <f t="shared" si="34"/>
        <v>10083.094712487115</v>
      </c>
      <c r="DY79" s="539">
        <f t="shared" si="34"/>
        <v>10055.997562626802</v>
      </c>
      <c r="DZ79" s="539">
        <f t="shared" si="34"/>
        <v>12150.719351237401</v>
      </c>
      <c r="EA79" s="539">
        <f t="shared" si="34"/>
        <v>14400.981458335427</v>
      </c>
      <c r="EB79" s="539">
        <f t="shared" si="34"/>
        <v>16648.983915654459</v>
      </c>
      <c r="EC79" s="539">
        <f t="shared" si="34"/>
        <v>19599.446855546739</v>
      </c>
      <c r="ED79" s="539">
        <f t="shared" si="34"/>
        <v>2308.4176722004668</v>
      </c>
      <c r="EE79" s="539">
        <f t="shared" si="34"/>
        <v>4.0745362639427185E-10</v>
      </c>
      <c r="EF79" s="539">
        <f t="shared" si="34"/>
        <v>4.0745362639427185E-10</v>
      </c>
      <c r="EG79" s="539">
        <f t="shared" si="34"/>
        <v>4.0745362639427185E-10</v>
      </c>
    </row>
    <row r="80" spans="5:137" ht="12.75">
      <c r="E80" s="538" t="str">
        <f>E$75</f>
        <v>Share capital - opening balance</v>
      </c>
      <c r="G80" s="539" t="str">
        <f>G$75</f>
        <v>EUR 000s</v>
      </c>
      <c r="H80" s="539">
        <f>H$75</f>
        <v>1651899.8369596973</v>
      </c>
      <c r="J80" s="539">
        <f t="shared" si="35" ref="J80:EG80">J$75</f>
        <v>0</v>
      </c>
      <c r="K80" s="539">
        <f t="shared" si="35"/>
        <v>0</v>
      </c>
      <c r="L80" s="539">
        <f t="shared" si="35"/>
        <v>0</v>
      </c>
      <c r="M80" s="539">
        <f t="shared" si="35"/>
        <v>2263.8599437331595</v>
      </c>
      <c r="N80" s="539">
        <f t="shared" si="35"/>
        <v>4943.9979761298655</v>
      </c>
      <c r="O80" s="539">
        <f t="shared" si="35"/>
        <v>7692.2947221635395</v>
      </c>
      <c r="P80" s="539">
        <f t="shared" si="35"/>
        <v>10375.971768258876</v>
      </c>
      <c r="Q80" s="539">
        <f t="shared" si="35"/>
        <v>13127.925495114469</v>
      </c>
      <c r="R80" s="539">
        <f t="shared" si="35"/>
        <v>13909.446440123251</v>
      </c>
      <c r="S80" s="539">
        <f t="shared" si="35"/>
        <v>13909.446440123251</v>
      </c>
      <c r="T80" s="539">
        <f t="shared" si="35"/>
        <v>13909.446440123251</v>
      </c>
      <c r="U80" s="539">
        <f t="shared" si="35"/>
        <v>13909.446440123251</v>
      </c>
      <c r="V80" s="539">
        <f t="shared" si="35"/>
        <v>13909.446440123251</v>
      </c>
      <c r="W80" s="539">
        <f t="shared" si="35"/>
        <v>13909.446440123251</v>
      </c>
      <c r="X80" s="539">
        <f t="shared" si="35"/>
        <v>13909.446440123251</v>
      </c>
      <c r="Y80" s="539">
        <f t="shared" si="35"/>
        <v>13909.446440123251</v>
      </c>
      <c r="Z80" s="539">
        <f t="shared" si="35"/>
        <v>13909.446440123251</v>
      </c>
      <c r="AA80" s="539">
        <f t="shared" si="35"/>
        <v>13909.446440123251</v>
      </c>
      <c r="AB80" s="539">
        <f t="shared" si="35"/>
        <v>13909.446440123251</v>
      </c>
      <c r="AC80" s="539">
        <f t="shared" si="35"/>
        <v>13909.446440123251</v>
      </c>
      <c r="AD80" s="539">
        <f t="shared" si="35"/>
        <v>13909.446440123251</v>
      </c>
      <c r="AE80" s="539">
        <f t="shared" si="35"/>
        <v>13909.446440123251</v>
      </c>
      <c r="AF80" s="539">
        <f t="shared" si="35"/>
        <v>13909.446440123251</v>
      </c>
      <c r="AG80" s="539">
        <f t="shared" si="35"/>
        <v>13909.446440123251</v>
      </c>
      <c r="AH80" s="539">
        <f t="shared" si="35"/>
        <v>13909.446440123251</v>
      </c>
      <c r="AI80" s="539">
        <f t="shared" si="35"/>
        <v>13909.446440123251</v>
      </c>
      <c r="AJ80" s="539">
        <f t="shared" si="35"/>
        <v>13909.446440123251</v>
      </c>
      <c r="AK80" s="539">
        <f t="shared" si="35"/>
        <v>13909.446440123251</v>
      </c>
      <c r="AL80" s="539">
        <f t="shared" si="35"/>
        <v>13909.446440123251</v>
      </c>
      <c r="AM80" s="539">
        <f t="shared" si="35"/>
        <v>13909.446440123251</v>
      </c>
      <c r="AN80" s="539">
        <f t="shared" si="35"/>
        <v>13909.446440123251</v>
      </c>
      <c r="AO80" s="539">
        <f t="shared" si="35"/>
        <v>13909.446440123251</v>
      </c>
      <c r="AP80" s="539">
        <f t="shared" si="35"/>
        <v>13909.446440123251</v>
      </c>
      <c r="AQ80" s="539">
        <f t="shared" si="35"/>
        <v>13909.446440123251</v>
      </c>
      <c r="AR80" s="539">
        <f t="shared" si="35"/>
        <v>13909.446440123251</v>
      </c>
      <c r="AS80" s="539">
        <f t="shared" si="35"/>
        <v>13909.446440123251</v>
      </c>
      <c r="AT80" s="539">
        <f t="shared" si="35"/>
        <v>13909.446440123251</v>
      </c>
      <c r="AU80" s="539">
        <f t="shared" si="35"/>
        <v>13909.446440123251</v>
      </c>
      <c r="AV80" s="539">
        <f t="shared" si="35"/>
        <v>13909.446440123251</v>
      </c>
      <c r="AW80" s="539">
        <f t="shared" si="35"/>
        <v>13909.446440123251</v>
      </c>
      <c r="AX80" s="539">
        <f t="shared" si="35"/>
        <v>13909.446440123251</v>
      </c>
      <c r="AY80" s="539">
        <f t="shared" si="35"/>
        <v>13909.446440123251</v>
      </c>
      <c r="AZ80" s="539">
        <f t="shared" si="35"/>
        <v>13909.446440123251</v>
      </c>
      <c r="BA80" s="539">
        <f t="shared" si="35"/>
        <v>13909.446440123251</v>
      </c>
      <c r="BB80" s="539">
        <f t="shared" si="35"/>
        <v>13909.446440123251</v>
      </c>
      <c r="BC80" s="539">
        <f t="shared" si="35"/>
        <v>13909.446440123251</v>
      </c>
      <c r="BD80" s="539">
        <f t="shared" si="35"/>
        <v>13909.446440123251</v>
      </c>
      <c r="BE80" s="539">
        <f t="shared" si="35"/>
        <v>13909.446440123251</v>
      </c>
      <c r="BF80" s="539">
        <f t="shared" si="35"/>
        <v>13909.446440123251</v>
      </c>
      <c r="BG80" s="539">
        <f t="shared" si="35"/>
        <v>13909.446440123251</v>
      </c>
      <c r="BH80" s="539">
        <f t="shared" si="35"/>
        <v>13909.446440123251</v>
      </c>
      <c r="BI80" s="539">
        <f t="shared" si="35"/>
        <v>13909.446440123251</v>
      </c>
      <c r="BJ80" s="539">
        <f t="shared" si="35"/>
        <v>13909.446440123251</v>
      </c>
      <c r="BK80" s="539">
        <f t="shared" si="35"/>
        <v>13909.446440123251</v>
      </c>
      <c r="BL80" s="539">
        <f t="shared" si="35"/>
        <v>13909.446440123251</v>
      </c>
      <c r="BM80" s="539">
        <f t="shared" si="35"/>
        <v>13909.446440123251</v>
      </c>
      <c r="BN80" s="539">
        <f t="shared" si="35"/>
        <v>13909.446440123251</v>
      </c>
      <c r="BO80" s="539">
        <f t="shared" si="35"/>
        <v>13909.446440123251</v>
      </c>
      <c r="BP80" s="539">
        <f t="shared" si="35"/>
        <v>13909.446440123251</v>
      </c>
      <c r="BQ80" s="539">
        <f t="shared" si="35"/>
        <v>13909.446440123251</v>
      </c>
      <c r="BR80" s="539">
        <f t="shared" si="35"/>
        <v>13909.446440123251</v>
      </c>
      <c r="BS80" s="539">
        <f t="shared" si="35"/>
        <v>13909.446440123251</v>
      </c>
      <c r="BT80" s="539">
        <f t="shared" si="35"/>
        <v>13909.446440123251</v>
      </c>
      <c r="BU80" s="539">
        <f t="shared" si="35"/>
        <v>13909.446440123251</v>
      </c>
      <c r="BV80" s="539">
        <f t="shared" si="35"/>
        <v>13909.446440123251</v>
      </c>
      <c r="BW80" s="539">
        <f t="shared" si="35"/>
        <v>13909.446440123251</v>
      </c>
      <c r="BX80" s="539">
        <f t="shared" si="35"/>
        <v>13909.446440123251</v>
      </c>
      <c r="BY80" s="539">
        <f t="shared" si="35"/>
        <v>13909.446440123251</v>
      </c>
      <c r="BZ80" s="539">
        <f t="shared" si="35"/>
        <v>13909.446440123251</v>
      </c>
      <c r="CA80" s="539">
        <f t="shared" si="35"/>
        <v>13909.446440123251</v>
      </c>
      <c r="CB80" s="539">
        <f t="shared" si="35"/>
        <v>13909.446440123251</v>
      </c>
      <c r="CC80" s="539">
        <f t="shared" si="35"/>
        <v>13909.446440123251</v>
      </c>
      <c r="CD80" s="539">
        <f t="shared" si="35"/>
        <v>13909.446440123251</v>
      </c>
      <c r="CE80" s="539">
        <f t="shared" si="35"/>
        <v>13909.446440123251</v>
      </c>
      <c r="CF80" s="539">
        <f t="shared" si="35"/>
        <v>13909.446440123251</v>
      </c>
      <c r="CG80" s="539">
        <f t="shared" si="35"/>
        <v>13909.446440123251</v>
      </c>
      <c r="CH80" s="539">
        <f t="shared" si="35"/>
        <v>13909.446440123251</v>
      </c>
      <c r="CI80" s="539">
        <f t="shared" si="35"/>
        <v>13909.446440123251</v>
      </c>
      <c r="CJ80" s="539">
        <f t="shared" si="35"/>
        <v>13909.446440123251</v>
      </c>
      <c r="CK80" s="539">
        <f t="shared" si="35"/>
        <v>13909.446440123251</v>
      </c>
      <c r="CL80" s="539">
        <f t="shared" si="35"/>
        <v>13909.446440123251</v>
      </c>
      <c r="CM80" s="539">
        <f t="shared" si="35"/>
        <v>13909.446440123251</v>
      </c>
      <c r="CN80" s="539">
        <f t="shared" si="35"/>
        <v>13909.446440123251</v>
      </c>
      <c r="CO80" s="539">
        <f t="shared" si="35"/>
        <v>13909.446440123251</v>
      </c>
      <c r="CP80" s="539">
        <f t="shared" si="35"/>
        <v>13909.446440123251</v>
      </c>
      <c r="CQ80" s="539">
        <f t="shared" si="35"/>
        <v>13909.446440123251</v>
      </c>
      <c r="CR80" s="539">
        <f t="shared" si="35"/>
        <v>13909.446440123251</v>
      </c>
      <c r="CS80" s="539">
        <f t="shared" si="35"/>
        <v>13909.446440123251</v>
      </c>
      <c r="CT80" s="539">
        <f t="shared" si="35"/>
        <v>13909.446440123251</v>
      </c>
      <c r="CU80" s="539">
        <f t="shared" si="35"/>
        <v>13909.446440123251</v>
      </c>
      <c r="CV80" s="539">
        <f t="shared" si="35"/>
        <v>13909.446440123251</v>
      </c>
      <c r="CW80" s="539">
        <f t="shared" si="35"/>
        <v>13909.446440123251</v>
      </c>
      <c r="CX80" s="539">
        <f t="shared" si="35"/>
        <v>13909.446440123251</v>
      </c>
      <c r="CY80" s="539">
        <f t="shared" si="35"/>
        <v>13909.446440123251</v>
      </c>
      <c r="CZ80" s="539">
        <f t="shared" si="35"/>
        <v>13909.446440123251</v>
      </c>
      <c r="DA80" s="539">
        <f t="shared" si="35"/>
        <v>13909.446440123251</v>
      </c>
      <c r="DB80" s="539">
        <f t="shared" si="35"/>
        <v>13909.446440123251</v>
      </c>
      <c r="DC80" s="539">
        <f t="shared" si="35"/>
        <v>13909.446440123251</v>
      </c>
      <c r="DD80" s="539">
        <f t="shared" si="35"/>
        <v>13909.446440123251</v>
      </c>
      <c r="DE80" s="539">
        <f t="shared" si="35"/>
        <v>13909.446440123251</v>
      </c>
      <c r="DF80" s="539">
        <f t="shared" si="35"/>
        <v>13909.446440123251</v>
      </c>
      <c r="DG80" s="539">
        <f t="shared" si="35"/>
        <v>13909.446440123251</v>
      </c>
      <c r="DH80" s="539">
        <f t="shared" si="35"/>
        <v>13909.446440123251</v>
      </c>
      <c r="DI80" s="539">
        <f t="shared" si="35"/>
        <v>13909.446440123251</v>
      </c>
      <c r="DJ80" s="539">
        <f t="shared" si="35"/>
        <v>13909.446440123251</v>
      </c>
      <c r="DK80" s="539">
        <f t="shared" si="35"/>
        <v>13909.446440123251</v>
      </c>
      <c r="DL80" s="539">
        <f t="shared" si="35"/>
        <v>13909.446440123251</v>
      </c>
      <c r="DM80" s="539">
        <f t="shared" si="35"/>
        <v>13909.446440123251</v>
      </c>
      <c r="DN80" s="539">
        <f t="shared" si="35"/>
        <v>13909.446440123251</v>
      </c>
      <c r="DO80" s="539">
        <f t="shared" si="35"/>
        <v>13909.446440123251</v>
      </c>
      <c r="DP80" s="539">
        <f t="shared" si="35"/>
        <v>13909.446440123251</v>
      </c>
      <c r="DQ80" s="539">
        <f t="shared" si="35"/>
        <v>13909.446440123251</v>
      </c>
      <c r="DR80" s="539">
        <f t="shared" si="35"/>
        <v>13909.446440123251</v>
      </c>
      <c r="DS80" s="539">
        <f t="shared" si="35"/>
        <v>13909.446440123251</v>
      </c>
      <c r="DT80" s="539">
        <f t="shared" si="35"/>
        <v>13909.446440123251</v>
      </c>
      <c r="DU80" s="539">
        <f t="shared" si="35"/>
        <v>13909.446440123251</v>
      </c>
      <c r="DV80" s="539">
        <f t="shared" si="35"/>
        <v>13909.446440123251</v>
      </c>
      <c r="DW80" s="539">
        <f t="shared" si="35"/>
        <v>13909.446440123251</v>
      </c>
      <c r="DX80" s="539">
        <f t="shared" si="35"/>
        <v>13909.446440123251</v>
      </c>
      <c r="DY80" s="539">
        <f t="shared" si="35"/>
        <v>13909.446440123251</v>
      </c>
      <c r="DZ80" s="539">
        <f t="shared" si="35"/>
        <v>13909.446440123251</v>
      </c>
      <c r="EA80" s="539">
        <f t="shared" si="35"/>
        <v>13909.446440123251</v>
      </c>
      <c r="EB80" s="539">
        <f t="shared" si="35"/>
        <v>13909.446440123251</v>
      </c>
      <c r="EC80" s="539">
        <f t="shared" si="35"/>
        <v>13909.446440123251</v>
      </c>
      <c r="ED80" s="539">
        <f t="shared" si="35"/>
        <v>0</v>
      </c>
      <c r="EE80" s="539">
        <f t="shared" si="35"/>
        <v>0</v>
      </c>
      <c r="EF80" s="539">
        <f t="shared" si="35"/>
        <v>0</v>
      </c>
      <c r="EG80" s="539">
        <f t="shared" si="35"/>
        <v>0</v>
      </c>
    </row>
    <row r="81" spans="5:137" ht="12.75">
      <c r="E81" s="540" t="s">
        <v>481</v>
      </c>
      <c r="G81" s="541" t="s">
        <v>30</v>
      </c>
      <c r="H81" s="541">
        <f>SUM(J81:EG81)</f>
        <v>13909.446440123251</v>
      </c>
      <c r="J81" s="541">
        <f t="shared" si="36" ref="J81:EG81">MIN(J79,J80)*IF(J78&gt;=$F77,1,0)</f>
        <v>0</v>
      </c>
      <c r="K81" s="541">
        <f t="shared" si="36"/>
        <v>0</v>
      </c>
      <c r="L81" s="541">
        <f t="shared" si="36"/>
        <v>0</v>
      </c>
      <c r="M81" s="541">
        <f t="shared" si="36"/>
        <v>0</v>
      </c>
      <c r="N81" s="541">
        <f t="shared" si="36"/>
        <v>0</v>
      </c>
      <c r="O81" s="541">
        <f t="shared" si="36"/>
        <v>0</v>
      </c>
      <c r="P81" s="541">
        <f t="shared" si="36"/>
        <v>0</v>
      </c>
      <c r="Q81" s="541">
        <f t="shared" si="36"/>
        <v>0</v>
      </c>
      <c r="R81" s="541">
        <f t="shared" si="36"/>
        <v>0</v>
      </c>
      <c r="S81" s="541">
        <f t="shared" si="36"/>
        <v>0</v>
      </c>
      <c r="T81" s="541">
        <f t="shared" si="36"/>
        <v>0</v>
      </c>
      <c r="U81" s="541">
        <f t="shared" si="36"/>
        <v>0</v>
      </c>
      <c r="V81" s="541">
        <f t="shared" si="36"/>
        <v>0</v>
      </c>
      <c r="W81" s="541">
        <f t="shared" si="36"/>
        <v>0</v>
      </c>
      <c r="X81" s="541">
        <f t="shared" si="36"/>
        <v>0</v>
      </c>
      <c r="Y81" s="541">
        <f t="shared" si="36"/>
        <v>0</v>
      </c>
      <c r="Z81" s="541">
        <f t="shared" si="36"/>
        <v>0</v>
      </c>
      <c r="AA81" s="541">
        <f t="shared" si="36"/>
        <v>0</v>
      </c>
      <c r="AB81" s="541">
        <f t="shared" si="36"/>
        <v>0</v>
      </c>
      <c r="AC81" s="541">
        <f t="shared" si="36"/>
        <v>0</v>
      </c>
      <c r="AD81" s="541">
        <f t="shared" si="36"/>
        <v>0</v>
      </c>
      <c r="AE81" s="541">
        <f t="shared" si="36"/>
        <v>0</v>
      </c>
      <c r="AF81" s="541">
        <f t="shared" si="36"/>
        <v>0</v>
      </c>
      <c r="AG81" s="541">
        <f t="shared" si="36"/>
        <v>0</v>
      </c>
      <c r="AH81" s="541">
        <f t="shared" si="36"/>
        <v>0</v>
      </c>
      <c r="AI81" s="541">
        <f t="shared" si="36"/>
        <v>0</v>
      </c>
      <c r="AJ81" s="541">
        <f t="shared" si="36"/>
        <v>0</v>
      </c>
      <c r="AK81" s="541">
        <f t="shared" si="36"/>
        <v>0</v>
      </c>
      <c r="AL81" s="541">
        <f t="shared" si="36"/>
        <v>0</v>
      </c>
      <c r="AM81" s="541">
        <f t="shared" si="36"/>
        <v>0</v>
      </c>
      <c r="AN81" s="541">
        <f t="shared" si="36"/>
        <v>0</v>
      </c>
      <c r="AO81" s="541">
        <f t="shared" si="36"/>
        <v>0</v>
      </c>
      <c r="AP81" s="541">
        <f t="shared" si="36"/>
        <v>0</v>
      </c>
      <c r="AQ81" s="541">
        <f t="shared" si="36"/>
        <v>0</v>
      </c>
      <c r="AR81" s="541">
        <f t="shared" si="36"/>
        <v>0</v>
      </c>
      <c r="AS81" s="541">
        <f t="shared" si="36"/>
        <v>0</v>
      </c>
      <c r="AT81" s="541">
        <f t="shared" si="36"/>
        <v>0</v>
      </c>
      <c r="AU81" s="541">
        <f t="shared" si="36"/>
        <v>0</v>
      </c>
      <c r="AV81" s="541">
        <f t="shared" si="36"/>
        <v>0</v>
      </c>
      <c r="AW81" s="541">
        <f t="shared" si="36"/>
        <v>0</v>
      </c>
      <c r="AX81" s="541">
        <f t="shared" si="36"/>
        <v>0</v>
      </c>
      <c r="AY81" s="541">
        <f t="shared" si="36"/>
        <v>0</v>
      </c>
      <c r="AZ81" s="541">
        <f t="shared" si="36"/>
        <v>0</v>
      </c>
      <c r="BA81" s="541">
        <f t="shared" si="36"/>
        <v>0</v>
      </c>
      <c r="BB81" s="541">
        <f t="shared" si="36"/>
        <v>0</v>
      </c>
      <c r="BC81" s="541">
        <f t="shared" si="36"/>
        <v>0</v>
      </c>
      <c r="BD81" s="541">
        <f t="shared" si="36"/>
        <v>0</v>
      </c>
      <c r="BE81" s="541">
        <f t="shared" si="36"/>
        <v>0</v>
      </c>
      <c r="BF81" s="541">
        <f t="shared" si="36"/>
        <v>0</v>
      </c>
      <c r="BG81" s="541">
        <f t="shared" si="36"/>
        <v>0</v>
      </c>
      <c r="BH81" s="541">
        <f t="shared" si="36"/>
        <v>0</v>
      </c>
      <c r="BI81" s="541">
        <f t="shared" si="36"/>
        <v>0</v>
      </c>
      <c r="BJ81" s="541">
        <f t="shared" si="36"/>
        <v>0</v>
      </c>
      <c r="BK81" s="541">
        <f t="shared" si="36"/>
        <v>0</v>
      </c>
      <c r="BL81" s="541">
        <f t="shared" si="36"/>
        <v>0</v>
      </c>
      <c r="BM81" s="541">
        <f t="shared" si="36"/>
        <v>0</v>
      </c>
      <c r="BN81" s="541">
        <f t="shared" si="36"/>
        <v>0</v>
      </c>
      <c r="BO81" s="541">
        <f t="shared" si="36"/>
        <v>0</v>
      </c>
      <c r="BP81" s="541">
        <f t="shared" si="36"/>
        <v>0</v>
      </c>
      <c r="BQ81" s="541">
        <f t="shared" si="36"/>
        <v>0</v>
      </c>
      <c r="BR81" s="541">
        <f t="shared" si="36"/>
        <v>0</v>
      </c>
      <c r="BS81" s="541">
        <f t="shared" si="36"/>
        <v>0</v>
      </c>
      <c r="BT81" s="541">
        <f t="shared" si="36"/>
        <v>0</v>
      </c>
      <c r="BU81" s="541">
        <f t="shared" si="36"/>
        <v>0</v>
      </c>
      <c r="BV81" s="541">
        <f t="shared" si="36"/>
        <v>0</v>
      </c>
      <c r="BW81" s="541">
        <f t="shared" si="36"/>
        <v>0</v>
      </c>
      <c r="BX81" s="541">
        <f t="shared" si="36"/>
        <v>0</v>
      </c>
      <c r="BY81" s="541">
        <f t="shared" si="36"/>
        <v>0</v>
      </c>
      <c r="BZ81" s="541">
        <f t="shared" si="36"/>
        <v>0</v>
      </c>
      <c r="CA81" s="541">
        <f t="shared" si="36"/>
        <v>0</v>
      </c>
      <c r="CB81" s="541">
        <f t="shared" si="36"/>
        <v>0</v>
      </c>
      <c r="CC81" s="541">
        <f t="shared" si="36"/>
        <v>0</v>
      </c>
      <c r="CD81" s="541">
        <f t="shared" si="36"/>
        <v>0</v>
      </c>
      <c r="CE81" s="541">
        <f t="shared" si="36"/>
        <v>0</v>
      </c>
      <c r="CF81" s="541">
        <f t="shared" si="36"/>
        <v>0</v>
      </c>
      <c r="CG81" s="541">
        <f t="shared" si="36"/>
        <v>0</v>
      </c>
      <c r="CH81" s="541">
        <f t="shared" si="36"/>
        <v>0</v>
      </c>
      <c r="CI81" s="541">
        <f t="shared" si="36"/>
        <v>0</v>
      </c>
      <c r="CJ81" s="541">
        <f t="shared" si="36"/>
        <v>0</v>
      </c>
      <c r="CK81" s="541">
        <f t="shared" si="36"/>
        <v>0</v>
      </c>
      <c r="CL81" s="541">
        <f t="shared" si="36"/>
        <v>0</v>
      </c>
      <c r="CM81" s="541">
        <f t="shared" si="36"/>
        <v>0</v>
      </c>
      <c r="CN81" s="541">
        <f t="shared" si="36"/>
        <v>0</v>
      </c>
      <c r="CO81" s="541">
        <f t="shared" si="36"/>
        <v>0</v>
      </c>
      <c r="CP81" s="541">
        <f t="shared" si="36"/>
        <v>0</v>
      </c>
      <c r="CQ81" s="541">
        <f t="shared" si="36"/>
        <v>0</v>
      </c>
      <c r="CR81" s="541">
        <f t="shared" si="36"/>
        <v>0</v>
      </c>
      <c r="CS81" s="541">
        <f t="shared" si="36"/>
        <v>0</v>
      </c>
      <c r="CT81" s="541">
        <f t="shared" si="36"/>
        <v>0</v>
      </c>
      <c r="CU81" s="541">
        <f t="shared" si="36"/>
        <v>0</v>
      </c>
      <c r="CV81" s="541">
        <f t="shared" si="36"/>
        <v>0</v>
      </c>
      <c r="CW81" s="541">
        <f t="shared" si="36"/>
        <v>0</v>
      </c>
      <c r="CX81" s="541">
        <f t="shared" si="36"/>
        <v>0</v>
      </c>
      <c r="CY81" s="541">
        <f t="shared" si="36"/>
        <v>0</v>
      </c>
      <c r="CZ81" s="541">
        <f t="shared" si="36"/>
        <v>0</v>
      </c>
      <c r="DA81" s="541">
        <f t="shared" si="36"/>
        <v>0</v>
      </c>
      <c r="DB81" s="541">
        <f t="shared" si="36"/>
        <v>0</v>
      </c>
      <c r="DC81" s="541">
        <f t="shared" si="36"/>
        <v>0</v>
      </c>
      <c r="DD81" s="541">
        <f t="shared" si="36"/>
        <v>0</v>
      </c>
      <c r="DE81" s="541">
        <f t="shared" si="36"/>
        <v>0</v>
      </c>
      <c r="DF81" s="541">
        <f t="shared" si="36"/>
        <v>0</v>
      </c>
      <c r="DG81" s="541">
        <f t="shared" si="36"/>
        <v>0</v>
      </c>
      <c r="DH81" s="541">
        <f t="shared" si="36"/>
        <v>0</v>
      </c>
      <c r="DI81" s="541">
        <f t="shared" si="36"/>
        <v>0</v>
      </c>
      <c r="DJ81" s="541">
        <f t="shared" si="36"/>
        <v>0</v>
      </c>
      <c r="DK81" s="541">
        <f t="shared" si="36"/>
        <v>0</v>
      </c>
      <c r="DL81" s="541">
        <f t="shared" si="36"/>
        <v>0</v>
      </c>
      <c r="DM81" s="541">
        <f t="shared" si="36"/>
        <v>0</v>
      </c>
      <c r="DN81" s="541">
        <f t="shared" si="36"/>
        <v>0</v>
      </c>
      <c r="DO81" s="541">
        <f t="shared" si="36"/>
        <v>0</v>
      </c>
      <c r="DP81" s="541">
        <f t="shared" si="36"/>
        <v>0</v>
      </c>
      <c r="DQ81" s="541">
        <f t="shared" si="36"/>
        <v>0</v>
      </c>
      <c r="DR81" s="541">
        <f t="shared" si="36"/>
        <v>0</v>
      </c>
      <c r="DS81" s="541">
        <f t="shared" si="36"/>
        <v>0</v>
      </c>
      <c r="DT81" s="541">
        <f t="shared" si="36"/>
        <v>0</v>
      </c>
      <c r="DU81" s="541">
        <f t="shared" si="36"/>
        <v>0</v>
      </c>
      <c r="DV81" s="541">
        <f t="shared" si="36"/>
        <v>0</v>
      </c>
      <c r="DW81" s="541">
        <f t="shared" si="36"/>
        <v>0</v>
      </c>
      <c r="DX81" s="541">
        <f t="shared" si="36"/>
        <v>0</v>
      </c>
      <c r="DY81" s="541">
        <f t="shared" si="36"/>
        <v>0</v>
      </c>
      <c r="DZ81" s="541">
        <f t="shared" si="36"/>
        <v>0</v>
      </c>
      <c r="EA81" s="541">
        <f t="shared" si="36"/>
        <v>0</v>
      </c>
      <c r="EB81" s="541">
        <f t="shared" si="36"/>
        <v>0</v>
      </c>
      <c r="EC81" s="541">
        <f t="shared" si="36"/>
        <v>13909.446440123251</v>
      </c>
      <c r="ED81" s="541">
        <f t="shared" si="36"/>
        <v>0</v>
      </c>
      <c r="EE81" s="541">
        <f t="shared" si="36"/>
        <v>0</v>
      </c>
      <c r="EF81" s="541">
        <f t="shared" si="36"/>
        <v>0</v>
      </c>
      <c r="EG81" s="541">
        <f t="shared" si="36"/>
        <v>0</v>
      </c>
    </row>
    <row r="83" spans="5:137" ht="12.75">
      <c r="E83" s="538" t="str">
        <f>E$15</f>
        <v>Share capital - subscription</v>
      </c>
      <c r="G83" s="539" t="str">
        <f>G$15</f>
        <v>EUR 000s</v>
      </c>
      <c r="H83" s="539">
        <f>H$15</f>
        <v>13909.446440123251</v>
      </c>
      <c r="J83" s="539">
        <f t="shared" si="37" ref="J83:EG83">J$15</f>
        <v>0</v>
      </c>
      <c r="K83" s="539">
        <f t="shared" si="37"/>
        <v>0</v>
      </c>
      <c r="L83" s="539">
        <f t="shared" si="37"/>
        <v>2263.8599437331595</v>
      </c>
      <c r="M83" s="539">
        <f t="shared" si="37"/>
        <v>2680.138032396706</v>
      </c>
      <c r="N83" s="539">
        <f t="shared" si="37"/>
        <v>2748.296746033674</v>
      </c>
      <c r="O83" s="539">
        <f t="shared" si="37"/>
        <v>2683.6770460953362</v>
      </c>
      <c r="P83" s="539">
        <f t="shared" si="37"/>
        <v>2751.9537268555919</v>
      </c>
      <c r="Q83" s="539">
        <f t="shared" si="37"/>
        <v>781.52094500878286</v>
      </c>
      <c r="R83" s="539">
        <f t="shared" si="37"/>
        <v>0</v>
      </c>
      <c r="S83" s="539">
        <f t="shared" si="37"/>
        <v>0</v>
      </c>
      <c r="T83" s="539">
        <f t="shared" si="37"/>
        <v>0</v>
      </c>
      <c r="U83" s="539">
        <f t="shared" si="37"/>
        <v>0</v>
      </c>
      <c r="V83" s="539">
        <f t="shared" si="37"/>
        <v>0</v>
      </c>
      <c r="W83" s="539">
        <f t="shared" si="37"/>
        <v>0</v>
      </c>
      <c r="X83" s="539">
        <f t="shared" si="37"/>
        <v>0</v>
      </c>
      <c r="Y83" s="539">
        <f t="shared" si="37"/>
        <v>0</v>
      </c>
      <c r="Z83" s="539">
        <f t="shared" si="37"/>
        <v>0</v>
      </c>
      <c r="AA83" s="539">
        <f t="shared" si="37"/>
        <v>0</v>
      </c>
      <c r="AB83" s="539">
        <f t="shared" si="37"/>
        <v>0</v>
      </c>
      <c r="AC83" s="539">
        <f t="shared" si="37"/>
        <v>0</v>
      </c>
      <c r="AD83" s="539">
        <f t="shared" si="37"/>
        <v>0</v>
      </c>
      <c r="AE83" s="539">
        <f t="shared" si="37"/>
        <v>0</v>
      </c>
      <c r="AF83" s="539">
        <f t="shared" si="37"/>
        <v>0</v>
      </c>
      <c r="AG83" s="539">
        <f t="shared" si="37"/>
        <v>0</v>
      </c>
      <c r="AH83" s="539">
        <f t="shared" si="37"/>
        <v>0</v>
      </c>
      <c r="AI83" s="539">
        <f t="shared" si="37"/>
        <v>0</v>
      </c>
      <c r="AJ83" s="539">
        <f t="shared" si="37"/>
        <v>0</v>
      </c>
      <c r="AK83" s="539">
        <f t="shared" si="37"/>
        <v>0</v>
      </c>
      <c r="AL83" s="539">
        <f t="shared" si="37"/>
        <v>0</v>
      </c>
      <c r="AM83" s="539">
        <f t="shared" si="37"/>
        <v>0</v>
      </c>
      <c r="AN83" s="539">
        <f t="shared" si="37"/>
        <v>0</v>
      </c>
      <c r="AO83" s="539">
        <f t="shared" si="37"/>
        <v>0</v>
      </c>
      <c r="AP83" s="539">
        <f t="shared" si="37"/>
        <v>0</v>
      </c>
      <c r="AQ83" s="539">
        <f t="shared" si="37"/>
        <v>0</v>
      </c>
      <c r="AR83" s="539">
        <f t="shared" si="37"/>
        <v>0</v>
      </c>
      <c r="AS83" s="539">
        <f t="shared" si="37"/>
        <v>0</v>
      </c>
      <c r="AT83" s="539">
        <f t="shared" si="37"/>
        <v>0</v>
      </c>
      <c r="AU83" s="539">
        <f t="shared" si="37"/>
        <v>0</v>
      </c>
      <c r="AV83" s="539">
        <f t="shared" si="37"/>
        <v>0</v>
      </c>
      <c r="AW83" s="539">
        <f t="shared" si="37"/>
        <v>0</v>
      </c>
      <c r="AX83" s="539">
        <f t="shared" si="37"/>
        <v>0</v>
      </c>
      <c r="AY83" s="539">
        <f t="shared" si="37"/>
        <v>0</v>
      </c>
      <c r="AZ83" s="539">
        <f t="shared" si="37"/>
        <v>0</v>
      </c>
      <c r="BA83" s="539">
        <f t="shared" si="37"/>
        <v>0</v>
      </c>
      <c r="BB83" s="539">
        <f t="shared" si="37"/>
        <v>0</v>
      </c>
      <c r="BC83" s="539">
        <f t="shared" si="37"/>
        <v>0</v>
      </c>
      <c r="BD83" s="539">
        <f t="shared" si="37"/>
        <v>0</v>
      </c>
      <c r="BE83" s="539">
        <f t="shared" si="37"/>
        <v>0</v>
      </c>
      <c r="BF83" s="539">
        <f t="shared" si="37"/>
        <v>0</v>
      </c>
      <c r="BG83" s="539">
        <f t="shared" si="37"/>
        <v>0</v>
      </c>
      <c r="BH83" s="539">
        <f t="shared" si="37"/>
        <v>0</v>
      </c>
      <c r="BI83" s="539">
        <f t="shared" si="37"/>
        <v>0</v>
      </c>
      <c r="BJ83" s="539">
        <f t="shared" si="37"/>
        <v>0</v>
      </c>
      <c r="BK83" s="539">
        <f t="shared" si="37"/>
        <v>0</v>
      </c>
      <c r="BL83" s="539">
        <f t="shared" si="37"/>
        <v>0</v>
      </c>
      <c r="BM83" s="539">
        <f t="shared" si="37"/>
        <v>0</v>
      </c>
      <c r="BN83" s="539">
        <f t="shared" si="37"/>
        <v>0</v>
      </c>
      <c r="BO83" s="539">
        <f t="shared" si="37"/>
        <v>0</v>
      </c>
      <c r="BP83" s="539">
        <f t="shared" si="37"/>
        <v>0</v>
      </c>
      <c r="BQ83" s="539">
        <f t="shared" si="37"/>
        <v>0</v>
      </c>
      <c r="BR83" s="539">
        <f t="shared" si="37"/>
        <v>0</v>
      </c>
      <c r="BS83" s="539">
        <f t="shared" si="37"/>
        <v>0</v>
      </c>
      <c r="BT83" s="539">
        <f t="shared" si="37"/>
        <v>0</v>
      </c>
      <c r="BU83" s="539">
        <f t="shared" si="37"/>
        <v>0</v>
      </c>
      <c r="BV83" s="539">
        <f t="shared" si="37"/>
        <v>0</v>
      </c>
      <c r="BW83" s="539">
        <f t="shared" si="37"/>
        <v>0</v>
      </c>
      <c r="BX83" s="539">
        <f t="shared" si="37"/>
        <v>0</v>
      </c>
      <c r="BY83" s="539">
        <f t="shared" si="37"/>
        <v>0</v>
      </c>
      <c r="BZ83" s="539">
        <f t="shared" si="37"/>
        <v>0</v>
      </c>
      <c r="CA83" s="539">
        <f t="shared" si="37"/>
        <v>0</v>
      </c>
      <c r="CB83" s="539">
        <f t="shared" si="37"/>
        <v>0</v>
      </c>
      <c r="CC83" s="539">
        <f t="shared" si="37"/>
        <v>0</v>
      </c>
      <c r="CD83" s="539">
        <f t="shared" si="37"/>
        <v>0</v>
      </c>
      <c r="CE83" s="539">
        <f t="shared" si="37"/>
        <v>0</v>
      </c>
      <c r="CF83" s="539">
        <f t="shared" si="37"/>
        <v>0</v>
      </c>
      <c r="CG83" s="539">
        <f t="shared" si="37"/>
        <v>0</v>
      </c>
      <c r="CH83" s="539">
        <f t="shared" si="37"/>
        <v>0</v>
      </c>
      <c r="CI83" s="539">
        <f t="shared" si="37"/>
        <v>0</v>
      </c>
      <c r="CJ83" s="539">
        <f t="shared" si="37"/>
        <v>0</v>
      </c>
      <c r="CK83" s="539">
        <f t="shared" si="37"/>
        <v>0</v>
      </c>
      <c r="CL83" s="539">
        <f t="shared" si="37"/>
        <v>0</v>
      </c>
      <c r="CM83" s="539">
        <f t="shared" si="37"/>
        <v>0</v>
      </c>
      <c r="CN83" s="539">
        <f t="shared" si="37"/>
        <v>0</v>
      </c>
      <c r="CO83" s="539">
        <f t="shared" si="37"/>
        <v>0</v>
      </c>
      <c r="CP83" s="539">
        <f t="shared" si="37"/>
        <v>0</v>
      </c>
      <c r="CQ83" s="539">
        <f t="shared" si="37"/>
        <v>0</v>
      </c>
      <c r="CR83" s="539">
        <f t="shared" si="37"/>
        <v>0</v>
      </c>
      <c r="CS83" s="539">
        <f t="shared" si="37"/>
        <v>0</v>
      </c>
      <c r="CT83" s="539">
        <f t="shared" si="37"/>
        <v>0</v>
      </c>
      <c r="CU83" s="539">
        <f t="shared" si="37"/>
        <v>0</v>
      </c>
      <c r="CV83" s="539">
        <f t="shared" si="37"/>
        <v>0</v>
      </c>
      <c r="CW83" s="539">
        <f t="shared" si="37"/>
        <v>0</v>
      </c>
      <c r="CX83" s="539">
        <f t="shared" si="37"/>
        <v>0</v>
      </c>
      <c r="CY83" s="539">
        <f t="shared" si="37"/>
        <v>0</v>
      </c>
      <c r="CZ83" s="539">
        <f t="shared" si="37"/>
        <v>0</v>
      </c>
      <c r="DA83" s="539">
        <f t="shared" si="37"/>
        <v>0</v>
      </c>
      <c r="DB83" s="539">
        <f t="shared" si="37"/>
        <v>0</v>
      </c>
      <c r="DC83" s="539">
        <f t="shared" si="37"/>
        <v>0</v>
      </c>
      <c r="DD83" s="539">
        <f t="shared" si="37"/>
        <v>0</v>
      </c>
      <c r="DE83" s="539">
        <f t="shared" si="37"/>
        <v>0</v>
      </c>
      <c r="DF83" s="539">
        <f t="shared" si="37"/>
        <v>0</v>
      </c>
      <c r="DG83" s="539">
        <f t="shared" si="37"/>
        <v>0</v>
      </c>
      <c r="DH83" s="539">
        <f t="shared" si="37"/>
        <v>0</v>
      </c>
      <c r="DI83" s="539">
        <f t="shared" si="37"/>
        <v>0</v>
      </c>
      <c r="DJ83" s="539">
        <f t="shared" si="37"/>
        <v>0</v>
      </c>
      <c r="DK83" s="539">
        <f t="shared" si="37"/>
        <v>0</v>
      </c>
      <c r="DL83" s="539">
        <f t="shared" si="37"/>
        <v>0</v>
      </c>
      <c r="DM83" s="539">
        <f t="shared" si="37"/>
        <v>0</v>
      </c>
      <c r="DN83" s="539">
        <f t="shared" si="37"/>
        <v>0</v>
      </c>
      <c r="DO83" s="539">
        <f t="shared" si="37"/>
        <v>0</v>
      </c>
      <c r="DP83" s="539">
        <f t="shared" si="37"/>
        <v>0</v>
      </c>
      <c r="DQ83" s="539">
        <f t="shared" si="37"/>
        <v>0</v>
      </c>
      <c r="DR83" s="539">
        <f t="shared" si="37"/>
        <v>0</v>
      </c>
      <c r="DS83" s="539">
        <f t="shared" si="37"/>
        <v>0</v>
      </c>
      <c r="DT83" s="539">
        <f t="shared" si="37"/>
        <v>0</v>
      </c>
      <c r="DU83" s="539">
        <f t="shared" si="37"/>
        <v>0</v>
      </c>
      <c r="DV83" s="539">
        <f t="shared" si="37"/>
        <v>0</v>
      </c>
      <c r="DW83" s="539">
        <f t="shared" si="37"/>
        <v>0</v>
      </c>
      <c r="DX83" s="539">
        <f t="shared" si="37"/>
        <v>0</v>
      </c>
      <c r="DY83" s="539">
        <f t="shared" si="37"/>
        <v>0</v>
      </c>
      <c r="DZ83" s="539">
        <f t="shared" si="37"/>
        <v>0</v>
      </c>
      <c r="EA83" s="539">
        <f t="shared" si="37"/>
        <v>0</v>
      </c>
      <c r="EB83" s="539">
        <f t="shared" si="37"/>
        <v>0</v>
      </c>
      <c r="EC83" s="539">
        <f t="shared" si="37"/>
        <v>0</v>
      </c>
      <c r="ED83" s="539">
        <f t="shared" si="37"/>
        <v>0</v>
      </c>
      <c r="EE83" s="539">
        <f t="shared" si="37"/>
        <v>0</v>
      </c>
      <c r="EF83" s="539">
        <f t="shared" si="37"/>
        <v>0</v>
      </c>
      <c r="EG83" s="539">
        <f t="shared" si="37"/>
        <v>0</v>
      </c>
    </row>
    <row r="84" spans="5:137" ht="12.75">
      <c r="E84" s="538" t="str">
        <f>E$75</f>
        <v>Share capital - opening balance</v>
      </c>
      <c r="G84" s="539" t="str">
        <f>G$75</f>
        <v>EUR 000s</v>
      </c>
      <c r="H84" s="539">
        <f>H$75</f>
        <v>1651899.8369596973</v>
      </c>
      <c r="J84" s="539">
        <f t="shared" si="38" ref="J84:EG84">J$75</f>
        <v>0</v>
      </c>
      <c r="K84" s="539">
        <f t="shared" si="38"/>
        <v>0</v>
      </c>
      <c r="L84" s="539">
        <f t="shared" si="38"/>
        <v>0</v>
      </c>
      <c r="M84" s="539">
        <f t="shared" si="38"/>
        <v>2263.8599437331595</v>
      </c>
      <c r="N84" s="539">
        <f t="shared" si="38"/>
        <v>4943.9979761298655</v>
      </c>
      <c r="O84" s="539">
        <f t="shared" si="38"/>
        <v>7692.2947221635395</v>
      </c>
      <c r="P84" s="539">
        <f t="shared" si="38"/>
        <v>10375.971768258876</v>
      </c>
      <c r="Q84" s="539">
        <f t="shared" si="38"/>
        <v>13127.925495114469</v>
      </c>
      <c r="R84" s="539">
        <f t="shared" si="38"/>
        <v>13909.446440123251</v>
      </c>
      <c r="S84" s="539">
        <f t="shared" si="38"/>
        <v>13909.446440123251</v>
      </c>
      <c r="T84" s="539">
        <f t="shared" si="38"/>
        <v>13909.446440123251</v>
      </c>
      <c r="U84" s="539">
        <f t="shared" si="38"/>
        <v>13909.446440123251</v>
      </c>
      <c r="V84" s="539">
        <f t="shared" si="38"/>
        <v>13909.446440123251</v>
      </c>
      <c r="W84" s="539">
        <f t="shared" si="38"/>
        <v>13909.446440123251</v>
      </c>
      <c r="X84" s="539">
        <f t="shared" si="38"/>
        <v>13909.446440123251</v>
      </c>
      <c r="Y84" s="539">
        <f t="shared" si="38"/>
        <v>13909.446440123251</v>
      </c>
      <c r="Z84" s="539">
        <f t="shared" si="38"/>
        <v>13909.446440123251</v>
      </c>
      <c r="AA84" s="539">
        <f t="shared" si="38"/>
        <v>13909.446440123251</v>
      </c>
      <c r="AB84" s="539">
        <f t="shared" si="38"/>
        <v>13909.446440123251</v>
      </c>
      <c r="AC84" s="539">
        <f t="shared" si="38"/>
        <v>13909.446440123251</v>
      </c>
      <c r="AD84" s="539">
        <f t="shared" si="38"/>
        <v>13909.446440123251</v>
      </c>
      <c r="AE84" s="539">
        <f t="shared" si="38"/>
        <v>13909.446440123251</v>
      </c>
      <c r="AF84" s="539">
        <f t="shared" si="38"/>
        <v>13909.446440123251</v>
      </c>
      <c r="AG84" s="539">
        <f t="shared" si="38"/>
        <v>13909.446440123251</v>
      </c>
      <c r="AH84" s="539">
        <f t="shared" si="38"/>
        <v>13909.446440123251</v>
      </c>
      <c r="AI84" s="539">
        <f t="shared" si="38"/>
        <v>13909.446440123251</v>
      </c>
      <c r="AJ84" s="539">
        <f t="shared" si="38"/>
        <v>13909.446440123251</v>
      </c>
      <c r="AK84" s="539">
        <f t="shared" si="38"/>
        <v>13909.446440123251</v>
      </c>
      <c r="AL84" s="539">
        <f t="shared" si="38"/>
        <v>13909.446440123251</v>
      </c>
      <c r="AM84" s="539">
        <f t="shared" si="38"/>
        <v>13909.446440123251</v>
      </c>
      <c r="AN84" s="539">
        <f t="shared" si="38"/>
        <v>13909.446440123251</v>
      </c>
      <c r="AO84" s="539">
        <f t="shared" si="38"/>
        <v>13909.446440123251</v>
      </c>
      <c r="AP84" s="539">
        <f t="shared" si="38"/>
        <v>13909.446440123251</v>
      </c>
      <c r="AQ84" s="539">
        <f t="shared" si="38"/>
        <v>13909.446440123251</v>
      </c>
      <c r="AR84" s="539">
        <f t="shared" si="38"/>
        <v>13909.446440123251</v>
      </c>
      <c r="AS84" s="539">
        <f t="shared" si="38"/>
        <v>13909.446440123251</v>
      </c>
      <c r="AT84" s="539">
        <f t="shared" si="38"/>
        <v>13909.446440123251</v>
      </c>
      <c r="AU84" s="539">
        <f t="shared" si="38"/>
        <v>13909.446440123251</v>
      </c>
      <c r="AV84" s="539">
        <f t="shared" si="38"/>
        <v>13909.446440123251</v>
      </c>
      <c r="AW84" s="539">
        <f t="shared" si="38"/>
        <v>13909.446440123251</v>
      </c>
      <c r="AX84" s="539">
        <f t="shared" si="38"/>
        <v>13909.446440123251</v>
      </c>
      <c r="AY84" s="539">
        <f t="shared" si="38"/>
        <v>13909.446440123251</v>
      </c>
      <c r="AZ84" s="539">
        <f t="shared" si="38"/>
        <v>13909.446440123251</v>
      </c>
      <c r="BA84" s="539">
        <f t="shared" si="38"/>
        <v>13909.446440123251</v>
      </c>
      <c r="BB84" s="539">
        <f t="shared" si="38"/>
        <v>13909.446440123251</v>
      </c>
      <c r="BC84" s="539">
        <f t="shared" si="38"/>
        <v>13909.446440123251</v>
      </c>
      <c r="BD84" s="539">
        <f t="shared" si="38"/>
        <v>13909.446440123251</v>
      </c>
      <c r="BE84" s="539">
        <f t="shared" si="38"/>
        <v>13909.446440123251</v>
      </c>
      <c r="BF84" s="539">
        <f t="shared" si="38"/>
        <v>13909.446440123251</v>
      </c>
      <c r="BG84" s="539">
        <f t="shared" si="38"/>
        <v>13909.446440123251</v>
      </c>
      <c r="BH84" s="539">
        <f t="shared" si="38"/>
        <v>13909.446440123251</v>
      </c>
      <c r="BI84" s="539">
        <f t="shared" si="38"/>
        <v>13909.446440123251</v>
      </c>
      <c r="BJ84" s="539">
        <f t="shared" si="38"/>
        <v>13909.446440123251</v>
      </c>
      <c r="BK84" s="539">
        <f t="shared" si="38"/>
        <v>13909.446440123251</v>
      </c>
      <c r="BL84" s="539">
        <f t="shared" si="38"/>
        <v>13909.446440123251</v>
      </c>
      <c r="BM84" s="539">
        <f t="shared" si="38"/>
        <v>13909.446440123251</v>
      </c>
      <c r="BN84" s="539">
        <f t="shared" si="38"/>
        <v>13909.446440123251</v>
      </c>
      <c r="BO84" s="539">
        <f t="shared" si="38"/>
        <v>13909.446440123251</v>
      </c>
      <c r="BP84" s="539">
        <f t="shared" si="38"/>
        <v>13909.446440123251</v>
      </c>
      <c r="BQ84" s="539">
        <f t="shared" si="38"/>
        <v>13909.446440123251</v>
      </c>
      <c r="BR84" s="539">
        <f t="shared" si="38"/>
        <v>13909.446440123251</v>
      </c>
      <c r="BS84" s="539">
        <f t="shared" si="38"/>
        <v>13909.446440123251</v>
      </c>
      <c r="BT84" s="539">
        <f t="shared" si="38"/>
        <v>13909.446440123251</v>
      </c>
      <c r="BU84" s="539">
        <f t="shared" si="38"/>
        <v>13909.446440123251</v>
      </c>
      <c r="BV84" s="539">
        <f t="shared" si="38"/>
        <v>13909.446440123251</v>
      </c>
      <c r="BW84" s="539">
        <f t="shared" si="38"/>
        <v>13909.446440123251</v>
      </c>
      <c r="BX84" s="539">
        <f t="shared" si="38"/>
        <v>13909.446440123251</v>
      </c>
      <c r="BY84" s="539">
        <f t="shared" si="38"/>
        <v>13909.446440123251</v>
      </c>
      <c r="BZ84" s="539">
        <f t="shared" si="38"/>
        <v>13909.446440123251</v>
      </c>
      <c r="CA84" s="539">
        <f t="shared" si="38"/>
        <v>13909.446440123251</v>
      </c>
      <c r="CB84" s="539">
        <f t="shared" si="38"/>
        <v>13909.446440123251</v>
      </c>
      <c r="CC84" s="539">
        <f t="shared" si="38"/>
        <v>13909.446440123251</v>
      </c>
      <c r="CD84" s="539">
        <f t="shared" si="38"/>
        <v>13909.446440123251</v>
      </c>
      <c r="CE84" s="539">
        <f t="shared" si="38"/>
        <v>13909.446440123251</v>
      </c>
      <c r="CF84" s="539">
        <f t="shared" si="38"/>
        <v>13909.446440123251</v>
      </c>
      <c r="CG84" s="539">
        <f t="shared" si="38"/>
        <v>13909.446440123251</v>
      </c>
      <c r="CH84" s="539">
        <f t="shared" si="38"/>
        <v>13909.446440123251</v>
      </c>
      <c r="CI84" s="539">
        <f t="shared" si="38"/>
        <v>13909.446440123251</v>
      </c>
      <c r="CJ84" s="539">
        <f t="shared" si="38"/>
        <v>13909.446440123251</v>
      </c>
      <c r="CK84" s="539">
        <f t="shared" si="38"/>
        <v>13909.446440123251</v>
      </c>
      <c r="CL84" s="539">
        <f t="shared" si="38"/>
        <v>13909.446440123251</v>
      </c>
      <c r="CM84" s="539">
        <f t="shared" si="38"/>
        <v>13909.446440123251</v>
      </c>
      <c r="CN84" s="539">
        <f t="shared" si="38"/>
        <v>13909.446440123251</v>
      </c>
      <c r="CO84" s="539">
        <f t="shared" si="38"/>
        <v>13909.446440123251</v>
      </c>
      <c r="CP84" s="539">
        <f t="shared" si="38"/>
        <v>13909.446440123251</v>
      </c>
      <c r="CQ84" s="539">
        <f t="shared" si="38"/>
        <v>13909.446440123251</v>
      </c>
      <c r="CR84" s="539">
        <f t="shared" si="38"/>
        <v>13909.446440123251</v>
      </c>
      <c r="CS84" s="539">
        <f t="shared" si="38"/>
        <v>13909.446440123251</v>
      </c>
      <c r="CT84" s="539">
        <f t="shared" si="38"/>
        <v>13909.446440123251</v>
      </c>
      <c r="CU84" s="539">
        <f t="shared" si="38"/>
        <v>13909.446440123251</v>
      </c>
      <c r="CV84" s="539">
        <f t="shared" si="38"/>
        <v>13909.446440123251</v>
      </c>
      <c r="CW84" s="539">
        <f t="shared" si="38"/>
        <v>13909.446440123251</v>
      </c>
      <c r="CX84" s="539">
        <f t="shared" si="38"/>
        <v>13909.446440123251</v>
      </c>
      <c r="CY84" s="539">
        <f t="shared" si="38"/>
        <v>13909.446440123251</v>
      </c>
      <c r="CZ84" s="539">
        <f t="shared" si="38"/>
        <v>13909.446440123251</v>
      </c>
      <c r="DA84" s="539">
        <f t="shared" si="38"/>
        <v>13909.446440123251</v>
      </c>
      <c r="DB84" s="539">
        <f t="shared" si="38"/>
        <v>13909.446440123251</v>
      </c>
      <c r="DC84" s="539">
        <f t="shared" si="38"/>
        <v>13909.446440123251</v>
      </c>
      <c r="DD84" s="539">
        <f t="shared" si="38"/>
        <v>13909.446440123251</v>
      </c>
      <c r="DE84" s="539">
        <f t="shared" si="38"/>
        <v>13909.446440123251</v>
      </c>
      <c r="DF84" s="539">
        <f t="shared" si="38"/>
        <v>13909.446440123251</v>
      </c>
      <c r="DG84" s="539">
        <f t="shared" si="38"/>
        <v>13909.446440123251</v>
      </c>
      <c r="DH84" s="539">
        <f t="shared" si="38"/>
        <v>13909.446440123251</v>
      </c>
      <c r="DI84" s="539">
        <f t="shared" si="38"/>
        <v>13909.446440123251</v>
      </c>
      <c r="DJ84" s="539">
        <f t="shared" si="38"/>
        <v>13909.446440123251</v>
      </c>
      <c r="DK84" s="539">
        <f t="shared" si="38"/>
        <v>13909.446440123251</v>
      </c>
      <c r="DL84" s="539">
        <f t="shared" si="38"/>
        <v>13909.446440123251</v>
      </c>
      <c r="DM84" s="539">
        <f t="shared" si="38"/>
        <v>13909.446440123251</v>
      </c>
      <c r="DN84" s="539">
        <f t="shared" si="38"/>
        <v>13909.446440123251</v>
      </c>
      <c r="DO84" s="539">
        <f t="shared" si="38"/>
        <v>13909.446440123251</v>
      </c>
      <c r="DP84" s="539">
        <f t="shared" si="38"/>
        <v>13909.446440123251</v>
      </c>
      <c r="DQ84" s="539">
        <f t="shared" si="38"/>
        <v>13909.446440123251</v>
      </c>
      <c r="DR84" s="539">
        <f t="shared" si="38"/>
        <v>13909.446440123251</v>
      </c>
      <c r="DS84" s="539">
        <f t="shared" si="38"/>
        <v>13909.446440123251</v>
      </c>
      <c r="DT84" s="539">
        <f t="shared" si="38"/>
        <v>13909.446440123251</v>
      </c>
      <c r="DU84" s="539">
        <f t="shared" si="38"/>
        <v>13909.446440123251</v>
      </c>
      <c r="DV84" s="539">
        <f t="shared" si="38"/>
        <v>13909.446440123251</v>
      </c>
      <c r="DW84" s="539">
        <f t="shared" si="38"/>
        <v>13909.446440123251</v>
      </c>
      <c r="DX84" s="539">
        <f t="shared" si="38"/>
        <v>13909.446440123251</v>
      </c>
      <c r="DY84" s="539">
        <f t="shared" si="38"/>
        <v>13909.446440123251</v>
      </c>
      <c r="DZ84" s="539">
        <f t="shared" si="38"/>
        <v>13909.446440123251</v>
      </c>
      <c r="EA84" s="539">
        <f t="shared" si="38"/>
        <v>13909.446440123251</v>
      </c>
      <c r="EB84" s="539">
        <f t="shared" si="38"/>
        <v>13909.446440123251</v>
      </c>
      <c r="EC84" s="539">
        <f t="shared" si="38"/>
        <v>13909.446440123251</v>
      </c>
      <c r="ED84" s="539">
        <f t="shared" si="38"/>
        <v>0</v>
      </c>
      <c r="EE84" s="539">
        <f t="shared" si="38"/>
        <v>0</v>
      </c>
      <c r="EF84" s="539">
        <f t="shared" si="38"/>
        <v>0</v>
      </c>
      <c r="EG84" s="539">
        <f t="shared" si="38"/>
        <v>0</v>
      </c>
    </row>
    <row r="85" spans="5:137" ht="12.75">
      <c r="E85" s="538" t="str">
        <f>E$81</f>
        <v>Share capital - redeemed from operations end</v>
      </c>
      <c r="G85" s="539" t="str">
        <f>G$81</f>
        <v>EUR 000s</v>
      </c>
      <c r="H85" s="539">
        <f>H$81</f>
        <v>13909.446440123251</v>
      </c>
      <c r="J85" s="539">
        <f t="shared" si="39" ref="J85:EG85">J$81</f>
        <v>0</v>
      </c>
      <c r="K85" s="539">
        <f t="shared" si="39"/>
        <v>0</v>
      </c>
      <c r="L85" s="539">
        <f t="shared" si="39"/>
        <v>0</v>
      </c>
      <c r="M85" s="539">
        <f t="shared" si="39"/>
        <v>0</v>
      </c>
      <c r="N85" s="539">
        <f t="shared" si="39"/>
        <v>0</v>
      </c>
      <c r="O85" s="539">
        <f t="shared" si="39"/>
        <v>0</v>
      </c>
      <c r="P85" s="539">
        <f t="shared" si="39"/>
        <v>0</v>
      </c>
      <c r="Q85" s="539">
        <f t="shared" si="39"/>
        <v>0</v>
      </c>
      <c r="R85" s="539">
        <f t="shared" si="39"/>
        <v>0</v>
      </c>
      <c r="S85" s="539">
        <f t="shared" si="39"/>
        <v>0</v>
      </c>
      <c r="T85" s="539">
        <f t="shared" si="39"/>
        <v>0</v>
      </c>
      <c r="U85" s="539">
        <f t="shared" si="39"/>
        <v>0</v>
      </c>
      <c r="V85" s="539">
        <f t="shared" si="39"/>
        <v>0</v>
      </c>
      <c r="W85" s="539">
        <f t="shared" si="39"/>
        <v>0</v>
      </c>
      <c r="X85" s="539">
        <f t="shared" si="39"/>
        <v>0</v>
      </c>
      <c r="Y85" s="539">
        <f t="shared" si="39"/>
        <v>0</v>
      </c>
      <c r="Z85" s="539">
        <f t="shared" si="39"/>
        <v>0</v>
      </c>
      <c r="AA85" s="539">
        <f t="shared" si="39"/>
        <v>0</v>
      </c>
      <c r="AB85" s="539">
        <f t="shared" si="39"/>
        <v>0</v>
      </c>
      <c r="AC85" s="539">
        <f t="shared" si="39"/>
        <v>0</v>
      </c>
      <c r="AD85" s="539">
        <f t="shared" si="39"/>
        <v>0</v>
      </c>
      <c r="AE85" s="539">
        <f t="shared" si="39"/>
        <v>0</v>
      </c>
      <c r="AF85" s="539">
        <f t="shared" si="39"/>
        <v>0</v>
      </c>
      <c r="AG85" s="539">
        <f t="shared" si="39"/>
        <v>0</v>
      </c>
      <c r="AH85" s="539">
        <f t="shared" si="39"/>
        <v>0</v>
      </c>
      <c r="AI85" s="539">
        <f t="shared" si="39"/>
        <v>0</v>
      </c>
      <c r="AJ85" s="539">
        <f t="shared" si="39"/>
        <v>0</v>
      </c>
      <c r="AK85" s="539">
        <f t="shared" si="39"/>
        <v>0</v>
      </c>
      <c r="AL85" s="539">
        <f t="shared" si="39"/>
        <v>0</v>
      </c>
      <c r="AM85" s="539">
        <f t="shared" si="39"/>
        <v>0</v>
      </c>
      <c r="AN85" s="539">
        <f t="shared" si="39"/>
        <v>0</v>
      </c>
      <c r="AO85" s="539">
        <f t="shared" si="39"/>
        <v>0</v>
      </c>
      <c r="AP85" s="539">
        <f t="shared" si="39"/>
        <v>0</v>
      </c>
      <c r="AQ85" s="539">
        <f t="shared" si="39"/>
        <v>0</v>
      </c>
      <c r="AR85" s="539">
        <f t="shared" si="39"/>
        <v>0</v>
      </c>
      <c r="AS85" s="539">
        <f t="shared" si="39"/>
        <v>0</v>
      </c>
      <c r="AT85" s="539">
        <f t="shared" si="39"/>
        <v>0</v>
      </c>
      <c r="AU85" s="539">
        <f t="shared" si="39"/>
        <v>0</v>
      </c>
      <c r="AV85" s="539">
        <f t="shared" si="39"/>
        <v>0</v>
      </c>
      <c r="AW85" s="539">
        <f t="shared" si="39"/>
        <v>0</v>
      </c>
      <c r="AX85" s="539">
        <f t="shared" si="39"/>
        <v>0</v>
      </c>
      <c r="AY85" s="539">
        <f t="shared" si="39"/>
        <v>0</v>
      </c>
      <c r="AZ85" s="539">
        <f t="shared" si="39"/>
        <v>0</v>
      </c>
      <c r="BA85" s="539">
        <f t="shared" si="39"/>
        <v>0</v>
      </c>
      <c r="BB85" s="539">
        <f t="shared" si="39"/>
        <v>0</v>
      </c>
      <c r="BC85" s="539">
        <f t="shared" si="39"/>
        <v>0</v>
      </c>
      <c r="BD85" s="539">
        <f t="shared" si="39"/>
        <v>0</v>
      </c>
      <c r="BE85" s="539">
        <f t="shared" si="39"/>
        <v>0</v>
      </c>
      <c r="BF85" s="539">
        <f t="shared" si="39"/>
        <v>0</v>
      </c>
      <c r="BG85" s="539">
        <f t="shared" si="39"/>
        <v>0</v>
      </c>
      <c r="BH85" s="539">
        <f t="shared" si="39"/>
        <v>0</v>
      </c>
      <c r="BI85" s="539">
        <f t="shared" si="39"/>
        <v>0</v>
      </c>
      <c r="BJ85" s="539">
        <f t="shared" si="39"/>
        <v>0</v>
      </c>
      <c r="BK85" s="539">
        <f t="shared" si="39"/>
        <v>0</v>
      </c>
      <c r="BL85" s="539">
        <f t="shared" si="39"/>
        <v>0</v>
      </c>
      <c r="BM85" s="539">
        <f t="shared" si="39"/>
        <v>0</v>
      </c>
      <c r="BN85" s="539">
        <f t="shared" si="39"/>
        <v>0</v>
      </c>
      <c r="BO85" s="539">
        <f t="shared" si="39"/>
        <v>0</v>
      </c>
      <c r="BP85" s="539">
        <f t="shared" si="39"/>
        <v>0</v>
      </c>
      <c r="BQ85" s="539">
        <f t="shared" si="39"/>
        <v>0</v>
      </c>
      <c r="BR85" s="539">
        <f t="shared" si="39"/>
        <v>0</v>
      </c>
      <c r="BS85" s="539">
        <f t="shared" si="39"/>
        <v>0</v>
      </c>
      <c r="BT85" s="539">
        <f t="shared" si="39"/>
        <v>0</v>
      </c>
      <c r="BU85" s="539">
        <f t="shared" si="39"/>
        <v>0</v>
      </c>
      <c r="BV85" s="539">
        <f t="shared" si="39"/>
        <v>0</v>
      </c>
      <c r="BW85" s="539">
        <f t="shared" si="39"/>
        <v>0</v>
      </c>
      <c r="BX85" s="539">
        <f t="shared" si="39"/>
        <v>0</v>
      </c>
      <c r="BY85" s="539">
        <f t="shared" si="39"/>
        <v>0</v>
      </c>
      <c r="BZ85" s="539">
        <f t="shared" si="39"/>
        <v>0</v>
      </c>
      <c r="CA85" s="539">
        <f t="shared" si="39"/>
        <v>0</v>
      </c>
      <c r="CB85" s="539">
        <f t="shared" si="39"/>
        <v>0</v>
      </c>
      <c r="CC85" s="539">
        <f t="shared" si="39"/>
        <v>0</v>
      </c>
      <c r="CD85" s="539">
        <f t="shared" si="39"/>
        <v>0</v>
      </c>
      <c r="CE85" s="539">
        <f t="shared" si="39"/>
        <v>0</v>
      </c>
      <c r="CF85" s="539">
        <f t="shared" si="39"/>
        <v>0</v>
      </c>
      <c r="CG85" s="539">
        <f t="shared" si="39"/>
        <v>0</v>
      </c>
      <c r="CH85" s="539">
        <f t="shared" si="39"/>
        <v>0</v>
      </c>
      <c r="CI85" s="539">
        <f t="shared" si="39"/>
        <v>0</v>
      </c>
      <c r="CJ85" s="539">
        <f t="shared" si="39"/>
        <v>0</v>
      </c>
      <c r="CK85" s="539">
        <f t="shared" si="39"/>
        <v>0</v>
      </c>
      <c r="CL85" s="539">
        <f t="shared" si="39"/>
        <v>0</v>
      </c>
      <c r="CM85" s="539">
        <f t="shared" si="39"/>
        <v>0</v>
      </c>
      <c r="CN85" s="539">
        <f t="shared" si="39"/>
        <v>0</v>
      </c>
      <c r="CO85" s="539">
        <f t="shared" si="39"/>
        <v>0</v>
      </c>
      <c r="CP85" s="539">
        <f t="shared" si="39"/>
        <v>0</v>
      </c>
      <c r="CQ85" s="539">
        <f t="shared" si="39"/>
        <v>0</v>
      </c>
      <c r="CR85" s="539">
        <f t="shared" si="39"/>
        <v>0</v>
      </c>
      <c r="CS85" s="539">
        <f t="shared" si="39"/>
        <v>0</v>
      </c>
      <c r="CT85" s="539">
        <f t="shared" si="39"/>
        <v>0</v>
      </c>
      <c r="CU85" s="539">
        <f t="shared" si="39"/>
        <v>0</v>
      </c>
      <c r="CV85" s="539">
        <f t="shared" si="39"/>
        <v>0</v>
      </c>
      <c r="CW85" s="539">
        <f t="shared" si="39"/>
        <v>0</v>
      </c>
      <c r="CX85" s="539">
        <f t="shared" si="39"/>
        <v>0</v>
      </c>
      <c r="CY85" s="539">
        <f t="shared" si="39"/>
        <v>0</v>
      </c>
      <c r="CZ85" s="539">
        <f t="shared" si="39"/>
        <v>0</v>
      </c>
      <c r="DA85" s="539">
        <f t="shared" si="39"/>
        <v>0</v>
      </c>
      <c r="DB85" s="539">
        <f t="shared" si="39"/>
        <v>0</v>
      </c>
      <c r="DC85" s="539">
        <f t="shared" si="39"/>
        <v>0</v>
      </c>
      <c r="DD85" s="539">
        <f t="shared" si="39"/>
        <v>0</v>
      </c>
      <c r="DE85" s="539">
        <f t="shared" si="39"/>
        <v>0</v>
      </c>
      <c r="DF85" s="539">
        <f t="shared" si="39"/>
        <v>0</v>
      </c>
      <c r="DG85" s="539">
        <f t="shared" si="39"/>
        <v>0</v>
      </c>
      <c r="DH85" s="539">
        <f t="shared" si="39"/>
        <v>0</v>
      </c>
      <c r="DI85" s="539">
        <f t="shared" si="39"/>
        <v>0</v>
      </c>
      <c r="DJ85" s="539">
        <f t="shared" si="39"/>
        <v>0</v>
      </c>
      <c r="DK85" s="539">
        <f t="shared" si="39"/>
        <v>0</v>
      </c>
      <c r="DL85" s="539">
        <f t="shared" si="39"/>
        <v>0</v>
      </c>
      <c r="DM85" s="539">
        <f t="shared" si="39"/>
        <v>0</v>
      </c>
      <c r="DN85" s="539">
        <f t="shared" si="39"/>
        <v>0</v>
      </c>
      <c r="DO85" s="539">
        <f t="shared" si="39"/>
        <v>0</v>
      </c>
      <c r="DP85" s="539">
        <f t="shared" si="39"/>
        <v>0</v>
      </c>
      <c r="DQ85" s="539">
        <f t="shared" si="39"/>
        <v>0</v>
      </c>
      <c r="DR85" s="539">
        <f t="shared" si="39"/>
        <v>0</v>
      </c>
      <c r="DS85" s="539">
        <f t="shared" si="39"/>
        <v>0</v>
      </c>
      <c r="DT85" s="539">
        <f t="shared" si="39"/>
        <v>0</v>
      </c>
      <c r="DU85" s="539">
        <f t="shared" si="39"/>
        <v>0</v>
      </c>
      <c r="DV85" s="539">
        <f t="shared" si="39"/>
        <v>0</v>
      </c>
      <c r="DW85" s="539">
        <f t="shared" si="39"/>
        <v>0</v>
      </c>
      <c r="DX85" s="539">
        <f t="shared" si="39"/>
        <v>0</v>
      </c>
      <c r="DY85" s="539">
        <f t="shared" si="39"/>
        <v>0</v>
      </c>
      <c r="DZ85" s="539">
        <f t="shared" si="39"/>
        <v>0</v>
      </c>
      <c r="EA85" s="539">
        <f t="shared" si="39"/>
        <v>0</v>
      </c>
      <c r="EB85" s="539">
        <f t="shared" si="39"/>
        <v>0</v>
      </c>
      <c r="EC85" s="539">
        <f t="shared" si="39"/>
        <v>13909.446440123251</v>
      </c>
      <c r="ED85" s="539">
        <f t="shared" si="39"/>
        <v>0</v>
      </c>
      <c r="EE85" s="539">
        <f t="shared" si="39"/>
        <v>0</v>
      </c>
      <c r="EF85" s="539">
        <f t="shared" si="39"/>
        <v>0</v>
      </c>
      <c r="EG85" s="539">
        <f t="shared" si="39"/>
        <v>0</v>
      </c>
    </row>
    <row r="86" spans="5:137" ht="12.75">
      <c r="E86" s="540" t="s">
        <v>482</v>
      </c>
      <c r="G86" s="541" t="s">
        <v>30</v>
      </c>
      <c r="H86" s="541">
        <f>SUM(J86:EG86)</f>
        <v>1651899.8369596973</v>
      </c>
      <c r="J86" s="541">
        <f t="shared" si="40" ref="J86:EG86">J84+J83-J85</f>
        <v>0</v>
      </c>
      <c r="K86" s="541">
        <f t="shared" si="40"/>
        <v>0</v>
      </c>
      <c r="L86" s="541">
        <f t="shared" si="40"/>
        <v>2263.8599437331595</v>
      </c>
      <c r="M86" s="541">
        <f t="shared" si="40"/>
        <v>4943.9979761298655</v>
      </c>
      <c r="N86" s="541">
        <f t="shared" si="40"/>
        <v>7692.2947221635395</v>
      </c>
      <c r="O86" s="541">
        <f t="shared" si="40"/>
        <v>10375.971768258876</v>
      </c>
      <c r="P86" s="541">
        <f t="shared" si="40"/>
        <v>13127.925495114469</v>
      </c>
      <c r="Q86" s="541">
        <f t="shared" si="40"/>
        <v>13909.446440123251</v>
      </c>
      <c r="R86" s="541">
        <f t="shared" si="40"/>
        <v>13909.446440123251</v>
      </c>
      <c r="S86" s="541">
        <f t="shared" si="40"/>
        <v>13909.446440123251</v>
      </c>
      <c r="T86" s="541">
        <f t="shared" si="40"/>
        <v>13909.446440123251</v>
      </c>
      <c r="U86" s="541">
        <f t="shared" si="40"/>
        <v>13909.446440123251</v>
      </c>
      <c r="V86" s="541">
        <f t="shared" si="40"/>
        <v>13909.446440123251</v>
      </c>
      <c r="W86" s="541">
        <f t="shared" si="40"/>
        <v>13909.446440123251</v>
      </c>
      <c r="X86" s="541">
        <f t="shared" si="40"/>
        <v>13909.446440123251</v>
      </c>
      <c r="Y86" s="541">
        <f t="shared" si="40"/>
        <v>13909.446440123251</v>
      </c>
      <c r="Z86" s="541">
        <f t="shared" si="40"/>
        <v>13909.446440123251</v>
      </c>
      <c r="AA86" s="541">
        <f t="shared" si="40"/>
        <v>13909.446440123251</v>
      </c>
      <c r="AB86" s="541">
        <f t="shared" si="40"/>
        <v>13909.446440123251</v>
      </c>
      <c r="AC86" s="541">
        <f t="shared" si="40"/>
        <v>13909.446440123251</v>
      </c>
      <c r="AD86" s="541">
        <f t="shared" si="40"/>
        <v>13909.446440123251</v>
      </c>
      <c r="AE86" s="541">
        <f t="shared" si="40"/>
        <v>13909.446440123251</v>
      </c>
      <c r="AF86" s="541">
        <f t="shared" si="40"/>
        <v>13909.446440123251</v>
      </c>
      <c r="AG86" s="541">
        <f t="shared" si="40"/>
        <v>13909.446440123251</v>
      </c>
      <c r="AH86" s="541">
        <f t="shared" si="40"/>
        <v>13909.446440123251</v>
      </c>
      <c r="AI86" s="541">
        <f t="shared" si="40"/>
        <v>13909.446440123251</v>
      </c>
      <c r="AJ86" s="541">
        <f t="shared" si="40"/>
        <v>13909.446440123251</v>
      </c>
      <c r="AK86" s="541">
        <f t="shared" si="40"/>
        <v>13909.446440123251</v>
      </c>
      <c r="AL86" s="541">
        <f t="shared" si="40"/>
        <v>13909.446440123251</v>
      </c>
      <c r="AM86" s="541">
        <f t="shared" si="40"/>
        <v>13909.446440123251</v>
      </c>
      <c r="AN86" s="541">
        <f t="shared" si="40"/>
        <v>13909.446440123251</v>
      </c>
      <c r="AO86" s="541">
        <f t="shared" si="40"/>
        <v>13909.446440123251</v>
      </c>
      <c r="AP86" s="541">
        <f t="shared" si="40"/>
        <v>13909.446440123251</v>
      </c>
      <c r="AQ86" s="541">
        <f t="shared" si="40"/>
        <v>13909.446440123251</v>
      </c>
      <c r="AR86" s="541">
        <f t="shared" si="40"/>
        <v>13909.446440123251</v>
      </c>
      <c r="AS86" s="541">
        <f t="shared" si="40"/>
        <v>13909.446440123251</v>
      </c>
      <c r="AT86" s="541">
        <f t="shared" si="40"/>
        <v>13909.446440123251</v>
      </c>
      <c r="AU86" s="541">
        <f t="shared" si="40"/>
        <v>13909.446440123251</v>
      </c>
      <c r="AV86" s="541">
        <f t="shared" si="40"/>
        <v>13909.446440123251</v>
      </c>
      <c r="AW86" s="541">
        <f t="shared" si="40"/>
        <v>13909.446440123251</v>
      </c>
      <c r="AX86" s="541">
        <f t="shared" si="40"/>
        <v>13909.446440123251</v>
      </c>
      <c r="AY86" s="541">
        <f t="shared" si="40"/>
        <v>13909.446440123251</v>
      </c>
      <c r="AZ86" s="541">
        <f t="shared" si="40"/>
        <v>13909.446440123251</v>
      </c>
      <c r="BA86" s="541">
        <f t="shared" si="40"/>
        <v>13909.446440123251</v>
      </c>
      <c r="BB86" s="541">
        <f t="shared" si="40"/>
        <v>13909.446440123251</v>
      </c>
      <c r="BC86" s="541">
        <f t="shared" si="40"/>
        <v>13909.446440123251</v>
      </c>
      <c r="BD86" s="541">
        <f t="shared" si="40"/>
        <v>13909.446440123251</v>
      </c>
      <c r="BE86" s="541">
        <f t="shared" si="40"/>
        <v>13909.446440123251</v>
      </c>
      <c r="BF86" s="541">
        <f t="shared" si="40"/>
        <v>13909.446440123251</v>
      </c>
      <c r="BG86" s="541">
        <f t="shared" si="40"/>
        <v>13909.446440123251</v>
      </c>
      <c r="BH86" s="541">
        <f t="shared" si="40"/>
        <v>13909.446440123251</v>
      </c>
      <c r="BI86" s="541">
        <f t="shared" si="40"/>
        <v>13909.446440123251</v>
      </c>
      <c r="BJ86" s="541">
        <f t="shared" si="40"/>
        <v>13909.446440123251</v>
      </c>
      <c r="BK86" s="541">
        <f t="shared" si="40"/>
        <v>13909.446440123251</v>
      </c>
      <c r="BL86" s="541">
        <f t="shared" si="40"/>
        <v>13909.446440123251</v>
      </c>
      <c r="BM86" s="541">
        <f t="shared" si="40"/>
        <v>13909.446440123251</v>
      </c>
      <c r="BN86" s="541">
        <f t="shared" si="40"/>
        <v>13909.446440123251</v>
      </c>
      <c r="BO86" s="541">
        <f t="shared" si="40"/>
        <v>13909.446440123251</v>
      </c>
      <c r="BP86" s="541">
        <f t="shared" si="40"/>
        <v>13909.446440123251</v>
      </c>
      <c r="BQ86" s="541">
        <f t="shared" si="40"/>
        <v>13909.446440123251</v>
      </c>
      <c r="BR86" s="541">
        <f t="shared" si="40"/>
        <v>13909.446440123251</v>
      </c>
      <c r="BS86" s="541">
        <f t="shared" si="40"/>
        <v>13909.446440123251</v>
      </c>
      <c r="BT86" s="541">
        <f t="shared" si="40"/>
        <v>13909.446440123251</v>
      </c>
      <c r="BU86" s="541">
        <f t="shared" si="40"/>
        <v>13909.446440123251</v>
      </c>
      <c r="BV86" s="541">
        <f t="shared" si="40"/>
        <v>13909.446440123251</v>
      </c>
      <c r="BW86" s="541">
        <f t="shared" si="40"/>
        <v>13909.446440123251</v>
      </c>
      <c r="BX86" s="541">
        <f t="shared" si="40"/>
        <v>13909.446440123251</v>
      </c>
      <c r="BY86" s="541">
        <f t="shared" si="40"/>
        <v>13909.446440123251</v>
      </c>
      <c r="BZ86" s="541">
        <f t="shared" si="40"/>
        <v>13909.446440123251</v>
      </c>
      <c r="CA86" s="541">
        <f t="shared" si="40"/>
        <v>13909.446440123251</v>
      </c>
      <c r="CB86" s="541">
        <f t="shared" si="40"/>
        <v>13909.446440123251</v>
      </c>
      <c r="CC86" s="541">
        <f t="shared" si="40"/>
        <v>13909.446440123251</v>
      </c>
      <c r="CD86" s="541">
        <f t="shared" si="40"/>
        <v>13909.446440123251</v>
      </c>
      <c r="CE86" s="541">
        <f t="shared" si="40"/>
        <v>13909.446440123251</v>
      </c>
      <c r="CF86" s="541">
        <f t="shared" si="40"/>
        <v>13909.446440123251</v>
      </c>
      <c r="CG86" s="541">
        <f t="shared" si="40"/>
        <v>13909.446440123251</v>
      </c>
      <c r="CH86" s="541">
        <f t="shared" si="40"/>
        <v>13909.446440123251</v>
      </c>
      <c r="CI86" s="541">
        <f t="shared" si="40"/>
        <v>13909.446440123251</v>
      </c>
      <c r="CJ86" s="541">
        <f t="shared" si="40"/>
        <v>13909.446440123251</v>
      </c>
      <c r="CK86" s="541">
        <f t="shared" si="40"/>
        <v>13909.446440123251</v>
      </c>
      <c r="CL86" s="541">
        <f t="shared" si="40"/>
        <v>13909.446440123251</v>
      </c>
      <c r="CM86" s="541">
        <f t="shared" si="40"/>
        <v>13909.446440123251</v>
      </c>
      <c r="CN86" s="541">
        <f t="shared" si="40"/>
        <v>13909.446440123251</v>
      </c>
      <c r="CO86" s="541">
        <f t="shared" si="40"/>
        <v>13909.446440123251</v>
      </c>
      <c r="CP86" s="541">
        <f t="shared" si="40"/>
        <v>13909.446440123251</v>
      </c>
      <c r="CQ86" s="541">
        <f t="shared" si="40"/>
        <v>13909.446440123251</v>
      </c>
      <c r="CR86" s="541">
        <f t="shared" si="40"/>
        <v>13909.446440123251</v>
      </c>
      <c r="CS86" s="541">
        <f t="shared" si="40"/>
        <v>13909.446440123251</v>
      </c>
      <c r="CT86" s="541">
        <f t="shared" si="40"/>
        <v>13909.446440123251</v>
      </c>
      <c r="CU86" s="541">
        <f t="shared" si="40"/>
        <v>13909.446440123251</v>
      </c>
      <c r="CV86" s="541">
        <f t="shared" si="40"/>
        <v>13909.446440123251</v>
      </c>
      <c r="CW86" s="541">
        <f t="shared" si="40"/>
        <v>13909.446440123251</v>
      </c>
      <c r="CX86" s="541">
        <f t="shared" si="40"/>
        <v>13909.446440123251</v>
      </c>
      <c r="CY86" s="541">
        <f t="shared" si="40"/>
        <v>13909.446440123251</v>
      </c>
      <c r="CZ86" s="541">
        <f t="shared" si="40"/>
        <v>13909.446440123251</v>
      </c>
      <c r="DA86" s="541">
        <f t="shared" si="40"/>
        <v>13909.446440123251</v>
      </c>
      <c r="DB86" s="541">
        <f t="shared" si="40"/>
        <v>13909.446440123251</v>
      </c>
      <c r="DC86" s="541">
        <f t="shared" si="40"/>
        <v>13909.446440123251</v>
      </c>
      <c r="DD86" s="541">
        <f t="shared" si="40"/>
        <v>13909.446440123251</v>
      </c>
      <c r="DE86" s="541">
        <f t="shared" si="40"/>
        <v>13909.446440123251</v>
      </c>
      <c r="DF86" s="541">
        <f t="shared" si="40"/>
        <v>13909.446440123251</v>
      </c>
      <c r="DG86" s="541">
        <f t="shared" si="40"/>
        <v>13909.446440123251</v>
      </c>
      <c r="DH86" s="541">
        <f t="shared" si="40"/>
        <v>13909.446440123251</v>
      </c>
      <c r="DI86" s="541">
        <f t="shared" si="40"/>
        <v>13909.446440123251</v>
      </c>
      <c r="DJ86" s="541">
        <f t="shared" si="40"/>
        <v>13909.446440123251</v>
      </c>
      <c r="DK86" s="541">
        <f t="shared" si="40"/>
        <v>13909.446440123251</v>
      </c>
      <c r="DL86" s="541">
        <f t="shared" si="40"/>
        <v>13909.446440123251</v>
      </c>
      <c r="DM86" s="541">
        <f t="shared" si="40"/>
        <v>13909.446440123251</v>
      </c>
      <c r="DN86" s="541">
        <f t="shared" si="40"/>
        <v>13909.446440123251</v>
      </c>
      <c r="DO86" s="541">
        <f t="shared" si="40"/>
        <v>13909.446440123251</v>
      </c>
      <c r="DP86" s="541">
        <f t="shared" si="40"/>
        <v>13909.446440123251</v>
      </c>
      <c r="DQ86" s="541">
        <f t="shared" si="40"/>
        <v>13909.446440123251</v>
      </c>
      <c r="DR86" s="541">
        <f t="shared" si="40"/>
        <v>13909.446440123251</v>
      </c>
      <c r="DS86" s="541">
        <f t="shared" si="40"/>
        <v>13909.446440123251</v>
      </c>
      <c r="DT86" s="541">
        <f t="shared" si="40"/>
        <v>13909.446440123251</v>
      </c>
      <c r="DU86" s="541">
        <f t="shared" si="40"/>
        <v>13909.446440123251</v>
      </c>
      <c r="DV86" s="541">
        <f t="shared" si="40"/>
        <v>13909.446440123251</v>
      </c>
      <c r="DW86" s="541">
        <f t="shared" si="40"/>
        <v>13909.446440123251</v>
      </c>
      <c r="DX86" s="541">
        <f t="shared" si="40"/>
        <v>13909.446440123251</v>
      </c>
      <c r="DY86" s="541">
        <f t="shared" si="40"/>
        <v>13909.446440123251</v>
      </c>
      <c r="DZ86" s="541">
        <f t="shared" si="40"/>
        <v>13909.446440123251</v>
      </c>
      <c r="EA86" s="541">
        <f t="shared" si="40"/>
        <v>13909.446440123251</v>
      </c>
      <c r="EB86" s="541">
        <f t="shared" si="40"/>
        <v>13909.446440123251</v>
      </c>
      <c r="EC86" s="541">
        <f t="shared" si="40"/>
        <v>0</v>
      </c>
      <c r="ED86" s="541">
        <f t="shared" si="40"/>
        <v>0</v>
      </c>
      <c r="EE86" s="541">
        <f t="shared" si="40"/>
        <v>0</v>
      </c>
      <c r="EF86" s="541">
        <f t="shared" si="40"/>
        <v>0</v>
      </c>
      <c r="EG86" s="541">
        <f t="shared" si="40"/>
        <v>0</v>
      </c>
    </row>
    <row r="88" spans="5:137" ht="12.75">
      <c r="E88" s="535" t="str">
        <f>FS!E$33</f>
        <v>Retained earnings - available for distribution</v>
      </c>
      <c r="G88" s="537" t="str">
        <f>FS!G$33</f>
        <v>EUR 000s</v>
      </c>
      <c r="H88" s="537">
        <f>FS!H$33</f>
        <v>2868962.3511482417</v>
      </c>
      <c r="J88" s="537">
        <f>FS!J$33</f>
        <v>0</v>
      </c>
      <c r="K88" s="537">
        <f>FS!K$33</f>
        <v>0</v>
      </c>
      <c r="L88" s="537">
        <f>FS!L$33</f>
        <v>0</v>
      </c>
      <c r="M88" s="537">
        <f>FS!M$33</f>
        <v>-52.099790485913836</v>
      </c>
      <c r="N88" s="537">
        <f>FS!N$33</f>
        <v>-169.98186987813762</v>
      </c>
      <c r="O88" s="537">
        <f>FS!O$33</f>
        <v>-347.98800026969332</v>
      </c>
      <c r="P88" s="537">
        <f>FS!P$33</f>
        <v>-596.80599728085042</v>
      </c>
      <c r="Q88" s="537">
        <f>FS!Q$33</f>
        <v>-912.546989915626</v>
      </c>
      <c r="R88" s="537">
        <f>FS!R$33</f>
        <v>-1237.9050687535937</v>
      </c>
      <c r="S88" s="537">
        <f>FS!S$33</f>
        <v>-1576.0427375192517</v>
      </c>
      <c r="T88" s="537">
        <f>FS!T$33</f>
        <v>-1905.2181891516511</v>
      </c>
      <c r="U88" s="537">
        <f>FS!U$33</f>
        <v>-2247.3231715372099</v>
      </c>
      <c r="V88" s="537">
        <f>FS!V$33</f>
        <v>-2591.462038338595</v>
      </c>
      <c r="W88" s="537">
        <f>FS!W$33</f>
        <v>-2915.3123754115491</v>
      </c>
      <c r="X88" s="537">
        <f>FS!X$33</f>
        <v>-3263.4225752880229</v>
      </c>
      <c r="Y88" s="537">
        <f>FS!Y$33</f>
        <v>-3602.3062396856672</v>
      </c>
      <c r="Z88" s="537">
        <f>FS!Z$33</f>
        <v>-3954.5007592483735</v>
      </c>
      <c r="AA88" s="537">
        <f>FS!AA$33</f>
        <v>-4297.3604899098991</v>
      </c>
      <c r="AB88" s="537">
        <f>FS!AB$33</f>
        <v>-4653.6872498095545</v>
      </c>
      <c r="AC88" s="537">
        <f>FS!AC$33</f>
        <v>-5012.1324455146414</v>
      </c>
      <c r="AD88" s="537">
        <f>FS!AD$33</f>
        <v>-5361.0771803985208</v>
      </c>
      <c r="AE88" s="537">
        <f>FS!AE$33</f>
        <v>-5723.7279545950541</v>
      </c>
      <c r="AF88" s="537">
        <f>FS!AF$33</f>
        <v>-6076.7668006270678</v>
      </c>
      <c r="AG88" s="537">
        <f>FS!AG$33</f>
        <v>-6443.6724966753709</v>
      </c>
      <c r="AH88" s="537">
        <f>FS!AH$33</f>
        <v>-5818.8368434090671</v>
      </c>
      <c r="AI88" s="537">
        <f>FS!AI$33</f>
        <v>-5190.65888954001</v>
      </c>
      <c r="AJ88" s="537">
        <f>FS!AJ$33</f>
        <v>-4540.7657737450327</v>
      </c>
      <c r="AK88" s="537">
        <f>FS!AK$33</f>
        <v>-3826.3602481312018</v>
      </c>
      <c r="AL88" s="537">
        <f>FS!AL$33</f>
        <v>-2846.7961765199734</v>
      </c>
      <c r="AM88" s="537">
        <f>FS!AM$33</f>
        <v>-1840.0604698504621</v>
      </c>
      <c r="AN88" s="537">
        <f>FS!AN$33</f>
        <v>-802.01119592034183</v>
      </c>
      <c r="AO88" s="537">
        <f>FS!AO$33</f>
        <v>307.43454088641556</v>
      </c>
      <c r="AP88" s="537">
        <f>FS!AP$33</f>
        <v>1684.8091643343369</v>
      </c>
      <c r="AQ88" s="537">
        <f>FS!AQ$33</f>
        <v>3099.4026414804939</v>
      </c>
      <c r="AR88" s="537">
        <f>FS!AR$33</f>
        <v>4555.6998757924821</v>
      </c>
      <c r="AS88" s="537">
        <f>FS!AS$33</f>
        <v>6090.5912723233159</v>
      </c>
      <c r="AT88" s="537">
        <f>FS!AT$33</f>
        <v>7861.6520227659548</v>
      </c>
      <c r="AU88" s="537">
        <f>FS!AU$33</f>
        <v>9685.0339641511146</v>
      </c>
      <c r="AV88" s="537">
        <f>FS!AV$33</f>
        <v>11529.354641354919</v>
      </c>
      <c r="AW88" s="537">
        <f>FS!AW$33</f>
        <v>13428.59505551198</v>
      </c>
      <c r="AX88" s="537">
        <f>FS!AX$33</f>
        <v>14266.655862312542</v>
      </c>
      <c r="AY88" s="537">
        <f>FS!AY$33</f>
        <v>15161.019637270856</v>
      </c>
      <c r="AZ88" s="537">
        <f>FS!AZ$33</f>
        <v>16116.866176688411</v>
      </c>
      <c r="BA88" s="537">
        <f>FS!BA$33</f>
        <v>17166.74070426766</v>
      </c>
      <c r="BB88" s="537">
        <f>FS!BB$33</f>
        <v>19798.644307852821</v>
      </c>
      <c r="BC88" s="537">
        <f>FS!BC$33</f>
        <v>22497.971553595649</v>
      </c>
      <c r="BD88" s="537">
        <f>FS!BD$33</f>
        <v>25269.964221231232</v>
      </c>
      <c r="BE88" s="537">
        <f>FS!BE$33</f>
        <v>28141.98240414547</v>
      </c>
      <c r="BF88" s="537">
        <f>FS!BF$33</f>
        <v>31290.601301270188</v>
      </c>
      <c r="BG88" s="537">
        <f>FS!BG$33</f>
        <v>31947.083619325556</v>
      </c>
      <c r="BH88" s="537">
        <f>FS!BH$33</f>
        <v>31181.523450115375</v>
      </c>
      <c r="BI88" s="537">
        <f>FS!BI$33</f>
        <v>30515.105449957289</v>
      </c>
      <c r="BJ88" s="537">
        <f>FS!BJ$33</f>
        <v>30077.583092613302</v>
      </c>
      <c r="BK88" s="537">
        <f>FS!BK$33</f>
        <v>29560.016640590962</v>
      </c>
      <c r="BL88" s="537">
        <f>FS!BL$33</f>
        <v>29000.529744045845</v>
      </c>
      <c r="BM88" s="537">
        <f>FS!BM$33</f>
        <v>28508.61178522716</v>
      </c>
      <c r="BN88" s="537">
        <f>FS!BN$33</f>
        <v>28290.627467864979</v>
      </c>
      <c r="BO88" s="537">
        <f>FS!BO$33</f>
        <v>29948.524666510857</v>
      </c>
      <c r="BP88" s="537">
        <f>FS!BP$33</f>
        <v>31525.096957517577</v>
      </c>
      <c r="BQ88" s="537">
        <f>FS!BQ$33</f>
        <v>33246.499410280252</v>
      </c>
      <c r="BR88" s="537">
        <f>FS!BR$33</f>
        <v>33766.335731413885</v>
      </c>
      <c r="BS88" s="537">
        <f>FS!BS$33</f>
        <v>32125.169050908578</v>
      </c>
      <c r="BT88" s="537">
        <f>FS!BT$33</f>
        <v>30405.388309790538</v>
      </c>
      <c r="BU88" s="537">
        <f>FS!BU$33</f>
        <v>28640.839985036582</v>
      </c>
      <c r="BV88" s="537">
        <f>FS!BV$33</f>
        <v>28217.07377618648</v>
      </c>
      <c r="BW88" s="537">
        <f>FS!BW$33</f>
        <v>27966.61536205576</v>
      </c>
      <c r="BX88" s="537">
        <f>FS!BX$33</f>
        <v>28423.134262106661</v>
      </c>
      <c r="BY88" s="537">
        <f>FS!BY$33</f>
        <v>28979.397190957399</v>
      </c>
      <c r="BZ88" s="537">
        <f>FS!BZ$33</f>
        <v>29776.2862780295</v>
      </c>
      <c r="CA88" s="537">
        <f>FS!CA$33</f>
        <v>30481.191100777331</v>
      </c>
      <c r="CB88" s="537">
        <f>FS!CB$33</f>
        <v>30983.029200169967</v>
      </c>
      <c r="CC88" s="537">
        <f>FS!CC$33</f>
        <v>31601.025667757669</v>
      </c>
      <c r="CD88" s="537">
        <f>FS!CD$33</f>
        <v>32831.994494308579</v>
      </c>
      <c r="CE88" s="537">
        <f>FS!CE$33</f>
        <v>33499.071199684833</v>
      </c>
      <c r="CF88" s="537">
        <f>FS!CF$33</f>
        <v>34096.32809372773</v>
      </c>
      <c r="CG88" s="537">
        <f>FS!CG$33</f>
        <v>34774.468722690122</v>
      </c>
      <c r="CH88" s="537">
        <f>FS!CH$33</f>
        <v>35739.543068653773</v>
      </c>
      <c r="CI88" s="537">
        <f>FS!CI$33</f>
        <v>38902.621710145548</v>
      </c>
      <c r="CJ88" s="537">
        <f>FS!CJ$33</f>
        <v>41998.205016432177</v>
      </c>
      <c r="CK88" s="537">
        <f>FS!CK$33</f>
        <v>45465.299129674968</v>
      </c>
      <c r="CL88" s="537">
        <f>FS!CL$33</f>
        <v>47549.375206025383</v>
      </c>
      <c r="CM88" s="537">
        <f>FS!CM$33</f>
        <v>46823.40493358596</v>
      </c>
      <c r="CN88" s="537">
        <f>FS!CN$33</f>
        <v>46036.366764426726</v>
      </c>
      <c r="CO88" s="537">
        <f>FS!CO$33</f>
        <v>45067.070280697168</v>
      </c>
      <c r="CP88" s="537">
        <f>FS!CP$33</f>
        <v>46026.334747375906</v>
      </c>
      <c r="CQ88" s="537">
        <f>FS!CQ$33</f>
        <v>47508.252504166019</v>
      </c>
      <c r="CR88" s="537">
        <f>FS!CR$33</f>
        <v>48979.563133217067</v>
      </c>
      <c r="CS88" s="537">
        <f>FS!CS$33</f>
        <v>50519.405161597235</v>
      </c>
      <c r="CT88" s="537">
        <f>FS!CT$33</f>
        <v>52348.527580774447</v>
      </c>
      <c r="CU88" s="537">
        <f>FS!CU$33</f>
        <v>54149.362012334153</v>
      </c>
      <c r="CV88" s="537">
        <f>FS!CV$33</f>
        <v>55893.453387987254</v>
      </c>
      <c r="CW88" s="537">
        <f>FS!CW$33</f>
        <v>57734.69136630401</v>
      </c>
      <c r="CX88" s="537">
        <f>FS!CX$33</f>
        <v>59866.323060424889</v>
      </c>
      <c r="CY88" s="537">
        <f>FS!CY$33</f>
        <v>61970.433215996352</v>
      </c>
      <c r="CZ88" s="537">
        <f>FS!CZ$33</f>
        <v>64022.347526433528</v>
      </c>
      <c r="DA88" s="537">
        <f>FS!DA$33</f>
        <v>61372.606529152115</v>
      </c>
      <c r="DB88" s="537">
        <f>FS!DB$33</f>
        <v>59143.469667350029</v>
      </c>
      <c r="DC88" s="537">
        <f>FS!DC$33</f>
        <v>59426.74054430869</v>
      </c>
      <c r="DD88" s="537">
        <f>FS!DD$33</f>
        <v>59621.12027239782</v>
      </c>
      <c r="DE88" s="537">
        <f>FS!DE$33</f>
        <v>59821.154517282455</v>
      </c>
      <c r="DF88" s="537">
        <f>FS!DF$33</f>
        <v>58318.396171012253</v>
      </c>
      <c r="DG88" s="537">
        <f>FS!DG$33</f>
        <v>53558.467424723596</v>
      </c>
      <c r="DH88" s="537">
        <f>FS!DH$33</f>
        <v>48757.799091944216</v>
      </c>
      <c r="DI88" s="537">
        <f>FS!DI$33</f>
        <v>43937.137404913847</v>
      </c>
      <c r="DJ88" s="537">
        <f>FS!DJ$33</f>
        <v>41194.604457255955</v>
      </c>
      <c r="DK88" s="537">
        <f>FS!DK$33</f>
        <v>38995.781575867695</v>
      </c>
      <c r="DL88" s="537">
        <f>FS!DL$33</f>
        <v>36705.382652964108</v>
      </c>
      <c r="DM88" s="537">
        <f>FS!DM$33</f>
        <v>34419.070614578348</v>
      </c>
      <c r="DN88" s="537">
        <f>FS!DN$33</f>
        <v>32323.3851665533</v>
      </c>
      <c r="DO88" s="537">
        <f>FS!DO$33</f>
        <v>30138.673372426449</v>
      </c>
      <c r="DP88" s="537">
        <f>FS!DP$33</f>
        <v>27861.286957944612</v>
      </c>
      <c r="DQ88" s="537">
        <f>FS!DQ$33</f>
        <v>25587.396497387344</v>
      </c>
      <c r="DR88" s="537">
        <f>FS!DR$33</f>
        <v>23506.301822136065</v>
      </c>
      <c r="DS88" s="537">
        <f>FS!DS$33</f>
        <v>21333.341045655103</v>
      </c>
      <c r="DT88" s="537">
        <f>FS!DT$33</f>
        <v>19066.742123023567</v>
      </c>
      <c r="DU88" s="537">
        <f>FS!DU$33</f>
        <v>16803.148410858194</v>
      </c>
      <c r="DV88" s="537">
        <f>FS!DV$33</f>
        <v>14734.641821027099</v>
      </c>
      <c r="DW88" s="537">
        <f>FS!DW$33</f>
        <v>12545.75399505355</v>
      </c>
      <c r="DX88" s="537">
        <f>FS!DX$33</f>
        <v>10313.80141485971</v>
      </c>
      <c r="DY88" s="537">
        <f>FS!DY$33</f>
        <v>8058.7377291418616</v>
      </c>
      <c r="DZ88" s="537">
        <f>FS!DZ$33</f>
        <v>7998.4180876236478</v>
      </c>
      <c r="EA88" s="537">
        <f>FS!EA$33</f>
        <v>7998.4180876236478</v>
      </c>
      <c r="EB88" s="537">
        <f>FS!EB$33</f>
        <v>7998.4180876236487</v>
      </c>
      <c r="EC88" s="537">
        <f>FS!EC$33</f>
        <v>7998.4180876235478</v>
      </c>
      <c r="ED88" s="537">
        <f>FS!ED$33</f>
        <v>2308.4176722000593</v>
      </c>
      <c r="EE88" s="537">
        <f>FS!EE$33</f>
        <v>0</v>
      </c>
      <c r="EF88" s="537">
        <f>FS!EF$33</f>
        <v>0</v>
      </c>
      <c r="EG88" s="537">
        <f>FS!EG$33</f>
        <v>0</v>
      </c>
    </row>
    <row r="89" spans="5:137" ht="12.75">
      <c r="E89" s="538" t="str">
        <f>E$72</f>
        <v>Shareholders - cash after shareholder loan</v>
      </c>
      <c r="G89" s="539" t="str">
        <f>G$72</f>
        <v>EUR 000s</v>
      </c>
      <c r="H89" s="539">
        <f>H$72</f>
        <v>485921.40782246116</v>
      </c>
      <c r="J89" s="539">
        <f t="shared" si="41" ref="J89:EG89">J$72</f>
        <v>0</v>
      </c>
      <c r="K89" s="539">
        <f t="shared" si="41"/>
        <v>0</v>
      </c>
      <c r="L89" s="539">
        <f t="shared" si="41"/>
        <v>0</v>
      </c>
      <c r="M89" s="539">
        <f t="shared" si="41"/>
        <v>0</v>
      </c>
      <c r="N89" s="539">
        <f t="shared" si="41"/>
        <v>0</v>
      </c>
      <c r="O89" s="539">
        <f t="shared" si="41"/>
        <v>0</v>
      </c>
      <c r="P89" s="539">
        <f t="shared" si="41"/>
        <v>0</v>
      </c>
      <c r="Q89" s="539">
        <f t="shared" si="41"/>
        <v>0</v>
      </c>
      <c r="R89" s="539">
        <f t="shared" si="41"/>
        <v>0</v>
      </c>
      <c r="S89" s="539">
        <f t="shared" si="41"/>
        <v>0</v>
      </c>
      <c r="T89" s="539">
        <f t="shared" si="41"/>
        <v>0</v>
      </c>
      <c r="U89" s="539">
        <f t="shared" si="41"/>
        <v>0</v>
      </c>
      <c r="V89" s="539">
        <f t="shared" si="41"/>
        <v>0</v>
      </c>
      <c r="W89" s="539">
        <f t="shared" si="41"/>
        <v>0</v>
      </c>
      <c r="X89" s="539">
        <f t="shared" si="41"/>
        <v>0</v>
      </c>
      <c r="Y89" s="539">
        <f t="shared" si="41"/>
        <v>0</v>
      </c>
      <c r="Z89" s="539">
        <f t="shared" si="41"/>
        <v>0</v>
      </c>
      <c r="AA89" s="539">
        <f t="shared" si="41"/>
        <v>0</v>
      </c>
      <c r="AB89" s="539">
        <f t="shared" si="41"/>
        <v>0</v>
      </c>
      <c r="AC89" s="539">
        <f t="shared" si="41"/>
        <v>0</v>
      </c>
      <c r="AD89" s="539">
        <f t="shared" si="41"/>
        <v>0</v>
      </c>
      <c r="AE89" s="539">
        <f t="shared" si="41"/>
        <v>0</v>
      </c>
      <c r="AF89" s="539">
        <f t="shared" si="41"/>
        <v>0</v>
      </c>
      <c r="AG89" s="539">
        <f t="shared" si="41"/>
        <v>0</v>
      </c>
      <c r="AH89" s="539">
        <f t="shared" si="41"/>
        <v>0</v>
      </c>
      <c r="AI89" s="539">
        <f t="shared" si="41"/>
        <v>0</v>
      </c>
      <c r="AJ89" s="539">
        <f t="shared" si="41"/>
        <v>0</v>
      </c>
      <c r="AK89" s="539">
        <f t="shared" si="41"/>
        <v>0</v>
      </c>
      <c r="AL89" s="539">
        <f t="shared" si="41"/>
        <v>0</v>
      </c>
      <c r="AM89" s="539">
        <f t="shared" si="41"/>
        <v>0</v>
      </c>
      <c r="AN89" s="539">
        <f t="shared" si="41"/>
        <v>0</v>
      </c>
      <c r="AO89" s="539">
        <f t="shared" si="41"/>
        <v>0</v>
      </c>
      <c r="AP89" s="539">
        <f t="shared" si="41"/>
        <v>0</v>
      </c>
      <c r="AQ89" s="539">
        <f t="shared" si="41"/>
        <v>0</v>
      </c>
      <c r="AR89" s="539">
        <f t="shared" si="41"/>
        <v>0</v>
      </c>
      <c r="AS89" s="539">
        <f t="shared" si="41"/>
        <v>0</v>
      </c>
      <c r="AT89" s="539">
        <f t="shared" si="41"/>
        <v>0</v>
      </c>
      <c r="AU89" s="539">
        <f t="shared" si="41"/>
        <v>0</v>
      </c>
      <c r="AV89" s="539">
        <f t="shared" si="41"/>
        <v>0</v>
      </c>
      <c r="AW89" s="539">
        <f t="shared" si="41"/>
        <v>0</v>
      </c>
      <c r="AX89" s="539">
        <f t="shared" si="41"/>
        <v>0</v>
      </c>
      <c r="AY89" s="539">
        <f t="shared" si="41"/>
        <v>0</v>
      </c>
      <c r="AZ89" s="539">
        <f t="shared" si="41"/>
        <v>0</v>
      </c>
      <c r="BA89" s="539">
        <f t="shared" si="41"/>
        <v>0</v>
      </c>
      <c r="BB89" s="539">
        <f t="shared" si="41"/>
        <v>0</v>
      </c>
      <c r="BC89" s="539">
        <f t="shared" si="41"/>
        <v>0</v>
      </c>
      <c r="BD89" s="539">
        <f t="shared" si="41"/>
        <v>0</v>
      </c>
      <c r="BE89" s="539">
        <f t="shared" si="41"/>
        <v>0</v>
      </c>
      <c r="BF89" s="539">
        <f t="shared" si="41"/>
        <v>2527.6157695725174</v>
      </c>
      <c r="BG89" s="539">
        <f t="shared" si="41"/>
        <v>3963.7340210591155</v>
      </c>
      <c r="BH89" s="539">
        <f t="shared" si="41"/>
        <v>3901.9818208723086</v>
      </c>
      <c r="BI89" s="539">
        <f t="shared" si="41"/>
        <v>3863.3396261250573</v>
      </c>
      <c r="BJ89" s="539">
        <f t="shared" si="41"/>
        <v>3981.7948466400562</v>
      </c>
      <c r="BK89" s="539">
        <f t="shared" si="41"/>
        <v>4041.5037487339391</v>
      </c>
      <c r="BL89" s="539">
        <f t="shared" si="41"/>
        <v>4013.5705589641948</v>
      </c>
      <c r="BM89" s="539">
        <f t="shared" si="41"/>
        <v>3952.9034566736409</v>
      </c>
      <c r="BN89" s="539">
        <f t="shared" si="41"/>
        <v>2097.5193655527028</v>
      </c>
      <c r="BO89" s="539">
        <f t="shared" si="41"/>
        <v>2200.864273878366</v>
      </c>
      <c r="BP89" s="539">
        <f t="shared" si="41"/>
        <v>2098.1063109146212</v>
      </c>
      <c r="BQ89" s="539">
        <f t="shared" si="41"/>
        <v>2037.8164184080592</v>
      </c>
      <c r="BR89" s="539">
        <f t="shared" si="41"/>
        <v>4224.1553525130121</v>
      </c>
      <c r="BS89" s="539">
        <f t="shared" si="41"/>
        <v>4329.7689293072381</v>
      </c>
      <c r="BT89" s="539">
        <f t="shared" si="41"/>
        <v>4419.8055567868232</v>
      </c>
      <c r="BU89" s="539">
        <f t="shared" si="41"/>
        <v>4770.8603254831687</v>
      </c>
      <c r="BV89" s="539">
        <f t="shared" si="41"/>
        <v>4626.1012277867885</v>
      </c>
      <c r="BW89" s="539">
        <f t="shared" si="41"/>
        <v>3945.1397120020174</v>
      </c>
      <c r="BX89" s="539">
        <f t="shared" si="41"/>
        <v>3887.6124417460055</v>
      </c>
      <c r="BY89" s="539">
        <f t="shared" si="41"/>
        <v>3843.3319181364645</v>
      </c>
      <c r="BZ89" s="539">
        <f t="shared" si="41"/>
        <v>3978.3991178064584</v>
      </c>
      <c r="CA89" s="539">
        <f t="shared" si="41"/>
        <v>4211.4281415911701</v>
      </c>
      <c r="CB89" s="539">
        <f t="shared" si="41"/>
        <v>4139.4003880005166</v>
      </c>
      <c r="CC89" s="539">
        <f t="shared" si="41"/>
        <v>3736.011479524982</v>
      </c>
      <c r="CD89" s="539">
        <f t="shared" si="41"/>
        <v>4321.3134548763692</v>
      </c>
      <c r="CE89" s="539">
        <f t="shared" si="41"/>
        <v>4413.9780591819081</v>
      </c>
      <c r="CF89" s="539">
        <f t="shared" si="41"/>
        <v>4368.5578436146661</v>
      </c>
      <c r="CG89" s="539">
        <f t="shared" si="41"/>
        <v>4283.5118246307165</v>
      </c>
      <c r="CH89" s="539">
        <f t="shared" si="41"/>
        <v>2110.5359724491877</v>
      </c>
      <c r="CI89" s="539">
        <f t="shared" si="41"/>
        <v>2204.6023940287428</v>
      </c>
      <c r="CJ89" s="539">
        <f t="shared" si="41"/>
        <v>1870.785150550882</v>
      </c>
      <c r="CK89" s="539">
        <f t="shared" si="41"/>
        <v>1786.9171601948424</v>
      </c>
      <c r="CL89" s="539">
        <f t="shared" si="41"/>
        <v>4628.8303227158403</v>
      </c>
      <c r="CM89" s="539">
        <f t="shared" si="41"/>
        <v>4723.5203653725785</v>
      </c>
      <c r="CN89" s="539">
        <f t="shared" si="41"/>
        <v>4948.935086001231</v>
      </c>
      <c r="CO89" s="539">
        <f t="shared" si="41"/>
        <v>4889.99295027068</v>
      </c>
      <c r="CP89" s="539">
        <f t="shared" si="41"/>
        <v>4408.4942242291327</v>
      </c>
      <c r="CQ89" s="539">
        <f t="shared" si="41"/>
        <v>4454.0921236772019</v>
      </c>
      <c r="CR89" s="539">
        <f t="shared" si="41"/>
        <v>4428.3806644411152</v>
      </c>
      <c r="CS89" s="539">
        <f t="shared" si="41"/>
        <v>4344.7192119229667</v>
      </c>
      <c r="CT89" s="539">
        <f t="shared" si="41"/>
        <v>4410.7908852154824</v>
      </c>
      <c r="CU89" s="539">
        <f t="shared" si="41"/>
        <v>4507.2180043044709</v>
      </c>
      <c r="CV89" s="539">
        <f t="shared" si="41"/>
        <v>4455.6468509356973</v>
      </c>
      <c r="CW89" s="539">
        <f t="shared" si="41"/>
        <v>4372.1040514103006</v>
      </c>
      <c r="CX89" s="539">
        <f t="shared" si="41"/>
        <v>4442.1439989063965</v>
      </c>
      <c r="CY89" s="539">
        <f t="shared" si="41"/>
        <v>4538.8867633803111</v>
      </c>
      <c r="CZ89" s="539">
        <f t="shared" si="41"/>
        <v>9289.0498453167747</v>
      </c>
      <c r="DA89" s="539">
        <f t="shared" si="41"/>
        <v>9243.2109589193478</v>
      </c>
      <c r="DB89" s="539">
        <f t="shared" si="41"/>
        <v>6730.8032201585938</v>
      </c>
      <c r="DC89" s="539">
        <f t="shared" si="41"/>
        <v>6819.6943690281241</v>
      </c>
      <c r="DD89" s="539">
        <f t="shared" si="41"/>
        <v>6814.0398522326241</v>
      </c>
      <c r="DE89" s="539">
        <f t="shared" si="41"/>
        <v>6785.1271000854231</v>
      </c>
      <c r="DF89" s="539">
        <f t="shared" si="41"/>
        <v>10042.297500103878</v>
      </c>
      <c r="DG89" s="539">
        <f t="shared" si="41"/>
        <v>10083.037086594606</v>
      </c>
      <c r="DH89" s="539">
        <f t="shared" si="41"/>
        <v>10103.030440845592</v>
      </c>
      <c r="DI89" s="539">
        <f t="shared" si="41"/>
        <v>10074.710093976457</v>
      </c>
      <c r="DJ89" s="539">
        <f t="shared" si="41"/>
        <v>9531.0000277068248</v>
      </c>
      <c r="DK89" s="539">
        <f t="shared" si="41"/>
        <v>9622.5760692221538</v>
      </c>
      <c r="DL89" s="539">
        <f t="shared" si="41"/>
        <v>9618.4891847043327</v>
      </c>
      <c r="DM89" s="539">
        <f t="shared" si="41"/>
        <v>9590.6249782264968</v>
      </c>
      <c r="DN89" s="539">
        <f t="shared" si="41"/>
        <v>9679.6513243283043</v>
      </c>
      <c r="DO89" s="539">
        <f t="shared" si="41"/>
        <v>9772.3259446832872</v>
      </c>
      <c r="DP89" s="539">
        <f t="shared" si="41"/>
        <v>9768.8299907587207</v>
      </c>
      <c r="DQ89" s="539">
        <f t="shared" si="41"/>
        <v>9741.3091688148925</v>
      </c>
      <c r="DR89" s="539">
        <f t="shared" si="41"/>
        <v>9833.1752700445759</v>
      </c>
      <c r="DS89" s="539">
        <f t="shared" si="41"/>
        <v>9926.8134161951511</v>
      </c>
      <c r="DT89" s="539">
        <f t="shared" si="41"/>
        <v>9923.8082057289866</v>
      </c>
      <c r="DU89" s="539">
        <f t="shared" si="41"/>
        <v>9896.5376166003607</v>
      </c>
      <c r="DV89" s="539">
        <f t="shared" si="41"/>
        <v>10016.918852742816</v>
      </c>
      <c r="DW89" s="539">
        <f t="shared" si="41"/>
        <v>10059.983606963106</v>
      </c>
      <c r="DX89" s="539">
        <f t="shared" si="41"/>
        <v>10083.094712487115</v>
      </c>
      <c r="DY89" s="539">
        <f t="shared" si="41"/>
        <v>10055.997562626802</v>
      </c>
      <c r="DZ89" s="539">
        <f t="shared" si="41"/>
        <v>12150.719351237401</v>
      </c>
      <c r="EA89" s="539">
        <f t="shared" si="41"/>
        <v>14400.981458335427</v>
      </c>
      <c r="EB89" s="539">
        <f t="shared" si="41"/>
        <v>16648.983915654459</v>
      </c>
      <c r="EC89" s="539">
        <f t="shared" si="41"/>
        <v>19599.446855546739</v>
      </c>
      <c r="ED89" s="539">
        <f t="shared" si="41"/>
        <v>2308.4176722004668</v>
      </c>
      <c r="EE89" s="539">
        <f t="shared" si="41"/>
        <v>4.0745362639427185E-10</v>
      </c>
      <c r="EF89" s="539">
        <f t="shared" si="41"/>
        <v>4.0745362639427185E-10</v>
      </c>
      <c r="EG89" s="539">
        <f t="shared" si="41"/>
        <v>4.0745362639427185E-10</v>
      </c>
    </row>
    <row r="90" spans="5:137" ht="12.75">
      <c r="E90" s="538" t="str">
        <f>E$81</f>
        <v>Share capital - redeemed from operations end</v>
      </c>
      <c r="G90" s="539" t="str">
        <f>G$81</f>
        <v>EUR 000s</v>
      </c>
      <c r="H90" s="539">
        <f>H$81</f>
        <v>13909.446440123251</v>
      </c>
      <c r="J90" s="539">
        <f t="shared" si="42" ref="J90:EG90">J$81</f>
        <v>0</v>
      </c>
      <c r="K90" s="539">
        <f t="shared" si="42"/>
        <v>0</v>
      </c>
      <c r="L90" s="539">
        <f t="shared" si="42"/>
        <v>0</v>
      </c>
      <c r="M90" s="539">
        <f t="shared" si="42"/>
        <v>0</v>
      </c>
      <c r="N90" s="539">
        <f t="shared" si="42"/>
        <v>0</v>
      </c>
      <c r="O90" s="539">
        <f t="shared" si="42"/>
        <v>0</v>
      </c>
      <c r="P90" s="539">
        <f t="shared" si="42"/>
        <v>0</v>
      </c>
      <c r="Q90" s="539">
        <f t="shared" si="42"/>
        <v>0</v>
      </c>
      <c r="R90" s="539">
        <f t="shared" si="42"/>
        <v>0</v>
      </c>
      <c r="S90" s="539">
        <f t="shared" si="42"/>
        <v>0</v>
      </c>
      <c r="T90" s="539">
        <f t="shared" si="42"/>
        <v>0</v>
      </c>
      <c r="U90" s="539">
        <f t="shared" si="42"/>
        <v>0</v>
      </c>
      <c r="V90" s="539">
        <f t="shared" si="42"/>
        <v>0</v>
      </c>
      <c r="W90" s="539">
        <f t="shared" si="42"/>
        <v>0</v>
      </c>
      <c r="X90" s="539">
        <f t="shared" si="42"/>
        <v>0</v>
      </c>
      <c r="Y90" s="539">
        <f t="shared" si="42"/>
        <v>0</v>
      </c>
      <c r="Z90" s="539">
        <f t="shared" si="42"/>
        <v>0</v>
      </c>
      <c r="AA90" s="539">
        <f t="shared" si="42"/>
        <v>0</v>
      </c>
      <c r="AB90" s="539">
        <f t="shared" si="42"/>
        <v>0</v>
      </c>
      <c r="AC90" s="539">
        <f t="shared" si="42"/>
        <v>0</v>
      </c>
      <c r="AD90" s="539">
        <f t="shared" si="42"/>
        <v>0</v>
      </c>
      <c r="AE90" s="539">
        <f t="shared" si="42"/>
        <v>0</v>
      </c>
      <c r="AF90" s="539">
        <f t="shared" si="42"/>
        <v>0</v>
      </c>
      <c r="AG90" s="539">
        <f t="shared" si="42"/>
        <v>0</v>
      </c>
      <c r="AH90" s="539">
        <f t="shared" si="42"/>
        <v>0</v>
      </c>
      <c r="AI90" s="539">
        <f t="shared" si="42"/>
        <v>0</v>
      </c>
      <c r="AJ90" s="539">
        <f t="shared" si="42"/>
        <v>0</v>
      </c>
      <c r="AK90" s="539">
        <f t="shared" si="42"/>
        <v>0</v>
      </c>
      <c r="AL90" s="539">
        <f t="shared" si="42"/>
        <v>0</v>
      </c>
      <c r="AM90" s="539">
        <f t="shared" si="42"/>
        <v>0</v>
      </c>
      <c r="AN90" s="539">
        <f t="shared" si="42"/>
        <v>0</v>
      </c>
      <c r="AO90" s="539">
        <f t="shared" si="42"/>
        <v>0</v>
      </c>
      <c r="AP90" s="539">
        <f t="shared" si="42"/>
        <v>0</v>
      </c>
      <c r="AQ90" s="539">
        <f t="shared" si="42"/>
        <v>0</v>
      </c>
      <c r="AR90" s="539">
        <f t="shared" si="42"/>
        <v>0</v>
      </c>
      <c r="AS90" s="539">
        <f t="shared" si="42"/>
        <v>0</v>
      </c>
      <c r="AT90" s="539">
        <f t="shared" si="42"/>
        <v>0</v>
      </c>
      <c r="AU90" s="539">
        <f t="shared" si="42"/>
        <v>0</v>
      </c>
      <c r="AV90" s="539">
        <f t="shared" si="42"/>
        <v>0</v>
      </c>
      <c r="AW90" s="539">
        <f t="shared" si="42"/>
        <v>0</v>
      </c>
      <c r="AX90" s="539">
        <f t="shared" si="42"/>
        <v>0</v>
      </c>
      <c r="AY90" s="539">
        <f t="shared" si="42"/>
        <v>0</v>
      </c>
      <c r="AZ90" s="539">
        <f t="shared" si="42"/>
        <v>0</v>
      </c>
      <c r="BA90" s="539">
        <f t="shared" si="42"/>
        <v>0</v>
      </c>
      <c r="BB90" s="539">
        <f t="shared" si="42"/>
        <v>0</v>
      </c>
      <c r="BC90" s="539">
        <f t="shared" si="42"/>
        <v>0</v>
      </c>
      <c r="BD90" s="539">
        <f t="shared" si="42"/>
        <v>0</v>
      </c>
      <c r="BE90" s="539">
        <f t="shared" si="42"/>
        <v>0</v>
      </c>
      <c r="BF90" s="539">
        <f t="shared" si="42"/>
        <v>0</v>
      </c>
      <c r="BG90" s="539">
        <f t="shared" si="42"/>
        <v>0</v>
      </c>
      <c r="BH90" s="539">
        <f t="shared" si="42"/>
        <v>0</v>
      </c>
      <c r="BI90" s="539">
        <f t="shared" si="42"/>
        <v>0</v>
      </c>
      <c r="BJ90" s="539">
        <f t="shared" si="42"/>
        <v>0</v>
      </c>
      <c r="BK90" s="539">
        <f t="shared" si="42"/>
        <v>0</v>
      </c>
      <c r="BL90" s="539">
        <f t="shared" si="42"/>
        <v>0</v>
      </c>
      <c r="BM90" s="539">
        <f t="shared" si="42"/>
        <v>0</v>
      </c>
      <c r="BN90" s="539">
        <f t="shared" si="42"/>
        <v>0</v>
      </c>
      <c r="BO90" s="539">
        <f t="shared" si="42"/>
        <v>0</v>
      </c>
      <c r="BP90" s="539">
        <f t="shared" si="42"/>
        <v>0</v>
      </c>
      <c r="BQ90" s="539">
        <f t="shared" si="42"/>
        <v>0</v>
      </c>
      <c r="BR90" s="539">
        <f t="shared" si="42"/>
        <v>0</v>
      </c>
      <c r="BS90" s="539">
        <f t="shared" si="42"/>
        <v>0</v>
      </c>
      <c r="BT90" s="539">
        <f t="shared" si="42"/>
        <v>0</v>
      </c>
      <c r="BU90" s="539">
        <f t="shared" si="42"/>
        <v>0</v>
      </c>
      <c r="BV90" s="539">
        <f t="shared" si="42"/>
        <v>0</v>
      </c>
      <c r="BW90" s="539">
        <f t="shared" si="42"/>
        <v>0</v>
      </c>
      <c r="BX90" s="539">
        <f t="shared" si="42"/>
        <v>0</v>
      </c>
      <c r="BY90" s="539">
        <f t="shared" si="42"/>
        <v>0</v>
      </c>
      <c r="BZ90" s="539">
        <f t="shared" si="42"/>
        <v>0</v>
      </c>
      <c r="CA90" s="539">
        <f t="shared" si="42"/>
        <v>0</v>
      </c>
      <c r="CB90" s="539">
        <f t="shared" si="42"/>
        <v>0</v>
      </c>
      <c r="CC90" s="539">
        <f t="shared" si="42"/>
        <v>0</v>
      </c>
      <c r="CD90" s="539">
        <f t="shared" si="42"/>
        <v>0</v>
      </c>
      <c r="CE90" s="539">
        <f t="shared" si="42"/>
        <v>0</v>
      </c>
      <c r="CF90" s="539">
        <f t="shared" si="42"/>
        <v>0</v>
      </c>
      <c r="CG90" s="539">
        <f t="shared" si="42"/>
        <v>0</v>
      </c>
      <c r="CH90" s="539">
        <f t="shared" si="42"/>
        <v>0</v>
      </c>
      <c r="CI90" s="539">
        <f t="shared" si="42"/>
        <v>0</v>
      </c>
      <c r="CJ90" s="539">
        <f t="shared" si="42"/>
        <v>0</v>
      </c>
      <c r="CK90" s="539">
        <f t="shared" si="42"/>
        <v>0</v>
      </c>
      <c r="CL90" s="539">
        <f t="shared" si="42"/>
        <v>0</v>
      </c>
      <c r="CM90" s="539">
        <f t="shared" si="42"/>
        <v>0</v>
      </c>
      <c r="CN90" s="539">
        <f t="shared" si="42"/>
        <v>0</v>
      </c>
      <c r="CO90" s="539">
        <f t="shared" si="42"/>
        <v>0</v>
      </c>
      <c r="CP90" s="539">
        <f t="shared" si="42"/>
        <v>0</v>
      </c>
      <c r="CQ90" s="539">
        <f t="shared" si="42"/>
        <v>0</v>
      </c>
      <c r="CR90" s="539">
        <f t="shared" si="42"/>
        <v>0</v>
      </c>
      <c r="CS90" s="539">
        <f t="shared" si="42"/>
        <v>0</v>
      </c>
      <c r="CT90" s="539">
        <f t="shared" si="42"/>
        <v>0</v>
      </c>
      <c r="CU90" s="539">
        <f t="shared" si="42"/>
        <v>0</v>
      </c>
      <c r="CV90" s="539">
        <f t="shared" si="42"/>
        <v>0</v>
      </c>
      <c r="CW90" s="539">
        <f t="shared" si="42"/>
        <v>0</v>
      </c>
      <c r="CX90" s="539">
        <f t="shared" si="42"/>
        <v>0</v>
      </c>
      <c r="CY90" s="539">
        <f t="shared" si="42"/>
        <v>0</v>
      </c>
      <c r="CZ90" s="539">
        <f t="shared" si="42"/>
        <v>0</v>
      </c>
      <c r="DA90" s="539">
        <f t="shared" si="42"/>
        <v>0</v>
      </c>
      <c r="DB90" s="539">
        <f t="shared" si="42"/>
        <v>0</v>
      </c>
      <c r="DC90" s="539">
        <f t="shared" si="42"/>
        <v>0</v>
      </c>
      <c r="DD90" s="539">
        <f t="shared" si="42"/>
        <v>0</v>
      </c>
      <c r="DE90" s="539">
        <f t="shared" si="42"/>
        <v>0</v>
      </c>
      <c r="DF90" s="539">
        <f t="shared" si="42"/>
        <v>0</v>
      </c>
      <c r="DG90" s="539">
        <f t="shared" si="42"/>
        <v>0</v>
      </c>
      <c r="DH90" s="539">
        <f t="shared" si="42"/>
        <v>0</v>
      </c>
      <c r="DI90" s="539">
        <f t="shared" si="42"/>
        <v>0</v>
      </c>
      <c r="DJ90" s="539">
        <f t="shared" si="42"/>
        <v>0</v>
      </c>
      <c r="DK90" s="539">
        <f t="shared" si="42"/>
        <v>0</v>
      </c>
      <c r="DL90" s="539">
        <f t="shared" si="42"/>
        <v>0</v>
      </c>
      <c r="DM90" s="539">
        <f t="shared" si="42"/>
        <v>0</v>
      </c>
      <c r="DN90" s="539">
        <f t="shared" si="42"/>
        <v>0</v>
      </c>
      <c r="DO90" s="539">
        <f t="shared" si="42"/>
        <v>0</v>
      </c>
      <c r="DP90" s="539">
        <f t="shared" si="42"/>
        <v>0</v>
      </c>
      <c r="DQ90" s="539">
        <f t="shared" si="42"/>
        <v>0</v>
      </c>
      <c r="DR90" s="539">
        <f t="shared" si="42"/>
        <v>0</v>
      </c>
      <c r="DS90" s="539">
        <f t="shared" si="42"/>
        <v>0</v>
      </c>
      <c r="DT90" s="539">
        <f t="shared" si="42"/>
        <v>0</v>
      </c>
      <c r="DU90" s="539">
        <f t="shared" si="42"/>
        <v>0</v>
      </c>
      <c r="DV90" s="539">
        <f t="shared" si="42"/>
        <v>0</v>
      </c>
      <c r="DW90" s="539">
        <f t="shared" si="42"/>
        <v>0</v>
      </c>
      <c r="DX90" s="539">
        <f t="shared" si="42"/>
        <v>0</v>
      </c>
      <c r="DY90" s="539">
        <f t="shared" si="42"/>
        <v>0</v>
      </c>
      <c r="DZ90" s="539">
        <f t="shared" si="42"/>
        <v>0</v>
      </c>
      <c r="EA90" s="539">
        <f t="shared" si="42"/>
        <v>0</v>
      </c>
      <c r="EB90" s="539">
        <f t="shared" si="42"/>
        <v>0</v>
      </c>
      <c r="EC90" s="539">
        <f t="shared" si="42"/>
        <v>13909.446440123251</v>
      </c>
      <c r="ED90" s="539">
        <f t="shared" si="42"/>
        <v>0</v>
      </c>
      <c r="EE90" s="539">
        <f t="shared" si="42"/>
        <v>0</v>
      </c>
      <c r="EF90" s="539">
        <f t="shared" si="42"/>
        <v>0</v>
      </c>
      <c r="EG90" s="539">
        <f t="shared" si="42"/>
        <v>0</v>
      </c>
    </row>
    <row r="91" spans="5:137" ht="12.75">
      <c r="E91" s="540" t="s">
        <v>483</v>
      </c>
      <c r="G91" s="541" t="s">
        <v>30</v>
      </c>
      <c r="H91" s="541">
        <f>SUM(J91:EG91)</f>
        <v>450809.27108649502</v>
      </c>
      <c r="J91" s="541">
        <f t="shared" si="43" ref="J91:EG91">MIN(J89-J90,MAX(0,J88))</f>
        <v>0</v>
      </c>
      <c r="K91" s="541">
        <f t="shared" si="43"/>
        <v>0</v>
      </c>
      <c r="L91" s="541">
        <f t="shared" si="43"/>
        <v>0</v>
      </c>
      <c r="M91" s="541">
        <f t="shared" si="43"/>
        <v>0</v>
      </c>
      <c r="N91" s="541">
        <f t="shared" si="43"/>
        <v>0</v>
      </c>
      <c r="O91" s="541">
        <f t="shared" si="43"/>
        <v>0</v>
      </c>
      <c r="P91" s="541">
        <f t="shared" si="43"/>
        <v>0</v>
      </c>
      <c r="Q91" s="541">
        <f t="shared" si="43"/>
        <v>0</v>
      </c>
      <c r="R91" s="541">
        <f t="shared" si="43"/>
        <v>0</v>
      </c>
      <c r="S91" s="541">
        <f t="shared" si="43"/>
        <v>0</v>
      </c>
      <c r="T91" s="541">
        <f t="shared" si="43"/>
        <v>0</v>
      </c>
      <c r="U91" s="541">
        <f t="shared" si="43"/>
        <v>0</v>
      </c>
      <c r="V91" s="541">
        <f t="shared" si="43"/>
        <v>0</v>
      </c>
      <c r="W91" s="541">
        <f t="shared" si="43"/>
        <v>0</v>
      </c>
      <c r="X91" s="541">
        <f t="shared" si="43"/>
        <v>0</v>
      </c>
      <c r="Y91" s="541">
        <f t="shared" si="43"/>
        <v>0</v>
      </c>
      <c r="Z91" s="541">
        <f t="shared" si="43"/>
        <v>0</v>
      </c>
      <c r="AA91" s="541">
        <f t="shared" si="43"/>
        <v>0</v>
      </c>
      <c r="AB91" s="541">
        <f t="shared" si="43"/>
        <v>0</v>
      </c>
      <c r="AC91" s="541">
        <f t="shared" si="43"/>
        <v>0</v>
      </c>
      <c r="AD91" s="541">
        <f t="shared" si="43"/>
        <v>0</v>
      </c>
      <c r="AE91" s="541">
        <f t="shared" si="43"/>
        <v>0</v>
      </c>
      <c r="AF91" s="541">
        <f t="shared" si="43"/>
        <v>0</v>
      </c>
      <c r="AG91" s="541">
        <f t="shared" si="43"/>
        <v>0</v>
      </c>
      <c r="AH91" s="541">
        <f t="shared" si="43"/>
        <v>0</v>
      </c>
      <c r="AI91" s="541">
        <f t="shared" si="43"/>
        <v>0</v>
      </c>
      <c r="AJ91" s="541">
        <f t="shared" si="43"/>
        <v>0</v>
      </c>
      <c r="AK91" s="541">
        <f t="shared" si="43"/>
        <v>0</v>
      </c>
      <c r="AL91" s="541">
        <f t="shared" si="43"/>
        <v>0</v>
      </c>
      <c r="AM91" s="541">
        <f t="shared" si="43"/>
        <v>0</v>
      </c>
      <c r="AN91" s="541">
        <f t="shared" si="43"/>
        <v>0</v>
      </c>
      <c r="AO91" s="541">
        <f t="shared" si="43"/>
        <v>0</v>
      </c>
      <c r="AP91" s="541">
        <f t="shared" si="43"/>
        <v>0</v>
      </c>
      <c r="AQ91" s="541">
        <f t="shared" si="43"/>
        <v>0</v>
      </c>
      <c r="AR91" s="541">
        <f t="shared" si="43"/>
        <v>0</v>
      </c>
      <c r="AS91" s="541">
        <f t="shared" si="43"/>
        <v>0</v>
      </c>
      <c r="AT91" s="541">
        <f t="shared" si="43"/>
        <v>0</v>
      </c>
      <c r="AU91" s="541">
        <f t="shared" si="43"/>
        <v>0</v>
      </c>
      <c r="AV91" s="541">
        <f t="shared" si="43"/>
        <v>0</v>
      </c>
      <c r="AW91" s="541">
        <f t="shared" si="43"/>
        <v>0</v>
      </c>
      <c r="AX91" s="541">
        <f t="shared" si="43"/>
        <v>0</v>
      </c>
      <c r="AY91" s="541">
        <f t="shared" si="43"/>
        <v>0</v>
      </c>
      <c r="AZ91" s="541">
        <f t="shared" si="43"/>
        <v>0</v>
      </c>
      <c r="BA91" s="541">
        <f t="shared" si="43"/>
        <v>0</v>
      </c>
      <c r="BB91" s="541">
        <f t="shared" si="43"/>
        <v>0</v>
      </c>
      <c r="BC91" s="541">
        <f t="shared" si="43"/>
        <v>0</v>
      </c>
      <c r="BD91" s="541">
        <f t="shared" si="43"/>
        <v>0</v>
      </c>
      <c r="BE91" s="541">
        <f t="shared" si="43"/>
        <v>0</v>
      </c>
      <c r="BF91" s="541">
        <f t="shared" si="43"/>
        <v>2527.6157695725174</v>
      </c>
      <c r="BG91" s="541">
        <f t="shared" si="43"/>
        <v>3963.7340210591155</v>
      </c>
      <c r="BH91" s="541">
        <f t="shared" si="43"/>
        <v>3901.9818208723086</v>
      </c>
      <c r="BI91" s="541">
        <f t="shared" si="43"/>
        <v>3863.3396261250573</v>
      </c>
      <c r="BJ91" s="541">
        <f t="shared" si="43"/>
        <v>3981.7948466400562</v>
      </c>
      <c r="BK91" s="541">
        <f t="shared" si="43"/>
        <v>4041.5037487339391</v>
      </c>
      <c r="BL91" s="541">
        <f t="shared" si="43"/>
        <v>4013.5705589641948</v>
      </c>
      <c r="BM91" s="541">
        <f t="shared" si="43"/>
        <v>3952.9034566736409</v>
      </c>
      <c r="BN91" s="541">
        <f t="shared" si="43"/>
        <v>2097.5193655527028</v>
      </c>
      <c r="BO91" s="541">
        <f t="shared" si="43"/>
        <v>2200.864273878366</v>
      </c>
      <c r="BP91" s="541">
        <f t="shared" si="43"/>
        <v>2098.1063109146212</v>
      </c>
      <c r="BQ91" s="541">
        <f t="shared" si="43"/>
        <v>2037.8164184080592</v>
      </c>
      <c r="BR91" s="541">
        <f t="shared" si="43"/>
        <v>4224.1553525130121</v>
      </c>
      <c r="BS91" s="541">
        <f t="shared" si="43"/>
        <v>4329.7689293072381</v>
      </c>
      <c r="BT91" s="541">
        <f t="shared" si="43"/>
        <v>4419.8055567868232</v>
      </c>
      <c r="BU91" s="541">
        <f t="shared" si="43"/>
        <v>4770.8603254831687</v>
      </c>
      <c r="BV91" s="541">
        <f t="shared" si="43"/>
        <v>4626.1012277867885</v>
      </c>
      <c r="BW91" s="541">
        <f t="shared" si="43"/>
        <v>3945.1397120020174</v>
      </c>
      <c r="BX91" s="541">
        <f t="shared" si="43"/>
        <v>3887.6124417460055</v>
      </c>
      <c r="BY91" s="541">
        <f t="shared" si="43"/>
        <v>3843.3319181364645</v>
      </c>
      <c r="BZ91" s="541">
        <f t="shared" si="43"/>
        <v>3978.3991178064584</v>
      </c>
      <c r="CA91" s="541">
        <f t="shared" si="43"/>
        <v>4211.4281415911701</v>
      </c>
      <c r="CB91" s="541">
        <f t="shared" si="43"/>
        <v>4139.4003880005166</v>
      </c>
      <c r="CC91" s="541">
        <f t="shared" si="43"/>
        <v>3736.011479524982</v>
      </c>
      <c r="CD91" s="541">
        <f t="shared" si="43"/>
        <v>4321.3134548763692</v>
      </c>
      <c r="CE91" s="541">
        <f t="shared" si="43"/>
        <v>4413.9780591819081</v>
      </c>
      <c r="CF91" s="541">
        <f t="shared" si="43"/>
        <v>4368.5578436146661</v>
      </c>
      <c r="CG91" s="541">
        <f t="shared" si="43"/>
        <v>4283.5118246307165</v>
      </c>
      <c r="CH91" s="541">
        <f t="shared" si="43"/>
        <v>2110.5359724491877</v>
      </c>
      <c r="CI91" s="541">
        <f t="shared" si="43"/>
        <v>2204.6023940287428</v>
      </c>
      <c r="CJ91" s="541">
        <f t="shared" si="43"/>
        <v>1870.785150550882</v>
      </c>
      <c r="CK91" s="541">
        <f t="shared" si="43"/>
        <v>1786.9171601948424</v>
      </c>
      <c r="CL91" s="541">
        <f t="shared" si="43"/>
        <v>4628.8303227158403</v>
      </c>
      <c r="CM91" s="541">
        <f t="shared" si="43"/>
        <v>4723.5203653725785</v>
      </c>
      <c r="CN91" s="541">
        <f t="shared" si="43"/>
        <v>4948.935086001231</v>
      </c>
      <c r="CO91" s="541">
        <f t="shared" si="43"/>
        <v>4889.99295027068</v>
      </c>
      <c r="CP91" s="541">
        <f t="shared" si="43"/>
        <v>4408.4942242291327</v>
      </c>
      <c r="CQ91" s="541">
        <f t="shared" si="43"/>
        <v>4454.0921236772019</v>
      </c>
      <c r="CR91" s="541">
        <f t="shared" si="43"/>
        <v>4428.3806644411152</v>
      </c>
      <c r="CS91" s="541">
        <f t="shared" si="43"/>
        <v>4344.7192119229667</v>
      </c>
      <c r="CT91" s="541">
        <f t="shared" si="43"/>
        <v>4410.7908852154824</v>
      </c>
      <c r="CU91" s="541">
        <f t="shared" si="43"/>
        <v>4507.2180043044709</v>
      </c>
      <c r="CV91" s="541">
        <f t="shared" si="43"/>
        <v>4455.6468509356973</v>
      </c>
      <c r="CW91" s="541">
        <f t="shared" si="43"/>
        <v>4372.1040514103006</v>
      </c>
      <c r="CX91" s="541">
        <f t="shared" si="43"/>
        <v>4442.1439989063965</v>
      </c>
      <c r="CY91" s="541">
        <f t="shared" si="43"/>
        <v>4538.8867633803111</v>
      </c>
      <c r="CZ91" s="541">
        <f t="shared" si="43"/>
        <v>9289.0498453167747</v>
      </c>
      <c r="DA91" s="541">
        <f t="shared" si="43"/>
        <v>9243.2109589193478</v>
      </c>
      <c r="DB91" s="541">
        <f t="shared" si="43"/>
        <v>6730.8032201585938</v>
      </c>
      <c r="DC91" s="541">
        <f t="shared" si="43"/>
        <v>6819.6943690281241</v>
      </c>
      <c r="DD91" s="541">
        <f t="shared" si="43"/>
        <v>6814.0398522326241</v>
      </c>
      <c r="DE91" s="541">
        <f t="shared" si="43"/>
        <v>6785.1271000854231</v>
      </c>
      <c r="DF91" s="541">
        <f t="shared" si="43"/>
        <v>10042.297500103878</v>
      </c>
      <c r="DG91" s="541">
        <f t="shared" si="43"/>
        <v>10083.037086594606</v>
      </c>
      <c r="DH91" s="541">
        <f t="shared" si="43"/>
        <v>10103.030440845592</v>
      </c>
      <c r="DI91" s="541">
        <f t="shared" si="43"/>
        <v>10074.710093976457</v>
      </c>
      <c r="DJ91" s="541">
        <f t="shared" si="43"/>
        <v>9531.0000277068248</v>
      </c>
      <c r="DK91" s="541">
        <f t="shared" si="43"/>
        <v>9622.5760692221538</v>
      </c>
      <c r="DL91" s="541">
        <f t="shared" si="43"/>
        <v>9618.4891847043327</v>
      </c>
      <c r="DM91" s="541">
        <f t="shared" si="43"/>
        <v>9590.6249782264968</v>
      </c>
      <c r="DN91" s="541">
        <f t="shared" si="43"/>
        <v>9679.6513243283043</v>
      </c>
      <c r="DO91" s="541">
        <f t="shared" si="43"/>
        <v>9772.3259446832872</v>
      </c>
      <c r="DP91" s="541">
        <f t="shared" si="43"/>
        <v>9768.8299907587207</v>
      </c>
      <c r="DQ91" s="541">
        <f t="shared" si="43"/>
        <v>9741.3091688148925</v>
      </c>
      <c r="DR91" s="541">
        <f t="shared" si="43"/>
        <v>9833.1752700445759</v>
      </c>
      <c r="DS91" s="541">
        <f t="shared" si="43"/>
        <v>9926.8134161951511</v>
      </c>
      <c r="DT91" s="541">
        <f t="shared" si="43"/>
        <v>9923.8082057289866</v>
      </c>
      <c r="DU91" s="541">
        <f t="shared" si="43"/>
        <v>9896.5376166003607</v>
      </c>
      <c r="DV91" s="541">
        <f t="shared" si="43"/>
        <v>10016.918852742816</v>
      </c>
      <c r="DW91" s="541">
        <f t="shared" si="43"/>
        <v>10059.983606963106</v>
      </c>
      <c r="DX91" s="541">
        <f t="shared" si="43"/>
        <v>10083.094712487115</v>
      </c>
      <c r="DY91" s="541">
        <f t="shared" si="43"/>
        <v>8058.7377291418616</v>
      </c>
      <c r="DZ91" s="541">
        <f t="shared" si="43"/>
        <v>7998.4180876236478</v>
      </c>
      <c r="EA91" s="541">
        <f t="shared" si="43"/>
        <v>7998.4180876236478</v>
      </c>
      <c r="EB91" s="541">
        <f t="shared" si="43"/>
        <v>7998.4180876236487</v>
      </c>
      <c r="EC91" s="541">
        <f t="shared" si="43"/>
        <v>5690.0004154234884</v>
      </c>
      <c r="ED91" s="541">
        <f t="shared" si="43"/>
        <v>2308.4176722000593</v>
      </c>
      <c r="EE91" s="541">
        <f t="shared" si="43"/>
        <v>0</v>
      </c>
      <c r="EF91" s="541">
        <f t="shared" si="43"/>
        <v>0</v>
      </c>
      <c r="EG91" s="541">
        <f t="shared" si="43"/>
        <v>0</v>
      </c>
    </row>
    <row r="94" spans="1:1" ht="12.75">
      <c r="A94" s="534" t="s">
        <v>484</v>
      </c>
    </row>
    <row r="96" spans="5:137" ht="12.75">
      <c r="E96" s="538" t="str">
        <f>E$48</f>
        <v>Shareholder loan - interest settled</v>
      </c>
      <c r="G96" s="539" t="str">
        <f>G$48</f>
        <v>EUR 000s</v>
      </c>
      <c r="H96" s="539">
        <f>H$48</f>
        <v>15429.351676329899</v>
      </c>
      <c r="J96" s="539">
        <f t="shared" si="44" ref="J96:EG96">J$48</f>
        <v>0</v>
      </c>
      <c r="K96" s="539">
        <f t="shared" si="44"/>
        <v>0</v>
      </c>
      <c r="L96" s="539">
        <f t="shared" si="44"/>
        <v>0</v>
      </c>
      <c r="M96" s="539">
        <f t="shared" si="44"/>
        <v>0</v>
      </c>
      <c r="N96" s="539">
        <f t="shared" si="44"/>
        <v>0</v>
      </c>
      <c r="O96" s="539">
        <f t="shared" si="44"/>
        <v>0</v>
      </c>
      <c r="P96" s="539">
        <f t="shared" si="44"/>
        <v>0</v>
      </c>
      <c r="Q96" s="539">
        <f t="shared" si="44"/>
        <v>0</v>
      </c>
      <c r="R96" s="539">
        <f t="shared" si="44"/>
        <v>0</v>
      </c>
      <c r="S96" s="539">
        <f t="shared" si="44"/>
        <v>0</v>
      </c>
      <c r="T96" s="539">
        <f t="shared" si="44"/>
        <v>0</v>
      </c>
      <c r="U96" s="539">
        <f t="shared" si="44"/>
        <v>0</v>
      </c>
      <c r="V96" s="539">
        <f t="shared" si="44"/>
        <v>0</v>
      </c>
      <c r="W96" s="539">
        <f t="shared" si="44"/>
        <v>0</v>
      </c>
      <c r="X96" s="539">
        <f t="shared" si="44"/>
        <v>0</v>
      </c>
      <c r="Y96" s="539">
        <f t="shared" si="44"/>
        <v>0</v>
      </c>
      <c r="Z96" s="539">
        <f t="shared" si="44"/>
        <v>0</v>
      </c>
      <c r="AA96" s="539">
        <f t="shared" si="44"/>
        <v>0</v>
      </c>
      <c r="AB96" s="539">
        <f t="shared" si="44"/>
        <v>0</v>
      </c>
      <c r="AC96" s="539">
        <f t="shared" si="44"/>
        <v>0</v>
      </c>
      <c r="AD96" s="539">
        <f t="shared" si="44"/>
        <v>0</v>
      </c>
      <c r="AE96" s="539">
        <f t="shared" si="44"/>
        <v>0</v>
      </c>
      <c r="AF96" s="539">
        <f t="shared" si="44"/>
        <v>0</v>
      </c>
      <c r="AG96" s="539">
        <f t="shared" si="44"/>
        <v>0</v>
      </c>
      <c r="AH96" s="539">
        <f t="shared" si="44"/>
        <v>1071.5429781374269</v>
      </c>
      <c r="AI96" s="539">
        <f t="shared" si="44"/>
        <v>1077.9973316179048</v>
      </c>
      <c r="AJ96" s="539">
        <f t="shared" si="44"/>
        <v>1050.82349605998</v>
      </c>
      <c r="AK96" s="539">
        <f t="shared" si="44"/>
        <v>1012.1030926213383</v>
      </c>
      <c r="AL96" s="539">
        <f t="shared" si="44"/>
        <v>952.42274687426186</v>
      </c>
      <c r="AM96" s="539">
        <f t="shared" si="44"/>
        <v>921.77940468535701</v>
      </c>
      <c r="AN96" s="539">
        <f t="shared" si="44"/>
        <v>887.94515691215736</v>
      </c>
      <c r="AO96" s="539">
        <f t="shared" si="44"/>
        <v>844.17309819080367</v>
      </c>
      <c r="AP96" s="539">
        <f t="shared" si="44"/>
        <v>783.12552875123345</v>
      </c>
      <c r="AQ96" s="539">
        <f t="shared" si="44"/>
        <v>745.48593906623933</v>
      </c>
      <c r="AR96" s="539">
        <f t="shared" si="44"/>
        <v>704.39428110844801</v>
      </c>
      <c r="AS96" s="539">
        <f t="shared" si="44"/>
        <v>655.37444241285584</v>
      </c>
      <c r="AT96" s="539">
        <f t="shared" si="44"/>
        <v>599.43267294288569</v>
      </c>
      <c r="AU96" s="539">
        <f t="shared" si="44"/>
        <v>577.77829119205717</v>
      </c>
      <c r="AV96" s="539">
        <f t="shared" si="44"/>
        <v>560.67380378579355</v>
      </c>
      <c r="AW96" s="539">
        <f t="shared" si="44"/>
        <v>537.39823747367063</v>
      </c>
      <c r="AX96" s="539">
        <f t="shared" si="44"/>
        <v>503.52184390108283</v>
      </c>
      <c r="AY96" s="539">
        <f t="shared" si="44"/>
        <v>453.50732356939324</v>
      </c>
      <c r="AZ96" s="539">
        <f t="shared" si="44"/>
        <v>399.52554331808381</v>
      </c>
      <c r="BA96" s="539">
        <f t="shared" si="44"/>
        <v>339.34689841425455</v>
      </c>
      <c r="BB96" s="539">
        <f t="shared" si="44"/>
        <v>272.8980846823859</v>
      </c>
      <c r="BC96" s="539">
        <f t="shared" si="44"/>
        <v>214.79849871647352</v>
      </c>
      <c r="BD96" s="539">
        <f t="shared" si="44"/>
        <v>152.65029218121541</v>
      </c>
      <c r="BE96" s="539">
        <f t="shared" si="44"/>
        <v>87.951433015574608</v>
      </c>
      <c r="BF96" s="539">
        <f t="shared" si="44"/>
        <v>22.701256699025635</v>
      </c>
      <c r="BG96" s="539">
        <f t="shared" si="44"/>
        <v>0</v>
      </c>
      <c r="BH96" s="539">
        <f t="shared" si="44"/>
        <v>0</v>
      </c>
      <c r="BI96" s="539">
        <f t="shared" si="44"/>
        <v>0</v>
      </c>
      <c r="BJ96" s="539">
        <f t="shared" si="44"/>
        <v>0</v>
      </c>
      <c r="BK96" s="539">
        <f t="shared" si="44"/>
        <v>0</v>
      </c>
      <c r="BL96" s="539">
        <f t="shared" si="44"/>
        <v>0</v>
      </c>
      <c r="BM96" s="539">
        <f t="shared" si="44"/>
        <v>0</v>
      </c>
      <c r="BN96" s="539">
        <f t="shared" si="44"/>
        <v>0</v>
      </c>
      <c r="BO96" s="539">
        <f t="shared" si="44"/>
        <v>0</v>
      </c>
      <c r="BP96" s="539">
        <f t="shared" si="44"/>
        <v>0</v>
      </c>
      <c r="BQ96" s="539">
        <f t="shared" si="44"/>
        <v>0</v>
      </c>
      <c r="BR96" s="539">
        <f t="shared" si="44"/>
        <v>0</v>
      </c>
      <c r="BS96" s="539">
        <f t="shared" si="44"/>
        <v>0</v>
      </c>
      <c r="BT96" s="539">
        <f t="shared" si="44"/>
        <v>0</v>
      </c>
      <c r="BU96" s="539">
        <f t="shared" si="44"/>
        <v>0</v>
      </c>
      <c r="BV96" s="539">
        <f t="shared" si="44"/>
        <v>0</v>
      </c>
      <c r="BW96" s="539">
        <f t="shared" si="44"/>
        <v>0</v>
      </c>
      <c r="BX96" s="539">
        <f t="shared" si="44"/>
        <v>0</v>
      </c>
      <c r="BY96" s="539">
        <f t="shared" si="44"/>
        <v>0</v>
      </c>
      <c r="BZ96" s="539">
        <f t="shared" si="44"/>
        <v>0</v>
      </c>
      <c r="CA96" s="539">
        <f t="shared" si="44"/>
        <v>0</v>
      </c>
      <c r="CB96" s="539">
        <f t="shared" si="44"/>
        <v>0</v>
      </c>
      <c r="CC96" s="539">
        <f t="shared" si="44"/>
        <v>0</v>
      </c>
      <c r="CD96" s="539">
        <f t="shared" si="44"/>
        <v>0</v>
      </c>
      <c r="CE96" s="539">
        <f t="shared" si="44"/>
        <v>0</v>
      </c>
      <c r="CF96" s="539">
        <f t="shared" si="44"/>
        <v>0</v>
      </c>
      <c r="CG96" s="539">
        <f t="shared" si="44"/>
        <v>0</v>
      </c>
      <c r="CH96" s="539">
        <f t="shared" si="44"/>
        <v>0</v>
      </c>
      <c r="CI96" s="539">
        <f t="shared" si="44"/>
        <v>0</v>
      </c>
      <c r="CJ96" s="539">
        <f t="shared" si="44"/>
        <v>0</v>
      </c>
      <c r="CK96" s="539">
        <f t="shared" si="44"/>
        <v>0</v>
      </c>
      <c r="CL96" s="539">
        <f t="shared" si="44"/>
        <v>0</v>
      </c>
      <c r="CM96" s="539">
        <f t="shared" si="44"/>
        <v>0</v>
      </c>
      <c r="CN96" s="539">
        <f t="shared" si="44"/>
        <v>0</v>
      </c>
      <c r="CO96" s="539">
        <f t="shared" si="44"/>
        <v>0</v>
      </c>
      <c r="CP96" s="539">
        <f t="shared" si="44"/>
        <v>0</v>
      </c>
      <c r="CQ96" s="539">
        <f t="shared" si="44"/>
        <v>0</v>
      </c>
      <c r="CR96" s="539">
        <f t="shared" si="44"/>
        <v>0</v>
      </c>
      <c r="CS96" s="539">
        <f t="shared" si="44"/>
        <v>0</v>
      </c>
      <c r="CT96" s="539">
        <f t="shared" si="44"/>
        <v>0</v>
      </c>
      <c r="CU96" s="539">
        <f t="shared" si="44"/>
        <v>0</v>
      </c>
      <c r="CV96" s="539">
        <f t="shared" si="44"/>
        <v>0</v>
      </c>
      <c r="CW96" s="539">
        <f t="shared" si="44"/>
        <v>0</v>
      </c>
      <c r="CX96" s="539">
        <f t="shared" si="44"/>
        <v>0</v>
      </c>
      <c r="CY96" s="539">
        <f t="shared" si="44"/>
        <v>0</v>
      </c>
      <c r="CZ96" s="539">
        <f t="shared" si="44"/>
        <v>0</v>
      </c>
      <c r="DA96" s="539">
        <f t="shared" si="44"/>
        <v>0</v>
      </c>
      <c r="DB96" s="539">
        <f t="shared" si="44"/>
        <v>0</v>
      </c>
      <c r="DC96" s="539">
        <f t="shared" si="44"/>
        <v>0</v>
      </c>
      <c r="DD96" s="539">
        <f t="shared" si="44"/>
        <v>0</v>
      </c>
      <c r="DE96" s="539">
        <f t="shared" si="44"/>
        <v>0</v>
      </c>
      <c r="DF96" s="539">
        <f t="shared" si="44"/>
        <v>0</v>
      </c>
      <c r="DG96" s="539">
        <f t="shared" si="44"/>
        <v>0</v>
      </c>
      <c r="DH96" s="539">
        <f t="shared" si="44"/>
        <v>0</v>
      </c>
      <c r="DI96" s="539">
        <f t="shared" si="44"/>
        <v>0</v>
      </c>
      <c r="DJ96" s="539">
        <f t="shared" si="44"/>
        <v>0</v>
      </c>
      <c r="DK96" s="539">
        <f t="shared" si="44"/>
        <v>0</v>
      </c>
      <c r="DL96" s="539">
        <f t="shared" si="44"/>
        <v>0</v>
      </c>
      <c r="DM96" s="539">
        <f t="shared" si="44"/>
        <v>0</v>
      </c>
      <c r="DN96" s="539">
        <f t="shared" si="44"/>
        <v>0</v>
      </c>
      <c r="DO96" s="539">
        <f t="shared" si="44"/>
        <v>0</v>
      </c>
      <c r="DP96" s="539">
        <f t="shared" si="44"/>
        <v>0</v>
      </c>
      <c r="DQ96" s="539">
        <f t="shared" si="44"/>
        <v>0</v>
      </c>
      <c r="DR96" s="539">
        <f t="shared" si="44"/>
        <v>0</v>
      </c>
      <c r="DS96" s="539">
        <f t="shared" si="44"/>
        <v>0</v>
      </c>
      <c r="DT96" s="539">
        <f t="shared" si="44"/>
        <v>0</v>
      </c>
      <c r="DU96" s="539">
        <f t="shared" si="44"/>
        <v>0</v>
      </c>
      <c r="DV96" s="539">
        <f t="shared" si="44"/>
        <v>0</v>
      </c>
      <c r="DW96" s="539">
        <f t="shared" si="44"/>
        <v>0</v>
      </c>
      <c r="DX96" s="539">
        <f t="shared" si="44"/>
        <v>0</v>
      </c>
      <c r="DY96" s="539">
        <f t="shared" si="44"/>
        <v>0</v>
      </c>
      <c r="DZ96" s="539">
        <f t="shared" si="44"/>
        <v>0</v>
      </c>
      <c r="EA96" s="539">
        <f t="shared" si="44"/>
        <v>0</v>
      </c>
      <c r="EB96" s="539">
        <f t="shared" si="44"/>
        <v>0</v>
      </c>
      <c r="EC96" s="539">
        <f t="shared" si="44"/>
        <v>0</v>
      </c>
      <c r="ED96" s="539">
        <f t="shared" si="44"/>
        <v>0</v>
      </c>
      <c r="EE96" s="539">
        <f t="shared" si="44"/>
        <v>0</v>
      </c>
      <c r="EF96" s="539">
        <f t="shared" si="44"/>
        <v>0</v>
      </c>
      <c r="EG96" s="539">
        <f t="shared" si="44"/>
        <v>0</v>
      </c>
    </row>
    <row r="97" spans="5:137" ht="12.75">
      <c r="E97" s="538" t="str">
        <f>E$58</f>
        <v>Shareholder loan - principal repaid</v>
      </c>
      <c r="G97" s="539" t="str">
        <f>G$58</f>
        <v>EUR 000s</v>
      </c>
      <c r="H97" s="539">
        <f>H$58</f>
        <v>62081.458257168386</v>
      </c>
      <c r="J97" s="539">
        <f t="shared" si="45" ref="J97:EG97">J$58</f>
        <v>0</v>
      </c>
      <c r="K97" s="539">
        <f t="shared" si="45"/>
        <v>0</v>
      </c>
      <c r="L97" s="539">
        <f t="shared" si="45"/>
        <v>0</v>
      </c>
      <c r="M97" s="539">
        <f t="shared" si="45"/>
        <v>0</v>
      </c>
      <c r="N97" s="539">
        <f t="shared" si="45"/>
        <v>0</v>
      </c>
      <c r="O97" s="539">
        <f t="shared" si="45"/>
        <v>0</v>
      </c>
      <c r="P97" s="539">
        <f t="shared" si="45"/>
        <v>1.8189894035458565E-12</v>
      </c>
      <c r="Q97" s="539">
        <f t="shared" si="45"/>
        <v>0</v>
      </c>
      <c r="R97" s="539">
        <f t="shared" si="45"/>
        <v>0</v>
      </c>
      <c r="S97" s="539">
        <f t="shared" si="45"/>
        <v>0</v>
      </c>
      <c r="T97" s="539">
        <f t="shared" si="45"/>
        <v>0</v>
      </c>
      <c r="U97" s="539">
        <f t="shared" si="45"/>
        <v>0</v>
      </c>
      <c r="V97" s="539">
        <f t="shared" si="45"/>
        <v>0</v>
      </c>
      <c r="W97" s="539">
        <f t="shared" si="45"/>
        <v>0</v>
      </c>
      <c r="X97" s="539">
        <f t="shared" si="45"/>
        <v>0</v>
      </c>
      <c r="Y97" s="539">
        <f t="shared" si="45"/>
        <v>0</v>
      </c>
      <c r="Z97" s="539">
        <f t="shared" si="45"/>
        <v>0</v>
      </c>
      <c r="AA97" s="539">
        <f t="shared" si="45"/>
        <v>0</v>
      </c>
      <c r="AB97" s="539">
        <f t="shared" si="45"/>
        <v>0</v>
      </c>
      <c r="AC97" s="539">
        <f t="shared" si="45"/>
        <v>0</v>
      </c>
      <c r="AD97" s="539">
        <f t="shared" si="45"/>
        <v>0</v>
      </c>
      <c r="AE97" s="539">
        <f t="shared" si="45"/>
        <v>0</v>
      </c>
      <c r="AF97" s="539">
        <f t="shared" si="45"/>
        <v>0</v>
      </c>
      <c r="AG97" s="539">
        <f t="shared" si="45"/>
        <v>0</v>
      </c>
      <c r="AH97" s="539">
        <f t="shared" si="45"/>
        <v>312.38038581277306</v>
      </c>
      <c r="AI97" s="539">
        <f t="shared" si="45"/>
        <v>2211.5350046020876</v>
      </c>
      <c r="AJ97" s="539">
        <f t="shared" si="45"/>
        <v>2194.5570271900933</v>
      </c>
      <c r="AK97" s="539">
        <f t="shared" si="45"/>
        <v>2182.9378063720687</v>
      </c>
      <c r="AL97" s="539">
        <f t="shared" si="45"/>
        <v>2362.2328510633752</v>
      </c>
      <c r="AM97" s="539">
        <f t="shared" si="45"/>
        <v>2491.7309782557159</v>
      </c>
      <c r="AN97" s="539">
        <f t="shared" si="45"/>
        <v>2480.8697877785871</v>
      </c>
      <c r="AO97" s="539">
        <f t="shared" si="45"/>
        <v>2473.6560043158756</v>
      </c>
      <c r="AP97" s="539">
        <f t="shared" si="45"/>
        <v>2655.3311340419641</v>
      </c>
      <c r="AQ97" s="539">
        <f t="shared" si="45"/>
        <v>2793.2594819930591</v>
      </c>
      <c r="AR97" s="539">
        <f t="shared" si="45"/>
        <v>2778.298311163227</v>
      </c>
      <c r="AS97" s="539">
        <f t="shared" si="45"/>
        <v>2797.2714274126415</v>
      </c>
      <c r="AT97" s="539">
        <f t="shared" si="45"/>
        <v>1240.7926748904852</v>
      </c>
      <c r="AU97" s="539">
        <f t="shared" si="45"/>
        <v>1329.2857577710558</v>
      </c>
      <c r="AV97" s="539">
        <f t="shared" si="45"/>
        <v>1319.1897055783927</v>
      </c>
      <c r="AW97" s="539">
        <f t="shared" si="45"/>
        <v>1285.8326135467898</v>
      </c>
      <c r="AX97" s="539">
        <f t="shared" si="45"/>
        <v>3186.3988590962786</v>
      </c>
      <c r="AY97" s="539">
        <f t="shared" si="45"/>
        <v>3341.981783069536</v>
      </c>
      <c r="AZ97" s="539">
        <f t="shared" si="45"/>
        <v>3410.7461785555397</v>
      </c>
      <c r="BA97" s="539">
        <f t="shared" si="45"/>
        <v>3422.4084355999721</v>
      </c>
      <c r="BB97" s="539">
        <f t="shared" si="45"/>
        <v>3502.8417929343987</v>
      </c>
      <c r="BC97" s="539">
        <f t="shared" si="45"/>
        <v>3656.1568017543354</v>
      </c>
      <c r="BD97" s="539">
        <f t="shared" si="45"/>
        <v>3666.9384464998284</v>
      </c>
      <c r="BE97" s="539">
        <f t="shared" si="45"/>
        <v>3669.5934689584969</v>
      </c>
      <c r="BF97" s="539">
        <f t="shared" si="45"/>
        <v>1315.2315389118025</v>
      </c>
      <c r="BG97" s="539">
        <f t="shared" si="45"/>
        <v>0</v>
      </c>
      <c r="BH97" s="539">
        <f t="shared" si="45"/>
        <v>0</v>
      </c>
      <c r="BI97" s="539">
        <f t="shared" si="45"/>
        <v>0</v>
      </c>
      <c r="BJ97" s="539">
        <f t="shared" si="45"/>
        <v>0</v>
      </c>
      <c r="BK97" s="539">
        <f t="shared" si="45"/>
        <v>0</v>
      </c>
      <c r="BL97" s="539">
        <f t="shared" si="45"/>
        <v>0</v>
      </c>
      <c r="BM97" s="539">
        <f t="shared" si="45"/>
        <v>0</v>
      </c>
      <c r="BN97" s="539">
        <f t="shared" si="45"/>
        <v>0</v>
      </c>
      <c r="BO97" s="539">
        <f t="shared" si="45"/>
        <v>0</v>
      </c>
      <c r="BP97" s="539">
        <f t="shared" si="45"/>
        <v>0</v>
      </c>
      <c r="BQ97" s="539">
        <f t="shared" si="45"/>
        <v>0</v>
      </c>
      <c r="BR97" s="539">
        <f t="shared" si="45"/>
        <v>0</v>
      </c>
      <c r="BS97" s="539">
        <f t="shared" si="45"/>
        <v>0</v>
      </c>
      <c r="BT97" s="539">
        <f t="shared" si="45"/>
        <v>0</v>
      </c>
      <c r="BU97" s="539">
        <f t="shared" si="45"/>
        <v>0</v>
      </c>
      <c r="BV97" s="539">
        <f t="shared" si="45"/>
        <v>0</v>
      </c>
      <c r="BW97" s="539">
        <f t="shared" si="45"/>
        <v>0</v>
      </c>
      <c r="BX97" s="539">
        <f t="shared" si="45"/>
        <v>0</v>
      </c>
      <c r="BY97" s="539">
        <f t="shared" si="45"/>
        <v>0</v>
      </c>
      <c r="BZ97" s="539">
        <f t="shared" si="45"/>
        <v>0</v>
      </c>
      <c r="CA97" s="539">
        <f t="shared" si="45"/>
        <v>0</v>
      </c>
      <c r="CB97" s="539">
        <f t="shared" si="45"/>
        <v>0</v>
      </c>
      <c r="CC97" s="539">
        <f t="shared" si="45"/>
        <v>0</v>
      </c>
      <c r="CD97" s="539">
        <f t="shared" si="45"/>
        <v>0</v>
      </c>
      <c r="CE97" s="539">
        <f t="shared" si="45"/>
        <v>0</v>
      </c>
      <c r="CF97" s="539">
        <f t="shared" si="45"/>
        <v>0</v>
      </c>
      <c r="CG97" s="539">
        <f t="shared" si="45"/>
        <v>0</v>
      </c>
      <c r="CH97" s="539">
        <f t="shared" si="45"/>
        <v>0</v>
      </c>
      <c r="CI97" s="539">
        <f t="shared" si="45"/>
        <v>0</v>
      </c>
      <c r="CJ97" s="539">
        <f t="shared" si="45"/>
        <v>0</v>
      </c>
      <c r="CK97" s="539">
        <f t="shared" si="45"/>
        <v>0</v>
      </c>
      <c r="CL97" s="539">
        <f t="shared" si="45"/>
        <v>0</v>
      </c>
      <c r="CM97" s="539">
        <f t="shared" si="45"/>
        <v>0</v>
      </c>
      <c r="CN97" s="539">
        <f t="shared" si="45"/>
        <v>0</v>
      </c>
      <c r="CO97" s="539">
        <f t="shared" si="45"/>
        <v>0</v>
      </c>
      <c r="CP97" s="539">
        <f t="shared" si="45"/>
        <v>0</v>
      </c>
      <c r="CQ97" s="539">
        <f t="shared" si="45"/>
        <v>0</v>
      </c>
      <c r="CR97" s="539">
        <f t="shared" si="45"/>
        <v>0</v>
      </c>
      <c r="CS97" s="539">
        <f t="shared" si="45"/>
        <v>0</v>
      </c>
      <c r="CT97" s="539">
        <f t="shared" si="45"/>
        <v>0</v>
      </c>
      <c r="CU97" s="539">
        <f t="shared" si="45"/>
        <v>0</v>
      </c>
      <c r="CV97" s="539">
        <f t="shared" si="45"/>
        <v>0</v>
      </c>
      <c r="CW97" s="539">
        <f t="shared" si="45"/>
        <v>0</v>
      </c>
      <c r="CX97" s="539">
        <f t="shared" si="45"/>
        <v>0</v>
      </c>
      <c r="CY97" s="539">
        <f t="shared" si="45"/>
        <v>0</v>
      </c>
      <c r="CZ97" s="539">
        <f t="shared" si="45"/>
        <v>0</v>
      </c>
      <c r="DA97" s="539">
        <f t="shared" si="45"/>
        <v>0</v>
      </c>
      <c r="DB97" s="539">
        <f t="shared" si="45"/>
        <v>0</v>
      </c>
      <c r="DC97" s="539">
        <f t="shared" si="45"/>
        <v>0</v>
      </c>
      <c r="DD97" s="539">
        <f t="shared" si="45"/>
        <v>0</v>
      </c>
      <c r="DE97" s="539">
        <f t="shared" si="45"/>
        <v>0</v>
      </c>
      <c r="DF97" s="539">
        <f t="shared" si="45"/>
        <v>0</v>
      </c>
      <c r="DG97" s="539">
        <f t="shared" si="45"/>
        <v>0</v>
      </c>
      <c r="DH97" s="539">
        <f t="shared" si="45"/>
        <v>0</v>
      </c>
      <c r="DI97" s="539">
        <f t="shared" si="45"/>
        <v>0</v>
      </c>
      <c r="DJ97" s="539">
        <f t="shared" si="45"/>
        <v>0</v>
      </c>
      <c r="DK97" s="539">
        <f t="shared" si="45"/>
        <v>0</v>
      </c>
      <c r="DL97" s="539">
        <f t="shared" si="45"/>
        <v>0</v>
      </c>
      <c r="DM97" s="539">
        <f t="shared" si="45"/>
        <v>0</v>
      </c>
      <c r="DN97" s="539">
        <f t="shared" si="45"/>
        <v>0</v>
      </c>
      <c r="DO97" s="539">
        <f t="shared" si="45"/>
        <v>0</v>
      </c>
      <c r="DP97" s="539">
        <f t="shared" si="45"/>
        <v>0</v>
      </c>
      <c r="DQ97" s="539">
        <f t="shared" si="45"/>
        <v>0</v>
      </c>
      <c r="DR97" s="539">
        <f t="shared" si="45"/>
        <v>0</v>
      </c>
      <c r="DS97" s="539">
        <f t="shared" si="45"/>
        <v>0</v>
      </c>
      <c r="DT97" s="539">
        <f t="shared" si="45"/>
        <v>0</v>
      </c>
      <c r="DU97" s="539">
        <f t="shared" si="45"/>
        <v>0</v>
      </c>
      <c r="DV97" s="539">
        <f t="shared" si="45"/>
        <v>0</v>
      </c>
      <c r="DW97" s="539">
        <f t="shared" si="45"/>
        <v>0</v>
      </c>
      <c r="DX97" s="539">
        <f t="shared" si="45"/>
        <v>0</v>
      </c>
      <c r="DY97" s="539">
        <f t="shared" si="45"/>
        <v>0</v>
      </c>
      <c r="DZ97" s="539">
        <f t="shared" si="45"/>
        <v>0</v>
      </c>
      <c r="EA97" s="539">
        <f t="shared" si="45"/>
        <v>0</v>
      </c>
      <c r="EB97" s="539">
        <f t="shared" si="45"/>
        <v>0</v>
      </c>
      <c r="EC97" s="539">
        <f t="shared" si="45"/>
        <v>0</v>
      </c>
      <c r="ED97" s="539">
        <f t="shared" si="45"/>
        <v>0</v>
      </c>
      <c r="EE97" s="539">
        <f t="shared" si="45"/>
        <v>0</v>
      </c>
      <c r="EF97" s="539">
        <f t="shared" si="45"/>
        <v>0</v>
      </c>
      <c r="EG97" s="539">
        <f t="shared" si="45"/>
        <v>0</v>
      </c>
    </row>
    <row r="98" spans="5:137" ht="12.75">
      <c r="E98" s="538" t="str">
        <f>E$81</f>
        <v>Share capital - redeemed from operations end</v>
      </c>
      <c r="G98" s="539" t="str">
        <f>G$81</f>
        <v>EUR 000s</v>
      </c>
      <c r="H98" s="539">
        <f>H$81</f>
        <v>13909.446440123251</v>
      </c>
      <c r="J98" s="539">
        <f t="shared" si="46" ref="J98:EG98">J$81</f>
        <v>0</v>
      </c>
      <c r="K98" s="539">
        <f t="shared" si="46"/>
        <v>0</v>
      </c>
      <c r="L98" s="539">
        <f t="shared" si="46"/>
        <v>0</v>
      </c>
      <c r="M98" s="539">
        <f t="shared" si="46"/>
        <v>0</v>
      </c>
      <c r="N98" s="539">
        <f t="shared" si="46"/>
        <v>0</v>
      </c>
      <c r="O98" s="539">
        <f t="shared" si="46"/>
        <v>0</v>
      </c>
      <c r="P98" s="539">
        <f t="shared" si="46"/>
        <v>0</v>
      </c>
      <c r="Q98" s="539">
        <f t="shared" si="46"/>
        <v>0</v>
      </c>
      <c r="R98" s="539">
        <f t="shared" si="46"/>
        <v>0</v>
      </c>
      <c r="S98" s="539">
        <f t="shared" si="46"/>
        <v>0</v>
      </c>
      <c r="T98" s="539">
        <f t="shared" si="46"/>
        <v>0</v>
      </c>
      <c r="U98" s="539">
        <f t="shared" si="46"/>
        <v>0</v>
      </c>
      <c r="V98" s="539">
        <f t="shared" si="46"/>
        <v>0</v>
      </c>
      <c r="W98" s="539">
        <f t="shared" si="46"/>
        <v>0</v>
      </c>
      <c r="X98" s="539">
        <f t="shared" si="46"/>
        <v>0</v>
      </c>
      <c r="Y98" s="539">
        <f t="shared" si="46"/>
        <v>0</v>
      </c>
      <c r="Z98" s="539">
        <f t="shared" si="46"/>
        <v>0</v>
      </c>
      <c r="AA98" s="539">
        <f t="shared" si="46"/>
        <v>0</v>
      </c>
      <c r="AB98" s="539">
        <f t="shared" si="46"/>
        <v>0</v>
      </c>
      <c r="AC98" s="539">
        <f t="shared" si="46"/>
        <v>0</v>
      </c>
      <c r="AD98" s="539">
        <f t="shared" si="46"/>
        <v>0</v>
      </c>
      <c r="AE98" s="539">
        <f t="shared" si="46"/>
        <v>0</v>
      </c>
      <c r="AF98" s="539">
        <f t="shared" si="46"/>
        <v>0</v>
      </c>
      <c r="AG98" s="539">
        <f t="shared" si="46"/>
        <v>0</v>
      </c>
      <c r="AH98" s="539">
        <f t="shared" si="46"/>
        <v>0</v>
      </c>
      <c r="AI98" s="539">
        <f t="shared" si="46"/>
        <v>0</v>
      </c>
      <c r="AJ98" s="539">
        <f t="shared" si="46"/>
        <v>0</v>
      </c>
      <c r="AK98" s="539">
        <f t="shared" si="46"/>
        <v>0</v>
      </c>
      <c r="AL98" s="539">
        <f t="shared" si="46"/>
        <v>0</v>
      </c>
      <c r="AM98" s="539">
        <f t="shared" si="46"/>
        <v>0</v>
      </c>
      <c r="AN98" s="539">
        <f t="shared" si="46"/>
        <v>0</v>
      </c>
      <c r="AO98" s="539">
        <f t="shared" si="46"/>
        <v>0</v>
      </c>
      <c r="AP98" s="539">
        <f t="shared" si="46"/>
        <v>0</v>
      </c>
      <c r="AQ98" s="539">
        <f t="shared" si="46"/>
        <v>0</v>
      </c>
      <c r="AR98" s="539">
        <f t="shared" si="46"/>
        <v>0</v>
      </c>
      <c r="AS98" s="539">
        <f t="shared" si="46"/>
        <v>0</v>
      </c>
      <c r="AT98" s="539">
        <f t="shared" si="46"/>
        <v>0</v>
      </c>
      <c r="AU98" s="539">
        <f t="shared" si="46"/>
        <v>0</v>
      </c>
      <c r="AV98" s="539">
        <f t="shared" si="46"/>
        <v>0</v>
      </c>
      <c r="AW98" s="539">
        <f t="shared" si="46"/>
        <v>0</v>
      </c>
      <c r="AX98" s="539">
        <f t="shared" si="46"/>
        <v>0</v>
      </c>
      <c r="AY98" s="539">
        <f t="shared" si="46"/>
        <v>0</v>
      </c>
      <c r="AZ98" s="539">
        <f t="shared" si="46"/>
        <v>0</v>
      </c>
      <c r="BA98" s="539">
        <f t="shared" si="46"/>
        <v>0</v>
      </c>
      <c r="BB98" s="539">
        <f t="shared" si="46"/>
        <v>0</v>
      </c>
      <c r="BC98" s="539">
        <f t="shared" si="46"/>
        <v>0</v>
      </c>
      <c r="BD98" s="539">
        <f t="shared" si="46"/>
        <v>0</v>
      </c>
      <c r="BE98" s="539">
        <f t="shared" si="46"/>
        <v>0</v>
      </c>
      <c r="BF98" s="539">
        <f t="shared" si="46"/>
        <v>0</v>
      </c>
      <c r="BG98" s="539">
        <f t="shared" si="46"/>
        <v>0</v>
      </c>
      <c r="BH98" s="539">
        <f t="shared" si="46"/>
        <v>0</v>
      </c>
      <c r="BI98" s="539">
        <f t="shared" si="46"/>
        <v>0</v>
      </c>
      <c r="BJ98" s="539">
        <f t="shared" si="46"/>
        <v>0</v>
      </c>
      <c r="BK98" s="539">
        <f t="shared" si="46"/>
        <v>0</v>
      </c>
      <c r="BL98" s="539">
        <f t="shared" si="46"/>
        <v>0</v>
      </c>
      <c r="BM98" s="539">
        <f t="shared" si="46"/>
        <v>0</v>
      </c>
      <c r="BN98" s="539">
        <f t="shared" si="46"/>
        <v>0</v>
      </c>
      <c r="BO98" s="539">
        <f t="shared" si="46"/>
        <v>0</v>
      </c>
      <c r="BP98" s="539">
        <f t="shared" si="46"/>
        <v>0</v>
      </c>
      <c r="BQ98" s="539">
        <f t="shared" si="46"/>
        <v>0</v>
      </c>
      <c r="BR98" s="539">
        <f t="shared" si="46"/>
        <v>0</v>
      </c>
      <c r="BS98" s="539">
        <f t="shared" si="46"/>
        <v>0</v>
      </c>
      <c r="BT98" s="539">
        <f t="shared" si="46"/>
        <v>0</v>
      </c>
      <c r="BU98" s="539">
        <f t="shared" si="46"/>
        <v>0</v>
      </c>
      <c r="BV98" s="539">
        <f t="shared" si="46"/>
        <v>0</v>
      </c>
      <c r="BW98" s="539">
        <f t="shared" si="46"/>
        <v>0</v>
      </c>
      <c r="BX98" s="539">
        <f t="shared" si="46"/>
        <v>0</v>
      </c>
      <c r="BY98" s="539">
        <f t="shared" si="46"/>
        <v>0</v>
      </c>
      <c r="BZ98" s="539">
        <f t="shared" si="46"/>
        <v>0</v>
      </c>
      <c r="CA98" s="539">
        <f t="shared" si="46"/>
        <v>0</v>
      </c>
      <c r="CB98" s="539">
        <f t="shared" si="46"/>
        <v>0</v>
      </c>
      <c r="CC98" s="539">
        <f t="shared" si="46"/>
        <v>0</v>
      </c>
      <c r="CD98" s="539">
        <f t="shared" si="46"/>
        <v>0</v>
      </c>
      <c r="CE98" s="539">
        <f t="shared" si="46"/>
        <v>0</v>
      </c>
      <c r="CF98" s="539">
        <f t="shared" si="46"/>
        <v>0</v>
      </c>
      <c r="CG98" s="539">
        <f t="shared" si="46"/>
        <v>0</v>
      </c>
      <c r="CH98" s="539">
        <f t="shared" si="46"/>
        <v>0</v>
      </c>
      <c r="CI98" s="539">
        <f t="shared" si="46"/>
        <v>0</v>
      </c>
      <c r="CJ98" s="539">
        <f t="shared" si="46"/>
        <v>0</v>
      </c>
      <c r="CK98" s="539">
        <f t="shared" si="46"/>
        <v>0</v>
      </c>
      <c r="CL98" s="539">
        <f t="shared" si="46"/>
        <v>0</v>
      </c>
      <c r="CM98" s="539">
        <f t="shared" si="46"/>
        <v>0</v>
      </c>
      <c r="CN98" s="539">
        <f t="shared" si="46"/>
        <v>0</v>
      </c>
      <c r="CO98" s="539">
        <f t="shared" si="46"/>
        <v>0</v>
      </c>
      <c r="CP98" s="539">
        <f t="shared" si="46"/>
        <v>0</v>
      </c>
      <c r="CQ98" s="539">
        <f t="shared" si="46"/>
        <v>0</v>
      </c>
      <c r="CR98" s="539">
        <f t="shared" si="46"/>
        <v>0</v>
      </c>
      <c r="CS98" s="539">
        <f t="shared" si="46"/>
        <v>0</v>
      </c>
      <c r="CT98" s="539">
        <f t="shared" si="46"/>
        <v>0</v>
      </c>
      <c r="CU98" s="539">
        <f t="shared" si="46"/>
        <v>0</v>
      </c>
      <c r="CV98" s="539">
        <f t="shared" si="46"/>
        <v>0</v>
      </c>
      <c r="CW98" s="539">
        <f t="shared" si="46"/>
        <v>0</v>
      </c>
      <c r="CX98" s="539">
        <f t="shared" si="46"/>
        <v>0</v>
      </c>
      <c r="CY98" s="539">
        <f t="shared" si="46"/>
        <v>0</v>
      </c>
      <c r="CZ98" s="539">
        <f t="shared" si="46"/>
        <v>0</v>
      </c>
      <c r="DA98" s="539">
        <f t="shared" si="46"/>
        <v>0</v>
      </c>
      <c r="DB98" s="539">
        <f t="shared" si="46"/>
        <v>0</v>
      </c>
      <c r="DC98" s="539">
        <f t="shared" si="46"/>
        <v>0</v>
      </c>
      <c r="DD98" s="539">
        <f t="shared" si="46"/>
        <v>0</v>
      </c>
      <c r="DE98" s="539">
        <f t="shared" si="46"/>
        <v>0</v>
      </c>
      <c r="DF98" s="539">
        <f t="shared" si="46"/>
        <v>0</v>
      </c>
      <c r="DG98" s="539">
        <f t="shared" si="46"/>
        <v>0</v>
      </c>
      <c r="DH98" s="539">
        <f t="shared" si="46"/>
        <v>0</v>
      </c>
      <c r="DI98" s="539">
        <f t="shared" si="46"/>
        <v>0</v>
      </c>
      <c r="DJ98" s="539">
        <f t="shared" si="46"/>
        <v>0</v>
      </c>
      <c r="DK98" s="539">
        <f t="shared" si="46"/>
        <v>0</v>
      </c>
      <c r="DL98" s="539">
        <f t="shared" si="46"/>
        <v>0</v>
      </c>
      <c r="DM98" s="539">
        <f t="shared" si="46"/>
        <v>0</v>
      </c>
      <c r="DN98" s="539">
        <f t="shared" si="46"/>
        <v>0</v>
      </c>
      <c r="DO98" s="539">
        <f t="shared" si="46"/>
        <v>0</v>
      </c>
      <c r="DP98" s="539">
        <f t="shared" si="46"/>
        <v>0</v>
      </c>
      <c r="DQ98" s="539">
        <f t="shared" si="46"/>
        <v>0</v>
      </c>
      <c r="DR98" s="539">
        <f t="shared" si="46"/>
        <v>0</v>
      </c>
      <c r="DS98" s="539">
        <f t="shared" si="46"/>
        <v>0</v>
      </c>
      <c r="DT98" s="539">
        <f t="shared" si="46"/>
        <v>0</v>
      </c>
      <c r="DU98" s="539">
        <f t="shared" si="46"/>
        <v>0</v>
      </c>
      <c r="DV98" s="539">
        <f t="shared" si="46"/>
        <v>0</v>
      </c>
      <c r="DW98" s="539">
        <f t="shared" si="46"/>
        <v>0</v>
      </c>
      <c r="DX98" s="539">
        <f t="shared" si="46"/>
        <v>0</v>
      </c>
      <c r="DY98" s="539">
        <f t="shared" si="46"/>
        <v>0</v>
      </c>
      <c r="DZ98" s="539">
        <f t="shared" si="46"/>
        <v>0</v>
      </c>
      <c r="EA98" s="539">
        <f t="shared" si="46"/>
        <v>0</v>
      </c>
      <c r="EB98" s="539">
        <f t="shared" si="46"/>
        <v>0</v>
      </c>
      <c r="EC98" s="539">
        <f t="shared" si="46"/>
        <v>13909.446440123251</v>
      </c>
      <c r="ED98" s="539">
        <f t="shared" si="46"/>
        <v>0</v>
      </c>
      <c r="EE98" s="539">
        <f t="shared" si="46"/>
        <v>0</v>
      </c>
      <c r="EF98" s="539">
        <f t="shared" si="46"/>
        <v>0</v>
      </c>
      <c r="EG98" s="539">
        <f t="shared" si="46"/>
        <v>0</v>
      </c>
    </row>
    <row r="99" spans="5:137" ht="12.75">
      <c r="E99" s="538" t="str">
        <f>E$91</f>
        <v>Dividends - paid</v>
      </c>
      <c r="G99" s="539" t="str">
        <f>G$91</f>
        <v>EUR 000s</v>
      </c>
      <c r="H99" s="539">
        <f>H$91</f>
        <v>450809.27108649502</v>
      </c>
      <c r="J99" s="539">
        <f t="shared" si="47" ref="J99:EG99">J$91</f>
        <v>0</v>
      </c>
      <c r="K99" s="539">
        <f t="shared" si="47"/>
        <v>0</v>
      </c>
      <c r="L99" s="539">
        <f t="shared" si="47"/>
        <v>0</v>
      </c>
      <c r="M99" s="539">
        <f t="shared" si="47"/>
        <v>0</v>
      </c>
      <c r="N99" s="539">
        <f t="shared" si="47"/>
        <v>0</v>
      </c>
      <c r="O99" s="539">
        <f t="shared" si="47"/>
        <v>0</v>
      </c>
      <c r="P99" s="539">
        <f t="shared" si="47"/>
        <v>0</v>
      </c>
      <c r="Q99" s="539">
        <f t="shared" si="47"/>
        <v>0</v>
      </c>
      <c r="R99" s="539">
        <f t="shared" si="47"/>
        <v>0</v>
      </c>
      <c r="S99" s="539">
        <f t="shared" si="47"/>
        <v>0</v>
      </c>
      <c r="T99" s="539">
        <f t="shared" si="47"/>
        <v>0</v>
      </c>
      <c r="U99" s="539">
        <f t="shared" si="47"/>
        <v>0</v>
      </c>
      <c r="V99" s="539">
        <f t="shared" si="47"/>
        <v>0</v>
      </c>
      <c r="W99" s="539">
        <f t="shared" si="47"/>
        <v>0</v>
      </c>
      <c r="X99" s="539">
        <f t="shared" si="47"/>
        <v>0</v>
      </c>
      <c r="Y99" s="539">
        <f t="shared" si="47"/>
        <v>0</v>
      </c>
      <c r="Z99" s="539">
        <f t="shared" si="47"/>
        <v>0</v>
      </c>
      <c r="AA99" s="539">
        <f t="shared" si="47"/>
        <v>0</v>
      </c>
      <c r="AB99" s="539">
        <f t="shared" si="47"/>
        <v>0</v>
      </c>
      <c r="AC99" s="539">
        <f t="shared" si="47"/>
        <v>0</v>
      </c>
      <c r="AD99" s="539">
        <f t="shared" si="47"/>
        <v>0</v>
      </c>
      <c r="AE99" s="539">
        <f t="shared" si="47"/>
        <v>0</v>
      </c>
      <c r="AF99" s="539">
        <f t="shared" si="47"/>
        <v>0</v>
      </c>
      <c r="AG99" s="539">
        <f t="shared" si="47"/>
        <v>0</v>
      </c>
      <c r="AH99" s="539">
        <f t="shared" si="47"/>
        <v>0</v>
      </c>
      <c r="AI99" s="539">
        <f t="shared" si="47"/>
        <v>0</v>
      </c>
      <c r="AJ99" s="539">
        <f t="shared" si="47"/>
        <v>0</v>
      </c>
      <c r="AK99" s="539">
        <f t="shared" si="47"/>
        <v>0</v>
      </c>
      <c r="AL99" s="539">
        <f t="shared" si="47"/>
        <v>0</v>
      </c>
      <c r="AM99" s="539">
        <f t="shared" si="47"/>
        <v>0</v>
      </c>
      <c r="AN99" s="539">
        <f t="shared" si="47"/>
        <v>0</v>
      </c>
      <c r="AO99" s="539">
        <f t="shared" si="47"/>
        <v>0</v>
      </c>
      <c r="AP99" s="539">
        <f t="shared" si="47"/>
        <v>0</v>
      </c>
      <c r="AQ99" s="539">
        <f t="shared" si="47"/>
        <v>0</v>
      </c>
      <c r="AR99" s="539">
        <f t="shared" si="47"/>
        <v>0</v>
      </c>
      <c r="AS99" s="539">
        <f t="shared" si="47"/>
        <v>0</v>
      </c>
      <c r="AT99" s="539">
        <f t="shared" si="47"/>
        <v>0</v>
      </c>
      <c r="AU99" s="539">
        <f t="shared" si="47"/>
        <v>0</v>
      </c>
      <c r="AV99" s="539">
        <f t="shared" si="47"/>
        <v>0</v>
      </c>
      <c r="AW99" s="539">
        <f t="shared" si="47"/>
        <v>0</v>
      </c>
      <c r="AX99" s="539">
        <f t="shared" si="47"/>
        <v>0</v>
      </c>
      <c r="AY99" s="539">
        <f t="shared" si="47"/>
        <v>0</v>
      </c>
      <c r="AZ99" s="539">
        <f t="shared" si="47"/>
        <v>0</v>
      </c>
      <c r="BA99" s="539">
        <f t="shared" si="47"/>
        <v>0</v>
      </c>
      <c r="BB99" s="539">
        <f t="shared" si="47"/>
        <v>0</v>
      </c>
      <c r="BC99" s="539">
        <f t="shared" si="47"/>
        <v>0</v>
      </c>
      <c r="BD99" s="539">
        <f t="shared" si="47"/>
        <v>0</v>
      </c>
      <c r="BE99" s="539">
        <f t="shared" si="47"/>
        <v>0</v>
      </c>
      <c r="BF99" s="539">
        <f t="shared" si="47"/>
        <v>2527.6157695725174</v>
      </c>
      <c r="BG99" s="539">
        <f t="shared" si="47"/>
        <v>3963.7340210591155</v>
      </c>
      <c r="BH99" s="539">
        <f t="shared" si="47"/>
        <v>3901.9818208723086</v>
      </c>
      <c r="BI99" s="539">
        <f t="shared" si="47"/>
        <v>3863.3396261250573</v>
      </c>
      <c r="BJ99" s="539">
        <f t="shared" si="47"/>
        <v>3981.7948466400562</v>
      </c>
      <c r="BK99" s="539">
        <f t="shared" si="47"/>
        <v>4041.5037487339391</v>
      </c>
      <c r="BL99" s="539">
        <f t="shared" si="47"/>
        <v>4013.5705589641948</v>
      </c>
      <c r="BM99" s="539">
        <f t="shared" si="47"/>
        <v>3952.9034566736409</v>
      </c>
      <c r="BN99" s="539">
        <f t="shared" si="47"/>
        <v>2097.5193655527028</v>
      </c>
      <c r="BO99" s="539">
        <f t="shared" si="47"/>
        <v>2200.864273878366</v>
      </c>
      <c r="BP99" s="539">
        <f t="shared" si="47"/>
        <v>2098.1063109146212</v>
      </c>
      <c r="BQ99" s="539">
        <f t="shared" si="47"/>
        <v>2037.8164184080592</v>
      </c>
      <c r="BR99" s="539">
        <f t="shared" si="47"/>
        <v>4224.1553525130121</v>
      </c>
      <c r="BS99" s="539">
        <f t="shared" si="47"/>
        <v>4329.7689293072381</v>
      </c>
      <c r="BT99" s="539">
        <f t="shared" si="47"/>
        <v>4419.8055567868232</v>
      </c>
      <c r="BU99" s="539">
        <f t="shared" si="47"/>
        <v>4770.8603254831687</v>
      </c>
      <c r="BV99" s="539">
        <f t="shared" si="47"/>
        <v>4626.1012277867885</v>
      </c>
      <c r="BW99" s="539">
        <f t="shared" si="47"/>
        <v>3945.1397120020174</v>
      </c>
      <c r="BX99" s="539">
        <f t="shared" si="47"/>
        <v>3887.6124417460055</v>
      </c>
      <c r="BY99" s="539">
        <f t="shared" si="47"/>
        <v>3843.3319181364645</v>
      </c>
      <c r="BZ99" s="539">
        <f t="shared" si="47"/>
        <v>3978.3991178064584</v>
      </c>
      <c r="CA99" s="539">
        <f t="shared" si="47"/>
        <v>4211.4281415911701</v>
      </c>
      <c r="CB99" s="539">
        <f t="shared" si="47"/>
        <v>4139.4003880005166</v>
      </c>
      <c r="CC99" s="539">
        <f t="shared" si="47"/>
        <v>3736.011479524982</v>
      </c>
      <c r="CD99" s="539">
        <f t="shared" si="47"/>
        <v>4321.3134548763692</v>
      </c>
      <c r="CE99" s="539">
        <f t="shared" si="47"/>
        <v>4413.9780591819081</v>
      </c>
      <c r="CF99" s="539">
        <f t="shared" si="47"/>
        <v>4368.5578436146661</v>
      </c>
      <c r="CG99" s="539">
        <f t="shared" si="47"/>
        <v>4283.5118246307165</v>
      </c>
      <c r="CH99" s="539">
        <f t="shared" si="47"/>
        <v>2110.5359724491877</v>
      </c>
      <c r="CI99" s="539">
        <f t="shared" si="47"/>
        <v>2204.6023940287428</v>
      </c>
      <c r="CJ99" s="539">
        <f t="shared" si="47"/>
        <v>1870.785150550882</v>
      </c>
      <c r="CK99" s="539">
        <f t="shared" si="47"/>
        <v>1786.9171601948424</v>
      </c>
      <c r="CL99" s="539">
        <f t="shared" si="47"/>
        <v>4628.8303227158403</v>
      </c>
      <c r="CM99" s="539">
        <f t="shared" si="47"/>
        <v>4723.5203653725785</v>
      </c>
      <c r="CN99" s="539">
        <f t="shared" si="47"/>
        <v>4948.935086001231</v>
      </c>
      <c r="CO99" s="539">
        <f t="shared" si="47"/>
        <v>4889.99295027068</v>
      </c>
      <c r="CP99" s="539">
        <f t="shared" si="47"/>
        <v>4408.4942242291327</v>
      </c>
      <c r="CQ99" s="539">
        <f t="shared" si="47"/>
        <v>4454.0921236772019</v>
      </c>
      <c r="CR99" s="539">
        <f t="shared" si="47"/>
        <v>4428.3806644411152</v>
      </c>
      <c r="CS99" s="539">
        <f t="shared" si="47"/>
        <v>4344.7192119229667</v>
      </c>
      <c r="CT99" s="539">
        <f t="shared" si="47"/>
        <v>4410.7908852154824</v>
      </c>
      <c r="CU99" s="539">
        <f t="shared" si="47"/>
        <v>4507.2180043044709</v>
      </c>
      <c r="CV99" s="539">
        <f t="shared" si="47"/>
        <v>4455.6468509356973</v>
      </c>
      <c r="CW99" s="539">
        <f t="shared" si="47"/>
        <v>4372.1040514103006</v>
      </c>
      <c r="CX99" s="539">
        <f t="shared" si="47"/>
        <v>4442.1439989063965</v>
      </c>
      <c r="CY99" s="539">
        <f t="shared" si="47"/>
        <v>4538.8867633803111</v>
      </c>
      <c r="CZ99" s="539">
        <f t="shared" si="47"/>
        <v>9289.0498453167747</v>
      </c>
      <c r="DA99" s="539">
        <f t="shared" si="47"/>
        <v>9243.2109589193478</v>
      </c>
      <c r="DB99" s="539">
        <f t="shared" si="47"/>
        <v>6730.8032201585938</v>
      </c>
      <c r="DC99" s="539">
        <f t="shared" si="47"/>
        <v>6819.6943690281241</v>
      </c>
      <c r="DD99" s="539">
        <f t="shared" si="47"/>
        <v>6814.0398522326241</v>
      </c>
      <c r="DE99" s="539">
        <f t="shared" si="47"/>
        <v>6785.1271000854231</v>
      </c>
      <c r="DF99" s="539">
        <f t="shared" si="47"/>
        <v>10042.297500103878</v>
      </c>
      <c r="DG99" s="539">
        <f t="shared" si="47"/>
        <v>10083.037086594606</v>
      </c>
      <c r="DH99" s="539">
        <f t="shared" si="47"/>
        <v>10103.030440845592</v>
      </c>
      <c r="DI99" s="539">
        <f t="shared" si="47"/>
        <v>10074.710093976457</v>
      </c>
      <c r="DJ99" s="539">
        <f t="shared" si="47"/>
        <v>9531.0000277068248</v>
      </c>
      <c r="DK99" s="539">
        <f t="shared" si="47"/>
        <v>9622.5760692221538</v>
      </c>
      <c r="DL99" s="539">
        <f t="shared" si="47"/>
        <v>9618.4891847043327</v>
      </c>
      <c r="DM99" s="539">
        <f t="shared" si="47"/>
        <v>9590.6249782264968</v>
      </c>
      <c r="DN99" s="539">
        <f t="shared" si="47"/>
        <v>9679.6513243283043</v>
      </c>
      <c r="DO99" s="539">
        <f t="shared" si="47"/>
        <v>9772.3259446832872</v>
      </c>
      <c r="DP99" s="539">
        <f t="shared" si="47"/>
        <v>9768.8299907587207</v>
      </c>
      <c r="DQ99" s="539">
        <f t="shared" si="47"/>
        <v>9741.3091688148925</v>
      </c>
      <c r="DR99" s="539">
        <f t="shared" si="47"/>
        <v>9833.1752700445759</v>
      </c>
      <c r="DS99" s="539">
        <f t="shared" si="47"/>
        <v>9926.8134161951511</v>
      </c>
      <c r="DT99" s="539">
        <f t="shared" si="47"/>
        <v>9923.8082057289866</v>
      </c>
      <c r="DU99" s="539">
        <f t="shared" si="47"/>
        <v>9896.5376166003607</v>
      </c>
      <c r="DV99" s="539">
        <f t="shared" si="47"/>
        <v>10016.918852742816</v>
      </c>
      <c r="DW99" s="539">
        <f t="shared" si="47"/>
        <v>10059.983606963106</v>
      </c>
      <c r="DX99" s="539">
        <f t="shared" si="47"/>
        <v>10083.094712487115</v>
      </c>
      <c r="DY99" s="539">
        <f t="shared" si="47"/>
        <v>8058.7377291418616</v>
      </c>
      <c r="DZ99" s="539">
        <f t="shared" si="47"/>
        <v>7998.4180876236478</v>
      </c>
      <c r="EA99" s="539">
        <f t="shared" si="47"/>
        <v>7998.4180876236478</v>
      </c>
      <c r="EB99" s="539">
        <f t="shared" si="47"/>
        <v>7998.4180876236487</v>
      </c>
      <c r="EC99" s="539">
        <f t="shared" si="47"/>
        <v>5690.0004154234884</v>
      </c>
      <c r="ED99" s="539">
        <f t="shared" si="47"/>
        <v>2308.4176722000593</v>
      </c>
      <c r="EE99" s="539">
        <f t="shared" si="47"/>
        <v>0</v>
      </c>
      <c r="EF99" s="539">
        <f t="shared" si="47"/>
        <v>0</v>
      </c>
      <c r="EG99" s="539">
        <f t="shared" si="47"/>
        <v>0</v>
      </c>
    </row>
    <row r="100" spans="5:137" ht="12.75">
      <c r="E100" s="540" t="s">
        <v>485</v>
      </c>
      <c r="G100" s="541" t="s">
        <v>30</v>
      </c>
      <c r="H100" s="541">
        <f>SUM(J100:EG100)</f>
        <v>542229.52746011666</v>
      </c>
      <c r="J100" s="541">
        <f t="shared" si="48" ref="J100:EG100">J96+J97+J98+J99</f>
        <v>0</v>
      </c>
      <c r="K100" s="541">
        <f t="shared" si="48"/>
        <v>0</v>
      </c>
      <c r="L100" s="541">
        <f t="shared" si="48"/>
        <v>0</v>
      </c>
      <c r="M100" s="541">
        <f t="shared" si="48"/>
        <v>0</v>
      </c>
      <c r="N100" s="541">
        <f t="shared" si="48"/>
        <v>0</v>
      </c>
      <c r="O100" s="541">
        <f t="shared" si="48"/>
        <v>0</v>
      </c>
      <c r="P100" s="541">
        <f t="shared" si="48"/>
        <v>1.8189894035458565E-12</v>
      </c>
      <c r="Q100" s="541">
        <f t="shared" si="48"/>
        <v>0</v>
      </c>
      <c r="R100" s="541">
        <f t="shared" si="48"/>
        <v>0</v>
      </c>
      <c r="S100" s="541">
        <f t="shared" si="48"/>
        <v>0</v>
      </c>
      <c r="T100" s="541">
        <f t="shared" si="48"/>
        <v>0</v>
      </c>
      <c r="U100" s="541">
        <f t="shared" si="48"/>
        <v>0</v>
      </c>
      <c r="V100" s="541">
        <f t="shared" si="48"/>
        <v>0</v>
      </c>
      <c r="W100" s="541">
        <f t="shared" si="48"/>
        <v>0</v>
      </c>
      <c r="X100" s="541">
        <f t="shared" si="48"/>
        <v>0</v>
      </c>
      <c r="Y100" s="541">
        <f t="shared" si="48"/>
        <v>0</v>
      </c>
      <c r="Z100" s="541">
        <f t="shared" si="48"/>
        <v>0</v>
      </c>
      <c r="AA100" s="541">
        <f t="shared" si="48"/>
        <v>0</v>
      </c>
      <c r="AB100" s="541">
        <f t="shared" si="48"/>
        <v>0</v>
      </c>
      <c r="AC100" s="541">
        <f t="shared" si="48"/>
        <v>0</v>
      </c>
      <c r="AD100" s="541">
        <f t="shared" si="48"/>
        <v>0</v>
      </c>
      <c r="AE100" s="541">
        <f t="shared" si="48"/>
        <v>0</v>
      </c>
      <c r="AF100" s="541">
        <f t="shared" si="48"/>
        <v>0</v>
      </c>
      <c r="AG100" s="541">
        <f t="shared" si="48"/>
        <v>0</v>
      </c>
      <c r="AH100" s="541">
        <f t="shared" si="48"/>
        <v>1383.9233639501999</v>
      </c>
      <c r="AI100" s="541">
        <f t="shared" si="48"/>
        <v>3289.5323362199924</v>
      </c>
      <c r="AJ100" s="541">
        <f t="shared" si="48"/>
        <v>3245.3805232500736</v>
      </c>
      <c r="AK100" s="541">
        <f t="shared" si="48"/>
        <v>3195.0408989934072</v>
      </c>
      <c r="AL100" s="541">
        <f t="shared" si="48"/>
        <v>3314.6555979376371</v>
      </c>
      <c r="AM100" s="541">
        <f t="shared" si="48"/>
        <v>3413.5103829410727</v>
      </c>
      <c r="AN100" s="541">
        <f t="shared" si="48"/>
        <v>3368.8149446907446</v>
      </c>
      <c r="AO100" s="541">
        <f t="shared" si="48"/>
        <v>3317.8291025066792</v>
      </c>
      <c r="AP100" s="541">
        <f t="shared" si="48"/>
        <v>3438.4566627931977</v>
      </c>
      <c r="AQ100" s="541">
        <f t="shared" si="48"/>
        <v>3538.7454210592987</v>
      </c>
      <c r="AR100" s="541">
        <f t="shared" si="48"/>
        <v>3482.692592271675</v>
      </c>
      <c r="AS100" s="541">
        <f t="shared" si="48"/>
        <v>3452.6458698254974</v>
      </c>
      <c r="AT100" s="541">
        <f t="shared" si="48"/>
        <v>1840.225347833371</v>
      </c>
      <c r="AU100" s="541">
        <f t="shared" si="48"/>
        <v>1907.064048963113</v>
      </c>
      <c r="AV100" s="541">
        <f t="shared" si="48"/>
        <v>1879.8635093641863</v>
      </c>
      <c r="AW100" s="541">
        <f t="shared" si="48"/>
        <v>1823.2308510204605</v>
      </c>
      <c r="AX100" s="541">
        <f t="shared" si="48"/>
        <v>3689.9207029973613</v>
      </c>
      <c r="AY100" s="541">
        <f t="shared" si="48"/>
        <v>3795.4891066389291</v>
      </c>
      <c r="AZ100" s="541">
        <f t="shared" si="48"/>
        <v>3810.2717218736234</v>
      </c>
      <c r="BA100" s="541">
        <f t="shared" si="48"/>
        <v>3761.7553340142267</v>
      </c>
      <c r="BB100" s="541">
        <f t="shared" si="48"/>
        <v>3775.7398776167847</v>
      </c>
      <c r="BC100" s="541">
        <f t="shared" si="48"/>
        <v>3870.9553004708091</v>
      </c>
      <c r="BD100" s="541">
        <f t="shared" si="48"/>
        <v>3819.5887386810437</v>
      </c>
      <c r="BE100" s="541">
        <f t="shared" si="48"/>
        <v>3757.5449019740718</v>
      </c>
      <c r="BF100" s="541">
        <f t="shared" si="48"/>
        <v>3865.5485651833455</v>
      </c>
      <c r="BG100" s="541">
        <f t="shared" si="48"/>
        <v>3963.7340210591155</v>
      </c>
      <c r="BH100" s="541">
        <f t="shared" si="48"/>
        <v>3901.9818208723086</v>
      </c>
      <c r="BI100" s="541">
        <f t="shared" si="48"/>
        <v>3863.3396261250573</v>
      </c>
      <c r="BJ100" s="541">
        <f t="shared" si="48"/>
        <v>3981.7948466400562</v>
      </c>
      <c r="BK100" s="541">
        <f t="shared" si="48"/>
        <v>4041.5037487339391</v>
      </c>
      <c r="BL100" s="541">
        <f t="shared" si="48"/>
        <v>4013.5705589641948</v>
      </c>
      <c r="BM100" s="541">
        <f t="shared" si="48"/>
        <v>3952.9034566736409</v>
      </c>
      <c r="BN100" s="541">
        <f t="shared" si="48"/>
        <v>2097.5193655527028</v>
      </c>
      <c r="BO100" s="541">
        <f t="shared" si="48"/>
        <v>2200.864273878366</v>
      </c>
      <c r="BP100" s="541">
        <f t="shared" si="48"/>
        <v>2098.1063109146212</v>
      </c>
      <c r="BQ100" s="541">
        <f t="shared" si="48"/>
        <v>2037.8164184080592</v>
      </c>
      <c r="BR100" s="541">
        <f t="shared" si="48"/>
        <v>4224.1553525130121</v>
      </c>
      <c r="BS100" s="541">
        <f t="shared" si="48"/>
        <v>4329.7689293072381</v>
      </c>
      <c r="BT100" s="541">
        <f t="shared" si="48"/>
        <v>4419.8055567868232</v>
      </c>
      <c r="BU100" s="541">
        <f t="shared" si="48"/>
        <v>4770.8603254831687</v>
      </c>
      <c r="BV100" s="541">
        <f t="shared" si="48"/>
        <v>4626.1012277867885</v>
      </c>
      <c r="BW100" s="541">
        <f t="shared" si="48"/>
        <v>3945.1397120020174</v>
      </c>
      <c r="BX100" s="541">
        <f t="shared" si="48"/>
        <v>3887.6124417460055</v>
      </c>
      <c r="BY100" s="541">
        <f t="shared" si="48"/>
        <v>3843.3319181364645</v>
      </c>
      <c r="BZ100" s="541">
        <f t="shared" si="48"/>
        <v>3978.3991178064584</v>
      </c>
      <c r="CA100" s="541">
        <f t="shared" si="48"/>
        <v>4211.4281415911701</v>
      </c>
      <c r="CB100" s="541">
        <f t="shared" si="48"/>
        <v>4139.4003880005166</v>
      </c>
      <c r="CC100" s="541">
        <f t="shared" si="48"/>
        <v>3736.011479524982</v>
      </c>
      <c r="CD100" s="541">
        <f t="shared" si="48"/>
        <v>4321.3134548763692</v>
      </c>
      <c r="CE100" s="541">
        <f t="shared" si="48"/>
        <v>4413.9780591819081</v>
      </c>
      <c r="CF100" s="541">
        <f t="shared" si="48"/>
        <v>4368.5578436146661</v>
      </c>
      <c r="CG100" s="541">
        <f t="shared" si="48"/>
        <v>4283.5118246307165</v>
      </c>
      <c r="CH100" s="541">
        <f t="shared" si="48"/>
        <v>2110.5359724491877</v>
      </c>
      <c r="CI100" s="541">
        <f t="shared" si="48"/>
        <v>2204.6023940287428</v>
      </c>
      <c r="CJ100" s="541">
        <f t="shared" si="48"/>
        <v>1870.785150550882</v>
      </c>
      <c r="CK100" s="541">
        <f t="shared" si="48"/>
        <v>1786.9171601948424</v>
      </c>
      <c r="CL100" s="541">
        <f t="shared" si="48"/>
        <v>4628.8303227158403</v>
      </c>
      <c r="CM100" s="541">
        <f t="shared" si="48"/>
        <v>4723.5203653725785</v>
      </c>
      <c r="CN100" s="541">
        <f t="shared" si="48"/>
        <v>4948.935086001231</v>
      </c>
      <c r="CO100" s="541">
        <f t="shared" si="48"/>
        <v>4889.99295027068</v>
      </c>
      <c r="CP100" s="541">
        <f t="shared" si="48"/>
        <v>4408.4942242291327</v>
      </c>
      <c r="CQ100" s="541">
        <f t="shared" si="48"/>
        <v>4454.0921236772019</v>
      </c>
      <c r="CR100" s="541">
        <f t="shared" si="48"/>
        <v>4428.3806644411152</v>
      </c>
      <c r="CS100" s="541">
        <f t="shared" si="48"/>
        <v>4344.7192119229667</v>
      </c>
      <c r="CT100" s="541">
        <f t="shared" si="48"/>
        <v>4410.7908852154824</v>
      </c>
      <c r="CU100" s="541">
        <f t="shared" si="48"/>
        <v>4507.2180043044709</v>
      </c>
      <c r="CV100" s="541">
        <f t="shared" si="48"/>
        <v>4455.6468509356973</v>
      </c>
      <c r="CW100" s="541">
        <f t="shared" si="48"/>
        <v>4372.1040514103006</v>
      </c>
      <c r="CX100" s="541">
        <f t="shared" si="48"/>
        <v>4442.1439989063965</v>
      </c>
      <c r="CY100" s="541">
        <f t="shared" si="48"/>
        <v>4538.8867633803111</v>
      </c>
      <c r="CZ100" s="541">
        <f t="shared" si="48"/>
        <v>9289.0498453167747</v>
      </c>
      <c r="DA100" s="541">
        <f t="shared" si="48"/>
        <v>9243.2109589193478</v>
      </c>
      <c r="DB100" s="541">
        <f t="shared" si="48"/>
        <v>6730.8032201585938</v>
      </c>
      <c r="DC100" s="541">
        <f t="shared" si="48"/>
        <v>6819.6943690281241</v>
      </c>
      <c r="DD100" s="541">
        <f t="shared" si="48"/>
        <v>6814.0398522326241</v>
      </c>
      <c r="DE100" s="541">
        <f t="shared" si="48"/>
        <v>6785.1271000854231</v>
      </c>
      <c r="DF100" s="541">
        <f t="shared" si="48"/>
        <v>10042.297500103878</v>
      </c>
      <c r="DG100" s="541">
        <f t="shared" si="48"/>
        <v>10083.037086594606</v>
      </c>
      <c r="DH100" s="541">
        <f t="shared" si="48"/>
        <v>10103.030440845592</v>
      </c>
      <c r="DI100" s="541">
        <f t="shared" si="48"/>
        <v>10074.710093976457</v>
      </c>
      <c r="DJ100" s="541">
        <f t="shared" si="48"/>
        <v>9531.0000277068248</v>
      </c>
      <c r="DK100" s="541">
        <f t="shared" si="48"/>
        <v>9622.5760692221538</v>
      </c>
      <c r="DL100" s="541">
        <f t="shared" si="48"/>
        <v>9618.4891847043327</v>
      </c>
      <c r="DM100" s="541">
        <f t="shared" si="48"/>
        <v>9590.6249782264968</v>
      </c>
      <c r="DN100" s="541">
        <f t="shared" si="48"/>
        <v>9679.6513243283043</v>
      </c>
      <c r="DO100" s="541">
        <f t="shared" si="48"/>
        <v>9772.3259446832872</v>
      </c>
      <c r="DP100" s="541">
        <f t="shared" si="48"/>
        <v>9768.8299907587207</v>
      </c>
      <c r="DQ100" s="541">
        <f t="shared" si="48"/>
        <v>9741.3091688148925</v>
      </c>
      <c r="DR100" s="541">
        <f t="shared" si="48"/>
        <v>9833.1752700445759</v>
      </c>
      <c r="DS100" s="541">
        <f t="shared" si="48"/>
        <v>9926.8134161951511</v>
      </c>
      <c r="DT100" s="541">
        <f t="shared" si="48"/>
        <v>9923.8082057289866</v>
      </c>
      <c r="DU100" s="541">
        <f t="shared" si="48"/>
        <v>9896.5376166003607</v>
      </c>
      <c r="DV100" s="541">
        <f t="shared" si="48"/>
        <v>10016.918852742816</v>
      </c>
      <c r="DW100" s="541">
        <f t="shared" si="48"/>
        <v>10059.983606963106</v>
      </c>
      <c r="DX100" s="541">
        <f t="shared" si="48"/>
        <v>10083.094712487115</v>
      </c>
      <c r="DY100" s="541">
        <f t="shared" si="48"/>
        <v>8058.7377291418616</v>
      </c>
      <c r="DZ100" s="541">
        <f t="shared" si="48"/>
        <v>7998.4180876236478</v>
      </c>
      <c r="EA100" s="541">
        <f t="shared" si="48"/>
        <v>7998.4180876236478</v>
      </c>
      <c r="EB100" s="541">
        <f t="shared" si="48"/>
        <v>7998.4180876236487</v>
      </c>
      <c r="EC100" s="541">
        <f t="shared" si="48"/>
        <v>19599.446855546739</v>
      </c>
      <c r="ED100" s="541">
        <f t="shared" si="48"/>
        <v>2308.4176722000593</v>
      </c>
      <c r="EE100" s="541">
        <f t="shared" si="48"/>
        <v>0</v>
      </c>
      <c r="EF100" s="541">
        <f t="shared" si="48"/>
        <v>0</v>
      </c>
      <c r="EG100" s="541">
        <f t="shared" si="48"/>
        <v>0</v>
      </c>
    </row>
    <row r="102" spans="5:7" ht="12.75">
      <c r="E102" s="535" t="str">
        <f>InpC!E$130</f>
        <v>XIRR - seed outflow on the first period</v>
      </c>
      <c r="F102" s="537">
        <f>InpC!F$130</f>
        <v>-9.9999999999999995E-07</v>
      </c>
      <c r="G102" s="537" t="str">
        <f>InpC!G$130</f>
        <v>EUR 000s</v>
      </c>
    </row>
    <row r="103" spans="5:137" ht="12.75">
      <c r="E103" s="535" t="str">
        <f>Time!E$16</f>
        <v>First model column flag</v>
      </c>
      <c r="G103" s="537" t="str">
        <f>Time!G$16</f>
        <v>flag</v>
      </c>
      <c r="H103" s="537">
        <f>Time!H$16</f>
        <v>1</v>
      </c>
      <c r="J103" s="537">
        <f>Time!J$16</f>
        <v>1</v>
      </c>
      <c r="K103" s="537">
        <f>Time!K$16</f>
        <v>0</v>
      </c>
      <c r="L103" s="537">
        <f>Time!L$16</f>
        <v>0</v>
      </c>
      <c r="M103" s="537">
        <f>Time!M$16</f>
        <v>0</v>
      </c>
      <c r="N103" s="537">
        <f>Time!N$16</f>
        <v>0</v>
      </c>
      <c r="O103" s="537">
        <f>Time!O$16</f>
        <v>0</v>
      </c>
      <c r="P103" s="537">
        <f>Time!P$16</f>
        <v>0</v>
      </c>
      <c r="Q103" s="537">
        <f>Time!Q$16</f>
        <v>0</v>
      </c>
      <c r="R103" s="537">
        <f>Time!R$16</f>
        <v>0</v>
      </c>
      <c r="S103" s="537">
        <f>Time!S$16</f>
        <v>0</v>
      </c>
      <c r="T103" s="537">
        <f>Time!T$16</f>
        <v>0</v>
      </c>
      <c r="U103" s="537">
        <f>Time!U$16</f>
        <v>0</v>
      </c>
      <c r="V103" s="537">
        <f>Time!V$16</f>
        <v>0</v>
      </c>
      <c r="W103" s="537">
        <f>Time!W$16</f>
        <v>0</v>
      </c>
      <c r="X103" s="537">
        <f>Time!X$16</f>
        <v>0</v>
      </c>
      <c r="Y103" s="537">
        <f>Time!Y$16</f>
        <v>0</v>
      </c>
      <c r="Z103" s="537">
        <f>Time!Z$16</f>
        <v>0</v>
      </c>
      <c r="AA103" s="537">
        <f>Time!AA$16</f>
        <v>0</v>
      </c>
      <c r="AB103" s="537">
        <f>Time!AB$16</f>
        <v>0</v>
      </c>
      <c r="AC103" s="537">
        <f>Time!AC$16</f>
        <v>0</v>
      </c>
      <c r="AD103" s="537">
        <f>Time!AD$16</f>
        <v>0</v>
      </c>
      <c r="AE103" s="537">
        <f>Time!AE$16</f>
        <v>0</v>
      </c>
      <c r="AF103" s="537">
        <f>Time!AF$16</f>
        <v>0</v>
      </c>
      <c r="AG103" s="537">
        <f>Time!AG$16</f>
        <v>0</v>
      </c>
      <c r="AH103" s="537">
        <f>Time!AH$16</f>
        <v>0</v>
      </c>
      <c r="AI103" s="537">
        <f>Time!AI$16</f>
        <v>0</v>
      </c>
      <c r="AJ103" s="537">
        <f>Time!AJ$16</f>
        <v>0</v>
      </c>
      <c r="AK103" s="537">
        <f>Time!AK$16</f>
        <v>0</v>
      </c>
      <c r="AL103" s="537">
        <f>Time!AL$16</f>
        <v>0</v>
      </c>
      <c r="AM103" s="537">
        <f>Time!AM$16</f>
        <v>0</v>
      </c>
      <c r="AN103" s="537">
        <f>Time!AN$16</f>
        <v>0</v>
      </c>
      <c r="AO103" s="537">
        <f>Time!AO$16</f>
        <v>0</v>
      </c>
      <c r="AP103" s="537">
        <f>Time!AP$16</f>
        <v>0</v>
      </c>
      <c r="AQ103" s="537">
        <f>Time!AQ$16</f>
        <v>0</v>
      </c>
      <c r="AR103" s="537">
        <f>Time!AR$16</f>
        <v>0</v>
      </c>
      <c r="AS103" s="537">
        <f>Time!AS$16</f>
        <v>0</v>
      </c>
      <c r="AT103" s="537">
        <f>Time!AT$16</f>
        <v>0</v>
      </c>
      <c r="AU103" s="537">
        <f>Time!AU$16</f>
        <v>0</v>
      </c>
      <c r="AV103" s="537">
        <f>Time!AV$16</f>
        <v>0</v>
      </c>
      <c r="AW103" s="537">
        <f>Time!AW$16</f>
        <v>0</v>
      </c>
      <c r="AX103" s="537">
        <f>Time!AX$16</f>
        <v>0</v>
      </c>
      <c r="AY103" s="537">
        <f>Time!AY$16</f>
        <v>0</v>
      </c>
      <c r="AZ103" s="537">
        <f>Time!AZ$16</f>
        <v>0</v>
      </c>
      <c r="BA103" s="537">
        <f>Time!BA$16</f>
        <v>0</v>
      </c>
      <c r="BB103" s="537">
        <f>Time!BB$16</f>
        <v>0</v>
      </c>
      <c r="BC103" s="537">
        <f>Time!BC$16</f>
        <v>0</v>
      </c>
      <c r="BD103" s="537">
        <f>Time!BD$16</f>
        <v>0</v>
      </c>
      <c r="BE103" s="537">
        <f>Time!BE$16</f>
        <v>0</v>
      </c>
      <c r="BF103" s="537">
        <f>Time!BF$16</f>
        <v>0</v>
      </c>
      <c r="BG103" s="537">
        <f>Time!BG$16</f>
        <v>0</v>
      </c>
      <c r="BH103" s="537">
        <f>Time!BH$16</f>
        <v>0</v>
      </c>
      <c r="BI103" s="537">
        <f>Time!BI$16</f>
        <v>0</v>
      </c>
      <c r="BJ103" s="537">
        <f>Time!BJ$16</f>
        <v>0</v>
      </c>
      <c r="BK103" s="537">
        <f>Time!BK$16</f>
        <v>0</v>
      </c>
      <c r="BL103" s="537">
        <f>Time!BL$16</f>
        <v>0</v>
      </c>
      <c r="BM103" s="537">
        <f>Time!BM$16</f>
        <v>0</v>
      </c>
      <c r="BN103" s="537">
        <f>Time!BN$16</f>
        <v>0</v>
      </c>
      <c r="BO103" s="537">
        <f>Time!BO$16</f>
        <v>0</v>
      </c>
      <c r="BP103" s="537">
        <f>Time!BP$16</f>
        <v>0</v>
      </c>
      <c r="BQ103" s="537">
        <f>Time!BQ$16</f>
        <v>0</v>
      </c>
      <c r="BR103" s="537">
        <f>Time!BR$16</f>
        <v>0</v>
      </c>
      <c r="BS103" s="537">
        <f>Time!BS$16</f>
        <v>0</v>
      </c>
      <c r="BT103" s="537">
        <f>Time!BT$16</f>
        <v>0</v>
      </c>
      <c r="BU103" s="537">
        <f>Time!BU$16</f>
        <v>0</v>
      </c>
      <c r="BV103" s="537">
        <f>Time!BV$16</f>
        <v>0</v>
      </c>
      <c r="BW103" s="537">
        <f>Time!BW$16</f>
        <v>0</v>
      </c>
      <c r="BX103" s="537">
        <f>Time!BX$16</f>
        <v>0</v>
      </c>
      <c r="BY103" s="537">
        <f>Time!BY$16</f>
        <v>0</v>
      </c>
      <c r="BZ103" s="537">
        <f>Time!BZ$16</f>
        <v>0</v>
      </c>
      <c r="CA103" s="537">
        <f>Time!CA$16</f>
        <v>0</v>
      </c>
      <c r="CB103" s="537">
        <f>Time!CB$16</f>
        <v>0</v>
      </c>
      <c r="CC103" s="537">
        <f>Time!CC$16</f>
        <v>0</v>
      </c>
      <c r="CD103" s="537">
        <f>Time!CD$16</f>
        <v>0</v>
      </c>
      <c r="CE103" s="537">
        <f>Time!CE$16</f>
        <v>0</v>
      </c>
      <c r="CF103" s="537">
        <f>Time!CF$16</f>
        <v>0</v>
      </c>
      <c r="CG103" s="537">
        <f>Time!CG$16</f>
        <v>0</v>
      </c>
      <c r="CH103" s="537">
        <f>Time!CH$16</f>
        <v>0</v>
      </c>
      <c r="CI103" s="537">
        <f>Time!CI$16</f>
        <v>0</v>
      </c>
      <c r="CJ103" s="537">
        <f>Time!CJ$16</f>
        <v>0</v>
      </c>
      <c r="CK103" s="537">
        <f>Time!CK$16</f>
        <v>0</v>
      </c>
      <c r="CL103" s="537">
        <f>Time!CL$16</f>
        <v>0</v>
      </c>
      <c r="CM103" s="537">
        <f>Time!CM$16</f>
        <v>0</v>
      </c>
      <c r="CN103" s="537">
        <f>Time!CN$16</f>
        <v>0</v>
      </c>
      <c r="CO103" s="537">
        <f>Time!CO$16</f>
        <v>0</v>
      </c>
      <c r="CP103" s="537">
        <f>Time!CP$16</f>
        <v>0</v>
      </c>
      <c r="CQ103" s="537">
        <f>Time!CQ$16</f>
        <v>0</v>
      </c>
      <c r="CR103" s="537">
        <f>Time!CR$16</f>
        <v>0</v>
      </c>
      <c r="CS103" s="537">
        <f>Time!CS$16</f>
        <v>0</v>
      </c>
      <c r="CT103" s="537">
        <f>Time!CT$16</f>
        <v>0</v>
      </c>
      <c r="CU103" s="537">
        <f>Time!CU$16</f>
        <v>0</v>
      </c>
      <c r="CV103" s="537">
        <f>Time!CV$16</f>
        <v>0</v>
      </c>
      <c r="CW103" s="537">
        <f>Time!CW$16</f>
        <v>0</v>
      </c>
      <c r="CX103" s="537">
        <f>Time!CX$16</f>
        <v>0</v>
      </c>
      <c r="CY103" s="537">
        <f>Time!CY$16</f>
        <v>0</v>
      </c>
      <c r="CZ103" s="537">
        <f>Time!CZ$16</f>
        <v>0</v>
      </c>
      <c r="DA103" s="537">
        <f>Time!DA$16</f>
        <v>0</v>
      </c>
      <c r="DB103" s="537">
        <f>Time!DB$16</f>
        <v>0</v>
      </c>
      <c r="DC103" s="537">
        <f>Time!DC$16</f>
        <v>0</v>
      </c>
      <c r="DD103" s="537">
        <f>Time!DD$16</f>
        <v>0</v>
      </c>
      <c r="DE103" s="537">
        <f>Time!DE$16</f>
        <v>0</v>
      </c>
      <c r="DF103" s="537">
        <f>Time!DF$16</f>
        <v>0</v>
      </c>
      <c r="DG103" s="537">
        <f>Time!DG$16</f>
        <v>0</v>
      </c>
      <c r="DH103" s="537">
        <f>Time!DH$16</f>
        <v>0</v>
      </c>
      <c r="DI103" s="537">
        <f>Time!DI$16</f>
        <v>0</v>
      </c>
      <c r="DJ103" s="537">
        <f>Time!DJ$16</f>
        <v>0</v>
      </c>
      <c r="DK103" s="537">
        <f>Time!DK$16</f>
        <v>0</v>
      </c>
      <c r="DL103" s="537">
        <f>Time!DL$16</f>
        <v>0</v>
      </c>
      <c r="DM103" s="537">
        <f>Time!DM$16</f>
        <v>0</v>
      </c>
      <c r="DN103" s="537">
        <f>Time!DN$16</f>
        <v>0</v>
      </c>
      <c r="DO103" s="537">
        <f>Time!DO$16</f>
        <v>0</v>
      </c>
      <c r="DP103" s="537">
        <f>Time!DP$16</f>
        <v>0</v>
      </c>
      <c r="DQ103" s="537">
        <f>Time!DQ$16</f>
        <v>0</v>
      </c>
      <c r="DR103" s="537">
        <f>Time!DR$16</f>
        <v>0</v>
      </c>
      <c r="DS103" s="537">
        <f>Time!DS$16</f>
        <v>0</v>
      </c>
      <c r="DT103" s="537">
        <f>Time!DT$16</f>
        <v>0</v>
      </c>
      <c r="DU103" s="537">
        <f>Time!DU$16</f>
        <v>0</v>
      </c>
      <c r="DV103" s="537">
        <f>Time!DV$16</f>
        <v>0</v>
      </c>
      <c r="DW103" s="537">
        <f>Time!DW$16</f>
        <v>0</v>
      </c>
      <c r="DX103" s="537">
        <f>Time!DX$16</f>
        <v>0</v>
      </c>
      <c r="DY103" s="537">
        <f>Time!DY$16</f>
        <v>0</v>
      </c>
      <c r="DZ103" s="537">
        <f>Time!DZ$16</f>
        <v>0</v>
      </c>
      <c r="EA103" s="537">
        <f>Time!EA$16</f>
        <v>0</v>
      </c>
      <c r="EB103" s="537">
        <f>Time!EB$16</f>
        <v>0</v>
      </c>
      <c r="EC103" s="537">
        <f>Time!EC$16</f>
        <v>0</v>
      </c>
      <c r="ED103" s="537">
        <f>Time!ED$16</f>
        <v>0</v>
      </c>
      <c r="EE103" s="537">
        <f>Time!EE$16</f>
        <v>0</v>
      </c>
      <c r="EF103" s="537">
        <f>Time!EF$16</f>
        <v>0</v>
      </c>
      <c r="EG103" s="537">
        <f>Time!EG$16</f>
        <v>0</v>
      </c>
    </row>
    <row r="104" spans="5:137" ht="12.75">
      <c r="E104" s="538" t="str">
        <f>E$11</f>
        <v>Shareholder loan - amount drawn</v>
      </c>
      <c r="G104" s="539" t="str">
        <f>G$11</f>
        <v>EUR 000s</v>
      </c>
      <c r="H104" s="539">
        <f>H$11</f>
        <v>55637.785760493018</v>
      </c>
      <c r="J104" s="539">
        <f t="shared" si="49" ref="J104:EG104">J$11</f>
        <v>0</v>
      </c>
      <c r="K104" s="539">
        <f t="shared" si="49"/>
        <v>0</v>
      </c>
      <c r="L104" s="539">
        <f t="shared" si="49"/>
        <v>9055.4397749326417</v>
      </c>
      <c r="M104" s="539">
        <f t="shared" si="49"/>
        <v>10720.552129586828</v>
      </c>
      <c r="N104" s="539">
        <f t="shared" si="49"/>
        <v>10993.1869841347</v>
      </c>
      <c r="O104" s="539">
        <f t="shared" si="49"/>
        <v>10734.708184381348</v>
      </c>
      <c r="P104" s="539">
        <f t="shared" si="49"/>
        <v>11007.814907422371</v>
      </c>
      <c r="Q104" s="539">
        <f t="shared" si="49"/>
        <v>3126.0837800351323</v>
      </c>
      <c r="R104" s="539">
        <f t="shared" si="49"/>
        <v>0</v>
      </c>
      <c r="S104" s="539">
        <f t="shared" si="49"/>
        <v>0</v>
      </c>
      <c r="T104" s="539">
        <f t="shared" si="49"/>
        <v>0</v>
      </c>
      <c r="U104" s="539">
        <f t="shared" si="49"/>
        <v>0</v>
      </c>
      <c r="V104" s="539">
        <f t="shared" si="49"/>
        <v>0</v>
      </c>
      <c r="W104" s="539">
        <f t="shared" si="49"/>
        <v>0</v>
      </c>
      <c r="X104" s="539">
        <f t="shared" si="49"/>
        <v>0</v>
      </c>
      <c r="Y104" s="539">
        <f t="shared" si="49"/>
        <v>0</v>
      </c>
      <c r="Z104" s="539">
        <f t="shared" si="49"/>
        <v>0</v>
      </c>
      <c r="AA104" s="539">
        <f t="shared" si="49"/>
        <v>0</v>
      </c>
      <c r="AB104" s="539">
        <f t="shared" si="49"/>
        <v>0</v>
      </c>
      <c r="AC104" s="539">
        <f t="shared" si="49"/>
        <v>0</v>
      </c>
      <c r="AD104" s="539">
        <f t="shared" si="49"/>
        <v>0</v>
      </c>
      <c r="AE104" s="539">
        <f t="shared" si="49"/>
        <v>0</v>
      </c>
      <c r="AF104" s="539">
        <f t="shared" si="49"/>
        <v>0</v>
      </c>
      <c r="AG104" s="539">
        <f t="shared" si="49"/>
        <v>0</v>
      </c>
      <c r="AH104" s="539">
        <f t="shared" si="49"/>
        <v>0</v>
      </c>
      <c r="AI104" s="539">
        <f t="shared" si="49"/>
        <v>0</v>
      </c>
      <c r="AJ104" s="539">
        <f t="shared" si="49"/>
        <v>0</v>
      </c>
      <c r="AK104" s="539">
        <f t="shared" si="49"/>
        <v>0</v>
      </c>
      <c r="AL104" s="539">
        <f t="shared" si="49"/>
        <v>0</v>
      </c>
      <c r="AM104" s="539">
        <f t="shared" si="49"/>
        <v>0</v>
      </c>
      <c r="AN104" s="539">
        <f t="shared" si="49"/>
        <v>0</v>
      </c>
      <c r="AO104" s="539">
        <f t="shared" si="49"/>
        <v>0</v>
      </c>
      <c r="AP104" s="539">
        <f t="shared" si="49"/>
        <v>0</v>
      </c>
      <c r="AQ104" s="539">
        <f t="shared" si="49"/>
        <v>0</v>
      </c>
      <c r="AR104" s="539">
        <f t="shared" si="49"/>
        <v>0</v>
      </c>
      <c r="AS104" s="539">
        <f t="shared" si="49"/>
        <v>0</v>
      </c>
      <c r="AT104" s="539">
        <f t="shared" si="49"/>
        <v>0</v>
      </c>
      <c r="AU104" s="539">
        <f t="shared" si="49"/>
        <v>0</v>
      </c>
      <c r="AV104" s="539">
        <f t="shared" si="49"/>
        <v>0</v>
      </c>
      <c r="AW104" s="539">
        <f t="shared" si="49"/>
        <v>0</v>
      </c>
      <c r="AX104" s="539">
        <f t="shared" si="49"/>
        <v>0</v>
      </c>
      <c r="AY104" s="539">
        <f t="shared" si="49"/>
        <v>0</v>
      </c>
      <c r="AZ104" s="539">
        <f t="shared" si="49"/>
        <v>0</v>
      </c>
      <c r="BA104" s="539">
        <f t="shared" si="49"/>
        <v>0</v>
      </c>
      <c r="BB104" s="539">
        <f t="shared" si="49"/>
        <v>0</v>
      </c>
      <c r="BC104" s="539">
        <f t="shared" si="49"/>
        <v>0</v>
      </c>
      <c r="BD104" s="539">
        <f t="shared" si="49"/>
        <v>0</v>
      </c>
      <c r="BE104" s="539">
        <f t="shared" si="49"/>
        <v>0</v>
      </c>
      <c r="BF104" s="539">
        <f t="shared" si="49"/>
        <v>0</v>
      </c>
      <c r="BG104" s="539">
        <f t="shared" si="49"/>
        <v>0</v>
      </c>
      <c r="BH104" s="539">
        <f t="shared" si="49"/>
        <v>0</v>
      </c>
      <c r="BI104" s="539">
        <f t="shared" si="49"/>
        <v>0</v>
      </c>
      <c r="BJ104" s="539">
        <f t="shared" si="49"/>
        <v>0</v>
      </c>
      <c r="BK104" s="539">
        <f t="shared" si="49"/>
        <v>0</v>
      </c>
      <c r="BL104" s="539">
        <f t="shared" si="49"/>
        <v>0</v>
      </c>
      <c r="BM104" s="539">
        <f t="shared" si="49"/>
        <v>0</v>
      </c>
      <c r="BN104" s="539">
        <f t="shared" si="49"/>
        <v>0</v>
      </c>
      <c r="BO104" s="539">
        <f t="shared" si="49"/>
        <v>0</v>
      </c>
      <c r="BP104" s="539">
        <f t="shared" si="49"/>
        <v>0</v>
      </c>
      <c r="BQ104" s="539">
        <f t="shared" si="49"/>
        <v>0</v>
      </c>
      <c r="BR104" s="539">
        <f t="shared" si="49"/>
        <v>0</v>
      </c>
      <c r="BS104" s="539">
        <f t="shared" si="49"/>
        <v>0</v>
      </c>
      <c r="BT104" s="539">
        <f t="shared" si="49"/>
        <v>0</v>
      </c>
      <c r="BU104" s="539">
        <f t="shared" si="49"/>
        <v>0</v>
      </c>
      <c r="BV104" s="539">
        <f t="shared" si="49"/>
        <v>0</v>
      </c>
      <c r="BW104" s="539">
        <f t="shared" si="49"/>
        <v>0</v>
      </c>
      <c r="BX104" s="539">
        <f t="shared" si="49"/>
        <v>0</v>
      </c>
      <c r="BY104" s="539">
        <f t="shared" si="49"/>
        <v>0</v>
      </c>
      <c r="BZ104" s="539">
        <f t="shared" si="49"/>
        <v>0</v>
      </c>
      <c r="CA104" s="539">
        <f t="shared" si="49"/>
        <v>0</v>
      </c>
      <c r="CB104" s="539">
        <f t="shared" si="49"/>
        <v>0</v>
      </c>
      <c r="CC104" s="539">
        <f t="shared" si="49"/>
        <v>0</v>
      </c>
      <c r="CD104" s="539">
        <f t="shared" si="49"/>
        <v>0</v>
      </c>
      <c r="CE104" s="539">
        <f t="shared" si="49"/>
        <v>0</v>
      </c>
      <c r="CF104" s="539">
        <f t="shared" si="49"/>
        <v>0</v>
      </c>
      <c r="CG104" s="539">
        <f t="shared" si="49"/>
        <v>0</v>
      </c>
      <c r="CH104" s="539">
        <f t="shared" si="49"/>
        <v>0</v>
      </c>
      <c r="CI104" s="539">
        <f t="shared" si="49"/>
        <v>0</v>
      </c>
      <c r="CJ104" s="539">
        <f t="shared" si="49"/>
        <v>0</v>
      </c>
      <c r="CK104" s="539">
        <f t="shared" si="49"/>
        <v>0</v>
      </c>
      <c r="CL104" s="539">
        <f t="shared" si="49"/>
        <v>0</v>
      </c>
      <c r="CM104" s="539">
        <f t="shared" si="49"/>
        <v>0</v>
      </c>
      <c r="CN104" s="539">
        <f t="shared" si="49"/>
        <v>0</v>
      </c>
      <c r="CO104" s="539">
        <f t="shared" si="49"/>
        <v>0</v>
      </c>
      <c r="CP104" s="539">
        <f t="shared" si="49"/>
        <v>0</v>
      </c>
      <c r="CQ104" s="539">
        <f t="shared" si="49"/>
        <v>0</v>
      </c>
      <c r="CR104" s="539">
        <f t="shared" si="49"/>
        <v>0</v>
      </c>
      <c r="CS104" s="539">
        <f t="shared" si="49"/>
        <v>0</v>
      </c>
      <c r="CT104" s="539">
        <f t="shared" si="49"/>
        <v>0</v>
      </c>
      <c r="CU104" s="539">
        <f t="shared" si="49"/>
        <v>0</v>
      </c>
      <c r="CV104" s="539">
        <f t="shared" si="49"/>
        <v>0</v>
      </c>
      <c r="CW104" s="539">
        <f t="shared" si="49"/>
        <v>0</v>
      </c>
      <c r="CX104" s="539">
        <f t="shared" si="49"/>
        <v>0</v>
      </c>
      <c r="CY104" s="539">
        <f t="shared" si="49"/>
        <v>0</v>
      </c>
      <c r="CZ104" s="539">
        <f t="shared" si="49"/>
        <v>0</v>
      </c>
      <c r="DA104" s="539">
        <f t="shared" si="49"/>
        <v>0</v>
      </c>
      <c r="DB104" s="539">
        <f t="shared" si="49"/>
        <v>0</v>
      </c>
      <c r="DC104" s="539">
        <f t="shared" si="49"/>
        <v>0</v>
      </c>
      <c r="DD104" s="539">
        <f t="shared" si="49"/>
        <v>0</v>
      </c>
      <c r="DE104" s="539">
        <f t="shared" si="49"/>
        <v>0</v>
      </c>
      <c r="DF104" s="539">
        <f t="shared" si="49"/>
        <v>0</v>
      </c>
      <c r="DG104" s="539">
        <f t="shared" si="49"/>
        <v>0</v>
      </c>
      <c r="DH104" s="539">
        <f t="shared" si="49"/>
        <v>0</v>
      </c>
      <c r="DI104" s="539">
        <f t="shared" si="49"/>
        <v>0</v>
      </c>
      <c r="DJ104" s="539">
        <f t="shared" si="49"/>
        <v>0</v>
      </c>
      <c r="DK104" s="539">
        <f t="shared" si="49"/>
        <v>0</v>
      </c>
      <c r="DL104" s="539">
        <f t="shared" si="49"/>
        <v>0</v>
      </c>
      <c r="DM104" s="539">
        <f t="shared" si="49"/>
        <v>0</v>
      </c>
      <c r="DN104" s="539">
        <f t="shared" si="49"/>
        <v>0</v>
      </c>
      <c r="DO104" s="539">
        <f t="shared" si="49"/>
        <v>0</v>
      </c>
      <c r="DP104" s="539">
        <f t="shared" si="49"/>
        <v>0</v>
      </c>
      <c r="DQ104" s="539">
        <f t="shared" si="49"/>
        <v>0</v>
      </c>
      <c r="DR104" s="539">
        <f t="shared" si="49"/>
        <v>0</v>
      </c>
      <c r="DS104" s="539">
        <f t="shared" si="49"/>
        <v>0</v>
      </c>
      <c r="DT104" s="539">
        <f t="shared" si="49"/>
        <v>0</v>
      </c>
      <c r="DU104" s="539">
        <f t="shared" si="49"/>
        <v>0</v>
      </c>
      <c r="DV104" s="539">
        <f t="shared" si="49"/>
        <v>0</v>
      </c>
      <c r="DW104" s="539">
        <f t="shared" si="49"/>
        <v>0</v>
      </c>
      <c r="DX104" s="539">
        <f t="shared" si="49"/>
        <v>0</v>
      </c>
      <c r="DY104" s="539">
        <f t="shared" si="49"/>
        <v>0</v>
      </c>
      <c r="DZ104" s="539">
        <f t="shared" si="49"/>
        <v>0</v>
      </c>
      <c r="EA104" s="539">
        <f t="shared" si="49"/>
        <v>0</v>
      </c>
      <c r="EB104" s="539">
        <f t="shared" si="49"/>
        <v>0</v>
      </c>
      <c r="EC104" s="539">
        <f t="shared" si="49"/>
        <v>0</v>
      </c>
      <c r="ED104" s="539">
        <f t="shared" si="49"/>
        <v>0</v>
      </c>
      <c r="EE104" s="539">
        <f t="shared" si="49"/>
        <v>0</v>
      </c>
      <c r="EF104" s="539">
        <f t="shared" si="49"/>
        <v>0</v>
      </c>
      <c r="EG104" s="539">
        <f t="shared" si="49"/>
        <v>0</v>
      </c>
    </row>
    <row r="105" spans="5:137" ht="12.75">
      <c r="E105" s="538" t="str">
        <f>E$15</f>
        <v>Share capital - subscription</v>
      </c>
      <c r="G105" s="539" t="str">
        <f>G$15</f>
        <v>EUR 000s</v>
      </c>
      <c r="H105" s="539">
        <f>H$15</f>
        <v>13909.446440123251</v>
      </c>
      <c r="J105" s="539">
        <f t="shared" si="50" ref="J105:EG105">J$15</f>
        <v>0</v>
      </c>
      <c r="K105" s="539">
        <f t="shared" si="50"/>
        <v>0</v>
      </c>
      <c r="L105" s="539">
        <f t="shared" si="50"/>
        <v>2263.8599437331595</v>
      </c>
      <c r="M105" s="539">
        <f t="shared" si="50"/>
        <v>2680.138032396706</v>
      </c>
      <c r="N105" s="539">
        <f t="shared" si="50"/>
        <v>2748.296746033674</v>
      </c>
      <c r="O105" s="539">
        <f t="shared" si="50"/>
        <v>2683.6770460953362</v>
      </c>
      <c r="P105" s="539">
        <f t="shared" si="50"/>
        <v>2751.9537268555919</v>
      </c>
      <c r="Q105" s="539">
        <f t="shared" si="50"/>
        <v>781.52094500878286</v>
      </c>
      <c r="R105" s="539">
        <f t="shared" si="50"/>
        <v>0</v>
      </c>
      <c r="S105" s="539">
        <f t="shared" si="50"/>
        <v>0</v>
      </c>
      <c r="T105" s="539">
        <f t="shared" si="50"/>
        <v>0</v>
      </c>
      <c r="U105" s="539">
        <f t="shared" si="50"/>
        <v>0</v>
      </c>
      <c r="V105" s="539">
        <f t="shared" si="50"/>
        <v>0</v>
      </c>
      <c r="W105" s="539">
        <f t="shared" si="50"/>
        <v>0</v>
      </c>
      <c r="X105" s="539">
        <f t="shared" si="50"/>
        <v>0</v>
      </c>
      <c r="Y105" s="539">
        <f t="shared" si="50"/>
        <v>0</v>
      </c>
      <c r="Z105" s="539">
        <f t="shared" si="50"/>
        <v>0</v>
      </c>
      <c r="AA105" s="539">
        <f t="shared" si="50"/>
        <v>0</v>
      </c>
      <c r="AB105" s="539">
        <f t="shared" si="50"/>
        <v>0</v>
      </c>
      <c r="AC105" s="539">
        <f t="shared" si="50"/>
        <v>0</v>
      </c>
      <c r="AD105" s="539">
        <f t="shared" si="50"/>
        <v>0</v>
      </c>
      <c r="AE105" s="539">
        <f t="shared" si="50"/>
        <v>0</v>
      </c>
      <c r="AF105" s="539">
        <f t="shared" si="50"/>
        <v>0</v>
      </c>
      <c r="AG105" s="539">
        <f t="shared" si="50"/>
        <v>0</v>
      </c>
      <c r="AH105" s="539">
        <f t="shared" si="50"/>
        <v>0</v>
      </c>
      <c r="AI105" s="539">
        <f t="shared" si="50"/>
        <v>0</v>
      </c>
      <c r="AJ105" s="539">
        <f t="shared" si="50"/>
        <v>0</v>
      </c>
      <c r="AK105" s="539">
        <f t="shared" si="50"/>
        <v>0</v>
      </c>
      <c r="AL105" s="539">
        <f t="shared" si="50"/>
        <v>0</v>
      </c>
      <c r="AM105" s="539">
        <f t="shared" si="50"/>
        <v>0</v>
      </c>
      <c r="AN105" s="539">
        <f t="shared" si="50"/>
        <v>0</v>
      </c>
      <c r="AO105" s="539">
        <f t="shared" si="50"/>
        <v>0</v>
      </c>
      <c r="AP105" s="539">
        <f t="shared" si="50"/>
        <v>0</v>
      </c>
      <c r="AQ105" s="539">
        <f t="shared" si="50"/>
        <v>0</v>
      </c>
      <c r="AR105" s="539">
        <f t="shared" si="50"/>
        <v>0</v>
      </c>
      <c r="AS105" s="539">
        <f t="shared" si="50"/>
        <v>0</v>
      </c>
      <c r="AT105" s="539">
        <f t="shared" si="50"/>
        <v>0</v>
      </c>
      <c r="AU105" s="539">
        <f t="shared" si="50"/>
        <v>0</v>
      </c>
      <c r="AV105" s="539">
        <f t="shared" si="50"/>
        <v>0</v>
      </c>
      <c r="AW105" s="539">
        <f t="shared" si="50"/>
        <v>0</v>
      </c>
      <c r="AX105" s="539">
        <f t="shared" si="50"/>
        <v>0</v>
      </c>
      <c r="AY105" s="539">
        <f t="shared" si="50"/>
        <v>0</v>
      </c>
      <c r="AZ105" s="539">
        <f t="shared" si="50"/>
        <v>0</v>
      </c>
      <c r="BA105" s="539">
        <f t="shared" si="50"/>
        <v>0</v>
      </c>
      <c r="BB105" s="539">
        <f t="shared" si="50"/>
        <v>0</v>
      </c>
      <c r="BC105" s="539">
        <f t="shared" si="50"/>
        <v>0</v>
      </c>
      <c r="BD105" s="539">
        <f t="shared" si="50"/>
        <v>0</v>
      </c>
      <c r="BE105" s="539">
        <f t="shared" si="50"/>
        <v>0</v>
      </c>
      <c r="BF105" s="539">
        <f t="shared" si="50"/>
        <v>0</v>
      </c>
      <c r="BG105" s="539">
        <f t="shared" si="50"/>
        <v>0</v>
      </c>
      <c r="BH105" s="539">
        <f t="shared" si="50"/>
        <v>0</v>
      </c>
      <c r="BI105" s="539">
        <f t="shared" si="50"/>
        <v>0</v>
      </c>
      <c r="BJ105" s="539">
        <f t="shared" si="50"/>
        <v>0</v>
      </c>
      <c r="BK105" s="539">
        <f t="shared" si="50"/>
        <v>0</v>
      </c>
      <c r="BL105" s="539">
        <f t="shared" si="50"/>
        <v>0</v>
      </c>
      <c r="BM105" s="539">
        <f t="shared" si="50"/>
        <v>0</v>
      </c>
      <c r="BN105" s="539">
        <f t="shared" si="50"/>
        <v>0</v>
      </c>
      <c r="BO105" s="539">
        <f t="shared" si="50"/>
        <v>0</v>
      </c>
      <c r="BP105" s="539">
        <f t="shared" si="50"/>
        <v>0</v>
      </c>
      <c r="BQ105" s="539">
        <f t="shared" si="50"/>
        <v>0</v>
      </c>
      <c r="BR105" s="539">
        <f t="shared" si="50"/>
        <v>0</v>
      </c>
      <c r="BS105" s="539">
        <f t="shared" si="50"/>
        <v>0</v>
      </c>
      <c r="BT105" s="539">
        <f t="shared" si="50"/>
        <v>0</v>
      </c>
      <c r="BU105" s="539">
        <f t="shared" si="50"/>
        <v>0</v>
      </c>
      <c r="BV105" s="539">
        <f t="shared" si="50"/>
        <v>0</v>
      </c>
      <c r="BW105" s="539">
        <f t="shared" si="50"/>
        <v>0</v>
      </c>
      <c r="BX105" s="539">
        <f t="shared" si="50"/>
        <v>0</v>
      </c>
      <c r="BY105" s="539">
        <f t="shared" si="50"/>
        <v>0</v>
      </c>
      <c r="BZ105" s="539">
        <f t="shared" si="50"/>
        <v>0</v>
      </c>
      <c r="CA105" s="539">
        <f t="shared" si="50"/>
        <v>0</v>
      </c>
      <c r="CB105" s="539">
        <f t="shared" si="50"/>
        <v>0</v>
      </c>
      <c r="CC105" s="539">
        <f t="shared" si="50"/>
        <v>0</v>
      </c>
      <c r="CD105" s="539">
        <f t="shared" si="50"/>
        <v>0</v>
      </c>
      <c r="CE105" s="539">
        <f t="shared" si="50"/>
        <v>0</v>
      </c>
      <c r="CF105" s="539">
        <f t="shared" si="50"/>
        <v>0</v>
      </c>
      <c r="CG105" s="539">
        <f t="shared" si="50"/>
        <v>0</v>
      </c>
      <c r="CH105" s="539">
        <f t="shared" si="50"/>
        <v>0</v>
      </c>
      <c r="CI105" s="539">
        <f t="shared" si="50"/>
        <v>0</v>
      </c>
      <c r="CJ105" s="539">
        <f t="shared" si="50"/>
        <v>0</v>
      </c>
      <c r="CK105" s="539">
        <f t="shared" si="50"/>
        <v>0</v>
      </c>
      <c r="CL105" s="539">
        <f t="shared" si="50"/>
        <v>0</v>
      </c>
      <c r="CM105" s="539">
        <f t="shared" si="50"/>
        <v>0</v>
      </c>
      <c r="CN105" s="539">
        <f t="shared" si="50"/>
        <v>0</v>
      </c>
      <c r="CO105" s="539">
        <f t="shared" si="50"/>
        <v>0</v>
      </c>
      <c r="CP105" s="539">
        <f t="shared" si="50"/>
        <v>0</v>
      </c>
      <c r="CQ105" s="539">
        <f t="shared" si="50"/>
        <v>0</v>
      </c>
      <c r="CR105" s="539">
        <f t="shared" si="50"/>
        <v>0</v>
      </c>
      <c r="CS105" s="539">
        <f t="shared" si="50"/>
        <v>0</v>
      </c>
      <c r="CT105" s="539">
        <f t="shared" si="50"/>
        <v>0</v>
      </c>
      <c r="CU105" s="539">
        <f t="shared" si="50"/>
        <v>0</v>
      </c>
      <c r="CV105" s="539">
        <f t="shared" si="50"/>
        <v>0</v>
      </c>
      <c r="CW105" s="539">
        <f t="shared" si="50"/>
        <v>0</v>
      </c>
      <c r="CX105" s="539">
        <f t="shared" si="50"/>
        <v>0</v>
      </c>
      <c r="CY105" s="539">
        <f t="shared" si="50"/>
        <v>0</v>
      </c>
      <c r="CZ105" s="539">
        <f t="shared" si="50"/>
        <v>0</v>
      </c>
      <c r="DA105" s="539">
        <f t="shared" si="50"/>
        <v>0</v>
      </c>
      <c r="DB105" s="539">
        <f t="shared" si="50"/>
        <v>0</v>
      </c>
      <c r="DC105" s="539">
        <f t="shared" si="50"/>
        <v>0</v>
      </c>
      <c r="DD105" s="539">
        <f t="shared" si="50"/>
        <v>0</v>
      </c>
      <c r="DE105" s="539">
        <f t="shared" si="50"/>
        <v>0</v>
      </c>
      <c r="DF105" s="539">
        <f t="shared" si="50"/>
        <v>0</v>
      </c>
      <c r="DG105" s="539">
        <f t="shared" si="50"/>
        <v>0</v>
      </c>
      <c r="DH105" s="539">
        <f t="shared" si="50"/>
        <v>0</v>
      </c>
      <c r="DI105" s="539">
        <f t="shared" si="50"/>
        <v>0</v>
      </c>
      <c r="DJ105" s="539">
        <f t="shared" si="50"/>
        <v>0</v>
      </c>
      <c r="DK105" s="539">
        <f t="shared" si="50"/>
        <v>0</v>
      </c>
      <c r="DL105" s="539">
        <f t="shared" si="50"/>
        <v>0</v>
      </c>
      <c r="DM105" s="539">
        <f t="shared" si="50"/>
        <v>0</v>
      </c>
      <c r="DN105" s="539">
        <f t="shared" si="50"/>
        <v>0</v>
      </c>
      <c r="DO105" s="539">
        <f t="shared" si="50"/>
        <v>0</v>
      </c>
      <c r="DP105" s="539">
        <f t="shared" si="50"/>
        <v>0</v>
      </c>
      <c r="DQ105" s="539">
        <f t="shared" si="50"/>
        <v>0</v>
      </c>
      <c r="DR105" s="539">
        <f t="shared" si="50"/>
        <v>0</v>
      </c>
      <c r="DS105" s="539">
        <f t="shared" si="50"/>
        <v>0</v>
      </c>
      <c r="DT105" s="539">
        <f t="shared" si="50"/>
        <v>0</v>
      </c>
      <c r="DU105" s="539">
        <f t="shared" si="50"/>
        <v>0</v>
      </c>
      <c r="DV105" s="539">
        <f t="shared" si="50"/>
        <v>0</v>
      </c>
      <c r="DW105" s="539">
        <f t="shared" si="50"/>
        <v>0</v>
      </c>
      <c r="DX105" s="539">
        <f t="shared" si="50"/>
        <v>0</v>
      </c>
      <c r="DY105" s="539">
        <f t="shared" si="50"/>
        <v>0</v>
      </c>
      <c r="DZ105" s="539">
        <f t="shared" si="50"/>
        <v>0</v>
      </c>
      <c r="EA105" s="539">
        <f t="shared" si="50"/>
        <v>0</v>
      </c>
      <c r="EB105" s="539">
        <f t="shared" si="50"/>
        <v>0</v>
      </c>
      <c r="EC105" s="539">
        <f t="shared" si="50"/>
        <v>0</v>
      </c>
      <c r="ED105" s="539">
        <f t="shared" si="50"/>
        <v>0</v>
      </c>
      <c r="EE105" s="539">
        <f t="shared" si="50"/>
        <v>0</v>
      </c>
      <c r="EF105" s="539">
        <f t="shared" si="50"/>
        <v>0</v>
      </c>
      <c r="EG105" s="539">
        <f t="shared" si="50"/>
        <v>0</v>
      </c>
    </row>
    <row r="106" spans="5:137" ht="12.75">
      <c r="E106" s="538" t="str">
        <f>E$100</f>
        <v>Shareholders - total cash paid</v>
      </c>
      <c r="G106" s="539" t="str">
        <f>G$100</f>
        <v>EUR 000s</v>
      </c>
      <c r="H106" s="539">
        <f>H$100</f>
        <v>542229.52746011666</v>
      </c>
      <c r="J106" s="539">
        <f t="shared" si="51" ref="J106:EG106">J$100</f>
        <v>0</v>
      </c>
      <c r="K106" s="539">
        <f t="shared" si="51"/>
        <v>0</v>
      </c>
      <c r="L106" s="539">
        <f t="shared" si="51"/>
        <v>0</v>
      </c>
      <c r="M106" s="539">
        <f t="shared" si="51"/>
        <v>0</v>
      </c>
      <c r="N106" s="539">
        <f t="shared" si="51"/>
        <v>0</v>
      </c>
      <c r="O106" s="539">
        <f t="shared" si="51"/>
        <v>0</v>
      </c>
      <c r="P106" s="539">
        <f t="shared" si="51"/>
        <v>1.8189894035458565E-12</v>
      </c>
      <c r="Q106" s="539">
        <f t="shared" si="51"/>
        <v>0</v>
      </c>
      <c r="R106" s="539">
        <f t="shared" si="51"/>
        <v>0</v>
      </c>
      <c r="S106" s="539">
        <f t="shared" si="51"/>
        <v>0</v>
      </c>
      <c r="T106" s="539">
        <f t="shared" si="51"/>
        <v>0</v>
      </c>
      <c r="U106" s="539">
        <f t="shared" si="51"/>
        <v>0</v>
      </c>
      <c r="V106" s="539">
        <f t="shared" si="51"/>
        <v>0</v>
      </c>
      <c r="W106" s="539">
        <f t="shared" si="51"/>
        <v>0</v>
      </c>
      <c r="X106" s="539">
        <f t="shared" si="51"/>
        <v>0</v>
      </c>
      <c r="Y106" s="539">
        <f t="shared" si="51"/>
        <v>0</v>
      </c>
      <c r="Z106" s="539">
        <f t="shared" si="51"/>
        <v>0</v>
      </c>
      <c r="AA106" s="539">
        <f t="shared" si="51"/>
        <v>0</v>
      </c>
      <c r="AB106" s="539">
        <f t="shared" si="51"/>
        <v>0</v>
      </c>
      <c r="AC106" s="539">
        <f t="shared" si="51"/>
        <v>0</v>
      </c>
      <c r="AD106" s="539">
        <f t="shared" si="51"/>
        <v>0</v>
      </c>
      <c r="AE106" s="539">
        <f t="shared" si="51"/>
        <v>0</v>
      </c>
      <c r="AF106" s="539">
        <f t="shared" si="51"/>
        <v>0</v>
      </c>
      <c r="AG106" s="539">
        <f t="shared" si="51"/>
        <v>0</v>
      </c>
      <c r="AH106" s="539">
        <f t="shared" si="51"/>
        <v>1383.9233639501999</v>
      </c>
      <c r="AI106" s="539">
        <f t="shared" si="51"/>
        <v>3289.5323362199924</v>
      </c>
      <c r="AJ106" s="539">
        <f t="shared" si="51"/>
        <v>3245.3805232500736</v>
      </c>
      <c r="AK106" s="539">
        <f t="shared" si="51"/>
        <v>3195.0408989934072</v>
      </c>
      <c r="AL106" s="539">
        <f t="shared" si="51"/>
        <v>3314.6555979376371</v>
      </c>
      <c r="AM106" s="539">
        <f t="shared" si="51"/>
        <v>3413.5103829410727</v>
      </c>
      <c r="AN106" s="539">
        <f t="shared" si="51"/>
        <v>3368.8149446907446</v>
      </c>
      <c r="AO106" s="539">
        <f t="shared" si="51"/>
        <v>3317.8291025066792</v>
      </c>
      <c r="AP106" s="539">
        <f t="shared" si="51"/>
        <v>3438.4566627931977</v>
      </c>
      <c r="AQ106" s="539">
        <f t="shared" si="51"/>
        <v>3538.7454210592987</v>
      </c>
      <c r="AR106" s="539">
        <f t="shared" si="51"/>
        <v>3482.692592271675</v>
      </c>
      <c r="AS106" s="539">
        <f t="shared" si="51"/>
        <v>3452.6458698254974</v>
      </c>
      <c r="AT106" s="539">
        <f t="shared" si="51"/>
        <v>1840.225347833371</v>
      </c>
      <c r="AU106" s="539">
        <f t="shared" si="51"/>
        <v>1907.064048963113</v>
      </c>
      <c r="AV106" s="539">
        <f t="shared" si="51"/>
        <v>1879.8635093641863</v>
      </c>
      <c r="AW106" s="539">
        <f t="shared" si="51"/>
        <v>1823.2308510204605</v>
      </c>
      <c r="AX106" s="539">
        <f t="shared" si="51"/>
        <v>3689.9207029973613</v>
      </c>
      <c r="AY106" s="539">
        <f t="shared" si="51"/>
        <v>3795.4891066389291</v>
      </c>
      <c r="AZ106" s="539">
        <f t="shared" si="51"/>
        <v>3810.2717218736234</v>
      </c>
      <c r="BA106" s="539">
        <f t="shared" si="51"/>
        <v>3761.7553340142267</v>
      </c>
      <c r="BB106" s="539">
        <f t="shared" si="51"/>
        <v>3775.7398776167847</v>
      </c>
      <c r="BC106" s="539">
        <f t="shared" si="51"/>
        <v>3870.9553004708091</v>
      </c>
      <c r="BD106" s="539">
        <f t="shared" si="51"/>
        <v>3819.5887386810437</v>
      </c>
      <c r="BE106" s="539">
        <f t="shared" si="51"/>
        <v>3757.5449019740718</v>
      </c>
      <c r="BF106" s="539">
        <f t="shared" si="51"/>
        <v>3865.5485651833455</v>
      </c>
      <c r="BG106" s="539">
        <f t="shared" si="51"/>
        <v>3963.7340210591155</v>
      </c>
      <c r="BH106" s="539">
        <f t="shared" si="51"/>
        <v>3901.9818208723086</v>
      </c>
      <c r="BI106" s="539">
        <f t="shared" si="51"/>
        <v>3863.3396261250573</v>
      </c>
      <c r="BJ106" s="539">
        <f t="shared" si="51"/>
        <v>3981.7948466400562</v>
      </c>
      <c r="BK106" s="539">
        <f t="shared" si="51"/>
        <v>4041.5037487339391</v>
      </c>
      <c r="BL106" s="539">
        <f t="shared" si="51"/>
        <v>4013.5705589641948</v>
      </c>
      <c r="BM106" s="539">
        <f t="shared" si="51"/>
        <v>3952.9034566736409</v>
      </c>
      <c r="BN106" s="539">
        <f t="shared" si="51"/>
        <v>2097.5193655527028</v>
      </c>
      <c r="BO106" s="539">
        <f t="shared" si="51"/>
        <v>2200.864273878366</v>
      </c>
      <c r="BP106" s="539">
        <f t="shared" si="51"/>
        <v>2098.1063109146212</v>
      </c>
      <c r="BQ106" s="539">
        <f t="shared" si="51"/>
        <v>2037.8164184080592</v>
      </c>
      <c r="BR106" s="539">
        <f t="shared" si="51"/>
        <v>4224.1553525130121</v>
      </c>
      <c r="BS106" s="539">
        <f t="shared" si="51"/>
        <v>4329.7689293072381</v>
      </c>
      <c r="BT106" s="539">
        <f t="shared" si="51"/>
        <v>4419.8055567868232</v>
      </c>
      <c r="BU106" s="539">
        <f t="shared" si="51"/>
        <v>4770.8603254831687</v>
      </c>
      <c r="BV106" s="539">
        <f t="shared" si="51"/>
        <v>4626.1012277867885</v>
      </c>
      <c r="BW106" s="539">
        <f t="shared" si="51"/>
        <v>3945.1397120020174</v>
      </c>
      <c r="BX106" s="539">
        <f t="shared" si="51"/>
        <v>3887.6124417460055</v>
      </c>
      <c r="BY106" s="539">
        <f t="shared" si="51"/>
        <v>3843.3319181364645</v>
      </c>
      <c r="BZ106" s="539">
        <f t="shared" si="51"/>
        <v>3978.3991178064584</v>
      </c>
      <c r="CA106" s="539">
        <f t="shared" si="51"/>
        <v>4211.4281415911701</v>
      </c>
      <c r="CB106" s="539">
        <f t="shared" si="51"/>
        <v>4139.4003880005166</v>
      </c>
      <c r="CC106" s="539">
        <f t="shared" si="51"/>
        <v>3736.011479524982</v>
      </c>
      <c r="CD106" s="539">
        <f t="shared" si="51"/>
        <v>4321.3134548763692</v>
      </c>
      <c r="CE106" s="539">
        <f t="shared" si="51"/>
        <v>4413.9780591819081</v>
      </c>
      <c r="CF106" s="539">
        <f t="shared" si="51"/>
        <v>4368.5578436146661</v>
      </c>
      <c r="CG106" s="539">
        <f t="shared" si="51"/>
        <v>4283.5118246307165</v>
      </c>
      <c r="CH106" s="539">
        <f t="shared" si="51"/>
        <v>2110.5359724491877</v>
      </c>
      <c r="CI106" s="539">
        <f t="shared" si="51"/>
        <v>2204.6023940287428</v>
      </c>
      <c r="CJ106" s="539">
        <f t="shared" si="51"/>
        <v>1870.785150550882</v>
      </c>
      <c r="CK106" s="539">
        <f t="shared" si="51"/>
        <v>1786.9171601948424</v>
      </c>
      <c r="CL106" s="539">
        <f t="shared" si="51"/>
        <v>4628.8303227158403</v>
      </c>
      <c r="CM106" s="539">
        <f t="shared" si="51"/>
        <v>4723.5203653725785</v>
      </c>
      <c r="CN106" s="539">
        <f t="shared" si="51"/>
        <v>4948.935086001231</v>
      </c>
      <c r="CO106" s="539">
        <f t="shared" si="51"/>
        <v>4889.99295027068</v>
      </c>
      <c r="CP106" s="539">
        <f t="shared" si="51"/>
        <v>4408.4942242291327</v>
      </c>
      <c r="CQ106" s="539">
        <f t="shared" si="51"/>
        <v>4454.0921236772019</v>
      </c>
      <c r="CR106" s="539">
        <f t="shared" si="51"/>
        <v>4428.3806644411152</v>
      </c>
      <c r="CS106" s="539">
        <f t="shared" si="51"/>
        <v>4344.7192119229667</v>
      </c>
      <c r="CT106" s="539">
        <f t="shared" si="51"/>
        <v>4410.7908852154824</v>
      </c>
      <c r="CU106" s="539">
        <f t="shared" si="51"/>
        <v>4507.2180043044709</v>
      </c>
      <c r="CV106" s="539">
        <f t="shared" si="51"/>
        <v>4455.6468509356973</v>
      </c>
      <c r="CW106" s="539">
        <f t="shared" si="51"/>
        <v>4372.1040514103006</v>
      </c>
      <c r="CX106" s="539">
        <f t="shared" si="51"/>
        <v>4442.1439989063965</v>
      </c>
      <c r="CY106" s="539">
        <f t="shared" si="51"/>
        <v>4538.8867633803111</v>
      </c>
      <c r="CZ106" s="539">
        <f t="shared" si="51"/>
        <v>9289.0498453167747</v>
      </c>
      <c r="DA106" s="539">
        <f t="shared" si="51"/>
        <v>9243.2109589193478</v>
      </c>
      <c r="DB106" s="539">
        <f t="shared" si="51"/>
        <v>6730.8032201585938</v>
      </c>
      <c r="DC106" s="539">
        <f t="shared" si="51"/>
        <v>6819.6943690281241</v>
      </c>
      <c r="DD106" s="539">
        <f t="shared" si="51"/>
        <v>6814.0398522326241</v>
      </c>
      <c r="DE106" s="539">
        <f t="shared" si="51"/>
        <v>6785.1271000854231</v>
      </c>
      <c r="DF106" s="539">
        <f t="shared" si="51"/>
        <v>10042.297500103878</v>
      </c>
      <c r="DG106" s="539">
        <f t="shared" si="51"/>
        <v>10083.037086594606</v>
      </c>
      <c r="DH106" s="539">
        <f t="shared" si="51"/>
        <v>10103.030440845592</v>
      </c>
      <c r="DI106" s="539">
        <f t="shared" si="51"/>
        <v>10074.710093976457</v>
      </c>
      <c r="DJ106" s="539">
        <f t="shared" si="51"/>
        <v>9531.0000277068248</v>
      </c>
      <c r="DK106" s="539">
        <f t="shared" si="51"/>
        <v>9622.5760692221538</v>
      </c>
      <c r="DL106" s="539">
        <f t="shared" si="51"/>
        <v>9618.4891847043327</v>
      </c>
      <c r="DM106" s="539">
        <f t="shared" si="51"/>
        <v>9590.6249782264968</v>
      </c>
      <c r="DN106" s="539">
        <f t="shared" si="51"/>
        <v>9679.6513243283043</v>
      </c>
      <c r="DO106" s="539">
        <f t="shared" si="51"/>
        <v>9772.3259446832872</v>
      </c>
      <c r="DP106" s="539">
        <f t="shared" si="51"/>
        <v>9768.8299907587207</v>
      </c>
      <c r="DQ106" s="539">
        <f t="shared" si="51"/>
        <v>9741.3091688148925</v>
      </c>
      <c r="DR106" s="539">
        <f t="shared" si="51"/>
        <v>9833.1752700445759</v>
      </c>
      <c r="DS106" s="539">
        <f t="shared" si="51"/>
        <v>9926.8134161951511</v>
      </c>
      <c r="DT106" s="539">
        <f t="shared" si="51"/>
        <v>9923.8082057289866</v>
      </c>
      <c r="DU106" s="539">
        <f t="shared" si="51"/>
        <v>9896.5376166003607</v>
      </c>
      <c r="DV106" s="539">
        <f t="shared" si="51"/>
        <v>10016.918852742816</v>
      </c>
      <c r="DW106" s="539">
        <f t="shared" si="51"/>
        <v>10059.983606963106</v>
      </c>
      <c r="DX106" s="539">
        <f t="shared" si="51"/>
        <v>10083.094712487115</v>
      </c>
      <c r="DY106" s="539">
        <f t="shared" si="51"/>
        <v>8058.7377291418616</v>
      </c>
      <c r="DZ106" s="539">
        <f t="shared" si="51"/>
        <v>7998.4180876236478</v>
      </c>
      <c r="EA106" s="539">
        <f t="shared" si="51"/>
        <v>7998.4180876236478</v>
      </c>
      <c r="EB106" s="539">
        <f t="shared" si="51"/>
        <v>7998.4180876236487</v>
      </c>
      <c r="EC106" s="539">
        <f t="shared" si="51"/>
        <v>19599.446855546739</v>
      </c>
      <c r="ED106" s="539">
        <f t="shared" si="51"/>
        <v>2308.4176722000593</v>
      </c>
      <c r="EE106" s="539">
        <f t="shared" si="51"/>
        <v>0</v>
      </c>
      <c r="EF106" s="539">
        <f t="shared" si="51"/>
        <v>0</v>
      </c>
      <c r="EG106" s="539">
        <f t="shared" si="51"/>
        <v>0</v>
      </c>
    </row>
    <row r="107" spans="5:137" ht="12.75">
      <c r="E107" s="538" t="s">
        <v>486</v>
      </c>
      <c r="G107" s="539" t="s">
        <v>30</v>
      </c>
      <c r="H107" s="539">
        <f>SUM(J107:EG107)</f>
        <v>472682.29525850032</v>
      </c>
      <c r="J107" s="539">
        <f t="shared" si="52" ref="J107:EG107">J106-J104-J105+$F102*J103</f>
        <v>-9.9999999999999995E-07</v>
      </c>
      <c r="K107" s="539">
        <f t="shared" si="52"/>
        <v>0</v>
      </c>
      <c r="L107" s="539">
        <f t="shared" si="52"/>
        <v>-11319.299718665801</v>
      </c>
      <c r="M107" s="539">
        <f t="shared" si="52"/>
        <v>-13400.690161983533</v>
      </c>
      <c r="N107" s="539">
        <f t="shared" si="52"/>
        <v>-13741.483730168373</v>
      </c>
      <c r="O107" s="539">
        <f t="shared" si="52"/>
        <v>-13418.385230476684</v>
      </c>
      <c r="P107" s="539">
        <f t="shared" si="52"/>
        <v>-13759.768634277962</v>
      </c>
      <c r="Q107" s="539">
        <f t="shared" si="52"/>
        <v>-3907.6047250439151</v>
      </c>
      <c r="R107" s="539">
        <f t="shared" si="52"/>
        <v>0</v>
      </c>
      <c r="S107" s="539">
        <f t="shared" si="52"/>
        <v>0</v>
      </c>
      <c r="T107" s="539">
        <f t="shared" si="52"/>
        <v>0</v>
      </c>
      <c r="U107" s="539">
        <f t="shared" si="52"/>
        <v>0</v>
      </c>
      <c r="V107" s="539">
        <f t="shared" si="52"/>
        <v>0</v>
      </c>
      <c r="W107" s="539">
        <f t="shared" si="52"/>
        <v>0</v>
      </c>
      <c r="X107" s="539">
        <f t="shared" si="52"/>
        <v>0</v>
      </c>
      <c r="Y107" s="539">
        <f t="shared" si="52"/>
        <v>0</v>
      </c>
      <c r="Z107" s="539">
        <f t="shared" si="52"/>
        <v>0</v>
      </c>
      <c r="AA107" s="539">
        <f t="shared" si="52"/>
        <v>0</v>
      </c>
      <c r="AB107" s="539">
        <f t="shared" si="52"/>
        <v>0</v>
      </c>
      <c r="AC107" s="539">
        <f t="shared" si="52"/>
        <v>0</v>
      </c>
      <c r="AD107" s="539">
        <f t="shared" si="52"/>
        <v>0</v>
      </c>
      <c r="AE107" s="539">
        <f t="shared" si="52"/>
        <v>0</v>
      </c>
      <c r="AF107" s="539">
        <f t="shared" si="52"/>
        <v>0</v>
      </c>
      <c r="AG107" s="539">
        <f t="shared" si="52"/>
        <v>0</v>
      </c>
      <c r="AH107" s="539">
        <f t="shared" si="52"/>
        <v>1383.9233639501999</v>
      </c>
      <c r="AI107" s="539">
        <f t="shared" si="52"/>
        <v>3289.5323362199924</v>
      </c>
      <c r="AJ107" s="539">
        <f t="shared" si="52"/>
        <v>3245.3805232500736</v>
      </c>
      <c r="AK107" s="539">
        <f t="shared" si="52"/>
        <v>3195.0408989934072</v>
      </c>
      <c r="AL107" s="539">
        <f t="shared" si="52"/>
        <v>3314.6555979376371</v>
      </c>
      <c r="AM107" s="539">
        <f t="shared" si="52"/>
        <v>3413.5103829410727</v>
      </c>
      <c r="AN107" s="539">
        <f t="shared" si="52"/>
        <v>3368.8149446907446</v>
      </c>
      <c r="AO107" s="539">
        <f t="shared" si="52"/>
        <v>3317.8291025066792</v>
      </c>
      <c r="AP107" s="539">
        <f t="shared" si="52"/>
        <v>3438.4566627931977</v>
      </c>
      <c r="AQ107" s="539">
        <f t="shared" si="52"/>
        <v>3538.7454210592987</v>
      </c>
      <c r="AR107" s="539">
        <f t="shared" si="52"/>
        <v>3482.692592271675</v>
      </c>
      <c r="AS107" s="539">
        <f t="shared" si="52"/>
        <v>3452.6458698254974</v>
      </c>
      <c r="AT107" s="539">
        <f t="shared" si="52"/>
        <v>1840.225347833371</v>
      </c>
      <c r="AU107" s="539">
        <f t="shared" si="52"/>
        <v>1907.064048963113</v>
      </c>
      <c r="AV107" s="539">
        <f t="shared" si="52"/>
        <v>1879.8635093641863</v>
      </c>
      <c r="AW107" s="539">
        <f t="shared" si="52"/>
        <v>1823.2308510204605</v>
      </c>
      <c r="AX107" s="539">
        <f t="shared" si="52"/>
        <v>3689.9207029973613</v>
      </c>
      <c r="AY107" s="539">
        <f t="shared" si="52"/>
        <v>3795.4891066389291</v>
      </c>
      <c r="AZ107" s="539">
        <f t="shared" si="52"/>
        <v>3810.2717218736234</v>
      </c>
      <c r="BA107" s="539">
        <f t="shared" si="52"/>
        <v>3761.7553340142267</v>
      </c>
      <c r="BB107" s="539">
        <f t="shared" si="52"/>
        <v>3775.7398776167847</v>
      </c>
      <c r="BC107" s="539">
        <f t="shared" si="52"/>
        <v>3870.9553004708091</v>
      </c>
      <c r="BD107" s="539">
        <f t="shared" si="52"/>
        <v>3819.5887386810437</v>
      </c>
      <c r="BE107" s="539">
        <f t="shared" si="52"/>
        <v>3757.5449019740718</v>
      </c>
      <c r="BF107" s="539">
        <f t="shared" si="52"/>
        <v>3865.5485651833455</v>
      </c>
      <c r="BG107" s="539">
        <f t="shared" si="52"/>
        <v>3963.7340210591155</v>
      </c>
      <c r="BH107" s="539">
        <f t="shared" si="52"/>
        <v>3901.9818208723086</v>
      </c>
      <c r="BI107" s="539">
        <f t="shared" si="52"/>
        <v>3863.3396261250573</v>
      </c>
      <c r="BJ107" s="539">
        <f t="shared" si="52"/>
        <v>3981.7948466400562</v>
      </c>
      <c r="BK107" s="539">
        <f t="shared" si="52"/>
        <v>4041.5037487339391</v>
      </c>
      <c r="BL107" s="539">
        <f t="shared" si="52"/>
        <v>4013.5705589641948</v>
      </c>
      <c r="BM107" s="539">
        <f t="shared" si="52"/>
        <v>3952.9034566736409</v>
      </c>
      <c r="BN107" s="539">
        <f t="shared" si="52"/>
        <v>2097.5193655527028</v>
      </c>
      <c r="BO107" s="539">
        <f t="shared" si="52"/>
        <v>2200.864273878366</v>
      </c>
      <c r="BP107" s="539">
        <f t="shared" si="52"/>
        <v>2098.1063109146212</v>
      </c>
      <c r="BQ107" s="539">
        <f t="shared" si="52"/>
        <v>2037.8164184080592</v>
      </c>
      <c r="BR107" s="539">
        <f t="shared" si="52"/>
        <v>4224.1553525130121</v>
      </c>
      <c r="BS107" s="539">
        <f t="shared" si="52"/>
        <v>4329.7689293072381</v>
      </c>
      <c r="BT107" s="539">
        <f t="shared" si="52"/>
        <v>4419.8055567868232</v>
      </c>
      <c r="BU107" s="539">
        <f t="shared" si="52"/>
        <v>4770.8603254831687</v>
      </c>
      <c r="BV107" s="539">
        <f t="shared" si="52"/>
        <v>4626.1012277867885</v>
      </c>
      <c r="BW107" s="539">
        <f t="shared" si="52"/>
        <v>3945.1397120020174</v>
      </c>
      <c r="BX107" s="539">
        <f t="shared" si="52"/>
        <v>3887.6124417460055</v>
      </c>
      <c r="BY107" s="539">
        <f t="shared" si="52"/>
        <v>3843.3319181364645</v>
      </c>
      <c r="BZ107" s="539">
        <f t="shared" si="52"/>
        <v>3978.3991178064584</v>
      </c>
      <c r="CA107" s="539">
        <f t="shared" si="52"/>
        <v>4211.4281415911701</v>
      </c>
      <c r="CB107" s="539">
        <f t="shared" si="52"/>
        <v>4139.4003880005166</v>
      </c>
      <c r="CC107" s="539">
        <f t="shared" si="52"/>
        <v>3736.011479524982</v>
      </c>
      <c r="CD107" s="539">
        <f t="shared" si="52"/>
        <v>4321.3134548763692</v>
      </c>
      <c r="CE107" s="539">
        <f t="shared" si="52"/>
        <v>4413.9780591819081</v>
      </c>
      <c r="CF107" s="539">
        <f t="shared" si="52"/>
        <v>4368.5578436146661</v>
      </c>
      <c r="CG107" s="539">
        <f t="shared" si="52"/>
        <v>4283.5118246307165</v>
      </c>
      <c r="CH107" s="539">
        <f t="shared" si="52"/>
        <v>2110.5359724491877</v>
      </c>
      <c r="CI107" s="539">
        <f t="shared" si="52"/>
        <v>2204.6023940287428</v>
      </c>
      <c r="CJ107" s="539">
        <f t="shared" si="52"/>
        <v>1870.785150550882</v>
      </c>
      <c r="CK107" s="539">
        <f t="shared" si="52"/>
        <v>1786.9171601948424</v>
      </c>
      <c r="CL107" s="539">
        <f t="shared" si="52"/>
        <v>4628.8303227158403</v>
      </c>
      <c r="CM107" s="539">
        <f t="shared" si="52"/>
        <v>4723.5203653725785</v>
      </c>
      <c r="CN107" s="539">
        <f t="shared" si="52"/>
        <v>4948.935086001231</v>
      </c>
      <c r="CO107" s="539">
        <f t="shared" si="52"/>
        <v>4889.99295027068</v>
      </c>
      <c r="CP107" s="539">
        <f t="shared" si="52"/>
        <v>4408.4942242291327</v>
      </c>
      <c r="CQ107" s="539">
        <f t="shared" si="52"/>
        <v>4454.0921236772019</v>
      </c>
      <c r="CR107" s="539">
        <f t="shared" si="52"/>
        <v>4428.3806644411152</v>
      </c>
      <c r="CS107" s="539">
        <f t="shared" si="52"/>
        <v>4344.7192119229667</v>
      </c>
      <c r="CT107" s="539">
        <f t="shared" si="52"/>
        <v>4410.7908852154824</v>
      </c>
      <c r="CU107" s="539">
        <f t="shared" si="52"/>
        <v>4507.2180043044709</v>
      </c>
      <c r="CV107" s="539">
        <f t="shared" si="52"/>
        <v>4455.6468509356973</v>
      </c>
      <c r="CW107" s="539">
        <f t="shared" si="52"/>
        <v>4372.1040514103006</v>
      </c>
      <c r="CX107" s="539">
        <f t="shared" si="52"/>
        <v>4442.1439989063965</v>
      </c>
      <c r="CY107" s="539">
        <f t="shared" si="52"/>
        <v>4538.8867633803111</v>
      </c>
      <c r="CZ107" s="539">
        <f t="shared" si="52"/>
        <v>9289.0498453167747</v>
      </c>
      <c r="DA107" s="539">
        <f t="shared" si="52"/>
        <v>9243.2109589193478</v>
      </c>
      <c r="DB107" s="539">
        <f t="shared" si="52"/>
        <v>6730.8032201585938</v>
      </c>
      <c r="DC107" s="539">
        <f t="shared" si="52"/>
        <v>6819.6943690281241</v>
      </c>
      <c r="DD107" s="539">
        <f t="shared" si="52"/>
        <v>6814.0398522326241</v>
      </c>
      <c r="DE107" s="539">
        <f t="shared" si="52"/>
        <v>6785.1271000854231</v>
      </c>
      <c r="DF107" s="539">
        <f t="shared" si="52"/>
        <v>10042.297500103878</v>
      </c>
      <c r="DG107" s="539">
        <f t="shared" si="52"/>
        <v>10083.037086594606</v>
      </c>
      <c r="DH107" s="539">
        <f t="shared" si="52"/>
        <v>10103.030440845592</v>
      </c>
      <c r="DI107" s="539">
        <f t="shared" si="52"/>
        <v>10074.710093976457</v>
      </c>
      <c r="DJ107" s="539">
        <f t="shared" si="52"/>
        <v>9531.0000277068248</v>
      </c>
      <c r="DK107" s="539">
        <f t="shared" si="52"/>
        <v>9622.5760692221538</v>
      </c>
      <c r="DL107" s="539">
        <f t="shared" si="52"/>
        <v>9618.4891847043327</v>
      </c>
      <c r="DM107" s="539">
        <f t="shared" si="52"/>
        <v>9590.6249782264968</v>
      </c>
      <c r="DN107" s="539">
        <f t="shared" si="52"/>
        <v>9679.6513243283043</v>
      </c>
      <c r="DO107" s="539">
        <f t="shared" si="52"/>
        <v>9772.3259446832872</v>
      </c>
      <c r="DP107" s="539">
        <f t="shared" si="52"/>
        <v>9768.8299907587207</v>
      </c>
      <c r="DQ107" s="539">
        <f t="shared" si="52"/>
        <v>9741.3091688148925</v>
      </c>
      <c r="DR107" s="539">
        <f t="shared" si="52"/>
        <v>9833.1752700445759</v>
      </c>
      <c r="DS107" s="539">
        <f t="shared" si="52"/>
        <v>9926.8134161951511</v>
      </c>
      <c r="DT107" s="539">
        <f t="shared" si="52"/>
        <v>9923.8082057289866</v>
      </c>
      <c r="DU107" s="539">
        <f t="shared" si="52"/>
        <v>9896.5376166003607</v>
      </c>
      <c r="DV107" s="539">
        <f t="shared" si="52"/>
        <v>10016.918852742816</v>
      </c>
      <c r="DW107" s="539">
        <f t="shared" si="52"/>
        <v>10059.983606963106</v>
      </c>
      <c r="DX107" s="539">
        <f t="shared" si="52"/>
        <v>10083.094712487115</v>
      </c>
      <c r="DY107" s="539">
        <f t="shared" si="52"/>
        <v>8058.7377291418616</v>
      </c>
      <c r="DZ107" s="539">
        <f t="shared" si="52"/>
        <v>7998.4180876236478</v>
      </c>
      <c r="EA107" s="539">
        <f t="shared" si="52"/>
        <v>7998.4180876236478</v>
      </c>
      <c r="EB107" s="539">
        <f t="shared" si="52"/>
        <v>7998.4180876236487</v>
      </c>
      <c r="EC107" s="539">
        <f t="shared" si="52"/>
        <v>19599.446855546739</v>
      </c>
      <c r="ED107" s="539">
        <f t="shared" si="52"/>
        <v>2308.4176722000593</v>
      </c>
      <c r="EE107" s="539">
        <f t="shared" si="52"/>
        <v>0</v>
      </c>
      <c r="EF107" s="539">
        <f t="shared" si="52"/>
        <v>0</v>
      </c>
      <c r="EG107" s="539">
        <f t="shared" si="52"/>
        <v>0</v>
      </c>
    </row>
    <row r="110" spans="1:1" ht="12.75">
      <c r="A110" s="534" t="s">
        <v>487</v>
      </c>
    </row>
    <row r="112" spans="2:2" ht="12.75">
      <c r="B112" s="534" t="s">
        <v>488</v>
      </c>
    </row>
    <row r="113" spans="5:7" ht="12.75">
      <c r="E113" s="535" t="str">
        <f>InpC!E$128</f>
        <v>Check tolerance</v>
      </c>
      <c r="F113" s="537">
        <f>InpC!F$128</f>
        <v>0.001</v>
      </c>
      <c r="G113" s="537" t="str">
        <f>InpC!G$128</f>
        <v>EUR 000s</v>
      </c>
    </row>
    <row r="114" spans="5:137" ht="12.75">
      <c r="E114" s="535" t="str">
        <f>Time!E$50</f>
        <v>Model period ending</v>
      </c>
      <c r="G114" s="536" t="str">
        <f>Time!G$50</f>
        <v>date</v>
      </c>
      <c r="J114" s="536">
        <f>Time!J$50</f>
        <v>46418</v>
      </c>
      <c r="K114" s="536">
        <f>Time!K$50</f>
        <v>46446</v>
      </c>
      <c r="L114" s="536">
        <f>Time!L$50</f>
        <v>46477</v>
      </c>
      <c r="M114" s="536">
        <f>Time!M$50</f>
        <v>46507</v>
      </c>
      <c r="N114" s="536">
        <f>Time!N$50</f>
        <v>46538</v>
      </c>
      <c r="O114" s="536">
        <f>Time!O$50</f>
        <v>46568</v>
      </c>
      <c r="P114" s="536">
        <f>Time!P$50</f>
        <v>46599</v>
      </c>
      <c r="Q114" s="536">
        <f>Time!Q$50</f>
        <v>46630</v>
      </c>
      <c r="R114" s="536">
        <f>Time!R$50</f>
        <v>46660</v>
      </c>
      <c r="S114" s="536">
        <f>Time!S$50</f>
        <v>46691</v>
      </c>
      <c r="T114" s="536">
        <f>Time!T$50</f>
        <v>46721</v>
      </c>
      <c r="U114" s="536">
        <f>Time!U$50</f>
        <v>46752</v>
      </c>
      <c r="V114" s="536">
        <f>Time!V$50</f>
        <v>46783</v>
      </c>
      <c r="W114" s="536">
        <f>Time!W$50</f>
        <v>46812</v>
      </c>
      <c r="X114" s="536">
        <f>Time!X$50</f>
        <v>46843</v>
      </c>
      <c r="Y114" s="536">
        <f>Time!Y$50</f>
        <v>46873</v>
      </c>
      <c r="Z114" s="536">
        <f>Time!Z$50</f>
        <v>46904</v>
      </c>
      <c r="AA114" s="536">
        <f>Time!AA$50</f>
        <v>46934</v>
      </c>
      <c r="AB114" s="536">
        <f>Time!AB$50</f>
        <v>46965</v>
      </c>
      <c r="AC114" s="536">
        <f>Time!AC$50</f>
        <v>46996</v>
      </c>
      <c r="AD114" s="536">
        <f>Time!AD$50</f>
        <v>47026</v>
      </c>
      <c r="AE114" s="536">
        <f>Time!AE$50</f>
        <v>47057</v>
      </c>
      <c r="AF114" s="536">
        <f>Time!AF$50</f>
        <v>47087</v>
      </c>
      <c r="AG114" s="536">
        <f>Time!AG$50</f>
        <v>47118</v>
      </c>
      <c r="AH114" s="536">
        <f>Time!AH$50</f>
        <v>47208</v>
      </c>
      <c r="AI114" s="536">
        <f>Time!AI$50</f>
        <v>47299</v>
      </c>
      <c r="AJ114" s="536">
        <f>Time!AJ$50</f>
        <v>47391</v>
      </c>
      <c r="AK114" s="536">
        <f>Time!AK$50</f>
        <v>47483</v>
      </c>
      <c r="AL114" s="536">
        <f>Time!AL$50</f>
        <v>47573</v>
      </c>
      <c r="AM114" s="536">
        <f>Time!AM$50</f>
        <v>47664</v>
      </c>
      <c r="AN114" s="536">
        <f>Time!AN$50</f>
        <v>47756</v>
      </c>
      <c r="AO114" s="536">
        <f>Time!AO$50</f>
        <v>47848</v>
      </c>
      <c r="AP114" s="536">
        <f>Time!AP$50</f>
        <v>47938</v>
      </c>
      <c r="AQ114" s="536">
        <f>Time!AQ$50</f>
        <v>48029</v>
      </c>
      <c r="AR114" s="536">
        <f>Time!AR$50</f>
        <v>48121</v>
      </c>
      <c r="AS114" s="536">
        <f>Time!AS$50</f>
        <v>48213</v>
      </c>
      <c r="AT114" s="536">
        <f>Time!AT$50</f>
        <v>48304</v>
      </c>
      <c r="AU114" s="536">
        <f>Time!AU$50</f>
        <v>48395</v>
      </c>
      <c r="AV114" s="536">
        <f>Time!AV$50</f>
        <v>48487</v>
      </c>
      <c r="AW114" s="536">
        <f>Time!AW$50</f>
        <v>48579</v>
      </c>
      <c r="AX114" s="536">
        <f>Time!AX$50</f>
        <v>48669</v>
      </c>
      <c r="AY114" s="536">
        <f>Time!AY$50</f>
        <v>48760</v>
      </c>
      <c r="AZ114" s="536">
        <f>Time!AZ$50</f>
        <v>48852</v>
      </c>
      <c r="BA114" s="536">
        <f>Time!BA$50</f>
        <v>48944</v>
      </c>
      <c r="BB114" s="536">
        <f>Time!BB$50</f>
        <v>49034</v>
      </c>
      <c r="BC114" s="536">
        <f>Time!BC$50</f>
        <v>49125</v>
      </c>
      <c r="BD114" s="536">
        <f>Time!BD$50</f>
        <v>49217</v>
      </c>
      <c r="BE114" s="536">
        <f>Time!BE$50</f>
        <v>49309</v>
      </c>
      <c r="BF114" s="536">
        <f>Time!BF$50</f>
        <v>49399</v>
      </c>
      <c r="BG114" s="536">
        <f>Time!BG$50</f>
        <v>49490</v>
      </c>
      <c r="BH114" s="536">
        <f>Time!BH$50</f>
        <v>49582</v>
      </c>
      <c r="BI114" s="536">
        <f>Time!BI$50</f>
        <v>49674</v>
      </c>
      <c r="BJ114" s="536">
        <f>Time!BJ$50</f>
        <v>49765</v>
      </c>
      <c r="BK114" s="536">
        <f>Time!BK$50</f>
        <v>49856</v>
      </c>
      <c r="BL114" s="536">
        <f>Time!BL$50</f>
        <v>49948</v>
      </c>
      <c r="BM114" s="536">
        <f>Time!BM$50</f>
        <v>50040</v>
      </c>
      <c r="BN114" s="536">
        <f>Time!BN$50</f>
        <v>50130</v>
      </c>
      <c r="BO114" s="536">
        <f>Time!BO$50</f>
        <v>50221</v>
      </c>
      <c r="BP114" s="536">
        <f>Time!BP$50</f>
        <v>50313</v>
      </c>
      <c r="BQ114" s="536">
        <f>Time!BQ$50</f>
        <v>50405</v>
      </c>
      <c r="BR114" s="536">
        <f>Time!BR$50</f>
        <v>50495</v>
      </c>
      <c r="BS114" s="536">
        <f>Time!BS$50</f>
        <v>50586</v>
      </c>
      <c r="BT114" s="536">
        <f>Time!BT$50</f>
        <v>50678</v>
      </c>
      <c r="BU114" s="536">
        <f>Time!BU$50</f>
        <v>50770</v>
      </c>
      <c r="BV114" s="536">
        <f>Time!BV$50</f>
        <v>50860</v>
      </c>
      <c r="BW114" s="536">
        <f>Time!BW$50</f>
        <v>50951</v>
      </c>
      <c r="BX114" s="536">
        <f>Time!BX$50</f>
        <v>51043</v>
      </c>
      <c r="BY114" s="536">
        <f>Time!BY$50</f>
        <v>51135</v>
      </c>
      <c r="BZ114" s="536">
        <f>Time!BZ$50</f>
        <v>51226</v>
      </c>
      <c r="CA114" s="536">
        <f>Time!CA$50</f>
        <v>51317</v>
      </c>
      <c r="CB114" s="536">
        <f>Time!CB$50</f>
        <v>51409</v>
      </c>
      <c r="CC114" s="536">
        <f>Time!CC$50</f>
        <v>51501</v>
      </c>
      <c r="CD114" s="536">
        <f>Time!CD$50</f>
        <v>51591</v>
      </c>
      <c r="CE114" s="536">
        <f>Time!CE$50</f>
        <v>51682</v>
      </c>
      <c r="CF114" s="536">
        <f>Time!CF$50</f>
        <v>51774</v>
      </c>
      <c r="CG114" s="536">
        <f>Time!CG$50</f>
        <v>51866</v>
      </c>
      <c r="CH114" s="536">
        <f>Time!CH$50</f>
        <v>51956</v>
      </c>
      <c r="CI114" s="536">
        <f>Time!CI$50</f>
        <v>52047</v>
      </c>
      <c r="CJ114" s="536">
        <f>Time!CJ$50</f>
        <v>52139</v>
      </c>
      <c r="CK114" s="536">
        <f>Time!CK$50</f>
        <v>52231</v>
      </c>
      <c r="CL114" s="536">
        <f>Time!CL$50</f>
        <v>52321</v>
      </c>
      <c r="CM114" s="536">
        <f>Time!CM$50</f>
        <v>52412</v>
      </c>
      <c r="CN114" s="536">
        <f>Time!CN$50</f>
        <v>52504</v>
      </c>
      <c r="CO114" s="536">
        <f>Time!CO$50</f>
        <v>52596</v>
      </c>
      <c r="CP114" s="536">
        <f>Time!CP$50</f>
        <v>52687</v>
      </c>
      <c r="CQ114" s="536">
        <f>Time!CQ$50</f>
        <v>52778</v>
      </c>
      <c r="CR114" s="536">
        <f>Time!CR$50</f>
        <v>52870</v>
      </c>
      <c r="CS114" s="536">
        <f>Time!CS$50</f>
        <v>52962</v>
      </c>
      <c r="CT114" s="536">
        <f>Time!CT$50</f>
        <v>53052</v>
      </c>
      <c r="CU114" s="536">
        <f>Time!CU$50</f>
        <v>53143</v>
      </c>
      <c r="CV114" s="536">
        <f>Time!CV$50</f>
        <v>53235</v>
      </c>
      <c r="CW114" s="536">
        <f>Time!CW$50</f>
        <v>53327</v>
      </c>
      <c r="CX114" s="536">
        <f>Time!CX$50</f>
        <v>53417</v>
      </c>
      <c r="CY114" s="536">
        <f>Time!CY$50</f>
        <v>53508</v>
      </c>
      <c r="CZ114" s="536">
        <f>Time!CZ$50</f>
        <v>53600</v>
      </c>
      <c r="DA114" s="536">
        <f>Time!DA$50</f>
        <v>53692</v>
      </c>
      <c r="DB114" s="536">
        <f>Time!DB$50</f>
        <v>53782</v>
      </c>
      <c r="DC114" s="536">
        <f>Time!DC$50</f>
        <v>53873</v>
      </c>
      <c r="DD114" s="536">
        <f>Time!DD$50</f>
        <v>53965</v>
      </c>
      <c r="DE114" s="536">
        <f>Time!DE$50</f>
        <v>54057</v>
      </c>
      <c r="DF114" s="536">
        <f>Time!DF$50</f>
        <v>54148</v>
      </c>
      <c r="DG114" s="536">
        <f>Time!DG$50</f>
        <v>54239</v>
      </c>
      <c r="DH114" s="536">
        <f>Time!DH$50</f>
        <v>54331</v>
      </c>
      <c r="DI114" s="536">
        <f>Time!DI$50</f>
        <v>54423</v>
      </c>
      <c r="DJ114" s="536">
        <f>Time!DJ$50</f>
        <v>54513</v>
      </c>
      <c r="DK114" s="536">
        <f>Time!DK$50</f>
        <v>54604</v>
      </c>
      <c r="DL114" s="536">
        <f>Time!DL$50</f>
        <v>54696</v>
      </c>
      <c r="DM114" s="536">
        <f>Time!DM$50</f>
        <v>54788</v>
      </c>
      <c r="DN114" s="536">
        <f>Time!DN$50</f>
        <v>54878</v>
      </c>
      <c r="DO114" s="536">
        <f>Time!DO$50</f>
        <v>54969</v>
      </c>
      <c r="DP114" s="536">
        <f>Time!DP$50</f>
        <v>55061</v>
      </c>
      <c r="DQ114" s="536">
        <f>Time!DQ$50</f>
        <v>55153</v>
      </c>
      <c r="DR114" s="536">
        <f>Time!DR$50</f>
        <v>55243</v>
      </c>
      <c r="DS114" s="536">
        <f>Time!DS$50</f>
        <v>55334</v>
      </c>
      <c r="DT114" s="536">
        <f>Time!DT$50</f>
        <v>55426</v>
      </c>
      <c r="DU114" s="536">
        <f>Time!DU$50</f>
        <v>55518</v>
      </c>
      <c r="DV114" s="536">
        <f>Time!DV$50</f>
        <v>55609</v>
      </c>
      <c r="DW114" s="536">
        <f>Time!DW$50</f>
        <v>55700</v>
      </c>
      <c r="DX114" s="536">
        <f>Time!DX$50</f>
        <v>55792</v>
      </c>
      <c r="DY114" s="536">
        <f>Time!DY$50</f>
        <v>55884</v>
      </c>
      <c r="DZ114" s="536">
        <f>Time!DZ$50</f>
        <v>55974</v>
      </c>
      <c r="EA114" s="536">
        <f>Time!EA$50</f>
        <v>56065</v>
      </c>
      <c r="EB114" s="536">
        <f>Time!EB$50</f>
        <v>56157</v>
      </c>
      <c r="EC114" s="536">
        <f>Time!EC$50</f>
        <v>56249</v>
      </c>
      <c r="ED114" s="536">
        <f>Time!ED$50</f>
        <v>56339</v>
      </c>
      <c r="EE114" s="536">
        <f>Time!EE$50</f>
        <v>56430</v>
      </c>
      <c r="EF114" s="536">
        <f>Time!EF$50</f>
        <v>56522</v>
      </c>
      <c r="EG114" s="536">
        <f>Time!EG$50</f>
        <v>56614</v>
      </c>
    </row>
    <row r="115" spans="5:137" ht="12.75">
      <c r="E115" s="538" t="str">
        <f>E$107</f>
        <v>Equity - cash flow (IRR basis)</v>
      </c>
      <c r="G115" s="539" t="str">
        <f>G$107</f>
        <v>EUR 000s</v>
      </c>
      <c r="H115" s="539">
        <f>H$107</f>
        <v>472682.29525850032</v>
      </c>
      <c r="J115" s="539">
        <f t="shared" si="53" ref="J115:EG115">J$107</f>
        <v>-9.9999999999999995E-07</v>
      </c>
      <c r="K115" s="539">
        <f t="shared" si="53"/>
        <v>0</v>
      </c>
      <c r="L115" s="539">
        <f t="shared" si="53"/>
        <v>-11319.299718665801</v>
      </c>
      <c r="M115" s="539">
        <f t="shared" si="53"/>
        <v>-13400.690161983533</v>
      </c>
      <c r="N115" s="539">
        <f t="shared" si="53"/>
        <v>-13741.483730168373</v>
      </c>
      <c r="O115" s="539">
        <f t="shared" si="53"/>
        <v>-13418.385230476684</v>
      </c>
      <c r="P115" s="539">
        <f t="shared" si="53"/>
        <v>-13759.768634277962</v>
      </c>
      <c r="Q115" s="539">
        <f t="shared" si="53"/>
        <v>-3907.6047250439151</v>
      </c>
      <c r="R115" s="539">
        <f t="shared" si="53"/>
        <v>0</v>
      </c>
      <c r="S115" s="539">
        <f t="shared" si="53"/>
        <v>0</v>
      </c>
      <c r="T115" s="539">
        <f t="shared" si="53"/>
        <v>0</v>
      </c>
      <c r="U115" s="539">
        <f t="shared" si="53"/>
        <v>0</v>
      </c>
      <c r="V115" s="539">
        <f t="shared" si="53"/>
        <v>0</v>
      </c>
      <c r="W115" s="539">
        <f t="shared" si="53"/>
        <v>0</v>
      </c>
      <c r="X115" s="539">
        <f t="shared" si="53"/>
        <v>0</v>
      </c>
      <c r="Y115" s="539">
        <f t="shared" si="53"/>
        <v>0</v>
      </c>
      <c r="Z115" s="539">
        <f t="shared" si="53"/>
        <v>0</v>
      </c>
      <c r="AA115" s="539">
        <f t="shared" si="53"/>
        <v>0</v>
      </c>
      <c r="AB115" s="539">
        <f t="shared" si="53"/>
        <v>0</v>
      </c>
      <c r="AC115" s="539">
        <f t="shared" si="53"/>
        <v>0</v>
      </c>
      <c r="AD115" s="539">
        <f t="shared" si="53"/>
        <v>0</v>
      </c>
      <c r="AE115" s="539">
        <f t="shared" si="53"/>
        <v>0</v>
      </c>
      <c r="AF115" s="539">
        <f t="shared" si="53"/>
        <v>0</v>
      </c>
      <c r="AG115" s="539">
        <f t="shared" si="53"/>
        <v>0</v>
      </c>
      <c r="AH115" s="539">
        <f t="shared" si="53"/>
        <v>1383.9233639501999</v>
      </c>
      <c r="AI115" s="539">
        <f t="shared" si="53"/>
        <v>3289.5323362199924</v>
      </c>
      <c r="AJ115" s="539">
        <f t="shared" si="53"/>
        <v>3245.3805232500736</v>
      </c>
      <c r="AK115" s="539">
        <f t="shared" si="53"/>
        <v>3195.0408989934072</v>
      </c>
      <c r="AL115" s="539">
        <f t="shared" si="53"/>
        <v>3314.6555979376371</v>
      </c>
      <c r="AM115" s="539">
        <f t="shared" si="53"/>
        <v>3413.5103829410727</v>
      </c>
      <c r="AN115" s="539">
        <f t="shared" si="53"/>
        <v>3368.8149446907446</v>
      </c>
      <c r="AO115" s="539">
        <f t="shared" si="53"/>
        <v>3317.8291025066792</v>
      </c>
      <c r="AP115" s="539">
        <f t="shared" si="53"/>
        <v>3438.4566627931977</v>
      </c>
      <c r="AQ115" s="539">
        <f t="shared" si="53"/>
        <v>3538.7454210592987</v>
      </c>
      <c r="AR115" s="539">
        <f t="shared" si="53"/>
        <v>3482.692592271675</v>
      </c>
      <c r="AS115" s="539">
        <f t="shared" si="53"/>
        <v>3452.6458698254974</v>
      </c>
      <c r="AT115" s="539">
        <f t="shared" si="53"/>
        <v>1840.225347833371</v>
      </c>
      <c r="AU115" s="539">
        <f t="shared" si="53"/>
        <v>1907.064048963113</v>
      </c>
      <c r="AV115" s="539">
        <f t="shared" si="53"/>
        <v>1879.8635093641863</v>
      </c>
      <c r="AW115" s="539">
        <f t="shared" si="53"/>
        <v>1823.2308510204605</v>
      </c>
      <c r="AX115" s="539">
        <f t="shared" si="53"/>
        <v>3689.9207029973613</v>
      </c>
      <c r="AY115" s="539">
        <f t="shared" si="53"/>
        <v>3795.4891066389291</v>
      </c>
      <c r="AZ115" s="539">
        <f t="shared" si="53"/>
        <v>3810.2717218736234</v>
      </c>
      <c r="BA115" s="539">
        <f t="shared" si="53"/>
        <v>3761.7553340142267</v>
      </c>
      <c r="BB115" s="539">
        <f t="shared" si="53"/>
        <v>3775.7398776167847</v>
      </c>
      <c r="BC115" s="539">
        <f t="shared" si="53"/>
        <v>3870.9553004708091</v>
      </c>
      <c r="BD115" s="539">
        <f t="shared" si="53"/>
        <v>3819.5887386810437</v>
      </c>
      <c r="BE115" s="539">
        <f t="shared" si="53"/>
        <v>3757.5449019740718</v>
      </c>
      <c r="BF115" s="539">
        <f t="shared" si="53"/>
        <v>3865.5485651833455</v>
      </c>
      <c r="BG115" s="539">
        <f t="shared" si="53"/>
        <v>3963.7340210591155</v>
      </c>
      <c r="BH115" s="539">
        <f t="shared" si="53"/>
        <v>3901.9818208723086</v>
      </c>
      <c r="BI115" s="539">
        <f t="shared" si="53"/>
        <v>3863.3396261250573</v>
      </c>
      <c r="BJ115" s="539">
        <f t="shared" si="53"/>
        <v>3981.7948466400562</v>
      </c>
      <c r="BK115" s="539">
        <f t="shared" si="53"/>
        <v>4041.5037487339391</v>
      </c>
      <c r="BL115" s="539">
        <f t="shared" si="53"/>
        <v>4013.5705589641948</v>
      </c>
      <c r="BM115" s="539">
        <f t="shared" si="53"/>
        <v>3952.9034566736409</v>
      </c>
      <c r="BN115" s="539">
        <f t="shared" si="53"/>
        <v>2097.5193655527028</v>
      </c>
      <c r="BO115" s="539">
        <f t="shared" si="53"/>
        <v>2200.864273878366</v>
      </c>
      <c r="BP115" s="539">
        <f t="shared" si="53"/>
        <v>2098.1063109146212</v>
      </c>
      <c r="BQ115" s="539">
        <f t="shared" si="53"/>
        <v>2037.8164184080592</v>
      </c>
      <c r="BR115" s="539">
        <f t="shared" si="53"/>
        <v>4224.1553525130121</v>
      </c>
      <c r="BS115" s="539">
        <f t="shared" si="53"/>
        <v>4329.7689293072381</v>
      </c>
      <c r="BT115" s="539">
        <f t="shared" si="53"/>
        <v>4419.8055567868232</v>
      </c>
      <c r="BU115" s="539">
        <f t="shared" si="53"/>
        <v>4770.8603254831687</v>
      </c>
      <c r="BV115" s="539">
        <f t="shared" si="53"/>
        <v>4626.1012277867885</v>
      </c>
      <c r="BW115" s="539">
        <f t="shared" si="53"/>
        <v>3945.1397120020174</v>
      </c>
      <c r="BX115" s="539">
        <f t="shared" si="53"/>
        <v>3887.6124417460055</v>
      </c>
      <c r="BY115" s="539">
        <f t="shared" si="53"/>
        <v>3843.3319181364645</v>
      </c>
      <c r="BZ115" s="539">
        <f t="shared" si="53"/>
        <v>3978.3991178064584</v>
      </c>
      <c r="CA115" s="539">
        <f t="shared" si="53"/>
        <v>4211.4281415911701</v>
      </c>
      <c r="CB115" s="539">
        <f t="shared" si="53"/>
        <v>4139.4003880005166</v>
      </c>
      <c r="CC115" s="539">
        <f t="shared" si="53"/>
        <v>3736.011479524982</v>
      </c>
      <c r="CD115" s="539">
        <f t="shared" si="53"/>
        <v>4321.3134548763692</v>
      </c>
      <c r="CE115" s="539">
        <f t="shared" si="53"/>
        <v>4413.9780591819081</v>
      </c>
      <c r="CF115" s="539">
        <f t="shared" si="53"/>
        <v>4368.5578436146661</v>
      </c>
      <c r="CG115" s="539">
        <f t="shared" si="53"/>
        <v>4283.5118246307165</v>
      </c>
      <c r="CH115" s="539">
        <f t="shared" si="53"/>
        <v>2110.5359724491877</v>
      </c>
      <c r="CI115" s="539">
        <f t="shared" si="53"/>
        <v>2204.6023940287428</v>
      </c>
      <c r="CJ115" s="539">
        <f t="shared" si="53"/>
        <v>1870.785150550882</v>
      </c>
      <c r="CK115" s="539">
        <f t="shared" si="53"/>
        <v>1786.9171601948424</v>
      </c>
      <c r="CL115" s="539">
        <f t="shared" si="53"/>
        <v>4628.8303227158403</v>
      </c>
      <c r="CM115" s="539">
        <f t="shared" si="53"/>
        <v>4723.5203653725785</v>
      </c>
      <c r="CN115" s="539">
        <f t="shared" si="53"/>
        <v>4948.935086001231</v>
      </c>
      <c r="CO115" s="539">
        <f t="shared" si="53"/>
        <v>4889.99295027068</v>
      </c>
      <c r="CP115" s="539">
        <f t="shared" si="53"/>
        <v>4408.4942242291327</v>
      </c>
      <c r="CQ115" s="539">
        <f t="shared" si="53"/>
        <v>4454.0921236772019</v>
      </c>
      <c r="CR115" s="539">
        <f t="shared" si="53"/>
        <v>4428.3806644411152</v>
      </c>
      <c r="CS115" s="539">
        <f t="shared" si="53"/>
        <v>4344.7192119229667</v>
      </c>
      <c r="CT115" s="539">
        <f t="shared" si="53"/>
        <v>4410.7908852154824</v>
      </c>
      <c r="CU115" s="539">
        <f t="shared" si="53"/>
        <v>4507.2180043044709</v>
      </c>
      <c r="CV115" s="539">
        <f t="shared" si="53"/>
        <v>4455.6468509356973</v>
      </c>
      <c r="CW115" s="539">
        <f t="shared" si="53"/>
        <v>4372.1040514103006</v>
      </c>
      <c r="CX115" s="539">
        <f t="shared" si="53"/>
        <v>4442.1439989063965</v>
      </c>
      <c r="CY115" s="539">
        <f t="shared" si="53"/>
        <v>4538.8867633803111</v>
      </c>
      <c r="CZ115" s="539">
        <f t="shared" si="53"/>
        <v>9289.0498453167747</v>
      </c>
      <c r="DA115" s="539">
        <f t="shared" si="53"/>
        <v>9243.2109589193478</v>
      </c>
      <c r="DB115" s="539">
        <f t="shared" si="53"/>
        <v>6730.8032201585938</v>
      </c>
      <c r="DC115" s="539">
        <f t="shared" si="53"/>
        <v>6819.6943690281241</v>
      </c>
      <c r="DD115" s="539">
        <f t="shared" si="53"/>
        <v>6814.0398522326241</v>
      </c>
      <c r="DE115" s="539">
        <f t="shared" si="53"/>
        <v>6785.1271000854231</v>
      </c>
      <c r="DF115" s="539">
        <f t="shared" si="53"/>
        <v>10042.297500103878</v>
      </c>
      <c r="DG115" s="539">
        <f t="shared" si="53"/>
        <v>10083.037086594606</v>
      </c>
      <c r="DH115" s="539">
        <f t="shared" si="53"/>
        <v>10103.030440845592</v>
      </c>
      <c r="DI115" s="539">
        <f t="shared" si="53"/>
        <v>10074.710093976457</v>
      </c>
      <c r="DJ115" s="539">
        <f t="shared" si="53"/>
        <v>9531.0000277068248</v>
      </c>
      <c r="DK115" s="539">
        <f t="shared" si="53"/>
        <v>9622.5760692221538</v>
      </c>
      <c r="DL115" s="539">
        <f t="shared" si="53"/>
        <v>9618.4891847043327</v>
      </c>
      <c r="DM115" s="539">
        <f t="shared" si="53"/>
        <v>9590.6249782264968</v>
      </c>
      <c r="DN115" s="539">
        <f t="shared" si="53"/>
        <v>9679.6513243283043</v>
      </c>
      <c r="DO115" s="539">
        <f t="shared" si="53"/>
        <v>9772.3259446832872</v>
      </c>
      <c r="DP115" s="539">
        <f t="shared" si="53"/>
        <v>9768.8299907587207</v>
      </c>
      <c r="DQ115" s="539">
        <f t="shared" si="53"/>
        <v>9741.3091688148925</v>
      </c>
      <c r="DR115" s="539">
        <f t="shared" si="53"/>
        <v>9833.1752700445759</v>
      </c>
      <c r="DS115" s="539">
        <f t="shared" si="53"/>
        <v>9926.8134161951511</v>
      </c>
      <c r="DT115" s="539">
        <f t="shared" si="53"/>
        <v>9923.8082057289866</v>
      </c>
      <c r="DU115" s="539">
        <f t="shared" si="53"/>
        <v>9896.5376166003607</v>
      </c>
      <c r="DV115" s="539">
        <f t="shared" si="53"/>
        <v>10016.918852742816</v>
      </c>
      <c r="DW115" s="539">
        <f t="shared" si="53"/>
        <v>10059.983606963106</v>
      </c>
      <c r="DX115" s="539">
        <f t="shared" si="53"/>
        <v>10083.094712487115</v>
      </c>
      <c r="DY115" s="539">
        <f t="shared" si="53"/>
        <v>8058.7377291418616</v>
      </c>
      <c r="DZ115" s="539">
        <f t="shared" si="53"/>
        <v>7998.4180876236478</v>
      </c>
      <c r="EA115" s="539">
        <f t="shared" si="53"/>
        <v>7998.4180876236478</v>
      </c>
      <c r="EB115" s="539">
        <f t="shared" si="53"/>
        <v>7998.4180876236487</v>
      </c>
      <c r="EC115" s="539">
        <f t="shared" si="53"/>
        <v>19599.446855546739</v>
      </c>
      <c r="ED115" s="539">
        <f t="shared" si="53"/>
        <v>2308.4176722000593</v>
      </c>
      <c r="EE115" s="539">
        <f t="shared" si="53"/>
        <v>0</v>
      </c>
      <c r="EF115" s="539">
        <f t="shared" si="53"/>
        <v>0</v>
      </c>
      <c r="EG115" s="539">
        <f t="shared" si="53"/>
        <v>0</v>
      </c>
    </row>
    <row r="116" spans="5:7" ht="12.75">
      <c r="E116" s="538" t="s">
        <v>489</v>
      </c>
      <c r="F116" s="550">
        <f>IF(AND(MIN($J115:$EG115)&lt;-$F113,MAX($J115:$EG115)&gt;$F113),XIRR($J115:$EG115,$J114:$EG114),0)</f>
        <v>0.16924052896369124</v>
      </c>
      <c r="G116" s="550" t="s">
        <v>35</v>
      </c>
    </row>
    <row r="118" spans="5:7" ht="12.75">
      <c r="E118" s="535" t="str">
        <f>InpC!E$112</f>
        <v>Equity - NPV discount rate</v>
      </c>
      <c r="F118" s="542">
        <f>InpC!F$112</f>
        <v>0.080000000000000002</v>
      </c>
      <c r="G118" s="542" t="str">
        <f>InpC!G$112</f>
        <v>% p.a.</v>
      </c>
    </row>
    <row r="119" spans="5:137" ht="12.75">
      <c r="E119" s="535" t="str">
        <f>Time!E$50</f>
        <v>Model period ending</v>
      </c>
      <c r="G119" s="536" t="str">
        <f>Time!G$50</f>
        <v>date</v>
      </c>
      <c r="J119" s="536">
        <f>Time!J$50</f>
        <v>46418</v>
      </c>
      <c r="K119" s="536">
        <f>Time!K$50</f>
        <v>46446</v>
      </c>
      <c r="L119" s="536">
        <f>Time!L$50</f>
        <v>46477</v>
      </c>
      <c r="M119" s="536">
        <f>Time!M$50</f>
        <v>46507</v>
      </c>
      <c r="N119" s="536">
        <f>Time!N$50</f>
        <v>46538</v>
      </c>
      <c r="O119" s="536">
        <f>Time!O$50</f>
        <v>46568</v>
      </c>
      <c r="P119" s="536">
        <f>Time!P$50</f>
        <v>46599</v>
      </c>
      <c r="Q119" s="536">
        <f>Time!Q$50</f>
        <v>46630</v>
      </c>
      <c r="R119" s="536">
        <f>Time!R$50</f>
        <v>46660</v>
      </c>
      <c r="S119" s="536">
        <f>Time!S$50</f>
        <v>46691</v>
      </c>
      <c r="T119" s="536">
        <f>Time!T$50</f>
        <v>46721</v>
      </c>
      <c r="U119" s="536">
        <f>Time!U$50</f>
        <v>46752</v>
      </c>
      <c r="V119" s="536">
        <f>Time!V$50</f>
        <v>46783</v>
      </c>
      <c r="W119" s="536">
        <f>Time!W$50</f>
        <v>46812</v>
      </c>
      <c r="X119" s="536">
        <f>Time!X$50</f>
        <v>46843</v>
      </c>
      <c r="Y119" s="536">
        <f>Time!Y$50</f>
        <v>46873</v>
      </c>
      <c r="Z119" s="536">
        <f>Time!Z$50</f>
        <v>46904</v>
      </c>
      <c r="AA119" s="536">
        <f>Time!AA$50</f>
        <v>46934</v>
      </c>
      <c r="AB119" s="536">
        <f>Time!AB$50</f>
        <v>46965</v>
      </c>
      <c r="AC119" s="536">
        <f>Time!AC$50</f>
        <v>46996</v>
      </c>
      <c r="AD119" s="536">
        <f>Time!AD$50</f>
        <v>47026</v>
      </c>
      <c r="AE119" s="536">
        <f>Time!AE$50</f>
        <v>47057</v>
      </c>
      <c r="AF119" s="536">
        <f>Time!AF$50</f>
        <v>47087</v>
      </c>
      <c r="AG119" s="536">
        <f>Time!AG$50</f>
        <v>47118</v>
      </c>
      <c r="AH119" s="536">
        <f>Time!AH$50</f>
        <v>47208</v>
      </c>
      <c r="AI119" s="536">
        <f>Time!AI$50</f>
        <v>47299</v>
      </c>
      <c r="AJ119" s="536">
        <f>Time!AJ$50</f>
        <v>47391</v>
      </c>
      <c r="AK119" s="536">
        <f>Time!AK$50</f>
        <v>47483</v>
      </c>
      <c r="AL119" s="536">
        <f>Time!AL$50</f>
        <v>47573</v>
      </c>
      <c r="AM119" s="536">
        <f>Time!AM$50</f>
        <v>47664</v>
      </c>
      <c r="AN119" s="536">
        <f>Time!AN$50</f>
        <v>47756</v>
      </c>
      <c r="AO119" s="536">
        <f>Time!AO$50</f>
        <v>47848</v>
      </c>
      <c r="AP119" s="536">
        <f>Time!AP$50</f>
        <v>47938</v>
      </c>
      <c r="AQ119" s="536">
        <f>Time!AQ$50</f>
        <v>48029</v>
      </c>
      <c r="AR119" s="536">
        <f>Time!AR$50</f>
        <v>48121</v>
      </c>
      <c r="AS119" s="536">
        <f>Time!AS$50</f>
        <v>48213</v>
      </c>
      <c r="AT119" s="536">
        <f>Time!AT$50</f>
        <v>48304</v>
      </c>
      <c r="AU119" s="536">
        <f>Time!AU$50</f>
        <v>48395</v>
      </c>
      <c r="AV119" s="536">
        <f>Time!AV$50</f>
        <v>48487</v>
      </c>
      <c r="AW119" s="536">
        <f>Time!AW$50</f>
        <v>48579</v>
      </c>
      <c r="AX119" s="536">
        <f>Time!AX$50</f>
        <v>48669</v>
      </c>
      <c r="AY119" s="536">
        <f>Time!AY$50</f>
        <v>48760</v>
      </c>
      <c r="AZ119" s="536">
        <f>Time!AZ$50</f>
        <v>48852</v>
      </c>
      <c r="BA119" s="536">
        <f>Time!BA$50</f>
        <v>48944</v>
      </c>
      <c r="BB119" s="536">
        <f>Time!BB$50</f>
        <v>49034</v>
      </c>
      <c r="BC119" s="536">
        <f>Time!BC$50</f>
        <v>49125</v>
      </c>
      <c r="BD119" s="536">
        <f>Time!BD$50</f>
        <v>49217</v>
      </c>
      <c r="BE119" s="536">
        <f>Time!BE$50</f>
        <v>49309</v>
      </c>
      <c r="BF119" s="536">
        <f>Time!BF$50</f>
        <v>49399</v>
      </c>
      <c r="BG119" s="536">
        <f>Time!BG$50</f>
        <v>49490</v>
      </c>
      <c r="BH119" s="536">
        <f>Time!BH$50</f>
        <v>49582</v>
      </c>
      <c r="BI119" s="536">
        <f>Time!BI$50</f>
        <v>49674</v>
      </c>
      <c r="BJ119" s="536">
        <f>Time!BJ$50</f>
        <v>49765</v>
      </c>
      <c r="BK119" s="536">
        <f>Time!BK$50</f>
        <v>49856</v>
      </c>
      <c r="BL119" s="536">
        <f>Time!BL$50</f>
        <v>49948</v>
      </c>
      <c r="BM119" s="536">
        <f>Time!BM$50</f>
        <v>50040</v>
      </c>
      <c r="BN119" s="536">
        <f>Time!BN$50</f>
        <v>50130</v>
      </c>
      <c r="BO119" s="536">
        <f>Time!BO$50</f>
        <v>50221</v>
      </c>
      <c r="BP119" s="536">
        <f>Time!BP$50</f>
        <v>50313</v>
      </c>
      <c r="BQ119" s="536">
        <f>Time!BQ$50</f>
        <v>50405</v>
      </c>
      <c r="BR119" s="536">
        <f>Time!BR$50</f>
        <v>50495</v>
      </c>
      <c r="BS119" s="536">
        <f>Time!BS$50</f>
        <v>50586</v>
      </c>
      <c r="BT119" s="536">
        <f>Time!BT$50</f>
        <v>50678</v>
      </c>
      <c r="BU119" s="536">
        <f>Time!BU$50</f>
        <v>50770</v>
      </c>
      <c r="BV119" s="536">
        <f>Time!BV$50</f>
        <v>50860</v>
      </c>
      <c r="BW119" s="536">
        <f>Time!BW$50</f>
        <v>50951</v>
      </c>
      <c r="BX119" s="536">
        <f>Time!BX$50</f>
        <v>51043</v>
      </c>
      <c r="BY119" s="536">
        <f>Time!BY$50</f>
        <v>51135</v>
      </c>
      <c r="BZ119" s="536">
        <f>Time!BZ$50</f>
        <v>51226</v>
      </c>
      <c r="CA119" s="536">
        <f>Time!CA$50</f>
        <v>51317</v>
      </c>
      <c r="CB119" s="536">
        <f>Time!CB$50</f>
        <v>51409</v>
      </c>
      <c r="CC119" s="536">
        <f>Time!CC$50</f>
        <v>51501</v>
      </c>
      <c r="CD119" s="536">
        <f>Time!CD$50</f>
        <v>51591</v>
      </c>
      <c r="CE119" s="536">
        <f>Time!CE$50</f>
        <v>51682</v>
      </c>
      <c r="CF119" s="536">
        <f>Time!CF$50</f>
        <v>51774</v>
      </c>
      <c r="CG119" s="536">
        <f>Time!CG$50</f>
        <v>51866</v>
      </c>
      <c r="CH119" s="536">
        <f>Time!CH$50</f>
        <v>51956</v>
      </c>
      <c r="CI119" s="536">
        <f>Time!CI$50</f>
        <v>52047</v>
      </c>
      <c r="CJ119" s="536">
        <f>Time!CJ$50</f>
        <v>52139</v>
      </c>
      <c r="CK119" s="536">
        <f>Time!CK$50</f>
        <v>52231</v>
      </c>
      <c r="CL119" s="536">
        <f>Time!CL$50</f>
        <v>52321</v>
      </c>
      <c r="CM119" s="536">
        <f>Time!CM$50</f>
        <v>52412</v>
      </c>
      <c r="CN119" s="536">
        <f>Time!CN$50</f>
        <v>52504</v>
      </c>
      <c r="CO119" s="536">
        <f>Time!CO$50</f>
        <v>52596</v>
      </c>
      <c r="CP119" s="536">
        <f>Time!CP$50</f>
        <v>52687</v>
      </c>
      <c r="CQ119" s="536">
        <f>Time!CQ$50</f>
        <v>52778</v>
      </c>
      <c r="CR119" s="536">
        <f>Time!CR$50</f>
        <v>52870</v>
      </c>
      <c r="CS119" s="536">
        <f>Time!CS$50</f>
        <v>52962</v>
      </c>
      <c r="CT119" s="536">
        <f>Time!CT$50</f>
        <v>53052</v>
      </c>
      <c r="CU119" s="536">
        <f>Time!CU$50</f>
        <v>53143</v>
      </c>
      <c r="CV119" s="536">
        <f>Time!CV$50</f>
        <v>53235</v>
      </c>
      <c r="CW119" s="536">
        <f>Time!CW$50</f>
        <v>53327</v>
      </c>
      <c r="CX119" s="536">
        <f>Time!CX$50</f>
        <v>53417</v>
      </c>
      <c r="CY119" s="536">
        <f>Time!CY$50</f>
        <v>53508</v>
      </c>
      <c r="CZ119" s="536">
        <f>Time!CZ$50</f>
        <v>53600</v>
      </c>
      <c r="DA119" s="536">
        <f>Time!DA$50</f>
        <v>53692</v>
      </c>
      <c r="DB119" s="536">
        <f>Time!DB$50</f>
        <v>53782</v>
      </c>
      <c r="DC119" s="536">
        <f>Time!DC$50</f>
        <v>53873</v>
      </c>
      <c r="DD119" s="536">
        <f>Time!DD$50</f>
        <v>53965</v>
      </c>
      <c r="DE119" s="536">
        <f>Time!DE$50</f>
        <v>54057</v>
      </c>
      <c r="DF119" s="536">
        <f>Time!DF$50</f>
        <v>54148</v>
      </c>
      <c r="DG119" s="536">
        <f>Time!DG$50</f>
        <v>54239</v>
      </c>
      <c r="DH119" s="536">
        <f>Time!DH$50</f>
        <v>54331</v>
      </c>
      <c r="DI119" s="536">
        <f>Time!DI$50</f>
        <v>54423</v>
      </c>
      <c r="DJ119" s="536">
        <f>Time!DJ$50</f>
        <v>54513</v>
      </c>
      <c r="DK119" s="536">
        <f>Time!DK$50</f>
        <v>54604</v>
      </c>
      <c r="DL119" s="536">
        <f>Time!DL$50</f>
        <v>54696</v>
      </c>
      <c r="DM119" s="536">
        <f>Time!DM$50</f>
        <v>54788</v>
      </c>
      <c r="DN119" s="536">
        <f>Time!DN$50</f>
        <v>54878</v>
      </c>
      <c r="DO119" s="536">
        <f>Time!DO$50</f>
        <v>54969</v>
      </c>
      <c r="DP119" s="536">
        <f>Time!DP$50</f>
        <v>55061</v>
      </c>
      <c r="DQ119" s="536">
        <f>Time!DQ$50</f>
        <v>55153</v>
      </c>
      <c r="DR119" s="536">
        <f>Time!DR$50</f>
        <v>55243</v>
      </c>
      <c r="DS119" s="536">
        <f>Time!DS$50</f>
        <v>55334</v>
      </c>
      <c r="DT119" s="536">
        <f>Time!DT$50</f>
        <v>55426</v>
      </c>
      <c r="DU119" s="536">
        <f>Time!DU$50</f>
        <v>55518</v>
      </c>
      <c r="DV119" s="536">
        <f>Time!DV$50</f>
        <v>55609</v>
      </c>
      <c r="DW119" s="536">
        <f>Time!DW$50</f>
        <v>55700</v>
      </c>
      <c r="DX119" s="536">
        <f>Time!DX$50</f>
        <v>55792</v>
      </c>
      <c r="DY119" s="536">
        <f>Time!DY$50</f>
        <v>55884</v>
      </c>
      <c r="DZ119" s="536">
        <f>Time!DZ$50</f>
        <v>55974</v>
      </c>
      <c r="EA119" s="536">
        <f>Time!EA$50</f>
        <v>56065</v>
      </c>
      <c r="EB119" s="536">
        <f>Time!EB$50</f>
        <v>56157</v>
      </c>
      <c r="EC119" s="536">
        <f>Time!EC$50</f>
        <v>56249</v>
      </c>
      <c r="ED119" s="536">
        <f>Time!ED$50</f>
        <v>56339</v>
      </c>
      <c r="EE119" s="536">
        <f>Time!EE$50</f>
        <v>56430</v>
      </c>
      <c r="EF119" s="536">
        <f>Time!EF$50</f>
        <v>56522</v>
      </c>
      <c r="EG119" s="536">
        <f>Time!EG$50</f>
        <v>56614</v>
      </c>
    </row>
    <row r="120" spans="5:137" ht="12.75">
      <c r="E120" s="538" t="str">
        <f>E$107</f>
        <v>Equity - cash flow (IRR basis)</v>
      </c>
      <c r="G120" s="539" t="str">
        <f>G$107</f>
        <v>EUR 000s</v>
      </c>
      <c r="H120" s="539">
        <f>H$107</f>
        <v>472682.29525850032</v>
      </c>
      <c r="J120" s="539">
        <f t="shared" si="54" ref="J120:EG120">J$107</f>
        <v>-9.9999999999999995E-07</v>
      </c>
      <c r="K120" s="539">
        <f t="shared" si="54"/>
        <v>0</v>
      </c>
      <c r="L120" s="539">
        <f t="shared" si="54"/>
        <v>-11319.299718665801</v>
      </c>
      <c r="M120" s="539">
        <f t="shared" si="54"/>
        <v>-13400.690161983533</v>
      </c>
      <c r="N120" s="539">
        <f t="shared" si="54"/>
        <v>-13741.483730168373</v>
      </c>
      <c r="O120" s="539">
        <f t="shared" si="54"/>
        <v>-13418.385230476684</v>
      </c>
      <c r="P120" s="539">
        <f t="shared" si="54"/>
        <v>-13759.768634277962</v>
      </c>
      <c r="Q120" s="539">
        <f t="shared" si="54"/>
        <v>-3907.6047250439151</v>
      </c>
      <c r="R120" s="539">
        <f t="shared" si="54"/>
        <v>0</v>
      </c>
      <c r="S120" s="539">
        <f t="shared" si="54"/>
        <v>0</v>
      </c>
      <c r="T120" s="539">
        <f t="shared" si="54"/>
        <v>0</v>
      </c>
      <c r="U120" s="539">
        <f t="shared" si="54"/>
        <v>0</v>
      </c>
      <c r="V120" s="539">
        <f t="shared" si="54"/>
        <v>0</v>
      </c>
      <c r="W120" s="539">
        <f t="shared" si="54"/>
        <v>0</v>
      </c>
      <c r="X120" s="539">
        <f t="shared" si="54"/>
        <v>0</v>
      </c>
      <c r="Y120" s="539">
        <f t="shared" si="54"/>
        <v>0</v>
      </c>
      <c r="Z120" s="539">
        <f t="shared" si="54"/>
        <v>0</v>
      </c>
      <c r="AA120" s="539">
        <f t="shared" si="54"/>
        <v>0</v>
      </c>
      <c r="AB120" s="539">
        <f t="shared" si="54"/>
        <v>0</v>
      </c>
      <c r="AC120" s="539">
        <f t="shared" si="54"/>
        <v>0</v>
      </c>
      <c r="AD120" s="539">
        <f t="shared" si="54"/>
        <v>0</v>
      </c>
      <c r="AE120" s="539">
        <f t="shared" si="54"/>
        <v>0</v>
      </c>
      <c r="AF120" s="539">
        <f t="shared" si="54"/>
        <v>0</v>
      </c>
      <c r="AG120" s="539">
        <f t="shared" si="54"/>
        <v>0</v>
      </c>
      <c r="AH120" s="539">
        <f t="shared" si="54"/>
        <v>1383.9233639501999</v>
      </c>
      <c r="AI120" s="539">
        <f t="shared" si="54"/>
        <v>3289.5323362199924</v>
      </c>
      <c r="AJ120" s="539">
        <f t="shared" si="54"/>
        <v>3245.3805232500736</v>
      </c>
      <c r="AK120" s="539">
        <f t="shared" si="54"/>
        <v>3195.0408989934072</v>
      </c>
      <c r="AL120" s="539">
        <f t="shared" si="54"/>
        <v>3314.6555979376371</v>
      </c>
      <c r="AM120" s="539">
        <f t="shared" si="54"/>
        <v>3413.5103829410727</v>
      </c>
      <c r="AN120" s="539">
        <f t="shared" si="54"/>
        <v>3368.8149446907446</v>
      </c>
      <c r="AO120" s="539">
        <f t="shared" si="54"/>
        <v>3317.8291025066792</v>
      </c>
      <c r="AP120" s="539">
        <f t="shared" si="54"/>
        <v>3438.4566627931977</v>
      </c>
      <c r="AQ120" s="539">
        <f t="shared" si="54"/>
        <v>3538.7454210592987</v>
      </c>
      <c r="AR120" s="539">
        <f t="shared" si="54"/>
        <v>3482.692592271675</v>
      </c>
      <c r="AS120" s="539">
        <f t="shared" si="54"/>
        <v>3452.6458698254974</v>
      </c>
      <c r="AT120" s="539">
        <f t="shared" si="54"/>
        <v>1840.225347833371</v>
      </c>
      <c r="AU120" s="539">
        <f t="shared" si="54"/>
        <v>1907.064048963113</v>
      </c>
      <c r="AV120" s="539">
        <f t="shared" si="54"/>
        <v>1879.8635093641863</v>
      </c>
      <c r="AW120" s="539">
        <f t="shared" si="54"/>
        <v>1823.2308510204605</v>
      </c>
      <c r="AX120" s="539">
        <f t="shared" si="54"/>
        <v>3689.9207029973613</v>
      </c>
      <c r="AY120" s="539">
        <f t="shared" si="54"/>
        <v>3795.4891066389291</v>
      </c>
      <c r="AZ120" s="539">
        <f t="shared" si="54"/>
        <v>3810.2717218736234</v>
      </c>
      <c r="BA120" s="539">
        <f t="shared" si="54"/>
        <v>3761.7553340142267</v>
      </c>
      <c r="BB120" s="539">
        <f t="shared" si="54"/>
        <v>3775.7398776167847</v>
      </c>
      <c r="BC120" s="539">
        <f t="shared" si="54"/>
        <v>3870.9553004708091</v>
      </c>
      <c r="BD120" s="539">
        <f t="shared" si="54"/>
        <v>3819.5887386810437</v>
      </c>
      <c r="BE120" s="539">
        <f t="shared" si="54"/>
        <v>3757.5449019740718</v>
      </c>
      <c r="BF120" s="539">
        <f t="shared" si="54"/>
        <v>3865.5485651833455</v>
      </c>
      <c r="BG120" s="539">
        <f t="shared" si="54"/>
        <v>3963.7340210591155</v>
      </c>
      <c r="BH120" s="539">
        <f t="shared" si="54"/>
        <v>3901.9818208723086</v>
      </c>
      <c r="BI120" s="539">
        <f t="shared" si="54"/>
        <v>3863.3396261250573</v>
      </c>
      <c r="BJ120" s="539">
        <f t="shared" si="54"/>
        <v>3981.7948466400562</v>
      </c>
      <c r="BK120" s="539">
        <f t="shared" si="54"/>
        <v>4041.5037487339391</v>
      </c>
      <c r="BL120" s="539">
        <f t="shared" si="54"/>
        <v>4013.5705589641948</v>
      </c>
      <c r="BM120" s="539">
        <f t="shared" si="54"/>
        <v>3952.9034566736409</v>
      </c>
      <c r="BN120" s="539">
        <f t="shared" si="54"/>
        <v>2097.5193655527028</v>
      </c>
      <c r="BO120" s="539">
        <f t="shared" si="54"/>
        <v>2200.864273878366</v>
      </c>
      <c r="BP120" s="539">
        <f t="shared" si="54"/>
        <v>2098.1063109146212</v>
      </c>
      <c r="BQ120" s="539">
        <f t="shared" si="54"/>
        <v>2037.8164184080592</v>
      </c>
      <c r="BR120" s="539">
        <f t="shared" si="54"/>
        <v>4224.1553525130121</v>
      </c>
      <c r="BS120" s="539">
        <f t="shared" si="54"/>
        <v>4329.7689293072381</v>
      </c>
      <c r="BT120" s="539">
        <f t="shared" si="54"/>
        <v>4419.8055567868232</v>
      </c>
      <c r="BU120" s="539">
        <f t="shared" si="54"/>
        <v>4770.8603254831687</v>
      </c>
      <c r="BV120" s="539">
        <f t="shared" si="54"/>
        <v>4626.1012277867885</v>
      </c>
      <c r="BW120" s="539">
        <f t="shared" si="54"/>
        <v>3945.1397120020174</v>
      </c>
      <c r="BX120" s="539">
        <f t="shared" si="54"/>
        <v>3887.6124417460055</v>
      </c>
      <c r="BY120" s="539">
        <f t="shared" si="54"/>
        <v>3843.3319181364645</v>
      </c>
      <c r="BZ120" s="539">
        <f t="shared" si="54"/>
        <v>3978.3991178064584</v>
      </c>
      <c r="CA120" s="539">
        <f t="shared" si="54"/>
        <v>4211.4281415911701</v>
      </c>
      <c r="CB120" s="539">
        <f t="shared" si="54"/>
        <v>4139.4003880005166</v>
      </c>
      <c r="CC120" s="539">
        <f t="shared" si="54"/>
        <v>3736.011479524982</v>
      </c>
      <c r="CD120" s="539">
        <f t="shared" si="54"/>
        <v>4321.3134548763692</v>
      </c>
      <c r="CE120" s="539">
        <f t="shared" si="54"/>
        <v>4413.9780591819081</v>
      </c>
      <c r="CF120" s="539">
        <f t="shared" si="54"/>
        <v>4368.5578436146661</v>
      </c>
      <c r="CG120" s="539">
        <f t="shared" si="54"/>
        <v>4283.5118246307165</v>
      </c>
      <c r="CH120" s="539">
        <f t="shared" si="54"/>
        <v>2110.5359724491877</v>
      </c>
      <c r="CI120" s="539">
        <f t="shared" si="54"/>
        <v>2204.6023940287428</v>
      </c>
      <c r="CJ120" s="539">
        <f t="shared" si="54"/>
        <v>1870.785150550882</v>
      </c>
      <c r="CK120" s="539">
        <f t="shared" si="54"/>
        <v>1786.9171601948424</v>
      </c>
      <c r="CL120" s="539">
        <f t="shared" si="54"/>
        <v>4628.8303227158403</v>
      </c>
      <c r="CM120" s="539">
        <f t="shared" si="54"/>
        <v>4723.5203653725785</v>
      </c>
      <c r="CN120" s="539">
        <f t="shared" si="54"/>
        <v>4948.935086001231</v>
      </c>
      <c r="CO120" s="539">
        <f t="shared" si="54"/>
        <v>4889.99295027068</v>
      </c>
      <c r="CP120" s="539">
        <f t="shared" si="54"/>
        <v>4408.4942242291327</v>
      </c>
      <c r="CQ120" s="539">
        <f t="shared" si="54"/>
        <v>4454.0921236772019</v>
      </c>
      <c r="CR120" s="539">
        <f t="shared" si="54"/>
        <v>4428.3806644411152</v>
      </c>
      <c r="CS120" s="539">
        <f t="shared" si="54"/>
        <v>4344.7192119229667</v>
      </c>
      <c r="CT120" s="539">
        <f t="shared" si="54"/>
        <v>4410.7908852154824</v>
      </c>
      <c r="CU120" s="539">
        <f t="shared" si="54"/>
        <v>4507.2180043044709</v>
      </c>
      <c r="CV120" s="539">
        <f t="shared" si="54"/>
        <v>4455.6468509356973</v>
      </c>
      <c r="CW120" s="539">
        <f t="shared" si="54"/>
        <v>4372.1040514103006</v>
      </c>
      <c r="CX120" s="539">
        <f t="shared" si="54"/>
        <v>4442.1439989063965</v>
      </c>
      <c r="CY120" s="539">
        <f t="shared" si="54"/>
        <v>4538.8867633803111</v>
      </c>
      <c r="CZ120" s="539">
        <f t="shared" si="54"/>
        <v>9289.0498453167747</v>
      </c>
      <c r="DA120" s="539">
        <f t="shared" si="54"/>
        <v>9243.2109589193478</v>
      </c>
      <c r="DB120" s="539">
        <f t="shared" si="54"/>
        <v>6730.8032201585938</v>
      </c>
      <c r="DC120" s="539">
        <f t="shared" si="54"/>
        <v>6819.6943690281241</v>
      </c>
      <c r="DD120" s="539">
        <f t="shared" si="54"/>
        <v>6814.0398522326241</v>
      </c>
      <c r="DE120" s="539">
        <f t="shared" si="54"/>
        <v>6785.1271000854231</v>
      </c>
      <c r="DF120" s="539">
        <f t="shared" si="54"/>
        <v>10042.297500103878</v>
      </c>
      <c r="DG120" s="539">
        <f t="shared" si="54"/>
        <v>10083.037086594606</v>
      </c>
      <c r="DH120" s="539">
        <f t="shared" si="54"/>
        <v>10103.030440845592</v>
      </c>
      <c r="DI120" s="539">
        <f t="shared" si="54"/>
        <v>10074.710093976457</v>
      </c>
      <c r="DJ120" s="539">
        <f t="shared" si="54"/>
        <v>9531.0000277068248</v>
      </c>
      <c r="DK120" s="539">
        <f t="shared" si="54"/>
        <v>9622.5760692221538</v>
      </c>
      <c r="DL120" s="539">
        <f t="shared" si="54"/>
        <v>9618.4891847043327</v>
      </c>
      <c r="DM120" s="539">
        <f t="shared" si="54"/>
        <v>9590.6249782264968</v>
      </c>
      <c r="DN120" s="539">
        <f t="shared" si="54"/>
        <v>9679.6513243283043</v>
      </c>
      <c r="DO120" s="539">
        <f t="shared" si="54"/>
        <v>9772.3259446832872</v>
      </c>
      <c r="DP120" s="539">
        <f t="shared" si="54"/>
        <v>9768.8299907587207</v>
      </c>
      <c r="DQ120" s="539">
        <f t="shared" si="54"/>
        <v>9741.3091688148925</v>
      </c>
      <c r="DR120" s="539">
        <f t="shared" si="54"/>
        <v>9833.1752700445759</v>
      </c>
      <c r="DS120" s="539">
        <f t="shared" si="54"/>
        <v>9926.8134161951511</v>
      </c>
      <c r="DT120" s="539">
        <f t="shared" si="54"/>
        <v>9923.8082057289866</v>
      </c>
      <c r="DU120" s="539">
        <f t="shared" si="54"/>
        <v>9896.5376166003607</v>
      </c>
      <c r="DV120" s="539">
        <f t="shared" si="54"/>
        <v>10016.918852742816</v>
      </c>
      <c r="DW120" s="539">
        <f t="shared" si="54"/>
        <v>10059.983606963106</v>
      </c>
      <c r="DX120" s="539">
        <f t="shared" si="54"/>
        <v>10083.094712487115</v>
      </c>
      <c r="DY120" s="539">
        <f t="shared" si="54"/>
        <v>8058.7377291418616</v>
      </c>
      <c r="DZ120" s="539">
        <f t="shared" si="54"/>
        <v>7998.4180876236478</v>
      </c>
      <c r="EA120" s="539">
        <f t="shared" si="54"/>
        <v>7998.4180876236478</v>
      </c>
      <c r="EB120" s="539">
        <f t="shared" si="54"/>
        <v>7998.4180876236487</v>
      </c>
      <c r="EC120" s="539">
        <f t="shared" si="54"/>
        <v>19599.446855546739</v>
      </c>
      <c r="ED120" s="539">
        <f t="shared" si="54"/>
        <v>2308.4176722000593</v>
      </c>
      <c r="EE120" s="539">
        <f t="shared" si="54"/>
        <v>0</v>
      </c>
      <c r="EF120" s="539">
        <f t="shared" si="54"/>
        <v>0</v>
      </c>
      <c r="EG120" s="539">
        <f t="shared" si="54"/>
        <v>0</v>
      </c>
    </row>
    <row r="121" spans="5:7" ht="12.75">
      <c r="E121" s="538" t="s">
        <v>490</v>
      </c>
      <c r="F121" s="539">
        <f>XNPV($F118,$J120:$EG120,$J119:$EG119)</f>
        <v>94551.282089732937</v>
      </c>
      <c r="G121" s="539" t="s">
        <v>30</v>
      </c>
    </row>
    <row r="123" spans="2:2" ht="12.75">
      <c r="B123" s="534" t="s">
        <v>491</v>
      </c>
    </row>
    <row r="124" spans="5:7" ht="12.75">
      <c r="E124" s="535" t="str">
        <f>InpC!E$130</f>
        <v>XIRR - seed outflow on the first period</v>
      </c>
      <c r="F124" s="537">
        <f>InpC!F$130</f>
        <v>-9.9999999999999995E-07</v>
      </c>
      <c r="G124" s="537" t="str">
        <f>InpC!G$130</f>
        <v>EUR 000s</v>
      </c>
    </row>
    <row r="125" spans="5:137" ht="12.75">
      <c r="E125" s="535" t="str">
        <f>Cons!E$48</f>
        <v>Capex - total</v>
      </c>
      <c r="G125" s="537" t="str">
        <f>Cons!G$48</f>
        <v>EUR 000s</v>
      </c>
      <c r="H125" s="537">
        <f>Cons!H$48</f>
        <v>291552.5</v>
      </c>
      <c r="J125" s="537">
        <f>Cons!J$48</f>
        <v>0</v>
      </c>
      <c r="K125" s="537">
        <f>Cons!K$48</f>
        <v>0</v>
      </c>
      <c r="L125" s="537">
        <f>Cons!L$48</f>
        <v>8000</v>
      </c>
      <c r="M125" s="537">
        <f>Cons!M$48</f>
        <v>13291.5625</v>
      </c>
      <c r="N125" s="537">
        <f>Cons!N$48</f>
        <v>13619.6875</v>
      </c>
      <c r="O125" s="537">
        <f>Cons!O$48</f>
        <v>13291.5625</v>
      </c>
      <c r="P125" s="537">
        <f>Cons!P$48</f>
        <v>13619.6875</v>
      </c>
      <c r="Q125" s="537">
        <f>Cons!Q$48</f>
        <v>13291.5625</v>
      </c>
      <c r="R125" s="537">
        <f>Cons!R$48</f>
        <v>16941.953125</v>
      </c>
      <c r="S125" s="537">
        <f>Cons!S$48</f>
        <v>17639.21875</v>
      </c>
      <c r="T125" s="537">
        <f>Cons!T$48</f>
        <v>17967.34375</v>
      </c>
      <c r="U125" s="537">
        <f>Cons!U$48</f>
        <v>18295.46875</v>
      </c>
      <c r="V125" s="537">
        <f>Cons!V$48</f>
        <v>16982.96875</v>
      </c>
      <c r="W125" s="537">
        <f>Cons!W$48</f>
        <v>16818.90625</v>
      </c>
      <c r="X125" s="537">
        <f>Cons!X$48</f>
        <v>15014.21875</v>
      </c>
      <c r="Y125" s="537">
        <f>Cons!Y$48</f>
        <v>13045.46875</v>
      </c>
      <c r="Z125" s="537">
        <f>Cons!Z$48</f>
        <v>12061.09375</v>
      </c>
      <c r="AA125" s="537">
        <f>Cons!AA$48</f>
        <v>13537.65625</v>
      </c>
      <c r="AB125" s="537">
        <f>Cons!AB$48</f>
        <v>14193.90625</v>
      </c>
      <c r="AC125" s="537">
        <f>Cons!AC$48</f>
        <v>14029.84375</v>
      </c>
      <c r="AD125" s="537">
        <f>Cons!AD$48</f>
        <v>12676.328125</v>
      </c>
      <c r="AE125" s="537">
        <f>Cons!AE$48</f>
        <v>7549.375</v>
      </c>
      <c r="AF125" s="537">
        <f>Cons!AF$48</f>
        <v>5744.6875</v>
      </c>
      <c r="AG125" s="537">
        <f>Cons!AG$48</f>
        <v>3940</v>
      </c>
      <c r="AH125" s="537">
        <f>Cons!AH$48</f>
        <v>0</v>
      </c>
      <c r="AI125" s="537">
        <f>Cons!AI$48</f>
        <v>0</v>
      </c>
      <c r="AJ125" s="537">
        <f>Cons!AJ$48</f>
        <v>0</v>
      </c>
      <c r="AK125" s="537">
        <f>Cons!AK$48</f>
        <v>0</v>
      </c>
      <c r="AL125" s="537">
        <f>Cons!AL$48</f>
        <v>0</v>
      </c>
      <c r="AM125" s="537">
        <f>Cons!AM$48</f>
        <v>0</v>
      </c>
      <c r="AN125" s="537">
        <f>Cons!AN$48</f>
        <v>0</v>
      </c>
      <c r="AO125" s="537">
        <f>Cons!AO$48</f>
        <v>0</v>
      </c>
      <c r="AP125" s="537">
        <f>Cons!AP$48</f>
        <v>0</v>
      </c>
      <c r="AQ125" s="537">
        <f>Cons!AQ$48</f>
        <v>0</v>
      </c>
      <c r="AR125" s="537">
        <f>Cons!AR$48</f>
        <v>0</v>
      </c>
      <c r="AS125" s="537">
        <f>Cons!AS$48</f>
        <v>0</v>
      </c>
      <c r="AT125" s="537">
        <f>Cons!AT$48</f>
        <v>0</v>
      </c>
      <c r="AU125" s="537">
        <f>Cons!AU$48</f>
        <v>0</v>
      </c>
      <c r="AV125" s="537">
        <f>Cons!AV$48</f>
        <v>0</v>
      </c>
      <c r="AW125" s="537">
        <f>Cons!AW$48</f>
        <v>0</v>
      </c>
      <c r="AX125" s="537">
        <f>Cons!AX$48</f>
        <v>0</v>
      </c>
      <c r="AY125" s="537">
        <f>Cons!AY$48</f>
        <v>0</v>
      </c>
      <c r="AZ125" s="537">
        <f>Cons!AZ$48</f>
        <v>0</v>
      </c>
      <c r="BA125" s="537">
        <f>Cons!BA$48</f>
        <v>0</v>
      </c>
      <c r="BB125" s="537">
        <f>Cons!BB$48</f>
        <v>0</v>
      </c>
      <c r="BC125" s="537">
        <f>Cons!BC$48</f>
        <v>0</v>
      </c>
      <c r="BD125" s="537">
        <f>Cons!BD$48</f>
        <v>0</v>
      </c>
      <c r="BE125" s="537">
        <f>Cons!BE$48</f>
        <v>0</v>
      </c>
      <c r="BF125" s="537">
        <f>Cons!BF$48</f>
        <v>0</v>
      </c>
      <c r="BG125" s="537">
        <f>Cons!BG$48</f>
        <v>0</v>
      </c>
      <c r="BH125" s="537">
        <f>Cons!BH$48</f>
        <v>0</v>
      </c>
      <c r="BI125" s="537">
        <f>Cons!BI$48</f>
        <v>0</v>
      </c>
      <c r="BJ125" s="537">
        <f>Cons!BJ$48</f>
        <v>0</v>
      </c>
      <c r="BK125" s="537">
        <f>Cons!BK$48</f>
        <v>0</v>
      </c>
      <c r="BL125" s="537">
        <f>Cons!BL$48</f>
        <v>0</v>
      </c>
      <c r="BM125" s="537">
        <f>Cons!BM$48</f>
        <v>0</v>
      </c>
      <c r="BN125" s="537">
        <f>Cons!BN$48</f>
        <v>0</v>
      </c>
      <c r="BO125" s="537">
        <f>Cons!BO$48</f>
        <v>0</v>
      </c>
      <c r="BP125" s="537">
        <f>Cons!BP$48</f>
        <v>0</v>
      </c>
      <c r="BQ125" s="537">
        <f>Cons!BQ$48</f>
        <v>0</v>
      </c>
      <c r="BR125" s="537">
        <f>Cons!BR$48</f>
        <v>0</v>
      </c>
      <c r="BS125" s="537">
        <f>Cons!BS$48</f>
        <v>0</v>
      </c>
      <c r="BT125" s="537">
        <f>Cons!BT$48</f>
        <v>0</v>
      </c>
      <c r="BU125" s="537">
        <f>Cons!BU$48</f>
        <v>0</v>
      </c>
      <c r="BV125" s="537">
        <f>Cons!BV$48</f>
        <v>0</v>
      </c>
      <c r="BW125" s="537">
        <f>Cons!BW$48</f>
        <v>0</v>
      </c>
      <c r="BX125" s="537">
        <f>Cons!BX$48</f>
        <v>0</v>
      </c>
      <c r="BY125" s="537">
        <f>Cons!BY$48</f>
        <v>0</v>
      </c>
      <c r="BZ125" s="537">
        <f>Cons!BZ$48</f>
        <v>0</v>
      </c>
      <c r="CA125" s="537">
        <f>Cons!CA$48</f>
        <v>0</v>
      </c>
      <c r="CB125" s="537">
        <f>Cons!CB$48</f>
        <v>0</v>
      </c>
      <c r="CC125" s="537">
        <f>Cons!CC$48</f>
        <v>0</v>
      </c>
      <c r="CD125" s="537">
        <f>Cons!CD$48</f>
        <v>0</v>
      </c>
      <c r="CE125" s="537">
        <f>Cons!CE$48</f>
        <v>0</v>
      </c>
      <c r="CF125" s="537">
        <f>Cons!CF$48</f>
        <v>0</v>
      </c>
      <c r="CG125" s="537">
        <f>Cons!CG$48</f>
        <v>0</v>
      </c>
      <c r="CH125" s="537">
        <f>Cons!CH$48</f>
        <v>0</v>
      </c>
      <c r="CI125" s="537">
        <f>Cons!CI$48</f>
        <v>0</v>
      </c>
      <c r="CJ125" s="537">
        <f>Cons!CJ$48</f>
        <v>0</v>
      </c>
      <c r="CK125" s="537">
        <f>Cons!CK$48</f>
        <v>0</v>
      </c>
      <c r="CL125" s="537">
        <f>Cons!CL$48</f>
        <v>0</v>
      </c>
      <c r="CM125" s="537">
        <f>Cons!CM$48</f>
        <v>0</v>
      </c>
      <c r="CN125" s="537">
        <f>Cons!CN$48</f>
        <v>0</v>
      </c>
      <c r="CO125" s="537">
        <f>Cons!CO$48</f>
        <v>0</v>
      </c>
      <c r="CP125" s="537">
        <f>Cons!CP$48</f>
        <v>0</v>
      </c>
      <c r="CQ125" s="537">
        <f>Cons!CQ$48</f>
        <v>0</v>
      </c>
      <c r="CR125" s="537">
        <f>Cons!CR$48</f>
        <v>0</v>
      </c>
      <c r="CS125" s="537">
        <f>Cons!CS$48</f>
        <v>0</v>
      </c>
      <c r="CT125" s="537">
        <f>Cons!CT$48</f>
        <v>0</v>
      </c>
      <c r="CU125" s="537">
        <f>Cons!CU$48</f>
        <v>0</v>
      </c>
      <c r="CV125" s="537">
        <f>Cons!CV$48</f>
        <v>0</v>
      </c>
      <c r="CW125" s="537">
        <f>Cons!CW$48</f>
        <v>0</v>
      </c>
      <c r="CX125" s="537">
        <f>Cons!CX$48</f>
        <v>0</v>
      </c>
      <c r="CY125" s="537">
        <f>Cons!CY$48</f>
        <v>0</v>
      </c>
      <c r="CZ125" s="537">
        <f>Cons!CZ$48</f>
        <v>0</v>
      </c>
      <c r="DA125" s="537">
        <f>Cons!DA$48</f>
        <v>0</v>
      </c>
      <c r="DB125" s="537">
        <f>Cons!DB$48</f>
        <v>0</v>
      </c>
      <c r="DC125" s="537">
        <f>Cons!DC$48</f>
        <v>0</v>
      </c>
      <c r="DD125" s="537">
        <f>Cons!DD$48</f>
        <v>0</v>
      </c>
      <c r="DE125" s="537">
        <f>Cons!DE$48</f>
        <v>0</v>
      </c>
      <c r="DF125" s="537">
        <f>Cons!DF$48</f>
        <v>0</v>
      </c>
      <c r="DG125" s="537">
        <f>Cons!DG$48</f>
        <v>0</v>
      </c>
      <c r="DH125" s="537">
        <f>Cons!DH$48</f>
        <v>0</v>
      </c>
      <c r="DI125" s="537">
        <f>Cons!DI$48</f>
        <v>0</v>
      </c>
      <c r="DJ125" s="537">
        <f>Cons!DJ$48</f>
        <v>0</v>
      </c>
      <c r="DK125" s="537">
        <f>Cons!DK$48</f>
        <v>0</v>
      </c>
      <c r="DL125" s="537">
        <f>Cons!DL$48</f>
        <v>0</v>
      </c>
      <c r="DM125" s="537">
        <f>Cons!DM$48</f>
        <v>0</v>
      </c>
      <c r="DN125" s="537">
        <f>Cons!DN$48</f>
        <v>0</v>
      </c>
      <c r="DO125" s="537">
        <f>Cons!DO$48</f>
        <v>0</v>
      </c>
      <c r="DP125" s="537">
        <f>Cons!DP$48</f>
        <v>0</v>
      </c>
      <c r="DQ125" s="537">
        <f>Cons!DQ$48</f>
        <v>0</v>
      </c>
      <c r="DR125" s="537">
        <f>Cons!DR$48</f>
        <v>0</v>
      </c>
      <c r="DS125" s="537">
        <f>Cons!DS$48</f>
        <v>0</v>
      </c>
      <c r="DT125" s="537">
        <f>Cons!DT$48</f>
        <v>0</v>
      </c>
      <c r="DU125" s="537">
        <f>Cons!DU$48</f>
        <v>0</v>
      </c>
      <c r="DV125" s="537">
        <f>Cons!DV$48</f>
        <v>0</v>
      </c>
      <c r="DW125" s="537">
        <f>Cons!DW$48</f>
        <v>0</v>
      </c>
      <c r="DX125" s="537">
        <f>Cons!DX$48</f>
        <v>0</v>
      </c>
      <c r="DY125" s="537">
        <f>Cons!DY$48</f>
        <v>0</v>
      </c>
      <c r="DZ125" s="537">
        <f>Cons!DZ$48</f>
        <v>0</v>
      </c>
      <c r="EA125" s="537">
        <f>Cons!EA$48</f>
        <v>0</v>
      </c>
      <c r="EB125" s="537">
        <f>Cons!EB$48</f>
        <v>0</v>
      </c>
      <c r="EC125" s="537">
        <f>Cons!EC$48</f>
        <v>0</v>
      </c>
      <c r="ED125" s="537">
        <f>Cons!ED$48</f>
        <v>0</v>
      </c>
      <c r="EE125" s="537">
        <f>Cons!EE$48</f>
        <v>0</v>
      </c>
      <c r="EF125" s="537">
        <f>Cons!EF$48</f>
        <v>0</v>
      </c>
      <c r="EG125" s="537">
        <f>Cons!EG$48</f>
        <v>0</v>
      </c>
    </row>
    <row r="126" spans="5:137" ht="12.75">
      <c r="E126" s="535" t="str">
        <f>Time!E$16</f>
        <v>First model column flag</v>
      </c>
      <c r="G126" s="537" t="str">
        <f>Time!G$16</f>
        <v>flag</v>
      </c>
      <c r="H126" s="537">
        <f>Time!H$16</f>
        <v>1</v>
      </c>
      <c r="J126" s="537">
        <f>Time!J$16</f>
        <v>1</v>
      </c>
      <c r="K126" s="537">
        <f>Time!K$16</f>
        <v>0</v>
      </c>
      <c r="L126" s="537">
        <f>Time!L$16</f>
        <v>0</v>
      </c>
      <c r="M126" s="537">
        <f>Time!M$16</f>
        <v>0</v>
      </c>
      <c r="N126" s="537">
        <f>Time!N$16</f>
        <v>0</v>
      </c>
      <c r="O126" s="537">
        <f>Time!O$16</f>
        <v>0</v>
      </c>
      <c r="P126" s="537">
        <f>Time!P$16</f>
        <v>0</v>
      </c>
      <c r="Q126" s="537">
        <f>Time!Q$16</f>
        <v>0</v>
      </c>
      <c r="R126" s="537">
        <f>Time!R$16</f>
        <v>0</v>
      </c>
      <c r="S126" s="537">
        <f>Time!S$16</f>
        <v>0</v>
      </c>
      <c r="T126" s="537">
        <f>Time!T$16</f>
        <v>0</v>
      </c>
      <c r="U126" s="537">
        <f>Time!U$16</f>
        <v>0</v>
      </c>
      <c r="V126" s="537">
        <f>Time!V$16</f>
        <v>0</v>
      </c>
      <c r="W126" s="537">
        <f>Time!W$16</f>
        <v>0</v>
      </c>
      <c r="X126" s="537">
        <f>Time!X$16</f>
        <v>0</v>
      </c>
      <c r="Y126" s="537">
        <f>Time!Y$16</f>
        <v>0</v>
      </c>
      <c r="Z126" s="537">
        <f>Time!Z$16</f>
        <v>0</v>
      </c>
      <c r="AA126" s="537">
        <f>Time!AA$16</f>
        <v>0</v>
      </c>
      <c r="AB126" s="537">
        <f>Time!AB$16</f>
        <v>0</v>
      </c>
      <c r="AC126" s="537">
        <f>Time!AC$16</f>
        <v>0</v>
      </c>
      <c r="AD126" s="537">
        <f>Time!AD$16</f>
        <v>0</v>
      </c>
      <c r="AE126" s="537">
        <f>Time!AE$16</f>
        <v>0</v>
      </c>
      <c r="AF126" s="537">
        <f>Time!AF$16</f>
        <v>0</v>
      </c>
      <c r="AG126" s="537">
        <f>Time!AG$16</f>
        <v>0</v>
      </c>
      <c r="AH126" s="537">
        <f>Time!AH$16</f>
        <v>0</v>
      </c>
      <c r="AI126" s="537">
        <f>Time!AI$16</f>
        <v>0</v>
      </c>
      <c r="AJ126" s="537">
        <f>Time!AJ$16</f>
        <v>0</v>
      </c>
      <c r="AK126" s="537">
        <f>Time!AK$16</f>
        <v>0</v>
      </c>
      <c r="AL126" s="537">
        <f>Time!AL$16</f>
        <v>0</v>
      </c>
      <c r="AM126" s="537">
        <f>Time!AM$16</f>
        <v>0</v>
      </c>
      <c r="AN126" s="537">
        <f>Time!AN$16</f>
        <v>0</v>
      </c>
      <c r="AO126" s="537">
        <f>Time!AO$16</f>
        <v>0</v>
      </c>
      <c r="AP126" s="537">
        <f>Time!AP$16</f>
        <v>0</v>
      </c>
      <c r="AQ126" s="537">
        <f>Time!AQ$16</f>
        <v>0</v>
      </c>
      <c r="AR126" s="537">
        <f>Time!AR$16</f>
        <v>0</v>
      </c>
      <c r="AS126" s="537">
        <f>Time!AS$16</f>
        <v>0</v>
      </c>
      <c r="AT126" s="537">
        <f>Time!AT$16</f>
        <v>0</v>
      </c>
      <c r="AU126" s="537">
        <f>Time!AU$16</f>
        <v>0</v>
      </c>
      <c r="AV126" s="537">
        <f>Time!AV$16</f>
        <v>0</v>
      </c>
      <c r="AW126" s="537">
        <f>Time!AW$16</f>
        <v>0</v>
      </c>
      <c r="AX126" s="537">
        <f>Time!AX$16</f>
        <v>0</v>
      </c>
      <c r="AY126" s="537">
        <f>Time!AY$16</f>
        <v>0</v>
      </c>
      <c r="AZ126" s="537">
        <f>Time!AZ$16</f>
        <v>0</v>
      </c>
      <c r="BA126" s="537">
        <f>Time!BA$16</f>
        <v>0</v>
      </c>
      <c r="BB126" s="537">
        <f>Time!BB$16</f>
        <v>0</v>
      </c>
      <c r="BC126" s="537">
        <f>Time!BC$16</f>
        <v>0</v>
      </c>
      <c r="BD126" s="537">
        <f>Time!BD$16</f>
        <v>0</v>
      </c>
      <c r="BE126" s="537">
        <f>Time!BE$16</f>
        <v>0</v>
      </c>
      <c r="BF126" s="537">
        <f>Time!BF$16</f>
        <v>0</v>
      </c>
      <c r="BG126" s="537">
        <f>Time!BG$16</f>
        <v>0</v>
      </c>
      <c r="BH126" s="537">
        <f>Time!BH$16</f>
        <v>0</v>
      </c>
      <c r="BI126" s="537">
        <f>Time!BI$16</f>
        <v>0</v>
      </c>
      <c r="BJ126" s="537">
        <f>Time!BJ$16</f>
        <v>0</v>
      </c>
      <c r="BK126" s="537">
        <f>Time!BK$16</f>
        <v>0</v>
      </c>
      <c r="BL126" s="537">
        <f>Time!BL$16</f>
        <v>0</v>
      </c>
      <c r="BM126" s="537">
        <f>Time!BM$16</f>
        <v>0</v>
      </c>
      <c r="BN126" s="537">
        <f>Time!BN$16</f>
        <v>0</v>
      </c>
      <c r="BO126" s="537">
        <f>Time!BO$16</f>
        <v>0</v>
      </c>
      <c r="BP126" s="537">
        <f>Time!BP$16</f>
        <v>0</v>
      </c>
      <c r="BQ126" s="537">
        <f>Time!BQ$16</f>
        <v>0</v>
      </c>
      <c r="BR126" s="537">
        <f>Time!BR$16</f>
        <v>0</v>
      </c>
      <c r="BS126" s="537">
        <f>Time!BS$16</f>
        <v>0</v>
      </c>
      <c r="BT126" s="537">
        <f>Time!BT$16</f>
        <v>0</v>
      </c>
      <c r="BU126" s="537">
        <f>Time!BU$16</f>
        <v>0</v>
      </c>
      <c r="BV126" s="537">
        <f>Time!BV$16</f>
        <v>0</v>
      </c>
      <c r="BW126" s="537">
        <f>Time!BW$16</f>
        <v>0</v>
      </c>
      <c r="BX126" s="537">
        <f>Time!BX$16</f>
        <v>0</v>
      </c>
      <c r="BY126" s="537">
        <f>Time!BY$16</f>
        <v>0</v>
      </c>
      <c r="BZ126" s="537">
        <f>Time!BZ$16</f>
        <v>0</v>
      </c>
      <c r="CA126" s="537">
        <f>Time!CA$16</f>
        <v>0</v>
      </c>
      <c r="CB126" s="537">
        <f>Time!CB$16</f>
        <v>0</v>
      </c>
      <c r="CC126" s="537">
        <f>Time!CC$16</f>
        <v>0</v>
      </c>
      <c r="CD126" s="537">
        <f>Time!CD$16</f>
        <v>0</v>
      </c>
      <c r="CE126" s="537">
        <f>Time!CE$16</f>
        <v>0</v>
      </c>
      <c r="CF126" s="537">
        <f>Time!CF$16</f>
        <v>0</v>
      </c>
      <c r="CG126" s="537">
        <f>Time!CG$16</f>
        <v>0</v>
      </c>
      <c r="CH126" s="537">
        <f>Time!CH$16</f>
        <v>0</v>
      </c>
      <c r="CI126" s="537">
        <f>Time!CI$16</f>
        <v>0</v>
      </c>
      <c r="CJ126" s="537">
        <f>Time!CJ$16</f>
        <v>0</v>
      </c>
      <c r="CK126" s="537">
        <f>Time!CK$16</f>
        <v>0</v>
      </c>
      <c r="CL126" s="537">
        <f>Time!CL$16</f>
        <v>0</v>
      </c>
      <c r="CM126" s="537">
        <f>Time!CM$16</f>
        <v>0</v>
      </c>
      <c r="CN126" s="537">
        <f>Time!CN$16</f>
        <v>0</v>
      </c>
      <c r="CO126" s="537">
        <f>Time!CO$16</f>
        <v>0</v>
      </c>
      <c r="CP126" s="537">
        <f>Time!CP$16</f>
        <v>0</v>
      </c>
      <c r="CQ126" s="537">
        <f>Time!CQ$16</f>
        <v>0</v>
      </c>
      <c r="CR126" s="537">
        <f>Time!CR$16</f>
        <v>0</v>
      </c>
      <c r="CS126" s="537">
        <f>Time!CS$16</f>
        <v>0</v>
      </c>
      <c r="CT126" s="537">
        <f>Time!CT$16</f>
        <v>0</v>
      </c>
      <c r="CU126" s="537">
        <f>Time!CU$16</f>
        <v>0</v>
      </c>
      <c r="CV126" s="537">
        <f>Time!CV$16</f>
        <v>0</v>
      </c>
      <c r="CW126" s="537">
        <f>Time!CW$16</f>
        <v>0</v>
      </c>
      <c r="CX126" s="537">
        <f>Time!CX$16</f>
        <v>0</v>
      </c>
      <c r="CY126" s="537">
        <f>Time!CY$16</f>
        <v>0</v>
      </c>
      <c r="CZ126" s="537">
        <f>Time!CZ$16</f>
        <v>0</v>
      </c>
      <c r="DA126" s="537">
        <f>Time!DA$16</f>
        <v>0</v>
      </c>
      <c r="DB126" s="537">
        <f>Time!DB$16</f>
        <v>0</v>
      </c>
      <c r="DC126" s="537">
        <f>Time!DC$16</f>
        <v>0</v>
      </c>
      <c r="DD126" s="537">
        <f>Time!DD$16</f>
        <v>0</v>
      </c>
      <c r="DE126" s="537">
        <f>Time!DE$16</f>
        <v>0</v>
      </c>
      <c r="DF126" s="537">
        <f>Time!DF$16</f>
        <v>0</v>
      </c>
      <c r="DG126" s="537">
        <f>Time!DG$16</f>
        <v>0</v>
      </c>
      <c r="DH126" s="537">
        <f>Time!DH$16</f>
        <v>0</v>
      </c>
      <c r="DI126" s="537">
        <f>Time!DI$16</f>
        <v>0</v>
      </c>
      <c r="DJ126" s="537">
        <f>Time!DJ$16</f>
        <v>0</v>
      </c>
      <c r="DK126" s="537">
        <f>Time!DK$16</f>
        <v>0</v>
      </c>
      <c r="DL126" s="537">
        <f>Time!DL$16</f>
        <v>0</v>
      </c>
      <c r="DM126" s="537">
        <f>Time!DM$16</f>
        <v>0</v>
      </c>
      <c r="DN126" s="537">
        <f>Time!DN$16</f>
        <v>0</v>
      </c>
      <c r="DO126" s="537">
        <f>Time!DO$16</f>
        <v>0</v>
      </c>
      <c r="DP126" s="537">
        <f>Time!DP$16</f>
        <v>0</v>
      </c>
      <c r="DQ126" s="537">
        <f>Time!DQ$16</f>
        <v>0</v>
      </c>
      <c r="DR126" s="537">
        <f>Time!DR$16</f>
        <v>0</v>
      </c>
      <c r="DS126" s="537">
        <f>Time!DS$16</f>
        <v>0</v>
      </c>
      <c r="DT126" s="537">
        <f>Time!DT$16</f>
        <v>0</v>
      </c>
      <c r="DU126" s="537">
        <f>Time!DU$16</f>
        <v>0</v>
      </c>
      <c r="DV126" s="537">
        <f>Time!DV$16</f>
        <v>0</v>
      </c>
      <c r="DW126" s="537">
        <f>Time!DW$16</f>
        <v>0</v>
      </c>
      <c r="DX126" s="537">
        <f>Time!DX$16</f>
        <v>0</v>
      </c>
      <c r="DY126" s="537">
        <f>Time!DY$16</f>
        <v>0</v>
      </c>
      <c r="DZ126" s="537">
        <f>Time!DZ$16</f>
        <v>0</v>
      </c>
      <c r="EA126" s="537">
        <f>Time!EA$16</f>
        <v>0</v>
      </c>
      <c r="EB126" s="537">
        <f>Time!EB$16</f>
        <v>0</v>
      </c>
      <c r="EC126" s="537">
        <f>Time!EC$16</f>
        <v>0</v>
      </c>
      <c r="ED126" s="537">
        <f>Time!ED$16</f>
        <v>0</v>
      </c>
      <c r="EE126" s="537">
        <f>Time!EE$16</f>
        <v>0</v>
      </c>
      <c r="EF126" s="537">
        <f>Time!EF$16</f>
        <v>0</v>
      </c>
      <c r="EG126" s="537">
        <f>Time!EG$16</f>
        <v>0</v>
      </c>
    </row>
    <row r="127" spans="5:137" ht="12.75">
      <c r="E127" s="535" t="str">
        <f>Waterfall!E$14</f>
        <v>Cash flow available for debt service</v>
      </c>
      <c r="G127" s="537" t="str">
        <f>Waterfall!G$14</f>
        <v>EUR 000s</v>
      </c>
      <c r="H127" s="537">
        <f>Waterfall!H$14</f>
        <v>957377.69580628083</v>
      </c>
      <c r="J127" s="537">
        <f>Waterfall!J$14</f>
        <v>0</v>
      </c>
      <c r="K127" s="537">
        <f>Waterfall!K$14</f>
        <v>0</v>
      </c>
      <c r="L127" s="537">
        <f>Waterfall!L$14</f>
        <v>0</v>
      </c>
      <c r="M127" s="537">
        <f>Waterfall!M$14</f>
        <v>0</v>
      </c>
      <c r="N127" s="537">
        <f>Waterfall!N$14</f>
        <v>0</v>
      </c>
      <c r="O127" s="537">
        <f>Waterfall!O$14</f>
        <v>0</v>
      </c>
      <c r="P127" s="537">
        <f>Waterfall!P$14</f>
        <v>0</v>
      </c>
      <c r="Q127" s="537">
        <f>Waterfall!Q$14</f>
        <v>0</v>
      </c>
      <c r="R127" s="537">
        <f>Waterfall!R$14</f>
        <v>0</v>
      </c>
      <c r="S127" s="537">
        <f>Waterfall!S$14</f>
        <v>0</v>
      </c>
      <c r="T127" s="537">
        <f>Waterfall!T$14</f>
        <v>0</v>
      </c>
      <c r="U127" s="537">
        <f>Waterfall!U$14</f>
        <v>0</v>
      </c>
      <c r="V127" s="537">
        <f>Waterfall!V$14</f>
        <v>0</v>
      </c>
      <c r="W127" s="537">
        <f>Waterfall!W$14</f>
        <v>0</v>
      </c>
      <c r="X127" s="537">
        <f>Waterfall!X$14</f>
        <v>0</v>
      </c>
      <c r="Y127" s="537">
        <f>Waterfall!Y$14</f>
        <v>0</v>
      </c>
      <c r="Z127" s="537">
        <f>Waterfall!Z$14</f>
        <v>0</v>
      </c>
      <c r="AA127" s="537">
        <f>Waterfall!AA$14</f>
        <v>0</v>
      </c>
      <c r="AB127" s="537">
        <f>Waterfall!AB$14</f>
        <v>0</v>
      </c>
      <c r="AC127" s="537">
        <f>Waterfall!AC$14</f>
        <v>0</v>
      </c>
      <c r="AD127" s="537">
        <f>Waterfall!AD$14</f>
        <v>0</v>
      </c>
      <c r="AE127" s="537">
        <f>Waterfall!AE$14</f>
        <v>0</v>
      </c>
      <c r="AF127" s="537">
        <f>Waterfall!AF$14</f>
        <v>0</v>
      </c>
      <c r="AG127" s="537">
        <f>Waterfall!AG$14</f>
        <v>0</v>
      </c>
      <c r="AH127" s="537">
        <f>Waterfall!AH$14</f>
        <v>7126.237686929222</v>
      </c>
      <c r="AI127" s="537">
        <f>Waterfall!AI$14</f>
        <v>9016.0731055402921</v>
      </c>
      <c r="AJ127" s="537">
        <f>Waterfall!AJ$14</f>
        <v>9015.6345801481111</v>
      </c>
      <c r="AK127" s="537">
        <f>Waterfall!AK$14</f>
        <v>8995.9009374999987</v>
      </c>
      <c r="AL127" s="537">
        <f>Waterfall!AL$14</f>
        <v>9091.9020262907597</v>
      </c>
      <c r="AM127" s="537">
        <f>Waterfall!AM$14</f>
        <v>9174.3408567135994</v>
      </c>
      <c r="AN127" s="537">
        <f>Waterfall!AN$14</f>
        <v>9173.8970475662918</v>
      </c>
      <c r="AO127" s="537">
        <f>Waterfall!AO$14</f>
        <v>9153.9256359374995</v>
      </c>
      <c r="AP127" s="537">
        <f>Waterfall!AP$14</f>
        <v>9251.9761612487546</v>
      </c>
      <c r="AQ127" s="537">
        <f>Waterfall!AQ$14</f>
        <v>9335.2061944272264</v>
      </c>
      <c r="AR127" s="537">
        <f>Waterfall!AR$14</f>
        <v>9334.7570856154598</v>
      </c>
      <c r="AS127" s="537">
        <f>Waterfall!AS$14</f>
        <v>9314.5471890859371</v>
      </c>
      <c r="AT127" s="537">
        <f>Waterfall!AT$14</f>
        <v>9435.594366845693</v>
      </c>
      <c r="AU127" s="537">
        <f>Waterfall!AU$14</f>
        <v>9477.8014538705866</v>
      </c>
      <c r="AV127" s="537">
        <f>Waterfall!AV$14</f>
        <v>9498.2504502967968</v>
      </c>
      <c r="AW127" s="537">
        <f>Waterfall!AW$14</f>
        <v>9473.4373793076247</v>
      </c>
      <c r="AX127" s="537">
        <f>Waterfall!AX$14</f>
        <v>9580.0831993996253</v>
      </c>
      <c r="AY127" s="537">
        <f>Waterfall!AY$14</f>
        <v>9664.8728945221992</v>
      </c>
      <c r="AZ127" s="537">
        <f>Waterfall!AZ$14</f>
        <v>9664.4131477429219</v>
      </c>
      <c r="BA127" s="537">
        <f>Waterfall!BA$14</f>
        <v>9639.0105450525571</v>
      </c>
      <c r="BB127" s="537">
        <f>Waterfall!BB$14</f>
        <v>9624.8356590516014</v>
      </c>
      <c r="BC127" s="537">
        <f>Waterfall!BC$14</f>
        <v>9692.7614236034206</v>
      </c>
      <c r="BD127" s="537">
        <f>Waterfall!BD$14</f>
        <v>9675.4589885497153</v>
      </c>
      <c r="BE127" s="537">
        <f>Waterfall!BE$14</f>
        <v>9638.4507040270382</v>
      </c>
      <c r="BF127" s="537">
        <f>Waterfall!BF$14</f>
        <v>9720.7935908740237</v>
      </c>
      <c r="BG127" s="537">
        <f>Waterfall!BG$14</f>
        <v>9792.4419929069136</v>
      </c>
      <c r="BH127" s="537">
        <f>Waterfall!BH$14</f>
        <v>9777.9664363635275</v>
      </c>
      <c r="BI127" s="537">
        <f>Waterfall!BI$14</f>
        <v>9743.4226351504403</v>
      </c>
      <c r="BJ127" s="537">
        <f>Waterfall!BJ$14</f>
        <v>9852.3659888687216</v>
      </c>
      <c r="BK127" s="537">
        <f>Waterfall!BK$14</f>
        <v>9883.4572104947692</v>
      </c>
      <c r="BL127" s="537">
        <f>Waterfall!BL$14</f>
        <v>9893.2172202296188</v>
      </c>
      <c r="BM127" s="537">
        <f>Waterfall!BM$14</f>
        <v>9860.6827761879267</v>
      </c>
      <c r="BN127" s="537">
        <f>Waterfall!BN$14</f>
        <v>9952.0687470832363</v>
      </c>
      <c r="BO127" s="537">
        <f>Waterfall!BO$14</f>
        <v>10029.716525225305</v>
      </c>
      <c r="BP127" s="537">
        <f>Waterfall!BP$14</f>
        <v>10019.545629405566</v>
      </c>
      <c r="BQ127" s="537">
        <f>Waterfall!BQ$14</f>
        <v>9988.6420767608051</v>
      </c>
      <c r="BR127" s="537">
        <f>Waterfall!BR$14</f>
        <v>10187.369081549388</v>
      </c>
      <c r="BS127" s="537">
        <f>Waterfall!BS$14</f>
        <v>10267.445354990101</v>
      </c>
      <c r="BT127" s="537">
        <f>Waterfall!BT$14</f>
        <v>10258.899041178202</v>
      </c>
      <c r="BU127" s="537">
        <f>Waterfall!BU$14</f>
        <v>10229.311707665833</v>
      </c>
      <c r="BV127" s="537">
        <f>Waterfall!BV$14</f>
        <v>10058.731640444626</v>
      </c>
      <c r="BW127" s="537">
        <f>Waterfall!BW$14</f>
        <v>9344.5455321133577</v>
      </c>
      <c r="BX127" s="537">
        <f>Waterfall!BX$14</f>
        <v>9321.7067066273194</v>
      </c>
      <c r="BY127" s="537">
        <f>Waterfall!BY$14</f>
        <v>9278.2350148653059</v>
      </c>
      <c r="BZ127" s="537">
        <f>Waterfall!BZ$14</f>
        <v>9366.820362658149</v>
      </c>
      <c r="CA127" s="537">
        <f>Waterfall!CA$14</f>
        <v>9391.5394041324525</v>
      </c>
      <c r="CB127" s="537">
        <f>Waterfall!CB$14</f>
        <v>9325.6587104719256</v>
      </c>
      <c r="CC127" s="537">
        <f>Waterfall!CC$14</f>
        <v>8945.0439358883377</v>
      </c>
      <c r="CD127" s="537">
        <f>Waterfall!CD$14</f>
        <v>8979.3486456163082</v>
      </c>
      <c r="CE127" s="537">
        <f>Waterfall!CE$14</f>
        <v>9046.6164747550774</v>
      </c>
      <c r="CF127" s="537">
        <f>Waterfall!CF$14</f>
        <v>9023.0377831656751</v>
      </c>
      <c r="CG127" s="537">
        <f>Waterfall!CG$14</f>
        <v>8973.8419199923192</v>
      </c>
      <c r="CH127" s="537">
        <f>Waterfall!CH$14</f>
        <v>9016.1509382852164</v>
      </c>
      <c r="CI127" s="537">
        <f>Waterfall!CI$14</f>
        <v>9085.5959504342063</v>
      </c>
      <c r="CJ127" s="537">
        <f>Waterfall!CJ$14</f>
        <v>9063.3706202664835</v>
      </c>
      <c r="CK127" s="537">
        <f>Waterfall!CK$14</f>
        <v>9015.6767110387427</v>
      </c>
      <c r="CL127" s="537">
        <f>Waterfall!CL$14</f>
        <v>9619.2585844250625</v>
      </c>
      <c r="CM127" s="537">
        <f>Waterfall!CM$14</f>
        <v>9689.331069373402</v>
      </c>
      <c r="CN127" s="537">
        <f>Waterfall!CN$14</f>
        <v>9666.913390670883</v>
      </c>
      <c r="CO127" s="537">
        <f>Waterfall!CO$14</f>
        <v>9619.2269425792711</v>
      </c>
      <c r="CP127" s="537">
        <f>Waterfall!CP$14</f>
        <v>9139.1530462928586</v>
      </c>
      <c r="CQ127" s="537">
        <f>Waterfall!CQ$14</f>
        <v>9160.9563368827476</v>
      </c>
      <c r="CR127" s="537">
        <f>Waterfall!CR$14</f>
        <v>9163.7163616976522</v>
      </c>
      <c r="CS127" s="537">
        <f>Waterfall!CS$14</f>
        <v>9117.6240403708798</v>
      </c>
      <c r="CT127" s="537">
        <f>Waterfall!CT$14</f>
        <v>9172.7758942782111</v>
      </c>
      <c r="CU127" s="537">
        <f>Waterfall!CU$14</f>
        <v>9245.5507180696623</v>
      </c>
      <c r="CV127" s="537">
        <f>Waterfall!CV$14</f>
        <v>9224.3980348323803</v>
      </c>
      <c r="CW127" s="537">
        <f>Waterfall!CW$14</f>
        <v>9178.5813878150875</v>
      </c>
      <c r="CX127" s="537">
        <f>Waterfall!CX$14</f>
        <v>9237.5047308263493</v>
      </c>
      <c r="CY127" s="537">
        <f>Waterfall!CY$14</f>
        <v>9310.5837191884038</v>
      </c>
      <c r="CZ127" s="537">
        <f>Waterfall!CZ$14</f>
        <v>9289.0498453167329</v>
      </c>
      <c r="DA127" s="537">
        <f>Waterfall!DA$14</f>
        <v>9243.2109589200554</v>
      </c>
      <c r="DB127" s="537">
        <f>Waterfall!DB$14</f>
        <v>9250.1759971050742</v>
      </c>
      <c r="DC127" s="537">
        <f>Waterfall!DC$14</f>
        <v>9339.0671459746045</v>
      </c>
      <c r="DD127" s="537">
        <f>Waterfall!DD$14</f>
        <v>9333.4126291791054</v>
      </c>
      <c r="DE127" s="537">
        <f>Waterfall!DE$14</f>
        <v>9304.4998770319035</v>
      </c>
      <c r="DF127" s="537">
        <f>Waterfall!DF$14</f>
        <v>10042.297500103878</v>
      </c>
      <c r="DG127" s="537">
        <f>Waterfall!DG$14</f>
        <v>10083.037086594606</v>
      </c>
      <c r="DH127" s="537">
        <f>Waterfall!DH$14</f>
        <v>10103.030440845592</v>
      </c>
      <c r="DI127" s="537">
        <f>Waterfall!DI$14</f>
        <v>10074.710093976457</v>
      </c>
      <c r="DJ127" s="537">
        <f>Waterfall!DJ$14</f>
        <v>9531.0000277068248</v>
      </c>
      <c r="DK127" s="537">
        <f>Waterfall!DK$14</f>
        <v>9622.5760692221538</v>
      </c>
      <c r="DL127" s="537">
        <f>Waterfall!DL$14</f>
        <v>9618.4891847043327</v>
      </c>
      <c r="DM127" s="537">
        <f>Waterfall!DM$14</f>
        <v>9590.6249782264968</v>
      </c>
      <c r="DN127" s="537">
        <f>Waterfall!DN$14</f>
        <v>9679.6513243283043</v>
      </c>
      <c r="DO127" s="537">
        <f>Waterfall!DO$14</f>
        <v>9772.3259446832872</v>
      </c>
      <c r="DP127" s="537">
        <f>Waterfall!DP$14</f>
        <v>9768.8299907587207</v>
      </c>
      <c r="DQ127" s="537">
        <f>Waterfall!DQ$14</f>
        <v>9741.3091688148925</v>
      </c>
      <c r="DR127" s="537">
        <f>Waterfall!DR$14</f>
        <v>9833.1752700445759</v>
      </c>
      <c r="DS127" s="537">
        <f>Waterfall!DS$14</f>
        <v>9926.8134161951511</v>
      </c>
      <c r="DT127" s="537">
        <f>Waterfall!DT$14</f>
        <v>9923.8082057289866</v>
      </c>
      <c r="DU127" s="537">
        <f>Waterfall!DU$14</f>
        <v>9896.5376166003607</v>
      </c>
      <c r="DV127" s="537">
        <f>Waterfall!DV$14</f>
        <v>10016.918852742816</v>
      </c>
      <c r="DW127" s="537">
        <f>Waterfall!DW$14</f>
        <v>10059.983606963106</v>
      </c>
      <c r="DX127" s="537">
        <f>Waterfall!DX$14</f>
        <v>10083.094712487115</v>
      </c>
      <c r="DY127" s="537">
        <f>Waterfall!DY$14</f>
        <v>10055.997562626802</v>
      </c>
      <c r="DZ127" s="537">
        <f>Waterfall!DZ$14</f>
        <v>10153.459517752461</v>
      </c>
      <c r="EA127" s="537">
        <f>Waterfall!EA$14</f>
        <v>10248.680194721674</v>
      </c>
      <c r="EB127" s="537">
        <f>Waterfall!EB$14</f>
        <v>10246.420544942679</v>
      </c>
      <c r="EC127" s="537">
        <f>Waterfall!EC$14</f>
        <v>10948.88102751593</v>
      </c>
      <c r="ED127" s="537">
        <f>Waterfall!ED$14</f>
        <v>2308.4176722004668</v>
      </c>
      <c r="EE127" s="537">
        <f>Waterfall!EE$14</f>
        <v>0</v>
      </c>
      <c r="EF127" s="537">
        <f>Waterfall!EF$14</f>
        <v>0</v>
      </c>
      <c r="EG127" s="537">
        <f>Waterfall!EG$14</f>
        <v>0</v>
      </c>
    </row>
    <row r="128" spans="5:137" ht="12.75">
      <c r="E128" s="538" t="s">
        <v>492</v>
      </c>
      <c r="G128" s="539" t="s">
        <v>30</v>
      </c>
      <c r="H128" s="539">
        <f>SUM(J128:EG128)</f>
        <v>665825.19580528082</v>
      </c>
      <c r="J128" s="539">
        <f t="shared" si="55" ref="J128:EG128">J127-J125+$F124*J126</f>
        <v>-9.9999999999999995E-07</v>
      </c>
      <c r="K128" s="539">
        <f t="shared" si="55"/>
        <v>0</v>
      </c>
      <c r="L128" s="539">
        <f t="shared" si="55"/>
        <v>-8000</v>
      </c>
      <c r="M128" s="539">
        <f t="shared" si="55"/>
        <v>-13291.5625</v>
      </c>
      <c r="N128" s="539">
        <f t="shared" si="55"/>
        <v>-13619.6875</v>
      </c>
      <c r="O128" s="539">
        <f t="shared" si="55"/>
        <v>-13291.5625</v>
      </c>
      <c r="P128" s="539">
        <f t="shared" si="55"/>
        <v>-13619.6875</v>
      </c>
      <c r="Q128" s="539">
        <f t="shared" si="55"/>
        <v>-13291.5625</v>
      </c>
      <c r="R128" s="539">
        <f t="shared" si="55"/>
        <v>-16941.953125</v>
      </c>
      <c r="S128" s="539">
        <f t="shared" si="55"/>
        <v>-17639.21875</v>
      </c>
      <c r="T128" s="539">
        <f t="shared" si="55"/>
        <v>-17967.34375</v>
      </c>
      <c r="U128" s="539">
        <f t="shared" si="55"/>
        <v>-18295.46875</v>
      </c>
      <c r="V128" s="539">
        <f t="shared" si="55"/>
        <v>-16982.96875</v>
      </c>
      <c r="W128" s="539">
        <f t="shared" si="55"/>
        <v>-16818.90625</v>
      </c>
      <c r="X128" s="539">
        <f t="shared" si="55"/>
        <v>-15014.21875</v>
      </c>
      <c r="Y128" s="539">
        <f t="shared" si="55"/>
        <v>-13045.46875</v>
      </c>
      <c r="Z128" s="539">
        <f t="shared" si="55"/>
        <v>-12061.09375</v>
      </c>
      <c r="AA128" s="539">
        <f t="shared" si="55"/>
        <v>-13537.65625</v>
      </c>
      <c r="AB128" s="539">
        <f t="shared" si="55"/>
        <v>-14193.90625</v>
      </c>
      <c r="AC128" s="539">
        <f t="shared" si="55"/>
        <v>-14029.84375</v>
      </c>
      <c r="AD128" s="539">
        <f t="shared" si="55"/>
        <v>-12676.328125</v>
      </c>
      <c r="AE128" s="539">
        <f t="shared" si="55"/>
        <v>-7549.375</v>
      </c>
      <c r="AF128" s="539">
        <f t="shared" si="55"/>
        <v>-5744.6875</v>
      </c>
      <c r="AG128" s="539">
        <f t="shared" si="55"/>
        <v>-3940</v>
      </c>
      <c r="AH128" s="539">
        <f t="shared" si="55"/>
        <v>7126.237686929222</v>
      </c>
      <c r="AI128" s="539">
        <f t="shared" si="55"/>
        <v>9016.0731055402921</v>
      </c>
      <c r="AJ128" s="539">
        <f t="shared" si="55"/>
        <v>9015.6345801481111</v>
      </c>
      <c r="AK128" s="539">
        <f t="shared" si="55"/>
        <v>8995.9009374999987</v>
      </c>
      <c r="AL128" s="539">
        <f t="shared" si="55"/>
        <v>9091.9020262907597</v>
      </c>
      <c r="AM128" s="539">
        <f t="shared" si="55"/>
        <v>9174.3408567135994</v>
      </c>
      <c r="AN128" s="539">
        <f t="shared" si="55"/>
        <v>9173.8970475662918</v>
      </c>
      <c r="AO128" s="539">
        <f t="shared" si="55"/>
        <v>9153.9256359374995</v>
      </c>
      <c r="AP128" s="539">
        <f t="shared" si="55"/>
        <v>9251.9761612487546</v>
      </c>
      <c r="AQ128" s="539">
        <f t="shared" si="55"/>
        <v>9335.2061944272264</v>
      </c>
      <c r="AR128" s="539">
        <f t="shared" si="55"/>
        <v>9334.7570856154598</v>
      </c>
      <c r="AS128" s="539">
        <f t="shared" si="55"/>
        <v>9314.5471890859371</v>
      </c>
      <c r="AT128" s="539">
        <f t="shared" si="55"/>
        <v>9435.594366845693</v>
      </c>
      <c r="AU128" s="539">
        <f t="shared" si="55"/>
        <v>9477.8014538705866</v>
      </c>
      <c r="AV128" s="539">
        <f t="shared" si="55"/>
        <v>9498.2504502967968</v>
      </c>
      <c r="AW128" s="539">
        <f t="shared" si="55"/>
        <v>9473.4373793076247</v>
      </c>
      <c r="AX128" s="539">
        <f t="shared" si="55"/>
        <v>9580.0831993996253</v>
      </c>
      <c r="AY128" s="539">
        <f t="shared" si="55"/>
        <v>9664.8728945221992</v>
      </c>
      <c r="AZ128" s="539">
        <f t="shared" si="55"/>
        <v>9664.4131477429219</v>
      </c>
      <c r="BA128" s="539">
        <f t="shared" si="55"/>
        <v>9639.0105450525571</v>
      </c>
      <c r="BB128" s="539">
        <f t="shared" si="55"/>
        <v>9624.8356590516014</v>
      </c>
      <c r="BC128" s="539">
        <f t="shared" si="55"/>
        <v>9692.7614236034206</v>
      </c>
      <c r="BD128" s="539">
        <f t="shared" si="55"/>
        <v>9675.4589885497153</v>
      </c>
      <c r="BE128" s="539">
        <f t="shared" si="55"/>
        <v>9638.4507040270382</v>
      </c>
      <c r="BF128" s="539">
        <f t="shared" si="55"/>
        <v>9720.7935908740237</v>
      </c>
      <c r="BG128" s="539">
        <f t="shared" si="55"/>
        <v>9792.4419929069136</v>
      </c>
      <c r="BH128" s="539">
        <f t="shared" si="55"/>
        <v>9777.9664363635275</v>
      </c>
      <c r="BI128" s="539">
        <f t="shared" si="55"/>
        <v>9743.4226351504403</v>
      </c>
      <c r="BJ128" s="539">
        <f t="shared" si="55"/>
        <v>9852.3659888687216</v>
      </c>
      <c r="BK128" s="539">
        <f t="shared" si="55"/>
        <v>9883.4572104947692</v>
      </c>
      <c r="BL128" s="539">
        <f t="shared" si="55"/>
        <v>9893.2172202296188</v>
      </c>
      <c r="BM128" s="539">
        <f t="shared" si="55"/>
        <v>9860.6827761879267</v>
      </c>
      <c r="BN128" s="539">
        <f t="shared" si="55"/>
        <v>9952.0687470832363</v>
      </c>
      <c r="BO128" s="539">
        <f t="shared" si="55"/>
        <v>10029.716525225305</v>
      </c>
      <c r="BP128" s="539">
        <f t="shared" si="55"/>
        <v>10019.545629405566</v>
      </c>
      <c r="BQ128" s="539">
        <f t="shared" si="55"/>
        <v>9988.6420767608051</v>
      </c>
      <c r="BR128" s="539">
        <f t="shared" si="55"/>
        <v>10187.369081549388</v>
      </c>
      <c r="BS128" s="539">
        <f t="shared" si="55"/>
        <v>10267.445354990101</v>
      </c>
      <c r="BT128" s="539">
        <f t="shared" si="55"/>
        <v>10258.899041178202</v>
      </c>
      <c r="BU128" s="539">
        <f t="shared" si="55"/>
        <v>10229.311707665833</v>
      </c>
      <c r="BV128" s="539">
        <f t="shared" si="55"/>
        <v>10058.731640444626</v>
      </c>
      <c r="BW128" s="539">
        <f t="shared" si="55"/>
        <v>9344.5455321133577</v>
      </c>
      <c r="BX128" s="539">
        <f t="shared" si="55"/>
        <v>9321.7067066273194</v>
      </c>
      <c r="BY128" s="539">
        <f t="shared" si="55"/>
        <v>9278.2350148653059</v>
      </c>
      <c r="BZ128" s="539">
        <f t="shared" si="55"/>
        <v>9366.820362658149</v>
      </c>
      <c r="CA128" s="539">
        <f t="shared" si="55"/>
        <v>9391.5394041324525</v>
      </c>
      <c r="CB128" s="539">
        <f t="shared" si="55"/>
        <v>9325.6587104719256</v>
      </c>
      <c r="CC128" s="539">
        <f t="shared" si="55"/>
        <v>8945.0439358883377</v>
      </c>
      <c r="CD128" s="539">
        <f t="shared" si="55"/>
        <v>8979.3486456163082</v>
      </c>
      <c r="CE128" s="539">
        <f t="shared" si="55"/>
        <v>9046.6164747550774</v>
      </c>
      <c r="CF128" s="539">
        <f t="shared" si="55"/>
        <v>9023.0377831656751</v>
      </c>
      <c r="CG128" s="539">
        <f t="shared" si="55"/>
        <v>8973.8419199923192</v>
      </c>
      <c r="CH128" s="539">
        <f t="shared" si="55"/>
        <v>9016.1509382852164</v>
      </c>
      <c r="CI128" s="539">
        <f t="shared" si="55"/>
        <v>9085.5959504342063</v>
      </c>
      <c r="CJ128" s="539">
        <f t="shared" si="55"/>
        <v>9063.3706202664835</v>
      </c>
      <c r="CK128" s="539">
        <f t="shared" si="55"/>
        <v>9015.6767110387427</v>
      </c>
      <c r="CL128" s="539">
        <f t="shared" si="55"/>
        <v>9619.2585844250625</v>
      </c>
      <c r="CM128" s="539">
        <f t="shared" si="55"/>
        <v>9689.331069373402</v>
      </c>
      <c r="CN128" s="539">
        <f t="shared" si="55"/>
        <v>9666.913390670883</v>
      </c>
      <c r="CO128" s="539">
        <f t="shared" si="55"/>
        <v>9619.2269425792711</v>
      </c>
      <c r="CP128" s="539">
        <f t="shared" si="55"/>
        <v>9139.1530462928586</v>
      </c>
      <c r="CQ128" s="539">
        <f t="shared" si="55"/>
        <v>9160.9563368827476</v>
      </c>
      <c r="CR128" s="539">
        <f t="shared" si="55"/>
        <v>9163.7163616976522</v>
      </c>
      <c r="CS128" s="539">
        <f t="shared" si="55"/>
        <v>9117.6240403708798</v>
      </c>
      <c r="CT128" s="539">
        <f t="shared" si="55"/>
        <v>9172.7758942782111</v>
      </c>
      <c r="CU128" s="539">
        <f t="shared" si="55"/>
        <v>9245.5507180696623</v>
      </c>
      <c r="CV128" s="539">
        <f t="shared" si="55"/>
        <v>9224.3980348323803</v>
      </c>
      <c r="CW128" s="539">
        <f t="shared" si="55"/>
        <v>9178.5813878150875</v>
      </c>
      <c r="CX128" s="539">
        <f t="shared" si="55"/>
        <v>9237.5047308263493</v>
      </c>
      <c r="CY128" s="539">
        <f t="shared" si="55"/>
        <v>9310.5837191884038</v>
      </c>
      <c r="CZ128" s="539">
        <f t="shared" si="55"/>
        <v>9289.0498453167329</v>
      </c>
      <c r="DA128" s="539">
        <f t="shared" si="55"/>
        <v>9243.2109589200554</v>
      </c>
      <c r="DB128" s="539">
        <f t="shared" si="55"/>
        <v>9250.1759971050742</v>
      </c>
      <c r="DC128" s="539">
        <f t="shared" si="55"/>
        <v>9339.0671459746045</v>
      </c>
      <c r="DD128" s="539">
        <f t="shared" si="55"/>
        <v>9333.4126291791054</v>
      </c>
      <c r="DE128" s="539">
        <f t="shared" si="55"/>
        <v>9304.4998770319035</v>
      </c>
      <c r="DF128" s="539">
        <f t="shared" si="55"/>
        <v>10042.297500103878</v>
      </c>
      <c r="DG128" s="539">
        <f t="shared" si="55"/>
        <v>10083.037086594606</v>
      </c>
      <c r="DH128" s="539">
        <f t="shared" si="55"/>
        <v>10103.030440845592</v>
      </c>
      <c r="DI128" s="539">
        <f t="shared" si="55"/>
        <v>10074.710093976457</v>
      </c>
      <c r="DJ128" s="539">
        <f t="shared" si="55"/>
        <v>9531.0000277068248</v>
      </c>
      <c r="DK128" s="539">
        <f t="shared" si="55"/>
        <v>9622.5760692221538</v>
      </c>
      <c r="DL128" s="539">
        <f t="shared" si="55"/>
        <v>9618.4891847043327</v>
      </c>
      <c r="DM128" s="539">
        <f t="shared" si="55"/>
        <v>9590.6249782264968</v>
      </c>
      <c r="DN128" s="539">
        <f t="shared" si="55"/>
        <v>9679.6513243283043</v>
      </c>
      <c r="DO128" s="539">
        <f t="shared" si="55"/>
        <v>9772.3259446832872</v>
      </c>
      <c r="DP128" s="539">
        <f t="shared" si="55"/>
        <v>9768.8299907587207</v>
      </c>
      <c r="DQ128" s="539">
        <f t="shared" si="55"/>
        <v>9741.3091688148925</v>
      </c>
      <c r="DR128" s="539">
        <f t="shared" si="55"/>
        <v>9833.1752700445759</v>
      </c>
      <c r="DS128" s="539">
        <f t="shared" si="55"/>
        <v>9926.8134161951511</v>
      </c>
      <c r="DT128" s="539">
        <f t="shared" si="55"/>
        <v>9923.8082057289866</v>
      </c>
      <c r="DU128" s="539">
        <f t="shared" si="55"/>
        <v>9896.5376166003607</v>
      </c>
      <c r="DV128" s="539">
        <f t="shared" si="55"/>
        <v>10016.918852742816</v>
      </c>
      <c r="DW128" s="539">
        <f t="shared" si="55"/>
        <v>10059.983606963106</v>
      </c>
      <c r="DX128" s="539">
        <f t="shared" si="55"/>
        <v>10083.094712487115</v>
      </c>
      <c r="DY128" s="539">
        <f t="shared" si="55"/>
        <v>10055.997562626802</v>
      </c>
      <c r="DZ128" s="539">
        <f t="shared" si="55"/>
        <v>10153.459517752461</v>
      </c>
      <c r="EA128" s="539">
        <f t="shared" si="55"/>
        <v>10248.680194721674</v>
      </c>
      <c r="EB128" s="539">
        <f t="shared" si="55"/>
        <v>10246.420544942679</v>
      </c>
      <c r="EC128" s="539">
        <f t="shared" si="55"/>
        <v>10948.88102751593</v>
      </c>
      <c r="ED128" s="539">
        <f t="shared" si="55"/>
        <v>2308.4176722004668</v>
      </c>
      <c r="EE128" s="539">
        <f t="shared" si="55"/>
        <v>0</v>
      </c>
      <c r="EF128" s="539">
        <f t="shared" si="55"/>
        <v>0</v>
      </c>
      <c r="EG128" s="539">
        <f t="shared" si="55"/>
        <v>0</v>
      </c>
    </row>
    <row r="130" spans="5:7" ht="12.75">
      <c r="E130" s="535" t="str">
        <f>InpC!E$128</f>
        <v>Check tolerance</v>
      </c>
      <c r="F130" s="537">
        <f>InpC!F$128</f>
        <v>0.001</v>
      </c>
      <c r="G130" s="537" t="str">
        <f>InpC!G$128</f>
        <v>EUR 000s</v>
      </c>
    </row>
    <row r="131" spans="5:137" ht="12.75">
      <c r="E131" s="535" t="str">
        <f>Time!E$50</f>
        <v>Model period ending</v>
      </c>
      <c r="G131" s="536" t="str">
        <f>Time!G$50</f>
        <v>date</v>
      </c>
      <c r="J131" s="536">
        <f>Time!J$50</f>
        <v>46418</v>
      </c>
      <c r="K131" s="536">
        <f>Time!K$50</f>
        <v>46446</v>
      </c>
      <c r="L131" s="536">
        <f>Time!L$50</f>
        <v>46477</v>
      </c>
      <c r="M131" s="536">
        <f>Time!M$50</f>
        <v>46507</v>
      </c>
      <c r="N131" s="536">
        <f>Time!N$50</f>
        <v>46538</v>
      </c>
      <c r="O131" s="536">
        <f>Time!O$50</f>
        <v>46568</v>
      </c>
      <c r="P131" s="536">
        <f>Time!P$50</f>
        <v>46599</v>
      </c>
      <c r="Q131" s="536">
        <f>Time!Q$50</f>
        <v>46630</v>
      </c>
      <c r="R131" s="536">
        <f>Time!R$50</f>
        <v>46660</v>
      </c>
      <c r="S131" s="536">
        <f>Time!S$50</f>
        <v>46691</v>
      </c>
      <c r="T131" s="536">
        <f>Time!T$50</f>
        <v>46721</v>
      </c>
      <c r="U131" s="536">
        <f>Time!U$50</f>
        <v>46752</v>
      </c>
      <c r="V131" s="536">
        <f>Time!V$50</f>
        <v>46783</v>
      </c>
      <c r="W131" s="536">
        <f>Time!W$50</f>
        <v>46812</v>
      </c>
      <c r="X131" s="536">
        <f>Time!X$50</f>
        <v>46843</v>
      </c>
      <c r="Y131" s="536">
        <f>Time!Y$50</f>
        <v>46873</v>
      </c>
      <c r="Z131" s="536">
        <f>Time!Z$50</f>
        <v>46904</v>
      </c>
      <c r="AA131" s="536">
        <f>Time!AA$50</f>
        <v>46934</v>
      </c>
      <c r="AB131" s="536">
        <f>Time!AB$50</f>
        <v>46965</v>
      </c>
      <c r="AC131" s="536">
        <f>Time!AC$50</f>
        <v>46996</v>
      </c>
      <c r="AD131" s="536">
        <f>Time!AD$50</f>
        <v>47026</v>
      </c>
      <c r="AE131" s="536">
        <f>Time!AE$50</f>
        <v>47057</v>
      </c>
      <c r="AF131" s="536">
        <f>Time!AF$50</f>
        <v>47087</v>
      </c>
      <c r="AG131" s="536">
        <f>Time!AG$50</f>
        <v>47118</v>
      </c>
      <c r="AH131" s="536">
        <f>Time!AH$50</f>
        <v>47208</v>
      </c>
      <c r="AI131" s="536">
        <f>Time!AI$50</f>
        <v>47299</v>
      </c>
      <c r="AJ131" s="536">
        <f>Time!AJ$50</f>
        <v>47391</v>
      </c>
      <c r="AK131" s="536">
        <f>Time!AK$50</f>
        <v>47483</v>
      </c>
      <c r="AL131" s="536">
        <f>Time!AL$50</f>
        <v>47573</v>
      </c>
      <c r="AM131" s="536">
        <f>Time!AM$50</f>
        <v>47664</v>
      </c>
      <c r="AN131" s="536">
        <f>Time!AN$50</f>
        <v>47756</v>
      </c>
      <c r="AO131" s="536">
        <f>Time!AO$50</f>
        <v>47848</v>
      </c>
      <c r="AP131" s="536">
        <f>Time!AP$50</f>
        <v>47938</v>
      </c>
      <c r="AQ131" s="536">
        <f>Time!AQ$50</f>
        <v>48029</v>
      </c>
      <c r="AR131" s="536">
        <f>Time!AR$50</f>
        <v>48121</v>
      </c>
      <c r="AS131" s="536">
        <f>Time!AS$50</f>
        <v>48213</v>
      </c>
      <c r="AT131" s="536">
        <f>Time!AT$50</f>
        <v>48304</v>
      </c>
      <c r="AU131" s="536">
        <f>Time!AU$50</f>
        <v>48395</v>
      </c>
      <c r="AV131" s="536">
        <f>Time!AV$50</f>
        <v>48487</v>
      </c>
      <c r="AW131" s="536">
        <f>Time!AW$50</f>
        <v>48579</v>
      </c>
      <c r="AX131" s="536">
        <f>Time!AX$50</f>
        <v>48669</v>
      </c>
      <c r="AY131" s="536">
        <f>Time!AY$50</f>
        <v>48760</v>
      </c>
      <c r="AZ131" s="536">
        <f>Time!AZ$50</f>
        <v>48852</v>
      </c>
      <c r="BA131" s="536">
        <f>Time!BA$50</f>
        <v>48944</v>
      </c>
      <c r="BB131" s="536">
        <f>Time!BB$50</f>
        <v>49034</v>
      </c>
      <c r="BC131" s="536">
        <f>Time!BC$50</f>
        <v>49125</v>
      </c>
      <c r="BD131" s="536">
        <f>Time!BD$50</f>
        <v>49217</v>
      </c>
      <c r="BE131" s="536">
        <f>Time!BE$50</f>
        <v>49309</v>
      </c>
      <c r="BF131" s="536">
        <f>Time!BF$50</f>
        <v>49399</v>
      </c>
      <c r="BG131" s="536">
        <f>Time!BG$50</f>
        <v>49490</v>
      </c>
      <c r="BH131" s="536">
        <f>Time!BH$50</f>
        <v>49582</v>
      </c>
      <c r="BI131" s="536">
        <f>Time!BI$50</f>
        <v>49674</v>
      </c>
      <c r="BJ131" s="536">
        <f>Time!BJ$50</f>
        <v>49765</v>
      </c>
      <c r="BK131" s="536">
        <f>Time!BK$50</f>
        <v>49856</v>
      </c>
      <c r="BL131" s="536">
        <f>Time!BL$50</f>
        <v>49948</v>
      </c>
      <c r="BM131" s="536">
        <f>Time!BM$50</f>
        <v>50040</v>
      </c>
      <c r="BN131" s="536">
        <f>Time!BN$50</f>
        <v>50130</v>
      </c>
      <c r="BO131" s="536">
        <f>Time!BO$50</f>
        <v>50221</v>
      </c>
      <c r="BP131" s="536">
        <f>Time!BP$50</f>
        <v>50313</v>
      </c>
      <c r="BQ131" s="536">
        <f>Time!BQ$50</f>
        <v>50405</v>
      </c>
      <c r="BR131" s="536">
        <f>Time!BR$50</f>
        <v>50495</v>
      </c>
      <c r="BS131" s="536">
        <f>Time!BS$50</f>
        <v>50586</v>
      </c>
      <c r="BT131" s="536">
        <f>Time!BT$50</f>
        <v>50678</v>
      </c>
      <c r="BU131" s="536">
        <f>Time!BU$50</f>
        <v>50770</v>
      </c>
      <c r="BV131" s="536">
        <f>Time!BV$50</f>
        <v>50860</v>
      </c>
      <c r="BW131" s="536">
        <f>Time!BW$50</f>
        <v>50951</v>
      </c>
      <c r="BX131" s="536">
        <f>Time!BX$50</f>
        <v>51043</v>
      </c>
      <c r="BY131" s="536">
        <f>Time!BY$50</f>
        <v>51135</v>
      </c>
      <c r="BZ131" s="536">
        <f>Time!BZ$50</f>
        <v>51226</v>
      </c>
      <c r="CA131" s="536">
        <f>Time!CA$50</f>
        <v>51317</v>
      </c>
      <c r="CB131" s="536">
        <f>Time!CB$50</f>
        <v>51409</v>
      </c>
      <c r="CC131" s="536">
        <f>Time!CC$50</f>
        <v>51501</v>
      </c>
      <c r="CD131" s="536">
        <f>Time!CD$50</f>
        <v>51591</v>
      </c>
      <c r="CE131" s="536">
        <f>Time!CE$50</f>
        <v>51682</v>
      </c>
      <c r="CF131" s="536">
        <f>Time!CF$50</f>
        <v>51774</v>
      </c>
      <c r="CG131" s="536">
        <f>Time!CG$50</f>
        <v>51866</v>
      </c>
      <c r="CH131" s="536">
        <f>Time!CH$50</f>
        <v>51956</v>
      </c>
      <c r="CI131" s="536">
        <f>Time!CI$50</f>
        <v>52047</v>
      </c>
      <c r="CJ131" s="536">
        <f>Time!CJ$50</f>
        <v>52139</v>
      </c>
      <c r="CK131" s="536">
        <f>Time!CK$50</f>
        <v>52231</v>
      </c>
      <c r="CL131" s="536">
        <f>Time!CL$50</f>
        <v>52321</v>
      </c>
      <c r="CM131" s="536">
        <f>Time!CM$50</f>
        <v>52412</v>
      </c>
      <c r="CN131" s="536">
        <f>Time!CN$50</f>
        <v>52504</v>
      </c>
      <c r="CO131" s="536">
        <f>Time!CO$50</f>
        <v>52596</v>
      </c>
      <c r="CP131" s="536">
        <f>Time!CP$50</f>
        <v>52687</v>
      </c>
      <c r="CQ131" s="536">
        <f>Time!CQ$50</f>
        <v>52778</v>
      </c>
      <c r="CR131" s="536">
        <f>Time!CR$50</f>
        <v>52870</v>
      </c>
      <c r="CS131" s="536">
        <f>Time!CS$50</f>
        <v>52962</v>
      </c>
      <c r="CT131" s="536">
        <f>Time!CT$50</f>
        <v>53052</v>
      </c>
      <c r="CU131" s="536">
        <f>Time!CU$50</f>
        <v>53143</v>
      </c>
      <c r="CV131" s="536">
        <f>Time!CV$50</f>
        <v>53235</v>
      </c>
      <c r="CW131" s="536">
        <f>Time!CW$50</f>
        <v>53327</v>
      </c>
      <c r="CX131" s="536">
        <f>Time!CX$50</f>
        <v>53417</v>
      </c>
      <c r="CY131" s="536">
        <f>Time!CY$50</f>
        <v>53508</v>
      </c>
      <c r="CZ131" s="536">
        <f>Time!CZ$50</f>
        <v>53600</v>
      </c>
      <c r="DA131" s="536">
        <f>Time!DA$50</f>
        <v>53692</v>
      </c>
      <c r="DB131" s="536">
        <f>Time!DB$50</f>
        <v>53782</v>
      </c>
      <c r="DC131" s="536">
        <f>Time!DC$50</f>
        <v>53873</v>
      </c>
      <c r="DD131" s="536">
        <f>Time!DD$50</f>
        <v>53965</v>
      </c>
      <c r="DE131" s="536">
        <f>Time!DE$50</f>
        <v>54057</v>
      </c>
      <c r="DF131" s="536">
        <f>Time!DF$50</f>
        <v>54148</v>
      </c>
      <c r="DG131" s="536">
        <f>Time!DG$50</f>
        <v>54239</v>
      </c>
      <c r="DH131" s="536">
        <f>Time!DH$50</f>
        <v>54331</v>
      </c>
      <c r="DI131" s="536">
        <f>Time!DI$50</f>
        <v>54423</v>
      </c>
      <c r="DJ131" s="536">
        <f>Time!DJ$50</f>
        <v>54513</v>
      </c>
      <c r="DK131" s="536">
        <f>Time!DK$50</f>
        <v>54604</v>
      </c>
      <c r="DL131" s="536">
        <f>Time!DL$50</f>
        <v>54696</v>
      </c>
      <c r="DM131" s="536">
        <f>Time!DM$50</f>
        <v>54788</v>
      </c>
      <c r="DN131" s="536">
        <f>Time!DN$50</f>
        <v>54878</v>
      </c>
      <c r="DO131" s="536">
        <f>Time!DO$50</f>
        <v>54969</v>
      </c>
      <c r="DP131" s="536">
        <f>Time!DP$50</f>
        <v>55061</v>
      </c>
      <c r="DQ131" s="536">
        <f>Time!DQ$50</f>
        <v>55153</v>
      </c>
      <c r="DR131" s="536">
        <f>Time!DR$50</f>
        <v>55243</v>
      </c>
      <c r="DS131" s="536">
        <f>Time!DS$50</f>
        <v>55334</v>
      </c>
      <c r="DT131" s="536">
        <f>Time!DT$50</f>
        <v>55426</v>
      </c>
      <c r="DU131" s="536">
        <f>Time!DU$50</f>
        <v>55518</v>
      </c>
      <c r="DV131" s="536">
        <f>Time!DV$50</f>
        <v>55609</v>
      </c>
      <c r="DW131" s="536">
        <f>Time!DW$50</f>
        <v>55700</v>
      </c>
      <c r="DX131" s="536">
        <f>Time!DX$50</f>
        <v>55792</v>
      </c>
      <c r="DY131" s="536">
        <f>Time!DY$50</f>
        <v>55884</v>
      </c>
      <c r="DZ131" s="536">
        <f>Time!DZ$50</f>
        <v>55974</v>
      </c>
      <c r="EA131" s="536">
        <f>Time!EA$50</f>
        <v>56065</v>
      </c>
      <c r="EB131" s="536">
        <f>Time!EB$50</f>
        <v>56157</v>
      </c>
      <c r="EC131" s="536">
        <f>Time!EC$50</f>
        <v>56249</v>
      </c>
      <c r="ED131" s="536">
        <f>Time!ED$50</f>
        <v>56339</v>
      </c>
      <c r="EE131" s="536">
        <f>Time!EE$50</f>
        <v>56430</v>
      </c>
      <c r="EF131" s="536">
        <f>Time!EF$50</f>
        <v>56522</v>
      </c>
      <c r="EG131" s="536">
        <f>Time!EG$50</f>
        <v>56614</v>
      </c>
    </row>
    <row r="132" spans="5:137" ht="12.75">
      <c r="E132" s="538" t="str">
        <f>E$128</f>
        <v>Project - cash flow after tax, before debt service</v>
      </c>
      <c r="G132" s="539" t="str">
        <f>G$128</f>
        <v>EUR 000s</v>
      </c>
      <c r="H132" s="539">
        <f>H$128</f>
        <v>665825.19580528082</v>
      </c>
      <c r="J132" s="539">
        <f t="shared" si="56" ref="J132:EG132">J$128</f>
        <v>-9.9999999999999995E-07</v>
      </c>
      <c r="K132" s="539">
        <f t="shared" si="56"/>
        <v>0</v>
      </c>
      <c r="L132" s="539">
        <f t="shared" si="56"/>
        <v>-8000</v>
      </c>
      <c r="M132" s="539">
        <f t="shared" si="56"/>
        <v>-13291.5625</v>
      </c>
      <c r="N132" s="539">
        <f t="shared" si="56"/>
        <v>-13619.6875</v>
      </c>
      <c r="O132" s="539">
        <f t="shared" si="56"/>
        <v>-13291.5625</v>
      </c>
      <c r="P132" s="539">
        <f t="shared" si="56"/>
        <v>-13619.6875</v>
      </c>
      <c r="Q132" s="539">
        <f t="shared" si="56"/>
        <v>-13291.5625</v>
      </c>
      <c r="R132" s="539">
        <f t="shared" si="56"/>
        <v>-16941.953125</v>
      </c>
      <c r="S132" s="539">
        <f t="shared" si="56"/>
        <v>-17639.21875</v>
      </c>
      <c r="T132" s="539">
        <f t="shared" si="56"/>
        <v>-17967.34375</v>
      </c>
      <c r="U132" s="539">
        <f t="shared" si="56"/>
        <v>-18295.46875</v>
      </c>
      <c r="V132" s="539">
        <f t="shared" si="56"/>
        <v>-16982.96875</v>
      </c>
      <c r="W132" s="539">
        <f t="shared" si="56"/>
        <v>-16818.90625</v>
      </c>
      <c r="X132" s="539">
        <f t="shared" si="56"/>
        <v>-15014.21875</v>
      </c>
      <c r="Y132" s="539">
        <f t="shared" si="56"/>
        <v>-13045.46875</v>
      </c>
      <c r="Z132" s="539">
        <f t="shared" si="56"/>
        <v>-12061.09375</v>
      </c>
      <c r="AA132" s="539">
        <f t="shared" si="56"/>
        <v>-13537.65625</v>
      </c>
      <c r="AB132" s="539">
        <f t="shared" si="56"/>
        <v>-14193.90625</v>
      </c>
      <c r="AC132" s="539">
        <f t="shared" si="56"/>
        <v>-14029.84375</v>
      </c>
      <c r="AD132" s="539">
        <f t="shared" si="56"/>
        <v>-12676.328125</v>
      </c>
      <c r="AE132" s="539">
        <f t="shared" si="56"/>
        <v>-7549.375</v>
      </c>
      <c r="AF132" s="539">
        <f t="shared" si="56"/>
        <v>-5744.6875</v>
      </c>
      <c r="AG132" s="539">
        <f t="shared" si="56"/>
        <v>-3940</v>
      </c>
      <c r="AH132" s="539">
        <f t="shared" si="56"/>
        <v>7126.237686929222</v>
      </c>
      <c r="AI132" s="539">
        <f t="shared" si="56"/>
        <v>9016.0731055402921</v>
      </c>
      <c r="AJ132" s="539">
        <f t="shared" si="56"/>
        <v>9015.6345801481111</v>
      </c>
      <c r="AK132" s="539">
        <f t="shared" si="56"/>
        <v>8995.9009374999987</v>
      </c>
      <c r="AL132" s="539">
        <f t="shared" si="56"/>
        <v>9091.9020262907597</v>
      </c>
      <c r="AM132" s="539">
        <f t="shared" si="56"/>
        <v>9174.3408567135994</v>
      </c>
      <c r="AN132" s="539">
        <f t="shared" si="56"/>
        <v>9173.8970475662918</v>
      </c>
      <c r="AO132" s="539">
        <f t="shared" si="56"/>
        <v>9153.9256359374995</v>
      </c>
      <c r="AP132" s="539">
        <f t="shared" si="56"/>
        <v>9251.9761612487546</v>
      </c>
      <c r="AQ132" s="539">
        <f t="shared" si="56"/>
        <v>9335.2061944272264</v>
      </c>
      <c r="AR132" s="539">
        <f t="shared" si="56"/>
        <v>9334.7570856154598</v>
      </c>
      <c r="AS132" s="539">
        <f t="shared" si="56"/>
        <v>9314.5471890859371</v>
      </c>
      <c r="AT132" s="539">
        <f t="shared" si="56"/>
        <v>9435.594366845693</v>
      </c>
      <c r="AU132" s="539">
        <f t="shared" si="56"/>
        <v>9477.8014538705866</v>
      </c>
      <c r="AV132" s="539">
        <f t="shared" si="56"/>
        <v>9498.2504502967968</v>
      </c>
      <c r="AW132" s="539">
        <f t="shared" si="56"/>
        <v>9473.4373793076247</v>
      </c>
      <c r="AX132" s="539">
        <f t="shared" si="56"/>
        <v>9580.0831993996253</v>
      </c>
      <c r="AY132" s="539">
        <f t="shared" si="56"/>
        <v>9664.8728945221992</v>
      </c>
      <c r="AZ132" s="539">
        <f t="shared" si="56"/>
        <v>9664.4131477429219</v>
      </c>
      <c r="BA132" s="539">
        <f t="shared" si="56"/>
        <v>9639.0105450525571</v>
      </c>
      <c r="BB132" s="539">
        <f t="shared" si="56"/>
        <v>9624.8356590516014</v>
      </c>
      <c r="BC132" s="539">
        <f t="shared" si="56"/>
        <v>9692.7614236034206</v>
      </c>
      <c r="BD132" s="539">
        <f t="shared" si="56"/>
        <v>9675.4589885497153</v>
      </c>
      <c r="BE132" s="539">
        <f t="shared" si="56"/>
        <v>9638.4507040270382</v>
      </c>
      <c r="BF132" s="539">
        <f t="shared" si="56"/>
        <v>9720.7935908740237</v>
      </c>
      <c r="BG132" s="539">
        <f t="shared" si="56"/>
        <v>9792.4419929069136</v>
      </c>
      <c r="BH132" s="539">
        <f t="shared" si="56"/>
        <v>9777.9664363635275</v>
      </c>
      <c r="BI132" s="539">
        <f t="shared" si="56"/>
        <v>9743.4226351504403</v>
      </c>
      <c r="BJ132" s="539">
        <f t="shared" si="56"/>
        <v>9852.3659888687216</v>
      </c>
      <c r="BK132" s="539">
        <f t="shared" si="56"/>
        <v>9883.4572104947692</v>
      </c>
      <c r="BL132" s="539">
        <f t="shared" si="56"/>
        <v>9893.2172202296188</v>
      </c>
      <c r="BM132" s="539">
        <f t="shared" si="56"/>
        <v>9860.6827761879267</v>
      </c>
      <c r="BN132" s="539">
        <f t="shared" si="56"/>
        <v>9952.0687470832363</v>
      </c>
      <c r="BO132" s="539">
        <f t="shared" si="56"/>
        <v>10029.716525225305</v>
      </c>
      <c r="BP132" s="539">
        <f t="shared" si="56"/>
        <v>10019.545629405566</v>
      </c>
      <c r="BQ132" s="539">
        <f t="shared" si="56"/>
        <v>9988.6420767608051</v>
      </c>
      <c r="BR132" s="539">
        <f t="shared" si="56"/>
        <v>10187.369081549388</v>
      </c>
      <c r="BS132" s="539">
        <f t="shared" si="56"/>
        <v>10267.445354990101</v>
      </c>
      <c r="BT132" s="539">
        <f t="shared" si="56"/>
        <v>10258.899041178202</v>
      </c>
      <c r="BU132" s="539">
        <f t="shared" si="56"/>
        <v>10229.311707665833</v>
      </c>
      <c r="BV132" s="539">
        <f t="shared" si="56"/>
        <v>10058.731640444626</v>
      </c>
      <c r="BW132" s="539">
        <f t="shared" si="56"/>
        <v>9344.5455321133577</v>
      </c>
      <c r="BX132" s="539">
        <f t="shared" si="56"/>
        <v>9321.7067066273194</v>
      </c>
      <c r="BY132" s="539">
        <f t="shared" si="56"/>
        <v>9278.2350148653059</v>
      </c>
      <c r="BZ132" s="539">
        <f t="shared" si="56"/>
        <v>9366.820362658149</v>
      </c>
      <c r="CA132" s="539">
        <f t="shared" si="56"/>
        <v>9391.5394041324525</v>
      </c>
      <c r="CB132" s="539">
        <f t="shared" si="56"/>
        <v>9325.6587104719256</v>
      </c>
      <c r="CC132" s="539">
        <f t="shared" si="56"/>
        <v>8945.0439358883377</v>
      </c>
      <c r="CD132" s="539">
        <f t="shared" si="56"/>
        <v>8979.3486456163082</v>
      </c>
      <c r="CE132" s="539">
        <f t="shared" si="56"/>
        <v>9046.6164747550774</v>
      </c>
      <c r="CF132" s="539">
        <f t="shared" si="56"/>
        <v>9023.0377831656751</v>
      </c>
      <c r="CG132" s="539">
        <f t="shared" si="56"/>
        <v>8973.8419199923192</v>
      </c>
      <c r="CH132" s="539">
        <f t="shared" si="56"/>
        <v>9016.1509382852164</v>
      </c>
      <c r="CI132" s="539">
        <f t="shared" si="56"/>
        <v>9085.5959504342063</v>
      </c>
      <c r="CJ132" s="539">
        <f t="shared" si="56"/>
        <v>9063.3706202664835</v>
      </c>
      <c r="CK132" s="539">
        <f t="shared" si="56"/>
        <v>9015.6767110387427</v>
      </c>
      <c r="CL132" s="539">
        <f t="shared" si="56"/>
        <v>9619.2585844250625</v>
      </c>
      <c r="CM132" s="539">
        <f t="shared" si="56"/>
        <v>9689.331069373402</v>
      </c>
      <c r="CN132" s="539">
        <f t="shared" si="56"/>
        <v>9666.913390670883</v>
      </c>
      <c r="CO132" s="539">
        <f t="shared" si="56"/>
        <v>9619.2269425792711</v>
      </c>
      <c r="CP132" s="539">
        <f t="shared" si="56"/>
        <v>9139.1530462928586</v>
      </c>
      <c r="CQ132" s="539">
        <f t="shared" si="56"/>
        <v>9160.9563368827476</v>
      </c>
      <c r="CR132" s="539">
        <f t="shared" si="56"/>
        <v>9163.7163616976522</v>
      </c>
      <c r="CS132" s="539">
        <f t="shared" si="56"/>
        <v>9117.6240403708798</v>
      </c>
      <c r="CT132" s="539">
        <f t="shared" si="56"/>
        <v>9172.7758942782111</v>
      </c>
      <c r="CU132" s="539">
        <f t="shared" si="56"/>
        <v>9245.5507180696623</v>
      </c>
      <c r="CV132" s="539">
        <f t="shared" si="56"/>
        <v>9224.3980348323803</v>
      </c>
      <c r="CW132" s="539">
        <f t="shared" si="56"/>
        <v>9178.5813878150875</v>
      </c>
      <c r="CX132" s="539">
        <f t="shared" si="56"/>
        <v>9237.5047308263493</v>
      </c>
      <c r="CY132" s="539">
        <f t="shared" si="56"/>
        <v>9310.5837191884038</v>
      </c>
      <c r="CZ132" s="539">
        <f t="shared" si="56"/>
        <v>9289.0498453167329</v>
      </c>
      <c r="DA132" s="539">
        <f t="shared" si="56"/>
        <v>9243.2109589200554</v>
      </c>
      <c r="DB132" s="539">
        <f t="shared" si="56"/>
        <v>9250.1759971050742</v>
      </c>
      <c r="DC132" s="539">
        <f t="shared" si="56"/>
        <v>9339.0671459746045</v>
      </c>
      <c r="DD132" s="539">
        <f t="shared" si="56"/>
        <v>9333.4126291791054</v>
      </c>
      <c r="DE132" s="539">
        <f t="shared" si="56"/>
        <v>9304.4998770319035</v>
      </c>
      <c r="DF132" s="539">
        <f t="shared" si="56"/>
        <v>10042.297500103878</v>
      </c>
      <c r="DG132" s="539">
        <f t="shared" si="56"/>
        <v>10083.037086594606</v>
      </c>
      <c r="DH132" s="539">
        <f t="shared" si="56"/>
        <v>10103.030440845592</v>
      </c>
      <c r="DI132" s="539">
        <f t="shared" si="56"/>
        <v>10074.710093976457</v>
      </c>
      <c r="DJ132" s="539">
        <f t="shared" si="56"/>
        <v>9531.0000277068248</v>
      </c>
      <c r="DK132" s="539">
        <f t="shared" si="56"/>
        <v>9622.5760692221538</v>
      </c>
      <c r="DL132" s="539">
        <f t="shared" si="56"/>
        <v>9618.4891847043327</v>
      </c>
      <c r="DM132" s="539">
        <f t="shared" si="56"/>
        <v>9590.6249782264968</v>
      </c>
      <c r="DN132" s="539">
        <f t="shared" si="56"/>
        <v>9679.6513243283043</v>
      </c>
      <c r="DO132" s="539">
        <f t="shared" si="56"/>
        <v>9772.3259446832872</v>
      </c>
      <c r="DP132" s="539">
        <f t="shared" si="56"/>
        <v>9768.8299907587207</v>
      </c>
      <c r="DQ132" s="539">
        <f t="shared" si="56"/>
        <v>9741.3091688148925</v>
      </c>
      <c r="DR132" s="539">
        <f t="shared" si="56"/>
        <v>9833.1752700445759</v>
      </c>
      <c r="DS132" s="539">
        <f t="shared" si="56"/>
        <v>9926.8134161951511</v>
      </c>
      <c r="DT132" s="539">
        <f t="shared" si="56"/>
        <v>9923.8082057289866</v>
      </c>
      <c r="DU132" s="539">
        <f t="shared" si="56"/>
        <v>9896.5376166003607</v>
      </c>
      <c r="DV132" s="539">
        <f t="shared" si="56"/>
        <v>10016.918852742816</v>
      </c>
      <c r="DW132" s="539">
        <f t="shared" si="56"/>
        <v>10059.983606963106</v>
      </c>
      <c r="DX132" s="539">
        <f t="shared" si="56"/>
        <v>10083.094712487115</v>
      </c>
      <c r="DY132" s="539">
        <f t="shared" si="56"/>
        <v>10055.997562626802</v>
      </c>
      <c r="DZ132" s="539">
        <f t="shared" si="56"/>
        <v>10153.459517752461</v>
      </c>
      <c r="EA132" s="539">
        <f t="shared" si="56"/>
        <v>10248.680194721674</v>
      </c>
      <c r="EB132" s="539">
        <f t="shared" si="56"/>
        <v>10246.420544942679</v>
      </c>
      <c r="EC132" s="539">
        <f t="shared" si="56"/>
        <v>10948.88102751593</v>
      </c>
      <c r="ED132" s="539">
        <f t="shared" si="56"/>
        <v>2308.4176722004668</v>
      </c>
      <c r="EE132" s="539">
        <f t="shared" si="56"/>
        <v>0</v>
      </c>
      <c r="EF132" s="539">
        <f t="shared" si="56"/>
        <v>0</v>
      </c>
      <c r="EG132" s="539">
        <f t="shared" si="56"/>
        <v>0</v>
      </c>
    </row>
    <row r="133" spans="5:7" ht="12.75">
      <c r="E133" s="538" t="s">
        <v>493</v>
      </c>
      <c r="F133" s="550">
        <f>IF(AND(MIN($J132:$EG132)&lt;-$F130,MAX($J132:$EG132)&gt;$F130),XIRR($J132:$EG132,$J131:$EG131),0)</f>
        <v>0.11329592441896641</v>
      </c>
      <c r="G133" s="550" t="s">
        <v>35</v>
      </c>
    </row>
    <row r="136" spans="1:1" ht="12.75">
      <c r="A136" s="534" t="s">
        <v>494</v>
      </c>
    </row>
    <row r="138" spans="2:2" ht="12.75">
      <c r="B138" s="534" t="s">
        <v>495</v>
      </c>
    </row>
    <row r="139" spans="5:7" ht="12.75">
      <c r="E139" s="535" t="str">
        <f>InpC!E$128</f>
        <v>Check tolerance</v>
      </c>
      <c r="F139" s="537">
        <f>InpC!F$128</f>
        <v>0.001</v>
      </c>
      <c r="G139" s="537" t="str">
        <f>InpC!G$128</f>
        <v>EUR 000s</v>
      </c>
    </row>
    <row r="140" spans="5:137" ht="12.75">
      <c r="E140" s="535" t="str">
        <f>Debt!E$15</f>
        <v>Senior facility - repayment period flag</v>
      </c>
      <c r="G140" s="537" t="str">
        <f>Debt!G$15</f>
        <v>flag</v>
      </c>
      <c r="H140" s="537">
        <f>Debt!H$15</f>
        <v>72</v>
      </c>
      <c r="J140" s="537">
        <f>Debt!J$15</f>
        <v>0</v>
      </c>
      <c r="K140" s="537">
        <f>Debt!K$15</f>
        <v>0</v>
      </c>
      <c r="L140" s="537">
        <f>Debt!L$15</f>
        <v>0</v>
      </c>
      <c r="M140" s="537">
        <f>Debt!M$15</f>
        <v>0</v>
      </c>
      <c r="N140" s="537">
        <f>Debt!N$15</f>
        <v>0</v>
      </c>
      <c r="O140" s="537">
        <f>Debt!O$15</f>
        <v>0</v>
      </c>
      <c r="P140" s="537">
        <f>Debt!P$15</f>
        <v>0</v>
      </c>
      <c r="Q140" s="537">
        <f>Debt!Q$15</f>
        <v>0</v>
      </c>
      <c r="R140" s="537">
        <f>Debt!R$15</f>
        <v>0</v>
      </c>
      <c r="S140" s="537">
        <f>Debt!S$15</f>
        <v>0</v>
      </c>
      <c r="T140" s="537">
        <f>Debt!T$15</f>
        <v>0</v>
      </c>
      <c r="U140" s="537">
        <f>Debt!U$15</f>
        <v>0</v>
      </c>
      <c r="V140" s="537">
        <f>Debt!V$15</f>
        <v>0</v>
      </c>
      <c r="W140" s="537">
        <f>Debt!W$15</f>
        <v>0</v>
      </c>
      <c r="X140" s="537">
        <f>Debt!X$15</f>
        <v>0</v>
      </c>
      <c r="Y140" s="537">
        <f>Debt!Y$15</f>
        <v>0</v>
      </c>
      <c r="Z140" s="537">
        <f>Debt!Z$15</f>
        <v>0</v>
      </c>
      <c r="AA140" s="537">
        <f>Debt!AA$15</f>
        <v>0</v>
      </c>
      <c r="AB140" s="537">
        <f>Debt!AB$15</f>
        <v>0</v>
      </c>
      <c r="AC140" s="537">
        <f>Debt!AC$15</f>
        <v>0</v>
      </c>
      <c r="AD140" s="537">
        <f>Debt!AD$15</f>
        <v>0</v>
      </c>
      <c r="AE140" s="537">
        <f>Debt!AE$15</f>
        <v>0</v>
      </c>
      <c r="AF140" s="537">
        <f>Debt!AF$15</f>
        <v>0</v>
      </c>
      <c r="AG140" s="537">
        <f>Debt!AG$15</f>
        <v>0</v>
      </c>
      <c r="AH140" s="537">
        <f>Debt!AH$15</f>
        <v>1</v>
      </c>
      <c r="AI140" s="537">
        <f>Debt!AI$15</f>
        <v>1</v>
      </c>
      <c r="AJ140" s="537">
        <f>Debt!AJ$15</f>
        <v>1</v>
      </c>
      <c r="AK140" s="537">
        <f>Debt!AK$15</f>
        <v>1</v>
      </c>
      <c r="AL140" s="537">
        <f>Debt!AL$15</f>
        <v>1</v>
      </c>
      <c r="AM140" s="537">
        <f>Debt!AM$15</f>
        <v>1</v>
      </c>
      <c r="AN140" s="537">
        <f>Debt!AN$15</f>
        <v>1</v>
      </c>
      <c r="AO140" s="537">
        <f>Debt!AO$15</f>
        <v>1</v>
      </c>
      <c r="AP140" s="537">
        <f>Debt!AP$15</f>
        <v>1</v>
      </c>
      <c r="AQ140" s="537">
        <f>Debt!AQ$15</f>
        <v>1</v>
      </c>
      <c r="AR140" s="537">
        <f>Debt!AR$15</f>
        <v>1</v>
      </c>
      <c r="AS140" s="537">
        <f>Debt!AS$15</f>
        <v>1</v>
      </c>
      <c r="AT140" s="537">
        <f>Debt!AT$15</f>
        <v>1</v>
      </c>
      <c r="AU140" s="537">
        <f>Debt!AU$15</f>
        <v>1</v>
      </c>
      <c r="AV140" s="537">
        <f>Debt!AV$15</f>
        <v>1</v>
      </c>
      <c r="AW140" s="537">
        <f>Debt!AW$15</f>
        <v>1</v>
      </c>
      <c r="AX140" s="537">
        <f>Debt!AX$15</f>
        <v>1</v>
      </c>
      <c r="AY140" s="537">
        <f>Debt!AY$15</f>
        <v>1</v>
      </c>
      <c r="AZ140" s="537">
        <f>Debt!AZ$15</f>
        <v>1</v>
      </c>
      <c r="BA140" s="537">
        <f>Debt!BA$15</f>
        <v>1</v>
      </c>
      <c r="BB140" s="537">
        <f>Debt!BB$15</f>
        <v>1</v>
      </c>
      <c r="BC140" s="537">
        <f>Debt!BC$15</f>
        <v>1</v>
      </c>
      <c r="BD140" s="537">
        <f>Debt!BD$15</f>
        <v>1</v>
      </c>
      <c r="BE140" s="537">
        <f>Debt!BE$15</f>
        <v>1</v>
      </c>
      <c r="BF140" s="537">
        <f>Debt!BF$15</f>
        <v>1</v>
      </c>
      <c r="BG140" s="537">
        <f>Debt!BG$15</f>
        <v>1</v>
      </c>
      <c r="BH140" s="537">
        <f>Debt!BH$15</f>
        <v>1</v>
      </c>
      <c r="BI140" s="537">
        <f>Debt!BI$15</f>
        <v>1</v>
      </c>
      <c r="BJ140" s="537">
        <f>Debt!BJ$15</f>
        <v>1</v>
      </c>
      <c r="BK140" s="537">
        <f>Debt!BK$15</f>
        <v>1</v>
      </c>
      <c r="BL140" s="537">
        <f>Debt!BL$15</f>
        <v>1</v>
      </c>
      <c r="BM140" s="537">
        <f>Debt!BM$15</f>
        <v>1</v>
      </c>
      <c r="BN140" s="537">
        <f>Debt!BN$15</f>
        <v>1</v>
      </c>
      <c r="BO140" s="537">
        <f>Debt!BO$15</f>
        <v>1</v>
      </c>
      <c r="BP140" s="537">
        <f>Debt!BP$15</f>
        <v>1</v>
      </c>
      <c r="BQ140" s="537">
        <f>Debt!BQ$15</f>
        <v>1</v>
      </c>
      <c r="BR140" s="537">
        <f>Debt!BR$15</f>
        <v>1</v>
      </c>
      <c r="BS140" s="537">
        <f>Debt!BS$15</f>
        <v>1</v>
      </c>
      <c r="BT140" s="537">
        <f>Debt!BT$15</f>
        <v>1</v>
      </c>
      <c r="BU140" s="537">
        <f>Debt!BU$15</f>
        <v>1</v>
      </c>
      <c r="BV140" s="537">
        <f>Debt!BV$15</f>
        <v>1</v>
      </c>
      <c r="BW140" s="537">
        <f>Debt!BW$15</f>
        <v>1</v>
      </c>
      <c r="BX140" s="537">
        <f>Debt!BX$15</f>
        <v>1</v>
      </c>
      <c r="BY140" s="537">
        <f>Debt!BY$15</f>
        <v>1</v>
      </c>
      <c r="BZ140" s="537">
        <f>Debt!BZ$15</f>
        <v>1</v>
      </c>
      <c r="CA140" s="537">
        <f>Debt!CA$15</f>
        <v>1</v>
      </c>
      <c r="CB140" s="537">
        <f>Debt!CB$15</f>
        <v>1</v>
      </c>
      <c r="CC140" s="537">
        <f>Debt!CC$15</f>
        <v>1</v>
      </c>
      <c r="CD140" s="537">
        <f>Debt!CD$15</f>
        <v>1</v>
      </c>
      <c r="CE140" s="537">
        <f>Debt!CE$15</f>
        <v>1</v>
      </c>
      <c r="CF140" s="537">
        <f>Debt!CF$15</f>
        <v>1</v>
      </c>
      <c r="CG140" s="537">
        <f>Debt!CG$15</f>
        <v>1</v>
      </c>
      <c r="CH140" s="537">
        <f>Debt!CH$15</f>
        <v>1</v>
      </c>
      <c r="CI140" s="537">
        <f>Debt!CI$15</f>
        <v>1</v>
      </c>
      <c r="CJ140" s="537">
        <f>Debt!CJ$15</f>
        <v>1</v>
      </c>
      <c r="CK140" s="537">
        <f>Debt!CK$15</f>
        <v>1</v>
      </c>
      <c r="CL140" s="537">
        <f>Debt!CL$15</f>
        <v>1</v>
      </c>
      <c r="CM140" s="537">
        <f>Debt!CM$15</f>
        <v>1</v>
      </c>
      <c r="CN140" s="537">
        <f>Debt!CN$15</f>
        <v>1</v>
      </c>
      <c r="CO140" s="537">
        <f>Debt!CO$15</f>
        <v>1</v>
      </c>
      <c r="CP140" s="537">
        <f>Debt!CP$15</f>
        <v>1</v>
      </c>
      <c r="CQ140" s="537">
        <f>Debt!CQ$15</f>
        <v>1</v>
      </c>
      <c r="CR140" s="537">
        <f>Debt!CR$15</f>
        <v>1</v>
      </c>
      <c r="CS140" s="537">
        <f>Debt!CS$15</f>
        <v>1</v>
      </c>
      <c r="CT140" s="537">
        <f>Debt!CT$15</f>
        <v>1</v>
      </c>
      <c r="CU140" s="537">
        <f>Debt!CU$15</f>
        <v>1</v>
      </c>
      <c r="CV140" s="537">
        <f>Debt!CV$15</f>
        <v>1</v>
      </c>
      <c r="CW140" s="537">
        <f>Debt!CW$15</f>
        <v>1</v>
      </c>
      <c r="CX140" s="537">
        <f>Debt!CX$15</f>
        <v>1</v>
      </c>
      <c r="CY140" s="537">
        <f>Debt!CY$15</f>
        <v>1</v>
      </c>
      <c r="CZ140" s="537">
        <f>Debt!CZ$15</f>
        <v>1</v>
      </c>
      <c r="DA140" s="537">
        <f>Debt!DA$15</f>
        <v>1</v>
      </c>
      <c r="DB140" s="537">
        <f>Debt!DB$15</f>
        <v>0</v>
      </c>
      <c r="DC140" s="537">
        <f>Debt!DC$15</f>
        <v>0</v>
      </c>
      <c r="DD140" s="537">
        <f>Debt!DD$15</f>
        <v>0</v>
      </c>
      <c r="DE140" s="537">
        <f>Debt!DE$15</f>
        <v>0</v>
      </c>
      <c r="DF140" s="537">
        <f>Debt!DF$15</f>
        <v>0</v>
      </c>
      <c r="DG140" s="537">
        <f>Debt!DG$15</f>
        <v>0</v>
      </c>
      <c r="DH140" s="537">
        <f>Debt!DH$15</f>
        <v>0</v>
      </c>
      <c r="DI140" s="537">
        <f>Debt!DI$15</f>
        <v>0</v>
      </c>
      <c r="DJ140" s="537">
        <f>Debt!DJ$15</f>
        <v>0</v>
      </c>
      <c r="DK140" s="537">
        <f>Debt!DK$15</f>
        <v>0</v>
      </c>
      <c r="DL140" s="537">
        <f>Debt!DL$15</f>
        <v>0</v>
      </c>
      <c r="DM140" s="537">
        <f>Debt!DM$15</f>
        <v>0</v>
      </c>
      <c r="DN140" s="537">
        <f>Debt!DN$15</f>
        <v>0</v>
      </c>
      <c r="DO140" s="537">
        <f>Debt!DO$15</f>
        <v>0</v>
      </c>
      <c r="DP140" s="537">
        <f>Debt!DP$15</f>
        <v>0</v>
      </c>
      <c r="DQ140" s="537">
        <f>Debt!DQ$15</f>
        <v>0</v>
      </c>
      <c r="DR140" s="537">
        <f>Debt!DR$15</f>
        <v>0</v>
      </c>
      <c r="DS140" s="537">
        <f>Debt!DS$15</f>
        <v>0</v>
      </c>
      <c r="DT140" s="537">
        <f>Debt!DT$15</f>
        <v>0</v>
      </c>
      <c r="DU140" s="537">
        <f>Debt!DU$15</f>
        <v>0</v>
      </c>
      <c r="DV140" s="537">
        <f>Debt!DV$15</f>
        <v>0</v>
      </c>
      <c r="DW140" s="537">
        <f>Debt!DW$15</f>
        <v>0</v>
      </c>
      <c r="DX140" s="537">
        <f>Debt!DX$15</f>
        <v>0</v>
      </c>
      <c r="DY140" s="537">
        <f>Debt!DY$15</f>
        <v>0</v>
      </c>
      <c r="DZ140" s="537">
        <f>Debt!DZ$15</f>
        <v>0</v>
      </c>
      <c r="EA140" s="537">
        <f>Debt!EA$15</f>
        <v>0</v>
      </c>
      <c r="EB140" s="537">
        <f>Debt!EB$15</f>
        <v>0</v>
      </c>
      <c r="EC140" s="537">
        <f>Debt!EC$15</f>
        <v>0</v>
      </c>
      <c r="ED140" s="537">
        <f>Debt!ED$15</f>
        <v>0</v>
      </c>
      <c r="EE140" s="537">
        <f>Debt!EE$15</f>
        <v>0</v>
      </c>
      <c r="EF140" s="537">
        <f>Debt!EF$15</f>
        <v>0</v>
      </c>
      <c r="EG140" s="537">
        <f>Debt!EG$15</f>
        <v>0</v>
      </c>
    </row>
    <row r="141" spans="5:137" ht="12.75">
      <c r="E141" s="535" t="str">
        <f>Debt!E$104</f>
        <v>Senior facility - debt service</v>
      </c>
      <c r="G141" s="537" t="str">
        <f>Debt!G$104</f>
        <v>EUR 000s</v>
      </c>
      <c r="H141" s="537">
        <f>Debt!H$104</f>
        <v>350432.93778912647</v>
      </c>
      <c r="J141" s="537">
        <f>Debt!J$104</f>
        <v>0</v>
      </c>
      <c r="K141" s="537">
        <f>Debt!K$104</f>
        <v>0</v>
      </c>
      <c r="L141" s="537">
        <f>Debt!L$104</f>
        <v>0</v>
      </c>
      <c r="M141" s="537">
        <f>Debt!M$104</f>
        <v>0</v>
      </c>
      <c r="N141" s="537">
        <f>Debt!N$104</f>
        <v>0</v>
      </c>
      <c r="O141" s="537">
        <f>Debt!O$104</f>
        <v>0</v>
      </c>
      <c r="P141" s="537">
        <f>Debt!P$104</f>
        <v>-1.8189894035458565E-12</v>
      </c>
      <c r="Q141" s="537">
        <f>Debt!Q$104</f>
        <v>0</v>
      </c>
      <c r="R141" s="537">
        <f>Debt!R$104</f>
        <v>0</v>
      </c>
      <c r="S141" s="537">
        <f>Debt!S$104</f>
        <v>0</v>
      </c>
      <c r="T141" s="537">
        <f>Debt!T$104</f>
        <v>0</v>
      </c>
      <c r="U141" s="537">
        <f>Debt!U$104</f>
        <v>0</v>
      </c>
      <c r="V141" s="537">
        <f>Debt!V$104</f>
        <v>0</v>
      </c>
      <c r="W141" s="537">
        <f>Debt!W$104</f>
        <v>0</v>
      </c>
      <c r="X141" s="537">
        <f>Debt!X$104</f>
        <v>0</v>
      </c>
      <c r="Y141" s="537">
        <f>Debt!Y$104</f>
        <v>0</v>
      </c>
      <c r="Z141" s="537">
        <f>Debt!Z$104</f>
        <v>0</v>
      </c>
      <c r="AA141" s="537">
        <f>Debt!AA$104</f>
        <v>0</v>
      </c>
      <c r="AB141" s="537">
        <f>Debt!AB$104</f>
        <v>0</v>
      </c>
      <c r="AC141" s="537">
        <f>Debt!AC$104</f>
        <v>0</v>
      </c>
      <c r="AD141" s="537">
        <f>Debt!AD$104</f>
        <v>0</v>
      </c>
      <c r="AE141" s="537">
        <f>Debt!AE$104</f>
        <v>0</v>
      </c>
      <c r="AF141" s="537">
        <f>Debt!AF$104</f>
        <v>0</v>
      </c>
      <c r="AG141" s="537">
        <f>Debt!AG$104</f>
        <v>0</v>
      </c>
      <c r="AH141" s="537">
        <f>Debt!AH$104</f>
        <v>3678.8348581698501</v>
      </c>
      <c r="AI141" s="537">
        <f>Debt!AI$104</f>
        <v>4654.4397593286103</v>
      </c>
      <c r="AJ141" s="537">
        <f>Debt!AJ$104</f>
        <v>4654.2133758469154</v>
      </c>
      <c r="AK141" s="537">
        <f>Debt!AK$104</f>
        <v>4644.0261191706895</v>
      </c>
      <c r="AL141" s="537">
        <f>Debt!AL$104</f>
        <v>4693.5855314975461</v>
      </c>
      <c r="AM141" s="537">
        <f>Debt!AM$104</f>
        <v>4736.1435903709635</v>
      </c>
      <c r="AN141" s="537">
        <f>Debt!AN$104</f>
        <v>4735.9144792139659</v>
      </c>
      <c r="AO141" s="537">
        <f>Debt!AO$104</f>
        <v>4725.6044771491152</v>
      </c>
      <c r="AP141" s="537">
        <f>Debt!AP$104</f>
        <v>4776.2218865345076</v>
      </c>
      <c r="AQ141" s="537">
        <f>Debt!AQ$104</f>
        <v>4819.1883943546436</v>
      </c>
      <c r="AR141" s="537">
        <f>Debt!AR$104</f>
        <v>4818.9565473093417</v>
      </c>
      <c r="AS141" s="537">
        <f>Debt!AS$104</f>
        <v>4808.523430270714</v>
      </c>
      <c r="AT141" s="537">
        <f>Debt!AT$104</f>
        <v>4871.0125860621984</v>
      </c>
      <c r="AU141" s="537">
        <f>Debt!AU$104</f>
        <v>4892.8014892437168</v>
      </c>
      <c r="AV141" s="537">
        <f>Debt!AV$104</f>
        <v>4903.358038740419</v>
      </c>
      <c r="AW141" s="537">
        <f>Debt!AW$104</f>
        <v>4890.5485880171236</v>
      </c>
      <c r="AX141" s="537">
        <f>Debt!AX$104</f>
        <v>4945.6032153911401</v>
      </c>
      <c r="AY141" s="537">
        <f>Debt!AY$104</f>
        <v>4989.3748800105577</v>
      </c>
      <c r="AZ141" s="537">
        <f>Debt!AZ$104</f>
        <v>4989.1375412419338</v>
      </c>
      <c r="BA141" s="537">
        <f>Debt!BA$104</f>
        <v>4976.0237518384511</v>
      </c>
      <c r="BB141" s="537">
        <f>Debt!BB$104</f>
        <v>4968.7061367066199</v>
      </c>
      <c r="BC141" s="537">
        <f>Debt!BC$104</f>
        <v>5003.7719991405111</v>
      </c>
      <c r="BD141" s="537">
        <f>Debt!BD$104</f>
        <v>4994.8398242674302</v>
      </c>
      <c r="BE141" s="537">
        <f>Debt!BE$104</f>
        <v>4975.7347406139879</v>
      </c>
      <c r="BF141" s="537">
        <f>Debt!BF$104</f>
        <v>5018.2432697654431</v>
      </c>
      <c r="BG141" s="537">
        <f>Debt!BG$104</f>
        <v>5055.2308992146009</v>
      </c>
      <c r="BH141" s="537">
        <f>Debt!BH$104</f>
        <v>5047.7580665162341</v>
      </c>
      <c r="BI141" s="537">
        <f>Debt!BI$104</f>
        <v>5029.9252428553727</v>
      </c>
      <c r="BJ141" s="537">
        <f>Debt!BJ$104</f>
        <v>5086.1659444474417</v>
      </c>
      <c r="BK141" s="537">
        <f>Debt!BK$104</f>
        <v>5102.2164152464693</v>
      </c>
      <c r="BL141" s="537">
        <f>Debt!BL$104</f>
        <v>5107.2549033808882</v>
      </c>
      <c r="BM141" s="537">
        <f>Debt!BM$104</f>
        <v>5090.4593862946022</v>
      </c>
      <c r="BN141" s="537">
        <f>Debt!BN$104</f>
        <v>5137.6362992811</v>
      </c>
      <c r="BO141" s="537">
        <f>Debt!BO$104</f>
        <v>5177.721034794823</v>
      </c>
      <c r="BP141" s="537">
        <f>Debt!BP$104</f>
        <v>5172.4704316400748</v>
      </c>
      <c r="BQ141" s="537">
        <f>Debt!BQ$104</f>
        <v>5156.5168427050112</v>
      </c>
      <c r="BR141" s="537">
        <f>Debt!BR$104</f>
        <v>5259.1072788641732</v>
      </c>
      <c r="BS141" s="537">
        <f>Debt!BS$104</f>
        <v>5300.4456959908366</v>
      </c>
      <c r="BT141" s="537">
        <f>Debt!BT$104</f>
        <v>5296.0337638407573</v>
      </c>
      <c r="BU141" s="537">
        <f>Debt!BU$104</f>
        <v>5280.7596572690318</v>
      </c>
      <c r="BV141" s="537">
        <f>Debt!BV$104</f>
        <v>5192.6997405259599</v>
      </c>
      <c r="BW141" s="537">
        <f>Debt!BW$104</f>
        <v>4824.0097155821095</v>
      </c>
      <c r="BX141" s="537">
        <f>Debt!BX$104</f>
        <v>4812.2194454551673</v>
      </c>
      <c r="BY141" s="537">
        <f>Debt!BY$104</f>
        <v>4789.7777052237061</v>
      </c>
      <c r="BZ141" s="537">
        <f>Debt!BZ$104</f>
        <v>4835.508830075345</v>
      </c>
      <c r="CA141" s="537">
        <f>Debt!CA$104</f>
        <v>4848.2697391877382</v>
      </c>
      <c r="CB141" s="537">
        <f>Debt!CB$104</f>
        <v>4814.2596201085926</v>
      </c>
      <c r="CC141" s="537">
        <f>Debt!CC$104</f>
        <v>4617.7718011798452</v>
      </c>
      <c r="CD141" s="537">
        <f>Debt!CD$104</f>
        <v>4635.4811967250052</v>
      </c>
      <c r="CE141" s="537">
        <f>Debt!CE$104</f>
        <v>4670.2074078817031</v>
      </c>
      <c r="CF141" s="537">
        <f>Debt!CF$104</f>
        <v>4658.0351907399381</v>
      </c>
      <c r="CG141" s="537">
        <f>Debt!CG$104</f>
        <v>4632.6384155731694</v>
      </c>
      <c r="CH141" s="537">
        <f>Debt!CH$104</f>
        <v>4654.4799395510099</v>
      </c>
      <c r="CI141" s="537">
        <f>Debt!CI$104</f>
        <v>4690.3300953616026</v>
      </c>
      <c r="CJ141" s="537">
        <f>Debt!CJ$104</f>
        <v>4678.8565348451857</v>
      </c>
      <c r="CK141" s="537">
        <f>Debt!CK$104</f>
        <v>4654.2351254146215</v>
      </c>
      <c r="CL141" s="537">
        <f>Debt!CL$104</f>
        <v>4965.8270387247549</v>
      </c>
      <c r="CM141" s="537">
        <f>Debt!CM$104</f>
        <v>5002.0011198530556</v>
      </c>
      <c r="CN141" s="537">
        <f>Debt!CN$104</f>
        <v>4990.4282617092213</v>
      </c>
      <c r="CO141" s="537">
        <f>Debt!CO$104</f>
        <v>4965.8107040008254</v>
      </c>
      <c r="CP141" s="537">
        <f>Debt!CP$104</f>
        <v>4717.9783046696557</v>
      </c>
      <c r="CQ141" s="537">
        <f>Debt!CQ$104</f>
        <v>4729.233992308592</v>
      </c>
      <c r="CR141" s="537">
        <f>Debt!CR$104</f>
        <v>4730.658822063725</v>
      </c>
      <c r="CS141" s="537">
        <f>Debt!CS$104</f>
        <v>4706.8642132055456</v>
      </c>
      <c r="CT141" s="537">
        <f>Debt!CT$104</f>
        <v>4735.3356972565371</v>
      </c>
      <c r="CU141" s="537">
        <f>Debt!CU$104</f>
        <v>4772.9048284479113</v>
      </c>
      <c r="CV141" s="537">
        <f>Debt!CV$104</f>
        <v>4761.9850090627306</v>
      </c>
      <c r="CW141" s="537">
        <f>Debt!CW$104</f>
        <v>4738.3327137651941</v>
      </c>
      <c r="CX141" s="537">
        <f>Debt!CX$104</f>
        <v>4768.7511838966802</v>
      </c>
      <c r="CY141" s="537">
        <f>Debt!CY$104</f>
        <v>4806.4773364047887</v>
      </c>
      <c r="CZ141" s="537">
        <f>Debt!CZ$104</f>
        <v>4795.3607319199509</v>
      </c>
      <c r="DA141" s="537">
        <f>Debt!DA$104</f>
        <v>4771.6969558088413</v>
      </c>
      <c r="DB141" s="537">
        <f>Debt!DB$104</f>
        <v>0</v>
      </c>
      <c r="DC141" s="537">
        <f>Debt!DC$104</f>
        <v>0</v>
      </c>
      <c r="DD141" s="537">
        <f>Debt!DD$104</f>
        <v>0</v>
      </c>
      <c r="DE141" s="537">
        <f>Debt!DE$104</f>
        <v>0</v>
      </c>
      <c r="DF141" s="537">
        <f>Debt!DF$104</f>
        <v>0</v>
      </c>
      <c r="DG141" s="537">
        <f>Debt!DG$104</f>
        <v>0</v>
      </c>
      <c r="DH141" s="537">
        <f>Debt!DH$104</f>
        <v>0</v>
      </c>
      <c r="DI141" s="537">
        <f>Debt!DI$104</f>
        <v>0</v>
      </c>
      <c r="DJ141" s="537">
        <f>Debt!DJ$104</f>
        <v>0</v>
      </c>
      <c r="DK141" s="537">
        <f>Debt!DK$104</f>
        <v>0</v>
      </c>
      <c r="DL141" s="537">
        <f>Debt!DL$104</f>
        <v>0</v>
      </c>
      <c r="DM141" s="537">
        <f>Debt!DM$104</f>
        <v>0</v>
      </c>
      <c r="DN141" s="537">
        <f>Debt!DN$104</f>
        <v>0</v>
      </c>
      <c r="DO141" s="537">
        <f>Debt!DO$104</f>
        <v>0</v>
      </c>
      <c r="DP141" s="537">
        <f>Debt!DP$104</f>
        <v>0</v>
      </c>
      <c r="DQ141" s="537">
        <f>Debt!DQ$104</f>
        <v>0</v>
      </c>
      <c r="DR141" s="537">
        <f>Debt!DR$104</f>
        <v>0</v>
      </c>
      <c r="DS141" s="537">
        <f>Debt!DS$104</f>
        <v>0</v>
      </c>
      <c r="DT141" s="537">
        <f>Debt!DT$104</f>
        <v>0</v>
      </c>
      <c r="DU141" s="537">
        <f>Debt!DU$104</f>
        <v>0</v>
      </c>
      <c r="DV141" s="537">
        <f>Debt!DV$104</f>
        <v>0</v>
      </c>
      <c r="DW141" s="537">
        <f>Debt!DW$104</f>
        <v>0</v>
      </c>
      <c r="DX141" s="537">
        <f>Debt!DX$104</f>
        <v>0</v>
      </c>
      <c r="DY141" s="537">
        <f>Debt!DY$104</f>
        <v>0</v>
      </c>
      <c r="DZ141" s="537">
        <f>Debt!DZ$104</f>
        <v>0</v>
      </c>
      <c r="EA141" s="537">
        <f>Debt!EA$104</f>
        <v>0</v>
      </c>
      <c r="EB141" s="537">
        <f>Debt!EB$104</f>
        <v>0</v>
      </c>
      <c r="EC141" s="537">
        <f>Debt!EC$104</f>
        <v>0</v>
      </c>
      <c r="ED141" s="537">
        <f>Debt!ED$104</f>
        <v>0</v>
      </c>
      <c r="EE141" s="537">
        <f>Debt!EE$104</f>
        <v>0</v>
      </c>
      <c r="EF141" s="537">
        <f>Debt!EF$104</f>
        <v>0</v>
      </c>
      <c r="EG141" s="537">
        <f>Debt!EG$104</f>
        <v>0</v>
      </c>
    </row>
    <row r="142" spans="5:137" ht="12.75">
      <c r="E142" s="538" t="s">
        <v>496</v>
      </c>
      <c r="G142" s="539" t="s">
        <v>158</v>
      </c>
      <c r="H142" s="539">
        <f>SUM(J142:EG142)</f>
        <v>72</v>
      </c>
      <c r="J142" s="539">
        <f t="shared" si="57" ref="J142:EG142">J140*IF(J141&gt;$F139,1,0)</f>
        <v>0</v>
      </c>
      <c r="K142" s="539">
        <f t="shared" si="57"/>
        <v>0</v>
      </c>
      <c r="L142" s="539">
        <f t="shared" si="57"/>
        <v>0</v>
      </c>
      <c r="M142" s="539">
        <f t="shared" si="57"/>
        <v>0</v>
      </c>
      <c r="N142" s="539">
        <f t="shared" si="57"/>
        <v>0</v>
      </c>
      <c r="O142" s="539">
        <f t="shared" si="57"/>
        <v>0</v>
      </c>
      <c r="P142" s="539">
        <f t="shared" si="57"/>
        <v>0</v>
      </c>
      <c r="Q142" s="539">
        <f t="shared" si="57"/>
        <v>0</v>
      </c>
      <c r="R142" s="539">
        <f t="shared" si="57"/>
        <v>0</v>
      </c>
      <c r="S142" s="539">
        <f t="shared" si="57"/>
        <v>0</v>
      </c>
      <c r="T142" s="539">
        <f t="shared" si="57"/>
        <v>0</v>
      </c>
      <c r="U142" s="539">
        <f t="shared" si="57"/>
        <v>0</v>
      </c>
      <c r="V142" s="539">
        <f t="shared" si="57"/>
        <v>0</v>
      </c>
      <c r="W142" s="539">
        <f t="shared" si="57"/>
        <v>0</v>
      </c>
      <c r="X142" s="539">
        <f t="shared" si="57"/>
        <v>0</v>
      </c>
      <c r="Y142" s="539">
        <f t="shared" si="57"/>
        <v>0</v>
      </c>
      <c r="Z142" s="539">
        <f t="shared" si="57"/>
        <v>0</v>
      </c>
      <c r="AA142" s="539">
        <f t="shared" si="57"/>
        <v>0</v>
      </c>
      <c r="AB142" s="539">
        <f t="shared" si="57"/>
        <v>0</v>
      </c>
      <c r="AC142" s="539">
        <f t="shared" si="57"/>
        <v>0</v>
      </c>
      <c r="AD142" s="539">
        <f t="shared" si="57"/>
        <v>0</v>
      </c>
      <c r="AE142" s="539">
        <f t="shared" si="57"/>
        <v>0</v>
      </c>
      <c r="AF142" s="539">
        <f t="shared" si="57"/>
        <v>0</v>
      </c>
      <c r="AG142" s="539">
        <f t="shared" si="57"/>
        <v>0</v>
      </c>
      <c r="AH142" s="539">
        <f t="shared" si="57"/>
        <v>1</v>
      </c>
      <c r="AI142" s="539">
        <f t="shared" si="57"/>
        <v>1</v>
      </c>
      <c r="AJ142" s="539">
        <f t="shared" si="57"/>
        <v>1</v>
      </c>
      <c r="AK142" s="539">
        <f t="shared" si="57"/>
        <v>1</v>
      </c>
      <c r="AL142" s="539">
        <f t="shared" si="57"/>
        <v>1</v>
      </c>
      <c r="AM142" s="539">
        <f t="shared" si="57"/>
        <v>1</v>
      </c>
      <c r="AN142" s="539">
        <f t="shared" si="57"/>
        <v>1</v>
      </c>
      <c r="AO142" s="539">
        <f t="shared" si="57"/>
        <v>1</v>
      </c>
      <c r="AP142" s="539">
        <f t="shared" si="57"/>
        <v>1</v>
      </c>
      <c r="AQ142" s="539">
        <f t="shared" si="57"/>
        <v>1</v>
      </c>
      <c r="AR142" s="539">
        <f t="shared" si="57"/>
        <v>1</v>
      </c>
      <c r="AS142" s="539">
        <f t="shared" si="57"/>
        <v>1</v>
      </c>
      <c r="AT142" s="539">
        <f t="shared" si="57"/>
        <v>1</v>
      </c>
      <c r="AU142" s="539">
        <f t="shared" si="57"/>
        <v>1</v>
      </c>
      <c r="AV142" s="539">
        <f t="shared" si="57"/>
        <v>1</v>
      </c>
      <c r="AW142" s="539">
        <f t="shared" si="57"/>
        <v>1</v>
      </c>
      <c r="AX142" s="539">
        <f t="shared" si="57"/>
        <v>1</v>
      </c>
      <c r="AY142" s="539">
        <f t="shared" si="57"/>
        <v>1</v>
      </c>
      <c r="AZ142" s="539">
        <f t="shared" si="57"/>
        <v>1</v>
      </c>
      <c r="BA142" s="539">
        <f t="shared" si="57"/>
        <v>1</v>
      </c>
      <c r="BB142" s="539">
        <f t="shared" si="57"/>
        <v>1</v>
      </c>
      <c r="BC142" s="539">
        <f t="shared" si="57"/>
        <v>1</v>
      </c>
      <c r="BD142" s="539">
        <f t="shared" si="57"/>
        <v>1</v>
      </c>
      <c r="BE142" s="539">
        <f t="shared" si="57"/>
        <v>1</v>
      </c>
      <c r="BF142" s="539">
        <f t="shared" si="57"/>
        <v>1</v>
      </c>
      <c r="BG142" s="539">
        <f t="shared" si="57"/>
        <v>1</v>
      </c>
      <c r="BH142" s="539">
        <f t="shared" si="57"/>
        <v>1</v>
      </c>
      <c r="BI142" s="539">
        <f t="shared" si="57"/>
        <v>1</v>
      </c>
      <c r="BJ142" s="539">
        <f t="shared" si="57"/>
        <v>1</v>
      </c>
      <c r="BK142" s="539">
        <f t="shared" si="57"/>
        <v>1</v>
      </c>
      <c r="BL142" s="539">
        <f t="shared" si="57"/>
        <v>1</v>
      </c>
      <c r="BM142" s="539">
        <f t="shared" si="57"/>
        <v>1</v>
      </c>
      <c r="BN142" s="539">
        <f t="shared" si="57"/>
        <v>1</v>
      </c>
      <c r="BO142" s="539">
        <f t="shared" si="57"/>
        <v>1</v>
      </c>
      <c r="BP142" s="539">
        <f t="shared" si="57"/>
        <v>1</v>
      </c>
      <c r="BQ142" s="539">
        <f t="shared" si="57"/>
        <v>1</v>
      </c>
      <c r="BR142" s="539">
        <f t="shared" si="57"/>
        <v>1</v>
      </c>
      <c r="BS142" s="539">
        <f t="shared" si="57"/>
        <v>1</v>
      </c>
      <c r="BT142" s="539">
        <f t="shared" si="57"/>
        <v>1</v>
      </c>
      <c r="BU142" s="539">
        <f t="shared" si="57"/>
        <v>1</v>
      </c>
      <c r="BV142" s="539">
        <f t="shared" si="57"/>
        <v>1</v>
      </c>
      <c r="BW142" s="539">
        <f t="shared" si="57"/>
        <v>1</v>
      </c>
      <c r="BX142" s="539">
        <f t="shared" si="57"/>
        <v>1</v>
      </c>
      <c r="BY142" s="539">
        <f t="shared" si="57"/>
        <v>1</v>
      </c>
      <c r="BZ142" s="539">
        <f t="shared" si="57"/>
        <v>1</v>
      </c>
      <c r="CA142" s="539">
        <f t="shared" si="57"/>
        <v>1</v>
      </c>
      <c r="CB142" s="539">
        <f t="shared" si="57"/>
        <v>1</v>
      </c>
      <c r="CC142" s="539">
        <f t="shared" si="57"/>
        <v>1</v>
      </c>
      <c r="CD142" s="539">
        <f t="shared" si="57"/>
        <v>1</v>
      </c>
      <c r="CE142" s="539">
        <f t="shared" si="57"/>
        <v>1</v>
      </c>
      <c r="CF142" s="539">
        <f t="shared" si="57"/>
        <v>1</v>
      </c>
      <c r="CG142" s="539">
        <f t="shared" si="57"/>
        <v>1</v>
      </c>
      <c r="CH142" s="539">
        <f t="shared" si="57"/>
        <v>1</v>
      </c>
      <c r="CI142" s="539">
        <f t="shared" si="57"/>
        <v>1</v>
      </c>
      <c r="CJ142" s="539">
        <f t="shared" si="57"/>
        <v>1</v>
      </c>
      <c r="CK142" s="539">
        <f t="shared" si="57"/>
        <v>1</v>
      </c>
      <c r="CL142" s="539">
        <f t="shared" si="57"/>
        <v>1</v>
      </c>
      <c r="CM142" s="539">
        <f t="shared" si="57"/>
        <v>1</v>
      </c>
      <c r="CN142" s="539">
        <f t="shared" si="57"/>
        <v>1</v>
      </c>
      <c r="CO142" s="539">
        <f t="shared" si="57"/>
        <v>1</v>
      </c>
      <c r="CP142" s="539">
        <f t="shared" si="57"/>
        <v>1</v>
      </c>
      <c r="CQ142" s="539">
        <f t="shared" si="57"/>
        <v>1</v>
      </c>
      <c r="CR142" s="539">
        <f t="shared" si="57"/>
        <v>1</v>
      </c>
      <c r="CS142" s="539">
        <f t="shared" si="57"/>
        <v>1</v>
      </c>
      <c r="CT142" s="539">
        <f t="shared" si="57"/>
        <v>1</v>
      </c>
      <c r="CU142" s="539">
        <f t="shared" si="57"/>
        <v>1</v>
      </c>
      <c r="CV142" s="539">
        <f t="shared" si="57"/>
        <v>1</v>
      </c>
      <c r="CW142" s="539">
        <f t="shared" si="57"/>
        <v>1</v>
      </c>
      <c r="CX142" s="539">
        <f t="shared" si="57"/>
        <v>1</v>
      </c>
      <c r="CY142" s="539">
        <f t="shared" si="57"/>
        <v>1</v>
      </c>
      <c r="CZ142" s="539">
        <f t="shared" si="57"/>
        <v>1</v>
      </c>
      <c r="DA142" s="539">
        <f t="shared" si="57"/>
        <v>1</v>
      </c>
      <c r="DB142" s="539">
        <f t="shared" si="57"/>
        <v>0</v>
      </c>
      <c r="DC142" s="539">
        <f t="shared" si="57"/>
        <v>0</v>
      </c>
      <c r="DD142" s="539">
        <f t="shared" si="57"/>
        <v>0</v>
      </c>
      <c r="DE142" s="539">
        <f t="shared" si="57"/>
        <v>0</v>
      </c>
      <c r="DF142" s="539">
        <f t="shared" si="57"/>
        <v>0</v>
      </c>
      <c r="DG142" s="539">
        <f t="shared" si="57"/>
        <v>0</v>
      </c>
      <c r="DH142" s="539">
        <f t="shared" si="57"/>
        <v>0</v>
      </c>
      <c r="DI142" s="539">
        <f t="shared" si="57"/>
        <v>0</v>
      </c>
      <c r="DJ142" s="539">
        <f t="shared" si="57"/>
        <v>0</v>
      </c>
      <c r="DK142" s="539">
        <f t="shared" si="57"/>
        <v>0</v>
      </c>
      <c r="DL142" s="539">
        <f t="shared" si="57"/>
        <v>0</v>
      </c>
      <c r="DM142" s="539">
        <f t="shared" si="57"/>
        <v>0</v>
      </c>
      <c r="DN142" s="539">
        <f t="shared" si="57"/>
        <v>0</v>
      </c>
      <c r="DO142" s="539">
        <f t="shared" si="57"/>
        <v>0</v>
      </c>
      <c r="DP142" s="539">
        <f t="shared" si="57"/>
        <v>0</v>
      </c>
      <c r="DQ142" s="539">
        <f t="shared" si="57"/>
        <v>0</v>
      </c>
      <c r="DR142" s="539">
        <f t="shared" si="57"/>
        <v>0</v>
      </c>
      <c r="DS142" s="539">
        <f t="shared" si="57"/>
        <v>0</v>
      </c>
      <c r="DT142" s="539">
        <f t="shared" si="57"/>
        <v>0</v>
      </c>
      <c r="DU142" s="539">
        <f t="shared" si="57"/>
        <v>0</v>
      </c>
      <c r="DV142" s="539">
        <f t="shared" si="57"/>
        <v>0</v>
      </c>
      <c r="DW142" s="539">
        <f t="shared" si="57"/>
        <v>0</v>
      </c>
      <c r="DX142" s="539">
        <f t="shared" si="57"/>
        <v>0</v>
      </c>
      <c r="DY142" s="539">
        <f t="shared" si="57"/>
        <v>0</v>
      </c>
      <c r="DZ142" s="539">
        <f t="shared" si="57"/>
        <v>0</v>
      </c>
      <c r="EA142" s="539">
        <f t="shared" si="57"/>
        <v>0</v>
      </c>
      <c r="EB142" s="539">
        <f t="shared" si="57"/>
        <v>0</v>
      </c>
      <c r="EC142" s="539">
        <f t="shared" si="57"/>
        <v>0</v>
      </c>
      <c r="ED142" s="539">
        <f t="shared" si="57"/>
        <v>0</v>
      </c>
      <c r="EE142" s="539">
        <f t="shared" si="57"/>
        <v>0</v>
      </c>
      <c r="EF142" s="539">
        <f t="shared" si="57"/>
        <v>0</v>
      </c>
      <c r="EG142" s="539">
        <f t="shared" si="57"/>
        <v>0</v>
      </c>
    </row>
    <row r="144" spans="5:137" ht="12.75">
      <c r="E144" s="535" t="str">
        <f>Debt!E$110</f>
        <v>Senior facility - DSCR</v>
      </c>
      <c r="G144" s="547" t="str">
        <f>Debt!G$110</f>
        <v>ratio</v>
      </c>
      <c r="H144" s="547">
        <f>Debt!H$110</f>
        <v>139.47054794249641</v>
      </c>
      <c r="J144" s="547">
        <f>Debt!J$110</f>
        <v>0</v>
      </c>
      <c r="K144" s="547">
        <f>Debt!K$110</f>
        <v>0</v>
      </c>
      <c r="L144" s="547">
        <f>Debt!L$110</f>
        <v>0</v>
      </c>
      <c r="M144" s="547">
        <f>Debt!M$110</f>
        <v>0</v>
      </c>
      <c r="N144" s="547">
        <f>Debt!N$110</f>
        <v>0</v>
      </c>
      <c r="O144" s="547">
        <f>Debt!O$110</f>
        <v>0</v>
      </c>
      <c r="P144" s="547">
        <f>Debt!P$110</f>
        <v>0</v>
      </c>
      <c r="Q144" s="547">
        <f>Debt!Q$110</f>
        <v>0</v>
      </c>
      <c r="R144" s="547">
        <f>Debt!R$110</f>
        <v>0</v>
      </c>
      <c r="S144" s="547">
        <f>Debt!S$110</f>
        <v>0</v>
      </c>
      <c r="T144" s="547">
        <f>Debt!T$110</f>
        <v>0</v>
      </c>
      <c r="U144" s="547">
        <f>Debt!U$110</f>
        <v>0</v>
      </c>
      <c r="V144" s="547">
        <f>Debt!V$110</f>
        <v>0</v>
      </c>
      <c r="W144" s="547">
        <f>Debt!W$110</f>
        <v>0</v>
      </c>
      <c r="X144" s="547">
        <f>Debt!X$110</f>
        <v>0</v>
      </c>
      <c r="Y144" s="547">
        <f>Debt!Y$110</f>
        <v>0</v>
      </c>
      <c r="Z144" s="547">
        <f>Debt!Z$110</f>
        <v>0</v>
      </c>
      <c r="AA144" s="547">
        <f>Debt!AA$110</f>
        <v>0</v>
      </c>
      <c r="AB144" s="547">
        <f>Debt!AB$110</f>
        <v>0</v>
      </c>
      <c r="AC144" s="547">
        <f>Debt!AC$110</f>
        <v>0</v>
      </c>
      <c r="AD144" s="547">
        <f>Debt!AD$110</f>
        <v>0</v>
      </c>
      <c r="AE144" s="547">
        <f>Debt!AE$110</f>
        <v>0</v>
      </c>
      <c r="AF144" s="547">
        <f>Debt!AF$110</f>
        <v>0</v>
      </c>
      <c r="AG144" s="547">
        <f>Debt!AG$110</f>
        <v>0</v>
      </c>
      <c r="AH144" s="547">
        <f>Debt!AH$110</f>
        <v>1.9370909436457795</v>
      </c>
      <c r="AI144" s="547">
        <f>Debt!AI$110</f>
        <v>1.9370909436457795</v>
      </c>
      <c r="AJ144" s="547">
        <f>Debt!AJ$110</f>
        <v>1.9370909436457797</v>
      </c>
      <c r="AK144" s="547">
        <f>Debt!AK$110</f>
        <v>1.9370909436457795</v>
      </c>
      <c r="AL144" s="547">
        <f>Debt!AL$110</f>
        <v>1.9370909436457797</v>
      </c>
      <c r="AM144" s="547">
        <f>Debt!AM$110</f>
        <v>1.9370909436457795</v>
      </c>
      <c r="AN144" s="547">
        <f>Debt!AN$110</f>
        <v>1.9370909436457795</v>
      </c>
      <c r="AO144" s="547">
        <f>Debt!AO$110</f>
        <v>1.9370909436457795</v>
      </c>
      <c r="AP144" s="547">
        <f>Debt!AP$110</f>
        <v>1.9370909436457795</v>
      </c>
      <c r="AQ144" s="547">
        <f>Debt!AQ$110</f>
        <v>1.9370909436457797</v>
      </c>
      <c r="AR144" s="547">
        <f>Debt!AR$110</f>
        <v>1.9370909436457795</v>
      </c>
      <c r="AS144" s="547">
        <f>Debt!AS$110</f>
        <v>1.9370909436457793</v>
      </c>
      <c r="AT144" s="547">
        <f>Debt!AT$110</f>
        <v>1.9370909436457795</v>
      </c>
      <c r="AU144" s="547">
        <f>Debt!AU$110</f>
        <v>1.9370909436457795</v>
      </c>
      <c r="AV144" s="547">
        <f>Debt!AV$110</f>
        <v>1.9370909436457795</v>
      </c>
      <c r="AW144" s="547">
        <f>Debt!AW$110</f>
        <v>1.9370909436457795</v>
      </c>
      <c r="AX144" s="547">
        <f>Debt!AX$110</f>
        <v>1.9370909436457795</v>
      </c>
      <c r="AY144" s="547">
        <f>Debt!AY$110</f>
        <v>1.9370909436457795</v>
      </c>
      <c r="AZ144" s="547">
        <f>Debt!AZ$110</f>
        <v>1.9370909436457795</v>
      </c>
      <c r="BA144" s="547">
        <f>Debt!BA$110</f>
        <v>1.9370909436457795</v>
      </c>
      <c r="BB144" s="547">
        <f>Debt!BB$110</f>
        <v>1.9370909436457795</v>
      </c>
      <c r="BC144" s="547">
        <f>Debt!BC$110</f>
        <v>1.9370909436457793</v>
      </c>
      <c r="BD144" s="547">
        <f>Debt!BD$110</f>
        <v>1.9370909436457793</v>
      </c>
      <c r="BE144" s="547">
        <f>Debt!BE$110</f>
        <v>1.9370909436457795</v>
      </c>
      <c r="BF144" s="547">
        <f>Debt!BF$110</f>
        <v>1.9370909436457795</v>
      </c>
      <c r="BG144" s="547">
        <f>Debt!BG$110</f>
        <v>1.9370909436457795</v>
      </c>
      <c r="BH144" s="547">
        <f>Debt!BH$110</f>
        <v>1.9370909436457795</v>
      </c>
      <c r="BI144" s="547">
        <f>Debt!BI$110</f>
        <v>1.9370909436457795</v>
      </c>
      <c r="BJ144" s="547">
        <f>Debt!BJ$110</f>
        <v>1.9370909436457795</v>
      </c>
      <c r="BK144" s="547">
        <f>Debt!BK$110</f>
        <v>1.9370909436457795</v>
      </c>
      <c r="BL144" s="547">
        <f>Debt!BL$110</f>
        <v>1.9370909436457795</v>
      </c>
      <c r="BM144" s="547">
        <f>Debt!BM$110</f>
        <v>1.9370909436457795</v>
      </c>
      <c r="BN144" s="547">
        <f>Debt!BN$110</f>
        <v>1.9370909436457795</v>
      </c>
      <c r="BO144" s="547">
        <f>Debt!BO$110</f>
        <v>1.9370909436457795</v>
      </c>
      <c r="BP144" s="547">
        <f>Debt!BP$110</f>
        <v>1.9370909436457797</v>
      </c>
      <c r="BQ144" s="547">
        <f>Debt!BQ$110</f>
        <v>1.9370909436457795</v>
      </c>
      <c r="BR144" s="547">
        <f>Debt!BR$110</f>
        <v>1.9370909436457795</v>
      </c>
      <c r="BS144" s="547">
        <f>Debt!BS$110</f>
        <v>1.9370909436457797</v>
      </c>
      <c r="BT144" s="547">
        <f>Debt!BT$110</f>
        <v>1.9370909436457795</v>
      </c>
      <c r="BU144" s="547">
        <f>Debt!BU$110</f>
        <v>1.9370909436457797</v>
      </c>
      <c r="BV144" s="547">
        <f>Debt!BV$110</f>
        <v>1.9370909436457795</v>
      </c>
      <c r="BW144" s="547">
        <f>Debt!BW$110</f>
        <v>1.9370909436457797</v>
      </c>
      <c r="BX144" s="547">
        <f>Debt!BX$110</f>
        <v>1.9370909436457795</v>
      </c>
      <c r="BY144" s="547">
        <f>Debt!BY$110</f>
        <v>1.9370909436457797</v>
      </c>
      <c r="BZ144" s="547">
        <f>Debt!BZ$110</f>
        <v>1.9370909436457795</v>
      </c>
      <c r="CA144" s="547">
        <f>Debt!CA$110</f>
        <v>1.9370909436457795</v>
      </c>
      <c r="CB144" s="547">
        <f>Debt!CB$110</f>
        <v>1.9370909436457795</v>
      </c>
      <c r="CC144" s="547">
        <f>Debt!CC$110</f>
        <v>1.9370909436457797</v>
      </c>
      <c r="CD144" s="547">
        <f>Debt!CD$110</f>
        <v>1.9370909436457797</v>
      </c>
      <c r="CE144" s="547">
        <f>Debt!CE$110</f>
        <v>1.9370909436457793</v>
      </c>
      <c r="CF144" s="547">
        <f>Debt!CF$110</f>
        <v>1.9370909436457795</v>
      </c>
      <c r="CG144" s="547">
        <f>Debt!CG$110</f>
        <v>1.9370909436457795</v>
      </c>
      <c r="CH144" s="547">
        <f>Debt!CH$110</f>
        <v>1.9370909436457795</v>
      </c>
      <c r="CI144" s="547">
        <f>Debt!CI$110</f>
        <v>1.9370909436457797</v>
      </c>
      <c r="CJ144" s="547">
        <f>Debt!CJ$110</f>
        <v>1.9370909436457797</v>
      </c>
      <c r="CK144" s="547">
        <f>Debt!CK$110</f>
        <v>1.9370909436457797</v>
      </c>
      <c r="CL144" s="547">
        <f>Debt!CL$110</f>
        <v>1.9370909436457795</v>
      </c>
      <c r="CM144" s="547">
        <f>Debt!CM$110</f>
        <v>1.9370909436457797</v>
      </c>
      <c r="CN144" s="547">
        <f>Debt!CN$110</f>
        <v>1.9370909436457797</v>
      </c>
      <c r="CO144" s="547">
        <f>Debt!CO$110</f>
        <v>1.9370909436457795</v>
      </c>
      <c r="CP144" s="547">
        <f>Debt!CP$110</f>
        <v>1.9370909436457795</v>
      </c>
      <c r="CQ144" s="547">
        <f>Debt!CQ$110</f>
        <v>1.9370909436457795</v>
      </c>
      <c r="CR144" s="547">
        <f>Debt!CR$110</f>
        <v>1.9370909436457795</v>
      </c>
      <c r="CS144" s="547">
        <f>Debt!CS$110</f>
        <v>1.9370909436457795</v>
      </c>
      <c r="CT144" s="547">
        <f>Debt!CT$110</f>
        <v>1.9370909436457797</v>
      </c>
      <c r="CU144" s="547">
        <f>Debt!CU$110</f>
        <v>1.9370909436457795</v>
      </c>
      <c r="CV144" s="547">
        <f>Debt!CV$110</f>
        <v>1.9370909436457795</v>
      </c>
      <c r="CW144" s="547">
        <f>Debt!CW$110</f>
        <v>1.9370909436457797</v>
      </c>
      <c r="CX144" s="547">
        <f>Debt!CX$110</f>
        <v>1.9370909436457797</v>
      </c>
      <c r="CY144" s="547">
        <f>Debt!CY$110</f>
        <v>1.9370909436457793</v>
      </c>
      <c r="CZ144" s="547">
        <f>Debt!CZ$110</f>
        <v>1.9370909436457793</v>
      </c>
      <c r="DA144" s="547">
        <f>Debt!DA$110</f>
        <v>1.9370909436459081</v>
      </c>
      <c r="DB144" s="547">
        <f>Debt!DB$110</f>
        <v>0</v>
      </c>
      <c r="DC144" s="547">
        <f>Debt!DC$110</f>
        <v>0</v>
      </c>
      <c r="DD144" s="547">
        <f>Debt!DD$110</f>
        <v>0</v>
      </c>
      <c r="DE144" s="547">
        <f>Debt!DE$110</f>
        <v>0</v>
      </c>
      <c r="DF144" s="547">
        <f>Debt!DF$110</f>
        <v>0</v>
      </c>
      <c r="DG144" s="547">
        <f>Debt!DG$110</f>
        <v>0</v>
      </c>
      <c r="DH144" s="547">
        <f>Debt!DH$110</f>
        <v>0</v>
      </c>
      <c r="DI144" s="547">
        <f>Debt!DI$110</f>
        <v>0</v>
      </c>
      <c r="DJ144" s="547">
        <f>Debt!DJ$110</f>
        <v>0</v>
      </c>
      <c r="DK144" s="547">
        <f>Debt!DK$110</f>
        <v>0</v>
      </c>
      <c r="DL144" s="547">
        <f>Debt!DL$110</f>
        <v>0</v>
      </c>
      <c r="DM144" s="547">
        <f>Debt!DM$110</f>
        <v>0</v>
      </c>
      <c r="DN144" s="547">
        <f>Debt!DN$110</f>
        <v>0</v>
      </c>
      <c r="DO144" s="547">
        <f>Debt!DO$110</f>
        <v>0</v>
      </c>
      <c r="DP144" s="547">
        <f>Debt!DP$110</f>
        <v>0</v>
      </c>
      <c r="DQ144" s="547">
        <f>Debt!DQ$110</f>
        <v>0</v>
      </c>
      <c r="DR144" s="547">
        <f>Debt!DR$110</f>
        <v>0</v>
      </c>
      <c r="DS144" s="547">
        <f>Debt!DS$110</f>
        <v>0</v>
      </c>
      <c r="DT144" s="547">
        <f>Debt!DT$110</f>
        <v>0</v>
      </c>
      <c r="DU144" s="547">
        <f>Debt!DU$110</f>
        <v>0</v>
      </c>
      <c r="DV144" s="547">
        <f>Debt!DV$110</f>
        <v>0</v>
      </c>
      <c r="DW144" s="547">
        <f>Debt!DW$110</f>
        <v>0</v>
      </c>
      <c r="DX144" s="547">
        <f>Debt!DX$110</f>
        <v>0</v>
      </c>
      <c r="DY144" s="547">
        <f>Debt!DY$110</f>
        <v>0</v>
      </c>
      <c r="DZ144" s="547">
        <f>Debt!DZ$110</f>
        <v>0</v>
      </c>
      <c r="EA144" s="547">
        <f>Debt!EA$110</f>
        <v>0</v>
      </c>
      <c r="EB144" s="547">
        <f>Debt!EB$110</f>
        <v>0</v>
      </c>
      <c r="EC144" s="547">
        <f>Debt!EC$110</f>
        <v>0</v>
      </c>
      <c r="ED144" s="547">
        <f>Debt!ED$110</f>
        <v>0</v>
      </c>
      <c r="EE144" s="547">
        <f>Debt!EE$110</f>
        <v>0</v>
      </c>
      <c r="EF144" s="547">
        <f>Debt!EF$110</f>
        <v>0</v>
      </c>
      <c r="EG144" s="547">
        <f>Debt!EG$110</f>
        <v>0</v>
      </c>
    </row>
    <row r="145" spans="5:137" ht="12.75">
      <c r="E145" s="538" t="str">
        <f>E$142</f>
        <v>Senior cover - test period flag</v>
      </c>
      <c r="G145" s="539" t="str">
        <f>G$142</f>
        <v>flag</v>
      </c>
      <c r="H145" s="539">
        <f>H$142</f>
        <v>72</v>
      </c>
      <c r="J145" s="539">
        <f t="shared" si="58" ref="J145:EG145">J$142</f>
        <v>0</v>
      </c>
      <c r="K145" s="539">
        <f t="shared" si="58"/>
        <v>0</v>
      </c>
      <c r="L145" s="539">
        <f t="shared" si="58"/>
        <v>0</v>
      </c>
      <c r="M145" s="539">
        <f t="shared" si="58"/>
        <v>0</v>
      </c>
      <c r="N145" s="539">
        <f t="shared" si="58"/>
        <v>0</v>
      </c>
      <c r="O145" s="539">
        <f t="shared" si="58"/>
        <v>0</v>
      </c>
      <c r="P145" s="539">
        <f t="shared" si="58"/>
        <v>0</v>
      </c>
      <c r="Q145" s="539">
        <f t="shared" si="58"/>
        <v>0</v>
      </c>
      <c r="R145" s="539">
        <f t="shared" si="58"/>
        <v>0</v>
      </c>
      <c r="S145" s="539">
        <f t="shared" si="58"/>
        <v>0</v>
      </c>
      <c r="T145" s="539">
        <f t="shared" si="58"/>
        <v>0</v>
      </c>
      <c r="U145" s="539">
        <f t="shared" si="58"/>
        <v>0</v>
      </c>
      <c r="V145" s="539">
        <f t="shared" si="58"/>
        <v>0</v>
      </c>
      <c r="W145" s="539">
        <f t="shared" si="58"/>
        <v>0</v>
      </c>
      <c r="X145" s="539">
        <f t="shared" si="58"/>
        <v>0</v>
      </c>
      <c r="Y145" s="539">
        <f t="shared" si="58"/>
        <v>0</v>
      </c>
      <c r="Z145" s="539">
        <f t="shared" si="58"/>
        <v>0</v>
      </c>
      <c r="AA145" s="539">
        <f t="shared" si="58"/>
        <v>0</v>
      </c>
      <c r="AB145" s="539">
        <f t="shared" si="58"/>
        <v>0</v>
      </c>
      <c r="AC145" s="539">
        <f t="shared" si="58"/>
        <v>0</v>
      </c>
      <c r="AD145" s="539">
        <f t="shared" si="58"/>
        <v>0</v>
      </c>
      <c r="AE145" s="539">
        <f t="shared" si="58"/>
        <v>0</v>
      </c>
      <c r="AF145" s="539">
        <f t="shared" si="58"/>
        <v>0</v>
      </c>
      <c r="AG145" s="539">
        <f t="shared" si="58"/>
        <v>0</v>
      </c>
      <c r="AH145" s="539">
        <f t="shared" si="58"/>
        <v>1</v>
      </c>
      <c r="AI145" s="539">
        <f t="shared" si="58"/>
        <v>1</v>
      </c>
      <c r="AJ145" s="539">
        <f t="shared" si="58"/>
        <v>1</v>
      </c>
      <c r="AK145" s="539">
        <f t="shared" si="58"/>
        <v>1</v>
      </c>
      <c r="AL145" s="539">
        <f t="shared" si="58"/>
        <v>1</v>
      </c>
      <c r="AM145" s="539">
        <f t="shared" si="58"/>
        <v>1</v>
      </c>
      <c r="AN145" s="539">
        <f t="shared" si="58"/>
        <v>1</v>
      </c>
      <c r="AO145" s="539">
        <f t="shared" si="58"/>
        <v>1</v>
      </c>
      <c r="AP145" s="539">
        <f t="shared" si="58"/>
        <v>1</v>
      </c>
      <c r="AQ145" s="539">
        <f t="shared" si="58"/>
        <v>1</v>
      </c>
      <c r="AR145" s="539">
        <f t="shared" si="58"/>
        <v>1</v>
      </c>
      <c r="AS145" s="539">
        <f t="shared" si="58"/>
        <v>1</v>
      </c>
      <c r="AT145" s="539">
        <f t="shared" si="58"/>
        <v>1</v>
      </c>
      <c r="AU145" s="539">
        <f t="shared" si="58"/>
        <v>1</v>
      </c>
      <c r="AV145" s="539">
        <f t="shared" si="58"/>
        <v>1</v>
      </c>
      <c r="AW145" s="539">
        <f t="shared" si="58"/>
        <v>1</v>
      </c>
      <c r="AX145" s="539">
        <f t="shared" si="58"/>
        <v>1</v>
      </c>
      <c r="AY145" s="539">
        <f t="shared" si="58"/>
        <v>1</v>
      </c>
      <c r="AZ145" s="539">
        <f t="shared" si="58"/>
        <v>1</v>
      </c>
      <c r="BA145" s="539">
        <f t="shared" si="58"/>
        <v>1</v>
      </c>
      <c r="BB145" s="539">
        <f t="shared" si="58"/>
        <v>1</v>
      </c>
      <c r="BC145" s="539">
        <f t="shared" si="58"/>
        <v>1</v>
      </c>
      <c r="BD145" s="539">
        <f t="shared" si="58"/>
        <v>1</v>
      </c>
      <c r="BE145" s="539">
        <f t="shared" si="58"/>
        <v>1</v>
      </c>
      <c r="BF145" s="539">
        <f t="shared" si="58"/>
        <v>1</v>
      </c>
      <c r="BG145" s="539">
        <f t="shared" si="58"/>
        <v>1</v>
      </c>
      <c r="BH145" s="539">
        <f t="shared" si="58"/>
        <v>1</v>
      </c>
      <c r="BI145" s="539">
        <f t="shared" si="58"/>
        <v>1</v>
      </c>
      <c r="BJ145" s="539">
        <f t="shared" si="58"/>
        <v>1</v>
      </c>
      <c r="BK145" s="539">
        <f t="shared" si="58"/>
        <v>1</v>
      </c>
      <c r="BL145" s="539">
        <f t="shared" si="58"/>
        <v>1</v>
      </c>
      <c r="BM145" s="539">
        <f t="shared" si="58"/>
        <v>1</v>
      </c>
      <c r="BN145" s="539">
        <f t="shared" si="58"/>
        <v>1</v>
      </c>
      <c r="BO145" s="539">
        <f t="shared" si="58"/>
        <v>1</v>
      </c>
      <c r="BP145" s="539">
        <f t="shared" si="58"/>
        <v>1</v>
      </c>
      <c r="BQ145" s="539">
        <f t="shared" si="58"/>
        <v>1</v>
      </c>
      <c r="BR145" s="539">
        <f t="shared" si="58"/>
        <v>1</v>
      </c>
      <c r="BS145" s="539">
        <f t="shared" si="58"/>
        <v>1</v>
      </c>
      <c r="BT145" s="539">
        <f t="shared" si="58"/>
        <v>1</v>
      </c>
      <c r="BU145" s="539">
        <f t="shared" si="58"/>
        <v>1</v>
      </c>
      <c r="BV145" s="539">
        <f t="shared" si="58"/>
        <v>1</v>
      </c>
      <c r="BW145" s="539">
        <f t="shared" si="58"/>
        <v>1</v>
      </c>
      <c r="BX145" s="539">
        <f t="shared" si="58"/>
        <v>1</v>
      </c>
      <c r="BY145" s="539">
        <f t="shared" si="58"/>
        <v>1</v>
      </c>
      <c r="BZ145" s="539">
        <f t="shared" si="58"/>
        <v>1</v>
      </c>
      <c r="CA145" s="539">
        <f t="shared" si="58"/>
        <v>1</v>
      </c>
      <c r="CB145" s="539">
        <f t="shared" si="58"/>
        <v>1</v>
      </c>
      <c r="CC145" s="539">
        <f t="shared" si="58"/>
        <v>1</v>
      </c>
      <c r="CD145" s="539">
        <f t="shared" si="58"/>
        <v>1</v>
      </c>
      <c r="CE145" s="539">
        <f t="shared" si="58"/>
        <v>1</v>
      </c>
      <c r="CF145" s="539">
        <f t="shared" si="58"/>
        <v>1</v>
      </c>
      <c r="CG145" s="539">
        <f t="shared" si="58"/>
        <v>1</v>
      </c>
      <c r="CH145" s="539">
        <f t="shared" si="58"/>
        <v>1</v>
      </c>
      <c r="CI145" s="539">
        <f t="shared" si="58"/>
        <v>1</v>
      </c>
      <c r="CJ145" s="539">
        <f t="shared" si="58"/>
        <v>1</v>
      </c>
      <c r="CK145" s="539">
        <f t="shared" si="58"/>
        <v>1</v>
      </c>
      <c r="CL145" s="539">
        <f t="shared" si="58"/>
        <v>1</v>
      </c>
      <c r="CM145" s="539">
        <f t="shared" si="58"/>
        <v>1</v>
      </c>
      <c r="CN145" s="539">
        <f t="shared" si="58"/>
        <v>1</v>
      </c>
      <c r="CO145" s="539">
        <f t="shared" si="58"/>
        <v>1</v>
      </c>
      <c r="CP145" s="539">
        <f t="shared" si="58"/>
        <v>1</v>
      </c>
      <c r="CQ145" s="539">
        <f t="shared" si="58"/>
        <v>1</v>
      </c>
      <c r="CR145" s="539">
        <f t="shared" si="58"/>
        <v>1</v>
      </c>
      <c r="CS145" s="539">
        <f t="shared" si="58"/>
        <v>1</v>
      </c>
      <c r="CT145" s="539">
        <f t="shared" si="58"/>
        <v>1</v>
      </c>
      <c r="CU145" s="539">
        <f t="shared" si="58"/>
        <v>1</v>
      </c>
      <c r="CV145" s="539">
        <f t="shared" si="58"/>
        <v>1</v>
      </c>
      <c r="CW145" s="539">
        <f t="shared" si="58"/>
        <v>1</v>
      </c>
      <c r="CX145" s="539">
        <f t="shared" si="58"/>
        <v>1</v>
      </c>
      <c r="CY145" s="539">
        <f t="shared" si="58"/>
        <v>1</v>
      </c>
      <c r="CZ145" s="539">
        <f t="shared" si="58"/>
        <v>1</v>
      </c>
      <c r="DA145" s="539">
        <f t="shared" si="58"/>
        <v>1</v>
      </c>
      <c r="DB145" s="539">
        <f t="shared" si="58"/>
        <v>0</v>
      </c>
      <c r="DC145" s="539">
        <f t="shared" si="58"/>
        <v>0</v>
      </c>
      <c r="DD145" s="539">
        <f t="shared" si="58"/>
        <v>0</v>
      </c>
      <c r="DE145" s="539">
        <f t="shared" si="58"/>
        <v>0</v>
      </c>
      <c r="DF145" s="539">
        <f t="shared" si="58"/>
        <v>0</v>
      </c>
      <c r="DG145" s="539">
        <f t="shared" si="58"/>
        <v>0</v>
      </c>
      <c r="DH145" s="539">
        <f t="shared" si="58"/>
        <v>0</v>
      </c>
      <c r="DI145" s="539">
        <f t="shared" si="58"/>
        <v>0</v>
      </c>
      <c r="DJ145" s="539">
        <f t="shared" si="58"/>
        <v>0</v>
      </c>
      <c r="DK145" s="539">
        <f t="shared" si="58"/>
        <v>0</v>
      </c>
      <c r="DL145" s="539">
        <f t="shared" si="58"/>
        <v>0</v>
      </c>
      <c r="DM145" s="539">
        <f t="shared" si="58"/>
        <v>0</v>
      </c>
      <c r="DN145" s="539">
        <f t="shared" si="58"/>
        <v>0</v>
      </c>
      <c r="DO145" s="539">
        <f t="shared" si="58"/>
        <v>0</v>
      </c>
      <c r="DP145" s="539">
        <f t="shared" si="58"/>
        <v>0</v>
      </c>
      <c r="DQ145" s="539">
        <f t="shared" si="58"/>
        <v>0</v>
      </c>
      <c r="DR145" s="539">
        <f t="shared" si="58"/>
        <v>0</v>
      </c>
      <c r="DS145" s="539">
        <f t="shared" si="58"/>
        <v>0</v>
      </c>
      <c r="DT145" s="539">
        <f t="shared" si="58"/>
        <v>0</v>
      </c>
      <c r="DU145" s="539">
        <f t="shared" si="58"/>
        <v>0</v>
      </c>
      <c r="DV145" s="539">
        <f t="shared" si="58"/>
        <v>0</v>
      </c>
      <c r="DW145" s="539">
        <f t="shared" si="58"/>
        <v>0</v>
      </c>
      <c r="DX145" s="539">
        <f t="shared" si="58"/>
        <v>0</v>
      </c>
      <c r="DY145" s="539">
        <f t="shared" si="58"/>
        <v>0</v>
      </c>
      <c r="DZ145" s="539">
        <f t="shared" si="58"/>
        <v>0</v>
      </c>
      <c r="EA145" s="539">
        <f t="shared" si="58"/>
        <v>0</v>
      </c>
      <c r="EB145" s="539">
        <f t="shared" si="58"/>
        <v>0</v>
      </c>
      <c r="EC145" s="539">
        <f t="shared" si="58"/>
        <v>0</v>
      </c>
      <c r="ED145" s="539">
        <f t="shared" si="58"/>
        <v>0</v>
      </c>
      <c r="EE145" s="539">
        <f t="shared" si="58"/>
        <v>0</v>
      </c>
      <c r="EF145" s="539">
        <f t="shared" si="58"/>
        <v>0</v>
      </c>
      <c r="EG145" s="539">
        <f t="shared" si="58"/>
        <v>0</v>
      </c>
    </row>
    <row r="146" spans="5:7" ht="12.75">
      <c r="E146" s="538" t="s">
        <v>497</v>
      </c>
      <c r="F146" s="548">
        <f>IF(SUM($J145:$EG145)&gt;0,_xlfn.MINIFS($J144:$EG144,$J145:$EG145,1),0)</f>
        <v>1.9370909436457793</v>
      </c>
      <c r="G146" s="548" t="s">
        <v>68</v>
      </c>
    </row>
    <row r="148" spans="5:137" ht="12.75">
      <c r="E148" s="535" t="str">
        <f>Debt!E$110</f>
        <v>Senior facility - DSCR</v>
      </c>
      <c r="G148" s="547" t="str">
        <f>Debt!G$110</f>
        <v>ratio</v>
      </c>
      <c r="H148" s="547">
        <f>Debt!H$110</f>
        <v>139.47054794249641</v>
      </c>
      <c r="J148" s="547">
        <f>Debt!J$110</f>
        <v>0</v>
      </c>
      <c r="K148" s="547">
        <f>Debt!K$110</f>
        <v>0</v>
      </c>
      <c r="L148" s="547">
        <f>Debt!L$110</f>
        <v>0</v>
      </c>
      <c r="M148" s="547">
        <f>Debt!M$110</f>
        <v>0</v>
      </c>
      <c r="N148" s="547">
        <f>Debt!N$110</f>
        <v>0</v>
      </c>
      <c r="O148" s="547">
        <f>Debt!O$110</f>
        <v>0</v>
      </c>
      <c r="P148" s="547">
        <f>Debt!P$110</f>
        <v>0</v>
      </c>
      <c r="Q148" s="547">
        <f>Debt!Q$110</f>
        <v>0</v>
      </c>
      <c r="R148" s="547">
        <f>Debt!R$110</f>
        <v>0</v>
      </c>
      <c r="S148" s="547">
        <f>Debt!S$110</f>
        <v>0</v>
      </c>
      <c r="T148" s="547">
        <f>Debt!T$110</f>
        <v>0</v>
      </c>
      <c r="U148" s="547">
        <f>Debt!U$110</f>
        <v>0</v>
      </c>
      <c r="V148" s="547">
        <f>Debt!V$110</f>
        <v>0</v>
      </c>
      <c r="W148" s="547">
        <f>Debt!W$110</f>
        <v>0</v>
      </c>
      <c r="X148" s="547">
        <f>Debt!X$110</f>
        <v>0</v>
      </c>
      <c r="Y148" s="547">
        <f>Debt!Y$110</f>
        <v>0</v>
      </c>
      <c r="Z148" s="547">
        <f>Debt!Z$110</f>
        <v>0</v>
      </c>
      <c r="AA148" s="547">
        <f>Debt!AA$110</f>
        <v>0</v>
      </c>
      <c r="AB148" s="547">
        <f>Debt!AB$110</f>
        <v>0</v>
      </c>
      <c r="AC148" s="547">
        <f>Debt!AC$110</f>
        <v>0</v>
      </c>
      <c r="AD148" s="547">
        <f>Debt!AD$110</f>
        <v>0</v>
      </c>
      <c r="AE148" s="547">
        <f>Debt!AE$110</f>
        <v>0</v>
      </c>
      <c r="AF148" s="547">
        <f>Debt!AF$110</f>
        <v>0</v>
      </c>
      <c r="AG148" s="547">
        <f>Debt!AG$110</f>
        <v>0</v>
      </c>
      <c r="AH148" s="547">
        <f>Debt!AH$110</f>
        <v>1.9370909436457795</v>
      </c>
      <c r="AI148" s="547">
        <f>Debt!AI$110</f>
        <v>1.9370909436457795</v>
      </c>
      <c r="AJ148" s="547">
        <f>Debt!AJ$110</f>
        <v>1.9370909436457797</v>
      </c>
      <c r="AK148" s="547">
        <f>Debt!AK$110</f>
        <v>1.9370909436457795</v>
      </c>
      <c r="AL148" s="547">
        <f>Debt!AL$110</f>
        <v>1.9370909436457797</v>
      </c>
      <c r="AM148" s="547">
        <f>Debt!AM$110</f>
        <v>1.9370909436457795</v>
      </c>
      <c r="AN148" s="547">
        <f>Debt!AN$110</f>
        <v>1.9370909436457795</v>
      </c>
      <c r="AO148" s="547">
        <f>Debt!AO$110</f>
        <v>1.9370909436457795</v>
      </c>
      <c r="AP148" s="547">
        <f>Debt!AP$110</f>
        <v>1.9370909436457795</v>
      </c>
      <c r="AQ148" s="547">
        <f>Debt!AQ$110</f>
        <v>1.9370909436457797</v>
      </c>
      <c r="AR148" s="547">
        <f>Debt!AR$110</f>
        <v>1.9370909436457795</v>
      </c>
      <c r="AS148" s="547">
        <f>Debt!AS$110</f>
        <v>1.9370909436457793</v>
      </c>
      <c r="AT148" s="547">
        <f>Debt!AT$110</f>
        <v>1.9370909436457795</v>
      </c>
      <c r="AU148" s="547">
        <f>Debt!AU$110</f>
        <v>1.9370909436457795</v>
      </c>
      <c r="AV148" s="547">
        <f>Debt!AV$110</f>
        <v>1.9370909436457795</v>
      </c>
      <c r="AW148" s="547">
        <f>Debt!AW$110</f>
        <v>1.9370909436457795</v>
      </c>
      <c r="AX148" s="547">
        <f>Debt!AX$110</f>
        <v>1.9370909436457795</v>
      </c>
      <c r="AY148" s="547">
        <f>Debt!AY$110</f>
        <v>1.9370909436457795</v>
      </c>
      <c r="AZ148" s="547">
        <f>Debt!AZ$110</f>
        <v>1.9370909436457795</v>
      </c>
      <c r="BA148" s="547">
        <f>Debt!BA$110</f>
        <v>1.9370909436457795</v>
      </c>
      <c r="BB148" s="547">
        <f>Debt!BB$110</f>
        <v>1.9370909436457795</v>
      </c>
      <c r="BC148" s="547">
        <f>Debt!BC$110</f>
        <v>1.9370909436457793</v>
      </c>
      <c r="BD148" s="547">
        <f>Debt!BD$110</f>
        <v>1.9370909436457793</v>
      </c>
      <c r="BE148" s="547">
        <f>Debt!BE$110</f>
        <v>1.9370909436457795</v>
      </c>
      <c r="BF148" s="547">
        <f>Debt!BF$110</f>
        <v>1.9370909436457795</v>
      </c>
      <c r="BG148" s="547">
        <f>Debt!BG$110</f>
        <v>1.9370909436457795</v>
      </c>
      <c r="BH148" s="547">
        <f>Debt!BH$110</f>
        <v>1.9370909436457795</v>
      </c>
      <c r="BI148" s="547">
        <f>Debt!BI$110</f>
        <v>1.9370909436457795</v>
      </c>
      <c r="BJ148" s="547">
        <f>Debt!BJ$110</f>
        <v>1.9370909436457795</v>
      </c>
      <c r="BK148" s="547">
        <f>Debt!BK$110</f>
        <v>1.9370909436457795</v>
      </c>
      <c r="BL148" s="547">
        <f>Debt!BL$110</f>
        <v>1.9370909436457795</v>
      </c>
      <c r="BM148" s="547">
        <f>Debt!BM$110</f>
        <v>1.9370909436457795</v>
      </c>
      <c r="BN148" s="547">
        <f>Debt!BN$110</f>
        <v>1.9370909436457795</v>
      </c>
      <c r="BO148" s="547">
        <f>Debt!BO$110</f>
        <v>1.9370909436457795</v>
      </c>
      <c r="BP148" s="547">
        <f>Debt!BP$110</f>
        <v>1.9370909436457797</v>
      </c>
      <c r="BQ148" s="547">
        <f>Debt!BQ$110</f>
        <v>1.9370909436457795</v>
      </c>
      <c r="BR148" s="547">
        <f>Debt!BR$110</f>
        <v>1.9370909436457795</v>
      </c>
      <c r="BS148" s="547">
        <f>Debt!BS$110</f>
        <v>1.9370909436457797</v>
      </c>
      <c r="BT148" s="547">
        <f>Debt!BT$110</f>
        <v>1.9370909436457795</v>
      </c>
      <c r="BU148" s="547">
        <f>Debt!BU$110</f>
        <v>1.9370909436457797</v>
      </c>
      <c r="BV148" s="547">
        <f>Debt!BV$110</f>
        <v>1.9370909436457795</v>
      </c>
      <c r="BW148" s="547">
        <f>Debt!BW$110</f>
        <v>1.9370909436457797</v>
      </c>
      <c r="BX148" s="547">
        <f>Debt!BX$110</f>
        <v>1.9370909436457795</v>
      </c>
      <c r="BY148" s="547">
        <f>Debt!BY$110</f>
        <v>1.9370909436457797</v>
      </c>
      <c r="BZ148" s="547">
        <f>Debt!BZ$110</f>
        <v>1.9370909436457795</v>
      </c>
      <c r="CA148" s="547">
        <f>Debt!CA$110</f>
        <v>1.9370909436457795</v>
      </c>
      <c r="CB148" s="547">
        <f>Debt!CB$110</f>
        <v>1.9370909436457795</v>
      </c>
      <c r="CC148" s="547">
        <f>Debt!CC$110</f>
        <v>1.9370909436457797</v>
      </c>
      <c r="CD148" s="547">
        <f>Debt!CD$110</f>
        <v>1.9370909436457797</v>
      </c>
      <c r="CE148" s="547">
        <f>Debt!CE$110</f>
        <v>1.9370909436457793</v>
      </c>
      <c r="CF148" s="547">
        <f>Debt!CF$110</f>
        <v>1.9370909436457795</v>
      </c>
      <c r="CG148" s="547">
        <f>Debt!CG$110</f>
        <v>1.9370909436457795</v>
      </c>
      <c r="CH148" s="547">
        <f>Debt!CH$110</f>
        <v>1.9370909436457795</v>
      </c>
      <c r="CI148" s="547">
        <f>Debt!CI$110</f>
        <v>1.9370909436457797</v>
      </c>
      <c r="CJ148" s="547">
        <f>Debt!CJ$110</f>
        <v>1.9370909436457797</v>
      </c>
      <c r="CK148" s="547">
        <f>Debt!CK$110</f>
        <v>1.9370909436457797</v>
      </c>
      <c r="CL148" s="547">
        <f>Debt!CL$110</f>
        <v>1.9370909436457795</v>
      </c>
      <c r="CM148" s="547">
        <f>Debt!CM$110</f>
        <v>1.9370909436457797</v>
      </c>
      <c r="CN148" s="547">
        <f>Debt!CN$110</f>
        <v>1.9370909436457797</v>
      </c>
      <c r="CO148" s="547">
        <f>Debt!CO$110</f>
        <v>1.9370909436457795</v>
      </c>
      <c r="CP148" s="547">
        <f>Debt!CP$110</f>
        <v>1.9370909436457795</v>
      </c>
      <c r="CQ148" s="547">
        <f>Debt!CQ$110</f>
        <v>1.9370909436457795</v>
      </c>
      <c r="CR148" s="547">
        <f>Debt!CR$110</f>
        <v>1.9370909436457795</v>
      </c>
      <c r="CS148" s="547">
        <f>Debt!CS$110</f>
        <v>1.9370909436457795</v>
      </c>
      <c r="CT148" s="547">
        <f>Debt!CT$110</f>
        <v>1.9370909436457797</v>
      </c>
      <c r="CU148" s="547">
        <f>Debt!CU$110</f>
        <v>1.9370909436457795</v>
      </c>
      <c r="CV148" s="547">
        <f>Debt!CV$110</f>
        <v>1.9370909436457795</v>
      </c>
      <c r="CW148" s="547">
        <f>Debt!CW$110</f>
        <v>1.9370909436457797</v>
      </c>
      <c r="CX148" s="547">
        <f>Debt!CX$110</f>
        <v>1.9370909436457797</v>
      </c>
      <c r="CY148" s="547">
        <f>Debt!CY$110</f>
        <v>1.9370909436457793</v>
      </c>
      <c r="CZ148" s="547">
        <f>Debt!CZ$110</f>
        <v>1.9370909436457793</v>
      </c>
      <c r="DA148" s="547">
        <f>Debt!DA$110</f>
        <v>1.9370909436459081</v>
      </c>
      <c r="DB148" s="547">
        <f>Debt!DB$110</f>
        <v>0</v>
      </c>
      <c r="DC148" s="547">
        <f>Debt!DC$110</f>
        <v>0</v>
      </c>
      <c r="DD148" s="547">
        <f>Debt!DD$110</f>
        <v>0</v>
      </c>
      <c r="DE148" s="547">
        <f>Debt!DE$110</f>
        <v>0</v>
      </c>
      <c r="DF148" s="547">
        <f>Debt!DF$110</f>
        <v>0</v>
      </c>
      <c r="DG148" s="547">
        <f>Debt!DG$110</f>
        <v>0</v>
      </c>
      <c r="DH148" s="547">
        <f>Debt!DH$110</f>
        <v>0</v>
      </c>
      <c r="DI148" s="547">
        <f>Debt!DI$110</f>
        <v>0</v>
      </c>
      <c r="DJ148" s="547">
        <f>Debt!DJ$110</f>
        <v>0</v>
      </c>
      <c r="DK148" s="547">
        <f>Debt!DK$110</f>
        <v>0</v>
      </c>
      <c r="DL148" s="547">
        <f>Debt!DL$110</f>
        <v>0</v>
      </c>
      <c r="DM148" s="547">
        <f>Debt!DM$110</f>
        <v>0</v>
      </c>
      <c r="DN148" s="547">
        <f>Debt!DN$110</f>
        <v>0</v>
      </c>
      <c r="DO148" s="547">
        <f>Debt!DO$110</f>
        <v>0</v>
      </c>
      <c r="DP148" s="547">
        <f>Debt!DP$110</f>
        <v>0</v>
      </c>
      <c r="DQ148" s="547">
        <f>Debt!DQ$110</f>
        <v>0</v>
      </c>
      <c r="DR148" s="547">
        <f>Debt!DR$110</f>
        <v>0</v>
      </c>
      <c r="DS148" s="547">
        <f>Debt!DS$110</f>
        <v>0</v>
      </c>
      <c r="DT148" s="547">
        <f>Debt!DT$110</f>
        <v>0</v>
      </c>
      <c r="DU148" s="547">
        <f>Debt!DU$110</f>
        <v>0</v>
      </c>
      <c r="DV148" s="547">
        <f>Debt!DV$110</f>
        <v>0</v>
      </c>
      <c r="DW148" s="547">
        <f>Debt!DW$110</f>
        <v>0</v>
      </c>
      <c r="DX148" s="547">
        <f>Debt!DX$110</f>
        <v>0</v>
      </c>
      <c r="DY148" s="547">
        <f>Debt!DY$110</f>
        <v>0</v>
      </c>
      <c r="DZ148" s="547">
        <f>Debt!DZ$110</f>
        <v>0</v>
      </c>
      <c r="EA148" s="547">
        <f>Debt!EA$110</f>
        <v>0</v>
      </c>
      <c r="EB148" s="547">
        <f>Debt!EB$110</f>
        <v>0</v>
      </c>
      <c r="EC148" s="547">
        <f>Debt!EC$110</f>
        <v>0</v>
      </c>
      <c r="ED148" s="547">
        <f>Debt!ED$110</f>
        <v>0</v>
      </c>
      <c r="EE148" s="547">
        <f>Debt!EE$110</f>
        <v>0</v>
      </c>
      <c r="EF148" s="547">
        <f>Debt!EF$110</f>
        <v>0</v>
      </c>
      <c r="EG148" s="547">
        <f>Debt!EG$110</f>
        <v>0</v>
      </c>
    </row>
    <row r="149" spans="5:137" ht="12.75">
      <c r="E149" s="538" t="str">
        <f>E$142</f>
        <v>Senior cover - test period flag</v>
      </c>
      <c r="G149" s="539" t="str">
        <f>G$142</f>
        <v>flag</v>
      </c>
      <c r="H149" s="539">
        <f>H$142</f>
        <v>72</v>
      </c>
      <c r="J149" s="539">
        <f t="shared" si="59" ref="J149:EG149">J$142</f>
        <v>0</v>
      </c>
      <c r="K149" s="539">
        <f t="shared" si="59"/>
        <v>0</v>
      </c>
      <c r="L149" s="539">
        <f t="shared" si="59"/>
        <v>0</v>
      </c>
      <c r="M149" s="539">
        <f t="shared" si="59"/>
        <v>0</v>
      </c>
      <c r="N149" s="539">
        <f t="shared" si="59"/>
        <v>0</v>
      </c>
      <c r="O149" s="539">
        <f t="shared" si="59"/>
        <v>0</v>
      </c>
      <c r="P149" s="539">
        <f t="shared" si="59"/>
        <v>0</v>
      </c>
      <c r="Q149" s="539">
        <f t="shared" si="59"/>
        <v>0</v>
      </c>
      <c r="R149" s="539">
        <f t="shared" si="59"/>
        <v>0</v>
      </c>
      <c r="S149" s="539">
        <f t="shared" si="59"/>
        <v>0</v>
      </c>
      <c r="T149" s="539">
        <f t="shared" si="59"/>
        <v>0</v>
      </c>
      <c r="U149" s="539">
        <f t="shared" si="59"/>
        <v>0</v>
      </c>
      <c r="V149" s="539">
        <f t="shared" si="59"/>
        <v>0</v>
      </c>
      <c r="W149" s="539">
        <f t="shared" si="59"/>
        <v>0</v>
      </c>
      <c r="X149" s="539">
        <f t="shared" si="59"/>
        <v>0</v>
      </c>
      <c r="Y149" s="539">
        <f t="shared" si="59"/>
        <v>0</v>
      </c>
      <c r="Z149" s="539">
        <f t="shared" si="59"/>
        <v>0</v>
      </c>
      <c r="AA149" s="539">
        <f t="shared" si="59"/>
        <v>0</v>
      </c>
      <c r="AB149" s="539">
        <f t="shared" si="59"/>
        <v>0</v>
      </c>
      <c r="AC149" s="539">
        <f t="shared" si="59"/>
        <v>0</v>
      </c>
      <c r="AD149" s="539">
        <f t="shared" si="59"/>
        <v>0</v>
      </c>
      <c r="AE149" s="539">
        <f t="shared" si="59"/>
        <v>0</v>
      </c>
      <c r="AF149" s="539">
        <f t="shared" si="59"/>
        <v>0</v>
      </c>
      <c r="AG149" s="539">
        <f t="shared" si="59"/>
        <v>0</v>
      </c>
      <c r="AH149" s="539">
        <f t="shared" si="59"/>
        <v>1</v>
      </c>
      <c r="AI149" s="539">
        <f t="shared" si="59"/>
        <v>1</v>
      </c>
      <c r="AJ149" s="539">
        <f t="shared" si="59"/>
        <v>1</v>
      </c>
      <c r="AK149" s="539">
        <f t="shared" si="59"/>
        <v>1</v>
      </c>
      <c r="AL149" s="539">
        <f t="shared" si="59"/>
        <v>1</v>
      </c>
      <c r="AM149" s="539">
        <f t="shared" si="59"/>
        <v>1</v>
      </c>
      <c r="AN149" s="539">
        <f t="shared" si="59"/>
        <v>1</v>
      </c>
      <c r="AO149" s="539">
        <f t="shared" si="59"/>
        <v>1</v>
      </c>
      <c r="AP149" s="539">
        <f t="shared" si="59"/>
        <v>1</v>
      </c>
      <c r="AQ149" s="539">
        <f t="shared" si="59"/>
        <v>1</v>
      </c>
      <c r="AR149" s="539">
        <f t="shared" si="59"/>
        <v>1</v>
      </c>
      <c r="AS149" s="539">
        <f t="shared" si="59"/>
        <v>1</v>
      </c>
      <c r="AT149" s="539">
        <f t="shared" si="59"/>
        <v>1</v>
      </c>
      <c r="AU149" s="539">
        <f t="shared" si="59"/>
        <v>1</v>
      </c>
      <c r="AV149" s="539">
        <f t="shared" si="59"/>
        <v>1</v>
      </c>
      <c r="AW149" s="539">
        <f t="shared" si="59"/>
        <v>1</v>
      </c>
      <c r="AX149" s="539">
        <f t="shared" si="59"/>
        <v>1</v>
      </c>
      <c r="AY149" s="539">
        <f t="shared" si="59"/>
        <v>1</v>
      </c>
      <c r="AZ149" s="539">
        <f t="shared" si="59"/>
        <v>1</v>
      </c>
      <c r="BA149" s="539">
        <f t="shared" si="59"/>
        <v>1</v>
      </c>
      <c r="BB149" s="539">
        <f t="shared" si="59"/>
        <v>1</v>
      </c>
      <c r="BC149" s="539">
        <f t="shared" si="59"/>
        <v>1</v>
      </c>
      <c r="BD149" s="539">
        <f t="shared" si="59"/>
        <v>1</v>
      </c>
      <c r="BE149" s="539">
        <f t="shared" si="59"/>
        <v>1</v>
      </c>
      <c r="BF149" s="539">
        <f t="shared" si="59"/>
        <v>1</v>
      </c>
      <c r="BG149" s="539">
        <f t="shared" si="59"/>
        <v>1</v>
      </c>
      <c r="BH149" s="539">
        <f t="shared" si="59"/>
        <v>1</v>
      </c>
      <c r="BI149" s="539">
        <f t="shared" si="59"/>
        <v>1</v>
      </c>
      <c r="BJ149" s="539">
        <f t="shared" si="59"/>
        <v>1</v>
      </c>
      <c r="BK149" s="539">
        <f t="shared" si="59"/>
        <v>1</v>
      </c>
      <c r="BL149" s="539">
        <f t="shared" si="59"/>
        <v>1</v>
      </c>
      <c r="BM149" s="539">
        <f t="shared" si="59"/>
        <v>1</v>
      </c>
      <c r="BN149" s="539">
        <f t="shared" si="59"/>
        <v>1</v>
      </c>
      <c r="BO149" s="539">
        <f t="shared" si="59"/>
        <v>1</v>
      </c>
      <c r="BP149" s="539">
        <f t="shared" si="59"/>
        <v>1</v>
      </c>
      <c r="BQ149" s="539">
        <f t="shared" si="59"/>
        <v>1</v>
      </c>
      <c r="BR149" s="539">
        <f t="shared" si="59"/>
        <v>1</v>
      </c>
      <c r="BS149" s="539">
        <f t="shared" si="59"/>
        <v>1</v>
      </c>
      <c r="BT149" s="539">
        <f t="shared" si="59"/>
        <v>1</v>
      </c>
      <c r="BU149" s="539">
        <f t="shared" si="59"/>
        <v>1</v>
      </c>
      <c r="BV149" s="539">
        <f t="shared" si="59"/>
        <v>1</v>
      </c>
      <c r="BW149" s="539">
        <f t="shared" si="59"/>
        <v>1</v>
      </c>
      <c r="BX149" s="539">
        <f t="shared" si="59"/>
        <v>1</v>
      </c>
      <c r="BY149" s="539">
        <f t="shared" si="59"/>
        <v>1</v>
      </c>
      <c r="BZ149" s="539">
        <f t="shared" si="59"/>
        <v>1</v>
      </c>
      <c r="CA149" s="539">
        <f t="shared" si="59"/>
        <v>1</v>
      </c>
      <c r="CB149" s="539">
        <f t="shared" si="59"/>
        <v>1</v>
      </c>
      <c r="CC149" s="539">
        <f t="shared" si="59"/>
        <v>1</v>
      </c>
      <c r="CD149" s="539">
        <f t="shared" si="59"/>
        <v>1</v>
      </c>
      <c r="CE149" s="539">
        <f t="shared" si="59"/>
        <v>1</v>
      </c>
      <c r="CF149" s="539">
        <f t="shared" si="59"/>
        <v>1</v>
      </c>
      <c r="CG149" s="539">
        <f t="shared" si="59"/>
        <v>1</v>
      </c>
      <c r="CH149" s="539">
        <f t="shared" si="59"/>
        <v>1</v>
      </c>
      <c r="CI149" s="539">
        <f t="shared" si="59"/>
        <v>1</v>
      </c>
      <c r="CJ149" s="539">
        <f t="shared" si="59"/>
        <v>1</v>
      </c>
      <c r="CK149" s="539">
        <f t="shared" si="59"/>
        <v>1</v>
      </c>
      <c r="CL149" s="539">
        <f t="shared" si="59"/>
        <v>1</v>
      </c>
      <c r="CM149" s="539">
        <f t="shared" si="59"/>
        <v>1</v>
      </c>
      <c r="CN149" s="539">
        <f t="shared" si="59"/>
        <v>1</v>
      </c>
      <c r="CO149" s="539">
        <f t="shared" si="59"/>
        <v>1</v>
      </c>
      <c r="CP149" s="539">
        <f t="shared" si="59"/>
        <v>1</v>
      </c>
      <c r="CQ149" s="539">
        <f t="shared" si="59"/>
        <v>1</v>
      </c>
      <c r="CR149" s="539">
        <f t="shared" si="59"/>
        <v>1</v>
      </c>
      <c r="CS149" s="539">
        <f t="shared" si="59"/>
        <v>1</v>
      </c>
      <c r="CT149" s="539">
        <f t="shared" si="59"/>
        <v>1</v>
      </c>
      <c r="CU149" s="539">
        <f t="shared" si="59"/>
        <v>1</v>
      </c>
      <c r="CV149" s="539">
        <f t="shared" si="59"/>
        <v>1</v>
      </c>
      <c r="CW149" s="539">
        <f t="shared" si="59"/>
        <v>1</v>
      </c>
      <c r="CX149" s="539">
        <f t="shared" si="59"/>
        <v>1</v>
      </c>
      <c r="CY149" s="539">
        <f t="shared" si="59"/>
        <v>1</v>
      </c>
      <c r="CZ149" s="539">
        <f t="shared" si="59"/>
        <v>1</v>
      </c>
      <c r="DA149" s="539">
        <f t="shared" si="59"/>
        <v>1</v>
      </c>
      <c r="DB149" s="539">
        <f t="shared" si="59"/>
        <v>0</v>
      </c>
      <c r="DC149" s="539">
        <f t="shared" si="59"/>
        <v>0</v>
      </c>
      <c r="DD149" s="539">
        <f t="shared" si="59"/>
        <v>0</v>
      </c>
      <c r="DE149" s="539">
        <f t="shared" si="59"/>
        <v>0</v>
      </c>
      <c r="DF149" s="539">
        <f t="shared" si="59"/>
        <v>0</v>
      </c>
      <c r="DG149" s="539">
        <f t="shared" si="59"/>
        <v>0</v>
      </c>
      <c r="DH149" s="539">
        <f t="shared" si="59"/>
        <v>0</v>
      </c>
      <c r="DI149" s="539">
        <f t="shared" si="59"/>
        <v>0</v>
      </c>
      <c r="DJ149" s="539">
        <f t="shared" si="59"/>
        <v>0</v>
      </c>
      <c r="DK149" s="539">
        <f t="shared" si="59"/>
        <v>0</v>
      </c>
      <c r="DL149" s="539">
        <f t="shared" si="59"/>
        <v>0</v>
      </c>
      <c r="DM149" s="539">
        <f t="shared" si="59"/>
        <v>0</v>
      </c>
      <c r="DN149" s="539">
        <f t="shared" si="59"/>
        <v>0</v>
      </c>
      <c r="DO149" s="539">
        <f t="shared" si="59"/>
        <v>0</v>
      </c>
      <c r="DP149" s="539">
        <f t="shared" si="59"/>
        <v>0</v>
      </c>
      <c r="DQ149" s="539">
        <f t="shared" si="59"/>
        <v>0</v>
      </c>
      <c r="DR149" s="539">
        <f t="shared" si="59"/>
        <v>0</v>
      </c>
      <c r="DS149" s="539">
        <f t="shared" si="59"/>
        <v>0</v>
      </c>
      <c r="DT149" s="539">
        <f t="shared" si="59"/>
        <v>0</v>
      </c>
      <c r="DU149" s="539">
        <f t="shared" si="59"/>
        <v>0</v>
      </c>
      <c r="DV149" s="539">
        <f t="shared" si="59"/>
        <v>0</v>
      </c>
      <c r="DW149" s="539">
        <f t="shared" si="59"/>
        <v>0</v>
      </c>
      <c r="DX149" s="539">
        <f t="shared" si="59"/>
        <v>0</v>
      </c>
      <c r="DY149" s="539">
        <f t="shared" si="59"/>
        <v>0</v>
      </c>
      <c r="DZ149" s="539">
        <f t="shared" si="59"/>
        <v>0</v>
      </c>
      <c r="EA149" s="539">
        <f t="shared" si="59"/>
        <v>0</v>
      </c>
      <c r="EB149" s="539">
        <f t="shared" si="59"/>
        <v>0</v>
      </c>
      <c r="EC149" s="539">
        <f t="shared" si="59"/>
        <v>0</v>
      </c>
      <c r="ED149" s="539">
        <f t="shared" si="59"/>
        <v>0</v>
      </c>
      <c r="EE149" s="539">
        <f t="shared" si="59"/>
        <v>0</v>
      </c>
      <c r="EF149" s="539">
        <f t="shared" si="59"/>
        <v>0</v>
      </c>
      <c r="EG149" s="539">
        <f t="shared" si="59"/>
        <v>0</v>
      </c>
    </row>
    <row r="150" spans="5:7" ht="12.75">
      <c r="E150" s="538" t="s">
        <v>498</v>
      </c>
      <c r="F150" s="548">
        <f>IF(SUM($J149:$EG149)&gt;0,AVERAGEIFS($J148:$EG148,$J149:$EG149,1),0)</f>
        <v>1.9370909436457813</v>
      </c>
      <c r="G150" s="548" t="s">
        <v>68</v>
      </c>
    </row>
    <row r="152" spans="2:2" ht="12.75">
      <c r="B152" s="534" t="s">
        <v>499</v>
      </c>
    </row>
    <row r="153" spans="5:7" ht="12.75">
      <c r="E153" s="535" t="str">
        <f>InpC!E$76</f>
        <v>Senior facility - interest rate</v>
      </c>
      <c r="F153" s="542">
        <f>InpC!F$76</f>
        <v>0.055</v>
      </c>
      <c r="G153" s="542" t="str">
        <f>InpC!G$76</f>
        <v>% p.a.</v>
      </c>
    </row>
    <row r="154" spans="5:7" ht="12.75">
      <c r="E154" s="535" t="str">
        <f>InpC!E$127</f>
        <v>Days per year (interest day count)</v>
      </c>
      <c r="F154" s="537">
        <f>InpC!F$127</f>
        <v>365</v>
      </c>
      <c r="G154" s="537" t="str">
        <f>InpC!G$127</f>
        <v>days</v>
      </c>
    </row>
    <row r="155" spans="5:137" ht="12.75">
      <c r="E155" s="535" t="str">
        <f>Time!E$16</f>
        <v>First model column flag</v>
      </c>
      <c r="G155" s="537" t="str">
        <f>Time!G$16</f>
        <v>flag</v>
      </c>
      <c r="H155" s="537">
        <f>Time!H$16</f>
        <v>1</v>
      </c>
      <c r="J155" s="537">
        <f>Time!J$16</f>
        <v>1</v>
      </c>
      <c r="K155" s="537">
        <f>Time!K$16</f>
        <v>0</v>
      </c>
      <c r="L155" s="537">
        <f>Time!L$16</f>
        <v>0</v>
      </c>
      <c r="M155" s="537">
        <f>Time!M$16</f>
        <v>0</v>
      </c>
      <c r="N155" s="537">
        <f>Time!N$16</f>
        <v>0</v>
      </c>
      <c r="O155" s="537">
        <f>Time!O$16</f>
        <v>0</v>
      </c>
      <c r="P155" s="537">
        <f>Time!P$16</f>
        <v>0</v>
      </c>
      <c r="Q155" s="537">
        <f>Time!Q$16</f>
        <v>0</v>
      </c>
      <c r="R155" s="537">
        <f>Time!R$16</f>
        <v>0</v>
      </c>
      <c r="S155" s="537">
        <f>Time!S$16</f>
        <v>0</v>
      </c>
      <c r="T155" s="537">
        <f>Time!T$16</f>
        <v>0</v>
      </c>
      <c r="U155" s="537">
        <f>Time!U$16</f>
        <v>0</v>
      </c>
      <c r="V155" s="537">
        <f>Time!V$16</f>
        <v>0</v>
      </c>
      <c r="W155" s="537">
        <f>Time!W$16</f>
        <v>0</v>
      </c>
      <c r="X155" s="537">
        <f>Time!X$16</f>
        <v>0</v>
      </c>
      <c r="Y155" s="537">
        <f>Time!Y$16</f>
        <v>0</v>
      </c>
      <c r="Z155" s="537">
        <f>Time!Z$16</f>
        <v>0</v>
      </c>
      <c r="AA155" s="537">
        <f>Time!AA$16</f>
        <v>0</v>
      </c>
      <c r="AB155" s="537">
        <f>Time!AB$16</f>
        <v>0</v>
      </c>
      <c r="AC155" s="537">
        <f>Time!AC$16</f>
        <v>0</v>
      </c>
      <c r="AD155" s="537">
        <f>Time!AD$16</f>
        <v>0</v>
      </c>
      <c r="AE155" s="537">
        <f>Time!AE$16</f>
        <v>0</v>
      </c>
      <c r="AF155" s="537">
        <f>Time!AF$16</f>
        <v>0</v>
      </c>
      <c r="AG155" s="537">
        <f>Time!AG$16</f>
        <v>0</v>
      </c>
      <c r="AH155" s="537">
        <f>Time!AH$16</f>
        <v>0</v>
      </c>
      <c r="AI155" s="537">
        <f>Time!AI$16</f>
        <v>0</v>
      </c>
      <c r="AJ155" s="537">
        <f>Time!AJ$16</f>
        <v>0</v>
      </c>
      <c r="AK155" s="537">
        <f>Time!AK$16</f>
        <v>0</v>
      </c>
      <c r="AL155" s="537">
        <f>Time!AL$16</f>
        <v>0</v>
      </c>
      <c r="AM155" s="537">
        <f>Time!AM$16</f>
        <v>0</v>
      </c>
      <c r="AN155" s="537">
        <f>Time!AN$16</f>
        <v>0</v>
      </c>
      <c r="AO155" s="537">
        <f>Time!AO$16</f>
        <v>0</v>
      </c>
      <c r="AP155" s="537">
        <f>Time!AP$16</f>
        <v>0</v>
      </c>
      <c r="AQ155" s="537">
        <f>Time!AQ$16</f>
        <v>0</v>
      </c>
      <c r="AR155" s="537">
        <f>Time!AR$16</f>
        <v>0</v>
      </c>
      <c r="AS155" s="537">
        <f>Time!AS$16</f>
        <v>0</v>
      </c>
      <c r="AT155" s="537">
        <f>Time!AT$16</f>
        <v>0</v>
      </c>
      <c r="AU155" s="537">
        <f>Time!AU$16</f>
        <v>0</v>
      </c>
      <c r="AV155" s="537">
        <f>Time!AV$16</f>
        <v>0</v>
      </c>
      <c r="AW155" s="537">
        <f>Time!AW$16</f>
        <v>0</v>
      </c>
      <c r="AX155" s="537">
        <f>Time!AX$16</f>
        <v>0</v>
      </c>
      <c r="AY155" s="537">
        <f>Time!AY$16</f>
        <v>0</v>
      </c>
      <c r="AZ155" s="537">
        <f>Time!AZ$16</f>
        <v>0</v>
      </c>
      <c r="BA155" s="537">
        <f>Time!BA$16</f>
        <v>0</v>
      </c>
      <c r="BB155" s="537">
        <f>Time!BB$16</f>
        <v>0</v>
      </c>
      <c r="BC155" s="537">
        <f>Time!BC$16</f>
        <v>0</v>
      </c>
      <c r="BD155" s="537">
        <f>Time!BD$16</f>
        <v>0</v>
      </c>
      <c r="BE155" s="537">
        <f>Time!BE$16</f>
        <v>0</v>
      </c>
      <c r="BF155" s="537">
        <f>Time!BF$16</f>
        <v>0</v>
      </c>
      <c r="BG155" s="537">
        <f>Time!BG$16</f>
        <v>0</v>
      </c>
      <c r="BH155" s="537">
        <f>Time!BH$16</f>
        <v>0</v>
      </c>
      <c r="BI155" s="537">
        <f>Time!BI$16</f>
        <v>0</v>
      </c>
      <c r="BJ155" s="537">
        <f>Time!BJ$16</f>
        <v>0</v>
      </c>
      <c r="BK155" s="537">
        <f>Time!BK$16</f>
        <v>0</v>
      </c>
      <c r="BL155" s="537">
        <f>Time!BL$16</f>
        <v>0</v>
      </c>
      <c r="BM155" s="537">
        <f>Time!BM$16</f>
        <v>0</v>
      </c>
      <c r="BN155" s="537">
        <f>Time!BN$16</f>
        <v>0</v>
      </c>
      <c r="BO155" s="537">
        <f>Time!BO$16</f>
        <v>0</v>
      </c>
      <c r="BP155" s="537">
        <f>Time!BP$16</f>
        <v>0</v>
      </c>
      <c r="BQ155" s="537">
        <f>Time!BQ$16</f>
        <v>0</v>
      </c>
      <c r="BR155" s="537">
        <f>Time!BR$16</f>
        <v>0</v>
      </c>
      <c r="BS155" s="537">
        <f>Time!BS$16</f>
        <v>0</v>
      </c>
      <c r="BT155" s="537">
        <f>Time!BT$16</f>
        <v>0</v>
      </c>
      <c r="BU155" s="537">
        <f>Time!BU$16</f>
        <v>0</v>
      </c>
      <c r="BV155" s="537">
        <f>Time!BV$16</f>
        <v>0</v>
      </c>
      <c r="BW155" s="537">
        <f>Time!BW$16</f>
        <v>0</v>
      </c>
      <c r="BX155" s="537">
        <f>Time!BX$16</f>
        <v>0</v>
      </c>
      <c r="BY155" s="537">
        <f>Time!BY$16</f>
        <v>0</v>
      </c>
      <c r="BZ155" s="537">
        <f>Time!BZ$16</f>
        <v>0</v>
      </c>
      <c r="CA155" s="537">
        <f>Time!CA$16</f>
        <v>0</v>
      </c>
      <c r="CB155" s="537">
        <f>Time!CB$16</f>
        <v>0</v>
      </c>
      <c r="CC155" s="537">
        <f>Time!CC$16</f>
        <v>0</v>
      </c>
      <c r="CD155" s="537">
        <f>Time!CD$16</f>
        <v>0</v>
      </c>
      <c r="CE155" s="537">
        <f>Time!CE$16</f>
        <v>0</v>
      </c>
      <c r="CF155" s="537">
        <f>Time!CF$16</f>
        <v>0</v>
      </c>
      <c r="CG155" s="537">
        <f>Time!CG$16</f>
        <v>0</v>
      </c>
      <c r="CH155" s="537">
        <f>Time!CH$16</f>
        <v>0</v>
      </c>
      <c r="CI155" s="537">
        <f>Time!CI$16</f>
        <v>0</v>
      </c>
      <c r="CJ155" s="537">
        <f>Time!CJ$16</f>
        <v>0</v>
      </c>
      <c r="CK155" s="537">
        <f>Time!CK$16</f>
        <v>0</v>
      </c>
      <c r="CL155" s="537">
        <f>Time!CL$16</f>
        <v>0</v>
      </c>
      <c r="CM155" s="537">
        <f>Time!CM$16</f>
        <v>0</v>
      </c>
      <c r="CN155" s="537">
        <f>Time!CN$16</f>
        <v>0</v>
      </c>
      <c r="CO155" s="537">
        <f>Time!CO$16</f>
        <v>0</v>
      </c>
      <c r="CP155" s="537">
        <f>Time!CP$16</f>
        <v>0</v>
      </c>
      <c r="CQ155" s="537">
        <f>Time!CQ$16</f>
        <v>0</v>
      </c>
      <c r="CR155" s="537">
        <f>Time!CR$16</f>
        <v>0</v>
      </c>
      <c r="CS155" s="537">
        <f>Time!CS$16</f>
        <v>0</v>
      </c>
      <c r="CT155" s="537">
        <f>Time!CT$16</f>
        <v>0</v>
      </c>
      <c r="CU155" s="537">
        <f>Time!CU$16</f>
        <v>0</v>
      </c>
      <c r="CV155" s="537">
        <f>Time!CV$16</f>
        <v>0</v>
      </c>
      <c r="CW155" s="537">
        <f>Time!CW$16</f>
        <v>0</v>
      </c>
      <c r="CX155" s="537">
        <f>Time!CX$16</f>
        <v>0</v>
      </c>
      <c r="CY155" s="537">
        <f>Time!CY$16</f>
        <v>0</v>
      </c>
      <c r="CZ155" s="537">
        <f>Time!CZ$16</f>
        <v>0</v>
      </c>
      <c r="DA155" s="537">
        <f>Time!DA$16</f>
        <v>0</v>
      </c>
      <c r="DB155" s="537">
        <f>Time!DB$16</f>
        <v>0</v>
      </c>
      <c r="DC155" s="537">
        <f>Time!DC$16</f>
        <v>0</v>
      </c>
      <c r="DD155" s="537">
        <f>Time!DD$16</f>
        <v>0</v>
      </c>
      <c r="DE155" s="537">
        <f>Time!DE$16</f>
        <v>0</v>
      </c>
      <c r="DF155" s="537">
        <f>Time!DF$16</f>
        <v>0</v>
      </c>
      <c r="DG155" s="537">
        <f>Time!DG$16</f>
        <v>0</v>
      </c>
      <c r="DH155" s="537">
        <f>Time!DH$16</f>
        <v>0</v>
      </c>
      <c r="DI155" s="537">
        <f>Time!DI$16</f>
        <v>0</v>
      </c>
      <c r="DJ155" s="537">
        <f>Time!DJ$16</f>
        <v>0</v>
      </c>
      <c r="DK155" s="537">
        <f>Time!DK$16</f>
        <v>0</v>
      </c>
      <c r="DL155" s="537">
        <f>Time!DL$16</f>
        <v>0</v>
      </c>
      <c r="DM155" s="537">
        <f>Time!DM$16</f>
        <v>0</v>
      </c>
      <c r="DN155" s="537">
        <f>Time!DN$16</f>
        <v>0</v>
      </c>
      <c r="DO155" s="537">
        <f>Time!DO$16</f>
        <v>0</v>
      </c>
      <c r="DP155" s="537">
        <f>Time!DP$16</f>
        <v>0</v>
      </c>
      <c r="DQ155" s="537">
        <f>Time!DQ$16</f>
        <v>0</v>
      </c>
      <c r="DR155" s="537">
        <f>Time!DR$16</f>
        <v>0</v>
      </c>
      <c r="DS155" s="537">
        <f>Time!DS$16</f>
        <v>0</v>
      </c>
      <c r="DT155" s="537">
        <f>Time!DT$16</f>
        <v>0</v>
      </c>
      <c r="DU155" s="537">
        <f>Time!DU$16</f>
        <v>0</v>
      </c>
      <c r="DV155" s="537">
        <f>Time!DV$16</f>
        <v>0</v>
      </c>
      <c r="DW155" s="537">
        <f>Time!DW$16</f>
        <v>0</v>
      </c>
      <c r="DX155" s="537">
        <f>Time!DX$16</f>
        <v>0</v>
      </c>
      <c r="DY155" s="537">
        <f>Time!DY$16</f>
        <v>0</v>
      </c>
      <c r="DZ155" s="537">
        <f>Time!DZ$16</f>
        <v>0</v>
      </c>
      <c r="EA155" s="537">
        <f>Time!EA$16</f>
        <v>0</v>
      </c>
      <c r="EB155" s="537">
        <f>Time!EB$16</f>
        <v>0</v>
      </c>
      <c r="EC155" s="537">
        <f>Time!EC$16</f>
        <v>0</v>
      </c>
      <c r="ED155" s="537">
        <f>Time!ED$16</f>
        <v>0</v>
      </c>
      <c r="EE155" s="537">
        <f>Time!EE$16</f>
        <v>0</v>
      </c>
      <c r="EF155" s="537">
        <f>Time!EF$16</f>
        <v>0</v>
      </c>
      <c r="EG155" s="537">
        <f>Time!EG$16</f>
        <v>0</v>
      </c>
    </row>
    <row r="156" spans="5:137" ht="12.75">
      <c r="E156" s="535" t="str">
        <f>Time!E$163</f>
        <v>Days in period</v>
      </c>
      <c r="G156" s="537" t="str">
        <f>Time!G$163</f>
        <v>days</v>
      </c>
      <c r="H156" s="537">
        <f>Time!H$163</f>
        <v>10227</v>
      </c>
      <c r="J156" s="537">
        <f>Time!J$163</f>
        <v>31</v>
      </c>
      <c r="K156" s="537">
        <f>Time!K$163</f>
        <v>28</v>
      </c>
      <c r="L156" s="537">
        <f>Time!L$163</f>
        <v>31</v>
      </c>
      <c r="M156" s="537">
        <f>Time!M$163</f>
        <v>30</v>
      </c>
      <c r="N156" s="537">
        <f>Time!N$163</f>
        <v>31</v>
      </c>
      <c r="O156" s="537">
        <f>Time!O$163</f>
        <v>30</v>
      </c>
      <c r="P156" s="537">
        <f>Time!P$163</f>
        <v>31</v>
      </c>
      <c r="Q156" s="537">
        <f>Time!Q$163</f>
        <v>31</v>
      </c>
      <c r="R156" s="537">
        <f>Time!R$163</f>
        <v>30</v>
      </c>
      <c r="S156" s="537">
        <f>Time!S$163</f>
        <v>31</v>
      </c>
      <c r="T156" s="537">
        <f>Time!T$163</f>
        <v>30</v>
      </c>
      <c r="U156" s="537">
        <f>Time!U$163</f>
        <v>31</v>
      </c>
      <c r="V156" s="537">
        <f>Time!V$163</f>
        <v>31</v>
      </c>
      <c r="W156" s="537">
        <f>Time!W$163</f>
        <v>29</v>
      </c>
      <c r="X156" s="537">
        <f>Time!X$163</f>
        <v>31</v>
      </c>
      <c r="Y156" s="537">
        <f>Time!Y$163</f>
        <v>30</v>
      </c>
      <c r="Z156" s="537">
        <f>Time!Z$163</f>
        <v>31</v>
      </c>
      <c r="AA156" s="537">
        <f>Time!AA$163</f>
        <v>30</v>
      </c>
      <c r="AB156" s="537">
        <f>Time!AB$163</f>
        <v>31</v>
      </c>
      <c r="AC156" s="537">
        <f>Time!AC$163</f>
        <v>31</v>
      </c>
      <c r="AD156" s="537">
        <f>Time!AD$163</f>
        <v>30</v>
      </c>
      <c r="AE156" s="537">
        <f>Time!AE$163</f>
        <v>31</v>
      </c>
      <c r="AF156" s="537">
        <f>Time!AF$163</f>
        <v>30</v>
      </c>
      <c r="AG156" s="537">
        <f>Time!AG$163</f>
        <v>31</v>
      </c>
      <c r="AH156" s="537">
        <f>Time!AH$163</f>
        <v>90</v>
      </c>
      <c r="AI156" s="537">
        <f>Time!AI$163</f>
        <v>91</v>
      </c>
      <c r="AJ156" s="537">
        <f>Time!AJ$163</f>
        <v>92</v>
      </c>
      <c r="AK156" s="537">
        <f>Time!AK$163</f>
        <v>92</v>
      </c>
      <c r="AL156" s="537">
        <f>Time!AL$163</f>
        <v>90</v>
      </c>
      <c r="AM156" s="537">
        <f>Time!AM$163</f>
        <v>91</v>
      </c>
      <c r="AN156" s="537">
        <f>Time!AN$163</f>
        <v>92</v>
      </c>
      <c r="AO156" s="537">
        <f>Time!AO$163</f>
        <v>92</v>
      </c>
      <c r="AP156" s="537">
        <f>Time!AP$163</f>
        <v>90</v>
      </c>
      <c r="AQ156" s="537">
        <f>Time!AQ$163</f>
        <v>91</v>
      </c>
      <c r="AR156" s="537">
        <f>Time!AR$163</f>
        <v>92</v>
      </c>
      <c r="AS156" s="537">
        <f>Time!AS$163</f>
        <v>92</v>
      </c>
      <c r="AT156" s="537">
        <f>Time!AT$163</f>
        <v>91</v>
      </c>
      <c r="AU156" s="537">
        <f>Time!AU$163</f>
        <v>91</v>
      </c>
      <c r="AV156" s="537">
        <f>Time!AV$163</f>
        <v>92</v>
      </c>
      <c r="AW156" s="537">
        <f>Time!AW$163</f>
        <v>92</v>
      </c>
      <c r="AX156" s="537">
        <f>Time!AX$163</f>
        <v>90</v>
      </c>
      <c r="AY156" s="537">
        <f>Time!AY$163</f>
        <v>91</v>
      </c>
      <c r="AZ156" s="537">
        <f>Time!AZ$163</f>
        <v>92</v>
      </c>
      <c r="BA156" s="537">
        <f>Time!BA$163</f>
        <v>92</v>
      </c>
      <c r="BB156" s="537">
        <f>Time!BB$163</f>
        <v>90</v>
      </c>
      <c r="BC156" s="537">
        <f>Time!BC$163</f>
        <v>91</v>
      </c>
      <c r="BD156" s="537">
        <f>Time!BD$163</f>
        <v>92</v>
      </c>
      <c r="BE156" s="537">
        <f>Time!BE$163</f>
        <v>92</v>
      </c>
      <c r="BF156" s="537">
        <f>Time!BF$163</f>
        <v>90</v>
      </c>
      <c r="BG156" s="537">
        <f>Time!BG$163</f>
        <v>91</v>
      </c>
      <c r="BH156" s="537">
        <f>Time!BH$163</f>
        <v>92</v>
      </c>
      <c r="BI156" s="537">
        <f>Time!BI$163</f>
        <v>92</v>
      </c>
      <c r="BJ156" s="537">
        <f>Time!BJ$163</f>
        <v>91</v>
      </c>
      <c r="BK156" s="537">
        <f>Time!BK$163</f>
        <v>91</v>
      </c>
      <c r="BL156" s="537">
        <f>Time!BL$163</f>
        <v>92</v>
      </c>
      <c r="BM156" s="537">
        <f>Time!BM$163</f>
        <v>92</v>
      </c>
      <c r="BN156" s="537">
        <f>Time!BN$163</f>
        <v>90</v>
      </c>
      <c r="BO156" s="537">
        <f>Time!BO$163</f>
        <v>91</v>
      </c>
      <c r="BP156" s="537">
        <f>Time!BP$163</f>
        <v>92</v>
      </c>
      <c r="BQ156" s="537">
        <f>Time!BQ$163</f>
        <v>92</v>
      </c>
      <c r="BR156" s="537">
        <f>Time!BR$163</f>
        <v>90</v>
      </c>
      <c r="BS156" s="537">
        <f>Time!BS$163</f>
        <v>91</v>
      </c>
      <c r="BT156" s="537">
        <f>Time!BT$163</f>
        <v>92</v>
      </c>
      <c r="BU156" s="537">
        <f>Time!BU$163</f>
        <v>92</v>
      </c>
      <c r="BV156" s="537">
        <f>Time!BV$163</f>
        <v>90</v>
      </c>
      <c r="BW156" s="537">
        <f>Time!BW$163</f>
        <v>91</v>
      </c>
      <c r="BX156" s="537">
        <f>Time!BX$163</f>
        <v>92</v>
      </c>
      <c r="BY156" s="537">
        <f>Time!BY$163</f>
        <v>92</v>
      </c>
      <c r="BZ156" s="537">
        <f>Time!BZ$163</f>
        <v>91</v>
      </c>
      <c r="CA156" s="537">
        <f>Time!CA$163</f>
        <v>91</v>
      </c>
      <c r="CB156" s="537">
        <f>Time!CB$163</f>
        <v>92</v>
      </c>
      <c r="CC156" s="537">
        <f>Time!CC$163</f>
        <v>92</v>
      </c>
      <c r="CD156" s="537">
        <f>Time!CD$163</f>
        <v>90</v>
      </c>
      <c r="CE156" s="537">
        <f>Time!CE$163</f>
        <v>91</v>
      </c>
      <c r="CF156" s="537">
        <f>Time!CF$163</f>
        <v>92</v>
      </c>
      <c r="CG156" s="537">
        <f>Time!CG$163</f>
        <v>92</v>
      </c>
      <c r="CH156" s="537">
        <f>Time!CH$163</f>
        <v>90</v>
      </c>
      <c r="CI156" s="537">
        <f>Time!CI$163</f>
        <v>91</v>
      </c>
      <c r="CJ156" s="537">
        <f>Time!CJ$163</f>
        <v>92</v>
      </c>
      <c r="CK156" s="537">
        <f>Time!CK$163</f>
        <v>92</v>
      </c>
      <c r="CL156" s="537">
        <f>Time!CL$163</f>
        <v>90</v>
      </c>
      <c r="CM156" s="537">
        <f>Time!CM$163</f>
        <v>91</v>
      </c>
      <c r="CN156" s="537">
        <f>Time!CN$163</f>
        <v>92</v>
      </c>
      <c r="CO156" s="537">
        <f>Time!CO$163</f>
        <v>92</v>
      </c>
      <c r="CP156" s="537">
        <f>Time!CP$163</f>
        <v>91</v>
      </c>
      <c r="CQ156" s="537">
        <f>Time!CQ$163</f>
        <v>91</v>
      </c>
      <c r="CR156" s="537">
        <f>Time!CR$163</f>
        <v>92</v>
      </c>
      <c r="CS156" s="537">
        <f>Time!CS$163</f>
        <v>92</v>
      </c>
      <c r="CT156" s="537">
        <f>Time!CT$163</f>
        <v>90</v>
      </c>
      <c r="CU156" s="537">
        <f>Time!CU$163</f>
        <v>91</v>
      </c>
      <c r="CV156" s="537">
        <f>Time!CV$163</f>
        <v>92</v>
      </c>
      <c r="CW156" s="537">
        <f>Time!CW$163</f>
        <v>92</v>
      </c>
      <c r="CX156" s="537">
        <f>Time!CX$163</f>
        <v>90</v>
      </c>
      <c r="CY156" s="537">
        <f>Time!CY$163</f>
        <v>91</v>
      </c>
      <c r="CZ156" s="537">
        <f>Time!CZ$163</f>
        <v>92</v>
      </c>
      <c r="DA156" s="537">
        <f>Time!DA$163</f>
        <v>92</v>
      </c>
      <c r="DB156" s="537">
        <f>Time!DB$163</f>
        <v>90</v>
      </c>
      <c r="DC156" s="537">
        <f>Time!DC$163</f>
        <v>91</v>
      </c>
      <c r="DD156" s="537">
        <f>Time!DD$163</f>
        <v>92</v>
      </c>
      <c r="DE156" s="537">
        <f>Time!DE$163</f>
        <v>92</v>
      </c>
      <c r="DF156" s="537">
        <f>Time!DF$163</f>
        <v>91</v>
      </c>
      <c r="DG156" s="537">
        <f>Time!DG$163</f>
        <v>91</v>
      </c>
      <c r="DH156" s="537">
        <f>Time!DH$163</f>
        <v>92</v>
      </c>
      <c r="DI156" s="537">
        <f>Time!DI$163</f>
        <v>92</v>
      </c>
      <c r="DJ156" s="537">
        <f>Time!DJ$163</f>
        <v>90</v>
      </c>
      <c r="DK156" s="537">
        <f>Time!DK$163</f>
        <v>91</v>
      </c>
      <c r="DL156" s="537">
        <f>Time!DL$163</f>
        <v>92</v>
      </c>
      <c r="DM156" s="537">
        <f>Time!DM$163</f>
        <v>92</v>
      </c>
      <c r="DN156" s="537">
        <f>Time!DN$163</f>
        <v>90</v>
      </c>
      <c r="DO156" s="537">
        <f>Time!DO$163</f>
        <v>91</v>
      </c>
      <c r="DP156" s="537">
        <f>Time!DP$163</f>
        <v>92</v>
      </c>
      <c r="DQ156" s="537">
        <f>Time!DQ$163</f>
        <v>92</v>
      </c>
      <c r="DR156" s="537">
        <f>Time!DR$163</f>
        <v>90</v>
      </c>
      <c r="DS156" s="537">
        <f>Time!DS$163</f>
        <v>91</v>
      </c>
      <c r="DT156" s="537">
        <f>Time!DT$163</f>
        <v>92</v>
      </c>
      <c r="DU156" s="537">
        <f>Time!DU$163</f>
        <v>92</v>
      </c>
      <c r="DV156" s="537">
        <f>Time!DV$163</f>
        <v>91</v>
      </c>
      <c r="DW156" s="537">
        <f>Time!DW$163</f>
        <v>91</v>
      </c>
      <c r="DX156" s="537">
        <f>Time!DX$163</f>
        <v>92</v>
      </c>
      <c r="DY156" s="537">
        <f>Time!DY$163</f>
        <v>92</v>
      </c>
      <c r="DZ156" s="537">
        <f>Time!DZ$163</f>
        <v>90</v>
      </c>
      <c r="EA156" s="537">
        <f>Time!EA$163</f>
        <v>91</v>
      </c>
      <c r="EB156" s="537">
        <f>Time!EB$163</f>
        <v>92</v>
      </c>
      <c r="EC156" s="537">
        <f>Time!EC$163</f>
        <v>92</v>
      </c>
      <c r="ED156" s="537">
        <f>Time!ED$163</f>
        <v>90</v>
      </c>
      <c r="EE156" s="537">
        <f>Time!EE$163</f>
        <v>91</v>
      </c>
      <c r="EF156" s="537">
        <f>Time!EF$163</f>
        <v>92</v>
      </c>
      <c r="EG156" s="537">
        <f>Time!EG$163</f>
        <v>92</v>
      </c>
    </row>
    <row r="157" spans="5:137" ht="12.75">
      <c r="E157" s="538" t="s">
        <v>500</v>
      </c>
      <c r="G157" s="548" t="s">
        <v>307</v>
      </c>
      <c r="H157" s="548">
        <f>SUM(J157:EG157)</f>
        <v>72.081713318971808</v>
      </c>
      <c r="J157" s="548">
        <f t="shared" si="60" ref="J157:EG157">IF(J155=1,1,I157)/(1+$F153*J156/$F154)</f>
        <v>0.99535048608554566</v>
      </c>
      <c r="K157" s="548">
        <f t="shared" si="60"/>
        <v>0.99116856938185227</v>
      </c>
      <c r="L157" s="548">
        <f t="shared" si="60"/>
        <v>0.9865601173269416</v>
      </c>
      <c r="M157" s="548">
        <f t="shared" si="60"/>
        <v>0.98212039499340975</v>
      </c>
      <c r="N157" s="548">
        <f t="shared" si="60"/>
        <v>0.97755401255121854</v>
      </c>
      <c r="O157" s="548">
        <f t="shared" si="60"/>
        <v>0.97315481953141891</v>
      </c>
      <c r="P157" s="548">
        <f t="shared" si="60"/>
        <v>0.96863012265708937</v>
      </c>
      <c r="Q157" s="548">
        <f t="shared" si="60"/>
        <v>0.96412646342383568</v>
      </c>
      <c r="R157" s="548">
        <f t="shared" si="60"/>
        <v>0.95978769712177825</v>
      </c>
      <c r="S157" s="548">
        <f t="shared" si="60"/>
        <v>0.95532515086908854</v>
      </c>
      <c r="T157" s="548">
        <f t="shared" si="60"/>
        <v>0.95102599227387785</v>
      </c>
      <c r="U157" s="548">
        <f t="shared" si="60"/>
        <v>0.94660418368979271</v>
      </c>
      <c r="V157" s="548">
        <f t="shared" si="60"/>
        <v>0.94220293436624636</v>
      </c>
      <c r="W157" s="548">
        <f t="shared" si="60"/>
        <v>0.93810355035851534</v>
      </c>
      <c r="X157" s="548">
        <f t="shared" si="60"/>
        <v>0.93374182484792445</v>
      </c>
      <c r="Y157" s="548">
        <f t="shared" si="60"/>
        <v>0.92953979563478084</v>
      </c>
      <c r="Z157" s="548">
        <f t="shared" si="60"/>
        <v>0.92521788742093791</v>
      </c>
      <c r="AA157" s="548">
        <f t="shared" si="60"/>
        <v>0.92105421766982776</v>
      </c>
      <c r="AB157" s="548">
        <f t="shared" si="60"/>
        <v>0.91677176326880505</v>
      </c>
      <c r="AC157" s="548">
        <f t="shared" si="60"/>
        <v>0.91250922019910796</v>
      </c>
      <c r="AD157" s="548">
        <f t="shared" si="60"/>
        <v>0.90840274205011429</v>
      </c>
      <c r="AE157" s="548">
        <f t="shared" si="60"/>
        <v>0.90417911086102387</v>
      </c>
      <c r="AF157" s="548">
        <f t="shared" si="60"/>
        <v>0.90011011990801504</v>
      </c>
      <c r="AG157" s="548">
        <f t="shared" si="60"/>
        <v>0.89592504538096163</v>
      </c>
      <c r="AH157" s="548">
        <f t="shared" si="60"/>
        <v>0.88393740117326924</v>
      </c>
      <c r="AI157" s="548">
        <f t="shared" si="60"/>
        <v>0.87198051763690565</v>
      </c>
      <c r="AJ157" s="548">
        <f t="shared" si="60"/>
        <v>0.86005752833991933</v>
      </c>
      <c r="AK157" s="548">
        <f t="shared" si="60"/>
        <v>0.84829756754058949</v>
      </c>
      <c r="AL157" s="548">
        <f t="shared" si="60"/>
        <v>0.83694718786948274</v>
      </c>
      <c r="AM157" s="548">
        <f t="shared" si="60"/>
        <v>0.82562593362890013</v>
      </c>
      <c r="AN157" s="548">
        <f t="shared" si="60"/>
        <v>0.81433677180605446</v>
      </c>
      <c r="AO157" s="548">
        <f t="shared" si="60"/>
        <v>0.80320197186729136</v>
      </c>
      <c r="AP157" s="548">
        <f t="shared" si="60"/>
        <v>0.79245497967714917</v>
      </c>
      <c r="AQ157" s="548">
        <f t="shared" si="60"/>
        <v>0.78173556460631466</v>
      </c>
      <c r="AR157" s="548">
        <f t="shared" si="60"/>
        <v>0.7710465359166212</v>
      </c>
      <c r="AS157" s="548">
        <f t="shared" si="60"/>
        <v>0.76050366321560481</v>
      </c>
      <c r="AT157" s="548">
        <f t="shared" si="60"/>
        <v>0.7502164486255477</v>
      </c>
      <c r="AU157" s="548">
        <f t="shared" si="60"/>
        <v>0.74006838758482973</v>
      </c>
      <c r="AV157" s="548">
        <f t="shared" si="60"/>
        <v>0.72994909330503932</v>
      </c>
      <c r="AW157" s="548">
        <f t="shared" si="60"/>
        <v>0.71996816477419701</v>
      </c>
      <c r="AX157" s="548">
        <f t="shared" si="60"/>
        <v>0.71033485644703842</v>
      </c>
      <c r="AY157" s="548">
        <f t="shared" si="60"/>
        <v>0.70072626749143674</v>
      </c>
      <c r="AZ157" s="548">
        <f t="shared" si="60"/>
        <v>0.69114491605246287</v>
      </c>
      <c r="BA157" s="548">
        <f t="shared" si="60"/>
        <v>0.68169457482340412</v>
      </c>
      <c r="BB157" s="548">
        <f t="shared" si="60"/>
        <v>0.67257337426825914</v>
      </c>
      <c r="BC157" s="548">
        <f t="shared" si="60"/>
        <v>0.66347557900005294</v>
      </c>
      <c r="BD157" s="548">
        <f t="shared" si="60"/>
        <v>0.65440357329897669</v>
      </c>
      <c r="BE157" s="548">
        <f t="shared" si="60"/>
        <v>0.64545561329007861</v>
      </c>
      <c r="BF157" s="548">
        <f t="shared" si="60"/>
        <v>0.63681929679923954</v>
      </c>
      <c r="BG157" s="548">
        <f t="shared" si="60"/>
        <v>0.62820514136760974</v>
      </c>
      <c r="BH157" s="548">
        <f t="shared" si="60"/>
        <v>0.61961540452677277</v>
      </c>
      <c r="BI157" s="548">
        <f t="shared" si="60"/>
        <v>0.61114311909493613</v>
      </c>
      <c r="BJ157" s="548">
        <f t="shared" si="60"/>
        <v>0.60287628131958138</v>
      </c>
      <c r="BK157" s="548">
        <f t="shared" si="60"/>
        <v>0.59472126777110368</v>
      </c>
      <c r="BL157" s="548">
        <f t="shared" si="60"/>
        <v>0.58658937128155664</v>
      </c>
      <c r="BM157" s="548">
        <f t="shared" si="60"/>
        <v>0.57856866594003176</v>
      </c>
      <c r="BN157" s="548">
        <f t="shared" si="60"/>
        <v>0.57082730927993397</v>
      </c>
      <c r="BO157" s="548">
        <f t="shared" si="60"/>
        <v>0.56310581718402697</v>
      </c>
      <c r="BP157" s="548">
        <f t="shared" si="60"/>
        <v>0.55540621324155492</v>
      </c>
      <c r="BQ157" s="548">
        <f t="shared" si="60"/>
        <v>0.54781188951296422</v>
      </c>
      <c r="BR157" s="548">
        <f t="shared" si="60"/>
        <v>0.54048206425795897</v>
      </c>
      <c r="BS157" s="548">
        <f t="shared" si="60"/>
        <v>0.53317104756464107</v>
      </c>
      <c r="BT157" s="548">
        <f t="shared" si="60"/>
        <v>0.52588075544801915</v>
      </c>
      <c r="BU157" s="548">
        <f t="shared" si="60"/>
        <v>0.51869014683707226</v>
      </c>
      <c r="BV157" s="548">
        <f t="shared" si="60"/>
        <v>0.51174997593061589</v>
      </c>
      <c r="BW157" s="548">
        <f t="shared" si="60"/>
        <v>0.50482761372055729</v>
      </c>
      <c r="BX157" s="548">
        <f t="shared" si="60"/>
        <v>0.49792487436632815</v>
      </c>
      <c r="BY157" s="548">
        <f t="shared" si="60"/>
        <v>0.49111651933121592</v>
      </c>
      <c r="BZ157" s="548">
        <f t="shared" si="60"/>
        <v>0.48447326267454172</v>
      </c>
      <c r="CA157" s="548">
        <f t="shared" si="60"/>
        <v>0.47791986831585448</v>
      </c>
      <c r="CB157" s="548">
        <f t="shared" si="60"/>
        <v>0.47138505089792704</v>
      </c>
      <c r="CC157" s="548">
        <f t="shared" si="60"/>
        <v>0.46493958703384142</v>
      </c>
      <c r="CD157" s="548">
        <f t="shared" si="60"/>
        <v>0.45871860864266012</v>
      </c>
      <c r="CE157" s="548">
        <f t="shared" si="60"/>
        <v>0.45251359347730691</v>
      </c>
      <c r="CF157" s="548">
        <f t="shared" si="60"/>
        <v>0.44632616770041889</v>
      </c>
      <c r="CG157" s="548">
        <f t="shared" si="60"/>
        <v>0.44022334543223501</v>
      </c>
      <c r="CH157" s="548">
        <f t="shared" si="60"/>
        <v>0.43433307496355117</v>
      </c>
      <c r="CI157" s="548">
        <f t="shared" si="60"/>
        <v>0.42845791911378545</v>
      </c>
      <c r="CJ157" s="548">
        <f t="shared" si="60"/>
        <v>0.42259941759858316</v>
      </c>
      <c r="CK157" s="548">
        <f t="shared" si="60"/>
        <v>0.41682102205988986</v>
      </c>
      <c r="CL157" s="548">
        <f t="shared" si="60"/>
        <v>0.41124387904273491</v>
      </c>
      <c r="CM157" s="548">
        <f t="shared" si="60"/>
        <v>0.40568104714962838</v>
      </c>
      <c r="CN157" s="548">
        <f t="shared" si="60"/>
        <v>0.40013398424475588</v>
      </c>
      <c r="CO157" s="548">
        <f t="shared" si="60"/>
        <v>0.39466276887352292</v>
      </c>
      <c r="CP157" s="548">
        <f t="shared" si="60"/>
        <v>0.38932422707486619</v>
      </c>
      <c r="CQ157" s="548">
        <f t="shared" si="60"/>
        <v>0.38405789889954506</v>
      </c>
      <c r="CR157" s="548">
        <f t="shared" si="60"/>
        <v>0.37880649921184117</v>
      </c>
      <c r="CS157" s="548">
        <f t="shared" si="60"/>
        <v>0.37362690431908885</v>
      </c>
      <c r="CT157" s="548">
        <f t="shared" si="60"/>
        <v>0.36862770665351374</v>
      </c>
      <c r="CU157" s="548">
        <f t="shared" si="60"/>
        <v>0.36364133708607321</v>
      </c>
      <c r="CV157" s="548">
        <f t="shared" si="60"/>
        <v>0.35866910240614147</v>
      </c>
      <c r="CW157" s="548">
        <f t="shared" si="60"/>
        <v>0.35376485537005253</v>
      </c>
      <c r="CX157" s="548">
        <f t="shared" si="60"/>
        <v>0.34903141562391987</v>
      </c>
      <c r="CY157" s="548">
        <f t="shared" si="60"/>
        <v>0.34431012203275835</v>
      </c>
      <c r="CZ157" s="548">
        <f t="shared" si="60"/>
        <v>0.33960221191686968</v>
      </c>
      <c r="DA157" s="548">
        <f t="shared" si="60"/>
        <v>0.33495867521390432</v>
      </c>
      <c r="DB157" s="548">
        <f t="shared" si="60"/>
        <v>0.3304768656658334</v>
      </c>
      <c r="DC157" s="548">
        <f t="shared" si="60"/>
        <v>0.32600655658174671</v>
      </c>
      <c r="DD157" s="548">
        <f t="shared" si="60"/>
        <v>0.32154891950585729</v>
      </c>
      <c r="DE157" s="548">
        <f t="shared" si="60"/>
        <v>0.31715223374490059</v>
      </c>
      <c r="DF157" s="548">
        <f t="shared" si="60"/>
        <v>0.3128621648812549</v>
      </c>
      <c r="DG157" s="548">
        <f t="shared" si="60"/>
        <v>0.30863012711087157</v>
      </c>
      <c r="DH157" s="548">
        <f t="shared" si="60"/>
        <v>0.30441008591976465</v>
      </c>
      <c r="DI157" s="548">
        <f t="shared" si="60"/>
        <v>0.30024774728615383</v>
      </c>
      <c r="DJ157" s="548">
        <f t="shared" si="60"/>
        <v>0.29623037642775008</v>
      </c>
      <c r="DK157" s="548">
        <f t="shared" si="60"/>
        <v>0.29222331426907416</v>
      </c>
      <c r="DL157" s="548">
        <f t="shared" si="60"/>
        <v>0.28822761095014882</v>
      </c>
      <c r="DM157" s="548">
        <f t="shared" si="60"/>
        <v>0.28428654271416609</v>
      </c>
      <c r="DN157" s="548">
        <f t="shared" si="60"/>
        <v>0.2804827357498868</v>
      </c>
      <c r="DO157" s="548">
        <f t="shared" si="60"/>
        <v>0.27668868947367925</v>
      </c>
      <c r="DP157" s="548">
        <f t="shared" si="60"/>
        <v>0.27290539820000248</v>
      </c>
      <c r="DQ157" s="548">
        <f t="shared" si="60"/>
        <v>0.26917383760201291</v>
      </c>
      <c r="DR157" s="548">
        <f t="shared" si="60"/>
        <v>0.26557224145083042</v>
      </c>
      <c r="DS157" s="548">
        <f t="shared" si="60"/>
        <v>0.26197988710842585</v>
      </c>
      <c r="DT157" s="548">
        <f t="shared" si="60"/>
        <v>0.25839771603138795</v>
      </c>
      <c r="DU157" s="548">
        <f t="shared" si="60"/>
        <v>0.25486452562140355</v>
      </c>
      <c r="DV157" s="548">
        <f t="shared" si="60"/>
        <v>0.25141701288310236</v>
      </c>
      <c r="DW157" s="548">
        <f t="shared" si="60"/>
        <v>0.24801613411259946</v>
      </c>
      <c r="DX157" s="548">
        <f t="shared" si="60"/>
        <v>0.24462489583067284</v>
      </c>
      <c r="DY157" s="548">
        <f t="shared" si="60"/>
        <v>0.24128002750417657</v>
      </c>
      <c r="DZ157" s="548">
        <f t="shared" si="60"/>
        <v>0.23805165573462478</v>
      </c>
      <c r="EA157" s="548">
        <f t="shared" si="60"/>
        <v>0.23483156806837219</v>
      </c>
      <c r="EB157" s="548">
        <f t="shared" si="60"/>
        <v>0.23162060840122101</v>
      </c>
      <c r="EC157" s="548">
        <f t="shared" si="60"/>
        <v>0.22845355365736816</v>
      </c>
      <c r="ED157" s="548">
        <f t="shared" si="60"/>
        <v>0.22539680250017399</v>
      </c>
      <c r="EE157" s="548">
        <f t="shared" si="60"/>
        <v>0.22234789506240055</v>
      </c>
      <c r="EF157" s="548">
        <f t="shared" si="60"/>
        <v>0.21930763037825271</v>
      </c>
      <c r="EG157" s="548">
        <f t="shared" si="60"/>
        <v>0.21630893662666117</v>
      </c>
    </row>
    <row r="159" spans="5:137" ht="12.75">
      <c r="E159" s="535" t="str">
        <f>Debt!E$15</f>
        <v>Senior facility - repayment period flag</v>
      </c>
      <c r="G159" s="537" t="str">
        <f>Debt!G$15</f>
        <v>flag</v>
      </c>
      <c r="H159" s="537">
        <f>Debt!H$15</f>
        <v>72</v>
      </c>
      <c r="J159" s="537">
        <f>Debt!J$15</f>
        <v>0</v>
      </c>
      <c r="K159" s="537">
        <f>Debt!K$15</f>
        <v>0</v>
      </c>
      <c r="L159" s="537">
        <f>Debt!L$15</f>
        <v>0</v>
      </c>
      <c r="M159" s="537">
        <f>Debt!M$15</f>
        <v>0</v>
      </c>
      <c r="N159" s="537">
        <f>Debt!N$15</f>
        <v>0</v>
      </c>
      <c r="O159" s="537">
        <f>Debt!O$15</f>
        <v>0</v>
      </c>
      <c r="P159" s="537">
        <f>Debt!P$15</f>
        <v>0</v>
      </c>
      <c r="Q159" s="537">
        <f>Debt!Q$15</f>
        <v>0</v>
      </c>
      <c r="R159" s="537">
        <f>Debt!R$15</f>
        <v>0</v>
      </c>
      <c r="S159" s="537">
        <f>Debt!S$15</f>
        <v>0</v>
      </c>
      <c r="T159" s="537">
        <f>Debt!T$15</f>
        <v>0</v>
      </c>
      <c r="U159" s="537">
        <f>Debt!U$15</f>
        <v>0</v>
      </c>
      <c r="V159" s="537">
        <f>Debt!V$15</f>
        <v>0</v>
      </c>
      <c r="W159" s="537">
        <f>Debt!W$15</f>
        <v>0</v>
      </c>
      <c r="X159" s="537">
        <f>Debt!X$15</f>
        <v>0</v>
      </c>
      <c r="Y159" s="537">
        <f>Debt!Y$15</f>
        <v>0</v>
      </c>
      <c r="Z159" s="537">
        <f>Debt!Z$15</f>
        <v>0</v>
      </c>
      <c r="AA159" s="537">
        <f>Debt!AA$15</f>
        <v>0</v>
      </c>
      <c r="AB159" s="537">
        <f>Debt!AB$15</f>
        <v>0</v>
      </c>
      <c r="AC159" s="537">
        <f>Debt!AC$15</f>
        <v>0</v>
      </c>
      <c r="AD159" s="537">
        <f>Debt!AD$15</f>
        <v>0</v>
      </c>
      <c r="AE159" s="537">
        <f>Debt!AE$15</f>
        <v>0</v>
      </c>
      <c r="AF159" s="537">
        <f>Debt!AF$15</f>
        <v>0</v>
      </c>
      <c r="AG159" s="537">
        <f>Debt!AG$15</f>
        <v>0</v>
      </c>
      <c r="AH159" s="537">
        <f>Debt!AH$15</f>
        <v>1</v>
      </c>
      <c r="AI159" s="537">
        <f>Debt!AI$15</f>
        <v>1</v>
      </c>
      <c r="AJ159" s="537">
        <f>Debt!AJ$15</f>
        <v>1</v>
      </c>
      <c r="AK159" s="537">
        <f>Debt!AK$15</f>
        <v>1</v>
      </c>
      <c r="AL159" s="537">
        <f>Debt!AL$15</f>
        <v>1</v>
      </c>
      <c r="AM159" s="537">
        <f>Debt!AM$15</f>
        <v>1</v>
      </c>
      <c r="AN159" s="537">
        <f>Debt!AN$15</f>
        <v>1</v>
      </c>
      <c r="AO159" s="537">
        <f>Debt!AO$15</f>
        <v>1</v>
      </c>
      <c r="AP159" s="537">
        <f>Debt!AP$15</f>
        <v>1</v>
      </c>
      <c r="AQ159" s="537">
        <f>Debt!AQ$15</f>
        <v>1</v>
      </c>
      <c r="AR159" s="537">
        <f>Debt!AR$15</f>
        <v>1</v>
      </c>
      <c r="AS159" s="537">
        <f>Debt!AS$15</f>
        <v>1</v>
      </c>
      <c r="AT159" s="537">
        <f>Debt!AT$15</f>
        <v>1</v>
      </c>
      <c r="AU159" s="537">
        <f>Debt!AU$15</f>
        <v>1</v>
      </c>
      <c r="AV159" s="537">
        <f>Debt!AV$15</f>
        <v>1</v>
      </c>
      <c r="AW159" s="537">
        <f>Debt!AW$15</f>
        <v>1</v>
      </c>
      <c r="AX159" s="537">
        <f>Debt!AX$15</f>
        <v>1</v>
      </c>
      <c r="AY159" s="537">
        <f>Debt!AY$15</f>
        <v>1</v>
      </c>
      <c r="AZ159" s="537">
        <f>Debt!AZ$15</f>
        <v>1</v>
      </c>
      <c r="BA159" s="537">
        <f>Debt!BA$15</f>
        <v>1</v>
      </c>
      <c r="BB159" s="537">
        <f>Debt!BB$15</f>
        <v>1</v>
      </c>
      <c r="BC159" s="537">
        <f>Debt!BC$15</f>
        <v>1</v>
      </c>
      <c r="BD159" s="537">
        <f>Debt!BD$15</f>
        <v>1</v>
      </c>
      <c r="BE159" s="537">
        <f>Debt!BE$15</f>
        <v>1</v>
      </c>
      <c r="BF159" s="537">
        <f>Debt!BF$15</f>
        <v>1</v>
      </c>
      <c r="BG159" s="537">
        <f>Debt!BG$15</f>
        <v>1</v>
      </c>
      <c r="BH159" s="537">
        <f>Debt!BH$15</f>
        <v>1</v>
      </c>
      <c r="BI159" s="537">
        <f>Debt!BI$15</f>
        <v>1</v>
      </c>
      <c r="BJ159" s="537">
        <f>Debt!BJ$15</f>
        <v>1</v>
      </c>
      <c r="BK159" s="537">
        <f>Debt!BK$15</f>
        <v>1</v>
      </c>
      <c r="BL159" s="537">
        <f>Debt!BL$15</f>
        <v>1</v>
      </c>
      <c r="BM159" s="537">
        <f>Debt!BM$15</f>
        <v>1</v>
      </c>
      <c r="BN159" s="537">
        <f>Debt!BN$15</f>
        <v>1</v>
      </c>
      <c r="BO159" s="537">
        <f>Debt!BO$15</f>
        <v>1</v>
      </c>
      <c r="BP159" s="537">
        <f>Debt!BP$15</f>
        <v>1</v>
      </c>
      <c r="BQ159" s="537">
        <f>Debt!BQ$15</f>
        <v>1</v>
      </c>
      <c r="BR159" s="537">
        <f>Debt!BR$15</f>
        <v>1</v>
      </c>
      <c r="BS159" s="537">
        <f>Debt!BS$15</f>
        <v>1</v>
      </c>
      <c r="BT159" s="537">
        <f>Debt!BT$15</f>
        <v>1</v>
      </c>
      <c r="BU159" s="537">
        <f>Debt!BU$15</f>
        <v>1</v>
      </c>
      <c r="BV159" s="537">
        <f>Debt!BV$15</f>
        <v>1</v>
      </c>
      <c r="BW159" s="537">
        <f>Debt!BW$15</f>
        <v>1</v>
      </c>
      <c r="BX159" s="537">
        <f>Debt!BX$15</f>
        <v>1</v>
      </c>
      <c r="BY159" s="537">
        <f>Debt!BY$15</f>
        <v>1</v>
      </c>
      <c r="BZ159" s="537">
        <f>Debt!BZ$15</f>
        <v>1</v>
      </c>
      <c r="CA159" s="537">
        <f>Debt!CA$15</f>
        <v>1</v>
      </c>
      <c r="CB159" s="537">
        <f>Debt!CB$15</f>
        <v>1</v>
      </c>
      <c r="CC159" s="537">
        <f>Debt!CC$15</f>
        <v>1</v>
      </c>
      <c r="CD159" s="537">
        <f>Debt!CD$15</f>
        <v>1</v>
      </c>
      <c r="CE159" s="537">
        <f>Debt!CE$15</f>
        <v>1</v>
      </c>
      <c r="CF159" s="537">
        <f>Debt!CF$15</f>
        <v>1</v>
      </c>
      <c r="CG159" s="537">
        <f>Debt!CG$15</f>
        <v>1</v>
      </c>
      <c r="CH159" s="537">
        <f>Debt!CH$15</f>
        <v>1</v>
      </c>
      <c r="CI159" s="537">
        <f>Debt!CI$15</f>
        <v>1</v>
      </c>
      <c r="CJ159" s="537">
        <f>Debt!CJ$15</f>
        <v>1</v>
      </c>
      <c r="CK159" s="537">
        <f>Debt!CK$15</f>
        <v>1</v>
      </c>
      <c r="CL159" s="537">
        <f>Debt!CL$15</f>
        <v>1</v>
      </c>
      <c r="CM159" s="537">
        <f>Debt!CM$15</f>
        <v>1</v>
      </c>
      <c r="CN159" s="537">
        <f>Debt!CN$15</f>
        <v>1</v>
      </c>
      <c r="CO159" s="537">
        <f>Debt!CO$15</f>
        <v>1</v>
      </c>
      <c r="CP159" s="537">
        <f>Debt!CP$15</f>
        <v>1</v>
      </c>
      <c r="CQ159" s="537">
        <f>Debt!CQ$15</f>
        <v>1</v>
      </c>
      <c r="CR159" s="537">
        <f>Debt!CR$15</f>
        <v>1</v>
      </c>
      <c r="CS159" s="537">
        <f>Debt!CS$15</f>
        <v>1</v>
      </c>
      <c r="CT159" s="537">
        <f>Debt!CT$15</f>
        <v>1</v>
      </c>
      <c r="CU159" s="537">
        <f>Debt!CU$15</f>
        <v>1</v>
      </c>
      <c r="CV159" s="537">
        <f>Debt!CV$15</f>
        <v>1</v>
      </c>
      <c r="CW159" s="537">
        <f>Debt!CW$15</f>
        <v>1</v>
      </c>
      <c r="CX159" s="537">
        <f>Debt!CX$15</f>
        <v>1</v>
      </c>
      <c r="CY159" s="537">
        <f>Debt!CY$15</f>
        <v>1</v>
      </c>
      <c r="CZ159" s="537">
        <f>Debt!CZ$15</f>
        <v>1</v>
      </c>
      <c r="DA159" s="537">
        <f>Debt!DA$15</f>
        <v>1</v>
      </c>
      <c r="DB159" s="537">
        <f>Debt!DB$15</f>
        <v>0</v>
      </c>
      <c r="DC159" s="537">
        <f>Debt!DC$15</f>
        <v>0</v>
      </c>
      <c r="DD159" s="537">
        <f>Debt!DD$15</f>
        <v>0</v>
      </c>
      <c r="DE159" s="537">
        <f>Debt!DE$15</f>
        <v>0</v>
      </c>
      <c r="DF159" s="537">
        <f>Debt!DF$15</f>
        <v>0</v>
      </c>
      <c r="DG159" s="537">
        <f>Debt!DG$15</f>
        <v>0</v>
      </c>
      <c r="DH159" s="537">
        <f>Debt!DH$15</f>
        <v>0</v>
      </c>
      <c r="DI159" s="537">
        <f>Debt!DI$15</f>
        <v>0</v>
      </c>
      <c r="DJ159" s="537">
        <f>Debt!DJ$15</f>
        <v>0</v>
      </c>
      <c r="DK159" s="537">
        <f>Debt!DK$15</f>
        <v>0</v>
      </c>
      <c r="DL159" s="537">
        <f>Debt!DL$15</f>
        <v>0</v>
      </c>
      <c r="DM159" s="537">
        <f>Debt!DM$15</f>
        <v>0</v>
      </c>
      <c r="DN159" s="537">
        <f>Debt!DN$15</f>
        <v>0</v>
      </c>
      <c r="DO159" s="537">
        <f>Debt!DO$15</f>
        <v>0</v>
      </c>
      <c r="DP159" s="537">
        <f>Debt!DP$15</f>
        <v>0</v>
      </c>
      <c r="DQ159" s="537">
        <f>Debt!DQ$15</f>
        <v>0</v>
      </c>
      <c r="DR159" s="537">
        <f>Debt!DR$15</f>
        <v>0</v>
      </c>
      <c r="DS159" s="537">
        <f>Debt!DS$15</f>
        <v>0</v>
      </c>
      <c r="DT159" s="537">
        <f>Debt!DT$15</f>
        <v>0</v>
      </c>
      <c r="DU159" s="537">
        <f>Debt!DU$15</f>
        <v>0</v>
      </c>
      <c r="DV159" s="537">
        <f>Debt!DV$15</f>
        <v>0</v>
      </c>
      <c r="DW159" s="537">
        <f>Debt!DW$15</f>
        <v>0</v>
      </c>
      <c r="DX159" s="537">
        <f>Debt!DX$15</f>
        <v>0</v>
      </c>
      <c r="DY159" s="537">
        <f>Debt!DY$15</f>
        <v>0</v>
      </c>
      <c r="DZ159" s="537">
        <f>Debt!DZ$15</f>
        <v>0</v>
      </c>
      <c r="EA159" s="537">
        <f>Debt!EA$15</f>
        <v>0</v>
      </c>
      <c r="EB159" s="537">
        <f>Debt!EB$15</f>
        <v>0</v>
      </c>
      <c r="EC159" s="537">
        <f>Debt!EC$15</f>
        <v>0</v>
      </c>
      <c r="ED159" s="537">
        <f>Debt!ED$15</f>
        <v>0</v>
      </c>
      <c r="EE159" s="537">
        <f>Debt!EE$15</f>
        <v>0</v>
      </c>
      <c r="EF159" s="537">
        <f>Debt!EF$15</f>
        <v>0</v>
      </c>
      <c r="EG159" s="537">
        <f>Debt!EG$15</f>
        <v>0</v>
      </c>
    </row>
    <row r="160" spans="5:137" ht="12.75">
      <c r="E160" s="535" t="str">
        <f>Waterfall!E$14</f>
        <v>Cash flow available for debt service</v>
      </c>
      <c r="G160" s="537" t="str">
        <f>Waterfall!G$14</f>
        <v>EUR 000s</v>
      </c>
      <c r="H160" s="537">
        <f>Waterfall!H$14</f>
        <v>957377.69580628083</v>
      </c>
      <c r="J160" s="537">
        <f>Waterfall!J$14</f>
        <v>0</v>
      </c>
      <c r="K160" s="537">
        <f>Waterfall!K$14</f>
        <v>0</v>
      </c>
      <c r="L160" s="537">
        <f>Waterfall!L$14</f>
        <v>0</v>
      </c>
      <c r="M160" s="537">
        <f>Waterfall!M$14</f>
        <v>0</v>
      </c>
      <c r="N160" s="537">
        <f>Waterfall!N$14</f>
        <v>0</v>
      </c>
      <c r="O160" s="537">
        <f>Waterfall!O$14</f>
        <v>0</v>
      </c>
      <c r="P160" s="537">
        <f>Waterfall!P$14</f>
        <v>0</v>
      </c>
      <c r="Q160" s="537">
        <f>Waterfall!Q$14</f>
        <v>0</v>
      </c>
      <c r="R160" s="537">
        <f>Waterfall!R$14</f>
        <v>0</v>
      </c>
      <c r="S160" s="537">
        <f>Waterfall!S$14</f>
        <v>0</v>
      </c>
      <c r="T160" s="537">
        <f>Waterfall!T$14</f>
        <v>0</v>
      </c>
      <c r="U160" s="537">
        <f>Waterfall!U$14</f>
        <v>0</v>
      </c>
      <c r="V160" s="537">
        <f>Waterfall!V$14</f>
        <v>0</v>
      </c>
      <c r="W160" s="537">
        <f>Waterfall!W$14</f>
        <v>0</v>
      </c>
      <c r="X160" s="537">
        <f>Waterfall!X$14</f>
        <v>0</v>
      </c>
      <c r="Y160" s="537">
        <f>Waterfall!Y$14</f>
        <v>0</v>
      </c>
      <c r="Z160" s="537">
        <f>Waterfall!Z$14</f>
        <v>0</v>
      </c>
      <c r="AA160" s="537">
        <f>Waterfall!AA$14</f>
        <v>0</v>
      </c>
      <c r="AB160" s="537">
        <f>Waterfall!AB$14</f>
        <v>0</v>
      </c>
      <c r="AC160" s="537">
        <f>Waterfall!AC$14</f>
        <v>0</v>
      </c>
      <c r="AD160" s="537">
        <f>Waterfall!AD$14</f>
        <v>0</v>
      </c>
      <c r="AE160" s="537">
        <f>Waterfall!AE$14</f>
        <v>0</v>
      </c>
      <c r="AF160" s="537">
        <f>Waterfall!AF$14</f>
        <v>0</v>
      </c>
      <c r="AG160" s="537">
        <f>Waterfall!AG$14</f>
        <v>0</v>
      </c>
      <c r="AH160" s="537">
        <f>Waterfall!AH$14</f>
        <v>7126.237686929222</v>
      </c>
      <c r="AI160" s="537">
        <f>Waterfall!AI$14</f>
        <v>9016.0731055402921</v>
      </c>
      <c r="AJ160" s="537">
        <f>Waterfall!AJ$14</f>
        <v>9015.6345801481111</v>
      </c>
      <c r="AK160" s="537">
        <f>Waterfall!AK$14</f>
        <v>8995.9009374999987</v>
      </c>
      <c r="AL160" s="537">
        <f>Waterfall!AL$14</f>
        <v>9091.9020262907597</v>
      </c>
      <c r="AM160" s="537">
        <f>Waterfall!AM$14</f>
        <v>9174.3408567135994</v>
      </c>
      <c r="AN160" s="537">
        <f>Waterfall!AN$14</f>
        <v>9173.8970475662918</v>
      </c>
      <c r="AO160" s="537">
        <f>Waterfall!AO$14</f>
        <v>9153.9256359374995</v>
      </c>
      <c r="AP160" s="537">
        <f>Waterfall!AP$14</f>
        <v>9251.9761612487546</v>
      </c>
      <c r="AQ160" s="537">
        <f>Waterfall!AQ$14</f>
        <v>9335.2061944272264</v>
      </c>
      <c r="AR160" s="537">
        <f>Waterfall!AR$14</f>
        <v>9334.7570856154598</v>
      </c>
      <c r="AS160" s="537">
        <f>Waterfall!AS$14</f>
        <v>9314.5471890859371</v>
      </c>
      <c r="AT160" s="537">
        <f>Waterfall!AT$14</f>
        <v>9435.594366845693</v>
      </c>
      <c r="AU160" s="537">
        <f>Waterfall!AU$14</f>
        <v>9477.8014538705866</v>
      </c>
      <c r="AV160" s="537">
        <f>Waterfall!AV$14</f>
        <v>9498.2504502967968</v>
      </c>
      <c r="AW160" s="537">
        <f>Waterfall!AW$14</f>
        <v>9473.4373793076247</v>
      </c>
      <c r="AX160" s="537">
        <f>Waterfall!AX$14</f>
        <v>9580.0831993996253</v>
      </c>
      <c r="AY160" s="537">
        <f>Waterfall!AY$14</f>
        <v>9664.8728945221992</v>
      </c>
      <c r="AZ160" s="537">
        <f>Waterfall!AZ$14</f>
        <v>9664.4131477429219</v>
      </c>
      <c r="BA160" s="537">
        <f>Waterfall!BA$14</f>
        <v>9639.0105450525571</v>
      </c>
      <c r="BB160" s="537">
        <f>Waterfall!BB$14</f>
        <v>9624.8356590516014</v>
      </c>
      <c r="BC160" s="537">
        <f>Waterfall!BC$14</f>
        <v>9692.7614236034206</v>
      </c>
      <c r="BD160" s="537">
        <f>Waterfall!BD$14</f>
        <v>9675.4589885497153</v>
      </c>
      <c r="BE160" s="537">
        <f>Waterfall!BE$14</f>
        <v>9638.4507040270382</v>
      </c>
      <c r="BF160" s="537">
        <f>Waterfall!BF$14</f>
        <v>9720.7935908740237</v>
      </c>
      <c r="BG160" s="537">
        <f>Waterfall!BG$14</f>
        <v>9792.4419929069136</v>
      </c>
      <c r="BH160" s="537">
        <f>Waterfall!BH$14</f>
        <v>9777.9664363635275</v>
      </c>
      <c r="BI160" s="537">
        <f>Waterfall!BI$14</f>
        <v>9743.4226351504403</v>
      </c>
      <c r="BJ160" s="537">
        <f>Waterfall!BJ$14</f>
        <v>9852.3659888687216</v>
      </c>
      <c r="BK160" s="537">
        <f>Waterfall!BK$14</f>
        <v>9883.4572104947692</v>
      </c>
      <c r="BL160" s="537">
        <f>Waterfall!BL$14</f>
        <v>9893.2172202296188</v>
      </c>
      <c r="BM160" s="537">
        <f>Waterfall!BM$14</f>
        <v>9860.6827761879267</v>
      </c>
      <c r="BN160" s="537">
        <f>Waterfall!BN$14</f>
        <v>9952.0687470832363</v>
      </c>
      <c r="BO160" s="537">
        <f>Waterfall!BO$14</f>
        <v>10029.716525225305</v>
      </c>
      <c r="BP160" s="537">
        <f>Waterfall!BP$14</f>
        <v>10019.545629405566</v>
      </c>
      <c r="BQ160" s="537">
        <f>Waterfall!BQ$14</f>
        <v>9988.6420767608051</v>
      </c>
      <c r="BR160" s="537">
        <f>Waterfall!BR$14</f>
        <v>10187.369081549388</v>
      </c>
      <c r="BS160" s="537">
        <f>Waterfall!BS$14</f>
        <v>10267.445354990101</v>
      </c>
      <c r="BT160" s="537">
        <f>Waterfall!BT$14</f>
        <v>10258.899041178202</v>
      </c>
      <c r="BU160" s="537">
        <f>Waterfall!BU$14</f>
        <v>10229.311707665833</v>
      </c>
      <c r="BV160" s="537">
        <f>Waterfall!BV$14</f>
        <v>10058.731640444626</v>
      </c>
      <c r="BW160" s="537">
        <f>Waterfall!BW$14</f>
        <v>9344.5455321133577</v>
      </c>
      <c r="BX160" s="537">
        <f>Waterfall!BX$14</f>
        <v>9321.7067066273194</v>
      </c>
      <c r="BY160" s="537">
        <f>Waterfall!BY$14</f>
        <v>9278.2350148653059</v>
      </c>
      <c r="BZ160" s="537">
        <f>Waterfall!BZ$14</f>
        <v>9366.820362658149</v>
      </c>
      <c r="CA160" s="537">
        <f>Waterfall!CA$14</f>
        <v>9391.5394041324525</v>
      </c>
      <c r="CB160" s="537">
        <f>Waterfall!CB$14</f>
        <v>9325.6587104719256</v>
      </c>
      <c r="CC160" s="537">
        <f>Waterfall!CC$14</f>
        <v>8945.0439358883377</v>
      </c>
      <c r="CD160" s="537">
        <f>Waterfall!CD$14</f>
        <v>8979.3486456163082</v>
      </c>
      <c r="CE160" s="537">
        <f>Waterfall!CE$14</f>
        <v>9046.6164747550774</v>
      </c>
      <c r="CF160" s="537">
        <f>Waterfall!CF$14</f>
        <v>9023.0377831656751</v>
      </c>
      <c r="CG160" s="537">
        <f>Waterfall!CG$14</f>
        <v>8973.8419199923192</v>
      </c>
      <c r="CH160" s="537">
        <f>Waterfall!CH$14</f>
        <v>9016.1509382852164</v>
      </c>
      <c r="CI160" s="537">
        <f>Waterfall!CI$14</f>
        <v>9085.5959504342063</v>
      </c>
      <c r="CJ160" s="537">
        <f>Waterfall!CJ$14</f>
        <v>9063.3706202664835</v>
      </c>
      <c r="CK160" s="537">
        <f>Waterfall!CK$14</f>
        <v>9015.6767110387427</v>
      </c>
      <c r="CL160" s="537">
        <f>Waterfall!CL$14</f>
        <v>9619.2585844250625</v>
      </c>
      <c r="CM160" s="537">
        <f>Waterfall!CM$14</f>
        <v>9689.331069373402</v>
      </c>
      <c r="CN160" s="537">
        <f>Waterfall!CN$14</f>
        <v>9666.913390670883</v>
      </c>
      <c r="CO160" s="537">
        <f>Waterfall!CO$14</f>
        <v>9619.2269425792711</v>
      </c>
      <c r="CP160" s="537">
        <f>Waterfall!CP$14</f>
        <v>9139.1530462928586</v>
      </c>
      <c r="CQ160" s="537">
        <f>Waterfall!CQ$14</f>
        <v>9160.9563368827476</v>
      </c>
      <c r="CR160" s="537">
        <f>Waterfall!CR$14</f>
        <v>9163.7163616976522</v>
      </c>
      <c r="CS160" s="537">
        <f>Waterfall!CS$14</f>
        <v>9117.6240403708798</v>
      </c>
      <c r="CT160" s="537">
        <f>Waterfall!CT$14</f>
        <v>9172.7758942782111</v>
      </c>
      <c r="CU160" s="537">
        <f>Waterfall!CU$14</f>
        <v>9245.5507180696623</v>
      </c>
      <c r="CV160" s="537">
        <f>Waterfall!CV$14</f>
        <v>9224.3980348323803</v>
      </c>
      <c r="CW160" s="537">
        <f>Waterfall!CW$14</f>
        <v>9178.5813878150875</v>
      </c>
      <c r="CX160" s="537">
        <f>Waterfall!CX$14</f>
        <v>9237.5047308263493</v>
      </c>
      <c r="CY160" s="537">
        <f>Waterfall!CY$14</f>
        <v>9310.5837191884038</v>
      </c>
      <c r="CZ160" s="537">
        <f>Waterfall!CZ$14</f>
        <v>9289.0498453167329</v>
      </c>
      <c r="DA160" s="537">
        <f>Waterfall!DA$14</f>
        <v>9243.2109589200554</v>
      </c>
      <c r="DB160" s="537">
        <f>Waterfall!DB$14</f>
        <v>9250.1759971050742</v>
      </c>
      <c r="DC160" s="537">
        <f>Waterfall!DC$14</f>
        <v>9339.0671459746045</v>
      </c>
      <c r="DD160" s="537">
        <f>Waterfall!DD$14</f>
        <v>9333.4126291791054</v>
      </c>
      <c r="DE160" s="537">
        <f>Waterfall!DE$14</f>
        <v>9304.4998770319035</v>
      </c>
      <c r="DF160" s="537">
        <f>Waterfall!DF$14</f>
        <v>10042.297500103878</v>
      </c>
      <c r="DG160" s="537">
        <f>Waterfall!DG$14</f>
        <v>10083.037086594606</v>
      </c>
      <c r="DH160" s="537">
        <f>Waterfall!DH$14</f>
        <v>10103.030440845592</v>
      </c>
      <c r="DI160" s="537">
        <f>Waterfall!DI$14</f>
        <v>10074.710093976457</v>
      </c>
      <c r="DJ160" s="537">
        <f>Waterfall!DJ$14</f>
        <v>9531.0000277068248</v>
      </c>
      <c r="DK160" s="537">
        <f>Waterfall!DK$14</f>
        <v>9622.5760692221538</v>
      </c>
      <c r="DL160" s="537">
        <f>Waterfall!DL$14</f>
        <v>9618.4891847043327</v>
      </c>
      <c r="DM160" s="537">
        <f>Waterfall!DM$14</f>
        <v>9590.6249782264968</v>
      </c>
      <c r="DN160" s="537">
        <f>Waterfall!DN$14</f>
        <v>9679.6513243283043</v>
      </c>
      <c r="DO160" s="537">
        <f>Waterfall!DO$14</f>
        <v>9772.3259446832872</v>
      </c>
      <c r="DP160" s="537">
        <f>Waterfall!DP$14</f>
        <v>9768.8299907587207</v>
      </c>
      <c r="DQ160" s="537">
        <f>Waterfall!DQ$14</f>
        <v>9741.3091688148925</v>
      </c>
      <c r="DR160" s="537">
        <f>Waterfall!DR$14</f>
        <v>9833.1752700445759</v>
      </c>
      <c r="DS160" s="537">
        <f>Waterfall!DS$14</f>
        <v>9926.8134161951511</v>
      </c>
      <c r="DT160" s="537">
        <f>Waterfall!DT$14</f>
        <v>9923.8082057289866</v>
      </c>
      <c r="DU160" s="537">
        <f>Waterfall!DU$14</f>
        <v>9896.5376166003607</v>
      </c>
      <c r="DV160" s="537">
        <f>Waterfall!DV$14</f>
        <v>10016.918852742816</v>
      </c>
      <c r="DW160" s="537">
        <f>Waterfall!DW$14</f>
        <v>10059.983606963106</v>
      </c>
      <c r="DX160" s="537">
        <f>Waterfall!DX$14</f>
        <v>10083.094712487115</v>
      </c>
      <c r="DY160" s="537">
        <f>Waterfall!DY$14</f>
        <v>10055.997562626802</v>
      </c>
      <c r="DZ160" s="537">
        <f>Waterfall!DZ$14</f>
        <v>10153.459517752461</v>
      </c>
      <c r="EA160" s="537">
        <f>Waterfall!EA$14</f>
        <v>10248.680194721674</v>
      </c>
      <c r="EB160" s="537">
        <f>Waterfall!EB$14</f>
        <v>10246.420544942679</v>
      </c>
      <c r="EC160" s="537">
        <f>Waterfall!EC$14</f>
        <v>10948.88102751593</v>
      </c>
      <c r="ED160" s="537">
        <f>Waterfall!ED$14</f>
        <v>2308.4176722004668</v>
      </c>
      <c r="EE160" s="537">
        <f>Waterfall!EE$14</f>
        <v>0</v>
      </c>
      <c r="EF160" s="537">
        <f>Waterfall!EF$14</f>
        <v>0</v>
      </c>
      <c r="EG160" s="537">
        <f>Waterfall!EG$14</f>
        <v>0</v>
      </c>
    </row>
    <row r="161" spans="5:137" ht="12.75">
      <c r="E161" s="538" t="str">
        <f>E$157</f>
        <v>Senior cover - discount factor at period end</v>
      </c>
      <c r="G161" s="548" t="str">
        <f>G$157</f>
        <v>factor</v>
      </c>
      <c r="H161" s="548">
        <f>H$157</f>
        <v>72.081713318971808</v>
      </c>
      <c r="J161" s="548">
        <f t="shared" si="61" ref="J161:EG161">J$157</f>
        <v>0.99535048608554566</v>
      </c>
      <c r="K161" s="548">
        <f t="shared" si="61"/>
        <v>0.99116856938185227</v>
      </c>
      <c r="L161" s="548">
        <f t="shared" si="61"/>
        <v>0.9865601173269416</v>
      </c>
      <c r="M161" s="548">
        <f t="shared" si="61"/>
        <v>0.98212039499340975</v>
      </c>
      <c r="N161" s="548">
        <f t="shared" si="61"/>
        <v>0.97755401255121854</v>
      </c>
      <c r="O161" s="548">
        <f t="shared" si="61"/>
        <v>0.97315481953141891</v>
      </c>
      <c r="P161" s="548">
        <f t="shared" si="61"/>
        <v>0.96863012265708937</v>
      </c>
      <c r="Q161" s="548">
        <f t="shared" si="61"/>
        <v>0.96412646342383568</v>
      </c>
      <c r="R161" s="548">
        <f t="shared" si="61"/>
        <v>0.95978769712177825</v>
      </c>
      <c r="S161" s="548">
        <f t="shared" si="61"/>
        <v>0.95532515086908854</v>
      </c>
      <c r="T161" s="548">
        <f t="shared" si="61"/>
        <v>0.95102599227387785</v>
      </c>
      <c r="U161" s="548">
        <f t="shared" si="61"/>
        <v>0.94660418368979271</v>
      </c>
      <c r="V161" s="548">
        <f t="shared" si="61"/>
        <v>0.94220293436624636</v>
      </c>
      <c r="W161" s="548">
        <f t="shared" si="61"/>
        <v>0.93810355035851534</v>
      </c>
      <c r="X161" s="548">
        <f t="shared" si="61"/>
        <v>0.93374182484792445</v>
      </c>
      <c r="Y161" s="548">
        <f t="shared" si="61"/>
        <v>0.92953979563478084</v>
      </c>
      <c r="Z161" s="548">
        <f t="shared" si="61"/>
        <v>0.92521788742093791</v>
      </c>
      <c r="AA161" s="548">
        <f t="shared" si="61"/>
        <v>0.92105421766982776</v>
      </c>
      <c r="AB161" s="548">
        <f t="shared" si="61"/>
        <v>0.91677176326880505</v>
      </c>
      <c r="AC161" s="548">
        <f t="shared" si="61"/>
        <v>0.91250922019910796</v>
      </c>
      <c r="AD161" s="548">
        <f t="shared" si="61"/>
        <v>0.90840274205011429</v>
      </c>
      <c r="AE161" s="548">
        <f t="shared" si="61"/>
        <v>0.90417911086102387</v>
      </c>
      <c r="AF161" s="548">
        <f t="shared" si="61"/>
        <v>0.90011011990801504</v>
      </c>
      <c r="AG161" s="548">
        <f t="shared" si="61"/>
        <v>0.89592504538096163</v>
      </c>
      <c r="AH161" s="548">
        <f t="shared" si="61"/>
        <v>0.88393740117326924</v>
      </c>
      <c r="AI161" s="548">
        <f t="shared" si="61"/>
        <v>0.87198051763690565</v>
      </c>
      <c r="AJ161" s="548">
        <f t="shared" si="61"/>
        <v>0.86005752833991933</v>
      </c>
      <c r="AK161" s="548">
        <f t="shared" si="61"/>
        <v>0.84829756754058949</v>
      </c>
      <c r="AL161" s="548">
        <f t="shared" si="61"/>
        <v>0.83694718786948274</v>
      </c>
      <c r="AM161" s="548">
        <f t="shared" si="61"/>
        <v>0.82562593362890013</v>
      </c>
      <c r="AN161" s="548">
        <f t="shared" si="61"/>
        <v>0.81433677180605446</v>
      </c>
      <c r="AO161" s="548">
        <f t="shared" si="61"/>
        <v>0.80320197186729136</v>
      </c>
      <c r="AP161" s="548">
        <f t="shared" si="61"/>
        <v>0.79245497967714917</v>
      </c>
      <c r="AQ161" s="548">
        <f t="shared" si="61"/>
        <v>0.78173556460631466</v>
      </c>
      <c r="AR161" s="548">
        <f t="shared" si="61"/>
        <v>0.7710465359166212</v>
      </c>
      <c r="AS161" s="548">
        <f t="shared" si="61"/>
        <v>0.76050366321560481</v>
      </c>
      <c r="AT161" s="548">
        <f t="shared" si="61"/>
        <v>0.7502164486255477</v>
      </c>
      <c r="AU161" s="548">
        <f t="shared" si="61"/>
        <v>0.74006838758482973</v>
      </c>
      <c r="AV161" s="548">
        <f t="shared" si="61"/>
        <v>0.72994909330503932</v>
      </c>
      <c r="AW161" s="548">
        <f t="shared" si="61"/>
        <v>0.71996816477419701</v>
      </c>
      <c r="AX161" s="548">
        <f t="shared" si="61"/>
        <v>0.71033485644703842</v>
      </c>
      <c r="AY161" s="548">
        <f t="shared" si="61"/>
        <v>0.70072626749143674</v>
      </c>
      <c r="AZ161" s="548">
        <f t="shared" si="61"/>
        <v>0.69114491605246287</v>
      </c>
      <c r="BA161" s="548">
        <f t="shared" si="61"/>
        <v>0.68169457482340412</v>
      </c>
      <c r="BB161" s="548">
        <f t="shared" si="61"/>
        <v>0.67257337426825914</v>
      </c>
      <c r="BC161" s="548">
        <f t="shared" si="61"/>
        <v>0.66347557900005294</v>
      </c>
      <c r="BD161" s="548">
        <f t="shared" si="61"/>
        <v>0.65440357329897669</v>
      </c>
      <c r="BE161" s="548">
        <f t="shared" si="61"/>
        <v>0.64545561329007861</v>
      </c>
      <c r="BF161" s="548">
        <f t="shared" si="61"/>
        <v>0.63681929679923954</v>
      </c>
      <c r="BG161" s="548">
        <f t="shared" si="61"/>
        <v>0.62820514136760974</v>
      </c>
      <c r="BH161" s="548">
        <f t="shared" si="61"/>
        <v>0.61961540452677277</v>
      </c>
      <c r="BI161" s="548">
        <f t="shared" si="61"/>
        <v>0.61114311909493613</v>
      </c>
      <c r="BJ161" s="548">
        <f t="shared" si="61"/>
        <v>0.60287628131958138</v>
      </c>
      <c r="BK161" s="548">
        <f t="shared" si="61"/>
        <v>0.59472126777110368</v>
      </c>
      <c r="BL161" s="548">
        <f t="shared" si="61"/>
        <v>0.58658937128155664</v>
      </c>
      <c r="BM161" s="548">
        <f t="shared" si="61"/>
        <v>0.57856866594003176</v>
      </c>
      <c r="BN161" s="548">
        <f t="shared" si="61"/>
        <v>0.57082730927993397</v>
      </c>
      <c r="BO161" s="548">
        <f t="shared" si="61"/>
        <v>0.56310581718402697</v>
      </c>
      <c r="BP161" s="548">
        <f t="shared" si="61"/>
        <v>0.55540621324155492</v>
      </c>
      <c r="BQ161" s="548">
        <f t="shared" si="61"/>
        <v>0.54781188951296422</v>
      </c>
      <c r="BR161" s="548">
        <f t="shared" si="61"/>
        <v>0.54048206425795897</v>
      </c>
      <c r="BS161" s="548">
        <f t="shared" si="61"/>
        <v>0.53317104756464107</v>
      </c>
      <c r="BT161" s="548">
        <f t="shared" si="61"/>
        <v>0.52588075544801915</v>
      </c>
      <c r="BU161" s="548">
        <f t="shared" si="61"/>
        <v>0.51869014683707226</v>
      </c>
      <c r="BV161" s="548">
        <f t="shared" si="61"/>
        <v>0.51174997593061589</v>
      </c>
      <c r="BW161" s="548">
        <f t="shared" si="61"/>
        <v>0.50482761372055729</v>
      </c>
      <c r="BX161" s="548">
        <f t="shared" si="61"/>
        <v>0.49792487436632815</v>
      </c>
      <c r="BY161" s="548">
        <f t="shared" si="61"/>
        <v>0.49111651933121592</v>
      </c>
      <c r="BZ161" s="548">
        <f t="shared" si="61"/>
        <v>0.48447326267454172</v>
      </c>
      <c r="CA161" s="548">
        <f t="shared" si="61"/>
        <v>0.47791986831585448</v>
      </c>
      <c r="CB161" s="548">
        <f t="shared" si="61"/>
        <v>0.47138505089792704</v>
      </c>
      <c r="CC161" s="548">
        <f t="shared" si="61"/>
        <v>0.46493958703384142</v>
      </c>
      <c r="CD161" s="548">
        <f t="shared" si="61"/>
        <v>0.45871860864266012</v>
      </c>
      <c r="CE161" s="548">
        <f t="shared" si="61"/>
        <v>0.45251359347730691</v>
      </c>
      <c r="CF161" s="548">
        <f t="shared" si="61"/>
        <v>0.44632616770041889</v>
      </c>
      <c r="CG161" s="548">
        <f t="shared" si="61"/>
        <v>0.44022334543223501</v>
      </c>
      <c r="CH161" s="548">
        <f t="shared" si="61"/>
        <v>0.43433307496355117</v>
      </c>
      <c r="CI161" s="548">
        <f t="shared" si="61"/>
        <v>0.42845791911378545</v>
      </c>
      <c r="CJ161" s="548">
        <f t="shared" si="61"/>
        <v>0.42259941759858316</v>
      </c>
      <c r="CK161" s="548">
        <f t="shared" si="61"/>
        <v>0.41682102205988986</v>
      </c>
      <c r="CL161" s="548">
        <f t="shared" si="61"/>
        <v>0.41124387904273491</v>
      </c>
      <c r="CM161" s="548">
        <f t="shared" si="61"/>
        <v>0.40568104714962838</v>
      </c>
      <c r="CN161" s="548">
        <f t="shared" si="61"/>
        <v>0.40013398424475588</v>
      </c>
      <c r="CO161" s="548">
        <f t="shared" si="61"/>
        <v>0.39466276887352292</v>
      </c>
      <c r="CP161" s="548">
        <f t="shared" si="61"/>
        <v>0.38932422707486619</v>
      </c>
      <c r="CQ161" s="548">
        <f t="shared" si="61"/>
        <v>0.38405789889954506</v>
      </c>
      <c r="CR161" s="548">
        <f t="shared" si="61"/>
        <v>0.37880649921184117</v>
      </c>
      <c r="CS161" s="548">
        <f t="shared" si="61"/>
        <v>0.37362690431908885</v>
      </c>
      <c r="CT161" s="548">
        <f t="shared" si="61"/>
        <v>0.36862770665351374</v>
      </c>
      <c r="CU161" s="548">
        <f t="shared" si="61"/>
        <v>0.36364133708607321</v>
      </c>
      <c r="CV161" s="548">
        <f t="shared" si="61"/>
        <v>0.35866910240614147</v>
      </c>
      <c r="CW161" s="548">
        <f t="shared" si="61"/>
        <v>0.35376485537005253</v>
      </c>
      <c r="CX161" s="548">
        <f t="shared" si="61"/>
        <v>0.34903141562391987</v>
      </c>
      <c r="CY161" s="548">
        <f t="shared" si="61"/>
        <v>0.34431012203275835</v>
      </c>
      <c r="CZ161" s="548">
        <f t="shared" si="61"/>
        <v>0.33960221191686968</v>
      </c>
      <c r="DA161" s="548">
        <f t="shared" si="61"/>
        <v>0.33495867521390432</v>
      </c>
      <c r="DB161" s="548">
        <f t="shared" si="61"/>
        <v>0.3304768656658334</v>
      </c>
      <c r="DC161" s="548">
        <f t="shared" si="61"/>
        <v>0.32600655658174671</v>
      </c>
      <c r="DD161" s="548">
        <f t="shared" si="61"/>
        <v>0.32154891950585729</v>
      </c>
      <c r="DE161" s="548">
        <f t="shared" si="61"/>
        <v>0.31715223374490059</v>
      </c>
      <c r="DF161" s="548">
        <f t="shared" si="61"/>
        <v>0.3128621648812549</v>
      </c>
      <c r="DG161" s="548">
        <f t="shared" si="61"/>
        <v>0.30863012711087157</v>
      </c>
      <c r="DH161" s="548">
        <f t="shared" si="61"/>
        <v>0.30441008591976465</v>
      </c>
      <c r="DI161" s="548">
        <f t="shared" si="61"/>
        <v>0.30024774728615383</v>
      </c>
      <c r="DJ161" s="548">
        <f t="shared" si="61"/>
        <v>0.29623037642775008</v>
      </c>
      <c r="DK161" s="548">
        <f t="shared" si="61"/>
        <v>0.29222331426907416</v>
      </c>
      <c r="DL161" s="548">
        <f t="shared" si="61"/>
        <v>0.28822761095014882</v>
      </c>
      <c r="DM161" s="548">
        <f t="shared" si="61"/>
        <v>0.28428654271416609</v>
      </c>
      <c r="DN161" s="548">
        <f t="shared" si="61"/>
        <v>0.2804827357498868</v>
      </c>
      <c r="DO161" s="548">
        <f t="shared" si="61"/>
        <v>0.27668868947367925</v>
      </c>
      <c r="DP161" s="548">
        <f t="shared" si="61"/>
        <v>0.27290539820000248</v>
      </c>
      <c r="DQ161" s="548">
        <f t="shared" si="61"/>
        <v>0.26917383760201291</v>
      </c>
      <c r="DR161" s="548">
        <f t="shared" si="61"/>
        <v>0.26557224145083042</v>
      </c>
      <c r="DS161" s="548">
        <f t="shared" si="61"/>
        <v>0.26197988710842585</v>
      </c>
      <c r="DT161" s="548">
        <f t="shared" si="61"/>
        <v>0.25839771603138795</v>
      </c>
      <c r="DU161" s="548">
        <f t="shared" si="61"/>
        <v>0.25486452562140355</v>
      </c>
      <c r="DV161" s="548">
        <f t="shared" si="61"/>
        <v>0.25141701288310236</v>
      </c>
      <c r="DW161" s="548">
        <f t="shared" si="61"/>
        <v>0.24801613411259946</v>
      </c>
      <c r="DX161" s="548">
        <f t="shared" si="61"/>
        <v>0.24462489583067284</v>
      </c>
      <c r="DY161" s="548">
        <f t="shared" si="61"/>
        <v>0.24128002750417657</v>
      </c>
      <c r="DZ161" s="548">
        <f t="shared" si="61"/>
        <v>0.23805165573462478</v>
      </c>
      <c r="EA161" s="548">
        <f t="shared" si="61"/>
        <v>0.23483156806837219</v>
      </c>
      <c r="EB161" s="548">
        <f t="shared" si="61"/>
        <v>0.23162060840122101</v>
      </c>
      <c r="EC161" s="548">
        <f t="shared" si="61"/>
        <v>0.22845355365736816</v>
      </c>
      <c r="ED161" s="548">
        <f t="shared" si="61"/>
        <v>0.22539680250017399</v>
      </c>
      <c r="EE161" s="548">
        <f t="shared" si="61"/>
        <v>0.22234789506240055</v>
      </c>
      <c r="EF161" s="548">
        <f t="shared" si="61"/>
        <v>0.21930763037825271</v>
      </c>
      <c r="EG161" s="548">
        <f t="shared" si="61"/>
        <v>0.21630893662666117</v>
      </c>
    </row>
    <row r="162" spans="5:137" ht="12.75">
      <c r="E162" s="538" t="s">
        <v>501</v>
      </c>
      <c r="G162" s="539" t="s">
        <v>30</v>
      </c>
      <c r="H162" s="539">
        <f>SUM(J162:EG162)</f>
        <v>384040.38653546933</v>
      </c>
      <c r="J162" s="539">
        <f t="shared" si="62" ref="J162:EG162">J160*J159*J161</f>
        <v>0</v>
      </c>
      <c r="K162" s="539">
        <f t="shared" si="62"/>
        <v>0</v>
      </c>
      <c r="L162" s="539">
        <f t="shared" si="62"/>
        <v>0</v>
      </c>
      <c r="M162" s="539">
        <f t="shared" si="62"/>
        <v>0</v>
      </c>
      <c r="N162" s="539">
        <f t="shared" si="62"/>
        <v>0</v>
      </c>
      <c r="O162" s="539">
        <f t="shared" si="62"/>
        <v>0</v>
      </c>
      <c r="P162" s="539">
        <f t="shared" si="62"/>
        <v>0</v>
      </c>
      <c r="Q162" s="539">
        <f t="shared" si="62"/>
        <v>0</v>
      </c>
      <c r="R162" s="539">
        <f t="shared" si="62"/>
        <v>0</v>
      </c>
      <c r="S162" s="539">
        <f t="shared" si="62"/>
        <v>0</v>
      </c>
      <c r="T162" s="539">
        <f t="shared" si="62"/>
        <v>0</v>
      </c>
      <c r="U162" s="539">
        <f t="shared" si="62"/>
        <v>0</v>
      </c>
      <c r="V162" s="539">
        <f t="shared" si="62"/>
        <v>0</v>
      </c>
      <c r="W162" s="539">
        <f t="shared" si="62"/>
        <v>0</v>
      </c>
      <c r="X162" s="539">
        <f t="shared" si="62"/>
        <v>0</v>
      </c>
      <c r="Y162" s="539">
        <f t="shared" si="62"/>
        <v>0</v>
      </c>
      <c r="Z162" s="539">
        <f t="shared" si="62"/>
        <v>0</v>
      </c>
      <c r="AA162" s="539">
        <f t="shared" si="62"/>
        <v>0</v>
      </c>
      <c r="AB162" s="539">
        <f t="shared" si="62"/>
        <v>0</v>
      </c>
      <c r="AC162" s="539">
        <f t="shared" si="62"/>
        <v>0</v>
      </c>
      <c r="AD162" s="539">
        <f t="shared" si="62"/>
        <v>0</v>
      </c>
      <c r="AE162" s="539">
        <f t="shared" si="62"/>
        <v>0</v>
      </c>
      <c r="AF162" s="539">
        <f t="shared" si="62"/>
        <v>0</v>
      </c>
      <c r="AG162" s="539">
        <f t="shared" si="62"/>
        <v>0</v>
      </c>
      <c r="AH162" s="539">
        <f t="shared" si="62"/>
        <v>6299.1480211272265</v>
      </c>
      <c r="AI162" s="539">
        <f t="shared" si="62"/>
        <v>7861.8400936212074</v>
      </c>
      <c r="AJ162" s="539">
        <f t="shared" si="62"/>
        <v>7753.9643934180904</v>
      </c>
      <c r="AK162" s="539">
        <f t="shared" si="62"/>
        <v>7631.2008831173571</v>
      </c>
      <c r="AL162" s="539">
        <f t="shared" si="62"/>
        <v>7609.4418332889036</v>
      </c>
      <c r="AM162" s="539">
        <f t="shared" si="62"/>
        <v>7574.573735253929</v>
      </c>
      <c r="AN162" s="539">
        <f t="shared" si="62"/>
        <v>7470.6417065962278</v>
      </c>
      <c r="AO162" s="539">
        <f t="shared" si="62"/>
        <v>7352.4511211115487</v>
      </c>
      <c r="AP162" s="539">
        <f t="shared" si="62"/>
        <v>7331.7745808358504</v>
      </c>
      <c r="AQ162" s="539">
        <f t="shared" si="62"/>
        <v>7297.662685116934</v>
      </c>
      <c r="AR162" s="539">
        <f t="shared" si="62"/>
        <v>7197.5321144869349</v>
      </c>
      <c r="AS162" s="539">
        <f t="shared" si="62"/>
        <v>7083.7472584944699</v>
      </c>
      <c r="AT162" s="539">
        <f t="shared" si="62"/>
        <v>7078.7380965661996</v>
      </c>
      <c r="AU162" s="539">
        <f t="shared" si="62"/>
        <v>7014.2212398151596</v>
      </c>
      <c r="AV162" s="539">
        <f t="shared" si="62"/>
        <v>6933.239304178328</v>
      </c>
      <c r="AW162" s="539">
        <f t="shared" si="62"/>
        <v>6820.5733240833888</v>
      </c>
      <c r="AX162" s="539">
        <f t="shared" si="62"/>
        <v>6805.0670241962171</v>
      </c>
      <c r="AY162" s="539">
        <f t="shared" si="62"/>
        <v>6772.4303091576994</v>
      </c>
      <c r="AZ162" s="539">
        <f t="shared" si="62"/>
        <v>6679.5100136931005</v>
      </c>
      <c r="BA162" s="539">
        <f t="shared" si="62"/>
        <v>6570.8611952279116</v>
      </c>
      <c r="BB162" s="539">
        <f t="shared" si="62"/>
        <v>6473.4081959857995</v>
      </c>
      <c r="BC162" s="539">
        <f t="shared" si="62"/>
        <v>6430.9104976346571</v>
      </c>
      <c r="BD162" s="539">
        <f t="shared" si="62"/>
        <v>6331.6549354146364</v>
      </c>
      <c r="BE162" s="539">
        <f t="shared" si="62"/>
        <v>6221.1921103339619</v>
      </c>
      <c r="BF162" s="539">
        <f t="shared" si="62"/>
        <v>6190.3889388709504</v>
      </c>
      <c r="BG162" s="539">
        <f t="shared" si="62"/>
        <v>6151.6624064882053</v>
      </c>
      <c r="BH162" s="539">
        <f t="shared" si="62"/>
        <v>6058.5786289165935</v>
      </c>
      <c r="BI162" s="539">
        <f t="shared" si="62"/>
        <v>5954.6256999060415</v>
      </c>
      <c r="BJ162" s="539">
        <f t="shared" si="62"/>
        <v>5939.757769568695</v>
      </c>
      <c r="BK162" s="539">
        <f t="shared" si="62"/>
        <v>5877.902202186905</v>
      </c>
      <c r="BL162" s="539">
        <f t="shared" si="62"/>
        <v>5803.2560691663612</v>
      </c>
      <c r="BM162" s="539">
        <f t="shared" si="62"/>
        <v>5705.0820790768976</v>
      </c>
      <c r="BN162" s="539">
        <f t="shared" si="62"/>
        <v>5680.9126246664473</v>
      </c>
      <c r="BO162" s="539">
        <f t="shared" si="62"/>
        <v>5647.7917200611346</v>
      </c>
      <c r="BP162" s="539">
        <f t="shared" si="62"/>
        <v>5564.9178964291177</v>
      </c>
      <c r="BQ162" s="539">
        <f t="shared" si="62"/>
        <v>5471.8968897390359</v>
      </c>
      <c r="BR162" s="539">
        <f t="shared" si="62"/>
        <v>5506.0902705535209</v>
      </c>
      <c r="BS162" s="539">
        <f t="shared" si="62"/>
        <v>5474.3045957327804</v>
      </c>
      <c r="BT162" s="539">
        <f t="shared" si="62"/>
        <v>5394.957577839752</v>
      </c>
      <c r="BU162" s="539">
        <f t="shared" si="62"/>
        <v>5305.8431916913732</v>
      </c>
      <c r="BV162" s="539">
        <f t="shared" si="62"/>
        <v>5147.5556748900617</v>
      </c>
      <c r="BW162" s="539">
        <f t="shared" si="62"/>
        <v>4717.384622279882</v>
      </c>
      <c r="BX162" s="539">
        <f t="shared" si="62"/>
        <v>4641.5096407771662</v>
      </c>
      <c r="BY162" s="539">
        <f t="shared" si="62"/>
        <v>4556.6944860376616</v>
      </c>
      <c r="BZ162" s="539">
        <f t="shared" si="62"/>
        <v>4537.9740219833275</v>
      </c>
      <c r="CA162" s="539">
        <f t="shared" si="62"/>
        <v>4488.4032753061401</v>
      </c>
      <c r="CB162" s="539">
        <f t="shared" si="62"/>
        <v>4395.9761058925051</v>
      </c>
      <c r="CC162" s="539">
        <f t="shared" si="62"/>
        <v>4158.9050335514912</v>
      </c>
      <c r="CD162" s="539">
        <f t="shared" si="62"/>
        <v>4118.9943172344674</v>
      </c>
      <c r="CE162" s="539">
        <f t="shared" si="62"/>
        <v>4093.7169298024264</v>
      </c>
      <c r="CF162" s="539">
        <f t="shared" si="62"/>
        <v>4027.2178747764192</v>
      </c>
      <c r="CG162" s="539">
        <f t="shared" si="62"/>
        <v>3950.4947113990497</v>
      </c>
      <c r="CH162" s="539">
        <f t="shared" si="62"/>
        <v>3916.0125613609252</v>
      </c>
      <c r="CI162" s="539">
        <f t="shared" si="62"/>
        <v>3892.7955348316759</v>
      </c>
      <c r="CJ162" s="539">
        <f t="shared" si="62"/>
        <v>3830.1751456047255</v>
      </c>
      <c r="CK162" s="539">
        <f t="shared" si="62"/>
        <v>3757.9235812567149</v>
      </c>
      <c r="CL162" s="539">
        <f t="shared" si="62"/>
        <v>3955.8612137740897</v>
      </c>
      <c r="CM162" s="539">
        <f t="shared" si="62"/>
        <v>3930.7779744028303</v>
      </c>
      <c r="CN162" s="539">
        <f t="shared" si="62"/>
        <v>3868.0605703581227</v>
      </c>
      <c r="CO162" s="539">
        <f t="shared" si="62"/>
        <v>3796.3507395811275</v>
      </c>
      <c r="CP162" s="539">
        <f t="shared" si="62"/>
        <v>3558.0936958668758</v>
      </c>
      <c r="CQ162" s="539">
        <f t="shared" si="62"/>
        <v>3518.3376426536611</v>
      </c>
      <c r="CR162" s="539">
        <f t="shared" si="62"/>
        <v>3471.275314744958</v>
      </c>
      <c r="CS162" s="539">
        <f t="shared" si="62"/>
        <v>3406.5896449490751</v>
      </c>
      <c r="CT162" s="539">
        <f t="shared" si="62"/>
        <v>3381.3393415544106</v>
      </c>
      <c r="CU162" s="539">
        <f t="shared" si="62"/>
        <v>3362.0644252159564</v>
      </c>
      <c r="CV162" s="539">
        <f t="shared" si="62"/>
        <v>3308.506563390305</v>
      </c>
      <c r="CW162" s="539">
        <f t="shared" si="62"/>
        <v>3247.0595171626605</v>
      </c>
      <c r="CX162" s="539">
        <f t="shared" si="62"/>
        <v>3224.1793530329774</v>
      </c>
      <c r="CY162" s="539">
        <f t="shared" si="62"/>
        <v>3205.7282165499723</v>
      </c>
      <c r="CZ162" s="539">
        <f t="shared" si="62"/>
        <v>3154.5818740756185</v>
      </c>
      <c r="DA162" s="539">
        <f t="shared" si="62"/>
        <v>3096.093697522504</v>
      </c>
      <c r="DB162" s="539">
        <f t="shared" si="62"/>
        <v>0</v>
      </c>
      <c r="DC162" s="539">
        <f t="shared" si="62"/>
        <v>0</v>
      </c>
      <c r="DD162" s="539">
        <f t="shared" si="62"/>
        <v>0</v>
      </c>
      <c r="DE162" s="539">
        <f t="shared" si="62"/>
        <v>0</v>
      </c>
      <c r="DF162" s="539">
        <f t="shared" si="62"/>
        <v>0</v>
      </c>
      <c r="DG162" s="539">
        <f t="shared" si="62"/>
        <v>0</v>
      </c>
      <c r="DH162" s="539">
        <f t="shared" si="62"/>
        <v>0</v>
      </c>
      <c r="DI162" s="539">
        <f t="shared" si="62"/>
        <v>0</v>
      </c>
      <c r="DJ162" s="539">
        <f t="shared" si="62"/>
        <v>0</v>
      </c>
      <c r="DK162" s="539">
        <f t="shared" si="62"/>
        <v>0</v>
      </c>
      <c r="DL162" s="539">
        <f t="shared" si="62"/>
        <v>0</v>
      </c>
      <c r="DM162" s="539">
        <f t="shared" si="62"/>
        <v>0</v>
      </c>
      <c r="DN162" s="539">
        <f t="shared" si="62"/>
        <v>0</v>
      </c>
      <c r="DO162" s="539">
        <f t="shared" si="62"/>
        <v>0</v>
      </c>
      <c r="DP162" s="539">
        <f t="shared" si="62"/>
        <v>0</v>
      </c>
      <c r="DQ162" s="539">
        <f t="shared" si="62"/>
        <v>0</v>
      </c>
      <c r="DR162" s="539">
        <f t="shared" si="62"/>
        <v>0</v>
      </c>
      <c r="DS162" s="539">
        <f t="shared" si="62"/>
        <v>0</v>
      </c>
      <c r="DT162" s="539">
        <f t="shared" si="62"/>
        <v>0</v>
      </c>
      <c r="DU162" s="539">
        <f t="shared" si="62"/>
        <v>0</v>
      </c>
      <c r="DV162" s="539">
        <f t="shared" si="62"/>
        <v>0</v>
      </c>
      <c r="DW162" s="539">
        <f t="shared" si="62"/>
        <v>0</v>
      </c>
      <c r="DX162" s="539">
        <f t="shared" si="62"/>
        <v>0</v>
      </c>
      <c r="DY162" s="539">
        <f t="shared" si="62"/>
        <v>0</v>
      </c>
      <c r="DZ162" s="539">
        <f t="shared" si="62"/>
        <v>0</v>
      </c>
      <c r="EA162" s="539">
        <f t="shared" si="62"/>
        <v>0</v>
      </c>
      <c r="EB162" s="539">
        <f t="shared" si="62"/>
        <v>0</v>
      </c>
      <c r="EC162" s="539">
        <f t="shared" si="62"/>
        <v>0</v>
      </c>
      <c r="ED162" s="539">
        <f t="shared" si="62"/>
        <v>0</v>
      </c>
      <c r="EE162" s="539">
        <f t="shared" si="62"/>
        <v>0</v>
      </c>
      <c r="EF162" s="539">
        <f t="shared" si="62"/>
        <v>0</v>
      </c>
      <c r="EG162" s="539">
        <f t="shared" si="62"/>
        <v>0</v>
      </c>
    </row>
    <row r="164" spans="5:7" ht="12.75">
      <c r="E164" s="535" t="str">
        <f>InpC!E$76</f>
        <v>Senior facility - interest rate</v>
      </c>
      <c r="F164" s="542">
        <f>InpC!F$76</f>
        <v>0.055</v>
      </c>
      <c r="G164" s="542" t="str">
        <f>InpC!G$76</f>
        <v>% p.a.</v>
      </c>
    </row>
    <row r="165" spans="5:7" ht="12.75">
      <c r="E165" s="535" t="str">
        <f>InpC!E$127</f>
        <v>Days per year (interest day count)</v>
      </c>
      <c r="F165" s="537">
        <f>InpC!F$127</f>
        <v>365</v>
      </c>
      <c r="G165" s="537" t="str">
        <f>InpC!G$127</f>
        <v>days</v>
      </c>
    </row>
    <row r="166" spans="5:7" ht="12.75">
      <c r="E166" s="535" t="str">
        <f>InpC!E$128</f>
        <v>Check tolerance</v>
      </c>
      <c r="F166" s="537">
        <f>InpC!F$128</f>
        <v>0.001</v>
      </c>
      <c r="G166" s="537" t="str">
        <f>InpC!G$128</f>
        <v>EUR 000s</v>
      </c>
    </row>
    <row r="167" spans="5:137" ht="12.75">
      <c r="E167" s="535" t="str">
        <f>Debt!E$57</f>
        <v>Senior facility - opening balance</v>
      </c>
      <c r="G167" s="537" t="str">
        <f>Debt!G$57</f>
        <v>EUR 000s</v>
      </c>
      <c r="H167" s="537">
        <f>Debt!H$57</f>
        <v>11123186.810732836</v>
      </c>
      <c r="J167" s="537">
        <f>Debt!J$57</f>
        <v>0</v>
      </c>
      <c r="K167" s="537">
        <f>Debt!K$57</f>
        <v>0</v>
      </c>
      <c r="L167" s="537">
        <f>Debt!L$57</f>
        <v>0</v>
      </c>
      <c r="M167" s="537">
        <f>Debt!M$57</f>
        <v>0</v>
      </c>
      <c r="N167" s="537">
        <f>Debt!N$57</f>
        <v>0</v>
      </c>
      <c r="O167" s="537">
        <f>Debt!O$57</f>
        <v>0</v>
      </c>
      <c r="P167" s="537">
        <f>Debt!P$57</f>
        <v>0</v>
      </c>
      <c r="Q167" s="537">
        <f>Debt!Q$57</f>
        <v>0</v>
      </c>
      <c r="R167" s="537">
        <f>Debt!R$57</f>
        <v>0</v>
      </c>
      <c r="S167" s="537">
        <f>Debt!S$57</f>
        <v>1382.3281928992874</v>
      </c>
      <c r="T167" s="537">
        <f>Debt!T$57</f>
        <v>19363.172958561812</v>
      </c>
      <c r="U167" s="537">
        <f>Debt!U$57</f>
        <v>37736.181514569398</v>
      </c>
      <c r="V167" s="537">
        <f>Debt!V$57</f>
        <v>56530.476117754166</v>
      </c>
      <c r="W167" s="537">
        <f>Debt!W$57</f>
        <v>74091.405530191638</v>
      </c>
      <c r="X167" s="537">
        <f>Debt!X$57</f>
        <v>91518.934879038119</v>
      </c>
      <c r="Y167" s="537">
        <f>Debt!Y$57</f>
        <v>107255.49759656707</v>
      </c>
      <c r="Z167" s="537">
        <f>Debt!Z$57</f>
        <v>121061.22875111677</v>
      </c>
      <c r="AA167" s="537">
        <f>Debt!AA$57</f>
        <v>133962.70617930786</v>
      </c>
      <c r="AB167" s="537">
        <f>Debt!AB$57</f>
        <v>148362.46790677981</v>
      </c>
      <c r="AC167" s="537">
        <f>Debt!AC$57</f>
        <v>163506.13990970366</v>
      </c>
      <c r="AD167" s="537">
        <f>Debt!AD$57</f>
        <v>178549.55229008626</v>
      </c>
      <c r="AE167" s="537">
        <f>Debt!AE$57</f>
        <v>192268.63360155231</v>
      </c>
      <c r="AF167" s="537">
        <f>Debt!AF$57</f>
        <v>200952.02892657305</v>
      </c>
      <c r="AG167" s="537">
        <f>Debt!AG$57</f>
        <v>207824.75792647921</v>
      </c>
      <c r="AH167" s="537">
        <f>Debt!AH$57</f>
        <v>221286.6479110517</v>
      </c>
      <c r="AI167" s="537">
        <f>Debt!AI$57</f>
        <v>220608.823757429</v>
      </c>
      <c r="AJ167" s="537">
        <f>Debt!AJ$57</f>
        <v>218979.44471839062</v>
      </c>
      <c r="AK167" s="537">
        <f>Debt!AK$57</f>
        <v>217360.94638439317</v>
      </c>
      <c r="AL167" s="537">
        <f>Debt!AL$57</f>
        <v>215730.19804249654</v>
      </c>
      <c r="AM167" s="537">
        <f>Debt!AM$57</f>
        <v>213962.26862143833</v>
      </c>
      <c r="AN167" s="537">
        <f>Debt!AN$57</f>
        <v>212160.04600216408</v>
      </c>
      <c r="AO167" s="537">
        <f>Debt!AO$57</f>
        <v>210365.30914698011</v>
      </c>
      <c r="AP167" s="537">
        <f>Debt!AP$57</f>
        <v>208556.00183225214</v>
      </c>
      <c r="AQ167" s="537">
        <f>Debt!AQ$57</f>
        <v>206608.1421623468</v>
      </c>
      <c r="AR167" s="537">
        <f>Debt!AR$57</f>
        <v>204622.0325392868</v>
      </c>
      <c r="AS167" s="537">
        <f>Debt!AS$57</f>
        <v>202639.75403211112</v>
      </c>
      <c r="AT167" s="537">
        <f>Debt!AT$57</f>
        <v>200640.42828787459</v>
      </c>
      <c r="AU167" s="537">
        <f>Debt!AU$57</f>
        <v>198520.66321847215</v>
      </c>
      <c r="AV167" s="537">
        <f>Debt!AV$57</f>
        <v>196350.0423303475</v>
      </c>
      <c r="AW167" s="537">
        <f>Debt!AW$57</f>
        <v>194168.68761815928</v>
      </c>
      <c r="AX167" s="537">
        <f>Debt!AX$57</f>
        <v>191969.90220643775</v>
      </c>
      <c r="AY167" s="537">
        <f>Debt!AY$57</f>
        <v>189627.72643192843</v>
      </c>
      <c r="AZ167" s="537">
        <f>Debt!AZ$57</f>
        <v>187238.5892801146</v>
      </c>
      <c r="BA167" s="537">
        <f>Debt!BA$57</f>
        <v>184845.14286697507</v>
      </c>
      <c r="BB167" s="537">
        <f>Debt!BB$57</f>
        <v>182431.62986282675</v>
      </c>
      <c r="BC167" s="537">
        <f>Debt!BC$57</f>
        <v>179936.99651467081</v>
      </c>
      <c r="BD167" s="537">
        <f>Debt!BD$57</f>
        <v>177400.57976910818</v>
      </c>
      <c r="BE167" s="537">
        <f>Debt!BE$57</f>
        <v>174865.04661232483</v>
      </c>
      <c r="BF167" s="537">
        <f>Debt!BF$57</f>
        <v>172313.4684083091</v>
      </c>
      <c r="BG167" s="537">
        <f>Debt!BG$57</f>
        <v>169632.07902517688</v>
      </c>
      <c r="BH167" s="537">
        <f>Debt!BH$57</f>
        <v>166902.89896300616</v>
      </c>
      <c r="BI167" s="537">
        <f>Debt!BI$57</f>
        <v>164168.91807115515</v>
      </c>
      <c r="BJ167" s="537">
        <f>Debt!BJ$57</f>
        <v>161414.86878840948</v>
      </c>
      <c r="BK167" s="537">
        <f>Debt!BK$57</f>
        <v>158542.07659269078</v>
      </c>
      <c r="BL167" s="537">
        <f>Debt!BL$57</f>
        <v>155613.84125510571</v>
      </c>
      <c r="BM167" s="537">
        <f>Debt!BM$57</f>
        <v>152663.86316474082</v>
      </c>
      <c r="BN167" s="537">
        <f>Debt!BN$57</f>
        <v>149689.78500478482</v>
      </c>
      <c r="BO167" s="537">
        <f>Debt!BO$57</f>
        <v>146582.18825556862</v>
      </c>
      <c r="BP167" s="537">
        <f>Debt!BP$57</f>
        <v>143414.45037753851</v>
      </c>
      <c r="BQ167" s="537">
        <f>Debt!BQ$57</f>
        <v>140230.13643606377</v>
      </c>
      <c r="BR167" s="537">
        <f>Debt!BR$57</f>
        <v>137017.63189573269</v>
      </c>
      <c r="BS167" s="537">
        <f>Debt!BS$57</f>
        <v>133616.70893983805</v>
      </c>
      <c r="BT167" s="537">
        <f>Debt!BT$57</f>
        <v>130148.4594856113</v>
      </c>
      <c r="BU167" s="537">
        <f>Debt!BU$57</f>
        <v>126656.67559847518</v>
      </c>
      <c r="BV167" s="537">
        <f>Debt!BV$57</f>
        <v>123131.75917005076</v>
      </c>
      <c r="BW167" s="537">
        <f>Debt!BW$57</f>
        <v>119608.92849224193</v>
      </c>
      <c r="BX167" s="537">
        <f>Debt!BX$57</f>
        <v>116425.03572762878</v>
      </c>
      <c r="BY167" s="537">
        <f>Debt!BY$57</f>
        <v>113226.81814732924</v>
      </c>
      <c r="BZ167" s="537">
        <f>Debt!BZ$57</f>
        <v>110006.70537313426</v>
      </c>
      <c r="CA167" s="537">
        <f>Debt!CA$57</f>
        <v>106679.6446537234</v>
      </c>
      <c r="CB167" s="537">
        <f>Debt!CB$57</f>
        <v>103294.20127478741</v>
      </c>
      <c r="CC167" s="537">
        <f>Debt!CC$57</f>
        <v>99911.910581940261</v>
      </c>
      <c r="CD167" s="537">
        <f>Debt!CD$57</f>
        <v>96679.218965814158</v>
      </c>
      <c r="CE167" s="537">
        <f>Debt!CE$57</f>
        <v>93354.866903009097</v>
      </c>
      <c r="CF167" s="537">
        <f>Debt!CF$57</f>
        <v>89964.772122112496</v>
      </c>
      <c r="CG167" s="537">
        <f>Debt!CG$57</f>
        <v>86553.919799695548</v>
      </c>
      <c r="CH167" s="537">
        <f>Debt!CH$57</f>
        <v>83121.179559975688</v>
      </c>
      <c r="CI167" s="537">
        <f>Debt!CI$57</f>
        <v>79593.959452813389</v>
      </c>
      <c r="CJ167" s="537">
        <f>Debt!CJ$57</f>
        <v>75995.047897345838</v>
      </c>
      <c r="CK167" s="537">
        <f>Debt!CK$57</f>
        <v>72369.711752529605</v>
      </c>
      <c r="CL167" s="537">
        <f>Debt!CL$57</f>
        <v>68718.73893250621</v>
      </c>
      <c r="CM167" s="537">
        <f>Debt!CM$57</f>
        <v>64684.850956016817</v>
      </c>
      <c r="CN167" s="537">
        <f>Debt!CN$57</f>
        <v>60569.829778725034</v>
      </c>
      <c r="CO167" s="537">
        <f>Debt!CO$57</f>
        <v>56419.081896961972</v>
      </c>
      <c r="CP167" s="537">
        <f>Debt!CP$57</f>
        <v>52235.409698162868</v>
      </c>
      <c r="CQ167" s="537">
        <f>Debt!CQ$57</f>
        <v>48233.700504559805</v>
      </c>
      <c r="CR167" s="537">
        <f>Debt!CR$57</f>
        <v>44165.862871224701</v>
      </c>
      <c r="CS167" s="537">
        <f>Debt!CS$57</f>
        <v>40047.476011156585</v>
      </c>
      <c r="CT167" s="537">
        <f>Debt!CT$57</f>
        <v>35895.790506489262</v>
      </c>
      <c r="CU167" s="537">
        <f>Debt!CU$57</f>
        <v>31647.260735279633</v>
      </c>
      <c r="CV167" s="537">
        <f>Debt!CV$57</f>
        <v>27308.313550612747</v>
      </c>
      <c r="CW167" s="537">
        <f>Debt!CW$57</f>
        <v>22924.904066388648</v>
      </c>
      <c r="CX167" s="537">
        <f>Debt!CX$57</f>
        <v>18504.379611735581</v>
      </c>
      <c r="CY167" s="537">
        <f>Debt!CY$57</f>
        <v>13986.578233532302</v>
      </c>
      <c r="CZ167" s="537">
        <f>Debt!CZ$57</f>
        <v>9371.8894561927991</v>
      </c>
      <c r="DA167" s="537">
        <f>Debt!DA$57</f>
        <v>4706.4513561860967</v>
      </c>
      <c r="DB167" s="537">
        <f>Debt!DB$57</f>
        <v>0</v>
      </c>
      <c r="DC167" s="537">
        <f>Debt!DC$57</f>
        <v>0</v>
      </c>
      <c r="DD167" s="537">
        <f>Debt!DD$57</f>
        <v>0</v>
      </c>
      <c r="DE167" s="537">
        <f>Debt!DE$57</f>
        <v>0</v>
      </c>
      <c r="DF167" s="537">
        <f>Debt!DF$57</f>
        <v>0</v>
      </c>
      <c r="DG167" s="537">
        <f>Debt!DG$57</f>
        <v>0</v>
      </c>
      <c r="DH167" s="537">
        <f>Debt!DH$57</f>
        <v>0</v>
      </c>
      <c r="DI167" s="537">
        <f>Debt!DI$57</f>
        <v>0</v>
      </c>
      <c r="DJ167" s="537">
        <f>Debt!DJ$57</f>
        <v>0</v>
      </c>
      <c r="DK167" s="537">
        <f>Debt!DK$57</f>
        <v>0</v>
      </c>
      <c r="DL167" s="537">
        <f>Debt!DL$57</f>
        <v>0</v>
      </c>
      <c r="DM167" s="537">
        <f>Debt!DM$57</f>
        <v>0</v>
      </c>
      <c r="DN167" s="537">
        <f>Debt!DN$57</f>
        <v>0</v>
      </c>
      <c r="DO167" s="537">
        <f>Debt!DO$57</f>
        <v>0</v>
      </c>
      <c r="DP167" s="537">
        <f>Debt!DP$57</f>
        <v>0</v>
      </c>
      <c r="DQ167" s="537">
        <f>Debt!DQ$57</f>
        <v>0</v>
      </c>
      <c r="DR167" s="537">
        <f>Debt!DR$57</f>
        <v>0</v>
      </c>
      <c r="DS167" s="537">
        <f>Debt!DS$57</f>
        <v>0</v>
      </c>
      <c r="DT167" s="537">
        <f>Debt!DT$57</f>
        <v>0</v>
      </c>
      <c r="DU167" s="537">
        <f>Debt!DU$57</f>
        <v>0</v>
      </c>
      <c r="DV167" s="537">
        <f>Debt!DV$57</f>
        <v>0</v>
      </c>
      <c r="DW167" s="537">
        <f>Debt!DW$57</f>
        <v>0</v>
      </c>
      <c r="DX167" s="537">
        <f>Debt!DX$57</f>
        <v>0</v>
      </c>
      <c r="DY167" s="537">
        <f>Debt!DY$57</f>
        <v>0</v>
      </c>
      <c r="DZ167" s="537">
        <f>Debt!DZ$57</f>
        <v>0</v>
      </c>
      <c r="EA167" s="537">
        <f>Debt!EA$57</f>
        <v>0</v>
      </c>
      <c r="EB167" s="537">
        <f>Debt!EB$57</f>
        <v>0</v>
      </c>
      <c r="EC167" s="537">
        <f>Debt!EC$57</f>
        <v>0</v>
      </c>
      <c r="ED167" s="537">
        <f>Debt!ED$57</f>
        <v>0</v>
      </c>
      <c r="EE167" s="537">
        <f>Debt!EE$57</f>
        <v>0</v>
      </c>
      <c r="EF167" s="537">
        <f>Debt!EF$57</f>
        <v>0</v>
      </c>
      <c r="EG167" s="537">
        <f>Debt!EG$57</f>
        <v>0</v>
      </c>
    </row>
    <row r="168" spans="5:137" ht="12.75">
      <c r="E168" s="535" t="str">
        <f>Time!E$50</f>
        <v>Model period ending</v>
      </c>
      <c r="G168" s="536" t="str">
        <f>Time!G$50</f>
        <v>date</v>
      </c>
      <c r="J168" s="536">
        <f>Time!J$50</f>
        <v>46418</v>
      </c>
      <c r="K168" s="536">
        <f>Time!K$50</f>
        <v>46446</v>
      </c>
      <c r="L168" s="536">
        <f>Time!L$50</f>
        <v>46477</v>
      </c>
      <c r="M168" s="536">
        <f>Time!M$50</f>
        <v>46507</v>
      </c>
      <c r="N168" s="536">
        <f>Time!N$50</f>
        <v>46538</v>
      </c>
      <c r="O168" s="536">
        <f>Time!O$50</f>
        <v>46568</v>
      </c>
      <c r="P168" s="536">
        <f>Time!P$50</f>
        <v>46599</v>
      </c>
      <c r="Q168" s="536">
        <f>Time!Q$50</f>
        <v>46630</v>
      </c>
      <c r="R168" s="536">
        <f>Time!R$50</f>
        <v>46660</v>
      </c>
      <c r="S168" s="536">
        <f>Time!S$50</f>
        <v>46691</v>
      </c>
      <c r="T168" s="536">
        <f>Time!T$50</f>
        <v>46721</v>
      </c>
      <c r="U168" s="536">
        <f>Time!U$50</f>
        <v>46752</v>
      </c>
      <c r="V168" s="536">
        <f>Time!V$50</f>
        <v>46783</v>
      </c>
      <c r="W168" s="536">
        <f>Time!W$50</f>
        <v>46812</v>
      </c>
      <c r="X168" s="536">
        <f>Time!X$50</f>
        <v>46843</v>
      </c>
      <c r="Y168" s="536">
        <f>Time!Y$50</f>
        <v>46873</v>
      </c>
      <c r="Z168" s="536">
        <f>Time!Z$50</f>
        <v>46904</v>
      </c>
      <c r="AA168" s="536">
        <f>Time!AA$50</f>
        <v>46934</v>
      </c>
      <c r="AB168" s="536">
        <f>Time!AB$50</f>
        <v>46965</v>
      </c>
      <c r="AC168" s="536">
        <f>Time!AC$50</f>
        <v>46996</v>
      </c>
      <c r="AD168" s="536">
        <f>Time!AD$50</f>
        <v>47026</v>
      </c>
      <c r="AE168" s="536">
        <f>Time!AE$50</f>
        <v>47057</v>
      </c>
      <c r="AF168" s="536">
        <f>Time!AF$50</f>
        <v>47087</v>
      </c>
      <c r="AG168" s="536">
        <f>Time!AG$50</f>
        <v>47118</v>
      </c>
      <c r="AH168" s="536">
        <f>Time!AH$50</f>
        <v>47208</v>
      </c>
      <c r="AI168" s="536">
        <f>Time!AI$50</f>
        <v>47299</v>
      </c>
      <c r="AJ168" s="536">
        <f>Time!AJ$50</f>
        <v>47391</v>
      </c>
      <c r="AK168" s="536">
        <f>Time!AK$50</f>
        <v>47483</v>
      </c>
      <c r="AL168" s="536">
        <f>Time!AL$50</f>
        <v>47573</v>
      </c>
      <c r="AM168" s="536">
        <f>Time!AM$50</f>
        <v>47664</v>
      </c>
      <c r="AN168" s="536">
        <f>Time!AN$50</f>
        <v>47756</v>
      </c>
      <c r="AO168" s="536">
        <f>Time!AO$50</f>
        <v>47848</v>
      </c>
      <c r="AP168" s="536">
        <f>Time!AP$50</f>
        <v>47938</v>
      </c>
      <c r="AQ168" s="536">
        <f>Time!AQ$50</f>
        <v>48029</v>
      </c>
      <c r="AR168" s="536">
        <f>Time!AR$50</f>
        <v>48121</v>
      </c>
      <c r="AS168" s="536">
        <f>Time!AS$50</f>
        <v>48213</v>
      </c>
      <c r="AT168" s="536">
        <f>Time!AT$50</f>
        <v>48304</v>
      </c>
      <c r="AU168" s="536">
        <f>Time!AU$50</f>
        <v>48395</v>
      </c>
      <c r="AV168" s="536">
        <f>Time!AV$50</f>
        <v>48487</v>
      </c>
      <c r="AW168" s="536">
        <f>Time!AW$50</f>
        <v>48579</v>
      </c>
      <c r="AX168" s="536">
        <f>Time!AX$50</f>
        <v>48669</v>
      </c>
      <c r="AY168" s="536">
        <f>Time!AY$50</f>
        <v>48760</v>
      </c>
      <c r="AZ168" s="536">
        <f>Time!AZ$50</f>
        <v>48852</v>
      </c>
      <c r="BA168" s="536">
        <f>Time!BA$50</f>
        <v>48944</v>
      </c>
      <c r="BB168" s="536">
        <f>Time!BB$50</f>
        <v>49034</v>
      </c>
      <c r="BC168" s="536">
        <f>Time!BC$50</f>
        <v>49125</v>
      </c>
      <c r="BD168" s="536">
        <f>Time!BD$50</f>
        <v>49217</v>
      </c>
      <c r="BE168" s="536">
        <f>Time!BE$50</f>
        <v>49309</v>
      </c>
      <c r="BF168" s="536">
        <f>Time!BF$50</f>
        <v>49399</v>
      </c>
      <c r="BG168" s="536">
        <f>Time!BG$50</f>
        <v>49490</v>
      </c>
      <c r="BH168" s="536">
        <f>Time!BH$50</f>
        <v>49582</v>
      </c>
      <c r="BI168" s="536">
        <f>Time!BI$50</f>
        <v>49674</v>
      </c>
      <c r="BJ168" s="536">
        <f>Time!BJ$50</f>
        <v>49765</v>
      </c>
      <c r="BK168" s="536">
        <f>Time!BK$50</f>
        <v>49856</v>
      </c>
      <c r="BL168" s="536">
        <f>Time!BL$50</f>
        <v>49948</v>
      </c>
      <c r="BM168" s="536">
        <f>Time!BM$50</f>
        <v>50040</v>
      </c>
      <c r="BN168" s="536">
        <f>Time!BN$50</f>
        <v>50130</v>
      </c>
      <c r="BO168" s="536">
        <f>Time!BO$50</f>
        <v>50221</v>
      </c>
      <c r="BP168" s="536">
        <f>Time!BP$50</f>
        <v>50313</v>
      </c>
      <c r="BQ168" s="536">
        <f>Time!BQ$50</f>
        <v>50405</v>
      </c>
      <c r="BR168" s="536">
        <f>Time!BR$50</f>
        <v>50495</v>
      </c>
      <c r="BS168" s="536">
        <f>Time!BS$50</f>
        <v>50586</v>
      </c>
      <c r="BT168" s="536">
        <f>Time!BT$50</f>
        <v>50678</v>
      </c>
      <c r="BU168" s="536">
        <f>Time!BU$50</f>
        <v>50770</v>
      </c>
      <c r="BV168" s="536">
        <f>Time!BV$50</f>
        <v>50860</v>
      </c>
      <c r="BW168" s="536">
        <f>Time!BW$50</f>
        <v>50951</v>
      </c>
      <c r="BX168" s="536">
        <f>Time!BX$50</f>
        <v>51043</v>
      </c>
      <c r="BY168" s="536">
        <f>Time!BY$50</f>
        <v>51135</v>
      </c>
      <c r="BZ168" s="536">
        <f>Time!BZ$50</f>
        <v>51226</v>
      </c>
      <c r="CA168" s="536">
        <f>Time!CA$50</f>
        <v>51317</v>
      </c>
      <c r="CB168" s="536">
        <f>Time!CB$50</f>
        <v>51409</v>
      </c>
      <c r="CC168" s="536">
        <f>Time!CC$50</f>
        <v>51501</v>
      </c>
      <c r="CD168" s="536">
        <f>Time!CD$50</f>
        <v>51591</v>
      </c>
      <c r="CE168" s="536">
        <f>Time!CE$50</f>
        <v>51682</v>
      </c>
      <c r="CF168" s="536">
        <f>Time!CF$50</f>
        <v>51774</v>
      </c>
      <c r="CG168" s="536">
        <f>Time!CG$50</f>
        <v>51866</v>
      </c>
      <c r="CH168" s="536">
        <f>Time!CH$50</f>
        <v>51956</v>
      </c>
      <c r="CI168" s="536">
        <f>Time!CI$50</f>
        <v>52047</v>
      </c>
      <c r="CJ168" s="536">
        <f>Time!CJ$50</f>
        <v>52139</v>
      </c>
      <c r="CK168" s="536">
        <f>Time!CK$50</f>
        <v>52231</v>
      </c>
      <c r="CL168" s="536">
        <f>Time!CL$50</f>
        <v>52321</v>
      </c>
      <c r="CM168" s="536">
        <f>Time!CM$50</f>
        <v>52412</v>
      </c>
      <c r="CN168" s="536">
        <f>Time!CN$50</f>
        <v>52504</v>
      </c>
      <c r="CO168" s="536">
        <f>Time!CO$50</f>
        <v>52596</v>
      </c>
      <c r="CP168" s="536">
        <f>Time!CP$50</f>
        <v>52687</v>
      </c>
      <c r="CQ168" s="536">
        <f>Time!CQ$50</f>
        <v>52778</v>
      </c>
      <c r="CR168" s="536">
        <f>Time!CR$50</f>
        <v>52870</v>
      </c>
      <c r="CS168" s="536">
        <f>Time!CS$50</f>
        <v>52962</v>
      </c>
      <c r="CT168" s="536">
        <f>Time!CT$50</f>
        <v>53052</v>
      </c>
      <c r="CU168" s="536">
        <f>Time!CU$50</f>
        <v>53143</v>
      </c>
      <c r="CV168" s="536">
        <f>Time!CV$50</f>
        <v>53235</v>
      </c>
      <c r="CW168" s="536">
        <f>Time!CW$50</f>
        <v>53327</v>
      </c>
      <c r="CX168" s="536">
        <f>Time!CX$50</f>
        <v>53417</v>
      </c>
      <c r="CY168" s="536">
        <f>Time!CY$50</f>
        <v>53508</v>
      </c>
      <c r="CZ168" s="536">
        <f>Time!CZ$50</f>
        <v>53600</v>
      </c>
      <c r="DA168" s="536">
        <f>Time!DA$50</f>
        <v>53692</v>
      </c>
      <c r="DB168" s="536">
        <f>Time!DB$50</f>
        <v>53782</v>
      </c>
      <c r="DC168" s="536">
        <f>Time!DC$50</f>
        <v>53873</v>
      </c>
      <c r="DD168" s="536">
        <f>Time!DD$50</f>
        <v>53965</v>
      </c>
      <c r="DE168" s="536">
        <f>Time!DE$50</f>
        <v>54057</v>
      </c>
      <c r="DF168" s="536">
        <f>Time!DF$50</f>
        <v>54148</v>
      </c>
      <c r="DG168" s="536">
        <f>Time!DG$50</f>
        <v>54239</v>
      </c>
      <c r="DH168" s="536">
        <f>Time!DH$50</f>
        <v>54331</v>
      </c>
      <c r="DI168" s="536">
        <f>Time!DI$50</f>
        <v>54423</v>
      </c>
      <c r="DJ168" s="536">
        <f>Time!DJ$50</f>
        <v>54513</v>
      </c>
      <c r="DK168" s="536">
        <f>Time!DK$50</f>
        <v>54604</v>
      </c>
      <c r="DL168" s="536">
        <f>Time!DL$50</f>
        <v>54696</v>
      </c>
      <c r="DM168" s="536">
        <f>Time!DM$50</f>
        <v>54788</v>
      </c>
      <c r="DN168" s="536">
        <f>Time!DN$50</f>
        <v>54878</v>
      </c>
      <c r="DO168" s="536">
        <f>Time!DO$50</f>
        <v>54969</v>
      </c>
      <c r="DP168" s="536">
        <f>Time!DP$50</f>
        <v>55061</v>
      </c>
      <c r="DQ168" s="536">
        <f>Time!DQ$50</f>
        <v>55153</v>
      </c>
      <c r="DR168" s="536">
        <f>Time!DR$50</f>
        <v>55243</v>
      </c>
      <c r="DS168" s="536">
        <f>Time!DS$50</f>
        <v>55334</v>
      </c>
      <c r="DT168" s="536">
        <f>Time!DT$50</f>
        <v>55426</v>
      </c>
      <c r="DU168" s="536">
        <f>Time!DU$50</f>
        <v>55518</v>
      </c>
      <c r="DV168" s="536">
        <f>Time!DV$50</f>
        <v>55609</v>
      </c>
      <c r="DW168" s="536">
        <f>Time!DW$50</f>
        <v>55700</v>
      </c>
      <c r="DX168" s="536">
        <f>Time!DX$50</f>
        <v>55792</v>
      </c>
      <c r="DY168" s="536">
        <f>Time!DY$50</f>
        <v>55884</v>
      </c>
      <c r="DZ168" s="536">
        <f>Time!DZ$50</f>
        <v>55974</v>
      </c>
      <c r="EA168" s="536">
        <f>Time!EA$50</f>
        <v>56065</v>
      </c>
      <c r="EB168" s="536">
        <f>Time!EB$50</f>
        <v>56157</v>
      </c>
      <c r="EC168" s="536">
        <f>Time!EC$50</f>
        <v>56249</v>
      </c>
      <c r="ED168" s="536">
        <f>Time!ED$50</f>
        <v>56339</v>
      </c>
      <c r="EE168" s="536">
        <f>Time!EE$50</f>
        <v>56430</v>
      </c>
      <c r="EF168" s="536">
        <f>Time!EF$50</f>
        <v>56522</v>
      </c>
      <c r="EG168" s="536">
        <f>Time!EG$50</f>
        <v>56614</v>
      </c>
    </row>
    <row r="169" spans="5:137" ht="12.75">
      <c r="E169" s="535" t="str">
        <f>Time!E$163</f>
        <v>Days in period</v>
      </c>
      <c r="G169" s="537" t="str">
        <f>Time!G$163</f>
        <v>days</v>
      </c>
      <c r="H169" s="537">
        <f>Time!H$163</f>
        <v>10227</v>
      </c>
      <c r="J169" s="537">
        <f>Time!J$163</f>
        <v>31</v>
      </c>
      <c r="K169" s="537">
        <f>Time!K$163</f>
        <v>28</v>
      </c>
      <c r="L169" s="537">
        <f>Time!L$163</f>
        <v>31</v>
      </c>
      <c r="M169" s="537">
        <f>Time!M$163</f>
        <v>30</v>
      </c>
      <c r="N169" s="537">
        <f>Time!N$163</f>
        <v>31</v>
      </c>
      <c r="O169" s="537">
        <f>Time!O$163</f>
        <v>30</v>
      </c>
      <c r="P169" s="537">
        <f>Time!P$163</f>
        <v>31</v>
      </c>
      <c r="Q169" s="537">
        <f>Time!Q$163</f>
        <v>31</v>
      </c>
      <c r="R169" s="537">
        <f>Time!R$163</f>
        <v>30</v>
      </c>
      <c r="S169" s="537">
        <f>Time!S$163</f>
        <v>31</v>
      </c>
      <c r="T169" s="537">
        <f>Time!T$163</f>
        <v>30</v>
      </c>
      <c r="U169" s="537">
        <f>Time!U$163</f>
        <v>31</v>
      </c>
      <c r="V169" s="537">
        <f>Time!V$163</f>
        <v>31</v>
      </c>
      <c r="W169" s="537">
        <f>Time!W$163</f>
        <v>29</v>
      </c>
      <c r="X169" s="537">
        <f>Time!X$163</f>
        <v>31</v>
      </c>
      <c r="Y169" s="537">
        <f>Time!Y$163</f>
        <v>30</v>
      </c>
      <c r="Z169" s="537">
        <f>Time!Z$163</f>
        <v>31</v>
      </c>
      <c r="AA169" s="537">
        <f>Time!AA$163</f>
        <v>30</v>
      </c>
      <c r="AB169" s="537">
        <f>Time!AB$163</f>
        <v>31</v>
      </c>
      <c r="AC169" s="537">
        <f>Time!AC$163</f>
        <v>31</v>
      </c>
      <c r="AD169" s="537">
        <f>Time!AD$163</f>
        <v>30</v>
      </c>
      <c r="AE169" s="537">
        <f>Time!AE$163</f>
        <v>31</v>
      </c>
      <c r="AF169" s="537">
        <f>Time!AF$163</f>
        <v>30</v>
      </c>
      <c r="AG169" s="537">
        <f>Time!AG$163</f>
        <v>31</v>
      </c>
      <c r="AH169" s="537">
        <f>Time!AH$163</f>
        <v>90</v>
      </c>
      <c r="AI169" s="537">
        <f>Time!AI$163</f>
        <v>91</v>
      </c>
      <c r="AJ169" s="537">
        <f>Time!AJ$163</f>
        <v>92</v>
      </c>
      <c r="AK169" s="537">
        <f>Time!AK$163</f>
        <v>92</v>
      </c>
      <c r="AL169" s="537">
        <f>Time!AL$163</f>
        <v>90</v>
      </c>
      <c r="AM169" s="537">
        <f>Time!AM$163</f>
        <v>91</v>
      </c>
      <c r="AN169" s="537">
        <f>Time!AN$163</f>
        <v>92</v>
      </c>
      <c r="AO169" s="537">
        <f>Time!AO$163</f>
        <v>92</v>
      </c>
      <c r="AP169" s="537">
        <f>Time!AP$163</f>
        <v>90</v>
      </c>
      <c r="AQ169" s="537">
        <f>Time!AQ$163</f>
        <v>91</v>
      </c>
      <c r="AR169" s="537">
        <f>Time!AR$163</f>
        <v>92</v>
      </c>
      <c r="AS169" s="537">
        <f>Time!AS$163</f>
        <v>92</v>
      </c>
      <c r="AT169" s="537">
        <f>Time!AT$163</f>
        <v>91</v>
      </c>
      <c r="AU169" s="537">
        <f>Time!AU$163</f>
        <v>91</v>
      </c>
      <c r="AV169" s="537">
        <f>Time!AV$163</f>
        <v>92</v>
      </c>
      <c r="AW169" s="537">
        <f>Time!AW$163</f>
        <v>92</v>
      </c>
      <c r="AX169" s="537">
        <f>Time!AX$163</f>
        <v>90</v>
      </c>
      <c r="AY169" s="537">
        <f>Time!AY$163</f>
        <v>91</v>
      </c>
      <c r="AZ169" s="537">
        <f>Time!AZ$163</f>
        <v>92</v>
      </c>
      <c r="BA169" s="537">
        <f>Time!BA$163</f>
        <v>92</v>
      </c>
      <c r="BB169" s="537">
        <f>Time!BB$163</f>
        <v>90</v>
      </c>
      <c r="BC169" s="537">
        <f>Time!BC$163</f>
        <v>91</v>
      </c>
      <c r="BD169" s="537">
        <f>Time!BD$163</f>
        <v>92</v>
      </c>
      <c r="BE169" s="537">
        <f>Time!BE$163</f>
        <v>92</v>
      </c>
      <c r="BF169" s="537">
        <f>Time!BF$163</f>
        <v>90</v>
      </c>
      <c r="BG169" s="537">
        <f>Time!BG$163</f>
        <v>91</v>
      </c>
      <c r="BH169" s="537">
        <f>Time!BH$163</f>
        <v>92</v>
      </c>
      <c r="BI169" s="537">
        <f>Time!BI$163</f>
        <v>92</v>
      </c>
      <c r="BJ169" s="537">
        <f>Time!BJ$163</f>
        <v>91</v>
      </c>
      <c r="BK169" s="537">
        <f>Time!BK$163</f>
        <v>91</v>
      </c>
      <c r="BL169" s="537">
        <f>Time!BL$163</f>
        <v>92</v>
      </c>
      <c r="BM169" s="537">
        <f>Time!BM$163</f>
        <v>92</v>
      </c>
      <c r="BN169" s="537">
        <f>Time!BN$163</f>
        <v>90</v>
      </c>
      <c r="BO169" s="537">
        <f>Time!BO$163</f>
        <v>91</v>
      </c>
      <c r="BP169" s="537">
        <f>Time!BP$163</f>
        <v>92</v>
      </c>
      <c r="BQ169" s="537">
        <f>Time!BQ$163</f>
        <v>92</v>
      </c>
      <c r="BR169" s="537">
        <f>Time!BR$163</f>
        <v>90</v>
      </c>
      <c r="BS169" s="537">
        <f>Time!BS$163</f>
        <v>91</v>
      </c>
      <c r="BT169" s="537">
        <f>Time!BT$163</f>
        <v>92</v>
      </c>
      <c r="BU169" s="537">
        <f>Time!BU$163</f>
        <v>92</v>
      </c>
      <c r="BV169" s="537">
        <f>Time!BV$163</f>
        <v>90</v>
      </c>
      <c r="BW169" s="537">
        <f>Time!BW$163</f>
        <v>91</v>
      </c>
      <c r="BX169" s="537">
        <f>Time!BX$163</f>
        <v>92</v>
      </c>
      <c r="BY169" s="537">
        <f>Time!BY$163</f>
        <v>92</v>
      </c>
      <c r="BZ169" s="537">
        <f>Time!BZ$163</f>
        <v>91</v>
      </c>
      <c r="CA169" s="537">
        <f>Time!CA$163</f>
        <v>91</v>
      </c>
      <c r="CB169" s="537">
        <f>Time!CB$163</f>
        <v>92</v>
      </c>
      <c r="CC169" s="537">
        <f>Time!CC$163</f>
        <v>92</v>
      </c>
      <c r="CD169" s="537">
        <f>Time!CD$163</f>
        <v>90</v>
      </c>
      <c r="CE169" s="537">
        <f>Time!CE$163</f>
        <v>91</v>
      </c>
      <c r="CF169" s="537">
        <f>Time!CF$163</f>
        <v>92</v>
      </c>
      <c r="CG169" s="537">
        <f>Time!CG$163</f>
        <v>92</v>
      </c>
      <c r="CH169" s="537">
        <f>Time!CH$163</f>
        <v>90</v>
      </c>
      <c r="CI169" s="537">
        <f>Time!CI$163</f>
        <v>91</v>
      </c>
      <c r="CJ169" s="537">
        <f>Time!CJ$163</f>
        <v>92</v>
      </c>
      <c r="CK169" s="537">
        <f>Time!CK$163</f>
        <v>92</v>
      </c>
      <c r="CL169" s="537">
        <f>Time!CL$163</f>
        <v>90</v>
      </c>
      <c r="CM169" s="537">
        <f>Time!CM$163</f>
        <v>91</v>
      </c>
      <c r="CN169" s="537">
        <f>Time!CN$163</f>
        <v>92</v>
      </c>
      <c r="CO169" s="537">
        <f>Time!CO$163</f>
        <v>92</v>
      </c>
      <c r="CP169" s="537">
        <f>Time!CP$163</f>
        <v>91</v>
      </c>
      <c r="CQ169" s="537">
        <f>Time!CQ$163</f>
        <v>91</v>
      </c>
      <c r="CR169" s="537">
        <f>Time!CR$163</f>
        <v>92</v>
      </c>
      <c r="CS169" s="537">
        <f>Time!CS$163</f>
        <v>92</v>
      </c>
      <c r="CT169" s="537">
        <f>Time!CT$163</f>
        <v>90</v>
      </c>
      <c r="CU169" s="537">
        <f>Time!CU$163</f>
        <v>91</v>
      </c>
      <c r="CV169" s="537">
        <f>Time!CV$163</f>
        <v>92</v>
      </c>
      <c r="CW169" s="537">
        <f>Time!CW$163</f>
        <v>92</v>
      </c>
      <c r="CX169" s="537">
        <f>Time!CX$163</f>
        <v>90</v>
      </c>
      <c r="CY169" s="537">
        <f>Time!CY$163</f>
        <v>91</v>
      </c>
      <c r="CZ169" s="537">
        <f>Time!CZ$163</f>
        <v>92</v>
      </c>
      <c r="DA169" s="537">
        <f>Time!DA$163</f>
        <v>92</v>
      </c>
      <c r="DB169" s="537">
        <f>Time!DB$163</f>
        <v>90</v>
      </c>
      <c r="DC169" s="537">
        <f>Time!DC$163</f>
        <v>91</v>
      </c>
      <c r="DD169" s="537">
        <f>Time!DD$163</f>
        <v>92</v>
      </c>
      <c r="DE169" s="537">
        <f>Time!DE$163</f>
        <v>92</v>
      </c>
      <c r="DF169" s="537">
        <f>Time!DF$163</f>
        <v>91</v>
      </c>
      <c r="DG169" s="537">
        <f>Time!DG$163</f>
        <v>91</v>
      </c>
      <c r="DH169" s="537">
        <f>Time!DH$163</f>
        <v>92</v>
      </c>
      <c r="DI169" s="537">
        <f>Time!DI$163</f>
        <v>92</v>
      </c>
      <c r="DJ169" s="537">
        <f>Time!DJ$163</f>
        <v>90</v>
      </c>
      <c r="DK169" s="537">
        <f>Time!DK$163</f>
        <v>91</v>
      </c>
      <c r="DL169" s="537">
        <f>Time!DL$163</f>
        <v>92</v>
      </c>
      <c r="DM169" s="537">
        <f>Time!DM$163</f>
        <v>92</v>
      </c>
      <c r="DN169" s="537">
        <f>Time!DN$163</f>
        <v>90</v>
      </c>
      <c r="DO169" s="537">
        <f>Time!DO$163</f>
        <v>91</v>
      </c>
      <c r="DP169" s="537">
        <f>Time!DP$163</f>
        <v>92</v>
      </c>
      <c r="DQ169" s="537">
        <f>Time!DQ$163</f>
        <v>92</v>
      </c>
      <c r="DR169" s="537">
        <f>Time!DR$163</f>
        <v>90</v>
      </c>
      <c r="DS169" s="537">
        <f>Time!DS$163</f>
        <v>91</v>
      </c>
      <c r="DT169" s="537">
        <f>Time!DT$163</f>
        <v>92</v>
      </c>
      <c r="DU169" s="537">
        <f>Time!DU$163</f>
        <v>92</v>
      </c>
      <c r="DV169" s="537">
        <f>Time!DV$163</f>
        <v>91</v>
      </c>
      <c r="DW169" s="537">
        <f>Time!DW$163</f>
        <v>91</v>
      </c>
      <c r="DX169" s="537">
        <f>Time!DX$163</f>
        <v>92</v>
      </c>
      <c r="DY169" s="537">
        <f>Time!DY$163</f>
        <v>92</v>
      </c>
      <c r="DZ169" s="537">
        <f>Time!DZ$163</f>
        <v>90</v>
      </c>
      <c r="EA169" s="537">
        <f>Time!EA$163</f>
        <v>91</v>
      </c>
      <c r="EB169" s="537">
        <f>Time!EB$163</f>
        <v>92</v>
      </c>
      <c r="EC169" s="537">
        <f>Time!EC$163</f>
        <v>92</v>
      </c>
      <c r="ED169" s="537">
        <f>Time!ED$163</f>
        <v>90</v>
      </c>
      <c r="EE169" s="537">
        <f>Time!EE$163</f>
        <v>91</v>
      </c>
      <c r="EF169" s="537">
        <f>Time!EF$163</f>
        <v>92</v>
      </c>
      <c r="EG169" s="537">
        <f>Time!EG$163</f>
        <v>92</v>
      </c>
    </row>
    <row r="170" spans="5:137" ht="12.75">
      <c r="E170" s="538" t="str">
        <f>E$142</f>
        <v>Senior cover - test period flag</v>
      </c>
      <c r="G170" s="539" t="str">
        <f>G$142</f>
        <v>flag</v>
      </c>
      <c r="H170" s="539">
        <f>H$142</f>
        <v>72</v>
      </c>
      <c r="J170" s="539">
        <f t="shared" si="63" ref="J170:EG170">J$142</f>
        <v>0</v>
      </c>
      <c r="K170" s="539">
        <f t="shared" si="63"/>
        <v>0</v>
      </c>
      <c r="L170" s="539">
        <f t="shared" si="63"/>
        <v>0</v>
      </c>
      <c r="M170" s="539">
        <f t="shared" si="63"/>
        <v>0</v>
      </c>
      <c r="N170" s="539">
        <f t="shared" si="63"/>
        <v>0</v>
      </c>
      <c r="O170" s="539">
        <f t="shared" si="63"/>
        <v>0</v>
      </c>
      <c r="P170" s="539">
        <f t="shared" si="63"/>
        <v>0</v>
      </c>
      <c r="Q170" s="539">
        <f t="shared" si="63"/>
        <v>0</v>
      </c>
      <c r="R170" s="539">
        <f t="shared" si="63"/>
        <v>0</v>
      </c>
      <c r="S170" s="539">
        <f t="shared" si="63"/>
        <v>0</v>
      </c>
      <c r="T170" s="539">
        <f t="shared" si="63"/>
        <v>0</v>
      </c>
      <c r="U170" s="539">
        <f t="shared" si="63"/>
        <v>0</v>
      </c>
      <c r="V170" s="539">
        <f t="shared" si="63"/>
        <v>0</v>
      </c>
      <c r="W170" s="539">
        <f t="shared" si="63"/>
        <v>0</v>
      </c>
      <c r="X170" s="539">
        <f t="shared" si="63"/>
        <v>0</v>
      </c>
      <c r="Y170" s="539">
        <f t="shared" si="63"/>
        <v>0</v>
      </c>
      <c r="Z170" s="539">
        <f t="shared" si="63"/>
        <v>0</v>
      </c>
      <c r="AA170" s="539">
        <f t="shared" si="63"/>
        <v>0</v>
      </c>
      <c r="AB170" s="539">
        <f t="shared" si="63"/>
        <v>0</v>
      </c>
      <c r="AC170" s="539">
        <f t="shared" si="63"/>
        <v>0</v>
      </c>
      <c r="AD170" s="539">
        <f t="shared" si="63"/>
        <v>0</v>
      </c>
      <c r="AE170" s="539">
        <f t="shared" si="63"/>
        <v>0</v>
      </c>
      <c r="AF170" s="539">
        <f t="shared" si="63"/>
        <v>0</v>
      </c>
      <c r="AG170" s="539">
        <f t="shared" si="63"/>
        <v>0</v>
      </c>
      <c r="AH170" s="539">
        <f t="shared" si="63"/>
        <v>1</v>
      </c>
      <c r="AI170" s="539">
        <f t="shared" si="63"/>
        <v>1</v>
      </c>
      <c r="AJ170" s="539">
        <f t="shared" si="63"/>
        <v>1</v>
      </c>
      <c r="AK170" s="539">
        <f t="shared" si="63"/>
        <v>1</v>
      </c>
      <c r="AL170" s="539">
        <f t="shared" si="63"/>
        <v>1</v>
      </c>
      <c r="AM170" s="539">
        <f t="shared" si="63"/>
        <v>1</v>
      </c>
      <c r="AN170" s="539">
        <f t="shared" si="63"/>
        <v>1</v>
      </c>
      <c r="AO170" s="539">
        <f t="shared" si="63"/>
        <v>1</v>
      </c>
      <c r="AP170" s="539">
        <f t="shared" si="63"/>
        <v>1</v>
      </c>
      <c r="AQ170" s="539">
        <f t="shared" si="63"/>
        <v>1</v>
      </c>
      <c r="AR170" s="539">
        <f t="shared" si="63"/>
        <v>1</v>
      </c>
      <c r="AS170" s="539">
        <f t="shared" si="63"/>
        <v>1</v>
      </c>
      <c r="AT170" s="539">
        <f t="shared" si="63"/>
        <v>1</v>
      </c>
      <c r="AU170" s="539">
        <f t="shared" si="63"/>
        <v>1</v>
      </c>
      <c r="AV170" s="539">
        <f t="shared" si="63"/>
        <v>1</v>
      </c>
      <c r="AW170" s="539">
        <f t="shared" si="63"/>
        <v>1</v>
      </c>
      <c r="AX170" s="539">
        <f t="shared" si="63"/>
        <v>1</v>
      </c>
      <c r="AY170" s="539">
        <f t="shared" si="63"/>
        <v>1</v>
      </c>
      <c r="AZ170" s="539">
        <f t="shared" si="63"/>
        <v>1</v>
      </c>
      <c r="BA170" s="539">
        <f t="shared" si="63"/>
        <v>1</v>
      </c>
      <c r="BB170" s="539">
        <f t="shared" si="63"/>
        <v>1</v>
      </c>
      <c r="BC170" s="539">
        <f t="shared" si="63"/>
        <v>1</v>
      </c>
      <c r="BD170" s="539">
        <f t="shared" si="63"/>
        <v>1</v>
      </c>
      <c r="BE170" s="539">
        <f t="shared" si="63"/>
        <v>1</v>
      </c>
      <c r="BF170" s="539">
        <f t="shared" si="63"/>
        <v>1</v>
      </c>
      <c r="BG170" s="539">
        <f t="shared" si="63"/>
        <v>1</v>
      </c>
      <c r="BH170" s="539">
        <f t="shared" si="63"/>
        <v>1</v>
      </c>
      <c r="BI170" s="539">
        <f t="shared" si="63"/>
        <v>1</v>
      </c>
      <c r="BJ170" s="539">
        <f t="shared" si="63"/>
        <v>1</v>
      </c>
      <c r="BK170" s="539">
        <f t="shared" si="63"/>
        <v>1</v>
      </c>
      <c r="BL170" s="539">
        <f t="shared" si="63"/>
        <v>1</v>
      </c>
      <c r="BM170" s="539">
        <f t="shared" si="63"/>
        <v>1</v>
      </c>
      <c r="BN170" s="539">
        <f t="shared" si="63"/>
        <v>1</v>
      </c>
      <c r="BO170" s="539">
        <f t="shared" si="63"/>
        <v>1</v>
      </c>
      <c r="BP170" s="539">
        <f t="shared" si="63"/>
        <v>1</v>
      </c>
      <c r="BQ170" s="539">
        <f t="shared" si="63"/>
        <v>1</v>
      </c>
      <c r="BR170" s="539">
        <f t="shared" si="63"/>
        <v>1</v>
      </c>
      <c r="BS170" s="539">
        <f t="shared" si="63"/>
        <v>1</v>
      </c>
      <c r="BT170" s="539">
        <f t="shared" si="63"/>
        <v>1</v>
      </c>
      <c r="BU170" s="539">
        <f t="shared" si="63"/>
        <v>1</v>
      </c>
      <c r="BV170" s="539">
        <f t="shared" si="63"/>
        <v>1</v>
      </c>
      <c r="BW170" s="539">
        <f t="shared" si="63"/>
        <v>1</v>
      </c>
      <c r="BX170" s="539">
        <f t="shared" si="63"/>
        <v>1</v>
      </c>
      <c r="BY170" s="539">
        <f t="shared" si="63"/>
        <v>1</v>
      </c>
      <c r="BZ170" s="539">
        <f t="shared" si="63"/>
        <v>1</v>
      </c>
      <c r="CA170" s="539">
        <f t="shared" si="63"/>
        <v>1</v>
      </c>
      <c r="CB170" s="539">
        <f t="shared" si="63"/>
        <v>1</v>
      </c>
      <c r="CC170" s="539">
        <f t="shared" si="63"/>
        <v>1</v>
      </c>
      <c r="CD170" s="539">
        <f t="shared" si="63"/>
        <v>1</v>
      </c>
      <c r="CE170" s="539">
        <f t="shared" si="63"/>
        <v>1</v>
      </c>
      <c r="CF170" s="539">
        <f t="shared" si="63"/>
        <v>1</v>
      </c>
      <c r="CG170" s="539">
        <f t="shared" si="63"/>
        <v>1</v>
      </c>
      <c r="CH170" s="539">
        <f t="shared" si="63"/>
        <v>1</v>
      </c>
      <c r="CI170" s="539">
        <f t="shared" si="63"/>
        <v>1</v>
      </c>
      <c r="CJ170" s="539">
        <f t="shared" si="63"/>
        <v>1</v>
      </c>
      <c r="CK170" s="539">
        <f t="shared" si="63"/>
        <v>1</v>
      </c>
      <c r="CL170" s="539">
        <f t="shared" si="63"/>
        <v>1</v>
      </c>
      <c r="CM170" s="539">
        <f t="shared" si="63"/>
        <v>1</v>
      </c>
      <c r="CN170" s="539">
        <f t="shared" si="63"/>
        <v>1</v>
      </c>
      <c r="CO170" s="539">
        <f t="shared" si="63"/>
        <v>1</v>
      </c>
      <c r="CP170" s="539">
        <f t="shared" si="63"/>
        <v>1</v>
      </c>
      <c r="CQ170" s="539">
        <f t="shared" si="63"/>
        <v>1</v>
      </c>
      <c r="CR170" s="539">
        <f t="shared" si="63"/>
        <v>1</v>
      </c>
      <c r="CS170" s="539">
        <f t="shared" si="63"/>
        <v>1</v>
      </c>
      <c r="CT170" s="539">
        <f t="shared" si="63"/>
        <v>1</v>
      </c>
      <c r="CU170" s="539">
        <f t="shared" si="63"/>
        <v>1</v>
      </c>
      <c r="CV170" s="539">
        <f t="shared" si="63"/>
        <v>1</v>
      </c>
      <c r="CW170" s="539">
        <f t="shared" si="63"/>
        <v>1</v>
      </c>
      <c r="CX170" s="539">
        <f t="shared" si="63"/>
        <v>1</v>
      </c>
      <c r="CY170" s="539">
        <f t="shared" si="63"/>
        <v>1</v>
      </c>
      <c r="CZ170" s="539">
        <f t="shared" si="63"/>
        <v>1</v>
      </c>
      <c r="DA170" s="539">
        <f t="shared" si="63"/>
        <v>1</v>
      </c>
      <c r="DB170" s="539">
        <f t="shared" si="63"/>
        <v>0</v>
      </c>
      <c r="DC170" s="539">
        <f t="shared" si="63"/>
        <v>0</v>
      </c>
      <c r="DD170" s="539">
        <f t="shared" si="63"/>
        <v>0</v>
      </c>
      <c r="DE170" s="539">
        <f t="shared" si="63"/>
        <v>0</v>
      </c>
      <c r="DF170" s="539">
        <f t="shared" si="63"/>
        <v>0</v>
      </c>
      <c r="DG170" s="539">
        <f t="shared" si="63"/>
        <v>0</v>
      </c>
      <c r="DH170" s="539">
        <f t="shared" si="63"/>
        <v>0</v>
      </c>
      <c r="DI170" s="539">
        <f t="shared" si="63"/>
        <v>0</v>
      </c>
      <c r="DJ170" s="539">
        <f t="shared" si="63"/>
        <v>0</v>
      </c>
      <c r="DK170" s="539">
        <f t="shared" si="63"/>
        <v>0</v>
      </c>
      <c r="DL170" s="539">
        <f t="shared" si="63"/>
        <v>0</v>
      </c>
      <c r="DM170" s="539">
        <f t="shared" si="63"/>
        <v>0</v>
      </c>
      <c r="DN170" s="539">
        <f t="shared" si="63"/>
        <v>0</v>
      </c>
      <c r="DO170" s="539">
        <f t="shared" si="63"/>
        <v>0</v>
      </c>
      <c r="DP170" s="539">
        <f t="shared" si="63"/>
        <v>0</v>
      </c>
      <c r="DQ170" s="539">
        <f t="shared" si="63"/>
        <v>0</v>
      </c>
      <c r="DR170" s="539">
        <f t="shared" si="63"/>
        <v>0</v>
      </c>
      <c r="DS170" s="539">
        <f t="shared" si="63"/>
        <v>0</v>
      </c>
      <c r="DT170" s="539">
        <f t="shared" si="63"/>
        <v>0</v>
      </c>
      <c r="DU170" s="539">
        <f t="shared" si="63"/>
        <v>0</v>
      </c>
      <c r="DV170" s="539">
        <f t="shared" si="63"/>
        <v>0</v>
      </c>
      <c r="DW170" s="539">
        <f t="shared" si="63"/>
        <v>0</v>
      </c>
      <c r="DX170" s="539">
        <f t="shared" si="63"/>
        <v>0</v>
      </c>
      <c r="DY170" s="539">
        <f t="shared" si="63"/>
        <v>0</v>
      </c>
      <c r="DZ170" s="539">
        <f t="shared" si="63"/>
        <v>0</v>
      </c>
      <c r="EA170" s="539">
        <f t="shared" si="63"/>
        <v>0</v>
      </c>
      <c r="EB170" s="539">
        <f t="shared" si="63"/>
        <v>0</v>
      </c>
      <c r="EC170" s="539">
        <f t="shared" si="63"/>
        <v>0</v>
      </c>
      <c r="ED170" s="539">
        <f t="shared" si="63"/>
        <v>0</v>
      </c>
      <c r="EE170" s="539">
        <f t="shared" si="63"/>
        <v>0</v>
      </c>
      <c r="EF170" s="539">
        <f t="shared" si="63"/>
        <v>0</v>
      </c>
      <c r="EG170" s="539">
        <f t="shared" si="63"/>
        <v>0</v>
      </c>
    </row>
    <row r="171" spans="5:137" ht="12.75">
      <c r="E171" s="538" t="str">
        <f>E$157</f>
        <v>Senior cover - discount factor at period end</v>
      </c>
      <c r="G171" s="548" t="str">
        <f>G$157</f>
        <v>factor</v>
      </c>
      <c r="H171" s="548">
        <f>H$157</f>
        <v>72.081713318971808</v>
      </c>
      <c r="J171" s="548">
        <f t="shared" si="64" ref="J171:EG171">J$157</f>
        <v>0.99535048608554566</v>
      </c>
      <c r="K171" s="548">
        <f t="shared" si="64"/>
        <v>0.99116856938185227</v>
      </c>
      <c r="L171" s="548">
        <f t="shared" si="64"/>
        <v>0.9865601173269416</v>
      </c>
      <c r="M171" s="548">
        <f t="shared" si="64"/>
        <v>0.98212039499340975</v>
      </c>
      <c r="N171" s="548">
        <f t="shared" si="64"/>
        <v>0.97755401255121854</v>
      </c>
      <c r="O171" s="548">
        <f t="shared" si="64"/>
        <v>0.97315481953141891</v>
      </c>
      <c r="P171" s="548">
        <f t="shared" si="64"/>
        <v>0.96863012265708937</v>
      </c>
      <c r="Q171" s="548">
        <f t="shared" si="64"/>
        <v>0.96412646342383568</v>
      </c>
      <c r="R171" s="548">
        <f t="shared" si="64"/>
        <v>0.95978769712177825</v>
      </c>
      <c r="S171" s="548">
        <f t="shared" si="64"/>
        <v>0.95532515086908854</v>
      </c>
      <c r="T171" s="548">
        <f t="shared" si="64"/>
        <v>0.95102599227387785</v>
      </c>
      <c r="U171" s="548">
        <f t="shared" si="64"/>
        <v>0.94660418368979271</v>
      </c>
      <c r="V171" s="548">
        <f t="shared" si="64"/>
        <v>0.94220293436624636</v>
      </c>
      <c r="W171" s="548">
        <f t="shared" si="64"/>
        <v>0.93810355035851534</v>
      </c>
      <c r="X171" s="548">
        <f t="shared" si="64"/>
        <v>0.93374182484792445</v>
      </c>
      <c r="Y171" s="548">
        <f t="shared" si="64"/>
        <v>0.92953979563478084</v>
      </c>
      <c r="Z171" s="548">
        <f t="shared" si="64"/>
        <v>0.92521788742093791</v>
      </c>
      <c r="AA171" s="548">
        <f t="shared" si="64"/>
        <v>0.92105421766982776</v>
      </c>
      <c r="AB171" s="548">
        <f t="shared" si="64"/>
        <v>0.91677176326880505</v>
      </c>
      <c r="AC171" s="548">
        <f t="shared" si="64"/>
        <v>0.91250922019910796</v>
      </c>
      <c r="AD171" s="548">
        <f t="shared" si="64"/>
        <v>0.90840274205011429</v>
      </c>
      <c r="AE171" s="548">
        <f t="shared" si="64"/>
        <v>0.90417911086102387</v>
      </c>
      <c r="AF171" s="548">
        <f t="shared" si="64"/>
        <v>0.90011011990801504</v>
      </c>
      <c r="AG171" s="548">
        <f t="shared" si="64"/>
        <v>0.89592504538096163</v>
      </c>
      <c r="AH171" s="548">
        <f t="shared" si="64"/>
        <v>0.88393740117326924</v>
      </c>
      <c r="AI171" s="548">
        <f t="shared" si="64"/>
        <v>0.87198051763690565</v>
      </c>
      <c r="AJ171" s="548">
        <f t="shared" si="64"/>
        <v>0.86005752833991933</v>
      </c>
      <c r="AK171" s="548">
        <f t="shared" si="64"/>
        <v>0.84829756754058949</v>
      </c>
      <c r="AL171" s="548">
        <f t="shared" si="64"/>
        <v>0.83694718786948274</v>
      </c>
      <c r="AM171" s="548">
        <f t="shared" si="64"/>
        <v>0.82562593362890013</v>
      </c>
      <c r="AN171" s="548">
        <f t="shared" si="64"/>
        <v>0.81433677180605446</v>
      </c>
      <c r="AO171" s="548">
        <f t="shared" si="64"/>
        <v>0.80320197186729136</v>
      </c>
      <c r="AP171" s="548">
        <f t="shared" si="64"/>
        <v>0.79245497967714917</v>
      </c>
      <c r="AQ171" s="548">
        <f t="shared" si="64"/>
        <v>0.78173556460631466</v>
      </c>
      <c r="AR171" s="548">
        <f t="shared" si="64"/>
        <v>0.7710465359166212</v>
      </c>
      <c r="AS171" s="548">
        <f t="shared" si="64"/>
        <v>0.76050366321560481</v>
      </c>
      <c r="AT171" s="548">
        <f t="shared" si="64"/>
        <v>0.7502164486255477</v>
      </c>
      <c r="AU171" s="548">
        <f t="shared" si="64"/>
        <v>0.74006838758482973</v>
      </c>
      <c r="AV171" s="548">
        <f t="shared" si="64"/>
        <v>0.72994909330503932</v>
      </c>
      <c r="AW171" s="548">
        <f t="shared" si="64"/>
        <v>0.71996816477419701</v>
      </c>
      <c r="AX171" s="548">
        <f t="shared" si="64"/>
        <v>0.71033485644703842</v>
      </c>
      <c r="AY171" s="548">
        <f t="shared" si="64"/>
        <v>0.70072626749143674</v>
      </c>
      <c r="AZ171" s="548">
        <f t="shared" si="64"/>
        <v>0.69114491605246287</v>
      </c>
      <c r="BA171" s="548">
        <f t="shared" si="64"/>
        <v>0.68169457482340412</v>
      </c>
      <c r="BB171" s="548">
        <f t="shared" si="64"/>
        <v>0.67257337426825914</v>
      </c>
      <c r="BC171" s="548">
        <f t="shared" si="64"/>
        <v>0.66347557900005294</v>
      </c>
      <c r="BD171" s="548">
        <f t="shared" si="64"/>
        <v>0.65440357329897669</v>
      </c>
      <c r="BE171" s="548">
        <f t="shared" si="64"/>
        <v>0.64545561329007861</v>
      </c>
      <c r="BF171" s="548">
        <f t="shared" si="64"/>
        <v>0.63681929679923954</v>
      </c>
      <c r="BG171" s="548">
        <f t="shared" si="64"/>
        <v>0.62820514136760974</v>
      </c>
      <c r="BH171" s="548">
        <f t="shared" si="64"/>
        <v>0.61961540452677277</v>
      </c>
      <c r="BI171" s="548">
        <f t="shared" si="64"/>
        <v>0.61114311909493613</v>
      </c>
      <c r="BJ171" s="548">
        <f t="shared" si="64"/>
        <v>0.60287628131958138</v>
      </c>
      <c r="BK171" s="548">
        <f t="shared" si="64"/>
        <v>0.59472126777110368</v>
      </c>
      <c r="BL171" s="548">
        <f t="shared" si="64"/>
        <v>0.58658937128155664</v>
      </c>
      <c r="BM171" s="548">
        <f t="shared" si="64"/>
        <v>0.57856866594003176</v>
      </c>
      <c r="BN171" s="548">
        <f t="shared" si="64"/>
        <v>0.57082730927993397</v>
      </c>
      <c r="BO171" s="548">
        <f t="shared" si="64"/>
        <v>0.56310581718402697</v>
      </c>
      <c r="BP171" s="548">
        <f t="shared" si="64"/>
        <v>0.55540621324155492</v>
      </c>
      <c r="BQ171" s="548">
        <f t="shared" si="64"/>
        <v>0.54781188951296422</v>
      </c>
      <c r="BR171" s="548">
        <f t="shared" si="64"/>
        <v>0.54048206425795897</v>
      </c>
      <c r="BS171" s="548">
        <f t="shared" si="64"/>
        <v>0.53317104756464107</v>
      </c>
      <c r="BT171" s="548">
        <f t="shared" si="64"/>
        <v>0.52588075544801915</v>
      </c>
      <c r="BU171" s="548">
        <f t="shared" si="64"/>
        <v>0.51869014683707226</v>
      </c>
      <c r="BV171" s="548">
        <f t="shared" si="64"/>
        <v>0.51174997593061589</v>
      </c>
      <c r="BW171" s="548">
        <f t="shared" si="64"/>
        <v>0.50482761372055729</v>
      </c>
      <c r="BX171" s="548">
        <f t="shared" si="64"/>
        <v>0.49792487436632815</v>
      </c>
      <c r="BY171" s="548">
        <f t="shared" si="64"/>
        <v>0.49111651933121592</v>
      </c>
      <c r="BZ171" s="548">
        <f t="shared" si="64"/>
        <v>0.48447326267454172</v>
      </c>
      <c r="CA171" s="548">
        <f t="shared" si="64"/>
        <v>0.47791986831585448</v>
      </c>
      <c r="CB171" s="548">
        <f t="shared" si="64"/>
        <v>0.47138505089792704</v>
      </c>
      <c r="CC171" s="548">
        <f t="shared" si="64"/>
        <v>0.46493958703384142</v>
      </c>
      <c r="CD171" s="548">
        <f t="shared" si="64"/>
        <v>0.45871860864266012</v>
      </c>
      <c r="CE171" s="548">
        <f t="shared" si="64"/>
        <v>0.45251359347730691</v>
      </c>
      <c r="CF171" s="548">
        <f t="shared" si="64"/>
        <v>0.44632616770041889</v>
      </c>
      <c r="CG171" s="548">
        <f t="shared" si="64"/>
        <v>0.44022334543223501</v>
      </c>
      <c r="CH171" s="548">
        <f t="shared" si="64"/>
        <v>0.43433307496355117</v>
      </c>
      <c r="CI171" s="548">
        <f t="shared" si="64"/>
        <v>0.42845791911378545</v>
      </c>
      <c r="CJ171" s="548">
        <f t="shared" si="64"/>
        <v>0.42259941759858316</v>
      </c>
      <c r="CK171" s="548">
        <f t="shared" si="64"/>
        <v>0.41682102205988986</v>
      </c>
      <c r="CL171" s="548">
        <f t="shared" si="64"/>
        <v>0.41124387904273491</v>
      </c>
      <c r="CM171" s="548">
        <f t="shared" si="64"/>
        <v>0.40568104714962838</v>
      </c>
      <c r="CN171" s="548">
        <f t="shared" si="64"/>
        <v>0.40013398424475588</v>
      </c>
      <c r="CO171" s="548">
        <f t="shared" si="64"/>
        <v>0.39466276887352292</v>
      </c>
      <c r="CP171" s="548">
        <f t="shared" si="64"/>
        <v>0.38932422707486619</v>
      </c>
      <c r="CQ171" s="548">
        <f t="shared" si="64"/>
        <v>0.38405789889954506</v>
      </c>
      <c r="CR171" s="548">
        <f t="shared" si="64"/>
        <v>0.37880649921184117</v>
      </c>
      <c r="CS171" s="548">
        <f t="shared" si="64"/>
        <v>0.37362690431908885</v>
      </c>
      <c r="CT171" s="548">
        <f t="shared" si="64"/>
        <v>0.36862770665351374</v>
      </c>
      <c r="CU171" s="548">
        <f t="shared" si="64"/>
        <v>0.36364133708607321</v>
      </c>
      <c r="CV171" s="548">
        <f t="shared" si="64"/>
        <v>0.35866910240614147</v>
      </c>
      <c r="CW171" s="548">
        <f t="shared" si="64"/>
        <v>0.35376485537005253</v>
      </c>
      <c r="CX171" s="548">
        <f t="shared" si="64"/>
        <v>0.34903141562391987</v>
      </c>
      <c r="CY171" s="548">
        <f t="shared" si="64"/>
        <v>0.34431012203275835</v>
      </c>
      <c r="CZ171" s="548">
        <f t="shared" si="64"/>
        <v>0.33960221191686968</v>
      </c>
      <c r="DA171" s="548">
        <f t="shared" si="64"/>
        <v>0.33495867521390432</v>
      </c>
      <c r="DB171" s="548">
        <f t="shared" si="64"/>
        <v>0.3304768656658334</v>
      </c>
      <c r="DC171" s="548">
        <f t="shared" si="64"/>
        <v>0.32600655658174671</v>
      </c>
      <c r="DD171" s="548">
        <f t="shared" si="64"/>
        <v>0.32154891950585729</v>
      </c>
      <c r="DE171" s="548">
        <f t="shared" si="64"/>
        <v>0.31715223374490059</v>
      </c>
      <c r="DF171" s="548">
        <f t="shared" si="64"/>
        <v>0.3128621648812549</v>
      </c>
      <c r="DG171" s="548">
        <f t="shared" si="64"/>
        <v>0.30863012711087157</v>
      </c>
      <c r="DH171" s="548">
        <f t="shared" si="64"/>
        <v>0.30441008591976465</v>
      </c>
      <c r="DI171" s="548">
        <f t="shared" si="64"/>
        <v>0.30024774728615383</v>
      </c>
      <c r="DJ171" s="548">
        <f t="shared" si="64"/>
        <v>0.29623037642775008</v>
      </c>
      <c r="DK171" s="548">
        <f t="shared" si="64"/>
        <v>0.29222331426907416</v>
      </c>
      <c r="DL171" s="548">
        <f t="shared" si="64"/>
        <v>0.28822761095014882</v>
      </c>
      <c r="DM171" s="548">
        <f t="shared" si="64"/>
        <v>0.28428654271416609</v>
      </c>
      <c r="DN171" s="548">
        <f t="shared" si="64"/>
        <v>0.2804827357498868</v>
      </c>
      <c r="DO171" s="548">
        <f t="shared" si="64"/>
        <v>0.27668868947367925</v>
      </c>
      <c r="DP171" s="548">
        <f t="shared" si="64"/>
        <v>0.27290539820000248</v>
      </c>
      <c r="DQ171" s="548">
        <f t="shared" si="64"/>
        <v>0.26917383760201291</v>
      </c>
      <c r="DR171" s="548">
        <f t="shared" si="64"/>
        <v>0.26557224145083042</v>
      </c>
      <c r="DS171" s="548">
        <f t="shared" si="64"/>
        <v>0.26197988710842585</v>
      </c>
      <c r="DT171" s="548">
        <f t="shared" si="64"/>
        <v>0.25839771603138795</v>
      </c>
      <c r="DU171" s="548">
        <f t="shared" si="64"/>
        <v>0.25486452562140355</v>
      </c>
      <c r="DV171" s="548">
        <f t="shared" si="64"/>
        <v>0.25141701288310236</v>
      </c>
      <c r="DW171" s="548">
        <f t="shared" si="64"/>
        <v>0.24801613411259946</v>
      </c>
      <c r="DX171" s="548">
        <f t="shared" si="64"/>
        <v>0.24462489583067284</v>
      </c>
      <c r="DY171" s="548">
        <f t="shared" si="64"/>
        <v>0.24128002750417657</v>
      </c>
      <c r="DZ171" s="548">
        <f t="shared" si="64"/>
        <v>0.23805165573462478</v>
      </c>
      <c r="EA171" s="548">
        <f t="shared" si="64"/>
        <v>0.23483156806837219</v>
      </c>
      <c r="EB171" s="548">
        <f t="shared" si="64"/>
        <v>0.23162060840122101</v>
      </c>
      <c r="EC171" s="548">
        <f t="shared" si="64"/>
        <v>0.22845355365736816</v>
      </c>
      <c r="ED171" s="548">
        <f t="shared" si="64"/>
        <v>0.22539680250017399</v>
      </c>
      <c r="EE171" s="548">
        <f t="shared" si="64"/>
        <v>0.22234789506240055</v>
      </c>
      <c r="EF171" s="548">
        <f t="shared" si="64"/>
        <v>0.21930763037825271</v>
      </c>
      <c r="EG171" s="548">
        <f t="shared" si="64"/>
        <v>0.21630893662666117</v>
      </c>
    </row>
    <row r="172" spans="5:137" ht="12.75">
      <c r="E172" s="538" t="str">
        <f>E$162</f>
        <v>Senior cover - CFADS discounted to the first period</v>
      </c>
      <c r="G172" s="539" t="str">
        <f>G$162</f>
        <v>EUR 000s</v>
      </c>
      <c r="H172" s="539">
        <f>H$162</f>
        <v>384040.38653546933</v>
      </c>
      <c r="J172" s="539">
        <f t="shared" si="65" ref="J172:EG172">J$162</f>
        <v>0</v>
      </c>
      <c r="K172" s="539">
        <f t="shared" si="65"/>
        <v>0</v>
      </c>
      <c r="L172" s="539">
        <f t="shared" si="65"/>
        <v>0</v>
      </c>
      <c r="M172" s="539">
        <f t="shared" si="65"/>
        <v>0</v>
      </c>
      <c r="N172" s="539">
        <f t="shared" si="65"/>
        <v>0</v>
      </c>
      <c r="O172" s="539">
        <f t="shared" si="65"/>
        <v>0</v>
      </c>
      <c r="P172" s="539">
        <f t="shared" si="65"/>
        <v>0</v>
      </c>
      <c r="Q172" s="539">
        <f t="shared" si="65"/>
        <v>0</v>
      </c>
      <c r="R172" s="539">
        <f t="shared" si="65"/>
        <v>0</v>
      </c>
      <c r="S172" s="539">
        <f t="shared" si="65"/>
        <v>0</v>
      </c>
      <c r="T172" s="539">
        <f t="shared" si="65"/>
        <v>0</v>
      </c>
      <c r="U172" s="539">
        <f t="shared" si="65"/>
        <v>0</v>
      </c>
      <c r="V172" s="539">
        <f t="shared" si="65"/>
        <v>0</v>
      </c>
      <c r="W172" s="539">
        <f t="shared" si="65"/>
        <v>0</v>
      </c>
      <c r="X172" s="539">
        <f t="shared" si="65"/>
        <v>0</v>
      </c>
      <c r="Y172" s="539">
        <f t="shared" si="65"/>
        <v>0</v>
      </c>
      <c r="Z172" s="539">
        <f t="shared" si="65"/>
        <v>0</v>
      </c>
      <c r="AA172" s="539">
        <f t="shared" si="65"/>
        <v>0</v>
      </c>
      <c r="AB172" s="539">
        <f t="shared" si="65"/>
        <v>0</v>
      </c>
      <c r="AC172" s="539">
        <f t="shared" si="65"/>
        <v>0</v>
      </c>
      <c r="AD172" s="539">
        <f t="shared" si="65"/>
        <v>0</v>
      </c>
      <c r="AE172" s="539">
        <f t="shared" si="65"/>
        <v>0</v>
      </c>
      <c r="AF172" s="539">
        <f t="shared" si="65"/>
        <v>0</v>
      </c>
      <c r="AG172" s="539">
        <f t="shared" si="65"/>
        <v>0</v>
      </c>
      <c r="AH172" s="539">
        <f t="shared" si="65"/>
        <v>6299.1480211272265</v>
      </c>
      <c r="AI172" s="539">
        <f t="shared" si="65"/>
        <v>7861.8400936212074</v>
      </c>
      <c r="AJ172" s="539">
        <f t="shared" si="65"/>
        <v>7753.9643934180904</v>
      </c>
      <c r="AK172" s="539">
        <f t="shared" si="65"/>
        <v>7631.2008831173571</v>
      </c>
      <c r="AL172" s="539">
        <f t="shared" si="65"/>
        <v>7609.4418332889036</v>
      </c>
      <c r="AM172" s="539">
        <f t="shared" si="65"/>
        <v>7574.573735253929</v>
      </c>
      <c r="AN172" s="539">
        <f t="shared" si="65"/>
        <v>7470.6417065962278</v>
      </c>
      <c r="AO172" s="539">
        <f t="shared" si="65"/>
        <v>7352.4511211115487</v>
      </c>
      <c r="AP172" s="539">
        <f t="shared" si="65"/>
        <v>7331.7745808358504</v>
      </c>
      <c r="AQ172" s="539">
        <f t="shared" si="65"/>
        <v>7297.662685116934</v>
      </c>
      <c r="AR172" s="539">
        <f t="shared" si="65"/>
        <v>7197.5321144869349</v>
      </c>
      <c r="AS172" s="539">
        <f t="shared" si="65"/>
        <v>7083.7472584944699</v>
      </c>
      <c r="AT172" s="539">
        <f t="shared" si="65"/>
        <v>7078.7380965661996</v>
      </c>
      <c r="AU172" s="539">
        <f t="shared" si="65"/>
        <v>7014.2212398151596</v>
      </c>
      <c r="AV172" s="539">
        <f t="shared" si="65"/>
        <v>6933.239304178328</v>
      </c>
      <c r="AW172" s="539">
        <f t="shared" si="65"/>
        <v>6820.5733240833888</v>
      </c>
      <c r="AX172" s="539">
        <f t="shared" si="65"/>
        <v>6805.0670241962171</v>
      </c>
      <c r="AY172" s="539">
        <f t="shared" si="65"/>
        <v>6772.4303091576994</v>
      </c>
      <c r="AZ172" s="539">
        <f t="shared" si="65"/>
        <v>6679.5100136931005</v>
      </c>
      <c r="BA172" s="539">
        <f t="shared" si="65"/>
        <v>6570.8611952279116</v>
      </c>
      <c r="BB172" s="539">
        <f t="shared" si="65"/>
        <v>6473.4081959857995</v>
      </c>
      <c r="BC172" s="539">
        <f t="shared" si="65"/>
        <v>6430.9104976346571</v>
      </c>
      <c r="BD172" s="539">
        <f t="shared" si="65"/>
        <v>6331.6549354146364</v>
      </c>
      <c r="BE172" s="539">
        <f t="shared" si="65"/>
        <v>6221.1921103339619</v>
      </c>
      <c r="BF172" s="539">
        <f t="shared" si="65"/>
        <v>6190.3889388709504</v>
      </c>
      <c r="BG172" s="539">
        <f t="shared" si="65"/>
        <v>6151.6624064882053</v>
      </c>
      <c r="BH172" s="539">
        <f t="shared" si="65"/>
        <v>6058.5786289165935</v>
      </c>
      <c r="BI172" s="539">
        <f t="shared" si="65"/>
        <v>5954.6256999060415</v>
      </c>
      <c r="BJ172" s="539">
        <f t="shared" si="65"/>
        <v>5939.757769568695</v>
      </c>
      <c r="BK172" s="539">
        <f t="shared" si="65"/>
        <v>5877.902202186905</v>
      </c>
      <c r="BL172" s="539">
        <f t="shared" si="65"/>
        <v>5803.2560691663612</v>
      </c>
      <c r="BM172" s="539">
        <f t="shared" si="65"/>
        <v>5705.0820790768976</v>
      </c>
      <c r="BN172" s="539">
        <f t="shared" si="65"/>
        <v>5680.9126246664473</v>
      </c>
      <c r="BO172" s="539">
        <f t="shared" si="65"/>
        <v>5647.7917200611346</v>
      </c>
      <c r="BP172" s="539">
        <f t="shared" si="65"/>
        <v>5564.9178964291177</v>
      </c>
      <c r="BQ172" s="539">
        <f t="shared" si="65"/>
        <v>5471.8968897390359</v>
      </c>
      <c r="BR172" s="539">
        <f t="shared" si="65"/>
        <v>5506.0902705535209</v>
      </c>
      <c r="BS172" s="539">
        <f t="shared" si="65"/>
        <v>5474.3045957327804</v>
      </c>
      <c r="BT172" s="539">
        <f t="shared" si="65"/>
        <v>5394.957577839752</v>
      </c>
      <c r="BU172" s="539">
        <f t="shared" si="65"/>
        <v>5305.8431916913732</v>
      </c>
      <c r="BV172" s="539">
        <f t="shared" si="65"/>
        <v>5147.5556748900617</v>
      </c>
      <c r="BW172" s="539">
        <f t="shared" si="65"/>
        <v>4717.384622279882</v>
      </c>
      <c r="BX172" s="539">
        <f t="shared" si="65"/>
        <v>4641.5096407771662</v>
      </c>
      <c r="BY172" s="539">
        <f t="shared" si="65"/>
        <v>4556.6944860376616</v>
      </c>
      <c r="BZ172" s="539">
        <f t="shared" si="65"/>
        <v>4537.9740219833275</v>
      </c>
      <c r="CA172" s="539">
        <f t="shared" si="65"/>
        <v>4488.4032753061401</v>
      </c>
      <c r="CB172" s="539">
        <f t="shared" si="65"/>
        <v>4395.9761058925051</v>
      </c>
      <c r="CC172" s="539">
        <f t="shared" si="65"/>
        <v>4158.9050335514912</v>
      </c>
      <c r="CD172" s="539">
        <f t="shared" si="65"/>
        <v>4118.9943172344674</v>
      </c>
      <c r="CE172" s="539">
        <f t="shared" si="65"/>
        <v>4093.7169298024264</v>
      </c>
      <c r="CF172" s="539">
        <f t="shared" si="65"/>
        <v>4027.2178747764192</v>
      </c>
      <c r="CG172" s="539">
        <f t="shared" si="65"/>
        <v>3950.4947113990497</v>
      </c>
      <c r="CH172" s="539">
        <f t="shared" si="65"/>
        <v>3916.0125613609252</v>
      </c>
      <c r="CI172" s="539">
        <f t="shared" si="65"/>
        <v>3892.7955348316759</v>
      </c>
      <c r="CJ172" s="539">
        <f t="shared" si="65"/>
        <v>3830.1751456047255</v>
      </c>
      <c r="CK172" s="539">
        <f t="shared" si="65"/>
        <v>3757.9235812567149</v>
      </c>
      <c r="CL172" s="539">
        <f t="shared" si="65"/>
        <v>3955.8612137740897</v>
      </c>
      <c r="CM172" s="539">
        <f t="shared" si="65"/>
        <v>3930.7779744028303</v>
      </c>
      <c r="CN172" s="539">
        <f t="shared" si="65"/>
        <v>3868.0605703581227</v>
      </c>
      <c r="CO172" s="539">
        <f t="shared" si="65"/>
        <v>3796.3507395811275</v>
      </c>
      <c r="CP172" s="539">
        <f t="shared" si="65"/>
        <v>3558.0936958668758</v>
      </c>
      <c r="CQ172" s="539">
        <f t="shared" si="65"/>
        <v>3518.3376426536611</v>
      </c>
      <c r="CR172" s="539">
        <f t="shared" si="65"/>
        <v>3471.275314744958</v>
      </c>
      <c r="CS172" s="539">
        <f t="shared" si="65"/>
        <v>3406.5896449490751</v>
      </c>
      <c r="CT172" s="539">
        <f t="shared" si="65"/>
        <v>3381.3393415544106</v>
      </c>
      <c r="CU172" s="539">
        <f t="shared" si="65"/>
        <v>3362.0644252159564</v>
      </c>
      <c r="CV172" s="539">
        <f t="shared" si="65"/>
        <v>3308.506563390305</v>
      </c>
      <c r="CW172" s="539">
        <f t="shared" si="65"/>
        <v>3247.0595171626605</v>
      </c>
      <c r="CX172" s="539">
        <f t="shared" si="65"/>
        <v>3224.1793530329774</v>
      </c>
      <c r="CY172" s="539">
        <f t="shared" si="65"/>
        <v>3205.7282165499723</v>
      </c>
      <c r="CZ172" s="539">
        <f t="shared" si="65"/>
        <v>3154.5818740756185</v>
      </c>
      <c r="DA172" s="539">
        <f t="shared" si="65"/>
        <v>3096.093697522504</v>
      </c>
      <c r="DB172" s="539">
        <f t="shared" si="65"/>
        <v>0</v>
      </c>
      <c r="DC172" s="539">
        <f t="shared" si="65"/>
        <v>0</v>
      </c>
      <c r="DD172" s="539">
        <f t="shared" si="65"/>
        <v>0</v>
      </c>
      <c r="DE172" s="539">
        <f t="shared" si="65"/>
        <v>0</v>
      </c>
      <c r="DF172" s="539">
        <f t="shared" si="65"/>
        <v>0</v>
      </c>
      <c r="DG172" s="539">
        <f t="shared" si="65"/>
        <v>0</v>
      </c>
      <c r="DH172" s="539">
        <f t="shared" si="65"/>
        <v>0</v>
      </c>
      <c r="DI172" s="539">
        <f t="shared" si="65"/>
        <v>0</v>
      </c>
      <c r="DJ172" s="539">
        <f t="shared" si="65"/>
        <v>0</v>
      </c>
      <c r="DK172" s="539">
        <f t="shared" si="65"/>
        <v>0</v>
      </c>
      <c r="DL172" s="539">
        <f t="shared" si="65"/>
        <v>0</v>
      </c>
      <c r="DM172" s="539">
        <f t="shared" si="65"/>
        <v>0</v>
      </c>
      <c r="DN172" s="539">
        <f t="shared" si="65"/>
        <v>0</v>
      </c>
      <c r="DO172" s="539">
        <f t="shared" si="65"/>
        <v>0</v>
      </c>
      <c r="DP172" s="539">
        <f t="shared" si="65"/>
        <v>0</v>
      </c>
      <c r="DQ172" s="539">
        <f t="shared" si="65"/>
        <v>0</v>
      </c>
      <c r="DR172" s="539">
        <f t="shared" si="65"/>
        <v>0</v>
      </c>
      <c r="DS172" s="539">
        <f t="shared" si="65"/>
        <v>0</v>
      </c>
      <c r="DT172" s="539">
        <f t="shared" si="65"/>
        <v>0</v>
      </c>
      <c r="DU172" s="539">
        <f t="shared" si="65"/>
        <v>0</v>
      </c>
      <c r="DV172" s="539">
        <f t="shared" si="65"/>
        <v>0</v>
      </c>
      <c r="DW172" s="539">
        <f t="shared" si="65"/>
        <v>0</v>
      </c>
      <c r="DX172" s="539">
        <f t="shared" si="65"/>
        <v>0</v>
      </c>
      <c r="DY172" s="539">
        <f t="shared" si="65"/>
        <v>0</v>
      </c>
      <c r="DZ172" s="539">
        <f t="shared" si="65"/>
        <v>0</v>
      </c>
      <c r="EA172" s="539">
        <f t="shared" si="65"/>
        <v>0</v>
      </c>
      <c r="EB172" s="539">
        <f t="shared" si="65"/>
        <v>0</v>
      </c>
      <c r="EC172" s="539">
        <f t="shared" si="65"/>
        <v>0</v>
      </c>
      <c r="ED172" s="539">
        <f t="shared" si="65"/>
        <v>0</v>
      </c>
      <c r="EE172" s="539">
        <f t="shared" si="65"/>
        <v>0</v>
      </c>
      <c r="EF172" s="539">
        <f t="shared" si="65"/>
        <v>0</v>
      </c>
      <c r="EG172" s="539">
        <f t="shared" si="65"/>
        <v>0</v>
      </c>
    </row>
    <row r="173" spans="5:137" ht="12.75">
      <c r="E173" s="538" t="s">
        <v>502</v>
      </c>
      <c r="G173" s="548" t="s">
        <v>68</v>
      </c>
      <c r="H173" s="548">
        <f>SUM(J173:EG173)</f>
        <v>139.47054794249661</v>
      </c>
      <c r="J173" s="548">
        <f t="shared" si="66" ref="J173:EG173">IF(AND(J170=1,J167&gt;$F166),SUMIFS($J172:$EG172,$J168:$EG168,"&gt;="&amp;J168)/(J171*(1+$F164*J169/$F165))/J167,0)</f>
        <v>0</v>
      </c>
      <c r="K173" s="548">
        <f t="shared" si="66"/>
        <v>0</v>
      </c>
      <c r="L173" s="548">
        <f t="shared" si="66"/>
        <v>0</v>
      </c>
      <c r="M173" s="548">
        <f t="shared" si="66"/>
        <v>0</v>
      </c>
      <c r="N173" s="548">
        <f t="shared" si="66"/>
        <v>0</v>
      </c>
      <c r="O173" s="548">
        <f t="shared" si="66"/>
        <v>0</v>
      </c>
      <c r="P173" s="548">
        <f t="shared" si="66"/>
        <v>0</v>
      </c>
      <c r="Q173" s="548">
        <f t="shared" si="66"/>
        <v>0</v>
      </c>
      <c r="R173" s="548">
        <f t="shared" si="66"/>
        <v>0</v>
      </c>
      <c r="S173" s="548">
        <f t="shared" si="66"/>
        <v>0</v>
      </c>
      <c r="T173" s="548">
        <f t="shared" si="66"/>
        <v>0</v>
      </c>
      <c r="U173" s="548">
        <f t="shared" si="66"/>
        <v>0</v>
      </c>
      <c r="V173" s="548">
        <f t="shared" si="66"/>
        <v>0</v>
      </c>
      <c r="W173" s="548">
        <f t="shared" si="66"/>
        <v>0</v>
      </c>
      <c r="X173" s="548">
        <f t="shared" si="66"/>
        <v>0</v>
      </c>
      <c r="Y173" s="548">
        <f t="shared" si="66"/>
        <v>0</v>
      </c>
      <c r="Z173" s="548">
        <f t="shared" si="66"/>
        <v>0</v>
      </c>
      <c r="AA173" s="548">
        <f t="shared" si="66"/>
        <v>0</v>
      </c>
      <c r="AB173" s="548">
        <f t="shared" si="66"/>
        <v>0</v>
      </c>
      <c r="AC173" s="548">
        <f t="shared" si="66"/>
        <v>0</v>
      </c>
      <c r="AD173" s="548">
        <f t="shared" si="66"/>
        <v>0</v>
      </c>
      <c r="AE173" s="548">
        <f t="shared" si="66"/>
        <v>0</v>
      </c>
      <c r="AF173" s="548">
        <f t="shared" si="66"/>
        <v>0</v>
      </c>
      <c r="AG173" s="548">
        <f t="shared" si="66"/>
        <v>0</v>
      </c>
      <c r="AH173" s="548">
        <f t="shared" si="66"/>
        <v>1.9370909436457786</v>
      </c>
      <c r="AI173" s="548">
        <f t="shared" si="66"/>
        <v>1.9370909436457784</v>
      </c>
      <c r="AJ173" s="548">
        <f t="shared" si="66"/>
        <v>1.9370909436457782</v>
      </c>
      <c r="AK173" s="548">
        <f t="shared" si="66"/>
        <v>1.9370909436457782</v>
      </c>
      <c r="AL173" s="548">
        <f t="shared" si="66"/>
        <v>1.9370909436457779</v>
      </c>
      <c r="AM173" s="548">
        <f t="shared" si="66"/>
        <v>1.9370909436457784</v>
      </c>
      <c r="AN173" s="548">
        <f t="shared" si="66"/>
        <v>1.9370909436457782</v>
      </c>
      <c r="AO173" s="548">
        <f t="shared" si="66"/>
        <v>1.9370909436457786</v>
      </c>
      <c r="AP173" s="548">
        <f t="shared" si="66"/>
        <v>1.9370909436457784</v>
      </c>
      <c r="AQ173" s="548">
        <f t="shared" si="66"/>
        <v>1.9370909436457786</v>
      </c>
      <c r="AR173" s="548">
        <f t="shared" si="66"/>
        <v>1.9370909436457791</v>
      </c>
      <c r="AS173" s="548">
        <f t="shared" si="66"/>
        <v>1.9370909436457791</v>
      </c>
      <c r="AT173" s="548">
        <f t="shared" si="66"/>
        <v>1.9370909436457795</v>
      </c>
      <c r="AU173" s="548">
        <f t="shared" si="66"/>
        <v>1.9370909436457795</v>
      </c>
      <c r="AV173" s="548">
        <f t="shared" si="66"/>
        <v>1.9370909436457797</v>
      </c>
      <c r="AW173" s="548">
        <f t="shared" si="66"/>
        <v>1.9370909436457795</v>
      </c>
      <c r="AX173" s="548">
        <f t="shared" si="66"/>
        <v>1.9370909436457799</v>
      </c>
      <c r="AY173" s="548">
        <f t="shared" si="66"/>
        <v>1.9370909436457804</v>
      </c>
      <c r="AZ173" s="548">
        <f t="shared" si="66"/>
        <v>1.9370909436457799</v>
      </c>
      <c r="BA173" s="548">
        <f t="shared" si="66"/>
        <v>1.9370909436457802</v>
      </c>
      <c r="BB173" s="548">
        <f t="shared" si="66"/>
        <v>1.9370909436457802</v>
      </c>
      <c r="BC173" s="548">
        <f t="shared" si="66"/>
        <v>1.9370909436457802</v>
      </c>
      <c r="BD173" s="548">
        <f t="shared" si="66"/>
        <v>1.9370909436457804</v>
      </c>
      <c r="BE173" s="548">
        <f t="shared" si="66"/>
        <v>1.9370909436457804</v>
      </c>
      <c r="BF173" s="548">
        <f t="shared" si="66"/>
        <v>1.9370909436457806</v>
      </c>
      <c r="BG173" s="548">
        <f t="shared" si="66"/>
        <v>1.9370909436457808</v>
      </c>
      <c r="BH173" s="548">
        <f t="shared" si="66"/>
        <v>1.9370909436457806</v>
      </c>
      <c r="BI173" s="548">
        <f t="shared" si="66"/>
        <v>1.9370909436457804</v>
      </c>
      <c r="BJ173" s="548">
        <f t="shared" si="66"/>
        <v>1.9370909436457806</v>
      </c>
      <c r="BK173" s="548">
        <f t="shared" si="66"/>
        <v>1.937090943645781</v>
      </c>
      <c r="BL173" s="548">
        <f t="shared" si="66"/>
        <v>1.937090943645781</v>
      </c>
      <c r="BM173" s="548">
        <f t="shared" si="66"/>
        <v>1.9370909436457806</v>
      </c>
      <c r="BN173" s="548">
        <f t="shared" si="66"/>
        <v>1.9370909436457808</v>
      </c>
      <c r="BO173" s="548">
        <f t="shared" si="66"/>
        <v>1.9370909436457804</v>
      </c>
      <c r="BP173" s="548">
        <f t="shared" si="66"/>
        <v>1.9370909436457804</v>
      </c>
      <c r="BQ173" s="548">
        <f t="shared" si="66"/>
        <v>1.9370909436457806</v>
      </c>
      <c r="BR173" s="548">
        <f t="shared" si="66"/>
        <v>1.9370909436457806</v>
      </c>
      <c r="BS173" s="548">
        <f t="shared" si="66"/>
        <v>1.9370909436457804</v>
      </c>
      <c r="BT173" s="548">
        <f t="shared" si="66"/>
        <v>1.937090943645781</v>
      </c>
      <c r="BU173" s="548">
        <f t="shared" si="66"/>
        <v>1.937090943645781</v>
      </c>
      <c r="BV173" s="548">
        <f t="shared" si="66"/>
        <v>1.9370909436457813</v>
      </c>
      <c r="BW173" s="548">
        <f t="shared" si="66"/>
        <v>1.9370909436457819</v>
      </c>
      <c r="BX173" s="548">
        <f t="shared" si="66"/>
        <v>1.9370909436457824</v>
      </c>
      <c r="BY173" s="548">
        <f t="shared" si="66"/>
        <v>1.9370909436457824</v>
      </c>
      <c r="BZ173" s="548">
        <f t="shared" si="66"/>
        <v>1.9370909436457826</v>
      </c>
      <c r="CA173" s="548">
        <f t="shared" si="66"/>
        <v>1.9370909436457828</v>
      </c>
      <c r="CB173" s="548">
        <f t="shared" si="66"/>
        <v>1.9370909436457826</v>
      </c>
      <c r="CC173" s="548">
        <f t="shared" si="66"/>
        <v>1.9370909436457828</v>
      </c>
      <c r="CD173" s="548">
        <f t="shared" si="66"/>
        <v>1.937090943645783</v>
      </c>
      <c r="CE173" s="548">
        <f t="shared" si="66"/>
        <v>1.9370909436457837</v>
      </c>
      <c r="CF173" s="548">
        <f t="shared" si="66"/>
        <v>1.9370909436457837</v>
      </c>
      <c r="CG173" s="548">
        <f t="shared" si="66"/>
        <v>1.9370909436457844</v>
      </c>
      <c r="CH173" s="548">
        <f t="shared" si="66"/>
        <v>1.9370909436457844</v>
      </c>
      <c r="CI173" s="548">
        <f t="shared" si="66"/>
        <v>1.9370909436457848</v>
      </c>
      <c r="CJ173" s="548">
        <f t="shared" si="66"/>
        <v>1.937090943645785</v>
      </c>
      <c r="CK173" s="548">
        <f t="shared" si="66"/>
        <v>1.9370909436457862</v>
      </c>
      <c r="CL173" s="548">
        <f t="shared" si="66"/>
        <v>1.9370909436457866</v>
      </c>
      <c r="CM173" s="548">
        <f t="shared" si="66"/>
        <v>1.9370909436457873</v>
      </c>
      <c r="CN173" s="548">
        <f t="shared" si="66"/>
        <v>1.9370909436457875</v>
      </c>
      <c r="CO173" s="548">
        <f t="shared" si="66"/>
        <v>1.9370909436457882</v>
      </c>
      <c r="CP173" s="548">
        <f t="shared" si="66"/>
        <v>1.9370909436457895</v>
      </c>
      <c r="CQ173" s="548">
        <f t="shared" si="66"/>
        <v>1.9370909436457902</v>
      </c>
      <c r="CR173" s="548">
        <f t="shared" si="66"/>
        <v>1.9370909436457906</v>
      </c>
      <c r="CS173" s="548">
        <f t="shared" si="66"/>
        <v>1.9370909436457924</v>
      </c>
      <c r="CT173" s="548">
        <f t="shared" si="66"/>
        <v>1.9370909436457941</v>
      </c>
      <c r="CU173" s="548">
        <f t="shared" si="66"/>
        <v>1.9370909436457973</v>
      </c>
      <c r="CV173" s="548">
        <f t="shared" si="66"/>
        <v>1.9370909436458001</v>
      </c>
      <c r="CW173" s="548">
        <f t="shared" si="66"/>
        <v>1.9370909436458039</v>
      </c>
      <c r="CX173" s="548">
        <f t="shared" si="66"/>
        <v>1.9370909436458106</v>
      </c>
      <c r="CY173" s="548">
        <f t="shared" si="66"/>
        <v>1.9370909436458215</v>
      </c>
      <c r="CZ173" s="548">
        <f t="shared" si="66"/>
        <v>1.9370909436458434</v>
      </c>
      <c r="DA173" s="548">
        <f t="shared" si="66"/>
        <v>1.9370909436459083</v>
      </c>
      <c r="DB173" s="548">
        <f t="shared" si="66"/>
        <v>0</v>
      </c>
      <c r="DC173" s="548">
        <f t="shared" si="66"/>
        <v>0</v>
      </c>
      <c r="DD173" s="548">
        <f t="shared" si="66"/>
        <v>0</v>
      </c>
      <c r="DE173" s="548">
        <f t="shared" si="66"/>
        <v>0</v>
      </c>
      <c r="DF173" s="548">
        <f t="shared" si="66"/>
        <v>0</v>
      </c>
      <c r="DG173" s="548">
        <f t="shared" si="66"/>
        <v>0</v>
      </c>
      <c r="DH173" s="548">
        <f t="shared" si="66"/>
        <v>0</v>
      </c>
      <c r="DI173" s="548">
        <f t="shared" si="66"/>
        <v>0</v>
      </c>
      <c r="DJ173" s="548">
        <f t="shared" si="66"/>
        <v>0</v>
      </c>
      <c r="DK173" s="548">
        <f t="shared" si="66"/>
        <v>0</v>
      </c>
      <c r="DL173" s="548">
        <f t="shared" si="66"/>
        <v>0</v>
      </c>
      <c r="DM173" s="548">
        <f t="shared" si="66"/>
        <v>0</v>
      </c>
      <c r="DN173" s="548">
        <f t="shared" si="66"/>
        <v>0</v>
      </c>
      <c r="DO173" s="548">
        <f t="shared" si="66"/>
        <v>0</v>
      </c>
      <c r="DP173" s="548">
        <f t="shared" si="66"/>
        <v>0</v>
      </c>
      <c r="DQ173" s="548">
        <f t="shared" si="66"/>
        <v>0</v>
      </c>
      <c r="DR173" s="548">
        <f t="shared" si="66"/>
        <v>0</v>
      </c>
      <c r="DS173" s="548">
        <f t="shared" si="66"/>
        <v>0</v>
      </c>
      <c r="DT173" s="548">
        <f t="shared" si="66"/>
        <v>0</v>
      </c>
      <c r="DU173" s="548">
        <f t="shared" si="66"/>
        <v>0</v>
      </c>
      <c r="DV173" s="548">
        <f t="shared" si="66"/>
        <v>0</v>
      </c>
      <c r="DW173" s="548">
        <f t="shared" si="66"/>
        <v>0</v>
      </c>
      <c r="DX173" s="548">
        <f t="shared" si="66"/>
        <v>0</v>
      </c>
      <c r="DY173" s="548">
        <f t="shared" si="66"/>
        <v>0</v>
      </c>
      <c r="DZ173" s="548">
        <f t="shared" si="66"/>
        <v>0</v>
      </c>
      <c r="EA173" s="548">
        <f t="shared" si="66"/>
        <v>0</v>
      </c>
      <c r="EB173" s="548">
        <f t="shared" si="66"/>
        <v>0</v>
      </c>
      <c r="EC173" s="548">
        <f t="shared" si="66"/>
        <v>0</v>
      </c>
      <c r="ED173" s="548">
        <f t="shared" si="66"/>
        <v>0</v>
      </c>
      <c r="EE173" s="548">
        <f t="shared" si="66"/>
        <v>0</v>
      </c>
      <c r="EF173" s="548">
        <f t="shared" si="66"/>
        <v>0</v>
      </c>
      <c r="EG173" s="548">
        <f t="shared" si="66"/>
        <v>0</v>
      </c>
    </row>
    <row r="175" spans="5:137" ht="12.75">
      <c r="E175" s="538" t="str">
        <f>E$142</f>
        <v>Senior cover - test period flag</v>
      </c>
      <c r="G175" s="539" t="str">
        <f>G$142</f>
        <v>flag</v>
      </c>
      <c r="H175" s="539">
        <f>H$142</f>
        <v>72</v>
      </c>
      <c r="J175" s="539">
        <f t="shared" si="67" ref="J175:EG175">J$142</f>
        <v>0</v>
      </c>
      <c r="K175" s="539">
        <f t="shared" si="67"/>
        <v>0</v>
      </c>
      <c r="L175" s="539">
        <f t="shared" si="67"/>
        <v>0</v>
      </c>
      <c r="M175" s="539">
        <f t="shared" si="67"/>
        <v>0</v>
      </c>
      <c r="N175" s="539">
        <f t="shared" si="67"/>
        <v>0</v>
      </c>
      <c r="O175" s="539">
        <f t="shared" si="67"/>
        <v>0</v>
      </c>
      <c r="P175" s="539">
        <f t="shared" si="67"/>
        <v>0</v>
      </c>
      <c r="Q175" s="539">
        <f t="shared" si="67"/>
        <v>0</v>
      </c>
      <c r="R175" s="539">
        <f t="shared" si="67"/>
        <v>0</v>
      </c>
      <c r="S175" s="539">
        <f t="shared" si="67"/>
        <v>0</v>
      </c>
      <c r="T175" s="539">
        <f t="shared" si="67"/>
        <v>0</v>
      </c>
      <c r="U175" s="539">
        <f t="shared" si="67"/>
        <v>0</v>
      </c>
      <c r="V175" s="539">
        <f t="shared" si="67"/>
        <v>0</v>
      </c>
      <c r="W175" s="539">
        <f t="shared" si="67"/>
        <v>0</v>
      </c>
      <c r="X175" s="539">
        <f t="shared" si="67"/>
        <v>0</v>
      </c>
      <c r="Y175" s="539">
        <f t="shared" si="67"/>
        <v>0</v>
      </c>
      <c r="Z175" s="539">
        <f t="shared" si="67"/>
        <v>0</v>
      </c>
      <c r="AA175" s="539">
        <f t="shared" si="67"/>
        <v>0</v>
      </c>
      <c r="AB175" s="539">
        <f t="shared" si="67"/>
        <v>0</v>
      </c>
      <c r="AC175" s="539">
        <f t="shared" si="67"/>
        <v>0</v>
      </c>
      <c r="AD175" s="539">
        <f t="shared" si="67"/>
        <v>0</v>
      </c>
      <c r="AE175" s="539">
        <f t="shared" si="67"/>
        <v>0</v>
      </c>
      <c r="AF175" s="539">
        <f t="shared" si="67"/>
        <v>0</v>
      </c>
      <c r="AG175" s="539">
        <f t="shared" si="67"/>
        <v>0</v>
      </c>
      <c r="AH175" s="539">
        <f t="shared" si="67"/>
        <v>1</v>
      </c>
      <c r="AI175" s="539">
        <f t="shared" si="67"/>
        <v>1</v>
      </c>
      <c r="AJ175" s="539">
        <f t="shared" si="67"/>
        <v>1</v>
      </c>
      <c r="AK175" s="539">
        <f t="shared" si="67"/>
        <v>1</v>
      </c>
      <c r="AL175" s="539">
        <f t="shared" si="67"/>
        <v>1</v>
      </c>
      <c r="AM175" s="539">
        <f t="shared" si="67"/>
        <v>1</v>
      </c>
      <c r="AN175" s="539">
        <f t="shared" si="67"/>
        <v>1</v>
      </c>
      <c r="AO175" s="539">
        <f t="shared" si="67"/>
        <v>1</v>
      </c>
      <c r="AP175" s="539">
        <f t="shared" si="67"/>
        <v>1</v>
      </c>
      <c r="AQ175" s="539">
        <f t="shared" si="67"/>
        <v>1</v>
      </c>
      <c r="AR175" s="539">
        <f t="shared" si="67"/>
        <v>1</v>
      </c>
      <c r="AS175" s="539">
        <f t="shared" si="67"/>
        <v>1</v>
      </c>
      <c r="AT175" s="539">
        <f t="shared" si="67"/>
        <v>1</v>
      </c>
      <c r="AU175" s="539">
        <f t="shared" si="67"/>
        <v>1</v>
      </c>
      <c r="AV175" s="539">
        <f t="shared" si="67"/>
        <v>1</v>
      </c>
      <c r="AW175" s="539">
        <f t="shared" si="67"/>
        <v>1</v>
      </c>
      <c r="AX175" s="539">
        <f t="shared" si="67"/>
        <v>1</v>
      </c>
      <c r="AY175" s="539">
        <f t="shared" si="67"/>
        <v>1</v>
      </c>
      <c r="AZ175" s="539">
        <f t="shared" si="67"/>
        <v>1</v>
      </c>
      <c r="BA175" s="539">
        <f t="shared" si="67"/>
        <v>1</v>
      </c>
      <c r="BB175" s="539">
        <f t="shared" si="67"/>
        <v>1</v>
      </c>
      <c r="BC175" s="539">
        <f t="shared" si="67"/>
        <v>1</v>
      </c>
      <c r="BD175" s="539">
        <f t="shared" si="67"/>
        <v>1</v>
      </c>
      <c r="BE175" s="539">
        <f t="shared" si="67"/>
        <v>1</v>
      </c>
      <c r="BF175" s="539">
        <f t="shared" si="67"/>
        <v>1</v>
      </c>
      <c r="BG175" s="539">
        <f t="shared" si="67"/>
        <v>1</v>
      </c>
      <c r="BH175" s="539">
        <f t="shared" si="67"/>
        <v>1</v>
      </c>
      <c r="BI175" s="539">
        <f t="shared" si="67"/>
        <v>1</v>
      </c>
      <c r="BJ175" s="539">
        <f t="shared" si="67"/>
        <v>1</v>
      </c>
      <c r="BK175" s="539">
        <f t="shared" si="67"/>
        <v>1</v>
      </c>
      <c r="BL175" s="539">
        <f t="shared" si="67"/>
        <v>1</v>
      </c>
      <c r="BM175" s="539">
        <f t="shared" si="67"/>
        <v>1</v>
      </c>
      <c r="BN175" s="539">
        <f t="shared" si="67"/>
        <v>1</v>
      </c>
      <c r="BO175" s="539">
        <f t="shared" si="67"/>
        <v>1</v>
      </c>
      <c r="BP175" s="539">
        <f t="shared" si="67"/>
        <v>1</v>
      </c>
      <c r="BQ175" s="539">
        <f t="shared" si="67"/>
        <v>1</v>
      </c>
      <c r="BR175" s="539">
        <f t="shared" si="67"/>
        <v>1</v>
      </c>
      <c r="BS175" s="539">
        <f t="shared" si="67"/>
        <v>1</v>
      </c>
      <c r="BT175" s="539">
        <f t="shared" si="67"/>
        <v>1</v>
      </c>
      <c r="BU175" s="539">
        <f t="shared" si="67"/>
        <v>1</v>
      </c>
      <c r="BV175" s="539">
        <f t="shared" si="67"/>
        <v>1</v>
      </c>
      <c r="BW175" s="539">
        <f t="shared" si="67"/>
        <v>1</v>
      </c>
      <c r="BX175" s="539">
        <f t="shared" si="67"/>
        <v>1</v>
      </c>
      <c r="BY175" s="539">
        <f t="shared" si="67"/>
        <v>1</v>
      </c>
      <c r="BZ175" s="539">
        <f t="shared" si="67"/>
        <v>1</v>
      </c>
      <c r="CA175" s="539">
        <f t="shared" si="67"/>
        <v>1</v>
      </c>
      <c r="CB175" s="539">
        <f t="shared" si="67"/>
        <v>1</v>
      </c>
      <c r="CC175" s="539">
        <f t="shared" si="67"/>
        <v>1</v>
      </c>
      <c r="CD175" s="539">
        <f t="shared" si="67"/>
        <v>1</v>
      </c>
      <c r="CE175" s="539">
        <f t="shared" si="67"/>
        <v>1</v>
      </c>
      <c r="CF175" s="539">
        <f t="shared" si="67"/>
        <v>1</v>
      </c>
      <c r="CG175" s="539">
        <f t="shared" si="67"/>
        <v>1</v>
      </c>
      <c r="CH175" s="539">
        <f t="shared" si="67"/>
        <v>1</v>
      </c>
      <c r="CI175" s="539">
        <f t="shared" si="67"/>
        <v>1</v>
      </c>
      <c r="CJ175" s="539">
        <f t="shared" si="67"/>
        <v>1</v>
      </c>
      <c r="CK175" s="539">
        <f t="shared" si="67"/>
        <v>1</v>
      </c>
      <c r="CL175" s="539">
        <f t="shared" si="67"/>
        <v>1</v>
      </c>
      <c r="CM175" s="539">
        <f t="shared" si="67"/>
        <v>1</v>
      </c>
      <c r="CN175" s="539">
        <f t="shared" si="67"/>
        <v>1</v>
      </c>
      <c r="CO175" s="539">
        <f t="shared" si="67"/>
        <v>1</v>
      </c>
      <c r="CP175" s="539">
        <f t="shared" si="67"/>
        <v>1</v>
      </c>
      <c r="CQ175" s="539">
        <f t="shared" si="67"/>
        <v>1</v>
      </c>
      <c r="CR175" s="539">
        <f t="shared" si="67"/>
        <v>1</v>
      </c>
      <c r="CS175" s="539">
        <f t="shared" si="67"/>
        <v>1</v>
      </c>
      <c r="CT175" s="539">
        <f t="shared" si="67"/>
        <v>1</v>
      </c>
      <c r="CU175" s="539">
        <f t="shared" si="67"/>
        <v>1</v>
      </c>
      <c r="CV175" s="539">
        <f t="shared" si="67"/>
        <v>1</v>
      </c>
      <c r="CW175" s="539">
        <f t="shared" si="67"/>
        <v>1</v>
      </c>
      <c r="CX175" s="539">
        <f t="shared" si="67"/>
        <v>1</v>
      </c>
      <c r="CY175" s="539">
        <f t="shared" si="67"/>
        <v>1</v>
      </c>
      <c r="CZ175" s="539">
        <f t="shared" si="67"/>
        <v>1</v>
      </c>
      <c r="DA175" s="539">
        <f t="shared" si="67"/>
        <v>1</v>
      </c>
      <c r="DB175" s="539">
        <f t="shared" si="67"/>
        <v>0</v>
      </c>
      <c r="DC175" s="539">
        <f t="shared" si="67"/>
        <v>0</v>
      </c>
      <c r="DD175" s="539">
        <f t="shared" si="67"/>
        <v>0</v>
      </c>
      <c r="DE175" s="539">
        <f t="shared" si="67"/>
        <v>0</v>
      </c>
      <c r="DF175" s="539">
        <f t="shared" si="67"/>
        <v>0</v>
      </c>
      <c r="DG175" s="539">
        <f t="shared" si="67"/>
        <v>0</v>
      </c>
      <c r="DH175" s="539">
        <f t="shared" si="67"/>
        <v>0</v>
      </c>
      <c r="DI175" s="539">
        <f t="shared" si="67"/>
        <v>0</v>
      </c>
      <c r="DJ175" s="539">
        <f t="shared" si="67"/>
        <v>0</v>
      </c>
      <c r="DK175" s="539">
        <f t="shared" si="67"/>
        <v>0</v>
      </c>
      <c r="DL175" s="539">
        <f t="shared" si="67"/>
        <v>0</v>
      </c>
      <c r="DM175" s="539">
        <f t="shared" si="67"/>
        <v>0</v>
      </c>
      <c r="DN175" s="539">
        <f t="shared" si="67"/>
        <v>0</v>
      </c>
      <c r="DO175" s="539">
        <f t="shared" si="67"/>
        <v>0</v>
      </c>
      <c r="DP175" s="539">
        <f t="shared" si="67"/>
        <v>0</v>
      </c>
      <c r="DQ175" s="539">
        <f t="shared" si="67"/>
        <v>0</v>
      </c>
      <c r="DR175" s="539">
        <f t="shared" si="67"/>
        <v>0</v>
      </c>
      <c r="DS175" s="539">
        <f t="shared" si="67"/>
        <v>0</v>
      </c>
      <c r="DT175" s="539">
        <f t="shared" si="67"/>
        <v>0</v>
      </c>
      <c r="DU175" s="539">
        <f t="shared" si="67"/>
        <v>0</v>
      </c>
      <c r="DV175" s="539">
        <f t="shared" si="67"/>
        <v>0</v>
      </c>
      <c r="DW175" s="539">
        <f t="shared" si="67"/>
        <v>0</v>
      </c>
      <c r="DX175" s="539">
        <f t="shared" si="67"/>
        <v>0</v>
      </c>
      <c r="DY175" s="539">
        <f t="shared" si="67"/>
        <v>0</v>
      </c>
      <c r="DZ175" s="539">
        <f t="shared" si="67"/>
        <v>0</v>
      </c>
      <c r="EA175" s="539">
        <f t="shared" si="67"/>
        <v>0</v>
      </c>
      <c r="EB175" s="539">
        <f t="shared" si="67"/>
        <v>0</v>
      </c>
      <c r="EC175" s="539">
        <f t="shared" si="67"/>
        <v>0</v>
      </c>
      <c r="ED175" s="539">
        <f t="shared" si="67"/>
        <v>0</v>
      </c>
      <c r="EE175" s="539">
        <f t="shared" si="67"/>
        <v>0</v>
      </c>
      <c r="EF175" s="539">
        <f t="shared" si="67"/>
        <v>0</v>
      </c>
      <c r="EG175" s="539">
        <f t="shared" si="67"/>
        <v>0</v>
      </c>
    </row>
    <row r="176" spans="5:137" ht="12.75">
      <c r="E176" s="538" t="str">
        <f>E$173</f>
        <v>Senior cover - LLCR</v>
      </c>
      <c r="G176" s="548" t="str">
        <f>G$173</f>
        <v>ratio</v>
      </c>
      <c r="H176" s="548">
        <f>H$173</f>
        <v>139.47054794249661</v>
      </c>
      <c r="J176" s="548">
        <f t="shared" si="68" ref="J176:EG176">J$173</f>
        <v>0</v>
      </c>
      <c r="K176" s="548">
        <f t="shared" si="68"/>
        <v>0</v>
      </c>
      <c r="L176" s="548">
        <f t="shared" si="68"/>
        <v>0</v>
      </c>
      <c r="M176" s="548">
        <f t="shared" si="68"/>
        <v>0</v>
      </c>
      <c r="N176" s="548">
        <f t="shared" si="68"/>
        <v>0</v>
      </c>
      <c r="O176" s="548">
        <f t="shared" si="68"/>
        <v>0</v>
      </c>
      <c r="P176" s="548">
        <f t="shared" si="68"/>
        <v>0</v>
      </c>
      <c r="Q176" s="548">
        <f t="shared" si="68"/>
        <v>0</v>
      </c>
      <c r="R176" s="548">
        <f t="shared" si="68"/>
        <v>0</v>
      </c>
      <c r="S176" s="548">
        <f t="shared" si="68"/>
        <v>0</v>
      </c>
      <c r="T176" s="548">
        <f t="shared" si="68"/>
        <v>0</v>
      </c>
      <c r="U176" s="548">
        <f t="shared" si="68"/>
        <v>0</v>
      </c>
      <c r="V176" s="548">
        <f t="shared" si="68"/>
        <v>0</v>
      </c>
      <c r="W176" s="548">
        <f t="shared" si="68"/>
        <v>0</v>
      </c>
      <c r="X176" s="548">
        <f t="shared" si="68"/>
        <v>0</v>
      </c>
      <c r="Y176" s="548">
        <f t="shared" si="68"/>
        <v>0</v>
      </c>
      <c r="Z176" s="548">
        <f t="shared" si="68"/>
        <v>0</v>
      </c>
      <c r="AA176" s="548">
        <f t="shared" si="68"/>
        <v>0</v>
      </c>
      <c r="AB176" s="548">
        <f t="shared" si="68"/>
        <v>0</v>
      </c>
      <c r="AC176" s="548">
        <f t="shared" si="68"/>
        <v>0</v>
      </c>
      <c r="AD176" s="548">
        <f t="shared" si="68"/>
        <v>0</v>
      </c>
      <c r="AE176" s="548">
        <f t="shared" si="68"/>
        <v>0</v>
      </c>
      <c r="AF176" s="548">
        <f t="shared" si="68"/>
        <v>0</v>
      </c>
      <c r="AG176" s="548">
        <f t="shared" si="68"/>
        <v>0</v>
      </c>
      <c r="AH176" s="548">
        <f t="shared" si="68"/>
        <v>1.9370909436457786</v>
      </c>
      <c r="AI176" s="548">
        <f t="shared" si="68"/>
        <v>1.9370909436457784</v>
      </c>
      <c r="AJ176" s="548">
        <f t="shared" si="68"/>
        <v>1.9370909436457782</v>
      </c>
      <c r="AK176" s="548">
        <f t="shared" si="68"/>
        <v>1.9370909436457782</v>
      </c>
      <c r="AL176" s="548">
        <f t="shared" si="68"/>
        <v>1.9370909436457779</v>
      </c>
      <c r="AM176" s="548">
        <f t="shared" si="68"/>
        <v>1.9370909436457784</v>
      </c>
      <c r="AN176" s="548">
        <f t="shared" si="68"/>
        <v>1.9370909436457782</v>
      </c>
      <c r="AO176" s="548">
        <f t="shared" si="68"/>
        <v>1.9370909436457786</v>
      </c>
      <c r="AP176" s="548">
        <f t="shared" si="68"/>
        <v>1.9370909436457784</v>
      </c>
      <c r="AQ176" s="548">
        <f t="shared" si="68"/>
        <v>1.9370909436457786</v>
      </c>
      <c r="AR176" s="548">
        <f t="shared" si="68"/>
        <v>1.9370909436457791</v>
      </c>
      <c r="AS176" s="548">
        <f t="shared" si="68"/>
        <v>1.9370909436457791</v>
      </c>
      <c r="AT176" s="548">
        <f t="shared" si="68"/>
        <v>1.9370909436457795</v>
      </c>
      <c r="AU176" s="548">
        <f t="shared" si="68"/>
        <v>1.9370909436457795</v>
      </c>
      <c r="AV176" s="548">
        <f t="shared" si="68"/>
        <v>1.9370909436457797</v>
      </c>
      <c r="AW176" s="548">
        <f t="shared" si="68"/>
        <v>1.9370909436457795</v>
      </c>
      <c r="AX176" s="548">
        <f t="shared" si="68"/>
        <v>1.9370909436457799</v>
      </c>
      <c r="AY176" s="548">
        <f t="shared" si="68"/>
        <v>1.9370909436457804</v>
      </c>
      <c r="AZ176" s="548">
        <f t="shared" si="68"/>
        <v>1.9370909436457799</v>
      </c>
      <c r="BA176" s="548">
        <f t="shared" si="68"/>
        <v>1.9370909436457802</v>
      </c>
      <c r="BB176" s="548">
        <f t="shared" si="68"/>
        <v>1.9370909436457802</v>
      </c>
      <c r="BC176" s="548">
        <f t="shared" si="68"/>
        <v>1.9370909436457802</v>
      </c>
      <c r="BD176" s="548">
        <f t="shared" si="68"/>
        <v>1.9370909436457804</v>
      </c>
      <c r="BE176" s="548">
        <f t="shared" si="68"/>
        <v>1.9370909436457804</v>
      </c>
      <c r="BF176" s="548">
        <f t="shared" si="68"/>
        <v>1.9370909436457806</v>
      </c>
      <c r="BG176" s="548">
        <f t="shared" si="68"/>
        <v>1.9370909436457808</v>
      </c>
      <c r="BH176" s="548">
        <f t="shared" si="68"/>
        <v>1.9370909436457806</v>
      </c>
      <c r="BI176" s="548">
        <f t="shared" si="68"/>
        <v>1.9370909436457804</v>
      </c>
      <c r="BJ176" s="548">
        <f t="shared" si="68"/>
        <v>1.9370909436457806</v>
      </c>
      <c r="BK176" s="548">
        <f t="shared" si="68"/>
        <v>1.937090943645781</v>
      </c>
      <c r="BL176" s="548">
        <f t="shared" si="68"/>
        <v>1.937090943645781</v>
      </c>
      <c r="BM176" s="548">
        <f t="shared" si="68"/>
        <v>1.9370909436457806</v>
      </c>
      <c r="BN176" s="548">
        <f t="shared" si="68"/>
        <v>1.9370909436457808</v>
      </c>
      <c r="BO176" s="548">
        <f t="shared" si="68"/>
        <v>1.9370909436457804</v>
      </c>
      <c r="BP176" s="548">
        <f t="shared" si="68"/>
        <v>1.9370909436457804</v>
      </c>
      <c r="BQ176" s="548">
        <f t="shared" si="68"/>
        <v>1.9370909436457806</v>
      </c>
      <c r="BR176" s="548">
        <f t="shared" si="68"/>
        <v>1.9370909436457806</v>
      </c>
      <c r="BS176" s="548">
        <f t="shared" si="68"/>
        <v>1.9370909436457804</v>
      </c>
      <c r="BT176" s="548">
        <f t="shared" si="68"/>
        <v>1.937090943645781</v>
      </c>
      <c r="BU176" s="548">
        <f t="shared" si="68"/>
        <v>1.937090943645781</v>
      </c>
      <c r="BV176" s="548">
        <f t="shared" si="68"/>
        <v>1.9370909436457813</v>
      </c>
      <c r="BW176" s="548">
        <f t="shared" si="68"/>
        <v>1.9370909436457819</v>
      </c>
      <c r="BX176" s="548">
        <f t="shared" si="68"/>
        <v>1.9370909436457824</v>
      </c>
      <c r="BY176" s="548">
        <f t="shared" si="68"/>
        <v>1.9370909436457824</v>
      </c>
      <c r="BZ176" s="548">
        <f t="shared" si="68"/>
        <v>1.9370909436457826</v>
      </c>
      <c r="CA176" s="548">
        <f t="shared" si="68"/>
        <v>1.9370909436457828</v>
      </c>
      <c r="CB176" s="548">
        <f t="shared" si="68"/>
        <v>1.9370909436457826</v>
      </c>
      <c r="CC176" s="548">
        <f t="shared" si="68"/>
        <v>1.9370909436457828</v>
      </c>
      <c r="CD176" s="548">
        <f t="shared" si="68"/>
        <v>1.937090943645783</v>
      </c>
      <c r="CE176" s="548">
        <f t="shared" si="68"/>
        <v>1.9370909436457837</v>
      </c>
      <c r="CF176" s="548">
        <f t="shared" si="68"/>
        <v>1.9370909436457837</v>
      </c>
      <c r="CG176" s="548">
        <f t="shared" si="68"/>
        <v>1.9370909436457844</v>
      </c>
      <c r="CH176" s="548">
        <f t="shared" si="68"/>
        <v>1.9370909436457844</v>
      </c>
      <c r="CI176" s="548">
        <f t="shared" si="68"/>
        <v>1.9370909436457848</v>
      </c>
      <c r="CJ176" s="548">
        <f t="shared" si="68"/>
        <v>1.937090943645785</v>
      </c>
      <c r="CK176" s="548">
        <f t="shared" si="68"/>
        <v>1.9370909436457862</v>
      </c>
      <c r="CL176" s="548">
        <f t="shared" si="68"/>
        <v>1.9370909436457866</v>
      </c>
      <c r="CM176" s="548">
        <f t="shared" si="68"/>
        <v>1.9370909436457873</v>
      </c>
      <c r="CN176" s="548">
        <f t="shared" si="68"/>
        <v>1.9370909436457875</v>
      </c>
      <c r="CO176" s="548">
        <f t="shared" si="68"/>
        <v>1.9370909436457882</v>
      </c>
      <c r="CP176" s="548">
        <f t="shared" si="68"/>
        <v>1.9370909436457895</v>
      </c>
      <c r="CQ176" s="548">
        <f t="shared" si="68"/>
        <v>1.9370909436457902</v>
      </c>
      <c r="CR176" s="548">
        <f t="shared" si="68"/>
        <v>1.9370909436457906</v>
      </c>
      <c r="CS176" s="548">
        <f t="shared" si="68"/>
        <v>1.9370909436457924</v>
      </c>
      <c r="CT176" s="548">
        <f t="shared" si="68"/>
        <v>1.9370909436457941</v>
      </c>
      <c r="CU176" s="548">
        <f t="shared" si="68"/>
        <v>1.9370909436457973</v>
      </c>
      <c r="CV176" s="548">
        <f t="shared" si="68"/>
        <v>1.9370909436458001</v>
      </c>
      <c r="CW176" s="548">
        <f t="shared" si="68"/>
        <v>1.9370909436458039</v>
      </c>
      <c r="CX176" s="548">
        <f t="shared" si="68"/>
        <v>1.9370909436458106</v>
      </c>
      <c r="CY176" s="548">
        <f t="shared" si="68"/>
        <v>1.9370909436458215</v>
      </c>
      <c r="CZ176" s="548">
        <f t="shared" si="68"/>
        <v>1.9370909436458434</v>
      </c>
      <c r="DA176" s="548">
        <f t="shared" si="68"/>
        <v>1.9370909436459083</v>
      </c>
      <c r="DB176" s="548">
        <f t="shared" si="68"/>
        <v>0</v>
      </c>
      <c r="DC176" s="548">
        <f t="shared" si="68"/>
        <v>0</v>
      </c>
      <c r="DD176" s="548">
        <f t="shared" si="68"/>
        <v>0</v>
      </c>
      <c r="DE176" s="548">
        <f t="shared" si="68"/>
        <v>0</v>
      </c>
      <c r="DF176" s="548">
        <f t="shared" si="68"/>
        <v>0</v>
      </c>
      <c r="DG176" s="548">
        <f t="shared" si="68"/>
        <v>0</v>
      </c>
      <c r="DH176" s="548">
        <f t="shared" si="68"/>
        <v>0</v>
      </c>
      <c r="DI176" s="548">
        <f t="shared" si="68"/>
        <v>0</v>
      </c>
      <c r="DJ176" s="548">
        <f t="shared" si="68"/>
        <v>0</v>
      </c>
      <c r="DK176" s="548">
        <f t="shared" si="68"/>
        <v>0</v>
      </c>
      <c r="DL176" s="548">
        <f t="shared" si="68"/>
        <v>0</v>
      </c>
      <c r="DM176" s="548">
        <f t="shared" si="68"/>
        <v>0</v>
      </c>
      <c r="DN176" s="548">
        <f t="shared" si="68"/>
        <v>0</v>
      </c>
      <c r="DO176" s="548">
        <f t="shared" si="68"/>
        <v>0</v>
      </c>
      <c r="DP176" s="548">
        <f t="shared" si="68"/>
        <v>0</v>
      </c>
      <c r="DQ176" s="548">
        <f t="shared" si="68"/>
        <v>0</v>
      </c>
      <c r="DR176" s="548">
        <f t="shared" si="68"/>
        <v>0</v>
      </c>
      <c r="DS176" s="548">
        <f t="shared" si="68"/>
        <v>0</v>
      </c>
      <c r="DT176" s="548">
        <f t="shared" si="68"/>
        <v>0</v>
      </c>
      <c r="DU176" s="548">
        <f t="shared" si="68"/>
        <v>0</v>
      </c>
      <c r="DV176" s="548">
        <f t="shared" si="68"/>
        <v>0</v>
      </c>
      <c r="DW176" s="548">
        <f t="shared" si="68"/>
        <v>0</v>
      </c>
      <c r="DX176" s="548">
        <f t="shared" si="68"/>
        <v>0</v>
      </c>
      <c r="DY176" s="548">
        <f t="shared" si="68"/>
        <v>0</v>
      </c>
      <c r="DZ176" s="548">
        <f t="shared" si="68"/>
        <v>0</v>
      </c>
      <c r="EA176" s="548">
        <f t="shared" si="68"/>
        <v>0</v>
      </c>
      <c r="EB176" s="548">
        <f t="shared" si="68"/>
        <v>0</v>
      </c>
      <c r="EC176" s="548">
        <f t="shared" si="68"/>
        <v>0</v>
      </c>
      <c r="ED176" s="548">
        <f t="shared" si="68"/>
        <v>0</v>
      </c>
      <c r="EE176" s="548">
        <f t="shared" si="68"/>
        <v>0</v>
      </c>
      <c r="EF176" s="548">
        <f t="shared" si="68"/>
        <v>0</v>
      </c>
      <c r="EG176" s="548">
        <f t="shared" si="68"/>
        <v>0</v>
      </c>
    </row>
    <row r="177" spans="5:7" ht="12.75">
      <c r="E177" s="538" t="s">
        <v>503</v>
      </c>
      <c r="F177" s="548">
        <f>IF(SUM($J175:$EG175)&gt;0,_xlfn.MINIFS($J176:$EG176,$J175:$EG175,1),0)</f>
        <v>1.9370909436457779</v>
      </c>
      <c r="G177" s="548" t="s">
        <v>68</v>
      </c>
    </row>
    <row r="180" spans="1:1" ht="12.75">
      <c r="A180" s="534" t="s">
        <v>504</v>
      </c>
    </row>
    <row r="182" spans="5:7" ht="12.75">
      <c r="E182" s="535" t="str">
        <f>InpC!E$128</f>
        <v>Check tolerance</v>
      </c>
      <c r="F182" s="537">
        <f>InpC!F$128</f>
        <v>0.001</v>
      </c>
      <c r="G182" s="537" t="str">
        <f>InpC!G$128</f>
        <v>EUR 000s</v>
      </c>
    </row>
    <row r="183" spans="5:137" ht="12.75">
      <c r="E183" s="535" t="str">
        <f>Time!E$170</f>
        <v>Last model period flag</v>
      </c>
      <c r="G183" s="537" t="str">
        <f>Time!G$170</f>
        <v>flag</v>
      </c>
      <c r="H183" s="537">
        <f>Time!H$170</f>
        <v>1</v>
      </c>
      <c r="J183" s="537">
        <f>Time!J$170</f>
        <v>0</v>
      </c>
      <c r="K183" s="537">
        <f>Time!K$170</f>
        <v>0</v>
      </c>
      <c r="L183" s="537">
        <f>Time!L$170</f>
        <v>0</v>
      </c>
      <c r="M183" s="537">
        <f>Time!M$170</f>
        <v>0</v>
      </c>
      <c r="N183" s="537">
        <f>Time!N$170</f>
        <v>0</v>
      </c>
      <c r="O183" s="537">
        <f>Time!O$170</f>
        <v>0</v>
      </c>
      <c r="P183" s="537">
        <f>Time!P$170</f>
        <v>0</v>
      </c>
      <c r="Q183" s="537">
        <f>Time!Q$170</f>
        <v>0</v>
      </c>
      <c r="R183" s="537">
        <f>Time!R$170</f>
        <v>0</v>
      </c>
      <c r="S183" s="537">
        <f>Time!S$170</f>
        <v>0</v>
      </c>
      <c r="T183" s="537">
        <f>Time!T$170</f>
        <v>0</v>
      </c>
      <c r="U183" s="537">
        <f>Time!U$170</f>
        <v>0</v>
      </c>
      <c r="V183" s="537">
        <f>Time!V$170</f>
        <v>0</v>
      </c>
      <c r="W183" s="537">
        <f>Time!W$170</f>
        <v>0</v>
      </c>
      <c r="X183" s="537">
        <f>Time!X$170</f>
        <v>0</v>
      </c>
      <c r="Y183" s="537">
        <f>Time!Y$170</f>
        <v>0</v>
      </c>
      <c r="Z183" s="537">
        <f>Time!Z$170</f>
        <v>0</v>
      </c>
      <c r="AA183" s="537">
        <f>Time!AA$170</f>
        <v>0</v>
      </c>
      <c r="AB183" s="537">
        <f>Time!AB$170</f>
        <v>0</v>
      </c>
      <c r="AC183" s="537">
        <f>Time!AC$170</f>
        <v>0</v>
      </c>
      <c r="AD183" s="537">
        <f>Time!AD$170</f>
        <v>0</v>
      </c>
      <c r="AE183" s="537">
        <f>Time!AE$170</f>
        <v>0</v>
      </c>
      <c r="AF183" s="537">
        <f>Time!AF$170</f>
        <v>0</v>
      </c>
      <c r="AG183" s="537">
        <f>Time!AG$170</f>
        <v>0</v>
      </c>
      <c r="AH183" s="537">
        <f>Time!AH$170</f>
        <v>0</v>
      </c>
      <c r="AI183" s="537">
        <f>Time!AI$170</f>
        <v>0</v>
      </c>
      <c r="AJ183" s="537">
        <f>Time!AJ$170</f>
        <v>0</v>
      </c>
      <c r="AK183" s="537">
        <f>Time!AK$170</f>
        <v>0</v>
      </c>
      <c r="AL183" s="537">
        <f>Time!AL$170</f>
        <v>0</v>
      </c>
      <c r="AM183" s="537">
        <f>Time!AM$170</f>
        <v>0</v>
      </c>
      <c r="AN183" s="537">
        <f>Time!AN$170</f>
        <v>0</v>
      </c>
      <c r="AO183" s="537">
        <f>Time!AO$170</f>
        <v>0</v>
      </c>
      <c r="AP183" s="537">
        <f>Time!AP$170</f>
        <v>0</v>
      </c>
      <c r="AQ183" s="537">
        <f>Time!AQ$170</f>
        <v>0</v>
      </c>
      <c r="AR183" s="537">
        <f>Time!AR$170</f>
        <v>0</v>
      </c>
      <c r="AS183" s="537">
        <f>Time!AS$170</f>
        <v>0</v>
      </c>
      <c r="AT183" s="537">
        <f>Time!AT$170</f>
        <v>0</v>
      </c>
      <c r="AU183" s="537">
        <f>Time!AU$170</f>
        <v>0</v>
      </c>
      <c r="AV183" s="537">
        <f>Time!AV$170</f>
        <v>0</v>
      </c>
      <c r="AW183" s="537">
        <f>Time!AW$170</f>
        <v>0</v>
      </c>
      <c r="AX183" s="537">
        <f>Time!AX$170</f>
        <v>0</v>
      </c>
      <c r="AY183" s="537">
        <f>Time!AY$170</f>
        <v>0</v>
      </c>
      <c r="AZ183" s="537">
        <f>Time!AZ$170</f>
        <v>0</v>
      </c>
      <c r="BA183" s="537">
        <f>Time!BA$170</f>
        <v>0</v>
      </c>
      <c r="BB183" s="537">
        <f>Time!BB$170</f>
        <v>0</v>
      </c>
      <c r="BC183" s="537">
        <f>Time!BC$170</f>
        <v>0</v>
      </c>
      <c r="BD183" s="537">
        <f>Time!BD$170</f>
        <v>0</v>
      </c>
      <c r="BE183" s="537">
        <f>Time!BE$170</f>
        <v>0</v>
      </c>
      <c r="BF183" s="537">
        <f>Time!BF$170</f>
        <v>0</v>
      </c>
      <c r="BG183" s="537">
        <f>Time!BG$170</f>
        <v>0</v>
      </c>
      <c r="BH183" s="537">
        <f>Time!BH$170</f>
        <v>0</v>
      </c>
      <c r="BI183" s="537">
        <f>Time!BI$170</f>
        <v>0</v>
      </c>
      <c r="BJ183" s="537">
        <f>Time!BJ$170</f>
        <v>0</v>
      </c>
      <c r="BK183" s="537">
        <f>Time!BK$170</f>
        <v>0</v>
      </c>
      <c r="BL183" s="537">
        <f>Time!BL$170</f>
        <v>0</v>
      </c>
      <c r="BM183" s="537">
        <f>Time!BM$170</f>
        <v>0</v>
      </c>
      <c r="BN183" s="537">
        <f>Time!BN$170</f>
        <v>0</v>
      </c>
      <c r="BO183" s="537">
        <f>Time!BO$170</f>
        <v>0</v>
      </c>
      <c r="BP183" s="537">
        <f>Time!BP$170</f>
        <v>0</v>
      </c>
      <c r="BQ183" s="537">
        <f>Time!BQ$170</f>
        <v>0</v>
      </c>
      <c r="BR183" s="537">
        <f>Time!BR$170</f>
        <v>0</v>
      </c>
      <c r="BS183" s="537">
        <f>Time!BS$170</f>
        <v>0</v>
      </c>
      <c r="BT183" s="537">
        <f>Time!BT$170</f>
        <v>0</v>
      </c>
      <c r="BU183" s="537">
        <f>Time!BU$170</f>
        <v>0</v>
      </c>
      <c r="BV183" s="537">
        <f>Time!BV$170</f>
        <v>0</v>
      </c>
      <c r="BW183" s="537">
        <f>Time!BW$170</f>
        <v>0</v>
      </c>
      <c r="BX183" s="537">
        <f>Time!BX$170</f>
        <v>0</v>
      </c>
      <c r="BY183" s="537">
        <f>Time!BY$170</f>
        <v>0</v>
      </c>
      <c r="BZ183" s="537">
        <f>Time!BZ$170</f>
        <v>0</v>
      </c>
      <c r="CA183" s="537">
        <f>Time!CA$170</f>
        <v>0</v>
      </c>
      <c r="CB183" s="537">
        <f>Time!CB$170</f>
        <v>0</v>
      </c>
      <c r="CC183" s="537">
        <f>Time!CC$170</f>
        <v>0</v>
      </c>
      <c r="CD183" s="537">
        <f>Time!CD$170</f>
        <v>0</v>
      </c>
      <c r="CE183" s="537">
        <f>Time!CE$170</f>
        <v>0</v>
      </c>
      <c r="CF183" s="537">
        <f>Time!CF$170</f>
        <v>0</v>
      </c>
      <c r="CG183" s="537">
        <f>Time!CG$170</f>
        <v>0</v>
      </c>
      <c r="CH183" s="537">
        <f>Time!CH$170</f>
        <v>0</v>
      </c>
      <c r="CI183" s="537">
        <f>Time!CI$170</f>
        <v>0</v>
      </c>
      <c r="CJ183" s="537">
        <f>Time!CJ$170</f>
        <v>0</v>
      </c>
      <c r="CK183" s="537">
        <f>Time!CK$170</f>
        <v>0</v>
      </c>
      <c r="CL183" s="537">
        <f>Time!CL$170</f>
        <v>0</v>
      </c>
      <c r="CM183" s="537">
        <f>Time!CM$170</f>
        <v>0</v>
      </c>
      <c r="CN183" s="537">
        <f>Time!CN$170</f>
        <v>0</v>
      </c>
      <c r="CO183" s="537">
        <f>Time!CO$170</f>
        <v>0</v>
      </c>
      <c r="CP183" s="537">
        <f>Time!CP$170</f>
        <v>0</v>
      </c>
      <c r="CQ183" s="537">
        <f>Time!CQ$170</f>
        <v>0</v>
      </c>
      <c r="CR183" s="537">
        <f>Time!CR$170</f>
        <v>0</v>
      </c>
      <c r="CS183" s="537">
        <f>Time!CS$170</f>
        <v>0</v>
      </c>
      <c r="CT183" s="537">
        <f>Time!CT$170</f>
        <v>0</v>
      </c>
      <c r="CU183" s="537">
        <f>Time!CU$170</f>
        <v>0</v>
      </c>
      <c r="CV183" s="537">
        <f>Time!CV$170</f>
        <v>0</v>
      </c>
      <c r="CW183" s="537">
        <f>Time!CW$170</f>
        <v>0</v>
      </c>
      <c r="CX183" s="537">
        <f>Time!CX$170</f>
        <v>0</v>
      </c>
      <c r="CY183" s="537">
        <f>Time!CY$170</f>
        <v>0</v>
      </c>
      <c r="CZ183" s="537">
        <f>Time!CZ$170</f>
        <v>0</v>
      </c>
      <c r="DA183" s="537">
        <f>Time!DA$170</f>
        <v>0</v>
      </c>
      <c r="DB183" s="537">
        <f>Time!DB$170</f>
        <v>0</v>
      </c>
      <c r="DC183" s="537">
        <f>Time!DC$170</f>
        <v>0</v>
      </c>
      <c r="DD183" s="537">
        <f>Time!DD$170</f>
        <v>0</v>
      </c>
      <c r="DE183" s="537">
        <f>Time!DE$170</f>
        <v>0</v>
      </c>
      <c r="DF183" s="537">
        <f>Time!DF$170</f>
        <v>0</v>
      </c>
      <c r="DG183" s="537">
        <f>Time!DG$170</f>
        <v>0</v>
      </c>
      <c r="DH183" s="537">
        <f>Time!DH$170</f>
        <v>0</v>
      </c>
      <c r="DI183" s="537">
        <f>Time!DI$170</f>
        <v>0</v>
      </c>
      <c r="DJ183" s="537">
        <f>Time!DJ$170</f>
        <v>0</v>
      </c>
      <c r="DK183" s="537">
        <f>Time!DK$170</f>
        <v>0</v>
      </c>
      <c r="DL183" s="537">
        <f>Time!DL$170</f>
        <v>0</v>
      </c>
      <c r="DM183" s="537">
        <f>Time!DM$170</f>
        <v>0</v>
      </c>
      <c r="DN183" s="537">
        <f>Time!DN$170</f>
        <v>0</v>
      </c>
      <c r="DO183" s="537">
        <f>Time!DO$170</f>
        <v>0</v>
      </c>
      <c r="DP183" s="537">
        <f>Time!DP$170</f>
        <v>0</v>
      </c>
      <c r="DQ183" s="537">
        <f>Time!DQ$170</f>
        <v>0</v>
      </c>
      <c r="DR183" s="537">
        <f>Time!DR$170</f>
        <v>0</v>
      </c>
      <c r="DS183" s="537">
        <f>Time!DS$170</f>
        <v>0</v>
      </c>
      <c r="DT183" s="537">
        <f>Time!DT$170</f>
        <v>0</v>
      </c>
      <c r="DU183" s="537">
        <f>Time!DU$170</f>
        <v>0</v>
      </c>
      <c r="DV183" s="537">
        <f>Time!DV$170</f>
        <v>0</v>
      </c>
      <c r="DW183" s="537">
        <f>Time!DW$170</f>
        <v>0</v>
      </c>
      <c r="DX183" s="537">
        <f>Time!DX$170</f>
        <v>0</v>
      </c>
      <c r="DY183" s="537">
        <f>Time!DY$170</f>
        <v>0</v>
      </c>
      <c r="DZ183" s="537">
        <f>Time!DZ$170</f>
        <v>0</v>
      </c>
      <c r="EA183" s="537">
        <f>Time!EA$170</f>
        <v>0</v>
      </c>
      <c r="EB183" s="537">
        <f>Time!EB$170</f>
        <v>0</v>
      </c>
      <c r="EC183" s="537">
        <f>Time!EC$170</f>
        <v>0</v>
      </c>
      <c r="ED183" s="537">
        <f>Time!ED$170</f>
        <v>0</v>
      </c>
      <c r="EE183" s="537">
        <f>Time!EE$170</f>
        <v>0</v>
      </c>
      <c r="EF183" s="537">
        <f>Time!EF$170</f>
        <v>0</v>
      </c>
      <c r="EG183" s="537">
        <f>Time!EG$170</f>
        <v>1</v>
      </c>
    </row>
    <row r="184" spans="5:137" ht="12.75">
      <c r="E184" s="538" t="str">
        <f>E$11</f>
        <v>Shareholder loan - amount drawn</v>
      </c>
      <c r="G184" s="539" t="str">
        <f>G$11</f>
        <v>EUR 000s</v>
      </c>
      <c r="H184" s="539">
        <f>H$11</f>
        <v>55637.785760493018</v>
      </c>
      <c r="J184" s="539">
        <f t="shared" si="69" ref="J184:EG184">J$11</f>
        <v>0</v>
      </c>
      <c r="K184" s="539">
        <f t="shared" si="69"/>
        <v>0</v>
      </c>
      <c r="L184" s="539">
        <f t="shared" si="69"/>
        <v>9055.4397749326417</v>
      </c>
      <c r="M184" s="539">
        <f t="shared" si="69"/>
        <v>10720.552129586828</v>
      </c>
      <c r="N184" s="539">
        <f t="shared" si="69"/>
        <v>10993.1869841347</v>
      </c>
      <c r="O184" s="539">
        <f t="shared" si="69"/>
        <v>10734.708184381348</v>
      </c>
      <c r="P184" s="539">
        <f t="shared" si="69"/>
        <v>11007.814907422371</v>
      </c>
      <c r="Q184" s="539">
        <f t="shared" si="69"/>
        <v>3126.0837800351323</v>
      </c>
      <c r="R184" s="539">
        <f t="shared" si="69"/>
        <v>0</v>
      </c>
      <c r="S184" s="539">
        <f t="shared" si="69"/>
        <v>0</v>
      </c>
      <c r="T184" s="539">
        <f t="shared" si="69"/>
        <v>0</v>
      </c>
      <c r="U184" s="539">
        <f t="shared" si="69"/>
        <v>0</v>
      </c>
      <c r="V184" s="539">
        <f t="shared" si="69"/>
        <v>0</v>
      </c>
      <c r="W184" s="539">
        <f t="shared" si="69"/>
        <v>0</v>
      </c>
      <c r="X184" s="539">
        <f t="shared" si="69"/>
        <v>0</v>
      </c>
      <c r="Y184" s="539">
        <f t="shared" si="69"/>
        <v>0</v>
      </c>
      <c r="Z184" s="539">
        <f t="shared" si="69"/>
        <v>0</v>
      </c>
      <c r="AA184" s="539">
        <f t="shared" si="69"/>
        <v>0</v>
      </c>
      <c r="AB184" s="539">
        <f t="shared" si="69"/>
        <v>0</v>
      </c>
      <c r="AC184" s="539">
        <f t="shared" si="69"/>
        <v>0</v>
      </c>
      <c r="AD184" s="539">
        <f t="shared" si="69"/>
        <v>0</v>
      </c>
      <c r="AE184" s="539">
        <f t="shared" si="69"/>
        <v>0</v>
      </c>
      <c r="AF184" s="539">
        <f t="shared" si="69"/>
        <v>0</v>
      </c>
      <c r="AG184" s="539">
        <f t="shared" si="69"/>
        <v>0</v>
      </c>
      <c r="AH184" s="539">
        <f t="shared" si="69"/>
        <v>0</v>
      </c>
      <c r="AI184" s="539">
        <f t="shared" si="69"/>
        <v>0</v>
      </c>
      <c r="AJ184" s="539">
        <f t="shared" si="69"/>
        <v>0</v>
      </c>
      <c r="AK184" s="539">
        <f t="shared" si="69"/>
        <v>0</v>
      </c>
      <c r="AL184" s="539">
        <f t="shared" si="69"/>
        <v>0</v>
      </c>
      <c r="AM184" s="539">
        <f t="shared" si="69"/>
        <v>0</v>
      </c>
      <c r="AN184" s="539">
        <f t="shared" si="69"/>
        <v>0</v>
      </c>
      <c r="AO184" s="539">
        <f t="shared" si="69"/>
        <v>0</v>
      </c>
      <c r="AP184" s="539">
        <f t="shared" si="69"/>
        <v>0</v>
      </c>
      <c r="AQ184" s="539">
        <f t="shared" si="69"/>
        <v>0</v>
      </c>
      <c r="AR184" s="539">
        <f t="shared" si="69"/>
        <v>0</v>
      </c>
      <c r="AS184" s="539">
        <f t="shared" si="69"/>
        <v>0</v>
      </c>
      <c r="AT184" s="539">
        <f t="shared" si="69"/>
        <v>0</v>
      </c>
      <c r="AU184" s="539">
        <f t="shared" si="69"/>
        <v>0</v>
      </c>
      <c r="AV184" s="539">
        <f t="shared" si="69"/>
        <v>0</v>
      </c>
      <c r="AW184" s="539">
        <f t="shared" si="69"/>
        <v>0</v>
      </c>
      <c r="AX184" s="539">
        <f t="shared" si="69"/>
        <v>0</v>
      </c>
      <c r="AY184" s="539">
        <f t="shared" si="69"/>
        <v>0</v>
      </c>
      <c r="AZ184" s="539">
        <f t="shared" si="69"/>
        <v>0</v>
      </c>
      <c r="BA184" s="539">
        <f t="shared" si="69"/>
        <v>0</v>
      </c>
      <c r="BB184" s="539">
        <f t="shared" si="69"/>
        <v>0</v>
      </c>
      <c r="BC184" s="539">
        <f t="shared" si="69"/>
        <v>0</v>
      </c>
      <c r="BD184" s="539">
        <f t="shared" si="69"/>
        <v>0</v>
      </c>
      <c r="BE184" s="539">
        <f t="shared" si="69"/>
        <v>0</v>
      </c>
      <c r="BF184" s="539">
        <f t="shared" si="69"/>
        <v>0</v>
      </c>
      <c r="BG184" s="539">
        <f t="shared" si="69"/>
        <v>0</v>
      </c>
      <c r="BH184" s="539">
        <f t="shared" si="69"/>
        <v>0</v>
      </c>
      <c r="BI184" s="539">
        <f t="shared" si="69"/>
        <v>0</v>
      </c>
      <c r="BJ184" s="539">
        <f t="shared" si="69"/>
        <v>0</v>
      </c>
      <c r="BK184" s="539">
        <f t="shared" si="69"/>
        <v>0</v>
      </c>
      <c r="BL184" s="539">
        <f t="shared" si="69"/>
        <v>0</v>
      </c>
      <c r="BM184" s="539">
        <f t="shared" si="69"/>
        <v>0</v>
      </c>
      <c r="BN184" s="539">
        <f t="shared" si="69"/>
        <v>0</v>
      </c>
      <c r="BO184" s="539">
        <f t="shared" si="69"/>
        <v>0</v>
      </c>
      <c r="BP184" s="539">
        <f t="shared" si="69"/>
        <v>0</v>
      </c>
      <c r="BQ184" s="539">
        <f t="shared" si="69"/>
        <v>0</v>
      </c>
      <c r="BR184" s="539">
        <f t="shared" si="69"/>
        <v>0</v>
      </c>
      <c r="BS184" s="539">
        <f t="shared" si="69"/>
        <v>0</v>
      </c>
      <c r="BT184" s="539">
        <f t="shared" si="69"/>
        <v>0</v>
      </c>
      <c r="BU184" s="539">
        <f t="shared" si="69"/>
        <v>0</v>
      </c>
      <c r="BV184" s="539">
        <f t="shared" si="69"/>
        <v>0</v>
      </c>
      <c r="BW184" s="539">
        <f t="shared" si="69"/>
        <v>0</v>
      </c>
      <c r="BX184" s="539">
        <f t="shared" si="69"/>
        <v>0</v>
      </c>
      <c r="BY184" s="539">
        <f t="shared" si="69"/>
        <v>0</v>
      </c>
      <c r="BZ184" s="539">
        <f t="shared" si="69"/>
        <v>0</v>
      </c>
      <c r="CA184" s="539">
        <f t="shared" si="69"/>
        <v>0</v>
      </c>
      <c r="CB184" s="539">
        <f t="shared" si="69"/>
        <v>0</v>
      </c>
      <c r="CC184" s="539">
        <f t="shared" si="69"/>
        <v>0</v>
      </c>
      <c r="CD184" s="539">
        <f t="shared" si="69"/>
        <v>0</v>
      </c>
      <c r="CE184" s="539">
        <f t="shared" si="69"/>
        <v>0</v>
      </c>
      <c r="CF184" s="539">
        <f t="shared" si="69"/>
        <v>0</v>
      </c>
      <c r="CG184" s="539">
        <f t="shared" si="69"/>
        <v>0</v>
      </c>
      <c r="CH184" s="539">
        <f t="shared" si="69"/>
        <v>0</v>
      </c>
      <c r="CI184" s="539">
        <f t="shared" si="69"/>
        <v>0</v>
      </c>
      <c r="CJ184" s="539">
        <f t="shared" si="69"/>
        <v>0</v>
      </c>
      <c r="CK184" s="539">
        <f t="shared" si="69"/>
        <v>0</v>
      </c>
      <c r="CL184" s="539">
        <f t="shared" si="69"/>
        <v>0</v>
      </c>
      <c r="CM184" s="539">
        <f t="shared" si="69"/>
        <v>0</v>
      </c>
      <c r="CN184" s="539">
        <f t="shared" si="69"/>
        <v>0</v>
      </c>
      <c r="CO184" s="539">
        <f t="shared" si="69"/>
        <v>0</v>
      </c>
      <c r="CP184" s="539">
        <f t="shared" si="69"/>
        <v>0</v>
      </c>
      <c r="CQ184" s="539">
        <f t="shared" si="69"/>
        <v>0</v>
      </c>
      <c r="CR184" s="539">
        <f t="shared" si="69"/>
        <v>0</v>
      </c>
      <c r="CS184" s="539">
        <f t="shared" si="69"/>
        <v>0</v>
      </c>
      <c r="CT184" s="539">
        <f t="shared" si="69"/>
        <v>0</v>
      </c>
      <c r="CU184" s="539">
        <f t="shared" si="69"/>
        <v>0</v>
      </c>
      <c r="CV184" s="539">
        <f t="shared" si="69"/>
        <v>0</v>
      </c>
      <c r="CW184" s="539">
        <f t="shared" si="69"/>
        <v>0</v>
      </c>
      <c r="CX184" s="539">
        <f t="shared" si="69"/>
        <v>0</v>
      </c>
      <c r="CY184" s="539">
        <f t="shared" si="69"/>
        <v>0</v>
      </c>
      <c r="CZ184" s="539">
        <f t="shared" si="69"/>
        <v>0</v>
      </c>
      <c r="DA184" s="539">
        <f t="shared" si="69"/>
        <v>0</v>
      </c>
      <c r="DB184" s="539">
        <f t="shared" si="69"/>
        <v>0</v>
      </c>
      <c r="DC184" s="539">
        <f t="shared" si="69"/>
        <v>0</v>
      </c>
      <c r="DD184" s="539">
        <f t="shared" si="69"/>
        <v>0</v>
      </c>
      <c r="DE184" s="539">
        <f t="shared" si="69"/>
        <v>0</v>
      </c>
      <c r="DF184" s="539">
        <f t="shared" si="69"/>
        <v>0</v>
      </c>
      <c r="DG184" s="539">
        <f t="shared" si="69"/>
        <v>0</v>
      </c>
      <c r="DH184" s="539">
        <f t="shared" si="69"/>
        <v>0</v>
      </c>
      <c r="DI184" s="539">
        <f t="shared" si="69"/>
        <v>0</v>
      </c>
      <c r="DJ184" s="539">
        <f t="shared" si="69"/>
        <v>0</v>
      </c>
      <c r="DK184" s="539">
        <f t="shared" si="69"/>
        <v>0</v>
      </c>
      <c r="DL184" s="539">
        <f t="shared" si="69"/>
        <v>0</v>
      </c>
      <c r="DM184" s="539">
        <f t="shared" si="69"/>
        <v>0</v>
      </c>
      <c r="DN184" s="539">
        <f t="shared" si="69"/>
        <v>0</v>
      </c>
      <c r="DO184" s="539">
        <f t="shared" si="69"/>
        <v>0</v>
      </c>
      <c r="DP184" s="539">
        <f t="shared" si="69"/>
        <v>0</v>
      </c>
      <c r="DQ184" s="539">
        <f t="shared" si="69"/>
        <v>0</v>
      </c>
      <c r="DR184" s="539">
        <f t="shared" si="69"/>
        <v>0</v>
      </c>
      <c r="DS184" s="539">
        <f t="shared" si="69"/>
        <v>0</v>
      </c>
      <c r="DT184" s="539">
        <f t="shared" si="69"/>
        <v>0</v>
      </c>
      <c r="DU184" s="539">
        <f t="shared" si="69"/>
        <v>0</v>
      </c>
      <c r="DV184" s="539">
        <f t="shared" si="69"/>
        <v>0</v>
      </c>
      <c r="DW184" s="539">
        <f t="shared" si="69"/>
        <v>0</v>
      </c>
      <c r="DX184" s="539">
        <f t="shared" si="69"/>
        <v>0</v>
      </c>
      <c r="DY184" s="539">
        <f t="shared" si="69"/>
        <v>0</v>
      </c>
      <c r="DZ184" s="539">
        <f t="shared" si="69"/>
        <v>0</v>
      </c>
      <c r="EA184" s="539">
        <f t="shared" si="69"/>
        <v>0</v>
      </c>
      <c r="EB184" s="539">
        <f t="shared" si="69"/>
        <v>0</v>
      </c>
      <c r="EC184" s="539">
        <f t="shared" si="69"/>
        <v>0</v>
      </c>
      <c r="ED184" s="539">
        <f t="shared" si="69"/>
        <v>0</v>
      </c>
      <c r="EE184" s="539">
        <f t="shared" si="69"/>
        <v>0</v>
      </c>
      <c r="EF184" s="539">
        <f t="shared" si="69"/>
        <v>0</v>
      </c>
      <c r="EG184" s="539">
        <f t="shared" si="69"/>
        <v>0</v>
      </c>
    </row>
    <row r="185" spans="5:137" ht="12.75">
      <c r="E185" s="538" t="str">
        <f>E$15</f>
        <v>Share capital - subscription</v>
      </c>
      <c r="G185" s="539" t="str">
        <f>G$15</f>
        <v>EUR 000s</v>
      </c>
      <c r="H185" s="539">
        <f>H$15</f>
        <v>13909.446440123251</v>
      </c>
      <c r="J185" s="539">
        <f t="shared" si="70" ref="J185:EG185">J$15</f>
        <v>0</v>
      </c>
      <c r="K185" s="539">
        <f t="shared" si="70"/>
        <v>0</v>
      </c>
      <c r="L185" s="539">
        <f t="shared" si="70"/>
        <v>2263.8599437331595</v>
      </c>
      <c r="M185" s="539">
        <f t="shared" si="70"/>
        <v>2680.138032396706</v>
      </c>
      <c r="N185" s="539">
        <f t="shared" si="70"/>
        <v>2748.296746033674</v>
      </c>
      <c r="O185" s="539">
        <f t="shared" si="70"/>
        <v>2683.6770460953362</v>
      </c>
      <c r="P185" s="539">
        <f t="shared" si="70"/>
        <v>2751.9537268555919</v>
      </c>
      <c r="Q185" s="539">
        <f t="shared" si="70"/>
        <v>781.52094500878286</v>
      </c>
      <c r="R185" s="539">
        <f t="shared" si="70"/>
        <v>0</v>
      </c>
      <c r="S185" s="539">
        <f t="shared" si="70"/>
        <v>0</v>
      </c>
      <c r="T185" s="539">
        <f t="shared" si="70"/>
        <v>0</v>
      </c>
      <c r="U185" s="539">
        <f t="shared" si="70"/>
        <v>0</v>
      </c>
      <c r="V185" s="539">
        <f t="shared" si="70"/>
        <v>0</v>
      </c>
      <c r="W185" s="539">
        <f t="shared" si="70"/>
        <v>0</v>
      </c>
      <c r="X185" s="539">
        <f t="shared" si="70"/>
        <v>0</v>
      </c>
      <c r="Y185" s="539">
        <f t="shared" si="70"/>
        <v>0</v>
      </c>
      <c r="Z185" s="539">
        <f t="shared" si="70"/>
        <v>0</v>
      </c>
      <c r="AA185" s="539">
        <f t="shared" si="70"/>
        <v>0</v>
      </c>
      <c r="AB185" s="539">
        <f t="shared" si="70"/>
        <v>0</v>
      </c>
      <c r="AC185" s="539">
        <f t="shared" si="70"/>
        <v>0</v>
      </c>
      <c r="AD185" s="539">
        <f t="shared" si="70"/>
        <v>0</v>
      </c>
      <c r="AE185" s="539">
        <f t="shared" si="70"/>
        <v>0</v>
      </c>
      <c r="AF185" s="539">
        <f t="shared" si="70"/>
        <v>0</v>
      </c>
      <c r="AG185" s="539">
        <f t="shared" si="70"/>
        <v>0</v>
      </c>
      <c r="AH185" s="539">
        <f t="shared" si="70"/>
        <v>0</v>
      </c>
      <c r="AI185" s="539">
        <f t="shared" si="70"/>
        <v>0</v>
      </c>
      <c r="AJ185" s="539">
        <f t="shared" si="70"/>
        <v>0</v>
      </c>
      <c r="AK185" s="539">
        <f t="shared" si="70"/>
        <v>0</v>
      </c>
      <c r="AL185" s="539">
        <f t="shared" si="70"/>
        <v>0</v>
      </c>
      <c r="AM185" s="539">
        <f t="shared" si="70"/>
        <v>0</v>
      </c>
      <c r="AN185" s="539">
        <f t="shared" si="70"/>
        <v>0</v>
      </c>
      <c r="AO185" s="539">
        <f t="shared" si="70"/>
        <v>0</v>
      </c>
      <c r="AP185" s="539">
        <f t="shared" si="70"/>
        <v>0</v>
      </c>
      <c r="AQ185" s="539">
        <f t="shared" si="70"/>
        <v>0</v>
      </c>
      <c r="AR185" s="539">
        <f t="shared" si="70"/>
        <v>0</v>
      </c>
      <c r="AS185" s="539">
        <f t="shared" si="70"/>
        <v>0</v>
      </c>
      <c r="AT185" s="539">
        <f t="shared" si="70"/>
        <v>0</v>
      </c>
      <c r="AU185" s="539">
        <f t="shared" si="70"/>
        <v>0</v>
      </c>
      <c r="AV185" s="539">
        <f t="shared" si="70"/>
        <v>0</v>
      </c>
      <c r="AW185" s="539">
        <f t="shared" si="70"/>
        <v>0</v>
      </c>
      <c r="AX185" s="539">
        <f t="shared" si="70"/>
        <v>0</v>
      </c>
      <c r="AY185" s="539">
        <f t="shared" si="70"/>
        <v>0</v>
      </c>
      <c r="AZ185" s="539">
        <f t="shared" si="70"/>
        <v>0</v>
      </c>
      <c r="BA185" s="539">
        <f t="shared" si="70"/>
        <v>0</v>
      </c>
      <c r="BB185" s="539">
        <f t="shared" si="70"/>
        <v>0</v>
      </c>
      <c r="BC185" s="539">
        <f t="shared" si="70"/>
        <v>0</v>
      </c>
      <c r="BD185" s="539">
        <f t="shared" si="70"/>
        <v>0</v>
      </c>
      <c r="BE185" s="539">
        <f t="shared" si="70"/>
        <v>0</v>
      </c>
      <c r="BF185" s="539">
        <f t="shared" si="70"/>
        <v>0</v>
      </c>
      <c r="BG185" s="539">
        <f t="shared" si="70"/>
        <v>0</v>
      </c>
      <c r="BH185" s="539">
        <f t="shared" si="70"/>
        <v>0</v>
      </c>
      <c r="BI185" s="539">
        <f t="shared" si="70"/>
        <v>0</v>
      </c>
      <c r="BJ185" s="539">
        <f t="shared" si="70"/>
        <v>0</v>
      </c>
      <c r="BK185" s="539">
        <f t="shared" si="70"/>
        <v>0</v>
      </c>
      <c r="BL185" s="539">
        <f t="shared" si="70"/>
        <v>0</v>
      </c>
      <c r="BM185" s="539">
        <f t="shared" si="70"/>
        <v>0</v>
      </c>
      <c r="BN185" s="539">
        <f t="shared" si="70"/>
        <v>0</v>
      </c>
      <c r="BO185" s="539">
        <f t="shared" si="70"/>
        <v>0</v>
      </c>
      <c r="BP185" s="539">
        <f t="shared" si="70"/>
        <v>0</v>
      </c>
      <c r="BQ185" s="539">
        <f t="shared" si="70"/>
        <v>0</v>
      </c>
      <c r="BR185" s="539">
        <f t="shared" si="70"/>
        <v>0</v>
      </c>
      <c r="BS185" s="539">
        <f t="shared" si="70"/>
        <v>0</v>
      </c>
      <c r="BT185" s="539">
        <f t="shared" si="70"/>
        <v>0</v>
      </c>
      <c r="BU185" s="539">
        <f t="shared" si="70"/>
        <v>0</v>
      </c>
      <c r="BV185" s="539">
        <f t="shared" si="70"/>
        <v>0</v>
      </c>
      <c r="BW185" s="539">
        <f t="shared" si="70"/>
        <v>0</v>
      </c>
      <c r="BX185" s="539">
        <f t="shared" si="70"/>
        <v>0</v>
      </c>
      <c r="BY185" s="539">
        <f t="shared" si="70"/>
        <v>0</v>
      </c>
      <c r="BZ185" s="539">
        <f t="shared" si="70"/>
        <v>0</v>
      </c>
      <c r="CA185" s="539">
        <f t="shared" si="70"/>
        <v>0</v>
      </c>
      <c r="CB185" s="539">
        <f t="shared" si="70"/>
        <v>0</v>
      </c>
      <c r="CC185" s="539">
        <f t="shared" si="70"/>
        <v>0</v>
      </c>
      <c r="CD185" s="539">
        <f t="shared" si="70"/>
        <v>0</v>
      </c>
      <c r="CE185" s="539">
        <f t="shared" si="70"/>
        <v>0</v>
      </c>
      <c r="CF185" s="539">
        <f t="shared" si="70"/>
        <v>0</v>
      </c>
      <c r="CG185" s="539">
        <f t="shared" si="70"/>
        <v>0</v>
      </c>
      <c r="CH185" s="539">
        <f t="shared" si="70"/>
        <v>0</v>
      </c>
      <c r="CI185" s="539">
        <f t="shared" si="70"/>
        <v>0</v>
      </c>
      <c r="CJ185" s="539">
        <f t="shared" si="70"/>
        <v>0</v>
      </c>
      <c r="CK185" s="539">
        <f t="shared" si="70"/>
        <v>0</v>
      </c>
      <c r="CL185" s="539">
        <f t="shared" si="70"/>
        <v>0</v>
      </c>
      <c r="CM185" s="539">
        <f t="shared" si="70"/>
        <v>0</v>
      </c>
      <c r="CN185" s="539">
        <f t="shared" si="70"/>
        <v>0</v>
      </c>
      <c r="CO185" s="539">
        <f t="shared" si="70"/>
        <v>0</v>
      </c>
      <c r="CP185" s="539">
        <f t="shared" si="70"/>
        <v>0</v>
      </c>
      <c r="CQ185" s="539">
        <f t="shared" si="70"/>
        <v>0</v>
      </c>
      <c r="CR185" s="539">
        <f t="shared" si="70"/>
        <v>0</v>
      </c>
      <c r="CS185" s="539">
        <f t="shared" si="70"/>
        <v>0</v>
      </c>
      <c r="CT185" s="539">
        <f t="shared" si="70"/>
        <v>0</v>
      </c>
      <c r="CU185" s="539">
        <f t="shared" si="70"/>
        <v>0</v>
      </c>
      <c r="CV185" s="539">
        <f t="shared" si="70"/>
        <v>0</v>
      </c>
      <c r="CW185" s="539">
        <f t="shared" si="70"/>
        <v>0</v>
      </c>
      <c r="CX185" s="539">
        <f t="shared" si="70"/>
        <v>0</v>
      </c>
      <c r="CY185" s="539">
        <f t="shared" si="70"/>
        <v>0</v>
      </c>
      <c r="CZ185" s="539">
        <f t="shared" si="70"/>
        <v>0</v>
      </c>
      <c r="DA185" s="539">
        <f t="shared" si="70"/>
        <v>0</v>
      </c>
      <c r="DB185" s="539">
        <f t="shared" si="70"/>
        <v>0</v>
      </c>
      <c r="DC185" s="539">
        <f t="shared" si="70"/>
        <v>0</v>
      </c>
      <c r="DD185" s="539">
        <f t="shared" si="70"/>
        <v>0</v>
      </c>
      <c r="DE185" s="539">
        <f t="shared" si="70"/>
        <v>0</v>
      </c>
      <c r="DF185" s="539">
        <f t="shared" si="70"/>
        <v>0</v>
      </c>
      <c r="DG185" s="539">
        <f t="shared" si="70"/>
        <v>0</v>
      </c>
      <c r="DH185" s="539">
        <f t="shared" si="70"/>
        <v>0</v>
      </c>
      <c r="DI185" s="539">
        <f t="shared" si="70"/>
        <v>0</v>
      </c>
      <c r="DJ185" s="539">
        <f t="shared" si="70"/>
        <v>0</v>
      </c>
      <c r="DK185" s="539">
        <f t="shared" si="70"/>
        <v>0</v>
      </c>
      <c r="DL185" s="539">
        <f t="shared" si="70"/>
        <v>0</v>
      </c>
      <c r="DM185" s="539">
        <f t="shared" si="70"/>
        <v>0</v>
      </c>
      <c r="DN185" s="539">
        <f t="shared" si="70"/>
        <v>0</v>
      </c>
      <c r="DO185" s="539">
        <f t="shared" si="70"/>
        <v>0</v>
      </c>
      <c r="DP185" s="539">
        <f t="shared" si="70"/>
        <v>0</v>
      </c>
      <c r="DQ185" s="539">
        <f t="shared" si="70"/>
        <v>0</v>
      </c>
      <c r="DR185" s="539">
        <f t="shared" si="70"/>
        <v>0</v>
      </c>
      <c r="DS185" s="539">
        <f t="shared" si="70"/>
        <v>0</v>
      </c>
      <c r="DT185" s="539">
        <f t="shared" si="70"/>
        <v>0</v>
      </c>
      <c r="DU185" s="539">
        <f t="shared" si="70"/>
        <v>0</v>
      </c>
      <c r="DV185" s="539">
        <f t="shared" si="70"/>
        <v>0</v>
      </c>
      <c r="DW185" s="539">
        <f t="shared" si="70"/>
        <v>0</v>
      </c>
      <c r="DX185" s="539">
        <f t="shared" si="70"/>
        <v>0</v>
      </c>
      <c r="DY185" s="539">
        <f t="shared" si="70"/>
        <v>0</v>
      </c>
      <c r="DZ185" s="539">
        <f t="shared" si="70"/>
        <v>0</v>
      </c>
      <c r="EA185" s="539">
        <f t="shared" si="70"/>
        <v>0</v>
      </c>
      <c r="EB185" s="539">
        <f t="shared" si="70"/>
        <v>0</v>
      </c>
      <c r="EC185" s="539">
        <f t="shared" si="70"/>
        <v>0</v>
      </c>
      <c r="ED185" s="539">
        <f t="shared" si="70"/>
        <v>0</v>
      </c>
      <c r="EE185" s="539">
        <f t="shared" si="70"/>
        <v>0</v>
      </c>
      <c r="EF185" s="539">
        <f t="shared" si="70"/>
        <v>0</v>
      </c>
      <c r="EG185" s="539">
        <f t="shared" si="70"/>
        <v>0</v>
      </c>
    </row>
    <row r="186" spans="5:137" ht="12.75">
      <c r="E186" s="538" t="str">
        <f>E$38</f>
        <v>Shareholder loan - interest capitalised</v>
      </c>
      <c r="G186" s="539" t="str">
        <f>G$38</f>
        <v>EUR 000s</v>
      </c>
      <c r="H186" s="539">
        <f>H$38</f>
        <v>6443.6724966753709</v>
      </c>
      <c r="J186" s="539">
        <f t="shared" si="71" ref="J186:EG186">J$38</f>
        <v>0</v>
      </c>
      <c r="K186" s="539">
        <f t="shared" si="71"/>
        <v>0</v>
      </c>
      <c r="L186" s="539">
        <f t="shared" si="71"/>
        <v>0</v>
      </c>
      <c r="M186" s="539">
        <f t="shared" si="71"/>
        <v>52.099790485913836</v>
      </c>
      <c r="N186" s="539">
        <f t="shared" si="71"/>
        <v>117.88207939222379</v>
      </c>
      <c r="O186" s="539">
        <f t="shared" si="71"/>
        <v>178.00613039155573</v>
      </c>
      <c r="P186" s="539">
        <f t="shared" si="71"/>
        <v>248.81799701115708</v>
      </c>
      <c r="Q186" s="539">
        <f t="shared" si="71"/>
        <v>315.74099263477558</v>
      </c>
      <c r="R186" s="539">
        <f t="shared" si="71"/>
        <v>325.35807883796764</v>
      </c>
      <c r="S186" s="539">
        <f t="shared" si="71"/>
        <v>338.13766876565802</v>
      </c>
      <c r="T186" s="539">
        <f t="shared" si="71"/>
        <v>329.17545163239942</v>
      </c>
      <c r="U186" s="539">
        <f t="shared" si="71"/>
        <v>342.1049823855588</v>
      </c>
      <c r="V186" s="539">
        <f t="shared" si="71"/>
        <v>344.13886680138523</v>
      </c>
      <c r="W186" s="539">
        <f t="shared" si="71"/>
        <v>323.85033707295395</v>
      </c>
      <c r="X186" s="539">
        <f t="shared" si="71"/>
        <v>348.11019987647381</v>
      </c>
      <c r="Y186" s="539">
        <f t="shared" si="71"/>
        <v>338.88366439764434</v>
      </c>
      <c r="Z186" s="539">
        <f t="shared" si="71"/>
        <v>352.1945195627062</v>
      </c>
      <c r="AA186" s="539">
        <f t="shared" si="71"/>
        <v>342.85973066152582</v>
      </c>
      <c r="AB186" s="539">
        <f t="shared" si="71"/>
        <v>356.32675989965577</v>
      </c>
      <c r="AC186" s="539">
        <f t="shared" si="71"/>
        <v>358.44519570508658</v>
      </c>
      <c r="AD186" s="539">
        <f t="shared" si="71"/>
        <v>348.94473488387973</v>
      </c>
      <c r="AE186" s="539">
        <f t="shared" si="71"/>
        <v>362.65077419653329</v>
      </c>
      <c r="AF186" s="539">
        <f t="shared" si="71"/>
        <v>353.03884603201357</v>
      </c>
      <c r="AG186" s="539">
        <f t="shared" si="71"/>
        <v>366.90569604830296</v>
      </c>
      <c r="AH186" s="539">
        <f t="shared" si="71"/>
        <v>0</v>
      </c>
      <c r="AI186" s="539">
        <f t="shared" si="71"/>
        <v>0</v>
      </c>
      <c r="AJ186" s="539">
        <f t="shared" si="71"/>
        <v>0</v>
      </c>
      <c r="AK186" s="539">
        <f t="shared" si="71"/>
        <v>0</v>
      </c>
      <c r="AL186" s="539">
        <f t="shared" si="71"/>
        <v>0</v>
      </c>
      <c r="AM186" s="539">
        <f t="shared" si="71"/>
        <v>0</v>
      </c>
      <c r="AN186" s="539">
        <f t="shared" si="71"/>
        <v>0</v>
      </c>
      <c r="AO186" s="539">
        <f t="shared" si="71"/>
        <v>0</v>
      </c>
      <c r="AP186" s="539">
        <f t="shared" si="71"/>
        <v>0</v>
      </c>
      <c r="AQ186" s="539">
        <f t="shared" si="71"/>
        <v>0</v>
      </c>
      <c r="AR186" s="539">
        <f t="shared" si="71"/>
        <v>0</v>
      </c>
      <c r="AS186" s="539">
        <f t="shared" si="71"/>
        <v>0</v>
      </c>
      <c r="AT186" s="539">
        <f t="shared" si="71"/>
        <v>0</v>
      </c>
      <c r="AU186" s="539">
        <f t="shared" si="71"/>
        <v>0</v>
      </c>
      <c r="AV186" s="539">
        <f t="shared" si="71"/>
        <v>0</v>
      </c>
      <c r="AW186" s="539">
        <f t="shared" si="71"/>
        <v>0</v>
      </c>
      <c r="AX186" s="539">
        <f t="shared" si="71"/>
        <v>0</v>
      </c>
      <c r="AY186" s="539">
        <f t="shared" si="71"/>
        <v>0</v>
      </c>
      <c r="AZ186" s="539">
        <f t="shared" si="71"/>
        <v>0</v>
      </c>
      <c r="BA186" s="539">
        <f t="shared" si="71"/>
        <v>0</v>
      </c>
      <c r="BB186" s="539">
        <f t="shared" si="71"/>
        <v>0</v>
      </c>
      <c r="BC186" s="539">
        <f t="shared" si="71"/>
        <v>0</v>
      </c>
      <c r="BD186" s="539">
        <f t="shared" si="71"/>
        <v>0</v>
      </c>
      <c r="BE186" s="539">
        <f t="shared" si="71"/>
        <v>0</v>
      </c>
      <c r="BF186" s="539">
        <f t="shared" si="71"/>
        <v>0</v>
      </c>
      <c r="BG186" s="539">
        <f t="shared" si="71"/>
        <v>0</v>
      </c>
      <c r="BH186" s="539">
        <f t="shared" si="71"/>
        <v>0</v>
      </c>
      <c r="BI186" s="539">
        <f t="shared" si="71"/>
        <v>0</v>
      </c>
      <c r="BJ186" s="539">
        <f t="shared" si="71"/>
        <v>0</v>
      </c>
      <c r="BK186" s="539">
        <f t="shared" si="71"/>
        <v>0</v>
      </c>
      <c r="BL186" s="539">
        <f t="shared" si="71"/>
        <v>0</v>
      </c>
      <c r="BM186" s="539">
        <f t="shared" si="71"/>
        <v>0</v>
      </c>
      <c r="BN186" s="539">
        <f t="shared" si="71"/>
        <v>0</v>
      </c>
      <c r="BO186" s="539">
        <f t="shared" si="71"/>
        <v>0</v>
      </c>
      <c r="BP186" s="539">
        <f t="shared" si="71"/>
        <v>0</v>
      </c>
      <c r="BQ186" s="539">
        <f t="shared" si="71"/>
        <v>0</v>
      </c>
      <c r="BR186" s="539">
        <f t="shared" si="71"/>
        <v>0</v>
      </c>
      <c r="BS186" s="539">
        <f t="shared" si="71"/>
        <v>0</v>
      </c>
      <c r="BT186" s="539">
        <f t="shared" si="71"/>
        <v>0</v>
      </c>
      <c r="BU186" s="539">
        <f t="shared" si="71"/>
        <v>0</v>
      </c>
      <c r="BV186" s="539">
        <f t="shared" si="71"/>
        <v>0</v>
      </c>
      <c r="BW186" s="539">
        <f t="shared" si="71"/>
        <v>0</v>
      </c>
      <c r="BX186" s="539">
        <f t="shared" si="71"/>
        <v>0</v>
      </c>
      <c r="BY186" s="539">
        <f t="shared" si="71"/>
        <v>0</v>
      </c>
      <c r="BZ186" s="539">
        <f t="shared" si="71"/>
        <v>0</v>
      </c>
      <c r="CA186" s="539">
        <f t="shared" si="71"/>
        <v>0</v>
      </c>
      <c r="CB186" s="539">
        <f t="shared" si="71"/>
        <v>0</v>
      </c>
      <c r="CC186" s="539">
        <f t="shared" si="71"/>
        <v>0</v>
      </c>
      <c r="CD186" s="539">
        <f t="shared" si="71"/>
        <v>0</v>
      </c>
      <c r="CE186" s="539">
        <f t="shared" si="71"/>
        <v>0</v>
      </c>
      <c r="CF186" s="539">
        <f t="shared" si="71"/>
        <v>0</v>
      </c>
      <c r="CG186" s="539">
        <f t="shared" si="71"/>
        <v>0</v>
      </c>
      <c r="CH186" s="539">
        <f t="shared" si="71"/>
        <v>0</v>
      </c>
      <c r="CI186" s="539">
        <f t="shared" si="71"/>
        <v>0</v>
      </c>
      <c r="CJ186" s="539">
        <f t="shared" si="71"/>
        <v>0</v>
      </c>
      <c r="CK186" s="539">
        <f t="shared" si="71"/>
        <v>0</v>
      </c>
      <c r="CL186" s="539">
        <f t="shared" si="71"/>
        <v>0</v>
      </c>
      <c r="CM186" s="539">
        <f t="shared" si="71"/>
        <v>0</v>
      </c>
      <c r="CN186" s="539">
        <f t="shared" si="71"/>
        <v>0</v>
      </c>
      <c r="CO186" s="539">
        <f t="shared" si="71"/>
        <v>0</v>
      </c>
      <c r="CP186" s="539">
        <f t="shared" si="71"/>
        <v>0</v>
      </c>
      <c r="CQ186" s="539">
        <f t="shared" si="71"/>
        <v>0</v>
      </c>
      <c r="CR186" s="539">
        <f t="shared" si="71"/>
        <v>0</v>
      </c>
      <c r="CS186" s="539">
        <f t="shared" si="71"/>
        <v>0</v>
      </c>
      <c r="CT186" s="539">
        <f t="shared" si="71"/>
        <v>0</v>
      </c>
      <c r="CU186" s="539">
        <f t="shared" si="71"/>
        <v>0</v>
      </c>
      <c r="CV186" s="539">
        <f t="shared" si="71"/>
        <v>0</v>
      </c>
      <c r="CW186" s="539">
        <f t="shared" si="71"/>
        <v>0</v>
      </c>
      <c r="CX186" s="539">
        <f t="shared" si="71"/>
        <v>0</v>
      </c>
      <c r="CY186" s="539">
        <f t="shared" si="71"/>
        <v>0</v>
      </c>
      <c r="CZ186" s="539">
        <f t="shared" si="71"/>
        <v>0</v>
      </c>
      <c r="DA186" s="539">
        <f t="shared" si="71"/>
        <v>0</v>
      </c>
      <c r="DB186" s="539">
        <f t="shared" si="71"/>
        <v>0</v>
      </c>
      <c r="DC186" s="539">
        <f t="shared" si="71"/>
        <v>0</v>
      </c>
      <c r="DD186" s="539">
        <f t="shared" si="71"/>
        <v>0</v>
      </c>
      <c r="DE186" s="539">
        <f t="shared" si="71"/>
        <v>0</v>
      </c>
      <c r="DF186" s="539">
        <f t="shared" si="71"/>
        <v>0</v>
      </c>
      <c r="DG186" s="539">
        <f t="shared" si="71"/>
        <v>0</v>
      </c>
      <c r="DH186" s="539">
        <f t="shared" si="71"/>
        <v>0</v>
      </c>
      <c r="DI186" s="539">
        <f t="shared" si="71"/>
        <v>0</v>
      </c>
      <c r="DJ186" s="539">
        <f t="shared" si="71"/>
        <v>0</v>
      </c>
      <c r="DK186" s="539">
        <f t="shared" si="71"/>
        <v>0</v>
      </c>
      <c r="DL186" s="539">
        <f t="shared" si="71"/>
        <v>0</v>
      </c>
      <c r="DM186" s="539">
        <f t="shared" si="71"/>
        <v>0</v>
      </c>
      <c r="DN186" s="539">
        <f t="shared" si="71"/>
        <v>0</v>
      </c>
      <c r="DO186" s="539">
        <f t="shared" si="71"/>
        <v>0</v>
      </c>
      <c r="DP186" s="539">
        <f t="shared" si="71"/>
        <v>0</v>
      </c>
      <c r="DQ186" s="539">
        <f t="shared" si="71"/>
        <v>0</v>
      </c>
      <c r="DR186" s="539">
        <f t="shared" si="71"/>
        <v>0</v>
      </c>
      <c r="DS186" s="539">
        <f t="shared" si="71"/>
        <v>0</v>
      </c>
      <c r="DT186" s="539">
        <f t="shared" si="71"/>
        <v>0</v>
      </c>
      <c r="DU186" s="539">
        <f t="shared" si="71"/>
        <v>0</v>
      </c>
      <c r="DV186" s="539">
        <f t="shared" si="71"/>
        <v>0</v>
      </c>
      <c r="DW186" s="539">
        <f t="shared" si="71"/>
        <v>0</v>
      </c>
      <c r="DX186" s="539">
        <f t="shared" si="71"/>
        <v>0</v>
      </c>
      <c r="DY186" s="539">
        <f t="shared" si="71"/>
        <v>0</v>
      </c>
      <c r="DZ186" s="539">
        <f t="shared" si="71"/>
        <v>0</v>
      </c>
      <c r="EA186" s="539">
        <f t="shared" si="71"/>
        <v>0</v>
      </c>
      <c r="EB186" s="539">
        <f t="shared" si="71"/>
        <v>0</v>
      </c>
      <c r="EC186" s="539">
        <f t="shared" si="71"/>
        <v>0</v>
      </c>
      <c r="ED186" s="539">
        <f t="shared" si="71"/>
        <v>0</v>
      </c>
      <c r="EE186" s="539">
        <f t="shared" si="71"/>
        <v>0</v>
      </c>
      <c r="EF186" s="539">
        <f t="shared" si="71"/>
        <v>0</v>
      </c>
      <c r="EG186" s="539">
        <f t="shared" si="71"/>
        <v>0</v>
      </c>
    </row>
    <row r="187" spans="5:137" ht="12.75">
      <c r="E187" s="538" t="str">
        <f>E$42</f>
        <v>Shareholder loan - interest payable in cash</v>
      </c>
      <c r="G187" s="539" t="str">
        <f>G$42</f>
        <v>EUR 000s</v>
      </c>
      <c r="H187" s="539">
        <f>H$42</f>
        <v>15429.351676329899</v>
      </c>
      <c r="J187" s="539">
        <f t="shared" si="72" ref="J187:EG187">J$42</f>
        <v>0</v>
      </c>
      <c r="K187" s="539">
        <f t="shared" si="72"/>
        <v>0</v>
      </c>
      <c r="L187" s="539">
        <f t="shared" si="72"/>
        <v>0</v>
      </c>
      <c r="M187" s="539">
        <f t="shared" si="72"/>
        <v>0</v>
      </c>
      <c r="N187" s="539">
        <f t="shared" si="72"/>
        <v>0</v>
      </c>
      <c r="O187" s="539">
        <f t="shared" si="72"/>
        <v>0</v>
      </c>
      <c r="P187" s="539">
        <f t="shared" si="72"/>
        <v>0</v>
      </c>
      <c r="Q187" s="539">
        <f t="shared" si="72"/>
        <v>0</v>
      </c>
      <c r="R187" s="539">
        <f t="shared" si="72"/>
        <v>0</v>
      </c>
      <c r="S187" s="539">
        <f t="shared" si="72"/>
        <v>0</v>
      </c>
      <c r="T187" s="539">
        <f t="shared" si="72"/>
        <v>0</v>
      </c>
      <c r="U187" s="539">
        <f t="shared" si="72"/>
        <v>0</v>
      </c>
      <c r="V187" s="539">
        <f t="shared" si="72"/>
        <v>0</v>
      </c>
      <c r="W187" s="539">
        <f t="shared" si="72"/>
        <v>0</v>
      </c>
      <c r="X187" s="539">
        <f t="shared" si="72"/>
        <v>0</v>
      </c>
      <c r="Y187" s="539">
        <f t="shared" si="72"/>
        <v>0</v>
      </c>
      <c r="Z187" s="539">
        <f t="shared" si="72"/>
        <v>0</v>
      </c>
      <c r="AA187" s="539">
        <f t="shared" si="72"/>
        <v>0</v>
      </c>
      <c r="AB187" s="539">
        <f t="shared" si="72"/>
        <v>0</v>
      </c>
      <c r="AC187" s="539">
        <f t="shared" si="72"/>
        <v>0</v>
      </c>
      <c r="AD187" s="539">
        <f t="shared" si="72"/>
        <v>0</v>
      </c>
      <c r="AE187" s="539">
        <f t="shared" si="72"/>
        <v>0</v>
      </c>
      <c r="AF187" s="539">
        <f t="shared" si="72"/>
        <v>0</v>
      </c>
      <c r="AG187" s="539">
        <f t="shared" si="72"/>
        <v>0</v>
      </c>
      <c r="AH187" s="539">
        <f t="shared" si="72"/>
        <v>1071.5429781374269</v>
      </c>
      <c r="AI187" s="539">
        <f t="shared" si="72"/>
        <v>1077.9973316179048</v>
      </c>
      <c r="AJ187" s="539">
        <f t="shared" si="72"/>
        <v>1050.82349605998</v>
      </c>
      <c r="AK187" s="539">
        <f t="shared" si="72"/>
        <v>1012.1030926213383</v>
      </c>
      <c r="AL187" s="539">
        <f t="shared" si="72"/>
        <v>952.42274687426186</v>
      </c>
      <c r="AM187" s="539">
        <f t="shared" si="72"/>
        <v>921.77940468535701</v>
      </c>
      <c r="AN187" s="539">
        <f t="shared" si="72"/>
        <v>887.94515691215736</v>
      </c>
      <c r="AO187" s="539">
        <f t="shared" si="72"/>
        <v>844.17309819080367</v>
      </c>
      <c r="AP187" s="539">
        <f t="shared" si="72"/>
        <v>783.12552875123345</v>
      </c>
      <c r="AQ187" s="539">
        <f t="shared" si="72"/>
        <v>745.48593906623933</v>
      </c>
      <c r="AR187" s="539">
        <f t="shared" si="72"/>
        <v>704.39428110844801</v>
      </c>
      <c r="AS187" s="539">
        <f t="shared" si="72"/>
        <v>655.37444241285584</v>
      </c>
      <c r="AT187" s="539">
        <f t="shared" si="72"/>
        <v>599.43267294288569</v>
      </c>
      <c r="AU187" s="539">
        <f t="shared" si="72"/>
        <v>577.77829119205717</v>
      </c>
      <c r="AV187" s="539">
        <f t="shared" si="72"/>
        <v>560.67380378579355</v>
      </c>
      <c r="AW187" s="539">
        <f t="shared" si="72"/>
        <v>537.39823747367063</v>
      </c>
      <c r="AX187" s="539">
        <f t="shared" si="72"/>
        <v>503.52184390108283</v>
      </c>
      <c r="AY187" s="539">
        <f t="shared" si="72"/>
        <v>453.50732356939324</v>
      </c>
      <c r="AZ187" s="539">
        <f t="shared" si="72"/>
        <v>399.52554331808381</v>
      </c>
      <c r="BA187" s="539">
        <f t="shared" si="72"/>
        <v>339.34689841425455</v>
      </c>
      <c r="BB187" s="539">
        <f t="shared" si="72"/>
        <v>272.8980846823859</v>
      </c>
      <c r="BC187" s="539">
        <f t="shared" si="72"/>
        <v>214.79849871647352</v>
      </c>
      <c r="BD187" s="539">
        <f t="shared" si="72"/>
        <v>152.65029218121541</v>
      </c>
      <c r="BE187" s="539">
        <f t="shared" si="72"/>
        <v>87.951433015574608</v>
      </c>
      <c r="BF187" s="539">
        <f t="shared" si="72"/>
        <v>22.701256699025635</v>
      </c>
      <c r="BG187" s="539">
        <f t="shared" si="72"/>
        <v>0</v>
      </c>
      <c r="BH187" s="539">
        <f t="shared" si="72"/>
        <v>0</v>
      </c>
      <c r="BI187" s="539">
        <f t="shared" si="72"/>
        <v>0</v>
      </c>
      <c r="BJ187" s="539">
        <f t="shared" si="72"/>
        <v>0</v>
      </c>
      <c r="BK187" s="539">
        <f t="shared" si="72"/>
        <v>0</v>
      </c>
      <c r="BL187" s="539">
        <f t="shared" si="72"/>
        <v>0</v>
      </c>
      <c r="BM187" s="539">
        <f t="shared" si="72"/>
        <v>0</v>
      </c>
      <c r="BN187" s="539">
        <f t="shared" si="72"/>
        <v>0</v>
      </c>
      <c r="BO187" s="539">
        <f t="shared" si="72"/>
        <v>0</v>
      </c>
      <c r="BP187" s="539">
        <f t="shared" si="72"/>
        <v>0</v>
      </c>
      <c r="BQ187" s="539">
        <f t="shared" si="72"/>
        <v>0</v>
      </c>
      <c r="BR187" s="539">
        <f t="shared" si="72"/>
        <v>0</v>
      </c>
      <c r="BS187" s="539">
        <f t="shared" si="72"/>
        <v>0</v>
      </c>
      <c r="BT187" s="539">
        <f t="shared" si="72"/>
        <v>0</v>
      </c>
      <c r="BU187" s="539">
        <f t="shared" si="72"/>
        <v>0</v>
      </c>
      <c r="BV187" s="539">
        <f t="shared" si="72"/>
        <v>0</v>
      </c>
      <c r="BW187" s="539">
        <f t="shared" si="72"/>
        <v>0</v>
      </c>
      <c r="BX187" s="539">
        <f t="shared" si="72"/>
        <v>0</v>
      </c>
      <c r="BY187" s="539">
        <f t="shared" si="72"/>
        <v>0</v>
      </c>
      <c r="BZ187" s="539">
        <f t="shared" si="72"/>
        <v>0</v>
      </c>
      <c r="CA187" s="539">
        <f t="shared" si="72"/>
        <v>0</v>
      </c>
      <c r="CB187" s="539">
        <f t="shared" si="72"/>
        <v>0</v>
      </c>
      <c r="CC187" s="539">
        <f t="shared" si="72"/>
        <v>0</v>
      </c>
      <c r="CD187" s="539">
        <f t="shared" si="72"/>
        <v>0</v>
      </c>
      <c r="CE187" s="539">
        <f t="shared" si="72"/>
        <v>0</v>
      </c>
      <c r="CF187" s="539">
        <f t="shared" si="72"/>
        <v>0</v>
      </c>
      <c r="CG187" s="539">
        <f t="shared" si="72"/>
        <v>0</v>
      </c>
      <c r="CH187" s="539">
        <f t="shared" si="72"/>
        <v>0</v>
      </c>
      <c r="CI187" s="539">
        <f t="shared" si="72"/>
        <v>0</v>
      </c>
      <c r="CJ187" s="539">
        <f t="shared" si="72"/>
        <v>0</v>
      </c>
      <c r="CK187" s="539">
        <f t="shared" si="72"/>
        <v>0</v>
      </c>
      <c r="CL187" s="539">
        <f t="shared" si="72"/>
        <v>0</v>
      </c>
      <c r="CM187" s="539">
        <f t="shared" si="72"/>
        <v>0</v>
      </c>
      <c r="CN187" s="539">
        <f t="shared" si="72"/>
        <v>0</v>
      </c>
      <c r="CO187" s="539">
        <f t="shared" si="72"/>
        <v>0</v>
      </c>
      <c r="CP187" s="539">
        <f t="shared" si="72"/>
        <v>0</v>
      </c>
      <c r="CQ187" s="539">
        <f t="shared" si="72"/>
        <v>0</v>
      </c>
      <c r="CR187" s="539">
        <f t="shared" si="72"/>
        <v>0</v>
      </c>
      <c r="CS187" s="539">
        <f t="shared" si="72"/>
        <v>0</v>
      </c>
      <c r="CT187" s="539">
        <f t="shared" si="72"/>
        <v>0</v>
      </c>
      <c r="CU187" s="539">
        <f t="shared" si="72"/>
        <v>0</v>
      </c>
      <c r="CV187" s="539">
        <f t="shared" si="72"/>
        <v>0</v>
      </c>
      <c r="CW187" s="539">
        <f t="shared" si="72"/>
        <v>0</v>
      </c>
      <c r="CX187" s="539">
        <f t="shared" si="72"/>
        <v>0</v>
      </c>
      <c r="CY187" s="539">
        <f t="shared" si="72"/>
        <v>0</v>
      </c>
      <c r="CZ187" s="539">
        <f t="shared" si="72"/>
        <v>0</v>
      </c>
      <c r="DA187" s="539">
        <f t="shared" si="72"/>
        <v>0</v>
      </c>
      <c r="DB187" s="539">
        <f t="shared" si="72"/>
        <v>0</v>
      </c>
      <c r="DC187" s="539">
        <f t="shared" si="72"/>
        <v>0</v>
      </c>
      <c r="DD187" s="539">
        <f t="shared" si="72"/>
        <v>0</v>
      </c>
      <c r="DE187" s="539">
        <f t="shared" si="72"/>
        <v>0</v>
      </c>
      <c r="DF187" s="539">
        <f t="shared" si="72"/>
        <v>0</v>
      </c>
      <c r="DG187" s="539">
        <f t="shared" si="72"/>
        <v>0</v>
      </c>
      <c r="DH187" s="539">
        <f t="shared" si="72"/>
        <v>0</v>
      </c>
      <c r="DI187" s="539">
        <f t="shared" si="72"/>
        <v>0</v>
      </c>
      <c r="DJ187" s="539">
        <f t="shared" si="72"/>
        <v>0</v>
      </c>
      <c r="DK187" s="539">
        <f t="shared" si="72"/>
        <v>0</v>
      </c>
      <c r="DL187" s="539">
        <f t="shared" si="72"/>
        <v>0</v>
      </c>
      <c r="DM187" s="539">
        <f t="shared" si="72"/>
        <v>0</v>
      </c>
      <c r="DN187" s="539">
        <f t="shared" si="72"/>
        <v>0</v>
      </c>
      <c r="DO187" s="539">
        <f t="shared" si="72"/>
        <v>0</v>
      </c>
      <c r="DP187" s="539">
        <f t="shared" si="72"/>
        <v>0</v>
      </c>
      <c r="DQ187" s="539">
        <f t="shared" si="72"/>
        <v>0</v>
      </c>
      <c r="DR187" s="539">
        <f t="shared" si="72"/>
        <v>0</v>
      </c>
      <c r="DS187" s="539">
        <f t="shared" si="72"/>
        <v>0</v>
      </c>
      <c r="DT187" s="539">
        <f t="shared" si="72"/>
        <v>0</v>
      </c>
      <c r="DU187" s="539">
        <f t="shared" si="72"/>
        <v>0</v>
      </c>
      <c r="DV187" s="539">
        <f t="shared" si="72"/>
        <v>0</v>
      </c>
      <c r="DW187" s="539">
        <f t="shared" si="72"/>
        <v>0</v>
      </c>
      <c r="DX187" s="539">
        <f t="shared" si="72"/>
        <v>0</v>
      </c>
      <c r="DY187" s="539">
        <f t="shared" si="72"/>
        <v>0</v>
      </c>
      <c r="DZ187" s="539">
        <f t="shared" si="72"/>
        <v>0</v>
      </c>
      <c r="EA187" s="539">
        <f t="shared" si="72"/>
        <v>0</v>
      </c>
      <c r="EB187" s="539">
        <f t="shared" si="72"/>
        <v>0</v>
      </c>
      <c r="EC187" s="539">
        <f t="shared" si="72"/>
        <v>0</v>
      </c>
      <c r="ED187" s="539">
        <f t="shared" si="72"/>
        <v>0</v>
      </c>
      <c r="EE187" s="539">
        <f t="shared" si="72"/>
        <v>0</v>
      </c>
      <c r="EF187" s="539">
        <f t="shared" si="72"/>
        <v>0</v>
      </c>
      <c r="EG187" s="539">
        <f t="shared" si="72"/>
        <v>0</v>
      </c>
    </row>
    <row r="188" spans="5:137" ht="12.75">
      <c r="E188" s="538" t="str">
        <f>E$48</f>
        <v>Shareholder loan - interest settled</v>
      </c>
      <c r="G188" s="539" t="str">
        <f>G$48</f>
        <v>EUR 000s</v>
      </c>
      <c r="H188" s="539">
        <f>H$48</f>
        <v>15429.351676329899</v>
      </c>
      <c r="J188" s="539">
        <f t="shared" si="73" ref="J188:EG188">J$48</f>
        <v>0</v>
      </c>
      <c r="K188" s="539">
        <f t="shared" si="73"/>
        <v>0</v>
      </c>
      <c r="L188" s="539">
        <f t="shared" si="73"/>
        <v>0</v>
      </c>
      <c r="M188" s="539">
        <f t="shared" si="73"/>
        <v>0</v>
      </c>
      <c r="N188" s="539">
        <f t="shared" si="73"/>
        <v>0</v>
      </c>
      <c r="O188" s="539">
        <f t="shared" si="73"/>
        <v>0</v>
      </c>
      <c r="P188" s="539">
        <f t="shared" si="73"/>
        <v>0</v>
      </c>
      <c r="Q188" s="539">
        <f t="shared" si="73"/>
        <v>0</v>
      </c>
      <c r="R188" s="539">
        <f t="shared" si="73"/>
        <v>0</v>
      </c>
      <c r="S188" s="539">
        <f t="shared" si="73"/>
        <v>0</v>
      </c>
      <c r="T188" s="539">
        <f t="shared" si="73"/>
        <v>0</v>
      </c>
      <c r="U188" s="539">
        <f t="shared" si="73"/>
        <v>0</v>
      </c>
      <c r="V188" s="539">
        <f t="shared" si="73"/>
        <v>0</v>
      </c>
      <c r="W188" s="539">
        <f t="shared" si="73"/>
        <v>0</v>
      </c>
      <c r="X188" s="539">
        <f t="shared" si="73"/>
        <v>0</v>
      </c>
      <c r="Y188" s="539">
        <f t="shared" si="73"/>
        <v>0</v>
      </c>
      <c r="Z188" s="539">
        <f t="shared" si="73"/>
        <v>0</v>
      </c>
      <c r="AA188" s="539">
        <f t="shared" si="73"/>
        <v>0</v>
      </c>
      <c r="AB188" s="539">
        <f t="shared" si="73"/>
        <v>0</v>
      </c>
      <c r="AC188" s="539">
        <f t="shared" si="73"/>
        <v>0</v>
      </c>
      <c r="AD188" s="539">
        <f t="shared" si="73"/>
        <v>0</v>
      </c>
      <c r="AE188" s="539">
        <f t="shared" si="73"/>
        <v>0</v>
      </c>
      <c r="AF188" s="539">
        <f t="shared" si="73"/>
        <v>0</v>
      </c>
      <c r="AG188" s="539">
        <f t="shared" si="73"/>
        <v>0</v>
      </c>
      <c r="AH188" s="539">
        <f t="shared" si="73"/>
        <v>1071.5429781374269</v>
      </c>
      <c r="AI188" s="539">
        <f t="shared" si="73"/>
        <v>1077.9973316179048</v>
      </c>
      <c r="AJ188" s="539">
        <f t="shared" si="73"/>
        <v>1050.82349605998</v>
      </c>
      <c r="AK188" s="539">
        <f t="shared" si="73"/>
        <v>1012.1030926213383</v>
      </c>
      <c r="AL188" s="539">
        <f t="shared" si="73"/>
        <v>952.42274687426186</v>
      </c>
      <c r="AM188" s="539">
        <f t="shared" si="73"/>
        <v>921.77940468535701</v>
      </c>
      <c r="AN188" s="539">
        <f t="shared" si="73"/>
        <v>887.94515691215736</v>
      </c>
      <c r="AO188" s="539">
        <f t="shared" si="73"/>
        <v>844.17309819080367</v>
      </c>
      <c r="AP188" s="539">
        <f t="shared" si="73"/>
        <v>783.12552875123345</v>
      </c>
      <c r="AQ188" s="539">
        <f t="shared" si="73"/>
        <v>745.48593906623933</v>
      </c>
      <c r="AR188" s="539">
        <f t="shared" si="73"/>
        <v>704.39428110844801</v>
      </c>
      <c r="AS188" s="539">
        <f t="shared" si="73"/>
        <v>655.37444241285584</v>
      </c>
      <c r="AT188" s="539">
        <f t="shared" si="73"/>
        <v>599.43267294288569</v>
      </c>
      <c r="AU188" s="539">
        <f t="shared" si="73"/>
        <v>577.77829119205717</v>
      </c>
      <c r="AV188" s="539">
        <f t="shared" si="73"/>
        <v>560.67380378579355</v>
      </c>
      <c r="AW188" s="539">
        <f t="shared" si="73"/>
        <v>537.39823747367063</v>
      </c>
      <c r="AX188" s="539">
        <f t="shared" si="73"/>
        <v>503.52184390108283</v>
      </c>
      <c r="AY188" s="539">
        <f t="shared" si="73"/>
        <v>453.50732356939324</v>
      </c>
      <c r="AZ188" s="539">
        <f t="shared" si="73"/>
        <v>399.52554331808381</v>
      </c>
      <c r="BA188" s="539">
        <f t="shared" si="73"/>
        <v>339.34689841425455</v>
      </c>
      <c r="BB188" s="539">
        <f t="shared" si="73"/>
        <v>272.8980846823859</v>
      </c>
      <c r="BC188" s="539">
        <f t="shared" si="73"/>
        <v>214.79849871647352</v>
      </c>
      <c r="BD188" s="539">
        <f t="shared" si="73"/>
        <v>152.65029218121541</v>
      </c>
      <c r="BE188" s="539">
        <f t="shared" si="73"/>
        <v>87.951433015574608</v>
      </c>
      <c r="BF188" s="539">
        <f t="shared" si="73"/>
        <v>22.701256699025635</v>
      </c>
      <c r="BG188" s="539">
        <f t="shared" si="73"/>
        <v>0</v>
      </c>
      <c r="BH188" s="539">
        <f t="shared" si="73"/>
        <v>0</v>
      </c>
      <c r="BI188" s="539">
        <f t="shared" si="73"/>
        <v>0</v>
      </c>
      <c r="BJ188" s="539">
        <f t="shared" si="73"/>
        <v>0</v>
      </c>
      <c r="BK188" s="539">
        <f t="shared" si="73"/>
        <v>0</v>
      </c>
      <c r="BL188" s="539">
        <f t="shared" si="73"/>
        <v>0</v>
      </c>
      <c r="BM188" s="539">
        <f t="shared" si="73"/>
        <v>0</v>
      </c>
      <c r="BN188" s="539">
        <f t="shared" si="73"/>
        <v>0</v>
      </c>
      <c r="BO188" s="539">
        <f t="shared" si="73"/>
        <v>0</v>
      </c>
      <c r="BP188" s="539">
        <f t="shared" si="73"/>
        <v>0</v>
      </c>
      <c r="BQ188" s="539">
        <f t="shared" si="73"/>
        <v>0</v>
      </c>
      <c r="BR188" s="539">
        <f t="shared" si="73"/>
        <v>0</v>
      </c>
      <c r="BS188" s="539">
        <f t="shared" si="73"/>
        <v>0</v>
      </c>
      <c r="BT188" s="539">
        <f t="shared" si="73"/>
        <v>0</v>
      </c>
      <c r="BU188" s="539">
        <f t="shared" si="73"/>
        <v>0</v>
      </c>
      <c r="BV188" s="539">
        <f t="shared" si="73"/>
        <v>0</v>
      </c>
      <c r="BW188" s="539">
        <f t="shared" si="73"/>
        <v>0</v>
      </c>
      <c r="BX188" s="539">
        <f t="shared" si="73"/>
        <v>0</v>
      </c>
      <c r="BY188" s="539">
        <f t="shared" si="73"/>
        <v>0</v>
      </c>
      <c r="BZ188" s="539">
        <f t="shared" si="73"/>
        <v>0</v>
      </c>
      <c r="CA188" s="539">
        <f t="shared" si="73"/>
        <v>0</v>
      </c>
      <c r="CB188" s="539">
        <f t="shared" si="73"/>
        <v>0</v>
      </c>
      <c r="CC188" s="539">
        <f t="shared" si="73"/>
        <v>0</v>
      </c>
      <c r="CD188" s="539">
        <f t="shared" si="73"/>
        <v>0</v>
      </c>
      <c r="CE188" s="539">
        <f t="shared" si="73"/>
        <v>0</v>
      </c>
      <c r="CF188" s="539">
        <f t="shared" si="73"/>
        <v>0</v>
      </c>
      <c r="CG188" s="539">
        <f t="shared" si="73"/>
        <v>0</v>
      </c>
      <c r="CH188" s="539">
        <f t="shared" si="73"/>
        <v>0</v>
      </c>
      <c r="CI188" s="539">
        <f t="shared" si="73"/>
        <v>0</v>
      </c>
      <c r="CJ188" s="539">
        <f t="shared" si="73"/>
        <v>0</v>
      </c>
      <c r="CK188" s="539">
        <f t="shared" si="73"/>
        <v>0</v>
      </c>
      <c r="CL188" s="539">
        <f t="shared" si="73"/>
        <v>0</v>
      </c>
      <c r="CM188" s="539">
        <f t="shared" si="73"/>
        <v>0</v>
      </c>
      <c r="CN188" s="539">
        <f t="shared" si="73"/>
        <v>0</v>
      </c>
      <c r="CO188" s="539">
        <f t="shared" si="73"/>
        <v>0</v>
      </c>
      <c r="CP188" s="539">
        <f t="shared" si="73"/>
        <v>0</v>
      </c>
      <c r="CQ188" s="539">
        <f t="shared" si="73"/>
        <v>0</v>
      </c>
      <c r="CR188" s="539">
        <f t="shared" si="73"/>
        <v>0</v>
      </c>
      <c r="CS188" s="539">
        <f t="shared" si="73"/>
        <v>0</v>
      </c>
      <c r="CT188" s="539">
        <f t="shared" si="73"/>
        <v>0</v>
      </c>
      <c r="CU188" s="539">
        <f t="shared" si="73"/>
        <v>0</v>
      </c>
      <c r="CV188" s="539">
        <f t="shared" si="73"/>
        <v>0</v>
      </c>
      <c r="CW188" s="539">
        <f t="shared" si="73"/>
        <v>0</v>
      </c>
      <c r="CX188" s="539">
        <f t="shared" si="73"/>
        <v>0</v>
      </c>
      <c r="CY188" s="539">
        <f t="shared" si="73"/>
        <v>0</v>
      </c>
      <c r="CZ188" s="539">
        <f t="shared" si="73"/>
        <v>0</v>
      </c>
      <c r="DA188" s="539">
        <f t="shared" si="73"/>
        <v>0</v>
      </c>
      <c r="DB188" s="539">
        <f t="shared" si="73"/>
        <v>0</v>
      </c>
      <c r="DC188" s="539">
        <f t="shared" si="73"/>
        <v>0</v>
      </c>
      <c r="DD188" s="539">
        <f t="shared" si="73"/>
        <v>0</v>
      </c>
      <c r="DE188" s="539">
        <f t="shared" si="73"/>
        <v>0</v>
      </c>
      <c r="DF188" s="539">
        <f t="shared" si="73"/>
        <v>0</v>
      </c>
      <c r="DG188" s="539">
        <f t="shared" si="73"/>
        <v>0</v>
      </c>
      <c r="DH188" s="539">
        <f t="shared" si="73"/>
        <v>0</v>
      </c>
      <c r="DI188" s="539">
        <f t="shared" si="73"/>
        <v>0</v>
      </c>
      <c r="DJ188" s="539">
        <f t="shared" si="73"/>
        <v>0</v>
      </c>
      <c r="DK188" s="539">
        <f t="shared" si="73"/>
        <v>0</v>
      </c>
      <c r="DL188" s="539">
        <f t="shared" si="73"/>
        <v>0</v>
      </c>
      <c r="DM188" s="539">
        <f t="shared" si="73"/>
        <v>0</v>
      </c>
      <c r="DN188" s="539">
        <f t="shared" si="73"/>
        <v>0</v>
      </c>
      <c r="DO188" s="539">
        <f t="shared" si="73"/>
        <v>0</v>
      </c>
      <c r="DP188" s="539">
        <f t="shared" si="73"/>
        <v>0</v>
      </c>
      <c r="DQ188" s="539">
        <f t="shared" si="73"/>
        <v>0</v>
      </c>
      <c r="DR188" s="539">
        <f t="shared" si="73"/>
        <v>0</v>
      </c>
      <c r="DS188" s="539">
        <f t="shared" si="73"/>
        <v>0</v>
      </c>
      <c r="DT188" s="539">
        <f t="shared" si="73"/>
        <v>0</v>
      </c>
      <c r="DU188" s="539">
        <f t="shared" si="73"/>
        <v>0</v>
      </c>
      <c r="DV188" s="539">
        <f t="shared" si="73"/>
        <v>0</v>
      </c>
      <c r="DW188" s="539">
        <f t="shared" si="73"/>
        <v>0</v>
      </c>
      <c r="DX188" s="539">
        <f t="shared" si="73"/>
        <v>0</v>
      </c>
      <c r="DY188" s="539">
        <f t="shared" si="73"/>
        <v>0</v>
      </c>
      <c r="DZ188" s="539">
        <f t="shared" si="73"/>
        <v>0</v>
      </c>
      <c r="EA188" s="539">
        <f t="shared" si="73"/>
        <v>0</v>
      </c>
      <c r="EB188" s="539">
        <f t="shared" si="73"/>
        <v>0</v>
      </c>
      <c r="EC188" s="539">
        <f t="shared" si="73"/>
        <v>0</v>
      </c>
      <c r="ED188" s="539">
        <f t="shared" si="73"/>
        <v>0</v>
      </c>
      <c r="EE188" s="539">
        <f t="shared" si="73"/>
        <v>0</v>
      </c>
      <c r="EF188" s="539">
        <f t="shared" si="73"/>
        <v>0</v>
      </c>
      <c r="EG188" s="539">
        <f t="shared" si="73"/>
        <v>0</v>
      </c>
    </row>
    <row r="189" spans="5:137" ht="12.75">
      <c r="E189" s="538" t="str">
        <f>E$53</f>
        <v>Shareholder loan - closing unpaid interest</v>
      </c>
      <c r="G189" s="539" t="str">
        <f>G$53</f>
        <v>EUR 000s</v>
      </c>
      <c r="H189" s="539">
        <f>H$53</f>
        <v>0</v>
      </c>
      <c r="J189" s="539">
        <f t="shared" si="74" ref="J189:EG189">J$53</f>
        <v>0</v>
      </c>
      <c r="K189" s="539">
        <f t="shared" si="74"/>
        <v>0</v>
      </c>
      <c r="L189" s="539">
        <f t="shared" si="74"/>
        <v>0</v>
      </c>
      <c r="M189" s="539">
        <f t="shared" si="74"/>
        <v>0</v>
      </c>
      <c r="N189" s="539">
        <f t="shared" si="74"/>
        <v>0</v>
      </c>
      <c r="O189" s="539">
        <f t="shared" si="74"/>
        <v>0</v>
      </c>
      <c r="P189" s="539">
        <f t="shared" si="74"/>
        <v>0</v>
      </c>
      <c r="Q189" s="539">
        <f t="shared" si="74"/>
        <v>0</v>
      </c>
      <c r="R189" s="539">
        <f t="shared" si="74"/>
        <v>0</v>
      </c>
      <c r="S189" s="539">
        <f t="shared" si="74"/>
        <v>0</v>
      </c>
      <c r="T189" s="539">
        <f t="shared" si="74"/>
        <v>0</v>
      </c>
      <c r="U189" s="539">
        <f t="shared" si="74"/>
        <v>0</v>
      </c>
      <c r="V189" s="539">
        <f t="shared" si="74"/>
        <v>0</v>
      </c>
      <c r="W189" s="539">
        <f t="shared" si="74"/>
        <v>0</v>
      </c>
      <c r="X189" s="539">
        <f t="shared" si="74"/>
        <v>0</v>
      </c>
      <c r="Y189" s="539">
        <f t="shared" si="74"/>
        <v>0</v>
      </c>
      <c r="Z189" s="539">
        <f t="shared" si="74"/>
        <v>0</v>
      </c>
      <c r="AA189" s="539">
        <f t="shared" si="74"/>
        <v>0</v>
      </c>
      <c r="AB189" s="539">
        <f t="shared" si="74"/>
        <v>0</v>
      </c>
      <c r="AC189" s="539">
        <f t="shared" si="74"/>
        <v>0</v>
      </c>
      <c r="AD189" s="539">
        <f t="shared" si="74"/>
        <v>0</v>
      </c>
      <c r="AE189" s="539">
        <f t="shared" si="74"/>
        <v>0</v>
      </c>
      <c r="AF189" s="539">
        <f t="shared" si="74"/>
        <v>0</v>
      </c>
      <c r="AG189" s="539">
        <f t="shared" si="74"/>
        <v>0</v>
      </c>
      <c r="AH189" s="539">
        <f t="shared" si="74"/>
        <v>0</v>
      </c>
      <c r="AI189" s="539">
        <f t="shared" si="74"/>
        <v>0</v>
      </c>
      <c r="AJ189" s="539">
        <f t="shared" si="74"/>
        <v>0</v>
      </c>
      <c r="AK189" s="539">
        <f t="shared" si="74"/>
        <v>0</v>
      </c>
      <c r="AL189" s="539">
        <f t="shared" si="74"/>
        <v>0</v>
      </c>
      <c r="AM189" s="539">
        <f t="shared" si="74"/>
        <v>0</v>
      </c>
      <c r="AN189" s="539">
        <f t="shared" si="74"/>
        <v>0</v>
      </c>
      <c r="AO189" s="539">
        <f t="shared" si="74"/>
        <v>0</v>
      </c>
      <c r="AP189" s="539">
        <f t="shared" si="74"/>
        <v>0</v>
      </c>
      <c r="AQ189" s="539">
        <f t="shared" si="74"/>
        <v>0</v>
      </c>
      <c r="AR189" s="539">
        <f t="shared" si="74"/>
        <v>0</v>
      </c>
      <c r="AS189" s="539">
        <f t="shared" si="74"/>
        <v>0</v>
      </c>
      <c r="AT189" s="539">
        <f t="shared" si="74"/>
        <v>0</v>
      </c>
      <c r="AU189" s="539">
        <f t="shared" si="74"/>
        <v>0</v>
      </c>
      <c r="AV189" s="539">
        <f t="shared" si="74"/>
        <v>0</v>
      </c>
      <c r="AW189" s="539">
        <f t="shared" si="74"/>
        <v>0</v>
      </c>
      <c r="AX189" s="539">
        <f t="shared" si="74"/>
        <v>0</v>
      </c>
      <c r="AY189" s="539">
        <f t="shared" si="74"/>
        <v>0</v>
      </c>
      <c r="AZ189" s="539">
        <f t="shared" si="74"/>
        <v>0</v>
      </c>
      <c r="BA189" s="539">
        <f t="shared" si="74"/>
        <v>0</v>
      </c>
      <c r="BB189" s="539">
        <f t="shared" si="74"/>
        <v>0</v>
      </c>
      <c r="BC189" s="539">
        <f t="shared" si="74"/>
        <v>0</v>
      </c>
      <c r="BD189" s="539">
        <f t="shared" si="74"/>
        <v>0</v>
      </c>
      <c r="BE189" s="539">
        <f t="shared" si="74"/>
        <v>0</v>
      </c>
      <c r="BF189" s="539">
        <f t="shared" si="74"/>
        <v>0</v>
      </c>
      <c r="BG189" s="539">
        <f t="shared" si="74"/>
        <v>0</v>
      </c>
      <c r="BH189" s="539">
        <f t="shared" si="74"/>
        <v>0</v>
      </c>
      <c r="BI189" s="539">
        <f t="shared" si="74"/>
        <v>0</v>
      </c>
      <c r="BJ189" s="539">
        <f t="shared" si="74"/>
        <v>0</v>
      </c>
      <c r="BK189" s="539">
        <f t="shared" si="74"/>
        <v>0</v>
      </c>
      <c r="BL189" s="539">
        <f t="shared" si="74"/>
        <v>0</v>
      </c>
      <c r="BM189" s="539">
        <f t="shared" si="74"/>
        <v>0</v>
      </c>
      <c r="BN189" s="539">
        <f t="shared" si="74"/>
        <v>0</v>
      </c>
      <c r="BO189" s="539">
        <f t="shared" si="74"/>
        <v>0</v>
      </c>
      <c r="BP189" s="539">
        <f t="shared" si="74"/>
        <v>0</v>
      </c>
      <c r="BQ189" s="539">
        <f t="shared" si="74"/>
        <v>0</v>
      </c>
      <c r="BR189" s="539">
        <f t="shared" si="74"/>
        <v>0</v>
      </c>
      <c r="BS189" s="539">
        <f t="shared" si="74"/>
        <v>0</v>
      </c>
      <c r="BT189" s="539">
        <f t="shared" si="74"/>
        <v>0</v>
      </c>
      <c r="BU189" s="539">
        <f t="shared" si="74"/>
        <v>0</v>
      </c>
      <c r="BV189" s="539">
        <f t="shared" si="74"/>
        <v>0</v>
      </c>
      <c r="BW189" s="539">
        <f t="shared" si="74"/>
        <v>0</v>
      </c>
      <c r="BX189" s="539">
        <f t="shared" si="74"/>
        <v>0</v>
      </c>
      <c r="BY189" s="539">
        <f t="shared" si="74"/>
        <v>0</v>
      </c>
      <c r="BZ189" s="539">
        <f t="shared" si="74"/>
        <v>0</v>
      </c>
      <c r="CA189" s="539">
        <f t="shared" si="74"/>
        <v>0</v>
      </c>
      <c r="CB189" s="539">
        <f t="shared" si="74"/>
        <v>0</v>
      </c>
      <c r="CC189" s="539">
        <f t="shared" si="74"/>
        <v>0</v>
      </c>
      <c r="CD189" s="539">
        <f t="shared" si="74"/>
        <v>0</v>
      </c>
      <c r="CE189" s="539">
        <f t="shared" si="74"/>
        <v>0</v>
      </c>
      <c r="CF189" s="539">
        <f t="shared" si="74"/>
        <v>0</v>
      </c>
      <c r="CG189" s="539">
        <f t="shared" si="74"/>
        <v>0</v>
      </c>
      <c r="CH189" s="539">
        <f t="shared" si="74"/>
        <v>0</v>
      </c>
      <c r="CI189" s="539">
        <f t="shared" si="74"/>
        <v>0</v>
      </c>
      <c r="CJ189" s="539">
        <f t="shared" si="74"/>
        <v>0</v>
      </c>
      <c r="CK189" s="539">
        <f t="shared" si="74"/>
        <v>0</v>
      </c>
      <c r="CL189" s="539">
        <f t="shared" si="74"/>
        <v>0</v>
      </c>
      <c r="CM189" s="539">
        <f t="shared" si="74"/>
        <v>0</v>
      </c>
      <c r="CN189" s="539">
        <f t="shared" si="74"/>
        <v>0</v>
      </c>
      <c r="CO189" s="539">
        <f t="shared" si="74"/>
        <v>0</v>
      </c>
      <c r="CP189" s="539">
        <f t="shared" si="74"/>
        <v>0</v>
      </c>
      <c r="CQ189" s="539">
        <f t="shared" si="74"/>
        <v>0</v>
      </c>
      <c r="CR189" s="539">
        <f t="shared" si="74"/>
        <v>0</v>
      </c>
      <c r="CS189" s="539">
        <f t="shared" si="74"/>
        <v>0</v>
      </c>
      <c r="CT189" s="539">
        <f t="shared" si="74"/>
        <v>0</v>
      </c>
      <c r="CU189" s="539">
        <f t="shared" si="74"/>
        <v>0</v>
      </c>
      <c r="CV189" s="539">
        <f t="shared" si="74"/>
        <v>0</v>
      </c>
      <c r="CW189" s="539">
        <f t="shared" si="74"/>
        <v>0</v>
      </c>
      <c r="CX189" s="539">
        <f t="shared" si="74"/>
        <v>0</v>
      </c>
      <c r="CY189" s="539">
        <f t="shared" si="74"/>
        <v>0</v>
      </c>
      <c r="CZ189" s="539">
        <f t="shared" si="74"/>
        <v>0</v>
      </c>
      <c r="DA189" s="539">
        <f t="shared" si="74"/>
        <v>0</v>
      </c>
      <c r="DB189" s="539">
        <f t="shared" si="74"/>
        <v>0</v>
      </c>
      <c r="DC189" s="539">
        <f t="shared" si="74"/>
        <v>0</v>
      </c>
      <c r="DD189" s="539">
        <f t="shared" si="74"/>
        <v>0</v>
      </c>
      <c r="DE189" s="539">
        <f t="shared" si="74"/>
        <v>0</v>
      </c>
      <c r="DF189" s="539">
        <f t="shared" si="74"/>
        <v>0</v>
      </c>
      <c r="DG189" s="539">
        <f t="shared" si="74"/>
        <v>0</v>
      </c>
      <c r="DH189" s="539">
        <f t="shared" si="74"/>
        <v>0</v>
      </c>
      <c r="DI189" s="539">
        <f t="shared" si="74"/>
        <v>0</v>
      </c>
      <c r="DJ189" s="539">
        <f t="shared" si="74"/>
        <v>0</v>
      </c>
      <c r="DK189" s="539">
        <f t="shared" si="74"/>
        <v>0</v>
      </c>
      <c r="DL189" s="539">
        <f t="shared" si="74"/>
        <v>0</v>
      </c>
      <c r="DM189" s="539">
        <f t="shared" si="74"/>
        <v>0</v>
      </c>
      <c r="DN189" s="539">
        <f t="shared" si="74"/>
        <v>0</v>
      </c>
      <c r="DO189" s="539">
        <f t="shared" si="74"/>
        <v>0</v>
      </c>
      <c r="DP189" s="539">
        <f t="shared" si="74"/>
        <v>0</v>
      </c>
      <c r="DQ189" s="539">
        <f t="shared" si="74"/>
        <v>0</v>
      </c>
      <c r="DR189" s="539">
        <f t="shared" si="74"/>
        <v>0</v>
      </c>
      <c r="DS189" s="539">
        <f t="shared" si="74"/>
        <v>0</v>
      </c>
      <c r="DT189" s="539">
        <f t="shared" si="74"/>
        <v>0</v>
      </c>
      <c r="DU189" s="539">
        <f t="shared" si="74"/>
        <v>0</v>
      </c>
      <c r="DV189" s="539">
        <f t="shared" si="74"/>
        <v>0</v>
      </c>
      <c r="DW189" s="539">
        <f t="shared" si="74"/>
        <v>0</v>
      </c>
      <c r="DX189" s="539">
        <f t="shared" si="74"/>
        <v>0</v>
      </c>
      <c r="DY189" s="539">
        <f t="shared" si="74"/>
        <v>0</v>
      </c>
      <c r="DZ189" s="539">
        <f t="shared" si="74"/>
        <v>0</v>
      </c>
      <c r="EA189" s="539">
        <f t="shared" si="74"/>
        <v>0</v>
      </c>
      <c r="EB189" s="539">
        <f t="shared" si="74"/>
        <v>0</v>
      </c>
      <c r="EC189" s="539">
        <f t="shared" si="74"/>
        <v>0</v>
      </c>
      <c r="ED189" s="539">
        <f t="shared" si="74"/>
        <v>0</v>
      </c>
      <c r="EE189" s="539">
        <f t="shared" si="74"/>
        <v>0</v>
      </c>
      <c r="EF189" s="539">
        <f t="shared" si="74"/>
        <v>0</v>
      </c>
      <c r="EG189" s="539">
        <f t="shared" si="74"/>
        <v>0</v>
      </c>
    </row>
    <row r="190" spans="5:137" ht="12.75">
      <c r="E190" s="538" t="str">
        <f>E$58</f>
        <v>Shareholder loan - principal repaid</v>
      </c>
      <c r="G190" s="539" t="str">
        <f>G$58</f>
        <v>EUR 000s</v>
      </c>
      <c r="H190" s="539">
        <f>H$58</f>
        <v>62081.458257168386</v>
      </c>
      <c r="J190" s="539">
        <f t="shared" si="75" ref="J190:EG190">J$58</f>
        <v>0</v>
      </c>
      <c r="K190" s="539">
        <f t="shared" si="75"/>
        <v>0</v>
      </c>
      <c r="L190" s="539">
        <f t="shared" si="75"/>
        <v>0</v>
      </c>
      <c r="M190" s="539">
        <f t="shared" si="75"/>
        <v>0</v>
      </c>
      <c r="N190" s="539">
        <f t="shared" si="75"/>
        <v>0</v>
      </c>
      <c r="O190" s="539">
        <f t="shared" si="75"/>
        <v>0</v>
      </c>
      <c r="P190" s="539">
        <f t="shared" si="75"/>
        <v>1.8189894035458565E-12</v>
      </c>
      <c r="Q190" s="539">
        <f t="shared" si="75"/>
        <v>0</v>
      </c>
      <c r="R190" s="539">
        <f t="shared" si="75"/>
        <v>0</v>
      </c>
      <c r="S190" s="539">
        <f t="shared" si="75"/>
        <v>0</v>
      </c>
      <c r="T190" s="539">
        <f t="shared" si="75"/>
        <v>0</v>
      </c>
      <c r="U190" s="539">
        <f t="shared" si="75"/>
        <v>0</v>
      </c>
      <c r="V190" s="539">
        <f t="shared" si="75"/>
        <v>0</v>
      </c>
      <c r="W190" s="539">
        <f t="shared" si="75"/>
        <v>0</v>
      </c>
      <c r="X190" s="539">
        <f t="shared" si="75"/>
        <v>0</v>
      </c>
      <c r="Y190" s="539">
        <f t="shared" si="75"/>
        <v>0</v>
      </c>
      <c r="Z190" s="539">
        <f t="shared" si="75"/>
        <v>0</v>
      </c>
      <c r="AA190" s="539">
        <f t="shared" si="75"/>
        <v>0</v>
      </c>
      <c r="AB190" s="539">
        <f t="shared" si="75"/>
        <v>0</v>
      </c>
      <c r="AC190" s="539">
        <f t="shared" si="75"/>
        <v>0</v>
      </c>
      <c r="AD190" s="539">
        <f t="shared" si="75"/>
        <v>0</v>
      </c>
      <c r="AE190" s="539">
        <f t="shared" si="75"/>
        <v>0</v>
      </c>
      <c r="AF190" s="539">
        <f t="shared" si="75"/>
        <v>0</v>
      </c>
      <c r="AG190" s="539">
        <f t="shared" si="75"/>
        <v>0</v>
      </c>
      <c r="AH190" s="539">
        <f t="shared" si="75"/>
        <v>312.38038581277306</v>
      </c>
      <c r="AI190" s="539">
        <f t="shared" si="75"/>
        <v>2211.5350046020876</v>
      </c>
      <c r="AJ190" s="539">
        <f t="shared" si="75"/>
        <v>2194.5570271900933</v>
      </c>
      <c r="AK190" s="539">
        <f t="shared" si="75"/>
        <v>2182.9378063720687</v>
      </c>
      <c r="AL190" s="539">
        <f t="shared" si="75"/>
        <v>2362.2328510633752</v>
      </c>
      <c r="AM190" s="539">
        <f t="shared" si="75"/>
        <v>2491.7309782557159</v>
      </c>
      <c r="AN190" s="539">
        <f t="shared" si="75"/>
        <v>2480.8697877785871</v>
      </c>
      <c r="AO190" s="539">
        <f t="shared" si="75"/>
        <v>2473.6560043158756</v>
      </c>
      <c r="AP190" s="539">
        <f t="shared" si="75"/>
        <v>2655.3311340419641</v>
      </c>
      <c r="AQ190" s="539">
        <f t="shared" si="75"/>
        <v>2793.2594819930591</v>
      </c>
      <c r="AR190" s="539">
        <f t="shared" si="75"/>
        <v>2778.298311163227</v>
      </c>
      <c r="AS190" s="539">
        <f t="shared" si="75"/>
        <v>2797.2714274126415</v>
      </c>
      <c r="AT190" s="539">
        <f t="shared" si="75"/>
        <v>1240.7926748904852</v>
      </c>
      <c r="AU190" s="539">
        <f t="shared" si="75"/>
        <v>1329.2857577710558</v>
      </c>
      <c r="AV190" s="539">
        <f t="shared" si="75"/>
        <v>1319.1897055783927</v>
      </c>
      <c r="AW190" s="539">
        <f t="shared" si="75"/>
        <v>1285.8326135467898</v>
      </c>
      <c r="AX190" s="539">
        <f t="shared" si="75"/>
        <v>3186.3988590962786</v>
      </c>
      <c r="AY190" s="539">
        <f t="shared" si="75"/>
        <v>3341.981783069536</v>
      </c>
      <c r="AZ190" s="539">
        <f t="shared" si="75"/>
        <v>3410.7461785555397</v>
      </c>
      <c r="BA190" s="539">
        <f t="shared" si="75"/>
        <v>3422.4084355999721</v>
      </c>
      <c r="BB190" s="539">
        <f t="shared" si="75"/>
        <v>3502.8417929343987</v>
      </c>
      <c r="BC190" s="539">
        <f t="shared" si="75"/>
        <v>3656.1568017543354</v>
      </c>
      <c r="BD190" s="539">
        <f t="shared" si="75"/>
        <v>3666.9384464998284</v>
      </c>
      <c r="BE190" s="539">
        <f t="shared" si="75"/>
        <v>3669.5934689584969</v>
      </c>
      <c r="BF190" s="539">
        <f t="shared" si="75"/>
        <v>1315.2315389118025</v>
      </c>
      <c r="BG190" s="539">
        <f t="shared" si="75"/>
        <v>0</v>
      </c>
      <c r="BH190" s="539">
        <f t="shared" si="75"/>
        <v>0</v>
      </c>
      <c r="BI190" s="539">
        <f t="shared" si="75"/>
        <v>0</v>
      </c>
      <c r="BJ190" s="539">
        <f t="shared" si="75"/>
        <v>0</v>
      </c>
      <c r="BK190" s="539">
        <f t="shared" si="75"/>
        <v>0</v>
      </c>
      <c r="BL190" s="539">
        <f t="shared" si="75"/>
        <v>0</v>
      </c>
      <c r="BM190" s="539">
        <f t="shared" si="75"/>
        <v>0</v>
      </c>
      <c r="BN190" s="539">
        <f t="shared" si="75"/>
        <v>0</v>
      </c>
      <c r="BO190" s="539">
        <f t="shared" si="75"/>
        <v>0</v>
      </c>
      <c r="BP190" s="539">
        <f t="shared" si="75"/>
        <v>0</v>
      </c>
      <c r="BQ190" s="539">
        <f t="shared" si="75"/>
        <v>0</v>
      </c>
      <c r="BR190" s="539">
        <f t="shared" si="75"/>
        <v>0</v>
      </c>
      <c r="BS190" s="539">
        <f t="shared" si="75"/>
        <v>0</v>
      </c>
      <c r="BT190" s="539">
        <f t="shared" si="75"/>
        <v>0</v>
      </c>
      <c r="BU190" s="539">
        <f t="shared" si="75"/>
        <v>0</v>
      </c>
      <c r="BV190" s="539">
        <f t="shared" si="75"/>
        <v>0</v>
      </c>
      <c r="BW190" s="539">
        <f t="shared" si="75"/>
        <v>0</v>
      </c>
      <c r="BX190" s="539">
        <f t="shared" si="75"/>
        <v>0</v>
      </c>
      <c r="BY190" s="539">
        <f t="shared" si="75"/>
        <v>0</v>
      </c>
      <c r="BZ190" s="539">
        <f t="shared" si="75"/>
        <v>0</v>
      </c>
      <c r="CA190" s="539">
        <f t="shared" si="75"/>
        <v>0</v>
      </c>
      <c r="CB190" s="539">
        <f t="shared" si="75"/>
        <v>0</v>
      </c>
      <c r="CC190" s="539">
        <f t="shared" si="75"/>
        <v>0</v>
      </c>
      <c r="CD190" s="539">
        <f t="shared" si="75"/>
        <v>0</v>
      </c>
      <c r="CE190" s="539">
        <f t="shared" si="75"/>
        <v>0</v>
      </c>
      <c r="CF190" s="539">
        <f t="shared" si="75"/>
        <v>0</v>
      </c>
      <c r="CG190" s="539">
        <f t="shared" si="75"/>
        <v>0</v>
      </c>
      <c r="CH190" s="539">
        <f t="shared" si="75"/>
        <v>0</v>
      </c>
      <c r="CI190" s="539">
        <f t="shared" si="75"/>
        <v>0</v>
      </c>
      <c r="CJ190" s="539">
        <f t="shared" si="75"/>
        <v>0</v>
      </c>
      <c r="CK190" s="539">
        <f t="shared" si="75"/>
        <v>0</v>
      </c>
      <c r="CL190" s="539">
        <f t="shared" si="75"/>
        <v>0</v>
      </c>
      <c r="CM190" s="539">
        <f t="shared" si="75"/>
        <v>0</v>
      </c>
      <c r="CN190" s="539">
        <f t="shared" si="75"/>
        <v>0</v>
      </c>
      <c r="CO190" s="539">
        <f t="shared" si="75"/>
        <v>0</v>
      </c>
      <c r="CP190" s="539">
        <f t="shared" si="75"/>
        <v>0</v>
      </c>
      <c r="CQ190" s="539">
        <f t="shared" si="75"/>
        <v>0</v>
      </c>
      <c r="CR190" s="539">
        <f t="shared" si="75"/>
        <v>0</v>
      </c>
      <c r="CS190" s="539">
        <f t="shared" si="75"/>
        <v>0</v>
      </c>
      <c r="CT190" s="539">
        <f t="shared" si="75"/>
        <v>0</v>
      </c>
      <c r="CU190" s="539">
        <f t="shared" si="75"/>
        <v>0</v>
      </c>
      <c r="CV190" s="539">
        <f t="shared" si="75"/>
        <v>0</v>
      </c>
      <c r="CW190" s="539">
        <f t="shared" si="75"/>
        <v>0</v>
      </c>
      <c r="CX190" s="539">
        <f t="shared" si="75"/>
        <v>0</v>
      </c>
      <c r="CY190" s="539">
        <f t="shared" si="75"/>
        <v>0</v>
      </c>
      <c r="CZ190" s="539">
        <f t="shared" si="75"/>
        <v>0</v>
      </c>
      <c r="DA190" s="539">
        <f t="shared" si="75"/>
        <v>0</v>
      </c>
      <c r="DB190" s="539">
        <f t="shared" si="75"/>
        <v>0</v>
      </c>
      <c r="DC190" s="539">
        <f t="shared" si="75"/>
        <v>0</v>
      </c>
      <c r="DD190" s="539">
        <f t="shared" si="75"/>
        <v>0</v>
      </c>
      <c r="DE190" s="539">
        <f t="shared" si="75"/>
        <v>0</v>
      </c>
      <c r="DF190" s="539">
        <f t="shared" si="75"/>
        <v>0</v>
      </c>
      <c r="DG190" s="539">
        <f t="shared" si="75"/>
        <v>0</v>
      </c>
      <c r="DH190" s="539">
        <f t="shared" si="75"/>
        <v>0</v>
      </c>
      <c r="DI190" s="539">
        <f t="shared" si="75"/>
        <v>0</v>
      </c>
      <c r="DJ190" s="539">
        <f t="shared" si="75"/>
        <v>0</v>
      </c>
      <c r="DK190" s="539">
        <f t="shared" si="75"/>
        <v>0</v>
      </c>
      <c r="DL190" s="539">
        <f t="shared" si="75"/>
        <v>0</v>
      </c>
      <c r="DM190" s="539">
        <f t="shared" si="75"/>
        <v>0</v>
      </c>
      <c r="DN190" s="539">
        <f t="shared" si="75"/>
        <v>0</v>
      </c>
      <c r="DO190" s="539">
        <f t="shared" si="75"/>
        <v>0</v>
      </c>
      <c r="DP190" s="539">
        <f t="shared" si="75"/>
        <v>0</v>
      </c>
      <c r="DQ190" s="539">
        <f t="shared" si="75"/>
        <v>0</v>
      </c>
      <c r="DR190" s="539">
        <f t="shared" si="75"/>
        <v>0</v>
      </c>
      <c r="DS190" s="539">
        <f t="shared" si="75"/>
        <v>0</v>
      </c>
      <c r="DT190" s="539">
        <f t="shared" si="75"/>
        <v>0</v>
      </c>
      <c r="DU190" s="539">
        <f t="shared" si="75"/>
        <v>0</v>
      </c>
      <c r="DV190" s="539">
        <f t="shared" si="75"/>
        <v>0</v>
      </c>
      <c r="DW190" s="539">
        <f t="shared" si="75"/>
        <v>0</v>
      </c>
      <c r="DX190" s="539">
        <f t="shared" si="75"/>
        <v>0</v>
      </c>
      <c r="DY190" s="539">
        <f t="shared" si="75"/>
        <v>0</v>
      </c>
      <c r="DZ190" s="539">
        <f t="shared" si="75"/>
        <v>0</v>
      </c>
      <c r="EA190" s="539">
        <f t="shared" si="75"/>
        <v>0</v>
      </c>
      <c r="EB190" s="539">
        <f t="shared" si="75"/>
        <v>0</v>
      </c>
      <c r="EC190" s="539">
        <f t="shared" si="75"/>
        <v>0</v>
      </c>
      <c r="ED190" s="539">
        <f t="shared" si="75"/>
        <v>0</v>
      </c>
      <c r="EE190" s="539">
        <f t="shared" si="75"/>
        <v>0</v>
      </c>
      <c r="EF190" s="539">
        <f t="shared" si="75"/>
        <v>0</v>
      </c>
      <c r="EG190" s="539">
        <f t="shared" si="75"/>
        <v>0</v>
      </c>
    </row>
    <row r="191" spans="5:137" ht="12.75">
      <c r="E191" s="538" t="str">
        <f>E$64</f>
        <v>Shareholder loan - closing balance</v>
      </c>
      <c r="G191" s="539" t="str">
        <f>G$64</f>
        <v>EUR 000s</v>
      </c>
      <c r="H191" s="539">
        <f>H$64</f>
        <v>1982209.3275418179</v>
      </c>
      <c r="J191" s="539">
        <f t="shared" si="76" ref="J191:EG191">J$64</f>
        <v>0</v>
      </c>
      <c r="K191" s="539">
        <f t="shared" si="76"/>
        <v>0</v>
      </c>
      <c r="L191" s="539">
        <f t="shared" si="76"/>
        <v>9055.4397749326417</v>
      </c>
      <c r="M191" s="539">
        <f t="shared" si="76"/>
        <v>19828.091695005383</v>
      </c>
      <c r="N191" s="539">
        <f t="shared" si="76"/>
        <v>30939.160758532307</v>
      </c>
      <c r="O191" s="539">
        <f t="shared" si="76"/>
        <v>41851.875073305215</v>
      </c>
      <c r="P191" s="539">
        <f t="shared" si="76"/>
        <v>53108.507977738744</v>
      </c>
      <c r="Q191" s="539">
        <f t="shared" si="76"/>
        <v>56550.332750408648</v>
      </c>
      <c r="R191" s="539">
        <f t="shared" si="76"/>
        <v>56875.690829246618</v>
      </c>
      <c r="S191" s="539">
        <f t="shared" si="76"/>
        <v>57213.828498012277</v>
      </c>
      <c r="T191" s="539">
        <f t="shared" si="76"/>
        <v>57543.003949644677</v>
      </c>
      <c r="U191" s="539">
        <f t="shared" si="76"/>
        <v>57885.108932030234</v>
      </c>
      <c r="V191" s="539">
        <f t="shared" si="76"/>
        <v>58229.247798831617</v>
      </c>
      <c r="W191" s="539">
        <f t="shared" si="76"/>
        <v>58553.098135904569</v>
      </c>
      <c r="X191" s="539">
        <f t="shared" si="76"/>
        <v>58901.208335781041</v>
      </c>
      <c r="Y191" s="539">
        <f t="shared" si="76"/>
        <v>59240.092000178687</v>
      </c>
      <c r="Z191" s="539">
        <f t="shared" si="76"/>
        <v>59592.286519741392</v>
      </c>
      <c r="AA191" s="539">
        <f t="shared" si="76"/>
        <v>59935.146250402919</v>
      </c>
      <c r="AB191" s="539">
        <f t="shared" si="76"/>
        <v>60291.473010302572</v>
      </c>
      <c r="AC191" s="539">
        <f t="shared" si="76"/>
        <v>60649.918206007656</v>
      </c>
      <c r="AD191" s="539">
        <f t="shared" si="76"/>
        <v>60998.862940891537</v>
      </c>
      <c r="AE191" s="539">
        <f t="shared" si="76"/>
        <v>61361.513715088069</v>
      </c>
      <c r="AF191" s="539">
        <f t="shared" si="76"/>
        <v>61714.552561120079</v>
      </c>
      <c r="AG191" s="539">
        <f t="shared" si="76"/>
        <v>62081.458257168379</v>
      </c>
      <c r="AH191" s="539">
        <f t="shared" si="76"/>
        <v>61769.077871355606</v>
      </c>
      <c r="AI191" s="539">
        <f t="shared" si="76"/>
        <v>59557.542866753516</v>
      </c>
      <c r="AJ191" s="539">
        <f t="shared" si="76"/>
        <v>57362.985839563422</v>
      </c>
      <c r="AK191" s="539">
        <f t="shared" si="76"/>
        <v>55180.048033191357</v>
      </c>
      <c r="AL191" s="539">
        <f t="shared" si="76"/>
        <v>52817.815182127983</v>
      </c>
      <c r="AM191" s="539">
        <f t="shared" si="76"/>
        <v>50326.084203872269</v>
      </c>
      <c r="AN191" s="539">
        <f t="shared" si="76"/>
        <v>47845.21441609368</v>
      </c>
      <c r="AO191" s="539">
        <f t="shared" si="76"/>
        <v>45371.558411777805</v>
      </c>
      <c r="AP191" s="539">
        <f t="shared" si="76"/>
        <v>42716.227277735845</v>
      </c>
      <c r="AQ191" s="539">
        <f t="shared" si="76"/>
        <v>39922.967795742785</v>
      </c>
      <c r="AR191" s="539">
        <f t="shared" si="76"/>
        <v>37144.669484579557</v>
      </c>
      <c r="AS191" s="539">
        <f t="shared" si="76"/>
        <v>34347.398057166916</v>
      </c>
      <c r="AT191" s="539">
        <f t="shared" si="76"/>
        <v>33106.60538227643</v>
      </c>
      <c r="AU191" s="539">
        <f t="shared" si="76"/>
        <v>31777.319624505373</v>
      </c>
      <c r="AV191" s="539">
        <f t="shared" si="76"/>
        <v>30458.129918926981</v>
      </c>
      <c r="AW191" s="539">
        <f t="shared" si="76"/>
        <v>29172.297305380191</v>
      </c>
      <c r="AX191" s="539">
        <f t="shared" si="76"/>
        <v>25985.898446283911</v>
      </c>
      <c r="AY191" s="539">
        <f t="shared" si="76"/>
        <v>22643.916663214375</v>
      </c>
      <c r="AZ191" s="539">
        <f t="shared" si="76"/>
        <v>19233.170484658836</v>
      </c>
      <c r="BA191" s="539">
        <f t="shared" si="76"/>
        <v>15810.762049058863</v>
      </c>
      <c r="BB191" s="539">
        <f t="shared" si="76"/>
        <v>12307.920256124464</v>
      </c>
      <c r="BC191" s="539">
        <f t="shared" si="76"/>
        <v>8651.7634543701279</v>
      </c>
      <c r="BD191" s="539">
        <f t="shared" si="76"/>
        <v>4984.8250078702995</v>
      </c>
      <c r="BE191" s="539">
        <f t="shared" si="76"/>
        <v>1315.2315389118025</v>
      </c>
      <c r="BF191" s="539">
        <f t="shared" si="76"/>
        <v>0</v>
      </c>
      <c r="BG191" s="539">
        <f t="shared" si="76"/>
        <v>0</v>
      </c>
      <c r="BH191" s="539">
        <f t="shared" si="76"/>
        <v>0</v>
      </c>
      <c r="BI191" s="539">
        <f t="shared" si="76"/>
        <v>0</v>
      </c>
      <c r="BJ191" s="539">
        <f t="shared" si="76"/>
        <v>0</v>
      </c>
      <c r="BK191" s="539">
        <f t="shared" si="76"/>
        <v>0</v>
      </c>
      <c r="BL191" s="539">
        <f t="shared" si="76"/>
        <v>0</v>
      </c>
      <c r="BM191" s="539">
        <f t="shared" si="76"/>
        <v>0</v>
      </c>
      <c r="BN191" s="539">
        <f t="shared" si="76"/>
        <v>0</v>
      </c>
      <c r="BO191" s="539">
        <f t="shared" si="76"/>
        <v>0</v>
      </c>
      <c r="BP191" s="539">
        <f t="shared" si="76"/>
        <v>0</v>
      </c>
      <c r="BQ191" s="539">
        <f t="shared" si="76"/>
        <v>0</v>
      </c>
      <c r="BR191" s="539">
        <f t="shared" si="76"/>
        <v>0</v>
      </c>
      <c r="BS191" s="539">
        <f t="shared" si="76"/>
        <v>0</v>
      </c>
      <c r="BT191" s="539">
        <f t="shared" si="76"/>
        <v>0</v>
      </c>
      <c r="BU191" s="539">
        <f t="shared" si="76"/>
        <v>0</v>
      </c>
      <c r="BV191" s="539">
        <f t="shared" si="76"/>
        <v>0</v>
      </c>
      <c r="BW191" s="539">
        <f t="shared" si="76"/>
        <v>0</v>
      </c>
      <c r="BX191" s="539">
        <f t="shared" si="76"/>
        <v>0</v>
      </c>
      <c r="BY191" s="539">
        <f t="shared" si="76"/>
        <v>0</v>
      </c>
      <c r="BZ191" s="539">
        <f t="shared" si="76"/>
        <v>0</v>
      </c>
      <c r="CA191" s="539">
        <f t="shared" si="76"/>
        <v>0</v>
      </c>
      <c r="CB191" s="539">
        <f t="shared" si="76"/>
        <v>0</v>
      </c>
      <c r="CC191" s="539">
        <f t="shared" si="76"/>
        <v>0</v>
      </c>
      <c r="CD191" s="539">
        <f t="shared" si="76"/>
        <v>0</v>
      </c>
      <c r="CE191" s="539">
        <f t="shared" si="76"/>
        <v>0</v>
      </c>
      <c r="CF191" s="539">
        <f t="shared" si="76"/>
        <v>0</v>
      </c>
      <c r="CG191" s="539">
        <f t="shared" si="76"/>
        <v>0</v>
      </c>
      <c r="CH191" s="539">
        <f t="shared" si="76"/>
        <v>0</v>
      </c>
      <c r="CI191" s="539">
        <f t="shared" si="76"/>
        <v>0</v>
      </c>
      <c r="CJ191" s="539">
        <f t="shared" si="76"/>
        <v>0</v>
      </c>
      <c r="CK191" s="539">
        <f t="shared" si="76"/>
        <v>0</v>
      </c>
      <c r="CL191" s="539">
        <f t="shared" si="76"/>
        <v>0</v>
      </c>
      <c r="CM191" s="539">
        <f t="shared" si="76"/>
        <v>0</v>
      </c>
      <c r="CN191" s="539">
        <f t="shared" si="76"/>
        <v>0</v>
      </c>
      <c r="CO191" s="539">
        <f t="shared" si="76"/>
        <v>0</v>
      </c>
      <c r="CP191" s="539">
        <f t="shared" si="76"/>
        <v>0</v>
      </c>
      <c r="CQ191" s="539">
        <f t="shared" si="76"/>
        <v>0</v>
      </c>
      <c r="CR191" s="539">
        <f t="shared" si="76"/>
        <v>0</v>
      </c>
      <c r="CS191" s="539">
        <f t="shared" si="76"/>
        <v>0</v>
      </c>
      <c r="CT191" s="539">
        <f t="shared" si="76"/>
        <v>0</v>
      </c>
      <c r="CU191" s="539">
        <f t="shared" si="76"/>
        <v>0</v>
      </c>
      <c r="CV191" s="539">
        <f t="shared" si="76"/>
        <v>0</v>
      </c>
      <c r="CW191" s="539">
        <f t="shared" si="76"/>
        <v>0</v>
      </c>
      <c r="CX191" s="539">
        <f t="shared" si="76"/>
        <v>0</v>
      </c>
      <c r="CY191" s="539">
        <f t="shared" si="76"/>
        <v>0</v>
      </c>
      <c r="CZ191" s="539">
        <f t="shared" si="76"/>
        <v>0</v>
      </c>
      <c r="DA191" s="539">
        <f t="shared" si="76"/>
        <v>0</v>
      </c>
      <c r="DB191" s="539">
        <f t="shared" si="76"/>
        <v>0</v>
      </c>
      <c r="DC191" s="539">
        <f t="shared" si="76"/>
        <v>0</v>
      </c>
      <c r="DD191" s="539">
        <f t="shared" si="76"/>
        <v>0</v>
      </c>
      <c r="DE191" s="539">
        <f t="shared" si="76"/>
        <v>0</v>
      </c>
      <c r="DF191" s="539">
        <f t="shared" si="76"/>
        <v>0</v>
      </c>
      <c r="DG191" s="539">
        <f t="shared" si="76"/>
        <v>0</v>
      </c>
      <c r="DH191" s="539">
        <f t="shared" si="76"/>
        <v>0</v>
      </c>
      <c r="DI191" s="539">
        <f t="shared" si="76"/>
        <v>0</v>
      </c>
      <c r="DJ191" s="539">
        <f t="shared" si="76"/>
        <v>0</v>
      </c>
      <c r="DK191" s="539">
        <f t="shared" si="76"/>
        <v>0</v>
      </c>
      <c r="DL191" s="539">
        <f t="shared" si="76"/>
        <v>0</v>
      </c>
      <c r="DM191" s="539">
        <f t="shared" si="76"/>
        <v>0</v>
      </c>
      <c r="DN191" s="539">
        <f t="shared" si="76"/>
        <v>0</v>
      </c>
      <c r="DO191" s="539">
        <f t="shared" si="76"/>
        <v>0</v>
      </c>
      <c r="DP191" s="539">
        <f t="shared" si="76"/>
        <v>0</v>
      </c>
      <c r="DQ191" s="539">
        <f t="shared" si="76"/>
        <v>0</v>
      </c>
      <c r="DR191" s="539">
        <f t="shared" si="76"/>
        <v>0</v>
      </c>
      <c r="DS191" s="539">
        <f t="shared" si="76"/>
        <v>0</v>
      </c>
      <c r="DT191" s="539">
        <f t="shared" si="76"/>
        <v>0</v>
      </c>
      <c r="DU191" s="539">
        <f t="shared" si="76"/>
        <v>0</v>
      </c>
      <c r="DV191" s="539">
        <f t="shared" si="76"/>
        <v>0</v>
      </c>
      <c r="DW191" s="539">
        <f t="shared" si="76"/>
        <v>0</v>
      </c>
      <c r="DX191" s="539">
        <f t="shared" si="76"/>
        <v>0</v>
      </c>
      <c r="DY191" s="539">
        <f t="shared" si="76"/>
        <v>0</v>
      </c>
      <c r="DZ191" s="539">
        <f t="shared" si="76"/>
        <v>0</v>
      </c>
      <c r="EA191" s="539">
        <f t="shared" si="76"/>
        <v>0</v>
      </c>
      <c r="EB191" s="539">
        <f t="shared" si="76"/>
        <v>0</v>
      </c>
      <c r="EC191" s="539">
        <f t="shared" si="76"/>
        <v>0</v>
      </c>
      <c r="ED191" s="539">
        <f t="shared" si="76"/>
        <v>0</v>
      </c>
      <c r="EE191" s="539">
        <f t="shared" si="76"/>
        <v>0</v>
      </c>
      <c r="EF191" s="539">
        <f t="shared" si="76"/>
        <v>0</v>
      </c>
      <c r="EG191" s="539">
        <f t="shared" si="76"/>
        <v>0</v>
      </c>
    </row>
    <row r="192" spans="5:137" ht="12.75">
      <c r="E192" s="538" t="str">
        <f>E$81</f>
        <v>Share capital - redeemed from operations end</v>
      </c>
      <c r="G192" s="539" t="str">
        <f>G$81</f>
        <v>EUR 000s</v>
      </c>
      <c r="H192" s="539">
        <f>H$81</f>
        <v>13909.446440123251</v>
      </c>
      <c r="J192" s="539">
        <f t="shared" si="77" ref="J192:EG192">J$81</f>
        <v>0</v>
      </c>
      <c r="K192" s="539">
        <f t="shared" si="77"/>
        <v>0</v>
      </c>
      <c r="L192" s="539">
        <f t="shared" si="77"/>
        <v>0</v>
      </c>
      <c r="M192" s="539">
        <f t="shared" si="77"/>
        <v>0</v>
      </c>
      <c r="N192" s="539">
        <f t="shared" si="77"/>
        <v>0</v>
      </c>
      <c r="O192" s="539">
        <f t="shared" si="77"/>
        <v>0</v>
      </c>
      <c r="P192" s="539">
        <f t="shared" si="77"/>
        <v>0</v>
      </c>
      <c r="Q192" s="539">
        <f t="shared" si="77"/>
        <v>0</v>
      </c>
      <c r="R192" s="539">
        <f t="shared" si="77"/>
        <v>0</v>
      </c>
      <c r="S192" s="539">
        <f t="shared" si="77"/>
        <v>0</v>
      </c>
      <c r="T192" s="539">
        <f t="shared" si="77"/>
        <v>0</v>
      </c>
      <c r="U192" s="539">
        <f t="shared" si="77"/>
        <v>0</v>
      </c>
      <c r="V192" s="539">
        <f t="shared" si="77"/>
        <v>0</v>
      </c>
      <c r="W192" s="539">
        <f t="shared" si="77"/>
        <v>0</v>
      </c>
      <c r="X192" s="539">
        <f t="shared" si="77"/>
        <v>0</v>
      </c>
      <c r="Y192" s="539">
        <f t="shared" si="77"/>
        <v>0</v>
      </c>
      <c r="Z192" s="539">
        <f t="shared" si="77"/>
        <v>0</v>
      </c>
      <c r="AA192" s="539">
        <f t="shared" si="77"/>
        <v>0</v>
      </c>
      <c r="AB192" s="539">
        <f t="shared" si="77"/>
        <v>0</v>
      </c>
      <c r="AC192" s="539">
        <f t="shared" si="77"/>
        <v>0</v>
      </c>
      <c r="AD192" s="539">
        <f t="shared" si="77"/>
        <v>0</v>
      </c>
      <c r="AE192" s="539">
        <f t="shared" si="77"/>
        <v>0</v>
      </c>
      <c r="AF192" s="539">
        <f t="shared" si="77"/>
        <v>0</v>
      </c>
      <c r="AG192" s="539">
        <f t="shared" si="77"/>
        <v>0</v>
      </c>
      <c r="AH192" s="539">
        <f t="shared" si="77"/>
        <v>0</v>
      </c>
      <c r="AI192" s="539">
        <f t="shared" si="77"/>
        <v>0</v>
      </c>
      <c r="AJ192" s="539">
        <f t="shared" si="77"/>
        <v>0</v>
      </c>
      <c r="AK192" s="539">
        <f t="shared" si="77"/>
        <v>0</v>
      </c>
      <c r="AL192" s="539">
        <f t="shared" si="77"/>
        <v>0</v>
      </c>
      <c r="AM192" s="539">
        <f t="shared" si="77"/>
        <v>0</v>
      </c>
      <c r="AN192" s="539">
        <f t="shared" si="77"/>
        <v>0</v>
      </c>
      <c r="AO192" s="539">
        <f t="shared" si="77"/>
        <v>0</v>
      </c>
      <c r="AP192" s="539">
        <f t="shared" si="77"/>
        <v>0</v>
      </c>
      <c r="AQ192" s="539">
        <f t="shared" si="77"/>
        <v>0</v>
      </c>
      <c r="AR192" s="539">
        <f t="shared" si="77"/>
        <v>0</v>
      </c>
      <c r="AS192" s="539">
        <f t="shared" si="77"/>
        <v>0</v>
      </c>
      <c r="AT192" s="539">
        <f t="shared" si="77"/>
        <v>0</v>
      </c>
      <c r="AU192" s="539">
        <f t="shared" si="77"/>
        <v>0</v>
      </c>
      <c r="AV192" s="539">
        <f t="shared" si="77"/>
        <v>0</v>
      </c>
      <c r="AW192" s="539">
        <f t="shared" si="77"/>
        <v>0</v>
      </c>
      <c r="AX192" s="539">
        <f t="shared" si="77"/>
        <v>0</v>
      </c>
      <c r="AY192" s="539">
        <f t="shared" si="77"/>
        <v>0</v>
      </c>
      <c r="AZ192" s="539">
        <f t="shared" si="77"/>
        <v>0</v>
      </c>
      <c r="BA192" s="539">
        <f t="shared" si="77"/>
        <v>0</v>
      </c>
      <c r="BB192" s="539">
        <f t="shared" si="77"/>
        <v>0</v>
      </c>
      <c r="BC192" s="539">
        <f t="shared" si="77"/>
        <v>0</v>
      </c>
      <c r="BD192" s="539">
        <f t="shared" si="77"/>
        <v>0</v>
      </c>
      <c r="BE192" s="539">
        <f t="shared" si="77"/>
        <v>0</v>
      </c>
      <c r="BF192" s="539">
        <f t="shared" si="77"/>
        <v>0</v>
      </c>
      <c r="BG192" s="539">
        <f t="shared" si="77"/>
        <v>0</v>
      </c>
      <c r="BH192" s="539">
        <f t="shared" si="77"/>
        <v>0</v>
      </c>
      <c r="BI192" s="539">
        <f t="shared" si="77"/>
        <v>0</v>
      </c>
      <c r="BJ192" s="539">
        <f t="shared" si="77"/>
        <v>0</v>
      </c>
      <c r="BK192" s="539">
        <f t="shared" si="77"/>
        <v>0</v>
      </c>
      <c r="BL192" s="539">
        <f t="shared" si="77"/>
        <v>0</v>
      </c>
      <c r="BM192" s="539">
        <f t="shared" si="77"/>
        <v>0</v>
      </c>
      <c r="BN192" s="539">
        <f t="shared" si="77"/>
        <v>0</v>
      </c>
      <c r="BO192" s="539">
        <f t="shared" si="77"/>
        <v>0</v>
      </c>
      <c r="BP192" s="539">
        <f t="shared" si="77"/>
        <v>0</v>
      </c>
      <c r="BQ192" s="539">
        <f t="shared" si="77"/>
        <v>0</v>
      </c>
      <c r="BR192" s="539">
        <f t="shared" si="77"/>
        <v>0</v>
      </c>
      <c r="BS192" s="539">
        <f t="shared" si="77"/>
        <v>0</v>
      </c>
      <c r="BT192" s="539">
        <f t="shared" si="77"/>
        <v>0</v>
      </c>
      <c r="BU192" s="539">
        <f t="shared" si="77"/>
        <v>0</v>
      </c>
      <c r="BV192" s="539">
        <f t="shared" si="77"/>
        <v>0</v>
      </c>
      <c r="BW192" s="539">
        <f t="shared" si="77"/>
        <v>0</v>
      </c>
      <c r="BX192" s="539">
        <f t="shared" si="77"/>
        <v>0</v>
      </c>
      <c r="BY192" s="539">
        <f t="shared" si="77"/>
        <v>0</v>
      </c>
      <c r="BZ192" s="539">
        <f t="shared" si="77"/>
        <v>0</v>
      </c>
      <c r="CA192" s="539">
        <f t="shared" si="77"/>
        <v>0</v>
      </c>
      <c r="CB192" s="539">
        <f t="shared" si="77"/>
        <v>0</v>
      </c>
      <c r="CC192" s="539">
        <f t="shared" si="77"/>
        <v>0</v>
      </c>
      <c r="CD192" s="539">
        <f t="shared" si="77"/>
        <v>0</v>
      </c>
      <c r="CE192" s="539">
        <f t="shared" si="77"/>
        <v>0</v>
      </c>
      <c r="CF192" s="539">
        <f t="shared" si="77"/>
        <v>0</v>
      </c>
      <c r="CG192" s="539">
        <f t="shared" si="77"/>
        <v>0</v>
      </c>
      <c r="CH192" s="539">
        <f t="shared" si="77"/>
        <v>0</v>
      </c>
      <c r="CI192" s="539">
        <f t="shared" si="77"/>
        <v>0</v>
      </c>
      <c r="CJ192" s="539">
        <f t="shared" si="77"/>
        <v>0</v>
      </c>
      <c r="CK192" s="539">
        <f t="shared" si="77"/>
        <v>0</v>
      </c>
      <c r="CL192" s="539">
        <f t="shared" si="77"/>
        <v>0</v>
      </c>
      <c r="CM192" s="539">
        <f t="shared" si="77"/>
        <v>0</v>
      </c>
      <c r="CN192" s="539">
        <f t="shared" si="77"/>
        <v>0</v>
      </c>
      <c r="CO192" s="539">
        <f t="shared" si="77"/>
        <v>0</v>
      </c>
      <c r="CP192" s="539">
        <f t="shared" si="77"/>
        <v>0</v>
      </c>
      <c r="CQ192" s="539">
        <f t="shared" si="77"/>
        <v>0</v>
      </c>
      <c r="CR192" s="539">
        <f t="shared" si="77"/>
        <v>0</v>
      </c>
      <c r="CS192" s="539">
        <f t="shared" si="77"/>
        <v>0</v>
      </c>
      <c r="CT192" s="539">
        <f t="shared" si="77"/>
        <v>0</v>
      </c>
      <c r="CU192" s="539">
        <f t="shared" si="77"/>
        <v>0</v>
      </c>
      <c r="CV192" s="539">
        <f t="shared" si="77"/>
        <v>0</v>
      </c>
      <c r="CW192" s="539">
        <f t="shared" si="77"/>
        <v>0</v>
      </c>
      <c r="CX192" s="539">
        <f t="shared" si="77"/>
        <v>0</v>
      </c>
      <c r="CY192" s="539">
        <f t="shared" si="77"/>
        <v>0</v>
      </c>
      <c r="CZ192" s="539">
        <f t="shared" si="77"/>
        <v>0</v>
      </c>
      <c r="DA192" s="539">
        <f t="shared" si="77"/>
        <v>0</v>
      </c>
      <c r="DB192" s="539">
        <f t="shared" si="77"/>
        <v>0</v>
      </c>
      <c r="DC192" s="539">
        <f t="shared" si="77"/>
        <v>0</v>
      </c>
      <c r="DD192" s="539">
        <f t="shared" si="77"/>
        <v>0</v>
      </c>
      <c r="DE192" s="539">
        <f t="shared" si="77"/>
        <v>0</v>
      </c>
      <c r="DF192" s="539">
        <f t="shared" si="77"/>
        <v>0</v>
      </c>
      <c r="DG192" s="539">
        <f t="shared" si="77"/>
        <v>0</v>
      </c>
      <c r="DH192" s="539">
        <f t="shared" si="77"/>
        <v>0</v>
      </c>
      <c r="DI192" s="539">
        <f t="shared" si="77"/>
        <v>0</v>
      </c>
      <c r="DJ192" s="539">
        <f t="shared" si="77"/>
        <v>0</v>
      </c>
      <c r="DK192" s="539">
        <f t="shared" si="77"/>
        <v>0</v>
      </c>
      <c r="DL192" s="539">
        <f t="shared" si="77"/>
        <v>0</v>
      </c>
      <c r="DM192" s="539">
        <f t="shared" si="77"/>
        <v>0</v>
      </c>
      <c r="DN192" s="539">
        <f t="shared" si="77"/>
        <v>0</v>
      </c>
      <c r="DO192" s="539">
        <f t="shared" si="77"/>
        <v>0</v>
      </c>
      <c r="DP192" s="539">
        <f t="shared" si="77"/>
        <v>0</v>
      </c>
      <c r="DQ192" s="539">
        <f t="shared" si="77"/>
        <v>0</v>
      </c>
      <c r="DR192" s="539">
        <f t="shared" si="77"/>
        <v>0</v>
      </c>
      <c r="DS192" s="539">
        <f t="shared" si="77"/>
        <v>0</v>
      </c>
      <c r="DT192" s="539">
        <f t="shared" si="77"/>
        <v>0</v>
      </c>
      <c r="DU192" s="539">
        <f t="shared" si="77"/>
        <v>0</v>
      </c>
      <c r="DV192" s="539">
        <f t="shared" si="77"/>
        <v>0</v>
      </c>
      <c r="DW192" s="539">
        <f t="shared" si="77"/>
        <v>0</v>
      </c>
      <c r="DX192" s="539">
        <f t="shared" si="77"/>
        <v>0</v>
      </c>
      <c r="DY192" s="539">
        <f t="shared" si="77"/>
        <v>0</v>
      </c>
      <c r="DZ192" s="539">
        <f t="shared" si="77"/>
        <v>0</v>
      </c>
      <c r="EA192" s="539">
        <f t="shared" si="77"/>
        <v>0</v>
      </c>
      <c r="EB192" s="539">
        <f t="shared" si="77"/>
        <v>0</v>
      </c>
      <c r="EC192" s="539">
        <f t="shared" si="77"/>
        <v>13909.446440123251</v>
      </c>
      <c r="ED192" s="539">
        <f t="shared" si="77"/>
        <v>0</v>
      </c>
      <c r="EE192" s="539">
        <f t="shared" si="77"/>
        <v>0</v>
      </c>
      <c r="EF192" s="539">
        <f t="shared" si="77"/>
        <v>0</v>
      </c>
      <c r="EG192" s="539">
        <f t="shared" si="77"/>
        <v>0</v>
      </c>
    </row>
    <row r="193" spans="5:137" ht="12.75">
      <c r="E193" s="538" t="str">
        <f>E$86</f>
        <v>Share capital - closing balance</v>
      </c>
      <c r="G193" s="539" t="str">
        <f>G$86</f>
        <v>EUR 000s</v>
      </c>
      <c r="H193" s="539">
        <f>H$86</f>
        <v>1651899.8369596973</v>
      </c>
      <c r="J193" s="539">
        <f t="shared" si="78" ref="J193:EG193">J$86</f>
        <v>0</v>
      </c>
      <c r="K193" s="539">
        <f t="shared" si="78"/>
        <v>0</v>
      </c>
      <c r="L193" s="539">
        <f t="shared" si="78"/>
        <v>2263.8599437331595</v>
      </c>
      <c r="M193" s="539">
        <f t="shared" si="78"/>
        <v>4943.9979761298655</v>
      </c>
      <c r="N193" s="539">
        <f t="shared" si="78"/>
        <v>7692.2947221635395</v>
      </c>
      <c r="O193" s="539">
        <f t="shared" si="78"/>
        <v>10375.971768258876</v>
      </c>
      <c r="P193" s="539">
        <f t="shared" si="78"/>
        <v>13127.925495114469</v>
      </c>
      <c r="Q193" s="539">
        <f t="shared" si="78"/>
        <v>13909.446440123251</v>
      </c>
      <c r="R193" s="539">
        <f t="shared" si="78"/>
        <v>13909.446440123251</v>
      </c>
      <c r="S193" s="539">
        <f t="shared" si="78"/>
        <v>13909.446440123251</v>
      </c>
      <c r="T193" s="539">
        <f t="shared" si="78"/>
        <v>13909.446440123251</v>
      </c>
      <c r="U193" s="539">
        <f t="shared" si="78"/>
        <v>13909.446440123251</v>
      </c>
      <c r="V193" s="539">
        <f t="shared" si="78"/>
        <v>13909.446440123251</v>
      </c>
      <c r="W193" s="539">
        <f t="shared" si="78"/>
        <v>13909.446440123251</v>
      </c>
      <c r="X193" s="539">
        <f t="shared" si="78"/>
        <v>13909.446440123251</v>
      </c>
      <c r="Y193" s="539">
        <f t="shared" si="78"/>
        <v>13909.446440123251</v>
      </c>
      <c r="Z193" s="539">
        <f t="shared" si="78"/>
        <v>13909.446440123251</v>
      </c>
      <c r="AA193" s="539">
        <f t="shared" si="78"/>
        <v>13909.446440123251</v>
      </c>
      <c r="AB193" s="539">
        <f t="shared" si="78"/>
        <v>13909.446440123251</v>
      </c>
      <c r="AC193" s="539">
        <f t="shared" si="78"/>
        <v>13909.446440123251</v>
      </c>
      <c r="AD193" s="539">
        <f t="shared" si="78"/>
        <v>13909.446440123251</v>
      </c>
      <c r="AE193" s="539">
        <f t="shared" si="78"/>
        <v>13909.446440123251</v>
      </c>
      <c r="AF193" s="539">
        <f t="shared" si="78"/>
        <v>13909.446440123251</v>
      </c>
      <c r="AG193" s="539">
        <f t="shared" si="78"/>
        <v>13909.446440123251</v>
      </c>
      <c r="AH193" s="539">
        <f t="shared" si="78"/>
        <v>13909.446440123251</v>
      </c>
      <c r="AI193" s="539">
        <f t="shared" si="78"/>
        <v>13909.446440123251</v>
      </c>
      <c r="AJ193" s="539">
        <f t="shared" si="78"/>
        <v>13909.446440123251</v>
      </c>
      <c r="AK193" s="539">
        <f t="shared" si="78"/>
        <v>13909.446440123251</v>
      </c>
      <c r="AL193" s="539">
        <f t="shared" si="78"/>
        <v>13909.446440123251</v>
      </c>
      <c r="AM193" s="539">
        <f t="shared" si="78"/>
        <v>13909.446440123251</v>
      </c>
      <c r="AN193" s="539">
        <f t="shared" si="78"/>
        <v>13909.446440123251</v>
      </c>
      <c r="AO193" s="539">
        <f t="shared" si="78"/>
        <v>13909.446440123251</v>
      </c>
      <c r="AP193" s="539">
        <f t="shared" si="78"/>
        <v>13909.446440123251</v>
      </c>
      <c r="AQ193" s="539">
        <f t="shared" si="78"/>
        <v>13909.446440123251</v>
      </c>
      <c r="AR193" s="539">
        <f t="shared" si="78"/>
        <v>13909.446440123251</v>
      </c>
      <c r="AS193" s="539">
        <f t="shared" si="78"/>
        <v>13909.446440123251</v>
      </c>
      <c r="AT193" s="539">
        <f t="shared" si="78"/>
        <v>13909.446440123251</v>
      </c>
      <c r="AU193" s="539">
        <f t="shared" si="78"/>
        <v>13909.446440123251</v>
      </c>
      <c r="AV193" s="539">
        <f t="shared" si="78"/>
        <v>13909.446440123251</v>
      </c>
      <c r="AW193" s="539">
        <f t="shared" si="78"/>
        <v>13909.446440123251</v>
      </c>
      <c r="AX193" s="539">
        <f t="shared" si="78"/>
        <v>13909.446440123251</v>
      </c>
      <c r="AY193" s="539">
        <f t="shared" si="78"/>
        <v>13909.446440123251</v>
      </c>
      <c r="AZ193" s="539">
        <f t="shared" si="78"/>
        <v>13909.446440123251</v>
      </c>
      <c r="BA193" s="539">
        <f t="shared" si="78"/>
        <v>13909.446440123251</v>
      </c>
      <c r="BB193" s="539">
        <f t="shared" si="78"/>
        <v>13909.446440123251</v>
      </c>
      <c r="BC193" s="539">
        <f t="shared" si="78"/>
        <v>13909.446440123251</v>
      </c>
      <c r="BD193" s="539">
        <f t="shared" si="78"/>
        <v>13909.446440123251</v>
      </c>
      <c r="BE193" s="539">
        <f t="shared" si="78"/>
        <v>13909.446440123251</v>
      </c>
      <c r="BF193" s="539">
        <f t="shared" si="78"/>
        <v>13909.446440123251</v>
      </c>
      <c r="BG193" s="539">
        <f t="shared" si="78"/>
        <v>13909.446440123251</v>
      </c>
      <c r="BH193" s="539">
        <f t="shared" si="78"/>
        <v>13909.446440123251</v>
      </c>
      <c r="BI193" s="539">
        <f t="shared" si="78"/>
        <v>13909.446440123251</v>
      </c>
      <c r="BJ193" s="539">
        <f t="shared" si="78"/>
        <v>13909.446440123251</v>
      </c>
      <c r="BK193" s="539">
        <f t="shared" si="78"/>
        <v>13909.446440123251</v>
      </c>
      <c r="BL193" s="539">
        <f t="shared" si="78"/>
        <v>13909.446440123251</v>
      </c>
      <c r="BM193" s="539">
        <f t="shared" si="78"/>
        <v>13909.446440123251</v>
      </c>
      <c r="BN193" s="539">
        <f t="shared" si="78"/>
        <v>13909.446440123251</v>
      </c>
      <c r="BO193" s="539">
        <f t="shared" si="78"/>
        <v>13909.446440123251</v>
      </c>
      <c r="BP193" s="539">
        <f t="shared" si="78"/>
        <v>13909.446440123251</v>
      </c>
      <c r="BQ193" s="539">
        <f t="shared" si="78"/>
        <v>13909.446440123251</v>
      </c>
      <c r="BR193" s="539">
        <f t="shared" si="78"/>
        <v>13909.446440123251</v>
      </c>
      <c r="BS193" s="539">
        <f t="shared" si="78"/>
        <v>13909.446440123251</v>
      </c>
      <c r="BT193" s="539">
        <f t="shared" si="78"/>
        <v>13909.446440123251</v>
      </c>
      <c r="BU193" s="539">
        <f t="shared" si="78"/>
        <v>13909.446440123251</v>
      </c>
      <c r="BV193" s="539">
        <f t="shared" si="78"/>
        <v>13909.446440123251</v>
      </c>
      <c r="BW193" s="539">
        <f t="shared" si="78"/>
        <v>13909.446440123251</v>
      </c>
      <c r="BX193" s="539">
        <f t="shared" si="78"/>
        <v>13909.446440123251</v>
      </c>
      <c r="BY193" s="539">
        <f t="shared" si="78"/>
        <v>13909.446440123251</v>
      </c>
      <c r="BZ193" s="539">
        <f t="shared" si="78"/>
        <v>13909.446440123251</v>
      </c>
      <c r="CA193" s="539">
        <f t="shared" si="78"/>
        <v>13909.446440123251</v>
      </c>
      <c r="CB193" s="539">
        <f t="shared" si="78"/>
        <v>13909.446440123251</v>
      </c>
      <c r="CC193" s="539">
        <f t="shared" si="78"/>
        <v>13909.446440123251</v>
      </c>
      <c r="CD193" s="539">
        <f t="shared" si="78"/>
        <v>13909.446440123251</v>
      </c>
      <c r="CE193" s="539">
        <f t="shared" si="78"/>
        <v>13909.446440123251</v>
      </c>
      <c r="CF193" s="539">
        <f t="shared" si="78"/>
        <v>13909.446440123251</v>
      </c>
      <c r="CG193" s="539">
        <f t="shared" si="78"/>
        <v>13909.446440123251</v>
      </c>
      <c r="CH193" s="539">
        <f t="shared" si="78"/>
        <v>13909.446440123251</v>
      </c>
      <c r="CI193" s="539">
        <f t="shared" si="78"/>
        <v>13909.446440123251</v>
      </c>
      <c r="CJ193" s="539">
        <f t="shared" si="78"/>
        <v>13909.446440123251</v>
      </c>
      <c r="CK193" s="539">
        <f t="shared" si="78"/>
        <v>13909.446440123251</v>
      </c>
      <c r="CL193" s="539">
        <f t="shared" si="78"/>
        <v>13909.446440123251</v>
      </c>
      <c r="CM193" s="539">
        <f t="shared" si="78"/>
        <v>13909.446440123251</v>
      </c>
      <c r="CN193" s="539">
        <f t="shared" si="78"/>
        <v>13909.446440123251</v>
      </c>
      <c r="CO193" s="539">
        <f t="shared" si="78"/>
        <v>13909.446440123251</v>
      </c>
      <c r="CP193" s="539">
        <f t="shared" si="78"/>
        <v>13909.446440123251</v>
      </c>
      <c r="CQ193" s="539">
        <f t="shared" si="78"/>
        <v>13909.446440123251</v>
      </c>
      <c r="CR193" s="539">
        <f t="shared" si="78"/>
        <v>13909.446440123251</v>
      </c>
      <c r="CS193" s="539">
        <f t="shared" si="78"/>
        <v>13909.446440123251</v>
      </c>
      <c r="CT193" s="539">
        <f t="shared" si="78"/>
        <v>13909.446440123251</v>
      </c>
      <c r="CU193" s="539">
        <f t="shared" si="78"/>
        <v>13909.446440123251</v>
      </c>
      <c r="CV193" s="539">
        <f t="shared" si="78"/>
        <v>13909.446440123251</v>
      </c>
      <c r="CW193" s="539">
        <f t="shared" si="78"/>
        <v>13909.446440123251</v>
      </c>
      <c r="CX193" s="539">
        <f t="shared" si="78"/>
        <v>13909.446440123251</v>
      </c>
      <c r="CY193" s="539">
        <f t="shared" si="78"/>
        <v>13909.446440123251</v>
      </c>
      <c r="CZ193" s="539">
        <f t="shared" si="78"/>
        <v>13909.446440123251</v>
      </c>
      <c r="DA193" s="539">
        <f t="shared" si="78"/>
        <v>13909.446440123251</v>
      </c>
      <c r="DB193" s="539">
        <f t="shared" si="78"/>
        <v>13909.446440123251</v>
      </c>
      <c r="DC193" s="539">
        <f t="shared" si="78"/>
        <v>13909.446440123251</v>
      </c>
      <c r="DD193" s="539">
        <f t="shared" si="78"/>
        <v>13909.446440123251</v>
      </c>
      <c r="DE193" s="539">
        <f t="shared" si="78"/>
        <v>13909.446440123251</v>
      </c>
      <c r="DF193" s="539">
        <f t="shared" si="78"/>
        <v>13909.446440123251</v>
      </c>
      <c r="DG193" s="539">
        <f t="shared" si="78"/>
        <v>13909.446440123251</v>
      </c>
      <c r="DH193" s="539">
        <f t="shared" si="78"/>
        <v>13909.446440123251</v>
      </c>
      <c r="DI193" s="539">
        <f t="shared" si="78"/>
        <v>13909.446440123251</v>
      </c>
      <c r="DJ193" s="539">
        <f t="shared" si="78"/>
        <v>13909.446440123251</v>
      </c>
      <c r="DK193" s="539">
        <f t="shared" si="78"/>
        <v>13909.446440123251</v>
      </c>
      <c r="DL193" s="539">
        <f t="shared" si="78"/>
        <v>13909.446440123251</v>
      </c>
      <c r="DM193" s="539">
        <f t="shared" si="78"/>
        <v>13909.446440123251</v>
      </c>
      <c r="DN193" s="539">
        <f t="shared" si="78"/>
        <v>13909.446440123251</v>
      </c>
      <c r="DO193" s="539">
        <f t="shared" si="78"/>
        <v>13909.446440123251</v>
      </c>
      <c r="DP193" s="539">
        <f t="shared" si="78"/>
        <v>13909.446440123251</v>
      </c>
      <c r="DQ193" s="539">
        <f t="shared" si="78"/>
        <v>13909.446440123251</v>
      </c>
      <c r="DR193" s="539">
        <f t="shared" si="78"/>
        <v>13909.446440123251</v>
      </c>
      <c r="DS193" s="539">
        <f t="shared" si="78"/>
        <v>13909.446440123251</v>
      </c>
      <c r="DT193" s="539">
        <f t="shared" si="78"/>
        <v>13909.446440123251</v>
      </c>
      <c r="DU193" s="539">
        <f t="shared" si="78"/>
        <v>13909.446440123251</v>
      </c>
      <c r="DV193" s="539">
        <f t="shared" si="78"/>
        <v>13909.446440123251</v>
      </c>
      <c r="DW193" s="539">
        <f t="shared" si="78"/>
        <v>13909.446440123251</v>
      </c>
      <c r="DX193" s="539">
        <f t="shared" si="78"/>
        <v>13909.446440123251</v>
      </c>
      <c r="DY193" s="539">
        <f t="shared" si="78"/>
        <v>13909.446440123251</v>
      </c>
      <c r="DZ193" s="539">
        <f t="shared" si="78"/>
        <v>13909.446440123251</v>
      </c>
      <c r="EA193" s="539">
        <f t="shared" si="78"/>
        <v>13909.446440123251</v>
      </c>
      <c r="EB193" s="539">
        <f t="shared" si="78"/>
        <v>13909.446440123251</v>
      </c>
      <c r="EC193" s="539">
        <f t="shared" si="78"/>
        <v>0</v>
      </c>
      <c r="ED193" s="539">
        <f t="shared" si="78"/>
        <v>0</v>
      </c>
      <c r="EE193" s="539">
        <f t="shared" si="78"/>
        <v>0</v>
      </c>
      <c r="EF193" s="539">
        <f t="shared" si="78"/>
        <v>0</v>
      </c>
      <c r="EG193" s="539">
        <f t="shared" si="78"/>
        <v>0</v>
      </c>
    </row>
    <row r="194" spans="5:7" ht="12.75">
      <c r="E194" s="540" t="s">
        <v>505</v>
      </c>
      <c r="F194" s="543">
        <f>IF(ABS(SUM($J184:$EG184)+SUM($J186:$EG186)-SUM($J190:$EG190)-SUMIFS($J191:$EG191,$J183:$EG183,1))+ABS(SUM($J187:$EG187)-SUM($J188:$EG188)-SUMIFS($J189:$EG189,$J183:$EG183,1))+ABS(SUM($J185:$EG185)-SUM($J192:$EG192)-SUMIFS($J193:$EG193,$J183:$EG183,1))&gt;$F182,1,0)</f>
        <v>0</v>
      </c>
      <c r="G194" s="541" t="s">
        <v>224</v>
      </c>
    </row>
    <row r="196" spans="5:7" ht="12.75">
      <c r="E196" s="535" t="str">
        <f>InpC!E$128</f>
        <v>Check tolerance</v>
      </c>
      <c r="F196" s="537">
        <f>InpC!F$128</f>
        <v>0.001</v>
      </c>
      <c r="G196" s="537" t="str">
        <f>InpC!G$128</f>
        <v>EUR 000s</v>
      </c>
    </row>
    <row r="197" spans="5:137" ht="12.75">
      <c r="E197" s="535" t="str">
        <f>Time!E$170</f>
        <v>Last model period flag</v>
      </c>
      <c r="G197" s="537" t="str">
        <f>Time!G$170</f>
        <v>flag</v>
      </c>
      <c r="H197" s="537">
        <f>Time!H$170</f>
        <v>1</v>
      </c>
      <c r="J197" s="537">
        <f>Time!J$170</f>
        <v>0</v>
      </c>
      <c r="K197" s="537">
        <f>Time!K$170</f>
        <v>0</v>
      </c>
      <c r="L197" s="537">
        <f>Time!L$170</f>
        <v>0</v>
      </c>
      <c r="M197" s="537">
        <f>Time!M$170</f>
        <v>0</v>
      </c>
      <c r="N197" s="537">
        <f>Time!N$170</f>
        <v>0</v>
      </c>
      <c r="O197" s="537">
        <f>Time!O$170</f>
        <v>0</v>
      </c>
      <c r="P197" s="537">
        <f>Time!P$170</f>
        <v>0</v>
      </c>
      <c r="Q197" s="537">
        <f>Time!Q$170</f>
        <v>0</v>
      </c>
      <c r="R197" s="537">
        <f>Time!R$170</f>
        <v>0</v>
      </c>
      <c r="S197" s="537">
        <f>Time!S$170</f>
        <v>0</v>
      </c>
      <c r="T197" s="537">
        <f>Time!T$170</f>
        <v>0</v>
      </c>
      <c r="U197" s="537">
        <f>Time!U$170</f>
        <v>0</v>
      </c>
      <c r="V197" s="537">
        <f>Time!V$170</f>
        <v>0</v>
      </c>
      <c r="W197" s="537">
        <f>Time!W$170</f>
        <v>0</v>
      </c>
      <c r="X197" s="537">
        <f>Time!X$170</f>
        <v>0</v>
      </c>
      <c r="Y197" s="537">
        <f>Time!Y$170</f>
        <v>0</v>
      </c>
      <c r="Z197" s="537">
        <f>Time!Z$170</f>
        <v>0</v>
      </c>
      <c r="AA197" s="537">
        <f>Time!AA$170</f>
        <v>0</v>
      </c>
      <c r="AB197" s="537">
        <f>Time!AB$170</f>
        <v>0</v>
      </c>
      <c r="AC197" s="537">
        <f>Time!AC$170</f>
        <v>0</v>
      </c>
      <c r="AD197" s="537">
        <f>Time!AD$170</f>
        <v>0</v>
      </c>
      <c r="AE197" s="537">
        <f>Time!AE$170</f>
        <v>0</v>
      </c>
      <c r="AF197" s="537">
        <f>Time!AF$170</f>
        <v>0</v>
      </c>
      <c r="AG197" s="537">
        <f>Time!AG$170</f>
        <v>0</v>
      </c>
      <c r="AH197" s="537">
        <f>Time!AH$170</f>
        <v>0</v>
      </c>
      <c r="AI197" s="537">
        <f>Time!AI$170</f>
        <v>0</v>
      </c>
      <c r="AJ197" s="537">
        <f>Time!AJ$170</f>
        <v>0</v>
      </c>
      <c r="AK197" s="537">
        <f>Time!AK$170</f>
        <v>0</v>
      </c>
      <c r="AL197" s="537">
        <f>Time!AL$170</f>
        <v>0</v>
      </c>
      <c r="AM197" s="537">
        <f>Time!AM$170</f>
        <v>0</v>
      </c>
      <c r="AN197" s="537">
        <f>Time!AN$170</f>
        <v>0</v>
      </c>
      <c r="AO197" s="537">
        <f>Time!AO$170</f>
        <v>0</v>
      </c>
      <c r="AP197" s="537">
        <f>Time!AP$170</f>
        <v>0</v>
      </c>
      <c r="AQ197" s="537">
        <f>Time!AQ$170</f>
        <v>0</v>
      </c>
      <c r="AR197" s="537">
        <f>Time!AR$170</f>
        <v>0</v>
      </c>
      <c r="AS197" s="537">
        <f>Time!AS$170</f>
        <v>0</v>
      </c>
      <c r="AT197" s="537">
        <f>Time!AT$170</f>
        <v>0</v>
      </c>
      <c r="AU197" s="537">
        <f>Time!AU$170</f>
        <v>0</v>
      </c>
      <c r="AV197" s="537">
        <f>Time!AV$170</f>
        <v>0</v>
      </c>
      <c r="AW197" s="537">
        <f>Time!AW$170</f>
        <v>0</v>
      </c>
      <c r="AX197" s="537">
        <f>Time!AX$170</f>
        <v>0</v>
      </c>
      <c r="AY197" s="537">
        <f>Time!AY$170</f>
        <v>0</v>
      </c>
      <c r="AZ197" s="537">
        <f>Time!AZ$170</f>
        <v>0</v>
      </c>
      <c r="BA197" s="537">
        <f>Time!BA$170</f>
        <v>0</v>
      </c>
      <c r="BB197" s="537">
        <f>Time!BB$170</f>
        <v>0</v>
      </c>
      <c r="BC197" s="537">
        <f>Time!BC$170</f>
        <v>0</v>
      </c>
      <c r="BD197" s="537">
        <f>Time!BD$170</f>
        <v>0</v>
      </c>
      <c r="BE197" s="537">
        <f>Time!BE$170</f>
        <v>0</v>
      </c>
      <c r="BF197" s="537">
        <f>Time!BF$170</f>
        <v>0</v>
      </c>
      <c r="BG197" s="537">
        <f>Time!BG$170</f>
        <v>0</v>
      </c>
      <c r="BH197" s="537">
        <f>Time!BH$170</f>
        <v>0</v>
      </c>
      <c r="BI197" s="537">
        <f>Time!BI$170</f>
        <v>0</v>
      </c>
      <c r="BJ197" s="537">
        <f>Time!BJ$170</f>
        <v>0</v>
      </c>
      <c r="BK197" s="537">
        <f>Time!BK$170</f>
        <v>0</v>
      </c>
      <c r="BL197" s="537">
        <f>Time!BL$170</f>
        <v>0</v>
      </c>
      <c r="BM197" s="537">
        <f>Time!BM$170</f>
        <v>0</v>
      </c>
      <c r="BN197" s="537">
        <f>Time!BN$170</f>
        <v>0</v>
      </c>
      <c r="BO197" s="537">
        <f>Time!BO$170</f>
        <v>0</v>
      </c>
      <c r="BP197" s="537">
        <f>Time!BP$170</f>
        <v>0</v>
      </c>
      <c r="BQ197" s="537">
        <f>Time!BQ$170</f>
        <v>0</v>
      </c>
      <c r="BR197" s="537">
        <f>Time!BR$170</f>
        <v>0</v>
      </c>
      <c r="BS197" s="537">
        <f>Time!BS$170</f>
        <v>0</v>
      </c>
      <c r="BT197" s="537">
        <f>Time!BT$170</f>
        <v>0</v>
      </c>
      <c r="BU197" s="537">
        <f>Time!BU$170</f>
        <v>0</v>
      </c>
      <c r="BV197" s="537">
        <f>Time!BV$170</f>
        <v>0</v>
      </c>
      <c r="BW197" s="537">
        <f>Time!BW$170</f>
        <v>0</v>
      </c>
      <c r="BX197" s="537">
        <f>Time!BX$170</f>
        <v>0</v>
      </c>
      <c r="BY197" s="537">
        <f>Time!BY$170</f>
        <v>0</v>
      </c>
      <c r="BZ197" s="537">
        <f>Time!BZ$170</f>
        <v>0</v>
      </c>
      <c r="CA197" s="537">
        <f>Time!CA$170</f>
        <v>0</v>
      </c>
      <c r="CB197" s="537">
        <f>Time!CB$170</f>
        <v>0</v>
      </c>
      <c r="CC197" s="537">
        <f>Time!CC$170</f>
        <v>0</v>
      </c>
      <c r="CD197" s="537">
        <f>Time!CD$170</f>
        <v>0</v>
      </c>
      <c r="CE197" s="537">
        <f>Time!CE$170</f>
        <v>0</v>
      </c>
      <c r="CF197" s="537">
        <f>Time!CF$170</f>
        <v>0</v>
      </c>
      <c r="CG197" s="537">
        <f>Time!CG$170</f>
        <v>0</v>
      </c>
      <c r="CH197" s="537">
        <f>Time!CH$170</f>
        <v>0</v>
      </c>
      <c r="CI197" s="537">
        <f>Time!CI$170</f>
        <v>0</v>
      </c>
      <c r="CJ197" s="537">
        <f>Time!CJ$170</f>
        <v>0</v>
      </c>
      <c r="CK197" s="537">
        <f>Time!CK$170</f>
        <v>0</v>
      </c>
      <c r="CL197" s="537">
        <f>Time!CL$170</f>
        <v>0</v>
      </c>
      <c r="CM197" s="537">
        <f>Time!CM$170</f>
        <v>0</v>
      </c>
      <c r="CN197" s="537">
        <f>Time!CN$170</f>
        <v>0</v>
      </c>
      <c r="CO197" s="537">
        <f>Time!CO$170</f>
        <v>0</v>
      </c>
      <c r="CP197" s="537">
        <f>Time!CP$170</f>
        <v>0</v>
      </c>
      <c r="CQ197" s="537">
        <f>Time!CQ$170</f>
        <v>0</v>
      </c>
      <c r="CR197" s="537">
        <f>Time!CR$170</f>
        <v>0</v>
      </c>
      <c r="CS197" s="537">
        <f>Time!CS$170</f>
        <v>0</v>
      </c>
      <c r="CT197" s="537">
        <f>Time!CT$170</f>
        <v>0</v>
      </c>
      <c r="CU197" s="537">
        <f>Time!CU$170</f>
        <v>0</v>
      </c>
      <c r="CV197" s="537">
        <f>Time!CV$170</f>
        <v>0</v>
      </c>
      <c r="CW197" s="537">
        <f>Time!CW$170</f>
        <v>0</v>
      </c>
      <c r="CX197" s="537">
        <f>Time!CX$170</f>
        <v>0</v>
      </c>
      <c r="CY197" s="537">
        <f>Time!CY$170</f>
        <v>0</v>
      </c>
      <c r="CZ197" s="537">
        <f>Time!CZ$170</f>
        <v>0</v>
      </c>
      <c r="DA197" s="537">
        <f>Time!DA$170</f>
        <v>0</v>
      </c>
      <c r="DB197" s="537">
        <f>Time!DB$170</f>
        <v>0</v>
      </c>
      <c r="DC197" s="537">
        <f>Time!DC$170</f>
        <v>0</v>
      </c>
      <c r="DD197" s="537">
        <f>Time!DD$170</f>
        <v>0</v>
      </c>
      <c r="DE197" s="537">
        <f>Time!DE$170</f>
        <v>0</v>
      </c>
      <c r="DF197" s="537">
        <f>Time!DF$170</f>
        <v>0</v>
      </c>
      <c r="DG197" s="537">
        <f>Time!DG$170</f>
        <v>0</v>
      </c>
      <c r="DH197" s="537">
        <f>Time!DH$170</f>
        <v>0</v>
      </c>
      <c r="DI197" s="537">
        <f>Time!DI$170</f>
        <v>0</v>
      </c>
      <c r="DJ197" s="537">
        <f>Time!DJ$170</f>
        <v>0</v>
      </c>
      <c r="DK197" s="537">
        <f>Time!DK$170</f>
        <v>0</v>
      </c>
      <c r="DL197" s="537">
        <f>Time!DL$170</f>
        <v>0</v>
      </c>
      <c r="DM197" s="537">
        <f>Time!DM$170</f>
        <v>0</v>
      </c>
      <c r="DN197" s="537">
        <f>Time!DN$170</f>
        <v>0</v>
      </c>
      <c r="DO197" s="537">
        <f>Time!DO$170</f>
        <v>0</v>
      </c>
      <c r="DP197" s="537">
        <f>Time!DP$170</f>
        <v>0</v>
      </c>
      <c r="DQ197" s="537">
        <f>Time!DQ$170</f>
        <v>0</v>
      </c>
      <c r="DR197" s="537">
        <f>Time!DR$170</f>
        <v>0</v>
      </c>
      <c r="DS197" s="537">
        <f>Time!DS$170</f>
        <v>0</v>
      </c>
      <c r="DT197" s="537">
        <f>Time!DT$170</f>
        <v>0</v>
      </c>
      <c r="DU197" s="537">
        <f>Time!DU$170</f>
        <v>0</v>
      </c>
      <c r="DV197" s="537">
        <f>Time!DV$170</f>
        <v>0</v>
      </c>
      <c r="DW197" s="537">
        <f>Time!DW$170</f>
        <v>0</v>
      </c>
      <c r="DX197" s="537">
        <f>Time!DX$170</f>
        <v>0</v>
      </c>
      <c r="DY197" s="537">
        <f>Time!DY$170</f>
        <v>0</v>
      </c>
      <c r="DZ197" s="537">
        <f>Time!DZ$170</f>
        <v>0</v>
      </c>
      <c r="EA197" s="537">
        <f>Time!EA$170</f>
        <v>0</v>
      </c>
      <c r="EB197" s="537">
        <f>Time!EB$170</f>
        <v>0</v>
      </c>
      <c r="EC197" s="537">
        <f>Time!EC$170</f>
        <v>0</v>
      </c>
      <c r="ED197" s="537">
        <f>Time!ED$170</f>
        <v>0</v>
      </c>
      <c r="EE197" s="537">
        <f>Time!EE$170</f>
        <v>0</v>
      </c>
      <c r="EF197" s="537">
        <f>Time!EF$170</f>
        <v>0</v>
      </c>
      <c r="EG197" s="537">
        <f>Time!EG$170</f>
        <v>1</v>
      </c>
    </row>
    <row r="198" spans="5:137" ht="12.75">
      <c r="E198" s="538" t="str">
        <f>E$53</f>
        <v>Shareholder loan - closing unpaid interest</v>
      </c>
      <c r="G198" s="539" t="str">
        <f>G$53</f>
        <v>EUR 000s</v>
      </c>
      <c r="H198" s="539">
        <f>H$53</f>
        <v>0</v>
      </c>
      <c r="J198" s="539">
        <f t="shared" si="79" ref="J198:EG198">J$53</f>
        <v>0</v>
      </c>
      <c r="K198" s="539">
        <f t="shared" si="79"/>
        <v>0</v>
      </c>
      <c r="L198" s="539">
        <f t="shared" si="79"/>
        <v>0</v>
      </c>
      <c r="M198" s="539">
        <f t="shared" si="79"/>
        <v>0</v>
      </c>
      <c r="N198" s="539">
        <f t="shared" si="79"/>
        <v>0</v>
      </c>
      <c r="O198" s="539">
        <f t="shared" si="79"/>
        <v>0</v>
      </c>
      <c r="P198" s="539">
        <f t="shared" si="79"/>
        <v>0</v>
      </c>
      <c r="Q198" s="539">
        <f t="shared" si="79"/>
        <v>0</v>
      </c>
      <c r="R198" s="539">
        <f t="shared" si="79"/>
        <v>0</v>
      </c>
      <c r="S198" s="539">
        <f t="shared" si="79"/>
        <v>0</v>
      </c>
      <c r="T198" s="539">
        <f t="shared" si="79"/>
        <v>0</v>
      </c>
      <c r="U198" s="539">
        <f t="shared" si="79"/>
        <v>0</v>
      </c>
      <c r="V198" s="539">
        <f t="shared" si="79"/>
        <v>0</v>
      </c>
      <c r="W198" s="539">
        <f t="shared" si="79"/>
        <v>0</v>
      </c>
      <c r="X198" s="539">
        <f t="shared" si="79"/>
        <v>0</v>
      </c>
      <c r="Y198" s="539">
        <f t="shared" si="79"/>
        <v>0</v>
      </c>
      <c r="Z198" s="539">
        <f t="shared" si="79"/>
        <v>0</v>
      </c>
      <c r="AA198" s="539">
        <f t="shared" si="79"/>
        <v>0</v>
      </c>
      <c r="AB198" s="539">
        <f t="shared" si="79"/>
        <v>0</v>
      </c>
      <c r="AC198" s="539">
        <f t="shared" si="79"/>
        <v>0</v>
      </c>
      <c r="AD198" s="539">
        <f t="shared" si="79"/>
        <v>0</v>
      </c>
      <c r="AE198" s="539">
        <f t="shared" si="79"/>
        <v>0</v>
      </c>
      <c r="AF198" s="539">
        <f t="shared" si="79"/>
        <v>0</v>
      </c>
      <c r="AG198" s="539">
        <f t="shared" si="79"/>
        <v>0</v>
      </c>
      <c r="AH198" s="539">
        <f t="shared" si="79"/>
        <v>0</v>
      </c>
      <c r="AI198" s="539">
        <f t="shared" si="79"/>
        <v>0</v>
      </c>
      <c r="AJ198" s="539">
        <f t="shared" si="79"/>
        <v>0</v>
      </c>
      <c r="AK198" s="539">
        <f t="shared" si="79"/>
        <v>0</v>
      </c>
      <c r="AL198" s="539">
        <f t="shared" si="79"/>
        <v>0</v>
      </c>
      <c r="AM198" s="539">
        <f t="shared" si="79"/>
        <v>0</v>
      </c>
      <c r="AN198" s="539">
        <f t="shared" si="79"/>
        <v>0</v>
      </c>
      <c r="AO198" s="539">
        <f t="shared" si="79"/>
        <v>0</v>
      </c>
      <c r="AP198" s="539">
        <f t="shared" si="79"/>
        <v>0</v>
      </c>
      <c r="AQ198" s="539">
        <f t="shared" si="79"/>
        <v>0</v>
      </c>
      <c r="AR198" s="539">
        <f t="shared" si="79"/>
        <v>0</v>
      </c>
      <c r="AS198" s="539">
        <f t="shared" si="79"/>
        <v>0</v>
      </c>
      <c r="AT198" s="539">
        <f t="shared" si="79"/>
        <v>0</v>
      </c>
      <c r="AU198" s="539">
        <f t="shared" si="79"/>
        <v>0</v>
      </c>
      <c r="AV198" s="539">
        <f t="shared" si="79"/>
        <v>0</v>
      </c>
      <c r="AW198" s="539">
        <f t="shared" si="79"/>
        <v>0</v>
      </c>
      <c r="AX198" s="539">
        <f t="shared" si="79"/>
        <v>0</v>
      </c>
      <c r="AY198" s="539">
        <f t="shared" si="79"/>
        <v>0</v>
      </c>
      <c r="AZ198" s="539">
        <f t="shared" si="79"/>
        <v>0</v>
      </c>
      <c r="BA198" s="539">
        <f t="shared" si="79"/>
        <v>0</v>
      </c>
      <c r="BB198" s="539">
        <f t="shared" si="79"/>
        <v>0</v>
      </c>
      <c r="BC198" s="539">
        <f t="shared" si="79"/>
        <v>0</v>
      </c>
      <c r="BD198" s="539">
        <f t="shared" si="79"/>
        <v>0</v>
      </c>
      <c r="BE198" s="539">
        <f t="shared" si="79"/>
        <v>0</v>
      </c>
      <c r="BF198" s="539">
        <f t="shared" si="79"/>
        <v>0</v>
      </c>
      <c r="BG198" s="539">
        <f t="shared" si="79"/>
        <v>0</v>
      </c>
      <c r="BH198" s="539">
        <f t="shared" si="79"/>
        <v>0</v>
      </c>
      <c r="BI198" s="539">
        <f t="shared" si="79"/>
        <v>0</v>
      </c>
      <c r="BJ198" s="539">
        <f t="shared" si="79"/>
        <v>0</v>
      </c>
      <c r="BK198" s="539">
        <f t="shared" si="79"/>
        <v>0</v>
      </c>
      <c r="BL198" s="539">
        <f t="shared" si="79"/>
        <v>0</v>
      </c>
      <c r="BM198" s="539">
        <f t="shared" si="79"/>
        <v>0</v>
      </c>
      <c r="BN198" s="539">
        <f t="shared" si="79"/>
        <v>0</v>
      </c>
      <c r="BO198" s="539">
        <f t="shared" si="79"/>
        <v>0</v>
      </c>
      <c r="BP198" s="539">
        <f t="shared" si="79"/>
        <v>0</v>
      </c>
      <c r="BQ198" s="539">
        <f t="shared" si="79"/>
        <v>0</v>
      </c>
      <c r="BR198" s="539">
        <f t="shared" si="79"/>
        <v>0</v>
      </c>
      <c r="BS198" s="539">
        <f t="shared" si="79"/>
        <v>0</v>
      </c>
      <c r="BT198" s="539">
        <f t="shared" si="79"/>
        <v>0</v>
      </c>
      <c r="BU198" s="539">
        <f t="shared" si="79"/>
        <v>0</v>
      </c>
      <c r="BV198" s="539">
        <f t="shared" si="79"/>
        <v>0</v>
      </c>
      <c r="BW198" s="539">
        <f t="shared" si="79"/>
        <v>0</v>
      </c>
      <c r="BX198" s="539">
        <f t="shared" si="79"/>
        <v>0</v>
      </c>
      <c r="BY198" s="539">
        <f t="shared" si="79"/>
        <v>0</v>
      </c>
      <c r="BZ198" s="539">
        <f t="shared" si="79"/>
        <v>0</v>
      </c>
      <c r="CA198" s="539">
        <f t="shared" si="79"/>
        <v>0</v>
      </c>
      <c r="CB198" s="539">
        <f t="shared" si="79"/>
        <v>0</v>
      </c>
      <c r="CC198" s="539">
        <f t="shared" si="79"/>
        <v>0</v>
      </c>
      <c r="CD198" s="539">
        <f t="shared" si="79"/>
        <v>0</v>
      </c>
      <c r="CE198" s="539">
        <f t="shared" si="79"/>
        <v>0</v>
      </c>
      <c r="CF198" s="539">
        <f t="shared" si="79"/>
        <v>0</v>
      </c>
      <c r="CG198" s="539">
        <f t="shared" si="79"/>
        <v>0</v>
      </c>
      <c r="CH198" s="539">
        <f t="shared" si="79"/>
        <v>0</v>
      </c>
      <c r="CI198" s="539">
        <f t="shared" si="79"/>
        <v>0</v>
      </c>
      <c r="CJ198" s="539">
        <f t="shared" si="79"/>
        <v>0</v>
      </c>
      <c r="CK198" s="539">
        <f t="shared" si="79"/>
        <v>0</v>
      </c>
      <c r="CL198" s="539">
        <f t="shared" si="79"/>
        <v>0</v>
      </c>
      <c r="CM198" s="539">
        <f t="shared" si="79"/>
        <v>0</v>
      </c>
      <c r="CN198" s="539">
        <f t="shared" si="79"/>
        <v>0</v>
      </c>
      <c r="CO198" s="539">
        <f t="shared" si="79"/>
        <v>0</v>
      </c>
      <c r="CP198" s="539">
        <f t="shared" si="79"/>
        <v>0</v>
      </c>
      <c r="CQ198" s="539">
        <f t="shared" si="79"/>
        <v>0</v>
      </c>
      <c r="CR198" s="539">
        <f t="shared" si="79"/>
        <v>0</v>
      </c>
      <c r="CS198" s="539">
        <f t="shared" si="79"/>
        <v>0</v>
      </c>
      <c r="CT198" s="539">
        <f t="shared" si="79"/>
        <v>0</v>
      </c>
      <c r="CU198" s="539">
        <f t="shared" si="79"/>
        <v>0</v>
      </c>
      <c r="CV198" s="539">
        <f t="shared" si="79"/>
        <v>0</v>
      </c>
      <c r="CW198" s="539">
        <f t="shared" si="79"/>
        <v>0</v>
      </c>
      <c r="CX198" s="539">
        <f t="shared" si="79"/>
        <v>0</v>
      </c>
      <c r="CY198" s="539">
        <f t="shared" si="79"/>
        <v>0</v>
      </c>
      <c r="CZ198" s="539">
        <f t="shared" si="79"/>
        <v>0</v>
      </c>
      <c r="DA198" s="539">
        <f t="shared" si="79"/>
        <v>0</v>
      </c>
      <c r="DB198" s="539">
        <f t="shared" si="79"/>
        <v>0</v>
      </c>
      <c r="DC198" s="539">
        <f t="shared" si="79"/>
        <v>0</v>
      </c>
      <c r="DD198" s="539">
        <f t="shared" si="79"/>
        <v>0</v>
      </c>
      <c r="DE198" s="539">
        <f t="shared" si="79"/>
        <v>0</v>
      </c>
      <c r="DF198" s="539">
        <f t="shared" si="79"/>
        <v>0</v>
      </c>
      <c r="DG198" s="539">
        <f t="shared" si="79"/>
        <v>0</v>
      </c>
      <c r="DH198" s="539">
        <f t="shared" si="79"/>
        <v>0</v>
      </c>
      <c r="DI198" s="539">
        <f t="shared" si="79"/>
        <v>0</v>
      </c>
      <c r="DJ198" s="539">
        <f t="shared" si="79"/>
        <v>0</v>
      </c>
      <c r="DK198" s="539">
        <f t="shared" si="79"/>
        <v>0</v>
      </c>
      <c r="DL198" s="539">
        <f t="shared" si="79"/>
        <v>0</v>
      </c>
      <c r="DM198" s="539">
        <f t="shared" si="79"/>
        <v>0</v>
      </c>
      <c r="DN198" s="539">
        <f t="shared" si="79"/>
        <v>0</v>
      </c>
      <c r="DO198" s="539">
        <f t="shared" si="79"/>
        <v>0</v>
      </c>
      <c r="DP198" s="539">
        <f t="shared" si="79"/>
        <v>0</v>
      </c>
      <c r="DQ198" s="539">
        <f t="shared" si="79"/>
        <v>0</v>
      </c>
      <c r="DR198" s="539">
        <f t="shared" si="79"/>
        <v>0</v>
      </c>
      <c r="DS198" s="539">
        <f t="shared" si="79"/>
        <v>0</v>
      </c>
      <c r="DT198" s="539">
        <f t="shared" si="79"/>
        <v>0</v>
      </c>
      <c r="DU198" s="539">
        <f t="shared" si="79"/>
        <v>0</v>
      </c>
      <c r="DV198" s="539">
        <f t="shared" si="79"/>
        <v>0</v>
      </c>
      <c r="DW198" s="539">
        <f t="shared" si="79"/>
        <v>0</v>
      </c>
      <c r="DX198" s="539">
        <f t="shared" si="79"/>
        <v>0</v>
      </c>
      <c r="DY198" s="539">
        <f t="shared" si="79"/>
        <v>0</v>
      </c>
      <c r="DZ198" s="539">
        <f t="shared" si="79"/>
        <v>0</v>
      </c>
      <c r="EA198" s="539">
        <f t="shared" si="79"/>
        <v>0</v>
      </c>
      <c r="EB198" s="539">
        <f t="shared" si="79"/>
        <v>0</v>
      </c>
      <c r="EC198" s="539">
        <f t="shared" si="79"/>
        <v>0</v>
      </c>
      <c r="ED198" s="539">
        <f t="shared" si="79"/>
        <v>0</v>
      </c>
      <c r="EE198" s="539">
        <f t="shared" si="79"/>
        <v>0</v>
      </c>
      <c r="EF198" s="539">
        <f t="shared" si="79"/>
        <v>0</v>
      </c>
      <c r="EG198" s="539">
        <f t="shared" si="79"/>
        <v>0</v>
      </c>
    </row>
    <row r="199" spans="5:137" ht="12.75">
      <c r="E199" s="538" t="str">
        <f>E$64</f>
        <v>Shareholder loan - closing balance</v>
      </c>
      <c r="G199" s="539" t="str">
        <f>G$64</f>
        <v>EUR 000s</v>
      </c>
      <c r="H199" s="539">
        <f>H$64</f>
        <v>1982209.3275418179</v>
      </c>
      <c r="J199" s="539">
        <f t="shared" si="80" ref="J199:EG199">J$64</f>
        <v>0</v>
      </c>
      <c r="K199" s="539">
        <f t="shared" si="80"/>
        <v>0</v>
      </c>
      <c r="L199" s="539">
        <f t="shared" si="80"/>
        <v>9055.4397749326417</v>
      </c>
      <c r="M199" s="539">
        <f t="shared" si="80"/>
        <v>19828.091695005383</v>
      </c>
      <c r="N199" s="539">
        <f t="shared" si="80"/>
        <v>30939.160758532307</v>
      </c>
      <c r="O199" s="539">
        <f t="shared" si="80"/>
        <v>41851.875073305215</v>
      </c>
      <c r="P199" s="539">
        <f t="shared" si="80"/>
        <v>53108.507977738744</v>
      </c>
      <c r="Q199" s="539">
        <f t="shared" si="80"/>
        <v>56550.332750408648</v>
      </c>
      <c r="R199" s="539">
        <f t="shared" si="80"/>
        <v>56875.690829246618</v>
      </c>
      <c r="S199" s="539">
        <f t="shared" si="80"/>
        <v>57213.828498012277</v>
      </c>
      <c r="T199" s="539">
        <f t="shared" si="80"/>
        <v>57543.003949644677</v>
      </c>
      <c r="U199" s="539">
        <f t="shared" si="80"/>
        <v>57885.108932030234</v>
      </c>
      <c r="V199" s="539">
        <f t="shared" si="80"/>
        <v>58229.247798831617</v>
      </c>
      <c r="W199" s="539">
        <f t="shared" si="80"/>
        <v>58553.098135904569</v>
      </c>
      <c r="X199" s="539">
        <f t="shared" si="80"/>
        <v>58901.208335781041</v>
      </c>
      <c r="Y199" s="539">
        <f t="shared" si="80"/>
        <v>59240.092000178687</v>
      </c>
      <c r="Z199" s="539">
        <f t="shared" si="80"/>
        <v>59592.286519741392</v>
      </c>
      <c r="AA199" s="539">
        <f t="shared" si="80"/>
        <v>59935.146250402919</v>
      </c>
      <c r="AB199" s="539">
        <f t="shared" si="80"/>
        <v>60291.473010302572</v>
      </c>
      <c r="AC199" s="539">
        <f t="shared" si="80"/>
        <v>60649.918206007656</v>
      </c>
      <c r="AD199" s="539">
        <f t="shared" si="80"/>
        <v>60998.862940891537</v>
      </c>
      <c r="AE199" s="539">
        <f t="shared" si="80"/>
        <v>61361.513715088069</v>
      </c>
      <c r="AF199" s="539">
        <f t="shared" si="80"/>
        <v>61714.552561120079</v>
      </c>
      <c r="AG199" s="539">
        <f t="shared" si="80"/>
        <v>62081.458257168379</v>
      </c>
      <c r="AH199" s="539">
        <f t="shared" si="80"/>
        <v>61769.077871355606</v>
      </c>
      <c r="AI199" s="539">
        <f t="shared" si="80"/>
        <v>59557.542866753516</v>
      </c>
      <c r="AJ199" s="539">
        <f t="shared" si="80"/>
        <v>57362.985839563422</v>
      </c>
      <c r="AK199" s="539">
        <f t="shared" si="80"/>
        <v>55180.048033191357</v>
      </c>
      <c r="AL199" s="539">
        <f t="shared" si="80"/>
        <v>52817.815182127983</v>
      </c>
      <c r="AM199" s="539">
        <f t="shared" si="80"/>
        <v>50326.084203872269</v>
      </c>
      <c r="AN199" s="539">
        <f t="shared" si="80"/>
        <v>47845.21441609368</v>
      </c>
      <c r="AO199" s="539">
        <f t="shared" si="80"/>
        <v>45371.558411777805</v>
      </c>
      <c r="AP199" s="539">
        <f t="shared" si="80"/>
        <v>42716.227277735845</v>
      </c>
      <c r="AQ199" s="539">
        <f t="shared" si="80"/>
        <v>39922.967795742785</v>
      </c>
      <c r="AR199" s="539">
        <f t="shared" si="80"/>
        <v>37144.669484579557</v>
      </c>
      <c r="AS199" s="539">
        <f t="shared" si="80"/>
        <v>34347.398057166916</v>
      </c>
      <c r="AT199" s="539">
        <f t="shared" si="80"/>
        <v>33106.60538227643</v>
      </c>
      <c r="AU199" s="539">
        <f t="shared" si="80"/>
        <v>31777.319624505373</v>
      </c>
      <c r="AV199" s="539">
        <f t="shared" si="80"/>
        <v>30458.129918926981</v>
      </c>
      <c r="AW199" s="539">
        <f t="shared" si="80"/>
        <v>29172.297305380191</v>
      </c>
      <c r="AX199" s="539">
        <f t="shared" si="80"/>
        <v>25985.898446283911</v>
      </c>
      <c r="AY199" s="539">
        <f t="shared" si="80"/>
        <v>22643.916663214375</v>
      </c>
      <c r="AZ199" s="539">
        <f t="shared" si="80"/>
        <v>19233.170484658836</v>
      </c>
      <c r="BA199" s="539">
        <f t="shared" si="80"/>
        <v>15810.762049058863</v>
      </c>
      <c r="BB199" s="539">
        <f t="shared" si="80"/>
        <v>12307.920256124464</v>
      </c>
      <c r="BC199" s="539">
        <f t="shared" si="80"/>
        <v>8651.7634543701279</v>
      </c>
      <c r="BD199" s="539">
        <f t="shared" si="80"/>
        <v>4984.8250078702995</v>
      </c>
      <c r="BE199" s="539">
        <f t="shared" si="80"/>
        <v>1315.2315389118025</v>
      </c>
      <c r="BF199" s="539">
        <f t="shared" si="80"/>
        <v>0</v>
      </c>
      <c r="BG199" s="539">
        <f t="shared" si="80"/>
        <v>0</v>
      </c>
      <c r="BH199" s="539">
        <f t="shared" si="80"/>
        <v>0</v>
      </c>
      <c r="BI199" s="539">
        <f t="shared" si="80"/>
        <v>0</v>
      </c>
      <c r="BJ199" s="539">
        <f t="shared" si="80"/>
        <v>0</v>
      </c>
      <c r="BK199" s="539">
        <f t="shared" si="80"/>
        <v>0</v>
      </c>
      <c r="BL199" s="539">
        <f t="shared" si="80"/>
        <v>0</v>
      </c>
      <c r="BM199" s="539">
        <f t="shared" si="80"/>
        <v>0</v>
      </c>
      <c r="BN199" s="539">
        <f t="shared" si="80"/>
        <v>0</v>
      </c>
      <c r="BO199" s="539">
        <f t="shared" si="80"/>
        <v>0</v>
      </c>
      <c r="BP199" s="539">
        <f t="shared" si="80"/>
        <v>0</v>
      </c>
      <c r="BQ199" s="539">
        <f t="shared" si="80"/>
        <v>0</v>
      </c>
      <c r="BR199" s="539">
        <f t="shared" si="80"/>
        <v>0</v>
      </c>
      <c r="BS199" s="539">
        <f t="shared" si="80"/>
        <v>0</v>
      </c>
      <c r="BT199" s="539">
        <f t="shared" si="80"/>
        <v>0</v>
      </c>
      <c r="BU199" s="539">
        <f t="shared" si="80"/>
        <v>0</v>
      </c>
      <c r="BV199" s="539">
        <f t="shared" si="80"/>
        <v>0</v>
      </c>
      <c r="BW199" s="539">
        <f t="shared" si="80"/>
        <v>0</v>
      </c>
      <c r="BX199" s="539">
        <f t="shared" si="80"/>
        <v>0</v>
      </c>
      <c r="BY199" s="539">
        <f t="shared" si="80"/>
        <v>0</v>
      </c>
      <c r="BZ199" s="539">
        <f t="shared" si="80"/>
        <v>0</v>
      </c>
      <c r="CA199" s="539">
        <f t="shared" si="80"/>
        <v>0</v>
      </c>
      <c r="CB199" s="539">
        <f t="shared" si="80"/>
        <v>0</v>
      </c>
      <c r="CC199" s="539">
        <f t="shared" si="80"/>
        <v>0</v>
      </c>
      <c r="CD199" s="539">
        <f t="shared" si="80"/>
        <v>0</v>
      </c>
      <c r="CE199" s="539">
        <f t="shared" si="80"/>
        <v>0</v>
      </c>
      <c r="CF199" s="539">
        <f t="shared" si="80"/>
        <v>0</v>
      </c>
      <c r="CG199" s="539">
        <f t="shared" si="80"/>
        <v>0</v>
      </c>
      <c r="CH199" s="539">
        <f t="shared" si="80"/>
        <v>0</v>
      </c>
      <c r="CI199" s="539">
        <f t="shared" si="80"/>
        <v>0</v>
      </c>
      <c r="CJ199" s="539">
        <f t="shared" si="80"/>
        <v>0</v>
      </c>
      <c r="CK199" s="539">
        <f t="shared" si="80"/>
        <v>0</v>
      </c>
      <c r="CL199" s="539">
        <f t="shared" si="80"/>
        <v>0</v>
      </c>
      <c r="CM199" s="539">
        <f t="shared" si="80"/>
        <v>0</v>
      </c>
      <c r="CN199" s="539">
        <f t="shared" si="80"/>
        <v>0</v>
      </c>
      <c r="CO199" s="539">
        <f t="shared" si="80"/>
        <v>0</v>
      </c>
      <c r="CP199" s="539">
        <f t="shared" si="80"/>
        <v>0</v>
      </c>
      <c r="CQ199" s="539">
        <f t="shared" si="80"/>
        <v>0</v>
      </c>
      <c r="CR199" s="539">
        <f t="shared" si="80"/>
        <v>0</v>
      </c>
      <c r="CS199" s="539">
        <f t="shared" si="80"/>
        <v>0</v>
      </c>
      <c r="CT199" s="539">
        <f t="shared" si="80"/>
        <v>0</v>
      </c>
      <c r="CU199" s="539">
        <f t="shared" si="80"/>
        <v>0</v>
      </c>
      <c r="CV199" s="539">
        <f t="shared" si="80"/>
        <v>0</v>
      </c>
      <c r="CW199" s="539">
        <f t="shared" si="80"/>
        <v>0</v>
      </c>
      <c r="CX199" s="539">
        <f t="shared" si="80"/>
        <v>0</v>
      </c>
      <c r="CY199" s="539">
        <f t="shared" si="80"/>
        <v>0</v>
      </c>
      <c r="CZ199" s="539">
        <f t="shared" si="80"/>
        <v>0</v>
      </c>
      <c r="DA199" s="539">
        <f t="shared" si="80"/>
        <v>0</v>
      </c>
      <c r="DB199" s="539">
        <f t="shared" si="80"/>
        <v>0</v>
      </c>
      <c r="DC199" s="539">
        <f t="shared" si="80"/>
        <v>0</v>
      </c>
      <c r="DD199" s="539">
        <f t="shared" si="80"/>
        <v>0</v>
      </c>
      <c r="DE199" s="539">
        <f t="shared" si="80"/>
        <v>0</v>
      </c>
      <c r="DF199" s="539">
        <f t="shared" si="80"/>
        <v>0</v>
      </c>
      <c r="DG199" s="539">
        <f t="shared" si="80"/>
        <v>0</v>
      </c>
      <c r="DH199" s="539">
        <f t="shared" si="80"/>
        <v>0</v>
      </c>
      <c r="DI199" s="539">
        <f t="shared" si="80"/>
        <v>0</v>
      </c>
      <c r="DJ199" s="539">
        <f t="shared" si="80"/>
        <v>0</v>
      </c>
      <c r="DK199" s="539">
        <f t="shared" si="80"/>
        <v>0</v>
      </c>
      <c r="DL199" s="539">
        <f t="shared" si="80"/>
        <v>0</v>
      </c>
      <c r="DM199" s="539">
        <f t="shared" si="80"/>
        <v>0</v>
      </c>
      <c r="DN199" s="539">
        <f t="shared" si="80"/>
        <v>0</v>
      </c>
      <c r="DO199" s="539">
        <f t="shared" si="80"/>
        <v>0</v>
      </c>
      <c r="DP199" s="539">
        <f t="shared" si="80"/>
        <v>0</v>
      </c>
      <c r="DQ199" s="539">
        <f t="shared" si="80"/>
        <v>0</v>
      </c>
      <c r="DR199" s="539">
        <f t="shared" si="80"/>
        <v>0</v>
      </c>
      <c r="DS199" s="539">
        <f t="shared" si="80"/>
        <v>0</v>
      </c>
      <c r="DT199" s="539">
        <f t="shared" si="80"/>
        <v>0</v>
      </c>
      <c r="DU199" s="539">
        <f t="shared" si="80"/>
        <v>0</v>
      </c>
      <c r="DV199" s="539">
        <f t="shared" si="80"/>
        <v>0</v>
      </c>
      <c r="DW199" s="539">
        <f t="shared" si="80"/>
        <v>0</v>
      </c>
      <c r="DX199" s="539">
        <f t="shared" si="80"/>
        <v>0</v>
      </c>
      <c r="DY199" s="539">
        <f t="shared" si="80"/>
        <v>0</v>
      </c>
      <c r="DZ199" s="539">
        <f t="shared" si="80"/>
        <v>0</v>
      </c>
      <c r="EA199" s="539">
        <f t="shared" si="80"/>
        <v>0</v>
      </c>
      <c r="EB199" s="539">
        <f t="shared" si="80"/>
        <v>0</v>
      </c>
      <c r="EC199" s="539">
        <f t="shared" si="80"/>
        <v>0</v>
      </c>
      <c r="ED199" s="539">
        <f t="shared" si="80"/>
        <v>0</v>
      </c>
      <c r="EE199" s="539">
        <f t="shared" si="80"/>
        <v>0</v>
      </c>
      <c r="EF199" s="539">
        <f t="shared" si="80"/>
        <v>0</v>
      </c>
      <c r="EG199" s="539">
        <f t="shared" si="80"/>
        <v>0</v>
      </c>
    </row>
    <row r="200" spans="5:137" ht="12.75">
      <c r="E200" s="538" t="str">
        <f>E$86</f>
        <v>Share capital - closing balance</v>
      </c>
      <c r="G200" s="539" t="str">
        <f>G$86</f>
        <v>EUR 000s</v>
      </c>
      <c r="H200" s="539">
        <f>H$86</f>
        <v>1651899.8369596973</v>
      </c>
      <c r="J200" s="539">
        <f t="shared" si="81" ref="J200:EG200">J$86</f>
        <v>0</v>
      </c>
      <c r="K200" s="539">
        <f t="shared" si="81"/>
        <v>0</v>
      </c>
      <c r="L200" s="539">
        <f t="shared" si="81"/>
        <v>2263.8599437331595</v>
      </c>
      <c r="M200" s="539">
        <f t="shared" si="81"/>
        <v>4943.9979761298655</v>
      </c>
      <c r="N200" s="539">
        <f t="shared" si="81"/>
        <v>7692.2947221635395</v>
      </c>
      <c r="O200" s="539">
        <f t="shared" si="81"/>
        <v>10375.971768258876</v>
      </c>
      <c r="P200" s="539">
        <f t="shared" si="81"/>
        <v>13127.925495114469</v>
      </c>
      <c r="Q200" s="539">
        <f t="shared" si="81"/>
        <v>13909.446440123251</v>
      </c>
      <c r="R200" s="539">
        <f t="shared" si="81"/>
        <v>13909.446440123251</v>
      </c>
      <c r="S200" s="539">
        <f t="shared" si="81"/>
        <v>13909.446440123251</v>
      </c>
      <c r="T200" s="539">
        <f t="shared" si="81"/>
        <v>13909.446440123251</v>
      </c>
      <c r="U200" s="539">
        <f t="shared" si="81"/>
        <v>13909.446440123251</v>
      </c>
      <c r="V200" s="539">
        <f t="shared" si="81"/>
        <v>13909.446440123251</v>
      </c>
      <c r="W200" s="539">
        <f t="shared" si="81"/>
        <v>13909.446440123251</v>
      </c>
      <c r="X200" s="539">
        <f t="shared" si="81"/>
        <v>13909.446440123251</v>
      </c>
      <c r="Y200" s="539">
        <f t="shared" si="81"/>
        <v>13909.446440123251</v>
      </c>
      <c r="Z200" s="539">
        <f t="shared" si="81"/>
        <v>13909.446440123251</v>
      </c>
      <c r="AA200" s="539">
        <f t="shared" si="81"/>
        <v>13909.446440123251</v>
      </c>
      <c r="AB200" s="539">
        <f t="shared" si="81"/>
        <v>13909.446440123251</v>
      </c>
      <c r="AC200" s="539">
        <f t="shared" si="81"/>
        <v>13909.446440123251</v>
      </c>
      <c r="AD200" s="539">
        <f t="shared" si="81"/>
        <v>13909.446440123251</v>
      </c>
      <c r="AE200" s="539">
        <f t="shared" si="81"/>
        <v>13909.446440123251</v>
      </c>
      <c r="AF200" s="539">
        <f t="shared" si="81"/>
        <v>13909.446440123251</v>
      </c>
      <c r="AG200" s="539">
        <f t="shared" si="81"/>
        <v>13909.446440123251</v>
      </c>
      <c r="AH200" s="539">
        <f t="shared" si="81"/>
        <v>13909.446440123251</v>
      </c>
      <c r="AI200" s="539">
        <f t="shared" si="81"/>
        <v>13909.446440123251</v>
      </c>
      <c r="AJ200" s="539">
        <f t="shared" si="81"/>
        <v>13909.446440123251</v>
      </c>
      <c r="AK200" s="539">
        <f t="shared" si="81"/>
        <v>13909.446440123251</v>
      </c>
      <c r="AL200" s="539">
        <f t="shared" si="81"/>
        <v>13909.446440123251</v>
      </c>
      <c r="AM200" s="539">
        <f t="shared" si="81"/>
        <v>13909.446440123251</v>
      </c>
      <c r="AN200" s="539">
        <f t="shared" si="81"/>
        <v>13909.446440123251</v>
      </c>
      <c r="AO200" s="539">
        <f t="shared" si="81"/>
        <v>13909.446440123251</v>
      </c>
      <c r="AP200" s="539">
        <f t="shared" si="81"/>
        <v>13909.446440123251</v>
      </c>
      <c r="AQ200" s="539">
        <f t="shared" si="81"/>
        <v>13909.446440123251</v>
      </c>
      <c r="AR200" s="539">
        <f t="shared" si="81"/>
        <v>13909.446440123251</v>
      </c>
      <c r="AS200" s="539">
        <f t="shared" si="81"/>
        <v>13909.446440123251</v>
      </c>
      <c r="AT200" s="539">
        <f t="shared" si="81"/>
        <v>13909.446440123251</v>
      </c>
      <c r="AU200" s="539">
        <f t="shared" si="81"/>
        <v>13909.446440123251</v>
      </c>
      <c r="AV200" s="539">
        <f t="shared" si="81"/>
        <v>13909.446440123251</v>
      </c>
      <c r="AW200" s="539">
        <f t="shared" si="81"/>
        <v>13909.446440123251</v>
      </c>
      <c r="AX200" s="539">
        <f t="shared" si="81"/>
        <v>13909.446440123251</v>
      </c>
      <c r="AY200" s="539">
        <f t="shared" si="81"/>
        <v>13909.446440123251</v>
      </c>
      <c r="AZ200" s="539">
        <f t="shared" si="81"/>
        <v>13909.446440123251</v>
      </c>
      <c r="BA200" s="539">
        <f t="shared" si="81"/>
        <v>13909.446440123251</v>
      </c>
      <c r="BB200" s="539">
        <f t="shared" si="81"/>
        <v>13909.446440123251</v>
      </c>
      <c r="BC200" s="539">
        <f t="shared" si="81"/>
        <v>13909.446440123251</v>
      </c>
      <c r="BD200" s="539">
        <f t="shared" si="81"/>
        <v>13909.446440123251</v>
      </c>
      <c r="BE200" s="539">
        <f t="shared" si="81"/>
        <v>13909.446440123251</v>
      </c>
      <c r="BF200" s="539">
        <f t="shared" si="81"/>
        <v>13909.446440123251</v>
      </c>
      <c r="BG200" s="539">
        <f t="shared" si="81"/>
        <v>13909.446440123251</v>
      </c>
      <c r="BH200" s="539">
        <f t="shared" si="81"/>
        <v>13909.446440123251</v>
      </c>
      <c r="BI200" s="539">
        <f t="shared" si="81"/>
        <v>13909.446440123251</v>
      </c>
      <c r="BJ200" s="539">
        <f t="shared" si="81"/>
        <v>13909.446440123251</v>
      </c>
      <c r="BK200" s="539">
        <f t="shared" si="81"/>
        <v>13909.446440123251</v>
      </c>
      <c r="BL200" s="539">
        <f t="shared" si="81"/>
        <v>13909.446440123251</v>
      </c>
      <c r="BM200" s="539">
        <f t="shared" si="81"/>
        <v>13909.446440123251</v>
      </c>
      <c r="BN200" s="539">
        <f t="shared" si="81"/>
        <v>13909.446440123251</v>
      </c>
      <c r="BO200" s="539">
        <f t="shared" si="81"/>
        <v>13909.446440123251</v>
      </c>
      <c r="BP200" s="539">
        <f t="shared" si="81"/>
        <v>13909.446440123251</v>
      </c>
      <c r="BQ200" s="539">
        <f t="shared" si="81"/>
        <v>13909.446440123251</v>
      </c>
      <c r="BR200" s="539">
        <f t="shared" si="81"/>
        <v>13909.446440123251</v>
      </c>
      <c r="BS200" s="539">
        <f t="shared" si="81"/>
        <v>13909.446440123251</v>
      </c>
      <c r="BT200" s="539">
        <f t="shared" si="81"/>
        <v>13909.446440123251</v>
      </c>
      <c r="BU200" s="539">
        <f t="shared" si="81"/>
        <v>13909.446440123251</v>
      </c>
      <c r="BV200" s="539">
        <f t="shared" si="81"/>
        <v>13909.446440123251</v>
      </c>
      <c r="BW200" s="539">
        <f t="shared" si="81"/>
        <v>13909.446440123251</v>
      </c>
      <c r="BX200" s="539">
        <f t="shared" si="81"/>
        <v>13909.446440123251</v>
      </c>
      <c r="BY200" s="539">
        <f t="shared" si="81"/>
        <v>13909.446440123251</v>
      </c>
      <c r="BZ200" s="539">
        <f t="shared" si="81"/>
        <v>13909.446440123251</v>
      </c>
      <c r="CA200" s="539">
        <f t="shared" si="81"/>
        <v>13909.446440123251</v>
      </c>
      <c r="CB200" s="539">
        <f t="shared" si="81"/>
        <v>13909.446440123251</v>
      </c>
      <c r="CC200" s="539">
        <f t="shared" si="81"/>
        <v>13909.446440123251</v>
      </c>
      <c r="CD200" s="539">
        <f t="shared" si="81"/>
        <v>13909.446440123251</v>
      </c>
      <c r="CE200" s="539">
        <f t="shared" si="81"/>
        <v>13909.446440123251</v>
      </c>
      <c r="CF200" s="539">
        <f t="shared" si="81"/>
        <v>13909.446440123251</v>
      </c>
      <c r="CG200" s="539">
        <f t="shared" si="81"/>
        <v>13909.446440123251</v>
      </c>
      <c r="CH200" s="539">
        <f t="shared" si="81"/>
        <v>13909.446440123251</v>
      </c>
      <c r="CI200" s="539">
        <f t="shared" si="81"/>
        <v>13909.446440123251</v>
      </c>
      <c r="CJ200" s="539">
        <f t="shared" si="81"/>
        <v>13909.446440123251</v>
      </c>
      <c r="CK200" s="539">
        <f t="shared" si="81"/>
        <v>13909.446440123251</v>
      </c>
      <c r="CL200" s="539">
        <f t="shared" si="81"/>
        <v>13909.446440123251</v>
      </c>
      <c r="CM200" s="539">
        <f t="shared" si="81"/>
        <v>13909.446440123251</v>
      </c>
      <c r="CN200" s="539">
        <f t="shared" si="81"/>
        <v>13909.446440123251</v>
      </c>
      <c r="CO200" s="539">
        <f t="shared" si="81"/>
        <v>13909.446440123251</v>
      </c>
      <c r="CP200" s="539">
        <f t="shared" si="81"/>
        <v>13909.446440123251</v>
      </c>
      <c r="CQ200" s="539">
        <f t="shared" si="81"/>
        <v>13909.446440123251</v>
      </c>
      <c r="CR200" s="539">
        <f t="shared" si="81"/>
        <v>13909.446440123251</v>
      </c>
      <c r="CS200" s="539">
        <f t="shared" si="81"/>
        <v>13909.446440123251</v>
      </c>
      <c r="CT200" s="539">
        <f t="shared" si="81"/>
        <v>13909.446440123251</v>
      </c>
      <c r="CU200" s="539">
        <f t="shared" si="81"/>
        <v>13909.446440123251</v>
      </c>
      <c r="CV200" s="539">
        <f t="shared" si="81"/>
        <v>13909.446440123251</v>
      </c>
      <c r="CW200" s="539">
        <f t="shared" si="81"/>
        <v>13909.446440123251</v>
      </c>
      <c r="CX200" s="539">
        <f t="shared" si="81"/>
        <v>13909.446440123251</v>
      </c>
      <c r="CY200" s="539">
        <f t="shared" si="81"/>
        <v>13909.446440123251</v>
      </c>
      <c r="CZ200" s="539">
        <f t="shared" si="81"/>
        <v>13909.446440123251</v>
      </c>
      <c r="DA200" s="539">
        <f t="shared" si="81"/>
        <v>13909.446440123251</v>
      </c>
      <c r="DB200" s="539">
        <f t="shared" si="81"/>
        <v>13909.446440123251</v>
      </c>
      <c r="DC200" s="539">
        <f t="shared" si="81"/>
        <v>13909.446440123251</v>
      </c>
      <c r="DD200" s="539">
        <f t="shared" si="81"/>
        <v>13909.446440123251</v>
      </c>
      <c r="DE200" s="539">
        <f t="shared" si="81"/>
        <v>13909.446440123251</v>
      </c>
      <c r="DF200" s="539">
        <f t="shared" si="81"/>
        <v>13909.446440123251</v>
      </c>
      <c r="DG200" s="539">
        <f t="shared" si="81"/>
        <v>13909.446440123251</v>
      </c>
      <c r="DH200" s="539">
        <f t="shared" si="81"/>
        <v>13909.446440123251</v>
      </c>
      <c r="DI200" s="539">
        <f t="shared" si="81"/>
        <v>13909.446440123251</v>
      </c>
      <c r="DJ200" s="539">
        <f t="shared" si="81"/>
        <v>13909.446440123251</v>
      </c>
      <c r="DK200" s="539">
        <f t="shared" si="81"/>
        <v>13909.446440123251</v>
      </c>
      <c r="DL200" s="539">
        <f t="shared" si="81"/>
        <v>13909.446440123251</v>
      </c>
      <c r="DM200" s="539">
        <f t="shared" si="81"/>
        <v>13909.446440123251</v>
      </c>
      <c r="DN200" s="539">
        <f t="shared" si="81"/>
        <v>13909.446440123251</v>
      </c>
      <c r="DO200" s="539">
        <f t="shared" si="81"/>
        <v>13909.446440123251</v>
      </c>
      <c r="DP200" s="539">
        <f t="shared" si="81"/>
        <v>13909.446440123251</v>
      </c>
      <c r="DQ200" s="539">
        <f t="shared" si="81"/>
        <v>13909.446440123251</v>
      </c>
      <c r="DR200" s="539">
        <f t="shared" si="81"/>
        <v>13909.446440123251</v>
      </c>
      <c r="DS200" s="539">
        <f t="shared" si="81"/>
        <v>13909.446440123251</v>
      </c>
      <c r="DT200" s="539">
        <f t="shared" si="81"/>
        <v>13909.446440123251</v>
      </c>
      <c r="DU200" s="539">
        <f t="shared" si="81"/>
        <v>13909.446440123251</v>
      </c>
      <c r="DV200" s="539">
        <f t="shared" si="81"/>
        <v>13909.446440123251</v>
      </c>
      <c r="DW200" s="539">
        <f t="shared" si="81"/>
        <v>13909.446440123251</v>
      </c>
      <c r="DX200" s="539">
        <f t="shared" si="81"/>
        <v>13909.446440123251</v>
      </c>
      <c r="DY200" s="539">
        <f t="shared" si="81"/>
        <v>13909.446440123251</v>
      </c>
      <c r="DZ200" s="539">
        <f t="shared" si="81"/>
        <v>13909.446440123251</v>
      </c>
      <c r="EA200" s="539">
        <f t="shared" si="81"/>
        <v>13909.446440123251</v>
      </c>
      <c r="EB200" s="539">
        <f t="shared" si="81"/>
        <v>13909.446440123251</v>
      </c>
      <c r="EC200" s="539">
        <f t="shared" si="81"/>
        <v>0</v>
      </c>
      <c r="ED200" s="539">
        <f t="shared" si="81"/>
        <v>0</v>
      </c>
      <c r="EE200" s="539">
        <f t="shared" si="81"/>
        <v>0</v>
      </c>
      <c r="EF200" s="539">
        <f t="shared" si="81"/>
        <v>0</v>
      </c>
      <c r="EG200" s="539">
        <f t="shared" si="81"/>
        <v>0</v>
      </c>
    </row>
    <row r="201" spans="5:7" ht="12.75">
      <c r="E201" s="540" t="s">
        <v>506</v>
      </c>
      <c r="F201" s="543">
        <f>IF(SUMIFS($J199:$EG199,$J197:$EG197,1)+SUMIFS($J198:$EG198,$J197:$EG197,1)+SUMIFS($J200:$EG200,$J197:$EG197,1)&gt;$F196,1,0)</f>
        <v>0</v>
      </c>
      <c r="G201" s="541" t="s">
        <v>298</v>
      </c>
    </row>
    <row r="203" spans="5:7" ht="12.75">
      <c r="E203" s="535" t="str">
        <f>InpC!E$128</f>
        <v>Check tolerance</v>
      </c>
      <c r="F203" s="537">
        <f>InpC!F$128</f>
        <v>0.001</v>
      </c>
      <c r="G203" s="537" t="str">
        <f>InpC!G$128</f>
        <v>EUR 000s</v>
      </c>
    </row>
    <row r="204" spans="5:137" ht="12.75">
      <c r="E204" s="535" t="str">
        <f>Time!E$170</f>
        <v>Last model period flag</v>
      </c>
      <c r="G204" s="537" t="str">
        <f>Time!G$170</f>
        <v>flag</v>
      </c>
      <c r="H204" s="537">
        <f>Time!H$170</f>
        <v>1</v>
      </c>
      <c r="J204" s="537">
        <f>Time!J$170</f>
        <v>0</v>
      </c>
      <c r="K204" s="537">
        <f>Time!K$170</f>
        <v>0</v>
      </c>
      <c r="L204" s="537">
        <f>Time!L$170</f>
        <v>0</v>
      </c>
      <c r="M204" s="537">
        <f>Time!M$170</f>
        <v>0</v>
      </c>
      <c r="N204" s="537">
        <f>Time!N$170</f>
        <v>0</v>
      </c>
      <c r="O204" s="537">
        <f>Time!O$170</f>
        <v>0</v>
      </c>
      <c r="P204" s="537">
        <f>Time!P$170</f>
        <v>0</v>
      </c>
      <c r="Q204" s="537">
        <f>Time!Q$170</f>
        <v>0</v>
      </c>
      <c r="R204" s="537">
        <f>Time!R$170</f>
        <v>0</v>
      </c>
      <c r="S204" s="537">
        <f>Time!S$170</f>
        <v>0</v>
      </c>
      <c r="T204" s="537">
        <f>Time!T$170</f>
        <v>0</v>
      </c>
      <c r="U204" s="537">
        <f>Time!U$170</f>
        <v>0</v>
      </c>
      <c r="V204" s="537">
        <f>Time!V$170</f>
        <v>0</v>
      </c>
      <c r="W204" s="537">
        <f>Time!W$170</f>
        <v>0</v>
      </c>
      <c r="X204" s="537">
        <f>Time!X$170</f>
        <v>0</v>
      </c>
      <c r="Y204" s="537">
        <f>Time!Y$170</f>
        <v>0</v>
      </c>
      <c r="Z204" s="537">
        <f>Time!Z$170</f>
        <v>0</v>
      </c>
      <c r="AA204" s="537">
        <f>Time!AA$170</f>
        <v>0</v>
      </c>
      <c r="AB204" s="537">
        <f>Time!AB$170</f>
        <v>0</v>
      </c>
      <c r="AC204" s="537">
        <f>Time!AC$170</f>
        <v>0</v>
      </c>
      <c r="AD204" s="537">
        <f>Time!AD$170</f>
        <v>0</v>
      </c>
      <c r="AE204" s="537">
        <f>Time!AE$170</f>
        <v>0</v>
      </c>
      <c r="AF204" s="537">
        <f>Time!AF$170</f>
        <v>0</v>
      </c>
      <c r="AG204" s="537">
        <f>Time!AG$170</f>
        <v>0</v>
      </c>
      <c r="AH204" s="537">
        <f>Time!AH$170</f>
        <v>0</v>
      </c>
      <c r="AI204" s="537">
        <f>Time!AI$170</f>
        <v>0</v>
      </c>
      <c r="AJ204" s="537">
        <f>Time!AJ$170</f>
        <v>0</v>
      </c>
      <c r="AK204" s="537">
        <f>Time!AK$170</f>
        <v>0</v>
      </c>
      <c r="AL204" s="537">
        <f>Time!AL$170</f>
        <v>0</v>
      </c>
      <c r="AM204" s="537">
        <f>Time!AM$170</f>
        <v>0</v>
      </c>
      <c r="AN204" s="537">
        <f>Time!AN$170</f>
        <v>0</v>
      </c>
      <c r="AO204" s="537">
        <f>Time!AO$170</f>
        <v>0</v>
      </c>
      <c r="AP204" s="537">
        <f>Time!AP$170</f>
        <v>0</v>
      </c>
      <c r="AQ204" s="537">
        <f>Time!AQ$170</f>
        <v>0</v>
      </c>
      <c r="AR204" s="537">
        <f>Time!AR$170</f>
        <v>0</v>
      </c>
      <c r="AS204" s="537">
        <f>Time!AS$170</f>
        <v>0</v>
      </c>
      <c r="AT204" s="537">
        <f>Time!AT$170</f>
        <v>0</v>
      </c>
      <c r="AU204" s="537">
        <f>Time!AU$170</f>
        <v>0</v>
      </c>
      <c r="AV204" s="537">
        <f>Time!AV$170</f>
        <v>0</v>
      </c>
      <c r="AW204" s="537">
        <f>Time!AW$170</f>
        <v>0</v>
      </c>
      <c r="AX204" s="537">
        <f>Time!AX$170</f>
        <v>0</v>
      </c>
      <c r="AY204" s="537">
        <f>Time!AY$170</f>
        <v>0</v>
      </c>
      <c r="AZ204" s="537">
        <f>Time!AZ$170</f>
        <v>0</v>
      </c>
      <c r="BA204" s="537">
        <f>Time!BA$170</f>
        <v>0</v>
      </c>
      <c r="BB204" s="537">
        <f>Time!BB$170</f>
        <v>0</v>
      </c>
      <c r="BC204" s="537">
        <f>Time!BC$170</f>
        <v>0</v>
      </c>
      <c r="BD204" s="537">
        <f>Time!BD$170</f>
        <v>0</v>
      </c>
      <c r="BE204" s="537">
        <f>Time!BE$170</f>
        <v>0</v>
      </c>
      <c r="BF204" s="537">
        <f>Time!BF$170</f>
        <v>0</v>
      </c>
      <c r="BG204" s="537">
        <f>Time!BG$170</f>
        <v>0</v>
      </c>
      <c r="BH204" s="537">
        <f>Time!BH$170</f>
        <v>0</v>
      </c>
      <c r="BI204" s="537">
        <f>Time!BI$170</f>
        <v>0</v>
      </c>
      <c r="BJ204" s="537">
        <f>Time!BJ$170</f>
        <v>0</v>
      </c>
      <c r="BK204" s="537">
        <f>Time!BK$170</f>
        <v>0</v>
      </c>
      <c r="BL204" s="537">
        <f>Time!BL$170</f>
        <v>0</v>
      </c>
      <c r="BM204" s="537">
        <f>Time!BM$170</f>
        <v>0</v>
      </c>
      <c r="BN204" s="537">
        <f>Time!BN$170</f>
        <v>0</v>
      </c>
      <c r="BO204" s="537">
        <f>Time!BO$170</f>
        <v>0</v>
      </c>
      <c r="BP204" s="537">
        <f>Time!BP$170</f>
        <v>0</v>
      </c>
      <c r="BQ204" s="537">
        <f>Time!BQ$170</f>
        <v>0</v>
      </c>
      <c r="BR204" s="537">
        <f>Time!BR$170</f>
        <v>0</v>
      </c>
      <c r="BS204" s="537">
        <f>Time!BS$170</f>
        <v>0</v>
      </c>
      <c r="BT204" s="537">
        <f>Time!BT$170</f>
        <v>0</v>
      </c>
      <c r="BU204" s="537">
        <f>Time!BU$170</f>
        <v>0</v>
      </c>
      <c r="BV204" s="537">
        <f>Time!BV$170</f>
        <v>0</v>
      </c>
      <c r="BW204" s="537">
        <f>Time!BW$170</f>
        <v>0</v>
      </c>
      <c r="BX204" s="537">
        <f>Time!BX$170</f>
        <v>0</v>
      </c>
      <c r="BY204" s="537">
        <f>Time!BY$170</f>
        <v>0</v>
      </c>
      <c r="BZ204" s="537">
        <f>Time!BZ$170</f>
        <v>0</v>
      </c>
      <c r="CA204" s="537">
        <f>Time!CA$170</f>
        <v>0</v>
      </c>
      <c r="CB204" s="537">
        <f>Time!CB$170</f>
        <v>0</v>
      </c>
      <c r="CC204" s="537">
        <f>Time!CC$170</f>
        <v>0</v>
      </c>
      <c r="CD204" s="537">
        <f>Time!CD$170</f>
        <v>0</v>
      </c>
      <c r="CE204" s="537">
        <f>Time!CE$170</f>
        <v>0</v>
      </c>
      <c r="CF204" s="537">
        <f>Time!CF$170</f>
        <v>0</v>
      </c>
      <c r="CG204" s="537">
        <f>Time!CG$170</f>
        <v>0</v>
      </c>
      <c r="CH204" s="537">
        <f>Time!CH$170</f>
        <v>0</v>
      </c>
      <c r="CI204" s="537">
        <f>Time!CI$170</f>
        <v>0</v>
      </c>
      <c r="CJ204" s="537">
        <f>Time!CJ$170</f>
        <v>0</v>
      </c>
      <c r="CK204" s="537">
        <f>Time!CK$170</f>
        <v>0</v>
      </c>
      <c r="CL204" s="537">
        <f>Time!CL$170</f>
        <v>0</v>
      </c>
      <c r="CM204" s="537">
        <f>Time!CM$170</f>
        <v>0</v>
      </c>
      <c r="CN204" s="537">
        <f>Time!CN$170</f>
        <v>0</v>
      </c>
      <c r="CO204" s="537">
        <f>Time!CO$170</f>
        <v>0</v>
      </c>
      <c r="CP204" s="537">
        <f>Time!CP$170</f>
        <v>0</v>
      </c>
      <c r="CQ204" s="537">
        <f>Time!CQ$170</f>
        <v>0</v>
      </c>
      <c r="CR204" s="537">
        <f>Time!CR$170</f>
        <v>0</v>
      </c>
      <c r="CS204" s="537">
        <f>Time!CS$170</f>
        <v>0</v>
      </c>
      <c r="CT204" s="537">
        <f>Time!CT$170</f>
        <v>0</v>
      </c>
      <c r="CU204" s="537">
        <f>Time!CU$170</f>
        <v>0</v>
      </c>
      <c r="CV204" s="537">
        <f>Time!CV$170</f>
        <v>0</v>
      </c>
      <c r="CW204" s="537">
        <f>Time!CW$170</f>
        <v>0</v>
      </c>
      <c r="CX204" s="537">
        <f>Time!CX$170</f>
        <v>0</v>
      </c>
      <c r="CY204" s="537">
        <f>Time!CY$170</f>
        <v>0</v>
      </c>
      <c r="CZ204" s="537">
        <f>Time!CZ$170</f>
        <v>0</v>
      </c>
      <c r="DA204" s="537">
        <f>Time!DA$170</f>
        <v>0</v>
      </c>
      <c r="DB204" s="537">
        <f>Time!DB$170</f>
        <v>0</v>
      </c>
      <c r="DC204" s="537">
        <f>Time!DC$170</f>
        <v>0</v>
      </c>
      <c r="DD204" s="537">
        <f>Time!DD$170</f>
        <v>0</v>
      </c>
      <c r="DE204" s="537">
        <f>Time!DE$170</f>
        <v>0</v>
      </c>
      <c r="DF204" s="537">
        <f>Time!DF$170</f>
        <v>0</v>
      </c>
      <c r="DG204" s="537">
        <f>Time!DG$170</f>
        <v>0</v>
      </c>
      <c r="DH204" s="537">
        <f>Time!DH$170</f>
        <v>0</v>
      </c>
      <c r="DI204" s="537">
        <f>Time!DI$170</f>
        <v>0</v>
      </c>
      <c r="DJ204" s="537">
        <f>Time!DJ$170</f>
        <v>0</v>
      </c>
      <c r="DK204" s="537">
        <f>Time!DK$170</f>
        <v>0</v>
      </c>
      <c r="DL204" s="537">
        <f>Time!DL$170</f>
        <v>0</v>
      </c>
      <c r="DM204" s="537">
        <f>Time!DM$170</f>
        <v>0</v>
      </c>
      <c r="DN204" s="537">
        <f>Time!DN$170</f>
        <v>0</v>
      </c>
      <c r="DO204" s="537">
        <f>Time!DO$170</f>
        <v>0</v>
      </c>
      <c r="DP204" s="537">
        <f>Time!DP$170</f>
        <v>0</v>
      </c>
      <c r="DQ204" s="537">
        <f>Time!DQ$170</f>
        <v>0</v>
      </c>
      <c r="DR204" s="537">
        <f>Time!DR$170</f>
        <v>0</v>
      </c>
      <c r="DS204" s="537">
        <f>Time!DS$170</f>
        <v>0</v>
      </c>
      <c r="DT204" s="537">
        <f>Time!DT$170</f>
        <v>0</v>
      </c>
      <c r="DU204" s="537">
        <f>Time!DU$170</f>
        <v>0</v>
      </c>
      <c r="DV204" s="537">
        <f>Time!DV$170</f>
        <v>0</v>
      </c>
      <c r="DW204" s="537">
        <f>Time!DW$170</f>
        <v>0</v>
      </c>
      <c r="DX204" s="537">
        <f>Time!DX$170</f>
        <v>0</v>
      </c>
      <c r="DY204" s="537">
        <f>Time!DY$170</f>
        <v>0</v>
      </c>
      <c r="DZ204" s="537">
        <f>Time!DZ$170</f>
        <v>0</v>
      </c>
      <c r="EA204" s="537">
        <f>Time!EA$170</f>
        <v>0</v>
      </c>
      <c r="EB204" s="537">
        <f>Time!EB$170</f>
        <v>0</v>
      </c>
      <c r="EC204" s="537">
        <f>Time!EC$170</f>
        <v>0</v>
      </c>
      <c r="ED204" s="537">
        <f>Time!ED$170</f>
        <v>0</v>
      </c>
      <c r="EE204" s="537">
        <f>Time!EE$170</f>
        <v>0</v>
      </c>
      <c r="EF204" s="537">
        <f>Time!EF$170</f>
        <v>0</v>
      </c>
      <c r="EG204" s="537">
        <f>Time!EG$170</f>
        <v>1</v>
      </c>
    </row>
    <row r="205" spans="5:137" ht="12.75">
      <c r="E205" s="535" t="str">
        <f>Waterfall!E$122</f>
        <v>Cash balance - closing</v>
      </c>
      <c r="G205" s="537" t="str">
        <f>Waterfall!G$122</f>
        <v>EUR 000s</v>
      </c>
      <c r="H205" s="537">
        <f>Waterfall!H$122</f>
        <v>21202.690295842913</v>
      </c>
      <c r="J205" s="537">
        <f>Waterfall!J$122</f>
        <v>0</v>
      </c>
      <c r="K205" s="537">
        <f>Waterfall!K$122</f>
        <v>0</v>
      </c>
      <c r="L205" s="537">
        <f>Waterfall!L$122</f>
        <v>0</v>
      </c>
      <c r="M205" s="537">
        <f>Waterfall!M$122</f>
        <v>0</v>
      </c>
      <c r="N205" s="537">
        <f>Waterfall!N$122</f>
        <v>0</v>
      </c>
      <c r="O205" s="537">
        <f>Waterfall!O$122</f>
        <v>0</v>
      </c>
      <c r="P205" s="537">
        <f>Waterfall!P$122</f>
        <v>0</v>
      </c>
      <c r="Q205" s="537">
        <f>Waterfall!Q$122</f>
        <v>0</v>
      </c>
      <c r="R205" s="537">
        <f>Waterfall!R$122</f>
        <v>0</v>
      </c>
      <c r="S205" s="537">
        <f>Waterfall!S$122</f>
        <v>0</v>
      </c>
      <c r="T205" s="537">
        <f>Waterfall!T$122</f>
        <v>0</v>
      </c>
      <c r="U205" s="537">
        <f>Waterfall!U$122</f>
        <v>0</v>
      </c>
      <c r="V205" s="537">
        <f>Waterfall!V$122</f>
        <v>0</v>
      </c>
      <c r="W205" s="537">
        <f>Waterfall!W$122</f>
        <v>0</v>
      </c>
      <c r="X205" s="537">
        <f>Waterfall!X$122</f>
        <v>0</v>
      </c>
      <c r="Y205" s="537">
        <f>Waterfall!Y$122</f>
        <v>0</v>
      </c>
      <c r="Z205" s="537">
        <f>Waterfall!Z$122</f>
        <v>0</v>
      </c>
      <c r="AA205" s="537">
        <f>Waterfall!AA$122</f>
        <v>0</v>
      </c>
      <c r="AB205" s="537">
        <f>Waterfall!AB$122</f>
        <v>0</v>
      </c>
      <c r="AC205" s="537">
        <f>Waterfall!AC$122</f>
        <v>0</v>
      </c>
      <c r="AD205" s="537">
        <f>Waterfall!AD$122</f>
        <v>0</v>
      </c>
      <c r="AE205" s="537">
        <f>Waterfall!AE$122</f>
        <v>0</v>
      </c>
      <c r="AF205" s="537">
        <f>Waterfall!AF$122</f>
        <v>0</v>
      </c>
      <c r="AG205" s="537">
        <f>Waterfall!AG$122</f>
        <v>0</v>
      </c>
      <c r="AH205" s="537">
        <f>Waterfall!AH$122</f>
        <v>0</v>
      </c>
      <c r="AI205" s="537">
        <f>Waterfall!AI$122</f>
        <v>0</v>
      </c>
      <c r="AJ205" s="537">
        <f>Waterfall!AJ$122</f>
        <v>0</v>
      </c>
      <c r="AK205" s="537">
        <f>Waterfall!AK$122</f>
        <v>0</v>
      </c>
      <c r="AL205" s="537">
        <f>Waterfall!AL$122</f>
        <v>0</v>
      </c>
      <c r="AM205" s="537">
        <f>Waterfall!AM$122</f>
        <v>0</v>
      </c>
      <c r="AN205" s="537">
        <f>Waterfall!AN$122</f>
        <v>0</v>
      </c>
      <c r="AO205" s="537">
        <f>Waterfall!AO$122</f>
        <v>0</v>
      </c>
      <c r="AP205" s="537">
        <f>Waterfall!AP$122</f>
        <v>0</v>
      </c>
      <c r="AQ205" s="537">
        <f>Waterfall!AQ$122</f>
        <v>0</v>
      </c>
      <c r="AR205" s="537">
        <f>Waterfall!AR$122</f>
        <v>0</v>
      </c>
      <c r="AS205" s="537">
        <f>Waterfall!AS$122</f>
        <v>0</v>
      </c>
      <c r="AT205" s="537">
        <f>Waterfall!AT$122</f>
        <v>0</v>
      </c>
      <c r="AU205" s="537">
        <f>Waterfall!AU$122</f>
        <v>0</v>
      </c>
      <c r="AV205" s="537">
        <f>Waterfall!AV$122</f>
        <v>0</v>
      </c>
      <c r="AW205" s="537">
        <f>Waterfall!AW$122</f>
        <v>0</v>
      </c>
      <c r="AX205" s="537">
        <f>Waterfall!AX$122</f>
        <v>0</v>
      </c>
      <c r="AY205" s="537">
        <f>Waterfall!AY$122</f>
        <v>0</v>
      </c>
      <c r="AZ205" s="537">
        <f>Waterfall!AZ$122</f>
        <v>0</v>
      </c>
      <c r="BA205" s="537">
        <f>Waterfall!BA$122</f>
        <v>0</v>
      </c>
      <c r="BB205" s="537">
        <f>Waterfall!BB$122</f>
        <v>0</v>
      </c>
      <c r="BC205" s="537">
        <f>Waterfall!BC$122</f>
        <v>0</v>
      </c>
      <c r="BD205" s="537">
        <f>Waterfall!BD$122</f>
        <v>0</v>
      </c>
      <c r="BE205" s="537">
        <f>Waterfall!BE$122</f>
        <v>0</v>
      </c>
      <c r="BF205" s="537">
        <f>Waterfall!BF$122</f>
        <v>0</v>
      </c>
      <c r="BG205" s="537">
        <f>Waterfall!BG$122</f>
        <v>0</v>
      </c>
      <c r="BH205" s="537">
        <f>Waterfall!BH$122</f>
        <v>0</v>
      </c>
      <c r="BI205" s="537">
        <f>Waterfall!BI$122</f>
        <v>0</v>
      </c>
      <c r="BJ205" s="537">
        <f>Waterfall!BJ$122</f>
        <v>0</v>
      </c>
      <c r="BK205" s="537">
        <f>Waterfall!BK$122</f>
        <v>0</v>
      </c>
      <c r="BL205" s="537">
        <f>Waterfall!BL$122</f>
        <v>0</v>
      </c>
      <c r="BM205" s="537">
        <f>Waterfall!BM$122</f>
        <v>0</v>
      </c>
      <c r="BN205" s="537">
        <f>Waterfall!BN$122</f>
        <v>0</v>
      </c>
      <c r="BO205" s="537">
        <f>Waterfall!BO$122</f>
        <v>0</v>
      </c>
      <c r="BP205" s="537">
        <f>Waterfall!BP$122</f>
        <v>0</v>
      </c>
      <c r="BQ205" s="537">
        <f>Waterfall!BQ$122</f>
        <v>0</v>
      </c>
      <c r="BR205" s="537">
        <f>Waterfall!BR$122</f>
        <v>0</v>
      </c>
      <c r="BS205" s="537">
        <f>Waterfall!BS$122</f>
        <v>0</v>
      </c>
      <c r="BT205" s="537">
        <f>Waterfall!BT$122</f>
        <v>0</v>
      </c>
      <c r="BU205" s="537">
        <f>Waterfall!BU$122</f>
        <v>0</v>
      </c>
      <c r="BV205" s="537">
        <f>Waterfall!BV$122</f>
        <v>0</v>
      </c>
      <c r="BW205" s="537">
        <f>Waterfall!BW$122</f>
        <v>0</v>
      </c>
      <c r="BX205" s="537">
        <f>Waterfall!BX$122</f>
        <v>0</v>
      </c>
      <c r="BY205" s="537">
        <f>Waterfall!BY$122</f>
        <v>0</v>
      </c>
      <c r="BZ205" s="537">
        <f>Waterfall!BZ$122</f>
        <v>0</v>
      </c>
      <c r="CA205" s="537">
        <f>Waterfall!CA$122</f>
        <v>0</v>
      </c>
      <c r="CB205" s="537">
        <f>Waterfall!CB$122</f>
        <v>0</v>
      </c>
      <c r="CC205" s="537">
        <f>Waterfall!CC$122</f>
        <v>0</v>
      </c>
      <c r="CD205" s="537">
        <f>Waterfall!CD$122</f>
        <v>0</v>
      </c>
      <c r="CE205" s="537">
        <f>Waterfall!CE$122</f>
        <v>0</v>
      </c>
      <c r="CF205" s="537">
        <f>Waterfall!CF$122</f>
        <v>0</v>
      </c>
      <c r="CG205" s="537">
        <f>Waterfall!CG$122</f>
        <v>0</v>
      </c>
      <c r="CH205" s="537">
        <f>Waterfall!CH$122</f>
        <v>0</v>
      </c>
      <c r="CI205" s="537">
        <f>Waterfall!CI$122</f>
        <v>0</v>
      </c>
      <c r="CJ205" s="537">
        <f>Waterfall!CJ$122</f>
        <v>0</v>
      </c>
      <c r="CK205" s="537">
        <f>Waterfall!CK$122</f>
        <v>0</v>
      </c>
      <c r="CL205" s="537">
        <f>Waterfall!CL$122</f>
        <v>0</v>
      </c>
      <c r="CM205" s="537">
        <f>Waterfall!CM$122</f>
        <v>0</v>
      </c>
      <c r="CN205" s="537">
        <f>Waterfall!CN$122</f>
        <v>0</v>
      </c>
      <c r="CO205" s="537">
        <f>Waterfall!CO$122</f>
        <v>0</v>
      </c>
      <c r="CP205" s="537">
        <f>Waterfall!CP$122</f>
        <v>0</v>
      </c>
      <c r="CQ205" s="537">
        <f>Waterfall!CQ$122</f>
        <v>0</v>
      </c>
      <c r="CR205" s="537">
        <f>Waterfall!CR$122</f>
        <v>0</v>
      </c>
      <c r="CS205" s="537">
        <f>Waterfall!CS$122</f>
        <v>0</v>
      </c>
      <c r="CT205" s="537">
        <f>Waterfall!CT$122</f>
        <v>0</v>
      </c>
      <c r="CU205" s="537">
        <f>Waterfall!CU$122</f>
        <v>0</v>
      </c>
      <c r="CV205" s="537">
        <f>Waterfall!CV$122</f>
        <v>0</v>
      </c>
      <c r="CW205" s="537">
        <f>Waterfall!CW$122</f>
        <v>0</v>
      </c>
      <c r="CX205" s="537">
        <f>Waterfall!CX$122</f>
        <v>0</v>
      </c>
      <c r="CY205" s="537">
        <f>Waterfall!CY$122</f>
        <v>0</v>
      </c>
      <c r="CZ205" s="537">
        <f>Waterfall!CZ$122</f>
        <v>0</v>
      </c>
      <c r="DA205" s="537">
        <f>Waterfall!DA$122</f>
        <v>0</v>
      </c>
      <c r="DB205" s="537">
        <f>Waterfall!DB$122</f>
        <v>0</v>
      </c>
      <c r="DC205" s="537">
        <f>Waterfall!DC$122</f>
        <v>0</v>
      </c>
      <c r="DD205" s="537">
        <f>Waterfall!DD$122</f>
        <v>0</v>
      </c>
      <c r="DE205" s="537">
        <f>Waterfall!DE$122</f>
        <v>0</v>
      </c>
      <c r="DF205" s="537">
        <f>Waterfall!DF$122</f>
        <v>0</v>
      </c>
      <c r="DG205" s="537">
        <f>Waterfall!DG$122</f>
        <v>0</v>
      </c>
      <c r="DH205" s="537">
        <f>Waterfall!DH$122</f>
        <v>0</v>
      </c>
      <c r="DI205" s="537">
        <f>Waterfall!DI$122</f>
        <v>0</v>
      </c>
      <c r="DJ205" s="537">
        <f>Waterfall!DJ$122</f>
        <v>0</v>
      </c>
      <c r="DK205" s="537">
        <f>Waterfall!DK$122</f>
        <v>0</v>
      </c>
      <c r="DL205" s="537">
        <f>Waterfall!DL$122</f>
        <v>0</v>
      </c>
      <c r="DM205" s="537">
        <f>Waterfall!DM$122</f>
        <v>0</v>
      </c>
      <c r="DN205" s="537">
        <f>Waterfall!DN$122</f>
        <v>0</v>
      </c>
      <c r="DO205" s="537">
        <f>Waterfall!DO$122</f>
        <v>0</v>
      </c>
      <c r="DP205" s="537">
        <f>Waterfall!DP$122</f>
        <v>0</v>
      </c>
      <c r="DQ205" s="537">
        <f>Waterfall!DQ$122</f>
        <v>0</v>
      </c>
      <c r="DR205" s="537">
        <f>Waterfall!DR$122</f>
        <v>0</v>
      </c>
      <c r="DS205" s="537">
        <f>Waterfall!DS$122</f>
        <v>0</v>
      </c>
      <c r="DT205" s="537">
        <f>Waterfall!DT$122</f>
        <v>0</v>
      </c>
      <c r="DU205" s="537">
        <f>Waterfall!DU$122</f>
        <v>0</v>
      </c>
      <c r="DV205" s="537">
        <f>Waterfall!DV$122</f>
        <v>0</v>
      </c>
      <c r="DW205" s="537">
        <f>Waterfall!DW$122</f>
        <v>0</v>
      </c>
      <c r="DX205" s="537">
        <f>Waterfall!DX$122</f>
        <v>0</v>
      </c>
      <c r="DY205" s="537">
        <f>Waterfall!DY$122</f>
        <v>1997.2598334849408</v>
      </c>
      <c r="DZ205" s="537">
        <f>Waterfall!DZ$122</f>
        <v>4152.3012636137537</v>
      </c>
      <c r="EA205" s="537">
        <f>Waterfall!EA$122</f>
        <v>6402.5633707117795</v>
      </c>
      <c r="EB205" s="537">
        <f>Waterfall!EB$122</f>
        <v>8650.5658280308089</v>
      </c>
      <c r="EC205" s="537">
        <f>Waterfall!EC$122</f>
        <v>0</v>
      </c>
      <c r="ED205" s="537">
        <f>Waterfall!ED$122</f>
        <v>4.0745362639427185E-10</v>
      </c>
      <c r="EE205" s="537">
        <f>Waterfall!EE$122</f>
        <v>4.0745362639427185E-10</v>
      </c>
      <c r="EF205" s="537">
        <f>Waterfall!EF$122</f>
        <v>4.0745362639427185E-10</v>
      </c>
      <c r="EG205" s="537">
        <f>Waterfall!EG$122</f>
        <v>4.0745362639427185E-10</v>
      </c>
    </row>
    <row r="206" spans="5:7" ht="12.75">
      <c r="E206" s="540" t="s">
        <v>507</v>
      </c>
      <c r="F206" s="543">
        <f>IF(SUMIFS($J205:$EG205,$J204:$EG204,1)&gt;$F203,1,0)</f>
        <v>0</v>
      </c>
      <c r="G206" s="541" t="s">
        <v>298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94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201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206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>
    <tabColor theme="4"/>
    <outlinePr summaryBelow="0" summaryRight="0"/>
  </sheetPr>
  <dimension ref="A1:RL201"/>
  <sheetViews>
    <sheetView showGridLines="0" defaultGridColor="0" zoomScale="85" zoomScaleNormal="85" zoomScalePageLayoutView="120" colorId="22" workbookViewId="0" topLeftCell="A1">
      <pane xSplit="9" ySplit="5" topLeftCell="J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 outlineLevelRow="1"/>
  <cols>
    <col min="1" max="2" width="1.28571428571429" style="382" customWidth="1"/>
    <col min="3" max="3" width="1.28571428571429" style="383" customWidth="1"/>
    <col min="4" max="4" width="1.28571428571429" style="384" customWidth="1"/>
    <col min="5" max="5" width="40.5714285714286" style="385" customWidth="1"/>
    <col min="6" max="6" width="12.5714285714286" style="385" customWidth="1"/>
    <col min="7" max="8" width="11.5714285714286" style="385" customWidth="1"/>
    <col min="9" max="9" width="2.57142857142857" style="385" customWidth="1"/>
    <col min="10" max="137" width="11.5714285714286" style="385" customWidth="1"/>
    <col min="138" max="480" width="11.5714285714286" style="385" hidden="1" customWidth="1"/>
    <col min="481" max="506" width="13" style="312" hidden="1" customWidth="1"/>
    <col min="507" max="16384" width="11.5714285714286" style="312" hidden="1" customWidth="1"/>
  </cols>
  <sheetData>
    <row r="1" spans="1:480" ht="26.25" customHeight="1">
      <c r="A1" s="487" t="str">
        <f ca="1">RIGHT(CELL("filename",A1),LEN(CELL("filename",A1))-SEARCH("]",CELL("filename",A1)))&amp;" - "&amp;InpC!F3</f>
        <v>FS - Base case 1</v>
      </c>
      <c r="D1" s="384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  <c r="AA1" s="385"/>
      <c r="AB1" s="385"/>
      <c r="AC1" s="385"/>
      <c r="AD1" s="385"/>
      <c r="AE1" s="385"/>
      <c r="AF1" s="385"/>
      <c r="AG1" s="385"/>
      <c r="AH1" s="385"/>
      <c r="AI1" s="385"/>
      <c r="AJ1" s="385"/>
      <c r="AK1" s="385"/>
      <c r="AL1" s="385"/>
      <c r="AM1" s="385"/>
      <c r="AN1" s="385"/>
      <c r="AO1" s="385"/>
      <c r="AP1" s="385"/>
      <c r="AQ1" s="385"/>
      <c r="AR1" s="385"/>
      <c r="AS1" s="385"/>
      <c r="AT1" s="385"/>
      <c r="AU1" s="385"/>
      <c r="AV1" s="385"/>
      <c r="AW1" s="385"/>
      <c r="AX1" s="385"/>
      <c r="AY1" s="385"/>
      <c r="AZ1" s="385"/>
      <c r="BA1" s="385"/>
      <c r="BB1" s="385"/>
      <c r="BC1" s="385"/>
      <c r="BD1" s="385"/>
      <c r="BE1" s="385"/>
      <c r="BF1" s="385"/>
      <c r="BG1" s="385"/>
      <c r="BH1" s="385"/>
      <c r="BI1" s="385"/>
      <c r="BJ1" s="385"/>
      <c r="BK1" s="385"/>
      <c r="BL1" s="385"/>
      <c r="BM1" s="385"/>
      <c r="BN1" s="385"/>
      <c r="BO1" s="385"/>
      <c r="BP1" s="385"/>
      <c r="BQ1" s="385"/>
      <c r="BR1" s="385"/>
      <c r="BS1" s="385"/>
      <c r="BT1" s="385"/>
      <c r="BU1" s="385"/>
      <c r="BV1" s="385"/>
      <c r="BW1" s="385"/>
      <c r="BX1" s="385"/>
      <c r="BY1" s="385"/>
      <c r="BZ1" s="385"/>
      <c r="CA1" s="385"/>
      <c r="CB1" s="385"/>
      <c r="CC1" s="385"/>
      <c r="CD1" s="385"/>
      <c r="CE1" s="385"/>
      <c r="CF1" s="385"/>
      <c r="CG1" s="385"/>
      <c r="CH1" s="385"/>
      <c r="CI1" s="385"/>
      <c r="CJ1" s="385"/>
      <c r="CK1" s="385"/>
      <c r="CL1" s="385"/>
      <c r="CM1" s="385"/>
      <c r="CN1" s="385"/>
      <c r="CO1" s="385"/>
      <c r="CP1" s="385"/>
      <c r="CQ1" s="385"/>
      <c r="CR1" s="385"/>
      <c r="CS1" s="385"/>
      <c r="CT1" s="385"/>
      <c r="CU1" s="385"/>
      <c r="CV1" s="385"/>
      <c r="CW1" s="385"/>
      <c r="CX1" s="385"/>
      <c r="CY1" s="385"/>
      <c r="CZ1" s="385"/>
      <c r="DA1" s="385"/>
      <c r="DB1" s="385"/>
      <c r="DC1" s="385"/>
      <c r="DD1" s="385"/>
      <c r="DE1" s="385"/>
      <c r="DF1" s="385"/>
      <c r="DG1" s="385"/>
      <c r="DH1" s="385"/>
      <c r="DI1" s="385"/>
      <c r="DJ1" s="385"/>
      <c r="DK1" s="385"/>
      <c r="DL1" s="385"/>
      <c r="DM1" s="385"/>
      <c r="DN1" s="385"/>
      <c r="DO1" s="385"/>
      <c r="DP1" s="385"/>
      <c r="DQ1" s="385"/>
      <c r="DR1" s="385"/>
      <c r="DS1" s="385"/>
      <c r="DT1" s="385"/>
      <c r="DU1" s="385"/>
      <c r="DV1" s="385"/>
      <c r="DW1" s="385"/>
      <c r="DX1" s="385"/>
      <c r="DY1" s="385"/>
      <c r="DZ1" s="385"/>
      <c r="EA1" s="385"/>
      <c r="EB1" s="385"/>
      <c r="EC1" s="385"/>
      <c r="ED1" s="385"/>
      <c r="EE1" s="385"/>
      <c r="EF1" s="385"/>
      <c r="EG1" s="385"/>
      <c r="EH1" s="385"/>
      <c r="EI1" s="385"/>
      <c r="EJ1" s="385"/>
      <c r="EK1" s="385"/>
      <c r="EL1" s="385"/>
      <c r="EM1" s="385"/>
      <c r="EN1" s="385"/>
      <c r="EO1" s="385"/>
      <c r="EP1" s="385"/>
      <c r="EQ1" s="385"/>
      <c r="ER1" s="385"/>
      <c r="ES1" s="385"/>
      <c r="ET1" s="385"/>
      <c r="EU1" s="385"/>
      <c r="EV1" s="385"/>
      <c r="EW1" s="385"/>
      <c r="EX1" s="385"/>
      <c r="EY1" s="385"/>
      <c r="EZ1" s="385"/>
      <c r="FA1" s="385"/>
      <c r="FB1" s="385"/>
      <c r="FC1" s="385"/>
      <c r="FD1" s="385"/>
      <c r="FE1" s="385"/>
      <c r="FF1" s="385"/>
      <c r="FG1" s="385"/>
      <c r="FH1" s="385"/>
      <c r="FI1" s="385"/>
      <c r="FJ1" s="385"/>
      <c r="FK1" s="385"/>
      <c r="FL1" s="385"/>
      <c r="FM1" s="385"/>
      <c r="FN1" s="385"/>
      <c r="FO1" s="385"/>
      <c r="FP1" s="385"/>
      <c r="FQ1" s="385"/>
      <c r="FR1" s="385"/>
      <c r="FS1" s="385"/>
      <c r="FT1" s="385"/>
      <c r="FU1" s="385"/>
      <c r="FV1" s="385"/>
      <c r="FW1" s="385"/>
      <c r="FX1" s="385"/>
      <c r="FY1" s="385"/>
      <c r="FZ1" s="385"/>
      <c r="GA1" s="385"/>
      <c r="GB1" s="385"/>
      <c r="GC1" s="385"/>
      <c r="GD1" s="385"/>
      <c r="GE1" s="385"/>
      <c r="GF1" s="385"/>
      <c r="GG1" s="385"/>
      <c r="GH1" s="385"/>
      <c r="GI1" s="385"/>
      <c r="GJ1" s="385"/>
      <c r="GK1" s="385"/>
      <c r="GL1" s="385"/>
      <c r="GM1" s="385"/>
      <c r="GN1" s="385"/>
      <c r="GO1" s="385"/>
      <c r="GP1" s="385"/>
      <c r="GQ1" s="385"/>
      <c r="GR1" s="385"/>
      <c r="GS1" s="385"/>
      <c r="GT1" s="385"/>
      <c r="GU1" s="385"/>
      <c r="GV1" s="385"/>
      <c r="GW1" s="385"/>
      <c r="GX1" s="385"/>
      <c r="GY1" s="385"/>
      <c r="GZ1" s="385"/>
      <c r="HA1" s="385"/>
      <c r="HB1" s="385"/>
      <c r="HC1" s="385"/>
      <c r="HD1" s="385"/>
      <c r="HE1" s="385"/>
      <c r="HF1" s="385"/>
      <c r="HG1" s="385"/>
      <c r="HH1" s="385"/>
      <c r="HI1" s="385"/>
      <c r="HJ1" s="385"/>
      <c r="HK1" s="385"/>
      <c r="HL1" s="385"/>
      <c r="HM1" s="385"/>
      <c r="HN1" s="385"/>
      <c r="HO1" s="385"/>
      <c r="HP1" s="385"/>
      <c r="HQ1" s="385"/>
      <c r="HR1" s="385"/>
      <c r="HS1" s="385"/>
      <c r="HT1" s="385"/>
      <c r="HU1" s="385"/>
      <c r="HV1" s="385"/>
      <c r="HW1" s="385"/>
      <c r="HX1" s="385"/>
      <c r="HY1" s="385"/>
      <c r="HZ1" s="385"/>
      <c r="IA1" s="385"/>
      <c r="IB1" s="385"/>
      <c r="IC1" s="385"/>
      <c r="ID1" s="385"/>
      <c r="IE1" s="385"/>
      <c r="IF1" s="385"/>
      <c r="IG1" s="385"/>
      <c r="IH1" s="385"/>
      <c r="II1" s="385"/>
      <c r="IJ1" s="385"/>
      <c r="IK1" s="385"/>
      <c r="IL1" s="385"/>
      <c r="IM1" s="385"/>
      <c r="IN1" s="385"/>
      <c r="IO1" s="385"/>
      <c r="IP1" s="385"/>
      <c r="IQ1" s="385"/>
      <c r="IR1" s="385"/>
      <c r="IS1" s="385"/>
      <c r="IT1" s="385"/>
      <c r="IU1" s="385"/>
      <c r="IV1" s="385"/>
      <c r="IW1" s="385"/>
      <c r="IX1" s="385"/>
      <c r="IY1" s="385"/>
      <c r="IZ1" s="385"/>
      <c r="JA1" s="385"/>
      <c r="JB1" s="385"/>
      <c r="JC1" s="385"/>
      <c r="JD1" s="385"/>
      <c r="JE1" s="385"/>
      <c r="JF1" s="385"/>
      <c r="JG1" s="385"/>
      <c r="JH1" s="385"/>
      <c r="JI1" s="385"/>
      <c r="JJ1" s="385"/>
      <c r="JK1" s="385"/>
      <c r="JL1" s="385"/>
      <c r="JM1" s="385"/>
      <c r="JN1" s="385"/>
      <c r="JO1" s="385"/>
      <c r="JP1" s="385"/>
      <c r="JQ1" s="385"/>
      <c r="JR1" s="385"/>
      <c r="JS1" s="385"/>
      <c r="JT1" s="385"/>
      <c r="JU1" s="385"/>
      <c r="JV1" s="385"/>
      <c r="JW1" s="385"/>
      <c r="JX1" s="385"/>
      <c r="JY1" s="385"/>
      <c r="JZ1" s="385"/>
      <c r="KA1" s="385"/>
      <c r="KB1" s="385"/>
      <c r="KC1" s="385"/>
      <c r="KD1" s="385"/>
      <c r="KE1" s="385"/>
      <c r="KF1" s="385"/>
      <c r="KG1" s="385"/>
      <c r="KH1" s="385"/>
      <c r="KI1" s="385"/>
      <c r="KJ1" s="385"/>
      <c r="KK1" s="385"/>
      <c r="KL1" s="385"/>
      <c r="KM1" s="385"/>
      <c r="KN1" s="385"/>
      <c r="KO1" s="385"/>
      <c r="KP1" s="385"/>
      <c r="KQ1" s="385"/>
      <c r="KR1" s="385"/>
      <c r="KS1" s="385"/>
      <c r="KT1" s="385"/>
      <c r="KU1" s="385"/>
      <c r="KV1" s="385"/>
      <c r="KW1" s="385"/>
      <c r="KX1" s="385"/>
      <c r="KY1" s="385"/>
      <c r="KZ1" s="385"/>
      <c r="LA1" s="385"/>
      <c r="LB1" s="385"/>
      <c r="LC1" s="385"/>
      <c r="LD1" s="385"/>
      <c r="LE1" s="385"/>
      <c r="LF1" s="385"/>
      <c r="LG1" s="385"/>
      <c r="LH1" s="385"/>
      <c r="LI1" s="385"/>
      <c r="LJ1" s="385"/>
      <c r="LK1" s="385"/>
      <c r="LL1" s="385"/>
      <c r="LM1" s="385"/>
      <c r="LN1" s="385"/>
      <c r="LO1" s="385"/>
      <c r="LP1" s="385"/>
      <c r="LQ1" s="385"/>
      <c r="LR1" s="385"/>
      <c r="LS1" s="385"/>
      <c r="LT1" s="385"/>
      <c r="LU1" s="385"/>
      <c r="LV1" s="385"/>
      <c r="LW1" s="385"/>
      <c r="LX1" s="385"/>
      <c r="LY1" s="385"/>
      <c r="LZ1" s="385"/>
      <c r="MA1" s="385"/>
      <c r="MB1" s="385"/>
      <c r="MC1" s="385"/>
      <c r="MD1" s="385"/>
      <c r="ME1" s="385"/>
      <c r="MF1" s="385"/>
      <c r="MG1" s="385"/>
      <c r="MH1" s="385"/>
      <c r="MI1" s="385"/>
      <c r="MJ1" s="385"/>
      <c r="MK1" s="385"/>
      <c r="ML1" s="385"/>
      <c r="MM1" s="385"/>
      <c r="MN1" s="385"/>
      <c r="MO1" s="385"/>
      <c r="MP1" s="385"/>
      <c r="MQ1" s="385"/>
      <c r="MR1" s="385"/>
      <c r="MS1" s="385"/>
      <c r="MT1" s="385"/>
      <c r="MU1" s="385"/>
      <c r="MV1" s="385"/>
      <c r="MW1" s="385"/>
      <c r="MX1" s="385"/>
      <c r="MY1" s="385"/>
      <c r="MZ1" s="385"/>
      <c r="NA1" s="385"/>
      <c r="NB1" s="385"/>
      <c r="NC1" s="385"/>
      <c r="ND1" s="385"/>
      <c r="NE1" s="385"/>
      <c r="NF1" s="385"/>
      <c r="NG1" s="385"/>
      <c r="NH1" s="385"/>
      <c r="NI1" s="385"/>
      <c r="NJ1" s="385"/>
      <c r="NK1" s="385"/>
      <c r="NL1" s="385"/>
      <c r="NM1" s="385"/>
      <c r="NN1" s="385"/>
      <c r="NO1" s="385"/>
      <c r="NP1" s="385"/>
      <c r="NQ1" s="385"/>
      <c r="NR1" s="385"/>
      <c r="NS1" s="385"/>
      <c r="NT1" s="385"/>
      <c r="NU1" s="385"/>
      <c r="NV1" s="385"/>
      <c r="NW1" s="385"/>
      <c r="NX1" s="385"/>
      <c r="NY1" s="385"/>
      <c r="NZ1" s="385"/>
      <c r="OA1" s="385"/>
      <c r="OB1" s="385"/>
      <c r="OC1" s="385"/>
      <c r="OD1" s="385"/>
      <c r="OE1" s="385"/>
      <c r="OF1" s="385"/>
      <c r="OG1" s="385"/>
      <c r="OH1" s="385"/>
      <c r="OI1" s="385"/>
      <c r="OJ1" s="385"/>
      <c r="OK1" s="385"/>
      <c r="OL1" s="385"/>
      <c r="OM1" s="385"/>
      <c r="ON1" s="385"/>
      <c r="OO1" s="385"/>
      <c r="OP1" s="385"/>
      <c r="OQ1" s="385"/>
      <c r="OR1" s="385"/>
      <c r="OS1" s="385"/>
      <c r="OT1" s="385"/>
      <c r="OU1" s="385"/>
      <c r="OV1" s="385"/>
      <c r="OW1" s="385"/>
      <c r="OX1" s="385"/>
      <c r="OY1" s="385"/>
      <c r="OZ1" s="385"/>
      <c r="PA1" s="385"/>
      <c r="PB1" s="385"/>
      <c r="PC1" s="385"/>
      <c r="PD1" s="385"/>
      <c r="PE1" s="385"/>
      <c r="PF1" s="385"/>
      <c r="PG1" s="385"/>
      <c r="PH1" s="385"/>
      <c r="PI1" s="385"/>
      <c r="PJ1" s="385"/>
      <c r="PK1" s="385"/>
      <c r="PL1" s="385"/>
      <c r="PM1" s="385"/>
      <c r="PN1" s="385"/>
      <c r="PO1" s="385"/>
      <c r="PP1" s="385"/>
      <c r="PQ1" s="385"/>
      <c r="PR1" s="385"/>
      <c r="PS1" s="385"/>
      <c r="PT1" s="385"/>
      <c r="PU1" s="385"/>
      <c r="PV1" s="385"/>
      <c r="PW1" s="385"/>
      <c r="PX1" s="385"/>
      <c r="PY1" s="385"/>
      <c r="PZ1" s="385"/>
      <c r="QA1" s="385"/>
      <c r="QB1" s="385"/>
      <c r="QC1" s="385"/>
      <c r="QD1" s="385"/>
      <c r="QE1" s="385"/>
      <c r="QF1" s="385"/>
      <c r="QG1" s="385"/>
      <c r="QH1" s="385"/>
      <c r="QI1" s="385"/>
      <c r="QJ1" s="385"/>
      <c r="QK1" s="385"/>
      <c r="QL1" s="385"/>
      <c r="QM1" s="385"/>
      <c r="QN1" s="385"/>
      <c r="QO1" s="385"/>
      <c r="QP1" s="385"/>
      <c r="QQ1" s="385"/>
      <c r="QR1" s="385"/>
      <c r="QS1" s="385"/>
      <c r="QT1" s="385"/>
      <c r="QU1" s="385"/>
      <c r="QV1" s="385"/>
      <c r="QW1" s="385"/>
      <c r="QX1" s="385"/>
      <c r="QY1" s="385"/>
      <c r="QZ1" s="385"/>
      <c r="RA1" s="385"/>
      <c r="RB1" s="385"/>
      <c r="RC1" s="385"/>
      <c r="RD1" s="385"/>
      <c r="RE1" s="385"/>
      <c r="RF1" s="385"/>
      <c r="RG1" s="385"/>
      <c r="RH1" s="385"/>
      <c r="RI1" s="385"/>
      <c r="RJ1" s="385"/>
      <c r="RK1" s="385"/>
      <c r="RL1" s="385"/>
    </row>
    <row r="2" spans="1:480" ht="12.75">
      <c r="A2" s="490"/>
      <c r="B2" s="490"/>
      <c r="C2" s="491"/>
      <c r="D2" s="492"/>
      <c r="E2" s="493" t="s">
        <v>139</v>
      </c>
      <c r="F2" s="395">
        <f>Check!$F$9</f>
        <v>0</v>
      </c>
      <c r="G2" s="495" t="s">
        <v>140</v>
      </c>
      <c r="H2" s="490"/>
      <c r="I2" s="490"/>
      <c r="J2" s="490">
        <f>Time!J$50</f>
        <v>46418</v>
      </c>
      <c r="K2" s="490">
        <f>Time!K$50</f>
        <v>46446</v>
      </c>
      <c r="L2" s="490">
        <f>Time!L$50</f>
        <v>46477</v>
      </c>
      <c r="M2" s="490">
        <f>Time!M$50</f>
        <v>46507</v>
      </c>
      <c r="N2" s="490">
        <f>Time!N$50</f>
        <v>46538</v>
      </c>
      <c r="O2" s="490">
        <f>Time!O$50</f>
        <v>46568</v>
      </c>
      <c r="P2" s="490">
        <f>Time!P$50</f>
        <v>46599</v>
      </c>
      <c r="Q2" s="490">
        <f>Time!Q$50</f>
        <v>46630</v>
      </c>
      <c r="R2" s="490">
        <f>Time!R$50</f>
        <v>46660</v>
      </c>
      <c r="S2" s="490">
        <f>Time!S$50</f>
        <v>46691</v>
      </c>
      <c r="T2" s="490">
        <f>Time!T$50</f>
        <v>46721</v>
      </c>
      <c r="U2" s="490">
        <f>Time!U$50</f>
        <v>46752</v>
      </c>
      <c r="V2" s="490">
        <f>Time!V$50</f>
        <v>46783</v>
      </c>
      <c r="W2" s="490">
        <f>Time!W$50</f>
        <v>46812</v>
      </c>
      <c r="X2" s="490">
        <f>Time!X$50</f>
        <v>46843</v>
      </c>
      <c r="Y2" s="490">
        <f>Time!Y$50</f>
        <v>46873</v>
      </c>
      <c r="Z2" s="490">
        <f>Time!Z$50</f>
        <v>46904</v>
      </c>
      <c r="AA2" s="490">
        <f>Time!AA$50</f>
        <v>46934</v>
      </c>
      <c r="AB2" s="490">
        <f>Time!AB$50</f>
        <v>46965</v>
      </c>
      <c r="AC2" s="490">
        <f>Time!AC$50</f>
        <v>46996</v>
      </c>
      <c r="AD2" s="490">
        <f>Time!AD$50</f>
        <v>47026</v>
      </c>
      <c r="AE2" s="490">
        <f>Time!AE$50</f>
        <v>47057</v>
      </c>
      <c r="AF2" s="490">
        <f>Time!AF$50</f>
        <v>47087</v>
      </c>
      <c r="AG2" s="490">
        <f>Time!AG$50</f>
        <v>47118</v>
      </c>
      <c r="AH2" s="490">
        <f>Time!AH$50</f>
        <v>47208</v>
      </c>
      <c r="AI2" s="490">
        <f>Time!AI$50</f>
        <v>47299</v>
      </c>
      <c r="AJ2" s="490">
        <f>Time!AJ$50</f>
        <v>47391</v>
      </c>
      <c r="AK2" s="490">
        <f>Time!AK$50</f>
        <v>47483</v>
      </c>
      <c r="AL2" s="490">
        <f>Time!AL$50</f>
        <v>47573</v>
      </c>
      <c r="AM2" s="490">
        <f>Time!AM$50</f>
        <v>47664</v>
      </c>
      <c r="AN2" s="490">
        <f>Time!AN$50</f>
        <v>47756</v>
      </c>
      <c r="AO2" s="490">
        <f>Time!AO$50</f>
        <v>47848</v>
      </c>
      <c r="AP2" s="490">
        <f>Time!AP$50</f>
        <v>47938</v>
      </c>
      <c r="AQ2" s="490">
        <f>Time!AQ$50</f>
        <v>48029</v>
      </c>
      <c r="AR2" s="490">
        <f>Time!AR$50</f>
        <v>48121</v>
      </c>
      <c r="AS2" s="490">
        <f>Time!AS$50</f>
        <v>48213</v>
      </c>
      <c r="AT2" s="490">
        <f>Time!AT$50</f>
        <v>48304</v>
      </c>
      <c r="AU2" s="490">
        <f>Time!AU$50</f>
        <v>48395</v>
      </c>
      <c r="AV2" s="490">
        <f>Time!AV$50</f>
        <v>48487</v>
      </c>
      <c r="AW2" s="490">
        <f>Time!AW$50</f>
        <v>48579</v>
      </c>
      <c r="AX2" s="490">
        <f>Time!AX$50</f>
        <v>48669</v>
      </c>
      <c r="AY2" s="490">
        <f>Time!AY$50</f>
        <v>48760</v>
      </c>
      <c r="AZ2" s="490">
        <f>Time!AZ$50</f>
        <v>48852</v>
      </c>
      <c r="BA2" s="490">
        <f>Time!BA$50</f>
        <v>48944</v>
      </c>
      <c r="BB2" s="490">
        <f>Time!BB$50</f>
        <v>49034</v>
      </c>
      <c r="BC2" s="490">
        <f>Time!BC$50</f>
        <v>49125</v>
      </c>
      <c r="BD2" s="490">
        <f>Time!BD$50</f>
        <v>49217</v>
      </c>
      <c r="BE2" s="490">
        <f>Time!BE$50</f>
        <v>49309</v>
      </c>
      <c r="BF2" s="490">
        <f>Time!BF$50</f>
        <v>49399</v>
      </c>
      <c r="BG2" s="490">
        <f>Time!BG$50</f>
        <v>49490</v>
      </c>
      <c r="BH2" s="490">
        <f>Time!BH$50</f>
        <v>49582</v>
      </c>
      <c r="BI2" s="490">
        <f>Time!BI$50</f>
        <v>49674</v>
      </c>
      <c r="BJ2" s="490">
        <f>Time!BJ$50</f>
        <v>49765</v>
      </c>
      <c r="BK2" s="490">
        <f>Time!BK$50</f>
        <v>49856</v>
      </c>
      <c r="BL2" s="490">
        <f>Time!BL$50</f>
        <v>49948</v>
      </c>
      <c r="BM2" s="490">
        <f>Time!BM$50</f>
        <v>50040</v>
      </c>
      <c r="BN2" s="490">
        <f>Time!BN$50</f>
        <v>50130</v>
      </c>
      <c r="BO2" s="490">
        <f>Time!BO$50</f>
        <v>50221</v>
      </c>
      <c r="BP2" s="490">
        <f>Time!BP$50</f>
        <v>50313</v>
      </c>
      <c r="BQ2" s="490">
        <f>Time!BQ$50</f>
        <v>50405</v>
      </c>
      <c r="BR2" s="490">
        <f>Time!BR$50</f>
        <v>50495</v>
      </c>
      <c r="BS2" s="490">
        <f>Time!BS$50</f>
        <v>50586</v>
      </c>
      <c r="BT2" s="490">
        <f>Time!BT$50</f>
        <v>50678</v>
      </c>
      <c r="BU2" s="490">
        <f>Time!BU$50</f>
        <v>50770</v>
      </c>
      <c r="BV2" s="490">
        <f>Time!BV$50</f>
        <v>50860</v>
      </c>
      <c r="BW2" s="490">
        <f>Time!BW$50</f>
        <v>50951</v>
      </c>
      <c r="BX2" s="490">
        <f>Time!BX$50</f>
        <v>51043</v>
      </c>
      <c r="BY2" s="490">
        <f>Time!BY$50</f>
        <v>51135</v>
      </c>
      <c r="BZ2" s="490">
        <f>Time!BZ$50</f>
        <v>51226</v>
      </c>
      <c r="CA2" s="490">
        <f>Time!CA$50</f>
        <v>51317</v>
      </c>
      <c r="CB2" s="490">
        <f>Time!CB$50</f>
        <v>51409</v>
      </c>
      <c r="CC2" s="490">
        <f>Time!CC$50</f>
        <v>51501</v>
      </c>
      <c r="CD2" s="490">
        <f>Time!CD$50</f>
        <v>51591</v>
      </c>
      <c r="CE2" s="490">
        <f>Time!CE$50</f>
        <v>51682</v>
      </c>
      <c r="CF2" s="490">
        <f>Time!CF$50</f>
        <v>51774</v>
      </c>
      <c r="CG2" s="490">
        <f>Time!CG$50</f>
        <v>51866</v>
      </c>
      <c r="CH2" s="490">
        <f>Time!CH$50</f>
        <v>51956</v>
      </c>
      <c r="CI2" s="490">
        <f>Time!CI$50</f>
        <v>52047</v>
      </c>
      <c r="CJ2" s="490">
        <f>Time!CJ$50</f>
        <v>52139</v>
      </c>
      <c r="CK2" s="490">
        <f>Time!CK$50</f>
        <v>52231</v>
      </c>
      <c r="CL2" s="490">
        <f>Time!CL$50</f>
        <v>52321</v>
      </c>
      <c r="CM2" s="490">
        <f>Time!CM$50</f>
        <v>52412</v>
      </c>
      <c r="CN2" s="490">
        <f>Time!CN$50</f>
        <v>52504</v>
      </c>
      <c r="CO2" s="490">
        <f>Time!CO$50</f>
        <v>52596</v>
      </c>
      <c r="CP2" s="490">
        <f>Time!CP$50</f>
        <v>52687</v>
      </c>
      <c r="CQ2" s="490">
        <f>Time!CQ$50</f>
        <v>52778</v>
      </c>
      <c r="CR2" s="490">
        <f>Time!CR$50</f>
        <v>52870</v>
      </c>
      <c r="CS2" s="490">
        <f>Time!CS$50</f>
        <v>52962</v>
      </c>
      <c r="CT2" s="490">
        <f>Time!CT$50</f>
        <v>53052</v>
      </c>
      <c r="CU2" s="490">
        <f>Time!CU$50</f>
        <v>53143</v>
      </c>
      <c r="CV2" s="490">
        <f>Time!CV$50</f>
        <v>53235</v>
      </c>
      <c r="CW2" s="490">
        <f>Time!CW$50</f>
        <v>53327</v>
      </c>
      <c r="CX2" s="490">
        <f>Time!CX$50</f>
        <v>53417</v>
      </c>
      <c r="CY2" s="490">
        <f>Time!CY$50</f>
        <v>53508</v>
      </c>
      <c r="CZ2" s="490">
        <f>Time!CZ$50</f>
        <v>53600</v>
      </c>
      <c r="DA2" s="490">
        <f>Time!DA$50</f>
        <v>53692</v>
      </c>
      <c r="DB2" s="490">
        <f>Time!DB$50</f>
        <v>53782</v>
      </c>
      <c r="DC2" s="490">
        <f>Time!DC$50</f>
        <v>53873</v>
      </c>
      <c r="DD2" s="490">
        <f>Time!DD$50</f>
        <v>53965</v>
      </c>
      <c r="DE2" s="490">
        <f>Time!DE$50</f>
        <v>54057</v>
      </c>
      <c r="DF2" s="490">
        <f>Time!DF$50</f>
        <v>54148</v>
      </c>
      <c r="DG2" s="490">
        <f>Time!DG$50</f>
        <v>54239</v>
      </c>
      <c r="DH2" s="490">
        <f>Time!DH$50</f>
        <v>54331</v>
      </c>
      <c r="DI2" s="490">
        <f>Time!DI$50</f>
        <v>54423</v>
      </c>
      <c r="DJ2" s="490">
        <f>Time!DJ$50</f>
        <v>54513</v>
      </c>
      <c r="DK2" s="490">
        <f>Time!DK$50</f>
        <v>54604</v>
      </c>
      <c r="DL2" s="490">
        <f>Time!DL$50</f>
        <v>54696</v>
      </c>
      <c r="DM2" s="490">
        <f>Time!DM$50</f>
        <v>54788</v>
      </c>
      <c r="DN2" s="490">
        <f>Time!DN$50</f>
        <v>54878</v>
      </c>
      <c r="DO2" s="490">
        <f>Time!DO$50</f>
        <v>54969</v>
      </c>
      <c r="DP2" s="490">
        <f>Time!DP$50</f>
        <v>55061</v>
      </c>
      <c r="DQ2" s="490">
        <f>Time!DQ$50</f>
        <v>55153</v>
      </c>
      <c r="DR2" s="490">
        <f>Time!DR$50</f>
        <v>55243</v>
      </c>
      <c r="DS2" s="490">
        <f>Time!DS$50</f>
        <v>55334</v>
      </c>
      <c r="DT2" s="490">
        <f>Time!DT$50</f>
        <v>55426</v>
      </c>
      <c r="DU2" s="490">
        <f>Time!DU$50</f>
        <v>55518</v>
      </c>
      <c r="DV2" s="490">
        <f>Time!DV$50</f>
        <v>55609</v>
      </c>
      <c r="DW2" s="490">
        <f>Time!DW$50</f>
        <v>55700</v>
      </c>
      <c r="DX2" s="490">
        <f>Time!DX$50</f>
        <v>55792</v>
      </c>
      <c r="DY2" s="490">
        <f>Time!DY$50</f>
        <v>55884</v>
      </c>
      <c r="DZ2" s="490">
        <f>Time!DZ$50</f>
        <v>55974</v>
      </c>
      <c r="EA2" s="490">
        <f>Time!EA$50</f>
        <v>56065</v>
      </c>
      <c r="EB2" s="490">
        <f>Time!EB$50</f>
        <v>56157</v>
      </c>
      <c r="EC2" s="490">
        <f>Time!EC$50</f>
        <v>56249</v>
      </c>
      <c r="ED2" s="490">
        <f>Time!ED$50</f>
        <v>56339</v>
      </c>
      <c r="EE2" s="490">
        <f>Time!EE$50</f>
        <v>56430</v>
      </c>
      <c r="EF2" s="490">
        <f>Time!EF$50</f>
        <v>56522</v>
      </c>
      <c r="EG2" s="490">
        <f>Time!EG$50</f>
        <v>56614</v>
      </c>
      <c r="EH2" s="490"/>
      <c r="EI2" s="490"/>
      <c r="EJ2" s="490"/>
      <c r="EK2" s="490"/>
      <c r="EL2" s="490"/>
      <c r="EM2" s="490"/>
      <c r="EN2" s="490"/>
      <c r="EO2" s="490"/>
      <c r="EP2" s="490"/>
      <c r="EQ2" s="490"/>
      <c r="ER2" s="490"/>
      <c r="ES2" s="490"/>
      <c r="ET2" s="490"/>
      <c r="EU2" s="490"/>
      <c r="EV2" s="490"/>
      <c r="EW2" s="490"/>
      <c r="EX2" s="490"/>
      <c r="EY2" s="490"/>
      <c r="EZ2" s="490"/>
      <c r="FA2" s="490"/>
      <c r="FB2" s="490"/>
      <c r="FC2" s="490"/>
      <c r="FD2" s="490"/>
      <c r="FE2" s="490"/>
      <c r="FF2" s="490"/>
      <c r="FG2" s="490"/>
      <c r="FH2" s="490"/>
      <c r="FI2" s="490"/>
      <c r="FJ2" s="490"/>
      <c r="FK2" s="490"/>
      <c r="FL2" s="490"/>
      <c r="FM2" s="490"/>
      <c r="FN2" s="490"/>
      <c r="FO2" s="490"/>
      <c r="FP2" s="490"/>
      <c r="FQ2" s="490"/>
      <c r="FR2" s="490"/>
      <c r="FS2" s="490"/>
      <c r="FT2" s="490"/>
      <c r="FU2" s="490"/>
      <c r="FV2" s="490"/>
      <c r="FW2" s="490"/>
      <c r="FX2" s="490"/>
      <c r="FY2" s="490"/>
      <c r="FZ2" s="490"/>
      <c r="GA2" s="490"/>
      <c r="GB2" s="490"/>
      <c r="GC2" s="490"/>
      <c r="GD2" s="490"/>
      <c r="GE2" s="490"/>
      <c r="GF2" s="490"/>
      <c r="GG2" s="490"/>
      <c r="GH2" s="490"/>
      <c r="GI2" s="490"/>
      <c r="GJ2" s="490"/>
      <c r="GK2" s="490"/>
      <c r="GL2" s="490"/>
      <c r="GM2" s="490"/>
      <c r="GN2" s="490"/>
      <c r="GO2" s="490"/>
      <c r="GP2" s="490"/>
      <c r="GQ2" s="490"/>
      <c r="GR2" s="490"/>
      <c r="GS2" s="490"/>
      <c r="GT2" s="490"/>
      <c r="GU2" s="490"/>
      <c r="GV2" s="490"/>
      <c r="GW2" s="490"/>
      <c r="GX2" s="490"/>
      <c r="GY2" s="490"/>
      <c r="GZ2" s="490"/>
      <c r="HA2" s="490"/>
      <c r="HB2" s="490"/>
      <c r="HC2" s="490"/>
      <c r="HD2" s="490"/>
      <c r="HE2" s="490"/>
      <c r="HF2" s="490"/>
      <c r="HG2" s="490"/>
      <c r="HH2" s="490"/>
      <c r="HI2" s="490"/>
      <c r="HJ2" s="490"/>
      <c r="HK2" s="490"/>
      <c r="HL2" s="490"/>
      <c r="HM2" s="490"/>
      <c r="HN2" s="490"/>
      <c r="HO2" s="490"/>
      <c r="HP2" s="490"/>
      <c r="HQ2" s="490"/>
      <c r="HR2" s="490"/>
      <c r="HS2" s="490"/>
      <c r="HT2" s="490"/>
      <c r="HU2" s="490"/>
      <c r="HV2" s="490"/>
      <c r="HW2" s="490"/>
      <c r="HX2" s="490"/>
      <c r="HY2" s="490"/>
      <c r="HZ2" s="490"/>
      <c r="IA2" s="490"/>
      <c r="IB2" s="490"/>
      <c r="IC2" s="490"/>
      <c r="ID2" s="490"/>
      <c r="IE2" s="490"/>
      <c r="IF2" s="490"/>
      <c r="IG2" s="490"/>
      <c r="IH2" s="490"/>
      <c r="II2" s="490"/>
      <c r="IJ2" s="490"/>
      <c r="IK2" s="490"/>
      <c r="IL2" s="490"/>
      <c r="IM2" s="490"/>
      <c r="IN2" s="490"/>
      <c r="IO2" s="490"/>
      <c r="IP2" s="490"/>
      <c r="IQ2" s="490"/>
      <c r="IR2" s="490"/>
      <c r="IS2" s="490"/>
      <c r="IT2" s="490"/>
      <c r="IU2" s="490"/>
      <c r="IV2" s="490"/>
      <c r="IW2" s="490"/>
      <c r="IX2" s="490"/>
      <c r="IY2" s="490"/>
      <c r="IZ2" s="490"/>
      <c r="JA2" s="490"/>
      <c r="JB2" s="490"/>
      <c r="JC2" s="490"/>
      <c r="JD2" s="490"/>
      <c r="JE2" s="490"/>
      <c r="JF2" s="490"/>
      <c r="JG2" s="490"/>
      <c r="JH2" s="490"/>
      <c r="JI2" s="490"/>
      <c r="JJ2" s="490"/>
      <c r="JK2" s="490"/>
      <c r="JL2" s="490"/>
      <c r="JM2" s="490"/>
      <c r="JN2" s="490"/>
      <c r="JO2" s="490"/>
      <c r="JP2" s="490"/>
      <c r="JQ2" s="490"/>
      <c r="JR2" s="490"/>
      <c r="JS2" s="490"/>
      <c r="JT2" s="490"/>
      <c r="JU2" s="490"/>
      <c r="JV2" s="490"/>
      <c r="JW2" s="490"/>
      <c r="JX2" s="490"/>
      <c r="JY2" s="490"/>
      <c r="JZ2" s="490"/>
      <c r="KA2" s="490"/>
      <c r="KB2" s="490"/>
      <c r="KC2" s="490"/>
      <c r="KD2" s="490"/>
      <c r="KE2" s="490"/>
      <c r="KF2" s="490"/>
      <c r="KG2" s="490"/>
      <c r="KH2" s="490"/>
      <c r="KI2" s="490"/>
      <c r="KJ2" s="490"/>
      <c r="KK2" s="490"/>
      <c r="KL2" s="490"/>
      <c r="KM2" s="490"/>
      <c r="KN2" s="490"/>
      <c r="KO2" s="490"/>
      <c r="KP2" s="490"/>
      <c r="KQ2" s="490"/>
      <c r="KR2" s="490"/>
      <c r="KS2" s="490"/>
      <c r="KT2" s="490"/>
      <c r="KU2" s="490"/>
      <c r="KV2" s="490"/>
      <c r="KW2" s="490"/>
      <c r="KX2" s="490"/>
      <c r="KY2" s="490"/>
      <c r="KZ2" s="490"/>
      <c r="LA2" s="490"/>
      <c r="LB2" s="490"/>
      <c r="LC2" s="490"/>
      <c r="LD2" s="490"/>
      <c r="LE2" s="490"/>
      <c r="LF2" s="490"/>
      <c r="LG2" s="490"/>
      <c r="LH2" s="490"/>
      <c r="LI2" s="490"/>
      <c r="LJ2" s="490"/>
      <c r="LK2" s="490"/>
      <c r="LL2" s="490"/>
      <c r="LM2" s="490"/>
      <c r="LN2" s="490"/>
      <c r="LO2" s="490"/>
      <c r="LP2" s="490"/>
      <c r="LQ2" s="490"/>
      <c r="LR2" s="490"/>
      <c r="LS2" s="490"/>
      <c r="LT2" s="490"/>
      <c r="LU2" s="490"/>
      <c r="LV2" s="490"/>
      <c r="LW2" s="490"/>
      <c r="LX2" s="490"/>
      <c r="LY2" s="490"/>
      <c r="LZ2" s="490"/>
      <c r="MA2" s="490"/>
      <c r="MB2" s="490"/>
      <c r="MC2" s="490"/>
      <c r="MD2" s="490"/>
      <c r="ME2" s="490"/>
      <c r="MF2" s="490"/>
      <c r="MG2" s="490"/>
      <c r="MH2" s="490"/>
      <c r="MI2" s="490"/>
      <c r="MJ2" s="490"/>
      <c r="MK2" s="490"/>
      <c r="ML2" s="490"/>
      <c r="MM2" s="490"/>
      <c r="MN2" s="490"/>
      <c r="MO2" s="490"/>
      <c r="MP2" s="490"/>
      <c r="MQ2" s="490"/>
      <c r="MR2" s="490"/>
      <c r="MS2" s="490"/>
      <c r="MT2" s="490"/>
      <c r="MU2" s="490"/>
      <c r="MV2" s="490"/>
      <c r="MW2" s="490"/>
      <c r="MX2" s="490"/>
      <c r="MY2" s="490"/>
      <c r="MZ2" s="490"/>
      <c r="NA2" s="490"/>
      <c r="NB2" s="490"/>
      <c r="NC2" s="490"/>
      <c r="ND2" s="490"/>
      <c r="NE2" s="490"/>
      <c r="NF2" s="490"/>
      <c r="NG2" s="490"/>
      <c r="NH2" s="490"/>
      <c r="NI2" s="490"/>
      <c r="NJ2" s="490"/>
      <c r="NK2" s="490"/>
      <c r="NL2" s="490"/>
      <c r="NM2" s="490"/>
      <c r="NN2" s="490"/>
      <c r="NO2" s="490"/>
      <c r="NP2" s="490"/>
      <c r="NQ2" s="490"/>
      <c r="NR2" s="490"/>
      <c r="NS2" s="490"/>
      <c r="NT2" s="490"/>
      <c r="NU2" s="490"/>
      <c r="NV2" s="490"/>
      <c r="NW2" s="490"/>
      <c r="NX2" s="490"/>
      <c r="NY2" s="490"/>
      <c r="NZ2" s="490"/>
      <c r="OA2" s="490"/>
      <c r="OB2" s="490"/>
      <c r="OC2" s="490"/>
      <c r="OD2" s="490"/>
      <c r="OE2" s="490"/>
      <c r="OF2" s="490"/>
      <c r="OG2" s="490"/>
      <c r="OH2" s="490"/>
      <c r="OI2" s="490"/>
      <c r="OJ2" s="490"/>
      <c r="OK2" s="490"/>
      <c r="OL2" s="490"/>
      <c r="OM2" s="490"/>
      <c r="ON2" s="490"/>
      <c r="OO2" s="490"/>
      <c r="OP2" s="490"/>
      <c r="OQ2" s="490"/>
      <c r="OR2" s="490"/>
      <c r="OS2" s="490"/>
      <c r="OT2" s="490"/>
      <c r="OU2" s="490"/>
      <c r="OV2" s="490"/>
      <c r="OW2" s="490"/>
      <c r="OX2" s="490"/>
      <c r="OY2" s="490"/>
      <c r="OZ2" s="490"/>
      <c r="PA2" s="490"/>
      <c r="PB2" s="490"/>
      <c r="PC2" s="490"/>
      <c r="PD2" s="490"/>
      <c r="PE2" s="490"/>
      <c r="PF2" s="490"/>
      <c r="PG2" s="490"/>
      <c r="PH2" s="490"/>
      <c r="PI2" s="490"/>
      <c r="PJ2" s="490"/>
      <c r="PK2" s="490"/>
      <c r="PL2" s="490"/>
      <c r="PM2" s="490"/>
      <c r="PN2" s="490"/>
      <c r="PO2" s="490"/>
      <c r="PP2" s="490"/>
      <c r="PQ2" s="490"/>
      <c r="PR2" s="490"/>
      <c r="PS2" s="490"/>
      <c r="PT2" s="490"/>
      <c r="PU2" s="490"/>
      <c r="PV2" s="490"/>
      <c r="PW2" s="490"/>
      <c r="PX2" s="490"/>
      <c r="PY2" s="490"/>
      <c r="PZ2" s="490"/>
      <c r="QA2" s="490"/>
      <c r="QB2" s="490"/>
      <c r="QC2" s="490"/>
      <c r="QD2" s="490"/>
      <c r="QE2" s="490"/>
      <c r="QF2" s="490"/>
      <c r="QG2" s="490"/>
      <c r="QH2" s="490"/>
      <c r="QI2" s="490"/>
      <c r="QJ2" s="490"/>
      <c r="QK2" s="490"/>
      <c r="QL2" s="490"/>
      <c r="QM2" s="490"/>
      <c r="QN2" s="490"/>
      <c r="QO2" s="490"/>
      <c r="QP2" s="490"/>
      <c r="QQ2" s="490"/>
      <c r="QR2" s="490"/>
      <c r="QS2" s="490"/>
      <c r="QT2" s="490"/>
      <c r="QU2" s="490"/>
      <c r="QV2" s="490"/>
      <c r="QW2" s="490"/>
      <c r="QX2" s="490"/>
      <c r="QY2" s="490"/>
      <c r="QZ2" s="490"/>
      <c r="RA2" s="490"/>
      <c r="RB2" s="490"/>
      <c r="RC2" s="490"/>
      <c r="RD2" s="490"/>
      <c r="RE2" s="490"/>
      <c r="RF2" s="490"/>
      <c r="RG2" s="490"/>
      <c r="RH2" s="490"/>
      <c r="RI2" s="490"/>
      <c r="RJ2" s="490"/>
      <c r="RK2" s="490"/>
      <c r="RL2" s="490"/>
    </row>
    <row r="3" spans="1:480" ht="12.75">
      <c r="A3" s="306"/>
      <c r="B3" s="306"/>
      <c r="C3" s="307"/>
      <c r="D3" s="308"/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1:480" ht="12.75">
      <c r="A4" s="382"/>
      <c r="B4" s="382"/>
      <c r="C4" s="383"/>
      <c r="D4" s="384"/>
      <c r="E4" s="496" t="s">
        <v>142</v>
      </c>
      <c r="F4"/>
      <c r="G4"/>
      <c r="H4" s="385"/>
      <c r="I4" s="385"/>
      <c r="J4" s="496">
        <f>Time!J$117</f>
        <v>2027</v>
      </c>
      <c r="K4" s="496">
        <f>Time!K$117</f>
        <v>2027</v>
      </c>
      <c r="L4" s="496">
        <f>Time!L$117</f>
        <v>2027</v>
      </c>
      <c r="M4" s="496">
        <f>Time!M$117</f>
        <v>2027</v>
      </c>
      <c r="N4" s="496">
        <f>Time!N$117</f>
        <v>2027</v>
      </c>
      <c r="O4" s="496">
        <f>Time!O$117</f>
        <v>2027</v>
      </c>
      <c r="P4" s="496">
        <f>Time!P$117</f>
        <v>2027</v>
      </c>
      <c r="Q4" s="496">
        <f>Time!Q$117</f>
        <v>2027</v>
      </c>
      <c r="R4" s="496">
        <f>Time!R$117</f>
        <v>2027</v>
      </c>
      <c r="S4" s="496">
        <f>Time!S$117</f>
        <v>2027</v>
      </c>
      <c r="T4" s="496">
        <f>Time!T$117</f>
        <v>2027</v>
      </c>
      <c r="U4" s="496">
        <f>Time!U$117</f>
        <v>2027</v>
      </c>
      <c r="V4" s="496">
        <f>Time!V$117</f>
        <v>2028</v>
      </c>
      <c r="W4" s="496">
        <f>Time!W$117</f>
        <v>2028</v>
      </c>
      <c r="X4" s="496">
        <f>Time!X$117</f>
        <v>2028</v>
      </c>
      <c r="Y4" s="496">
        <f>Time!Y$117</f>
        <v>2028</v>
      </c>
      <c r="Z4" s="496">
        <f>Time!Z$117</f>
        <v>2028</v>
      </c>
      <c r="AA4" s="496">
        <f>Time!AA$117</f>
        <v>2028</v>
      </c>
      <c r="AB4" s="496">
        <f>Time!AB$117</f>
        <v>2028</v>
      </c>
      <c r="AC4" s="496">
        <f>Time!AC$117</f>
        <v>2028</v>
      </c>
      <c r="AD4" s="496">
        <f>Time!AD$117</f>
        <v>2028</v>
      </c>
      <c r="AE4" s="496">
        <f>Time!AE$117</f>
        <v>2028</v>
      </c>
      <c r="AF4" s="496">
        <f>Time!AF$117</f>
        <v>2028</v>
      </c>
      <c r="AG4" s="496">
        <f>Time!AG$117</f>
        <v>2028</v>
      </c>
      <c r="AH4" s="496">
        <f>Time!AH$117</f>
        <v>2029</v>
      </c>
      <c r="AI4" s="496">
        <f>Time!AI$117</f>
        <v>2029</v>
      </c>
      <c r="AJ4" s="496">
        <f>Time!AJ$117</f>
        <v>2029</v>
      </c>
      <c r="AK4" s="496">
        <f>Time!AK$117</f>
        <v>2029</v>
      </c>
      <c r="AL4" s="496">
        <f>Time!AL$117</f>
        <v>2030</v>
      </c>
      <c r="AM4" s="496">
        <f>Time!AM$117</f>
        <v>2030</v>
      </c>
      <c r="AN4" s="496">
        <f>Time!AN$117</f>
        <v>2030</v>
      </c>
      <c r="AO4" s="496">
        <f>Time!AO$117</f>
        <v>2030</v>
      </c>
      <c r="AP4" s="496">
        <f>Time!AP$117</f>
        <v>2031</v>
      </c>
      <c r="AQ4" s="496">
        <f>Time!AQ$117</f>
        <v>2031</v>
      </c>
      <c r="AR4" s="496">
        <f>Time!AR$117</f>
        <v>2031</v>
      </c>
      <c r="AS4" s="496">
        <f>Time!AS$117</f>
        <v>2031</v>
      </c>
      <c r="AT4" s="496">
        <f>Time!AT$117</f>
        <v>2032</v>
      </c>
      <c r="AU4" s="496">
        <f>Time!AU$117</f>
        <v>2032</v>
      </c>
      <c r="AV4" s="496">
        <f>Time!AV$117</f>
        <v>2032</v>
      </c>
      <c r="AW4" s="496">
        <f>Time!AW$117</f>
        <v>2032</v>
      </c>
      <c r="AX4" s="496">
        <f>Time!AX$117</f>
        <v>2033</v>
      </c>
      <c r="AY4" s="496">
        <f>Time!AY$117</f>
        <v>2033</v>
      </c>
      <c r="AZ4" s="496">
        <f>Time!AZ$117</f>
        <v>2033</v>
      </c>
      <c r="BA4" s="496">
        <f>Time!BA$117</f>
        <v>2033</v>
      </c>
      <c r="BB4" s="496">
        <f>Time!BB$117</f>
        <v>2034</v>
      </c>
      <c r="BC4" s="496">
        <f>Time!BC$117</f>
        <v>2034</v>
      </c>
      <c r="BD4" s="496">
        <f>Time!BD$117</f>
        <v>2034</v>
      </c>
      <c r="BE4" s="496">
        <f>Time!BE$117</f>
        <v>2034</v>
      </c>
      <c r="BF4" s="496">
        <f>Time!BF$117</f>
        <v>2035</v>
      </c>
      <c r="BG4" s="496">
        <f>Time!BG$117</f>
        <v>2035</v>
      </c>
      <c r="BH4" s="496">
        <f>Time!BH$117</f>
        <v>2035</v>
      </c>
      <c r="BI4" s="496">
        <f>Time!BI$117</f>
        <v>2035</v>
      </c>
      <c r="BJ4" s="496">
        <f>Time!BJ$117</f>
        <v>2036</v>
      </c>
      <c r="BK4" s="496">
        <f>Time!BK$117</f>
        <v>2036</v>
      </c>
      <c r="BL4" s="496">
        <f>Time!BL$117</f>
        <v>2036</v>
      </c>
      <c r="BM4" s="496">
        <f>Time!BM$117</f>
        <v>2036</v>
      </c>
      <c r="BN4" s="496">
        <f>Time!BN$117</f>
        <v>2037</v>
      </c>
      <c r="BO4" s="496">
        <f>Time!BO$117</f>
        <v>2037</v>
      </c>
      <c r="BP4" s="496">
        <f>Time!BP$117</f>
        <v>2037</v>
      </c>
      <c r="BQ4" s="496">
        <f>Time!BQ$117</f>
        <v>2037</v>
      </c>
      <c r="BR4" s="496">
        <f>Time!BR$117</f>
        <v>2038</v>
      </c>
      <c r="BS4" s="496">
        <f>Time!BS$117</f>
        <v>2038</v>
      </c>
      <c r="BT4" s="496">
        <f>Time!BT$117</f>
        <v>2038</v>
      </c>
      <c r="BU4" s="496">
        <f>Time!BU$117</f>
        <v>2038</v>
      </c>
      <c r="BV4" s="496">
        <f>Time!BV$117</f>
        <v>2039</v>
      </c>
      <c r="BW4" s="496">
        <f>Time!BW$117</f>
        <v>2039</v>
      </c>
      <c r="BX4" s="496">
        <f>Time!BX$117</f>
        <v>2039</v>
      </c>
      <c r="BY4" s="496">
        <f>Time!BY$117</f>
        <v>2039</v>
      </c>
      <c r="BZ4" s="496">
        <f>Time!BZ$117</f>
        <v>2040</v>
      </c>
      <c r="CA4" s="496">
        <f>Time!CA$117</f>
        <v>2040</v>
      </c>
      <c r="CB4" s="496">
        <f>Time!CB$117</f>
        <v>2040</v>
      </c>
      <c r="CC4" s="496">
        <f>Time!CC$117</f>
        <v>2040</v>
      </c>
      <c r="CD4" s="496">
        <f>Time!CD$117</f>
        <v>2041</v>
      </c>
      <c r="CE4" s="496">
        <f>Time!CE$117</f>
        <v>2041</v>
      </c>
      <c r="CF4" s="496">
        <f>Time!CF$117</f>
        <v>2041</v>
      </c>
      <c r="CG4" s="496">
        <f>Time!CG$117</f>
        <v>2041</v>
      </c>
      <c r="CH4" s="496">
        <f>Time!CH$117</f>
        <v>2042</v>
      </c>
      <c r="CI4" s="496">
        <f>Time!CI$117</f>
        <v>2042</v>
      </c>
      <c r="CJ4" s="496">
        <f>Time!CJ$117</f>
        <v>2042</v>
      </c>
      <c r="CK4" s="496">
        <f>Time!CK$117</f>
        <v>2042</v>
      </c>
      <c r="CL4" s="496">
        <f>Time!CL$117</f>
        <v>2043</v>
      </c>
      <c r="CM4" s="496">
        <f>Time!CM$117</f>
        <v>2043</v>
      </c>
      <c r="CN4" s="496">
        <f>Time!CN$117</f>
        <v>2043</v>
      </c>
      <c r="CO4" s="496">
        <f>Time!CO$117</f>
        <v>2043</v>
      </c>
      <c r="CP4" s="496">
        <f>Time!CP$117</f>
        <v>2044</v>
      </c>
      <c r="CQ4" s="496">
        <f>Time!CQ$117</f>
        <v>2044</v>
      </c>
      <c r="CR4" s="496">
        <f>Time!CR$117</f>
        <v>2044</v>
      </c>
      <c r="CS4" s="496">
        <f>Time!CS$117</f>
        <v>2044</v>
      </c>
      <c r="CT4" s="496">
        <f>Time!CT$117</f>
        <v>2045</v>
      </c>
      <c r="CU4" s="496">
        <f>Time!CU$117</f>
        <v>2045</v>
      </c>
      <c r="CV4" s="496">
        <f>Time!CV$117</f>
        <v>2045</v>
      </c>
      <c r="CW4" s="496">
        <f>Time!CW$117</f>
        <v>2045</v>
      </c>
      <c r="CX4" s="496">
        <f>Time!CX$117</f>
        <v>2046</v>
      </c>
      <c r="CY4" s="496">
        <f>Time!CY$117</f>
        <v>2046</v>
      </c>
      <c r="CZ4" s="496">
        <f>Time!CZ$117</f>
        <v>2046</v>
      </c>
      <c r="DA4" s="496">
        <f>Time!DA$117</f>
        <v>2046</v>
      </c>
      <c r="DB4" s="496">
        <f>Time!DB$117</f>
        <v>2047</v>
      </c>
      <c r="DC4" s="496">
        <f>Time!DC$117</f>
        <v>2047</v>
      </c>
      <c r="DD4" s="496">
        <f>Time!DD$117</f>
        <v>2047</v>
      </c>
      <c r="DE4" s="496">
        <f>Time!DE$117</f>
        <v>2047</v>
      </c>
      <c r="DF4" s="496">
        <f>Time!DF$117</f>
        <v>2048</v>
      </c>
      <c r="DG4" s="496">
        <f>Time!DG$117</f>
        <v>2048</v>
      </c>
      <c r="DH4" s="496">
        <f>Time!DH$117</f>
        <v>2048</v>
      </c>
      <c r="DI4" s="496">
        <f>Time!DI$117</f>
        <v>2048</v>
      </c>
      <c r="DJ4" s="496">
        <f>Time!DJ$117</f>
        <v>2049</v>
      </c>
      <c r="DK4" s="496">
        <f>Time!DK$117</f>
        <v>2049</v>
      </c>
      <c r="DL4" s="496">
        <f>Time!DL$117</f>
        <v>2049</v>
      </c>
      <c r="DM4" s="496">
        <f>Time!DM$117</f>
        <v>2049</v>
      </c>
      <c r="DN4" s="496">
        <f>Time!DN$117</f>
        <v>2050</v>
      </c>
      <c r="DO4" s="496">
        <f>Time!DO$117</f>
        <v>2050</v>
      </c>
      <c r="DP4" s="496">
        <f>Time!DP$117</f>
        <v>2050</v>
      </c>
      <c r="DQ4" s="496">
        <f>Time!DQ$117</f>
        <v>2050</v>
      </c>
      <c r="DR4" s="496">
        <f>Time!DR$117</f>
        <v>2051</v>
      </c>
      <c r="DS4" s="496">
        <f>Time!DS$117</f>
        <v>2051</v>
      </c>
      <c r="DT4" s="496">
        <f>Time!DT$117</f>
        <v>2051</v>
      </c>
      <c r="DU4" s="496">
        <f>Time!DU$117</f>
        <v>2051</v>
      </c>
      <c r="DV4" s="496">
        <f>Time!DV$117</f>
        <v>2052</v>
      </c>
      <c r="DW4" s="496">
        <f>Time!DW$117</f>
        <v>2052</v>
      </c>
      <c r="DX4" s="496">
        <f>Time!DX$117</f>
        <v>2052</v>
      </c>
      <c r="DY4" s="496">
        <f>Time!DY$117</f>
        <v>2052</v>
      </c>
      <c r="DZ4" s="496">
        <f>Time!DZ$117</f>
        <v>2053</v>
      </c>
      <c r="EA4" s="496">
        <f>Time!EA$117</f>
        <v>2053</v>
      </c>
      <c r="EB4" s="496">
        <f>Time!EB$117</f>
        <v>2053</v>
      </c>
      <c r="EC4" s="496">
        <f>Time!EC$117</f>
        <v>2053</v>
      </c>
      <c r="ED4" s="496">
        <f>Time!ED$117</f>
        <v>2054</v>
      </c>
      <c r="EE4" s="496">
        <f>Time!EE$117</f>
        <v>2054</v>
      </c>
      <c r="EF4" s="496">
        <f>Time!EF$117</f>
        <v>2054</v>
      </c>
      <c r="EG4" s="496">
        <f>Time!EG$117</f>
        <v>2054</v>
      </c>
      <c r="EH4" s="496"/>
      <c r="EI4" s="496"/>
      <c r="EJ4" s="496"/>
      <c r="EK4" s="496"/>
      <c r="EL4" s="496"/>
      <c r="EM4" s="496"/>
      <c r="EN4" s="496"/>
      <c r="EO4" s="496"/>
      <c r="EP4" s="496"/>
      <c r="EQ4" s="496"/>
      <c r="ER4" s="496"/>
      <c r="ES4" s="496"/>
      <c r="ET4" s="496"/>
      <c r="EU4" s="496"/>
      <c r="EV4" s="496"/>
      <c r="EW4" s="496"/>
      <c r="EX4" s="496"/>
      <c r="EY4" s="496"/>
      <c r="EZ4" s="496"/>
      <c r="FA4" s="496"/>
      <c r="FB4" s="496"/>
      <c r="FC4" s="496"/>
      <c r="FD4" s="496"/>
      <c r="FE4" s="496"/>
      <c r="FF4" s="496"/>
      <c r="FG4" s="496"/>
      <c r="FH4" s="496"/>
      <c r="FI4" s="496"/>
      <c r="FJ4" s="496"/>
      <c r="FK4" s="496"/>
      <c r="FL4" s="496"/>
      <c r="FM4" s="496"/>
      <c r="FN4" s="496"/>
      <c r="FO4" s="496"/>
      <c r="FP4" s="496"/>
      <c r="FQ4" s="496"/>
      <c r="FR4" s="496"/>
      <c r="FS4" s="496"/>
      <c r="FT4" s="496"/>
      <c r="FU4" s="496"/>
      <c r="FV4" s="496"/>
      <c r="FW4" s="496"/>
      <c r="FX4" s="496"/>
      <c r="FY4" s="496"/>
      <c r="FZ4" s="496"/>
      <c r="GA4" s="496"/>
      <c r="GB4" s="496"/>
      <c r="GC4" s="496"/>
      <c r="GD4" s="496"/>
      <c r="GE4" s="496"/>
      <c r="GF4" s="496"/>
      <c r="GG4" s="496"/>
      <c r="GH4" s="496"/>
      <c r="GI4" s="496"/>
      <c r="GJ4" s="496"/>
      <c r="GK4" s="496"/>
      <c r="GL4" s="496"/>
      <c r="GM4" s="496"/>
      <c r="GN4" s="496"/>
      <c r="GO4" s="496"/>
      <c r="GP4" s="496"/>
      <c r="GQ4" s="496"/>
      <c r="GR4" s="496"/>
      <c r="GS4" s="496"/>
      <c r="GT4" s="496"/>
      <c r="GU4" s="496"/>
      <c r="GV4" s="496"/>
      <c r="GW4" s="496"/>
      <c r="GX4" s="496"/>
      <c r="GY4" s="496"/>
      <c r="GZ4" s="496"/>
      <c r="HA4" s="496"/>
      <c r="HB4" s="496"/>
      <c r="HC4" s="496"/>
      <c r="HD4" s="496"/>
      <c r="HE4" s="496"/>
      <c r="HF4" s="496"/>
      <c r="HG4" s="496"/>
      <c r="HH4" s="496"/>
      <c r="HI4" s="496"/>
      <c r="HJ4" s="496"/>
      <c r="HK4" s="496"/>
      <c r="HL4" s="496"/>
      <c r="HM4" s="496"/>
      <c r="HN4" s="496"/>
      <c r="HO4" s="496"/>
      <c r="HP4" s="496"/>
      <c r="HQ4" s="496"/>
      <c r="HR4" s="496"/>
      <c r="HS4" s="496"/>
      <c r="HT4" s="496"/>
      <c r="HU4" s="496"/>
      <c r="HV4" s="496"/>
      <c r="HW4" s="496"/>
      <c r="HX4" s="496"/>
      <c r="HY4" s="496"/>
      <c r="HZ4" s="496"/>
      <c r="IA4" s="496"/>
      <c r="IB4" s="496"/>
      <c r="IC4" s="496"/>
      <c r="ID4" s="496"/>
      <c r="IE4" s="496"/>
      <c r="IF4" s="496"/>
      <c r="IG4" s="496"/>
      <c r="IH4" s="496"/>
      <c r="II4" s="496"/>
      <c r="IJ4" s="496"/>
      <c r="IK4" s="496"/>
      <c r="IL4" s="496"/>
      <c r="IM4" s="496"/>
      <c r="IN4" s="496"/>
      <c r="IO4" s="496"/>
      <c r="IP4" s="496"/>
      <c r="IQ4" s="496"/>
      <c r="IR4" s="496"/>
      <c r="IS4" s="496"/>
      <c r="IT4" s="496"/>
      <c r="IU4" s="496"/>
      <c r="IV4" s="496"/>
      <c r="IW4" s="496"/>
      <c r="IX4" s="496"/>
      <c r="IY4" s="496"/>
      <c r="IZ4" s="496"/>
      <c r="JA4" s="496"/>
      <c r="JB4" s="496"/>
      <c r="JC4" s="496"/>
      <c r="JD4" s="496"/>
      <c r="JE4" s="496"/>
      <c r="JF4" s="496"/>
      <c r="JG4" s="496"/>
      <c r="JH4" s="496"/>
      <c r="JI4" s="496"/>
      <c r="JJ4" s="496"/>
      <c r="JK4" s="496"/>
      <c r="JL4" s="496"/>
      <c r="JM4" s="496"/>
      <c r="JN4" s="496"/>
      <c r="JO4" s="496"/>
      <c r="JP4" s="496"/>
      <c r="JQ4" s="496"/>
      <c r="JR4" s="496"/>
      <c r="JS4" s="496"/>
      <c r="JT4" s="496"/>
      <c r="JU4" s="496"/>
      <c r="JV4" s="496"/>
      <c r="JW4" s="496"/>
      <c r="JX4" s="496"/>
      <c r="JY4" s="496"/>
      <c r="JZ4" s="496"/>
      <c r="KA4" s="496"/>
      <c r="KB4" s="496"/>
      <c r="KC4" s="496"/>
      <c r="KD4" s="496"/>
      <c r="KE4" s="496"/>
      <c r="KF4" s="496"/>
      <c r="KG4" s="496"/>
      <c r="KH4" s="496"/>
      <c r="KI4" s="496"/>
      <c r="KJ4" s="496"/>
      <c r="KK4" s="496"/>
      <c r="KL4" s="496"/>
      <c r="KM4" s="496"/>
      <c r="KN4" s="496"/>
      <c r="KO4" s="496"/>
      <c r="KP4" s="496"/>
      <c r="KQ4" s="496"/>
      <c r="KR4" s="496"/>
      <c r="KS4" s="496"/>
      <c r="KT4" s="496"/>
      <c r="KU4" s="496"/>
      <c r="KV4" s="496"/>
      <c r="KW4" s="496"/>
      <c r="KX4" s="496"/>
      <c r="KY4" s="496"/>
      <c r="KZ4" s="496"/>
      <c r="LA4" s="496"/>
      <c r="LB4" s="496"/>
      <c r="LC4" s="496"/>
      <c r="LD4" s="496"/>
      <c r="LE4" s="496"/>
      <c r="LF4" s="496"/>
      <c r="LG4" s="496"/>
      <c r="LH4" s="496"/>
      <c r="LI4" s="496"/>
      <c r="LJ4" s="496"/>
      <c r="LK4" s="496"/>
      <c r="LL4" s="496"/>
      <c r="LM4" s="496"/>
      <c r="LN4" s="496"/>
      <c r="LO4" s="496"/>
      <c r="LP4" s="496"/>
      <c r="LQ4" s="496"/>
      <c r="LR4" s="496"/>
      <c r="LS4" s="496"/>
      <c r="LT4" s="496"/>
      <c r="LU4" s="496"/>
      <c r="LV4" s="496"/>
      <c r="LW4" s="496"/>
      <c r="LX4" s="496"/>
      <c r="LY4" s="496"/>
      <c r="LZ4" s="496"/>
      <c r="MA4" s="496"/>
      <c r="MB4" s="496"/>
      <c r="MC4" s="496"/>
      <c r="MD4" s="496"/>
      <c r="ME4" s="496"/>
      <c r="MF4" s="496"/>
      <c r="MG4" s="496"/>
      <c r="MH4" s="496"/>
      <c r="MI4" s="496"/>
      <c r="MJ4" s="496"/>
      <c r="MK4" s="496"/>
      <c r="ML4" s="496"/>
      <c r="MM4" s="496"/>
      <c r="MN4" s="496"/>
      <c r="MO4" s="496"/>
      <c r="MP4" s="496"/>
      <c r="MQ4" s="496"/>
      <c r="MR4" s="496"/>
      <c r="MS4" s="496"/>
      <c r="MT4" s="496"/>
      <c r="MU4" s="496"/>
      <c r="MV4" s="496"/>
      <c r="MW4" s="496"/>
      <c r="MX4" s="496"/>
      <c r="MY4" s="496"/>
      <c r="MZ4" s="496"/>
      <c r="NA4" s="496"/>
      <c r="NB4" s="496"/>
      <c r="NC4" s="496"/>
      <c r="ND4" s="496"/>
      <c r="NE4" s="496"/>
      <c r="NF4" s="496"/>
      <c r="NG4" s="496"/>
      <c r="NH4" s="496"/>
      <c r="NI4" s="496"/>
      <c r="NJ4" s="496"/>
      <c r="NK4" s="496"/>
      <c r="NL4" s="496"/>
      <c r="NM4" s="496"/>
      <c r="NN4" s="496"/>
      <c r="NO4" s="496"/>
      <c r="NP4" s="496"/>
      <c r="NQ4" s="496"/>
      <c r="NR4" s="496"/>
      <c r="NS4" s="496"/>
      <c r="NT4" s="496"/>
      <c r="NU4" s="496"/>
      <c r="NV4" s="496"/>
      <c r="NW4" s="496"/>
      <c r="NX4" s="496"/>
      <c r="NY4" s="496"/>
      <c r="NZ4" s="496"/>
      <c r="OA4" s="496"/>
      <c r="OB4" s="496"/>
      <c r="OC4" s="496"/>
      <c r="OD4" s="496"/>
      <c r="OE4" s="496"/>
      <c r="OF4" s="496"/>
      <c r="OG4" s="496"/>
      <c r="OH4" s="496"/>
      <c r="OI4" s="496"/>
      <c r="OJ4" s="496"/>
      <c r="OK4" s="496"/>
      <c r="OL4" s="496"/>
      <c r="OM4" s="496"/>
      <c r="ON4" s="496"/>
      <c r="OO4" s="496"/>
      <c r="OP4" s="496"/>
      <c r="OQ4" s="496"/>
      <c r="OR4" s="496"/>
      <c r="OS4" s="496"/>
      <c r="OT4" s="496"/>
      <c r="OU4" s="496"/>
      <c r="OV4" s="496"/>
      <c r="OW4" s="496"/>
      <c r="OX4" s="496"/>
      <c r="OY4" s="496"/>
      <c r="OZ4" s="496"/>
      <c r="PA4" s="496"/>
      <c r="PB4" s="496"/>
      <c r="PC4" s="496"/>
      <c r="PD4" s="496"/>
      <c r="PE4" s="496"/>
      <c r="PF4" s="496"/>
      <c r="PG4" s="496"/>
      <c r="PH4" s="496"/>
      <c r="PI4" s="496"/>
      <c r="PJ4" s="496"/>
      <c r="PK4" s="496"/>
      <c r="PL4" s="496"/>
      <c r="PM4" s="496"/>
      <c r="PN4" s="496"/>
      <c r="PO4" s="496"/>
      <c r="PP4" s="496"/>
      <c r="PQ4" s="496"/>
      <c r="PR4" s="496"/>
      <c r="PS4" s="496"/>
      <c r="PT4" s="496"/>
      <c r="PU4" s="496"/>
      <c r="PV4" s="496"/>
      <c r="PW4" s="496"/>
      <c r="PX4" s="496"/>
      <c r="PY4" s="496"/>
      <c r="PZ4" s="496"/>
      <c r="QA4" s="496"/>
      <c r="QB4" s="496"/>
      <c r="QC4" s="496"/>
      <c r="QD4" s="496"/>
      <c r="QE4" s="496"/>
      <c r="QF4" s="496"/>
      <c r="QG4" s="496"/>
      <c r="QH4" s="496"/>
      <c r="QI4" s="496"/>
      <c r="QJ4" s="496"/>
      <c r="QK4" s="496"/>
      <c r="QL4" s="496"/>
      <c r="QM4" s="496"/>
      <c r="QN4" s="496"/>
      <c r="QO4" s="496"/>
      <c r="QP4" s="496"/>
      <c r="QQ4" s="496"/>
      <c r="QR4" s="496"/>
      <c r="QS4" s="496"/>
      <c r="QT4" s="496"/>
      <c r="QU4" s="496"/>
      <c r="QV4" s="496"/>
      <c r="QW4" s="496"/>
      <c r="QX4" s="496"/>
      <c r="QY4" s="496"/>
      <c r="QZ4" s="496"/>
      <c r="RA4" s="496"/>
      <c r="RB4" s="496"/>
      <c r="RC4" s="496"/>
      <c r="RD4" s="496"/>
      <c r="RE4" s="496"/>
      <c r="RF4" s="496"/>
      <c r="RG4" s="496"/>
      <c r="RH4" s="496"/>
      <c r="RI4" s="496"/>
      <c r="RJ4" s="496"/>
      <c r="RK4" s="496"/>
      <c r="RL4" s="496"/>
    </row>
    <row r="5" spans="1:137" ht="12.75">
      <c r="A5" s="382"/>
      <c r="B5" s="382"/>
      <c r="C5" s="383"/>
      <c r="D5" s="384"/>
      <c r="E5" s="385" t="s">
        <v>143</v>
      </c>
      <c r="F5" s="498" t="s">
        <v>9</v>
      </c>
      <c r="G5" s="499" t="s">
        <v>10</v>
      </c>
      <c r="H5" s="498" t="s">
        <v>144</v>
      </c>
      <c r="I5" s="385"/>
      <c r="J5" s="385">
        <f>Time!J$10</f>
        <v>1</v>
      </c>
      <c r="K5" s="385">
        <f>Time!K$10</f>
        <v>2</v>
      </c>
      <c r="L5" s="385">
        <f>Time!L$10</f>
        <v>3</v>
      </c>
      <c r="M5" s="385">
        <f>Time!M$10</f>
        <v>4</v>
      </c>
      <c r="N5" s="385">
        <f>Time!N$10</f>
        <v>5</v>
      </c>
      <c r="O5" s="385">
        <f>Time!O$10</f>
        <v>6</v>
      </c>
      <c r="P5" s="385">
        <f>Time!P$10</f>
        <v>7</v>
      </c>
      <c r="Q5" s="385">
        <f>Time!Q$10</f>
        <v>8</v>
      </c>
      <c r="R5" s="385">
        <f>Time!R$10</f>
        <v>9</v>
      </c>
      <c r="S5" s="385">
        <f>Time!S$10</f>
        <v>10</v>
      </c>
      <c r="T5" s="385">
        <f>Time!T$10</f>
        <v>11</v>
      </c>
      <c r="U5" s="385">
        <f>Time!U$10</f>
        <v>12</v>
      </c>
      <c r="V5" s="385">
        <f>Time!V$10</f>
        <v>13</v>
      </c>
      <c r="W5" s="385">
        <f>Time!W$10</f>
        <v>14</v>
      </c>
      <c r="X5" s="385">
        <f>Time!X$10</f>
        <v>15</v>
      </c>
      <c r="Y5" s="385">
        <f>Time!Y$10</f>
        <v>16</v>
      </c>
      <c r="Z5" s="385">
        <f>Time!Z$10</f>
        <v>17</v>
      </c>
      <c r="AA5" s="385">
        <f>Time!AA$10</f>
        <v>18</v>
      </c>
      <c r="AB5" s="385">
        <f>Time!AB$10</f>
        <v>19</v>
      </c>
      <c r="AC5" s="385">
        <f>Time!AC$10</f>
        <v>20</v>
      </c>
      <c r="AD5" s="385">
        <f>Time!AD$10</f>
        <v>21</v>
      </c>
      <c r="AE5" s="385">
        <f>Time!AE$10</f>
        <v>22</v>
      </c>
      <c r="AF5" s="385">
        <f>Time!AF$10</f>
        <v>23</v>
      </c>
      <c r="AG5" s="385">
        <f>Time!AG$10</f>
        <v>24</v>
      </c>
      <c r="AH5" s="385">
        <f>Time!AH$10</f>
        <v>25</v>
      </c>
      <c r="AI5" s="385">
        <f>Time!AI$10</f>
        <v>26</v>
      </c>
      <c r="AJ5" s="385">
        <f>Time!AJ$10</f>
        <v>27</v>
      </c>
      <c r="AK5" s="385">
        <f>Time!AK$10</f>
        <v>28</v>
      </c>
      <c r="AL5" s="385">
        <f>Time!AL$10</f>
        <v>29</v>
      </c>
      <c r="AM5" s="385">
        <f>Time!AM$10</f>
        <v>30</v>
      </c>
      <c r="AN5" s="385">
        <f>Time!AN$10</f>
        <v>31</v>
      </c>
      <c r="AO5" s="385">
        <f>Time!AO$10</f>
        <v>32</v>
      </c>
      <c r="AP5" s="385">
        <f>Time!AP$10</f>
        <v>33</v>
      </c>
      <c r="AQ5" s="385">
        <f>Time!AQ$10</f>
        <v>34</v>
      </c>
      <c r="AR5" s="385">
        <f>Time!AR$10</f>
        <v>35</v>
      </c>
      <c r="AS5" s="385">
        <f>Time!AS$10</f>
        <v>36</v>
      </c>
      <c r="AT5" s="385">
        <f>Time!AT$10</f>
        <v>37</v>
      </c>
      <c r="AU5" s="385">
        <f>Time!AU$10</f>
        <v>38</v>
      </c>
      <c r="AV5" s="385">
        <f>Time!AV$10</f>
        <v>39</v>
      </c>
      <c r="AW5" s="385">
        <f>Time!AW$10</f>
        <v>40</v>
      </c>
      <c r="AX5" s="385">
        <f>Time!AX$10</f>
        <v>41</v>
      </c>
      <c r="AY5" s="385">
        <f>Time!AY$10</f>
        <v>42</v>
      </c>
      <c r="AZ5" s="385">
        <f>Time!AZ$10</f>
        <v>43</v>
      </c>
      <c r="BA5" s="385">
        <f>Time!BA$10</f>
        <v>44</v>
      </c>
      <c r="BB5" s="385">
        <f>Time!BB$10</f>
        <v>45</v>
      </c>
      <c r="BC5" s="385">
        <f>Time!BC$10</f>
        <v>46</v>
      </c>
      <c r="BD5" s="385">
        <f>Time!BD$10</f>
        <v>47</v>
      </c>
      <c r="BE5" s="385">
        <f>Time!BE$10</f>
        <v>48</v>
      </c>
      <c r="BF5" s="385">
        <f>Time!BF$10</f>
        <v>49</v>
      </c>
      <c r="BG5" s="385">
        <f>Time!BG$10</f>
        <v>50</v>
      </c>
      <c r="BH5" s="385">
        <f>Time!BH$10</f>
        <v>51</v>
      </c>
      <c r="BI5" s="385">
        <f>Time!BI$10</f>
        <v>52</v>
      </c>
      <c r="BJ5" s="385">
        <f>Time!BJ$10</f>
        <v>53</v>
      </c>
      <c r="BK5" s="385">
        <f>Time!BK$10</f>
        <v>54</v>
      </c>
      <c r="BL5" s="385">
        <f>Time!BL$10</f>
        <v>55</v>
      </c>
      <c r="BM5" s="385">
        <f>Time!BM$10</f>
        <v>56</v>
      </c>
      <c r="BN5" s="385">
        <f>Time!BN$10</f>
        <v>57</v>
      </c>
      <c r="BO5" s="385">
        <f>Time!BO$10</f>
        <v>58</v>
      </c>
      <c r="BP5" s="385">
        <f>Time!BP$10</f>
        <v>59</v>
      </c>
      <c r="BQ5" s="385">
        <f>Time!BQ$10</f>
        <v>60</v>
      </c>
      <c r="BR5" s="385">
        <f>Time!BR$10</f>
        <v>61</v>
      </c>
      <c r="BS5" s="385">
        <f>Time!BS$10</f>
        <v>62</v>
      </c>
      <c r="BT5" s="385">
        <f>Time!BT$10</f>
        <v>63</v>
      </c>
      <c r="BU5" s="385">
        <f>Time!BU$10</f>
        <v>64</v>
      </c>
      <c r="BV5" s="385">
        <f>Time!BV$10</f>
        <v>65</v>
      </c>
      <c r="BW5" s="385">
        <f>Time!BW$10</f>
        <v>66</v>
      </c>
      <c r="BX5" s="385">
        <f>Time!BX$10</f>
        <v>67</v>
      </c>
      <c r="BY5" s="385">
        <f>Time!BY$10</f>
        <v>68</v>
      </c>
      <c r="BZ5" s="385">
        <f>Time!BZ$10</f>
        <v>69</v>
      </c>
      <c r="CA5" s="385">
        <f>Time!CA$10</f>
        <v>70</v>
      </c>
      <c r="CB5" s="385">
        <f>Time!CB$10</f>
        <v>71</v>
      </c>
      <c r="CC5" s="385">
        <f>Time!CC$10</f>
        <v>72</v>
      </c>
      <c r="CD5" s="385">
        <f>Time!CD$10</f>
        <v>73</v>
      </c>
      <c r="CE5" s="385">
        <f>Time!CE$10</f>
        <v>74</v>
      </c>
      <c r="CF5" s="385">
        <f>Time!CF$10</f>
        <v>75</v>
      </c>
      <c r="CG5" s="385">
        <f>Time!CG$10</f>
        <v>76</v>
      </c>
      <c r="CH5" s="385">
        <f>Time!CH$10</f>
        <v>77</v>
      </c>
      <c r="CI5" s="385">
        <f>Time!CI$10</f>
        <v>78</v>
      </c>
      <c r="CJ5" s="385">
        <f>Time!CJ$10</f>
        <v>79</v>
      </c>
      <c r="CK5" s="385">
        <f>Time!CK$10</f>
        <v>80</v>
      </c>
      <c r="CL5" s="385">
        <f>Time!CL$10</f>
        <v>81</v>
      </c>
      <c r="CM5" s="385">
        <f>Time!CM$10</f>
        <v>82</v>
      </c>
      <c r="CN5" s="385">
        <f>Time!CN$10</f>
        <v>83</v>
      </c>
      <c r="CO5" s="385">
        <f>Time!CO$10</f>
        <v>84</v>
      </c>
      <c r="CP5" s="385">
        <f>Time!CP$10</f>
        <v>85</v>
      </c>
      <c r="CQ5" s="385">
        <f>Time!CQ$10</f>
        <v>86</v>
      </c>
      <c r="CR5" s="385">
        <f>Time!CR$10</f>
        <v>87</v>
      </c>
      <c r="CS5" s="385">
        <f>Time!CS$10</f>
        <v>88</v>
      </c>
      <c r="CT5" s="385">
        <f>Time!CT$10</f>
        <v>89</v>
      </c>
      <c r="CU5" s="385">
        <f>Time!CU$10</f>
        <v>90</v>
      </c>
      <c r="CV5" s="385">
        <f>Time!CV$10</f>
        <v>91</v>
      </c>
      <c r="CW5" s="385">
        <f>Time!CW$10</f>
        <v>92</v>
      </c>
      <c r="CX5" s="385">
        <f>Time!CX$10</f>
        <v>93</v>
      </c>
      <c r="CY5" s="385">
        <f>Time!CY$10</f>
        <v>94</v>
      </c>
      <c r="CZ5" s="385">
        <f>Time!CZ$10</f>
        <v>95</v>
      </c>
      <c r="DA5" s="385">
        <f>Time!DA$10</f>
        <v>96</v>
      </c>
      <c r="DB5" s="385">
        <f>Time!DB$10</f>
        <v>97</v>
      </c>
      <c r="DC5" s="385">
        <f>Time!DC$10</f>
        <v>98</v>
      </c>
      <c r="DD5" s="385">
        <f>Time!DD$10</f>
        <v>99</v>
      </c>
      <c r="DE5" s="385">
        <f>Time!DE$10</f>
        <v>100</v>
      </c>
      <c r="DF5" s="385">
        <f>Time!DF$10</f>
        <v>101</v>
      </c>
      <c r="DG5" s="385">
        <f>Time!DG$10</f>
        <v>102</v>
      </c>
      <c r="DH5" s="385">
        <f>Time!DH$10</f>
        <v>103</v>
      </c>
      <c r="DI5" s="385">
        <f>Time!DI$10</f>
        <v>104</v>
      </c>
      <c r="DJ5" s="385">
        <f>Time!DJ$10</f>
        <v>105</v>
      </c>
      <c r="DK5" s="385">
        <f>Time!DK$10</f>
        <v>106</v>
      </c>
      <c r="DL5" s="385">
        <f>Time!DL$10</f>
        <v>107</v>
      </c>
      <c r="DM5" s="385">
        <f>Time!DM$10</f>
        <v>108</v>
      </c>
      <c r="DN5" s="385">
        <f>Time!DN$10</f>
        <v>109</v>
      </c>
      <c r="DO5" s="385">
        <f>Time!DO$10</f>
        <v>110</v>
      </c>
      <c r="DP5" s="385">
        <f>Time!DP$10</f>
        <v>111</v>
      </c>
      <c r="DQ5" s="385">
        <f>Time!DQ$10</f>
        <v>112</v>
      </c>
      <c r="DR5" s="385">
        <f>Time!DR$10</f>
        <v>113</v>
      </c>
      <c r="DS5" s="385">
        <f>Time!DS$10</f>
        <v>114</v>
      </c>
      <c r="DT5" s="385">
        <f>Time!DT$10</f>
        <v>115</v>
      </c>
      <c r="DU5" s="385">
        <f>Time!DU$10</f>
        <v>116</v>
      </c>
      <c r="DV5" s="385">
        <f>Time!DV$10</f>
        <v>117</v>
      </c>
      <c r="DW5" s="385">
        <f>Time!DW$10</f>
        <v>118</v>
      </c>
      <c r="DX5" s="385">
        <f>Time!DX$10</f>
        <v>119</v>
      </c>
      <c r="DY5" s="385">
        <f>Time!DY$10</f>
        <v>120</v>
      </c>
      <c r="DZ5" s="385">
        <f>Time!DZ$10</f>
        <v>121</v>
      </c>
      <c r="EA5" s="385">
        <f>Time!EA$10</f>
        <v>122</v>
      </c>
      <c r="EB5" s="385">
        <f>Time!EB$10</f>
        <v>123</v>
      </c>
      <c r="EC5" s="385">
        <f>Time!EC$10</f>
        <v>124</v>
      </c>
      <c r="ED5" s="385">
        <f>Time!ED$10</f>
        <v>125</v>
      </c>
      <c r="EE5" s="385">
        <f>Time!EE$10</f>
        <v>126</v>
      </c>
      <c r="EF5" s="385">
        <f>Time!EF$10</f>
        <v>127</v>
      </c>
      <c r="EG5" s="385">
        <f>Time!EG$10</f>
        <v>128</v>
      </c>
    </row>
    <row r="6" spans="1:480" ht="12.75">
      <c r="A6" s="382"/>
      <c r="D6" s="384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385"/>
      <c r="R6" s="385"/>
      <c r="S6" s="385"/>
      <c r="T6" s="385"/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385"/>
      <c r="BH6" s="385"/>
      <c r="BI6" s="385"/>
      <c r="BJ6" s="385"/>
      <c r="BK6" s="385"/>
      <c r="BL6" s="385"/>
      <c r="BM6" s="385"/>
      <c r="BN6" s="385"/>
      <c r="BO6" s="385"/>
      <c r="BP6" s="385"/>
      <c r="BQ6" s="385"/>
      <c r="BR6" s="385"/>
      <c r="BS6" s="385"/>
      <c r="BT6" s="385"/>
      <c r="BU6" s="385"/>
      <c r="BV6" s="385"/>
      <c r="BW6" s="385"/>
      <c r="BX6" s="385"/>
      <c r="BY6" s="385"/>
      <c r="BZ6" s="385"/>
      <c r="CA6" s="385"/>
      <c r="CB6" s="385"/>
      <c r="CC6" s="385"/>
      <c r="CD6" s="385"/>
      <c r="CE6" s="385"/>
      <c r="CF6" s="385"/>
      <c r="CG6" s="385"/>
      <c r="CH6" s="385"/>
      <c r="CI6" s="385"/>
      <c r="CJ6" s="385"/>
      <c r="CK6" s="385"/>
      <c r="CL6" s="385"/>
      <c r="CM6" s="385"/>
      <c r="CN6" s="385"/>
      <c r="CO6" s="385"/>
      <c r="CP6" s="385"/>
      <c r="CQ6" s="385"/>
      <c r="CR6" s="385"/>
      <c r="CS6" s="385"/>
      <c r="CT6" s="385"/>
      <c r="CU6" s="385"/>
      <c r="CV6" s="385"/>
      <c r="CW6" s="385"/>
      <c r="CX6" s="385"/>
      <c r="CY6" s="385"/>
      <c r="CZ6" s="385"/>
      <c r="DA6" s="385"/>
      <c r="DB6" s="385"/>
      <c r="DC6" s="385"/>
      <c r="DD6" s="385"/>
      <c r="DE6" s="385"/>
      <c r="DF6" s="385"/>
      <c r="DG6" s="385"/>
      <c r="DH6" s="385"/>
      <c r="DI6" s="385"/>
      <c r="DJ6" s="385"/>
      <c r="DK6" s="385"/>
      <c r="DL6" s="385"/>
      <c r="DM6" s="385"/>
      <c r="DN6" s="385"/>
      <c r="DO6" s="385"/>
      <c r="DP6" s="385"/>
      <c r="DQ6" s="385"/>
      <c r="DR6" s="385"/>
      <c r="DS6" s="385"/>
      <c r="DT6" s="385"/>
      <c r="DU6" s="385"/>
      <c r="DV6" s="385"/>
      <c r="DW6" s="385"/>
      <c r="DX6" s="385"/>
      <c r="DY6" s="385"/>
      <c r="DZ6" s="385"/>
      <c r="EA6" s="385"/>
      <c r="EB6" s="385"/>
      <c r="EC6" s="385"/>
      <c r="ED6" s="385"/>
      <c r="EE6" s="385"/>
      <c r="EF6" s="385"/>
      <c r="EG6" s="385"/>
      <c r="EH6" s="385"/>
      <c r="EI6" s="385"/>
      <c r="EJ6" s="385"/>
      <c r="EK6" s="385"/>
      <c r="EL6" s="385"/>
      <c r="EM6" s="385"/>
      <c r="EN6" s="385"/>
      <c r="EO6" s="385"/>
      <c r="EP6" s="385"/>
      <c r="EQ6" s="385"/>
      <c r="ER6" s="385"/>
      <c r="ES6" s="385"/>
      <c r="ET6" s="385"/>
      <c r="EU6" s="385"/>
      <c r="EV6" s="385"/>
      <c r="EW6" s="385"/>
      <c r="EX6" s="385"/>
      <c r="EY6" s="385"/>
      <c r="EZ6" s="385"/>
      <c r="FA6" s="385"/>
      <c r="FB6" s="385"/>
      <c r="FC6" s="385"/>
      <c r="FD6" s="385"/>
      <c r="FE6" s="385"/>
      <c r="FF6" s="385"/>
      <c r="FG6" s="385"/>
      <c r="FH6" s="385"/>
      <c r="FI6" s="385"/>
      <c r="FJ6" s="385"/>
      <c r="FK6" s="385"/>
      <c r="FL6" s="385"/>
      <c r="FM6" s="385"/>
      <c r="FN6" s="385"/>
      <c r="FO6" s="385"/>
      <c r="FP6" s="385"/>
      <c r="FQ6" s="385"/>
      <c r="FR6" s="385"/>
      <c r="FS6" s="385"/>
      <c r="FT6" s="385"/>
      <c r="FU6" s="385"/>
      <c r="FV6" s="385"/>
      <c r="FW6" s="385"/>
      <c r="FX6" s="385"/>
      <c r="FY6" s="385"/>
      <c r="FZ6" s="385"/>
      <c r="GA6" s="385"/>
      <c r="GB6" s="385"/>
      <c r="GC6" s="385"/>
      <c r="GD6" s="385"/>
      <c r="GE6" s="385"/>
      <c r="GF6" s="385"/>
      <c r="GG6" s="385"/>
      <c r="GH6" s="385"/>
      <c r="GI6" s="385"/>
      <c r="GJ6" s="385"/>
      <c r="GK6" s="385"/>
      <c r="GL6" s="385"/>
      <c r="GM6" s="385"/>
      <c r="GN6" s="385"/>
      <c r="GO6" s="385"/>
      <c r="GP6" s="385"/>
      <c r="GQ6" s="385"/>
      <c r="GR6" s="385"/>
      <c r="GS6" s="385"/>
      <c r="GT6" s="385"/>
      <c r="GU6" s="385"/>
      <c r="GV6" s="385"/>
      <c r="GW6" s="385"/>
      <c r="GX6" s="385"/>
      <c r="GY6" s="385"/>
      <c r="GZ6" s="385"/>
      <c r="HA6" s="385"/>
      <c r="HB6" s="385"/>
      <c r="HC6" s="385"/>
      <c r="HD6" s="385"/>
      <c r="HE6" s="385"/>
      <c r="HF6" s="385"/>
      <c r="HG6" s="385"/>
      <c r="HH6" s="385"/>
      <c r="HI6" s="385"/>
      <c r="HJ6" s="385"/>
      <c r="HK6" s="385"/>
      <c r="HL6" s="385"/>
      <c r="HM6" s="385"/>
      <c r="HN6" s="385"/>
      <c r="HO6" s="385"/>
      <c r="HP6" s="385"/>
      <c r="HQ6" s="385"/>
      <c r="HR6" s="385"/>
      <c r="HS6" s="385"/>
      <c r="HT6" s="385"/>
      <c r="HU6" s="385"/>
      <c r="HV6" s="385"/>
      <c r="HW6" s="385"/>
      <c r="HX6" s="385"/>
      <c r="HY6" s="385"/>
      <c r="HZ6" s="385"/>
      <c r="IA6" s="385"/>
      <c r="IB6" s="385"/>
      <c r="IC6" s="385"/>
      <c r="ID6" s="385"/>
      <c r="IE6" s="385"/>
      <c r="IF6" s="385"/>
      <c r="IG6" s="385"/>
      <c r="IH6" s="385"/>
      <c r="II6" s="385"/>
      <c r="IJ6" s="385"/>
      <c r="IK6" s="385"/>
      <c r="IL6" s="385"/>
      <c r="IM6" s="385"/>
      <c r="IN6" s="385"/>
      <c r="IO6" s="385"/>
      <c r="IP6" s="385"/>
      <c r="IQ6" s="385"/>
      <c r="IR6" s="385"/>
      <c r="IS6" s="385"/>
      <c r="IT6" s="385"/>
      <c r="IU6" s="385"/>
      <c r="IV6" s="385"/>
      <c r="IW6" s="385"/>
      <c r="IX6" s="385"/>
      <c r="IY6" s="385"/>
      <c r="IZ6" s="385"/>
      <c r="JA6" s="385"/>
      <c r="JB6" s="385"/>
      <c r="JC6" s="385"/>
      <c r="JD6" s="385"/>
      <c r="JE6" s="385"/>
      <c r="JF6" s="385"/>
      <c r="JG6" s="385"/>
      <c r="JH6" s="385"/>
      <c r="JI6" s="385"/>
      <c r="JJ6" s="385"/>
      <c r="JK6" s="385"/>
      <c r="JL6" s="385"/>
      <c r="JM6" s="385"/>
      <c r="JN6" s="385"/>
      <c r="JO6" s="385"/>
      <c r="JP6" s="385"/>
      <c r="JQ6" s="385"/>
      <c r="JR6" s="385"/>
      <c r="JS6" s="385"/>
      <c r="JT6" s="385"/>
      <c r="JU6" s="385"/>
      <c r="JV6" s="385"/>
      <c r="JW6" s="385"/>
      <c r="JX6" s="385"/>
      <c r="JY6" s="385"/>
      <c r="JZ6" s="385"/>
      <c r="KA6" s="385"/>
      <c r="KB6" s="385"/>
      <c r="KC6" s="385"/>
      <c r="KD6" s="385"/>
      <c r="KE6" s="385"/>
      <c r="KF6" s="385"/>
      <c r="KG6" s="385"/>
      <c r="KH6" s="385"/>
      <c r="KI6" s="385"/>
      <c r="KJ6" s="385"/>
      <c r="KK6" s="385"/>
      <c r="KL6" s="385"/>
      <c r="KM6" s="385"/>
      <c r="KN6" s="385"/>
      <c r="KO6" s="385"/>
      <c r="KP6" s="385"/>
      <c r="KQ6" s="385"/>
      <c r="KR6" s="385"/>
      <c r="KS6" s="385"/>
      <c r="KT6" s="385"/>
      <c r="KU6" s="385"/>
      <c r="KV6" s="385"/>
      <c r="KW6" s="385"/>
      <c r="KX6" s="385"/>
      <c r="KY6" s="385"/>
      <c r="KZ6" s="385"/>
      <c r="LA6" s="385"/>
      <c r="LB6" s="385"/>
      <c r="LC6" s="385"/>
      <c r="LD6" s="385"/>
      <c r="LE6" s="385"/>
      <c r="LF6" s="385"/>
      <c r="LG6" s="385"/>
      <c r="LH6" s="385"/>
      <c r="LI6" s="385"/>
      <c r="LJ6" s="385"/>
      <c r="LK6" s="385"/>
      <c r="LL6" s="385"/>
      <c r="LM6" s="385"/>
      <c r="LN6" s="385"/>
      <c r="LO6" s="385"/>
      <c r="LP6" s="385"/>
      <c r="LQ6" s="385"/>
      <c r="LR6" s="385"/>
      <c r="LS6" s="385"/>
      <c r="LT6" s="385"/>
      <c r="LU6" s="385"/>
      <c r="LV6" s="385"/>
      <c r="LW6" s="385"/>
      <c r="LX6" s="385"/>
      <c r="LY6" s="385"/>
      <c r="LZ6" s="385"/>
      <c r="MA6" s="385"/>
      <c r="MB6" s="385"/>
      <c r="MC6" s="385"/>
      <c r="MD6" s="385"/>
      <c r="ME6" s="385"/>
      <c r="MF6" s="385"/>
      <c r="MG6" s="385"/>
      <c r="MH6" s="385"/>
      <c r="MI6" s="385"/>
      <c r="MJ6" s="385"/>
      <c r="MK6" s="385"/>
      <c r="ML6" s="385"/>
      <c r="MM6" s="385"/>
      <c r="MN6" s="385"/>
      <c r="MO6" s="385"/>
      <c r="MP6" s="385"/>
      <c r="MQ6" s="385"/>
      <c r="MR6" s="385"/>
      <c r="MS6" s="385"/>
      <c r="MT6" s="385"/>
      <c r="MU6" s="385"/>
      <c r="MV6" s="385"/>
      <c r="MW6" s="385"/>
      <c r="MX6" s="385"/>
      <c r="MY6" s="385"/>
      <c r="MZ6" s="385"/>
      <c r="NA6" s="385"/>
      <c r="NB6" s="385"/>
      <c r="NC6" s="385"/>
      <c r="ND6" s="385"/>
      <c r="NE6" s="385"/>
      <c r="NF6" s="385"/>
      <c r="NG6" s="385"/>
      <c r="NH6" s="385"/>
      <c r="NI6" s="385"/>
      <c r="NJ6" s="385"/>
      <c r="NK6" s="385"/>
      <c r="NL6" s="385"/>
      <c r="NM6" s="385"/>
      <c r="NN6" s="385"/>
      <c r="NO6" s="385"/>
      <c r="NP6" s="385"/>
      <c r="NQ6" s="385"/>
      <c r="NR6" s="385"/>
      <c r="NS6" s="385"/>
      <c r="NT6" s="385"/>
      <c r="NU6" s="385"/>
      <c r="NV6" s="385"/>
      <c r="NW6" s="385"/>
      <c r="NX6" s="385"/>
      <c r="NY6" s="385"/>
      <c r="NZ6" s="385"/>
      <c r="OA6" s="385"/>
      <c r="OB6" s="385"/>
      <c r="OC6" s="385"/>
      <c r="OD6" s="385"/>
      <c r="OE6" s="385"/>
      <c r="OF6" s="385"/>
      <c r="OG6" s="385"/>
      <c r="OH6" s="385"/>
      <c r="OI6" s="385"/>
      <c r="OJ6" s="385"/>
      <c r="OK6" s="385"/>
      <c r="OL6" s="385"/>
      <c r="OM6" s="385"/>
      <c r="ON6" s="385"/>
      <c r="OO6" s="385"/>
      <c r="OP6" s="385"/>
      <c r="OQ6" s="385"/>
      <c r="OR6" s="385"/>
      <c r="OS6" s="385"/>
      <c r="OT6" s="385"/>
      <c r="OU6" s="385"/>
      <c r="OV6" s="385"/>
      <c r="OW6" s="385"/>
      <c r="OX6" s="385"/>
      <c r="OY6" s="385"/>
      <c r="OZ6" s="385"/>
      <c r="PA6" s="385"/>
      <c r="PB6" s="385"/>
      <c r="PC6" s="385"/>
      <c r="PD6" s="385"/>
      <c r="PE6" s="385"/>
      <c r="PF6" s="385"/>
      <c r="PG6" s="385"/>
      <c r="PH6" s="385"/>
      <c r="PI6" s="385"/>
      <c r="PJ6" s="385"/>
      <c r="PK6" s="385"/>
      <c r="PL6" s="385"/>
      <c r="PM6" s="385"/>
      <c r="PN6" s="385"/>
      <c r="PO6" s="385"/>
      <c r="PP6" s="385"/>
      <c r="PQ6" s="385"/>
      <c r="PR6" s="385"/>
      <c r="PS6" s="385"/>
      <c r="PT6" s="385"/>
      <c r="PU6" s="385"/>
      <c r="PV6" s="385"/>
      <c r="PW6" s="385"/>
      <c r="PX6" s="385"/>
      <c r="PY6" s="385"/>
      <c r="PZ6" s="385"/>
      <c r="QA6" s="385"/>
      <c r="QB6" s="385"/>
      <c r="QC6" s="385"/>
      <c r="QD6" s="385"/>
      <c r="QE6" s="385"/>
      <c r="QF6" s="385"/>
      <c r="QG6" s="385"/>
      <c r="QH6" s="385"/>
      <c r="QI6" s="385"/>
      <c r="QJ6" s="385"/>
      <c r="QK6" s="385"/>
      <c r="QL6" s="385"/>
      <c r="QM6" s="385"/>
      <c r="QN6" s="385"/>
      <c r="QO6" s="385"/>
      <c r="QP6" s="385"/>
      <c r="QQ6" s="385"/>
      <c r="QR6" s="385"/>
      <c r="QS6" s="385"/>
      <c r="QT6" s="385"/>
      <c r="QU6" s="385"/>
      <c r="QV6" s="385"/>
      <c r="QW6" s="385"/>
      <c r="QX6" s="385"/>
      <c r="QY6" s="385"/>
      <c r="QZ6" s="385"/>
      <c r="RA6" s="385"/>
      <c r="RB6" s="385"/>
      <c r="RC6" s="385"/>
      <c r="RD6" s="385"/>
      <c r="RE6" s="385"/>
      <c r="RF6" s="385"/>
      <c r="RG6" s="385"/>
      <c r="RH6" s="385"/>
      <c r="RI6" s="385"/>
      <c r="RJ6" s="385"/>
      <c r="RK6" s="385"/>
      <c r="RL6" s="385"/>
    </row>
    <row r="7" spans="1:1" ht="12.75">
      <c r="A7" s="534" t="s">
        <v>508</v>
      </c>
    </row>
    <row r="9" spans="5:137" ht="12.75">
      <c r="E9" s="538" t="str">
        <f>Ops!E$48</f>
        <v>Revenue - total</v>
      </c>
      <c r="G9" s="539" t="str">
        <f>Ops!G$48</f>
        <v>EUR 000s</v>
      </c>
      <c r="H9" s="539">
        <f>Ops!H$48</f>
        <v>1599567.5439386531</v>
      </c>
      <c r="J9" s="539">
        <f>Ops!J$48</f>
        <v>0</v>
      </c>
      <c r="K9" s="539">
        <f>Ops!K$48</f>
        <v>0</v>
      </c>
      <c r="L9" s="539">
        <f>Ops!L$48</f>
        <v>0</v>
      </c>
      <c r="M9" s="539">
        <f>Ops!M$48</f>
        <v>0</v>
      </c>
      <c r="N9" s="539">
        <f>Ops!N$48</f>
        <v>0</v>
      </c>
      <c r="O9" s="539">
        <f>Ops!O$48</f>
        <v>0</v>
      </c>
      <c r="P9" s="539">
        <f>Ops!P$48</f>
        <v>0</v>
      </c>
      <c r="Q9" s="539">
        <f>Ops!Q$48</f>
        <v>0</v>
      </c>
      <c r="R9" s="539">
        <f>Ops!R$48</f>
        <v>0</v>
      </c>
      <c r="S9" s="539">
        <f>Ops!S$48</f>
        <v>0</v>
      </c>
      <c r="T9" s="539">
        <f>Ops!T$48</f>
        <v>0</v>
      </c>
      <c r="U9" s="539">
        <f>Ops!U$48</f>
        <v>0</v>
      </c>
      <c r="V9" s="539">
        <f>Ops!V$48</f>
        <v>0</v>
      </c>
      <c r="W9" s="539">
        <f>Ops!W$48</f>
        <v>0</v>
      </c>
      <c r="X9" s="539">
        <f>Ops!X$48</f>
        <v>0</v>
      </c>
      <c r="Y9" s="539">
        <f>Ops!Y$48</f>
        <v>0</v>
      </c>
      <c r="Z9" s="539">
        <f>Ops!Z$48</f>
        <v>0</v>
      </c>
      <c r="AA9" s="539">
        <f>Ops!AA$48</f>
        <v>0</v>
      </c>
      <c r="AB9" s="539">
        <f>Ops!AB$48</f>
        <v>0</v>
      </c>
      <c r="AC9" s="539">
        <f>Ops!AC$48</f>
        <v>0</v>
      </c>
      <c r="AD9" s="539">
        <f>Ops!AD$48</f>
        <v>0</v>
      </c>
      <c r="AE9" s="539">
        <f>Ops!AE$48</f>
        <v>0</v>
      </c>
      <c r="AF9" s="539">
        <f>Ops!AF$48</f>
        <v>0</v>
      </c>
      <c r="AG9" s="539">
        <f>Ops!AG$48</f>
        <v>0</v>
      </c>
      <c r="AH9" s="539">
        <f>Ops!AH$48</f>
        <v>12484.799999999999</v>
      </c>
      <c r="AI9" s="539">
        <f>Ops!AI$48</f>
        <v>12484.799999999999</v>
      </c>
      <c r="AJ9" s="539">
        <f>Ops!AJ$48</f>
        <v>12484.799999999999</v>
      </c>
      <c r="AK9" s="539">
        <f>Ops!AK$48</f>
        <v>12484.799999999999</v>
      </c>
      <c r="AL9" s="539">
        <f>Ops!AL$48</f>
        <v>12734.495999999999</v>
      </c>
      <c r="AM9" s="539">
        <f>Ops!AM$48</f>
        <v>12734.495999999999</v>
      </c>
      <c r="AN9" s="539">
        <f>Ops!AN$48</f>
        <v>12734.495999999999</v>
      </c>
      <c r="AO9" s="539">
        <f>Ops!AO$48</f>
        <v>12734.495999999999</v>
      </c>
      <c r="AP9" s="539">
        <f>Ops!AP$48</f>
        <v>12989.18592</v>
      </c>
      <c r="AQ9" s="539">
        <f>Ops!AQ$48</f>
        <v>12989.18592</v>
      </c>
      <c r="AR9" s="539">
        <f>Ops!AR$48</f>
        <v>12989.18592</v>
      </c>
      <c r="AS9" s="539">
        <f>Ops!AS$48</f>
        <v>12989.18592</v>
      </c>
      <c r="AT9" s="539">
        <f>Ops!AT$48</f>
        <v>13248.9696384</v>
      </c>
      <c r="AU9" s="539">
        <f>Ops!AU$48</f>
        <v>13248.9696384</v>
      </c>
      <c r="AV9" s="539">
        <f>Ops!AV$48</f>
        <v>13248.9696384</v>
      </c>
      <c r="AW9" s="539">
        <f>Ops!AW$48</f>
        <v>13248.9696384</v>
      </c>
      <c r="AX9" s="539">
        <f>Ops!AX$48</f>
        <v>13513.949031168</v>
      </c>
      <c r="AY9" s="539">
        <f>Ops!AY$48</f>
        <v>13513.949031168</v>
      </c>
      <c r="AZ9" s="539">
        <f>Ops!AZ$48</f>
        <v>13513.949031168</v>
      </c>
      <c r="BA9" s="539">
        <f>Ops!BA$48</f>
        <v>13513.949031168</v>
      </c>
      <c r="BB9" s="539">
        <f>Ops!BB$48</f>
        <v>13784.228011791361</v>
      </c>
      <c r="BC9" s="539">
        <f>Ops!BC$48</f>
        <v>13784.228011791361</v>
      </c>
      <c r="BD9" s="539">
        <f>Ops!BD$48</f>
        <v>13784.228011791361</v>
      </c>
      <c r="BE9" s="539">
        <f>Ops!BE$48</f>
        <v>13784.228011791361</v>
      </c>
      <c r="BF9" s="539">
        <f>Ops!BF$48</f>
        <v>14059.91257202719</v>
      </c>
      <c r="BG9" s="539">
        <f>Ops!BG$48</f>
        <v>14059.91257202719</v>
      </c>
      <c r="BH9" s="539">
        <f>Ops!BH$48</f>
        <v>14059.91257202719</v>
      </c>
      <c r="BI9" s="539">
        <f>Ops!BI$48</f>
        <v>14059.91257202719</v>
      </c>
      <c r="BJ9" s="539">
        <f>Ops!BJ$48</f>
        <v>14341.110823467732</v>
      </c>
      <c r="BK9" s="539">
        <f>Ops!BK$48</f>
        <v>14341.110823467732</v>
      </c>
      <c r="BL9" s="539">
        <f>Ops!BL$48</f>
        <v>14341.110823467732</v>
      </c>
      <c r="BM9" s="539">
        <f>Ops!BM$48</f>
        <v>14341.110823467732</v>
      </c>
      <c r="BN9" s="539">
        <f>Ops!BN$48</f>
        <v>14627.933039937088</v>
      </c>
      <c r="BO9" s="539">
        <f>Ops!BO$48</f>
        <v>14627.933039937088</v>
      </c>
      <c r="BP9" s="539">
        <f>Ops!BP$48</f>
        <v>14627.933039937088</v>
      </c>
      <c r="BQ9" s="539">
        <f>Ops!BQ$48</f>
        <v>14627.933039937088</v>
      </c>
      <c r="BR9" s="539">
        <f>Ops!BR$48</f>
        <v>14920.491700735829</v>
      </c>
      <c r="BS9" s="539">
        <f>Ops!BS$48</f>
        <v>14920.491700735829</v>
      </c>
      <c r="BT9" s="539">
        <f>Ops!BT$48</f>
        <v>14920.491700735829</v>
      </c>
      <c r="BU9" s="539">
        <f>Ops!BU$48</f>
        <v>14920.491700735829</v>
      </c>
      <c r="BV9" s="539">
        <f>Ops!BV$48</f>
        <v>15218.901534750546</v>
      </c>
      <c r="BW9" s="539">
        <f>Ops!BW$48</f>
        <v>15218.901534750546</v>
      </c>
      <c r="BX9" s="539">
        <f>Ops!BX$48</f>
        <v>15218.901534750546</v>
      </c>
      <c r="BY9" s="539">
        <f>Ops!BY$48</f>
        <v>15218.901534750546</v>
      </c>
      <c r="BZ9" s="539">
        <f>Ops!BZ$48</f>
        <v>15523.279565445555</v>
      </c>
      <c r="CA9" s="539">
        <f>Ops!CA$48</f>
        <v>15523.279565445555</v>
      </c>
      <c r="CB9" s="539">
        <f>Ops!CB$48</f>
        <v>15523.279565445555</v>
      </c>
      <c r="CC9" s="539">
        <f>Ops!CC$48</f>
        <v>15523.279565445555</v>
      </c>
      <c r="CD9" s="539">
        <f>Ops!CD$48</f>
        <v>15833.745156754469</v>
      </c>
      <c r="CE9" s="539">
        <f>Ops!CE$48</f>
        <v>15833.745156754469</v>
      </c>
      <c r="CF9" s="539">
        <f>Ops!CF$48</f>
        <v>15833.745156754469</v>
      </c>
      <c r="CG9" s="539">
        <f>Ops!CG$48</f>
        <v>15833.745156754469</v>
      </c>
      <c r="CH9" s="539">
        <f>Ops!CH$48</f>
        <v>16150.420059889559</v>
      </c>
      <c r="CI9" s="539">
        <f>Ops!CI$48</f>
        <v>16150.420059889559</v>
      </c>
      <c r="CJ9" s="539">
        <f>Ops!CJ$48</f>
        <v>16150.420059889559</v>
      </c>
      <c r="CK9" s="539">
        <f>Ops!CK$48</f>
        <v>16150.420059889559</v>
      </c>
      <c r="CL9" s="539">
        <f>Ops!CL$48</f>
        <v>16473.428461087351</v>
      </c>
      <c r="CM9" s="539">
        <f>Ops!CM$48</f>
        <v>16473.428461087351</v>
      </c>
      <c r="CN9" s="539">
        <f>Ops!CN$48</f>
        <v>16473.428461087351</v>
      </c>
      <c r="CO9" s="539">
        <f>Ops!CO$48</f>
        <v>16473.428461087351</v>
      </c>
      <c r="CP9" s="539">
        <f>Ops!CP$48</f>
        <v>16802.897030309097</v>
      </c>
      <c r="CQ9" s="539">
        <f>Ops!CQ$48</f>
        <v>16802.897030309097</v>
      </c>
      <c r="CR9" s="539">
        <f>Ops!CR$48</f>
        <v>16802.897030309097</v>
      </c>
      <c r="CS9" s="539">
        <f>Ops!CS$48</f>
        <v>16802.897030309097</v>
      </c>
      <c r="CT9" s="539">
        <f>Ops!CT$48</f>
        <v>17138.954970915282</v>
      </c>
      <c r="CU9" s="539">
        <f>Ops!CU$48</f>
        <v>17138.954970915282</v>
      </c>
      <c r="CV9" s="539">
        <f>Ops!CV$48</f>
        <v>17138.954970915282</v>
      </c>
      <c r="CW9" s="539">
        <f>Ops!CW$48</f>
        <v>17138.954970915282</v>
      </c>
      <c r="CX9" s="539">
        <f>Ops!CX$48</f>
        <v>17481.734070333587</v>
      </c>
      <c r="CY9" s="539">
        <f>Ops!CY$48</f>
        <v>17481.734070333587</v>
      </c>
      <c r="CZ9" s="539">
        <f>Ops!CZ$48</f>
        <v>17481.734070333587</v>
      </c>
      <c r="DA9" s="539">
        <f>Ops!DA$48</f>
        <v>17481.734070333587</v>
      </c>
      <c r="DB9" s="539">
        <f>Ops!DB$48</f>
        <v>17831.368751740258</v>
      </c>
      <c r="DC9" s="539">
        <f>Ops!DC$48</f>
        <v>17831.368751740258</v>
      </c>
      <c r="DD9" s="539">
        <f>Ops!DD$48</f>
        <v>17831.368751740258</v>
      </c>
      <c r="DE9" s="539">
        <f>Ops!DE$48</f>
        <v>17831.368751740258</v>
      </c>
      <c r="DF9" s="539">
        <f>Ops!DF$48</f>
        <v>18187.996126775066</v>
      </c>
      <c r="DG9" s="539">
        <f>Ops!DG$48</f>
        <v>18187.996126775066</v>
      </c>
      <c r="DH9" s="539">
        <f>Ops!DH$48</f>
        <v>18187.996126775066</v>
      </c>
      <c r="DI9" s="539">
        <f>Ops!DI$48</f>
        <v>18187.996126775066</v>
      </c>
      <c r="DJ9" s="539">
        <f>Ops!DJ$48</f>
        <v>18551.756049310567</v>
      </c>
      <c r="DK9" s="539">
        <f>Ops!DK$48</f>
        <v>18551.756049310567</v>
      </c>
      <c r="DL9" s="539">
        <f>Ops!DL$48</f>
        <v>18551.756049310567</v>
      </c>
      <c r="DM9" s="539">
        <f>Ops!DM$48</f>
        <v>18551.756049310567</v>
      </c>
      <c r="DN9" s="539">
        <f>Ops!DN$48</f>
        <v>18922.791170296779</v>
      </c>
      <c r="DO9" s="539">
        <f>Ops!DO$48</f>
        <v>18922.791170296779</v>
      </c>
      <c r="DP9" s="539">
        <f>Ops!DP$48</f>
        <v>18922.791170296779</v>
      </c>
      <c r="DQ9" s="539">
        <f>Ops!DQ$48</f>
        <v>18922.791170296779</v>
      </c>
      <c r="DR9" s="539">
        <f>Ops!DR$48</f>
        <v>19301.246993702713</v>
      </c>
      <c r="DS9" s="539">
        <f>Ops!DS$48</f>
        <v>19301.246993702713</v>
      </c>
      <c r="DT9" s="539">
        <f>Ops!DT$48</f>
        <v>19301.246993702713</v>
      </c>
      <c r="DU9" s="539">
        <f>Ops!DU$48</f>
        <v>19301.246993702713</v>
      </c>
      <c r="DV9" s="539">
        <f>Ops!DV$48</f>
        <v>19687.271933576769</v>
      </c>
      <c r="DW9" s="539">
        <f>Ops!DW$48</f>
        <v>19687.271933576769</v>
      </c>
      <c r="DX9" s="539">
        <f>Ops!DX$48</f>
        <v>19687.271933576769</v>
      </c>
      <c r="DY9" s="539">
        <f>Ops!DY$48</f>
        <v>19687.271933576769</v>
      </c>
      <c r="DZ9" s="539">
        <f>Ops!DZ$48</f>
        <v>20081.017372248301</v>
      </c>
      <c r="EA9" s="539">
        <f>Ops!EA$48</f>
        <v>20081.017372248301</v>
      </c>
      <c r="EB9" s="539">
        <f>Ops!EB$48</f>
        <v>20081.017372248301</v>
      </c>
      <c r="EC9" s="539">
        <f>Ops!EC$48</f>
        <v>20081.017372248301</v>
      </c>
      <c r="ED9" s="539">
        <f>Ops!ED$48</f>
        <v>0</v>
      </c>
      <c r="EE9" s="539">
        <f>Ops!EE$48</f>
        <v>0</v>
      </c>
      <c r="EF9" s="539">
        <f>Ops!EF$48</f>
        <v>0</v>
      </c>
      <c r="EG9" s="539">
        <f>Ops!EG$48</f>
        <v>0</v>
      </c>
    </row>
    <row r="10" spans="5:137" ht="12.75">
      <c r="E10" s="538" t="str">
        <f>Ops!E$94</f>
        <v>Opex - total</v>
      </c>
      <c r="G10" s="539" t="str">
        <f>Ops!G$94</f>
        <v>EUR 000s</v>
      </c>
      <c r="H10" s="539">
        <f>Ops!H$94</f>
        <v>484595.0870869669</v>
      </c>
      <c r="J10" s="539">
        <f>Ops!J$94</f>
        <v>0</v>
      </c>
      <c r="K10" s="539">
        <f>Ops!K$94</f>
        <v>0</v>
      </c>
      <c r="L10" s="539">
        <f>Ops!L$94</f>
        <v>0</v>
      </c>
      <c r="M10" s="539">
        <f>Ops!M$94</f>
        <v>0</v>
      </c>
      <c r="N10" s="539">
        <f>Ops!N$94</f>
        <v>0</v>
      </c>
      <c r="O10" s="539">
        <f>Ops!O$94</f>
        <v>0</v>
      </c>
      <c r="P10" s="539">
        <f>Ops!P$94</f>
        <v>0</v>
      </c>
      <c r="Q10" s="539">
        <f>Ops!Q$94</f>
        <v>0</v>
      </c>
      <c r="R10" s="539">
        <f>Ops!R$94</f>
        <v>0</v>
      </c>
      <c r="S10" s="539">
        <f>Ops!S$94</f>
        <v>0</v>
      </c>
      <c r="T10" s="539">
        <f>Ops!T$94</f>
        <v>0</v>
      </c>
      <c r="U10" s="539">
        <f>Ops!U$94</f>
        <v>0</v>
      </c>
      <c r="V10" s="539">
        <f>Ops!V$94</f>
        <v>0</v>
      </c>
      <c r="W10" s="539">
        <f>Ops!W$94</f>
        <v>0</v>
      </c>
      <c r="X10" s="539">
        <f>Ops!X$94</f>
        <v>0</v>
      </c>
      <c r="Y10" s="539">
        <f>Ops!Y$94</f>
        <v>0</v>
      </c>
      <c r="Z10" s="539">
        <f>Ops!Z$94</f>
        <v>0</v>
      </c>
      <c r="AA10" s="539">
        <f>Ops!AA$94</f>
        <v>0</v>
      </c>
      <c r="AB10" s="539">
        <f>Ops!AB$94</f>
        <v>0</v>
      </c>
      <c r="AC10" s="539">
        <f>Ops!AC$94</f>
        <v>0</v>
      </c>
      <c r="AD10" s="539">
        <f>Ops!AD$94</f>
        <v>0</v>
      </c>
      <c r="AE10" s="539">
        <f>Ops!AE$94</f>
        <v>0</v>
      </c>
      <c r="AF10" s="539">
        <f>Ops!AF$94</f>
        <v>0</v>
      </c>
      <c r="AG10" s="539">
        <f>Ops!AG$94</f>
        <v>0</v>
      </c>
      <c r="AH10" s="539">
        <f>Ops!AH$94</f>
        <v>3488.8990624999997</v>
      </c>
      <c r="AI10" s="539">
        <f>Ops!AI$94</f>
        <v>3488.8990624999997</v>
      </c>
      <c r="AJ10" s="539">
        <f>Ops!AJ$94</f>
        <v>3488.8990624999997</v>
      </c>
      <c r="AK10" s="539">
        <f>Ops!AK$94</f>
        <v>3488.8990624999997</v>
      </c>
      <c r="AL10" s="539">
        <f>Ops!AL$94</f>
        <v>3580.5703640625002</v>
      </c>
      <c r="AM10" s="539">
        <f>Ops!AM$94</f>
        <v>3580.5703640625002</v>
      </c>
      <c r="AN10" s="539">
        <f>Ops!AN$94</f>
        <v>3580.5703640625002</v>
      </c>
      <c r="AO10" s="539">
        <f>Ops!AO$94</f>
        <v>3580.5703640625002</v>
      </c>
      <c r="AP10" s="539">
        <f>Ops!AP$94</f>
        <v>3674.6387309140623</v>
      </c>
      <c r="AQ10" s="539">
        <f>Ops!AQ$94</f>
        <v>3674.6387309140623</v>
      </c>
      <c r="AR10" s="539">
        <f>Ops!AR$94</f>
        <v>3674.6387309140623</v>
      </c>
      <c r="AS10" s="539">
        <f>Ops!AS$94</f>
        <v>3674.6387309140623</v>
      </c>
      <c r="AT10" s="539">
        <f>Ops!AT$94</f>
        <v>3771.1681845294138</v>
      </c>
      <c r="AU10" s="539">
        <f>Ops!AU$94</f>
        <v>3771.1681845294138</v>
      </c>
      <c r="AV10" s="539">
        <f>Ops!AV$94</f>
        <v>3771.1681845294138</v>
      </c>
      <c r="AW10" s="539">
        <f>Ops!AW$94</f>
        <v>3771.1681845294138</v>
      </c>
      <c r="AX10" s="539">
        <f>Ops!AX$94</f>
        <v>3870.2244884926249</v>
      </c>
      <c r="AY10" s="539">
        <f>Ops!AY$94</f>
        <v>3870.2244884926249</v>
      </c>
      <c r="AZ10" s="539">
        <f>Ops!AZ$94</f>
        <v>3870.2244884926249</v>
      </c>
      <c r="BA10" s="539">
        <f>Ops!BA$94</f>
        <v>3870.2244884926249</v>
      </c>
      <c r="BB10" s="539">
        <f>Ops!BB$94</f>
        <v>3971.8751966715586</v>
      </c>
      <c r="BC10" s="539">
        <f>Ops!BC$94</f>
        <v>3971.8751966715586</v>
      </c>
      <c r="BD10" s="539">
        <f>Ops!BD$94</f>
        <v>3971.8751966715586</v>
      </c>
      <c r="BE10" s="539">
        <f>Ops!BE$94</f>
        <v>3971.8751966715586</v>
      </c>
      <c r="BF10" s="539">
        <f>Ops!BF$94</f>
        <v>4076.1897027428304</v>
      </c>
      <c r="BG10" s="539">
        <f>Ops!BG$94</f>
        <v>4076.1897027428304</v>
      </c>
      <c r="BH10" s="539">
        <f>Ops!BH$94</f>
        <v>4076.1897027428304</v>
      </c>
      <c r="BI10" s="539">
        <f>Ops!BI$94</f>
        <v>4076.1897027428304</v>
      </c>
      <c r="BJ10" s="539">
        <f>Ops!BJ$94</f>
        <v>4183.239291105564</v>
      </c>
      <c r="BK10" s="539">
        <f>Ops!BK$94</f>
        <v>4183.239291105564</v>
      </c>
      <c r="BL10" s="539">
        <f>Ops!BL$94</f>
        <v>4183.239291105564</v>
      </c>
      <c r="BM10" s="539">
        <f>Ops!BM$94</f>
        <v>4183.239291105564</v>
      </c>
      <c r="BN10" s="539">
        <f>Ops!BN$94</f>
        <v>4293.0971892233347</v>
      </c>
      <c r="BO10" s="539">
        <f>Ops!BO$94</f>
        <v>4293.0971892233347</v>
      </c>
      <c r="BP10" s="539">
        <f>Ops!BP$94</f>
        <v>4293.0971892233347</v>
      </c>
      <c r="BQ10" s="539">
        <f>Ops!BQ$94</f>
        <v>4293.0971892233347</v>
      </c>
      <c r="BR10" s="539">
        <f>Ops!BR$94</f>
        <v>4405.838621434842</v>
      </c>
      <c r="BS10" s="539">
        <f>Ops!BS$94</f>
        <v>4405.838621434842</v>
      </c>
      <c r="BT10" s="539">
        <f>Ops!BT$94</f>
        <v>4405.838621434842</v>
      </c>
      <c r="BU10" s="539">
        <f>Ops!BU$94</f>
        <v>4405.838621434842</v>
      </c>
      <c r="BV10" s="539">
        <f>Ops!BV$94</f>
        <v>4521.5408642749644</v>
      </c>
      <c r="BW10" s="539">
        <f>Ops!BW$94</f>
        <v>4521.5408642749644</v>
      </c>
      <c r="BX10" s="539">
        <f>Ops!BX$94</f>
        <v>4521.5408642749644</v>
      </c>
      <c r="BY10" s="539">
        <f>Ops!BY$94</f>
        <v>4521.5408642749644</v>
      </c>
      <c r="BZ10" s="539">
        <f>Ops!BZ$94</f>
        <v>4640.283303349097</v>
      </c>
      <c r="CA10" s="539">
        <f>Ops!CA$94</f>
        <v>4640.283303349097</v>
      </c>
      <c r="CB10" s="539">
        <f>Ops!CB$94</f>
        <v>4640.283303349097</v>
      </c>
      <c r="CC10" s="539">
        <f>Ops!CC$94</f>
        <v>4640.283303349097</v>
      </c>
      <c r="CD10" s="539">
        <f>Ops!CD$94</f>
        <v>4762.1474918048543</v>
      </c>
      <c r="CE10" s="539">
        <f>Ops!CE$94</f>
        <v>4762.1474918048543</v>
      </c>
      <c r="CF10" s="539">
        <f>Ops!CF$94</f>
        <v>4762.1474918048543</v>
      </c>
      <c r="CG10" s="539">
        <f>Ops!CG$94</f>
        <v>4762.1474918048543</v>
      </c>
      <c r="CH10" s="539">
        <f>Ops!CH$94</f>
        <v>4887.2172104465371</v>
      </c>
      <c r="CI10" s="539">
        <f>Ops!CI$94</f>
        <v>4887.2172104465371</v>
      </c>
      <c r="CJ10" s="539">
        <f>Ops!CJ$94</f>
        <v>4887.2172104465371</v>
      </c>
      <c r="CK10" s="539">
        <f>Ops!CK$94</f>
        <v>4887.2172104465371</v>
      </c>
      <c r="CL10" s="539">
        <f>Ops!CL$94</f>
        <v>5015.5785295389969</v>
      </c>
      <c r="CM10" s="539">
        <f>Ops!CM$94</f>
        <v>5015.5785295389969</v>
      </c>
      <c r="CN10" s="539">
        <f>Ops!CN$94</f>
        <v>5015.5785295389969</v>
      </c>
      <c r="CO10" s="539">
        <f>Ops!CO$94</f>
        <v>5015.5785295389969</v>
      </c>
      <c r="CP10" s="539">
        <f>Ops!CP$94</f>
        <v>5147.3198723489313</v>
      </c>
      <c r="CQ10" s="539">
        <f>Ops!CQ$94</f>
        <v>5147.3198723489313</v>
      </c>
      <c r="CR10" s="539">
        <f>Ops!CR$94</f>
        <v>5147.3198723489313</v>
      </c>
      <c r="CS10" s="539">
        <f>Ops!CS$94</f>
        <v>5147.3198723489313</v>
      </c>
      <c r="CT10" s="539">
        <f>Ops!CT$94</f>
        <v>5282.5320804729872</v>
      </c>
      <c r="CU10" s="539">
        <f>Ops!CU$94</f>
        <v>5282.5320804729872</v>
      </c>
      <c r="CV10" s="539">
        <f>Ops!CV$94</f>
        <v>5282.5320804729872</v>
      </c>
      <c r="CW10" s="539">
        <f>Ops!CW$94</f>
        <v>5282.5320804729872</v>
      </c>
      <c r="CX10" s="539">
        <f>Ops!CX$94</f>
        <v>5421.3084810034679</v>
      </c>
      <c r="CY10" s="539">
        <f>Ops!CY$94</f>
        <v>5421.3084810034679</v>
      </c>
      <c r="CZ10" s="539">
        <f>Ops!CZ$94</f>
        <v>5421.3084810034679</v>
      </c>
      <c r="DA10" s="539">
        <f>Ops!DA$94</f>
        <v>5421.3084810034679</v>
      </c>
      <c r="DB10" s="539">
        <f>Ops!DB$94</f>
        <v>5563.7449555839112</v>
      </c>
      <c r="DC10" s="539">
        <f>Ops!DC$94</f>
        <v>5563.7449555839112</v>
      </c>
      <c r="DD10" s="539">
        <f>Ops!DD$94</f>
        <v>5563.7449555839112</v>
      </c>
      <c r="DE10" s="539">
        <f>Ops!DE$94</f>
        <v>5563.7449555839112</v>
      </c>
      <c r="DF10" s="539">
        <f>Ops!DF$94</f>
        <v>5709.94001140829</v>
      </c>
      <c r="DG10" s="539">
        <f>Ops!DG$94</f>
        <v>5709.94001140829</v>
      </c>
      <c r="DH10" s="539">
        <f>Ops!DH$94</f>
        <v>5709.94001140829</v>
      </c>
      <c r="DI10" s="539">
        <f>Ops!DI$94</f>
        <v>5709.94001140829</v>
      </c>
      <c r="DJ10" s="539">
        <f>Ops!DJ$94</f>
        <v>5859.9948542191414</v>
      </c>
      <c r="DK10" s="539">
        <f>Ops!DK$94</f>
        <v>5859.9948542191414</v>
      </c>
      <c r="DL10" s="539">
        <f>Ops!DL$94</f>
        <v>5859.9948542191414</v>
      </c>
      <c r="DM10" s="539">
        <f>Ops!DM$94</f>
        <v>5859.9948542191414</v>
      </c>
      <c r="DN10" s="539">
        <f>Ops!DN$94</f>
        <v>6014.013463361508</v>
      </c>
      <c r="DO10" s="539">
        <f>Ops!DO$94</f>
        <v>6014.013463361508</v>
      </c>
      <c r="DP10" s="539">
        <f>Ops!DP$94</f>
        <v>6014.013463361508</v>
      </c>
      <c r="DQ10" s="539">
        <f>Ops!DQ$94</f>
        <v>6014.013463361508</v>
      </c>
      <c r="DR10" s="539">
        <f>Ops!DR$94</f>
        <v>6172.1026689512255</v>
      </c>
      <c r="DS10" s="539">
        <f>Ops!DS$94</f>
        <v>6172.1026689512255</v>
      </c>
      <c r="DT10" s="539">
        <f>Ops!DT$94</f>
        <v>6172.1026689512255</v>
      </c>
      <c r="DU10" s="539">
        <f>Ops!DU$94</f>
        <v>6172.1026689512255</v>
      </c>
      <c r="DV10" s="539">
        <f>Ops!DV$94</f>
        <v>6334.3722312177451</v>
      </c>
      <c r="DW10" s="539">
        <f>Ops!DW$94</f>
        <v>6334.3722312177451</v>
      </c>
      <c r="DX10" s="539">
        <f>Ops!DX$94</f>
        <v>6334.3722312177451</v>
      </c>
      <c r="DY10" s="539">
        <f>Ops!DY$94</f>
        <v>6334.3722312177451</v>
      </c>
      <c r="DZ10" s="539">
        <f>Ops!DZ$94</f>
        <v>6500.9349220834356</v>
      </c>
      <c r="EA10" s="539">
        <f>Ops!EA$94</f>
        <v>6500.9349220834356</v>
      </c>
      <c r="EB10" s="539">
        <f>Ops!EB$94</f>
        <v>6500.9349220834356</v>
      </c>
      <c r="EC10" s="539">
        <f>Ops!EC$94</f>
        <v>6500.9349220834356</v>
      </c>
      <c r="ED10" s="539">
        <f>Ops!ED$94</f>
        <v>0</v>
      </c>
      <c r="EE10" s="539">
        <f>Ops!EE$94</f>
        <v>0</v>
      </c>
      <c r="EF10" s="539">
        <f>Ops!EF$94</f>
        <v>0</v>
      </c>
      <c r="EG10" s="539">
        <f>Ops!EG$94</f>
        <v>0</v>
      </c>
    </row>
    <row r="11" spans="5:137" ht="12.75">
      <c r="E11" s="538" t="str">
        <f>Reserves!E$71</f>
        <v>Maintenance cost - nominal</v>
      </c>
      <c r="G11" s="539" t="str">
        <f>Reserves!G$71</f>
        <v>EUR 000s</v>
      </c>
      <c r="H11" s="539">
        <f>Reserves!H$71</f>
        <v>33815.205287834237</v>
      </c>
      <c r="J11" s="539">
        <f>Reserves!J$71</f>
        <v>0</v>
      </c>
      <c r="K11" s="539">
        <f>Reserves!K$71</f>
        <v>0</v>
      </c>
      <c r="L11" s="539">
        <f>Reserves!L$71</f>
        <v>0</v>
      </c>
      <c r="M11" s="539">
        <f>Reserves!M$71</f>
        <v>0</v>
      </c>
      <c r="N11" s="539">
        <f>Reserves!N$71</f>
        <v>0</v>
      </c>
      <c r="O11" s="539">
        <f>Reserves!O$71</f>
        <v>0</v>
      </c>
      <c r="P11" s="539">
        <f>Reserves!P$71</f>
        <v>0</v>
      </c>
      <c r="Q11" s="539">
        <f>Reserves!Q$71</f>
        <v>0</v>
      </c>
      <c r="R11" s="539">
        <f>Reserves!R$71</f>
        <v>0</v>
      </c>
      <c r="S11" s="539">
        <f>Reserves!S$71</f>
        <v>0</v>
      </c>
      <c r="T11" s="539">
        <f>Reserves!T$71</f>
        <v>0</v>
      </c>
      <c r="U11" s="539">
        <f>Reserves!U$71</f>
        <v>0</v>
      </c>
      <c r="V11" s="539">
        <f>Reserves!V$71</f>
        <v>0</v>
      </c>
      <c r="W11" s="539">
        <f>Reserves!W$71</f>
        <v>0</v>
      </c>
      <c r="X11" s="539">
        <f>Reserves!X$71</f>
        <v>0</v>
      </c>
      <c r="Y11" s="539">
        <f>Reserves!Y$71</f>
        <v>0</v>
      </c>
      <c r="Z11" s="539">
        <f>Reserves!Z$71</f>
        <v>0</v>
      </c>
      <c r="AA11" s="539">
        <f>Reserves!AA$71</f>
        <v>0</v>
      </c>
      <c r="AB11" s="539">
        <f>Reserves!AB$71</f>
        <v>0</v>
      </c>
      <c r="AC11" s="539">
        <f>Reserves!AC$71</f>
        <v>0</v>
      </c>
      <c r="AD11" s="539">
        <f>Reserves!AD$71</f>
        <v>0</v>
      </c>
      <c r="AE11" s="539">
        <f>Reserves!AE$71</f>
        <v>0</v>
      </c>
      <c r="AF11" s="539">
        <f>Reserves!AF$71</f>
        <v>0</v>
      </c>
      <c r="AG11" s="539">
        <f>Reserves!AG$71</f>
        <v>0</v>
      </c>
      <c r="AH11" s="539">
        <f>Reserves!AH$71</f>
        <v>0</v>
      </c>
      <c r="AI11" s="539">
        <f>Reserves!AI$71</f>
        <v>0</v>
      </c>
      <c r="AJ11" s="539">
        <f>Reserves!AJ$71</f>
        <v>0</v>
      </c>
      <c r="AK11" s="539">
        <f>Reserves!AK$71</f>
        <v>0</v>
      </c>
      <c r="AL11" s="539">
        <f>Reserves!AL$71</f>
        <v>0</v>
      </c>
      <c r="AM11" s="539">
        <f>Reserves!AM$71</f>
        <v>0</v>
      </c>
      <c r="AN11" s="539">
        <f>Reserves!AN$71</f>
        <v>0</v>
      </c>
      <c r="AO11" s="539">
        <f>Reserves!AO$71</f>
        <v>0</v>
      </c>
      <c r="AP11" s="539">
        <f>Reserves!AP$71</f>
        <v>0</v>
      </c>
      <c r="AQ11" s="539">
        <f>Reserves!AQ$71</f>
        <v>0</v>
      </c>
      <c r="AR11" s="539">
        <f>Reserves!AR$71</f>
        <v>0</v>
      </c>
      <c r="AS11" s="539">
        <f>Reserves!AS$71</f>
        <v>0</v>
      </c>
      <c r="AT11" s="539">
        <f>Reserves!AT$71</f>
        <v>0</v>
      </c>
      <c r="AU11" s="539">
        <f>Reserves!AU$71</f>
        <v>0</v>
      </c>
      <c r="AV11" s="539">
        <f>Reserves!AV$71</f>
        <v>0</v>
      </c>
      <c r="AW11" s="539">
        <f>Reserves!AW$71</f>
        <v>0</v>
      </c>
      <c r="AX11" s="539">
        <f>Reserves!AX$71</f>
        <v>1739.5401273193352</v>
      </c>
      <c r="AY11" s="539">
        <f>Reserves!AY$71</f>
        <v>1739.5401273193352</v>
      </c>
      <c r="AZ11" s="539">
        <f>Reserves!AZ$71</f>
        <v>1739.5401273193352</v>
      </c>
      <c r="BA11" s="539">
        <f>Reserves!BA$71</f>
        <v>1739.5401273193352</v>
      </c>
      <c r="BB11" s="539">
        <f>Reserves!BB$71</f>
        <v>0</v>
      </c>
      <c r="BC11" s="539">
        <f>Reserves!BC$71</f>
        <v>0</v>
      </c>
      <c r="BD11" s="539">
        <f>Reserves!BD$71</f>
        <v>0</v>
      </c>
      <c r="BE11" s="539">
        <f>Reserves!BE$71</f>
        <v>0</v>
      </c>
      <c r="BF11" s="539">
        <f>Reserves!BF$71</f>
        <v>0</v>
      </c>
      <c r="BG11" s="539">
        <f>Reserves!BG$71</f>
        <v>0</v>
      </c>
      <c r="BH11" s="539">
        <f>Reserves!BH$71</f>
        <v>0</v>
      </c>
      <c r="BI11" s="539">
        <f>Reserves!BI$71</f>
        <v>0</v>
      </c>
      <c r="BJ11" s="539">
        <f>Reserves!BJ$71</f>
        <v>0</v>
      </c>
      <c r="BK11" s="539">
        <f>Reserves!BK$71</f>
        <v>0</v>
      </c>
      <c r="BL11" s="539">
        <f>Reserves!BL$71</f>
        <v>0</v>
      </c>
      <c r="BM11" s="539">
        <f>Reserves!BM$71</f>
        <v>0</v>
      </c>
      <c r="BN11" s="539">
        <f>Reserves!BN$71</f>
        <v>0</v>
      </c>
      <c r="BO11" s="539">
        <f>Reserves!BO$71</f>
        <v>0</v>
      </c>
      <c r="BP11" s="539">
        <f>Reserves!BP$71</f>
        <v>0</v>
      </c>
      <c r="BQ11" s="539">
        <f>Reserves!BQ$71</f>
        <v>0</v>
      </c>
      <c r="BR11" s="539">
        <f>Reserves!BR$71</f>
        <v>1968.1299867018984</v>
      </c>
      <c r="BS11" s="539">
        <f>Reserves!BS$71</f>
        <v>1968.1299867018984</v>
      </c>
      <c r="BT11" s="539">
        <f>Reserves!BT$71</f>
        <v>1968.1299867018984</v>
      </c>
      <c r="BU11" s="539">
        <f>Reserves!BU$71</f>
        <v>1968.1299867018984</v>
      </c>
      <c r="BV11" s="539">
        <f>Reserves!BV$71</f>
        <v>0</v>
      </c>
      <c r="BW11" s="539">
        <f>Reserves!BW$71</f>
        <v>0</v>
      </c>
      <c r="BX11" s="539">
        <f>Reserves!BX$71</f>
        <v>0</v>
      </c>
      <c r="BY11" s="539">
        <f>Reserves!BY$71</f>
        <v>0</v>
      </c>
      <c r="BZ11" s="539">
        <f>Reserves!BZ$71</f>
        <v>0</v>
      </c>
      <c r="CA11" s="539">
        <f>Reserves!CA$71</f>
        <v>0</v>
      </c>
      <c r="CB11" s="539">
        <f>Reserves!CB$71</f>
        <v>0</v>
      </c>
      <c r="CC11" s="539">
        <f>Reserves!CC$71</f>
        <v>0</v>
      </c>
      <c r="CD11" s="539">
        <f>Reserves!CD$71</f>
        <v>0</v>
      </c>
      <c r="CE11" s="539">
        <f>Reserves!CE$71</f>
        <v>0</v>
      </c>
      <c r="CF11" s="539">
        <f>Reserves!CF$71</f>
        <v>0</v>
      </c>
      <c r="CG11" s="539">
        <f>Reserves!CG$71</f>
        <v>0</v>
      </c>
      <c r="CH11" s="539">
        <f>Reserves!CH$71</f>
        <v>0</v>
      </c>
      <c r="CI11" s="539">
        <f>Reserves!CI$71</f>
        <v>0</v>
      </c>
      <c r="CJ11" s="539">
        <f>Reserves!CJ$71</f>
        <v>0</v>
      </c>
      <c r="CK11" s="539">
        <f>Reserves!CK$71</f>
        <v>0</v>
      </c>
      <c r="CL11" s="539">
        <f>Reserves!CL$71</f>
        <v>2226.7584309908434</v>
      </c>
      <c r="CM11" s="539">
        <f>Reserves!CM$71</f>
        <v>2226.7584309908434</v>
      </c>
      <c r="CN11" s="539">
        <f>Reserves!CN$71</f>
        <v>2226.7584309908434</v>
      </c>
      <c r="CO11" s="539">
        <f>Reserves!CO$71</f>
        <v>2226.7584309908434</v>
      </c>
      <c r="CP11" s="539">
        <f>Reserves!CP$71</f>
        <v>0</v>
      </c>
      <c r="CQ11" s="539">
        <f>Reserves!CQ$71</f>
        <v>0</v>
      </c>
      <c r="CR11" s="539">
        <f>Reserves!CR$71</f>
        <v>0</v>
      </c>
      <c r="CS11" s="539">
        <f>Reserves!CS$71</f>
        <v>0</v>
      </c>
      <c r="CT11" s="539">
        <f>Reserves!CT$71</f>
        <v>0</v>
      </c>
      <c r="CU11" s="539">
        <f>Reserves!CU$71</f>
        <v>0</v>
      </c>
      <c r="CV11" s="539">
        <f>Reserves!CV$71</f>
        <v>0</v>
      </c>
      <c r="CW11" s="539">
        <f>Reserves!CW$71</f>
        <v>0</v>
      </c>
      <c r="CX11" s="539">
        <f>Reserves!CX$71</f>
        <v>0</v>
      </c>
      <c r="CY11" s="539">
        <f>Reserves!CY$71</f>
        <v>0</v>
      </c>
      <c r="CZ11" s="539">
        <f>Reserves!CZ$71</f>
        <v>0</v>
      </c>
      <c r="DA11" s="539">
        <f>Reserves!DA$71</f>
        <v>0</v>
      </c>
      <c r="DB11" s="539">
        <f>Reserves!DB$71</f>
        <v>0</v>
      </c>
      <c r="DC11" s="539">
        <f>Reserves!DC$71</f>
        <v>0</v>
      </c>
      <c r="DD11" s="539">
        <f>Reserves!DD$71</f>
        <v>0</v>
      </c>
      <c r="DE11" s="539">
        <f>Reserves!DE$71</f>
        <v>0</v>
      </c>
      <c r="DF11" s="539">
        <f>Reserves!DF$71</f>
        <v>2519.3727769464808</v>
      </c>
      <c r="DG11" s="539">
        <f>Reserves!DG$71</f>
        <v>2519.3727769464808</v>
      </c>
      <c r="DH11" s="539">
        <f>Reserves!DH$71</f>
        <v>2519.3727769464808</v>
      </c>
      <c r="DI11" s="539">
        <f>Reserves!DI$71</f>
        <v>2519.3727769464808</v>
      </c>
      <c r="DJ11" s="539">
        <f>Reserves!DJ$71</f>
        <v>0</v>
      </c>
      <c r="DK11" s="539">
        <f>Reserves!DK$71</f>
        <v>0</v>
      </c>
      <c r="DL11" s="539">
        <f>Reserves!DL$71</f>
        <v>0</v>
      </c>
      <c r="DM11" s="539">
        <f>Reserves!DM$71</f>
        <v>0</v>
      </c>
      <c r="DN11" s="539">
        <f>Reserves!DN$71</f>
        <v>0</v>
      </c>
      <c r="DO11" s="539">
        <f>Reserves!DO$71</f>
        <v>0</v>
      </c>
      <c r="DP11" s="539">
        <f>Reserves!DP$71</f>
        <v>0</v>
      </c>
      <c r="DQ11" s="539">
        <f>Reserves!DQ$71</f>
        <v>0</v>
      </c>
      <c r="DR11" s="539">
        <f>Reserves!DR$71</f>
        <v>0</v>
      </c>
      <c r="DS11" s="539">
        <f>Reserves!DS$71</f>
        <v>0</v>
      </c>
      <c r="DT11" s="539">
        <f>Reserves!DT$71</f>
        <v>0</v>
      </c>
      <c r="DU11" s="539">
        <f>Reserves!DU$71</f>
        <v>0</v>
      </c>
      <c r="DV11" s="539">
        <f>Reserves!DV$71</f>
        <v>0</v>
      </c>
      <c r="DW11" s="539">
        <f>Reserves!DW$71</f>
        <v>0</v>
      </c>
      <c r="DX11" s="539">
        <f>Reserves!DX$71</f>
        <v>0</v>
      </c>
      <c r="DY11" s="539">
        <f>Reserves!DY$71</f>
        <v>0</v>
      </c>
      <c r="DZ11" s="539">
        <f>Reserves!DZ$71</f>
        <v>0</v>
      </c>
      <c r="EA11" s="539">
        <f>Reserves!EA$71</f>
        <v>0</v>
      </c>
      <c r="EB11" s="539">
        <f>Reserves!EB$71</f>
        <v>0</v>
      </c>
      <c r="EC11" s="539">
        <f>Reserves!EC$71</f>
        <v>0</v>
      </c>
      <c r="ED11" s="539">
        <f>Reserves!ED$71</f>
        <v>0</v>
      </c>
      <c r="EE11" s="539">
        <f>Reserves!EE$71</f>
        <v>0</v>
      </c>
      <c r="EF11" s="539">
        <f>Reserves!EF$71</f>
        <v>0</v>
      </c>
      <c r="EG11" s="539">
        <f>Reserves!EG$71</f>
        <v>0</v>
      </c>
    </row>
    <row r="12" spans="5:137" ht="12.75">
      <c r="E12" s="551" t="s">
        <v>509</v>
      </c>
      <c r="F12" s="552"/>
      <c r="G12" s="552" t="s">
        <v>30</v>
      </c>
      <c r="H12" s="552">
        <f>SUM(J12:EG12)</f>
        <v>1081157.2515638513</v>
      </c>
      <c r="I12" s="552"/>
      <c r="J12" s="552">
        <f t="shared" si="0" ref="J12:EG12">J9-J10-J11</f>
        <v>0</v>
      </c>
      <c r="K12" s="552">
        <f t="shared" si="0"/>
        <v>0</v>
      </c>
      <c r="L12" s="552">
        <f t="shared" si="0"/>
        <v>0</v>
      </c>
      <c r="M12" s="552">
        <f t="shared" si="0"/>
        <v>0</v>
      </c>
      <c r="N12" s="552">
        <f t="shared" si="0"/>
        <v>0</v>
      </c>
      <c r="O12" s="552">
        <f t="shared" si="0"/>
        <v>0</v>
      </c>
      <c r="P12" s="552">
        <f t="shared" si="0"/>
        <v>0</v>
      </c>
      <c r="Q12" s="552">
        <f t="shared" si="0"/>
        <v>0</v>
      </c>
      <c r="R12" s="552">
        <f t="shared" si="0"/>
        <v>0</v>
      </c>
      <c r="S12" s="552">
        <f t="shared" si="0"/>
        <v>0</v>
      </c>
      <c r="T12" s="552">
        <f t="shared" si="0"/>
        <v>0</v>
      </c>
      <c r="U12" s="552">
        <f t="shared" si="0"/>
        <v>0</v>
      </c>
      <c r="V12" s="552">
        <f t="shared" si="0"/>
        <v>0</v>
      </c>
      <c r="W12" s="552">
        <f t="shared" si="0"/>
        <v>0</v>
      </c>
      <c r="X12" s="552">
        <f t="shared" si="0"/>
        <v>0</v>
      </c>
      <c r="Y12" s="552">
        <f t="shared" si="0"/>
        <v>0</v>
      </c>
      <c r="Z12" s="552">
        <f t="shared" si="0"/>
        <v>0</v>
      </c>
      <c r="AA12" s="552">
        <f t="shared" si="0"/>
        <v>0</v>
      </c>
      <c r="AB12" s="552">
        <f t="shared" si="0"/>
        <v>0</v>
      </c>
      <c r="AC12" s="552">
        <f t="shared" si="0"/>
        <v>0</v>
      </c>
      <c r="AD12" s="552">
        <f t="shared" si="0"/>
        <v>0</v>
      </c>
      <c r="AE12" s="552">
        <f t="shared" si="0"/>
        <v>0</v>
      </c>
      <c r="AF12" s="552">
        <f t="shared" si="0"/>
        <v>0</v>
      </c>
      <c r="AG12" s="552">
        <f t="shared" si="0"/>
        <v>0</v>
      </c>
      <c r="AH12" s="552">
        <f t="shared" si="0"/>
        <v>8995.9009374999987</v>
      </c>
      <c r="AI12" s="552">
        <f t="shared" si="0"/>
        <v>8995.9009374999987</v>
      </c>
      <c r="AJ12" s="552">
        <f t="shared" si="0"/>
        <v>8995.9009374999987</v>
      </c>
      <c r="AK12" s="552">
        <f t="shared" si="0"/>
        <v>8995.9009374999987</v>
      </c>
      <c r="AL12" s="552">
        <f t="shared" si="0"/>
        <v>9153.9256359374995</v>
      </c>
      <c r="AM12" s="552">
        <f t="shared" si="0"/>
        <v>9153.9256359374995</v>
      </c>
      <c r="AN12" s="552">
        <f t="shared" si="0"/>
        <v>9153.9256359374995</v>
      </c>
      <c r="AO12" s="552">
        <f t="shared" si="0"/>
        <v>9153.9256359374995</v>
      </c>
      <c r="AP12" s="552">
        <f t="shared" si="0"/>
        <v>9314.5471890859371</v>
      </c>
      <c r="AQ12" s="552">
        <f t="shared" si="0"/>
        <v>9314.5471890859371</v>
      </c>
      <c r="AR12" s="552">
        <f t="shared" si="0"/>
        <v>9314.5471890859371</v>
      </c>
      <c r="AS12" s="552">
        <f t="shared" si="0"/>
        <v>9314.5471890859371</v>
      </c>
      <c r="AT12" s="552">
        <f t="shared" si="0"/>
        <v>9477.8014538705866</v>
      </c>
      <c r="AU12" s="552">
        <f t="shared" si="0"/>
        <v>9477.8014538705866</v>
      </c>
      <c r="AV12" s="552">
        <f t="shared" si="0"/>
        <v>9477.8014538705866</v>
      </c>
      <c r="AW12" s="552">
        <f t="shared" si="0"/>
        <v>9477.8014538705866</v>
      </c>
      <c r="AX12" s="552">
        <f t="shared" si="0"/>
        <v>7904.1844153560414</v>
      </c>
      <c r="AY12" s="552">
        <f t="shared" si="0"/>
        <v>7904.1844153560414</v>
      </c>
      <c r="AZ12" s="552">
        <f t="shared" si="0"/>
        <v>7904.1844153560414</v>
      </c>
      <c r="BA12" s="552">
        <f t="shared" si="0"/>
        <v>7904.1844153560414</v>
      </c>
      <c r="BB12" s="552">
        <f t="shared" si="0"/>
        <v>9812.3528151198025</v>
      </c>
      <c r="BC12" s="552">
        <f t="shared" si="0"/>
        <v>9812.3528151198025</v>
      </c>
      <c r="BD12" s="552">
        <f t="shared" si="0"/>
        <v>9812.3528151198025</v>
      </c>
      <c r="BE12" s="552">
        <f t="shared" si="0"/>
        <v>9812.3528151198025</v>
      </c>
      <c r="BF12" s="552">
        <f t="shared" si="0"/>
        <v>9983.7228692843601</v>
      </c>
      <c r="BG12" s="552">
        <f t="shared" si="0"/>
        <v>9983.7228692843601</v>
      </c>
      <c r="BH12" s="552">
        <f t="shared" si="0"/>
        <v>9983.7228692843601</v>
      </c>
      <c r="BI12" s="552">
        <f t="shared" si="0"/>
        <v>9983.7228692843601</v>
      </c>
      <c r="BJ12" s="552">
        <f t="shared" si="0"/>
        <v>10157.871532362169</v>
      </c>
      <c r="BK12" s="552">
        <f t="shared" si="0"/>
        <v>10157.871532362169</v>
      </c>
      <c r="BL12" s="552">
        <f t="shared" si="0"/>
        <v>10157.871532362169</v>
      </c>
      <c r="BM12" s="552">
        <f t="shared" si="0"/>
        <v>10157.871532362169</v>
      </c>
      <c r="BN12" s="552">
        <f t="shared" si="0"/>
        <v>10334.835850713753</v>
      </c>
      <c r="BO12" s="552">
        <f t="shared" si="0"/>
        <v>10334.835850713753</v>
      </c>
      <c r="BP12" s="552">
        <f t="shared" si="0"/>
        <v>10334.835850713753</v>
      </c>
      <c r="BQ12" s="552">
        <f t="shared" si="0"/>
        <v>10334.835850713753</v>
      </c>
      <c r="BR12" s="552">
        <f t="shared" si="0"/>
        <v>8546.5230925990891</v>
      </c>
      <c r="BS12" s="552">
        <f t="shared" si="0"/>
        <v>8546.5230925990891</v>
      </c>
      <c r="BT12" s="552">
        <f t="shared" si="0"/>
        <v>8546.5230925990891</v>
      </c>
      <c r="BU12" s="552">
        <f t="shared" si="0"/>
        <v>8546.5230925990891</v>
      </c>
      <c r="BV12" s="552">
        <f t="shared" si="0"/>
        <v>10697.360670475582</v>
      </c>
      <c r="BW12" s="552">
        <f t="shared" si="0"/>
        <v>10697.360670475582</v>
      </c>
      <c r="BX12" s="552">
        <f t="shared" si="0"/>
        <v>10697.360670475582</v>
      </c>
      <c r="BY12" s="552">
        <f t="shared" si="0"/>
        <v>10697.360670475582</v>
      </c>
      <c r="BZ12" s="552">
        <f t="shared" si="0"/>
        <v>10882.996262096458</v>
      </c>
      <c r="CA12" s="552">
        <f t="shared" si="0"/>
        <v>10882.996262096458</v>
      </c>
      <c r="CB12" s="552">
        <f t="shared" si="0"/>
        <v>10882.996262096458</v>
      </c>
      <c r="CC12" s="552">
        <f t="shared" si="0"/>
        <v>10882.996262096458</v>
      </c>
      <c r="CD12" s="552">
        <f t="shared" si="0"/>
        <v>11071.597664949615</v>
      </c>
      <c r="CE12" s="552">
        <f t="shared" si="0"/>
        <v>11071.597664949615</v>
      </c>
      <c r="CF12" s="552">
        <f t="shared" si="0"/>
        <v>11071.597664949615</v>
      </c>
      <c r="CG12" s="552">
        <f t="shared" si="0"/>
        <v>11071.597664949615</v>
      </c>
      <c r="CH12" s="552">
        <f t="shared" si="0"/>
        <v>11263.202849443021</v>
      </c>
      <c r="CI12" s="552">
        <f t="shared" si="0"/>
        <v>11263.202849443021</v>
      </c>
      <c r="CJ12" s="552">
        <f t="shared" si="0"/>
        <v>11263.202849443021</v>
      </c>
      <c r="CK12" s="552">
        <f t="shared" si="0"/>
        <v>11263.202849443021</v>
      </c>
      <c r="CL12" s="552">
        <f t="shared" si="0"/>
        <v>9231.0915005575098</v>
      </c>
      <c r="CM12" s="552">
        <f t="shared" si="0"/>
        <v>9231.0915005575098</v>
      </c>
      <c r="CN12" s="552">
        <f t="shared" si="0"/>
        <v>9231.0915005575098</v>
      </c>
      <c r="CO12" s="552">
        <f t="shared" si="0"/>
        <v>9231.0915005575098</v>
      </c>
      <c r="CP12" s="552">
        <f t="shared" si="0"/>
        <v>11655.577157960166</v>
      </c>
      <c r="CQ12" s="552">
        <f t="shared" si="0"/>
        <v>11655.577157960166</v>
      </c>
      <c r="CR12" s="552">
        <f t="shared" si="0"/>
        <v>11655.577157960166</v>
      </c>
      <c r="CS12" s="552">
        <f t="shared" si="0"/>
        <v>11655.577157960166</v>
      </c>
      <c r="CT12" s="552">
        <f t="shared" si="0"/>
        <v>11856.422890442294</v>
      </c>
      <c r="CU12" s="552">
        <f t="shared" si="0"/>
        <v>11856.422890442294</v>
      </c>
      <c r="CV12" s="552">
        <f t="shared" si="0"/>
        <v>11856.422890442294</v>
      </c>
      <c r="CW12" s="552">
        <f t="shared" si="0"/>
        <v>11856.422890442294</v>
      </c>
      <c r="CX12" s="552">
        <f t="shared" si="0"/>
        <v>12060.42558933012</v>
      </c>
      <c r="CY12" s="552">
        <f t="shared" si="0"/>
        <v>12060.42558933012</v>
      </c>
      <c r="CZ12" s="552">
        <f t="shared" si="0"/>
        <v>12060.42558933012</v>
      </c>
      <c r="DA12" s="552">
        <f t="shared" si="0"/>
        <v>12060.42558933012</v>
      </c>
      <c r="DB12" s="552">
        <f t="shared" si="0"/>
        <v>12267.623796156346</v>
      </c>
      <c r="DC12" s="552">
        <f t="shared" si="0"/>
        <v>12267.623796156346</v>
      </c>
      <c r="DD12" s="552">
        <f t="shared" si="0"/>
        <v>12267.623796156346</v>
      </c>
      <c r="DE12" s="552">
        <f t="shared" si="0"/>
        <v>12267.623796156346</v>
      </c>
      <c r="DF12" s="552">
        <f t="shared" si="0"/>
        <v>9958.6833384202964</v>
      </c>
      <c r="DG12" s="552">
        <f t="shared" si="0"/>
        <v>9958.6833384202964</v>
      </c>
      <c r="DH12" s="552">
        <f t="shared" si="0"/>
        <v>9958.6833384202964</v>
      </c>
      <c r="DI12" s="552">
        <f t="shared" si="0"/>
        <v>9958.6833384202964</v>
      </c>
      <c r="DJ12" s="552">
        <f t="shared" si="0"/>
        <v>12691.761195091425</v>
      </c>
      <c r="DK12" s="552">
        <f t="shared" si="0"/>
        <v>12691.761195091425</v>
      </c>
      <c r="DL12" s="552">
        <f t="shared" si="0"/>
        <v>12691.761195091425</v>
      </c>
      <c r="DM12" s="552">
        <f t="shared" si="0"/>
        <v>12691.761195091425</v>
      </c>
      <c r="DN12" s="552">
        <f t="shared" si="0"/>
        <v>12908.777706935271</v>
      </c>
      <c r="DO12" s="552">
        <f t="shared" si="0"/>
        <v>12908.777706935271</v>
      </c>
      <c r="DP12" s="552">
        <f t="shared" si="0"/>
        <v>12908.777706935271</v>
      </c>
      <c r="DQ12" s="552">
        <f t="shared" si="0"/>
        <v>12908.777706935271</v>
      </c>
      <c r="DR12" s="552">
        <f t="shared" si="0"/>
        <v>13129.144324751487</v>
      </c>
      <c r="DS12" s="552">
        <f t="shared" si="0"/>
        <v>13129.144324751487</v>
      </c>
      <c r="DT12" s="552">
        <f t="shared" si="0"/>
        <v>13129.144324751487</v>
      </c>
      <c r="DU12" s="552">
        <f t="shared" si="0"/>
        <v>13129.144324751487</v>
      </c>
      <c r="DV12" s="552">
        <f t="shared" si="0"/>
        <v>13352.899702359024</v>
      </c>
      <c r="DW12" s="552">
        <f t="shared" si="0"/>
        <v>13352.899702359024</v>
      </c>
      <c r="DX12" s="552">
        <f t="shared" si="0"/>
        <v>13352.899702359024</v>
      </c>
      <c r="DY12" s="552">
        <f t="shared" si="0"/>
        <v>13352.899702359024</v>
      </c>
      <c r="DZ12" s="552">
        <f t="shared" si="0"/>
        <v>13580.082450164866</v>
      </c>
      <c r="EA12" s="552">
        <f t="shared" si="0"/>
        <v>13580.082450164866</v>
      </c>
      <c r="EB12" s="552">
        <f t="shared" si="0"/>
        <v>13580.082450164866</v>
      </c>
      <c r="EC12" s="552">
        <f t="shared" si="0"/>
        <v>13580.082450164866</v>
      </c>
      <c r="ED12" s="552">
        <f t="shared" si="0"/>
        <v>0</v>
      </c>
      <c r="EE12" s="552">
        <f t="shared" si="0"/>
        <v>0</v>
      </c>
      <c r="EF12" s="552">
        <f t="shared" si="0"/>
        <v>0</v>
      </c>
      <c r="EG12" s="552">
        <f t="shared" si="0"/>
        <v>0</v>
      </c>
    </row>
    <row r="14" spans="5:137" ht="12.75">
      <c r="E14" s="538" t="str">
        <f>Assets!E$21</f>
        <v>Fixed assets - accounting depreciation</v>
      </c>
      <c r="G14" s="539" t="str">
        <f>Assets!G$21</f>
        <v>EUR 000s</v>
      </c>
      <c r="H14" s="539">
        <f>Assets!H$21</f>
        <v>291552.49999999988</v>
      </c>
      <c r="J14" s="539">
        <f>Assets!J$21</f>
        <v>0</v>
      </c>
      <c r="K14" s="539">
        <f>Assets!K$21</f>
        <v>0</v>
      </c>
      <c r="L14" s="539">
        <f>Assets!L$21</f>
        <v>0</v>
      </c>
      <c r="M14" s="539">
        <f>Assets!M$21</f>
        <v>0</v>
      </c>
      <c r="N14" s="539">
        <f>Assets!N$21</f>
        <v>0</v>
      </c>
      <c r="O14" s="539">
        <f>Assets!O$21</f>
        <v>0</v>
      </c>
      <c r="P14" s="539">
        <f>Assets!P$21</f>
        <v>0</v>
      </c>
      <c r="Q14" s="539">
        <f>Assets!Q$21</f>
        <v>0</v>
      </c>
      <c r="R14" s="539">
        <f>Assets!R$21</f>
        <v>0</v>
      </c>
      <c r="S14" s="539">
        <f>Assets!S$21</f>
        <v>0</v>
      </c>
      <c r="T14" s="539">
        <f>Assets!T$21</f>
        <v>0</v>
      </c>
      <c r="U14" s="539">
        <f>Assets!U$21</f>
        <v>0</v>
      </c>
      <c r="V14" s="539">
        <f>Assets!V$21</f>
        <v>0</v>
      </c>
      <c r="W14" s="539">
        <f>Assets!W$21</f>
        <v>0</v>
      </c>
      <c r="X14" s="539">
        <f>Assets!X$21</f>
        <v>0</v>
      </c>
      <c r="Y14" s="539">
        <f>Assets!Y$21</f>
        <v>0</v>
      </c>
      <c r="Z14" s="539">
        <f>Assets!Z$21</f>
        <v>0</v>
      </c>
      <c r="AA14" s="539">
        <f>Assets!AA$21</f>
        <v>0</v>
      </c>
      <c r="AB14" s="539">
        <f>Assets!AB$21</f>
        <v>0</v>
      </c>
      <c r="AC14" s="539">
        <f>Assets!AC$21</f>
        <v>0</v>
      </c>
      <c r="AD14" s="539">
        <f>Assets!AD$21</f>
        <v>0</v>
      </c>
      <c r="AE14" s="539">
        <f>Assets!AE$21</f>
        <v>0</v>
      </c>
      <c r="AF14" s="539">
        <f>Assets!AF$21</f>
        <v>0</v>
      </c>
      <c r="AG14" s="539">
        <f>Assets!AG$21</f>
        <v>0</v>
      </c>
      <c r="AH14" s="539">
        <f>Assets!AH$21</f>
        <v>2915.5250000000001</v>
      </c>
      <c r="AI14" s="539">
        <f>Assets!AI$21</f>
        <v>2915.5250000000001</v>
      </c>
      <c r="AJ14" s="539">
        <f>Assets!AJ$21</f>
        <v>2915.5250000000001</v>
      </c>
      <c r="AK14" s="539">
        <f>Assets!AK$21</f>
        <v>2915.5250000000001</v>
      </c>
      <c r="AL14" s="539">
        <f>Assets!AL$21</f>
        <v>2915.5250000000001</v>
      </c>
      <c r="AM14" s="539">
        <f>Assets!AM$21</f>
        <v>2915.5250000000001</v>
      </c>
      <c r="AN14" s="539">
        <f>Assets!AN$21</f>
        <v>2915.5250000000001</v>
      </c>
      <c r="AO14" s="539">
        <f>Assets!AO$21</f>
        <v>2915.5250000000001</v>
      </c>
      <c r="AP14" s="539">
        <f>Assets!AP$21</f>
        <v>2915.5250000000001</v>
      </c>
      <c r="AQ14" s="539">
        <f>Assets!AQ$21</f>
        <v>2915.5250000000001</v>
      </c>
      <c r="AR14" s="539">
        <f>Assets!AR$21</f>
        <v>2915.5250000000001</v>
      </c>
      <c r="AS14" s="539">
        <f>Assets!AS$21</f>
        <v>2915.5250000000001</v>
      </c>
      <c r="AT14" s="539">
        <f>Assets!AT$21</f>
        <v>2915.5250000000001</v>
      </c>
      <c r="AU14" s="539">
        <f>Assets!AU$21</f>
        <v>2915.5250000000001</v>
      </c>
      <c r="AV14" s="539">
        <f>Assets!AV$21</f>
        <v>2915.5250000000001</v>
      </c>
      <c r="AW14" s="539">
        <f>Assets!AW$21</f>
        <v>2915.5250000000001</v>
      </c>
      <c r="AX14" s="539">
        <f>Assets!AX$21</f>
        <v>2915.5250000000001</v>
      </c>
      <c r="AY14" s="539">
        <f>Assets!AY$21</f>
        <v>2915.5250000000001</v>
      </c>
      <c r="AZ14" s="539">
        <f>Assets!AZ$21</f>
        <v>2915.5250000000001</v>
      </c>
      <c r="BA14" s="539">
        <f>Assets!BA$21</f>
        <v>2915.5250000000001</v>
      </c>
      <c r="BB14" s="539">
        <f>Assets!BB$21</f>
        <v>2915.5250000000001</v>
      </c>
      <c r="BC14" s="539">
        <f>Assets!BC$21</f>
        <v>2915.5250000000001</v>
      </c>
      <c r="BD14" s="539">
        <f>Assets!BD$21</f>
        <v>2915.5250000000001</v>
      </c>
      <c r="BE14" s="539">
        <f>Assets!BE$21</f>
        <v>2915.5250000000001</v>
      </c>
      <c r="BF14" s="539">
        <f>Assets!BF$21</f>
        <v>2915.5250000000001</v>
      </c>
      <c r="BG14" s="539">
        <f>Assets!BG$21</f>
        <v>2915.5250000000001</v>
      </c>
      <c r="BH14" s="539">
        <f>Assets!BH$21</f>
        <v>2915.5250000000001</v>
      </c>
      <c r="BI14" s="539">
        <f>Assets!BI$21</f>
        <v>2915.5250000000001</v>
      </c>
      <c r="BJ14" s="539">
        <f>Assets!BJ$21</f>
        <v>2915.5250000000001</v>
      </c>
      <c r="BK14" s="539">
        <f>Assets!BK$21</f>
        <v>2915.5250000000001</v>
      </c>
      <c r="BL14" s="539">
        <f>Assets!BL$21</f>
        <v>2915.5250000000001</v>
      </c>
      <c r="BM14" s="539">
        <f>Assets!BM$21</f>
        <v>2915.5250000000001</v>
      </c>
      <c r="BN14" s="539">
        <f>Assets!BN$21</f>
        <v>2915.5250000000001</v>
      </c>
      <c r="BO14" s="539">
        <f>Assets!BO$21</f>
        <v>2915.5250000000001</v>
      </c>
      <c r="BP14" s="539">
        <f>Assets!BP$21</f>
        <v>2915.5250000000001</v>
      </c>
      <c r="BQ14" s="539">
        <f>Assets!BQ$21</f>
        <v>2915.5250000000001</v>
      </c>
      <c r="BR14" s="539">
        <f>Assets!BR$21</f>
        <v>2915.5250000000001</v>
      </c>
      <c r="BS14" s="539">
        <f>Assets!BS$21</f>
        <v>2915.5250000000001</v>
      </c>
      <c r="BT14" s="539">
        <f>Assets!BT$21</f>
        <v>2915.5250000000001</v>
      </c>
      <c r="BU14" s="539">
        <f>Assets!BU$21</f>
        <v>2915.5250000000001</v>
      </c>
      <c r="BV14" s="539">
        <f>Assets!BV$21</f>
        <v>2915.5250000000001</v>
      </c>
      <c r="BW14" s="539">
        <f>Assets!BW$21</f>
        <v>2915.5250000000001</v>
      </c>
      <c r="BX14" s="539">
        <f>Assets!BX$21</f>
        <v>2915.5250000000001</v>
      </c>
      <c r="BY14" s="539">
        <f>Assets!BY$21</f>
        <v>2915.5250000000001</v>
      </c>
      <c r="BZ14" s="539">
        <f>Assets!BZ$21</f>
        <v>2915.5250000000001</v>
      </c>
      <c r="CA14" s="539">
        <f>Assets!CA$21</f>
        <v>2915.5250000000001</v>
      </c>
      <c r="CB14" s="539">
        <f>Assets!CB$21</f>
        <v>2915.5250000000001</v>
      </c>
      <c r="CC14" s="539">
        <f>Assets!CC$21</f>
        <v>2915.5250000000001</v>
      </c>
      <c r="CD14" s="539">
        <f>Assets!CD$21</f>
        <v>2915.5250000000001</v>
      </c>
      <c r="CE14" s="539">
        <f>Assets!CE$21</f>
        <v>2915.5250000000001</v>
      </c>
      <c r="CF14" s="539">
        <f>Assets!CF$21</f>
        <v>2915.5250000000001</v>
      </c>
      <c r="CG14" s="539">
        <f>Assets!CG$21</f>
        <v>2915.5250000000001</v>
      </c>
      <c r="CH14" s="539">
        <f>Assets!CH$21</f>
        <v>2915.5250000000001</v>
      </c>
      <c r="CI14" s="539">
        <f>Assets!CI$21</f>
        <v>2915.5250000000001</v>
      </c>
      <c r="CJ14" s="539">
        <f>Assets!CJ$21</f>
        <v>2915.5250000000001</v>
      </c>
      <c r="CK14" s="539">
        <f>Assets!CK$21</f>
        <v>2915.5250000000001</v>
      </c>
      <c r="CL14" s="539">
        <f>Assets!CL$21</f>
        <v>2915.5250000000001</v>
      </c>
      <c r="CM14" s="539">
        <f>Assets!CM$21</f>
        <v>2915.5250000000001</v>
      </c>
      <c r="CN14" s="539">
        <f>Assets!CN$21</f>
        <v>2915.5250000000001</v>
      </c>
      <c r="CO14" s="539">
        <f>Assets!CO$21</f>
        <v>2915.5250000000001</v>
      </c>
      <c r="CP14" s="539">
        <f>Assets!CP$21</f>
        <v>2915.5250000000001</v>
      </c>
      <c r="CQ14" s="539">
        <f>Assets!CQ$21</f>
        <v>2915.5250000000001</v>
      </c>
      <c r="CR14" s="539">
        <f>Assets!CR$21</f>
        <v>2915.5250000000001</v>
      </c>
      <c r="CS14" s="539">
        <f>Assets!CS$21</f>
        <v>2915.5250000000001</v>
      </c>
      <c r="CT14" s="539">
        <f>Assets!CT$21</f>
        <v>2915.5250000000001</v>
      </c>
      <c r="CU14" s="539">
        <f>Assets!CU$21</f>
        <v>2915.5250000000001</v>
      </c>
      <c r="CV14" s="539">
        <f>Assets!CV$21</f>
        <v>2915.5250000000001</v>
      </c>
      <c r="CW14" s="539">
        <f>Assets!CW$21</f>
        <v>2915.5250000000001</v>
      </c>
      <c r="CX14" s="539">
        <f>Assets!CX$21</f>
        <v>2915.5250000000001</v>
      </c>
      <c r="CY14" s="539">
        <f>Assets!CY$21</f>
        <v>2915.5250000000001</v>
      </c>
      <c r="CZ14" s="539">
        <f>Assets!CZ$21</f>
        <v>2915.5250000000001</v>
      </c>
      <c r="DA14" s="539">
        <f>Assets!DA$21</f>
        <v>2915.5250000000001</v>
      </c>
      <c r="DB14" s="539">
        <f>Assets!DB$21</f>
        <v>2915.5250000000001</v>
      </c>
      <c r="DC14" s="539">
        <f>Assets!DC$21</f>
        <v>2915.5250000000001</v>
      </c>
      <c r="DD14" s="539">
        <f>Assets!DD$21</f>
        <v>2915.5250000000001</v>
      </c>
      <c r="DE14" s="539">
        <f>Assets!DE$21</f>
        <v>2915.5250000000001</v>
      </c>
      <c r="DF14" s="539">
        <f>Assets!DF$21</f>
        <v>2915.5250000000001</v>
      </c>
      <c r="DG14" s="539">
        <f>Assets!DG$21</f>
        <v>2915.5250000000001</v>
      </c>
      <c r="DH14" s="539">
        <f>Assets!DH$21</f>
        <v>2915.5250000000001</v>
      </c>
      <c r="DI14" s="539">
        <f>Assets!DI$21</f>
        <v>2915.5250000000001</v>
      </c>
      <c r="DJ14" s="539">
        <f>Assets!DJ$21</f>
        <v>2915.5250000000001</v>
      </c>
      <c r="DK14" s="539">
        <f>Assets!DK$21</f>
        <v>2915.5250000000001</v>
      </c>
      <c r="DL14" s="539">
        <f>Assets!DL$21</f>
        <v>2915.5250000000001</v>
      </c>
      <c r="DM14" s="539">
        <f>Assets!DM$21</f>
        <v>2915.5250000000001</v>
      </c>
      <c r="DN14" s="539">
        <f>Assets!DN$21</f>
        <v>2915.5250000000001</v>
      </c>
      <c r="DO14" s="539">
        <f>Assets!DO$21</f>
        <v>2915.5250000000001</v>
      </c>
      <c r="DP14" s="539">
        <f>Assets!DP$21</f>
        <v>2915.5250000000001</v>
      </c>
      <c r="DQ14" s="539">
        <f>Assets!DQ$21</f>
        <v>2915.5250000000001</v>
      </c>
      <c r="DR14" s="539">
        <f>Assets!DR$21</f>
        <v>2915.5250000000001</v>
      </c>
      <c r="DS14" s="539">
        <f>Assets!DS$21</f>
        <v>2915.5250000000001</v>
      </c>
      <c r="DT14" s="539">
        <f>Assets!DT$21</f>
        <v>2915.5250000000001</v>
      </c>
      <c r="DU14" s="539">
        <f>Assets!DU$21</f>
        <v>2915.5250000000001</v>
      </c>
      <c r="DV14" s="539">
        <f>Assets!DV$21</f>
        <v>2915.5250000000001</v>
      </c>
      <c r="DW14" s="539">
        <f>Assets!DW$21</f>
        <v>2915.5250000000001</v>
      </c>
      <c r="DX14" s="539">
        <f>Assets!DX$21</f>
        <v>2915.5250000000001</v>
      </c>
      <c r="DY14" s="539">
        <f>Assets!DY$21</f>
        <v>2915.5250000000001</v>
      </c>
      <c r="DZ14" s="539">
        <f>Assets!DZ$21</f>
        <v>2915.5250000000001</v>
      </c>
      <c r="EA14" s="539">
        <f>Assets!EA$21</f>
        <v>2915.5250000000001</v>
      </c>
      <c r="EB14" s="539">
        <f>Assets!EB$21</f>
        <v>2915.5250000000001</v>
      </c>
      <c r="EC14" s="539">
        <f>Assets!EC$21</f>
        <v>2915.5250000000001</v>
      </c>
      <c r="ED14" s="539">
        <f>Assets!ED$21</f>
        <v>0</v>
      </c>
      <c r="EE14" s="539">
        <f>Assets!EE$21</f>
        <v>0</v>
      </c>
      <c r="EF14" s="539">
        <f>Assets!EF$21</f>
        <v>0</v>
      </c>
      <c r="EG14" s="539">
        <f>Assets!EG$21</f>
        <v>0</v>
      </c>
    </row>
    <row r="15" spans="5:137" ht="12.75">
      <c r="E15" s="538" t="str">
        <f>Assets!E$27</f>
        <v>Fixed assets - write-off at operations end</v>
      </c>
      <c r="G15" s="539" t="str">
        <f>Assets!G$27</f>
        <v>EUR 000s</v>
      </c>
      <c r="H15" s="539">
        <f>Assets!H$27</f>
        <v>1.3369572116062045E-10</v>
      </c>
      <c r="J15" s="539">
        <f>Assets!J$27</f>
        <v>0</v>
      </c>
      <c r="K15" s="539">
        <f>Assets!K$27</f>
        <v>0</v>
      </c>
      <c r="L15" s="539">
        <f>Assets!L$27</f>
        <v>0</v>
      </c>
      <c r="M15" s="539">
        <f>Assets!M$27</f>
        <v>0</v>
      </c>
      <c r="N15" s="539">
        <f>Assets!N$27</f>
        <v>0</v>
      </c>
      <c r="O15" s="539">
        <f>Assets!O$27</f>
        <v>0</v>
      </c>
      <c r="P15" s="539">
        <f>Assets!P$27</f>
        <v>0</v>
      </c>
      <c r="Q15" s="539">
        <f>Assets!Q$27</f>
        <v>0</v>
      </c>
      <c r="R15" s="539">
        <f>Assets!R$27</f>
        <v>0</v>
      </c>
      <c r="S15" s="539">
        <f>Assets!S$27</f>
        <v>0</v>
      </c>
      <c r="T15" s="539">
        <f>Assets!T$27</f>
        <v>0</v>
      </c>
      <c r="U15" s="539">
        <f>Assets!U$27</f>
        <v>0</v>
      </c>
      <c r="V15" s="539">
        <f>Assets!V$27</f>
        <v>0</v>
      </c>
      <c r="W15" s="539">
        <f>Assets!W$27</f>
        <v>0</v>
      </c>
      <c r="X15" s="539">
        <f>Assets!X$27</f>
        <v>0</v>
      </c>
      <c r="Y15" s="539">
        <f>Assets!Y$27</f>
        <v>0</v>
      </c>
      <c r="Z15" s="539">
        <f>Assets!Z$27</f>
        <v>0</v>
      </c>
      <c r="AA15" s="539">
        <f>Assets!AA$27</f>
        <v>0</v>
      </c>
      <c r="AB15" s="539">
        <f>Assets!AB$27</f>
        <v>0</v>
      </c>
      <c r="AC15" s="539">
        <f>Assets!AC$27</f>
        <v>0</v>
      </c>
      <c r="AD15" s="539">
        <f>Assets!AD$27</f>
        <v>0</v>
      </c>
      <c r="AE15" s="539">
        <f>Assets!AE$27</f>
        <v>0</v>
      </c>
      <c r="AF15" s="539">
        <f>Assets!AF$27</f>
        <v>0</v>
      </c>
      <c r="AG15" s="539">
        <f>Assets!AG$27</f>
        <v>0</v>
      </c>
      <c r="AH15" s="539">
        <f>Assets!AH$27</f>
        <v>0</v>
      </c>
      <c r="AI15" s="539">
        <f>Assets!AI$27</f>
        <v>0</v>
      </c>
      <c r="AJ15" s="539">
        <f>Assets!AJ$27</f>
        <v>0</v>
      </c>
      <c r="AK15" s="539">
        <f>Assets!AK$27</f>
        <v>0</v>
      </c>
      <c r="AL15" s="539">
        <f>Assets!AL$27</f>
        <v>0</v>
      </c>
      <c r="AM15" s="539">
        <f>Assets!AM$27</f>
        <v>0</v>
      </c>
      <c r="AN15" s="539">
        <f>Assets!AN$27</f>
        <v>0</v>
      </c>
      <c r="AO15" s="539">
        <f>Assets!AO$27</f>
        <v>0</v>
      </c>
      <c r="AP15" s="539">
        <f>Assets!AP$27</f>
        <v>0</v>
      </c>
      <c r="AQ15" s="539">
        <f>Assets!AQ$27</f>
        <v>0</v>
      </c>
      <c r="AR15" s="539">
        <f>Assets!AR$27</f>
        <v>0</v>
      </c>
      <c r="AS15" s="539">
        <f>Assets!AS$27</f>
        <v>0</v>
      </c>
      <c r="AT15" s="539">
        <f>Assets!AT$27</f>
        <v>0</v>
      </c>
      <c r="AU15" s="539">
        <f>Assets!AU$27</f>
        <v>0</v>
      </c>
      <c r="AV15" s="539">
        <f>Assets!AV$27</f>
        <v>0</v>
      </c>
      <c r="AW15" s="539">
        <f>Assets!AW$27</f>
        <v>0</v>
      </c>
      <c r="AX15" s="539">
        <f>Assets!AX$27</f>
        <v>0</v>
      </c>
      <c r="AY15" s="539">
        <f>Assets!AY$27</f>
        <v>0</v>
      </c>
      <c r="AZ15" s="539">
        <f>Assets!AZ$27</f>
        <v>0</v>
      </c>
      <c r="BA15" s="539">
        <f>Assets!BA$27</f>
        <v>0</v>
      </c>
      <c r="BB15" s="539">
        <f>Assets!BB$27</f>
        <v>0</v>
      </c>
      <c r="BC15" s="539">
        <f>Assets!BC$27</f>
        <v>0</v>
      </c>
      <c r="BD15" s="539">
        <f>Assets!BD$27</f>
        <v>0</v>
      </c>
      <c r="BE15" s="539">
        <f>Assets!BE$27</f>
        <v>0</v>
      </c>
      <c r="BF15" s="539">
        <f>Assets!BF$27</f>
        <v>0</v>
      </c>
      <c r="BG15" s="539">
        <f>Assets!BG$27</f>
        <v>0</v>
      </c>
      <c r="BH15" s="539">
        <f>Assets!BH$27</f>
        <v>0</v>
      </c>
      <c r="BI15" s="539">
        <f>Assets!BI$27</f>
        <v>0</v>
      </c>
      <c r="BJ15" s="539">
        <f>Assets!BJ$27</f>
        <v>0</v>
      </c>
      <c r="BK15" s="539">
        <f>Assets!BK$27</f>
        <v>0</v>
      </c>
      <c r="BL15" s="539">
        <f>Assets!BL$27</f>
        <v>0</v>
      </c>
      <c r="BM15" s="539">
        <f>Assets!BM$27</f>
        <v>0</v>
      </c>
      <c r="BN15" s="539">
        <f>Assets!BN$27</f>
        <v>0</v>
      </c>
      <c r="BO15" s="539">
        <f>Assets!BO$27</f>
        <v>0</v>
      </c>
      <c r="BP15" s="539">
        <f>Assets!BP$27</f>
        <v>0</v>
      </c>
      <c r="BQ15" s="539">
        <f>Assets!BQ$27</f>
        <v>0</v>
      </c>
      <c r="BR15" s="539">
        <f>Assets!BR$27</f>
        <v>0</v>
      </c>
      <c r="BS15" s="539">
        <f>Assets!BS$27</f>
        <v>0</v>
      </c>
      <c r="BT15" s="539">
        <f>Assets!BT$27</f>
        <v>0</v>
      </c>
      <c r="BU15" s="539">
        <f>Assets!BU$27</f>
        <v>0</v>
      </c>
      <c r="BV15" s="539">
        <f>Assets!BV$27</f>
        <v>0</v>
      </c>
      <c r="BW15" s="539">
        <f>Assets!BW$27</f>
        <v>0</v>
      </c>
      <c r="BX15" s="539">
        <f>Assets!BX$27</f>
        <v>0</v>
      </c>
      <c r="BY15" s="539">
        <f>Assets!BY$27</f>
        <v>0</v>
      </c>
      <c r="BZ15" s="539">
        <f>Assets!BZ$27</f>
        <v>0</v>
      </c>
      <c r="CA15" s="539">
        <f>Assets!CA$27</f>
        <v>0</v>
      </c>
      <c r="CB15" s="539">
        <f>Assets!CB$27</f>
        <v>0</v>
      </c>
      <c r="CC15" s="539">
        <f>Assets!CC$27</f>
        <v>0</v>
      </c>
      <c r="CD15" s="539">
        <f>Assets!CD$27</f>
        <v>0</v>
      </c>
      <c r="CE15" s="539">
        <f>Assets!CE$27</f>
        <v>0</v>
      </c>
      <c r="CF15" s="539">
        <f>Assets!CF$27</f>
        <v>0</v>
      </c>
      <c r="CG15" s="539">
        <f>Assets!CG$27</f>
        <v>0</v>
      </c>
      <c r="CH15" s="539">
        <f>Assets!CH$27</f>
        <v>0</v>
      </c>
      <c r="CI15" s="539">
        <f>Assets!CI$27</f>
        <v>0</v>
      </c>
      <c r="CJ15" s="539">
        <f>Assets!CJ$27</f>
        <v>0</v>
      </c>
      <c r="CK15" s="539">
        <f>Assets!CK$27</f>
        <v>0</v>
      </c>
      <c r="CL15" s="539">
        <f>Assets!CL$27</f>
        <v>0</v>
      </c>
      <c r="CM15" s="539">
        <f>Assets!CM$27</f>
        <v>0</v>
      </c>
      <c r="CN15" s="539">
        <f>Assets!CN$27</f>
        <v>0</v>
      </c>
      <c r="CO15" s="539">
        <f>Assets!CO$27</f>
        <v>0</v>
      </c>
      <c r="CP15" s="539">
        <f>Assets!CP$27</f>
        <v>0</v>
      </c>
      <c r="CQ15" s="539">
        <f>Assets!CQ$27</f>
        <v>0</v>
      </c>
      <c r="CR15" s="539">
        <f>Assets!CR$27</f>
        <v>0</v>
      </c>
      <c r="CS15" s="539">
        <f>Assets!CS$27</f>
        <v>0</v>
      </c>
      <c r="CT15" s="539">
        <f>Assets!CT$27</f>
        <v>0</v>
      </c>
      <c r="CU15" s="539">
        <f>Assets!CU$27</f>
        <v>0</v>
      </c>
      <c r="CV15" s="539">
        <f>Assets!CV$27</f>
        <v>0</v>
      </c>
      <c r="CW15" s="539">
        <f>Assets!CW$27</f>
        <v>0</v>
      </c>
      <c r="CX15" s="539">
        <f>Assets!CX$27</f>
        <v>0</v>
      </c>
      <c r="CY15" s="539">
        <f>Assets!CY$27</f>
        <v>0</v>
      </c>
      <c r="CZ15" s="539">
        <f>Assets!CZ$27</f>
        <v>0</v>
      </c>
      <c r="DA15" s="539">
        <f>Assets!DA$27</f>
        <v>0</v>
      </c>
      <c r="DB15" s="539">
        <f>Assets!DB$27</f>
        <v>0</v>
      </c>
      <c r="DC15" s="539">
        <f>Assets!DC$27</f>
        <v>0</v>
      </c>
      <c r="DD15" s="539">
        <f>Assets!DD$27</f>
        <v>0</v>
      </c>
      <c r="DE15" s="539">
        <f>Assets!DE$27</f>
        <v>0</v>
      </c>
      <c r="DF15" s="539">
        <f>Assets!DF$27</f>
        <v>0</v>
      </c>
      <c r="DG15" s="539">
        <f>Assets!DG$27</f>
        <v>0</v>
      </c>
      <c r="DH15" s="539">
        <f>Assets!DH$27</f>
        <v>0</v>
      </c>
      <c r="DI15" s="539">
        <f>Assets!DI$27</f>
        <v>0</v>
      </c>
      <c r="DJ15" s="539">
        <f>Assets!DJ$27</f>
        <v>0</v>
      </c>
      <c r="DK15" s="539">
        <f>Assets!DK$27</f>
        <v>0</v>
      </c>
      <c r="DL15" s="539">
        <f>Assets!DL$27</f>
        <v>0</v>
      </c>
      <c r="DM15" s="539">
        <f>Assets!DM$27</f>
        <v>0</v>
      </c>
      <c r="DN15" s="539">
        <f>Assets!DN$27</f>
        <v>0</v>
      </c>
      <c r="DO15" s="539">
        <f>Assets!DO$27</f>
        <v>0</v>
      </c>
      <c r="DP15" s="539">
        <f>Assets!DP$27</f>
        <v>0</v>
      </c>
      <c r="DQ15" s="539">
        <f>Assets!DQ$27</f>
        <v>0</v>
      </c>
      <c r="DR15" s="539">
        <f>Assets!DR$27</f>
        <v>0</v>
      </c>
      <c r="DS15" s="539">
        <f>Assets!DS$27</f>
        <v>0</v>
      </c>
      <c r="DT15" s="539">
        <f>Assets!DT$27</f>
        <v>0</v>
      </c>
      <c r="DU15" s="539">
        <f>Assets!DU$27</f>
        <v>0</v>
      </c>
      <c r="DV15" s="539">
        <f>Assets!DV$27</f>
        <v>0</v>
      </c>
      <c r="DW15" s="539">
        <f>Assets!DW$27</f>
        <v>0</v>
      </c>
      <c r="DX15" s="539">
        <f>Assets!DX$27</f>
        <v>0</v>
      </c>
      <c r="DY15" s="539">
        <f>Assets!DY$27</f>
        <v>0</v>
      </c>
      <c r="DZ15" s="539">
        <f>Assets!DZ$27</f>
        <v>0</v>
      </c>
      <c r="EA15" s="539">
        <f>Assets!EA$27</f>
        <v>0</v>
      </c>
      <c r="EB15" s="539">
        <f>Assets!EB$27</f>
        <v>0</v>
      </c>
      <c r="EC15" s="539">
        <f>Assets!EC$27</f>
        <v>1.3369572116062045E-10</v>
      </c>
      <c r="ED15" s="539">
        <f>Assets!ED$27</f>
        <v>0</v>
      </c>
      <c r="EE15" s="539">
        <f>Assets!EE$27</f>
        <v>0</v>
      </c>
      <c r="EF15" s="539">
        <f>Assets!EF$27</f>
        <v>0</v>
      </c>
      <c r="EG15" s="539">
        <f>Assets!EG$27</f>
        <v>0</v>
      </c>
    </row>
    <row r="16" spans="5:137" ht="12.75">
      <c r="E16" s="538" t="str">
        <f>Assets!E$69</f>
        <v>Financing costs - amortisation</v>
      </c>
      <c r="G16" s="539" t="str">
        <f>Assets!G$69</f>
        <v>EUR 000s</v>
      </c>
      <c r="H16" s="539">
        <f>Assets!H$69</f>
        <v>16238.008112575733</v>
      </c>
      <c r="J16" s="539">
        <f>Assets!J$69</f>
        <v>0</v>
      </c>
      <c r="K16" s="539">
        <f>Assets!K$69</f>
        <v>0</v>
      </c>
      <c r="L16" s="539">
        <f>Assets!L$69</f>
        <v>0</v>
      </c>
      <c r="M16" s="539">
        <f>Assets!M$69</f>
        <v>0</v>
      </c>
      <c r="N16" s="539">
        <f>Assets!N$69</f>
        <v>0</v>
      </c>
      <c r="O16" s="539">
        <f>Assets!O$69</f>
        <v>0</v>
      </c>
      <c r="P16" s="539">
        <f>Assets!P$69</f>
        <v>0</v>
      </c>
      <c r="Q16" s="539">
        <f>Assets!Q$69</f>
        <v>0</v>
      </c>
      <c r="R16" s="539">
        <f>Assets!R$69</f>
        <v>0</v>
      </c>
      <c r="S16" s="539">
        <f>Assets!S$69</f>
        <v>0</v>
      </c>
      <c r="T16" s="539">
        <f>Assets!T$69</f>
        <v>0</v>
      </c>
      <c r="U16" s="539">
        <f>Assets!U$69</f>
        <v>0</v>
      </c>
      <c r="V16" s="539">
        <f>Assets!V$69</f>
        <v>0</v>
      </c>
      <c r="W16" s="539">
        <f>Assets!W$69</f>
        <v>0</v>
      </c>
      <c r="X16" s="539">
        <f>Assets!X$69</f>
        <v>0</v>
      </c>
      <c r="Y16" s="539">
        <f>Assets!Y$69</f>
        <v>0</v>
      </c>
      <c r="Z16" s="539">
        <f>Assets!Z$69</f>
        <v>0</v>
      </c>
      <c r="AA16" s="539">
        <f>Assets!AA$69</f>
        <v>0</v>
      </c>
      <c r="AB16" s="539">
        <f>Assets!AB$69</f>
        <v>0</v>
      </c>
      <c r="AC16" s="539">
        <f>Assets!AC$69</f>
        <v>0</v>
      </c>
      <c r="AD16" s="539">
        <f>Assets!AD$69</f>
        <v>0</v>
      </c>
      <c r="AE16" s="539">
        <f>Assets!AE$69</f>
        <v>0</v>
      </c>
      <c r="AF16" s="539">
        <f>Assets!AF$69</f>
        <v>0</v>
      </c>
      <c r="AG16" s="539">
        <f>Assets!AG$69</f>
        <v>0</v>
      </c>
      <c r="AH16" s="539">
        <f>Assets!AH$69</f>
        <v>222.30312292847819</v>
      </c>
      <c r="AI16" s="539">
        <f>Assets!AI$69</f>
        <v>224.77315762768353</v>
      </c>
      <c r="AJ16" s="539">
        <f>Assets!AJ$69</f>
        <v>227.24319232688882</v>
      </c>
      <c r="AK16" s="539">
        <f>Assets!AK$69</f>
        <v>227.24319232688882</v>
      </c>
      <c r="AL16" s="539">
        <f>Assets!AL$69</f>
        <v>222.30312292847819</v>
      </c>
      <c r="AM16" s="539">
        <f>Assets!AM$69</f>
        <v>224.77315762768353</v>
      </c>
      <c r="AN16" s="539">
        <f>Assets!AN$69</f>
        <v>227.24319232688882</v>
      </c>
      <c r="AO16" s="539">
        <f>Assets!AO$69</f>
        <v>227.24319232688882</v>
      </c>
      <c r="AP16" s="539">
        <f>Assets!AP$69</f>
        <v>222.30312292847819</v>
      </c>
      <c r="AQ16" s="539">
        <f>Assets!AQ$69</f>
        <v>224.77315762768353</v>
      </c>
      <c r="AR16" s="539">
        <f>Assets!AR$69</f>
        <v>227.24319232688882</v>
      </c>
      <c r="AS16" s="539">
        <f>Assets!AS$69</f>
        <v>227.24319232688882</v>
      </c>
      <c r="AT16" s="539">
        <f>Assets!AT$69</f>
        <v>224.77315762768353</v>
      </c>
      <c r="AU16" s="539">
        <f>Assets!AU$69</f>
        <v>224.77315762768353</v>
      </c>
      <c r="AV16" s="539">
        <f>Assets!AV$69</f>
        <v>227.24319232688882</v>
      </c>
      <c r="AW16" s="539">
        <f>Assets!AW$69</f>
        <v>227.24319232688882</v>
      </c>
      <c r="AX16" s="539">
        <f>Assets!AX$69</f>
        <v>222.30312292847819</v>
      </c>
      <c r="AY16" s="539">
        <f>Assets!AY$69</f>
        <v>224.77315762768353</v>
      </c>
      <c r="AZ16" s="539">
        <f>Assets!AZ$69</f>
        <v>227.24319232688882</v>
      </c>
      <c r="BA16" s="539">
        <f>Assets!BA$69</f>
        <v>227.24319232688882</v>
      </c>
      <c r="BB16" s="539">
        <f>Assets!BB$69</f>
        <v>222.30312292847819</v>
      </c>
      <c r="BC16" s="539">
        <f>Assets!BC$69</f>
        <v>224.77315762768353</v>
      </c>
      <c r="BD16" s="539">
        <f>Assets!BD$69</f>
        <v>227.24319232688882</v>
      </c>
      <c r="BE16" s="539">
        <f>Assets!BE$69</f>
        <v>227.24319232688882</v>
      </c>
      <c r="BF16" s="539">
        <f>Assets!BF$69</f>
        <v>222.30312292847819</v>
      </c>
      <c r="BG16" s="539">
        <f>Assets!BG$69</f>
        <v>224.77315762768353</v>
      </c>
      <c r="BH16" s="539">
        <f>Assets!BH$69</f>
        <v>227.24319232688882</v>
      </c>
      <c r="BI16" s="539">
        <f>Assets!BI$69</f>
        <v>227.24319232688882</v>
      </c>
      <c r="BJ16" s="539">
        <f>Assets!BJ$69</f>
        <v>224.77315762768353</v>
      </c>
      <c r="BK16" s="539">
        <f>Assets!BK$69</f>
        <v>224.77315762768353</v>
      </c>
      <c r="BL16" s="539">
        <f>Assets!BL$69</f>
        <v>227.24319232688882</v>
      </c>
      <c r="BM16" s="539">
        <f>Assets!BM$69</f>
        <v>227.24319232688882</v>
      </c>
      <c r="BN16" s="539">
        <f>Assets!BN$69</f>
        <v>222.30312292847819</v>
      </c>
      <c r="BO16" s="539">
        <f>Assets!BO$69</f>
        <v>224.77315762768353</v>
      </c>
      <c r="BP16" s="539">
        <f>Assets!BP$69</f>
        <v>227.24319232688882</v>
      </c>
      <c r="BQ16" s="539">
        <f>Assets!BQ$69</f>
        <v>227.24319232688882</v>
      </c>
      <c r="BR16" s="539">
        <f>Assets!BR$69</f>
        <v>222.30312292847819</v>
      </c>
      <c r="BS16" s="539">
        <f>Assets!BS$69</f>
        <v>224.77315762768353</v>
      </c>
      <c r="BT16" s="539">
        <f>Assets!BT$69</f>
        <v>227.24319232688882</v>
      </c>
      <c r="BU16" s="539">
        <f>Assets!BU$69</f>
        <v>227.24319232688882</v>
      </c>
      <c r="BV16" s="539">
        <f>Assets!BV$69</f>
        <v>222.30312292847819</v>
      </c>
      <c r="BW16" s="539">
        <f>Assets!BW$69</f>
        <v>224.77315762768353</v>
      </c>
      <c r="BX16" s="539">
        <f>Assets!BX$69</f>
        <v>227.24319232688882</v>
      </c>
      <c r="BY16" s="539">
        <f>Assets!BY$69</f>
        <v>227.24319232688882</v>
      </c>
      <c r="BZ16" s="539">
        <f>Assets!BZ$69</f>
        <v>224.77315762768353</v>
      </c>
      <c r="CA16" s="539">
        <f>Assets!CA$69</f>
        <v>224.77315762768353</v>
      </c>
      <c r="CB16" s="539">
        <f>Assets!CB$69</f>
        <v>227.24319232688882</v>
      </c>
      <c r="CC16" s="539">
        <f>Assets!CC$69</f>
        <v>227.24319232688882</v>
      </c>
      <c r="CD16" s="539">
        <f>Assets!CD$69</f>
        <v>222.30312292847819</v>
      </c>
      <c r="CE16" s="539">
        <f>Assets!CE$69</f>
        <v>224.77315762768353</v>
      </c>
      <c r="CF16" s="539">
        <f>Assets!CF$69</f>
        <v>227.24319232688882</v>
      </c>
      <c r="CG16" s="539">
        <f>Assets!CG$69</f>
        <v>227.24319232688882</v>
      </c>
      <c r="CH16" s="539">
        <f>Assets!CH$69</f>
        <v>222.30312292847819</v>
      </c>
      <c r="CI16" s="539">
        <f>Assets!CI$69</f>
        <v>224.77315762768353</v>
      </c>
      <c r="CJ16" s="539">
        <f>Assets!CJ$69</f>
        <v>227.24319232688882</v>
      </c>
      <c r="CK16" s="539">
        <f>Assets!CK$69</f>
        <v>227.24319232688882</v>
      </c>
      <c r="CL16" s="539">
        <f>Assets!CL$69</f>
        <v>222.30312292847819</v>
      </c>
      <c r="CM16" s="539">
        <f>Assets!CM$69</f>
        <v>224.77315762768353</v>
      </c>
      <c r="CN16" s="539">
        <f>Assets!CN$69</f>
        <v>227.24319232688882</v>
      </c>
      <c r="CO16" s="539">
        <f>Assets!CO$69</f>
        <v>227.24319232688882</v>
      </c>
      <c r="CP16" s="539">
        <f>Assets!CP$69</f>
        <v>224.77315762768353</v>
      </c>
      <c r="CQ16" s="539">
        <f>Assets!CQ$69</f>
        <v>224.77315762768353</v>
      </c>
      <c r="CR16" s="539">
        <f>Assets!CR$69</f>
        <v>227.24319232688882</v>
      </c>
      <c r="CS16" s="539">
        <f>Assets!CS$69</f>
        <v>227.24319232688882</v>
      </c>
      <c r="CT16" s="539">
        <f>Assets!CT$69</f>
        <v>222.30312292847819</v>
      </c>
      <c r="CU16" s="539">
        <f>Assets!CU$69</f>
        <v>224.77315762768353</v>
      </c>
      <c r="CV16" s="539">
        <f>Assets!CV$69</f>
        <v>227.24319232688882</v>
      </c>
      <c r="CW16" s="539">
        <f>Assets!CW$69</f>
        <v>227.24319232688882</v>
      </c>
      <c r="CX16" s="539">
        <f>Assets!CX$69</f>
        <v>222.30312292847819</v>
      </c>
      <c r="CY16" s="539">
        <f>Assets!CY$69</f>
        <v>224.77315762768353</v>
      </c>
      <c r="CZ16" s="539">
        <f>Assets!CZ$69</f>
        <v>227.24319232688882</v>
      </c>
      <c r="DA16" s="539">
        <f>Assets!DA$69</f>
        <v>227.24319232688882</v>
      </c>
      <c r="DB16" s="539">
        <f>Assets!DB$69</f>
        <v>0</v>
      </c>
      <c r="DC16" s="539">
        <f>Assets!DC$69</f>
        <v>0</v>
      </c>
      <c r="DD16" s="539">
        <f>Assets!DD$69</f>
        <v>0</v>
      </c>
      <c r="DE16" s="539">
        <f>Assets!DE$69</f>
        <v>0</v>
      </c>
      <c r="DF16" s="539">
        <f>Assets!DF$69</f>
        <v>0</v>
      </c>
      <c r="DG16" s="539">
        <f>Assets!DG$69</f>
        <v>0</v>
      </c>
      <c r="DH16" s="539">
        <f>Assets!DH$69</f>
        <v>0</v>
      </c>
      <c r="DI16" s="539">
        <f>Assets!DI$69</f>
        <v>0</v>
      </c>
      <c r="DJ16" s="539">
        <f>Assets!DJ$69</f>
        <v>0</v>
      </c>
      <c r="DK16" s="539">
        <f>Assets!DK$69</f>
        <v>0</v>
      </c>
      <c r="DL16" s="539">
        <f>Assets!DL$69</f>
        <v>0</v>
      </c>
      <c r="DM16" s="539">
        <f>Assets!DM$69</f>
        <v>0</v>
      </c>
      <c r="DN16" s="539">
        <f>Assets!DN$69</f>
        <v>0</v>
      </c>
      <c r="DO16" s="539">
        <f>Assets!DO$69</f>
        <v>0</v>
      </c>
      <c r="DP16" s="539">
        <f>Assets!DP$69</f>
        <v>0</v>
      </c>
      <c r="DQ16" s="539">
        <f>Assets!DQ$69</f>
        <v>0</v>
      </c>
      <c r="DR16" s="539">
        <f>Assets!DR$69</f>
        <v>0</v>
      </c>
      <c r="DS16" s="539">
        <f>Assets!DS$69</f>
        <v>0</v>
      </c>
      <c r="DT16" s="539">
        <f>Assets!DT$69</f>
        <v>0</v>
      </c>
      <c r="DU16" s="539">
        <f>Assets!DU$69</f>
        <v>0</v>
      </c>
      <c r="DV16" s="539">
        <f>Assets!DV$69</f>
        <v>0</v>
      </c>
      <c r="DW16" s="539">
        <f>Assets!DW$69</f>
        <v>0</v>
      </c>
      <c r="DX16" s="539">
        <f>Assets!DX$69</f>
        <v>0</v>
      </c>
      <c r="DY16" s="539">
        <f>Assets!DY$69</f>
        <v>0</v>
      </c>
      <c r="DZ16" s="539">
        <f>Assets!DZ$69</f>
        <v>0</v>
      </c>
      <c r="EA16" s="539">
        <f>Assets!EA$69</f>
        <v>0</v>
      </c>
      <c r="EB16" s="539">
        <f>Assets!EB$69</f>
        <v>0</v>
      </c>
      <c r="EC16" s="539">
        <f>Assets!EC$69</f>
        <v>0</v>
      </c>
      <c r="ED16" s="539">
        <f>Assets!ED$69</f>
        <v>0</v>
      </c>
      <c r="EE16" s="539">
        <f>Assets!EE$69</f>
        <v>0</v>
      </c>
      <c r="EF16" s="539">
        <f>Assets!EF$69</f>
        <v>0</v>
      </c>
      <c r="EG16" s="539">
        <f>Assets!EG$69</f>
        <v>0</v>
      </c>
    </row>
    <row r="17" spans="5:137" ht="12.75">
      <c r="E17" s="551" t="s">
        <v>510</v>
      </c>
      <c r="F17" s="552"/>
      <c r="G17" s="552" t="s">
        <v>30</v>
      </c>
      <c r="H17" s="552">
        <f>SUM(J17:EG17)</f>
        <v>773366.74345127435</v>
      </c>
      <c r="I17" s="552"/>
      <c r="J17" s="552">
        <f t="shared" si="1" ref="J17:EG17">J12-J14-J15-J16</f>
        <v>0</v>
      </c>
      <c r="K17" s="552">
        <f t="shared" si="1"/>
        <v>0</v>
      </c>
      <c r="L17" s="552">
        <f t="shared" si="1"/>
        <v>0</v>
      </c>
      <c r="M17" s="552">
        <f t="shared" si="1"/>
        <v>0</v>
      </c>
      <c r="N17" s="552">
        <f t="shared" si="1"/>
        <v>0</v>
      </c>
      <c r="O17" s="552">
        <f t="shared" si="1"/>
        <v>0</v>
      </c>
      <c r="P17" s="552">
        <f t="shared" si="1"/>
        <v>0</v>
      </c>
      <c r="Q17" s="552">
        <f t="shared" si="1"/>
        <v>0</v>
      </c>
      <c r="R17" s="552">
        <f t="shared" si="1"/>
        <v>0</v>
      </c>
      <c r="S17" s="552">
        <f t="shared" si="1"/>
        <v>0</v>
      </c>
      <c r="T17" s="552">
        <f t="shared" si="1"/>
        <v>0</v>
      </c>
      <c r="U17" s="552">
        <f t="shared" si="1"/>
        <v>0</v>
      </c>
      <c r="V17" s="552">
        <f t="shared" si="1"/>
        <v>0</v>
      </c>
      <c r="W17" s="552">
        <f t="shared" si="1"/>
        <v>0</v>
      </c>
      <c r="X17" s="552">
        <f t="shared" si="1"/>
        <v>0</v>
      </c>
      <c r="Y17" s="552">
        <f t="shared" si="1"/>
        <v>0</v>
      </c>
      <c r="Z17" s="552">
        <f t="shared" si="1"/>
        <v>0</v>
      </c>
      <c r="AA17" s="552">
        <f t="shared" si="1"/>
        <v>0</v>
      </c>
      <c r="AB17" s="552">
        <f t="shared" si="1"/>
        <v>0</v>
      </c>
      <c r="AC17" s="552">
        <f t="shared" si="1"/>
        <v>0</v>
      </c>
      <c r="AD17" s="552">
        <f t="shared" si="1"/>
        <v>0</v>
      </c>
      <c r="AE17" s="552">
        <f t="shared" si="1"/>
        <v>0</v>
      </c>
      <c r="AF17" s="552">
        <f t="shared" si="1"/>
        <v>0</v>
      </c>
      <c r="AG17" s="552">
        <f t="shared" si="1"/>
        <v>0</v>
      </c>
      <c r="AH17" s="552">
        <f t="shared" si="1"/>
        <v>5858.0728145715211</v>
      </c>
      <c r="AI17" s="552">
        <f t="shared" si="1"/>
        <v>5855.6027798723153</v>
      </c>
      <c r="AJ17" s="552">
        <f t="shared" si="1"/>
        <v>5853.1327451731104</v>
      </c>
      <c r="AK17" s="552">
        <f t="shared" si="1"/>
        <v>5853.1327451731104</v>
      </c>
      <c r="AL17" s="552">
        <f t="shared" si="1"/>
        <v>6016.0975130090219</v>
      </c>
      <c r="AM17" s="552">
        <f t="shared" si="1"/>
        <v>6013.6274783098161</v>
      </c>
      <c r="AN17" s="552">
        <f t="shared" si="1"/>
        <v>6011.1574436106112</v>
      </c>
      <c r="AO17" s="552">
        <f t="shared" si="1"/>
        <v>6011.1574436106112</v>
      </c>
      <c r="AP17" s="552">
        <f t="shared" si="1"/>
        <v>6176.7190661574596</v>
      </c>
      <c r="AQ17" s="552">
        <f t="shared" si="1"/>
        <v>6174.2490314582537</v>
      </c>
      <c r="AR17" s="552">
        <f t="shared" si="1"/>
        <v>6171.7789967590488</v>
      </c>
      <c r="AS17" s="552">
        <f t="shared" si="1"/>
        <v>6171.7789967590488</v>
      </c>
      <c r="AT17" s="552">
        <f t="shared" si="1"/>
        <v>6337.5032962429032</v>
      </c>
      <c r="AU17" s="552">
        <f t="shared" si="1"/>
        <v>6337.5032962429032</v>
      </c>
      <c r="AV17" s="552">
        <f t="shared" si="1"/>
        <v>6335.0332615436982</v>
      </c>
      <c r="AW17" s="552">
        <f t="shared" si="1"/>
        <v>6335.0332615436982</v>
      </c>
      <c r="AX17" s="552">
        <f t="shared" si="1"/>
        <v>4766.3562924275639</v>
      </c>
      <c r="AY17" s="552">
        <f t="shared" si="1"/>
        <v>4763.886257728358</v>
      </c>
      <c r="AZ17" s="552">
        <f t="shared" si="1"/>
        <v>4761.4162230291531</v>
      </c>
      <c r="BA17" s="552">
        <f t="shared" si="1"/>
        <v>4761.4162230291531</v>
      </c>
      <c r="BB17" s="552">
        <f t="shared" si="1"/>
        <v>6674.5246921913249</v>
      </c>
      <c r="BC17" s="552">
        <f t="shared" si="1"/>
        <v>6672.0546574921191</v>
      </c>
      <c r="BD17" s="552">
        <f t="shared" si="1"/>
        <v>6669.5846227929142</v>
      </c>
      <c r="BE17" s="552">
        <f t="shared" si="1"/>
        <v>6669.5846227929142</v>
      </c>
      <c r="BF17" s="552">
        <f t="shared" si="1"/>
        <v>6845.8947463558825</v>
      </c>
      <c r="BG17" s="552">
        <f t="shared" si="1"/>
        <v>6843.4247116566767</v>
      </c>
      <c r="BH17" s="552">
        <f t="shared" si="1"/>
        <v>6840.9546769574717</v>
      </c>
      <c r="BI17" s="552">
        <f t="shared" si="1"/>
        <v>6840.9546769574717</v>
      </c>
      <c r="BJ17" s="552">
        <f t="shared" si="1"/>
        <v>7017.5733747344857</v>
      </c>
      <c r="BK17" s="552">
        <f t="shared" si="1"/>
        <v>7017.5733747344857</v>
      </c>
      <c r="BL17" s="552">
        <f t="shared" si="1"/>
        <v>7015.1033400352808</v>
      </c>
      <c r="BM17" s="552">
        <f t="shared" si="1"/>
        <v>7015.1033400352808</v>
      </c>
      <c r="BN17" s="552">
        <f t="shared" si="1"/>
        <v>7197.0077277852752</v>
      </c>
      <c r="BO17" s="552">
        <f t="shared" si="1"/>
        <v>7194.5376930860693</v>
      </c>
      <c r="BP17" s="552">
        <f t="shared" si="1"/>
        <v>7192.0676583868644</v>
      </c>
      <c r="BQ17" s="552">
        <f t="shared" si="1"/>
        <v>7192.0676583868644</v>
      </c>
      <c r="BR17" s="552">
        <f t="shared" si="1"/>
        <v>5408.6949696706115</v>
      </c>
      <c r="BS17" s="552">
        <f t="shared" si="1"/>
        <v>5406.2249349714057</v>
      </c>
      <c r="BT17" s="552">
        <f t="shared" si="1"/>
        <v>5403.7549002722008</v>
      </c>
      <c r="BU17" s="552">
        <f t="shared" si="1"/>
        <v>5403.7549002722008</v>
      </c>
      <c r="BV17" s="552">
        <f t="shared" si="1"/>
        <v>7559.5325475471045</v>
      </c>
      <c r="BW17" s="552">
        <f t="shared" si="1"/>
        <v>7557.0625128478987</v>
      </c>
      <c r="BX17" s="552">
        <f t="shared" si="1"/>
        <v>7554.5924781486938</v>
      </c>
      <c r="BY17" s="552">
        <f t="shared" si="1"/>
        <v>7554.5924781486938</v>
      </c>
      <c r="BZ17" s="552">
        <f t="shared" si="1"/>
        <v>7742.6981044687745</v>
      </c>
      <c r="CA17" s="552">
        <f t="shared" si="1"/>
        <v>7742.6981044687745</v>
      </c>
      <c r="CB17" s="552">
        <f t="shared" si="1"/>
        <v>7740.2280697695696</v>
      </c>
      <c r="CC17" s="552">
        <f t="shared" si="1"/>
        <v>7740.2280697695696</v>
      </c>
      <c r="CD17" s="552">
        <f t="shared" si="1"/>
        <v>7933.7695420211376</v>
      </c>
      <c r="CE17" s="552">
        <f t="shared" si="1"/>
        <v>7931.2995073219317</v>
      </c>
      <c r="CF17" s="552">
        <f t="shared" si="1"/>
        <v>7928.8294726227268</v>
      </c>
      <c r="CG17" s="552">
        <f t="shared" si="1"/>
        <v>7928.8294726227268</v>
      </c>
      <c r="CH17" s="552">
        <f t="shared" si="1"/>
        <v>8125.3747265145439</v>
      </c>
      <c r="CI17" s="552">
        <f t="shared" si="1"/>
        <v>8122.9046918153381</v>
      </c>
      <c r="CJ17" s="552">
        <f t="shared" si="1"/>
        <v>8120.4346571161332</v>
      </c>
      <c r="CK17" s="552">
        <f t="shared" si="1"/>
        <v>8120.4346571161332</v>
      </c>
      <c r="CL17" s="552">
        <f t="shared" si="1"/>
        <v>6093.2633776290322</v>
      </c>
      <c r="CM17" s="552">
        <f t="shared" si="1"/>
        <v>6090.7933429298264</v>
      </c>
      <c r="CN17" s="552">
        <f t="shared" si="1"/>
        <v>6088.3233082306215</v>
      </c>
      <c r="CO17" s="552">
        <f t="shared" si="1"/>
        <v>6088.3233082306215</v>
      </c>
      <c r="CP17" s="552">
        <f t="shared" si="1"/>
        <v>8515.2790003324826</v>
      </c>
      <c r="CQ17" s="552">
        <f t="shared" si="1"/>
        <v>8515.2790003324826</v>
      </c>
      <c r="CR17" s="552">
        <f t="shared" si="1"/>
        <v>8512.8089656332777</v>
      </c>
      <c r="CS17" s="552">
        <f t="shared" si="1"/>
        <v>8512.8089656332777</v>
      </c>
      <c r="CT17" s="552">
        <f t="shared" si="1"/>
        <v>8718.5947675138159</v>
      </c>
      <c r="CU17" s="552">
        <f t="shared" si="1"/>
        <v>8716.124732814611</v>
      </c>
      <c r="CV17" s="552">
        <f t="shared" si="1"/>
        <v>8713.6546981154061</v>
      </c>
      <c r="CW17" s="552">
        <f t="shared" si="1"/>
        <v>8713.6546981154061</v>
      </c>
      <c r="CX17" s="552">
        <f t="shared" si="1"/>
        <v>8922.5974664016412</v>
      </c>
      <c r="CY17" s="552">
        <f t="shared" si="1"/>
        <v>8920.1274317024363</v>
      </c>
      <c r="CZ17" s="552">
        <f t="shared" si="1"/>
        <v>8917.6573970032314</v>
      </c>
      <c r="DA17" s="552">
        <f t="shared" si="1"/>
        <v>8917.6573970032314</v>
      </c>
      <c r="DB17" s="552">
        <f t="shared" si="1"/>
        <v>9352.098796156346</v>
      </c>
      <c r="DC17" s="552">
        <f t="shared" si="1"/>
        <v>9352.098796156346</v>
      </c>
      <c r="DD17" s="552">
        <f t="shared" si="1"/>
        <v>9352.098796156346</v>
      </c>
      <c r="DE17" s="552">
        <f t="shared" si="1"/>
        <v>9352.098796156346</v>
      </c>
      <c r="DF17" s="552">
        <f t="shared" si="1"/>
        <v>7043.1583384202968</v>
      </c>
      <c r="DG17" s="552">
        <f t="shared" si="1"/>
        <v>7043.1583384202968</v>
      </c>
      <c r="DH17" s="552">
        <f t="shared" si="1"/>
        <v>7043.1583384202968</v>
      </c>
      <c r="DI17" s="552">
        <f t="shared" si="1"/>
        <v>7043.1583384202968</v>
      </c>
      <c r="DJ17" s="552">
        <f t="shared" si="1"/>
        <v>9776.2361950914255</v>
      </c>
      <c r="DK17" s="552">
        <f t="shared" si="1"/>
        <v>9776.2361950914255</v>
      </c>
      <c r="DL17" s="552">
        <f t="shared" si="1"/>
        <v>9776.2361950914255</v>
      </c>
      <c r="DM17" s="552">
        <f t="shared" si="1"/>
        <v>9776.2361950914255</v>
      </c>
      <c r="DN17" s="552">
        <f t="shared" si="1"/>
        <v>9993.2527069352709</v>
      </c>
      <c r="DO17" s="552">
        <f t="shared" si="1"/>
        <v>9993.2527069352709</v>
      </c>
      <c r="DP17" s="552">
        <f t="shared" si="1"/>
        <v>9993.2527069352709</v>
      </c>
      <c r="DQ17" s="552">
        <f t="shared" si="1"/>
        <v>9993.2527069352709</v>
      </c>
      <c r="DR17" s="552">
        <f t="shared" si="1"/>
        <v>10213.619324751488</v>
      </c>
      <c r="DS17" s="552">
        <f t="shared" si="1"/>
        <v>10213.619324751488</v>
      </c>
      <c r="DT17" s="552">
        <f t="shared" si="1"/>
        <v>10213.619324751488</v>
      </c>
      <c r="DU17" s="552">
        <f t="shared" si="1"/>
        <v>10213.619324751488</v>
      </c>
      <c r="DV17" s="552">
        <f t="shared" si="1"/>
        <v>10437.374702359024</v>
      </c>
      <c r="DW17" s="552">
        <f t="shared" si="1"/>
        <v>10437.374702359024</v>
      </c>
      <c r="DX17" s="552">
        <f t="shared" si="1"/>
        <v>10437.374702359024</v>
      </c>
      <c r="DY17" s="552">
        <f t="shared" si="1"/>
        <v>10437.374702359024</v>
      </c>
      <c r="DZ17" s="552">
        <f t="shared" si="1"/>
        <v>10664.557450164866</v>
      </c>
      <c r="EA17" s="552">
        <f t="shared" si="1"/>
        <v>10664.557450164866</v>
      </c>
      <c r="EB17" s="552">
        <f t="shared" si="1"/>
        <v>10664.557450164866</v>
      </c>
      <c r="EC17" s="552">
        <f t="shared" si="1"/>
        <v>10664.557450164732</v>
      </c>
      <c r="ED17" s="552">
        <f t="shared" si="1"/>
        <v>0</v>
      </c>
      <c r="EE17" s="552">
        <f t="shared" si="1"/>
        <v>0</v>
      </c>
      <c r="EF17" s="552">
        <f t="shared" si="1"/>
        <v>0</v>
      </c>
      <c r="EG17" s="552">
        <f t="shared" si="1"/>
        <v>0</v>
      </c>
    </row>
    <row r="19" spans="5:137" ht="12.75">
      <c r="E19" s="538" t="str">
        <f>Cons!E$96</f>
        <v>VAT facility - interest in operations</v>
      </c>
      <c r="G19" s="539" t="str">
        <f>Cons!G$96</f>
        <v>EUR 000s</v>
      </c>
      <c r="H19" s="539">
        <f>Cons!H$96</f>
        <v>33.995958904109585</v>
      </c>
      <c r="J19" s="539">
        <f>Cons!J$96</f>
        <v>0</v>
      </c>
      <c r="K19" s="539">
        <f>Cons!K$96</f>
        <v>0</v>
      </c>
      <c r="L19" s="539">
        <f>Cons!L$96</f>
        <v>0</v>
      </c>
      <c r="M19" s="539">
        <f>Cons!M$96</f>
        <v>0</v>
      </c>
      <c r="N19" s="539">
        <f>Cons!N$96</f>
        <v>0</v>
      </c>
      <c r="O19" s="539">
        <f>Cons!O$96</f>
        <v>0</v>
      </c>
      <c r="P19" s="539">
        <f>Cons!P$96</f>
        <v>0</v>
      </c>
      <c r="Q19" s="539">
        <f>Cons!Q$96</f>
        <v>0</v>
      </c>
      <c r="R19" s="539">
        <f>Cons!R$96</f>
        <v>0</v>
      </c>
      <c r="S19" s="539">
        <f>Cons!S$96</f>
        <v>0</v>
      </c>
      <c r="T19" s="539">
        <f>Cons!T$96</f>
        <v>0</v>
      </c>
      <c r="U19" s="539">
        <f>Cons!U$96</f>
        <v>0</v>
      </c>
      <c r="V19" s="539">
        <f>Cons!V$96</f>
        <v>0</v>
      </c>
      <c r="W19" s="539">
        <f>Cons!W$96</f>
        <v>0</v>
      </c>
      <c r="X19" s="539">
        <f>Cons!X$96</f>
        <v>0</v>
      </c>
      <c r="Y19" s="539">
        <f>Cons!Y$96</f>
        <v>0</v>
      </c>
      <c r="Z19" s="539">
        <f>Cons!Z$96</f>
        <v>0</v>
      </c>
      <c r="AA19" s="539">
        <f>Cons!AA$96</f>
        <v>0</v>
      </c>
      <c r="AB19" s="539">
        <f>Cons!AB$96</f>
        <v>0</v>
      </c>
      <c r="AC19" s="539">
        <f>Cons!AC$96</f>
        <v>0</v>
      </c>
      <c r="AD19" s="539">
        <f>Cons!AD$96</f>
        <v>0</v>
      </c>
      <c r="AE19" s="539">
        <f>Cons!AE$96</f>
        <v>0</v>
      </c>
      <c r="AF19" s="539">
        <f>Cons!AF$96</f>
        <v>0</v>
      </c>
      <c r="AG19" s="539">
        <f>Cons!AG$96</f>
        <v>0</v>
      </c>
      <c r="AH19" s="539">
        <f>Cons!AH$96</f>
        <v>33.995958904109585</v>
      </c>
      <c r="AI19" s="539">
        <f>Cons!AI$96</f>
        <v>0</v>
      </c>
      <c r="AJ19" s="539">
        <f>Cons!AJ$96</f>
        <v>0</v>
      </c>
      <c r="AK19" s="539">
        <f>Cons!AK$96</f>
        <v>0</v>
      </c>
      <c r="AL19" s="539">
        <f>Cons!AL$96</f>
        <v>0</v>
      </c>
      <c r="AM19" s="539">
        <f>Cons!AM$96</f>
        <v>0</v>
      </c>
      <c r="AN19" s="539">
        <f>Cons!AN$96</f>
        <v>0</v>
      </c>
      <c r="AO19" s="539">
        <f>Cons!AO$96</f>
        <v>0</v>
      </c>
      <c r="AP19" s="539">
        <f>Cons!AP$96</f>
        <v>0</v>
      </c>
      <c r="AQ19" s="539">
        <f>Cons!AQ$96</f>
        <v>0</v>
      </c>
      <c r="AR19" s="539">
        <f>Cons!AR$96</f>
        <v>0</v>
      </c>
      <c r="AS19" s="539">
        <f>Cons!AS$96</f>
        <v>0</v>
      </c>
      <c r="AT19" s="539">
        <f>Cons!AT$96</f>
        <v>0</v>
      </c>
      <c r="AU19" s="539">
        <f>Cons!AU$96</f>
        <v>0</v>
      </c>
      <c r="AV19" s="539">
        <f>Cons!AV$96</f>
        <v>0</v>
      </c>
      <c r="AW19" s="539">
        <f>Cons!AW$96</f>
        <v>0</v>
      </c>
      <c r="AX19" s="539">
        <f>Cons!AX$96</f>
        <v>0</v>
      </c>
      <c r="AY19" s="539">
        <f>Cons!AY$96</f>
        <v>0</v>
      </c>
      <c r="AZ19" s="539">
        <f>Cons!AZ$96</f>
        <v>0</v>
      </c>
      <c r="BA19" s="539">
        <f>Cons!BA$96</f>
        <v>0</v>
      </c>
      <c r="BB19" s="539">
        <f>Cons!BB$96</f>
        <v>0</v>
      </c>
      <c r="BC19" s="539">
        <f>Cons!BC$96</f>
        <v>0</v>
      </c>
      <c r="BD19" s="539">
        <f>Cons!BD$96</f>
        <v>0</v>
      </c>
      <c r="BE19" s="539">
        <f>Cons!BE$96</f>
        <v>0</v>
      </c>
      <c r="BF19" s="539">
        <f>Cons!BF$96</f>
        <v>0</v>
      </c>
      <c r="BG19" s="539">
        <f>Cons!BG$96</f>
        <v>0</v>
      </c>
      <c r="BH19" s="539">
        <f>Cons!BH$96</f>
        <v>0</v>
      </c>
      <c r="BI19" s="539">
        <f>Cons!BI$96</f>
        <v>0</v>
      </c>
      <c r="BJ19" s="539">
        <f>Cons!BJ$96</f>
        <v>0</v>
      </c>
      <c r="BK19" s="539">
        <f>Cons!BK$96</f>
        <v>0</v>
      </c>
      <c r="BL19" s="539">
        <f>Cons!BL$96</f>
        <v>0</v>
      </c>
      <c r="BM19" s="539">
        <f>Cons!BM$96</f>
        <v>0</v>
      </c>
      <c r="BN19" s="539">
        <f>Cons!BN$96</f>
        <v>0</v>
      </c>
      <c r="BO19" s="539">
        <f>Cons!BO$96</f>
        <v>0</v>
      </c>
      <c r="BP19" s="539">
        <f>Cons!BP$96</f>
        <v>0</v>
      </c>
      <c r="BQ19" s="539">
        <f>Cons!BQ$96</f>
        <v>0</v>
      </c>
      <c r="BR19" s="539">
        <f>Cons!BR$96</f>
        <v>0</v>
      </c>
      <c r="BS19" s="539">
        <f>Cons!BS$96</f>
        <v>0</v>
      </c>
      <c r="BT19" s="539">
        <f>Cons!BT$96</f>
        <v>0</v>
      </c>
      <c r="BU19" s="539">
        <f>Cons!BU$96</f>
        <v>0</v>
      </c>
      <c r="BV19" s="539">
        <f>Cons!BV$96</f>
        <v>0</v>
      </c>
      <c r="BW19" s="539">
        <f>Cons!BW$96</f>
        <v>0</v>
      </c>
      <c r="BX19" s="539">
        <f>Cons!BX$96</f>
        <v>0</v>
      </c>
      <c r="BY19" s="539">
        <f>Cons!BY$96</f>
        <v>0</v>
      </c>
      <c r="BZ19" s="539">
        <f>Cons!BZ$96</f>
        <v>0</v>
      </c>
      <c r="CA19" s="539">
        <f>Cons!CA$96</f>
        <v>0</v>
      </c>
      <c r="CB19" s="539">
        <f>Cons!CB$96</f>
        <v>0</v>
      </c>
      <c r="CC19" s="539">
        <f>Cons!CC$96</f>
        <v>0</v>
      </c>
      <c r="CD19" s="539">
        <f>Cons!CD$96</f>
        <v>0</v>
      </c>
      <c r="CE19" s="539">
        <f>Cons!CE$96</f>
        <v>0</v>
      </c>
      <c r="CF19" s="539">
        <f>Cons!CF$96</f>
        <v>0</v>
      </c>
      <c r="CG19" s="539">
        <f>Cons!CG$96</f>
        <v>0</v>
      </c>
      <c r="CH19" s="539">
        <f>Cons!CH$96</f>
        <v>0</v>
      </c>
      <c r="CI19" s="539">
        <f>Cons!CI$96</f>
        <v>0</v>
      </c>
      <c r="CJ19" s="539">
        <f>Cons!CJ$96</f>
        <v>0</v>
      </c>
      <c r="CK19" s="539">
        <f>Cons!CK$96</f>
        <v>0</v>
      </c>
      <c r="CL19" s="539">
        <f>Cons!CL$96</f>
        <v>0</v>
      </c>
      <c r="CM19" s="539">
        <f>Cons!CM$96</f>
        <v>0</v>
      </c>
      <c r="CN19" s="539">
        <f>Cons!CN$96</f>
        <v>0</v>
      </c>
      <c r="CO19" s="539">
        <f>Cons!CO$96</f>
        <v>0</v>
      </c>
      <c r="CP19" s="539">
        <f>Cons!CP$96</f>
        <v>0</v>
      </c>
      <c r="CQ19" s="539">
        <f>Cons!CQ$96</f>
        <v>0</v>
      </c>
      <c r="CR19" s="539">
        <f>Cons!CR$96</f>
        <v>0</v>
      </c>
      <c r="CS19" s="539">
        <f>Cons!CS$96</f>
        <v>0</v>
      </c>
      <c r="CT19" s="539">
        <f>Cons!CT$96</f>
        <v>0</v>
      </c>
      <c r="CU19" s="539">
        <f>Cons!CU$96</f>
        <v>0</v>
      </c>
      <c r="CV19" s="539">
        <f>Cons!CV$96</f>
        <v>0</v>
      </c>
      <c r="CW19" s="539">
        <f>Cons!CW$96</f>
        <v>0</v>
      </c>
      <c r="CX19" s="539">
        <f>Cons!CX$96</f>
        <v>0</v>
      </c>
      <c r="CY19" s="539">
        <f>Cons!CY$96</f>
        <v>0</v>
      </c>
      <c r="CZ19" s="539">
        <f>Cons!CZ$96</f>
        <v>0</v>
      </c>
      <c r="DA19" s="539">
        <f>Cons!DA$96</f>
        <v>0</v>
      </c>
      <c r="DB19" s="539">
        <f>Cons!DB$96</f>
        <v>0</v>
      </c>
      <c r="DC19" s="539">
        <f>Cons!DC$96</f>
        <v>0</v>
      </c>
      <c r="DD19" s="539">
        <f>Cons!DD$96</f>
        <v>0</v>
      </c>
      <c r="DE19" s="539">
        <f>Cons!DE$96</f>
        <v>0</v>
      </c>
      <c r="DF19" s="539">
        <f>Cons!DF$96</f>
        <v>0</v>
      </c>
      <c r="DG19" s="539">
        <f>Cons!DG$96</f>
        <v>0</v>
      </c>
      <c r="DH19" s="539">
        <f>Cons!DH$96</f>
        <v>0</v>
      </c>
      <c r="DI19" s="539">
        <f>Cons!DI$96</f>
        <v>0</v>
      </c>
      <c r="DJ19" s="539">
        <f>Cons!DJ$96</f>
        <v>0</v>
      </c>
      <c r="DK19" s="539">
        <f>Cons!DK$96</f>
        <v>0</v>
      </c>
      <c r="DL19" s="539">
        <f>Cons!DL$96</f>
        <v>0</v>
      </c>
      <c r="DM19" s="539">
        <f>Cons!DM$96</f>
        <v>0</v>
      </c>
      <c r="DN19" s="539">
        <f>Cons!DN$96</f>
        <v>0</v>
      </c>
      <c r="DO19" s="539">
        <f>Cons!DO$96</f>
        <v>0</v>
      </c>
      <c r="DP19" s="539">
        <f>Cons!DP$96</f>
        <v>0</v>
      </c>
      <c r="DQ19" s="539">
        <f>Cons!DQ$96</f>
        <v>0</v>
      </c>
      <c r="DR19" s="539">
        <f>Cons!DR$96</f>
        <v>0</v>
      </c>
      <c r="DS19" s="539">
        <f>Cons!DS$96</f>
        <v>0</v>
      </c>
      <c r="DT19" s="539">
        <f>Cons!DT$96</f>
        <v>0</v>
      </c>
      <c r="DU19" s="539">
        <f>Cons!DU$96</f>
        <v>0</v>
      </c>
      <c r="DV19" s="539">
        <f>Cons!DV$96</f>
        <v>0</v>
      </c>
      <c r="DW19" s="539">
        <f>Cons!DW$96</f>
        <v>0</v>
      </c>
      <c r="DX19" s="539">
        <f>Cons!DX$96</f>
        <v>0</v>
      </c>
      <c r="DY19" s="539">
        <f>Cons!DY$96</f>
        <v>0</v>
      </c>
      <c r="DZ19" s="539">
        <f>Cons!DZ$96</f>
        <v>0</v>
      </c>
      <c r="EA19" s="539">
        <f>Cons!EA$96</f>
        <v>0</v>
      </c>
      <c r="EB19" s="539">
        <f>Cons!EB$96</f>
        <v>0</v>
      </c>
      <c r="EC19" s="539">
        <f>Cons!EC$96</f>
        <v>0</v>
      </c>
      <c r="ED19" s="539">
        <f>Cons!ED$96</f>
        <v>0</v>
      </c>
      <c r="EE19" s="539">
        <f>Cons!EE$96</f>
        <v>0</v>
      </c>
      <c r="EF19" s="539">
        <f>Cons!EF$96</f>
        <v>0</v>
      </c>
      <c r="EG19" s="539">
        <f>Cons!EG$96</f>
        <v>0</v>
      </c>
    </row>
    <row r="20" spans="5:137" ht="12.75">
      <c r="E20" s="538" t="str">
        <f>Debt!E$64</f>
        <v>Senior facility - interest</v>
      </c>
      <c r="G20" s="539" t="str">
        <f>Debt!G$64</f>
        <v>EUR 000s</v>
      </c>
      <c r="H20" s="539">
        <f>Debt!H$64</f>
        <v>129146.28987807478</v>
      </c>
      <c r="J20" s="539">
        <f>Debt!J$64</f>
        <v>0</v>
      </c>
      <c r="K20" s="539">
        <f>Debt!K$64</f>
        <v>0</v>
      </c>
      <c r="L20" s="539">
        <f>Debt!L$64</f>
        <v>0</v>
      </c>
      <c r="M20" s="539">
        <f>Debt!M$64</f>
        <v>0</v>
      </c>
      <c r="N20" s="539">
        <f>Debt!N$64</f>
        <v>0</v>
      </c>
      <c r="O20" s="539">
        <f>Debt!O$64</f>
        <v>0</v>
      </c>
      <c r="P20" s="539">
        <f>Debt!P$64</f>
        <v>0</v>
      </c>
      <c r="Q20" s="539">
        <f>Debt!Q$64</f>
        <v>0</v>
      </c>
      <c r="R20" s="539">
        <f>Debt!R$64</f>
        <v>0</v>
      </c>
      <c r="S20" s="539">
        <f>Debt!S$64</f>
        <v>0</v>
      </c>
      <c r="T20" s="539">
        <f>Debt!T$64</f>
        <v>0</v>
      </c>
      <c r="U20" s="539">
        <f>Debt!U$64</f>
        <v>0</v>
      </c>
      <c r="V20" s="539">
        <f>Debt!V$64</f>
        <v>0</v>
      </c>
      <c r="W20" s="539">
        <f>Debt!W$64</f>
        <v>0</v>
      </c>
      <c r="X20" s="539">
        <f>Debt!X$64</f>
        <v>0</v>
      </c>
      <c r="Y20" s="539">
        <f>Debt!Y$64</f>
        <v>0</v>
      </c>
      <c r="Z20" s="539">
        <f>Debt!Z$64</f>
        <v>0</v>
      </c>
      <c r="AA20" s="539">
        <f>Debt!AA$64</f>
        <v>0</v>
      </c>
      <c r="AB20" s="539">
        <f>Debt!AB$64</f>
        <v>0</v>
      </c>
      <c r="AC20" s="539">
        <f>Debt!AC$64</f>
        <v>0</v>
      </c>
      <c r="AD20" s="539">
        <f>Debt!AD$64</f>
        <v>0</v>
      </c>
      <c r="AE20" s="539">
        <f>Debt!AE$64</f>
        <v>0</v>
      </c>
      <c r="AF20" s="539">
        <f>Debt!AF$64</f>
        <v>0</v>
      </c>
      <c r="AG20" s="539">
        <f>Debt!AG$64</f>
        <v>0</v>
      </c>
      <c r="AH20" s="539">
        <f>Debt!AH$64</f>
        <v>3001.0107045471395</v>
      </c>
      <c r="AI20" s="539">
        <f>Debt!AI$64</f>
        <v>3025.0607202902252</v>
      </c>
      <c r="AJ20" s="539">
        <f>Debt!AJ$64</f>
        <v>3035.7150418494703</v>
      </c>
      <c r="AK20" s="539">
        <f>Debt!AK$64</f>
        <v>3013.2777772740533</v>
      </c>
      <c r="AL20" s="539">
        <f>Debt!AL$64</f>
        <v>2925.6561104393368</v>
      </c>
      <c r="AM20" s="539">
        <f>Debt!AM$64</f>
        <v>2933.9209710967089</v>
      </c>
      <c r="AN20" s="539">
        <f>Debt!AN$64</f>
        <v>2941.1776240300005</v>
      </c>
      <c r="AO20" s="539">
        <f>Debt!AO$64</f>
        <v>2916.2971624211491</v>
      </c>
      <c r="AP20" s="539">
        <f>Debt!AP$64</f>
        <v>2828.362216629173</v>
      </c>
      <c r="AQ20" s="539">
        <f>Debt!AQ$64</f>
        <v>2833.0787712946462</v>
      </c>
      <c r="AR20" s="539">
        <f>Debt!AR$64</f>
        <v>2836.6780401336746</v>
      </c>
      <c r="AS20" s="539">
        <f>Debt!AS$64</f>
        <v>2809.1976860341979</v>
      </c>
      <c r="AT20" s="539">
        <f>Debt!AT$64</f>
        <v>2751.2475166597596</v>
      </c>
      <c r="AU20" s="539">
        <f>Debt!AU$64</f>
        <v>2722.1806011190497</v>
      </c>
      <c r="AV20" s="539">
        <f>Debt!AV$64</f>
        <v>2722.0033265522147</v>
      </c>
      <c r="AW20" s="539">
        <f>Debt!AW$64</f>
        <v>2691.763176295578</v>
      </c>
      <c r="AX20" s="539">
        <f>Debt!AX$64</f>
        <v>2603.4274408818269</v>
      </c>
      <c r="AY20" s="539">
        <f>Debt!AY$64</f>
        <v>2600.2377281967169</v>
      </c>
      <c r="AZ20" s="539">
        <f>Debt!AZ$64</f>
        <v>2595.6911281024104</v>
      </c>
      <c r="BA20" s="539">
        <f>Debt!BA$64</f>
        <v>2562.5107476901208</v>
      </c>
      <c r="BB20" s="539">
        <f>Debt!BB$64</f>
        <v>2474.0727885506644</v>
      </c>
      <c r="BC20" s="539">
        <f>Debt!BC$64</f>
        <v>2467.3552535778831</v>
      </c>
      <c r="BD20" s="539">
        <f>Debt!BD$64</f>
        <v>2459.3066674840757</v>
      </c>
      <c r="BE20" s="539">
        <f>Debt!BE$64</f>
        <v>2424.1565365982565</v>
      </c>
      <c r="BF20" s="539">
        <f>Debt!BF$64</f>
        <v>2336.8538866332328</v>
      </c>
      <c r="BG20" s="539">
        <f>Debt!BG$64</f>
        <v>2326.0508370438638</v>
      </c>
      <c r="BH20" s="539">
        <f>Debt!BH$64</f>
        <v>2313.7771746652356</v>
      </c>
      <c r="BI20" s="539">
        <f>Debt!BI$64</f>
        <v>2275.8759601097127</v>
      </c>
      <c r="BJ20" s="539">
        <f>Debt!BJ$64</f>
        <v>2213.3737487287381</v>
      </c>
      <c r="BK20" s="539">
        <f>Debt!BK$64</f>
        <v>2173.9810776614172</v>
      </c>
      <c r="BL20" s="539">
        <f>Debt!BL$64</f>
        <v>2157.2768130159861</v>
      </c>
      <c r="BM20" s="539">
        <f>Debt!BM$64</f>
        <v>2116.3812263385985</v>
      </c>
      <c r="BN20" s="539">
        <f>Debt!BN$64</f>
        <v>2030.0395500648901</v>
      </c>
      <c r="BO20" s="539">
        <f>Debt!BO$64</f>
        <v>2009.983156764715</v>
      </c>
      <c r="BP20" s="539">
        <f>Debt!BP$64</f>
        <v>1988.1564901653285</v>
      </c>
      <c r="BQ20" s="539">
        <f>Debt!BQ$64</f>
        <v>1944.012302373925</v>
      </c>
      <c r="BR20" s="539">
        <f>Debt!BR$64</f>
        <v>1858.1843229695255</v>
      </c>
      <c r="BS20" s="539">
        <f>Debt!BS$64</f>
        <v>1832.1962417640807</v>
      </c>
      <c r="BT20" s="539">
        <f>Debt!BT$64</f>
        <v>1804.2498767046388</v>
      </c>
      <c r="BU20" s="539">
        <f>Debt!BU$64</f>
        <v>1755.8432288446147</v>
      </c>
      <c r="BV20" s="539">
        <f>Debt!BV$64</f>
        <v>1669.8690627171268</v>
      </c>
      <c r="BW20" s="539">
        <f>Debt!BW$64</f>
        <v>1640.1169509689614</v>
      </c>
      <c r="BX20" s="539">
        <f>Debt!BX$64</f>
        <v>1614.0018651556209</v>
      </c>
      <c r="BY20" s="539">
        <f>Debt!BY$64</f>
        <v>1569.6649310287287</v>
      </c>
      <c r="BZ20" s="539">
        <f>Debt!BZ$64</f>
        <v>1508.4481106644848</v>
      </c>
      <c r="CA20" s="539">
        <f>Debt!CA$64</f>
        <v>1462.8263602517413</v>
      </c>
      <c r="CB20" s="539">
        <f>Debt!CB$64</f>
        <v>1431.9689272614364</v>
      </c>
      <c r="CC20" s="539">
        <f>Debt!CC$64</f>
        <v>1385.0801850537471</v>
      </c>
      <c r="CD20" s="539">
        <f>Debt!CD$64</f>
        <v>1311.1291339199454</v>
      </c>
      <c r="CE20" s="539">
        <f>Debt!CE$64</f>
        <v>1280.1126269850974</v>
      </c>
      <c r="CF20" s="539">
        <f>Debt!CF$64</f>
        <v>1247.1828683229842</v>
      </c>
      <c r="CG20" s="539">
        <f>Debt!CG$64</f>
        <v>1199.8981758533134</v>
      </c>
      <c r="CH20" s="539">
        <f>Debt!CH$64</f>
        <v>1127.2598323887116</v>
      </c>
      <c r="CI20" s="539">
        <f>Debt!CI$64</f>
        <v>1091.4185398940576</v>
      </c>
      <c r="CJ20" s="539">
        <f>Debt!CJ$64</f>
        <v>1053.5203900289587</v>
      </c>
      <c r="CK20" s="539">
        <f>Debt!CK$64</f>
        <v>1003.2623053912324</v>
      </c>
      <c r="CL20" s="539">
        <f>Debt!CL$64</f>
        <v>931.93906223535828</v>
      </c>
      <c r="CM20" s="539">
        <f>Debt!CM$64</f>
        <v>886.97994256127174</v>
      </c>
      <c r="CN20" s="539">
        <f>Debt!CN$64</f>
        <v>839.68037994616066</v>
      </c>
      <c r="CO20" s="539">
        <f>Debt!CO$64</f>
        <v>782.13850520171934</v>
      </c>
      <c r="CP20" s="539">
        <f>Debt!CP$64</f>
        <v>716.2691110665894</v>
      </c>
      <c r="CQ20" s="539">
        <f>Debt!CQ$64</f>
        <v>661.39635897348455</v>
      </c>
      <c r="CR20" s="539">
        <f>Debt!CR$64</f>
        <v>612.27196199560819</v>
      </c>
      <c r="CS20" s="539">
        <f>Debt!CS$64</f>
        <v>555.17870853822558</v>
      </c>
      <c r="CT20" s="539">
        <f>Debt!CT$64</f>
        <v>486.80592604690918</v>
      </c>
      <c r="CU20" s="539">
        <f>Debt!CU$64</f>
        <v>433.95764378102621</v>
      </c>
      <c r="CV20" s="539">
        <f>Debt!CV$64</f>
        <v>378.57552483863145</v>
      </c>
      <c r="CW20" s="539">
        <f>Debt!CW$64</f>
        <v>317.80825911212753</v>
      </c>
      <c r="CX20" s="539">
        <f>Debt!CX$64</f>
        <v>250.94980569340035</v>
      </c>
      <c r="CY20" s="539">
        <f>Debt!CY$64</f>
        <v>191.78855906528543</v>
      </c>
      <c r="CZ20" s="539">
        <f>Debt!CZ$64</f>
        <v>129.9226319132481</v>
      </c>
      <c r="DA20" s="539">
        <f>Debt!DA$64</f>
        <v>65.245599622744237</v>
      </c>
      <c r="DB20" s="539">
        <f>Debt!DB$64</f>
        <v>0</v>
      </c>
      <c r="DC20" s="539">
        <f>Debt!DC$64</f>
        <v>0</v>
      </c>
      <c r="DD20" s="539">
        <f>Debt!DD$64</f>
        <v>0</v>
      </c>
      <c r="DE20" s="539">
        <f>Debt!DE$64</f>
        <v>0</v>
      </c>
      <c r="DF20" s="539">
        <f>Debt!DF$64</f>
        <v>0</v>
      </c>
      <c r="DG20" s="539">
        <f>Debt!DG$64</f>
        <v>0</v>
      </c>
      <c r="DH20" s="539">
        <f>Debt!DH$64</f>
        <v>0</v>
      </c>
      <c r="DI20" s="539">
        <f>Debt!DI$64</f>
        <v>0</v>
      </c>
      <c r="DJ20" s="539">
        <f>Debt!DJ$64</f>
        <v>0</v>
      </c>
      <c r="DK20" s="539">
        <f>Debt!DK$64</f>
        <v>0</v>
      </c>
      <c r="DL20" s="539">
        <f>Debt!DL$64</f>
        <v>0</v>
      </c>
      <c r="DM20" s="539">
        <f>Debt!DM$64</f>
        <v>0</v>
      </c>
      <c r="DN20" s="539">
        <f>Debt!DN$64</f>
        <v>0</v>
      </c>
      <c r="DO20" s="539">
        <f>Debt!DO$64</f>
        <v>0</v>
      </c>
      <c r="DP20" s="539">
        <f>Debt!DP$64</f>
        <v>0</v>
      </c>
      <c r="DQ20" s="539">
        <f>Debt!DQ$64</f>
        <v>0</v>
      </c>
      <c r="DR20" s="539">
        <f>Debt!DR$64</f>
        <v>0</v>
      </c>
      <c r="DS20" s="539">
        <f>Debt!DS$64</f>
        <v>0</v>
      </c>
      <c r="DT20" s="539">
        <f>Debt!DT$64</f>
        <v>0</v>
      </c>
      <c r="DU20" s="539">
        <f>Debt!DU$64</f>
        <v>0</v>
      </c>
      <c r="DV20" s="539">
        <f>Debt!DV$64</f>
        <v>0</v>
      </c>
      <c r="DW20" s="539">
        <f>Debt!DW$64</f>
        <v>0</v>
      </c>
      <c r="DX20" s="539">
        <f>Debt!DX$64</f>
        <v>0</v>
      </c>
      <c r="DY20" s="539">
        <f>Debt!DY$64</f>
        <v>0</v>
      </c>
      <c r="DZ20" s="539">
        <f>Debt!DZ$64</f>
        <v>0</v>
      </c>
      <c r="EA20" s="539">
        <f>Debt!EA$64</f>
        <v>0</v>
      </c>
      <c r="EB20" s="539">
        <f>Debt!EB$64</f>
        <v>0</v>
      </c>
      <c r="EC20" s="539">
        <f>Debt!EC$64</f>
        <v>0</v>
      </c>
      <c r="ED20" s="539">
        <f>Debt!ED$64</f>
        <v>0</v>
      </c>
      <c r="EE20" s="539">
        <f>Debt!EE$64</f>
        <v>0</v>
      </c>
      <c r="EF20" s="539">
        <f>Debt!EF$64</f>
        <v>0</v>
      </c>
      <c r="EG20" s="539">
        <f>Debt!EG$64</f>
        <v>0</v>
      </c>
    </row>
    <row r="21" spans="5:137" ht="12.75">
      <c r="E21" s="538" t="str">
        <f>Debt!E$190</f>
        <v>Junior facility - interest</v>
      </c>
      <c r="G21" s="539" t="str">
        <f>Debt!G$190</f>
        <v>EUR 000s</v>
      </c>
      <c r="H21" s="539">
        <f>Debt!H$190</f>
        <v>13943.397268295888</v>
      </c>
      <c r="J21" s="539">
        <f>Debt!J$190</f>
        <v>0</v>
      </c>
      <c r="K21" s="539">
        <f>Debt!K$190</f>
        <v>0</v>
      </c>
      <c r="L21" s="539">
        <f>Debt!L$190</f>
        <v>0</v>
      </c>
      <c r="M21" s="539">
        <f>Debt!M$190</f>
        <v>0</v>
      </c>
      <c r="N21" s="539">
        <f>Debt!N$190</f>
        <v>0</v>
      </c>
      <c r="O21" s="539">
        <f>Debt!O$190</f>
        <v>0</v>
      </c>
      <c r="P21" s="539">
        <f>Debt!P$190</f>
        <v>0</v>
      </c>
      <c r="Q21" s="539">
        <f>Debt!Q$190</f>
        <v>0</v>
      </c>
      <c r="R21" s="539">
        <f>Debt!R$190</f>
        <v>0</v>
      </c>
      <c r="S21" s="539">
        <f>Debt!S$190</f>
        <v>0</v>
      </c>
      <c r="T21" s="539">
        <f>Debt!T$190</f>
        <v>0</v>
      </c>
      <c r="U21" s="539">
        <f>Debt!U$190</f>
        <v>0</v>
      </c>
      <c r="V21" s="539">
        <f>Debt!V$190</f>
        <v>0</v>
      </c>
      <c r="W21" s="539">
        <f>Debt!W$190</f>
        <v>0</v>
      </c>
      <c r="X21" s="539">
        <f>Debt!X$190</f>
        <v>0</v>
      </c>
      <c r="Y21" s="539">
        <f>Debt!Y$190</f>
        <v>0</v>
      </c>
      <c r="Z21" s="539">
        <f>Debt!Z$190</f>
        <v>0</v>
      </c>
      <c r="AA21" s="539">
        <f>Debt!AA$190</f>
        <v>0</v>
      </c>
      <c r="AB21" s="539">
        <f>Debt!AB$190</f>
        <v>0</v>
      </c>
      <c r="AC21" s="539">
        <f>Debt!AC$190</f>
        <v>0</v>
      </c>
      <c r="AD21" s="539">
        <f>Debt!AD$190</f>
        <v>0</v>
      </c>
      <c r="AE21" s="539">
        <f>Debt!AE$190</f>
        <v>0</v>
      </c>
      <c r="AF21" s="539">
        <f>Debt!AF$190</f>
        <v>0</v>
      </c>
      <c r="AG21" s="539">
        <f>Debt!AG$190</f>
        <v>0</v>
      </c>
      <c r="AH21" s="539">
        <f>Debt!AH$190</f>
        <v>561.22797591530946</v>
      </c>
      <c r="AI21" s="539">
        <f>Debt!AI$190</f>
        <v>555.64167893281899</v>
      </c>
      <c r="AJ21" s="539">
        <f>Debt!AJ$190</f>
        <v>549.79555418370114</v>
      </c>
      <c r="AK21" s="539">
        <f>Debt!AK$190</f>
        <v>537.84347691883806</v>
      </c>
      <c r="AL21" s="539">
        <f>Debt!AL$190</f>
        <v>514.45897792236678</v>
      </c>
      <c r="AM21" s="539">
        <f>Debt!AM$190</f>
        <v>508.35302540662155</v>
      </c>
      <c r="AN21" s="539">
        <f>Debt!AN$190</f>
        <v>501.98724512424877</v>
      </c>
      <c r="AO21" s="539">
        <f>Debt!AO$190</f>
        <v>490.03516785938558</v>
      </c>
      <c r="AP21" s="539">
        <f>Debt!AP$190</f>
        <v>467.68997992942428</v>
      </c>
      <c r="AQ21" s="539">
        <f>Debt!AQ$190</f>
        <v>461.06437188042401</v>
      </c>
      <c r="AR21" s="539">
        <f>Debt!AR$190</f>
        <v>454.17893606479629</v>
      </c>
      <c r="AS21" s="539">
        <f>Debt!AS$190</f>
        <v>442.22685879993327</v>
      </c>
      <c r="AT21" s="539">
        <f>Debt!AT$190</f>
        <v>425.5978817357759</v>
      </c>
      <c r="AU21" s="539">
        <f>Debt!AU$190</f>
        <v>413.77571835422651</v>
      </c>
      <c r="AV21" s="539">
        <f>Debt!AV$190</f>
        <v>406.37062700534392</v>
      </c>
      <c r="AW21" s="539">
        <f>Debt!AW$190</f>
        <v>394.41854974048084</v>
      </c>
      <c r="AX21" s="539">
        <f>Debt!AX$190</f>
        <v>374.15198394353911</v>
      </c>
      <c r="AY21" s="539">
        <f>Debt!AY$190</f>
        <v>366.48706482802908</v>
      </c>
      <c r="AZ21" s="539">
        <f>Debt!AZ$190</f>
        <v>358.56231794589155</v>
      </c>
      <c r="BA21" s="539">
        <f>Debt!BA$190</f>
        <v>346.61024068102847</v>
      </c>
      <c r="BB21" s="539">
        <f>Debt!BB$190</f>
        <v>327.38298595059666</v>
      </c>
      <c r="BC21" s="539">
        <f>Debt!BC$190</f>
        <v>319.1984113018317</v>
      </c>
      <c r="BD21" s="539">
        <f>Debt!BD$190</f>
        <v>310.75400888643935</v>
      </c>
      <c r="BE21" s="539">
        <f>Debt!BE$190</f>
        <v>298.80193162157627</v>
      </c>
      <c r="BF21" s="539">
        <f>Debt!BF$190</f>
        <v>280.61398795765422</v>
      </c>
      <c r="BG21" s="539">
        <f>Debt!BG$190</f>
        <v>271.90975777563438</v>
      </c>
      <c r="BH21" s="539">
        <f>Debt!BH$190</f>
        <v>262.94569982698704</v>
      </c>
      <c r="BI21" s="539">
        <f>Debt!BI$190</f>
        <v>250.99362256212402</v>
      </c>
      <c r="BJ21" s="539">
        <f>Debt!BJ$190</f>
        <v>236.44326763098636</v>
      </c>
      <c r="BK21" s="539">
        <f>Debt!BK$190</f>
        <v>224.62110424943702</v>
      </c>
      <c r="BL21" s="539">
        <f>Debt!BL$190</f>
        <v>215.13739076753484</v>
      </c>
      <c r="BM21" s="539">
        <f>Debt!BM$190</f>
        <v>203.18531350267176</v>
      </c>
      <c r="BN21" s="539">
        <f>Debt!BN$190</f>
        <v>187.07599197176938</v>
      </c>
      <c r="BO21" s="539">
        <f>Debt!BO$190</f>
        <v>177.33245072323967</v>
      </c>
      <c r="BP21" s="539">
        <f>Debt!BP$190</f>
        <v>167.32908170808255</v>
      </c>
      <c r="BQ21" s="539">
        <f>Debt!BQ$190</f>
        <v>155.37700444321948</v>
      </c>
      <c r="BR21" s="539">
        <f>Debt!BR$190</f>
        <v>140.30699397882694</v>
      </c>
      <c r="BS21" s="539">
        <f>Debt!BS$190</f>
        <v>130.04379719704235</v>
      </c>
      <c r="BT21" s="539">
        <f>Debt!BT$190</f>
        <v>119.52077264863031</v>
      </c>
      <c r="BU21" s="539">
        <f>Debt!BU$190</f>
        <v>107.56869538376725</v>
      </c>
      <c r="BV21" s="539">
        <f>Debt!BV$190</f>
        <v>93.537995985884535</v>
      </c>
      <c r="BW21" s="539">
        <f>Debt!BW$190</f>
        <v>82.755143670845015</v>
      </c>
      <c r="BX21" s="539">
        <f>Debt!BX$190</f>
        <v>71.712463589178029</v>
      </c>
      <c r="BY21" s="539">
        <f>Debt!BY$190</f>
        <v>59.760386324314958</v>
      </c>
      <c r="BZ21" s="539">
        <f>Debt!BZ$190</f>
        <v>47.288653526196974</v>
      </c>
      <c r="CA21" s="539">
        <f>Debt!CA$190</f>
        <v>35.466490144647629</v>
      </c>
      <c r="CB21" s="539">
        <f>Debt!CB$190</f>
        <v>23.904154529725734</v>
      </c>
      <c r="CC21" s="539">
        <f>Debt!CC$190</f>
        <v>11.952077264862666</v>
      </c>
      <c r="CD21" s="539">
        <f>Debt!CD$190</f>
        <v>-3.9862031483869642E-13</v>
      </c>
      <c r="CE21" s="539">
        <f>Debt!CE$190</f>
        <v>-4.0304942944801527E-13</v>
      </c>
      <c r="CF21" s="539">
        <f>Debt!CF$190</f>
        <v>-4.0747854405733406E-13</v>
      </c>
      <c r="CG21" s="539">
        <f>Debt!CG$190</f>
        <v>-4.0747854405733406E-13</v>
      </c>
      <c r="CH21" s="539">
        <f>Debt!CH$190</f>
        <v>-3.9862031483869642E-13</v>
      </c>
      <c r="CI21" s="539">
        <f>Debt!CI$190</f>
        <v>-4.0304942944801527E-13</v>
      </c>
      <c r="CJ21" s="539">
        <f>Debt!CJ$190</f>
        <v>-4.0747854405733406E-13</v>
      </c>
      <c r="CK21" s="539">
        <f>Debt!CK$190</f>
        <v>-4.0747854405733406E-13</v>
      </c>
      <c r="CL21" s="539">
        <f>Debt!CL$190</f>
        <v>-3.9862031483869642E-13</v>
      </c>
      <c r="CM21" s="539">
        <f>Debt!CM$190</f>
        <v>-4.0304942944801527E-13</v>
      </c>
      <c r="CN21" s="539">
        <f>Debt!CN$190</f>
        <v>-4.0747854405733406E-13</v>
      </c>
      <c r="CO21" s="539">
        <f>Debt!CO$190</f>
        <v>-4.0747854405733406E-13</v>
      </c>
      <c r="CP21" s="539">
        <f>Debt!CP$190</f>
        <v>-4.0304942944801527E-13</v>
      </c>
      <c r="CQ21" s="539">
        <f>Debt!CQ$190</f>
        <v>-4.0304942944801527E-13</v>
      </c>
      <c r="CR21" s="539">
        <f>Debt!CR$190</f>
        <v>-4.0747854405733406E-13</v>
      </c>
      <c r="CS21" s="539">
        <f>Debt!CS$190</f>
        <v>-4.0747854405733406E-13</v>
      </c>
      <c r="CT21" s="539">
        <f>Debt!CT$190</f>
        <v>-3.9862031483869642E-13</v>
      </c>
      <c r="CU21" s="539">
        <f>Debt!CU$190</f>
        <v>-4.0304942944801527E-13</v>
      </c>
      <c r="CV21" s="539">
        <f>Debt!CV$190</f>
        <v>-4.0747854405733406E-13</v>
      </c>
      <c r="CW21" s="539">
        <f>Debt!CW$190</f>
        <v>-4.0747854405733406E-13</v>
      </c>
      <c r="CX21" s="539">
        <f>Debt!CX$190</f>
        <v>-3.9862031483869642E-13</v>
      </c>
      <c r="CY21" s="539">
        <f>Debt!CY$190</f>
        <v>-4.0304942944801527E-13</v>
      </c>
      <c r="CZ21" s="539">
        <f>Debt!CZ$190</f>
        <v>-4.0747854405733406E-13</v>
      </c>
      <c r="DA21" s="539">
        <f>Debt!DA$190</f>
        <v>-4.0747854405733406E-13</v>
      </c>
      <c r="DB21" s="539">
        <f>Debt!DB$190</f>
        <v>-3.9862031483869642E-13</v>
      </c>
      <c r="DC21" s="539">
        <f>Debt!DC$190</f>
        <v>-4.0304942944801527E-13</v>
      </c>
      <c r="DD21" s="539">
        <f>Debt!DD$190</f>
        <v>-4.0747854405733406E-13</v>
      </c>
      <c r="DE21" s="539">
        <f>Debt!DE$190</f>
        <v>-4.0747854405733406E-13</v>
      </c>
      <c r="DF21" s="539">
        <f>Debt!DF$190</f>
        <v>-4.0304942944801527E-13</v>
      </c>
      <c r="DG21" s="539">
        <f>Debt!DG$190</f>
        <v>-4.0304942944801527E-13</v>
      </c>
      <c r="DH21" s="539">
        <f>Debt!DH$190</f>
        <v>-4.0747854405733406E-13</v>
      </c>
      <c r="DI21" s="539">
        <f>Debt!DI$190</f>
        <v>-4.0747854405733406E-13</v>
      </c>
      <c r="DJ21" s="539">
        <f>Debt!DJ$190</f>
        <v>-3.9862031483869642E-13</v>
      </c>
      <c r="DK21" s="539">
        <f>Debt!DK$190</f>
        <v>-4.0304942944801527E-13</v>
      </c>
      <c r="DL21" s="539">
        <f>Debt!DL$190</f>
        <v>-4.0747854405733406E-13</v>
      </c>
      <c r="DM21" s="539">
        <f>Debt!DM$190</f>
        <v>-4.0747854405733406E-13</v>
      </c>
      <c r="DN21" s="539">
        <f>Debt!DN$190</f>
        <v>-3.9862031483869642E-13</v>
      </c>
      <c r="DO21" s="539">
        <f>Debt!DO$190</f>
        <v>-4.0304942944801527E-13</v>
      </c>
      <c r="DP21" s="539">
        <f>Debt!DP$190</f>
        <v>-4.0747854405733406E-13</v>
      </c>
      <c r="DQ21" s="539">
        <f>Debt!DQ$190</f>
        <v>-4.0747854405733406E-13</v>
      </c>
      <c r="DR21" s="539">
        <f>Debt!DR$190</f>
        <v>-3.9862031483869642E-13</v>
      </c>
      <c r="DS21" s="539">
        <f>Debt!DS$190</f>
        <v>-4.0304942944801527E-13</v>
      </c>
      <c r="DT21" s="539">
        <f>Debt!DT$190</f>
        <v>-4.0747854405733406E-13</v>
      </c>
      <c r="DU21" s="539">
        <f>Debt!DU$190</f>
        <v>-4.0747854405733406E-13</v>
      </c>
      <c r="DV21" s="539">
        <f>Debt!DV$190</f>
        <v>-4.0304942944801527E-13</v>
      </c>
      <c r="DW21" s="539">
        <f>Debt!DW$190</f>
        <v>-4.0304942944801527E-13</v>
      </c>
      <c r="DX21" s="539">
        <f>Debt!DX$190</f>
        <v>-4.0747854405733406E-13</v>
      </c>
      <c r="DY21" s="539">
        <f>Debt!DY$190</f>
        <v>-4.0747854405733406E-13</v>
      </c>
      <c r="DZ21" s="539">
        <f>Debt!DZ$190</f>
        <v>-3.9862031483869642E-13</v>
      </c>
      <c r="EA21" s="539">
        <f>Debt!EA$190</f>
        <v>-4.0304942944801527E-13</v>
      </c>
      <c r="EB21" s="539">
        <f>Debt!EB$190</f>
        <v>-4.0747854405733406E-13</v>
      </c>
      <c r="EC21" s="539">
        <f>Debt!EC$190</f>
        <v>-4.0747854405733406E-13</v>
      </c>
      <c r="ED21" s="539">
        <f>Debt!ED$190</f>
        <v>0</v>
      </c>
      <c r="EE21" s="539">
        <f>Debt!EE$190</f>
        <v>0</v>
      </c>
      <c r="EF21" s="539">
        <f>Debt!EF$190</f>
        <v>0</v>
      </c>
      <c r="EG21" s="539">
        <f>Debt!EG$190</f>
        <v>0</v>
      </c>
    </row>
    <row r="22" spans="5:137" ht="12.75">
      <c r="E22" s="538" t="str">
        <f>Equity!E$31</f>
        <v>Shareholder loan - interest accrued</v>
      </c>
      <c r="G22" s="539" t="str">
        <f>Equity!G$31</f>
        <v>EUR 000s</v>
      </c>
      <c r="H22" s="539">
        <f>Equity!H$31</f>
        <v>21873.02417300528</v>
      </c>
      <c r="J22" s="539">
        <f>Equity!J$31</f>
        <v>0</v>
      </c>
      <c r="K22" s="539">
        <f>Equity!K$31</f>
        <v>0</v>
      </c>
      <c r="L22" s="539">
        <f>Equity!L$31</f>
        <v>0</v>
      </c>
      <c r="M22" s="539">
        <f>Equity!M$31</f>
        <v>52.099790485913836</v>
      </c>
      <c r="N22" s="539">
        <f>Equity!N$31</f>
        <v>117.88207939222379</v>
      </c>
      <c r="O22" s="539">
        <f>Equity!O$31</f>
        <v>178.00613039155573</v>
      </c>
      <c r="P22" s="539">
        <f>Equity!P$31</f>
        <v>248.81799701115708</v>
      </c>
      <c r="Q22" s="539">
        <f>Equity!Q$31</f>
        <v>315.74099263477558</v>
      </c>
      <c r="R22" s="539">
        <f>Equity!R$31</f>
        <v>325.35807883796764</v>
      </c>
      <c r="S22" s="539">
        <f>Equity!S$31</f>
        <v>338.13766876565802</v>
      </c>
      <c r="T22" s="539">
        <f>Equity!T$31</f>
        <v>329.17545163239942</v>
      </c>
      <c r="U22" s="539">
        <f>Equity!U$31</f>
        <v>342.1049823855588</v>
      </c>
      <c r="V22" s="539">
        <f>Equity!V$31</f>
        <v>344.13886680138523</v>
      </c>
      <c r="W22" s="539">
        <f>Equity!W$31</f>
        <v>323.85033707295395</v>
      </c>
      <c r="X22" s="539">
        <f>Equity!X$31</f>
        <v>348.11019987647381</v>
      </c>
      <c r="Y22" s="539">
        <f>Equity!Y$31</f>
        <v>338.88366439764434</v>
      </c>
      <c r="Z22" s="539">
        <f>Equity!Z$31</f>
        <v>352.1945195627062</v>
      </c>
      <c r="AA22" s="539">
        <f>Equity!AA$31</f>
        <v>342.85973066152582</v>
      </c>
      <c r="AB22" s="539">
        <f>Equity!AB$31</f>
        <v>356.32675989965577</v>
      </c>
      <c r="AC22" s="539">
        <f>Equity!AC$31</f>
        <v>358.44519570508658</v>
      </c>
      <c r="AD22" s="539">
        <f>Equity!AD$31</f>
        <v>348.94473488387973</v>
      </c>
      <c r="AE22" s="539">
        <f>Equity!AE$31</f>
        <v>362.65077419653329</v>
      </c>
      <c r="AF22" s="539">
        <f>Equity!AF$31</f>
        <v>353.03884603201357</v>
      </c>
      <c r="AG22" s="539">
        <f>Equity!AG$31</f>
        <v>366.90569604830296</v>
      </c>
      <c r="AH22" s="539">
        <f>Equity!AH$31</f>
        <v>1071.5429781374269</v>
      </c>
      <c r="AI22" s="539">
        <f>Equity!AI$31</f>
        <v>1077.9973316179048</v>
      </c>
      <c r="AJ22" s="539">
        <f>Equity!AJ$31</f>
        <v>1050.82349605998</v>
      </c>
      <c r="AK22" s="539">
        <f>Equity!AK$31</f>
        <v>1012.1030926213383</v>
      </c>
      <c r="AL22" s="539">
        <f>Equity!AL$31</f>
        <v>952.42274687426186</v>
      </c>
      <c r="AM22" s="539">
        <f>Equity!AM$31</f>
        <v>921.77940468535701</v>
      </c>
      <c r="AN22" s="539">
        <f>Equity!AN$31</f>
        <v>887.94515691215736</v>
      </c>
      <c r="AO22" s="539">
        <f>Equity!AO$31</f>
        <v>844.17309819080367</v>
      </c>
      <c r="AP22" s="539">
        <f>Equity!AP$31</f>
        <v>783.12552875123345</v>
      </c>
      <c r="AQ22" s="539">
        <f>Equity!AQ$31</f>
        <v>745.48593906623933</v>
      </c>
      <c r="AR22" s="539">
        <f>Equity!AR$31</f>
        <v>704.39428110844801</v>
      </c>
      <c r="AS22" s="539">
        <f>Equity!AS$31</f>
        <v>655.37444241285584</v>
      </c>
      <c r="AT22" s="539">
        <f>Equity!AT$31</f>
        <v>599.43267294288569</v>
      </c>
      <c r="AU22" s="539">
        <f>Equity!AU$31</f>
        <v>577.77829119205717</v>
      </c>
      <c r="AV22" s="539">
        <f>Equity!AV$31</f>
        <v>560.67380378579355</v>
      </c>
      <c r="AW22" s="539">
        <f>Equity!AW$31</f>
        <v>537.39823747367063</v>
      </c>
      <c r="AX22" s="539">
        <f>Equity!AX$31</f>
        <v>503.52184390108283</v>
      </c>
      <c r="AY22" s="539">
        <f>Equity!AY$31</f>
        <v>453.50732356939324</v>
      </c>
      <c r="AZ22" s="539">
        <f>Equity!AZ$31</f>
        <v>399.52554331808381</v>
      </c>
      <c r="BA22" s="539">
        <f>Equity!BA$31</f>
        <v>339.34689841425455</v>
      </c>
      <c r="BB22" s="539">
        <f>Equity!BB$31</f>
        <v>272.8980846823859</v>
      </c>
      <c r="BC22" s="539">
        <f>Equity!BC$31</f>
        <v>214.79849871647352</v>
      </c>
      <c r="BD22" s="539">
        <f>Equity!BD$31</f>
        <v>152.65029218121541</v>
      </c>
      <c r="BE22" s="539">
        <f>Equity!BE$31</f>
        <v>87.951433015574608</v>
      </c>
      <c r="BF22" s="539">
        <f>Equity!BF$31</f>
        <v>22.701256699025635</v>
      </c>
      <c r="BG22" s="539">
        <f>Equity!BG$31</f>
        <v>0</v>
      </c>
      <c r="BH22" s="539">
        <f>Equity!BH$31</f>
        <v>0</v>
      </c>
      <c r="BI22" s="539">
        <f>Equity!BI$31</f>
        <v>0</v>
      </c>
      <c r="BJ22" s="539">
        <f>Equity!BJ$31</f>
        <v>0</v>
      </c>
      <c r="BK22" s="539">
        <f>Equity!BK$31</f>
        <v>0</v>
      </c>
      <c r="BL22" s="539">
        <f>Equity!BL$31</f>
        <v>0</v>
      </c>
      <c r="BM22" s="539">
        <f>Equity!BM$31</f>
        <v>0</v>
      </c>
      <c r="BN22" s="539">
        <f>Equity!BN$31</f>
        <v>0</v>
      </c>
      <c r="BO22" s="539">
        <f>Equity!BO$31</f>
        <v>0</v>
      </c>
      <c r="BP22" s="539">
        <f>Equity!BP$31</f>
        <v>0</v>
      </c>
      <c r="BQ22" s="539">
        <f>Equity!BQ$31</f>
        <v>0</v>
      </c>
      <c r="BR22" s="539">
        <f>Equity!BR$31</f>
        <v>0</v>
      </c>
      <c r="BS22" s="539">
        <f>Equity!BS$31</f>
        <v>0</v>
      </c>
      <c r="BT22" s="539">
        <f>Equity!BT$31</f>
        <v>0</v>
      </c>
      <c r="BU22" s="539">
        <f>Equity!BU$31</f>
        <v>0</v>
      </c>
      <c r="BV22" s="539">
        <f>Equity!BV$31</f>
        <v>0</v>
      </c>
      <c r="BW22" s="539">
        <f>Equity!BW$31</f>
        <v>0</v>
      </c>
      <c r="BX22" s="539">
        <f>Equity!BX$31</f>
        <v>0</v>
      </c>
      <c r="BY22" s="539">
        <f>Equity!BY$31</f>
        <v>0</v>
      </c>
      <c r="BZ22" s="539">
        <f>Equity!BZ$31</f>
        <v>0</v>
      </c>
      <c r="CA22" s="539">
        <f>Equity!CA$31</f>
        <v>0</v>
      </c>
      <c r="CB22" s="539">
        <f>Equity!CB$31</f>
        <v>0</v>
      </c>
      <c r="CC22" s="539">
        <f>Equity!CC$31</f>
        <v>0</v>
      </c>
      <c r="CD22" s="539">
        <f>Equity!CD$31</f>
        <v>0</v>
      </c>
      <c r="CE22" s="539">
        <f>Equity!CE$31</f>
        <v>0</v>
      </c>
      <c r="CF22" s="539">
        <f>Equity!CF$31</f>
        <v>0</v>
      </c>
      <c r="CG22" s="539">
        <f>Equity!CG$31</f>
        <v>0</v>
      </c>
      <c r="CH22" s="539">
        <f>Equity!CH$31</f>
        <v>0</v>
      </c>
      <c r="CI22" s="539">
        <f>Equity!CI$31</f>
        <v>0</v>
      </c>
      <c r="CJ22" s="539">
        <f>Equity!CJ$31</f>
        <v>0</v>
      </c>
      <c r="CK22" s="539">
        <f>Equity!CK$31</f>
        <v>0</v>
      </c>
      <c r="CL22" s="539">
        <f>Equity!CL$31</f>
        <v>0</v>
      </c>
      <c r="CM22" s="539">
        <f>Equity!CM$31</f>
        <v>0</v>
      </c>
      <c r="CN22" s="539">
        <f>Equity!CN$31</f>
        <v>0</v>
      </c>
      <c r="CO22" s="539">
        <f>Equity!CO$31</f>
        <v>0</v>
      </c>
      <c r="CP22" s="539">
        <f>Equity!CP$31</f>
        <v>0</v>
      </c>
      <c r="CQ22" s="539">
        <f>Equity!CQ$31</f>
        <v>0</v>
      </c>
      <c r="CR22" s="539">
        <f>Equity!CR$31</f>
        <v>0</v>
      </c>
      <c r="CS22" s="539">
        <f>Equity!CS$31</f>
        <v>0</v>
      </c>
      <c r="CT22" s="539">
        <f>Equity!CT$31</f>
        <v>0</v>
      </c>
      <c r="CU22" s="539">
        <f>Equity!CU$31</f>
        <v>0</v>
      </c>
      <c r="CV22" s="539">
        <f>Equity!CV$31</f>
        <v>0</v>
      </c>
      <c r="CW22" s="539">
        <f>Equity!CW$31</f>
        <v>0</v>
      </c>
      <c r="CX22" s="539">
        <f>Equity!CX$31</f>
        <v>0</v>
      </c>
      <c r="CY22" s="539">
        <f>Equity!CY$31</f>
        <v>0</v>
      </c>
      <c r="CZ22" s="539">
        <f>Equity!CZ$31</f>
        <v>0</v>
      </c>
      <c r="DA22" s="539">
        <f>Equity!DA$31</f>
        <v>0</v>
      </c>
      <c r="DB22" s="539">
        <f>Equity!DB$31</f>
        <v>0</v>
      </c>
      <c r="DC22" s="539">
        <f>Equity!DC$31</f>
        <v>0</v>
      </c>
      <c r="DD22" s="539">
        <f>Equity!DD$31</f>
        <v>0</v>
      </c>
      <c r="DE22" s="539">
        <f>Equity!DE$31</f>
        <v>0</v>
      </c>
      <c r="DF22" s="539">
        <f>Equity!DF$31</f>
        <v>0</v>
      </c>
      <c r="DG22" s="539">
        <f>Equity!DG$31</f>
        <v>0</v>
      </c>
      <c r="DH22" s="539">
        <f>Equity!DH$31</f>
        <v>0</v>
      </c>
      <c r="DI22" s="539">
        <f>Equity!DI$31</f>
        <v>0</v>
      </c>
      <c r="DJ22" s="539">
        <f>Equity!DJ$31</f>
        <v>0</v>
      </c>
      <c r="DK22" s="539">
        <f>Equity!DK$31</f>
        <v>0</v>
      </c>
      <c r="DL22" s="539">
        <f>Equity!DL$31</f>
        <v>0</v>
      </c>
      <c r="DM22" s="539">
        <f>Equity!DM$31</f>
        <v>0</v>
      </c>
      <c r="DN22" s="539">
        <f>Equity!DN$31</f>
        <v>0</v>
      </c>
      <c r="DO22" s="539">
        <f>Equity!DO$31</f>
        <v>0</v>
      </c>
      <c r="DP22" s="539">
        <f>Equity!DP$31</f>
        <v>0</v>
      </c>
      <c r="DQ22" s="539">
        <f>Equity!DQ$31</f>
        <v>0</v>
      </c>
      <c r="DR22" s="539">
        <f>Equity!DR$31</f>
        <v>0</v>
      </c>
      <c r="DS22" s="539">
        <f>Equity!DS$31</f>
        <v>0</v>
      </c>
      <c r="DT22" s="539">
        <f>Equity!DT$31</f>
        <v>0</v>
      </c>
      <c r="DU22" s="539">
        <f>Equity!DU$31</f>
        <v>0</v>
      </c>
      <c r="DV22" s="539">
        <f>Equity!DV$31</f>
        <v>0</v>
      </c>
      <c r="DW22" s="539">
        <f>Equity!DW$31</f>
        <v>0</v>
      </c>
      <c r="DX22" s="539">
        <f>Equity!DX$31</f>
        <v>0</v>
      </c>
      <c r="DY22" s="539">
        <f>Equity!DY$31</f>
        <v>0</v>
      </c>
      <c r="DZ22" s="539">
        <f>Equity!DZ$31</f>
        <v>0</v>
      </c>
      <c r="EA22" s="539">
        <f>Equity!EA$31</f>
        <v>0</v>
      </c>
      <c r="EB22" s="539">
        <f>Equity!EB$31</f>
        <v>0</v>
      </c>
      <c r="EC22" s="539">
        <f>Equity!EC$31</f>
        <v>0</v>
      </c>
      <c r="ED22" s="539">
        <f>Equity!ED$31</f>
        <v>0</v>
      </c>
      <c r="EE22" s="539">
        <f>Equity!EE$31</f>
        <v>0</v>
      </c>
      <c r="EF22" s="539">
        <f>Equity!EF$31</f>
        <v>0</v>
      </c>
      <c r="EG22" s="539">
        <f>Equity!EG$31</f>
        <v>0</v>
      </c>
    </row>
    <row r="23" spans="5:137" ht="12.75">
      <c r="E23" s="538" t="str">
        <f>Reserves!E$31</f>
        <v>DSRF - fee on the facility</v>
      </c>
      <c r="G23" s="539" t="str">
        <f>Reserves!G$31</f>
        <v>EUR 000s</v>
      </c>
      <c r="H23" s="539">
        <f>Reserves!H$31</f>
        <v>0</v>
      </c>
      <c r="J23" s="539">
        <f>Reserves!J$31</f>
        <v>0</v>
      </c>
      <c r="K23" s="539">
        <f>Reserves!K$31</f>
        <v>0</v>
      </c>
      <c r="L23" s="539">
        <f>Reserves!L$31</f>
        <v>0</v>
      </c>
      <c r="M23" s="539">
        <f>Reserves!M$31</f>
        <v>0</v>
      </c>
      <c r="N23" s="539">
        <f>Reserves!N$31</f>
        <v>0</v>
      </c>
      <c r="O23" s="539">
        <f>Reserves!O$31</f>
        <v>0</v>
      </c>
      <c r="P23" s="539">
        <f>Reserves!P$31</f>
        <v>0</v>
      </c>
      <c r="Q23" s="539">
        <f>Reserves!Q$31</f>
        <v>0</v>
      </c>
      <c r="R23" s="539">
        <f>Reserves!R$31</f>
        <v>0</v>
      </c>
      <c r="S23" s="539">
        <f>Reserves!S$31</f>
        <v>0</v>
      </c>
      <c r="T23" s="539">
        <f>Reserves!T$31</f>
        <v>0</v>
      </c>
      <c r="U23" s="539">
        <f>Reserves!U$31</f>
        <v>0</v>
      </c>
      <c r="V23" s="539">
        <f>Reserves!V$31</f>
        <v>0</v>
      </c>
      <c r="W23" s="539">
        <f>Reserves!W$31</f>
        <v>0</v>
      </c>
      <c r="X23" s="539">
        <f>Reserves!X$31</f>
        <v>0</v>
      </c>
      <c r="Y23" s="539">
        <f>Reserves!Y$31</f>
        <v>0</v>
      </c>
      <c r="Z23" s="539">
        <f>Reserves!Z$31</f>
        <v>0</v>
      </c>
      <c r="AA23" s="539">
        <f>Reserves!AA$31</f>
        <v>0</v>
      </c>
      <c r="AB23" s="539">
        <f>Reserves!AB$31</f>
        <v>0</v>
      </c>
      <c r="AC23" s="539">
        <f>Reserves!AC$31</f>
        <v>0</v>
      </c>
      <c r="AD23" s="539">
        <f>Reserves!AD$31</f>
        <v>0</v>
      </c>
      <c r="AE23" s="539">
        <f>Reserves!AE$31</f>
        <v>0</v>
      </c>
      <c r="AF23" s="539">
        <f>Reserves!AF$31</f>
        <v>0</v>
      </c>
      <c r="AG23" s="539">
        <f>Reserves!AG$31</f>
        <v>0</v>
      </c>
      <c r="AH23" s="539">
        <f>Reserves!AH$31</f>
        <v>0</v>
      </c>
      <c r="AI23" s="539">
        <f>Reserves!AI$31</f>
        <v>0</v>
      </c>
      <c r="AJ23" s="539">
        <f>Reserves!AJ$31</f>
        <v>0</v>
      </c>
      <c r="AK23" s="539">
        <f>Reserves!AK$31</f>
        <v>0</v>
      </c>
      <c r="AL23" s="539">
        <f>Reserves!AL$31</f>
        <v>0</v>
      </c>
      <c r="AM23" s="539">
        <f>Reserves!AM$31</f>
        <v>0</v>
      </c>
      <c r="AN23" s="539">
        <f>Reserves!AN$31</f>
        <v>0</v>
      </c>
      <c r="AO23" s="539">
        <f>Reserves!AO$31</f>
        <v>0</v>
      </c>
      <c r="AP23" s="539">
        <f>Reserves!AP$31</f>
        <v>0</v>
      </c>
      <c r="AQ23" s="539">
        <f>Reserves!AQ$31</f>
        <v>0</v>
      </c>
      <c r="AR23" s="539">
        <f>Reserves!AR$31</f>
        <v>0</v>
      </c>
      <c r="AS23" s="539">
        <f>Reserves!AS$31</f>
        <v>0</v>
      </c>
      <c r="AT23" s="539">
        <f>Reserves!AT$31</f>
        <v>0</v>
      </c>
      <c r="AU23" s="539">
        <f>Reserves!AU$31</f>
        <v>0</v>
      </c>
      <c r="AV23" s="539">
        <f>Reserves!AV$31</f>
        <v>0</v>
      </c>
      <c r="AW23" s="539">
        <f>Reserves!AW$31</f>
        <v>0</v>
      </c>
      <c r="AX23" s="539">
        <f>Reserves!AX$31</f>
        <v>0</v>
      </c>
      <c r="AY23" s="539">
        <f>Reserves!AY$31</f>
        <v>0</v>
      </c>
      <c r="AZ23" s="539">
        <f>Reserves!AZ$31</f>
        <v>0</v>
      </c>
      <c r="BA23" s="539">
        <f>Reserves!BA$31</f>
        <v>0</v>
      </c>
      <c r="BB23" s="539">
        <f>Reserves!BB$31</f>
        <v>0</v>
      </c>
      <c r="BC23" s="539">
        <f>Reserves!BC$31</f>
        <v>0</v>
      </c>
      <c r="BD23" s="539">
        <f>Reserves!BD$31</f>
        <v>0</v>
      </c>
      <c r="BE23" s="539">
        <f>Reserves!BE$31</f>
        <v>0</v>
      </c>
      <c r="BF23" s="539">
        <f>Reserves!BF$31</f>
        <v>0</v>
      </c>
      <c r="BG23" s="539">
        <f>Reserves!BG$31</f>
        <v>0</v>
      </c>
      <c r="BH23" s="539">
        <f>Reserves!BH$31</f>
        <v>0</v>
      </c>
      <c r="BI23" s="539">
        <f>Reserves!BI$31</f>
        <v>0</v>
      </c>
      <c r="BJ23" s="539">
        <f>Reserves!BJ$31</f>
        <v>0</v>
      </c>
      <c r="BK23" s="539">
        <f>Reserves!BK$31</f>
        <v>0</v>
      </c>
      <c r="BL23" s="539">
        <f>Reserves!BL$31</f>
        <v>0</v>
      </c>
      <c r="BM23" s="539">
        <f>Reserves!BM$31</f>
        <v>0</v>
      </c>
      <c r="BN23" s="539">
        <f>Reserves!BN$31</f>
        <v>0</v>
      </c>
      <c r="BO23" s="539">
        <f>Reserves!BO$31</f>
        <v>0</v>
      </c>
      <c r="BP23" s="539">
        <f>Reserves!BP$31</f>
        <v>0</v>
      </c>
      <c r="BQ23" s="539">
        <f>Reserves!BQ$31</f>
        <v>0</v>
      </c>
      <c r="BR23" s="539">
        <f>Reserves!BR$31</f>
        <v>0</v>
      </c>
      <c r="BS23" s="539">
        <f>Reserves!BS$31</f>
        <v>0</v>
      </c>
      <c r="BT23" s="539">
        <f>Reserves!BT$31</f>
        <v>0</v>
      </c>
      <c r="BU23" s="539">
        <f>Reserves!BU$31</f>
        <v>0</v>
      </c>
      <c r="BV23" s="539">
        <f>Reserves!BV$31</f>
        <v>0</v>
      </c>
      <c r="BW23" s="539">
        <f>Reserves!BW$31</f>
        <v>0</v>
      </c>
      <c r="BX23" s="539">
        <f>Reserves!BX$31</f>
        <v>0</v>
      </c>
      <c r="BY23" s="539">
        <f>Reserves!BY$31</f>
        <v>0</v>
      </c>
      <c r="BZ23" s="539">
        <f>Reserves!BZ$31</f>
        <v>0</v>
      </c>
      <c r="CA23" s="539">
        <f>Reserves!CA$31</f>
        <v>0</v>
      </c>
      <c r="CB23" s="539">
        <f>Reserves!CB$31</f>
        <v>0</v>
      </c>
      <c r="CC23" s="539">
        <f>Reserves!CC$31</f>
        <v>0</v>
      </c>
      <c r="CD23" s="539">
        <f>Reserves!CD$31</f>
        <v>0</v>
      </c>
      <c r="CE23" s="539">
        <f>Reserves!CE$31</f>
        <v>0</v>
      </c>
      <c r="CF23" s="539">
        <f>Reserves!CF$31</f>
        <v>0</v>
      </c>
      <c r="CG23" s="539">
        <f>Reserves!CG$31</f>
        <v>0</v>
      </c>
      <c r="CH23" s="539">
        <f>Reserves!CH$31</f>
        <v>0</v>
      </c>
      <c r="CI23" s="539">
        <f>Reserves!CI$31</f>
        <v>0</v>
      </c>
      <c r="CJ23" s="539">
        <f>Reserves!CJ$31</f>
        <v>0</v>
      </c>
      <c r="CK23" s="539">
        <f>Reserves!CK$31</f>
        <v>0</v>
      </c>
      <c r="CL23" s="539">
        <f>Reserves!CL$31</f>
        <v>0</v>
      </c>
      <c r="CM23" s="539">
        <f>Reserves!CM$31</f>
        <v>0</v>
      </c>
      <c r="CN23" s="539">
        <f>Reserves!CN$31</f>
        <v>0</v>
      </c>
      <c r="CO23" s="539">
        <f>Reserves!CO$31</f>
        <v>0</v>
      </c>
      <c r="CP23" s="539">
        <f>Reserves!CP$31</f>
        <v>0</v>
      </c>
      <c r="CQ23" s="539">
        <f>Reserves!CQ$31</f>
        <v>0</v>
      </c>
      <c r="CR23" s="539">
        <f>Reserves!CR$31</f>
        <v>0</v>
      </c>
      <c r="CS23" s="539">
        <f>Reserves!CS$31</f>
        <v>0</v>
      </c>
      <c r="CT23" s="539">
        <f>Reserves!CT$31</f>
        <v>0</v>
      </c>
      <c r="CU23" s="539">
        <f>Reserves!CU$31</f>
        <v>0</v>
      </c>
      <c r="CV23" s="539">
        <f>Reserves!CV$31</f>
        <v>0</v>
      </c>
      <c r="CW23" s="539">
        <f>Reserves!CW$31</f>
        <v>0</v>
      </c>
      <c r="CX23" s="539">
        <f>Reserves!CX$31</f>
        <v>0</v>
      </c>
      <c r="CY23" s="539">
        <f>Reserves!CY$31</f>
        <v>0</v>
      </c>
      <c r="CZ23" s="539">
        <f>Reserves!CZ$31</f>
        <v>0</v>
      </c>
      <c r="DA23" s="539">
        <f>Reserves!DA$31</f>
        <v>0</v>
      </c>
      <c r="DB23" s="539">
        <f>Reserves!DB$31</f>
        <v>0</v>
      </c>
      <c r="DC23" s="539">
        <f>Reserves!DC$31</f>
        <v>0</v>
      </c>
      <c r="DD23" s="539">
        <f>Reserves!DD$31</f>
        <v>0</v>
      </c>
      <c r="DE23" s="539">
        <f>Reserves!DE$31</f>
        <v>0</v>
      </c>
      <c r="DF23" s="539">
        <f>Reserves!DF$31</f>
        <v>0</v>
      </c>
      <c r="DG23" s="539">
        <f>Reserves!DG$31</f>
        <v>0</v>
      </c>
      <c r="DH23" s="539">
        <f>Reserves!DH$31</f>
        <v>0</v>
      </c>
      <c r="DI23" s="539">
        <f>Reserves!DI$31</f>
        <v>0</v>
      </c>
      <c r="DJ23" s="539">
        <f>Reserves!DJ$31</f>
        <v>0</v>
      </c>
      <c r="DK23" s="539">
        <f>Reserves!DK$31</f>
        <v>0</v>
      </c>
      <c r="DL23" s="539">
        <f>Reserves!DL$31</f>
        <v>0</v>
      </c>
      <c r="DM23" s="539">
        <f>Reserves!DM$31</f>
        <v>0</v>
      </c>
      <c r="DN23" s="539">
        <f>Reserves!DN$31</f>
        <v>0</v>
      </c>
      <c r="DO23" s="539">
        <f>Reserves!DO$31</f>
        <v>0</v>
      </c>
      <c r="DP23" s="539">
        <f>Reserves!DP$31</f>
        <v>0</v>
      </c>
      <c r="DQ23" s="539">
        <f>Reserves!DQ$31</f>
        <v>0</v>
      </c>
      <c r="DR23" s="539">
        <f>Reserves!DR$31</f>
        <v>0</v>
      </c>
      <c r="DS23" s="539">
        <f>Reserves!DS$31</f>
        <v>0</v>
      </c>
      <c r="DT23" s="539">
        <f>Reserves!DT$31</f>
        <v>0</v>
      </c>
      <c r="DU23" s="539">
        <f>Reserves!DU$31</f>
        <v>0</v>
      </c>
      <c r="DV23" s="539">
        <f>Reserves!DV$31</f>
        <v>0</v>
      </c>
      <c r="DW23" s="539">
        <f>Reserves!DW$31</f>
        <v>0</v>
      </c>
      <c r="DX23" s="539">
        <f>Reserves!DX$31</f>
        <v>0</v>
      </c>
      <c r="DY23" s="539">
        <f>Reserves!DY$31</f>
        <v>0</v>
      </c>
      <c r="DZ23" s="539">
        <f>Reserves!DZ$31</f>
        <v>0</v>
      </c>
      <c r="EA23" s="539">
        <f>Reserves!EA$31</f>
        <v>0</v>
      </c>
      <c r="EB23" s="539">
        <f>Reserves!EB$31</f>
        <v>0</v>
      </c>
      <c r="EC23" s="539">
        <f>Reserves!EC$31</f>
        <v>0</v>
      </c>
      <c r="ED23" s="539">
        <f>Reserves!ED$31</f>
        <v>0</v>
      </c>
      <c r="EE23" s="539">
        <f>Reserves!EE$31</f>
        <v>0</v>
      </c>
      <c r="EF23" s="539">
        <f>Reserves!EF$31</f>
        <v>0</v>
      </c>
      <c r="EG23" s="539">
        <f>Reserves!EG$31</f>
        <v>0</v>
      </c>
    </row>
    <row r="24" spans="5:137" ht="12.75">
      <c r="E24" s="551" t="s">
        <v>511</v>
      </c>
      <c r="F24" s="552"/>
      <c r="G24" s="552" t="s">
        <v>30</v>
      </c>
      <c r="H24" s="552">
        <f>SUM(J24:EG24)</f>
        <v>608370.03617299476</v>
      </c>
      <c r="I24" s="552"/>
      <c r="J24" s="552">
        <f t="shared" si="2" ref="J24:EG24">J17-J20-J21-J19-J23-J22</f>
        <v>0</v>
      </c>
      <c r="K24" s="552">
        <f t="shared" si="2"/>
        <v>0</v>
      </c>
      <c r="L24" s="552">
        <f t="shared" si="2"/>
        <v>0</v>
      </c>
      <c r="M24" s="552">
        <f t="shared" si="2"/>
        <v>-52.099790485913836</v>
      </c>
      <c r="N24" s="552">
        <f t="shared" si="2"/>
        <v>-117.88207939222379</v>
      </c>
      <c r="O24" s="552">
        <f t="shared" si="2"/>
        <v>-178.00613039155573</v>
      </c>
      <c r="P24" s="552">
        <f t="shared" si="2"/>
        <v>-248.81799701115708</v>
      </c>
      <c r="Q24" s="552">
        <f t="shared" si="2"/>
        <v>-315.74099263477558</v>
      </c>
      <c r="R24" s="552">
        <f t="shared" si="2"/>
        <v>-325.35807883796764</v>
      </c>
      <c r="S24" s="552">
        <f t="shared" si="2"/>
        <v>-338.13766876565802</v>
      </c>
      <c r="T24" s="552">
        <f t="shared" si="2"/>
        <v>-329.17545163239942</v>
      </c>
      <c r="U24" s="552">
        <f t="shared" si="2"/>
        <v>-342.1049823855588</v>
      </c>
      <c r="V24" s="552">
        <f t="shared" si="2"/>
        <v>-344.13886680138523</v>
      </c>
      <c r="W24" s="552">
        <f t="shared" si="2"/>
        <v>-323.85033707295395</v>
      </c>
      <c r="X24" s="552">
        <f t="shared" si="2"/>
        <v>-348.11019987647381</v>
      </c>
      <c r="Y24" s="552">
        <f t="shared" si="2"/>
        <v>-338.88366439764434</v>
      </c>
      <c r="Z24" s="552">
        <f t="shared" si="2"/>
        <v>-352.1945195627062</v>
      </c>
      <c r="AA24" s="552">
        <f t="shared" si="2"/>
        <v>-342.85973066152582</v>
      </c>
      <c r="AB24" s="552">
        <f t="shared" si="2"/>
        <v>-356.32675989965577</v>
      </c>
      <c r="AC24" s="552">
        <f t="shared" si="2"/>
        <v>-358.44519570508658</v>
      </c>
      <c r="AD24" s="552">
        <f t="shared" si="2"/>
        <v>-348.94473488387973</v>
      </c>
      <c r="AE24" s="552">
        <f t="shared" si="2"/>
        <v>-362.65077419653329</v>
      </c>
      <c r="AF24" s="552">
        <f t="shared" si="2"/>
        <v>-353.03884603201357</v>
      </c>
      <c r="AG24" s="552">
        <f t="shared" si="2"/>
        <v>-366.90569604830296</v>
      </c>
      <c r="AH24" s="552">
        <f t="shared" si="2"/>
        <v>1190.2951970675358</v>
      </c>
      <c r="AI24" s="552">
        <f t="shared" si="2"/>
        <v>1196.9030490313662</v>
      </c>
      <c r="AJ24" s="552">
        <f t="shared" si="2"/>
        <v>1216.7986530799592</v>
      </c>
      <c r="AK24" s="552">
        <f t="shared" si="2"/>
        <v>1289.9083983588807</v>
      </c>
      <c r="AL24" s="552">
        <f t="shared" si="2"/>
        <v>1623.5596777730561</v>
      </c>
      <c r="AM24" s="552">
        <f t="shared" si="2"/>
        <v>1649.5740771211285</v>
      </c>
      <c r="AN24" s="552">
        <f t="shared" si="2"/>
        <v>1680.0474175442046</v>
      </c>
      <c r="AO24" s="552">
        <f t="shared" si="2"/>
        <v>1760.6520151392729</v>
      </c>
      <c r="AP24" s="552">
        <f t="shared" si="2"/>
        <v>2097.5413408476288</v>
      </c>
      <c r="AQ24" s="552">
        <f t="shared" si="2"/>
        <v>2134.6199492169444</v>
      </c>
      <c r="AR24" s="552">
        <f t="shared" si="2"/>
        <v>2176.5277394521299</v>
      </c>
      <c r="AS24" s="552">
        <f t="shared" si="2"/>
        <v>2264.9800095120618</v>
      </c>
      <c r="AT24" s="552">
        <f t="shared" si="2"/>
        <v>2561.2252249044818</v>
      </c>
      <c r="AU24" s="552">
        <f t="shared" si="2"/>
        <v>2623.7686855775696</v>
      </c>
      <c r="AV24" s="552">
        <f t="shared" si="2"/>
        <v>2645.985504200346</v>
      </c>
      <c r="AW24" s="552">
        <f t="shared" si="2"/>
        <v>2711.4532980339686</v>
      </c>
      <c r="AX24" s="552">
        <f t="shared" si="2"/>
        <v>1285.2550237011151</v>
      </c>
      <c r="AY24" s="552">
        <f t="shared" si="2"/>
        <v>1343.6541411342187</v>
      </c>
      <c r="AZ24" s="552">
        <f t="shared" si="2"/>
        <v>1407.6372336627674</v>
      </c>
      <c r="BA24" s="552">
        <f t="shared" si="2"/>
        <v>1512.9483362437493</v>
      </c>
      <c r="BB24" s="552">
        <f t="shared" si="2"/>
        <v>3600.1708330076772</v>
      </c>
      <c r="BC24" s="552">
        <f t="shared" si="2"/>
        <v>3670.7024938959303</v>
      </c>
      <c r="BD24" s="552">
        <f t="shared" si="2"/>
        <v>3746.8736542411839</v>
      </c>
      <c r="BE24" s="552">
        <f t="shared" si="2"/>
        <v>3858.674721557506</v>
      </c>
      <c r="BF24" s="552">
        <f t="shared" si="2"/>
        <v>4205.7256150659705</v>
      </c>
      <c r="BG24" s="552">
        <f t="shared" si="2"/>
        <v>4245.4641168371782</v>
      </c>
      <c r="BH24" s="552">
        <f t="shared" si="2"/>
        <v>4264.2318024652486</v>
      </c>
      <c r="BI24" s="552">
        <f t="shared" si="2"/>
        <v>4314.085094285635</v>
      </c>
      <c r="BJ24" s="552">
        <f t="shared" si="2"/>
        <v>4567.7563583747615</v>
      </c>
      <c r="BK24" s="552">
        <f t="shared" si="2"/>
        <v>4618.9711928236311</v>
      </c>
      <c r="BL24" s="552">
        <f t="shared" si="2"/>
        <v>4642.6891362517599</v>
      </c>
      <c r="BM24" s="552">
        <f t="shared" si="2"/>
        <v>4695.5368001940096</v>
      </c>
      <c r="BN24" s="552">
        <f t="shared" si="2"/>
        <v>4979.8921857486157</v>
      </c>
      <c r="BO24" s="552">
        <f t="shared" si="2"/>
        <v>5007.2220855981141</v>
      </c>
      <c r="BP24" s="552">
        <f t="shared" si="2"/>
        <v>5036.5820865134538</v>
      </c>
      <c r="BQ24" s="552">
        <f t="shared" si="2"/>
        <v>5092.6783515697198</v>
      </c>
      <c r="BR24" s="552">
        <f t="shared" si="2"/>
        <v>3410.203652722259</v>
      </c>
      <c r="BS24" s="552">
        <f t="shared" si="2"/>
        <v>3443.9848960102827</v>
      </c>
      <c r="BT24" s="552">
        <f t="shared" si="2"/>
        <v>3479.9842509189316</v>
      </c>
      <c r="BU24" s="552">
        <f t="shared" si="2"/>
        <v>3540.3429760438189</v>
      </c>
      <c r="BV24" s="552">
        <f t="shared" si="2"/>
        <v>5796.1254888440935</v>
      </c>
      <c r="BW24" s="552">
        <f t="shared" si="2"/>
        <v>5834.1904182080916</v>
      </c>
      <c r="BX24" s="552">
        <f t="shared" si="2"/>
        <v>5868.8781494038949</v>
      </c>
      <c r="BY24" s="552">
        <f t="shared" si="2"/>
        <v>5925.1671607956505</v>
      </c>
      <c r="BZ24" s="552">
        <f t="shared" si="2"/>
        <v>6186.9613402780924</v>
      </c>
      <c r="CA24" s="552">
        <f t="shared" si="2"/>
        <v>6244.4052540723851</v>
      </c>
      <c r="CB24" s="552">
        <f t="shared" si="2"/>
        <v>6284.3549879784077</v>
      </c>
      <c r="CC24" s="552">
        <f t="shared" si="2"/>
        <v>6343.1958074509594</v>
      </c>
      <c r="CD24" s="552">
        <f t="shared" si="2"/>
        <v>6622.6404081011924</v>
      </c>
      <c r="CE24" s="552">
        <f t="shared" si="2"/>
        <v>6651.1868803368343</v>
      </c>
      <c r="CF24" s="552">
        <f t="shared" si="2"/>
        <v>6681.6466042997426</v>
      </c>
      <c r="CG24" s="552">
        <f t="shared" si="2"/>
        <v>6728.9312967694132</v>
      </c>
      <c r="CH24" s="552">
        <f t="shared" si="2"/>
        <v>6998.1148941258325</v>
      </c>
      <c r="CI24" s="552">
        <f t="shared" si="2"/>
        <v>7031.4861519212809</v>
      </c>
      <c r="CJ24" s="552">
        <f t="shared" si="2"/>
        <v>7066.9142670871743</v>
      </c>
      <c r="CK24" s="552">
        <f t="shared" si="2"/>
        <v>7117.1723517249011</v>
      </c>
      <c r="CL24" s="552">
        <f t="shared" si="2"/>
        <v>5161.3243153936737</v>
      </c>
      <c r="CM24" s="552">
        <f t="shared" si="2"/>
        <v>5203.8134003685545</v>
      </c>
      <c r="CN24" s="552">
        <f t="shared" si="2"/>
        <v>5248.642928284461</v>
      </c>
      <c r="CO24" s="552">
        <f t="shared" si="2"/>
        <v>5306.184803028902</v>
      </c>
      <c r="CP24" s="552">
        <f t="shared" si="2"/>
        <v>7799.0098892658934</v>
      </c>
      <c r="CQ24" s="552">
        <f t="shared" si="2"/>
        <v>7853.8826413589977</v>
      </c>
      <c r="CR24" s="552">
        <f t="shared" si="2"/>
        <v>7900.5370036376698</v>
      </c>
      <c r="CS24" s="552">
        <f t="shared" si="2"/>
        <v>7957.630257095052</v>
      </c>
      <c r="CT24" s="552">
        <f t="shared" si="2"/>
        <v>8231.7888414669069</v>
      </c>
      <c r="CU24" s="552">
        <f t="shared" si="2"/>
        <v>8282.1670890335845</v>
      </c>
      <c r="CV24" s="552">
        <f t="shared" si="2"/>
        <v>8335.0791732767739</v>
      </c>
      <c r="CW24" s="552">
        <f t="shared" si="2"/>
        <v>8395.8464390032786</v>
      </c>
      <c r="CX24" s="552">
        <f t="shared" si="2"/>
        <v>8671.6476607082404</v>
      </c>
      <c r="CY24" s="552">
        <f t="shared" si="2"/>
        <v>8728.3388726371504</v>
      </c>
      <c r="CZ24" s="552">
        <f t="shared" si="2"/>
        <v>8787.7347650899828</v>
      </c>
      <c r="DA24" s="552">
        <f t="shared" si="2"/>
        <v>8852.4117973804878</v>
      </c>
      <c r="DB24" s="552">
        <f t="shared" si="2"/>
        <v>9352.098796156346</v>
      </c>
      <c r="DC24" s="552">
        <f t="shared" si="2"/>
        <v>9352.098796156346</v>
      </c>
      <c r="DD24" s="552">
        <f t="shared" si="2"/>
        <v>9352.098796156346</v>
      </c>
      <c r="DE24" s="552">
        <f t="shared" si="2"/>
        <v>9352.098796156346</v>
      </c>
      <c r="DF24" s="552">
        <f t="shared" si="2"/>
        <v>7043.1583384202968</v>
      </c>
      <c r="DG24" s="552">
        <f t="shared" si="2"/>
        <v>7043.1583384202968</v>
      </c>
      <c r="DH24" s="552">
        <f t="shared" si="2"/>
        <v>7043.1583384202968</v>
      </c>
      <c r="DI24" s="552">
        <f t="shared" si="2"/>
        <v>7043.1583384202968</v>
      </c>
      <c r="DJ24" s="552">
        <f t="shared" si="2"/>
        <v>9776.2361950914255</v>
      </c>
      <c r="DK24" s="552">
        <f t="shared" si="2"/>
        <v>9776.2361950914255</v>
      </c>
      <c r="DL24" s="552">
        <f t="shared" si="2"/>
        <v>9776.2361950914255</v>
      </c>
      <c r="DM24" s="552">
        <f t="shared" si="2"/>
        <v>9776.2361950914255</v>
      </c>
      <c r="DN24" s="552">
        <f t="shared" si="2"/>
        <v>9993.2527069352709</v>
      </c>
      <c r="DO24" s="552">
        <f t="shared" si="2"/>
        <v>9993.2527069352709</v>
      </c>
      <c r="DP24" s="552">
        <f t="shared" si="2"/>
        <v>9993.2527069352709</v>
      </c>
      <c r="DQ24" s="552">
        <f t="shared" si="2"/>
        <v>9993.2527069352709</v>
      </c>
      <c r="DR24" s="552">
        <f t="shared" si="2"/>
        <v>10213.619324751488</v>
      </c>
      <c r="DS24" s="552">
        <f t="shared" si="2"/>
        <v>10213.619324751488</v>
      </c>
      <c r="DT24" s="552">
        <f t="shared" si="2"/>
        <v>10213.619324751488</v>
      </c>
      <c r="DU24" s="552">
        <f t="shared" si="2"/>
        <v>10213.619324751488</v>
      </c>
      <c r="DV24" s="552">
        <f t="shared" si="2"/>
        <v>10437.374702359024</v>
      </c>
      <c r="DW24" s="552">
        <f t="shared" si="2"/>
        <v>10437.374702359024</v>
      </c>
      <c r="DX24" s="552">
        <f t="shared" si="2"/>
        <v>10437.374702359024</v>
      </c>
      <c r="DY24" s="552">
        <f t="shared" si="2"/>
        <v>10437.374702359024</v>
      </c>
      <c r="DZ24" s="552">
        <f t="shared" si="2"/>
        <v>10664.557450164866</v>
      </c>
      <c r="EA24" s="552">
        <f t="shared" si="2"/>
        <v>10664.557450164866</v>
      </c>
      <c r="EB24" s="552">
        <f t="shared" si="2"/>
        <v>10664.557450164866</v>
      </c>
      <c r="EC24" s="552">
        <f t="shared" si="2"/>
        <v>10664.557450164732</v>
      </c>
      <c r="ED24" s="552">
        <f t="shared" si="2"/>
        <v>0</v>
      </c>
      <c r="EE24" s="552">
        <f t="shared" si="2"/>
        <v>0</v>
      </c>
      <c r="EF24" s="552">
        <f t="shared" si="2"/>
        <v>0</v>
      </c>
      <c r="EG24" s="552">
        <f t="shared" si="2"/>
        <v>0</v>
      </c>
    </row>
    <row r="26" spans="5:137" ht="12.75">
      <c r="E26" s="538" t="str">
        <f>Tax!E$109</f>
        <v>Tax - payable</v>
      </c>
      <c r="G26" s="539" t="str">
        <f>Tax!G$109</f>
        <v>EUR 000s</v>
      </c>
      <c r="H26" s="539">
        <f>Tax!H$109</f>
        <v>157560.76508650024</v>
      </c>
      <c r="J26" s="539">
        <f>Tax!J$109</f>
        <v>0</v>
      </c>
      <c r="K26" s="539">
        <f>Tax!K$109</f>
        <v>0</v>
      </c>
      <c r="L26" s="539">
        <f>Tax!L$109</f>
        <v>0</v>
      </c>
      <c r="M26" s="539">
        <f>Tax!M$109</f>
        <v>0</v>
      </c>
      <c r="N26" s="539">
        <f>Tax!N$109</f>
        <v>0</v>
      </c>
      <c r="O26" s="539">
        <f>Tax!O$109</f>
        <v>0</v>
      </c>
      <c r="P26" s="539">
        <f>Tax!P$109</f>
        <v>0</v>
      </c>
      <c r="Q26" s="539">
        <f>Tax!Q$109</f>
        <v>0</v>
      </c>
      <c r="R26" s="539">
        <f>Tax!R$109</f>
        <v>0</v>
      </c>
      <c r="S26" s="539">
        <f>Tax!S$109</f>
        <v>0</v>
      </c>
      <c r="T26" s="539">
        <f>Tax!T$109</f>
        <v>0</v>
      </c>
      <c r="U26" s="539">
        <f>Tax!U$109</f>
        <v>0</v>
      </c>
      <c r="V26" s="539">
        <f>Tax!V$109</f>
        <v>0</v>
      </c>
      <c r="W26" s="539">
        <f>Tax!W$109</f>
        <v>0</v>
      </c>
      <c r="X26" s="539">
        <f>Tax!X$109</f>
        <v>0</v>
      </c>
      <c r="Y26" s="539">
        <f>Tax!Y$109</f>
        <v>0</v>
      </c>
      <c r="Z26" s="539">
        <f>Tax!Z$109</f>
        <v>0</v>
      </c>
      <c r="AA26" s="539">
        <f>Tax!AA$109</f>
        <v>0</v>
      </c>
      <c r="AB26" s="539">
        <f>Tax!AB$109</f>
        <v>0</v>
      </c>
      <c r="AC26" s="539">
        <f>Tax!AC$109</f>
        <v>0</v>
      </c>
      <c r="AD26" s="539">
        <f>Tax!AD$109</f>
        <v>0</v>
      </c>
      <c r="AE26" s="539">
        <f>Tax!AE$109</f>
        <v>0</v>
      </c>
      <c r="AF26" s="539">
        <f>Tax!AF$109</f>
        <v>0</v>
      </c>
      <c r="AG26" s="539">
        <f>Tax!AG$109</f>
        <v>0</v>
      </c>
      <c r="AH26" s="539">
        <f>Tax!AH$109</f>
        <v>0</v>
      </c>
      <c r="AI26" s="539">
        <f>Tax!AI$109</f>
        <v>0</v>
      </c>
      <c r="AJ26" s="539">
        <f>Tax!AJ$109</f>
        <v>0</v>
      </c>
      <c r="AK26" s="539">
        <f>Tax!AK$109</f>
        <v>0</v>
      </c>
      <c r="AL26" s="539">
        <f>Tax!AL$109</f>
        <v>0</v>
      </c>
      <c r="AM26" s="539">
        <f>Tax!AM$109</f>
        <v>0</v>
      </c>
      <c r="AN26" s="539">
        <f>Tax!AN$109</f>
        <v>0</v>
      </c>
      <c r="AO26" s="539">
        <f>Tax!AO$109</f>
        <v>0</v>
      </c>
      <c r="AP26" s="539">
        <f>Tax!AP$109</f>
        <v>0</v>
      </c>
      <c r="AQ26" s="539">
        <f>Tax!AQ$109</f>
        <v>0</v>
      </c>
      <c r="AR26" s="539">
        <f>Tax!AR$109</f>
        <v>0</v>
      </c>
      <c r="AS26" s="539">
        <f>Tax!AS$109</f>
        <v>0</v>
      </c>
      <c r="AT26" s="539">
        <f>Tax!AT$109</f>
        <v>0</v>
      </c>
      <c r="AU26" s="539">
        <f>Tax!AU$109</f>
        <v>0</v>
      </c>
      <c r="AV26" s="539">
        <f>Tax!AV$109</f>
        <v>0</v>
      </c>
      <c r="AW26" s="539">
        <f>Tax!AW$109</f>
        <v>4.364074562962367</v>
      </c>
      <c r="AX26" s="539">
        <f>Tax!AX$109</f>
        <v>0</v>
      </c>
      <c r="AY26" s="539">
        <f>Tax!AY$109</f>
        <v>0</v>
      </c>
      <c r="AZ26" s="539">
        <f>Tax!AZ$109</f>
        <v>0</v>
      </c>
      <c r="BA26" s="539">
        <f>Tax!BA$109</f>
        <v>4.7139976228182263</v>
      </c>
      <c r="BB26" s="539">
        <f>Tax!BB$109</f>
        <v>123.35434439866748</v>
      </c>
      <c r="BC26" s="539">
        <f>Tax!BC$109</f>
        <v>140.985082426448</v>
      </c>
      <c r="BD26" s="539">
        <f>Tax!BD$109</f>
        <v>157.82243724297831</v>
      </c>
      <c r="BE26" s="539">
        <f>Tax!BE$109</f>
        <v>173.90211109276487</v>
      </c>
      <c r="BF26" s="539">
        <f>Tax!BF$109</f>
        <v>198.25512746295027</v>
      </c>
      <c r="BG26" s="539">
        <f>Tax!BG$109</f>
        <v>212.92019200580182</v>
      </c>
      <c r="BH26" s="539">
        <f>Tax!BH$109</f>
        <v>226.92532864422503</v>
      </c>
      <c r="BI26" s="539">
        <f>Tax!BI$109</f>
        <v>240.30023413391928</v>
      </c>
      <c r="BJ26" s="539">
        <f>Tax!BJ$109</f>
        <v>262.21607368816206</v>
      </c>
      <c r="BK26" s="539">
        <f>Tax!BK$109</f>
        <v>274.41432186740042</v>
      </c>
      <c r="BL26" s="539">
        <f>Tax!BL$109</f>
        <v>286.06364887857308</v>
      </c>
      <c r="BM26" s="539">
        <f>Tax!BM$109</f>
        <v>297.18875617424294</v>
      </c>
      <c r="BN26" s="539">
        <f>Tax!BN$109</f>
        <v>317.10386035506565</v>
      </c>
      <c r="BO26" s="539">
        <f>Tax!BO$109</f>
        <v>327.25023633639898</v>
      </c>
      <c r="BP26" s="539">
        <f>Tax!BP$109</f>
        <v>336.94002539857229</v>
      </c>
      <c r="BQ26" s="539">
        <f>Tax!BQ$109</f>
        <v>346.19377395294782</v>
      </c>
      <c r="BR26" s="539">
        <f>Tax!BR$109</f>
        <v>261.14468402135651</v>
      </c>
      <c r="BS26" s="539">
        <f>Tax!BS$109</f>
        <v>269.58433404666084</v>
      </c>
      <c r="BT26" s="539">
        <f>Tax!BT$109</f>
        <v>277.64419982082643</v>
      </c>
      <c r="BU26" s="539">
        <f>Tax!BU$109</f>
        <v>285.34137163515459</v>
      </c>
      <c r="BV26" s="539">
        <f>Tax!BV$109</f>
        <v>572.02714248565167</v>
      </c>
      <c r="BW26" s="539">
        <f>Tax!BW$109</f>
        <v>1375.4371889343881</v>
      </c>
      <c r="BX26" s="539">
        <f>Tax!BX$109</f>
        <v>1397.7842307123358</v>
      </c>
      <c r="BY26" s="539">
        <f>Tax!BY$109</f>
        <v>1419.125655610276</v>
      </c>
      <c r="BZ26" s="539">
        <f>Tax!BZ$109</f>
        <v>1471.9929449214624</v>
      </c>
      <c r="CA26" s="539">
        <f>Tax!CA$109</f>
        <v>1491.4568579640058</v>
      </c>
      <c r="CB26" s="539">
        <f>Tax!CB$109</f>
        <v>1579.7075216152664</v>
      </c>
      <c r="CC26" s="539">
        <f>Tax!CC$109</f>
        <v>1937.9523262081209</v>
      </c>
      <c r="CD26" s="539">
        <f>Tax!CD$109</f>
        <v>2024.7662307751368</v>
      </c>
      <c r="CE26" s="539">
        <f>Tax!CE$109</f>
        <v>2048.0927292903048</v>
      </c>
      <c r="CF26" s="539">
        <f>Tax!CF$109</f>
        <v>2071.1689961167576</v>
      </c>
      <c r="CG26" s="539">
        <f>Tax!CG$109</f>
        <v>2097.7557449572951</v>
      </c>
      <c r="CH26" s="539">
        <f>Tax!CH$109</f>
        <v>2179.1527691119772</v>
      </c>
      <c r="CI26" s="539">
        <f>Tax!CI$109</f>
        <v>2200.9621577597163</v>
      </c>
      <c r="CJ26" s="539">
        <f>Tax!CJ$109</f>
        <v>2222.6797649111172</v>
      </c>
      <c r="CK26" s="539">
        <f>Tax!CK$109</f>
        <v>2247.5261384042792</v>
      </c>
      <c r="CL26" s="539">
        <f>Tax!CL$109</f>
        <v>1770.2932983001851</v>
      </c>
      <c r="CM26" s="539">
        <f>Tax!CM$109</f>
        <v>1792.1169259185758</v>
      </c>
      <c r="CN26" s="539">
        <f>Tax!CN$109</f>
        <v>1814.0216032353626</v>
      </c>
      <c r="CO26" s="539">
        <f>Tax!CO$109</f>
        <v>1838.6229889690817</v>
      </c>
      <c r="CP26" s="539">
        <f>Tax!CP$109</f>
        <v>2471.5854613087963</v>
      </c>
      <c r="CQ26" s="539">
        <f>Tax!CQ$109</f>
        <v>2494.6208210774184</v>
      </c>
      <c r="CR26" s="539">
        <f>Tax!CR$109</f>
        <v>2515.1823106638908</v>
      </c>
      <c r="CS26" s="539">
        <f>Tax!CS$109</f>
        <v>2537.9531175892853</v>
      </c>
      <c r="CT26" s="539">
        <f>Tax!CT$109</f>
        <v>2614.6078700330509</v>
      </c>
      <c r="CU26" s="539">
        <f>Tax!CU$109</f>
        <v>2634.9523584897361</v>
      </c>
      <c r="CV26" s="539">
        <f>Tax!CV$109</f>
        <v>2655.5815594201231</v>
      </c>
      <c r="CW26" s="539">
        <f>Tax!CW$109</f>
        <v>2677.8415026272069</v>
      </c>
      <c r="CX26" s="539">
        <f>Tax!CX$109</f>
        <v>2753.5418691240106</v>
      </c>
      <c r="CY26" s="539">
        <f>Tax!CY$109</f>
        <v>2774.1609804286254</v>
      </c>
      <c r="CZ26" s="539">
        <f>Tax!CZ$109</f>
        <v>2795.1661779897131</v>
      </c>
      <c r="DA26" s="539">
        <f>Tax!DA$109</f>
        <v>2817.2146304100647</v>
      </c>
      <c r="DB26" s="539">
        <f>Tax!DB$109</f>
        <v>2947.7510107061066</v>
      </c>
      <c r="DC26" s="539">
        <f>Tax!DC$109</f>
        <v>2953.1129829310908</v>
      </c>
      <c r="DD26" s="539">
        <f>Tax!DD$109</f>
        <v>2958.2336664059508</v>
      </c>
      <c r="DE26" s="539">
        <f>Tax!DE$109</f>
        <v>2963.1239191244422</v>
      </c>
      <c r="DF26" s="539">
        <f>Tax!DF$109</f>
        <v>2390.5589960365887</v>
      </c>
      <c r="DG26" s="539">
        <f>Tax!DG$109</f>
        <v>2395.0190287721707</v>
      </c>
      <c r="DH26" s="539">
        <f>Tax!DH$109</f>
        <v>2399.2783600346515</v>
      </c>
      <c r="DI26" s="539">
        <f>Tax!DI$109</f>
        <v>2403.3460213903204</v>
      </c>
      <c r="DJ26" s="539">
        <f>Tax!DJ$109</f>
        <v>3090.5001021527669</v>
      </c>
      <c r="DK26" s="539">
        <f>Tax!DK$109</f>
        <v>3094.2099110006707</v>
      </c>
      <c r="DL26" s="539">
        <f>Tax!DL$109</f>
        <v>3097.7527784504191</v>
      </c>
      <c r="DM26" s="539">
        <f>Tax!DM$109</f>
        <v>3101.1362168649289</v>
      </c>
      <c r="DN26" s="539">
        <f>Tax!DN$109</f>
        <v>3158.6215285117473</v>
      </c>
      <c r="DO26" s="539">
        <f>Tax!DO$109</f>
        <v>3161.7073089317405</v>
      </c>
      <c r="DP26" s="539">
        <f>Tax!DP$109</f>
        <v>3164.654229232834</v>
      </c>
      <c r="DQ26" s="539">
        <f>Tax!DQ$109</f>
        <v>3167.4685381203781</v>
      </c>
      <c r="DR26" s="539">
        <f>Tax!DR$109</f>
        <v>3225.2478575620371</v>
      </c>
      <c r="DS26" s="539">
        <f>Tax!DS$109</f>
        <v>3227.8145776251999</v>
      </c>
      <c r="DT26" s="539">
        <f>Tax!DT$109</f>
        <v>3230.2657952855202</v>
      </c>
      <c r="DU26" s="539">
        <f>Tax!DU$109</f>
        <v>3232.606708151126</v>
      </c>
      <c r="DV26" s="539">
        <f>Tax!DV$109</f>
        <v>3290.7811243396641</v>
      </c>
      <c r="DW26" s="539">
        <f>Tax!DW$109</f>
        <v>3292.9160953959181</v>
      </c>
      <c r="DX26" s="539">
        <f>Tax!DX$109</f>
        <v>3294.9549927546409</v>
      </c>
      <c r="DY26" s="539">
        <f>Tax!DY$109</f>
        <v>3296.9021397322213</v>
      </c>
      <c r="DZ26" s="539">
        <f>Tax!DZ$109</f>
        <v>3355.5573520472708</v>
      </c>
      <c r="EA26" s="539">
        <f>Tax!EA$109</f>
        <v>3357.3331987694983</v>
      </c>
      <c r="EB26" s="539">
        <f>Tax!EB$109</f>
        <v>3359.0291323892257</v>
      </c>
      <c r="EC26" s="539">
        <f>Tax!EC$109</f>
        <v>2631.201422648935</v>
      </c>
      <c r="ED26" s="539">
        <f>Tax!ED$109</f>
        <v>0</v>
      </c>
      <c r="EE26" s="539">
        <f>Tax!EE$109</f>
        <v>0</v>
      </c>
      <c r="EF26" s="539">
        <f>Tax!EF$109</f>
        <v>0</v>
      </c>
      <c r="EG26" s="539">
        <f>Tax!EG$109</f>
        <v>0</v>
      </c>
    </row>
    <row r="27" spans="5:137" ht="12.75">
      <c r="E27" s="538" t="str">
        <f>Tax!E$122</f>
        <v>Deferred tax - charge</v>
      </c>
      <c r="G27" s="539" t="str">
        <f>Tax!G$122</f>
        <v>EUR 000s</v>
      </c>
      <c r="H27" s="539">
        <f>Tax!H$122</f>
        <v>0</v>
      </c>
      <c r="J27" s="539">
        <f>Tax!J$122</f>
        <v>0</v>
      </c>
      <c r="K27" s="539">
        <f>Tax!K$122</f>
        <v>0</v>
      </c>
      <c r="L27" s="539">
        <f>Tax!L$122</f>
        <v>0</v>
      </c>
      <c r="M27" s="539">
        <f>Tax!M$122</f>
        <v>0</v>
      </c>
      <c r="N27" s="539">
        <f>Tax!N$122</f>
        <v>0</v>
      </c>
      <c r="O27" s="539">
        <f>Tax!O$122</f>
        <v>0</v>
      </c>
      <c r="P27" s="539">
        <f>Tax!P$122</f>
        <v>0</v>
      </c>
      <c r="Q27" s="539">
        <f>Tax!Q$122</f>
        <v>0</v>
      </c>
      <c r="R27" s="539">
        <f>Tax!R$122</f>
        <v>0</v>
      </c>
      <c r="S27" s="539">
        <f>Tax!S$122</f>
        <v>0</v>
      </c>
      <c r="T27" s="539">
        <f>Tax!T$122</f>
        <v>0</v>
      </c>
      <c r="U27" s="539">
        <f>Tax!U$122</f>
        <v>0</v>
      </c>
      <c r="V27" s="539">
        <f>Tax!V$122</f>
        <v>0</v>
      </c>
      <c r="W27" s="539">
        <f>Tax!W$122</f>
        <v>0</v>
      </c>
      <c r="X27" s="539">
        <f>Tax!X$122</f>
        <v>0</v>
      </c>
      <c r="Y27" s="539">
        <f>Tax!Y$122</f>
        <v>0</v>
      </c>
      <c r="Z27" s="539">
        <f>Tax!Z$122</f>
        <v>0</v>
      </c>
      <c r="AA27" s="539">
        <f>Tax!AA$122</f>
        <v>0</v>
      </c>
      <c r="AB27" s="539">
        <f>Tax!AB$122</f>
        <v>0</v>
      </c>
      <c r="AC27" s="539">
        <f>Tax!AC$122</f>
        <v>0</v>
      </c>
      <c r="AD27" s="539">
        <f>Tax!AD$122</f>
        <v>0</v>
      </c>
      <c r="AE27" s="539">
        <f>Tax!AE$122</f>
        <v>0</v>
      </c>
      <c r="AF27" s="539">
        <f>Tax!AF$122</f>
        <v>0</v>
      </c>
      <c r="AG27" s="539">
        <f>Tax!AG$122</f>
        <v>0</v>
      </c>
      <c r="AH27" s="539">
        <f>Tax!AH$122</f>
        <v>565.45954380123203</v>
      </c>
      <c r="AI27" s="539">
        <f>Tax!AI$122</f>
        <v>568.72509516230912</v>
      </c>
      <c r="AJ27" s="539">
        <f>Tax!AJ$122</f>
        <v>566.90553728498185</v>
      </c>
      <c r="AK27" s="539">
        <f>Tax!AK$122</f>
        <v>575.50287274504967</v>
      </c>
      <c r="AL27" s="539">
        <f>Tax!AL$122</f>
        <v>643.99560616182771</v>
      </c>
      <c r="AM27" s="539">
        <f>Tax!AM$122</f>
        <v>642.83837045161727</v>
      </c>
      <c r="AN27" s="539">
        <f>Tax!AN$122</f>
        <v>641.99814361408426</v>
      </c>
      <c r="AO27" s="539">
        <f>Tax!AO$122</f>
        <v>651.20627833251547</v>
      </c>
      <c r="AP27" s="539">
        <f>Tax!AP$122</f>
        <v>720.16671739970752</v>
      </c>
      <c r="AQ27" s="539">
        <f>Tax!AQ$122</f>
        <v>720.02647207078735</v>
      </c>
      <c r="AR27" s="539">
        <f>Tax!AR$122</f>
        <v>720.23050514014176</v>
      </c>
      <c r="AS27" s="539">
        <f>Tax!AS$122</f>
        <v>730.08861298122793</v>
      </c>
      <c r="AT27" s="539">
        <f>Tax!AT$122</f>
        <v>790.16447446184247</v>
      </c>
      <c r="AU27" s="539">
        <f>Tax!AU$122</f>
        <v>800.38674419241033</v>
      </c>
      <c r="AV27" s="539">
        <f>Tax!AV$122</f>
        <v>801.6648269965408</v>
      </c>
      <c r="AW27" s="539">
        <f>Tax!AW$122</f>
        <v>807.84880931394582</v>
      </c>
      <c r="AX27" s="539">
        <f>Tax!AX$122</f>
        <v>447.19421690055242</v>
      </c>
      <c r="AY27" s="539">
        <f>Tax!AY$122</f>
        <v>449.29036617590464</v>
      </c>
      <c r="AZ27" s="539">
        <f>Tax!AZ$122</f>
        <v>451.79069424521367</v>
      </c>
      <c r="BA27" s="539">
        <f>Tax!BA$122</f>
        <v>458.35981104168241</v>
      </c>
      <c r="BB27" s="539">
        <f>Tax!BB$122</f>
        <v>844.9128850238485</v>
      </c>
      <c r="BC27" s="539">
        <f>Tax!BC$122</f>
        <v>830.39016572665423</v>
      </c>
      <c r="BD27" s="539">
        <f>Tax!BD$122</f>
        <v>817.05854936262403</v>
      </c>
      <c r="BE27" s="539">
        <f>Tax!BE$122</f>
        <v>812.75442755050426</v>
      </c>
      <c r="BF27" s="539">
        <f>Tax!BF$122</f>
        <v>858.85159047830348</v>
      </c>
      <c r="BG27" s="539">
        <f>Tax!BG$122</f>
        <v>848.44583720349328</v>
      </c>
      <c r="BH27" s="539">
        <f>Tax!BH$122</f>
        <v>839.13262197208678</v>
      </c>
      <c r="BI27" s="539">
        <f>Tax!BI$122</f>
        <v>838.22103943749244</v>
      </c>
      <c r="BJ27" s="539">
        <f>Tax!BJ$122</f>
        <v>879.72301590552888</v>
      </c>
      <c r="BK27" s="539">
        <f>Tax!BK$122</f>
        <v>880.3284763385127</v>
      </c>
      <c r="BL27" s="539">
        <f>Tax!BL$122</f>
        <v>874.60863518436599</v>
      </c>
      <c r="BM27" s="539">
        <f>Tax!BM$122</f>
        <v>876.69544387425776</v>
      </c>
      <c r="BN27" s="539">
        <f>Tax!BN$122</f>
        <v>927.86918608209089</v>
      </c>
      <c r="BO27" s="539">
        <f>Tax!BO$122</f>
        <v>924.55528506313203</v>
      </c>
      <c r="BP27" s="539">
        <f>Tax!BP$122</f>
        <v>922.20549622979524</v>
      </c>
      <c r="BQ27" s="539">
        <f>Tax!BQ$122</f>
        <v>926.97581393947985</v>
      </c>
      <c r="BR27" s="539">
        <f>Tax!BR$122</f>
        <v>591.40622915920903</v>
      </c>
      <c r="BS27" s="539">
        <f>Tax!BS$122</f>
        <v>591.41188995591801</v>
      </c>
      <c r="BT27" s="539">
        <f>Tax!BT$122</f>
        <v>592.35186290890852</v>
      </c>
      <c r="BU27" s="539">
        <f>Tax!BU$122</f>
        <v>599.74437237579696</v>
      </c>
      <c r="BV27" s="539">
        <f>Tax!BV$122</f>
        <v>877.0042297253749</v>
      </c>
      <c r="BW27" s="539">
        <f>Tax!BW$122</f>
        <v>83.110415617637045</v>
      </c>
      <c r="BX27" s="539">
        <f>Tax!BX$122</f>
        <v>69.435306638639304</v>
      </c>
      <c r="BY27" s="539">
        <f>Tax!BY$122</f>
        <v>62.166134588631394</v>
      </c>
      <c r="BZ27" s="539">
        <f>Tax!BZ$122</f>
        <v>74.747390148066188</v>
      </c>
      <c r="CA27" s="539">
        <f>Tax!CA$122</f>
        <v>69.64445555409111</v>
      </c>
      <c r="CB27" s="539">
        <f>Tax!CB$122</f>
        <v>-8.6187746206633165</v>
      </c>
      <c r="CC27" s="539">
        <f>Tax!CC$122</f>
        <v>-352.15337434538014</v>
      </c>
      <c r="CD27" s="539">
        <f>Tax!CD$122</f>
        <v>-369.10612874983781</v>
      </c>
      <c r="CE27" s="539">
        <f>Tax!CE$122</f>
        <v>-385.296009206093</v>
      </c>
      <c r="CF27" s="539">
        <f>Tax!CF$122</f>
        <v>-400.75734504182037</v>
      </c>
      <c r="CG27" s="539">
        <f>Tax!CG$122</f>
        <v>-415.52292076493904</v>
      </c>
      <c r="CH27" s="539">
        <f>Tax!CH$122</f>
        <v>-429.62404558051639</v>
      </c>
      <c r="CI27" s="539">
        <f>Tax!CI$122</f>
        <v>-443.09061977939564</v>
      </c>
      <c r="CJ27" s="539">
        <f>Tax!CJ$122</f>
        <v>-455.95119813931524</v>
      </c>
      <c r="CK27" s="539">
        <f>Tax!CK$122</f>
        <v>-468.23305047304893</v>
      </c>
      <c r="CL27" s="539">
        <f>Tax!CL$122</f>
        <v>-479.96221945176512</v>
      </c>
      <c r="CM27" s="539">
        <f>Tax!CM$122</f>
        <v>-491.16357582643832</v>
      </c>
      <c r="CN27" s="539">
        <f>Tax!CN$122</f>
        <v>-501.8608711642446</v>
      </c>
      <c r="CO27" s="539">
        <f>Tax!CO$122</f>
        <v>-512.07678821185254</v>
      </c>
      <c r="CP27" s="539">
        <f>Tax!CP$122</f>
        <v>-521.83298899231886</v>
      </c>
      <c r="CQ27" s="539">
        <f>Tax!CQ$122</f>
        <v>-531.1501607376631</v>
      </c>
      <c r="CR27" s="539">
        <f>Tax!CR$122</f>
        <v>-540.0480597544738</v>
      </c>
      <c r="CS27" s="539">
        <f>Tax!CS$122</f>
        <v>-548.54555331551819</v>
      </c>
      <c r="CT27" s="539">
        <f>Tax!CT$122</f>
        <v>-556.66065966631868</v>
      </c>
      <c r="CU27" s="539">
        <f>Tax!CU$122</f>
        <v>-564.41058623133722</v>
      </c>
      <c r="CV27" s="539">
        <f>Tax!CV$122</f>
        <v>-571.81176610092371</v>
      </c>
      <c r="CW27" s="539">
        <f>Tax!CW$122</f>
        <v>-578.87989287638629</v>
      </c>
      <c r="CX27" s="539">
        <f>Tax!CX$122</f>
        <v>-585.62995394694735</v>
      </c>
      <c r="CY27" s="539">
        <f>Tax!CY$122</f>
        <v>-592.07626226932916</v>
      </c>
      <c r="CZ27" s="539">
        <f>Tax!CZ$122</f>
        <v>-598.23248671721376</v>
      </c>
      <c r="DA27" s="539">
        <f>Tax!DA$122</f>
        <v>-604.11168106494006</v>
      </c>
      <c r="DB27" s="539">
        <f>Tax!DB$122</f>
        <v>-609.72631166702195</v>
      </c>
      <c r="DC27" s="539">
        <f>Tax!DC$122</f>
        <v>-615.08828389200062</v>
      </c>
      <c r="DD27" s="539">
        <f>Tax!DD$122</f>
        <v>-620.20896736685972</v>
      </c>
      <c r="DE27" s="539">
        <f>Tax!DE$122</f>
        <v>-625.0992200853525</v>
      </c>
      <c r="DF27" s="539">
        <f>Tax!DF$122</f>
        <v>-629.76941143151089</v>
      </c>
      <c r="DG27" s="539">
        <f>Tax!DG$122</f>
        <v>-634.2294441670947</v>
      </c>
      <c r="DH27" s="539">
        <f>Tax!DH$122</f>
        <v>-638.48877542957598</v>
      </c>
      <c r="DI27" s="539">
        <f>Tax!DI$122</f>
        <v>-642.55643678524575</v>
      </c>
      <c r="DJ27" s="539">
        <f>Tax!DJ$122</f>
        <v>-646.44105337990914</v>
      </c>
      <c r="DK27" s="539">
        <f>Tax!DK$122</f>
        <v>-650.15086222781247</v>
      </c>
      <c r="DL27" s="539">
        <f>Tax!DL$122</f>
        <v>-653.69372967756135</v>
      </c>
      <c r="DM27" s="539">
        <f>Tax!DM$122</f>
        <v>-657.07716809207159</v>
      </c>
      <c r="DN27" s="539">
        <f>Tax!DN$122</f>
        <v>-660.30835177792687</v>
      </c>
      <c r="DO27" s="539">
        <f>Tax!DO$122</f>
        <v>-663.39413219792186</v>
      </c>
      <c r="DP27" s="539">
        <f>Tax!DP$122</f>
        <v>-666.34105249901586</v>
      </c>
      <c r="DQ27" s="539">
        <f>Tax!DQ$122</f>
        <v>-669.15536138655898</v>
      </c>
      <c r="DR27" s="539">
        <f>Tax!DR$122</f>
        <v>-671.84302637416386</v>
      </c>
      <c r="DS27" s="539">
        <f>Tax!DS$122</f>
        <v>-674.40974643732625</v>
      </c>
      <c r="DT27" s="539">
        <f>Tax!DT$122</f>
        <v>-676.86096409764741</v>
      </c>
      <c r="DU27" s="539">
        <f>Tax!DU$122</f>
        <v>-679.2018769632532</v>
      </c>
      <c r="DV27" s="539">
        <f>Tax!DV$122</f>
        <v>-681.43744874990625</v>
      </c>
      <c r="DW27" s="539">
        <f>Tax!DW$122</f>
        <v>-683.57241980616072</v>
      </c>
      <c r="DX27" s="539">
        <f>Tax!DX$122</f>
        <v>-685.61131716488308</v>
      </c>
      <c r="DY27" s="539">
        <f>Tax!DY$122</f>
        <v>-687.55846414246344</v>
      </c>
      <c r="DZ27" s="539">
        <f>Tax!DZ$122</f>
        <v>-689.41798950605244</v>
      </c>
      <c r="EA27" s="539">
        <f>Tax!EA$122</f>
        <v>-691.19383622828002</v>
      </c>
      <c r="EB27" s="539">
        <f>Tax!EB$122</f>
        <v>-692.88976984800763</v>
      </c>
      <c r="EC27" s="539">
        <f>Tax!EC$122</f>
        <v>34.937939892247869</v>
      </c>
      <c r="ED27" s="539">
        <f>Tax!ED$122</f>
        <v>0</v>
      </c>
      <c r="EE27" s="539">
        <f>Tax!EE$122</f>
        <v>0</v>
      </c>
      <c r="EF27" s="539">
        <f>Tax!EF$122</f>
        <v>0</v>
      </c>
      <c r="EG27" s="539">
        <f>Tax!EG$122</f>
        <v>0</v>
      </c>
    </row>
    <row r="28" spans="5:137" ht="12.75">
      <c r="E28" s="551" t="s">
        <v>512</v>
      </c>
      <c r="F28" s="552"/>
      <c r="G28" s="552" t="s">
        <v>30</v>
      </c>
      <c r="H28" s="552">
        <f>SUM(J28:EG28)</f>
        <v>450809.27108649485</v>
      </c>
      <c r="I28" s="552"/>
      <c r="J28" s="552">
        <f t="shared" si="3" ref="J28:EG28">J24-J26-J27</f>
        <v>0</v>
      </c>
      <c r="K28" s="552">
        <f t="shared" si="3"/>
        <v>0</v>
      </c>
      <c r="L28" s="552">
        <f t="shared" si="3"/>
        <v>0</v>
      </c>
      <c r="M28" s="552">
        <f t="shared" si="3"/>
        <v>-52.099790485913836</v>
      </c>
      <c r="N28" s="552">
        <f t="shared" si="3"/>
        <v>-117.88207939222379</v>
      </c>
      <c r="O28" s="552">
        <f t="shared" si="3"/>
        <v>-178.00613039155573</v>
      </c>
      <c r="P28" s="552">
        <f t="shared" si="3"/>
        <v>-248.81799701115708</v>
      </c>
      <c r="Q28" s="552">
        <f t="shared" si="3"/>
        <v>-315.74099263477558</v>
      </c>
      <c r="R28" s="552">
        <f t="shared" si="3"/>
        <v>-325.35807883796764</v>
      </c>
      <c r="S28" s="552">
        <f t="shared" si="3"/>
        <v>-338.13766876565802</v>
      </c>
      <c r="T28" s="552">
        <f t="shared" si="3"/>
        <v>-329.17545163239942</v>
      </c>
      <c r="U28" s="552">
        <f t="shared" si="3"/>
        <v>-342.1049823855588</v>
      </c>
      <c r="V28" s="552">
        <f t="shared" si="3"/>
        <v>-344.13886680138523</v>
      </c>
      <c r="W28" s="552">
        <f t="shared" si="3"/>
        <v>-323.85033707295395</v>
      </c>
      <c r="X28" s="552">
        <f t="shared" si="3"/>
        <v>-348.11019987647381</v>
      </c>
      <c r="Y28" s="552">
        <f t="shared" si="3"/>
        <v>-338.88366439764434</v>
      </c>
      <c r="Z28" s="552">
        <f t="shared" si="3"/>
        <v>-352.1945195627062</v>
      </c>
      <c r="AA28" s="552">
        <f t="shared" si="3"/>
        <v>-342.85973066152582</v>
      </c>
      <c r="AB28" s="552">
        <f t="shared" si="3"/>
        <v>-356.32675989965577</v>
      </c>
      <c r="AC28" s="552">
        <f t="shared" si="3"/>
        <v>-358.44519570508658</v>
      </c>
      <c r="AD28" s="552">
        <f t="shared" si="3"/>
        <v>-348.94473488387973</v>
      </c>
      <c r="AE28" s="552">
        <f t="shared" si="3"/>
        <v>-362.65077419653329</v>
      </c>
      <c r="AF28" s="552">
        <f t="shared" si="3"/>
        <v>-353.03884603201357</v>
      </c>
      <c r="AG28" s="552">
        <f t="shared" si="3"/>
        <v>-366.90569604830296</v>
      </c>
      <c r="AH28" s="552">
        <f t="shared" si="3"/>
        <v>624.83565326630378</v>
      </c>
      <c r="AI28" s="552">
        <f t="shared" si="3"/>
        <v>628.17795386905709</v>
      </c>
      <c r="AJ28" s="552">
        <f t="shared" si="3"/>
        <v>649.89311579497735</v>
      </c>
      <c r="AK28" s="552">
        <f t="shared" si="3"/>
        <v>714.40552561383106</v>
      </c>
      <c r="AL28" s="552">
        <f t="shared" si="3"/>
        <v>979.56407161122843</v>
      </c>
      <c r="AM28" s="552">
        <f t="shared" si="3"/>
        <v>1006.7357066695113</v>
      </c>
      <c r="AN28" s="552">
        <f t="shared" si="3"/>
        <v>1038.0492739301203</v>
      </c>
      <c r="AO28" s="552">
        <f t="shared" si="3"/>
        <v>1109.4457368067574</v>
      </c>
      <c r="AP28" s="552">
        <f t="shared" si="3"/>
        <v>1377.3746234479213</v>
      </c>
      <c r="AQ28" s="552">
        <f t="shared" si="3"/>
        <v>1414.5934771461571</v>
      </c>
      <c r="AR28" s="552">
        <f t="shared" si="3"/>
        <v>1456.2972343119882</v>
      </c>
      <c r="AS28" s="552">
        <f t="shared" si="3"/>
        <v>1534.8913965308338</v>
      </c>
      <c r="AT28" s="552">
        <f t="shared" si="3"/>
        <v>1771.0607504426393</v>
      </c>
      <c r="AU28" s="552">
        <f t="shared" si="3"/>
        <v>1823.3819413851593</v>
      </c>
      <c r="AV28" s="552">
        <f t="shared" si="3"/>
        <v>1844.3206772038052</v>
      </c>
      <c r="AW28" s="552">
        <f t="shared" si="3"/>
        <v>1899.2404141570605</v>
      </c>
      <c r="AX28" s="552">
        <f t="shared" si="3"/>
        <v>838.06080680056266</v>
      </c>
      <c r="AY28" s="552">
        <f t="shared" si="3"/>
        <v>894.36377495831402</v>
      </c>
      <c r="AZ28" s="552">
        <f t="shared" si="3"/>
        <v>955.84653941755369</v>
      </c>
      <c r="BA28" s="552">
        <f t="shared" si="3"/>
        <v>1049.8745275792487</v>
      </c>
      <c r="BB28" s="552">
        <f t="shared" si="3"/>
        <v>2631.9036035851614</v>
      </c>
      <c r="BC28" s="552">
        <f t="shared" si="3"/>
        <v>2699.3272457428279</v>
      </c>
      <c r="BD28" s="552">
        <f t="shared" si="3"/>
        <v>2771.9926676355817</v>
      </c>
      <c r="BE28" s="552">
        <f t="shared" si="3"/>
        <v>2872.0181829142371</v>
      </c>
      <c r="BF28" s="552">
        <f t="shared" si="3"/>
        <v>3148.6188971247166</v>
      </c>
      <c r="BG28" s="552">
        <f t="shared" si="3"/>
        <v>3184.0980876278832</v>
      </c>
      <c r="BH28" s="552">
        <f t="shared" si="3"/>
        <v>3198.1738518489369</v>
      </c>
      <c r="BI28" s="552">
        <f t="shared" si="3"/>
        <v>3235.5638207142233</v>
      </c>
      <c r="BJ28" s="552">
        <f t="shared" si="3"/>
        <v>3425.8172687810702</v>
      </c>
      <c r="BK28" s="552">
        <f t="shared" si="3"/>
        <v>3464.2283946177176</v>
      </c>
      <c r="BL28" s="552">
        <f t="shared" si="3"/>
        <v>3482.0168521888208</v>
      </c>
      <c r="BM28" s="552">
        <f t="shared" si="3"/>
        <v>3521.6526001455086</v>
      </c>
      <c r="BN28" s="552">
        <f t="shared" si="3"/>
        <v>3734.9191393114588</v>
      </c>
      <c r="BO28" s="552">
        <f t="shared" si="3"/>
        <v>3755.4165641985828</v>
      </c>
      <c r="BP28" s="552">
        <f t="shared" si="3"/>
        <v>3777.4365648850862</v>
      </c>
      <c r="BQ28" s="552">
        <f t="shared" si="3"/>
        <v>3819.5087636772923</v>
      </c>
      <c r="BR28" s="552">
        <f t="shared" si="3"/>
        <v>2557.6527395416933</v>
      </c>
      <c r="BS28" s="552">
        <f t="shared" si="3"/>
        <v>2582.9886720077038</v>
      </c>
      <c r="BT28" s="552">
        <f t="shared" si="3"/>
        <v>2609.9881881891965</v>
      </c>
      <c r="BU28" s="552">
        <f t="shared" si="3"/>
        <v>2655.2572320328673</v>
      </c>
      <c r="BV28" s="552">
        <f t="shared" si="3"/>
        <v>4347.0941166330667</v>
      </c>
      <c r="BW28" s="552">
        <f t="shared" si="3"/>
        <v>4375.6428136560662</v>
      </c>
      <c r="BX28" s="552">
        <f t="shared" si="3"/>
        <v>4401.65861205292</v>
      </c>
      <c r="BY28" s="552">
        <f t="shared" si="3"/>
        <v>4443.8753705967429</v>
      </c>
      <c r="BZ28" s="552">
        <f t="shared" si="3"/>
        <v>4640.2210052085638</v>
      </c>
      <c r="CA28" s="552">
        <f t="shared" si="3"/>
        <v>4683.3039405542877</v>
      </c>
      <c r="CB28" s="552">
        <f t="shared" si="3"/>
        <v>4713.2662409838049</v>
      </c>
      <c r="CC28" s="552">
        <f t="shared" si="3"/>
        <v>4757.3968555882184</v>
      </c>
      <c r="CD28" s="552">
        <f t="shared" si="3"/>
        <v>4966.9803060758932</v>
      </c>
      <c r="CE28" s="552">
        <f t="shared" si="3"/>
        <v>4988.3901602526221</v>
      </c>
      <c r="CF28" s="552">
        <f t="shared" si="3"/>
        <v>5011.2349532248054</v>
      </c>
      <c r="CG28" s="552">
        <f t="shared" si="3"/>
        <v>5046.6984725770571</v>
      </c>
      <c r="CH28" s="552">
        <f t="shared" si="3"/>
        <v>5248.5861705943717</v>
      </c>
      <c r="CI28" s="552">
        <f t="shared" si="3"/>
        <v>5273.6146139409602</v>
      </c>
      <c r="CJ28" s="552">
        <f t="shared" si="3"/>
        <v>5300.1857003153727</v>
      </c>
      <c r="CK28" s="552">
        <f t="shared" si="3"/>
        <v>5337.8792637936713</v>
      </c>
      <c r="CL28" s="552">
        <f t="shared" si="3"/>
        <v>3870.9932365452537</v>
      </c>
      <c r="CM28" s="552">
        <f t="shared" si="3"/>
        <v>3902.860050276417</v>
      </c>
      <c r="CN28" s="552">
        <f t="shared" si="3"/>
        <v>3936.4821962133428</v>
      </c>
      <c r="CO28" s="552">
        <f t="shared" si="3"/>
        <v>3979.6386022716729</v>
      </c>
      <c r="CP28" s="552">
        <f t="shared" si="3"/>
        <v>5849.2574169494164</v>
      </c>
      <c r="CQ28" s="552">
        <f t="shared" si="3"/>
        <v>5890.4119810192424</v>
      </c>
      <c r="CR28" s="552">
        <f t="shared" si="3"/>
        <v>5925.4027527282524</v>
      </c>
      <c r="CS28" s="552">
        <f t="shared" si="3"/>
        <v>5968.2226928212849</v>
      </c>
      <c r="CT28" s="552">
        <f t="shared" si="3"/>
        <v>6173.8416311001747</v>
      </c>
      <c r="CU28" s="552">
        <f t="shared" si="3"/>
        <v>6211.6253167751856</v>
      </c>
      <c r="CV28" s="552">
        <f t="shared" si="3"/>
        <v>6251.3093799575745</v>
      </c>
      <c r="CW28" s="552">
        <f t="shared" si="3"/>
        <v>6296.8848292524581</v>
      </c>
      <c r="CX28" s="552">
        <f t="shared" si="3"/>
        <v>6503.7357455311776</v>
      </c>
      <c r="CY28" s="552">
        <f t="shared" si="3"/>
        <v>6546.2541544778542</v>
      </c>
      <c r="CZ28" s="552">
        <f t="shared" si="3"/>
        <v>6590.8010738174835</v>
      </c>
      <c r="DA28" s="552">
        <f t="shared" si="3"/>
        <v>6639.3088480353636</v>
      </c>
      <c r="DB28" s="552">
        <f t="shared" si="3"/>
        <v>7014.0740971172618</v>
      </c>
      <c r="DC28" s="552">
        <f t="shared" si="3"/>
        <v>7014.0740971172563</v>
      </c>
      <c r="DD28" s="552">
        <f t="shared" si="3"/>
        <v>7014.0740971172545</v>
      </c>
      <c r="DE28" s="552">
        <f t="shared" si="3"/>
        <v>7014.0740971172563</v>
      </c>
      <c r="DF28" s="552">
        <f t="shared" si="3"/>
        <v>5282.368753815219</v>
      </c>
      <c r="DG28" s="552">
        <f t="shared" si="3"/>
        <v>5282.3687538152208</v>
      </c>
      <c r="DH28" s="552">
        <f t="shared" si="3"/>
        <v>5282.3687538152208</v>
      </c>
      <c r="DI28" s="552">
        <f t="shared" si="3"/>
        <v>5282.3687538152226</v>
      </c>
      <c r="DJ28" s="552">
        <f t="shared" si="3"/>
        <v>7332.1771463185678</v>
      </c>
      <c r="DK28" s="552">
        <f t="shared" si="3"/>
        <v>7332.1771463185669</v>
      </c>
      <c r="DL28" s="552">
        <f t="shared" si="3"/>
        <v>7332.1771463185678</v>
      </c>
      <c r="DM28" s="552">
        <f t="shared" si="3"/>
        <v>7332.1771463185687</v>
      </c>
      <c r="DN28" s="552">
        <f t="shared" si="3"/>
        <v>7494.9395302014509</v>
      </c>
      <c r="DO28" s="552">
        <f t="shared" si="3"/>
        <v>7494.9395302014527</v>
      </c>
      <c r="DP28" s="552">
        <f t="shared" si="3"/>
        <v>7494.9395302014527</v>
      </c>
      <c r="DQ28" s="552">
        <f t="shared" si="3"/>
        <v>7494.9395302014518</v>
      </c>
      <c r="DR28" s="552">
        <f t="shared" si="3"/>
        <v>7660.2144935636143</v>
      </c>
      <c r="DS28" s="552">
        <f t="shared" si="3"/>
        <v>7660.2144935636134</v>
      </c>
      <c r="DT28" s="552">
        <f t="shared" si="3"/>
        <v>7660.2144935636143</v>
      </c>
      <c r="DU28" s="552">
        <f t="shared" si="3"/>
        <v>7660.2144935636143</v>
      </c>
      <c r="DV28" s="552">
        <f t="shared" si="3"/>
        <v>7828.0310267692657</v>
      </c>
      <c r="DW28" s="552">
        <f t="shared" si="3"/>
        <v>7828.0310267692666</v>
      </c>
      <c r="DX28" s="552">
        <f t="shared" si="3"/>
        <v>7828.0310267692657</v>
      </c>
      <c r="DY28" s="552">
        <f t="shared" si="3"/>
        <v>7828.0310267692657</v>
      </c>
      <c r="DZ28" s="552">
        <f t="shared" si="3"/>
        <v>7998.4180876236478</v>
      </c>
      <c r="EA28" s="552">
        <f t="shared" si="3"/>
        <v>7998.4180876236478</v>
      </c>
      <c r="EB28" s="552">
        <f t="shared" si="3"/>
        <v>7998.4180876236487</v>
      </c>
      <c r="EC28" s="552">
        <f t="shared" si="3"/>
        <v>7998.4180876235478</v>
      </c>
      <c r="ED28" s="552">
        <f t="shared" si="3"/>
        <v>0</v>
      </c>
      <c r="EE28" s="552">
        <f t="shared" si="3"/>
        <v>0</v>
      </c>
      <c r="EF28" s="552">
        <f t="shared" si="3"/>
        <v>0</v>
      </c>
      <c r="EG28" s="552">
        <f t="shared" si="3"/>
        <v>0</v>
      </c>
    </row>
    <row r="31" spans="1:1" ht="12.75">
      <c r="A31" s="534" t="s">
        <v>513</v>
      </c>
    </row>
    <row r="33" spans="5:137" ht="12.75">
      <c r="E33" s="551" t="s">
        <v>514</v>
      </c>
      <c r="F33" s="552"/>
      <c r="G33" s="552" t="s">
        <v>30</v>
      </c>
      <c r="H33" s="552">
        <f>SUM(J33:EG33)</f>
        <v>2868962.3511482417</v>
      </c>
      <c r="I33" s="552"/>
      <c r="J33" s="552">
        <f t="shared" si="4" ref="J33:EG33">I38+J28</f>
        <v>0</v>
      </c>
      <c r="K33" s="552">
        <f t="shared" si="4"/>
        <v>0</v>
      </c>
      <c r="L33" s="552">
        <f t="shared" si="4"/>
        <v>0</v>
      </c>
      <c r="M33" s="552">
        <f t="shared" si="4"/>
        <v>-52.099790485913836</v>
      </c>
      <c r="N33" s="552">
        <f t="shared" si="4"/>
        <v>-169.98186987813762</v>
      </c>
      <c r="O33" s="552">
        <f t="shared" si="4"/>
        <v>-347.98800026969332</v>
      </c>
      <c r="P33" s="552">
        <f t="shared" si="4"/>
        <v>-596.80599728085042</v>
      </c>
      <c r="Q33" s="552">
        <f t="shared" si="4"/>
        <v>-912.546989915626</v>
      </c>
      <c r="R33" s="552">
        <f t="shared" si="4"/>
        <v>-1237.9050687535937</v>
      </c>
      <c r="S33" s="552">
        <f t="shared" si="4"/>
        <v>-1576.0427375192517</v>
      </c>
      <c r="T33" s="552">
        <f t="shared" si="4"/>
        <v>-1905.2181891516511</v>
      </c>
      <c r="U33" s="552">
        <f t="shared" si="4"/>
        <v>-2247.3231715372099</v>
      </c>
      <c r="V33" s="552">
        <f t="shared" si="4"/>
        <v>-2591.462038338595</v>
      </c>
      <c r="W33" s="552">
        <f t="shared" si="4"/>
        <v>-2915.3123754115491</v>
      </c>
      <c r="X33" s="552">
        <f t="shared" si="4"/>
        <v>-3263.4225752880229</v>
      </c>
      <c r="Y33" s="552">
        <f t="shared" si="4"/>
        <v>-3602.3062396856672</v>
      </c>
      <c r="Z33" s="552">
        <f t="shared" si="4"/>
        <v>-3954.5007592483735</v>
      </c>
      <c r="AA33" s="552">
        <f t="shared" si="4"/>
        <v>-4297.3604899098991</v>
      </c>
      <c r="AB33" s="552">
        <f t="shared" si="4"/>
        <v>-4653.6872498095545</v>
      </c>
      <c r="AC33" s="552">
        <f t="shared" si="4"/>
        <v>-5012.1324455146414</v>
      </c>
      <c r="AD33" s="552">
        <f t="shared" si="4"/>
        <v>-5361.0771803985208</v>
      </c>
      <c r="AE33" s="552">
        <f t="shared" si="4"/>
        <v>-5723.7279545950541</v>
      </c>
      <c r="AF33" s="552">
        <f t="shared" si="4"/>
        <v>-6076.7668006270678</v>
      </c>
      <c r="AG33" s="552">
        <f t="shared" si="4"/>
        <v>-6443.6724966753709</v>
      </c>
      <c r="AH33" s="552">
        <f t="shared" si="4"/>
        <v>-5818.8368434090671</v>
      </c>
      <c r="AI33" s="552">
        <f t="shared" si="4"/>
        <v>-5190.65888954001</v>
      </c>
      <c r="AJ33" s="552">
        <f t="shared" si="4"/>
        <v>-4540.7657737450327</v>
      </c>
      <c r="AK33" s="552">
        <f t="shared" si="4"/>
        <v>-3826.3602481312018</v>
      </c>
      <c r="AL33" s="552">
        <f t="shared" si="4"/>
        <v>-2846.7961765199734</v>
      </c>
      <c r="AM33" s="552">
        <f t="shared" si="4"/>
        <v>-1840.0604698504621</v>
      </c>
      <c r="AN33" s="552">
        <f t="shared" si="4"/>
        <v>-802.01119592034183</v>
      </c>
      <c r="AO33" s="552">
        <f t="shared" si="4"/>
        <v>307.43454088641556</v>
      </c>
      <c r="AP33" s="552">
        <f t="shared" si="4"/>
        <v>1684.8091643343369</v>
      </c>
      <c r="AQ33" s="552">
        <f t="shared" si="4"/>
        <v>3099.4026414804939</v>
      </c>
      <c r="AR33" s="552">
        <f t="shared" si="4"/>
        <v>4555.6998757924821</v>
      </c>
      <c r="AS33" s="552">
        <f t="shared" si="4"/>
        <v>6090.5912723233159</v>
      </c>
      <c r="AT33" s="552">
        <f t="shared" si="4"/>
        <v>7861.6520227659548</v>
      </c>
      <c r="AU33" s="552">
        <f t="shared" si="4"/>
        <v>9685.0339641511146</v>
      </c>
      <c r="AV33" s="552">
        <f t="shared" si="4"/>
        <v>11529.354641354919</v>
      </c>
      <c r="AW33" s="552">
        <f t="shared" si="4"/>
        <v>13428.59505551198</v>
      </c>
      <c r="AX33" s="552">
        <f t="shared" si="4"/>
        <v>14266.655862312542</v>
      </c>
      <c r="AY33" s="552">
        <f t="shared" si="4"/>
        <v>15161.019637270856</v>
      </c>
      <c r="AZ33" s="552">
        <f t="shared" si="4"/>
        <v>16116.866176688411</v>
      </c>
      <c r="BA33" s="552">
        <f t="shared" si="4"/>
        <v>17166.74070426766</v>
      </c>
      <c r="BB33" s="552">
        <f t="shared" si="4"/>
        <v>19798.644307852821</v>
      </c>
      <c r="BC33" s="552">
        <f t="shared" si="4"/>
        <v>22497.971553595649</v>
      </c>
      <c r="BD33" s="552">
        <f t="shared" si="4"/>
        <v>25269.964221231232</v>
      </c>
      <c r="BE33" s="552">
        <f t="shared" si="4"/>
        <v>28141.98240414547</v>
      </c>
      <c r="BF33" s="552">
        <f t="shared" si="4"/>
        <v>31290.601301270188</v>
      </c>
      <c r="BG33" s="552">
        <f t="shared" si="4"/>
        <v>31947.083619325556</v>
      </c>
      <c r="BH33" s="552">
        <f t="shared" si="4"/>
        <v>31181.523450115375</v>
      </c>
      <c r="BI33" s="552">
        <f t="shared" si="4"/>
        <v>30515.105449957289</v>
      </c>
      <c r="BJ33" s="552">
        <f t="shared" si="4"/>
        <v>30077.583092613302</v>
      </c>
      <c r="BK33" s="552">
        <f t="shared" si="4"/>
        <v>29560.016640590962</v>
      </c>
      <c r="BL33" s="552">
        <f t="shared" si="4"/>
        <v>29000.529744045845</v>
      </c>
      <c r="BM33" s="552">
        <f t="shared" si="4"/>
        <v>28508.61178522716</v>
      </c>
      <c r="BN33" s="552">
        <f t="shared" si="4"/>
        <v>28290.627467864979</v>
      </c>
      <c r="BO33" s="552">
        <f t="shared" si="4"/>
        <v>29948.524666510857</v>
      </c>
      <c r="BP33" s="552">
        <f t="shared" si="4"/>
        <v>31525.096957517577</v>
      </c>
      <c r="BQ33" s="552">
        <f t="shared" si="4"/>
        <v>33246.499410280252</v>
      </c>
      <c r="BR33" s="552">
        <f t="shared" si="4"/>
        <v>33766.335731413885</v>
      </c>
      <c r="BS33" s="552">
        <f t="shared" si="4"/>
        <v>32125.169050908578</v>
      </c>
      <c r="BT33" s="552">
        <f t="shared" si="4"/>
        <v>30405.388309790538</v>
      </c>
      <c r="BU33" s="552">
        <f t="shared" si="4"/>
        <v>28640.839985036582</v>
      </c>
      <c r="BV33" s="552">
        <f t="shared" si="4"/>
        <v>28217.07377618648</v>
      </c>
      <c r="BW33" s="552">
        <f t="shared" si="4"/>
        <v>27966.61536205576</v>
      </c>
      <c r="BX33" s="552">
        <f t="shared" si="4"/>
        <v>28423.134262106661</v>
      </c>
      <c r="BY33" s="552">
        <f t="shared" si="4"/>
        <v>28979.397190957399</v>
      </c>
      <c r="BZ33" s="552">
        <f t="shared" si="4"/>
        <v>29776.2862780295</v>
      </c>
      <c r="CA33" s="552">
        <f t="shared" si="4"/>
        <v>30481.191100777331</v>
      </c>
      <c r="CB33" s="552">
        <f t="shared" si="4"/>
        <v>30983.029200169967</v>
      </c>
      <c r="CC33" s="552">
        <f t="shared" si="4"/>
        <v>31601.025667757669</v>
      </c>
      <c r="CD33" s="552">
        <f t="shared" si="4"/>
        <v>32831.994494308579</v>
      </c>
      <c r="CE33" s="552">
        <f t="shared" si="4"/>
        <v>33499.071199684833</v>
      </c>
      <c r="CF33" s="552">
        <f t="shared" si="4"/>
        <v>34096.32809372773</v>
      </c>
      <c r="CG33" s="552">
        <f t="shared" si="4"/>
        <v>34774.468722690122</v>
      </c>
      <c r="CH33" s="552">
        <f t="shared" si="4"/>
        <v>35739.543068653773</v>
      </c>
      <c r="CI33" s="552">
        <f t="shared" si="4"/>
        <v>38902.621710145548</v>
      </c>
      <c r="CJ33" s="552">
        <f t="shared" si="4"/>
        <v>41998.205016432177</v>
      </c>
      <c r="CK33" s="552">
        <f t="shared" si="4"/>
        <v>45465.299129674968</v>
      </c>
      <c r="CL33" s="552">
        <f t="shared" si="4"/>
        <v>47549.375206025383</v>
      </c>
      <c r="CM33" s="552">
        <f t="shared" si="4"/>
        <v>46823.40493358596</v>
      </c>
      <c r="CN33" s="552">
        <f t="shared" si="4"/>
        <v>46036.366764426726</v>
      </c>
      <c r="CO33" s="552">
        <f t="shared" si="4"/>
        <v>45067.070280697168</v>
      </c>
      <c r="CP33" s="552">
        <f t="shared" si="4"/>
        <v>46026.334747375906</v>
      </c>
      <c r="CQ33" s="552">
        <f t="shared" si="4"/>
        <v>47508.252504166019</v>
      </c>
      <c r="CR33" s="552">
        <f t="shared" si="4"/>
        <v>48979.563133217067</v>
      </c>
      <c r="CS33" s="552">
        <f t="shared" si="4"/>
        <v>50519.405161597235</v>
      </c>
      <c r="CT33" s="552">
        <f t="shared" si="4"/>
        <v>52348.527580774447</v>
      </c>
      <c r="CU33" s="552">
        <f t="shared" si="4"/>
        <v>54149.362012334153</v>
      </c>
      <c r="CV33" s="552">
        <f t="shared" si="4"/>
        <v>55893.453387987254</v>
      </c>
      <c r="CW33" s="552">
        <f t="shared" si="4"/>
        <v>57734.69136630401</v>
      </c>
      <c r="CX33" s="552">
        <f t="shared" si="4"/>
        <v>59866.323060424889</v>
      </c>
      <c r="CY33" s="552">
        <f t="shared" si="4"/>
        <v>61970.433215996352</v>
      </c>
      <c r="CZ33" s="552">
        <f t="shared" si="4"/>
        <v>64022.347526433528</v>
      </c>
      <c r="DA33" s="552">
        <f t="shared" si="4"/>
        <v>61372.606529152115</v>
      </c>
      <c r="DB33" s="552">
        <f t="shared" si="4"/>
        <v>59143.469667350029</v>
      </c>
      <c r="DC33" s="552">
        <f t="shared" si="4"/>
        <v>59426.74054430869</v>
      </c>
      <c r="DD33" s="552">
        <f t="shared" si="4"/>
        <v>59621.12027239782</v>
      </c>
      <c r="DE33" s="552">
        <f t="shared" si="4"/>
        <v>59821.154517282455</v>
      </c>
      <c r="DF33" s="552">
        <f t="shared" si="4"/>
        <v>58318.396171012253</v>
      </c>
      <c r="DG33" s="552">
        <f t="shared" si="4"/>
        <v>53558.467424723596</v>
      </c>
      <c r="DH33" s="552">
        <f t="shared" si="4"/>
        <v>48757.799091944216</v>
      </c>
      <c r="DI33" s="552">
        <f t="shared" si="4"/>
        <v>43937.137404913847</v>
      </c>
      <c r="DJ33" s="552">
        <f t="shared" si="4"/>
        <v>41194.604457255955</v>
      </c>
      <c r="DK33" s="552">
        <f t="shared" si="4"/>
        <v>38995.781575867695</v>
      </c>
      <c r="DL33" s="552">
        <f t="shared" si="4"/>
        <v>36705.382652964108</v>
      </c>
      <c r="DM33" s="552">
        <f t="shared" si="4"/>
        <v>34419.070614578348</v>
      </c>
      <c r="DN33" s="552">
        <f t="shared" si="4"/>
        <v>32323.3851665533</v>
      </c>
      <c r="DO33" s="552">
        <f t="shared" si="4"/>
        <v>30138.673372426449</v>
      </c>
      <c r="DP33" s="552">
        <f t="shared" si="4"/>
        <v>27861.286957944612</v>
      </c>
      <c r="DQ33" s="552">
        <f t="shared" si="4"/>
        <v>25587.396497387344</v>
      </c>
      <c r="DR33" s="552">
        <f t="shared" si="4"/>
        <v>23506.301822136065</v>
      </c>
      <c r="DS33" s="552">
        <f t="shared" si="4"/>
        <v>21333.341045655103</v>
      </c>
      <c r="DT33" s="552">
        <f t="shared" si="4"/>
        <v>19066.742123023567</v>
      </c>
      <c r="DU33" s="552">
        <f t="shared" si="4"/>
        <v>16803.148410858194</v>
      </c>
      <c r="DV33" s="552">
        <f t="shared" si="4"/>
        <v>14734.641821027099</v>
      </c>
      <c r="DW33" s="552">
        <f t="shared" si="4"/>
        <v>12545.75399505355</v>
      </c>
      <c r="DX33" s="552">
        <f t="shared" si="4"/>
        <v>10313.80141485971</v>
      </c>
      <c r="DY33" s="552">
        <f t="shared" si="4"/>
        <v>8058.7377291418616</v>
      </c>
      <c r="DZ33" s="552">
        <f t="shared" si="4"/>
        <v>7998.4180876236478</v>
      </c>
      <c r="EA33" s="552">
        <f t="shared" si="4"/>
        <v>7998.4180876236478</v>
      </c>
      <c r="EB33" s="552">
        <f t="shared" si="4"/>
        <v>7998.4180876236487</v>
      </c>
      <c r="EC33" s="552">
        <f t="shared" si="4"/>
        <v>7998.4180876235478</v>
      </c>
      <c r="ED33" s="552">
        <f t="shared" si="4"/>
        <v>2308.4176722000593</v>
      </c>
      <c r="EE33" s="552">
        <f t="shared" si="4"/>
        <v>0</v>
      </c>
      <c r="EF33" s="552">
        <f t="shared" si="4"/>
        <v>0</v>
      </c>
      <c r="EG33" s="552">
        <f t="shared" si="4"/>
        <v>0</v>
      </c>
    </row>
    <row r="35" spans="5:137" ht="12.75">
      <c r="E35" s="553" t="s">
        <v>515</v>
      </c>
      <c r="F35" s="554"/>
      <c r="G35" s="554" t="s">
        <v>30</v>
      </c>
      <c r="H35" s="554"/>
      <c r="I35" s="554"/>
      <c r="J35" s="554">
        <f t="shared" si="5" ref="J35:EG35">I38</f>
        <v>0</v>
      </c>
      <c r="K35" s="554">
        <f t="shared" si="5"/>
        <v>0</v>
      </c>
      <c r="L35" s="554">
        <f t="shared" si="5"/>
        <v>0</v>
      </c>
      <c r="M35" s="554">
        <f t="shared" si="5"/>
        <v>0</v>
      </c>
      <c r="N35" s="554">
        <f t="shared" si="5"/>
        <v>-52.099790485913836</v>
      </c>
      <c r="O35" s="554">
        <f t="shared" si="5"/>
        <v>-169.98186987813762</v>
      </c>
      <c r="P35" s="554">
        <f t="shared" si="5"/>
        <v>-347.98800026969332</v>
      </c>
      <c r="Q35" s="554">
        <f t="shared" si="5"/>
        <v>-596.80599728085042</v>
      </c>
      <c r="R35" s="554">
        <f t="shared" si="5"/>
        <v>-912.546989915626</v>
      </c>
      <c r="S35" s="554">
        <f t="shared" si="5"/>
        <v>-1237.9050687535937</v>
      </c>
      <c r="T35" s="554">
        <f t="shared" si="5"/>
        <v>-1576.0427375192517</v>
      </c>
      <c r="U35" s="554">
        <f t="shared" si="5"/>
        <v>-1905.2181891516511</v>
      </c>
      <c r="V35" s="554">
        <f t="shared" si="5"/>
        <v>-2247.3231715372099</v>
      </c>
      <c r="W35" s="554">
        <f t="shared" si="5"/>
        <v>-2591.462038338595</v>
      </c>
      <c r="X35" s="554">
        <f t="shared" si="5"/>
        <v>-2915.3123754115491</v>
      </c>
      <c r="Y35" s="554">
        <f t="shared" si="5"/>
        <v>-3263.4225752880229</v>
      </c>
      <c r="Z35" s="554">
        <f t="shared" si="5"/>
        <v>-3602.3062396856672</v>
      </c>
      <c r="AA35" s="554">
        <f t="shared" si="5"/>
        <v>-3954.5007592483735</v>
      </c>
      <c r="AB35" s="554">
        <f t="shared" si="5"/>
        <v>-4297.3604899098991</v>
      </c>
      <c r="AC35" s="554">
        <f t="shared" si="5"/>
        <v>-4653.6872498095545</v>
      </c>
      <c r="AD35" s="554">
        <f t="shared" si="5"/>
        <v>-5012.1324455146414</v>
      </c>
      <c r="AE35" s="554">
        <f t="shared" si="5"/>
        <v>-5361.0771803985208</v>
      </c>
      <c r="AF35" s="554">
        <f t="shared" si="5"/>
        <v>-5723.7279545950541</v>
      </c>
      <c r="AG35" s="554">
        <f t="shared" si="5"/>
        <v>-6076.7668006270678</v>
      </c>
      <c r="AH35" s="554">
        <f t="shared" si="5"/>
        <v>-6443.6724966753709</v>
      </c>
      <c r="AI35" s="554">
        <f t="shared" si="5"/>
        <v>-5818.8368434090671</v>
      </c>
      <c r="AJ35" s="554">
        <f t="shared" si="5"/>
        <v>-5190.65888954001</v>
      </c>
      <c r="AK35" s="554">
        <f t="shared" si="5"/>
        <v>-4540.7657737450327</v>
      </c>
      <c r="AL35" s="554">
        <f t="shared" si="5"/>
        <v>-3826.3602481312018</v>
      </c>
      <c r="AM35" s="554">
        <f t="shared" si="5"/>
        <v>-2846.7961765199734</v>
      </c>
      <c r="AN35" s="554">
        <f t="shared" si="5"/>
        <v>-1840.0604698504621</v>
      </c>
      <c r="AO35" s="554">
        <f t="shared" si="5"/>
        <v>-802.01119592034183</v>
      </c>
      <c r="AP35" s="554">
        <f t="shared" si="5"/>
        <v>307.43454088641556</v>
      </c>
      <c r="AQ35" s="554">
        <f t="shared" si="5"/>
        <v>1684.8091643343369</v>
      </c>
      <c r="AR35" s="554">
        <f t="shared" si="5"/>
        <v>3099.4026414804939</v>
      </c>
      <c r="AS35" s="554">
        <f t="shared" si="5"/>
        <v>4555.6998757924821</v>
      </c>
      <c r="AT35" s="554">
        <f t="shared" si="5"/>
        <v>6090.5912723233159</v>
      </c>
      <c r="AU35" s="554">
        <f t="shared" si="5"/>
        <v>7861.6520227659548</v>
      </c>
      <c r="AV35" s="554">
        <f t="shared" si="5"/>
        <v>9685.0339641511146</v>
      </c>
      <c r="AW35" s="554">
        <f t="shared" si="5"/>
        <v>11529.354641354919</v>
      </c>
      <c r="AX35" s="554">
        <f t="shared" si="5"/>
        <v>13428.59505551198</v>
      </c>
      <c r="AY35" s="554">
        <f t="shared" si="5"/>
        <v>14266.655862312542</v>
      </c>
      <c r="AZ35" s="554">
        <f t="shared" si="5"/>
        <v>15161.019637270856</v>
      </c>
      <c r="BA35" s="554">
        <f t="shared" si="5"/>
        <v>16116.866176688411</v>
      </c>
      <c r="BB35" s="554">
        <f t="shared" si="5"/>
        <v>17166.74070426766</v>
      </c>
      <c r="BC35" s="554">
        <f t="shared" si="5"/>
        <v>19798.644307852821</v>
      </c>
      <c r="BD35" s="554">
        <f t="shared" si="5"/>
        <v>22497.971553595649</v>
      </c>
      <c r="BE35" s="554">
        <f t="shared" si="5"/>
        <v>25269.964221231232</v>
      </c>
      <c r="BF35" s="554">
        <f t="shared" si="5"/>
        <v>28141.98240414547</v>
      </c>
      <c r="BG35" s="554">
        <f t="shared" si="5"/>
        <v>28762.985531697672</v>
      </c>
      <c r="BH35" s="554">
        <f t="shared" si="5"/>
        <v>27983.349598266439</v>
      </c>
      <c r="BI35" s="554">
        <f t="shared" si="5"/>
        <v>27279.541629243067</v>
      </c>
      <c r="BJ35" s="554">
        <f t="shared" si="5"/>
        <v>26651.765823832233</v>
      </c>
      <c r="BK35" s="554">
        <f t="shared" si="5"/>
        <v>26095.788245973246</v>
      </c>
      <c r="BL35" s="554">
        <f t="shared" si="5"/>
        <v>25518.512891857023</v>
      </c>
      <c r="BM35" s="554">
        <f t="shared" si="5"/>
        <v>24986.959185081651</v>
      </c>
      <c r="BN35" s="554">
        <f t="shared" si="5"/>
        <v>24555.708328553519</v>
      </c>
      <c r="BO35" s="554">
        <f t="shared" si="5"/>
        <v>26193.108102312275</v>
      </c>
      <c r="BP35" s="554">
        <f t="shared" si="5"/>
        <v>27747.66039263249</v>
      </c>
      <c r="BQ35" s="554">
        <f t="shared" si="5"/>
        <v>29426.990646602957</v>
      </c>
      <c r="BR35" s="554">
        <f t="shared" si="5"/>
        <v>31208.682991872192</v>
      </c>
      <c r="BS35" s="554">
        <f t="shared" si="5"/>
        <v>29542.180378900874</v>
      </c>
      <c r="BT35" s="554">
        <f t="shared" si="5"/>
        <v>27795.400121601342</v>
      </c>
      <c r="BU35" s="554">
        <f t="shared" si="5"/>
        <v>25985.582753003713</v>
      </c>
      <c r="BV35" s="554">
        <f t="shared" si="5"/>
        <v>23869.979659553414</v>
      </c>
      <c r="BW35" s="554">
        <f t="shared" si="5"/>
        <v>23590.972548399692</v>
      </c>
      <c r="BX35" s="554">
        <f t="shared" si="5"/>
        <v>24021.475650053741</v>
      </c>
      <c r="BY35" s="554">
        <f t="shared" si="5"/>
        <v>24535.521820360656</v>
      </c>
      <c r="BZ35" s="554">
        <f t="shared" si="5"/>
        <v>25136.065272820935</v>
      </c>
      <c r="CA35" s="554">
        <f t="shared" si="5"/>
        <v>25797.887160223043</v>
      </c>
      <c r="CB35" s="554">
        <f t="shared" si="5"/>
        <v>26269.762959186162</v>
      </c>
      <c r="CC35" s="554">
        <f t="shared" si="5"/>
        <v>26843.628812169452</v>
      </c>
      <c r="CD35" s="554">
        <f t="shared" si="5"/>
        <v>27865.014188232686</v>
      </c>
      <c r="CE35" s="554">
        <f t="shared" si="5"/>
        <v>28510.681039432209</v>
      </c>
      <c r="CF35" s="554">
        <f t="shared" si="5"/>
        <v>29085.093140502926</v>
      </c>
      <c r="CG35" s="554">
        <f t="shared" si="5"/>
        <v>29727.770250113063</v>
      </c>
      <c r="CH35" s="554">
        <f t="shared" si="5"/>
        <v>30490.956898059405</v>
      </c>
      <c r="CI35" s="554">
        <f t="shared" si="5"/>
        <v>33629.007096204587</v>
      </c>
      <c r="CJ35" s="554">
        <f t="shared" si="5"/>
        <v>36698.019316116806</v>
      </c>
      <c r="CK35" s="554">
        <f t="shared" si="5"/>
        <v>40127.419865881297</v>
      </c>
      <c r="CL35" s="554">
        <f t="shared" si="5"/>
        <v>43678.381969480128</v>
      </c>
      <c r="CM35" s="554">
        <f t="shared" si="5"/>
        <v>42920.544883309543</v>
      </c>
      <c r="CN35" s="554">
        <f t="shared" si="5"/>
        <v>42099.884568213383</v>
      </c>
      <c r="CO35" s="554">
        <f t="shared" si="5"/>
        <v>41087.431678425492</v>
      </c>
      <c r="CP35" s="554">
        <f t="shared" si="5"/>
        <v>40177.077330426488</v>
      </c>
      <c r="CQ35" s="554">
        <f t="shared" si="5"/>
        <v>41617.840523146777</v>
      </c>
      <c r="CR35" s="554">
        <f t="shared" si="5"/>
        <v>43054.160380488815</v>
      </c>
      <c r="CS35" s="554">
        <f t="shared" si="5"/>
        <v>44551.182468775951</v>
      </c>
      <c r="CT35" s="554">
        <f t="shared" si="5"/>
        <v>46174.685949674269</v>
      </c>
      <c r="CU35" s="554">
        <f t="shared" si="5"/>
        <v>47937.736695558968</v>
      </c>
      <c r="CV35" s="554">
        <f t="shared" si="5"/>
        <v>49642.144008029682</v>
      </c>
      <c r="CW35" s="554">
        <f t="shared" si="5"/>
        <v>51437.806537051554</v>
      </c>
      <c r="CX35" s="554">
        <f t="shared" si="5"/>
        <v>53362.58731489371</v>
      </c>
      <c r="CY35" s="554">
        <f t="shared" si="5"/>
        <v>55424.179061518495</v>
      </c>
      <c r="CZ35" s="554">
        <f t="shared" si="5"/>
        <v>57431.546452616043</v>
      </c>
      <c r="DA35" s="554">
        <f t="shared" si="5"/>
        <v>54733.297681116754</v>
      </c>
      <c r="DB35" s="554">
        <f t="shared" si="5"/>
        <v>52129.395570232766</v>
      </c>
      <c r="DC35" s="554">
        <f t="shared" si="5"/>
        <v>52412.666447191434</v>
      </c>
      <c r="DD35" s="554">
        <f t="shared" si="5"/>
        <v>52607.046175280564</v>
      </c>
      <c r="DE35" s="554">
        <f t="shared" si="5"/>
        <v>52807.080420165199</v>
      </c>
      <c r="DF35" s="554">
        <f t="shared" si="5"/>
        <v>53036.02741719703</v>
      </c>
      <c r="DG35" s="554">
        <f t="shared" si="5"/>
        <v>48276.098670908374</v>
      </c>
      <c r="DH35" s="554">
        <f t="shared" si="5"/>
        <v>43475.430338128994</v>
      </c>
      <c r="DI35" s="554">
        <f t="shared" si="5"/>
        <v>38654.768651098624</v>
      </c>
      <c r="DJ35" s="554">
        <f t="shared" si="5"/>
        <v>33862.42731093739</v>
      </c>
      <c r="DK35" s="554">
        <f t="shared" si="5"/>
        <v>31663.60442954913</v>
      </c>
      <c r="DL35" s="554">
        <f t="shared" si="5"/>
        <v>29373.205506645543</v>
      </c>
      <c r="DM35" s="554">
        <f t="shared" si="5"/>
        <v>27086.893468259776</v>
      </c>
      <c r="DN35" s="554">
        <f t="shared" si="5"/>
        <v>24828.445636351851</v>
      </c>
      <c r="DO35" s="554">
        <f t="shared" si="5"/>
        <v>22643.733842224996</v>
      </c>
      <c r="DP35" s="554">
        <f t="shared" si="5"/>
        <v>20366.34742774316</v>
      </c>
      <c r="DQ35" s="554">
        <f t="shared" si="5"/>
        <v>18092.456967185892</v>
      </c>
      <c r="DR35" s="554">
        <f t="shared" si="5"/>
        <v>15846.087328572452</v>
      </c>
      <c r="DS35" s="554">
        <f t="shared" si="5"/>
        <v>13673.126552091489</v>
      </c>
      <c r="DT35" s="554">
        <f t="shared" si="5"/>
        <v>11406.527629459952</v>
      </c>
      <c r="DU35" s="554">
        <f t="shared" si="5"/>
        <v>9142.9339172945802</v>
      </c>
      <c r="DV35" s="554">
        <f t="shared" si="5"/>
        <v>6906.6107942578328</v>
      </c>
      <c r="DW35" s="554">
        <f t="shared" si="5"/>
        <v>4717.7229682842826</v>
      </c>
      <c r="DX35" s="554">
        <f t="shared" si="5"/>
        <v>2485.7703880904446</v>
      </c>
      <c r="DY35" s="554">
        <f t="shared" si="5"/>
        <v>230.70670237259583</v>
      </c>
      <c r="DZ35" s="554">
        <f t="shared" si="5"/>
        <v>0</v>
      </c>
      <c r="EA35" s="554">
        <f t="shared" si="5"/>
        <v>0</v>
      </c>
      <c r="EB35" s="554">
        <f t="shared" si="5"/>
        <v>0</v>
      </c>
      <c r="EC35" s="554">
        <f t="shared" si="5"/>
        <v>0</v>
      </c>
      <c r="ED35" s="554">
        <f t="shared" si="5"/>
        <v>2308.4176722000593</v>
      </c>
      <c r="EE35" s="554">
        <f t="shared" si="5"/>
        <v>0</v>
      </c>
      <c r="EF35" s="554">
        <f t="shared" si="5"/>
        <v>0</v>
      </c>
      <c r="EG35" s="554">
        <f t="shared" si="5"/>
        <v>0</v>
      </c>
    </row>
    <row r="36" spans="5:137" ht="12.75">
      <c r="E36" s="538" t="str">
        <f>Equity!E$91</f>
        <v>Dividends - paid</v>
      </c>
      <c r="G36" s="539" t="str">
        <f>Equity!G$91</f>
        <v>EUR 000s</v>
      </c>
      <c r="H36" s="539">
        <f>Equity!H$91</f>
        <v>450809.27108649502</v>
      </c>
      <c r="J36" s="539">
        <f>Equity!J$91</f>
        <v>0</v>
      </c>
      <c r="K36" s="539">
        <f>Equity!K$91</f>
        <v>0</v>
      </c>
      <c r="L36" s="539">
        <f>Equity!L$91</f>
        <v>0</v>
      </c>
      <c r="M36" s="539">
        <f>Equity!M$91</f>
        <v>0</v>
      </c>
      <c r="N36" s="539">
        <f>Equity!N$91</f>
        <v>0</v>
      </c>
      <c r="O36" s="539">
        <f>Equity!O$91</f>
        <v>0</v>
      </c>
      <c r="P36" s="539">
        <f>Equity!P$91</f>
        <v>0</v>
      </c>
      <c r="Q36" s="539">
        <f>Equity!Q$91</f>
        <v>0</v>
      </c>
      <c r="R36" s="539">
        <f>Equity!R$91</f>
        <v>0</v>
      </c>
      <c r="S36" s="539">
        <f>Equity!S$91</f>
        <v>0</v>
      </c>
      <c r="T36" s="539">
        <f>Equity!T$91</f>
        <v>0</v>
      </c>
      <c r="U36" s="539">
        <f>Equity!U$91</f>
        <v>0</v>
      </c>
      <c r="V36" s="539">
        <f>Equity!V$91</f>
        <v>0</v>
      </c>
      <c r="W36" s="539">
        <f>Equity!W$91</f>
        <v>0</v>
      </c>
      <c r="X36" s="539">
        <f>Equity!X$91</f>
        <v>0</v>
      </c>
      <c r="Y36" s="539">
        <f>Equity!Y$91</f>
        <v>0</v>
      </c>
      <c r="Z36" s="539">
        <f>Equity!Z$91</f>
        <v>0</v>
      </c>
      <c r="AA36" s="539">
        <f>Equity!AA$91</f>
        <v>0</v>
      </c>
      <c r="AB36" s="539">
        <f>Equity!AB$91</f>
        <v>0</v>
      </c>
      <c r="AC36" s="539">
        <f>Equity!AC$91</f>
        <v>0</v>
      </c>
      <c r="AD36" s="539">
        <f>Equity!AD$91</f>
        <v>0</v>
      </c>
      <c r="AE36" s="539">
        <f>Equity!AE$91</f>
        <v>0</v>
      </c>
      <c r="AF36" s="539">
        <f>Equity!AF$91</f>
        <v>0</v>
      </c>
      <c r="AG36" s="539">
        <f>Equity!AG$91</f>
        <v>0</v>
      </c>
      <c r="AH36" s="539">
        <f>Equity!AH$91</f>
        <v>0</v>
      </c>
      <c r="AI36" s="539">
        <f>Equity!AI$91</f>
        <v>0</v>
      </c>
      <c r="AJ36" s="539">
        <f>Equity!AJ$91</f>
        <v>0</v>
      </c>
      <c r="AK36" s="539">
        <f>Equity!AK$91</f>
        <v>0</v>
      </c>
      <c r="AL36" s="539">
        <f>Equity!AL$91</f>
        <v>0</v>
      </c>
      <c r="AM36" s="539">
        <f>Equity!AM$91</f>
        <v>0</v>
      </c>
      <c r="AN36" s="539">
        <f>Equity!AN$91</f>
        <v>0</v>
      </c>
      <c r="AO36" s="539">
        <f>Equity!AO$91</f>
        <v>0</v>
      </c>
      <c r="AP36" s="539">
        <f>Equity!AP$91</f>
        <v>0</v>
      </c>
      <c r="AQ36" s="539">
        <f>Equity!AQ$91</f>
        <v>0</v>
      </c>
      <c r="AR36" s="539">
        <f>Equity!AR$91</f>
        <v>0</v>
      </c>
      <c r="AS36" s="539">
        <f>Equity!AS$91</f>
        <v>0</v>
      </c>
      <c r="AT36" s="539">
        <f>Equity!AT$91</f>
        <v>0</v>
      </c>
      <c r="AU36" s="539">
        <f>Equity!AU$91</f>
        <v>0</v>
      </c>
      <c r="AV36" s="539">
        <f>Equity!AV$91</f>
        <v>0</v>
      </c>
      <c r="AW36" s="539">
        <f>Equity!AW$91</f>
        <v>0</v>
      </c>
      <c r="AX36" s="539">
        <f>Equity!AX$91</f>
        <v>0</v>
      </c>
      <c r="AY36" s="539">
        <f>Equity!AY$91</f>
        <v>0</v>
      </c>
      <c r="AZ36" s="539">
        <f>Equity!AZ$91</f>
        <v>0</v>
      </c>
      <c r="BA36" s="539">
        <f>Equity!BA$91</f>
        <v>0</v>
      </c>
      <c r="BB36" s="539">
        <f>Equity!BB$91</f>
        <v>0</v>
      </c>
      <c r="BC36" s="539">
        <f>Equity!BC$91</f>
        <v>0</v>
      </c>
      <c r="BD36" s="539">
        <f>Equity!BD$91</f>
        <v>0</v>
      </c>
      <c r="BE36" s="539">
        <f>Equity!BE$91</f>
        <v>0</v>
      </c>
      <c r="BF36" s="539">
        <f>Equity!BF$91</f>
        <v>2527.6157695725174</v>
      </c>
      <c r="BG36" s="539">
        <f>Equity!BG$91</f>
        <v>3963.7340210591155</v>
      </c>
      <c r="BH36" s="539">
        <f>Equity!BH$91</f>
        <v>3901.9818208723086</v>
      </c>
      <c r="BI36" s="539">
        <f>Equity!BI$91</f>
        <v>3863.3396261250573</v>
      </c>
      <c r="BJ36" s="539">
        <f>Equity!BJ$91</f>
        <v>3981.7948466400562</v>
      </c>
      <c r="BK36" s="539">
        <f>Equity!BK$91</f>
        <v>4041.5037487339391</v>
      </c>
      <c r="BL36" s="539">
        <f>Equity!BL$91</f>
        <v>4013.5705589641948</v>
      </c>
      <c r="BM36" s="539">
        <f>Equity!BM$91</f>
        <v>3952.9034566736409</v>
      </c>
      <c r="BN36" s="539">
        <f>Equity!BN$91</f>
        <v>2097.5193655527028</v>
      </c>
      <c r="BO36" s="539">
        <f>Equity!BO$91</f>
        <v>2200.864273878366</v>
      </c>
      <c r="BP36" s="539">
        <f>Equity!BP$91</f>
        <v>2098.1063109146212</v>
      </c>
      <c r="BQ36" s="539">
        <f>Equity!BQ$91</f>
        <v>2037.8164184080592</v>
      </c>
      <c r="BR36" s="539">
        <f>Equity!BR$91</f>
        <v>4224.1553525130121</v>
      </c>
      <c r="BS36" s="539">
        <f>Equity!BS$91</f>
        <v>4329.7689293072381</v>
      </c>
      <c r="BT36" s="539">
        <f>Equity!BT$91</f>
        <v>4419.8055567868232</v>
      </c>
      <c r="BU36" s="539">
        <f>Equity!BU$91</f>
        <v>4770.8603254831687</v>
      </c>
      <c r="BV36" s="539">
        <f>Equity!BV$91</f>
        <v>4626.1012277867885</v>
      </c>
      <c r="BW36" s="539">
        <f>Equity!BW$91</f>
        <v>3945.1397120020174</v>
      </c>
      <c r="BX36" s="539">
        <f>Equity!BX$91</f>
        <v>3887.6124417460055</v>
      </c>
      <c r="BY36" s="539">
        <f>Equity!BY$91</f>
        <v>3843.3319181364645</v>
      </c>
      <c r="BZ36" s="539">
        <f>Equity!BZ$91</f>
        <v>3978.3991178064584</v>
      </c>
      <c r="CA36" s="539">
        <f>Equity!CA$91</f>
        <v>4211.4281415911701</v>
      </c>
      <c r="CB36" s="539">
        <f>Equity!CB$91</f>
        <v>4139.4003880005166</v>
      </c>
      <c r="CC36" s="539">
        <f>Equity!CC$91</f>
        <v>3736.011479524982</v>
      </c>
      <c r="CD36" s="539">
        <f>Equity!CD$91</f>
        <v>4321.3134548763692</v>
      </c>
      <c r="CE36" s="539">
        <f>Equity!CE$91</f>
        <v>4413.9780591819081</v>
      </c>
      <c r="CF36" s="539">
        <f>Equity!CF$91</f>
        <v>4368.5578436146661</v>
      </c>
      <c r="CG36" s="539">
        <f>Equity!CG$91</f>
        <v>4283.5118246307165</v>
      </c>
      <c r="CH36" s="539">
        <f>Equity!CH$91</f>
        <v>2110.5359724491877</v>
      </c>
      <c r="CI36" s="539">
        <f>Equity!CI$91</f>
        <v>2204.6023940287428</v>
      </c>
      <c r="CJ36" s="539">
        <f>Equity!CJ$91</f>
        <v>1870.785150550882</v>
      </c>
      <c r="CK36" s="539">
        <f>Equity!CK$91</f>
        <v>1786.9171601948424</v>
      </c>
      <c r="CL36" s="539">
        <f>Equity!CL$91</f>
        <v>4628.8303227158403</v>
      </c>
      <c r="CM36" s="539">
        <f>Equity!CM$91</f>
        <v>4723.5203653725785</v>
      </c>
      <c r="CN36" s="539">
        <f>Equity!CN$91</f>
        <v>4948.935086001231</v>
      </c>
      <c r="CO36" s="539">
        <f>Equity!CO$91</f>
        <v>4889.99295027068</v>
      </c>
      <c r="CP36" s="539">
        <f>Equity!CP$91</f>
        <v>4408.4942242291327</v>
      </c>
      <c r="CQ36" s="539">
        <f>Equity!CQ$91</f>
        <v>4454.0921236772019</v>
      </c>
      <c r="CR36" s="539">
        <f>Equity!CR$91</f>
        <v>4428.3806644411152</v>
      </c>
      <c r="CS36" s="539">
        <f>Equity!CS$91</f>
        <v>4344.7192119229667</v>
      </c>
      <c r="CT36" s="539">
        <f>Equity!CT$91</f>
        <v>4410.7908852154824</v>
      </c>
      <c r="CU36" s="539">
        <f>Equity!CU$91</f>
        <v>4507.2180043044709</v>
      </c>
      <c r="CV36" s="539">
        <f>Equity!CV$91</f>
        <v>4455.6468509356973</v>
      </c>
      <c r="CW36" s="539">
        <f>Equity!CW$91</f>
        <v>4372.1040514103006</v>
      </c>
      <c r="CX36" s="539">
        <f>Equity!CX$91</f>
        <v>4442.1439989063965</v>
      </c>
      <c r="CY36" s="539">
        <f>Equity!CY$91</f>
        <v>4538.8867633803111</v>
      </c>
      <c r="CZ36" s="539">
        <f>Equity!CZ$91</f>
        <v>9289.0498453167747</v>
      </c>
      <c r="DA36" s="539">
        <f>Equity!DA$91</f>
        <v>9243.2109589193478</v>
      </c>
      <c r="DB36" s="539">
        <f>Equity!DB$91</f>
        <v>6730.8032201585938</v>
      </c>
      <c r="DC36" s="539">
        <f>Equity!DC$91</f>
        <v>6819.6943690281241</v>
      </c>
      <c r="DD36" s="539">
        <f>Equity!DD$91</f>
        <v>6814.0398522326241</v>
      </c>
      <c r="DE36" s="539">
        <f>Equity!DE$91</f>
        <v>6785.1271000854231</v>
      </c>
      <c r="DF36" s="539">
        <f>Equity!DF$91</f>
        <v>10042.297500103878</v>
      </c>
      <c r="DG36" s="539">
        <f>Equity!DG$91</f>
        <v>10083.037086594606</v>
      </c>
      <c r="DH36" s="539">
        <f>Equity!DH$91</f>
        <v>10103.030440845592</v>
      </c>
      <c r="DI36" s="539">
        <f>Equity!DI$91</f>
        <v>10074.710093976457</v>
      </c>
      <c r="DJ36" s="539">
        <f>Equity!DJ$91</f>
        <v>9531.0000277068248</v>
      </c>
      <c r="DK36" s="539">
        <f>Equity!DK$91</f>
        <v>9622.5760692221538</v>
      </c>
      <c r="DL36" s="539">
        <f>Equity!DL$91</f>
        <v>9618.4891847043327</v>
      </c>
      <c r="DM36" s="539">
        <f>Equity!DM$91</f>
        <v>9590.6249782264968</v>
      </c>
      <c r="DN36" s="539">
        <f>Equity!DN$91</f>
        <v>9679.6513243283043</v>
      </c>
      <c r="DO36" s="539">
        <f>Equity!DO$91</f>
        <v>9772.3259446832872</v>
      </c>
      <c r="DP36" s="539">
        <f>Equity!DP$91</f>
        <v>9768.8299907587207</v>
      </c>
      <c r="DQ36" s="539">
        <f>Equity!DQ$91</f>
        <v>9741.3091688148925</v>
      </c>
      <c r="DR36" s="539">
        <f>Equity!DR$91</f>
        <v>9833.1752700445759</v>
      </c>
      <c r="DS36" s="539">
        <f>Equity!DS$91</f>
        <v>9926.8134161951511</v>
      </c>
      <c r="DT36" s="539">
        <f>Equity!DT$91</f>
        <v>9923.8082057289866</v>
      </c>
      <c r="DU36" s="539">
        <f>Equity!DU$91</f>
        <v>9896.5376166003607</v>
      </c>
      <c r="DV36" s="539">
        <f>Equity!DV$91</f>
        <v>10016.918852742816</v>
      </c>
      <c r="DW36" s="539">
        <f>Equity!DW$91</f>
        <v>10059.983606963106</v>
      </c>
      <c r="DX36" s="539">
        <f>Equity!DX$91</f>
        <v>10083.094712487115</v>
      </c>
      <c r="DY36" s="539">
        <f>Equity!DY$91</f>
        <v>8058.7377291418616</v>
      </c>
      <c r="DZ36" s="539">
        <f>Equity!DZ$91</f>
        <v>7998.4180876236478</v>
      </c>
      <c r="EA36" s="539">
        <f>Equity!EA$91</f>
        <v>7998.4180876236478</v>
      </c>
      <c r="EB36" s="539">
        <f>Equity!EB$91</f>
        <v>7998.4180876236487</v>
      </c>
      <c r="EC36" s="539">
        <f>Equity!EC$91</f>
        <v>5690.0004154234884</v>
      </c>
      <c r="ED36" s="539">
        <f>Equity!ED$91</f>
        <v>2308.4176722000593</v>
      </c>
      <c r="EE36" s="539">
        <f>Equity!EE$91</f>
        <v>0</v>
      </c>
      <c r="EF36" s="539">
        <f>Equity!EF$91</f>
        <v>0</v>
      </c>
      <c r="EG36" s="539">
        <f>Equity!EG$91</f>
        <v>0</v>
      </c>
    </row>
    <row r="37" spans="5:137" ht="12.75">
      <c r="E37" s="538" t="str">
        <f>E$28</f>
        <v>Profit - after tax (PAT)</v>
      </c>
      <c r="G37" s="539" t="str">
        <f>G$28</f>
        <v>EUR 000s</v>
      </c>
      <c r="H37" s="539">
        <f>H$28</f>
        <v>450809.27108649485</v>
      </c>
      <c r="J37" s="539">
        <f t="shared" si="6" ref="J37:EG37">J$28</f>
        <v>0</v>
      </c>
      <c r="K37" s="539">
        <f t="shared" si="6"/>
        <v>0</v>
      </c>
      <c r="L37" s="539">
        <f t="shared" si="6"/>
        <v>0</v>
      </c>
      <c r="M37" s="539">
        <f t="shared" si="6"/>
        <v>-52.099790485913836</v>
      </c>
      <c r="N37" s="539">
        <f t="shared" si="6"/>
        <v>-117.88207939222379</v>
      </c>
      <c r="O37" s="539">
        <f t="shared" si="6"/>
        <v>-178.00613039155573</v>
      </c>
      <c r="P37" s="539">
        <f t="shared" si="6"/>
        <v>-248.81799701115708</v>
      </c>
      <c r="Q37" s="539">
        <f t="shared" si="6"/>
        <v>-315.74099263477558</v>
      </c>
      <c r="R37" s="539">
        <f t="shared" si="6"/>
        <v>-325.35807883796764</v>
      </c>
      <c r="S37" s="539">
        <f t="shared" si="6"/>
        <v>-338.13766876565802</v>
      </c>
      <c r="T37" s="539">
        <f t="shared" si="6"/>
        <v>-329.17545163239942</v>
      </c>
      <c r="U37" s="539">
        <f t="shared" si="6"/>
        <v>-342.1049823855588</v>
      </c>
      <c r="V37" s="539">
        <f t="shared" si="6"/>
        <v>-344.13886680138523</v>
      </c>
      <c r="W37" s="539">
        <f t="shared" si="6"/>
        <v>-323.85033707295395</v>
      </c>
      <c r="X37" s="539">
        <f t="shared" si="6"/>
        <v>-348.11019987647381</v>
      </c>
      <c r="Y37" s="539">
        <f t="shared" si="6"/>
        <v>-338.88366439764434</v>
      </c>
      <c r="Z37" s="539">
        <f t="shared" si="6"/>
        <v>-352.1945195627062</v>
      </c>
      <c r="AA37" s="539">
        <f t="shared" si="6"/>
        <v>-342.85973066152582</v>
      </c>
      <c r="AB37" s="539">
        <f t="shared" si="6"/>
        <v>-356.32675989965577</v>
      </c>
      <c r="AC37" s="539">
        <f t="shared" si="6"/>
        <v>-358.44519570508658</v>
      </c>
      <c r="AD37" s="539">
        <f t="shared" si="6"/>
        <v>-348.94473488387973</v>
      </c>
      <c r="AE37" s="539">
        <f t="shared" si="6"/>
        <v>-362.65077419653329</v>
      </c>
      <c r="AF37" s="539">
        <f t="shared" si="6"/>
        <v>-353.03884603201357</v>
      </c>
      <c r="AG37" s="539">
        <f t="shared" si="6"/>
        <v>-366.90569604830296</v>
      </c>
      <c r="AH37" s="539">
        <f t="shared" si="6"/>
        <v>624.83565326630378</v>
      </c>
      <c r="AI37" s="539">
        <f t="shared" si="6"/>
        <v>628.17795386905709</v>
      </c>
      <c r="AJ37" s="539">
        <f t="shared" si="6"/>
        <v>649.89311579497735</v>
      </c>
      <c r="AK37" s="539">
        <f t="shared" si="6"/>
        <v>714.40552561383106</v>
      </c>
      <c r="AL37" s="539">
        <f t="shared" si="6"/>
        <v>979.56407161122843</v>
      </c>
      <c r="AM37" s="539">
        <f t="shared" si="6"/>
        <v>1006.7357066695113</v>
      </c>
      <c r="AN37" s="539">
        <f t="shared" si="6"/>
        <v>1038.0492739301203</v>
      </c>
      <c r="AO37" s="539">
        <f t="shared" si="6"/>
        <v>1109.4457368067574</v>
      </c>
      <c r="AP37" s="539">
        <f t="shared" si="6"/>
        <v>1377.3746234479213</v>
      </c>
      <c r="AQ37" s="539">
        <f t="shared" si="6"/>
        <v>1414.5934771461571</v>
      </c>
      <c r="AR37" s="539">
        <f t="shared" si="6"/>
        <v>1456.2972343119882</v>
      </c>
      <c r="AS37" s="539">
        <f t="shared" si="6"/>
        <v>1534.8913965308338</v>
      </c>
      <c r="AT37" s="539">
        <f t="shared" si="6"/>
        <v>1771.0607504426393</v>
      </c>
      <c r="AU37" s="539">
        <f t="shared" si="6"/>
        <v>1823.3819413851593</v>
      </c>
      <c r="AV37" s="539">
        <f t="shared" si="6"/>
        <v>1844.3206772038052</v>
      </c>
      <c r="AW37" s="539">
        <f t="shared" si="6"/>
        <v>1899.2404141570605</v>
      </c>
      <c r="AX37" s="539">
        <f t="shared" si="6"/>
        <v>838.06080680056266</v>
      </c>
      <c r="AY37" s="539">
        <f t="shared" si="6"/>
        <v>894.36377495831402</v>
      </c>
      <c r="AZ37" s="539">
        <f t="shared" si="6"/>
        <v>955.84653941755369</v>
      </c>
      <c r="BA37" s="539">
        <f t="shared" si="6"/>
        <v>1049.8745275792487</v>
      </c>
      <c r="BB37" s="539">
        <f t="shared" si="6"/>
        <v>2631.9036035851614</v>
      </c>
      <c r="BC37" s="539">
        <f t="shared" si="6"/>
        <v>2699.3272457428279</v>
      </c>
      <c r="BD37" s="539">
        <f t="shared" si="6"/>
        <v>2771.9926676355817</v>
      </c>
      <c r="BE37" s="539">
        <f t="shared" si="6"/>
        <v>2872.0181829142371</v>
      </c>
      <c r="BF37" s="539">
        <f t="shared" si="6"/>
        <v>3148.6188971247166</v>
      </c>
      <c r="BG37" s="539">
        <f t="shared" si="6"/>
        <v>3184.0980876278832</v>
      </c>
      <c r="BH37" s="539">
        <f t="shared" si="6"/>
        <v>3198.1738518489369</v>
      </c>
      <c r="BI37" s="539">
        <f t="shared" si="6"/>
        <v>3235.5638207142233</v>
      </c>
      <c r="BJ37" s="539">
        <f t="shared" si="6"/>
        <v>3425.8172687810702</v>
      </c>
      <c r="BK37" s="539">
        <f t="shared" si="6"/>
        <v>3464.2283946177176</v>
      </c>
      <c r="BL37" s="539">
        <f t="shared" si="6"/>
        <v>3482.0168521888208</v>
      </c>
      <c r="BM37" s="539">
        <f t="shared" si="6"/>
        <v>3521.6526001455086</v>
      </c>
      <c r="BN37" s="539">
        <f t="shared" si="6"/>
        <v>3734.9191393114588</v>
      </c>
      <c r="BO37" s="539">
        <f t="shared" si="6"/>
        <v>3755.4165641985828</v>
      </c>
      <c r="BP37" s="539">
        <f t="shared" si="6"/>
        <v>3777.4365648850862</v>
      </c>
      <c r="BQ37" s="539">
        <f t="shared" si="6"/>
        <v>3819.5087636772923</v>
      </c>
      <c r="BR37" s="539">
        <f t="shared" si="6"/>
        <v>2557.6527395416933</v>
      </c>
      <c r="BS37" s="539">
        <f t="shared" si="6"/>
        <v>2582.9886720077038</v>
      </c>
      <c r="BT37" s="539">
        <f t="shared" si="6"/>
        <v>2609.9881881891965</v>
      </c>
      <c r="BU37" s="539">
        <f t="shared" si="6"/>
        <v>2655.2572320328673</v>
      </c>
      <c r="BV37" s="539">
        <f t="shared" si="6"/>
        <v>4347.0941166330667</v>
      </c>
      <c r="BW37" s="539">
        <f t="shared" si="6"/>
        <v>4375.6428136560662</v>
      </c>
      <c r="BX37" s="539">
        <f t="shared" si="6"/>
        <v>4401.65861205292</v>
      </c>
      <c r="BY37" s="539">
        <f t="shared" si="6"/>
        <v>4443.8753705967429</v>
      </c>
      <c r="BZ37" s="539">
        <f t="shared" si="6"/>
        <v>4640.2210052085638</v>
      </c>
      <c r="CA37" s="539">
        <f t="shared" si="6"/>
        <v>4683.3039405542877</v>
      </c>
      <c r="CB37" s="539">
        <f t="shared" si="6"/>
        <v>4713.2662409838049</v>
      </c>
      <c r="CC37" s="539">
        <f t="shared" si="6"/>
        <v>4757.3968555882184</v>
      </c>
      <c r="CD37" s="539">
        <f t="shared" si="6"/>
        <v>4966.9803060758932</v>
      </c>
      <c r="CE37" s="539">
        <f t="shared" si="6"/>
        <v>4988.3901602526221</v>
      </c>
      <c r="CF37" s="539">
        <f t="shared" si="6"/>
        <v>5011.2349532248054</v>
      </c>
      <c r="CG37" s="539">
        <f t="shared" si="6"/>
        <v>5046.6984725770571</v>
      </c>
      <c r="CH37" s="539">
        <f t="shared" si="6"/>
        <v>5248.5861705943717</v>
      </c>
      <c r="CI37" s="539">
        <f t="shared" si="6"/>
        <v>5273.6146139409602</v>
      </c>
      <c r="CJ37" s="539">
        <f t="shared" si="6"/>
        <v>5300.1857003153727</v>
      </c>
      <c r="CK37" s="539">
        <f t="shared" si="6"/>
        <v>5337.8792637936713</v>
      </c>
      <c r="CL37" s="539">
        <f t="shared" si="6"/>
        <v>3870.9932365452537</v>
      </c>
      <c r="CM37" s="539">
        <f t="shared" si="6"/>
        <v>3902.860050276417</v>
      </c>
      <c r="CN37" s="539">
        <f t="shared" si="6"/>
        <v>3936.4821962133428</v>
      </c>
      <c r="CO37" s="539">
        <f t="shared" si="6"/>
        <v>3979.6386022716729</v>
      </c>
      <c r="CP37" s="539">
        <f t="shared" si="6"/>
        <v>5849.2574169494164</v>
      </c>
      <c r="CQ37" s="539">
        <f t="shared" si="6"/>
        <v>5890.4119810192424</v>
      </c>
      <c r="CR37" s="539">
        <f t="shared" si="6"/>
        <v>5925.4027527282524</v>
      </c>
      <c r="CS37" s="539">
        <f t="shared" si="6"/>
        <v>5968.2226928212849</v>
      </c>
      <c r="CT37" s="539">
        <f t="shared" si="6"/>
        <v>6173.8416311001747</v>
      </c>
      <c r="CU37" s="539">
        <f t="shared" si="6"/>
        <v>6211.6253167751856</v>
      </c>
      <c r="CV37" s="539">
        <f t="shared" si="6"/>
        <v>6251.3093799575745</v>
      </c>
      <c r="CW37" s="539">
        <f t="shared" si="6"/>
        <v>6296.8848292524581</v>
      </c>
      <c r="CX37" s="539">
        <f t="shared" si="6"/>
        <v>6503.7357455311776</v>
      </c>
      <c r="CY37" s="539">
        <f t="shared" si="6"/>
        <v>6546.2541544778542</v>
      </c>
      <c r="CZ37" s="539">
        <f t="shared" si="6"/>
        <v>6590.8010738174835</v>
      </c>
      <c r="DA37" s="539">
        <f t="shared" si="6"/>
        <v>6639.3088480353636</v>
      </c>
      <c r="DB37" s="539">
        <f t="shared" si="6"/>
        <v>7014.0740971172618</v>
      </c>
      <c r="DC37" s="539">
        <f t="shared" si="6"/>
        <v>7014.0740971172563</v>
      </c>
      <c r="DD37" s="539">
        <f t="shared" si="6"/>
        <v>7014.0740971172545</v>
      </c>
      <c r="DE37" s="539">
        <f t="shared" si="6"/>
        <v>7014.0740971172563</v>
      </c>
      <c r="DF37" s="539">
        <f t="shared" si="6"/>
        <v>5282.368753815219</v>
      </c>
      <c r="DG37" s="539">
        <f t="shared" si="6"/>
        <v>5282.3687538152208</v>
      </c>
      <c r="DH37" s="539">
        <f t="shared" si="6"/>
        <v>5282.3687538152208</v>
      </c>
      <c r="DI37" s="539">
        <f t="shared" si="6"/>
        <v>5282.3687538152226</v>
      </c>
      <c r="DJ37" s="539">
        <f t="shared" si="6"/>
        <v>7332.1771463185678</v>
      </c>
      <c r="DK37" s="539">
        <f t="shared" si="6"/>
        <v>7332.1771463185669</v>
      </c>
      <c r="DL37" s="539">
        <f t="shared" si="6"/>
        <v>7332.1771463185678</v>
      </c>
      <c r="DM37" s="539">
        <f t="shared" si="6"/>
        <v>7332.1771463185687</v>
      </c>
      <c r="DN37" s="539">
        <f t="shared" si="6"/>
        <v>7494.9395302014509</v>
      </c>
      <c r="DO37" s="539">
        <f t="shared" si="6"/>
        <v>7494.9395302014527</v>
      </c>
      <c r="DP37" s="539">
        <f t="shared" si="6"/>
        <v>7494.9395302014527</v>
      </c>
      <c r="DQ37" s="539">
        <f t="shared" si="6"/>
        <v>7494.9395302014518</v>
      </c>
      <c r="DR37" s="539">
        <f t="shared" si="6"/>
        <v>7660.2144935636143</v>
      </c>
      <c r="DS37" s="539">
        <f t="shared" si="6"/>
        <v>7660.2144935636134</v>
      </c>
      <c r="DT37" s="539">
        <f t="shared" si="6"/>
        <v>7660.2144935636143</v>
      </c>
      <c r="DU37" s="539">
        <f t="shared" si="6"/>
        <v>7660.2144935636143</v>
      </c>
      <c r="DV37" s="539">
        <f t="shared" si="6"/>
        <v>7828.0310267692657</v>
      </c>
      <c r="DW37" s="539">
        <f t="shared" si="6"/>
        <v>7828.0310267692666</v>
      </c>
      <c r="DX37" s="539">
        <f t="shared" si="6"/>
        <v>7828.0310267692657</v>
      </c>
      <c r="DY37" s="539">
        <f t="shared" si="6"/>
        <v>7828.0310267692657</v>
      </c>
      <c r="DZ37" s="539">
        <f t="shared" si="6"/>
        <v>7998.4180876236478</v>
      </c>
      <c r="EA37" s="539">
        <f t="shared" si="6"/>
        <v>7998.4180876236478</v>
      </c>
      <c r="EB37" s="539">
        <f t="shared" si="6"/>
        <v>7998.4180876236487</v>
      </c>
      <c r="EC37" s="539">
        <f t="shared" si="6"/>
        <v>7998.4180876235478</v>
      </c>
      <c r="ED37" s="539">
        <f t="shared" si="6"/>
        <v>0</v>
      </c>
      <c r="EE37" s="539">
        <f t="shared" si="6"/>
        <v>0</v>
      </c>
      <c r="EF37" s="539">
        <f t="shared" si="6"/>
        <v>0</v>
      </c>
      <c r="EG37" s="539">
        <f t="shared" si="6"/>
        <v>0</v>
      </c>
    </row>
    <row r="38" spans="5:137" ht="12.75">
      <c r="E38" s="555" t="s">
        <v>516</v>
      </c>
      <c r="F38" s="556"/>
      <c r="G38" s="556" t="s">
        <v>30</v>
      </c>
      <c r="H38" s="556"/>
      <c r="I38" s="556"/>
      <c r="J38" s="556">
        <f t="shared" si="7" ref="J38:EG38">J35+J37-J36</f>
        <v>0</v>
      </c>
      <c r="K38" s="556">
        <f t="shared" si="7"/>
        <v>0</v>
      </c>
      <c r="L38" s="556">
        <f t="shared" si="7"/>
        <v>0</v>
      </c>
      <c r="M38" s="556">
        <f t="shared" si="7"/>
        <v>-52.099790485913836</v>
      </c>
      <c r="N38" s="556">
        <f t="shared" si="7"/>
        <v>-169.98186987813762</v>
      </c>
      <c r="O38" s="556">
        <f t="shared" si="7"/>
        <v>-347.98800026969332</v>
      </c>
      <c r="P38" s="556">
        <f t="shared" si="7"/>
        <v>-596.80599728085042</v>
      </c>
      <c r="Q38" s="556">
        <f t="shared" si="7"/>
        <v>-912.546989915626</v>
      </c>
      <c r="R38" s="556">
        <f t="shared" si="7"/>
        <v>-1237.9050687535937</v>
      </c>
      <c r="S38" s="556">
        <f t="shared" si="7"/>
        <v>-1576.0427375192517</v>
      </c>
      <c r="T38" s="556">
        <f t="shared" si="7"/>
        <v>-1905.2181891516511</v>
      </c>
      <c r="U38" s="556">
        <f t="shared" si="7"/>
        <v>-2247.3231715372099</v>
      </c>
      <c r="V38" s="556">
        <f t="shared" si="7"/>
        <v>-2591.462038338595</v>
      </c>
      <c r="W38" s="556">
        <f t="shared" si="7"/>
        <v>-2915.3123754115491</v>
      </c>
      <c r="X38" s="556">
        <f t="shared" si="7"/>
        <v>-3263.4225752880229</v>
      </c>
      <c r="Y38" s="556">
        <f t="shared" si="7"/>
        <v>-3602.3062396856672</v>
      </c>
      <c r="Z38" s="556">
        <f t="shared" si="7"/>
        <v>-3954.5007592483735</v>
      </c>
      <c r="AA38" s="556">
        <f t="shared" si="7"/>
        <v>-4297.3604899098991</v>
      </c>
      <c r="AB38" s="556">
        <f t="shared" si="7"/>
        <v>-4653.6872498095545</v>
      </c>
      <c r="AC38" s="556">
        <f t="shared" si="7"/>
        <v>-5012.1324455146414</v>
      </c>
      <c r="AD38" s="556">
        <f t="shared" si="7"/>
        <v>-5361.0771803985208</v>
      </c>
      <c r="AE38" s="556">
        <f t="shared" si="7"/>
        <v>-5723.7279545950541</v>
      </c>
      <c r="AF38" s="556">
        <f t="shared" si="7"/>
        <v>-6076.7668006270678</v>
      </c>
      <c r="AG38" s="556">
        <f t="shared" si="7"/>
        <v>-6443.6724966753709</v>
      </c>
      <c r="AH38" s="556">
        <f t="shared" si="7"/>
        <v>-5818.8368434090671</v>
      </c>
      <c r="AI38" s="556">
        <f t="shared" si="7"/>
        <v>-5190.65888954001</v>
      </c>
      <c r="AJ38" s="556">
        <f t="shared" si="7"/>
        <v>-4540.7657737450327</v>
      </c>
      <c r="AK38" s="556">
        <f t="shared" si="7"/>
        <v>-3826.3602481312018</v>
      </c>
      <c r="AL38" s="556">
        <f t="shared" si="7"/>
        <v>-2846.7961765199734</v>
      </c>
      <c r="AM38" s="556">
        <f t="shared" si="7"/>
        <v>-1840.0604698504621</v>
      </c>
      <c r="AN38" s="556">
        <f t="shared" si="7"/>
        <v>-802.01119592034183</v>
      </c>
      <c r="AO38" s="556">
        <f t="shared" si="7"/>
        <v>307.43454088641556</v>
      </c>
      <c r="AP38" s="556">
        <f t="shared" si="7"/>
        <v>1684.8091643343369</v>
      </c>
      <c r="AQ38" s="556">
        <f t="shared" si="7"/>
        <v>3099.4026414804939</v>
      </c>
      <c r="AR38" s="556">
        <f t="shared" si="7"/>
        <v>4555.6998757924821</v>
      </c>
      <c r="AS38" s="556">
        <f t="shared" si="7"/>
        <v>6090.5912723233159</v>
      </c>
      <c r="AT38" s="556">
        <f t="shared" si="7"/>
        <v>7861.6520227659548</v>
      </c>
      <c r="AU38" s="556">
        <f t="shared" si="7"/>
        <v>9685.0339641511146</v>
      </c>
      <c r="AV38" s="556">
        <f t="shared" si="7"/>
        <v>11529.354641354919</v>
      </c>
      <c r="AW38" s="556">
        <f t="shared" si="7"/>
        <v>13428.59505551198</v>
      </c>
      <c r="AX38" s="556">
        <f t="shared" si="7"/>
        <v>14266.655862312542</v>
      </c>
      <c r="AY38" s="556">
        <f t="shared" si="7"/>
        <v>15161.019637270856</v>
      </c>
      <c r="AZ38" s="556">
        <f t="shared" si="7"/>
        <v>16116.866176688411</v>
      </c>
      <c r="BA38" s="556">
        <f t="shared" si="7"/>
        <v>17166.74070426766</v>
      </c>
      <c r="BB38" s="556">
        <f t="shared" si="7"/>
        <v>19798.644307852821</v>
      </c>
      <c r="BC38" s="556">
        <f t="shared" si="7"/>
        <v>22497.971553595649</v>
      </c>
      <c r="BD38" s="556">
        <f t="shared" si="7"/>
        <v>25269.964221231232</v>
      </c>
      <c r="BE38" s="556">
        <f t="shared" si="7"/>
        <v>28141.98240414547</v>
      </c>
      <c r="BF38" s="556">
        <f t="shared" si="7"/>
        <v>28762.985531697672</v>
      </c>
      <c r="BG38" s="556">
        <f t="shared" si="7"/>
        <v>27983.349598266439</v>
      </c>
      <c r="BH38" s="556">
        <f t="shared" si="7"/>
        <v>27279.541629243067</v>
      </c>
      <c r="BI38" s="556">
        <f t="shared" si="7"/>
        <v>26651.765823832233</v>
      </c>
      <c r="BJ38" s="556">
        <f t="shared" si="7"/>
        <v>26095.788245973246</v>
      </c>
      <c r="BK38" s="556">
        <f t="shared" si="7"/>
        <v>25518.512891857023</v>
      </c>
      <c r="BL38" s="556">
        <f t="shared" si="7"/>
        <v>24986.959185081651</v>
      </c>
      <c r="BM38" s="556">
        <f t="shared" si="7"/>
        <v>24555.708328553519</v>
      </c>
      <c r="BN38" s="556">
        <f t="shared" si="7"/>
        <v>26193.108102312275</v>
      </c>
      <c r="BO38" s="556">
        <f t="shared" si="7"/>
        <v>27747.66039263249</v>
      </c>
      <c r="BP38" s="556">
        <f t="shared" si="7"/>
        <v>29426.990646602957</v>
      </c>
      <c r="BQ38" s="556">
        <f t="shared" si="7"/>
        <v>31208.682991872192</v>
      </c>
      <c r="BR38" s="556">
        <f t="shared" si="7"/>
        <v>29542.180378900874</v>
      </c>
      <c r="BS38" s="556">
        <f t="shared" si="7"/>
        <v>27795.400121601342</v>
      </c>
      <c r="BT38" s="556">
        <f t="shared" si="7"/>
        <v>25985.582753003713</v>
      </c>
      <c r="BU38" s="556">
        <f t="shared" si="7"/>
        <v>23869.979659553414</v>
      </c>
      <c r="BV38" s="556">
        <f t="shared" si="7"/>
        <v>23590.972548399692</v>
      </c>
      <c r="BW38" s="556">
        <f t="shared" si="7"/>
        <v>24021.475650053741</v>
      </c>
      <c r="BX38" s="556">
        <f t="shared" si="7"/>
        <v>24535.521820360656</v>
      </c>
      <c r="BY38" s="556">
        <f t="shared" si="7"/>
        <v>25136.065272820935</v>
      </c>
      <c r="BZ38" s="556">
        <f t="shared" si="7"/>
        <v>25797.887160223043</v>
      </c>
      <c r="CA38" s="556">
        <f t="shared" si="7"/>
        <v>26269.762959186162</v>
      </c>
      <c r="CB38" s="556">
        <f t="shared" si="7"/>
        <v>26843.628812169452</v>
      </c>
      <c r="CC38" s="556">
        <f t="shared" si="7"/>
        <v>27865.014188232686</v>
      </c>
      <c r="CD38" s="556">
        <f t="shared" si="7"/>
        <v>28510.681039432209</v>
      </c>
      <c r="CE38" s="556">
        <f t="shared" si="7"/>
        <v>29085.093140502926</v>
      </c>
      <c r="CF38" s="556">
        <f t="shared" si="7"/>
        <v>29727.770250113063</v>
      </c>
      <c r="CG38" s="556">
        <f t="shared" si="7"/>
        <v>30490.956898059405</v>
      </c>
      <c r="CH38" s="556">
        <f t="shared" si="7"/>
        <v>33629.007096204587</v>
      </c>
      <c r="CI38" s="556">
        <f t="shared" si="7"/>
        <v>36698.019316116806</v>
      </c>
      <c r="CJ38" s="556">
        <f t="shared" si="7"/>
        <v>40127.419865881297</v>
      </c>
      <c r="CK38" s="556">
        <f t="shared" si="7"/>
        <v>43678.381969480128</v>
      </c>
      <c r="CL38" s="556">
        <f t="shared" si="7"/>
        <v>42920.544883309543</v>
      </c>
      <c r="CM38" s="556">
        <f t="shared" si="7"/>
        <v>42099.884568213383</v>
      </c>
      <c r="CN38" s="556">
        <f t="shared" si="7"/>
        <v>41087.431678425492</v>
      </c>
      <c r="CO38" s="556">
        <f t="shared" si="7"/>
        <v>40177.077330426488</v>
      </c>
      <c r="CP38" s="556">
        <f t="shared" si="7"/>
        <v>41617.840523146777</v>
      </c>
      <c r="CQ38" s="556">
        <f t="shared" si="7"/>
        <v>43054.160380488815</v>
      </c>
      <c r="CR38" s="556">
        <f t="shared" si="7"/>
        <v>44551.182468775951</v>
      </c>
      <c r="CS38" s="556">
        <f t="shared" si="7"/>
        <v>46174.685949674269</v>
      </c>
      <c r="CT38" s="556">
        <f t="shared" si="7"/>
        <v>47937.736695558968</v>
      </c>
      <c r="CU38" s="556">
        <f t="shared" si="7"/>
        <v>49642.144008029682</v>
      </c>
      <c r="CV38" s="556">
        <f t="shared" si="7"/>
        <v>51437.806537051554</v>
      </c>
      <c r="CW38" s="556">
        <f t="shared" si="7"/>
        <v>53362.58731489371</v>
      </c>
      <c r="CX38" s="556">
        <f t="shared" si="7"/>
        <v>55424.179061518495</v>
      </c>
      <c r="CY38" s="556">
        <f t="shared" si="7"/>
        <v>57431.546452616043</v>
      </c>
      <c r="CZ38" s="556">
        <f t="shared" si="7"/>
        <v>54733.297681116754</v>
      </c>
      <c r="DA38" s="556">
        <f t="shared" si="7"/>
        <v>52129.395570232766</v>
      </c>
      <c r="DB38" s="556">
        <f t="shared" si="7"/>
        <v>52412.666447191434</v>
      </c>
      <c r="DC38" s="556">
        <f t="shared" si="7"/>
        <v>52607.046175280564</v>
      </c>
      <c r="DD38" s="556">
        <f t="shared" si="7"/>
        <v>52807.080420165199</v>
      </c>
      <c r="DE38" s="556">
        <f t="shared" si="7"/>
        <v>53036.02741719703</v>
      </c>
      <c r="DF38" s="556">
        <f t="shared" si="7"/>
        <v>48276.098670908374</v>
      </c>
      <c r="DG38" s="556">
        <f t="shared" si="7"/>
        <v>43475.430338128994</v>
      </c>
      <c r="DH38" s="556">
        <f t="shared" si="7"/>
        <v>38654.768651098624</v>
      </c>
      <c r="DI38" s="556">
        <f t="shared" si="7"/>
        <v>33862.42731093739</v>
      </c>
      <c r="DJ38" s="556">
        <f t="shared" si="7"/>
        <v>31663.60442954913</v>
      </c>
      <c r="DK38" s="556">
        <f t="shared" si="7"/>
        <v>29373.205506645543</v>
      </c>
      <c r="DL38" s="556">
        <f t="shared" si="7"/>
        <v>27086.893468259776</v>
      </c>
      <c r="DM38" s="556">
        <f t="shared" si="7"/>
        <v>24828.445636351851</v>
      </c>
      <c r="DN38" s="556">
        <f t="shared" si="7"/>
        <v>22643.733842224996</v>
      </c>
      <c r="DO38" s="556">
        <f t="shared" si="7"/>
        <v>20366.34742774316</v>
      </c>
      <c r="DP38" s="556">
        <f t="shared" si="7"/>
        <v>18092.456967185892</v>
      </c>
      <c r="DQ38" s="556">
        <f t="shared" si="7"/>
        <v>15846.087328572452</v>
      </c>
      <c r="DR38" s="556">
        <f t="shared" si="7"/>
        <v>13673.126552091489</v>
      </c>
      <c r="DS38" s="556">
        <f t="shared" si="7"/>
        <v>11406.527629459952</v>
      </c>
      <c r="DT38" s="556">
        <f t="shared" si="7"/>
        <v>9142.9339172945802</v>
      </c>
      <c r="DU38" s="556">
        <f t="shared" si="7"/>
        <v>6906.6107942578328</v>
      </c>
      <c r="DV38" s="556">
        <f t="shared" si="7"/>
        <v>4717.7229682842826</v>
      </c>
      <c r="DW38" s="556">
        <f t="shared" si="7"/>
        <v>2485.7703880904446</v>
      </c>
      <c r="DX38" s="556">
        <f t="shared" si="7"/>
        <v>230.70670237259583</v>
      </c>
      <c r="DY38" s="556">
        <f t="shared" si="7"/>
        <v>0</v>
      </c>
      <c r="DZ38" s="556">
        <f t="shared" si="7"/>
        <v>0</v>
      </c>
      <c r="EA38" s="556">
        <f t="shared" si="7"/>
        <v>0</v>
      </c>
      <c r="EB38" s="556">
        <f t="shared" si="7"/>
        <v>0</v>
      </c>
      <c r="EC38" s="556">
        <f t="shared" si="7"/>
        <v>2308.4176722000593</v>
      </c>
      <c r="ED38" s="556">
        <f t="shared" si="7"/>
        <v>0</v>
      </c>
      <c r="EE38" s="556">
        <f t="shared" si="7"/>
        <v>0</v>
      </c>
      <c r="EF38" s="556">
        <f t="shared" si="7"/>
        <v>0</v>
      </c>
      <c r="EG38" s="556">
        <f t="shared" si="7"/>
        <v>0</v>
      </c>
    </row>
    <row r="41" spans="1:1" ht="12.75">
      <c r="A41" s="534" t="s">
        <v>517</v>
      </c>
    </row>
    <row r="43" spans="2:2" ht="12.75">
      <c r="B43" s="534" t="s">
        <v>518</v>
      </c>
    </row>
    <row r="44" spans="5:137" ht="12.75">
      <c r="E44" s="538" t="str">
        <f>Ops!E$129</f>
        <v>Working capital - cash movement</v>
      </c>
      <c r="G44" s="539" t="str">
        <f>Ops!G$129</f>
        <v>EUR 000s</v>
      </c>
      <c r="H44" s="539">
        <f>Ops!H$129</f>
        <v>0</v>
      </c>
      <c r="J44" s="539">
        <f>Ops!J$129</f>
        <v>0</v>
      </c>
      <c r="K44" s="539">
        <f>Ops!K$129</f>
        <v>0</v>
      </c>
      <c r="L44" s="539">
        <f>Ops!L$129</f>
        <v>0</v>
      </c>
      <c r="M44" s="539">
        <f>Ops!M$129</f>
        <v>0</v>
      </c>
      <c r="N44" s="539">
        <f>Ops!N$129</f>
        <v>0</v>
      </c>
      <c r="O44" s="539">
        <f>Ops!O$129</f>
        <v>0</v>
      </c>
      <c r="P44" s="539">
        <f>Ops!P$129</f>
        <v>0</v>
      </c>
      <c r="Q44" s="539">
        <f>Ops!Q$129</f>
        <v>0</v>
      </c>
      <c r="R44" s="539">
        <f>Ops!R$129</f>
        <v>0</v>
      </c>
      <c r="S44" s="539">
        <f>Ops!S$129</f>
        <v>0</v>
      </c>
      <c r="T44" s="539">
        <f>Ops!T$129</f>
        <v>0</v>
      </c>
      <c r="U44" s="539">
        <f>Ops!U$129</f>
        <v>0</v>
      </c>
      <c r="V44" s="539">
        <f>Ops!V$129</f>
        <v>0</v>
      </c>
      <c r="W44" s="539">
        <f>Ops!W$129</f>
        <v>0</v>
      </c>
      <c r="X44" s="539">
        <f>Ops!X$129</f>
        <v>0</v>
      </c>
      <c r="Y44" s="539">
        <f>Ops!Y$129</f>
        <v>0</v>
      </c>
      <c r="Z44" s="539">
        <f>Ops!Z$129</f>
        <v>0</v>
      </c>
      <c r="AA44" s="539">
        <f>Ops!AA$129</f>
        <v>0</v>
      </c>
      <c r="AB44" s="539">
        <f>Ops!AB$129</f>
        <v>0</v>
      </c>
      <c r="AC44" s="539">
        <f>Ops!AC$129</f>
        <v>0</v>
      </c>
      <c r="AD44" s="539">
        <f>Ops!AD$129</f>
        <v>0</v>
      </c>
      <c r="AE44" s="539">
        <f>Ops!AE$129</f>
        <v>0</v>
      </c>
      <c r="AF44" s="539">
        <f>Ops!AF$129</f>
        <v>0</v>
      </c>
      <c r="AG44" s="539">
        <f>Ops!AG$129</f>
        <v>0</v>
      </c>
      <c r="AH44" s="539">
        <f>Ops!AH$129</f>
        <v>-1835.6672916666671</v>
      </c>
      <c r="AI44" s="539">
        <f>Ops!AI$129</f>
        <v>20.172168040292945</v>
      </c>
      <c r="AJ44" s="539">
        <f>Ops!AJ$129</f>
        <v>19.733642648113346</v>
      </c>
      <c r="AK44" s="539">
        <f>Ops!AK$129</f>
        <v>0</v>
      </c>
      <c r="AL44" s="539">
        <f>Ops!AL$129</f>
        <v>-62.02360964673926</v>
      </c>
      <c r="AM44" s="539">
        <f>Ops!AM$129</f>
        <v>20.415220776098977</v>
      </c>
      <c r="AN44" s="539">
        <f>Ops!AN$129</f>
        <v>19.971411628791884</v>
      </c>
      <c r="AO44" s="539">
        <f>Ops!AO$129</f>
        <v>0</v>
      </c>
      <c r="AP44" s="539">
        <f>Ops!AP$129</f>
        <v>-62.57102783718301</v>
      </c>
      <c r="AQ44" s="539">
        <f>Ops!AQ$129</f>
        <v>20.659005341288776</v>
      </c>
      <c r="AR44" s="539">
        <f>Ops!AR$129</f>
        <v>20.209896529522211</v>
      </c>
      <c r="AS44" s="539">
        <f>Ops!AS$129</f>
        <v>0</v>
      </c>
      <c r="AT44" s="539">
        <f>Ops!AT$129</f>
        <v>-42.207087024894008</v>
      </c>
      <c r="AU44" s="539">
        <f>Ops!AU$129</f>
        <v>0</v>
      </c>
      <c r="AV44" s="539">
        <f>Ops!AV$129</f>
        <v>20.44899642621067</v>
      </c>
      <c r="AW44" s="539">
        <f>Ops!AW$129</f>
        <v>0</v>
      </c>
      <c r="AX44" s="539">
        <f>Ops!AX$129</f>
        <v>-63.641343275751751</v>
      </c>
      <c r="AY44" s="539">
        <f>Ops!AY$129</f>
        <v>21.148351846822607</v>
      </c>
      <c r="AZ44" s="539">
        <f>Ops!AZ$129</f>
        <v>20.688605067545268</v>
      </c>
      <c r="BA44" s="539">
        <f>Ops!BA$129</f>
        <v>0</v>
      </c>
      <c r="BB44" s="539">
        <f>Ops!BB$129</f>
        <v>-64.162811669532857</v>
      </c>
      <c r="BC44" s="539">
        <f>Ops!BC$129</f>
        <v>21.393690910067107</v>
      </c>
      <c r="BD44" s="539">
        <f>Ops!BD$129</f>
        <v>20.928610672890954</v>
      </c>
      <c r="BE44" s="539">
        <f>Ops!BE$129</f>
        <v>0</v>
      </c>
      <c r="BF44" s="539">
        <f>Ops!BF$129</f>
        <v>-64.674150947385897</v>
      </c>
      <c r="BG44" s="539">
        <f>Ops!BG$129</f>
        <v>21.639315628356599</v>
      </c>
      <c r="BH44" s="539">
        <f>Ops!BH$129</f>
        <v>21.168895723393234</v>
      </c>
      <c r="BI44" s="539">
        <f>Ops!BI$129</f>
        <v>0</v>
      </c>
      <c r="BJ44" s="539">
        <f>Ops!BJ$129</f>
        <v>-43.289469805285989</v>
      </c>
      <c r="BK44" s="539">
        <f>Ops!BK$129</f>
        <v>0</v>
      </c>
      <c r="BL44" s="539">
        <f>Ops!BL$129</f>
        <v>21.409336746022291</v>
      </c>
      <c r="BM44" s="539">
        <f>Ops!BM$129</f>
        <v>0</v>
      </c>
      <c r="BN44" s="539">
        <f>Ops!BN$129</f>
        <v>-65.663243275450441</v>
      </c>
      <c r="BO44" s="539">
        <f>Ops!BO$129</f>
        <v>22.130910847950872</v>
      </c>
      <c r="BP44" s="539">
        <f>Ops!BP$129</f>
        <v>21.649804090385715</v>
      </c>
      <c r="BQ44" s="539">
        <f>Ops!BQ$129</f>
        <v>0</v>
      </c>
      <c r="BR44" s="539">
        <f>Ops!BR$129</f>
        <v>-66.139313730244794</v>
      </c>
      <c r="BS44" s="539">
        <f>Ops!BS$129</f>
        <v>22.376609735772945</v>
      </c>
      <c r="BT44" s="539">
        <f>Ops!BT$129</f>
        <v>21.890161698039719</v>
      </c>
      <c r="BU44" s="539">
        <f>Ops!BU$129</f>
        <v>0</v>
      </c>
      <c r="BV44" s="539">
        <f>Ops!BV$129</f>
        <v>-66.60188754530418</v>
      </c>
      <c r="BW44" s="539">
        <f>Ops!BW$129</f>
        <v>22.622050572163516</v>
      </c>
      <c r="BX44" s="539">
        <f>Ops!BX$129</f>
        <v>22.130266864073292</v>
      </c>
      <c r="BY44" s="539">
        <f>Ops!BY$129</f>
        <v>0</v>
      </c>
      <c r="BZ44" s="539">
        <f>Ops!BZ$129</f>
        <v>-44.182954516845257</v>
      </c>
      <c r="CA44" s="539">
        <f>Ops!CA$129</f>
        <v>0</v>
      </c>
      <c r="CB44" s="539">
        <f>Ops!CB$129</f>
        <v>22.369969990733352</v>
      </c>
      <c r="CC44" s="539">
        <f>Ops!CC$129</f>
        <v>0</v>
      </c>
      <c r="CD44" s="539">
        <f>Ops!CD$129</f>
        <v>-67.482788558171251</v>
      </c>
      <c r="CE44" s="539">
        <f>Ops!CE$129</f>
        <v>23.111539095767967</v>
      </c>
      <c r="CF44" s="539">
        <f>Ops!CF$129</f>
        <v>22.609114332817171</v>
      </c>
      <c r="CG44" s="539">
        <f>Ops!CG$129</f>
        <v>0</v>
      </c>
      <c r="CH44" s="539">
        <f>Ops!CH$129</f>
        <v>-67.89914204582692</v>
      </c>
      <c r="CI44" s="539">
        <f>Ops!CI$129</f>
        <v>23.355258750902522</v>
      </c>
      <c r="CJ44" s="539">
        <f>Ops!CJ$129</f>
        <v>22.847535734578742</v>
      </c>
      <c r="CK44" s="539">
        <f>Ops!CK$129</f>
        <v>0</v>
      </c>
      <c r="CL44" s="539">
        <f>Ops!CL$129</f>
        <v>-68.298048823106001</v>
      </c>
      <c r="CM44" s="539">
        <f>Ops!CM$129</f>
        <v>23.598063743624607</v>
      </c>
      <c r="CN44" s="539">
        <f>Ops!CN$129</f>
        <v>23.085062357892639</v>
      </c>
      <c r="CO44" s="539">
        <f>Ops!CO$129</f>
        <v>0</v>
      </c>
      <c r="CP44" s="539">
        <f>Ops!CP$129</f>
        <v>-44.838650358511586</v>
      </c>
      <c r="CQ44" s="539">
        <f>Ops!CQ$129</f>
        <v>0</v>
      </c>
      <c r="CR44" s="539">
        <f>Ops!CR$129</f>
        <v>23.321514401377499</v>
      </c>
      <c r="CS44" s="539">
        <f>Ops!CS$129</f>
        <v>0</v>
      </c>
      <c r="CT44" s="539">
        <f>Ops!CT$129</f>
        <v>-69.03912613103239</v>
      </c>
      <c r="CU44" s="539">
        <f>Ops!CU$129</f>
        <v>24.080186117103494</v>
      </c>
      <c r="CV44" s="539">
        <f>Ops!CV$129</f>
        <v>23.556703810209456</v>
      </c>
      <c r="CW44" s="539">
        <f>Ops!CW$129</f>
        <v>0</v>
      </c>
      <c r="CX44" s="539">
        <f>Ops!CX$129</f>
        <v>-69.378989379760696</v>
      </c>
      <c r="CY44" s="539">
        <f>Ops!CY$129</f>
        <v>24.319110286910472</v>
      </c>
      <c r="CZ44" s="539">
        <f>Ops!CZ$129</f>
        <v>23.790433976325858</v>
      </c>
      <c r="DA44" s="539">
        <f>Ops!DA$129</f>
        <v>0</v>
      </c>
      <c r="DB44" s="539">
        <f>Ops!DB$129</f>
        <v>-69.696788345164805</v>
      </c>
      <c r="DC44" s="539">
        <f>Ops!DC$129</f>
        <v>24.556332749349167</v>
      </c>
      <c r="DD44" s="539">
        <f>Ops!DD$129</f>
        <v>24.022499428711399</v>
      </c>
      <c r="DE44" s="539">
        <f>Ops!DE$129</f>
        <v>0</v>
      </c>
      <c r="DF44" s="539">
        <f>Ops!DF$129</f>
        <v>-45.19961922631046</v>
      </c>
      <c r="DG44" s="539">
        <f>Ops!DG$129</f>
        <v>0</v>
      </c>
      <c r="DH44" s="539">
        <f>Ops!DH$129</f>
        <v>24.252685513467441</v>
      </c>
      <c r="DI44" s="539">
        <f>Ops!DI$129</f>
        <v>0</v>
      </c>
      <c r="DJ44" s="539">
        <f>Ops!DJ$129</f>
        <v>-70.261065231833982</v>
      </c>
      <c r="DK44" s="539">
        <f>Ops!DK$129</f>
        <v>25.024785131400222</v>
      </c>
      <c r="DL44" s="539">
        <f>Ops!DL$129</f>
        <v>24.48076806332665</v>
      </c>
      <c r="DM44" s="539">
        <f>Ops!DM$129</f>
        <v>0</v>
      </c>
      <c r="DN44" s="539">
        <f>Ops!DN$129</f>
        <v>-70.504854095220253</v>
      </c>
      <c r="DO44" s="539">
        <f>Ops!DO$129</f>
        <v>25.255546679757572</v>
      </c>
      <c r="DP44" s="539">
        <f>Ops!DP$129</f>
        <v>24.706513056284621</v>
      </c>
      <c r="DQ44" s="539">
        <f>Ops!DQ$129</f>
        <v>0</v>
      </c>
      <c r="DR44" s="539">
        <f>Ops!DR$129</f>
        <v>-70.721197144874168</v>
      </c>
      <c r="DS44" s="539">
        <f>Ops!DS$129</f>
        <v>25.483669068865311</v>
      </c>
      <c r="DT44" s="539">
        <f>Ops!DT$129</f>
        <v>24.92967626302061</v>
      </c>
      <c r="DU44" s="539">
        <f>Ops!DU$129</f>
        <v>0</v>
      </c>
      <c r="DV44" s="539">
        <f>Ops!DV$129</f>
        <v>-45.199725276542722</v>
      </c>
      <c r="DW44" s="539">
        <f>Ops!DW$129</f>
        <v>0</v>
      </c>
      <c r="DX44" s="539">
        <f>Ops!DX$129</f>
        <v>25.150002882733133</v>
      </c>
      <c r="DY44" s="539">
        <f>Ops!DY$129</f>
        <v>0</v>
      </c>
      <c r="DZ44" s="539">
        <f>Ops!DZ$129</f>
        <v>-71.065580365133428</v>
      </c>
      <c r="EA44" s="539">
        <f>Ops!EA$129</f>
        <v>25.930943326306078</v>
      </c>
      <c r="EB44" s="539">
        <f>Ops!EB$129</f>
        <v>25.367227167037527</v>
      </c>
      <c r="EC44" s="539">
        <f>Ops!EC$129</f>
        <v>0</v>
      </c>
      <c r="ED44" s="539">
        <f>Ops!ED$129</f>
        <v>2308.4176722004668</v>
      </c>
      <c r="EE44" s="539">
        <f>Ops!EE$129</f>
        <v>0</v>
      </c>
      <c r="EF44" s="539">
        <f>Ops!EF$129</f>
        <v>0</v>
      </c>
      <c r="EG44" s="539">
        <f>Ops!EG$129</f>
        <v>0</v>
      </c>
    </row>
    <row r="45" spans="5:137" ht="12.75">
      <c r="E45" s="538" t="str">
        <f>Tax!E$109</f>
        <v>Tax - payable</v>
      </c>
      <c r="G45" s="539" t="str">
        <f>Tax!G$109</f>
        <v>EUR 000s</v>
      </c>
      <c r="H45" s="539">
        <f>Tax!H$109</f>
        <v>157560.76508650024</v>
      </c>
      <c r="J45" s="539">
        <f>Tax!J$109</f>
        <v>0</v>
      </c>
      <c r="K45" s="539">
        <f>Tax!K$109</f>
        <v>0</v>
      </c>
      <c r="L45" s="539">
        <f>Tax!L$109</f>
        <v>0</v>
      </c>
      <c r="M45" s="539">
        <f>Tax!M$109</f>
        <v>0</v>
      </c>
      <c r="N45" s="539">
        <f>Tax!N$109</f>
        <v>0</v>
      </c>
      <c r="O45" s="539">
        <f>Tax!O$109</f>
        <v>0</v>
      </c>
      <c r="P45" s="539">
        <f>Tax!P$109</f>
        <v>0</v>
      </c>
      <c r="Q45" s="539">
        <f>Tax!Q$109</f>
        <v>0</v>
      </c>
      <c r="R45" s="539">
        <f>Tax!R$109</f>
        <v>0</v>
      </c>
      <c r="S45" s="539">
        <f>Tax!S$109</f>
        <v>0</v>
      </c>
      <c r="T45" s="539">
        <f>Tax!T$109</f>
        <v>0</v>
      </c>
      <c r="U45" s="539">
        <f>Tax!U$109</f>
        <v>0</v>
      </c>
      <c r="V45" s="539">
        <f>Tax!V$109</f>
        <v>0</v>
      </c>
      <c r="W45" s="539">
        <f>Tax!W$109</f>
        <v>0</v>
      </c>
      <c r="X45" s="539">
        <f>Tax!X$109</f>
        <v>0</v>
      </c>
      <c r="Y45" s="539">
        <f>Tax!Y$109</f>
        <v>0</v>
      </c>
      <c r="Z45" s="539">
        <f>Tax!Z$109</f>
        <v>0</v>
      </c>
      <c r="AA45" s="539">
        <f>Tax!AA$109</f>
        <v>0</v>
      </c>
      <c r="AB45" s="539">
        <f>Tax!AB$109</f>
        <v>0</v>
      </c>
      <c r="AC45" s="539">
        <f>Tax!AC$109</f>
        <v>0</v>
      </c>
      <c r="AD45" s="539">
        <f>Tax!AD$109</f>
        <v>0</v>
      </c>
      <c r="AE45" s="539">
        <f>Tax!AE$109</f>
        <v>0</v>
      </c>
      <c r="AF45" s="539">
        <f>Tax!AF$109</f>
        <v>0</v>
      </c>
      <c r="AG45" s="539">
        <f>Tax!AG$109</f>
        <v>0</v>
      </c>
      <c r="AH45" s="539">
        <f>Tax!AH$109</f>
        <v>0</v>
      </c>
      <c r="AI45" s="539">
        <f>Tax!AI$109</f>
        <v>0</v>
      </c>
      <c r="AJ45" s="539">
        <f>Tax!AJ$109</f>
        <v>0</v>
      </c>
      <c r="AK45" s="539">
        <f>Tax!AK$109</f>
        <v>0</v>
      </c>
      <c r="AL45" s="539">
        <f>Tax!AL$109</f>
        <v>0</v>
      </c>
      <c r="AM45" s="539">
        <f>Tax!AM$109</f>
        <v>0</v>
      </c>
      <c r="AN45" s="539">
        <f>Tax!AN$109</f>
        <v>0</v>
      </c>
      <c r="AO45" s="539">
        <f>Tax!AO$109</f>
        <v>0</v>
      </c>
      <c r="AP45" s="539">
        <f>Tax!AP$109</f>
        <v>0</v>
      </c>
      <c r="AQ45" s="539">
        <f>Tax!AQ$109</f>
        <v>0</v>
      </c>
      <c r="AR45" s="539">
        <f>Tax!AR$109</f>
        <v>0</v>
      </c>
      <c r="AS45" s="539">
        <f>Tax!AS$109</f>
        <v>0</v>
      </c>
      <c r="AT45" s="539">
        <f>Tax!AT$109</f>
        <v>0</v>
      </c>
      <c r="AU45" s="539">
        <f>Tax!AU$109</f>
        <v>0</v>
      </c>
      <c r="AV45" s="539">
        <f>Tax!AV$109</f>
        <v>0</v>
      </c>
      <c r="AW45" s="539">
        <f>Tax!AW$109</f>
        <v>4.364074562962367</v>
      </c>
      <c r="AX45" s="539">
        <f>Tax!AX$109</f>
        <v>0</v>
      </c>
      <c r="AY45" s="539">
        <f>Tax!AY$109</f>
        <v>0</v>
      </c>
      <c r="AZ45" s="539">
        <f>Tax!AZ$109</f>
        <v>0</v>
      </c>
      <c r="BA45" s="539">
        <f>Tax!BA$109</f>
        <v>4.7139976228182263</v>
      </c>
      <c r="BB45" s="539">
        <f>Tax!BB$109</f>
        <v>123.35434439866748</v>
      </c>
      <c r="BC45" s="539">
        <f>Tax!BC$109</f>
        <v>140.985082426448</v>
      </c>
      <c r="BD45" s="539">
        <f>Tax!BD$109</f>
        <v>157.82243724297831</v>
      </c>
      <c r="BE45" s="539">
        <f>Tax!BE$109</f>
        <v>173.90211109276487</v>
      </c>
      <c r="BF45" s="539">
        <f>Tax!BF$109</f>
        <v>198.25512746295027</v>
      </c>
      <c r="BG45" s="539">
        <f>Tax!BG$109</f>
        <v>212.92019200580182</v>
      </c>
      <c r="BH45" s="539">
        <f>Tax!BH$109</f>
        <v>226.92532864422503</v>
      </c>
      <c r="BI45" s="539">
        <f>Tax!BI$109</f>
        <v>240.30023413391928</v>
      </c>
      <c r="BJ45" s="539">
        <f>Tax!BJ$109</f>
        <v>262.21607368816206</v>
      </c>
      <c r="BK45" s="539">
        <f>Tax!BK$109</f>
        <v>274.41432186740042</v>
      </c>
      <c r="BL45" s="539">
        <f>Tax!BL$109</f>
        <v>286.06364887857308</v>
      </c>
      <c r="BM45" s="539">
        <f>Tax!BM$109</f>
        <v>297.18875617424294</v>
      </c>
      <c r="BN45" s="539">
        <f>Tax!BN$109</f>
        <v>317.10386035506565</v>
      </c>
      <c r="BO45" s="539">
        <f>Tax!BO$109</f>
        <v>327.25023633639898</v>
      </c>
      <c r="BP45" s="539">
        <f>Tax!BP$109</f>
        <v>336.94002539857229</v>
      </c>
      <c r="BQ45" s="539">
        <f>Tax!BQ$109</f>
        <v>346.19377395294782</v>
      </c>
      <c r="BR45" s="539">
        <f>Tax!BR$109</f>
        <v>261.14468402135651</v>
      </c>
      <c r="BS45" s="539">
        <f>Tax!BS$109</f>
        <v>269.58433404666084</v>
      </c>
      <c r="BT45" s="539">
        <f>Tax!BT$109</f>
        <v>277.64419982082643</v>
      </c>
      <c r="BU45" s="539">
        <f>Tax!BU$109</f>
        <v>285.34137163515459</v>
      </c>
      <c r="BV45" s="539">
        <f>Tax!BV$109</f>
        <v>572.02714248565167</v>
      </c>
      <c r="BW45" s="539">
        <f>Tax!BW$109</f>
        <v>1375.4371889343881</v>
      </c>
      <c r="BX45" s="539">
        <f>Tax!BX$109</f>
        <v>1397.7842307123358</v>
      </c>
      <c r="BY45" s="539">
        <f>Tax!BY$109</f>
        <v>1419.125655610276</v>
      </c>
      <c r="BZ45" s="539">
        <f>Tax!BZ$109</f>
        <v>1471.9929449214624</v>
      </c>
      <c r="CA45" s="539">
        <f>Tax!CA$109</f>
        <v>1491.4568579640058</v>
      </c>
      <c r="CB45" s="539">
        <f>Tax!CB$109</f>
        <v>1579.7075216152664</v>
      </c>
      <c r="CC45" s="539">
        <f>Tax!CC$109</f>
        <v>1937.9523262081209</v>
      </c>
      <c r="CD45" s="539">
        <f>Tax!CD$109</f>
        <v>2024.7662307751368</v>
      </c>
      <c r="CE45" s="539">
        <f>Tax!CE$109</f>
        <v>2048.0927292903048</v>
      </c>
      <c r="CF45" s="539">
        <f>Tax!CF$109</f>
        <v>2071.1689961167576</v>
      </c>
      <c r="CG45" s="539">
        <f>Tax!CG$109</f>
        <v>2097.7557449572951</v>
      </c>
      <c r="CH45" s="539">
        <f>Tax!CH$109</f>
        <v>2179.1527691119772</v>
      </c>
      <c r="CI45" s="539">
        <f>Tax!CI$109</f>
        <v>2200.9621577597163</v>
      </c>
      <c r="CJ45" s="539">
        <f>Tax!CJ$109</f>
        <v>2222.6797649111172</v>
      </c>
      <c r="CK45" s="539">
        <f>Tax!CK$109</f>
        <v>2247.5261384042792</v>
      </c>
      <c r="CL45" s="539">
        <f>Tax!CL$109</f>
        <v>1770.2932983001851</v>
      </c>
      <c r="CM45" s="539">
        <f>Tax!CM$109</f>
        <v>1792.1169259185758</v>
      </c>
      <c r="CN45" s="539">
        <f>Tax!CN$109</f>
        <v>1814.0216032353626</v>
      </c>
      <c r="CO45" s="539">
        <f>Tax!CO$109</f>
        <v>1838.6229889690817</v>
      </c>
      <c r="CP45" s="539">
        <f>Tax!CP$109</f>
        <v>2471.5854613087963</v>
      </c>
      <c r="CQ45" s="539">
        <f>Tax!CQ$109</f>
        <v>2494.6208210774184</v>
      </c>
      <c r="CR45" s="539">
        <f>Tax!CR$109</f>
        <v>2515.1823106638908</v>
      </c>
      <c r="CS45" s="539">
        <f>Tax!CS$109</f>
        <v>2537.9531175892853</v>
      </c>
      <c r="CT45" s="539">
        <f>Tax!CT$109</f>
        <v>2614.6078700330509</v>
      </c>
      <c r="CU45" s="539">
        <f>Tax!CU$109</f>
        <v>2634.9523584897361</v>
      </c>
      <c r="CV45" s="539">
        <f>Tax!CV$109</f>
        <v>2655.5815594201231</v>
      </c>
      <c r="CW45" s="539">
        <f>Tax!CW$109</f>
        <v>2677.8415026272069</v>
      </c>
      <c r="CX45" s="539">
        <f>Tax!CX$109</f>
        <v>2753.5418691240106</v>
      </c>
      <c r="CY45" s="539">
        <f>Tax!CY$109</f>
        <v>2774.1609804286254</v>
      </c>
      <c r="CZ45" s="539">
        <f>Tax!CZ$109</f>
        <v>2795.1661779897131</v>
      </c>
      <c r="DA45" s="539">
        <f>Tax!DA$109</f>
        <v>2817.2146304100647</v>
      </c>
      <c r="DB45" s="539">
        <f>Tax!DB$109</f>
        <v>2947.7510107061066</v>
      </c>
      <c r="DC45" s="539">
        <f>Tax!DC$109</f>
        <v>2953.1129829310908</v>
      </c>
      <c r="DD45" s="539">
        <f>Tax!DD$109</f>
        <v>2958.2336664059508</v>
      </c>
      <c r="DE45" s="539">
        <f>Tax!DE$109</f>
        <v>2963.1239191244422</v>
      </c>
      <c r="DF45" s="539">
        <f>Tax!DF$109</f>
        <v>2390.5589960365887</v>
      </c>
      <c r="DG45" s="539">
        <f>Tax!DG$109</f>
        <v>2395.0190287721707</v>
      </c>
      <c r="DH45" s="539">
        <f>Tax!DH$109</f>
        <v>2399.2783600346515</v>
      </c>
      <c r="DI45" s="539">
        <f>Tax!DI$109</f>
        <v>2403.3460213903204</v>
      </c>
      <c r="DJ45" s="539">
        <f>Tax!DJ$109</f>
        <v>3090.5001021527669</v>
      </c>
      <c r="DK45" s="539">
        <f>Tax!DK$109</f>
        <v>3094.2099110006707</v>
      </c>
      <c r="DL45" s="539">
        <f>Tax!DL$109</f>
        <v>3097.7527784504191</v>
      </c>
      <c r="DM45" s="539">
        <f>Tax!DM$109</f>
        <v>3101.1362168649289</v>
      </c>
      <c r="DN45" s="539">
        <f>Tax!DN$109</f>
        <v>3158.6215285117473</v>
      </c>
      <c r="DO45" s="539">
        <f>Tax!DO$109</f>
        <v>3161.7073089317405</v>
      </c>
      <c r="DP45" s="539">
        <f>Tax!DP$109</f>
        <v>3164.654229232834</v>
      </c>
      <c r="DQ45" s="539">
        <f>Tax!DQ$109</f>
        <v>3167.4685381203781</v>
      </c>
      <c r="DR45" s="539">
        <f>Tax!DR$109</f>
        <v>3225.2478575620371</v>
      </c>
      <c r="DS45" s="539">
        <f>Tax!DS$109</f>
        <v>3227.8145776251999</v>
      </c>
      <c r="DT45" s="539">
        <f>Tax!DT$109</f>
        <v>3230.2657952855202</v>
      </c>
      <c r="DU45" s="539">
        <f>Tax!DU$109</f>
        <v>3232.606708151126</v>
      </c>
      <c r="DV45" s="539">
        <f>Tax!DV$109</f>
        <v>3290.7811243396641</v>
      </c>
      <c r="DW45" s="539">
        <f>Tax!DW$109</f>
        <v>3292.9160953959181</v>
      </c>
      <c r="DX45" s="539">
        <f>Tax!DX$109</f>
        <v>3294.9549927546409</v>
      </c>
      <c r="DY45" s="539">
        <f>Tax!DY$109</f>
        <v>3296.9021397322213</v>
      </c>
      <c r="DZ45" s="539">
        <f>Tax!DZ$109</f>
        <v>3355.5573520472708</v>
      </c>
      <c r="EA45" s="539">
        <f>Tax!EA$109</f>
        <v>3357.3331987694983</v>
      </c>
      <c r="EB45" s="539">
        <f>Tax!EB$109</f>
        <v>3359.0291323892257</v>
      </c>
      <c r="EC45" s="539">
        <f>Tax!EC$109</f>
        <v>2631.201422648935</v>
      </c>
      <c r="ED45" s="539">
        <f>Tax!ED$109</f>
        <v>0</v>
      </c>
      <c r="EE45" s="539">
        <f>Tax!EE$109</f>
        <v>0</v>
      </c>
      <c r="EF45" s="539">
        <f>Tax!EF$109</f>
        <v>0</v>
      </c>
      <c r="EG45" s="539">
        <f>Tax!EG$109</f>
        <v>0</v>
      </c>
    </row>
    <row r="46" spans="5:137" ht="12.75">
      <c r="E46" s="551" t="s">
        <v>519</v>
      </c>
      <c r="F46" s="552"/>
      <c r="G46" s="552" t="s">
        <v>30</v>
      </c>
      <c r="H46" s="552">
        <f>SUM(J46:EG46)</f>
        <v>923596.48647735047</v>
      </c>
      <c r="I46" s="552"/>
      <c r="J46" s="552">
        <f t="shared" si="8" ref="J46:EG46">J12+J44-J45</f>
        <v>0</v>
      </c>
      <c r="K46" s="552">
        <f t="shared" si="8"/>
        <v>0</v>
      </c>
      <c r="L46" s="552">
        <f t="shared" si="8"/>
        <v>0</v>
      </c>
      <c r="M46" s="552">
        <f t="shared" si="8"/>
        <v>0</v>
      </c>
      <c r="N46" s="552">
        <f t="shared" si="8"/>
        <v>0</v>
      </c>
      <c r="O46" s="552">
        <f t="shared" si="8"/>
        <v>0</v>
      </c>
      <c r="P46" s="552">
        <f t="shared" si="8"/>
        <v>0</v>
      </c>
      <c r="Q46" s="552">
        <f t="shared" si="8"/>
        <v>0</v>
      </c>
      <c r="R46" s="552">
        <f t="shared" si="8"/>
        <v>0</v>
      </c>
      <c r="S46" s="552">
        <f t="shared" si="8"/>
        <v>0</v>
      </c>
      <c r="T46" s="552">
        <f t="shared" si="8"/>
        <v>0</v>
      </c>
      <c r="U46" s="552">
        <f t="shared" si="8"/>
        <v>0</v>
      </c>
      <c r="V46" s="552">
        <f t="shared" si="8"/>
        <v>0</v>
      </c>
      <c r="W46" s="552">
        <f t="shared" si="8"/>
        <v>0</v>
      </c>
      <c r="X46" s="552">
        <f t="shared" si="8"/>
        <v>0</v>
      </c>
      <c r="Y46" s="552">
        <f t="shared" si="8"/>
        <v>0</v>
      </c>
      <c r="Z46" s="552">
        <f t="shared" si="8"/>
        <v>0</v>
      </c>
      <c r="AA46" s="552">
        <f t="shared" si="8"/>
        <v>0</v>
      </c>
      <c r="AB46" s="552">
        <f t="shared" si="8"/>
        <v>0</v>
      </c>
      <c r="AC46" s="552">
        <f t="shared" si="8"/>
        <v>0</v>
      </c>
      <c r="AD46" s="552">
        <f t="shared" si="8"/>
        <v>0</v>
      </c>
      <c r="AE46" s="552">
        <f t="shared" si="8"/>
        <v>0</v>
      </c>
      <c r="AF46" s="552">
        <f t="shared" si="8"/>
        <v>0</v>
      </c>
      <c r="AG46" s="552">
        <f t="shared" si="8"/>
        <v>0</v>
      </c>
      <c r="AH46" s="552">
        <f t="shared" si="8"/>
        <v>7160.233645833332</v>
      </c>
      <c r="AI46" s="552">
        <f t="shared" si="8"/>
        <v>9016.0731055402921</v>
      </c>
      <c r="AJ46" s="552">
        <f t="shared" si="8"/>
        <v>9015.6345801481111</v>
      </c>
      <c r="AK46" s="552">
        <f t="shared" si="8"/>
        <v>8995.9009374999987</v>
      </c>
      <c r="AL46" s="552">
        <f t="shared" si="8"/>
        <v>9091.9020262907597</v>
      </c>
      <c r="AM46" s="552">
        <f t="shared" si="8"/>
        <v>9174.3408567135994</v>
      </c>
      <c r="AN46" s="552">
        <f t="shared" si="8"/>
        <v>9173.8970475662918</v>
      </c>
      <c r="AO46" s="552">
        <f t="shared" si="8"/>
        <v>9153.9256359374995</v>
      </c>
      <c r="AP46" s="552">
        <f t="shared" si="8"/>
        <v>9251.9761612487546</v>
      </c>
      <c r="AQ46" s="552">
        <f t="shared" si="8"/>
        <v>9335.2061944272264</v>
      </c>
      <c r="AR46" s="552">
        <f t="shared" si="8"/>
        <v>9334.7570856154598</v>
      </c>
      <c r="AS46" s="552">
        <f t="shared" si="8"/>
        <v>9314.5471890859371</v>
      </c>
      <c r="AT46" s="552">
        <f t="shared" si="8"/>
        <v>9435.594366845693</v>
      </c>
      <c r="AU46" s="552">
        <f t="shared" si="8"/>
        <v>9477.8014538705866</v>
      </c>
      <c r="AV46" s="552">
        <f t="shared" si="8"/>
        <v>9498.2504502967968</v>
      </c>
      <c r="AW46" s="552">
        <f t="shared" si="8"/>
        <v>9473.4373793076247</v>
      </c>
      <c r="AX46" s="552">
        <f t="shared" si="8"/>
        <v>7840.5430720802897</v>
      </c>
      <c r="AY46" s="552">
        <f t="shared" si="8"/>
        <v>7925.3327672028645</v>
      </c>
      <c r="AZ46" s="552">
        <f t="shared" si="8"/>
        <v>7924.8730204235871</v>
      </c>
      <c r="BA46" s="552">
        <f t="shared" si="8"/>
        <v>7899.4704177332233</v>
      </c>
      <c r="BB46" s="552">
        <f t="shared" si="8"/>
        <v>9624.8356590516014</v>
      </c>
      <c r="BC46" s="552">
        <f t="shared" si="8"/>
        <v>9692.7614236034206</v>
      </c>
      <c r="BD46" s="552">
        <f t="shared" si="8"/>
        <v>9675.4589885497153</v>
      </c>
      <c r="BE46" s="552">
        <f t="shared" si="8"/>
        <v>9638.4507040270382</v>
      </c>
      <c r="BF46" s="552">
        <f t="shared" si="8"/>
        <v>9720.7935908740237</v>
      </c>
      <c r="BG46" s="552">
        <f t="shared" si="8"/>
        <v>9792.4419929069136</v>
      </c>
      <c r="BH46" s="552">
        <f t="shared" si="8"/>
        <v>9777.9664363635275</v>
      </c>
      <c r="BI46" s="552">
        <f t="shared" si="8"/>
        <v>9743.4226351504403</v>
      </c>
      <c r="BJ46" s="552">
        <f t="shared" si="8"/>
        <v>9852.3659888687216</v>
      </c>
      <c r="BK46" s="552">
        <f t="shared" si="8"/>
        <v>9883.4572104947692</v>
      </c>
      <c r="BL46" s="552">
        <f t="shared" si="8"/>
        <v>9893.2172202296188</v>
      </c>
      <c r="BM46" s="552">
        <f t="shared" si="8"/>
        <v>9860.6827761879267</v>
      </c>
      <c r="BN46" s="552">
        <f t="shared" si="8"/>
        <v>9952.0687470832363</v>
      </c>
      <c r="BO46" s="552">
        <f t="shared" si="8"/>
        <v>10029.716525225305</v>
      </c>
      <c r="BP46" s="552">
        <f t="shared" si="8"/>
        <v>10019.545629405566</v>
      </c>
      <c r="BQ46" s="552">
        <f t="shared" si="8"/>
        <v>9988.6420767608051</v>
      </c>
      <c r="BR46" s="552">
        <f t="shared" si="8"/>
        <v>8219.2390948474876</v>
      </c>
      <c r="BS46" s="552">
        <f t="shared" si="8"/>
        <v>8299.3153682882003</v>
      </c>
      <c r="BT46" s="552">
        <f t="shared" si="8"/>
        <v>8290.7690544763027</v>
      </c>
      <c r="BU46" s="552">
        <f t="shared" si="8"/>
        <v>8261.1817209639339</v>
      </c>
      <c r="BV46" s="552">
        <f t="shared" si="8"/>
        <v>10058.731640444626</v>
      </c>
      <c r="BW46" s="552">
        <f t="shared" si="8"/>
        <v>9344.5455321133577</v>
      </c>
      <c r="BX46" s="552">
        <f t="shared" si="8"/>
        <v>9321.7067066273194</v>
      </c>
      <c r="BY46" s="552">
        <f t="shared" si="8"/>
        <v>9278.2350148653059</v>
      </c>
      <c r="BZ46" s="552">
        <f t="shared" si="8"/>
        <v>9366.820362658149</v>
      </c>
      <c r="CA46" s="552">
        <f t="shared" si="8"/>
        <v>9391.5394041324525</v>
      </c>
      <c r="CB46" s="552">
        <f t="shared" si="8"/>
        <v>9325.6587104719256</v>
      </c>
      <c r="CC46" s="552">
        <f t="shared" si="8"/>
        <v>8945.0439358883377</v>
      </c>
      <c r="CD46" s="552">
        <f t="shared" si="8"/>
        <v>8979.3486456163082</v>
      </c>
      <c r="CE46" s="552">
        <f t="shared" si="8"/>
        <v>9046.6164747550774</v>
      </c>
      <c r="CF46" s="552">
        <f t="shared" si="8"/>
        <v>9023.0377831656751</v>
      </c>
      <c r="CG46" s="552">
        <f t="shared" si="8"/>
        <v>8973.8419199923192</v>
      </c>
      <c r="CH46" s="552">
        <f t="shared" si="8"/>
        <v>9016.1509382852164</v>
      </c>
      <c r="CI46" s="552">
        <f t="shared" si="8"/>
        <v>9085.5959504342063</v>
      </c>
      <c r="CJ46" s="552">
        <f t="shared" si="8"/>
        <v>9063.3706202664835</v>
      </c>
      <c r="CK46" s="552">
        <f t="shared" si="8"/>
        <v>9015.6767110387427</v>
      </c>
      <c r="CL46" s="552">
        <f t="shared" si="8"/>
        <v>7392.5001534342191</v>
      </c>
      <c r="CM46" s="552">
        <f t="shared" si="8"/>
        <v>7462.5726383825586</v>
      </c>
      <c r="CN46" s="552">
        <f t="shared" si="8"/>
        <v>7440.1549596800405</v>
      </c>
      <c r="CO46" s="552">
        <f t="shared" si="8"/>
        <v>7392.4685115884276</v>
      </c>
      <c r="CP46" s="552">
        <f t="shared" si="8"/>
        <v>9139.1530462928586</v>
      </c>
      <c r="CQ46" s="552">
        <f t="shared" si="8"/>
        <v>9160.9563368827476</v>
      </c>
      <c r="CR46" s="552">
        <f t="shared" si="8"/>
        <v>9163.7163616976522</v>
      </c>
      <c r="CS46" s="552">
        <f t="shared" si="8"/>
        <v>9117.6240403708798</v>
      </c>
      <c r="CT46" s="552">
        <f t="shared" si="8"/>
        <v>9172.7758942782111</v>
      </c>
      <c r="CU46" s="552">
        <f t="shared" si="8"/>
        <v>9245.5507180696623</v>
      </c>
      <c r="CV46" s="552">
        <f t="shared" si="8"/>
        <v>9224.3980348323803</v>
      </c>
      <c r="CW46" s="552">
        <f t="shared" si="8"/>
        <v>9178.5813878150875</v>
      </c>
      <c r="CX46" s="552">
        <f t="shared" si="8"/>
        <v>9237.5047308263493</v>
      </c>
      <c r="CY46" s="552">
        <f t="shared" si="8"/>
        <v>9310.5837191884038</v>
      </c>
      <c r="CZ46" s="552">
        <f t="shared" si="8"/>
        <v>9289.0498453167329</v>
      </c>
      <c r="DA46" s="552">
        <f t="shared" si="8"/>
        <v>9243.2109589200554</v>
      </c>
      <c r="DB46" s="552">
        <f t="shared" si="8"/>
        <v>9250.1759971050742</v>
      </c>
      <c r="DC46" s="552">
        <f t="shared" si="8"/>
        <v>9339.0671459746045</v>
      </c>
      <c r="DD46" s="552">
        <f t="shared" si="8"/>
        <v>9333.4126291791054</v>
      </c>
      <c r="DE46" s="552">
        <f t="shared" si="8"/>
        <v>9304.4998770319035</v>
      </c>
      <c r="DF46" s="552">
        <f t="shared" si="8"/>
        <v>7522.9247231573972</v>
      </c>
      <c r="DG46" s="552">
        <f t="shared" si="8"/>
        <v>7563.6643096481257</v>
      </c>
      <c r="DH46" s="552">
        <f t="shared" si="8"/>
        <v>7583.6576638991119</v>
      </c>
      <c r="DI46" s="552">
        <f t="shared" si="8"/>
        <v>7555.3373170299765</v>
      </c>
      <c r="DJ46" s="552">
        <f t="shared" si="8"/>
        <v>9531.0000277068248</v>
      </c>
      <c r="DK46" s="552">
        <f t="shared" si="8"/>
        <v>9622.5760692221538</v>
      </c>
      <c r="DL46" s="552">
        <f t="shared" si="8"/>
        <v>9618.4891847043327</v>
      </c>
      <c r="DM46" s="552">
        <f t="shared" si="8"/>
        <v>9590.6249782264968</v>
      </c>
      <c r="DN46" s="552">
        <f t="shared" si="8"/>
        <v>9679.6513243283043</v>
      </c>
      <c r="DO46" s="552">
        <f t="shared" si="8"/>
        <v>9772.3259446832872</v>
      </c>
      <c r="DP46" s="552">
        <f t="shared" si="8"/>
        <v>9768.8299907587207</v>
      </c>
      <c r="DQ46" s="552">
        <f t="shared" si="8"/>
        <v>9741.3091688148925</v>
      </c>
      <c r="DR46" s="552">
        <f t="shared" si="8"/>
        <v>9833.1752700445759</v>
      </c>
      <c r="DS46" s="552">
        <f t="shared" si="8"/>
        <v>9926.8134161951511</v>
      </c>
      <c r="DT46" s="552">
        <f t="shared" si="8"/>
        <v>9923.8082057289866</v>
      </c>
      <c r="DU46" s="552">
        <f t="shared" si="8"/>
        <v>9896.5376166003607</v>
      </c>
      <c r="DV46" s="552">
        <f t="shared" si="8"/>
        <v>10016.918852742816</v>
      </c>
      <c r="DW46" s="552">
        <f t="shared" si="8"/>
        <v>10059.983606963106</v>
      </c>
      <c r="DX46" s="552">
        <f t="shared" si="8"/>
        <v>10083.094712487115</v>
      </c>
      <c r="DY46" s="552">
        <f t="shared" si="8"/>
        <v>10055.997562626802</v>
      </c>
      <c r="DZ46" s="552">
        <f t="shared" si="8"/>
        <v>10153.459517752461</v>
      </c>
      <c r="EA46" s="552">
        <f t="shared" si="8"/>
        <v>10248.680194721674</v>
      </c>
      <c r="EB46" s="552">
        <f t="shared" si="8"/>
        <v>10246.420544942679</v>
      </c>
      <c r="EC46" s="552">
        <f t="shared" si="8"/>
        <v>10948.88102751593</v>
      </c>
      <c r="ED46" s="552">
        <f t="shared" si="8"/>
        <v>2308.4176722004668</v>
      </c>
      <c r="EE46" s="552">
        <f t="shared" si="8"/>
        <v>0</v>
      </c>
      <c r="EF46" s="552">
        <f t="shared" si="8"/>
        <v>0</v>
      </c>
      <c r="EG46" s="552">
        <f t="shared" si="8"/>
        <v>0</v>
      </c>
    </row>
    <row r="48" spans="5:137" ht="12.75">
      <c r="E48" s="538" t="str">
        <f>Cons!E$48</f>
        <v>Capex - total</v>
      </c>
      <c r="G48" s="539" t="str">
        <f>Cons!G$48</f>
        <v>EUR 000s</v>
      </c>
      <c r="H48" s="539">
        <f>Cons!H$48</f>
        <v>291552.5</v>
      </c>
      <c r="J48" s="539">
        <f>Cons!J$48</f>
        <v>0</v>
      </c>
      <c r="K48" s="539">
        <f>Cons!K$48</f>
        <v>0</v>
      </c>
      <c r="L48" s="539">
        <f>Cons!L$48</f>
        <v>8000</v>
      </c>
      <c r="M48" s="539">
        <f>Cons!M$48</f>
        <v>13291.5625</v>
      </c>
      <c r="N48" s="539">
        <f>Cons!N$48</f>
        <v>13619.6875</v>
      </c>
      <c r="O48" s="539">
        <f>Cons!O$48</f>
        <v>13291.5625</v>
      </c>
      <c r="P48" s="539">
        <f>Cons!P$48</f>
        <v>13619.6875</v>
      </c>
      <c r="Q48" s="539">
        <f>Cons!Q$48</f>
        <v>13291.5625</v>
      </c>
      <c r="R48" s="539">
        <f>Cons!R$48</f>
        <v>16941.953125</v>
      </c>
      <c r="S48" s="539">
        <f>Cons!S$48</f>
        <v>17639.21875</v>
      </c>
      <c r="T48" s="539">
        <f>Cons!T$48</f>
        <v>17967.34375</v>
      </c>
      <c r="U48" s="539">
        <f>Cons!U$48</f>
        <v>18295.46875</v>
      </c>
      <c r="V48" s="539">
        <f>Cons!V$48</f>
        <v>16982.96875</v>
      </c>
      <c r="W48" s="539">
        <f>Cons!W$48</f>
        <v>16818.90625</v>
      </c>
      <c r="X48" s="539">
        <f>Cons!X$48</f>
        <v>15014.21875</v>
      </c>
      <c r="Y48" s="539">
        <f>Cons!Y$48</f>
        <v>13045.46875</v>
      </c>
      <c r="Z48" s="539">
        <f>Cons!Z$48</f>
        <v>12061.09375</v>
      </c>
      <c r="AA48" s="539">
        <f>Cons!AA$48</f>
        <v>13537.65625</v>
      </c>
      <c r="AB48" s="539">
        <f>Cons!AB$48</f>
        <v>14193.90625</v>
      </c>
      <c r="AC48" s="539">
        <f>Cons!AC$48</f>
        <v>14029.84375</v>
      </c>
      <c r="AD48" s="539">
        <f>Cons!AD$48</f>
        <v>12676.328125</v>
      </c>
      <c r="AE48" s="539">
        <f>Cons!AE$48</f>
        <v>7549.375</v>
      </c>
      <c r="AF48" s="539">
        <f>Cons!AF$48</f>
        <v>5744.6875</v>
      </c>
      <c r="AG48" s="539">
        <f>Cons!AG$48</f>
        <v>3940</v>
      </c>
      <c r="AH48" s="539">
        <f>Cons!AH$48</f>
        <v>0</v>
      </c>
      <c r="AI48" s="539">
        <f>Cons!AI$48</f>
        <v>0</v>
      </c>
      <c r="AJ48" s="539">
        <f>Cons!AJ$48</f>
        <v>0</v>
      </c>
      <c r="AK48" s="539">
        <f>Cons!AK$48</f>
        <v>0</v>
      </c>
      <c r="AL48" s="539">
        <f>Cons!AL$48</f>
        <v>0</v>
      </c>
      <c r="AM48" s="539">
        <f>Cons!AM$48</f>
        <v>0</v>
      </c>
      <c r="AN48" s="539">
        <f>Cons!AN$48</f>
        <v>0</v>
      </c>
      <c r="AO48" s="539">
        <f>Cons!AO$48</f>
        <v>0</v>
      </c>
      <c r="AP48" s="539">
        <f>Cons!AP$48</f>
        <v>0</v>
      </c>
      <c r="AQ48" s="539">
        <f>Cons!AQ$48</f>
        <v>0</v>
      </c>
      <c r="AR48" s="539">
        <f>Cons!AR$48</f>
        <v>0</v>
      </c>
      <c r="AS48" s="539">
        <f>Cons!AS$48</f>
        <v>0</v>
      </c>
      <c r="AT48" s="539">
        <f>Cons!AT$48</f>
        <v>0</v>
      </c>
      <c r="AU48" s="539">
        <f>Cons!AU$48</f>
        <v>0</v>
      </c>
      <c r="AV48" s="539">
        <f>Cons!AV$48</f>
        <v>0</v>
      </c>
      <c r="AW48" s="539">
        <f>Cons!AW$48</f>
        <v>0</v>
      </c>
      <c r="AX48" s="539">
        <f>Cons!AX$48</f>
        <v>0</v>
      </c>
      <c r="AY48" s="539">
        <f>Cons!AY$48</f>
        <v>0</v>
      </c>
      <c r="AZ48" s="539">
        <f>Cons!AZ$48</f>
        <v>0</v>
      </c>
      <c r="BA48" s="539">
        <f>Cons!BA$48</f>
        <v>0</v>
      </c>
      <c r="BB48" s="539">
        <f>Cons!BB$48</f>
        <v>0</v>
      </c>
      <c r="BC48" s="539">
        <f>Cons!BC$48</f>
        <v>0</v>
      </c>
      <c r="BD48" s="539">
        <f>Cons!BD$48</f>
        <v>0</v>
      </c>
      <c r="BE48" s="539">
        <f>Cons!BE$48</f>
        <v>0</v>
      </c>
      <c r="BF48" s="539">
        <f>Cons!BF$48</f>
        <v>0</v>
      </c>
      <c r="BG48" s="539">
        <f>Cons!BG$48</f>
        <v>0</v>
      </c>
      <c r="BH48" s="539">
        <f>Cons!BH$48</f>
        <v>0</v>
      </c>
      <c r="BI48" s="539">
        <f>Cons!BI$48</f>
        <v>0</v>
      </c>
      <c r="BJ48" s="539">
        <f>Cons!BJ$48</f>
        <v>0</v>
      </c>
      <c r="BK48" s="539">
        <f>Cons!BK$48</f>
        <v>0</v>
      </c>
      <c r="BL48" s="539">
        <f>Cons!BL$48</f>
        <v>0</v>
      </c>
      <c r="BM48" s="539">
        <f>Cons!BM$48</f>
        <v>0</v>
      </c>
      <c r="BN48" s="539">
        <f>Cons!BN$48</f>
        <v>0</v>
      </c>
      <c r="BO48" s="539">
        <f>Cons!BO$48</f>
        <v>0</v>
      </c>
      <c r="BP48" s="539">
        <f>Cons!BP$48</f>
        <v>0</v>
      </c>
      <c r="BQ48" s="539">
        <f>Cons!BQ$48</f>
        <v>0</v>
      </c>
      <c r="BR48" s="539">
        <f>Cons!BR$48</f>
        <v>0</v>
      </c>
      <c r="BS48" s="539">
        <f>Cons!BS$48</f>
        <v>0</v>
      </c>
      <c r="BT48" s="539">
        <f>Cons!BT$48</f>
        <v>0</v>
      </c>
      <c r="BU48" s="539">
        <f>Cons!BU$48</f>
        <v>0</v>
      </c>
      <c r="BV48" s="539">
        <f>Cons!BV$48</f>
        <v>0</v>
      </c>
      <c r="BW48" s="539">
        <f>Cons!BW$48</f>
        <v>0</v>
      </c>
      <c r="BX48" s="539">
        <f>Cons!BX$48</f>
        <v>0</v>
      </c>
      <c r="BY48" s="539">
        <f>Cons!BY$48</f>
        <v>0</v>
      </c>
      <c r="BZ48" s="539">
        <f>Cons!BZ$48</f>
        <v>0</v>
      </c>
      <c r="CA48" s="539">
        <f>Cons!CA$48</f>
        <v>0</v>
      </c>
      <c r="CB48" s="539">
        <f>Cons!CB$48</f>
        <v>0</v>
      </c>
      <c r="CC48" s="539">
        <f>Cons!CC$48</f>
        <v>0</v>
      </c>
      <c r="CD48" s="539">
        <f>Cons!CD$48</f>
        <v>0</v>
      </c>
      <c r="CE48" s="539">
        <f>Cons!CE$48</f>
        <v>0</v>
      </c>
      <c r="CF48" s="539">
        <f>Cons!CF$48</f>
        <v>0</v>
      </c>
      <c r="CG48" s="539">
        <f>Cons!CG$48</f>
        <v>0</v>
      </c>
      <c r="CH48" s="539">
        <f>Cons!CH$48</f>
        <v>0</v>
      </c>
      <c r="CI48" s="539">
        <f>Cons!CI$48</f>
        <v>0</v>
      </c>
      <c r="CJ48" s="539">
        <f>Cons!CJ$48</f>
        <v>0</v>
      </c>
      <c r="CK48" s="539">
        <f>Cons!CK$48</f>
        <v>0</v>
      </c>
      <c r="CL48" s="539">
        <f>Cons!CL$48</f>
        <v>0</v>
      </c>
      <c r="CM48" s="539">
        <f>Cons!CM$48</f>
        <v>0</v>
      </c>
      <c r="CN48" s="539">
        <f>Cons!CN$48</f>
        <v>0</v>
      </c>
      <c r="CO48" s="539">
        <f>Cons!CO$48</f>
        <v>0</v>
      </c>
      <c r="CP48" s="539">
        <f>Cons!CP$48</f>
        <v>0</v>
      </c>
      <c r="CQ48" s="539">
        <f>Cons!CQ$48</f>
        <v>0</v>
      </c>
      <c r="CR48" s="539">
        <f>Cons!CR$48</f>
        <v>0</v>
      </c>
      <c r="CS48" s="539">
        <f>Cons!CS$48</f>
        <v>0</v>
      </c>
      <c r="CT48" s="539">
        <f>Cons!CT$48</f>
        <v>0</v>
      </c>
      <c r="CU48" s="539">
        <f>Cons!CU$48</f>
        <v>0</v>
      </c>
      <c r="CV48" s="539">
        <f>Cons!CV$48</f>
        <v>0</v>
      </c>
      <c r="CW48" s="539">
        <f>Cons!CW$48</f>
        <v>0</v>
      </c>
      <c r="CX48" s="539">
        <f>Cons!CX$48</f>
        <v>0</v>
      </c>
      <c r="CY48" s="539">
        <f>Cons!CY$48</f>
        <v>0</v>
      </c>
      <c r="CZ48" s="539">
        <f>Cons!CZ$48</f>
        <v>0</v>
      </c>
      <c r="DA48" s="539">
        <f>Cons!DA$48</f>
        <v>0</v>
      </c>
      <c r="DB48" s="539">
        <f>Cons!DB$48</f>
        <v>0</v>
      </c>
      <c r="DC48" s="539">
        <f>Cons!DC$48</f>
        <v>0</v>
      </c>
      <c r="DD48" s="539">
        <f>Cons!DD$48</f>
        <v>0</v>
      </c>
      <c r="DE48" s="539">
        <f>Cons!DE$48</f>
        <v>0</v>
      </c>
      <c r="DF48" s="539">
        <f>Cons!DF$48</f>
        <v>0</v>
      </c>
      <c r="DG48" s="539">
        <f>Cons!DG$48</f>
        <v>0</v>
      </c>
      <c r="DH48" s="539">
        <f>Cons!DH$48</f>
        <v>0</v>
      </c>
      <c r="DI48" s="539">
        <f>Cons!DI$48</f>
        <v>0</v>
      </c>
      <c r="DJ48" s="539">
        <f>Cons!DJ$48</f>
        <v>0</v>
      </c>
      <c r="DK48" s="539">
        <f>Cons!DK$48</f>
        <v>0</v>
      </c>
      <c r="DL48" s="539">
        <f>Cons!DL$48</f>
        <v>0</v>
      </c>
      <c r="DM48" s="539">
        <f>Cons!DM$48</f>
        <v>0</v>
      </c>
      <c r="DN48" s="539">
        <f>Cons!DN$48</f>
        <v>0</v>
      </c>
      <c r="DO48" s="539">
        <f>Cons!DO$48</f>
        <v>0</v>
      </c>
      <c r="DP48" s="539">
        <f>Cons!DP$48</f>
        <v>0</v>
      </c>
      <c r="DQ48" s="539">
        <f>Cons!DQ$48</f>
        <v>0</v>
      </c>
      <c r="DR48" s="539">
        <f>Cons!DR$48</f>
        <v>0</v>
      </c>
      <c r="DS48" s="539">
        <f>Cons!DS$48</f>
        <v>0</v>
      </c>
      <c r="DT48" s="539">
        <f>Cons!DT$48</f>
        <v>0</v>
      </c>
      <c r="DU48" s="539">
        <f>Cons!DU$48</f>
        <v>0</v>
      </c>
      <c r="DV48" s="539">
        <f>Cons!DV$48</f>
        <v>0</v>
      </c>
      <c r="DW48" s="539">
        <f>Cons!DW$48</f>
        <v>0</v>
      </c>
      <c r="DX48" s="539">
        <f>Cons!DX$48</f>
        <v>0</v>
      </c>
      <c r="DY48" s="539">
        <f>Cons!DY$48</f>
        <v>0</v>
      </c>
      <c r="DZ48" s="539">
        <f>Cons!DZ$48</f>
        <v>0</v>
      </c>
      <c r="EA48" s="539">
        <f>Cons!EA$48</f>
        <v>0</v>
      </c>
      <c r="EB48" s="539">
        <f>Cons!EB$48</f>
        <v>0</v>
      </c>
      <c r="EC48" s="539">
        <f>Cons!EC$48</f>
        <v>0</v>
      </c>
      <c r="ED48" s="539">
        <f>Cons!ED$48</f>
        <v>0</v>
      </c>
      <c r="EE48" s="539">
        <f>Cons!EE$48</f>
        <v>0</v>
      </c>
      <c r="EF48" s="539">
        <f>Cons!EF$48</f>
        <v>0</v>
      </c>
      <c r="EG48" s="539">
        <f>Cons!EG$48</f>
        <v>0</v>
      </c>
    </row>
    <row r="49" spans="5:137" ht="12.75">
      <c r="E49" s="538" t="str">
        <f>Cons!E$57</f>
        <v>VAT - paid on capex</v>
      </c>
      <c r="G49" s="539" t="str">
        <f>Cons!G$57</f>
        <v>EUR 000s</v>
      </c>
      <c r="H49" s="539">
        <f>Cons!H$57</f>
        <v>56710.5</v>
      </c>
      <c r="J49" s="539">
        <f>Cons!J$57</f>
        <v>0</v>
      </c>
      <c r="K49" s="539">
        <f>Cons!K$57</f>
        <v>0</v>
      </c>
      <c r="L49" s="539">
        <f>Cons!L$57</f>
        <v>0</v>
      </c>
      <c r="M49" s="539">
        <f>Cons!M$57</f>
        <v>2658.3125</v>
      </c>
      <c r="N49" s="539">
        <f>Cons!N$57</f>
        <v>2723.9375</v>
      </c>
      <c r="O49" s="539">
        <f>Cons!O$57</f>
        <v>2658.3125</v>
      </c>
      <c r="P49" s="539">
        <f>Cons!P$57</f>
        <v>2723.9375</v>
      </c>
      <c r="Q49" s="539">
        <f>Cons!Q$57</f>
        <v>2658.3125</v>
      </c>
      <c r="R49" s="539">
        <f>Cons!R$57</f>
        <v>3388.390625</v>
      </c>
      <c r="S49" s="539">
        <f>Cons!S$57</f>
        <v>3527.84375</v>
      </c>
      <c r="T49" s="539">
        <f>Cons!T$57</f>
        <v>3593.46875</v>
      </c>
      <c r="U49" s="539">
        <f>Cons!U$57</f>
        <v>3659.09375</v>
      </c>
      <c r="V49" s="539">
        <f>Cons!V$57</f>
        <v>3396.59375</v>
      </c>
      <c r="W49" s="539">
        <f>Cons!W$57</f>
        <v>3363.78125</v>
      </c>
      <c r="X49" s="539">
        <f>Cons!X$57</f>
        <v>3002.84375</v>
      </c>
      <c r="Y49" s="539">
        <f>Cons!Y$57</f>
        <v>2609.09375</v>
      </c>
      <c r="Z49" s="539">
        <f>Cons!Z$57</f>
        <v>2412.21875</v>
      </c>
      <c r="AA49" s="539">
        <f>Cons!AA$57</f>
        <v>2707.53125</v>
      </c>
      <c r="AB49" s="539">
        <f>Cons!AB$57</f>
        <v>2838.78125</v>
      </c>
      <c r="AC49" s="539">
        <f>Cons!AC$57</f>
        <v>2805.96875</v>
      </c>
      <c r="AD49" s="539">
        <f>Cons!AD$57</f>
        <v>2535.265625</v>
      </c>
      <c r="AE49" s="539">
        <f>Cons!AE$57</f>
        <v>1509.875</v>
      </c>
      <c r="AF49" s="539">
        <f>Cons!AF$57</f>
        <v>1148.9375</v>
      </c>
      <c r="AG49" s="539">
        <f>Cons!AG$57</f>
        <v>788</v>
      </c>
      <c r="AH49" s="539">
        <f>Cons!AH$57</f>
        <v>0</v>
      </c>
      <c r="AI49" s="539">
        <f>Cons!AI$57</f>
        <v>0</v>
      </c>
      <c r="AJ49" s="539">
        <f>Cons!AJ$57</f>
        <v>0</v>
      </c>
      <c r="AK49" s="539">
        <f>Cons!AK$57</f>
        <v>0</v>
      </c>
      <c r="AL49" s="539">
        <f>Cons!AL$57</f>
        <v>0</v>
      </c>
      <c r="AM49" s="539">
        <f>Cons!AM$57</f>
        <v>0</v>
      </c>
      <c r="AN49" s="539">
        <f>Cons!AN$57</f>
        <v>0</v>
      </c>
      <c r="AO49" s="539">
        <f>Cons!AO$57</f>
        <v>0</v>
      </c>
      <c r="AP49" s="539">
        <f>Cons!AP$57</f>
        <v>0</v>
      </c>
      <c r="AQ49" s="539">
        <f>Cons!AQ$57</f>
        <v>0</v>
      </c>
      <c r="AR49" s="539">
        <f>Cons!AR$57</f>
        <v>0</v>
      </c>
      <c r="AS49" s="539">
        <f>Cons!AS$57</f>
        <v>0</v>
      </c>
      <c r="AT49" s="539">
        <f>Cons!AT$57</f>
        <v>0</v>
      </c>
      <c r="AU49" s="539">
        <f>Cons!AU$57</f>
        <v>0</v>
      </c>
      <c r="AV49" s="539">
        <f>Cons!AV$57</f>
        <v>0</v>
      </c>
      <c r="AW49" s="539">
        <f>Cons!AW$57</f>
        <v>0</v>
      </c>
      <c r="AX49" s="539">
        <f>Cons!AX$57</f>
        <v>0</v>
      </c>
      <c r="AY49" s="539">
        <f>Cons!AY$57</f>
        <v>0</v>
      </c>
      <c r="AZ49" s="539">
        <f>Cons!AZ$57</f>
        <v>0</v>
      </c>
      <c r="BA49" s="539">
        <f>Cons!BA$57</f>
        <v>0</v>
      </c>
      <c r="BB49" s="539">
        <f>Cons!BB$57</f>
        <v>0</v>
      </c>
      <c r="BC49" s="539">
        <f>Cons!BC$57</f>
        <v>0</v>
      </c>
      <c r="BD49" s="539">
        <f>Cons!BD$57</f>
        <v>0</v>
      </c>
      <c r="BE49" s="539">
        <f>Cons!BE$57</f>
        <v>0</v>
      </c>
      <c r="BF49" s="539">
        <f>Cons!BF$57</f>
        <v>0</v>
      </c>
      <c r="BG49" s="539">
        <f>Cons!BG$57</f>
        <v>0</v>
      </c>
      <c r="BH49" s="539">
        <f>Cons!BH$57</f>
        <v>0</v>
      </c>
      <c r="BI49" s="539">
        <f>Cons!BI$57</f>
        <v>0</v>
      </c>
      <c r="BJ49" s="539">
        <f>Cons!BJ$57</f>
        <v>0</v>
      </c>
      <c r="BK49" s="539">
        <f>Cons!BK$57</f>
        <v>0</v>
      </c>
      <c r="BL49" s="539">
        <f>Cons!BL$57</f>
        <v>0</v>
      </c>
      <c r="BM49" s="539">
        <f>Cons!BM$57</f>
        <v>0</v>
      </c>
      <c r="BN49" s="539">
        <f>Cons!BN$57</f>
        <v>0</v>
      </c>
      <c r="BO49" s="539">
        <f>Cons!BO$57</f>
        <v>0</v>
      </c>
      <c r="BP49" s="539">
        <f>Cons!BP$57</f>
        <v>0</v>
      </c>
      <c r="BQ49" s="539">
        <f>Cons!BQ$57</f>
        <v>0</v>
      </c>
      <c r="BR49" s="539">
        <f>Cons!BR$57</f>
        <v>0</v>
      </c>
      <c r="BS49" s="539">
        <f>Cons!BS$57</f>
        <v>0</v>
      </c>
      <c r="BT49" s="539">
        <f>Cons!BT$57</f>
        <v>0</v>
      </c>
      <c r="BU49" s="539">
        <f>Cons!BU$57</f>
        <v>0</v>
      </c>
      <c r="BV49" s="539">
        <f>Cons!BV$57</f>
        <v>0</v>
      </c>
      <c r="BW49" s="539">
        <f>Cons!BW$57</f>
        <v>0</v>
      </c>
      <c r="BX49" s="539">
        <f>Cons!BX$57</f>
        <v>0</v>
      </c>
      <c r="BY49" s="539">
        <f>Cons!BY$57</f>
        <v>0</v>
      </c>
      <c r="BZ49" s="539">
        <f>Cons!BZ$57</f>
        <v>0</v>
      </c>
      <c r="CA49" s="539">
        <f>Cons!CA$57</f>
        <v>0</v>
      </c>
      <c r="CB49" s="539">
        <f>Cons!CB$57</f>
        <v>0</v>
      </c>
      <c r="CC49" s="539">
        <f>Cons!CC$57</f>
        <v>0</v>
      </c>
      <c r="CD49" s="539">
        <f>Cons!CD$57</f>
        <v>0</v>
      </c>
      <c r="CE49" s="539">
        <f>Cons!CE$57</f>
        <v>0</v>
      </c>
      <c r="CF49" s="539">
        <f>Cons!CF$57</f>
        <v>0</v>
      </c>
      <c r="CG49" s="539">
        <f>Cons!CG$57</f>
        <v>0</v>
      </c>
      <c r="CH49" s="539">
        <f>Cons!CH$57</f>
        <v>0</v>
      </c>
      <c r="CI49" s="539">
        <f>Cons!CI$57</f>
        <v>0</v>
      </c>
      <c r="CJ49" s="539">
        <f>Cons!CJ$57</f>
        <v>0</v>
      </c>
      <c r="CK49" s="539">
        <f>Cons!CK$57</f>
        <v>0</v>
      </c>
      <c r="CL49" s="539">
        <f>Cons!CL$57</f>
        <v>0</v>
      </c>
      <c r="CM49" s="539">
        <f>Cons!CM$57</f>
        <v>0</v>
      </c>
      <c r="CN49" s="539">
        <f>Cons!CN$57</f>
        <v>0</v>
      </c>
      <c r="CO49" s="539">
        <f>Cons!CO$57</f>
        <v>0</v>
      </c>
      <c r="CP49" s="539">
        <f>Cons!CP$57</f>
        <v>0</v>
      </c>
      <c r="CQ49" s="539">
        <f>Cons!CQ$57</f>
        <v>0</v>
      </c>
      <c r="CR49" s="539">
        <f>Cons!CR$57</f>
        <v>0</v>
      </c>
      <c r="CS49" s="539">
        <f>Cons!CS$57</f>
        <v>0</v>
      </c>
      <c r="CT49" s="539">
        <f>Cons!CT$57</f>
        <v>0</v>
      </c>
      <c r="CU49" s="539">
        <f>Cons!CU$57</f>
        <v>0</v>
      </c>
      <c r="CV49" s="539">
        <f>Cons!CV$57</f>
        <v>0</v>
      </c>
      <c r="CW49" s="539">
        <f>Cons!CW$57</f>
        <v>0</v>
      </c>
      <c r="CX49" s="539">
        <f>Cons!CX$57</f>
        <v>0</v>
      </c>
      <c r="CY49" s="539">
        <f>Cons!CY$57</f>
        <v>0</v>
      </c>
      <c r="CZ49" s="539">
        <f>Cons!CZ$57</f>
        <v>0</v>
      </c>
      <c r="DA49" s="539">
        <f>Cons!DA$57</f>
        <v>0</v>
      </c>
      <c r="DB49" s="539">
        <f>Cons!DB$57</f>
        <v>0</v>
      </c>
      <c r="DC49" s="539">
        <f>Cons!DC$57</f>
        <v>0</v>
      </c>
      <c r="DD49" s="539">
        <f>Cons!DD$57</f>
        <v>0</v>
      </c>
      <c r="DE49" s="539">
        <f>Cons!DE$57</f>
        <v>0</v>
      </c>
      <c r="DF49" s="539">
        <f>Cons!DF$57</f>
        <v>0</v>
      </c>
      <c r="DG49" s="539">
        <f>Cons!DG$57</f>
        <v>0</v>
      </c>
      <c r="DH49" s="539">
        <f>Cons!DH$57</f>
        <v>0</v>
      </c>
      <c r="DI49" s="539">
        <f>Cons!DI$57</f>
        <v>0</v>
      </c>
      <c r="DJ49" s="539">
        <f>Cons!DJ$57</f>
        <v>0</v>
      </c>
      <c r="DK49" s="539">
        <f>Cons!DK$57</f>
        <v>0</v>
      </c>
      <c r="DL49" s="539">
        <f>Cons!DL$57</f>
        <v>0</v>
      </c>
      <c r="DM49" s="539">
        <f>Cons!DM$57</f>
        <v>0</v>
      </c>
      <c r="DN49" s="539">
        <f>Cons!DN$57</f>
        <v>0</v>
      </c>
      <c r="DO49" s="539">
        <f>Cons!DO$57</f>
        <v>0</v>
      </c>
      <c r="DP49" s="539">
        <f>Cons!DP$57</f>
        <v>0</v>
      </c>
      <c r="DQ49" s="539">
        <f>Cons!DQ$57</f>
        <v>0</v>
      </c>
      <c r="DR49" s="539">
        <f>Cons!DR$57</f>
        <v>0</v>
      </c>
      <c r="DS49" s="539">
        <f>Cons!DS$57</f>
        <v>0</v>
      </c>
      <c r="DT49" s="539">
        <f>Cons!DT$57</f>
        <v>0</v>
      </c>
      <c r="DU49" s="539">
        <f>Cons!DU$57</f>
        <v>0</v>
      </c>
      <c r="DV49" s="539">
        <f>Cons!DV$57</f>
        <v>0</v>
      </c>
      <c r="DW49" s="539">
        <f>Cons!DW$57</f>
        <v>0</v>
      </c>
      <c r="DX49" s="539">
        <f>Cons!DX$57</f>
        <v>0</v>
      </c>
      <c r="DY49" s="539">
        <f>Cons!DY$57</f>
        <v>0</v>
      </c>
      <c r="DZ49" s="539">
        <f>Cons!DZ$57</f>
        <v>0</v>
      </c>
      <c r="EA49" s="539">
        <f>Cons!EA$57</f>
        <v>0</v>
      </c>
      <c r="EB49" s="539">
        <f>Cons!EB$57</f>
        <v>0</v>
      </c>
      <c r="EC49" s="539">
        <f>Cons!EC$57</f>
        <v>0</v>
      </c>
      <c r="ED49" s="539">
        <f>Cons!ED$57</f>
        <v>0</v>
      </c>
      <c r="EE49" s="539">
        <f>Cons!EE$57</f>
        <v>0</v>
      </c>
      <c r="EF49" s="539">
        <f>Cons!EF$57</f>
        <v>0</v>
      </c>
      <c r="EG49" s="539">
        <f>Cons!EG$57</f>
        <v>0</v>
      </c>
    </row>
    <row r="50" spans="5:137" ht="12.75">
      <c r="E50" s="538" t="str">
        <f>Cons!E$62</f>
        <v>VAT - refund received</v>
      </c>
      <c r="G50" s="539" t="str">
        <f>Cons!G$62</f>
        <v>EUR 000s</v>
      </c>
      <c r="H50" s="539">
        <f>Cons!H$62</f>
        <v>56710.5</v>
      </c>
      <c r="J50" s="539">
        <f>Cons!J$62</f>
        <v>0</v>
      </c>
      <c r="K50" s="539">
        <f>Cons!K$62</f>
        <v>0</v>
      </c>
      <c r="L50" s="539">
        <f>Cons!L$62</f>
        <v>0</v>
      </c>
      <c r="M50" s="539">
        <f>Cons!M$62</f>
        <v>0</v>
      </c>
      <c r="N50" s="539">
        <f>Cons!N$62</f>
        <v>0</v>
      </c>
      <c r="O50" s="539">
        <f>Cons!O$62</f>
        <v>0</v>
      </c>
      <c r="P50" s="539">
        <f>Cons!P$62</f>
        <v>2658.3125</v>
      </c>
      <c r="Q50" s="539">
        <f>Cons!Q$62</f>
        <v>2723.9375</v>
      </c>
      <c r="R50" s="539">
        <f>Cons!R$62</f>
        <v>2658.3125</v>
      </c>
      <c r="S50" s="539">
        <f>Cons!S$62</f>
        <v>2723.9375</v>
      </c>
      <c r="T50" s="539">
        <f>Cons!T$62</f>
        <v>2658.3125</v>
      </c>
      <c r="U50" s="539">
        <f>Cons!U$62</f>
        <v>3388.390625</v>
      </c>
      <c r="V50" s="539">
        <f>Cons!V$62</f>
        <v>3527.84375</v>
      </c>
      <c r="W50" s="539">
        <f>Cons!W$62</f>
        <v>3593.46875</v>
      </c>
      <c r="X50" s="539">
        <f>Cons!X$62</f>
        <v>3659.09375</v>
      </c>
      <c r="Y50" s="539">
        <f>Cons!Y$62</f>
        <v>3396.59375</v>
      </c>
      <c r="Z50" s="539">
        <f>Cons!Z$62</f>
        <v>3363.78125</v>
      </c>
      <c r="AA50" s="539">
        <f>Cons!AA$62</f>
        <v>3002.84375</v>
      </c>
      <c r="AB50" s="539">
        <f>Cons!AB$62</f>
        <v>2609.09375</v>
      </c>
      <c r="AC50" s="539">
        <f>Cons!AC$62</f>
        <v>2412.21875</v>
      </c>
      <c r="AD50" s="539">
        <f>Cons!AD$62</f>
        <v>2707.53125</v>
      </c>
      <c r="AE50" s="539">
        <f>Cons!AE$62</f>
        <v>2838.78125</v>
      </c>
      <c r="AF50" s="539">
        <f>Cons!AF$62</f>
        <v>2805.96875</v>
      </c>
      <c r="AG50" s="539">
        <f>Cons!AG$62</f>
        <v>2535.265625</v>
      </c>
      <c r="AH50" s="539">
        <f>Cons!AH$62</f>
        <v>3446.8125</v>
      </c>
      <c r="AI50" s="539">
        <f>Cons!AI$62</f>
        <v>0</v>
      </c>
      <c r="AJ50" s="539">
        <f>Cons!AJ$62</f>
        <v>0</v>
      </c>
      <c r="AK50" s="539">
        <f>Cons!AK$62</f>
        <v>0</v>
      </c>
      <c r="AL50" s="539">
        <f>Cons!AL$62</f>
        <v>0</v>
      </c>
      <c r="AM50" s="539">
        <f>Cons!AM$62</f>
        <v>0</v>
      </c>
      <c r="AN50" s="539">
        <f>Cons!AN$62</f>
        <v>0</v>
      </c>
      <c r="AO50" s="539">
        <f>Cons!AO$62</f>
        <v>0</v>
      </c>
      <c r="AP50" s="539">
        <f>Cons!AP$62</f>
        <v>0</v>
      </c>
      <c r="AQ50" s="539">
        <f>Cons!AQ$62</f>
        <v>0</v>
      </c>
      <c r="AR50" s="539">
        <f>Cons!AR$62</f>
        <v>0</v>
      </c>
      <c r="AS50" s="539">
        <f>Cons!AS$62</f>
        <v>0</v>
      </c>
      <c r="AT50" s="539">
        <f>Cons!AT$62</f>
        <v>0</v>
      </c>
      <c r="AU50" s="539">
        <f>Cons!AU$62</f>
        <v>0</v>
      </c>
      <c r="AV50" s="539">
        <f>Cons!AV$62</f>
        <v>0</v>
      </c>
      <c r="AW50" s="539">
        <f>Cons!AW$62</f>
        <v>0</v>
      </c>
      <c r="AX50" s="539">
        <f>Cons!AX$62</f>
        <v>0</v>
      </c>
      <c r="AY50" s="539">
        <f>Cons!AY$62</f>
        <v>0</v>
      </c>
      <c r="AZ50" s="539">
        <f>Cons!AZ$62</f>
        <v>0</v>
      </c>
      <c r="BA50" s="539">
        <f>Cons!BA$62</f>
        <v>0</v>
      </c>
      <c r="BB50" s="539">
        <f>Cons!BB$62</f>
        <v>0</v>
      </c>
      <c r="BC50" s="539">
        <f>Cons!BC$62</f>
        <v>0</v>
      </c>
      <c r="BD50" s="539">
        <f>Cons!BD$62</f>
        <v>0</v>
      </c>
      <c r="BE50" s="539">
        <f>Cons!BE$62</f>
        <v>0</v>
      </c>
      <c r="BF50" s="539">
        <f>Cons!BF$62</f>
        <v>0</v>
      </c>
      <c r="BG50" s="539">
        <f>Cons!BG$62</f>
        <v>0</v>
      </c>
      <c r="BH50" s="539">
        <f>Cons!BH$62</f>
        <v>0</v>
      </c>
      <c r="BI50" s="539">
        <f>Cons!BI$62</f>
        <v>0</v>
      </c>
      <c r="BJ50" s="539">
        <f>Cons!BJ$62</f>
        <v>0</v>
      </c>
      <c r="BK50" s="539">
        <f>Cons!BK$62</f>
        <v>0</v>
      </c>
      <c r="BL50" s="539">
        <f>Cons!BL$62</f>
        <v>0</v>
      </c>
      <c r="BM50" s="539">
        <f>Cons!BM$62</f>
        <v>0</v>
      </c>
      <c r="BN50" s="539">
        <f>Cons!BN$62</f>
        <v>0</v>
      </c>
      <c r="BO50" s="539">
        <f>Cons!BO$62</f>
        <v>0</v>
      </c>
      <c r="BP50" s="539">
        <f>Cons!BP$62</f>
        <v>0</v>
      </c>
      <c r="BQ50" s="539">
        <f>Cons!BQ$62</f>
        <v>0</v>
      </c>
      <c r="BR50" s="539">
        <f>Cons!BR$62</f>
        <v>0</v>
      </c>
      <c r="BS50" s="539">
        <f>Cons!BS$62</f>
        <v>0</v>
      </c>
      <c r="BT50" s="539">
        <f>Cons!BT$62</f>
        <v>0</v>
      </c>
      <c r="BU50" s="539">
        <f>Cons!BU$62</f>
        <v>0</v>
      </c>
      <c r="BV50" s="539">
        <f>Cons!BV$62</f>
        <v>0</v>
      </c>
      <c r="BW50" s="539">
        <f>Cons!BW$62</f>
        <v>0</v>
      </c>
      <c r="BX50" s="539">
        <f>Cons!BX$62</f>
        <v>0</v>
      </c>
      <c r="BY50" s="539">
        <f>Cons!BY$62</f>
        <v>0</v>
      </c>
      <c r="BZ50" s="539">
        <f>Cons!BZ$62</f>
        <v>0</v>
      </c>
      <c r="CA50" s="539">
        <f>Cons!CA$62</f>
        <v>0</v>
      </c>
      <c r="CB50" s="539">
        <f>Cons!CB$62</f>
        <v>0</v>
      </c>
      <c r="CC50" s="539">
        <f>Cons!CC$62</f>
        <v>0</v>
      </c>
      <c r="CD50" s="539">
        <f>Cons!CD$62</f>
        <v>0</v>
      </c>
      <c r="CE50" s="539">
        <f>Cons!CE$62</f>
        <v>0</v>
      </c>
      <c r="CF50" s="539">
        <f>Cons!CF$62</f>
        <v>0</v>
      </c>
      <c r="CG50" s="539">
        <f>Cons!CG$62</f>
        <v>0</v>
      </c>
      <c r="CH50" s="539">
        <f>Cons!CH$62</f>
        <v>0</v>
      </c>
      <c r="CI50" s="539">
        <f>Cons!CI$62</f>
        <v>0</v>
      </c>
      <c r="CJ50" s="539">
        <f>Cons!CJ$62</f>
        <v>0</v>
      </c>
      <c r="CK50" s="539">
        <f>Cons!CK$62</f>
        <v>0</v>
      </c>
      <c r="CL50" s="539">
        <f>Cons!CL$62</f>
        <v>0</v>
      </c>
      <c r="CM50" s="539">
        <f>Cons!CM$62</f>
        <v>0</v>
      </c>
      <c r="CN50" s="539">
        <f>Cons!CN$62</f>
        <v>0</v>
      </c>
      <c r="CO50" s="539">
        <f>Cons!CO$62</f>
        <v>0</v>
      </c>
      <c r="CP50" s="539">
        <f>Cons!CP$62</f>
        <v>0</v>
      </c>
      <c r="CQ50" s="539">
        <f>Cons!CQ$62</f>
        <v>0</v>
      </c>
      <c r="CR50" s="539">
        <f>Cons!CR$62</f>
        <v>0</v>
      </c>
      <c r="CS50" s="539">
        <f>Cons!CS$62</f>
        <v>0</v>
      </c>
      <c r="CT50" s="539">
        <f>Cons!CT$62</f>
        <v>0</v>
      </c>
      <c r="CU50" s="539">
        <f>Cons!CU$62</f>
        <v>0</v>
      </c>
      <c r="CV50" s="539">
        <f>Cons!CV$62</f>
        <v>0</v>
      </c>
      <c r="CW50" s="539">
        <f>Cons!CW$62</f>
        <v>0</v>
      </c>
      <c r="CX50" s="539">
        <f>Cons!CX$62</f>
        <v>0</v>
      </c>
      <c r="CY50" s="539">
        <f>Cons!CY$62</f>
        <v>0</v>
      </c>
      <c r="CZ50" s="539">
        <f>Cons!CZ$62</f>
        <v>0</v>
      </c>
      <c r="DA50" s="539">
        <f>Cons!DA$62</f>
        <v>0</v>
      </c>
      <c r="DB50" s="539">
        <f>Cons!DB$62</f>
        <v>0</v>
      </c>
      <c r="DC50" s="539">
        <f>Cons!DC$62</f>
        <v>0</v>
      </c>
      <c r="DD50" s="539">
        <f>Cons!DD$62</f>
        <v>0</v>
      </c>
      <c r="DE50" s="539">
        <f>Cons!DE$62</f>
        <v>0</v>
      </c>
      <c r="DF50" s="539">
        <f>Cons!DF$62</f>
        <v>0</v>
      </c>
      <c r="DG50" s="539">
        <f>Cons!DG$62</f>
        <v>0</v>
      </c>
      <c r="DH50" s="539">
        <f>Cons!DH$62</f>
        <v>0</v>
      </c>
      <c r="DI50" s="539">
        <f>Cons!DI$62</f>
        <v>0</v>
      </c>
      <c r="DJ50" s="539">
        <f>Cons!DJ$62</f>
        <v>0</v>
      </c>
      <c r="DK50" s="539">
        <f>Cons!DK$62</f>
        <v>0</v>
      </c>
      <c r="DL50" s="539">
        <f>Cons!DL$62</f>
        <v>0</v>
      </c>
      <c r="DM50" s="539">
        <f>Cons!DM$62</f>
        <v>0</v>
      </c>
      <c r="DN50" s="539">
        <f>Cons!DN$62</f>
        <v>0</v>
      </c>
      <c r="DO50" s="539">
        <f>Cons!DO$62</f>
        <v>0</v>
      </c>
      <c r="DP50" s="539">
        <f>Cons!DP$62</f>
        <v>0</v>
      </c>
      <c r="DQ50" s="539">
        <f>Cons!DQ$62</f>
        <v>0</v>
      </c>
      <c r="DR50" s="539">
        <f>Cons!DR$62</f>
        <v>0</v>
      </c>
      <c r="DS50" s="539">
        <f>Cons!DS$62</f>
        <v>0</v>
      </c>
      <c r="DT50" s="539">
        <f>Cons!DT$62</f>
        <v>0</v>
      </c>
      <c r="DU50" s="539">
        <f>Cons!DU$62</f>
        <v>0</v>
      </c>
      <c r="DV50" s="539">
        <f>Cons!DV$62</f>
        <v>0</v>
      </c>
      <c r="DW50" s="539">
        <f>Cons!DW$62</f>
        <v>0</v>
      </c>
      <c r="DX50" s="539">
        <f>Cons!DX$62</f>
        <v>0</v>
      </c>
      <c r="DY50" s="539">
        <f>Cons!DY$62</f>
        <v>0</v>
      </c>
      <c r="DZ50" s="539">
        <f>Cons!DZ$62</f>
        <v>0</v>
      </c>
      <c r="EA50" s="539">
        <f>Cons!EA$62</f>
        <v>0</v>
      </c>
      <c r="EB50" s="539">
        <f>Cons!EB$62</f>
        <v>0</v>
      </c>
      <c r="EC50" s="539">
        <f>Cons!EC$62</f>
        <v>0</v>
      </c>
      <c r="ED50" s="539">
        <f>Cons!ED$62</f>
        <v>0</v>
      </c>
      <c r="EE50" s="539">
        <f>Cons!EE$62</f>
        <v>0</v>
      </c>
      <c r="EF50" s="539">
        <f>Cons!EF$62</f>
        <v>0</v>
      </c>
      <c r="EG50" s="539">
        <f>Cons!EG$62</f>
        <v>0</v>
      </c>
    </row>
    <row r="51" spans="5:137" ht="12.75">
      <c r="E51" s="551" t="s">
        <v>520</v>
      </c>
      <c r="F51" s="552"/>
      <c r="G51" s="552" t="s">
        <v>30</v>
      </c>
      <c r="H51" s="552">
        <f>SUM(J51:EG51)</f>
        <v>-291552.5</v>
      </c>
      <c r="I51" s="552"/>
      <c r="J51" s="552">
        <f t="shared" si="9" ref="J51:EG51">J50-J48-J49</f>
        <v>0</v>
      </c>
      <c r="K51" s="552">
        <f t="shared" si="9"/>
        <v>0</v>
      </c>
      <c r="L51" s="552">
        <f t="shared" si="9"/>
        <v>-8000</v>
      </c>
      <c r="M51" s="552">
        <f t="shared" si="9"/>
        <v>-15949.875</v>
      </c>
      <c r="N51" s="552">
        <f t="shared" si="9"/>
        <v>-16343.625</v>
      </c>
      <c r="O51" s="552">
        <f t="shared" si="9"/>
        <v>-15949.875</v>
      </c>
      <c r="P51" s="552">
        <f t="shared" si="9"/>
        <v>-13685.3125</v>
      </c>
      <c r="Q51" s="552">
        <f t="shared" si="9"/>
        <v>-13225.9375</v>
      </c>
      <c r="R51" s="552">
        <f t="shared" si="9"/>
        <v>-17672.03125</v>
      </c>
      <c r="S51" s="552">
        <f t="shared" si="9"/>
        <v>-18443.125</v>
      </c>
      <c r="T51" s="552">
        <f t="shared" si="9"/>
        <v>-18902.5</v>
      </c>
      <c r="U51" s="552">
        <f t="shared" si="9"/>
        <v>-18566.171875</v>
      </c>
      <c r="V51" s="552">
        <f t="shared" si="9"/>
        <v>-16851.71875</v>
      </c>
      <c r="W51" s="552">
        <f t="shared" si="9"/>
        <v>-16589.21875</v>
      </c>
      <c r="X51" s="552">
        <f t="shared" si="9"/>
        <v>-14357.96875</v>
      </c>
      <c r="Y51" s="552">
        <f t="shared" si="9"/>
        <v>-12257.96875</v>
      </c>
      <c r="Z51" s="552">
        <f t="shared" si="9"/>
        <v>-11109.53125</v>
      </c>
      <c r="AA51" s="552">
        <f t="shared" si="9"/>
        <v>-13242.34375</v>
      </c>
      <c r="AB51" s="552">
        <f t="shared" si="9"/>
        <v>-14423.59375</v>
      </c>
      <c r="AC51" s="552">
        <f t="shared" si="9"/>
        <v>-14423.59375</v>
      </c>
      <c r="AD51" s="552">
        <f t="shared" si="9"/>
        <v>-12504.0625</v>
      </c>
      <c r="AE51" s="552">
        <f t="shared" si="9"/>
        <v>-6220.46875</v>
      </c>
      <c r="AF51" s="552">
        <f t="shared" si="9"/>
        <v>-4087.65625</v>
      </c>
      <c r="AG51" s="552">
        <f t="shared" si="9"/>
        <v>-2192.734375</v>
      </c>
      <c r="AH51" s="552">
        <f t="shared" si="9"/>
        <v>3446.8125</v>
      </c>
      <c r="AI51" s="552">
        <f t="shared" si="9"/>
        <v>0</v>
      </c>
      <c r="AJ51" s="552">
        <f t="shared" si="9"/>
        <v>0</v>
      </c>
      <c r="AK51" s="552">
        <f t="shared" si="9"/>
        <v>0</v>
      </c>
      <c r="AL51" s="552">
        <f t="shared" si="9"/>
        <v>0</v>
      </c>
      <c r="AM51" s="552">
        <f t="shared" si="9"/>
        <v>0</v>
      </c>
      <c r="AN51" s="552">
        <f t="shared" si="9"/>
        <v>0</v>
      </c>
      <c r="AO51" s="552">
        <f t="shared" si="9"/>
        <v>0</v>
      </c>
      <c r="AP51" s="552">
        <f t="shared" si="9"/>
        <v>0</v>
      </c>
      <c r="AQ51" s="552">
        <f t="shared" si="9"/>
        <v>0</v>
      </c>
      <c r="AR51" s="552">
        <f t="shared" si="9"/>
        <v>0</v>
      </c>
      <c r="AS51" s="552">
        <f t="shared" si="9"/>
        <v>0</v>
      </c>
      <c r="AT51" s="552">
        <f t="shared" si="9"/>
        <v>0</v>
      </c>
      <c r="AU51" s="552">
        <f t="shared" si="9"/>
        <v>0</v>
      </c>
      <c r="AV51" s="552">
        <f t="shared" si="9"/>
        <v>0</v>
      </c>
      <c r="AW51" s="552">
        <f t="shared" si="9"/>
        <v>0</v>
      </c>
      <c r="AX51" s="552">
        <f t="shared" si="9"/>
        <v>0</v>
      </c>
      <c r="AY51" s="552">
        <f t="shared" si="9"/>
        <v>0</v>
      </c>
      <c r="AZ51" s="552">
        <f t="shared" si="9"/>
        <v>0</v>
      </c>
      <c r="BA51" s="552">
        <f t="shared" si="9"/>
        <v>0</v>
      </c>
      <c r="BB51" s="552">
        <f t="shared" si="9"/>
        <v>0</v>
      </c>
      <c r="BC51" s="552">
        <f t="shared" si="9"/>
        <v>0</v>
      </c>
      <c r="BD51" s="552">
        <f t="shared" si="9"/>
        <v>0</v>
      </c>
      <c r="BE51" s="552">
        <f t="shared" si="9"/>
        <v>0</v>
      </c>
      <c r="BF51" s="552">
        <f t="shared" si="9"/>
        <v>0</v>
      </c>
      <c r="BG51" s="552">
        <f t="shared" si="9"/>
        <v>0</v>
      </c>
      <c r="BH51" s="552">
        <f t="shared" si="9"/>
        <v>0</v>
      </c>
      <c r="BI51" s="552">
        <f t="shared" si="9"/>
        <v>0</v>
      </c>
      <c r="BJ51" s="552">
        <f t="shared" si="9"/>
        <v>0</v>
      </c>
      <c r="BK51" s="552">
        <f t="shared" si="9"/>
        <v>0</v>
      </c>
      <c r="BL51" s="552">
        <f t="shared" si="9"/>
        <v>0</v>
      </c>
      <c r="BM51" s="552">
        <f t="shared" si="9"/>
        <v>0</v>
      </c>
      <c r="BN51" s="552">
        <f t="shared" si="9"/>
        <v>0</v>
      </c>
      <c r="BO51" s="552">
        <f t="shared" si="9"/>
        <v>0</v>
      </c>
      <c r="BP51" s="552">
        <f t="shared" si="9"/>
        <v>0</v>
      </c>
      <c r="BQ51" s="552">
        <f t="shared" si="9"/>
        <v>0</v>
      </c>
      <c r="BR51" s="552">
        <f t="shared" si="9"/>
        <v>0</v>
      </c>
      <c r="BS51" s="552">
        <f t="shared" si="9"/>
        <v>0</v>
      </c>
      <c r="BT51" s="552">
        <f t="shared" si="9"/>
        <v>0</v>
      </c>
      <c r="BU51" s="552">
        <f t="shared" si="9"/>
        <v>0</v>
      </c>
      <c r="BV51" s="552">
        <f t="shared" si="9"/>
        <v>0</v>
      </c>
      <c r="BW51" s="552">
        <f t="shared" si="9"/>
        <v>0</v>
      </c>
      <c r="BX51" s="552">
        <f t="shared" si="9"/>
        <v>0</v>
      </c>
      <c r="BY51" s="552">
        <f t="shared" si="9"/>
        <v>0</v>
      </c>
      <c r="BZ51" s="552">
        <f t="shared" si="9"/>
        <v>0</v>
      </c>
      <c r="CA51" s="552">
        <f t="shared" si="9"/>
        <v>0</v>
      </c>
      <c r="CB51" s="552">
        <f t="shared" si="9"/>
        <v>0</v>
      </c>
      <c r="CC51" s="552">
        <f t="shared" si="9"/>
        <v>0</v>
      </c>
      <c r="CD51" s="552">
        <f t="shared" si="9"/>
        <v>0</v>
      </c>
      <c r="CE51" s="552">
        <f t="shared" si="9"/>
        <v>0</v>
      </c>
      <c r="CF51" s="552">
        <f t="shared" si="9"/>
        <v>0</v>
      </c>
      <c r="CG51" s="552">
        <f t="shared" si="9"/>
        <v>0</v>
      </c>
      <c r="CH51" s="552">
        <f t="shared" si="9"/>
        <v>0</v>
      </c>
      <c r="CI51" s="552">
        <f t="shared" si="9"/>
        <v>0</v>
      </c>
      <c r="CJ51" s="552">
        <f t="shared" si="9"/>
        <v>0</v>
      </c>
      <c r="CK51" s="552">
        <f t="shared" si="9"/>
        <v>0</v>
      </c>
      <c r="CL51" s="552">
        <f t="shared" si="9"/>
        <v>0</v>
      </c>
      <c r="CM51" s="552">
        <f t="shared" si="9"/>
        <v>0</v>
      </c>
      <c r="CN51" s="552">
        <f t="shared" si="9"/>
        <v>0</v>
      </c>
      <c r="CO51" s="552">
        <f t="shared" si="9"/>
        <v>0</v>
      </c>
      <c r="CP51" s="552">
        <f t="shared" si="9"/>
        <v>0</v>
      </c>
      <c r="CQ51" s="552">
        <f t="shared" si="9"/>
        <v>0</v>
      </c>
      <c r="CR51" s="552">
        <f t="shared" si="9"/>
        <v>0</v>
      </c>
      <c r="CS51" s="552">
        <f t="shared" si="9"/>
        <v>0</v>
      </c>
      <c r="CT51" s="552">
        <f t="shared" si="9"/>
        <v>0</v>
      </c>
      <c r="CU51" s="552">
        <f t="shared" si="9"/>
        <v>0</v>
      </c>
      <c r="CV51" s="552">
        <f t="shared" si="9"/>
        <v>0</v>
      </c>
      <c r="CW51" s="552">
        <f t="shared" si="9"/>
        <v>0</v>
      </c>
      <c r="CX51" s="552">
        <f t="shared" si="9"/>
        <v>0</v>
      </c>
      <c r="CY51" s="552">
        <f t="shared" si="9"/>
        <v>0</v>
      </c>
      <c r="CZ51" s="552">
        <f t="shared" si="9"/>
        <v>0</v>
      </c>
      <c r="DA51" s="552">
        <f t="shared" si="9"/>
        <v>0</v>
      </c>
      <c r="DB51" s="552">
        <f t="shared" si="9"/>
        <v>0</v>
      </c>
      <c r="DC51" s="552">
        <f t="shared" si="9"/>
        <v>0</v>
      </c>
      <c r="DD51" s="552">
        <f t="shared" si="9"/>
        <v>0</v>
      </c>
      <c r="DE51" s="552">
        <f t="shared" si="9"/>
        <v>0</v>
      </c>
      <c r="DF51" s="552">
        <f t="shared" si="9"/>
        <v>0</v>
      </c>
      <c r="DG51" s="552">
        <f t="shared" si="9"/>
        <v>0</v>
      </c>
      <c r="DH51" s="552">
        <f t="shared" si="9"/>
        <v>0</v>
      </c>
      <c r="DI51" s="552">
        <f t="shared" si="9"/>
        <v>0</v>
      </c>
      <c r="DJ51" s="552">
        <f t="shared" si="9"/>
        <v>0</v>
      </c>
      <c r="DK51" s="552">
        <f t="shared" si="9"/>
        <v>0</v>
      </c>
      <c r="DL51" s="552">
        <f t="shared" si="9"/>
        <v>0</v>
      </c>
      <c r="DM51" s="552">
        <f t="shared" si="9"/>
        <v>0</v>
      </c>
      <c r="DN51" s="552">
        <f t="shared" si="9"/>
        <v>0</v>
      </c>
      <c r="DO51" s="552">
        <f t="shared" si="9"/>
        <v>0</v>
      </c>
      <c r="DP51" s="552">
        <f t="shared" si="9"/>
        <v>0</v>
      </c>
      <c r="DQ51" s="552">
        <f t="shared" si="9"/>
        <v>0</v>
      </c>
      <c r="DR51" s="552">
        <f t="shared" si="9"/>
        <v>0</v>
      </c>
      <c r="DS51" s="552">
        <f t="shared" si="9"/>
        <v>0</v>
      </c>
      <c r="DT51" s="552">
        <f t="shared" si="9"/>
        <v>0</v>
      </c>
      <c r="DU51" s="552">
        <f t="shared" si="9"/>
        <v>0</v>
      </c>
      <c r="DV51" s="552">
        <f t="shared" si="9"/>
        <v>0</v>
      </c>
      <c r="DW51" s="552">
        <f t="shared" si="9"/>
        <v>0</v>
      </c>
      <c r="DX51" s="552">
        <f t="shared" si="9"/>
        <v>0</v>
      </c>
      <c r="DY51" s="552">
        <f t="shared" si="9"/>
        <v>0</v>
      </c>
      <c r="DZ51" s="552">
        <f t="shared" si="9"/>
        <v>0</v>
      </c>
      <c r="EA51" s="552">
        <f t="shared" si="9"/>
        <v>0</v>
      </c>
      <c r="EB51" s="552">
        <f t="shared" si="9"/>
        <v>0</v>
      </c>
      <c r="EC51" s="552">
        <f t="shared" si="9"/>
        <v>0</v>
      </c>
      <c r="ED51" s="552">
        <f t="shared" si="9"/>
        <v>0</v>
      </c>
      <c r="EE51" s="552">
        <f t="shared" si="9"/>
        <v>0</v>
      </c>
      <c r="EF51" s="552">
        <f t="shared" si="9"/>
        <v>0</v>
      </c>
      <c r="EG51" s="552">
        <f t="shared" si="9"/>
        <v>0</v>
      </c>
    </row>
    <row r="53" spans="5:137" ht="12.75">
      <c r="E53" s="538" t="str">
        <f>Reserves!E$23</f>
        <v>DSRA - initial funding at construction end</v>
      </c>
      <c r="G53" s="539" t="str">
        <f>Reserves!G$23</f>
        <v>EUR 000s</v>
      </c>
      <c r="H53" s="539">
        <f>Reserves!H$23</f>
        <v>8333.2746174985332</v>
      </c>
      <c r="J53" s="539">
        <f>Reserves!J$23</f>
        <v>0</v>
      </c>
      <c r="K53" s="539">
        <f>Reserves!K$23</f>
        <v>0</v>
      </c>
      <c r="L53" s="539">
        <f>Reserves!L$23</f>
        <v>0</v>
      </c>
      <c r="M53" s="539">
        <f>Reserves!M$23</f>
        <v>0</v>
      </c>
      <c r="N53" s="539">
        <f>Reserves!N$23</f>
        <v>0</v>
      </c>
      <c r="O53" s="539">
        <f>Reserves!O$23</f>
        <v>0</v>
      </c>
      <c r="P53" s="539">
        <f>Reserves!P$23</f>
        <v>0</v>
      </c>
      <c r="Q53" s="539">
        <f>Reserves!Q$23</f>
        <v>0</v>
      </c>
      <c r="R53" s="539">
        <f>Reserves!R$23</f>
        <v>0</v>
      </c>
      <c r="S53" s="539">
        <f>Reserves!S$23</f>
        <v>0</v>
      </c>
      <c r="T53" s="539">
        <f>Reserves!T$23</f>
        <v>0</v>
      </c>
      <c r="U53" s="539">
        <f>Reserves!U$23</f>
        <v>0</v>
      </c>
      <c r="V53" s="539">
        <f>Reserves!V$23</f>
        <v>0</v>
      </c>
      <c r="W53" s="539">
        <f>Reserves!W$23</f>
        <v>0</v>
      </c>
      <c r="X53" s="539">
        <f>Reserves!X$23</f>
        <v>0</v>
      </c>
      <c r="Y53" s="539">
        <f>Reserves!Y$23</f>
        <v>0</v>
      </c>
      <c r="Z53" s="539">
        <f>Reserves!Z$23</f>
        <v>0</v>
      </c>
      <c r="AA53" s="539">
        <f>Reserves!AA$23</f>
        <v>0</v>
      </c>
      <c r="AB53" s="539">
        <f>Reserves!AB$23</f>
        <v>0</v>
      </c>
      <c r="AC53" s="539">
        <f>Reserves!AC$23</f>
        <v>0</v>
      </c>
      <c r="AD53" s="539">
        <f>Reserves!AD$23</f>
        <v>0</v>
      </c>
      <c r="AE53" s="539">
        <f>Reserves!AE$23</f>
        <v>0</v>
      </c>
      <c r="AF53" s="539">
        <f>Reserves!AF$23</f>
        <v>0</v>
      </c>
      <c r="AG53" s="539">
        <f>Reserves!AG$23</f>
        <v>8333.2746174985332</v>
      </c>
      <c r="AH53" s="539">
        <f>Reserves!AH$23</f>
        <v>0</v>
      </c>
      <c r="AI53" s="539">
        <f>Reserves!AI$23</f>
        <v>0</v>
      </c>
      <c r="AJ53" s="539">
        <f>Reserves!AJ$23</f>
        <v>0</v>
      </c>
      <c r="AK53" s="539">
        <f>Reserves!AK$23</f>
        <v>0</v>
      </c>
      <c r="AL53" s="539">
        <f>Reserves!AL$23</f>
        <v>0</v>
      </c>
      <c r="AM53" s="539">
        <f>Reserves!AM$23</f>
        <v>0</v>
      </c>
      <c r="AN53" s="539">
        <f>Reserves!AN$23</f>
        <v>0</v>
      </c>
      <c r="AO53" s="539">
        <f>Reserves!AO$23</f>
        <v>0</v>
      </c>
      <c r="AP53" s="539">
        <f>Reserves!AP$23</f>
        <v>0</v>
      </c>
      <c r="AQ53" s="539">
        <f>Reserves!AQ$23</f>
        <v>0</v>
      </c>
      <c r="AR53" s="539">
        <f>Reserves!AR$23</f>
        <v>0</v>
      </c>
      <c r="AS53" s="539">
        <f>Reserves!AS$23</f>
        <v>0</v>
      </c>
      <c r="AT53" s="539">
        <f>Reserves!AT$23</f>
        <v>0</v>
      </c>
      <c r="AU53" s="539">
        <f>Reserves!AU$23</f>
        <v>0</v>
      </c>
      <c r="AV53" s="539">
        <f>Reserves!AV$23</f>
        <v>0</v>
      </c>
      <c r="AW53" s="539">
        <f>Reserves!AW$23</f>
        <v>0</v>
      </c>
      <c r="AX53" s="539">
        <f>Reserves!AX$23</f>
        <v>0</v>
      </c>
      <c r="AY53" s="539">
        <f>Reserves!AY$23</f>
        <v>0</v>
      </c>
      <c r="AZ53" s="539">
        <f>Reserves!AZ$23</f>
        <v>0</v>
      </c>
      <c r="BA53" s="539">
        <f>Reserves!BA$23</f>
        <v>0</v>
      </c>
      <c r="BB53" s="539">
        <f>Reserves!BB$23</f>
        <v>0</v>
      </c>
      <c r="BC53" s="539">
        <f>Reserves!BC$23</f>
        <v>0</v>
      </c>
      <c r="BD53" s="539">
        <f>Reserves!BD$23</f>
        <v>0</v>
      </c>
      <c r="BE53" s="539">
        <f>Reserves!BE$23</f>
        <v>0</v>
      </c>
      <c r="BF53" s="539">
        <f>Reserves!BF$23</f>
        <v>0</v>
      </c>
      <c r="BG53" s="539">
        <f>Reserves!BG$23</f>
        <v>0</v>
      </c>
      <c r="BH53" s="539">
        <f>Reserves!BH$23</f>
        <v>0</v>
      </c>
      <c r="BI53" s="539">
        <f>Reserves!BI$23</f>
        <v>0</v>
      </c>
      <c r="BJ53" s="539">
        <f>Reserves!BJ$23</f>
        <v>0</v>
      </c>
      <c r="BK53" s="539">
        <f>Reserves!BK$23</f>
        <v>0</v>
      </c>
      <c r="BL53" s="539">
        <f>Reserves!BL$23</f>
        <v>0</v>
      </c>
      <c r="BM53" s="539">
        <f>Reserves!BM$23</f>
        <v>0</v>
      </c>
      <c r="BN53" s="539">
        <f>Reserves!BN$23</f>
        <v>0</v>
      </c>
      <c r="BO53" s="539">
        <f>Reserves!BO$23</f>
        <v>0</v>
      </c>
      <c r="BP53" s="539">
        <f>Reserves!BP$23</f>
        <v>0</v>
      </c>
      <c r="BQ53" s="539">
        <f>Reserves!BQ$23</f>
        <v>0</v>
      </c>
      <c r="BR53" s="539">
        <f>Reserves!BR$23</f>
        <v>0</v>
      </c>
      <c r="BS53" s="539">
        <f>Reserves!BS$23</f>
        <v>0</v>
      </c>
      <c r="BT53" s="539">
        <f>Reserves!BT$23</f>
        <v>0</v>
      </c>
      <c r="BU53" s="539">
        <f>Reserves!BU$23</f>
        <v>0</v>
      </c>
      <c r="BV53" s="539">
        <f>Reserves!BV$23</f>
        <v>0</v>
      </c>
      <c r="BW53" s="539">
        <f>Reserves!BW$23</f>
        <v>0</v>
      </c>
      <c r="BX53" s="539">
        <f>Reserves!BX$23</f>
        <v>0</v>
      </c>
      <c r="BY53" s="539">
        <f>Reserves!BY$23</f>
        <v>0</v>
      </c>
      <c r="BZ53" s="539">
        <f>Reserves!BZ$23</f>
        <v>0</v>
      </c>
      <c r="CA53" s="539">
        <f>Reserves!CA$23</f>
        <v>0</v>
      </c>
      <c r="CB53" s="539">
        <f>Reserves!CB$23</f>
        <v>0</v>
      </c>
      <c r="CC53" s="539">
        <f>Reserves!CC$23</f>
        <v>0</v>
      </c>
      <c r="CD53" s="539">
        <f>Reserves!CD$23</f>
        <v>0</v>
      </c>
      <c r="CE53" s="539">
        <f>Reserves!CE$23</f>
        <v>0</v>
      </c>
      <c r="CF53" s="539">
        <f>Reserves!CF$23</f>
        <v>0</v>
      </c>
      <c r="CG53" s="539">
        <f>Reserves!CG$23</f>
        <v>0</v>
      </c>
      <c r="CH53" s="539">
        <f>Reserves!CH$23</f>
        <v>0</v>
      </c>
      <c r="CI53" s="539">
        <f>Reserves!CI$23</f>
        <v>0</v>
      </c>
      <c r="CJ53" s="539">
        <f>Reserves!CJ$23</f>
        <v>0</v>
      </c>
      <c r="CK53" s="539">
        <f>Reserves!CK$23</f>
        <v>0</v>
      </c>
      <c r="CL53" s="539">
        <f>Reserves!CL$23</f>
        <v>0</v>
      </c>
      <c r="CM53" s="539">
        <f>Reserves!CM$23</f>
        <v>0</v>
      </c>
      <c r="CN53" s="539">
        <f>Reserves!CN$23</f>
        <v>0</v>
      </c>
      <c r="CO53" s="539">
        <f>Reserves!CO$23</f>
        <v>0</v>
      </c>
      <c r="CP53" s="539">
        <f>Reserves!CP$23</f>
        <v>0</v>
      </c>
      <c r="CQ53" s="539">
        <f>Reserves!CQ$23</f>
        <v>0</v>
      </c>
      <c r="CR53" s="539">
        <f>Reserves!CR$23</f>
        <v>0</v>
      </c>
      <c r="CS53" s="539">
        <f>Reserves!CS$23</f>
        <v>0</v>
      </c>
      <c r="CT53" s="539">
        <f>Reserves!CT$23</f>
        <v>0</v>
      </c>
      <c r="CU53" s="539">
        <f>Reserves!CU$23</f>
        <v>0</v>
      </c>
      <c r="CV53" s="539">
        <f>Reserves!CV$23</f>
        <v>0</v>
      </c>
      <c r="CW53" s="539">
        <f>Reserves!CW$23</f>
        <v>0</v>
      </c>
      <c r="CX53" s="539">
        <f>Reserves!CX$23</f>
        <v>0</v>
      </c>
      <c r="CY53" s="539">
        <f>Reserves!CY$23</f>
        <v>0</v>
      </c>
      <c r="CZ53" s="539">
        <f>Reserves!CZ$23</f>
        <v>0</v>
      </c>
      <c r="DA53" s="539">
        <f>Reserves!DA$23</f>
        <v>0</v>
      </c>
      <c r="DB53" s="539">
        <f>Reserves!DB$23</f>
        <v>0</v>
      </c>
      <c r="DC53" s="539">
        <f>Reserves!DC$23</f>
        <v>0</v>
      </c>
      <c r="DD53" s="539">
        <f>Reserves!DD$23</f>
        <v>0</v>
      </c>
      <c r="DE53" s="539">
        <f>Reserves!DE$23</f>
        <v>0</v>
      </c>
      <c r="DF53" s="539">
        <f>Reserves!DF$23</f>
        <v>0</v>
      </c>
      <c r="DG53" s="539">
        <f>Reserves!DG$23</f>
        <v>0</v>
      </c>
      <c r="DH53" s="539">
        <f>Reserves!DH$23</f>
        <v>0</v>
      </c>
      <c r="DI53" s="539">
        <f>Reserves!DI$23</f>
        <v>0</v>
      </c>
      <c r="DJ53" s="539">
        <f>Reserves!DJ$23</f>
        <v>0</v>
      </c>
      <c r="DK53" s="539">
        <f>Reserves!DK$23</f>
        <v>0</v>
      </c>
      <c r="DL53" s="539">
        <f>Reserves!DL$23</f>
        <v>0</v>
      </c>
      <c r="DM53" s="539">
        <f>Reserves!DM$23</f>
        <v>0</v>
      </c>
      <c r="DN53" s="539">
        <f>Reserves!DN$23</f>
        <v>0</v>
      </c>
      <c r="DO53" s="539">
        <f>Reserves!DO$23</f>
        <v>0</v>
      </c>
      <c r="DP53" s="539">
        <f>Reserves!DP$23</f>
        <v>0</v>
      </c>
      <c r="DQ53" s="539">
        <f>Reserves!DQ$23</f>
        <v>0</v>
      </c>
      <c r="DR53" s="539">
        <f>Reserves!DR$23</f>
        <v>0</v>
      </c>
      <c r="DS53" s="539">
        <f>Reserves!DS$23</f>
        <v>0</v>
      </c>
      <c r="DT53" s="539">
        <f>Reserves!DT$23</f>
        <v>0</v>
      </c>
      <c r="DU53" s="539">
        <f>Reserves!DU$23</f>
        <v>0</v>
      </c>
      <c r="DV53" s="539">
        <f>Reserves!DV$23</f>
        <v>0</v>
      </c>
      <c r="DW53" s="539">
        <f>Reserves!DW$23</f>
        <v>0</v>
      </c>
      <c r="DX53" s="539">
        <f>Reserves!DX$23</f>
        <v>0</v>
      </c>
      <c r="DY53" s="539">
        <f>Reserves!DY$23</f>
        <v>0</v>
      </c>
      <c r="DZ53" s="539">
        <f>Reserves!DZ$23</f>
        <v>0</v>
      </c>
      <c r="EA53" s="539">
        <f>Reserves!EA$23</f>
        <v>0</v>
      </c>
      <c r="EB53" s="539">
        <f>Reserves!EB$23</f>
        <v>0</v>
      </c>
      <c r="EC53" s="539">
        <f>Reserves!EC$23</f>
        <v>0</v>
      </c>
      <c r="ED53" s="539">
        <f>Reserves!ED$23</f>
        <v>0</v>
      </c>
      <c r="EE53" s="539">
        <f>Reserves!EE$23</f>
        <v>0</v>
      </c>
      <c r="EF53" s="539">
        <f>Reserves!EF$23</f>
        <v>0</v>
      </c>
      <c r="EG53" s="539">
        <f>Reserves!EG$23</f>
        <v>0</v>
      </c>
    </row>
    <row r="54" spans="5:137" ht="12.75">
      <c r="E54" s="538" t="str">
        <f>Reserves!E$43</f>
        <v>DSRA - draw for senior debt service shortfall</v>
      </c>
      <c r="G54" s="539" t="str">
        <f>Reserves!G$43</f>
        <v>EUR 000s</v>
      </c>
      <c r="H54" s="539">
        <f>Reserves!H$43</f>
        <v>-1.8189894035458565E-12</v>
      </c>
      <c r="J54" s="539">
        <f>Reserves!J$43</f>
        <v>0</v>
      </c>
      <c r="K54" s="539">
        <f>Reserves!K$43</f>
        <v>0</v>
      </c>
      <c r="L54" s="539">
        <f>Reserves!L$43</f>
        <v>0</v>
      </c>
      <c r="M54" s="539">
        <f>Reserves!M$43</f>
        <v>0</v>
      </c>
      <c r="N54" s="539">
        <f>Reserves!N$43</f>
        <v>0</v>
      </c>
      <c r="O54" s="539">
        <f>Reserves!O$43</f>
        <v>0</v>
      </c>
      <c r="P54" s="539">
        <f>Reserves!P$43</f>
        <v>-1.8189894035458565E-12</v>
      </c>
      <c r="Q54" s="539">
        <f>Reserves!Q$43</f>
        <v>0</v>
      </c>
      <c r="R54" s="539">
        <f>Reserves!R$43</f>
        <v>0</v>
      </c>
      <c r="S54" s="539">
        <f>Reserves!S$43</f>
        <v>0</v>
      </c>
      <c r="T54" s="539">
        <f>Reserves!T$43</f>
        <v>0</v>
      </c>
      <c r="U54" s="539">
        <f>Reserves!U$43</f>
        <v>0</v>
      </c>
      <c r="V54" s="539">
        <f>Reserves!V$43</f>
        <v>0</v>
      </c>
      <c r="W54" s="539">
        <f>Reserves!W$43</f>
        <v>0</v>
      </c>
      <c r="X54" s="539">
        <f>Reserves!X$43</f>
        <v>0</v>
      </c>
      <c r="Y54" s="539">
        <f>Reserves!Y$43</f>
        <v>0</v>
      </c>
      <c r="Z54" s="539">
        <f>Reserves!Z$43</f>
        <v>0</v>
      </c>
      <c r="AA54" s="539">
        <f>Reserves!AA$43</f>
        <v>0</v>
      </c>
      <c r="AB54" s="539">
        <f>Reserves!AB$43</f>
        <v>0</v>
      </c>
      <c r="AC54" s="539">
        <f>Reserves!AC$43</f>
        <v>0</v>
      </c>
      <c r="AD54" s="539">
        <f>Reserves!AD$43</f>
        <v>0</v>
      </c>
      <c r="AE54" s="539">
        <f>Reserves!AE$43</f>
        <v>0</v>
      </c>
      <c r="AF54" s="539">
        <f>Reserves!AF$43</f>
        <v>0</v>
      </c>
      <c r="AG54" s="539">
        <f>Reserves!AG$43</f>
        <v>0</v>
      </c>
      <c r="AH54" s="539">
        <f>Reserves!AH$43</f>
        <v>0</v>
      </c>
      <c r="AI54" s="539">
        <f>Reserves!AI$43</f>
        <v>0</v>
      </c>
      <c r="AJ54" s="539">
        <f>Reserves!AJ$43</f>
        <v>0</v>
      </c>
      <c r="AK54" s="539">
        <f>Reserves!AK$43</f>
        <v>0</v>
      </c>
      <c r="AL54" s="539">
        <f>Reserves!AL$43</f>
        <v>0</v>
      </c>
      <c r="AM54" s="539">
        <f>Reserves!AM$43</f>
        <v>0</v>
      </c>
      <c r="AN54" s="539">
        <f>Reserves!AN$43</f>
        <v>0</v>
      </c>
      <c r="AO54" s="539">
        <f>Reserves!AO$43</f>
        <v>0</v>
      </c>
      <c r="AP54" s="539">
        <f>Reserves!AP$43</f>
        <v>0</v>
      </c>
      <c r="AQ54" s="539">
        <f>Reserves!AQ$43</f>
        <v>0</v>
      </c>
      <c r="AR54" s="539">
        <f>Reserves!AR$43</f>
        <v>0</v>
      </c>
      <c r="AS54" s="539">
        <f>Reserves!AS$43</f>
        <v>0</v>
      </c>
      <c r="AT54" s="539">
        <f>Reserves!AT$43</f>
        <v>0</v>
      </c>
      <c r="AU54" s="539">
        <f>Reserves!AU$43</f>
        <v>0</v>
      </c>
      <c r="AV54" s="539">
        <f>Reserves!AV$43</f>
        <v>0</v>
      </c>
      <c r="AW54" s="539">
        <f>Reserves!AW$43</f>
        <v>0</v>
      </c>
      <c r="AX54" s="539">
        <f>Reserves!AX$43</f>
        <v>0</v>
      </c>
      <c r="AY54" s="539">
        <f>Reserves!AY$43</f>
        <v>0</v>
      </c>
      <c r="AZ54" s="539">
        <f>Reserves!AZ$43</f>
        <v>0</v>
      </c>
      <c r="BA54" s="539">
        <f>Reserves!BA$43</f>
        <v>0</v>
      </c>
      <c r="BB54" s="539">
        <f>Reserves!BB$43</f>
        <v>0</v>
      </c>
      <c r="BC54" s="539">
        <f>Reserves!BC$43</f>
        <v>0</v>
      </c>
      <c r="BD54" s="539">
        <f>Reserves!BD$43</f>
        <v>0</v>
      </c>
      <c r="BE54" s="539">
        <f>Reserves!BE$43</f>
        <v>0</v>
      </c>
      <c r="BF54" s="539">
        <f>Reserves!BF$43</f>
        <v>0</v>
      </c>
      <c r="BG54" s="539">
        <f>Reserves!BG$43</f>
        <v>0</v>
      </c>
      <c r="BH54" s="539">
        <f>Reserves!BH$43</f>
        <v>0</v>
      </c>
      <c r="BI54" s="539">
        <f>Reserves!BI$43</f>
        <v>0</v>
      </c>
      <c r="BJ54" s="539">
        <f>Reserves!BJ$43</f>
        <v>0</v>
      </c>
      <c r="BK54" s="539">
        <f>Reserves!BK$43</f>
        <v>0</v>
      </c>
      <c r="BL54" s="539">
        <f>Reserves!BL$43</f>
        <v>0</v>
      </c>
      <c r="BM54" s="539">
        <f>Reserves!BM$43</f>
        <v>0</v>
      </c>
      <c r="BN54" s="539">
        <f>Reserves!BN$43</f>
        <v>0</v>
      </c>
      <c r="BO54" s="539">
        <f>Reserves!BO$43</f>
        <v>0</v>
      </c>
      <c r="BP54" s="539">
        <f>Reserves!BP$43</f>
        <v>0</v>
      </c>
      <c r="BQ54" s="539">
        <f>Reserves!BQ$43</f>
        <v>0</v>
      </c>
      <c r="BR54" s="539">
        <f>Reserves!BR$43</f>
        <v>0</v>
      </c>
      <c r="BS54" s="539">
        <f>Reserves!BS$43</f>
        <v>0</v>
      </c>
      <c r="BT54" s="539">
        <f>Reserves!BT$43</f>
        <v>0</v>
      </c>
      <c r="BU54" s="539">
        <f>Reserves!BU$43</f>
        <v>0</v>
      </c>
      <c r="BV54" s="539">
        <f>Reserves!BV$43</f>
        <v>0</v>
      </c>
      <c r="BW54" s="539">
        <f>Reserves!BW$43</f>
        <v>0</v>
      </c>
      <c r="BX54" s="539">
        <f>Reserves!BX$43</f>
        <v>0</v>
      </c>
      <c r="BY54" s="539">
        <f>Reserves!BY$43</f>
        <v>0</v>
      </c>
      <c r="BZ54" s="539">
        <f>Reserves!BZ$43</f>
        <v>0</v>
      </c>
      <c r="CA54" s="539">
        <f>Reserves!CA$43</f>
        <v>0</v>
      </c>
      <c r="CB54" s="539">
        <f>Reserves!CB$43</f>
        <v>0</v>
      </c>
      <c r="CC54" s="539">
        <f>Reserves!CC$43</f>
        <v>0</v>
      </c>
      <c r="CD54" s="539">
        <f>Reserves!CD$43</f>
        <v>0</v>
      </c>
      <c r="CE54" s="539">
        <f>Reserves!CE$43</f>
        <v>0</v>
      </c>
      <c r="CF54" s="539">
        <f>Reserves!CF$43</f>
        <v>0</v>
      </c>
      <c r="CG54" s="539">
        <f>Reserves!CG$43</f>
        <v>0</v>
      </c>
      <c r="CH54" s="539">
        <f>Reserves!CH$43</f>
        <v>0</v>
      </c>
      <c r="CI54" s="539">
        <f>Reserves!CI$43</f>
        <v>0</v>
      </c>
      <c r="CJ54" s="539">
        <f>Reserves!CJ$43</f>
        <v>0</v>
      </c>
      <c r="CK54" s="539">
        <f>Reserves!CK$43</f>
        <v>0</v>
      </c>
      <c r="CL54" s="539">
        <f>Reserves!CL$43</f>
        <v>0</v>
      </c>
      <c r="CM54" s="539">
        <f>Reserves!CM$43</f>
        <v>0</v>
      </c>
      <c r="CN54" s="539">
        <f>Reserves!CN$43</f>
        <v>0</v>
      </c>
      <c r="CO54" s="539">
        <f>Reserves!CO$43</f>
        <v>0</v>
      </c>
      <c r="CP54" s="539">
        <f>Reserves!CP$43</f>
        <v>0</v>
      </c>
      <c r="CQ54" s="539">
        <f>Reserves!CQ$43</f>
        <v>0</v>
      </c>
      <c r="CR54" s="539">
        <f>Reserves!CR$43</f>
        <v>0</v>
      </c>
      <c r="CS54" s="539">
        <f>Reserves!CS$43</f>
        <v>0</v>
      </c>
      <c r="CT54" s="539">
        <f>Reserves!CT$43</f>
        <v>0</v>
      </c>
      <c r="CU54" s="539">
        <f>Reserves!CU$43</f>
        <v>0</v>
      </c>
      <c r="CV54" s="539">
        <f>Reserves!CV$43</f>
        <v>0</v>
      </c>
      <c r="CW54" s="539">
        <f>Reserves!CW$43</f>
        <v>0</v>
      </c>
      <c r="CX54" s="539">
        <f>Reserves!CX$43</f>
        <v>0</v>
      </c>
      <c r="CY54" s="539">
        <f>Reserves!CY$43</f>
        <v>0</v>
      </c>
      <c r="CZ54" s="539">
        <f>Reserves!CZ$43</f>
        <v>0</v>
      </c>
      <c r="DA54" s="539">
        <f>Reserves!DA$43</f>
        <v>0</v>
      </c>
      <c r="DB54" s="539">
        <f>Reserves!DB$43</f>
        <v>0</v>
      </c>
      <c r="DC54" s="539">
        <f>Reserves!DC$43</f>
        <v>0</v>
      </c>
      <c r="DD54" s="539">
        <f>Reserves!DD$43</f>
        <v>0</v>
      </c>
      <c r="DE54" s="539">
        <f>Reserves!DE$43</f>
        <v>0</v>
      </c>
      <c r="DF54" s="539">
        <f>Reserves!DF$43</f>
        <v>0</v>
      </c>
      <c r="DG54" s="539">
        <f>Reserves!DG$43</f>
        <v>0</v>
      </c>
      <c r="DH54" s="539">
        <f>Reserves!DH$43</f>
        <v>0</v>
      </c>
      <c r="DI54" s="539">
        <f>Reserves!DI$43</f>
        <v>0</v>
      </c>
      <c r="DJ54" s="539">
        <f>Reserves!DJ$43</f>
        <v>0</v>
      </c>
      <c r="DK54" s="539">
        <f>Reserves!DK$43</f>
        <v>0</v>
      </c>
      <c r="DL54" s="539">
        <f>Reserves!DL$43</f>
        <v>0</v>
      </c>
      <c r="DM54" s="539">
        <f>Reserves!DM$43</f>
        <v>0</v>
      </c>
      <c r="DN54" s="539">
        <f>Reserves!DN$43</f>
        <v>0</v>
      </c>
      <c r="DO54" s="539">
        <f>Reserves!DO$43</f>
        <v>0</v>
      </c>
      <c r="DP54" s="539">
        <f>Reserves!DP$43</f>
        <v>0</v>
      </c>
      <c r="DQ54" s="539">
        <f>Reserves!DQ$43</f>
        <v>0</v>
      </c>
      <c r="DR54" s="539">
        <f>Reserves!DR$43</f>
        <v>0</v>
      </c>
      <c r="DS54" s="539">
        <f>Reserves!DS$43</f>
        <v>0</v>
      </c>
      <c r="DT54" s="539">
        <f>Reserves!DT$43</f>
        <v>0</v>
      </c>
      <c r="DU54" s="539">
        <f>Reserves!DU$43</f>
        <v>0</v>
      </c>
      <c r="DV54" s="539">
        <f>Reserves!DV$43</f>
        <v>0</v>
      </c>
      <c r="DW54" s="539">
        <f>Reserves!DW$43</f>
        <v>0</v>
      </c>
      <c r="DX54" s="539">
        <f>Reserves!DX$43</f>
        <v>0</v>
      </c>
      <c r="DY54" s="539">
        <f>Reserves!DY$43</f>
        <v>0</v>
      </c>
      <c r="DZ54" s="539">
        <f>Reserves!DZ$43</f>
        <v>0</v>
      </c>
      <c r="EA54" s="539">
        <f>Reserves!EA$43</f>
        <v>0</v>
      </c>
      <c r="EB54" s="539">
        <f>Reserves!EB$43</f>
        <v>0</v>
      </c>
      <c r="EC54" s="539">
        <f>Reserves!EC$43</f>
        <v>0</v>
      </c>
      <c r="ED54" s="539">
        <f>Reserves!ED$43</f>
        <v>0</v>
      </c>
      <c r="EE54" s="539">
        <f>Reserves!EE$43</f>
        <v>0</v>
      </c>
      <c r="EF54" s="539">
        <f>Reserves!EF$43</f>
        <v>0</v>
      </c>
      <c r="EG54" s="539">
        <f>Reserves!EG$43</f>
        <v>0</v>
      </c>
    </row>
    <row r="55" spans="5:137" ht="12.75">
      <c r="E55" s="538" t="str">
        <f>Reserves!E$53</f>
        <v>DSRA - release of balance above target</v>
      </c>
      <c r="G55" s="539" t="str">
        <f>Reserves!G$53</f>
        <v>EUR 000s</v>
      </c>
      <c r="H55" s="539">
        <f>Reserves!H$53</f>
        <v>11860.181427975176</v>
      </c>
      <c r="J55" s="539">
        <f>Reserves!J$53</f>
        <v>0</v>
      </c>
      <c r="K55" s="539">
        <f>Reserves!K$53</f>
        <v>0</v>
      </c>
      <c r="L55" s="539">
        <f>Reserves!L$53</f>
        <v>0</v>
      </c>
      <c r="M55" s="539">
        <f>Reserves!M$53</f>
        <v>0</v>
      </c>
      <c r="N55" s="539">
        <f>Reserves!N$53</f>
        <v>0</v>
      </c>
      <c r="O55" s="539">
        <f>Reserves!O$53</f>
        <v>0</v>
      </c>
      <c r="P55" s="539">
        <f>Reserves!P$53</f>
        <v>1.8189894035458565E-12</v>
      </c>
      <c r="Q55" s="539">
        <f>Reserves!Q$53</f>
        <v>0</v>
      </c>
      <c r="R55" s="539">
        <f>Reserves!R$53</f>
        <v>0</v>
      </c>
      <c r="S55" s="539">
        <f>Reserves!S$53</f>
        <v>0</v>
      </c>
      <c r="T55" s="539">
        <f>Reserves!T$53</f>
        <v>0</v>
      </c>
      <c r="U55" s="539">
        <f>Reserves!U$53</f>
        <v>0</v>
      </c>
      <c r="V55" s="539">
        <f>Reserves!V$53</f>
        <v>0</v>
      </c>
      <c r="W55" s="539">
        <f>Reserves!W$53</f>
        <v>0</v>
      </c>
      <c r="X55" s="539">
        <f>Reserves!X$53</f>
        <v>0</v>
      </c>
      <c r="Y55" s="539">
        <f>Reserves!Y$53</f>
        <v>0</v>
      </c>
      <c r="Z55" s="539">
        <f>Reserves!Z$53</f>
        <v>0</v>
      </c>
      <c r="AA55" s="539">
        <f>Reserves!AA$53</f>
        <v>0</v>
      </c>
      <c r="AB55" s="539">
        <f>Reserves!AB$53</f>
        <v>0</v>
      </c>
      <c r="AC55" s="539">
        <f>Reserves!AC$53</f>
        <v>0</v>
      </c>
      <c r="AD55" s="539">
        <f>Reserves!AD$53</f>
        <v>0</v>
      </c>
      <c r="AE55" s="539">
        <f>Reserves!AE$53</f>
        <v>0</v>
      </c>
      <c r="AF55" s="539">
        <f>Reserves!AF$53</f>
        <v>0</v>
      </c>
      <c r="AG55" s="539">
        <f>Reserves!AG$53</f>
        <v>0</v>
      </c>
      <c r="AH55" s="539">
        <f>Reserves!AH$53</f>
        <v>0</v>
      </c>
      <c r="AI55" s="539">
        <f>Reserves!AI$53</f>
        <v>10.413640157919872</v>
      </c>
      <c r="AJ55" s="539">
        <f>Reserves!AJ$53</f>
        <v>0</v>
      </c>
      <c r="AK55" s="539">
        <f>Reserves!AK$53</f>
        <v>0</v>
      </c>
      <c r="AL55" s="539">
        <f>Reserves!AL$53</f>
        <v>0</v>
      </c>
      <c r="AM55" s="539">
        <f>Reserves!AM$53</f>
        <v>10.539113221848311</v>
      </c>
      <c r="AN55" s="539">
        <f>Reserves!AN$53</f>
        <v>0</v>
      </c>
      <c r="AO55" s="539">
        <f>Reserves!AO$53</f>
        <v>0</v>
      </c>
      <c r="AP55" s="539">
        <f>Reserves!AP$53</f>
        <v>0</v>
      </c>
      <c r="AQ55" s="539">
        <f>Reserves!AQ$53</f>
        <v>10.66496408392959</v>
      </c>
      <c r="AR55" s="539">
        <f>Reserves!AR$53</f>
        <v>0</v>
      </c>
      <c r="AS55" s="539">
        <f>Reserves!AS$53</f>
        <v>0</v>
      </c>
      <c r="AT55" s="539">
        <f>Reserves!AT$53</f>
        <v>0</v>
      </c>
      <c r="AU55" s="539">
        <f>Reserves!AU$53</f>
        <v>2.2529012265949859</v>
      </c>
      <c r="AV55" s="539">
        <f>Reserves!AV$53</f>
        <v>0</v>
      </c>
      <c r="AW55" s="539">
        <f>Reserves!AW$53</f>
        <v>0</v>
      </c>
      <c r="AX55" s="539">
        <f>Reserves!AX$53</f>
        <v>0</v>
      </c>
      <c r="AY55" s="539">
        <f>Reserves!AY$53</f>
        <v>13.351128172105746</v>
      </c>
      <c r="AZ55" s="539">
        <f>Reserves!AZ$53</f>
        <v>20.431404535316688</v>
      </c>
      <c r="BA55" s="539">
        <f>Reserves!BA$53</f>
        <v>0</v>
      </c>
      <c r="BB55" s="539">
        <f>Reserves!BB$53</f>
        <v>0</v>
      </c>
      <c r="BC55" s="539">
        <f>Reserves!BC$53</f>
        <v>28.037258526521327</v>
      </c>
      <c r="BD55" s="539">
        <f>Reserves!BD$53</f>
        <v>0</v>
      </c>
      <c r="BE55" s="539">
        <f>Reserves!BE$53</f>
        <v>0</v>
      </c>
      <c r="BF55" s="539">
        <f>Reserves!BF$53</f>
        <v>0</v>
      </c>
      <c r="BG55" s="539">
        <f>Reserves!BG$53</f>
        <v>25.305656359227214</v>
      </c>
      <c r="BH55" s="539">
        <f>Reserves!BH$53</f>
        <v>0</v>
      </c>
      <c r="BI55" s="539">
        <f>Reserves!BI$53</f>
        <v>0</v>
      </c>
      <c r="BJ55" s="539">
        <f>Reserves!BJ$53</f>
        <v>0</v>
      </c>
      <c r="BK55" s="539">
        <f>Reserves!BK$53</f>
        <v>11.757028951866232</v>
      </c>
      <c r="BL55" s="539">
        <f>Reserves!BL$53</f>
        <v>0</v>
      </c>
      <c r="BM55" s="539">
        <f>Reserves!BM$53</f>
        <v>0</v>
      </c>
      <c r="BN55" s="539">
        <f>Reserves!BN$53</f>
        <v>0</v>
      </c>
      <c r="BO55" s="539">
        <f>Reserves!BO$53</f>
        <v>21.204192089811841</v>
      </c>
      <c r="BP55" s="539">
        <f>Reserves!BP$53</f>
        <v>0</v>
      </c>
      <c r="BQ55" s="539">
        <f>Reserves!BQ$53</f>
        <v>0</v>
      </c>
      <c r="BR55" s="539">
        <f>Reserves!BR$53</f>
        <v>0</v>
      </c>
      <c r="BS55" s="539">
        <f>Reserves!BS$53</f>
        <v>19.686038721805744</v>
      </c>
      <c r="BT55" s="539">
        <f>Reserves!BT$53</f>
        <v>103.3340233147992</v>
      </c>
      <c r="BU55" s="539">
        <f>Reserves!BU$53</f>
        <v>456.74994168692501</v>
      </c>
      <c r="BV55" s="539">
        <f>Reserves!BV$53</f>
        <v>380.48029507079627</v>
      </c>
      <c r="BW55" s="539">
        <f>Reserves!BW$53</f>
        <v>34.232010358404295</v>
      </c>
      <c r="BX55" s="539">
        <f>Reserves!BX$53</f>
        <v>0</v>
      </c>
      <c r="BY55" s="539">
        <f>Reserves!BY$53</f>
        <v>0</v>
      </c>
      <c r="BZ55" s="539">
        <f>Reserves!BZ$53</f>
        <v>21.249209966641502</v>
      </c>
      <c r="CA55" s="539">
        <f>Reserves!CA$53</f>
        <v>230.49793800789303</v>
      </c>
      <c r="CB55" s="539">
        <f>Reserves!CB$53</f>
        <v>178.77842338369919</v>
      </c>
      <c r="CC55" s="539">
        <f>Reserves!CC$53</f>
        <v>0</v>
      </c>
      <c r="CD55" s="539">
        <f>Reserves!CD$53</f>
        <v>0</v>
      </c>
      <c r="CE55" s="539">
        <f>Reserves!CE$53</f>
        <v>37.56899230853378</v>
      </c>
      <c r="CF55" s="539">
        <f>Reserves!CF$53</f>
        <v>3.5552511889291054</v>
      </c>
      <c r="CG55" s="539">
        <f>Reserves!CG$53</f>
        <v>0</v>
      </c>
      <c r="CH55" s="539">
        <f>Reserves!CH$53</f>
        <v>0</v>
      </c>
      <c r="CI55" s="539">
        <f>Reserves!CI$53</f>
        <v>36.094969946982019</v>
      </c>
      <c r="CJ55" s="539">
        <f>Reserves!CJ$53</f>
        <v>0</v>
      </c>
      <c r="CK55" s="539">
        <f>Reserves!CK$53</f>
        <v>0</v>
      </c>
      <c r="CL55" s="539">
        <f>Reserves!CL$53</f>
        <v>0</v>
      </c>
      <c r="CM55" s="539">
        <f>Reserves!CM$53</f>
        <v>36.190415852232036</v>
      </c>
      <c r="CN55" s="539">
        <f>Reserves!CN$53</f>
        <v>272.4499570395692</v>
      </c>
      <c r="CO55" s="539">
        <f>Reserves!CO$53</f>
        <v>236.57671169223431</v>
      </c>
      <c r="CP55" s="539">
        <f>Reserves!CP$53</f>
        <v>0</v>
      </c>
      <c r="CQ55" s="539">
        <f>Reserves!CQ$53</f>
        <v>22.369779103046312</v>
      </c>
      <c r="CR55" s="539">
        <f>Reserves!CR$53</f>
        <v>0</v>
      </c>
      <c r="CS55" s="539">
        <f>Reserves!CS$53</f>
        <v>0</v>
      </c>
      <c r="CT55" s="539">
        <f>Reserves!CT$53</f>
        <v>0</v>
      </c>
      <c r="CU55" s="539">
        <f>Reserves!CU$53</f>
        <v>34.572114682719985</v>
      </c>
      <c r="CV55" s="539">
        <f>Reserves!CV$53</f>
        <v>0</v>
      </c>
      <c r="CW55" s="539">
        <f>Reserves!CW$53</f>
        <v>0</v>
      </c>
      <c r="CX55" s="539">
        <f>Reserves!CX$53</f>
        <v>0</v>
      </c>
      <c r="CY55" s="539">
        <f>Reserves!CY$53</f>
        <v>34.780380596695977</v>
      </c>
      <c r="CZ55" s="539">
        <f>Reserves!CZ$53</f>
        <v>4795.3607319199918</v>
      </c>
      <c r="DA55" s="539">
        <f>Reserves!DA$53</f>
        <v>4771.6969558081337</v>
      </c>
      <c r="DB55" s="539">
        <f>Reserves!DB$53</f>
        <v>0</v>
      </c>
      <c r="DC55" s="539">
        <f>Reserves!DC$53</f>
        <v>0</v>
      </c>
      <c r="DD55" s="539">
        <f>Reserves!DD$53</f>
        <v>0</v>
      </c>
      <c r="DE55" s="539">
        <f>Reserves!DE$53</f>
        <v>0</v>
      </c>
      <c r="DF55" s="539">
        <f>Reserves!DF$53</f>
        <v>0</v>
      </c>
      <c r="DG55" s="539">
        <f>Reserves!DG$53</f>
        <v>0</v>
      </c>
      <c r="DH55" s="539">
        <f>Reserves!DH$53</f>
        <v>0</v>
      </c>
      <c r="DI55" s="539">
        <f>Reserves!DI$53</f>
        <v>0</v>
      </c>
      <c r="DJ55" s="539">
        <f>Reserves!DJ$53</f>
        <v>0</v>
      </c>
      <c r="DK55" s="539">
        <f>Reserves!DK$53</f>
        <v>0</v>
      </c>
      <c r="DL55" s="539">
        <f>Reserves!DL$53</f>
        <v>0</v>
      </c>
      <c r="DM55" s="539">
        <f>Reserves!DM$53</f>
        <v>0</v>
      </c>
      <c r="DN55" s="539">
        <f>Reserves!DN$53</f>
        <v>0</v>
      </c>
      <c r="DO55" s="539">
        <f>Reserves!DO$53</f>
        <v>0</v>
      </c>
      <c r="DP55" s="539">
        <f>Reserves!DP$53</f>
        <v>0</v>
      </c>
      <c r="DQ55" s="539">
        <f>Reserves!DQ$53</f>
        <v>0</v>
      </c>
      <c r="DR55" s="539">
        <f>Reserves!DR$53</f>
        <v>0</v>
      </c>
      <c r="DS55" s="539">
        <f>Reserves!DS$53</f>
        <v>0</v>
      </c>
      <c r="DT55" s="539">
        <f>Reserves!DT$53</f>
        <v>0</v>
      </c>
      <c r="DU55" s="539">
        <f>Reserves!DU$53</f>
        <v>0</v>
      </c>
      <c r="DV55" s="539">
        <f>Reserves!DV$53</f>
        <v>0</v>
      </c>
      <c r="DW55" s="539">
        <f>Reserves!DW$53</f>
        <v>0</v>
      </c>
      <c r="DX55" s="539">
        <f>Reserves!DX$53</f>
        <v>0</v>
      </c>
      <c r="DY55" s="539">
        <f>Reserves!DY$53</f>
        <v>0</v>
      </c>
      <c r="DZ55" s="539">
        <f>Reserves!DZ$53</f>
        <v>0</v>
      </c>
      <c r="EA55" s="539">
        <f>Reserves!EA$53</f>
        <v>0</v>
      </c>
      <c r="EB55" s="539">
        <f>Reserves!EB$53</f>
        <v>0</v>
      </c>
      <c r="EC55" s="539">
        <f>Reserves!EC$53</f>
        <v>0</v>
      </c>
      <c r="ED55" s="539">
        <f>Reserves!ED$53</f>
        <v>0</v>
      </c>
      <c r="EE55" s="539">
        <f>Reserves!EE$53</f>
        <v>0</v>
      </c>
      <c r="EF55" s="539">
        <f>Reserves!EF$53</f>
        <v>0</v>
      </c>
      <c r="EG55" s="539">
        <f>Reserves!EG$53</f>
        <v>0</v>
      </c>
    </row>
    <row r="56" spans="5:137" ht="12.75">
      <c r="E56" s="538" t="str">
        <f>Reserves!E$58</f>
        <v>DSRA - deposit towards target</v>
      </c>
      <c r="G56" s="539" t="str">
        <f>Reserves!G$58</f>
        <v>EUR 000s</v>
      </c>
      <c r="H56" s="539">
        <f>Reserves!H$58</f>
        <v>3526.9068104766411</v>
      </c>
      <c r="J56" s="539">
        <f>Reserves!J$58</f>
        <v>0</v>
      </c>
      <c r="K56" s="539">
        <f>Reserves!K$58</f>
        <v>0</v>
      </c>
      <c r="L56" s="539">
        <f>Reserves!L$58</f>
        <v>0</v>
      </c>
      <c r="M56" s="539">
        <f>Reserves!M$58</f>
        <v>0</v>
      </c>
      <c r="N56" s="539">
        <f>Reserves!N$58</f>
        <v>0</v>
      </c>
      <c r="O56" s="539">
        <f>Reserves!O$58</f>
        <v>0</v>
      </c>
      <c r="P56" s="539">
        <f>Reserves!P$58</f>
        <v>0</v>
      </c>
      <c r="Q56" s="539">
        <f>Reserves!Q$58</f>
        <v>0</v>
      </c>
      <c r="R56" s="539">
        <f>Reserves!R$58</f>
        <v>0</v>
      </c>
      <c r="S56" s="539">
        <f>Reserves!S$58</f>
        <v>0</v>
      </c>
      <c r="T56" s="539">
        <f>Reserves!T$58</f>
        <v>0</v>
      </c>
      <c r="U56" s="539">
        <f>Reserves!U$58</f>
        <v>0</v>
      </c>
      <c r="V56" s="539">
        <f>Reserves!V$58</f>
        <v>0</v>
      </c>
      <c r="W56" s="539">
        <f>Reserves!W$58</f>
        <v>0</v>
      </c>
      <c r="X56" s="539">
        <f>Reserves!X$58</f>
        <v>0</v>
      </c>
      <c r="Y56" s="539">
        <f>Reserves!Y$58</f>
        <v>0</v>
      </c>
      <c r="Z56" s="539">
        <f>Reserves!Z$58</f>
        <v>0</v>
      </c>
      <c r="AA56" s="539">
        <f>Reserves!AA$58</f>
        <v>0</v>
      </c>
      <c r="AB56" s="539">
        <f>Reserves!AB$58</f>
        <v>0</v>
      </c>
      <c r="AC56" s="539">
        <f>Reserves!AC$58</f>
        <v>0</v>
      </c>
      <c r="AD56" s="539">
        <f>Reserves!AD$58</f>
        <v>0</v>
      </c>
      <c r="AE56" s="539">
        <f>Reserves!AE$58</f>
        <v>0</v>
      </c>
      <c r="AF56" s="539">
        <f>Reserves!AF$58</f>
        <v>0</v>
      </c>
      <c r="AG56" s="539">
        <f>Reserves!AG$58</f>
        <v>0</v>
      </c>
      <c r="AH56" s="539">
        <f>Reserves!AH$58</f>
        <v>975.37851767707252</v>
      </c>
      <c r="AI56" s="539">
        <f>Reserves!AI$58</f>
        <v>0</v>
      </c>
      <c r="AJ56" s="539">
        <f>Reserves!AJ$58</f>
        <v>39.372155650631612</v>
      </c>
      <c r="AK56" s="539">
        <f>Reserves!AK$58</f>
        <v>92.11747120027394</v>
      </c>
      <c r="AL56" s="539">
        <f>Reserves!AL$58</f>
        <v>42.328947716419862</v>
      </c>
      <c r="AM56" s="539">
        <f>Reserves!AM$58</f>
        <v>0</v>
      </c>
      <c r="AN56" s="539">
        <f>Reserves!AN$58</f>
        <v>40.307407320542552</v>
      </c>
      <c r="AO56" s="539">
        <f>Reserves!AO$58</f>
        <v>93.58391720552936</v>
      </c>
      <c r="AP56" s="539">
        <f>Reserves!AP$58</f>
        <v>42.734660774834992</v>
      </c>
      <c r="AQ56" s="539">
        <f>Reserves!AQ$58</f>
        <v>0</v>
      </c>
      <c r="AR56" s="539">
        <f>Reserves!AR$58</f>
        <v>52.056038752856693</v>
      </c>
      <c r="AS56" s="539">
        <f>Reserves!AS$58</f>
        <v>84.278058973002771</v>
      </c>
      <c r="AT56" s="539">
        <f>Reserves!AT$58</f>
        <v>32.3454526782225</v>
      </c>
      <c r="AU56" s="539">
        <f>Reserves!AU$58</f>
        <v>0</v>
      </c>
      <c r="AV56" s="539">
        <f>Reserves!AV$58</f>
        <v>42.245176650721987</v>
      </c>
      <c r="AW56" s="539">
        <f>Reserves!AW$58</f>
        <v>98.826291993435007</v>
      </c>
      <c r="AX56" s="539">
        <f>Reserves!AX$58</f>
        <v>43.53432585079463</v>
      </c>
      <c r="AY56" s="539">
        <f>Reserves!AY$58</f>
        <v>0</v>
      </c>
      <c r="AZ56" s="539">
        <f>Reserves!AZ$58</f>
        <v>0</v>
      </c>
      <c r="BA56" s="539">
        <f>Reserves!BA$58</f>
        <v>27.748247302060918</v>
      </c>
      <c r="BB56" s="539">
        <f>Reserves!BB$58</f>
        <v>26.133687560810358</v>
      </c>
      <c r="BC56" s="539">
        <f>Reserves!BC$58</f>
        <v>0</v>
      </c>
      <c r="BD56" s="539">
        <f>Reserves!BD$58</f>
        <v>23.403445498011934</v>
      </c>
      <c r="BE56" s="539">
        <f>Reserves!BE$58</f>
        <v>79.496158600612034</v>
      </c>
      <c r="BF56" s="539">
        <f>Reserves!BF$58</f>
        <v>29.514796750790993</v>
      </c>
      <c r="BG56" s="539">
        <f>Reserves!BG$58</f>
        <v>0</v>
      </c>
      <c r="BH56" s="539">
        <f>Reserves!BH$58</f>
        <v>38.407877931207622</v>
      </c>
      <c r="BI56" s="539">
        <f>Reserves!BI$58</f>
        <v>72.291172391096552</v>
      </c>
      <c r="BJ56" s="539">
        <f>Reserves!BJ$58</f>
        <v>21.088958933447429</v>
      </c>
      <c r="BK56" s="539">
        <f>Reserves!BK$58</f>
        <v>0</v>
      </c>
      <c r="BL56" s="539">
        <f>Reserves!BL$58</f>
        <v>30.381395900210919</v>
      </c>
      <c r="BM56" s="539">
        <f>Reserves!BM$58</f>
        <v>87.261648500221781</v>
      </c>
      <c r="BN56" s="539">
        <f>Reserves!BN$58</f>
        <v>34.834132358975694</v>
      </c>
      <c r="BO56" s="539">
        <f>Reserves!BO$58</f>
        <v>0</v>
      </c>
      <c r="BP56" s="539">
        <f>Reserves!BP$58</f>
        <v>86.636847224099256</v>
      </c>
      <c r="BQ56" s="539">
        <f>Reserves!BQ$58</f>
        <v>143.92885328582634</v>
      </c>
      <c r="BR56" s="539">
        <f>Reserves!BR$58</f>
        <v>36.926484976585925</v>
      </c>
      <c r="BS56" s="539">
        <f>Reserves!BS$58</f>
        <v>0</v>
      </c>
      <c r="BT56" s="539">
        <f>Reserves!BT$58</f>
        <v>0</v>
      </c>
      <c r="BU56" s="539">
        <f>Reserves!BU$58</f>
        <v>0</v>
      </c>
      <c r="BV56" s="539">
        <f>Reserves!BV$58</f>
        <v>0</v>
      </c>
      <c r="BW56" s="539">
        <f>Reserves!BW$58</f>
        <v>0</v>
      </c>
      <c r="BX56" s="539">
        <f>Reserves!BX$58</f>
        <v>23.28938462017868</v>
      </c>
      <c r="BY56" s="539">
        <f>Reserves!BY$58</f>
        <v>58.49203396403027</v>
      </c>
      <c r="BZ56" s="539">
        <f>Reserves!BZ$58</f>
        <v>0</v>
      </c>
      <c r="CA56" s="539">
        <f>Reserves!CA$58</f>
        <v>0</v>
      </c>
      <c r="CB56" s="539">
        <f>Reserves!CB$58</f>
        <v>0</v>
      </c>
      <c r="CC56" s="539">
        <f>Reserves!CC$58</f>
        <v>52.435606701857978</v>
      </c>
      <c r="CD56" s="539">
        <f>Reserves!CD$58</f>
        <v>22.553994014933778</v>
      </c>
      <c r="CE56" s="539">
        <f>Reserves!CE$58</f>
        <v>0</v>
      </c>
      <c r="CF56" s="539">
        <f>Reserves!CF$58</f>
        <v>0</v>
      </c>
      <c r="CG56" s="539">
        <f>Reserves!CG$58</f>
        <v>57.691679788433248</v>
      </c>
      <c r="CH56" s="539">
        <f>Reserves!CH$58</f>
        <v>24.376595294175786</v>
      </c>
      <c r="CI56" s="539">
        <f>Reserves!CI$58</f>
        <v>0</v>
      </c>
      <c r="CJ56" s="539">
        <f>Reserves!CJ$58</f>
        <v>286.97050387957279</v>
      </c>
      <c r="CK56" s="539">
        <f>Reserves!CK$58</f>
        <v>347.76599443843588</v>
      </c>
      <c r="CL56" s="539">
        <f>Reserves!CL$58</f>
        <v>24.601222984467313</v>
      </c>
      <c r="CM56" s="539">
        <f>Reserves!CM$58</f>
        <v>0</v>
      </c>
      <c r="CN56" s="539">
        <f>Reserves!CN$58</f>
        <v>0</v>
      </c>
      <c r="CO56" s="539">
        <f>Reserves!CO$58</f>
        <v>0</v>
      </c>
      <c r="CP56" s="539">
        <f>Reserves!CP$58</f>
        <v>12.680517394070193</v>
      </c>
      <c r="CQ56" s="539">
        <f>Reserves!CQ$58</f>
        <v>0</v>
      </c>
      <c r="CR56" s="539">
        <f>Reserves!CR$58</f>
        <v>4.6768751928120764</v>
      </c>
      <c r="CS56" s="539">
        <f>Reserves!CS$58</f>
        <v>66.040615242367494</v>
      </c>
      <c r="CT56" s="539">
        <f>Reserves!CT$58</f>
        <v>26.64931180619169</v>
      </c>
      <c r="CU56" s="539">
        <f>Reserves!CU$58</f>
        <v>0</v>
      </c>
      <c r="CV56" s="539">
        <f>Reserves!CV$58</f>
        <v>6.7661748339523911</v>
      </c>
      <c r="CW56" s="539">
        <f>Reserves!CW$58</f>
        <v>68.144622639592853</v>
      </c>
      <c r="CX56" s="539">
        <f>Reserves!CX$58</f>
        <v>26.609548023272509</v>
      </c>
      <c r="CY56" s="539">
        <f>Reserves!CY$58</f>
        <v>0</v>
      </c>
      <c r="CZ56" s="539">
        <f>Reserves!CZ$58</f>
        <v>0</v>
      </c>
      <c r="DA56" s="539">
        <f>Reserves!DA$58</f>
        <v>0</v>
      </c>
      <c r="DB56" s="539">
        <f>Reserves!DB$58</f>
        <v>0</v>
      </c>
      <c r="DC56" s="539">
        <f>Reserves!DC$58</f>
        <v>0</v>
      </c>
      <c r="DD56" s="539">
        <f>Reserves!DD$58</f>
        <v>0</v>
      </c>
      <c r="DE56" s="539">
        <f>Reserves!DE$58</f>
        <v>0</v>
      </c>
      <c r="DF56" s="539">
        <f>Reserves!DF$58</f>
        <v>0</v>
      </c>
      <c r="DG56" s="539">
        <f>Reserves!DG$58</f>
        <v>0</v>
      </c>
      <c r="DH56" s="539">
        <f>Reserves!DH$58</f>
        <v>0</v>
      </c>
      <c r="DI56" s="539">
        <f>Reserves!DI$58</f>
        <v>0</v>
      </c>
      <c r="DJ56" s="539">
        <f>Reserves!DJ$58</f>
        <v>0</v>
      </c>
      <c r="DK56" s="539">
        <f>Reserves!DK$58</f>
        <v>0</v>
      </c>
      <c r="DL56" s="539">
        <f>Reserves!DL$58</f>
        <v>0</v>
      </c>
      <c r="DM56" s="539">
        <f>Reserves!DM$58</f>
        <v>0</v>
      </c>
      <c r="DN56" s="539">
        <f>Reserves!DN$58</f>
        <v>0</v>
      </c>
      <c r="DO56" s="539">
        <f>Reserves!DO$58</f>
        <v>0</v>
      </c>
      <c r="DP56" s="539">
        <f>Reserves!DP$58</f>
        <v>0</v>
      </c>
      <c r="DQ56" s="539">
        <f>Reserves!DQ$58</f>
        <v>0</v>
      </c>
      <c r="DR56" s="539">
        <f>Reserves!DR$58</f>
        <v>0</v>
      </c>
      <c r="DS56" s="539">
        <f>Reserves!DS$58</f>
        <v>0</v>
      </c>
      <c r="DT56" s="539">
        <f>Reserves!DT$58</f>
        <v>0</v>
      </c>
      <c r="DU56" s="539">
        <f>Reserves!DU$58</f>
        <v>0</v>
      </c>
      <c r="DV56" s="539">
        <f>Reserves!DV$58</f>
        <v>0</v>
      </c>
      <c r="DW56" s="539">
        <f>Reserves!DW$58</f>
        <v>0</v>
      </c>
      <c r="DX56" s="539">
        <f>Reserves!DX$58</f>
        <v>0</v>
      </c>
      <c r="DY56" s="539">
        <f>Reserves!DY$58</f>
        <v>0</v>
      </c>
      <c r="DZ56" s="539">
        <f>Reserves!DZ$58</f>
        <v>0</v>
      </c>
      <c r="EA56" s="539">
        <f>Reserves!EA$58</f>
        <v>0</v>
      </c>
      <c r="EB56" s="539">
        <f>Reserves!EB$58</f>
        <v>0</v>
      </c>
      <c r="EC56" s="539">
        <f>Reserves!EC$58</f>
        <v>0</v>
      </c>
      <c r="ED56" s="539">
        <f>Reserves!ED$58</f>
        <v>0</v>
      </c>
      <c r="EE56" s="539">
        <f>Reserves!EE$58</f>
        <v>0</v>
      </c>
      <c r="EF56" s="539">
        <f>Reserves!EF$58</f>
        <v>0</v>
      </c>
      <c r="EG56" s="539">
        <f>Reserves!EG$58</f>
        <v>0</v>
      </c>
    </row>
    <row r="57" spans="5:137" ht="12.75">
      <c r="E57" s="538" t="str">
        <f>Reserves!E$89</f>
        <v>MRA - draw for maintenance cost</v>
      </c>
      <c r="G57" s="539" t="str">
        <f>Reserves!G$89</f>
        <v>EUR 000s</v>
      </c>
      <c r="H57" s="539">
        <f>Reserves!H$89</f>
        <v>33815.205287834237</v>
      </c>
      <c r="J57" s="539">
        <f>Reserves!J$89</f>
        <v>0</v>
      </c>
      <c r="K57" s="539">
        <f>Reserves!K$89</f>
        <v>0</v>
      </c>
      <c r="L57" s="539">
        <f>Reserves!L$89</f>
        <v>0</v>
      </c>
      <c r="M57" s="539">
        <f>Reserves!M$89</f>
        <v>0</v>
      </c>
      <c r="N57" s="539">
        <f>Reserves!N$89</f>
        <v>0</v>
      </c>
      <c r="O57" s="539">
        <f>Reserves!O$89</f>
        <v>0</v>
      </c>
      <c r="P57" s="539">
        <f>Reserves!P$89</f>
        <v>0</v>
      </c>
      <c r="Q57" s="539">
        <f>Reserves!Q$89</f>
        <v>0</v>
      </c>
      <c r="R57" s="539">
        <f>Reserves!R$89</f>
        <v>0</v>
      </c>
      <c r="S57" s="539">
        <f>Reserves!S$89</f>
        <v>0</v>
      </c>
      <c r="T57" s="539">
        <f>Reserves!T$89</f>
        <v>0</v>
      </c>
      <c r="U57" s="539">
        <f>Reserves!U$89</f>
        <v>0</v>
      </c>
      <c r="V57" s="539">
        <f>Reserves!V$89</f>
        <v>0</v>
      </c>
      <c r="W57" s="539">
        <f>Reserves!W$89</f>
        <v>0</v>
      </c>
      <c r="X57" s="539">
        <f>Reserves!X$89</f>
        <v>0</v>
      </c>
      <c r="Y57" s="539">
        <f>Reserves!Y$89</f>
        <v>0</v>
      </c>
      <c r="Z57" s="539">
        <f>Reserves!Z$89</f>
        <v>0</v>
      </c>
      <c r="AA57" s="539">
        <f>Reserves!AA$89</f>
        <v>0</v>
      </c>
      <c r="AB57" s="539">
        <f>Reserves!AB$89</f>
        <v>0</v>
      </c>
      <c r="AC57" s="539">
        <f>Reserves!AC$89</f>
        <v>0</v>
      </c>
      <c r="AD57" s="539">
        <f>Reserves!AD$89</f>
        <v>0</v>
      </c>
      <c r="AE57" s="539">
        <f>Reserves!AE$89</f>
        <v>0</v>
      </c>
      <c r="AF57" s="539">
        <f>Reserves!AF$89</f>
        <v>0</v>
      </c>
      <c r="AG57" s="539">
        <f>Reserves!AG$89</f>
        <v>0</v>
      </c>
      <c r="AH57" s="539">
        <f>Reserves!AH$89</f>
        <v>0</v>
      </c>
      <c r="AI57" s="539">
        <f>Reserves!AI$89</f>
        <v>0</v>
      </c>
      <c r="AJ57" s="539">
        <f>Reserves!AJ$89</f>
        <v>0</v>
      </c>
      <c r="AK57" s="539">
        <f>Reserves!AK$89</f>
        <v>0</v>
      </c>
      <c r="AL57" s="539">
        <f>Reserves!AL$89</f>
        <v>0</v>
      </c>
      <c r="AM57" s="539">
        <f>Reserves!AM$89</f>
        <v>0</v>
      </c>
      <c r="AN57" s="539">
        <f>Reserves!AN$89</f>
        <v>0</v>
      </c>
      <c r="AO57" s="539">
        <f>Reserves!AO$89</f>
        <v>0</v>
      </c>
      <c r="AP57" s="539">
        <f>Reserves!AP$89</f>
        <v>0</v>
      </c>
      <c r="AQ57" s="539">
        <f>Reserves!AQ$89</f>
        <v>0</v>
      </c>
      <c r="AR57" s="539">
        <f>Reserves!AR$89</f>
        <v>0</v>
      </c>
      <c r="AS57" s="539">
        <f>Reserves!AS$89</f>
        <v>0</v>
      </c>
      <c r="AT57" s="539">
        <f>Reserves!AT$89</f>
        <v>0</v>
      </c>
      <c r="AU57" s="539">
        <f>Reserves!AU$89</f>
        <v>0</v>
      </c>
      <c r="AV57" s="539">
        <f>Reserves!AV$89</f>
        <v>0</v>
      </c>
      <c r="AW57" s="539">
        <f>Reserves!AW$89</f>
        <v>0</v>
      </c>
      <c r="AX57" s="539">
        <f>Reserves!AX$89</f>
        <v>1739.5401273193352</v>
      </c>
      <c r="AY57" s="539">
        <f>Reserves!AY$89</f>
        <v>1739.5401273193352</v>
      </c>
      <c r="AZ57" s="539">
        <f>Reserves!AZ$89</f>
        <v>1739.5401273193352</v>
      </c>
      <c r="BA57" s="539">
        <f>Reserves!BA$89</f>
        <v>1739.5401273193352</v>
      </c>
      <c r="BB57" s="539">
        <f>Reserves!BB$89</f>
        <v>0</v>
      </c>
      <c r="BC57" s="539">
        <f>Reserves!BC$89</f>
        <v>0</v>
      </c>
      <c r="BD57" s="539">
        <f>Reserves!BD$89</f>
        <v>0</v>
      </c>
      <c r="BE57" s="539">
        <f>Reserves!BE$89</f>
        <v>0</v>
      </c>
      <c r="BF57" s="539">
        <f>Reserves!BF$89</f>
        <v>0</v>
      </c>
      <c r="BG57" s="539">
        <f>Reserves!BG$89</f>
        <v>0</v>
      </c>
      <c r="BH57" s="539">
        <f>Reserves!BH$89</f>
        <v>0</v>
      </c>
      <c r="BI57" s="539">
        <f>Reserves!BI$89</f>
        <v>0</v>
      </c>
      <c r="BJ57" s="539">
        <f>Reserves!BJ$89</f>
        <v>0</v>
      </c>
      <c r="BK57" s="539">
        <f>Reserves!BK$89</f>
        <v>0</v>
      </c>
      <c r="BL57" s="539">
        <f>Reserves!BL$89</f>
        <v>0</v>
      </c>
      <c r="BM57" s="539">
        <f>Reserves!BM$89</f>
        <v>0</v>
      </c>
      <c r="BN57" s="539">
        <f>Reserves!BN$89</f>
        <v>0</v>
      </c>
      <c r="BO57" s="539">
        <f>Reserves!BO$89</f>
        <v>0</v>
      </c>
      <c r="BP57" s="539">
        <f>Reserves!BP$89</f>
        <v>0</v>
      </c>
      <c r="BQ57" s="539">
        <f>Reserves!BQ$89</f>
        <v>0</v>
      </c>
      <c r="BR57" s="539">
        <f>Reserves!BR$89</f>
        <v>1968.1299867018984</v>
      </c>
      <c r="BS57" s="539">
        <f>Reserves!BS$89</f>
        <v>1968.1299867018984</v>
      </c>
      <c r="BT57" s="539">
        <f>Reserves!BT$89</f>
        <v>1968.1299867018984</v>
      </c>
      <c r="BU57" s="539">
        <f>Reserves!BU$89</f>
        <v>1968.1299867018984</v>
      </c>
      <c r="BV57" s="539">
        <f>Reserves!BV$89</f>
        <v>0</v>
      </c>
      <c r="BW57" s="539">
        <f>Reserves!BW$89</f>
        <v>0</v>
      </c>
      <c r="BX57" s="539">
        <f>Reserves!BX$89</f>
        <v>0</v>
      </c>
      <c r="BY57" s="539">
        <f>Reserves!BY$89</f>
        <v>0</v>
      </c>
      <c r="BZ57" s="539">
        <f>Reserves!BZ$89</f>
        <v>0</v>
      </c>
      <c r="CA57" s="539">
        <f>Reserves!CA$89</f>
        <v>0</v>
      </c>
      <c r="CB57" s="539">
        <f>Reserves!CB$89</f>
        <v>0</v>
      </c>
      <c r="CC57" s="539">
        <f>Reserves!CC$89</f>
        <v>0</v>
      </c>
      <c r="CD57" s="539">
        <f>Reserves!CD$89</f>
        <v>0</v>
      </c>
      <c r="CE57" s="539">
        <f>Reserves!CE$89</f>
        <v>0</v>
      </c>
      <c r="CF57" s="539">
        <f>Reserves!CF$89</f>
        <v>0</v>
      </c>
      <c r="CG57" s="539">
        <f>Reserves!CG$89</f>
        <v>0</v>
      </c>
      <c r="CH57" s="539">
        <f>Reserves!CH$89</f>
        <v>0</v>
      </c>
      <c r="CI57" s="539">
        <f>Reserves!CI$89</f>
        <v>0</v>
      </c>
      <c r="CJ57" s="539">
        <f>Reserves!CJ$89</f>
        <v>0</v>
      </c>
      <c r="CK57" s="539">
        <f>Reserves!CK$89</f>
        <v>0</v>
      </c>
      <c r="CL57" s="539">
        <f>Reserves!CL$89</f>
        <v>2226.7584309908434</v>
      </c>
      <c r="CM57" s="539">
        <f>Reserves!CM$89</f>
        <v>2226.7584309908434</v>
      </c>
      <c r="CN57" s="539">
        <f>Reserves!CN$89</f>
        <v>2226.7584309908434</v>
      </c>
      <c r="CO57" s="539">
        <f>Reserves!CO$89</f>
        <v>2226.7584309908434</v>
      </c>
      <c r="CP57" s="539">
        <f>Reserves!CP$89</f>
        <v>0</v>
      </c>
      <c r="CQ57" s="539">
        <f>Reserves!CQ$89</f>
        <v>0</v>
      </c>
      <c r="CR57" s="539">
        <f>Reserves!CR$89</f>
        <v>0</v>
      </c>
      <c r="CS57" s="539">
        <f>Reserves!CS$89</f>
        <v>0</v>
      </c>
      <c r="CT57" s="539">
        <f>Reserves!CT$89</f>
        <v>0</v>
      </c>
      <c r="CU57" s="539">
        <f>Reserves!CU$89</f>
        <v>0</v>
      </c>
      <c r="CV57" s="539">
        <f>Reserves!CV$89</f>
        <v>0</v>
      </c>
      <c r="CW57" s="539">
        <f>Reserves!CW$89</f>
        <v>0</v>
      </c>
      <c r="CX57" s="539">
        <f>Reserves!CX$89</f>
        <v>0</v>
      </c>
      <c r="CY57" s="539">
        <f>Reserves!CY$89</f>
        <v>0</v>
      </c>
      <c r="CZ57" s="539">
        <f>Reserves!CZ$89</f>
        <v>0</v>
      </c>
      <c r="DA57" s="539">
        <f>Reserves!DA$89</f>
        <v>0</v>
      </c>
      <c r="DB57" s="539">
        <f>Reserves!DB$89</f>
        <v>0</v>
      </c>
      <c r="DC57" s="539">
        <f>Reserves!DC$89</f>
        <v>0</v>
      </c>
      <c r="DD57" s="539">
        <f>Reserves!DD$89</f>
        <v>0</v>
      </c>
      <c r="DE57" s="539">
        <f>Reserves!DE$89</f>
        <v>0</v>
      </c>
      <c r="DF57" s="539">
        <f>Reserves!DF$89</f>
        <v>2519.3727769464808</v>
      </c>
      <c r="DG57" s="539">
        <f>Reserves!DG$89</f>
        <v>2519.3727769464808</v>
      </c>
      <c r="DH57" s="539">
        <f>Reserves!DH$89</f>
        <v>2519.3727769464808</v>
      </c>
      <c r="DI57" s="539">
        <f>Reserves!DI$89</f>
        <v>2519.3727769464808</v>
      </c>
      <c r="DJ57" s="539">
        <f>Reserves!DJ$89</f>
        <v>0</v>
      </c>
      <c r="DK57" s="539">
        <f>Reserves!DK$89</f>
        <v>0</v>
      </c>
      <c r="DL57" s="539">
        <f>Reserves!DL$89</f>
        <v>0</v>
      </c>
      <c r="DM57" s="539">
        <f>Reserves!DM$89</f>
        <v>0</v>
      </c>
      <c r="DN57" s="539">
        <f>Reserves!DN$89</f>
        <v>0</v>
      </c>
      <c r="DO57" s="539">
        <f>Reserves!DO$89</f>
        <v>0</v>
      </c>
      <c r="DP57" s="539">
        <f>Reserves!DP$89</f>
        <v>0</v>
      </c>
      <c r="DQ57" s="539">
        <f>Reserves!DQ$89</f>
        <v>0</v>
      </c>
      <c r="DR57" s="539">
        <f>Reserves!DR$89</f>
        <v>0</v>
      </c>
      <c r="DS57" s="539">
        <f>Reserves!DS$89</f>
        <v>0</v>
      </c>
      <c r="DT57" s="539">
        <f>Reserves!DT$89</f>
        <v>0</v>
      </c>
      <c r="DU57" s="539">
        <f>Reserves!DU$89</f>
        <v>0</v>
      </c>
      <c r="DV57" s="539">
        <f>Reserves!DV$89</f>
        <v>0</v>
      </c>
      <c r="DW57" s="539">
        <f>Reserves!DW$89</f>
        <v>0</v>
      </c>
      <c r="DX57" s="539">
        <f>Reserves!DX$89</f>
        <v>0</v>
      </c>
      <c r="DY57" s="539">
        <f>Reserves!DY$89</f>
        <v>0</v>
      </c>
      <c r="DZ57" s="539">
        <f>Reserves!DZ$89</f>
        <v>0</v>
      </c>
      <c r="EA57" s="539">
        <f>Reserves!EA$89</f>
        <v>0</v>
      </c>
      <c r="EB57" s="539">
        <f>Reserves!EB$89</f>
        <v>0</v>
      </c>
      <c r="EC57" s="539">
        <f>Reserves!EC$89</f>
        <v>0</v>
      </c>
      <c r="ED57" s="539">
        <f>Reserves!ED$89</f>
        <v>0</v>
      </c>
      <c r="EE57" s="539">
        <f>Reserves!EE$89</f>
        <v>0</v>
      </c>
      <c r="EF57" s="539">
        <f>Reserves!EF$89</f>
        <v>0</v>
      </c>
      <c r="EG57" s="539">
        <f>Reserves!EG$89</f>
        <v>0</v>
      </c>
    </row>
    <row r="58" spans="5:137" ht="12.75">
      <c r="E58" s="538" t="str">
        <f>Reserves!E$100</f>
        <v>MRA - release of balance above target</v>
      </c>
      <c r="G58" s="539" t="str">
        <f>Reserves!G$100</f>
        <v>EUR 000s</v>
      </c>
      <c r="H58" s="539">
        <f>Reserves!H$100</f>
        <v>1.3642420526593924E-12</v>
      </c>
      <c r="J58" s="539">
        <f>Reserves!J$100</f>
        <v>0</v>
      </c>
      <c r="K58" s="539">
        <f>Reserves!K$100</f>
        <v>0</v>
      </c>
      <c r="L58" s="539">
        <f>Reserves!L$100</f>
        <v>0</v>
      </c>
      <c r="M58" s="539">
        <f>Reserves!M$100</f>
        <v>0</v>
      </c>
      <c r="N58" s="539">
        <f>Reserves!N$100</f>
        <v>0</v>
      </c>
      <c r="O58" s="539">
        <f>Reserves!O$100</f>
        <v>0</v>
      </c>
      <c r="P58" s="539">
        <f>Reserves!P$100</f>
        <v>0</v>
      </c>
      <c r="Q58" s="539">
        <f>Reserves!Q$100</f>
        <v>0</v>
      </c>
      <c r="R58" s="539">
        <f>Reserves!R$100</f>
        <v>0</v>
      </c>
      <c r="S58" s="539">
        <f>Reserves!S$100</f>
        <v>0</v>
      </c>
      <c r="T58" s="539">
        <f>Reserves!T$100</f>
        <v>0</v>
      </c>
      <c r="U58" s="539">
        <f>Reserves!U$100</f>
        <v>0</v>
      </c>
      <c r="V58" s="539">
        <f>Reserves!V$100</f>
        <v>0</v>
      </c>
      <c r="W58" s="539">
        <f>Reserves!W$100</f>
        <v>0</v>
      </c>
      <c r="X58" s="539">
        <f>Reserves!X$100</f>
        <v>0</v>
      </c>
      <c r="Y58" s="539">
        <f>Reserves!Y$100</f>
        <v>0</v>
      </c>
      <c r="Z58" s="539">
        <f>Reserves!Z$100</f>
        <v>0</v>
      </c>
      <c r="AA58" s="539">
        <f>Reserves!AA$100</f>
        <v>0</v>
      </c>
      <c r="AB58" s="539">
        <f>Reserves!AB$100</f>
        <v>0</v>
      </c>
      <c r="AC58" s="539">
        <f>Reserves!AC$100</f>
        <v>0</v>
      </c>
      <c r="AD58" s="539">
        <f>Reserves!AD$100</f>
        <v>0</v>
      </c>
      <c r="AE58" s="539">
        <f>Reserves!AE$100</f>
        <v>0</v>
      </c>
      <c r="AF58" s="539">
        <f>Reserves!AF$100</f>
        <v>0</v>
      </c>
      <c r="AG58" s="539">
        <f>Reserves!AG$100</f>
        <v>0</v>
      </c>
      <c r="AH58" s="539">
        <f>Reserves!AH$100</f>
        <v>0</v>
      </c>
      <c r="AI58" s="539">
        <f>Reserves!AI$100</f>
        <v>0</v>
      </c>
      <c r="AJ58" s="539">
        <f>Reserves!AJ$100</f>
        <v>0</v>
      </c>
      <c r="AK58" s="539">
        <f>Reserves!AK$100</f>
        <v>0</v>
      </c>
      <c r="AL58" s="539">
        <f>Reserves!AL$100</f>
        <v>0</v>
      </c>
      <c r="AM58" s="539">
        <f>Reserves!AM$100</f>
        <v>0</v>
      </c>
      <c r="AN58" s="539">
        <f>Reserves!AN$100</f>
        <v>0</v>
      </c>
      <c r="AO58" s="539">
        <f>Reserves!AO$100</f>
        <v>0</v>
      </c>
      <c r="AP58" s="539">
        <f>Reserves!AP$100</f>
        <v>0</v>
      </c>
      <c r="AQ58" s="539">
        <f>Reserves!AQ$100</f>
        <v>0</v>
      </c>
      <c r="AR58" s="539">
        <f>Reserves!AR$100</f>
        <v>0</v>
      </c>
      <c r="AS58" s="539">
        <f>Reserves!AS$100</f>
        <v>0</v>
      </c>
      <c r="AT58" s="539">
        <f>Reserves!AT$100</f>
        <v>0</v>
      </c>
      <c r="AU58" s="539">
        <f>Reserves!AU$100</f>
        <v>0</v>
      </c>
      <c r="AV58" s="539">
        <f>Reserves!AV$100</f>
        <v>0</v>
      </c>
      <c r="AW58" s="539">
        <f>Reserves!AW$100</f>
        <v>0</v>
      </c>
      <c r="AX58" s="539">
        <f>Reserves!AX$100</f>
        <v>0</v>
      </c>
      <c r="AY58" s="539">
        <f>Reserves!AY$100</f>
        <v>4.5474735088646412E-13</v>
      </c>
      <c r="AZ58" s="539">
        <f>Reserves!AZ$100</f>
        <v>0</v>
      </c>
      <c r="BA58" s="539">
        <f>Reserves!BA$100</f>
        <v>0</v>
      </c>
      <c r="BB58" s="539">
        <f>Reserves!BB$100</f>
        <v>0</v>
      </c>
      <c r="BC58" s="539">
        <f>Reserves!BC$100</f>
        <v>0</v>
      </c>
      <c r="BD58" s="539">
        <f>Reserves!BD$100</f>
        <v>0</v>
      </c>
      <c r="BE58" s="539">
        <f>Reserves!BE$100</f>
        <v>0</v>
      </c>
      <c r="BF58" s="539">
        <f>Reserves!BF$100</f>
        <v>0</v>
      </c>
      <c r="BG58" s="539">
        <f>Reserves!BG$100</f>
        <v>0</v>
      </c>
      <c r="BH58" s="539">
        <f>Reserves!BH$100</f>
        <v>0</v>
      </c>
      <c r="BI58" s="539">
        <f>Reserves!BI$100</f>
        <v>0</v>
      </c>
      <c r="BJ58" s="539">
        <f>Reserves!BJ$100</f>
        <v>0</v>
      </c>
      <c r="BK58" s="539">
        <f>Reserves!BK$100</f>
        <v>0</v>
      </c>
      <c r="BL58" s="539">
        <f>Reserves!BL$100</f>
        <v>0</v>
      </c>
      <c r="BM58" s="539">
        <f>Reserves!BM$100</f>
        <v>0</v>
      </c>
      <c r="BN58" s="539">
        <f>Reserves!BN$100</f>
        <v>0</v>
      </c>
      <c r="BO58" s="539">
        <f>Reserves!BO$100</f>
        <v>0</v>
      </c>
      <c r="BP58" s="539">
        <f>Reserves!BP$100</f>
        <v>0</v>
      </c>
      <c r="BQ58" s="539">
        <f>Reserves!BQ$100</f>
        <v>0</v>
      </c>
      <c r="BR58" s="539">
        <f>Reserves!BR$100</f>
        <v>0</v>
      </c>
      <c r="BS58" s="539">
        <f>Reserves!BS$100</f>
        <v>0</v>
      </c>
      <c r="BT58" s="539">
        <f>Reserves!BT$100</f>
        <v>0</v>
      </c>
      <c r="BU58" s="539">
        <f>Reserves!BU$100</f>
        <v>0</v>
      </c>
      <c r="BV58" s="539">
        <f>Reserves!BV$100</f>
        <v>0</v>
      </c>
      <c r="BW58" s="539">
        <f>Reserves!BW$100</f>
        <v>0</v>
      </c>
      <c r="BX58" s="539">
        <f>Reserves!BX$100</f>
        <v>0</v>
      </c>
      <c r="BY58" s="539">
        <f>Reserves!BY$100</f>
        <v>0</v>
      </c>
      <c r="BZ58" s="539">
        <f>Reserves!BZ$100</f>
        <v>0</v>
      </c>
      <c r="CA58" s="539">
        <f>Reserves!CA$100</f>
        <v>0</v>
      </c>
      <c r="CB58" s="539">
        <f>Reserves!CB$100</f>
        <v>0</v>
      </c>
      <c r="CC58" s="539">
        <f>Reserves!CC$100</f>
        <v>0</v>
      </c>
      <c r="CD58" s="539">
        <f>Reserves!CD$100</f>
        <v>0</v>
      </c>
      <c r="CE58" s="539">
        <f>Reserves!CE$100</f>
        <v>0</v>
      </c>
      <c r="CF58" s="539">
        <f>Reserves!CF$100</f>
        <v>0</v>
      </c>
      <c r="CG58" s="539">
        <f>Reserves!CG$100</f>
        <v>0</v>
      </c>
      <c r="CH58" s="539">
        <f>Reserves!CH$100</f>
        <v>0</v>
      </c>
      <c r="CI58" s="539">
        <f>Reserves!CI$100</f>
        <v>0</v>
      </c>
      <c r="CJ58" s="539">
        <f>Reserves!CJ$100</f>
        <v>0</v>
      </c>
      <c r="CK58" s="539">
        <f>Reserves!CK$100</f>
        <v>0</v>
      </c>
      <c r="CL58" s="539">
        <f>Reserves!CL$100</f>
        <v>0</v>
      </c>
      <c r="CM58" s="539">
        <f>Reserves!CM$100</f>
        <v>0</v>
      </c>
      <c r="CN58" s="539">
        <f>Reserves!CN$100</f>
        <v>0</v>
      </c>
      <c r="CO58" s="539">
        <f>Reserves!CO$100</f>
        <v>0</v>
      </c>
      <c r="CP58" s="539">
        <f>Reserves!CP$100</f>
        <v>0</v>
      </c>
      <c r="CQ58" s="539">
        <f>Reserves!CQ$100</f>
        <v>0</v>
      </c>
      <c r="CR58" s="539">
        <f>Reserves!CR$100</f>
        <v>0</v>
      </c>
      <c r="CS58" s="539">
        <f>Reserves!CS$100</f>
        <v>0</v>
      </c>
      <c r="CT58" s="539">
        <f>Reserves!CT$100</f>
        <v>0</v>
      </c>
      <c r="CU58" s="539">
        <f>Reserves!CU$100</f>
        <v>0</v>
      </c>
      <c r="CV58" s="539">
        <f>Reserves!CV$100</f>
        <v>0</v>
      </c>
      <c r="CW58" s="539">
        <f>Reserves!CW$100</f>
        <v>0</v>
      </c>
      <c r="CX58" s="539">
        <f>Reserves!CX$100</f>
        <v>0</v>
      </c>
      <c r="CY58" s="539">
        <f>Reserves!CY$100</f>
        <v>0</v>
      </c>
      <c r="CZ58" s="539">
        <f>Reserves!CZ$100</f>
        <v>0</v>
      </c>
      <c r="DA58" s="539">
        <f>Reserves!DA$100</f>
        <v>0</v>
      </c>
      <c r="DB58" s="539">
        <f>Reserves!DB$100</f>
        <v>0</v>
      </c>
      <c r="DC58" s="539">
        <f>Reserves!DC$100</f>
        <v>0</v>
      </c>
      <c r="DD58" s="539">
        <f>Reserves!DD$100</f>
        <v>0</v>
      </c>
      <c r="DE58" s="539">
        <f>Reserves!DE$100</f>
        <v>0</v>
      </c>
      <c r="DF58" s="539">
        <f>Reserves!DF$100</f>
        <v>0</v>
      </c>
      <c r="DG58" s="539">
        <f>Reserves!DG$100</f>
        <v>9.0949470177292824E-13</v>
      </c>
      <c r="DH58" s="539">
        <f>Reserves!DH$100</f>
        <v>0</v>
      </c>
      <c r="DI58" s="539">
        <f>Reserves!DI$100</f>
        <v>0</v>
      </c>
      <c r="DJ58" s="539">
        <f>Reserves!DJ$100</f>
        <v>0</v>
      </c>
      <c r="DK58" s="539">
        <f>Reserves!DK$100</f>
        <v>0</v>
      </c>
      <c r="DL58" s="539">
        <f>Reserves!DL$100</f>
        <v>0</v>
      </c>
      <c r="DM58" s="539">
        <f>Reserves!DM$100</f>
        <v>0</v>
      </c>
      <c r="DN58" s="539">
        <f>Reserves!DN$100</f>
        <v>0</v>
      </c>
      <c r="DO58" s="539">
        <f>Reserves!DO$100</f>
        <v>0</v>
      </c>
      <c r="DP58" s="539">
        <f>Reserves!DP$100</f>
        <v>0</v>
      </c>
      <c r="DQ58" s="539">
        <f>Reserves!DQ$100</f>
        <v>0</v>
      </c>
      <c r="DR58" s="539">
        <f>Reserves!DR$100</f>
        <v>0</v>
      </c>
      <c r="DS58" s="539">
        <f>Reserves!DS$100</f>
        <v>0</v>
      </c>
      <c r="DT58" s="539">
        <f>Reserves!DT$100</f>
        <v>0</v>
      </c>
      <c r="DU58" s="539">
        <f>Reserves!DU$100</f>
        <v>0</v>
      </c>
      <c r="DV58" s="539">
        <f>Reserves!DV$100</f>
        <v>0</v>
      </c>
      <c r="DW58" s="539">
        <f>Reserves!DW$100</f>
        <v>0</v>
      </c>
      <c r="DX58" s="539">
        <f>Reserves!DX$100</f>
        <v>0</v>
      </c>
      <c r="DY58" s="539">
        <f>Reserves!DY$100</f>
        <v>0</v>
      </c>
      <c r="DZ58" s="539">
        <f>Reserves!DZ$100</f>
        <v>0</v>
      </c>
      <c r="EA58" s="539">
        <f>Reserves!EA$100</f>
        <v>0</v>
      </c>
      <c r="EB58" s="539">
        <f>Reserves!EB$100</f>
        <v>0</v>
      </c>
      <c r="EC58" s="539">
        <f>Reserves!EC$100</f>
        <v>0</v>
      </c>
      <c r="ED58" s="539">
        <f>Reserves!ED$100</f>
        <v>0</v>
      </c>
      <c r="EE58" s="539">
        <f>Reserves!EE$100</f>
        <v>0</v>
      </c>
      <c r="EF58" s="539">
        <f>Reserves!EF$100</f>
        <v>0</v>
      </c>
      <c r="EG58" s="539">
        <f>Reserves!EG$100</f>
        <v>0</v>
      </c>
    </row>
    <row r="59" spans="5:137" ht="12.75">
      <c r="E59" s="538" t="str">
        <f>Reserves!E$105</f>
        <v>MRA - deposit towards target</v>
      </c>
      <c r="G59" s="539" t="str">
        <f>Reserves!G$105</f>
        <v>EUR 000s</v>
      </c>
      <c r="H59" s="539">
        <f>Reserves!H$105</f>
        <v>33815.205287834237</v>
      </c>
      <c r="J59" s="539">
        <f>Reserves!J$105</f>
        <v>0</v>
      </c>
      <c r="K59" s="539">
        <f>Reserves!K$105</f>
        <v>0</v>
      </c>
      <c r="L59" s="539">
        <f>Reserves!L$105</f>
        <v>0</v>
      </c>
      <c r="M59" s="539">
        <f>Reserves!M$105</f>
        <v>0</v>
      </c>
      <c r="N59" s="539">
        <f>Reserves!N$105</f>
        <v>0</v>
      </c>
      <c r="O59" s="539">
        <f>Reserves!O$105</f>
        <v>0</v>
      </c>
      <c r="P59" s="539">
        <f>Reserves!P$105</f>
        <v>0</v>
      </c>
      <c r="Q59" s="539">
        <f>Reserves!Q$105</f>
        <v>0</v>
      </c>
      <c r="R59" s="539">
        <f>Reserves!R$105</f>
        <v>0</v>
      </c>
      <c r="S59" s="539">
        <f>Reserves!S$105</f>
        <v>0</v>
      </c>
      <c r="T59" s="539">
        <f>Reserves!T$105</f>
        <v>0</v>
      </c>
      <c r="U59" s="539">
        <f>Reserves!U$105</f>
        <v>0</v>
      </c>
      <c r="V59" s="539">
        <f>Reserves!V$105</f>
        <v>0</v>
      </c>
      <c r="W59" s="539">
        <f>Reserves!W$105</f>
        <v>0</v>
      </c>
      <c r="X59" s="539">
        <f>Reserves!X$105</f>
        <v>0</v>
      </c>
      <c r="Y59" s="539">
        <f>Reserves!Y$105</f>
        <v>0</v>
      </c>
      <c r="Z59" s="539">
        <f>Reserves!Z$105</f>
        <v>0</v>
      </c>
      <c r="AA59" s="539">
        <f>Reserves!AA$105</f>
        <v>0</v>
      </c>
      <c r="AB59" s="539">
        <f>Reserves!AB$105</f>
        <v>0</v>
      </c>
      <c r="AC59" s="539">
        <f>Reserves!AC$105</f>
        <v>0</v>
      </c>
      <c r="AD59" s="539">
        <f>Reserves!AD$105</f>
        <v>0</v>
      </c>
      <c r="AE59" s="539">
        <f>Reserves!AE$105</f>
        <v>0</v>
      </c>
      <c r="AF59" s="539">
        <f>Reserves!AF$105</f>
        <v>0</v>
      </c>
      <c r="AG59" s="539">
        <f>Reserves!AG$105</f>
        <v>0</v>
      </c>
      <c r="AH59" s="539">
        <f>Reserves!AH$105</f>
        <v>0</v>
      </c>
      <c r="AI59" s="539">
        <f>Reserves!AI$105</f>
        <v>0</v>
      </c>
      <c r="AJ59" s="539">
        <f>Reserves!AJ$105</f>
        <v>0</v>
      </c>
      <c r="AK59" s="539">
        <f>Reserves!AK$105</f>
        <v>0</v>
      </c>
      <c r="AL59" s="539">
        <f>Reserves!AL$105</f>
        <v>0</v>
      </c>
      <c r="AM59" s="539">
        <f>Reserves!AM$105</f>
        <v>0</v>
      </c>
      <c r="AN59" s="539">
        <f>Reserves!AN$105</f>
        <v>0</v>
      </c>
      <c r="AO59" s="539">
        <f>Reserves!AO$105</f>
        <v>0</v>
      </c>
      <c r="AP59" s="539">
        <f>Reserves!AP$105</f>
        <v>0</v>
      </c>
      <c r="AQ59" s="539">
        <f>Reserves!AQ$105</f>
        <v>0</v>
      </c>
      <c r="AR59" s="539">
        <f>Reserves!AR$105</f>
        <v>0</v>
      </c>
      <c r="AS59" s="539">
        <f>Reserves!AS$105</f>
        <v>0</v>
      </c>
      <c r="AT59" s="539">
        <f>Reserves!AT$105</f>
        <v>1739.5401273193352</v>
      </c>
      <c r="AU59" s="539">
        <f>Reserves!AU$105</f>
        <v>1739.5401273193352</v>
      </c>
      <c r="AV59" s="539">
        <f>Reserves!AV$105</f>
        <v>1739.5401273193356</v>
      </c>
      <c r="AW59" s="539">
        <f>Reserves!AW$105</f>
        <v>1739.5401273193347</v>
      </c>
      <c r="AX59" s="539">
        <f>Reserves!AX$105</f>
        <v>0</v>
      </c>
      <c r="AY59" s="539">
        <f>Reserves!AY$105</f>
        <v>0</v>
      </c>
      <c r="AZ59" s="539">
        <f>Reserves!AZ$105</f>
        <v>0</v>
      </c>
      <c r="BA59" s="539">
        <f>Reserves!BA$105</f>
        <v>0</v>
      </c>
      <c r="BB59" s="539">
        <f>Reserves!BB$105</f>
        <v>0</v>
      </c>
      <c r="BC59" s="539">
        <f>Reserves!BC$105</f>
        <v>0</v>
      </c>
      <c r="BD59" s="539">
        <f>Reserves!BD$105</f>
        <v>0</v>
      </c>
      <c r="BE59" s="539">
        <f>Reserves!BE$105</f>
        <v>0</v>
      </c>
      <c r="BF59" s="539">
        <f>Reserves!BF$105</f>
        <v>0</v>
      </c>
      <c r="BG59" s="539">
        <f>Reserves!BG$105</f>
        <v>0</v>
      </c>
      <c r="BH59" s="539">
        <f>Reserves!BH$105</f>
        <v>0</v>
      </c>
      <c r="BI59" s="539">
        <f>Reserves!BI$105</f>
        <v>0</v>
      </c>
      <c r="BJ59" s="539">
        <f>Reserves!BJ$105</f>
        <v>0</v>
      </c>
      <c r="BK59" s="539">
        <f>Reserves!BK$105</f>
        <v>0</v>
      </c>
      <c r="BL59" s="539">
        <f>Reserves!BL$105</f>
        <v>0</v>
      </c>
      <c r="BM59" s="539">
        <f>Reserves!BM$105</f>
        <v>0</v>
      </c>
      <c r="BN59" s="539">
        <f>Reserves!BN$105</f>
        <v>1968.1299867018984</v>
      </c>
      <c r="BO59" s="539">
        <f>Reserves!BO$105</f>
        <v>1968.1299867018984</v>
      </c>
      <c r="BP59" s="539">
        <f>Reserves!BP$105</f>
        <v>1968.1299867018979</v>
      </c>
      <c r="BQ59" s="539">
        <f>Reserves!BQ$105</f>
        <v>1968.1299867018988</v>
      </c>
      <c r="BR59" s="539">
        <f>Reserves!BR$105</f>
        <v>0</v>
      </c>
      <c r="BS59" s="539">
        <f>Reserves!BS$105</f>
        <v>4.5474735088646412E-13</v>
      </c>
      <c r="BT59" s="539">
        <f>Reserves!BT$105</f>
        <v>0</v>
      </c>
      <c r="BU59" s="539">
        <f>Reserves!BU$105</f>
        <v>0</v>
      </c>
      <c r="BV59" s="539">
        <f>Reserves!BV$105</f>
        <v>0</v>
      </c>
      <c r="BW59" s="539">
        <f>Reserves!BW$105</f>
        <v>0</v>
      </c>
      <c r="BX59" s="539">
        <f>Reserves!BX$105</f>
        <v>0</v>
      </c>
      <c r="BY59" s="539">
        <f>Reserves!BY$105</f>
        <v>0</v>
      </c>
      <c r="BZ59" s="539">
        <f>Reserves!BZ$105</f>
        <v>0</v>
      </c>
      <c r="CA59" s="539">
        <f>Reserves!CA$105</f>
        <v>0</v>
      </c>
      <c r="CB59" s="539">
        <f>Reserves!CB$105</f>
        <v>0</v>
      </c>
      <c r="CC59" s="539">
        <f>Reserves!CC$105</f>
        <v>0</v>
      </c>
      <c r="CD59" s="539">
        <f>Reserves!CD$105</f>
        <v>0</v>
      </c>
      <c r="CE59" s="539">
        <f>Reserves!CE$105</f>
        <v>0</v>
      </c>
      <c r="CF59" s="539">
        <f>Reserves!CF$105</f>
        <v>0</v>
      </c>
      <c r="CG59" s="539">
        <f>Reserves!CG$105</f>
        <v>0</v>
      </c>
      <c r="CH59" s="539">
        <f>Reserves!CH$105</f>
        <v>2226.7584309908434</v>
      </c>
      <c r="CI59" s="539">
        <f>Reserves!CI$105</f>
        <v>2226.7584309908434</v>
      </c>
      <c r="CJ59" s="539">
        <f>Reserves!CJ$105</f>
        <v>2226.7584309908434</v>
      </c>
      <c r="CK59" s="539">
        <f>Reserves!CK$105</f>
        <v>2226.7584309908434</v>
      </c>
      <c r="CL59" s="539">
        <f>Reserves!CL$105</f>
        <v>0</v>
      </c>
      <c r="CM59" s="539">
        <f>Reserves!CM$105</f>
        <v>0</v>
      </c>
      <c r="CN59" s="539">
        <f>Reserves!CN$105</f>
        <v>0</v>
      </c>
      <c r="CO59" s="539">
        <f>Reserves!CO$105</f>
        <v>0</v>
      </c>
      <c r="CP59" s="539">
        <f>Reserves!CP$105</f>
        <v>0</v>
      </c>
      <c r="CQ59" s="539">
        <f>Reserves!CQ$105</f>
        <v>0</v>
      </c>
      <c r="CR59" s="539">
        <f>Reserves!CR$105</f>
        <v>0</v>
      </c>
      <c r="CS59" s="539">
        <f>Reserves!CS$105</f>
        <v>0</v>
      </c>
      <c r="CT59" s="539">
        <f>Reserves!CT$105</f>
        <v>0</v>
      </c>
      <c r="CU59" s="539">
        <f>Reserves!CU$105</f>
        <v>0</v>
      </c>
      <c r="CV59" s="539">
        <f>Reserves!CV$105</f>
        <v>0</v>
      </c>
      <c r="CW59" s="539">
        <f>Reserves!CW$105</f>
        <v>0</v>
      </c>
      <c r="CX59" s="539">
        <f>Reserves!CX$105</f>
        <v>0</v>
      </c>
      <c r="CY59" s="539">
        <f>Reserves!CY$105</f>
        <v>0</v>
      </c>
      <c r="CZ59" s="539">
        <f>Reserves!CZ$105</f>
        <v>0</v>
      </c>
      <c r="DA59" s="539">
        <f>Reserves!DA$105</f>
        <v>0</v>
      </c>
      <c r="DB59" s="539">
        <f>Reserves!DB$105</f>
        <v>2519.3727769464808</v>
      </c>
      <c r="DC59" s="539">
        <f>Reserves!DC$105</f>
        <v>2519.3727769464808</v>
      </c>
      <c r="DD59" s="539">
        <f>Reserves!DD$105</f>
        <v>2519.3727769464813</v>
      </c>
      <c r="DE59" s="539">
        <f>Reserves!DE$105</f>
        <v>2519.3727769464804</v>
      </c>
      <c r="DF59" s="539">
        <f>Reserves!DF$105</f>
        <v>0</v>
      </c>
      <c r="DG59" s="539">
        <f>Reserves!DG$105</f>
        <v>0</v>
      </c>
      <c r="DH59" s="539">
        <f>Reserves!DH$105</f>
        <v>0</v>
      </c>
      <c r="DI59" s="539">
        <f>Reserves!DI$105</f>
        <v>0</v>
      </c>
      <c r="DJ59" s="539">
        <f>Reserves!DJ$105</f>
        <v>0</v>
      </c>
      <c r="DK59" s="539">
        <f>Reserves!DK$105</f>
        <v>0</v>
      </c>
      <c r="DL59" s="539">
        <f>Reserves!DL$105</f>
        <v>0</v>
      </c>
      <c r="DM59" s="539">
        <f>Reserves!DM$105</f>
        <v>0</v>
      </c>
      <c r="DN59" s="539">
        <f>Reserves!DN$105</f>
        <v>0</v>
      </c>
      <c r="DO59" s="539">
        <f>Reserves!DO$105</f>
        <v>0</v>
      </c>
      <c r="DP59" s="539">
        <f>Reserves!DP$105</f>
        <v>0</v>
      </c>
      <c r="DQ59" s="539">
        <f>Reserves!DQ$105</f>
        <v>0</v>
      </c>
      <c r="DR59" s="539">
        <f>Reserves!DR$105</f>
        <v>0</v>
      </c>
      <c r="DS59" s="539">
        <f>Reserves!DS$105</f>
        <v>0</v>
      </c>
      <c r="DT59" s="539">
        <f>Reserves!DT$105</f>
        <v>0</v>
      </c>
      <c r="DU59" s="539">
        <f>Reserves!DU$105</f>
        <v>0</v>
      </c>
      <c r="DV59" s="539">
        <f>Reserves!DV$105</f>
        <v>0</v>
      </c>
      <c r="DW59" s="539">
        <f>Reserves!DW$105</f>
        <v>0</v>
      </c>
      <c r="DX59" s="539">
        <f>Reserves!DX$105</f>
        <v>0</v>
      </c>
      <c r="DY59" s="539">
        <f>Reserves!DY$105</f>
        <v>0</v>
      </c>
      <c r="DZ59" s="539">
        <f>Reserves!DZ$105</f>
        <v>0</v>
      </c>
      <c r="EA59" s="539">
        <f>Reserves!EA$105</f>
        <v>0</v>
      </c>
      <c r="EB59" s="539">
        <f>Reserves!EB$105</f>
        <v>0</v>
      </c>
      <c r="EC59" s="539">
        <f>Reserves!EC$105</f>
        <v>0</v>
      </c>
      <c r="ED59" s="539">
        <f>Reserves!ED$105</f>
        <v>0</v>
      </c>
      <c r="EE59" s="539">
        <f>Reserves!EE$105</f>
        <v>0</v>
      </c>
      <c r="EF59" s="539">
        <f>Reserves!EF$105</f>
        <v>0</v>
      </c>
      <c r="EG59" s="539">
        <f>Reserves!EG$105</f>
        <v>0</v>
      </c>
    </row>
    <row r="60" spans="5:137" ht="12.75">
      <c r="E60" s="551" t="s">
        <v>521</v>
      </c>
      <c r="F60" s="552"/>
      <c r="G60" s="552" t="s">
        <v>30</v>
      </c>
      <c r="H60" s="552">
        <f>SUM(J60:EG60)</f>
        <v>2.7284841053187847E-12</v>
      </c>
      <c r="I60" s="552"/>
      <c r="J60" s="552">
        <f t="shared" si="10" ref="J60:EG60">J54+J55-J56-J53+J57+J58-J59</f>
        <v>0</v>
      </c>
      <c r="K60" s="552">
        <f t="shared" si="10"/>
        <v>0</v>
      </c>
      <c r="L60" s="552">
        <f t="shared" si="10"/>
        <v>0</v>
      </c>
      <c r="M60" s="552">
        <f t="shared" si="10"/>
        <v>0</v>
      </c>
      <c r="N60" s="552">
        <f t="shared" si="10"/>
        <v>0</v>
      </c>
      <c r="O60" s="552">
        <f t="shared" si="10"/>
        <v>0</v>
      </c>
      <c r="P60" s="552">
        <f t="shared" si="10"/>
        <v>0</v>
      </c>
      <c r="Q60" s="552">
        <f t="shared" si="10"/>
        <v>0</v>
      </c>
      <c r="R60" s="552">
        <f t="shared" si="10"/>
        <v>0</v>
      </c>
      <c r="S60" s="552">
        <f t="shared" si="10"/>
        <v>0</v>
      </c>
      <c r="T60" s="552">
        <f t="shared" si="10"/>
        <v>0</v>
      </c>
      <c r="U60" s="552">
        <f t="shared" si="10"/>
        <v>0</v>
      </c>
      <c r="V60" s="552">
        <f t="shared" si="10"/>
        <v>0</v>
      </c>
      <c r="W60" s="552">
        <f t="shared" si="10"/>
        <v>0</v>
      </c>
      <c r="X60" s="552">
        <f t="shared" si="10"/>
        <v>0</v>
      </c>
      <c r="Y60" s="552">
        <f t="shared" si="10"/>
        <v>0</v>
      </c>
      <c r="Z60" s="552">
        <f t="shared" si="10"/>
        <v>0</v>
      </c>
      <c r="AA60" s="552">
        <f t="shared" si="10"/>
        <v>0</v>
      </c>
      <c r="AB60" s="552">
        <f t="shared" si="10"/>
        <v>0</v>
      </c>
      <c r="AC60" s="552">
        <f t="shared" si="10"/>
        <v>0</v>
      </c>
      <c r="AD60" s="552">
        <f t="shared" si="10"/>
        <v>0</v>
      </c>
      <c r="AE60" s="552">
        <f t="shared" si="10"/>
        <v>0</v>
      </c>
      <c r="AF60" s="552">
        <f t="shared" si="10"/>
        <v>0</v>
      </c>
      <c r="AG60" s="552">
        <f t="shared" si="10"/>
        <v>-8333.2746174985332</v>
      </c>
      <c r="AH60" s="552">
        <f t="shared" si="10"/>
        <v>-975.37851767707252</v>
      </c>
      <c r="AI60" s="552">
        <f t="shared" si="10"/>
        <v>10.413640157919872</v>
      </c>
      <c r="AJ60" s="552">
        <f t="shared" si="10"/>
        <v>-39.372155650631612</v>
      </c>
      <c r="AK60" s="552">
        <f t="shared" si="10"/>
        <v>-92.11747120027394</v>
      </c>
      <c r="AL60" s="552">
        <f t="shared" si="10"/>
        <v>-42.328947716419862</v>
      </c>
      <c r="AM60" s="552">
        <f t="shared" si="10"/>
        <v>10.539113221848311</v>
      </c>
      <c r="AN60" s="552">
        <f t="shared" si="10"/>
        <v>-40.307407320542552</v>
      </c>
      <c r="AO60" s="552">
        <f t="shared" si="10"/>
        <v>-93.58391720552936</v>
      </c>
      <c r="AP60" s="552">
        <f t="shared" si="10"/>
        <v>-42.734660774834992</v>
      </c>
      <c r="AQ60" s="552">
        <f t="shared" si="10"/>
        <v>10.66496408392959</v>
      </c>
      <c r="AR60" s="552">
        <f t="shared" si="10"/>
        <v>-52.056038752856693</v>
      </c>
      <c r="AS60" s="552">
        <f t="shared" si="10"/>
        <v>-84.278058973002771</v>
      </c>
      <c r="AT60" s="552">
        <f t="shared" si="10"/>
        <v>-1771.8855799975577</v>
      </c>
      <c r="AU60" s="552">
        <f t="shared" si="10"/>
        <v>-1737.2872260927402</v>
      </c>
      <c r="AV60" s="552">
        <f t="shared" si="10"/>
        <v>-1781.7853039700576</v>
      </c>
      <c r="AW60" s="552">
        <f t="shared" si="10"/>
        <v>-1838.3664193127697</v>
      </c>
      <c r="AX60" s="552">
        <f t="shared" si="10"/>
        <v>1696.0058014685405</v>
      </c>
      <c r="AY60" s="552">
        <f t="shared" si="10"/>
        <v>1752.8912554914414</v>
      </c>
      <c r="AZ60" s="552">
        <f t="shared" si="10"/>
        <v>1759.9715318546519</v>
      </c>
      <c r="BA60" s="552">
        <f t="shared" si="10"/>
        <v>1711.7918800172743</v>
      </c>
      <c r="BB60" s="552">
        <f t="shared" si="10"/>
        <v>-26.133687560810358</v>
      </c>
      <c r="BC60" s="552">
        <f t="shared" si="10"/>
        <v>28.037258526521327</v>
      </c>
      <c r="BD60" s="552">
        <f t="shared" si="10"/>
        <v>-23.403445498011934</v>
      </c>
      <c r="BE60" s="552">
        <f t="shared" si="10"/>
        <v>-79.496158600612034</v>
      </c>
      <c r="BF60" s="552">
        <f t="shared" si="10"/>
        <v>-29.514796750790993</v>
      </c>
      <c r="BG60" s="552">
        <f t="shared" si="10"/>
        <v>25.305656359227214</v>
      </c>
      <c r="BH60" s="552">
        <f t="shared" si="10"/>
        <v>-38.407877931207622</v>
      </c>
      <c r="BI60" s="552">
        <f t="shared" si="10"/>
        <v>-72.291172391096552</v>
      </c>
      <c r="BJ60" s="552">
        <f t="shared" si="10"/>
        <v>-21.088958933447429</v>
      </c>
      <c r="BK60" s="552">
        <f t="shared" si="10"/>
        <v>11.757028951866232</v>
      </c>
      <c r="BL60" s="552">
        <f t="shared" si="10"/>
        <v>-30.381395900210919</v>
      </c>
      <c r="BM60" s="552">
        <f t="shared" si="10"/>
        <v>-87.261648500221781</v>
      </c>
      <c r="BN60" s="552">
        <f t="shared" si="10"/>
        <v>-2002.9641190608741</v>
      </c>
      <c r="BO60" s="552">
        <f t="shared" si="10"/>
        <v>-1946.9257946120865</v>
      </c>
      <c r="BP60" s="552">
        <f t="shared" si="10"/>
        <v>-2054.7668339259972</v>
      </c>
      <c r="BQ60" s="552">
        <f t="shared" si="10"/>
        <v>-2112.0588399877252</v>
      </c>
      <c r="BR60" s="552">
        <f t="shared" si="10"/>
        <v>1931.2035017253124</v>
      </c>
      <c r="BS60" s="552">
        <f t="shared" si="10"/>
        <v>1987.8160254237036</v>
      </c>
      <c r="BT60" s="552">
        <f t="shared" si="10"/>
        <v>2071.4640100166976</v>
      </c>
      <c r="BU60" s="552">
        <f t="shared" si="10"/>
        <v>2424.8799283888234</v>
      </c>
      <c r="BV60" s="552">
        <f t="shared" si="10"/>
        <v>380.48029507079627</v>
      </c>
      <c r="BW60" s="552">
        <f t="shared" si="10"/>
        <v>34.232010358404295</v>
      </c>
      <c r="BX60" s="552">
        <f t="shared" si="10"/>
        <v>-23.28938462017868</v>
      </c>
      <c r="BY60" s="552">
        <f t="shared" si="10"/>
        <v>-58.49203396403027</v>
      </c>
      <c r="BZ60" s="552">
        <f t="shared" si="10"/>
        <v>21.249209966641502</v>
      </c>
      <c r="CA60" s="552">
        <f t="shared" si="10"/>
        <v>230.49793800789303</v>
      </c>
      <c r="CB60" s="552">
        <f t="shared" si="10"/>
        <v>178.77842338369919</v>
      </c>
      <c r="CC60" s="552">
        <f t="shared" si="10"/>
        <v>-52.435606701857978</v>
      </c>
      <c r="CD60" s="552">
        <f t="shared" si="10"/>
        <v>-22.553994014933778</v>
      </c>
      <c r="CE60" s="552">
        <f t="shared" si="10"/>
        <v>37.56899230853378</v>
      </c>
      <c r="CF60" s="552">
        <f t="shared" si="10"/>
        <v>3.5552511889291054</v>
      </c>
      <c r="CG60" s="552">
        <f t="shared" si="10"/>
        <v>-57.691679788433248</v>
      </c>
      <c r="CH60" s="552">
        <f t="shared" si="10"/>
        <v>-2251.1350262850192</v>
      </c>
      <c r="CI60" s="552">
        <f t="shared" si="10"/>
        <v>-2190.6634610438614</v>
      </c>
      <c r="CJ60" s="552">
        <f t="shared" si="10"/>
        <v>-2513.7289348704162</v>
      </c>
      <c r="CK60" s="552">
        <f t="shared" si="10"/>
        <v>-2574.5244254292793</v>
      </c>
      <c r="CL60" s="552">
        <f t="shared" si="10"/>
        <v>2202.1572080063761</v>
      </c>
      <c r="CM60" s="552">
        <f t="shared" si="10"/>
        <v>2262.9488468430754</v>
      </c>
      <c r="CN60" s="552">
        <f t="shared" si="10"/>
        <v>2499.2083880304126</v>
      </c>
      <c r="CO60" s="552">
        <f t="shared" si="10"/>
        <v>2463.3351426830777</v>
      </c>
      <c r="CP60" s="552">
        <f t="shared" si="10"/>
        <v>-12.680517394070193</v>
      </c>
      <c r="CQ60" s="552">
        <f t="shared" si="10"/>
        <v>22.369779103046312</v>
      </c>
      <c r="CR60" s="552">
        <f t="shared" si="10"/>
        <v>-4.6768751928120764</v>
      </c>
      <c r="CS60" s="552">
        <f t="shared" si="10"/>
        <v>-66.040615242367494</v>
      </c>
      <c r="CT60" s="552">
        <f t="shared" si="10"/>
        <v>-26.64931180619169</v>
      </c>
      <c r="CU60" s="552">
        <f t="shared" si="10"/>
        <v>34.572114682719985</v>
      </c>
      <c r="CV60" s="552">
        <f t="shared" si="10"/>
        <v>-6.7661748339523911</v>
      </c>
      <c r="CW60" s="552">
        <f t="shared" si="10"/>
        <v>-68.144622639592853</v>
      </c>
      <c r="CX60" s="552">
        <f t="shared" si="10"/>
        <v>-26.609548023272509</v>
      </c>
      <c r="CY60" s="552">
        <f t="shared" si="10"/>
        <v>34.780380596695977</v>
      </c>
      <c r="CZ60" s="552">
        <f t="shared" si="10"/>
        <v>4795.3607319199918</v>
      </c>
      <c r="DA60" s="552">
        <f t="shared" si="10"/>
        <v>4771.6969558081337</v>
      </c>
      <c r="DB60" s="552">
        <f t="shared" si="10"/>
        <v>-2519.3727769464808</v>
      </c>
      <c r="DC60" s="552">
        <f t="shared" si="10"/>
        <v>-2519.3727769464808</v>
      </c>
      <c r="DD60" s="552">
        <f t="shared" si="10"/>
        <v>-2519.3727769464813</v>
      </c>
      <c r="DE60" s="552">
        <f t="shared" si="10"/>
        <v>-2519.3727769464804</v>
      </c>
      <c r="DF60" s="552">
        <f t="shared" si="10"/>
        <v>2519.3727769464808</v>
      </c>
      <c r="DG60" s="552">
        <f t="shared" si="10"/>
        <v>2519.3727769464817</v>
      </c>
      <c r="DH60" s="552">
        <f t="shared" si="10"/>
        <v>2519.3727769464808</v>
      </c>
      <c r="DI60" s="552">
        <f t="shared" si="10"/>
        <v>2519.3727769464808</v>
      </c>
      <c r="DJ60" s="552">
        <f t="shared" si="10"/>
        <v>0</v>
      </c>
      <c r="DK60" s="552">
        <f t="shared" si="10"/>
        <v>0</v>
      </c>
      <c r="DL60" s="552">
        <f t="shared" si="10"/>
        <v>0</v>
      </c>
      <c r="DM60" s="552">
        <f t="shared" si="10"/>
        <v>0</v>
      </c>
      <c r="DN60" s="552">
        <f t="shared" si="10"/>
        <v>0</v>
      </c>
      <c r="DO60" s="552">
        <f t="shared" si="10"/>
        <v>0</v>
      </c>
      <c r="DP60" s="552">
        <f t="shared" si="10"/>
        <v>0</v>
      </c>
      <c r="DQ60" s="552">
        <f t="shared" si="10"/>
        <v>0</v>
      </c>
      <c r="DR60" s="552">
        <f t="shared" si="10"/>
        <v>0</v>
      </c>
      <c r="DS60" s="552">
        <f t="shared" si="10"/>
        <v>0</v>
      </c>
      <c r="DT60" s="552">
        <f t="shared" si="10"/>
        <v>0</v>
      </c>
      <c r="DU60" s="552">
        <f t="shared" si="10"/>
        <v>0</v>
      </c>
      <c r="DV60" s="552">
        <f t="shared" si="10"/>
        <v>0</v>
      </c>
      <c r="DW60" s="552">
        <f t="shared" si="10"/>
        <v>0</v>
      </c>
      <c r="DX60" s="552">
        <f t="shared" si="10"/>
        <v>0</v>
      </c>
      <c r="DY60" s="552">
        <f t="shared" si="10"/>
        <v>0</v>
      </c>
      <c r="DZ60" s="552">
        <f t="shared" si="10"/>
        <v>0</v>
      </c>
      <c r="EA60" s="552">
        <f t="shared" si="10"/>
        <v>0</v>
      </c>
      <c r="EB60" s="552">
        <f t="shared" si="10"/>
        <v>0</v>
      </c>
      <c r="EC60" s="552">
        <f t="shared" si="10"/>
        <v>0</v>
      </c>
      <c r="ED60" s="552">
        <f t="shared" si="10"/>
        <v>0</v>
      </c>
      <c r="EE60" s="552">
        <f t="shared" si="10"/>
        <v>0</v>
      </c>
      <c r="EF60" s="552">
        <f t="shared" si="10"/>
        <v>0</v>
      </c>
      <c r="EG60" s="552">
        <f t="shared" si="10"/>
        <v>0</v>
      </c>
    </row>
    <row r="62" spans="5:137" ht="12.75">
      <c r="E62" s="538" t="str">
        <f>Cons!E$57</f>
        <v>VAT - paid on capex</v>
      </c>
      <c r="G62" s="539" t="str">
        <f>Cons!G$57</f>
        <v>EUR 000s</v>
      </c>
      <c r="H62" s="539">
        <f>Cons!H$57</f>
        <v>56710.5</v>
      </c>
      <c r="J62" s="539">
        <f>Cons!J$57</f>
        <v>0</v>
      </c>
      <c r="K62" s="539">
        <f>Cons!K$57</f>
        <v>0</v>
      </c>
      <c r="L62" s="539">
        <f>Cons!L$57</f>
        <v>0</v>
      </c>
      <c r="M62" s="539">
        <f>Cons!M$57</f>
        <v>2658.3125</v>
      </c>
      <c r="N62" s="539">
        <f>Cons!N$57</f>
        <v>2723.9375</v>
      </c>
      <c r="O62" s="539">
        <f>Cons!O$57</f>
        <v>2658.3125</v>
      </c>
      <c r="P62" s="539">
        <f>Cons!P$57</f>
        <v>2723.9375</v>
      </c>
      <c r="Q62" s="539">
        <f>Cons!Q$57</f>
        <v>2658.3125</v>
      </c>
      <c r="R62" s="539">
        <f>Cons!R$57</f>
        <v>3388.390625</v>
      </c>
      <c r="S62" s="539">
        <f>Cons!S$57</f>
        <v>3527.84375</v>
      </c>
      <c r="T62" s="539">
        <f>Cons!T$57</f>
        <v>3593.46875</v>
      </c>
      <c r="U62" s="539">
        <f>Cons!U$57</f>
        <v>3659.09375</v>
      </c>
      <c r="V62" s="539">
        <f>Cons!V$57</f>
        <v>3396.59375</v>
      </c>
      <c r="W62" s="539">
        <f>Cons!W$57</f>
        <v>3363.78125</v>
      </c>
      <c r="X62" s="539">
        <f>Cons!X$57</f>
        <v>3002.84375</v>
      </c>
      <c r="Y62" s="539">
        <f>Cons!Y$57</f>
        <v>2609.09375</v>
      </c>
      <c r="Z62" s="539">
        <f>Cons!Z$57</f>
        <v>2412.21875</v>
      </c>
      <c r="AA62" s="539">
        <f>Cons!AA$57</f>
        <v>2707.53125</v>
      </c>
      <c r="AB62" s="539">
        <f>Cons!AB$57</f>
        <v>2838.78125</v>
      </c>
      <c r="AC62" s="539">
        <f>Cons!AC$57</f>
        <v>2805.96875</v>
      </c>
      <c r="AD62" s="539">
        <f>Cons!AD$57</f>
        <v>2535.265625</v>
      </c>
      <c r="AE62" s="539">
        <f>Cons!AE$57</f>
        <v>1509.875</v>
      </c>
      <c r="AF62" s="539">
        <f>Cons!AF$57</f>
        <v>1148.9375</v>
      </c>
      <c r="AG62" s="539">
        <f>Cons!AG$57</f>
        <v>788</v>
      </c>
      <c r="AH62" s="539">
        <f>Cons!AH$57</f>
        <v>0</v>
      </c>
      <c r="AI62" s="539">
        <f>Cons!AI$57</f>
        <v>0</v>
      </c>
      <c r="AJ62" s="539">
        <f>Cons!AJ$57</f>
        <v>0</v>
      </c>
      <c r="AK62" s="539">
        <f>Cons!AK$57</f>
        <v>0</v>
      </c>
      <c r="AL62" s="539">
        <f>Cons!AL$57</f>
        <v>0</v>
      </c>
      <c r="AM62" s="539">
        <f>Cons!AM$57</f>
        <v>0</v>
      </c>
      <c r="AN62" s="539">
        <f>Cons!AN$57</f>
        <v>0</v>
      </c>
      <c r="AO62" s="539">
        <f>Cons!AO$57</f>
        <v>0</v>
      </c>
      <c r="AP62" s="539">
        <f>Cons!AP$57</f>
        <v>0</v>
      </c>
      <c r="AQ62" s="539">
        <f>Cons!AQ$57</f>
        <v>0</v>
      </c>
      <c r="AR62" s="539">
        <f>Cons!AR$57</f>
        <v>0</v>
      </c>
      <c r="AS62" s="539">
        <f>Cons!AS$57</f>
        <v>0</v>
      </c>
      <c r="AT62" s="539">
        <f>Cons!AT$57</f>
        <v>0</v>
      </c>
      <c r="AU62" s="539">
        <f>Cons!AU$57</f>
        <v>0</v>
      </c>
      <c r="AV62" s="539">
        <f>Cons!AV$57</f>
        <v>0</v>
      </c>
      <c r="AW62" s="539">
        <f>Cons!AW$57</f>
        <v>0</v>
      </c>
      <c r="AX62" s="539">
        <f>Cons!AX$57</f>
        <v>0</v>
      </c>
      <c r="AY62" s="539">
        <f>Cons!AY$57</f>
        <v>0</v>
      </c>
      <c r="AZ62" s="539">
        <f>Cons!AZ$57</f>
        <v>0</v>
      </c>
      <c r="BA62" s="539">
        <f>Cons!BA$57</f>
        <v>0</v>
      </c>
      <c r="BB62" s="539">
        <f>Cons!BB$57</f>
        <v>0</v>
      </c>
      <c r="BC62" s="539">
        <f>Cons!BC$57</f>
        <v>0</v>
      </c>
      <c r="BD62" s="539">
        <f>Cons!BD$57</f>
        <v>0</v>
      </c>
      <c r="BE62" s="539">
        <f>Cons!BE$57</f>
        <v>0</v>
      </c>
      <c r="BF62" s="539">
        <f>Cons!BF$57</f>
        <v>0</v>
      </c>
      <c r="BG62" s="539">
        <f>Cons!BG$57</f>
        <v>0</v>
      </c>
      <c r="BH62" s="539">
        <f>Cons!BH$57</f>
        <v>0</v>
      </c>
      <c r="BI62" s="539">
        <f>Cons!BI$57</f>
        <v>0</v>
      </c>
      <c r="BJ62" s="539">
        <f>Cons!BJ$57</f>
        <v>0</v>
      </c>
      <c r="BK62" s="539">
        <f>Cons!BK$57</f>
        <v>0</v>
      </c>
      <c r="BL62" s="539">
        <f>Cons!BL$57</f>
        <v>0</v>
      </c>
      <c r="BM62" s="539">
        <f>Cons!BM$57</f>
        <v>0</v>
      </c>
      <c r="BN62" s="539">
        <f>Cons!BN$57</f>
        <v>0</v>
      </c>
      <c r="BO62" s="539">
        <f>Cons!BO$57</f>
        <v>0</v>
      </c>
      <c r="BP62" s="539">
        <f>Cons!BP$57</f>
        <v>0</v>
      </c>
      <c r="BQ62" s="539">
        <f>Cons!BQ$57</f>
        <v>0</v>
      </c>
      <c r="BR62" s="539">
        <f>Cons!BR$57</f>
        <v>0</v>
      </c>
      <c r="BS62" s="539">
        <f>Cons!BS$57</f>
        <v>0</v>
      </c>
      <c r="BT62" s="539">
        <f>Cons!BT$57</f>
        <v>0</v>
      </c>
      <c r="BU62" s="539">
        <f>Cons!BU$57</f>
        <v>0</v>
      </c>
      <c r="BV62" s="539">
        <f>Cons!BV$57</f>
        <v>0</v>
      </c>
      <c r="BW62" s="539">
        <f>Cons!BW$57</f>
        <v>0</v>
      </c>
      <c r="BX62" s="539">
        <f>Cons!BX$57</f>
        <v>0</v>
      </c>
      <c r="BY62" s="539">
        <f>Cons!BY$57</f>
        <v>0</v>
      </c>
      <c r="BZ62" s="539">
        <f>Cons!BZ$57</f>
        <v>0</v>
      </c>
      <c r="CA62" s="539">
        <f>Cons!CA$57</f>
        <v>0</v>
      </c>
      <c r="CB62" s="539">
        <f>Cons!CB$57</f>
        <v>0</v>
      </c>
      <c r="CC62" s="539">
        <f>Cons!CC$57</f>
        <v>0</v>
      </c>
      <c r="CD62" s="539">
        <f>Cons!CD$57</f>
        <v>0</v>
      </c>
      <c r="CE62" s="539">
        <f>Cons!CE$57</f>
        <v>0</v>
      </c>
      <c r="CF62" s="539">
        <f>Cons!CF$57</f>
        <v>0</v>
      </c>
      <c r="CG62" s="539">
        <f>Cons!CG$57</f>
        <v>0</v>
      </c>
      <c r="CH62" s="539">
        <f>Cons!CH$57</f>
        <v>0</v>
      </c>
      <c r="CI62" s="539">
        <f>Cons!CI$57</f>
        <v>0</v>
      </c>
      <c r="CJ62" s="539">
        <f>Cons!CJ$57</f>
        <v>0</v>
      </c>
      <c r="CK62" s="539">
        <f>Cons!CK$57</f>
        <v>0</v>
      </c>
      <c r="CL62" s="539">
        <f>Cons!CL$57</f>
        <v>0</v>
      </c>
      <c r="CM62" s="539">
        <f>Cons!CM$57</f>
        <v>0</v>
      </c>
      <c r="CN62" s="539">
        <f>Cons!CN$57</f>
        <v>0</v>
      </c>
      <c r="CO62" s="539">
        <f>Cons!CO$57</f>
        <v>0</v>
      </c>
      <c r="CP62" s="539">
        <f>Cons!CP$57</f>
        <v>0</v>
      </c>
      <c r="CQ62" s="539">
        <f>Cons!CQ$57</f>
        <v>0</v>
      </c>
      <c r="CR62" s="539">
        <f>Cons!CR$57</f>
        <v>0</v>
      </c>
      <c r="CS62" s="539">
        <f>Cons!CS$57</f>
        <v>0</v>
      </c>
      <c r="CT62" s="539">
        <f>Cons!CT$57</f>
        <v>0</v>
      </c>
      <c r="CU62" s="539">
        <f>Cons!CU$57</f>
        <v>0</v>
      </c>
      <c r="CV62" s="539">
        <f>Cons!CV$57</f>
        <v>0</v>
      </c>
      <c r="CW62" s="539">
        <f>Cons!CW$57</f>
        <v>0</v>
      </c>
      <c r="CX62" s="539">
        <f>Cons!CX$57</f>
        <v>0</v>
      </c>
      <c r="CY62" s="539">
        <f>Cons!CY$57</f>
        <v>0</v>
      </c>
      <c r="CZ62" s="539">
        <f>Cons!CZ$57</f>
        <v>0</v>
      </c>
      <c r="DA62" s="539">
        <f>Cons!DA$57</f>
        <v>0</v>
      </c>
      <c r="DB62" s="539">
        <f>Cons!DB$57</f>
        <v>0</v>
      </c>
      <c r="DC62" s="539">
        <f>Cons!DC$57</f>
        <v>0</v>
      </c>
      <c r="DD62" s="539">
        <f>Cons!DD$57</f>
        <v>0</v>
      </c>
      <c r="DE62" s="539">
        <f>Cons!DE$57</f>
        <v>0</v>
      </c>
      <c r="DF62" s="539">
        <f>Cons!DF$57</f>
        <v>0</v>
      </c>
      <c r="DG62" s="539">
        <f>Cons!DG$57</f>
        <v>0</v>
      </c>
      <c r="DH62" s="539">
        <f>Cons!DH$57</f>
        <v>0</v>
      </c>
      <c r="DI62" s="539">
        <f>Cons!DI$57</f>
        <v>0</v>
      </c>
      <c r="DJ62" s="539">
        <f>Cons!DJ$57</f>
        <v>0</v>
      </c>
      <c r="DK62" s="539">
        <f>Cons!DK$57</f>
        <v>0</v>
      </c>
      <c r="DL62" s="539">
        <f>Cons!DL$57</f>
        <v>0</v>
      </c>
      <c r="DM62" s="539">
        <f>Cons!DM$57</f>
        <v>0</v>
      </c>
      <c r="DN62" s="539">
        <f>Cons!DN$57</f>
        <v>0</v>
      </c>
      <c r="DO62" s="539">
        <f>Cons!DO$57</f>
        <v>0</v>
      </c>
      <c r="DP62" s="539">
        <f>Cons!DP$57</f>
        <v>0</v>
      </c>
      <c r="DQ62" s="539">
        <f>Cons!DQ$57</f>
        <v>0</v>
      </c>
      <c r="DR62" s="539">
        <f>Cons!DR$57</f>
        <v>0</v>
      </c>
      <c r="DS62" s="539">
        <f>Cons!DS$57</f>
        <v>0</v>
      </c>
      <c r="DT62" s="539">
        <f>Cons!DT$57</f>
        <v>0</v>
      </c>
      <c r="DU62" s="539">
        <f>Cons!DU$57</f>
        <v>0</v>
      </c>
      <c r="DV62" s="539">
        <f>Cons!DV$57</f>
        <v>0</v>
      </c>
      <c r="DW62" s="539">
        <f>Cons!DW$57</f>
        <v>0</v>
      </c>
      <c r="DX62" s="539">
        <f>Cons!DX$57</f>
        <v>0</v>
      </c>
      <c r="DY62" s="539">
        <f>Cons!DY$57</f>
        <v>0</v>
      </c>
      <c r="DZ62" s="539">
        <f>Cons!DZ$57</f>
        <v>0</v>
      </c>
      <c r="EA62" s="539">
        <f>Cons!EA$57</f>
        <v>0</v>
      </c>
      <c r="EB62" s="539">
        <f>Cons!EB$57</f>
        <v>0</v>
      </c>
      <c r="EC62" s="539">
        <f>Cons!EC$57</f>
        <v>0</v>
      </c>
      <c r="ED62" s="539">
        <f>Cons!ED$57</f>
        <v>0</v>
      </c>
      <c r="EE62" s="539">
        <f>Cons!EE$57</f>
        <v>0</v>
      </c>
      <c r="EF62" s="539">
        <f>Cons!EF$57</f>
        <v>0</v>
      </c>
      <c r="EG62" s="539">
        <f>Cons!EG$57</f>
        <v>0</v>
      </c>
    </row>
    <row r="63" spans="5:137" ht="12.75">
      <c r="E63" s="538" t="str">
        <f>Cons!E$75</f>
        <v>VAT facility - repayment</v>
      </c>
      <c r="G63" s="539" t="str">
        <f>Cons!G$75</f>
        <v>EUR 000s</v>
      </c>
      <c r="H63" s="539">
        <f>Cons!H$75</f>
        <v>56710.5</v>
      </c>
      <c r="J63" s="539">
        <f>Cons!J$75</f>
        <v>0</v>
      </c>
      <c r="K63" s="539">
        <f>Cons!K$75</f>
        <v>0</v>
      </c>
      <c r="L63" s="539">
        <f>Cons!L$75</f>
        <v>0</v>
      </c>
      <c r="M63" s="539">
        <f>Cons!M$75</f>
        <v>0</v>
      </c>
      <c r="N63" s="539">
        <f>Cons!N$75</f>
        <v>0</v>
      </c>
      <c r="O63" s="539">
        <f>Cons!O$75</f>
        <v>0</v>
      </c>
      <c r="P63" s="539">
        <f>Cons!P$75</f>
        <v>2658.3125</v>
      </c>
      <c r="Q63" s="539">
        <f>Cons!Q$75</f>
        <v>2723.9375</v>
      </c>
      <c r="R63" s="539">
        <f>Cons!R$75</f>
        <v>2658.3125</v>
      </c>
      <c r="S63" s="539">
        <f>Cons!S$75</f>
        <v>2723.9375</v>
      </c>
      <c r="T63" s="539">
        <f>Cons!T$75</f>
        <v>2658.3125</v>
      </c>
      <c r="U63" s="539">
        <f>Cons!U$75</f>
        <v>3388.390625</v>
      </c>
      <c r="V63" s="539">
        <f>Cons!V$75</f>
        <v>3527.84375</v>
      </c>
      <c r="W63" s="539">
        <f>Cons!W$75</f>
        <v>3593.46875</v>
      </c>
      <c r="X63" s="539">
        <f>Cons!X$75</f>
        <v>3659.09375</v>
      </c>
      <c r="Y63" s="539">
        <f>Cons!Y$75</f>
        <v>3396.59375</v>
      </c>
      <c r="Z63" s="539">
        <f>Cons!Z$75</f>
        <v>3363.78125</v>
      </c>
      <c r="AA63" s="539">
        <f>Cons!AA$75</f>
        <v>3002.84375</v>
      </c>
      <c r="AB63" s="539">
        <f>Cons!AB$75</f>
        <v>2609.09375</v>
      </c>
      <c r="AC63" s="539">
        <f>Cons!AC$75</f>
        <v>2412.21875</v>
      </c>
      <c r="AD63" s="539">
        <f>Cons!AD$75</f>
        <v>2707.53125</v>
      </c>
      <c r="AE63" s="539">
        <f>Cons!AE$75</f>
        <v>2838.78125</v>
      </c>
      <c r="AF63" s="539">
        <f>Cons!AF$75</f>
        <v>2805.96875</v>
      </c>
      <c r="AG63" s="539">
        <f>Cons!AG$75</f>
        <v>2535.265625</v>
      </c>
      <c r="AH63" s="539">
        <f>Cons!AH$75</f>
        <v>3446.8125</v>
      </c>
      <c r="AI63" s="539">
        <f>Cons!AI$75</f>
        <v>0</v>
      </c>
      <c r="AJ63" s="539">
        <f>Cons!AJ$75</f>
        <v>0</v>
      </c>
      <c r="AK63" s="539">
        <f>Cons!AK$75</f>
        <v>0</v>
      </c>
      <c r="AL63" s="539">
        <f>Cons!AL$75</f>
        <v>0</v>
      </c>
      <c r="AM63" s="539">
        <f>Cons!AM$75</f>
        <v>0</v>
      </c>
      <c r="AN63" s="539">
        <f>Cons!AN$75</f>
        <v>0</v>
      </c>
      <c r="AO63" s="539">
        <f>Cons!AO$75</f>
        <v>0</v>
      </c>
      <c r="AP63" s="539">
        <f>Cons!AP$75</f>
        <v>0</v>
      </c>
      <c r="AQ63" s="539">
        <f>Cons!AQ$75</f>
        <v>0</v>
      </c>
      <c r="AR63" s="539">
        <f>Cons!AR$75</f>
        <v>0</v>
      </c>
      <c r="AS63" s="539">
        <f>Cons!AS$75</f>
        <v>0</v>
      </c>
      <c r="AT63" s="539">
        <f>Cons!AT$75</f>
        <v>0</v>
      </c>
      <c r="AU63" s="539">
        <f>Cons!AU$75</f>
        <v>0</v>
      </c>
      <c r="AV63" s="539">
        <f>Cons!AV$75</f>
        <v>0</v>
      </c>
      <c r="AW63" s="539">
        <f>Cons!AW$75</f>
        <v>0</v>
      </c>
      <c r="AX63" s="539">
        <f>Cons!AX$75</f>
        <v>0</v>
      </c>
      <c r="AY63" s="539">
        <f>Cons!AY$75</f>
        <v>0</v>
      </c>
      <c r="AZ63" s="539">
        <f>Cons!AZ$75</f>
        <v>0</v>
      </c>
      <c r="BA63" s="539">
        <f>Cons!BA$75</f>
        <v>0</v>
      </c>
      <c r="BB63" s="539">
        <f>Cons!BB$75</f>
        <v>0</v>
      </c>
      <c r="BC63" s="539">
        <f>Cons!BC$75</f>
        <v>0</v>
      </c>
      <c r="BD63" s="539">
        <f>Cons!BD$75</f>
        <v>0</v>
      </c>
      <c r="BE63" s="539">
        <f>Cons!BE$75</f>
        <v>0</v>
      </c>
      <c r="BF63" s="539">
        <f>Cons!BF$75</f>
        <v>0</v>
      </c>
      <c r="BG63" s="539">
        <f>Cons!BG$75</f>
        <v>0</v>
      </c>
      <c r="BH63" s="539">
        <f>Cons!BH$75</f>
        <v>0</v>
      </c>
      <c r="BI63" s="539">
        <f>Cons!BI$75</f>
        <v>0</v>
      </c>
      <c r="BJ63" s="539">
        <f>Cons!BJ$75</f>
        <v>0</v>
      </c>
      <c r="BK63" s="539">
        <f>Cons!BK$75</f>
        <v>0</v>
      </c>
      <c r="BL63" s="539">
        <f>Cons!BL$75</f>
        <v>0</v>
      </c>
      <c r="BM63" s="539">
        <f>Cons!BM$75</f>
        <v>0</v>
      </c>
      <c r="BN63" s="539">
        <f>Cons!BN$75</f>
        <v>0</v>
      </c>
      <c r="BO63" s="539">
        <f>Cons!BO$75</f>
        <v>0</v>
      </c>
      <c r="BP63" s="539">
        <f>Cons!BP$75</f>
        <v>0</v>
      </c>
      <c r="BQ63" s="539">
        <f>Cons!BQ$75</f>
        <v>0</v>
      </c>
      <c r="BR63" s="539">
        <f>Cons!BR$75</f>
        <v>0</v>
      </c>
      <c r="BS63" s="539">
        <f>Cons!BS$75</f>
        <v>0</v>
      </c>
      <c r="BT63" s="539">
        <f>Cons!BT$75</f>
        <v>0</v>
      </c>
      <c r="BU63" s="539">
        <f>Cons!BU$75</f>
        <v>0</v>
      </c>
      <c r="BV63" s="539">
        <f>Cons!BV$75</f>
        <v>0</v>
      </c>
      <c r="BW63" s="539">
        <f>Cons!BW$75</f>
        <v>0</v>
      </c>
      <c r="BX63" s="539">
        <f>Cons!BX$75</f>
        <v>0</v>
      </c>
      <c r="BY63" s="539">
        <f>Cons!BY$75</f>
        <v>0</v>
      </c>
      <c r="BZ63" s="539">
        <f>Cons!BZ$75</f>
        <v>0</v>
      </c>
      <c r="CA63" s="539">
        <f>Cons!CA$75</f>
        <v>0</v>
      </c>
      <c r="CB63" s="539">
        <f>Cons!CB$75</f>
        <v>0</v>
      </c>
      <c r="CC63" s="539">
        <f>Cons!CC$75</f>
        <v>0</v>
      </c>
      <c r="CD63" s="539">
        <f>Cons!CD$75</f>
        <v>0</v>
      </c>
      <c r="CE63" s="539">
        <f>Cons!CE$75</f>
        <v>0</v>
      </c>
      <c r="CF63" s="539">
        <f>Cons!CF$75</f>
        <v>0</v>
      </c>
      <c r="CG63" s="539">
        <f>Cons!CG$75</f>
        <v>0</v>
      </c>
      <c r="CH63" s="539">
        <f>Cons!CH$75</f>
        <v>0</v>
      </c>
      <c r="CI63" s="539">
        <f>Cons!CI$75</f>
        <v>0</v>
      </c>
      <c r="CJ63" s="539">
        <f>Cons!CJ$75</f>
        <v>0</v>
      </c>
      <c r="CK63" s="539">
        <f>Cons!CK$75</f>
        <v>0</v>
      </c>
      <c r="CL63" s="539">
        <f>Cons!CL$75</f>
        <v>0</v>
      </c>
      <c r="CM63" s="539">
        <f>Cons!CM$75</f>
        <v>0</v>
      </c>
      <c r="CN63" s="539">
        <f>Cons!CN$75</f>
        <v>0</v>
      </c>
      <c r="CO63" s="539">
        <f>Cons!CO$75</f>
        <v>0</v>
      </c>
      <c r="CP63" s="539">
        <f>Cons!CP$75</f>
        <v>0</v>
      </c>
      <c r="CQ63" s="539">
        <f>Cons!CQ$75</f>
        <v>0</v>
      </c>
      <c r="CR63" s="539">
        <f>Cons!CR$75</f>
        <v>0</v>
      </c>
      <c r="CS63" s="539">
        <f>Cons!CS$75</f>
        <v>0</v>
      </c>
      <c r="CT63" s="539">
        <f>Cons!CT$75</f>
        <v>0</v>
      </c>
      <c r="CU63" s="539">
        <f>Cons!CU$75</f>
        <v>0</v>
      </c>
      <c r="CV63" s="539">
        <f>Cons!CV$75</f>
        <v>0</v>
      </c>
      <c r="CW63" s="539">
        <f>Cons!CW$75</f>
        <v>0</v>
      </c>
      <c r="CX63" s="539">
        <f>Cons!CX$75</f>
        <v>0</v>
      </c>
      <c r="CY63" s="539">
        <f>Cons!CY$75</f>
        <v>0</v>
      </c>
      <c r="CZ63" s="539">
        <f>Cons!CZ$75</f>
        <v>0</v>
      </c>
      <c r="DA63" s="539">
        <f>Cons!DA$75</f>
        <v>0</v>
      </c>
      <c r="DB63" s="539">
        <f>Cons!DB$75</f>
        <v>0</v>
      </c>
      <c r="DC63" s="539">
        <f>Cons!DC$75</f>
        <v>0</v>
      </c>
      <c r="DD63" s="539">
        <f>Cons!DD$75</f>
        <v>0</v>
      </c>
      <c r="DE63" s="539">
        <f>Cons!DE$75</f>
        <v>0</v>
      </c>
      <c r="DF63" s="539">
        <f>Cons!DF$75</f>
        <v>0</v>
      </c>
      <c r="DG63" s="539">
        <f>Cons!DG$75</f>
        <v>0</v>
      </c>
      <c r="DH63" s="539">
        <f>Cons!DH$75</f>
        <v>0</v>
      </c>
      <c r="DI63" s="539">
        <f>Cons!DI$75</f>
        <v>0</v>
      </c>
      <c r="DJ63" s="539">
        <f>Cons!DJ$75</f>
        <v>0</v>
      </c>
      <c r="DK63" s="539">
        <f>Cons!DK$75</f>
        <v>0</v>
      </c>
      <c r="DL63" s="539">
        <f>Cons!DL$75</f>
        <v>0</v>
      </c>
      <c r="DM63" s="539">
        <f>Cons!DM$75</f>
        <v>0</v>
      </c>
      <c r="DN63" s="539">
        <f>Cons!DN$75</f>
        <v>0</v>
      </c>
      <c r="DO63" s="539">
        <f>Cons!DO$75</f>
        <v>0</v>
      </c>
      <c r="DP63" s="539">
        <f>Cons!DP$75</f>
        <v>0</v>
      </c>
      <c r="DQ63" s="539">
        <f>Cons!DQ$75</f>
        <v>0</v>
      </c>
      <c r="DR63" s="539">
        <f>Cons!DR$75</f>
        <v>0</v>
      </c>
      <c r="DS63" s="539">
        <f>Cons!DS$75</f>
        <v>0</v>
      </c>
      <c r="DT63" s="539">
        <f>Cons!DT$75</f>
        <v>0</v>
      </c>
      <c r="DU63" s="539">
        <f>Cons!DU$75</f>
        <v>0</v>
      </c>
      <c r="DV63" s="539">
        <f>Cons!DV$75</f>
        <v>0</v>
      </c>
      <c r="DW63" s="539">
        <f>Cons!DW$75</f>
        <v>0</v>
      </c>
      <c r="DX63" s="539">
        <f>Cons!DX$75</f>
        <v>0</v>
      </c>
      <c r="DY63" s="539">
        <f>Cons!DY$75</f>
        <v>0</v>
      </c>
      <c r="DZ63" s="539">
        <f>Cons!DZ$75</f>
        <v>0</v>
      </c>
      <c r="EA63" s="539">
        <f>Cons!EA$75</f>
        <v>0</v>
      </c>
      <c r="EB63" s="539">
        <f>Cons!EB$75</f>
        <v>0</v>
      </c>
      <c r="EC63" s="539">
        <f>Cons!EC$75</f>
        <v>0</v>
      </c>
      <c r="ED63" s="539">
        <f>Cons!ED$75</f>
        <v>0</v>
      </c>
      <c r="EE63" s="539">
        <f>Cons!EE$75</f>
        <v>0</v>
      </c>
      <c r="EF63" s="539">
        <f>Cons!EF$75</f>
        <v>0</v>
      </c>
      <c r="EG63" s="539">
        <f>Cons!EG$75</f>
        <v>0</v>
      </c>
    </row>
    <row r="64" spans="5:137" ht="12.75">
      <c r="E64" s="538" t="str">
        <f>Cons!E$96</f>
        <v>VAT facility - interest in operations</v>
      </c>
      <c r="G64" s="539" t="str">
        <f>Cons!G$96</f>
        <v>EUR 000s</v>
      </c>
      <c r="H64" s="539">
        <f>Cons!H$96</f>
        <v>33.995958904109585</v>
      </c>
      <c r="J64" s="539">
        <f>Cons!J$96</f>
        <v>0</v>
      </c>
      <c r="K64" s="539">
        <f>Cons!K$96</f>
        <v>0</v>
      </c>
      <c r="L64" s="539">
        <f>Cons!L$96</f>
        <v>0</v>
      </c>
      <c r="M64" s="539">
        <f>Cons!M$96</f>
        <v>0</v>
      </c>
      <c r="N64" s="539">
        <f>Cons!N$96</f>
        <v>0</v>
      </c>
      <c r="O64" s="539">
        <f>Cons!O$96</f>
        <v>0</v>
      </c>
      <c r="P64" s="539">
        <f>Cons!P$96</f>
        <v>0</v>
      </c>
      <c r="Q64" s="539">
        <f>Cons!Q$96</f>
        <v>0</v>
      </c>
      <c r="R64" s="539">
        <f>Cons!R$96</f>
        <v>0</v>
      </c>
      <c r="S64" s="539">
        <f>Cons!S$96</f>
        <v>0</v>
      </c>
      <c r="T64" s="539">
        <f>Cons!T$96</f>
        <v>0</v>
      </c>
      <c r="U64" s="539">
        <f>Cons!U$96</f>
        <v>0</v>
      </c>
      <c r="V64" s="539">
        <f>Cons!V$96</f>
        <v>0</v>
      </c>
      <c r="W64" s="539">
        <f>Cons!W$96</f>
        <v>0</v>
      </c>
      <c r="X64" s="539">
        <f>Cons!X$96</f>
        <v>0</v>
      </c>
      <c r="Y64" s="539">
        <f>Cons!Y$96</f>
        <v>0</v>
      </c>
      <c r="Z64" s="539">
        <f>Cons!Z$96</f>
        <v>0</v>
      </c>
      <c r="AA64" s="539">
        <f>Cons!AA$96</f>
        <v>0</v>
      </c>
      <c r="AB64" s="539">
        <f>Cons!AB$96</f>
        <v>0</v>
      </c>
      <c r="AC64" s="539">
        <f>Cons!AC$96</f>
        <v>0</v>
      </c>
      <c r="AD64" s="539">
        <f>Cons!AD$96</f>
        <v>0</v>
      </c>
      <c r="AE64" s="539">
        <f>Cons!AE$96</f>
        <v>0</v>
      </c>
      <c r="AF64" s="539">
        <f>Cons!AF$96</f>
        <v>0</v>
      </c>
      <c r="AG64" s="539">
        <f>Cons!AG$96</f>
        <v>0</v>
      </c>
      <c r="AH64" s="539">
        <f>Cons!AH$96</f>
        <v>33.995958904109585</v>
      </c>
      <c r="AI64" s="539">
        <f>Cons!AI$96</f>
        <v>0</v>
      </c>
      <c r="AJ64" s="539">
        <f>Cons!AJ$96</f>
        <v>0</v>
      </c>
      <c r="AK64" s="539">
        <f>Cons!AK$96</f>
        <v>0</v>
      </c>
      <c r="AL64" s="539">
        <f>Cons!AL$96</f>
        <v>0</v>
      </c>
      <c r="AM64" s="539">
        <f>Cons!AM$96</f>
        <v>0</v>
      </c>
      <c r="AN64" s="539">
        <f>Cons!AN$96</f>
        <v>0</v>
      </c>
      <c r="AO64" s="539">
        <f>Cons!AO$96</f>
        <v>0</v>
      </c>
      <c r="AP64" s="539">
        <f>Cons!AP$96</f>
        <v>0</v>
      </c>
      <c r="AQ64" s="539">
        <f>Cons!AQ$96</f>
        <v>0</v>
      </c>
      <c r="AR64" s="539">
        <f>Cons!AR$96</f>
        <v>0</v>
      </c>
      <c r="AS64" s="539">
        <f>Cons!AS$96</f>
        <v>0</v>
      </c>
      <c r="AT64" s="539">
        <f>Cons!AT$96</f>
        <v>0</v>
      </c>
      <c r="AU64" s="539">
        <f>Cons!AU$96</f>
        <v>0</v>
      </c>
      <c r="AV64" s="539">
        <f>Cons!AV$96</f>
        <v>0</v>
      </c>
      <c r="AW64" s="539">
        <f>Cons!AW$96</f>
        <v>0</v>
      </c>
      <c r="AX64" s="539">
        <f>Cons!AX$96</f>
        <v>0</v>
      </c>
      <c r="AY64" s="539">
        <f>Cons!AY$96</f>
        <v>0</v>
      </c>
      <c r="AZ64" s="539">
        <f>Cons!AZ$96</f>
        <v>0</v>
      </c>
      <c r="BA64" s="539">
        <f>Cons!BA$96</f>
        <v>0</v>
      </c>
      <c r="BB64" s="539">
        <f>Cons!BB$96</f>
        <v>0</v>
      </c>
      <c r="BC64" s="539">
        <f>Cons!BC$96</f>
        <v>0</v>
      </c>
      <c r="BD64" s="539">
        <f>Cons!BD$96</f>
        <v>0</v>
      </c>
      <c r="BE64" s="539">
        <f>Cons!BE$96</f>
        <v>0</v>
      </c>
      <c r="BF64" s="539">
        <f>Cons!BF$96</f>
        <v>0</v>
      </c>
      <c r="BG64" s="539">
        <f>Cons!BG$96</f>
        <v>0</v>
      </c>
      <c r="BH64" s="539">
        <f>Cons!BH$96</f>
        <v>0</v>
      </c>
      <c r="BI64" s="539">
        <f>Cons!BI$96</f>
        <v>0</v>
      </c>
      <c r="BJ64" s="539">
        <f>Cons!BJ$96</f>
        <v>0</v>
      </c>
      <c r="BK64" s="539">
        <f>Cons!BK$96</f>
        <v>0</v>
      </c>
      <c r="BL64" s="539">
        <f>Cons!BL$96</f>
        <v>0</v>
      </c>
      <c r="BM64" s="539">
        <f>Cons!BM$96</f>
        <v>0</v>
      </c>
      <c r="BN64" s="539">
        <f>Cons!BN$96</f>
        <v>0</v>
      </c>
      <c r="BO64" s="539">
        <f>Cons!BO$96</f>
        <v>0</v>
      </c>
      <c r="BP64" s="539">
        <f>Cons!BP$96</f>
        <v>0</v>
      </c>
      <c r="BQ64" s="539">
        <f>Cons!BQ$96</f>
        <v>0</v>
      </c>
      <c r="BR64" s="539">
        <f>Cons!BR$96</f>
        <v>0</v>
      </c>
      <c r="BS64" s="539">
        <f>Cons!BS$96</f>
        <v>0</v>
      </c>
      <c r="BT64" s="539">
        <f>Cons!BT$96</f>
        <v>0</v>
      </c>
      <c r="BU64" s="539">
        <f>Cons!BU$96</f>
        <v>0</v>
      </c>
      <c r="BV64" s="539">
        <f>Cons!BV$96</f>
        <v>0</v>
      </c>
      <c r="BW64" s="539">
        <f>Cons!BW$96</f>
        <v>0</v>
      </c>
      <c r="BX64" s="539">
        <f>Cons!BX$96</f>
        <v>0</v>
      </c>
      <c r="BY64" s="539">
        <f>Cons!BY$96</f>
        <v>0</v>
      </c>
      <c r="BZ64" s="539">
        <f>Cons!BZ$96</f>
        <v>0</v>
      </c>
      <c r="CA64" s="539">
        <f>Cons!CA$96</f>
        <v>0</v>
      </c>
      <c r="CB64" s="539">
        <f>Cons!CB$96</f>
        <v>0</v>
      </c>
      <c r="CC64" s="539">
        <f>Cons!CC$96</f>
        <v>0</v>
      </c>
      <c r="CD64" s="539">
        <f>Cons!CD$96</f>
        <v>0</v>
      </c>
      <c r="CE64" s="539">
        <f>Cons!CE$96</f>
        <v>0</v>
      </c>
      <c r="CF64" s="539">
        <f>Cons!CF$96</f>
        <v>0</v>
      </c>
      <c r="CG64" s="539">
        <f>Cons!CG$96</f>
        <v>0</v>
      </c>
      <c r="CH64" s="539">
        <f>Cons!CH$96</f>
        <v>0</v>
      </c>
      <c r="CI64" s="539">
        <f>Cons!CI$96</f>
        <v>0</v>
      </c>
      <c r="CJ64" s="539">
        <f>Cons!CJ$96</f>
        <v>0</v>
      </c>
      <c r="CK64" s="539">
        <f>Cons!CK$96</f>
        <v>0</v>
      </c>
      <c r="CL64" s="539">
        <f>Cons!CL$96</f>
        <v>0</v>
      </c>
      <c r="CM64" s="539">
        <f>Cons!CM$96</f>
        <v>0</v>
      </c>
      <c r="CN64" s="539">
        <f>Cons!CN$96</f>
        <v>0</v>
      </c>
      <c r="CO64" s="539">
        <f>Cons!CO$96</f>
        <v>0</v>
      </c>
      <c r="CP64" s="539">
        <f>Cons!CP$96</f>
        <v>0</v>
      </c>
      <c r="CQ64" s="539">
        <f>Cons!CQ$96</f>
        <v>0</v>
      </c>
      <c r="CR64" s="539">
        <f>Cons!CR$96</f>
        <v>0</v>
      </c>
      <c r="CS64" s="539">
        <f>Cons!CS$96</f>
        <v>0</v>
      </c>
      <c r="CT64" s="539">
        <f>Cons!CT$96</f>
        <v>0</v>
      </c>
      <c r="CU64" s="539">
        <f>Cons!CU$96</f>
        <v>0</v>
      </c>
      <c r="CV64" s="539">
        <f>Cons!CV$96</f>
        <v>0</v>
      </c>
      <c r="CW64" s="539">
        <f>Cons!CW$96</f>
        <v>0</v>
      </c>
      <c r="CX64" s="539">
        <f>Cons!CX$96</f>
        <v>0</v>
      </c>
      <c r="CY64" s="539">
        <f>Cons!CY$96</f>
        <v>0</v>
      </c>
      <c r="CZ64" s="539">
        <f>Cons!CZ$96</f>
        <v>0</v>
      </c>
      <c r="DA64" s="539">
        <f>Cons!DA$96</f>
        <v>0</v>
      </c>
      <c r="DB64" s="539">
        <f>Cons!DB$96</f>
        <v>0</v>
      </c>
      <c r="DC64" s="539">
        <f>Cons!DC$96</f>
        <v>0</v>
      </c>
      <c r="DD64" s="539">
        <f>Cons!DD$96</f>
        <v>0</v>
      </c>
      <c r="DE64" s="539">
        <f>Cons!DE$96</f>
        <v>0</v>
      </c>
      <c r="DF64" s="539">
        <f>Cons!DF$96</f>
        <v>0</v>
      </c>
      <c r="DG64" s="539">
        <f>Cons!DG$96</f>
        <v>0</v>
      </c>
      <c r="DH64" s="539">
        <f>Cons!DH$96</f>
        <v>0</v>
      </c>
      <c r="DI64" s="539">
        <f>Cons!DI$96</f>
        <v>0</v>
      </c>
      <c r="DJ64" s="539">
        <f>Cons!DJ$96</f>
        <v>0</v>
      </c>
      <c r="DK64" s="539">
        <f>Cons!DK$96</f>
        <v>0</v>
      </c>
      <c r="DL64" s="539">
        <f>Cons!DL$96</f>
        <v>0</v>
      </c>
      <c r="DM64" s="539">
        <f>Cons!DM$96</f>
        <v>0</v>
      </c>
      <c r="DN64" s="539">
        <f>Cons!DN$96</f>
        <v>0</v>
      </c>
      <c r="DO64" s="539">
        <f>Cons!DO$96</f>
        <v>0</v>
      </c>
      <c r="DP64" s="539">
        <f>Cons!DP$96</f>
        <v>0</v>
      </c>
      <c r="DQ64" s="539">
        <f>Cons!DQ$96</f>
        <v>0</v>
      </c>
      <c r="DR64" s="539">
        <f>Cons!DR$96</f>
        <v>0</v>
      </c>
      <c r="DS64" s="539">
        <f>Cons!DS$96</f>
        <v>0</v>
      </c>
      <c r="DT64" s="539">
        <f>Cons!DT$96</f>
        <v>0</v>
      </c>
      <c r="DU64" s="539">
        <f>Cons!DU$96</f>
        <v>0</v>
      </c>
      <c r="DV64" s="539">
        <f>Cons!DV$96</f>
        <v>0</v>
      </c>
      <c r="DW64" s="539">
        <f>Cons!DW$96</f>
        <v>0</v>
      </c>
      <c r="DX64" s="539">
        <f>Cons!DX$96</f>
        <v>0</v>
      </c>
      <c r="DY64" s="539">
        <f>Cons!DY$96</f>
        <v>0</v>
      </c>
      <c r="DZ64" s="539">
        <f>Cons!DZ$96</f>
        <v>0</v>
      </c>
      <c r="EA64" s="539">
        <f>Cons!EA$96</f>
        <v>0</v>
      </c>
      <c r="EB64" s="539">
        <f>Cons!EB$96</f>
        <v>0</v>
      </c>
      <c r="EC64" s="539">
        <f>Cons!EC$96</f>
        <v>0</v>
      </c>
      <c r="ED64" s="539">
        <f>Cons!ED$96</f>
        <v>0</v>
      </c>
      <c r="EE64" s="539">
        <f>Cons!EE$96</f>
        <v>0</v>
      </c>
      <c r="EF64" s="539">
        <f>Cons!EF$96</f>
        <v>0</v>
      </c>
      <c r="EG64" s="539">
        <f>Cons!EG$96</f>
        <v>0</v>
      </c>
    </row>
    <row r="65" spans="5:137" ht="12.75">
      <c r="E65" s="538" t="str">
        <f>Cons!E$144</f>
        <v>Junior facility - drawdown</v>
      </c>
      <c r="G65" s="539" t="str">
        <f>Cons!G$144</f>
        <v>EUR 000s</v>
      </c>
      <c r="H65" s="539">
        <f>Cons!H$144</f>
        <v>25289.902618405918</v>
      </c>
      <c r="J65" s="539">
        <f>Cons!J$144</f>
        <v>0</v>
      </c>
      <c r="K65" s="539">
        <f>Cons!K$144</f>
        <v>0</v>
      </c>
      <c r="L65" s="539">
        <f>Cons!L$144</f>
        <v>0</v>
      </c>
      <c r="M65" s="539">
        <f>Cons!M$144</f>
        <v>0</v>
      </c>
      <c r="N65" s="539">
        <f>Cons!N$144</f>
        <v>0</v>
      </c>
      <c r="O65" s="539">
        <f>Cons!O$144</f>
        <v>0</v>
      </c>
      <c r="P65" s="539">
        <f>Cons!P$144</f>
        <v>0</v>
      </c>
      <c r="Q65" s="539">
        <f>Cons!Q$144</f>
        <v>9524.2618544395227</v>
      </c>
      <c r="R65" s="539">
        <f>Cons!R$144</f>
        <v>15765.640763966396</v>
      </c>
      <c r="S65" s="539">
        <f>Cons!S$144</f>
        <v>0</v>
      </c>
      <c r="T65" s="539">
        <f>Cons!T$144</f>
        <v>0</v>
      </c>
      <c r="U65" s="539">
        <f>Cons!U$144</f>
        <v>0</v>
      </c>
      <c r="V65" s="539">
        <f>Cons!V$144</f>
        <v>0</v>
      </c>
      <c r="W65" s="539">
        <f>Cons!W$144</f>
        <v>0</v>
      </c>
      <c r="X65" s="539">
        <f>Cons!X$144</f>
        <v>0</v>
      </c>
      <c r="Y65" s="539">
        <f>Cons!Y$144</f>
        <v>0</v>
      </c>
      <c r="Z65" s="539">
        <f>Cons!Z$144</f>
        <v>0</v>
      </c>
      <c r="AA65" s="539">
        <f>Cons!AA$144</f>
        <v>0</v>
      </c>
      <c r="AB65" s="539">
        <f>Cons!AB$144</f>
        <v>0</v>
      </c>
      <c r="AC65" s="539">
        <f>Cons!AC$144</f>
        <v>0</v>
      </c>
      <c r="AD65" s="539">
        <f>Cons!AD$144</f>
        <v>0</v>
      </c>
      <c r="AE65" s="539">
        <f>Cons!AE$144</f>
        <v>0</v>
      </c>
      <c r="AF65" s="539">
        <f>Cons!AF$144</f>
        <v>0</v>
      </c>
      <c r="AG65" s="539">
        <f>Cons!AG$144</f>
        <v>0</v>
      </c>
      <c r="AH65" s="539">
        <f>Cons!AH$144</f>
        <v>0</v>
      </c>
      <c r="AI65" s="539">
        <f>Cons!AI$144</f>
        <v>0</v>
      </c>
      <c r="AJ65" s="539">
        <f>Cons!AJ$144</f>
        <v>0</v>
      </c>
      <c r="AK65" s="539">
        <f>Cons!AK$144</f>
        <v>0</v>
      </c>
      <c r="AL65" s="539">
        <f>Cons!AL$144</f>
        <v>0</v>
      </c>
      <c r="AM65" s="539">
        <f>Cons!AM$144</f>
        <v>0</v>
      </c>
      <c r="AN65" s="539">
        <f>Cons!AN$144</f>
        <v>0</v>
      </c>
      <c r="AO65" s="539">
        <f>Cons!AO$144</f>
        <v>0</v>
      </c>
      <c r="AP65" s="539">
        <f>Cons!AP$144</f>
        <v>0</v>
      </c>
      <c r="AQ65" s="539">
        <f>Cons!AQ$144</f>
        <v>0</v>
      </c>
      <c r="AR65" s="539">
        <f>Cons!AR$144</f>
        <v>0</v>
      </c>
      <c r="AS65" s="539">
        <f>Cons!AS$144</f>
        <v>0</v>
      </c>
      <c r="AT65" s="539">
        <f>Cons!AT$144</f>
        <v>0</v>
      </c>
      <c r="AU65" s="539">
        <f>Cons!AU$144</f>
        <v>0</v>
      </c>
      <c r="AV65" s="539">
        <f>Cons!AV$144</f>
        <v>0</v>
      </c>
      <c r="AW65" s="539">
        <f>Cons!AW$144</f>
        <v>0</v>
      </c>
      <c r="AX65" s="539">
        <f>Cons!AX$144</f>
        <v>0</v>
      </c>
      <c r="AY65" s="539">
        <f>Cons!AY$144</f>
        <v>0</v>
      </c>
      <c r="AZ65" s="539">
        <f>Cons!AZ$144</f>
        <v>0</v>
      </c>
      <c r="BA65" s="539">
        <f>Cons!BA$144</f>
        <v>0</v>
      </c>
      <c r="BB65" s="539">
        <f>Cons!BB$144</f>
        <v>0</v>
      </c>
      <c r="BC65" s="539">
        <f>Cons!BC$144</f>
        <v>0</v>
      </c>
      <c r="BD65" s="539">
        <f>Cons!BD$144</f>
        <v>0</v>
      </c>
      <c r="BE65" s="539">
        <f>Cons!BE$144</f>
        <v>0</v>
      </c>
      <c r="BF65" s="539">
        <f>Cons!BF$144</f>
        <v>0</v>
      </c>
      <c r="BG65" s="539">
        <f>Cons!BG$144</f>
        <v>0</v>
      </c>
      <c r="BH65" s="539">
        <f>Cons!BH$144</f>
        <v>0</v>
      </c>
      <c r="BI65" s="539">
        <f>Cons!BI$144</f>
        <v>0</v>
      </c>
      <c r="BJ65" s="539">
        <f>Cons!BJ$144</f>
        <v>0</v>
      </c>
      <c r="BK65" s="539">
        <f>Cons!BK$144</f>
        <v>0</v>
      </c>
      <c r="BL65" s="539">
        <f>Cons!BL$144</f>
        <v>0</v>
      </c>
      <c r="BM65" s="539">
        <f>Cons!BM$144</f>
        <v>0</v>
      </c>
      <c r="BN65" s="539">
        <f>Cons!BN$144</f>
        <v>0</v>
      </c>
      <c r="BO65" s="539">
        <f>Cons!BO$144</f>
        <v>0</v>
      </c>
      <c r="BP65" s="539">
        <f>Cons!BP$144</f>
        <v>0</v>
      </c>
      <c r="BQ65" s="539">
        <f>Cons!BQ$144</f>
        <v>0</v>
      </c>
      <c r="BR65" s="539">
        <f>Cons!BR$144</f>
        <v>0</v>
      </c>
      <c r="BS65" s="539">
        <f>Cons!BS$144</f>
        <v>0</v>
      </c>
      <c r="BT65" s="539">
        <f>Cons!BT$144</f>
        <v>0</v>
      </c>
      <c r="BU65" s="539">
        <f>Cons!BU$144</f>
        <v>0</v>
      </c>
      <c r="BV65" s="539">
        <f>Cons!BV$144</f>
        <v>0</v>
      </c>
      <c r="BW65" s="539">
        <f>Cons!BW$144</f>
        <v>0</v>
      </c>
      <c r="BX65" s="539">
        <f>Cons!BX$144</f>
        <v>0</v>
      </c>
      <c r="BY65" s="539">
        <f>Cons!BY$144</f>
        <v>0</v>
      </c>
      <c r="BZ65" s="539">
        <f>Cons!BZ$144</f>
        <v>0</v>
      </c>
      <c r="CA65" s="539">
        <f>Cons!CA$144</f>
        <v>0</v>
      </c>
      <c r="CB65" s="539">
        <f>Cons!CB$144</f>
        <v>0</v>
      </c>
      <c r="CC65" s="539">
        <f>Cons!CC$144</f>
        <v>0</v>
      </c>
      <c r="CD65" s="539">
        <f>Cons!CD$144</f>
        <v>0</v>
      </c>
      <c r="CE65" s="539">
        <f>Cons!CE$144</f>
        <v>0</v>
      </c>
      <c r="CF65" s="539">
        <f>Cons!CF$144</f>
        <v>0</v>
      </c>
      <c r="CG65" s="539">
        <f>Cons!CG$144</f>
        <v>0</v>
      </c>
      <c r="CH65" s="539">
        <f>Cons!CH$144</f>
        <v>0</v>
      </c>
      <c r="CI65" s="539">
        <f>Cons!CI$144</f>
        <v>0</v>
      </c>
      <c r="CJ65" s="539">
        <f>Cons!CJ$144</f>
        <v>0</v>
      </c>
      <c r="CK65" s="539">
        <f>Cons!CK$144</f>
        <v>0</v>
      </c>
      <c r="CL65" s="539">
        <f>Cons!CL$144</f>
        <v>0</v>
      </c>
      <c r="CM65" s="539">
        <f>Cons!CM$144</f>
        <v>0</v>
      </c>
      <c r="CN65" s="539">
        <f>Cons!CN$144</f>
        <v>0</v>
      </c>
      <c r="CO65" s="539">
        <f>Cons!CO$144</f>
        <v>0</v>
      </c>
      <c r="CP65" s="539">
        <f>Cons!CP$144</f>
        <v>0</v>
      </c>
      <c r="CQ65" s="539">
        <f>Cons!CQ$144</f>
        <v>0</v>
      </c>
      <c r="CR65" s="539">
        <f>Cons!CR$144</f>
        <v>0</v>
      </c>
      <c r="CS65" s="539">
        <f>Cons!CS$144</f>
        <v>0</v>
      </c>
      <c r="CT65" s="539">
        <f>Cons!CT$144</f>
        <v>0</v>
      </c>
      <c r="CU65" s="539">
        <f>Cons!CU$144</f>
        <v>0</v>
      </c>
      <c r="CV65" s="539">
        <f>Cons!CV$144</f>
        <v>0</v>
      </c>
      <c r="CW65" s="539">
        <f>Cons!CW$144</f>
        <v>0</v>
      </c>
      <c r="CX65" s="539">
        <f>Cons!CX$144</f>
        <v>0</v>
      </c>
      <c r="CY65" s="539">
        <f>Cons!CY$144</f>
        <v>0</v>
      </c>
      <c r="CZ65" s="539">
        <f>Cons!CZ$144</f>
        <v>0</v>
      </c>
      <c r="DA65" s="539">
        <f>Cons!DA$144</f>
        <v>0</v>
      </c>
      <c r="DB65" s="539">
        <f>Cons!DB$144</f>
        <v>0</v>
      </c>
      <c r="DC65" s="539">
        <f>Cons!DC$144</f>
        <v>0</v>
      </c>
      <c r="DD65" s="539">
        <f>Cons!DD$144</f>
        <v>0</v>
      </c>
      <c r="DE65" s="539">
        <f>Cons!DE$144</f>
        <v>0</v>
      </c>
      <c r="DF65" s="539">
        <f>Cons!DF$144</f>
        <v>0</v>
      </c>
      <c r="DG65" s="539">
        <f>Cons!DG$144</f>
        <v>0</v>
      </c>
      <c r="DH65" s="539">
        <f>Cons!DH$144</f>
        <v>0</v>
      </c>
      <c r="DI65" s="539">
        <f>Cons!DI$144</f>
        <v>0</v>
      </c>
      <c r="DJ65" s="539">
        <f>Cons!DJ$144</f>
        <v>0</v>
      </c>
      <c r="DK65" s="539">
        <f>Cons!DK$144</f>
        <v>0</v>
      </c>
      <c r="DL65" s="539">
        <f>Cons!DL$144</f>
        <v>0</v>
      </c>
      <c r="DM65" s="539">
        <f>Cons!DM$144</f>
        <v>0</v>
      </c>
      <c r="DN65" s="539">
        <f>Cons!DN$144</f>
        <v>0</v>
      </c>
      <c r="DO65" s="539">
        <f>Cons!DO$144</f>
        <v>0</v>
      </c>
      <c r="DP65" s="539">
        <f>Cons!DP$144</f>
        <v>0</v>
      </c>
      <c r="DQ65" s="539">
        <f>Cons!DQ$144</f>
        <v>0</v>
      </c>
      <c r="DR65" s="539">
        <f>Cons!DR$144</f>
        <v>0</v>
      </c>
      <c r="DS65" s="539">
        <f>Cons!DS$144</f>
        <v>0</v>
      </c>
      <c r="DT65" s="539">
        <f>Cons!DT$144</f>
        <v>0</v>
      </c>
      <c r="DU65" s="539">
        <f>Cons!DU$144</f>
        <v>0</v>
      </c>
      <c r="DV65" s="539">
        <f>Cons!DV$144</f>
        <v>0</v>
      </c>
      <c r="DW65" s="539">
        <f>Cons!DW$144</f>
        <v>0</v>
      </c>
      <c r="DX65" s="539">
        <f>Cons!DX$144</f>
        <v>0</v>
      </c>
      <c r="DY65" s="539">
        <f>Cons!DY$144</f>
        <v>0</v>
      </c>
      <c r="DZ65" s="539">
        <f>Cons!DZ$144</f>
        <v>0</v>
      </c>
      <c r="EA65" s="539">
        <f>Cons!EA$144</f>
        <v>0</v>
      </c>
      <c r="EB65" s="539">
        <f>Cons!EB$144</f>
        <v>0</v>
      </c>
      <c r="EC65" s="539">
        <f>Cons!EC$144</f>
        <v>0</v>
      </c>
      <c r="ED65" s="539">
        <f>Cons!ED$144</f>
        <v>0</v>
      </c>
      <c r="EE65" s="539">
        <f>Cons!EE$144</f>
        <v>0</v>
      </c>
      <c r="EF65" s="539">
        <f>Cons!EF$144</f>
        <v>0</v>
      </c>
      <c r="EG65" s="539">
        <f>Cons!EG$144</f>
        <v>0</v>
      </c>
    </row>
    <row r="66" spans="5:137" ht="12.75">
      <c r="E66" s="538" t="str">
        <f>Cons!E$149</f>
        <v>Senior facility - drawdown</v>
      </c>
      <c r="G66" s="539" t="str">
        <f>Cons!G$149</f>
        <v>EUR 000s</v>
      </c>
      <c r="H66" s="539">
        <f>Cons!H$149</f>
        <v>221286.6479110517</v>
      </c>
      <c r="J66" s="539">
        <f>Cons!J$149</f>
        <v>0</v>
      </c>
      <c r="K66" s="539">
        <f>Cons!K$149</f>
        <v>0</v>
      </c>
      <c r="L66" s="539">
        <f>Cons!L$149</f>
        <v>0</v>
      </c>
      <c r="M66" s="539">
        <f>Cons!M$149</f>
        <v>0</v>
      </c>
      <c r="N66" s="539">
        <f>Cons!N$149</f>
        <v>0</v>
      </c>
      <c r="O66" s="539">
        <f>Cons!O$149</f>
        <v>0</v>
      </c>
      <c r="P66" s="539">
        <f>Cons!P$149</f>
        <v>-1.8189894035458565E-12</v>
      </c>
      <c r="Q66" s="539">
        <f>Cons!Q$149</f>
        <v>0</v>
      </c>
      <c r="R66" s="539">
        <f>Cons!R$149</f>
        <v>1382.3281928992874</v>
      </c>
      <c r="S66" s="539">
        <f>Cons!S$149</f>
        <v>17980.844765662525</v>
      </c>
      <c r="T66" s="539">
        <f>Cons!T$149</f>
        <v>18373.00855600759</v>
      </c>
      <c r="U66" s="539">
        <f>Cons!U$149</f>
        <v>18794.294603184764</v>
      </c>
      <c r="V66" s="539">
        <f>Cons!V$149</f>
        <v>17560.929412437468</v>
      </c>
      <c r="W66" s="539">
        <f>Cons!W$149</f>
        <v>17427.529348846478</v>
      </c>
      <c r="X66" s="539">
        <f>Cons!X$149</f>
        <v>15736.56271752895</v>
      </c>
      <c r="Y66" s="539">
        <f>Cons!Y$149</f>
        <v>13805.731154549694</v>
      </c>
      <c r="Z66" s="539">
        <f>Cons!Z$149</f>
        <v>12901.477428191107</v>
      </c>
      <c r="AA66" s="539">
        <f>Cons!AA$149</f>
        <v>14399.761727471965</v>
      </c>
      <c r="AB66" s="539">
        <f>Cons!AB$149</f>
        <v>15143.672002923853</v>
      </c>
      <c r="AC66" s="539">
        <f>Cons!AC$149</f>
        <v>15043.412380382597</v>
      </c>
      <c r="AD66" s="539">
        <f>Cons!AD$149</f>
        <v>13719.08131146606</v>
      </c>
      <c r="AE66" s="539">
        <f>Cons!AE$149</f>
        <v>8683.3953250207269</v>
      </c>
      <c r="AF66" s="539">
        <f>Cons!AF$149</f>
        <v>6872.7289999061568</v>
      </c>
      <c r="AG66" s="539">
        <f>Cons!AG$149</f>
        <v>13461.889984572472</v>
      </c>
      <c r="AH66" s="539">
        <f>Cons!AH$149</f>
        <v>0</v>
      </c>
      <c r="AI66" s="539">
        <f>Cons!AI$149</f>
        <v>0</v>
      </c>
      <c r="AJ66" s="539">
        <f>Cons!AJ$149</f>
        <v>0</v>
      </c>
      <c r="AK66" s="539">
        <f>Cons!AK$149</f>
        <v>0</v>
      </c>
      <c r="AL66" s="539">
        <f>Cons!AL$149</f>
        <v>0</v>
      </c>
      <c r="AM66" s="539">
        <f>Cons!AM$149</f>
        <v>0</v>
      </c>
      <c r="AN66" s="539">
        <f>Cons!AN$149</f>
        <v>0</v>
      </c>
      <c r="AO66" s="539">
        <f>Cons!AO$149</f>
        <v>0</v>
      </c>
      <c r="AP66" s="539">
        <f>Cons!AP$149</f>
        <v>0</v>
      </c>
      <c r="AQ66" s="539">
        <f>Cons!AQ$149</f>
        <v>0</v>
      </c>
      <c r="AR66" s="539">
        <f>Cons!AR$149</f>
        <v>0</v>
      </c>
      <c r="AS66" s="539">
        <f>Cons!AS$149</f>
        <v>0</v>
      </c>
      <c r="AT66" s="539">
        <f>Cons!AT$149</f>
        <v>0</v>
      </c>
      <c r="AU66" s="539">
        <f>Cons!AU$149</f>
        <v>0</v>
      </c>
      <c r="AV66" s="539">
        <f>Cons!AV$149</f>
        <v>0</v>
      </c>
      <c r="AW66" s="539">
        <f>Cons!AW$149</f>
        <v>0</v>
      </c>
      <c r="AX66" s="539">
        <f>Cons!AX$149</f>
        <v>0</v>
      </c>
      <c r="AY66" s="539">
        <f>Cons!AY$149</f>
        <v>0</v>
      </c>
      <c r="AZ66" s="539">
        <f>Cons!AZ$149</f>
        <v>0</v>
      </c>
      <c r="BA66" s="539">
        <f>Cons!BA$149</f>
        <v>0</v>
      </c>
      <c r="BB66" s="539">
        <f>Cons!BB$149</f>
        <v>0</v>
      </c>
      <c r="BC66" s="539">
        <f>Cons!BC$149</f>
        <v>0</v>
      </c>
      <c r="BD66" s="539">
        <f>Cons!BD$149</f>
        <v>0</v>
      </c>
      <c r="BE66" s="539">
        <f>Cons!BE$149</f>
        <v>0</v>
      </c>
      <c r="BF66" s="539">
        <f>Cons!BF$149</f>
        <v>0</v>
      </c>
      <c r="BG66" s="539">
        <f>Cons!BG$149</f>
        <v>0</v>
      </c>
      <c r="BH66" s="539">
        <f>Cons!BH$149</f>
        <v>0</v>
      </c>
      <c r="BI66" s="539">
        <f>Cons!BI$149</f>
        <v>0</v>
      </c>
      <c r="BJ66" s="539">
        <f>Cons!BJ$149</f>
        <v>0</v>
      </c>
      <c r="BK66" s="539">
        <f>Cons!BK$149</f>
        <v>0</v>
      </c>
      <c r="BL66" s="539">
        <f>Cons!BL$149</f>
        <v>0</v>
      </c>
      <c r="BM66" s="539">
        <f>Cons!BM$149</f>
        <v>0</v>
      </c>
      <c r="BN66" s="539">
        <f>Cons!BN$149</f>
        <v>0</v>
      </c>
      <c r="BO66" s="539">
        <f>Cons!BO$149</f>
        <v>0</v>
      </c>
      <c r="BP66" s="539">
        <f>Cons!BP$149</f>
        <v>0</v>
      </c>
      <c r="BQ66" s="539">
        <f>Cons!BQ$149</f>
        <v>0</v>
      </c>
      <c r="BR66" s="539">
        <f>Cons!BR$149</f>
        <v>0</v>
      </c>
      <c r="BS66" s="539">
        <f>Cons!BS$149</f>
        <v>0</v>
      </c>
      <c r="BT66" s="539">
        <f>Cons!BT$149</f>
        <v>0</v>
      </c>
      <c r="BU66" s="539">
        <f>Cons!BU$149</f>
        <v>0</v>
      </c>
      <c r="BV66" s="539">
        <f>Cons!BV$149</f>
        <v>0</v>
      </c>
      <c r="BW66" s="539">
        <f>Cons!BW$149</f>
        <v>0</v>
      </c>
      <c r="BX66" s="539">
        <f>Cons!BX$149</f>
        <v>0</v>
      </c>
      <c r="BY66" s="539">
        <f>Cons!BY$149</f>
        <v>0</v>
      </c>
      <c r="BZ66" s="539">
        <f>Cons!BZ$149</f>
        <v>0</v>
      </c>
      <c r="CA66" s="539">
        <f>Cons!CA$149</f>
        <v>0</v>
      </c>
      <c r="CB66" s="539">
        <f>Cons!CB$149</f>
        <v>0</v>
      </c>
      <c r="CC66" s="539">
        <f>Cons!CC$149</f>
        <v>0</v>
      </c>
      <c r="CD66" s="539">
        <f>Cons!CD$149</f>
        <v>0</v>
      </c>
      <c r="CE66" s="539">
        <f>Cons!CE$149</f>
        <v>0</v>
      </c>
      <c r="CF66" s="539">
        <f>Cons!CF$149</f>
        <v>0</v>
      </c>
      <c r="CG66" s="539">
        <f>Cons!CG$149</f>
        <v>0</v>
      </c>
      <c r="CH66" s="539">
        <f>Cons!CH$149</f>
        <v>0</v>
      </c>
      <c r="CI66" s="539">
        <f>Cons!CI$149</f>
        <v>0</v>
      </c>
      <c r="CJ66" s="539">
        <f>Cons!CJ$149</f>
        <v>0</v>
      </c>
      <c r="CK66" s="539">
        <f>Cons!CK$149</f>
        <v>0</v>
      </c>
      <c r="CL66" s="539">
        <f>Cons!CL$149</f>
        <v>0</v>
      </c>
      <c r="CM66" s="539">
        <f>Cons!CM$149</f>
        <v>0</v>
      </c>
      <c r="CN66" s="539">
        <f>Cons!CN$149</f>
        <v>0</v>
      </c>
      <c r="CO66" s="539">
        <f>Cons!CO$149</f>
        <v>0</v>
      </c>
      <c r="CP66" s="539">
        <f>Cons!CP$149</f>
        <v>0</v>
      </c>
      <c r="CQ66" s="539">
        <f>Cons!CQ$149</f>
        <v>0</v>
      </c>
      <c r="CR66" s="539">
        <f>Cons!CR$149</f>
        <v>0</v>
      </c>
      <c r="CS66" s="539">
        <f>Cons!CS$149</f>
        <v>0</v>
      </c>
      <c r="CT66" s="539">
        <f>Cons!CT$149</f>
        <v>0</v>
      </c>
      <c r="CU66" s="539">
        <f>Cons!CU$149</f>
        <v>0</v>
      </c>
      <c r="CV66" s="539">
        <f>Cons!CV$149</f>
        <v>0</v>
      </c>
      <c r="CW66" s="539">
        <f>Cons!CW$149</f>
        <v>0</v>
      </c>
      <c r="CX66" s="539">
        <f>Cons!CX$149</f>
        <v>0</v>
      </c>
      <c r="CY66" s="539">
        <f>Cons!CY$149</f>
        <v>0</v>
      </c>
      <c r="CZ66" s="539">
        <f>Cons!CZ$149</f>
        <v>0</v>
      </c>
      <c r="DA66" s="539">
        <f>Cons!DA$149</f>
        <v>0</v>
      </c>
      <c r="DB66" s="539">
        <f>Cons!DB$149</f>
        <v>0</v>
      </c>
      <c r="DC66" s="539">
        <f>Cons!DC$149</f>
        <v>0</v>
      </c>
      <c r="DD66" s="539">
        <f>Cons!DD$149</f>
        <v>0</v>
      </c>
      <c r="DE66" s="539">
        <f>Cons!DE$149</f>
        <v>0</v>
      </c>
      <c r="DF66" s="539">
        <f>Cons!DF$149</f>
        <v>0</v>
      </c>
      <c r="DG66" s="539">
        <f>Cons!DG$149</f>
        <v>0</v>
      </c>
      <c r="DH66" s="539">
        <f>Cons!DH$149</f>
        <v>0</v>
      </c>
      <c r="DI66" s="539">
        <f>Cons!DI$149</f>
        <v>0</v>
      </c>
      <c r="DJ66" s="539">
        <f>Cons!DJ$149</f>
        <v>0</v>
      </c>
      <c r="DK66" s="539">
        <f>Cons!DK$149</f>
        <v>0</v>
      </c>
      <c r="DL66" s="539">
        <f>Cons!DL$149</f>
        <v>0</v>
      </c>
      <c r="DM66" s="539">
        <f>Cons!DM$149</f>
        <v>0</v>
      </c>
      <c r="DN66" s="539">
        <f>Cons!DN$149</f>
        <v>0</v>
      </c>
      <c r="DO66" s="539">
        <f>Cons!DO$149</f>
        <v>0</v>
      </c>
      <c r="DP66" s="539">
        <f>Cons!DP$149</f>
        <v>0</v>
      </c>
      <c r="DQ66" s="539">
        <f>Cons!DQ$149</f>
        <v>0</v>
      </c>
      <c r="DR66" s="539">
        <f>Cons!DR$149</f>
        <v>0</v>
      </c>
      <c r="DS66" s="539">
        <f>Cons!DS$149</f>
        <v>0</v>
      </c>
      <c r="DT66" s="539">
        <f>Cons!DT$149</f>
        <v>0</v>
      </c>
      <c r="DU66" s="539">
        <f>Cons!DU$149</f>
        <v>0</v>
      </c>
      <c r="DV66" s="539">
        <f>Cons!DV$149</f>
        <v>0</v>
      </c>
      <c r="DW66" s="539">
        <f>Cons!DW$149</f>
        <v>0</v>
      </c>
      <c r="DX66" s="539">
        <f>Cons!DX$149</f>
        <v>0</v>
      </c>
      <c r="DY66" s="539">
        <f>Cons!DY$149</f>
        <v>0</v>
      </c>
      <c r="DZ66" s="539">
        <f>Cons!DZ$149</f>
        <v>0</v>
      </c>
      <c r="EA66" s="539">
        <f>Cons!EA$149</f>
        <v>0</v>
      </c>
      <c r="EB66" s="539">
        <f>Cons!EB$149</f>
        <v>0</v>
      </c>
      <c r="EC66" s="539">
        <f>Cons!EC$149</f>
        <v>0</v>
      </c>
      <c r="ED66" s="539">
        <f>Cons!ED$149</f>
        <v>0</v>
      </c>
      <c r="EE66" s="539">
        <f>Cons!EE$149</f>
        <v>0</v>
      </c>
      <c r="EF66" s="539">
        <f>Cons!EF$149</f>
        <v>0</v>
      </c>
      <c r="EG66" s="539">
        <f>Cons!EG$149</f>
        <v>0</v>
      </c>
    </row>
    <row r="67" spans="5:137" ht="12.75">
      <c r="E67" s="538" t="str">
        <f>Cons!E$185</f>
        <v>Financing costs - capitalised in the period</v>
      </c>
      <c r="G67" s="539" t="str">
        <f>Cons!G$185</f>
        <v>EUR 000s</v>
      </c>
      <c r="H67" s="539">
        <f>Cons!H$185</f>
        <v>16238.00811257573</v>
      </c>
      <c r="J67" s="539">
        <f>Cons!J$185</f>
        <v>0</v>
      </c>
      <c r="K67" s="539">
        <f>Cons!K$185</f>
        <v>0</v>
      </c>
      <c r="L67" s="539">
        <f>Cons!L$185</f>
        <v>3319.2997186657749</v>
      </c>
      <c r="M67" s="539">
        <f>Cons!M$185</f>
        <v>109.12766198353233</v>
      </c>
      <c r="N67" s="539">
        <f>Cons!N$185</f>
        <v>121.79623016837154</v>
      </c>
      <c r="O67" s="539">
        <f>Cons!O$185</f>
        <v>126.82273047668302</v>
      </c>
      <c r="P67" s="539">
        <f>Cons!P$185</f>
        <v>140.08113427796059</v>
      </c>
      <c r="Q67" s="539">
        <f>Cons!Q$185</f>
        <v>140.30407948344003</v>
      </c>
      <c r="R67" s="539">
        <f>Cons!R$185</f>
        <v>206.01583186568772</v>
      </c>
      <c r="S67" s="539">
        <f>Cons!S$185</f>
        <v>341.62601566252641</v>
      </c>
      <c r="T67" s="539">
        <f>Cons!T$185</f>
        <v>405.66480600759223</v>
      </c>
      <c r="U67" s="539">
        <f>Cons!U$185</f>
        <v>498.82585318476447</v>
      </c>
      <c r="V67" s="539">
        <f>Cons!V$185</f>
        <v>577.96066243747043</v>
      </c>
      <c r="W67" s="539">
        <f>Cons!W$185</f>
        <v>608.6230988464788</v>
      </c>
      <c r="X67" s="539">
        <f>Cons!X$185</f>
        <v>722.34396752895066</v>
      </c>
      <c r="Y67" s="539">
        <f>Cons!Y$185</f>
        <v>760.26240454969547</v>
      </c>
      <c r="Z67" s="539">
        <f>Cons!Z$185</f>
        <v>840.38367819110817</v>
      </c>
      <c r="AA67" s="539">
        <f>Cons!AA$185</f>
        <v>862.10547747196665</v>
      </c>
      <c r="AB67" s="539">
        <f>Cons!AB$185</f>
        <v>949.76575292385382</v>
      </c>
      <c r="AC67" s="539">
        <f>Cons!AC$185</f>
        <v>1013.5686303825973</v>
      </c>
      <c r="AD67" s="539">
        <f>Cons!AD$185</f>
        <v>1042.7531864660605</v>
      </c>
      <c r="AE67" s="539">
        <f>Cons!AE$185</f>
        <v>1134.0203250207289</v>
      </c>
      <c r="AF67" s="539">
        <f>Cons!AF$185</f>
        <v>1128.0414999061579</v>
      </c>
      <c r="AG67" s="539">
        <f>Cons!AG$185</f>
        <v>1188.615367074329</v>
      </c>
      <c r="AH67" s="539">
        <f>Cons!AH$185</f>
        <v>0</v>
      </c>
      <c r="AI67" s="539">
        <f>Cons!AI$185</f>
        <v>0</v>
      </c>
      <c r="AJ67" s="539">
        <f>Cons!AJ$185</f>
        <v>0</v>
      </c>
      <c r="AK67" s="539">
        <f>Cons!AK$185</f>
        <v>0</v>
      </c>
      <c r="AL67" s="539">
        <f>Cons!AL$185</f>
        <v>0</v>
      </c>
      <c r="AM67" s="539">
        <f>Cons!AM$185</f>
        <v>0</v>
      </c>
      <c r="AN67" s="539">
        <f>Cons!AN$185</f>
        <v>0</v>
      </c>
      <c r="AO67" s="539">
        <f>Cons!AO$185</f>
        <v>0</v>
      </c>
      <c r="AP67" s="539">
        <f>Cons!AP$185</f>
        <v>0</v>
      </c>
      <c r="AQ67" s="539">
        <f>Cons!AQ$185</f>
        <v>0</v>
      </c>
      <c r="AR67" s="539">
        <f>Cons!AR$185</f>
        <v>0</v>
      </c>
      <c r="AS67" s="539">
        <f>Cons!AS$185</f>
        <v>0</v>
      </c>
      <c r="AT67" s="539">
        <f>Cons!AT$185</f>
        <v>0</v>
      </c>
      <c r="AU67" s="539">
        <f>Cons!AU$185</f>
        <v>0</v>
      </c>
      <c r="AV67" s="539">
        <f>Cons!AV$185</f>
        <v>0</v>
      </c>
      <c r="AW67" s="539">
        <f>Cons!AW$185</f>
        <v>0</v>
      </c>
      <c r="AX67" s="539">
        <f>Cons!AX$185</f>
        <v>0</v>
      </c>
      <c r="AY67" s="539">
        <f>Cons!AY$185</f>
        <v>0</v>
      </c>
      <c r="AZ67" s="539">
        <f>Cons!AZ$185</f>
        <v>0</v>
      </c>
      <c r="BA67" s="539">
        <f>Cons!BA$185</f>
        <v>0</v>
      </c>
      <c r="BB67" s="539">
        <f>Cons!BB$185</f>
        <v>0</v>
      </c>
      <c r="BC67" s="539">
        <f>Cons!BC$185</f>
        <v>0</v>
      </c>
      <c r="BD67" s="539">
        <f>Cons!BD$185</f>
        <v>0</v>
      </c>
      <c r="BE67" s="539">
        <f>Cons!BE$185</f>
        <v>0</v>
      </c>
      <c r="BF67" s="539">
        <f>Cons!BF$185</f>
        <v>0</v>
      </c>
      <c r="BG67" s="539">
        <f>Cons!BG$185</f>
        <v>0</v>
      </c>
      <c r="BH67" s="539">
        <f>Cons!BH$185</f>
        <v>0</v>
      </c>
      <c r="BI67" s="539">
        <f>Cons!BI$185</f>
        <v>0</v>
      </c>
      <c r="BJ67" s="539">
        <f>Cons!BJ$185</f>
        <v>0</v>
      </c>
      <c r="BK67" s="539">
        <f>Cons!BK$185</f>
        <v>0</v>
      </c>
      <c r="BL67" s="539">
        <f>Cons!BL$185</f>
        <v>0</v>
      </c>
      <c r="BM67" s="539">
        <f>Cons!BM$185</f>
        <v>0</v>
      </c>
      <c r="BN67" s="539">
        <f>Cons!BN$185</f>
        <v>0</v>
      </c>
      <c r="BO67" s="539">
        <f>Cons!BO$185</f>
        <v>0</v>
      </c>
      <c r="BP67" s="539">
        <f>Cons!BP$185</f>
        <v>0</v>
      </c>
      <c r="BQ67" s="539">
        <f>Cons!BQ$185</f>
        <v>0</v>
      </c>
      <c r="BR67" s="539">
        <f>Cons!BR$185</f>
        <v>0</v>
      </c>
      <c r="BS67" s="539">
        <f>Cons!BS$185</f>
        <v>0</v>
      </c>
      <c r="BT67" s="539">
        <f>Cons!BT$185</f>
        <v>0</v>
      </c>
      <c r="BU67" s="539">
        <f>Cons!BU$185</f>
        <v>0</v>
      </c>
      <c r="BV67" s="539">
        <f>Cons!BV$185</f>
        <v>0</v>
      </c>
      <c r="BW67" s="539">
        <f>Cons!BW$185</f>
        <v>0</v>
      </c>
      <c r="BX67" s="539">
        <f>Cons!BX$185</f>
        <v>0</v>
      </c>
      <c r="BY67" s="539">
        <f>Cons!BY$185</f>
        <v>0</v>
      </c>
      <c r="BZ67" s="539">
        <f>Cons!BZ$185</f>
        <v>0</v>
      </c>
      <c r="CA67" s="539">
        <f>Cons!CA$185</f>
        <v>0</v>
      </c>
      <c r="CB67" s="539">
        <f>Cons!CB$185</f>
        <v>0</v>
      </c>
      <c r="CC67" s="539">
        <f>Cons!CC$185</f>
        <v>0</v>
      </c>
      <c r="CD67" s="539">
        <f>Cons!CD$185</f>
        <v>0</v>
      </c>
      <c r="CE67" s="539">
        <f>Cons!CE$185</f>
        <v>0</v>
      </c>
      <c r="CF67" s="539">
        <f>Cons!CF$185</f>
        <v>0</v>
      </c>
      <c r="CG67" s="539">
        <f>Cons!CG$185</f>
        <v>0</v>
      </c>
      <c r="CH67" s="539">
        <f>Cons!CH$185</f>
        <v>0</v>
      </c>
      <c r="CI67" s="539">
        <f>Cons!CI$185</f>
        <v>0</v>
      </c>
      <c r="CJ67" s="539">
        <f>Cons!CJ$185</f>
        <v>0</v>
      </c>
      <c r="CK67" s="539">
        <f>Cons!CK$185</f>
        <v>0</v>
      </c>
      <c r="CL67" s="539">
        <f>Cons!CL$185</f>
        <v>0</v>
      </c>
      <c r="CM67" s="539">
        <f>Cons!CM$185</f>
        <v>0</v>
      </c>
      <c r="CN67" s="539">
        <f>Cons!CN$185</f>
        <v>0</v>
      </c>
      <c r="CO67" s="539">
        <f>Cons!CO$185</f>
        <v>0</v>
      </c>
      <c r="CP67" s="539">
        <f>Cons!CP$185</f>
        <v>0</v>
      </c>
      <c r="CQ67" s="539">
        <f>Cons!CQ$185</f>
        <v>0</v>
      </c>
      <c r="CR67" s="539">
        <f>Cons!CR$185</f>
        <v>0</v>
      </c>
      <c r="CS67" s="539">
        <f>Cons!CS$185</f>
        <v>0</v>
      </c>
      <c r="CT67" s="539">
        <f>Cons!CT$185</f>
        <v>0</v>
      </c>
      <c r="CU67" s="539">
        <f>Cons!CU$185</f>
        <v>0</v>
      </c>
      <c r="CV67" s="539">
        <f>Cons!CV$185</f>
        <v>0</v>
      </c>
      <c r="CW67" s="539">
        <f>Cons!CW$185</f>
        <v>0</v>
      </c>
      <c r="CX67" s="539">
        <f>Cons!CX$185</f>
        <v>0</v>
      </c>
      <c r="CY67" s="539">
        <f>Cons!CY$185</f>
        <v>0</v>
      </c>
      <c r="CZ67" s="539">
        <f>Cons!CZ$185</f>
        <v>0</v>
      </c>
      <c r="DA67" s="539">
        <f>Cons!DA$185</f>
        <v>0</v>
      </c>
      <c r="DB67" s="539">
        <f>Cons!DB$185</f>
        <v>0</v>
      </c>
      <c r="DC67" s="539">
        <f>Cons!DC$185</f>
        <v>0</v>
      </c>
      <c r="DD67" s="539">
        <f>Cons!DD$185</f>
        <v>0</v>
      </c>
      <c r="DE67" s="539">
        <f>Cons!DE$185</f>
        <v>0</v>
      </c>
      <c r="DF67" s="539">
        <f>Cons!DF$185</f>
        <v>0</v>
      </c>
      <c r="DG67" s="539">
        <f>Cons!DG$185</f>
        <v>0</v>
      </c>
      <c r="DH67" s="539">
        <f>Cons!DH$185</f>
        <v>0</v>
      </c>
      <c r="DI67" s="539">
        <f>Cons!DI$185</f>
        <v>0</v>
      </c>
      <c r="DJ67" s="539">
        <f>Cons!DJ$185</f>
        <v>0</v>
      </c>
      <c r="DK67" s="539">
        <f>Cons!DK$185</f>
        <v>0</v>
      </c>
      <c r="DL67" s="539">
        <f>Cons!DL$185</f>
        <v>0</v>
      </c>
      <c r="DM67" s="539">
        <f>Cons!DM$185</f>
        <v>0</v>
      </c>
      <c r="DN67" s="539">
        <f>Cons!DN$185</f>
        <v>0</v>
      </c>
      <c r="DO67" s="539">
        <f>Cons!DO$185</f>
        <v>0</v>
      </c>
      <c r="DP67" s="539">
        <f>Cons!DP$185</f>
        <v>0</v>
      </c>
      <c r="DQ67" s="539">
        <f>Cons!DQ$185</f>
        <v>0</v>
      </c>
      <c r="DR67" s="539">
        <f>Cons!DR$185</f>
        <v>0</v>
      </c>
      <c r="DS67" s="539">
        <f>Cons!DS$185</f>
        <v>0</v>
      </c>
      <c r="DT67" s="539">
        <f>Cons!DT$185</f>
        <v>0</v>
      </c>
      <c r="DU67" s="539">
        <f>Cons!DU$185</f>
        <v>0</v>
      </c>
      <c r="DV67" s="539">
        <f>Cons!DV$185</f>
        <v>0</v>
      </c>
      <c r="DW67" s="539">
        <f>Cons!DW$185</f>
        <v>0</v>
      </c>
      <c r="DX67" s="539">
        <f>Cons!DX$185</f>
        <v>0</v>
      </c>
      <c r="DY67" s="539">
        <f>Cons!DY$185</f>
        <v>0</v>
      </c>
      <c r="DZ67" s="539">
        <f>Cons!DZ$185</f>
        <v>0</v>
      </c>
      <c r="EA67" s="539">
        <f>Cons!EA$185</f>
        <v>0</v>
      </c>
      <c r="EB67" s="539">
        <f>Cons!EB$185</f>
        <v>0</v>
      </c>
      <c r="EC67" s="539">
        <f>Cons!EC$185</f>
        <v>0</v>
      </c>
      <c r="ED67" s="539">
        <f>Cons!ED$185</f>
        <v>0</v>
      </c>
      <c r="EE67" s="539">
        <f>Cons!EE$185</f>
        <v>0</v>
      </c>
      <c r="EF67" s="539">
        <f>Cons!EF$185</f>
        <v>0</v>
      </c>
      <c r="EG67" s="539">
        <f>Cons!EG$185</f>
        <v>0</v>
      </c>
    </row>
    <row r="68" spans="5:137" ht="12.75">
      <c r="E68" s="538" t="str">
        <f>Debt!E$104</f>
        <v>Senior facility - debt service</v>
      </c>
      <c r="G68" s="539" t="str">
        <f>Debt!G$104</f>
        <v>EUR 000s</v>
      </c>
      <c r="H68" s="539">
        <f>Debt!H$104</f>
        <v>350432.93778912647</v>
      </c>
      <c r="J68" s="539">
        <f>Debt!J$104</f>
        <v>0</v>
      </c>
      <c r="K68" s="539">
        <f>Debt!K$104</f>
        <v>0</v>
      </c>
      <c r="L68" s="539">
        <f>Debt!L$104</f>
        <v>0</v>
      </c>
      <c r="M68" s="539">
        <f>Debt!M$104</f>
        <v>0</v>
      </c>
      <c r="N68" s="539">
        <f>Debt!N$104</f>
        <v>0</v>
      </c>
      <c r="O68" s="539">
        <f>Debt!O$104</f>
        <v>0</v>
      </c>
      <c r="P68" s="539">
        <f>Debt!P$104</f>
        <v>-1.8189894035458565E-12</v>
      </c>
      <c r="Q68" s="539">
        <f>Debt!Q$104</f>
        <v>0</v>
      </c>
      <c r="R68" s="539">
        <f>Debt!R$104</f>
        <v>0</v>
      </c>
      <c r="S68" s="539">
        <f>Debt!S$104</f>
        <v>0</v>
      </c>
      <c r="T68" s="539">
        <f>Debt!T$104</f>
        <v>0</v>
      </c>
      <c r="U68" s="539">
        <f>Debt!U$104</f>
        <v>0</v>
      </c>
      <c r="V68" s="539">
        <f>Debt!V$104</f>
        <v>0</v>
      </c>
      <c r="W68" s="539">
        <f>Debt!W$104</f>
        <v>0</v>
      </c>
      <c r="X68" s="539">
        <f>Debt!X$104</f>
        <v>0</v>
      </c>
      <c r="Y68" s="539">
        <f>Debt!Y$104</f>
        <v>0</v>
      </c>
      <c r="Z68" s="539">
        <f>Debt!Z$104</f>
        <v>0</v>
      </c>
      <c r="AA68" s="539">
        <f>Debt!AA$104</f>
        <v>0</v>
      </c>
      <c r="AB68" s="539">
        <f>Debt!AB$104</f>
        <v>0</v>
      </c>
      <c r="AC68" s="539">
        <f>Debt!AC$104</f>
        <v>0</v>
      </c>
      <c r="AD68" s="539">
        <f>Debt!AD$104</f>
        <v>0</v>
      </c>
      <c r="AE68" s="539">
        <f>Debt!AE$104</f>
        <v>0</v>
      </c>
      <c r="AF68" s="539">
        <f>Debt!AF$104</f>
        <v>0</v>
      </c>
      <c r="AG68" s="539">
        <f>Debt!AG$104</f>
        <v>0</v>
      </c>
      <c r="AH68" s="539">
        <f>Debt!AH$104</f>
        <v>3678.8348581698501</v>
      </c>
      <c r="AI68" s="539">
        <f>Debt!AI$104</f>
        <v>4654.4397593286103</v>
      </c>
      <c r="AJ68" s="539">
        <f>Debt!AJ$104</f>
        <v>4654.2133758469154</v>
      </c>
      <c r="AK68" s="539">
        <f>Debt!AK$104</f>
        <v>4644.0261191706895</v>
      </c>
      <c r="AL68" s="539">
        <f>Debt!AL$104</f>
        <v>4693.5855314975461</v>
      </c>
      <c r="AM68" s="539">
        <f>Debt!AM$104</f>
        <v>4736.1435903709635</v>
      </c>
      <c r="AN68" s="539">
        <f>Debt!AN$104</f>
        <v>4735.9144792139659</v>
      </c>
      <c r="AO68" s="539">
        <f>Debt!AO$104</f>
        <v>4725.6044771491152</v>
      </c>
      <c r="AP68" s="539">
        <f>Debt!AP$104</f>
        <v>4776.2218865345076</v>
      </c>
      <c r="AQ68" s="539">
        <f>Debt!AQ$104</f>
        <v>4819.1883943546436</v>
      </c>
      <c r="AR68" s="539">
        <f>Debt!AR$104</f>
        <v>4818.9565473093417</v>
      </c>
      <c r="AS68" s="539">
        <f>Debt!AS$104</f>
        <v>4808.523430270714</v>
      </c>
      <c r="AT68" s="539">
        <f>Debt!AT$104</f>
        <v>4871.0125860621984</v>
      </c>
      <c r="AU68" s="539">
        <f>Debt!AU$104</f>
        <v>4892.8014892437168</v>
      </c>
      <c r="AV68" s="539">
        <f>Debt!AV$104</f>
        <v>4903.358038740419</v>
      </c>
      <c r="AW68" s="539">
        <f>Debt!AW$104</f>
        <v>4890.5485880171236</v>
      </c>
      <c r="AX68" s="539">
        <f>Debt!AX$104</f>
        <v>4945.6032153911401</v>
      </c>
      <c r="AY68" s="539">
        <f>Debt!AY$104</f>
        <v>4989.3748800105577</v>
      </c>
      <c r="AZ68" s="539">
        <f>Debt!AZ$104</f>
        <v>4989.1375412419338</v>
      </c>
      <c r="BA68" s="539">
        <f>Debt!BA$104</f>
        <v>4976.0237518384511</v>
      </c>
      <c r="BB68" s="539">
        <f>Debt!BB$104</f>
        <v>4968.7061367066199</v>
      </c>
      <c r="BC68" s="539">
        <f>Debt!BC$104</f>
        <v>5003.7719991405111</v>
      </c>
      <c r="BD68" s="539">
        <f>Debt!BD$104</f>
        <v>4994.8398242674302</v>
      </c>
      <c r="BE68" s="539">
        <f>Debt!BE$104</f>
        <v>4975.7347406139879</v>
      </c>
      <c r="BF68" s="539">
        <f>Debt!BF$104</f>
        <v>5018.2432697654431</v>
      </c>
      <c r="BG68" s="539">
        <f>Debt!BG$104</f>
        <v>5055.2308992146009</v>
      </c>
      <c r="BH68" s="539">
        <f>Debt!BH$104</f>
        <v>5047.7580665162341</v>
      </c>
      <c r="BI68" s="539">
        <f>Debt!BI$104</f>
        <v>5029.9252428553727</v>
      </c>
      <c r="BJ68" s="539">
        <f>Debt!BJ$104</f>
        <v>5086.1659444474417</v>
      </c>
      <c r="BK68" s="539">
        <f>Debt!BK$104</f>
        <v>5102.2164152464693</v>
      </c>
      <c r="BL68" s="539">
        <f>Debt!BL$104</f>
        <v>5107.2549033808882</v>
      </c>
      <c r="BM68" s="539">
        <f>Debt!BM$104</f>
        <v>5090.4593862946022</v>
      </c>
      <c r="BN68" s="539">
        <f>Debt!BN$104</f>
        <v>5137.6362992811</v>
      </c>
      <c r="BO68" s="539">
        <f>Debt!BO$104</f>
        <v>5177.721034794823</v>
      </c>
      <c r="BP68" s="539">
        <f>Debt!BP$104</f>
        <v>5172.4704316400748</v>
      </c>
      <c r="BQ68" s="539">
        <f>Debt!BQ$104</f>
        <v>5156.5168427050112</v>
      </c>
      <c r="BR68" s="539">
        <f>Debt!BR$104</f>
        <v>5259.1072788641732</v>
      </c>
      <c r="BS68" s="539">
        <f>Debt!BS$104</f>
        <v>5300.4456959908366</v>
      </c>
      <c r="BT68" s="539">
        <f>Debt!BT$104</f>
        <v>5296.0337638407573</v>
      </c>
      <c r="BU68" s="539">
        <f>Debt!BU$104</f>
        <v>5280.7596572690318</v>
      </c>
      <c r="BV68" s="539">
        <f>Debt!BV$104</f>
        <v>5192.6997405259599</v>
      </c>
      <c r="BW68" s="539">
        <f>Debt!BW$104</f>
        <v>4824.0097155821095</v>
      </c>
      <c r="BX68" s="539">
        <f>Debt!BX$104</f>
        <v>4812.2194454551673</v>
      </c>
      <c r="BY68" s="539">
        <f>Debt!BY$104</f>
        <v>4789.7777052237061</v>
      </c>
      <c r="BZ68" s="539">
        <f>Debt!BZ$104</f>
        <v>4835.508830075345</v>
      </c>
      <c r="CA68" s="539">
        <f>Debt!CA$104</f>
        <v>4848.2697391877382</v>
      </c>
      <c r="CB68" s="539">
        <f>Debt!CB$104</f>
        <v>4814.2596201085926</v>
      </c>
      <c r="CC68" s="539">
        <f>Debt!CC$104</f>
        <v>4617.7718011798452</v>
      </c>
      <c r="CD68" s="539">
        <f>Debt!CD$104</f>
        <v>4635.4811967250052</v>
      </c>
      <c r="CE68" s="539">
        <f>Debt!CE$104</f>
        <v>4670.2074078817031</v>
      </c>
      <c r="CF68" s="539">
        <f>Debt!CF$104</f>
        <v>4658.0351907399381</v>
      </c>
      <c r="CG68" s="539">
        <f>Debt!CG$104</f>
        <v>4632.6384155731694</v>
      </c>
      <c r="CH68" s="539">
        <f>Debt!CH$104</f>
        <v>4654.4799395510099</v>
      </c>
      <c r="CI68" s="539">
        <f>Debt!CI$104</f>
        <v>4690.3300953616026</v>
      </c>
      <c r="CJ68" s="539">
        <f>Debt!CJ$104</f>
        <v>4678.8565348451857</v>
      </c>
      <c r="CK68" s="539">
        <f>Debt!CK$104</f>
        <v>4654.2351254146215</v>
      </c>
      <c r="CL68" s="539">
        <f>Debt!CL$104</f>
        <v>4965.8270387247549</v>
      </c>
      <c r="CM68" s="539">
        <f>Debt!CM$104</f>
        <v>5002.0011198530556</v>
      </c>
      <c r="CN68" s="539">
        <f>Debt!CN$104</f>
        <v>4990.4282617092213</v>
      </c>
      <c r="CO68" s="539">
        <f>Debt!CO$104</f>
        <v>4965.8107040008254</v>
      </c>
      <c r="CP68" s="539">
        <f>Debt!CP$104</f>
        <v>4717.9783046696557</v>
      </c>
      <c r="CQ68" s="539">
        <f>Debt!CQ$104</f>
        <v>4729.233992308592</v>
      </c>
      <c r="CR68" s="539">
        <f>Debt!CR$104</f>
        <v>4730.658822063725</v>
      </c>
      <c r="CS68" s="539">
        <f>Debt!CS$104</f>
        <v>4706.8642132055456</v>
      </c>
      <c r="CT68" s="539">
        <f>Debt!CT$104</f>
        <v>4735.3356972565371</v>
      </c>
      <c r="CU68" s="539">
        <f>Debt!CU$104</f>
        <v>4772.9048284479113</v>
      </c>
      <c r="CV68" s="539">
        <f>Debt!CV$104</f>
        <v>4761.9850090627306</v>
      </c>
      <c r="CW68" s="539">
        <f>Debt!CW$104</f>
        <v>4738.3327137651941</v>
      </c>
      <c r="CX68" s="539">
        <f>Debt!CX$104</f>
        <v>4768.7511838966802</v>
      </c>
      <c r="CY68" s="539">
        <f>Debt!CY$104</f>
        <v>4806.4773364047887</v>
      </c>
      <c r="CZ68" s="539">
        <f>Debt!CZ$104</f>
        <v>4795.3607319199509</v>
      </c>
      <c r="DA68" s="539">
        <f>Debt!DA$104</f>
        <v>4771.6969558088413</v>
      </c>
      <c r="DB68" s="539">
        <f>Debt!DB$104</f>
        <v>0</v>
      </c>
      <c r="DC68" s="539">
        <f>Debt!DC$104</f>
        <v>0</v>
      </c>
      <c r="DD68" s="539">
        <f>Debt!DD$104</f>
        <v>0</v>
      </c>
      <c r="DE68" s="539">
        <f>Debt!DE$104</f>
        <v>0</v>
      </c>
      <c r="DF68" s="539">
        <f>Debt!DF$104</f>
        <v>0</v>
      </c>
      <c r="DG68" s="539">
        <f>Debt!DG$104</f>
        <v>0</v>
      </c>
      <c r="DH68" s="539">
        <f>Debt!DH$104</f>
        <v>0</v>
      </c>
      <c r="DI68" s="539">
        <f>Debt!DI$104</f>
        <v>0</v>
      </c>
      <c r="DJ68" s="539">
        <f>Debt!DJ$104</f>
        <v>0</v>
      </c>
      <c r="DK68" s="539">
        <f>Debt!DK$104</f>
        <v>0</v>
      </c>
      <c r="DL68" s="539">
        <f>Debt!DL$104</f>
        <v>0</v>
      </c>
      <c r="DM68" s="539">
        <f>Debt!DM$104</f>
        <v>0</v>
      </c>
      <c r="DN68" s="539">
        <f>Debt!DN$104</f>
        <v>0</v>
      </c>
      <c r="DO68" s="539">
        <f>Debt!DO$104</f>
        <v>0</v>
      </c>
      <c r="DP68" s="539">
        <f>Debt!DP$104</f>
        <v>0</v>
      </c>
      <c r="DQ68" s="539">
        <f>Debt!DQ$104</f>
        <v>0</v>
      </c>
      <c r="DR68" s="539">
        <f>Debt!DR$104</f>
        <v>0</v>
      </c>
      <c r="DS68" s="539">
        <f>Debt!DS$104</f>
        <v>0</v>
      </c>
      <c r="DT68" s="539">
        <f>Debt!DT$104</f>
        <v>0</v>
      </c>
      <c r="DU68" s="539">
        <f>Debt!DU$104</f>
        <v>0</v>
      </c>
      <c r="DV68" s="539">
        <f>Debt!DV$104</f>
        <v>0</v>
      </c>
      <c r="DW68" s="539">
        <f>Debt!DW$104</f>
        <v>0</v>
      </c>
      <c r="DX68" s="539">
        <f>Debt!DX$104</f>
        <v>0</v>
      </c>
      <c r="DY68" s="539">
        <f>Debt!DY$104</f>
        <v>0</v>
      </c>
      <c r="DZ68" s="539">
        <f>Debt!DZ$104</f>
        <v>0</v>
      </c>
      <c r="EA68" s="539">
        <f>Debt!EA$104</f>
        <v>0</v>
      </c>
      <c r="EB68" s="539">
        <f>Debt!EB$104</f>
        <v>0</v>
      </c>
      <c r="EC68" s="539">
        <f>Debt!EC$104</f>
        <v>0</v>
      </c>
      <c r="ED68" s="539">
        <f>Debt!ED$104</f>
        <v>0</v>
      </c>
      <c r="EE68" s="539">
        <f>Debt!EE$104</f>
        <v>0</v>
      </c>
      <c r="EF68" s="539">
        <f>Debt!EF$104</f>
        <v>0</v>
      </c>
      <c r="EG68" s="539">
        <f>Debt!EG$104</f>
        <v>0</v>
      </c>
    </row>
    <row r="69" spans="5:137" ht="12.75">
      <c r="E69" s="538" t="str">
        <f>Debt!E$226</f>
        <v>Junior facility - debt service paid</v>
      </c>
      <c r="G69" s="539" t="str">
        <f>Debt!G$226</f>
        <v>EUR 000s</v>
      </c>
      <c r="H69" s="539">
        <f>Debt!H$226</f>
        <v>39233.299886701796</v>
      </c>
      <c r="J69" s="539">
        <f>Debt!J$226</f>
        <v>0</v>
      </c>
      <c r="K69" s="539">
        <f>Debt!K$226</f>
        <v>0</v>
      </c>
      <c r="L69" s="539">
        <f>Debt!L$226</f>
        <v>0</v>
      </c>
      <c r="M69" s="539">
        <f>Debt!M$226</f>
        <v>0</v>
      </c>
      <c r="N69" s="539">
        <f>Debt!N$226</f>
        <v>0</v>
      </c>
      <c r="O69" s="539">
        <f>Debt!O$226</f>
        <v>0</v>
      </c>
      <c r="P69" s="539">
        <f>Debt!P$226</f>
        <v>0</v>
      </c>
      <c r="Q69" s="539">
        <f>Debt!Q$226</f>
        <v>0</v>
      </c>
      <c r="R69" s="539">
        <f>Debt!R$226</f>
        <v>0</v>
      </c>
      <c r="S69" s="539">
        <f>Debt!S$226</f>
        <v>0</v>
      </c>
      <c r="T69" s="539">
        <f>Debt!T$226</f>
        <v>0</v>
      </c>
      <c r="U69" s="539">
        <f>Debt!U$226</f>
        <v>0</v>
      </c>
      <c r="V69" s="539">
        <f>Debt!V$226</f>
        <v>0</v>
      </c>
      <c r="W69" s="539">
        <f>Debt!W$226</f>
        <v>0</v>
      </c>
      <c r="X69" s="539">
        <f>Debt!X$226</f>
        <v>0</v>
      </c>
      <c r="Y69" s="539">
        <f>Debt!Y$226</f>
        <v>0</v>
      </c>
      <c r="Z69" s="539">
        <f>Debt!Z$226</f>
        <v>0</v>
      </c>
      <c r="AA69" s="539">
        <f>Debt!AA$226</f>
        <v>0</v>
      </c>
      <c r="AB69" s="539">
        <f>Debt!AB$226</f>
        <v>0</v>
      </c>
      <c r="AC69" s="539">
        <f>Debt!AC$226</f>
        <v>0</v>
      </c>
      <c r="AD69" s="539">
        <f>Debt!AD$226</f>
        <v>0</v>
      </c>
      <c r="AE69" s="539">
        <f>Debt!AE$226</f>
        <v>0</v>
      </c>
      <c r="AF69" s="539">
        <f>Debt!AF$226</f>
        <v>0</v>
      </c>
      <c r="AG69" s="539">
        <f>Debt!AG$226</f>
        <v>0</v>
      </c>
      <c r="AH69" s="539">
        <f>Debt!AH$226</f>
        <v>1088.1009471320995</v>
      </c>
      <c r="AI69" s="539">
        <f>Debt!AI$226</f>
        <v>1082.514650149609</v>
      </c>
      <c r="AJ69" s="539">
        <f>Debt!AJ$226</f>
        <v>1076.668525400491</v>
      </c>
      <c r="AK69" s="539">
        <f>Debt!AK$226</f>
        <v>1064.7164481356281</v>
      </c>
      <c r="AL69" s="539">
        <f>Debt!AL$226</f>
        <v>1041.3319491391567</v>
      </c>
      <c r="AM69" s="539">
        <f>Debt!AM$226</f>
        <v>1035.2259966234114</v>
      </c>
      <c r="AN69" s="539">
        <f>Debt!AN$226</f>
        <v>1028.8602163410387</v>
      </c>
      <c r="AO69" s="539">
        <f>Debt!AO$226</f>
        <v>1016.9081390761755</v>
      </c>
      <c r="AP69" s="539">
        <f>Debt!AP$226</f>
        <v>994.56295114621435</v>
      </c>
      <c r="AQ69" s="539">
        <f>Debt!AQ$226</f>
        <v>987.93734309721401</v>
      </c>
      <c r="AR69" s="539">
        <f>Debt!AR$226</f>
        <v>981.0519072815863</v>
      </c>
      <c r="AS69" s="539">
        <f>Debt!AS$226</f>
        <v>969.09983001672322</v>
      </c>
      <c r="AT69" s="539">
        <f>Debt!AT$226</f>
        <v>952.47085295256591</v>
      </c>
      <c r="AU69" s="539">
        <f>Debt!AU$226</f>
        <v>940.64868957101658</v>
      </c>
      <c r="AV69" s="539">
        <f>Debt!AV$226</f>
        <v>933.24359822213387</v>
      </c>
      <c r="AW69" s="539">
        <f>Debt!AW$226</f>
        <v>921.2915209572709</v>
      </c>
      <c r="AX69" s="539">
        <f>Debt!AX$226</f>
        <v>901.02495516032911</v>
      </c>
      <c r="AY69" s="539">
        <f>Debt!AY$226</f>
        <v>893.36003604481903</v>
      </c>
      <c r="AZ69" s="539">
        <f>Debt!AZ$226</f>
        <v>885.43528916268156</v>
      </c>
      <c r="BA69" s="539">
        <f>Debt!BA$226</f>
        <v>873.48321189781848</v>
      </c>
      <c r="BB69" s="539">
        <f>Debt!BB$226</f>
        <v>854.25595716738667</v>
      </c>
      <c r="BC69" s="539">
        <f>Debt!BC$226</f>
        <v>846.0713825186217</v>
      </c>
      <c r="BD69" s="539">
        <f>Debt!BD$226</f>
        <v>837.62698010322936</v>
      </c>
      <c r="BE69" s="539">
        <f>Debt!BE$226</f>
        <v>825.67490283836628</v>
      </c>
      <c r="BF69" s="539">
        <f>Debt!BF$226</f>
        <v>807.48695917444422</v>
      </c>
      <c r="BG69" s="539">
        <f>Debt!BG$226</f>
        <v>798.78272899242438</v>
      </c>
      <c r="BH69" s="539">
        <f>Debt!BH$226</f>
        <v>789.81867104377704</v>
      </c>
      <c r="BI69" s="539">
        <f>Debt!BI$226</f>
        <v>777.86659377891397</v>
      </c>
      <c r="BJ69" s="539">
        <f>Debt!BJ$226</f>
        <v>763.31623884777639</v>
      </c>
      <c r="BK69" s="539">
        <f>Debt!BK$226</f>
        <v>751.49407546622706</v>
      </c>
      <c r="BL69" s="539">
        <f>Debt!BL$226</f>
        <v>742.01036198432485</v>
      </c>
      <c r="BM69" s="539">
        <f>Debt!BM$226</f>
        <v>730.05828471946177</v>
      </c>
      <c r="BN69" s="539">
        <f>Debt!BN$226</f>
        <v>713.94896318855945</v>
      </c>
      <c r="BO69" s="539">
        <f>Debt!BO$226</f>
        <v>704.20542194002974</v>
      </c>
      <c r="BP69" s="539">
        <f>Debt!BP$226</f>
        <v>694.20205292487253</v>
      </c>
      <c r="BQ69" s="539">
        <f>Debt!BQ$226</f>
        <v>682.24997566000945</v>
      </c>
      <c r="BR69" s="539">
        <f>Debt!BR$226</f>
        <v>667.17996519561689</v>
      </c>
      <c r="BS69" s="539">
        <f>Debt!BS$226</f>
        <v>656.91676841383241</v>
      </c>
      <c r="BT69" s="539">
        <f>Debt!BT$226</f>
        <v>646.39374386542033</v>
      </c>
      <c r="BU69" s="539">
        <f>Debt!BU$226</f>
        <v>634.44166660055726</v>
      </c>
      <c r="BV69" s="539">
        <f>Debt!BV$226</f>
        <v>620.41096720267456</v>
      </c>
      <c r="BW69" s="539">
        <f>Debt!BW$226</f>
        <v>609.62811488763498</v>
      </c>
      <c r="BX69" s="539">
        <f>Debt!BX$226</f>
        <v>598.58543480596802</v>
      </c>
      <c r="BY69" s="539">
        <f>Debt!BY$226</f>
        <v>586.63335754110494</v>
      </c>
      <c r="BZ69" s="539">
        <f>Debt!BZ$226</f>
        <v>574.16162474298699</v>
      </c>
      <c r="CA69" s="539">
        <f>Debt!CA$226</f>
        <v>562.33946136143766</v>
      </c>
      <c r="CB69" s="539">
        <f>Debt!CB$226</f>
        <v>550.77712574651571</v>
      </c>
      <c r="CC69" s="539">
        <f>Debt!CC$226</f>
        <v>538.82504848165263</v>
      </c>
      <c r="CD69" s="539">
        <f>Debt!CD$226</f>
        <v>-3.9862031483869642E-13</v>
      </c>
      <c r="CE69" s="539">
        <f>Debt!CE$226</f>
        <v>-4.0304942944801527E-13</v>
      </c>
      <c r="CF69" s="539">
        <f>Debt!CF$226</f>
        <v>-4.0747854405733406E-13</v>
      </c>
      <c r="CG69" s="539">
        <f>Debt!CG$226</f>
        <v>-4.0747854405733406E-13</v>
      </c>
      <c r="CH69" s="539">
        <f>Debt!CH$226</f>
        <v>-3.9862031483869642E-13</v>
      </c>
      <c r="CI69" s="539">
        <f>Debt!CI$226</f>
        <v>-4.0304942944801527E-13</v>
      </c>
      <c r="CJ69" s="539">
        <f>Debt!CJ$226</f>
        <v>-4.0747854405733406E-13</v>
      </c>
      <c r="CK69" s="539">
        <f>Debt!CK$226</f>
        <v>-4.0747854405733406E-13</v>
      </c>
      <c r="CL69" s="539">
        <f>Debt!CL$226</f>
        <v>-3.9862031483869642E-13</v>
      </c>
      <c r="CM69" s="539">
        <f>Debt!CM$226</f>
        <v>-4.0304942944801527E-13</v>
      </c>
      <c r="CN69" s="539">
        <f>Debt!CN$226</f>
        <v>-4.0747854405733406E-13</v>
      </c>
      <c r="CO69" s="539">
        <f>Debt!CO$226</f>
        <v>-4.0747854405733406E-13</v>
      </c>
      <c r="CP69" s="539">
        <f>Debt!CP$226</f>
        <v>-4.0304942944801527E-13</v>
      </c>
      <c r="CQ69" s="539">
        <f>Debt!CQ$226</f>
        <v>-4.0304942944801527E-13</v>
      </c>
      <c r="CR69" s="539">
        <f>Debt!CR$226</f>
        <v>-4.0747854405733406E-13</v>
      </c>
      <c r="CS69" s="539">
        <f>Debt!CS$226</f>
        <v>-4.0747854405733406E-13</v>
      </c>
      <c r="CT69" s="539">
        <f>Debt!CT$226</f>
        <v>-3.9862031483869642E-13</v>
      </c>
      <c r="CU69" s="539">
        <f>Debt!CU$226</f>
        <v>-4.0304942944801527E-13</v>
      </c>
      <c r="CV69" s="539">
        <f>Debt!CV$226</f>
        <v>-4.0747854405733406E-13</v>
      </c>
      <c r="CW69" s="539">
        <f>Debt!CW$226</f>
        <v>-4.0747854405733406E-13</v>
      </c>
      <c r="CX69" s="539">
        <f>Debt!CX$226</f>
        <v>-3.9862031483869642E-13</v>
      </c>
      <c r="CY69" s="539">
        <f>Debt!CY$226</f>
        <v>-4.0304942944801527E-13</v>
      </c>
      <c r="CZ69" s="539">
        <f>Debt!CZ$226</f>
        <v>-4.0747854405733406E-13</v>
      </c>
      <c r="DA69" s="539">
        <f>Debt!DA$226</f>
        <v>-4.0747854405733406E-13</v>
      </c>
      <c r="DB69" s="539">
        <f>Debt!DB$226</f>
        <v>-3.9862031483869642E-13</v>
      </c>
      <c r="DC69" s="539">
        <f>Debt!DC$226</f>
        <v>-4.0304942944801527E-13</v>
      </c>
      <c r="DD69" s="539">
        <f>Debt!DD$226</f>
        <v>-4.0747854405733406E-13</v>
      </c>
      <c r="DE69" s="539">
        <f>Debt!DE$226</f>
        <v>-4.0747854405733406E-13</v>
      </c>
      <c r="DF69" s="539">
        <f>Debt!DF$226</f>
        <v>-4.0304942944801527E-13</v>
      </c>
      <c r="DG69" s="539">
        <f>Debt!DG$226</f>
        <v>-4.0304942944801527E-13</v>
      </c>
      <c r="DH69" s="539">
        <f>Debt!DH$226</f>
        <v>-4.0747854405733406E-13</v>
      </c>
      <c r="DI69" s="539">
        <f>Debt!DI$226</f>
        <v>-4.0747854405733406E-13</v>
      </c>
      <c r="DJ69" s="539">
        <f>Debt!DJ$226</f>
        <v>-3.9862031483869642E-13</v>
      </c>
      <c r="DK69" s="539">
        <f>Debt!DK$226</f>
        <v>-4.0304942944801527E-13</v>
      </c>
      <c r="DL69" s="539">
        <f>Debt!DL$226</f>
        <v>-4.0747854405733406E-13</v>
      </c>
      <c r="DM69" s="539">
        <f>Debt!DM$226</f>
        <v>-4.0747854405733406E-13</v>
      </c>
      <c r="DN69" s="539">
        <f>Debt!DN$226</f>
        <v>-3.9862031483869642E-13</v>
      </c>
      <c r="DO69" s="539">
        <f>Debt!DO$226</f>
        <v>-4.0304942944801527E-13</v>
      </c>
      <c r="DP69" s="539">
        <f>Debt!DP$226</f>
        <v>-4.0747854405733406E-13</v>
      </c>
      <c r="DQ69" s="539">
        <f>Debt!DQ$226</f>
        <v>-4.0747854405733406E-13</v>
      </c>
      <c r="DR69" s="539">
        <f>Debt!DR$226</f>
        <v>-3.9862031483869642E-13</v>
      </c>
      <c r="DS69" s="539">
        <f>Debt!DS$226</f>
        <v>-4.0304942944801527E-13</v>
      </c>
      <c r="DT69" s="539">
        <f>Debt!DT$226</f>
        <v>-4.0747854405733406E-13</v>
      </c>
      <c r="DU69" s="539">
        <f>Debt!DU$226</f>
        <v>-4.0747854405733406E-13</v>
      </c>
      <c r="DV69" s="539">
        <f>Debt!DV$226</f>
        <v>-4.0304942944801527E-13</v>
      </c>
      <c r="DW69" s="539">
        <f>Debt!DW$226</f>
        <v>-4.0304942944801527E-13</v>
      </c>
      <c r="DX69" s="539">
        <f>Debt!DX$226</f>
        <v>-4.0747854405733406E-13</v>
      </c>
      <c r="DY69" s="539">
        <f>Debt!DY$226</f>
        <v>-4.0747854405733406E-13</v>
      </c>
      <c r="DZ69" s="539">
        <f>Debt!DZ$226</f>
        <v>-3.9862031483869642E-13</v>
      </c>
      <c r="EA69" s="539">
        <f>Debt!EA$226</f>
        <v>-4.0304942944801527E-13</v>
      </c>
      <c r="EB69" s="539">
        <f>Debt!EB$226</f>
        <v>-4.0747854405733406E-13</v>
      </c>
      <c r="EC69" s="539">
        <f>Debt!EC$226</f>
        <v>-4.0747854405733406E-13</v>
      </c>
      <c r="ED69" s="539">
        <f>Debt!ED$226</f>
        <v>0</v>
      </c>
      <c r="EE69" s="539">
        <f>Debt!EE$226</f>
        <v>0</v>
      </c>
      <c r="EF69" s="539">
        <f>Debt!EF$226</f>
        <v>0</v>
      </c>
      <c r="EG69" s="539">
        <f>Debt!EG$226</f>
        <v>0</v>
      </c>
    </row>
    <row r="70" spans="5:137" ht="12.75">
      <c r="E70" s="538" t="str">
        <f>Reserves!E$31</f>
        <v>DSRF - fee on the facility</v>
      </c>
      <c r="G70" s="539" t="str">
        <f>Reserves!G$31</f>
        <v>EUR 000s</v>
      </c>
      <c r="H70" s="539">
        <f>Reserves!H$31</f>
        <v>0</v>
      </c>
      <c r="J70" s="539">
        <f>Reserves!J$31</f>
        <v>0</v>
      </c>
      <c r="K70" s="539">
        <f>Reserves!K$31</f>
        <v>0</v>
      </c>
      <c r="L70" s="539">
        <f>Reserves!L$31</f>
        <v>0</v>
      </c>
      <c r="M70" s="539">
        <f>Reserves!M$31</f>
        <v>0</v>
      </c>
      <c r="N70" s="539">
        <f>Reserves!N$31</f>
        <v>0</v>
      </c>
      <c r="O70" s="539">
        <f>Reserves!O$31</f>
        <v>0</v>
      </c>
      <c r="P70" s="539">
        <f>Reserves!P$31</f>
        <v>0</v>
      </c>
      <c r="Q70" s="539">
        <f>Reserves!Q$31</f>
        <v>0</v>
      </c>
      <c r="R70" s="539">
        <f>Reserves!R$31</f>
        <v>0</v>
      </c>
      <c r="S70" s="539">
        <f>Reserves!S$31</f>
        <v>0</v>
      </c>
      <c r="T70" s="539">
        <f>Reserves!T$31</f>
        <v>0</v>
      </c>
      <c r="U70" s="539">
        <f>Reserves!U$31</f>
        <v>0</v>
      </c>
      <c r="V70" s="539">
        <f>Reserves!V$31</f>
        <v>0</v>
      </c>
      <c r="W70" s="539">
        <f>Reserves!W$31</f>
        <v>0</v>
      </c>
      <c r="X70" s="539">
        <f>Reserves!X$31</f>
        <v>0</v>
      </c>
      <c r="Y70" s="539">
        <f>Reserves!Y$31</f>
        <v>0</v>
      </c>
      <c r="Z70" s="539">
        <f>Reserves!Z$31</f>
        <v>0</v>
      </c>
      <c r="AA70" s="539">
        <f>Reserves!AA$31</f>
        <v>0</v>
      </c>
      <c r="AB70" s="539">
        <f>Reserves!AB$31</f>
        <v>0</v>
      </c>
      <c r="AC70" s="539">
        <f>Reserves!AC$31</f>
        <v>0</v>
      </c>
      <c r="AD70" s="539">
        <f>Reserves!AD$31</f>
        <v>0</v>
      </c>
      <c r="AE70" s="539">
        <f>Reserves!AE$31</f>
        <v>0</v>
      </c>
      <c r="AF70" s="539">
        <f>Reserves!AF$31</f>
        <v>0</v>
      </c>
      <c r="AG70" s="539">
        <f>Reserves!AG$31</f>
        <v>0</v>
      </c>
      <c r="AH70" s="539">
        <f>Reserves!AH$31</f>
        <v>0</v>
      </c>
      <c r="AI70" s="539">
        <f>Reserves!AI$31</f>
        <v>0</v>
      </c>
      <c r="AJ70" s="539">
        <f>Reserves!AJ$31</f>
        <v>0</v>
      </c>
      <c r="AK70" s="539">
        <f>Reserves!AK$31</f>
        <v>0</v>
      </c>
      <c r="AL70" s="539">
        <f>Reserves!AL$31</f>
        <v>0</v>
      </c>
      <c r="AM70" s="539">
        <f>Reserves!AM$31</f>
        <v>0</v>
      </c>
      <c r="AN70" s="539">
        <f>Reserves!AN$31</f>
        <v>0</v>
      </c>
      <c r="AO70" s="539">
        <f>Reserves!AO$31</f>
        <v>0</v>
      </c>
      <c r="AP70" s="539">
        <f>Reserves!AP$31</f>
        <v>0</v>
      </c>
      <c r="AQ70" s="539">
        <f>Reserves!AQ$31</f>
        <v>0</v>
      </c>
      <c r="AR70" s="539">
        <f>Reserves!AR$31</f>
        <v>0</v>
      </c>
      <c r="AS70" s="539">
        <f>Reserves!AS$31</f>
        <v>0</v>
      </c>
      <c r="AT70" s="539">
        <f>Reserves!AT$31</f>
        <v>0</v>
      </c>
      <c r="AU70" s="539">
        <f>Reserves!AU$31</f>
        <v>0</v>
      </c>
      <c r="AV70" s="539">
        <f>Reserves!AV$31</f>
        <v>0</v>
      </c>
      <c r="AW70" s="539">
        <f>Reserves!AW$31</f>
        <v>0</v>
      </c>
      <c r="AX70" s="539">
        <f>Reserves!AX$31</f>
        <v>0</v>
      </c>
      <c r="AY70" s="539">
        <f>Reserves!AY$31</f>
        <v>0</v>
      </c>
      <c r="AZ70" s="539">
        <f>Reserves!AZ$31</f>
        <v>0</v>
      </c>
      <c r="BA70" s="539">
        <f>Reserves!BA$31</f>
        <v>0</v>
      </c>
      <c r="BB70" s="539">
        <f>Reserves!BB$31</f>
        <v>0</v>
      </c>
      <c r="BC70" s="539">
        <f>Reserves!BC$31</f>
        <v>0</v>
      </c>
      <c r="BD70" s="539">
        <f>Reserves!BD$31</f>
        <v>0</v>
      </c>
      <c r="BE70" s="539">
        <f>Reserves!BE$31</f>
        <v>0</v>
      </c>
      <c r="BF70" s="539">
        <f>Reserves!BF$31</f>
        <v>0</v>
      </c>
      <c r="BG70" s="539">
        <f>Reserves!BG$31</f>
        <v>0</v>
      </c>
      <c r="BH70" s="539">
        <f>Reserves!BH$31</f>
        <v>0</v>
      </c>
      <c r="BI70" s="539">
        <f>Reserves!BI$31</f>
        <v>0</v>
      </c>
      <c r="BJ70" s="539">
        <f>Reserves!BJ$31</f>
        <v>0</v>
      </c>
      <c r="BK70" s="539">
        <f>Reserves!BK$31</f>
        <v>0</v>
      </c>
      <c r="BL70" s="539">
        <f>Reserves!BL$31</f>
        <v>0</v>
      </c>
      <c r="BM70" s="539">
        <f>Reserves!BM$31</f>
        <v>0</v>
      </c>
      <c r="BN70" s="539">
        <f>Reserves!BN$31</f>
        <v>0</v>
      </c>
      <c r="BO70" s="539">
        <f>Reserves!BO$31</f>
        <v>0</v>
      </c>
      <c r="BP70" s="539">
        <f>Reserves!BP$31</f>
        <v>0</v>
      </c>
      <c r="BQ70" s="539">
        <f>Reserves!BQ$31</f>
        <v>0</v>
      </c>
      <c r="BR70" s="539">
        <f>Reserves!BR$31</f>
        <v>0</v>
      </c>
      <c r="BS70" s="539">
        <f>Reserves!BS$31</f>
        <v>0</v>
      </c>
      <c r="BT70" s="539">
        <f>Reserves!BT$31</f>
        <v>0</v>
      </c>
      <c r="BU70" s="539">
        <f>Reserves!BU$31</f>
        <v>0</v>
      </c>
      <c r="BV70" s="539">
        <f>Reserves!BV$31</f>
        <v>0</v>
      </c>
      <c r="BW70" s="539">
        <f>Reserves!BW$31</f>
        <v>0</v>
      </c>
      <c r="BX70" s="539">
        <f>Reserves!BX$31</f>
        <v>0</v>
      </c>
      <c r="BY70" s="539">
        <f>Reserves!BY$31</f>
        <v>0</v>
      </c>
      <c r="BZ70" s="539">
        <f>Reserves!BZ$31</f>
        <v>0</v>
      </c>
      <c r="CA70" s="539">
        <f>Reserves!CA$31</f>
        <v>0</v>
      </c>
      <c r="CB70" s="539">
        <f>Reserves!CB$31</f>
        <v>0</v>
      </c>
      <c r="CC70" s="539">
        <f>Reserves!CC$31</f>
        <v>0</v>
      </c>
      <c r="CD70" s="539">
        <f>Reserves!CD$31</f>
        <v>0</v>
      </c>
      <c r="CE70" s="539">
        <f>Reserves!CE$31</f>
        <v>0</v>
      </c>
      <c r="CF70" s="539">
        <f>Reserves!CF$31</f>
        <v>0</v>
      </c>
      <c r="CG70" s="539">
        <f>Reserves!CG$31</f>
        <v>0</v>
      </c>
      <c r="CH70" s="539">
        <f>Reserves!CH$31</f>
        <v>0</v>
      </c>
      <c r="CI70" s="539">
        <f>Reserves!CI$31</f>
        <v>0</v>
      </c>
      <c r="CJ70" s="539">
        <f>Reserves!CJ$31</f>
        <v>0</v>
      </c>
      <c r="CK70" s="539">
        <f>Reserves!CK$31</f>
        <v>0</v>
      </c>
      <c r="CL70" s="539">
        <f>Reserves!CL$31</f>
        <v>0</v>
      </c>
      <c r="CM70" s="539">
        <f>Reserves!CM$31</f>
        <v>0</v>
      </c>
      <c r="CN70" s="539">
        <f>Reserves!CN$31</f>
        <v>0</v>
      </c>
      <c r="CO70" s="539">
        <f>Reserves!CO$31</f>
        <v>0</v>
      </c>
      <c r="CP70" s="539">
        <f>Reserves!CP$31</f>
        <v>0</v>
      </c>
      <c r="CQ70" s="539">
        <f>Reserves!CQ$31</f>
        <v>0</v>
      </c>
      <c r="CR70" s="539">
        <f>Reserves!CR$31</f>
        <v>0</v>
      </c>
      <c r="CS70" s="539">
        <f>Reserves!CS$31</f>
        <v>0</v>
      </c>
      <c r="CT70" s="539">
        <f>Reserves!CT$31</f>
        <v>0</v>
      </c>
      <c r="CU70" s="539">
        <f>Reserves!CU$31</f>
        <v>0</v>
      </c>
      <c r="CV70" s="539">
        <f>Reserves!CV$31</f>
        <v>0</v>
      </c>
      <c r="CW70" s="539">
        <f>Reserves!CW$31</f>
        <v>0</v>
      </c>
      <c r="CX70" s="539">
        <f>Reserves!CX$31</f>
        <v>0</v>
      </c>
      <c r="CY70" s="539">
        <f>Reserves!CY$31</f>
        <v>0</v>
      </c>
      <c r="CZ70" s="539">
        <f>Reserves!CZ$31</f>
        <v>0</v>
      </c>
      <c r="DA70" s="539">
        <f>Reserves!DA$31</f>
        <v>0</v>
      </c>
      <c r="DB70" s="539">
        <f>Reserves!DB$31</f>
        <v>0</v>
      </c>
      <c r="DC70" s="539">
        <f>Reserves!DC$31</f>
        <v>0</v>
      </c>
      <c r="DD70" s="539">
        <f>Reserves!DD$31</f>
        <v>0</v>
      </c>
      <c r="DE70" s="539">
        <f>Reserves!DE$31</f>
        <v>0</v>
      </c>
      <c r="DF70" s="539">
        <f>Reserves!DF$31</f>
        <v>0</v>
      </c>
      <c r="DG70" s="539">
        <f>Reserves!DG$31</f>
        <v>0</v>
      </c>
      <c r="DH70" s="539">
        <f>Reserves!DH$31</f>
        <v>0</v>
      </c>
      <c r="DI70" s="539">
        <f>Reserves!DI$31</f>
        <v>0</v>
      </c>
      <c r="DJ70" s="539">
        <f>Reserves!DJ$31</f>
        <v>0</v>
      </c>
      <c r="DK70" s="539">
        <f>Reserves!DK$31</f>
        <v>0</v>
      </c>
      <c r="DL70" s="539">
        <f>Reserves!DL$31</f>
        <v>0</v>
      </c>
      <c r="DM70" s="539">
        <f>Reserves!DM$31</f>
        <v>0</v>
      </c>
      <c r="DN70" s="539">
        <f>Reserves!DN$31</f>
        <v>0</v>
      </c>
      <c r="DO70" s="539">
        <f>Reserves!DO$31</f>
        <v>0</v>
      </c>
      <c r="DP70" s="539">
        <f>Reserves!DP$31</f>
        <v>0</v>
      </c>
      <c r="DQ70" s="539">
        <f>Reserves!DQ$31</f>
        <v>0</v>
      </c>
      <c r="DR70" s="539">
        <f>Reserves!DR$31</f>
        <v>0</v>
      </c>
      <c r="DS70" s="539">
        <f>Reserves!DS$31</f>
        <v>0</v>
      </c>
      <c r="DT70" s="539">
        <f>Reserves!DT$31</f>
        <v>0</v>
      </c>
      <c r="DU70" s="539">
        <f>Reserves!DU$31</f>
        <v>0</v>
      </c>
      <c r="DV70" s="539">
        <f>Reserves!DV$31</f>
        <v>0</v>
      </c>
      <c r="DW70" s="539">
        <f>Reserves!DW$31</f>
        <v>0</v>
      </c>
      <c r="DX70" s="539">
        <f>Reserves!DX$31</f>
        <v>0</v>
      </c>
      <c r="DY70" s="539">
        <f>Reserves!DY$31</f>
        <v>0</v>
      </c>
      <c r="DZ70" s="539">
        <f>Reserves!DZ$31</f>
        <v>0</v>
      </c>
      <c r="EA70" s="539">
        <f>Reserves!EA$31</f>
        <v>0</v>
      </c>
      <c r="EB70" s="539">
        <f>Reserves!EB$31</f>
        <v>0</v>
      </c>
      <c r="EC70" s="539">
        <f>Reserves!EC$31</f>
        <v>0</v>
      </c>
      <c r="ED70" s="539">
        <f>Reserves!ED$31</f>
        <v>0</v>
      </c>
      <c r="EE70" s="539">
        <f>Reserves!EE$31</f>
        <v>0</v>
      </c>
      <c r="EF70" s="539">
        <f>Reserves!EF$31</f>
        <v>0</v>
      </c>
      <c r="EG70" s="539">
        <f>Reserves!EG$31</f>
        <v>0</v>
      </c>
    </row>
    <row r="71" spans="5:137" ht="12.75">
      <c r="E71" s="538" t="str">
        <f>Waterfall!E$98</f>
        <v>Senior facility - cash sweep prepayment</v>
      </c>
      <c r="G71" s="539" t="str">
        <f>Waterfall!G$98</f>
        <v>EUR 000s</v>
      </c>
      <c r="H71" s="539">
        <f>Waterfall!H$98</f>
        <v>0</v>
      </c>
      <c r="J71" s="539">
        <f>Waterfall!J$98</f>
        <v>0</v>
      </c>
      <c r="K71" s="539">
        <f>Waterfall!K$98</f>
        <v>0</v>
      </c>
      <c r="L71" s="539">
        <f>Waterfall!L$98</f>
        <v>0</v>
      </c>
      <c r="M71" s="539">
        <f>Waterfall!M$98</f>
        <v>0</v>
      </c>
      <c r="N71" s="539">
        <f>Waterfall!N$98</f>
        <v>0</v>
      </c>
      <c r="O71" s="539">
        <f>Waterfall!O$98</f>
        <v>0</v>
      </c>
      <c r="P71" s="539">
        <f>Waterfall!P$98</f>
        <v>0</v>
      </c>
      <c r="Q71" s="539">
        <f>Waterfall!Q$98</f>
        <v>0</v>
      </c>
      <c r="R71" s="539">
        <f>Waterfall!R$98</f>
        <v>0</v>
      </c>
      <c r="S71" s="539">
        <f>Waterfall!S$98</f>
        <v>0</v>
      </c>
      <c r="T71" s="539">
        <f>Waterfall!T$98</f>
        <v>0</v>
      </c>
      <c r="U71" s="539">
        <f>Waterfall!U$98</f>
        <v>0</v>
      </c>
      <c r="V71" s="539">
        <f>Waterfall!V$98</f>
        <v>0</v>
      </c>
      <c r="W71" s="539">
        <f>Waterfall!W$98</f>
        <v>0</v>
      </c>
      <c r="X71" s="539">
        <f>Waterfall!X$98</f>
        <v>0</v>
      </c>
      <c r="Y71" s="539">
        <f>Waterfall!Y$98</f>
        <v>0</v>
      </c>
      <c r="Z71" s="539">
        <f>Waterfall!Z$98</f>
        <v>0</v>
      </c>
      <c r="AA71" s="539">
        <f>Waterfall!AA$98</f>
        <v>0</v>
      </c>
      <c r="AB71" s="539">
        <f>Waterfall!AB$98</f>
        <v>0</v>
      </c>
      <c r="AC71" s="539">
        <f>Waterfall!AC$98</f>
        <v>0</v>
      </c>
      <c r="AD71" s="539">
        <f>Waterfall!AD$98</f>
        <v>0</v>
      </c>
      <c r="AE71" s="539">
        <f>Waterfall!AE$98</f>
        <v>0</v>
      </c>
      <c r="AF71" s="539">
        <f>Waterfall!AF$98</f>
        <v>0</v>
      </c>
      <c r="AG71" s="539">
        <f>Waterfall!AG$98</f>
        <v>0</v>
      </c>
      <c r="AH71" s="539">
        <f>Waterfall!AH$98</f>
        <v>0</v>
      </c>
      <c r="AI71" s="539">
        <f>Waterfall!AI$98</f>
        <v>0</v>
      </c>
      <c r="AJ71" s="539">
        <f>Waterfall!AJ$98</f>
        <v>0</v>
      </c>
      <c r="AK71" s="539">
        <f>Waterfall!AK$98</f>
        <v>0</v>
      </c>
      <c r="AL71" s="539">
        <f>Waterfall!AL$98</f>
        <v>0</v>
      </c>
      <c r="AM71" s="539">
        <f>Waterfall!AM$98</f>
        <v>0</v>
      </c>
      <c r="AN71" s="539">
        <f>Waterfall!AN$98</f>
        <v>0</v>
      </c>
      <c r="AO71" s="539">
        <f>Waterfall!AO$98</f>
        <v>0</v>
      </c>
      <c r="AP71" s="539">
        <f>Waterfall!AP$98</f>
        <v>0</v>
      </c>
      <c r="AQ71" s="539">
        <f>Waterfall!AQ$98</f>
        <v>0</v>
      </c>
      <c r="AR71" s="539">
        <f>Waterfall!AR$98</f>
        <v>0</v>
      </c>
      <c r="AS71" s="539">
        <f>Waterfall!AS$98</f>
        <v>0</v>
      </c>
      <c r="AT71" s="539">
        <f>Waterfall!AT$98</f>
        <v>0</v>
      </c>
      <c r="AU71" s="539">
        <f>Waterfall!AU$98</f>
        <v>0</v>
      </c>
      <c r="AV71" s="539">
        <f>Waterfall!AV$98</f>
        <v>0</v>
      </c>
      <c r="AW71" s="539">
        <f>Waterfall!AW$98</f>
        <v>0</v>
      </c>
      <c r="AX71" s="539">
        <f>Waterfall!AX$98</f>
        <v>0</v>
      </c>
      <c r="AY71" s="539">
        <f>Waterfall!AY$98</f>
        <v>0</v>
      </c>
      <c r="AZ71" s="539">
        <f>Waterfall!AZ$98</f>
        <v>0</v>
      </c>
      <c r="BA71" s="539">
        <f>Waterfall!BA$98</f>
        <v>0</v>
      </c>
      <c r="BB71" s="539">
        <f>Waterfall!BB$98</f>
        <v>0</v>
      </c>
      <c r="BC71" s="539">
        <f>Waterfall!BC$98</f>
        <v>0</v>
      </c>
      <c r="BD71" s="539">
        <f>Waterfall!BD$98</f>
        <v>0</v>
      </c>
      <c r="BE71" s="539">
        <f>Waterfall!BE$98</f>
        <v>0</v>
      </c>
      <c r="BF71" s="539">
        <f>Waterfall!BF$98</f>
        <v>0</v>
      </c>
      <c r="BG71" s="539">
        <f>Waterfall!BG$98</f>
        <v>0</v>
      </c>
      <c r="BH71" s="539">
        <f>Waterfall!BH$98</f>
        <v>0</v>
      </c>
      <c r="BI71" s="539">
        <f>Waterfall!BI$98</f>
        <v>0</v>
      </c>
      <c r="BJ71" s="539">
        <f>Waterfall!BJ$98</f>
        <v>0</v>
      </c>
      <c r="BK71" s="539">
        <f>Waterfall!BK$98</f>
        <v>0</v>
      </c>
      <c r="BL71" s="539">
        <f>Waterfall!BL$98</f>
        <v>0</v>
      </c>
      <c r="BM71" s="539">
        <f>Waterfall!BM$98</f>
        <v>0</v>
      </c>
      <c r="BN71" s="539">
        <f>Waterfall!BN$98</f>
        <v>0</v>
      </c>
      <c r="BO71" s="539">
        <f>Waterfall!BO$98</f>
        <v>0</v>
      </c>
      <c r="BP71" s="539">
        <f>Waterfall!BP$98</f>
        <v>0</v>
      </c>
      <c r="BQ71" s="539">
        <f>Waterfall!BQ$98</f>
        <v>0</v>
      </c>
      <c r="BR71" s="539">
        <f>Waterfall!BR$98</f>
        <v>0</v>
      </c>
      <c r="BS71" s="539">
        <f>Waterfall!BS$98</f>
        <v>0</v>
      </c>
      <c r="BT71" s="539">
        <f>Waterfall!BT$98</f>
        <v>0</v>
      </c>
      <c r="BU71" s="539">
        <f>Waterfall!BU$98</f>
        <v>0</v>
      </c>
      <c r="BV71" s="539">
        <f>Waterfall!BV$98</f>
        <v>0</v>
      </c>
      <c r="BW71" s="539">
        <f>Waterfall!BW$98</f>
        <v>0</v>
      </c>
      <c r="BX71" s="539">
        <f>Waterfall!BX$98</f>
        <v>0</v>
      </c>
      <c r="BY71" s="539">
        <f>Waterfall!BY$98</f>
        <v>0</v>
      </c>
      <c r="BZ71" s="539">
        <f>Waterfall!BZ$98</f>
        <v>0</v>
      </c>
      <c r="CA71" s="539">
        <f>Waterfall!CA$98</f>
        <v>0</v>
      </c>
      <c r="CB71" s="539">
        <f>Waterfall!CB$98</f>
        <v>0</v>
      </c>
      <c r="CC71" s="539">
        <f>Waterfall!CC$98</f>
        <v>0</v>
      </c>
      <c r="CD71" s="539">
        <f>Waterfall!CD$98</f>
        <v>0</v>
      </c>
      <c r="CE71" s="539">
        <f>Waterfall!CE$98</f>
        <v>0</v>
      </c>
      <c r="CF71" s="539">
        <f>Waterfall!CF$98</f>
        <v>0</v>
      </c>
      <c r="CG71" s="539">
        <f>Waterfall!CG$98</f>
        <v>0</v>
      </c>
      <c r="CH71" s="539">
        <f>Waterfall!CH$98</f>
        <v>0</v>
      </c>
      <c r="CI71" s="539">
        <f>Waterfall!CI$98</f>
        <v>0</v>
      </c>
      <c r="CJ71" s="539">
        <f>Waterfall!CJ$98</f>
        <v>0</v>
      </c>
      <c r="CK71" s="539">
        <f>Waterfall!CK$98</f>
        <v>0</v>
      </c>
      <c r="CL71" s="539">
        <f>Waterfall!CL$98</f>
        <v>0</v>
      </c>
      <c r="CM71" s="539">
        <f>Waterfall!CM$98</f>
        <v>0</v>
      </c>
      <c r="CN71" s="539">
        <f>Waterfall!CN$98</f>
        <v>0</v>
      </c>
      <c r="CO71" s="539">
        <f>Waterfall!CO$98</f>
        <v>0</v>
      </c>
      <c r="CP71" s="539">
        <f>Waterfall!CP$98</f>
        <v>0</v>
      </c>
      <c r="CQ71" s="539">
        <f>Waterfall!CQ$98</f>
        <v>0</v>
      </c>
      <c r="CR71" s="539">
        <f>Waterfall!CR$98</f>
        <v>0</v>
      </c>
      <c r="CS71" s="539">
        <f>Waterfall!CS$98</f>
        <v>0</v>
      </c>
      <c r="CT71" s="539">
        <f>Waterfall!CT$98</f>
        <v>0</v>
      </c>
      <c r="CU71" s="539">
        <f>Waterfall!CU$98</f>
        <v>0</v>
      </c>
      <c r="CV71" s="539">
        <f>Waterfall!CV$98</f>
        <v>0</v>
      </c>
      <c r="CW71" s="539">
        <f>Waterfall!CW$98</f>
        <v>0</v>
      </c>
      <c r="CX71" s="539">
        <f>Waterfall!CX$98</f>
        <v>0</v>
      </c>
      <c r="CY71" s="539">
        <f>Waterfall!CY$98</f>
        <v>0</v>
      </c>
      <c r="CZ71" s="539">
        <f>Waterfall!CZ$98</f>
        <v>0</v>
      </c>
      <c r="DA71" s="539">
        <f>Waterfall!DA$98</f>
        <v>0</v>
      </c>
      <c r="DB71" s="539">
        <f>Waterfall!DB$98</f>
        <v>0</v>
      </c>
      <c r="DC71" s="539">
        <f>Waterfall!DC$98</f>
        <v>0</v>
      </c>
      <c r="DD71" s="539">
        <f>Waterfall!DD$98</f>
        <v>0</v>
      </c>
      <c r="DE71" s="539">
        <f>Waterfall!DE$98</f>
        <v>0</v>
      </c>
      <c r="DF71" s="539">
        <f>Waterfall!DF$98</f>
        <v>0</v>
      </c>
      <c r="DG71" s="539">
        <f>Waterfall!DG$98</f>
        <v>0</v>
      </c>
      <c r="DH71" s="539">
        <f>Waterfall!DH$98</f>
        <v>0</v>
      </c>
      <c r="DI71" s="539">
        <f>Waterfall!DI$98</f>
        <v>0</v>
      </c>
      <c r="DJ71" s="539">
        <f>Waterfall!DJ$98</f>
        <v>0</v>
      </c>
      <c r="DK71" s="539">
        <f>Waterfall!DK$98</f>
        <v>0</v>
      </c>
      <c r="DL71" s="539">
        <f>Waterfall!DL$98</f>
        <v>0</v>
      </c>
      <c r="DM71" s="539">
        <f>Waterfall!DM$98</f>
        <v>0</v>
      </c>
      <c r="DN71" s="539">
        <f>Waterfall!DN$98</f>
        <v>0</v>
      </c>
      <c r="DO71" s="539">
        <f>Waterfall!DO$98</f>
        <v>0</v>
      </c>
      <c r="DP71" s="539">
        <f>Waterfall!DP$98</f>
        <v>0</v>
      </c>
      <c r="DQ71" s="539">
        <f>Waterfall!DQ$98</f>
        <v>0</v>
      </c>
      <c r="DR71" s="539">
        <f>Waterfall!DR$98</f>
        <v>0</v>
      </c>
      <c r="DS71" s="539">
        <f>Waterfall!DS$98</f>
        <v>0</v>
      </c>
      <c r="DT71" s="539">
        <f>Waterfall!DT$98</f>
        <v>0</v>
      </c>
      <c r="DU71" s="539">
        <f>Waterfall!DU$98</f>
        <v>0</v>
      </c>
      <c r="DV71" s="539">
        <f>Waterfall!DV$98</f>
        <v>0</v>
      </c>
      <c r="DW71" s="539">
        <f>Waterfall!DW$98</f>
        <v>0</v>
      </c>
      <c r="DX71" s="539">
        <f>Waterfall!DX$98</f>
        <v>0</v>
      </c>
      <c r="DY71" s="539">
        <f>Waterfall!DY$98</f>
        <v>0</v>
      </c>
      <c r="DZ71" s="539">
        <f>Waterfall!DZ$98</f>
        <v>0</v>
      </c>
      <c r="EA71" s="539">
        <f>Waterfall!EA$98</f>
        <v>0</v>
      </c>
      <c r="EB71" s="539">
        <f>Waterfall!EB$98</f>
        <v>0</v>
      </c>
      <c r="EC71" s="539">
        <f>Waterfall!EC$98</f>
        <v>0</v>
      </c>
      <c r="ED71" s="539">
        <f>Waterfall!ED$98</f>
        <v>0</v>
      </c>
      <c r="EE71" s="539">
        <f>Waterfall!EE$98</f>
        <v>0</v>
      </c>
      <c r="EF71" s="539">
        <f>Waterfall!EF$98</f>
        <v>0</v>
      </c>
      <c r="EG71" s="539">
        <f>Waterfall!EG$98</f>
        <v>0</v>
      </c>
    </row>
    <row r="72" spans="5:137" ht="12.75">
      <c r="E72" s="551" t="s">
        <v>522</v>
      </c>
      <c r="F72" s="552"/>
      <c r="G72" s="552" t="s">
        <v>30</v>
      </c>
      <c r="H72" s="552">
        <f>SUM(J72:EG72)</f>
        <v>-159361.69121785054</v>
      </c>
      <c r="I72" s="552"/>
      <c r="J72" s="552">
        <f t="shared" si="11" ref="J72:EG72">J66+J65+J62-J63-J67-J68-J71-J70-J64-J69</f>
        <v>0</v>
      </c>
      <c r="K72" s="552">
        <f t="shared" si="11"/>
        <v>0</v>
      </c>
      <c r="L72" s="552">
        <f t="shared" si="11"/>
        <v>-3319.2997186657749</v>
      </c>
      <c r="M72" s="552">
        <f t="shared" si="11"/>
        <v>2549.1848380164674</v>
      </c>
      <c r="N72" s="552">
        <f t="shared" si="11"/>
        <v>2602.1412698316285</v>
      </c>
      <c r="O72" s="552">
        <f t="shared" si="11"/>
        <v>2531.4897695233171</v>
      </c>
      <c r="P72" s="552">
        <f t="shared" si="11"/>
        <v>-74.456134277960587</v>
      </c>
      <c r="Q72" s="552">
        <f t="shared" si="11"/>
        <v>9318.3327749560831</v>
      </c>
      <c r="R72" s="552">
        <f t="shared" si="11"/>
        <v>17672.031249999996</v>
      </c>
      <c r="S72" s="552">
        <f t="shared" si="11"/>
        <v>18443.125</v>
      </c>
      <c r="T72" s="552">
        <f t="shared" si="11"/>
        <v>18902.499999999996</v>
      </c>
      <c r="U72" s="552">
        <f t="shared" si="11"/>
        <v>18566.171875</v>
      </c>
      <c r="V72" s="552">
        <f t="shared" si="11"/>
        <v>16851.718749999996</v>
      </c>
      <c r="W72" s="552">
        <f t="shared" si="11"/>
        <v>16589.21875</v>
      </c>
      <c r="X72" s="552">
        <f t="shared" si="11"/>
        <v>14357.968749999998</v>
      </c>
      <c r="Y72" s="552">
        <f t="shared" si="11"/>
        <v>12257.968749999996</v>
      </c>
      <c r="Z72" s="552">
        <f t="shared" si="11"/>
        <v>11109.531249999998</v>
      </c>
      <c r="AA72" s="552">
        <f t="shared" si="11"/>
        <v>13242.34375</v>
      </c>
      <c r="AB72" s="552">
        <f t="shared" si="11"/>
        <v>14423.59375</v>
      </c>
      <c r="AC72" s="552">
        <f t="shared" si="11"/>
        <v>14423.59375</v>
      </c>
      <c r="AD72" s="552">
        <f t="shared" si="11"/>
        <v>12504.0625</v>
      </c>
      <c r="AE72" s="552">
        <f t="shared" si="11"/>
        <v>6220.4687499999982</v>
      </c>
      <c r="AF72" s="552">
        <f t="shared" si="11"/>
        <v>4087.6562499999991</v>
      </c>
      <c r="AG72" s="552">
        <f t="shared" si="11"/>
        <v>10526.008992498142</v>
      </c>
      <c r="AH72" s="552">
        <f t="shared" si="11"/>
        <v>-8247.7442642060596</v>
      </c>
      <c r="AI72" s="552">
        <f t="shared" si="11"/>
        <v>-5736.9544094782195</v>
      </c>
      <c r="AJ72" s="552">
        <f t="shared" si="11"/>
        <v>-5730.8819012474069</v>
      </c>
      <c r="AK72" s="552">
        <f t="shared" si="11"/>
        <v>-5708.7425673063171</v>
      </c>
      <c r="AL72" s="552">
        <f t="shared" si="11"/>
        <v>-5734.9174806367027</v>
      </c>
      <c r="AM72" s="552">
        <f t="shared" si="11"/>
        <v>-5771.3695869943749</v>
      </c>
      <c r="AN72" s="552">
        <f t="shared" si="11"/>
        <v>-5764.7746955550047</v>
      </c>
      <c r="AO72" s="552">
        <f t="shared" si="11"/>
        <v>-5742.5126162252909</v>
      </c>
      <c r="AP72" s="552">
        <f t="shared" si="11"/>
        <v>-5770.7848376807215</v>
      </c>
      <c r="AQ72" s="552">
        <f t="shared" si="11"/>
        <v>-5807.1257374518573</v>
      </c>
      <c r="AR72" s="552">
        <f t="shared" si="11"/>
        <v>-5800.0084545909276</v>
      </c>
      <c r="AS72" s="552">
        <f t="shared" si="11"/>
        <v>-5777.623260287437</v>
      </c>
      <c r="AT72" s="552">
        <f t="shared" si="11"/>
        <v>-5823.4834390147644</v>
      </c>
      <c r="AU72" s="552">
        <f t="shared" si="11"/>
        <v>-5833.4501788147336</v>
      </c>
      <c r="AV72" s="552">
        <f t="shared" si="11"/>
        <v>-5836.6016369625531</v>
      </c>
      <c r="AW72" s="552">
        <f t="shared" si="11"/>
        <v>-5811.8401089743948</v>
      </c>
      <c r="AX72" s="552">
        <f t="shared" si="11"/>
        <v>-5846.6281705514693</v>
      </c>
      <c r="AY72" s="552">
        <f t="shared" si="11"/>
        <v>-5882.7349160553767</v>
      </c>
      <c r="AZ72" s="552">
        <f t="shared" si="11"/>
        <v>-5874.5728304046152</v>
      </c>
      <c r="BA72" s="552">
        <f t="shared" si="11"/>
        <v>-5849.5069637362694</v>
      </c>
      <c r="BB72" s="552">
        <f t="shared" si="11"/>
        <v>-5822.9620938740063</v>
      </c>
      <c r="BC72" s="552">
        <f t="shared" si="11"/>
        <v>-5849.8433816591332</v>
      </c>
      <c r="BD72" s="552">
        <f t="shared" si="11"/>
        <v>-5832.4668043706597</v>
      </c>
      <c r="BE72" s="552">
        <f t="shared" si="11"/>
        <v>-5801.4096434523544</v>
      </c>
      <c r="BF72" s="552">
        <f t="shared" si="11"/>
        <v>-5825.7302289398876</v>
      </c>
      <c r="BG72" s="552">
        <f t="shared" si="11"/>
        <v>-5854.0136282070252</v>
      </c>
      <c r="BH72" s="552">
        <f t="shared" si="11"/>
        <v>-5837.5767375600108</v>
      </c>
      <c r="BI72" s="552">
        <f t="shared" si="11"/>
        <v>-5807.7918366342865</v>
      </c>
      <c r="BJ72" s="552">
        <f t="shared" si="11"/>
        <v>-5849.4821832952184</v>
      </c>
      <c r="BK72" s="552">
        <f t="shared" si="11"/>
        <v>-5853.7104907126959</v>
      </c>
      <c r="BL72" s="552">
        <f t="shared" si="11"/>
        <v>-5849.2652653652131</v>
      </c>
      <c r="BM72" s="552">
        <f t="shared" si="11"/>
        <v>-5820.517671014064</v>
      </c>
      <c r="BN72" s="552">
        <f t="shared" si="11"/>
        <v>-5851.5852624696599</v>
      </c>
      <c r="BO72" s="552">
        <f t="shared" si="11"/>
        <v>-5881.9264567348528</v>
      </c>
      <c r="BP72" s="552">
        <f t="shared" si="11"/>
        <v>-5866.6724845649478</v>
      </c>
      <c r="BQ72" s="552">
        <f t="shared" si="11"/>
        <v>-5838.7668183650203</v>
      </c>
      <c r="BR72" s="552">
        <f t="shared" si="11"/>
        <v>-5926.2872440597903</v>
      </c>
      <c r="BS72" s="552">
        <f t="shared" si="11"/>
        <v>-5957.3624644046686</v>
      </c>
      <c r="BT72" s="552">
        <f t="shared" si="11"/>
        <v>-5942.4275077061775</v>
      </c>
      <c r="BU72" s="552">
        <f t="shared" si="11"/>
        <v>-5915.201323869589</v>
      </c>
      <c r="BV72" s="552">
        <f t="shared" si="11"/>
        <v>-5813.1107077286342</v>
      </c>
      <c r="BW72" s="552">
        <f t="shared" si="11"/>
        <v>-5433.6378304697446</v>
      </c>
      <c r="BX72" s="552">
        <f t="shared" si="11"/>
        <v>-5410.8048802611356</v>
      </c>
      <c r="BY72" s="552">
        <f t="shared" si="11"/>
        <v>-5376.4110627648115</v>
      </c>
      <c r="BZ72" s="552">
        <f t="shared" si="11"/>
        <v>-5409.6704548183316</v>
      </c>
      <c r="CA72" s="552">
        <f t="shared" si="11"/>
        <v>-5410.6092005491755</v>
      </c>
      <c r="CB72" s="552">
        <f t="shared" si="11"/>
        <v>-5365.0367458551082</v>
      </c>
      <c r="CC72" s="552">
        <f t="shared" si="11"/>
        <v>-5156.5968496614978</v>
      </c>
      <c r="CD72" s="552">
        <f t="shared" si="11"/>
        <v>-4635.4811967250052</v>
      </c>
      <c r="CE72" s="552">
        <f t="shared" si="11"/>
        <v>-4670.2074078817031</v>
      </c>
      <c r="CF72" s="552">
        <f t="shared" si="11"/>
        <v>-4658.0351907399381</v>
      </c>
      <c r="CG72" s="552">
        <f t="shared" si="11"/>
        <v>-4632.6384155731694</v>
      </c>
      <c r="CH72" s="552">
        <f t="shared" si="11"/>
        <v>-4654.4799395510099</v>
      </c>
      <c r="CI72" s="552">
        <f t="shared" si="11"/>
        <v>-4690.3300953616026</v>
      </c>
      <c r="CJ72" s="552">
        <f t="shared" si="11"/>
        <v>-4678.8565348451857</v>
      </c>
      <c r="CK72" s="552">
        <f t="shared" si="11"/>
        <v>-4654.2351254146215</v>
      </c>
      <c r="CL72" s="552">
        <f t="shared" si="11"/>
        <v>-4965.8270387247549</v>
      </c>
      <c r="CM72" s="552">
        <f t="shared" si="11"/>
        <v>-5002.0011198530556</v>
      </c>
      <c r="CN72" s="552">
        <f t="shared" si="11"/>
        <v>-4990.4282617092213</v>
      </c>
      <c r="CO72" s="552">
        <f t="shared" si="11"/>
        <v>-4965.8107040008254</v>
      </c>
      <c r="CP72" s="552">
        <f t="shared" si="11"/>
        <v>-4717.9783046696557</v>
      </c>
      <c r="CQ72" s="552">
        <f t="shared" si="11"/>
        <v>-4729.233992308592</v>
      </c>
      <c r="CR72" s="552">
        <f t="shared" si="11"/>
        <v>-4730.658822063725</v>
      </c>
      <c r="CS72" s="552">
        <f t="shared" si="11"/>
        <v>-4706.8642132055456</v>
      </c>
      <c r="CT72" s="552">
        <f t="shared" si="11"/>
        <v>-4735.3356972565371</v>
      </c>
      <c r="CU72" s="552">
        <f t="shared" si="11"/>
        <v>-4772.9048284479113</v>
      </c>
      <c r="CV72" s="552">
        <f t="shared" si="11"/>
        <v>-4761.9850090627306</v>
      </c>
      <c r="CW72" s="552">
        <f t="shared" si="11"/>
        <v>-4738.3327137651941</v>
      </c>
      <c r="CX72" s="552">
        <f t="shared" si="11"/>
        <v>-4768.7511838966802</v>
      </c>
      <c r="CY72" s="552">
        <f t="shared" si="11"/>
        <v>-4806.4773364047887</v>
      </c>
      <c r="CZ72" s="552">
        <f t="shared" si="11"/>
        <v>-4795.3607319199509</v>
      </c>
      <c r="DA72" s="552">
        <f t="shared" si="11"/>
        <v>-4771.6969558088413</v>
      </c>
      <c r="DB72" s="552">
        <f t="shared" si="11"/>
        <v>3.9862031483869642E-13</v>
      </c>
      <c r="DC72" s="552">
        <f t="shared" si="11"/>
        <v>4.0304942944801527E-13</v>
      </c>
      <c r="DD72" s="552">
        <f t="shared" si="11"/>
        <v>4.0747854405733406E-13</v>
      </c>
      <c r="DE72" s="552">
        <f t="shared" si="11"/>
        <v>4.0747854405733406E-13</v>
      </c>
      <c r="DF72" s="552">
        <f t="shared" si="11"/>
        <v>4.0304942944801527E-13</v>
      </c>
      <c r="DG72" s="552">
        <f t="shared" si="11"/>
        <v>4.0304942944801527E-13</v>
      </c>
      <c r="DH72" s="552">
        <f t="shared" si="11"/>
        <v>4.0747854405733406E-13</v>
      </c>
      <c r="DI72" s="552">
        <f t="shared" si="11"/>
        <v>4.0747854405733406E-13</v>
      </c>
      <c r="DJ72" s="552">
        <f t="shared" si="11"/>
        <v>3.9862031483869642E-13</v>
      </c>
      <c r="DK72" s="552">
        <f t="shared" si="11"/>
        <v>4.0304942944801527E-13</v>
      </c>
      <c r="DL72" s="552">
        <f t="shared" si="11"/>
        <v>4.0747854405733406E-13</v>
      </c>
      <c r="DM72" s="552">
        <f t="shared" si="11"/>
        <v>4.0747854405733406E-13</v>
      </c>
      <c r="DN72" s="552">
        <f t="shared" si="11"/>
        <v>3.9862031483869642E-13</v>
      </c>
      <c r="DO72" s="552">
        <f t="shared" si="11"/>
        <v>4.0304942944801527E-13</v>
      </c>
      <c r="DP72" s="552">
        <f t="shared" si="11"/>
        <v>4.0747854405733406E-13</v>
      </c>
      <c r="DQ72" s="552">
        <f t="shared" si="11"/>
        <v>4.0747854405733406E-13</v>
      </c>
      <c r="DR72" s="552">
        <f t="shared" si="11"/>
        <v>3.9862031483869642E-13</v>
      </c>
      <c r="DS72" s="552">
        <f t="shared" si="11"/>
        <v>4.0304942944801527E-13</v>
      </c>
      <c r="DT72" s="552">
        <f t="shared" si="11"/>
        <v>4.0747854405733406E-13</v>
      </c>
      <c r="DU72" s="552">
        <f t="shared" si="11"/>
        <v>4.0747854405733406E-13</v>
      </c>
      <c r="DV72" s="552">
        <f t="shared" si="11"/>
        <v>4.0304942944801527E-13</v>
      </c>
      <c r="DW72" s="552">
        <f t="shared" si="11"/>
        <v>4.0304942944801527E-13</v>
      </c>
      <c r="DX72" s="552">
        <f t="shared" si="11"/>
        <v>4.0747854405733406E-13</v>
      </c>
      <c r="DY72" s="552">
        <f t="shared" si="11"/>
        <v>4.0747854405733406E-13</v>
      </c>
      <c r="DZ72" s="552">
        <f t="shared" si="11"/>
        <v>3.9862031483869642E-13</v>
      </c>
      <c r="EA72" s="552">
        <f t="shared" si="11"/>
        <v>4.0304942944801527E-13</v>
      </c>
      <c r="EB72" s="552">
        <f t="shared" si="11"/>
        <v>4.0747854405733406E-13</v>
      </c>
      <c r="EC72" s="552">
        <f t="shared" si="11"/>
        <v>4.0747854405733406E-13</v>
      </c>
      <c r="ED72" s="552">
        <f t="shared" si="11"/>
        <v>0</v>
      </c>
      <c r="EE72" s="552">
        <f t="shared" si="11"/>
        <v>0</v>
      </c>
      <c r="EF72" s="552">
        <f t="shared" si="11"/>
        <v>0</v>
      </c>
      <c r="EG72" s="552">
        <f t="shared" si="11"/>
        <v>0</v>
      </c>
    </row>
    <row r="74" spans="5:137" ht="12.75">
      <c r="E74" s="538" t="str">
        <f>Cons!E$134</f>
        <v>Sponsor equity - drawdown</v>
      </c>
      <c r="G74" s="539" t="str">
        <f>Cons!G$134</f>
        <v>EUR 000s</v>
      </c>
      <c r="H74" s="539">
        <f>Cons!H$134</f>
        <v>69547.232200616272</v>
      </c>
      <c r="J74" s="539">
        <f>Cons!J$134</f>
        <v>0</v>
      </c>
      <c r="K74" s="539">
        <f>Cons!K$134</f>
        <v>0</v>
      </c>
      <c r="L74" s="539">
        <f>Cons!L$134</f>
        <v>11319.299718665801</v>
      </c>
      <c r="M74" s="539">
        <f>Cons!M$134</f>
        <v>13400.690161983533</v>
      </c>
      <c r="N74" s="539">
        <f>Cons!N$134</f>
        <v>13741.483730168373</v>
      </c>
      <c r="O74" s="539">
        <f>Cons!O$134</f>
        <v>13418.385230476684</v>
      </c>
      <c r="P74" s="539">
        <f>Cons!P$134</f>
        <v>13759.768634277963</v>
      </c>
      <c r="Q74" s="539">
        <f>Cons!Q$134</f>
        <v>3907.6047250439151</v>
      </c>
      <c r="R74" s="539">
        <f>Cons!R$134</f>
        <v>0</v>
      </c>
      <c r="S74" s="539">
        <f>Cons!S$134</f>
        <v>0</v>
      </c>
      <c r="T74" s="539">
        <f>Cons!T$134</f>
        <v>0</v>
      </c>
      <c r="U74" s="539">
        <f>Cons!U$134</f>
        <v>0</v>
      </c>
      <c r="V74" s="539">
        <f>Cons!V$134</f>
        <v>0</v>
      </c>
      <c r="W74" s="539">
        <f>Cons!W$134</f>
        <v>0</v>
      </c>
      <c r="X74" s="539">
        <f>Cons!X$134</f>
        <v>0</v>
      </c>
      <c r="Y74" s="539">
        <f>Cons!Y$134</f>
        <v>0</v>
      </c>
      <c r="Z74" s="539">
        <f>Cons!Z$134</f>
        <v>0</v>
      </c>
      <c r="AA74" s="539">
        <f>Cons!AA$134</f>
        <v>0</v>
      </c>
      <c r="AB74" s="539">
        <f>Cons!AB$134</f>
        <v>0</v>
      </c>
      <c r="AC74" s="539">
        <f>Cons!AC$134</f>
        <v>0</v>
      </c>
      <c r="AD74" s="539">
        <f>Cons!AD$134</f>
        <v>0</v>
      </c>
      <c r="AE74" s="539">
        <f>Cons!AE$134</f>
        <v>0</v>
      </c>
      <c r="AF74" s="539">
        <f>Cons!AF$134</f>
        <v>0</v>
      </c>
      <c r="AG74" s="539">
        <f>Cons!AG$134</f>
        <v>0</v>
      </c>
      <c r="AH74" s="539">
        <f>Cons!AH$134</f>
        <v>0</v>
      </c>
      <c r="AI74" s="539">
        <f>Cons!AI$134</f>
        <v>0</v>
      </c>
      <c r="AJ74" s="539">
        <f>Cons!AJ$134</f>
        <v>0</v>
      </c>
      <c r="AK74" s="539">
        <f>Cons!AK$134</f>
        <v>0</v>
      </c>
      <c r="AL74" s="539">
        <f>Cons!AL$134</f>
        <v>0</v>
      </c>
      <c r="AM74" s="539">
        <f>Cons!AM$134</f>
        <v>0</v>
      </c>
      <c r="AN74" s="539">
        <f>Cons!AN$134</f>
        <v>0</v>
      </c>
      <c r="AO74" s="539">
        <f>Cons!AO$134</f>
        <v>0</v>
      </c>
      <c r="AP74" s="539">
        <f>Cons!AP$134</f>
        <v>0</v>
      </c>
      <c r="AQ74" s="539">
        <f>Cons!AQ$134</f>
        <v>0</v>
      </c>
      <c r="AR74" s="539">
        <f>Cons!AR$134</f>
        <v>0</v>
      </c>
      <c r="AS74" s="539">
        <f>Cons!AS$134</f>
        <v>0</v>
      </c>
      <c r="AT74" s="539">
        <f>Cons!AT$134</f>
        <v>0</v>
      </c>
      <c r="AU74" s="539">
        <f>Cons!AU$134</f>
        <v>0</v>
      </c>
      <c r="AV74" s="539">
        <f>Cons!AV$134</f>
        <v>0</v>
      </c>
      <c r="AW74" s="539">
        <f>Cons!AW$134</f>
        <v>0</v>
      </c>
      <c r="AX74" s="539">
        <f>Cons!AX$134</f>
        <v>0</v>
      </c>
      <c r="AY74" s="539">
        <f>Cons!AY$134</f>
        <v>0</v>
      </c>
      <c r="AZ74" s="539">
        <f>Cons!AZ$134</f>
        <v>0</v>
      </c>
      <c r="BA74" s="539">
        <f>Cons!BA$134</f>
        <v>0</v>
      </c>
      <c r="BB74" s="539">
        <f>Cons!BB$134</f>
        <v>0</v>
      </c>
      <c r="BC74" s="539">
        <f>Cons!BC$134</f>
        <v>0</v>
      </c>
      <c r="BD74" s="539">
        <f>Cons!BD$134</f>
        <v>0</v>
      </c>
      <c r="BE74" s="539">
        <f>Cons!BE$134</f>
        <v>0</v>
      </c>
      <c r="BF74" s="539">
        <f>Cons!BF$134</f>
        <v>0</v>
      </c>
      <c r="BG74" s="539">
        <f>Cons!BG$134</f>
        <v>0</v>
      </c>
      <c r="BH74" s="539">
        <f>Cons!BH$134</f>
        <v>0</v>
      </c>
      <c r="BI74" s="539">
        <f>Cons!BI$134</f>
        <v>0</v>
      </c>
      <c r="BJ74" s="539">
        <f>Cons!BJ$134</f>
        <v>0</v>
      </c>
      <c r="BK74" s="539">
        <f>Cons!BK$134</f>
        <v>0</v>
      </c>
      <c r="BL74" s="539">
        <f>Cons!BL$134</f>
        <v>0</v>
      </c>
      <c r="BM74" s="539">
        <f>Cons!BM$134</f>
        <v>0</v>
      </c>
      <c r="BN74" s="539">
        <f>Cons!BN$134</f>
        <v>0</v>
      </c>
      <c r="BO74" s="539">
        <f>Cons!BO$134</f>
        <v>0</v>
      </c>
      <c r="BP74" s="539">
        <f>Cons!BP$134</f>
        <v>0</v>
      </c>
      <c r="BQ74" s="539">
        <f>Cons!BQ$134</f>
        <v>0</v>
      </c>
      <c r="BR74" s="539">
        <f>Cons!BR$134</f>
        <v>0</v>
      </c>
      <c r="BS74" s="539">
        <f>Cons!BS$134</f>
        <v>0</v>
      </c>
      <c r="BT74" s="539">
        <f>Cons!BT$134</f>
        <v>0</v>
      </c>
      <c r="BU74" s="539">
        <f>Cons!BU$134</f>
        <v>0</v>
      </c>
      <c r="BV74" s="539">
        <f>Cons!BV$134</f>
        <v>0</v>
      </c>
      <c r="BW74" s="539">
        <f>Cons!BW$134</f>
        <v>0</v>
      </c>
      <c r="BX74" s="539">
        <f>Cons!BX$134</f>
        <v>0</v>
      </c>
      <c r="BY74" s="539">
        <f>Cons!BY$134</f>
        <v>0</v>
      </c>
      <c r="BZ74" s="539">
        <f>Cons!BZ$134</f>
        <v>0</v>
      </c>
      <c r="CA74" s="539">
        <f>Cons!CA$134</f>
        <v>0</v>
      </c>
      <c r="CB74" s="539">
        <f>Cons!CB$134</f>
        <v>0</v>
      </c>
      <c r="CC74" s="539">
        <f>Cons!CC$134</f>
        <v>0</v>
      </c>
      <c r="CD74" s="539">
        <f>Cons!CD$134</f>
        <v>0</v>
      </c>
      <c r="CE74" s="539">
        <f>Cons!CE$134</f>
        <v>0</v>
      </c>
      <c r="CF74" s="539">
        <f>Cons!CF$134</f>
        <v>0</v>
      </c>
      <c r="CG74" s="539">
        <f>Cons!CG$134</f>
        <v>0</v>
      </c>
      <c r="CH74" s="539">
        <f>Cons!CH$134</f>
        <v>0</v>
      </c>
      <c r="CI74" s="539">
        <f>Cons!CI$134</f>
        <v>0</v>
      </c>
      <c r="CJ74" s="539">
        <f>Cons!CJ$134</f>
        <v>0</v>
      </c>
      <c r="CK74" s="539">
        <f>Cons!CK$134</f>
        <v>0</v>
      </c>
      <c r="CL74" s="539">
        <f>Cons!CL$134</f>
        <v>0</v>
      </c>
      <c r="CM74" s="539">
        <f>Cons!CM$134</f>
        <v>0</v>
      </c>
      <c r="CN74" s="539">
        <f>Cons!CN$134</f>
        <v>0</v>
      </c>
      <c r="CO74" s="539">
        <f>Cons!CO$134</f>
        <v>0</v>
      </c>
      <c r="CP74" s="539">
        <f>Cons!CP$134</f>
        <v>0</v>
      </c>
      <c r="CQ74" s="539">
        <f>Cons!CQ$134</f>
        <v>0</v>
      </c>
      <c r="CR74" s="539">
        <f>Cons!CR$134</f>
        <v>0</v>
      </c>
      <c r="CS74" s="539">
        <f>Cons!CS$134</f>
        <v>0</v>
      </c>
      <c r="CT74" s="539">
        <f>Cons!CT$134</f>
        <v>0</v>
      </c>
      <c r="CU74" s="539">
        <f>Cons!CU$134</f>
        <v>0</v>
      </c>
      <c r="CV74" s="539">
        <f>Cons!CV$134</f>
        <v>0</v>
      </c>
      <c r="CW74" s="539">
        <f>Cons!CW$134</f>
        <v>0</v>
      </c>
      <c r="CX74" s="539">
        <f>Cons!CX$134</f>
        <v>0</v>
      </c>
      <c r="CY74" s="539">
        <f>Cons!CY$134</f>
        <v>0</v>
      </c>
      <c r="CZ74" s="539">
        <f>Cons!CZ$134</f>
        <v>0</v>
      </c>
      <c r="DA74" s="539">
        <f>Cons!DA$134</f>
        <v>0</v>
      </c>
      <c r="DB74" s="539">
        <f>Cons!DB$134</f>
        <v>0</v>
      </c>
      <c r="DC74" s="539">
        <f>Cons!DC$134</f>
        <v>0</v>
      </c>
      <c r="DD74" s="539">
        <f>Cons!DD$134</f>
        <v>0</v>
      </c>
      <c r="DE74" s="539">
        <f>Cons!DE$134</f>
        <v>0</v>
      </c>
      <c r="DF74" s="539">
        <f>Cons!DF$134</f>
        <v>0</v>
      </c>
      <c r="DG74" s="539">
        <f>Cons!DG$134</f>
        <v>0</v>
      </c>
      <c r="DH74" s="539">
        <f>Cons!DH$134</f>
        <v>0</v>
      </c>
      <c r="DI74" s="539">
        <f>Cons!DI$134</f>
        <v>0</v>
      </c>
      <c r="DJ74" s="539">
        <f>Cons!DJ$134</f>
        <v>0</v>
      </c>
      <c r="DK74" s="539">
        <f>Cons!DK$134</f>
        <v>0</v>
      </c>
      <c r="DL74" s="539">
        <f>Cons!DL$134</f>
        <v>0</v>
      </c>
      <c r="DM74" s="539">
        <f>Cons!DM$134</f>
        <v>0</v>
      </c>
      <c r="DN74" s="539">
        <f>Cons!DN$134</f>
        <v>0</v>
      </c>
      <c r="DO74" s="539">
        <f>Cons!DO$134</f>
        <v>0</v>
      </c>
      <c r="DP74" s="539">
        <f>Cons!DP$134</f>
        <v>0</v>
      </c>
      <c r="DQ74" s="539">
        <f>Cons!DQ$134</f>
        <v>0</v>
      </c>
      <c r="DR74" s="539">
        <f>Cons!DR$134</f>
        <v>0</v>
      </c>
      <c r="DS74" s="539">
        <f>Cons!DS$134</f>
        <v>0</v>
      </c>
      <c r="DT74" s="539">
        <f>Cons!DT$134</f>
        <v>0</v>
      </c>
      <c r="DU74" s="539">
        <f>Cons!DU$134</f>
        <v>0</v>
      </c>
      <c r="DV74" s="539">
        <f>Cons!DV$134</f>
        <v>0</v>
      </c>
      <c r="DW74" s="539">
        <f>Cons!DW$134</f>
        <v>0</v>
      </c>
      <c r="DX74" s="539">
        <f>Cons!DX$134</f>
        <v>0</v>
      </c>
      <c r="DY74" s="539">
        <f>Cons!DY$134</f>
        <v>0</v>
      </c>
      <c r="DZ74" s="539">
        <f>Cons!DZ$134</f>
        <v>0</v>
      </c>
      <c r="EA74" s="539">
        <f>Cons!EA$134</f>
        <v>0</v>
      </c>
      <c r="EB74" s="539">
        <f>Cons!EB$134</f>
        <v>0</v>
      </c>
      <c r="EC74" s="539">
        <f>Cons!EC$134</f>
        <v>0</v>
      </c>
      <c r="ED74" s="539">
        <f>Cons!ED$134</f>
        <v>0</v>
      </c>
      <c r="EE74" s="539">
        <f>Cons!EE$134</f>
        <v>0</v>
      </c>
      <c r="EF74" s="539">
        <f>Cons!EF$134</f>
        <v>0</v>
      </c>
      <c r="EG74" s="539">
        <f>Cons!EG$134</f>
        <v>0</v>
      </c>
    </row>
    <row r="75" spans="5:137" ht="12.75">
      <c r="E75" s="538" t="str">
        <f>Equity!E$48</f>
        <v>Shareholder loan - interest settled</v>
      </c>
      <c r="G75" s="539" t="str">
        <f>Equity!G$48</f>
        <v>EUR 000s</v>
      </c>
      <c r="H75" s="539">
        <f>Equity!H$48</f>
        <v>15429.351676329899</v>
      </c>
      <c r="J75" s="539">
        <f>Equity!J$48</f>
        <v>0</v>
      </c>
      <c r="K75" s="539">
        <f>Equity!K$48</f>
        <v>0</v>
      </c>
      <c r="L75" s="539">
        <f>Equity!L$48</f>
        <v>0</v>
      </c>
      <c r="M75" s="539">
        <f>Equity!M$48</f>
        <v>0</v>
      </c>
      <c r="N75" s="539">
        <f>Equity!N$48</f>
        <v>0</v>
      </c>
      <c r="O75" s="539">
        <f>Equity!O$48</f>
        <v>0</v>
      </c>
      <c r="P75" s="539">
        <f>Equity!P$48</f>
        <v>0</v>
      </c>
      <c r="Q75" s="539">
        <f>Equity!Q$48</f>
        <v>0</v>
      </c>
      <c r="R75" s="539">
        <f>Equity!R$48</f>
        <v>0</v>
      </c>
      <c r="S75" s="539">
        <f>Equity!S$48</f>
        <v>0</v>
      </c>
      <c r="T75" s="539">
        <f>Equity!T$48</f>
        <v>0</v>
      </c>
      <c r="U75" s="539">
        <f>Equity!U$48</f>
        <v>0</v>
      </c>
      <c r="V75" s="539">
        <f>Equity!V$48</f>
        <v>0</v>
      </c>
      <c r="W75" s="539">
        <f>Equity!W$48</f>
        <v>0</v>
      </c>
      <c r="X75" s="539">
        <f>Equity!X$48</f>
        <v>0</v>
      </c>
      <c r="Y75" s="539">
        <f>Equity!Y$48</f>
        <v>0</v>
      </c>
      <c r="Z75" s="539">
        <f>Equity!Z$48</f>
        <v>0</v>
      </c>
      <c r="AA75" s="539">
        <f>Equity!AA$48</f>
        <v>0</v>
      </c>
      <c r="AB75" s="539">
        <f>Equity!AB$48</f>
        <v>0</v>
      </c>
      <c r="AC75" s="539">
        <f>Equity!AC$48</f>
        <v>0</v>
      </c>
      <c r="AD75" s="539">
        <f>Equity!AD$48</f>
        <v>0</v>
      </c>
      <c r="AE75" s="539">
        <f>Equity!AE$48</f>
        <v>0</v>
      </c>
      <c r="AF75" s="539">
        <f>Equity!AF$48</f>
        <v>0</v>
      </c>
      <c r="AG75" s="539">
        <f>Equity!AG$48</f>
        <v>0</v>
      </c>
      <c r="AH75" s="539">
        <f>Equity!AH$48</f>
        <v>1071.5429781374269</v>
      </c>
      <c r="AI75" s="539">
        <f>Equity!AI$48</f>
        <v>1077.9973316179048</v>
      </c>
      <c r="AJ75" s="539">
        <f>Equity!AJ$48</f>
        <v>1050.82349605998</v>
      </c>
      <c r="AK75" s="539">
        <f>Equity!AK$48</f>
        <v>1012.1030926213383</v>
      </c>
      <c r="AL75" s="539">
        <f>Equity!AL$48</f>
        <v>952.42274687426186</v>
      </c>
      <c r="AM75" s="539">
        <f>Equity!AM$48</f>
        <v>921.77940468535701</v>
      </c>
      <c r="AN75" s="539">
        <f>Equity!AN$48</f>
        <v>887.94515691215736</v>
      </c>
      <c r="AO75" s="539">
        <f>Equity!AO$48</f>
        <v>844.17309819080367</v>
      </c>
      <c r="AP75" s="539">
        <f>Equity!AP$48</f>
        <v>783.12552875123345</v>
      </c>
      <c r="AQ75" s="539">
        <f>Equity!AQ$48</f>
        <v>745.48593906623933</v>
      </c>
      <c r="AR75" s="539">
        <f>Equity!AR$48</f>
        <v>704.39428110844801</v>
      </c>
      <c r="AS75" s="539">
        <f>Equity!AS$48</f>
        <v>655.37444241285584</v>
      </c>
      <c r="AT75" s="539">
        <f>Equity!AT$48</f>
        <v>599.43267294288569</v>
      </c>
      <c r="AU75" s="539">
        <f>Equity!AU$48</f>
        <v>577.77829119205717</v>
      </c>
      <c r="AV75" s="539">
        <f>Equity!AV$48</f>
        <v>560.67380378579355</v>
      </c>
      <c r="AW75" s="539">
        <f>Equity!AW$48</f>
        <v>537.39823747367063</v>
      </c>
      <c r="AX75" s="539">
        <f>Equity!AX$48</f>
        <v>503.52184390108283</v>
      </c>
      <c r="AY75" s="539">
        <f>Equity!AY$48</f>
        <v>453.50732356939324</v>
      </c>
      <c r="AZ75" s="539">
        <f>Equity!AZ$48</f>
        <v>399.52554331808381</v>
      </c>
      <c r="BA75" s="539">
        <f>Equity!BA$48</f>
        <v>339.34689841425455</v>
      </c>
      <c r="BB75" s="539">
        <f>Equity!BB$48</f>
        <v>272.8980846823859</v>
      </c>
      <c r="BC75" s="539">
        <f>Equity!BC$48</f>
        <v>214.79849871647352</v>
      </c>
      <c r="BD75" s="539">
        <f>Equity!BD$48</f>
        <v>152.65029218121541</v>
      </c>
      <c r="BE75" s="539">
        <f>Equity!BE$48</f>
        <v>87.951433015574608</v>
      </c>
      <c r="BF75" s="539">
        <f>Equity!BF$48</f>
        <v>22.701256699025635</v>
      </c>
      <c r="BG75" s="539">
        <f>Equity!BG$48</f>
        <v>0</v>
      </c>
      <c r="BH75" s="539">
        <f>Equity!BH$48</f>
        <v>0</v>
      </c>
      <c r="BI75" s="539">
        <f>Equity!BI$48</f>
        <v>0</v>
      </c>
      <c r="BJ75" s="539">
        <f>Equity!BJ$48</f>
        <v>0</v>
      </c>
      <c r="BK75" s="539">
        <f>Equity!BK$48</f>
        <v>0</v>
      </c>
      <c r="BL75" s="539">
        <f>Equity!BL$48</f>
        <v>0</v>
      </c>
      <c r="BM75" s="539">
        <f>Equity!BM$48</f>
        <v>0</v>
      </c>
      <c r="BN75" s="539">
        <f>Equity!BN$48</f>
        <v>0</v>
      </c>
      <c r="BO75" s="539">
        <f>Equity!BO$48</f>
        <v>0</v>
      </c>
      <c r="BP75" s="539">
        <f>Equity!BP$48</f>
        <v>0</v>
      </c>
      <c r="BQ75" s="539">
        <f>Equity!BQ$48</f>
        <v>0</v>
      </c>
      <c r="BR75" s="539">
        <f>Equity!BR$48</f>
        <v>0</v>
      </c>
      <c r="BS75" s="539">
        <f>Equity!BS$48</f>
        <v>0</v>
      </c>
      <c r="BT75" s="539">
        <f>Equity!BT$48</f>
        <v>0</v>
      </c>
      <c r="BU75" s="539">
        <f>Equity!BU$48</f>
        <v>0</v>
      </c>
      <c r="BV75" s="539">
        <f>Equity!BV$48</f>
        <v>0</v>
      </c>
      <c r="BW75" s="539">
        <f>Equity!BW$48</f>
        <v>0</v>
      </c>
      <c r="BX75" s="539">
        <f>Equity!BX$48</f>
        <v>0</v>
      </c>
      <c r="BY75" s="539">
        <f>Equity!BY$48</f>
        <v>0</v>
      </c>
      <c r="BZ75" s="539">
        <f>Equity!BZ$48</f>
        <v>0</v>
      </c>
      <c r="CA75" s="539">
        <f>Equity!CA$48</f>
        <v>0</v>
      </c>
      <c r="CB75" s="539">
        <f>Equity!CB$48</f>
        <v>0</v>
      </c>
      <c r="CC75" s="539">
        <f>Equity!CC$48</f>
        <v>0</v>
      </c>
      <c r="CD75" s="539">
        <f>Equity!CD$48</f>
        <v>0</v>
      </c>
      <c r="CE75" s="539">
        <f>Equity!CE$48</f>
        <v>0</v>
      </c>
      <c r="CF75" s="539">
        <f>Equity!CF$48</f>
        <v>0</v>
      </c>
      <c r="CG75" s="539">
        <f>Equity!CG$48</f>
        <v>0</v>
      </c>
      <c r="CH75" s="539">
        <f>Equity!CH$48</f>
        <v>0</v>
      </c>
      <c r="CI75" s="539">
        <f>Equity!CI$48</f>
        <v>0</v>
      </c>
      <c r="CJ75" s="539">
        <f>Equity!CJ$48</f>
        <v>0</v>
      </c>
      <c r="CK75" s="539">
        <f>Equity!CK$48</f>
        <v>0</v>
      </c>
      <c r="CL75" s="539">
        <f>Equity!CL$48</f>
        <v>0</v>
      </c>
      <c r="CM75" s="539">
        <f>Equity!CM$48</f>
        <v>0</v>
      </c>
      <c r="CN75" s="539">
        <f>Equity!CN$48</f>
        <v>0</v>
      </c>
      <c r="CO75" s="539">
        <f>Equity!CO$48</f>
        <v>0</v>
      </c>
      <c r="CP75" s="539">
        <f>Equity!CP$48</f>
        <v>0</v>
      </c>
      <c r="CQ75" s="539">
        <f>Equity!CQ$48</f>
        <v>0</v>
      </c>
      <c r="CR75" s="539">
        <f>Equity!CR$48</f>
        <v>0</v>
      </c>
      <c r="CS75" s="539">
        <f>Equity!CS$48</f>
        <v>0</v>
      </c>
      <c r="CT75" s="539">
        <f>Equity!CT$48</f>
        <v>0</v>
      </c>
      <c r="CU75" s="539">
        <f>Equity!CU$48</f>
        <v>0</v>
      </c>
      <c r="CV75" s="539">
        <f>Equity!CV$48</f>
        <v>0</v>
      </c>
      <c r="CW75" s="539">
        <f>Equity!CW$48</f>
        <v>0</v>
      </c>
      <c r="CX75" s="539">
        <f>Equity!CX$48</f>
        <v>0</v>
      </c>
      <c r="CY75" s="539">
        <f>Equity!CY$48</f>
        <v>0</v>
      </c>
      <c r="CZ75" s="539">
        <f>Equity!CZ$48</f>
        <v>0</v>
      </c>
      <c r="DA75" s="539">
        <f>Equity!DA$48</f>
        <v>0</v>
      </c>
      <c r="DB75" s="539">
        <f>Equity!DB$48</f>
        <v>0</v>
      </c>
      <c r="DC75" s="539">
        <f>Equity!DC$48</f>
        <v>0</v>
      </c>
      <c r="DD75" s="539">
        <f>Equity!DD$48</f>
        <v>0</v>
      </c>
      <c r="DE75" s="539">
        <f>Equity!DE$48</f>
        <v>0</v>
      </c>
      <c r="DF75" s="539">
        <f>Equity!DF$48</f>
        <v>0</v>
      </c>
      <c r="DG75" s="539">
        <f>Equity!DG$48</f>
        <v>0</v>
      </c>
      <c r="DH75" s="539">
        <f>Equity!DH$48</f>
        <v>0</v>
      </c>
      <c r="DI75" s="539">
        <f>Equity!DI$48</f>
        <v>0</v>
      </c>
      <c r="DJ75" s="539">
        <f>Equity!DJ$48</f>
        <v>0</v>
      </c>
      <c r="DK75" s="539">
        <f>Equity!DK$48</f>
        <v>0</v>
      </c>
      <c r="DL75" s="539">
        <f>Equity!DL$48</f>
        <v>0</v>
      </c>
      <c r="DM75" s="539">
        <f>Equity!DM$48</f>
        <v>0</v>
      </c>
      <c r="DN75" s="539">
        <f>Equity!DN$48</f>
        <v>0</v>
      </c>
      <c r="DO75" s="539">
        <f>Equity!DO$48</f>
        <v>0</v>
      </c>
      <c r="DP75" s="539">
        <f>Equity!DP$48</f>
        <v>0</v>
      </c>
      <c r="DQ75" s="539">
        <f>Equity!DQ$48</f>
        <v>0</v>
      </c>
      <c r="DR75" s="539">
        <f>Equity!DR$48</f>
        <v>0</v>
      </c>
      <c r="DS75" s="539">
        <f>Equity!DS$48</f>
        <v>0</v>
      </c>
      <c r="DT75" s="539">
        <f>Equity!DT$48</f>
        <v>0</v>
      </c>
      <c r="DU75" s="539">
        <f>Equity!DU$48</f>
        <v>0</v>
      </c>
      <c r="DV75" s="539">
        <f>Equity!DV$48</f>
        <v>0</v>
      </c>
      <c r="DW75" s="539">
        <f>Equity!DW$48</f>
        <v>0</v>
      </c>
      <c r="DX75" s="539">
        <f>Equity!DX$48</f>
        <v>0</v>
      </c>
      <c r="DY75" s="539">
        <f>Equity!DY$48</f>
        <v>0</v>
      </c>
      <c r="DZ75" s="539">
        <f>Equity!DZ$48</f>
        <v>0</v>
      </c>
      <c r="EA75" s="539">
        <f>Equity!EA$48</f>
        <v>0</v>
      </c>
      <c r="EB75" s="539">
        <f>Equity!EB$48</f>
        <v>0</v>
      </c>
      <c r="EC75" s="539">
        <f>Equity!EC$48</f>
        <v>0</v>
      </c>
      <c r="ED75" s="539">
        <f>Equity!ED$48</f>
        <v>0</v>
      </c>
      <c r="EE75" s="539">
        <f>Equity!EE$48</f>
        <v>0</v>
      </c>
      <c r="EF75" s="539">
        <f>Equity!EF$48</f>
        <v>0</v>
      </c>
      <c r="EG75" s="539">
        <f>Equity!EG$48</f>
        <v>0</v>
      </c>
    </row>
    <row r="76" spans="5:137" ht="12.75">
      <c r="E76" s="538" t="str">
        <f>Equity!E$58</f>
        <v>Shareholder loan - principal repaid</v>
      </c>
      <c r="G76" s="539" t="str">
        <f>Equity!G$58</f>
        <v>EUR 000s</v>
      </c>
      <c r="H76" s="539">
        <f>Equity!H$58</f>
        <v>62081.458257168386</v>
      </c>
      <c r="J76" s="539">
        <f>Equity!J$58</f>
        <v>0</v>
      </c>
      <c r="K76" s="539">
        <f>Equity!K$58</f>
        <v>0</v>
      </c>
      <c r="L76" s="539">
        <f>Equity!L$58</f>
        <v>0</v>
      </c>
      <c r="M76" s="539">
        <f>Equity!M$58</f>
        <v>0</v>
      </c>
      <c r="N76" s="539">
        <f>Equity!N$58</f>
        <v>0</v>
      </c>
      <c r="O76" s="539">
        <f>Equity!O$58</f>
        <v>0</v>
      </c>
      <c r="P76" s="539">
        <f>Equity!P$58</f>
        <v>1.8189894035458565E-12</v>
      </c>
      <c r="Q76" s="539">
        <f>Equity!Q$58</f>
        <v>0</v>
      </c>
      <c r="R76" s="539">
        <f>Equity!R$58</f>
        <v>0</v>
      </c>
      <c r="S76" s="539">
        <f>Equity!S$58</f>
        <v>0</v>
      </c>
      <c r="T76" s="539">
        <f>Equity!T$58</f>
        <v>0</v>
      </c>
      <c r="U76" s="539">
        <f>Equity!U$58</f>
        <v>0</v>
      </c>
      <c r="V76" s="539">
        <f>Equity!V$58</f>
        <v>0</v>
      </c>
      <c r="W76" s="539">
        <f>Equity!W$58</f>
        <v>0</v>
      </c>
      <c r="X76" s="539">
        <f>Equity!X$58</f>
        <v>0</v>
      </c>
      <c r="Y76" s="539">
        <f>Equity!Y$58</f>
        <v>0</v>
      </c>
      <c r="Z76" s="539">
        <f>Equity!Z$58</f>
        <v>0</v>
      </c>
      <c r="AA76" s="539">
        <f>Equity!AA$58</f>
        <v>0</v>
      </c>
      <c r="AB76" s="539">
        <f>Equity!AB$58</f>
        <v>0</v>
      </c>
      <c r="AC76" s="539">
        <f>Equity!AC$58</f>
        <v>0</v>
      </c>
      <c r="AD76" s="539">
        <f>Equity!AD$58</f>
        <v>0</v>
      </c>
      <c r="AE76" s="539">
        <f>Equity!AE$58</f>
        <v>0</v>
      </c>
      <c r="AF76" s="539">
        <f>Equity!AF$58</f>
        <v>0</v>
      </c>
      <c r="AG76" s="539">
        <f>Equity!AG$58</f>
        <v>0</v>
      </c>
      <c r="AH76" s="539">
        <f>Equity!AH$58</f>
        <v>312.38038581277306</v>
      </c>
      <c r="AI76" s="539">
        <f>Equity!AI$58</f>
        <v>2211.5350046020876</v>
      </c>
      <c r="AJ76" s="539">
        <f>Equity!AJ$58</f>
        <v>2194.5570271900933</v>
      </c>
      <c r="AK76" s="539">
        <f>Equity!AK$58</f>
        <v>2182.9378063720687</v>
      </c>
      <c r="AL76" s="539">
        <f>Equity!AL$58</f>
        <v>2362.2328510633752</v>
      </c>
      <c r="AM76" s="539">
        <f>Equity!AM$58</f>
        <v>2491.7309782557159</v>
      </c>
      <c r="AN76" s="539">
        <f>Equity!AN$58</f>
        <v>2480.8697877785871</v>
      </c>
      <c r="AO76" s="539">
        <f>Equity!AO$58</f>
        <v>2473.6560043158756</v>
      </c>
      <c r="AP76" s="539">
        <f>Equity!AP$58</f>
        <v>2655.3311340419641</v>
      </c>
      <c r="AQ76" s="539">
        <f>Equity!AQ$58</f>
        <v>2793.2594819930591</v>
      </c>
      <c r="AR76" s="539">
        <f>Equity!AR$58</f>
        <v>2778.298311163227</v>
      </c>
      <c r="AS76" s="539">
        <f>Equity!AS$58</f>
        <v>2797.2714274126415</v>
      </c>
      <c r="AT76" s="539">
        <f>Equity!AT$58</f>
        <v>1240.7926748904852</v>
      </c>
      <c r="AU76" s="539">
        <f>Equity!AU$58</f>
        <v>1329.2857577710558</v>
      </c>
      <c r="AV76" s="539">
        <f>Equity!AV$58</f>
        <v>1319.1897055783927</v>
      </c>
      <c r="AW76" s="539">
        <f>Equity!AW$58</f>
        <v>1285.8326135467898</v>
      </c>
      <c r="AX76" s="539">
        <f>Equity!AX$58</f>
        <v>3186.3988590962786</v>
      </c>
      <c r="AY76" s="539">
        <f>Equity!AY$58</f>
        <v>3341.981783069536</v>
      </c>
      <c r="AZ76" s="539">
        <f>Equity!AZ$58</f>
        <v>3410.7461785555397</v>
      </c>
      <c r="BA76" s="539">
        <f>Equity!BA$58</f>
        <v>3422.4084355999721</v>
      </c>
      <c r="BB76" s="539">
        <f>Equity!BB$58</f>
        <v>3502.8417929343987</v>
      </c>
      <c r="BC76" s="539">
        <f>Equity!BC$58</f>
        <v>3656.1568017543354</v>
      </c>
      <c r="BD76" s="539">
        <f>Equity!BD$58</f>
        <v>3666.9384464998284</v>
      </c>
      <c r="BE76" s="539">
        <f>Equity!BE$58</f>
        <v>3669.5934689584969</v>
      </c>
      <c r="BF76" s="539">
        <f>Equity!BF$58</f>
        <v>1315.2315389118025</v>
      </c>
      <c r="BG76" s="539">
        <f>Equity!BG$58</f>
        <v>0</v>
      </c>
      <c r="BH76" s="539">
        <f>Equity!BH$58</f>
        <v>0</v>
      </c>
      <c r="BI76" s="539">
        <f>Equity!BI$58</f>
        <v>0</v>
      </c>
      <c r="BJ76" s="539">
        <f>Equity!BJ$58</f>
        <v>0</v>
      </c>
      <c r="BK76" s="539">
        <f>Equity!BK$58</f>
        <v>0</v>
      </c>
      <c r="BL76" s="539">
        <f>Equity!BL$58</f>
        <v>0</v>
      </c>
      <c r="BM76" s="539">
        <f>Equity!BM$58</f>
        <v>0</v>
      </c>
      <c r="BN76" s="539">
        <f>Equity!BN$58</f>
        <v>0</v>
      </c>
      <c r="BO76" s="539">
        <f>Equity!BO$58</f>
        <v>0</v>
      </c>
      <c r="BP76" s="539">
        <f>Equity!BP$58</f>
        <v>0</v>
      </c>
      <c r="BQ76" s="539">
        <f>Equity!BQ$58</f>
        <v>0</v>
      </c>
      <c r="BR76" s="539">
        <f>Equity!BR$58</f>
        <v>0</v>
      </c>
      <c r="BS76" s="539">
        <f>Equity!BS$58</f>
        <v>0</v>
      </c>
      <c r="BT76" s="539">
        <f>Equity!BT$58</f>
        <v>0</v>
      </c>
      <c r="BU76" s="539">
        <f>Equity!BU$58</f>
        <v>0</v>
      </c>
      <c r="BV76" s="539">
        <f>Equity!BV$58</f>
        <v>0</v>
      </c>
      <c r="BW76" s="539">
        <f>Equity!BW$58</f>
        <v>0</v>
      </c>
      <c r="BX76" s="539">
        <f>Equity!BX$58</f>
        <v>0</v>
      </c>
      <c r="BY76" s="539">
        <f>Equity!BY$58</f>
        <v>0</v>
      </c>
      <c r="BZ76" s="539">
        <f>Equity!BZ$58</f>
        <v>0</v>
      </c>
      <c r="CA76" s="539">
        <f>Equity!CA$58</f>
        <v>0</v>
      </c>
      <c r="CB76" s="539">
        <f>Equity!CB$58</f>
        <v>0</v>
      </c>
      <c r="CC76" s="539">
        <f>Equity!CC$58</f>
        <v>0</v>
      </c>
      <c r="CD76" s="539">
        <f>Equity!CD$58</f>
        <v>0</v>
      </c>
      <c r="CE76" s="539">
        <f>Equity!CE$58</f>
        <v>0</v>
      </c>
      <c r="CF76" s="539">
        <f>Equity!CF$58</f>
        <v>0</v>
      </c>
      <c r="CG76" s="539">
        <f>Equity!CG$58</f>
        <v>0</v>
      </c>
      <c r="CH76" s="539">
        <f>Equity!CH$58</f>
        <v>0</v>
      </c>
      <c r="CI76" s="539">
        <f>Equity!CI$58</f>
        <v>0</v>
      </c>
      <c r="CJ76" s="539">
        <f>Equity!CJ$58</f>
        <v>0</v>
      </c>
      <c r="CK76" s="539">
        <f>Equity!CK$58</f>
        <v>0</v>
      </c>
      <c r="CL76" s="539">
        <f>Equity!CL$58</f>
        <v>0</v>
      </c>
      <c r="CM76" s="539">
        <f>Equity!CM$58</f>
        <v>0</v>
      </c>
      <c r="CN76" s="539">
        <f>Equity!CN$58</f>
        <v>0</v>
      </c>
      <c r="CO76" s="539">
        <f>Equity!CO$58</f>
        <v>0</v>
      </c>
      <c r="CP76" s="539">
        <f>Equity!CP$58</f>
        <v>0</v>
      </c>
      <c r="CQ76" s="539">
        <f>Equity!CQ$58</f>
        <v>0</v>
      </c>
      <c r="CR76" s="539">
        <f>Equity!CR$58</f>
        <v>0</v>
      </c>
      <c r="CS76" s="539">
        <f>Equity!CS$58</f>
        <v>0</v>
      </c>
      <c r="CT76" s="539">
        <f>Equity!CT$58</f>
        <v>0</v>
      </c>
      <c r="CU76" s="539">
        <f>Equity!CU$58</f>
        <v>0</v>
      </c>
      <c r="CV76" s="539">
        <f>Equity!CV$58</f>
        <v>0</v>
      </c>
      <c r="CW76" s="539">
        <f>Equity!CW$58</f>
        <v>0</v>
      </c>
      <c r="CX76" s="539">
        <f>Equity!CX$58</f>
        <v>0</v>
      </c>
      <c r="CY76" s="539">
        <f>Equity!CY$58</f>
        <v>0</v>
      </c>
      <c r="CZ76" s="539">
        <f>Equity!CZ$58</f>
        <v>0</v>
      </c>
      <c r="DA76" s="539">
        <f>Equity!DA$58</f>
        <v>0</v>
      </c>
      <c r="DB76" s="539">
        <f>Equity!DB$58</f>
        <v>0</v>
      </c>
      <c r="DC76" s="539">
        <f>Equity!DC$58</f>
        <v>0</v>
      </c>
      <c r="DD76" s="539">
        <f>Equity!DD$58</f>
        <v>0</v>
      </c>
      <c r="DE76" s="539">
        <f>Equity!DE$58</f>
        <v>0</v>
      </c>
      <c r="DF76" s="539">
        <f>Equity!DF$58</f>
        <v>0</v>
      </c>
      <c r="DG76" s="539">
        <f>Equity!DG$58</f>
        <v>0</v>
      </c>
      <c r="DH76" s="539">
        <f>Equity!DH$58</f>
        <v>0</v>
      </c>
      <c r="DI76" s="539">
        <f>Equity!DI$58</f>
        <v>0</v>
      </c>
      <c r="DJ76" s="539">
        <f>Equity!DJ$58</f>
        <v>0</v>
      </c>
      <c r="DK76" s="539">
        <f>Equity!DK$58</f>
        <v>0</v>
      </c>
      <c r="DL76" s="539">
        <f>Equity!DL$58</f>
        <v>0</v>
      </c>
      <c r="DM76" s="539">
        <f>Equity!DM$58</f>
        <v>0</v>
      </c>
      <c r="DN76" s="539">
        <f>Equity!DN$58</f>
        <v>0</v>
      </c>
      <c r="DO76" s="539">
        <f>Equity!DO$58</f>
        <v>0</v>
      </c>
      <c r="DP76" s="539">
        <f>Equity!DP$58</f>
        <v>0</v>
      </c>
      <c r="DQ76" s="539">
        <f>Equity!DQ$58</f>
        <v>0</v>
      </c>
      <c r="DR76" s="539">
        <f>Equity!DR$58</f>
        <v>0</v>
      </c>
      <c r="DS76" s="539">
        <f>Equity!DS$58</f>
        <v>0</v>
      </c>
      <c r="DT76" s="539">
        <f>Equity!DT$58</f>
        <v>0</v>
      </c>
      <c r="DU76" s="539">
        <f>Equity!DU$58</f>
        <v>0</v>
      </c>
      <c r="DV76" s="539">
        <f>Equity!DV$58</f>
        <v>0</v>
      </c>
      <c r="DW76" s="539">
        <f>Equity!DW$58</f>
        <v>0</v>
      </c>
      <c r="DX76" s="539">
        <f>Equity!DX$58</f>
        <v>0</v>
      </c>
      <c r="DY76" s="539">
        <f>Equity!DY$58</f>
        <v>0</v>
      </c>
      <c r="DZ76" s="539">
        <f>Equity!DZ$58</f>
        <v>0</v>
      </c>
      <c r="EA76" s="539">
        <f>Equity!EA$58</f>
        <v>0</v>
      </c>
      <c r="EB76" s="539">
        <f>Equity!EB$58</f>
        <v>0</v>
      </c>
      <c r="EC76" s="539">
        <f>Equity!EC$58</f>
        <v>0</v>
      </c>
      <c r="ED76" s="539">
        <f>Equity!ED$58</f>
        <v>0</v>
      </c>
      <c r="EE76" s="539">
        <f>Equity!EE$58</f>
        <v>0</v>
      </c>
      <c r="EF76" s="539">
        <f>Equity!EF$58</f>
        <v>0</v>
      </c>
      <c r="EG76" s="539">
        <f>Equity!EG$58</f>
        <v>0</v>
      </c>
    </row>
    <row r="77" spans="5:137" ht="12.75">
      <c r="E77" s="538" t="str">
        <f>Equity!E$81</f>
        <v>Share capital - redeemed from operations end</v>
      </c>
      <c r="G77" s="539" t="str">
        <f>Equity!G$81</f>
        <v>EUR 000s</v>
      </c>
      <c r="H77" s="539">
        <f>Equity!H$81</f>
        <v>13909.446440123251</v>
      </c>
      <c r="J77" s="539">
        <f>Equity!J$81</f>
        <v>0</v>
      </c>
      <c r="K77" s="539">
        <f>Equity!K$81</f>
        <v>0</v>
      </c>
      <c r="L77" s="539">
        <f>Equity!L$81</f>
        <v>0</v>
      </c>
      <c r="M77" s="539">
        <f>Equity!M$81</f>
        <v>0</v>
      </c>
      <c r="N77" s="539">
        <f>Equity!N$81</f>
        <v>0</v>
      </c>
      <c r="O77" s="539">
        <f>Equity!O$81</f>
        <v>0</v>
      </c>
      <c r="P77" s="539">
        <f>Equity!P$81</f>
        <v>0</v>
      </c>
      <c r="Q77" s="539">
        <f>Equity!Q$81</f>
        <v>0</v>
      </c>
      <c r="R77" s="539">
        <f>Equity!R$81</f>
        <v>0</v>
      </c>
      <c r="S77" s="539">
        <f>Equity!S$81</f>
        <v>0</v>
      </c>
      <c r="T77" s="539">
        <f>Equity!T$81</f>
        <v>0</v>
      </c>
      <c r="U77" s="539">
        <f>Equity!U$81</f>
        <v>0</v>
      </c>
      <c r="V77" s="539">
        <f>Equity!V$81</f>
        <v>0</v>
      </c>
      <c r="W77" s="539">
        <f>Equity!W$81</f>
        <v>0</v>
      </c>
      <c r="X77" s="539">
        <f>Equity!X$81</f>
        <v>0</v>
      </c>
      <c r="Y77" s="539">
        <f>Equity!Y$81</f>
        <v>0</v>
      </c>
      <c r="Z77" s="539">
        <f>Equity!Z$81</f>
        <v>0</v>
      </c>
      <c r="AA77" s="539">
        <f>Equity!AA$81</f>
        <v>0</v>
      </c>
      <c r="AB77" s="539">
        <f>Equity!AB$81</f>
        <v>0</v>
      </c>
      <c r="AC77" s="539">
        <f>Equity!AC$81</f>
        <v>0</v>
      </c>
      <c r="AD77" s="539">
        <f>Equity!AD$81</f>
        <v>0</v>
      </c>
      <c r="AE77" s="539">
        <f>Equity!AE$81</f>
        <v>0</v>
      </c>
      <c r="AF77" s="539">
        <f>Equity!AF$81</f>
        <v>0</v>
      </c>
      <c r="AG77" s="539">
        <f>Equity!AG$81</f>
        <v>0</v>
      </c>
      <c r="AH77" s="539">
        <f>Equity!AH$81</f>
        <v>0</v>
      </c>
      <c r="AI77" s="539">
        <f>Equity!AI$81</f>
        <v>0</v>
      </c>
      <c r="AJ77" s="539">
        <f>Equity!AJ$81</f>
        <v>0</v>
      </c>
      <c r="AK77" s="539">
        <f>Equity!AK$81</f>
        <v>0</v>
      </c>
      <c r="AL77" s="539">
        <f>Equity!AL$81</f>
        <v>0</v>
      </c>
      <c r="AM77" s="539">
        <f>Equity!AM$81</f>
        <v>0</v>
      </c>
      <c r="AN77" s="539">
        <f>Equity!AN$81</f>
        <v>0</v>
      </c>
      <c r="AO77" s="539">
        <f>Equity!AO$81</f>
        <v>0</v>
      </c>
      <c r="AP77" s="539">
        <f>Equity!AP$81</f>
        <v>0</v>
      </c>
      <c r="AQ77" s="539">
        <f>Equity!AQ$81</f>
        <v>0</v>
      </c>
      <c r="AR77" s="539">
        <f>Equity!AR$81</f>
        <v>0</v>
      </c>
      <c r="AS77" s="539">
        <f>Equity!AS$81</f>
        <v>0</v>
      </c>
      <c r="AT77" s="539">
        <f>Equity!AT$81</f>
        <v>0</v>
      </c>
      <c r="AU77" s="539">
        <f>Equity!AU$81</f>
        <v>0</v>
      </c>
      <c r="AV77" s="539">
        <f>Equity!AV$81</f>
        <v>0</v>
      </c>
      <c r="AW77" s="539">
        <f>Equity!AW$81</f>
        <v>0</v>
      </c>
      <c r="AX77" s="539">
        <f>Equity!AX$81</f>
        <v>0</v>
      </c>
      <c r="AY77" s="539">
        <f>Equity!AY$81</f>
        <v>0</v>
      </c>
      <c r="AZ77" s="539">
        <f>Equity!AZ$81</f>
        <v>0</v>
      </c>
      <c r="BA77" s="539">
        <f>Equity!BA$81</f>
        <v>0</v>
      </c>
      <c r="BB77" s="539">
        <f>Equity!BB$81</f>
        <v>0</v>
      </c>
      <c r="BC77" s="539">
        <f>Equity!BC$81</f>
        <v>0</v>
      </c>
      <c r="BD77" s="539">
        <f>Equity!BD$81</f>
        <v>0</v>
      </c>
      <c r="BE77" s="539">
        <f>Equity!BE$81</f>
        <v>0</v>
      </c>
      <c r="BF77" s="539">
        <f>Equity!BF$81</f>
        <v>0</v>
      </c>
      <c r="BG77" s="539">
        <f>Equity!BG$81</f>
        <v>0</v>
      </c>
      <c r="BH77" s="539">
        <f>Equity!BH$81</f>
        <v>0</v>
      </c>
      <c r="BI77" s="539">
        <f>Equity!BI$81</f>
        <v>0</v>
      </c>
      <c r="BJ77" s="539">
        <f>Equity!BJ$81</f>
        <v>0</v>
      </c>
      <c r="BK77" s="539">
        <f>Equity!BK$81</f>
        <v>0</v>
      </c>
      <c r="BL77" s="539">
        <f>Equity!BL$81</f>
        <v>0</v>
      </c>
      <c r="BM77" s="539">
        <f>Equity!BM$81</f>
        <v>0</v>
      </c>
      <c r="BN77" s="539">
        <f>Equity!BN$81</f>
        <v>0</v>
      </c>
      <c r="BO77" s="539">
        <f>Equity!BO$81</f>
        <v>0</v>
      </c>
      <c r="BP77" s="539">
        <f>Equity!BP$81</f>
        <v>0</v>
      </c>
      <c r="BQ77" s="539">
        <f>Equity!BQ$81</f>
        <v>0</v>
      </c>
      <c r="BR77" s="539">
        <f>Equity!BR$81</f>
        <v>0</v>
      </c>
      <c r="BS77" s="539">
        <f>Equity!BS$81</f>
        <v>0</v>
      </c>
      <c r="BT77" s="539">
        <f>Equity!BT$81</f>
        <v>0</v>
      </c>
      <c r="BU77" s="539">
        <f>Equity!BU$81</f>
        <v>0</v>
      </c>
      <c r="BV77" s="539">
        <f>Equity!BV$81</f>
        <v>0</v>
      </c>
      <c r="BW77" s="539">
        <f>Equity!BW$81</f>
        <v>0</v>
      </c>
      <c r="BX77" s="539">
        <f>Equity!BX$81</f>
        <v>0</v>
      </c>
      <c r="BY77" s="539">
        <f>Equity!BY$81</f>
        <v>0</v>
      </c>
      <c r="BZ77" s="539">
        <f>Equity!BZ$81</f>
        <v>0</v>
      </c>
      <c r="CA77" s="539">
        <f>Equity!CA$81</f>
        <v>0</v>
      </c>
      <c r="CB77" s="539">
        <f>Equity!CB$81</f>
        <v>0</v>
      </c>
      <c r="CC77" s="539">
        <f>Equity!CC$81</f>
        <v>0</v>
      </c>
      <c r="CD77" s="539">
        <f>Equity!CD$81</f>
        <v>0</v>
      </c>
      <c r="CE77" s="539">
        <f>Equity!CE$81</f>
        <v>0</v>
      </c>
      <c r="CF77" s="539">
        <f>Equity!CF$81</f>
        <v>0</v>
      </c>
      <c r="CG77" s="539">
        <f>Equity!CG$81</f>
        <v>0</v>
      </c>
      <c r="CH77" s="539">
        <f>Equity!CH$81</f>
        <v>0</v>
      </c>
      <c r="CI77" s="539">
        <f>Equity!CI$81</f>
        <v>0</v>
      </c>
      <c r="CJ77" s="539">
        <f>Equity!CJ$81</f>
        <v>0</v>
      </c>
      <c r="CK77" s="539">
        <f>Equity!CK$81</f>
        <v>0</v>
      </c>
      <c r="CL77" s="539">
        <f>Equity!CL$81</f>
        <v>0</v>
      </c>
      <c r="CM77" s="539">
        <f>Equity!CM$81</f>
        <v>0</v>
      </c>
      <c r="CN77" s="539">
        <f>Equity!CN$81</f>
        <v>0</v>
      </c>
      <c r="CO77" s="539">
        <f>Equity!CO$81</f>
        <v>0</v>
      </c>
      <c r="CP77" s="539">
        <f>Equity!CP$81</f>
        <v>0</v>
      </c>
      <c r="CQ77" s="539">
        <f>Equity!CQ$81</f>
        <v>0</v>
      </c>
      <c r="CR77" s="539">
        <f>Equity!CR$81</f>
        <v>0</v>
      </c>
      <c r="CS77" s="539">
        <f>Equity!CS$81</f>
        <v>0</v>
      </c>
      <c r="CT77" s="539">
        <f>Equity!CT$81</f>
        <v>0</v>
      </c>
      <c r="CU77" s="539">
        <f>Equity!CU$81</f>
        <v>0</v>
      </c>
      <c r="CV77" s="539">
        <f>Equity!CV$81</f>
        <v>0</v>
      </c>
      <c r="CW77" s="539">
        <f>Equity!CW$81</f>
        <v>0</v>
      </c>
      <c r="CX77" s="539">
        <f>Equity!CX$81</f>
        <v>0</v>
      </c>
      <c r="CY77" s="539">
        <f>Equity!CY$81</f>
        <v>0</v>
      </c>
      <c r="CZ77" s="539">
        <f>Equity!CZ$81</f>
        <v>0</v>
      </c>
      <c r="DA77" s="539">
        <f>Equity!DA$81</f>
        <v>0</v>
      </c>
      <c r="DB77" s="539">
        <f>Equity!DB$81</f>
        <v>0</v>
      </c>
      <c r="DC77" s="539">
        <f>Equity!DC$81</f>
        <v>0</v>
      </c>
      <c r="DD77" s="539">
        <f>Equity!DD$81</f>
        <v>0</v>
      </c>
      <c r="DE77" s="539">
        <f>Equity!DE$81</f>
        <v>0</v>
      </c>
      <c r="DF77" s="539">
        <f>Equity!DF$81</f>
        <v>0</v>
      </c>
      <c r="DG77" s="539">
        <f>Equity!DG$81</f>
        <v>0</v>
      </c>
      <c r="DH77" s="539">
        <f>Equity!DH$81</f>
        <v>0</v>
      </c>
      <c r="DI77" s="539">
        <f>Equity!DI$81</f>
        <v>0</v>
      </c>
      <c r="DJ77" s="539">
        <f>Equity!DJ$81</f>
        <v>0</v>
      </c>
      <c r="DK77" s="539">
        <f>Equity!DK$81</f>
        <v>0</v>
      </c>
      <c r="DL77" s="539">
        <f>Equity!DL$81</f>
        <v>0</v>
      </c>
      <c r="DM77" s="539">
        <f>Equity!DM$81</f>
        <v>0</v>
      </c>
      <c r="DN77" s="539">
        <f>Equity!DN$81</f>
        <v>0</v>
      </c>
      <c r="DO77" s="539">
        <f>Equity!DO$81</f>
        <v>0</v>
      </c>
      <c r="DP77" s="539">
        <f>Equity!DP$81</f>
        <v>0</v>
      </c>
      <c r="DQ77" s="539">
        <f>Equity!DQ$81</f>
        <v>0</v>
      </c>
      <c r="DR77" s="539">
        <f>Equity!DR$81</f>
        <v>0</v>
      </c>
      <c r="DS77" s="539">
        <f>Equity!DS$81</f>
        <v>0</v>
      </c>
      <c r="DT77" s="539">
        <f>Equity!DT$81</f>
        <v>0</v>
      </c>
      <c r="DU77" s="539">
        <f>Equity!DU$81</f>
        <v>0</v>
      </c>
      <c r="DV77" s="539">
        <f>Equity!DV$81</f>
        <v>0</v>
      </c>
      <c r="DW77" s="539">
        <f>Equity!DW$81</f>
        <v>0</v>
      </c>
      <c r="DX77" s="539">
        <f>Equity!DX$81</f>
        <v>0</v>
      </c>
      <c r="DY77" s="539">
        <f>Equity!DY$81</f>
        <v>0</v>
      </c>
      <c r="DZ77" s="539">
        <f>Equity!DZ$81</f>
        <v>0</v>
      </c>
      <c r="EA77" s="539">
        <f>Equity!EA$81</f>
        <v>0</v>
      </c>
      <c r="EB77" s="539">
        <f>Equity!EB$81</f>
        <v>0</v>
      </c>
      <c r="EC77" s="539">
        <f>Equity!EC$81</f>
        <v>13909.446440123251</v>
      </c>
      <c r="ED77" s="539">
        <f>Equity!ED$81</f>
        <v>0</v>
      </c>
      <c r="EE77" s="539">
        <f>Equity!EE$81</f>
        <v>0</v>
      </c>
      <c r="EF77" s="539">
        <f>Equity!EF$81</f>
        <v>0</v>
      </c>
      <c r="EG77" s="539">
        <f>Equity!EG$81</f>
        <v>0</v>
      </c>
    </row>
    <row r="78" spans="5:137" ht="12.75">
      <c r="E78" s="538" t="str">
        <f>Equity!E$91</f>
        <v>Dividends - paid</v>
      </c>
      <c r="G78" s="539" t="str">
        <f>Equity!G$91</f>
        <v>EUR 000s</v>
      </c>
      <c r="H78" s="539">
        <f>Equity!H$91</f>
        <v>450809.27108649502</v>
      </c>
      <c r="J78" s="539">
        <f>Equity!J$91</f>
        <v>0</v>
      </c>
      <c r="K78" s="539">
        <f>Equity!K$91</f>
        <v>0</v>
      </c>
      <c r="L78" s="539">
        <f>Equity!L$91</f>
        <v>0</v>
      </c>
      <c r="M78" s="539">
        <f>Equity!M$91</f>
        <v>0</v>
      </c>
      <c r="N78" s="539">
        <f>Equity!N$91</f>
        <v>0</v>
      </c>
      <c r="O78" s="539">
        <f>Equity!O$91</f>
        <v>0</v>
      </c>
      <c r="P78" s="539">
        <f>Equity!P$91</f>
        <v>0</v>
      </c>
      <c r="Q78" s="539">
        <f>Equity!Q$91</f>
        <v>0</v>
      </c>
      <c r="R78" s="539">
        <f>Equity!R$91</f>
        <v>0</v>
      </c>
      <c r="S78" s="539">
        <f>Equity!S$91</f>
        <v>0</v>
      </c>
      <c r="T78" s="539">
        <f>Equity!T$91</f>
        <v>0</v>
      </c>
      <c r="U78" s="539">
        <f>Equity!U$91</f>
        <v>0</v>
      </c>
      <c r="V78" s="539">
        <f>Equity!V$91</f>
        <v>0</v>
      </c>
      <c r="W78" s="539">
        <f>Equity!W$91</f>
        <v>0</v>
      </c>
      <c r="X78" s="539">
        <f>Equity!X$91</f>
        <v>0</v>
      </c>
      <c r="Y78" s="539">
        <f>Equity!Y$91</f>
        <v>0</v>
      </c>
      <c r="Z78" s="539">
        <f>Equity!Z$91</f>
        <v>0</v>
      </c>
      <c r="AA78" s="539">
        <f>Equity!AA$91</f>
        <v>0</v>
      </c>
      <c r="AB78" s="539">
        <f>Equity!AB$91</f>
        <v>0</v>
      </c>
      <c r="AC78" s="539">
        <f>Equity!AC$91</f>
        <v>0</v>
      </c>
      <c r="AD78" s="539">
        <f>Equity!AD$91</f>
        <v>0</v>
      </c>
      <c r="AE78" s="539">
        <f>Equity!AE$91</f>
        <v>0</v>
      </c>
      <c r="AF78" s="539">
        <f>Equity!AF$91</f>
        <v>0</v>
      </c>
      <c r="AG78" s="539">
        <f>Equity!AG$91</f>
        <v>0</v>
      </c>
      <c r="AH78" s="539">
        <f>Equity!AH$91</f>
        <v>0</v>
      </c>
      <c r="AI78" s="539">
        <f>Equity!AI$91</f>
        <v>0</v>
      </c>
      <c r="AJ78" s="539">
        <f>Equity!AJ$91</f>
        <v>0</v>
      </c>
      <c r="AK78" s="539">
        <f>Equity!AK$91</f>
        <v>0</v>
      </c>
      <c r="AL78" s="539">
        <f>Equity!AL$91</f>
        <v>0</v>
      </c>
      <c r="AM78" s="539">
        <f>Equity!AM$91</f>
        <v>0</v>
      </c>
      <c r="AN78" s="539">
        <f>Equity!AN$91</f>
        <v>0</v>
      </c>
      <c r="AO78" s="539">
        <f>Equity!AO$91</f>
        <v>0</v>
      </c>
      <c r="AP78" s="539">
        <f>Equity!AP$91</f>
        <v>0</v>
      </c>
      <c r="AQ78" s="539">
        <f>Equity!AQ$91</f>
        <v>0</v>
      </c>
      <c r="AR78" s="539">
        <f>Equity!AR$91</f>
        <v>0</v>
      </c>
      <c r="AS78" s="539">
        <f>Equity!AS$91</f>
        <v>0</v>
      </c>
      <c r="AT78" s="539">
        <f>Equity!AT$91</f>
        <v>0</v>
      </c>
      <c r="AU78" s="539">
        <f>Equity!AU$91</f>
        <v>0</v>
      </c>
      <c r="AV78" s="539">
        <f>Equity!AV$91</f>
        <v>0</v>
      </c>
      <c r="AW78" s="539">
        <f>Equity!AW$91</f>
        <v>0</v>
      </c>
      <c r="AX78" s="539">
        <f>Equity!AX$91</f>
        <v>0</v>
      </c>
      <c r="AY78" s="539">
        <f>Equity!AY$91</f>
        <v>0</v>
      </c>
      <c r="AZ78" s="539">
        <f>Equity!AZ$91</f>
        <v>0</v>
      </c>
      <c r="BA78" s="539">
        <f>Equity!BA$91</f>
        <v>0</v>
      </c>
      <c r="BB78" s="539">
        <f>Equity!BB$91</f>
        <v>0</v>
      </c>
      <c r="BC78" s="539">
        <f>Equity!BC$91</f>
        <v>0</v>
      </c>
      <c r="BD78" s="539">
        <f>Equity!BD$91</f>
        <v>0</v>
      </c>
      <c r="BE78" s="539">
        <f>Equity!BE$91</f>
        <v>0</v>
      </c>
      <c r="BF78" s="539">
        <f>Equity!BF$91</f>
        <v>2527.6157695725174</v>
      </c>
      <c r="BG78" s="539">
        <f>Equity!BG$91</f>
        <v>3963.7340210591155</v>
      </c>
      <c r="BH78" s="539">
        <f>Equity!BH$91</f>
        <v>3901.9818208723086</v>
      </c>
      <c r="BI78" s="539">
        <f>Equity!BI$91</f>
        <v>3863.3396261250573</v>
      </c>
      <c r="BJ78" s="539">
        <f>Equity!BJ$91</f>
        <v>3981.7948466400562</v>
      </c>
      <c r="BK78" s="539">
        <f>Equity!BK$91</f>
        <v>4041.5037487339391</v>
      </c>
      <c r="BL78" s="539">
        <f>Equity!BL$91</f>
        <v>4013.5705589641948</v>
      </c>
      <c r="BM78" s="539">
        <f>Equity!BM$91</f>
        <v>3952.9034566736409</v>
      </c>
      <c r="BN78" s="539">
        <f>Equity!BN$91</f>
        <v>2097.5193655527028</v>
      </c>
      <c r="BO78" s="539">
        <f>Equity!BO$91</f>
        <v>2200.864273878366</v>
      </c>
      <c r="BP78" s="539">
        <f>Equity!BP$91</f>
        <v>2098.1063109146212</v>
      </c>
      <c r="BQ78" s="539">
        <f>Equity!BQ$91</f>
        <v>2037.8164184080592</v>
      </c>
      <c r="BR78" s="539">
        <f>Equity!BR$91</f>
        <v>4224.1553525130121</v>
      </c>
      <c r="BS78" s="539">
        <f>Equity!BS$91</f>
        <v>4329.7689293072381</v>
      </c>
      <c r="BT78" s="539">
        <f>Equity!BT$91</f>
        <v>4419.8055567868232</v>
      </c>
      <c r="BU78" s="539">
        <f>Equity!BU$91</f>
        <v>4770.8603254831687</v>
      </c>
      <c r="BV78" s="539">
        <f>Equity!BV$91</f>
        <v>4626.1012277867885</v>
      </c>
      <c r="BW78" s="539">
        <f>Equity!BW$91</f>
        <v>3945.1397120020174</v>
      </c>
      <c r="BX78" s="539">
        <f>Equity!BX$91</f>
        <v>3887.6124417460055</v>
      </c>
      <c r="BY78" s="539">
        <f>Equity!BY$91</f>
        <v>3843.3319181364645</v>
      </c>
      <c r="BZ78" s="539">
        <f>Equity!BZ$91</f>
        <v>3978.3991178064584</v>
      </c>
      <c r="CA78" s="539">
        <f>Equity!CA$91</f>
        <v>4211.4281415911701</v>
      </c>
      <c r="CB78" s="539">
        <f>Equity!CB$91</f>
        <v>4139.4003880005166</v>
      </c>
      <c r="CC78" s="539">
        <f>Equity!CC$91</f>
        <v>3736.011479524982</v>
      </c>
      <c r="CD78" s="539">
        <f>Equity!CD$91</f>
        <v>4321.3134548763692</v>
      </c>
      <c r="CE78" s="539">
        <f>Equity!CE$91</f>
        <v>4413.9780591819081</v>
      </c>
      <c r="CF78" s="539">
        <f>Equity!CF$91</f>
        <v>4368.5578436146661</v>
      </c>
      <c r="CG78" s="539">
        <f>Equity!CG$91</f>
        <v>4283.5118246307165</v>
      </c>
      <c r="CH78" s="539">
        <f>Equity!CH$91</f>
        <v>2110.5359724491877</v>
      </c>
      <c r="CI78" s="539">
        <f>Equity!CI$91</f>
        <v>2204.6023940287428</v>
      </c>
      <c r="CJ78" s="539">
        <f>Equity!CJ$91</f>
        <v>1870.785150550882</v>
      </c>
      <c r="CK78" s="539">
        <f>Equity!CK$91</f>
        <v>1786.9171601948424</v>
      </c>
      <c r="CL78" s="539">
        <f>Equity!CL$91</f>
        <v>4628.8303227158403</v>
      </c>
      <c r="CM78" s="539">
        <f>Equity!CM$91</f>
        <v>4723.5203653725785</v>
      </c>
      <c r="CN78" s="539">
        <f>Equity!CN$91</f>
        <v>4948.935086001231</v>
      </c>
      <c r="CO78" s="539">
        <f>Equity!CO$91</f>
        <v>4889.99295027068</v>
      </c>
      <c r="CP78" s="539">
        <f>Equity!CP$91</f>
        <v>4408.4942242291327</v>
      </c>
      <c r="CQ78" s="539">
        <f>Equity!CQ$91</f>
        <v>4454.0921236772019</v>
      </c>
      <c r="CR78" s="539">
        <f>Equity!CR$91</f>
        <v>4428.3806644411152</v>
      </c>
      <c r="CS78" s="539">
        <f>Equity!CS$91</f>
        <v>4344.7192119229667</v>
      </c>
      <c r="CT78" s="539">
        <f>Equity!CT$91</f>
        <v>4410.7908852154824</v>
      </c>
      <c r="CU78" s="539">
        <f>Equity!CU$91</f>
        <v>4507.2180043044709</v>
      </c>
      <c r="CV78" s="539">
        <f>Equity!CV$91</f>
        <v>4455.6468509356973</v>
      </c>
      <c r="CW78" s="539">
        <f>Equity!CW$91</f>
        <v>4372.1040514103006</v>
      </c>
      <c r="CX78" s="539">
        <f>Equity!CX$91</f>
        <v>4442.1439989063965</v>
      </c>
      <c r="CY78" s="539">
        <f>Equity!CY$91</f>
        <v>4538.8867633803111</v>
      </c>
      <c r="CZ78" s="539">
        <f>Equity!CZ$91</f>
        <v>9289.0498453167747</v>
      </c>
      <c r="DA78" s="539">
        <f>Equity!DA$91</f>
        <v>9243.2109589193478</v>
      </c>
      <c r="DB78" s="539">
        <f>Equity!DB$91</f>
        <v>6730.8032201585938</v>
      </c>
      <c r="DC78" s="539">
        <f>Equity!DC$91</f>
        <v>6819.6943690281241</v>
      </c>
      <c r="DD78" s="539">
        <f>Equity!DD$91</f>
        <v>6814.0398522326241</v>
      </c>
      <c r="DE78" s="539">
        <f>Equity!DE$91</f>
        <v>6785.1271000854231</v>
      </c>
      <c r="DF78" s="539">
        <f>Equity!DF$91</f>
        <v>10042.297500103878</v>
      </c>
      <c r="DG78" s="539">
        <f>Equity!DG$91</f>
        <v>10083.037086594606</v>
      </c>
      <c r="DH78" s="539">
        <f>Equity!DH$91</f>
        <v>10103.030440845592</v>
      </c>
      <c r="DI78" s="539">
        <f>Equity!DI$91</f>
        <v>10074.710093976457</v>
      </c>
      <c r="DJ78" s="539">
        <f>Equity!DJ$91</f>
        <v>9531.0000277068248</v>
      </c>
      <c r="DK78" s="539">
        <f>Equity!DK$91</f>
        <v>9622.5760692221538</v>
      </c>
      <c r="DL78" s="539">
        <f>Equity!DL$91</f>
        <v>9618.4891847043327</v>
      </c>
      <c r="DM78" s="539">
        <f>Equity!DM$91</f>
        <v>9590.6249782264968</v>
      </c>
      <c r="DN78" s="539">
        <f>Equity!DN$91</f>
        <v>9679.6513243283043</v>
      </c>
      <c r="DO78" s="539">
        <f>Equity!DO$91</f>
        <v>9772.3259446832872</v>
      </c>
      <c r="DP78" s="539">
        <f>Equity!DP$91</f>
        <v>9768.8299907587207</v>
      </c>
      <c r="DQ78" s="539">
        <f>Equity!DQ$91</f>
        <v>9741.3091688148925</v>
      </c>
      <c r="DR78" s="539">
        <f>Equity!DR$91</f>
        <v>9833.1752700445759</v>
      </c>
      <c r="DS78" s="539">
        <f>Equity!DS$91</f>
        <v>9926.8134161951511</v>
      </c>
      <c r="DT78" s="539">
        <f>Equity!DT$91</f>
        <v>9923.8082057289866</v>
      </c>
      <c r="DU78" s="539">
        <f>Equity!DU$91</f>
        <v>9896.5376166003607</v>
      </c>
      <c r="DV78" s="539">
        <f>Equity!DV$91</f>
        <v>10016.918852742816</v>
      </c>
      <c r="DW78" s="539">
        <f>Equity!DW$91</f>
        <v>10059.983606963106</v>
      </c>
      <c r="DX78" s="539">
        <f>Equity!DX$91</f>
        <v>10083.094712487115</v>
      </c>
      <c r="DY78" s="539">
        <f>Equity!DY$91</f>
        <v>8058.7377291418616</v>
      </c>
      <c r="DZ78" s="539">
        <f>Equity!DZ$91</f>
        <v>7998.4180876236478</v>
      </c>
      <c r="EA78" s="539">
        <f>Equity!EA$91</f>
        <v>7998.4180876236478</v>
      </c>
      <c r="EB78" s="539">
        <f>Equity!EB$91</f>
        <v>7998.4180876236487</v>
      </c>
      <c r="EC78" s="539">
        <f>Equity!EC$91</f>
        <v>5690.0004154234884</v>
      </c>
      <c r="ED78" s="539">
        <f>Equity!ED$91</f>
        <v>2308.4176722000593</v>
      </c>
      <c r="EE78" s="539">
        <f>Equity!EE$91</f>
        <v>0</v>
      </c>
      <c r="EF78" s="539">
        <f>Equity!EF$91</f>
        <v>0</v>
      </c>
      <c r="EG78" s="539">
        <f>Equity!EG$91</f>
        <v>0</v>
      </c>
    </row>
    <row r="79" spans="5:137" ht="12.75">
      <c r="E79" s="551" t="s">
        <v>523</v>
      </c>
      <c r="F79" s="552"/>
      <c r="G79" s="552" t="s">
        <v>30</v>
      </c>
      <c r="H79" s="552">
        <f>SUM(J79:EG79)</f>
        <v>-472682.29525950027</v>
      </c>
      <c r="I79" s="552"/>
      <c r="J79" s="552">
        <f t="shared" si="12" ref="J79:EG79">J74-J75-J76-J77-J78</f>
        <v>0</v>
      </c>
      <c r="K79" s="552">
        <f t="shared" si="12"/>
        <v>0</v>
      </c>
      <c r="L79" s="552">
        <f t="shared" si="12"/>
        <v>11319.299718665801</v>
      </c>
      <c r="M79" s="552">
        <f t="shared" si="12"/>
        <v>13400.690161983533</v>
      </c>
      <c r="N79" s="552">
        <f t="shared" si="12"/>
        <v>13741.483730168373</v>
      </c>
      <c r="O79" s="552">
        <f t="shared" si="12"/>
        <v>13418.385230476684</v>
      </c>
      <c r="P79" s="552">
        <f t="shared" si="12"/>
        <v>13759.768634277962</v>
      </c>
      <c r="Q79" s="552">
        <f t="shared" si="12"/>
        <v>3907.6047250439151</v>
      </c>
      <c r="R79" s="552">
        <f t="shared" si="12"/>
        <v>0</v>
      </c>
      <c r="S79" s="552">
        <f t="shared" si="12"/>
        <v>0</v>
      </c>
      <c r="T79" s="552">
        <f t="shared" si="12"/>
        <v>0</v>
      </c>
      <c r="U79" s="552">
        <f t="shared" si="12"/>
        <v>0</v>
      </c>
      <c r="V79" s="552">
        <f t="shared" si="12"/>
        <v>0</v>
      </c>
      <c r="W79" s="552">
        <f t="shared" si="12"/>
        <v>0</v>
      </c>
      <c r="X79" s="552">
        <f t="shared" si="12"/>
        <v>0</v>
      </c>
      <c r="Y79" s="552">
        <f t="shared" si="12"/>
        <v>0</v>
      </c>
      <c r="Z79" s="552">
        <f t="shared" si="12"/>
        <v>0</v>
      </c>
      <c r="AA79" s="552">
        <f t="shared" si="12"/>
        <v>0</v>
      </c>
      <c r="AB79" s="552">
        <f t="shared" si="12"/>
        <v>0</v>
      </c>
      <c r="AC79" s="552">
        <f t="shared" si="12"/>
        <v>0</v>
      </c>
      <c r="AD79" s="552">
        <f t="shared" si="12"/>
        <v>0</v>
      </c>
      <c r="AE79" s="552">
        <f t="shared" si="12"/>
        <v>0</v>
      </c>
      <c r="AF79" s="552">
        <f t="shared" si="12"/>
        <v>0</v>
      </c>
      <c r="AG79" s="552">
        <f t="shared" si="12"/>
        <v>0</v>
      </c>
      <c r="AH79" s="552">
        <f t="shared" si="12"/>
        <v>-1383.9233639501999</v>
      </c>
      <c r="AI79" s="552">
        <f t="shared" si="12"/>
        <v>-3289.5323362199924</v>
      </c>
      <c r="AJ79" s="552">
        <f t="shared" si="12"/>
        <v>-3245.3805232500736</v>
      </c>
      <c r="AK79" s="552">
        <f t="shared" si="12"/>
        <v>-3195.0408989934072</v>
      </c>
      <c r="AL79" s="552">
        <f t="shared" si="12"/>
        <v>-3314.6555979376371</v>
      </c>
      <c r="AM79" s="552">
        <f t="shared" si="12"/>
        <v>-3413.5103829410727</v>
      </c>
      <c r="AN79" s="552">
        <f t="shared" si="12"/>
        <v>-3368.8149446907446</v>
      </c>
      <c r="AO79" s="552">
        <f t="shared" si="12"/>
        <v>-3317.8291025066792</v>
      </c>
      <c r="AP79" s="552">
        <f t="shared" si="12"/>
        <v>-3438.4566627931977</v>
      </c>
      <c r="AQ79" s="552">
        <f t="shared" si="12"/>
        <v>-3538.7454210592987</v>
      </c>
      <c r="AR79" s="552">
        <f t="shared" si="12"/>
        <v>-3482.692592271675</v>
      </c>
      <c r="AS79" s="552">
        <f t="shared" si="12"/>
        <v>-3452.6458698254974</v>
      </c>
      <c r="AT79" s="552">
        <f t="shared" si="12"/>
        <v>-1840.225347833371</v>
      </c>
      <c r="AU79" s="552">
        <f t="shared" si="12"/>
        <v>-1907.064048963113</v>
      </c>
      <c r="AV79" s="552">
        <f t="shared" si="12"/>
        <v>-1879.8635093641863</v>
      </c>
      <c r="AW79" s="552">
        <f t="shared" si="12"/>
        <v>-1823.2308510204605</v>
      </c>
      <c r="AX79" s="552">
        <f t="shared" si="12"/>
        <v>-3689.9207029973613</v>
      </c>
      <c r="AY79" s="552">
        <f t="shared" si="12"/>
        <v>-3795.4891066389291</v>
      </c>
      <c r="AZ79" s="552">
        <f t="shared" si="12"/>
        <v>-3810.2717218736234</v>
      </c>
      <c r="BA79" s="552">
        <f t="shared" si="12"/>
        <v>-3761.7553340142267</v>
      </c>
      <c r="BB79" s="552">
        <f t="shared" si="12"/>
        <v>-3775.7398776167847</v>
      </c>
      <c r="BC79" s="552">
        <f t="shared" si="12"/>
        <v>-3870.9553004708091</v>
      </c>
      <c r="BD79" s="552">
        <f t="shared" si="12"/>
        <v>-3819.5887386810437</v>
      </c>
      <c r="BE79" s="552">
        <f t="shared" si="12"/>
        <v>-3757.5449019740718</v>
      </c>
      <c r="BF79" s="552">
        <f t="shared" si="12"/>
        <v>-3865.5485651833455</v>
      </c>
      <c r="BG79" s="552">
        <f t="shared" si="12"/>
        <v>-3963.7340210591155</v>
      </c>
      <c r="BH79" s="552">
        <f t="shared" si="12"/>
        <v>-3901.9818208723086</v>
      </c>
      <c r="BI79" s="552">
        <f t="shared" si="12"/>
        <v>-3863.3396261250573</v>
      </c>
      <c r="BJ79" s="552">
        <f t="shared" si="12"/>
        <v>-3981.7948466400562</v>
      </c>
      <c r="BK79" s="552">
        <f t="shared" si="12"/>
        <v>-4041.5037487339391</v>
      </c>
      <c r="BL79" s="552">
        <f t="shared" si="12"/>
        <v>-4013.5705589641948</v>
      </c>
      <c r="BM79" s="552">
        <f t="shared" si="12"/>
        <v>-3952.9034566736409</v>
      </c>
      <c r="BN79" s="552">
        <f t="shared" si="12"/>
        <v>-2097.5193655527028</v>
      </c>
      <c r="BO79" s="552">
        <f t="shared" si="12"/>
        <v>-2200.864273878366</v>
      </c>
      <c r="BP79" s="552">
        <f t="shared" si="12"/>
        <v>-2098.1063109146212</v>
      </c>
      <c r="BQ79" s="552">
        <f t="shared" si="12"/>
        <v>-2037.8164184080592</v>
      </c>
      <c r="BR79" s="552">
        <f t="shared" si="12"/>
        <v>-4224.1553525130121</v>
      </c>
      <c r="BS79" s="552">
        <f t="shared" si="12"/>
        <v>-4329.7689293072381</v>
      </c>
      <c r="BT79" s="552">
        <f t="shared" si="12"/>
        <v>-4419.8055567868232</v>
      </c>
      <c r="BU79" s="552">
        <f t="shared" si="12"/>
        <v>-4770.8603254831687</v>
      </c>
      <c r="BV79" s="552">
        <f t="shared" si="12"/>
        <v>-4626.1012277867885</v>
      </c>
      <c r="BW79" s="552">
        <f t="shared" si="12"/>
        <v>-3945.1397120020174</v>
      </c>
      <c r="BX79" s="552">
        <f t="shared" si="12"/>
        <v>-3887.6124417460055</v>
      </c>
      <c r="BY79" s="552">
        <f t="shared" si="12"/>
        <v>-3843.3319181364645</v>
      </c>
      <c r="BZ79" s="552">
        <f t="shared" si="12"/>
        <v>-3978.3991178064584</v>
      </c>
      <c r="CA79" s="552">
        <f t="shared" si="12"/>
        <v>-4211.4281415911701</v>
      </c>
      <c r="CB79" s="552">
        <f t="shared" si="12"/>
        <v>-4139.4003880005166</v>
      </c>
      <c r="CC79" s="552">
        <f t="shared" si="12"/>
        <v>-3736.011479524982</v>
      </c>
      <c r="CD79" s="552">
        <f t="shared" si="12"/>
        <v>-4321.3134548763692</v>
      </c>
      <c r="CE79" s="552">
        <f t="shared" si="12"/>
        <v>-4413.9780591819081</v>
      </c>
      <c r="CF79" s="552">
        <f t="shared" si="12"/>
        <v>-4368.5578436146661</v>
      </c>
      <c r="CG79" s="552">
        <f t="shared" si="12"/>
        <v>-4283.5118246307165</v>
      </c>
      <c r="CH79" s="552">
        <f t="shared" si="12"/>
        <v>-2110.5359724491877</v>
      </c>
      <c r="CI79" s="552">
        <f t="shared" si="12"/>
        <v>-2204.6023940287428</v>
      </c>
      <c r="CJ79" s="552">
        <f t="shared" si="12"/>
        <v>-1870.785150550882</v>
      </c>
      <c r="CK79" s="552">
        <f t="shared" si="12"/>
        <v>-1786.9171601948424</v>
      </c>
      <c r="CL79" s="552">
        <f t="shared" si="12"/>
        <v>-4628.8303227158403</v>
      </c>
      <c r="CM79" s="552">
        <f t="shared" si="12"/>
        <v>-4723.5203653725785</v>
      </c>
      <c r="CN79" s="552">
        <f t="shared" si="12"/>
        <v>-4948.935086001231</v>
      </c>
      <c r="CO79" s="552">
        <f t="shared" si="12"/>
        <v>-4889.99295027068</v>
      </c>
      <c r="CP79" s="552">
        <f t="shared" si="12"/>
        <v>-4408.4942242291327</v>
      </c>
      <c r="CQ79" s="552">
        <f t="shared" si="12"/>
        <v>-4454.0921236772019</v>
      </c>
      <c r="CR79" s="552">
        <f t="shared" si="12"/>
        <v>-4428.3806644411152</v>
      </c>
      <c r="CS79" s="552">
        <f t="shared" si="12"/>
        <v>-4344.7192119229667</v>
      </c>
      <c r="CT79" s="552">
        <f t="shared" si="12"/>
        <v>-4410.7908852154824</v>
      </c>
      <c r="CU79" s="552">
        <f t="shared" si="12"/>
        <v>-4507.2180043044709</v>
      </c>
      <c r="CV79" s="552">
        <f t="shared" si="12"/>
        <v>-4455.6468509356973</v>
      </c>
      <c r="CW79" s="552">
        <f t="shared" si="12"/>
        <v>-4372.1040514103006</v>
      </c>
      <c r="CX79" s="552">
        <f t="shared" si="12"/>
        <v>-4442.1439989063965</v>
      </c>
      <c r="CY79" s="552">
        <f t="shared" si="12"/>
        <v>-4538.8867633803111</v>
      </c>
      <c r="CZ79" s="552">
        <f t="shared" si="12"/>
        <v>-9289.0498453167747</v>
      </c>
      <c r="DA79" s="552">
        <f t="shared" si="12"/>
        <v>-9243.2109589193478</v>
      </c>
      <c r="DB79" s="552">
        <f t="shared" si="12"/>
        <v>-6730.8032201585938</v>
      </c>
      <c r="DC79" s="552">
        <f t="shared" si="12"/>
        <v>-6819.6943690281241</v>
      </c>
      <c r="DD79" s="552">
        <f t="shared" si="12"/>
        <v>-6814.0398522326241</v>
      </c>
      <c r="DE79" s="552">
        <f t="shared" si="12"/>
        <v>-6785.1271000854231</v>
      </c>
      <c r="DF79" s="552">
        <f t="shared" si="12"/>
        <v>-10042.297500103878</v>
      </c>
      <c r="DG79" s="552">
        <f t="shared" si="12"/>
        <v>-10083.037086594606</v>
      </c>
      <c r="DH79" s="552">
        <f t="shared" si="12"/>
        <v>-10103.030440845592</v>
      </c>
      <c r="DI79" s="552">
        <f t="shared" si="12"/>
        <v>-10074.710093976457</v>
      </c>
      <c r="DJ79" s="552">
        <f t="shared" si="12"/>
        <v>-9531.0000277068248</v>
      </c>
      <c r="DK79" s="552">
        <f t="shared" si="12"/>
        <v>-9622.5760692221538</v>
      </c>
      <c r="DL79" s="552">
        <f t="shared" si="12"/>
        <v>-9618.4891847043327</v>
      </c>
      <c r="DM79" s="552">
        <f t="shared" si="12"/>
        <v>-9590.6249782264968</v>
      </c>
      <c r="DN79" s="552">
        <f t="shared" si="12"/>
        <v>-9679.6513243283043</v>
      </c>
      <c r="DO79" s="552">
        <f t="shared" si="12"/>
        <v>-9772.3259446832872</v>
      </c>
      <c r="DP79" s="552">
        <f t="shared" si="12"/>
        <v>-9768.8299907587207</v>
      </c>
      <c r="DQ79" s="552">
        <f t="shared" si="12"/>
        <v>-9741.3091688148925</v>
      </c>
      <c r="DR79" s="552">
        <f t="shared" si="12"/>
        <v>-9833.1752700445759</v>
      </c>
      <c r="DS79" s="552">
        <f t="shared" si="12"/>
        <v>-9926.8134161951511</v>
      </c>
      <c r="DT79" s="552">
        <f t="shared" si="12"/>
        <v>-9923.8082057289866</v>
      </c>
      <c r="DU79" s="552">
        <f t="shared" si="12"/>
        <v>-9896.5376166003607</v>
      </c>
      <c r="DV79" s="552">
        <f t="shared" si="12"/>
        <v>-10016.918852742816</v>
      </c>
      <c r="DW79" s="552">
        <f t="shared" si="12"/>
        <v>-10059.983606963106</v>
      </c>
      <c r="DX79" s="552">
        <f t="shared" si="12"/>
        <v>-10083.094712487115</v>
      </c>
      <c r="DY79" s="552">
        <f t="shared" si="12"/>
        <v>-8058.7377291418616</v>
      </c>
      <c r="DZ79" s="552">
        <f t="shared" si="12"/>
        <v>-7998.4180876236478</v>
      </c>
      <c r="EA79" s="552">
        <f t="shared" si="12"/>
        <v>-7998.4180876236478</v>
      </c>
      <c r="EB79" s="552">
        <f t="shared" si="12"/>
        <v>-7998.4180876236487</v>
      </c>
      <c r="EC79" s="552">
        <f t="shared" si="12"/>
        <v>-19599.446855546739</v>
      </c>
      <c r="ED79" s="552">
        <f t="shared" si="12"/>
        <v>-2308.4176722000593</v>
      </c>
      <c r="EE79" s="552">
        <f t="shared" si="12"/>
        <v>0</v>
      </c>
      <c r="EF79" s="552">
        <f t="shared" si="12"/>
        <v>0</v>
      </c>
      <c r="EG79" s="552">
        <f t="shared" si="12"/>
        <v>0</v>
      </c>
    </row>
    <row r="81" spans="5:137" ht="12.75">
      <c r="E81" s="551" t="s">
        <v>524</v>
      </c>
      <c r="F81" s="552"/>
      <c r="G81" s="552" t="s">
        <v>30</v>
      </c>
      <c r="H81" s="552">
        <f>SUM(J81:EG81)</f>
        <v>-3.637978807091713E-12</v>
      </c>
      <c r="I81" s="552"/>
      <c r="J81" s="552">
        <f t="shared" si="13" ref="J81:EG81">J46+J51+J60+J72+J79</f>
        <v>0</v>
      </c>
      <c r="K81" s="552">
        <f t="shared" si="13"/>
        <v>0</v>
      </c>
      <c r="L81" s="552">
        <f t="shared" si="13"/>
        <v>0</v>
      </c>
      <c r="M81" s="552">
        <f t="shared" si="13"/>
        <v>0</v>
      </c>
      <c r="N81" s="552">
        <f t="shared" si="13"/>
        <v>0</v>
      </c>
      <c r="O81" s="552">
        <f t="shared" si="13"/>
        <v>0</v>
      </c>
      <c r="P81" s="552">
        <f t="shared" si="13"/>
        <v>0</v>
      </c>
      <c r="Q81" s="552">
        <f t="shared" si="13"/>
        <v>0</v>
      </c>
      <c r="R81" s="552">
        <f t="shared" si="13"/>
        <v>-3.637978807091713E-12</v>
      </c>
      <c r="S81" s="552">
        <f t="shared" si="13"/>
        <v>0</v>
      </c>
      <c r="T81" s="552">
        <f t="shared" si="13"/>
        <v>-3.637978807091713E-12</v>
      </c>
      <c r="U81" s="552">
        <f t="shared" si="13"/>
        <v>0</v>
      </c>
      <c r="V81" s="552">
        <f t="shared" si="13"/>
        <v>-3.637978807091713E-12</v>
      </c>
      <c r="W81" s="552">
        <f t="shared" si="13"/>
        <v>0</v>
      </c>
      <c r="X81" s="552">
        <f t="shared" si="13"/>
        <v>-1.8189894035458565E-12</v>
      </c>
      <c r="Y81" s="552">
        <f t="shared" si="13"/>
        <v>-3.637978807091713E-12</v>
      </c>
      <c r="Z81" s="552">
        <f t="shared" si="13"/>
        <v>-1.8189894035458565E-12</v>
      </c>
      <c r="AA81" s="552">
        <f t="shared" si="13"/>
        <v>0</v>
      </c>
      <c r="AB81" s="552">
        <f t="shared" si="13"/>
        <v>0</v>
      </c>
      <c r="AC81" s="552">
        <f t="shared" si="13"/>
        <v>0</v>
      </c>
      <c r="AD81" s="552">
        <f t="shared" si="13"/>
        <v>0</v>
      </c>
      <c r="AE81" s="552">
        <f t="shared" si="13"/>
        <v>-1.8189894035458565E-12</v>
      </c>
      <c r="AF81" s="552">
        <f t="shared" si="13"/>
        <v>-9.0949470177292824E-13</v>
      </c>
      <c r="AG81" s="552">
        <f t="shared" si="13"/>
        <v>-3.9108272176235914E-10</v>
      </c>
      <c r="AH81" s="552">
        <f t="shared" si="13"/>
        <v>0</v>
      </c>
      <c r="AI81" s="552">
        <f t="shared" si="13"/>
        <v>0</v>
      </c>
      <c r="AJ81" s="552">
        <f t="shared" si="13"/>
        <v>0</v>
      </c>
      <c r="AK81" s="552">
        <f t="shared" si="13"/>
        <v>0</v>
      </c>
      <c r="AL81" s="552">
        <f t="shared" si="13"/>
        <v>0</v>
      </c>
      <c r="AM81" s="552">
        <f t="shared" si="13"/>
        <v>0</v>
      </c>
      <c r="AN81" s="552">
        <f t="shared" si="13"/>
        <v>0</v>
      </c>
      <c r="AO81" s="552">
        <f t="shared" si="13"/>
        <v>0</v>
      </c>
      <c r="AP81" s="552">
        <f t="shared" si="13"/>
        <v>0</v>
      </c>
      <c r="AQ81" s="552">
        <f t="shared" si="13"/>
        <v>0</v>
      </c>
      <c r="AR81" s="552">
        <f t="shared" si="13"/>
        <v>0</v>
      </c>
      <c r="AS81" s="552">
        <f t="shared" si="13"/>
        <v>0</v>
      </c>
      <c r="AT81" s="552">
        <f t="shared" si="13"/>
        <v>0</v>
      </c>
      <c r="AU81" s="552">
        <f t="shared" si="13"/>
        <v>0</v>
      </c>
      <c r="AV81" s="552">
        <f t="shared" si="13"/>
        <v>0</v>
      </c>
      <c r="AW81" s="552">
        <f t="shared" si="13"/>
        <v>0</v>
      </c>
      <c r="AX81" s="552">
        <f t="shared" si="13"/>
        <v>0</v>
      </c>
      <c r="AY81" s="552">
        <f t="shared" si="13"/>
        <v>0</v>
      </c>
      <c r="AZ81" s="552">
        <f t="shared" si="13"/>
        <v>0</v>
      </c>
      <c r="BA81" s="552">
        <f t="shared" si="13"/>
        <v>0</v>
      </c>
      <c r="BB81" s="552">
        <f t="shared" si="13"/>
        <v>0</v>
      </c>
      <c r="BC81" s="552">
        <f t="shared" si="13"/>
        <v>0</v>
      </c>
      <c r="BD81" s="552">
        <f t="shared" si="13"/>
        <v>0</v>
      </c>
      <c r="BE81" s="552">
        <f t="shared" si="13"/>
        <v>0</v>
      </c>
      <c r="BF81" s="552">
        <f t="shared" si="13"/>
        <v>0</v>
      </c>
      <c r="BG81" s="552">
        <f t="shared" si="13"/>
        <v>0</v>
      </c>
      <c r="BH81" s="552">
        <f t="shared" si="13"/>
        <v>0</v>
      </c>
      <c r="BI81" s="552">
        <f t="shared" si="13"/>
        <v>0</v>
      </c>
      <c r="BJ81" s="552">
        <f t="shared" si="13"/>
        <v>0</v>
      </c>
      <c r="BK81" s="552">
        <f t="shared" si="13"/>
        <v>0</v>
      </c>
      <c r="BL81" s="552">
        <f t="shared" si="13"/>
        <v>0</v>
      </c>
      <c r="BM81" s="552">
        <f t="shared" si="13"/>
        <v>0</v>
      </c>
      <c r="BN81" s="552">
        <f t="shared" si="13"/>
        <v>0</v>
      </c>
      <c r="BO81" s="552">
        <f t="shared" si="13"/>
        <v>0</v>
      </c>
      <c r="BP81" s="552">
        <f t="shared" si="13"/>
        <v>0</v>
      </c>
      <c r="BQ81" s="552">
        <f t="shared" si="13"/>
        <v>0</v>
      </c>
      <c r="BR81" s="552">
        <f t="shared" si="13"/>
        <v>0</v>
      </c>
      <c r="BS81" s="552">
        <f t="shared" si="13"/>
        <v>0</v>
      </c>
      <c r="BT81" s="552">
        <f t="shared" si="13"/>
        <v>0</v>
      </c>
      <c r="BU81" s="552">
        <f t="shared" si="13"/>
        <v>0</v>
      </c>
      <c r="BV81" s="552">
        <f t="shared" si="13"/>
        <v>0</v>
      </c>
      <c r="BW81" s="552">
        <f t="shared" si="13"/>
        <v>0</v>
      </c>
      <c r="BX81" s="552">
        <f t="shared" si="13"/>
        <v>0</v>
      </c>
      <c r="BY81" s="552">
        <f t="shared" si="13"/>
        <v>0</v>
      </c>
      <c r="BZ81" s="552">
        <f t="shared" si="13"/>
        <v>0</v>
      </c>
      <c r="CA81" s="552">
        <f t="shared" si="13"/>
        <v>0</v>
      </c>
      <c r="CB81" s="552">
        <f t="shared" si="13"/>
        <v>0</v>
      </c>
      <c r="CC81" s="552">
        <f t="shared" si="13"/>
        <v>0</v>
      </c>
      <c r="CD81" s="552">
        <f t="shared" si="13"/>
        <v>0</v>
      </c>
      <c r="CE81" s="552">
        <f t="shared" si="13"/>
        <v>0</v>
      </c>
      <c r="CF81" s="552">
        <f t="shared" si="13"/>
        <v>0</v>
      </c>
      <c r="CG81" s="552">
        <f t="shared" si="13"/>
        <v>0</v>
      </c>
      <c r="CH81" s="552">
        <f t="shared" si="13"/>
        <v>0</v>
      </c>
      <c r="CI81" s="552">
        <f t="shared" si="13"/>
        <v>0</v>
      </c>
      <c r="CJ81" s="552">
        <f t="shared" si="13"/>
        <v>0</v>
      </c>
      <c r="CK81" s="552">
        <f t="shared" si="13"/>
        <v>0</v>
      </c>
      <c r="CL81" s="552">
        <f t="shared" si="13"/>
        <v>0</v>
      </c>
      <c r="CM81" s="552">
        <f t="shared" si="13"/>
        <v>0</v>
      </c>
      <c r="CN81" s="552">
        <f t="shared" si="13"/>
        <v>0</v>
      </c>
      <c r="CO81" s="552">
        <f t="shared" si="13"/>
        <v>0</v>
      </c>
      <c r="CP81" s="552">
        <f t="shared" si="13"/>
        <v>0</v>
      </c>
      <c r="CQ81" s="552">
        <f t="shared" si="13"/>
        <v>0</v>
      </c>
      <c r="CR81" s="552">
        <f t="shared" si="13"/>
        <v>0</v>
      </c>
      <c r="CS81" s="552">
        <f t="shared" si="13"/>
        <v>0</v>
      </c>
      <c r="CT81" s="552">
        <f t="shared" si="13"/>
        <v>0</v>
      </c>
      <c r="CU81" s="552">
        <f t="shared" si="13"/>
        <v>0</v>
      </c>
      <c r="CV81" s="552">
        <f t="shared" si="13"/>
        <v>0</v>
      </c>
      <c r="CW81" s="552">
        <f t="shared" si="13"/>
        <v>0</v>
      </c>
      <c r="CX81" s="552">
        <f t="shared" si="13"/>
        <v>0</v>
      </c>
      <c r="CY81" s="552">
        <f t="shared" si="13"/>
        <v>0</v>
      </c>
      <c r="CZ81" s="552">
        <f t="shared" si="13"/>
        <v>0</v>
      </c>
      <c r="DA81" s="552">
        <f t="shared" si="13"/>
        <v>0</v>
      </c>
      <c r="DB81" s="552">
        <f t="shared" si="13"/>
        <v>0</v>
      </c>
      <c r="DC81" s="552">
        <f t="shared" si="13"/>
        <v>0</v>
      </c>
      <c r="DD81" s="552">
        <f t="shared" si="13"/>
        <v>0</v>
      </c>
      <c r="DE81" s="552">
        <f t="shared" si="13"/>
        <v>0</v>
      </c>
      <c r="DF81" s="552">
        <f t="shared" si="13"/>
        <v>0</v>
      </c>
      <c r="DG81" s="552">
        <f t="shared" si="13"/>
        <v>0</v>
      </c>
      <c r="DH81" s="552">
        <f t="shared" si="13"/>
        <v>0</v>
      </c>
      <c r="DI81" s="552">
        <f t="shared" si="13"/>
        <v>0</v>
      </c>
      <c r="DJ81" s="552">
        <f t="shared" si="13"/>
        <v>0</v>
      </c>
      <c r="DK81" s="552">
        <f t="shared" si="13"/>
        <v>0</v>
      </c>
      <c r="DL81" s="552">
        <f t="shared" si="13"/>
        <v>0</v>
      </c>
      <c r="DM81" s="552">
        <f t="shared" si="13"/>
        <v>0</v>
      </c>
      <c r="DN81" s="552">
        <f t="shared" si="13"/>
        <v>0</v>
      </c>
      <c r="DO81" s="552">
        <f t="shared" si="13"/>
        <v>0</v>
      </c>
      <c r="DP81" s="552">
        <f t="shared" si="13"/>
        <v>0</v>
      </c>
      <c r="DQ81" s="552">
        <f t="shared" si="13"/>
        <v>0</v>
      </c>
      <c r="DR81" s="552">
        <f t="shared" si="13"/>
        <v>0</v>
      </c>
      <c r="DS81" s="552">
        <f t="shared" si="13"/>
        <v>0</v>
      </c>
      <c r="DT81" s="552">
        <f t="shared" si="13"/>
        <v>0</v>
      </c>
      <c r="DU81" s="552">
        <f t="shared" si="13"/>
        <v>0</v>
      </c>
      <c r="DV81" s="552">
        <f t="shared" si="13"/>
        <v>0</v>
      </c>
      <c r="DW81" s="552">
        <f t="shared" si="13"/>
        <v>0</v>
      </c>
      <c r="DX81" s="552">
        <f t="shared" si="13"/>
        <v>0</v>
      </c>
      <c r="DY81" s="552">
        <f t="shared" si="13"/>
        <v>1997.2598334849408</v>
      </c>
      <c r="DZ81" s="552">
        <f t="shared" si="13"/>
        <v>2155.0414301288129</v>
      </c>
      <c r="EA81" s="552">
        <f t="shared" si="13"/>
        <v>2250.2621070980258</v>
      </c>
      <c r="EB81" s="552">
        <f t="shared" si="13"/>
        <v>2248.0024573190303</v>
      </c>
      <c r="EC81" s="552">
        <f t="shared" si="13"/>
        <v>-8650.5658280308089</v>
      </c>
      <c r="ED81" s="552">
        <f t="shared" si="13"/>
        <v>4.0745362639427185E-10</v>
      </c>
      <c r="EE81" s="552">
        <f t="shared" si="13"/>
        <v>0</v>
      </c>
      <c r="EF81" s="552">
        <f t="shared" si="13"/>
        <v>0</v>
      </c>
      <c r="EG81" s="552">
        <f t="shared" si="13"/>
        <v>0</v>
      </c>
    </row>
    <row r="83" spans="2:2" ht="12.75">
      <c r="B83" s="534" t="s">
        <v>525</v>
      </c>
    </row>
    <row r="84" spans="5:137" ht="12.75">
      <c r="E84" s="553" t="s">
        <v>526</v>
      </c>
      <c r="F84" s="554"/>
      <c r="G84" s="554" t="s">
        <v>30</v>
      </c>
      <c r="H84" s="554"/>
      <c r="I84" s="554"/>
      <c r="J84" s="554">
        <f t="shared" si="14" ref="J84:EG84">I86</f>
        <v>0</v>
      </c>
      <c r="K84" s="554">
        <f t="shared" si="14"/>
        <v>0</v>
      </c>
      <c r="L84" s="554">
        <f t="shared" si="14"/>
        <v>0</v>
      </c>
      <c r="M84" s="554">
        <f t="shared" si="14"/>
        <v>0</v>
      </c>
      <c r="N84" s="554">
        <f t="shared" si="14"/>
        <v>0</v>
      </c>
      <c r="O84" s="554">
        <f t="shared" si="14"/>
        <v>0</v>
      </c>
      <c r="P84" s="554">
        <f t="shared" si="14"/>
        <v>0</v>
      </c>
      <c r="Q84" s="554">
        <f t="shared" si="14"/>
        <v>0</v>
      </c>
      <c r="R84" s="554">
        <f t="shared" si="14"/>
        <v>0</v>
      </c>
      <c r="S84" s="554">
        <f t="shared" si="14"/>
        <v>-3.637978807091713E-12</v>
      </c>
      <c r="T84" s="554">
        <f t="shared" si="14"/>
        <v>-3.637978807091713E-12</v>
      </c>
      <c r="U84" s="554">
        <f t="shared" si="14"/>
        <v>-7.2759576141834259E-12</v>
      </c>
      <c r="V84" s="554">
        <f t="shared" si="14"/>
        <v>-7.2759576141834259E-12</v>
      </c>
      <c r="W84" s="554">
        <f t="shared" si="14"/>
        <v>-1.0913936421275139E-11</v>
      </c>
      <c r="X84" s="554">
        <f t="shared" si="14"/>
        <v>-1.0913936421275139E-11</v>
      </c>
      <c r="Y84" s="554">
        <f t="shared" si="14"/>
        <v>-1.2732925824820995E-11</v>
      </c>
      <c r="Z84" s="554">
        <f t="shared" si="14"/>
        <v>-1.6370904631912708E-11</v>
      </c>
      <c r="AA84" s="554">
        <f t="shared" si="14"/>
        <v>-1.8189894035458565E-11</v>
      </c>
      <c r="AB84" s="554">
        <f t="shared" si="14"/>
        <v>-1.8189894035458565E-11</v>
      </c>
      <c r="AC84" s="554">
        <f t="shared" si="14"/>
        <v>-1.8189894035458565E-11</v>
      </c>
      <c r="AD84" s="554">
        <f t="shared" si="14"/>
        <v>-1.8189894035458565E-11</v>
      </c>
      <c r="AE84" s="554">
        <f t="shared" si="14"/>
        <v>-1.8189894035458565E-11</v>
      </c>
      <c r="AF84" s="554">
        <f t="shared" si="14"/>
        <v>-2.0008883439004421E-11</v>
      </c>
      <c r="AG84" s="554">
        <f t="shared" si="14"/>
        <v>-2.0918378140777349E-11</v>
      </c>
      <c r="AH84" s="554">
        <f t="shared" si="14"/>
        <v>-4.1200109990313649E-10</v>
      </c>
      <c r="AI84" s="554">
        <f t="shared" si="14"/>
        <v>-4.1200109990313649E-10</v>
      </c>
      <c r="AJ84" s="554">
        <f t="shared" si="14"/>
        <v>-4.1200109990313649E-10</v>
      </c>
      <c r="AK84" s="554">
        <f t="shared" si="14"/>
        <v>-4.1200109990313649E-10</v>
      </c>
      <c r="AL84" s="554">
        <f t="shared" si="14"/>
        <v>-4.1200109990313649E-10</v>
      </c>
      <c r="AM84" s="554">
        <f t="shared" si="14"/>
        <v>-4.1200109990313649E-10</v>
      </c>
      <c r="AN84" s="554">
        <f t="shared" si="14"/>
        <v>-4.1200109990313649E-10</v>
      </c>
      <c r="AO84" s="554">
        <f t="shared" si="14"/>
        <v>-4.1200109990313649E-10</v>
      </c>
      <c r="AP84" s="554">
        <f t="shared" si="14"/>
        <v>-4.1200109990313649E-10</v>
      </c>
      <c r="AQ84" s="554">
        <f t="shared" si="14"/>
        <v>-4.1200109990313649E-10</v>
      </c>
      <c r="AR84" s="554">
        <f t="shared" si="14"/>
        <v>-4.1200109990313649E-10</v>
      </c>
      <c r="AS84" s="554">
        <f t="shared" si="14"/>
        <v>-4.1200109990313649E-10</v>
      </c>
      <c r="AT84" s="554">
        <f t="shared" si="14"/>
        <v>-4.1200109990313649E-10</v>
      </c>
      <c r="AU84" s="554">
        <f t="shared" si="14"/>
        <v>-4.1200109990313649E-10</v>
      </c>
      <c r="AV84" s="554">
        <f t="shared" si="14"/>
        <v>-4.1200109990313649E-10</v>
      </c>
      <c r="AW84" s="554">
        <f t="shared" si="14"/>
        <v>-4.1200109990313649E-10</v>
      </c>
      <c r="AX84" s="554">
        <f t="shared" si="14"/>
        <v>-4.1200109990313649E-10</v>
      </c>
      <c r="AY84" s="554">
        <f t="shared" si="14"/>
        <v>-4.1200109990313649E-10</v>
      </c>
      <c r="AZ84" s="554">
        <f t="shared" si="14"/>
        <v>-4.1200109990313649E-10</v>
      </c>
      <c r="BA84" s="554">
        <f t="shared" si="14"/>
        <v>-4.1200109990313649E-10</v>
      </c>
      <c r="BB84" s="554">
        <f t="shared" si="14"/>
        <v>-4.1200109990313649E-10</v>
      </c>
      <c r="BC84" s="554">
        <f t="shared" si="14"/>
        <v>-4.1200109990313649E-10</v>
      </c>
      <c r="BD84" s="554">
        <f t="shared" si="14"/>
        <v>-4.1200109990313649E-10</v>
      </c>
      <c r="BE84" s="554">
        <f t="shared" si="14"/>
        <v>-4.1200109990313649E-10</v>
      </c>
      <c r="BF84" s="554">
        <f t="shared" si="14"/>
        <v>-4.1200109990313649E-10</v>
      </c>
      <c r="BG84" s="554">
        <f t="shared" si="14"/>
        <v>-4.1200109990313649E-10</v>
      </c>
      <c r="BH84" s="554">
        <f t="shared" si="14"/>
        <v>-4.1200109990313649E-10</v>
      </c>
      <c r="BI84" s="554">
        <f t="shared" si="14"/>
        <v>-4.1200109990313649E-10</v>
      </c>
      <c r="BJ84" s="554">
        <f t="shared" si="14"/>
        <v>-4.1200109990313649E-10</v>
      </c>
      <c r="BK84" s="554">
        <f t="shared" si="14"/>
        <v>-4.1200109990313649E-10</v>
      </c>
      <c r="BL84" s="554">
        <f t="shared" si="14"/>
        <v>-4.1200109990313649E-10</v>
      </c>
      <c r="BM84" s="554">
        <f t="shared" si="14"/>
        <v>-4.1200109990313649E-10</v>
      </c>
      <c r="BN84" s="554">
        <f t="shared" si="14"/>
        <v>-4.1200109990313649E-10</v>
      </c>
      <c r="BO84" s="554">
        <f t="shared" si="14"/>
        <v>-4.1200109990313649E-10</v>
      </c>
      <c r="BP84" s="554">
        <f t="shared" si="14"/>
        <v>-4.1200109990313649E-10</v>
      </c>
      <c r="BQ84" s="554">
        <f t="shared" si="14"/>
        <v>-4.1200109990313649E-10</v>
      </c>
      <c r="BR84" s="554">
        <f t="shared" si="14"/>
        <v>-4.1200109990313649E-10</v>
      </c>
      <c r="BS84" s="554">
        <f t="shared" si="14"/>
        <v>-4.1200109990313649E-10</v>
      </c>
      <c r="BT84" s="554">
        <f t="shared" si="14"/>
        <v>-4.1200109990313649E-10</v>
      </c>
      <c r="BU84" s="554">
        <f t="shared" si="14"/>
        <v>-4.1200109990313649E-10</v>
      </c>
      <c r="BV84" s="554">
        <f t="shared" si="14"/>
        <v>-4.1200109990313649E-10</v>
      </c>
      <c r="BW84" s="554">
        <f t="shared" si="14"/>
        <v>-4.1200109990313649E-10</v>
      </c>
      <c r="BX84" s="554">
        <f t="shared" si="14"/>
        <v>-4.1200109990313649E-10</v>
      </c>
      <c r="BY84" s="554">
        <f t="shared" si="14"/>
        <v>-4.1200109990313649E-10</v>
      </c>
      <c r="BZ84" s="554">
        <f t="shared" si="14"/>
        <v>-4.1200109990313649E-10</v>
      </c>
      <c r="CA84" s="554">
        <f t="shared" si="14"/>
        <v>-4.1200109990313649E-10</v>
      </c>
      <c r="CB84" s="554">
        <f t="shared" si="14"/>
        <v>-4.1200109990313649E-10</v>
      </c>
      <c r="CC84" s="554">
        <f t="shared" si="14"/>
        <v>-4.1200109990313649E-10</v>
      </c>
      <c r="CD84" s="554">
        <f t="shared" si="14"/>
        <v>-4.1200109990313649E-10</v>
      </c>
      <c r="CE84" s="554">
        <f t="shared" si="14"/>
        <v>-4.1200109990313649E-10</v>
      </c>
      <c r="CF84" s="554">
        <f t="shared" si="14"/>
        <v>-4.1200109990313649E-10</v>
      </c>
      <c r="CG84" s="554">
        <f t="shared" si="14"/>
        <v>-4.1200109990313649E-10</v>
      </c>
      <c r="CH84" s="554">
        <f t="shared" si="14"/>
        <v>-4.1200109990313649E-10</v>
      </c>
      <c r="CI84" s="554">
        <f t="shared" si="14"/>
        <v>-4.1200109990313649E-10</v>
      </c>
      <c r="CJ84" s="554">
        <f t="shared" si="14"/>
        <v>-4.1200109990313649E-10</v>
      </c>
      <c r="CK84" s="554">
        <f t="shared" si="14"/>
        <v>-4.1200109990313649E-10</v>
      </c>
      <c r="CL84" s="554">
        <f t="shared" si="14"/>
        <v>-4.1200109990313649E-10</v>
      </c>
      <c r="CM84" s="554">
        <f t="shared" si="14"/>
        <v>-4.1200109990313649E-10</v>
      </c>
      <c r="CN84" s="554">
        <f t="shared" si="14"/>
        <v>-4.1200109990313649E-10</v>
      </c>
      <c r="CO84" s="554">
        <f t="shared" si="14"/>
        <v>-4.1200109990313649E-10</v>
      </c>
      <c r="CP84" s="554">
        <f t="shared" si="14"/>
        <v>-4.1200109990313649E-10</v>
      </c>
      <c r="CQ84" s="554">
        <f t="shared" si="14"/>
        <v>-4.1200109990313649E-10</v>
      </c>
      <c r="CR84" s="554">
        <f t="shared" si="14"/>
        <v>-4.1200109990313649E-10</v>
      </c>
      <c r="CS84" s="554">
        <f t="shared" si="14"/>
        <v>-4.1200109990313649E-10</v>
      </c>
      <c r="CT84" s="554">
        <f t="shared" si="14"/>
        <v>-4.1200109990313649E-10</v>
      </c>
      <c r="CU84" s="554">
        <f t="shared" si="14"/>
        <v>-4.1200109990313649E-10</v>
      </c>
      <c r="CV84" s="554">
        <f t="shared" si="14"/>
        <v>-4.1200109990313649E-10</v>
      </c>
      <c r="CW84" s="554">
        <f t="shared" si="14"/>
        <v>-4.1200109990313649E-10</v>
      </c>
      <c r="CX84" s="554">
        <f t="shared" si="14"/>
        <v>-4.1200109990313649E-10</v>
      </c>
      <c r="CY84" s="554">
        <f t="shared" si="14"/>
        <v>-4.1200109990313649E-10</v>
      </c>
      <c r="CZ84" s="554">
        <f t="shared" si="14"/>
        <v>-4.1200109990313649E-10</v>
      </c>
      <c r="DA84" s="554">
        <f t="shared" si="14"/>
        <v>-4.1200109990313649E-10</v>
      </c>
      <c r="DB84" s="554">
        <f t="shared" si="14"/>
        <v>-4.1200109990313649E-10</v>
      </c>
      <c r="DC84" s="554">
        <f t="shared" si="14"/>
        <v>-4.1200109990313649E-10</v>
      </c>
      <c r="DD84" s="554">
        <f t="shared" si="14"/>
        <v>-4.1200109990313649E-10</v>
      </c>
      <c r="DE84" s="554">
        <f t="shared" si="14"/>
        <v>-4.1200109990313649E-10</v>
      </c>
      <c r="DF84" s="554">
        <f t="shared" si="14"/>
        <v>-4.1200109990313649E-10</v>
      </c>
      <c r="DG84" s="554">
        <f t="shared" si="14"/>
        <v>-4.1200109990313649E-10</v>
      </c>
      <c r="DH84" s="554">
        <f t="shared" si="14"/>
        <v>-4.1200109990313649E-10</v>
      </c>
      <c r="DI84" s="554">
        <f t="shared" si="14"/>
        <v>-4.1200109990313649E-10</v>
      </c>
      <c r="DJ84" s="554">
        <f t="shared" si="14"/>
        <v>-4.1200109990313649E-10</v>
      </c>
      <c r="DK84" s="554">
        <f t="shared" si="14"/>
        <v>-4.1200109990313649E-10</v>
      </c>
      <c r="DL84" s="554">
        <f t="shared" si="14"/>
        <v>-4.1200109990313649E-10</v>
      </c>
      <c r="DM84" s="554">
        <f t="shared" si="14"/>
        <v>-4.1200109990313649E-10</v>
      </c>
      <c r="DN84" s="554">
        <f t="shared" si="14"/>
        <v>-4.1200109990313649E-10</v>
      </c>
      <c r="DO84" s="554">
        <f t="shared" si="14"/>
        <v>-4.1200109990313649E-10</v>
      </c>
      <c r="DP84" s="554">
        <f t="shared" si="14"/>
        <v>-4.1200109990313649E-10</v>
      </c>
      <c r="DQ84" s="554">
        <f t="shared" si="14"/>
        <v>-4.1200109990313649E-10</v>
      </c>
      <c r="DR84" s="554">
        <f t="shared" si="14"/>
        <v>-4.1200109990313649E-10</v>
      </c>
      <c r="DS84" s="554">
        <f t="shared" si="14"/>
        <v>-4.1200109990313649E-10</v>
      </c>
      <c r="DT84" s="554">
        <f t="shared" si="14"/>
        <v>-4.1200109990313649E-10</v>
      </c>
      <c r="DU84" s="554">
        <f t="shared" si="14"/>
        <v>-4.1200109990313649E-10</v>
      </c>
      <c r="DV84" s="554">
        <f t="shared" si="14"/>
        <v>-4.1200109990313649E-10</v>
      </c>
      <c r="DW84" s="554">
        <f t="shared" si="14"/>
        <v>-4.1200109990313649E-10</v>
      </c>
      <c r="DX84" s="554">
        <f t="shared" si="14"/>
        <v>-4.1200109990313649E-10</v>
      </c>
      <c r="DY84" s="554">
        <f t="shared" si="14"/>
        <v>-4.1200109990313649E-10</v>
      </c>
      <c r="DZ84" s="554">
        <f t="shared" si="14"/>
        <v>1997.2598334845288</v>
      </c>
      <c r="EA84" s="554">
        <f t="shared" si="14"/>
        <v>4152.3012636133417</v>
      </c>
      <c r="EB84" s="554">
        <f t="shared" si="14"/>
        <v>6402.5633707113675</v>
      </c>
      <c r="EC84" s="554">
        <f t="shared" si="14"/>
        <v>8650.5658280303978</v>
      </c>
      <c r="ED84" s="554">
        <f t="shared" si="14"/>
        <v>-4.1109160520136356E-10</v>
      </c>
      <c r="EE84" s="554">
        <f t="shared" si="14"/>
        <v>-3.637978807091713E-12</v>
      </c>
      <c r="EF84" s="554">
        <f t="shared" si="14"/>
        <v>-3.637978807091713E-12</v>
      </c>
      <c r="EG84" s="554">
        <f t="shared" si="14"/>
        <v>-3.637978807091713E-12</v>
      </c>
    </row>
    <row r="85" spans="5:137" ht="12.75">
      <c r="E85" s="538" t="str">
        <f>E$81</f>
        <v>Cash flow - net movement</v>
      </c>
      <c r="G85" s="539" t="str">
        <f>G$81</f>
        <v>EUR 000s</v>
      </c>
      <c r="H85" s="539">
        <f>H$81</f>
        <v>-3.637978807091713E-12</v>
      </c>
      <c r="J85" s="539">
        <f t="shared" si="15" ref="J85:EG85">J$81</f>
        <v>0</v>
      </c>
      <c r="K85" s="539">
        <f t="shared" si="15"/>
        <v>0</v>
      </c>
      <c r="L85" s="539">
        <f t="shared" si="15"/>
        <v>0</v>
      </c>
      <c r="M85" s="539">
        <f t="shared" si="15"/>
        <v>0</v>
      </c>
      <c r="N85" s="539">
        <f t="shared" si="15"/>
        <v>0</v>
      </c>
      <c r="O85" s="539">
        <f t="shared" si="15"/>
        <v>0</v>
      </c>
      <c r="P85" s="539">
        <f t="shared" si="15"/>
        <v>0</v>
      </c>
      <c r="Q85" s="539">
        <f t="shared" si="15"/>
        <v>0</v>
      </c>
      <c r="R85" s="539">
        <f t="shared" si="15"/>
        <v>-3.637978807091713E-12</v>
      </c>
      <c r="S85" s="539">
        <f t="shared" si="15"/>
        <v>0</v>
      </c>
      <c r="T85" s="539">
        <f t="shared" si="15"/>
        <v>-3.637978807091713E-12</v>
      </c>
      <c r="U85" s="539">
        <f t="shared" si="15"/>
        <v>0</v>
      </c>
      <c r="V85" s="539">
        <f t="shared" si="15"/>
        <v>-3.637978807091713E-12</v>
      </c>
      <c r="W85" s="539">
        <f t="shared" si="15"/>
        <v>0</v>
      </c>
      <c r="X85" s="539">
        <f t="shared" si="15"/>
        <v>-1.8189894035458565E-12</v>
      </c>
      <c r="Y85" s="539">
        <f t="shared" si="15"/>
        <v>-3.637978807091713E-12</v>
      </c>
      <c r="Z85" s="539">
        <f t="shared" si="15"/>
        <v>-1.8189894035458565E-12</v>
      </c>
      <c r="AA85" s="539">
        <f t="shared" si="15"/>
        <v>0</v>
      </c>
      <c r="AB85" s="539">
        <f t="shared" si="15"/>
        <v>0</v>
      </c>
      <c r="AC85" s="539">
        <f t="shared" si="15"/>
        <v>0</v>
      </c>
      <c r="AD85" s="539">
        <f t="shared" si="15"/>
        <v>0</v>
      </c>
      <c r="AE85" s="539">
        <f t="shared" si="15"/>
        <v>-1.8189894035458565E-12</v>
      </c>
      <c r="AF85" s="539">
        <f t="shared" si="15"/>
        <v>-9.0949470177292824E-13</v>
      </c>
      <c r="AG85" s="539">
        <f t="shared" si="15"/>
        <v>-3.9108272176235914E-10</v>
      </c>
      <c r="AH85" s="539">
        <f t="shared" si="15"/>
        <v>0</v>
      </c>
      <c r="AI85" s="539">
        <f t="shared" si="15"/>
        <v>0</v>
      </c>
      <c r="AJ85" s="539">
        <f t="shared" si="15"/>
        <v>0</v>
      </c>
      <c r="AK85" s="539">
        <f t="shared" si="15"/>
        <v>0</v>
      </c>
      <c r="AL85" s="539">
        <f t="shared" si="15"/>
        <v>0</v>
      </c>
      <c r="AM85" s="539">
        <f t="shared" si="15"/>
        <v>0</v>
      </c>
      <c r="AN85" s="539">
        <f t="shared" si="15"/>
        <v>0</v>
      </c>
      <c r="AO85" s="539">
        <f t="shared" si="15"/>
        <v>0</v>
      </c>
      <c r="AP85" s="539">
        <f t="shared" si="15"/>
        <v>0</v>
      </c>
      <c r="AQ85" s="539">
        <f t="shared" si="15"/>
        <v>0</v>
      </c>
      <c r="AR85" s="539">
        <f t="shared" si="15"/>
        <v>0</v>
      </c>
      <c r="AS85" s="539">
        <f t="shared" si="15"/>
        <v>0</v>
      </c>
      <c r="AT85" s="539">
        <f t="shared" si="15"/>
        <v>0</v>
      </c>
      <c r="AU85" s="539">
        <f t="shared" si="15"/>
        <v>0</v>
      </c>
      <c r="AV85" s="539">
        <f t="shared" si="15"/>
        <v>0</v>
      </c>
      <c r="AW85" s="539">
        <f t="shared" si="15"/>
        <v>0</v>
      </c>
      <c r="AX85" s="539">
        <f t="shared" si="15"/>
        <v>0</v>
      </c>
      <c r="AY85" s="539">
        <f t="shared" si="15"/>
        <v>0</v>
      </c>
      <c r="AZ85" s="539">
        <f t="shared" si="15"/>
        <v>0</v>
      </c>
      <c r="BA85" s="539">
        <f t="shared" si="15"/>
        <v>0</v>
      </c>
      <c r="BB85" s="539">
        <f t="shared" si="15"/>
        <v>0</v>
      </c>
      <c r="BC85" s="539">
        <f t="shared" si="15"/>
        <v>0</v>
      </c>
      <c r="BD85" s="539">
        <f t="shared" si="15"/>
        <v>0</v>
      </c>
      <c r="BE85" s="539">
        <f t="shared" si="15"/>
        <v>0</v>
      </c>
      <c r="BF85" s="539">
        <f t="shared" si="15"/>
        <v>0</v>
      </c>
      <c r="BG85" s="539">
        <f t="shared" si="15"/>
        <v>0</v>
      </c>
      <c r="BH85" s="539">
        <f t="shared" si="15"/>
        <v>0</v>
      </c>
      <c r="BI85" s="539">
        <f t="shared" si="15"/>
        <v>0</v>
      </c>
      <c r="BJ85" s="539">
        <f t="shared" si="15"/>
        <v>0</v>
      </c>
      <c r="BK85" s="539">
        <f t="shared" si="15"/>
        <v>0</v>
      </c>
      <c r="BL85" s="539">
        <f t="shared" si="15"/>
        <v>0</v>
      </c>
      <c r="BM85" s="539">
        <f t="shared" si="15"/>
        <v>0</v>
      </c>
      <c r="BN85" s="539">
        <f t="shared" si="15"/>
        <v>0</v>
      </c>
      <c r="BO85" s="539">
        <f t="shared" si="15"/>
        <v>0</v>
      </c>
      <c r="BP85" s="539">
        <f t="shared" si="15"/>
        <v>0</v>
      </c>
      <c r="BQ85" s="539">
        <f t="shared" si="15"/>
        <v>0</v>
      </c>
      <c r="BR85" s="539">
        <f t="shared" si="15"/>
        <v>0</v>
      </c>
      <c r="BS85" s="539">
        <f t="shared" si="15"/>
        <v>0</v>
      </c>
      <c r="BT85" s="539">
        <f t="shared" si="15"/>
        <v>0</v>
      </c>
      <c r="BU85" s="539">
        <f t="shared" si="15"/>
        <v>0</v>
      </c>
      <c r="BV85" s="539">
        <f t="shared" si="15"/>
        <v>0</v>
      </c>
      <c r="BW85" s="539">
        <f t="shared" si="15"/>
        <v>0</v>
      </c>
      <c r="BX85" s="539">
        <f t="shared" si="15"/>
        <v>0</v>
      </c>
      <c r="BY85" s="539">
        <f t="shared" si="15"/>
        <v>0</v>
      </c>
      <c r="BZ85" s="539">
        <f t="shared" si="15"/>
        <v>0</v>
      </c>
      <c r="CA85" s="539">
        <f t="shared" si="15"/>
        <v>0</v>
      </c>
      <c r="CB85" s="539">
        <f t="shared" si="15"/>
        <v>0</v>
      </c>
      <c r="CC85" s="539">
        <f t="shared" si="15"/>
        <v>0</v>
      </c>
      <c r="CD85" s="539">
        <f t="shared" si="15"/>
        <v>0</v>
      </c>
      <c r="CE85" s="539">
        <f t="shared" si="15"/>
        <v>0</v>
      </c>
      <c r="CF85" s="539">
        <f t="shared" si="15"/>
        <v>0</v>
      </c>
      <c r="CG85" s="539">
        <f t="shared" si="15"/>
        <v>0</v>
      </c>
      <c r="CH85" s="539">
        <f t="shared" si="15"/>
        <v>0</v>
      </c>
      <c r="CI85" s="539">
        <f t="shared" si="15"/>
        <v>0</v>
      </c>
      <c r="CJ85" s="539">
        <f t="shared" si="15"/>
        <v>0</v>
      </c>
      <c r="CK85" s="539">
        <f t="shared" si="15"/>
        <v>0</v>
      </c>
      <c r="CL85" s="539">
        <f t="shared" si="15"/>
        <v>0</v>
      </c>
      <c r="CM85" s="539">
        <f t="shared" si="15"/>
        <v>0</v>
      </c>
      <c r="CN85" s="539">
        <f t="shared" si="15"/>
        <v>0</v>
      </c>
      <c r="CO85" s="539">
        <f t="shared" si="15"/>
        <v>0</v>
      </c>
      <c r="CP85" s="539">
        <f t="shared" si="15"/>
        <v>0</v>
      </c>
      <c r="CQ85" s="539">
        <f t="shared" si="15"/>
        <v>0</v>
      </c>
      <c r="CR85" s="539">
        <f t="shared" si="15"/>
        <v>0</v>
      </c>
      <c r="CS85" s="539">
        <f t="shared" si="15"/>
        <v>0</v>
      </c>
      <c r="CT85" s="539">
        <f t="shared" si="15"/>
        <v>0</v>
      </c>
      <c r="CU85" s="539">
        <f t="shared" si="15"/>
        <v>0</v>
      </c>
      <c r="CV85" s="539">
        <f t="shared" si="15"/>
        <v>0</v>
      </c>
      <c r="CW85" s="539">
        <f t="shared" si="15"/>
        <v>0</v>
      </c>
      <c r="CX85" s="539">
        <f t="shared" si="15"/>
        <v>0</v>
      </c>
      <c r="CY85" s="539">
        <f t="shared" si="15"/>
        <v>0</v>
      </c>
      <c r="CZ85" s="539">
        <f t="shared" si="15"/>
        <v>0</v>
      </c>
      <c r="DA85" s="539">
        <f t="shared" si="15"/>
        <v>0</v>
      </c>
      <c r="DB85" s="539">
        <f t="shared" si="15"/>
        <v>0</v>
      </c>
      <c r="DC85" s="539">
        <f t="shared" si="15"/>
        <v>0</v>
      </c>
      <c r="DD85" s="539">
        <f t="shared" si="15"/>
        <v>0</v>
      </c>
      <c r="DE85" s="539">
        <f t="shared" si="15"/>
        <v>0</v>
      </c>
      <c r="DF85" s="539">
        <f t="shared" si="15"/>
        <v>0</v>
      </c>
      <c r="DG85" s="539">
        <f t="shared" si="15"/>
        <v>0</v>
      </c>
      <c r="DH85" s="539">
        <f t="shared" si="15"/>
        <v>0</v>
      </c>
      <c r="DI85" s="539">
        <f t="shared" si="15"/>
        <v>0</v>
      </c>
      <c r="DJ85" s="539">
        <f t="shared" si="15"/>
        <v>0</v>
      </c>
      <c r="DK85" s="539">
        <f t="shared" si="15"/>
        <v>0</v>
      </c>
      <c r="DL85" s="539">
        <f t="shared" si="15"/>
        <v>0</v>
      </c>
      <c r="DM85" s="539">
        <f t="shared" si="15"/>
        <v>0</v>
      </c>
      <c r="DN85" s="539">
        <f t="shared" si="15"/>
        <v>0</v>
      </c>
      <c r="DO85" s="539">
        <f t="shared" si="15"/>
        <v>0</v>
      </c>
      <c r="DP85" s="539">
        <f t="shared" si="15"/>
        <v>0</v>
      </c>
      <c r="DQ85" s="539">
        <f t="shared" si="15"/>
        <v>0</v>
      </c>
      <c r="DR85" s="539">
        <f t="shared" si="15"/>
        <v>0</v>
      </c>
      <c r="DS85" s="539">
        <f t="shared" si="15"/>
        <v>0</v>
      </c>
      <c r="DT85" s="539">
        <f t="shared" si="15"/>
        <v>0</v>
      </c>
      <c r="DU85" s="539">
        <f t="shared" si="15"/>
        <v>0</v>
      </c>
      <c r="DV85" s="539">
        <f t="shared" si="15"/>
        <v>0</v>
      </c>
      <c r="DW85" s="539">
        <f t="shared" si="15"/>
        <v>0</v>
      </c>
      <c r="DX85" s="539">
        <f t="shared" si="15"/>
        <v>0</v>
      </c>
      <c r="DY85" s="539">
        <f t="shared" si="15"/>
        <v>1997.2598334849408</v>
      </c>
      <c r="DZ85" s="539">
        <f t="shared" si="15"/>
        <v>2155.0414301288129</v>
      </c>
      <c r="EA85" s="539">
        <f t="shared" si="15"/>
        <v>2250.2621070980258</v>
      </c>
      <c r="EB85" s="539">
        <f t="shared" si="15"/>
        <v>2248.0024573190303</v>
      </c>
      <c r="EC85" s="539">
        <f t="shared" si="15"/>
        <v>-8650.5658280308089</v>
      </c>
      <c r="ED85" s="539">
        <f t="shared" si="15"/>
        <v>4.0745362639427185E-10</v>
      </c>
      <c r="EE85" s="539">
        <f t="shared" si="15"/>
        <v>0</v>
      </c>
      <c r="EF85" s="539">
        <f t="shared" si="15"/>
        <v>0</v>
      </c>
      <c r="EG85" s="539">
        <f t="shared" si="15"/>
        <v>0</v>
      </c>
    </row>
    <row r="86" spans="5:137" ht="12.75">
      <c r="E86" s="555" t="s">
        <v>527</v>
      </c>
      <c r="F86" s="556"/>
      <c r="G86" s="556" t="s">
        <v>30</v>
      </c>
      <c r="H86" s="556"/>
      <c r="I86" s="556"/>
      <c r="J86" s="556">
        <f t="shared" si="16" ref="J86:EG86">J84+J85</f>
        <v>0</v>
      </c>
      <c r="K86" s="556">
        <f t="shared" si="16"/>
        <v>0</v>
      </c>
      <c r="L86" s="556">
        <f t="shared" si="16"/>
        <v>0</v>
      </c>
      <c r="M86" s="556">
        <f t="shared" si="16"/>
        <v>0</v>
      </c>
      <c r="N86" s="556">
        <f t="shared" si="16"/>
        <v>0</v>
      </c>
      <c r="O86" s="556">
        <f t="shared" si="16"/>
        <v>0</v>
      </c>
      <c r="P86" s="556">
        <f t="shared" si="16"/>
        <v>0</v>
      </c>
      <c r="Q86" s="556">
        <f t="shared" si="16"/>
        <v>0</v>
      </c>
      <c r="R86" s="556">
        <f t="shared" si="16"/>
        <v>-3.637978807091713E-12</v>
      </c>
      <c r="S86" s="556">
        <f t="shared" si="16"/>
        <v>-3.637978807091713E-12</v>
      </c>
      <c r="T86" s="556">
        <f t="shared" si="16"/>
        <v>-7.2759576141834259E-12</v>
      </c>
      <c r="U86" s="556">
        <f t="shared" si="16"/>
        <v>-7.2759576141834259E-12</v>
      </c>
      <c r="V86" s="556">
        <f t="shared" si="16"/>
        <v>-1.0913936421275139E-11</v>
      </c>
      <c r="W86" s="556">
        <f t="shared" si="16"/>
        <v>-1.0913936421275139E-11</v>
      </c>
      <c r="X86" s="556">
        <f t="shared" si="16"/>
        <v>-1.2732925824820995E-11</v>
      </c>
      <c r="Y86" s="556">
        <f t="shared" si="16"/>
        <v>-1.6370904631912708E-11</v>
      </c>
      <c r="Z86" s="556">
        <f t="shared" si="16"/>
        <v>-1.8189894035458565E-11</v>
      </c>
      <c r="AA86" s="556">
        <f t="shared" si="16"/>
        <v>-1.8189894035458565E-11</v>
      </c>
      <c r="AB86" s="556">
        <f t="shared" si="16"/>
        <v>-1.8189894035458565E-11</v>
      </c>
      <c r="AC86" s="556">
        <f t="shared" si="16"/>
        <v>-1.8189894035458565E-11</v>
      </c>
      <c r="AD86" s="556">
        <f t="shared" si="16"/>
        <v>-1.8189894035458565E-11</v>
      </c>
      <c r="AE86" s="556">
        <f t="shared" si="16"/>
        <v>-2.0008883439004421E-11</v>
      </c>
      <c r="AF86" s="556">
        <f t="shared" si="16"/>
        <v>-2.0918378140777349E-11</v>
      </c>
      <c r="AG86" s="556">
        <f t="shared" si="16"/>
        <v>-4.1200109990313649E-10</v>
      </c>
      <c r="AH86" s="556">
        <f t="shared" si="16"/>
        <v>-4.1200109990313649E-10</v>
      </c>
      <c r="AI86" s="556">
        <f t="shared" si="16"/>
        <v>-4.1200109990313649E-10</v>
      </c>
      <c r="AJ86" s="556">
        <f t="shared" si="16"/>
        <v>-4.1200109990313649E-10</v>
      </c>
      <c r="AK86" s="556">
        <f t="shared" si="16"/>
        <v>-4.1200109990313649E-10</v>
      </c>
      <c r="AL86" s="556">
        <f t="shared" si="16"/>
        <v>-4.1200109990313649E-10</v>
      </c>
      <c r="AM86" s="556">
        <f t="shared" si="16"/>
        <v>-4.1200109990313649E-10</v>
      </c>
      <c r="AN86" s="556">
        <f t="shared" si="16"/>
        <v>-4.1200109990313649E-10</v>
      </c>
      <c r="AO86" s="556">
        <f t="shared" si="16"/>
        <v>-4.1200109990313649E-10</v>
      </c>
      <c r="AP86" s="556">
        <f t="shared" si="16"/>
        <v>-4.1200109990313649E-10</v>
      </c>
      <c r="AQ86" s="556">
        <f t="shared" si="16"/>
        <v>-4.1200109990313649E-10</v>
      </c>
      <c r="AR86" s="556">
        <f t="shared" si="16"/>
        <v>-4.1200109990313649E-10</v>
      </c>
      <c r="AS86" s="556">
        <f t="shared" si="16"/>
        <v>-4.1200109990313649E-10</v>
      </c>
      <c r="AT86" s="556">
        <f t="shared" si="16"/>
        <v>-4.1200109990313649E-10</v>
      </c>
      <c r="AU86" s="556">
        <f t="shared" si="16"/>
        <v>-4.1200109990313649E-10</v>
      </c>
      <c r="AV86" s="556">
        <f t="shared" si="16"/>
        <v>-4.1200109990313649E-10</v>
      </c>
      <c r="AW86" s="556">
        <f t="shared" si="16"/>
        <v>-4.1200109990313649E-10</v>
      </c>
      <c r="AX86" s="556">
        <f t="shared" si="16"/>
        <v>-4.1200109990313649E-10</v>
      </c>
      <c r="AY86" s="556">
        <f t="shared" si="16"/>
        <v>-4.1200109990313649E-10</v>
      </c>
      <c r="AZ86" s="556">
        <f t="shared" si="16"/>
        <v>-4.1200109990313649E-10</v>
      </c>
      <c r="BA86" s="556">
        <f t="shared" si="16"/>
        <v>-4.1200109990313649E-10</v>
      </c>
      <c r="BB86" s="556">
        <f t="shared" si="16"/>
        <v>-4.1200109990313649E-10</v>
      </c>
      <c r="BC86" s="556">
        <f t="shared" si="16"/>
        <v>-4.1200109990313649E-10</v>
      </c>
      <c r="BD86" s="556">
        <f t="shared" si="16"/>
        <v>-4.1200109990313649E-10</v>
      </c>
      <c r="BE86" s="556">
        <f t="shared" si="16"/>
        <v>-4.1200109990313649E-10</v>
      </c>
      <c r="BF86" s="556">
        <f t="shared" si="16"/>
        <v>-4.1200109990313649E-10</v>
      </c>
      <c r="BG86" s="556">
        <f t="shared" si="16"/>
        <v>-4.1200109990313649E-10</v>
      </c>
      <c r="BH86" s="556">
        <f t="shared" si="16"/>
        <v>-4.1200109990313649E-10</v>
      </c>
      <c r="BI86" s="556">
        <f t="shared" si="16"/>
        <v>-4.1200109990313649E-10</v>
      </c>
      <c r="BJ86" s="556">
        <f t="shared" si="16"/>
        <v>-4.1200109990313649E-10</v>
      </c>
      <c r="BK86" s="556">
        <f t="shared" si="16"/>
        <v>-4.1200109990313649E-10</v>
      </c>
      <c r="BL86" s="556">
        <f t="shared" si="16"/>
        <v>-4.1200109990313649E-10</v>
      </c>
      <c r="BM86" s="556">
        <f t="shared" si="16"/>
        <v>-4.1200109990313649E-10</v>
      </c>
      <c r="BN86" s="556">
        <f t="shared" si="16"/>
        <v>-4.1200109990313649E-10</v>
      </c>
      <c r="BO86" s="556">
        <f t="shared" si="16"/>
        <v>-4.1200109990313649E-10</v>
      </c>
      <c r="BP86" s="556">
        <f t="shared" si="16"/>
        <v>-4.1200109990313649E-10</v>
      </c>
      <c r="BQ86" s="556">
        <f t="shared" si="16"/>
        <v>-4.1200109990313649E-10</v>
      </c>
      <c r="BR86" s="556">
        <f t="shared" si="16"/>
        <v>-4.1200109990313649E-10</v>
      </c>
      <c r="BS86" s="556">
        <f t="shared" si="16"/>
        <v>-4.1200109990313649E-10</v>
      </c>
      <c r="BT86" s="556">
        <f t="shared" si="16"/>
        <v>-4.1200109990313649E-10</v>
      </c>
      <c r="BU86" s="556">
        <f t="shared" si="16"/>
        <v>-4.1200109990313649E-10</v>
      </c>
      <c r="BV86" s="556">
        <f t="shared" si="16"/>
        <v>-4.1200109990313649E-10</v>
      </c>
      <c r="BW86" s="556">
        <f t="shared" si="16"/>
        <v>-4.1200109990313649E-10</v>
      </c>
      <c r="BX86" s="556">
        <f t="shared" si="16"/>
        <v>-4.1200109990313649E-10</v>
      </c>
      <c r="BY86" s="556">
        <f t="shared" si="16"/>
        <v>-4.1200109990313649E-10</v>
      </c>
      <c r="BZ86" s="556">
        <f t="shared" si="16"/>
        <v>-4.1200109990313649E-10</v>
      </c>
      <c r="CA86" s="556">
        <f t="shared" si="16"/>
        <v>-4.1200109990313649E-10</v>
      </c>
      <c r="CB86" s="556">
        <f t="shared" si="16"/>
        <v>-4.1200109990313649E-10</v>
      </c>
      <c r="CC86" s="556">
        <f t="shared" si="16"/>
        <v>-4.1200109990313649E-10</v>
      </c>
      <c r="CD86" s="556">
        <f t="shared" si="16"/>
        <v>-4.1200109990313649E-10</v>
      </c>
      <c r="CE86" s="556">
        <f t="shared" si="16"/>
        <v>-4.1200109990313649E-10</v>
      </c>
      <c r="CF86" s="556">
        <f t="shared" si="16"/>
        <v>-4.1200109990313649E-10</v>
      </c>
      <c r="CG86" s="556">
        <f t="shared" si="16"/>
        <v>-4.1200109990313649E-10</v>
      </c>
      <c r="CH86" s="556">
        <f t="shared" si="16"/>
        <v>-4.1200109990313649E-10</v>
      </c>
      <c r="CI86" s="556">
        <f t="shared" si="16"/>
        <v>-4.1200109990313649E-10</v>
      </c>
      <c r="CJ86" s="556">
        <f t="shared" si="16"/>
        <v>-4.1200109990313649E-10</v>
      </c>
      <c r="CK86" s="556">
        <f t="shared" si="16"/>
        <v>-4.1200109990313649E-10</v>
      </c>
      <c r="CL86" s="556">
        <f t="shared" si="16"/>
        <v>-4.1200109990313649E-10</v>
      </c>
      <c r="CM86" s="556">
        <f t="shared" si="16"/>
        <v>-4.1200109990313649E-10</v>
      </c>
      <c r="CN86" s="556">
        <f t="shared" si="16"/>
        <v>-4.1200109990313649E-10</v>
      </c>
      <c r="CO86" s="556">
        <f t="shared" si="16"/>
        <v>-4.1200109990313649E-10</v>
      </c>
      <c r="CP86" s="556">
        <f t="shared" si="16"/>
        <v>-4.1200109990313649E-10</v>
      </c>
      <c r="CQ86" s="556">
        <f t="shared" si="16"/>
        <v>-4.1200109990313649E-10</v>
      </c>
      <c r="CR86" s="556">
        <f t="shared" si="16"/>
        <v>-4.1200109990313649E-10</v>
      </c>
      <c r="CS86" s="556">
        <f t="shared" si="16"/>
        <v>-4.1200109990313649E-10</v>
      </c>
      <c r="CT86" s="556">
        <f t="shared" si="16"/>
        <v>-4.1200109990313649E-10</v>
      </c>
      <c r="CU86" s="556">
        <f t="shared" si="16"/>
        <v>-4.1200109990313649E-10</v>
      </c>
      <c r="CV86" s="556">
        <f t="shared" si="16"/>
        <v>-4.1200109990313649E-10</v>
      </c>
      <c r="CW86" s="556">
        <f t="shared" si="16"/>
        <v>-4.1200109990313649E-10</v>
      </c>
      <c r="CX86" s="556">
        <f t="shared" si="16"/>
        <v>-4.1200109990313649E-10</v>
      </c>
      <c r="CY86" s="556">
        <f t="shared" si="16"/>
        <v>-4.1200109990313649E-10</v>
      </c>
      <c r="CZ86" s="556">
        <f t="shared" si="16"/>
        <v>-4.1200109990313649E-10</v>
      </c>
      <c r="DA86" s="556">
        <f t="shared" si="16"/>
        <v>-4.1200109990313649E-10</v>
      </c>
      <c r="DB86" s="556">
        <f t="shared" si="16"/>
        <v>-4.1200109990313649E-10</v>
      </c>
      <c r="DC86" s="556">
        <f t="shared" si="16"/>
        <v>-4.1200109990313649E-10</v>
      </c>
      <c r="DD86" s="556">
        <f t="shared" si="16"/>
        <v>-4.1200109990313649E-10</v>
      </c>
      <c r="DE86" s="556">
        <f t="shared" si="16"/>
        <v>-4.1200109990313649E-10</v>
      </c>
      <c r="DF86" s="556">
        <f t="shared" si="16"/>
        <v>-4.1200109990313649E-10</v>
      </c>
      <c r="DG86" s="556">
        <f t="shared" si="16"/>
        <v>-4.1200109990313649E-10</v>
      </c>
      <c r="DH86" s="556">
        <f t="shared" si="16"/>
        <v>-4.1200109990313649E-10</v>
      </c>
      <c r="DI86" s="556">
        <f t="shared" si="16"/>
        <v>-4.1200109990313649E-10</v>
      </c>
      <c r="DJ86" s="556">
        <f t="shared" si="16"/>
        <v>-4.1200109990313649E-10</v>
      </c>
      <c r="DK86" s="556">
        <f t="shared" si="16"/>
        <v>-4.1200109990313649E-10</v>
      </c>
      <c r="DL86" s="556">
        <f t="shared" si="16"/>
        <v>-4.1200109990313649E-10</v>
      </c>
      <c r="DM86" s="556">
        <f t="shared" si="16"/>
        <v>-4.1200109990313649E-10</v>
      </c>
      <c r="DN86" s="556">
        <f t="shared" si="16"/>
        <v>-4.1200109990313649E-10</v>
      </c>
      <c r="DO86" s="556">
        <f t="shared" si="16"/>
        <v>-4.1200109990313649E-10</v>
      </c>
      <c r="DP86" s="556">
        <f t="shared" si="16"/>
        <v>-4.1200109990313649E-10</v>
      </c>
      <c r="DQ86" s="556">
        <f t="shared" si="16"/>
        <v>-4.1200109990313649E-10</v>
      </c>
      <c r="DR86" s="556">
        <f t="shared" si="16"/>
        <v>-4.1200109990313649E-10</v>
      </c>
      <c r="DS86" s="556">
        <f t="shared" si="16"/>
        <v>-4.1200109990313649E-10</v>
      </c>
      <c r="DT86" s="556">
        <f t="shared" si="16"/>
        <v>-4.1200109990313649E-10</v>
      </c>
      <c r="DU86" s="556">
        <f t="shared" si="16"/>
        <v>-4.1200109990313649E-10</v>
      </c>
      <c r="DV86" s="556">
        <f t="shared" si="16"/>
        <v>-4.1200109990313649E-10</v>
      </c>
      <c r="DW86" s="556">
        <f t="shared" si="16"/>
        <v>-4.1200109990313649E-10</v>
      </c>
      <c r="DX86" s="556">
        <f t="shared" si="16"/>
        <v>-4.1200109990313649E-10</v>
      </c>
      <c r="DY86" s="556">
        <f t="shared" si="16"/>
        <v>1997.2598334845288</v>
      </c>
      <c r="DZ86" s="556">
        <f t="shared" si="16"/>
        <v>4152.3012636133417</v>
      </c>
      <c r="EA86" s="556">
        <f t="shared" si="16"/>
        <v>6402.5633707113675</v>
      </c>
      <c r="EB86" s="556">
        <f t="shared" si="16"/>
        <v>8650.5658280303978</v>
      </c>
      <c r="EC86" s="556">
        <f t="shared" si="16"/>
        <v>-4.1109160520136356E-10</v>
      </c>
      <c r="ED86" s="556">
        <f t="shared" si="16"/>
        <v>-3.637978807091713E-12</v>
      </c>
      <c r="EE86" s="556">
        <f t="shared" si="16"/>
        <v>-3.637978807091713E-12</v>
      </c>
      <c r="EF86" s="556">
        <f t="shared" si="16"/>
        <v>-3.637978807091713E-12</v>
      </c>
      <c r="EG86" s="556">
        <f t="shared" si="16"/>
        <v>-3.637978807091713E-12</v>
      </c>
    </row>
    <row r="89" spans="1:1" ht="12.75">
      <c r="A89" s="534" t="s">
        <v>528</v>
      </c>
    </row>
    <row r="91" spans="2:2" ht="12.75">
      <c r="B91" s="534" t="s">
        <v>529</v>
      </c>
    </row>
    <row r="92" spans="5:137" ht="12.75">
      <c r="E92" s="538" t="str">
        <f>Assets!E$32</f>
        <v>Fixed assets - net book value</v>
      </c>
      <c r="G92" s="539" t="str">
        <f>Assets!G$32</f>
        <v>EUR 000s</v>
      </c>
      <c r="H92" s="539">
        <f>Assets!H$32</f>
        <v>17999762.187499996</v>
      </c>
      <c r="J92" s="539">
        <f>Assets!J$32</f>
        <v>0</v>
      </c>
      <c r="K92" s="539">
        <f>Assets!K$32</f>
        <v>0</v>
      </c>
      <c r="L92" s="539">
        <f>Assets!L$32</f>
        <v>8000</v>
      </c>
      <c r="M92" s="539">
        <f>Assets!M$32</f>
        <v>21291.5625</v>
      </c>
      <c r="N92" s="539">
        <f>Assets!N$32</f>
        <v>34911.25</v>
      </c>
      <c r="O92" s="539">
        <f>Assets!O$32</f>
        <v>48202.8125</v>
      </c>
      <c r="P92" s="539">
        <f>Assets!P$32</f>
        <v>61822.5</v>
      </c>
      <c r="Q92" s="539">
        <f>Assets!Q$32</f>
        <v>75114.0625</v>
      </c>
      <c r="R92" s="539">
        <f>Assets!R$32</f>
        <v>92056.015625</v>
      </c>
      <c r="S92" s="539">
        <f>Assets!S$32</f>
        <v>109695.234375</v>
      </c>
      <c r="T92" s="539">
        <f>Assets!T$32</f>
        <v>127662.578125</v>
      </c>
      <c r="U92" s="539">
        <f>Assets!U$32</f>
        <v>145958.046875</v>
      </c>
      <c r="V92" s="539">
        <f>Assets!V$32</f>
        <v>162941.015625</v>
      </c>
      <c r="W92" s="539">
        <f>Assets!W$32</f>
        <v>179759.921875</v>
      </c>
      <c r="X92" s="539">
        <f>Assets!X$32</f>
        <v>194774.140625</v>
      </c>
      <c r="Y92" s="539">
        <f>Assets!Y$32</f>
        <v>207819.609375</v>
      </c>
      <c r="Z92" s="539">
        <f>Assets!Z$32</f>
        <v>219880.703125</v>
      </c>
      <c r="AA92" s="539">
        <f>Assets!AA$32</f>
        <v>233418.359375</v>
      </c>
      <c r="AB92" s="539">
        <f>Assets!AB$32</f>
        <v>247612.265625</v>
      </c>
      <c r="AC92" s="539">
        <f>Assets!AC$32</f>
        <v>261642.109375</v>
      </c>
      <c r="AD92" s="539">
        <f>Assets!AD$32</f>
        <v>274318.4375</v>
      </c>
      <c r="AE92" s="539">
        <f>Assets!AE$32</f>
        <v>281867.8125</v>
      </c>
      <c r="AF92" s="539">
        <f>Assets!AF$32</f>
        <v>287612.5</v>
      </c>
      <c r="AG92" s="539">
        <f>Assets!AG$32</f>
        <v>291552.5</v>
      </c>
      <c r="AH92" s="539">
        <f>Assets!AH$32</f>
        <v>288636.97499999998</v>
      </c>
      <c r="AI92" s="539">
        <f>Assets!AI$32</f>
        <v>285721.44999999995</v>
      </c>
      <c r="AJ92" s="539">
        <f>Assets!AJ$32</f>
        <v>282805.92499999993</v>
      </c>
      <c r="AK92" s="539">
        <f>Assets!AK$32</f>
        <v>279890.39999999991</v>
      </c>
      <c r="AL92" s="539">
        <f>Assets!AL$32</f>
        <v>276974.87499999988</v>
      </c>
      <c r="AM92" s="539">
        <f>Assets!AM$32</f>
        <v>274059.34999999986</v>
      </c>
      <c r="AN92" s="539">
        <f>Assets!AN$32</f>
        <v>271143.82499999984</v>
      </c>
      <c r="AO92" s="539">
        <f>Assets!AO$32</f>
        <v>268228.29999999981</v>
      </c>
      <c r="AP92" s="539">
        <f>Assets!AP$32</f>
        <v>265312.77499999979</v>
      </c>
      <c r="AQ92" s="539">
        <f>Assets!AQ$32</f>
        <v>262397.24999999977</v>
      </c>
      <c r="AR92" s="539">
        <f>Assets!AR$32</f>
        <v>259481.72499999977</v>
      </c>
      <c r="AS92" s="539">
        <f>Assets!AS$32</f>
        <v>256566.19999999978</v>
      </c>
      <c r="AT92" s="539">
        <f>Assets!AT$32</f>
        <v>253650.67499999978</v>
      </c>
      <c r="AU92" s="539">
        <f>Assets!AU$32</f>
        <v>250735.14999999979</v>
      </c>
      <c r="AV92" s="539">
        <f>Assets!AV$32</f>
        <v>247819.6249999998</v>
      </c>
      <c r="AW92" s="539">
        <f>Assets!AW$32</f>
        <v>244904.0999999998</v>
      </c>
      <c r="AX92" s="539">
        <f>Assets!AX$32</f>
        <v>241988.57499999981</v>
      </c>
      <c r="AY92" s="539">
        <f>Assets!AY$32</f>
        <v>239073.04999999981</v>
      </c>
      <c r="AZ92" s="539">
        <f>Assets!AZ$32</f>
        <v>236157.52499999982</v>
      </c>
      <c r="BA92" s="539">
        <f>Assets!BA$32</f>
        <v>233241.99999999983</v>
      </c>
      <c r="BB92" s="539">
        <f>Assets!BB$32</f>
        <v>230326.47499999983</v>
      </c>
      <c r="BC92" s="539">
        <f>Assets!BC$32</f>
        <v>227410.94999999984</v>
      </c>
      <c r="BD92" s="539">
        <f>Assets!BD$32</f>
        <v>224495.42499999984</v>
      </c>
      <c r="BE92" s="539">
        <f>Assets!BE$32</f>
        <v>221579.89999999985</v>
      </c>
      <c r="BF92" s="539">
        <f>Assets!BF$32</f>
        <v>218664.37499999985</v>
      </c>
      <c r="BG92" s="539">
        <f>Assets!BG$32</f>
        <v>215748.84999999986</v>
      </c>
      <c r="BH92" s="539">
        <f>Assets!BH$32</f>
        <v>212833.32499999987</v>
      </c>
      <c r="BI92" s="539">
        <f>Assets!BI$32</f>
        <v>209917.79999999987</v>
      </c>
      <c r="BJ92" s="539">
        <f>Assets!BJ$32</f>
        <v>207002.27499999988</v>
      </c>
      <c r="BK92" s="539">
        <f>Assets!BK$32</f>
        <v>204086.74999999988</v>
      </c>
      <c r="BL92" s="539">
        <f>Assets!BL$32</f>
        <v>201171.22499999989</v>
      </c>
      <c r="BM92" s="539">
        <f>Assets!BM$32</f>
        <v>198255.6999999999</v>
      </c>
      <c r="BN92" s="539">
        <f>Assets!BN$32</f>
        <v>195340.1749999999</v>
      </c>
      <c r="BO92" s="539">
        <f>Assets!BO$32</f>
        <v>192424.64999999991</v>
      </c>
      <c r="BP92" s="539">
        <f>Assets!BP$32</f>
        <v>189509.12499999991</v>
      </c>
      <c r="BQ92" s="539">
        <f>Assets!BQ$32</f>
        <v>186593.59999999992</v>
      </c>
      <c r="BR92" s="539">
        <f>Assets!BR$32</f>
        <v>183678.07499999992</v>
      </c>
      <c r="BS92" s="539">
        <f>Assets!BS$32</f>
        <v>180762.54999999993</v>
      </c>
      <c r="BT92" s="539">
        <f>Assets!BT$32</f>
        <v>177847.02499999994</v>
      </c>
      <c r="BU92" s="539">
        <f>Assets!BU$32</f>
        <v>174931.49999999994</v>
      </c>
      <c r="BV92" s="539">
        <f>Assets!BV$32</f>
        <v>172015.97499999995</v>
      </c>
      <c r="BW92" s="539">
        <f>Assets!BW$32</f>
        <v>169100.44999999995</v>
      </c>
      <c r="BX92" s="539">
        <f>Assets!BX$32</f>
        <v>166184.92499999996</v>
      </c>
      <c r="BY92" s="539">
        <f>Assets!BY$32</f>
        <v>163269.39999999997</v>
      </c>
      <c r="BZ92" s="539">
        <f>Assets!BZ$32</f>
        <v>160353.87499999997</v>
      </c>
      <c r="CA92" s="539">
        <f>Assets!CA$32</f>
        <v>157438.34999999998</v>
      </c>
      <c r="CB92" s="539">
        <f>Assets!CB$32</f>
        <v>154522.82499999998</v>
      </c>
      <c r="CC92" s="539">
        <f>Assets!CC$32</f>
        <v>151607.29999999999</v>
      </c>
      <c r="CD92" s="539">
        <f>Assets!CD$32</f>
        <v>148691.77499999999</v>
      </c>
      <c r="CE92" s="539">
        <f>Assets!CE$32</f>
        <v>145776.25</v>
      </c>
      <c r="CF92" s="539">
        <f>Assets!CF$32</f>
        <v>142860.72500000001</v>
      </c>
      <c r="CG92" s="539">
        <f>Assets!CG$32</f>
        <v>139945.20000000001</v>
      </c>
      <c r="CH92" s="539">
        <f>Assets!CH$32</f>
        <v>137029.67500000002</v>
      </c>
      <c r="CI92" s="539">
        <f>Assets!CI$32</f>
        <v>134114.15000000002</v>
      </c>
      <c r="CJ92" s="539">
        <f>Assets!CJ$32</f>
        <v>131198.62500000003</v>
      </c>
      <c r="CK92" s="539">
        <f>Assets!CK$32</f>
        <v>128283.10000000003</v>
      </c>
      <c r="CL92" s="539">
        <f>Assets!CL$32</f>
        <v>125367.57500000004</v>
      </c>
      <c r="CM92" s="539">
        <f>Assets!CM$32</f>
        <v>122452.05000000005</v>
      </c>
      <c r="CN92" s="539">
        <f>Assets!CN$32</f>
        <v>119536.52500000005</v>
      </c>
      <c r="CO92" s="539">
        <f>Assets!CO$32</f>
        <v>116621.00000000006</v>
      </c>
      <c r="CP92" s="539">
        <f>Assets!CP$32</f>
        <v>113705.47500000006</v>
      </c>
      <c r="CQ92" s="539">
        <f>Assets!CQ$32</f>
        <v>110789.95000000007</v>
      </c>
      <c r="CR92" s="539">
        <f>Assets!CR$32</f>
        <v>107874.42500000008</v>
      </c>
      <c r="CS92" s="539">
        <f>Assets!CS$32</f>
        <v>104958.90000000008</v>
      </c>
      <c r="CT92" s="539">
        <f>Assets!CT$32</f>
        <v>102043.37500000009</v>
      </c>
      <c r="CU92" s="539">
        <f>Assets!CU$32</f>
        <v>99127.850000000093</v>
      </c>
      <c r="CV92" s="539">
        <f>Assets!CV$32</f>
        <v>96212.325000000099</v>
      </c>
      <c r="CW92" s="539">
        <f>Assets!CW$32</f>
        <v>93296.800000000105</v>
      </c>
      <c r="CX92" s="539">
        <f>Assets!CX$32</f>
        <v>90381.275000000111</v>
      </c>
      <c r="CY92" s="539">
        <f>Assets!CY$32</f>
        <v>87465.750000000116</v>
      </c>
      <c r="CZ92" s="539">
        <f>Assets!CZ$32</f>
        <v>84550.225000000122</v>
      </c>
      <c r="DA92" s="539">
        <f>Assets!DA$32</f>
        <v>81634.700000000128</v>
      </c>
      <c r="DB92" s="539">
        <f>Assets!DB$32</f>
        <v>78719.175000000134</v>
      </c>
      <c r="DC92" s="539">
        <f>Assets!DC$32</f>
        <v>75803.65000000014</v>
      </c>
      <c r="DD92" s="539">
        <f>Assets!DD$32</f>
        <v>72888.125000000146</v>
      </c>
      <c r="DE92" s="539">
        <f>Assets!DE$32</f>
        <v>69972.600000000151</v>
      </c>
      <c r="DF92" s="539">
        <f>Assets!DF$32</f>
        <v>67057.075000000157</v>
      </c>
      <c r="DG92" s="539">
        <f>Assets!DG$32</f>
        <v>64141.550000000156</v>
      </c>
      <c r="DH92" s="539">
        <f>Assets!DH$32</f>
        <v>61226.025000000154</v>
      </c>
      <c r="DI92" s="539">
        <f>Assets!DI$32</f>
        <v>58310.500000000153</v>
      </c>
      <c r="DJ92" s="539">
        <f>Assets!DJ$32</f>
        <v>55394.975000000151</v>
      </c>
      <c r="DK92" s="539">
        <f>Assets!DK$32</f>
        <v>52479.45000000015</v>
      </c>
      <c r="DL92" s="539">
        <f>Assets!DL$32</f>
        <v>49563.925000000148</v>
      </c>
      <c r="DM92" s="539">
        <f>Assets!DM$32</f>
        <v>46648.400000000147</v>
      </c>
      <c r="DN92" s="539">
        <f>Assets!DN$32</f>
        <v>43732.875000000146</v>
      </c>
      <c r="DO92" s="539">
        <f>Assets!DO$32</f>
        <v>40817.350000000144</v>
      </c>
      <c r="DP92" s="539">
        <f>Assets!DP$32</f>
        <v>37901.825000000143</v>
      </c>
      <c r="DQ92" s="539">
        <f>Assets!DQ$32</f>
        <v>34986.300000000141</v>
      </c>
      <c r="DR92" s="539">
        <f>Assets!DR$32</f>
        <v>32070.77500000014</v>
      </c>
      <c r="DS92" s="539">
        <f>Assets!DS$32</f>
        <v>29155.250000000138</v>
      </c>
      <c r="DT92" s="539">
        <f>Assets!DT$32</f>
        <v>26239.725000000137</v>
      </c>
      <c r="DU92" s="539">
        <f>Assets!DU$32</f>
        <v>23324.200000000135</v>
      </c>
      <c r="DV92" s="539">
        <f>Assets!DV$32</f>
        <v>20408.675000000134</v>
      </c>
      <c r="DW92" s="539">
        <f>Assets!DW$32</f>
        <v>17493.150000000132</v>
      </c>
      <c r="DX92" s="539">
        <f>Assets!DX$32</f>
        <v>14577.625000000133</v>
      </c>
      <c r="DY92" s="539">
        <f>Assets!DY$32</f>
        <v>11662.100000000133</v>
      </c>
      <c r="DZ92" s="539">
        <f>Assets!DZ$32</f>
        <v>8746.5750000001335</v>
      </c>
      <c r="EA92" s="539">
        <f>Assets!EA$32</f>
        <v>5831.0500000001339</v>
      </c>
      <c r="EB92" s="539">
        <f>Assets!EB$32</f>
        <v>2915.5250000001338</v>
      </c>
      <c r="EC92" s="539">
        <f>Assets!EC$32</f>
        <v>0</v>
      </c>
      <c r="ED92" s="539">
        <f>Assets!ED$32</f>
        <v>0</v>
      </c>
      <c r="EE92" s="539">
        <f>Assets!EE$32</f>
        <v>0</v>
      </c>
      <c r="EF92" s="539">
        <f>Assets!EF$32</f>
        <v>0</v>
      </c>
      <c r="EG92" s="539">
        <f>Assets!EG$32</f>
        <v>0</v>
      </c>
    </row>
    <row r="93" spans="5:137" ht="12.75">
      <c r="E93" s="538" t="str">
        <f>Assets!E$73</f>
        <v>Financing costs - net book value</v>
      </c>
      <c r="G93" s="539" t="str">
        <f>Assets!G$73</f>
        <v>EUR 000s</v>
      </c>
      <c r="H93" s="539">
        <f>Assets!H$73</f>
        <v>744501.1890130305</v>
      </c>
      <c r="J93" s="539">
        <f>Assets!J$73</f>
        <v>0</v>
      </c>
      <c r="K93" s="539">
        <f>Assets!K$73</f>
        <v>0</v>
      </c>
      <c r="L93" s="539">
        <f>Assets!L$73</f>
        <v>3319.2997186657749</v>
      </c>
      <c r="M93" s="539">
        <f>Assets!M$73</f>
        <v>3428.4273806493075</v>
      </c>
      <c r="N93" s="539">
        <f>Assets!N$73</f>
        <v>3550.2236108176789</v>
      </c>
      <c r="O93" s="539">
        <f>Assets!O$73</f>
        <v>3677.0463412943618</v>
      </c>
      <c r="P93" s="539">
        <f>Assets!P$73</f>
        <v>3817.1274755723225</v>
      </c>
      <c r="Q93" s="539">
        <f>Assets!Q$73</f>
        <v>3957.4315550557626</v>
      </c>
      <c r="R93" s="539">
        <f>Assets!R$73</f>
        <v>4163.4473869214507</v>
      </c>
      <c r="S93" s="539">
        <f>Assets!S$73</f>
        <v>4505.0734025839774</v>
      </c>
      <c r="T93" s="539">
        <f>Assets!T$73</f>
        <v>4910.7382085915697</v>
      </c>
      <c r="U93" s="539">
        <f>Assets!U$73</f>
        <v>5409.5640617763338</v>
      </c>
      <c r="V93" s="539">
        <f>Assets!V$73</f>
        <v>5987.5247242138039</v>
      </c>
      <c r="W93" s="539">
        <f>Assets!W$73</f>
        <v>6596.1478230602825</v>
      </c>
      <c r="X93" s="539">
        <f>Assets!X$73</f>
        <v>7318.4917905892335</v>
      </c>
      <c r="Y93" s="539">
        <f>Assets!Y$73</f>
        <v>8078.7541951389285</v>
      </c>
      <c r="Z93" s="539">
        <f>Assets!Z$73</f>
        <v>8919.1378733300371</v>
      </c>
      <c r="AA93" s="539">
        <f>Assets!AA$73</f>
        <v>9781.243350802004</v>
      </c>
      <c r="AB93" s="539">
        <f>Assets!AB$73</f>
        <v>10731.009103725857</v>
      </c>
      <c r="AC93" s="539">
        <f>Assets!AC$73</f>
        <v>11744.577734108454</v>
      </c>
      <c r="AD93" s="539">
        <f>Assets!AD$73</f>
        <v>12787.330920574514</v>
      </c>
      <c r="AE93" s="539">
        <f>Assets!AE$73</f>
        <v>13921.351245595242</v>
      </c>
      <c r="AF93" s="539">
        <f>Assets!AF$73</f>
        <v>15049.3927455014</v>
      </c>
      <c r="AG93" s="539">
        <f>Assets!AG$73</f>
        <v>16238.00811257573</v>
      </c>
      <c r="AH93" s="539">
        <f>Assets!AH$73</f>
        <v>16015.704989647251</v>
      </c>
      <c r="AI93" s="539">
        <f>Assets!AI$73</f>
        <v>15790.931832019567</v>
      </c>
      <c r="AJ93" s="539">
        <f>Assets!AJ$73</f>
        <v>15563.688639692678</v>
      </c>
      <c r="AK93" s="539">
        <f>Assets!AK$73</f>
        <v>15336.44544736579</v>
      </c>
      <c r="AL93" s="539">
        <f>Assets!AL$73</f>
        <v>15114.142324437311</v>
      </c>
      <c r="AM93" s="539">
        <f>Assets!AM$73</f>
        <v>14889.369166809627</v>
      </c>
      <c r="AN93" s="539">
        <f>Assets!AN$73</f>
        <v>14662.125974482738</v>
      </c>
      <c r="AO93" s="539">
        <f>Assets!AO$73</f>
        <v>14434.88278215585</v>
      </c>
      <c r="AP93" s="539">
        <f>Assets!AP$73</f>
        <v>14212.579659227371</v>
      </c>
      <c r="AQ93" s="539">
        <f>Assets!AQ$73</f>
        <v>13987.806501599687</v>
      </c>
      <c r="AR93" s="539">
        <f>Assets!AR$73</f>
        <v>13760.563309272799</v>
      </c>
      <c r="AS93" s="539">
        <f>Assets!AS$73</f>
        <v>13533.32011694591</v>
      </c>
      <c r="AT93" s="539">
        <f>Assets!AT$73</f>
        <v>13308.546959318226</v>
      </c>
      <c r="AU93" s="539">
        <f>Assets!AU$73</f>
        <v>13083.773801690542</v>
      </c>
      <c r="AV93" s="539">
        <f>Assets!AV$73</f>
        <v>12856.530609363654</v>
      </c>
      <c r="AW93" s="539">
        <f>Assets!AW$73</f>
        <v>12629.287417036765</v>
      </c>
      <c r="AX93" s="539">
        <f>Assets!AX$73</f>
        <v>12406.984294108286</v>
      </c>
      <c r="AY93" s="539">
        <f>Assets!AY$73</f>
        <v>12182.211136480602</v>
      </c>
      <c r="AZ93" s="539">
        <f>Assets!AZ$73</f>
        <v>11954.967944153714</v>
      </c>
      <c r="BA93" s="539">
        <f>Assets!BA$73</f>
        <v>11727.724751826825</v>
      </c>
      <c r="BB93" s="539">
        <f>Assets!BB$73</f>
        <v>11505.421628898346</v>
      </c>
      <c r="BC93" s="539">
        <f>Assets!BC$73</f>
        <v>11280.648471270662</v>
      </c>
      <c r="BD93" s="539">
        <f>Assets!BD$73</f>
        <v>11053.405278943774</v>
      </c>
      <c r="BE93" s="539">
        <f>Assets!BE$73</f>
        <v>10826.162086616885</v>
      </c>
      <c r="BF93" s="539">
        <f>Assets!BF$73</f>
        <v>10603.858963688406</v>
      </c>
      <c r="BG93" s="539">
        <f>Assets!BG$73</f>
        <v>10379.085806060722</v>
      </c>
      <c r="BH93" s="539">
        <f>Assets!BH$73</f>
        <v>10151.842613733834</v>
      </c>
      <c r="BI93" s="539">
        <f>Assets!BI$73</f>
        <v>9924.5994214069451</v>
      </c>
      <c r="BJ93" s="539">
        <f>Assets!BJ$73</f>
        <v>9699.8262637792614</v>
      </c>
      <c r="BK93" s="539">
        <f>Assets!BK$73</f>
        <v>9475.0531061515776</v>
      </c>
      <c r="BL93" s="539">
        <f>Assets!BL$73</f>
        <v>9247.8099138246889</v>
      </c>
      <c r="BM93" s="539">
        <f>Assets!BM$73</f>
        <v>9020.5667214978002</v>
      </c>
      <c r="BN93" s="539">
        <f>Assets!BN$73</f>
        <v>8798.2635985693214</v>
      </c>
      <c r="BO93" s="539">
        <f>Assets!BO$73</f>
        <v>8573.4904409416376</v>
      </c>
      <c r="BP93" s="539">
        <f>Assets!BP$73</f>
        <v>8346.247248614749</v>
      </c>
      <c r="BQ93" s="539">
        <f>Assets!BQ$73</f>
        <v>8119.0040562878603</v>
      </c>
      <c r="BR93" s="539">
        <f>Assets!BR$73</f>
        <v>7896.7009333593824</v>
      </c>
      <c r="BS93" s="539">
        <f>Assets!BS$73</f>
        <v>7671.9277757316986</v>
      </c>
      <c r="BT93" s="539">
        <f>Assets!BT$73</f>
        <v>7444.6845834048099</v>
      </c>
      <c r="BU93" s="539">
        <f>Assets!BU$73</f>
        <v>7217.4413910779213</v>
      </c>
      <c r="BV93" s="539">
        <f>Assets!BV$73</f>
        <v>6995.1382681494433</v>
      </c>
      <c r="BW93" s="539">
        <f>Assets!BW$73</f>
        <v>6770.3651105217596</v>
      </c>
      <c r="BX93" s="539">
        <f>Assets!BX$73</f>
        <v>6543.1219181948709</v>
      </c>
      <c r="BY93" s="539">
        <f>Assets!BY$73</f>
        <v>6315.8787258679822</v>
      </c>
      <c r="BZ93" s="539">
        <f>Assets!BZ$73</f>
        <v>6091.1055682402985</v>
      </c>
      <c r="CA93" s="539">
        <f>Assets!CA$73</f>
        <v>5866.3324106126147</v>
      </c>
      <c r="CB93" s="539">
        <f>Assets!CB$73</f>
        <v>5639.089218285726</v>
      </c>
      <c r="CC93" s="539">
        <f>Assets!CC$73</f>
        <v>5411.8460259588373</v>
      </c>
      <c r="CD93" s="539">
        <f>Assets!CD$73</f>
        <v>5189.5429030303594</v>
      </c>
      <c r="CE93" s="539">
        <f>Assets!CE$73</f>
        <v>4964.7697454026757</v>
      </c>
      <c r="CF93" s="539">
        <f>Assets!CF$73</f>
        <v>4737.526553075787</v>
      </c>
      <c r="CG93" s="539">
        <f>Assets!CG$73</f>
        <v>4510.2833607488983</v>
      </c>
      <c r="CH93" s="539">
        <f>Assets!CH$73</f>
        <v>4287.9802378204204</v>
      </c>
      <c r="CI93" s="539">
        <f>Assets!CI$73</f>
        <v>4063.2070801927366</v>
      </c>
      <c r="CJ93" s="539">
        <f>Assets!CJ$73</f>
        <v>3835.9638878658479</v>
      </c>
      <c r="CK93" s="539">
        <f>Assets!CK$73</f>
        <v>3608.7206955389593</v>
      </c>
      <c r="CL93" s="539">
        <f>Assets!CL$73</f>
        <v>3386.4175726104809</v>
      </c>
      <c r="CM93" s="539">
        <f>Assets!CM$73</f>
        <v>3161.6444149827976</v>
      </c>
      <c r="CN93" s="539">
        <f>Assets!CN$73</f>
        <v>2934.4012226559089</v>
      </c>
      <c r="CO93" s="539">
        <f>Assets!CO$73</f>
        <v>2707.1580303290202</v>
      </c>
      <c r="CP93" s="539">
        <f>Assets!CP$73</f>
        <v>2482.3848727013365</v>
      </c>
      <c r="CQ93" s="539">
        <f>Assets!CQ$73</f>
        <v>2257.6117150736527</v>
      </c>
      <c r="CR93" s="539">
        <f>Assets!CR$73</f>
        <v>2030.3685227467638</v>
      </c>
      <c r="CS93" s="539">
        <f>Assets!CS$73</f>
        <v>1803.1253304198749</v>
      </c>
      <c r="CT93" s="539">
        <f>Assets!CT$73</f>
        <v>1580.8222074913967</v>
      </c>
      <c r="CU93" s="539">
        <f>Assets!CU$73</f>
        <v>1356.0490498637132</v>
      </c>
      <c r="CV93" s="539">
        <f>Assets!CV$73</f>
        <v>1128.8058575368243</v>
      </c>
      <c r="CW93" s="539">
        <f>Assets!CW$73</f>
        <v>901.56266520993552</v>
      </c>
      <c r="CX93" s="539">
        <f>Assets!CX$73</f>
        <v>679.25954228145736</v>
      </c>
      <c r="CY93" s="539">
        <f>Assets!CY$73</f>
        <v>454.48638465377383</v>
      </c>
      <c r="CZ93" s="539">
        <f>Assets!CZ$73</f>
        <v>227.24319232688501</v>
      </c>
      <c r="DA93" s="539">
        <f>Assets!DA$73</f>
        <v>-3.808509063674137E-12</v>
      </c>
      <c r="DB93" s="539">
        <f>Assets!DB$73</f>
        <v>-3.808509063674137E-12</v>
      </c>
      <c r="DC93" s="539">
        <f>Assets!DC$73</f>
        <v>-3.808509063674137E-12</v>
      </c>
      <c r="DD93" s="539">
        <f>Assets!DD$73</f>
        <v>-3.808509063674137E-12</v>
      </c>
      <c r="DE93" s="539">
        <f>Assets!DE$73</f>
        <v>-3.808509063674137E-12</v>
      </c>
      <c r="DF93" s="539">
        <f>Assets!DF$73</f>
        <v>-3.808509063674137E-12</v>
      </c>
      <c r="DG93" s="539">
        <f>Assets!DG$73</f>
        <v>-3.808509063674137E-12</v>
      </c>
      <c r="DH93" s="539">
        <f>Assets!DH$73</f>
        <v>-3.808509063674137E-12</v>
      </c>
      <c r="DI93" s="539">
        <f>Assets!DI$73</f>
        <v>-3.808509063674137E-12</v>
      </c>
      <c r="DJ93" s="539">
        <f>Assets!DJ$73</f>
        <v>-3.808509063674137E-12</v>
      </c>
      <c r="DK93" s="539">
        <f>Assets!DK$73</f>
        <v>-3.808509063674137E-12</v>
      </c>
      <c r="DL93" s="539">
        <f>Assets!DL$73</f>
        <v>-3.808509063674137E-12</v>
      </c>
      <c r="DM93" s="539">
        <f>Assets!DM$73</f>
        <v>-3.808509063674137E-12</v>
      </c>
      <c r="DN93" s="539">
        <f>Assets!DN$73</f>
        <v>-3.808509063674137E-12</v>
      </c>
      <c r="DO93" s="539">
        <f>Assets!DO$73</f>
        <v>-3.808509063674137E-12</v>
      </c>
      <c r="DP93" s="539">
        <f>Assets!DP$73</f>
        <v>-3.808509063674137E-12</v>
      </c>
      <c r="DQ93" s="539">
        <f>Assets!DQ$73</f>
        <v>-3.808509063674137E-12</v>
      </c>
      <c r="DR93" s="539">
        <f>Assets!DR$73</f>
        <v>-3.808509063674137E-12</v>
      </c>
      <c r="DS93" s="539">
        <f>Assets!DS$73</f>
        <v>-3.808509063674137E-12</v>
      </c>
      <c r="DT93" s="539">
        <f>Assets!DT$73</f>
        <v>-3.808509063674137E-12</v>
      </c>
      <c r="DU93" s="539">
        <f>Assets!DU$73</f>
        <v>-3.808509063674137E-12</v>
      </c>
      <c r="DV93" s="539">
        <f>Assets!DV$73</f>
        <v>-3.808509063674137E-12</v>
      </c>
      <c r="DW93" s="539">
        <f>Assets!DW$73</f>
        <v>-3.808509063674137E-12</v>
      </c>
      <c r="DX93" s="539">
        <f>Assets!DX$73</f>
        <v>-3.808509063674137E-12</v>
      </c>
      <c r="DY93" s="539">
        <f>Assets!DY$73</f>
        <v>-3.808509063674137E-12</v>
      </c>
      <c r="DZ93" s="539">
        <f>Assets!DZ$73</f>
        <v>-3.808509063674137E-12</v>
      </c>
      <c r="EA93" s="539">
        <f>Assets!EA$73</f>
        <v>-3.808509063674137E-12</v>
      </c>
      <c r="EB93" s="539">
        <f>Assets!EB$73</f>
        <v>-3.808509063674137E-12</v>
      </c>
      <c r="EC93" s="539">
        <f>Assets!EC$73</f>
        <v>-3.808509063674137E-12</v>
      </c>
      <c r="ED93" s="539">
        <f>Assets!ED$73</f>
        <v>-3.808509063674137E-12</v>
      </c>
      <c r="EE93" s="539">
        <f>Assets!EE$73</f>
        <v>-3.808509063674137E-12</v>
      </c>
      <c r="EF93" s="539">
        <f>Assets!EF$73</f>
        <v>-3.808509063674137E-12</v>
      </c>
      <c r="EG93" s="539">
        <f>Assets!EG$73</f>
        <v>-3.808509063674137E-12</v>
      </c>
    </row>
    <row r="94" spans="5:137" ht="12.75">
      <c r="E94" s="551" t="s">
        <v>530</v>
      </c>
      <c r="F94" s="552"/>
      <c r="G94" s="552" t="s">
        <v>30</v>
      </c>
      <c r="H94" s="552">
        <f>SUM(J94:EG94)</f>
        <v>18744263.376513023</v>
      </c>
      <c r="I94" s="552"/>
      <c r="J94" s="552">
        <f t="shared" si="17" ref="J94:EG94">J92+J93</f>
        <v>0</v>
      </c>
      <c r="K94" s="552">
        <f t="shared" si="17"/>
        <v>0</v>
      </c>
      <c r="L94" s="552">
        <f t="shared" si="17"/>
        <v>11319.299718665774</v>
      </c>
      <c r="M94" s="552">
        <f t="shared" si="17"/>
        <v>24719.989880649307</v>
      </c>
      <c r="N94" s="552">
        <f t="shared" si="17"/>
        <v>38461.47361081768</v>
      </c>
      <c r="O94" s="552">
        <f t="shared" si="17"/>
        <v>51879.858841294365</v>
      </c>
      <c r="P94" s="552">
        <f t="shared" si="17"/>
        <v>65639.627475572328</v>
      </c>
      <c r="Q94" s="552">
        <f t="shared" si="17"/>
        <v>79071.494055055766</v>
      </c>
      <c r="R94" s="552">
        <f t="shared" si="17"/>
        <v>96219.463011921456</v>
      </c>
      <c r="S94" s="552">
        <f t="shared" si="17"/>
        <v>114200.30777758398</v>
      </c>
      <c r="T94" s="552">
        <f t="shared" si="17"/>
        <v>132573.31633359156</v>
      </c>
      <c r="U94" s="552">
        <f t="shared" si="17"/>
        <v>151367.61093677633</v>
      </c>
      <c r="V94" s="552">
        <f t="shared" si="17"/>
        <v>168928.54034921381</v>
      </c>
      <c r="W94" s="552">
        <f t="shared" si="17"/>
        <v>186356.06969806028</v>
      </c>
      <c r="X94" s="552">
        <f t="shared" si="17"/>
        <v>202092.63241558924</v>
      </c>
      <c r="Y94" s="552">
        <f t="shared" si="17"/>
        <v>215898.36357013893</v>
      </c>
      <c r="Z94" s="552">
        <f t="shared" si="17"/>
        <v>228799.84099833004</v>
      </c>
      <c r="AA94" s="552">
        <f t="shared" si="17"/>
        <v>243199.60272580199</v>
      </c>
      <c r="AB94" s="552">
        <f t="shared" si="17"/>
        <v>258343.27472872587</v>
      </c>
      <c r="AC94" s="552">
        <f t="shared" si="17"/>
        <v>273386.68710910843</v>
      </c>
      <c r="AD94" s="552">
        <f t="shared" si="17"/>
        <v>287105.76842057449</v>
      </c>
      <c r="AE94" s="552">
        <f t="shared" si="17"/>
        <v>295789.16374559526</v>
      </c>
      <c r="AF94" s="552">
        <f t="shared" si="17"/>
        <v>302661.89274550142</v>
      </c>
      <c r="AG94" s="552">
        <f t="shared" si="17"/>
        <v>307790.50811257574</v>
      </c>
      <c r="AH94" s="552">
        <f t="shared" si="17"/>
        <v>304652.67998964724</v>
      </c>
      <c r="AI94" s="552">
        <f t="shared" si="17"/>
        <v>301512.38183201954</v>
      </c>
      <c r="AJ94" s="552">
        <f t="shared" si="17"/>
        <v>298369.6136396926</v>
      </c>
      <c r="AK94" s="552">
        <f t="shared" si="17"/>
        <v>295226.84544736572</v>
      </c>
      <c r="AL94" s="552">
        <f t="shared" si="17"/>
        <v>292089.01732443721</v>
      </c>
      <c r="AM94" s="552">
        <f t="shared" si="17"/>
        <v>288948.71916680946</v>
      </c>
      <c r="AN94" s="552">
        <f t="shared" si="17"/>
        <v>285805.95097448258</v>
      </c>
      <c r="AO94" s="552">
        <f t="shared" si="17"/>
        <v>282663.18278215564</v>
      </c>
      <c r="AP94" s="552">
        <f t="shared" si="17"/>
        <v>279525.35465922719</v>
      </c>
      <c r="AQ94" s="552">
        <f t="shared" si="17"/>
        <v>276385.05650159944</v>
      </c>
      <c r="AR94" s="552">
        <f t="shared" si="17"/>
        <v>273242.28830927255</v>
      </c>
      <c r="AS94" s="552">
        <f t="shared" si="17"/>
        <v>270099.52011694567</v>
      </c>
      <c r="AT94" s="552">
        <f t="shared" si="17"/>
        <v>266959.22195931803</v>
      </c>
      <c r="AU94" s="552">
        <f t="shared" si="17"/>
        <v>263818.92380169034</v>
      </c>
      <c r="AV94" s="552">
        <f t="shared" si="17"/>
        <v>260676.15560936346</v>
      </c>
      <c r="AW94" s="552">
        <f t="shared" si="17"/>
        <v>257533.38741703657</v>
      </c>
      <c r="AX94" s="552">
        <f t="shared" si="17"/>
        <v>254395.5592941081</v>
      </c>
      <c r="AY94" s="552">
        <f t="shared" si="17"/>
        <v>251255.2611364804</v>
      </c>
      <c r="AZ94" s="552">
        <f t="shared" si="17"/>
        <v>248112.49294415352</v>
      </c>
      <c r="BA94" s="552">
        <f t="shared" si="17"/>
        <v>244969.72475182664</v>
      </c>
      <c r="BB94" s="552">
        <f t="shared" si="17"/>
        <v>241831.89662889819</v>
      </c>
      <c r="BC94" s="552">
        <f t="shared" si="17"/>
        <v>238691.5984712705</v>
      </c>
      <c r="BD94" s="552">
        <f t="shared" si="17"/>
        <v>235548.83027894361</v>
      </c>
      <c r="BE94" s="552">
        <f t="shared" si="17"/>
        <v>232406.06208661673</v>
      </c>
      <c r="BF94" s="552">
        <f t="shared" si="17"/>
        <v>229268.23396368825</v>
      </c>
      <c r="BG94" s="552">
        <f t="shared" si="17"/>
        <v>226127.93580606059</v>
      </c>
      <c r="BH94" s="552">
        <f t="shared" si="17"/>
        <v>222985.16761373371</v>
      </c>
      <c r="BI94" s="552">
        <f t="shared" si="17"/>
        <v>219842.39942140682</v>
      </c>
      <c r="BJ94" s="552">
        <f t="shared" si="17"/>
        <v>216702.10126377913</v>
      </c>
      <c r="BK94" s="552">
        <f t="shared" si="17"/>
        <v>213561.80310615146</v>
      </c>
      <c r="BL94" s="552">
        <f t="shared" si="17"/>
        <v>210419.03491382458</v>
      </c>
      <c r="BM94" s="552">
        <f t="shared" si="17"/>
        <v>207276.2667214977</v>
      </c>
      <c r="BN94" s="552">
        <f t="shared" si="17"/>
        <v>204138.43859856922</v>
      </c>
      <c r="BO94" s="552">
        <f t="shared" si="17"/>
        <v>200998.14044094156</v>
      </c>
      <c r="BP94" s="552">
        <f t="shared" si="17"/>
        <v>197855.37224861467</v>
      </c>
      <c r="BQ94" s="552">
        <f t="shared" si="17"/>
        <v>194712.60405628779</v>
      </c>
      <c r="BR94" s="552">
        <f t="shared" si="17"/>
        <v>191574.77593335931</v>
      </c>
      <c r="BS94" s="552">
        <f t="shared" si="17"/>
        <v>188434.47777573162</v>
      </c>
      <c r="BT94" s="552">
        <f t="shared" si="17"/>
        <v>185291.70958340474</v>
      </c>
      <c r="BU94" s="552">
        <f t="shared" si="17"/>
        <v>182148.94139107785</v>
      </c>
      <c r="BV94" s="552">
        <f t="shared" si="17"/>
        <v>179011.11326814938</v>
      </c>
      <c r="BW94" s="552">
        <f t="shared" si="17"/>
        <v>175870.81511052171</v>
      </c>
      <c r="BX94" s="552">
        <f t="shared" si="17"/>
        <v>172728.04691819483</v>
      </c>
      <c r="BY94" s="552">
        <f t="shared" si="17"/>
        <v>169585.27872586795</v>
      </c>
      <c r="BZ94" s="552">
        <f t="shared" si="17"/>
        <v>166444.98056824028</v>
      </c>
      <c r="CA94" s="552">
        <f t="shared" si="17"/>
        <v>163304.68241061259</v>
      </c>
      <c r="CB94" s="552">
        <f t="shared" si="17"/>
        <v>160161.9142182857</v>
      </c>
      <c r="CC94" s="552">
        <f t="shared" si="17"/>
        <v>157019.14602595882</v>
      </c>
      <c r="CD94" s="552">
        <f t="shared" si="17"/>
        <v>153881.31790303034</v>
      </c>
      <c r="CE94" s="552">
        <f t="shared" si="17"/>
        <v>150741.01974540268</v>
      </c>
      <c r="CF94" s="552">
        <f t="shared" si="17"/>
        <v>147598.2515530758</v>
      </c>
      <c r="CG94" s="552">
        <f t="shared" si="17"/>
        <v>144455.48336074891</v>
      </c>
      <c r="CH94" s="552">
        <f t="shared" si="17"/>
        <v>141317.65523782044</v>
      </c>
      <c r="CI94" s="552">
        <f t="shared" si="17"/>
        <v>138177.35708019277</v>
      </c>
      <c r="CJ94" s="552">
        <f t="shared" si="17"/>
        <v>135034.58888786589</v>
      </c>
      <c r="CK94" s="552">
        <f t="shared" si="17"/>
        <v>131891.82069553901</v>
      </c>
      <c r="CL94" s="552">
        <f t="shared" si="17"/>
        <v>128753.99257261053</v>
      </c>
      <c r="CM94" s="552">
        <f t="shared" si="17"/>
        <v>125613.69441498285</v>
      </c>
      <c r="CN94" s="552">
        <f t="shared" si="17"/>
        <v>122470.92622265597</v>
      </c>
      <c r="CO94" s="552">
        <f t="shared" si="17"/>
        <v>119328.15803032908</v>
      </c>
      <c r="CP94" s="552">
        <f t="shared" si="17"/>
        <v>116187.8598727014</v>
      </c>
      <c r="CQ94" s="552">
        <f t="shared" si="17"/>
        <v>113047.56171507372</v>
      </c>
      <c r="CR94" s="552">
        <f t="shared" si="17"/>
        <v>109904.79352274684</v>
      </c>
      <c r="CS94" s="552">
        <f t="shared" si="17"/>
        <v>106762.02533041996</v>
      </c>
      <c r="CT94" s="552">
        <f t="shared" si="17"/>
        <v>103624.19720749148</v>
      </c>
      <c r="CU94" s="552">
        <f t="shared" si="17"/>
        <v>100483.8990498638</v>
      </c>
      <c r="CV94" s="552">
        <f t="shared" si="17"/>
        <v>97341.130857536918</v>
      </c>
      <c r="CW94" s="552">
        <f t="shared" si="17"/>
        <v>94198.362665210036</v>
      </c>
      <c r="CX94" s="552">
        <f t="shared" si="17"/>
        <v>91060.534542281574</v>
      </c>
      <c r="CY94" s="552">
        <f t="shared" si="17"/>
        <v>87920.236384653894</v>
      </c>
      <c r="CZ94" s="552">
        <f t="shared" si="17"/>
        <v>84777.468192327011</v>
      </c>
      <c r="DA94" s="552">
        <f t="shared" si="17"/>
        <v>81634.700000000128</v>
      </c>
      <c r="DB94" s="552">
        <f t="shared" si="17"/>
        <v>78719.175000000134</v>
      </c>
      <c r="DC94" s="552">
        <f t="shared" si="17"/>
        <v>75803.65000000014</v>
      </c>
      <c r="DD94" s="552">
        <f t="shared" si="17"/>
        <v>72888.125000000146</v>
      </c>
      <c r="DE94" s="552">
        <f t="shared" si="17"/>
        <v>69972.600000000151</v>
      </c>
      <c r="DF94" s="552">
        <f t="shared" si="17"/>
        <v>67057.075000000157</v>
      </c>
      <c r="DG94" s="552">
        <f t="shared" si="17"/>
        <v>64141.550000000148</v>
      </c>
      <c r="DH94" s="552">
        <f t="shared" si="17"/>
        <v>61226.025000000147</v>
      </c>
      <c r="DI94" s="552">
        <f t="shared" si="17"/>
        <v>58310.500000000146</v>
      </c>
      <c r="DJ94" s="552">
        <f t="shared" si="17"/>
        <v>55394.975000000144</v>
      </c>
      <c r="DK94" s="552">
        <f t="shared" si="17"/>
        <v>52479.450000000143</v>
      </c>
      <c r="DL94" s="552">
        <f t="shared" si="17"/>
        <v>49563.925000000141</v>
      </c>
      <c r="DM94" s="552">
        <f t="shared" si="17"/>
        <v>46648.40000000014</v>
      </c>
      <c r="DN94" s="552">
        <f t="shared" si="17"/>
        <v>43732.875000000138</v>
      </c>
      <c r="DO94" s="552">
        <f t="shared" si="17"/>
        <v>40817.350000000137</v>
      </c>
      <c r="DP94" s="552">
        <f t="shared" si="17"/>
        <v>37901.825000000135</v>
      </c>
      <c r="DQ94" s="552">
        <f t="shared" si="17"/>
        <v>34986.300000000134</v>
      </c>
      <c r="DR94" s="552">
        <f t="shared" si="17"/>
        <v>32070.775000000136</v>
      </c>
      <c r="DS94" s="552">
        <f t="shared" si="17"/>
        <v>29155.250000000135</v>
      </c>
      <c r="DT94" s="552">
        <f t="shared" si="17"/>
        <v>26239.725000000133</v>
      </c>
      <c r="DU94" s="552">
        <f t="shared" si="17"/>
        <v>23324.200000000132</v>
      </c>
      <c r="DV94" s="552">
        <f t="shared" si="17"/>
        <v>20408.67500000013</v>
      </c>
      <c r="DW94" s="552">
        <f t="shared" si="17"/>
        <v>17493.150000000129</v>
      </c>
      <c r="DX94" s="552">
        <f t="shared" si="17"/>
        <v>14577.625000000129</v>
      </c>
      <c r="DY94" s="552">
        <f t="shared" si="17"/>
        <v>11662.10000000013</v>
      </c>
      <c r="DZ94" s="552">
        <f t="shared" si="17"/>
        <v>8746.5750000001299</v>
      </c>
      <c r="EA94" s="552">
        <f t="shared" si="17"/>
        <v>5831.0500000001302</v>
      </c>
      <c r="EB94" s="552">
        <f t="shared" si="17"/>
        <v>2915.5250000001301</v>
      </c>
      <c r="EC94" s="552">
        <f t="shared" si="17"/>
        <v>-3.808509063674137E-12</v>
      </c>
      <c r="ED94" s="552">
        <f t="shared" si="17"/>
        <v>-3.808509063674137E-12</v>
      </c>
      <c r="EE94" s="552">
        <f t="shared" si="17"/>
        <v>-3.808509063674137E-12</v>
      </c>
      <c r="EF94" s="552">
        <f t="shared" si="17"/>
        <v>-3.808509063674137E-12</v>
      </c>
      <c r="EG94" s="552">
        <f t="shared" si="17"/>
        <v>-3.808509063674137E-12</v>
      </c>
    </row>
    <row r="96" spans="5:137" ht="12.75">
      <c r="E96" s="538" t="str">
        <f>Cons!E$66</f>
        <v>VAT - receivable balance</v>
      </c>
      <c r="G96" s="539" t="str">
        <f>Cons!G$66</f>
        <v>EUR 000s</v>
      </c>
      <c r="H96" s="539">
        <f>Cons!H$66</f>
        <v>167406.5625</v>
      </c>
      <c r="J96" s="539">
        <f>Cons!J$66</f>
        <v>0</v>
      </c>
      <c r="K96" s="539">
        <f>Cons!K$66</f>
        <v>0</v>
      </c>
      <c r="L96" s="539">
        <f>Cons!L$66</f>
        <v>0</v>
      </c>
      <c r="M96" s="539">
        <f>Cons!M$66</f>
        <v>2658.3125</v>
      </c>
      <c r="N96" s="539">
        <f>Cons!N$66</f>
        <v>5382.25</v>
      </c>
      <c r="O96" s="539">
        <f>Cons!O$66</f>
        <v>8040.5625</v>
      </c>
      <c r="P96" s="539">
        <f>Cons!P$66</f>
        <v>8106.1875</v>
      </c>
      <c r="Q96" s="539">
        <f>Cons!Q$66</f>
        <v>8040.5625</v>
      </c>
      <c r="R96" s="539">
        <f>Cons!R$66</f>
        <v>8770.640625</v>
      </c>
      <c r="S96" s="539">
        <f>Cons!S$66</f>
        <v>9574.546875</v>
      </c>
      <c r="T96" s="539">
        <f>Cons!T$66</f>
        <v>10509.703125</v>
      </c>
      <c r="U96" s="539">
        <f>Cons!U$66</f>
        <v>10780.40625</v>
      </c>
      <c r="V96" s="539">
        <f>Cons!V$66</f>
        <v>10649.15625</v>
      </c>
      <c r="W96" s="539">
        <f>Cons!W$66</f>
        <v>10419.46875</v>
      </c>
      <c r="X96" s="539">
        <f>Cons!X$66</f>
        <v>9763.21875</v>
      </c>
      <c r="Y96" s="539">
        <f>Cons!Y$66</f>
        <v>8975.71875</v>
      </c>
      <c r="Z96" s="539">
        <f>Cons!Z$66</f>
        <v>8024.15625</v>
      </c>
      <c r="AA96" s="539">
        <f>Cons!AA$66</f>
        <v>7728.84375</v>
      </c>
      <c r="AB96" s="539">
        <f>Cons!AB$66</f>
        <v>7958.53125</v>
      </c>
      <c r="AC96" s="539">
        <f>Cons!AC$66</f>
        <v>8352.28125</v>
      </c>
      <c r="AD96" s="539">
        <f>Cons!AD$66</f>
        <v>8180.015625</v>
      </c>
      <c r="AE96" s="539">
        <f>Cons!AE$66</f>
        <v>6851.109375</v>
      </c>
      <c r="AF96" s="539">
        <f>Cons!AF$66</f>
        <v>5194.078125</v>
      </c>
      <c r="AG96" s="539">
        <f>Cons!AG$66</f>
        <v>3446.8125</v>
      </c>
      <c r="AH96" s="539">
        <f>Cons!AH$66</f>
        <v>0</v>
      </c>
      <c r="AI96" s="539">
        <f>Cons!AI$66</f>
        <v>0</v>
      </c>
      <c r="AJ96" s="539">
        <f>Cons!AJ$66</f>
        <v>0</v>
      </c>
      <c r="AK96" s="539">
        <f>Cons!AK$66</f>
        <v>0</v>
      </c>
      <c r="AL96" s="539">
        <f>Cons!AL$66</f>
        <v>0</v>
      </c>
      <c r="AM96" s="539">
        <f>Cons!AM$66</f>
        <v>0</v>
      </c>
      <c r="AN96" s="539">
        <f>Cons!AN$66</f>
        <v>0</v>
      </c>
      <c r="AO96" s="539">
        <f>Cons!AO$66</f>
        <v>0</v>
      </c>
      <c r="AP96" s="539">
        <f>Cons!AP$66</f>
        <v>0</v>
      </c>
      <c r="AQ96" s="539">
        <f>Cons!AQ$66</f>
        <v>0</v>
      </c>
      <c r="AR96" s="539">
        <f>Cons!AR$66</f>
        <v>0</v>
      </c>
      <c r="AS96" s="539">
        <f>Cons!AS$66</f>
        <v>0</v>
      </c>
      <c r="AT96" s="539">
        <f>Cons!AT$66</f>
        <v>0</v>
      </c>
      <c r="AU96" s="539">
        <f>Cons!AU$66</f>
        <v>0</v>
      </c>
      <c r="AV96" s="539">
        <f>Cons!AV$66</f>
        <v>0</v>
      </c>
      <c r="AW96" s="539">
        <f>Cons!AW$66</f>
        <v>0</v>
      </c>
      <c r="AX96" s="539">
        <f>Cons!AX$66</f>
        <v>0</v>
      </c>
      <c r="AY96" s="539">
        <f>Cons!AY$66</f>
        <v>0</v>
      </c>
      <c r="AZ96" s="539">
        <f>Cons!AZ$66</f>
        <v>0</v>
      </c>
      <c r="BA96" s="539">
        <f>Cons!BA$66</f>
        <v>0</v>
      </c>
      <c r="BB96" s="539">
        <f>Cons!BB$66</f>
        <v>0</v>
      </c>
      <c r="BC96" s="539">
        <f>Cons!BC$66</f>
        <v>0</v>
      </c>
      <c r="BD96" s="539">
        <f>Cons!BD$66</f>
        <v>0</v>
      </c>
      <c r="BE96" s="539">
        <f>Cons!BE$66</f>
        <v>0</v>
      </c>
      <c r="BF96" s="539">
        <f>Cons!BF$66</f>
        <v>0</v>
      </c>
      <c r="BG96" s="539">
        <f>Cons!BG$66</f>
        <v>0</v>
      </c>
      <c r="BH96" s="539">
        <f>Cons!BH$66</f>
        <v>0</v>
      </c>
      <c r="BI96" s="539">
        <f>Cons!BI$66</f>
        <v>0</v>
      </c>
      <c r="BJ96" s="539">
        <f>Cons!BJ$66</f>
        <v>0</v>
      </c>
      <c r="BK96" s="539">
        <f>Cons!BK$66</f>
        <v>0</v>
      </c>
      <c r="BL96" s="539">
        <f>Cons!BL$66</f>
        <v>0</v>
      </c>
      <c r="BM96" s="539">
        <f>Cons!BM$66</f>
        <v>0</v>
      </c>
      <c r="BN96" s="539">
        <f>Cons!BN$66</f>
        <v>0</v>
      </c>
      <c r="BO96" s="539">
        <f>Cons!BO$66</f>
        <v>0</v>
      </c>
      <c r="BP96" s="539">
        <f>Cons!BP$66</f>
        <v>0</v>
      </c>
      <c r="BQ96" s="539">
        <f>Cons!BQ$66</f>
        <v>0</v>
      </c>
      <c r="BR96" s="539">
        <f>Cons!BR$66</f>
        <v>0</v>
      </c>
      <c r="BS96" s="539">
        <f>Cons!BS$66</f>
        <v>0</v>
      </c>
      <c r="BT96" s="539">
        <f>Cons!BT$66</f>
        <v>0</v>
      </c>
      <c r="BU96" s="539">
        <f>Cons!BU$66</f>
        <v>0</v>
      </c>
      <c r="BV96" s="539">
        <f>Cons!BV$66</f>
        <v>0</v>
      </c>
      <c r="BW96" s="539">
        <f>Cons!BW$66</f>
        <v>0</v>
      </c>
      <c r="BX96" s="539">
        <f>Cons!BX$66</f>
        <v>0</v>
      </c>
      <c r="BY96" s="539">
        <f>Cons!BY$66</f>
        <v>0</v>
      </c>
      <c r="BZ96" s="539">
        <f>Cons!BZ$66</f>
        <v>0</v>
      </c>
      <c r="CA96" s="539">
        <f>Cons!CA$66</f>
        <v>0</v>
      </c>
      <c r="CB96" s="539">
        <f>Cons!CB$66</f>
        <v>0</v>
      </c>
      <c r="CC96" s="539">
        <f>Cons!CC$66</f>
        <v>0</v>
      </c>
      <c r="CD96" s="539">
        <f>Cons!CD$66</f>
        <v>0</v>
      </c>
      <c r="CE96" s="539">
        <f>Cons!CE$66</f>
        <v>0</v>
      </c>
      <c r="CF96" s="539">
        <f>Cons!CF$66</f>
        <v>0</v>
      </c>
      <c r="CG96" s="539">
        <f>Cons!CG$66</f>
        <v>0</v>
      </c>
      <c r="CH96" s="539">
        <f>Cons!CH$66</f>
        <v>0</v>
      </c>
      <c r="CI96" s="539">
        <f>Cons!CI$66</f>
        <v>0</v>
      </c>
      <c r="CJ96" s="539">
        <f>Cons!CJ$66</f>
        <v>0</v>
      </c>
      <c r="CK96" s="539">
        <f>Cons!CK$66</f>
        <v>0</v>
      </c>
      <c r="CL96" s="539">
        <f>Cons!CL$66</f>
        <v>0</v>
      </c>
      <c r="CM96" s="539">
        <f>Cons!CM$66</f>
        <v>0</v>
      </c>
      <c r="CN96" s="539">
        <f>Cons!CN$66</f>
        <v>0</v>
      </c>
      <c r="CO96" s="539">
        <f>Cons!CO$66</f>
        <v>0</v>
      </c>
      <c r="CP96" s="539">
        <f>Cons!CP$66</f>
        <v>0</v>
      </c>
      <c r="CQ96" s="539">
        <f>Cons!CQ$66</f>
        <v>0</v>
      </c>
      <c r="CR96" s="539">
        <f>Cons!CR$66</f>
        <v>0</v>
      </c>
      <c r="CS96" s="539">
        <f>Cons!CS$66</f>
        <v>0</v>
      </c>
      <c r="CT96" s="539">
        <f>Cons!CT$66</f>
        <v>0</v>
      </c>
      <c r="CU96" s="539">
        <f>Cons!CU$66</f>
        <v>0</v>
      </c>
      <c r="CV96" s="539">
        <f>Cons!CV$66</f>
        <v>0</v>
      </c>
      <c r="CW96" s="539">
        <f>Cons!CW$66</f>
        <v>0</v>
      </c>
      <c r="CX96" s="539">
        <f>Cons!CX$66</f>
        <v>0</v>
      </c>
      <c r="CY96" s="539">
        <f>Cons!CY$66</f>
        <v>0</v>
      </c>
      <c r="CZ96" s="539">
        <f>Cons!CZ$66</f>
        <v>0</v>
      </c>
      <c r="DA96" s="539">
        <f>Cons!DA$66</f>
        <v>0</v>
      </c>
      <c r="DB96" s="539">
        <f>Cons!DB$66</f>
        <v>0</v>
      </c>
      <c r="DC96" s="539">
        <f>Cons!DC$66</f>
        <v>0</v>
      </c>
      <c r="DD96" s="539">
        <f>Cons!DD$66</f>
        <v>0</v>
      </c>
      <c r="DE96" s="539">
        <f>Cons!DE$66</f>
        <v>0</v>
      </c>
      <c r="DF96" s="539">
        <f>Cons!DF$66</f>
        <v>0</v>
      </c>
      <c r="DG96" s="539">
        <f>Cons!DG$66</f>
        <v>0</v>
      </c>
      <c r="DH96" s="539">
        <f>Cons!DH$66</f>
        <v>0</v>
      </c>
      <c r="DI96" s="539">
        <f>Cons!DI$66</f>
        <v>0</v>
      </c>
      <c r="DJ96" s="539">
        <f>Cons!DJ$66</f>
        <v>0</v>
      </c>
      <c r="DK96" s="539">
        <f>Cons!DK$66</f>
        <v>0</v>
      </c>
      <c r="DL96" s="539">
        <f>Cons!DL$66</f>
        <v>0</v>
      </c>
      <c r="DM96" s="539">
        <f>Cons!DM$66</f>
        <v>0</v>
      </c>
      <c r="DN96" s="539">
        <f>Cons!DN$66</f>
        <v>0</v>
      </c>
      <c r="DO96" s="539">
        <f>Cons!DO$66</f>
        <v>0</v>
      </c>
      <c r="DP96" s="539">
        <f>Cons!DP$66</f>
        <v>0</v>
      </c>
      <c r="DQ96" s="539">
        <f>Cons!DQ$66</f>
        <v>0</v>
      </c>
      <c r="DR96" s="539">
        <f>Cons!DR$66</f>
        <v>0</v>
      </c>
      <c r="DS96" s="539">
        <f>Cons!DS$66</f>
        <v>0</v>
      </c>
      <c r="DT96" s="539">
        <f>Cons!DT$66</f>
        <v>0</v>
      </c>
      <c r="DU96" s="539">
        <f>Cons!DU$66</f>
        <v>0</v>
      </c>
      <c r="DV96" s="539">
        <f>Cons!DV$66</f>
        <v>0</v>
      </c>
      <c r="DW96" s="539">
        <f>Cons!DW$66</f>
        <v>0</v>
      </c>
      <c r="DX96" s="539">
        <f>Cons!DX$66</f>
        <v>0</v>
      </c>
      <c r="DY96" s="539">
        <f>Cons!DY$66</f>
        <v>0</v>
      </c>
      <c r="DZ96" s="539">
        <f>Cons!DZ$66</f>
        <v>0</v>
      </c>
      <c r="EA96" s="539">
        <f>Cons!EA$66</f>
        <v>0</v>
      </c>
      <c r="EB96" s="539">
        <f>Cons!EB$66</f>
        <v>0</v>
      </c>
      <c r="EC96" s="539">
        <f>Cons!EC$66</f>
        <v>0</v>
      </c>
      <c r="ED96" s="539">
        <f>Cons!ED$66</f>
        <v>0</v>
      </c>
      <c r="EE96" s="539">
        <f>Cons!EE$66</f>
        <v>0</v>
      </c>
      <c r="EF96" s="539">
        <f>Cons!EF$66</f>
        <v>0</v>
      </c>
      <c r="EG96" s="539">
        <f>Cons!EG$66</f>
        <v>0</v>
      </c>
    </row>
    <row r="97" spans="5:137" ht="12.75">
      <c r="E97" s="538" t="str">
        <f>Ops!E$111</f>
        <v>Receivables - closing balance</v>
      </c>
      <c r="G97" s="539" t="str">
        <f>Ops!G$111</f>
        <v>EUR 000s</v>
      </c>
      <c r="H97" s="539">
        <f>Ops!H$111</f>
        <v>525570.63057551137</v>
      </c>
      <c r="J97" s="539">
        <f>Ops!J$111</f>
        <v>0</v>
      </c>
      <c r="K97" s="539">
        <f>Ops!K$111</f>
        <v>0</v>
      </c>
      <c r="L97" s="539">
        <f>Ops!L$111</f>
        <v>0</v>
      </c>
      <c r="M97" s="539">
        <f>Ops!M$111</f>
        <v>0</v>
      </c>
      <c r="N97" s="539">
        <f>Ops!N$111</f>
        <v>0</v>
      </c>
      <c r="O97" s="539">
        <f>Ops!O$111</f>
        <v>0</v>
      </c>
      <c r="P97" s="539">
        <f>Ops!P$111</f>
        <v>0</v>
      </c>
      <c r="Q97" s="539">
        <f>Ops!Q$111</f>
        <v>0</v>
      </c>
      <c r="R97" s="539">
        <f>Ops!R$111</f>
        <v>0</v>
      </c>
      <c r="S97" s="539">
        <f>Ops!S$111</f>
        <v>0</v>
      </c>
      <c r="T97" s="539">
        <f>Ops!T$111</f>
        <v>0</v>
      </c>
      <c r="U97" s="539">
        <f>Ops!U$111</f>
        <v>0</v>
      </c>
      <c r="V97" s="539">
        <f>Ops!V$111</f>
        <v>0</v>
      </c>
      <c r="W97" s="539">
        <f>Ops!W$111</f>
        <v>0</v>
      </c>
      <c r="X97" s="539">
        <f>Ops!X$111</f>
        <v>0</v>
      </c>
      <c r="Y97" s="539">
        <f>Ops!Y$111</f>
        <v>0</v>
      </c>
      <c r="Z97" s="539">
        <f>Ops!Z$111</f>
        <v>0</v>
      </c>
      <c r="AA97" s="539">
        <f>Ops!AA$111</f>
        <v>0</v>
      </c>
      <c r="AB97" s="539">
        <f>Ops!AB$111</f>
        <v>0</v>
      </c>
      <c r="AC97" s="539">
        <f>Ops!AC$111</f>
        <v>0</v>
      </c>
      <c r="AD97" s="539">
        <f>Ops!AD$111</f>
        <v>0</v>
      </c>
      <c r="AE97" s="539">
        <f>Ops!AE$111</f>
        <v>0</v>
      </c>
      <c r="AF97" s="539">
        <f>Ops!AF$111</f>
        <v>0</v>
      </c>
      <c r="AG97" s="539">
        <f>Ops!AG$111</f>
        <v>0</v>
      </c>
      <c r="AH97" s="539">
        <f>Ops!AH$111</f>
        <v>4161.6000000000004</v>
      </c>
      <c r="AI97" s="539">
        <f>Ops!AI$111</f>
        <v>4115.868131868132</v>
      </c>
      <c r="AJ97" s="539">
        <f>Ops!AJ$111</f>
        <v>4071.1304347826085</v>
      </c>
      <c r="AK97" s="539">
        <f>Ops!AK$111</f>
        <v>4071.1304347826085</v>
      </c>
      <c r="AL97" s="539">
        <f>Ops!AL$111</f>
        <v>4244.8320000000003</v>
      </c>
      <c r="AM97" s="539">
        <f>Ops!AM$111</f>
        <v>4198.1854945054947</v>
      </c>
      <c r="AN97" s="539">
        <f>Ops!AN$111</f>
        <v>4152.5530434782613</v>
      </c>
      <c r="AO97" s="539">
        <f>Ops!AO$111</f>
        <v>4152.5530434782613</v>
      </c>
      <c r="AP97" s="539">
        <f>Ops!AP$111</f>
        <v>4329.7286400000003</v>
      </c>
      <c r="AQ97" s="539">
        <f>Ops!AQ$111</f>
        <v>4282.149204395605</v>
      </c>
      <c r="AR97" s="539">
        <f>Ops!AR$111</f>
        <v>4235.6041043478263</v>
      </c>
      <c r="AS97" s="539">
        <f>Ops!AS$111</f>
        <v>4235.6041043478263</v>
      </c>
      <c r="AT97" s="539">
        <f>Ops!AT$111</f>
        <v>4367.7921884835159</v>
      </c>
      <c r="AU97" s="539">
        <f>Ops!AU$111</f>
        <v>4367.7921884835159</v>
      </c>
      <c r="AV97" s="539">
        <f>Ops!AV$111</f>
        <v>4320.3161864347821</v>
      </c>
      <c r="AW97" s="539">
        <f>Ops!AW$111</f>
        <v>4320.3161864347821</v>
      </c>
      <c r="AX97" s="539">
        <f>Ops!AX$111</f>
        <v>4504.6496770559997</v>
      </c>
      <c r="AY97" s="539">
        <f>Ops!AY$111</f>
        <v>4455.148032253187</v>
      </c>
      <c r="AZ97" s="539">
        <f>Ops!AZ$111</f>
        <v>4406.7225101634776</v>
      </c>
      <c r="BA97" s="539">
        <f>Ops!BA$111</f>
        <v>4406.7225101634776</v>
      </c>
      <c r="BB97" s="539">
        <f>Ops!BB$111</f>
        <v>4594.7426705971202</v>
      </c>
      <c r="BC97" s="539">
        <f>Ops!BC$111</f>
        <v>4544.2509928982508</v>
      </c>
      <c r="BD97" s="539">
        <f>Ops!BD$111</f>
        <v>4494.8569603667484</v>
      </c>
      <c r="BE97" s="539">
        <f>Ops!BE$111</f>
        <v>4494.8569603667484</v>
      </c>
      <c r="BF97" s="539">
        <f>Ops!BF$111</f>
        <v>4686.6375240090629</v>
      </c>
      <c r="BG97" s="539">
        <f>Ops!BG$111</f>
        <v>4635.1360127562166</v>
      </c>
      <c r="BH97" s="539">
        <f>Ops!BH$111</f>
        <v>4584.7540995740837</v>
      </c>
      <c r="BI97" s="539">
        <f>Ops!BI$111</f>
        <v>4584.7540995740837</v>
      </c>
      <c r="BJ97" s="539">
        <f>Ops!BJ$111</f>
        <v>4727.8387330113401</v>
      </c>
      <c r="BK97" s="539">
        <f>Ops!BK$111</f>
        <v>4727.8387330113401</v>
      </c>
      <c r="BL97" s="539">
        <f>Ops!BL$111</f>
        <v>4676.4491815655647</v>
      </c>
      <c r="BM97" s="539">
        <f>Ops!BM$111</f>
        <v>4676.4491815655647</v>
      </c>
      <c r="BN97" s="539">
        <f>Ops!BN$111</f>
        <v>4875.9776799790297</v>
      </c>
      <c r="BO97" s="539">
        <f>Ops!BO$111</f>
        <v>4822.3955076715674</v>
      </c>
      <c r="BP97" s="539">
        <f>Ops!BP$111</f>
        <v>4769.9781651968769</v>
      </c>
      <c r="BQ97" s="539">
        <f>Ops!BQ$111</f>
        <v>4769.9781651968769</v>
      </c>
      <c r="BR97" s="539">
        <f>Ops!BR$111</f>
        <v>4973.4972335786097</v>
      </c>
      <c r="BS97" s="539">
        <f>Ops!BS$111</f>
        <v>4918.8434178249991</v>
      </c>
      <c r="BT97" s="539">
        <f>Ops!BT$111</f>
        <v>4865.3777285008136</v>
      </c>
      <c r="BU97" s="539">
        <f>Ops!BU$111</f>
        <v>4865.3777285008136</v>
      </c>
      <c r="BV97" s="539">
        <f>Ops!BV$111</f>
        <v>5072.9671782501828</v>
      </c>
      <c r="BW97" s="539">
        <f>Ops!BW$111</f>
        <v>5017.2202861814994</v>
      </c>
      <c r="BX97" s="539">
        <f>Ops!BX$111</f>
        <v>4962.6852830708303</v>
      </c>
      <c r="BY97" s="539">
        <f>Ops!BY$111</f>
        <v>4962.6852830708303</v>
      </c>
      <c r="BZ97" s="539">
        <f>Ops!BZ$111</f>
        <v>5117.5646919051278</v>
      </c>
      <c r="CA97" s="539">
        <f>Ops!CA$111</f>
        <v>5117.5646919051278</v>
      </c>
      <c r="CB97" s="539">
        <f>Ops!CB$111</f>
        <v>5061.9389887322459</v>
      </c>
      <c r="CC97" s="539">
        <f>Ops!CC$111</f>
        <v>5061.9389887322459</v>
      </c>
      <c r="CD97" s="539">
        <f>Ops!CD$111</f>
        <v>5277.9150522514892</v>
      </c>
      <c r="CE97" s="539">
        <f>Ops!CE$111</f>
        <v>5219.9159857432314</v>
      </c>
      <c r="CF97" s="539">
        <f>Ops!CF$111</f>
        <v>5163.1777685068919</v>
      </c>
      <c r="CG97" s="539">
        <f>Ops!CG$111</f>
        <v>5163.1777685068919</v>
      </c>
      <c r="CH97" s="539">
        <f>Ops!CH$111</f>
        <v>5383.4733532965192</v>
      </c>
      <c r="CI97" s="539">
        <f>Ops!CI$111</f>
        <v>5324.314305458096</v>
      </c>
      <c r="CJ97" s="539">
        <f>Ops!CJ$111</f>
        <v>5266.4413238770303</v>
      </c>
      <c r="CK97" s="539">
        <f>Ops!CK$111</f>
        <v>5266.4413238770303</v>
      </c>
      <c r="CL97" s="539">
        <f>Ops!CL$111</f>
        <v>5491.1428203624509</v>
      </c>
      <c r="CM97" s="539">
        <f>Ops!CM$111</f>
        <v>5430.8005915672584</v>
      </c>
      <c r="CN97" s="539">
        <f>Ops!CN$111</f>
        <v>5371.7701503545713</v>
      </c>
      <c r="CO97" s="539">
        <f>Ops!CO$111</f>
        <v>5371.7701503545713</v>
      </c>
      <c r="CP97" s="539">
        <f>Ops!CP$111</f>
        <v>5539.416603398603</v>
      </c>
      <c r="CQ97" s="539">
        <f>Ops!CQ$111</f>
        <v>5539.416603398603</v>
      </c>
      <c r="CR97" s="539">
        <f>Ops!CR$111</f>
        <v>5479.2055533616622</v>
      </c>
      <c r="CS97" s="539">
        <f>Ops!CS$111</f>
        <v>5479.2055533616622</v>
      </c>
      <c r="CT97" s="539">
        <f>Ops!CT$111</f>
        <v>5712.9849903050936</v>
      </c>
      <c r="CU97" s="539">
        <f>Ops!CU$111</f>
        <v>5650.204935466576</v>
      </c>
      <c r="CV97" s="539">
        <f>Ops!CV$111</f>
        <v>5588.7896644288967</v>
      </c>
      <c r="CW97" s="539">
        <f>Ops!CW$111</f>
        <v>5588.7896644288967</v>
      </c>
      <c r="CX97" s="539">
        <f>Ops!CX$111</f>
        <v>5827.2446901111953</v>
      </c>
      <c r="CY97" s="539">
        <f>Ops!CY$111</f>
        <v>5763.2090341759076</v>
      </c>
      <c r="CZ97" s="539">
        <f>Ops!CZ$111</f>
        <v>5700.5654577174737</v>
      </c>
      <c r="DA97" s="539">
        <f>Ops!DA$111</f>
        <v>5700.5654577174737</v>
      </c>
      <c r="DB97" s="539">
        <f>Ops!DB$111</f>
        <v>5943.7895839134189</v>
      </c>
      <c r="DC97" s="539">
        <f>Ops!DC$111</f>
        <v>5878.4732148594258</v>
      </c>
      <c r="DD97" s="539">
        <f>Ops!DD$111</f>
        <v>5814.5767668718236</v>
      </c>
      <c r="DE97" s="539">
        <f>Ops!DE$111</f>
        <v>5814.5767668718236</v>
      </c>
      <c r="DF97" s="539">
        <f>Ops!DF$111</f>
        <v>5996.0426791566151</v>
      </c>
      <c r="DG97" s="539">
        <f>Ops!DG$111</f>
        <v>5996.0426791566151</v>
      </c>
      <c r="DH97" s="539">
        <f>Ops!DH$111</f>
        <v>5930.8683022092609</v>
      </c>
      <c r="DI97" s="539">
        <f>Ops!DI$111</f>
        <v>5930.8683022092609</v>
      </c>
      <c r="DJ97" s="539">
        <f>Ops!DJ$111</f>
        <v>6183.9186831035222</v>
      </c>
      <c r="DK97" s="539">
        <f>Ops!DK$111</f>
        <v>6115.9635327397473</v>
      </c>
      <c r="DL97" s="539">
        <f>Ops!DL$111</f>
        <v>6049.4856682534455</v>
      </c>
      <c r="DM97" s="539">
        <f>Ops!DM$111</f>
        <v>6049.4856682534455</v>
      </c>
      <c r="DN97" s="539">
        <f>Ops!DN$111</f>
        <v>6307.5970567655932</v>
      </c>
      <c r="DO97" s="539">
        <f>Ops!DO$111</f>
        <v>6238.2828033945425</v>
      </c>
      <c r="DP97" s="539">
        <f>Ops!DP$111</f>
        <v>6170.4753816185148</v>
      </c>
      <c r="DQ97" s="539">
        <f>Ops!DQ$111</f>
        <v>6170.4753816185148</v>
      </c>
      <c r="DR97" s="539">
        <f>Ops!DR$111</f>
        <v>6433.7489979009042</v>
      </c>
      <c r="DS97" s="539">
        <f>Ops!DS$111</f>
        <v>6363.0484594624322</v>
      </c>
      <c r="DT97" s="539">
        <f>Ops!DT$111</f>
        <v>6293.884889250884</v>
      </c>
      <c r="DU97" s="539">
        <f>Ops!DU$111</f>
        <v>6293.884889250884</v>
      </c>
      <c r="DV97" s="539">
        <f>Ops!DV$111</f>
        <v>6490.3094286516816</v>
      </c>
      <c r="DW97" s="539">
        <f>Ops!DW$111</f>
        <v>6490.3094286516816</v>
      </c>
      <c r="DX97" s="539">
        <f>Ops!DX$111</f>
        <v>6419.7625870359025</v>
      </c>
      <c r="DY97" s="539">
        <f>Ops!DY$111</f>
        <v>6419.7625870359025</v>
      </c>
      <c r="DZ97" s="539">
        <f>Ops!DZ$111</f>
        <v>6693.6724574161008</v>
      </c>
      <c r="EA97" s="539">
        <f>Ops!EA$111</f>
        <v>6620.1156172247147</v>
      </c>
      <c r="EB97" s="539">
        <f>Ops!EB$111</f>
        <v>6548.1578387766203</v>
      </c>
      <c r="EC97" s="539">
        <f>Ops!EC$111</f>
        <v>6548.1578387766203</v>
      </c>
      <c r="ED97" s="539">
        <f>Ops!ED$111</f>
        <v>0</v>
      </c>
      <c r="EE97" s="539">
        <f>Ops!EE$111</f>
        <v>0</v>
      </c>
      <c r="EF97" s="539">
        <f>Ops!EF$111</f>
        <v>0</v>
      </c>
      <c r="EG97" s="539">
        <f>Ops!EG$111</f>
        <v>0</v>
      </c>
    </row>
    <row r="98" spans="5:137" ht="12.75">
      <c r="E98" s="538" t="str">
        <f>Reserves!E$63</f>
        <v>DSRA - closing balance</v>
      </c>
      <c r="G98" s="539" t="str">
        <f>Reserves!G$63</f>
        <v>EUR 000s</v>
      </c>
      <c r="H98" s="539">
        <f>Reserves!H$63</f>
        <v>697187.04072008806</v>
      </c>
      <c r="J98" s="539">
        <f>Reserves!J$63</f>
        <v>0</v>
      </c>
      <c r="K98" s="539">
        <f>Reserves!K$63</f>
        <v>0</v>
      </c>
      <c r="L98" s="539">
        <f>Reserves!L$63</f>
        <v>0</v>
      </c>
      <c r="M98" s="539">
        <f>Reserves!M$63</f>
        <v>0</v>
      </c>
      <c r="N98" s="539">
        <f>Reserves!N$63</f>
        <v>0</v>
      </c>
      <c r="O98" s="539">
        <f>Reserves!O$63</f>
        <v>0</v>
      </c>
      <c r="P98" s="539">
        <f>Reserves!P$63</f>
        <v>0</v>
      </c>
      <c r="Q98" s="539">
        <f>Reserves!Q$63</f>
        <v>0</v>
      </c>
      <c r="R98" s="539">
        <f>Reserves!R$63</f>
        <v>0</v>
      </c>
      <c r="S98" s="539">
        <f>Reserves!S$63</f>
        <v>0</v>
      </c>
      <c r="T98" s="539">
        <f>Reserves!T$63</f>
        <v>0</v>
      </c>
      <c r="U98" s="539">
        <f>Reserves!U$63</f>
        <v>0</v>
      </c>
      <c r="V98" s="539">
        <f>Reserves!V$63</f>
        <v>0</v>
      </c>
      <c r="W98" s="539">
        <f>Reserves!W$63</f>
        <v>0</v>
      </c>
      <c r="X98" s="539">
        <f>Reserves!X$63</f>
        <v>0</v>
      </c>
      <c r="Y98" s="539">
        <f>Reserves!Y$63</f>
        <v>0</v>
      </c>
      <c r="Z98" s="539">
        <f>Reserves!Z$63</f>
        <v>0</v>
      </c>
      <c r="AA98" s="539">
        <f>Reserves!AA$63</f>
        <v>0</v>
      </c>
      <c r="AB98" s="539">
        <f>Reserves!AB$63</f>
        <v>0</v>
      </c>
      <c r="AC98" s="539">
        <f>Reserves!AC$63</f>
        <v>0</v>
      </c>
      <c r="AD98" s="539">
        <f>Reserves!AD$63</f>
        <v>0</v>
      </c>
      <c r="AE98" s="539">
        <f>Reserves!AE$63</f>
        <v>0</v>
      </c>
      <c r="AF98" s="539">
        <f>Reserves!AF$63</f>
        <v>0</v>
      </c>
      <c r="AG98" s="539">
        <f>Reserves!AG$63</f>
        <v>8333.2746174985332</v>
      </c>
      <c r="AH98" s="539">
        <f>Reserves!AH$63</f>
        <v>9308.6531351756057</v>
      </c>
      <c r="AI98" s="539">
        <f>Reserves!AI$63</f>
        <v>9298.2394950176858</v>
      </c>
      <c r="AJ98" s="539">
        <f>Reserves!AJ$63</f>
        <v>9337.6116506683175</v>
      </c>
      <c r="AK98" s="539">
        <f>Reserves!AK$63</f>
        <v>9429.7291218685914</v>
      </c>
      <c r="AL98" s="539">
        <f>Reserves!AL$63</f>
        <v>9472.0580695850113</v>
      </c>
      <c r="AM98" s="539">
        <f>Reserves!AM$63</f>
        <v>9461.5189563631629</v>
      </c>
      <c r="AN98" s="539">
        <f>Reserves!AN$63</f>
        <v>9501.8263636837055</v>
      </c>
      <c r="AO98" s="539">
        <f>Reserves!AO$63</f>
        <v>9595.4102808892349</v>
      </c>
      <c r="AP98" s="539">
        <f>Reserves!AP$63</f>
        <v>9638.1449416640698</v>
      </c>
      <c r="AQ98" s="539">
        <f>Reserves!AQ$63</f>
        <v>9627.4799775801403</v>
      </c>
      <c r="AR98" s="539">
        <f>Reserves!AR$63</f>
        <v>9679.536016332997</v>
      </c>
      <c r="AS98" s="539">
        <f>Reserves!AS$63</f>
        <v>9763.8140753059997</v>
      </c>
      <c r="AT98" s="539">
        <f>Reserves!AT$63</f>
        <v>9796.1595279842222</v>
      </c>
      <c r="AU98" s="539">
        <f>Reserves!AU$63</f>
        <v>9793.9066267576272</v>
      </c>
      <c r="AV98" s="539">
        <f>Reserves!AV$63</f>
        <v>9836.1518034083492</v>
      </c>
      <c r="AW98" s="539">
        <f>Reserves!AW$63</f>
        <v>9934.9780954017842</v>
      </c>
      <c r="AX98" s="539">
        <f>Reserves!AX$63</f>
        <v>9978.5124212525789</v>
      </c>
      <c r="AY98" s="539">
        <f>Reserves!AY$63</f>
        <v>9965.1612930804731</v>
      </c>
      <c r="AZ98" s="539">
        <f>Reserves!AZ$63</f>
        <v>9944.7298885451564</v>
      </c>
      <c r="BA98" s="539">
        <f>Reserves!BA$63</f>
        <v>9972.4781358472173</v>
      </c>
      <c r="BB98" s="539">
        <f>Reserves!BB$63</f>
        <v>9998.6118234080277</v>
      </c>
      <c r="BC98" s="539">
        <f>Reserves!BC$63</f>
        <v>9970.5745648815064</v>
      </c>
      <c r="BD98" s="539">
        <f>Reserves!BD$63</f>
        <v>9993.9780103795183</v>
      </c>
      <c r="BE98" s="539">
        <f>Reserves!BE$63</f>
        <v>10073.47416898013</v>
      </c>
      <c r="BF98" s="539">
        <f>Reserves!BF$63</f>
        <v>10102.988965730921</v>
      </c>
      <c r="BG98" s="539">
        <f>Reserves!BG$63</f>
        <v>10077.683309371694</v>
      </c>
      <c r="BH98" s="539">
        <f>Reserves!BH$63</f>
        <v>10116.091187302902</v>
      </c>
      <c r="BI98" s="539">
        <f>Reserves!BI$63</f>
        <v>10188.382359693998</v>
      </c>
      <c r="BJ98" s="539">
        <f>Reserves!BJ$63</f>
        <v>10209.471318627446</v>
      </c>
      <c r="BK98" s="539">
        <f>Reserves!BK$63</f>
        <v>10197.714289675579</v>
      </c>
      <c r="BL98" s="539">
        <f>Reserves!BL$63</f>
        <v>10228.09568557579</v>
      </c>
      <c r="BM98" s="539">
        <f>Reserves!BM$63</f>
        <v>10315.357334076012</v>
      </c>
      <c r="BN98" s="539">
        <f>Reserves!BN$63</f>
        <v>10350.191466434988</v>
      </c>
      <c r="BO98" s="539">
        <f>Reserves!BO$63</f>
        <v>10328.987274345176</v>
      </c>
      <c r="BP98" s="539">
        <f>Reserves!BP$63</f>
        <v>10415.624121569275</v>
      </c>
      <c r="BQ98" s="539">
        <f>Reserves!BQ$63</f>
        <v>10559.552974855102</v>
      </c>
      <c r="BR98" s="539">
        <f>Reserves!BR$63</f>
        <v>10596.479459831688</v>
      </c>
      <c r="BS98" s="539">
        <f>Reserves!BS$63</f>
        <v>10576.793421109882</v>
      </c>
      <c r="BT98" s="539">
        <f>Reserves!BT$63</f>
        <v>10473.459397795083</v>
      </c>
      <c r="BU98" s="539">
        <f>Reserves!BU$63</f>
        <v>10016.709456108158</v>
      </c>
      <c r="BV98" s="539">
        <f>Reserves!BV$63</f>
        <v>9636.2291610373613</v>
      </c>
      <c r="BW98" s="539">
        <f>Reserves!BW$63</f>
        <v>9601.997150678957</v>
      </c>
      <c r="BX98" s="539">
        <f>Reserves!BX$63</f>
        <v>9625.2865352991357</v>
      </c>
      <c r="BY98" s="539">
        <f>Reserves!BY$63</f>
        <v>9683.778569263166</v>
      </c>
      <c r="BZ98" s="539">
        <f>Reserves!BZ$63</f>
        <v>9662.5293592965245</v>
      </c>
      <c r="CA98" s="539">
        <f>Reserves!CA$63</f>
        <v>9432.0314212886315</v>
      </c>
      <c r="CB98" s="539">
        <f>Reserves!CB$63</f>
        <v>9253.2529979049323</v>
      </c>
      <c r="CC98" s="539">
        <f>Reserves!CC$63</f>
        <v>9305.6886046067902</v>
      </c>
      <c r="CD98" s="539">
        <f>Reserves!CD$63</f>
        <v>9328.242598621724</v>
      </c>
      <c r="CE98" s="539">
        <f>Reserves!CE$63</f>
        <v>9290.6736063131902</v>
      </c>
      <c r="CF98" s="539">
        <f>Reserves!CF$63</f>
        <v>9287.1183551242611</v>
      </c>
      <c r="CG98" s="539">
        <f>Reserves!CG$63</f>
        <v>9344.8100349126944</v>
      </c>
      <c r="CH98" s="539">
        <f>Reserves!CH$63</f>
        <v>9369.1866302068702</v>
      </c>
      <c r="CI98" s="539">
        <f>Reserves!CI$63</f>
        <v>9333.0916602598882</v>
      </c>
      <c r="CJ98" s="539">
        <f>Reserves!CJ$63</f>
        <v>9620.0621641394609</v>
      </c>
      <c r="CK98" s="539">
        <f>Reserves!CK$63</f>
        <v>9967.8281585778968</v>
      </c>
      <c r="CL98" s="539">
        <f>Reserves!CL$63</f>
        <v>9992.4293815623641</v>
      </c>
      <c r="CM98" s="539">
        <f>Reserves!CM$63</f>
        <v>9956.2389657101321</v>
      </c>
      <c r="CN98" s="539">
        <f>Reserves!CN$63</f>
        <v>9683.7890086705629</v>
      </c>
      <c r="CO98" s="539">
        <f>Reserves!CO$63</f>
        <v>9447.2122969783286</v>
      </c>
      <c r="CP98" s="539">
        <f>Reserves!CP$63</f>
        <v>9459.8928143723988</v>
      </c>
      <c r="CQ98" s="539">
        <f>Reserves!CQ$63</f>
        <v>9437.5230352693525</v>
      </c>
      <c r="CR98" s="539">
        <f>Reserves!CR$63</f>
        <v>9442.1999104621646</v>
      </c>
      <c r="CS98" s="539">
        <f>Reserves!CS$63</f>
        <v>9508.240525704532</v>
      </c>
      <c r="CT98" s="539">
        <f>Reserves!CT$63</f>
        <v>9534.8898375107237</v>
      </c>
      <c r="CU98" s="539">
        <f>Reserves!CU$63</f>
        <v>9500.3177228280038</v>
      </c>
      <c r="CV98" s="539">
        <f>Reserves!CV$63</f>
        <v>9507.0838976619561</v>
      </c>
      <c r="CW98" s="539">
        <f>Reserves!CW$63</f>
        <v>9575.228520301549</v>
      </c>
      <c r="CX98" s="539">
        <f>Reserves!CX$63</f>
        <v>9601.8380683248215</v>
      </c>
      <c r="CY98" s="539">
        <f>Reserves!CY$63</f>
        <v>9567.0576877281255</v>
      </c>
      <c r="CZ98" s="539">
        <f>Reserves!CZ$63</f>
        <v>4771.6969558081337</v>
      </c>
      <c r="DA98" s="539">
        <f>Reserves!DA$63</f>
        <v>0</v>
      </c>
      <c r="DB98" s="539">
        <f>Reserves!DB$63</f>
        <v>0</v>
      </c>
      <c r="DC98" s="539">
        <f>Reserves!DC$63</f>
        <v>0</v>
      </c>
      <c r="DD98" s="539">
        <f>Reserves!DD$63</f>
        <v>0</v>
      </c>
      <c r="DE98" s="539">
        <f>Reserves!DE$63</f>
        <v>0</v>
      </c>
      <c r="DF98" s="539">
        <f>Reserves!DF$63</f>
        <v>0</v>
      </c>
      <c r="DG98" s="539">
        <f>Reserves!DG$63</f>
        <v>0</v>
      </c>
      <c r="DH98" s="539">
        <f>Reserves!DH$63</f>
        <v>0</v>
      </c>
      <c r="DI98" s="539">
        <f>Reserves!DI$63</f>
        <v>0</v>
      </c>
      <c r="DJ98" s="539">
        <f>Reserves!DJ$63</f>
        <v>0</v>
      </c>
      <c r="DK98" s="539">
        <f>Reserves!DK$63</f>
        <v>0</v>
      </c>
      <c r="DL98" s="539">
        <f>Reserves!DL$63</f>
        <v>0</v>
      </c>
      <c r="DM98" s="539">
        <f>Reserves!DM$63</f>
        <v>0</v>
      </c>
      <c r="DN98" s="539">
        <f>Reserves!DN$63</f>
        <v>0</v>
      </c>
      <c r="DO98" s="539">
        <f>Reserves!DO$63</f>
        <v>0</v>
      </c>
      <c r="DP98" s="539">
        <f>Reserves!DP$63</f>
        <v>0</v>
      </c>
      <c r="DQ98" s="539">
        <f>Reserves!DQ$63</f>
        <v>0</v>
      </c>
      <c r="DR98" s="539">
        <f>Reserves!DR$63</f>
        <v>0</v>
      </c>
      <c r="DS98" s="539">
        <f>Reserves!DS$63</f>
        <v>0</v>
      </c>
      <c r="DT98" s="539">
        <f>Reserves!DT$63</f>
        <v>0</v>
      </c>
      <c r="DU98" s="539">
        <f>Reserves!DU$63</f>
        <v>0</v>
      </c>
      <c r="DV98" s="539">
        <f>Reserves!DV$63</f>
        <v>0</v>
      </c>
      <c r="DW98" s="539">
        <f>Reserves!DW$63</f>
        <v>0</v>
      </c>
      <c r="DX98" s="539">
        <f>Reserves!DX$63</f>
        <v>0</v>
      </c>
      <c r="DY98" s="539">
        <f>Reserves!DY$63</f>
        <v>0</v>
      </c>
      <c r="DZ98" s="539">
        <f>Reserves!DZ$63</f>
        <v>0</v>
      </c>
      <c r="EA98" s="539">
        <f>Reserves!EA$63</f>
        <v>0</v>
      </c>
      <c r="EB98" s="539">
        <f>Reserves!EB$63</f>
        <v>0</v>
      </c>
      <c r="EC98" s="539">
        <f>Reserves!EC$63</f>
        <v>0</v>
      </c>
      <c r="ED98" s="539">
        <f>Reserves!ED$63</f>
        <v>0</v>
      </c>
      <c r="EE98" s="539">
        <f>Reserves!EE$63</f>
        <v>0</v>
      </c>
      <c r="EF98" s="539">
        <f>Reserves!EF$63</f>
        <v>0</v>
      </c>
      <c r="EG98" s="539">
        <f>Reserves!EG$63</f>
        <v>0</v>
      </c>
    </row>
    <row r="99" spans="5:137" ht="12.75">
      <c r="E99" s="538" t="str">
        <f>Reserves!E$110</f>
        <v>MRA - closing balance</v>
      </c>
      <c r="G99" s="539" t="str">
        <f>Reserves!G$110</f>
        <v>EUR 000s</v>
      </c>
      <c r="H99" s="539">
        <f>Reserves!H$110</f>
        <v>135260.82115133689</v>
      </c>
      <c r="J99" s="539">
        <f>Reserves!J$110</f>
        <v>0</v>
      </c>
      <c r="K99" s="539">
        <f>Reserves!K$110</f>
        <v>0</v>
      </c>
      <c r="L99" s="539">
        <f>Reserves!L$110</f>
        <v>0</v>
      </c>
      <c r="M99" s="539">
        <f>Reserves!M$110</f>
        <v>0</v>
      </c>
      <c r="N99" s="539">
        <f>Reserves!N$110</f>
        <v>0</v>
      </c>
      <c r="O99" s="539">
        <f>Reserves!O$110</f>
        <v>0</v>
      </c>
      <c r="P99" s="539">
        <f>Reserves!P$110</f>
        <v>0</v>
      </c>
      <c r="Q99" s="539">
        <f>Reserves!Q$110</f>
        <v>0</v>
      </c>
      <c r="R99" s="539">
        <f>Reserves!R$110</f>
        <v>0</v>
      </c>
      <c r="S99" s="539">
        <f>Reserves!S$110</f>
        <v>0</v>
      </c>
      <c r="T99" s="539">
        <f>Reserves!T$110</f>
        <v>0</v>
      </c>
      <c r="U99" s="539">
        <f>Reserves!U$110</f>
        <v>0</v>
      </c>
      <c r="V99" s="539">
        <f>Reserves!V$110</f>
        <v>0</v>
      </c>
      <c r="W99" s="539">
        <f>Reserves!W$110</f>
        <v>0</v>
      </c>
      <c r="X99" s="539">
        <f>Reserves!X$110</f>
        <v>0</v>
      </c>
      <c r="Y99" s="539">
        <f>Reserves!Y$110</f>
        <v>0</v>
      </c>
      <c r="Z99" s="539">
        <f>Reserves!Z$110</f>
        <v>0</v>
      </c>
      <c r="AA99" s="539">
        <f>Reserves!AA$110</f>
        <v>0</v>
      </c>
      <c r="AB99" s="539">
        <f>Reserves!AB$110</f>
        <v>0</v>
      </c>
      <c r="AC99" s="539">
        <f>Reserves!AC$110</f>
        <v>0</v>
      </c>
      <c r="AD99" s="539">
        <f>Reserves!AD$110</f>
        <v>0</v>
      </c>
      <c r="AE99" s="539">
        <f>Reserves!AE$110</f>
        <v>0</v>
      </c>
      <c r="AF99" s="539">
        <f>Reserves!AF$110</f>
        <v>0</v>
      </c>
      <c r="AG99" s="539">
        <f>Reserves!AG$110</f>
        <v>0</v>
      </c>
      <c r="AH99" s="539">
        <f>Reserves!AH$110</f>
        <v>0</v>
      </c>
      <c r="AI99" s="539">
        <f>Reserves!AI$110</f>
        <v>0</v>
      </c>
      <c r="AJ99" s="539">
        <f>Reserves!AJ$110</f>
        <v>0</v>
      </c>
      <c r="AK99" s="539">
        <f>Reserves!AK$110</f>
        <v>0</v>
      </c>
      <c r="AL99" s="539">
        <f>Reserves!AL$110</f>
        <v>0</v>
      </c>
      <c r="AM99" s="539">
        <f>Reserves!AM$110</f>
        <v>0</v>
      </c>
      <c r="AN99" s="539">
        <f>Reserves!AN$110</f>
        <v>0</v>
      </c>
      <c r="AO99" s="539">
        <f>Reserves!AO$110</f>
        <v>0</v>
      </c>
      <c r="AP99" s="539">
        <f>Reserves!AP$110</f>
        <v>0</v>
      </c>
      <c r="AQ99" s="539">
        <f>Reserves!AQ$110</f>
        <v>0</v>
      </c>
      <c r="AR99" s="539">
        <f>Reserves!AR$110</f>
        <v>0</v>
      </c>
      <c r="AS99" s="539">
        <f>Reserves!AS$110</f>
        <v>0</v>
      </c>
      <c r="AT99" s="539">
        <f>Reserves!AT$110</f>
        <v>1739.5401273193352</v>
      </c>
      <c r="AU99" s="539">
        <f>Reserves!AU$110</f>
        <v>3479.0802546386703</v>
      </c>
      <c r="AV99" s="539">
        <f>Reserves!AV$110</f>
        <v>5218.620381958006</v>
      </c>
      <c r="AW99" s="539">
        <f>Reserves!AW$110</f>
        <v>6958.1605092773407</v>
      </c>
      <c r="AX99" s="539">
        <f>Reserves!AX$110</f>
        <v>5218.620381958006</v>
      </c>
      <c r="AY99" s="539">
        <f>Reserves!AY$110</f>
        <v>3479.0802546386703</v>
      </c>
      <c r="AZ99" s="539">
        <f>Reserves!AZ$110</f>
        <v>1739.5401273193352</v>
      </c>
      <c r="BA99" s="539">
        <f>Reserves!BA$110</f>
        <v>0</v>
      </c>
      <c r="BB99" s="539">
        <f>Reserves!BB$110</f>
        <v>0</v>
      </c>
      <c r="BC99" s="539">
        <f>Reserves!BC$110</f>
        <v>0</v>
      </c>
      <c r="BD99" s="539">
        <f>Reserves!BD$110</f>
        <v>0</v>
      </c>
      <c r="BE99" s="539">
        <f>Reserves!BE$110</f>
        <v>0</v>
      </c>
      <c r="BF99" s="539">
        <f>Reserves!BF$110</f>
        <v>0</v>
      </c>
      <c r="BG99" s="539">
        <f>Reserves!BG$110</f>
        <v>0</v>
      </c>
      <c r="BH99" s="539">
        <f>Reserves!BH$110</f>
        <v>0</v>
      </c>
      <c r="BI99" s="539">
        <f>Reserves!BI$110</f>
        <v>0</v>
      </c>
      <c r="BJ99" s="539">
        <f>Reserves!BJ$110</f>
        <v>0</v>
      </c>
      <c r="BK99" s="539">
        <f>Reserves!BK$110</f>
        <v>0</v>
      </c>
      <c r="BL99" s="539">
        <f>Reserves!BL$110</f>
        <v>0</v>
      </c>
      <c r="BM99" s="539">
        <f>Reserves!BM$110</f>
        <v>0</v>
      </c>
      <c r="BN99" s="539">
        <f>Reserves!BN$110</f>
        <v>1968.1299867018984</v>
      </c>
      <c r="BO99" s="539">
        <f>Reserves!BO$110</f>
        <v>3936.2599734037967</v>
      </c>
      <c r="BP99" s="539">
        <f>Reserves!BP$110</f>
        <v>5904.3899601056946</v>
      </c>
      <c r="BQ99" s="539">
        <f>Reserves!BQ$110</f>
        <v>7872.5199468075934</v>
      </c>
      <c r="BR99" s="539">
        <f>Reserves!BR$110</f>
        <v>5904.3899601056946</v>
      </c>
      <c r="BS99" s="539">
        <f>Reserves!BS$110</f>
        <v>3936.2599734037967</v>
      </c>
      <c r="BT99" s="539">
        <f>Reserves!BT$110</f>
        <v>1968.1299867018984</v>
      </c>
      <c r="BU99" s="539">
        <f>Reserves!BU$110</f>
        <v>0</v>
      </c>
      <c r="BV99" s="539">
        <f>Reserves!BV$110</f>
        <v>0</v>
      </c>
      <c r="BW99" s="539">
        <f>Reserves!BW$110</f>
        <v>0</v>
      </c>
      <c r="BX99" s="539">
        <f>Reserves!BX$110</f>
        <v>0</v>
      </c>
      <c r="BY99" s="539">
        <f>Reserves!BY$110</f>
        <v>0</v>
      </c>
      <c r="BZ99" s="539">
        <f>Reserves!BZ$110</f>
        <v>0</v>
      </c>
      <c r="CA99" s="539">
        <f>Reserves!CA$110</f>
        <v>0</v>
      </c>
      <c r="CB99" s="539">
        <f>Reserves!CB$110</f>
        <v>0</v>
      </c>
      <c r="CC99" s="539">
        <f>Reserves!CC$110</f>
        <v>0</v>
      </c>
      <c r="CD99" s="539">
        <f>Reserves!CD$110</f>
        <v>0</v>
      </c>
      <c r="CE99" s="539">
        <f>Reserves!CE$110</f>
        <v>0</v>
      </c>
      <c r="CF99" s="539">
        <f>Reserves!CF$110</f>
        <v>0</v>
      </c>
      <c r="CG99" s="539">
        <f>Reserves!CG$110</f>
        <v>0</v>
      </c>
      <c r="CH99" s="539">
        <f>Reserves!CH$110</f>
        <v>2226.7584309908434</v>
      </c>
      <c r="CI99" s="539">
        <f>Reserves!CI$110</f>
        <v>4453.5168619816868</v>
      </c>
      <c r="CJ99" s="539">
        <f>Reserves!CJ$110</f>
        <v>6680.2752929725302</v>
      </c>
      <c r="CK99" s="539">
        <f>Reserves!CK$110</f>
        <v>8907.0337239633736</v>
      </c>
      <c r="CL99" s="539">
        <f>Reserves!CL$110</f>
        <v>6680.2752929725302</v>
      </c>
      <c r="CM99" s="539">
        <f>Reserves!CM$110</f>
        <v>4453.5168619816868</v>
      </c>
      <c r="CN99" s="539">
        <f>Reserves!CN$110</f>
        <v>2226.7584309908434</v>
      </c>
      <c r="CO99" s="539">
        <f>Reserves!CO$110</f>
        <v>0</v>
      </c>
      <c r="CP99" s="539">
        <f>Reserves!CP$110</f>
        <v>0</v>
      </c>
      <c r="CQ99" s="539">
        <f>Reserves!CQ$110</f>
        <v>0</v>
      </c>
      <c r="CR99" s="539">
        <f>Reserves!CR$110</f>
        <v>0</v>
      </c>
      <c r="CS99" s="539">
        <f>Reserves!CS$110</f>
        <v>0</v>
      </c>
      <c r="CT99" s="539">
        <f>Reserves!CT$110</f>
        <v>0</v>
      </c>
      <c r="CU99" s="539">
        <f>Reserves!CU$110</f>
        <v>0</v>
      </c>
      <c r="CV99" s="539">
        <f>Reserves!CV$110</f>
        <v>0</v>
      </c>
      <c r="CW99" s="539">
        <f>Reserves!CW$110</f>
        <v>0</v>
      </c>
      <c r="CX99" s="539">
        <f>Reserves!CX$110</f>
        <v>0</v>
      </c>
      <c r="CY99" s="539">
        <f>Reserves!CY$110</f>
        <v>0</v>
      </c>
      <c r="CZ99" s="539">
        <f>Reserves!CZ$110</f>
        <v>0</v>
      </c>
      <c r="DA99" s="539">
        <f>Reserves!DA$110</f>
        <v>0</v>
      </c>
      <c r="DB99" s="539">
        <f>Reserves!DB$110</f>
        <v>2519.3727769464808</v>
      </c>
      <c r="DC99" s="539">
        <f>Reserves!DC$110</f>
        <v>5038.7455538929617</v>
      </c>
      <c r="DD99" s="539">
        <f>Reserves!DD$110</f>
        <v>7558.1183308394429</v>
      </c>
      <c r="DE99" s="539">
        <f>Reserves!DE$110</f>
        <v>10077.491107785923</v>
      </c>
      <c r="DF99" s="539">
        <f>Reserves!DF$110</f>
        <v>7558.1183308394429</v>
      </c>
      <c r="DG99" s="539">
        <f>Reserves!DG$110</f>
        <v>5038.7455538929617</v>
      </c>
      <c r="DH99" s="539">
        <f>Reserves!DH$110</f>
        <v>2519.3727769464808</v>
      </c>
      <c r="DI99" s="539">
        <f>Reserves!DI$110</f>
        <v>0</v>
      </c>
      <c r="DJ99" s="539">
        <f>Reserves!DJ$110</f>
        <v>0</v>
      </c>
      <c r="DK99" s="539">
        <f>Reserves!DK$110</f>
        <v>0</v>
      </c>
      <c r="DL99" s="539">
        <f>Reserves!DL$110</f>
        <v>0</v>
      </c>
      <c r="DM99" s="539">
        <f>Reserves!DM$110</f>
        <v>0</v>
      </c>
      <c r="DN99" s="539">
        <f>Reserves!DN$110</f>
        <v>0</v>
      </c>
      <c r="DO99" s="539">
        <f>Reserves!DO$110</f>
        <v>0</v>
      </c>
      <c r="DP99" s="539">
        <f>Reserves!DP$110</f>
        <v>0</v>
      </c>
      <c r="DQ99" s="539">
        <f>Reserves!DQ$110</f>
        <v>0</v>
      </c>
      <c r="DR99" s="539">
        <f>Reserves!DR$110</f>
        <v>0</v>
      </c>
      <c r="DS99" s="539">
        <f>Reserves!DS$110</f>
        <v>0</v>
      </c>
      <c r="DT99" s="539">
        <f>Reserves!DT$110</f>
        <v>0</v>
      </c>
      <c r="DU99" s="539">
        <f>Reserves!DU$110</f>
        <v>0</v>
      </c>
      <c r="DV99" s="539">
        <f>Reserves!DV$110</f>
        <v>0</v>
      </c>
      <c r="DW99" s="539">
        <f>Reserves!DW$110</f>
        <v>0</v>
      </c>
      <c r="DX99" s="539">
        <f>Reserves!DX$110</f>
        <v>0</v>
      </c>
      <c r="DY99" s="539">
        <f>Reserves!DY$110</f>
        <v>0</v>
      </c>
      <c r="DZ99" s="539">
        <f>Reserves!DZ$110</f>
        <v>0</v>
      </c>
      <c r="EA99" s="539">
        <f>Reserves!EA$110</f>
        <v>0</v>
      </c>
      <c r="EB99" s="539">
        <f>Reserves!EB$110</f>
        <v>0</v>
      </c>
      <c r="EC99" s="539">
        <f>Reserves!EC$110</f>
        <v>0</v>
      </c>
      <c r="ED99" s="539">
        <f>Reserves!ED$110</f>
        <v>0</v>
      </c>
      <c r="EE99" s="539">
        <f>Reserves!EE$110</f>
        <v>0</v>
      </c>
      <c r="EF99" s="539">
        <f>Reserves!EF$110</f>
        <v>0</v>
      </c>
      <c r="EG99" s="539">
        <f>Reserves!EG$110</f>
        <v>0</v>
      </c>
    </row>
    <row r="100" spans="5:137" ht="12.75">
      <c r="E100" s="551" t="s">
        <v>531</v>
      </c>
      <c r="F100" s="552"/>
      <c r="G100" s="552" t="s">
        <v>30</v>
      </c>
      <c r="H100" s="552">
        <f>SUM(J100:EG100)</f>
        <v>1546627.7452427351</v>
      </c>
      <c r="I100" s="552"/>
      <c r="J100" s="552">
        <f t="shared" si="18" ref="J100:EG100">J96+J97+J98+J99+J86</f>
        <v>0</v>
      </c>
      <c r="K100" s="552">
        <f t="shared" si="18"/>
        <v>0</v>
      </c>
      <c r="L100" s="552">
        <f t="shared" si="18"/>
        <v>0</v>
      </c>
      <c r="M100" s="552">
        <f t="shared" si="18"/>
        <v>2658.3125</v>
      </c>
      <c r="N100" s="552">
        <f t="shared" si="18"/>
        <v>5382.25</v>
      </c>
      <c r="O100" s="552">
        <f t="shared" si="18"/>
        <v>8040.5625</v>
      </c>
      <c r="P100" s="552">
        <f t="shared" si="18"/>
        <v>8106.1875</v>
      </c>
      <c r="Q100" s="552">
        <f t="shared" si="18"/>
        <v>8040.5625</v>
      </c>
      <c r="R100" s="552">
        <f t="shared" si="18"/>
        <v>8770.6406249999964</v>
      </c>
      <c r="S100" s="552">
        <f t="shared" si="18"/>
        <v>9574.5468749999964</v>
      </c>
      <c r="T100" s="552">
        <f t="shared" si="18"/>
        <v>10509.703124999993</v>
      </c>
      <c r="U100" s="552">
        <f t="shared" si="18"/>
        <v>10780.406249999993</v>
      </c>
      <c r="V100" s="552">
        <f t="shared" si="18"/>
        <v>10649.156249999989</v>
      </c>
      <c r="W100" s="552">
        <f t="shared" si="18"/>
        <v>10419.468749999989</v>
      </c>
      <c r="X100" s="552">
        <f t="shared" si="18"/>
        <v>9763.2187499999873</v>
      </c>
      <c r="Y100" s="552">
        <f t="shared" si="18"/>
        <v>8975.7187499999836</v>
      </c>
      <c r="Z100" s="552">
        <f t="shared" si="18"/>
        <v>8024.1562499999818</v>
      </c>
      <c r="AA100" s="552">
        <f t="shared" si="18"/>
        <v>7728.8437499999818</v>
      </c>
      <c r="AB100" s="552">
        <f t="shared" si="18"/>
        <v>7958.5312499999818</v>
      </c>
      <c r="AC100" s="552">
        <f t="shared" si="18"/>
        <v>8352.2812499999818</v>
      </c>
      <c r="AD100" s="552">
        <f t="shared" si="18"/>
        <v>8180.0156249999818</v>
      </c>
      <c r="AE100" s="552">
        <f t="shared" si="18"/>
        <v>6851.10937499998</v>
      </c>
      <c r="AF100" s="552">
        <f t="shared" si="18"/>
        <v>5194.0781249999791</v>
      </c>
      <c r="AG100" s="552">
        <f t="shared" si="18"/>
        <v>11780.087117498122</v>
      </c>
      <c r="AH100" s="552">
        <f t="shared" si="18"/>
        <v>13470.253135175193</v>
      </c>
      <c r="AI100" s="552">
        <f t="shared" si="18"/>
        <v>13414.107626885405</v>
      </c>
      <c r="AJ100" s="552">
        <f t="shared" si="18"/>
        <v>13408.742085450514</v>
      </c>
      <c r="AK100" s="552">
        <f t="shared" si="18"/>
        <v>13500.859556650787</v>
      </c>
      <c r="AL100" s="552">
        <f t="shared" si="18"/>
        <v>13716.890069584599</v>
      </c>
      <c r="AM100" s="552">
        <f t="shared" si="18"/>
        <v>13659.704450868245</v>
      </c>
      <c r="AN100" s="552">
        <f t="shared" si="18"/>
        <v>13654.379407161556</v>
      </c>
      <c r="AO100" s="552">
        <f t="shared" si="18"/>
        <v>13747.963324367083</v>
      </c>
      <c r="AP100" s="552">
        <f t="shared" si="18"/>
        <v>13967.873581663658</v>
      </c>
      <c r="AQ100" s="552">
        <f t="shared" si="18"/>
        <v>13909.629181975335</v>
      </c>
      <c r="AR100" s="552">
        <f t="shared" si="18"/>
        <v>13915.140120680411</v>
      </c>
      <c r="AS100" s="552">
        <f t="shared" si="18"/>
        <v>13999.418179653414</v>
      </c>
      <c r="AT100" s="552">
        <f t="shared" si="18"/>
        <v>15903.491843786662</v>
      </c>
      <c r="AU100" s="552">
        <f t="shared" si="18"/>
        <v>17640.779069879402</v>
      </c>
      <c r="AV100" s="552">
        <f t="shared" si="18"/>
        <v>19375.088371800728</v>
      </c>
      <c r="AW100" s="552">
        <f t="shared" si="18"/>
        <v>21213.454791113498</v>
      </c>
      <c r="AX100" s="552">
        <f t="shared" si="18"/>
        <v>19701.782480266174</v>
      </c>
      <c r="AY100" s="552">
        <f t="shared" si="18"/>
        <v>17899.389579971918</v>
      </c>
      <c r="AZ100" s="552">
        <f t="shared" si="18"/>
        <v>16090.992526027556</v>
      </c>
      <c r="BA100" s="552">
        <f t="shared" si="18"/>
        <v>14379.200646010282</v>
      </c>
      <c r="BB100" s="552">
        <f t="shared" si="18"/>
        <v>14593.354494004736</v>
      </c>
      <c r="BC100" s="552">
        <f t="shared" si="18"/>
        <v>14514.825557779346</v>
      </c>
      <c r="BD100" s="552">
        <f t="shared" si="18"/>
        <v>14488.834970745855</v>
      </c>
      <c r="BE100" s="552">
        <f t="shared" si="18"/>
        <v>14568.331129346469</v>
      </c>
      <c r="BF100" s="552">
        <f t="shared" si="18"/>
        <v>14789.626489739574</v>
      </c>
      <c r="BG100" s="552">
        <f t="shared" si="18"/>
        <v>14712.8193221275</v>
      </c>
      <c r="BH100" s="552">
        <f t="shared" si="18"/>
        <v>14700.845286876574</v>
      </c>
      <c r="BI100" s="552">
        <f t="shared" si="18"/>
        <v>14773.136459267669</v>
      </c>
      <c r="BJ100" s="552">
        <f t="shared" si="18"/>
        <v>14937.310051638375</v>
      </c>
      <c r="BK100" s="552">
        <f t="shared" si="18"/>
        <v>14925.553022686508</v>
      </c>
      <c r="BL100" s="552">
        <f t="shared" si="18"/>
        <v>14904.544867140943</v>
      </c>
      <c r="BM100" s="552">
        <f t="shared" si="18"/>
        <v>14991.806515641165</v>
      </c>
      <c r="BN100" s="552">
        <f t="shared" si="18"/>
        <v>17194.299133115503</v>
      </c>
      <c r="BO100" s="552">
        <f t="shared" si="18"/>
        <v>19087.642755420129</v>
      </c>
      <c r="BP100" s="552">
        <f t="shared" si="18"/>
        <v>21089.992246871436</v>
      </c>
      <c r="BQ100" s="552">
        <f t="shared" si="18"/>
        <v>23202.051086859163</v>
      </c>
      <c r="BR100" s="552">
        <f t="shared" si="18"/>
        <v>21474.366653515583</v>
      </c>
      <c r="BS100" s="552">
        <f t="shared" si="18"/>
        <v>19431.896812338266</v>
      </c>
      <c r="BT100" s="552">
        <f t="shared" si="18"/>
        <v>17306.967112997383</v>
      </c>
      <c r="BU100" s="552">
        <f t="shared" si="18"/>
        <v>14882.087184608561</v>
      </c>
      <c r="BV100" s="552">
        <f t="shared" si="18"/>
        <v>14709.196339287133</v>
      </c>
      <c r="BW100" s="552">
        <f t="shared" si="18"/>
        <v>14619.217436860046</v>
      </c>
      <c r="BX100" s="552">
        <f t="shared" si="18"/>
        <v>14587.971818369555</v>
      </c>
      <c r="BY100" s="552">
        <f t="shared" si="18"/>
        <v>14646.463852333585</v>
      </c>
      <c r="BZ100" s="552">
        <f t="shared" si="18"/>
        <v>14780.094051201242</v>
      </c>
      <c r="CA100" s="552">
        <f t="shared" si="18"/>
        <v>14549.596113193347</v>
      </c>
      <c r="CB100" s="552">
        <f t="shared" si="18"/>
        <v>14315.191986636768</v>
      </c>
      <c r="CC100" s="552">
        <f t="shared" si="18"/>
        <v>14367.627593338624</v>
      </c>
      <c r="CD100" s="552">
        <f t="shared" si="18"/>
        <v>14606.157650872803</v>
      </c>
      <c r="CE100" s="552">
        <f t="shared" si="18"/>
        <v>14510.589592056011</v>
      </c>
      <c r="CF100" s="552">
        <f t="shared" si="18"/>
        <v>14450.296123630742</v>
      </c>
      <c r="CG100" s="552">
        <f t="shared" si="18"/>
        <v>14507.987803419175</v>
      </c>
      <c r="CH100" s="552">
        <f t="shared" si="18"/>
        <v>16979.418414493823</v>
      </c>
      <c r="CI100" s="552">
        <f t="shared" si="18"/>
        <v>19110.922827699262</v>
      </c>
      <c r="CJ100" s="552">
        <f t="shared" si="18"/>
        <v>21566.77878098861</v>
      </c>
      <c r="CK100" s="552">
        <f t="shared" si="18"/>
        <v>24141.303206417888</v>
      </c>
      <c r="CL100" s="552">
        <f t="shared" si="18"/>
        <v>22163.847494896934</v>
      </c>
      <c r="CM100" s="552">
        <f t="shared" si="18"/>
        <v>19840.556419258664</v>
      </c>
      <c r="CN100" s="552">
        <f t="shared" si="18"/>
        <v>17282.317590015566</v>
      </c>
      <c r="CO100" s="552">
        <f t="shared" si="18"/>
        <v>14818.982447332488</v>
      </c>
      <c r="CP100" s="552">
        <f t="shared" si="18"/>
        <v>14999.30941777059</v>
      </c>
      <c r="CQ100" s="552">
        <f t="shared" si="18"/>
        <v>14976.939638667543</v>
      </c>
      <c r="CR100" s="552">
        <f t="shared" si="18"/>
        <v>14921.405463823416</v>
      </c>
      <c r="CS100" s="552">
        <f t="shared" si="18"/>
        <v>14987.446079065783</v>
      </c>
      <c r="CT100" s="552">
        <f t="shared" si="18"/>
        <v>15247.874827815405</v>
      </c>
      <c r="CU100" s="552">
        <f t="shared" si="18"/>
        <v>15150.522658294169</v>
      </c>
      <c r="CV100" s="552">
        <f t="shared" si="18"/>
        <v>15095.873562090441</v>
      </c>
      <c r="CW100" s="552">
        <f t="shared" si="18"/>
        <v>15164.018184730034</v>
      </c>
      <c r="CX100" s="552">
        <f t="shared" si="18"/>
        <v>15429.082758435605</v>
      </c>
      <c r="CY100" s="552">
        <f t="shared" si="18"/>
        <v>15330.266721903623</v>
      </c>
      <c r="CZ100" s="552">
        <f t="shared" si="18"/>
        <v>10472.262413525197</v>
      </c>
      <c r="DA100" s="552">
        <f t="shared" si="18"/>
        <v>5700.5654577170617</v>
      </c>
      <c r="DB100" s="552">
        <f t="shared" si="18"/>
        <v>8463.1623608594891</v>
      </c>
      <c r="DC100" s="552">
        <f t="shared" si="18"/>
        <v>10917.218768751976</v>
      </c>
      <c r="DD100" s="552">
        <f t="shared" si="18"/>
        <v>13372.695097710854</v>
      </c>
      <c r="DE100" s="552">
        <f t="shared" si="18"/>
        <v>15892.067874657336</v>
      </c>
      <c r="DF100" s="552">
        <f t="shared" si="18"/>
        <v>13554.161009995645</v>
      </c>
      <c r="DG100" s="552">
        <f t="shared" si="18"/>
        <v>11034.788233049167</v>
      </c>
      <c r="DH100" s="552">
        <f t="shared" si="18"/>
        <v>8450.2410791553302</v>
      </c>
      <c r="DI100" s="552">
        <f t="shared" si="18"/>
        <v>5930.8683022088489</v>
      </c>
      <c r="DJ100" s="552">
        <f t="shared" si="18"/>
        <v>6183.9186831031102</v>
      </c>
      <c r="DK100" s="552">
        <f t="shared" si="18"/>
        <v>6115.9635327393353</v>
      </c>
      <c r="DL100" s="552">
        <f t="shared" si="18"/>
        <v>6049.4856682530335</v>
      </c>
      <c r="DM100" s="552">
        <f t="shared" si="18"/>
        <v>6049.4856682530335</v>
      </c>
      <c r="DN100" s="552">
        <f t="shared" si="18"/>
        <v>6307.5970567651812</v>
      </c>
      <c r="DO100" s="552">
        <f t="shared" si="18"/>
        <v>6238.2828033941305</v>
      </c>
      <c r="DP100" s="552">
        <f t="shared" si="18"/>
        <v>6170.4753816181028</v>
      </c>
      <c r="DQ100" s="552">
        <f t="shared" si="18"/>
        <v>6170.4753816181028</v>
      </c>
      <c r="DR100" s="552">
        <f t="shared" si="18"/>
        <v>6433.7489979004922</v>
      </c>
      <c r="DS100" s="552">
        <f t="shared" si="18"/>
        <v>6363.0484594620202</v>
      </c>
      <c r="DT100" s="552">
        <f t="shared" si="18"/>
        <v>6293.884889250472</v>
      </c>
      <c r="DU100" s="552">
        <f t="shared" si="18"/>
        <v>6293.884889250472</v>
      </c>
      <c r="DV100" s="552">
        <f t="shared" si="18"/>
        <v>6490.3094286512696</v>
      </c>
      <c r="DW100" s="552">
        <f t="shared" si="18"/>
        <v>6490.3094286512696</v>
      </c>
      <c r="DX100" s="552">
        <f t="shared" si="18"/>
        <v>6419.7625870354905</v>
      </c>
      <c r="DY100" s="552">
        <f t="shared" si="18"/>
        <v>8417.0224205204322</v>
      </c>
      <c r="DZ100" s="552">
        <f t="shared" si="18"/>
        <v>10845.973721029442</v>
      </c>
      <c r="EA100" s="552">
        <f t="shared" si="18"/>
        <v>13022.678987936082</v>
      </c>
      <c r="EB100" s="552">
        <f t="shared" si="18"/>
        <v>15198.723666807018</v>
      </c>
      <c r="EC100" s="552">
        <f t="shared" si="18"/>
        <v>6548.1578387762092</v>
      </c>
      <c r="ED100" s="552">
        <f t="shared" si="18"/>
        <v>-3.637978807091713E-12</v>
      </c>
      <c r="EE100" s="552">
        <f t="shared" si="18"/>
        <v>-3.637978807091713E-12</v>
      </c>
      <c r="EF100" s="552">
        <f t="shared" si="18"/>
        <v>-3.637978807091713E-12</v>
      </c>
      <c r="EG100" s="552">
        <f t="shared" si="18"/>
        <v>-3.637978807091713E-12</v>
      </c>
    </row>
    <row r="102" spans="5:137" ht="12.75">
      <c r="E102" s="551" t="s">
        <v>532</v>
      </c>
      <c r="F102" s="552"/>
      <c r="G102" s="552" t="s">
        <v>30</v>
      </c>
      <c r="H102" s="552">
        <f>SUM(J102:EG102)</f>
        <v>20290891.121755768</v>
      </c>
      <c r="I102" s="552"/>
      <c r="J102" s="552">
        <f t="shared" si="19" ref="J102:EG102">J94+J100</f>
        <v>0</v>
      </c>
      <c r="K102" s="552">
        <f t="shared" si="19"/>
        <v>0</v>
      </c>
      <c r="L102" s="552">
        <f t="shared" si="19"/>
        <v>11319.299718665774</v>
      </c>
      <c r="M102" s="552">
        <f t="shared" si="19"/>
        <v>27378.302380649307</v>
      </c>
      <c r="N102" s="552">
        <f t="shared" si="19"/>
        <v>43843.72361081768</v>
      </c>
      <c r="O102" s="552">
        <f t="shared" si="19"/>
        <v>59920.421341294365</v>
      </c>
      <c r="P102" s="552">
        <f t="shared" si="19"/>
        <v>73745.814975572328</v>
      </c>
      <c r="Q102" s="552">
        <f t="shared" si="19"/>
        <v>87112.056555055766</v>
      </c>
      <c r="R102" s="552">
        <f t="shared" si="19"/>
        <v>104990.10363692146</v>
      </c>
      <c r="S102" s="552">
        <f t="shared" si="19"/>
        <v>123774.85465258398</v>
      </c>
      <c r="T102" s="552">
        <f t="shared" si="19"/>
        <v>143083.01945859156</v>
      </c>
      <c r="U102" s="552">
        <f t="shared" si="19"/>
        <v>162148.01718677633</v>
      </c>
      <c r="V102" s="552">
        <f t="shared" si="19"/>
        <v>179577.69659921381</v>
      </c>
      <c r="W102" s="552">
        <f t="shared" si="19"/>
        <v>196775.53844806028</v>
      </c>
      <c r="X102" s="552">
        <f t="shared" si="19"/>
        <v>211855.85116558924</v>
      </c>
      <c r="Y102" s="552">
        <f t="shared" si="19"/>
        <v>224874.0823201389</v>
      </c>
      <c r="Z102" s="552">
        <f t="shared" si="19"/>
        <v>236823.99724833001</v>
      </c>
      <c r="AA102" s="552">
        <f t="shared" si="19"/>
        <v>250928.44647580196</v>
      </c>
      <c r="AB102" s="552">
        <f t="shared" si="19"/>
        <v>266301.80597872584</v>
      </c>
      <c r="AC102" s="552">
        <f t="shared" si="19"/>
        <v>281738.96835910843</v>
      </c>
      <c r="AD102" s="552">
        <f t="shared" si="19"/>
        <v>295285.78404557449</v>
      </c>
      <c r="AE102" s="552">
        <f t="shared" si="19"/>
        <v>302640.27312059526</v>
      </c>
      <c r="AF102" s="552">
        <f t="shared" si="19"/>
        <v>307855.97087050142</v>
      </c>
      <c r="AG102" s="552">
        <f t="shared" si="19"/>
        <v>319570.59523007384</v>
      </c>
      <c r="AH102" s="552">
        <f t="shared" si="19"/>
        <v>318122.93312482245</v>
      </c>
      <c r="AI102" s="552">
        <f t="shared" si="19"/>
        <v>314926.48945890495</v>
      </c>
      <c r="AJ102" s="552">
        <f t="shared" si="19"/>
        <v>311778.3557251431</v>
      </c>
      <c r="AK102" s="552">
        <f t="shared" si="19"/>
        <v>308727.70500401652</v>
      </c>
      <c r="AL102" s="552">
        <f t="shared" si="19"/>
        <v>305805.90739402181</v>
      </c>
      <c r="AM102" s="552">
        <f t="shared" si="19"/>
        <v>302608.4236176777</v>
      </c>
      <c r="AN102" s="552">
        <f t="shared" si="19"/>
        <v>299460.33038164413</v>
      </c>
      <c r="AO102" s="552">
        <f t="shared" si="19"/>
        <v>296411.1461065227</v>
      </c>
      <c r="AP102" s="552">
        <f t="shared" si="19"/>
        <v>293493.22824089084</v>
      </c>
      <c r="AQ102" s="552">
        <f t="shared" si="19"/>
        <v>290294.68568357476</v>
      </c>
      <c r="AR102" s="552">
        <f t="shared" si="19"/>
        <v>287157.42842995294</v>
      </c>
      <c r="AS102" s="552">
        <f t="shared" si="19"/>
        <v>284098.93829659908</v>
      </c>
      <c r="AT102" s="552">
        <f t="shared" si="19"/>
        <v>282862.71380310471</v>
      </c>
      <c r="AU102" s="552">
        <f t="shared" si="19"/>
        <v>281459.70287156972</v>
      </c>
      <c r="AV102" s="552">
        <f t="shared" si="19"/>
        <v>280051.24398116418</v>
      </c>
      <c r="AW102" s="552">
        <f t="shared" si="19"/>
        <v>278746.84220815008</v>
      </c>
      <c r="AX102" s="552">
        <f t="shared" si="19"/>
        <v>274097.34177437425</v>
      </c>
      <c r="AY102" s="552">
        <f t="shared" si="19"/>
        <v>269154.65071645234</v>
      </c>
      <c r="AZ102" s="552">
        <f t="shared" si="19"/>
        <v>264203.4854701811</v>
      </c>
      <c r="BA102" s="552">
        <f t="shared" si="19"/>
        <v>259348.92539783692</v>
      </c>
      <c r="BB102" s="552">
        <f t="shared" si="19"/>
        <v>256425.25112290293</v>
      </c>
      <c r="BC102" s="552">
        <f t="shared" si="19"/>
        <v>253206.42402904984</v>
      </c>
      <c r="BD102" s="552">
        <f t="shared" si="19"/>
        <v>250037.66524968948</v>
      </c>
      <c r="BE102" s="552">
        <f t="shared" si="19"/>
        <v>246974.39321596321</v>
      </c>
      <c r="BF102" s="552">
        <f t="shared" si="19"/>
        <v>244057.86045342783</v>
      </c>
      <c r="BG102" s="552">
        <f t="shared" si="19"/>
        <v>240840.75512818809</v>
      </c>
      <c r="BH102" s="552">
        <f t="shared" si="19"/>
        <v>237686.01290061028</v>
      </c>
      <c r="BI102" s="552">
        <f t="shared" si="19"/>
        <v>234615.53588067449</v>
      </c>
      <c r="BJ102" s="552">
        <f t="shared" si="19"/>
        <v>231639.4113154175</v>
      </c>
      <c r="BK102" s="552">
        <f t="shared" si="19"/>
        <v>228487.35612883797</v>
      </c>
      <c r="BL102" s="552">
        <f t="shared" si="19"/>
        <v>225323.57978096552</v>
      </c>
      <c r="BM102" s="552">
        <f t="shared" si="19"/>
        <v>222268.07323713886</v>
      </c>
      <c r="BN102" s="552">
        <f t="shared" si="19"/>
        <v>221332.73773168473</v>
      </c>
      <c r="BO102" s="552">
        <f t="shared" si="19"/>
        <v>220085.78319636168</v>
      </c>
      <c r="BP102" s="552">
        <f t="shared" si="19"/>
        <v>218945.36449548611</v>
      </c>
      <c r="BQ102" s="552">
        <f t="shared" si="19"/>
        <v>217914.65514314696</v>
      </c>
      <c r="BR102" s="552">
        <f t="shared" si="19"/>
        <v>213049.14258687489</v>
      </c>
      <c r="BS102" s="552">
        <f t="shared" si="19"/>
        <v>207866.37458806988</v>
      </c>
      <c r="BT102" s="552">
        <f t="shared" si="19"/>
        <v>202598.67669640211</v>
      </c>
      <c r="BU102" s="552">
        <f t="shared" si="19"/>
        <v>197031.02857568642</v>
      </c>
      <c r="BV102" s="552">
        <f t="shared" si="19"/>
        <v>193720.3096074365</v>
      </c>
      <c r="BW102" s="552">
        <f t="shared" si="19"/>
        <v>190490.03254738176</v>
      </c>
      <c r="BX102" s="552">
        <f t="shared" si="19"/>
        <v>187316.01873656438</v>
      </c>
      <c r="BY102" s="552">
        <f t="shared" si="19"/>
        <v>184231.74257820152</v>
      </c>
      <c r="BZ102" s="552">
        <f t="shared" si="19"/>
        <v>181225.07461944153</v>
      </c>
      <c r="CA102" s="552">
        <f t="shared" si="19"/>
        <v>177854.27852380593</v>
      </c>
      <c r="CB102" s="552">
        <f t="shared" si="19"/>
        <v>174477.10620492249</v>
      </c>
      <c r="CC102" s="552">
        <f t="shared" si="19"/>
        <v>171386.77361929746</v>
      </c>
      <c r="CD102" s="552">
        <f t="shared" si="19"/>
        <v>168487.47555390315</v>
      </c>
      <c r="CE102" s="552">
        <f t="shared" si="19"/>
        <v>165251.60933745868</v>
      </c>
      <c r="CF102" s="552">
        <f t="shared" si="19"/>
        <v>162048.54767670654</v>
      </c>
      <c r="CG102" s="552">
        <f t="shared" si="19"/>
        <v>158963.47116416809</v>
      </c>
      <c r="CH102" s="552">
        <f t="shared" si="19"/>
        <v>158297.07365231426</v>
      </c>
      <c r="CI102" s="552">
        <f t="shared" si="19"/>
        <v>157288.27990789202</v>
      </c>
      <c r="CJ102" s="552">
        <f t="shared" si="19"/>
        <v>156601.36766885451</v>
      </c>
      <c r="CK102" s="552">
        <f t="shared" si="19"/>
        <v>156033.12390195689</v>
      </c>
      <c r="CL102" s="552">
        <f t="shared" si="19"/>
        <v>150917.84006750747</v>
      </c>
      <c r="CM102" s="552">
        <f t="shared" si="19"/>
        <v>145454.25083424151</v>
      </c>
      <c r="CN102" s="552">
        <f t="shared" si="19"/>
        <v>139753.24381267154</v>
      </c>
      <c r="CO102" s="552">
        <f t="shared" si="19"/>
        <v>134147.14047766157</v>
      </c>
      <c r="CP102" s="552">
        <f t="shared" si="19"/>
        <v>131187.169290472</v>
      </c>
      <c r="CQ102" s="552">
        <f t="shared" si="19"/>
        <v>128024.50135374127</v>
      </c>
      <c r="CR102" s="552">
        <f t="shared" si="19"/>
        <v>124826.19898657026</v>
      </c>
      <c r="CS102" s="552">
        <f t="shared" si="19"/>
        <v>121749.47140948573</v>
      </c>
      <c r="CT102" s="552">
        <f t="shared" si="19"/>
        <v>118872.07203530689</v>
      </c>
      <c r="CU102" s="552">
        <f t="shared" si="19"/>
        <v>115634.42170815797</v>
      </c>
      <c r="CV102" s="552">
        <f t="shared" si="19"/>
        <v>112437.00441962737</v>
      </c>
      <c r="CW102" s="552">
        <f t="shared" si="19"/>
        <v>109362.38084994006</v>
      </c>
      <c r="CX102" s="552">
        <f t="shared" si="19"/>
        <v>106489.61730071717</v>
      </c>
      <c r="CY102" s="552">
        <f t="shared" si="19"/>
        <v>103250.50310655752</v>
      </c>
      <c r="CZ102" s="552">
        <f t="shared" si="19"/>
        <v>95249.730605852208</v>
      </c>
      <c r="DA102" s="552">
        <f t="shared" si="19"/>
        <v>87335.265457717192</v>
      </c>
      <c r="DB102" s="552">
        <f t="shared" si="19"/>
        <v>87182.337360859616</v>
      </c>
      <c r="DC102" s="552">
        <f t="shared" si="19"/>
        <v>86720.868768752116</v>
      </c>
      <c r="DD102" s="552">
        <f t="shared" si="19"/>
        <v>86260.820097710995</v>
      </c>
      <c r="DE102" s="552">
        <f t="shared" si="19"/>
        <v>85864.667874657491</v>
      </c>
      <c r="DF102" s="552">
        <f t="shared" si="19"/>
        <v>80611.236009995802</v>
      </c>
      <c r="DG102" s="552">
        <f t="shared" si="19"/>
        <v>75176.338233049319</v>
      </c>
      <c r="DH102" s="552">
        <f t="shared" si="19"/>
        <v>69676.266079155481</v>
      </c>
      <c r="DI102" s="552">
        <f t="shared" si="19"/>
        <v>64241.368302208997</v>
      </c>
      <c r="DJ102" s="552">
        <f t="shared" si="19"/>
        <v>61578.893683103255</v>
      </c>
      <c r="DK102" s="552">
        <f t="shared" si="19"/>
        <v>58595.413532739476</v>
      </c>
      <c r="DL102" s="552">
        <f t="shared" si="19"/>
        <v>55613.410668253171</v>
      </c>
      <c r="DM102" s="552">
        <f t="shared" si="19"/>
        <v>52697.885668253177</v>
      </c>
      <c r="DN102" s="552">
        <f t="shared" si="19"/>
        <v>50040.47205676532</v>
      </c>
      <c r="DO102" s="552">
        <f t="shared" si="19"/>
        <v>47055.63280339427</v>
      </c>
      <c r="DP102" s="552">
        <f t="shared" si="19"/>
        <v>44072.300381618239</v>
      </c>
      <c r="DQ102" s="552">
        <f t="shared" si="19"/>
        <v>41156.775381618238</v>
      </c>
      <c r="DR102" s="552">
        <f t="shared" si="19"/>
        <v>38504.523997900629</v>
      </c>
      <c r="DS102" s="552">
        <f t="shared" si="19"/>
        <v>35518.298459462152</v>
      </c>
      <c r="DT102" s="552">
        <f t="shared" si="19"/>
        <v>32533.609889250605</v>
      </c>
      <c r="DU102" s="552">
        <f t="shared" si="19"/>
        <v>29618.084889250604</v>
      </c>
      <c r="DV102" s="552">
        <f t="shared" si="19"/>
        <v>26898.984428651398</v>
      </c>
      <c r="DW102" s="552">
        <f t="shared" si="19"/>
        <v>23983.459428651397</v>
      </c>
      <c r="DX102" s="552">
        <f t="shared" si="19"/>
        <v>20997.387587035621</v>
      </c>
      <c r="DY102" s="552">
        <f t="shared" si="19"/>
        <v>20079.122420520562</v>
      </c>
      <c r="DZ102" s="552">
        <f t="shared" si="19"/>
        <v>19592.548721029572</v>
      </c>
      <c r="EA102" s="552">
        <f t="shared" si="19"/>
        <v>18853.728987936214</v>
      </c>
      <c r="EB102" s="552">
        <f t="shared" si="19"/>
        <v>18114.248666807147</v>
      </c>
      <c r="EC102" s="552">
        <f t="shared" si="19"/>
        <v>6548.1578387762056</v>
      </c>
      <c r="ED102" s="552">
        <f t="shared" si="19"/>
        <v>-7.4464878707658499E-12</v>
      </c>
      <c r="EE102" s="552">
        <f t="shared" si="19"/>
        <v>-7.4464878707658499E-12</v>
      </c>
      <c r="EF102" s="552">
        <f t="shared" si="19"/>
        <v>-7.4464878707658499E-12</v>
      </c>
      <c r="EG102" s="552">
        <f t="shared" si="19"/>
        <v>-7.4464878707658499E-12</v>
      </c>
    </row>
    <row r="104" spans="2:2" ht="12.75">
      <c r="B104" s="534" t="s">
        <v>533</v>
      </c>
    </row>
    <row r="105" spans="5:137" ht="12.75">
      <c r="E105" s="538" t="str">
        <f>Cons!E$80</f>
        <v>VAT facility - closing balance</v>
      </c>
      <c r="G105" s="539" t="str">
        <f>Cons!G$80</f>
        <v>EUR 000s</v>
      </c>
      <c r="H105" s="539">
        <f>Cons!H$80</f>
        <v>167406.5625</v>
      </c>
      <c r="J105" s="539">
        <f>Cons!J$80</f>
        <v>0</v>
      </c>
      <c r="K105" s="539">
        <f>Cons!K$80</f>
        <v>0</v>
      </c>
      <c r="L105" s="539">
        <f>Cons!L$80</f>
        <v>0</v>
      </c>
      <c r="M105" s="539">
        <f>Cons!M$80</f>
        <v>2658.3125</v>
      </c>
      <c r="N105" s="539">
        <f>Cons!N$80</f>
        <v>5382.25</v>
      </c>
      <c r="O105" s="539">
        <f>Cons!O$80</f>
        <v>8040.5625</v>
      </c>
      <c r="P105" s="539">
        <f>Cons!P$80</f>
        <v>8106.1875</v>
      </c>
      <c r="Q105" s="539">
        <f>Cons!Q$80</f>
        <v>8040.5625</v>
      </c>
      <c r="R105" s="539">
        <f>Cons!R$80</f>
        <v>8770.640625</v>
      </c>
      <c r="S105" s="539">
        <f>Cons!S$80</f>
        <v>9574.546875</v>
      </c>
      <c r="T105" s="539">
        <f>Cons!T$80</f>
        <v>10509.703125</v>
      </c>
      <c r="U105" s="539">
        <f>Cons!U$80</f>
        <v>10780.40625</v>
      </c>
      <c r="V105" s="539">
        <f>Cons!V$80</f>
        <v>10649.15625</v>
      </c>
      <c r="W105" s="539">
        <f>Cons!W$80</f>
        <v>10419.46875</v>
      </c>
      <c r="X105" s="539">
        <f>Cons!X$80</f>
        <v>9763.21875</v>
      </c>
      <c r="Y105" s="539">
        <f>Cons!Y$80</f>
        <v>8975.71875</v>
      </c>
      <c r="Z105" s="539">
        <f>Cons!Z$80</f>
        <v>8024.15625</v>
      </c>
      <c r="AA105" s="539">
        <f>Cons!AA$80</f>
        <v>7728.84375</v>
      </c>
      <c r="AB105" s="539">
        <f>Cons!AB$80</f>
        <v>7958.53125</v>
      </c>
      <c r="AC105" s="539">
        <f>Cons!AC$80</f>
        <v>8352.28125</v>
      </c>
      <c r="AD105" s="539">
        <f>Cons!AD$80</f>
        <v>8180.015625</v>
      </c>
      <c r="AE105" s="539">
        <f>Cons!AE$80</f>
        <v>6851.109375</v>
      </c>
      <c r="AF105" s="539">
        <f>Cons!AF$80</f>
        <v>5194.078125</v>
      </c>
      <c r="AG105" s="539">
        <f>Cons!AG$80</f>
        <v>3446.8125</v>
      </c>
      <c r="AH105" s="539">
        <f>Cons!AH$80</f>
        <v>0</v>
      </c>
      <c r="AI105" s="539">
        <f>Cons!AI$80</f>
        <v>0</v>
      </c>
      <c r="AJ105" s="539">
        <f>Cons!AJ$80</f>
        <v>0</v>
      </c>
      <c r="AK105" s="539">
        <f>Cons!AK$80</f>
        <v>0</v>
      </c>
      <c r="AL105" s="539">
        <f>Cons!AL$80</f>
        <v>0</v>
      </c>
      <c r="AM105" s="539">
        <f>Cons!AM$80</f>
        <v>0</v>
      </c>
      <c r="AN105" s="539">
        <f>Cons!AN$80</f>
        <v>0</v>
      </c>
      <c r="AO105" s="539">
        <f>Cons!AO$80</f>
        <v>0</v>
      </c>
      <c r="AP105" s="539">
        <f>Cons!AP$80</f>
        <v>0</v>
      </c>
      <c r="AQ105" s="539">
        <f>Cons!AQ$80</f>
        <v>0</v>
      </c>
      <c r="AR105" s="539">
        <f>Cons!AR$80</f>
        <v>0</v>
      </c>
      <c r="AS105" s="539">
        <f>Cons!AS$80</f>
        <v>0</v>
      </c>
      <c r="AT105" s="539">
        <f>Cons!AT$80</f>
        <v>0</v>
      </c>
      <c r="AU105" s="539">
        <f>Cons!AU$80</f>
        <v>0</v>
      </c>
      <c r="AV105" s="539">
        <f>Cons!AV$80</f>
        <v>0</v>
      </c>
      <c r="AW105" s="539">
        <f>Cons!AW$80</f>
        <v>0</v>
      </c>
      <c r="AX105" s="539">
        <f>Cons!AX$80</f>
        <v>0</v>
      </c>
      <c r="AY105" s="539">
        <f>Cons!AY$80</f>
        <v>0</v>
      </c>
      <c r="AZ105" s="539">
        <f>Cons!AZ$80</f>
        <v>0</v>
      </c>
      <c r="BA105" s="539">
        <f>Cons!BA$80</f>
        <v>0</v>
      </c>
      <c r="BB105" s="539">
        <f>Cons!BB$80</f>
        <v>0</v>
      </c>
      <c r="BC105" s="539">
        <f>Cons!BC$80</f>
        <v>0</v>
      </c>
      <c r="BD105" s="539">
        <f>Cons!BD$80</f>
        <v>0</v>
      </c>
      <c r="BE105" s="539">
        <f>Cons!BE$80</f>
        <v>0</v>
      </c>
      <c r="BF105" s="539">
        <f>Cons!BF$80</f>
        <v>0</v>
      </c>
      <c r="BG105" s="539">
        <f>Cons!BG$80</f>
        <v>0</v>
      </c>
      <c r="BH105" s="539">
        <f>Cons!BH$80</f>
        <v>0</v>
      </c>
      <c r="BI105" s="539">
        <f>Cons!BI$80</f>
        <v>0</v>
      </c>
      <c r="BJ105" s="539">
        <f>Cons!BJ$80</f>
        <v>0</v>
      </c>
      <c r="BK105" s="539">
        <f>Cons!BK$80</f>
        <v>0</v>
      </c>
      <c r="BL105" s="539">
        <f>Cons!BL$80</f>
        <v>0</v>
      </c>
      <c r="BM105" s="539">
        <f>Cons!BM$80</f>
        <v>0</v>
      </c>
      <c r="BN105" s="539">
        <f>Cons!BN$80</f>
        <v>0</v>
      </c>
      <c r="BO105" s="539">
        <f>Cons!BO$80</f>
        <v>0</v>
      </c>
      <c r="BP105" s="539">
        <f>Cons!BP$80</f>
        <v>0</v>
      </c>
      <c r="BQ105" s="539">
        <f>Cons!BQ$80</f>
        <v>0</v>
      </c>
      <c r="BR105" s="539">
        <f>Cons!BR$80</f>
        <v>0</v>
      </c>
      <c r="BS105" s="539">
        <f>Cons!BS$80</f>
        <v>0</v>
      </c>
      <c r="BT105" s="539">
        <f>Cons!BT$80</f>
        <v>0</v>
      </c>
      <c r="BU105" s="539">
        <f>Cons!BU$80</f>
        <v>0</v>
      </c>
      <c r="BV105" s="539">
        <f>Cons!BV$80</f>
        <v>0</v>
      </c>
      <c r="BW105" s="539">
        <f>Cons!BW$80</f>
        <v>0</v>
      </c>
      <c r="BX105" s="539">
        <f>Cons!BX$80</f>
        <v>0</v>
      </c>
      <c r="BY105" s="539">
        <f>Cons!BY$80</f>
        <v>0</v>
      </c>
      <c r="BZ105" s="539">
        <f>Cons!BZ$80</f>
        <v>0</v>
      </c>
      <c r="CA105" s="539">
        <f>Cons!CA$80</f>
        <v>0</v>
      </c>
      <c r="CB105" s="539">
        <f>Cons!CB$80</f>
        <v>0</v>
      </c>
      <c r="CC105" s="539">
        <f>Cons!CC$80</f>
        <v>0</v>
      </c>
      <c r="CD105" s="539">
        <f>Cons!CD$80</f>
        <v>0</v>
      </c>
      <c r="CE105" s="539">
        <f>Cons!CE$80</f>
        <v>0</v>
      </c>
      <c r="CF105" s="539">
        <f>Cons!CF$80</f>
        <v>0</v>
      </c>
      <c r="CG105" s="539">
        <f>Cons!CG$80</f>
        <v>0</v>
      </c>
      <c r="CH105" s="539">
        <f>Cons!CH$80</f>
        <v>0</v>
      </c>
      <c r="CI105" s="539">
        <f>Cons!CI$80</f>
        <v>0</v>
      </c>
      <c r="CJ105" s="539">
        <f>Cons!CJ$80</f>
        <v>0</v>
      </c>
      <c r="CK105" s="539">
        <f>Cons!CK$80</f>
        <v>0</v>
      </c>
      <c r="CL105" s="539">
        <f>Cons!CL$80</f>
        <v>0</v>
      </c>
      <c r="CM105" s="539">
        <f>Cons!CM$80</f>
        <v>0</v>
      </c>
      <c r="CN105" s="539">
        <f>Cons!CN$80</f>
        <v>0</v>
      </c>
      <c r="CO105" s="539">
        <f>Cons!CO$80</f>
        <v>0</v>
      </c>
      <c r="CP105" s="539">
        <f>Cons!CP$80</f>
        <v>0</v>
      </c>
      <c r="CQ105" s="539">
        <f>Cons!CQ$80</f>
        <v>0</v>
      </c>
      <c r="CR105" s="539">
        <f>Cons!CR$80</f>
        <v>0</v>
      </c>
      <c r="CS105" s="539">
        <f>Cons!CS$80</f>
        <v>0</v>
      </c>
      <c r="CT105" s="539">
        <f>Cons!CT$80</f>
        <v>0</v>
      </c>
      <c r="CU105" s="539">
        <f>Cons!CU$80</f>
        <v>0</v>
      </c>
      <c r="CV105" s="539">
        <f>Cons!CV$80</f>
        <v>0</v>
      </c>
      <c r="CW105" s="539">
        <f>Cons!CW$80</f>
        <v>0</v>
      </c>
      <c r="CX105" s="539">
        <f>Cons!CX$80</f>
        <v>0</v>
      </c>
      <c r="CY105" s="539">
        <f>Cons!CY$80</f>
        <v>0</v>
      </c>
      <c r="CZ105" s="539">
        <f>Cons!CZ$80</f>
        <v>0</v>
      </c>
      <c r="DA105" s="539">
        <f>Cons!DA$80</f>
        <v>0</v>
      </c>
      <c r="DB105" s="539">
        <f>Cons!DB$80</f>
        <v>0</v>
      </c>
      <c r="DC105" s="539">
        <f>Cons!DC$80</f>
        <v>0</v>
      </c>
      <c r="DD105" s="539">
        <f>Cons!DD$80</f>
        <v>0</v>
      </c>
      <c r="DE105" s="539">
        <f>Cons!DE$80</f>
        <v>0</v>
      </c>
      <c r="DF105" s="539">
        <f>Cons!DF$80</f>
        <v>0</v>
      </c>
      <c r="DG105" s="539">
        <f>Cons!DG$80</f>
        <v>0</v>
      </c>
      <c r="DH105" s="539">
        <f>Cons!DH$80</f>
        <v>0</v>
      </c>
      <c r="DI105" s="539">
        <f>Cons!DI$80</f>
        <v>0</v>
      </c>
      <c r="DJ105" s="539">
        <f>Cons!DJ$80</f>
        <v>0</v>
      </c>
      <c r="DK105" s="539">
        <f>Cons!DK$80</f>
        <v>0</v>
      </c>
      <c r="DL105" s="539">
        <f>Cons!DL$80</f>
        <v>0</v>
      </c>
      <c r="DM105" s="539">
        <f>Cons!DM$80</f>
        <v>0</v>
      </c>
      <c r="DN105" s="539">
        <f>Cons!DN$80</f>
        <v>0</v>
      </c>
      <c r="DO105" s="539">
        <f>Cons!DO$80</f>
        <v>0</v>
      </c>
      <c r="DP105" s="539">
        <f>Cons!DP$80</f>
        <v>0</v>
      </c>
      <c r="DQ105" s="539">
        <f>Cons!DQ$80</f>
        <v>0</v>
      </c>
      <c r="DR105" s="539">
        <f>Cons!DR$80</f>
        <v>0</v>
      </c>
      <c r="DS105" s="539">
        <f>Cons!DS$80</f>
        <v>0</v>
      </c>
      <c r="DT105" s="539">
        <f>Cons!DT$80</f>
        <v>0</v>
      </c>
      <c r="DU105" s="539">
        <f>Cons!DU$80</f>
        <v>0</v>
      </c>
      <c r="DV105" s="539">
        <f>Cons!DV$80</f>
        <v>0</v>
      </c>
      <c r="DW105" s="539">
        <f>Cons!DW$80</f>
        <v>0</v>
      </c>
      <c r="DX105" s="539">
        <f>Cons!DX$80</f>
        <v>0</v>
      </c>
      <c r="DY105" s="539">
        <f>Cons!DY$80</f>
        <v>0</v>
      </c>
      <c r="DZ105" s="539">
        <f>Cons!DZ$80</f>
        <v>0</v>
      </c>
      <c r="EA105" s="539">
        <f>Cons!EA$80</f>
        <v>0</v>
      </c>
      <c r="EB105" s="539">
        <f>Cons!EB$80</f>
        <v>0</v>
      </c>
      <c r="EC105" s="539">
        <f>Cons!EC$80</f>
        <v>0</v>
      </c>
      <c r="ED105" s="539">
        <f>Cons!ED$80</f>
        <v>0</v>
      </c>
      <c r="EE105" s="539">
        <f>Cons!EE$80</f>
        <v>0</v>
      </c>
      <c r="EF105" s="539">
        <f>Cons!EF$80</f>
        <v>0</v>
      </c>
      <c r="EG105" s="539">
        <f>Cons!EG$80</f>
        <v>0</v>
      </c>
    </row>
    <row r="106" spans="5:137" ht="12.75">
      <c r="E106" s="538" t="str">
        <f>Debt!E$100</f>
        <v>Senior facility - closing balance</v>
      </c>
      <c r="G106" s="539" t="str">
        <f>Debt!G$100</f>
        <v>EUR 000s</v>
      </c>
      <c r="H106" s="539">
        <f>Debt!H$100</f>
        <v>11123186.810732836</v>
      </c>
      <c r="J106" s="539">
        <f>Debt!J$100</f>
        <v>0</v>
      </c>
      <c r="K106" s="539">
        <f>Debt!K$100</f>
        <v>0</v>
      </c>
      <c r="L106" s="539">
        <f>Debt!L$100</f>
        <v>0</v>
      </c>
      <c r="M106" s="539">
        <f>Debt!M$100</f>
        <v>0</v>
      </c>
      <c r="N106" s="539">
        <f>Debt!N$100</f>
        <v>0</v>
      </c>
      <c r="O106" s="539">
        <f>Debt!O$100</f>
        <v>0</v>
      </c>
      <c r="P106" s="539">
        <f>Debt!P$100</f>
        <v>0</v>
      </c>
      <c r="Q106" s="539">
        <f>Debt!Q$100</f>
        <v>0</v>
      </c>
      <c r="R106" s="539">
        <f>Debt!R$100</f>
        <v>1382.3281928992874</v>
      </c>
      <c r="S106" s="539">
        <f>Debt!S$100</f>
        <v>19363.172958561812</v>
      </c>
      <c r="T106" s="539">
        <f>Debt!T$100</f>
        <v>37736.181514569398</v>
      </c>
      <c r="U106" s="539">
        <f>Debt!U$100</f>
        <v>56530.476117754166</v>
      </c>
      <c r="V106" s="539">
        <f>Debt!V$100</f>
        <v>74091.405530191638</v>
      </c>
      <c r="W106" s="539">
        <f>Debt!W$100</f>
        <v>91518.934879038119</v>
      </c>
      <c r="X106" s="539">
        <f>Debt!X$100</f>
        <v>107255.49759656707</v>
      </c>
      <c r="Y106" s="539">
        <f>Debt!Y$100</f>
        <v>121061.22875111677</v>
      </c>
      <c r="Z106" s="539">
        <f>Debt!Z$100</f>
        <v>133962.70617930786</v>
      </c>
      <c r="AA106" s="539">
        <f>Debt!AA$100</f>
        <v>148362.46790677981</v>
      </c>
      <c r="AB106" s="539">
        <f>Debt!AB$100</f>
        <v>163506.13990970366</v>
      </c>
      <c r="AC106" s="539">
        <f>Debt!AC$100</f>
        <v>178549.55229008626</v>
      </c>
      <c r="AD106" s="539">
        <f>Debt!AD$100</f>
        <v>192268.63360155231</v>
      </c>
      <c r="AE106" s="539">
        <f>Debt!AE$100</f>
        <v>200952.02892657305</v>
      </c>
      <c r="AF106" s="539">
        <f>Debt!AF$100</f>
        <v>207824.75792647921</v>
      </c>
      <c r="AG106" s="539">
        <f>Debt!AG$100</f>
        <v>221286.6479110517</v>
      </c>
      <c r="AH106" s="539">
        <f>Debt!AH$100</f>
        <v>220608.823757429</v>
      </c>
      <c r="AI106" s="539">
        <f>Debt!AI$100</f>
        <v>218979.44471839062</v>
      </c>
      <c r="AJ106" s="539">
        <f>Debt!AJ$100</f>
        <v>217360.94638439317</v>
      </c>
      <c r="AK106" s="539">
        <f>Debt!AK$100</f>
        <v>215730.19804249654</v>
      </c>
      <c r="AL106" s="539">
        <f>Debt!AL$100</f>
        <v>213962.26862143833</v>
      </c>
      <c r="AM106" s="539">
        <f>Debt!AM$100</f>
        <v>212160.04600216408</v>
      </c>
      <c r="AN106" s="539">
        <f>Debt!AN$100</f>
        <v>210365.30914698011</v>
      </c>
      <c r="AO106" s="539">
        <f>Debt!AO$100</f>
        <v>208556.00183225214</v>
      </c>
      <c r="AP106" s="539">
        <f>Debt!AP$100</f>
        <v>206608.1421623468</v>
      </c>
      <c r="AQ106" s="539">
        <f>Debt!AQ$100</f>
        <v>204622.0325392868</v>
      </c>
      <c r="AR106" s="539">
        <f>Debt!AR$100</f>
        <v>202639.75403211112</v>
      </c>
      <c r="AS106" s="539">
        <f>Debt!AS$100</f>
        <v>200640.42828787459</v>
      </c>
      <c r="AT106" s="539">
        <f>Debt!AT$100</f>
        <v>198520.66321847215</v>
      </c>
      <c r="AU106" s="539">
        <f>Debt!AU$100</f>
        <v>196350.0423303475</v>
      </c>
      <c r="AV106" s="539">
        <f>Debt!AV$100</f>
        <v>194168.68761815928</v>
      </c>
      <c r="AW106" s="539">
        <f>Debt!AW$100</f>
        <v>191969.90220643775</v>
      </c>
      <c r="AX106" s="539">
        <f>Debt!AX$100</f>
        <v>189627.72643192843</v>
      </c>
      <c r="AY106" s="539">
        <f>Debt!AY$100</f>
        <v>187238.5892801146</v>
      </c>
      <c r="AZ106" s="539">
        <f>Debt!AZ$100</f>
        <v>184845.14286697507</v>
      </c>
      <c r="BA106" s="539">
        <f>Debt!BA$100</f>
        <v>182431.62986282675</v>
      </c>
      <c r="BB106" s="539">
        <f>Debt!BB$100</f>
        <v>179936.99651467081</v>
      </c>
      <c r="BC106" s="539">
        <f>Debt!BC$100</f>
        <v>177400.57976910818</v>
      </c>
      <c r="BD106" s="539">
        <f>Debt!BD$100</f>
        <v>174865.04661232483</v>
      </c>
      <c r="BE106" s="539">
        <f>Debt!BE$100</f>
        <v>172313.4684083091</v>
      </c>
      <c r="BF106" s="539">
        <f>Debt!BF$100</f>
        <v>169632.07902517688</v>
      </c>
      <c r="BG106" s="539">
        <f>Debt!BG$100</f>
        <v>166902.89896300616</v>
      </c>
      <c r="BH106" s="539">
        <f>Debt!BH$100</f>
        <v>164168.91807115515</v>
      </c>
      <c r="BI106" s="539">
        <f>Debt!BI$100</f>
        <v>161414.86878840948</v>
      </c>
      <c r="BJ106" s="539">
        <f>Debt!BJ$100</f>
        <v>158542.07659269078</v>
      </c>
      <c r="BK106" s="539">
        <f>Debt!BK$100</f>
        <v>155613.84125510571</v>
      </c>
      <c r="BL106" s="539">
        <f>Debt!BL$100</f>
        <v>152663.86316474082</v>
      </c>
      <c r="BM106" s="539">
        <f>Debt!BM$100</f>
        <v>149689.78500478482</v>
      </c>
      <c r="BN106" s="539">
        <f>Debt!BN$100</f>
        <v>146582.18825556862</v>
      </c>
      <c r="BO106" s="539">
        <f>Debt!BO$100</f>
        <v>143414.45037753851</v>
      </c>
      <c r="BP106" s="539">
        <f>Debt!BP$100</f>
        <v>140230.13643606377</v>
      </c>
      <c r="BQ106" s="539">
        <f>Debt!BQ$100</f>
        <v>137017.63189573269</v>
      </c>
      <c r="BR106" s="539">
        <f>Debt!BR$100</f>
        <v>133616.70893983805</v>
      </c>
      <c r="BS106" s="539">
        <f>Debt!BS$100</f>
        <v>130148.4594856113</v>
      </c>
      <c r="BT106" s="539">
        <f>Debt!BT$100</f>
        <v>126656.67559847518</v>
      </c>
      <c r="BU106" s="539">
        <f>Debt!BU$100</f>
        <v>123131.75917005076</v>
      </c>
      <c r="BV106" s="539">
        <f>Debt!BV$100</f>
        <v>119608.92849224193</v>
      </c>
      <c r="BW106" s="539">
        <f>Debt!BW$100</f>
        <v>116425.03572762878</v>
      </c>
      <c r="BX106" s="539">
        <f>Debt!BX$100</f>
        <v>113226.81814732924</v>
      </c>
      <c r="BY106" s="539">
        <f>Debt!BY$100</f>
        <v>110006.70537313426</v>
      </c>
      <c r="BZ106" s="539">
        <f>Debt!BZ$100</f>
        <v>106679.6446537234</v>
      </c>
      <c r="CA106" s="539">
        <f>Debt!CA$100</f>
        <v>103294.20127478741</v>
      </c>
      <c r="CB106" s="539">
        <f>Debt!CB$100</f>
        <v>99911.910581940261</v>
      </c>
      <c r="CC106" s="539">
        <f>Debt!CC$100</f>
        <v>96679.218965814158</v>
      </c>
      <c r="CD106" s="539">
        <f>Debt!CD$100</f>
        <v>93354.866903009097</v>
      </c>
      <c r="CE106" s="539">
        <f>Debt!CE$100</f>
        <v>89964.772122112496</v>
      </c>
      <c r="CF106" s="539">
        <f>Debt!CF$100</f>
        <v>86553.919799695548</v>
      </c>
      <c r="CG106" s="539">
        <f>Debt!CG$100</f>
        <v>83121.179559975688</v>
      </c>
      <c r="CH106" s="539">
        <f>Debt!CH$100</f>
        <v>79593.959452813389</v>
      </c>
      <c r="CI106" s="539">
        <f>Debt!CI$100</f>
        <v>75995.047897345838</v>
      </c>
      <c r="CJ106" s="539">
        <f>Debt!CJ$100</f>
        <v>72369.711752529605</v>
      </c>
      <c r="CK106" s="539">
        <f>Debt!CK$100</f>
        <v>68718.73893250621</v>
      </c>
      <c r="CL106" s="539">
        <f>Debt!CL$100</f>
        <v>64684.850956016817</v>
      </c>
      <c r="CM106" s="539">
        <f>Debt!CM$100</f>
        <v>60569.829778725034</v>
      </c>
      <c r="CN106" s="539">
        <f>Debt!CN$100</f>
        <v>56419.081896961972</v>
      </c>
      <c r="CO106" s="539">
        <f>Debt!CO$100</f>
        <v>52235.409698162868</v>
      </c>
      <c r="CP106" s="539">
        <f>Debt!CP$100</f>
        <v>48233.700504559805</v>
      </c>
      <c r="CQ106" s="539">
        <f>Debt!CQ$100</f>
        <v>44165.862871224701</v>
      </c>
      <c r="CR106" s="539">
        <f>Debt!CR$100</f>
        <v>40047.476011156585</v>
      </c>
      <c r="CS106" s="539">
        <f>Debt!CS$100</f>
        <v>35895.790506489262</v>
      </c>
      <c r="CT106" s="539">
        <f>Debt!CT$100</f>
        <v>31647.260735279633</v>
      </c>
      <c r="CU106" s="539">
        <f>Debt!CU$100</f>
        <v>27308.313550612747</v>
      </c>
      <c r="CV106" s="539">
        <f>Debt!CV$100</f>
        <v>22924.904066388648</v>
      </c>
      <c r="CW106" s="539">
        <f>Debt!CW$100</f>
        <v>18504.379611735581</v>
      </c>
      <c r="CX106" s="539">
        <f>Debt!CX$100</f>
        <v>13986.578233532302</v>
      </c>
      <c r="CY106" s="539">
        <f>Debt!CY$100</f>
        <v>9371.8894561927991</v>
      </c>
      <c r="CZ106" s="539">
        <f>Debt!CZ$100</f>
        <v>4706.4513561860967</v>
      </c>
      <c r="DA106" s="539">
        <f>Debt!DA$100</f>
        <v>0</v>
      </c>
      <c r="DB106" s="539">
        <f>Debt!DB$100</f>
        <v>0</v>
      </c>
      <c r="DC106" s="539">
        <f>Debt!DC$100</f>
        <v>0</v>
      </c>
      <c r="DD106" s="539">
        <f>Debt!DD$100</f>
        <v>0</v>
      </c>
      <c r="DE106" s="539">
        <f>Debt!DE$100</f>
        <v>0</v>
      </c>
      <c r="DF106" s="539">
        <f>Debt!DF$100</f>
        <v>0</v>
      </c>
      <c r="DG106" s="539">
        <f>Debt!DG$100</f>
        <v>0</v>
      </c>
      <c r="DH106" s="539">
        <f>Debt!DH$100</f>
        <v>0</v>
      </c>
      <c r="DI106" s="539">
        <f>Debt!DI$100</f>
        <v>0</v>
      </c>
      <c r="DJ106" s="539">
        <f>Debt!DJ$100</f>
        <v>0</v>
      </c>
      <c r="DK106" s="539">
        <f>Debt!DK$100</f>
        <v>0</v>
      </c>
      <c r="DL106" s="539">
        <f>Debt!DL$100</f>
        <v>0</v>
      </c>
      <c r="DM106" s="539">
        <f>Debt!DM$100</f>
        <v>0</v>
      </c>
      <c r="DN106" s="539">
        <f>Debt!DN$100</f>
        <v>0</v>
      </c>
      <c r="DO106" s="539">
        <f>Debt!DO$100</f>
        <v>0</v>
      </c>
      <c r="DP106" s="539">
        <f>Debt!DP$100</f>
        <v>0</v>
      </c>
      <c r="DQ106" s="539">
        <f>Debt!DQ$100</f>
        <v>0</v>
      </c>
      <c r="DR106" s="539">
        <f>Debt!DR$100</f>
        <v>0</v>
      </c>
      <c r="DS106" s="539">
        <f>Debt!DS$100</f>
        <v>0</v>
      </c>
      <c r="DT106" s="539">
        <f>Debt!DT$100</f>
        <v>0</v>
      </c>
      <c r="DU106" s="539">
        <f>Debt!DU$100</f>
        <v>0</v>
      </c>
      <c r="DV106" s="539">
        <f>Debt!DV$100</f>
        <v>0</v>
      </c>
      <c r="DW106" s="539">
        <f>Debt!DW$100</f>
        <v>0</v>
      </c>
      <c r="DX106" s="539">
        <f>Debt!DX$100</f>
        <v>0</v>
      </c>
      <c r="DY106" s="539">
        <f>Debt!DY$100</f>
        <v>0</v>
      </c>
      <c r="DZ106" s="539">
        <f>Debt!DZ$100</f>
        <v>0</v>
      </c>
      <c r="EA106" s="539">
        <f>Debt!EA$100</f>
        <v>0</v>
      </c>
      <c r="EB106" s="539">
        <f>Debt!EB$100</f>
        <v>0</v>
      </c>
      <c r="EC106" s="539">
        <f>Debt!EC$100</f>
        <v>0</v>
      </c>
      <c r="ED106" s="539">
        <f>Debt!ED$100</f>
        <v>0</v>
      </c>
      <c r="EE106" s="539">
        <f>Debt!EE$100</f>
        <v>0</v>
      </c>
      <c r="EF106" s="539">
        <f>Debt!EF$100</f>
        <v>0</v>
      </c>
      <c r="EG106" s="539">
        <f>Debt!EG$100</f>
        <v>0</v>
      </c>
    </row>
    <row r="107" spans="5:137" ht="12.75">
      <c r="E107" s="538" t="str">
        <f>Debt!E$204</f>
        <v>Junior facility - closing interest arrears</v>
      </c>
      <c r="G107" s="539" t="str">
        <f>Debt!G$204</f>
        <v>EUR 000s</v>
      </c>
      <c r="H107" s="539">
        <f>Debt!H$204</f>
        <v>0</v>
      </c>
      <c r="J107" s="539">
        <f>Debt!J$204</f>
        <v>0</v>
      </c>
      <c r="K107" s="539">
        <f>Debt!K$204</f>
        <v>0</v>
      </c>
      <c r="L107" s="539">
        <f>Debt!L$204</f>
        <v>0</v>
      </c>
      <c r="M107" s="539">
        <f>Debt!M$204</f>
        <v>0</v>
      </c>
      <c r="N107" s="539">
        <f>Debt!N$204</f>
        <v>0</v>
      </c>
      <c r="O107" s="539">
        <f>Debt!O$204</f>
        <v>0</v>
      </c>
      <c r="P107" s="539">
        <f>Debt!P$204</f>
        <v>0</v>
      </c>
      <c r="Q107" s="539">
        <f>Debt!Q$204</f>
        <v>0</v>
      </c>
      <c r="R107" s="539">
        <f>Debt!R$204</f>
        <v>0</v>
      </c>
      <c r="S107" s="539">
        <f>Debt!S$204</f>
        <v>0</v>
      </c>
      <c r="T107" s="539">
        <f>Debt!T$204</f>
        <v>0</v>
      </c>
      <c r="U107" s="539">
        <f>Debt!U$204</f>
        <v>0</v>
      </c>
      <c r="V107" s="539">
        <f>Debt!V$204</f>
        <v>0</v>
      </c>
      <c r="W107" s="539">
        <f>Debt!W$204</f>
        <v>0</v>
      </c>
      <c r="X107" s="539">
        <f>Debt!X$204</f>
        <v>0</v>
      </c>
      <c r="Y107" s="539">
        <f>Debt!Y$204</f>
        <v>0</v>
      </c>
      <c r="Z107" s="539">
        <f>Debt!Z$204</f>
        <v>0</v>
      </c>
      <c r="AA107" s="539">
        <f>Debt!AA$204</f>
        <v>0</v>
      </c>
      <c r="AB107" s="539">
        <f>Debt!AB$204</f>
        <v>0</v>
      </c>
      <c r="AC107" s="539">
        <f>Debt!AC$204</f>
        <v>0</v>
      </c>
      <c r="AD107" s="539">
        <f>Debt!AD$204</f>
        <v>0</v>
      </c>
      <c r="AE107" s="539">
        <f>Debt!AE$204</f>
        <v>0</v>
      </c>
      <c r="AF107" s="539">
        <f>Debt!AF$204</f>
        <v>0</v>
      </c>
      <c r="AG107" s="539">
        <f>Debt!AG$204</f>
        <v>0</v>
      </c>
      <c r="AH107" s="539">
        <f>Debt!AH$204</f>
        <v>0</v>
      </c>
      <c r="AI107" s="539">
        <f>Debt!AI$204</f>
        <v>0</v>
      </c>
      <c r="AJ107" s="539">
        <f>Debt!AJ$204</f>
        <v>0</v>
      </c>
      <c r="AK107" s="539">
        <f>Debt!AK$204</f>
        <v>0</v>
      </c>
      <c r="AL107" s="539">
        <f>Debt!AL$204</f>
        <v>0</v>
      </c>
      <c r="AM107" s="539">
        <f>Debt!AM$204</f>
        <v>0</v>
      </c>
      <c r="AN107" s="539">
        <f>Debt!AN$204</f>
        <v>0</v>
      </c>
      <c r="AO107" s="539">
        <f>Debt!AO$204</f>
        <v>0</v>
      </c>
      <c r="AP107" s="539">
        <f>Debt!AP$204</f>
        <v>0</v>
      </c>
      <c r="AQ107" s="539">
        <f>Debt!AQ$204</f>
        <v>0</v>
      </c>
      <c r="AR107" s="539">
        <f>Debt!AR$204</f>
        <v>0</v>
      </c>
      <c r="AS107" s="539">
        <f>Debt!AS$204</f>
        <v>0</v>
      </c>
      <c r="AT107" s="539">
        <f>Debt!AT$204</f>
        <v>0</v>
      </c>
      <c r="AU107" s="539">
        <f>Debt!AU$204</f>
        <v>0</v>
      </c>
      <c r="AV107" s="539">
        <f>Debt!AV$204</f>
        <v>0</v>
      </c>
      <c r="AW107" s="539">
        <f>Debt!AW$204</f>
        <v>0</v>
      </c>
      <c r="AX107" s="539">
        <f>Debt!AX$204</f>
        <v>0</v>
      </c>
      <c r="AY107" s="539">
        <f>Debt!AY$204</f>
        <v>0</v>
      </c>
      <c r="AZ107" s="539">
        <f>Debt!AZ$204</f>
        <v>0</v>
      </c>
      <c r="BA107" s="539">
        <f>Debt!BA$204</f>
        <v>0</v>
      </c>
      <c r="BB107" s="539">
        <f>Debt!BB$204</f>
        <v>0</v>
      </c>
      <c r="BC107" s="539">
        <f>Debt!BC$204</f>
        <v>0</v>
      </c>
      <c r="BD107" s="539">
        <f>Debt!BD$204</f>
        <v>0</v>
      </c>
      <c r="BE107" s="539">
        <f>Debt!BE$204</f>
        <v>0</v>
      </c>
      <c r="BF107" s="539">
        <f>Debt!BF$204</f>
        <v>0</v>
      </c>
      <c r="BG107" s="539">
        <f>Debt!BG$204</f>
        <v>0</v>
      </c>
      <c r="BH107" s="539">
        <f>Debt!BH$204</f>
        <v>0</v>
      </c>
      <c r="BI107" s="539">
        <f>Debt!BI$204</f>
        <v>0</v>
      </c>
      <c r="BJ107" s="539">
        <f>Debt!BJ$204</f>
        <v>0</v>
      </c>
      <c r="BK107" s="539">
        <f>Debt!BK$204</f>
        <v>0</v>
      </c>
      <c r="BL107" s="539">
        <f>Debt!BL$204</f>
        <v>0</v>
      </c>
      <c r="BM107" s="539">
        <f>Debt!BM$204</f>
        <v>0</v>
      </c>
      <c r="BN107" s="539">
        <f>Debt!BN$204</f>
        <v>0</v>
      </c>
      <c r="BO107" s="539">
        <f>Debt!BO$204</f>
        <v>0</v>
      </c>
      <c r="BP107" s="539">
        <f>Debt!BP$204</f>
        <v>0</v>
      </c>
      <c r="BQ107" s="539">
        <f>Debt!BQ$204</f>
        <v>0</v>
      </c>
      <c r="BR107" s="539">
        <f>Debt!BR$204</f>
        <v>0</v>
      </c>
      <c r="BS107" s="539">
        <f>Debt!BS$204</f>
        <v>0</v>
      </c>
      <c r="BT107" s="539">
        <f>Debt!BT$204</f>
        <v>0</v>
      </c>
      <c r="BU107" s="539">
        <f>Debt!BU$204</f>
        <v>0</v>
      </c>
      <c r="BV107" s="539">
        <f>Debt!BV$204</f>
        <v>0</v>
      </c>
      <c r="BW107" s="539">
        <f>Debt!BW$204</f>
        <v>0</v>
      </c>
      <c r="BX107" s="539">
        <f>Debt!BX$204</f>
        <v>0</v>
      </c>
      <c r="BY107" s="539">
        <f>Debt!BY$204</f>
        <v>0</v>
      </c>
      <c r="BZ107" s="539">
        <f>Debt!BZ$204</f>
        <v>0</v>
      </c>
      <c r="CA107" s="539">
        <f>Debt!CA$204</f>
        <v>0</v>
      </c>
      <c r="CB107" s="539">
        <f>Debt!CB$204</f>
        <v>0</v>
      </c>
      <c r="CC107" s="539">
        <f>Debt!CC$204</f>
        <v>0</v>
      </c>
      <c r="CD107" s="539">
        <f>Debt!CD$204</f>
        <v>0</v>
      </c>
      <c r="CE107" s="539">
        <f>Debt!CE$204</f>
        <v>0</v>
      </c>
      <c r="CF107" s="539">
        <f>Debt!CF$204</f>
        <v>0</v>
      </c>
      <c r="CG107" s="539">
        <f>Debt!CG$204</f>
        <v>0</v>
      </c>
      <c r="CH107" s="539">
        <f>Debt!CH$204</f>
        <v>0</v>
      </c>
      <c r="CI107" s="539">
        <f>Debt!CI$204</f>
        <v>0</v>
      </c>
      <c r="CJ107" s="539">
        <f>Debt!CJ$204</f>
        <v>0</v>
      </c>
      <c r="CK107" s="539">
        <f>Debt!CK$204</f>
        <v>0</v>
      </c>
      <c r="CL107" s="539">
        <f>Debt!CL$204</f>
        <v>0</v>
      </c>
      <c r="CM107" s="539">
        <f>Debt!CM$204</f>
        <v>0</v>
      </c>
      <c r="CN107" s="539">
        <f>Debt!CN$204</f>
        <v>0</v>
      </c>
      <c r="CO107" s="539">
        <f>Debt!CO$204</f>
        <v>0</v>
      </c>
      <c r="CP107" s="539">
        <f>Debt!CP$204</f>
        <v>0</v>
      </c>
      <c r="CQ107" s="539">
        <f>Debt!CQ$204</f>
        <v>0</v>
      </c>
      <c r="CR107" s="539">
        <f>Debt!CR$204</f>
        <v>0</v>
      </c>
      <c r="CS107" s="539">
        <f>Debt!CS$204</f>
        <v>0</v>
      </c>
      <c r="CT107" s="539">
        <f>Debt!CT$204</f>
        <v>0</v>
      </c>
      <c r="CU107" s="539">
        <f>Debt!CU$204</f>
        <v>0</v>
      </c>
      <c r="CV107" s="539">
        <f>Debt!CV$204</f>
        <v>0</v>
      </c>
      <c r="CW107" s="539">
        <f>Debt!CW$204</f>
        <v>0</v>
      </c>
      <c r="CX107" s="539">
        <f>Debt!CX$204</f>
        <v>0</v>
      </c>
      <c r="CY107" s="539">
        <f>Debt!CY$204</f>
        <v>0</v>
      </c>
      <c r="CZ107" s="539">
        <f>Debt!CZ$204</f>
        <v>0</v>
      </c>
      <c r="DA107" s="539">
        <f>Debt!DA$204</f>
        <v>0</v>
      </c>
      <c r="DB107" s="539">
        <f>Debt!DB$204</f>
        <v>0</v>
      </c>
      <c r="DC107" s="539">
        <f>Debt!DC$204</f>
        <v>0</v>
      </c>
      <c r="DD107" s="539">
        <f>Debt!DD$204</f>
        <v>0</v>
      </c>
      <c r="DE107" s="539">
        <f>Debt!DE$204</f>
        <v>0</v>
      </c>
      <c r="DF107" s="539">
        <f>Debt!DF$204</f>
        <v>0</v>
      </c>
      <c r="DG107" s="539">
        <f>Debt!DG$204</f>
        <v>0</v>
      </c>
      <c r="DH107" s="539">
        <f>Debt!DH$204</f>
        <v>0</v>
      </c>
      <c r="DI107" s="539">
        <f>Debt!DI$204</f>
        <v>0</v>
      </c>
      <c r="DJ107" s="539">
        <f>Debt!DJ$204</f>
        <v>0</v>
      </c>
      <c r="DK107" s="539">
        <f>Debt!DK$204</f>
        <v>0</v>
      </c>
      <c r="DL107" s="539">
        <f>Debt!DL$204</f>
        <v>0</v>
      </c>
      <c r="DM107" s="539">
        <f>Debt!DM$204</f>
        <v>0</v>
      </c>
      <c r="DN107" s="539">
        <f>Debt!DN$204</f>
        <v>0</v>
      </c>
      <c r="DO107" s="539">
        <f>Debt!DO$204</f>
        <v>0</v>
      </c>
      <c r="DP107" s="539">
        <f>Debt!DP$204</f>
        <v>0</v>
      </c>
      <c r="DQ107" s="539">
        <f>Debt!DQ$204</f>
        <v>0</v>
      </c>
      <c r="DR107" s="539">
        <f>Debt!DR$204</f>
        <v>0</v>
      </c>
      <c r="DS107" s="539">
        <f>Debt!DS$204</f>
        <v>0</v>
      </c>
      <c r="DT107" s="539">
        <f>Debt!DT$204</f>
        <v>0</v>
      </c>
      <c r="DU107" s="539">
        <f>Debt!DU$204</f>
        <v>0</v>
      </c>
      <c r="DV107" s="539">
        <f>Debt!DV$204</f>
        <v>0</v>
      </c>
      <c r="DW107" s="539">
        <f>Debt!DW$204</f>
        <v>0</v>
      </c>
      <c r="DX107" s="539">
        <f>Debt!DX$204</f>
        <v>0</v>
      </c>
      <c r="DY107" s="539">
        <f>Debt!DY$204</f>
        <v>0</v>
      </c>
      <c r="DZ107" s="539">
        <f>Debt!DZ$204</f>
        <v>0</v>
      </c>
      <c r="EA107" s="539">
        <f>Debt!EA$204</f>
        <v>0</v>
      </c>
      <c r="EB107" s="539">
        <f>Debt!EB$204</f>
        <v>0</v>
      </c>
      <c r="EC107" s="539">
        <f>Debt!EC$204</f>
        <v>0</v>
      </c>
      <c r="ED107" s="539">
        <f>Debt!ED$204</f>
        <v>0</v>
      </c>
      <c r="EE107" s="539">
        <f>Debt!EE$204</f>
        <v>0</v>
      </c>
      <c r="EF107" s="539">
        <f>Debt!EF$204</f>
        <v>0</v>
      </c>
      <c r="EG107" s="539">
        <f>Debt!EG$204</f>
        <v>0</v>
      </c>
    </row>
    <row r="108" spans="5:137" ht="12.75">
      <c r="E108" s="538" t="str">
        <f>Debt!E$222</f>
        <v>Junior facility - closing balance</v>
      </c>
      <c r="G108" s="539" t="str">
        <f>Debt!G$222</f>
        <v>EUR 000s</v>
      </c>
      <c r="H108" s="539">
        <f>Debt!H$222</f>
        <v>1008475.4152814726</v>
      </c>
      <c r="J108" s="539">
        <f>Debt!J$222</f>
        <v>0</v>
      </c>
      <c r="K108" s="539">
        <f>Debt!K$222</f>
        <v>0</v>
      </c>
      <c r="L108" s="539">
        <f>Debt!L$222</f>
        <v>0</v>
      </c>
      <c r="M108" s="539">
        <f>Debt!M$222</f>
        <v>0</v>
      </c>
      <c r="N108" s="539">
        <f>Debt!N$222</f>
        <v>0</v>
      </c>
      <c r="O108" s="539">
        <f>Debt!O$222</f>
        <v>0</v>
      </c>
      <c r="P108" s="539">
        <f>Debt!P$222</f>
        <v>0</v>
      </c>
      <c r="Q108" s="539">
        <f>Debt!Q$222</f>
        <v>9524.2618544395227</v>
      </c>
      <c r="R108" s="539">
        <f>Debt!R$222</f>
        <v>25289.902618405918</v>
      </c>
      <c r="S108" s="539">
        <f>Debt!S$222</f>
        <v>25289.902618405918</v>
      </c>
      <c r="T108" s="539">
        <f>Debt!T$222</f>
        <v>25289.902618405918</v>
      </c>
      <c r="U108" s="539">
        <f>Debt!U$222</f>
        <v>25289.902618405918</v>
      </c>
      <c r="V108" s="539">
        <f>Debt!V$222</f>
        <v>25289.902618405918</v>
      </c>
      <c r="W108" s="539">
        <f>Debt!W$222</f>
        <v>25289.902618405918</v>
      </c>
      <c r="X108" s="539">
        <f>Debt!X$222</f>
        <v>25289.902618405918</v>
      </c>
      <c r="Y108" s="539">
        <f>Debt!Y$222</f>
        <v>25289.902618405918</v>
      </c>
      <c r="Z108" s="539">
        <f>Debt!Z$222</f>
        <v>25289.902618405918</v>
      </c>
      <c r="AA108" s="539">
        <f>Debt!AA$222</f>
        <v>25289.902618405918</v>
      </c>
      <c r="AB108" s="539">
        <f>Debt!AB$222</f>
        <v>25289.902618405918</v>
      </c>
      <c r="AC108" s="539">
        <f>Debt!AC$222</f>
        <v>25289.902618405918</v>
      </c>
      <c r="AD108" s="539">
        <f>Debt!AD$222</f>
        <v>25289.902618405918</v>
      </c>
      <c r="AE108" s="539">
        <f>Debt!AE$222</f>
        <v>25289.902618405918</v>
      </c>
      <c r="AF108" s="539">
        <f>Debt!AF$222</f>
        <v>25289.902618405918</v>
      </c>
      <c r="AG108" s="539">
        <f>Debt!AG$222</f>
        <v>25289.902618405918</v>
      </c>
      <c r="AH108" s="539">
        <f>Debt!AH$222</f>
        <v>24763.029647189127</v>
      </c>
      <c r="AI108" s="539">
        <f>Debt!AI$222</f>
        <v>24236.156675972336</v>
      </c>
      <c r="AJ108" s="539">
        <f>Debt!AJ$222</f>
        <v>23709.283704755544</v>
      </c>
      <c r="AK108" s="539">
        <f>Debt!AK$222</f>
        <v>23182.410733538753</v>
      </c>
      <c r="AL108" s="539">
        <f>Debt!AL$222</f>
        <v>22655.537762321961</v>
      </c>
      <c r="AM108" s="539">
        <f>Debt!AM$222</f>
        <v>22128.66479110517</v>
      </c>
      <c r="AN108" s="539">
        <f>Debt!AN$222</f>
        <v>21601.791819888378</v>
      </c>
      <c r="AO108" s="539">
        <f>Debt!AO$222</f>
        <v>21074.918848671587</v>
      </c>
      <c r="AP108" s="539">
        <f>Debt!AP$222</f>
        <v>20548.045877454795</v>
      </c>
      <c r="AQ108" s="539">
        <f>Debt!AQ$222</f>
        <v>20021.172906238004</v>
      </c>
      <c r="AR108" s="539">
        <f>Debt!AR$222</f>
        <v>19494.299935021212</v>
      </c>
      <c r="AS108" s="539">
        <f>Debt!AS$222</f>
        <v>18967.426963804421</v>
      </c>
      <c r="AT108" s="539">
        <f>Debt!AT$222</f>
        <v>18440.553992587629</v>
      </c>
      <c r="AU108" s="539">
        <f>Debt!AU$222</f>
        <v>17913.681021370838</v>
      </c>
      <c r="AV108" s="539">
        <f>Debt!AV$222</f>
        <v>17386.808050154046</v>
      </c>
      <c r="AW108" s="539">
        <f>Debt!AW$222</f>
        <v>16859.935078937255</v>
      </c>
      <c r="AX108" s="539">
        <f>Debt!AX$222</f>
        <v>16333.062107720465</v>
      </c>
      <c r="AY108" s="539">
        <f>Debt!AY$222</f>
        <v>15806.189136503675</v>
      </c>
      <c r="AZ108" s="539">
        <f>Debt!AZ$222</f>
        <v>15279.316165286886</v>
      </c>
      <c r="BA108" s="539">
        <f>Debt!BA$222</f>
        <v>14752.443194070096</v>
      </c>
      <c r="BB108" s="539">
        <f>Debt!BB$222</f>
        <v>14225.570222853306</v>
      </c>
      <c r="BC108" s="539">
        <f>Debt!BC$222</f>
        <v>13698.697251636517</v>
      </c>
      <c r="BD108" s="539">
        <f>Debt!BD$222</f>
        <v>13171.824280419727</v>
      </c>
      <c r="BE108" s="539">
        <f>Debt!BE$222</f>
        <v>12644.951309202937</v>
      </c>
      <c r="BF108" s="539">
        <f>Debt!BF$222</f>
        <v>12118.078337986148</v>
      </c>
      <c r="BG108" s="539">
        <f>Debt!BG$222</f>
        <v>11591.205366769358</v>
      </c>
      <c r="BH108" s="539">
        <f>Debt!BH$222</f>
        <v>11064.332395552568</v>
      </c>
      <c r="BI108" s="539">
        <f>Debt!BI$222</f>
        <v>10537.459424335779</v>
      </c>
      <c r="BJ108" s="539">
        <f>Debt!BJ$222</f>
        <v>10010.586453118989</v>
      </c>
      <c r="BK108" s="539">
        <f>Debt!BK$222</f>
        <v>9483.7134819021994</v>
      </c>
      <c r="BL108" s="539">
        <f>Debt!BL$222</f>
        <v>8956.8405106854098</v>
      </c>
      <c r="BM108" s="539">
        <f>Debt!BM$222</f>
        <v>8429.9675394686201</v>
      </c>
      <c r="BN108" s="539">
        <f>Debt!BN$222</f>
        <v>7903.0945682518304</v>
      </c>
      <c r="BO108" s="539">
        <f>Debt!BO$222</f>
        <v>7376.2215970350408</v>
      </c>
      <c r="BP108" s="539">
        <f>Debt!BP$222</f>
        <v>6849.3486258182511</v>
      </c>
      <c r="BQ108" s="539">
        <f>Debt!BQ$222</f>
        <v>6322.4756546014614</v>
      </c>
      <c r="BR108" s="539">
        <f>Debt!BR$222</f>
        <v>5795.6026833846718</v>
      </c>
      <c r="BS108" s="539">
        <f>Debt!BS$222</f>
        <v>5268.7297121678821</v>
      </c>
      <c r="BT108" s="539">
        <f>Debt!BT$222</f>
        <v>4741.8567409510924</v>
      </c>
      <c r="BU108" s="539">
        <f>Debt!BU$222</f>
        <v>4214.9837697343028</v>
      </c>
      <c r="BV108" s="539">
        <f>Debt!BV$222</f>
        <v>3688.1107985175126</v>
      </c>
      <c r="BW108" s="539">
        <f>Debt!BW$222</f>
        <v>3161.2378273007225</v>
      </c>
      <c r="BX108" s="539">
        <f>Debt!BX$222</f>
        <v>2634.3648560839324</v>
      </c>
      <c r="BY108" s="539">
        <f>Debt!BY$222</f>
        <v>2107.4918848671423</v>
      </c>
      <c r="BZ108" s="539">
        <f>Debt!BZ$222</f>
        <v>1580.6189136503522</v>
      </c>
      <c r="CA108" s="539">
        <f>Debt!CA$222</f>
        <v>1053.745942433562</v>
      </c>
      <c r="CB108" s="539">
        <f>Debt!CB$222</f>
        <v>526.87297121677204</v>
      </c>
      <c r="CC108" s="539">
        <f>Debt!CC$222</f>
        <v>-1.7962520360015333E-11</v>
      </c>
      <c r="CD108" s="539">
        <f>Debt!CD$222</f>
        <v>-1.7962520360015333E-11</v>
      </c>
      <c r="CE108" s="539">
        <f>Debt!CE$222</f>
        <v>-1.7962520360015333E-11</v>
      </c>
      <c r="CF108" s="539">
        <f>Debt!CF$222</f>
        <v>-1.7962520360015333E-11</v>
      </c>
      <c r="CG108" s="539">
        <f>Debt!CG$222</f>
        <v>-1.7962520360015333E-11</v>
      </c>
      <c r="CH108" s="539">
        <f>Debt!CH$222</f>
        <v>-1.7962520360015333E-11</v>
      </c>
      <c r="CI108" s="539">
        <f>Debt!CI$222</f>
        <v>-1.7962520360015333E-11</v>
      </c>
      <c r="CJ108" s="539">
        <f>Debt!CJ$222</f>
        <v>-1.7962520360015333E-11</v>
      </c>
      <c r="CK108" s="539">
        <f>Debt!CK$222</f>
        <v>-1.7962520360015333E-11</v>
      </c>
      <c r="CL108" s="539">
        <f>Debt!CL$222</f>
        <v>-1.7962520360015333E-11</v>
      </c>
      <c r="CM108" s="539">
        <f>Debt!CM$222</f>
        <v>-1.7962520360015333E-11</v>
      </c>
      <c r="CN108" s="539">
        <f>Debt!CN$222</f>
        <v>-1.7962520360015333E-11</v>
      </c>
      <c r="CO108" s="539">
        <f>Debt!CO$222</f>
        <v>-1.7962520360015333E-11</v>
      </c>
      <c r="CP108" s="539">
        <f>Debt!CP$222</f>
        <v>-1.7962520360015333E-11</v>
      </c>
      <c r="CQ108" s="539">
        <f>Debt!CQ$222</f>
        <v>-1.7962520360015333E-11</v>
      </c>
      <c r="CR108" s="539">
        <f>Debt!CR$222</f>
        <v>-1.7962520360015333E-11</v>
      </c>
      <c r="CS108" s="539">
        <f>Debt!CS$222</f>
        <v>-1.7962520360015333E-11</v>
      </c>
      <c r="CT108" s="539">
        <f>Debt!CT$222</f>
        <v>-1.7962520360015333E-11</v>
      </c>
      <c r="CU108" s="539">
        <f>Debt!CU$222</f>
        <v>-1.7962520360015333E-11</v>
      </c>
      <c r="CV108" s="539">
        <f>Debt!CV$222</f>
        <v>-1.7962520360015333E-11</v>
      </c>
      <c r="CW108" s="539">
        <f>Debt!CW$222</f>
        <v>-1.7962520360015333E-11</v>
      </c>
      <c r="CX108" s="539">
        <f>Debt!CX$222</f>
        <v>-1.7962520360015333E-11</v>
      </c>
      <c r="CY108" s="539">
        <f>Debt!CY$222</f>
        <v>-1.7962520360015333E-11</v>
      </c>
      <c r="CZ108" s="539">
        <f>Debt!CZ$222</f>
        <v>-1.7962520360015333E-11</v>
      </c>
      <c r="DA108" s="539">
        <f>Debt!DA$222</f>
        <v>-1.7962520360015333E-11</v>
      </c>
      <c r="DB108" s="539">
        <f>Debt!DB$222</f>
        <v>-1.7962520360015333E-11</v>
      </c>
      <c r="DC108" s="539">
        <f>Debt!DC$222</f>
        <v>-1.7962520360015333E-11</v>
      </c>
      <c r="DD108" s="539">
        <f>Debt!DD$222</f>
        <v>-1.7962520360015333E-11</v>
      </c>
      <c r="DE108" s="539">
        <f>Debt!DE$222</f>
        <v>-1.7962520360015333E-11</v>
      </c>
      <c r="DF108" s="539">
        <f>Debt!DF$222</f>
        <v>-1.7962520360015333E-11</v>
      </c>
      <c r="DG108" s="539">
        <f>Debt!DG$222</f>
        <v>-1.7962520360015333E-11</v>
      </c>
      <c r="DH108" s="539">
        <f>Debt!DH$222</f>
        <v>-1.7962520360015333E-11</v>
      </c>
      <c r="DI108" s="539">
        <f>Debt!DI$222</f>
        <v>-1.7962520360015333E-11</v>
      </c>
      <c r="DJ108" s="539">
        <f>Debt!DJ$222</f>
        <v>-1.7962520360015333E-11</v>
      </c>
      <c r="DK108" s="539">
        <f>Debt!DK$222</f>
        <v>-1.7962520360015333E-11</v>
      </c>
      <c r="DL108" s="539">
        <f>Debt!DL$222</f>
        <v>-1.7962520360015333E-11</v>
      </c>
      <c r="DM108" s="539">
        <f>Debt!DM$222</f>
        <v>-1.7962520360015333E-11</v>
      </c>
      <c r="DN108" s="539">
        <f>Debt!DN$222</f>
        <v>-1.7962520360015333E-11</v>
      </c>
      <c r="DO108" s="539">
        <f>Debt!DO$222</f>
        <v>-1.7962520360015333E-11</v>
      </c>
      <c r="DP108" s="539">
        <f>Debt!DP$222</f>
        <v>-1.7962520360015333E-11</v>
      </c>
      <c r="DQ108" s="539">
        <f>Debt!DQ$222</f>
        <v>-1.7962520360015333E-11</v>
      </c>
      <c r="DR108" s="539">
        <f>Debt!DR$222</f>
        <v>-1.7962520360015333E-11</v>
      </c>
      <c r="DS108" s="539">
        <f>Debt!DS$222</f>
        <v>-1.7962520360015333E-11</v>
      </c>
      <c r="DT108" s="539">
        <f>Debt!DT$222</f>
        <v>-1.7962520360015333E-11</v>
      </c>
      <c r="DU108" s="539">
        <f>Debt!DU$222</f>
        <v>-1.7962520360015333E-11</v>
      </c>
      <c r="DV108" s="539">
        <f>Debt!DV$222</f>
        <v>-1.7962520360015333E-11</v>
      </c>
      <c r="DW108" s="539">
        <f>Debt!DW$222</f>
        <v>-1.7962520360015333E-11</v>
      </c>
      <c r="DX108" s="539">
        <f>Debt!DX$222</f>
        <v>-1.7962520360015333E-11</v>
      </c>
      <c r="DY108" s="539">
        <f>Debt!DY$222</f>
        <v>-1.7962520360015333E-11</v>
      </c>
      <c r="DZ108" s="539">
        <f>Debt!DZ$222</f>
        <v>-1.7962520360015333E-11</v>
      </c>
      <c r="EA108" s="539">
        <f>Debt!EA$222</f>
        <v>-1.7962520360015333E-11</v>
      </c>
      <c r="EB108" s="539">
        <f>Debt!EB$222</f>
        <v>-1.7962520360015333E-11</v>
      </c>
      <c r="EC108" s="539">
        <f>Debt!EC$222</f>
        <v>-1.7962520360015333E-11</v>
      </c>
      <c r="ED108" s="539">
        <f>Debt!ED$222</f>
        <v>-1.7962520360015333E-11</v>
      </c>
      <c r="EE108" s="539">
        <f>Debt!EE$222</f>
        <v>-1.7962520360015333E-11</v>
      </c>
      <c r="EF108" s="539">
        <f>Debt!EF$222</f>
        <v>-1.7962520360015333E-11</v>
      </c>
      <c r="EG108" s="539">
        <f>Debt!EG$222</f>
        <v>-1.7962520360015333E-11</v>
      </c>
    </row>
    <row r="109" spans="5:137" ht="12.75">
      <c r="E109" s="551" t="s">
        <v>534</v>
      </c>
      <c r="F109" s="552"/>
      <c r="G109" s="552" t="s">
        <v>30</v>
      </c>
      <c r="H109" s="552">
        <f>SUM(J109:EG109)</f>
        <v>12299068.788514303</v>
      </c>
      <c r="I109" s="552"/>
      <c r="J109" s="552">
        <f t="shared" si="20" ref="J109:EG109">J106+J108+J107+J105</f>
        <v>0</v>
      </c>
      <c r="K109" s="552">
        <f t="shared" si="20"/>
        <v>0</v>
      </c>
      <c r="L109" s="552">
        <f t="shared" si="20"/>
        <v>0</v>
      </c>
      <c r="M109" s="552">
        <f t="shared" si="20"/>
        <v>2658.3125</v>
      </c>
      <c r="N109" s="552">
        <f t="shared" si="20"/>
        <v>5382.25</v>
      </c>
      <c r="O109" s="552">
        <f t="shared" si="20"/>
        <v>8040.5625</v>
      </c>
      <c r="P109" s="552">
        <f t="shared" si="20"/>
        <v>8106.1875</v>
      </c>
      <c r="Q109" s="552">
        <f t="shared" si="20"/>
        <v>17564.824354439523</v>
      </c>
      <c r="R109" s="552">
        <f t="shared" si="20"/>
        <v>35442.871436305206</v>
      </c>
      <c r="S109" s="552">
        <f t="shared" si="20"/>
        <v>54227.622451967734</v>
      </c>
      <c r="T109" s="552">
        <f t="shared" si="20"/>
        <v>73535.787257975317</v>
      </c>
      <c r="U109" s="552">
        <f t="shared" si="20"/>
        <v>92600.784986160084</v>
      </c>
      <c r="V109" s="552">
        <f t="shared" si="20"/>
        <v>110030.46439859756</v>
      </c>
      <c r="W109" s="552">
        <f t="shared" si="20"/>
        <v>127228.30624744404</v>
      </c>
      <c r="X109" s="552">
        <f t="shared" si="20"/>
        <v>142308.61896497299</v>
      </c>
      <c r="Y109" s="552">
        <f t="shared" si="20"/>
        <v>155326.85011952269</v>
      </c>
      <c r="Z109" s="552">
        <f t="shared" si="20"/>
        <v>167276.76504771376</v>
      </c>
      <c r="AA109" s="552">
        <f t="shared" si="20"/>
        <v>181381.21427518572</v>
      </c>
      <c r="AB109" s="552">
        <f t="shared" si="20"/>
        <v>196754.57377810957</v>
      </c>
      <c r="AC109" s="552">
        <f t="shared" si="20"/>
        <v>212191.73615849216</v>
      </c>
      <c r="AD109" s="552">
        <f t="shared" si="20"/>
        <v>225738.55184495822</v>
      </c>
      <c r="AE109" s="552">
        <f t="shared" si="20"/>
        <v>233093.04091997899</v>
      </c>
      <c r="AF109" s="552">
        <f t="shared" si="20"/>
        <v>238308.73866988515</v>
      </c>
      <c r="AG109" s="552">
        <f t="shared" si="20"/>
        <v>250023.36302945763</v>
      </c>
      <c r="AH109" s="552">
        <f t="shared" si="20"/>
        <v>245371.85340461813</v>
      </c>
      <c r="AI109" s="552">
        <f t="shared" si="20"/>
        <v>243215.60139436295</v>
      </c>
      <c r="AJ109" s="552">
        <f t="shared" si="20"/>
        <v>241070.23008914871</v>
      </c>
      <c r="AK109" s="552">
        <f t="shared" si="20"/>
        <v>238912.60877603531</v>
      </c>
      <c r="AL109" s="552">
        <f t="shared" si="20"/>
        <v>236617.8063837603</v>
      </c>
      <c r="AM109" s="552">
        <f t="shared" si="20"/>
        <v>234288.71079326925</v>
      </c>
      <c r="AN109" s="552">
        <f t="shared" si="20"/>
        <v>231967.10096686849</v>
      </c>
      <c r="AO109" s="552">
        <f t="shared" si="20"/>
        <v>229630.92068092374</v>
      </c>
      <c r="AP109" s="552">
        <f t="shared" si="20"/>
        <v>227156.18803980161</v>
      </c>
      <c r="AQ109" s="552">
        <f t="shared" si="20"/>
        <v>224643.2054455248</v>
      </c>
      <c r="AR109" s="552">
        <f t="shared" si="20"/>
        <v>222134.05396713232</v>
      </c>
      <c r="AS109" s="552">
        <f t="shared" si="20"/>
        <v>219607.85525167902</v>
      </c>
      <c r="AT109" s="552">
        <f t="shared" si="20"/>
        <v>216961.21721105979</v>
      </c>
      <c r="AU109" s="552">
        <f t="shared" si="20"/>
        <v>214263.72335171833</v>
      </c>
      <c r="AV109" s="552">
        <f t="shared" si="20"/>
        <v>211555.49566831332</v>
      </c>
      <c r="AW109" s="552">
        <f t="shared" si="20"/>
        <v>208829.83728537499</v>
      </c>
      <c r="AX109" s="552">
        <f t="shared" si="20"/>
        <v>205960.7885396489</v>
      </c>
      <c r="AY109" s="552">
        <f t="shared" si="20"/>
        <v>203044.77841661827</v>
      </c>
      <c r="AZ109" s="552">
        <f t="shared" si="20"/>
        <v>200124.45903226195</v>
      </c>
      <c r="BA109" s="552">
        <f t="shared" si="20"/>
        <v>197184.07305689686</v>
      </c>
      <c r="BB109" s="552">
        <f t="shared" si="20"/>
        <v>194162.56673752412</v>
      </c>
      <c r="BC109" s="552">
        <f t="shared" si="20"/>
        <v>191099.27702074469</v>
      </c>
      <c r="BD109" s="552">
        <f t="shared" si="20"/>
        <v>188036.87089274457</v>
      </c>
      <c r="BE109" s="552">
        <f t="shared" si="20"/>
        <v>184958.41971751204</v>
      </c>
      <c r="BF109" s="552">
        <f t="shared" si="20"/>
        <v>181750.15736316302</v>
      </c>
      <c r="BG109" s="552">
        <f t="shared" si="20"/>
        <v>178494.10432977552</v>
      </c>
      <c r="BH109" s="552">
        <f t="shared" si="20"/>
        <v>175233.25046670772</v>
      </c>
      <c r="BI109" s="552">
        <f t="shared" si="20"/>
        <v>171952.32821274525</v>
      </c>
      <c r="BJ109" s="552">
        <f t="shared" si="20"/>
        <v>168552.66304580978</v>
      </c>
      <c r="BK109" s="552">
        <f t="shared" si="20"/>
        <v>165097.55473700791</v>
      </c>
      <c r="BL109" s="552">
        <f t="shared" si="20"/>
        <v>161620.70367542622</v>
      </c>
      <c r="BM109" s="552">
        <f t="shared" si="20"/>
        <v>158119.75254425342</v>
      </c>
      <c r="BN109" s="552">
        <f t="shared" si="20"/>
        <v>154485.28282382045</v>
      </c>
      <c r="BO109" s="552">
        <f t="shared" si="20"/>
        <v>150790.67197457355</v>
      </c>
      <c r="BP109" s="552">
        <f t="shared" si="20"/>
        <v>147079.48506188201</v>
      </c>
      <c r="BQ109" s="552">
        <f t="shared" si="20"/>
        <v>143340.10755033416</v>
      </c>
      <c r="BR109" s="552">
        <f t="shared" si="20"/>
        <v>139412.31162322272</v>
      </c>
      <c r="BS109" s="552">
        <f t="shared" si="20"/>
        <v>135417.18919777917</v>
      </c>
      <c r="BT109" s="552">
        <f t="shared" si="20"/>
        <v>131398.53233942628</v>
      </c>
      <c r="BU109" s="552">
        <f t="shared" si="20"/>
        <v>127346.74293978506</v>
      </c>
      <c r="BV109" s="552">
        <f t="shared" si="20"/>
        <v>123297.03929075945</v>
      </c>
      <c r="BW109" s="552">
        <f t="shared" si="20"/>
        <v>119586.2735549295</v>
      </c>
      <c r="BX109" s="552">
        <f t="shared" si="20"/>
        <v>115861.18300341317</v>
      </c>
      <c r="BY109" s="552">
        <f t="shared" si="20"/>
        <v>112114.1972580014</v>
      </c>
      <c r="BZ109" s="552">
        <f t="shared" si="20"/>
        <v>108260.26356737375</v>
      </c>
      <c r="CA109" s="552">
        <f t="shared" si="20"/>
        <v>104347.94721722098</v>
      </c>
      <c r="CB109" s="552">
        <f t="shared" si="20"/>
        <v>100438.78355315703</v>
      </c>
      <c r="CC109" s="552">
        <f t="shared" si="20"/>
        <v>96679.218965814143</v>
      </c>
      <c r="CD109" s="552">
        <f t="shared" si="20"/>
        <v>93354.866903009082</v>
      </c>
      <c r="CE109" s="552">
        <f t="shared" si="20"/>
        <v>89964.772122112481</v>
      </c>
      <c r="CF109" s="552">
        <f t="shared" si="20"/>
        <v>86553.919799695534</v>
      </c>
      <c r="CG109" s="552">
        <f t="shared" si="20"/>
        <v>83121.179559975673</v>
      </c>
      <c r="CH109" s="552">
        <f t="shared" si="20"/>
        <v>79593.959452813375</v>
      </c>
      <c r="CI109" s="552">
        <f t="shared" si="20"/>
        <v>75995.047897345823</v>
      </c>
      <c r="CJ109" s="552">
        <f t="shared" si="20"/>
        <v>72369.711752529591</v>
      </c>
      <c r="CK109" s="552">
        <f t="shared" si="20"/>
        <v>68718.738932506196</v>
      </c>
      <c r="CL109" s="552">
        <f t="shared" si="20"/>
        <v>64684.850956016802</v>
      </c>
      <c r="CM109" s="552">
        <f t="shared" si="20"/>
        <v>60569.829778725019</v>
      </c>
      <c r="CN109" s="552">
        <f t="shared" si="20"/>
        <v>56419.081896961958</v>
      </c>
      <c r="CO109" s="552">
        <f t="shared" si="20"/>
        <v>52235.409698162854</v>
      </c>
      <c r="CP109" s="552">
        <f t="shared" si="20"/>
        <v>48233.700504559791</v>
      </c>
      <c r="CQ109" s="552">
        <f t="shared" si="20"/>
        <v>44165.862871224686</v>
      </c>
      <c r="CR109" s="552">
        <f t="shared" si="20"/>
        <v>40047.47601115657</v>
      </c>
      <c r="CS109" s="552">
        <f t="shared" si="20"/>
        <v>35895.790506489247</v>
      </c>
      <c r="CT109" s="552">
        <f t="shared" si="20"/>
        <v>31647.260735279615</v>
      </c>
      <c r="CU109" s="552">
        <f t="shared" si="20"/>
        <v>27308.313550612729</v>
      </c>
      <c r="CV109" s="552">
        <f t="shared" si="20"/>
        <v>22924.90406638863</v>
      </c>
      <c r="CW109" s="552">
        <f t="shared" si="20"/>
        <v>18504.379611735563</v>
      </c>
      <c r="CX109" s="552">
        <f t="shared" si="20"/>
        <v>13986.578233532284</v>
      </c>
      <c r="CY109" s="552">
        <f t="shared" si="20"/>
        <v>9371.8894561927809</v>
      </c>
      <c r="CZ109" s="552">
        <f t="shared" si="20"/>
        <v>4706.4513561860786</v>
      </c>
      <c r="DA109" s="552">
        <f t="shared" si="20"/>
        <v>-1.7962520360015333E-11</v>
      </c>
      <c r="DB109" s="552">
        <f t="shared" si="20"/>
        <v>-1.7962520360015333E-11</v>
      </c>
      <c r="DC109" s="552">
        <f t="shared" si="20"/>
        <v>-1.7962520360015333E-11</v>
      </c>
      <c r="DD109" s="552">
        <f t="shared" si="20"/>
        <v>-1.7962520360015333E-11</v>
      </c>
      <c r="DE109" s="552">
        <f t="shared" si="20"/>
        <v>-1.7962520360015333E-11</v>
      </c>
      <c r="DF109" s="552">
        <f t="shared" si="20"/>
        <v>-1.7962520360015333E-11</v>
      </c>
      <c r="DG109" s="552">
        <f t="shared" si="20"/>
        <v>-1.7962520360015333E-11</v>
      </c>
      <c r="DH109" s="552">
        <f t="shared" si="20"/>
        <v>-1.7962520360015333E-11</v>
      </c>
      <c r="DI109" s="552">
        <f t="shared" si="20"/>
        <v>-1.7962520360015333E-11</v>
      </c>
      <c r="DJ109" s="552">
        <f t="shared" si="20"/>
        <v>-1.7962520360015333E-11</v>
      </c>
      <c r="DK109" s="552">
        <f t="shared" si="20"/>
        <v>-1.7962520360015333E-11</v>
      </c>
      <c r="DL109" s="552">
        <f t="shared" si="20"/>
        <v>-1.7962520360015333E-11</v>
      </c>
      <c r="DM109" s="552">
        <f t="shared" si="20"/>
        <v>-1.7962520360015333E-11</v>
      </c>
      <c r="DN109" s="552">
        <f t="shared" si="20"/>
        <v>-1.7962520360015333E-11</v>
      </c>
      <c r="DO109" s="552">
        <f t="shared" si="20"/>
        <v>-1.7962520360015333E-11</v>
      </c>
      <c r="DP109" s="552">
        <f t="shared" si="20"/>
        <v>-1.7962520360015333E-11</v>
      </c>
      <c r="DQ109" s="552">
        <f t="shared" si="20"/>
        <v>-1.7962520360015333E-11</v>
      </c>
      <c r="DR109" s="552">
        <f t="shared" si="20"/>
        <v>-1.7962520360015333E-11</v>
      </c>
      <c r="DS109" s="552">
        <f t="shared" si="20"/>
        <v>-1.7962520360015333E-11</v>
      </c>
      <c r="DT109" s="552">
        <f t="shared" si="20"/>
        <v>-1.7962520360015333E-11</v>
      </c>
      <c r="DU109" s="552">
        <f t="shared" si="20"/>
        <v>-1.7962520360015333E-11</v>
      </c>
      <c r="DV109" s="552">
        <f t="shared" si="20"/>
        <v>-1.7962520360015333E-11</v>
      </c>
      <c r="DW109" s="552">
        <f t="shared" si="20"/>
        <v>-1.7962520360015333E-11</v>
      </c>
      <c r="DX109" s="552">
        <f t="shared" si="20"/>
        <v>-1.7962520360015333E-11</v>
      </c>
      <c r="DY109" s="552">
        <f t="shared" si="20"/>
        <v>-1.7962520360015333E-11</v>
      </c>
      <c r="DZ109" s="552">
        <f t="shared" si="20"/>
        <v>-1.7962520360015333E-11</v>
      </c>
      <c r="EA109" s="552">
        <f t="shared" si="20"/>
        <v>-1.7962520360015333E-11</v>
      </c>
      <c r="EB109" s="552">
        <f t="shared" si="20"/>
        <v>-1.7962520360015333E-11</v>
      </c>
      <c r="EC109" s="552">
        <f t="shared" si="20"/>
        <v>-1.7962520360015333E-11</v>
      </c>
      <c r="ED109" s="552">
        <f t="shared" si="20"/>
        <v>-1.7962520360015333E-11</v>
      </c>
      <c r="EE109" s="552">
        <f t="shared" si="20"/>
        <v>-1.7962520360015333E-11</v>
      </c>
      <c r="EF109" s="552">
        <f t="shared" si="20"/>
        <v>-1.7962520360015333E-11</v>
      </c>
      <c r="EG109" s="552">
        <f t="shared" si="20"/>
        <v>-1.7962520360015333E-11</v>
      </c>
    </row>
    <row r="111" spans="5:137" ht="12.75">
      <c r="E111" s="538" t="str">
        <f>Equity!E$53</f>
        <v>Shareholder loan - closing unpaid interest</v>
      </c>
      <c r="G111" s="539" t="str">
        <f>Equity!G$53</f>
        <v>EUR 000s</v>
      </c>
      <c r="H111" s="539">
        <f>Equity!H$53</f>
        <v>0</v>
      </c>
      <c r="J111" s="539">
        <f>Equity!J$53</f>
        <v>0</v>
      </c>
      <c r="K111" s="539">
        <f>Equity!K$53</f>
        <v>0</v>
      </c>
      <c r="L111" s="539">
        <f>Equity!L$53</f>
        <v>0</v>
      </c>
      <c r="M111" s="539">
        <f>Equity!M$53</f>
        <v>0</v>
      </c>
      <c r="N111" s="539">
        <f>Equity!N$53</f>
        <v>0</v>
      </c>
      <c r="O111" s="539">
        <f>Equity!O$53</f>
        <v>0</v>
      </c>
      <c r="P111" s="539">
        <f>Equity!P$53</f>
        <v>0</v>
      </c>
      <c r="Q111" s="539">
        <f>Equity!Q$53</f>
        <v>0</v>
      </c>
      <c r="R111" s="539">
        <f>Equity!R$53</f>
        <v>0</v>
      </c>
      <c r="S111" s="539">
        <f>Equity!S$53</f>
        <v>0</v>
      </c>
      <c r="T111" s="539">
        <f>Equity!T$53</f>
        <v>0</v>
      </c>
      <c r="U111" s="539">
        <f>Equity!U$53</f>
        <v>0</v>
      </c>
      <c r="V111" s="539">
        <f>Equity!V$53</f>
        <v>0</v>
      </c>
      <c r="W111" s="539">
        <f>Equity!W$53</f>
        <v>0</v>
      </c>
      <c r="X111" s="539">
        <f>Equity!X$53</f>
        <v>0</v>
      </c>
      <c r="Y111" s="539">
        <f>Equity!Y$53</f>
        <v>0</v>
      </c>
      <c r="Z111" s="539">
        <f>Equity!Z$53</f>
        <v>0</v>
      </c>
      <c r="AA111" s="539">
        <f>Equity!AA$53</f>
        <v>0</v>
      </c>
      <c r="AB111" s="539">
        <f>Equity!AB$53</f>
        <v>0</v>
      </c>
      <c r="AC111" s="539">
        <f>Equity!AC$53</f>
        <v>0</v>
      </c>
      <c r="AD111" s="539">
        <f>Equity!AD$53</f>
        <v>0</v>
      </c>
      <c r="AE111" s="539">
        <f>Equity!AE$53</f>
        <v>0</v>
      </c>
      <c r="AF111" s="539">
        <f>Equity!AF$53</f>
        <v>0</v>
      </c>
      <c r="AG111" s="539">
        <f>Equity!AG$53</f>
        <v>0</v>
      </c>
      <c r="AH111" s="539">
        <f>Equity!AH$53</f>
        <v>0</v>
      </c>
      <c r="AI111" s="539">
        <f>Equity!AI$53</f>
        <v>0</v>
      </c>
      <c r="AJ111" s="539">
        <f>Equity!AJ$53</f>
        <v>0</v>
      </c>
      <c r="AK111" s="539">
        <f>Equity!AK$53</f>
        <v>0</v>
      </c>
      <c r="AL111" s="539">
        <f>Equity!AL$53</f>
        <v>0</v>
      </c>
      <c r="AM111" s="539">
        <f>Equity!AM$53</f>
        <v>0</v>
      </c>
      <c r="AN111" s="539">
        <f>Equity!AN$53</f>
        <v>0</v>
      </c>
      <c r="AO111" s="539">
        <f>Equity!AO$53</f>
        <v>0</v>
      </c>
      <c r="AP111" s="539">
        <f>Equity!AP$53</f>
        <v>0</v>
      </c>
      <c r="AQ111" s="539">
        <f>Equity!AQ$53</f>
        <v>0</v>
      </c>
      <c r="AR111" s="539">
        <f>Equity!AR$53</f>
        <v>0</v>
      </c>
      <c r="AS111" s="539">
        <f>Equity!AS$53</f>
        <v>0</v>
      </c>
      <c r="AT111" s="539">
        <f>Equity!AT$53</f>
        <v>0</v>
      </c>
      <c r="AU111" s="539">
        <f>Equity!AU$53</f>
        <v>0</v>
      </c>
      <c r="AV111" s="539">
        <f>Equity!AV$53</f>
        <v>0</v>
      </c>
      <c r="AW111" s="539">
        <f>Equity!AW$53</f>
        <v>0</v>
      </c>
      <c r="AX111" s="539">
        <f>Equity!AX$53</f>
        <v>0</v>
      </c>
      <c r="AY111" s="539">
        <f>Equity!AY$53</f>
        <v>0</v>
      </c>
      <c r="AZ111" s="539">
        <f>Equity!AZ$53</f>
        <v>0</v>
      </c>
      <c r="BA111" s="539">
        <f>Equity!BA$53</f>
        <v>0</v>
      </c>
      <c r="BB111" s="539">
        <f>Equity!BB$53</f>
        <v>0</v>
      </c>
      <c r="BC111" s="539">
        <f>Equity!BC$53</f>
        <v>0</v>
      </c>
      <c r="BD111" s="539">
        <f>Equity!BD$53</f>
        <v>0</v>
      </c>
      <c r="BE111" s="539">
        <f>Equity!BE$53</f>
        <v>0</v>
      </c>
      <c r="BF111" s="539">
        <f>Equity!BF$53</f>
        <v>0</v>
      </c>
      <c r="BG111" s="539">
        <f>Equity!BG$53</f>
        <v>0</v>
      </c>
      <c r="BH111" s="539">
        <f>Equity!BH$53</f>
        <v>0</v>
      </c>
      <c r="BI111" s="539">
        <f>Equity!BI$53</f>
        <v>0</v>
      </c>
      <c r="BJ111" s="539">
        <f>Equity!BJ$53</f>
        <v>0</v>
      </c>
      <c r="BK111" s="539">
        <f>Equity!BK$53</f>
        <v>0</v>
      </c>
      <c r="BL111" s="539">
        <f>Equity!BL$53</f>
        <v>0</v>
      </c>
      <c r="BM111" s="539">
        <f>Equity!BM$53</f>
        <v>0</v>
      </c>
      <c r="BN111" s="539">
        <f>Equity!BN$53</f>
        <v>0</v>
      </c>
      <c r="BO111" s="539">
        <f>Equity!BO$53</f>
        <v>0</v>
      </c>
      <c r="BP111" s="539">
        <f>Equity!BP$53</f>
        <v>0</v>
      </c>
      <c r="BQ111" s="539">
        <f>Equity!BQ$53</f>
        <v>0</v>
      </c>
      <c r="BR111" s="539">
        <f>Equity!BR$53</f>
        <v>0</v>
      </c>
      <c r="BS111" s="539">
        <f>Equity!BS$53</f>
        <v>0</v>
      </c>
      <c r="BT111" s="539">
        <f>Equity!BT$53</f>
        <v>0</v>
      </c>
      <c r="BU111" s="539">
        <f>Equity!BU$53</f>
        <v>0</v>
      </c>
      <c r="BV111" s="539">
        <f>Equity!BV$53</f>
        <v>0</v>
      </c>
      <c r="BW111" s="539">
        <f>Equity!BW$53</f>
        <v>0</v>
      </c>
      <c r="BX111" s="539">
        <f>Equity!BX$53</f>
        <v>0</v>
      </c>
      <c r="BY111" s="539">
        <f>Equity!BY$53</f>
        <v>0</v>
      </c>
      <c r="BZ111" s="539">
        <f>Equity!BZ$53</f>
        <v>0</v>
      </c>
      <c r="CA111" s="539">
        <f>Equity!CA$53</f>
        <v>0</v>
      </c>
      <c r="CB111" s="539">
        <f>Equity!CB$53</f>
        <v>0</v>
      </c>
      <c r="CC111" s="539">
        <f>Equity!CC$53</f>
        <v>0</v>
      </c>
      <c r="CD111" s="539">
        <f>Equity!CD$53</f>
        <v>0</v>
      </c>
      <c r="CE111" s="539">
        <f>Equity!CE$53</f>
        <v>0</v>
      </c>
      <c r="CF111" s="539">
        <f>Equity!CF$53</f>
        <v>0</v>
      </c>
      <c r="CG111" s="539">
        <f>Equity!CG$53</f>
        <v>0</v>
      </c>
      <c r="CH111" s="539">
        <f>Equity!CH$53</f>
        <v>0</v>
      </c>
      <c r="CI111" s="539">
        <f>Equity!CI$53</f>
        <v>0</v>
      </c>
      <c r="CJ111" s="539">
        <f>Equity!CJ$53</f>
        <v>0</v>
      </c>
      <c r="CK111" s="539">
        <f>Equity!CK$53</f>
        <v>0</v>
      </c>
      <c r="CL111" s="539">
        <f>Equity!CL$53</f>
        <v>0</v>
      </c>
      <c r="CM111" s="539">
        <f>Equity!CM$53</f>
        <v>0</v>
      </c>
      <c r="CN111" s="539">
        <f>Equity!CN$53</f>
        <v>0</v>
      </c>
      <c r="CO111" s="539">
        <f>Equity!CO$53</f>
        <v>0</v>
      </c>
      <c r="CP111" s="539">
        <f>Equity!CP$53</f>
        <v>0</v>
      </c>
      <c r="CQ111" s="539">
        <f>Equity!CQ$53</f>
        <v>0</v>
      </c>
      <c r="CR111" s="539">
        <f>Equity!CR$53</f>
        <v>0</v>
      </c>
      <c r="CS111" s="539">
        <f>Equity!CS$53</f>
        <v>0</v>
      </c>
      <c r="CT111" s="539">
        <f>Equity!CT$53</f>
        <v>0</v>
      </c>
      <c r="CU111" s="539">
        <f>Equity!CU$53</f>
        <v>0</v>
      </c>
      <c r="CV111" s="539">
        <f>Equity!CV$53</f>
        <v>0</v>
      </c>
      <c r="CW111" s="539">
        <f>Equity!CW$53</f>
        <v>0</v>
      </c>
      <c r="CX111" s="539">
        <f>Equity!CX$53</f>
        <v>0</v>
      </c>
      <c r="CY111" s="539">
        <f>Equity!CY$53</f>
        <v>0</v>
      </c>
      <c r="CZ111" s="539">
        <f>Equity!CZ$53</f>
        <v>0</v>
      </c>
      <c r="DA111" s="539">
        <f>Equity!DA$53</f>
        <v>0</v>
      </c>
      <c r="DB111" s="539">
        <f>Equity!DB$53</f>
        <v>0</v>
      </c>
      <c r="DC111" s="539">
        <f>Equity!DC$53</f>
        <v>0</v>
      </c>
      <c r="DD111" s="539">
        <f>Equity!DD$53</f>
        <v>0</v>
      </c>
      <c r="DE111" s="539">
        <f>Equity!DE$53</f>
        <v>0</v>
      </c>
      <c r="DF111" s="539">
        <f>Equity!DF$53</f>
        <v>0</v>
      </c>
      <c r="DG111" s="539">
        <f>Equity!DG$53</f>
        <v>0</v>
      </c>
      <c r="DH111" s="539">
        <f>Equity!DH$53</f>
        <v>0</v>
      </c>
      <c r="DI111" s="539">
        <f>Equity!DI$53</f>
        <v>0</v>
      </c>
      <c r="DJ111" s="539">
        <f>Equity!DJ$53</f>
        <v>0</v>
      </c>
      <c r="DK111" s="539">
        <f>Equity!DK$53</f>
        <v>0</v>
      </c>
      <c r="DL111" s="539">
        <f>Equity!DL$53</f>
        <v>0</v>
      </c>
      <c r="DM111" s="539">
        <f>Equity!DM$53</f>
        <v>0</v>
      </c>
      <c r="DN111" s="539">
        <f>Equity!DN$53</f>
        <v>0</v>
      </c>
      <c r="DO111" s="539">
        <f>Equity!DO$53</f>
        <v>0</v>
      </c>
      <c r="DP111" s="539">
        <f>Equity!DP$53</f>
        <v>0</v>
      </c>
      <c r="DQ111" s="539">
        <f>Equity!DQ$53</f>
        <v>0</v>
      </c>
      <c r="DR111" s="539">
        <f>Equity!DR$53</f>
        <v>0</v>
      </c>
      <c r="DS111" s="539">
        <f>Equity!DS$53</f>
        <v>0</v>
      </c>
      <c r="DT111" s="539">
        <f>Equity!DT$53</f>
        <v>0</v>
      </c>
      <c r="DU111" s="539">
        <f>Equity!DU$53</f>
        <v>0</v>
      </c>
      <c r="DV111" s="539">
        <f>Equity!DV$53</f>
        <v>0</v>
      </c>
      <c r="DW111" s="539">
        <f>Equity!DW$53</f>
        <v>0</v>
      </c>
      <c r="DX111" s="539">
        <f>Equity!DX$53</f>
        <v>0</v>
      </c>
      <c r="DY111" s="539">
        <f>Equity!DY$53</f>
        <v>0</v>
      </c>
      <c r="DZ111" s="539">
        <f>Equity!DZ$53</f>
        <v>0</v>
      </c>
      <c r="EA111" s="539">
        <f>Equity!EA$53</f>
        <v>0</v>
      </c>
      <c r="EB111" s="539">
        <f>Equity!EB$53</f>
        <v>0</v>
      </c>
      <c r="EC111" s="539">
        <f>Equity!EC$53</f>
        <v>0</v>
      </c>
      <c r="ED111" s="539">
        <f>Equity!ED$53</f>
        <v>0</v>
      </c>
      <c r="EE111" s="539">
        <f>Equity!EE$53</f>
        <v>0</v>
      </c>
      <c r="EF111" s="539">
        <f>Equity!EF$53</f>
        <v>0</v>
      </c>
      <c r="EG111" s="539">
        <f>Equity!EG$53</f>
        <v>0</v>
      </c>
    </row>
    <row r="112" spans="5:137" ht="12.75">
      <c r="E112" s="538" t="str">
        <f>Equity!E$64</f>
        <v>Shareholder loan - closing balance</v>
      </c>
      <c r="G112" s="539" t="str">
        <f>Equity!G$64</f>
        <v>EUR 000s</v>
      </c>
      <c r="H112" s="539">
        <f>Equity!H$64</f>
        <v>1982209.3275418179</v>
      </c>
      <c r="J112" s="539">
        <f>Equity!J$64</f>
        <v>0</v>
      </c>
      <c r="K112" s="539">
        <f>Equity!K$64</f>
        <v>0</v>
      </c>
      <c r="L112" s="539">
        <f>Equity!L$64</f>
        <v>9055.4397749326417</v>
      </c>
      <c r="M112" s="539">
        <f>Equity!M$64</f>
        <v>19828.091695005383</v>
      </c>
      <c r="N112" s="539">
        <f>Equity!N$64</f>
        <v>30939.160758532307</v>
      </c>
      <c r="O112" s="539">
        <f>Equity!O$64</f>
        <v>41851.875073305215</v>
      </c>
      <c r="P112" s="539">
        <f>Equity!P$64</f>
        <v>53108.507977738744</v>
      </c>
      <c r="Q112" s="539">
        <f>Equity!Q$64</f>
        <v>56550.332750408648</v>
      </c>
      <c r="R112" s="539">
        <f>Equity!R$64</f>
        <v>56875.690829246618</v>
      </c>
      <c r="S112" s="539">
        <f>Equity!S$64</f>
        <v>57213.828498012277</v>
      </c>
      <c r="T112" s="539">
        <f>Equity!T$64</f>
        <v>57543.003949644677</v>
      </c>
      <c r="U112" s="539">
        <f>Equity!U$64</f>
        <v>57885.108932030234</v>
      </c>
      <c r="V112" s="539">
        <f>Equity!V$64</f>
        <v>58229.247798831617</v>
      </c>
      <c r="W112" s="539">
        <f>Equity!W$64</f>
        <v>58553.098135904569</v>
      </c>
      <c r="X112" s="539">
        <f>Equity!X$64</f>
        <v>58901.208335781041</v>
      </c>
      <c r="Y112" s="539">
        <f>Equity!Y$64</f>
        <v>59240.092000178687</v>
      </c>
      <c r="Z112" s="539">
        <f>Equity!Z$64</f>
        <v>59592.286519741392</v>
      </c>
      <c r="AA112" s="539">
        <f>Equity!AA$64</f>
        <v>59935.146250402919</v>
      </c>
      <c r="AB112" s="539">
        <f>Equity!AB$64</f>
        <v>60291.473010302572</v>
      </c>
      <c r="AC112" s="539">
        <f>Equity!AC$64</f>
        <v>60649.918206007656</v>
      </c>
      <c r="AD112" s="539">
        <f>Equity!AD$64</f>
        <v>60998.862940891537</v>
      </c>
      <c r="AE112" s="539">
        <f>Equity!AE$64</f>
        <v>61361.513715088069</v>
      </c>
      <c r="AF112" s="539">
        <f>Equity!AF$64</f>
        <v>61714.552561120079</v>
      </c>
      <c r="AG112" s="539">
        <f>Equity!AG$64</f>
        <v>62081.458257168379</v>
      </c>
      <c r="AH112" s="539">
        <f>Equity!AH$64</f>
        <v>61769.077871355606</v>
      </c>
      <c r="AI112" s="539">
        <f>Equity!AI$64</f>
        <v>59557.542866753516</v>
      </c>
      <c r="AJ112" s="539">
        <f>Equity!AJ$64</f>
        <v>57362.985839563422</v>
      </c>
      <c r="AK112" s="539">
        <f>Equity!AK$64</f>
        <v>55180.048033191357</v>
      </c>
      <c r="AL112" s="539">
        <f>Equity!AL$64</f>
        <v>52817.815182127983</v>
      </c>
      <c r="AM112" s="539">
        <f>Equity!AM$64</f>
        <v>50326.084203872269</v>
      </c>
      <c r="AN112" s="539">
        <f>Equity!AN$64</f>
        <v>47845.21441609368</v>
      </c>
      <c r="AO112" s="539">
        <f>Equity!AO$64</f>
        <v>45371.558411777805</v>
      </c>
      <c r="AP112" s="539">
        <f>Equity!AP$64</f>
        <v>42716.227277735845</v>
      </c>
      <c r="AQ112" s="539">
        <f>Equity!AQ$64</f>
        <v>39922.967795742785</v>
      </c>
      <c r="AR112" s="539">
        <f>Equity!AR$64</f>
        <v>37144.669484579557</v>
      </c>
      <c r="AS112" s="539">
        <f>Equity!AS$64</f>
        <v>34347.398057166916</v>
      </c>
      <c r="AT112" s="539">
        <f>Equity!AT$64</f>
        <v>33106.60538227643</v>
      </c>
      <c r="AU112" s="539">
        <f>Equity!AU$64</f>
        <v>31777.319624505373</v>
      </c>
      <c r="AV112" s="539">
        <f>Equity!AV$64</f>
        <v>30458.129918926981</v>
      </c>
      <c r="AW112" s="539">
        <f>Equity!AW$64</f>
        <v>29172.297305380191</v>
      </c>
      <c r="AX112" s="539">
        <f>Equity!AX$64</f>
        <v>25985.898446283911</v>
      </c>
      <c r="AY112" s="539">
        <f>Equity!AY$64</f>
        <v>22643.916663214375</v>
      </c>
      <c r="AZ112" s="539">
        <f>Equity!AZ$64</f>
        <v>19233.170484658836</v>
      </c>
      <c r="BA112" s="539">
        <f>Equity!BA$64</f>
        <v>15810.762049058863</v>
      </c>
      <c r="BB112" s="539">
        <f>Equity!BB$64</f>
        <v>12307.920256124464</v>
      </c>
      <c r="BC112" s="539">
        <f>Equity!BC$64</f>
        <v>8651.7634543701279</v>
      </c>
      <c r="BD112" s="539">
        <f>Equity!BD$64</f>
        <v>4984.8250078702995</v>
      </c>
      <c r="BE112" s="539">
        <f>Equity!BE$64</f>
        <v>1315.2315389118025</v>
      </c>
      <c r="BF112" s="539">
        <f>Equity!BF$64</f>
        <v>0</v>
      </c>
      <c r="BG112" s="539">
        <f>Equity!BG$64</f>
        <v>0</v>
      </c>
      <c r="BH112" s="539">
        <f>Equity!BH$64</f>
        <v>0</v>
      </c>
      <c r="BI112" s="539">
        <f>Equity!BI$64</f>
        <v>0</v>
      </c>
      <c r="BJ112" s="539">
        <f>Equity!BJ$64</f>
        <v>0</v>
      </c>
      <c r="BK112" s="539">
        <f>Equity!BK$64</f>
        <v>0</v>
      </c>
      <c r="BL112" s="539">
        <f>Equity!BL$64</f>
        <v>0</v>
      </c>
      <c r="BM112" s="539">
        <f>Equity!BM$64</f>
        <v>0</v>
      </c>
      <c r="BN112" s="539">
        <f>Equity!BN$64</f>
        <v>0</v>
      </c>
      <c r="BO112" s="539">
        <f>Equity!BO$64</f>
        <v>0</v>
      </c>
      <c r="BP112" s="539">
        <f>Equity!BP$64</f>
        <v>0</v>
      </c>
      <c r="BQ112" s="539">
        <f>Equity!BQ$64</f>
        <v>0</v>
      </c>
      <c r="BR112" s="539">
        <f>Equity!BR$64</f>
        <v>0</v>
      </c>
      <c r="BS112" s="539">
        <f>Equity!BS$64</f>
        <v>0</v>
      </c>
      <c r="BT112" s="539">
        <f>Equity!BT$64</f>
        <v>0</v>
      </c>
      <c r="BU112" s="539">
        <f>Equity!BU$64</f>
        <v>0</v>
      </c>
      <c r="BV112" s="539">
        <f>Equity!BV$64</f>
        <v>0</v>
      </c>
      <c r="BW112" s="539">
        <f>Equity!BW$64</f>
        <v>0</v>
      </c>
      <c r="BX112" s="539">
        <f>Equity!BX$64</f>
        <v>0</v>
      </c>
      <c r="BY112" s="539">
        <f>Equity!BY$64</f>
        <v>0</v>
      </c>
      <c r="BZ112" s="539">
        <f>Equity!BZ$64</f>
        <v>0</v>
      </c>
      <c r="CA112" s="539">
        <f>Equity!CA$64</f>
        <v>0</v>
      </c>
      <c r="CB112" s="539">
        <f>Equity!CB$64</f>
        <v>0</v>
      </c>
      <c r="CC112" s="539">
        <f>Equity!CC$64</f>
        <v>0</v>
      </c>
      <c r="CD112" s="539">
        <f>Equity!CD$64</f>
        <v>0</v>
      </c>
      <c r="CE112" s="539">
        <f>Equity!CE$64</f>
        <v>0</v>
      </c>
      <c r="CF112" s="539">
        <f>Equity!CF$64</f>
        <v>0</v>
      </c>
      <c r="CG112" s="539">
        <f>Equity!CG$64</f>
        <v>0</v>
      </c>
      <c r="CH112" s="539">
        <f>Equity!CH$64</f>
        <v>0</v>
      </c>
      <c r="CI112" s="539">
        <f>Equity!CI$64</f>
        <v>0</v>
      </c>
      <c r="CJ112" s="539">
        <f>Equity!CJ$64</f>
        <v>0</v>
      </c>
      <c r="CK112" s="539">
        <f>Equity!CK$64</f>
        <v>0</v>
      </c>
      <c r="CL112" s="539">
        <f>Equity!CL$64</f>
        <v>0</v>
      </c>
      <c r="CM112" s="539">
        <f>Equity!CM$64</f>
        <v>0</v>
      </c>
      <c r="CN112" s="539">
        <f>Equity!CN$64</f>
        <v>0</v>
      </c>
      <c r="CO112" s="539">
        <f>Equity!CO$64</f>
        <v>0</v>
      </c>
      <c r="CP112" s="539">
        <f>Equity!CP$64</f>
        <v>0</v>
      </c>
      <c r="CQ112" s="539">
        <f>Equity!CQ$64</f>
        <v>0</v>
      </c>
      <c r="CR112" s="539">
        <f>Equity!CR$64</f>
        <v>0</v>
      </c>
      <c r="CS112" s="539">
        <f>Equity!CS$64</f>
        <v>0</v>
      </c>
      <c r="CT112" s="539">
        <f>Equity!CT$64</f>
        <v>0</v>
      </c>
      <c r="CU112" s="539">
        <f>Equity!CU$64</f>
        <v>0</v>
      </c>
      <c r="CV112" s="539">
        <f>Equity!CV$64</f>
        <v>0</v>
      </c>
      <c r="CW112" s="539">
        <f>Equity!CW$64</f>
        <v>0</v>
      </c>
      <c r="CX112" s="539">
        <f>Equity!CX$64</f>
        <v>0</v>
      </c>
      <c r="CY112" s="539">
        <f>Equity!CY$64</f>
        <v>0</v>
      </c>
      <c r="CZ112" s="539">
        <f>Equity!CZ$64</f>
        <v>0</v>
      </c>
      <c r="DA112" s="539">
        <f>Equity!DA$64</f>
        <v>0</v>
      </c>
      <c r="DB112" s="539">
        <f>Equity!DB$64</f>
        <v>0</v>
      </c>
      <c r="DC112" s="539">
        <f>Equity!DC$64</f>
        <v>0</v>
      </c>
      <c r="DD112" s="539">
        <f>Equity!DD$64</f>
        <v>0</v>
      </c>
      <c r="DE112" s="539">
        <f>Equity!DE$64</f>
        <v>0</v>
      </c>
      <c r="DF112" s="539">
        <f>Equity!DF$64</f>
        <v>0</v>
      </c>
      <c r="DG112" s="539">
        <f>Equity!DG$64</f>
        <v>0</v>
      </c>
      <c r="DH112" s="539">
        <f>Equity!DH$64</f>
        <v>0</v>
      </c>
      <c r="DI112" s="539">
        <f>Equity!DI$64</f>
        <v>0</v>
      </c>
      <c r="DJ112" s="539">
        <f>Equity!DJ$64</f>
        <v>0</v>
      </c>
      <c r="DK112" s="539">
        <f>Equity!DK$64</f>
        <v>0</v>
      </c>
      <c r="DL112" s="539">
        <f>Equity!DL$64</f>
        <v>0</v>
      </c>
      <c r="DM112" s="539">
        <f>Equity!DM$64</f>
        <v>0</v>
      </c>
      <c r="DN112" s="539">
        <f>Equity!DN$64</f>
        <v>0</v>
      </c>
      <c r="DO112" s="539">
        <f>Equity!DO$64</f>
        <v>0</v>
      </c>
      <c r="DP112" s="539">
        <f>Equity!DP$64</f>
        <v>0</v>
      </c>
      <c r="DQ112" s="539">
        <f>Equity!DQ$64</f>
        <v>0</v>
      </c>
      <c r="DR112" s="539">
        <f>Equity!DR$64</f>
        <v>0</v>
      </c>
      <c r="DS112" s="539">
        <f>Equity!DS$64</f>
        <v>0</v>
      </c>
      <c r="DT112" s="539">
        <f>Equity!DT$64</f>
        <v>0</v>
      </c>
      <c r="DU112" s="539">
        <f>Equity!DU$64</f>
        <v>0</v>
      </c>
      <c r="DV112" s="539">
        <f>Equity!DV$64</f>
        <v>0</v>
      </c>
      <c r="DW112" s="539">
        <f>Equity!DW$64</f>
        <v>0</v>
      </c>
      <c r="DX112" s="539">
        <f>Equity!DX$64</f>
        <v>0</v>
      </c>
      <c r="DY112" s="539">
        <f>Equity!DY$64</f>
        <v>0</v>
      </c>
      <c r="DZ112" s="539">
        <f>Equity!DZ$64</f>
        <v>0</v>
      </c>
      <c r="EA112" s="539">
        <f>Equity!EA$64</f>
        <v>0</v>
      </c>
      <c r="EB112" s="539">
        <f>Equity!EB$64</f>
        <v>0</v>
      </c>
      <c r="EC112" s="539">
        <f>Equity!EC$64</f>
        <v>0</v>
      </c>
      <c r="ED112" s="539">
        <f>Equity!ED$64</f>
        <v>0</v>
      </c>
      <c r="EE112" s="539">
        <f>Equity!EE$64</f>
        <v>0</v>
      </c>
      <c r="EF112" s="539">
        <f>Equity!EF$64</f>
        <v>0</v>
      </c>
      <c r="EG112" s="539">
        <f>Equity!EG$64</f>
        <v>0</v>
      </c>
    </row>
    <row r="113" spans="5:137" ht="12.75">
      <c r="E113" s="551" t="s">
        <v>535</v>
      </c>
      <c r="F113" s="552"/>
      <c r="G113" s="552" t="s">
        <v>30</v>
      </c>
      <c r="H113" s="552">
        <f>SUM(J113:EG113)</f>
        <v>1982209.3275418179</v>
      </c>
      <c r="I113" s="552"/>
      <c r="J113" s="552">
        <f t="shared" si="21" ref="J113:EG113">J112+J111</f>
        <v>0</v>
      </c>
      <c r="K113" s="552">
        <f t="shared" si="21"/>
        <v>0</v>
      </c>
      <c r="L113" s="552">
        <f t="shared" si="21"/>
        <v>9055.4397749326417</v>
      </c>
      <c r="M113" s="552">
        <f t="shared" si="21"/>
        <v>19828.091695005383</v>
      </c>
      <c r="N113" s="552">
        <f t="shared" si="21"/>
        <v>30939.160758532307</v>
      </c>
      <c r="O113" s="552">
        <f t="shared" si="21"/>
        <v>41851.875073305215</v>
      </c>
      <c r="P113" s="552">
        <f t="shared" si="21"/>
        <v>53108.507977738744</v>
      </c>
      <c r="Q113" s="552">
        <f t="shared" si="21"/>
        <v>56550.332750408648</v>
      </c>
      <c r="R113" s="552">
        <f t="shared" si="21"/>
        <v>56875.690829246618</v>
      </c>
      <c r="S113" s="552">
        <f t="shared" si="21"/>
        <v>57213.828498012277</v>
      </c>
      <c r="T113" s="552">
        <f t="shared" si="21"/>
        <v>57543.003949644677</v>
      </c>
      <c r="U113" s="552">
        <f t="shared" si="21"/>
        <v>57885.108932030234</v>
      </c>
      <c r="V113" s="552">
        <f t="shared" si="21"/>
        <v>58229.247798831617</v>
      </c>
      <c r="W113" s="552">
        <f t="shared" si="21"/>
        <v>58553.098135904569</v>
      </c>
      <c r="X113" s="552">
        <f t="shared" si="21"/>
        <v>58901.208335781041</v>
      </c>
      <c r="Y113" s="552">
        <f t="shared" si="21"/>
        <v>59240.092000178687</v>
      </c>
      <c r="Z113" s="552">
        <f t="shared" si="21"/>
        <v>59592.286519741392</v>
      </c>
      <c r="AA113" s="552">
        <f t="shared" si="21"/>
        <v>59935.146250402919</v>
      </c>
      <c r="AB113" s="552">
        <f t="shared" si="21"/>
        <v>60291.473010302572</v>
      </c>
      <c r="AC113" s="552">
        <f t="shared" si="21"/>
        <v>60649.918206007656</v>
      </c>
      <c r="AD113" s="552">
        <f t="shared" si="21"/>
        <v>60998.862940891537</v>
      </c>
      <c r="AE113" s="552">
        <f t="shared" si="21"/>
        <v>61361.513715088069</v>
      </c>
      <c r="AF113" s="552">
        <f t="shared" si="21"/>
        <v>61714.552561120079</v>
      </c>
      <c r="AG113" s="552">
        <f t="shared" si="21"/>
        <v>62081.458257168379</v>
      </c>
      <c r="AH113" s="552">
        <f t="shared" si="21"/>
        <v>61769.077871355606</v>
      </c>
      <c r="AI113" s="552">
        <f t="shared" si="21"/>
        <v>59557.542866753516</v>
      </c>
      <c r="AJ113" s="552">
        <f t="shared" si="21"/>
        <v>57362.985839563422</v>
      </c>
      <c r="AK113" s="552">
        <f t="shared" si="21"/>
        <v>55180.048033191357</v>
      </c>
      <c r="AL113" s="552">
        <f t="shared" si="21"/>
        <v>52817.815182127983</v>
      </c>
      <c r="AM113" s="552">
        <f t="shared" si="21"/>
        <v>50326.084203872269</v>
      </c>
      <c r="AN113" s="552">
        <f t="shared" si="21"/>
        <v>47845.21441609368</v>
      </c>
      <c r="AO113" s="552">
        <f t="shared" si="21"/>
        <v>45371.558411777805</v>
      </c>
      <c r="AP113" s="552">
        <f t="shared" si="21"/>
        <v>42716.227277735845</v>
      </c>
      <c r="AQ113" s="552">
        <f t="shared" si="21"/>
        <v>39922.967795742785</v>
      </c>
      <c r="AR113" s="552">
        <f t="shared" si="21"/>
        <v>37144.669484579557</v>
      </c>
      <c r="AS113" s="552">
        <f t="shared" si="21"/>
        <v>34347.398057166916</v>
      </c>
      <c r="AT113" s="552">
        <f t="shared" si="21"/>
        <v>33106.60538227643</v>
      </c>
      <c r="AU113" s="552">
        <f t="shared" si="21"/>
        <v>31777.319624505373</v>
      </c>
      <c r="AV113" s="552">
        <f t="shared" si="21"/>
        <v>30458.129918926981</v>
      </c>
      <c r="AW113" s="552">
        <f t="shared" si="21"/>
        <v>29172.297305380191</v>
      </c>
      <c r="AX113" s="552">
        <f t="shared" si="21"/>
        <v>25985.898446283911</v>
      </c>
      <c r="AY113" s="552">
        <f t="shared" si="21"/>
        <v>22643.916663214375</v>
      </c>
      <c r="AZ113" s="552">
        <f t="shared" si="21"/>
        <v>19233.170484658836</v>
      </c>
      <c r="BA113" s="552">
        <f t="shared" si="21"/>
        <v>15810.762049058863</v>
      </c>
      <c r="BB113" s="552">
        <f t="shared" si="21"/>
        <v>12307.920256124464</v>
      </c>
      <c r="BC113" s="552">
        <f t="shared" si="21"/>
        <v>8651.7634543701279</v>
      </c>
      <c r="BD113" s="552">
        <f t="shared" si="21"/>
        <v>4984.8250078702995</v>
      </c>
      <c r="BE113" s="552">
        <f t="shared" si="21"/>
        <v>1315.2315389118025</v>
      </c>
      <c r="BF113" s="552">
        <f t="shared" si="21"/>
        <v>0</v>
      </c>
      <c r="BG113" s="552">
        <f t="shared" si="21"/>
        <v>0</v>
      </c>
      <c r="BH113" s="552">
        <f t="shared" si="21"/>
        <v>0</v>
      </c>
      <c r="BI113" s="552">
        <f t="shared" si="21"/>
        <v>0</v>
      </c>
      <c r="BJ113" s="552">
        <f t="shared" si="21"/>
        <v>0</v>
      </c>
      <c r="BK113" s="552">
        <f t="shared" si="21"/>
        <v>0</v>
      </c>
      <c r="BL113" s="552">
        <f t="shared" si="21"/>
        <v>0</v>
      </c>
      <c r="BM113" s="552">
        <f t="shared" si="21"/>
        <v>0</v>
      </c>
      <c r="BN113" s="552">
        <f t="shared" si="21"/>
        <v>0</v>
      </c>
      <c r="BO113" s="552">
        <f t="shared" si="21"/>
        <v>0</v>
      </c>
      <c r="BP113" s="552">
        <f t="shared" si="21"/>
        <v>0</v>
      </c>
      <c r="BQ113" s="552">
        <f t="shared" si="21"/>
        <v>0</v>
      </c>
      <c r="BR113" s="552">
        <f t="shared" si="21"/>
        <v>0</v>
      </c>
      <c r="BS113" s="552">
        <f t="shared" si="21"/>
        <v>0</v>
      </c>
      <c r="BT113" s="552">
        <f t="shared" si="21"/>
        <v>0</v>
      </c>
      <c r="BU113" s="552">
        <f t="shared" si="21"/>
        <v>0</v>
      </c>
      <c r="BV113" s="552">
        <f t="shared" si="21"/>
        <v>0</v>
      </c>
      <c r="BW113" s="552">
        <f t="shared" si="21"/>
        <v>0</v>
      </c>
      <c r="BX113" s="552">
        <f t="shared" si="21"/>
        <v>0</v>
      </c>
      <c r="BY113" s="552">
        <f t="shared" si="21"/>
        <v>0</v>
      </c>
      <c r="BZ113" s="552">
        <f t="shared" si="21"/>
        <v>0</v>
      </c>
      <c r="CA113" s="552">
        <f t="shared" si="21"/>
        <v>0</v>
      </c>
      <c r="CB113" s="552">
        <f t="shared" si="21"/>
        <v>0</v>
      </c>
      <c r="CC113" s="552">
        <f t="shared" si="21"/>
        <v>0</v>
      </c>
      <c r="CD113" s="552">
        <f t="shared" si="21"/>
        <v>0</v>
      </c>
      <c r="CE113" s="552">
        <f t="shared" si="21"/>
        <v>0</v>
      </c>
      <c r="CF113" s="552">
        <f t="shared" si="21"/>
        <v>0</v>
      </c>
      <c r="CG113" s="552">
        <f t="shared" si="21"/>
        <v>0</v>
      </c>
      <c r="CH113" s="552">
        <f t="shared" si="21"/>
        <v>0</v>
      </c>
      <c r="CI113" s="552">
        <f t="shared" si="21"/>
        <v>0</v>
      </c>
      <c r="CJ113" s="552">
        <f t="shared" si="21"/>
        <v>0</v>
      </c>
      <c r="CK113" s="552">
        <f t="shared" si="21"/>
        <v>0</v>
      </c>
      <c r="CL113" s="552">
        <f t="shared" si="21"/>
        <v>0</v>
      </c>
      <c r="CM113" s="552">
        <f t="shared" si="21"/>
        <v>0</v>
      </c>
      <c r="CN113" s="552">
        <f t="shared" si="21"/>
        <v>0</v>
      </c>
      <c r="CO113" s="552">
        <f t="shared" si="21"/>
        <v>0</v>
      </c>
      <c r="CP113" s="552">
        <f t="shared" si="21"/>
        <v>0</v>
      </c>
      <c r="CQ113" s="552">
        <f t="shared" si="21"/>
        <v>0</v>
      </c>
      <c r="CR113" s="552">
        <f t="shared" si="21"/>
        <v>0</v>
      </c>
      <c r="CS113" s="552">
        <f t="shared" si="21"/>
        <v>0</v>
      </c>
      <c r="CT113" s="552">
        <f t="shared" si="21"/>
        <v>0</v>
      </c>
      <c r="CU113" s="552">
        <f t="shared" si="21"/>
        <v>0</v>
      </c>
      <c r="CV113" s="552">
        <f t="shared" si="21"/>
        <v>0</v>
      </c>
      <c r="CW113" s="552">
        <f t="shared" si="21"/>
        <v>0</v>
      </c>
      <c r="CX113" s="552">
        <f t="shared" si="21"/>
        <v>0</v>
      </c>
      <c r="CY113" s="552">
        <f t="shared" si="21"/>
        <v>0</v>
      </c>
      <c r="CZ113" s="552">
        <f t="shared" si="21"/>
        <v>0</v>
      </c>
      <c r="DA113" s="552">
        <f t="shared" si="21"/>
        <v>0</v>
      </c>
      <c r="DB113" s="552">
        <f t="shared" si="21"/>
        <v>0</v>
      </c>
      <c r="DC113" s="552">
        <f t="shared" si="21"/>
        <v>0</v>
      </c>
      <c r="DD113" s="552">
        <f t="shared" si="21"/>
        <v>0</v>
      </c>
      <c r="DE113" s="552">
        <f t="shared" si="21"/>
        <v>0</v>
      </c>
      <c r="DF113" s="552">
        <f t="shared" si="21"/>
        <v>0</v>
      </c>
      <c r="DG113" s="552">
        <f t="shared" si="21"/>
        <v>0</v>
      </c>
      <c r="DH113" s="552">
        <f t="shared" si="21"/>
        <v>0</v>
      </c>
      <c r="DI113" s="552">
        <f t="shared" si="21"/>
        <v>0</v>
      </c>
      <c r="DJ113" s="552">
        <f t="shared" si="21"/>
        <v>0</v>
      </c>
      <c r="DK113" s="552">
        <f t="shared" si="21"/>
        <v>0</v>
      </c>
      <c r="DL113" s="552">
        <f t="shared" si="21"/>
        <v>0</v>
      </c>
      <c r="DM113" s="552">
        <f t="shared" si="21"/>
        <v>0</v>
      </c>
      <c r="DN113" s="552">
        <f t="shared" si="21"/>
        <v>0</v>
      </c>
      <c r="DO113" s="552">
        <f t="shared" si="21"/>
        <v>0</v>
      </c>
      <c r="DP113" s="552">
        <f t="shared" si="21"/>
        <v>0</v>
      </c>
      <c r="DQ113" s="552">
        <f t="shared" si="21"/>
        <v>0</v>
      </c>
      <c r="DR113" s="552">
        <f t="shared" si="21"/>
        <v>0</v>
      </c>
      <c r="DS113" s="552">
        <f t="shared" si="21"/>
        <v>0</v>
      </c>
      <c r="DT113" s="552">
        <f t="shared" si="21"/>
        <v>0</v>
      </c>
      <c r="DU113" s="552">
        <f t="shared" si="21"/>
        <v>0</v>
      </c>
      <c r="DV113" s="552">
        <f t="shared" si="21"/>
        <v>0</v>
      </c>
      <c r="DW113" s="552">
        <f t="shared" si="21"/>
        <v>0</v>
      </c>
      <c r="DX113" s="552">
        <f t="shared" si="21"/>
        <v>0</v>
      </c>
      <c r="DY113" s="552">
        <f t="shared" si="21"/>
        <v>0</v>
      </c>
      <c r="DZ113" s="552">
        <f t="shared" si="21"/>
        <v>0</v>
      </c>
      <c r="EA113" s="552">
        <f t="shared" si="21"/>
        <v>0</v>
      </c>
      <c r="EB113" s="552">
        <f t="shared" si="21"/>
        <v>0</v>
      </c>
      <c r="EC113" s="552">
        <f t="shared" si="21"/>
        <v>0</v>
      </c>
      <c r="ED113" s="552">
        <f t="shared" si="21"/>
        <v>0</v>
      </c>
      <c r="EE113" s="552">
        <f t="shared" si="21"/>
        <v>0</v>
      </c>
      <c r="EF113" s="552">
        <f t="shared" si="21"/>
        <v>0</v>
      </c>
      <c r="EG113" s="552">
        <f t="shared" si="21"/>
        <v>0</v>
      </c>
    </row>
    <row r="115" spans="5:137" ht="12.75">
      <c r="E115" s="538" t="str">
        <f>Ops!E$121</f>
        <v>Payables - closing balance</v>
      </c>
      <c r="G115" s="539" t="str">
        <f>Ops!G$121</f>
        <v>EUR 000s</v>
      </c>
      <c r="H115" s="539">
        <f>Ops!H$121</f>
        <v>318446.08117995952</v>
      </c>
      <c r="J115" s="539">
        <f>Ops!J$121</f>
        <v>0</v>
      </c>
      <c r="K115" s="539">
        <f>Ops!K$121</f>
        <v>0</v>
      </c>
      <c r="L115" s="539">
        <f>Ops!L$121</f>
        <v>0</v>
      </c>
      <c r="M115" s="539">
        <f>Ops!M$121</f>
        <v>0</v>
      </c>
      <c r="N115" s="539">
        <f>Ops!N$121</f>
        <v>0</v>
      </c>
      <c r="O115" s="539">
        <f>Ops!O$121</f>
        <v>0</v>
      </c>
      <c r="P115" s="539">
        <f>Ops!P$121</f>
        <v>0</v>
      </c>
      <c r="Q115" s="539">
        <f>Ops!Q$121</f>
        <v>0</v>
      </c>
      <c r="R115" s="539">
        <f>Ops!R$121</f>
        <v>0</v>
      </c>
      <c r="S115" s="539">
        <f>Ops!S$121</f>
        <v>0</v>
      </c>
      <c r="T115" s="539">
        <f>Ops!T$121</f>
        <v>0</v>
      </c>
      <c r="U115" s="539">
        <f>Ops!U$121</f>
        <v>0</v>
      </c>
      <c r="V115" s="539">
        <f>Ops!V$121</f>
        <v>0</v>
      </c>
      <c r="W115" s="539">
        <f>Ops!W$121</f>
        <v>0</v>
      </c>
      <c r="X115" s="539">
        <f>Ops!X$121</f>
        <v>0</v>
      </c>
      <c r="Y115" s="539">
        <f>Ops!Y$121</f>
        <v>0</v>
      </c>
      <c r="Z115" s="539">
        <f>Ops!Z$121</f>
        <v>0</v>
      </c>
      <c r="AA115" s="539">
        <f>Ops!AA$121</f>
        <v>0</v>
      </c>
      <c r="AB115" s="539">
        <f>Ops!AB$121</f>
        <v>0</v>
      </c>
      <c r="AC115" s="539">
        <f>Ops!AC$121</f>
        <v>0</v>
      </c>
      <c r="AD115" s="539">
        <f>Ops!AD$121</f>
        <v>0</v>
      </c>
      <c r="AE115" s="539">
        <f>Ops!AE$121</f>
        <v>0</v>
      </c>
      <c r="AF115" s="539">
        <f>Ops!AF$121</f>
        <v>0</v>
      </c>
      <c r="AG115" s="539">
        <f>Ops!AG$121</f>
        <v>0</v>
      </c>
      <c r="AH115" s="539">
        <f>Ops!AH$121</f>
        <v>2325.9327083333333</v>
      </c>
      <c r="AI115" s="539">
        <f>Ops!AI$121</f>
        <v>2300.3730082417578</v>
      </c>
      <c r="AJ115" s="539">
        <f>Ops!AJ$121</f>
        <v>2275.3689538043477</v>
      </c>
      <c r="AK115" s="539">
        <f>Ops!AK$121</f>
        <v>2275.3689538043477</v>
      </c>
      <c r="AL115" s="539">
        <f>Ops!AL$121</f>
        <v>2387.0469093750003</v>
      </c>
      <c r="AM115" s="539">
        <f>Ops!AM$121</f>
        <v>2360.8156246565936</v>
      </c>
      <c r="AN115" s="539">
        <f>Ops!AN$121</f>
        <v>2335.1545852581521</v>
      </c>
      <c r="AO115" s="539">
        <f>Ops!AO$121</f>
        <v>2335.1545852581521</v>
      </c>
      <c r="AP115" s="539">
        <f>Ops!AP$121</f>
        <v>2449.7591539427081</v>
      </c>
      <c r="AQ115" s="539">
        <f>Ops!AQ$121</f>
        <v>2422.8387236796016</v>
      </c>
      <c r="AR115" s="539">
        <f>Ops!AR$121</f>
        <v>2396.503520161345</v>
      </c>
      <c r="AS115" s="539">
        <f>Ops!AS$121</f>
        <v>2396.503520161345</v>
      </c>
      <c r="AT115" s="539">
        <f>Ops!AT$121</f>
        <v>2486.4845172721407</v>
      </c>
      <c r="AU115" s="539">
        <f>Ops!AU$121</f>
        <v>2486.4845172721407</v>
      </c>
      <c r="AV115" s="539">
        <f>Ops!AV$121</f>
        <v>2459.4575116496176</v>
      </c>
      <c r="AW115" s="539">
        <f>Ops!AW$121</f>
        <v>2459.4575116496176</v>
      </c>
      <c r="AX115" s="539">
        <f>Ops!AX$121</f>
        <v>2580.1496589950834</v>
      </c>
      <c r="AY115" s="539">
        <f>Ops!AY$121</f>
        <v>2551.7963660390933</v>
      </c>
      <c r="AZ115" s="539">
        <f>Ops!AZ$121</f>
        <v>2524.0594490169292</v>
      </c>
      <c r="BA115" s="539">
        <f>Ops!BA$121</f>
        <v>2524.0594490169292</v>
      </c>
      <c r="BB115" s="539">
        <f>Ops!BB$121</f>
        <v>2647.9167977810389</v>
      </c>
      <c r="BC115" s="539">
        <f>Ops!BC$121</f>
        <v>2618.8188109922366</v>
      </c>
      <c r="BD115" s="539">
        <f>Ops!BD$121</f>
        <v>2590.3533891336251</v>
      </c>
      <c r="BE115" s="539">
        <f>Ops!BE$121</f>
        <v>2590.3533891336251</v>
      </c>
      <c r="BF115" s="539">
        <f>Ops!BF$121</f>
        <v>2717.4598018285537</v>
      </c>
      <c r="BG115" s="539">
        <f>Ops!BG$121</f>
        <v>2687.597606204064</v>
      </c>
      <c r="BH115" s="539">
        <f>Ops!BH$121</f>
        <v>2658.3845887453244</v>
      </c>
      <c r="BI115" s="539">
        <f>Ops!BI$121</f>
        <v>2658.3845887453244</v>
      </c>
      <c r="BJ115" s="539">
        <f>Ops!BJ$121</f>
        <v>2758.1797523772948</v>
      </c>
      <c r="BK115" s="539">
        <f>Ops!BK$121</f>
        <v>2758.1797523772948</v>
      </c>
      <c r="BL115" s="539">
        <f>Ops!BL$121</f>
        <v>2728.1995376775417</v>
      </c>
      <c r="BM115" s="539">
        <f>Ops!BM$121</f>
        <v>2728.1995376775417</v>
      </c>
      <c r="BN115" s="539">
        <f>Ops!BN$121</f>
        <v>2862.0647928155563</v>
      </c>
      <c r="BO115" s="539">
        <f>Ops!BO$121</f>
        <v>2830.6135313560449</v>
      </c>
      <c r="BP115" s="539">
        <f>Ops!BP$121</f>
        <v>2799.8459929717401</v>
      </c>
      <c r="BQ115" s="539">
        <f>Ops!BQ$121</f>
        <v>2799.8459929717401</v>
      </c>
      <c r="BR115" s="539">
        <f>Ops!BR$121</f>
        <v>2937.225747623228</v>
      </c>
      <c r="BS115" s="539">
        <f>Ops!BS$121</f>
        <v>2904.9485416053903</v>
      </c>
      <c r="BT115" s="539">
        <f>Ops!BT$121</f>
        <v>2873.3730139792447</v>
      </c>
      <c r="BU115" s="539">
        <f>Ops!BU$121</f>
        <v>2873.3730139792447</v>
      </c>
      <c r="BV115" s="539">
        <f>Ops!BV$121</f>
        <v>3014.3605761833096</v>
      </c>
      <c r="BW115" s="539">
        <f>Ops!BW$121</f>
        <v>2981.2357346867898</v>
      </c>
      <c r="BX115" s="539">
        <f>Ops!BX$121</f>
        <v>2948.830998440194</v>
      </c>
      <c r="BY115" s="539">
        <f>Ops!BY$121</f>
        <v>2948.830998440194</v>
      </c>
      <c r="BZ115" s="539">
        <f>Ops!BZ$121</f>
        <v>3059.5274527576462</v>
      </c>
      <c r="CA115" s="539">
        <f>Ops!CA$121</f>
        <v>3059.5274527576462</v>
      </c>
      <c r="CB115" s="539">
        <f>Ops!CB$121</f>
        <v>3026.2717195754976</v>
      </c>
      <c r="CC115" s="539">
        <f>Ops!CC$121</f>
        <v>3026.2717195754976</v>
      </c>
      <c r="CD115" s="539">
        <f>Ops!CD$121</f>
        <v>3174.7649945365697</v>
      </c>
      <c r="CE115" s="539">
        <f>Ops!CE$121</f>
        <v>3139.8774671240799</v>
      </c>
      <c r="CF115" s="539">
        <f>Ops!CF$121</f>
        <v>3105.7483642205575</v>
      </c>
      <c r="CG115" s="539">
        <f>Ops!CG$121</f>
        <v>3105.7483642205575</v>
      </c>
      <c r="CH115" s="539">
        <f>Ops!CH$121</f>
        <v>3258.1448069643579</v>
      </c>
      <c r="CI115" s="539">
        <f>Ops!CI$121</f>
        <v>3222.3410178768372</v>
      </c>
      <c r="CJ115" s="539">
        <f>Ops!CJ$121</f>
        <v>3187.3155720303503</v>
      </c>
      <c r="CK115" s="539">
        <f>Ops!CK$121</f>
        <v>3187.3155720303503</v>
      </c>
      <c r="CL115" s="539">
        <f>Ops!CL$121</f>
        <v>3343.7190196926649</v>
      </c>
      <c r="CM115" s="539">
        <f>Ops!CM$121</f>
        <v>3306.974854641097</v>
      </c>
      <c r="CN115" s="539">
        <f>Ops!CN$121</f>
        <v>3271.0294757863026</v>
      </c>
      <c r="CO115" s="539">
        <f>Ops!CO$121</f>
        <v>3271.0294757863026</v>
      </c>
      <c r="CP115" s="539">
        <f>Ops!CP$121</f>
        <v>3393.8372784718226</v>
      </c>
      <c r="CQ115" s="539">
        <f>Ops!CQ$121</f>
        <v>3393.8372784718226</v>
      </c>
      <c r="CR115" s="539">
        <f>Ops!CR$121</f>
        <v>3356.9477428362593</v>
      </c>
      <c r="CS115" s="539">
        <f>Ops!CS$121</f>
        <v>3356.9477428362593</v>
      </c>
      <c r="CT115" s="539">
        <f>Ops!CT$121</f>
        <v>3521.6880536486583</v>
      </c>
      <c r="CU115" s="539">
        <f>Ops!CU$121</f>
        <v>3482.9881849272442</v>
      </c>
      <c r="CV115" s="539">
        <f>Ops!CV$121</f>
        <v>3445.1296176997744</v>
      </c>
      <c r="CW115" s="539">
        <f>Ops!CW$121</f>
        <v>3445.1296176997744</v>
      </c>
      <c r="CX115" s="539">
        <f>Ops!CX$121</f>
        <v>3614.2056540023123</v>
      </c>
      <c r="CY115" s="539">
        <f>Ops!CY$121</f>
        <v>3574.4891083539351</v>
      </c>
      <c r="CZ115" s="539">
        <f>Ops!CZ$121</f>
        <v>3535.635965871827</v>
      </c>
      <c r="DA115" s="539">
        <f>Ops!DA$121</f>
        <v>3535.635965871827</v>
      </c>
      <c r="DB115" s="539">
        <f>Ops!DB$121</f>
        <v>3709.1633037226075</v>
      </c>
      <c r="DC115" s="539">
        <f>Ops!DC$121</f>
        <v>3668.4032674179634</v>
      </c>
      <c r="DD115" s="539">
        <f>Ops!DD$121</f>
        <v>3628.5293188590726</v>
      </c>
      <c r="DE115" s="539">
        <f>Ops!DE$121</f>
        <v>3628.5293188590726</v>
      </c>
      <c r="DF115" s="539">
        <f>Ops!DF$121</f>
        <v>3764.7956119175537</v>
      </c>
      <c r="DG115" s="539">
        <f>Ops!DG$121</f>
        <v>3764.7956119175537</v>
      </c>
      <c r="DH115" s="539">
        <f>Ops!DH$121</f>
        <v>3723.873920483667</v>
      </c>
      <c r="DI115" s="539">
        <f>Ops!DI$121</f>
        <v>3723.873920483667</v>
      </c>
      <c r="DJ115" s="539">
        <f>Ops!DJ$121</f>
        <v>3906.6632361460943</v>
      </c>
      <c r="DK115" s="539">
        <f>Ops!DK$121</f>
        <v>3863.7328709137196</v>
      </c>
      <c r="DL115" s="539">
        <f>Ops!DL$121</f>
        <v>3821.7357744907445</v>
      </c>
      <c r="DM115" s="539">
        <f>Ops!DM$121</f>
        <v>3821.7357744907445</v>
      </c>
      <c r="DN115" s="539">
        <f>Ops!DN$121</f>
        <v>4009.3423089076718</v>
      </c>
      <c r="DO115" s="539">
        <f>Ops!DO$121</f>
        <v>3965.2836022163788</v>
      </c>
      <c r="DP115" s="539">
        <f>Ops!DP$121</f>
        <v>3922.1826934966357</v>
      </c>
      <c r="DQ115" s="539">
        <f>Ops!DQ$121</f>
        <v>3922.1826934966357</v>
      </c>
      <c r="DR115" s="539">
        <f>Ops!DR$121</f>
        <v>4114.7351126341509</v>
      </c>
      <c r="DS115" s="539">
        <f>Ops!DS$121</f>
        <v>4069.5182432645443</v>
      </c>
      <c r="DT115" s="539">
        <f>Ops!DT$121</f>
        <v>4025.2843493160167</v>
      </c>
      <c r="DU115" s="539">
        <f>Ops!DU$121</f>
        <v>4025.2843493160167</v>
      </c>
      <c r="DV115" s="539">
        <f>Ops!DV$121</f>
        <v>4176.5091634402715</v>
      </c>
      <c r="DW115" s="539">
        <f>Ops!DW$121</f>
        <v>4176.5091634402715</v>
      </c>
      <c r="DX115" s="539">
        <f>Ops!DX$121</f>
        <v>4131.1123247072255</v>
      </c>
      <c r="DY115" s="539">
        <f>Ops!DY$121</f>
        <v>4131.1123247072255</v>
      </c>
      <c r="DZ115" s="539">
        <f>Ops!DZ$121</f>
        <v>4333.9566147222904</v>
      </c>
      <c r="EA115" s="539">
        <f>Ops!EA$121</f>
        <v>4286.3307178572104</v>
      </c>
      <c r="EB115" s="539">
        <f>Ops!EB$121</f>
        <v>4239.7401665761536</v>
      </c>
      <c r="EC115" s="539">
        <f>Ops!EC$121</f>
        <v>4239.7401665761536</v>
      </c>
      <c r="ED115" s="539">
        <f>Ops!ED$121</f>
        <v>0</v>
      </c>
      <c r="EE115" s="539">
        <f>Ops!EE$121</f>
        <v>0</v>
      </c>
      <c r="EF115" s="539">
        <f>Ops!EF$121</f>
        <v>0</v>
      </c>
      <c r="EG115" s="539">
        <f>Ops!EG$121</f>
        <v>0</v>
      </c>
    </row>
    <row r="116" spans="5:137" ht="12.75">
      <c r="E116" s="538" t="str">
        <f>Tax!E$119</f>
        <v>Deferred tax - balance</v>
      </c>
      <c r="G116" s="539" t="str">
        <f>Tax!G$119</f>
        <v>EUR 000s</v>
      </c>
      <c r="H116" s="539">
        <f>Tax!H$119</f>
        <v>1621114.0074982508</v>
      </c>
      <c r="J116" s="539">
        <f>Tax!J$119</f>
        <v>0</v>
      </c>
      <c r="K116" s="539">
        <f>Tax!K$119</f>
        <v>0</v>
      </c>
      <c r="L116" s="539">
        <f>Tax!L$119</f>
        <v>0</v>
      </c>
      <c r="M116" s="539">
        <f>Tax!M$119</f>
        <v>0</v>
      </c>
      <c r="N116" s="539">
        <f>Tax!N$119</f>
        <v>0</v>
      </c>
      <c r="O116" s="539">
        <f>Tax!O$119</f>
        <v>0</v>
      </c>
      <c r="P116" s="539">
        <f>Tax!P$119</f>
        <v>0</v>
      </c>
      <c r="Q116" s="539">
        <f>Tax!Q$119</f>
        <v>0</v>
      </c>
      <c r="R116" s="539">
        <f>Tax!R$119</f>
        <v>0</v>
      </c>
      <c r="S116" s="539">
        <f>Tax!S$119</f>
        <v>0</v>
      </c>
      <c r="T116" s="539">
        <f>Tax!T$119</f>
        <v>0</v>
      </c>
      <c r="U116" s="539">
        <f>Tax!U$119</f>
        <v>0</v>
      </c>
      <c r="V116" s="539">
        <f>Tax!V$119</f>
        <v>0</v>
      </c>
      <c r="W116" s="539">
        <f>Tax!W$119</f>
        <v>0</v>
      </c>
      <c r="X116" s="539">
        <f>Tax!X$119</f>
        <v>0</v>
      </c>
      <c r="Y116" s="539">
        <f>Tax!Y$119</f>
        <v>0</v>
      </c>
      <c r="Z116" s="539">
        <f>Tax!Z$119</f>
        <v>0</v>
      </c>
      <c r="AA116" s="539">
        <f>Tax!AA$119</f>
        <v>0</v>
      </c>
      <c r="AB116" s="539">
        <f>Tax!AB$119</f>
        <v>0</v>
      </c>
      <c r="AC116" s="539">
        <f>Tax!AC$119</f>
        <v>0</v>
      </c>
      <c r="AD116" s="539">
        <f>Tax!AD$119</f>
        <v>0</v>
      </c>
      <c r="AE116" s="539">
        <f>Tax!AE$119</f>
        <v>0</v>
      </c>
      <c r="AF116" s="539">
        <f>Tax!AF$119</f>
        <v>0</v>
      </c>
      <c r="AG116" s="539">
        <f>Tax!AG$119</f>
        <v>0</v>
      </c>
      <c r="AH116" s="539">
        <f>Tax!AH$119</f>
        <v>565.45954380123203</v>
      </c>
      <c r="AI116" s="539">
        <f>Tax!AI$119</f>
        <v>1134.1846389635411</v>
      </c>
      <c r="AJ116" s="539">
        <f>Tax!AJ$119</f>
        <v>1701.090176248523</v>
      </c>
      <c r="AK116" s="539">
        <f>Tax!AK$119</f>
        <v>2276.5930489935727</v>
      </c>
      <c r="AL116" s="539">
        <f>Tax!AL$119</f>
        <v>2920.5886551554004</v>
      </c>
      <c r="AM116" s="539">
        <f>Tax!AM$119</f>
        <v>3563.4270256070176</v>
      </c>
      <c r="AN116" s="539">
        <f>Tax!AN$119</f>
        <v>4205.4251692211019</v>
      </c>
      <c r="AO116" s="539">
        <f>Tax!AO$119</f>
        <v>4856.6314475536174</v>
      </c>
      <c r="AP116" s="539">
        <f>Tax!AP$119</f>
        <v>5576.7981649533249</v>
      </c>
      <c r="AQ116" s="539">
        <f>Tax!AQ$119</f>
        <v>6296.8246370241122</v>
      </c>
      <c r="AR116" s="539">
        <f>Tax!AR$119</f>
        <v>7017.055142164254</v>
      </c>
      <c r="AS116" s="539">
        <f>Tax!AS$119</f>
        <v>7747.1437551454819</v>
      </c>
      <c r="AT116" s="539">
        <f>Tax!AT$119</f>
        <v>8537.3082296073244</v>
      </c>
      <c r="AU116" s="539">
        <f>Tax!AU$119</f>
        <v>9337.6949737997347</v>
      </c>
      <c r="AV116" s="539">
        <f>Tax!AV$119</f>
        <v>10139.359800796276</v>
      </c>
      <c r="AW116" s="539">
        <f>Tax!AW$119</f>
        <v>10947.208610110221</v>
      </c>
      <c r="AX116" s="539">
        <f>Tax!AX$119</f>
        <v>11394.402827010774</v>
      </c>
      <c r="AY116" s="539">
        <f>Tax!AY$119</f>
        <v>11843.693193186678</v>
      </c>
      <c r="AZ116" s="539">
        <f>Tax!AZ$119</f>
        <v>12295.483887431892</v>
      </c>
      <c r="BA116" s="539">
        <f>Tax!BA$119</f>
        <v>12753.843698473574</v>
      </c>
      <c r="BB116" s="539">
        <f>Tax!BB$119</f>
        <v>13598.756583497423</v>
      </c>
      <c r="BC116" s="539">
        <f>Tax!BC$119</f>
        <v>14429.146749224077</v>
      </c>
      <c r="BD116" s="539">
        <f>Tax!BD$119</f>
        <v>15246.205298586701</v>
      </c>
      <c r="BE116" s="539">
        <f>Tax!BE$119</f>
        <v>16058.959726137206</v>
      </c>
      <c r="BF116" s="539">
        <f>Tax!BF$119</f>
        <v>16917.811316615509</v>
      </c>
      <c r="BG116" s="539">
        <f>Tax!BG$119</f>
        <v>17766.257153819002</v>
      </c>
      <c r="BH116" s="539">
        <f>Tax!BH$119</f>
        <v>18605.389775791089</v>
      </c>
      <c r="BI116" s="539">
        <f>Tax!BI$119</f>
        <v>19443.610815228581</v>
      </c>
      <c r="BJ116" s="539">
        <f>Tax!BJ$119</f>
        <v>20323.33383113411</v>
      </c>
      <c r="BK116" s="539">
        <f>Tax!BK$119</f>
        <v>21203.662307472623</v>
      </c>
      <c r="BL116" s="539">
        <f>Tax!BL$119</f>
        <v>22078.270942656989</v>
      </c>
      <c r="BM116" s="539">
        <f>Tax!BM$119</f>
        <v>22954.966386531247</v>
      </c>
      <c r="BN116" s="539">
        <f>Tax!BN$119</f>
        <v>23882.835572613338</v>
      </c>
      <c r="BO116" s="539">
        <f>Tax!BO$119</f>
        <v>24807.39085767647</v>
      </c>
      <c r="BP116" s="539">
        <f>Tax!BP$119</f>
        <v>25729.596353906265</v>
      </c>
      <c r="BQ116" s="539">
        <f>Tax!BQ$119</f>
        <v>26656.572167845745</v>
      </c>
      <c r="BR116" s="539">
        <f>Tax!BR$119</f>
        <v>27247.978397004954</v>
      </c>
      <c r="BS116" s="539">
        <f>Tax!BS$119</f>
        <v>27839.390286960872</v>
      </c>
      <c r="BT116" s="539">
        <f>Tax!BT$119</f>
        <v>28431.74214986978</v>
      </c>
      <c r="BU116" s="539">
        <f>Tax!BU$119</f>
        <v>29031.486522245577</v>
      </c>
      <c r="BV116" s="539">
        <f>Tax!BV$119</f>
        <v>29908.490751970952</v>
      </c>
      <c r="BW116" s="539">
        <f>Tax!BW$119</f>
        <v>29991.601167588589</v>
      </c>
      <c r="BX116" s="539">
        <f>Tax!BX$119</f>
        <v>30061.036474227229</v>
      </c>
      <c r="BY116" s="539">
        <f>Tax!BY$119</f>
        <v>30123.20260881586</v>
      </c>
      <c r="BZ116" s="539">
        <f>Tax!BZ$119</f>
        <v>30197.949998963926</v>
      </c>
      <c r="CA116" s="539">
        <f>Tax!CA$119</f>
        <v>30267.594454518017</v>
      </c>
      <c r="CB116" s="539">
        <f>Tax!CB$119</f>
        <v>30258.975679897354</v>
      </c>
      <c r="CC116" s="539">
        <f>Tax!CC$119</f>
        <v>29906.822305551974</v>
      </c>
      <c r="CD116" s="539">
        <f>Tax!CD$119</f>
        <v>29537.716176802136</v>
      </c>
      <c r="CE116" s="539">
        <f>Tax!CE$119</f>
        <v>29152.420167596043</v>
      </c>
      <c r="CF116" s="539">
        <f>Tax!CF$119</f>
        <v>28751.662822554223</v>
      </c>
      <c r="CG116" s="539">
        <f>Tax!CG$119</f>
        <v>28336.139901789284</v>
      </c>
      <c r="CH116" s="539">
        <f>Tax!CH$119</f>
        <v>27906.515856208767</v>
      </c>
      <c r="CI116" s="539">
        <f>Tax!CI$119</f>
        <v>27463.425236429372</v>
      </c>
      <c r="CJ116" s="539">
        <f>Tax!CJ$119</f>
        <v>27007.474038290056</v>
      </c>
      <c r="CK116" s="539">
        <f>Tax!CK$119</f>
        <v>26539.240987817007</v>
      </c>
      <c r="CL116" s="539">
        <f>Tax!CL$119</f>
        <v>26059.278768365242</v>
      </c>
      <c r="CM116" s="539">
        <f>Tax!CM$119</f>
        <v>25568.115192538804</v>
      </c>
      <c r="CN116" s="539">
        <f>Tax!CN$119</f>
        <v>25066.254321374559</v>
      </c>
      <c r="CO116" s="539">
        <f>Tax!CO$119</f>
        <v>24554.177533162707</v>
      </c>
      <c r="CP116" s="539">
        <f>Tax!CP$119</f>
        <v>24032.344544170388</v>
      </c>
      <c r="CQ116" s="539">
        <f>Tax!CQ$119</f>
        <v>23501.194383432725</v>
      </c>
      <c r="CR116" s="539">
        <f>Tax!CR$119</f>
        <v>22961.146323678251</v>
      </c>
      <c r="CS116" s="539">
        <f>Tax!CS$119</f>
        <v>22412.600770362733</v>
      </c>
      <c r="CT116" s="539">
        <f>Tax!CT$119</f>
        <v>21855.940110696414</v>
      </c>
      <c r="CU116" s="539">
        <f>Tax!CU$119</f>
        <v>21291.529524465077</v>
      </c>
      <c r="CV116" s="539">
        <f>Tax!CV$119</f>
        <v>20719.717758364153</v>
      </c>
      <c r="CW116" s="539">
        <f>Tax!CW$119</f>
        <v>20140.837865487767</v>
      </c>
      <c r="CX116" s="539">
        <f>Tax!CX$119</f>
        <v>19555.20791154082</v>
      </c>
      <c r="CY116" s="539">
        <f>Tax!CY$119</f>
        <v>18963.13164927149</v>
      </c>
      <c r="CZ116" s="539">
        <f>Tax!CZ$119</f>
        <v>18364.899162554277</v>
      </c>
      <c r="DA116" s="539">
        <f>Tax!DA$119</f>
        <v>17760.787481489337</v>
      </c>
      <c r="DB116" s="539">
        <f>Tax!DB$119</f>
        <v>17151.061169822315</v>
      </c>
      <c r="DC116" s="539">
        <f>Tax!DC$119</f>
        <v>16535.972885930314</v>
      </c>
      <c r="DD116" s="539">
        <f>Tax!DD$119</f>
        <v>15915.763918563454</v>
      </c>
      <c r="DE116" s="539">
        <f>Tax!DE$119</f>
        <v>15290.664698478102</v>
      </c>
      <c r="DF116" s="539">
        <f>Tax!DF$119</f>
        <v>14660.895287046591</v>
      </c>
      <c r="DG116" s="539">
        <f>Tax!DG$119</f>
        <v>14026.665842879496</v>
      </c>
      <c r="DH116" s="539">
        <f>Tax!DH$119</f>
        <v>13388.17706744992</v>
      </c>
      <c r="DI116" s="539">
        <f>Tax!DI$119</f>
        <v>12745.620630664675</v>
      </c>
      <c r="DJ116" s="539">
        <f>Tax!DJ$119</f>
        <v>12099.179577284765</v>
      </c>
      <c r="DK116" s="539">
        <f>Tax!DK$119</f>
        <v>11449.028715056953</v>
      </c>
      <c r="DL116" s="539">
        <f>Tax!DL$119</f>
        <v>10795.334985379392</v>
      </c>
      <c r="DM116" s="539">
        <f>Tax!DM$119</f>
        <v>10138.25781728732</v>
      </c>
      <c r="DN116" s="539">
        <f>Tax!DN$119</f>
        <v>9477.9494655093931</v>
      </c>
      <c r="DO116" s="539">
        <f>Tax!DO$119</f>
        <v>8814.5553333114713</v>
      </c>
      <c r="DP116" s="539">
        <f>Tax!DP$119</f>
        <v>8148.2142808124554</v>
      </c>
      <c r="DQ116" s="539">
        <f>Tax!DQ$119</f>
        <v>7479.0589194258964</v>
      </c>
      <c r="DR116" s="539">
        <f>Tax!DR$119</f>
        <v>6807.2158930517326</v>
      </c>
      <c r="DS116" s="539">
        <f>Tax!DS$119</f>
        <v>6132.8061466144063</v>
      </c>
      <c r="DT116" s="539">
        <f>Tax!DT$119</f>
        <v>5455.9451825167589</v>
      </c>
      <c r="DU116" s="539">
        <f>Tax!DU$119</f>
        <v>4776.7433055535057</v>
      </c>
      <c r="DV116" s="539">
        <f>Tax!DV$119</f>
        <v>4095.3058568035995</v>
      </c>
      <c r="DW116" s="539">
        <f>Tax!DW$119</f>
        <v>3411.7334369974387</v>
      </c>
      <c r="DX116" s="539">
        <f>Tax!DX$119</f>
        <v>2726.1221198325557</v>
      </c>
      <c r="DY116" s="539">
        <f>Tax!DY$119</f>
        <v>2038.5636556900922</v>
      </c>
      <c r="DZ116" s="539">
        <f>Tax!DZ$119</f>
        <v>1349.1456661840398</v>
      </c>
      <c r="EA116" s="539">
        <f>Tax!EA$119</f>
        <v>657.95182995575976</v>
      </c>
      <c r="EB116" s="539">
        <f>Tax!EB$119</f>
        <v>-34.937939892247869</v>
      </c>
      <c r="EC116" s="539">
        <f>Tax!EC$119</f>
        <v>0</v>
      </c>
      <c r="ED116" s="539">
        <f>Tax!ED$119</f>
        <v>0</v>
      </c>
      <c r="EE116" s="539">
        <f>Tax!EE$119</f>
        <v>0</v>
      </c>
      <c r="EF116" s="539">
        <f>Tax!EF$119</f>
        <v>0</v>
      </c>
      <c r="EG116" s="539">
        <f>Tax!EG$119</f>
        <v>0</v>
      </c>
    </row>
    <row r="117" spans="5:137" ht="12.75">
      <c r="E117" s="551" t="s">
        <v>536</v>
      </c>
      <c r="F117" s="552"/>
      <c r="G117" s="552" t="s">
        <v>30</v>
      </c>
      <c r="H117" s="552">
        <f>SUM(J117:EG117)</f>
        <v>1939560.08867821</v>
      </c>
      <c r="I117" s="552"/>
      <c r="J117" s="552">
        <f t="shared" si="22" ref="J117:EG117">J115+J116</f>
        <v>0</v>
      </c>
      <c r="K117" s="552">
        <f t="shared" si="22"/>
        <v>0</v>
      </c>
      <c r="L117" s="552">
        <f t="shared" si="22"/>
        <v>0</v>
      </c>
      <c r="M117" s="552">
        <f t="shared" si="22"/>
        <v>0</v>
      </c>
      <c r="N117" s="552">
        <f t="shared" si="22"/>
        <v>0</v>
      </c>
      <c r="O117" s="552">
        <f t="shared" si="22"/>
        <v>0</v>
      </c>
      <c r="P117" s="552">
        <f t="shared" si="22"/>
        <v>0</v>
      </c>
      <c r="Q117" s="552">
        <f t="shared" si="22"/>
        <v>0</v>
      </c>
      <c r="R117" s="552">
        <f t="shared" si="22"/>
        <v>0</v>
      </c>
      <c r="S117" s="552">
        <f t="shared" si="22"/>
        <v>0</v>
      </c>
      <c r="T117" s="552">
        <f t="shared" si="22"/>
        <v>0</v>
      </c>
      <c r="U117" s="552">
        <f t="shared" si="22"/>
        <v>0</v>
      </c>
      <c r="V117" s="552">
        <f t="shared" si="22"/>
        <v>0</v>
      </c>
      <c r="W117" s="552">
        <f t="shared" si="22"/>
        <v>0</v>
      </c>
      <c r="X117" s="552">
        <f t="shared" si="22"/>
        <v>0</v>
      </c>
      <c r="Y117" s="552">
        <f t="shared" si="22"/>
        <v>0</v>
      </c>
      <c r="Z117" s="552">
        <f t="shared" si="22"/>
        <v>0</v>
      </c>
      <c r="AA117" s="552">
        <f t="shared" si="22"/>
        <v>0</v>
      </c>
      <c r="AB117" s="552">
        <f t="shared" si="22"/>
        <v>0</v>
      </c>
      <c r="AC117" s="552">
        <f t="shared" si="22"/>
        <v>0</v>
      </c>
      <c r="AD117" s="552">
        <f t="shared" si="22"/>
        <v>0</v>
      </c>
      <c r="AE117" s="552">
        <f t="shared" si="22"/>
        <v>0</v>
      </c>
      <c r="AF117" s="552">
        <f t="shared" si="22"/>
        <v>0</v>
      </c>
      <c r="AG117" s="552">
        <f t="shared" si="22"/>
        <v>0</v>
      </c>
      <c r="AH117" s="552">
        <f t="shared" si="22"/>
        <v>2891.3922521345653</v>
      </c>
      <c r="AI117" s="552">
        <f t="shared" si="22"/>
        <v>3434.557647205299</v>
      </c>
      <c r="AJ117" s="552">
        <f t="shared" si="22"/>
        <v>3976.4591300528709</v>
      </c>
      <c r="AK117" s="552">
        <f t="shared" si="22"/>
        <v>4551.9620027979199</v>
      </c>
      <c r="AL117" s="552">
        <f t="shared" si="22"/>
        <v>5307.6355645304011</v>
      </c>
      <c r="AM117" s="552">
        <f t="shared" si="22"/>
        <v>5924.2426502636117</v>
      </c>
      <c r="AN117" s="552">
        <f t="shared" si="22"/>
        <v>6540.579754479254</v>
      </c>
      <c r="AO117" s="552">
        <f t="shared" si="22"/>
        <v>7191.7860328117695</v>
      </c>
      <c r="AP117" s="552">
        <f t="shared" si="22"/>
        <v>8026.5573188960334</v>
      </c>
      <c r="AQ117" s="552">
        <f t="shared" si="22"/>
        <v>8719.6633607037147</v>
      </c>
      <c r="AR117" s="552">
        <f t="shared" si="22"/>
        <v>9413.5586623255986</v>
      </c>
      <c r="AS117" s="552">
        <f t="shared" si="22"/>
        <v>10143.647275306826</v>
      </c>
      <c r="AT117" s="552">
        <f t="shared" si="22"/>
        <v>11023.792746879466</v>
      </c>
      <c r="AU117" s="552">
        <f t="shared" si="22"/>
        <v>11824.179491071875</v>
      </c>
      <c r="AV117" s="552">
        <f t="shared" si="22"/>
        <v>12598.817312445894</v>
      </c>
      <c r="AW117" s="552">
        <f t="shared" si="22"/>
        <v>13406.666121759839</v>
      </c>
      <c r="AX117" s="552">
        <f t="shared" si="22"/>
        <v>13974.552486005858</v>
      </c>
      <c r="AY117" s="552">
        <f t="shared" si="22"/>
        <v>14395.489559225771</v>
      </c>
      <c r="AZ117" s="552">
        <f t="shared" si="22"/>
        <v>14819.543336448822</v>
      </c>
      <c r="BA117" s="552">
        <f t="shared" si="22"/>
        <v>15277.903147490504</v>
      </c>
      <c r="BB117" s="552">
        <f t="shared" si="22"/>
        <v>16246.673381278462</v>
      </c>
      <c r="BC117" s="552">
        <f t="shared" si="22"/>
        <v>17047.965560216315</v>
      </c>
      <c r="BD117" s="552">
        <f t="shared" si="22"/>
        <v>17836.558687720328</v>
      </c>
      <c r="BE117" s="552">
        <f t="shared" si="22"/>
        <v>18649.31311527083</v>
      </c>
      <c r="BF117" s="552">
        <f t="shared" si="22"/>
        <v>19635.271118444063</v>
      </c>
      <c r="BG117" s="552">
        <f t="shared" si="22"/>
        <v>20453.854760023067</v>
      </c>
      <c r="BH117" s="552">
        <f t="shared" si="22"/>
        <v>21263.774364536413</v>
      </c>
      <c r="BI117" s="552">
        <f t="shared" si="22"/>
        <v>22101.995403973906</v>
      </c>
      <c r="BJ117" s="552">
        <f t="shared" si="22"/>
        <v>23081.513583511405</v>
      </c>
      <c r="BK117" s="552">
        <f t="shared" si="22"/>
        <v>23961.842059849918</v>
      </c>
      <c r="BL117" s="552">
        <f t="shared" si="22"/>
        <v>24806.47048033453</v>
      </c>
      <c r="BM117" s="552">
        <f t="shared" si="22"/>
        <v>25683.165924208788</v>
      </c>
      <c r="BN117" s="552">
        <f t="shared" si="22"/>
        <v>26744.900365428894</v>
      </c>
      <c r="BO117" s="552">
        <f t="shared" si="22"/>
        <v>27638.004389032514</v>
      </c>
      <c r="BP117" s="552">
        <f t="shared" si="22"/>
        <v>28529.442346878004</v>
      </c>
      <c r="BQ117" s="552">
        <f t="shared" si="22"/>
        <v>29456.418160817484</v>
      </c>
      <c r="BR117" s="552">
        <f t="shared" si="22"/>
        <v>30185.20414462818</v>
      </c>
      <c r="BS117" s="552">
        <f t="shared" si="22"/>
        <v>30744.338828566262</v>
      </c>
      <c r="BT117" s="552">
        <f t="shared" si="22"/>
        <v>31305.115163849026</v>
      </c>
      <c r="BU117" s="552">
        <f t="shared" si="22"/>
        <v>31904.859536224823</v>
      </c>
      <c r="BV117" s="552">
        <f t="shared" si="22"/>
        <v>32922.851328154262</v>
      </c>
      <c r="BW117" s="552">
        <f t="shared" si="22"/>
        <v>32972.836902275376</v>
      </c>
      <c r="BX117" s="552">
        <f t="shared" si="22"/>
        <v>33009.867472667422</v>
      </c>
      <c r="BY117" s="552">
        <f t="shared" si="22"/>
        <v>33072.033607256053</v>
      </c>
      <c r="BZ117" s="552">
        <f t="shared" si="22"/>
        <v>33257.47745172157</v>
      </c>
      <c r="CA117" s="552">
        <f t="shared" si="22"/>
        <v>33327.121907275665</v>
      </c>
      <c r="CB117" s="552">
        <f t="shared" si="22"/>
        <v>33285.24739947285</v>
      </c>
      <c r="CC117" s="552">
        <f t="shared" si="22"/>
        <v>32933.094025127473</v>
      </c>
      <c r="CD117" s="552">
        <f t="shared" si="22"/>
        <v>32712.481171338706</v>
      </c>
      <c r="CE117" s="552">
        <f t="shared" si="22"/>
        <v>32292.297634720122</v>
      </c>
      <c r="CF117" s="552">
        <f t="shared" si="22"/>
        <v>31857.411186774782</v>
      </c>
      <c r="CG117" s="552">
        <f t="shared" si="22"/>
        <v>31441.888266009842</v>
      </c>
      <c r="CH117" s="552">
        <f t="shared" si="22"/>
        <v>31164.660663173127</v>
      </c>
      <c r="CI117" s="552">
        <f t="shared" si="22"/>
        <v>30685.766254306211</v>
      </c>
      <c r="CJ117" s="552">
        <f t="shared" si="22"/>
        <v>30194.789610320408</v>
      </c>
      <c r="CK117" s="552">
        <f t="shared" si="22"/>
        <v>29726.556559847359</v>
      </c>
      <c r="CL117" s="552">
        <f t="shared" si="22"/>
        <v>29402.997788057906</v>
      </c>
      <c r="CM117" s="552">
        <f t="shared" si="22"/>
        <v>28875.0900471799</v>
      </c>
      <c r="CN117" s="552">
        <f t="shared" si="22"/>
        <v>28337.283797160861</v>
      </c>
      <c r="CO117" s="552">
        <f t="shared" si="22"/>
        <v>27825.207008949008</v>
      </c>
      <c r="CP117" s="552">
        <f t="shared" si="22"/>
        <v>27426.181822642211</v>
      </c>
      <c r="CQ117" s="552">
        <f t="shared" si="22"/>
        <v>26895.031661904548</v>
      </c>
      <c r="CR117" s="552">
        <f t="shared" si="22"/>
        <v>26318.09406651451</v>
      </c>
      <c r="CS117" s="552">
        <f t="shared" si="22"/>
        <v>25769.548513198992</v>
      </c>
      <c r="CT117" s="552">
        <f t="shared" si="22"/>
        <v>25377.628164345071</v>
      </c>
      <c r="CU117" s="552">
        <f t="shared" si="22"/>
        <v>24774.517709392319</v>
      </c>
      <c r="CV117" s="552">
        <f t="shared" si="22"/>
        <v>24164.847376063928</v>
      </c>
      <c r="CW117" s="552">
        <f t="shared" si="22"/>
        <v>23585.967483187542</v>
      </c>
      <c r="CX117" s="552">
        <f t="shared" si="22"/>
        <v>23169.413565543131</v>
      </c>
      <c r="CY117" s="552">
        <f t="shared" si="22"/>
        <v>22537.620757625424</v>
      </c>
      <c r="CZ117" s="552">
        <f t="shared" si="22"/>
        <v>21900.535128426105</v>
      </c>
      <c r="DA117" s="552">
        <f t="shared" si="22"/>
        <v>21296.423447361165</v>
      </c>
      <c r="DB117" s="552">
        <f t="shared" si="22"/>
        <v>20860.22447354492</v>
      </c>
      <c r="DC117" s="552">
        <f t="shared" si="22"/>
        <v>20204.376153348276</v>
      </c>
      <c r="DD117" s="552">
        <f t="shared" si="22"/>
        <v>19544.293237422527</v>
      </c>
      <c r="DE117" s="552">
        <f t="shared" si="22"/>
        <v>18919.194017337173</v>
      </c>
      <c r="DF117" s="552">
        <f t="shared" si="22"/>
        <v>18425.690898964145</v>
      </c>
      <c r="DG117" s="552">
        <f t="shared" si="22"/>
        <v>17791.461454797049</v>
      </c>
      <c r="DH117" s="552">
        <f t="shared" si="22"/>
        <v>17112.050987933588</v>
      </c>
      <c r="DI117" s="552">
        <f t="shared" si="22"/>
        <v>16469.494551148342</v>
      </c>
      <c r="DJ117" s="552">
        <f t="shared" si="22"/>
        <v>16005.84281343086</v>
      </c>
      <c r="DK117" s="552">
        <f t="shared" si="22"/>
        <v>15312.761585970673</v>
      </c>
      <c r="DL117" s="552">
        <f t="shared" si="22"/>
        <v>14617.070759870136</v>
      </c>
      <c r="DM117" s="552">
        <f t="shared" si="22"/>
        <v>13959.993591778064</v>
      </c>
      <c r="DN117" s="552">
        <f t="shared" si="22"/>
        <v>13487.291774417065</v>
      </c>
      <c r="DO117" s="552">
        <f t="shared" si="22"/>
        <v>12779.83893552785</v>
      </c>
      <c r="DP117" s="552">
        <f t="shared" si="22"/>
        <v>12070.396974309091</v>
      </c>
      <c r="DQ117" s="552">
        <f t="shared" si="22"/>
        <v>11401.241612922531</v>
      </c>
      <c r="DR117" s="552">
        <f t="shared" si="22"/>
        <v>10921.951005685884</v>
      </c>
      <c r="DS117" s="552">
        <f t="shared" si="22"/>
        <v>10202.324389878951</v>
      </c>
      <c r="DT117" s="552">
        <f t="shared" si="22"/>
        <v>9481.229531832776</v>
      </c>
      <c r="DU117" s="552">
        <f t="shared" si="22"/>
        <v>8802.0276548695219</v>
      </c>
      <c r="DV117" s="552">
        <f t="shared" si="22"/>
        <v>8271.8150202438701</v>
      </c>
      <c r="DW117" s="552">
        <f t="shared" si="22"/>
        <v>7588.2426004377103</v>
      </c>
      <c r="DX117" s="552">
        <f t="shared" si="22"/>
        <v>6857.2344445397812</v>
      </c>
      <c r="DY117" s="552">
        <f t="shared" si="22"/>
        <v>6169.6759803973182</v>
      </c>
      <c r="DZ117" s="552">
        <f t="shared" si="22"/>
        <v>5683.1022809063306</v>
      </c>
      <c r="EA117" s="552">
        <f t="shared" si="22"/>
        <v>4944.2825478129698</v>
      </c>
      <c r="EB117" s="552">
        <f t="shared" si="22"/>
        <v>4204.8022266839052</v>
      </c>
      <c r="EC117" s="552">
        <f t="shared" si="22"/>
        <v>4239.7401665761536</v>
      </c>
      <c r="ED117" s="552">
        <f t="shared" si="22"/>
        <v>0</v>
      </c>
      <c r="EE117" s="552">
        <f t="shared" si="22"/>
        <v>0</v>
      </c>
      <c r="EF117" s="552">
        <f t="shared" si="22"/>
        <v>0</v>
      </c>
      <c r="EG117" s="552">
        <f t="shared" si="22"/>
        <v>0</v>
      </c>
    </row>
    <row r="119" spans="5:137" ht="12.75">
      <c r="E119" s="551" t="s">
        <v>537</v>
      </c>
      <c r="F119" s="552"/>
      <c r="G119" s="552" t="s">
        <v>30</v>
      </c>
      <c r="H119" s="552">
        <f>SUM(J119:EG119)</f>
        <v>16220838.204734325</v>
      </c>
      <c r="I119" s="552"/>
      <c r="J119" s="552">
        <f t="shared" si="23" ref="J119:EG119">J109+J113+J117</f>
        <v>0</v>
      </c>
      <c r="K119" s="552">
        <f t="shared" si="23"/>
        <v>0</v>
      </c>
      <c r="L119" s="552">
        <f t="shared" si="23"/>
        <v>9055.4397749326417</v>
      </c>
      <c r="M119" s="552">
        <f t="shared" si="23"/>
        <v>22486.404195005383</v>
      </c>
      <c r="N119" s="552">
        <f t="shared" si="23"/>
        <v>36321.410758532307</v>
      </c>
      <c r="O119" s="552">
        <f t="shared" si="23"/>
        <v>49892.437573305215</v>
      </c>
      <c r="P119" s="552">
        <f t="shared" si="23"/>
        <v>61214.695477738744</v>
      </c>
      <c r="Q119" s="552">
        <f t="shared" si="23"/>
        <v>74115.157104848171</v>
      </c>
      <c r="R119" s="552">
        <f t="shared" si="23"/>
        <v>92318.562265551824</v>
      </c>
      <c r="S119" s="552">
        <f t="shared" si="23"/>
        <v>111441.45094998</v>
      </c>
      <c r="T119" s="552">
        <f t="shared" si="23"/>
        <v>131078.79120762</v>
      </c>
      <c r="U119" s="552">
        <f t="shared" si="23"/>
        <v>150485.89391819033</v>
      </c>
      <c r="V119" s="552">
        <f t="shared" si="23"/>
        <v>168259.71219742918</v>
      </c>
      <c r="W119" s="552">
        <f t="shared" si="23"/>
        <v>185781.40438334859</v>
      </c>
      <c r="X119" s="552">
        <f t="shared" si="23"/>
        <v>201209.82730075403</v>
      </c>
      <c r="Y119" s="552">
        <f t="shared" si="23"/>
        <v>214566.94211970136</v>
      </c>
      <c r="Z119" s="552">
        <f t="shared" si="23"/>
        <v>226869.05156745517</v>
      </c>
      <c r="AA119" s="552">
        <f t="shared" si="23"/>
        <v>241316.36052558862</v>
      </c>
      <c r="AB119" s="552">
        <f t="shared" si="23"/>
        <v>257046.04678841215</v>
      </c>
      <c r="AC119" s="552">
        <f t="shared" si="23"/>
        <v>272841.65436449985</v>
      </c>
      <c r="AD119" s="552">
        <f t="shared" si="23"/>
        <v>286737.41478584975</v>
      </c>
      <c r="AE119" s="552">
        <f t="shared" si="23"/>
        <v>294454.55463506706</v>
      </c>
      <c r="AF119" s="552">
        <f t="shared" si="23"/>
        <v>300023.29123100522</v>
      </c>
      <c r="AG119" s="552">
        <f t="shared" si="23"/>
        <v>312104.82128662599</v>
      </c>
      <c r="AH119" s="552">
        <f t="shared" si="23"/>
        <v>310032.3235281083</v>
      </c>
      <c r="AI119" s="552">
        <f t="shared" si="23"/>
        <v>306207.70190832176</v>
      </c>
      <c r="AJ119" s="552">
        <f t="shared" si="23"/>
        <v>302409.67505876505</v>
      </c>
      <c r="AK119" s="552">
        <f t="shared" si="23"/>
        <v>298644.61881202459</v>
      </c>
      <c r="AL119" s="552">
        <f t="shared" si="23"/>
        <v>294743.25713041867</v>
      </c>
      <c r="AM119" s="552">
        <f t="shared" si="23"/>
        <v>290539.03764740512</v>
      </c>
      <c r="AN119" s="552">
        <f t="shared" si="23"/>
        <v>286352.8951374414</v>
      </c>
      <c r="AO119" s="552">
        <f t="shared" si="23"/>
        <v>282194.26512551337</v>
      </c>
      <c r="AP119" s="552">
        <f t="shared" si="23"/>
        <v>277898.97263643349</v>
      </c>
      <c r="AQ119" s="552">
        <f t="shared" si="23"/>
        <v>273285.8366019713</v>
      </c>
      <c r="AR119" s="552">
        <f t="shared" si="23"/>
        <v>268692.28211403749</v>
      </c>
      <c r="AS119" s="552">
        <f t="shared" si="23"/>
        <v>264098.90058415278</v>
      </c>
      <c r="AT119" s="552">
        <f t="shared" si="23"/>
        <v>261091.61534021568</v>
      </c>
      <c r="AU119" s="552">
        <f t="shared" si="23"/>
        <v>257865.22246729559</v>
      </c>
      <c r="AV119" s="552">
        <f t="shared" si="23"/>
        <v>254612.4428996862</v>
      </c>
      <c r="AW119" s="552">
        <f t="shared" si="23"/>
        <v>251408.80071251502</v>
      </c>
      <c r="AX119" s="552">
        <f t="shared" si="23"/>
        <v>245921.23947193866</v>
      </c>
      <c r="AY119" s="552">
        <f t="shared" si="23"/>
        <v>240084.1846390584</v>
      </c>
      <c r="AZ119" s="552">
        <f t="shared" si="23"/>
        <v>234177.17285336959</v>
      </c>
      <c r="BA119" s="552">
        <f t="shared" si="23"/>
        <v>228272.73825344621</v>
      </c>
      <c r="BB119" s="552">
        <f t="shared" si="23"/>
        <v>222717.16037492704</v>
      </c>
      <c r="BC119" s="552">
        <f t="shared" si="23"/>
        <v>216799.00603533114</v>
      </c>
      <c r="BD119" s="552">
        <f t="shared" si="23"/>
        <v>210858.2545883352</v>
      </c>
      <c r="BE119" s="552">
        <f t="shared" si="23"/>
        <v>204922.96437169469</v>
      </c>
      <c r="BF119" s="552">
        <f t="shared" si="23"/>
        <v>201385.42848160709</v>
      </c>
      <c r="BG119" s="552">
        <f t="shared" si="23"/>
        <v>198947.95908979859</v>
      </c>
      <c r="BH119" s="552">
        <f t="shared" si="23"/>
        <v>196497.02483124414</v>
      </c>
      <c r="BI119" s="552">
        <f t="shared" si="23"/>
        <v>194054.32361671916</v>
      </c>
      <c r="BJ119" s="552">
        <f t="shared" si="23"/>
        <v>191634.17662932118</v>
      </c>
      <c r="BK119" s="552">
        <f t="shared" si="23"/>
        <v>189059.39679685782</v>
      </c>
      <c r="BL119" s="552">
        <f t="shared" si="23"/>
        <v>186427.17415576076</v>
      </c>
      <c r="BM119" s="552">
        <f t="shared" si="23"/>
        <v>183802.91846846222</v>
      </c>
      <c r="BN119" s="552">
        <f t="shared" si="23"/>
        <v>181230.18318924934</v>
      </c>
      <c r="BO119" s="552">
        <f t="shared" si="23"/>
        <v>178428.67636360606</v>
      </c>
      <c r="BP119" s="552">
        <f t="shared" si="23"/>
        <v>175608.92740876001</v>
      </c>
      <c r="BQ119" s="552">
        <f t="shared" si="23"/>
        <v>172796.52571115165</v>
      </c>
      <c r="BR119" s="552">
        <f t="shared" si="23"/>
        <v>169597.51576785091</v>
      </c>
      <c r="BS119" s="552">
        <f t="shared" si="23"/>
        <v>166161.52802634542</v>
      </c>
      <c r="BT119" s="552">
        <f t="shared" si="23"/>
        <v>162703.64750327531</v>
      </c>
      <c r="BU119" s="552">
        <f t="shared" si="23"/>
        <v>159251.6024760099</v>
      </c>
      <c r="BV119" s="552">
        <f t="shared" si="23"/>
        <v>156219.89061891372</v>
      </c>
      <c r="BW119" s="552">
        <f t="shared" si="23"/>
        <v>152559.11045720486</v>
      </c>
      <c r="BX119" s="552">
        <f t="shared" si="23"/>
        <v>148871.05047608059</v>
      </c>
      <c r="BY119" s="552">
        <f t="shared" si="23"/>
        <v>145186.23086525744</v>
      </c>
      <c r="BZ119" s="552">
        <f t="shared" si="23"/>
        <v>141517.74101909532</v>
      </c>
      <c r="CA119" s="552">
        <f t="shared" si="23"/>
        <v>137675.06912449666</v>
      </c>
      <c r="CB119" s="552">
        <f t="shared" si="23"/>
        <v>133724.03095262987</v>
      </c>
      <c r="CC119" s="552">
        <f t="shared" si="23"/>
        <v>129612.31299094162</v>
      </c>
      <c r="CD119" s="552">
        <f t="shared" si="23"/>
        <v>126067.34807434778</v>
      </c>
      <c r="CE119" s="552">
        <f t="shared" si="23"/>
        <v>122257.0697568326</v>
      </c>
      <c r="CF119" s="552">
        <f t="shared" si="23"/>
        <v>118411.33098647032</v>
      </c>
      <c r="CG119" s="552">
        <f t="shared" si="23"/>
        <v>114563.06782598552</v>
      </c>
      <c r="CH119" s="552">
        <f t="shared" si="23"/>
        <v>110758.6201159865</v>
      </c>
      <c r="CI119" s="552">
        <f t="shared" si="23"/>
        <v>106680.81415165204</v>
      </c>
      <c r="CJ119" s="552">
        <f t="shared" si="23"/>
        <v>102564.50136285</v>
      </c>
      <c r="CK119" s="552">
        <f t="shared" si="23"/>
        <v>98445.295492353558</v>
      </c>
      <c r="CL119" s="552">
        <f t="shared" si="23"/>
        <v>94087.848744074712</v>
      </c>
      <c r="CM119" s="552">
        <f t="shared" si="23"/>
        <v>89444.919825904915</v>
      </c>
      <c r="CN119" s="552">
        <f t="shared" si="23"/>
        <v>84756.365694122826</v>
      </c>
      <c r="CO119" s="552">
        <f t="shared" si="23"/>
        <v>80060.616707111854</v>
      </c>
      <c r="CP119" s="552">
        <f t="shared" si="23"/>
        <v>75659.882327202009</v>
      </c>
      <c r="CQ119" s="552">
        <f t="shared" si="23"/>
        <v>71060.894533129234</v>
      </c>
      <c r="CR119" s="552">
        <f t="shared" si="23"/>
        <v>66365.570077671087</v>
      </c>
      <c r="CS119" s="552">
        <f t="shared" si="23"/>
        <v>61665.339019688239</v>
      </c>
      <c r="CT119" s="552">
        <f t="shared" si="23"/>
        <v>57024.888899624682</v>
      </c>
      <c r="CU119" s="552">
        <f t="shared" si="23"/>
        <v>52082.831260005049</v>
      </c>
      <c r="CV119" s="552">
        <f t="shared" si="23"/>
        <v>47089.751442452558</v>
      </c>
      <c r="CW119" s="552">
        <f t="shared" si="23"/>
        <v>42090.347094923105</v>
      </c>
      <c r="CX119" s="552">
        <f t="shared" si="23"/>
        <v>37155.991799075418</v>
      </c>
      <c r="CY119" s="552">
        <f t="shared" si="23"/>
        <v>31909.510213818205</v>
      </c>
      <c r="CZ119" s="552">
        <f t="shared" si="23"/>
        <v>26606.986484612185</v>
      </c>
      <c r="DA119" s="552">
        <f t="shared" si="23"/>
        <v>21296.423447361147</v>
      </c>
      <c r="DB119" s="552">
        <f t="shared" si="23"/>
        <v>20860.224473544902</v>
      </c>
      <c r="DC119" s="552">
        <f t="shared" si="23"/>
        <v>20204.376153348258</v>
      </c>
      <c r="DD119" s="552">
        <f t="shared" si="23"/>
        <v>19544.293237422509</v>
      </c>
      <c r="DE119" s="552">
        <f t="shared" si="23"/>
        <v>18919.194017337155</v>
      </c>
      <c r="DF119" s="552">
        <f t="shared" si="23"/>
        <v>18425.690898964127</v>
      </c>
      <c r="DG119" s="552">
        <f t="shared" si="23"/>
        <v>17791.46145479703</v>
      </c>
      <c r="DH119" s="552">
        <f t="shared" si="23"/>
        <v>17112.05098793357</v>
      </c>
      <c r="DI119" s="552">
        <f t="shared" si="23"/>
        <v>16469.494551148324</v>
      </c>
      <c r="DJ119" s="552">
        <f t="shared" si="23"/>
        <v>16005.842813430841</v>
      </c>
      <c r="DK119" s="552">
        <f t="shared" si="23"/>
        <v>15312.761585970655</v>
      </c>
      <c r="DL119" s="552">
        <f t="shared" si="23"/>
        <v>14617.070759870117</v>
      </c>
      <c r="DM119" s="552">
        <f t="shared" si="23"/>
        <v>13959.993591778046</v>
      </c>
      <c r="DN119" s="552">
        <f t="shared" si="23"/>
        <v>13487.291774417046</v>
      </c>
      <c r="DO119" s="552">
        <f t="shared" si="23"/>
        <v>12779.838935527832</v>
      </c>
      <c r="DP119" s="552">
        <f t="shared" si="23"/>
        <v>12070.396974309073</v>
      </c>
      <c r="DQ119" s="552">
        <f t="shared" si="23"/>
        <v>11401.241612922513</v>
      </c>
      <c r="DR119" s="552">
        <f t="shared" si="23"/>
        <v>10921.951005685865</v>
      </c>
      <c r="DS119" s="552">
        <f t="shared" si="23"/>
        <v>10202.324389878933</v>
      </c>
      <c r="DT119" s="552">
        <f t="shared" si="23"/>
        <v>9481.2295318327579</v>
      </c>
      <c r="DU119" s="552">
        <f t="shared" si="23"/>
        <v>8802.0276548695037</v>
      </c>
      <c r="DV119" s="552">
        <f t="shared" si="23"/>
        <v>8271.8150202438519</v>
      </c>
      <c r="DW119" s="552">
        <f t="shared" si="23"/>
        <v>7588.2426004376921</v>
      </c>
      <c r="DX119" s="552">
        <f t="shared" si="23"/>
        <v>6857.234444539763</v>
      </c>
      <c r="DY119" s="552">
        <f t="shared" si="23"/>
        <v>6169.6759803973</v>
      </c>
      <c r="DZ119" s="552">
        <f t="shared" si="23"/>
        <v>5683.1022809063124</v>
      </c>
      <c r="EA119" s="552">
        <f t="shared" si="23"/>
        <v>4944.2825478129516</v>
      </c>
      <c r="EB119" s="552">
        <f t="shared" si="23"/>
        <v>4204.8022266838871</v>
      </c>
      <c r="EC119" s="552">
        <f t="shared" si="23"/>
        <v>4239.7401665761354</v>
      </c>
      <c r="ED119" s="552">
        <f t="shared" si="23"/>
        <v>-1.7962520360015333E-11</v>
      </c>
      <c r="EE119" s="552">
        <f t="shared" si="23"/>
        <v>-1.7962520360015333E-11</v>
      </c>
      <c r="EF119" s="552">
        <f t="shared" si="23"/>
        <v>-1.7962520360015333E-11</v>
      </c>
      <c r="EG119" s="552">
        <f t="shared" si="23"/>
        <v>-1.7962520360015333E-11</v>
      </c>
    </row>
    <row r="121" spans="5:137" ht="12.75">
      <c r="E121" s="551" t="s">
        <v>538</v>
      </c>
      <c r="F121" s="552"/>
      <c r="G121" s="552" t="s">
        <v>30</v>
      </c>
      <c r="H121" s="552">
        <f>SUM(J121:EG121)</f>
        <v>4070052.9170214366</v>
      </c>
      <c r="I121" s="552"/>
      <c r="J121" s="552">
        <f t="shared" si="24" ref="J121:EG121">J102-J119</f>
        <v>0</v>
      </c>
      <c r="K121" s="552">
        <f t="shared" si="24"/>
        <v>0</v>
      </c>
      <c r="L121" s="552">
        <f t="shared" si="24"/>
        <v>2263.8599437331322</v>
      </c>
      <c r="M121" s="552">
        <f t="shared" si="24"/>
        <v>4891.8981856439241</v>
      </c>
      <c r="N121" s="552">
        <f t="shared" si="24"/>
        <v>7522.3128522853731</v>
      </c>
      <c r="O121" s="552">
        <f t="shared" si="24"/>
        <v>10027.98376798915</v>
      </c>
      <c r="P121" s="552">
        <f t="shared" si="24"/>
        <v>12531.119497833584</v>
      </c>
      <c r="Q121" s="552">
        <f t="shared" si="24"/>
        <v>12996.899450207595</v>
      </c>
      <c r="R121" s="552">
        <f t="shared" si="24"/>
        <v>12671.541371369633</v>
      </c>
      <c r="S121" s="552">
        <f t="shared" si="24"/>
        <v>12333.403702603973</v>
      </c>
      <c r="T121" s="552">
        <f t="shared" si="24"/>
        <v>12004.228250971559</v>
      </c>
      <c r="U121" s="552">
        <f t="shared" si="24"/>
        <v>11662.123268586001</v>
      </c>
      <c r="V121" s="552">
        <f t="shared" si="24"/>
        <v>11317.984401784634</v>
      </c>
      <c r="W121" s="552">
        <f t="shared" si="24"/>
        <v>10994.134064711689</v>
      </c>
      <c r="X121" s="552">
        <f t="shared" si="24"/>
        <v>10646.02386483521</v>
      </c>
      <c r="Y121" s="552">
        <f t="shared" si="24"/>
        <v>10307.140200437541</v>
      </c>
      <c r="Z121" s="552">
        <f t="shared" si="24"/>
        <v>9954.9456808748364</v>
      </c>
      <c r="AA121" s="552">
        <f t="shared" si="24"/>
        <v>9612.0859502133389</v>
      </c>
      <c r="AB121" s="552">
        <f t="shared" si="24"/>
        <v>9255.7591903136927</v>
      </c>
      <c r="AC121" s="552">
        <f t="shared" si="24"/>
        <v>8897.3139946085867</v>
      </c>
      <c r="AD121" s="552">
        <f t="shared" si="24"/>
        <v>8548.3692597247427</v>
      </c>
      <c r="AE121" s="552">
        <f t="shared" si="24"/>
        <v>8185.7184855281957</v>
      </c>
      <c r="AF121" s="552">
        <f t="shared" si="24"/>
        <v>7832.6796394962003</v>
      </c>
      <c r="AG121" s="552">
        <f t="shared" si="24"/>
        <v>7465.7739434478572</v>
      </c>
      <c r="AH121" s="552">
        <f t="shared" si="24"/>
        <v>8090.6095967141446</v>
      </c>
      <c r="AI121" s="552">
        <f t="shared" si="24"/>
        <v>8718.7875505831908</v>
      </c>
      <c r="AJ121" s="552">
        <f t="shared" si="24"/>
        <v>9368.680666378059</v>
      </c>
      <c r="AK121" s="552">
        <f t="shared" si="24"/>
        <v>10083.086191991926</v>
      </c>
      <c r="AL121" s="552">
        <f t="shared" si="24"/>
        <v>11062.650263603136</v>
      </c>
      <c r="AM121" s="552">
        <f t="shared" si="24"/>
        <v>12069.385970272589</v>
      </c>
      <c r="AN121" s="552">
        <f t="shared" si="24"/>
        <v>13107.43524420273</v>
      </c>
      <c r="AO121" s="552">
        <f t="shared" si="24"/>
        <v>14216.880981009337</v>
      </c>
      <c r="AP121" s="552">
        <f t="shared" si="24"/>
        <v>15594.255604457343</v>
      </c>
      <c r="AQ121" s="552">
        <f t="shared" si="24"/>
        <v>17008.849081603461</v>
      </c>
      <c r="AR121" s="552">
        <f t="shared" si="24"/>
        <v>18465.146315915452</v>
      </c>
      <c r="AS121" s="552">
        <f t="shared" si="24"/>
        <v>20000.037712446298</v>
      </c>
      <c r="AT121" s="552">
        <f t="shared" si="24"/>
        <v>21771.098462889029</v>
      </c>
      <c r="AU121" s="552">
        <f t="shared" si="24"/>
        <v>23594.480404274131</v>
      </c>
      <c r="AV121" s="552">
        <f t="shared" si="24"/>
        <v>25438.801081477985</v>
      </c>
      <c r="AW121" s="552">
        <f t="shared" si="24"/>
        <v>27338.041495635058</v>
      </c>
      <c r="AX121" s="552">
        <f t="shared" si="24"/>
        <v>28176.102302435582</v>
      </c>
      <c r="AY121" s="552">
        <f t="shared" si="24"/>
        <v>29070.466077393939</v>
      </c>
      <c r="AZ121" s="552">
        <f t="shared" si="24"/>
        <v>30026.312616811512</v>
      </c>
      <c r="BA121" s="552">
        <f t="shared" si="24"/>
        <v>31076.187144390715</v>
      </c>
      <c r="BB121" s="552">
        <f t="shared" si="24"/>
        <v>33708.09074797589</v>
      </c>
      <c r="BC121" s="552">
        <f t="shared" si="24"/>
        <v>36407.4179937187</v>
      </c>
      <c r="BD121" s="552">
        <f t="shared" si="24"/>
        <v>39179.410661354283</v>
      </c>
      <c r="BE121" s="552">
        <f t="shared" si="24"/>
        <v>42051.428844268521</v>
      </c>
      <c r="BF121" s="552">
        <f t="shared" si="24"/>
        <v>42672.431971820741</v>
      </c>
      <c r="BG121" s="552">
        <f t="shared" si="24"/>
        <v>41892.796038389497</v>
      </c>
      <c r="BH121" s="552">
        <f t="shared" si="24"/>
        <v>41188.98806936614</v>
      </c>
      <c r="BI121" s="552">
        <f t="shared" si="24"/>
        <v>40561.212263955327</v>
      </c>
      <c r="BJ121" s="552">
        <f t="shared" si="24"/>
        <v>40005.234686096315</v>
      </c>
      <c r="BK121" s="552">
        <f t="shared" si="24"/>
        <v>39427.95933198015</v>
      </c>
      <c r="BL121" s="552">
        <f t="shared" si="24"/>
        <v>38896.405625204759</v>
      </c>
      <c r="BM121" s="552">
        <f t="shared" si="24"/>
        <v>38465.154768676643</v>
      </c>
      <c r="BN121" s="552">
        <f t="shared" si="24"/>
        <v>40102.554542435391</v>
      </c>
      <c r="BO121" s="552">
        <f t="shared" si="24"/>
        <v>41657.106832755613</v>
      </c>
      <c r="BP121" s="552">
        <f t="shared" si="24"/>
        <v>43336.437086726102</v>
      </c>
      <c r="BQ121" s="552">
        <f t="shared" si="24"/>
        <v>45118.129431995301</v>
      </c>
      <c r="BR121" s="552">
        <f t="shared" si="24"/>
        <v>43451.626819023979</v>
      </c>
      <c r="BS121" s="552">
        <f t="shared" si="24"/>
        <v>41704.846561724466</v>
      </c>
      <c r="BT121" s="552">
        <f t="shared" si="24"/>
        <v>39895.0291931268</v>
      </c>
      <c r="BU121" s="552">
        <f t="shared" si="24"/>
        <v>37779.426099676522</v>
      </c>
      <c r="BV121" s="552">
        <f t="shared" si="24"/>
        <v>37500.418988522782</v>
      </c>
      <c r="BW121" s="552">
        <f t="shared" si="24"/>
        <v>37930.9220901769</v>
      </c>
      <c r="BX121" s="552">
        <f t="shared" si="24"/>
        <v>38444.968260483787</v>
      </c>
      <c r="BY121" s="552">
        <f t="shared" si="24"/>
        <v>39045.511712944077</v>
      </c>
      <c r="BZ121" s="552">
        <f t="shared" si="24"/>
        <v>39707.333600346203</v>
      </c>
      <c r="CA121" s="552">
        <f t="shared" si="24"/>
        <v>40179.209399309271</v>
      </c>
      <c r="CB121" s="552">
        <f t="shared" si="24"/>
        <v>40753.07525229262</v>
      </c>
      <c r="CC121" s="552">
        <f t="shared" si="24"/>
        <v>41774.460628355839</v>
      </c>
      <c r="CD121" s="552">
        <f t="shared" si="24"/>
        <v>42420.127479555362</v>
      </c>
      <c r="CE121" s="552">
        <f t="shared" si="24"/>
        <v>42994.539580626079</v>
      </c>
      <c r="CF121" s="552">
        <f t="shared" si="24"/>
        <v>43637.216690236222</v>
      </c>
      <c r="CG121" s="552">
        <f t="shared" si="24"/>
        <v>44400.403338182572</v>
      </c>
      <c r="CH121" s="552">
        <f t="shared" si="24"/>
        <v>47538.453536327754</v>
      </c>
      <c r="CI121" s="552">
        <f t="shared" si="24"/>
        <v>50607.465756239981</v>
      </c>
      <c r="CJ121" s="552">
        <f t="shared" si="24"/>
        <v>54036.866306004507</v>
      </c>
      <c r="CK121" s="552">
        <f t="shared" si="24"/>
        <v>57587.828409603331</v>
      </c>
      <c r="CL121" s="552">
        <f t="shared" si="24"/>
        <v>56829.991323432754</v>
      </c>
      <c r="CM121" s="552">
        <f t="shared" si="24"/>
        <v>56009.331008336594</v>
      </c>
      <c r="CN121" s="552">
        <f t="shared" si="24"/>
        <v>54996.878118548717</v>
      </c>
      <c r="CO121" s="552">
        <f t="shared" si="24"/>
        <v>54086.523770549713</v>
      </c>
      <c r="CP121" s="552">
        <f t="shared" si="24"/>
        <v>55527.286963269988</v>
      </c>
      <c r="CQ121" s="552">
        <f t="shared" si="24"/>
        <v>56963.60682061204</v>
      </c>
      <c r="CR121" s="552">
        <f t="shared" si="24"/>
        <v>58460.628908899176</v>
      </c>
      <c r="CS121" s="552">
        <f t="shared" si="24"/>
        <v>60084.132389797494</v>
      </c>
      <c r="CT121" s="552">
        <f t="shared" si="24"/>
        <v>61847.183135682208</v>
      </c>
      <c r="CU121" s="552">
        <f t="shared" si="24"/>
        <v>63551.590448152921</v>
      </c>
      <c r="CV121" s="552">
        <f t="shared" si="24"/>
        <v>65347.252977174809</v>
      </c>
      <c r="CW121" s="552">
        <f t="shared" si="24"/>
        <v>67272.03375501695</v>
      </c>
      <c r="CX121" s="552">
        <f t="shared" si="24"/>
        <v>69333.625501641756</v>
      </c>
      <c r="CY121" s="552">
        <f t="shared" si="24"/>
        <v>71340.992892739305</v>
      </c>
      <c r="CZ121" s="552">
        <f t="shared" si="24"/>
        <v>68642.744121240015</v>
      </c>
      <c r="DA121" s="552">
        <f t="shared" si="24"/>
        <v>66038.842010356049</v>
      </c>
      <c r="DB121" s="552">
        <f t="shared" si="24"/>
        <v>66322.11288731471</v>
      </c>
      <c r="DC121" s="552">
        <f t="shared" si="24"/>
        <v>66516.492615403855</v>
      </c>
      <c r="DD121" s="552">
        <f t="shared" si="24"/>
        <v>66716.52686028849</v>
      </c>
      <c r="DE121" s="552">
        <f t="shared" si="24"/>
        <v>66945.473857320336</v>
      </c>
      <c r="DF121" s="552">
        <f t="shared" si="24"/>
        <v>62185.545111031679</v>
      </c>
      <c r="DG121" s="552">
        <f t="shared" si="24"/>
        <v>57384.876778252292</v>
      </c>
      <c r="DH121" s="552">
        <f t="shared" si="24"/>
        <v>52564.215091221908</v>
      </c>
      <c r="DI121" s="552">
        <f t="shared" si="24"/>
        <v>47771.873751060673</v>
      </c>
      <c r="DJ121" s="552">
        <f t="shared" si="24"/>
        <v>45573.050869672414</v>
      </c>
      <c r="DK121" s="552">
        <f t="shared" si="24"/>
        <v>43282.651946768819</v>
      </c>
      <c r="DL121" s="552">
        <f t="shared" si="24"/>
        <v>40996.339908383052</v>
      </c>
      <c r="DM121" s="552">
        <f t="shared" si="24"/>
        <v>38737.892076475131</v>
      </c>
      <c r="DN121" s="552">
        <f t="shared" si="24"/>
        <v>36553.180282348272</v>
      </c>
      <c r="DO121" s="552">
        <f t="shared" si="24"/>
        <v>34275.793867866436</v>
      </c>
      <c r="DP121" s="552">
        <f t="shared" si="24"/>
        <v>32001.903407309168</v>
      </c>
      <c r="DQ121" s="552">
        <f t="shared" si="24"/>
        <v>29755.533768695725</v>
      </c>
      <c r="DR121" s="552">
        <f t="shared" si="24"/>
        <v>27582.572992214766</v>
      </c>
      <c r="DS121" s="552">
        <f t="shared" si="24"/>
        <v>25315.974069583219</v>
      </c>
      <c r="DT121" s="552">
        <f t="shared" si="24"/>
        <v>23052.380357417846</v>
      </c>
      <c r="DU121" s="552">
        <f t="shared" si="24"/>
        <v>20816.0572343811</v>
      </c>
      <c r="DV121" s="552">
        <f t="shared" si="24"/>
        <v>18627.169408407546</v>
      </c>
      <c r="DW121" s="552">
        <f t="shared" si="24"/>
        <v>16395.216828213706</v>
      </c>
      <c r="DX121" s="552">
        <f t="shared" si="24"/>
        <v>14140.153142495858</v>
      </c>
      <c r="DY121" s="552">
        <f t="shared" si="24"/>
        <v>13909.446440123262</v>
      </c>
      <c r="DZ121" s="552">
        <f t="shared" si="24"/>
        <v>13909.44644012326</v>
      </c>
      <c r="EA121" s="552">
        <f t="shared" si="24"/>
        <v>13909.446440123262</v>
      </c>
      <c r="EB121" s="552">
        <f t="shared" si="24"/>
        <v>13909.44644012326</v>
      </c>
      <c r="EC121" s="552">
        <f t="shared" si="24"/>
        <v>2308.4176722000702</v>
      </c>
      <c r="ED121" s="552">
        <f t="shared" si="24"/>
        <v>1.0516032489249483E-11</v>
      </c>
      <c r="EE121" s="552">
        <f t="shared" si="24"/>
        <v>1.0516032489249483E-11</v>
      </c>
      <c r="EF121" s="552">
        <f t="shared" si="24"/>
        <v>1.0516032489249483E-11</v>
      </c>
      <c r="EG121" s="552">
        <f t="shared" si="24"/>
        <v>1.0516032489249483E-11</v>
      </c>
    </row>
    <row r="123" spans="5:137" ht="12.75">
      <c r="E123" s="538" t="str">
        <f>Equity!E$86</f>
        <v>Share capital - closing balance</v>
      </c>
      <c r="G123" s="539" t="str">
        <f>Equity!G$86</f>
        <v>EUR 000s</v>
      </c>
      <c r="H123" s="539">
        <f>Equity!H$86</f>
        <v>1651899.8369596973</v>
      </c>
      <c r="J123" s="539">
        <f>Equity!J$86</f>
        <v>0</v>
      </c>
      <c r="K123" s="539">
        <f>Equity!K$86</f>
        <v>0</v>
      </c>
      <c r="L123" s="539">
        <f>Equity!L$86</f>
        <v>2263.8599437331595</v>
      </c>
      <c r="M123" s="539">
        <f>Equity!M$86</f>
        <v>4943.9979761298655</v>
      </c>
      <c r="N123" s="539">
        <f>Equity!N$86</f>
        <v>7692.2947221635395</v>
      </c>
      <c r="O123" s="539">
        <f>Equity!O$86</f>
        <v>10375.971768258876</v>
      </c>
      <c r="P123" s="539">
        <f>Equity!P$86</f>
        <v>13127.925495114469</v>
      </c>
      <c r="Q123" s="539">
        <f>Equity!Q$86</f>
        <v>13909.446440123251</v>
      </c>
      <c r="R123" s="539">
        <f>Equity!R$86</f>
        <v>13909.446440123251</v>
      </c>
      <c r="S123" s="539">
        <f>Equity!S$86</f>
        <v>13909.446440123251</v>
      </c>
      <c r="T123" s="539">
        <f>Equity!T$86</f>
        <v>13909.446440123251</v>
      </c>
      <c r="U123" s="539">
        <f>Equity!U$86</f>
        <v>13909.446440123251</v>
      </c>
      <c r="V123" s="539">
        <f>Equity!V$86</f>
        <v>13909.446440123251</v>
      </c>
      <c r="W123" s="539">
        <f>Equity!W$86</f>
        <v>13909.446440123251</v>
      </c>
      <c r="X123" s="539">
        <f>Equity!X$86</f>
        <v>13909.446440123251</v>
      </c>
      <c r="Y123" s="539">
        <f>Equity!Y$86</f>
        <v>13909.446440123251</v>
      </c>
      <c r="Z123" s="539">
        <f>Equity!Z$86</f>
        <v>13909.446440123251</v>
      </c>
      <c r="AA123" s="539">
        <f>Equity!AA$86</f>
        <v>13909.446440123251</v>
      </c>
      <c r="AB123" s="539">
        <f>Equity!AB$86</f>
        <v>13909.446440123251</v>
      </c>
      <c r="AC123" s="539">
        <f>Equity!AC$86</f>
        <v>13909.446440123251</v>
      </c>
      <c r="AD123" s="539">
        <f>Equity!AD$86</f>
        <v>13909.446440123251</v>
      </c>
      <c r="AE123" s="539">
        <f>Equity!AE$86</f>
        <v>13909.446440123251</v>
      </c>
      <c r="AF123" s="539">
        <f>Equity!AF$86</f>
        <v>13909.446440123251</v>
      </c>
      <c r="AG123" s="539">
        <f>Equity!AG$86</f>
        <v>13909.446440123251</v>
      </c>
      <c r="AH123" s="539">
        <f>Equity!AH$86</f>
        <v>13909.446440123251</v>
      </c>
      <c r="AI123" s="539">
        <f>Equity!AI$86</f>
        <v>13909.446440123251</v>
      </c>
      <c r="AJ123" s="539">
        <f>Equity!AJ$86</f>
        <v>13909.446440123251</v>
      </c>
      <c r="AK123" s="539">
        <f>Equity!AK$86</f>
        <v>13909.446440123251</v>
      </c>
      <c r="AL123" s="539">
        <f>Equity!AL$86</f>
        <v>13909.446440123251</v>
      </c>
      <c r="AM123" s="539">
        <f>Equity!AM$86</f>
        <v>13909.446440123251</v>
      </c>
      <c r="AN123" s="539">
        <f>Equity!AN$86</f>
        <v>13909.446440123251</v>
      </c>
      <c r="AO123" s="539">
        <f>Equity!AO$86</f>
        <v>13909.446440123251</v>
      </c>
      <c r="AP123" s="539">
        <f>Equity!AP$86</f>
        <v>13909.446440123251</v>
      </c>
      <c r="AQ123" s="539">
        <f>Equity!AQ$86</f>
        <v>13909.446440123251</v>
      </c>
      <c r="AR123" s="539">
        <f>Equity!AR$86</f>
        <v>13909.446440123251</v>
      </c>
      <c r="AS123" s="539">
        <f>Equity!AS$86</f>
        <v>13909.446440123251</v>
      </c>
      <c r="AT123" s="539">
        <f>Equity!AT$86</f>
        <v>13909.446440123251</v>
      </c>
      <c r="AU123" s="539">
        <f>Equity!AU$86</f>
        <v>13909.446440123251</v>
      </c>
      <c r="AV123" s="539">
        <f>Equity!AV$86</f>
        <v>13909.446440123251</v>
      </c>
      <c r="AW123" s="539">
        <f>Equity!AW$86</f>
        <v>13909.446440123251</v>
      </c>
      <c r="AX123" s="539">
        <f>Equity!AX$86</f>
        <v>13909.446440123251</v>
      </c>
      <c r="AY123" s="539">
        <f>Equity!AY$86</f>
        <v>13909.446440123251</v>
      </c>
      <c r="AZ123" s="539">
        <f>Equity!AZ$86</f>
        <v>13909.446440123251</v>
      </c>
      <c r="BA123" s="539">
        <f>Equity!BA$86</f>
        <v>13909.446440123251</v>
      </c>
      <c r="BB123" s="539">
        <f>Equity!BB$86</f>
        <v>13909.446440123251</v>
      </c>
      <c r="BC123" s="539">
        <f>Equity!BC$86</f>
        <v>13909.446440123251</v>
      </c>
      <c r="BD123" s="539">
        <f>Equity!BD$86</f>
        <v>13909.446440123251</v>
      </c>
      <c r="BE123" s="539">
        <f>Equity!BE$86</f>
        <v>13909.446440123251</v>
      </c>
      <c r="BF123" s="539">
        <f>Equity!BF$86</f>
        <v>13909.446440123251</v>
      </c>
      <c r="BG123" s="539">
        <f>Equity!BG$86</f>
        <v>13909.446440123251</v>
      </c>
      <c r="BH123" s="539">
        <f>Equity!BH$86</f>
        <v>13909.446440123251</v>
      </c>
      <c r="BI123" s="539">
        <f>Equity!BI$86</f>
        <v>13909.446440123251</v>
      </c>
      <c r="BJ123" s="539">
        <f>Equity!BJ$86</f>
        <v>13909.446440123251</v>
      </c>
      <c r="BK123" s="539">
        <f>Equity!BK$86</f>
        <v>13909.446440123251</v>
      </c>
      <c r="BL123" s="539">
        <f>Equity!BL$86</f>
        <v>13909.446440123251</v>
      </c>
      <c r="BM123" s="539">
        <f>Equity!BM$86</f>
        <v>13909.446440123251</v>
      </c>
      <c r="BN123" s="539">
        <f>Equity!BN$86</f>
        <v>13909.446440123251</v>
      </c>
      <c r="BO123" s="539">
        <f>Equity!BO$86</f>
        <v>13909.446440123251</v>
      </c>
      <c r="BP123" s="539">
        <f>Equity!BP$86</f>
        <v>13909.446440123251</v>
      </c>
      <c r="BQ123" s="539">
        <f>Equity!BQ$86</f>
        <v>13909.446440123251</v>
      </c>
      <c r="BR123" s="539">
        <f>Equity!BR$86</f>
        <v>13909.446440123251</v>
      </c>
      <c r="BS123" s="539">
        <f>Equity!BS$86</f>
        <v>13909.446440123251</v>
      </c>
      <c r="BT123" s="539">
        <f>Equity!BT$86</f>
        <v>13909.446440123251</v>
      </c>
      <c r="BU123" s="539">
        <f>Equity!BU$86</f>
        <v>13909.446440123251</v>
      </c>
      <c r="BV123" s="539">
        <f>Equity!BV$86</f>
        <v>13909.446440123251</v>
      </c>
      <c r="BW123" s="539">
        <f>Equity!BW$86</f>
        <v>13909.446440123251</v>
      </c>
      <c r="BX123" s="539">
        <f>Equity!BX$86</f>
        <v>13909.446440123251</v>
      </c>
      <c r="BY123" s="539">
        <f>Equity!BY$86</f>
        <v>13909.446440123251</v>
      </c>
      <c r="BZ123" s="539">
        <f>Equity!BZ$86</f>
        <v>13909.446440123251</v>
      </c>
      <c r="CA123" s="539">
        <f>Equity!CA$86</f>
        <v>13909.446440123251</v>
      </c>
      <c r="CB123" s="539">
        <f>Equity!CB$86</f>
        <v>13909.446440123251</v>
      </c>
      <c r="CC123" s="539">
        <f>Equity!CC$86</f>
        <v>13909.446440123251</v>
      </c>
      <c r="CD123" s="539">
        <f>Equity!CD$86</f>
        <v>13909.446440123251</v>
      </c>
      <c r="CE123" s="539">
        <f>Equity!CE$86</f>
        <v>13909.446440123251</v>
      </c>
      <c r="CF123" s="539">
        <f>Equity!CF$86</f>
        <v>13909.446440123251</v>
      </c>
      <c r="CG123" s="539">
        <f>Equity!CG$86</f>
        <v>13909.446440123251</v>
      </c>
      <c r="CH123" s="539">
        <f>Equity!CH$86</f>
        <v>13909.446440123251</v>
      </c>
      <c r="CI123" s="539">
        <f>Equity!CI$86</f>
        <v>13909.446440123251</v>
      </c>
      <c r="CJ123" s="539">
        <f>Equity!CJ$86</f>
        <v>13909.446440123251</v>
      </c>
      <c r="CK123" s="539">
        <f>Equity!CK$86</f>
        <v>13909.446440123251</v>
      </c>
      <c r="CL123" s="539">
        <f>Equity!CL$86</f>
        <v>13909.446440123251</v>
      </c>
      <c r="CM123" s="539">
        <f>Equity!CM$86</f>
        <v>13909.446440123251</v>
      </c>
      <c r="CN123" s="539">
        <f>Equity!CN$86</f>
        <v>13909.446440123251</v>
      </c>
      <c r="CO123" s="539">
        <f>Equity!CO$86</f>
        <v>13909.446440123251</v>
      </c>
      <c r="CP123" s="539">
        <f>Equity!CP$86</f>
        <v>13909.446440123251</v>
      </c>
      <c r="CQ123" s="539">
        <f>Equity!CQ$86</f>
        <v>13909.446440123251</v>
      </c>
      <c r="CR123" s="539">
        <f>Equity!CR$86</f>
        <v>13909.446440123251</v>
      </c>
      <c r="CS123" s="539">
        <f>Equity!CS$86</f>
        <v>13909.446440123251</v>
      </c>
      <c r="CT123" s="539">
        <f>Equity!CT$86</f>
        <v>13909.446440123251</v>
      </c>
      <c r="CU123" s="539">
        <f>Equity!CU$86</f>
        <v>13909.446440123251</v>
      </c>
      <c r="CV123" s="539">
        <f>Equity!CV$86</f>
        <v>13909.446440123251</v>
      </c>
      <c r="CW123" s="539">
        <f>Equity!CW$86</f>
        <v>13909.446440123251</v>
      </c>
      <c r="CX123" s="539">
        <f>Equity!CX$86</f>
        <v>13909.446440123251</v>
      </c>
      <c r="CY123" s="539">
        <f>Equity!CY$86</f>
        <v>13909.446440123251</v>
      </c>
      <c r="CZ123" s="539">
        <f>Equity!CZ$86</f>
        <v>13909.446440123251</v>
      </c>
      <c r="DA123" s="539">
        <f>Equity!DA$86</f>
        <v>13909.446440123251</v>
      </c>
      <c r="DB123" s="539">
        <f>Equity!DB$86</f>
        <v>13909.446440123251</v>
      </c>
      <c r="DC123" s="539">
        <f>Equity!DC$86</f>
        <v>13909.446440123251</v>
      </c>
      <c r="DD123" s="539">
        <f>Equity!DD$86</f>
        <v>13909.446440123251</v>
      </c>
      <c r="DE123" s="539">
        <f>Equity!DE$86</f>
        <v>13909.446440123251</v>
      </c>
      <c r="DF123" s="539">
        <f>Equity!DF$86</f>
        <v>13909.446440123251</v>
      </c>
      <c r="DG123" s="539">
        <f>Equity!DG$86</f>
        <v>13909.446440123251</v>
      </c>
      <c r="DH123" s="539">
        <f>Equity!DH$86</f>
        <v>13909.446440123251</v>
      </c>
      <c r="DI123" s="539">
        <f>Equity!DI$86</f>
        <v>13909.446440123251</v>
      </c>
      <c r="DJ123" s="539">
        <f>Equity!DJ$86</f>
        <v>13909.446440123251</v>
      </c>
      <c r="DK123" s="539">
        <f>Equity!DK$86</f>
        <v>13909.446440123251</v>
      </c>
      <c r="DL123" s="539">
        <f>Equity!DL$86</f>
        <v>13909.446440123251</v>
      </c>
      <c r="DM123" s="539">
        <f>Equity!DM$86</f>
        <v>13909.446440123251</v>
      </c>
      <c r="DN123" s="539">
        <f>Equity!DN$86</f>
        <v>13909.446440123251</v>
      </c>
      <c r="DO123" s="539">
        <f>Equity!DO$86</f>
        <v>13909.446440123251</v>
      </c>
      <c r="DP123" s="539">
        <f>Equity!DP$86</f>
        <v>13909.446440123251</v>
      </c>
      <c r="DQ123" s="539">
        <f>Equity!DQ$86</f>
        <v>13909.446440123251</v>
      </c>
      <c r="DR123" s="539">
        <f>Equity!DR$86</f>
        <v>13909.446440123251</v>
      </c>
      <c r="DS123" s="539">
        <f>Equity!DS$86</f>
        <v>13909.446440123251</v>
      </c>
      <c r="DT123" s="539">
        <f>Equity!DT$86</f>
        <v>13909.446440123251</v>
      </c>
      <c r="DU123" s="539">
        <f>Equity!DU$86</f>
        <v>13909.446440123251</v>
      </c>
      <c r="DV123" s="539">
        <f>Equity!DV$86</f>
        <v>13909.446440123251</v>
      </c>
      <c r="DW123" s="539">
        <f>Equity!DW$86</f>
        <v>13909.446440123251</v>
      </c>
      <c r="DX123" s="539">
        <f>Equity!DX$86</f>
        <v>13909.446440123251</v>
      </c>
      <c r="DY123" s="539">
        <f>Equity!DY$86</f>
        <v>13909.446440123251</v>
      </c>
      <c r="DZ123" s="539">
        <f>Equity!DZ$86</f>
        <v>13909.446440123251</v>
      </c>
      <c r="EA123" s="539">
        <f>Equity!EA$86</f>
        <v>13909.446440123251</v>
      </c>
      <c r="EB123" s="539">
        <f>Equity!EB$86</f>
        <v>13909.446440123251</v>
      </c>
      <c r="EC123" s="539">
        <f>Equity!EC$86</f>
        <v>0</v>
      </c>
      <c r="ED123" s="539">
        <f>Equity!ED$86</f>
        <v>0</v>
      </c>
      <c r="EE123" s="539">
        <f>Equity!EE$86</f>
        <v>0</v>
      </c>
      <c r="EF123" s="539">
        <f>Equity!EF$86</f>
        <v>0</v>
      </c>
      <c r="EG123" s="539">
        <f>Equity!EG$86</f>
        <v>0</v>
      </c>
    </row>
    <row r="124" spans="5:137" ht="12.75">
      <c r="E124" s="551" t="s">
        <v>539</v>
      </c>
      <c r="F124" s="552"/>
      <c r="G124" s="552" t="s">
        <v>30</v>
      </c>
      <c r="H124" s="552">
        <f>SUM(J124:EG124)</f>
        <v>4070052.9170214422</v>
      </c>
      <c r="I124" s="552"/>
      <c r="J124" s="552">
        <f t="shared" si="25" ref="J124:EG124">J123+J38</f>
        <v>0</v>
      </c>
      <c r="K124" s="552">
        <f t="shared" si="25"/>
        <v>0</v>
      </c>
      <c r="L124" s="552">
        <f t="shared" si="25"/>
        <v>2263.8599437331595</v>
      </c>
      <c r="M124" s="552">
        <f t="shared" si="25"/>
        <v>4891.8981856439514</v>
      </c>
      <c r="N124" s="552">
        <f t="shared" si="25"/>
        <v>7522.3128522854022</v>
      </c>
      <c r="O124" s="552">
        <f t="shared" si="25"/>
        <v>10027.983767989183</v>
      </c>
      <c r="P124" s="552">
        <f t="shared" si="25"/>
        <v>12531.119497833619</v>
      </c>
      <c r="Q124" s="552">
        <f t="shared" si="25"/>
        <v>12996.899450207624</v>
      </c>
      <c r="R124" s="552">
        <f t="shared" si="25"/>
        <v>12671.541371369658</v>
      </c>
      <c r="S124" s="552">
        <f t="shared" si="25"/>
        <v>12333.403702603999</v>
      </c>
      <c r="T124" s="552">
        <f t="shared" si="25"/>
        <v>12004.228250971599</v>
      </c>
      <c r="U124" s="552">
        <f t="shared" si="25"/>
        <v>11662.123268586041</v>
      </c>
      <c r="V124" s="552">
        <f t="shared" si="25"/>
        <v>11317.984401784655</v>
      </c>
      <c r="W124" s="552">
        <f t="shared" si="25"/>
        <v>10994.134064711701</v>
      </c>
      <c r="X124" s="552">
        <f t="shared" si="25"/>
        <v>10646.023864835228</v>
      </c>
      <c r="Y124" s="552">
        <f t="shared" si="25"/>
        <v>10307.140200437583</v>
      </c>
      <c r="Z124" s="552">
        <f t="shared" si="25"/>
        <v>9954.9456808748764</v>
      </c>
      <c r="AA124" s="552">
        <f t="shared" si="25"/>
        <v>9612.0859502133517</v>
      </c>
      <c r="AB124" s="552">
        <f t="shared" si="25"/>
        <v>9255.7591903136963</v>
      </c>
      <c r="AC124" s="552">
        <f t="shared" si="25"/>
        <v>8897.3139946086085</v>
      </c>
      <c r="AD124" s="552">
        <f t="shared" si="25"/>
        <v>8548.36925972473</v>
      </c>
      <c r="AE124" s="552">
        <f t="shared" si="25"/>
        <v>8185.7184855281967</v>
      </c>
      <c r="AF124" s="552">
        <f t="shared" si="25"/>
        <v>7832.679639496183</v>
      </c>
      <c r="AG124" s="552">
        <f t="shared" si="25"/>
        <v>7465.7739434478799</v>
      </c>
      <c r="AH124" s="552">
        <f t="shared" si="25"/>
        <v>8090.6095967141837</v>
      </c>
      <c r="AI124" s="552">
        <f t="shared" si="25"/>
        <v>8718.7875505832417</v>
      </c>
      <c r="AJ124" s="552">
        <f t="shared" si="25"/>
        <v>9368.680666378219</v>
      </c>
      <c r="AK124" s="552">
        <f t="shared" si="25"/>
        <v>10083.08619199205</v>
      </c>
      <c r="AL124" s="552">
        <f t="shared" si="25"/>
        <v>11062.650263603278</v>
      </c>
      <c r="AM124" s="552">
        <f t="shared" si="25"/>
        <v>12069.38597027279</v>
      </c>
      <c r="AN124" s="552">
        <f t="shared" si="25"/>
        <v>13107.435244202909</v>
      </c>
      <c r="AO124" s="552">
        <f t="shared" si="25"/>
        <v>14216.880981009666</v>
      </c>
      <c r="AP124" s="552">
        <f t="shared" si="25"/>
        <v>15594.255604457587</v>
      </c>
      <c r="AQ124" s="552">
        <f t="shared" si="25"/>
        <v>17008.849081603745</v>
      </c>
      <c r="AR124" s="552">
        <f t="shared" si="25"/>
        <v>18465.146315915732</v>
      </c>
      <c r="AS124" s="552">
        <f t="shared" si="25"/>
        <v>20000.037712446567</v>
      </c>
      <c r="AT124" s="552">
        <f t="shared" si="25"/>
        <v>21771.098462889204</v>
      </c>
      <c r="AU124" s="552">
        <f t="shared" si="25"/>
        <v>23594.480404274364</v>
      </c>
      <c r="AV124" s="552">
        <f t="shared" si="25"/>
        <v>25438.80108147817</v>
      </c>
      <c r="AW124" s="552">
        <f t="shared" si="25"/>
        <v>27338.041495635232</v>
      </c>
      <c r="AX124" s="552">
        <f t="shared" si="25"/>
        <v>28176.102302435793</v>
      </c>
      <c r="AY124" s="552">
        <f t="shared" si="25"/>
        <v>29070.466077394107</v>
      </c>
      <c r="AZ124" s="552">
        <f t="shared" si="25"/>
        <v>30026.312616811661</v>
      </c>
      <c r="BA124" s="552">
        <f t="shared" si="25"/>
        <v>31076.187144390911</v>
      </c>
      <c r="BB124" s="552">
        <f t="shared" si="25"/>
        <v>33708.090747976072</v>
      </c>
      <c r="BC124" s="552">
        <f t="shared" si="25"/>
        <v>36407.417993718904</v>
      </c>
      <c r="BD124" s="552">
        <f t="shared" si="25"/>
        <v>39179.410661354486</v>
      </c>
      <c r="BE124" s="552">
        <f t="shared" si="25"/>
        <v>42051.428844268725</v>
      </c>
      <c r="BF124" s="552">
        <f t="shared" si="25"/>
        <v>42672.431971820923</v>
      </c>
      <c r="BG124" s="552">
        <f t="shared" si="25"/>
        <v>41892.796038389686</v>
      </c>
      <c r="BH124" s="552">
        <f t="shared" si="25"/>
        <v>41188.988069366314</v>
      </c>
      <c r="BI124" s="552">
        <f t="shared" si="25"/>
        <v>40561.212263955487</v>
      </c>
      <c r="BJ124" s="552">
        <f t="shared" si="25"/>
        <v>40005.234686096497</v>
      </c>
      <c r="BK124" s="552">
        <f t="shared" si="25"/>
        <v>39427.959331980273</v>
      </c>
      <c r="BL124" s="552">
        <f t="shared" si="25"/>
        <v>38896.405625204905</v>
      </c>
      <c r="BM124" s="552">
        <f t="shared" si="25"/>
        <v>38465.154768676774</v>
      </c>
      <c r="BN124" s="552">
        <f t="shared" si="25"/>
        <v>40102.554542435522</v>
      </c>
      <c r="BO124" s="552">
        <f t="shared" si="25"/>
        <v>41657.106832755744</v>
      </c>
      <c r="BP124" s="552">
        <f t="shared" si="25"/>
        <v>43336.437086726204</v>
      </c>
      <c r="BQ124" s="552">
        <f t="shared" si="25"/>
        <v>45118.129431995447</v>
      </c>
      <c r="BR124" s="552">
        <f t="shared" si="25"/>
        <v>43451.626819024124</v>
      </c>
      <c r="BS124" s="552">
        <f t="shared" si="25"/>
        <v>41704.846561724597</v>
      </c>
      <c r="BT124" s="552">
        <f t="shared" si="25"/>
        <v>39895.02919312696</v>
      </c>
      <c r="BU124" s="552">
        <f t="shared" si="25"/>
        <v>37779.426099676668</v>
      </c>
      <c r="BV124" s="552">
        <f t="shared" si="25"/>
        <v>37500.418988522943</v>
      </c>
      <c r="BW124" s="552">
        <f t="shared" si="25"/>
        <v>37930.922090176988</v>
      </c>
      <c r="BX124" s="552">
        <f t="shared" si="25"/>
        <v>38444.968260483904</v>
      </c>
      <c r="BY124" s="552">
        <f t="shared" si="25"/>
        <v>39045.511712944186</v>
      </c>
      <c r="BZ124" s="552">
        <f t="shared" si="25"/>
        <v>39707.33360034629</v>
      </c>
      <c r="CA124" s="552">
        <f t="shared" si="25"/>
        <v>40179.209399309417</v>
      </c>
      <c r="CB124" s="552">
        <f t="shared" si="25"/>
        <v>40753.075252292707</v>
      </c>
      <c r="CC124" s="552">
        <f t="shared" si="25"/>
        <v>41774.460628355941</v>
      </c>
      <c r="CD124" s="552">
        <f t="shared" si="25"/>
        <v>42420.127479555464</v>
      </c>
      <c r="CE124" s="552">
        <f t="shared" si="25"/>
        <v>42994.53958062618</v>
      </c>
      <c r="CF124" s="552">
        <f t="shared" si="25"/>
        <v>43637.21669023631</v>
      </c>
      <c r="CG124" s="552">
        <f t="shared" si="25"/>
        <v>44400.403338182659</v>
      </c>
      <c r="CH124" s="552">
        <f t="shared" si="25"/>
        <v>47538.453536327841</v>
      </c>
      <c r="CI124" s="552">
        <f t="shared" si="25"/>
        <v>50607.465756240053</v>
      </c>
      <c r="CJ124" s="552">
        <f t="shared" si="25"/>
        <v>54036.866306004551</v>
      </c>
      <c r="CK124" s="552">
        <f t="shared" si="25"/>
        <v>57587.828409603375</v>
      </c>
      <c r="CL124" s="552">
        <f t="shared" si="25"/>
        <v>56829.991323432798</v>
      </c>
      <c r="CM124" s="552">
        <f t="shared" si="25"/>
        <v>56009.331008336638</v>
      </c>
      <c r="CN124" s="552">
        <f t="shared" si="25"/>
        <v>54996.878118548746</v>
      </c>
      <c r="CO124" s="552">
        <f t="shared" si="25"/>
        <v>54086.523770549742</v>
      </c>
      <c r="CP124" s="552">
        <f t="shared" si="25"/>
        <v>55527.286963270031</v>
      </c>
      <c r="CQ124" s="552">
        <f t="shared" si="25"/>
        <v>56963.606820612069</v>
      </c>
      <c r="CR124" s="552">
        <f t="shared" si="25"/>
        <v>58460.628908899205</v>
      </c>
      <c r="CS124" s="552">
        <f t="shared" si="25"/>
        <v>60084.132389797524</v>
      </c>
      <c r="CT124" s="552">
        <f t="shared" si="25"/>
        <v>61847.183135682222</v>
      </c>
      <c r="CU124" s="552">
        <f t="shared" si="25"/>
        <v>63551.590448152929</v>
      </c>
      <c r="CV124" s="552">
        <f t="shared" si="25"/>
        <v>65347.252977174809</v>
      </c>
      <c r="CW124" s="552">
        <f t="shared" si="25"/>
        <v>67272.033755016964</v>
      </c>
      <c r="CX124" s="552">
        <f t="shared" si="25"/>
        <v>69333.625501641742</v>
      </c>
      <c r="CY124" s="552">
        <f t="shared" si="25"/>
        <v>71340.99289273929</v>
      </c>
      <c r="CZ124" s="552">
        <f t="shared" si="25"/>
        <v>68642.744121240001</v>
      </c>
      <c r="DA124" s="552">
        <f t="shared" si="25"/>
        <v>66038.84201035602</v>
      </c>
      <c r="DB124" s="552">
        <f t="shared" si="25"/>
        <v>66322.112887314681</v>
      </c>
      <c r="DC124" s="552">
        <f t="shared" si="25"/>
        <v>66516.492615403811</v>
      </c>
      <c r="DD124" s="552">
        <f t="shared" si="25"/>
        <v>66716.526860288446</v>
      </c>
      <c r="DE124" s="552">
        <f t="shared" si="25"/>
        <v>66945.473857320278</v>
      </c>
      <c r="DF124" s="552">
        <f t="shared" si="25"/>
        <v>62185.545111031621</v>
      </c>
      <c r="DG124" s="552">
        <f t="shared" si="25"/>
        <v>57384.876778252248</v>
      </c>
      <c r="DH124" s="552">
        <f t="shared" si="25"/>
        <v>52564.215091221879</v>
      </c>
      <c r="DI124" s="552">
        <f t="shared" si="25"/>
        <v>47771.873751060644</v>
      </c>
      <c r="DJ124" s="552">
        <f t="shared" si="25"/>
        <v>45573.050869672385</v>
      </c>
      <c r="DK124" s="552">
        <f t="shared" si="25"/>
        <v>43282.65194676879</v>
      </c>
      <c r="DL124" s="552">
        <f t="shared" si="25"/>
        <v>40996.33990838303</v>
      </c>
      <c r="DM124" s="552">
        <f t="shared" si="25"/>
        <v>38737.892076475102</v>
      </c>
      <c r="DN124" s="552">
        <f t="shared" si="25"/>
        <v>36553.180282348243</v>
      </c>
      <c r="DO124" s="552">
        <f t="shared" si="25"/>
        <v>34275.793867866407</v>
      </c>
      <c r="DP124" s="552">
        <f t="shared" si="25"/>
        <v>32001.903407309142</v>
      </c>
      <c r="DQ124" s="552">
        <f t="shared" si="25"/>
        <v>29755.533768695703</v>
      </c>
      <c r="DR124" s="552">
        <f t="shared" si="25"/>
        <v>27582.57299221474</v>
      </c>
      <c r="DS124" s="552">
        <f t="shared" si="25"/>
        <v>25315.974069583201</v>
      </c>
      <c r="DT124" s="552">
        <f t="shared" si="25"/>
        <v>23052.380357417831</v>
      </c>
      <c r="DU124" s="552">
        <f t="shared" si="25"/>
        <v>20816.057234381085</v>
      </c>
      <c r="DV124" s="552">
        <f t="shared" si="25"/>
        <v>18627.169408407535</v>
      </c>
      <c r="DW124" s="552">
        <f t="shared" si="25"/>
        <v>16395.216828213695</v>
      </c>
      <c r="DX124" s="552">
        <f t="shared" si="25"/>
        <v>14140.153142495847</v>
      </c>
      <c r="DY124" s="552">
        <f t="shared" si="25"/>
        <v>13909.446440123251</v>
      </c>
      <c r="DZ124" s="552">
        <f t="shared" si="25"/>
        <v>13909.446440123251</v>
      </c>
      <c r="EA124" s="552">
        <f t="shared" si="25"/>
        <v>13909.446440123251</v>
      </c>
      <c r="EB124" s="552">
        <f t="shared" si="25"/>
        <v>13909.446440123251</v>
      </c>
      <c r="EC124" s="552">
        <f t="shared" si="25"/>
        <v>2308.4176722000593</v>
      </c>
      <c r="ED124" s="552">
        <f t="shared" si="25"/>
        <v>0</v>
      </c>
      <c r="EE124" s="552">
        <f t="shared" si="25"/>
        <v>0</v>
      </c>
      <c r="EF124" s="552">
        <f t="shared" si="25"/>
        <v>0</v>
      </c>
      <c r="EG124" s="552">
        <f t="shared" si="25"/>
        <v>0</v>
      </c>
    </row>
    <row r="127" spans="1:1" ht="12.75">
      <c r="A127" s="534" t="s">
        <v>540</v>
      </c>
    </row>
    <row r="129" spans="2:2" ht="12.75">
      <c r="B129" s="534" t="s">
        <v>541</v>
      </c>
    </row>
    <row r="130" spans="5:137" ht="12.75">
      <c r="E130" s="538" t="str">
        <f>Time!E$108</f>
        <v>End of financial year flag</v>
      </c>
      <c r="G130" s="539" t="str">
        <f>Time!G$108</f>
        <v>flag</v>
      </c>
      <c r="H130" s="539">
        <f>Time!H$108</f>
        <v>28</v>
      </c>
      <c r="J130" s="539">
        <f>Time!J$108</f>
        <v>0</v>
      </c>
      <c r="K130" s="539">
        <f>Time!K$108</f>
        <v>0</v>
      </c>
      <c r="L130" s="539">
        <f>Time!L$108</f>
        <v>0</v>
      </c>
      <c r="M130" s="539">
        <f>Time!M$108</f>
        <v>0</v>
      </c>
      <c r="N130" s="539">
        <f>Time!N$108</f>
        <v>0</v>
      </c>
      <c r="O130" s="539">
        <f>Time!O$108</f>
        <v>0</v>
      </c>
      <c r="P130" s="539">
        <f>Time!P$108</f>
        <v>0</v>
      </c>
      <c r="Q130" s="539">
        <f>Time!Q$108</f>
        <v>0</v>
      </c>
      <c r="R130" s="539">
        <f>Time!R$108</f>
        <v>0</v>
      </c>
      <c r="S130" s="539">
        <f>Time!S$108</f>
        <v>0</v>
      </c>
      <c r="T130" s="539">
        <f>Time!T$108</f>
        <v>0</v>
      </c>
      <c r="U130" s="539">
        <f>Time!U$108</f>
        <v>1</v>
      </c>
      <c r="V130" s="539">
        <f>Time!V$108</f>
        <v>0</v>
      </c>
      <c r="W130" s="539">
        <f>Time!W$108</f>
        <v>0</v>
      </c>
      <c r="X130" s="539">
        <f>Time!X$108</f>
        <v>0</v>
      </c>
      <c r="Y130" s="539">
        <f>Time!Y$108</f>
        <v>0</v>
      </c>
      <c r="Z130" s="539">
        <f>Time!Z$108</f>
        <v>0</v>
      </c>
      <c r="AA130" s="539">
        <f>Time!AA$108</f>
        <v>0</v>
      </c>
      <c r="AB130" s="539">
        <f>Time!AB$108</f>
        <v>0</v>
      </c>
      <c r="AC130" s="539">
        <f>Time!AC$108</f>
        <v>0</v>
      </c>
      <c r="AD130" s="539">
        <f>Time!AD$108</f>
        <v>0</v>
      </c>
      <c r="AE130" s="539">
        <f>Time!AE$108</f>
        <v>0</v>
      </c>
      <c r="AF130" s="539">
        <f>Time!AF$108</f>
        <v>0</v>
      </c>
      <c r="AG130" s="539">
        <f>Time!AG$108</f>
        <v>1</v>
      </c>
      <c r="AH130" s="539">
        <f>Time!AH$108</f>
        <v>0</v>
      </c>
      <c r="AI130" s="539">
        <f>Time!AI$108</f>
        <v>0</v>
      </c>
      <c r="AJ130" s="539">
        <f>Time!AJ$108</f>
        <v>0</v>
      </c>
      <c r="AK130" s="539">
        <f>Time!AK$108</f>
        <v>1</v>
      </c>
      <c r="AL130" s="539">
        <f>Time!AL$108</f>
        <v>0</v>
      </c>
      <c r="AM130" s="539">
        <f>Time!AM$108</f>
        <v>0</v>
      </c>
      <c r="AN130" s="539">
        <f>Time!AN$108</f>
        <v>0</v>
      </c>
      <c r="AO130" s="539">
        <f>Time!AO$108</f>
        <v>1</v>
      </c>
      <c r="AP130" s="539">
        <f>Time!AP$108</f>
        <v>0</v>
      </c>
      <c r="AQ130" s="539">
        <f>Time!AQ$108</f>
        <v>0</v>
      </c>
      <c r="AR130" s="539">
        <f>Time!AR$108</f>
        <v>0</v>
      </c>
      <c r="AS130" s="539">
        <f>Time!AS$108</f>
        <v>1</v>
      </c>
      <c r="AT130" s="539">
        <f>Time!AT$108</f>
        <v>0</v>
      </c>
      <c r="AU130" s="539">
        <f>Time!AU$108</f>
        <v>0</v>
      </c>
      <c r="AV130" s="539">
        <f>Time!AV$108</f>
        <v>0</v>
      </c>
      <c r="AW130" s="539">
        <f>Time!AW$108</f>
        <v>1</v>
      </c>
      <c r="AX130" s="539">
        <f>Time!AX$108</f>
        <v>0</v>
      </c>
      <c r="AY130" s="539">
        <f>Time!AY$108</f>
        <v>0</v>
      </c>
      <c r="AZ130" s="539">
        <f>Time!AZ$108</f>
        <v>0</v>
      </c>
      <c r="BA130" s="539">
        <f>Time!BA$108</f>
        <v>1</v>
      </c>
      <c r="BB130" s="539">
        <f>Time!BB$108</f>
        <v>0</v>
      </c>
      <c r="BC130" s="539">
        <f>Time!BC$108</f>
        <v>0</v>
      </c>
      <c r="BD130" s="539">
        <f>Time!BD$108</f>
        <v>0</v>
      </c>
      <c r="BE130" s="539">
        <f>Time!BE$108</f>
        <v>1</v>
      </c>
      <c r="BF130" s="539">
        <f>Time!BF$108</f>
        <v>0</v>
      </c>
      <c r="BG130" s="539">
        <f>Time!BG$108</f>
        <v>0</v>
      </c>
      <c r="BH130" s="539">
        <f>Time!BH$108</f>
        <v>0</v>
      </c>
      <c r="BI130" s="539">
        <f>Time!BI$108</f>
        <v>1</v>
      </c>
      <c r="BJ130" s="539">
        <f>Time!BJ$108</f>
        <v>0</v>
      </c>
      <c r="BK130" s="539">
        <f>Time!BK$108</f>
        <v>0</v>
      </c>
      <c r="BL130" s="539">
        <f>Time!BL$108</f>
        <v>0</v>
      </c>
      <c r="BM130" s="539">
        <f>Time!BM$108</f>
        <v>1</v>
      </c>
      <c r="BN130" s="539">
        <f>Time!BN$108</f>
        <v>0</v>
      </c>
      <c r="BO130" s="539">
        <f>Time!BO$108</f>
        <v>0</v>
      </c>
      <c r="BP130" s="539">
        <f>Time!BP$108</f>
        <v>0</v>
      </c>
      <c r="BQ130" s="539">
        <f>Time!BQ$108</f>
        <v>1</v>
      </c>
      <c r="BR130" s="539">
        <f>Time!BR$108</f>
        <v>0</v>
      </c>
      <c r="BS130" s="539">
        <f>Time!BS$108</f>
        <v>0</v>
      </c>
      <c r="BT130" s="539">
        <f>Time!BT$108</f>
        <v>0</v>
      </c>
      <c r="BU130" s="539">
        <f>Time!BU$108</f>
        <v>1</v>
      </c>
      <c r="BV130" s="539">
        <f>Time!BV$108</f>
        <v>0</v>
      </c>
      <c r="BW130" s="539">
        <f>Time!BW$108</f>
        <v>0</v>
      </c>
      <c r="BX130" s="539">
        <f>Time!BX$108</f>
        <v>0</v>
      </c>
      <c r="BY130" s="539">
        <f>Time!BY$108</f>
        <v>1</v>
      </c>
      <c r="BZ130" s="539">
        <f>Time!BZ$108</f>
        <v>0</v>
      </c>
      <c r="CA130" s="539">
        <f>Time!CA$108</f>
        <v>0</v>
      </c>
      <c r="CB130" s="539">
        <f>Time!CB$108</f>
        <v>0</v>
      </c>
      <c r="CC130" s="539">
        <f>Time!CC$108</f>
        <v>1</v>
      </c>
      <c r="CD130" s="539">
        <f>Time!CD$108</f>
        <v>0</v>
      </c>
      <c r="CE130" s="539">
        <f>Time!CE$108</f>
        <v>0</v>
      </c>
      <c r="CF130" s="539">
        <f>Time!CF$108</f>
        <v>0</v>
      </c>
      <c r="CG130" s="539">
        <f>Time!CG$108</f>
        <v>1</v>
      </c>
      <c r="CH130" s="539">
        <f>Time!CH$108</f>
        <v>0</v>
      </c>
      <c r="CI130" s="539">
        <f>Time!CI$108</f>
        <v>0</v>
      </c>
      <c r="CJ130" s="539">
        <f>Time!CJ$108</f>
        <v>0</v>
      </c>
      <c r="CK130" s="539">
        <f>Time!CK$108</f>
        <v>1</v>
      </c>
      <c r="CL130" s="539">
        <f>Time!CL$108</f>
        <v>0</v>
      </c>
      <c r="CM130" s="539">
        <f>Time!CM$108</f>
        <v>0</v>
      </c>
      <c r="CN130" s="539">
        <f>Time!CN$108</f>
        <v>0</v>
      </c>
      <c r="CO130" s="539">
        <f>Time!CO$108</f>
        <v>1</v>
      </c>
      <c r="CP130" s="539">
        <f>Time!CP$108</f>
        <v>0</v>
      </c>
      <c r="CQ130" s="539">
        <f>Time!CQ$108</f>
        <v>0</v>
      </c>
      <c r="CR130" s="539">
        <f>Time!CR$108</f>
        <v>0</v>
      </c>
      <c r="CS130" s="539">
        <f>Time!CS$108</f>
        <v>1</v>
      </c>
      <c r="CT130" s="539">
        <f>Time!CT$108</f>
        <v>0</v>
      </c>
      <c r="CU130" s="539">
        <f>Time!CU$108</f>
        <v>0</v>
      </c>
      <c r="CV130" s="539">
        <f>Time!CV$108</f>
        <v>0</v>
      </c>
      <c r="CW130" s="539">
        <f>Time!CW$108</f>
        <v>1</v>
      </c>
      <c r="CX130" s="539">
        <f>Time!CX$108</f>
        <v>0</v>
      </c>
      <c r="CY130" s="539">
        <f>Time!CY$108</f>
        <v>0</v>
      </c>
      <c r="CZ130" s="539">
        <f>Time!CZ$108</f>
        <v>0</v>
      </c>
      <c r="DA130" s="539">
        <f>Time!DA$108</f>
        <v>1</v>
      </c>
      <c r="DB130" s="539">
        <f>Time!DB$108</f>
        <v>0</v>
      </c>
      <c r="DC130" s="539">
        <f>Time!DC$108</f>
        <v>0</v>
      </c>
      <c r="DD130" s="539">
        <f>Time!DD$108</f>
        <v>0</v>
      </c>
      <c r="DE130" s="539">
        <f>Time!DE$108</f>
        <v>1</v>
      </c>
      <c r="DF130" s="539">
        <f>Time!DF$108</f>
        <v>0</v>
      </c>
      <c r="DG130" s="539">
        <f>Time!DG$108</f>
        <v>0</v>
      </c>
      <c r="DH130" s="539">
        <f>Time!DH$108</f>
        <v>0</v>
      </c>
      <c r="DI130" s="539">
        <f>Time!DI$108</f>
        <v>1</v>
      </c>
      <c r="DJ130" s="539">
        <f>Time!DJ$108</f>
        <v>0</v>
      </c>
      <c r="DK130" s="539">
        <f>Time!DK$108</f>
        <v>0</v>
      </c>
      <c r="DL130" s="539">
        <f>Time!DL$108</f>
        <v>0</v>
      </c>
      <c r="DM130" s="539">
        <f>Time!DM$108</f>
        <v>1</v>
      </c>
      <c r="DN130" s="539">
        <f>Time!DN$108</f>
        <v>0</v>
      </c>
      <c r="DO130" s="539">
        <f>Time!DO$108</f>
        <v>0</v>
      </c>
      <c r="DP130" s="539">
        <f>Time!DP$108</f>
        <v>0</v>
      </c>
      <c r="DQ130" s="539">
        <f>Time!DQ$108</f>
        <v>1</v>
      </c>
      <c r="DR130" s="539">
        <f>Time!DR$108</f>
        <v>0</v>
      </c>
      <c r="DS130" s="539">
        <f>Time!DS$108</f>
        <v>0</v>
      </c>
      <c r="DT130" s="539">
        <f>Time!DT$108</f>
        <v>0</v>
      </c>
      <c r="DU130" s="539">
        <f>Time!DU$108</f>
        <v>1</v>
      </c>
      <c r="DV130" s="539">
        <f>Time!DV$108</f>
        <v>0</v>
      </c>
      <c r="DW130" s="539">
        <f>Time!DW$108</f>
        <v>0</v>
      </c>
      <c r="DX130" s="539">
        <f>Time!DX$108</f>
        <v>0</v>
      </c>
      <c r="DY130" s="539">
        <f>Time!DY$108</f>
        <v>1</v>
      </c>
      <c r="DZ130" s="539">
        <f>Time!DZ$108</f>
        <v>0</v>
      </c>
      <c r="EA130" s="539">
        <f>Time!EA$108</f>
        <v>0</v>
      </c>
      <c r="EB130" s="539">
        <f>Time!EB$108</f>
        <v>0</v>
      </c>
      <c r="EC130" s="539">
        <f>Time!EC$108</f>
        <v>1</v>
      </c>
      <c r="ED130" s="539">
        <f>Time!ED$108</f>
        <v>0</v>
      </c>
      <c r="EE130" s="539">
        <f>Time!EE$108</f>
        <v>0</v>
      </c>
      <c r="EF130" s="539">
        <f>Time!EF$108</f>
        <v>0</v>
      </c>
      <c r="EG130" s="539">
        <f>Time!EG$108</f>
        <v>1</v>
      </c>
    </row>
    <row r="131" spans="5:137" ht="12.75">
      <c r="E131" s="538" t="str">
        <f>Time!E$117</f>
        <v>Financial year</v>
      </c>
      <c r="G131" s="539" t="str">
        <f>Time!G$117</f>
        <v>year #</v>
      </c>
      <c r="H131" s="539">
        <f>Time!H$117</f>
        <v>260976</v>
      </c>
      <c r="J131" s="539">
        <f>Time!J$117</f>
        <v>2027</v>
      </c>
      <c r="K131" s="539">
        <f>Time!K$117</f>
        <v>2027</v>
      </c>
      <c r="L131" s="539">
        <f>Time!L$117</f>
        <v>2027</v>
      </c>
      <c r="M131" s="539">
        <f>Time!M$117</f>
        <v>2027</v>
      </c>
      <c r="N131" s="539">
        <f>Time!N$117</f>
        <v>2027</v>
      </c>
      <c r="O131" s="539">
        <f>Time!O$117</f>
        <v>2027</v>
      </c>
      <c r="P131" s="539">
        <f>Time!P$117</f>
        <v>2027</v>
      </c>
      <c r="Q131" s="539">
        <f>Time!Q$117</f>
        <v>2027</v>
      </c>
      <c r="R131" s="539">
        <f>Time!R$117</f>
        <v>2027</v>
      </c>
      <c r="S131" s="539">
        <f>Time!S$117</f>
        <v>2027</v>
      </c>
      <c r="T131" s="539">
        <f>Time!T$117</f>
        <v>2027</v>
      </c>
      <c r="U131" s="539">
        <f>Time!U$117</f>
        <v>2027</v>
      </c>
      <c r="V131" s="539">
        <f>Time!V$117</f>
        <v>2028</v>
      </c>
      <c r="W131" s="539">
        <f>Time!W$117</f>
        <v>2028</v>
      </c>
      <c r="X131" s="539">
        <f>Time!X$117</f>
        <v>2028</v>
      </c>
      <c r="Y131" s="539">
        <f>Time!Y$117</f>
        <v>2028</v>
      </c>
      <c r="Z131" s="539">
        <f>Time!Z$117</f>
        <v>2028</v>
      </c>
      <c r="AA131" s="539">
        <f>Time!AA$117</f>
        <v>2028</v>
      </c>
      <c r="AB131" s="539">
        <f>Time!AB$117</f>
        <v>2028</v>
      </c>
      <c r="AC131" s="539">
        <f>Time!AC$117</f>
        <v>2028</v>
      </c>
      <c r="AD131" s="539">
        <f>Time!AD$117</f>
        <v>2028</v>
      </c>
      <c r="AE131" s="539">
        <f>Time!AE$117</f>
        <v>2028</v>
      </c>
      <c r="AF131" s="539">
        <f>Time!AF$117</f>
        <v>2028</v>
      </c>
      <c r="AG131" s="539">
        <f>Time!AG$117</f>
        <v>2028</v>
      </c>
      <c r="AH131" s="539">
        <f>Time!AH$117</f>
        <v>2029</v>
      </c>
      <c r="AI131" s="539">
        <f>Time!AI$117</f>
        <v>2029</v>
      </c>
      <c r="AJ131" s="539">
        <f>Time!AJ$117</f>
        <v>2029</v>
      </c>
      <c r="AK131" s="539">
        <f>Time!AK$117</f>
        <v>2029</v>
      </c>
      <c r="AL131" s="539">
        <f>Time!AL$117</f>
        <v>2030</v>
      </c>
      <c r="AM131" s="539">
        <f>Time!AM$117</f>
        <v>2030</v>
      </c>
      <c r="AN131" s="539">
        <f>Time!AN$117</f>
        <v>2030</v>
      </c>
      <c r="AO131" s="539">
        <f>Time!AO$117</f>
        <v>2030</v>
      </c>
      <c r="AP131" s="539">
        <f>Time!AP$117</f>
        <v>2031</v>
      </c>
      <c r="AQ131" s="539">
        <f>Time!AQ$117</f>
        <v>2031</v>
      </c>
      <c r="AR131" s="539">
        <f>Time!AR$117</f>
        <v>2031</v>
      </c>
      <c r="AS131" s="539">
        <f>Time!AS$117</f>
        <v>2031</v>
      </c>
      <c r="AT131" s="539">
        <f>Time!AT$117</f>
        <v>2032</v>
      </c>
      <c r="AU131" s="539">
        <f>Time!AU$117</f>
        <v>2032</v>
      </c>
      <c r="AV131" s="539">
        <f>Time!AV$117</f>
        <v>2032</v>
      </c>
      <c r="AW131" s="539">
        <f>Time!AW$117</f>
        <v>2032</v>
      </c>
      <c r="AX131" s="539">
        <f>Time!AX$117</f>
        <v>2033</v>
      </c>
      <c r="AY131" s="539">
        <f>Time!AY$117</f>
        <v>2033</v>
      </c>
      <c r="AZ131" s="539">
        <f>Time!AZ$117</f>
        <v>2033</v>
      </c>
      <c r="BA131" s="539">
        <f>Time!BA$117</f>
        <v>2033</v>
      </c>
      <c r="BB131" s="539">
        <f>Time!BB$117</f>
        <v>2034</v>
      </c>
      <c r="BC131" s="539">
        <f>Time!BC$117</f>
        <v>2034</v>
      </c>
      <c r="BD131" s="539">
        <f>Time!BD$117</f>
        <v>2034</v>
      </c>
      <c r="BE131" s="539">
        <f>Time!BE$117</f>
        <v>2034</v>
      </c>
      <c r="BF131" s="539">
        <f>Time!BF$117</f>
        <v>2035</v>
      </c>
      <c r="BG131" s="539">
        <f>Time!BG$117</f>
        <v>2035</v>
      </c>
      <c r="BH131" s="539">
        <f>Time!BH$117</f>
        <v>2035</v>
      </c>
      <c r="BI131" s="539">
        <f>Time!BI$117</f>
        <v>2035</v>
      </c>
      <c r="BJ131" s="539">
        <f>Time!BJ$117</f>
        <v>2036</v>
      </c>
      <c r="BK131" s="539">
        <f>Time!BK$117</f>
        <v>2036</v>
      </c>
      <c r="BL131" s="539">
        <f>Time!BL$117</f>
        <v>2036</v>
      </c>
      <c r="BM131" s="539">
        <f>Time!BM$117</f>
        <v>2036</v>
      </c>
      <c r="BN131" s="539">
        <f>Time!BN$117</f>
        <v>2037</v>
      </c>
      <c r="BO131" s="539">
        <f>Time!BO$117</f>
        <v>2037</v>
      </c>
      <c r="BP131" s="539">
        <f>Time!BP$117</f>
        <v>2037</v>
      </c>
      <c r="BQ131" s="539">
        <f>Time!BQ$117</f>
        <v>2037</v>
      </c>
      <c r="BR131" s="539">
        <f>Time!BR$117</f>
        <v>2038</v>
      </c>
      <c r="BS131" s="539">
        <f>Time!BS$117</f>
        <v>2038</v>
      </c>
      <c r="BT131" s="539">
        <f>Time!BT$117</f>
        <v>2038</v>
      </c>
      <c r="BU131" s="539">
        <f>Time!BU$117</f>
        <v>2038</v>
      </c>
      <c r="BV131" s="539">
        <f>Time!BV$117</f>
        <v>2039</v>
      </c>
      <c r="BW131" s="539">
        <f>Time!BW$117</f>
        <v>2039</v>
      </c>
      <c r="BX131" s="539">
        <f>Time!BX$117</f>
        <v>2039</v>
      </c>
      <c r="BY131" s="539">
        <f>Time!BY$117</f>
        <v>2039</v>
      </c>
      <c r="BZ131" s="539">
        <f>Time!BZ$117</f>
        <v>2040</v>
      </c>
      <c r="CA131" s="539">
        <f>Time!CA$117</f>
        <v>2040</v>
      </c>
      <c r="CB131" s="539">
        <f>Time!CB$117</f>
        <v>2040</v>
      </c>
      <c r="CC131" s="539">
        <f>Time!CC$117</f>
        <v>2040</v>
      </c>
      <c r="CD131" s="539">
        <f>Time!CD$117</f>
        <v>2041</v>
      </c>
      <c r="CE131" s="539">
        <f>Time!CE$117</f>
        <v>2041</v>
      </c>
      <c r="CF131" s="539">
        <f>Time!CF$117</f>
        <v>2041</v>
      </c>
      <c r="CG131" s="539">
        <f>Time!CG$117</f>
        <v>2041</v>
      </c>
      <c r="CH131" s="539">
        <f>Time!CH$117</f>
        <v>2042</v>
      </c>
      <c r="CI131" s="539">
        <f>Time!CI$117</f>
        <v>2042</v>
      </c>
      <c r="CJ131" s="539">
        <f>Time!CJ$117</f>
        <v>2042</v>
      </c>
      <c r="CK131" s="539">
        <f>Time!CK$117</f>
        <v>2042</v>
      </c>
      <c r="CL131" s="539">
        <f>Time!CL$117</f>
        <v>2043</v>
      </c>
      <c r="CM131" s="539">
        <f>Time!CM$117</f>
        <v>2043</v>
      </c>
      <c r="CN131" s="539">
        <f>Time!CN$117</f>
        <v>2043</v>
      </c>
      <c r="CO131" s="539">
        <f>Time!CO$117</f>
        <v>2043</v>
      </c>
      <c r="CP131" s="539">
        <f>Time!CP$117</f>
        <v>2044</v>
      </c>
      <c r="CQ131" s="539">
        <f>Time!CQ$117</f>
        <v>2044</v>
      </c>
      <c r="CR131" s="539">
        <f>Time!CR$117</f>
        <v>2044</v>
      </c>
      <c r="CS131" s="539">
        <f>Time!CS$117</f>
        <v>2044</v>
      </c>
      <c r="CT131" s="539">
        <f>Time!CT$117</f>
        <v>2045</v>
      </c>
      <c r="CU131" s="539">
        <f>Time!CU$117</f>
        <v>2045</v>
      </c>
      <c r="CV131" s="539">
        <f>Time!CV$117</f>
        <v>2045</v>
      </c>
      <c r="CW131" s="539">
        <f>Time!CW$117</f>
        <v>2045</v>
      </c>
      <c r="CX131" s="539">
        <f>Time!CX$117</f>
        <v>2046</v>
      </c>
      <c r="CY131" s="539">
        <f>Time!CY$117</f>
        <v>2046</v>
      </c>
      <c r="CZ131" s="539">
        <f>Time!CZ$117</f>
        <v>2046</v>
      </c>
      <c r="DA131" s="539">
        <f>Time!DA$117</f>
        <v>2046</v>
      </c>
      <c r="DB131" s="539">
        <f>Time!DB$117</f>
        <v>2047</v>
      </c>
      <c r="DC131" s="539">
        <f>Time!DC$117</f>
        <v>2047</v>
      </c>
      <c r="DD131" s="539">
        <f>Time!DD$117</f>
        <v>2047</v>
      </c>
      <c r="DE131" s="539">
        <f>Time!DE$117</f>
        <v>2047</v>
      </c>
      <c r="DF131" s="539">
        <f>Time!DF$117</f>
        <v>2048</v>
      </c>
      <c r="DG131" s="539">
        <f>Time!DG$117</f>
        <v>2048</v>
      </c>
      <c r="DH131" s="539">
        <f>Time!DH$117</f>
        <v>2048</v>
      </c>
      <c r="DI131" s="539">
        <f>Time!DI$117</f>
        <v>2048</v>
      </c>
      <c r="DJ131" s="539">
        <f>Time!DJ$117</f>
        <v>2049</v>
      </c>
      <c r="DK131" s="539">
        <f>Time!DK$117</f>
        <v>2049</v>
      </c>
      <c r="DL131" s="539">
        <f>Time!DL$117</f>
        <v>2049</v>
      </c>
      <c r="DM131" s="539">
        <f>Time!DM$117</f>
        <v>2049</v>
      </c>
      <c r="DN131" s="539">
        <f>Time!DN$117</f>
        <v>2050</v>
      </c>
      <c r="DO131" s="539">
        <f>Time!DO$117</f>
        <v>2050</v>
      </c>
      <c r="DP131" s="539">
        <f>Time!DP$117</f>
        <v>2050</v>
      </c>
      <c r="DQ131" s="539">
        <f>Time!DQ$117</f>
        <v>2050</v>
      </c>
      <c r="DR131" s="539">
        <f>Time!DR$117</f>
        <v>2051</v>
      </c>
      <c r="DS131" s="539">
        <f>Time!DS$117</f>
        <v>2051</v>
      </c>
      <c r="DT131" s="539">
        <f>Time!DT$117</f>
        <v>2051</v>
      </c>
      <c r="DU131" s="539">
        <f>Time!DU$117</f>
        <v>2051</v>
      </c>
      <c r="DV131" s="539">
        <f>Time!DV$117</f>
        <v>2052</v>
      </c>
      <c r="DW131" s="539">
        <f>Time!DW$117</f>
        <v>2052</v>
      </c>
      <c r="DX131" s="539">
        <f>Time!DX$117</f>
        <v>2052</v>
      </c>
      <c r="DY131" s="539">
        <f>Time!DY$117</f>
        <v>2052</v>
      </c>
      <c r="DZ131" s="539">
        <f>Time!DZ$117</f>
        <v>2053</v>
      </c>
      <c r="EA131" s="539">
        <f>Time!EA$117</f>
        <v>2053</v>
      </c>
      <c r="EB131" s="539">
        <f>Time!EB$117</f>
        <v>2053</v>
      </c>
      <c r="EC131" s="539">
        <f>Time!EC$117</f>
        <v>2053</v>
      </c>
      <c r="ED131" s="539">
        <f>Time!ED$117</f>
        <v>2054</v>
      </c>
      <c r="EE131" s="539">
        <f>Time!EE$117</f>
        <v>2054</v>
      </c>
      <c r="EF131" s="539">
        <f>Time!EF$117</f>
        <v>2054</v>
      </c>
      <c r="EG131" s="539">
        <f>Time!EG$117</f>
        <v>2054</v>
      </c>
    </row>
    <row r="132" spans="5:137" ht="12.75">
      <c r="E132" s="551" t="s">
        <v>542</v>
      </c>
      <c r="F132" s="552"/>
      <c r="G132" s="552" t="s">
        <v>30</v>
      </c>
      <c r="H132" s="552">
        <f>SUM(J132:EG132)</f>
        <v>1081157.2515638508</v>
      </c>
      <c r="I132" s="552"/>
      <c r="J132" s="552">
        <f t="shared" si="26" ref="J132:EG132">IF(J130=1,SUMIFS($I12:I12,$I131:I131,J131)+J12,0)</f>
        <v>0</v>
      </c>
      <c r="K132" s="552">
        <f t="shared" si="26"/>
        <v>0</v>
      </c>
      <c r="L132" s="552">
        <f t="shared" si="26"/>
        <v>0</v>
      </c>
      <c r="M132" s="552">
        <f t="shared" si="26"/>
        <v>0</v>
      </c>
      <c r="N132" s="552">
        <f t="shared" si="26"/>
        <v>0</v>
      </c>
      <c r="O132" s="552">
        <f t="shared" si="26"/>
        <v>0</v>
      </c>
      <c r="P132" s="552">
        <f t="shared" si="26"/>
        <v>0</v>
      </c>
      <c r="Q132" s="552">
        <f t="shared" si="26"/>
        <v>0</v>
      </c>
      <c r="R132" s="552">
        <f t="shared" si="26"/>
        <v>0</v>
      </c>
      <c r="S132" s="552">
        <f t="shared" si="26"/>
        <v>0</v>
      </c>
      <c r="T132" s="552">
        <f t="shared" si="26"/>
        <v>0</v>
      </c>
      <c r="U132" s="552">
        <f t="shared" si="26"/>
        <v>0</v>
      </c>
      <c r="V132" s="552">
        <f t="shared" si="26"/>
        <v>0</v>
      </c>
      <c r="W132" s="552">
        <f t="shared" si="26"/>
        <v>0</v>
      </c>
      <c r="X132" s="552">
        <f t="shared" si="26"/>
        <v>0</v>
      </c>
      <c r="Y132" s="552">
        <f t="shared" si="26"/>
        <v>0</v>
      </c>
      <c r="Z132" s="552">
        <f t="shared" si="26"/>
        <v>0</v>
      </c>
      <c r="AA132" s="552">
        <f t="shared" si="26"/>
        <v>0</v>
      </c>
      <c r="AB132" s="552">
        <f t="shared" si="26"/>
        <v>0</v>
      </c>
      <c r="AC132" s="552">
        <f t="shared" si="26"/>
        <v>0</v>
      </c>
      <c r="AD132" s="552">
        <f t="shared" si="26"/>
        <v>0</v>
      </c>
      <c r="AE132" s="552">
        <f t="shared" si="26"/>
        <v>0</v>
      </c>
      <c r="AF132" s="552">
        <f t="shared" si="26"/>
        <v>0</v>
      </c>
      <c r="AG132" s="552">
        <f t="shared" si="26"/>
        <v>0</v>
      </c>
      <c r="AH132" s="552">
        <f t="shared" si="26"/>
        <v>0</v>
      </c>
      <c r="AI132" s="552">
        <f t="shared" si="26"/>
        <v>0</v>
      </c>
      <c r="AJ132" s="552">
        <f t="shared" si="26"/>
        <v>0</v>
      </c>
      <c r="AK132" s="552">
        <f t="shared" si="26"/>
        <v>35983.603749999995</v>
      </c>
      <c r="AL132" s="552">
        <f t="shared" si="26"/>
        <v>0</v>
      </c>
      <c r="AM132" s="552">
        <f t="shared" si="26"/>
        <v>0</v>
      </c>
      <c r="AN132" s="552">
        <f t="shared" si="26"/>
        <v>0</v>
      </c>
      <c r="AO132" s="552">
        <f t="shared" si="26"/>
        <v>36615.702543749998</v>
      </c>
      <c r="AP132" s="552">
        <f t="shared" si="26"/>
        <v>0</v>
      </c>
      <c r="AQ132" s="552">
        <f t="shared" si="26"/>
        <v>0</v>
      </c>
      <c r="AR132" s="552">
        <f t="shared" si="26"/>
        <v>0</v>
      </c>
      <c r="AS132" s="552">
        <f t="shared" si="26"/>
        <v>37258.188756343749</v>
      </c>
      <c r="AT132" s="552">
        <f t="shared" si="26"/>
        <v>0</v>
      </c>
      <c r="AU132" s="552">
        <f t="shared" si="26"/>
        <v>0</v>
      </c>
      <c r="AV132" s="552">
        <f t="shared" si="26"/>
        <v>0</v>
      </c>
      <c r="AW132" s="552">
        <f t="shared" si="26"/>
        <v>37911.205815482346</v>
      </c>
      <c r="AX132" s="552">
        <f t="shared" si="26"/>
        <v>0</v>
      </c>
      <c r="AY132" s="552">
        <f t="shared" si="26"/>
        <v>0</v>
      </c>
      <c r="AZ132" s="552">
        <f t="shared" si="26"/>
        <v>0</v>
      </c>
      <c r="BA132" s="552">
        <f t="shared" si="26"/>
        <v>31616.737661424166</v>
      </c>
      <c r="BB132" s="552">
        <f t="shared" si="26"/>
        <v>0</v>
      </c>
      <c r="BC132" s="552">
        <f t="shared" si="26"/>
        <v>0</v>
      </c>
      <c r="BD132" s="552">
        <f t="shared" si="26"/>
        <v>0</v>
      </c>
      <c r="BE132" s="552">
        <f t="shared" si="26"/>
        <v>39249.41126047921</v>
      </c>
      <c r="BF132" s="552">
        <f t="shared" si="26"/>
        <v>0</v>
      </c>
      <c r="BG132" s="552">
        <f t="shared" si="26"/>
        <v>0</v>
      </c>
      <c r="BH132" s="552">
        <f t="shared" si="26"/>
        <v>0</v>
      </c>
      <c r="BI132" s="552">
        <f t="shared" si="26"/>
        <v>39934.89147713744</v>
      </c>
      <c r="BJ132" s="552">
        <f t="shared" si="26"/>
        <v>0</v>
      </c>
      <c r="BK132" s="552">
        <f t="shared" si="26"/>
        <v>0</v>
      </c>
      <c r="BL132" s="552">
        <f t="shared" si="26"/>
        <v>0</v>
      </c>
      <c r="BM132" s="552">
        <f t="shared" si="26"/>
        <v>40631.486129448676</v>
      </c>
      <c r="BN132" s="552">
        <f t="shared" si="26"/>
        <v>0</v>
      </c>
      <c r="BO132" s="552">
        <f t="shared" si="26"/>
        <v>0</v>
      </c>
      <c r="BP132" s="552">
        <f t="shared" si="26"/>
        <v>0</v>
      </c>
      <c r="BQ132" s="552">
        <f t="shared" si="26"/>
        <v>41339.343402855011</v>
      </c>
      <c r="BR132" s="552">
        <f t="shared" si="26"/>
        <v>0</v>
      </c>
      <c r="BS132" s="552">
        <f t="shared" si="26"/>
        <v>0</v>
      </c>
      <c r="BT132" s="552">
        <f t="shared" si="26"/>
        <v>0</v>
      </c>
      <c r="BU132" s="552">
        <f t="shared" si="26"/>
        <v>34186.092370396356</v>
      </c>
      <c r="BV132" s="552">
        <f t="shared" si="26"/>
        <v>0</v>
      </c>
      <c r="BW132" s="552">
        <f t="shared" si="26"/>
        <v>0</v>
      </c>
      <c r="BX132" s="552">
        <f t="shared" si="26"/>
        <v>0</v>
      </c>
      <c r="BY132" s="552">
        <f t="shared" si="26"/>
        <v>42789.442681902328</v>
      </c>
      <c r="BZ132" s="552">
        <f t="shared" si="26"/>
        <v>0</v>
      </c>
      <c r="CA132" s="552">
        <f t="shared" si="26"/>
        <v>0</v>
      </c>
      <c r="CB132" s="552">
        <f t="shared" si="26"/>
        <v>0</v>
      </c>
      <c r="CC132" s="552">
        <f t="shared" si="26"/>
        <v>43531.985048385832</v>
      </c>
      <c r="CD132" s="552">
        <f t="shared" si="26"/>
        <v>0</v>
      </c>
      <c r="CE132" s="552">
        <f t="shared" si="26"/>
        <v>0</v>
      </c>
      <c r="CF132" s="552">
        <f t="shared" si="26"/>
        <v>0</v>
      </c>
      <c r="CG132" s="552">
        <f t="shared" si="26"/>
        <v>44286.390659798461</v>
      </c>
      <c r="CH132" s="552">
        <f t="shared" si="26"/>
        <v>0</v>
      </c>
      <c r="CI132" s="552">
        <f t="shared" si="26"/>
        <v>0</v>
      </c>
      <c r="CJ132" s="552">
        <f t="shared" si="26"/>
        <v>0</v>
      </c>
      <c r="CK132" s="552">
        <f t="shared" si="26"/>
        <v>45052.811397772086</v>
      </c>
      <c r="CL132" s="552">
        <f t="shared" si="26"/>
        <v>0</v>
      </c>
      <c r="CM132" s="552">
        <f t="shared" si="26"/>
        <v>0</v>
      </c>
      <c r="CN132" s="552">
        <f t="shared" si="26"/>
        <v>0</v>
      </c>
      <c r="CO132" s="552">
        <f t="shared" si="26"/>
        <v>36924.366002230039</v>
      </c>
      <c r="CP132" s="552">
        <f t="shared" si="26"/>
        <v>0</v>
      </c>
      <c r="CQ132" s="552">
        <f t="shared" si="26"/>
        <v>0</v>
      </c>
      <c r="CR132" s="552">
        <f t="shared" si="26"/>
        <v>0</v>
      </c>
      <c r="CS132" s="552">
        <f t="shared" si="26"/>
        <v>46622.308631840664</v>
      </c>
      <c r="CT132" s="552">
        <f t="shared" si="26"/>
        <v>0</v>
      </c>
      <c r="CU132" s="552">
        <f t="shared" si="26"/>
        <v>0</v>
      </c>
      <c r="CV132" s="552">
        <f t="shared" si="26"/>
        <v>0</v>
      </c>
      <c r="CW132" s="552">
        <f t="shared" si="26"/>
        <v>47425.691561769177</v>
      </c>
      <c r="CX132" s="552">
        <f t="shared" si="26"/>
        <v>0</v>
      </c>
      <c r="CY132" s="552">
        <f t="shared" si="26"/>
        <v>0</v>
      </c>
      <c r="CZ132" s="552">
        <f t="shared" si="26"/>
        <v>0</v>
      </c>
      <c r="DA132" s="552">
        <f t="shared" si="26"/>
        <v>48241.702357320479</v>
      </c>
      <c r="DB132" s="552">
        <f t="shared" si="26"/>
        <v>0</v>
      </c>
      <c r="DC132" s="552">
        <f t="shared" si="26"/>
        <v>0</v>
      </c>
      <c r="DD132" s="552">
        <f t="shared" si="26"/>
        <v>0</v>
      </c>
      <c r="DE132" s="552">
        <f t="shared" si="26"/>
        <v>49070.495184625383</v>
      </c>
      <c r="DF132" s="552">
        <f t="shared" si="26"/>
        <v>0</v>
      </c>
      <c r="DG132" s="552">
        <f t="shared" si="26"/>
        <v>0</v>
      </c>
      <c r="DH132" s="552">
        <f t="shared" si="26"/>
        <v>0</v>
      </c>
      <c r="DI132" s="552">
        <f t="shared" si="26"/>
        <v>39834.733353681186</v>
      </c>
      <c r="DJ132" s="552">
        <f t="shared" si="26"/>
        <v>0</v>
      </c>
      <c r="DK132" s="552">
        <f t="shared" si="26"/>
        <v>0</v>
      </c>
      <c r="DL132" s="552">
        <f t="shared" si="26"/>
        <v>0</v>
      </c>
      <c r="DM132" s="552">
        <f t="shared" si="26"/>
        <v>50767.044780365701</v>
      </c>
      <c r="DN132" s="552">
        <f t="shared" si="26"/>
        <v>0</v>
      </c>
      <c r="DO132" s="552">
        <f t="shared" si="26"/>
        <v>0</v>
      </c>
      <c r="DP132" s="552">
        <f t="shared" si="26"/>
        <v>0</v>
      </c>
      <c r="DQ132" s="552">
        <f t="shared" si="26"/>
        <v>51635.110827741082</v>
      </c>
      <c r="DR132" s="552">
        <f t="shared" si="26"/>
        <v>0</v>
      </c>
      <c r="DS132" s="552">
        <f t="shared" si="26"/>
        <v>0</v>
      </c>
      <c r="DT132" s="552">
        <f t="shared" si="26"/>
        <v>0</v>
      </c>
      <c r="DU132" s="552">
        <f t="shared" si="26"/>
        <v>52516.577299005949</v>
      </c>
      <c r="DV132" s="552">
        <f t="shared" si="26"/>
        <v>0</v>
      </c>
      <c r="DW132" s="552">
        <f t="shared" si="26"/>
        <v>0</v>
      </c>
      <c r="DX132" s="552">
        <f t="shared" si="26"/>
        <v>0</v>
      </c>
      <c r="DY132" s="552">
        <f t="shared" si="26"/>
        <v>53411.598809436095</v>
      </c>
      <c r="DZ132" s="552">
        <f t="shared" si="26"/>
        <v>0</v>
      </c>
      <c r="EA132" s="552">
        <f t="shared" si="26"/>
        <v>0</v>
      </c>
      <c r="EB132" s="552">
        <f t="shared" si="26"/>
        <v>0</v>
      </c>
      <c r="EC132" s="552">
        <f t="shared" si="26"/>
        <v>54320.329800659463</v>
      </c>
      <c r="ED132" s="552">
        <f t="shared" si="26"/>
        <v>0</v>
      </c>
      <c r="EE132" s="552">
        <f t="shared" si="26"/>
        <v>0</v>
      </c>
      <c r="EF132" s="552">
        <f t="shared" si="26"/>
        <v>0</v>
      </c>
      <c r="EG132" s="552">
        <f t="shared" si="26"/>
        <v>0</v>
      </c>
    </row>
    <row r="134" spans="5:137" ht="12.75">
      <c r="E134" s="538" t="str">
        <f>Time!E$108</f>
        <v>End of financial year flag</v>
      </c>
      <c r="G134" s="539" t="str">
        <f>Time!G$108</f>
        <v>flag</v>
      </c>
      <c r="H134" s="539">
        <f>Time!H$108</f>
        <v>28</v>
      </c>
      <c r="J134" s="539">
        <f>Time!J$108</f>
        <v>0</v>
      </c>
      <c r="K134" s="539">
        <f>Time!K$108</f>
        <v>0</v>
      </c>
      <c r="L134" s="539">
        <f>Time!L$108</f>
        <v>0</v>
      </c>
      <c r="M134" s="539">
        <f>Time!M$108</f>
        <v>0</v>
      </c>
      <c r="N134" s="539">
        <f>Time!N$108</f>
        <v>0</v>
      </c>
      <c r="O134" s="539">
        <f>Time!O$108</f>
        <v>0</v>
      </c>
      <c r="P134" s="539">
        <f>Time!P$108</f>
        <v>0</v>
      </c>
      <c r="Q134" s="539">
        <f>Time!Q$108</f>
        <v>0</v>
      </c>
      <c r="R134" s="539">
        <f>Time!R$108</f>
        <v>0</v>
      </c>
      <c r="S134" s="539">
        <f>Time!S$108</f>
        <v>0</v>
      </c>
      <c r="T134" s="539">
        <f>Time!T$108</f>
        <v>0</v>
      </c>
      <c r="U134" s="539">
        <f>Time!U$108</f>
        <v>1</v>
      </c>
      <c r="V134" s="539">
        <f>Time!V$108</f>
        <v>0</v>
      </c>
      <c r="W134" s="539">
        <f>Time!W$108</f>
        <v>0</v>
      </c>
      <c r="X134" s="539">
        <f>Time!X$108</f>
        <v>0</v>
      </c>
      <c r="Y134" s="539">
        <f>Time!Y$108</f>
        <v>0</v>
      </c>
      <c r="Z134" s="539">
        <f>Time!Z$108</f>
        <v>0</v>
      </c>
      <c r="AA134" s="539">
        <f>Time!AA$108</f>
        <v>0</v>
      </c>
      <c r="AB134" s="539">
        <f>Time!AB$108</f>
        <v>0</v>
      </c>
      <c r="AC134" s="539">
        <f>Time!AC$108</f>
        <v>0</v>
      </c>
      <c r="AD134" s="539">
        <f>Time!AD$108</f>
        <v>0</v>
      </c>
      <c r="AE134" s="539">
        <f>Time!AE$108</f>
        <v>0</v>
      </c>
      <c r="AF134" s="539">
        <f>Time!AF$108</f>
        <v>0</v>
      </c>
      <c r="AG134" s="539">
        <f>Time!AG$108</f>
        <v>1</v>
      </c>
      <c r="AH134" s="539">
        <f>Time!AH$108</f>
        <v>0</v>
      </c>
      <c r="AI134" s="539">
        <f>Time!AI$108</f>
        <v>0</v>
      </c>
      <c r="AJ134" s="539">
        <f>Time!AJ$108</f>
        <v>0</v>
      </c>
      <c r="AK134" s="539">
        <f>Time!AK$108</f>
        <v>1</v>
      </c>
      <c r="AL134" s="539">
        <f>Time!AL$108</f>
        <v>0</v>
      </c>
      <c r="AM134" s="539">
        <f>Time!AM$108</f>
        <v>0</v>
      </c>
      <c r="AN134" s="539">
        <f>Time!AN$108</f>
        <v>0</v>
      </c>
      <c r="AO134" s="539">
        <f>Time!AO$108</f>
        <v>1</v>
      </c>
      <c r="AP134" s="539">
        <f>Time!AP$108</f>
        <v>0</v>
      </c>
      <c r="AQ134" s="539">
        <f>Time!AQ$108</f>
        <v>0</v>
      </c>
      <c r="AR134" s="539">
        <f>Time!AR$108</f>
        <v>0</v>
      </c>
      <c r="AS134" s="539">
        <f>Time!AS$108</f>
        <v>1</v>
      </c>
      <c r="AT134" s="539">
        <f>Time!AT$108</f>
        <v>0</v>
      </c>
      <c r="AU134" s="539">
        <f>Time!AU$108</f>
        <v>0</v>
      </c>
      <c r="AV134" s="539">
        <f>Time!AV$108</f>
        <v>0</v>
      </c>
      <c r="AW134" s="539">
        <f>Time!AW$108</f>
        <v>1</v>
      </c>
      <c r="AX134" s="539">
        <f>Time!AX$108</f>
        <v>0</v>
      </c>
      <c r="AY134" s="539">
        <f>Time!AY$108</f>
        <v>0</v>
      </c>
      <c r="AZ134" s="539">
        <f>Time!AZ$108</f>
        <v>0</v>
      </c>
      <c r="BA134" s="539">
        <f>Time!BA$108</f>
        <v>1</v>
      </c>
      <c r="BB134" s="539">
        <f>Time!BB$108</f>
        <v>0</v>
      </c>
      <c r="BC134" s="539">
        <f>Time!BC$108</f>
        <v>0</v>
      </c>
      <c r="BD134" s="539">
        <f>Time!BD$108</f>
        <v>0</v>
      </c>
      <c r="BE134" s="539">
        <f>Time!BE$108</f>
        <v>1</v>
      </c>
      <c r="BF134" s="539">
        <f>Time!BF$108</f>
        <v>0</v>
      </c>
      <c r="BG134" s="539">
        <f>Time!BG$108</f>
        <v>0</v>
      </c>
      <c r="BH134" s="539">
        <f>Time!BH$108</f>
        <v>0</v>
      </c>
      <c r="BI134" s="539">
        <f>Time!BI$108</f>
        <v>1</v>
      </c>
      <c r="BJ134" s="539">
        <f>Time!BJ$108</f>
        <v>0</v>
      </c>
      <c r="BK134" s="539">
        <f>Time!BK$108</f>
        <v>0</v>
      </c>
      <c r="BL134" s="539">
        <f>Time!BL$108</f>
        <v>0</v>
      </c>
      <c r="BM134" s="539">
        <f>Time!BM$108</f>
        <v>1</v>
      </c>
      <c r="BN134" s="539">
        <f>Time!BN$108</f>
        <v>0</v>
      </c>
      <c r="BO134" s="539">
        <f>Time!BO$108</f>
        <v>0</v>
      </c>
      <c r="BP134" s="539">
        <f>Time!BP$108</f>
        <v>0</v>
      </c>
      <c r="BQ134" s="539">
        <f>Time!BQ$108</f>
        <v>1</v>
      </c>
      <c r="BR134" s="539">
        <f>Time!BR$108</f>
        <v>0</v>
      </c>
      <c r="BS134" s="539">
        <f>Time!BS$108</f>
        <v>0</v>
      </c>
      <c r="BT134" s="539">
        <f>Time!BT$108</f>
        <v>0</v>
      </c>
      <c r="BU134" s="539">
        <f>Time!BU$108</f>
        <v>1</v>
      </c>
      <c r="BV134" s="539">
        <f>Time!BV$108</f>
        <v>0</v>
      </c>
      <c r="BW134" s="539">
        <f>Time!BW$108</f>
        <v>0</v>
      </c>
      <c r="BX134" s="539">
        <f>Time!BX$108</f>
        <v>0</v>
      </c>
      <c r="BY134" s="539">
        <f>Time!BY$108</f>
        <v>1</v>
      </c>
      <c r="BZ134" s="539">
        <f>Time!BZ$108</f>
        <v>0</v>
      </c>
      <c r="CA134" s="539">
        <f>Time!CA$108</f>
        <v>0</v>
      </c>
      <c r="CB134" s="539">
        <f>Time!CB$108</f>
        <v>0</v>
      </c>
      <c r="CC134" s="539">
        <f>Time!CC$108</f>
        <v>1</v>
      </c>
      <c r="CD134" s="539">
        <f>Time!CD$108</f>
        <v>0</v>
      </c>
      <c r="CE134" s="539">
        <f>Time!CE$108</f>
        <v>0</v>
      </c>
      <c r="CF134" s="539">
        <f>Time!CF$108</f>
        <v>0</v>
      </c>
      <c r="CG134" s="539">
        <f>Time!CG$108</f>
        <v>1</v>
      </c>
      <c r="CH134" s="539">
        <f>Time!CH$108</f>
        <v>0</v>
      </c>
      <c r="CI134" s="539">
        <f>Time!CI$108</f>
        <v>0</v>
      </c>
      <c r="CJ134" s="539">
        <f>Time!CJ$108</f>
        <v>0</v>
      </c>
      <c r="CK134" s="539">
        <f>Time!CK$108</f>
        <v>1</v>
      </c>
      <c r="CL134" s="539">
        <f>Time!CL$108</f>
        <v>0</v>
      </c>
      <c r="CM134" s="539">
        <f>Time!CM$108</f>
        <v>0</v>
      </c>
      <c r="CN134" s="539">
        <f>Time!CN$108</f>
        <v>0</v>
      </c>
      <c r="CO134" s="539">
        <f>Time!CO$108</f>
        <v>1</v>
      </c>
      <c r="CP134" s="539">
        <f>Time!CP$108</f>
        <v>0</v>
      </c>
      <c r="CQ134" s="539">
        <f>Time!CQ$108</f>
        <v>0</v>
      </c>
      <c r="CR134" s="539">
        <f>Time!CR$108</f>
        <v>0</v>
      </c>
      <c r="CS134" s="539">
        <f>Time!CS$108</f>
        <v>1</v>
      </c>
      <c r="CT134" s="539">
        <f>Time!CT$108</f>
        <v>0</v>
      </c>
      <c r="CU134" s="539">
        <f>Time!CU$108</f>
        <v>0</v>
      </c>
      <c r="CV134" s="539">
        <f>Time!CV$108</f>
        <v>0</v>
      </c>
      <c r="CW134" s="539">
        <f>Time!CW$108</f>
        <v>1</v>
      </c>
      <c r="CX134" s="539">
        <f>Time!CX$108</f>
        <v>0</v>
      </c>
      <c r="CY134" s="539">
        <f>Time!CY$108</f>
        <v>0</v>
      </c>
      <c r="CZ134" s="539">
        <f>Time!CZ$108</f>
        <v>0</v>
      </c>
      <c r="DA134" s="539">
        <f>Time!DA$108</f>
        <v>1</v>
      </c>
      <c r="DB134" s="539">
        <f>Time!DB$108</f>
        <v>0</v>
      </c>
      <c r="DC134" s="539">
        <f>Time!DC$108</f>
        <v>0</v>
      </c>
      <c r="DD134" s="539">
        <f>Time!DD$108</f>
        <v>0</v>
      </c>
      <c r="DE134" s="539">
        <f>Time!DE$108</f>
        <v>1</v>
      </c>
      <c r="DF134" s="539">
        <f>Time!DF$108</f>
        <v>0</v>
      </c>
      <c r="DG134" s="539">
        <f>Time!DG$108</f>
        <v>0</v>
      </c>
      <c r="DH134" s="539">
        <f>Time!DH$108</f>
        <v>0</v>
      </c>
      <c r="DI134" s="539">
        <f>Time!DI$108</f>
        <v>1</v>
      </c>
      <c r="DJ134" s="539">
        <f>Time!DJ$108</f>
        <v>0</v>
      </c>
      <c r="DK134" s="539">
        <f>Time!DK$108</f>
        <v>0</v>
      </c>
      <c r="DL134" s="539">
        <f>Time!DL$108</f>
        <v>0</v>
      </c>
      <c r="DM134" s="539">
        <f>Time!DM$108</f>
        <v>1</v>
      </c>
      <c r="DN134" s="539">
        <f>Time!DN$108</f>
        <v>0</v>
      </c>
      <c r="DO134" s="539">
        <f>Time!DO$108</f>
        <v>0</v>
      </c>
      <c r="DP134" s="539">
        <f>Time!DP$108</f>
        <v>0</v>
      </c>
      <c r="DQ134" s="539">
        <f>Time!DQ$108</f>
        <v>1</v>
      </c>
      <c r="DR134" s="539">
        <f>Time!DR$108</f>
        <v>0</v>
      </c>
      <c r="DS134" s="539">
        <f>Time!DS$108</f>
        <v>0</v>
      </c>
      <c r="DT134" s="539">
        <f>Time!DT$108</f>
        <v>0</v>
      </c>
      <c r="DU134" s="539">
        <f>Time!DU$108</f>
        <v>1</v>
      </c>
      <c r="DV134" s="539">
        <f>Time!DV$108</f>
        <v>0</v>
      </c>
      <c r="DW134" s="539">
        <f>Time!DW$108</f>
        <v>0</v>
      </c>
      <c r="DX134" s="539">
        <f>Time!DX$108</f>
        <v>0</v>
      </c>
      <c r="DY134" s="539">
        <f>Time!DY$108</f>
        <v>1</v>
      </c>
      <c r="DZ134" s="539">
        <f>Time!DZ$108</f>
        <v>0</v>
      </c>
      <c r="EA134" s="539">
        <f>Time!EA$108</f>
        <v>0</v>
      </c>
      <c r="EB134" s="539">
        <f>Time!EB$108</f>
        <v>0</v>
      </c>
      <c r="EC134" s="539">
        <f>Time!EC$108</f>
        <v>1</v>
      </c>
      <c r="ED134" s="539">
        <f>Time!ED$108</f>
        <v>0</v>
      </c>
      <c r="EE134" s="539">
        <f>Time!EE$108</f>
        <v>0</v>
      </c>
      <c r="EF134" s="539">
        <f>Time!EF$108</f>
        <v>0</v>
      </c>
      <c r="EG134" s="539">
        <f>Time!EG$108</f>
        <v>1</v>
      </c>
    </row>
    <row r="135" spans="5:137" ht="12.75">
      <c r="E135" s="538" t="str">
        <f>Time!E$117</f>
        <v>Financial year</v>
      </c>
      <c r="G135" s="539" t="str">
        <f>Time!G$117</f>
        <v>year #</v>
      </c>
      <c r="H135" s="539">
        <f>Time!H$117</f>
        <v>260976</v>
      </c>
      <c r="J135" s="539">
        <f>Time!J$117</f>
        <v>2027</v>
      </c>
      <c r="K135" s="539">
        <f>Time!K$117</f>
        <v>2027</v>
      </c>
      <c r="L135" s="539">
        <f>Time!L$117</f>
        <v>2027</v>
      </c>
      <c r="M135" s="539">
        <f>Time!M$117</f>
        <v>2027</v>
      </c>
      <c r="N135" s="539">
        <f>Time!N$117</f>
        <v>2027</v>
      </c>
      <c r="O135" s="539">
        <f>Time!O$117</f>
        <v>2027</v>
      </c>
      <c r="P135" s="539">
        <f>Time!P$117</f>
        <v>2027</v>
      </c>
      <c r="Q135" s="539">
        <f>Time!Q$117</f>
        <v>2027</v>
      </c>
      <c r="R135" s="539">
        <f>Time!R$117</f>
        <v>2027</v>
      </c>
      <c r="S135" s="539">
        <f>Time!S$117</f>
        <v>2027</v>
      </c>
      <c r="T135" s="539">
        <f>Time!T$117</f>
        <v>2027</v>
      </c>
      <c r="U135" s="539">
        <f>Time!U$117</f>
        <v>2027</v>
      </c>
      <c r="V135" s="539">
        <f>Time!V$117</f>
        <v>2028</v>
      </c>
      <c r="W135" s="539">
        <f>Time!W$117</f>
        <v>2028</v>
      </c>
      <c r="X135" s="539">
        <f>Time!X$117</f>
        <v>2028</v>
      </c>
      <c r="Y135" s="539">
        <f>Time!Y$117</f>
        <v>2028</v>
      </c>
      <c r="Z135" s="539">
        <f>Time!Z$117</f>
        <v>2028</v>
      </c>
      <c r="AA135" s="539">
        <f>Time!AA$117</f>
        <v>2028</v>
      </c>
      <c r="AB135" s="539">
        <f>Time!AB$117</f>
        <v>2028</v>
      </c>
      <c r="AC135" s="539">
        <f>Time!AC$117</f>
        <v>2028</v>
      </c>
      <c r="AD135" s="539">
        <f>Time!AD$117</f>
        <v>2028</v>
      </c>
      <c r="AE135" s="539">
        <f>Time!AE$117</f>
        <v>2028</v>
      </c>
      <c r="AF135" s="539">
        <f>Time!AF$117</f>
        <v>2028</v>
      </c>
      <c r="AG135" s="539">
        <f>Time!AG$117</f>
        <v>2028</v>
      </c>
      <c r="AH135" s="539">
        <f>Time!AH$117</f>
        <v>2029</v>
      </c>
      <c r="AI135" s="539">
        <f>Time!AI$117</f>
        <v>2029</v>
      </c>
      <c r="AJ135" s="539">
        <f>Time!AJ$117</f>
        <v>2029</v>
      </c>
      <c r="AK135" s="539">
        <f>Time!AK$117</f>
        <v>2029</v>
      </c>
      <c r="AL135" s="539">
        <f>Time!AL$117</f>
        <v>2030</v>
      </c>
      <c r="AM135" s="539">
        <f>Time!AM$117</f>
        <v>2030</v>
      </c>
      <c r="AN135" s="539">
        <f>Time!AN$117</f>
        <v>2030</v>
      </c>
      <c r="AO135" s="539">
        <f>Time!AO$117</f>
        <v>2030</v>
      </c>
      <c r="AP135" s="539">
        <f>Time!AP$117</f>
        <v>2031</v>
      </c>
      <c r="AQ135" s="539">
        <f>Time!AQ$117</f>
        <v>2031</v>
      </c>
      <c r="AR135" s="539">
        <f>Time!AR$117</f>
        <v>2031</v>
      </c>
      <c r="AS135" s="539">
        <f>Time!AS$117</f>
        <v>2031</v>
      </c>
      <c r="AT135" s="539">
        <f>Time!AT$117</f>
        <v>2032</v>
      </c>
      <c r="AU135" s="539">
        <f>Time!AU$117</f>
        <v>2032</v>
      </c>
      <c r="AV135" s="539">
        <f>Time!AV$117</f>
        <v>2032</v>
      </c>
      <c r="AW135" s="539">
        <f>Time!AW$117</f>
        <v>2032</v>
      </c>
      <c r="AX135" s="539">
        <f>Time!AX$117</f>
        <v>2033</v>
      </c>
      <c r="AY135" s="539">
        <f>Time!AY$117</f>
        <v>2033</v>
      </c>
      <c r="AZ135" s="539">
        <f>Time!AZ$117</f>
        <v>2033</v>
      </c>
      <c r="BA135" s="539">
        <f>Time!BA$117</f>
        <v>2033</v>
      </c>
      <c r="BB135" s="539">
        <f>Time!BB$117</f>
        <v>2034</v>
      </c>
      <c r="BC135" s="539">
        <f>Time!BC$117</f>
        <v>2034</v>
      </c>
      <c r="BD135" s="539">
        <f>Time!BD$117</f>
        <v>2034</v>
      </c>
      <c r="BE135" s="539">
        <f>Time!BE$117</f>
        <v>2034</v>
      </c>
      <c r="BF135" s="539">
        <f>Time!BF$117</f>
        <v>2035</v>
      </c>
      <c r="BG135" s="539">
        <f>Time!BG$117</f>
        <v>2035</v>
      </c>
      <c r="BH135" s="539">
        <f>Time!BH$117</f>
        <v>2035</v>
      </c>
      <c r="BI135" s="539">
        <f>Time!BI$117</f>
        <v>2035</v>
      </c>
      <c r="BJ135" s="539">
        <f>Time!BJ$117</f>
        <v>2036</v>
      </c>
      <c r="BK135" s="539">
        <f>Time!BK$117</f>
        <v>2036</v>
      </c>
      <c r="BL135" s="539">
        <f>Time!BL$117</f>
        <v>2036</v>
      </c>
      <c r="BM135" s="539">
        <f>Time!BM$117</f>
        <v>2036</v>
      </c>
      <c r="BN135" s="539">
        <f>Time!BN$117</f>
        <v>2037</v>
      </c>
      <c r="BO135" s="539">
        <f>Time!BO$117</f>
        <v>2037</v>
      </c>
      <c r="BP135" s="539">
        <f>Time!BP$117</f>
        <v>2037</v>
      </c>
      <c r="BQ135" s="539">
        <f>Time!BQ$117</f>
        <v>2037</v>
      </c>
      <c r="BR135" s="539">
        <f>Time!BR$117</f>
        <v>2038</v>
      </c>
      <c r="BS135" s="539">
        <f>Time!BS$117</f>
        <v>2038</v>
      </c>
      <c r="BT135" s="539">
        <f>Time!BT$117</f>
        <v>2038</v>
      </c>
      <c r="BU135" s="539">
        <f>Time!BU$117</f>
        <v>2038</v>
      </c>
      <c r="BV135" s="539">
        <f>Time!BV$117</f>
        <v>2039</v>
      </c>
      <c r="BW135" s="539">
        <f>Time!BW$117</f>
        <v>2039</v>
      </c>
      <c r="BX135" s="539">
        <f>Time!BX$117</f>
        <v>2039</v>
      </c>
      <c r="BY135" s="539">
        <f>Time!BY$117</f>
        <v>2039</v>
      </c>
      <c r="BZ135" s="539">
        <f>Time!BZ$117</f>
        <v>2040</v>
      </c>
      <c r="CA135" s="539">
        <f>Time!CA$117</f>
        <v>2040</v>
      </c>
      <c r="CB135" s="539">
        <f>Time!CB$117</f>
        <v>2040</v>
      </c>
      <c r="CC135" s="539">
        <f>Time!CC$117</f>
        <v>2040</v>
      </c>
      <c r="CD135" s="539">
        <f>Time!CD$117</f>
        <v>2041</v>
      </c>
      <c r="CE135" s="539">
        <f>Time!CE$117</f>
        <v>2041</v>
      </c>
      <c r="CF135" s="539">
        <f>Time!CF$117</f>
        <v>2041</v>
      </c>
      <c r="CG135" s="539">
        <f>Time!CG$117</f>
        <v>2041</v>
      </c>
      <c r="CH135" s="539">
        <f>Time!CH$117</f>
        <v>2042</v>
      </c>
      <c r="CI135" s="539">
        <f>Time!CI$117</f>
        <v>2042</v>
      </c>
      <c r="CJ135" s="539">
        <f>Time!CJ$117</f>
        <v>2042</v>
      </c>
      <c r="CK135" s="539">
        <f>Time!CK$117</f>
        <v>2042</v>
      </c>
      <c r="CL135" s="539">
        <f>Time!CL$117</f>
        <v>2043</v>
      </c>
      <c r="CM135" s="539">
        <f>Time!CM$117</f>
        <v>2043</v>
      </c>
      <c r="CN135" s="539">
        <f>Time!CN$117</f>
        <v>2043</v>
      </c>
      <c r="CO135" s="539">
        <f>Time!CO$117</f>
        <v>2043</v>
      </c>
      <c r="CP135" s="539">
        <f>Time!CP$117</f>
        <v>2044</v>
      </c>
      <c r="CQ135" s="539">
        <f>Time!CQ$117</f>
        <v>2044</v>
      </c>
      <c r="CR135" s="539">
        <f>Time!CR$117</f>
        <v>2044</v>
      </c>
      <c r="CS135" s="539">
        <f>Time!CS$117</f>
        <v>2044</v>
      </c>
      <c r="CT135" s="539">
        <f>Time!CT$117</f>
        <v>2045</v>
      </c>
      <c r="CU135" s="539">
        <f>Time!CU$117</f>
        <v>2045</v>
      </c>
      <c r="CV135" s="539">
        <f>Time!CV$117</f>
        <v>2045</v>
      </c>
      <c r="CW135" s="539">
        <f>Time!CW$117</f>
        <v>2045</v>
      </c>
      <c r="CX135" s="539">
        <f>Time!CX$117</f>
        <v>2046</v>
      </c>
      <c r="CY135" s="539">
        <f>Time!CY$117</f>
        <v>2046</v>
      </c>
      <c r="CZ135" s="539">
        <f>Time!CZ$117</f>
        <v>2046</v>
      </c>
      <c r="DA135" s="539">
        <f>Time!DA$117</f>
        <v>2046</v>
      </c>
      <c r="DB135" s="539">
        <f>Time!DB$117</f>
        <v>2047</v>
      </c>
      <c r="DC135" s="539">
        <f>Time!DC$117</f>
        <v>2047</v>
      </c>
      <c r="DD135" s="539">
        <f>Time!DD$117</f>
        <v>2047</v>
      </c>
      <c r="DE135" s="539">
        <f>Time!DE$117</f>
        <v>2047</v>
      </c>
      <c r="DF135" s="539">
        <f>Time!DF$117</f>
        <v>2048</v>
      </c>
      <c r="DG135" s="539">
        <f>Time!DG$117</f>
        <v>2048</v>
      </c>
      <c r="DH135" s="539">
        <f>Time!DH$117</f>
        <v>2048</v>
      </c>
      <c r="DI135" s="539">
        <f>Time!DI$117</f>
        <v>2048</v>
      </c>
      <c r="DJ135" s="539">
        <f>Time!DJ$117</f>
        <v>2049</v>
      </c>
      <c r="DK135" s="539">
        <f>Time!DK$117</f>
        <v>2049</v>
      </c>
      <c r="DL135" s="539">
        <f>Time!DL$117</f>
        <v>2049</v>
      </c>
      <c r="DM135" s="539">
        <f>Time!DM$117</f>
        <v>2049</v>
      </c>
      <c r="DN135" s="539">
        <f>Time!DN$117</f>
        <v>2050</v>
      </c>
      <c r="DO135" s="539">
        <f>Time!DO$117</f>
        <v>2050</v>
      </c>
      <c r="DP135" s="539">
        <f>Time!DP$117</f>
        <v>2050</v>
      </c>
      <c r="DQ135" s="539">
        <f>Time!DQ$117</f>
        <v>2050</v>
      </c>
      <c r="DR135" s="539">
        <f>Time!DR$117</f>
        <v>2051</v>
      </c>
      <c r="DS135" s="539">
        <f>Time!DS$117</f>
        <v>2051</v>
      </c>
      <c r="DT135" s="539">
        <f>Time!DT$117</f>
        <v>2051</v>
      </c>
      <c r="DU135" s="539">
        <f>Time!DU$117</f>
        <v>2051</v>
      </c>
      <c r="DV135" s="539">
        <f>Time!DV$117</f>
        <v>2052</v>
      </c>
      <c r="DW135" s="539">
        <f>Time!DW$117</f>
        <v>2052</v>
      </c>
      <c r="DX135" s="539">
        <f>Time!DX$117</f>
        <v>2052</v>
      </c>
      <c r="DY135" s="539">
        <f>Time!DY$117</f>
        <v>2052</v>
      </c>
      <c r="DZ135" s="539">
        <f>Time!DZ$117</f>
        <v>2053</v>
      </c>
      <c r="EA135" s="539">
        <f>Time!EA$117</f>
        <v>2053</v>
      </c>
      <c r="EB135" s="539">
        <f>Time!EB$117</f>
        <v>2053</v>
      </c>
      <c r="EC135" s="539">
        <f>Time!EC$117</f>
        <v>2053</v>
      </c>
      <c r="ED135" s="539">
        <f>Time!ED$117</f>
        <v>2054</v>
      </c>
      <c r="EE135" s="539">
        <f>Time!EE$117</f>
        <v>2054</v>
      </c>
      <c r="EF135" s="539">
        <f>Time!EF$117</f>
        <v>2054</v>
      </c>
      <c r="EG135" s="539">
        <f>Time!EG$117</f>
        <v>2054</v>
      </c>
    </row>
    <row r="136" spans="5:137" ht="12.75">
      <c r="E136" s="551" t="s">
        <v>543</v>
      </c>
      <c r="F136" s="552"/>
      <c r="G136" s="552" t="s">
        <v>30</v>
      </c>
      <c r="H136" s="552">
        <f>SUM(J136:EG136)</f>
        <v>773366.74345127516</v>
      </c>
      <c r="I136" s="552"/>
      <c r="J136" s="552">
        <f t="shared" si="27" ref="J136:EG136">IF(J134=1,SUMIFS($I17:I17,$I135:I135,J135)+J17,0)</f>
        <v>0</v>
      </c>
      <c r="K136" s="552">
        <f t="shared" si="27"/>
        <v>0</v>
      </c>
      <c r="L136" s="552">
        <f t="shared" si="27"/>
        <v>0</v>
      </c>
      <c r="M136" s="552">
        <f t="shared" si="27"/>
        <v>0</v>
      </c>
      <c r="N136" s="552">
        <f t="shared" si="27"/>
        <v>0</v>
      </c>
      <c r="O136" s="552">
        <f t="shared" si="27"/>
        <v>0</v>
      </c>
      <c r="P136" s="552">
        <f t="shared" si="27"/>
        <v>0</v>
      </c>
      <c r="Q136" s="552">
        <f t="shared" si="27"/>
        <v>0</v>
      </c>
      <c r="R136" s="552">
        <f t="shared" si="27"/>
        <v>0</v>
      </c>
      <c r="S136" s="552">
        <f t="shared" si="27"/>
        <v>0</v>
      </c>
      <c r="T136" s="552">
        <f t="shared" si="27"/>
        <v>0</v>
      </c>
      <c r="U136" s="552">
        <f t="shared" si="27"/>
        <v>0</v>
      </c>
      <c r="V136" s="552">
        <f t="shared" si="27"/>
        <v>0</v>
      </c>
      <c r="W136" s="552">
        <f t="shared" si="27"/>
        <v>0</v>
      </c>
      <c r="X136" s="552">
        <f t="shared" si="27"/>
        <v>0</v>
      </c>
      <c r="Y136" s="552">
        <f t="shared" si="27"/>
        <v>0</v>
      </c>
      <c r="Z136" s="552">
        <f t="shared" si="27"/>
        <v>0</v>
      </c>
      <c r="AA136" s="552">
        <f t="shared" si="27"/>
        <v>0</v>
      </c>
      <c r="AB136" s="552">
        <f t="shared" si="27"/>
        <v>0</v>
      </c>
      <c r="AC136" s="552">
        <f t="shared" si="27"/>
        <v>0</v>
      </c>
      <c r="AD136" s="552">
        <f t="shared" si="27"/>
        <v>0</v>
      </c>
      <c r="AE136" s="552">
        <f t="shared" si="27"/>
        <v>0</v>
      </c>
      <c r="AF136" s="552">
        <f t="shared" si="27"/>
        <v>0</v>
      </c>
      <c r="AG136" s="552">
        <f t="shared" si="27"/>
        <v>0</v>
      </c>
      <c r="AH136" s="552">
        <f t="shared" si="27"/>
        <v>0</v>
      </c>
      <c r="AI136" s="552">
        <f t="shared" si="27"/>
        <v>0</v>
      </c>
      <c r="AJ136" s="552">
        <f t="shared" si="27"/>
        <v>0</v>
      </c>
      <c r="AK136" s="552">
        <f t="shared" si="27"/>
        <v>23419.941084790058</v>
      </c>
      <c r="AL136" s="552">
        <f t="shared" si="27"/>
        <v>0</v>
      </c>
      <c r="AM136" s="552">
        <f t="shared" si="27"/>
        <v>0</v>
      </c>
      <c r="AN136" s="552">
        <f t="shared" si="27"/>
        <v>0</v>
      </c>
      <c r="AO136" s="552">
        <f t="shared" si="27"/>
        <v>24052.039878540061</v>
      </c>
      <c r="AP136" s="552">
        <f t="shared" si="27"/>
        <v>0</v>
      </c>
      <c r="AQ136" s="552">
        <f t="shared" si="27"/>
        <v>0</v>
      </c>
      <c r="AR136" s="552">
        <f t="shared" si="27"/>
        <v>0</v>
      </c>
      <c r="AS136" s="552">
        <f t="shared" si="27"/>
        <v>24694.526091133812</v>
      </c>
      <c r="AT136" s="552">
        <f t="shared" si="27"/>
        <v>0</v>
      </c>
      <c r="AU136" s="552">
        <f t="shared" si="27"/>
        <v>0</v>
      </c>
      <c r="AV136" s="552">
        <f t="shared" si="27"/>
        <v>0</v>
      </c>
      <c r="AW136" s="552">
        <f t="shared" si="27"/>
        <v>25345.073115573206</v>
      </c>
      <c r="AX136" s="552">
        <f t="shared" si="27"/>
        <v>0</v>
      </c>
      <c r="AY136" s="552">
        <f t="shared" si="27"/>
        <v>0</v>
      </c>
      <c r="AZ136" s="552">
        <f t="shared" si="27"/>
        <v>0</v>
      </c>
      <c r="BA136" s="552">
        <f t="shared" si="27"/>
        <v>19053.074996214229</v>
      </c>
      <c r="BB136" s="552">
        <f t="shared" si="27"/>
        <v>0</v>
      </c>
      <c r="BC136" s="552">
        <f t="shared" si="27"/>
        <v>0</v>
      </c>
      <c r="BD136" s="552">
        <f t="shared" si="27"/>
        <v>0</v>
      </c>
      <c r="BE136" s="552">
        <f t="shared" si="27"/>
        <v>26685.748595269273</v>
      </c>
      <c r="BF136" s="552">
        <f t="shared" si="27"/>
        <v>0</v>
      </c>
      <c r="BG136" s="552">
        <f t="shared" si="27"/>
        <v>0</v>
      </c>
      <c r="BH136" s="552">
        <f t="shared" si="27"/>
        <v>0</v>
      </c>
      <c r="BI136" s="552">
        <f t="shared" si="27"/>
        <v>27371.228811927504</v>
      </c>
      <c r="BJ136" s="552">
        <f t="shared" si="27"/>
        <v>0</v>
      </c>
      <c r="BK136" s="552">
        <f t="shared" si="27"/>
        <v>0</v>
      </c>
      <c r="BL136" s="552">
        <f t="shared" si="27"/>
        <v>0</v>
      </c>
      <c r="BM136" s="552">
        <f t="shared" si="27"/>
        <v>28065.353429539537</v>
      </c>
      <c r="BN136" s="552">
        <f t="shared" si="27"/>
        <v>0</v>
      </c>
      <c r="BO136" s="552">
        <f t="shared" si="27"/>
        <v>0</v>
      </c>
      <c r="BP136" s="552">
        <f t="shared" si="27"/>
        <v>0</v>
      </c>
      <c r="BQ136" s="552">
        <f t="shared" si="27"/>
        <v>28775.680737645074</v>
      </c>
      <c r="BR136" s="552">
        <f t="shared" si="27"/>
        <v>0</v>
      </c>
      <c r="BS136" s="552">
        <f t="shared" si="27"/>
        <v>0</v>
      </c>
      <c r="BT136" s="552">
        <f t="shared" si="27"/>
        <v>0</v>
      </c>
      <c r="BU136" s="552">
        <f t="shared" si="27"/>
        <v>21622.42970518642</v>
      </c>
      <c r="BV136" s="552">
        <f t="shared" si="27"/>
        <v>0</v>
      </c>
      <c r="BW136" s="552">
        <f t="shared" si="27"/>
        <v>0</v>
      </c>
      <c r="BX136" s="552">
        <f t="shared" si="27"/>
        <v>0</v>
      </c>
      <c r="BY136" s="552">
        <f t="shared" si="27"/>
        <v>30225.780016692392</v>
      </c>
      <c r="BZ136" s="552">
        <f t="shared" si="27"/>
        <v>0</v>
      </c>
      <c r="CA136" s="552">
        <f t="shared" si="27"/>
        <v>0</v>
      </c>
      <c r="CB136" s="552">
        <f t="shared" si="27"/>
        <v>0</v>
      </c>
      <c r="CC136" s="552">
        <f t="shared" si="27"/>
        <v>30965.852348476685</v>
      </c>
      <c r="CD136" s="552">
        <f t="shared" si="27"/>
        <v>0</v>
      </c>
      <c r="CE136" s="552">
        <f t="shared" si="27"/>
        <v>0</v>
      </c>
      <c r="CF136" s="552">
        <f t="shared" si="27"/>
        <v>0</v>
      </c>
      <c r="CG136" s="552">
        <f t="shared" si="27"/>
        <v>31722.727994588524</v>
      </c>
      <c r="CH136" s="552">
        <f t="shared" si="27"/>
        <v>0</v>
      </c>
      <c r="CI136" s="552">
        <f t="shared" si="27"/>
        <v>0</v>
      </c>
      <c r="CJ136" s="552">
        <f t="shared" si="27"/>
        <v>0</v>
      </c>
      <c r="CK136" s="552">
        <f t="shared" si="27"/>
        <v>32489.148732562149</v>
      </c>
      <c r="CL136" s="552">
        <f t="shared" si="27"/>
        <v>0</v>
      </c>
      <c r="CM136" s="552">
        <f t="shared" si="27"/>
        <v>0</v>
      </c>
      <c r="CN136" s="552">
        <f t="shared" si="27"/>
        <v>0</v>
      </c>
      <c r="CO136" s="552">
        <f t="shared" si="27"/>
        <v>24360.703337020102</v>
      </c>
      <c r="CP136" s="552">
        <f t="shared" si="27"/>
        <v>0</v>
      </c>
      <c r="CQ136" s="552">
        <f t="shared" si="27"/>
        <v>0</v>
      </c>
      <c r="CR136" s="552">
        <f t="shared" si="27"/>
        <v>0</v>
      </c>
      <c r="CS136" s="552">
        <f t="shared" si="27"/>
        <v>34056.175931931517</v>
      </c>
      <c r="CT136" s="552">
        <f t="shared" si="27"/>
        <v>0</v>
      </c>
      <c r="CU136" s="552">
        <f t="shared" si="27"/>
        <v>0</v>
      </c>
      <c r="CV136" s="552">
        <f t="shared" si="27"/>
        <v>0</v>
      </c>
      <c r="CW136" s="552">
        <f t="shared" si="27"/>
        <v>34862.028896559241</v>
      </c>
      <c r="CX136" s="552">
        <f t="shared" si="27"/>
        <v>0</v>
      </c>
      <c r="CY136" s="552">
        <f t="shared" si="27"/>
        <v>0</v>
      </c>
      <c r="CZ136" s="552">
        <f t="shared" si="27"/>
        <v>0</v>
      </c>
      <c r="DA136" s="552">
        <f t="shared" si="27"/>
        <v>35678.039692110542</v>
      </c>
      <c r="DB136" s="552">
        <f t="shared" si="27"/>
        <v>0</v>
      </c>
      <c r="DC136" s="552">
        <f t="shared" si="27"/>
        <v>0</v>
      </c>
      <c r="DD136" s="552">
        <f t="shared" si="27"/>
        <v>0</v>
      </c>
      <c r="DE136" s="552">
        <f t="shared" si="27"/>
        <v>37408.395184625384</v>
      </c>
      <c r="DF136" s="552">
        <f t="shared" si="27"/>
        <v>0</v>
      </c>
      <c r="DG136" s="552">
        <f t="shared" si="27"/>
        <v>0</v>
      </c>
      <c r="DH136" s="552">
        <f t="shared" si="27"/>
        <v>0</v>
      </c>
      <c r="DI136" s="552">
        <f t="shared" si="27"/>
        <v>28172.633353681187</v>
      </c>
      <c r="DJ136" s="552">
        <f t="shared" si="27"/>
        <v>0</v>
      </c>
      <c r="DK136" s="552">
        <f t="shared" si="27"/>
        <v>0</v>
      </c>
      <c r="DL136" s="552">
        <f t="shared" si="27"/>
        <v>0</v>
      </c>
      <c r="DM136" s="552">
        <f t="shared" si="27"/>
        <v>39104.944780365702</v>
      </c>
      <c r="DN136" s="552">
        <f t="shared" si="27"/>
        <v>0</v>
      </c>
      <c r="DO136" s="552">
        <f t="shared" si="27"/>
        <v>0</v>
      </c>
      <c r="DP136" s="552">
        <f t="shared" si="27"/>
        <v>0</v>
      </c>
      <c r="DQ136" s="552">
        <f t="shared" si="27"/>
        <v>39973.010827741084</v>
      </c>
      <c r="DR136" s="552">
        <f t="shared" si="27"/>
        <v>0</v>
      </c>
      <c r="DS136" s="552">
        <f t="shared" si="27"/>
        <v>0</v>
      </c>
      <c r="DT136" s="552">
        <f t="shared" si="27"/>
        <v>0</v>
      </c>
      <c r="DU136" s="552">
        <f t="shared" si="27"/>
        <v>40854.47729900595</v>
      </c>
      <c r="DV136" s="552">
        <f t="shared" si="27"/>
        <v>0</v>
      </c>
      <c r="DW136" s="552">
        <f t="shared" si="27"/>
        <v>0</v>
      </c>
      <c r="DX136" s="552">
        <f t="shared" si="27"/>
        <v>0</v>
      </c>
      <c r="DY136" s="552">
        <f t="shared" si="27"/>
        <v>41749.498809436096</v>
      </c>
      <c r="DZ136" s="552">
        <f t="shared" si="27"/>
        <v>0</v>
      </c>
      <c r="EA136" s="552">
        <f t="shared" si="27"/>
        <v>0</v>
      </c>
      <c r="EB136" s="552">
        <f t="shared" si="27"/>
        <v>0</v>
      </c>
      <c r="EC136" s="552">
        <f t="shared" si="27"/>
        <v>42658.229800659334</v>
      </c>
      <c r="ED136" s="552">
        <f t="shared" si="27"/>
        <v>0</v>
      </c>
      <c r="EE136" s="552">
        <f t="shared" si="27"/>
        <v>0</v>
      </c>
      <c r="EF136" s="552">
        <f t="shared" si="27"/>
        <v>0</v>
      </c>
      <c r="EG136" s="552">
        <f t="shared" si="27"/>
        <v>0</v>
      </c>
    </row>
    <row r="138" spans="5:137" ht="12.75">
      <c r="E138" s="538" t="str">
        <f>Time!E$108</f>
        <v>End of financial year flag</v>
      </c>
      <c r="G138" s="539" t="str">
        <f>Time!G$108</f>
        <v>flag</v>
      </c>
      <c r="H138" s="539">
        <f>Time!H$108</f>
        <v>28</v>
      </c>
      <c r="J138" s="539">
        <f>Time!J$108</f>
        <v>0</v>
      </c>
      <c r="K138" s="539">
        <f>Time!K$108</f>
        <v>0</v>
      </c>
      <c r="L138" s="539">
        <f>Time!L$108</f>
        <v>0</v>
      </c>
      <c r="M138" s="539">
        <f>Time!M$108</f>
        <v>0</v>
      </c>
      <c r="N138" s="539">
        <f>Time!N$108</f>
        <v>0</v>
      </c>
      <c r="O138" s="539">
        <f>Time!O$108</f>
        <v>0</v>
      </c>
      <c r="P138" s="539">
        <f>Time!P$108</f>
        <v>0</v>
      </c>
      <c r="Q138" s="539">
        <f>Time!Q$108</f>
        <v>0</v>
      </c>
      <c r="R138" s="539">
        <f>Time!R$108</f>
        <v>0</v>
      </c>
      <c r="S138" s="539">
        <f>Time!S$108</f>
        <v>0</v>
      </c>
      <c r="T138" s="539">
        <f>Time!T$108</f>
        <v>0</v>
      </c>
      <c r="U138" s="539">
        <f>Time!U$108</f>
        <v>1</v>
      </c>
      <c r="V138" s="539">
        <f>Time!V$108</f>
        <v>0</v>
      </c>
      <c r="W138" s="539">
        <f>Time!W$108</f>
        <v>0</v>
      </c>
      <c r="X138" s="539">
        <f>Time!X$108</f>
        <v>0</v>
      </c>
      <c r="Y138" s="539">
        <f>Time!Y$108</f>
        <v>0</v>
      </c>
      <c r="Z138" s="539">
        <f>Time!Z$108</f>
        <v>0</v>
      </c>
      <c r="AA138" s="539">
        <f>Time!AA$108</f>
        <v>0</v>
      </c>
      <c r="AB138" s="539">
        <f>Time!AB$108</f>
        <v>0</v>
      </c>
      <c r="AC138" s="539">
        <f>Time!AC$108</f>
        <v>0</v>
      </c>
      <c r="AD138" s="539">
        <f>Time!AD$108</f>
        <v>0</v>
      </c>
      <c r="AE138" s="539">
        <f>Time!AE$108</f>
        <v>0</v>
      </c>
      <c r="AF138" s="539">
        <f>Time!AF$108</f>
        <v>0</v>
      </c>
      <c r="AG138" s="539">
        <f>Time!AG$108</f>
        <v>1</v>
      </c>
      <c r="AH138" s="539">
        <f>Time!AH$108</f>
        <v>0</v>
      </c>
      <c r="AI138" s="539">
        <f>Time!AI$108</f>
        <v>0</v>
      </c>
      <c r="AJ138" s="539">
        <f>Time!AJ$108</f>
        <v>0</v>
      </c>
      <c r="AK138" s="539">
        <f>Time!AK$108</f>
        <v>1</v>
      </c>
      <c r="AL138" s="539">
        <f>Time!AL$108</f>
        <v>0</v>
      </c>
      <c r="AM138" s="539">
        <f>Time!AM$108</f>
        <v>0</v>
      </c>
      <c r="AN138" s="539">
        <f>Time!AN$108</f>
        <v>0</v>
      </c>
      <c r="AO138" s="539">
        <f>Time!AO$108</f>
        <v>1</v>
      </c>
      <c r="AP138" s="539">
        <f>Time!AP$108</f>
        <v>0</v>
      </c>
      <c r="AQ138" s="539">
        <f>Time!AQ$108</f>
        <v>0</v>
      </c>
      <c r="AR138" s="539">
        <f>Time!AR$108</f>
        <v>0</v>
      </c>
      <c r="AS138" s="539">
        <f>Time!AS$108</f>
        <v>1</v>
      </c>
      <c r="AT138" s="539">
        <f>Time!AT$108</f>
        <v>0</v>
      </c>
      <c r="AU138" s="539">
        <f>Time!AU$108</f>
        <v>0</v>
      </c>
      <c r="AV138" s="539">
        <f>Time!AV$108</f>
        <v>0</v>
      </c>
      <c r="AW138" s="539">
        <f>Time!AW$108</f>
        <v>1</v>
      </c>
      <c r="AX138" s="539">
        <f>Time!AX$108</f>
        <v>0</v>
      </c>
      <c r="AY138" s="539">
        <f>Time!AY$108</f>
        <v>0</v>
      </c>
      <c r="AZ138" s="539">
        <f>Time!AZ$108</f>
        <v>0</v>
      </c>
      <c r="BA138" s="539">
        <f>Time!BA$108</f>
        <v>1</v>
      </c>
      <c r="BB138" s="539">
        <f>Time!BB$108</f>
        <v>0</v>
      </c>
      <c r="BC138" s="539">
        <f>Time!BC$108</f>
        <v>0</v>
      </c>
      <c r="BD138" s="539">
        <f>Time!BD$108</f>
        <v>0</v>
      </c>
      <c r="BE138" s="539">
        <f>Time!BE$108</f>
        <v>1</v>
      </c>
      <c r="BF138" s="539">
        <f>Time!BF$108</f>
        <v>0</v>
      </c>
      <c r="BG138" s="539">
        <f>Time!BG$108</f>
        <v>0</v>
      </c>
      <c r="BH138" s="539">
        <f>Time!BH$108</f>
        <v>0</v>
      </c>
      <c r="BI138" s="539">
        <f>Time!BI$108</f>
        <v>1</v>
      </c>
      <c r="BJ138" s="539">
        <f>Time!BJ$108</f>
        <v>0</v>
      </c>
      <c r="BK138" s="539">
        <f>Time!BK$108</f>
        <v>0</v>
      </c>
      <c r="BL138" s="539">
        <f>Time!BL$108</f>
        <v>0</v>
      </c>
      <c r="BM138" s="539">
        <f>Time!BM$108</f>
        <v>1</v>
      </c>
      <c r="BN138" s="539">
        <f>Time!BN$108</f>
        <v>0</v>
      </c>
      <c r="BO138" s="539">
        <f>Time!BO$108</f>
        <v>0</v>
      </c>
      <c r="BP138" s="539">
        <f>Time!BP$108</f>
        <v>0</v>
      </c>
      <c r="BQ138" s="539">
        <f>Time!BQ$108</f>
        <v>1</v>
      </c>
      <c r="BR138" s="539">
        <f>Time!BR$108</f>
        <v>0</v>
      </c>
      <c r="BS138" s="539">
        <f>Time!BS$108</f>
        <v>0</v>
      </c>
      <c r="BT138" s="539">
        <f>Time!BT$108</f>
        <v>0</v>
      </c>
      <c r="BU138" s="539">
        <f>Time!BU$108</f>
        <v>1</v>
      </c>
      <c r="BV138" s="539">
        <f>Time!BV$108</f>
        <v>0</v>
      </c>
      <c r="BW138" s="539">
        <f>Time!BW$108</f>
        <v>0</v>
      </c>
      <c r="BX138" s="539">
        <f>Time!BX$108</f>
        <v>0</v>
      </c>
      <c r="BY138" s="539">
        <f>Time!BY$108</f>
        <v>1</v>
      </c>
      <c r="BZ138" s="539">
        <f>Time!BZ$108</f>
        <v>0</v>
      </c>
      <c r="CA138" s="539">
        <f>Time!CA$108</f>
        <v>0</v>
      </c>
      <c r="CB138" s="539">
        <f>Time!CB$108</f>
        <v>0</v>
      </c>
      <c r="CC138" s="539">
        <f>Time!CC$108</f>
        <v>1</v>
      </c>
      <c r="CD138" s="539">
        <f>Time!CD$108</f>
        <v>0</v>
      </c>
      <c r="CE138" s="539">
        <f>Time!CE$108</f>
        <v>0</v>
      </c>
      <c r="CF138" s="539">
        <f>Time!CF$108</f>
        <v>0</v>
      </c>
      <c r="CG138" s="539">
        <f>Time!CG$108</f>
        <v>1</v>
      </c>
      <c r="CH138" s="539">
        <f>Time!CH$108</f>
        <v>0</v>
      </c>
      <c r="CI138" s="539">
        <f>Time!CI$108</f>
        <v>0</v>
      </c>
      <c r="CJ138" s="539">
        <f>Time!CJ$108</f>
        <v>0</v>
      </c>
      <c r="CK138" s="539">
        <f>Time!CK$108</f>
        <v>1</v>
      </c>
      <c r="CL138" s="539">
        <f>Time!CL$108</f>
        <v>0</v>
      </c>
      <c r="CM138" s="539">
        <f>Time!CM$108</f>
        <v>0</v>
      </c>
      <c r="CN138" s="539">
        <f>Time!CN$108</f>
        <v>0</v>
      </c>
      <c r="CO138" s="539">
        <f>Time!CO$108</f>
        <v>1</v>
      </c>
      <c r="CP138" s="539">
        <f>Time!CP$108</f>
        <v>0</v>
      </c>
      <c r="CQ138" s="539">
        <f>Time!CQ$108</f>
        <v>0</v>
      </c>
      <c r="CR138" s="539">
        <f>Time!CR$108</f>
        <v>0</v>
      </c>
      <c r="CS138" s="539">
        <f>Time!CS$108</f>
        <v>1</v>
      </c>
      <c r="CT138" s="539">
        <f>Time!CT$108</f>
        <v>0</v>
      </c>
      <c r="CU138" s="539">
        <f>Time!CU$108</f>
        <v>0</v>
      </c>
      <c r="CV138" s="539">
        <f>Time!CV$108</f>
        <v>0</v>
      </c>
      <c r="CW138" s="539">
        <f>Time!CW$108</f>
        <v>1</v>
      </c>
      <c r="CX138" s="539">
        <f>Time!CX$108</f>
        <v>0</v>
      </c>
      <c r="CY138" s="539">
        <f>Time!CY$108</f>
        <v>0</v>
      </c>
      <c r="CZ138" s="539">
        <f>Time!CZ$108</f>
        <v>0</v>
      </c>
      <c r="DA138" s="539">
        <f>Time!DA$108</f>
        <v>1</v>
      </c>
      <c r="DB138" s="539">
        <f>Time!DB$108</f>
        <v>0</v>
      </c>
      <c r="DC138" s="539">
        <f>Time!DC$108</f>
        <v>0</v>
      </c>
      <c r="DD138" s="539">
        <f>Time!DD$108</f>
        <v>0</v>
      </c>
      <c r="DE138" s="539">
        <f>Time!DE$108</f>
        <v>1</v>
      </c>
      <c r="DF138" s="539">
        <f>Time!DF$108</f>
        <v>0</v>
      </c>
      <c r="DG138" s="539">
        <f>Time!DG$108</f>
        <v>0</v>
      </c>
      <c r="DH138" s="539">
        <f>Time!DH$108</f>
        <v>0</v>
      </c>
      <c r="DI138" s="539">
        <f>Time!DI$108</f>
        <v>1</v>
      </c>
      <c r="DJ138" s="539">
        <f>Time!DJ$108</f>
        <v>0</v>
      </c>
      <c r="DK138" s="539">
        <f>Time!DK$108</f>
        <v>0</v>
      </c>
      <c r="DL138" s="539">
        <f>Time!DL$108</f>
        <v>0</v>
      </c>
      <c r="DM138" s="539">
        <f>Time!DM$108</f>
        <v>1</v>
      </c>
      <c r="DN138" s="539">
        <f>Time!DN$108</f>
        <v>0</v>
      </c>
      <c r="DO138" s="539">
        <f>Time!DO$108</f>
        <v>0</v>
      </c>
      <c r="DP138" s="539">
        <f>Time!DP$108</f>
        <v>0</v>
      </c>
      <c r="DQ138" s="539">
        <f>Time!DQ$108</f>
        <v>1</v>
      </c>
      <c r="DR138" s="539">
        <f>Time!DR$108</f>
        <v>0</v>
      </c>
      <c r="DS138" s="539">
        <f>Time!DS$108</f>
        <v>0</v>
      </c>
      <c r="DT138" s="539">
        <f>Time!DT$108</f>
        <v>0</v>
      </c>
      <c r="DU138" s="539">
        <f>Time!DU$108</f>
        <v>1</v>
      </c>
      <c r="DV138" s="539">
        <f>Time!DV$108</f>
        <v>0</v>
      </c>
      <c r="DW138" s="539">
        <f>Time!DW$108</f>
        <v>0</v>
      </c>
      <c r="DX138" s="539">
        <f>Time!DX$108</f>
        <v>0</v>
      </c>
      <c r="DY138" s="539">
        <f>Time!DY$108</f>
        <v>1</v>
      </c>
      <c r="DZ138" s="539">
        <f>Time!DZ$108</f>
        <v>0</v>
      </c>
      <c r="EA138" s="539">
        <f>Time!EA$108</f>
        <v>0</v>
      </c>
      <c r="EB138" s="539">
        <f>Time!EB$108</f>
        <v>0</v>
      </c>
      <c r="EC138" s="539">
        <f>Time!EC$108</f>
        <v>1</v>
      </c>
      <c r="ED138" s="539">
        <f>Time!ED$108</f>
        <v>0</v>
      </c>
      <c r="EE138" s="539">
        <f>Time!EE$108</f>
        <v>0</v>
      </c>
      <c r="EF138" s="539">
        <f>Time!EF$108</f>
        <v>0</v>
      </c>
      <c r="EG138" s="539">
        <f>Time!EG$108</f>
        <v>1</v>
      </c>
    </row>
    <row r="139" spans="5:137" ht="12.75">
      <c r="E139" s="538" t="str">
        <f>Time!E$117</f>
        <v>Financial year</v>
      </c>
      <c r="G139" s="539" t="str">
        <f>Time!G$117</f>
        <v>year #</v>
      </c>
      <c r="H139" s="539">
        <f>Time!H$117</f>
        <v>260976</v>
      </c>
      <c r="J139" s="539">
        <f>Time!J$117</f>
        <v>2027</v>
      </c>
      <c r="K139" s="539">
        <f>Time!K$117</f>
        <v>2027</v>
      </c>
      <c r="L139" s="539">
        <f>Time!L$117</f>
        <v>2027</v>
      </c>
      <c r="M139" s="539">
        <f>Time!M$117</f>
        <v>2027</v>
      </c>
      <c r="N139" s="539">
        <f>Time!N$117</f>
        <v>2027</v>
      </c>
      <c r="O139" s="539">
        <f>Time!O$117</f>
        <v>2027</v>
      </c>
      <c r="P139" s="539">
        <f>Time!P$117</f>
        <v>2027</v>
      </c>
      <c r="Q139" s="539">
        <f>Time!Q$117</f>
        <v>2027</v>
      </c>
      <c r="R139" s="539">
        <f>Time!R$117</f>
        <v>2027</v>
      </c>
      <c r="S139" s="539">
        <f>Time!S$117</f>
        <v>2027</v>
      </c>
      <c r="T139" s="539">
        <f>Time!T$117</f>
        <v>2027</v>
      </c>
      <c r="U139" s="539">
        <f>Time!U$117</f>
        <v>2027</v>
      </c>
      <c r="V139" s="539">
        <f>Time!V$117</f>
        <v>2028</v>
      </c>
      <c r="W139" s="539">
        <f>Time!W$117</f>
        <v>2028</v>
      </c>
      <c r="X139" s="539">
        <f>Time!X$117</f>
        <v>2028</v>
      </c>
      <c r="Y139" s="539">
        <f>Time!Y$117</f>
        <v>2028</v>
      </c>
      <c r="Z139" s="539">
        <f>Time!Z$117</f>
        <v>2028</v>
      </c>
      <c r="AA139" s="539">
        <f>Time!AA$117</f>
        <v>2028</v>
      </c>
      <c r="AB139" s="539">
        <f>Time!AB$117</f>
        <v>2028</v>
      </c>
      <c r="AC139" s="539">
        <f>Time!AC$117</f>
        <v>2028</v>
      </c>
      <c r="AD139" s="539">
        <f>Time!AD$117</f>
        <v>2028</v>
      </c>
      <c r="AE139" s="539">
        <f>Time!AE$117</f>
        <v>2028</v>
      </c>
      <c r="AF139" s="539">
        <f>Time!AF$117</f>
        <v>2028</v>
      </c>
      <c r="AG139" s="539">
        <f>Time!AG$117</f>
        <v>2028</v>
      </c>
      <c r="AH139" s="539">
        <f>Time!AH$117</f>
        <v>2029</v>
      </c>
      <c r="AI139" s="539">
        <f>Time!AI$117</f>
        <v>2029</v>
      </c>
      <c r="AJ139" s="539">
        <f>Time!AJ$117</f>
        <v>2029</v>
      </c>
      <c r="AK139" s="539">
        <f>Time!AK$117</f>
        <v>2029</v>
      </c>
      <c r="AL139" s="539">
        <f>Time!AL$117</f>
        <v>2030</v>
      </c>
      <c r="AM139" s="539">
        <f>Time!AM$117</f>
        <v>2030</v>
      </c>
      <c r="AN139" s="539">
        <f>Time!AN$117</f>
        <v>2030</v>
      </c>
      <c r="AO139" s="539">
        <f>Time!AO$117</f>
        <v>2030</v>
      </c>
      <c r="AP139" s="539">
        <f>Time!AP$117</f>
        <v>2031</v>
      </c>
      <c r="AQ139" s="539">
        <f>Time!AQ$117</f>
        <v>2031</v>
      </c>
      <c r="AR139" s="539">
        <f>Time!AR$117</f>
        <v>2031</v>
      </c>
      <c r="AS139" s="539">
        <f>Time!AS$117</f>
        <v>2031</v>
      </c>
      <c r="AT139" s="539">
        <f>Time!AT$117</f>
        <v>2032</v>
      </c>
      <c r="AU139" s="539">
        <f>Time!AU$117</f>
        <v>2032</v>
      </c>
      <c r="AV139" s="539">
        <f>Time!AV$117</f>
        <v>2032</v>
      </c>
      <c r="AW139" s="539">
        <f>Time!AW$117</f>
        <v>2032</v>
      </c>
      <c r="AX139" s="539">
        <f>Time!AX$117</f>
        <v>2033</v>
      </c>
      <c r="AY139" s="539">
        <f>Time!AY$117</f>
        <v>2033</v>
      </c>
      <c r="AZ139" s="539">
        <f>Time!AZ$117</f>
        <v>2033</v>
      </c>
      <c r="BA139" s="539">
        <f>Time!BA$117</f>
        <v>2033</v>
      </c>
      <c r="BB139" s="539">
        <f>Time!BB$117</f>
        <v>2034</v>
      </c>
      <c r="BC139" s="539">
        <f>Time!BC$117</f>
        <v>2034</v>
      </c>
      <c r="BD139" s="539">
        <f>Time!BD$117</f>
        <v>2034</v>
      </c>
      <c r="BE139" s="539">
        <f>Time!BE$117</f>
        <v>2034</v>
      </c>
      <c r="BF139" s="539">
        <f>Time!BF$117</f>
        <v>2035</v>
      </c>
      <c r="BG139" s="539">
        <f>Time!BG$117</f>
        <v>2035</v>
      </c>
      <c r="BH139" s="539">
        <f>Time!BH$117</f>
        <v>2035</v>
      </c>
      <c r="BI139" s="539">
        <f>Time!BI$117</f>
        <v>2035</v>
      </c>
      <c r="BJ139" s="539">
        <f>Time!BJ$117</f>
        <v>2036</v>
      </c>
      <c r="BK139" s="539">
        <f>Time!BK$117</f>
        <v>2036</v>
      </c>
      <c r="BL139" s="539">
        <f>Time!BL$117</f>
        <v>2036</v>
      </c>
      <c r="BM139" s="539">
        <f>Time!BM$117</f>
        <v>2036</v>
      </c>
      <c r="BN139" s="539">
        <f>Time!BN$117</f>
        <v>2037</v>
      </c>
      <c r="BO139" s="539">
        <f>Time!BO$117</f>
        <v>2037</v>
      </c>
      <c r="BP139" s="539">
        <f>Time!BP$117</f>
        <v>2037</v>
      </c>
      <c r="BQ139" s="539">
        <f>Time!BQ$117</f>
        <v>2037</v>
      </c>
      <c r="BR139" s="539">
        <f>Time!BR$117</f>
        <v>2038</v>
      </c>
      <c r="BS139" s="539">
        <f>Time!BS$117</f>
        <v>2038</v>
      </c>
      <c r="BT139" s="539">
        <f>Time!BT$117</f>
        <v>2038</v>
      </c>
      <c r="BU139" s="539">
        <f>Time!BU$117</f>
        <v>2038</v>
      </c>
      <c r="BV139" s="539">
        <f>Time!BV$117</f>
        <v>2039</v>
      </c>
      <c r="BW139" s="539">
        <f>Time!BW$117</f>
        <v>2039</v>
      </c>
      <c r="BX139" s="539">
        <f>Time!BX$117</f>
        <v>2039</v>
      </c>
      <c r="BY139" s="539">
        <f>Time!BY$117</f>
        <v>2039</v>
      </c>
      <c r="BZ139" s="539">
        <f>Time!BZ$117</f>
        <v>2040</v>
      </c>
      <c r="CA139" s="539">
        <f>Time!CA$117</f>
        <v>2040</v>
      </c>
      <c r="CB139" s="539">
        <f>Time!CB$117</f>
        <v>2040</v>
      </c>
      <c r="CC139" s="539">
        <f>Time!CC$117</f>
        <v>2040</v>
      </c>
      <c r="CD139" s="539">
        <f>Time!CD$117</f>
        <v>2041</v>
      </c>
      <c r="CE139" s="539">
        <f>Time!CE$117</f>
        <v>2041</v>
      </c>
      <c r="CF139" s="539">
        <f>Time!CF$117</f>
        <v>2041</v>
      </c>
      <c r="CG139" s="539">
        <f>Time!CG$117</f>
        <v>2041</v>
      </c>
      <c r="CH139" s="539">
        <f>Time!CH$117</f>
        <v>2042</v>
      </c>
      <c r="CI139" s="539">
        <f>Time!CI$117</f>
        <v>2042</v>
      </c>
      <c r="CJ139" s="539">
        <f>Time!CJ$117</f>
        <v>2042</v>
      </c>
      <c r="CK139" s="539">
        <f>Time!CK$117</f>
        <v>2042</v>
      </c>
      <c r="CL139" s="539">
        <f>Time!CL$117</f>
        <v>2043</v>
      </c>
      <c r="CM139" s="539">
        <f>Time!CM$117</f>
        <v>2043</v>
      </c>
      <c r="CN139" s="539">
        <f>Time!CN$117</f>
        <v>2043</v>
      </c>
      <c r="CO139" s="539">
        <f>Time!CO$117</f>
        <v>2043</v>
      </c>
      <c r="CP139" s="539">
        <f>Time!CP$117</f>
        <v>2044</v>
      </c>
      <c r="CQ139" s="539">
        <f>Time!CQ$117</f>
        <v>2044</v>
      </c>
      <c r="CR139" s="539">
        <f>Time!CR$117</f>
        <v>2044</v>
      </c>
      <c r="CS139" s="539">
        <f>Time!CS$117</f>
        <v>2044</v>
      </c>
      <c r="CT139" s="539">
        <f>Time!CT$117</f>
        <v>2045</v>
      </c>
      <c r="CU139" s="539">
        <f>Time!CU$117</f>
        <v>2045</v>
      </c>
      <c r="CV139" s="539">
        <f>Time!CV$117</f>
        <v>2045</v>
      </c>
      <c r="CW139" s="539">
        <f>Time!CW$117</f>
        <v>2045</v>
      </c>
      <c r="CX139" s="539">
        <f>Time!CX$117</f>
        <v>2046</v>
      </c>
      <c r="CY139" s="539">
        <f>Time!CY$117</f>
        <v>2046</v>
      </c>
      <c r="CZ139" s="539">
        <f>Time!CZ$117</f>
        <v>2046</v>
      </c>
      <c r="DA139" s="539">
        <f>Time!DA$117</f>
        <v>2046</v>
      </c>
      <c r="DB139" s="539">
        <f>Time!DB$117</f>
        <v>2047</v>
      </c>
      <c r="DC139" s="539">
        <f>Time!DC$117</f>
        <v>2047</v>
      </c>
      <c r="DD139" s="539">
        <f>Time!DD$117</f>
        <v>2047</v>
      </c>
      <c r="DE139" s="539">
        <f>Time!DE$117</f>
        <v>2047</v>
      </c>
      <c r="DF139" s="539">
        <f>Time!DF$117</f>
        <v>2048</v>
      </c>
      <c r="DG139" s="539">
        <f>Time!DG$117</f>
        <v>2048</v>
      </c>
      <c r="DH139" s="539">
        <f>Time!DH$117</f>
        <v>2048</v>
      </c>
      <c r="DI139" s="539">
        <f>Time!DI$117</f>
        <v>2048</v>
      </c>
      <c r="DJ139" s="539">
        <f>Time!DJ$117</f>
        <v>2049</v>
      </c>
      <c r="DK139" s="539">
        <f>Time!DK$117</f>
        <v>2049</v>
      </c>
      <c r="DL139" s="539">
        <f>Time!DL$117</f>
        <v>2049</v>
      </c>
      <c r="DM139" s="539">
        <f>Time!DM$117</f>
        <v>2049</v>
      </c>
      <c r="DN139" s="539">
        <f>Time!DN$117</f>
        <v>2050</v>
      </c>
      <c r="DO139" s="539">
        <f>Time!DO$117</f>
        <v>2050</v>
      </c>
      <c r="DP139" s="539">
        <f>Time!DP$117</f>
        <v>2050</v>
      </c>
      <c r="DQ139" s="539">
        <f>Time!DQ$117</f>
        <v>2050</v>
      </c>
      <c r="DR139" s="539">
        <f>Time!DR$117</f>
        <v>2051</v>
      </c>
      <c r="DS139" s="539">
        <f>Time!DS$117</f>
        <v>2051</v>
      </c>
      <c r="DT139" s="539">
        <f>Time!DT$117</f>
        <v>2051</v>
      </c>
      <c r="DU139" s="539">
        <f>Time!DU$117</f>
        <v>2051</v>
      </c>
      <c r="DV139" s="539">
        <f>Time!DV$117</f>
        <v>2052</v>
      </c>
      <c r="DW139" s="539">
        <f>Time!DW$117</f>
        <v>2052</v>
      </c>
      <c r="DX139" s="539">
        <f>Time!DX$117</f>
        <v>2052</v>
      </c>
      <c r="DY139" s="539">
        <f>Time!DY$117</f>
        <v>2052</v>
      </c>
      <c r="DZ139" s="539">
        <f>Time!DZ$117</f>
        <v>2053</v>
      </c>
      <c r="EA139" s="539">
        <f>Time!EA$117</f>
        <v>2053</v>
      </c>
      <c r="EB139" s="539">
        <f>Time!EB$117</f>
        <v>2053</v>
      </c>
      <c r="EC139" s="539">
        <f>Time!EC$117</f>
        <v>2053</v>
      </c>
      <c r="ED139" s="539">
        <f>Time!ED$117</f>
        <v>2054</v>
      </c>
      <c r="EE139" s="539">
        <f>Time!EE$117</f>
        <v>2054</v>
      </c>
      <c r="EF139" s="539">
        <f>Time!EF$117</f>
        <v>2054</v>
      </c>
      <c r="EG139" s="539">
        <f>Time!EG$117</f>
        <v>2054</v>
      </c>
    </row>
    <row r="140" spans="5:137" ht="12.75">
      <c r="E140" s="551" t="s">
        <v>544</v>
      </c>
      <c r="F140" s="552"/>
      <c r="G140" s="552" t="s">
        <v>30</v>
      </c>
      <c r="H140" s="552">
        <f>SUM(J140:EG140)</f>
        <v>608370.03617299499</v>
      </c>
      <c r="I140" s="552"/>
      <c r="J140" s="552">
        <f t="shared" si="28" ref="J140:EG140">IF(J138=1,SUMIFS($I24:I24,$I139:I139,J139)+J24,0)</f>
        <v>0</v>
      </c>
      <c r="K140" s="552">
        <f t="shared" si="28"/>
        <v>0</v>
      </c>
      <c r="L140" s="552">
        <f t="shared" si="28"/>
        <v>0</v>
      </c>
      <c r="M140" s="552">
        <f t="shared" si="28"/>
        <v>0</v>
      </c>
      <c r="N140" s="552">
        <f t="shared" si="28"/>
        <v>0</v>
      </c>
      <c r="O140" s="552">
        <f t="shared" si="28"/>
        <v>0</v>
      </c>
      <c r="P140" s="552">
        <f t="shared" si="28"/>
        <v>0</v>
      </c>
      <c r="Q140" s="552">
        <f t="shared" si="28"/>
        <v>0</v>
      </c>
      <c r="R140" s="552">
        <f t="shared" si="28"/>
        <v>0</v>
      </c>
      <c r="S140" s="552">
        <f t="shared" si="28"/>
        <v>0</v>
      </c>
      <c r="T140" s="552">
        <f t="shared" si="28"/>
        <v>0</v>
      </c>
      <c r="U140" s="552">
        <f t="shared" si="28"/>
        <v>-2247.3231715372099</v>
      </c>
      <c r="V140" s="552">
        <f t="shared" si="28"/>
        <v>0</v>
      </c>
      <c r="W140" s="552">
        <f t="shared" si="28"/>
        <v>0</v>
      </c>
      <c r="X140" s="552">
        <f t="shared" si="28"/>
        <v>0</v>
      </c>
      <c r="Y140" s="552">
        <f t="shared" si="28"/>
        <v>0</v>
      </c>
      <c r="Z140" s="552">
        <f t="shared" si="28"/>
        <v>0</v>
      </c>
      <c r="AA140" s="552">
        <f t="shared" si="28"/>
        <v>0</v>
      </c>
      <c r="AB140" s="552">
        <f t="shared" si="28"/>
        <v>0</v>
      </c>
      <c r="AC140" s="552">
        <f t="shared" si="28"/>
        <v>0</v>
      </c>
      <c r="AD140" s="552">
        <f t="shared" si="28"/>
        <v>0</v>
      </c>
      <c r="AE140" s="552">
        <f t="shared" si="28"/>
        <v>0</v>
      </c>
      <c r="AF140" s="552">
        <f t="shared" si="28"/>
        <v>0</v>
      </c>
      <c r="AG140" s="552">
        <f t="shared" si="28"/>
        <v>-4196.3493251381615</v>
      </c>
      <c r="AH140" s="552">
        <f t="shared" si="28"/>
        <v>0</v>
      </c>
      <c r="AI140" s="552">
        <f t="shared" si="28"/>
        <v>0</v>
      </c>
      <c r="AJ140" s="552">
        <f t="shared" si="28"/>
        <v>0</v>
      </c>
      <c r="AK140" s="552">
        <f t="shared" si="28"/>
        <v>4893.9052975377417</v>
      </c>
      <c r="AL140" s="552">
        <f t="shared" si="28"/>
        <v>0</v>
      </c>
      <c r="AM140" s="552">
        <f t="shared" si="28"/>
        <v>0</v>
      </c>
      <c r="AN140" s="552">
        <f t="shared" si="28"/>
        <v>0</v>
      </c>
      <c r="AO140" s="552">
        <f t="shared" si="28"/>
        <v>6713.8331875776621</v>
      </c>
      <c r="AP140" s="552">
        <f t="shared" si="28"/>
        <v>0</v>
      </c>
      <c r="AQ140" s="552">
        <f t="shared" si="28"/>
        <v>0</v>
      </c>
      <c r="AR140" s="552">
        <f t="shared" si="28"/>
        <v>0</v>
      </c>
      <c r="AS140" s="552">
        <f t="shared" si="28"/>
        <v>8673.6690390287658</v>
      </c>
      <c r="AT140" s="552">
        <f t="shared" si="28"/>
        <v>0</v>
      </c>
      <c r="AU140" s="552">
        <f t="shared" si="28"/>
        <v>0</v>
      </c>
      <c r="AV140" s="552">
        <f t="shared" si="28"/>
        <v>0</v>
      </c>
      <c r="AW140" s="552">
        <f t="shared" si="28"/>
        <v>10542.432712716365</v>
      </c>
      <c r="AX140" s="552">
        <f t="shared" si="28"/>
        <v>0</v>
      </c>
      <c r="AY140" s="552">
        <f t="shared" si="28"/>
        <v>0</v>
      </c>
      <c r="AZ140" s="552">
        <f t="shared" si="28"/>
        <v>0</v>
      </c>
      <c r="BA140" s="552">
        <f t="shared" si="28"/>
        <v>5549.4947347418502</v>
      </c>
      <c r="BB140" s="552">
        <f t="shared" si="28"/>
        <v>0</v>
      </c>
      <c r="BC140" s="552">
        <f t="shared" si="28"/>
        <v>0</v>
      </c>
      <c r="BD140" s="552">
        <f t="shared" si="28"/>
        <v>0</v>
      </c>
      <c r="BE140" s="552">
        <f t="shared" si="28"/>
        <v>14876.421702702297</v>
      </c>
      <c r="BF140" s="552">
        <f t="shared" si="28"/>
        <v>0</v>
      </c>
      <c r="BG140" s="552">
        <f t="shared" si="28"/>
        <v>0</v>
      </c>
      <c r="BH140" s="552">
        <f t="shared" si="28"/>
        <v>0</v>
      </c>
      <c r="BI140" s="552">
        <f t="shared" si="28"/>
        <v>17029.506628654031</v>
      </c>
      <c r="BJ140" s="552">
        <f t="shared" si="28"/>
        <v>0</v>
      </c>
      <c r="BK140" s="552">
        <f t="shared" si="28"/>
        <v>0</v>
      </c>
      <c r="BL140" s="552">
        <f t="shared" si="28"/>
        <v>0</v>
      </c>
      <c r="BM140" s="552">
        <f t="shared" si="28"/>
        <v>18524.953487644161</v>
      </c>
      <c r="BN140" s="552">
        <f t="shared" si="28"/>
        <v>0</v>
      </c>
      <c r="BO140" s="552">
        <f t="shared" si="28"/>
        <v>0</v>
      </c>
      <c r="BP140" s="552">
        <f t="shared" si="28"/>
        <v>0</v>
      </c>
      <c r="BQ140" s="552">
        <f t="shared" si="28"/>
        <v>20116.374709429903</v>
      </c>
      <c r="BR140" s="552">
        <f t="shared" si="28"/>
        <v>0</v>
      </c>
      <c r="BS140" s="552">
        <f t="shared" si="28"/>
        <v>0</v>
      </c>
      <c r="BT140" s="552">
        <f t="shared" si="28"/>
        <v>0</v>
      </c>
      <c r="BU140" s="552">
        <f t="shared" si="28"/>
        <v>13874.515775695292</v>
      </c>
      <c r="BV140" s="552">
        <f t="shared" si="28"/>
        <v>0</v>
      </c>
      <c r="BW140" s="552">
        <f t="shared" si="28"/>
        <v>0</v>
      </c>
      <c r="BX140" s="552">
        <f t="shared" si="28"/>
        <v>0</v>
      </c>
      <c r="BY140" s="552">
        <f t="shared" si="28"/>
        <v>23424.361217251731</v>
      </c>
      <c r="BZ140" s="552">
        <f t="shared" si="28"/>
        <v>0</v>
      </c>
      <c r="CA140" s="552">
        <f t="shared" si="28"/>
        <v>0</v>
      </c>
      <c r="CB140" s="552">
        <f t="shared" si="28"/>
        <v>0</v>
      </c>
      <c r="CC140" s="552">
        <f t="shared" si="28"/>
        <v>25058.917389779846</v>
      </c>
      <c r="CD140" s="552">
        <f t="shared" si="28"/>
        <v>0</v>
      </c>
      <c r="CE140" s="552">
        <f t="shared" si="28"/>
        <v>0</v>
      </c>
      <c r="CF140" s="552">
        <f t="shared" si="28"/>
        <v>0</v>
      </c>
      <c r="CG140" s="552">
        <f t="shared" si="28"/>
        <v>26684.405189507183</v>
      </c>
      <c r="CH140" s="552">
        <f t="shared" si="28"/>
        <v>0</v>
      </c>
      <c r="CI140" s="552">
        <f t="shared" si="28"/>
        <v>0</v>
      </c>
      <c r="CJ140" s="552">
        <f t="shared" si="28"/>
        <v>0</v>
      </c>
      <c r="CK140" s="552">
        <f t="shared" si="28"/>
        <v>28213.68766485919</v>
      </c>
      <c r="CL140" s="552">
        <f t="shared" si="28"/>
        <v>0</v>
      </c>
      <c r="CM140" s="552">
        <f t="shared" si="28"/>
        <v>0</v>
      </c>
      <c r="CN140" s="552">
        <f t="shared" si="28"/>
        <v>0</v>
      </c>
      <c r="CO140" s="552">
        <f t="shared" si="28"/>
        <v>20919.965447075592</v>
      </c>
      <c r="CP140" s="552">
        <f t="shared" si="28"/>
        <v>0</v>
      </c>
      <c r="CQ140" s="552">
        <f t="shared" si="28"/>
        <v>0</v>
      </c>
      <c r="CR140" s="552">
        <f t="shared" si="28"/>
        <v>0</v>
      </c>
      <c r="CS140" s="552">
        <f t="shared" si="28"/>
        <v>31511.059791357613</v>
      </c>
      <c r="CT140" s="552">
        <f t="shared" si="28"/>
        <v>0</v>
      </c>
      <c r="CU140" s="552">
        <f t="shared" si="28"/>
        <v>0</v>
      </c>
      <c r="CV140" s="552">
        <f t="shared" si="28"/>
        <v>0</v>
      </c>
      <c r="CW140" s="552">
        <f t="shared" si="28"/>
        <v>33244.881542780538</v>
      </c>
      <c r="CX140" s="552">
        <f t="shared" si="28"/>
        <v>0</v>
      </c>
      <c r="CY140" s="552">
        <f t="shared" si="28"/>
        <v>0</v>
      </c>
      <c r="CZ140" s="552">
        <f t="shared" si="28"/>
        <v>0</v>
      </c>
      <c r="DA140" s="552">
        <f t="shared" si="28"/>
        <v>35040.133095815865</v>
      </c>
      <c r="DB140" s="552">
        <f t="shared" si="28"/>
        <v>0</v>
      </c>
      <c r="DC140" s="552">
        <f t="shared" si="28"/>
        <v>0</v>
      </c>
      <c r="DD140" s="552">
        <f t="shared" si="28"/>
        <v>0</v>
      </c>
      <c r="DE140" s="552">
        <f t="shared" si="28"/>
        <v>37408.395184625384</v>
      </c>
      <c r="DF140" s="552">
        <f t="shared" si="28"/>
        <v>0</v>
      </c>
      <c r="DG140" s="552">
        <f t="shared" si="28"/>
        <v>0</v>
      </c>
      <c r="DH140" s="552">
        <f t="shared" si="28"/>
        <v>0</v>
      </c>
      <c r="DI140" s="552">
        <f t="shared" si="28"/>
        <v>28172.633353681187</v>
      </c>
      <c r="DJ140" s="552">
        <f t="shared" si="28"/>
        <v>0</v>
      </c>
      <c r="DK140" s="552">
        <f t="shared" si="28"/>
        <v>0</v>
      </c>
      <c r="DL140" s="552">
        <f t="shared" si="28"/>
        <v>0</v>
      </c>
      <c r="DM140" s="552">
        <f t="shared" si="28"/>
        <v>39104.944780365702</v>
      </c>
      <c r="DN140" s="552">
        <f t="shared" si="28"/>
        <v>0</v>
      </c>
      <c r="DO140" s="552">
        <f t="shared" si="28"/>
        <v>0</v>
      </c>
      <c r="DP140" s="552">
        <f t="shared" si="28"/>
        <v>0</v>
      </c>
      <c r="DQ140" s="552">
        <f t="shared" si="28"/>
        <v>39973.010827741084</v>
      </c>
      <c r="DR140" s="552">
        <f t="shared" si="28"/>
        <v>0</v>
      </c>
      <c r="DS140" s="552">
        <f t="shared" si="28"/>
        <v>0</v>
      </c>
      <c r="DT140" s="552">
        <f t="shared" si="28"/>
        <v>0</v>
      </c>
      <c r="DU140" s="552">
        <f t="shared" si="28"/>
        <v>40854.47729900595</v>
      </c>
      <c r="DV140" s="552">
        <f t="shared" si="28"/>
        <v>0</v>
      </c>
      <c r="DW140" s="552">
        <f t="shared" si="28"/>
        <v>0</v>
      </c>
      <c r="DX140" s="552">
        <f t="shared" si="28"/>
        <v>0</v>
      </c>
      <c r="DY140" s="552">
        <f t="shared" si="28"/>
        <v>41749.498809436096</v>
      </c>
      <c r="DZ140" s="552">
        <f t="shared" si="28"/>
        <v>0</v>
      </c>
      <c r="EA140" s="552">
        <f t="shared" si="28"/>
        <v>0</v>
      </c>
      <c r="EB140" s="552">
        <f t="shared" si="28"/>
        <v>0</v>
      </c>
      <c r="EC140" s="552">
        <f t="shared" si="28"/>
        <v>42658.229800659334</v>
      </c>
      <c r="ED140" s="552">
        <f t="shared" si="28"/>
        <v>0</v>
      </c>
      <c r="EE140" s="552">
        <f t="shared" si="28"/>
        <v>0</v>
      </c>
      <c r="EF140" s="552">
        <f t="shared" si="28"/>
        <v>0</v>
      </c>
      <c r="EG140" s="552">
        <f t="shared" si="28"/>
        <v>0</v>
      </c>
    </row>
    <row r="142" spans="5:137" ht="12.75">
      <c r="E142" s="538" t="str">
        <f>Time!E$108</f>
        <v>End of financial year flag</v>
      </c>
      <c r="G142" s="539" t="str">
        <f>Time!G$108</f>
        <v>flag</v>
      </c>
      <c r="H142" s="539">
        <f>Time!H$108</f>
        <v>28</v>
      </c>
      <c r="J142" s="539">
        <f>Time!J$108</f>
        <v>0</v>
      </c>
      <c r="K142" s="539">
        <f>Time!K$108</f>
        <v>0</v>
      </c>
      <c r="L142" s="539">
        <f>Time!L$108</f>
        <v>0</v>
      </c>
      <c r="M142" s="539">
        <f>Time!M$108</f>
        <v>0</v>
      </c>
      <c r="N142" s="539">
        <f>Time!N$108</f>
        <v>0</v>
      </c>
      <c r="O142" s="539">
        <f>Time!O$108</f>
        <v>0</v>
      </c>
      <c r="P142" s="539">
        <f>Time!P$108</f>
        <v>0</v>
      </c>
      <c r="Q142" s="539">
        <f>Time!Q$108</f>
        <v>0</v>
      </c>
      <c r="R142" s="539">
        <f>Time!R$108</f>
        <v>0</v>
      </c>
      <c r="S142" s="539">
        <f>Time!S$108</f>
        <v>0</v>
      </c>
      <c r="T142" s="539">
        <f>Time!T$108</f>
        <v>0</v>
      </c>
      <c r="U142" s="539">
        <f>Time!U$108</f>
        <v>1</v>
      </c>
      <c r="V142" s="539">
        <f>Time!V$108</f>
        <v>0</v>
      </c>
      <c r="W142" s="539">
        <f>Time!W$108</f>
        <v>0</v>
      </c>
      <c r="X142" s="539">
        <f>Time!X$108</f>
        <v>0</v>
      </c>
      <c r="Y142" s="539">
        <f>Time!Y$108</f>
        <v>0</v>
      </c>
      <c r="Z142" s="539">
        <f>Time!Z$108</f>
        <v>0</v>
      </c>
      <c r="AA142" s="539">
        <f>Time!AA$108</f>
        <v>0</v>
      </c>
      <c r="AB142" s="539">
        <f>Time!AB$108</f>
        <v>0</v>
      </c>
      <c r="AC142" s="539">
        <f>Time!AC$108</f>
        <v>0</v>
      </c>
      <c r="AD142" s="539">
        <f>Time!AD$108</f>
        <v>0</v>
      </c>
      <c r="AE142" s="539">
        <f>Time!AE$108</f>
        <v>0</v>
      </c>
      <c r="AF142" s="539">
        <f>Time!AF$108</f>
        <v>0</v>
      </c>
      <c r="AG142" s="539">
        <f>Time!AG$108</f>
        <v>1</v>
      </c>
      <c r="AH142" s="539">
        <f>Time!AH$108</f>
        <v>0</v>
      </c>
      <c r="AI142" s="539">
        <f>Time!AI$108</f>
        <v>0</v>
      </c>
      <c r="AJ142" s="539">
        <f>Time!AJ$108</f>
        <v>0</v>
      </c>
      <c r="AK142" s="539">
        <f>Time!AK$108</f>
        <v>1</v>
      </c>
      <c r="AL142" s="539">
        <f>Time!AL$108</f>
        <v>0</v>
      </c>
      <c r="AM142" s="539">
        <f>Time!AM$108</f>
        <v>0</v>
      </c>
      <c r="AN142" s="539">
        <f>Time!AN$108</f>
        <v>0</v>
      </c>
      <c r="AO142" s="539">
        <f>Time!AO$108</f>
        <v>1</v>
      </c>
      <c r="AP142" s="539">
        <f>Time!AP$108</f>
        <v>0</v>
      </c>
      <c r="AQ142" s="539">
        <f>Time!AQ$108</f>
        <v>0</v>
      </c>
      <c r="AR142" s="539">
        <f>Time!AR$108</f>
        <v>0</v>
      </c>
      <c r="AS142" s="539">
        <f>Time!AS$108</f>
        <v>1</v>
      </c>
      <c r="AT142" s="539">
        <f>Time!AT$108</f>
        <v>0</v>
      </c>
      <c r="AU142" s="539">
        <f>Time!AU$108</f>
        <v>0</v>
      </c>
      <c r="AV142" s="539">
        <f>Time!AV$108</f>
        <v>0</v>
      </c>
      <c r="AW142" s="539">
        <f>Time!AW$108</f>
        <v>1</v>
      </c>
      <c r="AX142" s="539">
        <f>Time!AX$108</f>
        <v>0</v>
      </c>
      <c r="AY142" s="539">
        <f>Time!AY$108</f>
        <v>0</v>
      </c>
      <c r="AZ142" s="539">
        <f>Time!AZ$108</f>
        <v>0</v>
      </c>
      <c r="BA142" s="539">
        <f>Time!BA$108</f>
        <v>1</v>
      </c>
      <c r="BB142" s="539">
        <f>Time!BB$108</f>
        <v>0</v>
      </c>
      <c r="BC142" s="539">
        <f>Time!BC$108</f>
        <v>0</v>
      </c>
      <c r="BD142" s="539">
        <f>Time!BD$108</f>
        <v>0</v>
      </c>
      <c r="BE142" s="539">
        <f>Time!BE$108</f>
        <v>1</v>
      </c>
      <c r="BF142" s="539">
        <f>Time!BF$108</f>
        <v>0</v>
      </c>
      <c r="BG142" s="539">
        <f>Time!BG$108</f>
        <v>0</v>
      </c>
      <c r="BH142" s="539">
        <f>Time!BH$108</f>
        <v>0</v>
      </c>
      <c r="BI142" s="539">
        <f>Time!BI$108</f>
        <v>1</v>
      </c>
      <c r="BJ142" s="539">
        <f>Time!BJ$108</f>
        <v>0</v>
      </c>
      <c r="BK142" s="539">
        <f>Time!BK$108</f>
        <v>0</v>
      </c>
      <c r="BL142" s="539">
        <f>Time!BL$108</f>
        <v>0</v>
      </c>
      <c r="BM142" s="539">
        <f>Time!BM$108</f>
        <v>1</v>
      </c>
      <c r="BN142" s="539">
        <f>Time!BN$108</f>
        <v>0</v>
      </c>
      <c r="BO142" s="539">
        <f>Time!BO$108</f>
        <v>0</v>
      </c>
      <c r="BP142" s="539">
        <f>Time!BP$108</f>
        <v>0</v>
      </c>
      <c r="BQ142" s="539">
        <f>Time!BQ$108</f>
        <v>1</v>
      </c>
      <c r="BR142" s="539">
        <f>Time!BR$108</f>
        <v>0</v>
      </c>
      <c r="BS142" s="539">
        <f>Time!BS$108</f>
        <v>0</v>
      </c>
      <c r="BT142" s="539">
        <f>Time!BT$108</f>
        <v>0</v>
      </c>
      <c r="BU142" s="539">
        <f>Time!BU$108</f>
        <v>1</v>
      </c>
      <c r="BV142" s="539">
        <f>Time!BV$108</f>
        <v>0</v>
      </c>
      <c r="BW142" s="539">
        <f>Time!BW$108</f>
        <v>0</v>
      </c>
      <c r="BX142" s="539">
        <f>Time!BX$108</f>
        <v>0</v>
      </c>
      <c r="BY142" s="539">
        <f>Time!BY$108</f>
        <v>1</v>
      </c>
      <c r="BZ142" s="539">
        <f>Time!BZ$108</f>
        <v>0</v>
      </c>
      <c r="CA142" s="539">
        <f>Time!CA$108</f>
        <v>0</v>
      </c>
      <c r="CB142" s="539">
        <f>Time!CB$108</f>
        <v>0</v>
      </c>
      <c r="CC142" s="539">
        <f>Time!CC$108</f>
        <v>1</v>
      </c>
      <c r="CD142" s="539">
        <f>Time!CD$108</f>
        <v>0</v>
      </c>
      <c r="CE142" s="539">
        <f>Time!CE$108</f>
        <v>0</v>
      </c>
      <c r="CF142" s="539">
        <f>Time!CF$108</f>
        <v>0</v>
      </c>
      <c r="CG142" s="539">
        <f>Time!CG$108</f>
        <v>1</v>
      </c>
      <c r="CH142" s="539">
        <f>Time!CH$108</f>
        <v>0</v>
      </c>
      <c r="CI142" s="539">
        <f>Time!CI$108</f>
        <v>0</v>
      </c>
      <c r="CJ142" s="539">
        <f>Time!CJ$108</f>
        <v>0</v>
      </c>
      <c r="CK142" s="539">
        <f>Time!CK$108</f>
        <v>1</v>
      </c>
      <c r="CL142" s="539">
        <f>Time!CL$108</f>
        <v>0</v>
      </c>
      <c r="CM142" s="539">
        <f>Time!CM$108</f>
        <v>0</v>
      </c>
      <c r="CN142" s="539">
        <f>Time!CN$108</f>
        <v>0</v>
      </c>
      <c r="CO142" s="539">
        <f>Time!CO$108</f>
        <v>1</v>
      </c>
      <c r="CP142" s="539">
        <f>Time!CP$108</f>
        <v>0</v>
      </c>
      <c r="CQ142" s="539">
        <f>Time!CQ$108</f>
        <v>0</v>
      </c>
      <c r="CR142" s="539">
        <f>Time!CR$108</f>
        <v>0</v>
      </c>
      <c r="CS142" s="539">
        <f>Time!CS$108</f>
        <v>1</v>
      </c>
      <c r="CT142" s="539">
        <f>Time!CT$108</f>
        <v>0</v>
      </c>
      <c r="CU142" s="539">
        <f>Time!CU$108</f>
        <v>0</v>
      </c>
      <c r="CV142" s="539">
        <f>Time!CV$108</f>
        <v>0</v>
      </c>
      <c r="CW142" s="539">
        <f>Time!CW$108</f>
        <v>1</v>
      </c>
      <c r="CX142" s="539">
        <f>Time!CX$108</f>
        <v>0</v>
      </c>
      <c r="CY142" s="539">
        <f>Time!CY$108</f>
        <v>0</v>
      </c>
      <c r="CZ142" s="539">
        <f>Time!CZ$108</f>
        <v>0</v>
      </c>
      <c r="DA142" s="539">
        <f>Time!DA$108</f>
        <v>1</v>
      </c>
      <c r="DB142" s="539">
        <f>Time!DB$108</f>
        <v>0</v>
      </c>
      <c r="DC142" s="539">
        <f>Time!DC$108</f>
        <v>0</v>
      </c>
      <c r="DD142" s="539">
        <f>Time!DD$108</f>
        <v>0</v>
      </c>
      <c r="DE142" s="539">
        <f>Time!DE$108</f>
        <v>1</v>
      </c>
      <c r="DF142" s="539">
        <f>Time!DF$108</f>
        <v>0</v>
      </c>
      <c r="DG142" s="539">
        <f>Time!DG$108</f>
        <v>0</v>
      </c>
      <c r="DH142" s="539">
        <f>Time!DH$108</f>
        <v>0</v>
      </c>
      <c r="DI142" s="539">
        <f>Time!DI$108</f>
        <v>1</v>
      </c>
      <c r="DJ142" s="539">
        <f>Time!DJ$108</f>
        <v>0</v>
      </c>
      <c r="DK142" s="539">
        <f>Time!DK$108</f>
        <v>0</v>
      </c>
      <c r="DL142" s="539">
        <f>Time!DL$108</f>
        <v>0</v>
      </c>
      <c r="DM142" s="539">
        <f>Time!DM$108</f>
        <v>1</v>
      </c>
      <c r="DN142" s="539">
        <f>Time!DN$108</f>
        <v>0</v>
      </c>
      <c r="DO142" s="539">
        <f>Time!DO$108</f>
        <v>0</v>
      </c>
      <c r="DP142" s="539">
        <f>Time!DP$108</f>
        <v>0</v>
      </c>
      <c r="DQ142" s="539">
        <f>Time!DQ$108</f>
        <v>1</v>
      </c>
      <c r="DR142" s="539">
        <f>Time!DR$108</f>
        <v>0</v>
      </c>
      <c r="DS142" s="539">
        <f>Time!DS$108</f>
        <v>0</v>
      </c>
      <c r="DT142" s="539">
        <f>Time!DT$108</f>
        <v>0</v>
      </c>
      <c r="DU142" s="539">
        <f>Time!DU$108</f>
        <v>1</v>
      </c>
      <c r="DV142" s="539">
        <f>Time!DV$108</f>
        <v>0</v>
      </c>
      <c r="DW142" s="539">
        <f>Time!DW$108</f>
        <v>0</v>
      </c>
      <c r="DX142" s="539">
        <f>Time!DX$108</f>
        <v>0</v>
      </c>
      <c r="DY142" s="539">
        <f>Time!DY$108</f>
        <v>1</v>
      </c>
      <c r="DZ142" s="539">
        <f>Time!DZ$108</f>
        <v>0</v>
      </c>
      <c r="EA142" s="539">
        <f>Time!EA$108</f>
        <v>0</v>
      </c>
      <c r="EB142" s="539">
        <f>Time!EB$108</f>
        <v>0</v>
      </c>
      <c r="EC142" s="539">
        <f>Time!EC$108</f>
        <v>1</v>
      </c>
      <c r="ED142" s="539">
        <f>Time!ED$108</f>
        <v>0</v>
      </c>
      <c r="EE142" s="539">
        <f>Time!EE$108</f>
        <v>0</v>
      </c>
      <c r="EF142" s="539">
        <f>Time!EF$108</f>
        <v>0</v>
      </c>
      <c r="EG142" s="539">
        <f>Time!EG$108</f>
        <v>1</v>
      </c>
    </row>
    <row r="143" spans="5:137" ht="12.75">
      <c r="E143" s="538" t="str">
        <f>Time!E$117</f>
        <v>Financial year</v>
      </c>
      <c r="G143" s="539" t="str">
        <f>Time!G$117</f>
        <v>year #</v>
      </c>
      <c r="H143" s="539">
        <f>Time!H$117</f>
        <v>260976</v>
      </c>
      <c r="J143" s="539">
        <f>Time!J$117</f>
        <v>2027</v>
      </c>
      <c r="K143" s="539">
        <f>Time!K$117</f>
        <v>2027</v>
      </c>
      <c r="L143" s="539">
        <f>Time!L$117</f>
        <v>2027</v>
      </c>
      <c r="M143" s="539">
        <f>Time!M$117</f>
        <v>2027</v>
      </c>
      <c r="N143" s="539">
        <f>Time!N$117</f>
        <v>2027</v>
      </c>
      <c r="O143" s="539">
        <f>Time!O$117</f>
        <v>2027</v>
      </c>
      <c r="P143" s="539">
        <f>Time!P$117</f>
        <v>2027</v>
      </c>
      <c r="Q143" s="539">
        <f>Time!Q$117</f>
        <v>2027</v>
      </c>
      <c r="R143" s="539">
        <f>Time!R$117</f>
        <v>2027</v>
      </c>
      <c r="S143" s="539">
        <f>Time!S$117</f>
        <v>2027</v>
      </c>
      <c r="T143" s="539">
        <f>Time!T$117</f>
        <v>2027</v>
      </c>
      <c r="U143" s="539">
        <f>Time!U$117</f>
        <v>2027</v>
      </c>
      <c r="V143" s="539">
        <f>Time!V$117</f>
        <v>2028</v>
      </c>
      <c r="W143" s="539">
        <f>Time!W$117</f>
        <v>2028</v>
      </c>
      <c r="X143" s="539">
        <f>Time!X$117</f>
        <v>2028</v>
      </c>
      <c r="Y143" s="539">
        <f>Time!Y$117</f>
        <v>2028</v>
      </c>
      <c r="Z143" s="539">
        <f>Time!Z$117</f>
        <v>2028</v>
      </c>
      <c r="AA143" s="539">
        <f>Time!AA$117</f>
        <v>2028</v>
      </c>
      <c r="AB143" s="539">
        <f>Time!AB$117</f>
        <v>2028</v>
      </c>
      <c r="AC143" s="539">
        <f>Time!AC$117</f>
        <v>2028</v>
      </c>
      <c r="AD143" s="539">
        <f>Time!AD$117</f>
        <v>2028</v>
      </c>
      <c r="AE143" s="539">
        <f>Time!AE$117</f>
        <v>2028</v>
      </c>
      <c r="AF143" s="539">
        <f>Time!AF$117</f>
        <v>2028</v>
      </c>
      <c r="AG143" s="539">
        <f>Time!AG$117</f>
        <v>2028</v>
      </c>
      <c r="AH143" s="539">
        <f>Time!AH$117</f>
        <v>2029</v>
      </c>
      <c r="AI143" s="539">
        <f>Time!AI$117</f>
        <v>2029</v>
      </c>
      <c r="AJ143" s="539">
        <f>Time!AJ$117</f>
        <v>2029</v>
      </c>
      <c r="AK143" s="539">
        <f>Time!AK$117</f>
        <v>2029</v>
      </c>
      <c r="AL143" s="539">
        <f>Time!AL$117</f>
        <v>2030</v>
      </c>
      <c r="AM143" s="539">
        <f>Time!AM$117</f>
        <v>2030</v>
      </c>
      <c r="AN143" s="539">
        <f>Time!AN$117</f>
        <v>2030</v>
      </c>
      <c r="AO143" s="539">
        <f>Time!AO$117</f>
        <v>2030</v>
      </c>
      <c r="AP143" s="539">
        <f>Time!AP$117</f>
        <v>2031</v>
      </c>
      <c r="AQ143" s="539">
        <f>Time!AQ$117</f>
        <v>2031</v>
      </c>
      <c r="AR143" s="539">
        <f>Time!AR$117</f>
        <v>2031</v>
      </c>
      <c r="AS143" s="539">
        <f>Time!AS$117</f>
        <v>2031</v>
      </c>
      <c r="AT143" s="539">
        <f>Time!AT$117</f>
        <v>2032</v>
      </c>
      <c r="AU143" s="539">
        <f>Time!AU$117</f>
        <v>2032</v>
      </c>
      <c r="AV143" s="539">
        <f>Time!AV$117</f>
        <v>2032</v>
      </c>
      <c r="AW143" s="539">
        <f>Time!AW$117</f>
        <v>2032</v>
      </c>
      <c r="AX143" s="539">
        <f>Time!AX$117</f>
        <v>2033</v>
      </c>
      <c r="AY143" s="539">
        <f>Time!AY$117</f>
        <v>2033</v>
      </c>
      <c r="AZ143" s="539">
        <f>Time!AZ$117</f>
        <v>2033</v>
      </c>
      <c r="BA143" s="539">
        <f>Time!BA$117</f>
        <v>2033</v>
      </c>
      <c r="BB143" s="539">
        <f>Time!BB$117</f>
        <v>2034</v>
      </c>
      <c r="BC143" s="539">
        <f>Time!BC$117</f>
        <v>2034</v>
      </c>
      <c r="BD143" s="539">
        <f>Time!BD$117</f>
        <v>2034</v>
      </c>
      <c r="BE143" s="539">
        <f>Time!BE$117</f>
        <v>2034</v>
      </c>
      <c r="BF143" s="539">
        <f>Time!BF$117</f>
        <v>2035</v>
      </c>
      <c r="BG143" s="539">
        <f>Time!BG$117</f>
        <v>2035</v>
      </c>
      <c r="BH143" s="539">
        <f>Time!BH$117</f>
        <v>2035</v>
      </c>
      <c r="BI143" s="539">
        <f>Time!BI$117</f>
        <v>2035</v>
      </c>
      <c r="BJ143" s="539">
        <f>Time!BJ$117</f>
        <v>2036</v>
      </c>
      <c r="BK143" s="539">
        <f>Time!BK$117</f>
        <v>2036</v>
      </c>
      <c r="BL143" s="539">
        <f>Time!BL$117</f>
        <v>2036</v>
      </c>
      <c r="BM143" s="539">
        <f>Time!BM$117</f>
        <v>2036</v>
      </c>
      <c r="BN143" s="539">
        <f>Time!BN$117</f>
        <v>2037</v>
      </c>
      <c r="BO143" s="539">
        <f>Time!BO$117</f>
        <v>2037</v>
      </c>
      <c r="BP143" s="539">
        <f>Time!BP$117</f>
        <v>2037</v>
      </c>
      <c r="BQ143" s="539">
        <f>Time!BQ$117</f>
        <v>2037</v>
      </c>
      <c r="BR143" s="539">
        <f>Time!BR$117</f>
        <v>2038</v>
      </c>
      <c r="BS143" s="539">
        <f>Time!BS$117</f>
        <v>2038</v>
      </c>
      <c r="BT143" s="539">
        <f>Time!BT$117</f>
        <v>2038</v>
      </c>
      <c r="BU143" s="539">
        <f>Time!BU$117</f>
        <v>2038</v>
      </c>
      <c r="BV143" s="539">
        <f>Time!BV$117</f>
        <v>2039</v>
      </c>
      <c r="BW143" s="539">
        <f>Time!BW$117</f>
        <v>2039</v>
      </c>
      <c r="BX143" s="539">
        <f>Time!BX$117</f>
        <v>2039</v>
      </c>
      <c r="BY143" s="539">
        <f>Time!BY$117</f>
        <v>2039</v>
      </c>
      <c r="BZ143" s="539">
        <f>Time!BZ$117</f>
        <v>2040</v>
      </c>
      <c r="CA143" s="539">
        <f>Time!CA$117</f>
        <v>2040</v>
      </c>
      <c r="CB143" s="539">
        <f>Time!CB$117</f>
        <v>2040</v>
      </c>
      <c r="CC143" s="539">
        <f>Time!CC$117</f>
        <v>2040</v>
      </c>
      <c r="CD143" s="539">
        <f>Time!CD$117</f>
        <v>2041</v>
      </c>
      <c r="CE143" s="539">
        <f>Time!CE$117</f>
        <v>2041</v>
      </c>
      <c r="CF143" s="539">
        <f>Time!CF$117</f>
        <v>2041</v>
      </c>
      <c r="CG143" s="539">
        <f>Time!CG$117</f>
        <v>2041</v>
      </c>
      <c r="CH143" s="539">
        <f>Time!CH$117</f>
        <v>2042</v>
      </c>
      <c r="CI143" s="539">
        <f>Time!CI$117</f>
        <v>2042</v>
      </c>
      <c r="CJ143" s="539">
        <f>Time!CJ$117</f>
        <v>2042</v>
      </c>
      <c r="CK143" s="539">
        <f>Time!CK$117</f>
        <v>2042</v>
      </c>
      <c r="CL143" s="539">
        <f>Time!CL$117</f>
        <v>2043</v>
      </c>
      <c r="CM143" s="539">
        <f>Time!CM$117</f>
        <v>2043</v>
      </c>
      <c r="CN143" s="539">
        <f>Time!CN$117</f>
        <v>2043</v>
      </c>
      <c r="CO143" s="539">
        <f>Time!CO$117</f>
        <v>2043</v>
      </c>
      <c r="CP143" s="539">
        <f>Time!CP$117</f>
        <v>2044</v>
      </c>
      <c r="CQ143" s="539">
        <f>Time!CQ$117</f>
        <v>2044</v>
      </c>
      <c r="CR143" s="539">
        <f>Time!CR$117</f>
        <v>2044</v>
      </c>
      <c r="CS143" s="539">
        <f>Time!CS$117</f>
        <v>2044</v>
      </c>
      <c r="CT143" s="539">
        <f>Time!CT$117</f>
        <v>2045</v>
      </c>
      <c r="CU143" s="539">
        <f>Time!CU$117</f>
        <v>2045</v>
      </c>
      <c r="CV143" s="539">
        <f>Time!CV$117</f>
        <v>2045</v>
      </c>
      <c r="CW143" s="539">
        <f>Time!CW$117</f>
        <v>2045</v>
      </c>
      <c r="CX143" s="539">
        <f>Time!CX$117</f>
        <v>2046</v>
      </c>
      <c r="CY143" s="539">
        <f>Time!CY$117</f>
        <v>2046</v>
      </c>
      <c r="CZ143" s="539">
        <f>Time!CZ$117</f>
        <v>2046</v>
      </c>
      <c r="DA143" s="539">
        <f>Time!DA$117</f>
        <v>2046</v>
      </c>
      <c r="DB143" s="539">
        <f>Time!DB$117</f>
        <v>2047</v>
      </c>
      <c r="DC143" s="539">
        <f>Time!DC$117</f>
        <v>2047</v>
      </c>
      <c r="DD143" s="539">
        <f>Time!DD$117</f>
        <v>2047</v>
      </c>
      <c r="DE143" s="539">
        <f>Time!DE$117</f>
        <v>2047</v>
      </c>
      <c r="DF143" s="539">
        <f>Time!DF$117</f>
        <v>2048</v>
      </c>
      <c r="DG143" s="539">
        <f>Time!DG$117</f>
        <v>2048</v>
      </c>
      <c r="DH143" s="539">
        <f>Time!DH$117</f>
        <v>2048</v>
      </c>
      <c r="DI143" s="539">
        <f>Time!DI$117</f>
        <v>2048</v>
      </c>
      <c r="DJ143" s="539">
        <f>Time!DJ$117</f>
        <v>2049</v>
      </c>
      <c r="DK143" s="539">
        <f>Time!DK$117</f>
        <v>2049</v>
      </c>
      <c r="DL143" s="539">
        <f>Time!DL$117</f>
        <v>2049</v>
      </c>
      <c r="DM143" s="539">
        <f>Time!DM$117</f>
        <v>2049</v>
      </c>
      <c r="DN143" s="539">
        <f>Time!DN$117</f>
        <v>2050</v>
      </c>
      <c r="DO143" s="539">
        <f>Time!DO$117</f>
        <v>2050</v>
      </c>
      <c r="DP143" s="539">
        <f>Time!DP$117</f>
        <v>2050</v>
      </c>
      <c r="DQ143" s="539">
        <f>Time!DQ$117</f>
        <v>2050</v>
      </c>
      <c r="DR143" s="539">
        <f>Time!DR$117</f>
        <v>2051</v>
      </c>
      <c r="DS143" s="539">
        <f>Time!DS$117</f>
        <v>2051</v>
      </c>
      <c r="DT143" s="539">
        <f>Time!DT$117</f>
        <v>2051</v>
      </c>
      <c r="DU143" s="539">
        <f>Time!DU$117</f>
        <v>2051</v>
      </c>
      <c r="DV143" s="539">
        <f>Time!DV$117</f>
        <v>2052</v>
      </c>
      <c r="DW143" s="539">
        <f>Time!DW$117</f>
        <v>2052</v>
      </c>
      <c r="DX143" s="539">
        <f>Time!DX$117</f>
        <v>2052</v>
      </c>
      <c r="DY143" s="539">
        <f>Time!DY$117</f>
        <v>2052</v>
      </c>
      <c r="DZ143" s="539">
        <f>Time!DZ$117</f>
        <v>2053</v>
      </c>
      <c r="EA143" s="539">
        <f>Time!EA$117</f>
        <v>2053</v>
      </c>
      <c r="EB143" s="539">
        <f>Time!EB$117</f>
        <v>2053</v>
      </c>
      <c r="EC143" s="539">
        <f>Time!EC$117</f>
        <v>2053</v>
      </c>
      <c r="ED143" s="539">
        <f>Time!ED$117</f>
        <v>2054</v>
      </c>
      <c r="EE143" s="539">
        <f>Time!EE$117</f>
        <v>2054</v>
      </c>
      <c r="EF143" s="539">
        <f>Time!EF$117</f>
        <v>2054</v>
      </c>
      <c r="EG143" s="539">
        <f>Time!EG$117</f>
        <v>2054</v>
      </c>
    </row>
    <row r="144" spans="5:137" ht="12.75">
      <c r="E144" s="551" t="s">
        <v>545</v>
      </c>
      <c r="F144" s="552"/>
      <c r="G144" s="552" t="s">
        <v>30</v>
      </c>
      <c r="H144" s="552">
        <f>SUM(J144:EG144)</f>
        <v>450809.27108649485</v>
      </c>
      <c r="I144" s="552"/>
      <c r="J144" s="552">
        <f t="shared" si="29" ref="J144:EG144">IF(J142=1,SUMIFS($I28:I28,$I143:I143,J143)+J28,0)</f>
        <v>0</v>
      </c>
      <c r="K144" s="552">
        <f t="shared" si="29"/>
        <v>0</v>
      </c>
      <c r="L144" s="552">
        <f t="shared" si="29"/>
        <v>0</v>
      </c>
      <c r="M144" s="552">
        <f t="shared" si="29"/>
        <v>0</v>
      </c>
      <c r="N144" s="552">
        <f t="shared" si="29"/>
        <v>0</v>
      </c>
      <c r="O144" s="552">
        <f t="shared" si="29"/>
        <v>0</v>
      </c>
      <c r="P144" s="552">
        <f t="shared" si="29"/>
        <v>0</v>
      </c>
      <c r="Q144" s="552">
        <f t="shared" si="29"/>
        <v>0</v>
      </c>
      <c r="R144" s="552">
        <f t="shared" si="29"/>
        <v>0</v>
      </c>
      <c r="S144" s="552">
        <f t="shared" si="29"/>
        <v>0</v>
      </c>
      <c r="T144" s="552">
        <f t="shared" si="29"/>
        <v>0</v>
      </c>
      <c r="U144" s="552">
        <f t="shared" si="29"/>
        <v>-2247.3231715372099</v>
      </c>
      <c r="V144" s="552">
        <f t="shared" si="29"/>
        <v>0</v>
      </c>
      <c r="W144" s="552">
        <f t="shared" si="29"/>
        <v>0</v>
      </c>
      <c r="X144" s="552">
        <f t="shared" si="29"/>
        <v>0</v>
      </c>
      <c r="Y144" s="552">
        <f t="shared" si="29"/>
        <v>0</v>
      </c>
      <c r="Z144" s="552">
        <f t="shared" si="29"/>
        <v>0</v>
      </c>
      <c r="AA144" s="552">
        <f t="shared" si="29"/>
        <v>0</v>
      </c>
      <c r="AB144" s="552">
        <f t="shared" si="29"/>
        <v>0</v>
      </c>
      <c r="AC144" s="552">
        <f t="shared" si="29"/>
        <v>0</v>
      </c>
      <c r="AD144" s="552">
        <f t="shared" si="29"/>
        <v>0</v>
      </c>
      <c r="AE144" s="552">
        <f t="shared" si="29"/>
        <v>0</v>
      </c>
      <c r="AF144" s="552">
        <f t="shared" si="29"/>
        <v>0</v>
      </c>
      <c r="AG144" s="552">
        <f t="shared" si="29"/>
        <v>-4196.3493251381615</v>
      </c>
      <c r="AH144" s="552">
        <f t="shared" si="29"/>
        <v>0</v>
      </c>
      <c r="AI144" s="552">
        <f t="shared" si="29"/>
        <v>0</v>
      </c>
      <c r="AJ144" s="552">
        <f t="shared" si="29"/>
        <v>0</v>
      </c>
      <c r="AK144" s="552">
        <f t="shared" si="29"/>
        <v>2617.3122485441691</v>
      </c>
      <c r="AL144" s="552">
        <f t="shared" si="29"/>
        <v>0</v>
      </c>
      <c r="AM144" s="552">
        <f t="shared" si="29"/>
        <v>0</v>
      </c>
      <c r="AN144" s="552">
        <f t="shared" si="29"/>
        <v>0</v>
      </c>
      <c r="AO144" s="552">
        <f t="shared" si="29"/>
        <v>4133.7947890176174</v>
      </c>
      <c r="AP144" s="552">
        <f t="shared" si="29"/>
        <v>0</v>
      </c>
      <c r="AQ144" s="552">
        <f t="shared" si="29"/>
        <v>0</v>
      </c>
      <c r="AR144" s="552">
        <f t="shared" si="29"/>
        <v>0</v>
      </c>
      <c r="AS144" s="552">
        <f t="shared" si="29"/>
        <v>5783.1567314369004</v>
      </c>
      <c r="AT144" s="552">
        <f t="shared" si="29"/>
        <v>0</v>
      </c>
      <c r="AU144" s="552">
        <f t="shared" si="29"/>
        <v>0</v>
      </c>
      <c r="AV144" s="552">
        <f t="shared" si="29"/>
        <v>0</v>
      </c>
      <c r="AW144" s="552">
        <f t="shared" si="29"/>
        <v>7338.0037831886639</v>
      </c>
      <c r="AX144" s="552">
        <f t="shared" si="29"/>
        <v>0</v>
      </c>
      <c r="AY144" s="552">
        <f t="shared" si="29"/>
        <v>0</v>
      </c>
      <c r="AZ144" s="552">
        <f t="shared" si="29"/>
        <v>0</v>
      </c>
      <c r="BA144" s="552">
        <f t="shared" si="29"/>
        <v>3738.1456487556788</v>
      </c>
      <c r="BB144" s="552">
        <f t="shared" si="29"/>
        <v>0</v>
      </c>
      <c r="BC144" s="552">
        <f t="shared" si="29"/>
        <v>0</v>
      </c>
      <c r="BD144" s="552">
        <f t="shared" si="29"/>
        <v>0</v>
      </c>
      <c r="BE144" s="552">
        <f t="shared" si="29"/>
        <v>10975.241699877808</v>
      </c>
      <c r="BF144" s="552">
        <f t="shared" si="29"/>
        <v>0</v>
      </c>
      <c r="BG144" s="552">
        <f t="shared" si="29"/>
        <v>0</v>
      </c>
      <c r="BH144" s="552">
        <f t="shared" si="29"/>
        <v>0</v>
      </c>
      <c r="BI144" s="552">
        <f t="shared" si="29"/>
        <v>12766.45465731576</v>
      </c>
      <c r="BJ144" s="552">
        <f t="shared" si="29"/>
        <v>0</v>
      </c>
      <c r="BK144" s="552">
        <f t="shared" si="29"/>
        <v>0</v>
      </c>
      <c r="BL144" s="552">
        <f t="shared" si="29"/>
        <v>0</v>
      </c>
      <c r="BM144" s="552">
        <f t="shared" si="29"/>
        <v>13893.715115733117</v>
      </c>
      <c r="BN144" s="552">
        <f t="shared" si="29"/>
        <v>0</v>
      </c>
      <c r="BO144" s="552">
        <f t="shared" si="29"/>
        <v>0</v>
      </c>
      <c r="BP144" s="552">
        <f t="shared" si="29"/>
        <v>0</v>
      </c>
      <c r="BQ144" s="552">
        <f t="shared" si="29"/>
        <v>15087.28103207242</v>
      </c>
      <c r="BR144" s="552">
        <f t="shared" si="29"/>
        <v>0</v>
      </c>
      <c r="BS144" s="552">
        <f t="shared" si="29"/>
        <v>0</v>
      </c>
      <c r="BT144" s="552">
        <f t="shared" si="29"/>
        <v>0</v>
      </c>
      <c r="BU144" s="552">
        <f t="shared" si="29"/>
        <v>10405.88683177146</v>
      </c>
      <c r="BV144" s="552">
        <f t="shared" si="29"/>
        <v>0</v>
      </c>
      <c r="BW144" s="552">
        <f t="shared" si="29"/>
        <v>0</v>
      </c>
      <c r="BX144" s="552">
        <f t="shared" si="29"/>
        <v>0</v>
      </c>
      <c r="BY144" s="552">
        <f t="shared" si="29"/>
        <v>17568.270912938795</v>
      </c>
      <c r="BZ144" s="552">
        <f t="shared" si="29"/>
        <v>0</v>
      </c>
      <c r="CA144" s="552">
        <f t="shared" si="29"/>
        <v>0</v>
      </c>
      <c r="CB144" s="552">
        <f t="shared" si="29"/>
        <v>0</v>
      </c>
      <c r="CC144" s="552">
        <f t="shared" si="29"/>
        <v>18794.188042334878</v>
      </c>
      <c r="CD144" s="552">
        <f t="shared" si="29"/>
        <v>0</v>
      </c>
      <c r="CE144" s="552">
        <f t="shared" si="29"/>
        <v>0</v>
      </c>
      <c r="CF144" s="552">
        <f t="shared" si="29"/>
        <v>0</v>
      </c>
      <c r="CG144" s="552">
        <f t="shared" si="29"/>
        <v>20013.303892130378</v>
      </c>
      <c r="CH144" s="552">
        <f t="shared" si="29"/>
        <v>0</v>
      </c>
      <c r="CI144" s="552">
        <f t="shared" si="29"/>
        <v>0</v>
      </c>
      <c r="CJ144" s="552">
        <f t="shared" si="29"/>
        <v>0</v>
      </c>
      <c r="CK144" s="552">
        <f t="shared" si="29"/>
        <v>21160.265748644379</v>
      </c>
      <c r="CL144" s="552">
        <f t="shared" si="29"/>
        <v>0</v>
      </c>
      <c r="CM144" s="552">
        <f t="shared" si="29"/>
        <v>0</v>
      </c>
      <c r="CN144" s="552">
        <f t="shared" si="29"/>
        <v>0</v>
      </c>
      <c r="CO144" s="552">
        <f t="shared" si="29"/>
        <v>15689.974085306687</v>
      </c>
      <c r="CP144" s="552">
        <f t="shared" si="29"/>
        <v>0</v>
      </c>
      <c r="CQ144" s="552">
        <f t="shared" si="29"/>
        <v>0</v>
      </c>
      <c r="CR144" s="552">
        <f t="shared" si="29"/>
        <v>0</v>
      </c>
      <c r="CS144" s="552">
        <f t="shared" si="29"/>
        <v>23633.294843518197</v>
      </c>
      <c r="CT144" s="552">
        <f t="shared" si="29"/>
        <v>0</v>
      </c>
      <c r="CU144" s="552">
        <f t="shared" si="29"/>
        <v>0</v>
      </c>
      <c r="CV144" s="552">
        <f t="shared" si="29"/>
        <v>0</v>
      </c>
      <c r="CW144" s="552">
        <f t="shared" si="29"/>
        <v>24933.661157085393</v>
      </c>
      <c r="CX144" s="552">
        <f t="shared" si="29"/>
        <v>0</v>
      </c>
      <c r="CY144" s="552">
        <f t="shared" si="29"/>
        <v>0</v>
      </c>
      <c r="CZ144" s="552">
        <f t="shared" si="29"/>
        <v>0</v>
      </c>
      <c r="DA144" s="552">
        <f t="shared" si="29"/>
        <v>26280.099821861877</v>
      </c>
      <c r="DB144" s="552">
        <f t="shared" si="29"/>
        <v>0</v>
      </c>
      <c r="DC144" s="552">
        <f t="shared" si="29"/>
        <v>0</v>
      </c>
      <c r="DD144" s="552">
        <f t="shared" si="29"/>
        <v>0</v>
      </c>
      <c r="DE144" s="552">
        <f t="shared" si="29"/>
        <v>28056.296388469029</v>
      </c>
      <c r="DF144" s="552">
        <f t="shared" si="29"/>
        <v>0</v>
      </c>
      <c r="DG144" s="552">
        <f t="shared" si="29"/>
        <v>0</v>
      </c>
      <c r="DH144" s="552">
        <f t="shared" si="29"/>
        <v>0</v>
      </c>
      <c r="DI144" s="552">
        <f t="shared" si="29"/>
        <v>21129.475015260883</v>
      </c>
      <c r="DJ144" s="552">
        <f t="shared" si="29"/>
        <v>0</v>
      </c>
      <c r="DK144" s="552">
        <f t="shared" si="29"/>
        <v>0</v>
      </c>
      <c r="DL144" s="552">
        <f t="shared" si="29"/>
        <v>0</v>
      </c>
      <c r="DM144" s="552">
        <f t="shared" si="29"/>
        <v>29328.708585274271</v>
      </c>
      <c r="DN144" s="552">
        <f t="shared" si="29"/>
        <v>0</v>
      </c>
      <c r="DO144" s="552">
        <f t="shared" si="29"/>
        <v>0</v>
      </c>
      <c r="DP144" s="552">
        <f t="shared" si="29"/>
        <v>0</v>
      </c>
      <c r="DQ144" s="552">
        <f t="shared" si="29"/>
        <v>29979.758120805811</v>
      </c>
      <c r="DR144" s="552">
        <f t="shared" si="29"/>
        <v>0</v>
      </c>
      <c r="DS144" s="552">
        <f t="shared" si="29"/>
        <v>0</v>
      </c>
      <c r="DT144" s="552">
        <f t="shared" si="29"/>
        <v>0</v>
      </c>
      <c r="DU144" s="552">
        <f t="shared" si="29"/>
        <v>30640.857974254453</v>
      </c>
      <c r="DV144" s="552">
        <f t="shared" si="29"/>
        <v>0</v>
      </c>
      <c r="DW144" s="552">
        <f t="shared" si="29"/>
        <v>0</v>
      </c>
      <c r="DX144" s="552">
        <f t="shared" si="29"/>
        <v>0</v>
      </c>
      <c r="DY144" s="552">
        <f t="shared" si="29"/>
        <v>31312.124107077063</v>
      </c>
      <c r="DZ144" s="552">
        <f t="shared" si="29"/>
        <v>0</v>
      </c>
      <c r="EA144" s="552">
        <f t="shared" si="29"/>
        <v>0</v>
      </c>
      <c r="EB144" s="552">
        <f t="shared" si="29"/>
        <v>0</v>
      </c>
      <c r="EC144" s="552">
        <f t="shared" si="29"/>
        <v>31993.672350494493</v>
      </c>
      <c r="ED144" s="552">
        <f t="shared" si="29"/>
        <v>0</v>
      </c>
      <c r="EE144" s="552">
        <f t="shared" si="29"/>
        <v>0</v>
      </c>
      <c r="EF144" s="552">
        <f t="shared" si="29"/>
        <v>0</v>
      </c>
      <c r="EG144" s="552">
        <f t="shared" si="29"/>
        <v>0</v>
      </c>
    </row>
    <row r="146" spans="2:2" ht="12.75">
      <c r="B146" s="534" t="s">
        <v>546</v>
      </c>
    </row>
    <row r="147" spans="5:137" ht="12.75">
      <c r="E147" s="538" t="str">
        <f>Time!E$108</f>
        <v>End of financial year flag</v>
      </c>
      <c r="G147" s="539" t="str">
        <f>Time!G$108</f>
        <v>flag</v>
      </c>
      <c r="H147" s="539">
        <f>Time!H$108</f>
        <v>28</v>
      </c>
      <c r="J147" s="539">
        <f>Time!J$108</f>
        <v>0</v>
      </c>
      <c r="K147" s="539">
        <f>Time!K$108</f>
        <v>0</v>
      </c>
      <c r="L147" s="539">
        <f>Time!L$108</f>
        <v>0</v>
      </c>
      <c r="M147" s="539">
        <f>Time!M$108</f>
        <v>0</v>
      </c>
      <c r="N147" s="539">
        <f>Time!N$108</f>
        <v>0</v>
      </c>
      <c r="O147" s="539">
        <f>Time!O$108</f>
        <v>0</v>
      </c>
      <c r="P147" s="539">
        <f>Time!P$108</f>
        <v>0</v>
      </c>
      <c r="Q147" s="539">
        <f>Time!Q$108</f>
        <v>0</v>
      </c>
      <c r="R147" s="539">
        <f>Time!R$108</f>
        <v>0</v>
      </c>
      <c r="S147" s="539">
        <f>Time!S$108</f>
        <v>0</v>
      </c>
      <c r="T147" s="539">
        <f>Time!T$108</f>
        <v>0</v>
      </c>
      <c r="U147" s="539">
        <f>Time!U$108</f>
        <v>1</v>
      </c>
      <c r="V147" s="539">
        <f>Time!V$108</f>
        <v>0</v>
      </c>
      <c r="W147" s="539">
        <f>Time!W$108</f>
        <v>0</v>
      </c>
      <c r="X147" s="539">
        <f>Time!X$108</f>
        <v>0</v>
      </c>
      <c r="Y147" s="539">
        <f>Time!Y$108</f>
        <v>0</v>
      </c>
      <c r="Z147" s="539">
        <f>Time!Z$108</f>
        <v>0</v>
      </c>
      <c r="AA147" s="539">
        <f>Time!AA$108</f>
        <v>0</v>
      </c>
      <c r="AB147" s="539">
        <f>Time!AB$108</f>
        <v>0</v>
      </c>
      <c r="AC147" s="539">
        <f>Time!AC$108</f>
        <v>0</v>
      </c>
      <c r="AD147" s="539">
        <f>Time!AD$108</f>
        <v>0</v>
      </c>
      <c r="AE147" s="539">
        <f>Time!AE$108</f>
        <v>0</v>
      </c>
      <c r="AF147" s="539">
        <f>Time!AF$108</f>
        <v>0</v>
      </c>
      <c r="AG147" s="539">
        <f>Time!AG$108</f>
        <v>1</v>
      </c>
      <c r="AH147" s="539">
        <f>Time!AH$108</f>
        <v>0</v>
      </c>
      <c r="AI147" s="539">
        <f>Time!AI$108</f>
        <v>0</v>
      </c>
      <c r="AJ147" s="539">
        <f>Time!AJ$108</f>
        <v>0</v>
      </c>
      <c r="AK147" s="539">
        <f>Time!AK$108</f>
        <v>1</v>
      </c>
      <c r="AL147" s="539">
        <f>Time!AL$108</f>
        <v>0</v>
      </c>
      <c r="AM147" s="539">
        <f>Time!AM$108</f>
        <v>0</v>
      </c>
      <c r="AN147" s="539">
        <f>Time!AN$108</f>
        <v>0</v>
      </c>
      <c r="AO147" s="539">
        <f>Time!AO$108</f>
        <v>1</v>
      </c>
      <c r="AP147" s="539">
        <f>Time!AP$108</f>
        <v>0</v>
      </c>
      <c r="AQ147" s="539">
        <f>Time!AQ$108</f>
        <v>0</v>
      </c>
      <c r="AR147" s="539">
        <f>Time!AR$108</f>
        <v>0</v>
      </c>
      <c r="AS147" s="539">
        <f>Time!AS$108</f>
        <v>1</v>
      </c>
      <c r="AT147" s="539">
        <f>Time!AT$108</f>
        <v>0</v>
      </c>
      <c r="AU147" s="539">
        <f>Time!AU$108</f>
        <v>0</v>
      </c>
      <c r="AV147" s="539">
        <f>Time!AV$108</f>
        <v>0</v>
      </c>
      <c r="AW147" s="539">
        <f>Time!AW$108</f>
        <v>1</v>
      </c>
      <c r="AX147" s="539">
        <f>Time!AX$108</f>
        <v>0</v>
      </c>
      <c r="AY147" s="539">
        <f>Time!AY$108</f>
        <v>0</v>
      </c>
      <c r="AZ147" s="539">
        <f>Time!AZ$108</f>
        <v>0</v>
      </c>
      <c r="BA147" s="539">
        <f>Time!BA$108</f>
        <v>1</v>
      </c>
      <c r="BB147" s="539">
        <f>Time!BB$108</f>
        <v>0</v>
      </c>
      <c r="BC147" s="539">
        <f>Time!BC$108</f>
        <v>0</v>
      </c>
      <c r="BD147" s="539">
        <f>Time!BD$108</f>
        <v>0</v>
      </c>
      <c r="BE147" s="539">
        <f>Time!BE$108</f>
        <v>1</v>
      </c>
      <c r="BF147" s="539">
        <f>Time!BF$108</f>
        <v>0</v>
      </c>
      <c r="BG147" s="539">
        <f>Time!BG$108</f>
        <v>0</v>
      </c>
      <c r="BH147" s="539">
        <f>Time!BH$108</f>
        <v>0</v>
      </c>
      <c r="BI147" s="539">
        <f>Time!BI$108</f>
        <v>1</v>
      </c>
      <c r="BJ147" s="539">
        <f>Time!BJ$108</f>
        <v>0</v>
      </c>
      <c r="BK147" s="539">
        <f>Time!BK$108</f>
        <v>0</v>
      </c>
      <c r="BL147" s="539">
        <f>Time!BL$108</f>
        <v>0</v>
      </c>
      <c r="BM147" s="539">
        <f>Time!BM$108</f>
        <v>1</v>
      </c>
      <c r="BN147" s="539">
        <f>Time!BN$108</f>
        <v>0</v>
      </c>
      <c r="BO147" s="539">
        <f>Time!BO$108</f>
        <v>0</v>
      </c>
      <c r="BP147" s="539">
        <f>Time!BP$108</f>
        <v>0</v>
      </c>
      <c r="BQ147" s="539">
        <f>Time!BQ$108</f>
        <v>1</v>
      </c>
      <c r="BR147" s="539">
        <f>Time!BR$108</f>
        <v>0</v>
      </c>
      <c r="BS147" s="539">
        <f>Time!BS$108</f>
        <v>0</v>
      </c>
      <c r="BT147" s="539">
        <f>Time!BT$108</f>
        <v>0</v>
      </c>
      <c r="BU147" s="539">
        <f>Time!BU$108</f>
        <v>1</v>
      </c>
      <c r="BV147" s="539">
        <f>Time!BV$108</f>
        <v>0</v>
      </c>
      <c r="BW147" s="539">
        <f>Time!BW$108</f>
        <v>0</v>
      </c>
      <c r="BX147" s="539">
        <f>Time!BX$108</f>
        <v>0</v>
      </c>
      <c r="BY147" s="539">
        <f>Time!BY$108</f>
        <v>1</v>
      </c>
      <c r="BZ147" s="539">
        <f>Time!BZ$108</f>
        <v>0</v>
      </c>
      <c r="CA147" s="539">
        <f>Time!CA$108</f>
        <v>0</v>
      </c>
      <c r="CB147" s="539">
        <f>Time!CB$108</f>
        <v>0</v>
      </c>
      <c r="CC147" s="539">
        <f>Time!CC$108</f>
        <v>1</v>
      </c>
      <c r="CD147" s="539">
        <f>Time!CD$108</f>
        <v>0</v>
      </c>
      <c r="CE147" s="539">
        <f>Time!CE$108</f>
        <v>0</v>
      </c>
      <c r="CF147" s="539">
        <f>Time!CF$108</f>
        <v>0</v>
      </c>
      <c r="CG147" s="539">
        <f>Time!CG$108</f>
        <v>1</v>
      </c>
      <c r="CH147" s="539">
        <f>Time!CH$108</f>
        <v>0</v>
      </c>
      <c r="CI147" s="539">
        <f>Time!CI$108</f>
        <v>0</v>
      </c>
      <c r="CJ147" s="539">
        <f>Time!CJ$108</f>
        <v>0</v>
      </c>
      <c r="CK147" s="539">
        <f>Time!CK$108</f>
        <v>1</v>
      </c>
      <c r="CL147" s="539">
        <f>Time!CL$108</f>
        <v>0</v>
      </c>
      <c r="CM147" s="539">
        <f>Time!CM$108</f>
        <v>0</v>
      </c>
      <c r="CN147" s="539">
        <f>Time!CN$108</f>
        <v>0</v>
      </c>
      <c r="CO147" s="539">
        <f>Time!CO$108</f>
        <v>1</v>
      </c>
      <c r="CP147" s="539">
        <f>Time!CP$108</f>
        <v>0</v>
      </c>
      <c r="CQ147" s="539">
        <f>Time!CQ$108</f>
        <v>0</v>
      </c>
      <c r="CR147" s="539">
        <f>Time!CR$108</f>
        <v>0</v>
      </c>
      <c r="CS147" s="539">
        <f>Time!CS$108</f>
        <v>1</v>
      </c>
      <c r="CT147" s="539">
        <f>Time!CT$108</f>
        <v>0</v>
      </c>
      <c r="CU147" s="539">
        <f>Time!CU$108</f>
        <v>0</v>
      </c>
      <c r="CV147" s="539">
        <f>Time!CV$108</f>
        <v>0</v>
      </c>
      <c r="CW147" s="539">
        <f>Time!CW$108</f>
        <v>1</v>
      </c>
      <c r="CX147" s="539">
        <f>Time!CX$108</f>
        <v>0</v>
      </c>
      <c r="CY147" s="539">
        <f>Time!CY$108</f>
        <v>0</v>
      </c>
      <c r="CZ147" s="539">
        <f>Time!CZ$108</f>
        <v>0</v>
      </c>
      <c r="DA147" s="539">
        <f>Time!DA$108</f>
        <v>1</v>
      </c>
      <c r="DB147" s="539">
        <f>Time!DB$108</f>
        <v>0</v>
      </c>
      <c r="DC147" s="539">
        <f>Time!DC$108</f>
        <v>0</v>
      </c>
      <c r="DD147" s="539">
        <f>Time!DD$108</f>
        <v>0</v>
      </c>
      <c r="DE147" s="539">
        <f>Time!DE$108</f>
        <v>1</v>
      </c>
      <c r="DF147" s="539">
        <f>Time!DF$108</f>
        <v>0</v>
      </c>
      <c r="DG147" s="539">
        <f>Time!DG$108</f>
        <v>0</v>
      </c>
      <c r="DH147" s="539">
        <f>Time!DH$108</f>
        <v>0</v>
      </c>
      <c r="DI147" s="539">
        <f>Time!DI$108</f>
        <v>1</v>
      </c>
      <c r="DJ147" s="539">
        <f>Time!DJ$108</f>
        <v>0</v>
      </c>
      <c r="DK147" s="539">
        <f>Time!DK$108</f>
        <v>0</v>
      </c>
      <c r="DL147" s="539">
        <f>Time!DL$108</f>
        <v>0</v>
      </c>
      <c r="DM147" s="539">
        <f>Time!DM$108</f>
        <v>1</v>
      </c>
      <c r="DN147" s="539">
        <f>Time!DN$108</f>
        <v>0</v>
      </c>
      <c r="DO147" s="539">
        <f>Time!DO$108</f>
        <v>0</v>
      </c>
      <c r="DP147" s="539">
        <f>Time!DP$108</f>
        <v>0</v>
      </c>
      <c r="DQ147" s="539">
        <f>Time!DQ$108</f>
        <v>1</v>
      </c>
      <c r="DR147" s="539">
        <f>Time!DR$108</f>
        <v>0</v>
      </c>
      <c r="DS147" s="539">
        <f>Time!DS$108</f>
        <v>0</v>
      </c>
      <c r="DT147" s="539">
        <f>Time!DT$108</f>
        <v>0</v>
      </c>
      <c r="DU147" s="539">
        <f>Time!DU$108</f>
        <v>1</v>
      </c>
      <c r="DV147" s="539">
        <f>Time!DV$108</f>
        <v>0</v>
      </c>
      <c r="DW147" s="539">
        <f>Time!DW$108</f>
        <v>0</v>
      </c>
      <c r="DX147" s="539">
        <f>Time!DX$108</f>
        <v>0</v>
      </c>
      <c r="DY147" s="539">
        <f>Time!DY$108</f>
        <v>1</v>
      </c>
      <c r="DZ147" s="539">
        <f>Time!DZ$108</f>
        <v>0</v>
      </c>
      <c r="EA147" s="539">
        <f>Time!EA$108</f>
        <v>0</v>
      </c>
      <c r="EB147" s="539">
        <f>Time!EB$108</f>
        <v>0</v>
      </c>
      <c r="EC147" s="539">
        <f>Time!EC$108</f>
        <v>1</v>
      </c>
      <c r="ED147" s="539">
        <f>Time!ED$108</f>
        <v>0</v>
      </c>
      <c r="EE147" s="539">
        <f>Time!EE$108</f>
        <v>0</v>
      </c>
      <c r="EF147" s="539">
        <f>Time!EF$108</f>
        <v>0</v>
      </c>
      <c r="EG147" s="539">
        <f>Time!EG$108</f>
        <v>1</v>
      </c>
    </row>
    <row r="148" spans="5:137" ht="12.75">
      <c r="E148" s="538" t="str">
        <f>Time!E$117</f>
        <v>Financial year</v>
      </c>
      <c r="G148" s="539" t="str">
        <f>Time!G$117</f>
        <v>year #</v>
      </c>
      <c r="H148" s="539">
        <f>Time!H$117</f>
        <v>260976</v>
      </c>
      <c r="J148" s="539">
        <f>Time!J$117</f>
        <v>2027</v>
      </c>
      <c r="K148" s="539">
        <f>Time!K$117</f>
        <v>2027</v>
      </c>
      <c r="L148" s="539">
        <f>Time!L$117</f>
        <v>2027</v>
      </c>
      <c r="M148" s="539">
        <f>Time!M$117</f>
        <v>2027</v>
      </c>
      <c r="N148" s="539">
        <f>Time!N$117</f>
        <v>2027</v>
      </c>
      <c r="O148" s="539">
        <f>Time!O$117</f>
        <v>2027</v>
      </c>
      <c r="P148" s="539">
        <f>Time!P$117</f>
        <v>2027</v>
      </c>
      <c r="Q148" s="539">
        <f>Time!Q$117</f>
        <v>2027</v>
      </c>
      <c r="R148" s="539">
        <f>Time!R$117</f>
        <v>2027</v>
      </c>
      <c r="S148" s="539">
        <f>Time!S$117</f>
        <v>2027</v>
      </c>
      <c r="T148" s="539">
        <f>Time!T$117</f>
        <v>2027</v>
      </c>
      <c r="U148" s="539">
        <f>Time!U$117</f>
        <v>2027</v>
      </c>
      <c r="V148" s="539">
        <f>Time!V$117</f>
        <v>2028</v>
      </c>
      <c r="W148" s="539">
        <f>Time!W$117</f>
        <v>2028</v>
      </c>
      <c r="X148" s="539">
        <f>Time!X$117</f>
        <v>2028</v>
      </c>
      <c r="Y148" s="539">
        <f>Time!Y$117</f>
        <v>2028</v>
      </c>
      <c r="Z148" s="539">
        <f>Time!Z$117</f>
        <v>2028</v>
      </c>
      <c r="AA148" s="539">
        <f>Time!AA$117</f>
        <v>2028</v>
      </c>
      <c r="AB148" s="539">
        <f>Time!AB$117</f>
        <v>2028</v>
      </c>
      <c r="AC148" s="539">
        <f>Time!AC$117</f>
        <v>2028</v>
      </c>
      <c r="AD148" s="539">
        <f>Time!AD$117</f>
        <v>2028</v>
      </c>
      <c r="AE148" s="539">
        <f>Time!AE$117</f>
        <v>2028</v>
      </c>
      <c r="AF148" s="539">
        <f>Time!AF$117</f>
        <v>2028</v>
      </c>
      <c r="AG148" s="539">
        <f>Time!AG$117</f>
        <v>2028</v>
      </c>
      <c r="AH148" s="539">
        <f>Time!AH$117</f>
        <v>2029</v>
      </c>
      <c r="AI148" s="539">
        <f>Time!AI$117</f>
        <v>2029</v>
      </c>
      <c r="AJ148" s="539">
        <f>Time!AJ$117</f>
        <v>2029</v>
      </c>
      <c r="AK148" s="539">
        <f>Time!AK$117</f>
        <v>2029</v>
      </c>
      <c r="AL148" s="539">
        <f>Time!AL$117</f>
        <v>2030</v>
      </c>
      <c r="AM148" s="539">
        <f>Time!AM$117</f>
        <v>2030</v>
      </c>
      <c r="AN148" s="539">
        <f>Time!AN$117</f>
        <v>2030</v>
      </c>
      <c r="AO148" s="539">
        <f>Time!AO$117</f>
        <v>2030</v>
      </c>
      <c r="AP148" s="539">
        <f>Time!AP$117</f>
        <v>2031</v>
      </c>
      <c r="AQ148" s="539">
        <f>Time!AQ$117</f>
        <v>2031</v>
      </c>
      <c r="AR148" s="539">
        <f>Time!AR$117</f>
        <v>2031</v>
      </c>
      <c r="AS148" s="539">
        <f>Time!AS$117</f>
        <v>2031</v>
      </c>
      <c r="AT148" s="539">
        <f>Time!AT$117</f>
        <v>2032</v>
      </c>
      <c r="AU148" s="539">
        <f>Time!AU$117</f>
        <v>2032</v>
      </c>
      <c r="AV148" s="539">
        <f>Time!AV$117</f>
        <v>2032</v>
      </c>
      <c r="AW148" s="539">
        <f>Time!AW$117</f>
        <v>2032</v>
      </c>
      <c r="AX148" s="539">
        <f>Time!AX$117</f>
        <v>2033</v>
      </c>
      <c r="AY148" s="539">
        <f>Time!AY$117</f>
        <v>2033</v>
      </c>
      <c r="AZ148" s="539">
        <f>Time!AZ$117</f>
        <v>2033</v>
      </c>
      <c r="BA148" s="539">
        <f>Time!BA$117</f>
        <v>2033</v>
      </c>
      <c r="BB148" s="539">
        <f>Time!BB$117</f>
        <v>2034</v>
      </c>
      <c r="BC148" s="539">
        <f>Time!BC$117</f>
        <v>2034</v>
      </c>
      <c r="BD148" s="539">
        <f>Time!BD$117</f>
        <v>2034</v>
      </c>
      <c r="BE148" s="539">
        <f>Time!BE$117</f>
        <v>2034</v>
      </c>
      <c r="BF148" s="539">
        <f>Time!BF$117</f>
        <v>2035</v>
      </c>
      <c r="BG148" s="539">
        <f>Time!BG$117</f>
        <v>2035</v>
      </c>
      <c r="BH148" s="539">
        <f>Time!BH$117</f>
        <v>2035</v>
      </c>
      <c r="BI148" s="539">
        <f>Time!BI$117</f>
        <v>2035</v>
      </c>
      <c r="BJ148" s="539">
        <f>Time!BJ$117</f>
        <v>2036</v>
      </c>
      <c r="BK148" s="539">
        <f>Time!BK$117</f>
        <v>2036</v>
      </c>
      <c r="BL148" s="539">
        <f>Time!BL$117</f>
        <v>2036</v>
      </c>
      <c r="BM148" s="539">
        <f>Time!BM$117</f>
        <v>2036</v>
      </c>
      <c r="BN148" s="539">
        <f>Time!BN$117</f>
        <v>2037</v>
      </c>
      <c r="BO148" s="539">
        <f>Time!BO$117</f>
        <v>2037</v>
      </c>
      <c r="BP148" s="539">
        <f>Time!BP$117</f>
        <v>2037</v>
      </c>
      <c r="BQ148" s="539">
        <f>Time!BQ$117</f>
        <v>2037</v>
      </c>
      <c r="BR148" s="539">
        <f>Time!BR$117</f>
        <v>2038</v>
      </c>
      <c r="BS148" s="539">
        <f>Time!BS$117</f>
        <v>2038</v>
      </c>
      <c r="BT148" s="539">
        <f>Time!BT$117</f>
        <v>2038</v>
      </c>
      <c r="BU148" s="539">
        <f>Time!BU$117</f>
        <v>2038</v>
      </c>
      <c r="BV148" s="539">
        <f>Time!BV$117</f>
        <v>2039</v>
      </c>
      <c r="BW148" s="539">
        <f>Time!BW$117</f>
        <v>2039</v>
      </c>
      <c r="BX148" s="539">
        <f>Time!BX$117</f>
        <v>2039</v>
      </c>
      <c r="BY148" s="539">
        <f>Time!BY$117</f>
        <v>2039</v>
      </c>
      <c r="BZ148" s="539">
        <f>Time!BZ$117</f>
        <v>2040</v>
      </c>
      <c r="CA148" s="539">
        <f>Time!CA$117</f>
        <v>2040</v>
      </c>
      <c r="CB148" s="539">
        <f>Time!CB$117</f>
        <v>2040</v>
      </c>
      <c r="CC148" s="539">
        <f>Time!CC$117</f>
        <v>2040</v>
      </c>
      <c r="CD148" s="539">
        <f>Time!CD$117</f>
        <v>2041</v>
      </c>
      <c r="CE148" s="539">
        <f>Time!CE$117</f>
        <v>2041</v>
      </c>
      <c r="CF148" s="539">
        <f>Time!CF$117</f>
        <v>2041</v>
      </c>
      <c r="CG148" s="539">
        <f>Time!CG$117</f>
        <v>2041</v>
      </c>
      <c r="CH148" s="539">
        <f>Time!CH$117</f>
        <v>2042</v>
      </c>
      <c r="CI148" s="539">
        <f>Time!CI$117</f>
        <v>2042</v>
      </c>
      <c r="CJ148" s="539">
        <f>Time!CJ$117</f>
        <v>2042</v>
      </c>
      <c r="CK148" s="539">
        <f>Time!CK$117</f>
        <v>2042</v>
      </c>
      <c r="CL148" s="539">
        <f>Time!CL$117</f>
        <v>2043</v>
      </c>
      <c r="CM148" s="539">
        <f>Time!CM$117</f>
        <v>2043</v>
      </c>
      <c r="CN148" s="539">
        <f>Time!CN$117</f>
        <v>2043</v>
      </c>
      <c r="CO148" s="539">
        <f>Time!CO$117</f>
        <v>2043</v>
      </c>
      <c r="CP148" s="539">
        <f>Time!CP$117</f>
        <v>2044</v>
      </c>
      <c r="CQ148" s="539">
        <f>Time!CQ$117</f>
        <v>2044</v>
      </c>
      <c r="CR148" s="539">
        <f>Time!CR$117</f>
        <v>2044</v>
      </c>
      <c r="CS148" s="539">
        <f>Time!CS$117</f>
        <v>2044</v>
      </c>
      <c r="CT148" s="539">
        <f>Time!CT$117</f>
        <v>2045</v>
      </c>
      <c r="CU148" s="539">
        <f>Time!CU$117</f>
        <v>2045</v>
      </c>
      <c r="CV148" s="539">
        <f>Time!CV$117</f>
        <v>2045</v>
      </c>
      <c r="CW148" s="539">
        <f>Time!CW$117</f>
        <v>2045</v>
      </c>
      <c r="CX148" s="539">
        <f>Time!CX$117</f>
        <v>2046</v>
      </c>
      <c r="CY148" s="539">
        <f>Time!CY$117</f>
        <v>2046</v>
      </c>
      <c r="CZ148" s="539">
        <f>Time!CZ$117</f>
        <v>2046</v>
      </c>
      <c r="DA148" s="539">
        <f>Time!DA$117</f>
        <v>2046</v>
      </c>
      <c r="DB148" s="539">
        <f>Time!DB$117</f>
        <v>2047</v>
      </c>
      <c r="DC148" s="539">
        <f>Time!DC$117</f>
        <v>2047</v>
      </c>
      <c r="DD148" s="539">
        <f>Time!DD$117</f>
        <v>2047</v>
      </c>
      <c r="DE148" s="539">
        <f>Time!DE$117</f>
        <v>2047</v>
      </c>
      <c r="DF148" s="539">
        <f>Time!DF$117</f>
        <v>2048</v>
      </c>
      <c r="DG148" s="539">
        <f>Time!DG$117</f>
        <v>2048</v>
      </c>
      <c r="DH148" s="539">
        <f>Time!DH$117</f>
        <v>2048</v>
      </c>
      <c r="DI148" s="539">
        <f>Time!DI$117</f>
        <v>2048</v>
      </c>
      <c r="DJ148" s="539">
        <f>Time!DJ$117</f>
        <v>2049</v>
      </c>
      <c r="DK148" s="539">
        <f>Time!DK$117</f>
        <v>2049</v>
      </c>
      <c r="DL148" s="539">
        <f>Time!DL$117</f>
        <v>2049</v>
      </c>
      <c r="DM148" s="539">
        <f>Time!DM$117</f>
        <v>2049</v>
      </c>
      <c r="DN148" s="539">
        <f>Time!DN$117</f>
        <v>2050</v>
      </c>
      <c r="DO148" s="539">
        <f>Time!DO$117</f>
        <v>2050</v>
      </c>
      <c r="DP148" s="539">
        <f>Time!DP$117</f>
        <v>2050</v>
      </c>
      <c r="DQ148" s="539">
        <f>Time!DQ$117</f>
        <v>2050</v>
      </c>
      <c r="DR148" s="539">
        <f>Time!DR$117</f>
        <v>2051</v>
      </c>
      <c r="DS148" s="539">
        <f>Time!DS$117</f>
        <v>2051</v>
      </c>
      <c r="DT148" s="539">
        <f>Time!DT$117</f>
        <v>2051</v>
      </c>
      <c r="DU148" s="539">
        <f>Time!DU$117</f>
        <v>2051</v>
      </c>
      <c r="DV148" s="539">
        <f>Time!DV$117</f>
        <v>2052</v>
      </c>
      <c r="DW148" s="539">
        <f>Time!DW$117</f>
        <v>2052</v>
      </c>
      <c r="DX148" s="539">
        <f>Time!DX$117</f>
        <v>2052</v>
      </c>
      <c r="DY148" s="539">
        <f>Time!DY$117</f>
        <v>2052</v>
      </c>
      <c r="DZ148" s="539">
        <f>Time!DZ$117</f>
        <v>2053</v>
      </c>
      <c r="EA148" s="539">
        <f>Time!EA$117</f>
        <v>2053</v>
      </c>
      <c r="EB148" s="539">
        <f>Time!EB$117</f>
        <v>2053</v>
      </c>
      <c r="EC148" s="539">
        <f>Time!EC$117</f>
        <v>2053</v>
      </c>
      <c r="ED148" s="539">
        <f>Time!ED$117</f>
        <v>2054</v>
      </c>
      <c r="EE148" s="539">
        <f>Time!EE$117</f>
        <v>2054</v>
      </c>
      <c r="EF148" s="539">
        <f>Time!EF$117</f>
        <v>2054</v>
      </c>
      <c r="EG148" s="539">
        <f>Time!EG$117</f>
        <v>2054</v>
      </c>
    </row>
    <row r="149" spans="5:137" ht="12.75">
      <c r="E149" s="551" t="s">
        <v>547</v>
      </c>
      <c r="F149" s="552"/>
      <c r="G149" s="552" t="s">
        <v>30</v>
      </c>
      <c r="H149" s="552">
        <f>SUM(J149:EG149)</f>
        <v>923596.48647735082</v>
      </c>
      <c r="I149" s="552"/>
      <c r="J149" s="552">
        <f t="shared" si="30" ref="J149:EG149">IF(J147=1,SUMIFS($I46:I46,$I148:I148,J148)+J46,0)</f>
        <v>0</v>
      </c>
      <c r="K149" s="552">
        <f t="shared" si="30"/>
        <v>0</v>
      </c>
      <c r="L149" s="552">
        <f t="shared" si="30"/>
        <v>0</v>
      </c>
      <c r="M149" s="552">
        <f t="shared" si="30"/>
        <v>0</v>
      </c>
      <c r="N149" s="552">
        <f t="shared" si="30"/>
        <v>0</v>
      </c>
      <c r="O149" s="552">
        <f t="shared" si="30"/>
        <v>0</v>
      </c>
      <c r="P149" s="552">
        <f t="shared" si="30"/>
        <v>0</v>
      </c>
      <c r="Q149" s="552">
        <f t="shared" si="30"/>
        <v>0</v>
      </c>
      <c r="R149" s="552">
        <f t="shared" si="30"/>
        <v>0</v>
      </c>
      <c r="S149" s="552">
        <f t="shared" si="30"/>
        <v>0</v>
      </c>
      <c r="T149" s="552">
        <f t="shared" si="30"/>
        <v>0</v>
      </c>
      <c r="U149" s="552">
        <f t="shared" si="30"/>
        <v>0</v>
      </c>
      <c r="V149" s="552">
        <f t="shared" si="30"/>
        <v>0</v>
      </c>
      <c r="W149" s="552">
        <f t="shared" si="30"/>
        <v>0</v>
      </c>
      <c r="X149" s="552">
        <f t="shared" si="30"/>
        <v>0</v>
      </c>
      <c r="Y149" s="552">
        <f t="shared" si="30"/>
        <v>0</v>
      </c>
      <c r="Z149" s="552">
        <f t="shared" si="30"/>
        <v>0</v>
      </c>
      <c r="AA149" s="552">
        <f t="shared" si="30"/>
        <v>0</v>
      </c>
      <c r="AB149" s="552">
        <f t="shared" si="30"/>
        <v>0</v>
      </c>
      <c r="AC149" s="552">
        <f t="shared" si="30"/>
        <v>0</v>
      </c>
      <c r="AD149" s="552">
        <f t="shared" si="30"/>
        <v>0</v>
      </c>
      <c r="AE149" s="552">
        <f t="shared" si="30"/>
        <v>0</v>
      </c>
      <c r="AF149" s="552">
        <f t="shared" si="30"/>
        <v>0</v>
      </c>
      <c r="AG149" s="552">
        <f t="shared" si="30"/>
        <v>0</v>
      </c>
      <c r="AH149" s="552">
        <f t="shared" si="30"/>
        <v>0</v>
      </c>
      <c r="AI149" s="552">
        <f t="shared" si="30"/>
        <v>0</v>
      </c>
      <c r="AJ149" s="552">
        <f t="shared" si="30"/>
        <v>0</v>
      </c>
      <c r="AK149" s="552">
        <f t="shared" si="30"/>
        <v>34187.842269021734</v>
      </c>
      <c r="AL149" s="552">
        <f t="shared" si="30"/>
        <v>0</v>
      </c>
      <c r="AM149" s="552">
        <f t="shared" si="30"/>
        <v>0</v>
      </c>
      <c r="AN149" s="552">
        <f t="shared" si="30"/>
        <v>0</v>
      </c>
      <c r="AO149" s="552">
        <f t="shared" si="30"/>
        <v>36594.06556650815</v>
      </c>
      <c r="AP149" s="552">
        <f t="shared" si="30"/>
        <v>0</v>
      </c>
      <c r="AQ149" s="552">
        <f t="shared" si="30"/>
        <v>0</v>
      </c>
      <c r="AR149" s="552">
        <f t="shared" si="30"/>
        <v>0</v>
      </c>
      <c r="AS149" s="552">
        <f t="shared" si="30"/>
        <v>37236.486630377374</v>
      </c>
      <c r="AT149" s="552">
        <f t="shared" si="30"/>
        <v>0</v>
      </c>
      <c r="AU149" s="552">
        <f t="shared" si="30"/>
        <v>0</v>
      </c>
      <c r="AV149" s="552">
        <f t="shared" si="30"/>
        <v>0</v>
      </c>
      <c r="AW149" s="552">
        <f t="shared" si="30"/>
        <v>37885.083650320703</v>
      </c>
      <c r="AX149" s="552">
        <f t="shared" si="30"/>
        <v>0</v>
      </c>
      <c r="AY149" s="552">
        <f t="shared" si="30"/>
        <v>0</v>
      </c>
      <c r="AZ149" s="552">
        <f t="shared" si="30"/>
        <v>0</v>
      </c>
      <c r="BA149" s="552">
        <f t="shared" si="30"/>
        <v>31590.219277439966</v>
      </c>
      <c r="BB149" s="552">
        <f t="shared" si="30"/>
        <v>0</v>
      </c>
      <c r="BC149" s="552">
        <f t="shared" si="30"/>
        <v>0</v>
      </c>
      <c r="BD149" s="552">
        <f t="shared" si="30"/>
        <v>0</v>
      </c>
      <c r="BE149" s="552">
        <f t="shared" si="30"/>
        <v>38631.506775231777</v>
      </c>
      <c r="BF149" s="552">
        <f t="shared" si="30"/>
        <v>0</v>
      </c>
      <c r="BG149" s="552">
        <f t="shared" si="30"/>
        <v>0</v>
      </c>
      <c r="BH149" s="552">
        <f t="shared" si="30"/>
        <v>0</v>
      </c>
      <c r="BI149" s="552">
        <f t="shared" si="30"/>
        <v>39034.624655294901</v>
      </c>
      <c r="BJ149" s="552">
        <f t="shared" si="30"/>
        <v>0</v>
      </c>
      <c r="BK149" s="552">
        <f t="shared" si="30"/>
        <v>0</v>
      </c>
      <c r="BL149" s="552">
        <f t="shared" si="30"/>
        <v>0</v>
      </c>
      <c r="BM149" s="552">
        <f t="shared" si="30"/>
        <v>39489.723195781036</v>
      </c>
      <c r="BN149" s="552">
        <f t="shared" si="30"/>
        <v>0</v>
      </c>
      <c r="BO149" s="552">
        <f t="shared" si="30"/>
        <v>0</v>
      </c>
      <c r="BP149" s="552">
        <f t="shared" si="30"/>
        <v>0</v>
      </c>
      <c r="BQ149" s="552">
        <f t="shared" si="30"/>
        <v>39989.972978474914</v>
      </c>
      <c r="BR149" s="552">
        <f t="shared" si="30"/>
        <v>0</v>
      </c>
      <c r="BS149" s="552">
        <f t="shared" si="30"/>
        <v>0</v>
      </c>
      <c r="BT149" s="552">
        <f t="shared" si="30"/>
        <v>0</v>
      </c>
      <c r="BU149" s="552">
        <f t="shared" si="30"/>
        <v>33070.505238575926</v>
      </c>
      <c r="BV149" s="552">
        <f t="shared" si="30"/>
        <v>0</v>
      </c>
      <c r="BW149" s="552">
        <f t="shared" si="30"/>
        <v>0</v>
      </c>
      <c r="BX149" s="552">
        <f t="shared" si="30"/>
        <v>0</v>
      </c>
      <c r="BY149" s="552">
        <f t="shared" si="30"/>
        <v>38003.218894050609</v>
      </c>
      <c r="BZ149" s="552">
        <f t="shared" si="30"/>
        <v>0</v>
      </c>
      <c r="CA149" s="552">
        <f t="shared" si="30"/>
        <v>0</v>
      </c>
      <c r="CB149" s="552">
        <f t="shared" si="30"/>
        <v>0</v>
      </c>
      <c r="CC149" s="552">
        <f t="shared" si="30"/>
        <v>37029.062413150867</v>
      </c>
      <c r="CD149" s="552">
        <f t="shared" si="30"/>
        <v>0</v>
      </c>
      <c r="CE149" s="552">
        <f t="shared" si="30"/>
        <v>0</v>
      </c>
      <c r="CF149" s="552">
        <f t="shared" si="30"/>
        <v>0</v>
      </c>
      <c r="CG149" s="552">
        <f t="shared" si="30"/>
        <v>36022.844823529376</v>
      </c>
      <c r="CH149" s="552">
        <f t="shared" si="30"/>
        <v>0</v>
      </c>
      <c r="CI149" s="552">
        <f t="shared" si="30"/>
        <v>0</v>
      </c>
      <c r="CJ149" s="552">
        <f t="shared" si="30"/>
        <v>0</v>
      </c>
      <c r="CK149" s="552">
        <f t="shared" si="30"/>
        <v>36180.794220024647</v>
      </c>
      <c r="CL149" s="552">
        <f t="shared" si="30"/>
        <v>0</v>
      </c>
      <c r="CM149" s="552">
        <f t="shared" si="30"/>
        <v>0</v>
      </c>
      <c r="CN149" s="552">
        <f t="shared" si="30"/>
        <v>0</v>
      </c>
      <c r="CO149" s="552">
        <f t="shared" si="30"/>
        <v>29687.696263085247</v>
      </c>
      <c r="CP149" s="552">
        <f t="shared" si="30"/>
        <v>0</v>
      </c>
      <c r="CQ149" s="552">
        <f t="shared" si="30"/>
        <v>0</v>
      </c>
      <c r="CR149" s="552">
        <f t="shared" si="30"/>
        <v>0</v>
      </c>
      <c r="CS149" s="552">
        <f t="shared" si="30"/>
        <v>36581.449785244142</v>
      </c>
      <c r="CT149" s="552">
        <f t="shared" si="30"/>
        <v>0</v>
      </c>
      <c r="CU149" s="552">
        <f t="shared" si="30"/>
        <v>0</v>
      </c>
      <c r="CV149" s="552">
        <f t="shared" si="30"/>
        <v>0</v>
      </c>
      <c r="CW149" s="552">
        <f t="shared" si="30"/>
        <v>36821.306034995345</v>
      </c>
      <c r="CX149" s="552">
        <f t="shared" si="30"/>
        <v>0</v>
      </c>
      <c r="CY149" s="552">
        <f t="shared" si="30"/>
        <v>0</v>
      </c>
      <c r="CZ149" s="552">
        <f t="shared" si="30"/>
        <v>0</v>
      </c>
      <c r="DA149" s="552">
        <f t="shared" si="30"/>
        <v>37080.349254251538</v>
      </c>
      <c r="DB149" s="552">
        <f t="shared" si="30"/>
        <v>0</v>
      </c>
      <c r="DC149" s="552">
        <f t="shared" si="30"/>
        <v>0</v>
      </c>
      <c r="DD149" s="552">
        <f t="shared" si="30"/>
        <v>0</v>
      </c>
      <c r="DE149" s="552">
        <f t="shared" si="30"/>
        <v>37227.155649290682</v>
      </c>
      <c r="DF149" s="552">
        <f t="shared" si="30"/>
        <v>0</v>
      </c>
      <c r="DG149" s="552">
        <f t="shared" si="30"/>
        <v>0</v>
      </c>
      <c r="DH149" s="552">
        <f t="shared" si="30"/>
        <v>0</v>
      </c>
      <c r="DI149" s="552">
        <f t="shared" si="30"/>
        <v>30225.584013734609</v>
      </c>
      <c r="DJ149" s="552">
        <f t="shared" si="30"/>
        <v>0</v>
      </c>
      <c r="DK149" s="552">
        <f t="shared" si="30"/>
        <v>0</v>
      </c>
      <c r="DL149" s="552">
        <f t="shared" si="30"/>
        <v>0</v>
      </c>
      <c r="DM149" s="552">
        <f t="shared" si="30"/>
        <v>38362.69025985981</v>
      </c>
      <c r="DN149" s="552">
        <f t="shared" si="30"/>
        <v>0</v>
      </c>
      <c r="DO149" s="552">
        <f t="shared" si="30"/>
        <v>0</v>
      </c>
      <c r="DP149" s="552">
        <f t="shared" si="30"/>
        <v>0</v>
      </c>
      <c r="DQ149" s="552">
        <f t="shared" si="30"/>
        <v>38962.116428585206</v>
      </c>
      <c r="DR149" s="552">
        <f t="shared" si="30"/>
        <v>0</v>
      </c>
      <c r="DS149" s="552">
        <f t="shared" si="30"/>
        <v>0</v>
      </c>
      <c r="DT149" s="552">
        <f t="shared" si="30"/>
        <v>0</v>
      </c>
      <c r="DU149" s="552">
        <f t="shared" si="30"/>
        <v>39580.334508569074</v>
      </c>
      <c r="DV149" s="552">
        <f t="shared" si="30"/>
        <v>0</v>
      </c>
      <c r="DW149" s="552">
        <f t="shared" si="30"/>
        <v>0</v>
      </c>
      <c r="DX149" s="552">
        <f t="shared" si="30"/>
        <v>0</v>
      </c>
      <c r="DY149" s="552">
        <f t="shared" si="30"/>
        <v>40215.994734819833</v>
      </c>
      <c r="DZ149" s="552">
        <f t="shared" si="30"/>
        <v>0</v>
      </c>
      <c r="EA149" s="552">
        <f t="shared" si="30"/>
        <v>0</v>
      </c>
      <c r="EB149" s="552">
        <f t="shared" si="30"/>
        <v>0</v>
      </c>
      <c r="EC149" s="552">
        <f t="shared" si="30"/>
        <v>41597.441284932749</v>
      </c>
      <c r="ED149" s="552">
        <f t="shared" si="30"/>
        <v>0</v>
      </c>
      <c r="EE149" s="552">
        <f t="shared" si="30"/>
        <v>0</v>
      </c>
      <c r="EF149" s="552">
        <f t="shared" si="30"/>
        <v>0</v>
      </c>
      <c r="EG149" s="552">
        <f t="shared" si="30"/>
        <v>2308.4176722004668</v>
      </c>
    </row>
    <row r="151" spans="5:137" ht="12.75">
      <c r="E151" s="538" t="str">
        <f>Time!E$108</f>
        <v>End of financial year flag</v>
      </c>
      <c r="G151" s="539" t="str">
        <f>Time!G$108</f>
        <v>flag</v>
      </c>
      <c r="H151" s="539">
        <f>Time!H$108</f>
        <v>28</v>
      </c>
      <c r="J151" s="539">
        <f>Time!J$108</f>
        <v>0</v>
      </c>
      <c r="K151" s="539">
        <f>Time!K$108</f>
        <v>0</v>
      </c>
      <c r="L151" s="539">
        <f>Time!L$108</f>
        <v>0</v>
      </c>
      <c r="M151" s="539">
        <f>Time!M$108</f>
        <v>0</v>
      </c>
      <c r="N151" s="539">
        <f>Time!N$108</f>
        <v>0</v>
      </c>
      <c r="O151" s="539">
        <f>Time!O$108</f>
        <v>0</v>
      </c>
      <c r="P151" s="539">
        <f>Time!P$108</f>
        <v>0</v>
      </c>
      <c r="Q151" s="539">
        <f>Time!Q$108</f>
        <v>0</v>
      </c>
      <c r="R151" s="539">
        <f>Time!R$108</f>
        <v>0</v>
      </c>
      <c r="S151" s="539">
        <f>Time!S$108</f>
        <v>0</v>
      </c>
      <c r="T151" s="539">
        <f>Time!T$108</f>
        <v>0</v>
      </c>
      <c r="U151" s="539">
        <f>Time!U$108</f>
        <v>1</v>
      </c>
      <c r="V151" s="539">
        <f>Time!V$108</f>
        <v>0</v>
      </c>
      <c r="W151" s="539">
        <f>Time!W$108</f>
        <v>0</v>
      </c>
      <c r="X151" s="539">
        <f>Time!X$108</f>
        <v>0</v>
      </c>
      <c r="Y151" s="539">
        <f>Time!Y$108</f>
        <v>0</v>
      </c>
      <c r="Z151" s="539">
        <f>Time!Z$108</f>
        <v>0</v>
      </c>
      <c r="AA151" s="539">
        <f>Time!AA$108</f>
        <v>0</v>
      </c>
      <c r="AB151" s="539">
        <f>Time!AB$108</f>
        <v>0</v>
      </c>
      <c r="AC151" s="539">
        <f>Time!AC$108</f>
        <v>0</v>
      </c>
      <c r="AD151" s="539">
        <f>Time!AD$108</f>
        <v>0</v>
      </c>
      <c r="AE151" s="539">
        <f>Time!AE$108</f>
        <v>0</v>
      </c>
      <c r="AF151" s="539">
        <f>Time!AF$108</f>
        <v>0</v>
      </c>
      <c r="AG151" s="539">
        <f>Time!AG$108</f>
        <v>1</v>
      </c>
      <c r="AH151" s="539">
        <f>Time!AH$108</f>
        <v>0</v>
      </c>
      <c r="AI151" s="539">
        <f>Time!AI$108</f>
        <v>0</v>
      </c>
      <c r="AJ151" s="539">
        <f>Time!AJ$108</f>
        <v>0</v>
      </c>
      <c r="AK151" s="539">
        <f>Time!AK$108</f>
        <v>1</v>
      </c>
      <c r="AL151" s="539">
        <f>Time!AL$108</f>
        <v>0</v>
      </c>
      <c r="AM151" s="539">
        <f>Time!AM$108</f>
        <v>0</v>
      </c>
      <c r="AN151" s="539">
        <f>Time!AN$108</f>
        <v>0</v>
      </c>
      <c r="AO151" s="539">
        <f>Time!AO$108</f>
        <v>1</v>
      </c>
      <c r="AP151" s="539">
        <f>Time!AP$108</f>
        <v>0</v>
      </c>
      <c r="AQ151" s="539">
        <f>Time!AQ$108</f>
        <v>0</v>
      </c>
      <c r="AR151" s="539">
        <f>Time!AR$108</f>
        <v>0</v>
      </c>
      <c r="AS151" s="539">
        <f>Time!AS$108</f>
        <v>1</v>
      </c>
      <c r="AT151" s="539">
        <f>Time!AT$108</f>
        <v>0</v>
      </c>
      <c r="AU151" s="539">
        <f>Time!AU$108</f>
        <v>0</v>
      </c>
      <c r="AV151" s="539">
        <f>Time!AV$108</f>
        <v>0</v>
      </c>
      <c r="AW151" s="539">
        <f>Time!AW$108</f>
        <v>1</v>
      </c>
      <c r="AX151" s="539">
        <f>Time!AX$108</f>
        <v>0</v>
      </c>
      <c r="AY151" s="539">
        <f>Time!AY$108</f>
        <v>0</v>
      </c>
      <c r="AZ151" s="539">
        <f>Time!AZ$108</f>
        <v>0</v>
      </c>
      <c r="BA151" s="539">
        <f>Time!BA$108</f>
        <v>1</v>
      </c>
      <c r="BB151" s="539">
        <f>Time!BB$108</f>
        <v>0</v>
      </c>
      <c r="BC151" s="539">
        <f>Time!BC$108</f>
        <v>0</v>
      </c>
      <c r="BD151" s="539">
        <f>Time!BD$108</f>
        <v>0</v>
      </c>
      <c r="BE151" s="539">
        <f>Time!BE$108</f>
        <v>1</v>
      </c>
      <c r="BF151" s="539">
        <f>Time!BF$108</f>
        <v>0</v>
      </c>
      <c r="BG151" s="539">
        <f>Time!BG$108</f>
        <v>0</v>
      </c>
      <c r="BH151" s="539">
        <f>Time!BH$108</f>
        <v>0</v>
      </c>
      <c r="BI151" s="539">
        <f>Time!BI$108</f>
        <v>1</v>
      </c>
      <c r="BJ151" s="539">
        <f>Time!BJ$108</f>
        <v>0</v>
      </c>
      <c r="BK151" s="539">
        <f>Time!BK$108</f>
        <v>0</v>
      </c>
      <c r="BL151" s="539">
        <f>Time!BL$108</f>
        <v>0</v>
      </c>
      <c r="BM151" s="539">
        <f>Time!BM$108</f>
        <v>1</v>
      </c>
      <c r="BN151" s="539">
        <f>Time!BN$108</f>
        <v>0</v>
      </c>
      <c r="BO151" s="539">
        <f>Time!BO$108</f>
        <v>0</v>
      </c>
      <c r="BP151" s="539">
        <f>Time!BP$108</f>
        <v>0</v>
      </c>
      <c r="BQ151" s="539">
        <f>Time!BQ$108</f>
        <v>1</v>
      </c>
      <c r="BR151" s="539">
        <f>Time!BR$108</f>
        <v>0</v>
      </c>
      <c r="BS151" s="539">
        <f>Time!BS$108</f>
        <v>0</v>
      </c>
      <c r="BT151" s="539">
        <f>Time!BT$108</f>
        <v>0</v>
      </c>
      <c r="BU151" s="539">
        <f>Time!BU$108</f>
        <v>1</v>
      </c>
      <c r="BV151" s="539">
        <f>Time!BV$108</f>
        <v>0</v>
      </c>
      <c r="BW151" s="539">
        <f>Time!BW$108</f>
        <v>0</v>
      </c>
      <c r="BX151" s="539">
        <f>Time!BX$108</f>
        <v>0</v>
      </c>
      <c r="BY151" s="539">
        <f>Time!BY$108</f>
        <v>1</v>
      </c>
      <c r="BZ151" s="539">
        <f>Time!BZ$108</f>
        <v>0</v>
      </c>
      <c r="CA151" s="539">
        <f>Time!CA$108</f>
        <v>0</v>
      </c>
      <c r="CB151" s="539">
        <f>Time!CB$108</f>
        <v>0</v>
      </c>
      <c r="CC151" s="539">
        <f>Time!CC$108</f>
        <v>1</v>
      </c>
      <c r="CD151" s="539">
        <f>Time!CD$108</f>
        <v>0</v>
      </c>
      <c r="CE151" s="539">
        <f>Time!CE$108</f>
        <v>0</v>
      </c>
      <c r="CF151" s="539">
        <f>Time!CF$108</f>
        <v>0</v>
      </c>
      <c r="CG151" s="539">
        <f>Time!CG$108</f>
        <v>1</v>
      </c>
      <c r="CH151" s="539">
        <f>Time!CH$108</f>
        <v>0</v>
      </c>
      <c r="CI151" s="539">
        <f>Time!CI$108</f>
        <v>0</v>
      </c>
      <c r="CJ151" s="539">
        <f>Time!CJ$108</f>
        <v>0</v>
      </c>
      <c r="CK151" s="539">
        <f>Time!CK$108</f>
        <v>1</v>
      </c>
      <c r="CL151" s="539">
        <f>Time!CL$108</f>
        <v>0</v>
      </c>
      <c r="CM151" s="539">
        <f>Time!CM$108</f>
        <v>0</v>
      </c>
      <c r="CN151" s="539">
        <f>Time!CN$108</f>
        <v>0</v>
      </c>
      <c r="CO151" s="539">
        <f>Time!CO$108</f>
        <v>1</v>
      </c>
      <c r="CP151" s="539">
        <f>Time!CP$108</f>
        <v>0</v>
      </c>
      <c r="CQ151" s="539">
        <f>Time!CQ$108</f>
        <v>0</v>
      </c>
      <c r="CR151" s="539">
        <f>Time!CR$108</f>
        <v>0</v>
      </c>
      <c r="CS151" s="539">
        <f>Time!CS$108</f>
        <v>1</v>
      </c>
      <c r="CT151" s="539">
        <f>Time!CT$108</f>
        <v>0</v>
      </c>
      <c r="CU151" s="539">
        <f>Time!CU$108</f>
        <v>0</v>
      </c>
      <c r="CV151" s="539">
        <f>Time!CV$108</f>
        <v>0</v>
      </c>
      <c r="CW151" s="539">
        <f>Time!CW$108</f>
        <v>1</v>
      </c>
      <c r="CX151" s="539">
        <f>Time!CX$108</f>
        <v>0</v>
      </c>
      <c r="CY151" s="539">
        <f>Time!CY$108</f>
        <v>0</v>
      </c>
      <c r="CZ151" s="539">
        <f>Time!CZ$108</f>
        <v>0</v>
      </c>
      <c r="DA151" s="539">
        <f>Time!DA$108</f>
        <v>1</v>
      </c>
      <c r="DB151" s="539">
        <f>Time!DB$108</f>
        <v>0</v>
      </c>
      <c r="DC151" s="539">
        <f>Time!DC$108</f>
        <v>0</v>
      </c>
      <c r="DD151" s="539">
        <f>Time!DD$108</f>
        <v>0</v>
      </c>
      <c r="DE151" s="539">
        <f>Time!DE$108</f>
        <v>1</v>
      </c>
      <c r="DF151" s="539">
        <f>Time!DF$108</f>
        <v>0</v>
      </c>
      <c r="DG151" s="539">
        <f>Time!DG$108</f>
        <v>0</v>
      </c>
      <c r="DH151" s="539">
        <f>Time!DH$108</f>
        <v>0</v>
      </c>
      <c r="DI151" s="539">
        <f>Time!DI$108</f>
        <v>1</v>
      </c>
      <c r="DJ151" s="539">
        <f>Time!DJ$108</f>
        <v>0</v>
      </c>
      <c r="DK151" s="539">
        <f>Time!DK$108</f>
        <v>0</v>
      </c>
      <c r="DL151" s="539">
        <f>Time!DL$108</f>
        <v>0</v>
      </c>
      <c r="DM151" s="539">
        <f>Time!DM$108</f>
        <v>1</v>
      </c>
      <c r="DN151" s="539">
        <f>Time!DN$108</f>
        <v>0</v>
      </c>
      <c r="DO151" s="539">
        <f>Time!DO$108</f>
        <v>0</v>
      </c>
      <c r="DP151" s="539">
        <f>Time!DP$108</f>
        <v>0</v>
      </c>
      <c r="DQ151" s="539">
        <f>Time!DQ$108</f>
        <v>1</v>
      </c>
      <c r="DR151" s="539">
        <f>Time!DR$108</f>
        <v>0</v>
      </c>
      <c r="DS151" s="539">
        <f>Time!DS$108</f>
        <v>0</v>
      </c>
      <c r="DT151" s="539">
        <f>Time!DT$108</f>
        <v>0</v>
      </c>
      <c r="DU151" s="539">
        <f>Time!DU$108</f>
        <v>1</v>
      </c>
      <c r="DV151" s="539">
        <f>Time!DV$108</f>
        <v>0</v>
      </c>
      <c r="DW151" s="539">
        <f>Time!DW$108</f>
        <v>0</v>
      </c>
      <c r="DX151" s="539">
        <f>Time!DX$108</f>
        <v>0</v>
      </c>
      <c r="DY151" s="539">
        <f>Time!DY$108</f>
        <v>1</v>
      </c>
      <c r="DZ151" s="539">
        <f>Time!DZ$108</f>
        <v>0</v>
      </c>
      <c r="EA151" s="539">
        <f>Time!EA$108</f>
        <v>0</v>
      </c>
      <c r="EB151" s="539">
        <f>Time!EB$108</f>
        <v>0</v>
      </c>
      <c r="EC151" s="539">
        <f>Time!EC$108</f>
        <v>1</v>
      </c>
      <c r="ED151" s="539">
        <f>Time!ED$108</f>
        <v>0</v>
      </c>
      <c r="EE151" s="539">
        <f>Time!EE$108</f>
        <v>0</v>
      </c>
      <c r="EF151" s="539">
        <f>Time!EF$108</f>
        <v>0</v>
      </c>
      <c r="EG151" s="539">
        <f>Time!EG$108</f>
        <v>1</v>
      </c>
    </row>
    <row r="152" spans="5:137" ht="12.75">
      <c r="E152" s="538" t="str">
        <f>Time!E$117</f>
        <v>Financial year</v>
      </c>
      <c r="G152" s="539" t="str">
        <f>Time!G$117</f>
        <v>year #</v>
      </c>
      <c r="H152" s="539">
        <f>Time!H$117</f>
        <v>260976</v>
      </c>
      <c r="J152" s="539">
        <f>Time!J$117</f>
        <v>2027</v>
      </c>
      <c r="K152" s="539">
        <f>Time!K$117</f>
        <v>2027</v>
      </c>
      <c r="L152" s="539">
        <f>Time!L$117</f>
        <v>2027</v>
      </c>
      <c r="M152" s="539">
        <f>Time!M$117</f>
        <v>2027</v>
      </c>
      <c r="N152" s="539">
        <f>Time!N$117</f>
        <v>2027</v>
      </c>
      <c r="O152" s="539">
        <f>Time!O$117</f>
        <v>2027</v>
      </c>
      <c r="P152" s="539">
        <f>Time!P$117</f>
        <v>2027</v>
      </c>
      <c r="Q152" s="539">
        <f>Time!Q$117</f>
        <v>2027</v>
      </c>
      <c r="R152" s="539">
        <f>Time!R$117</f>
        <v>2027</v>
      </c>
      <c r="S152" s="539">
        <f>Time!S$117</f>
        <v>2027</v>
      </c>
      <c r="T152" s="539">
        <f>Time!T$117</f>
        <v>2027</v>
      </c>
      <c r="U152" s="539">
        <f>Time!U$117</f>
        <v>2027</v>
      </c>
      <c r="V152" s="539">
        <f>Time!V$117</f>
        <v>2028</v>
      </c>
      <c r="W152" s="539">
        <f>Time!W$117</f>
        <v>2028</v>
      </c>
      <c r="X152" s="539">
        <f>Time!X$117</f>
        <v>2028</v>
      </c>
      <c r="Y152" s="539">
        <f>Time!Y$117</f>
        <v>2028</v>
      </c>
      <c r="Z152" s="539">
        <f>Time!Z$117</f>
        <v>2028</v>
      </c>
      <c r="AA152" s="539">
        <f>Time!AA$117</f>
        <v>2028</v>
      </c>
      <c r="AB152" s="539">
        <f>Time!AB$117</f>
        <v>2028</v>
      </c>
      <c r="AC152" s="539">
        <f>Time!AC$117</f>
        <v>2028</v>
      </c>
      <c r="AD152" s="539">
        <f>Time!AD$117</f>
        <v>2028</v>
      </c>
      <c r="AE152" s="539">
        <f>Time!AE$117</f>
        <v>2028</v>
      </c>
      <c r="AF152" s="539">
        <f>Time!AF$117</f>
        <v>2028</v>
      </c>
      <c r="AG152" s="539">
        <f>Time!AG$117</f>
        <v>2028</v>
      </c>
      <c r="AH152" s="539">
        <f>Time!AH$117</f>
        <v>2029</v>
      </c>
      <c r="AI152" s="539">
        <f>Time!AI$117</f>
        <v>2029</v>
      </c>
      <c r="AJ152" s="539">
        <f>Time!AJ$117</f>
        <v>2029</v>
      </c>
      <c r="AK152" s="539">
        <f>Time!AK$117</f>
        <v>2029</v>
      </c>
      <c r="AL152" s="539">
        <f>Time!AL$117</f>
        <v>2030</v>
      </c>
      <c r="AM152" s="539">
        <f>Time!AM$117</f>
        <v>2030</v>
      </c>
      <c r="AN152" s="539">
        <f>Time!AN$117</f>
        <v>2030</v>
      </c>
      <c r="AO152" s="539">
        <f>Time!AO$117</f>
        <v>2030</v>
      </c>
      <c r="AP152" s="539">
        <f>Time!AP$117</f>
        <v>2031</v>
      </c>
      <c r="AQ152" s="539">
        <f>Time!AQ$117</f>
        <v>2031</v>
      </c>
      <c r="AR152" s="539">
        <f>Time!AR$117</f>
        <v>2031</v>
      </c>
      <c r="AS152" s="539">
        <f>Time!AS$117</f>
        <v>2031</v>
      </c>
      <c r="AT152" s="539">
        <f>Time!AT$117</f>
        <v>2032</v>
      </c>
      <c r="AU152" s="539">
        <f>Time!AU$117</f>
        <v>2032</v>
      </c>
      <c r="AV152" s="539">
        <f>Time!AV$117</f>
        <v>2032</v>
      </c>
      <c r="AW152" s="539">
        <f>Time!AW$117</f>
        <v>2032</v>
      </c>
      <c r="AX152" s="539">
        <f>Time!AX$117</f>
        <v>2033</v>
      </c>
      <c r="AY152" s="539">
        <f>Time!AY$117</f>
        <v>2033</v>
      </c>
      <c r="AZ152" s="539">
        <f>Time!AZ$117</f>
        <v>2033</v>
      </c>
      <c r="BA152" s="539">
        <f>Time!BA$117</f>
        <v>2033</v>
      </c>
      <c r="BB152" s="539">
        <f>Time!BB$117</f>
        <v>2034</v>
      </c>
      <c r="BC152" s="539">
        <f>Time!BC$117</f>
        <v>2034</v>
      </c>
      <c r="BD152" s="539">
        <f>Time!BD$117</f>
        <v>2034</v>
      </c>
      <c r="BE152" s="539">
        <f>Time!BE$117</f>
        <v>2034</v>
      </c>
      <c r="BF152" s="539">
        <f>Time!BF$117</f>
        <v>2035</v>
      </c>
      <c r="BG152" s="539">
        <f>Time!BG$117</f>
        <v>2035</v>
      </c>
      <c r="BH152" s="539">
        <f>Time!BH$117</f>
        <v>2035</v>
      </c>
      <c r="BI152" s="539">
        <f>Time!BI$117</f>
        <v>2035</v>
      </c>
      <c r="BJ152" s="539">
        <f>Time!BJ$117</f>
        <v>2036</v>
      </c>
      <c r="BK152" s="539">
        <f>Time!BK$117</f>
        <v>2036</v>
      </c>
      <c r="BL152" s="539">
        <f>Time!BL$117</f>
        <v>2036</v>
      </c>
      <c r="BM152" s="539">
        <f>Time!BM$117</f>
        <v>2036</v>
      </c>
      <c r="BN152" s="539">
        <f>Time!BN$117</f>
        <v>2037</v>
      </c>
      <c r="BO152" s="539">
        <f>Time!BO$117</f>
        <v>2037</v>
      </c>
      <c r="BP152" s="539">
        <f>Time!BP$117</f>
        <v>2037</v>
      </c>
      <c r="BQ152" s="539">
        <f>Time!BQ$117</f>
        <v>2037</v>
      </c>
      <c r="BR152" s="539">
        <f>Time!BR$117</f>
        <v>2038</v>
      </c>
      <c r="BS152" s="539">
        <f>Time!BS$117</f>
        <v>2038</v>
      </c>
      <c r="BT152" s="539">
        <f>Time!BT$117</f>
        <v>2038</v>
      </c>
      <c r="BU152" s="539">
        <f>Time!BU$117</f>
        <v>2038</v>
      </c>
      <c r="BV152" s="539">
        <f>Time!BV$117</f>
        <v>2039</v>
      </c>
      <c r="BW152" s="539">
        <f>Time!BW$117</f>
        <v>2039</v>
      </c>
      <c r="BX152" s="539">
        <f>Time!BX$117</f>
        <v>2039</v>
      </c>
      <c r="BY152" s="539">
        <f>Time!BY$117</f>
        <v>2039</v>
      </c>
      <c r="BZ152" s="539">
        <f>Time!BZ$117</f>
        <v>2040</v>
      </c>
      <c r="CA152" s="539">
        <f>Time!CA$117</f>
        <v>2040</v>
      </c>
      <c r="CB152" s="539">
        <f>Time!CB$117</f>
        <v>2040</v>
      </c>
      <c r="CC152" s="539">
        <f>Time!CC$117</f>
        <v>2040</v>
      </c>
      <c r="CD152" s="539">
        <f>Time!CD$117</f>
        <v>2041</v>
      </c>
      <c r="CE152" s="539">
        <f>Time!CE$117</f>
        <v>2041</v>
      </c>
      <c r="CF152" s="539">
        <f>Time!CF$117</f>
        <v>2041</v>
      </c>
      <c r="CG152" s="539">
        <f>Time!CG$117</f>
        <v>2041</v>
      </c>
      <c r="CH152" s="539">
        <f>Time!CH$117</f>
        <v>2042</v>
      </c>
      <c r="CI152" s="539">
        <f>Time!CI$117</f>
        <v>2042</v>
      </c>
      <c r="CJ152" s="539">
        <f>Time!CJ$117</f>
        <v>2042</v>
      </c>
      <c r="CK152" s="539">
        <f>Time!CK$117</f>
        <v>2042</v>
      </c>
      <c r="CL152" s="539">
        <f>Time!CL$117</f>
        <v>2043</v>
      </c>
      <c r="CM152" s="539">
        <f>Time!CM$117</f>
        <v>2043</v>
      </c>
      <c r="CN152" s="539">
        <f>Time!CN$117</f>
        <v>2043</v>
      </c>
      <c r="CO152" s="539">
        <f>Time!CO$117</f>
        <v>2043</v>
      </c>
      <c r="CP152" s="539">
        <f>Time!CP$117</f>
        <v>2044</v>
      </c>
      <c r="CQ152" s="539">
        <f>Time!CQ$117</f>
        <v>2044</v>
      </c>
      <c r="CR152" s="539">
        <f>Time!CR$117</f>
        <v>2044</v>
      </c>
      <c r="CS152" s="539">
        <f>Time!CS$117</f>
        <v>2044</v>
      </c>
      <c r="CT152" s="539">
        <f>Time!CT$117</f>
        <v>2045</v>
      </c>
      <c r="CU152" s="539">
        <f>Time!CU$117</f>
        <v>2045</v>
      </c>
      <c r="CV152" s="539">
        <f>Time!CV$117</f>
        <v>2045</v>
      </c>
      <c r="CW152" s="539">
        <f>Time!CW$117</f>
        <v>2045</v>
      </c>
      <c r="CX152" s="539">
        <f>Time!CX$117</f>
        <v>2046</v>
      </c>
      <c r="CY152" s="539">
        <f>Time!CY$117</f>
        <v>2046</v>
      </c>
      <c r="CZ152" s="539">
        <f>Time!CZ$117</f>
        <v>2046</v>
      </c>
      <c r="DA152" s="539">
        <f>Time!DA$117</f>
        <v>2046</v>
      </c>
      <c r="DB152" s="539">
        <f>Time!DB$117</f>
        <v>2047</v>
      </c>
      <c r="DC152" s="539">
        <f>Time!DC$117</f>
        <v>2047</v>
      </c>
      <c r="DD152" s="539">
        <f>Time!DD$117</f>
        <v>2047</v>
      </c>
      <c r="DE152" s="539">
        <f>Time!DE$117</f>
        <v>2047</v>
      </c>
      <c r="DF152" s="539">
        <f>Time!DF$117</f>
        <v>2048</v>
      </c>
      <c r="DG152" s="539">
        <f>Time!DG$117</f>
        <v>2048</v>
      </c>
      <c r="DH152" s="539">
        <f>Time!DH$117</f>
        <v>2048</v>
      </c>
      <c r="DI152" s="539">
        <f>Time!DI$117</f>
        <v>2048</v>
      </c>
      <c r="DJ152" s="539">
        <f>Time!DJ$117</f>
        <v>2049</v>
      </c>
      <c r="DK152" s="539">
        <f>Time!DK$117</f>
        <v>2049</v>
      </c>
      <c r="DL152" s="539">
        <f>Time!DL$117</f>
        <v>2049</v>
      </c>
      <c r="DM152" s="539">
        <f>Time!DM$117</f>
        <v>2049</v>
      </c>
      <c r="DN152" s="539">
        <f>Time!DN$117</f>
        <v>2050</v>
      </c>
      <c r="DO152" s="539">
        <f>Time!DO$117</f>
        <v>2050</v>
      </c>
      <c r="DP152" s="539">
        <f>Time!DP$117</f>
        <v>2050</v>
      </c>
      <c r="DQ152" s="539">
        <f>Time!DQ$117</f>
        <v>2050</v>
      </c>
      <c r="DR152" s="539">
        <f>Time!DR$117</f>
        <v>2051</v>
      </c>
      <c r="DS152" s="539">
        <f>Time!DS$117</f>
        <v>2051</v>
      </c>
      <c r="DT152" s="539">
        <f>Time!DT$117</f>
        <v>2051</v>
      </c>
      <c r="DU152" s="539">
        <f>Time!DU$117</f>
        <v>2051</v>
      </c>
      <c r="DV152" s="539">
        <f>Time!DV$117</f>
        <v>2052</v>
      </c>
      <c r="DW152" s="539">
        <f>Time!DW$117</f>
        <v>2052</v>
      </c>
      <c r="DX152" s="539">
        <f>Time!DX$117</f>
        <v>2052</v>
      </c>
      <c r="DY152" s="539">
        <f>Time!DY$117</f>
        <v>2052</v>
      </c>
      <c r="DZ152" s="539">
        <f>Time!DZ$117</f>
        <v>2053</v>
      </c>
      <c r="EA152" s="539">
        <f>Time!EA$117</f>
        <v>2053</v>
      </c>
      <c r="EB152" s="539">
        <f>Time!EB$117</f>
        <v>2053</v>
      </c>
      <c r="EC152" s="539">
        <f>Time!EC$117</f>
        <v>2053</v>
      </c>
      <c r="ED152" s="539">
        <f>Time!ED$117</f>
        <v>2054</v>
      </c>
      <c r="EE152" s="539">
        <f>Time!EE$117</f>
        <v>2054</v>
      </c>
      <c r="EF152" s="539">
        <f>Time!EF$117</f>
        <v>2054</v>
      </c>
      <c r="EG152" s="539">
        <f>Time!EG$117</f>
        <v>2054</v>
      </c>
    </row>
    <row r="153" spans="5:137" ht="12.75">
      <c r="E153" s="551" t="s">
        <v>548</v>
      </c>
      <c r="F153" s="552"/>
      <c r="G153" s="552" t="s">
        <v>30</v>
      </c>
      <c r="H153" s="552">
        <f>SUM(J153:EG153)</f>
        <v>-291552.5</v>
      </c>
      <c r="I153" s="552"/>
      <c r="J153" s="552">
        <f t="shared" si="31" ref="J153:EG153">IF(J151=1,SUMIFS($I51:I51,$I152:I152,J152)+J51,0)</f>
        <v>0</v>
      </c>
      <c r="K153" s="552">
        <f t="shared" si="31"/>
        <v>0</v>
      </c>
      <c r="L153" s="552">
        <f t="shared" si="31"/>
        <v>0</v>
      </c>
      <c r="M153" s="552">
        <f t="shared" si="31"/>
        <v>0</v>
      </c>
      <c r="N153" s="552">
        <f t="shared" si="31"/>
        <v>0</v>
      </c>
      <c r="O153" s="552">
        <f t="shared" si="31"/>
        <v>0</v>
      </c>
      <c r="P153" s="552">
        <f t="shared" si="31"/>
        <v>0</v>
      </c>
      <c r="Q153" s="552">
        <f t="shared" si="31"/>
        <v>0</v>
      </c>
      <c r="R153" s="552">
        <f t="shared" si="31"/>
        <v>0</v>
      </c>
      <c r="S153" s="552">
        <f t="shared" si="31"/>
        <v>0</v>
      </c>
      <c r="T153" s="552">
        <f t="shared" si="31"/>
        <v>0</v>
      </c>
      <c r="U153" s="552">
        <f t="shared" si="31"/>
        <v>-156738.453125</v>
      </c>
      <c r="V153" s="552">
        <f t="shared" si="31"/>
        <v>0</v>
      </c>
      <c r="W153" s="552">
        <f t="shared" si="31"/>
        <v>0</v>
      </c>
      <c r="X153" s="552">
        <f t="shared" si="31"/>
        <v>0</v>
      </c>
      <c r="Y153" s="552">
        <f t="shared" si="31"/>
        <v>0</v>
      </c>
      <c r="Z153" s="552">
        <f t="shared" si="31"/>
        <v>0</v>
      </c>
      <c r="AA153" s="552">
        <f t="shared" si="31"/>
        <v>0</v>
      </c>
      <c r="AB153" s="552">
        <f t="shared" si="31"/>
        <v>0</v>
      </c>
      <c r="AC153" s="552">
        <f t="shared" si="31"/>
        <v>0</v>
      </c>
      <c r="AD153" s="552">
        <f t="shared" si="31"/>
        <v>0</v>
      </c>
      <c r="AE153" s="552">
        <f t="shared" si="31"/>
        <v>0</v>
      </c>
      <c r="AF153" s="552">
        <f t="shared" si="31"/>
        <v>0</v>
      </c>
      <c r="AG153" s="552">
        <f t="shared" si="31"/>
        <v>-138260.859375</v>
      </c>
      <c r="AH153" s="552">
        <f t="shared" si="31"/>
        <v>0</v>
      </c>
      <c r="AI153" s="552">
        <f t="shared" si="31"/>
        <v>0</v>
      </c>
      <c r="AJ153" s="552">
        <f t="shared" si="31"/>
        <v>0</v>
      </c>
      <c r="AK153" s="552">
        <f t="shared" si="31"/>
        <v>3446.8125</v>
      </c>
      <c r="AL153" s="552">
        <f t="shared" si="31"/>
        <v>0</v>
      </c>
      <c r="AM153" s="552">
        <f t="shared" si="31"/>
        <v>0</v>
      </c>
      <c r="AN153" s="552">
        <f t="shared" si="31"/>
        <v>0</v>
      </c>
      <c r="AO153" s="552">
        <f t="shared" si="31"/>
        <v>0</v>
      </c>
      <c r="AP153" s="552">
        <f t="shared" si="31"/>
        <v>0</v>
      </c>
      <c r="AQ153" s="552">
        <f t="shared" si="31"/>
        <v>0</v>
      </c>
      <c r="AR153" s="552">
        <f t="shared" si="31"/>
        <v>0</v>
      </c>
      <c r="AS153" s="552">
        <f t="shared" si="31"/>
        <v>0</v>
      </c>
      <c r="AT153" s="552">
        <f t="shared" si="31"/>
        <v>0</v>
      </c>
      <c r="AU153" s="552">
        <f t="shared" si="31"/>
        <v>0</v>
      </c>
      <c r="AV153" s="552">
        <f t="shared" si="31"/>
        <v>0</v>
      </c>
      <c r="AW153" s="552">
        <f t="shared" si="31"/>
        <v>0</v>
      </c>
      <c r="AX153" s="552">
        <f t="shared" si="31"/>
        <v>0</v>
      </c>
      <c r="AY153" s="552">
        <f t="shared" si="31"/>
        <v>0</v>
      </c>
      <c r="AZ153" s="552">
        <f t="shared" si="31"/>
        <v>0</v>
      </c>
      <c r="BA153" s="552">
        <f t="shared" si="31"/>
        <v>0</v>
      </c>
      <c r="BB153" s="552">
        <f t="shared" si="31"/>
        <v>0</v>
      </c>
      <c r="BC153" s="552">
        <f t="shared" si="31"/>
        <v>0</v>
      </c>
      <c r="BD153" s="552">
        <f t="shared" si="31"/>
        <v>0</v>
      </c>
      <c r="BE153" s="552">
        <f t="shared" si="31"/>
        <v>0</v>
      </c>
      <c r="BF153" s="552">
        <f t="shared" si="31"/>
        <v>0</v>
      </c>
      <c r="BG153" s="552">
        <f t="shared" si="31"/>
        <v>0</v>
      </c>
      <c r="BH153" s="552">
        <f t="shared" si="31"/>
        <v>0</v>
      </c>
      <c r="BI153" s="552">
        <f t="shared" si="31"/>
        <v>0</v>
      </c>
      <c r="BJ153" s="552">
        <f t="shared" si="31"/>
        <v>0</v>
      </c>
      <c r="BK153" s="552">
        <f t="shared" si="31"/>
        <v>0</v>
      </c>
      <c r="BL153" s="552">
        <f t="shared" si="31"/>
        <v>0</v>
      </c>
      <c r="BM153" s="552">
        <f t="shared" si="31"/>
        <v>0</v>
      </c>
      <c r="BN153" s="552">
        <f t="shared" si="31"/>
        <v>0</v>
      </c>
      <c r="BO153" s="552">
        <f t="shared" si="31"/>
        <v>0</v>
      </c>
      <c r="BP153" s="552">
        <f t="shared" si="31"/>
        <v>0</v>
      </c>
      <c r="BQ153" s="552">
        <f t="shared" si="31"/>
        <v>0</v>
      </c>
      <c r="BR153" s="552">
        <f t="shared" si="31"/>
        <v>0</v>
      </c>
      <c r="BS153" s="552">
        <f t="shared" si="31"/>
        <v>0</v>
      </c>
      <c r="BT153" s="552">
        <f t="shared" si="31"/>
        <v>0</v>
      </c>
      <c r="BU153" s="552">
        <f t="shared" si="31"/>
        <v>0</v>
      </c>
      <c r="BV153" s="552">
        <f t="shared" si="31"/>
        <v>0</v>
      </c>
      <c r="BW153" s="552">
        <f t="shared" si="31"/>
        <v>0</v>
      </c>
      <c r="BX153" s="552">
        <f t="shared" si="31"/>
        <v>0</v>
      </c>
      <c r="BY153" s="552">
        <f t="shared" si="31"/>
        <v>0</v>
      </c>
      <c r="BZ153" s="552">
        <f t="shared" si="31"/>
        <v>0</v>
      </c>
      <c r="CA153" s="552">
        <f t="shared" si="31"/>
        <v>0</v>
      </c>
      <c r="CB153" s="552">
        <f t="shared" si="31"/>
        <v>0</v>
      </c>
      <c r="CC153" s="552">
        <f t="shared" si="31"/>
        <v>0</v>
      </c>
      <c r="CD153" s="552">
        <f t="shared" si="31"/>
        <v>0</v>
      </c>
      <c r="CE153" s="552">
        <f t="shared" si="31"/>
        <v>0</v>
      </c>
      <c r="CF153" s="552">
        <f t="shared" si="31"/>
        <v>0</v>
      </c>
      <c r="CG153" s="552">
        <f t="shared" si="31"/>
        <v>0</v>
      </c>
      <c r="CH153" s="552">
        <f t="shared" si="31"/>
        <v>0</v>
      </c>
      <c r="CI153" s="552">
        <f t="shared" si="31"/>
        <v>0</v>
      </c>
      <c r="CJ153" s="552">
        <f t="shared" si="31"/>
        <v>0</v>
      </c>
      <c r="CK153" s="552">
        <f t="shared" si="31"/>
        <v>0</v>
      </c>
      <c r="CL153" s="552">
        <f t="shared" si="31"/>
        <v>0</v>
      </c>
      <c r="CM153" s="552">
        <f t="shared" si="31"/>
        <v>0</v>
      </c>
      <c r="CN153" s="552">
        <f t="shared" si="31"/>
        <v>0</v>
      </c>
      <c r="CO153" s="552">
        <f t="shared" si="31"/>
        <v>0</v>
      </c>
      <c r="CP153" s="552">
        <f t="shared" si="31"/>
        <v>0</v>
      </c>
      <c r="CQ153" s="552">
        <f t="shared" si="31"/>
        <v>0</v>
      </c>
      <c r="CR153" s="552">
        <f t="shared" si="31"/>
        <v>0</v>
      </c>
      <c r="CS153" s="552">
        <f t="shared" si="31"/>
        <v>0</v>
      </c>
      <c r="CT153" s="552">
        <f t="shared" si="31"/>
        <v>0</v>
      </c>
      <c r="CU153" s="552">
        <f t="shared" si="31"/>
        <v>0</v>
      </c>
      <c r="CV153" s="552">
        <f t="shared" si="31"/>
        <v>0</v>
      </c>
      <c r="CW153" s="552">
        <f t="shared" si="31"/>
        <v>0</v>
      </c>
      <c r="CX153" s="552">
        <f t="shared" si="31"/>
        <v>0</v>
      </c>
      <c r="CY153" s="552">
        <f t="shared" si="31"/>
        <v>0</v>
      </c>
      <c r="CZ153" s="552">
        <f t="shared" si="31"/>
        <v>0</v>
      </c>
      <c r="DA153" s="552">
        <f t="shared" si="31"/>
        <v>0</v>
      </c>
      <c r="DB153" s="552">
        <f t="shared" si="31"/>
        <v>0</v>
      </c>
      <c r="DC153" s="552">
        <f t="shared" si="31"/>
        <v>0</v>
      </c>
      <c r="DD153" s="552">
        <f t="shared" si="31"/>
        <v>0</v>
      </c>
      <c r="DE153" s="552">
        <f t="shared" si="31"/>
        <v>0</v>
      </c>
      <c r="DF153" s="552">
        <f t="shared" si="31"/>
        <v>0</v>
      </c>
      <c r="DG153" s="552">
        <f t="shared" si="31"/>
        <v>0</v>
      </c>
      <c r="DH153" s="552">
        <f t="shared" si="31"/>
        <v>0</v>
      </c>
      <c r="DI153" s="552">
        <f t="shared" si="31"/>
        <v>0</v>
      </c>
      <c r="DJ153" s="552">
        <f t="shared" si="31"/>
        <v>0</v>
      </c>
      <c r="DK153" s="552">
        <f t="shared" si="31"/>
        <v>0</v>
      </c>
      <c r="DL153" s="552">
        <f t="shared" si="31"/>
        <v>0</v>
      </c>
      <c r="DM153" s="552">
        <f t="shared" si="31"/>
        <v>0</v>
      </c>
      <c r="DN153" s="552">
        <f t="shared" si="31"/>
        <v>0</v>
      </c>
      <c r="DO153" s="552">
        <f t="shared" si="31"/>
        <v>0</v>
      </c>
      <c r="DP153" s="552">
        <f t="shared" si="31"/>
        <v>0</v>
      </c>
      <c r="DQ153" s="552">
        <f t="shared" si="31"/>
        <v>0</v>
      </c>
      <c r="DR153" s="552">
        <f t="shared" si="31"/>
        <v>0</v>
      </c>
      <c r="DS153" s="552">
        <f t="shared" si="31"/>
        <v>0</v>
      </c>
      <c r="DT153" s="552">
        <f t="shared" si="31"/>
        <v>0</v>
      </c>
      <c r="DU153" s="552">
        <f t="shared" si="31"/>
        <v>0</v>
      </c>
      <c r="DV153" s="552">
        <f t="shared" si="31"/>
        <v>0</v>
      </c>
      <c r="DW153" s="552">
        <f t="shared" si="31"/>
        <v>0</v>
      </c>
      <c r="DX153" s="552">
        <f t="shared" si="31"/>
        <v>0</v>
      </c>
      <c r="DY153" s="552">
        <f t="shared" si="31"/>
        <v>0</v>
      </c>
      <c r="DZ153" s="552">
        <f t="shared" si="31"/>
        <v>0</v>
      </c>
      <c r="EA153" s="552">
        <f t="shared" si="31"/>
        <v>0</v>
      </c>
      <c r="EB153" s="552">
        <f t="shared" si="31"/>
        <v>0</v>
      </c>
      <c r="EC153" s="552">
        <f t="shared" si="31"/>
        <v>0</v>
      </c>
      <c r="ED153" s="552">
        <f t="shared" si="31"/>
        <v>0</v>
      </c>
      <c r="EE153" s="552">
        <f t="shared" si="31"/>
        <v>0</v>
      </c>
      <c r="EF153" s="552">
        <f t="shared" si="31"/>
        <v>0</v>
      </c>
      <c r="EG153" s="552">
        <f t="shared" si="31"/>
        <v>0</v>
      </c>
    </row>
    <row r="155" spans="5:137" ht="12.75">
      <c r="E155" s="538" t="str">
        <f>Time!E$108</f>
        <v>End of financial year flag</v>
      </c>
      <c r="G155" s="539" t="str">
        <f>Time!G$108</f>
        <v>flag</v>
      </c>
      <c r="H155" s="539">
        <f>Time!H$108</f>
        <v>28</v>
      </c>
      <c r="J155" s="539">
        <f>Time!J$108</f>
        <v>0</v>
      </c>
      <c r="K155" s="539">
        <f>Time!K$108</f>
        <v>0</v>
      </c>
      <c r="L155" s="539">
        <f>Time!L$108</f>
        <v>0</v>
      </c>
      <c r="M155" s="539">
        <f>Time!M$108</f>
        <v>0</v>
      </c>
      <c r="N155" s="539">
        <f>Time!N$108</f>
        <v>0</v>
      </c>
      <c r="O155" s="539">
        <f>Time!O$108</f>
        <v>0</v>
      </c>
      <c r="P155" s="539">
        <f>Time!P$108</f>
        <v>0</v>
      </c>
      <c r="Q155" s="539">
        <f>Time!Q$108</f>
        <v>0</v>
      </c>
      <c r="R155" s="539">
        <f>Time!R$108</f>
        <v>0</v>
      </c>
      <c r="S155" s="539">
        <f>Time!S$108</f>
        <v>0</v>
      </c>
      <c r="T155" s="539">
        <f>Time!T$108</f>
        <v>0</v>
      </c>
      <c r="U155" s="539">
        <f>Time!U$108</f>
        <v>1</v>
      </c>
      <c r="V155" s="539">
        <f>Time!V$108</f>
        <v>0</v>
      </c>
      <c r="W155" s="539">
        <f>Time!W$108</f>
        <v>0</v>
      </c>
      <c r="X155" s="539">
        <f>Time!X$108</f>
        <v>0</v>
      </c>
      <c r="Y155" s="539">
        <f>Time!Y$108</f>
        <v>0</v>
      </c>
      <c r="Z155" s="539">
        <f>Time!Z$108</f>
        <v>0</v>
      </c>
      <c r="AA155" s="539">
        <f>Time!AA$108</f>
        <v>0</v>
      </c>
      <c r="AB155" s="539">
        <f>Time!AB$108</f>
        <v>0</v>
      </c>
      <c r="AC155" s="539">
        <f>Time!AC$108</f>
        <v>0</v>
      </c>
      <c r="AD155" s="539">
        <f>Time!AD$108</f>
        <v>0</v>
      </c>
      <c r="AE155" s="539">
        <f>Time!AE$108</f>
        <v>0</v>
      </c>
      <c r="AF155" s="539">
        <f>Time!AF$108</f>
        <v>0</v>
      </c>
      <c r="AG155" s="539">
        <f>Time!AG$108</f>
        <v>1</v>
      </c>
      <c r="AH155" s="539">
        <f>Time!AH$108</f>
        <v>0</v>
      </c>
      <c r="AI155" s="539">
        <f>Time!AI$108</f>
        <v>0</v>
      </c>
      <c r="AJ155" s="539">
        <f>Time!AJ$108</f>
        <v>0</v>
      </c>
      <c r="AK155" s="539">
        <f>Time!AK$108</f>
        <v>1</v>
      </c>
      <c r="AL155" s="539">
        <f>Time!AL$108</f>
        <v>0</v>
      </c>
      <c r="AM155" s="539">
        <f>Time!AM$108</f>
        <v>0</v>
      </c>
      <c r="AN155" s="539">
        <f>Time!AN$108</f>
        <v>0</v>
      </c>
      <c r="AO155" s="539">
        <f>Time!AO$108</f>
        <v>1</v>
      </c>
      <c r="AP155" s="539">
        <f>Time!AP$108</f>
        <v>0</v>
      </c>
      <c r="AQ155" s="539">
        <f>Time!AQ$108</f>
        <v>0</v>
      </c>
      <c r="AR155" s="539">
        <f>Time!AR$108</f>
        <v>0</v>
      </c>
      <c r="AS155" s="539">
        <f>Time!AS$108</f>
        <v>1</v>
      </c>
      <c r="AT155" s="539">
        <f>Time!AT$108</f>
        <v>0</v>
      </c>
      <c r="AU155" s="539">
        <f>Time!AU$108</f>
        <v>0</v>
      </c>
      <c r="AV155" s="539">
        <f>Time!AV$108</f>
        <v>0</v>
      </c>
      <c r="AW155" s="539">
        <f>Time!AW$108</f>
        <v>1</v>
      </c>
      <c r="AX155" s="539">
        <f>Time!AX$108</f>
        <v>0</v>
      </c>
      <c r="AY155" s="539">
        <f>Time!AY$108</f>
        <v>0</v>
      </c>
      <c r="AZ155" s="539">
        <f>Time!AZ$108</f>
        <v>0</v>
      </c>
      <c r="BA155" s="539">
        <f>Time!BA$108</f>
        <v>1</v>
      </c>
      <c r="BB155" s="539">
        <f>Time!BB$108</f>
        <v>0</v>
      </c>
      <c r="BC155" s="539">
        <f>Time!BC$108</f>
        <v>0</v>
      </c>
      <c r="BD155" s="539">
        <f>Time!BD$108</f>
        <v>0</v>
      </c>
      <c r="BE155" s="539">
        <f>Time!BE$108</f>
        <v>1</v>
      </c>
      <c r="BF155" s="539">
        <f>Time!BF$108</f>
        <v>0</v>
      </c>
      <c r="BG155" s="539">
        <f>Time!BG$108</f>
        <v>0</v>
      </c>
      <c r="BH155" s="539">
        <f>Time!BH$108</f>
        <v>0</v>
      </c>
      <c r="BI155" s="539">
        <f>Time!BI$108</f>
        <v>1</v>
      </c>
      <c r="BJ155" s="539">
        <f>Time!BJ$108</f>
        <v>0</v>
      </c>
      <c r="BK155" s="539">
        <f>Time!BK$108</f>
        <v>0</v>
      </c>
      <c r="BL155" s="539">
        <f>Time!BL$108</f>
        <v>0</v>
      </c>
      <c r="BM155" s="539">
        <f>Time!BM$108</f>
        <v>1</v>
      </c>
      <c r="BN155" s="539">
        <f>Time!BN$108</f>
        <v>0</v>
      </c>
      <c r="BO155" s="539">
        <f>Time!BO$108</f>
        <v>0</v>
      </c>
      <c r="BP155" s="539">
        <f>Time!BP$108</f>
        <v>0</v>
      </c>
      <c r="BQ155" s="539">
        <f>Time!BQ$108</f>
        <v>1</v>
      </c>
      <c r="BR155" s="539">
        <f>Time!BR$108</f>
        <v>0</v>
      </c>
      <c r="BS155" s="539">
        <f>Time!BS$108</f>
        <v>0</v>
      </c>
      <c r="BT155" s="539">
        <f>Time!BT$108</f>
        <v>0</v>
      </c>
      <c r="BU155" s="539">
        <f>Time!BU$108</f>
        <v>1</v>
      </c>
      <c r="BV155" s="539">
        <f>Time!BV$108</f>
        <v>0</v>
      </c>
      <c r="BW155" s="539">
        <f>Time!BW$108</f>
        <v>0</v>
      </c>
      <c r="BX155" s="539">
        <f>Time!BX$108</f>
        <v>0</v>
      </c>
      <c r="BY155" s="539">
        <f>Time!BY$108</f>
        <v>1</v>
      </c>
      <c r="BZ155" s="539">
        <f>Time!BZ$108</f>
        <v>0</v>
      </c>
      <c r="CA155" s="539">
        <f>Time!CA$108</f>
        <v>0</v>
      </c>
      <c r="CB155" s="539">
        <f>Time!CB$108</f>
        <v>0</v>
      </c>
      <c r="CC155" s="539">
        <f>Time!CC$108</f>
        <v>1</v>
      </c>
      <c r="CD155" s="539">
        <f>Time!CD$108</f>
        <v>0</v>
      </c>
      <c r="CE155" s="539">
        <f>Time!CE$108</f>
        <v>0</v>
      </c>
      <c r="CF155" s="539">
        <f>Time!CF$108</f>
        <v>0</v>
      </c>
      <c r="CG155" s="539">
        <f>Time!CG$108</f>
        <v>1</v>
      </c>
      <c r="CH155" s="539">
        <f>Time!CH$108</f>
        <v>0</v>
      </c>
      <c r="CI155" s="539">
        <f>Time!CI$108</f>
        <v>0</v>
      </c>
      <c r="CJ155" s="539">
        <f>Time!CJ$108</f>
        <v>0</v>
      </c>
      <c r="CK155" s="539">
        <f>Time!CK$108</f>
        <v>1</v>
      </c>
      <c r="CL155" s="539">
        <f>Time!CL$108</f>
        <v>0</v>
      </c>
      <c r="CM155" s="539">
        <f>Time!CM$108</f>
        <v>0</v>
      </c>
      <c r="CN155" s="539">
        <f>Time!CN$108</f>
        <v>0</v>
      </c>
      <c r="CO155" s="539">
        <f>Time!CO$108</f>
        <v>1</v>
      </c>
      <c r="CP155" s="539">
        <f>Time!CP$108</f>
        <v>0</v>
      </c>
      <c r="CQ155" s="539">
        <f>Time!CQ$108</f>
        <v>0</v>
      </c>
      <c r="CR155" s="539">
        <f>Time!CR$108</f>
        <v>0</v>
      </c>
      <c r="CS155" s="539">
        <f>Time!CS$108</f>
        <v>1</v>
      </c>
      <c r="CT155" s="539">
        <f>Time!CT$108</f>
        <v>0</v>
      </c>
      <c r="CU155" s="539">
        <f>Time!CU$108</f>
        <v>0</v>
      </c>
      <c r="CV155" s="539">
        <f>Time!CV$108</f>
        <v>0</v>
      </c>
      <c r="CW155" s="539">
        <f>Time!CW$108</f>
        <v>1</v>
      </c>
      <c r="CX155" s="539">
        <f>Time!CX$108</f>
        <v>0</v>
      </c>
      <c r="CY155" s="539">
        <f>Time!CY$108</f>
        <v>0</v>
      </c>
      <c r="CZ155" s="539">
        <f>Time!CZ$108</f>
        <v>0</v>
      </c>
      <c r="DA155" s="539">
        <f>Time!DA$108</f>
        <v>1</v>
      </c>
      <c r="DB155" s="539">
        <f>Time!DB$108</f>
        <v>0</v>
      </c>
      <c r="DC155" s="539">
        <f>Time!DC$108</f>
        <v>0</v>
      </c>
      <c r="DD155" s="539">
        <f>Time!DD$108</f>
        <v>0</v>
      </c>
      <c r="DE155" s="539">
        <f>Time!DE$108</f>
        <v>1</v>
      </c>
      <c r="DF155" s="539">
        <f>Time!DF$108</f>
        <v>0</v>
      </c>
      <c r="DG155" s="539">
        <f>Time!DG$108</f>
        <v>0</v>
      </c>
      <c r="DH155" s="539">
        <f>Time!DH$108</f>
        <v>0</v>
      </c>
      <c r="DI155" s="539">
        <f>Time!DI$108</f>
        <v>1</v>
      </c>
      <c r="DJ155" s="539">
        <f>Time!DJ$108</f>
        <v>0</v>
      </c>
      <c r="DK155" s="539">
        <f>Time!DK$108</f>
        <v>0</v>
      </c>
      <c r="DL155" s="539">
        <f>Time!DL$108</f>
        <v>0</v>
      </c>
      <c r="DM155" s="539">
        <f>Time!DM$108</f>
        <v>1</v>
      </c>
      <c r="DN155" s="539">
        <f>Time!DN$108</f>
        <v>0</v>
      </c>
      <c r="DO155" s="539">
        <f>Time!DO$108</f>
        <v>0</v>
      </c>
      <c r="DP155" s="539">
        <f>Time!DP$108</f>
        <v>0</v>
      </c>
      <c r="DQ155" s="539">
        <f>Time!DQ$108</f>
        <v>1</v>
      </c>
      <c r="DR155" s="539">
        <f>Time!DR$108</f>
        <v>0</v>
      </c>
      <c r="DS155" s="539">
        <f>Time!DS$108</f>
        <v>0</v>
      </c>
      <c r="DT155" s="539">
        <f>Time!DT$108</f>
        <v>0</v>
      </c>
      <c r="DU155" s="539">
        <f>Time!DU$108</f>
        <v>1</v>
      </c>
      <c r="DV155" s="539">
        <f>Time!DV$108</f>
        <v>0</v>
      </c>
      <c r="DW155" s="539">
        <f>Time!DW$108</f>
        <v>0</v>
      </c>
      <c r="DX155" s="539">
        <f>Time!DX$108</f>
        <v>0</v>
      </c>
      <c r="DY155" s="539">
        <f>Time!DY$108</f>
        <v>1</v>
      </c>
      <c r="DZ155" s="539">
        <f>Time!DZ$108</f>
        <v>0</v>
      </c>
      <c r="EA155" s="539">
        <f>Time!EA$108</f>
        <v>0</v>
      </c>
      <c r="EB155" s="539">
        <f>Time!EB$108</f>
        <v>0</v>
      </c>
      <c r="EC155" s="539">
        <f>Time!EC$108</f>
        <v>1</v>
      </c>
      <c r="ED155" s="539">
        <f>Time!ED$108</f>
        <v>0</v>
      </c>
      <c r="EE155" s="539">
        <f>Time!EE$108</f>
        <v>0</v>
      </c>
      <c r="EF155" s="539">
        <f>Time!EF$108</f>
        <v>0</v>
      </c>
      <c r="EG155" s="539">
        <f>Time!EG$108</f>
        <v>1</v>
      </c>
    </row>
    <row r="156" spans="5:137" ht="12.75">
      <c r="E156" s="538" t="str">
        <f>Time!E$117</f>
        <v>Financial year</v>
      </c>
      <c r="G156" s="539" t="str">
        <f>Time!G$117</f>
        <v>year #</v>
      </c>
      <c r="H156" s="539">
        <f>Time!H$117</f>
        <v>260976</v>
      </c>
      <c r="J156" s="539">
        <f>Time!J$117</f>
        <v>2027</v>
      </c>
      <c r="K156" s="539">
        <f>Time!K$117</f>
        <v>2027</v>
      </c>
      <c r="L156" s="539">
        <f>Time!L$117</f>
        <v>2027</v>
      </c>
      <c r="M156" s="539">
        <f>Time!M$117</f>
        <v>2027</v>
      </c>
      <c r="N156" s="539">
        <f>Time!N$117</f>
        <v>2027</v>
      </c>
      <c r="O156" s="539">
        <f>Time!O$117</f>
        <v>2027</v>
      </c>
      <c r="P156" s="539">
        <f>Time!P$117</f>
        <v>2027</v>
      </c>
      <c r="Q156" s="539">
        <f>Time!Q$117</f>
        <v>2027</v>
      </c>
      <c r="R156" s="539">
        <f>Time!R$117</f>
        <v>2027</v>
      </c>
      <c r="S156" s="539">
        <f>Time!S$117</f>
        <v>2027</v>
      </c>
      <c r="T156" s="539">
        <f>Time!T$117</f>
        <v>2027</v>
      </c>
      <c r="U156" s="539">
        <f>Time!U$117</f>
        <v>2027</v>
      </c>
      <c r="V156" s="539">
        <f>Time!V$117</f>
        <v>2028</v>
      </c>
      <c r="W156" s="539">
        <f>Time!W$117</f>
        <v>2028</v>
      </c>
      <c r="X156" s="539">
        <f>Time!X$117</f>
        <v>2028</v>
      </c>
      <c r="Y156" s="539">
        <f>Time!Y$117</f>
        <v>2028</v>
      </c>
      <c r="Z156" s="539">
        <f>Time!Z$117</f>
        <v>2028</v>
      </c>
      <c r="AA156" s="539">
        <f>Time!AA$117</f>
        <v>2028</v>
      </c>
      <c r="AB156" s="539">
        <f>Time!AB$117</f>
        <v>2028</v>
      </c>
      <c r="AC156" s="539">
        <f>Time!AC$117</f>
        <v>2028</v>
      </c>
      <c r="AD156" s="539">
        <f>Time!AD$117</f>
        <v>2028</v>
      </c>
      <c r="AE156" s="539">
        <f>Time!AE$117</f>
        <v>2028</v>
      </c>
      <c r="AF156" s="539">
        <f>Time!AF$117</f>
        <v>2028</v>
      </c>
      <c r="AG156" s="539">
        <f>Time!AG$117</f>
        <v>2028</v>
      </c>
      <c r="AH156" s="539">
        <f>Time!AH$117</f>
        <v>2029</v>
      </c>
      <c r="AI156" s="539">
        <f>Time!AI$117</f>
        <v>2029</v>
      </c>
      <c r="AJ156" s="539">
        <f>Time!AJ$117</f>
        <v>2029</v>
      </c>
      <c r="AK156" s="539">
        <f>Time!AK$117</f>
        <v>2029</v>
      </c>
      <c r="AL156" s="539">
        <f>Time!AL$117</f>
        <v>2030</v>
      </c>
      <c r="AM156" s="539">
        <f>Time!AM$117</f>
        <v>2030</v>
      </c>
      <c r="AN156" s="539">
        <f>Time!AN$117</f>
        <v>2030</v>
      </c>
      <c r="AO156" s="539">
        <f>Time!AO$117</f>
        <v>2030</v>
      </c>
      <c r="AP156" s="539">
        <f>Time!AP$117</f>
        <v>2031</v>
      </c>
      <c r="AQ156" s="539">
        <f>Time!AQ$117</f>
        <v>2031</v>
      </c>
      <c r="AR156" s="539">
        <f>Time!AR$117</f>
        <v>2031</v>
      </c>
      <c r="AS156" s="539">
        <f>Time!AS$117</f>
        <v>2031</v>
      </c>
      <c r="AT156" s="539">
        <f>Time!AT$117</f>
        <v>2032</v>
      </c>
      <c r="AU156" s="539">
        <f>Time!AU$117</f>
        <v>2032</v>
      </c>
      <c r="AV156" s="539">
        <f>Time!AV$117</f>
        <v>2032</v>
      </c>
      <c r="AW156" s="539">
        <f>Time!AW$117</f>
        <v>2032</v>
      </c>
      <c r="AX156" s="539">
        <f>Time!AX$117</f>
        <v>2033</v>
      </c>
      <c r="AY156" s="539">
        <f>Time!AY$117</f>
        <v>2033</v>
      </c>
      <c r="AZ156" s="539">
        <f>Time!AZ$117</f>
        <v>2033</v>
      </c>
      <c r="BA156" s="539">
        <f>Time!BA$117</f>
        <v>2033</v>
      </c>
      <c r="BB156" s="539">
        <f>Time!BB$117</f>
        <v>2034</v>
      </c>
      <c r="BC156" s="539">
        <f>Time!BC$117</f>
        <v>2034</v>
      </c>
      <c r="BD156" s="539">
        <f>Time!BD$117</f>
        <v>2034</v>
      </c>
      <c r="BE156" s="539">
        <f>Time!BE$117</f>
        <v>2034</v>
      </c>
      <c r="BF156" s="539">
        <f>Time!BF$117</f>
        <v>2035</v>
      </c>
      <c r="BG156" s="539">
        <f>Time!BG$117</f>
        <v>2035</v>
      </c>
      <c r="BH156" s="539">
        <f>Time!BH$117</f>
        <v>2035</v>
      </c>
      <c r="BI156" s="539">
        <f>Time!BI$117</f>
        <v>2035</v>
      </c>
      <c r="BJ156" s="539">
        <f>Time!BJ$117</f>
        <v>2036</v>
      </c>
      <c r="BK156" s="539">
        <f>Time!BK$117</f>
        <v>2036</v>
      </c>
      <c r="BL156" s="539">
        <f>Time!BL$117</f>
        <v>2036</v>
      </c>
      <c r="BM156" s="539">
        <f>Time!BM$117</f>
        <v>2036</v>
      </c>
      <c r="BN156" s="539">
        <f>Time!BN$117</f>
        <v>2037</v>
      </c>
      <c r="BO156" s="539">
        <f>Time!BO$117</f>
        <v>2037</v>
      </c>
      <c r="BP156" s="539">
        <f>Time!BP$117</f>
        <v>2037</v>
      </c>
      <c r="BQ156" s="539">
        <f>Time!BQ$117</f>
        <v>2037</v>
      </c>
      <c r="BR156" s="539">
        <f>Time!BR$117</f>
        <v>2038</v>
      </c>
      <c r="BS156" s="539">
        <f>Time!BS$117</f>
        <v>2038</v>
      </c>
      <c r="BT156" s="539">
        <f>Time!BT$117</f>
        <v>2038</v>
      </c>
      <c r="BU156" s="539">
        <f>Time!BU$117</f>
        <v>2038</v>
      </c>
      <c r="BV156" s="539">
        <f>Time!BV$117</f>
        <v>2039</v>
      </c>
      <c r="BW156" s="539">
        <f>Time!BW$117</f>
        <v>2039</v>
      </c>
      <c r="BX156" s="539">
        <f>Time!BX$117</f>
        <v>2039</v>
      </c>
      <c r="BY156" s="539">
        <f>Time!BY$117</f>
        <v>2039</v>
      </c>
      <c r="BZ156" s="539">
        <f>Time!BZ$117</f>
        <v>2040</v>
      </c>
      <c r="CA156" s="539">
        <f>Time!CA$117</f>
        <v>2040</v>
      </c>
      <c r="CB156" s="539">
        <f>Time!CB$117</f>
        <v>2040</v>
      </c>
      <c r="CC156" s="539">
        <f>Time!CC$117</f>
        <v>2040</v>
      </c>
      <c r="CD156" s="539">
        <f>Time!CD$117</f>
        <v>2041</v>
      </c>
      <c r="CE156" s="539">
        <f>Time!CE$117</f>
        <v>2041</v>
      </c>
      <c r="CF156" s="539">
        <f>Time!CF$117</f>
        <v>2041</v>
      </c>
      <c r="CG156" s="539">
        <f>Time!CG$117</f>
        <v>2041</v>
      </c>
      <c r="CH156" s="539">
        <f>Time!CH$117</f>
        <v>2042</v>
      </c>
      <c r="CI156" s="539">
        <f>Time!CI$117</f>
        <v>2042</v>
      </c>
      <c r="CJ156" s="539">
        <f>Time!CJ$117</f>
        <v>2042</v>
      </c>
      <c r="CK156" s="539">
        <f>Time!CK$117</f>
        <v>2042</v>
      </c>
      <c r="CL156" s="539">
        <f>Time!CL$117</f>
        <v>2043</v>
      </c>
      <c r="CM156" s="539">
        <f>Time!CM$117</f>
        <v>2043</v>
      </c>
      <c r="CN156" s="539">
        <f>Time!CN$117</f>
        <v>2043</v>
      </c>
      <c r="CO156" s="539">
        <f>Time!CO$117</f>
        <v>2043</v>
      </c>
      <c r="CP156" s="539">
        <f>Time!CP$117</f>
        <v>2044</v>
      </c>
      <c r="CQ156" s="539">
        <f>Time!CQ$117</f>
        <v>2044</v>
      </c>
      <c r="CR156" s="539">
        <f>Time!CR$117</f>
        <v>2044</v>
      </c>
      <c r="CS156" s="539">
        <f>Time!CS$117</f>
        <v>2044</v>
      </c>
      <c r="CT156" s="539">
        <f>Time!CT$117</f>
        <v>2045</v>
      </c>
      <c r="CU156" s="539">
        <f>Time!CU$117</f>
        <v>2045</v>
      </c>
      <c r="CV156" s="539">
        <f>Time!CV$117</f>
        <v>2045</v>
      </c>
      <c r="CW156" s="539">
        <f>Time!CW$117</f>
        <v>2045</v>
      </c>
      <c r="CX156" s="539">
        <f>Time!CX$117</f>
        <v>2046</v>
      </c>
      <c r="CY156" s="539">
        <f>Time!CY$117</f>
        <v>2046</v>
      </c>
      <c r="CZ156" s="539">
        <f>Time!CZ$117</f>
        <v>2046</v>
      </c>
      <c r="DA156" s="539">
        <f>Time!DA$117</f>
        <v>2046</v>
      </c>
      <c r="DB156" s="539">
        <f>Time!DB$117</f>
        <v>2047</v>
      </c>
      <c r="DC156" s="539">
        <f>Time!DC$117</f>
        <v>2047</v>
      </c>
      <c r="DD156" s="539">
        <f>Time!DD$117</f>
        <v>2047</v>
      </c>
      <c r="DE156" s="539">
        <f>Time!DE$117</f>
        <v>2047</v>
      </c>
      <c r="DF156" s="539">
        <f>Time!DF$117</f>
        <v>2048</v>
      </c>
      <c r="DG156" s="539">
        <f>Time!DG$117</f>
        <v>2048</v>
      </c>
      <c r="DH156" s="539">
        <f>Time!DH$117</f>
        <v>2048</v>
      </c>
      <c r="DI156" s="539">
        <f>Time!DI$117</f>
        <v>2048</v>
      </c>
      <c r="DJ156" s="539">
        <f>Time!DJ$117</f>
        <v>2049</v>
      </c>
      <c r="DK156" s="539">
        <f>Time!DK$117</f>
        <v>2049</v>
      </c>
      <c r="DL156" s="539">
        <f>Time!DL$117</f>
        <v>2049</v>
      </c>
      <c r="DM156" s="539">
        <f>Time!DM$117</f>
        <v>2049</v>
      </c>
      <c r="DN156" s="539">
        <f>Time!DN$117</f>
        <v>2050</v>
      </c>
      <c r="DO156" s="539">
        <f>Time!DO$117</f>
        <v>2050</v>
      </c>
      <c r="DP156" s="539">
        <f>Time!DP$117</f>
        <v>2050</v>
      </c>
      <c r="DQ156" s="539">
        <f>Time!DQ$117</f>
        <v>2050</v>
      </c>
      <c r="DR156" s="539">
        <f>Time!DR$117</f>
        <v>2051</v>
      </c>
      <c r="DS156" s="539">
        <f>Time!DS$117</f>
        <v>2051</v>
      </c>
      <c r="DT156" s="539">
        <f>Time!DT$117</f>
        <v>2051</v>
      </c>
      <c r="DU156" s="539">
        <f>Time!DU$117</f>
        <v>2051</v>
      </c>
      <c r="DV156" s="539">
        <f>Time!DV$117</f>
        <v>2052</v>
      </c>
      <c r="DW156" s="539">
        <f>Time!DW$117</f>
        <v>2052</v>
      </c>
      <c r="DX156" s="539">
        <f>Time!DX$117</f>
        <v>2052</v>
      </c>
      <c r="DY156" s="539">
        <f>Time!DY$117</f>
        <v>2052</v>
      </c>
      <c r="DZ156" s="539">
        <f>Time!DZ$117</f>
        <v>2053</v>
      </c>
      <c r="EA156" s="539">
        <f>Time!EA$117</f>
        <v>2053</v>
      </c>
      <c r="EB156" s="539">
        <f>Time!EB$117</f>
        <v>2053</v>
      </c>
      <c r="EC156" s="539">
        <f>Time!EC$117</f>
        <v>2053</v>
      </c>
      <c r="ED156" s="539">
        <f>Time!ED$117</f>
        <v>2054</v>
      </c>
      <c r="EE156" s="539">
        <f>Time!EE$117</f>
        <v>2054</v>
      </c>
      <c r="EF156" s="539">
        <f>Time!EF$117</f>
        <v>2054</v>
      </c>
      <c r="EG156" s="539">
        <f>Time!EG$117</f>
        <v>2054</v>
      </c>
    </row>
    <row r="157" spans="5:137" ht="12.75">
      <c r="E157" s="551" t="s">
        <v>549</v>
      </c>
      <c r="F157" s="552"/>
      <c r="G157" s="552" t="s">
        <v>30</v>
      </c>
      <c r="H157" s="552">
        <f>SUM(J157:EG157)</f>
        <v>0</v>
      </c>
      <c r="I157" s="552"/>
      <c r="J157" s="552">
        <f t="shared" si="32" ref="J157:EG157">IF(J155=1,SUMIFS($I60:I60,$I156:I156,J156)+J60,0)</f>
        <v>0</v>
      </c>
      <c r="K157" s="552">
        <f t="shared" si="32"/>
        <v>0</v>
      </c>
      <c r="L157" s="552">
        <f t="shared" si="32"/>
        <v>0</v>
      </c>
      <c r="M157" s="552">
        <f t="shared" si="32"/>
        <v>0</v>
      </c>
      <c r="N157" s="552">
        <f t="shared" si="32"/>
        <v>0</v>
      </c>
      <c r="O157" s="552">
        <f t="shared" si="32"/>
        <v>0</v>
      </c>
      <c r="P157" s="552">
        <f t="shared" si="32"/>
        <v>0</v>
      </c>
      <c r="Q157" s="552">
        <f t="shared" si="32"/>
        <v>0</v>
      </c>
      <c r="R157" s="552">
        <f t="shared" si="32"/>
        <v>0</v>
      </c>
      <c r="S157" s="552">
        <f t="shared" si="32"/>
        <v>0</v>
      </c>
      <c r="T157" s="552">
        <f t="shared" si="32"/>
        <v>0</v>
      </c>
      <c r="U157" s="552">
        <f t="shared" si="32"/>
        <v>0</v>
      </c>
      <c r="V157" s="552">
        <f t="shared" si="32"/>
        <v>0</v>
      </c>
      <c r="W157" s="552">
        <f t="shared" si="32"/>
        <v>0</v>
      </c>
      <c r="X157" s="552">
        <f t="shared" si="32"/>
        <v>0</v>
      </c>
      <c r="Y157" s="552">
        <f t="shared" si="32"/>
        <v>0</v>
      </c>
      <c r="Z157" s="552">
        <f t="shared" si="32"/>
        <v>0</v>
      </c>
      <c r="AA157" s="552">
        <f t="shared" si="32"/>
        <v>0</v>
      </c>
      <c r="AB157" s="552">
        <f t="shared" si="32"/>
        <v>0</v>
      </c>
      <c r="AC157" s="552">
        <f t="shared" si="32"/>
        <v>0</v>
      </c>
      <c r="AD157" s="552">
        <f t="shared" si="32"/>
        <v>0</v>
      </c>
      <c r="AE157" s="552">
        <f t="shared" si="32"/>
        <v>0</v>
      </c>
      <c r="AF157" s="552">
        <f t="shared" si="32"/>
        <v>0</v>
      </c>
      <c r="AG157" s="552">
        <f t="shared" si="32"/>
        <v>-8333.2746174985332</v>
      </c>
      <c r="AH157" s="552">
        <f t="shared" si="32"/>
        <v>0</v>
      </c>
      <c r="AI157" s="552">
        <f t="shared" si="32"/>
        <v>0</v>
      </c>
      <c r="AJ157" s="552">
        <f t="shared" si="32"/>
        <v>0</v>
      </c>
      <c r="AK157" s="552">
        <f t="shared" si="32"/>
        <v>-1096.4545043700582</v>
      </c>
      <c r="AL157" s="552">
        <f t="shared" si="32"/>
        <v>0</v>
      </c>
      <c r="AM157" s="552">
        <f t="shared" si="32"/>
        <v>0</v>
      </c>
      <c r="AN157" s="552">
        <f t="shared" si="32"/>
        <v>0</v>
      </c>
      <c r="AO157" s="552">
        <f t="shared" si="32"/>
        <v>-165.68115902064346</v>
      </c>
      <c r="AP157" s="552">
        <f t="shared" si="32"/>
        <v>0</v>
      </c>
      <c r="AQ157" s="552">
        <f t="shared" si="32"/>
        <v>0</v>
      </c>
      <c r="AR157" s="552">
        <f t="shared" si="32"/>
        <v>0</v>
      </c>
      <c r="AS157" s="552">
        <f t="shared" si="32"/>
        <v>-168.40379441676487</v>
      </c>
      <c r="AT157" s="552">
        <f t="shared" si="32"/>
        <v>0</v>
      </c>
      <c r="AU157" s="552">
        <f t="shared" si="32"/>
        <v>0</v>
      </c>
      <c r="AV157" s="552">
        <f t="shared" si="32"/>
        <v>0</v>
      </c>
      <c r="AW157" s="552">
        <f t="shared" si="32"/>
        <v>-7129.3245293731252</v>
      </c>
      <c r="AX157" s="552">
        <f t="shared" si="32"/>
        <v>0</v>
      </c>
      <c r="AY157" s="552">
        <f t="shared" si="32"/>
        <v>0</v>
      </c>
      <c r="AZ157" s="552">
        <f t="shared" si="32"/>
        <v>0</v>
      </c>
      <c r="BA157" s="552">
        <f t="shared" si="32"/>
        <v>6920.6604688319076</v>
      </c>
      <c r="BB157" s="552">
        <f t="shared" si="32"/>
        <v>0</v>
      </c>
      <c r="BC157" s="552">
        <f t="shared" si="32"/>
        <v>0</v>
      </c>
      <c r="BD157" s="552">
        <f t="shared" si="32"/>
        <v>0</v>
      </c>
      <c r="BE157" s="552">
        <f t="shared" si="32"/>
        <v>-100.996033132913</v>
      </c>
      <c r="BF157" s="552">
        <f t="shared" si="32"/>
        <v>0</v>
      </c>
      <c r="BG157" s="552">
        <f t="shared" si="32"/>
        <v>0</v>
      </c>
      <c r="BH157" s="552">
        <f t="shared" si="32"/>
        <v>0</v>
      </c>
      <c r="BI157" s="552">
        <f t="shared" si="32"/>
        <v>-114.90819071386795</v>
      </c>
      <c r="BJ157" s="552">
        <f t="shared" si="32"/>
        <v>0</v>
      </c>
      <c r="BK157" s="552">
        <f t="shared" si="32"/>
        <v>0</v>
      </c>
      <c r="BL157" s="552">
        <f t="shared" si="32"/>
        <v>0</v>
      </c>
      <c r="BM157" s="552">
        <f t="shared" si="32"/>
        <v>-126.9749743820139</v>
      </c>
      <c r="BN157" s="552">
        <f t="shared" si="32"/>
        <v>0</v>
      </c>
      <c r="BO157" s="552">
        <f t="shared" si="32"/>
        <v>0</v>
      </c>
      <c r="BP157" s="552">
        <f t="shared" si="32"/>
        <v>0</v>
      </c>
      <c r="BQ157" s="552">
        <f t="shared" si="32"/>
        <v>-8116.7155875866829</v>
      </c>
      <c r="BR157" s="552">
        <f t="shared" si="32"/>
        <v>0</v>
      </c>
      <c r="BS157" s="552">
        <f t="shared" si="32"/>
        <v>0</v>
      </c>
      <c r="BT157" s="552">
        <f t="shared" si="32"/>
        <v>0</v>
      </c>
      <c r="BU157" s="552">
        <f t="shared" si="32"/>
        <v>8415.3634655545375</v>
      </c>
      <c r="BV157" s="552">
        <f t="shared" si="32"/>
        <v>0</v>
      </c>
      <c r="BW157" s="552">
        <f t="shared" si="32"/>
        <v>0</v>
      </c>
      <c r="BX157" s="552">
        <f t="shared" si="32"/>
        <v>0</v>
      </c>
      <c r="BY157" s="552">
        <f t="shared" si="32"/>
        <v>332.93088684499162</v>
      </c>
      <c r="BZ157" s="552">
        <f t="shared" si="32"/>
        <v>0</v>
      </c>
      <c r="CA157" s="552">
        <f t="shared" si="32"/>
        <v>0</v>
      </c>
      <c r="CB157" s="552">
        <f t="shared" si="32"/>
        <v>0</v>
      </c>
      <c r="CC157" s="552">
        <f t="shared" si="32"/>
        <v>378.08996465637574</v>
      </c>
      <c r="CD157" s="552">
        <f t="shared" si="32"/>
        <v>0</v>
      </c>
      <c r="CE157" s="552">
        <f t="shared" si="32"/>
        <v>0</v>
      </c>
      <c r="CF157" s="552">
        <f t="shared" si="32"/>
        <v>0</v>
      </c>
      <c r="CG157" s="552">
        <f t="shared" si="32"/>
        <v>-39.121430305904141</v>
      </c>
      <c r="CH157" s="552">
        <f t="shared" si="32"/>
        <v>0</v>
      </c>
      <c r="CI157" s="552">
        <f t="shared" si="32"/>
        <v>0</v>
      </c>
      <c r="CJ157" s="552">
        <f t="shared" si="32"/>
        <v>0</v>
      </c>
      <c r="CK157" s="552">
        <f t="shared" si="32"/>
        <v>-9530.0518476285761</v>
      </c>
      <c r="CL157" s="552">
        <f t="shared" si="32"/>
        <v>0</v>
      </c>
      <c r="CM157" s="552">
        <f t="shared" si="32"/>
        <v>0</v>
      </c>
      <c r="CN157" s="552">
        <f t="shared" si="32"/>
        <v>0</v>
      </c>
      <c r="CO157" s="552">
        <f t="shared" si="32"/>
        <v>9427.6495855629419</v>
      </c>
      <c r="CP157" s="552">
        <f t="shared" si="32"/>
        <v>0</v>
      </c>
      <c r="CQ157" s="552">
        <f t="shared" si="32"/>
        <v>0</v>
      </c>
      <c r="CR157" s="552">
        <f t="shared" si="32"/>
        <v>0</v>
      </c>
      <c r="CS157" s="552">
        <f t="shared" si="32"/>
        <v>-61.028228726203452</v>
      </c>
      <c r="CT157" s="552">
        <f t="shared" si="32"/>
        <v>0</v>
      </c>
      <c r="CU157" s="552">
        <f t="shared" si="32"/>
        <v>0</v>
      </c>
      <c r="CV157" s="552">
        <f t="shared" si="32"/>
        <v>0</v>
      </c>
      <c r="CW157" s="552">
        <f t="shared" si="32"/>
        <v>-66.98799459701695</v>
      </c>
      <c r="CX157" s="552">
        <f t="shared" si="32"/>
        <v>0</v>
      </c>
      <c r="CY157" s="552">
        <f t="shared" si="32"/>
        <v>0</v>
      </c>
      <c r="CZ157" s="552">
        <f t="shared" si="32"/>
        <v>0</v>
      </c>
      <c r="DA157" s="552">
        <f t="shared" si="32"/>
        <v>9575.228520301549</v>
      </c>
      <c r="DB157" s="552">
        <f t="shared" si="32"/>
        <v>0</v>
      </c>
      <c r="DC157" s="552">
        <f t="shared" si="32"/>
        <v>0</v>
      </c>
      <c r="DD157" s="552">
        <f t="shared" si="32"/>
        <v>0</v>
      </c>
      <c r="DE157" s="552">
        <f t="shared" si="32"/>
        <v>-10077.491107785923</v>
      </c>
      <c r="DF157" s="552">
        <f t="shared" si="32"/>
        <v>0</v>
      </c>
      <c r="DG157" s="552">
        <f t="shared" si="32"/>
        <v>0</v>
      </c>
      <c r="DH157" s="552">
        <f t="shared" si="32"/>
        <v>0</v>
      </c>
      <c r="DI157" s="552">
        <f t="shared" si="32"/>
        <v>10077.491107785923</v>
      </c>
      <c r="DJ157" s="552">
        <f t="shared" si="32"/>
        <v>0</v>
      </c>
      <c r="DK157" s="552">
        <f t="shared" si="32"/>
        <v>0</v>
      </c>
      <c r="DL157" s="552">
        <f t="shared" si="32"/>
        <v>0</v>
      </c>
      <c r="DM157" s="552">
        <f t="shared" si="32"/>
        <v>0</v>
      </c>
      <c r="DN157" s="552">
        <f t="shared" si="32"/>
        <v>0</v>
      </c>
      <c r="DO157" s="552">
        <f t="shared" si="32"/>
        <v>0</v>
      </c>
      <c r="DP157" s="552">
        <f t="shared" si="32"/>
        <v>0</v>
      </c>
      <c r="DQ157" s="552">
        <f t="shared" si="32"/>
        <v>0</v>
      </c>
      <c r="DR157" s="552">
        <f t="shared" si="32"/>
        <v>0</v>
      </c>
      <c r="DS157" s="552">
        <f t="shared" si="32"/>
        <v>0</v>
      </c>
      <c r="DT157" s="552">
        <f t="shared" si="32"/>
        <v>0</v>
      </c>
      <c r="DU157" s="552">
        <f t="shared" si="32"/>
        <v>0</v>
      </c>
      <c r="DV157" s="552">
        <f t="shared" si="32"/>
        <v>0</v>
      </c>
      <c r="DW157" s="552">
        <f t="shared" si="32"/>
        <v>0</v>
      </c>
      <c r="DX157" s="552">
        <f t="shared" si="32"/>
        <v>0</v>
      </c>
      <c r="DY157" s="552">
        <f t="shared" si="32"/>
        <v>0</v>
      </c>
      <c r="DZ157" s="552">
        <f t="shared" si="32"/>
        <v>0</v>
      </c>
      <c r="EA157" s="552">
        <f t="shared" si="32"/>
        <v>0</v>
      </c>
      <c r="EB157" s="552">
        <f t="shared" si="32"/>
        <v>0</v>
      </c>
      <c r="EC157" s="552">
        <f t="shared" si="32"/>
        <v>0</v>
      </c>
      <c r="ED157" s="552">
        <f t="shared" si="32"/>
        <v>0</v>
      </c>
      <c r="EE157" s="552">
        <f t="shared" si="32"/>
        <v>0</v>
      </c>
      <c r="EF157" s="552">
        <f t="shared" si="32"/>
        <v>0</v>
      </c>
      <c r="EG157" s="552">
        <f t="shared" si="32"/>
        <v>0</v>
      </c>
    </row>
    <row r="159" spans="5:137" ht="12.75">
      <c r="E159" s="538" t="str">
        <f>Time!E$108</f>
        <v>End of financial year flag</v>
      </c>
      <c r="G159" s="539" t="str">
        <f>Time!G$108</f>
        <v>flag</v>
      </c>
      <c r="H159" s="539">
        <f>Time!H$108</f>
        <v>28</v>
      </c>
      <c r="J159" s="539">
        <f>Time!J$108</f>
        <v>0</v>
      </c>
      <c r="K159" s="539">
        <f>Time!K$108</f>
        <v>0</v>
      </c>
      <c r="L159" s="539">
        <f>Time!L$108</f>
        <v>0</v>
      </c>
      <c r="M159" s="539">
        <f>Time!M$108</f>
        <v>0</v>
      </c>
      <c r="N159" s="539">
        <f>Time!N$108</f>
        <v>0</v>
      </c>
      <c r="O159" s="539">
        <f>Time!O$108</f>
        <v>0</v>
      </c>
      <c r="P159" s="539">
        <f>Time!P$108</f>
        <v>0</v>
      </c>
      <c r="Q159" s="539">
        <f>Time!Q$108</f>
        <v>0</v>
      </c>
      <c r="R159" s="539">
        <f>Time!R$108</f>
        <v>0</v>
      </c>
      <c r="S159" s="539">
        <f>Time!S$108</f>
        <v>0</v>
      </c>
      <c r="T159" s="539">
        <f>Time!T$108</f>
        <v>0</v>
      </c>
      <c r="U159" s="539">
        <f>Time!U$108</f>
        <v>1</v>
      </c>
      <c r="V159" s="539">
        <f>Time!V$108</f>
        <v>0</v>
      </c>
      <c r="W159" s="539">
        <f>Time!W$108</f>
        <v>0</v>
      </c>
      <c r="X159" s="539">
        <f>Time!X$108</f>
        <v>0</v>
      </c>
      <c r="Y159" s="539">
        <f>Time!Y$108</f>
        <v>0</v>
      </c>
      <c r="Z159" s="539">
        <f>Time!Z$108</f>
        <v>0</v>
      </c>
      <c r="AA159" s="539">
        <f>Time!AA$108</f>
        <v>0</v>
      </c>
      <c r="AB159" s="539">
        <f>Time!AB$108</f>
        <v>0</v>
      </c>
      <c r="AC159" s="539">
        <f>Time!AC$108</f>
        <v>0</v>
      </c>
      <c r="AD159" s="539">
        <f>Time!AD$108</f>
        <v>0</v>
      </c>
      <c r="AE159" s="539">
        <f>Time!AE$108</f>
        <v>0</v>
      </c>
      <c r="AF159" s="539">
        <f>Time!AF$108</f>
        <v>0</v>
      </c>
      <c r="AG159" s="539">
        <f>Time!AG$108</f>
        <v>1</v>
      </c>
      <c r="AH159" s="539">
        <f>Time!AH$108</f>
        <v>0</v>
      </c>
      <c r="AI159" s="539">
        <f>Time!AI$108</f>
        <v>0</v>
      </c>
      <c r="AJ159" s="539">
        <f>Time!AJ$108</f>
        <v>0</v>
      </c>
      <c r="AK159" s="539">
        <f>Time!AK$108</f>
        <v>1</v>
      </c>
      <c r="AL159" s="539">
        <f>Time!AL$108</f>
        <v>0</v>
      </c>
      <c r="AM159" s="539">
        <f>Time!AM$108</f>
        <v>0</v>
      </c>
      <c r="AN159" s="539">
        <f>Time!AN$108</f>
        <v>0</v>
      </c>
      <c r="AO159" s="539">
        <f>Time!AO$108</f>
        <v>1</v>
      </c>
      <c r="AP159" s="539">
        <f>Time!AP$108</f>
        <v>0</v>
      </c>
      <c r="AQ159" s="539">
        <f>Time!AQ$108</f>
        <v>0</v>
      </c>
      <c r="AR159" s="539">
        <f>Time!AR$108</f>
        <v>0</v>
      </c>
      <c r="AS159" s="539">
        <f>Time!AS$108</f>
        <v>1</v>
      </c>
      <c r="AT159" s="539">
        <f>Time!AT$108</f>
        <v>0</v>
      </c>
      <c r="AU159" s="539">
        <f>Time!AU$108</f>
        <v>0</v>
      </c>
      <c r="AV159" s="539">
        <f>Time!AV$108</f>
        <v>0</v>
      </c>
      <c r="AW159" s="539">
        <f>Time!AW$108</f>
        <v>1</v>
      </c>
      <c r="AX159" s="539">
        <f>Time!AX$108</f>
        <v>0</v>
      </c>
      <c r="AY159" s="539">
        <f>Time!AY$108</f>
        <v>0</v>
      </c>
      <c r="AZ159" s="539">
        <f>Time!AZ$108</f>
        <v>0</v>
      </c>
      <c r="BA159" s="539">
        <f>Time!BA$108</f>
        <v>1</v>
      </c>
      <c r="BB159" s="539">
        <f>Time!BB$108</f>
        <v>0</v>
      </c>
      <c r="BC159" s="539">
        <f>Time!BC$108</f>
        <v>0</v>
      </c>
      <c r="BD159" s="539">
        <f>Time!BD$108</f>
        <v>0</v>
      </c>
      <c r="BE159" s="539">
        <f>Time!BE$108</f>
        <v>1</v>
      </c>
      <c r="BF159" s="539">
        <f>Time!BF$108</f>
        <v>0</v>
      </c>
      <c r="BG159" s="539">
        <f>Time!BG$108</f>
        <v>0</v>
      </c>
      <c r="BH159" s="539">
        <f>Time!BH$108</f>
        <v>0</v>
      </c>
      <c r="BI159" s="539">
        <f>Time!BI$108</f>
        <v>1</v>
      </c>
      <c r="BJ159" s="539">
        <f>Time!BJ$108</f>
        <v>0</v>
      </c>
      <c r="BK159" s="539">
        <f>Time!BK$108</f>
        <v>0</v>
      </c>
      <c r="BL159" s="539">
        <f>Time!BL$108</f>
        <v>0</v>
      </c>
      <c r="BM159" s="539">
        <f>Time!BM$108</f>
        <v>1</v>
      </c>
      <c r="BN159" s="539">
        <f>Time!BN$108</f>
        <v>0</v>
      </c>
      <c r="BO159" s="539">
        <f>Time!BO$108</f>
        <v>0</v>
      </c>
      <c r="BP159" s="539">
        <f>Time!BP$108</f>
        <v>0</v>
      </c>
      <c r="BQ159" s="539">
        <f>Time!BQ$108</f>
        <v>1</v>
      </c>
      <c r="BR159" s="539">
        <f>Time!BR$108</f>
        <v>0</v>
      </c>
      <c r="BS159" s="539">
        <f>Time!BS$108</f>
        <v>0</v>
      </c>
      <c r="BT159" s="539">
        <f>Time!BT$108</f>
        <v>0</v>
      </c>
      <c r="BU159" s="539">
        <f>Time!BU$108</f>
        <v>1</v>
      </c>
      <c r="BV159" s="539">
        <f>Time!BV$108</f>
        <v>0</v>
      </c>
      <c r="BW159" s="539">
        <f>Time!BW$108</f>
        <v>0</v>
      </c>
      <c r="BX159" s="539">
        <f>Time!BX$108</f>
        <v>0</v>
      </c>
      <c r="BY159" s="539">
        <f>Time!BY$108</f>
        <v>1</v>
      </c>
      <c r="BZ159" s="539">
        <f>Time!BZ$108</f>
        <v>0</v>
      </c>
      <c r="CA159" s="539">
        <f>Time!CA$108</f>
        <v>0</v>
      </c>
      <c r="CB159" s="539">
        <f>Time!CB$108</f>
        <v>0</v>
      </c>
      <c r="CC159" s="539">
        <f>Time!CC$108</f>
        <v>1</v>
      </c>
      <c r="CD159" s="539">
        <f>Time!CD$108</f>
        <v>0</v>
      </c>
      <c r="CE159" s="539">
        <f>Time!CE$108</f>
        <v>0</v>
      </c>
      <c r="CF159" s="539">
        <f>Time!CF$108</f>
        <v>0</v>
      </c>
      <c r="CG159" s="539">
        <f>Time!CG$108</f>
        <v>1</v>
      </c>
      <c r="CH159" s="539">
        <f>Time!CH$108</f>
        <v>0</v>
      </c>
      <c r="CI159" s="539">
        <f>Time!CI$108</f>
        <v>0</v>
      </c>
      <c r="CJ159" s="539">
        <f>Time!CJ$108</f>
        <v>0</v>
      </c>
      <c r="CK159" s="539">
        <f>Time!CK$108</f>
        <v>1</v>
      </c>
      <c r="CL159" s="539">
        <f>Time!CL$108</f>
        <v>0</v>
      </c>
      <c r="CM159" s="539">
        <f>Time!CM$108</f>
        <v>0</v>
      </c>
      <c r="CN159" s="539">
        <f>Time!CN$108</f>
        <v>0</v>
      </c>
      <c r="CO159" s="539">
        <f>Time!CO$108</f>
        <v>1</v>
      </c>
      <c r="CP159" s="539">
        <f>Time!CP$108</f>
        <v>0</v>
      </c>
      <c r="CQ159" s="539">
        <f>Time!CQ$108</f>
        <v>0</v>
      </c>
      <c r="CR159" s="539">
        <f>Time!CR$108</f>
        <v>0</v>
      </c>
      <c r="CS159" s="539">
        <f>Time!CS$108</f>
        <v>1</v>
      </c>
      <c r="CT159" s="539">
        <f>Time!CT$108</f>
        <v>0</v>
      </c>
      <c r="CU159" s="539">
        <f>Time!CU$108</f>
        <v>0</v>
      </c>
      <c r="CV159" s="539">
        <f>Time!CV$108</f>
        <v>0</v>
      </c>
      <c r="CW159" s="539">
        <f>Time!CW$108</f>
        <v>1</v>
      </c>
      <c r="CX159" s="539">
        <f>Time!CX$108</f>
        <v>0</v>
      </c>
      <c r="CY159" s="539">
        <f>Time!CY$108</f>
        <v>0</v>
      </c>
      <c r="CZ159" s="539">
        <f>Time!CZ$108</f>
        <v>0</v>
      </c>
      <c r="DA159" s="539">
        <f>Time!DA$108</f>
        <v>1</v>
      </c>
      <c r="DB159" s="539">
        <f>Time!DB$108</f>
        <v>0</v>
      </c>
      <c r="DC159" s="539">
        <f>Time!DC$108</f>
        <v>0</v>
      </c>
      <c r="DD159" s="539">
        <f>Time!DD$108</f>
        <v>0</v>
      </c>
      <c r="DE159" s="539">
        <f>Time!DE$108</f>
        <v>1</v>
      </c>
      <c r="DF159" s="539">
        <f>Time!DF$108</f>
        <v>0</v>
      </c>
      <c r="DG159" s="539">
        <f>Time!DG$108</f>
        <v>0</v>
      </c>
      <c r="DH159" s="539">
        <f>Time!DH$108</f>
        <v>0</v>
      </c>
      <c r="DI159" s="539">
        <f>Time!DI$108</f>
        <v>1</v>
      </c>
      <c r="DJ159" s="539">
        <f>Time!DJ$108</f>
        <v>0</v>
      </c>
      <c r="DK159" s="539">
        <f>Time!DK$108</f>
        <v>0</v>
      </c>
      <c r="DL159" s="539">
        <f>Time!DL$108</f>
        <v>0</v>
      </c>
      <c r="DM159" s="539">
        <f>Time!DM$108</f>
        <v>1</v>
      </c>
      <c r="DN159" s="539">
        <f>Time!DN$108</f>
        <v>0</v>
      </c>
      <c r="DO159" s="539">
        <f>Time!DO$108</f>
        <v>0</v>
      </c>
      <c r="DP159" s="539">
        <f>Time!DP$108</f>
        <v>0</v>
      </c>
      <c r="DQ159" s="539">
        <f>Time!DQ$108</f>
        <v>1</v>
      </c>
      <c r="DR159" s="539">
        <f>Time!DR$108</f>
        <v>0</v>
      </c>
      <c r="DS159" s="539">
        <f>Time!DS$108</f>
        <v>0</v>
      </c>
      <c r="DT159" s="539">
        <f>Time!DT$108</f>
        <v>0</v>
      </c>
      <c r="DU159" s="539">
        <f>Time!DU$108</f>
        <v>1</v>
      </c>
      <c r="DV159" s="539">
        <f>Time!DV$108</f>
        <v>0</v>
      </c>
      <c r="DW159" s="539">
        <f>Time!DW$108</f>
        <v>0</v>
      </c>
      <c r="DX159" s="539">
        <f>Time!DX$108</f>
        <v>0</v>
      </c>
      <c r="DY159" s="539">
        <f>Time!DY$108</f>
        <v>1</v>
      </c>
      <c r="DZ159" s="539">
        <f>Time!DZ$108</f>
        <v>0</v>
      </c>
      <c r="EA159" s="539">
        <f>Time!EA$108</f>
        <v>0</v>
      </c>
      <c r="EB159" s="539">
        <f>Time!EB$108</f>
        <v>0</v>
      </c>
      <c r="EC159" s="539">
        <f>Time!EC$108</f>
        <v>1</v>
      </c>
      <c r="ED159" s="539">
        <f>Time!ED$108</f>
        <v>0</v>
      </c>
      <c r="EE159" s="539">
        <f>Time!EE$108</f>
        <v>0</v>
      </c>
      <c r="EF159" s="539">
        <f>Time!EF$108</f>
        <v>0</v>
      </c>
      <c r="EG159" s="539">
        <f>Time!EG$108</f>
        <v>1</v>
      </c>
    </row>
    <row r="160" spans="5:137" ht="12.75">
      <c r="E160" s="538" t="str">
        <f>Time!E$117</f>
        <v>Financial year</v>
      </c>
      <c r="G160" s="539" t="str">
        <f>Time!G$117</f>
        <v>year #</v>
      </c>
      <c r="H160" s="539">
        <f>Time!H$117</f>
        <v>260976</v>
      </c>
      <c r="J160" s="539">
        <f>Time!J$117</f>
        <v>2027</v>
      </c>
      <c r="K160" s="539">
        <f>Time!K$117</f>
        <v>2027</v>
      </c>
      <c r="L160" s="539">
        <f>Time!L$117</f>
        <v>2027</v>
      </c>
      <c r="M160" s="539">
        <f>Time!M$117</f>
        <v>2027</v>
      </c>
      <c r="N160" s="539">
        <f>Time!N$117</f>
        <v>2027</v>
      </c>
      <c r="O160" s="539">
        <f>Time!O$117</f>
        <v>2027</v>
      </c>
      <c r="P160" s="539">
        <f>Time!P$117</f>
        <v>2027</v>
      </c>
      <c r="Q160" s="539">
        <f>Time!Q$117</f>
        <v>2027</v>
      </c>
      <c r="R160" s="539">
        <f>Time!R$117</f>
        <v>2027</v>
      </c>
      <c r="S160" s="539">
        <f>Time!S$117</f>
        <v>2027</v>
      </c>
      <c r="T160" s="539">
        <f>Time!T$117</f>
        <v>2027</v>
      </c>
      <c r="U160" s="539">
        <f>Time!U$117</f>
        <v>2027</v>
      </c>
      <c r="V160" s="539">
        <f>Time!V$117</f>
        <v>2028</v>
      </c>
      <c r="W160" s="539">
        <f>Time!W$117</f>
        <v>2028</v>
      </c>
      <c r="X160" s="539">
        <f>Time!X$117</f>
        <v>2028</v>
      </c>
      <c r="Y160" s="539">
        <f>Time!Y$117</f>
        <v>2028</v>
      </c>
      <c r="Z160" s="539">
        <f>Time!Z$117</f>
        <v>2028</v>
      </c>
      <c r="AA160" s="539">
        <f>Time!AA$117</f>
        <v>2028</v>
      </c>
      <c r="AB160" s="539">
        <f>Time!AB$117</f>
        <v>2028</v>
      </c>
      <c r="AC160" s="539">
        <f>Time!AC$117</f>
        <v>2028</v>
      </c>
      <c r="AD160" s="539">
        <f>Time!AD$117</f>
        <v>2028</v>
      </c>
      <c r="AE160" s="539">
        <f>Time!AE$117</f>
        <v>2028</v>
      </c>
      <c r="AF160" s="539">
        <f>Time!AF$117</f>
        <v>2028</v>
      </c>
      <c r="AG160" s="539">
        <f>Time!AG$117</f>
        <v>2028</v>
      </c>
      <c r="AH160" s="539">
        <f>Time!AH$117</f>
        <v>2029</v>
      </c>
      <c r="AI160" s="539">
        <f>Time!AI$117</f>
        <v>2029</v>
      </c>
      <c r="AJ160" s="539">
        <f>Time!AJ$117</f>
        <v>2029</v>
      </c>
      <c r="AK160" s="539">
        <f>Time!AK$117</f>
        <v>2029</v>
      </c>
      <c r="AL160" s="539">
        <f>Time!AL$117</f>
        <v>2030</v>
      </c>
      <c r="AM160" s="539">
        <f>Time!AM$117</f>
        <v>2030</v>
      </c>
      <c r="AN160" s="539">
        <f>Time!AN$117</f>
        <v>2030</v>
      </c>
      <c r="AO160" s="539">
        <f>Time!AO$117</f>
        <v>2030</v>
      </c>
      <c r="AP160" s="539">
        <f>Time!AP$117</f>
        <v>2031</v>
      </c>
      <c r="AQ160" s="539">
        <f>Time!AQ$117</f>
        <v>2031</v>
      </c>
      <c r="AR160" s="539">
        <f>Time!AR$117</f>
        <v>2031</v>
      </c>
      <c r="AS160" s="539">
        <f>Time!AS$117</f>
        <v>2031</v>
      </c>
      <c r="AT160" s="539">
        <f>Time!AT$117</f>
        <v>2032</v>
      </c>
      <c r="AU160" s="539">
        <f>Time!AU$117</f>
        <v>2032</v>
      </c>
      <c r="AV160" s="539">
        <f>Time!AV$117</f>
        <v>2032</v>
      </c>
      <c r="AW160" s="539">
        <f>Time!AW$117</f>
        <v>2032</v>
      </c>
      <c r="AX160" s="539">
        <f>Time!AX$117</f>
        <v>2033</v>
      </c>
      <c r="AY160" s="539">
        <f>Time!AY$117</f>
        <v>2033</v>
      </c>
      <c r="AZ160" s="539">
        <f>Time!AZ$117</f>
        <v>2033</v>
      </c>
      <c r="BA160" s="539">
        <f>Time!BA$117</f>
        <v>2033</v>
      </c>
      <c r="BB160" s="539">
        <f>Time!BB$117</f>
        <v>2034</v>
      </c>
      <c r="BC160" s="539">
        <f>Time!BC$117</f>
        <v>2034</v>
      </c>
      <c r="BD160" s="539">
        <f>Time!BD$117</f>
        <v>2034</v>
      </c>
      <c r="BE160" s="539">
        <f>Time!BE$117</f>
        <v>2034</v>
      </c>
      <c r="BF160" s="539">
        <f>Time!BF$117</f>
        <v>2035</v>
      </c>
      <c r="BG160" s="539">
        <f>Time!BG$117</f>
        <v>2035</v>
      </c>
      <c r="BH160" s="539">
        <f>Time!BH$117</f>
        <v>2035</v>
      </c>
      <c r="BI160" s="539">
        <f>Time!BI$117</f>
        <v>2035</v>
      </c>
      <c r="BJ160" s="539">
        <f>Time!BJ$117</f>
        <v>2036</v>
      </c>
      <c r="BK160" s="539">
        <f>Time!BK$117</f>
        <v>2036</v>
      </c>
      <c r="BL160" s="539">
        <f>Time!BL$117</f>
        <v>2036</v>
      </c>
      <c r="BM160" s="539">
        <f>Time!BM$117</f>
        <v>2036</v>
      </c>
      <c r="BN160" s="539">
        <f>Time!BN$117</f>
        <v>2037</v>
      </c>
      <c r="BO160" s="539">
        <f>Time!BO$117</f>
        <v>2037</v>
      </c>
      <c r="BP160" s="539">
        <f>Time!BP$117</f>
        <v>2037</v>
      </c>
      <c r="BQ160" s="539">
        <f>Time!BQ$117</f>
        <v>2037</v>
      </c>
      <c r="BR160" s="539">
        <f>Time!BR$117</f>
        <v>2038</v>
      </c>
      <c r="BS160" s="539">
        <f>Time!BS$117</f>
        <v>2038</v>
      </c>
      <c r="BT160" s="539">
        <f>Time!BT$117</f>
        <v>2038</v>
      </c>
      <c r="BU160" s="539">
        <f>Time!BU$117</f>
        <v>2038</v>
      </c>
      <c r="BV160" s="539">
        <f>Time!BV$117</f>
        <v>2039</v>
      </c>
      <c r="BW160" s="539">
        <f>Time!BW$117</f>
        <v>2039</v>
      </c>
      <c r="BX160" s="539">
        <f>Time!BX$117</f>
        <v>2039</v>
      </c>
      <c r="BY160" s="539">
        <f>Time!BY$117</f>
        <v>2039</v>
      </c>
      <c r="BZ160" s="539">
        <f>Time!BZ$117</f>
        <v>2040</v>
      </c>
      <c r="CA160" s="539">
        <f>Time!CA$117</f>
        <v>2040</v>
      </c>
      <c r="CB160" s="539">
        <f>Time!CB$117</f>
        <v>2040</v>
      </c>
      <c r="CC160" s="539">
        <f>Time!CC$117</f>
        <v>2040</v>
      </c>
      <c r="CD160" s="539">
        <f>Time!CD$117</f>
        <v>2041</v>
      </c>
      <c r="CE160" s="539">
        <f>Time!CE$117</f>
        <v>2041</v>
      </c>
      <c r="CF160" s="539">
        <f>Time!CF$117</f>
        <v>2041</v>
      </c>
      <c r="CG160" s="539">
        <f>Time!CG$117</f>
        <v>2041</v>
      </c>
      <c r="CH160" s="539">
        <f>Time!CH$117</f>
        <v>2042</v>
      </c>
      <c r="CI160" s="539">
        <f>Time!CI$117</f>
        <v>2042</v>
      </c>
      <c r="CJ160" s="539">
        <f>Time!CJ$117</f>
        <v>2042</v>
      </c>
      <c r="CK160" s="539">
        <f>Time!CK$117</f>
        <v>2042</v>
      </c>
      <c r="CL160" s="539">
        <f>Time!CL$117</f>
        <v>2043</v>
      </c>
      <c r="CM160" s="539">
        <f>Time!CM$117</f>
        <v>2043</v>
      </c>
      <c r="CN160" s="539">
        <f>Time!CN$117</f>
        <v>2043</v>
      </c>
      <c r="CO160" s="539">
        <f>Time!CO$117</f>
        <v>2043</v>
      </c>
      <c r="CP160" s="539">
        <f>Time!CP$117</f>
        <v>2044</v>
      </c>
      <c r="CQ160" s="539">
        <f>Time!CQ$117</f>
        <v>2044</v>
      </c>
      <c r="CR160" s="539">
        <f>Time!CR$117</f>
        <v>2044</v>
      </c>
      <c r="CS160" s="539">
        <f>Time!CS$117</f>
        <v>2044</v>
      </c>
      <c r="CT160" s="539">
        <f>Time!CT$117</f>
        <v>2045</v>
      </c>
      <c r="CU160" s="539">
        <f>Time!CU$117</f>
        <v>2045</v>
      </c>
      <c r="CV160" s="539">
        <f>Time!CV$117</f>
        <v>2045</v>
      </c>
      <c r="CW160" s="539">
        <f>Time!CW$117</f>
        <v>2045</v>
      </c>
      <c r="CX160" s="539">
        <f>Time!CX$117</f>
        <v>2046</v>
      </c>
      <c r="CY160" s="539">
        <f>Time!CY$117</f>
        <v>2046</v>
      </c>
      <c r="CZ160" s="539">
        <f>Time!CZ$117</f>
        <v>2046</v>
      </c>
      <c r="DA160" s="539">
        <f>Time!DA$117</f>
        <v>2046</v>
      </c>
      <c r="DB160" s="539">
        <f>Time!DB$117</f>
        <v>2047</v>
      </c>
      <c r="DC160" s="539">
        <f>Time!DC$117</f>
        <v>2047</v>
      </c>
      <c r="DD160" s="539">
        <f>Time!DD$117</f>
        <v>2047</v>
      </c>
      <c r="DE160" s="539">
        <f>Time!DE$117</f>
        <v>2047</v>
      </c>
      <c r="DF160" s="539">
        <f>Time!DF$117</f>
        <v>2048</v>
      </c>
      <c r="DG160" s="539">
        <f>Time!DG$117</f>
        <v>2048</v>
      </c>
      <c r="DH160" s="539">
        <f>Time!DH$117</f>
        <v>2048</v>
      </c>
      <c r="DI160" s="539">
        <f>Time!DI$117</f>
        <v>2048</v>
      </c>
      <c r="DJ160" s="539">
        <f>Time!DJ$117</f>
        <v>2049</v>
      </c>
      <c r="DK160" s="539">
        <f>Time!DK$117</f>
        <v>2049</v>
      </c>
      <c r="DL160" s="539">
        <f>Time!DL$117</f>
        <v>2049</v>
      </c>
      <c r="DM160" s="539">
        <f>Time!DM$117</f>
        <v>2049</v>
      </c>
      <c r="DN160" s="539">
        <f>Time!DN$117</f>
        <v>2050</v>
      </c>
      <c r="DO160" s="539">
        <f>Time!DO$117</f>
        <v>2050</v>
      </c>
      <c r="DP160" s="539">
        <f>Time!DP$117</f>
        <v>2050</v>
      </c>
      <c r="DQ160" s="539">
        <f>Time!DQ$117</f>
        <v>2050</v>
      </c>
      <c r="DR160" s="539">
        <f>Time!DR$117</f>
        <v>2051</v>
      </c>
      <c r="DS160" s="539">
        <f>Time!DS$117</f>
        <v>2051</v>
      </c>
      <c r="DT160" s="539">
        <f>Time!DT$117</f>
        <v>2051</v>
      </c>
      <c r="DU160" s="539">
        <f>Time!DU$117</f>
        <v>2051</v>
      </c>
      <c r="DV160" s="539">
        <f>Time!DV$117</f>
        <v>2052</v>
      </c>
      <c r="DW160" s="539">
        <f>Time!DW$117</f>
        <v>2052</v>
      </c>
      <c r="DX160" s="539">
        <f>Time!DX$117</f>
        <v>2052</v>
      </c>
      <c r="DY160" s="539">
        <f>Time!DY$117</f>
        <v>2052</v>
      </c>
      <c r="DZ160" s="539">
        <f>Time!DZ$117</f>
        <v>2053</v>
      </c>
      <c r="EA160" s="539">
        <f>Time!EA$117</f>
        <v>2053</v>
      </c>
      <c r="EB160" s="539">
        <f>Time!EB$117</f>
        <v>2053</v>
      </c>
      <c r="EC160" s="539">
        <f>Time!EC$117</f>
        <v>2053</v>
      </c>
      <c r="ED160" s="539">
        <f>Time!ED$117</f>
        <v>2054</v>
      </c>
      <c r="EE160" s="539">
        <f>Time!EE$117</f>
        <v>2054</v>
      </c>
      <c r="EF160" s="539">
        <f>Time!EF$117</f>
        <v>2054</v>
      </c>
      <c r="EG160" s="539">
        <f>Time!EG$117</f>
        <v>2054</v>
      </c>
    </row>
    <row r="161" spans="5:137" ht="12.75">
      <c r="E161" s="551" t="s">
        <v>550</v>
      </c>
      <c r="F161" s="552"/>
      <c r="G161" s="552" t="s">
        <v>30</v>
      </c>
      <c r="H161" s="552">
        <f>SUM(J161:EG161)</f>
        <v>-159361.6912178506</v>
      </c>
      <c r="I161" s="552"/>
      <c r="J161" s="552">
        <f t="shared" si="33" ref="J161:EG161">IF(J159=1,SUMIFS($I72:I72,$I160:I160,J160)+J72,0)</f>
        <v>0</v>
      </c>
      <c r="K161" s="552">
        <f t="shared" si="33"/>
        <v>0</v>
      </c>
      <c r="L161" s="552">
        <f t="shared" si="33"/>
        <v>0</v>
      </c>
      <c r="M161" s="552">
        <f t="shared" si="33"/>
        <v>0</v>
      </c>
      <c r="N161" s="552">
        <f t="shared" si="33"/>
        <v>0</v>
      </c>
      <c r="O161" s="552">
        <f t="shared" si="33"/>
        <v>0</v>
      </c>
      <c r="P161" s="552">
        <f t="shared" si="33"/>
        <v>0</v>
      </c>
      <c r="Q161" s="552">
        <f t="shared" si="33"/>
        <v>0</v>
      </c>
      <c r="R161" s="552">
        <f t="shared" si="33"/>
        <v>0</v>
      </c>
      <c r="S161" s="552">
        <f t="shared" si="33"/>
        <v>0</v>
      </c>
      <c r="T161" s="552">
        <f t="shared" si="33"/>
        <v>0</v>
      </c>
      <c r="U161" s="552">
        <f t="shared" si="33"/>
        <v>87191.220924383757</v>
      </c>
      <c r="V161" s="552">
        <f t="shared" si="33"/>
        <v>0</v>
      </c>
      <c r="W161" s="552">
        <f t="shared" si="33"/>
        <v>0</v>
      </c>
      <c r="X161" s="552">
        <f t="shared" si="33"/>
        <v>0</v>
      </c>
      <c r="Y161" s="552">
        <f t="shared" si="33"/>
        <v>0</v>
      </c>
      <c r="Z161" s="552">
        <f t="shared" si="33"/>
        <v>0</v>
      </c>
      <c r="AA161" s="552">
        <f t="shared" si="33"/>
        <v>0</v>
      </c>
      <c r="AB161" s="552">
        <f t="shared" si="33"/>
        <v>0</v>
      </c>
      <c r="AC161" s="552">
        <f t="shared" si="33"/>
        <v>0</v>
      </c>
      <c r="AD161" s="552">
        <f t="shared" si="33"/>
        <v>0</v>
      </c>
      <c r="AE161" s="552">
        <f t="shared" si="33"/>
        <v>0</v>
      </c>
      <c r="AF161" s="552">
        <f t="shared" si="33"/>
        <v>0</v>
      </c>
      <c r="AG161" s="552">
        <f t="shared" si="33"/>
        <v>146594.13399249813</v>
      </c>
      <c r="AH161" s="552">
        <f t="shared" si="33"/>
        <v>0</v>
      </c>
      <c r="AI161" s="552">
        <f t="shared" si="33"/>
        <v>0</v>
      </c>
      <c r="AJ161" s="552">
        <f t="shared" si="33"/>
        <v>0</v>
      </c>
      <c r="AK161" s="552">
        <f t="shared" si="33"/>
        <v>-25424.323142238005</v>
      </c>
      <c r="AL161" s="552">
        <f t="shared" si="33"/>
        <v>0</v>
      </c>
      <c r="AM161" s="552">
        <f t="shared" si="33"/>
        <v>0</v>
      </c>
      <c r="AN161" s="552">
        <f t="shared" si="33"/>
        <v>0</v>
      </c>
      <c r="AO161" s="552">
        <f t="shared" si="33"/>
        <v>-23013.574379411373</v>
      </c>
      <c r="AP161" s="552">
        <f t="shared" si="33"/>
        <v>0</v>
      </c>
      <c r="AQ161" s="552">
        <f t="shared" si="33"/>
        <v>0</v>
      </c>
      <c r="AR161" s="552">
        <f t="shared" si="33"/>
        <v>0</v>
      </c>
      <c r="AS161" s="552">
        <f t="shared" si="33"/>
        <v>-23155.542290010944</v>
      </c>
      <c r="AT161" s="552">
        <f t="shared" si="33"/>
        <v>0</v>
      </c>
      <c r="AU161" s="552">
        <f t="shared" si="33"/>
        <v>0</v>
      </c>
      <c r="AV161" s="552">
        <f t="shared" si="33"/>
        <v>0</v>
      </c>
      <c r="AW161" s="552">
        <f t="shared" si="33"/>
        <v>-23305.375363766449</v>
      </c>
      <c r="AX161" s="552">
        <f t="shared" si="33"/>
        <v>0</v>
      </c>
      <c r="AY161" s="552">
        <f t="shared" si="33"/>
        <v>0</v>
      </c>
      <c r="AZ161" s="552">
        <f t="shared" si="33"/>
        <v>0</v>
      </c>
      <c r="BA161" s="552">
        <f t="shared" si="33"/>
        <v>-23453.442880747731</v>
      </c>
      <c r="BB161" s="552">
        <f t="shared" si="33"/>
        <v>0</v>
      </c>
      <c r="BC161" s="552">
        <f t="shared" si="33"/>
        <v>0</v>
      </c>
      <c r="BD161" s="552">
        <f t="shared" si="33"/>
        <v>0</v>
      </c>
      <c r="BE161" s="552">
        <f t="shared" si="33"/>
        <v>-23306.681923356155</v>
      </c>
      <c r="BF161" s="552">
        <f t="shared" si="33"/>
        <v>0</v>
      </c>
      <c r="BG161" s="552">
        <f t="shared" si="33"/>
        <v>0</v>
      </c>
      <c r="BH161" s="552">
        <f t="shared" si="33"/>
        <v>0</v>
      </c>
      <c r="BI161" s="552">
        <f t="shared" si="33"/>
        <v>-23325.112431341211</v>
      </c>
      <c r="BJ161" s="552">
        <f t="shared" si="33"/>
        <v>0</v>
      </c>
      <c r="BK161" s="552">
        <f t="shared" si="33"/>
        <v>0</v>
      </c>
      <c r="BL161" s="552">
        <f t="shared" si="33"/>
        <v>0</v>
      </c>
      <c r="BM161" s="552">
        <f t="shared" si="33"/>
        <v>-23372.975610387191</v>
      </c>
      <c r="BN161" s="552">
        <f t="shared" si="33"/>
        <v>0</v>
      </c>
      <c r="BO161" s="552">
        <f t="shared" si="33"/>
        <v>0</v>
      </c>
      <c r="BP161" s="552">
        <f t="shared" si="33"/>
        <v>0</v>
      </c>
      <c r="BQ161" s="552">
        <f t="shared" si="33"/>
        <v>-23438.951022134479</v>
      </c>
      <c r="BR161" s="552">
        <f t="shared" si="33"/>
        <v>0</v>
      </c>
      <c r="BS161" s="552">
        <f t="shared" si="33"/>
        <v>0</v>
      </c>
      <c r="BT161" s="552">
        <f t="shared" si="33"/>
        <v>0</v>
      </c>
      <c r="BU161" s="552">
        <f t="shared" si="33"/>
        <v>-23741.278540040221</v>
      </c>
      <c r="BV161" s="552">
        <f t="shared" si="33"/>
        <v>0</v>
      </c>
      <c r="BW161" s="552">
        <f t="shared" si="33"/>
        <v>0</v>
      </c>
      <c r="BX161" s="552">
        <f t="shared" si="33"/>
        <v>0</v>
      </c>
      <c r="BY161" s="552">
        <f t="shared" si="33"/>
        <v>-22033.964481224328</v>
      </c>
      <c r="BZ161" s="552">
        <f t="shared" si="33"/>
        <v>0</v>
      </c>
      <c r="CA161" s="552">
        <f t="shared" si="33"/>
        <v>0</v>
      </c>
      <c r="CB161" s="552">
        <f t="shared" si="33"/>
        <v>0</v>
      </c>
      <c r="CC161" s="552">
        <f t="shared" si="33"/>
        <v>-21341.913250884114</v>
      </c>
      <c r="CD161" s="552">
        <f t="shared" si="33"/>
        <v>0</v>
      </c>
      <c r="CE161" s="552">
        <f t="shared" si="33"/>
        <v>0</v>
      </c>
      <c r="CF161" s="552">
        <f t="shared" si="33"/>
        <v>0</v>
      </c>
      <c r="CG161" s="552">
        <f t="shared" si="33"/>
        <v>-18596.362210919815</v>
      </c>
      <c r="CH161" s="552">
        <f t="shared" si="33"/>
        <v>0</v>
      </c>
      <c r="CI161" s="552">
        <f t="shared" si="33"/>
        <v>0</v>
      </c>
      <c r="CJ161" s="552">
        <f t="shared" si="33"/>
        <v>0</v>
      </c>
      <c r="CK161" s="552">
        <f t="shared" si="33"/>
        <v>-18677.901695172419</v>
      </c>
      <c r="CL161" s="552">
        <f t="shared" si="33"/>
        <v>0</v>
      </c>
      <c r="CM161" s="552">
        <f t="shared" si="33"/>
        <v>0</v>
      </c>
      <c r="CN161" s="552">
        <f t="shared" si="33"/>
        <v>0</v>
      </c>
      <c r="CO161" s="552">
        <f t="shared" si="33"/>
        <v>-19924.067124287856</v>
      </c>
      <c r="CP161" s="552">
        <f t="shared" si="33"/>
        <v>0</v>
      </c>
      <c r="CQ161" s="552">
        <f t="shared" si="33"/>
        <v>0</v>
      </c>
      <c r="CR161" s="552">
        <f t="shared" si="33"/>
        <v>0</v>
      </c>
      <c r="CS161" s="552">
        <f t="shared" si="33"/>
        <v>-18884.735332247517</v>
      </c>
      <c r="CT161" s="552">
        <f t="shared" si="33"/>
        <v>0</v>
      </c>
      <c r="CU161" s="552">
        <f t="shared" si="33"/>
        <v>0</v>
      </c>
      <c r="CV161" s="552">
        <f t="shared" si="33"/>
        <v>0</v>
      </c>
      <c r="CW161" s="552">
        <f t="shared" si="33"/>
        <v>-19008.558248532372</v>
      </c>
      <c r="CX161" s="552">
        <f t="shared" si="33"/>
        <v>0</v>
      </c>
      <c r="CY161" s="552">
        <f t="shared" si="33"/>
        <v>0</v>
      </c>
      <c r="CZ161" s="552">
        <f t="shared" si="33"/>
        <v>0</v>
      </c>
      <c r="DA161" s="552">
        <f t="shared" si="33"/>
        <v>-19142.286208030262</v>
      </c>
      <c r="DB161" s="552">
        <f t="shared" si="33"/>
        <v>0</v>
      </c>
      <c r="DC161" s="552">
        <f t="shared" si="33"/>
        <v>0</v>
      </c>
      <c r="DD161" s="552">
        <f t="shared" si="33"/>
        <v>0</v>
      </c>
      <c r="DE161" s="552">
        <f t="shared" si="33"/>
        <v>1.6166268324013798E-12</v>
      </c>
      <c r="DF161" s="552">
        <f t="shared" si="33"/>
        <v>0</v>
      </c>
      <c r="DG161" s="552">
        <f t="shared" si="33"/>
        <v>0</v>
      </c>
      <c r="DH161" s="552">
        <f t="shared" si="33"/>
        <v>0</v>
      </c>
      <c r="DI161" s="552">
        <f t="shared" si="33"/>
        <v>1.6210559470106988E-12</v>
      </c>
      <c r="DJ161" s="552">
        <f t="shared" si="33"/>
        <v>0</v>
      </c>
      <c r="DK161" s="552">
        <f t="shared" si="33"/>
        <v>0</v>
      </c>
      <c r="DL161" s="552">
        <f t="shared" si="33"/>
        <v>0</v>
      </c>
      <c r="DM161" s="552">
        <f t="shared" si="33"/>
        <v>1.6166268324013798E-12</v>
      </c>
      <c r="DN161" s="552">
        <f t="shared" si="33"/>
        <v>0</v>
      </c>
      <c r="DO161" s="552">
        <f t="shared" si="33"/>
        <v>0</v>
      </c>
      <c r="DP161" s="552">
        <f t="shared" si="33"/>
        <v>0</v>
      </c>
      <c r="DQ161" s="552">
        <f t="shared" si="33"/>
        <v>1.6166268324013798E-12</v>
      </c>
      <c r="DR161" s="552">
        <f t="shared" si="33"/>
        <v>0</v>
      </c>
      <c r="DS161" s="552">
        <f t="shared" si="33"/>
        <v>0</v>
      </c>
      <c r="DT161" s="552">
        <f t="shared" si="33"/>
        <v>0</v>
      </c>
      <c r="DU161" s="552">
        <f t="shared" si="33"/>
        <v>1.6166268324013798E-12</v>
      </c>
      <c r="DV161" s="552">
        <f t="shared" si="33"/>
        <v>0</v>
      </c>
      <c r="DW161" s="552">
        <f t="shared" si="33"/>
        <v>0</v>
      </c>
      <c r="DX161" s="552">
        <f t="shared" si="33"/>
        <v>0</v>
      </c>
      <c r="DY161" s="552">
        <f t="shared" si="33"/>
        <v>1.6210559470106988E-12</v>
      </c>
      <c r="DZ161" s="552">
        <f t="shared" si="33"/>
        <v>0</v>
      </c>
      <c r="EA161" s="552">
        <f t="shared" si="33"/>
        <v>0</v>
      </c>
      <c r="EB161" s="552">
        <f t="shared" si="33"/>
        <v>0</v>
      </c>
      <c r="EC161" s="552">
        <f t="shared" si="33"/>
        <v>1.6166268324013798E-12</v>
      </c>
      <c r="ED161" s="552">
        <f t="shared" si="33"/>
        <v>0</v>
      </c>
      <c r="EE161" s="552">
        <f t="shared" si="33"/>
        <v>0</v>
      </c>
      <c r="EF161" s="552">
        <f t="shared" si="33"/>
        <v>0</v>
      </c>
      <c r="EG161" s="552">
        <f t="shared" si="33"/>
        <v>0</v>
      </c>
    </row>
    <row r="163" spans="5:137" ht="12.75">
      <c r="E163" s="538" t="str">
        <f>Time!E$108</f>
        <v>End of financial year flag</v>
      </c>
      <c r="G163" s="539" t="str">
        <f>Time!G$108</f>
        <v>flag</v>
      </c>
      <c r="H163" s="539">
        <f>Time!H$108</f>
        <v>28</v>
      </c>
      <c r="J163" s="539">
        <f>Time!J$108</f>
        <v>0</v>
      </c>
      <c r="K163" s="539">
        <f>Time!K$108</f>
        <v>0</v>
      </c>
      <c r="L163" s="539">
        <f>Time!L$108</f>
        <v>0</v>
      </c>
      <c r="M163" s="539">
        <f>Time!M$108</f>
        <v>0</v>
      </c>
      <c r="N163" s="539">
        <f>Time!N$108</f>
        <v>0</v>
      </c>
      <c r="O163" s="539">
        <f>Time!O$108</f>
        <v>0</v>
      </c>
      <c r="P163" s="539">
        <f>Time!P$108</f>
        <v>0</v>
      </c>
      <c r="Q163" s="539">
        <f>Time!Q$108</f>
        <v>0</v>
      </c>
      <c r="R163" s="539">
        <f>Time!R$108</f>
        <v>0</v>
      </c>
      <c r="S163" s="539">
        <f>Time!S$108</f>
        <v>0</v>
      </c>
      <c r="T163" s="539">
        <f>Time!T$108</f>
        <v>0</v>
      </c>
      <c r="U163" s="539">
        <f>Time!U$108</f>
        <v>1</v>
      </c>
      <c r="V163" s="539">
        <f>Time!V$108</f>
        <v>0</v>
      </c>
      <c r="W163" s="539">
        <f>Time!W$108</f>
        <v>0</v>
      </c>
      <c r="X163" s="539">
        <f>Time!X$108</f>
        <v>0</v>
      </c>
      <c r="Y163" s="539">
        <f>Time!Y$108</f>
        <v>0</v>
      </c>
      <c r="Z163" s="539">
        <f>Time!Z$108</f>
        <v>0</v>
      </c>
      <c r="AA163" s="539">
        <f>Time!AA$108</f>
        <v>0</v>
      </c>
      <c r="AB163" s="539">
        <f>Time!AB$108</f>
        <v>0</v>
      </c>
      <c r="AC163" s="539">
        <f>Time!AC$108</f>
        <v>0</v>
      </c>
      <c r="AD163" s="539">
        <f>Time!AD$108</f>
        <v>0</v>
      </c>
      <c r="AE163" s="539">
        <f>Time!AE$108</f>
        <v>0</v>
      </c>
      <c r="AF163" s="539">
        <f>Time!AF$108</f>
        <v>0</v>
      </c>
      <c r="AG163" s="539">
        <f>Time!AG$108</f>
        <v>1</v>
      </c>
      <c r="AH163" s="539">
        <f>Time!AH$108</f>
        <v>0</v>
      </c>
      <c r="AI163" s="539">
        <f>Time!AI$108</f>
        <v>0</v>
      </c>
      <c r="AJ163" s="539">
        <f>Time!AJ$108</f>
        <v>0</v>
      </c>
      <c r="AK163" s="539">
        <f>Time!AK$108</f>
        <v>1</v>
      </c>
      <c r="AL163" s="539">
        <f>Time!AL$108</f>
        <v>0</v>
      </c>
      <c r="AM163" s="539">
        <f>Time!AM$108</f>
        <v>0</v>
      </c>
      <c r="AN163" s="539">
        <f>Time!AN$108</f>
        <v>0</v>
      </c>
      <c r="AO163" s="539">
        <f>Time!AO$108</f>
        <v>1</v>
      </c>
      <c r="AP163" s="539">
        <f>Time!AP$108</f>
        <v>0</v>
      </c>
      <c r="AQ163" s="539">
        <f>Time!AQ$108</f>
        <v>0</v>
      </c>
      <c r="AR163" s="539">
        <f>Time!AR$108</f>
        <v>0</v>
      </c>
      <c r="AS163" s="539">
        <f>Time!AS$108</f>
        <v>1</v>
      </c>
      <c r="AT163" s="539">
        <f>Time!AT$108</f>
        <v>0</v>
      </c>
      <c r="AU163" s="539">
        <f>Time!AU$108</f>
        <v>0</v>
      </c>
      <c r="AV163" s="539">
        <f>Time!AV$108</f>
        <v>0</v>
      </c>
      <c r="AW163" s="539">
        <f>Time!AW$108</f>
        <v>1</v>
      </c>
      <c r="AX163" s="539">
        <f>Time!AX$108</f>
        <v>0</v>
      </c>
      <c r="AY163" s="539">
        <f>Time!AY$108</f>
        <v>0</v>
      </c>
      <c r="AZ163" s="539">
        <f>Time!AZ$108</f>
        <v>0</v>
      </c>
      <c r="BA163" s="539">
        <f>Time!BA$108</f>
        <v>1</v>
      </c>
      <c r="BB163" s="539">
        <f>Time!BB$108</f>
        <v>0</v>
      </c>
      <c r="BC163" s="539">
        <f>Time!BC$108</f>
        <v>0</v>
      </c>
      <c r="BD163" s="539">
        <f>Time!BD$108</f>
        <v>0</v>
      </c>
      <c r="BE163" s="539">
        <f>Time!BE$108</f>
        <v>1</v>
      </c>
      <c r="BF163" s="539">
        <f>Time!BF$108</f>
        <v>0</v>
      </c>
      <c r="BG163" s="539">
        <f>Time!BG$108</f>
        <v>0</v>
      </c>
      <c r="BH163" s="539">
        <f>Time!BH$108</f>
        <v>0</v>
      </c>
      <c r="BI163" s="539">
        <f>Time!BI$108</f>
        <v>1</v>
      </c>
      <c r="BJ163" s="539">
        <f>Time!BJ$108</f>
        <v>0</v>
      </c>
      <c r="BK163" s="539">
        <f>Time!BK$108</f>
        <v>0</v>
      </c>
      <c r="BL163" s="539">
        <f>Time!BL$108</f>
        <v>0</v>
      </c>
      <c r="BM163" s="539">
        <f>Time!BM$108</f>
        <v>1</v>
      </c>
      <c r="BN163" s="539">
        <f>Time!BN$108</f>
        <v>0</v>
      </c>
      <c r="BO163" s="539">
        <f>Time!BO$108</f>
        <v>0</v>
      </c>
      <c r="BP163" s="539">
        <f>Time!BP$108</f>
        <v>0</v>
      </c>
      <c r="BQ163" s="539">
        <f>Time!BQ$108</f>
        <v>1</v>
      </c>
      <c r="BR163" s="539">
        <f>Time!BR$108</f>
        <v>0</v>
      </c>
      <c r="BS163" s="539">
        <f>Time!BS$108</f>
        <v>0</v>
      </c>
      <c r="BT163" s="539">
        <f>Time!BT$108</f>
        <v>0</v>
      </c>
      <c r="BU163" s="539">
        <f>Time!BU$108</f>
        <v>1</v>
      </c>
      <c r="BV163" s="539">
        <f>Time!BV$108</f>
        <v>0</v>
      </c>
      <c r="BW163" s="539">
        <f>Time!BW$108</f>
        <v>0</v>
      </c>
      <c r="BX163" s="539">
        <f>Time!BX$108</f>
        <v>0</v>
      </c>
      <c r="BY163" s="539">
        <f>Time!BY$108</f>
        <v>1</v>
      </c>
      <c r="BZ163" s="539">
        <f>Time!BZ$108</f>
        <v>0</v>
      </c>
      <c r="CA163" s="539">
        <f>Time!CA$108</f>
        <v>0</v>
      </c>
      <c r="CB163" s="539">
        <f>Time!CB$108</f>
        <v>0</v>
      </c>
      <c r="CC163" s="539">
        <f>Time!CC$108</f>
        <v>1</v>
      </c>
      <c r="CD163" s="539">
        <f>Time!CD$108</f>
        <v>0</v>
      </c>
      <c r="CE163" s="539">
        <f>Time!CE$108</f>
        <v>0</v>
      </c>
      <c r="CF163" s="539">
        <f>Time!CF$108</f>
        <v>0</v>
      </c>
      <c r="CG163" s="539">
        <f>Time!CG$108</f>
        <v>1</v>
      </c>
      <c r="CH163" s="539">
        <f>Time!CH$108</f>
        <v>0</v>
      </c>
      <c r="CI163" s="539">
        <f>Time!CI$108</f>
        <v>0</v>
      </c>
      <c r="CJ163" s="539">
        <f>Time!CJ$108</f>
        <v>0</v>
      </c>
      <c r="CK163" s="539">
        <f>Time!CK$108</f>
        <v>1</v>
      </c>
      <c r="CL163" s="539">
        <f>Time!CL$108</f>
        <v>0</v>
      </c>
      <c r="CM163" s="539">
        <f>Time!CM$108</f>
        <v>0</v>
      </c>
      <c r="CN163" s="539">
        <f>Time!CN$108</f>
        <v>0</v>
      </c>
      <c r="CO163" s="539">
        <f>Time!CO$108</f>
        <v>1</v>
      </c>
      <c r="CP163" s="539">
        <f>Time!CP$108</f>
        <v>0</v>
      </c>
      <c r="CQ163" s="539">
        <f>Time!CQ$108</f>
        <v>0</v>
      </c>
      <c r="CR163" s="539">
        <f>Time!CR$108</f>
        <v>0</v>
      </c>
      <c r="CS163" s="539">
        <f>Time!CS$108</f>
        <v>1</v>
      </c>
      <c r="CT163" s="539">
        <f>Time!CT$108</f>
        <v>0</v>
      </c>
      <c r="CU163" s="539">
        <f>Time!CU$108</f>
        <v>0</v>
      </c>
      <c r="CV163" s="539">
        <f>Time!CV$108</f>
        <v>0</v>
      </c>
      <c r="CW163" s="539">
        <f>Time!CW$108</f>
        <v>1</v>
      </c>
      <c r="CX163" s="539">
        <f>Time!CX$108</f>
        <v>0</v>
      </c>
      <c r="CY163" s="539">
        <f>Time!CY$108</f>
        <v>0</v>
      </c>
      <c r="CZ163" s="539">
        <f>Time!CZ$108</f>
        <v>0</v>
      </c>
      <c r="DA163" s="539">
        <f>Time!DA$108</f>
        <v>1</v>
      </c>
      <c r="DB163" s="539">
        <f>Time!DB$108</f>
        <v>0</v>
      </c>
      <c r="DC163" s="539">
        <f>Time!DC$108</f>
        <v>0</v>
      </c>
      <c r="DD163" s="539">
        <f>Time!DD$108</f>
        <v>0</v>
      </c>
      <c r="DE163" s="539">
        <f>Time!DE$108</f>
        <v>1</v>
      </c>
      <c r="DF163" s="539">
        <f>Time!DF$108</f>
        <v>0</v>
      </c>
      <c r="DG163" s="539">
        <f>Time!DG$108</f>
        <v>0</v>
      </c>
      <c r="DH163" s="539">
        <f>Time!DH$108</f>
        <v>0</v>
      </c>
      <c r="DI163" s="539">
        <f>Time!DI$108</f>
        <v>1</v>
      </c>
      <c r="DJ163" s="539">
        <f>Time!DJ$108</f>
        <v>0</v>
      </c>
      <c r="DK163" s="539">
        <f>Time!DK$108</f>
        <v>0</v>
      </c>
      <c r="DL163" s="539">
        <f>Time!DL$108</f>
        <v>0</v>
      </c>
      <c r="DM163" s="539">
        <f>Time!DM$108</f>
        <v>1</v>
      </c>
      <c r="DN163" s="539">
        <f>Time!DN$108</f>
        <v>0</v>
      </c>
      <c r="DO163" s="539">
        <f>Time!DO$108</f>
        <v>0</v>
      </c>
      <c r="DP163" s="539">
        <f>Time!DP$108</f>
        <v>0</v>
      </c>
      <c r="DQ163" s="539">
        <f>Time!DQ$108</f>
        <v>1</v>
      </c>
      <c r="DR163" s="539">
        <f>Time!DR$108</f>
        <v>0</v>
      </c>
      <c r="DS163" s="539">
        <f>Time!DS$108</f>
        <v>0</v>
      </c>
      <c r="DT163" s="539">
        <f>Time!DT$108</f>
        <v>0</v>
      </c>
      <c r="DU163" s="539">
        <f>Time!DU$108</f>
        <v>1</v>
      </c>
      <c r="DV163" s="539">
        <f>Time!DV$108</f>
        <v>0</v>
      </c>
      <c r="DW163" s="539">
        <f>Time!DW$108</f>
        <v>0</v>
      </c>
      <c r="DX163" s="539">
        <f>Time!DX$108</f>
        <v>0</v>
      </c>
      <c r="DY163" s="539">
        <f>Time!DY$108</f>
        <v>1</v>
      </c>
      <c r="DZ163" s="539">
        <f>Time!DZ$108</f>
        <v>0</v>
      </c>
      <c r="EA163" s="539">
        <f>Time!EA$108</f>
        <v>0</v>
      </c>
      <c r="EB163" s="539">
        <f>Time!EB$108</f>
        <v>0</v>
      </c>
      <c r="EC163" s="539">
        <f>Time!EC$108</f>
        <v>1</v>
      </c>
      <c r="ED163" s="539">
        <f>Time!ED$108</f>
        <v>0</v>
      </c>
      <c r="EE163" s="539">
        <f>Time!EE$108</f>
        <v>0</v>
      </c>
      <c r="EF163" s="539">
        <f>Time!EF$108</f>
        <v>0</v>
      </c>
      <c r="EG163" s="539">
        <f>Time!EG$108</f>
        <v>1</v>
      </c>
    </row>
    <row r="164" spans="5:137" ht="12.75">
      <c r="E164" s="538" t="str">
        <f>Time!E$117</f>
        <v>Financial year</v>
      </c>
      <c r="G164" s="539" t="str">
        <f>Time!G$117</f>
        <v>year #</v>
      </c>
      <c r="H164" s="539">
        <f>Time!H$117</f>
        <v>260976</v>
      </c>
      <c r="J164" s="539">
        <f>Time!J$117</f>
        <v>2027</v>
      </c>
      <c r="K164" s="539">
        <f>Time!K$117</f>
        <v>2027</v>
      </c>
      <c r="L164" s="539">
        <f>Time!L$117</f>
        <v>2027</v>
      </c>
      <c r="M164" s="539">
        <f>Time!M$117</f>
        <v>2027</v>
      </c>
      <c r="N164" s="539">
        <f>Time!N$117</f>
        <v>2027</v>
      </c>
      <c r="O164" s="539">
        <f>Time!O$117</f>
        <v>2027</v>
      </c>
      <c r="P164" s="539">
        <f>Time!P$117</f>
        <v>2027</v>
      </c>
      <c r="Q164" s="539">
        <f>Time!Q$117</f>
        <v>2027</v>
      </c>
      <c r="R164" s="539">
        <f>Time!R$117</f>
        <v>2027</v>
      </c>
      <c r="S164" s="539">
        <f>Time!S$117</f>
        <v>2027</v>
      </c>
      <c r="T164" s="539">
        <f>Time!T$117</f>
        <v>2027</v>
      </c>
      <c r="U164" s="539">
        <f>Time!U$117</f>
        <v>2027</v>
      </c>
      <c r="V164" s="539">
        <f>Time!V$117</f>
        <v>2028</v>
      </c>
      <c r="W164" s="539">
        <f>Time!W$117</f>
        <v>2028</v>
      </c>
      <c r="X164" s="539">
        <f>Time!X$117</f>
        <v>2028</v>
      </c>
      <c r="Y164" s="539">
        <f>Time!Y$117</f>
        <v>2028</v>
      </c>
      <c r="Z164" s="539">
        <f>Time!Z$117</f>
        <v>2028</v>
      </c>
      <c r="AA164" s="539">
        <f>Time!AA$117</f>
        <v>2028</v>
      </c>
      <c r="AB164" s="539">
        <f>Time!AB$117</f>
        <v>2028</v>
      </c>
      <c r="AC164" s="539">
        <f>Time!AC$117</f>
        <v>2028</v>
      </c>
      <c r="AD164" s="539">
        <f>Time!AD$117</f>
        <v>2028</v>
      </c>
      <c r="AE164" s="539">
        <f>Time!AE$117</f>
        <v>2028</v>
      </c>
      <c r="AF164" s="539">
        <f>Time!AF$117</f>
        <v>2028</v>
      </c>
      <c r="AG164" s="539">
        <f>Time!AG$117</f>
        <v>2028</v>
      </c>
      <c r="AH164" s="539">
        <f>Time!AH$117</f>
        <v>2029</v>
      </c>
      <c r="AI164" s="539">
        <f>Time!AI$117</f>
        <v>2029</v>
      </c>
      <c r="AJ164" s="539">
        <f>Time!AJ$117</f>
        <v>2029</v>
      </c>
      <c r="AK164" s="539">
        <f>Time!AK$117</f>
        <v>2029</v>
      </c>
      <c r="AL164" s="539">
        <f>Time!AL$117</f>
        <v>2030</v>
      </c>
      <c r="AM164" s="539">
        <f>Time!AM$117</f>
        <v>2030</v>
      </c>
      <c r="AN164" s="539">
        <f>Time!AN$117</f>
        <v>2030</v>
      </c>
      <c r="AO164" s="539">
        <f>Time!AO$117</f>
        <v>2030</v>
      </c>
      <c r="AP164" s="539">
        <f>Time!AP$117</f>
        <v>2031</v>
      </c>
      <c r="AQ164" s="539">
        <f>Time!AQ$117</f>
        <v>2031</v>
      </c>
      <c r="AR164" s="539">
        <f>Time!AR$117</f>
        <v>2031</v>
      </c>
      <c r="AS164" s="539">
        <f>Time!AS$117</f>
        <v>2031</v>
      </c>
      <c r="AT164" s="539">
        <f>Time!AT$117</f>
        <v>2032</v>
      </c>
      <c r="AU164" s="539">
        <f>Time!AU$117</f>
        <v>2032</v>
      </c>
      <c r="AV164" s="539">
        <f>Time!AV$117</f>
        <v>2032</v>
      </c>
      <c r="AW164" s="539">
        <f>Time!AW$117</f>
        <v>2032</v>
      </c>
      <c r="AX164" s="539">
        <f>Time!AX$117</f>
        <v>2033</v>
      </c>
      <c r="AY164" s="539">
        <f>Time!AY$117</f>
        <v>2033</v>
      </c>
      <c r="AZ164" s="539">
        <f>Time!AZ$117</f>
        <v>2033</v>
      </c>
      <c r="BA164" s="539">
        <f>Time!BA$117</f>
        <v>2033</v>
      </c>
      <c r="BB164" s="539">
        <f>Time!BB$117</f>
        <v>2034</v>
      </c>
      <c r="BC164" s="539">
        <f>Time!BC$117</f>
        <v>2034</v>
      </c>
      <c r="BD164" s="539">
        <f>Time!BD$117</f>
        <v>2034</v>
      </c>
      <c r="BE164" s="539">
        <f>Time!BE$117</f>
        <v>2034</v>
      </c>
      <c r="BF164" s="539">
        <f>Time!BF$117</f>
        <v>2035</v>
      </c>
      <c r="BG164" s="539">
        <f>Time!BG$117</f>
        <v>2035</v>
      </c>
      <c r="BH164" s="539">
        <f>Time!BH$117</f>
        <v>2035</v>
      </c>
      <c r="BI164" s="539">
        <f>Time!BI$117</f>
        <v>2035</v>
      </c>
      <c r="BJ164" s="539">
        <f>Time!BJ$117</f>
        <v>2036</v>
      </c>
      <c r="BK164" s="539">
        <f>Time!BK$117</f>
        <v>2036</v>
      </c>
      <c r="BL164" s="539">
        <f>Time!BL$117</f>
        <v>2036</v>
      </c>
      <c r="BM164" s="539">
        <f>Time!BM$117</f>
        <v>2036</v>
      </c>
      <c r="BN164" s="539">
        <f>Time!BN$117</f>
        <v>2037</v>
      </c>
      <c r="BO164" s="539">
        <f>Time!BO$117</f>
        <v>2037</v>
      </c>
      <c r="BP164" s="539">
        <f>Time!BP$117</f>
        <v>2037</v>
      </c>
      <c r="BQ164" s="539">
        <f>Time!BQ$117</f>
        <v>2037</v>
      </c>
      <c r="BR164" s="539">
        <f>Time!BR$117</f>
        <v>2038</v>
      </c>
      <c r="BS164" s="539">
        <f>Time!BS$117</f>
        <v>2038</v>
      </c>
      <c r="BT164" s="539">
        <f>Time!BT$117</f>
        <v>2038</v>
      </c>
      <c r="BU164" s="539">
        <f>Time!BU$117</f>
        <v>2038</v>
      </c>
      <c r="BV164" s="539">
        <f>Time!BV$117</f>
        <v>2039</v>
      </c>
      <c r="BW164" s="539">
        <f>Time!BW$117</f>
        <v>2039</v>
      </c>
      <c r="BX164" s="539">
        <f>Time!BX$117</f>
        <v>2039</v>
      </c>
      <c r="BY164" s="539">
        <f>Time!BY$117</f>
        <v>2039</v>
      </c>
      <c r="BZ164" s="539">
        <f>Time!BZ$117</f>
        <v>2040</v>
      </c>
      <c r="CA164" s="539">
        <f>Time!CA$117</f>
        <v>2040</v>
      </c>
      <c r="CB164" s="539">
        <f>Time!CB$117</f>
        <v>2040</v>
      </c>
      <c r="CC164" s="539">
        <f>Time!CC$117</f>
        <v>2040</v>
      </c>
      <c r="CD164" s="539">
        <f>Time!CD$117</f>
        <v>2041</v>
      </c>
      <c r="CE164" s="539">
        <f>Time!CE$117</f>
        <v>2041</v>
      </c>
      <c r="CF164" s="539">
        <f>Time!CF$117</f>
        <v>2041</v>
      </c>
      <c r="CG164" s="539">
        <f>Time!CG$117</f>
        <v>2041</v>
      </c>
      <c r="CH164" s="539">
        <f>Time!CH$117</f>
        <v>2042</v>
      </c>
      <c r="CI164" s="539">
        <f>Time!CI$117</f>
        <v>2042</v>
      </c>
      <c r="CJ164" s="539">
        <f>Time!CJ$117</f>
        <v>2042</v>
      </c>
      <c r="CK164" s="539">
        <f>Time!CK$117</f>
        <v>2042</v>
      </c>
      <c r="CL164" s="539">
        <f>Time!CL$117</f>
        <v>2043</v>
      </c>
      <c r="CM164" s="539">
        <f>Time!CM$117</f>
        <v>2043</v>
      </c>
      <c r="CN164" s="539">
        <f>Time!CN$117</f>
        <v>2043</v>
      </c>
      <c r="CO164" s="539">
        <f>Time!CO$117</f>
        <v>2043</v>
      </c>
      <c r="CP164" s="539">
        <f>Time!CP$117</f>
        <v>2044</v>
      </c>
      <c r="CQ164" s="539">
        <f>Time!CQ$117</f>
        <v>2044</v>
      </c>
      <c r="CR164" s="539">
        <f>Time!CR$117</f>
        <v>2044</v>
      </c>
      <c r="CS164" s="539">
        <f>Time!CS$117</f>
        <v>2044</v>
      </c>
      <c r="CT164" s="539">
        <f>Time!CT$117</f>
        <v>2045</v>
      </c>
      <c r="CU164" s="539">
        <f>Time!CU$117</f>
        <v>2045</v>
      </c>
      <c r="CV164" s="539">
        <f>Time!CV$117</f>
        <v>2045</v>
      </c>
      <c r="CW164" s="539">
        <f>Time!CW$117</f>
        <v>2045</v>
      </c>
      <c r="CX164" s="539">
        <f>Time!CX$117</f>
        <v>2046</v>
      </c>
      <c r="CY164" s="539">
        <f>Time!CY$117</f>
        <v>2046</v>
      </c>
      <c r="CZ164" s="539">
        <f>Time!CZ$117</f>
        <v>2046</v>
      </c>
      <c r="DA164" s="539">
        <f>Time!DA$117</f>
        <v>2046</v>
      </c>
      <c r="DB164" s="539">
        <f>Time!DB$117</f>
        <v>2047</v>
      </c>
      <c r="DC164" s="539">
        <f>Time!DC$117</f>
        <v>2047</v>
      </c>
      <c r="DD164" s="539">
        <f>Time!DD$117</f>
        <v>2047</v>
      </c>
      <c r="DE164" s="539">
        <f>Time!DE$117</f>
        <v>2047</v>
      </c>
      <c r="DF164" s="539">
        <f>Time!DF$117</f>
        <v>2048</v>
      </c>
      <c r="DG164" s="539">
        <f>Time!DG$117</f>
        <v>2048</v>
      </c>
      <c r="DH164" s="539">
        <f>Time!DH$117</f>
        <v>2048</v>
      </c>
      <c r="DI164" s="539">
        <f>Time!DI$117</f>
        <v>2048</v>
      </c>
      <c r="DJ164" s="539">
        <f>Time!DJ$117</f>
        <v>2049</v>
      </c>
      <c r="DK164" s="539">
        <f>Time!DK$117</f>
        <v>2049</v>
      </c>
      <c r="DL164" s="539">
        <f>Time!DL$117</f>
        <v>2049</v>
      </c>
      <c r="DM164" s="539">
        <f>Time!DM$117</f>
        <v>2049</v>
      </c>
      <c r="DN164" s="539">
        <f>Time!DN$117</f>
        <v>2050</v>
      </c>
      <c r="DO164" s="539">
        <f>Time!DO$117</f>
        <v>2050</v>
      </c>
      <c r="DP164" s="539">
        <f>Time!DP$117</f>
        <v>2050</v>
      </c>
      <c r="DQ164" s="539">
        <f>Time!DQ$117</f>
        <v>2050</v>
      </c>
      <c r="DR164" s="539">
        <f>Time!DR$117</f>
        <v>2051</v>
      </c>
      <c r="DS164" s="539">
        <f>Time!DS$117</f>
        <v>2051</v>
      </c>
      <c r="DT164" s="539">
        <f>Time!DT$117</f>
        <v>2051</v>
      </c>
      <c r="DU164" s="539">
        <f>Time!DU$117</f>
        <v>2051</v>
      </c>
      <c r="DV164" s="539">
        <f>Time!DV$117</f>
        <v>2052</v>
      </c>
      <c r="DW164" s="539">
        <f>Time!DW$117</f>
        <v>2052</v>
      </c>
      <c r="DX164" s="539">
        <f>Time!DX$117</f>
        <v>2052</v>
      </c>
      <c r="DY164" s="539">
        <f>Time!DY$117</f>
        <v>2052</v>
      </c>
      <c r="DZ164" s="539">
        <f>Time!DZ$117</f>
        <v>2053</v>
      </c>
      <c r="EA164" s="539">
        <f>Time!EA$117</f>
        <v>2053</v>
      </c>
      <c r="EB164" s="539">
        <f>Time!EB$117</f>
        <v>2053</v>
      </c>
      <c r="EC164" s="539">
        <f>Time!EC$117</f>
        <v>2053</v>
      </c>
      <c r="ED164" s="539">
        <f>Time!ED$117</f>
        <v>2054</v>
      </c>
      <c r="EE164" s="539">
        <f>Time!EE$117</f>
        <v>2054</v>
      </c>
      <c r="EF164" s="539">
        <f>Time!EF$117</f>
        <v>2054</v>
      </c>
      <c r="EG164" s="539">
        <f>Time!EG$117</f>
        <v>2054</v>
      </c>
    </row>
    <row r="165" spans="5:137" ht="12.75">
      <c r="E165" s="551" t="s">
        <v>551</v>
      </c>
      <c r="F165" s="552"/>
      <c r="G165" s="552" t="s">
        <v>30</v>
      </c>
      <c r="H165" s="552">
        <f>SUM(J165:EG165)</f>
        <v>-472682.2952595001</v>
      </c>
      <c r="I165" s="552"/>
      <c r="J165" s="552">
        <f t="shared" si="34" ref="J165:EG165">IF(J163=1,SUMIFS($I79:I79,$I164:I164,J164)+J79,0)</f>
        <v>0</v>
      </c>
      <c r="K165" s="552">
        <f t="shared" si="34"/>
        <v>0</v>
      </c>
      <c r="L165" s="552">
        <f t="shared" si="34"/>
        <v>0</v>
      </c>
      <c r="M165" s="552">
        <f t="shared" si="34"/>
        <v>0</v>
      </c>
      <c r="N165" s="552">
        <f t="shared" si="34"/>
        <v>0</v>
      </c>
      <c r="O165" s="552">
        <f t="shared" si="34"/>
        <v>0</v>
      </c>
      <c r="P165" s="552">
        <f t="shared" si="34"/>
        <v>0</v>
      </c>
      <c r="Q165" s="552">
        <f t="shared" si="34"/>
        <v>0</v>
      </c>
      <c r="R165" s="552">
        <f t="shared" si="34"/>
        <v>0</v>
      </c>
      <c r="S165" s="552">
        <f t="shared" si="34"/>
        <v>0</v>
      </c>
      <c r="T165" s="552">
        <f t="shared" si="34"/>
        <v>0</v>
      </c>
      <c r="U165" s="552">
        <f t="shared" si="34"/>
        <v>69547.232200616272</v>
      </c>
      <c r="V165" s="552">
        <f t="shared" si="34"/>
        <v>0</v>
      </c>
      <c r="W165" s="552">
        <f t="shared" si="34"/>
        <v>0</v>
      </c>
      <c r="X165" s="552">
        <f t="shared" si="34"/>
        <v>0</v>
      </c>
      <c r="Y165" s="552">
        <f t="shared" si="34"/>
        <v>0</v>
      </c>
      <c r="Z165" s="552">
        <f t="shared" si="34"/>
        <v>0</v>
      </c>
      <c r="AA165" s="552">
        <f t="shared" si="34"/>
        <v>0</v>
      </c>
      <c r="AB165" s="552">
        <f t="shared" si="34"/>
        <v>0</v>
      </c>
      <c r="AC165" s="552">
        <f t="shared" si="34"/>
        <v>0</v>
      </c>
      <c r="AD165" s="552">
        <f t="shared" si="34"/>
        <v>0</v>
      </c>
      <c r="AE165" s="552">
        <f t="shared" si="34"/>
        <v>0</v>
      </c>
      <c r="AF165" s="552">
        <f t="shared" si="34"/>
        <v>0</v>
      </c>
      <c r="AG165" s="552">
        <f t="shared" si="34"/>
        <v>0</v>
      </c>
      <c r="AH165" s="552">
        <f t="shared" si="34"/>
        <v>0</v>
      </c>
      <c r="AI165" s="552">
        <f t="shared" si="34"/>
        <v>0</v>
      </c>
      <c r="AJ165" s="552">
        <f t="shared" si="34"/>
        <v>0</v>
      </c>
      <c r="AK165" s="552">
        <f t="shared" si="34"/>
        <v>-11113.877122413673</v>
      </c>
      <c r="AL165" s="552">
        <f t="shared" si="34"/>
        <v>0</v>
      </c>
      <c r="AM165" s="552">
        <f t="shared" si="34"/>
        <v>0</v>
      </c>
      <c r="AN165" s="552">
        <f t="shared" si="34"/>
        <v>0</v>
      </c>
      <c r="AO165" s="552">
        <f t="shared" si="34"/>
        <v>-13414.810028076134</v>
      </c>
      <c r="AP165" s="552">
        <f t="shared" si="34"/>
        <v>0</v>
      </c>
      <c r="AQ165" s="552">
        <f t="shared" si="34"/>
        <v>0</v>
      </c>
      <c r="AR165" s="552">
        <f t="shared" si="34"/>
        <v>0</v>
      </c>
      <c r="AS165" s="552">
        <f t="shared" si="34"/>
        <v>-13912.540545949669</v>
      </c>
      <c r="AT165" s="552">
        <f t="shared" si="34"/>
        <v>0</v>
      </c>
      <c r="AU165" s="552">
        <f t="shared" si="34"/>
        <v>0</v>
      </c>
      <c r="AV165" s="552">
        <f t="shared" si="34"/>
        <v>0</v>
      </c>
      <c r="AW165" s="552">
        <f t="shared" si="34"/>
        <v>-7450.38375718113</v>
      </c>
      <c r="AX165" s="552">
        <f t="shared" si="34"/>
        <v>0</v>
      </c>
      <c r="AY165" s="552">
        <f t="shared" si="34"/>
        <v>0</v>
      </c>
      <c r="AZ165" s="552">
        <f t="shared" si="34"/>
        <v>0</v>
      </c>
      <c r="BA165" s="552">
        <f t="shared" si="34"/>
        <v>-15057.436865524141</v>
      </c>
      <c r="BB165" s="552">
        <f t="shared" si="34"/>
        <v>0</v>
      </c>
      <c r="BC165" s="552">
        <f t="shared" si="34"/>
        <v>0</v>
      </c>
      <c r="BD165" s="552">
        <f t="shared" si="34"/>
        <v>0</v>
      </c>
      <c r="BE165" s="552">
        <f t="shared" si="34"/>
        <v>-15223.828818742708</v>
      </c>
      <c r="BF165" s="552">
        <f t="shared" si="34"/>
        <v>0</v>
      </c>
      <c r="BG165" s="552">
        <f t="shared" si="34"/>
        <v>0</v>
      </c>
      <c r="BH165" s="552">
        <f t="shared" si="34"/>
        <v>0</v>
      </c>
      <c r="BI165" s="552">
        <f t="shared" si="34"/>
        <v>-15594.604033239826</v>
      </c>
      <c r="BJ165" s="552">
        <f t="shared" si="34"/>
        <v>0</v>
      </c>
      <c r="BK165" s="552">
        <f t="shared" si="34"/>
        <v>0</v>
      </c>
      <c r="BL165" s="552">
        <f t="shared" si="34"/>
        <v>0</v>
      </c>
      <c r="BM165" s="552">
        <f t="shared" si="34"/>
        <v>-15989.772611011831</v>
      </c>
      <c r="BN165" s="552">
        <f t="shared" si="34"/>
        <v>0</v>
      </c>
      <c r="BO165" s="552">
        <f t="shared" si="34"/>
        <v>0</v>
      </c>
      <c r="BP165" s="552">
        <f t="shared" si="34"/>
        <v>0</v>
      </c>
      <c r="BQ165" s="552">
        <f t="shared" si="34"/>
        <v>-8434.3063687537506</v>
      </c>
      <c r="BR165" s="552">
        <f t="shared" si="34"/>
        <v>0</v>
      </c>
      <c r="BS165" s="552">
        <f t="shared" si="34"/>
        <v>0</v>
      </c>
      <c r="BT165" s="552">
        <f t="shared" si="34"/>
        <v>0</v>
      </c>
      <c r="BU165" s="552">
        <f t="shared" si="34"/>
        <v>-17744.590164090245</v>
      </c>
      <c r="BV165" s="552">
        <f t="shared" si="34"/>
        <v>0</v>
      </c>
      <c r="BW165" s="552">
        <f t="shared" si="34"/>
        <v>0</v>
      </c>
      <c r="BX165" s="552">
        <f t="shared" si="34"/>
        <v>0</v>
      </c>
      <c r="BY165" s="552">
        <f t="shared" si="34"/>
        <v>-16302.185299671275</v>
      </c>
      <c r="BZ165" s="552">
        <f t="shared" si="34"/>
        <v>0</v>
      </c>
      <c r="CA165" s="552">
        <f t="shared" si="34"/>
        <v>0</v>
      </c>
      <c r="CB165" s="552">
        <f t="shared" si="34"/>
        <v>0</v>
      </c>
      <c r="CC165" s="552">
        <f t="shared" si="34"/>
        <v>-16065.239126923127</v>
      </c>
      <c r="CD165" s="552">
        <f t="shared" si="34"/>
        <v>0</v>
      </c>
      <c r="CE165" s="552">
        <f t="shared" si="34"/>
        <v>0</v>
      </c>
      <c r="CF165" s="552">
        <f t="shared" si="34"/>
        <v>0</v>
      </c>
      <c r="CG165" s="552">
        <f t="shared" si="34"/>
        <v>-17387.361182303659</v>
      </c>
      <c r="CH165" s="552">
        <f t="shared" si="34"/>
        <v>0</v>
      </c>
      <c r="CI165" s="552">
        <f t="shared" si="34"/>
        <v>0</v>
      </c>
      <c r="CJ165" s="552">
        <f t="shared" si="34"/>
        <v>0</v>
      </c>
      <c r="CK165" s="552">
        <f t="shared" si="34"/>
        <v>-7972.840677223654</v>
      </c>
      <c r="CL165" s="552">
        <f t="shared" si="34"/>
        <v>0</v>
      </c>
      <c r="CM165" s="552">
        <f t="shared" si="34"/>
        <v>0</v>
      </c>
      <c r="CN165" s="552">
        <f t="shared" si="34"/>
        <v>0</v>
      </c>
      <c r="CO165" s="552">
        <f t="shared" si="34"/>
        <v>-19191.278724360331</v>
      </c>
      <c r="CP165" s="552">
        <f t="shared" si="34"/>
        <v>0</v>
      </c>
      <c r="CQ165" s="552">
        <f t="shared" si="34"/>
        <v>0</v>
      </c>
      <c r="CR165" s="552">
        <f t="shared" si="34"/>
        <v>0</v>
      </c>
      <c r="CS165" s="552">
        <f t="shared" si="34"/>
        <v>-17635.686224270416</v>
      </c>
      <c r="CT165" s="552">
        <f t="shared" si="34"/>
        <v>0</v>
      </c>
      <c r="CU165" s="552">
        <f t="shared" si="34"/>
        <v>0</v>
      </c>
      <c r="CV165" s="552">
        <f t="shared" si="34"/>
        <v>0</v>
      </c>
      <c r="CW165" s="552">
        <f t="shared" si="34"/>
        <v>-17745.759791865952</v>
      </c>
      <c r="CX165" s="552">
        <f t="shared" si="34"/>
        <v>0</v>
      </c>
      <c r="CY165" s="552">
        <f t="shared" si="34"/>
        <v>0</v>
      </c>
      <c r="CZ165" s="552">
        <f t="shared" si="34"/>
        <v>0</v>
      </c>
      <c r="DA165" s="552">
        <f t="shared" si="34"/>
        <v>-27513.291566522828</v>
      </c>
      <c r="DB165" s="552">
        <f t="shared" si="34"/>
        <v>0</v>
      </c>
      <c r="DC165" s="552">
        <f t="shared" si="34"/>
        <v>0</v>
      </c>
      <c r="DD165" s="552">
        <f t="shared" si="34"/>
        <v>0</v>
      </c>
      <c r="DE165" s="552">
        <f t="shared" si="34"/>
        <v>-27149.664541504768</v>
      </c>
      <c r="DF165" s="552">
        <f t="shared" si="34"/>
        <v>0</v>
      </c>
      <c r="DG165" s="552">
        <f t="shared" si="34"/>
        <v>0</v>
      </c>
      <c r="DH165" s="552">
        <f t="shared" si="34"/>
        <v>0</v>
      </c>
      <c r="DI165" s="552">
        <f t="shared" si="34"/>
        <v>-40303.075121520531</v>
      </c>
      <c r="DJ165" s="552">
        <f t="shared" si="34"/>
        <v>0</v>
      </c>
      <c r="DK165" s="552">
        <f t="shared" si="34"/>
        <v>0</v>
      </c>
      <c r="DL165" s="552">
        <f t="shared" si="34"/>
        <v>0</v>
      </c>
      <c r="DM165" s="552">
        <f t="shared" si="34"/>
        <v>-38362.69025985981</v>
      </c>
      <c r="DN165" s="552">
        <f t="shared" si="34"/>
        <v>0</v>
      </c>
      <c r="DO165" s="552">
        <f t="shared" si="34"/>
        <v>0</v>
      </c>
      <c r="DP165" s="552">
        <f t="shared" si="34"/>
        <v>0</v>
      </c>
      <c r="DQ165" s="552">
        <f t="shared" si="34"/>
        <v>-38962.116428585206</v>
      </c>
      <c r="DR165" s="552">
        <f t="shared" si="34"/>
        <v>0</v>
      </c>
      <c r="DS165" s="552">
        <f t="shared" si="34"/>
        <v>0</v>
      </c>
      <c r="DT165" s="552">
        <f t="shared" si="34"/>
        <v>0</v>
      </c>
      <c r="DU165" s="552">
        <f t="shared" si="34"/>
        <v>-39580.334508569074</v>
      </c>
      <c r="DV165" s="552">
        <f t="shared" si="34"/>
        <v>0</v>
      </c>
      <c r="DW165" s="552">
        <f t="shared" si="34"/>
        <v>0</v>
      </c>
      <c r="DX165" s="552">
        <f t="shared" si="34"/>
        <v>0</v>
      </c>
      <c r="DY165" s="552">
        <f t="shared" si="34"/>
        <v>-38218.734901334894</v>
      </c>
      <c r="DZ165" s="552">
        <f t="shared" si="34"/>
        <v>0</v>
      </c>
      <c r="EA165" s="552">
        <f t="shared" si="34"/>
        <v>0</v>
      </c>
      <c r="EB165" s="552">
        <f t="shared" si="34"/>
        <v>0</v>
      </c>
      <c r="EC165" s="552">
        <f t="shared" si="34"/>
        <v>-43594.701118417681</v>
      </c>
      <c r="ED165" s="552">
        <f t="shared" si="34"/>
        <v>0</v>
      </c>
      <c r="EE165" s="552">
        <f t="shared" si="34"/>
        <v>0</v>
      </c>
      <c r="EF165" s="552">
        <f t="shared" si="34"/>
        <v>0</v>
      </c>
      <c r="EG165" s="552">
        <f t="shared" si="34"/>
        <v>-2308.4176722000593</v>
      </c>
    </row>
    <row r="167" spans="5:137" ht="12.75">
      <c r="E167" s="538" t="str">
        <f>Time!E$108</f>
        <v>End of financial year flag</v>
      </c>
      <c r="G167" s="539" t="str">
        <f>Time!G$108</f>
        <v>flag</v>
      </c>
      <c r="H167" s="539">
        <f>Time!H$108</f>
        <v>28</v>
      </c>
      <c r="J167" s="539">
        <f>Time!J$108</f>
        <v>0</v>
      </c>
      <c r="K167" s="539">
        <f>Time!K$108</f>
        <v>0</v>
      </c>
      <c r="L167" s="539">
        <f>Time!L$108</f>
        <v>0</v>
      </c>
      <c r="M167" s="539">
        <f>Time!M$108</f>
        <v>0</v>
      </c>
      <c r="N167" s="539">
        <f>Time!N$108</f>
        <v>0</v>
      </c>
      <c r="O167" s="539">
        <f>Time!O$108</f>
        <v>0</v>
      </c>
      <c r="P167" s="539">
        <f>Time!P$108</f>
        <v>0</v>
      </c>
      <c r="Q167" s="539">
        <f>Time!Q$108</f>
        <v>0</v>
      </c>
      <c r="R167" s="539">
        <f>Time!R$108</f>
        <v>0</v>
      </c>
      <c r="S167" s="539">
        <f>Time!S$108</f>
        <v>0</v>
      </c>
      <c r="T167" s="539">
        <f>Time!T$108</f>
        <v>0</v>
      </c>
      <c r="U167" s="539">
        <f>Time!U$108</f>
        <v>1</v>
      </c>
      <c r="V167" s="539">
        <f>Time!V$108</f>
        <v>0</v>
      </c>
      <c r="W167" s="539">
        <f>Time!W$108</f>
        <v>0</v>
      </c>
      <c r="X167" s="539">
        <f>Time!X$108</f>
        <v>0</v>
      </c>
      <c r="Y167" s="539">
        <f>Time!Y$108</f>
        <v>0</v>
      </c>
      <c r="Z167" s="539">
        <f>Time!Z$108</f>
        <v>0</v>
      </c>
      <c r="AA167" s="539">
        <f>Time!AA$108</f>
        <v>0</v>
      </c>
      <c r="AB167" s="539">
        <f>Time!AB$108</f>
        <v>0</v>
      </c>
      <c r="AC167" s="539">
        <f>Time!AC$108</f>
        <v>0</v>
      </c>
      <c r="AD167" s="539">
        <f>Time!AD$108</f>
        <v>0</v>
      </c>
      <c r="AE167" s="539">
        <f>Time!AE$108</f>
        <v>0</v>
      </c>
      <c r="AF167" s="539">
        <f>Time!AF$108</f>
        <v>0</v>
      </c>
      <c r="AG167" s="539">
        <f>Time!AG$108</f>
        <v>1</v>
      </c>
      <c r="AH167" s="539">
        <f>Time!AH$108</f>
        <v>0</v>
      </c>
      <c r="AI167" s="539">
        <f>Time!AI$108</f>
        <v>0</v>
      </c>
      <c r="AJ167" s="539">
        <f>Time!AJ$108</f>
        <v>0</v>
      </c>
      <c r="AK167" s="539">
        <f>Time!AK$108</f>
        <v>1</v>
      </c>
      <c r="AL167" s="539">
        <f>Time!AL$108</f>
        <v>0</v>
      </c>
      <c r="AM167" s="539">
        <f>Time!AM$108</f>
        <v>0</v>
      </c>
      <c r="AN167" s="539">
        <f>Time!AN$108</f>
        <v>0</v>
      </c>
      <c r="AO167" s="539">
        <f>Time!AO$108</f>
        <v>1</v>
      </c>
      <c r="AP167" s="539">
        <f>Time!AP$108</f>
        <v>0</v>
      </c>
      <c r="AQ167" s="539">
        <f>Time!AQ$108</f>
        <v>0</v>
      </c>
      <c r="AR167" s="539">
        <f>Time!AR$108</f>
        <v>0</v>
      </c>
      <c r="AS167" s="539">
        <f>Time!AS$108</f>
        <v>1</v>
      </c>
      <c r="AT167" s="539">
        <f>Time!AT$108</f>
        <v>0</v>
      </c>
      <c r="AU167" s="539">
        <f>Time!AU$108</f>
        <v>0</v>
      </c>
      <c r="AV167" s="539">
        <f>Time!AV$108</f>
        <v>0</v>
      </c>
      <c r="AW167" s="539">
        <f>Time!AW$108</f>
        <v>1</v>
      </c>
      <c r="AX167" s="539">
        <f>Time!AX$108</f>
        <v>0</v>
      </c>
      <c r="AY167" s="539">
        <f>Time!AY$108</f>
        <v>0</v>
      </c>
      <c r="AZ167" s="539">
        <f>Time!AZ$108</f>
        <v>0</v>
      </c>
      <c r="BA167" s="539">
        <f>Time!BA$108</f>
        <v>1</v>
      </c>
      <c r="BB167" s="539">
        <f>Time!BB$108</f>
        <v>0</v>
      </c>
      <c r="BC167" s="539">
        <f>Time!BC$108</f>
        <v>0</v>
      </c>
      <c r="BD167" s="539">
        <f>Time!BD$108</f>
        <v>0</v>
      </c>
      <c r="BE167" s="539">
        <f>Time!BE$108</f>
        <v>1</v>
      </c>
      <c r="BF167" s="539">
        <f>Time!BF$108</f>
        <v>0</v>
      </c>
      <c r="BG167" s="539">
        <f>Time!BG$108</f>
        <v>0</v>
      </c>
      <c r="BH167" s="539">
        <f>Time!BH$108</f>
        <v>0</v>
      </c>
      <c r="BI167" s="539">
        <f>Time!BI$108</f>
        <v>1</v>
      </c>
      <c r="BJ167" s="539">
        <f>Time!BJ$108</f>
        <v>0</v>
      </c>
      <c r="BK167" s="539">
        <f>Time!BK$108</f>
        <v>0</v>
      </c>
      <c r="BL167" s="539">
        <f>Time!BL$108</f>
        <v>0</v>
      </c>
      <c r="BM167" s="539">
        <f>Time!BM$108</f>
        <v>1</v>
      </c>
      <c r="BN167" s="539">
        <f>Time!BN$108</f>
        <v>0</v>
      </c>
      <c r="BO167" s="539">
        <f>Time!BO$108</f>
        <v>0</v>
      </c>
      <c r="BP167" s="539">
        <f>Time!BP$108</f>
        <v>0</v>
      </c>
      <c r="BQ167" s="539">
        <f>Time!BQ$108</f>
        <v>1</v>
      </c>
      <c r="BR167" s="539">
        <f>Time!BR$108</f>
        <v>0</v>
      </c>
      <c r="BS167" s="539">
        <f>Time!BS$108</f>
        <v>0</v>
      </c>
      <c r="BT167" s="539">
        <f>Time!BT$108</f>
        <v>0</v>
      </c>
      <c r="BU167" s="539">
        <f>Time!BU$108</f>
        <v>1</v>
      </c>
      <c r="BV167" s="539">
        <f>Time!BV$108</f>
        <v>0</v>
      </c>
      <c r="BW167" s="539">
        <f>Time!BW$108</f>
        <v>0</v>
      </c>
      <c r="BX167" s="539">
        <f>Time!BX$108</f>
        <v>0</v>
      </c>
      <c r="BY167" s="539">
        <f>Time!BY$108</f>
        <v>1</v>
      </c>
      <c r="BZ167" s="539">
        <f>Time!BZ$108</f>
        <v>0</v>
      </c>
      <c r="CA167" s="539">
        <f>Time!CA$108</f>
        <v>0</v>
      </c>
      <c r="CB167" s="539">
        <f>Time!CB$108</f>
        <v>0</v>
      </c>
      <c r="CC167" s="539">
        <f>Time!CC$108</f>
        <v>1</v>
      </c>
      <c r="CD167" s="539">
        <f>Time!CD$108</f>
        <v>0</v>
      </c>
      <c r="CE167" s="539">
        <f>Time!CE$108</f>
        <v>0</v>
      </c>
      <c r="CF167" s="539">
        <f>Time!CF$108</f>
        <v>0</v>
      </c>
      <c r="CG167" s="539">
        <f>Time!CG$108</f>
        <v>1</v>
      </c>
      <c r="CH167" s="539">
        <f>Time!CH$108</f>
        <v>0</v>
      </c>
      <c r="CI167" s="539">
        <f>Time!CI$108</f>
        <v>0</v>
      </c>
      <c r="CJ167" s="539">
        <f>Time!CJ$108</f>
        <v>0</v>
      </c>
      <c r="CK167" s="539">
        <f>Time!CK$108</f>
        <v>1</v>
      </c>
      <c r="CL167" s="539">
        <f>Time!CL$108</f>
        <v>0</v>
      </c>
      <c r="CM167" s="539">
        <f>Time!CM$108</f>
        <v>0</v>
      </c>
      <c r="CN167" s="539">
        <f>Time!CN$108</f>
        <v>0</v>
      </c>
      <c r="CO167" s="539">
        <f>Time!CO$108</f>
        <v>1</v>
      </c>
      <c r="CP167" s="539">
        <f>Time!CP$108</f>
        <v>0</v>
      </c>
      <c r="CQ167" s="539">
        <f>Time!CQ$108</f>
        <v>0</v>
      </c>
      <c r="CR167" s="539">
        <f>Time!CR$108</f>
        <v>0</v>
      </c>
      <c r="CS167" s="539">
        <f>Time!CS$108</f>
        <v>1</v>
      </c>
      <c r="CT167" s="539">
        <f>Time!CT$108</f>
        <v>0</v>
      </c>
      <c r="CU167" s="539">
        <f>Time!CU$108</f>
        <v>0</v>
      </c>
      <c r="CV167" s="539">
        <f>Time!CV$108</f>
        <v>0</v>
      </c>
      <c r="CW167" s="539">
        <f>Time!CW$108</f>
        <v>1</v>
      </c>
      <c r="CX167" s="539">
        <f>Time!CX$108</f>
        <v>0</v>
      </c>
      <c r="CY167" s="539">
        <f>Time!CY$108</f>
        <v>0</v>
      </c>
      <c r="CZ167" s="539">
        <f>Time!CZ$108</f>
        <v>0</v>
      </c>
      <c r="DA167" s="539">
        <f>Time!DA$108</f>
        <v>1</v>
      </c>
      <c r="DB167" s="539">
        <f>Time!DB$108</f>
        <v>0</v>
      </c>
      <c r="DC167" s="539">
        <f>Time!DC$108</f>
        <v>0</v>
      </c>
      <c r="DD167" s="539">
        <f>Time!DD$108</f>
        <v>0</v>
      </c>
      <c r="DE167" s="539">
        <f>Time!DE$108</f>
        <v>1</v>
      </c>
      <c r="DF167" s="539">
        <f>Time!DF$108</f>
        <v>0</v>
      </c>
      <c r="DG167" s="539">
        <f>Time!DG$108</f>
        <v>0</v>
      </c>
      <c r="DH167" s="539">
        <f>Time!DH$108</f>
        <v>0</v>
      </c>
      <c r="DI167" s="539">
        <f>Time!DI$108</f>
        <v>1</v>
      </c>
      <c r="DJ167" s="539">
        <f>Time!DJ$108</f>
        <v>0</v>
      </c>
      <c r="DK167" s="539">
        <f>Time!DK$108</f>
        <v>0</v>
      </c>
      <c r="DL167" s="539">
        <f>Time!DL$108</f>
        <v>0</v>
      </c>
      <c r="DM167" s="539">
        <f>Time!DM$108</f>
        <v>1</v>
      </c>
      <c r="DN167" s="539">
        <f>Time!DN$108</f>
        <v>0</v>
      </c>
      <c r="DO167" s="539">
        <f>Time!DO$108</f>
        <v>0</v>
      </c>
      <c r="DP167" s="539">
        <f>Time!DP$108</f>
        <v>0</v>
      </c>
      <c r="DQ167" s="539">
        <f>Time!DQ$108</f>
        <v>1</v>
      </c>
      <c r="DR167" s="539">
        <f>Time!DR$108</f>
        <v>0</v>
      </c>
      <c r="DS167" s="539">
        <f>Time!DS$108</f>
        <v>0</v>
      </c>
      <c r="DT167" s="539">
        <f>Time!DT$108</f>
        <v>0</v>
      </c>
      <c r="DU167" s="539">
        <f>Time!DU$108</f>
        <v>1</v>
      </c>
      <c r="DV167" s="539">
        <f>Time!DV$108</f>
        <v>0</v>
      </c>
      <c r="DW167" s="539">
        <f>Time!DW$108</f>
        <v>0</v>
      </c>
      <c r="DX167" s="539">
        <f>Time!DX$108</f>
        <v>0</v>
      </c>
      <c r="DY167" s="539">
        <f>Time!DY$108</f>
        <v>1</v>
      </c>
      <c r="DZ167" s="539">
        <f>Time!DZ$108</f>
        <v>0</v>
      </c>
      <c r="EA167" s="539">
        <f>Time!EA$108</f>
        <v>0</v>
      </c>
      <c r="EB167" s="539">
        <f>Time!EB$108</f>
        <v>0</v>
      </c>
      <c r="EC167" s="539">
        <f>Time!EC$108</f>
        <v>1</v>
      </c>
      <c r="ED167" s="539">
        <f>Time!ED$108</f>
        <v>0</v>
      </c>
      <c r="EE167" s="539">
        <f>Time!EE$108</f>
        <v>0</v>
      </c>
      <c r="EF167" s="539">
        <f>Time!EF$108</f>
        <v>0</v>
      </c>
      <c r="EG167" s="539">
        <f>Time!EG$108</f>
        <v>1</v>
      </c>
    </row>
    <row r="168" spans="5:137" ht="12.75">
      <c r="E168" s="538" t="str">
        <f>Time!E$117</f>
        <v>Financial year</v>
      </c>
      <c r="G168" s="539" t="str">
        <f>Time!G$117</f>
        <v>year #</v>
      </c>
      <c r="H168" s="539">
        <f>Time!H$117</f>
        <v>260976</v>
      </c>
      <c r="J168" s="539">
        <f>Time!J$117</f>
        <v>2027</v>
      </c>
      <c r="K168" s="539">
        <f>Time!K$117</f>
        <v>2027</v>
      </c>
      <c r="L168" s="539">
        <f>Time!L$117</f>
        <v>2027</v>
      </c>
      <c r="M168" s="539">
        <f>Time!M$117</f>
        <v>2027</v>
      </c>
      <c r="N168" s="539">
        <f>Time!N$117</f>
        <v>2027</v>
      </c>
      <c r="O168" s="539">
        <f>Time!O$117</f>
        <v>2027</v>
      </c>
      <c r="P168" s="539">
        <f>Time!P$117</f>
        <v>2027</v>
      </c>
      <c r="Q168" s="539">
        <f>Time!Q$117</f>
        <v>2027</v>
      </c>
      <c r="R168" s="539">
        <f>Time!R$117</f>
        <v>2027</v>
      </c>
      <c r="S168" s="539">
        <f>Time!S$117</f>
        <v>2027</v>
      </c>
      <c r="T168" s="539">
        <f>Time!T$117</f>
        <v>2027</v>
      </c>
      <c r="U168" s="539">
        <f>Time!U$117</f>
        <v>2027</v>
      </c>
      <c r="V168" s="539">
        <f>Time!V$117</f>
        <v>2028</v>
      </c>
      <c r="W168" s="539">
        <f>Time!W$117</f>
        <v>2028</v>
      </c>
      <c r="X168" s="539">
        <f>Time!X$117</f>
        <v>2028</v>
      </c>
      <c r="Y168" s="539">
        <f>Time!Y$117</f>
        <v>2028</v>
      </c>
      <c r="Z168" s="539">
        <f>Time!Z$117</f>
        <v>2028</v>
      </c>
      <c r="AA168" s="539">
        <f>Time!AA$117</f>
        <v>2028</v>
      </c>
      <c r="AB168" s="539">
        <f>Time!AB$117</f>
        <v>2028</v>
      </c>
      <c r="AC168" s="539">
        <f>Time!AC$117</f>
        <v>2028</v>
      </c>
      <c r="AD168" s="539">
        <f>Time!AD$117</f>
        <v>2028</v>
      </c>
      <c r="AE168" s="539">
        <f>Time!AE$117</f>
        <v>2028</v>
      </c>
      <c r="AF168" s="539">
        <f>Time!AF$117</f>
        <v>2028</v>
      </c>
      <c r="AG168" s="539">
        <f>Time!AG$117</f>
        <v>2028</v>
      </c>
      <c r="AH168" s="539">
        <f>Time!AH$117</f>
        <v>2029</v>
      </c>
      <c r="AI168" s="539">
        <f>Time!AI$117</f>
        <v>2029</v>
      </c>
      <c r="AJ168" s="539">
        <f>Time!AJ$117</f>
        <v>2029</v>
      </c>
      <c r="AK168" s="539">
        <f>Time!AK$117</f>
        <v>2029</v>
      </c>
      <c r="AL168" s="539">
        <f>Time!AL$117</f>
        <v>2030</v>
      </c>
      <c r="AM168" s="539">
        <f>Time!AM$117</f>
        <v>2030</v>
      </c>
      <c r="AN168" s="539">
        <f>Time!AN$117</f>
        <v>2030</v>
      </c>
      <c r="AO168" s="539">
        <f>Time!AO$117</f>
        <v>2030</v>
      </c>
      <c r="AP168" s="539">
        <f>Time!AP$117</f>
        <v>2031</v>
      </c>
      <c r="AQ168" s="539">
        <f>Time!AQ$117</f>
        <v>2031</v>
      </c>
      <c r="AR168" s="539">
        <f>Time!AR$117</f>
        <v>2031</v>
      </c>
      <c r="AS168" s="539">
        <f>Time!AS$117</f>
        <v>2031</v>
      </c>
      <c r="AT168" s="539">
        <f>Time!AT$117</f>
        <v>2032</v>
      </c>
      <c r="AU168" s="539">
        <f>Time!AU$117</f>
        <v>2032</v>
      </c>
      <c r="AV168" s="539">
        <f>Time!AV$117</f>
        <v>2032</v>
      </c>
      <c r="AW168" s="539">
        <f>Time!AW$117</f>
        <v>2032</v>
      </c>
      <c r="AX168" s="539">
        <f>Time!AX$117</f>
        <v>2033</v>
      </c>
      <c r="AY168" s="539">
        <f>Time!AY$117</f>
        <v>2033</v>
      </c>
      <c r="AZ168" s="539">
        <f>Time!AZ$117</f>
        <v>2033</v>
      </c>
      <c r="BA168" s="539">
        <f>Time!BA$117</f>
        <v>2033</v>
      </c>
      <c r="BB168" s="539">
        <f>Time!BB$117</f>
        <v>2034</v>
      </c>
      <c r="BC168" s="539">
        <f>Time!BC$117</f>
        <v>2034</v>
      </c>
      <c r="BD168" s="539">
        <f>Time!BD$117</f>
        <v>2034</v>
      </c>
      <c r="BE168" s="539">
        <f>Time!BE$117</f>
        <v>2034</v>
      </c>
      <c r="BF168" s="539">
        <f>Time!BF$117</f>
        <v>2035</v>
      </c>
      <c r="BG168" s="539">
        <f>Time!BG$117</f>
        <v>2035</v>
      </c>
      <c r="BH168" s="539">
        <f>Time!BH$117</f>
        <v>2035</v>
      </c>
      <c r="BI168" s="539">
        <f>Time!BI$117</f>
        <v>2035</v>
      </c>
      <c r="BJ168" s="539">
        <f>Time!BJ$117</f>
        <v>2036</v>
      </c>
      <c r="BK168" s="539">
        <f>Time!BK$117</f>
        <v>2036</v>
      </c>
      <c r="BL168" s="539">
        <f>Time!BL$117</f>
        <v>2036</v>
      </c>
      <c r="BM168" s="539">
        <f>Time!BM$117</f>
        <v>2036</v>
      </c>
      <c r="BN168" s="539">
        <f>Time!BN$117</f>
        <v>2037</v>
      </c>
      <c r="BO168" s="539">
        <f>Time!BO$117</f>
        <v>2037</v>
      </c>
      <c r="BP168" s="539">
        <f>Time!BP$117</f>
        <v>2037</v>
      </c>
      <c r="BQ168" s="539">
        <f>Time!BQ$117</f>
        <v>2037</v>
      </c>
      <c r="BR168" s="539">
        <f>Time!BR$117</f>
        <v>2038</v>
      </c>
      <c r="BS168" s="539">
        <f>Time!BS$117</f>
        <v>2038</v>
      </c>
      <c r="BT168" s="539">
        <f>Time!BT$117</f>
        <v>2038</v>
      </c>
      <c r="BU168" s="539">
        <f>Time!BU$117</f>
        <v>2038</v>
      </c>
      <c r="BV168" s="539">
        <f>Time!BV$117</f>
        <v>2039</v>
      </c>
      <c r="BW168" s="539">
        <f>Time!BW$117</f>
        <v>2039</v>
      </c>
      <c r="BX168" s="539">
        <f>Time!BX$117</f>
        <v>2039</v>
      </c>
      <c r="BY168" s="539">
        <f>Time!BY$117</f>
        <v>2039</v>
      </c>
      <c r="BZ168" s="539">
        <f>Time!BZ$117</f>
        <v>2040</v>
      </c>
      <c r="CA168" s="539">
        <f>Time!CA$117</f>
        <v>2040</v>
      </c>
      <c r="CB168" s="539">
        <f>Time!CB$117</f>
        <v>2040</v>
      </c>
      <c r="CC168" s="539">
        <f>Time!CC$117</f>
        <v>2040</v>
      </c>
      <c r="CD168" s="539">
        <f>Time!CD$117</f>
        <v>2041</v>
      </c>
      <c r="CE168" s="539">
        <f>Time!CE$117</f>
        <v>2041</v>
      </c>
      <c r="CF168" s="539">
        <f>Time!CF$117</f>
        <v>2041</v>
      </c>
      <c r="CG168" s="539">
        <f>Time!CG$117</f>
        <v>2041</v>
      </c>
      <c r="CH168" s="539">
        <f>Time!CH$117</f>
        <v>2042</v>
      </c>
      <c r="CI168" s="539">
        <f>Time!CI$117</f>
        <v>2042</v>
      </c>
      <c r="CJ168" s="539">
        <f>Time!CJ$117</f>
        <v>2042</v>
      </c>
      <c r="CK168" s="539">
        <f>Time!CK$117</f>
        <v>2042</v>
      </c>
      <c r="CL168" s="539">
        <f>Time!CL$117</f>
        <v>2043</v>
      </c>
      <c r="CM168" s="539">
        <f>Time!CM$117</f>
        <v>2043</v>
      </c>
      <c r="CN168" s="539">
        <f>Time!CN$117</f>
        <v>2043</v>
      </c>
      <c r="CO168" s="539">
        <f>Time!CO$117</f>
        <v>2043</v>
      </c>
      <c r="CP168" s="539">
        <f>Time!CP$117</f>
        <v>2044</v>
      </c>
      <c r="CQ168" s="539">
        <f>Time!CQ$117</f>
        <v>2044</v>
      </c>
      <c r="CR168" s="539">
        <f>Time!CR$117</f>
        <v>2044</v>
      </c>
      <c r="CS168" s="539">
        <f>Time!CS$117</f>
        <v>2044</v>
      </c>
      <c r="CT168" s="539">
        <f>Time!CT$117</f>
        <v>2045</v>
      </c>
      <c r="CU168" s="539">
        <f>Time!CU$117</f>
        <v>2045</v>
      </c>
      <c r="CV168" s="539">
        <f>Time!CV$117</f>
        <v>2045</v>
      </c>
      <c r="CW168" s="539">
        <f>Time!CW$117</f>
        <v>2045</v>
      </c>
      <c r="CX168" s="539">
        <f>Time!CX$117</f>
        <v>2046</v>
      </c>
      <c r="CY168" s="539">
        <f>Time!CY$117</f>
        <v>2046</v>
      </c>
      <c r="CZ168" s="539">
        <f>Time!CZ$117</f>
        <v>2046</v>
      </c>
      <c r="DA168" s="539">
        <f>Time!DA$117</f>
        <v>2046</v>
      </c>
      <c r="DB168" s="539">
        <f>Time!DB$117</f>
        <v>2047</v>
      </c>
      <c r="DC168" s="539">
        <f>Time!DC$117</f>
        <v>2047</v>
      </c>
      <c r="DD168" s="539">
        <f>Time!DD$117</f>
        <v>2047</v>
      </c>
      <c r="DE168" s="539">
        <f>Time!DE$117</f>
        <v>2047</v>
      </c>
      <c r="DF168" s="539">
        <f>Time!DF$117</f>
        <v>2048</v>
      </c>
      <c r="DG168" s="539">
        <f>Time!DG$117</f>
        <v>2048</v>
      </c>
      <c r="DH168" s="539">
        <f>Time!DH$117</f>
        <v>2048</v>
      </c>
      <c r="DI168" s="539">
        <f>Time!DI$117</f>
        <v>2048</v>
      </c>
      <c r="DJ168" s="539">
        <f>Time!DJ$117</f>
        <v>2049</v>
      </c>
      <c r="DK168" s="539">
        <f>Time!DK$117</f>
        <v>2049</v>
      </c>
      <c r="DL168" s="539">
        <f>Time!DL$117</f>
        <v>2049</v>
      </c>
      <c r="DM168" s="539">
        <f>Time!DM$117</f>
        <v>2049</v>
      </c>
      <c r="DN168" s="539">
        <f>Time!DN$117</f>
        <v>2050</v>
      </c>
      <c r="DO168" s="539">
        <f>Time!DO$117</f>
        <v>2050</v>
      </c>
      <c r="DP168" s="539">
        <f>Time!DP$117</f>
        <v>2050</v>
      </c>
      <c r="DQ168" s="539">
        <f>Time!DQ$117</f>
        <v>2050</v>
      </c>
      <c r="DR168" s="539">
        <f>Time!DR$117</f>
        <v>2051</v>
      </c>
      <c r="DS168" s="539">
        <f>Time!DS$117</f>
        <v>2051</v>
      </c>
      <c r="DT168" s="539">
        <f>Time!DT$117</f>
        <v>2051</v>
      </c>
      <c r="DU168" s="539">
        <f>Time!DU$117</f>
        <v>2051</v>
      </c>
      <c r="DV168" s="539">
        <f>Time!DV$117</f>
        <v>2052</v>
      </c>
      <c r="DW168" s="539">
        <f>Time!DW$117</f>
        <v>2052</v>
      </c>
      <c r="DX168" s="539">
        <f>Time!DX$117</f>
        <v>2052</v>
      </c>
      <c r="DY168" s="539">
        <f>Time!DY$117</f>
        <v>2052</v>
      </c>
      <c r="DZ168" s="539">
        <f>Time!DZ$117</f>
        <v>2053</v>
      </c>
      <c r="EA168" s="539">
        <f>Time!EA$117</f>
        <v>2053</v>
      </c>
      <c r="EB168" s="539">
        <f>Time!EB$117</f>
        <v>2053</v>
      </c>
      <c r="EC168" s="539">
        <f>Time!EC$117</f>
        <v>2053</v>
      </c>
      <c r="ED168" s="539">
        <f>Time!ED$117</f>
        <v>2054</v>
      </c>
      <c r="EE168" s="539">
        <f>Time!EE$117</f>
        <v>2054</v>
      </c>
      <c r="EF168" s="539">
        <f>Time!EF$117</f>
        <v>2054</v>
      </c>
      <c r="EG168" s="539">
        <f>Time!EG$117</f>
        <v>2054</v>
      </c>
    </row>
    <row r="169" spans="5:137" ht="12.75">
      <c r="E169" s="551" t="s">
        <v>552</v>
      </c>
      <c r="F169" s="552"/>
      <c r="G169" s="552" t="s">
        <v>30</v>
      </c>
      <c r="H169" s="552">
        <f>SUM(J169:EG169)</f>
        <v>-3.637978807091713E-12</v>
      </c>
      <c r="I169" s="552"/>
      <c r="J169" s="552">
        <f t="shared" si="35" ref="J169:EG169">IF(J167=1,SUMIFS($I81:I81,$I168:I168,J168)+J81,0)</f>
        <v>0</v>
      </c>
      <c r="K169" s="552">
        <f t="shared" si="35"/>
        <v>0</v>
      </c>
      <c r="L169" s="552">
        <f t="shared" si="35"/>
        <v>0</v>
      </c>
      <c r="M169" s="552">
        <f t="shared" si="35"/>
        <v>0</v>
      </c>
      <c r="N169" s="552">
        <f t="shared" si="35"/>
        <v>0</v>
      </c>
      <c r="O169" s="552">
        <f t="shared" si="35"/>
        <v>0</v>
      </c>
      <c r="P169" s="552">
        <f t="shared" si="35"/>
        <v>0</v>
      </c>
      <c r="Q169" s="552">
        <f t="shared" si="35"/>
        <v>0</v>
      </c>
      <c r="R169" s="552">
        <f t="shared" si="35"/>
        <v>0</v>
      </c>
      <c r="S169" s="552">
        <f t="shared" si="35"/>
        <v>0</v>
      </c>
      <c r="T169" s="552">
        <f t="shared" si="35"/>
        <v>0</v>
      </c>
      <c r="U169" s="552">
        <f t="shared" si="35"/>
        <v>-7.2759576141834259E-12</v>
      </c>
      <c r="V169" s="552">
        <f t="shared" si="35"/>
        <v>0</v>
      </c>
      <c r="W169" s="552">
        <f t="shared" si="35"/>
        <v>0</v>
      </c>
      <c r="X169" s="552">
        <f t="shared" si="35"/>
        <v>0</v>
      </c>
      <c r="Y169" s="552">
        <f t="shared" si="35"/>
        <v>0</v>
      </c>
      <c r="Z169" s="552">
        <f t="shared" si="35"/>
        <v>0</v>
      </c>
      <c r="AA169" s="552">
        <f t="shared" si="35"/>
        <v>0</v>
      </c>
      <c r="AB169" s="552">
        <f t="shared" si="35"/>
        <v>0</v>
      </c>
      <c r="AC169" s="552">
        <f t="shared" si="35"/>
        <v>0</v>
      </c>
      <c r="AD169" s="552">
        <f t="shared" si="35"/>
        <v>0</v>
      </c>
      <c r="AE169" s="552">
        <f t="shared" si="35"/>
        <v>0</v>
      </c>
      <c r="AF169" s="552">
        <f t="shared" si="35"/>
        <v>0</v>
      </c>
      <c r="AG169" s="552">
        <f t="shared" si="35"/>
        <v>-4.0472514228895307E-10</v>
      </c>
      <c r="AH169" s="552">
        <f t="shared" si="35"/>
        <v>0</v>
      </c>
      <c r="AI169" s="552">
        <f t="shared" si="35"/>
        <v>0</v>
      </c>
      <c r="AJ169" s="552">
        <f t="shared" si="35"/>
        <v>0</v>
      </c>
      <c r="AK169" s="552">
        <f t="shared" si="35"/>
        <v>0</v>
      </c>
      <c r="AL169" s="552">
        <f t="shared" si="35"/>
        <v>0</v>
      </c>
      <c r="AM169" s="552">
        <f t="shared" si="35"/>
        <v>0</v>
      </c>
      <c r="AN169" s="552">
        <f t="shared" si="35"/>
        <v>0</v>
      </c>
      <c r="AO169" s="552">
        <f t="shared" si="35"/>
        <v>0</v>
      </c>
      <c r="AP169" s="552">
        <f t="shared" si="35"/>
        <v>0</v>
      </c>
      <c r="AQ169" s="552">
        <f t="shared" si="35"/>
        <v>0</v>
      </c>
      <c r="AR169" s="552">
        <f t="shared" si="35"/>
        <v>0</v>
      </c>
      <c r="AS169" s="552">
        <f t="shared" si="35"/>
        <v>0</v>
      </c>
      <c r="AT169" s="552">
        <f t="shared" si="35"/>
        <v>0</v>
      </c>
      <c r="AU169" s="552">
        <f t="shared" si="35"/>
        <v>0</v>
      </c>
      <c r="AV169" s="552">
        <f t="shared" si="35"/>
        <v>0</v>
      </c>
      <c r="AW169" s="552">
        <f t="shared" si="35"/>
        <v>0</v>
      </c>
      <c r="AX169" s="552">
        <f t="shared" si="35"/>
        <v>0</v>
      </c>
      <c r="AY169" s="552">
        <f t="shared" si="35"/>
        <v>0</v>
      </c>
      <c r="AZ169" s="552">
        <f t="shared" si="35"/>
        <v>0</v>
      </c>
      <c r="BA169" s="552">
        <f t="shared" si="35"/>
        <v>0</v>
      </c>
      <c r="BB169" s="552">
        <f t="shared" si="35"/>
        <v>0</v>
      </c>
      <c r="BC169" s="552">
        <f t="shared" si="35"/>
        <v>0</v>
      </c>
      <c r="BD169" s="552">
        <f t="shared" si="35"/>
        <v>0</v>
      </c>
      <c r="BE169" s="552">
        <f t="shared" si="35"/>
        <v>0</v>
      </c>
      <c r="BF169" s="552">
        <f t="shared" si="35"/>
        <v>0</v>
      </c>
      <c r="BG169" s="552">
        <f t="shared" si="35"/>
        <v>0</v>
      </c>
      <c r="BH169" s="552">
        <f t="shared" si="35"/>
        <v>0</v>
      </c>
      <c r="BI169" s="552">
        <f t="shared" si="35"/>
        <v>0</v>
      </c>
      <c r="BJ169" s="552">
        <f t="shared" si="35"/>
        <v>0</v>
      </c>
      <c r="BK169" s="552">
        <f t="shared" si="35"/>
        <v>0</v>
      </c>
      <c r="BL169" s="552">
        <f t="shared" si="35"/>
        <v>0</v>
      </c>
      <c r="BM169" s="552">
        <f t="shared" si="35"/>
        <v>0</v>
      </c>
      <c r="BN169" s="552">
        <f t="shared" si="35"/>
        <v>0</v>
      </c>
      <c r="BO169" s="552">
        <f t="shared" si="35"/>
        <v>0</v>
      </c>
      <c r="BP169" s="552">
        <f t="shared" si="35"/>
        <v>0</v>
      </c>
      <c r="BQ169" s="552">
        <f t="shared" si="35"/>
        <v>0</v>
      </c>
      <c r="BR169" s="552">
        <f t="shared" si="35"/>
        <v>0</v>
      </c>
      <c r="BS169" s="552">
        <f t="shared" si="35"/>
        <v>0</v>
      </c>
      <c r="BT169" s="552">
        <f t="shared" si="35"/>
        <v>0</v>
      </c>
      <c r="BU169" s="552">
        <f t="shared" si="35"/>
        <v>0</v>
      </c>
      <c r="BV169" s="552">
        <f t="shared" si="35"/>
        <v>0</v>
      </c>
      <c r="BW169" s="552">
        <f t="shared" si="35"/>
        <v>0</v>
      </c>
      <c r="BX169" s="552">
        <f t="shared" si="35"/>
        <v>0</v>
      </c>
      <c r="BY169" s="552">
        <f t="shared" si="35"/>
        <v>0</v>
      </c>
      <c r="BZ169" s="552">
        <f t="shared" si="35"/>
        <v>0</v>
      </c>
      <c r="CA169" s="552">
        <f t="shared" si="35"/>
        <v>0</v>
      </c>
      <c r="CB169" s="552">
        <f t="shared" si="35"/>
        <v>0</v>
      </c>
      <c r="CC169" s="552">
        <f t="shared" si="35"/>
        <v>0</v>
      </c>
      <c r="CD169" s="552">
        <f t="shared" si="35"/>
        <v>0</v>
      </c>
      <c r="CE169" s="552">
        <f t="shared" si="35"/>
        <v>0</v>
      </c>
      <c r="CF169" s="552">
        <f t="shared" si="35"/>
        <v>0</v>
      </c>
      <c r="CG169" s="552">
        <f t="shared" si="35"/>
        <v>0</v>
      </c>
      <c r="CH169" s="552">
        <f t="shared" si="35"/>
        <v>0</v>
      </c>
      <c r="CI169" s="552">
        <f t="shared" si="35"/>
        <v>0</v>
      </c>
      <c r="CJ169" s="552">
        <f t="shared" si="35"/>
        <v>0</v>
      </c>
      <c r="CK169" s="552">
        <f t="shared" si="35"/>
        <v>0</v>
      </c>
      <c r="CL169" s="552">
        <f t="shared" si="35"/>
        <v>0</v>
      </c>
      <c r="CM169" s="552">
        <f t="shared" si="35"/>
        <v>0</v>
      </c>
      <c r="CN169" s="552">
        <f t="shared" si="35"/>
        <v>0</v>
      </c>
      <c r="CO169" s="552">
        <f t="shared" si="35"/>
        <v>0</v>
      </c>
      <c r="CP169" s="552">
        <f t="shared" si="35"/>
        <v>0</v>
      </c>
      <c r="CQ169" s="552">
        <f t="shared" si="35"/>
        <v>0</v>
      </c>
      <c r="CR169" s="552">
        <f t="shared" si="35"/>
        <v>0</v>
      </c>
      <c r="CS169" s="552">
        <f t="shared" si="35"/>
        <v>0</v>
      </c>
      <c r="CT169" s="552">
        <f t="shared" si="35"/>
        <v>0</v>
      </c>
      <c r="CU169" s="552">
        <f t="shared" si="35"/>
        <v>0</v>
      </c>
      <c r="CV169" s="552">
        <f t="shared" si="35"/>
        <v>0</v>
      </c>
      <c r="CW169" s="552">
        <f t="shared" si="35"/>
        <v>0</v>
      </c>
      <c r="CX169" s="552">
        <f t="shared" si="35"/>
        <v>0</v>
      </c>
      <c r="CY169" s="552">
        <f t="shared" si="35"/>
        <v>0</v>
      </c>
      <c r="CZ169" s="552">
        <f t="shared" si="35"/>
        <v>0</v>
      </c>
      <c r="DA169" s="552">
        <f t="shared" si="35"/>
        <v>0</v>
      </c>
      <c r="DB169" s="552">
        <f t="shared" si="35"/>
        <v>0</v>
      </c>
      <c r="DC169" s="552">
        <f t="shared" si="35"/>
        <v>0</v>
      </c>
      <c r="DD169" s="552">
        <f t="shared" si="35"/>
        <v>0</v>
      </c>
      <c r="DE169" s="552">
        <f t="shared" si="35"/>
        <v>0</v>
      </c>
      <c r="DF169" s="552">
        <f t="shared" si="35"/>
        <v>0</v>
      </c>
      <c r="DG169" s="552">
        <f t="shared" si="35"/>
        <v>0</v>
      </c>
      <c r="DH169" s="552">
        <f t="shared" si="35"/>
        <v>0</v>
      </c>
      <c r="DI169" s="552">
        <f t="shared" si="35"/>
        <v>0</v>
      </c>
      <c r="DJ169" s="552">
        <f t="shared" si="35"/>
        <v>0</v>
      </c>
      <c r="DK169" s="552">
        <f t="shared" si="35"/>
        <v>0</v>
      </c>
      <c r="DL169" s="552">
        <f t="shared" si="35"/>
        <v>0</v>
      </c>
      <c r="DM169" s="552">
        <f t="shared" si="35"/>
        <v>0</v>
      </c>
      <c r="DN169" s="552">
        <f t="shared" si="35"/>
        <v>0</v>
      </c>
      <c r="DO169" s="552">
        <f t="shared" si="35"/>
        <v>0</v>
      </c>
      <c r="DP169" s="552">
        <f t="shared" si="35"/>
        <v>0</v>
      </c>
      <c r="DQ169" s="552">
        <f t="shared" si="35"/>
        <v>0</v>
      </c>
      <c r="DR169" s="552">
        <f t="shared" si="35"/>
        <v>0</v>
      </c>
      <c r="DS169" s="552">
        <f t="shared" si="35"/>
        <v>0</v>
      </c>
      <c r="DT169" s="552">
        <f t="shared" si="35"/>
        <v>0</v>
      </c>
      <c r="DU169" s="552">
        <f t="shared" si="35"/>
        <v>0</v>
      </c>
      <c r="DV169" s="552">
        <f t="shared" si="35"/>
        <v>0</v>
      </c>
      <c r="DW169" s="552">
        <f t="shared" si="35"/>
        <v>0</v>
      </c>
      <c r="DX169" s="552">
        <f t="shared" si="35"/>
        <v>0</v>
      </c>
      <c r="DY169" s="552">
        <f t="shared" si="35"/>
        <v>1997.2598334849408</v>
      </c>
      <c r="DZ169" s="552">
        <f t="shared" si="35"/>
        <v>0</v>
      </c>
      <c r="EA169" s="552">
        <f t="shared" si="35"/>
        <v>0</v>
      </c>
      <c r="EB169" s="552">
        <f t="shared" si="35"/>
        <v>0</v>
      </c>
      <c r="EC169" s="552">
        <f t="shared" si="35"/>
        <v>-1997.2598334849399</v>
      </c>
      <c r="ED169" s="552">
        <f t="shared" si="35"/>
        <v>0</v>
      </c>
      <c r="EE169" s="552">
        <f t="shared" si="35"/>
        <v>0</v>
      </c>
      <c r="EF169" s="552">
        <f t="shared" si="35"/>
        <v>0</v>
      </c>
      <c r="EG169" s="552">
        <f t="shared" si="35"/>
        <v>4.0745362639427185E-10</v>
      </c>
    </row>
    <row r="171" spans="2:2" ht="12.75">
      <c r="B171" s="534" t="s">
        <v>553</v>
      </c>
    </row>
    <row r="172" spans="5:137" ht="12.75">
      <c r="E172" s="538" t="str">
        <f>Time!E$108</f>
        <v>End of financial year flag</v>
      </c>
      <c r="G172" s="539" t="str">
        <f>Time!G$108</f>
        <v>flag</v>
      </c>
      <c r="H172" s="539">
        <f>Time!H$108</f>
        <v>28</v>
      </c>
      <c r="J172" s="539">
        <f>Time!J$108</f>
        <v>0</v>
      </c>
      <c r="K172" s="539">
        <f>Time!K$108</f>
        <v>0</v>
      </c>
      <c r="L172" s="539">
        <f>Time!L$108</f>
        <v>0</v>
      </c>
      <c r="M172" s="539">
        <f>Time!M$108</f>
        <v>0</v>
      </c>
      <c r="N172" s="539">
        <f>Time!N$108</f>
        <v>0</v>
      </c>
      <c r="O172" s="539">
        <f>Time!O$108</f>
        <v>0</v>
      </c>
      <c r="P172" s="539">
        <f>Time!P$108</f>
        <v>0</v>
      </c>
      <c r="Q172" s="539">
        <f>Time!Q$108</f>
        <v>0</v>
      </c>
      <c r="R172" s="539">
        <f>Time!R$108</f>
        <v>0</v>
      </c>
      <c r="S172" s="539">
        <f>Time!S$108</f>
        <v>0</v>
      </c>
      <c r="T172" s="539">
        <f>Time!T$108</f>
        <v>0</v>
      </c>
      <c r="U172" s="539">
        <f>Time!U$108</f>
        <v>1</v>
      </c>
      <c r="V172" s="539">
        <f>Time!V$108</f>
        <v>0</v>
      </c>
      <c r="W172" s="539">
        <f>Time!W$108</f>
        <v>0</v>
      </c>
      <c r="X172" s="539">
        <f>Time!X$108</f>
        <v>0</v>
      </c>
      <c r="Y172" s="539">
        <f>Time!Y$108</f>
        <v>0</v>
      </c>
      <c r="Z172" s="539">
        <f>Time!Z$108</f>
        <v>0</v>
      </c>
      <c r="AA172" s="539">
        <f>Time!AA$108</f>
        <v>0</v>
      </c>
      <c r="AB172" s="539">
        <f>Time!AB$108</f>
        <v>0</v>
      </c>
      <c r="AC172" s="539">
        <f>Time!AC$108</f>
        <v>0</v>
      </c>
      <c r="AD172" s="539">
        <f>Time!AD$108</f>
        <v>0</v>
      </c>
      <c r="AE172" s="539">
        <f>Time!AE$108</f>
        <v>0</v>
      </c>
      <c r="AF172" s="539">
        <f>Time!AF$108</f>
        <v>0</v>
      </c>
      <c r="AG172" s="539">
        <f>Time!AG$108</f>
        <v>1</v>
      </c>
      <c r="AH172" s="539">
        <f>Time!AH$108</f>
        <v>0</v>
      </c>
      <c r="AI172" s="539">
        <f>Time!AI$108</f>
        <v>0</v>
      </c>
      <c r="AJ172" s="539">
        <f>Time!AJ$108</f>
        <v>0</v>
      </c>
      <c r="AK172" s="539">
        <f>Time!AK$108</f>
        <v>1</v>
      </c>
      <c r="AL172" s="539">
        <f>Time!AL$108</f>
        <v>0</v>
      </c>
      <c r="AM172" s="539">
        <f>Time!AM$108</f>
        <v>0</v>
      </c>
      <c r="AN172" s="539">
        <f>Time!AN$108</f>
        <v>0</v>
      </c>
      <c r="AO172" s="539">
        <f>Time!AO$108</f>
        <v>1</v>
      </c>
      <c r="AP172" s="539">
        <f>Time!AP$108</f>
        <v>0</v>
      </c>
      <c r="AQ172" s="539">
        <f>Time!AQ$108</f>
        <v>0</v>
      </c>
      <c r="AR172" s="539">
        <f>Time!AR$108</f>
        <v>0</v>
      </c>
      <c r="AS172" s="539">
        <f>Time!AS$108</f>
        <v>1</v>
      </c>
      <c r="AT172" s="539">
        <f>Time!AT$108</f>
        <v>0</v>
      </c>
      <c r="AU172" s="539">
        <f>Time!AU$108</f>
        <v>0</v>
      </c>
      <c r="AV172" s="539">
        <f>Time!AV$108</f>
        <v>0</v>
      </c>
      <c r="AW172" s="539">
        <f>Time!AW$108</f>
        <v>1</v>
      </c>
      <c r="AX172" s="539">
        <f>Time!AX$108</f>
        <v>0</v>
      </c>
      <c r="AY172" s="539">
        <f>Time!AY$108</f>
        <v>0</v>
      </c>
      <c r="AZ172" s="539">
        <f>Time!AZ$108</f>
        <v>0</v>
      </c>
      <c r="BA172" s="539">
        <f>Time!BA$108</f>
        <v>1</v>
      </c>
      <c r="BB172" s="539">
        <f>Time!BB$108</f>
        <v>0</v>
      </c>
      <c r="BC172" s="539">
        <f>Time!BC$108</f>
        <v>0</v>
      </c>
      <c r="BD172" s="539">
        <f>Time!BD$108</f>
        <v>0</v>
      </c>
      <c r="BE172" s="539">
        <f>Time!BE$108</f>
        <v>1</v>
      </c>
      <c r="BF172" s="539">
        <f>Time!BF$108</f>
        <v>0</v>
      </c>
      <c r="BG172" s="539">
        <f>Time!BG$108</f>
        <v>0</v>
      </c>
      <c r="BH172" s="539">
        <f>Time!BH$108</f>
        <v>0</v>
      </c>
      <c r="BI172" s="539">
        <f>Time!BI$108</f>
        <v>1</v>
      </c>
      <c r="BJ172" s="539">
        <f>Time!BJ$108</f>
        <v>0</v>
      </c>
      <c r="BK172" s="539">
        <f>Time!BK$108</f>
        <v>0</v>
      </c>
      <c r="BL172" s="539">
        <f>Time!BL$108</f>
        <v>0</v>
      </c>
      <c r="BM172" s="539">
        <f>Time!BM$108</f>
        <v>1</v>
      </c>
      <c r="BN172" s="539">
        <f>Time!BN$108</f>
        <v>0</v>
      </c>
      <c r="BO172" s="539">
        <f>Time!BO$108</f>
        <v>0</v>
      </c>
      <c r="BP172" s="539">
        <f>Time!BP$108</f>
        <v>0</v>
      </c>
      <c r="BQ172" s="539">
        <f>Time!BQ$108</f>
        <v>1</v>
      </c>
      <c r="BR172" s="539">
        <f>Time!BR$108</f>
        <v>0</v>
      </c>
      <c r="BS172" s="539">
        <f>Time!BS$108</f>
        <v>0</v>
      </c>
      <c r="BT172" s="539">
        <f>Time!BT$108</f>
        <v>0</v>
      </c>
      <c r="BU172" s="539">
        <f>Time!BU$108</f>
        <v>1</v>
      </c>
      <c r="BV172" s="539">
        <f>Time!BV$108</f>
        <v>0</v>
      </c>
      <c r="BW172" s="539">
        <f>Time!BW$108</f>
        <v>0</v>
      </c>
      <c r="BX172" s="539">
        <f>Time!BX$108</f>
        <v>0</v>
      </c>
      <c r="BY172" s="539">
        <f>Time!BY$108</f>
        <v>1</v>
      </c>
      <c r="BZ172" s="539">
        <f>Time!BZ$108</f>
        <v>0</v>
      </c>
      <c r="CA172" s="539">
        <f>Time!CA$108</f>
        <v>0</v>
      </c>
      <c r="CB172" s="539">
        <f>Time!CB$108</f>
        <v>0</v>
      </c>
      <c r="CC172" s="539">
        <f>Time!CC$108</f>
        <v>1</v>
      </c>
      <c r="CD172" s="539">
        <f>Time!CD$108</f>
        <v>0</v>
      </c>
      <c r="CE172" s="539">
        <f>Time!CE$108</f>
        <v>0</v>
      </c>
      <c r="CF172" s="539">
        <f>Time!CF$108</f>
        <v>0</v>
      </c>
      <c r="CG172" s="539">
        <f>Time!CG$108</f>
        <v>1</v>
      </c>
      <c r="CH172" s="539">
        <f>Time!CH$108</f>
        <v>0</v>
      </c>
      <c r="CI172" s="539">
        <f>Time!CI$108</f>
        <v>0</v>
      </c>
      <c r="CJ172" s="539">
        <f>Time!CJ$108</f>
        <v>0</v>
      </c>
      <c r="CK172" s="539">
        <f>Time!CK$108</f>
        <v>1</v>
      </c>
      <c r="CL172" s="539">
        <f>Time!CL$108</f>
        <v>0</v>
      </c>
      <c r="CM172" s="539">
        <f>Time!CM$108</f>
        <v>0</v>
      </c>
      <c r="CN172" s="539">
        <f>Time!CN$108</f>
        <v>0</v>
      </c>
      <c r="CO172" s="539">
        <f>Time!CO$108</f>
        <v>1</v>
      </c>
      <c r="CP172" s="539">
        <f>Time!CP$108</f>
        <v>0</v>
      </c>
      <c r="CQ172" s="539">
        <f>Time!CQ$108</f>
        <v>0</v>
      </c>
      <c r="CR172" s="539">
        <f>Time!CR$108</f>
        <v>0</v>
      </c>
      <c r="CS172" s="539">
        <f>Time!CS$108</f>
        <v>1</v>
      </c>
      <c r="CT172" s="539">
        <f>Time!CT$108</f>
        <v>0</v>
      </c>
      <c r="CU172" s="539">
        <f>Time!CU$108</f>
        <v>0</v>
      </c>
      <c r="CV172" s="539">
        <f>Time!CV$108</f>
        <v>0</v>
      </c>
      <c r="CW172" s="539">
        <f>Time!CW$108</f>
        <v>1</v>
      </c>
      <c r="CX172" s="539">
        <f>Time!CX$108</f>
        <v>0</v>
      </c>
      <c r="CY172" s="539">
        <f>Time!CY$108</f>
        <v>0</v>
      </c>
      <c r="CZ172" s="539">
        <f>Time!CZ$108</f>
        <v>0</v>
      </c>
      <c r="DA172" s="539">
        <f>Time!DA$108</f>
        <v>1</v>
      </c>
      <c r="DB172" s="539">
        <f>Time!DB$108</f>
        <v>0</v>
      </c>
      <c r="DC172" s="539">
        <f>Time!DC$108</f>
        <v>0</v>
      </c>
      <c r="DD172" s="539">
        <f>Time!DD$108</f>
        <v>0</v>
      </c>
      <c r="DE172" s="539">
        <f>Time!DE$108</f>
        <v>1</v>
      </c>
      <c r="DF172" s="539">
        <f>Time!DF$108</f>
        <v>0</v>
      </c>
      <c r="DG172" s="539">
        <f>Time!DG$108</f>
        <v>0</v>
      </c>
      <c r="DH172" s="539">
        <f>Time!DH$108</f>
        <v>0</v>
      </c>
      <c r="DI172" s="539">
        <f>Time!DI$108</f>
        <v>1</v>
      </c>
      <c r="DJ172" s="539">
        <f>Time!DJ$108</f>
        <v>0</v>
      </c>
      <c r="DK172" s="539">
        <f>Time!DK$108</f>
        <v>0</v>
      </c>
      <c r="DL172" s="539">
        <f>Time!DL$108</f>
        <v>0</v>
      </c>
      <c r="DM172" s="539">
        <f>Time!DM$108</f>
        <v>1</v>
      </c>
      <c r="DN172" s="539">
        <f>Time!DN$108</f>
        <v>0</v>
      </c>
      <c r="DO172" s="539">
        <f>Time!DO$108</f>
        <v>0</v>
      </c>
      <c r="DP172" s="539">
        <f>Time!DP$108</f>
        <v>0</v>
      </c>
      <c r="DQ172" s="539">
        <f>Time!DQ$108</f>
        <v>1</v>
      </c>
      <c r="DR172" s="539">
        <f>Time!DR$108</f>
        <v>0</v>
      </c>
      <c r="DS172" s="539">
        <f>Time!DS$108</f>
        <v>0</v>
      </c>
      <c r="DT172" s="539">
        <f>Time!DT$108</f>
        <v>0</v>
      </c>
      <c r="DU172" s="539">
        <f>Time!DU$108</f>
        <v>1</v>
      </c>
      <c r="DV172" s="539">
        <f>Time!DV$108</f>
        <v>0</v>
      </c>
      <c r="DW172" s="539">
        <f>Time!DW$108</f>
        <v>0</v>
      </c>
      <c r="DX172" s="539">
        <f>Time!DX$108</f>
        <v>0</v>
      </c>
      <c r="DY172" s="539">
        <f>Time!DY$108</f>
        <v>1</v>
      </c>
      <c r="DZ172" s="539">
        <f>Time!DZ$108</f>
        <v>0</v>
      </c>
      <c r="EA172" s="539">
        <f>Time!EA$108</f>
        <v>0</v>
      </c>
      <c r="EB172" s="539">
        <f>Time!EB$108</f>
        <v>0</v>
      </c>
      <c r="EC172" s="539">
        <f>Time!EC$108</f>
        <v>1</v>
      </c>
      <c r="ED172" s="539">
        <f>Time!ED$108</f>
        <v>0</v>
      </c>
      <c r="EE172" s="539">
        <f>Time!EE$108</f>
        <v>0</v>
      </c>
      <c r="EF172" s="539">
        <f>Time!EF$108</f>
        <v>0</v>
      </c>
      <c r="EG172" s="539">
        <f>Time!EG$108</f>
        <v>1</v>
      </c>
    </row>
    <row r="173" spans="5:137" ht="12.75">
      <c r="E173" s="551" t="s">
        <v>554</v>
      </c>
      <c r="F173" s="552"/>
      <c r="G173" s="552" t="s">
        <v>30</v>
      </c>
      <c r="H173" s="552">
        <f>SUM(J173:EG173)</f>
        <v>4451271.287316299</v>
      </c>
      <c r="I173" s="552"/>
      <c r="J173" s="552">
        <f t="shared" si="36" ref="J173:EG173">IF(J172=1,J102,0)</f>
        <v>0</v>
      </c>
      <c r="K173" s="552">
        <f t="shared" si="36"/>
        <v>0</v>
      </c>
      <c r="L173" s="552">
        <f t="shared" si="36"/>
        <v>0</v>
      </c>
      <c r="M173" s="552">
        <f t="shared" si="36"/>
        <v>0</v>
      </c>
      <c r="N173" s="552">
        <f t="shared" si="36"/>
        <v>0</v>
      </c>
      <c r="O173" s="552">
        <f t="shared" si="36"/>
        <v>0</v>
      </c>
      <c r="P173" s="552">
        <f t="shared" si="36"/>
        <v>0</v>
      </c>
      <c r="Q173" s="552">
        <f t="shared" si="36"/>
        <v>0</v>
      </c>
      <c r="R173" s="552">
        <f t="shared" si="36"/>
        <v>0</v>
      </c>
      <c r="S173" s="552">
        <f t="shared" si="36"/>
        <v>0</v>
      </c>
      <c r="T173" s="552">
        <f t="shared" si="36"/>
        <v>0</v>
      </c>
      <c r="U173" s="552">
        <f t="shared" si="36"/>
        <v>162148.01718677633</v>
      </c>
      <c r="V173" s="552">
        <f t="shared" si="36"/>
        <v>0</v>
      </c>
      <c r="W173" s="552">
        <f t="shared" si="36"/>
        <v>0</v>
      </c>
      <c r="X173" s="552">
        <f t="shared" si="36"/>
        <v>0</v>
      </c>
      <c r="Y173" s="552">
        <f t="shared" si="36"/>
        <v>0</v>
      </c>
      <c r="Z173" s="552">
        <f t="shared" si="36"/>
        <v>0</v>
      </c>
      <c r="AA173" s="552">
        <f t="shared" si="36"/>
        <v>0</v>
      </c>
      <c r="AB173" s="552">
        <f t="shared" si="36"/>
        <v>0</v>
      </c>
      <c r="AC173" s="552">
        <f t="shared" si="36"/>
        <v>0</v>
      </c>
      <c r="AD173" s="552">
        <f t="shared" si="36"/>
        <v>0</v>
      </c>
      <c r="AE173" s="552">
        <f t="shared" si="36"/>
        <v>0</v>
      </c>
      <c r="AF173" s="552">
        <f t="shared" si="36"/>
        <v>0</v>
      </c>
      <c r="AG173" s="552">
        <f t="shared" si="36"/>
        <v>319570.59523007384</v>
      </c>
      <c r="AH173" s="552">
        <f t="shared" si="36"/>
        <v>0</v>
      </c>
      <c r="AI173" s="552">
        <f t="shared" si="36"/>
        <v>0</v>
      </c>
      <c r="AJ173" s="552">
        <f t="shared" si="36"/>
        <v>0</v>
      </c>
      <c r="AK173" s="552">
        <f t="shared" si="36"/>
        <v>308727.70500401652</v>
      </c>
      <c r="AL173" s="552">
        <f t="shared" si="36"/>
        <v>0</v>
      </c>
      <c r="AM173" s="552">
        <f t="shared" si="36"/>
        <v>0</v>
      </c>
      <c r="AN173" s="552">
        <f t="shared" si="36"/>
        <v>0</v>
      </c>
      <c r="AO173" s="552">
        <f t="shared" si="36"/>
        <v>296411.1461065227</v>
      </c>
      <c r="AP173" s="552">
        <f t="shared" si="36"/>
        <v>0</v>
      </c>
      <c r="AQ173" s="552">
        <f t="shared" si="36"/>
        <v>0</v>
      </c>
      <c r="AR173" s="552">
        <f t="shared" si="36"/>
        <v>0</v>
      </c>
      <c r="AS173" s="552">
        <f t="shared" si="36"/>
        <v>284098.93829659908</v>
      </c>
      <c r="AT173" s="552">
        <f t="shared" si="36"/>
        <v>0</v>
      </c>
      <c r="AU173" s="552">
        <f t="shared" si="36"/>
        <v>0</v>
      </c>
      <c r="AV173" s="552">
        <f t="shared" si="36"/>
        <v>0</v>
      </c>
      <c r="AW173" s="552">
        <f t="shared" si="36"/>
        <v>278746.84220815008</v>
      </c>
      <c r="AX173" s="552">
        <f t="shared" si="36"/>
        <v>0</v>
      </c>
      <c r="AY173" s="552">
        <f t="shared" si="36"/>
        <v>0</v>
      </c>
      <c r="AZ173" s="552">
        <f t="shared" si="36"/>
        <v>0</v>
      </c>
      <c r="BA173" s="552">
        <f t="shared" si="36"/>
        <v>259348.92539783692</v>
      </c>
      <c r="BB173" s="552">
        <f t="shared" si="36"/>
        <v>0</v>
      </c>
      <c r="BC173" s="552">
        <f t="shared" si="36"/>
        <v>0</v>
      </c>
      <c r="BD173" s="552">
        <f t="shared" si="36"/>
        <v>0</v>
      </c>
      <c r="BE173" s="552">
        <f t="shared" si="36"/>
        <v>246974.39321596321</v>
      </c>
      <c r="BF173" s="552">
        <f t="shared" si="36"/>
        <v>0</v>
      </c>
      <c r="BG173" s="552">
        <f t="shared" si="36"/>
        <v>0</v>
      </c>
      <c r="BH173" s="552">
        <f t="shared" si="36"/>
        <v>0</v>
      </c>
      <c r="BI173" s="552">
        <f t="shared" si="36"/>
        <v>234615.53588067449</v>
      </c>
      <c r="BJ173" s="552">
        <f t="shared" si="36"/>
        <v>0</v>
      </c>
      <c r="BK173" s="552">
        <f t="shared" si="36"/>
        <v>0</v>
      </c>
      <c r="BL173" s="552">
        <f t="shared" si="36"/>
        <v>0</v>
      </c>
      <c r="BM173" s="552">
        <f t="shared" si="36"/>
        <v>222268.07323713886</v>
      </c>
      <c r="BN173" s="552">
        <f t="shared" si="36"/>
        <v>0</v>
      </c>
      <c r="BO173" s="552">
        <f t="shared" si="36"/>
        <v>0</v>
      </c>
      <c r="BP173" s="552">
        <f t="shared" si="36"/>
        <v>0</v>
      </c>
      <c r="BQ173" s="552">
        <f t="shared" si="36"/>
        <v>217914.65514314696</v>
      </c>
      <c r="BR173" s="552">
        <f t="shared" si="36"/>
        <v>0</v>
      </c>
      <c r="BS173" s="552">
        <f t="shared" si="36"/>
        <v>0</v>
      </c>
      <c r="BT173" s="552">
        <f t="shared" si="36"/>
        <v>0</v>
      </c>
      <c r="BU173" s="552">
        <f t="shared" si="36"/>
        <v>197031.02857568642</v>
      </c>
      <c r="BV173" s="552">
        <f t="shared" si="36"/>
        <v>0</v>
      </c>
      <c r="BW173" s="552">
        <f t="shared" si="36"/>
        <v>0</v>
      </c>
      <c r="BX173" s="552">
        <f t="shared" si="36"/>
        <v>0</v>
      </c>
      <c r="BY173" s="552">
        <f t="shared" si="36"/>
        <v>184231.74257820152</v>
      </c>
      <c r="BZ173" s="552">
        <f t="shared" si="36"/>
        <v>0</v>
      </c>
      <c r="CA173" s="552">
        <f t="shared" si="36"/>
        <v>0</v>
      </c>
      <c r="CB173" s="552">
        <f t="shared" si="36"/>
        <v>0</v>
      </c>
      <c r="CC173" s="552">
        <f t="shared" si="36"/>
        <v>171386.77361929746</v>
      </c>
      <c r="CD173" s="552">
        <f t="shared" si="36"/>
        <v>0</v>
      </c>
      <c r="CE173" s="552">
        <f t="shared" si="36"/>
        <v>0</v>
      </c>
      <c r="CF173" s="552">
        <f t="shared" si="36"/>
        <v>0</v>
      </c>
      <c r="CG173" s="552">
        <f t="shared" si="36"/>
        <v>158963.47116416809</v>
      </c>
      <c r="CH173" s="552">
        <f t="shared" si="36"/>
        <v>0</v>
      </c>
      <c r="CI173" s="552">
        <f t="shared" si="36"/>
        <v>0</v>
      </c>
      <c r="CJ173" s="552">
        <f t="shared" si="36"/>
        <v>0</v>
      </c>
      <c r="CK173" s="552">
        <f t="shared" si="36"/>
        <v>156033.12390195689</v>
      </c>
      <c r="CL173" s="552">
        <f t="shared" si="36"/>
        <v>0</v>
      </c>
      <c r="CM173" s="552">
        <f t="shared" si="36"/>
        <v>0</v>
      </c>
      <c r="CN173" s="552">
        <f t="shared" si="36"/>
        <v>0</v>
      </c>
      <c r="CO173" s="552">
        <f t="shared" si="36"/>
        <v>134147.14047766157</v>
      </c>
      <c r="CP173" s="552">
        <f t="shared" si="36"/>
        <v>0</v>
      </c>
      <c r="CQ173" s="552">
        <f t="shared" si="36"/>
        <v>0</v>
      </c>
      <c r="CR173" s="552">
        <f t="shared" si="36"/>
        <v>0</v>
      </c>
      <c r="CS173" s="552">
        <f t="shared" si="36"/>
        <v>121749.47140948573</v>
      </c>
      <c r="CT173" s="552">
        <f t="shared" si="36"/>
        <v>0</v>
      </c>
      <c r="CU173" s="552">
        <f t="shared" si="36"/>
        <v>0</v>
      </c>
      <c r="CV173" s="552">
        <f t="shared" si="36"/>
        <v>0</v>
      </c>
      <c r="CW173" s="552">
        <f t="shared" si="36"/>
        <v>109362.38084994006</v>
      </c>
      <c r="CX173" s="552">
        <f t="shared" si="36"/>
        <v>0</v>
      </c>
      <c r="CY173" s="552">
        <f t="shared" si="36"/>
        <v>0</v>
      </c>
      <c r="CZ173" s="552">
        <f t="shared" si="36"/>
        <v>0</v>
      </c>
      <c r="DA173" s="552">
        <f t="shared" si="36"/>
        <v>87335.265457717192</v>
      </c>
      <c r="DB173" s="552">
        <f t="shared" si="36"/>
        <v>0</v>
      </c>
      <c r="DC173" s="552">
        <f t="shared" si="36"/>
        <v>0</v>
      </c>
      <c r="DD173" s="552">
        <f t="shared" si="36"/>
        <v>0</v>
      </c>
      <c r="DE173" s="552">
        <f t="shared" si="36"/>
        <v>85864.667874657491</v>
      </c>
      <c r="DF173" s="552">
        <f t="shared" si="36"/>
        <v>0</v>
      </c>
      <c r="DG173" s="552">
        <f t="shared" si="36"/>
        <v>0</v>
      </c>
      <c r="DH173" s="552">
        <f t="shared" si="36"/>
        <v>0</v>
      </c>
      <c r="DI173" s="552">
        <f t="shared" si="36"/>
        <v>64241.368302208997</v>
      </c>
      <c r="DJ173" s="552">
        <f t="shared" si="36"/>
        <v>0</v>
      </c>
      <c r="DK173" s="552">
        <f t="shared" si="36"/>
        <v>0</v>
      </c>
      <c r="DL173" s="552">
        <f t="shared" si="36"/>
        <v>0</v>
      </c>
      <c r="DM173" s="552">
        <f t="shared" si="36"/>
        <v>52697.885668253177</v>
      </c>
      <c r="DN173" s="552">
        <f t="shared" si="36"/>
        <v>0</v>
      </c>
      <c r="DO173" s="552">
        <f t="shared" si="36"/>
        <v>0</v>
      </c>
      <c r="DP173" s="552">
        <f t="shared" si="36"/>
        <v>0</v>
      </c>
      <c r="DQ173" s="552">
        <f t="shared" si="36"/>
        <v>41156.775381618238</v>
      </c>
      <c r="DR173" s="552">
        <f t="shared" si="36"/>
        <v>0</v>
      </c>
      <c r="DS173" s="552">
        <f t="shared" si="36"/>
        <v>0</v>
      </c>
      <c r="DT173" s="552">
        <f t="shared" si="36"/>
        <v>0</v>
      </c>
      <c r="DU173" s="552">
        <f t="shared" si="36"/>
        <v>29618.084889250604</v>
      </c>
      <c r="DV173" s="552">
        <f t="shared" si="36"/>
        <v>0</v>
      </c>
      <c r="DW173" s="552">
        <f t="shared" si="36"/>
        <v>0</v>
      </c>
      <c r="DX173" s="552">
        <f t="shared" si="36"/>
        <v>0</v>
      </c>
      <c r="DY173" s="552">
        <f t="shared" si="36"/>
        <v>20079.122420520562</v>
      </c>
      <c r="DZ173" s="552">
        <f t="shared" si="36"/>
        <v>0</v>
      </c>
      <c r="EA173" s="552">
        <f t="shared" si="36"/>
        <v>0</v>
      </c>
      <c r="EB173" s="552">
        <f t="shared" si="36"/>
        <v>0</v>
      </c>
      <c r="EC173" s="552">
        <f t="shared" si="36"/>
        <v>6548.1578387762056</v>
      </c>
      <c r="ED173" s="552">
        <f t="shared" si="36"/>
        <v>0</v>
      </c>
      <c r="EE173" s="552">
        <f t="shared" si="36"/>
        <v>0</v>
      </c>
      <c r="EF173" s="552">
        <f t="shared" si="36"/>
        <v>0</v>
      </c>
      <c r="EG173" s="552">
        <f t="shared" si="36"/>
        <v>-7.4464878707658499E-12</v>
      </c>
    </row>
    <row r="175" spans="5:137" ht="12.75">
      <c r="E175" s="538" t="str">
        <f>Time!E$108</f>
        <v>End of financial year flag</v>
      </c>
      <c r="G175" s="539" t="str">
        <f>Time!G$108</f>
        <v>flag</v>
      </c>
      <c r="H175" s="539">
        <f>Time!H$108</f>
        <v>28</v>
      </c>
      <c r="J175" s="539">
        <f>Time!J$108</f>
        <v>0</v>
      </c>
      <c r="K175" s="539">
        <f>Time!K$108</f>
        <v>0</v>
      </c>
      <c r="L175" s="539">
        <f>Time!L$108</f>
        <v>0</v>
      </c>
      <c r="M175" s="539">
        <f>Time!M$108</f>
        <v>0</v>
      </c>
      <c r="N175" s="539">
        <f>Time!N$108</f>
        <v>0</v>
      </c>
      <c r="O175" s="539">
        <f>Time!O$108</f>
        <v>0</v>
      </c>
      <c r="P175" s="539">
        <f>Time!P$108</f>
        <v>0</v>
      </c>
      <c r="Q175" s="539">
        <f>Time!Q$108</f>
        <v>0</v>
      </c>
      <c r="R175" s="539">
        <f>Time!R$108</f>
        <v>0</v>
      </c>
      <c r="S175" s="539">
        <f>Time!S$108</f>
        <v>0</v>
      </c>
      <c r="T175" s="539">
        <f>Time!T$108</f>
        <v>0</v>
      </c>
      <c r="U175" s="539">
        <f>Time!U$108</f>
        <v>1</v>
      </c>
      <c r="V175" s="539">
        <f>Time!V$108</f>
        <v>0</v>
      </c>
      <c r="W175" s="539">
        <f>Time!W$108</f>
        <v>0</v>
      </c>
      <c r="X175" s="539">
        <f>Time!X$108</f>
        <v>0</v>
      </c>
      <c r="Y175" s="539">
        <f>Time!Y$108</f>
        <v>0</v>
      </c>
      <c r="Z175" s="539">
        <f>Time!Z$108</f>
        <v>0</v>
      </c>
      <c r="AA175" s="539">
        <f>Time!AA$108</f>
        <v>0</v>
      </c>
      <c r="AB175" s="539">
        <f>Time!AB$108</f>
        <v>0</v>
      </c>
      <c r="AC175" s="539">
        <f>Time!AC$108</f>
        <v>0</v>
      </c>
      <c r="AD175" s="539">
        <f>Time!AD$108</f>
        <v>0</v>
      </c>
      <c r="AE175" s="539">
        <f>Time!AE$108</f>
        <v>0</v>
      </c>
      <c r="AF175" s="539">
        <f>Time!AF$108</f>
        <v>0</v>
      </c>
      <c r="AG175" s="539">
        <f>Time!AG$108</f>
        <v>1</v>
      </c>
      <c r="AH175" s="539">
        <f>Time!AH$108</f>
        <v>0</v>
      </c>
      <c r="AI175" s="539">
        <f>Time!AI$108</f>
        <v>0</v>
      </c>
      <c r="AJ175" s="539">
        <f>Time!AJ$108</f>
        <v>0</v>
      </c>
      <c r="AK175" s="539">
        <f>Time!AK$108</f>
        <v>1</v>
      </c>
      <c r="AL175" s="539">
        <f>Time!AL$108</f>
        <v>0</v>
      </c>
      <c r="AM175" s="539">
        <f>Time!AM$108</f>
        <v>0</v>
      </c>
      <c r="AN175" s="539">
        <f>Time!AN$108</f>
        <v>0</v>
      </c>
      <c r="AO175" s="539">
        <f>Time!AO$108</f>
        <v>1</v>
      </c>
      <c r="AP175" s="539">
        <f>Time!AP$108</f>
        <v>0</v>
      </c>
      <c r="AQ175" s="539">
        <f>Time!AQ$108</f>
        <v>0</v>
      </c>
      <c r="AR175" s="539">
        <f>Time!AR$108</f>
        <v>0</v>
      </c>
      <c r="AS175" s="539">
        <f>Time!AS$108</f>
        <v>1</v>
      </c>
      <c r="AT175" s="539">
        <f>Time!AT$108</f>
        <v>0</v>
      </c>
      <c r="AU175" s="539">
        <f>Time!AU$108</f>
        <v>0</v>
      </c>
      <c r="AV175" s="539">
        <f>Time!AV$108</f>
        <v>0</v>
      </c>
      <c r="AW175" s="539">
        <f>Time!AW$108</f>
        <v>1</v>
      </c>
      <c r="AX175" s="539">
        <f>Time!AX$108</f>
        <v>0</v>
      </c>
      <c r="AY175" s="539">
        <f>Time!AY$108</f>
        <v>0</v>
      </c>
      <c r="AZ175" s="539">
        <f>Time!AZ$108</f>
        <v>0</v>
      </c>
      <c r="BA175" s="539">
        <f>Time!BA$108</f>
        <v>1</v>
      </c>
      <c r="BB175" s="539">
        <f>Time!BB$108</f>
        <v>0</v>
      </c>
      <c r="BC175" s="539">
        <f>Time!BC$108</f>
        <v>0</v>
      </c>
      <c r="BD175" s="539">
        <f>Time!BD$108</f>
        <v>0</v>
      </c>
      <c r="BE175" s="539">
        <f>Time!BE$108</f>
        <v>1</v>
      </c>
      <c r="BF175" s="539">
        <f>Time!BF$108</f>
        <v>0</v>
      </c>
      <c r="BG175" s="539">
        <f>Time!BG$108</f>
        <v>0</v>
      </c>
      <c r="BH175" s="539">
        <f>Time!BH$108</f>
        <v>0</v>
      </c>
      <c r="BI175" s="539">
        <f>Time!BI$108</f>
        <v>1</v>
      </c>
      <c r="BJ175" s="539">
        <f>Time!BJ$108</f>
        <v>0</v>
      </c>
      <c r="BK175" s="539">
        <f>Time!BK$108</f>
        <v>0</v>
      </c>
      <c r="BL175" s="539">
        <f>Time!BL$108</f>
        <v>0</v>
      </c>
      <c r="BM175" s="539">
        <f>Time!BM$108</f>
        <v>1</v>
      </c>
      <c r="BN175" s="539">
        <f>Time!BN$108</f>
        <v>0</v>
      </c>
      <c r="BO175" s="539">
        <f>Time!BO$108</f>
        <v>0</v>
      </c>
      <c r="BP175" s="539">
        <f>Time!BP$108</f>
        <v>0</v>
      </c>
      <c r="BQ175" s="539">
        <f>Time!BQ$108</f>
        <v>1</v>
      </c>
      <c r="BR175" s="539">
        <f>Time!BR$108</f>
        <v>0</v>
      </c>
      <c r="BS175" s="539">
        <f>Time!BS$108</f>
        <v>0</v>
      </c>
      <c r="BT175" s="539">
        <f>Time!BT$108</f>
        <v>0</v>
      </c>
      <c r="BU175" s="539">
        <f>Time!BU$108</f>
        <v>1</v>
      </c>
      <c r="BV175" s="539">
        <f>Time!BV$108</f>
        <v>0</v>
      </c>
      <c r="BW175" s="539">
        <f>Time!BW$108</f>
        <v>0</v>
      </c>
      <c r="BX175" s="539">
        <f>Time!BX$108</f>
        <v>0</v>
      </c>
      <c r="BY175" s="539">
        <f>Time!BY$108</f>
        <v>1</v>
      </c>
      <c r="BZ175" s="539">
        <f>Time!BZ$108</f>
        <v>0</v>
      </c>
      <c r="CA175" s="539">
        <f>Time!CA$108</f>
        <v>0</v>
      </c>
      <c r="CB175" s="539">
        <f>Time!CB$108</f>
        <v>0</v>
      </c>
      <c r="CC175" s="539">
        <f>Time!CC$108</f>
        <v>1</v>
      </c>
      <c r="CD175" s="539">
        <f>Time!CD$108</f>
        <v>0</v>
      </c>
      <c r="CE175" s="539">
        <f>Time!CE$108</f>
        <v>0</v>
      </c>
      <c r="CF175" s="539">
        <f>Time!CF$108</f>
        <v>0</v>
      </c>
      <c r="CG175" s="539">
        <f>Time!CG$108</f>
        <v>1</v>
      </c>
      <c r="CH175" s="539">
        <f>Time!CH$108</f>
        <v>0</v>
      </c>
      <c r="CI175" s="539">
        <f>Time!CI$108</f>
        <v>0</v>
      </c>
      <c r="CJ175" s="539">
        <f>Time!CJ$108</f>
        <v>0</v>
      </c>
      <c r="CK175" s="539">
        <f>Time!CK$108</f>
        <v>1</v>
      </c>
      <c r="CL175" s="539">
        <f>Time!CL$108</f>
        <v>0</v>
      </c>
      <c r="CM175" s="539">
        <f>Time!CM$108</f>
        <v>0</v>
      </c>
      <c r="CN175" s="539">
        <f>Time!CN$108</f>
        <v>0</v>
      </c>
      <c r="CO175" s="539">
        <f>Time!CO$108</f>
        <v>1</v>
      </c>
      <c r="CP175" s="539">
        <f>Time!CP$108</f>
        <v>0</v>
      </c>
      <c r="CQ175" s="539">
        <f>Time!CQ$108</f>
        <v>0</v>
      </c>
      <c r="CR175" s="539">
        <f>Time!CR$108</f>
        <v>0</v>
      </c>
      <c r="CS175" s="539">
        <f>Time!CS$108</f>
        <v>1</v>
      </c>
      <c r="CT175" s="539">
        <f>Time!CT$108</f>
        <v>0</v>
      </c>
      <c r="CU175" s="539">
        <f>Time!CU$108</f>
        <v>0</v>
      </c>
      <c r="CV175" s="539">
        <f>Time!CV$108</f>
        <v>0</v>
      </c>
      <c r="CW175" s="539">
        <f>Time!CW$108</f>
        <v>1</v>
      </c>
      <c r="CX175" s="539">
        <f>Time!CX$108</f>
        <v>0</v>
      </c>
      <c r="CY175" s="539">
        <f>Time!CY$108</f>
        <v>0</v>
      </c>
      <c r="CZ175" s="539">
        <f>Time!CZ$108</f>
        <v>0</v>
      </c>
      <c r="DA175" s="539">
        <f>Time!DA$108</f>
        <v>1</v>
      </c>
      <c r="DB175" s="539">
        <f>Time!DB$108</f>
        <v>0</v>
      </c>
      <c r="DC175" s="539">
        <f>Time!DC$108</f>
        <v>0</v>
      </c>
      <c r="DD175" s="539">
        <f>Time!DD$108</f>
        <v>0</v>
      </c>
      <c r="DE175" s="539">
        <f>Time!DE$108</f>
        <v>1</v>
      </c>
      <c r="DF175" s="539">
        <f>Time!DF$108</f>
        <v>0</v>
      </c>
      <c r="DG175" s="539">
        <f>Time!DG$108</f>
        <v>0</v>
      </c>
      <c r="DH175" s="539">
        <f>Time!DH$108</f>
        <v>0</v>
      </c>
      <c r="DI175" s="539">
        <f>Time!DI$108</f>
        <v>1</v>
      </c>
      <c r="DJ175" s="539">
        <f>Time!DJ$108</f>
        <v>0</v>
      </c>
      <c r="DK175" s="539">
        <f>Time!DK$108</f>
        <v>0</v>
      </c>
      <c r="DL175" s="539">
        <f>Time!DL$108</f>
        <v>0</v>
      </c>
      <c r="DM175" s="539">
        <f>Time!DM$108</f>
        <v>1</v>
      </c>
      <c r="DN175" s="539">
        <f>Time!DN$108</f>
        <v>0</v>
      </c>
      <c r="DO175" s="539">
        <f>Time!DO$108</f>
        <v>0</v>
      </c>
      <c r="DP175" s="539">
        <f>Time!DP$108</f>
        <v>0</v>
      </c>
      <c r="DQ175" s="539">
        <f>Time!DQ$108</f>
        <v>1</v>
      </c>
      <c r="DR175" s="539">
        <f>Time!DR$108</f>
        <v>0</v>
      </c>
      <c r="DS175" s="539">
        <f>Time!DS$108</f>
        <v>0</v>
      </c>
      <c r="DT175" s="539">
        <f>Time!DT$108</f>
        <v>0</v>
      </c>
      <c r="DU175" s="539">
        <f>Time!DU$108</f>
        <v>1</v>
      </c>
      <c r="DV175" s="539">
        <f>Time!DV$108</f>
        <v>0</v>
      </c>
      <c r="DW175" s="539">
        <f>Time!DW$108</f>
        <v>0</v>
      </c>
      <c r="DX175" s="539">
        <f>Time!DX$108</f>
        <v>0</v>
      </c>
      <c r="DY175" s="539">
        <f>Time!DY$108</f>
        <v>1</v>
      </c>
      <c r="DZ175" s="539">
        <f>Time!DZ$108</f>
        <v>0</v>
      </c>
      <c r="EA175" s="539">
        <f>Time!EA$108</f>
        <v>0</v>
      </c>
      <c r="EB175" s="539">
        <f>Time!EB$108</f>
        <v>0</v>
      </c>
      <c r="EC175" s="539">
        <f>Time!EC$108</f>
        <v>1</v>
      </c>
      <c r="ED175" s="539">
        <f>Time!ED$108</f>
        <v>0</v>
      </c>
      <c r="EE175" s="539">
        <f>Time!EE$108</f>
        <v>0</v>
      </c>
      <c r="EF175" s="539">
        <f>Time!EF$108</f>
        <v>0</v>
      </c>
      <c r="EG175" s="539">
        <f>Time!EG$108</f>
        <v>1</v>
      </c>
    </row>
    <row r="176" spans="5:137" ht="12.75">
      <c r="E176" s="551" t="s">
        <v>555</v>
      </c>
      <c r="F176" s="552"/>
      <c r="G176" s="552" t="s">
        <v>30</v>
      </c>
      <c r="H176" s="552">
        <f>SUM(J176:EG176)</f>
        <v>3474919.3743551578</v>
      </c>
      <c r="I176" s="552"/>
      <c r="J176" s="552">
        <f t="shared" si="37" ref="J176:EG176">IF(J175=1,J119,0)</f>
        <v>0</v>
      </c>
      <c r="K176" s="552">
        <f t="shared" si="37"/>
        <v>0</v>
      </c>
      <c r="L176" s="552">
        <f t="shared" si="37"/>
        <v>0</v>
      </c>
      <c r="M176" s="552">
        <f t="shared" si="37"/>
        <v>0</v>
      </c>
      <c r="N176" s="552">
        <f t="shared" si="37"/>
        <v>0</v>
      </c>
      <c r="O176" s="552">
        <f t="shared" si="37"/>
        <v>0</v>
      </c>
      <c r="P176" s="552">
        <f t="shared" si="37"/>
        <v>0</v>
      </c>
      <c r="Q176" s="552">
        <f t="shared" si="37"/>
        <v>0</v>
      </c>
      <c r="R176" s="552">
        <f t="shared" si="37"/>
        <v>0</v>
      </c>
      <c r="S176" s="552">
        <f t="shared" si="37"/>
        <v>0</v>
      </c>
      <c r="T176" s="552">
        <f t="shared" si="37"/>
        <v>0</v>
      </c>
      <c r="U176" s="552">
        <f t="shared" si="37"/>
        <v>150485.89391819033</v>
      </c>
      <c r="V176" s="552">
        <f t="shared" si="37"/>
        <v>0</v>
      </c>
      <c r="W176" s="552">
        <f t="shared" si="37"/>
        <v>0</v>
      </c>
      <c r="X176" s="552">
        <f t="shared" si="37"/>
        <v>0</v>
      </c>
      <c r="Y176" s="552">
        <f t="shared" si="37"/>
        <v>0</v>
      </c>
      <c r="Z176" s="552">
        <f t="shared" si="37"/>
        <v>0</v>
      </c>
      <c r="AA176" s="552">
        <f t="shared" si="37"/>
        <v>0</v>
      </c>
      <c r="AB176" s="552">
        <f t="shared" si="37"/>
        <v>0</v>
      </c>
      <c r="AC176" s="552">
        <f t="shared" si="37"/>
        <v>0</v>
      </c>
      <c r="AD176" s="552">
        <f t="shared" si="37"/>
        <v>0</v>
      </c>
      <c r="AE176" s="552">
        <f t="shared" si="37"/>
        <v>0</v>
      </c>
      <c r="AF176" s="552">
        <f t="shared" si="37"/>
        <v>0</v>
      </c>
      <c r="AG176" s="552">
        <f t="shared" si="37"/>
        <v>312104.82128662599</v>
      </c>
      <c r="AH176" s="552">
        <f t="shared" si="37"/>
        <v>0</v>
      </c>
      <c r="AI176" s="552">
        <f t="shared" si="37"/>
        <v>0</v>
      </c>
      <c r="AJ176" s="552">
        <f t="shared" si="37"/>
        <v>0</v>
      </c>
      <c r="AK176" s="552">
        <f t="shared" si="37"/>
        <v>298644.61881202459</v>
      </c>
      <c r="AL176" s="552">
        <f t="shared" si="37"/>
        <v>0</v>
      </c>
      <c r="AM176" s="552">
        <f t="shared" si="37"/>
        <v>0</v>
      </c>
      <c r="AN176" s="552">
        <f t="shared" si="37"/>
        <v>0</v>
      </c>
      <c r="AO176" s="552">
        <f t="shared" si="37"/>
        <v>282194.26512551337</v>
      </c>
      <c r="AP176" s="552">
        <f t="shared" si="37"/>
        <v>0</v>
      </c>
      <c r="AQ176" s="552">
        <f t="shared" si="37"/>
        <v>0</v>
      </c>
      <c r="AR176" s="552">
        <f t="shared" si="37"/>
        <v>0</v>
      </c>
      <c r="AS176" s="552">
        <f t="shared" si="37"/>
        <v>264098.90058415278</v>
      </c>
      <c r="AT176" s="552">
        <f t="shared" si="37"/>
        <v>0</v>
      </c>
      <c r="AU176" s="552">
        <f t="shared" si="37"/>
        <v>0</v>
      </c>
      <c r="AV176" s="552">
        <f t="shared" si="37"/>
        <v>0</v>
      </c>
      <c r="AW176" s="552">
        <f t="shared" si="37"/>
        <v>251408.80071251502</v>
      </c>
      <c r="AX176" s="552">
        <f t="shared" si="37"/>
        <v>0</v>
      </c>
      <c r="AY176" s="552">
        <f t="shared" si="37"/>
        <v>0</v>
      </c>
      <c r="AZ176" s="552">
        <f t="shared" si="37"/>
        <v>0</v>
      </c>
      <c r="BA176" s="552">
        <f t="shared" si="37"/>
        <v>228272.73825344621</v>
      </c>
      <c r="BB176" s="552">
        <f t="shared" si="37"/>
        <v>0</v>
      </c>
      <c r="BC176" s="552">
        <f t="shared" si="37"/>
        <v>0</v>
      </c>
      <c r="BD176" s="552">
        <f t="shared" si="37"/>
        <v>0</v>
      </c>
      <c r="BE176" s="552">
        <f t="shared" si="37"/>
        <v>204922.96437169469</v>
      </c>
      <c r="BF176" s="552">
        <f t="shared" si="37"/>
        <v>0</v>
      </c>
      <c r="BG176" s="552">
        <f t="shared" si="37"/>
        <v>0</v>
      </c>
      <c r="BH176" s="552">
        <f t="shared" si="37"/>
        <v>0</v>
      </c>
      <c r="BI176" s="552">
        <f t="shared" si="37"/>
        <v>194054.32361671916</v>
      </c>
      <c r="BJ176" s="552">
        <f t="shared" si="37"/>
        <v>0</v>
      </c>
      <c r="BK176" s="552">
        <f t="shared" si="37"/>
        <v>0</v>
      </c>
      <c r="BL176" s="552">
        <f t="shared" si="37"/>
        <v>0</v>
      </c>
      <c r="BM176" s="552">
        <f t="shared" si="37"/>
        <v>183802.91846846222</v>
      </c>
      <c r="BN176" s="552">
        <f t="shared" si="37"/>
        <v>0</v>
      </c>
      <c r="BO176" s="552">
        <f t="shared" si="37"/>
        <v>0</v>
      </c>
      <c r="BP176" s="552">
        <f t="shared" si="37"/>
        <v>0</v>
      </c>
      <c r="BQ176" s="552">
        <f t="shared" si="37"/>
        <v>172796.52571115165</v>
      </c>
      <c r="BR176" s="552">
        <f t="shared" si="37"/>
        <v>0</v>
      </c>
      <c r="BS176" s="552">
        <f t="shared" si="37"/>
        <v>0</v>
      </c>
      <c r="BT176" s="552">
        <f t="shared" si="37"/>
        <v>0</v>
      </c>
      <c r="BU176" s="552">
        <f t="shared" si="37"/>
        <v>159251.6024760099</v>
      </c>
      <c r="BV176" s="552">
        <f t="shared" si="37"/>
        <v>0</v>
      </c>
      <c r="BW176" s="552">
        <f t="shared" si="37"/>
        <v>0</v>
      </c>
      <c r="BX176" s="552">
        <f t="shared" si="37"/>
        <v>0</v>
      </c>
      <c r="BY176" s="552">
        <f t="shared" si="37"/>
        <v>145186.23086525744</v>
      </c>
      <c r="BZ176" s="552">
        <f t="shared" si="37"/>
        <v>0</v>
      </c>
      <c r="CA176" s="552">
        <f t="shared" si="37"/>
        <v>0</v>
      </c>
      <c r="CB176" s="552">
        <f t="shared" si="37"/>
        <v>0</v>
      </c>
      <c r="CC176" s="552">
        <f t="shared" si="37"/>
        <v>129612.31299094162</v>
      </c>
      <c r="CD176" s="552">
        <f t="shared" si="37"/>
        <v>0</v>
      </c>
      <c r="CE176" s="552">
        <f t="shared" si="37"/>
        <v>0</v>
      </c>
      <c r="CF176" s="552">
        <f t="shared" si="37"/>
        <v>0</v>
      </c>
      <c r="CG176" s="552">
        <f t="shared" si="37"/>
        <v>114563.06782598552</v>
      </c>
      <c r="CH176" s="552">
        <f t="shared" si="37"/>
        <v>0</v>
      </c>
      <c r="CI176" s="552">
        <f t="shared" si="37"/>
        <v>0</v>
      </c>
      <c r="CJ176" s="552">
        <f t="shared" si="37"/>
        <v>0</v>
      </c>
      <c r="CK176" s="552">
        <f t="shared" si="37"/>
        <v>98445.295492353558</v>
      </c>
      <c r="CL176" s="552">
        <f t="shared" si="37"/>
        <v>0</v>
      </c>
      <c r="CM176" s="552">
        <f t="shared" si="37"/>
        <v>0</v>
      </c>
      <c r="CN176" s="552">
        <f t="shared" si="37"/>
        <v>0</v>
      </c>
      <c r="CO176" s="552">
        <f t="shared" si="37"/>
        <v>80060.616707111854</v>
      </c>
      <c r="CP176" s="552">
        <f t="shared" si="37"/>
        <v>0</v>
      </c>
      <c r="CQ176" s="552">
        <f t="shared" si="37"/>
        <v>0</v>
      </c>
      <c r="CR176" s="552">
        <f t="shared" si="37"/>
        <v>0</v>
      </c>
      <c r="CS176" s="552">
        <f t="shared" si="37"/>
        <v>61665.339019688239</v>
      </c>
      <c r="CT176" s="552">
        <f t="shared" si="37"/>
        <v>0</v>
      </c>
      <c r="CU176" s="552">
        <f t="shared" si="37"/>
        <v>0</v>
      </c>
      <c r="CV176" s="552">
        <f t="shared" si="37"/>
        <v>0</v>
      </c>
      <c r="CW176" s="552">
        <f t="shared" si="37"/>
        <v>42090.347094923105</v>
      </c>
      <c r="CX176" s="552">
        <f t="shared" si="37"/>
        <v>0</v>
      </c>
      <c r="CY176" s="552">
        <f t="shared" si="37"/>
        <v>0</v>
      </c>
      <c r="CZ176" s="552">
        <f t="shared" si="37"/>
        <v>0</v>
      </c>
      <c r="DA176" s="552">
        <f t="shared" si="37"/>
        <v>21296.423447361147</v>
      </c>
      <c r="DB176" s="552">
        <f t="shared" si="37"/>
        <v>0</v>
      </c>
      <c r="DC176" s="552">
        <f t="shared" si="37"/>
        <v>0</v>
      </c>
      <c r="DD176" s="552">
        <f t="shared" si="37"/>
        <v>0</v>
      </c>
      <c r="DE176" s="552">
        <f t="shared" si="37"/>
        <v>18919.194017337155</v>
      </c>
      <c r="DF176" s="552">
        <f t="shared" si="37"/>
        <v>0</v>
      </c>
      <c r="DG176" s="552">
        <f t="shared" si="37"/>
        <v>0</v>
      </c>
      <c r="DH176" s="552">
        <f t="shared" si="37"/>
        <v>0</v>
      </c>
      <c r="DI176" s="552">
        <f t="shared" si="37"/>
        <v>16469.494551148324</v>
      </c>
      <c r="DJ176" s="552">
        <f t="shared" si="37"/>
        <v>0</v>
      </c>
      <c r="DK176" s="552">
        <f t="shared" si="37"/>
        <v>0</v>
      </c>
      <c r="DL176" s="552">
        <f t="shared" si="37"/>
        <v>0</v>
      </c>
      <c r="DM176" s="552">
        <f t="shared" si="37"/>
        <v>13959.993591778046</v>
      </c>
      <c r="DN176" s="552">
        <f t="shared" si="37"/>
        <v>0</v>
      </c>
      <c r="DO176" s="552">
        <f t="shared" si="37"/>
        <v>0</v>
      </c>
      <c r="DP176" s="552">
        <f t="shared" si="37"/>
        <v>0</v>
      </c>
      <c r="DQ176" s="552">
        <f t="shared" si="37"/>
        <v>11401.241612922513</v>
      </c>
      <c r="DR176" s="552">
        <f t="shared" si="37"/>
        <v>0</v>
      </c>
      <c r="DS176" s="552">
        <f t="shared" si="37"/>
        <v>0</v>
      </c>
      <c r="DT176" s="552">
        <f t="shared" si="37"/>
        <v>0</v>
      </c>
      <c r="DU176" s="552">
        <f t="shared" si="37"/>
        <v>8802.0276548695037</v>
      </c>
      <c r="DV176" s="552">
        <f t="shared" si="37"/>
        <v>0</v>
      </c>
      <c r="DW176" s="552">
        <f t="shared" si="37"/>
        <v>0</v>
      </c>
      <c r="DX176" s="552">
        <f t="shared" si="37"/>
        <v>0</v>
      </c>
      <c r="DY176" s="552">
        <f t="shared" si="37"/>
        <v>6169.6759803973</v>
      </c>
      <c r="DZ176" s="552">
        <f t="shared" si="37"/>
        <v>0</v>
      </c>
      <c r="EA176" s="552">
        <f t="shared" si="37"/>
        <v>0</v>
      </c>
      <c r="EB176" s="552">
        <f t="shared" si="37"/>
        <v>0</v>
      </c>
      <c r="EC176" s="552">
        <f t="shared" si="37"/>
        <v>4239.7401665761354</v>
      </c>
      <c r="ED176" s="552">
        <f t="shared" si="37"/>
        <v>0</v>
      </c>
      <c r="EE176" s="552">
        <f t="shared" si="37"/>
        <v>0</v>
      </c>
      <c r="EF176" s="552">
        <f t="shared" si="37"/>
        <v>0</v>
      </c>
      <c r="EG176" s="552">
        <f t="shared" si="37"/>
        <v>-1.7962520360015333E-11</v>
      </c>
    </row>
    <row r="178" spans="5:137" ht="12.75">
      <c r="E178" s="538" t="str">
        <f>Time!E$108</f>
        <v>End of financial year flag</v>
      </c>
      <c r="G178" s="539" t="str">
        <f>Time!G$108</f>
        <v>flag</v>
      </c>
      <c r="H178" s="539">
        <f>Time!H$108</f>
        <v>28</v>
      </c>
      <c r="J178" s="539">
        <f>Time!J$108</f>
        <v>0</v>
      </c>
      <c r="K178" s="539">
        <f>Time!K$108</f>
        <v>0</v>
      </c>
      <c r="L178" s="539">
        <f>Time!L$108</f>
        <v>0</v>
      </c>
      <c r="M178" s="539">
        <f>Time!M$108</f>
        <v>0</v>
      </c>
      <c r="N178" s="539">
        <f>Time!N$108</f>
        <v>0</v>
      </c>
      <c r="O178" s="539">
        <f>Time!O$108</f>
        <v>0</v>
      </c>
      <c r="P178" s="539">
        <f>Time!P$108</f>
        <v>0</v>
      </c>
      <c r="Q178" s="539">
        <f>Time!Q$108</f>
        <v>0</v>
      </c>
      <c r="R178" s="539">
        <f>Time!R$108</f>
        <v>0</v>
      </c>
      <c r="S178" s="539">
        <f>Time!S$108</f>
        <v>0</v>
      </c>
      <c r="T178" s="539">
        <f>Time!T$108</f>
        <v>0</v>
      </c>
      <c r="U178" s="539">
        <f>Time!U$108</f>
        <v>1</v>
      </c>
      <c r="V178" s="539">
        <f>Time!V$108</f>
        <v>0</v>
      </c>
      <c r="W178" s="539">
        <f>Time!W$108</f>
        <v>0</v>
      </c>
      <c r="X178" s="539">
        <f>Time!X$108</f>
        <v>0</v>
      </c>
      <c r="Y178" s="539">
        <f>Time!Y$108</f>
        <v>0</v>
      </c>
      <c r="Z178" s="539">
        <f>Time!Z$108</f>
        <v>0</v>
      </c>
      <c r="AA178" s="539">
        <f>Time!AA$108</f>
        <v>0</v>
      </c>
      <c r="AB178" s="539">
        <f>Time!AB$108</f>
        <v>0</v>
      </c>
      <c r="AC178" s="539">
        <f>Time!AC$108</f>
        <v>0</v>
      </c>
      <c r="AD178" s="539">
        <f>Time!AD$108</f>
        <v>0</v>
      </c>
      <c r="AE178" s="539">
        <f>Time!AE$108</f>
        <v>0</v>
      </c>
      <c r="AF178" s="539">
        <f>Time!AF$108</f>
        <v>0</v>
      </c>
      <c r="AG178" s="539">
        <f>Time!AG$108</f>
        <v>1</v>
      </c>
      <c r="AH178" s="539">
        <f>Time!AH$108</f>
        <v>0</v>
      </c>
      <c r="AI178" s="539">
        <f>Time!AI$108</f>
        <v>0</v>
      </c>
      <c r="AJ178" s="539">
        <f>Time!AJ$108</f>
        <v>0</v>
      </c>
      <c r="AK178" s="539">
        <f>Time!AK$108</f>
        <v>1</v>
      </c>
      <c r="AL178" s="539">
        <f>Time!AL$108</f>
        <v>0</v>
      </c>
      <c r="AM178" s="539">
        <f>Time!AM$108</f>
        <v>0</v>
      </c>
      <c r="AN178" s="539">
        <f>Time!AN$108</f>
        <v>0</v>
      </c>
      <c r="AO178" s="539">
        <f>Time!AO$108</f>
        <v>1</v>
      </c>
      <c r="AP178" s="539">
        <f>Time!AP$108</f>
        <v>0</v>
      </c>
      <c r="AQ178" s="539">
        <f>Time!AQ$108</f>
        <v>0</v>
      </c>
      <c r="AR178" s="539">
        <f>Time!AR$108</f>
        <v>0</v>
      </c>
      <c r="AS178" s="539">
        <f>Time!AS$108</f>
        <v>1</v>
      </c>
      <c r="AT178" s="539">
        <f>Time!AT$108</f>
        <v>0</v>
      </c>
      <c r="AU178" s="539">
        <f>Time!AU$108</f>
        <v>0</v>
      </c>
      <c r="AV178" s="539">
        <f>Time!AV$108</f>
        <v>0</v>
      </c>
      <c r="AW178" s="539">
        <f>Time!AW$108</f>
        <v>1</v>
      </c>
      <c r="AX178" s="539">
        <f>Time!AX$108</f>
        <v>0</v>
      </c>
      <c r="AY178" s="539">
        <f>Time!AY$108</f>
        <v>0</v>
      </c>
      <c r="AZ178" s="539">
        <f>Time!AZ$108</f>
        <v>0</v>
      </c>
      <c r="BA178" s="539">
        <f>Time!BA$108</f>
        <v>1</v>
      </c>
      <c r="BB178" s="539">
        <f>Time!BB$108</f>
        <v>0</v>
      </c>
      <c r="BC178" s="539">
        <f>Time!BC$108</f>
        <v>0</v>
      </c>
      <c r="BD178" s="539">
        <f>Time!BD$108</f>
        <v>0</v>
      </c>
      <c r="BE178" s="539">
        <f>Time!BE$108</f>
        <v>1</v>
      </c>
      <c r="BF178" s="539">
        <f>Time!BF$108</f>
        <v>0</v>
      </c>
      <c r="BG178" s="539">
        <f>Time!BG$108</f>
        <v>0</v>
      </c>
      <c r="BH178" s="539">
        <f>Time!BH$108</f>
        <v>0</v>
      </c>
      <c r="BI178" s="539">
        <f>Time!BI$108</f>
        <v>1</v>
      </c>
      <c r="BJ178" s="539">
        <f>Time!BJ$108</f>
        <v>0</v>
      </c>
      <c r="BK178" s="539">
        <f>Time!BK$108</f>
        <v>0</v>
      </c>
      <c r="BL178" s="539">
        <f>Time!BL$108</f>
        <v>0</v>
      </c>
      <c r="BM178" s="539">
        <f>Time!BM$108</f>
        <v>1</v>
      </c>
      <c r="BN178" s="539">
        <f>Time!BN$108</f>
        <v>0</v>
      </c>
      <c r="BO178" s="539">
        <f>Time!BO$108</f>
        <v>0</v>
      </c>
      <c r="BP178" s="539">
        <f>Time!BP$108</f>
        <v>0</v>
      </c>
      <c r="BQ178" s="539">
        <f>Time!BQ$108</f>
        <v>1</v>
      </c>
      <c r="BR178" s="539">
        <f>Time!BR$108</f>
        <v>0</v>
      </c>
      <c r="BS178" s="539">
        <f>Time!BS$108</f>
        <v>0</v>
      </c>
      <c r="BT178" s="539">
        <f>Time!BT$108</f>
        <v>0</v>
      </c>
      <c r="BU178" s="539">
        <f>Time!BU$108</f>
        <v>1</v>
      </c>
      <c r="BV178" s="539">
        <f>Time!BV$108</f>
        <v>0</v>
      </c>
      <c r="BW178" s="539">
        <f>Time!BW$108</f>
        <v>0</v>
      </c>
      <c r="BX178" s="539">
        <f>Time!BX$108</f>
        <v>0</v>
      </c>
      <c r="BY178" s="539">
        <f>Time!BY$108</f>
        <v>1</v>
      </c>
      <c r="BZ178" s="539">
        <f>Time!BZ$108</f>
        <v>0</v>
      </c>
      <c r="CA178" s="539">
        <f>Time!CA$108</f>
        <v>0</v>
      </c>
      <c r="CB178" s="539">
        <f>Time!CB$108</f>
        <v>0</v>
      </c>
      <c r="CC178" s="539">
        <f>Time!CC$108</f>
        <v>1</v>
      </c>
      <c r="CD178" s="539">
        <f>Time!CD$108</f>
        <v>0</v>
      </c>
      <c r="CE178" s="539">
        <f>Time!CE$108</f>
        <v>0</v>
      </c>
      <c r="CF178" s="539">
        <f>Time!CF$108</f>
        <v>0</v>
      </c>
      <c r="CG178" s="539">
        <f>Time!CG$108</f>
        <v>1</v>
      </c>
      <c r="CH178" s="539">
        <f>Time!CH$108</f>
        <v>0</v>
      </c>
      <c r="CI178" s="539">
        <f>Time!CI$108</f>
        <v>0</v>
      </c>
      <c r="CJ178" s="539">
        <f>Time!CJ$108</f>
        <v>0</v>
      </c>
      <c r="CK178" s="539">
        <f>Time!CK$108</f>
        <v>1</v>
      </c>
      <c r="CL178" s="539">
        <f>Time!CL$108</f>
        <v>0</v>
      </c>
      <c r="CM178" s="539">
        <f>Time!CM$108</f>
        <v>0</v>
      </c>
      <c r="CN178" s="539">
        <f>Time!CN$108</f>
        <v>0</v>
      </c>
      <c r="CO178" s="539">
        <f>Time!CO$108</f>
        <v>1</v>
      </c>
      <c r="CP178" s="539">
        <f>Time!CP$108</f>
        <v>0</v>
      </c>
      <c r="CQ178" s="539">
        <f>Time!CQ$108</f>
        <v>0</v>
      </c>
      <c r="CR178" s="539">
        <f>Time!CR$108</f>
        <v>0</v>
      </c>
      <c r="CS178" s="539">
        <f>Time!CS$108</f>
        <v>1</v>
      </c>
      <c r="CT178" s="539">
        <f>Time!CT$108</f>
        <v>0</v>
      </c>
      <c r="CU178" s="539">
        <f>Time!CU$108</f>
        <v>0</v>
      </c>
      <c r="CV178" s="539">
        <f>Time!CV$108</f>
        <v>0</v>
      </c>
      <c r="CW178" s="539">
        <f>Time!CW$108</f>
        <v>1</v>
      </c>
      <c r="CX178" s="539">
        <f>Time!CX$108</f>
        <v>0</v>
      </c>
      <c r="CY178" s="539">
        <f>Time!CY$108</f>
        <v>0</v>
      </c>
      <c r="CZ178" s="539">
        <f>Time!CZ$108</f>
        <v>0</v>
      </c>
      <c r="DA178" s="539">
        <f>Time!DA$108</f>
        <v>1</v>
      </c>
      <c r="DB178" s="539">
        <f>Time!DB$108</f>
        <v>0</v>
      </c>
      <c r="DC178" s="539">
        <f>Time!DC$108</f>
        <v>0</v>
      </c>
      <c r="DD178" s="539">
        <f>Time!DD$108</f>
        <v>0</v>
      </c>
      <c r="DE178" s="539">
        <f>Time!DE$108</f>
        <v>1</v>
      </c>
      <c r="DF178" s="539">
        <f>Time!DF$108</f>
        <v>0</v>
      </c>
      <c r="DG178" s="539">
        <f>Time!DG$108</f>
        <v>0</v>
      </c>
      <c r="DH178" s="539">
        <f>Time!DH$108</f>
        <v>0</v>
      </c>
      <c r="DI178" s="539">
        <f>Time!DI$108</f>
        <v>1</v>
      </c>
      <c r="DJ178" s="539">
        <f>Time!DJ$108</f>
        <v>0</v>
      </c>
      <c r="DK178" s="539">
        <f>Time!DK$108</f>
        <v>0</v>
      </c>
      <c r="DL178" s="539">
        <f>Time!DL$108</f>
        <v>0</v>
      </c>
      <c r="DM178" s="539">
        <f>Time!DM$108</f>
        <v>1</v>
      </c>
      <c r="DN178" s="539">
        <f>Time!DN$108</f>
        <v>0</v>
      </c>
      <c r="DO178" s="539">
        <f>Time!DO$108</f>
        <v>0</v>
      </c>
      <c r="DP178" s="539">
        <f>Time!DP$108</f>
        <v>0</v>
      </c>
      <c r="DQ178" s="539">
        <f>Time!DQ$108</f>
        <v>1</v>
      </c>
      <c r="DR178" s="539">
        <f>Time!DR$108</f>
        <v>0</v>
      </c>
      <c r="DS178" s="539">
        <f>Time!DS$108</f>
        <v>0</v>
      </c>
      <c r="DT178" s="539">
        <f>Time!DT$108</f>
        <v>0</v>
      </c>
      <c r="DU178" s="539">
        <f>Time!DU$108</f>
        <v>1</v>
      </c>
      <c r="DV178" s="539">
        <f>Time!DV$108</f>
        <v>0</v>
      </c>
      <c r="DW178" s="539">
        <f>Time!DW$108</f>
        <v>0</v>
      </c>
      <c r="DX178" s="539">
        <f>Time!DX$108</f>
        <v>0</v>
      </c>
      <c r="DY178" s="539">
        <f>Time!DY$108</f>
        <v>1</v>
      </c>
      <c r="DZ178" s="539">
        <f>Time!DZ$108</f>
        <v>0</v>
      </c>
      <c r="EA178" s="539">
        <f>Time!EA$108</f>
        <v>0</v>
      </c>
      <c r="EB178" s="539">
        <f>Time!EB$108</f>
        <v>0</v>
      </c>
      <c r="EC178" s="539">
        <f>Time!EC$108</f>
        <v>1</v>
      </c>
      <c r="ED178" s="539">
        <f>Time!ED$108</f>
        <v>0</v>
      </c>
      <c r="EE178" s="539">
        <f>Time!EE$108</f>
        <v>0</v>
      </c>
      <c r="EF178" s="539">
        <f>Time!EF$108</f>
        <v>0</v>
      </c>
      <c r="EG178" s="539">
        <f>Time!EG$108</f>
        <v>1</v>
      </c>
    </row>
    <row r="179" spans="5:137" ht="12.75">
      <c r="E179" s="551" t="s">
        <v>556</v>
      </c>
      <c r="F179" s="552"/>
      <c r="G179" s="552" t="s">
        <v>30</v>
      </c>
      <c r="H179" s="552">
        <f>SUM(J179:EG179)</f>
        <v>976351.91296114388</v>
      </c>
      <c r="I179" s="552"/>
      <c r="J179" s="552">
        <f t="shared" si="38" ref="J179:EG179">IF(J178=1,J124,0)</f>
        <v>0</v>
      </c>
      <c r="K179" s="552">
        <f t="shared" si="38"/>
        <v>0</v>
      </c>
      <c r="L179" s="552">
        <f t="shared" si="38"/>
        <v>0</v>
      </c>
      <c r="M179" s="552">
        <f t="shared" si="38"/>
        <v>0</v>
      </c>
      <c r="N179" s="552">
        <f t="shared" si="38"/>
        <v>0</v>
      </c>
      <c r="O179" s="552">
        <f t="shared" si="38"/>
        <v>0</v>
      </c>
      <c r="P179" s="552">
        <f t="shared" si="38"/>
        <v>0</v>
      </c>
      <c r="Q179" s="552">
        <f t="shared" si="38"/>
        <v>0</v>
      </c>
      <c r="R179" s="552">
        <f t="shared" si="38"/>
        <v>0</v>
      </c>
      <c r="S179" s="552">
        <f t="shared" si="38"/>
        <v>0</v>
      </c>
      <c r="T179" s="552">
        <f t="shared" si="38"/>
        <v>0</v>
      </c>
      <c r="U179" s="552">
        <f t="shared" si="38"/>
        <v>11662.123268586041</v>
      </c>
      <c r="V179" s="552">
        <f t="shared" si="38"/>
        <v>0</v>
      </c>
      <c r="W179" s="552">
        <f t="shared" si="38"/>
        <v>0</v>
      </c>
      <c r="X179" s="552">
        <f t="shared" si="38"/>
        <v>0</v>
      </c>
      <c r="Y179" s="552">
        <f t="shared" si="38"/>
        <v>0</v>
      </c>
      <c r="Z179" s="552">
        <f t="shared" si="38"/>
        <v>0</v>
      </c>
      <c r="AA179" s="552">
        <f t="shared" si="38"/>
        <v>0</v>
      </c>
      <c r="AB179" s="552">
        <f t="shared" si="38"/>
        <v>0</v>
      </c>
      <c r="AC179" s="552">
        <f t="shared" si="38"/>
        <v>0</v>
      </c>
      <c r="AD179" s="552">
        <f t="shared" si="38"/>
        <v>0</v>
      </c>
      <c r="AE179" s="552">
        <f t="shared" si="38"/>
        <v>0</v>
      </c>
      <c r="AF179" s="552">
        <f t="shared" si="38"/>
        <v>0</v>
      </c>
      <c r="AG179" s="552">
        <f t="shared" si="38"/>
        <v>7465.7739434478799</v>
      </c>
      <c r="AH179" s="552">
        <f t="shared" si="38"/>
        <v>0</v>
      </c>
      <c r="AI179" s="552">
        <f t="shared" si="38"/>
        <v>0</v>
      </c>
      <c r="AJ179" s="552">
        <f t="shared" si="38"/>
        <v>0</v>
      </c>
      <c r="AK179" s="552">
        <f t="shared" si="38"/>
        <v>10083.08619199205</v>
      </c>
      <c r="AL179" s="552">
        <f t="shared" si="38"/>
        <v>0</v>
      </c>
      <c r="AM179" s="552">
        <f t="shared" si="38"/>
        <v>0</v>
      </c>
      <c r="AN179" s="552">
        <f t="shared" si="38"/>
        <v>0</v>
      </c>
      <c r="AO179" s="552">
        <f t="shared" si="38"/>
        <v>14216.880981009666</v>
      </c>
      <c r="AP179" s="552">
        <f t="shared" si="38"/>
        <v>0</v>
      </c>
      <c r="AQ179" s="552">
        <f t="shared" si="38"/>
        <v>0</v>
      </c>
      <c r="AR179" s="552">
        <f t="shared" si="38"/>
        <v>0</v>
      </c>
      <c r="AS179" s="552">
        <f t="shared" si="38"/>
        <v>20000.037712446567</v>
      </c>
      <c r="AT179" s="552">
        <f t="shared" si="38"/>
        <v>0</v>
      </c>
      <c r="AU179" s="552">
        <f t="shared" si="38"/>
        <v>0</v>
      </c>
      <c r="AV179" s="552">
        <f t="shared" si="38"/>
        <v>0</v>
      </c>
      <c r="AW179" s="552">
        <f t="shared" si="38"/>
        <v>27338.041495635232</v>
      </c>
      <c r="AX179" s="552">
        <f t="shared" si="38"/>
        <v>0</v>
      </c>
      <c r="AY179" s="552">
        <f t="shared" si="38"/>
        <v>0</v>
      </c>
      <c r="AZ179" s="552">
        <f t="shared" si="38"/>
        <v>0</v>
      </c>
      <c r="BA179" s="552">
        <f t="shared" si="38"/>
        <v>31076.187144390911</v>
      </c>
      <c r="BB179" s="552">
        <f t="shared" si="38"/>
        <v>0</v>
      </c>
      <c r="BC179" s="552">
        <f t="shared" si="38"/>
        <v>0</v>
      </c>
      <c r="BD179" s="552">
        <f t="shared" si="38"/>
        <v>0</v>
      </c>
      <c r="BE179" s="552">
        <f t="shared" si="38"/>
        <v>42051.428844268725</v>
      </c>
      <c r="BF179" s="552">
        <f t="shared" si="38"/>
        <v>0</v>
      </c>
      <c r="BG179" s="552">
        <f t="shared" si="38"/>
        <v>0</v>
      </c>
      <c r="BH179" s="552">
        <f t="shared" si="38"/>
        <v>0</v>
      </c>
      <c r="BI179" s="552">
        <f t="shared" si="38"/>
        <v>40561.212263955487</v>
      </c>
      <c r="BJ179" s="552">
        <f t="shared" si="38"/>
        <v>0</v>
      </c>
      <c r="BK179" s="552">
        <f t="shared" si="38"/>
        <v>0</v>
      </c>
      <c r="BL179" s="552">
        <f t="shared" si="38"/>
        <v>0</v>
      </c>
      <c r="BM179" s="552">
        <f t="shared" si="38"/>
        <v>38465.154768676774</v>
      </c>
      <c r="BN179" s="552">
        <f t="shared" si="38"/>
        <v>0</v>
      </c>
      <c r="BO179" s="552">
        <f t="shared" si="38"/>
        <v>0</v>
      </c>
      <c r="BP179" s="552">
        <f t="shared" si="38"/>
        <v>0</v>
      </c>
      <c r="BQ179" s="552">
        <f t="shared" si="38"/>
        <v>45118.129431995447</v>
      </c>
      <c r="BR179" s="552">
        <f t="shared" si="38"/>
        <v>0</v>
      </c>
      <c r="BS179" s="552">
        <f t="shared" si="38"/>
        <v>0</v>
      </c>
      <c r="BT179" s="552">
        <f t="shared" si="38"/>
        <v>0</v>
      </c>
      <c r="BU179" s="552">
        <f t="shared" si="38"/>
        <v>37779.426099676668</v>
      </c>
      <c r="BV179" s="552">
        <f t="shared" si="38"/>
        <v>0</v>
      </c>
      <c r="BW179" s="552">
        <f t="shared" si="38"/>
        <v>0</v>
      </c>
      <c r="BX179" s="552">
        <f t="shared" si="38"/>
        <v>0</v>
      </c>
      <c r="BY179" s="552">
        <f t="shared" si="38"/>
        <v>39045.511712944186</v>
      </c>
      <c r="BZ179" s="552">
        <f t="shared" si="38"/>
        <v>0</v>
      </c>
      <c r="CA179" s="552">
        <f t="shared" si="38"/>
        <v>0</v>
      </c>
      <c r="CB179" s="552">
        <f t="shared" si="38"/>
        <v>0</v>
      </c>
      <c r="CC179" s="552">
        <f t="shared" si="38"/>
        <v>41774.460628355941</v>
      </c>
      <c r="CD179" s="552">
        <f t="shared" si="38"/>
        <v>0</v>
      </c>
      <c r="CE179" s="552">
        <f t="shared" si="38"/>
        <v>0</v>
      </c>
      <c r="CF179" s="552">
        <f t="shared" si="38"/>
        <v>0</v>
      </c>
      <c r="CG179" s="552">
        <f t="shared" si="38"/>
        <v>44400.403338182659</v>
      </c>
      <c r="CH179" s="552">
        <f t="shared" si="38"/>
        <v>0</v>
      </c>
      <c r="CI179" s="552">
        <f t="shared" si="38"/>
        <v>0</v>
      </c>
      <c r="CJ179" s="552">
        <f t="shared" si="38"/>
        <v>0</v>
      </c>
      <c r="CK179" s="552">
        <f t="shared" si="38"/>
        <v>57587.828409603375</v>
      </c>
      <c r="CL179" s="552">
        <f t="shared" si="38"/>
        <v>0</v>
      </c>
      <c r="CM179" s="552">
        <f t="shared" si="38"/>
        <v>0</v>
      </c>
      <c r="CN179" s="552">
        <f t="shared" si="38"/>
        <v>0</v>
      </c>
      <c r="CO179" s="552">
        <f t="shared" si="38"/>
        <v>54086.523770549742</v>
      </c>
      <c r="CP179" s="552">
        <f t="shared" si="38"/>
        <v>0</v>
      </c>
      <c r="CQ179" s="552">
        <f t="shared" si="38"/>
        <v>0</v>
      </c>
      <c r="CR179" s="552">
        <f t="shared" si="38"/>
        <v>0</v>
      </c>
      <c r="CS179" s="552">
        <f t="shared" si="38"/>
        <v>60084.132389797524</v>
      </c>
      <c r="CT179" s="552">
        <f t="shared" si="38"/>
        <v>0</v>
      </c>
      <c r="CU179" s="552">
        <f t="shared" si="38"/>
        <v>0</v>
      </c>
      <c r="CV179" s="552">
        <f t="shared" si="38"/>
        <v>0</v>
      </c>
      <c r="CW179" s="552">
        <f t="shared" si="38"/>
        <v>67272.033755016964</v>
      </c>
      <c r="CX179" s="552">
        <f t="shared" si="38"/>
        <v>0</v>
      </c>
      <c r="CY179" s="552">
        <f t="shared" si="38"/>
        <v>0</v>
      </c>
      <c r="CZ179" s="552">
        <f t="shared" si="38"/>
        <v>0</v>
      </c>
      <c r="DA179" s="552">
        <f t="shared" si="38"/>
        <v>66038.84201035602</v>
      </c>
      <c r="DB179" s="552">
        <f t="shared" si="38"/>
        <v>0</v>
      </c>
      <c r="DC179" s="552">
        <f t="shared" si="38"/>
        <v>0</v>
      </c>
      <c r="DD179" s="552">
        <f t="shared" si="38"/>
        <v>0</v>
      </c>
      <c r="DE179" s="552">
        <f t="shared" si="38"/>
        <v>66945.473857320278</v>
      </c>
      <c r="DF179" s="552">
        <f t="shared" si="38"/>
        <v>0</v>
      </c>
      <c r="DG179" s="552">
        <f t="shared" si="38"/>
        <v>0</v>
      </c>
      <c r="DH179" s="552">
        <f t="shared" si="38"/>
        <v>0</v>
      </c>
      <c r="DI179" s="552">
        <f t="shared" si="38"/>
        <v>47771.873751060644</v>
      </c>
      <c r="DJ179" s="552">
        <f t="shared" si="38"/>
        <v>0</v>
      </c>
      <c r="DK179" s="552">
        <f t="shared" si="38"/>
        <v>0</v>
      </c>
      <c r="DL179" s="552">
        <f t="shared" si="38"/>
        <v>0</v>
      </c>
      <c r="DM179" s="552">
        <f t="shared" si="38"/>
        <v>38737.892076475102</v>
      </c>
      <c r="DN179" s="552">
        <f t="shared" si="38"/>
        <v>0</v>
      </c>
      <c r="DO179" s="552">
        <f t="shared" si="38"/>
        <v>0</v>
      </c>
      <c r="DP179" s="552">
        <f t="shared" si="38"/>
        <v>0</v>
      </c>
      <c r="DQ179" s="552">
        <f t="shared" si="38"/>
        <v>29755.533768695703</v>
      </c>
      <c r="DR179" s="552">
        <f t="shared" si="38"/>
        <v>0</v>
      </c>
      <c r="DS179" s="552">
        <f t="shared" si="38"/>
        <v>0</v>
      </c>
      <c r="DT179" s="552">
        <f t="shared" si="38"/>
        <v>0</v>
      </c>
      <c r="DU179" s="552">
        <f t="shared" si="38"/>
        <v>20816.057234381085</v>
      </c>
      <c r="DV179" s="552">
        <f t="shared" si="38"/>
        <v>0</v>
      </c>
      <c r="DW179" s="552">
        <f t="shared" si="38"/>
        <v>0</v>
      </c>
      <c r="DX179" s="552">
        <f t="shared" si="38"/>
        <v>0</v>
      </c>
      <c r="DY179" s="552">
        <f t="shared" si="38"/>
        <v>13909.446440123251</v>
      </c>
      <c r="DZ179" s="552">
        <f t="shared" si="38"/>
        <v>0</v>
      </c>
      <c r="EA179" s="552">
        <f t="shared" si="38"/>
        <v>0</v>
      </c>
      <c r="EB179" s="552">
        <f t="shared" si="38"/>
        <v>0</v>
      </c>
      <c r="EC179" s="552">
        <f t="shared" si="38"/>
        <v>2308.4176722000593</v>
      </c>
      <c r="ED179" s="552">
        <f t="shared" si="38"/>
        <v>0</v>
      </c>
      <c r="EE179" s="552">
        <f t="shared" si="38"/>
        <v>0</v>
      </c>
      <c r="EF179" s="552">
        <f t="shared" si="38"/>
        <v>0</v>
      </c>
      <c r="EG179" s="552">
        <f t="shared" si="38"/>
        <v>0</v>
      </c>
    </row>
    <row r="181" spans="5:137" ht="12.75">
      <c r="E181" s="538" t="str">
        <f>Time!E$108</f>
        <v>End of financial year flag</v>
      </c>
      <c r="G181" s="539" t="str">
        <f>Time!G$108</f>
        <v>flag</v>
      </c>
      <c r="H181" s="539">
        <f>Time!H$108</f>
        <v>28</v>
      </c>
      <c r="J181" s="539">
        <f>Time!J$108</f>
        <v>0</v>
      </c>
      <c r="K181" s="539">
        <f>Time!K$108</f>
        <v>0</v>
      </c>
      <c r="L181" s="539">
        <f>Time!L$108</f>
        <v>0</v>
      </c>
      <c r="M181" s="539">
        <f>Time!M$108</f>
        <v>0</v>
      </c>
      <c r="N181" s="539">
        <f>Time!N$108</f>
        <v>0</v>
      </c>
      <c r="O181" s="539">
        <f>Time!O$108</f>
        <v>0</v>
      </c>
      <c r="P181" s="539">
        <f>Time!P$108</f>
        <v>0</v>
      </c>
      <c r="Q181" s="539">
        <f>Time!Q$108</f>
        <v>0</v>
      </c>
      <c r="R181" s="539">
        <f>Time!R$108</f>
        <v>0</v>
      </c>
      <c r="S181" s="539">
        <f>Time!S$108</f>
        <v>0</v>
      </c>
      <c r="T181" s="539">
        <f>Time!T$108</f>
        <v>0</v>
      </c>
      <c r="U181" s="539">
        <f>Time!U$108</f>
        <v>1</v>
      </c>
      <c r="V181" s="539">
        <f>Time!V$108</f>
        <v>0</v>
      </c>
      <c r="W181" s="539">
        <f>Time!W$108</f>
        <v>0</v>
      </c>
      <c r="X181" s="539">
        <f>Time!X$108</f>
        <v>0</v>
      </c>
      <c r="Y181" s="539">
        <f>Time!Y$108</f>
        <v>0</v>
      </c>
      <c r="Z181" s="539">
        <f>Time!Z$108</f>
        <v>0</v>
      </c>
      <c r="AA181" s="539">
        <f>Time!AA$108</f>
        <v>0</v>
      </c>
      <c r="AB181" s="539">
        <f>Time!AB$108</f>
        <v>0</v>
      </c>
      <c r="AC181" s="539">
        <f>Time!AC$108</f>
        <v>0</v>
      </c>
      <c r="AD181" s="539">
        <f>Time!AD$108</f>
        <v>0</v>
      </c>
      <c r="AE181" s="539">
        <f>Time!AE$108</f>
        <v>0</v>
      </c>
      <c r="AF181" s="539">
        <f>Time!AF$108</f>
        <v>0</v>
      </c>
      <c r="AG181" s="539">
        <f>Time!AG$108</f>
        <v>1</v>
      </c>
      <c r="AH181" s="539">
        <f>Time!AH$108</f>
        <v>0</v>
      </c>
      <c r="AI181" s="539">
        <f>Time!AI$108</f>
        <v>0</v>
      </c>
      <c r="AJ181" s="539">
        <f>Time!AJ$108</f>
        <v>0</v>
      </c>
      <c r="AK181" s="539">
        <f>Time!AK$108</f>
        <v>1</v>
      </c>
      <c r="AL181" s="539">
        <f>Time!AL$108</f>
        <v>0</v>
      </c>
      <c r="AM181" s="539">
        <f>Time!AM$108</f>
        <v>0</v>
      </c>
      <c r="AN181" s="539">
        <f>Time!AN$108</f>
        <v>0</v>
      </c>
      <c r="AO181" s="539">
        <f>Time!AO$108</f>
        <v>1</v>
      </c>
      <c r="AP181" s="539">
        <f>Time!AP$108</f>
        <v>0</v>
      </c>
      <c r="AQ181" s="539">
        <f>Time!AQ$108</f>
        <v>0</v>
      </c>
      <c r="AR181" s="539">
        <f>Time!AR$108</f>
        <v>0</v>
      </c>
      <c r="AS181" s="539">
        <f>Time!AS$108</f>
        <v>1</v>
      </c>
      <c r="AT181" s="539">
        <f>Time!AT$108</f>
        <v>0</v>
      </c>
      <c r="AU181" s="539">
        <f>Time!AU$108</f>
        <v>0</v>
      </c>
      <c r="AV181" s="539">
        <f>Time!AV$108</f>
        <v>0</v>
      </c>
      <c r="AW181" s="539">
        <f>Time!AW$108</f>
        <v>1</v>
      </c>
      <c r="AX181" s="539">
        <f>Time!AX$108</f>
        <v>0</v>
      </c>
      <c r="AY181" s="539">
        <f>Time!AY$108</f>
        <v>0</v>
      </c>
      <c r="AZ181" s="539">
        <f>Time!AZ$108</f>
        <v>0</v>
      </c>
      <c r="BA181" s="539">
        <f>Time!BA$108</f>
        <v>1</v>
      </c>
      <c r="BB181" s="539">
        <f>Time!BB$108</f>
        <v>0</v>
      </c>
      <c r="BC181" s="539">
        <f>Time!BC$108</f>
        <v>0</v>
      </c>
      <c r="BD181" s="539">
        <f>Time!BD$108</f>
        <v>0</v>
      </c>
      <c r="BE181" s="539">
        <f>Time!BE$108</f>
        <v>1</v>
      </c>
      <c r="BF181" s="539">
        <f>Time!BF$108</f>
        <v>0</v>
      </c>
      <c r="BG181" s="539">
        <f>Time!BG$108</f>
        <v>0</v>
      </c>
      <c r="BH181" s="539">
        <f>Time!BH$108</f>
        <v>0</v>
      </c>
      <c r="BI181" s="539">
        <f>Time!BI$108</f>
        <v>1</v>
      </c>
      <c r="BJ181" s="539">
        <f>Time!BJ$108</f>
        <v>0</v>
      </c>
      <c r="BK181" s="539">
        <f>Time!BK$108</f>
        <v>0</v>
      </c>
      <c r="BL181" s="539">
        <f>Time!BL$108</f>
        <v>0</v>
      </c>
      <c r="BM181" s="539">
        <f>Time!BM$108</f>
        <v>1</v>
      </c>
      <c r="BN181" s="539">
        <f>Time!BN$108</f>
        <v>0</v>
      </c>
      <c r="BO181" s="539">
        <f>Time!BO$108</f>
        <v>0</v>
      </c>
      <c r="BP181" s="539">
        <f>Time!BP$108</f>
        <v>0</v>
      </c>
      <c r="BQ181" s="539">
        <f>Time!BQ$108</f>
        <v>1</v>
      </c>
      <c r="BR181" s="539">
        <f>Time!BR$108</f>
        <v>0</v>
      </c>
      <c r="BS181" s="539">
        <f>Time!BS$108</f>
        <v>0</v>
      </c>
      <c r="BT181" s="539">
        <f>Time!BT$108</f>
        <v>0</v>
      </c>
      <c r="BU181" s="539">
        <f>Time!BU$108</f>
        <v>1</v>
      </c>
      <c r="BV181" s="539">
        <f>Time!BV$108</f>
        <v>0</v>
      </c>
      <c r="BW181" s="539">
        <f>Time!BW$108</f>
        <v>0</v>
      </c>
      <c r="BX181" s="539">
        <f>Time!BX$108</f>
        <v>0</v>
      </c>
      <c r="BY181" s="539">
        <f>Time!BY$108</f>
        <v>1</v>
      </c>
      <c r="BZ181" s="539">
        <f>Time!BZ$108</f>
        <v>0</v>
      </c>
      <c r="CA181" s="539">
        <f>Time!CA$108</f>
        <v>0</v>
      </c>
      <c r="CB181" s="539">
        <f>Time!CB$108</f>
        <v>0</v>
      </c>
      <c r="CC181" s="539">
        <f>Time!CC$108</f>
        <v>1</v>
      </c>
      <c r="CD181" s="539">
        <f>Time!CD$108</f>
        <v>0</v>
      </c>
      <c r="CE181" s="539">
        <f>Time!CE$108</f>
        <v>0</v>
      </c>
      <c r="CF181" s="539">
        <f>Time!CF$108</f>
        <v>0</v>
      </c>
      <c r="CG181" s="539">
        <f>Time!CG$108</f>
        <v>1</v>
      </c>
      <c r="CH181" s="539">
        <f>Time!CH$108</f>
        <v>0</v>
      </c>
      <c r="CI181" s="539">
        <f>Time!CI$108</f>
        <v>0</v>
      </c>
      <c r="CJ181" s="539">
        <f>Time!CJ$108</f>
        <v>0</v>
      </c>
      <c r="CK181" s="539">
        <f>Time!CK$108</f>
        <v>1</v>
      </c>
      <c r="CL181" s="539">
        <f>Time!CL$108</f>
        <v>0</v>
      </c>
      <c r="CM181" s="539">
        <f>Time!CM$108</f>
        <v>0</v>
      </c>
      <c r="CN181" s="539">
        <f>Time!CN$108</f>
        <v>0</v>
      </c>
      <c r="CO181" s="539">
        <f>Time!CO$108</f>
        <v>1</v>
      </c>
      <c r="CP181" s="539">
        <f>Time!CP$108</f>
        <v>0</v>
      </c>
      <c r="CQ181" s="539">
        <f>Time!CQ$108</f>
        <v>0</v>
      </c>
      <c r="CR181" s="539">
        <f>Time!CR$108</f>
        <v>0</v>
      </c>
      <c r="CS181" s="539">
        <f>Time!CS$108</f>
        <v>1</v>
      </c>
      <c r="CT181" s="539">
        <f>Time!CT$108</f>
        <v>0</v>
      </c>
      <c r="CU181" s="539">
        <f>Time!CU$108</f>
        <v>0</v>
      </c>
      <c r="CV181" s="539">
        <f>Time!CV$108</f>
        <v>0</v>
      </c>
      <c r="CW181" s="539">
        <f>Time!CW$108</f>
        <v>1</v>
      </c>
      <c r="CX181" s="539">
        <f>Time!CX$108</f>
        <v>0</v>
      </c>
      <c r="CY181" s="539">
        <f>Time!CY$108</f>
        <v>0</v>
      </c>
      <c r="CZ181" s="539">
        <f>Time!CZ$108</f>
        <v>0</v>
      </c>
      <c r="DA181" s="539">
        <f>Time!DA$108</f>
        <v>1</v>
      </c>
      <c r="DB181" s="539">
        <f>Time!DB$108</f>
        <v>0</v>
      </c>
      <c r="DC181" s="539">
        <f>Time!DC$108</f>
        <v>0</v>
      </c>
      <c r="DD181" s="539">
        <f>Time!DD$108</f>
        <v>0</v>
      </c>
      <c r="DE181" s="539">
        <f>Time!DE$108</f>
        <v>1</v>
      </c>
      <c r="DF181" s="539">
        <f>Time!DF$108</f>
        <v>0</v>
      </c>
      <c r="DG181" s="539">
        <f>Time!DG$108</f>
        <v>0</v>
      </c>
      <c r="DH181" s="539">
        <f>Time!DH$108</f>
        <v>0</v>
      </c>
      <c r="DI181" s="539">
        <f>Time!DI$108</f>
        <v>1</v>
      </c>
      <c r="DJ181" s="539">
        <f>Time!DJ$108</f>
        <v>0</v>
      </c>
      <c r="DK181" s="539">
        <f>Time!DK$108</f>
        <v>0</v>
      </c>
      <c r="DL181" s="539">
        <f>Time!DL$108</f>
        <v>0</v>
      </c>
      <c r="DM181" s="539">
        <f>Time!DM$108</f>
        <v>1</v>
      </c>
      <c r="DN181" s="539">
        <f>Time!DN$108</f>
        <v>0</v>
      </c>
      <c r="DO181" s="539">
        <f>Time!DO$108</f>
        <v>0</v>
      </c>
      <c r="DP181" s="539">
        <f>Time!DP$108</f>
        <v>0</v>
      </c>
      <c r="DQ181" s="539">
        <f>Time!DQ$108</f>
        <v>1</v>
      </c>
      <c r="DR181" s="539">
        <f>Time!DR$108</f>
        <v>0</v>
      </c>
      <c r="DS181" s="539">
        <f>Time!DS$108</f>
        <v>0</v>
      </c>
      <c r="DT181" s="539">
        <f>Time!DT$108</f>
        <v>0</v>
      </c>
      <c r="DU181" s="539">
        <f>Time!DU$108</f>
        <v>1</v>
      </c>
      <c r="DV181" s="539">
        <f>Time!DV$108</f>
        <v>0</v>
      </c>
      <c r="DW181" s="539">
        <f>Time!DW$108</f>
        <v>0</v>
      </c>
      <c r="DX181" s="539">
        <f>Time!DX$108</f>
        <v>0</v>
      </c>
      <c r="DY181" s="539">
        <f>Time!DY$108</f>
        <v>1</v>
      </c>
      <c r="DZ181" s="539">
        <f>Time!DZ$108</f>
        <v>0</v>
      </c>
      <c r="EA181" s="539">
        <f>Time!EA$108</f>
        <v>0</v>
      </c>
      <c r="EB181" s="539">
        <f>Time!EB$108</f>
        <v>0</v>
      </c>
      <c r="EC181" s="539">
        <f>Time!EC$108</f>
        <v>1</v>
      </c>
      <c r="ED181" s="539">
        <f>Time!ED$108</f>
        <v>0</v>
      </c>
      <c r="EE181" s="539">
        <f>Time!EE$108</f>
        <v>0</v>
      </c>
      <c r="EF181" s="539">
        <f>Time!EF$108</f>
        <v>0</v>
      </c>
      <c r="EG181" s="539">
        <f>Time!EG$108</f>
        <v>1</v>
      </c>
    </row>
    <row r="182" spans="5:137" ht="12.75">
      <c r="E182" s="551" t="s">
        <v>557</v>
      </c>
      <c r="F182" s="552"/>
      <c r="G182" s="552" t="s">
        <v>30</v>
      </c>
      <c r="H182" s="552">
        <f>SUM(J182:EG182)</f>
        <v>1997.2598334742188</v>
      </c>
      <c r="I182" s="552"/>
      <c r="J182" s="552">
        <f t="shared" si="39" ref="J182:EG182">IF(J181=1,J86,0)</f>
        <v>0</v>
      </c>
      <c r="K182" s="552">
        <f t="shared" si="39"/>
        <v>0</v>
      </c>
      <c r="L182" s="552">
        <f t="shared" si="39"/>
        <v>0</v>
      </c>
      <c r="M182" s="552">
        <f t="shared" si="39"/>
        <v>0</v>
      </c>
      <c r="N182" s="552">
        <f t="shared" si="39"/>
        <v>0</v>
      </c>
      <c r="O182" s="552">
        <f t="shared" si="39"/>
        <v>0</v>
      </c>
      <c r="P182" s="552">
        <f t="shared" si="39"/>
        <v>0</v>
      </c>
      <c r="Q182" s="552">
        <f t="shared" si="39"/>
        <v>0</v>
      </c>
      <c r="R182" s="552">
        <f t="shared" si="39"/>
        <v>0</v>
      </c>
      <c r="S182" s="552">
        <f t="shared" si="39"/>
        <v>0</v>
      </c>
      <c r="T182" s="552">
        <f t="shared" si="39"/>
        <v>0</v>
      </c>
      <c r="U182" s="552">
        <f t="shared" si="39"/>
        <v>-7.2759576141834259E-12</v>
      </c>
      <c r="V182" s="552">
        <f t="shared" si="39"/>
        <v>0</v>
      </c>
      <c r="W182" s="552">
        <f t="shared" si="39"/>
        <v>0</v>
      </c>
      <c r="X182" s="552">
        <f t="shared" si="39"/>
        <v>0</v>
      </c>
      <c r="Y182" s="552">
        <f t="shared" si="39"/>
        <v>0</v>
      </c>
      <c r="Z182" s="552">
        <f t="shared" si="39"/>
        <v>0</v>
      </c>
      <c r="AA182" s="552">
        <f t="shared" si="39"/>
        <v>0</v>
      </c>
      <c r="AB182" s="552">
        <f t="shared" si="39"/>
        <v>0</v>
      </c>
      <c r="AC182" s="552">
        <f t="shared" si="39"/>
        <v>0</v>
      </c>
      <c r="AD182" s="552">
        <f t="shared" si="39"/>
        <v>0</v>
      </c>
      <c r="AE182" s="552">
        <f t="shared" si="39"/>
        <v>0</v>
      </c>
      <c r="AF182" s="552">
        <f t="shared" si="39"/>
        <v>0</v>
      </c>
      <c r="AG182" s="552">
        <f t="shared" si="39"/>
        <v>-4.1200109990313649E-10</v>
      </c>
      <c r="AH182" s="552">
        <f t="shared" si="39"/>
        <v>0</v>
      </c>
      <c r="AI182" s="552">
        <f t="shared" si="39"/>
        <v>0</v>
      </c>
      <c r="AJ182" s="552">
        <f t="shared" si="39"/>
        <v>0</v>
      </c>
      <c r="AK182" s="552">
        <f t="shared" si="39"/>
        <v>-4.1200109990313649E-10</v>
      </c>
      <c r="AL182" s="552">
        <f t="shared" si="39"/>
        <v>0</v>
      </c>
      <c r="AM182" s="552">
        <f t="shared" si="39"/>
        <v>0</v>
      </c>
      <c r="AN182" s="552">
        <f t="shared" si="39"/>
        <v>0</v>
      </c>
      <c r="AO182" s="552">
        <f t="shared" si="39"/>
        <v>-4.1200109990313649E-10</v>
      </c>
      <c r="AP182" s="552">
        <f t="shared" si="39"/>
        <v>0</v>
      </c>
      <c r="AQ182" s="552">
        <f t="shared" si="39"/>
        <v>0</v>
      </c>
      <c r="AR182" s="552">
        <f t="shared" si="39"/>
        <v>0</v>
      </c>
      <c r="AS182" s="552">
        <f t="shared" si="39"/>
        <v>-4.1200109990313649E-10</v>
      </c>
      <c r="AT182" s="552">
        <f t="shared" si="39"/>
        <v>0</v>
      </c>
      <c r="AU182" s="552">
        <f t="shared" si="39"/>
        <v>0</v>
      </c>
      <c r="AV182" s="552">
        <f t="shared" si="39"/>
        <v>0</v>
      </c>
      <c r="AW182" s="552">
        <f t="shared" si="39"/>
        <v>-4.1200109990313649E-10</v>
      </c>
      <c r="AX182" s="552">
        <f t="shared" si="39"/>
        <v>0</v>
      </c>
      <c r="AY182" s="552">
        <f t="shared" si="39"/>
        <v>0</v>
      </c>
      <c r="AZ182" s="552">
        <f t="shared" si="39"/>
        <v>0</v>
      </c>
      <c r="BA182" s="552">
        <f t="shared" si="39"/>
        <v>-4.1200109990313649E-10</v>
      </c>
      <c r="BB182" s="552">
        <f t="shared" si="39"/>
        <v>0</v>
      </c>
      <c r="BC182" s="552">
        <f t="shared" si="39"/>
        <v>0</v>
      </c>
      <c r="BD182" s="552">
        <f t="shared" si="39"/>
        <v>0</v>
      </c>
      <c r="BE182" s="552">
        <f t="shared" si="39"/>
        <v>-4.1200109990313649E-10</v>
      </c>
      <c r="BF182" s="552">
        <f t="shared" si="39"/>
        <v>0</v>
      </c>
      <c r="BG182" s="552">
        <f t="shared" si="39"/>
        <v>0</v>
      </c>
      <c r="BH182" s="552">
        <f t="shared" si="39"/>
        <v>0</v>
      </c>
      <c r="BI182" s="552">
        <f t="shared" si="39"/>
        <v>-4.1200109990313649E-10</v>
      </c>
      <c r="BJ182" s="552">
        <f t="shared" si="39"/>
        <v>0</v>
      </c>
      <c r="BK182" s="552">
        <f t="shared" si="39"/>
        <v>0</v>
      </c>
      <c r="BL182" s="552">
        <f t="shared" si="39"/>
        <v>0</v>
      </c>
      <c r="BM182" s="552">
        <f t="shared" si="39"/>
        <v>-4.1200109990313649E-10</v>
      </c>
      <c r="BN182" s="552">
        <f t="shared" si="39"/>
        <v>0</v>
      </c>
      <c r="BO182" s="552">
        <f t="shared" si="39"/>
        <v>0</v>
      </c>
      <c r="BP182" s="552">
        <f t="shared" si="39"/>
        <v>0</v>
      </c>
      <c r="BQ182" s="552">
        <f t="shared" si="39"/>
        <v>-4.1200109990313649E-10</v>
      </c>
      <c r="BR182" s="552">
        <f t="shared" si="39"/>
        <v>0</v>
      </c>
      <c r="BS182" s="552">
        <f t="shared" si="39"/>
        <v>0</v>
      </c>
      <c r="BT182" s="552">
        <f t="shared" si="39"/>
        <v>0</v>
      </c>
      <c r="BU182" s="552">
        <f t="shared" si="39"/>
        <v>-4.1200109990313649E-10</v>
      </c>
      <c r="BV182" s="552">
        <f t="shared" si="39"/>
        <v>0</v>
      </c>
      <c r="BW182" s="552">
        <f t="shared" si="39"/>
        <v>0</v>
      </c>
      <c r="BX182" s="552">
        <f t="shared" si="39"/>
        <v>0</v>
      </c>
      <c r="BY182" s="552">
        <f t="shared" si="39"/>
        <v>-4.1200109990313649E-10</v>
      </c>
      <c r="BZ182" s="552">
        <f t="shared" si="39"/>
        <v>0</v>
      </c>
      <c r="CA182" s="552">
        <f t="shared" si="39"/>
        <v>0</v>
      </c>
      <c r="CB182" s="552">
        <f t="shared" si="39"/>
        <v>0</v>
      </c>
      <c r="CC182" s="552">
        <f t="shared" si="39"/>
        <v>-4.1200109990313649E-10</v>
      </c>
      <c r="CD182" s="552">
        <f t="shared" si="39"/>
        <v>0</v>
      </c>
      <c r="CE182" s="552">
        <f t="shared" si="39"/>
        <v>0</v>
      </c>
      <c r="CF182" s="552">
        <f t="shared" si="39"/>
        <v>0</v>
      </c>
      <c r="CG182" s="552">
        <f t="shared" si="39"/>
        <v>-4.1200109990313649E-10</v>
      </c>
      <c r="CH182" s="552">
        <f t="shared" si="39"/>
        <v>0</v>
      </c>
      <c r="CI182" s="552">
        <f t="shared" si="39"/>
        <v>0</v>
      </c>
      <c r="CJ182" s="552">
        <f t="shared" si="39"/>
        <v>0</v>
      </c>
      <c r="CK182" s="552">
        <f t="shared" si="39"/>
        <v>-4.1200109990313649E-10</v>
      </c>
      <c r="CL182" s="552">
        <f t="shared" si="39"/>
        <v>0</v>
      </c>
      <c r="CM182" s="552">
        <f t="shared" si="39"/>
        <v>0</v>
      </c>
      <c r="CN182" s="552">
        <f t="shared" si="39"/>
        <v>0</v>
      </c>
      <c r="CO182" s="552">
        <f t="shared" si="39"/>
        <v>-4.1200109990313649E-10</v>
      </c>
      <c r="CP182" s="552">
        <f t="shared" si="39"/>
        <v>0</v>
      </c>
      <c r="CQ182" s="552">
        <f t="shared" si="39"/>
        <v>0</v>
      </c>
      <c r="CR182" s="552">
        <f t="shared" si="39"/>
        <v>0</v>
      </c>
      <c r="CS182" s="552">
        <f t="shared" si="39"/>
        <v>-4.1200109990313649E-10</v>
      </c>
      <c r="CT182" s="552">
        <f t="shared" si="39"/>
        <v>0</v>
      </c>
      <c r="CU182" s="552">
        <f t="shared" si="39"/>
        <v>0</v>
      </c>
      <c r="CV182" s="552">
        <f t="shared" si="39"/>
        <v>0</v>
      </c>
      <c r="CW182" s="552">
        <f t="shared" si="39"/>
        <v>-4.1200109990313649E-10</v>
      </c>
      <c r="CX182" s="552">
        <f t="shared" si="39"/>
        <v>0</v>
      </c>
      <c r="CY182" s="552">
        <f t="shared" si="39"/>
        <v>0</v>
      </c>
      <c r="CZ182" s="552">
        <f t="shared" si="39"/>
        <v>0</v>
      </c>
      <c r="DA182" s="552">
        <f t="shared" si="39"/>
        <v>-4.1200109990313649E-10</v>
      </c>
      <c r="DB182" s="552">
        <f t="shared" si="39"/>
        <v>0</v>
      </c>
      <c r="DC182" s="552">
        <f t="shared" si="39"/>
        <v>0</v>
      </c>
      <c r="DD182" s="552">
        <f t="shared" si="39"/>
        <v>0</v>
      </c>
      <c r="DE182" s="552">
        <f t="shared" si="39"/>
        <v>-4.1200109990313649E-10</v>
      </c>
      <c r="DF182" s="552">
        <f t="shared" si="39"/>
        <v>0</v>
      </c>
      <c r="DG182" s="552">
        <f t="shared" si="39"/>
        <v>0</v>
      </c>
      <c r="DH182" s="552">
        <f t="shared" si="39"/>
        <v>0</v>
      </c>
      <c r="DI182" s="552">
        <f t="shared" si="39"/>
        <v>-4.1200109990313649E-10</v>
      </c>
      <c r="DJ182" s="552">
        <f t="shared" si="39"/>
        <v>0</v>
      </c>
      <c r="DK182" s="552">
        <f t="shared" si="39"/>
        <v>0</v>
      </c>
      <c r="DL182" s="552">
        <f t="shared" si="39"/>
        <v>0</v>
      </c>
      <c r="DM182" s="552">
        <f t="shared" si="39"/>
        <v>-4.1200109990313649E-10</v>
      </c>
      <c r="DN182" s="552">
        <f t="shared" si="39"/>
        <v>0</v>
      </c>
      <c r="DO182" s="552">
        <f t="shared" si="39"/>
        <v>0</v>
      </c>
      <c r="DP182" s="552">
        <f t="shared" si="39"/>
        <v>0</v>
      </c>
      <c r="DQ182" s="552">
        <f t="shared" si="39"/>
        <v>-4.1200109990313649E-10</v>
      </c>
      <c r="DR182" s="552">
        <f t="shared" si="39"/>
        <v>0</v>
      </c>
      <c r="DS182" s="552">
        <f t="shared" si="39"/>
        <v>0</v>
      </c>
      <c r="DT182" s="552">
        <f t="shared" si="39"/>
        <v>0</v>
      </c>
      <c r="DU182" s="552">
        <f t="shared" si="39"/>
        <v>-4.1200109990313649E-10</v>
      </c>
      <c r="DV182" s="552">
        <f t="shared" si="39"/>
        <v>0</v>
      </c>
      <c r="DW182" s="552">
        <f t="shared" si="39"/>
        <v>0</v>
      </c>
      <c r="DX182" s="552">
        <f t="shared" si="39"/>
        <v>0</v>
      </c>
      <c r="DY182" s="552">
        <f t="shared" si="39"/>
        <v>1997.2598334845288</v>
      </c>
      <c r="DZ182" s="552">
        <f t="shared" si="39"/>
        <v>0</v>
      </c>
      <c r="EA182" s="552">
        <f t="shared" si="39"/>
        <v>0</v>
      </c>
      <c r="EB182" s="552">
        <f t="shared" si="39"/>
        <v>0</v>
      </c>
      <c r="EC182" s="552">
        <f t="shared" si="39"/>
        <v>-4.1109160520136356E-10</v>
      </c>
      <c r="ED182" s="552">
        <f t="shared" si="39"/>
        <v>0</v>
      </c>
      <c r="EE182" s="552">
        <f t="shared" si="39"/>
        <v>0</v>
      </c>
      <c r="EF182" s="552">
        <f t="shared" si="39"/>
        <v>0</v>
      </c>
      <c r="EG182" s="552">
        <f t="shared" si="39"/>
        <v>-3.637978807091713E-12</v>
      </c>
    </row>
    <row r="185" spans="1:1" ht="12.75">
      <c r="A185" s="534" t="s">
        <v>558</v>
      </c>
    </row>
    <row r="187" spans="5:137" ht="12.75">
      <c r="E187" s="551" t="s">
        <v>559</v>
      </c>
      <c r="F187" s="552"/>
      <c r="G187" s="552" t="s">
        <v>30</v>
      </c>
      <c r="H187" s="552">
        <f>SUM(J187:EG187)</f>
        <v>-7.5203843152849004E-09</v>
      </c>
      <c r="I187" s="552"/>
      <c r="J187" s="552">
        <f t="shared" si="40" ref="J187:EG187">J121-J124</f>
        <v>0</v>
      </c>
      <c r="K187" s="552">
        <f t="shared" si="40"/>
        <v>0</v>
      </c>
      <c r="L187" s="552">
        <f t="shared" si="40"/>
        <v>-2.7284841053187847E-11</v>
      </c>
      <c r="M187" s="552">
        <f t="shared" si="40"/>
        <v>-2.7284841053187847E-11</v>
      </c>
      <c r="N187" s="552">
        <f t="shared" si="40"/>
        <v>-2.9103830456733704E-11</v>
      </c>
      <c r="O187" s="552">
        <f t="shared" si="40"/>
        <v>-3.2741809263825417E-11</v>
      </c>
      <c r="P187" s="552">
        <f t="shared" si="40"/>
        <v>-3.4560798667371273E-11</v>
      </c>
      <c r="Q187" s="552">
        <f t="shared" si="40"/>
        <v>-2.9103830456733704E-11</v>
      </c>
      <c r="R187" s="552">
        <f t="shared" si="40"/>
        <v>0</v>
      </c>
      <c r="S187" s="552">
        <f t="shared" si="40"/>
        <v>0</v>
      </c>
      <c r="T187" s="552">
        <f t="shared" si="40"/>
        <v>-4.0017766878008842E-11</v>
      </c>
      <c r="U187" s="552">
        <f t="shared" si="40"/>
        <v>-4.0017766878008842E-11</v>
      </c>
      <c r="V187" s="552">
        <f t="shared" si="40"/>
        <v>0</v>
      </c>
      <c r="W187" s="552">
        <f t="shared" si="40"/>
        <v>0</v>
      </c>
      <c r="X187" s="552">
        <f t="shared" si="40"/>
        <v>0</v>
      </c>
      <c r="Y187" s="552">
        <f t="shared" si="40"/>
        <v>-4.1836756281554699E-11</v>
      </c>
      <c r="Z187" s="552">
        <f t="shared" si="40"/>
        <v>-4.0017766878008842E-11</v>
      </c>
      <c r="AA187" s="552">
        <f t="shared" si="40"/>
        <v>0</v>
      </c>
      <c r="AB187" s="552">
        <f t="shared" si="40"/>
        <v>0</v>
      </c>
      <c r="AC187" s="552">
        <f t="shared" si="40"/>
        <v>0</v>
      </c>
      <c r="AD187" s="552">
        <f t="shared" si="40"/>
        <v>0</v>
      </c>
      <c r="AE187" s="552">
        <f t="shared" si="40"/>
        <v>0</v>
      </c>
      <c r="AF187" s="552">
        <f t="shared" si="40"/>
        <v>1.7280399333685637E-11</v>
      </c>
      <c r="AG187" s="552">
        <f t="shared" si="40"/>
        <v>-2.2737367544323206E-11</v>
      </c>
      <c r="AH187" s="552">
        <f t="shared" si="40"/>
        <v>-3.9108272176235914E-11</v>
      </c>
      <c r="AI187" s="552">
        <f t="shared" si="40"/>
        <v>-5.0931703299283981E-11</v>
      </c>
      <c r="AJ187" s="552">
        <f t="shared" si="40"/>
        <v>-1.6007106751203537E-10</v>
      </c>
      <c r="AK187" s="552">
        <f t="shared" si="40"/>
        <v>-1.2369127944111824E-10</v>
      </c>
      <c r="AL187" s="552">
        <f t="shared" si="40"/>
        <v>-1.4188117347657681E-10</v>
      </c>
      <c r="AM187" s="552">
        <f t="shared" si="40"/>
        <v>-2.0008883439004421E-10</v>
      </c>
      <c r="AN187" s="552">
        <f t="shared" si="40"/>
        <v>-1.7826096154749393E-10</v>
      </c>
      <c r="AO187" s="552">
        <f t="shared" si="40"/>
        <v>-3.2923708204180002E-10</v>
      </c>
      <c r="AP187" s="552">
        <f t="shared" si="40"/>
        <v>-2.4374458007514477E-10</v>
      </c>
      <c r="AQ187" s="552">
        <f t="shared" si="40"/>
        <v>-2.8376234695315361E-10</v>
      </c>
      <c r="AR187" s="552">
        <f t="shared" si="40"/>
        <v>-2.801243681460619E-10</v>
      </c>
      <c r="AS187" s="552">
        <f t="shared" si="40"/>
        <v>-2.6921043172478676E-10</v>
      </c>
      <c r="AT187" s="552">
        <f t="shared" si="40"/>
        <v>-1.7462298274040222E-10</v>
      </c>
      <c r="AU187" s="552">
        <f t="shared" si="40"/>
        <v>-2.3283064365386963E-10</v>
      </c>
      <c r="AV187" s="552">
        <f t="shared" si="40"/>
        <v>-1.8553691916167736E-10</v>
      </c>
      <c r="AW187" s="552">
        <f t="shared" si="40"/>
        <v>-1.7462298274040222E-10</v>
      </c>
      <c r="AX187" s="552">
        <f t="shared" si="40"/>
        <v>-2.1100277081131935E-10</v>
      </c>
      <c r="AY187" s="552">
        <f t="shared" si="40"/>
        <v>-1.673470251262188E-10</v>
      </c>
      <c r="AZ187" s="552">
        <f t="shared" si="40"/>
        <v>-1.4915713109076023E-10</v>
      </c>
      <c r="BA187" s="552">
        <f t="shared" si="40"/>
        <v>-1.964508555829525E-10</v>
      </c>
      <c r="BB187" s="552">
        <f t="shared" si="40"/>
        <v>-1.8189894035458565E-10</v>
      </c>
      <c r="BC187" s="552">
        <f t="shared" si="40"/>
        <v>-2.0372681319713593E-10</v>
      </c>
      <c r="BD187" s="552">
        <f t="shared" si="40"/>
        <v>-2.0372681319713593E-10</v>
      </c>
      <c r="BE187" s="552">
        <f t="shared" si="40"/>
        <v>-2.0372681319713593E-10</v>
      </c>
      <c r="BF187" s="552">
        <f t="shared" si="40"/>
        <v>-1.8189894035458565E-10</v>
      </c>
      <c r="BG187" s="552">
        <f t="shared" si="40"/>
        <v>-1.8917489796876907E-10</v>
      </c>
      <c r="BH187" s="552">
        <f t="shared" si="40"/>
        <v>-1.7462298274040222E-10</v>
      </c>
      <c r="BI187" s="552">
        <f t="shared" si="40"/>
        <v>-1.6007106751203537E-10</v>
      </c>
      <c r="BJ187" s="552">
        <f t="shared" si="40"/>
        <v>-1.8189894035458565E-10</v>
      </c>
      <c r="BK187" s="552">
        <f t="shared" si="40"/>
        <v>-1.2369127944111824E-10</v>
      </c>
      <c r="BL187" s="552">
        <f t="shared" si="40"/>
        <v>-1.4551915228366852E-10</v>
      </c>
      <c r="BM187" s="552">
        <f t="shared" si="40"/>
        <v>-1.3096723705530167E-10</v>
      </c>
      <c r="BN187" s="552">
        <f t="shared" si="40"/>
        <v>-1.3096723705530167E-10</v>
      </c>
      <c r="BO187" s="552">
        <f t="shared" si="40"/>
        <v>-1.3096723705530167E-10</v>
      </c>
      <c r="BP187" s="552">
        <f t="shared" si="40"/>
        <v>0</v>
      </c>
      <c r="BQ187" s="552">
        <f t="shared" si="40"/>
        <v>-1.4551915228366852E-10</v>
      </c>
      <c r="BR187" s="552">
        <f t="shared" si="40"/>
        <v>-1.4551915228366852E-10</v>
      </c>
      <c r="BS187" s="552">
        <f t="shared" si="40"/>
        <v>-1.3096723705530167E-10</v>
      </c>
      <c r="BT187" s="552">
        <f t="shared" si="40"/>
        <v>-1.6007106751203537E-10</v>
      </c>
      <c r="BU187" s="552">
        <f t="shared" si="40"/>
        <v>-1.4551915228366852E-10</v>
      </c>
      <c r="BV187" s="552">
        <f t="shared" si="40"/>
        <v>-1.6007106751203537E-10</v>
      </c>
      <c r="BW187" s="552">
        <f t="shared" si="40"/>
        <v>0</v>
      </c>
      <c r="BX187" s="552">
        <f t="shared" si="40"/>
        <v>-1.1641532182693481E-10</v>
      </c>
      <c r="BY187" s="552">
        <f t="shared" si="40"/>
        <v>0</v>
      </c>
      <c r="BZ187" s="552">
        <f t="shared" si="40"/>
        <v>0</v>
      </c>
      <c r="CA187" s="552">
        <f t="shared" si="40"/>
        <v>-1.4551915228366852E-10</v>
      </c>
      <c r="CB187" s="552">
        <f t="shared" si="40"/>
        <v>0</v>
      </c>
      <c r="CC187" s="552">
        <f t="shared" si="40"/>
        <v>0</v>
      </c>
      <c r="CD187" s="552">
        <f t="shared" si="40"/>
        <v>0</v>
      </c>
      <c r="CE187" s="552">
        <f t="shared" si="40"/>
        <v>0</v>
      </c>
      <c r="CF187" s="552">
        <f t="shared" si="40"/>
        <v>0</v>
      </c>
      <c r="CG187" s="552">
        <f t="shared" si="40"/>
        <v>0</v>
      </c>
      <c r="CH187" s="552">
        <f t="shared" si="40"/>
        <v>0</v>
      </c>
      <c r="CI187" s="552">
        <f t="shared" si="40"/>
        <v>0</v>
      </c>
      <c r="CJ187" s="552">
        <f t="shared" si="40"/>
        <v>0</v>
      </c>
      <c r="CK187" s="552">
        <f t="shared" si="40"/>
        <v>0</v>
      </c>
      <c r="CL187" s="552">
        <f t="shared" si="40"/>
        <v>0</v>
      </c>
      <c r="CM187" s="552">
        <f t="shared" si="40"/>
        <v>0</v>
      </c>
      <c r="CN187" s="552">
        <f t="shared" si="40"/>
        <v>0</v>
      </c>
      <c r="CO187" s="552">
        <f t="shared" si="40"/>
        <v>0</v>
      </c>
      <c r="CP187" s="552">
        <f t="shared" si="40"/>
        <v>0</v>
      </c>
      <c r="CQ187" s="552">
        <f t="shared" si="40"/>
        <v>0</v>
      </c>
      <c r="CR187" s="552">
        <f t="shared" si="40"/>
        <v>0</v>
      </c>
      <c r="CS187" s="552">
        <f t="shared" si="40"/>
        <v>0</v>
      </c>
      <c r="CT187" s="552">
        <f t="shared" si="40"/>
        <v>0</v>
      </c>
      <c r="CU187" s="552">
        <f t="shared" si="40"/>
        <v>0</v>
      </c>
      <c r="CV187" s="552">
        <f t="shared" si="40"/>
        <v>0</v>
      </c>
      <c r="CW187" s="552">
        <f t="shared" si="40"/>
        <v>0</v>
      </c>
      <c r="CX187" s="552">
        <f t="shared" si="40"/>
        <v>0</v>
      </c>
      <c r="CY187" s="552">
        <f t="shared" si="40"/>
        <v>0</v>
      </c>
      <c r="CZ187" s="552">
        <f t="shared" si="40"/>
        <v>0</v>
      </c>
      <c r="DA187" s="552">
        <f t="shared" si="40"/>
        <v>0</v>
      </c>
      <c r="DB187" s="552">
        <f t="shared" si="40"/>
        <v>0</v>
      </c>
      <c r="DC187" s="552">
        <f t="shared" si="40"/>
        <v>0</v>
      </c>
      <c r="DD187" s="552">
        <f t="shared" si="40"/>
        <v>0</v>
      </c>
      <c r="DE187" s="552">
        <f t="shared" si="40"/>
        <v>0</v>
      </c>
      <c r="DF187" s="552">
        <f t="shared" si="40"/>
        <v>5.8207660913467407E-11</v>
      </c>
      <c r="DG187" s="552">
        <f t="shared" si="40"/>
        <v>0</v>
      </c>
      <c r="DH187" s="552">
        <f t="shared" si="40"/>
        <v>0</v>
      </c>
      <c r="DI187" s="552">
        <f t="shared" si="40"/>
        <v>0</v>
      </c>
      <c r="DJ187" s="552">
        <f t="shared" si="40"/>
        <v>0</v>
      </c>
      <c r="DK187" s="552">
        <f t="shared" si="40"/>
        <v>0</v>
      </c>
      <c r="DL187" s="552">
        <f t="shared" si="40"/>
        <v>0</v>
      </c>
      <c r="DM187" s="552">
        <f t="shared" si="40"/>
        <v>0</v>
      </c>
      <c r="DN187" s="552">
        <f t="shared" si="40"/>
        <v>0</v>
      </c>
      <c r="DO187" s="552">
        <f t="shared" si="40"/>
        <v>0</v>
      </c>
      <c r="DP187" s="552">
        <f t="shared" si="40"/>
        <v>0</v>
      </c>
      <c r="DQ187" s="552">
        <f t="shared" si="40"/>
        <v>0</v>
      </c>
      <c r="DR187" s="552">
        <f t="shared" si="40"/>
        <v>0</v>
      </c>
      <c r="DS187" s="552">
        <f t="shared" si="40"/>
        <v>0</v>
      </c>
      <c r="DT187" s="552">
        <f t="shared" si="40"/>
        <v>0</v>
      </c>
      <c r="DU187" s="552">
        <f t="shared" si="40"/>
        <v>0</v>
      </c>
      <c r="DV187" s="552">
        <f t="shared" si="40"/>
        <v>0</v>
      </c>
      <c r="DW187" s="552">
        <f t="shared" si="40"/>
        <v>0</v>
      </c>
      <c r="DX187" s="552">
        <f t="shared" si="40"/>
        <v>0</v>
      </c>
      <c r="DY187" s="552">
        <f t="shared" si="40"/>
        <v>0</v>
      </c>
      <c r="DZ187" s="552">
        <f t="shared" si="40"/>
        <v>0</v>
      </c>
      <c r="EA187" s="552">
        <f t="shared" si="40"/>
        <v>0</v>
      </c>
      <c r="EB187" s="552">
        <f t="shared" si="40"/>
        <v>0</v>
      </c>
      <c r="EC187" s="552">
        <f t="shared" si="40"/>
        <v>1.0913936421275139E-11</v>
      </c>
      <c r="ED187" s="552">
        <f t="shared" si="40"/>
        <v>1.0516032489249483E-11</v>
      </c>
      <c r="EE187" s="552">
        <f t="shared" si="40"/>
        <v>1.0516032489249483E-11</v>
      </c>
      <c r="EF187" s="552">
        <f t="shared" si="40"/>
        <v>1.0516032489249483E-11</v>
      </c>
      <c r="EG187" s="552">
        <f t="shared" si="40"/>
        <v>1.0516032489249483E-11</v>
      </c>
    </row>
    <row r="189" spans="5:7" ht="12.75">
      <c r="E189" s="538" t="str">
        <f>InpC!E$128</f>
        <v>Check tolerance</v>
      </c>
      <c r="F189" s="539">
        <f>InpC!F$128</f>
        <v>0.001</v>
      </c>
      <c r="G189" s="539" t="str">
        <f>InpC!G$128</f>
        <v>EUR 000s</v>
      </c>
    </row>
    <row r="190" spans="5:7" ht="12.75">
      <c r="E190" s="538" t="s">
        <v>560</v>
      </c>
      <c r="F190" s="544">
        <f>IF(OR(MAX($J187:$EG187)&gt;$F189,MIN($J187:$EG187)&lt;-$F189),1,0)</f>
        <v>0</v>
      </c>
      <c r="G190" s="539" t="s">
        <v>224</v>
      </c>
    </row>
    <row r="192" spans="5:137" ht="12.75">
      <c r="E192" s="538" t="str">
        <f>Waterfall!E$122</f>
        <v>Cash balance - closing</v>
      </c>
      <c r="G192" s="539" t="str">
        <f>Waterfall!G$122</f>
        <v>EUR 000s</v>
      </c>
      <c r="H192" s="539">
        <f>Waterfall!H$122</f>
        <v>21202.690295842913</v>
      </c>
      <c r="J192" s="539">
        <f>Waterfall!J$122</f>
        <v>0</v>
      </c>
      <c r="K192" s="539">
        <f>Waterfall!K$122</f>
        <v>0</v>
      </c>
      <c r="L192" s="539">
        <f>Waterfall!L$122</f>
        <v>0</v>
      </c>
      <c r="M192" s="539">
        <f>Waterfall!M$122</f>
        <v>0</v>
      </c>
      <c r="N192" s="539">
        <f>Waterfall!N$122</f>
        <v>0</v>
      </c>
      <c r="O192" s="539">
        <f>Waterfall!O$122</f>
        <v>0</v>
      </c>
      <c r="P192" s="539">
        <f>Waterfall!P$122</f>
        <v>0</v>
      </c>
      <c r="Q192" s="539">
        <f>Waterfall!Q$122</f>
        <v>0</v>
      </c>
      <c r="R192" s="539">
        <f>Waterfall!R$122</f>
        <v>0</v>
      </c>
      <c r="S192" s="539">
        <f>Waterfall!S$122</f>
        <v>0</v>
      </c>
      <c r="T192" s="539">
        <f>Waterfall!T$122</f>
        <v>0</v>
      </c>
      <c r="U192" s="539">
        <f>Waterfall!U$122</f>
        <v>0</v>
      </c>
      <c r="V192" s="539">
        <f>Waterfall!V$122</f>
        <v>0</v>
      </c>
      <c r="W192" s="539">
        <f>Waterfall!W$122</f>
        <v>0</v>
      </c>
      <c r="X192" s="539">
        <f>Waterfall!X$122</f>
        <v>0</v>
      </c>
      <c r="Y192" s="539">
        <f>Waterfall!Y$122</f>
        <v>0</v>
      </c>
      <c r="Z192" s="539">
        <f>Waterfall!Z$122</f>
        <v>0</v>
      </c>
      <c r="AA192" s="539">
        <f>Waterfall!AA$122</f>
        <v>0</v>
      </c>
      <c r="AB192" s="539">
        <f>Waterfall!AB$122</f>
        <v>0</v>
      </c>
      <c r="AC192" s="539">
        <f>Waterfall!AC$122</f>
        <v>0</v>
      </c>
      <c r="AD192" s="539">
        <f>Waterfall!AD$122</f>
        <v>0</v>
      </c>
      <c r="AE192" s="539">
        <f>Waterfall!AE$122</f>
        <v>0</v>
      </c>
      <c r="AF192" s="539">
        <f>Waterfall!AF$122</f>
        <v>0</v>
      </c>
      <c r="AG192" s="539">
        <f>Waterfall!AG$122</f>
        <v>0</v>
      </c>
      <c r="AH192" s="539">
        <f>Waterfall!AH$122</f>
        <v>0</v>
      </c>
      <c r="AI192" s="539">
        <f>Waterfall!AI$122</f>
        <v>0</v>
      </c>
      <c r="AJ192" s="539">
        <f>Waterfall!AJ$122</f>
        <v>0</v>
      </c>
      <c r="AK192" s="539">
        <f>Waterfall!AK$122</f>
        <v>0</v>
      </c>
      <c r="AL192" s="539">
        <f>Waterfall!AL$122</f>
        <v>0</v>
      </c>
      <c r="AM192" s="539">
        <f>Waterfall!AM$122</f>
        <v>0</v>
      </c>
      <c r="AN192" s="539">
        <f>Waterfall!AN$122</f>
        <v>0</v>
      </c>
      <c r="AO192" s="539">
        <f>Waterfall!AO$122</f>
        <v>0</v>
      </c>
      <c r="AP192" s="539">
        <f>Waterfall!AP$122</f>
        <v>0</v>
      </c>
      <c r="AQ192" s="539">
        <f>Waterfall!AQ$122</f>
        <v>0</v>
      </c>
      <c r="AR192" s="539">
        <f>Waterfall!AR$122</f>
        <v>0</v>
      </c>
      <c r="AS192" s="539">
        <f>Waterfall!AS$122</f>
        <v>0</v>
      </c>
      <c r="AT192" s="539">
        <f>Waterfall!AT$122</f>
        <v>0</v>
      </c>
      <c r="AU192" s="539">
        <f>Waterfall!AU$122</f>
        <v>0</v>
      </c>
      <c r="AV192" s="539">
        <f>Waterfall!AV$122</f>
        <v>0</v>
      </c>
      <c r="AW192" s="539">
        <f>Waterfall!AW$122</f>
        <v>0</v>
      </c>
      <c r="AX192" s="539">
        <f>Waterfall!AX$122</f>
        <v>0</v>
      </c>
      <c r="AY192" s="539">
        <f>Waterfall!AY$122</f>
        <v>0</v>
      </c>
      <c r="AZ192" s="539">
        <f>Waterfall!AZ$122</f>
        <v>0</v>
      </c>
      <c r="BA192" s="539">
        <f>Waterfall!BA$122</f>
        <v>0</v>
      </c>
      <c r="BB192" s="539">
        <f>Waterfall!BB$122</f>
        <v>0</v>
      </c>
      <c r="BC192" s="539">
        <f>Waterfall!BC$122</f>
        <v>0</v>
      </c>
      <c r="BD192" s="539">
        <f>Waterfall!BD$122</f>
        <v>0</v>
      </c>
      <c r="BE192" s="539">
        <f>Waterfall!BE$122</f>
        <v>0</v>
      </c>
      <c r="BF192" s="539">
        <f>Waterfall!BF$122</f>
        <v>0</v>
      </c>
      <c r="BG192" s="539">
        <f>Waterfall!BG$122</f>
        <v>0</v>
      </c>
      <c r="BH192" s="539">
        <f>Waterfall!BH$122</f>
        <v>0</v>
      </c>
      <c r="BI192" s="539">
        <f>Waterfall!BI$122</f>
        <v>0</v>
      </c>
      <c r="BJ192" s="539">
        <f>Waterfall!BJ$122</f>
        <v>0</v>
      </c>
      <c r="BK192" s="539">
        <f>Waterfall!BK$122</f>
        <v>0</v>
      </c>
      <c r="BL192" s="539">
        <f>Waterfall!BL$122</f>
        <v>0</v>
      </c>
      <c r="BM192" s="539">
        <f>Waterfall!BM$122</f>
        <v>0</v>
      </c>
      <c r="BN192" s="539">
        <f>Waterfall!BN$122</f>
        <v>0</v>
      </c>
      <c r="BO192" s="539">
        <f>Waterfall!BO$122</f>
        <v>0</v>
      </c>
      <c r="BP192" s="539">
        <f>Waterfall!BP$122</f>
        <v>0</v>
      </c>
      <c r="BQ192" s="539">
        <f>Waterfall!BQ$122</f>
        <v>0</v>
      </c>
      <c r="BR192" s="539">
        <f>Waterfall!BR$122</f>
        <v>0</v>
      </c>
      <c r="BS192" s="539">
        <f>Waterfall!BS$122</f>
        <v>0</v>
      </c>
      <c r="BT192" s="539">
        <f>Waterfall!BT$122</f>
        <v>0</v>
      </c>
      <c r="BU192" s="539">
        <f>Waterfall!BU$122</f>
        <v>0</v>
      </c>
      <c r="BV192" s="539">
        <f>Waterfall!BV$122</f>
        <v>0</v>
      </c>
      <c r="BW192" s="539">
        <f>Waterfall!BW$122</f>
        <v>0</v>
      </c>
      <c r="BX192" s="539">
        <f>Waterfall!BX$122</f>
        <v>0</v>
      </c>
      <c r="BY192" s="539">
        <f>Waterfall!BY$122</f>
        <v>0</v>
      </c>
      <c r="BZ192" s="539">
        <f>Waterfall!BZ$122</f>
        <v>0</v>
      </c>
      <c r="CA192" s="539">
        <f>Waterfall!CA$122</f>
        <v>0</v>
      </c>
      <c r="CB192" s="539">
        <f>Waterfall!CB$122</f>
        <v>0</v>
      </c>
      <c r="CC192" s="539">
        <f>Waterfall!CC$122</f>
        <v>0</v>
      </c>
      <c r="CD192" s="539">
        <f>Waterfall!CD$122</f>
        <v>0</v>
      </c>
      <c r="CE192" s="539">
        <f>Waterfall!CE$122</f>
        <v>0</v>
      </c>
      <c r="CF192" s="539">
        <f>Waterfall!CF$122</f>
        <v>0</v>
      </c>
      <c r="CG192" s="539">
        <f>Waterfall!CG$122</f>
        <v>0</v>
      </c>
      <c r="CH192" s="539">
        <f>Waterfall!CH$122</f>
        <v>0</v>
      </c>
      <c r="CI192" s="539">
        <f>Waterfall!CI$122</f>
        <v>0</v>
      </c>
      <c r="CJ192" s="539">
        <f>Waterfall!CJ$122</f>
        <v>0</v>
      </c>
      <c r="CK192" s="539">
        <f>Waterfall!CK$122</f>
        <v>0</v>
      </c>
      <c r="CL192" s="539">
        <f>Waterfall!CL$122</f>
        <v>0</v>
      </c>
      <c r="CM192" s="539">
        <f>Waterfall!CM$122</f>
        <v>0</v>
      </c>
      <c r="CN192" s="539">
        <f>Waterfall!CN$122</f>
        <v>0</v>
      </c>
      <c r="CO192" s="539">
        <f>Waterfall!CO$122</f>
        <v>0</v>
      </c>
      <c r="CP192" s="539">
        <f>Waterfall!CP$122</f>
        <v>0</v>
      </c>
      <c r="CQ192" s="539">
        <f>Waterfall!CQ$122</f>
        <v>0</v>
      </c>
      <c r="CR192" s="539">
        <f>Waterfall!CR$122</f>
        <v>0</v>
      </c>
      <c r="CS192" s="539">
        <f>Waterfall!CS$122</f>
        <v>0</v>
      </c>
      <c r="CT192" s="539">
        <f>Waterfall!CT$122</f>
        <v>0</v>
      </c>
      <c r="CU192" s="539">
        <f>Waterfall!CU$122</f>
        <v>0</v>
      </c>
      <c r="CV192" s="539">
        <f>Waterfall!CV$122</f>
        <v>0</v>
      </c>
      <c r="CW192" s="539">
        <f>Waterfall!CW$122</f>
        <v>0</v>
      </c>
      <c r="CX192" s="539">
        <f>Waterfall!CX$122</f>
        <v>0</v>
      </c>
      <c r="CY192" s="539">
        <f>Waterfall!CY$122</f>
        <v>0</v>
      </c>
      <c r="CZ192" s="539">
        <f>Waterfall!CZ$122</f>
        <v>0</v>
      </c>
      <c r="DA192" s="539">
        <f>Waterfall!DA$122</f>
        <v>0</v>
      </c>
      <c r="DB192" s="539">
        <f>Waterfall!DB$122</f>
        <v>0</v>
      </c>
      <c r="DC192" s="539">
        <f>Waterfall!DC$122</f>
        <v>0</v>
      </c>
      <c r="DD192" s="539">
        <f>Waterfall!DD$122</f>
        <v>0</v>
      </c>
      <c r="DE192" s="539">
        <f>Waterfall!DE$122</f>
        <v>0</v>
      </c>
      <c r="DF192" s="539">
        <f>Waterfall!DF$122</f>
        <v>0</v>
      </c>
      <c r="DG192" s="539">
        <f>Waterfall!DG$122</f>
        <v>0</v>
      </c>
      <c r="DH192" s="539">
        <f>Waterfall!DH$122</f>
        <v>0</v>
      </c>
      <c r="DI192" s="539">
        <f>Waterfall!DI$122</f>
        <v>0</v>
      </c>
      <c r="DJ192" s="539">
        <f>Waterfall!DJ$122</f>
        <v>0</v>
      </c>
      <c r="DK192" s="539">
        <f>Waterfall!DK$122</f>
        <v>0</v>
      </c>
      <c r="DL192" s="539">
        <f>Waterfall!DL$122</f>
        <v>0</v>
      </c>
      <c r="DM192" s="539">
        <f>Waterfall!DM$122</f>
        <v>0</v>
      </c>
      <c r="DN192" s="539">
        <f>Waterfall!DN$122</f>
        <v>0</v>
      </c>
      <c r="DO192" s="539">
        <f>Waterfall!DO$122</f>
        <v>0</v>
      </c>
      <c r="DP192" s="539">
        <f>Waterfall!DP$122</f>
        <v>0</v>
      </c>
      <c r="DQ192" s="539">
        <f>Waterfall!DQ$122</f>
        <v>0</v>
      </c>
      <c r="DR192" s="539">
        <f>Waterfall!DR$122</f>
        <v>0</v>
      </c>
      <c r="DS192" s="539">
        <f>Waterfall!DS$122</f>
        <v>0</v>
      </c>
      <c r="DT192" s="539">
        <f>Waterfall!DT$122</f>
        <v>0</v>
      </c>
      <c r="DU192" s="539">
        <f>Waterfall!DU$122</f>
        <v>0</v>
      </c>
      <c r="DV192" s="539">
        <f>Waterfall!DV$122</f>
        <v>0</v>
      </c>
      <c r="DW192" s="539">
        <f>Waterfall!DW$122</f>
        <v>0</v>
      </c>
      <c r="DX192" s="539">
        <f>Waterfall!DX$122</f>
        <v>0</v>
      </c>
      <c r="DY192" s="539">
        <f>Waterfall!DY$122</f>
        <v>1997.2598334849408</v>
      </c>
      <c r="DZ192" s="539">
        <f>Waterfall!DZ$122</f>
        <v>4152.3012636137537</v>
      </c>
      <c r="EA192" s="539">
        <f>Waterfall!EA$122</f>
        <v>6402.5633707117795</v>
      </c>
      <c r="EB192" s="539">
        <f>Waterfall!EB$122</f>
        <v>8650.5658280308089</v>
      </c>
      <c r="EC192" s="539">
        <f>Waterfall!EC$122</f>
        <v>0</v>
      </c>
      <c r="ED192" s="539">
        <f>Waterfall!ED$122</f>
        <v>4.0745362639427185E-10</v>
      </c>
      <c r="EE192" s="539">
        <f>Waterfall!EE$122</f>
        <v>4.0745362639427185E-10</v>
      </c>
      <c r="EF192" s="539">
        <f>Waterfall!EF$122</f>
        <v>4.0745362639427185E-10</v>
      </c>
      <c r="EG192" s="539">
        <f>Waterfall!EG$122</f>
        <v>4.0745362639427185E-10</v>
      </c>
    </row>
    <row r="193" spans="5:137" ht="12.75">
      <c r="E193" s="551" t="s">
        <v>561</v>
      </c>
      <c r="F193" s="552"/>
      <c r="G193" s="552" t="s">
        <v>30</v>
      </c>
      <c r="H193" s="552">
        <f>SUM(J193:EG193)</f>
        <v>-4.3459294829517603E-08</v>
      </c>
      <c r="I193" s="552"/>
      <c r="J193" s="552">
        <f t="shared" si="41" ref="J193:EG193">J86-J192</f>
        <v>0</v>
      </c>
      <c r="K193" s="552">
        <f t="shared" si="41"/>
        <v>0</v>
      </c>
      <c r="L193" s="552">
        <f t="shared" si="41"/>
        <v>0</v>
      </c>
      <c r="M193" s="552">
        <f t="shared" si="41"/>
        <v>0</v>
      </c>
      <c r="N193" s="552">
        <f t="shared" si="41"/>
        <v>0</v>
      </c>
      <c r="O193" s="552">
        <f t="shared" si="41"/>
        <v>0</v>
      </c>
      <c r="P193" s="552">
        <f t="shared" si="41"/>
        <v>0</v>
      </c>
      <c r="Q193" s="552">
        <f t="shared" si="41"/>
        <v>0</v>
      </c>
      <c r="R193" s="552">
        <f t="shared" si="41"/>
        <v>-3.637978807091713E-12</v>
      </c>
      <c r="S193" s="552">
        <f t="shared" si="41"/>
        <v>-3.637978807091713E-12</v>
      </c>
      <c r="T193" s="552">
        <f t="shared" si="41"/>
        <v>-7.2759576141834259E-12</v>
      </c>
      <c r="U193" s="552">
        <f t="shared" si="41"/>
        <v>-7.2759576141834259E-12</v>
      </c>
      <c r="V193" s="552">
        <f t="shared" si="41"/>
        <v>-1.0913936421275139E-11</v>
      </c>
      <c r="W193" s="552">
        <f t="shared" si="41"/>
        <v>-1.0913936421275139E-11</v>
      </c>
      <c r="X193" s="552">
        <f t="shared" si="41"/>
        <v>-1.2732925824820995E-11</v>
      </c>
      <c r="Y193" s="552">
        <f t="shared" si="41"/>
        <v>-1.6370904631912708E-11</v>
      </c>
      <c r="Z193" s="552">
        <f t="shared" si="41"/>
        <v>-1.8189894035458565E-11</v>
      </c>
      <c r="AA193" s="552">
        <f t="shared" si="41"/>
        <v>-1.8189894035458565E-11</v>
      </c>
      <c r="AB193" s="552">
        <f t="shared" si="41"/>
        <v>-1.8189894035458565E-11</v>
      </c>
      <c r="AC193" s="552">
        <f t="shared" si="41"/>
        <v>-1.8189894035458565E-11</v>
      </c>
      <c r="AD193" s="552">
        <f t="shared" si="41"/>
        <v>-1.8189894035458565E-11</v>
      </c>
      <c r="AE193" s="552">
        <f t="shared" si="41"/>
        <v>-2.0008883439004421E-11</v>
      </c>
      <c r="AF193" s="552">
        <f t="shared" si="41"/>
        <v>-2.0918378140777349E-11</v>
      </c>
      <c r="AG193" s="552">
        <f t="shared" si="41"/>
        <v>-4.1200109990313649E-10</v>
      </c>
      <c r="AH193" s="552">
        <f t="shared" si="41"/>
        <v>-4.1200109990313649E-10</v>
      </c>
      <c r="AI193" s="552">
        <f t="shared" si="41"/>
        <v>-4.1200109990313649E-10</v>
      </c>
      <c r="AJ193" s="552">
        <f t="shared" si="41"/>
        <v>-4.1200109990313649E-10</v>
      </c>
      <c r="AK193" s="552">
        <f t="shared" si="41"/>
        <v>-4.1200109990313649E-10</v>
      </c>
      <c r="AL193" s="552">
        <f t="shared" si="41"/>
        <v>-4.1200109990313649E-10</v>
      </c>
      <c r="AM193" s="552">
        <f t="shared" si="41"/>
        <v>-4.1200109990313649E-10</v>
      </c>
      <c r="AN193" s="552">
        <f t="shared" si="41"/>
        <v>-4.1200109990313649E-10</v>
      </c>
      <c r="AO193" s="552">
        <f t="shared" si="41"/>
        <v>-4.1200109990313649E-10</v>
      </c>
      <c r="AP193" s="552">
        <f t="shared" si="41"/>
        <v>-4.1200109990313649E-10</v>
      </c>
      <c r="AQ193" s="552">
        <f t="shared" si="41"/>
        <v>-4.1200109990313649E-10</v>
      </c>
      <c r="AR193" s="552">
        <f t="shared" si="41"/>
        <v>-4.1200109990313649E-10</v>
      </c>
      <c r="AS193" s="552">
        <f t="shared" si="41"/>
        <v>-4.1200109990313649E-10</v>
      </c>
      <c r="AT193" s="552">
        <f t="shared" si="41"/>
        <v>-4.1200109990313649E-10</v>
      </c>
      <c r="AU193" s="552">
        <f t="shared" si="41"/>
        <v>-4.1200109990313649E-10</v>
      </c>
      <c r="AV193" s="552">
        <f t="shared" si="41"/>
        <v>-4.1200109990313649E-10</v>
      </c>
      <c r="AW193" s="552">
        <f t="shared" si="41"/>
        <v>-4.1200109990313649E-10</v>
      </c>
      <c r="AX193" s="552">
        <f t="shared" si="41"/>
        <v>-4.1200109990313649E-10</v>
      </c>
      <c r="AY193" s="552">
        <f t="shared" si="41"/>
        <v>-4.1200109990313649E-10</v>
      </c>
      <c r="AZ193" s="552">
        <f t="shared" si="41"/>
        <v>-4.1200109990313649E-10</v>
      </c>
      <c r="BA193" s="552">
        <f t="shared" si="41"/>
        <v>-4.1200109990313649E-10</v>
      </c>
      <c r="BB193" s="552">
        <f t="shared" si="41"/>
        <v>-4.1200109990313649E-10</v>
      </c>
      <c r="BC193" s="552">
        <f t="shared" si="41"/>
        <v>-4.1200109990313649E-10</v>
      </c>
      <c r="BD193" s="552">
        <f t="shared" si="41"/>
        <v>-4.1200109990313649E-10</v>
      </c>
      <c r="BE193" s="552">
        <f t="shared" si="41"/>
        <v>-4.1200109990313649E-10</v>
      </c>
      <c r="BF193" s="552">
        <f t="shared" si="41"/>
        <v>-4.1200109990313649E-10</v>
      </c>
      <c r="BG193" s="552">
        <f t="shared" si="41"/>
        <v>-4.1200109990313649E-10</v>
      </c>
      <c r="BH193" s="552">
        <f t="shared" si="41"/>
        <v>-4.1200109990313649E-10</v>
      </c>
      <c r="BI193" s="552">
        <f t="shared" si="41"/>
        <v>-4.1200109990313649E-10</v>
      </c>
      <c r="BJ193" s="552">
        <f t="shared" si="41"/>
        <v>-4.1200109990313649E-10</v>
      </c>
      <c r="BK193" s="552">
        <f t="shared" si="41"/>
        <v>-4.1200109990313649E-10</v>
      </c>
      <c r="BL193" s="552">
        <f t="shared" si="41"/>
        <v>-4.1200109990313649E-10</v>
      </c>
      <c r="BM193" s="552">
        <f t="shared" si="41"/>
        <v>-4.1200109990313649E-10</v>
      </c>
      <c r="BN193" s="552">
        <f t="shared" si="41"/>
        <v>-4.1200109990313649E-10</v>
      </c>
      <c r="BO193" s="552">
        <f t="shared" si="41"/>
        <v>-4.1200109990313649E-10</v>
      </c>
      <c r="BP193" s="552">
        <f t="shared" si="41"/>
        <v>-4.1200109990313649E-10</v>
      </c>
      <c r="BQ193" s="552">
        <f t="shared" si="41"/>
        <v>-4.1200109990313649E-10</v>
      </c>
      <c r="BR193" s="552">
        <f t="shared" si="41"/>
        <v>-4.1200109990313649E-10</v>
      </c>
      <c r="BS193" s="552">
        <f t="shared" si="41"/>
        <v>-4.1200109990313649E-10</v>
      </c>
      <c r="BT193" s="552">
        <f t="shared" si="41"/>
        <v>-4.1200109990313649E-10</v>
      </c>
      <c r="BU193" s="552">
        <f t="shared" si="41"/>
        <v>-4.1200109990313649E-10</v>
      </c>
      <c r="BV193" s="552">
        <f t="shared" si="41"/>
        <v>-4.1200109990313649E-10</v>
      </c>
      <c r="BW193" s="552">
        <f t="shared" si="41"/>
        <v>-4.1200109990313649E-10</v>
      </c>
      <c r="BX193" s="552">
        <f t="shared" si="41"/>
        <v>-4.1200109990313649E-10</v>
      </c>
      <c r="BY193" s="552">
        <f t="shared" si="41"/>
        <v>-4.1200109990313649E-10</v>
      </c>
      <c r="BZ193" s="552">
        <f t="shared" si="41"/>
        <v>-4.1200109990313649E-10</v>
      </c>
      <c r="CA193" s="552">
        <f t="shared" si="41"/>
        <v>-4.1200109990313649E-10</v>
      </c>
      <c r="CB193" s="552">
        <f t="shared" si="41"/>
        <v>-4.1200109990313649E-10</v>
      </c>
      <c r="CC193" s="552">
        <f t="shared" si="41"/>
        <v>-4.1200109990313649E-10</v>
      </c>
      <c r="CD193" s="552">
        <f t="shared" si="41"/>
        <v>-4.1200109990313649E-10</v>
      </c>
      <c r="CE193" s="552">
        <f t="shared" si="41"/>
        <v>-4.1200109990313649E-10</v>
      </c>
      <c r="CF193" s="552">
        <f t="shared" si="41"/>
        <v>-4.1200109990313649E-10</v>
      </c>
      <c r="CG193" s="552">
        <f t="shared" si="41"/>
        <v>-4.1200109990313649E-10</v>
      </c>
      <c r="CH193" s="552">
        <f t="shared" si="41"/>
        <v>-4.1200109990313649E-10</v>
      </c>
      <c r="CI193" s="552">
        <f t="shared" si="41"/>
        <v>-4.1200109990313649E-10</v>
      </c>
      <c r="CJ193" s="552">
        <f t="shared" si="41"/>
        <v>-4.1200109990313649E-10</v>
      </c>
      <c r="CK193" s="552">
        <f t="shared" si="41"/>
        <v>-4.1200109990313649E-10</v>
      </c>
      <c r="CL193" s="552">
        <f t="shared" si="41"/>
        <v>-4.1200109990313649E-10</v>
      </c>
      <c r="CM193" s="552">
        <f t="shared" si="41"/>
        <v>-4.1200109990313649E-10</v>
      </c>
      <c r="CN193" s="552">
        <f t="shared" si="41"/>
        <v>-4.1200109990313649E-10</v>
      </c>
      <c r="CO193" s="552">
        <f t="shared" si="41"/>
        <v>-4.1200109990313649E-10</v>
      </c>
      <c r="CP193" s="552">
        <f t="shared" si="41"/>
        <v>-4.1200109990313649E-10</v>
      </c>
      <c r="CQ193" s="552">
        <f t="shared" si="41"/>
        <v>-4.1200109990313649E-10</v>
      </c>
      <c r="CR193" s="552">
        <f t="shared" si="41"/>
        <v>-4.1200109990313649E-10</v>
      </c>
      <c r="CS193" s="552">
        <f t="shared" si="41"/>
        <v>-4.1200109990313649E-10</v>
      </c>
      <c r="CT193" s="552">
        <f t="shared" si="41"/>
        <v>-4.1200109990313649E-10</v>
      </c>
      <c r="CU193" s="552">
        <f t="shared" si="41"/>
        <v>-4.1200109990313649E-10</v>
      </c>
      <c r="CV193" s="552">
        <f t="shared" si="41"/>
        <v>-4.1200109990313649E-10</v>
      </c>
      <c r="CW193" s="552">
        <f t="shared" si="41"/>
        <v>-4.1200109990313649E-10</v>
      </c>
      <c r="CX193" s="552">
        <f t="shared" si="41"/>
        <v>-4.1200109990313649E-10</v>
      </c>
      <c r="CY193" s="552">
        <f t="shared" si="41"/>
        <v>-4.1200109990313649E-10</v>
      </c>
      <c r="CZ193" s="552">
        <f t="shared" si="41"/>
        <v>-4.1200109990313649E-10</v>
      </c>
      <c r="DA193" s="552">
        <f t="shared" si="41"/>
        <v>-4.1200109990313649E-10</v>
      </c>
      <c r="DB193" s="552">
        <f t="shared" si="41"/>
        <v>-4.1200109990313649E-10</v>
      </c>
      <c r="DC193" s="552">
        <f t="shared" si="41"/>
        <v>-4.1200109990313649E-10</v>
      </c>
      <c r="DD193" s="552">
        <f t="shared" si="41"/>
        <v>-4.1200109990313649E-10</v>
      </c>
      <c r="DE193" s="552">
        <f t="shared" si="41"/>
        <v>-4.1200109990313649E-10</v>
      </c>
      <c r="DF193" s="552">
        <f t="shared" si="41"/>
        <v>-4.1200109990313649E-10</v>
      </c>
      <c r="DG193" s="552">
        <f t="shared" si="41"/>
        <v>-4.1200109990313649E-10</v>
      </c>
      <c r="DH193" s="552">
        <f t="shared" si="41"/>
        <v>-4.1200109990313649E-10</v>
      </c>
      <c r="DI193" s="552">
        <f t="shared" si="41"/>
        <v>-4.1200109990313649E-10</v>
      </c>
      <c r="DJ193" s="552">
        <f t="shared" si="41"/>
        <v>-4.1200109990313649E-10</v>
      </c>
      <c r="DK193" s="552">
        <f t="shared" si="41"/>
        <v>-4.1200109990313649E-10</v>
      </c>
      <c r="DL193" s="552">
        <f t="shared" si="41"/>
        <v>-4.1200109990313649E-10</v>
      </c>
      <c r="DM193" s="552">
        <f t="shared" si="41"/>
        <v>-4.1200109990313649E-10</v>
      </c>
      <c r="DN193" s="552">
        <f t="shared" si="41"/>
        <v>-4.1200109990313649E-10</v>
      </c>
      <c r="DO193" s="552">
        <f t="shared" si="41"/>
        <v>-4.1200109990313649E-10</v>
      </c>
      <c r="DP193" s="552">
        <f t="shared" si="41"/>
        <v>-4.1200109990313649E-10</v>
      </c>
      <c r="DQ193" s="552">
        <f t="shared" si="41"/>
        <v>-4.1200109990313649E-10</v>
      </c>
      <c r="DR193" s="552">
        <f t="shared" si="41"/>
        <v>-4.1200109990313649E-10</v>
      </c>
      <c r="DS193" s="552">
        <f t="shared" si="41"/>
        <v>-4.1200109990313649E-10</v>
      </c>
      <c r="DT193" s="552">
        <f t="shared" si="41"/>
        <v>-4.1200109990313649E-10</v>
      </c>
      <c r="DU193" s="552">
        <f t="shared" si="41"/>
        <v>-4.1200109990313649E-10</v>
      </c>
      <c r="DV193" s="552">
        <f t="shared" si="41"/>
        <v>-4.1200109990313649E-10</v>
      </c>
      <c r="DW193" s="552">
        <f t="shared" si="41"/>
        <v>-4.1200109990313649E-10</v>
      </c>
      <c r="DX193" s="552">
        <f t="shared" si="41"/>
        <v>-4.1200109990313649E-10</v>
      </c>
      <c r="DY193" s="552">
        <f t="shared" si="41"/>
        <v>-4.1200109990313649E-10</v>
      </c>
      <c r="DZ193" s="552">
        <f t="shared" si="41"/>
        <v>-4.1200109990313649E-10</v>
      </c>
      <c r="EA193" s="552">
        <f t="shared" si="41"/>
        <v>-4.1200109990313649E-10</v>
      </c>
      <c r="EB193" s="552">
        <f t="shared" si="41"/>
        <v>-4.1109160520136356E-10</v>
      </c>
      <c r="EC193" s="552">
        <f t="shared" si="41"/>
        <v>-4.1109160520136356E-10</v>
      </c>
      <c r="ED193" s="552">
        <f t="shared" si="41"/>
        <v>-4.1109160520136356E-10</v>
      </c>
      <c r="EE193" s="552">
        <f t="shared" si="41"/>
        <v>-4.1109160520136356E-10</v>
      </c>
      <c r="EF193" s="552">
        <f t="shared" si="41"/>
        <v>-4.1109160520136356E-10</v>
      </c>
      <c r="EG193" s="552">
        <f t="shared" si="41"/>
        <v>-4.1109160520136356E-10</v>
      </c>
    </row>
    <row r="195" spans="5:7" ht="12.75">
      <c r="E195" s="538" t="str">
        <f>InpC!E$128</f>
        <v>Check tolerance</v>
      </c>
      <c r="F195" s="539">
        <f>InpC!F$128</f>
        <v>0.001</v>
      </c>
      <c r="G195" s="539" t="str">
        <f>InpC!G$128</f>
        <v>EUR 000s</v>
      </c>
    </row>
    <row r="196" spans="5:7" ht="12.75">
      <c r="E196" s="538" t="s">
        <v>562</v>
      </c>
      <c r="F196" s="544">
        <f>IF(OR(MAX($J193:$EG193)&gt;$F195,MIN($J193:$EG193)&lt;-$F195),1,0)</f>
        <v>0</v>
      </c>
      <c r="G196" s="539" t="s">
        <v>224</v>
      </c>
    </row>
    <row r="198" spans="5:7" ht="12.75">
      <c r="E198" s="538" t="str">
        <f>InpC!E$128</f>
        <v>Check tolerance</v>
      </c>
      <c r="F198" s="539">
        <f>InpC!F$128</f>
        <v>0.001</v>
      </c>
      <c r="G198" s="539" t="str">
        <f>InpC!G$128</f>
        <v>EUR 000s</v>
      </c>
    </row>
    <row r="199" spans="5:137" ht="12.75">
      <c r="E199" s="538" t="str">
        <f>Equity!E$91</f>
        <v>Dividends - paid</v>
      </c>
      <c r="G199" s="539" t="str">
        <f>Equity!G$91</f>
        <v>EUR 000s</v>
      </c>
      <c r="H199" s="539">
        <f>Equity!H$91</f>
        <v>450809.27108649502</v>
      </c>
      <c r="J199" s="539">
        <f>Equity!J$91</f>
        <v>0</v>
      </c>
      <c r="K199" s="539">
        <f>Equity!K$91</f>
        <v>0</v>
      </c>
      <c r="L199" s="539">
        <f>Equity!L$91</f>
        <v>0</v>
      </c>
      <c r="M199" s="539">
        <f>Equity!M$91</f>
        <v>0</v>
      </c>
      <c r="N199" s="539">
        <f>Equity!N$91</f>
        <v>0</v>
      </c>
      <c r="O199" s="539">
        <f>Equity!O$91</f>
        <v>0</v>
      </c>
      <c r="P199" s="539">
        <f>Equity!P$91</f>
        <v>0</v>
      </c>
      <c r="Q199" s="539">
        <f>Equity!Q$91</f>
        <v>0</v>
      </c>
      <c r="R199" s="539">
        <f>Equity!R$91</f>
        <v>0</v>
      </c>
      <c r="S199" s="539">
        <f>Equity!S$91</f>
        <v>0</v>
      </c>
      <c r="T199" s="539">
        <f>Equity!T$91</f>
        <v>0</v>
      </c>
      <c r="U199" s="539">
        <f>Equity!U$91</f>
        <v>0</v>
      </c>
      <c r="V199" s="539">
        <f>Equity!V$91</f>
        <v>0</v>
      </c>
      <c r="W199" s="539">
        <f>Equity!W$91</f>
        <v>0</v>
      </c>
      <c r="X199" s="539">
        <f>Equity!X$91</f>
        <v>0</v>
      </c>
      <c r="Y199" s="539">
        <f>Equity!Y$91</f>
        <v>0</v>
      </c>
      <c r="Z199" s="539">
        <f>Equity!Z$91</f>
        <v>0</v>
      </c>
      <c r="AA199" s="539">
        <f>Equity!AA$91</f>
        <v>0</v>
      </c>
      <c r="AB199" s="539">
        <f>Equity!AB$91</f>
        <v>0</v>
      </c>
      <c r="AC199" s="539">
        <f>Equity!AC$91</f>
        <v>0</v>
      </c>
      <c r="AD199" s="539">
        <f>Equity!AD$91</f>
        <v>0</v>
      </c>
      <c r="AE199" s="539">
        <f>Equity!AE$91</f>
        <v>0</v>
      </c>
      <c r="AF199" s="539">
        <f>Equity!AF$91</f>
        <v>0</v>
      </c>
      <c r="AG199" s="539">
        <f>Equity!AG$91</f>
        <v>0</v>
      </c>
      <c r="AH199" s="539">
        <f>Equity!AH$91</f>
        <v>0</v>
      </c>
      <c r="AI199" s="539">
        <f>Equity!AI$91</f>
        <v>0</v>
      </c>
      <c r="AJ199" s="539">
        <f>Equity!AJ$91</f>
        <v>0</v>
      </c>
      <c r="AK199" s="539">
        <f>Equity!AK$91</f>
        <v>0</v>
      </c>
      <c r="AL199" s="539">
        <f>Equity!AL$91</f>
        <v>0</v>
      </c>
      <c r="AM199" s="539">
        <f>Equity!AM$91</f>
        <v>0</v>
      </c>
      <c r="AN199" s="539">
        <f>Equity!AN$91</f>
        <v>0</v>
      </c>
      <c r="AO199" s="539">
        <f>Equity!AO$91</f>
        <v>0</v>
      </c>
      <c r="AP199" s="539">
        <f>Equity!AP$91</f>
        <v>0</v>
      </c>
      <c r="AQ199" s="539">
        <f>Equity!AQ$91</f>
        <v>0</v>
      </c>
      <c r="AR199" s="539">
        <f>Equity!AR$91</f>
        <v>0</v>
      </c>
      <c r="AS199" s="539">
        <f>Equity!AS$91</f>
        <v>0</v>
      </c>
      <c r="AT199" s="539">
        <f>Equity!AT$91</f>
        <v>0</v>
      </c>
      <c r="AU199" s="539">
        <f>Equity!AU$91</f>
        <v>0</v>
      </c>
      <c r="AV199" s="539">
        <f>Equity!AV$91</f>
        <v>0</v>
      </c>
      <c r="AW199" s="539">
        <f>Equity!AW$91</f>
        <v>0</v>
      </c>
      <c r="AX199" s="539">
        <f>Equity!AX$91</f>
        <v>0</v>
      </c>
      <c r="AY199" s="539">
        <f>Equity!AY$91</f>
        <v>0</v>
      </c>
      <c r="AZ199" s="539">
        <f>Equity!AZ$91</f>
        <v>0</v>
      </c>
      <c r="BA199" s="539">
        <f>Equity!BA$91</f>
        <v>0</v>
      </c>
      <c r="BB199" s="539">
        <f>Equity!BB$91</f>
        <v>0</v>
      </c>
      <c r="BC199" s="539">
        <f>Equity!BC$91</f>
        <v>0</v>
      </c>
      <c r="BD199" s="539">
        <f>Equity!BD$91</f>
        <v>0</v>
      </c>
      <c r="BE199" s="539">
        <f>Equity!BE$91</f>
        <v>0</v>
      </c>
      <c r="BF199" s="539">
        <f>Equity!BF$91</f>
        <v>2527.6157695725174</v>
      </c>
      <c r="BG199" s="539">
        <f>Equity!BG$91</f>
        <v>3963.7340210591155</v>
      </c>
      <c r="BH199" s="539">
        <f>Equity!BH$91</f>
        <v>3901.9818208723086</v>
      </c>
      <c r="BI199" s="539">
        <f>Equity!BI$91</f>
        <v>3863.3396261250573</v>
      </c>
      <c r="BJ199" s="539">
        <f>Equity!BJ$91</f>
        <v>3981.7948466400562</v>
      </c>
      <c r="BK199" s="539">
        <f>Equity!BK$91</f>
        <v>4041.5037487339391</v>
      </c>
      <c r="BL199" s="539">
        <f>Equity!BL$91</f>
        <v>4013.5705589641948</v>
      </c>
      <c r="BM199" s="539">
        <f>Equity!BM$91</f>
        <v>3952.9034566736409</v>
      </c>
      <c r="BN199" s="539">
        <f>Equity!BN$91</f>
        <v>2097.5193655527028</v>
      </c>
      <c r="BO199" s="539">
        <f>Equity!BO$91</f>
        <v>2200.864273878366</v>
      </c>
      <c r="BP199" s="539">
        <f>Equity!BP$91</f>
        <v>2098.1063109146212</v>
      </c>
      <c r="BQ199" s="539">
        <f>Equity!BQ$91</f>
        <v>2037.8164184080592</v>
      </c>
      <c r="BR199" s="539">
        <f>Equity!BR$91</f>
        <v>4224.1553525130121</v>
      </c>
      <c r="BS199" s="539">
        <f>Equity!BS$91</f>
        <v>4329.7689293072381</v>
      </c>
      <c r="BT199" s="539">
        <f>Equity!BT$91</f>
        <v>4419.8055567868232</v>
      </c>
      <c r="BU199" s="539">
        <f>Equity!BU$91</f>
        <v>4770.8603254831687</v>
      </c>
      <c r="BV199" s="539">
        <f>Equity!BV$91</f>
        <v>4626.1012277867885</v>
      </c>
      <c r="BW199" s="539">
        <f>Equity!BW$91</f>
        <v>3945.1397120020174</v>
      </c>
      <c r="BX199" s="539">
        <f>Equity!BX$91</f>
        <v>3887.6124417460055</v>
      </c>
      <c r="BY199" s="539">
        <f>Equity!BY$91</f>
        <v>3843.3319181364645</v>
      </c>
      <c r="BZ199" s="539">
        <f>Equity!BZ$91</f>
        <v>3978.3991178064584</v>
      </c>
      <c r="CA199" s="539">
        <f>Equity!CA$91</f>
        <v>4211.4281415911701</v>
      </c>
      <c r="CB199" s="539">
        <f>Equity!CB$91</f>
        <v>4139.4003880005166</v>
      </c>
      <c r="CC199" s="539">
        <f>Equity!CC$91</f>
        <v>3736.011479524982</v>
      </c>
      <c r="CD199" s="539">
        <f>Equity!CD$91</f>
        <v>4321.3134548763692</v>
      </c>
      <c r="CE199" s="539">
        <f>Equity!CE$91</f>
        <v>4413.9780591819081</v>
      </c>
      <c r="CF199" s="539">
        <f>Equity!CF$91</f>
        <v>4368.5578436146661</v>
      </c>
      <c r="CG199" s="539">
        <f>Equity!CG$91</f>
        <v>4283.5118246307165</v>
      </c>
      <c r="CH199" s="539">
        <f>Equity!CH$91</f>
        <v>2110.5359724491877</v>
      </c>
      <c r="CI199" s="539">
        <f>Equity!CI$91</f>
        <v>2204.6023940287428</v>
      </c>
      <c r="CJ199" s="539">
        <f>Equity!CJ$91</f>
        <v>1870.785150550882</v>
      </c>
      <c r="CK199" s="539">
        <f>Equity!CK$91</f>
        <v>1786.9171601948424</v>
      </c>
      <c r="CL199" s="539">
        <f>Equity!CL$91</f>
        <v>4628.8303227158403</v>
      </c>
      <c r="CM199" s="539">
        <f>Equity!CM$91</f>
        <v>4723.5203653725785</v>
      </c>
      <c r="CN199" s="539">
        <f>Equity!CN$91</f>
        <v>4948.935086001231</v>
      </c>
      <c r="CO199" s="539">
        <f>Equity!CO$91</f>
        <v>4889.99295027068</v>
      </c>
      <c r="CP199" s="539">
        <f>Equity!CP$91</f>
        <v>4408.4942242291327</v>
      </c>
      <c r="CQ199" s="539">
        <f>Equity!CQ$91</f>
        <v>4454.0921236772019</v>
      </c>
      <c r="CR199" s="539">
        <f>Equity!CR$91</f>
        <v>4428.3806644411152</v>
      </c>
      <c r="CS199" s="539">
        <f>Equity!CS$91</f>
        <v>4344.7192119229667</v>
      </c>
      <c r="CT199" s="539">
        <f>Equity!CT$91</f>
        <v>4410.7908852154824</v>
      </c>
      <c r="CU199" s="539">
        <f>Equity!CU$91</f>
        <v>4507.2180043044709</v>
      </c>
      <c r="CV199" s="539">
        <f>Equity!CV$91</f>
        <v>4455.6468509356973</v>
      </c>
      <c r="CW199" s="539">
        <f>Equity!CW$91</f>
        <v>4372.1040514103006</v>
      </c>
      <c r="CX199" s="539">
        <f>Equity!CX$91</f>
        <v>4442.1439989063965</v>
      </c>
      <c r="CY199" s="539">
        <f>Equity!CY$91</f>
        <v>4538.8867633803111</v>
      </c>
      <c r="CZ199" s="539">
        <f>Equity!CZ$91</f>
        <v>9289.0498453167747</v>
      </c>
      <c r="DA199" s="539">
        <f>Equity!DA$91</f>
        <v>9243.2109589193478</v>
      </c>
      <c r="DB199" s="539">
        <f>Equity!DB$91</f>
        <v>6730.8032201585938</v>
      </c>
      <c r="DC199" s="539">
        <f>Equity!DC$91</f>
        <v>6819.6943690281241</v>
      </c>
      <c r="DD199" s="539">
        <f>Equity!DD$91</f>
        <v>6814.0398522326241</v>
      </c>
      <c r="DE199" s="539">
        <f>Equity!DE$91</f>
        <v>6785.1271000854231</v>
      </c>
      <c r="DF199" s="539">
        <f>Equity!DF$91</f>
        <v>10042.297500103878</v>
      </c>
      <c r="DG199" s="539">
        <f>Equity!DG$91</f>
        <v>10083.037086594606</v>
      </c>
      <c r="DH199" s="539">
        <f>Equity!DH$91</f>
        <v>10103.030440845592</v>
      </c>
      <c r="DI199" s="539">
        <f>Equity!DI$91</f>
        <v>10074.710093976457</v>
      </c>
      <c r="DJ199" s="539">
        <f>Equity!DJ$91</f>
        <v>9531.0000277068248</v>
      </c>
      <c r="DK199" s="539">
        <f>Equity!DK$91</f>
        <v>9622.5760692221538</v>
      </c>
      <c r="DL199" s="539">
        <f>Equity!DL$91</f>
        <v>9618.4891847043327</v>
      </c>
      <c r="DM199" s="539">
        <f>Equity!DM$91</f>
        <v>9590.6249782264968</v>
      </c>
      <c r="DN199" s="539">
        <f>Equity!DN$91</f>
        <v>9679.6513243283043</v>
      </c>
      <c r="DO199" s="539">
        <f>Equity!DO$91</f>
        <v>9772.3259446832872</v>
      </c>
      <c r="DP199" s="539">
        <f>Equity!DP$91</f>
        <v>9768.8299907587207</v>
      </c>
      <c r="DQ199" s="539">
        <f>Equity!DQ$91</f>
        <v>9741.3091688148925</v>
      </c>
      <c r="DR199" s="539">
        <f>Equity!DR$91</f>
        <v>9833.1752700445759</v>
      </c>
      <c r="DS199" s="539">
        <f>Equity!DS$91</f>
        <v>9926.8134161951511</v>
      </c>
      <c r="DT199" s="539">
        <f>Equity!DT$91</f>
        <v>9923.8082057289866</v>
      </c>
      <c r="DU199" s="539">
        <f>Equity!DU$91</f>
        <v>9896.5376166003607</v>
      </c>
      <c r="DV199" s="539">
        <f>Equity!DV$91</f>
        <v>10016.918852742816</v>
      </c>
      <c r="DW199" s="539">
        <f>Equity!DW$91</f>
        <v>10059.983606963106</v>
      </c>
      <c r="DX199" s="539">
        <f>Equity!DX$91</f>
        <v>10083.094712487115</v>
      </c>
      <c r="DY199" s="539">
        <f>Equity!DY$91</f>
        <v>8058.7377291418616</v>
      </c>
      <c r="DZ199" s="539">
        <f>Equity!DZ$91</f>
        <v>7998.4180876236478</v>
      </c>
      <c r="EA199" s="539">
        <f>Equity!EA$91</f>
        <v>7998.4180876236478</v>
      </c>
      <c r="EB199" s="539">
        <f>Equity!EB$91</f>
        <v>7998.4180876236487</v>
      </c>
      <c r="EC199" s="539">
        <f>Equity!EC$91</f>
        <v>5690.0004154234884</v>
      </c>
      <c r="ED199" s="539">
        <f>Equity!ED$91</f>
        <v>2308.4176722000593</v>
      </c>
      <c r="EE199" s="539">
        <f>Equity!EE$91</f>
        <v>0</v>
      </c>
      <c r="EF199" s="539">
        <f>Equity!EF$91</f>
        <v>0</v>
      </c>
      <c r="EG199" s="539">
        <f>Equity!EG$91</f>
        <v>0</v>
      </c>
    </row>
    <row r="200" spans="5:137" ht="12.75">
      <c r="E200" s="538" t="str">
        <f>Time!E$170</f>
        <v>Last model period flag</v>
      </c>
      <c r="G200" s="539" t="str">
        <f>Time!G$170</f>
        <v>flag</v>
      </c>
      <c r="H200" s="539">
        <f>Time!H$170</f>
        <v>1</v>
      </c>
      <c r="J200" s="539">
        <f>Time!J$170</f>
        <v>0</v>
      </c>
      <c r="K200" s="539">
        <f>Time!K$170</f>
        <v>0</v>
      </c>
      <c r="L200" s="539">
        <f>Time!L$170</f>
        <v>0</v>
      </c>
      <c r="M200" s="539">
        <f>Time!M$170</f>
        <v>0</v>
      </c>
      <c r="N200" s="539">
        <f>Time!N$170</f>
        <v>0</v>
      </c>
      <c r="O200" s="539">
        <f>Time!O$170</f>
        <v>0</v>
      </c>
      <c r="P200" s="539">
        <f>Time!P$170</f>
        <v>0</v>
      </c>
      <c r="Q200" s="539">
        <f>Time!Q$170</f>
        <v>0</v>
      </c>
      <c r="R200" s="539">
        <f>Time!R$170</f>
        <v>0</v>
      </c>
      <c r="S200" s="539">
        <f>Time!S$170</f>
        <v>0</v>
      </c>
      <c r="T200" s="539">
        <f>Time!T$170</f>
        <v>0</v>
      </c>
      <c r="U200" s="539">
        <f>Time!U$170</f>
        <v>0</v>
      </c>
      <c r="V200" s="539">
        <f>Time!V$170</f>
        <v>0</v>
      </c>
      <c r="W200" s="539">
        <f>Time!W$170</f>
        <v>0</v>
      </c>
      <c r="X200" s="539">
        <f>Time!X$170</f>
        <v>0</v>
      </c>
      <c r="Y200" s="539">
        <f>Time!Y$170</f>
        <v>0</v>
      </c>
      <c r="Z200" s="539">
        <f>Time!Z$170</f>
        <v>0</v>
      </c>
      <c r="AA200" s="539">
        <f>Time!AA$170</f>
        <v>0</v>
      </c>
      <c r="AB200" s="539">
        <f>Time!AB$170</f>
        <v>0</v>
      </c>
      <c r="AC200" s="539">
        <f>Time!AC$170</f>
        <v>0</v>
      </c>
      <c r="AD200" s="539">
        <f>Time!AD$170</f>
        <v>0</v>
      </c>
      <c r="AE200" s="539">
        <f>Time!AE$170</f>
        <v>0</v>
      </c>
      <c r="AF200" s="539">
        <f>Time!AF$170</f>
        <v>0</v>
      </c>
      <c r="AG200" s="539">
        <f>Time!AG$170</f>
        <v>0</v>
      </c>
      <c r="AH200" s="539">
        <f>Time!AH$170</f>
        <v>0</v>
      </c>
      <c r="AI200" s="539">
        <f>Time!AI$170</f>
        <v>0</v>
      </c>
      <c r="AJ200" s="539">
        <f>Time!AJ$170</f>
        <v>0</v>
      </c>
      <c r="AK200" s="539">
        <f>Time!AK$170</f>
        <v>0</v>
      </c>
      <c r="AL200" s="539">
        <f>Time!AL$170</f>
        <v>0</v>
      </c>
      <c r="AM200" s="539">
        <f>Time!AM$170</f>
        <v>0</v>
      </c>
      <c r="AN200" s="539">
        <f>Time!AN$170</f>
        <v>0</v>
      </c>
      <c r="AO200" s="539">
        <f>Time!AO$170</f>
        <v>0</v>
      </c>
      <c r="AP200" s="539">
        <f>Time!AP$170</f>
        <v>0</v>
      </c>
      <c r="AQ200" s="539">
        <f>Time!AQ$170</f>
        <v>0</v>
      </c>
      <c r="AR200" s="539">
        <f>Time!AR$170</f>
        <v>0</v>
      </c>
      <c r="AS200" s="539">
        <f>Time!AS$170</f>
        <v>0</v>
      </c>
      <c r="AT200" s="539">
        <f>Time!AT$170</f>
        <v>0</v>
      </c>
      <c r="AU200" s="539">
        <f>Time!AU$170</f>
        <v>0</v>
      </c>
      <c r="AV200" s="539">
        <f>Time!AV$170</f>
        <v>0</v>
      </c>
      <c r="AW200" s="539">
        <f>Time!AW$170</f>
        <v>0</v>
      </c>
      <c r="AX200" s="539">
        <f>Time!AX$170</f>
        <v>0</v>
      </c>
      <c r="AY200" s="539">
        <f>Time!AY$170</f>
        <v>0</v>
      </c>
      <c r="AZ200" s="539">
        <f>Time!AZ$170</f>
        <v>0</v>
      </c>
      <c r="BA200" s="539">
        <f>Time!BA$170</f>
        <v>0</v>
      </c>
      <c r="BB200" s="539">
        <f>Time!BB$170</f>
        <v>0</v>
      </c>
      <c r="BC200" s="539">
        <f>Time!BC$170</f>
        <v>0</v>
      </c>
      <c r="BD200" s="539">
        <f>Time!BD$170</f>
        <v>0</v>
      </c>
      <c r="BE200" s="539">
        <f>Time!BE$170</f>
        <v>0</v>
      </c>
      <c r="BF200" s="539">
        <f>Time!BF$170</f>
        <v>0</v>
      </c>
      <c r="BG200" s="539">
        <f>Time!BG$170</f>
        <v>0</v>
      </c>
      <c r="BH200" s="539">
        <f>Time!BH$170</f>
        <v>0</v>
      </c>
      <c r="BI200" s="539">
        <f>Time!BI$170</f>
        <v>0</v>
      </c>
      <c r="BJ200" s="539">
        <f>Time!BJ$170</f>
        <v>0</v>
      </c>
      <c r="BK200" s="539">
        <f>Time!BK$170</f>
        <v>0</v>
      </c>
      <c r="BL200" s="539">
        <f>Time!BL$170</f>
        <v>0</v>
      </c>
      <c r="BM200" s="539">
        <f>Time!BM$170</f>
        <v>0</v>
      </c>
      <c r="BN200" s="539">
        <f>Time!BN$170</f>
        <v>0</v>
      </c>
      <c r="BO200" s="539">
        <f>Time!BO$170</f>
        <v>0</v>
      </c>
      <c r="BP200" s="539">
        <f>Time!BP$170</f>
        <v>0</v>
      </c>
      <c r="BQ200" s="539">
        <f>Time!BQ$170</f>
        <v>0</v>
      </c>
      <c r="BR200" s="539">
        <f>Time!BR$170</f>
        <v>0</v>
      </c>
      <c r="BS200" s="539">
        <f>Time!BS$170</f>
        <v>0</v>
      </c>
      <c r="BT200" s="539">
        <f>Time!BT$170</f>
        <v>0</v>
      </c>
      <c r="BU200" s="539">
        <f>Time!BU$170</f>
        <v>0</v>
      </c>
      <c r="BV200" s="539">
        <f>Time!BV$170</f>
        <v>0</v>
      </c>
      <c r="BW200" s="539">
        <f>Time!BW$170</f>
        <v>0</v>
      </c>
      <c r="BX200" s="539">
        <f>Time!BX$170</f>
        <v>0</v>
      </c>
      <c r="BY200" s="539">
        <f>Time!BY$170</f>
        <v>0</v>
      </c>
      <c r="BZ200" s="539">
        <f>Time!BZ$170</f>
        <v>0</v>
      </c>
      <c r="CA200" s="539">
        <f>Time!CA$170</f>
        <v>0</v>
      </c>
      <c r="CB200" s="539">
        <f>Time!CB$170</f>
        <v>0</v>
      </c>
      <c r="CC200" s="539">
        <f>Time!CC$170</f>
        <v>0</v>
      </c>
      <c r="CD200" s="539">
        <f>Time!CD$170</f>
        <v>0</v>
      </c>
      <c r="CE200" s="539">
        <f>Time!CE$170</f>
        <v>0</v>
      </c>
      <c r="CF200" s="539">
        <f>Time!CF$170</f>
        <v>0</v>
      </c>
      <c r="CG200" s="539">
        <f>Time!CG$170</f>
        <v>0</v>
      </c>
      <c r="CH200" s="539">
        <f>Time!CH$170</f>
        <v>0</v>
      </c>
      <c r="CI200" s="539">
        <f>Time!CI$170</f>
        <v>0</v>
      </c>
      <c r="CJ200" s="539">
        <f>Time!CJ$170</f>
        <v>0</v>
      </c>
      <c r="CK200" s="539">
        <f>Time!CK$170</f>
        <v>0</v>
      </c>
      <c r="CL200" s="539">
        <f>Time!CL$170</f>
        <v>0</v>
      </c>
      <c r="CM200" s="539">
        <f>Time!CM$170</f>
        <v>0</v>
      </c>
      <c r="CN200" s="539">
        <f>Time!CN$170</f>
        <v>0</v>
      </c>
      <c r="CO200" s="539">
        <f>Time!CO$170</f>
        <v>0</v>
      </c>
      <c r="CP200" s="539">
        <f>Time!CP$170</f>
        <v>0</v>
      </c>
      <c r="CQ200" s="539">
        <f>Time!CQ$170</f>
        <v>0</v>
      </c>
      <c r="CR200" s="539">
        <f>Time!CR$170</f>
        <v>0</v>
      </c>
      <c r="CS200" s="539">
        <f>Time!CS$170</f>
        <v>0</v>
      </c>
      <c r="CT200" s="539">
        <f>Time!CT$170</f>
        <v>0</v>
      </c>
      <c r="CU200" s="539">
        <f>Time!CU$170</f>
        <v>0</v>
      </c>
      <c r="CV200" s="539">
        <f>Time!CV$170</f>
        <v>0</v>
      </c>
      <c r="CW200" s="539">
        <f>Time!CW$170</f>
        <v>0</v>
      </c>
      <c r="CX200" s="539">
        <f>Time!CX$170</f>
        <v>0</v>
      </c>
      <c r="CY200" s="539">
        <f>Time!CY$170</f>
        <v>0</v>
      </c>
      <c r="CZ200" s="539">
        <f>Time!CZ$170</f>
        <v>0</v>
      </c>
      <c r="DA200" s="539">
        <f>Time!DA$170</f>
        <v>0</v>
      </c>
      <c r="DB200" s="539">
        <f>Time!DB$170</f>
        <v>0</v>
      </c>
      <c r="DC200" s="539">
        <f>Time!DC$170</f>
        <v>0</v>
      </c>
      <c r="DD200" s="539">
        <f>Time!DD$170</f>
        <v>0</v>
      </c>
      <c r="DE200" s="539">
        <f>Time!DE$170</f>
        <v>0</v>
      </c>
      <c r="DF200" s="539">
        <f>Time!DF$170</f>
        <v>0</v>
      </c>
      <c r="DG200" s="539">
        <f>Time!DG$170</f>
        <v>0</v>
      </c>
      <c r="DH200" s="539">
        <f>Time!DH$170</f>
        <v>0</v>
      </c>
      <c r="DI200" s="539">
        <f>Time!DI$170</f>
        <v>0</v>
      </c>
      <c r="DJ200" s="539">
        <f>Time!DJ$170</f>
        <v>0</v>
      </c>
      <c r="DK200" s="539">
        <f>Time!DK$170</f>
        <v>0</v>
      </c>
      <c r="DL200" s="539">
        <f>Time!DL$170</f>
        <v>0</v>
      </c>
      <c r="DM200" s="539">
        <f>Time!DM$170</f>
        <v>0</v>
      </c>
      <c r="DN200" s="539">
        <f>Time!DN$170</f>
        <v>0</v>
      </c>
      <c r="DO200" s="539">
        <f>Time!DO$170</f>
        <v>0</v>
      </c>
      <c r="DP200" s="539">
        <f>Time!DP$170</f>
        <v>0</v>
      </c>
      <c r="DQ200" s="539">
        <f>Time!DQ$170</f>
        <v>0</v>
      </c>
      <c r="DR200" s="539">
        <f>Time!DR$170</f>
        <v>0</v>
      </c>
      <c r="DS200" s="539">
        <f>Time!DS$170</f>
        <v>0</v>
      </c>
      <c r="DT200" s="539">
        <f>Time!DT$170</f>
        <v>0</v>
      </c>
      <c r="DU200" s="539">
        <f>Time!DU$170</f>
        <v>0</v>
      </c>
      <c r="DV200" s="539">
        <f>Time!DV$170</f>
        <v>0</v>
      </c>
      <c r="DW200" s="539">
        <f>Time!DW$170</f>
        <v>0</v>
      </c>
      <c r="DX200" s="539">
        <f>Time!DX$170</f>
        <v>0</v>
      </c>
      <c r="DY200" s="539">
        <f>Time!DY$170</f>
        <v>0</v>
      </c>
      <c r="DZ200" s="539">
        <f>Time!DZ$170</f>
        <v>0</v>
      </c>
      <c r="EA200" s="539">
        <f>Time!EA$170</f>
        <v>0</v>
      </c>
      <c r="EB200" s="539">
        <f>Time!EB$170</f>
        <v>0</v>
      </c>
      <c r="EC200" s="539">
        <f>Time!EC$170</f>
        <v>0</v>
      </c>
      <c r="ED200" s="539">
        <f>Time!ED$170</f>
        <v>0</v>
      </c>
      <c r="EE200" s="539">
        <f>Time!EE$170</f>
        <v>0</v>
      </c>
      <c r="EF200" s="539">
        <f>Time!EF$170</f>
        <v>0</v>
      </c>
      <c r="EG200" s="539">
        <f>Time!EG$170</f>
        <v>1</v>
      </c>
    </row>
    <row r="201" spans="5:7" ht="12.75">
      <c r="E201" s="538" t="s">
        <v>563</v>
      </c>
      <c r="F201" s="544">
        <f>IF(ABS(SUM($J28:$EG28)-SUM($J199:$EG199)-SUMIFS($J38:$EG38,$J200:$EG200,1))&gt;$F198,1,0)</f>
        <v>0</v>
      </c>
      <c r="G201" s="539" t="s">
        <v>224</v>
      </c>
    </row>
  </sheetData>
  <conditionalFormatting sqref="J3:RL3">
    <cfRule type="cellIs" priority="16" dxfId="247" operator="equal" stopIfTrue="1">
      <formula>"Construction"</formula>
    </cfRule>
    <cfRule type="cellIs" priority="17" dxfId="246" operator="equal" stopIfTrue="1">
      <formula>"Operations"</formula>
    </cfRule>
    <cfRule type="cellIs" priority="15" dxfId="245" operator="equal">
      <formula>"Fin Close"</formula>
    </cfRule>
    <cfRule type="cellIs" priority="13" dxfId="244" operator="equal">
      <formula>"PPA ext."</formula>
    </cfRule>
    <cfRule type="cellIs" priority="14" dxfId="243" operator="equal">
      <formula>"Delay"</formula>
    </cfRule>
  </conditionalFormatting>
  <conditionalFormatting sqref="F3">
    <cfRule type="cellIs" priority="9" dxfId="242" operator="notEqual" stopIfTrue="1">
      <formula>0</formula>
    </cfRule>
    <cfRule type="cellIs" priority="10" dxfId="242" operator="equal" stopIfTrue="1">
      <formula>""</formula>
    </cfRule>
    <cfRule type="cellIs" priority="11" dxfId="240" operator="notEqual" stopIfTrue="1">
      <formula>0</formula>
    </cfRule>
    <cfRule type="cellIs" priority="12" dxfId="240" operator="equal" stopIfTrue="1">
      <formula>""</formula>
    </cfRule>
  </conditionalFormatting>
  <conditionalFormatting sqref="F2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90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96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201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indexed="41"/>
    <outlinePr summaryBelow="0" summaryRight="0"/>
  </sheetPr>
  <dimension ref="A1:EG61"/>
  <sheetViews>
    <sheetView showGridLines="0" defaultGridColor="0" zoomScale="85" zoomScaleNormal="85" colorId="22" workbookViewId="0" topLeftCell="A1">
      <pane xSplit="9" ySplit="5" topLeftCell="J6" activePane="bottomRight" state="frozen"/>
      <selection pane="topLeft" activeCell="G68" sqref="G68"/>
      <selection pane="bottomLeft" activeCell="G68" sqref="G68"/>
      <selection pane="topRight" activeCell="G68" sqref="G68"/>
      <selection pane="bottomRight" activeCell="A1" sqref="A1"/>
    </sheetView>
  </sheetViews>
  <sheetFormatPr defaultColWidth="0" defaultRowHeight="12.75"/>
  <cols>
    <col min="1" max="2" width="1.28571428571429" style="345" customWidth="1"/>
    <col min="3" max="3" width="1.28571428571429" style="363" customWidth="1"/>
    <col min="4" max="4" width="1.28571428571429" style="379" customWidth="1"/>
    <col min="5" max="5" width="40.5714285714286" style="360" customWidth="1"/>
    <col min="6" max="6" width="12.5714285714286" style="360" customWidth="1"/>
    <col min="7" max="8" width="11.5714285714286" style="360" customWidth="1"/>
    <col min="9" max="9" width="2.57142857142857" style="360" customWidth="1"/>
    <col min="10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Check - Base case 1</v>
      </c>
    </row>
    <row r="2" spans="1:9" ht="12.75">
      <c r="A2" s="320"/>
      <c r="B2" s="320"/>
      <c r="C2" s="392"/>
      <c r="D2" s="393"/>
      <c r="E2" s="320"/>
      <c r="F2" s="395">
        <f>$F9</f>
        <v>0</v>
      </c>
      <c r="G2" s="396" t="s">
        <v>140</v>
      </c>
      <c r="H2" s="320"/>
      <c r="I2" s="320"/>
    </row>
    <row r="3" spans="6:7" ht="12.75">
      <c r="F3" s="395">
        <f>$F45</f>
        <v>0</v>
      </c>
      <c r="G3" s="398" t="s">
        <v>141</v>
      </c>
    </row>
    <row r="4" spans="6:7" ht="12.75">
      <c r="F4"/>
      <c r="G4"/>
    </row>
    <row r="5" spans="6:8" ht="12.75">
      <c r="F5" s="401" t="s">
        <v>9</v>
      </c>
      <c r="G5" s="402" t="s">
        <v>10</v>
      </c>
      <c r="H5" s="345"/>
    </row>
    <row r="7" spans="1:1" ht="12.75">
      <c r="A7" s="534" t="s">
        <v>564</v>
      </c>
    </row>
    <row r="9" spans="5:7" ht="12.75">
      <c r="E9" s="538" t="s">
        <v>565</v>
      </c>
      <c r="F9" s="544">
        <f>SUM(F10:F40)</f>
        <v>0</v>
      </c>
      <c r="G9" s="539" t="s">
        <v>224</v>
      </c>
    </row>
    <row r="10" spans="1:137" ht="12.75">
      <c r="A10" s="545"/>
      <c r="B10" s="545"/>
      <c r="C10" s="545"/>
      <c r="D10" s="545"/>
      <c r="E10" s="545" t="s">
        <v>566</v>
      </c>
      <c r="F10" s="545" t="s">
        <v>567</v>
      </c>
      <c r="G10" s="545"/>
      <c r="H10" s="545"/>
      <c r="I10" s="545"/>
      <c r="J10" s="545"/>
      <c r="K10" s="545"/>
      <c r="L10" s="545"/>
      <c r="M10" s="545"/>
      <c r="N10" s="545"/>
      <c r="O10" s="545"/>
      <c r="P10" s="545"/>
      <c r="Q10" s="545"/>
      <c r="R10" s="545"/>
      <c r="S10" s="545"/>
      <c r="T10" s="545"/>
      <c r="U10" s="545"/>
      <c r="V10" s="545"/>
      <c r="W10" s="545"/>
      <c r="X10" s="545"/>
      <c r="Y10" s="545"/>
      <c r="Z10" s="545"/>
      <c r="AA10" s="545"/>
      <c r="AB10" s="545"/>
      <c r="AC10" s="545"/>
      <c r="AD10" s="545"/>
      <c r="AE10" s="545"/>
      <c r="AF10" s="545"/>
      <c r="AG10" s="545"/>
      <c r="AH10" s="545"/>
      <c r="AI10" s="545"/>
      <c r="AJ10" s="545"/>
      <c r="AK10" s="545"/>
      <c r="AL10" s="545"/>
      <c r="AM10" s="545"/>
      <c r="AN10" s="545"/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545"/>
      <c r="DA10" s="545"/>
      <c r="DB10" s="545"/>
      <c r="DC10" s="545"/>
      <c r="DD10" s="545"/>
      <c r="DE10" s="545"/>
      <c r="DF10" s="545"/>
      <c r="DG10" s="545"/>
      <c r="DH10" s="545"/>
      <c r="DI10" s="545"/>
      <c r="DJ10" s="545"/>
      <c r="DK10" s="545"/>
      <c r="DL10" s="545"/>
      <c r="DM10" s="545"/>
      <c r="DN10" s="545"/>
      <c r="DO10" s="545"/>
      <c r="DP10" s="545"/>
      <c r="DQ10" s="545"/>
      <c r="DR10" s="545"/>
      <c r="DS10" s="545"/>
      <c r="DT10" s="545"/>
      <c r="DU10" s="545"/>
      <c r="DV10" s="545"/>
      <c r="DW10" s="545"/>
      <c r="DX10" s="545"/>
      <c r="DY10" s="545"/>
      <c r="DZ10" s="545"/>
      <c r="EA10" s="545"/>
      <c r="EB10" s="545"/>
      <c r="EC10" s="545"/>
      <c r="ED10" s="545"/>
      <c r="EE10" s="545"/>
      <c r="EF10" s="545"/>
      <c r="EG10" s="545"/>
    </row>
    <row r="11" spans="5:7" ht="12.75">
      <c r="E11" s="535" t="str">
        <f>Ops!E$135</f>
        <v>Working capital - balances left at the end</v>
      </c>
      <c r="F11" s="546">
        <f>Ops!F$135</f>
        <v>0</v>
      </c>
      <c r="G11" s="537" t="str">
        <f>Ops!G$135</f>
        <v>check</v>
      </c>
    </row>
    <row r="12" spans="5:7" ht="12.75">
      <c r="E12" s="535" t="str">
        <f>Cons!E$217</f>
        <v>Capex package 1 - profile does not sum to 100%</v>
      </c>
      <c r="F12" s="546">
        <f>Cons!F$217</f>
        <v>0</v>
      </c>
      <c r="G12" s="537" t="str">
        <f>Cons!G$217</f>
        <v>check</v>
      </c>
    </row>
    <row r="13" spans="5:7" ht="12.75">
      <c r="E13" s="535" t="str">
        <f>Cons!E$218</f>
        <v>Capex package 2 - profile does not sum to 100%</v>
      </c>
      <c r="F13" s="546">
        <f>Cons!F$218</f>
        <v>0</v>
      </c>
      <c r="G13" s="537" t="str">
        <f>Cons!G$218</f>
        <v>check</v>
      </c>
    </row>
    <row r="14" spans="5:7" ht="12.75">
      <c r="E14" s="535" t="str">
        <f>Cons!E$219</f>
        <v>Capex package 3 - profile does not sum to 100%</v>
      </c>
      <c r="F14" s="546">
        <f>Cons!F$219</f>
        <v>0</v>
      </c>
      <c r="G14" s="537" t="str">
        <f>Cons!G$219</f>
        <v>check</v>
      </c>
    </row>
    <row r="15" spans="5:7" ht="12.75">
      <c r="E15" s="535" t="str">
        <f>Cons!E$220</f>
        <v>Capex package 4 - profile does not sum to 100%</v>
      </c>
      <c r="F15" s="546">
        <f>Cons!F$220</f>
        <v>0</v>
      </c>
      <c r="G15" s="537" t="str">
        <f>Cons!G$220</f>
        <v>check</v>
      </c>
    </row>
    <row r="16" spans="5:7" ht="12.75">
      <c r="E16" s="535" t="str">
        <f>Assets!E$85</f>
        <v>Financing costs - not fully amortised by end of repayment</v>
      </c>
      <c r="F16" s="546">
        <f>Assets!F$85</f>
        <v>0</v>
      </c>
      <c r="G16" s="537" t="str">
        <f>Assets!G$85</f>
        <v>check</v>
      </c>
    </row>
    <row r="17" spans="5:7" ht="12.75">
      <c r="E17" s="535" t="str">
        <f>Debt!E$123</f>
        <v>Senior facility - not repaid by maturity</v>
      </c>
      <c r="F17" s="546">
        <f>Debt!F$123</f>
        <v>0</v>
      </c>
      <c r="G17" s="537" t="str">
        <f>Debt!G$123</f>
        <v>check</v>
      </c>
    </row>
    <row r="18" spans="5:7" ht="12.75">
      <c r="E18" s="535" t="str">
        <f>Cons!E$200</f>
        <v>Funding - sources differ from uses</v>
      </c>
      <c r="F18" s="546">
        <f>Cons!F$200</f>
        <v>0</v>
      </c>
      <c r="G18" s="537" t="str">
        <f>Cons!G$200</f>
        <v>check</v>
      </c>
    </row>
    <row r="19" spans="5:7" ht="12.75">
      <c r="E19" s="535" t="str">
        <f>Solve!E$46</f>
        <v>Solver - master check</v>
      </c>
      <c r="F19" s="546">
        <f>Solve!F$46</f>
        <v>0</v>
      </c>
      <c r="G19" s="537" t="str">
        <f>Solve!G$46</f>
        <v>check</v>
      </c>
    </row>
    <row r="20" spans="5:7" ht="12.75">
      <c r="E20" s="535" t="str">
        <f>Cons!E$209</f>
        <v>Funding - tranche draws differ from amounts</v>
      </c>
      <c r="F20" s="546">
        <f>Cons!F$209</f>
        <v>0</v>
      </c>
      <c r="G20" s="537" t="str">
        <f>Cons!G$209</f>
        <v>check</v>
      </c>
    </row>
    <row r="21" spans="5:7" ht="12.75">
      <c r="E21" s="535" t="str">
        <f>Cons!E$104</f>
        <v>VAT - receivable left after first operating year</v>
      </c>
      <c r="F21" s="546">
        <f>Cons!F$104</f>
        <v>0</v>
      </c>
      <c r="G21" s="537" t="str">
        <f>Cons!G$104</f>
        <v>check</v>
      </c>
    </row>
    <row r="22" spans="5:7" ht="12.75">
      <c r="E22" s="535" t="str">
        <f>Cons!E$105</f>
        <v>VAT facility - not repaid after first operating year</v>
      </c>
      <c r="F22" s="546">
        <f>Cons!F$105</f>
        <v>0</v>
      </c>
      <c r="G22" s="537" t="str">
        <f>Cons!G$105</f>
        <v>check</v>
      </c>
    </row>
    <row r="23" spans="5:7" ht="12.75">
      <c r="E23" s="535" t="str">
        <f>Debt!E$235</f>
        <v>Junior facility - schedule not complete at maturity</v>
      </c>
      <c r="F23" s="546">
        <f>Debt!F$235</f>
        <v>0</v>
      </c>
      <c r="G23" s="537" t="str">
        <f>Debt!G$235</f>
        <v>check</v>
      </c>
    </row>
    <row r="24" spans="5:7" ht="12.75">
      <c r="E24" s="535" t="str">
        <f>Reserves!E$118</f>
        <v>DSRA - balance negative</v>
      </c>
      <c r="F24" s="546">
        <f>Reserves!F$118</f>
        <v>0</v>
      </c>
      <c r="G24" s="537" t="str">
        <f>Reserves!G$118</f>
        <v>check</v>
      </c>
    </row>
    <row r="25" spans="5:7" ht="12.75">
      <c r="E25" s="535" t="str">
        <f>Reserves!E$119</f>
        <v>MRA - balance negative</v>
      </c>
      <c r="F25" s="546">
        <f>Reserves!F$119</f>
        <v>0</v>
      </c>
      <c r="G25" s="537" t="str">
        <f>Reserves!G$119</f>
        <v>check</v>
      </c>
    </row>
    <row r="26" spans="5:7" ht="12.75">
      <c r="E26" s="535" t="str">
        <f>Tax!E$129</f>
        <v>Tax losses - balance negative</v>
      </c>
      <c r="F26" s="546">
        <f>Tax!F$129</f>
        <v>0</v>
      </c>
      <c r="G26" s="537" t="str">
        <f>Tax!G$129</f>
        <v>check</v>
      </c>
    </row>
    <row r="27" spans="5:7" ht="12.75">
      <c r="E27" s="535" t="str">
        <f>Tax!E$135</f>
        <v>Deferred tax - charges differ from closing balance</v>
      </c>
      <c r="F27" s="546">
        <f>Tax!F$135</f>
        <v>0</v>
      </c>
      <c r="G27" s="537" t="str">
        <f>Tax!G$135</f>
        <v>check</v>
      </c>
    </row>
    <row r="28" spans="5:7" ht="12.75">
      <c r="E28" s="535" t="str">
        <f>Waterfall!E$163</f>
        <v>Cash balance - flows do not reconcile</v>
      </c>
      <c r="F28" s="546">
        <f>Waterfall!F$163</f>
        <v>0</v>
      </c>
      <c r="G28" s="537" t="str">
        <f>Waterfall!G$163</f>
        <v>check</v>
      </c>
    </row>
    <row r="29" spans="5:7" ht="12.75">
      <c r="E29" s="535" t="str">
        <f>Equity!E$194</f>
        <v>Shareholder funding - balances do not reconcile</v>
      </c>
      <c r="F29" s="546">
        <f>Equity!F$194</f>
        <v>0</v>
      </c>
      <c r="G29" s="537" t="str">
        <f>Equity!G$194</f>
        <v>check</v>
      </c>
    </row>
    <row r="30" spans="5:7" ht="12.75">
      <c r="E30" s="535" t="str">
        <f>FS!E$190</f>
        <v>Balance sheet - does not balance</v>
      </c>
      <c r="F30" s="546">
        <f>FS!F$190</f>
        <v>0</v>
      </c>
      <c r="G30" s="537" t="str">
        <f>FS!G$190</f>
        <v>check</v>
      </c>
    </row>
    <row r="31" spans="5:7" ht="12.75">
      <c r="E31" s="535" t="str">
        <f>FS!E$196</f>
        <v>Cash at bank - statement differs from waterfall</v>
      </c>
      <c r="F31" s="546">
        <f>FS!F$196</f>
        <v>0</v>
      </c>
      <c r="G31" s="537" t="str">
        <f>FS!G$196</f>
        <v>check</v>
      </c>
    </row>
    <row r="32" spans="5:7" ht="12.75">
      <c r="E32" s="535" t="str">
        <f>FS!E$201</f>
        <v>Retained earnings - flows do not reconcile</v>
      </c>
      <c r="F32" s="546">
        <f>FS!F$201</f>
        <v>0</v>
      </c>
      <c r="G32" s="537" t="str">
        <f>FS!G$201</f>
        <v>check</v>
      </c>
    </row>
    <row r="33" spans="5:7" ht="12.75">
      <c r="E33" s="535" t="str">
        <f>Tax!E$145</f>
        <v>Deferred tax - not cleared at operations end</v>
      </c>
      <c r="F33" s="546">
        <f>Tax!F$145</f>
        <v>0</v>
      </c>
      <c r="G33" s="537" t="str">
        <f>Tax!G$145</f>
        <v>check</v>
      </c>
    </row>
    <row r="34" spans="5:7" ht="12.75">
      <c r="E34" s="535" t="str">
        <f>Waterfall!E$168</f>
        <v>Trapped cash - exceeds the cash balance</v>
      </c>
      <c r="F34" s="546">
        <f>Waterfall!F$168</f>
        <v>0</v>
      </c>
      <c r="G34" s="537" t="str">
        <f>Waterfall!G$168</f>
        <v>check</v>
      </c>
    </row>
    <row r="40" spans="1:137" ht="12.75">
      <c r="A40" s="545"/>
      <c r="B40" s="545"/>
      <c r="C40" s="545"/>
      <c r="D40" s="545"/>
      <c r="E40" s="545" t="s">
        <v>566</v>
      </c>
      <c r="F40" s="545" t="s">
        <v>568</v>
      </c>
      <c r="G40" s="545"/>
      <c r="H40" s="545"/>
      <c r="I40" s="545"/>
      <c r="J40" s="545"/>
      <c r="K40" s="545"/>
      <c r="L40" s="545"/>
      <c r="M40" s="545"/>
      <c r="N40" s="545"/>
      <c r="O40" s="545"/>
      <c r="P40" s="545"/>
      <c r="Q40" s="545"/>
      <c r="R40" s="545"/>
      <c r="S40" s="545"/>
      <c r="T40" s="545"/>
      <c r="U40" s="545"/>
      <c r="V40" s="545"/>
      <c r="W40" s="545"/>
      <c r="X40" s="545"/>
      <c r="Y40" s="545"/>
      <c r="Z40" s="545"/>
      <c r="AA40" s="545"/>
      <c r="AB40" s="545"/>
      <c r="AC40" s="545"/>
      <c r="AD40" s="545"/>
      <c r="AE40" s="545"/>
      <c r="AF40" s="545"/>
      <c r="AG40" s="545"/>
      <c r="AH40" s="545"/>
      <c r="AI40" s="545"/>
      <c r="AJ40" s="545"/>
      <c r="AK40" s="545"/>
      <c r="AL40" s="545"/>
      <c r="AM40" s="545"/>
      <c r="AN40" s="545"/>
      <c r="AO40" s="545"/>
      <c r="AP40" s="545"/>
      <c r="AQ40" s="545"/>
      <c r="AR40" s="545"/>
      <c r="AS40" s="545"/>
      <c r="AT40" s="545"/>
      <c r="AU40" s="545"/>
      <c r="AV40" s="545"/>
      <c r="AW40" s="545"/>
      <c r="AX40" s="545"/>
      <c r="AY40" s="545"/>
      <c r="AZ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M40" s="545"/>
      <c r="BN40" s="545"/>
      <c r="BO40" s="545"/>
      <c r="BP40" s="545"/>
      <c r="BQ40" s="545"/>
      <c r="BR40" s="545"/>
      <c r="BS40" s="545"/>
      <c r="BT40" s="545"/>
      <c r="BU40" s="545"/>
      <c r="BV40" s="545"/>
      <c r="BW40" s="545"/>
      <c r="BX40" s="545"/>
      <c r="BY40" s="545"/>
      <c r="BZ40" s="545"/>
      <c r="CA40" s="545"/>
      <c r="CB40" s="545"/>
      <c r="CC40" s="545"/>
      <c r="CD40" s="545"/>
      <c r="CE40" s="545"/>
      <c r="CF40" s="545"/>
      <c r="CG40" s="545"/>
      <c r="CH40" s="545"/>
      <c r="CI40" s="545"/>
      <c r="CJ40" s="545"/>
      <c r="CK40" s="545"/>
      <c r="CL40" s="545"/>
      <c r="CM40" s="545"/>
      <c r="CN40" s="545"/>
      <c r="CO40" s="545"/>
      <c r="CP40" s="545"/>
      <c r="CQ40" s="545"/>
      <c r="CR40" s="545"/>
      <c r="CS40" s="545"/>
      <c r="CT40" s="545"/>
      <c r="CU40" s="545"/>
      <c r="CV40" s="545"/>
      <c r="CW40" s="545"/>
      <c r="CX40" s="545"/>
      <c r="CY40" s="545"/>
      <c r="CZ40" s="545"/>
      <c r="DA40" s="545"/>
      <c r="DB40" s="545"/>
      <c r="DC40" s="545"/>
      <c r="DD40" s="545"/>
      <c r="DE40" s="545"/>
      <c r="DF40" s="545"/>
      <c r="DG40" s="545"/>
      <c r="DH40" s="545"/>
      <c r="DI40" s="545"/>
      <c r="DJ40" s="545"/>
      <c r="DK40" s="545"/>
      <c r="DL40" s="545"/>
      <c r="DM40" s="545"/>
      <c r="DN40" s="545"/>
      <c r="DO40" s="545"/>
      <c r="DP40" s="545"/>
      <c r="DQ40" s="545"/>
      <c r="DR40" s="545"/>
      <c r="DS40" s="545"/>
      <c r="DT40" s="545"/>
      <c r="DU40" s="545"/>
      <c r="DV40" s="545"/>
      <c r="DW40" s="545"/>
      <c r="DX40" s="545"/>
      <c r="DY40" s="545"/>
      <c r="DZ40" s="545"/>
      <c r="EA40" s="545"/>
      <c r="EB40" s="545"/>
      <c r="EC40" s="545"/>
      <c r="ED40" s="545"/>
      <c r="EE40" s="545"/>
      <c r="EF40" s="545"/>
      <c r="EG40" s="545"/>
    </row>
    <row r="43" spans="1:1" ht="12.75">
      <c r="A43" s="534" t="s">
        <v>569</v>
      </c>
    </row>
    <row r="45" spans="5:7" ht="12.75">
      <c r="E45" s="538" t="s">
        <v>570</v>
      </c>
      <c r="F45" s="544">
        <f>SUM(F46:F61)</f>
        <v>0</v>
      </c>
      <c r="G45" s="539" t="s">
        <v>298</v>
      </c>
    </row>
    <row r="46" spans="1:137" ht="12.75">
      <c r="A46" s="545"/>
      <c r="B46" s="545"/>
      <c r="C46" s="545"/>
      <c r="D46" s="545"/>
      <c r="E46" s="545" t="s">
        <v>566</v>
      </c>
      <c r="F46" s="545" t="s">
        <v>567</v>
      </c>
      <c r="G46" s="545"/>
      <c r="H46" s="545"/>
      <c r="I46" s="545"/>
      <c r="J46" s="545"/>
      <c r="K46" s="545"/>
      <c r="L46" s="545"/>
      <c r="M46" s="545"/>
      <c r="N46" s="545"/>
      <c r="O46" s="545"/>
      <c r="P46" s="545"/>
      <c r="Q46" s="545"/>
      <c r="R46" s="545"/>
      <c r="S46" s="545"/>
      <c r="T46" s="545"/>
      <c r="U46" s="545"/>
      <c r="V46" s="545"/>
      <c r="W46" s="545"/>
      <c r="X46" s="545"/>
      <c r="Y46" s="545"/>
      <c r="Z46" s="545"/>
      <c r="AA46" s="545"/>
      <c r="AB46" s="545"/>
      <c r="AC46" s="545"/>
      <c r="AD46" s="545"/>
      <c r="AE46" s="545"/>
      <c r="AF46" s="545"/>
      <c r="AG46" s="545"/>
      <c r="AH46" s="545"/>
      <c r="AI46" s="545"/>
      <c r="AJ46" s="545"/>
      <c r="AK46" s="545"/>
      <c r="AL46" s="545"/>
      <c r="AM46" s="545"/>
      <c r="AN46" s="545"/>
      <c r="AO46" s="545"/>
      <c r="AP46" s="545"/>
      <c r="AQ46" s="545"/>
      <c r="AR46" s="545"/>
      <c r="AS46" s="545"/>
      <c r="AT46" s="545"/>
      <c r="AU46" s="545"/>
      <c r="AV46" s="545"/>
      <c r="AW46" s="545"/>
      <c r="AX46" s="545"/>
      <c r="AY46" s="545"/>
      <c r="AZ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M46" s="545"/>
      <c r="BN46" s="545"/>
      <c r="BO46" s="545"/>
      <c r="BP46" s="545"/>
      <c r="BQ46" s="545"/>
      <c r="BR46" s="545"/>
      <c r="BS46" s="545"/>
      <c r="BT46" s="545"/>
      <c r="BU46" s="545"/>
      <c r="BV46" s="545"/>
      <c r="BW46" s="545"/>
      <c r="BX46" s="545"/>
      <c r="BY46" s="545"/>
      <c r="BZ46" s="545"/>
      <c r="CA46" s="545"/>
      <c r="CB46" s="545"/>
      <c r="CC46" s="545"/>
      <c r="CD46" s="545"/>
      <c r="CE46" s="545"/>
      <c r="CF46" s="545"/>
      <c r="CG46" s="545"/>
      <c r="CH46" s="545"/>
      <c r="CI46" s="545"/>
      <c r="CJ46" s="545"/>
      <c r="CK46" s="545"/>
      <c r="CL46" s="545"/>
      <c r="CM46" s="545"/>
      <c r="CN46" s="545"/>
      <c r="CO46" s="545"/>
      <c r="CP46" s="545"/>
      <c r="CQ46" s="545"/>
      <c r="CR46" s="545"/>
      <c r="CS46" s="545"/>
      <c r="CT46" s="545"/>
      <c r="CU46" s="545"/>
      <c r="CV46" s="545"/>
      <c r="CW46" s="545"/>
      <c r="CX46" s="545"/>
      <c r="CY46" s="545"/>
      <c r="CZ46" s="545"/>
      <c r="DA46" s="545"/>
      <c r="DB46" s="545"/>
      <c r="DC46" s="545"/>
      <c r="DD46" s="545"/>
      <c r="DE46" s="545"/>
      <c r="DF46" s="545"/>
      <c r="DG46" s="545"/>
      <c r="DH46" s="545"/>
      <c r="DI46" s="545"/>
      <c r="DJ46" s="545"/>
      <c r="DK46" s="545"/>
      <c r="DL46" s="545"/>
      <c r="DM46" s="545"/>
      <c r="DN46" s="545"/>
      <c r="DO46" s="545"/>
      <c r="DP46" s="545"/>
      <c r="DQ46" s="545"/>
      <c r="DR46" s="545"/>
      <c r="DS46" s="545"/>
      <c r="DT46" s="545"/>
      <c r="DU46" s="545"/>
      <c r="DV46" s="545"/>
      <c r="DW46" s="545"/>
      <c r="DX46" s="545"/>
      <c r="DY46" s="545"/>
      <c r="DZ46" s="545"/>
      <c r="EA46" s="545"/>
      <c r="EB46" s="545"/>
      <c r="EC46" s="545"/>
      <c r="ED46" s="545"/>
      <c r="EE46" s="545"/>
      <c r="EF46" s="545"/>
      <c r="EG46" s="545"/>
    </row>
    <row r="47" spans="5:7" ht="12.75">
      <c r="E47" s="535" t="str">
        <f>Waterfall!E$147</f>
        <v>Cash balance - negative</v>
      </c>
      <c r="F47" s="546">
        <f>Waterfall!F$147</f>
        <v>0</v>
      </c>
      <c r="G47" s="537" t="str">
        <f>Waterfall!G$147</f>
        <v>alert</v>
      </c>
    </row>
    <row r="48" spans="5:7" ht="12.75">
      <c r="E48" s="535" t="str">
        <f>Debt!E$127</f>
        <v>Senior facility - DSCR below target</v>
      </c>
      <c r="F48" s="546">
        <f>Debt!F$127</f>
        <v>0</v>
      </c>
      <c r="G48" s="537" t="str">
        <f>Debt!G$127</f>
        <v>alert</v>
      </c>
    </row>
    <row r="49" spans="5:7" ht="12.75">
      <c r="E49" s="535" t="str">
        <f>Debt!E$240</f>
        <v>Junior facility - arrears outstanding</v>
      </c>
      <c r="F49" s="546">
        <f>Debt!F$240</f>
        <v>0</v>
      </c>
      <c r="G49" s="537" t="str">
        <f>Debt!G$240</f>
        <v>alert</v>
      </c>
    </row>
    <row r="50" spans="5:7" ht="12.75">
      <c r="E50" s="535" t="str">
        <f>Tax!E$139</f>
        <v>Tax losses - expired unused</v>
      </c>
      <c r="F50" s="546">
        <f>Tax!F$139</f>
        <v>0</v>
      </c>
      <c r="G50" s="537" t="str">
        <f>Tax!G$139</f>
        <v>alert</v>
      </c>
    </row>
    <row r="51" spans="5:7" ht="12.75">
      <c r="E51" s="535" t="str">
        <f>Waterfall!E$171</f>
        <v>Distributions - lock-up in force</v>
      </c>
      <c r="F51" s="546">
        <f>Waterfall!F$171</f>
        <v>0</v>
      </c>
      <c r="G51" s="537" t="str">
        <f>Waterfall!G$171</f>
        <v>alert</v>
      </c>
    </row>
    <row r="52" spans="5:7" ht="12.75">
      <c r="E52" s="535" t="str">
        <f>Equity!E$201</f>
        <v>Shareholder funding - not returned by the model end</v>
      </c>
      <c r="F52" s="546">
        <f>Equity!F$201</f>
        <v>0</v>
      </c>
      <c r="G52" s="537" t="str">
        <f>Equity!G$201</f>
        <v>alert</v>
      </c>
    </row>
    <row r="53" spans="5:7" ht="12.75">
      <c r="E53" s="535" t="str">
        <f>Equity!E$206</f>
        <v>Cash balance - left undistributed at the model end</v>
      </c>
      <c r="F53" s="546">
        <f>Equity!F$206</f>
        <v>0</v>
      </c>
      <c r="G53" s="537" t="str">
        <f>Equity!G$206</f>
        <v>alert</v>
      </c>
    </row>
    <row r="54" spans="5:7" ht="12.75">
      <c r="E54" s="535" t="str">
        <f>Tax!E$150</f>
        <v>Tax attributes - lapsed unused at operations end</v>
      </c>
      <c r="F54" s="546">
        <f>Tax!F$150</f>
        <v>0</v>
      </c>
      <c r="G54" s="537" t="str">
        <f>Tax!G$150</f>
        <v>alert</v>
      </c>
    </row>
    <row r="55" spans="5:7" ht="12.75">
      <c r="E55" s="535" t="str">
        <f>Assets!E$80</f>
        <v>Fixed assets - written off before fully depreciated</v>
      </c>
      <c r="F55" s="546">
        <f>Assets!F$80</f>
        <v>0</v>
      </c>
      <c r="G55" s="537" t="str">
        <f>Assets!G$80</f>
        <v>alert</v>
      </c>
    </row>
    <row r="61" spans="1:137" ht="12.75">
      <c r="A61" s="545"/>
      <c r="B61" s="545"/>
      <c r="C61" s="545"/>
      <c r="D61" s="545"/>
      <c r="E61" s="545" t="s">
        <v>566</v>
      </c>
      <c r="F61" s="545" t="s">
        <v>568</v>
      </c>
      <c r="G61" s="545"/>
      <c r="H61" s="545"/>
      <c r="I61" s="545"/>
      <c r="J61" s="545"/>
      <c r="K61" s="545"/>
      <c r="L61" s="545"/>
      <c r="M61" s="545"/>
      <c r="N61" s="545"/>
      <c r="O61" s="545"/>
      <c r="P61" s="545"/>
      <c r="Q61" s="545"/>
      <c r="R61" s="545"/>
      <c r="S61" s="545"/>
      <c r="T61" s="545"/>
      <c r="U61" s="545"/>
      <c r="V61" s="545"/>
      <c r="W61" s="545"/>
      <c r="X61" s="545"/>
      <c r="Y61" s="545"/>
      <c r="Z61" s="545"/>
      <c r="AA61" s="545"/>
      <c r="AB61" s="545"/>
      <c r="AC61" s="545"/>
      <c r="AD61" s="545"/>
      <c r="AE61" s="545"/>
      <c r="AF61" s="545"/>
      <c r="AG61" s="545"/>
      <c r="AH61" s="545"/>
      <c r="AI61" s="545"/>
      <c r="AJ61" s="545"/>
      <c r="AK61" s="545"/>
      <c r="AL61" s="545"/>
      <c r="AM61" s="545"/>
      <c r="AN61" s="545"/>
      <c r="AO61" s="545"/>
      <c r="AP61" s="545"/>
      <c r="AQ61" s="545"/>
      <c r="AR61" s="545"/>
      <c r="AS61" s="545"/>
      <c r="AT61" s="545"/>
      <c r="AU61" s="545"/>
      <c r="AV61" s="545"/>
      <c r="AW61" s="545"/>
      <c r="AX61" s="545"/>
      <c r="AY61" s="545"/>
      <c r="AZ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B61" s="545"/>
      <c r="CC61" s="545"/>
      <c r="CD61" s="545"/>
      <c r="CE61" s="545"/>
      <c r="CF61" s="545"/>
      <c r="CG61" s="545"/>
      <c r="CH61" s="545"/>
      <c r="CI61" s="545"/>
      <c r="CJ61" s="545"/>
      <c r="CK61" s="545"/>
      <c r="CL61" s="545"/>
      <c r="CM61" s="545"/>
      <c r="CN61" s="545"/>
      <c r="CO61" s="545"/>
      <c r="CP61" s="545"/>
      <c r="CQ61" s="545"/>
      <c r="CR61" s="545"/>
      <c r="CS61" s="545"/>
      <c r="CT61" s="545"/>
      <c r="CU61" s="545"/>
      <c r="CV61" s="545"/>
      <c r="CW61" s="545"/>
      <c r="CX61" s="545"/>
      <c r="CY61" s="545"/>
      <c r="CZ61" s="545"/>
      <c r="DA61" s="545"/>
      <c r="DB61" s="545"/>
      <c r="DC61" s="545"/>
      <c r="DD61" s="545"/>
      <c r="DE61" s="545"/>
      <c r="DF61" s="545"/>
      <c r="DG61" s="545"/>
      <c r="DH61" s="545"/>
      <c r="DI61" s="545"/>
      <c r="DJ61" s="545"/>
      <c r="DK61" s="545"/>
      <c r="DL61" s="545"/>
      <c r="DM61" s="545"/>
      <c r="DN61" s="545"/>
      <c r="DO61" s="545"/>
      <c r="DP61" s="545"/>
      <c r="DQ61" s="545"/>
      <c r="DR61" s="545"/>
      <c r="DS61" s="545"/>
      <c r="DT61" s="545"/>
      <c r="DU61" s="545"/>
      <c r="DV61" s="545"/>
      <c r="DW61" s="545"/>
      <c r="DX61" s="545"/>
      <c r="DY61" s="545"/>
      <c r="DZ61" s="545"/>
      <c r="EA61" s="545"/>
      <c r="EB61" s="545"/>
      <c r="EC61" s="545"/>
      <c r="ED61" s="545"/>
      <c r="EE61" s="545"/>
      <c r="EF61" s="545"/>
      <c r="EG61" s="545"/>
    </row>
  </sheetData>
  <conditionalFormatting sqref="F2:F3">
    <cfRule type="cellIs" priority="25" dxfId="242" operator="notEqual" stopIfTrue="1">
      <formula>0</formula>
    </cfRule>
    <cfRule type="cellIs" priority="26" dxfId="242" operator="equal" stopIfTrue="1">
      <formula>""</formula>
    </cfRule>
    <cfRule type="cellIs" priority="27" dxfId="240" operator="notEqual" stopIfTrue="1">
      <formula>0</formula>
    </cfRule>
    <cfRule type="cellIs" priority="28" dxfId="240" operator="equal" stopIfTrue="1">
      <formula>""</formula>
    </cfRule>
  </conditionalFormatting>
  <conditionalFormatting sqref="F9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11:F34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45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47:F55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rgb="FF99CCFF"/>
    <outlinePr summaryBelow="0" summaryRight="0"/>
  </sheetPr>
  <dimension ref="A1:RL46"/>
  <sheetViews>
    <sheetView showGridLines="0" defaultGridColor="0" zoomScale="70" zoomScaleNormal="70" colorId="8" workbookViewId="0" topLeftCell="A1">
      <pane xSplit="9" ySplit="5" topLeftCell="QN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F3" sqref="F3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RIGHT(CELL("filename",A1),LEN(CELL("filename",A1))-SEARCH("]",CELL("filename",A1)))&amp;IFERROR(" - "&amp;INDIRECT("InpC!F3"),"")</f>
        <v>Solve - Base case 1</v>
      </c>
    </row>
    <row r="2" spans="1:480" ht="12.75">
      <c r="A2" s="320"/>
      <c r="B2" s="320"/>
      <c r="C2" s="392"/>
      <c r="D2" s="393"/>
      <c r="E2" s="394" t="s">
        <v>139</v>
      </c>
      <c r="F2" s="395">
        <f>Check!$F$9</f>
        <v>0</v>
      </c>
      <c r="G2" s="396" t="s">
        <v>140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130</v>
      </c>
      <c r="F3" s="395">
        <f>Check!$F$45</f>
        <v>0</v>
      </c>
      <c r="G3" s="398" t="s">
        <v>141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142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143</v>
      </c>
      <c r="F5" s="401"/>
      <c r="G5" s="402"/>
      <c r="H5" s="401"/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571</v>
      </c>
    </row>
    <row r="9" spans="5:137" ht="12.75">
      <c r="E9" s="570" t="str">
        <f>Cons!E$190</f>
        <v>Funding requirement - period</v>
      </c>
      <c r="F9" s="571">
        <f>Cons!F$190</f>
        <v>0</v>
      </c>
      <c r="G9" s="571" t="str">
        <f>Cons!G$190</f>
        <v>EUR 000s</v>
      </c>
      <c r="H9" s="571">
        <f>Cons!H$190</f>
        <v>316123.78273007425</v>
      </c>
      <c r="I9" s="554">
        <f>Cons!I$190</f>
        <v>0</v>
      </c>
      <c r="J9" s="571">
        <f>Cons!J$190</f>
        <v>0</v>
      </c>
      <c r="K9" s="571">
        <f>Cons!K$190</f>
        <v>0</v>
      </c>
      <c r="L9" s="571">
        <f>Cons!L$190</f>
        <v>11319.299718665774</v>
      </c>
      <c r="M9" s="571">
        <f>Cons!M$190</f>
        <v>13400.690161983532</v>
      </c>
      <c r="N9" s="571">
        <f>Cons!N$190</f>
        <v>13741.483730168371</v>
      </c>
      <c r="O9" s="571">
        <f>Cons!O$190</f>
        <v>13418.385230476682</v>
      </c>
      <c r="P9" s="571">
        <f>Cons!P$190</f>
        <v>13759.76863427796</v>
      </c>
      <c r="Q9" s="571">
        <f>Cons!Q$190</f>
        <v>13431.86657948344</v>
      </c>
      <c r="R9" s="571">
        <f>Cons!R$190</f>
        <v>17147.968956865687</v>
      </c>
      <c r="S9" s="571">
        <f>Cons!S$190</f>
        <v>17980.844765662525</v>
      </c>
      <c r="T9" s="571">
        <f>Cons!T$190</f>
        <v>18373.008556007593</v>
      </c>
      <c r="U9" s="571">
        <f>Cons!U$190</f>
        <v>18794.294603184764</v>
      </c>
      <c r="V9" s="571">
        <f>Cons!V$190</f>
        <v>17560.929412437472</v>
      </c>
      <c r="W9" s="571">
        <f>Cons!W$190</f>
        <v>17427.529348846478</v>
      </c>
      <c r="X9" s="571">
        <f>Cons!X$190</f>
        <v>15736.56271752895</v>
      </c>
      <c r="Y9" s="571">
        <f>Cons!Y$190</f>
        <v>13805.731154549696</v>
      </c>
      <c r="Z9" s="571">
        <f>Cons!Z$190</f>
        <v>12901.477428191109</v>
      </c>
      <c r="AA9" s="571">
        <f>Cons!AA$190</f>
        <v>14399.761727471967</v>
      </c>
      <c r="AB9" s="571">
        <f>Cons!AB$190</f>
        <v>15143.672002923853</v>
      </c>
      <c r="AC9" s="571">
        <f>Cons!AC$190</f>
        <v>15043.412380382597</v>
      </c>
      <c r="AD9" s="571">
        <f>Cons!AD$190</f>
        <v>13719.08131146606</v>
      </c>
      <c r="AE9" s="571">
        <f>Cons!AE$190</f>
        <v>8683.3953250207287</v>
      </c>
      <c r="AF9" s="571">
        <f>Cons!AF$190</f>
        <v>6872.7289999061577</v>
      </c>
      <c r="AG9" s="571">
        <f>Cons!AG$190</f>
        <v>13461.889984572863</v>
      </c>
      <c r="AH9" s="571">
        <f>Cons!AH$190</f>
        <v>0</v>
      </c>
      <c r="AI9" s="571">
        <f>Cons!AI$190</f>
        <v>0</v>
      </c>
      <c r="AJ9" s="571">
        <f>Cons!AJ$190</f>
        <v>0</v>
      </c>
      <c r="AK9" s="571">
        <f>Cons!AK$190</f>
        <v>0</v>
      </c>
      <c r="AL9" s="571">
        <f>Cons!AL$190</f>
        <v>0</v>
      </c>
      <c r="AM9" s="571">
        <f>Cons!AM$190</f>
        <v>0</v>
      </c>
      <c r="AN9" s="571">
        <f>Cons!AN$190</f>
        <v>0</v>
      </c>
      <c r="AO9" s="571">
        <f>Cons!AO$190</f>
        <v>0</v>
      </c>
      <c r="AP9" s="571">
        <f>Cons!AP$190</f>
        <v>0</v>
      </c>
      <c r="AQ9" s="571">
        <f>Cons!AQ$190</f>
        <v>0</v>
      </c>
      <c r="AR9" s="571">
        <f>Cons!AR$190</f>
        <v>0</v>
      </c>
      <c r="AS9" s="571">
        <f>Cons!AS$190</f>
        <v>0</v>
      </c>
      <c r="AT9" s="571">
        <f>Cons!AT$190</f>
        <v>0</v>
      </c>
      <c r="AU9" s="571">
        <f>Cons!AU$190</f>
        <v>0</v>
      </c>
      <c r="AV9" s="571">
        <f>Cons!AV$190</f>
        <v>0</v>
      </c>
      <c r="AW9" s="571">
        <f>Cons!AW$190</f>
        <v>0</v>
      </c>
      <c r="AX9" s="571">
        <f>Cons!AX$190</f>
        <v>0</v>
      </c>
      <c r="AY9" s="571">
        <f>Cons!AY$190</f>
        <v>0</v>
      </c>
      <c r="AZ9" s="571">
        <f>Cons!AZ$190</f>
        <v>0</v>
      </c>
      <c r="BA9" s="571">
        <f>Cons!BA$190</f>
        <v>0</v>
      </c>
      <c r="BB9" s="571">
        <f>Cons!BB$190</f>
        <v>0</v>
      </c>
      <c r="BC9" s="571">
        <f>Cons!BC$190</f>
        <v>0</v>
      </c>
      <c r="BD9" s="571">
        <f>Cons!BD$190</f>
        <v>0</v>
      </c>
      <c r="BE9" s="571">
        <f>Cons!BE$190</f>
        <v>0</v>
      </c>
      <c r="BF9" s="571">
        <f>Cons!BF$190</f>
        <v>0</v>
      </c>
      <c r="BG9" s="571">
        <f>Cons!BG$190</f>
        <v>0</v>
      </c>
      <c r="BH9" s="571">
        <f>Cons!BH$190</f>
        <v>0</v>
      </c>
      <c r="BI9" s="571">
        <f>Cons!BI$190</f>
        <v>0</v>
      </c>
      <c r="BJ9" s="571">
        <f>Cons!BJ$190</f>
        <v>0</v>
      </c>
      <c r="BK9" s="571">
        <f>Cons!BK$190</f>
        <v>0</v>
      </c>
      <c r="BL9" s="571">
        <f>Cons!BL$190</f>
        <v>0</v>
      </c>
      <c r="BM9" s="571">
        <f>Cons!BM$190</f>
        <v>0</v>
      </c>
      <c r="BN9" s="571">
        <f>Cons!BN$190</f>
        <v>0</v>
      </c>
      <c r="BO9" s="571">
        <f>Cons!BO$190</f>
        <v>0</v>
      </c>
      <c r="BP9" s="571">
        <f>Cons!BP$190</f>
        <v>0</v>
      </c>
      <c r="BQ9" s="571">
        <f>Cons!BQ$190</f>
        <v>0</v>
      </c>
      <c r="BR9" s="571">
        <f>Cons!BR$190</f>
        <v>0</v>
      </c>
      <c r="BS9" s="571">
        <f>Cons!BS$190</f>
        <v>0</v>
      </c>
      <c r="BT9" s="571">
        <f>Cons!BT$190</f>
        <v>0</v>
      </c>
      <c r="BU9" s="571">
        <f>Cons!BU$190</f>
        <v>0</v>
      </c>
      <c r="BV9" s="571">
        <f>Cons!BV$190</f>
        <v>0</v>
      </c>
      <c r="BW9" s="571">
        <f>Cons!BW$190</f>
        <v>0</v>
      </c>
      <c r="BX9" s="571">
        <f>Cons!BX$190</f>
        <v>0</v>
      </c>
      <c r="BY9" s="571">
        <f>Cons!BY$190</f>
        <v>0</v>
      </c>
      <c r="BZ9" s="571">
        <f>Cons!BZ$190</f>
        <v>0</v>
      </c>
      <c r="CA9" s="571">
        <f>Cons!CA$190</f>
        <v>0</v>
      </c>
      <c r="CB9" s="571">
        <f>Cons!CB$190</f>
        <v>0</v>
      </c>
      <c r="CC9" s="571">
        <f>Cons!CC$190</f>
        <v>0</v>
      </c>
      <c r="CD9" s="571">
        <f>Cons!CD$190</f>
        <v>0</v>
      </c>
      <c r="CE9" s="571">
        <f>Cons!CE$190</f>
        <v>0</v>
      </c>
      <c r="CF9" s="571">
        <f>Cons!CF$190</f>
        <v>0</v>
      </c>
      <c r="CG9" s="571">
        <f>Cons!CG$190</f>
        <v>0</v>
      </c>
      <c r="CH9" s="571">
        <f>Cons!CH$190</f>
        <v>0</v>
      </c>
      <c r="CI9" s="571">
        <f>Cons!CI$190</f>
        <v>0</v>
      </c>
      <c r="CJ9" s="571">
        <f>Cons!CJ$190</f>
        <v>0</v>
      </c>
      <c r="CK9" s="571">
        <f>Cons!CK$190</f>
        <v>0</v>
      </c>
      <c r="CL9" s="571">
        <f>Cons!CL$190</f>
        <v>0</v>
      </c>
      <c r="CM9" s="571">
        <f>Cons!CM$190</f>
        <v>0</v>
      </c>
      <c r="CN9" s="571">
        <f>Cons!CN$190</f>
        <v>0</v>
      </c>
      <c r="CO9" s="571">
        <f>Cons!CO$190</f>
        <v>0</v>
      </c>
      <c r="CP9" s="571">
        <f>Cons!CP$190</f>
        <v>0</v>
      </c>
      <c r="CQ9" s="571">
        <f>Cons!CQ$190</f>
        <v>0</v>
      </c>
      <c r="CR9" s="571">
        <f>Cons!CR$190</f>
        <v>0</v>
      </c>
      <c r="CS9" s="571">
        <f>Cons!CS$190</f>
        <v>0</v>
      </c>
      <c r="CT9" s="571">
        <f>Cons!CT$190</f>
        <v>0</v>
      </c>
      <c r="CU9" s="571">
        <f>Cons!CU$190</f>
        <v>0</v>
      </c>
      <c r="CV9" s="571">
        <f>Cons!CV$190</f>
        <v>0</v>
      </c>
      <c r="CW9" s="571">
        <f>Cons!CW$190</f>
        <v>0</v>
      </c>
      <c r="CX9" s="571">
        <f>Cons!CX$190</f>
        <v>0</v>
      </c>
      <c r="CY9" s="571">
        <f>Cons!CY$190</f>
        <v>0</v>
      </c>
      <c r="CZ9" s="571">
        <f>Cons!CZ$190</f>
        <v>0</v>
      </c>
      <c r="DA9" s="571">
        <f>Cons!DA$190</f>
        <v>0</v>
      </c>
      <c r="DB9" s="571">
        <f>Cons!DB$190</f>
        <v>0</v>
      </c>
      <c r="DC9" s="571">
        <f>Cons!DC$190</f>
        <v>0</v>
      </c>
      <c r="DD9" s="571">
        <f>Cons!DD$190</f>
        <v>0</v>
      </c>
      <c r="DE9" s="571">
        <f>Cons!DE$190</f>
        <v>0</v>
      </c>
      <c r="DF9" s="571">
        <f>Cons!DF$190</f>
        <v>0</v>
      </c>
      <c r="DG9" s="571">
        <f>Cons!DG$190</f>
        <v>0</v>
      </c>
      <c r="DH9" s="571">
        <f>Cons!DH$190</f>
        <v>0</v>
      </c>
      <c r="DI9" s="571">
        <f>Cons!DI$190</f>
        <v>0</v>
      </c>
      <c r="DJ9" s="571">
        <f>Cons!DJ$190</f>
        <v>0</v>
      </c>
      <c r="DK9" s="571">
        <f>Cons!DK$190</f>
        <v>0</v>
      </c>
      <c r="DL9" s="571">
        <f>Cons!DL$190</f>
        <v>0</v>
      </c>
      <c r="DM9" s="571">
        <f>Cons!DM$190</f>
        <v>0</v>
      </c>
      <c r="DN9" s="571">
        <f>Cons!DN$190</f>
        <v>0</v>
      </c>
      <c r="DO9" s="571">
        <f>Cons!DO$190</f>
        <v>0</v>
      </c>
      <c r="DP9" s="571">
        <f>Cons!DP$190</f>
        <v>0</v>
      </c>
      <c r="DQ9" s="571">
        <f>Cons!DQ$190</f>
        <v>0</v>
      </c>
      <c r="DR9" s="571">
        <f>Cons!DR$190</f>
        <v>0</v>
      </c>
      <c r="DS9" s="571">
        <f>Cons!DS$190</f>
        <v>0</v>
      </c>
      <c r="DT9" s="571">
        <f>Cons!DT$190</f>
        <v>0</v>
      </c>
      <c r="DU9" s="571">
        <f>Cons!DU$190</f>
        <v>0</v>
      </c>
      <c r="DV9" s="571">
        <f>Cons!DV$190</f>
        <v>0</v>
      </c>
      <c r="DW9" s="571">
        <f>Cons!DW$190</f>
        <v>0</v>
      </c>
      <c r="DX9" s="571">
        <f>Cons!DX$190</f>
        <v>0</v>
      </c>
      <c r="DY9" s="571">
        <f>Cons!DY$190</f>
        <v>0</v>
      </c>
      <c r="DZ9" s="571">
        <f>Cons!DZ$190</f>
        <v>0</v>
      </c>
      <c r="EA9" s="571">
        <f>Cons!EA$190</f>
        <v>0</v>
      </c>
      <c r="EB9" s="571">
        <f>Cons!EB$190</f>
        <v>0</v>
      </c>
      <c r="EC9" s="571">
        <f>Cons!EC$190</f>
        <v>0</v>
      </c>
      <c r="ED9" s="571">
        <f>Cons!ED$190</f>
        <v>0</v>
      </c>
      <c r="EE9" s="571">
        <f>Cons!EE$190</f>
        <v>0</v>
      </c>
      <c r="EF9" s="571">
        <f>Cons!EF$190</f>
        <v>0</v>
      </c>
      <c r="EG9" s="571">
        <f>Cons!EG$190</f>
        <v>0</v>
      </c>
    </row>
    <row r="10" spans="5:9" ht="12.75">
      <c r="E10" s="535" t="str">
        <f>Debt!E$35</f>
        <v>Senior facility - debt capacity</v>
      </c>
      <c r="F10" s="537">
        <f>Debt!F$35</f>
        <v>329732.58586017729</v>
      </c>
      <c r="G10" s="537" t="str">
        <f>Debt!G$35</f>
        <v>EUR 000s</v>
      </c>
      <c r="H10" s="537">
        <f>Debt!H$35</f>
        <v>0</v>
      </c>
      <c r="I10">
        <f>Debt!I$35</f>
        <v>0</v>
      </c>
    </row>
    <row r="11" spans="5:137" ht="12.75">
      <c r="E11" s="572" t="str">
        <f>Debt!E$104</f>
        <v>Senior facility - debt service</v>
      </c>
      <c r="F11" s="573">
        <f>Debt!F$104</f>
        <v>0</v>
      </c>
      <c r="G11" s="573" t="str">
        <f>Debt!G$104</f>
        <v>EUR 000s</v>
      </c>
      <c r="H11" s="573">
        <f>Debt!H$104</f>
        <v>350432.93778912647</v>
      </c>
      <c r="I11" s="556">
        <f>Debt!I$104</f>
        <v>0</v>
      </c>
      <c r="J11" s="573">
        <f>Debt!J$104</f>
        <v>0</v>
      </c>
      <c r="K11" s="573">
        <f>Debt!K$104</f>
        <v>0</v>
      </c>
      <c r="L11" s="573">
        <f>Debt!L$104</f>
        <v>0</v>
      </c>
      <c r="M11" s="573">
        <f>Debt!M$104</f>
        <v>0</v>
      </c>
      <c r="N11" s="573">
        <f>Debt!N$104</f>
        <v>0</v>
      </c>
      <c r="O11" s="573">
        <f>Debt!O$104</f>
        <v>0</v>
      </c>
      <c r="P11" s="573">
        <f>Debt!P$104</f>
        <v>-1.8189894035458565E-12</v>
      </c>
      <c r="Q11" s="573">
        <f>Debt!Q$104</f>
        <v>0</v>
      </c>
      <c r="R11" s="573">
        <f>Debt!R$104</f>
        <v>0</v>
      </c>
      <c r="S11" s="573">
        <f>Debt!S$104</f>
        <v>0</v>
      </c>
      <c r="T11" s="573">
        <f>Debt!T$104</f>
        <v>0</v>
      </c>
      <c r="U11" s="573">
        <f>Debt!U$104</f>
        <v>0</v>
      </c>
      <c r="V11" s="573">
        <f>Debt!V$104</f>
        <v>0</v>
      </c>
      <c r="W11" s="573">
        <f>Debt!W$104</f>
        <v>0</v>
      </c>
      <c r="X11" s="573">
        <f>Debt!X$104</f>
        <v>0</v>
      </c>
      <c r="Y11" s="573">
        <f>Debt!Y$104</f>
        <v>0</v>
      </c>
      <c r="Z11" s="573">
        <f>Debt!Z$104</f>
        <v>0</v>
      </c>
      <c r="AA11" s="573">
        <f>Debt!AA$104</f>
        <v>0</v>
      </c>
      <c r="AB11" s="573">
        <f>Debt!AB$104</f>
        <v>0</v>
      </c>
      <c r="AC11" s="573">
        <f>Debt!AC$104</f>
        <v>0</v>
      </c>
      <c r="AD11" s="573">
        <f>Debt!AD$104</f>
        <v>0</v>
      </c>
      <c r="AE11" s="573">
        <f>Debt!AE$104</f>
        <v>0</v>
      </c>
      <c r="AF11" s="573">
        <f>Debt!AF$104</f>
        <v>0</v>
      </c>
      <c r="AG11" s="573">
        <f>Debt!AG$104</f>
        <v>0</v>
      </c>
      <c r="AH11" s="573">
        <f>Debt!AH$104</f>
        <v>3678.8348581698501</v>
      </c>
      <c r="AI11" s="573">
        <f>Debt!AI$104</f>
        <v>4654.4397593286103</v>
      </c>
      <c r="AJ11" s="573">
        <f>Debt!AJ$104</f>
        <v>4654.2133758469154</v>
      </c>
      <c r="AK11" s="573">
        <f>Debt!AK$104</f>
        <v>4644.0261191706895</v>
      </c>
      <c r="AL11" s="573">
        <f>Debt!AL$104</f>
        <v>4693.5855314975461</v>
      </c>
      <c r="AM11" s="573">
        <f>Debt!AM$104</f>
        <v>4736.1435903709635</v>
      </c>
      <c r="AN11" s="573">
        <f>Debt!AN$104</f>
        <v>4735.9144792139659</v>
      </c>
      <c r="AO11" s="573">
        <f>Debt!AO$104</f>
        <v>4725.6044771491152</v>
      </c>
      <c r="AP11" s="573">
        <f>Debt!AP$104</f>
        <v>4776.2218865345076</v>
      </c>
      <c r="AQ11" s="573">
        <f>Debt!AQ$104</f>
        <v>4819.1883943546436</v>
      </c>
      <c r="AR11" s="573">
        <f>Debt!AR$104</f>
        <v>4818.9565473093417</v>
      </c>
      <c r="AS11" s="573">
        <f>Debt!AS$104</f>
        <v>4808.523430270714</v>
      </c>
      <c r="AT11" s="573">
        <f>Debt!AT$104</f>
        <v>4871.0125860621984</v>
      </c>
      <c r="AU11" s="573">
        <f>Debt!AU$104</f>
        <v>4892.8014892437168</v>
      </c>
      <c r="AV11" s="573">
        <f>Debt!AV$104</f>
        <v>4903.358038740419</v>
      </c>
      <c r="AW11" s="573">
        <f>Debt!AW$104</f>
        <v>4890.5485880171236</v>
      </c>
      <c r="AX11" s="573">
        <f>Debt!AX$104</f>
        <v>4945.6032153911401</v>
      </c>
      <c r="AY11" s="573">
        <f>Debt!AY$104</f>
        <v>4989.3748800105577</v>
      </c>
      <c r="AZ11" s="573">
        <f>Debt!AZ$104</f>
        <v>4989.1375412419338</v>
      </c>
      <c r="BA11" s="573">
        <f>Debt!BA$104</f>
        <v>4976.0237518384511</v>
      </c>
      <c r="BB11" s="573">
        <f>Debt!BB$104</f>
        <v>4968.7061367066199</v>
      </c>
      <c r="BC11" s="573">
        <f>Debt!BC$104</f>
        <v>5003.7719991405111</v>
      </c>
      <c r="BD11" s="573">
        <f>Debt!BD$104</f>
        <v>4994.8398242674302</v>
      </c>
      <c r="BE11" s="573">
        <f>Debt!BE$104</f>
        <v>4975.7347406139879</v>
      </c>
      <c r="BF11" s="573">
        <f>Debt!BF$104</f>
        <v>5018.2432697654431</v>
      </c>
      <c r="BG11" s="573">
        <f>Debt!BG$104</f>
        <v>5055.2308992146009</v>
      </c>
      <c r="BH11" s="573">
        <f>Debt!BH$104</f>
        <v>5047.7580665162341</v>
      </c>
      <c r="BI11" s="573">
        <f>Debt!BI$104</f>
        <v>5029.9252428553727</v>
      </c>
      <c r="BJ11" s="573">
        <f>Debt!BJ$104</f>
        <v>5086.1659444474417</v>
      </c>
      <c r="BK11" s="573">
        <f>Debt!BK$104</f>
        <v>5102.2164152464693</v>
      </c>
      <c r="BL11" s="573">
        <f>Debt!BL$104</f>
        <v>5107.2549033808882</v>
      </c>
      <c r="BM11" s="573">
        <f>Debt!BM$104</f>
        <v>5090.4593862946022</v>
      </c>
      <c r="BN11" s="573">
        <f>Debt!BN$104</f>
        <v>5137.6362992811</v>
      </c>
      <c r="BO11" s="573">
        <f>Debt!BO$104</f>
        <v>5177.721034794823</v>
      </c>
      <c r="BP11" s="573">
        <f>Debt!BP$104</f>
        <v>5172.4704316400748</v>
      </c>
      <c r="BQ11" s="573">
        <f>Debt!BQ$104</f>
        <v>5156.5168427050112</v>
      </c>
      <c r="BR11" s="573">
        <f>Debt!BR$104</f>
        <v>5259.1072788641732</v>
      </c>
      <c r="BS11" s="573">
        <f>Debt!BS$104</f>
        <v>5300.4456959908366</v>
      </c>
      <c r="BT11" s="573">
        <f>Debt!BT$104</f>
        <v>5296.0337638407573</v>
      </c>
      <c r="BU11" s="573">
        <f>Debt!BU$104</f>
        <v>5280.7596572690318</v>
      </c>
      <c r="BV11" s="573">
        <f>Debt!BV$104</f>
        <v>5192.6997405259599</v>
      </c>
      <c r="BW11" s="573">
        <f>Debt!BW$104</f>
        <v>4824.0097155821095</v>
      </c>
      <c r="BX11" s="573">
        <f>Debt!BX$104</f>
        <v>4812.2194454551673</v>
      </c>
      <c r="BY11" s="573">
        <f>Debt!BY$104</f>
        <v>4789.7777052237061</v>
      </c>
      <c r="BZ11" s="573">
        <f>Debt!BZ$104</f>
        <v>4835.508830075345</v>
      </c>
      <c r="CA11" s="573">
        <f>Debt!CA$104</f>
        <v>4848.2697391877382</v>
      </c>
      <c r="CB11" s="573">
        <f>Debt!CB$104</f>
        <v>4814.2596201085926</v>
      </c>
      <c r="CC11" s="573">
        <f>Debt!CC$104</f>
        <v>4617.7718011798452</v>
      </c>
      <c r="CD11" s="573">
        <f>Debt!CD$104</f>
        <v>4635.4811967250052</v>
      </c>
      <c r="CE11" s="573">
        <f>Debt!CE$104</f>
        <v>4670.2074078817031</v>
      </c>
      <c r="CF11" s="573">
        <f>Debt!CF$104</f>
        <v>4658.0351907399381</v>
      </c>
      <c r="CG11" s="573">
        <f>Debt!CG$104</f>
        <v>4632.6384155731694</v>
      </c>
      <c r="CH11" s="573">
        <f>Debt!CH$104</f>
        <v>4654.4799395510099</v>
      </c>
      <c r="CI11" s="573">
        <f>Debt!CI$104</f>
        <v>4690.3300953616026</v>
      </c>
      <c r="CJ11" s="573">
        <f>Debt!CJ$104</f>
        <v>4678.8565348451857</v>
      </c>
      <c r="CK11" s="573">
        <f>Debt!CK$104</f>
        <v>4654.2351254146215</v>
      </c>
      <c r="CL11" s="573">
        <f>Debt!CL$104</f>
        <v>4965.8270387247549</v>
      </c>
      <c r="CM11" s="573">
        <f>Debt!CM$104</f>
        <v>5002.0011198530556</v>
      </c>
      <c r="CN11" s="573">
        <f>Debt!CN$104</f>
        <v>4990.4282617092213</v>
      </c>
      <c r="CO11" s="573">
        <f>Debt!CO$104</f>
        <v>4965.8107040008254</v>
      </c>
      <c r="CP11" s="573">
        <f>Debt!CP$104</f>
        <v>4717.9783046696557</v>
      </c>
      <c r="CQ11" s="573">
        <f>Debt!CQ$104</f>
        <v>4729.233992308592</v>
      </c>
      <c r="CR11" s="573">
        <f>Debt!CR$104</f>
        <v>4730.658822063725</v>
      </c>
      <c r="CS11" s="573">
        <f>Debt!CS$104</f>
        <v>4706.8642132055456</v>
      </c>
      <c r="CT11" s="573">
        <f>Debt!CT$104</f>
        <v>4735.3356972565371</v>
      </c>
      <c r="CU11" s="573">
        <f>Debt!CU$104</f>
        <v>4772.9048284479113</v>
      </c>
      <c r="CV11" s="573">
        <f>Debt!CV$104</f>
        <v>4761.9850090627306</v>
      </c>
      <c r="CW11" s="573">
        <f>Debt!CW$104</f>
        <v>4738.3327137651941</v>
      </c>
      <c r="CX11" s="573">
        <f>Debt!CX$104</f>
        <v>4768.7511838966802</v>
      </c>
      <c r="CY11" s="573">
        <f>Debt!CY$104</f>
        <v>4806.4773364047887</v>
      </c>
      <c r="CZ11" s="573">
        <f>Debt!CZ$104</f>
        <v>4795.3607319199509</v>
      </c>
      <c r="DA11" s="573">
        <f>Debt!DA$104</f>
        <v>4771.6969558088413</v>
      </c>
      <c r="DB11" s="573">
        <f>Debt!DB$104</f>
        <v>0</v>
      </c>
      <c r="DC11" s="573">
        <f>Debt!DC$104</f>
        <v>0</v>
      </c>
      <c r="DD11" s="573">
        <f>Debt!DD$104</f>
        <v>0</v>
      </c>
      <c r="DE11" s="573">
        <f>Debt!DE$104</f>
        <v>0</v>
      </c>
      <c r="DF11" s="573">
        <f>Debt!DF$104</f>
        <v>0</v>
      </c>
      <c r="DG11" s="573">
        <f>Debt!DG$104</f>
        <v>0</v>
      </c>
      <c r="DH11" s="573">
        <f>Debt!DH$104</f>
        <v>0</v>
      </c>
      <c r="DI11" s="573">
        <f>Debt!DI$104</f>
        <v>0</v>
      </c>
      <c r="DJ11" s="573">
        <f>Debt!DJ$104</f>
        <v>0</v>
      </c>
      <c r="DK11" s="573">
        <f>Debt!DK$104</f>
        <v>0</v>
      </c>
      <c r="DL11" s="573">
        <f>Debt!DL$104</f>
        <v>0</v>
      </c>
      <c r="DM11" s="573">
        <f>Debt!DM$104</f>
        <v>0</v>
      </c>
      <c r="DN11" s="573">
        <f>Debt!DN$104</f>
        <v>0</v>
      </c>
      <c r="DO11" s="573">
        <f>Debt!DO$104</f>
        <v>0</v>
      </c>
      <c r="DP11" s="573">
        <f>Debt!DP$104</f>
        <v>0</v>
      </c>
      <c r="DQ11" s="573">
        <f>Debt!DQ$104</f>
        <v>0</v>
      </c>
      <c r="DR11" s="573">
        <f>Debt!DR$104</f>
        <v>0</v>
      </c>
      <c r="DS11" s="573">
        <f>Debt!DS$104</f>
        <v>0</v>
      </c>
      <c r="DT11" s="573">
        <f>Debt!DT$104</f>
        <v>0</v>
      </c>
      <c r="DU11" s="573">
        <f>Debt!DU$104</f>
        <v>0</v>
      </c>
      <c r="DV11" s="573">
        <f>Debt!DV$104</f>
        <v>0</v>
      </c>
      <c r="DW11" s="573">
        <f>Debt!DW$104</f>
        <v>0</v>
      </c>
      <c r="DX11" s="573">
        <f>Debt!DX$104</f>
        <v>0</v>
      </c>
      <c r="DY11" s="573">
        <f>Debt!DY$104</f>
        <v>0</v>
      </c>
      <c r="DZ11" s="573">
        <f>Debt!DZ$104</f>
        <v>0</v>
      </c>
      <c r="EA11" s="573">
        <f>Debt!EA$104</f>
        <v>0</v>
      </c>
      <c r="EB11" s="573">
        <f>Debt!EB$104</f>
        <v>0</v>
      </c>
      <c r="EC11" s="573">
        <f>Debt!EC$104</f>
        <v>0</v>
      </c>
      <c r="ED11" s="573">
        <f>Debt!ED$104</f>
        <v>0</v>
      </c>
      <c r="EE11" s="573">
        <f>Debt!EE$104</f>
        <v>0</v>
      </c>
      <c r="EF11" s="573">
        <f>Debt!EF$104</f>
        <v>0</v>
      </c>
      <c r="EG11" s="573">
        <f>Debt!EG$104</f>
        <v>0</v>
      </c>
    </row>
    <row r="23" spans="1:1" ht="12.75">
      <c r="A23" s="534" t="s">
        <v>572</v>
      </c>
    </row>
    <row r="25" spans="5:137" ht="12.75">
      <c r="E25" s="574" t="s">
        <v>573</v>
      </c>
      <c r="F25" s="575">
        <v>0</v>
      </c>
      <c r="G25" s="575" t="s">
        <v>30</v>
      </c>
      <c r="H25" s="575">
        <f>SUM(J25:EG25)</f>
        <v>316123.78273007384</v>
      </c>
      <c r="I25" s="554"/>
      <c r="J25" s="576">
        <v>0</v>
      </c>
      <c r="K25" s="576">
        <v>0</v>
      </c>
      <c r="L25" s="576">
        <v>11319.299718665801</v>
      </c>
      <c r="M25" s="576">
        <v>13400.690161983533</v>
      </c>
      <c r="N25" s="576">
        <v>13741.483730168373</v>
      </c>
      <c r="O25" s="576">
        <v>13418.385230476684</v>
      </c>
      <c r="P25" s="576">
        <v>13759.768634277962</v>
      </c>
      <c r="Q25" s="576">
        <v>13431.866579483441</v>
      </c>
      <c r="R25" s="576">
        <v>17147.968956865683</v>
      </c>
      <c r="S25" s="576">
        <v>17980.844765662525</v>
      </c>
      <c r="T25" s="576">
        <v>18373.00855600759</v>
      </c>
      <c r="U25" s="576">
        <v>18794.294603184764</v>
      </c>
      <c r="V25" s="576">
        <v>17560.929412437468</v>
      </c>
      <c r="W25" s="576">
        <v>17427.529348846478</v>
      </c>
      <c r="X25" s="576">
        <v>15736.56271752895</v>
      </c>
      <c r="Y25" s="576">
        <v>13805.731154549694</v>
      </c>
      <c r="Z25" s="576">
        <v>12901.477428191107</v>
      </c>
      <c r="AA25" s="576">
        <v>14399.761727471965</v>
      </c>
      <c r="AB25" s="576">
        <v>15143.672002923853</v>
      </c>
      <c r="AC25" s="576">
        <v>15043.412380382597</v>
      </c>
      <c r="AD25" s="576">
        <v>13719.08131146606</v>
      </c>
      <c r="AE25" s="576">
        <v>8683.3953250207269</v>
      </c>
      <c r="AF25" s="576">
        <v>6872.7289999061568</v>
      </c>
      <c r="AG25" s="576">
        <v>13461.889984572472</v>
      </c>
      <c r="AH25" s="576">
        <v>0</v>
      </c>
      <c r="AI25" s="576">
        <v>0</v>
      </c>
      <c r="AJ25" s="576">
        <v>0</v>
      </c>
      <c r="AK25" s="576">
        <v>0</v>
      </c>
      <c r="AL25" s="576">
        <v>0</v>
      </c>
      <c r="AM25" s="576">
        <v>0</v>
      </c>
      <c r="AN25" s="576">
        <v>0</v>
      </c>
      <c r="AO25" s="576">
        <v>0</v>
      </c>
      <c r="AP25" s="576">
        <v>0</v>
      </c>
      <c r="AQ25" s="576">
        <v>0</v>
      </c>
      <c r="AR25" s="576">
        <v>0</v>
      </c>
      <c r="AS25" s="576">
        <v>0</v>
      </c>
      <c r="AT25" s="576">
        <v>0</v>
      </c>
      <c r="AU25" s="576">
        <v>0</v>
      </c>
      <c r="AV25" s="576">
        <v>0</v>
      </c>
      <c r="AW25" s="576">
        <v>0</v>
      </c>
      <c r="AX25" s="576">
        <v>0</v>
      </c>
      <c r="AY25" s="576">
        <v>0</v>
      </c>
      <c r="AZ25" s="576">
        <v>0</v>
      </c>
      <c r="BA25" s="576">
        <v>0</v>
      </c>
      <c r="BB25" s="576">
        <v>0</v>
      </c>
      <c r="BC25" s="576">
        <v>0</v>
      </c>
      <c r="BD25" s="576">
        <v>0</v>
      </c>
      <c r="BE25" s="576">
        <v>0</v>
      </c>
      <c r="BF25" s="576">
        <v>0</v>
      </c>
      <c r="BG25" s="576">
        <v>0</v>
      </c>
      <c r="BH25" s="576">
        <v>0</v>
      </c>
      <c r="BI25" s="576">
        <v>0</v>
      </c>
      <c r="BJ25" s="576">
        <v>0</v>
      </c>
      <c r="BK25" s="576">
        <v>0</v>
      </c>
      <c r="BL25" s="576">
        <v>0</v>
      </c>
      <c r="BM25" s="576">
        <v>0</v>
      </c>
      <c r="BN25" s="576">
        <v>0</v>
      </c>
      <c r="BO25" s="576">
        <v>0</v>
      </c>
      <c r="BP25" s="576">
        <v>0</v>
      </c>
      <c r="BQ25" s="576">
        <v>0</v>
      </c>
      <c r="BR25" s="576">
        <v>0</v>
      </c>
      <c r="BS25" s="576">
        <v>0</v>
      </c>
      <c r="BT25" s="576">
        <v>0</v>
      </c>
      <c r="BU25" s="576">
        <v>0</v>
      </c>
      <c r="BV25" s="576">
        <v>0</v>
      </c>
      <c r="BW25" s="576">
        <v>0</v>
      </c>
      <c r="BX25" s="576">
        <v>0</v>
      </c>
      <c r="BY25" s="576">
        <v>0</v>
      </c>
      <c r="BZ25" s="576">
        <v>0</v>
      </c>
      <c r="CA25" s="576">
        <v>0</v>
      </c>
      <c r="CB25" s="576">
        <v>0</v>
      </c>
      <c r="CC25" s="576">
        <v>0</v>
      </c>
      <c r="CD25" s="576">
        <v>0</v>
      </c>
      <c r="CE25" s="576">
        <v>0</v>
      </c>
      <c r="CF25" s="576">
        <v>0</v>
      </c>
      <c r="CG25" s="576">
        <v>0</v>
      </c>
      <c r="CH25" s="576">
        <v>0</v>
      </c>
      <c r="CI25" s="576">
        <v>0</v>
      </c>
      <c r="CJ25" s="576">
        <v>0</v>
      </c>
      <c r="CK25" s="576">
        <v>0</v>
      </c>
      <c r="CL25" s="576">
        <v>0</v>
      </c>
      <c r="CM25" s="576">
        <v>0</v>
      </c>
      <c r="CN25" s="576">
        <v>0</v>
      </c>
      <c r="CO25" s="576">
        <v>0</v>
      </c>
      <c r="CP25" s="576">
        <v>0</v>
      </c>
      <c r="CQ25" s="576">
        <v>0</v>
      </c>
      <c r="CR25" s="576">
        <v>0</v>
      </c>
      <c r="CS25" s="576">
        <v>0</v>
      </c>
      <c r="CT25" s="576">
        <v>0</v>
      </c>
      <c r="CU25" s="576">
        <v>0</v>
      </c>
      <c r="CV25" s="576">
        <v>0</v>
      </c>
      <c r="CW25" s="576">
        <v>0</v>
      </c>
      <c r="CX25" s="576">
        <v>0</v>
      </c>
      <c r="CY25" s="576">
        <v>0</v>
      </c>
      <c r="CZ25" s="576">
        <v>0</v>
      </c>
      <c r="DA25" s="576">
        <v>0</v>
      </c>
      <c r="DB25" s="576">
        <v>0</v>
      </c>
      <c r="DC25" s="576">
        <v>0</v>
      </c>
      <c r="DD25" s="576">
        <v>0</v>
      </c>
      <c r="DE25" s="576">
        <v>0</v>
      </c>
      <c r="DF25" s="576">
        <v>0</v>
      </c>
      <c r="DG25" s="576">
        <v>0</v>
      </c>
      <c r="DH25" s="576">
        <v>0</v>
      </c>
      <c r="DI25" s="576">
        <v>0</v>
      </c>
      <c r="DJ25" s="576">
        <v>0</v>
      </c>
      <c r="DK25" s="576">
        <v>0</v>
      </c>
      <c r="DL25" s="576">
        <v>0</v>
      </c>
      <c r="DM25" s="576">
        <v>0</v>
      </c>
      <c r="DN25" s="576">
        <v>0</v>
      </c>
      <c r="DO25" s="576">
        <v>0</v>
      </c>
      <c r="DP25" s="576">
        <v>0</v>
      </c>
      <c r="DQ25" s="576">
        <v>0</v>
      </c>
      <c r="DR25" s="576">
        <v>0</v>
      </c>
      <c r="DS25" s="576">
        <v>0</v>
      </c>
      <c r="DT25" s="576">
        <v>0</v>
      </c>
      <c r="DU25" s="576">
        <v>0</v>
      </c>
      <c r="DV25" s="576">
        <v>0</v>
      </c>
      <c r="DW25" s="576">
        <v>0</v>
      </c>
      <c r="DX25" s="576">
        <v>0</v>
      </c>
      <c r="DY25" s="576">
        <v>0</v>
      </c>
      <c r="DZ25" s="576">
        <v>0</v>
      </c>
      <c r="EA25" s="576">
        <v>0</v>
      </c>
      <c r="EB25" s="576">
        <v>0</v>
      </c>
      <c r="EC25" s="576">
        <v>0</v>
      </c>
      <c r="ED25" s="576">
        <v>0</v>
      </c>
      <c r="EE25" s="576">
        <v>0</v>
      </c>
      <c r="EF25" s="576">
        <v>0</v>
      </c>
      <c r="EG25" s="576">
        <v>0</v>
      </c>
    </row>
    <row r="26" spans="5:7" ht="12.75">
      <c r="E26" s="540" t="s">
        <v>574</v>
      </c>
      <c r="F26" s="577">
        <v>329732.58586017729</v>
      </c>
      <c r="G26" s="541" t="s">
        <v>30</v>
      </c>
    </row>
    <row r="27" spans="5:137" ht="12.75">
      <c r="E27" s="578" t="s">
        <v>575</v>
      </c>
      <c r="F27" s="579">
        <v>0</v>
      </c>
      <c r="G27" s="579" t="s">
        <v>30</v>
      </c>
      <c r="H27" s="579">
        <f>SUM(J27:EG27)</f>
        <v>350432.93778912892</v>
      </c>
      <c r="I27" s="556"/>
      <c r="J27" s="580">
        <v>0</v>
      </c>
      <c r="K27" s="580">
        <v>0</v>
      </c>
      <c r="L27" s="580">
        <v>0</v>
      </c>
      <c r="M27" s="580">
        <v>0</v>
      </c>
      <c r="N27" s="580">
        <v>0</v>
      </c>
      <c r="O27" s="580">
        <v>0</v>
      </c>
      <c r="P27" s="580">
        <v>0</v>
      </c>
      <c r="Q27" s="580">
        <v>0</v>
      </c>
      <c r="R27" s="580">
        <v>0</v>
      </c>
      <c r="S27" s="580">
        <v>0</v>
      </c>
      <c r="T27" s="580">
        <v>0</v>
      </c>
      <c r="U27" s="580">
        <v>0</v>
      </c>
      <c r="V27" s="580">
        <v>0</v>
      </c>
      <c r="W27" s="580">
        <v>0</v>
      </c>
      <c r="X27" s="580">
        <v>0</v>
      </c>
      <c r="Y27" s="580">
        <v>0</v>
      </c>
      <c r="Z27" s="580">
        <v>0</v>
      </c>
      <c r="AA27" s="580">
        <v>0</v>
      </c>
      <c r="AB27" s="580">
        <v>0</v>
      </c>
      <c r="AC27" s="580">
        <v>0</v>
      </c>
      <c r="AD27" s="580">
        <v>0</v>
      </c>
      <c r="AE27" s="580">
        <v>0</v>
      </c>
      <c r="AF27" s="580">
        <v>0</v>
      </c>
      <c r="AG27" s="580">
        <v>0</v>
      </c>
      <c r="AH27" s="580">
        <v>3678.834858169882</v>
      </c>
      <c r="AI27" s="580">
        <v>4654.4397593286503</v>
      </c>
      <c r="AJ27" s="580">
        <v>4654.2133758469563</v>
      </c>
      <c r="AK27" s="580">
        <v>4644.0261191707305</v>
      </c>
      <c r="AL27" s="580">
        <v>4693.585531497587</v>
      </c>
      <c r="AM27" s="580">
        <v>4736.1435903710044</v>
      </c>
      <c r="AN27" s="580">
        <v>4735.9144792140069</v>
      </c>
      <c r="AO27" s="580">
        <v>4725.6044771491561</v>
      </c>
      <c r="AP27" s="580">
        <v>4776.2218865345494</v>
      </c>
      <c r="AQ27" s="580">
        <v>4819.1883943546864</v>
      </c>
      <c r="AR27" s="580">
        <v>4818.9565473093835</v>
      </c>
      <c r="AS27" s="580">
        <v>4808.5234302707559</v>
      </c>
      <c r="AT27" s="580">
        <v>4871.0125860622411</v>
      </c>
      <c r="AU27" s="580">
        <v>4892.8014892437595</v>
      </c>
      <c r="AV27" s="580">
        <v>4903.3580387404618</v>
      </c>
      <c r="AW27" s="580">
        <v>4890.5485880171664</v>
      </c>
      <c r="AX27" s="580">
        <v>4945.6032153911838</v>
      </c>
      <c r="AY27" s="580">
        <v>4989.3748800106014</v>
      </c>
      <c r="AZ27" s="580">
        <v>4989.1375412419775</v>
      </c>
      <c r="BA27" s="580">
        <v>4976.0237518384947</v>
      </c>
      <c r="BB27" s="580">
        <v>4968.7061367066626</v>
      </c>
      <c r="BC27" s="580">
        <v>5003.7719991405547</v>
      </c>
      <c r="BD27" s="580">
        <v>4994.8398242674739</v>
      </c>
      <c r="BE27" s="580">
        <v>4975.7347406140316</v>
      </c>
      <c r="BF27" s="580">
        <v>5018.2432697654867</v>
      </c>
      <c r="BG27" s="580">
        <v>5055.2308992146445</v>
      </c>
      <c r="BH27" s="580">
        <v>5047.7580665162777</v>
      </c>
      <c r="BI27" s="580">
        <v>5029.9252428554164</v>
      </c>
      <c r="BJ27" s="580">
        <v>5086.1659444474853</v>
      </c>
      <c r="BK27" s="580">
        <v>5102.2164152465139</v>
      </c>
      <c r="BL27" s="580">
        <v>5107.2549033809328</v>
      </c>
      <c r="BM27" s="580">
        <v>5090.4593862946467</v>
      </c>
      <c r="BN27" s="580">
        <v>5137.6362992811446</v>
      </c>
      <c r="BO27" s="580">
        <v>5177.7210347948676</v>
      </c>
      <c r="BP27" s="580">
        <v>5172.4704316401203</v>
      </c>
      <c r="BQ27" s="580">
        <v>5156.5168427050558</v>
      </c>
      <c r="BR27" s="580">
        <v>5259.1072788642186</v>
      </c>
      <c r="BS27" s="580">
        <v>5300.445695990883</v>
      </c>
      <c r="BT27" s="580">
        <v>5296.0337638408037</v>
      </c>
      <c r="BU27" s="580">
        <v>5280.7596572690782</v>
      </c>
      <c r="BV27" s="580">
        <v>5192.6997405260054</v>
      </c>
      <c r="BW27" s="580">
        <v>4824.0097155821522</v>
      </c>
      <c r="BX27" s="580">
        <v>4812.2194454552091</v>
      </c>
      <c r="BY27" s="580">
        <v>4789.7777052237479</v>
      </c>
      <c r="BZ27" s="580">
        <v>4835.5088300753869</v>
      </c>
      <c r="CA27" s="580">
        <v>4848.26973918778</v>
      </c>
      <c r="CB27" s="580">
        <v>4814.2596201087454</v>
      </c>
      <c r="CC27" s="580">
        <v>4617.7718011798861</v>
      </c>
      <c r="CD27" s="580">
        <v>4635.4811967250462</v>
      </c>
      <c r="CE27" s="580">
        <v>4670.2074078817441</v>
      </c>
      <c r="CF27" s="580">
        <v>4658.03519073998</v>
      </c>
      <c r="CG27" s="580">
        <v>4632.6384155732103</v>
      </c>
      <c r="CH27" s="580">
        <v>4654.4799395510508</v>
      </c>
      <c r="CI27" s="580">
        <v>4690.3300953616445</v>
      </c>
      <c r="CJ27" s="580">
        <v>4678.8565348452266</v>
      </c>
      <c r="CK27" s="580">
        <v>4654.2351254146624</v>
      </c>
      <c r="CL27" s="580">
        <v>4965.8270387247985</v>
      </c>
      <c r="CM27" s="580">
        <v>5002.0011198530992</v>
      </c>
      <c r="CN27" s="580">
        <v>4990.428261709264</v>
      </c>
      <c r="CO27" s="580">
        <v>4965.8107040008681</v>
      </c>
      <c r="CP27" s="580">
        <v>4717.9783046696957</v>
      </c>
      <c r="CQ27" s="580">
        <v>4729.2339923086329</v>
      </c>
      <c r="CR27" s="580">
        <v>4730.6588220637659</v>
      </c>
      <c r="CS27" s="580">
        <v>4706.8642132055866</v>
      </c>
      <c r="CT27" s="580">
        <v>4735.335697256578</v>
      </c>
      <c r="CU27" s="580">
        <v>4772.9048284479532</v>
      </c>
      <c r="CV27" s="580">
        <v>4761.9850090627706</v>
      </c>
      <c r="CW27" s="580">
        <v>4738.3327137652341</v>
      </c>
      <c r="CX27" s="580">
        <v>4768.7511838967212</v>
      </c>
      <c r="CY27" s="580">
        <v>4806.4773364048287</v>
      </c>
      <c r="CZ27" s="580">
        <v>4795.3607319199918</v>
      </c>
      <c r="DA27" s="580">
        <v>4771.6969558081337</v>
      </c>
      <c r="DB27" s="580">
        <v>0</v>
      </c>
      <c r="DC27" s="580">
        <v>0</v>
      </c>
      <c r="DD27" s="580">
        <v>0</v>
      </c>
      <c r="DE27" s="580">
        <v>0</v>
      </c>
      <c r="DF27" s="580">
        <v>0</v>
      </c>
      <c r="DG27" s="580">
        <v>0</v>
      </c>
      <c r="DH27" s="580">
        <v>0</v>
      </c>
      <c r="DI27" s="580">
        <v>0</v>
      </c>
      <c r="DJ27" s="580">
        <v>0</v>
      </c>
      <c r="DK27" s="580">
        <v>0</v>
      </c>
      <c r="DL27" s="580">
        <v>0</v>
      </c>
      <c r="DM27" s="580">
        <v>0</v>
      </c>
      <c r="DN27" s="580">
        <v>0</v>
      </c>
      <c r="DO27" s="580">
        <v>0</v>
      </c>
      <c r="DP27" s="580">
        <v>0</v>
      </c>
      <c r="DQ27" s="580">
        <v>0</v>
      </c>
      <c r="DR27" s="580">
        <v>0</v>
      </c>
      <c r="DS27" s="580">
        <v>0</v>
      </c>
      <c r="DT27" s="580">
        <v>0</v>
      </c>
      <c r="DU27" s="580">
        <v>0</v>
      </c>
      <c r="DV27" s="580">
        <v>0</v>
      </c>
      <c r="DW27" s="580">
        <v>0</v>
      </c>
      <c r="DX27" s="580">
        <v>0</v>
      </c>
      <c r="DY27" s="580">
        <v>0</v>
      </c>
      <c r="DZ27" s="580">
        <v>0</v>
      </c>
      <c r="EA27" s="580">
        <v>0</v>
      </c>
      <c r="EB27" s="580">
        <v>0</v>
      </c>
      <c r="EC27" s="580">
        <v>0</v>
      </c>
      <c r="ED27" s="580">
        <v>0</v>
      </c>
      <c r="EE27" s="580">
        <v>0</v>
      </c>
      <c r="EF27" s="580">
        <v>0</v>
      </c>
      <c r="EG27" s="580">
        <v>0</v>
      </c>
    </row>
    <row r="39" spans="1:1" ht="12.75">
      <c r="A39" s="534" t="s">
        <v>576</v>
      </c>
    </row>
    <row r="41" spans="5:137" ht="12.75">
      <c r="E41" s="553" t="s">
        <v>577</v>
      </c>
      <c r="F41" s="581">
        <f>IF(SUM($J41:$EG41)&gt;InpC!$F$129,1,0)</f>
        <v>0</v>
      </c>
      <c r="G41" s="553" t="s">
        <v>224</v>
      </c>
      <c r="H41" s="553"/>
      <c r="I41" s="553"/>
      <c r="J41" s="582">
        <f t="shared" si="0" ref="J41:EG41">ABS(J9-J25)</f>
        <v>0</v>
      </c>
      <c r="K41" s="582">
        <f t="shared" si="0"/>
        <v>0</v>
      </c>
      <c r="L41" s="582">
        <f t="shared" si="0"/>
        <v>2.7284841053187847E-11</v>
      </c>
      <c r="M41" s="582">
        <f t="shared" si="0"/>
        <v>1.8189894035458565E-12</v>
      </c>
      <c r="N41" s="582">
        <f t="shared" si="0"/>
        <v>1.8189894035458565E-12</v>
      </c>
      <c r="O41" s="582">
        <f t="shared" si="0"/>
        <v>1.8189894035458565E-12</v>
      </c>
      <c r="P41" s="582">
        <f t="shared" si="0"/>
        <v>1.8189894035458565E-12</v>
      </c>
      <c r="Q41" s="582">
        <f t="shared" si="0"/>
        <v>1.8189894035458565E-12</v>
      </c>
      <c r="R41" s="582">
        <f t="shared" si="0"/>
        <v>3.637978807091713E-12</v>
      </c>
      <c r="S41" s="582">
        <f t="shared" si="0"/>
        <v>0</v>
      </c>
      <c r="T41" s="582">
        <f t="shared" si="0"/>
        <v>3.637978807091713E-12</v>
      </c>
      <c r="U41" s="582">
        <f t="shared" si="0"/>
        <v>0</v>
      </c>
      <c r="V41" s="582">
        <f t="shared" si="0"/>
        <v>3.637978807091713E-12</v>
      </c>
      <c r="W41" s="582">
        <f t="shared" si="0"/>
        <v>0</v>
      </c>
      <c r="X41" s="582">
        <f t="shared" si="0"/>
        <v>0</v>
      </c>
      <c r="Y41" s="582">
        <f t="shared" si="0"/>
        <v>1.8189894035458565E-12</v>
      </c>
      <c r="Z41" s="582">
        <f t="shared" si="0"/>
        <v>1.8189894035458565E-12</v>
      </c>
      <c r="AA41" s="582">
        <f t="shared" si="0"/>
        <v>1.8189894035458565E-12</v>
      </c>
      <c r="AB41" s="582">
        <f t="shared" si="0"/>
        <v>0</v>
      </c>
      <c r="AC41" s="582">
        <f t="shared" si="0"/>
        <v>0</v>
      </c>
      <c r="AD41" s="582">
        <f t="shared" si="0"/>
        <v>0</v>
      </c>
      <c r="AE41" s="582">
        <f t="shared" si="0"/>
        <v>1.8189894035458565E-12</v>
      </c>
      <c r="AF41" s="582">
        <f t="shared" si="0"/>
        <v>9.0949470177292824E-13</v>
      </c>
      <c r="AG41" s="582">
        <f t="shared" si="0"/>
        <v>3.9108272176235914E-10</v>
      </c>
      <c r="AH41" s="582">
        <f t="shared" si="0"/>
        <v>0</v>
      </c>
      <c r="AI41" s="582">
        <f t="shared" si="0"/>
        <v>0</v>
      </c>
      <c r="AJ41" s="582">
        <f t="shared" si="0"/>
        <v>0</v>
      </c>
      <c r="AK41" s="582">
        <f t="shared" si="0"/>
        <v>0</v>
      </c>
      <c r="AL41" s="582">
        <f t="shared" si="0"/>
        <v>0</v>
      </c>
      <c r="AM41" s="582">
        <f t="shared" si="0"/>
        <v>0</v>
      </c>
      <c r="AN41" s="582">
        <f t="shared" si="0"/>
        <v>0</v>
      </c>
      <c r="AO41" s="582">
        <f t="shared" si="0"/>
        <v>0</v>
      </c>
      <c r="AP41" s="582">
        <f t="shared" si="0"/>
        <v>0</v>
      </c>
      <c r="AQ41" s="582">
        <f t="shared" si="0"/>
        <v>0</v>
      </c>
      <c r="AR41" s="582">
        <f t="shared" si="0"/>
        <v>0</v>
      </c>
      <c r="AS41" s="582">
        <f t="shared" si="0"/>
        <v>0</v>
      </c>
      <c r="AT41" s="582">
        <f t="shared" si="0"/>
        <v>0</v>
      </c>
      <c r="AU41" s="582">
        <f t="shared" si="0"/>
        <v>0</v>
      </c>
      <c r="AV41" s="582">
        <f t="shared" si="0"/>
        <v>0</v>
      </c>
      <c r="AW41" s="582">
        <f t="shared" si="0"/>
        <v>0</v>
      </c>
      <c r="AX41" s="582">
        <f t="shared" si="0"/>
        <v>0</v>
      </c>
      <c r="AY41" s="582">
        <f t="shared" si="0"/>
        <v>0</v>
      </c>
      <c r="AZ41" s="582">
        <f t="shared" si="0"/>
        <v>0</v>
      </c>
      <c r="BA41" s="582">
        <f t="shared" si="0"/>
        <v>0</v>
      </c>
      <c r="BB41" s="582">
        <f t="shared" si="0"/>
        <v>0</v>
      </c>
      <c r="BC41" s="582">
        <f t="shared" si="0"/>
        <v>0</v>
      </c>
      <c r="BD41" s="582">
        <f t="shared" si="0"/>
        <v>0</v>
      </c>
      <c r="BE41" s="582">
        <f t="shared" si="0"/>
        <v>0</v>
      </c>
      <c r="BF41" s="582">
        <f t="shared" si="0"/>
        <v>0</v>
      </c>
      <c r="BG41" s="582">
        <f t="shared" si="0"/>
        <v>0</v>
      </c>
      <c r="BH41" s="582">
        <f t="shared" si="0"/>
        <v>0</v>
      </c>
      <c r="BI41" s="582">
        <f t="shared" si="0"/>
        <v>0</v>
      </c>
      <c r="BJ41" s="582">
        <f t="shared" si="0"/>
        <v>0</v>
      </c>
      <c r="BK41" s="582">
        <f t="shared" si="0"/>
        <v>0</v>
      </c>
      <c r="BL41" s="582">
        <f t="shared" si="0"/>
        <v>0</v>
      </c>
      <c r="BM41" s="582">
        <f t="shared" si="0"/>
        <v>0</v>
      </c>
      <c r="BN41" s="582">
        <f t="shared" si="0"/>
        <v>0</v>
      </c>
      <c r="BO41" s="582">
        <f t="shared" si="0"/>
        <v>0</v>
      </c>
      <c r="BP41" s="582">
        <f t="shared" si="0"/>
        <v>0</v>
      </c>
      <c r="BQ41" s="582">
        <f t="shared" si="0"/>
        <v>0</v>
      </c>
      <c r="BR41" s="582">
        <f t="shared" si="0"/>
        <v>0</v>
      </c>
      <c r="BS41" s="582">
        <f t="shared" si="0"/>
        <v>0</v>
      </c>
      <c r="BT41" s="582">
        <f t="shared" si="0"/>
        <v>0</v>
      </c>
      <c r="BU41" s="582">
        <f t="shared" si="0"/>
        <v>0</v>
      </c>
      <c r="BV41" s="582">
        <f t="shared" si="0"/>
        <v>0</v>
      </c>
      <c r="BW41" s="582">
        <f t="shared" si="0"/>
        <v>0</v>
      </c>
      <c r="BX41" s="582">
        <f t="shared" si="0"/>
        <v>0</v>
      </c>
      <c r="BY41" s="582">
        <f t="shared" si="0"/>
        <v>0</v>
      </c>
      <c r="BZ41" s="582">
        <f t="shared" si="0"/>
        <v>0</v>
      </c>
      <c r="CA41" s="582">
        <f t="shared" si="0"/>
        <v>0</v>
      </c>
      <c r="CB41" s="582">
        <f t="shared" si="0"/>
        <v>0</v>
      </c>
      <c r="CC41" s="582">
        <f t="shared" si="0"/>
        <v>0</v>
      </c>
      <c r="CD41" s="582">
        <f t="shared" si="0"/>
        <v>0</v>
      </c>
      <c r="CE41" s="582">
        <f t="shared" si="0"/>
        <v>0</v>
      </c>
      <c r="CF41" s="582">
        <f t="shared" si="0"/>
        <v>0</v>
      </c>
      <c r="CG41" s="582">
        <f t="shared" si="0"/>
        <v>0</v>
      </c>
      <c r="CH41" s="582">
        <f t="shared" si="0"/>
        <v>0</v>
      </c>
      <c r="CI41" s="582">
        <f t="shared" si="0"/>
        <v>0</v>
      </c>
      <c r="CJ41" s="582">
        <f t="shared" si="0"/>
        <v>0</v>
      </c>
      <c r="CK41" s="582">
        <f t="shared" si="0"/>
        <v>0</v>
      </c>
      <c r="CL41" s="582">
        <f t="shared" si="0"/>
        <v>0</v>
      </c>
      <c r="CM41" s="582">
        <f t="shared" si="0"/>
        <v>0</v>
      </c>
      <c r="CN41" s="582">
        <f t="shared" si="0"/>
        <v>0</v>
      </c>
      <c r="CO41" s="582">
        <f t="shared" si="0"/>
        <v>0</v>
      </c>
      <c r="CP41" s="582">
        <f t="shared" si="0"/>
        <v>0</v>
      </c>
      <c r="CQ41" s="582">
        <f t="shared" si="0"/>
        <v>0</v>
      </c>
      <c r="CR41" s="582">
        <f t="shared" si="0"/>
        <v>0</v>
      </c>
      <c r="CS41" s="582">
        <f t="shared" si="0"/>
        <v>0</v>
      </c>
      <c r="CT41" s="582">
        <f t="shared" si="0"/>
        <v>0</v>
      </c>
      <c r="CU41" s="582">
        <f t="shared" si="0"/>
        <v>0</v>
      </c>
      <c r="CV41" s="582">
        <f t="shared" si="0"/>
        <v>0</v>
      </c>
      <c r="CW41" s="582">
        <f t="shared" si="0"/>
        <v>0</v>
      </c>
      <c r="CX41" s="582">
        <f t="shared" si="0"/>
        <v>0</v>
      </c>
      <c r="CY41" s="582">
        <f t="shared" si="0"/>
        <v>0</v>
      </c>
      <c r="CZ41" s="582">
        <f t="shared" si="0"/>
        <v>0</v>
      </c>
      <c r="DA41" s="582">
        <f t="shared" si="0"/>
        <v>0</v>
      </c>
      <c r="DB41" s="582">
        <f t="shared" si="0"/>
        <v>0</v>
      </c>
      <c r="DC41" s="582">
        <f t="shared" si="0"/>
        <v>0</v>
      </c>
      <c r="DD41" s="582">
        <f t="shared" si="0"/>
        <v>0</v>
      </c>
      <c r="DE41" s="582">
        <f t="shared" si="0"/>
        <v>0</v>
      </c>
      <c r="DF41" s="582">
        <f t="shared" si="0"/>
        <v>0</v>
      </c>
      <c r="DG41" s="582">
        <f t="shared" si="0"/>
        <v>0</v>
      </c>
      <c r="DH41" s="582">
        <f t="shared" si="0"/>
        <v>0</v>
      </c>
      <c r="DI41" s="582">
        <f t="shared" si="0"/>
        <v>0</v>
      </c>
      <c r="DJ41" s="582">
        <f t="shared" si="0"/>
        <v>0</v>
      </c>
      <c r="DK41" s="582">
        <f t="shared" si="0"/>
        <v>0</v>
      </c>
      <c r="DL41" s="582">
        <f t="shared" si="0"/>
        <v>0</v>
      </c>
      <c r="DM41" s="582">
        <f t="shared" si="0"/>
        <v>0</v>
      </c>
      <c r="DN41" s="582">
        <f t="shared" si="0"/>
        <v>0</v>
      </c>
      <c r="DO41" s="582">
        <f t="shared" si="0"/>
        <v>0</v>
      </c>
      <c r="DP41" s="582">
        <f t="shared" si="0"/>
        <v>0</v>
      </c>
      <c r="DQ41" s="582">
        <f t="shared" si="0"/>
        <v>0</v>
      </c>
      <c r="DR41" s="582">
        <f t="shared" si="0"/>
        <v>0</v>
      </c>
      <c r="DS41" s="582">
        <f t="shared" si="0"/>
        <v>0</v>
      </c>
      <c r="DT41" s="582">
        <f t="shared" si="0"/>
        <v>0</v>
      </c>
      <c r="DU41" s="582">
        <f t="shared" si="0"/>
        <v>0</v>
      </c>
      <c r="DV41" s="582">
        <f t="shared" si="0"/>
        <v>0</v>
      </c>
      <c r="DW41" s="582">
        <f t="shared" si="0"/>
        <v>0</v>
      </c>
      <c r="DX41" s="582">
        <f t="shared" si="0"/>
        <v>0</v>
      </c>
      <c r="DY41" s="582">
        <f t="shared" si="0"/>
        <v>0</v>
      </c>
      <c r="DZ41" s="582">
        <f t="shared" si="0"/>
        <v>0</v>
      </c>
      <c r="EA41" s="582">
        <f t="shared" si="0"/>
        <v>0</v>
      </c>
      <c r="EB41" s="582">
        <f t="shared" si="0"/>
        <v>0</v>
      </c>
      <c r="EC41" s="582">
        <f t="shared" si="0"/>
        <v>0</v>
      </c>
      <c r="ED41" s="582">
        <f t="shared" si="0"/>
        <v>0</v>
      </c>
      <c r="EE41" s="582">
        <f t="shared" si="0"/>
        <v>0</v>
      </c>
      <c r="EF41" s="582">
        <f t="shared" si="0"/>
        <v>0</v>
      </c>
      <c r="EG41" s="582">
        <f t="shared" si="0"/>
        <v>0</v>
      </c>
    </row>
    <row r="42" spans="5:7" ht="12.75">
      <c r="E42" s="538" t="s">
        <v>578</v>
      </c>
      <c r="F42" s="544">
        <f>IF(ABS($F10-$F26)&gt;InpC!$F$129,1,0)</f>
        <v>0</v>
      </c>
      <c r="G42" s="539" t="s">
        <v>224</v>
      </c>
    </row>
    <row r="43" spans="5:137" ht="12.75">
      <c r="E43" s="538" t="s">
        <v>579</v>
      </c>
      <c r="F43" s="583">
        <f>IF(SUM($J43:$EG43)&gt;InpC!$F$129,1,0)</f>
        <v>0</v>
      </c>
      <c r="G43" s="538" t="s">
        <v>224</v>
      </c>
      <c r="J43" s="584">
        <f t="shared" si="1" ref="J43:EG43">ABS(J11-J27)</f>
        <v>0</v>
      </c>
      <c r="K43" s="584">
        <f t="shared" si="1"/>
        <v>0</v>
      </c>
      <c r="L43" s="584">
        <f t="shared" si="1"/>
        <v>0</v>
      </c>
      <c r="M43" s="584">
        <f t="shared" si="1"/>
        <v>0</v>
      </c>
      <c r="N43" s="584">
        <f t="shared" si="1"/>
        <v>0</v>
      </c>
      <c r="O43" s="584">
        <f t="shared" si="1"/>
        <v>0</v>
      </c>
      <c r="P43" s="584">
        <f t="shared" si="1"/>
        <v>1.8189894035458565E-12</v>
      </c>
      <c r="Q43" s="584">
        <f t="shared" si="1"/>
        <v>0</v>
      </c>
      <c r="R43" s="584">
        <f t="shared" si="1"/>
        <v>0</v>
      </c>
      <c r="S43" s="584">
        <f t="shared" si="1"/>
        <v>0</v>
      </c>
      <c r="T43" s="584">
        <f t="shared" si="1"/>
        <v>0</v>
      </c>
      <c r="U43" s="584">
        <f t="shared" si="1"/>
        <v>0</v>
      </c>
      <c r="V43" s="584">
        <f t="shared" si="1"/>
        <v>0</v>
      </c>
      <c r="W43" s="584">
        <f t="shared" si="1"/>
        <v>0</v>
      </c>
      <c r="X43" s="584">
        <f t="shared" si="1"/>
        <v>0</v>
      </c>
      <c r="Y43" s="584">
        <f t="shared" si="1"/>
        <v>0</v>
      </c>
      <c r="Z43" s="584">
        <f t="shared" si="1"/>
        <v>0</v>
      </c>
      <c r="AA43" s="584">
        <f t="shared" si="1"/>
        <v>0</v>
      </c>
      <c r="AB43" s="584">
        <f t="shared" si="1"/>
        <v>0</v>
      </c>
      <c r="AC43" s="584">
        <f t="shared" si="1"/>
        <v>0</v>
      </c>
      <c r="AD43" s="584">
        <f t="shared" si="1"/>
        <v>0</v>
      </c>
      <c r="AE43" s="584">
        <f t="shared" si="1"/>
        <v>0</v>
      </c>
      <c r="AF43" s="584">
        <f t="shared" si="1"/>
        <v>0</v>
      </c>
      <c r="AG43" s="584">
        <f t="shared" si="1"/>
        <v>0</v>
      </c>
      <c r="AH43" s="584">
        <f t="shared" si="1"/>
        <v>3.1832314562052488E-11</v>
      </c>
      <c r="AI43" s="584">
        <f t="shared" si="1"/>
        <v>4.0017766878008842E-11</v>
      </c>
      <c r="AJ43" s="584">
        <f t="shared" si="1"/>
        <v>4.0927261579781771E-11</v>
      </c>
      <c r="AK43" s="584">
        <f t="shared" si="1"/>
        <v>4.0927261579781771E-11</v>
      </c>
      <c r="AL43" s="584">
        <f t="shared" si="1"/>
        <v>4.0927261579781771E-11</v>
      </c>
      <c r="AM43" s="584">
        <f t="shared" si="1"/>
        <v>4.0927261579781771E-11</v>
      </c>
      <c r="AN43" s="584">
        <f t="shared" si="1"/>
        <v>4.0927261579781771E-11</v>
      </c>
      <c r="AO43" s="584">
        <f t="shared" si="1"/>
        <v>4.0927261579781771E-11</v>
      </c>
      <c r="AP43" s="584">
        <f t="shared" si="1"/>
        <v>4.1836756281554699E-11</v>
      </c>
      <c r="AQ43" s="584">
        <f t="shared" si="1"/>
        <v>4.2746250983327627E-11</v>
      </c>
      <c r="AR43" s="584">
        <f t="shared" si="1"/>
        <v>4.1836756281554699E-11</v>
      </c>
      <c r="AS43" s="584">
        <f t="shared" si="1"/>
        <v>4.1836756281554699E-11</v>
      </c>
      <c r="AT43" s="584">
        <f t="shared" si="1"/>
        <v>4.2746250983327627E-11</v>
      </c>
      <c r="AU43" s="584">
        <f t="shared" si="1"/>
        <v>4.2746250983327627E-11</v>
      </c>
      <c r="AV43" s="584">
        <f t="shared" si="1"/>
        <v>4.2746250983327627E-11</v>
      </c>
      <c r="AW43" s="584">
        <f t="shared" si="1"/>
        <v>4.2746250983327627E-11</v>
      </c>
      <c r="AX43" s="584">
        <f t="shared" si="1"/>
        <v>4.3655745685100555E-11</v>
      </c>
      <c r="AY43" s="584">
        <f t="shared" si="1"/>
        <v>4.3655745685100555E-11</v>
      </c>
      <c r="AZ43" s="584">
        <f t="shared" si="1"/>
        <v>4.3655745685100555E-11</v>
      </c>
      <c r="BA43" s="584">
        <f t="shared" si="1"/>
        <v>4.3655745685100555E-11</v>
      </c>
      <c r="BB43" s="584">
        <f t="shared" si="1"/>
        <v>4.2746250983327627E-11</v>
      </c>
      <c r="BC43" s="584">
        <f t="shared" si="1"/>
        <v>4.3655745685100555E-11</v>
      </c>
      <c r="BD43" s="584">
        <f t="shared" si="1"/>
        <v>4.3655745685100555E-11</v>
      </c>
      <c r="BE43" s="584">
        <f t="shared" si="1"/>
        <v>4.3655745685100555E-11</v>
      </c>
      <c r="BF43" s="584">
        <f t="shared" si="1"/>
        <v>4.3655745685100555E-11</v>
      </c>
      <c r="BG43" s="584">
        <f t="shared" si="1"/>
        <v>4.3655745685100555E-11</v>
      </c>
      <c r="BH43" s="584">
        <f t="shared" si="1"/>
        <v>4.3655745685100555E-11</v>
      </c>
      <c r="BI43" s="584">
        <f t="shared" si="1"/>
        <v>4.3655745685100555E-11</v>
      </c>
      <c r="BJ43" s="584">
        <f t="shared" si="1"/>
        <v>4.3655745685100555E-11</v>
      </c>
      <c r="BK43" s="584">
        <f t="shared" si="1"/>
        <v>4.4565240386873484E-11</v>
      </c>
      <c r="BL43" s="584">
        <f t="shared" si="1"/>
        <v>4.4565240386873484E-11</v>
      </c>
      <c r="BM43" s="584">
        <f t="shared" si="1"/>
        <v>4.4565240386873484E-11</v>
      </c>
      <c r="BN43" s="584">
        <f t="shared" si="1"/>
        <v>4.4565240386873484E-11</v>
      </c>
      <c r="BO43" s="584">
        <f t="shared" si="1"/>
        <v>4.4565240386873484E-11</v>
      </c>
      <c r="BP43" s="584">
        <f t="shared" si="1"/>
        <v>4.5474735088646412E-11</v>
      </c>
      <c r="BQ43" s="584">
        <f t="shared" si="1"/>
        <v>4.4565240386873484E-11</v>
      </c>
      <c r="BR43" s="584">
        <f t="shared" si="1"/>
        <v>4.5474735088646412E-11</v>
      </c>
      <c r="BS43" s="584">
        <f t="shared" si="1"/>
        <v>4.638422979041934E-11</v>
      </c>
      <c r="BT43" s="584">
        <f t="shared" si="1"/>
        <v>4.638422979041934E-11</v>
      </c>
      <c r="BU43" s="584">
        <f t="shared" si="1"/>
        <v>4.638422979041934E-11</v>
      </c>
      <c r="BV43" s="584">
        <f t="shared" si="1"/>
        <v>4.5474735088646412E-11</v>
      </c>
      <c r="BW43" s="584">
        <f t="shared" si="1"/>
        <v>4.2746250983327627E-11</v>
      </c>
      <c r="BX43" s="584">
        <f t="shared" si="1"/>
        <v>4.1836756281554699E-11</v>
      </c>
      <c r="BY43" s="584">
        <f t="shared" si="1"/>
        <v>4.1836756281554699E-11</v>
      </c>
      <c r="BZ43" s="584">
        <f t="shared" si="1"/>
        <v>4.1836756281554699E-11</v>
      </c>
      <c r="CA43" s="584">
        <f t="shared" si="1"/>
        <v>4.1836756281554699E-11</v>
      </c>
      <c r="CB43" s="584">
        <f t="shared" si="1"/>
        <v>1.5279510989785194E-10</v>
      </c>
      <c r="CC43" s="584">
        <f t="shared" si="1"/>
        <v>4.0927261579781771E-11</v>
      </c>
      <c r="CD43" s="584">
        <f t="shared" si="1"/>
        <v>4.0927261579781771E-11</v>
      </c>
      <c r="CE43" s="584">
        <f t="shared" si="1"/>
        <v>4.0927261579781771E-11</v>
      </c>
      <c r="CF43" s="584">
        <f t="shared" si="1"/>
        <v>4.1836756281554699E-11</v>
      </c>
      <c r="CG43" s="584">
        <f t="shared" si="1"/>
        <v>4.0927261579781771E-11</v>
      </c>
      <c r="CH43" s="584">
        <f t="shared" si="1"/>
        <v>4.0927261579781771E-11</v>
      </c>
      <c r="CI43" s="584">
        <f t="shared" si="1"/>
        <v>4.1836756281554699E-11</v>
      </c>
      <c r="CJ43" s="584">
        <f t="shared" si="1"/>
        <v>4.0927261579781771E-11</v>
      </c>
      <c r="CK43" s="584">
        <f t="shared" si="1"/>
        <v>4.0927261579781771E-11</v>
      </c>
      <c r="CL43" s="584">
        <f t="shared" si="1"/>
        <v>4.3655745685100555E-11</v>
      </c>
      <c r="CM43" s="584">
        <f t="shared" si="1"/>
        <v>4.3655745685100555E-11</v>
      </c>
      <c r="CN43" s="584">
        <f t="shared" si="1"/>
        <v>4.2746250983327627E-11</v>
      </c>
      <c r="CO43" s="584">
        <f t="shared" si="1"/>
        <v>4.2746250983327627E-11</v>
      </c>
      <c r="CP43" s="584">
        <f t="shared" si="1"/>
        <v>4.0017766878008842E-11</v>
      </c>
      <c r="CQ43" s="584">
        <f t="shared" si="1"/>
        <v>4.0927261579781771E-11</v>
      </c>
      <c r="CR43" s="584">
        <f t="shared" si="1"/>
        <v>4.0927261579781771E-11</v>
      </c>
      <c r="CS43" s="584">
        <f t="shared" si="1"/>
        <v>4.0927261579781771E-11</v>
      </c>
      <c r="CT43" s="584">
        <f t="shared" si="1"/>
        <v>4.0927261579781771E-11</v>
      </c>
      <c r="CU43" s="584">
        <f t="shared" si="1"/>
        <v>4.1836756281554699E-11</v>
      </c>
      <c r="CV43" s="584">
        <f t="shared" si="1"/>
        <v>4.0017766878008842E-11</v>
      </c>
      <c r="CW43" s="584">
        <f t="shared" si="1"/>
        <v>4.0017766878008842E-11</v>
      </c>
      <c r="CX43" s="584">
        <f t="shared" si="1"/>
        <v>4.0927261579781771E-11</v>
      </c>
      <c r="CY43" s="584">
        <f t="shared" si="1"/>
        <v>4.0017766878008842E-11</v>
      </c>
      <c r="CZ43" s="584">
        <f t="shared" si="1"/>
        <v>4.0927261579781771E-11</v>
      </c>
      <c r="DA43" s="584">
        <f t="shared" si="1"/>
        <v>7.0758687797933817E-10</v>
      </c>
      <c r="DB43" s="584">
        <f t="shared" si="1"/>
        <v>0</v>
      </c>
      <c r="DC43" s="584">
        <f t="shared" si="1"/>
        <v>0</v>
      </c>
      <c r="DD43" s="584">
        <f t="shared" si="1"/>
        <v>0</v>
      </c>
      <c r="DE43" s="584">
        <f t="shared" si="1"/>
        <v>0</v>
      </c>
      <c r="DF43" s="584">
        <f t="shared" si="1"/>
        <v>0</v>
      </c>
      <c r="DG43" s="584">
        <f t="shared" si="1"/>
        <v>0</v>
      </c>
      <c r="DH43" s="584">
        <f t="shared" si="1"/>
        <v>0</v>
      </c>
      <c r="DI43" s="584">
        <f t="shared" si="1"/>
        <v>0</v>
      </c>
      <c r="DJ43" s="584">
        <f t="shared" si="1"/>
        <v>0</v>
      </c>
      <c r="DK43" s="584">
        <f t="shared" si="1"/>
        <v>0</v>
      </c>
      <c r="DL43" s="584">
        <f t="shared" si="1"/>
        <v>0</v>
      </c>
      <c r="DM43" s="584">
        <f t="shared" si="1"/>
        <v>0</v>
      </c>
      <c r="DN43" s="584">
        <f t="shared" si="1"/>
        <v>0</v>
      </c>
      <c r="DO43" s="584">
        <f t="shared" si="1"/>
        <v>0</v>
      </c>
      <c r="DP43" s="584">
        <f t="shared" si="1"/>
        <v>0</v>
      </c>
      <c r="DQ43" s="584">
        <f t="shared" si="1"/>
        <v>0</v>
      </c>
      <c r="DR43" s="584">
        <f t="shared" si="1"/>
        <v>0</v>
      </c>
      <c r="DS43" s="584">
        <f t="shared" si="1"/>
        <v>0</v>
      </c>
      <c r="DT43" s="584">
        <f t="shared" si="1"/>
        <v>0</v>
      </c>
      <c r="DU43" s="584">
        <f t="shared" si="1"/>
        <v>0</v>
      </c>
      <c r="DV43" s="584">
        <f t="shared" si="1"/>
        <v>0</v>
      </c>
      <c r="DW43" s="584">
        <f t="shared" si="1"/>
        <v>0</v>
      </c>
      <c r="DX43" s="584">
        <f t="shared" si="1"/>
        <v>0</v>
      </c>
      <c r="DY43" s="584">
        <f t="shared" si="1"/>
        <v>0</v>
      </c>
      <c r="DZ43" s="584">
        <f t="shared" si="1"/>
        <v>0</v>
      </c>
      <c r="EA43" s="584">
        <f t="shared" si="1"/>
        <v>0</v>
      </c>
      <c r="EB43" s="584">
        <f t="shared" si="1"/>
        <v>0</v>
      </c>
      <c r="EC43" s="584">
        <f t="shared" si="1"/>
        <v>0</v>
      </c>
      <c r="ED43" s="584">
        <f t="shared" si="1"/>
        <v>0</v>
      </c>
      <c r="EE43" s="584">
        <f t="shared" si="1"/>
        <v>0</v>
      </c>
      <c r="EF43" s="584">
        <f t="shared" si="1"/>
        <v>0</v>
      </c>
      <c r="EG43" s="584">
        <f t="shared" si="1"/>
        <v>0</v>
      </c>
    </row>
    <row r="46" spans="5:137" ht="12.75">
      <c r="E46" s="578" t="s">
        <v>580</v>
      </c>
      <c r="F46" s="585">
        <f>SUM($F41:$F43)</f>
        <v>0</v>
      </c>
      <c r="G46" s="579" t="s">
        <v>224</v>
      </c>
      <c r="H46" s="579"/>
      <c r="I46" s="556"/>
      <c r="J46" s="579"/>
      <c r="K46" s="579"/>
      <c r="L46" s="579"/>
      <c r="M46" s="579"/>
      <c r="N46" s="579"/>
      <c r="O46" s="579"/>
      <c r="P46" s="579"/>
      <c r="Q46" s="579"/>
      <c r="R46" s="579"/>
      <c r="S46" s="579"/>
      <c r="T46" s="579"/>
      <c r="U46" s="579"/>
      <c r="V46" s="579"/>
      <c r="W46" s="579"/>
      <c r="X46" s="579"/>
      <c r="Y46" s="579"/>
      <c r="Z46" s="579"/>
      <c r="AA46" s="579"/>
      <c r="AB46" s="579"/>
      <c r="AC46" s="579"/>
      <c r="AD46" s="579"/>
      <c r="AE46" s="579"/>
      <c r="AF46" s="579"/>
      <c r="AG46" s="579"/>
      <c r="AH46" s="579"/>
      <c r="AI46" s="579"/>
      <c r="AJ46" s="579"/>
      <c r="AK46" s="579"/>
      <c r="AL46" s="579"/>
      <c r="AM46" s="579"/>
      <c r="AN46" s="579"/>
      <c r="AO46" s="579"/>
      <c r="AP46" s="579"/>
      <c r="AQ46" s="579"/>
      <c r="AR46" s="579"/>
      <c r="AS46" s="579"/>
      <c r="AT46" s="579"/>
      <c r="AU46" s="579"/>
      <c r="AV46" s="579"/>
      <c r="AW46" s="579"/>
      <c r="AX46" s="579"/>
      <c r="AY46" s="579"/>
      <c r="AZ46" s="579"/>
      <c r="BA46" s="579"/>
      <c r="BB46" s="579"/>
      <c r="BC46" s="579"/>
      <c r="BD46" s="579"/>
      <c r="BE46" s="579"/>
      <c r="BF46" s="579"/>
      <c r="BG46" s="579"/>
      <c r="BH46" s="579"/>
      <c r="BI46" s="579"/>
      <c r="BJ46" s="579"/>
      <c r="BK46" s="579"/>
      <c r="BL46" s="579"/>
      <c r="BM46" s="579"/>
      <c r="BN46" s="579"/>
      <c r="BO46" s="579"/>
      <c r="BP46" s="579"/>
      <c r="BQ46" s="579"/>
      <c r="BR46" s="579"/>
      <c r="BS46" s="579"/>
      <c r="BT46" s="579"/>
      <c r="BU46" s="579"/>
      <c r="BV46" s="579"/>
      <c r="BW46" s="579"/>
      <c r="BX46" s="579"/>
      <c r="BY46" s="579"/>
      <c r="BZ46" s="579"/>
      <c r="CA46" s="579"/>
      <c r="CB46" s="579"/>
      <c r="CC46" s="579"/>
      <c r="CD46" s="579"/>
      <c r="CE46" s="579"/>
      <c r="CF46" s="579"/>
      <c r="CG46" s="579"/>
      <c r="CH46" s="579"/>
      <c r="CI46" s="579"/>
      <c r="CJ46" s="579"/>
      <c r="CK46" s="579"/>
      <c r="CL46" s="579"/>
      <c r="CM46" s="579"/>
      <c r="CN46" s="579"/>
      <c r="CO46" s="579"/>
      <c r="CP46" s="579"/>
      <c r="CQ46" s="579"/>
      <c r="CR46" s="579"/>
      <c r="CS46" s="579"/>
      <c r="CT46" s="579"/>
      <c r="CU46" s="579"/>
      <c r="CV46" s="579"/>
      <c r="CW46" s="579"/>
      <c r="CX46" s="579"/>
      <c r="CY46" s="579"/>
      <c r="CZ46" s="579"/>
      <c r="DA46" s="579"/>
      <c r="DB46" s="579"/>
      <c r="DC46" s="579"/>
      <c r="DD46" s="579"/>
      <c r="DE46" s="579"/>
      <c r="DF46" s="579"/>
      <c r="DG46" s="579"/>
      <c r="DH46" s="579"/>
      <c r="DI46" s="579"/>
      <c r="DJ46" s="579"/>
      <c r="DK46" s="579"/>
      <c r="DL46" s="579"/>
      <c r="DM46" s="579"/>
      <c r="DN46" s="579"/>
      <c r="DO46" s="579"/>
      <c r="DP46" s="579"/>
      <c r="DQ46" s="579"/>
      <c r="DR46" s="579"/>
      <c r="DS46" s="579"/>
      <c r="DT46" s="579"/>
      <c r="DU46" s="579"/>
      <c r="DV46" s="579"/>
      <c r="DW46" s="579"/>
      <c r="DX46" s="579"/>
      <c r="DY46" s="579"/>
      <c r="DZ46" s="579"/>
      <c r="EA46" s="579"/>
      <c r="EB46" s="579"/>
      <c r="EC46" s="579"/>
      <c r="ED46" s="579"/>
      <c r="EE46" s="579"/>
      <c r="EF46" s="579"/>
      <c r="EG46" s="579"/>
    </row>
  </sheetData>
  <conditionalFormatting sqref="J3:RL3">
    <cfRule type="cellIs" priority="16" dxfId="247" operator="equal" stopIfTrue="1">
      <formula>"Construction"</formula>
    </cfRule>
    <cfRule type="cellIs" priority="17" dxfId="246" operator="equal" stopIfTrue="1">
      <formula>"Operations"</formula>
    </cfRule>
    <cfRule type="cellIs" priority="15" dxfId="245" operator="equal">
      <formula>"Fin Close"</formula>
    </cfRule>
    <cfRule type="cellIs" priority="13" dxfId="244" operator="equal">
      <formula>"PPA ext."</formula>
    </cfRule>
    <cfRule type="cellIs" priority="14" dxfId="243" operator="equal">
      <formula>"Delay"</formula>
    </cfRule>
  </conditionalFormatting>
  <conditionalFormatting sqref="F2:F3">
    <cfRule type="cellIs" priority="9" dxfId="242" operator="notEqual" stopIfTrue="1">
      <formula>0</formula>
    </cfRule>
    <cfRule type="cellIs" priority="10" dxfId="242" operator="equal" stopIfTrue="1">
      <formula>""</formula>
    </cfRule>
    <cfRule type="cellIs" priority="11" dxfId="240" operator="notEqual" stopIfTrue="1">
      <formula>0</formula>
    </cfRule>
    <cfRule type="cellIs" priority="12" dxfId="240" operator="equal" stopIfTrue="1">
      <formula>""</formula>
    </cfRule>
  </conditionalFormatting>
  <conditionalFormatting sqref="F41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J41:EG41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conditionalFormatting sqref="F42">
    <cfRule type="cellIs" priority="5" dxfId="242" operator="notEqual" stopIfTrue="1">
      <formula>0</formula>
    </cfRule>
    <cfRule type="cellIs" priority="6" dxfId="242" operator="equal" stopIfTrue="1">
      <formula>""</formula>
    </cfRule>
  </conditionalFormatting>
  <conditionalFormatting sqref="F43">
    <cfRule type="cellIs" priority="7" dxfId="242" operator="notEqual" stopIfTrue="1">
      <formula>0</formula>
    </cfRule>
    <cfRule type="cellIs" priority="8" dxfId="242" operator="equal" stopIfTrue="1">
      <formula>""</formula>
    </cfRule>
  </conditionalFormatting>
  <conditionalFormatting sqref="J43:EG43">
    <cfRule type="cellIs" priority="9" dxfId="242" operator="notEqual" stopIfTrue="1">
      <formula>0</formula>
    </cfRule>
    <cfRule type="cellIs" priority="10" dxfId="242" operator="equal" stopIfTrue="1">
      <formula>""</formula>
    </cfRule>
  </conditionalFormatting>
  <conditionalFormatting sqref="F46">
    <cfRule type="cellIs" priority="11" dxfId="242" operator="notEqual" stopIfTrue="1">
      <formula>0</formula>
    </cfRule>
    <cfRule type="cellIs" priority="12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  <drawing r:id="rId1"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 /></Relationships>
</file>

<file path=customXml/item1.xml><?xml version="1.0" encoding="utf-8"?>
<config xmlns="urn:cellori:config" format="2">schema = 1
# The worked model: a complete generic project-finance model on the FAST
# starter's hybrid spine (monthly construction, quarterly operations). It
# begins from `cellori-desktop new`'s model.toml; the keys added here are the
# model's facts (span, north stars, tab order), the scenario ribbon and the
# three solver pairs that close its loops.
[standard]
uid = "fast"                                 # push writes rev/hash here itself
rev = 9
hash = "sha256:8e6d4b4b738f36728babcd523eb9f110bc317b7d8bb309f0321c2e452b6d718b"
[workbook]
header_scheme         = "quarterly-banner"   # a monthly or hybrid spine wears the quarterly banner
timeseries_end_column = "EG"                 # 128 periods: J + 127 (24 monthly pre-close/construction + 100 quarterly operating + 4 quarterly post-ops)
north_stars           = ["rr_eq_irr", "rr_proj_irr", "rr_dscr_min", "rr_llcr_min", "fnd_sd_amount", "fnd_eq_amount"]
sheet_order           = ["InpC", "InpS", "Time", "Cons", "Ops", "Assets", "Debt", "Reserves", "Waterfall", "Tax", "Equity", "FS", "Check", "Solve"]
# The scenario ribbon on InpC: three base cases in K:M (the client's case is
# 1) and two scenarios in O:P; J, N and Q are the bands' structural blanks.
# `infrastructure` is not optional: every picker reads the selector helpers
# outside its own row, and without the key the closing pull renders every
# InpC input as a raw row.
[[sheet]]
name = "InpC"
  [sheet.scenario]
  active_ref         = "InpC!$F$4"
  active_ref_options = ["1", "2", "3", "4", "5"]
  active_col         = "F"
  check_col          = "I"
  base_span          = "J:N"
  scenario_span      = "O:Q"
  base_case_cols     = "K:M"
  scenario_case_cols = "O:P"
  infrastructure     = ["2:9", "I:I"]
# The construction loop: draws -&gt; senior balance -&gt; IDC and
# fees -&gt; funding requirement. Cons reads the pasted requirement vector
# (fnd_req_paste) and the pasted senior debt capacity (sd_capacity_paste); the
# solver copies fnd_req and sd_capacity into them until chk_solver reads 0.
# The operations loops: CFADS is after tax, so the sculpting cover
# reads the pasted capacity (Debt's sd_dscr_eff), and the reserves' forward
# cover requirement reads the pasted senior debt service (sd_ds_paste), which
# breaks every loop through the DSRA target, the DSRF fee (tax-deductible),
# the junior facility and the cash sweep.
[[sheet]]
name = "Solve"
type = "solve"
[solver]
sheet = "Solve"
[[solver.master_check]]
name    = "chk_solver"
label   = "Solver - master check"
unit    = "check"
formula = "SUM(§{{fnd_req_chk_2}}, {{sd_capacity_chk}}, {{sd_ds_chk_2}}§)"
[[solver.step]]
name     = "master"
converge = "chk_solver"
[[solver.step.pair]]
copy  = "fnd_req"
paste = "fnd_req_paste"
label = "Funding requirement - solver paste"
unit  = "EUR 000s"
checks = [
  { name = "fnd_req_chk", t1 = true, label = "Funding requirement - solver check", unit = "check", formula = "ABS({{fnd_req[n]}}-{{fnd_req_paste[n]}})" },
  { name = "fnd_req_chk_2", label = "Funding requirement - solver check", unit = "check", formula = "IF(SUM({{fnd_req_chk[:]}})&gt;{{cst_solve_tol}},1,0)" },
]
[[solver.step.pair]]
copy   = "sd_capacity"
paste  = "sd_capacity_paste"
label  = "Senior facility - debt capacity solver paste"
unit   = "EUR 000s"
scalar = true
checks = [
  { name = "sd_capacity_chk", label = "Senior facility - debt capacity solver check", unit = "check", formula = "IF(ABS({{sd_capacity}}-{{sd_capacity_paste}})&gt;{{cst_solve_tol}},1,0)" },
]
[[solver.step.pair]]
copy  = "sd_ds"
paste = "sd_ds_paste"
label = "Senior facility - debt service solver paste"
unit  = "EUR 000s"
checks = [
  { name = "sd_ds_chk", t1 = true, label = "Senior facility - debt service solver check", unit = "check", formula = "ABS({{sd_ds[n]}}-{{sd_ds_paste[n]}})" },
  { name = "sd_ds_chk_2", label = "Senior facility - debt service solver check", unit = "check", formula = "IF(SUM({{sd_ds_chk[:]}})&gt;{{cst_solve_tol}},1,0)" },
]
</config>
</file>

<file path=customXml/itemProps1.xml><?xml version="1.0" encoding="utf-8"?>
<ds:datastoreItem xmlns:ds="http://schemas.openxmlformats.org/officeDocument/2006/customXml" ds:itemID="{7C3A5E10-9B42-4C8E-A1D0-5CE110C0F216}">
  <ds:schemaRefs>
    <ds:schemaRef ds:uri="urn:cellori:confi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AppVersion>14.0300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 Wilcockson</dc:creator>
  <cp:keywords/>
  <dc:description/>
  <cp:lastModifiedBy>Dan Wilcockson</cp:lastModifiedBy>
  <cp:lastPrinted>2024-01-12T15:11:42Z</cp:lastPrinted>
  <dcterms:created xsi:type="dcterms:W3CDTF">2004-05-12T17:06:52Z</dcterms:created>
  <dcterms:modified xsi:type="dcterms:W3CDTF">2026-08-29T15:44:33Z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0x010100B75A5F3592EEBD438CF30FBF6F6ED376</vt:lpwstr>
  </property>
</Properties>
</file>